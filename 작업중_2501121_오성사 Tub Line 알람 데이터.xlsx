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syou\Desktop\"/>
    </mc:Choice>
  </mc:AlternateContent>
  <xr:revisionPtr revIDLastSave="0" documentId="8_{23AF9E1D-3D0D-4316-8BCA-A9535BE7EF8A}" xr6:coauthVersionLast="47" xr6:coauthVersionMax="47" xr10:uidLastSave="{00000000-0000-0000-0000-000000000000}"/>
  <bookViews>
    <workbookView xWindow="-110" yWindow="-110" windowWidth="25820" windowHeight="15500" tabRatio="724" xr2:uid="{00000000-000D-0000-FFFF-FFFF00000000}"/>
  </bookViews>
  <sheets>
    <sheet name="Center_Alarm" sheetId="11" r:id="rId1"/>
    <sheet name="Upper&amp;Lower_Alarm" sheetId="18" r:id="rId2"/>
    <sheet name="Seaming" sheetId="19" r:id="rId3"/>
    <sheet name="Welding" sheetId="20" r:id="rId4"/>
    <sheet name="알람분류코드" sheetId="13" r:id="rId5"/>
    <sheet name="설비상태정의" sheetId="14" r:id="rId6"/>
    <sheet name="공정명" sheetId="21" r:id="rId7"/>
    <sheet name="태그마스터" sheetId="23" r:id="rId8"/>
  </sheets>
  <definedNames>
    <definedName name="_xlnm._FilterDatabase" localSheetId="0" hidden="1">Center_Alarm!$A$3:$O$2050</definedName>
    <definedName name="_xlnm._FilterDatabase" localSheetId="2" hidden="1">Seaming!$A$3:$V$2054</definedName>
    <definedName name="_xlnm._FilterDatabase" localSheetId="1" hidden="1">'Upper&amp;Lower_Alarm'!$A$3:$V$1442</definedName>
    <definedName name="_xlnm._FilterDatabase" localSheetId="3" hidden="1">Welding!$A$3:$V$2101</definedName>
  </definedNames>
  <calcPr calcId="191029"/>
  <fileRecoveryPr repairLoad="1"/>
</workbook>
</file>

<file path=xl/calcChain.xml><?xml version="1.0" encoding="utf-8"?>
<calcChain xmlns="http://schemas.openxmlformats.org/spreadsheetml/2006/main">
  <c r="L5" i="20" l="1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4" i="20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4" i="19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L948" i="20"/>
  <c r="L949" i="20"/>
  <c r="L950" i="20"/>
  <c r="L951" i="20"/>
  <c r="L952" i="20"/>
  <c r="L953" i="20"/>
  <c r="L954" i="20"/>
  <c r="L955" i="20"/>
  <c r="L956" i="20"/>
  <c r="L957" i="20"/>
  <c r="L958" i="20"/>
  <c r="L959" i="20"/>
  <c r="L960" i="20"/>
  <c r="L961" i="20"/>
  <c r="L962" i="20"/>
  <c r="L963" i="20"/>
  <c r="L964" i="20"/>
  <c r="L965" i="20"/>
  <c r="L966" i="20"/>
  <c r="L967" i="20"/>
  <c r="L968" i="20"/>
  <c r="L969" i="20"/>
  <c r="L970" i="20"/>
  <c r="L971" i="20"/>
  <c r="L972" i="20"/>
  <c r="L973" i="20"/>
  <c r="L974" i="20"/>
  <c r="L975" i="20"/>
  <c r="L976" i="20"/>
  <c r="L977" i="20"/>
  <c r="L978" i="20"/>
  <c r="L979" i="20"/>
  <c r="L980" i="20"/>
  <c r="L981" i="20"/>
  <c r="L982" i="20"/>
  <c r="L983" i="20"/>
  <c r="L984" i="20"/>
  <c r="L985" i="20"/>
  <c r="L986" i="20"/>
  <c r="L987" i="20"/>
  <c r="L988" i="20"/>
  <c r="L989" i="20"/>
  <c r="L990" i="20"/>
  <c r="L991" i="20"/>
  <c r="L992" i="20"/>
  <c r="L993" i="20"/>
  <c r="L994" i="20"/>
  <c r="L995" i="20"/>
  <c r="L996" i="20"/>
  <c r="L997" i="20"/>
  <c r="L998" i="20"/>
  <c r="L999" i="20"/>
  <c r="L1000" i="20"/>
  <c r="L1001" i="20"/>
  <c r="L1002" i="20"/>
  <c r="L1003" i="20"/>
  <c r="L1004" i="20"/>
  <c r="L1005" i="20"/>
  <c r="L1006" i="20"/>
  <c r="L1007" i="20"/>
  <c r="L1008" i="20"/>
  <c r="L1009" i="20"/>
  <c r="L1010" i="20"/>
  <c r="L1011" i="20"/>
  <c r="L1012" i="20"/>
  <c r="L1013" i="20"/>
  <c r="L1014" i="20"/>
  <c r="L1015" i="20"/>
  <c r="L1016" i="20"/>
  <c r="L1017" i="20"/>
  <c r="L1018" i="20"/>
  <c r="L1019" i="20"/>
  <c r="L1020" i="20"/>
  <c r="L1021" i="20"/>
  <c r="L1022" i="20"/>
  <c r="L1023" i="20"/>
  <c r="L1024" i="20"/>
  <c r="L1025" i="20"/>
  <c r="L1026" i="20"/>
  <c r="L1027" i="20"/>
  <c r="L1028" i="20"/>
  <c r="L1029" i="20"/>
  <c r="L1030" i="20"/>
  <c r="L1031" i="20"/>
  <c r="L1032" i="20"/>
  <c r="L1033" i="20"/>
  <c r="L1034" i="20"/>
  <c r="L1035" i="20"/>
  <c r="L1036" i="20"/>
  <c r="L1037" i="20"/>
  <c r="L1038" i="20"/>
  <c r="L1039" i="20"/>
  <c r="L1040" i="20"/>
  <c r="L1041" i="20"/>
  <c r="L1042" i="20"/>
  <c r="L1043" i="20"/>
  <c r="L1044" i="20"/>
  <c r="L1045" i="20"/>
  <c r="L1046" i="20"/>
  <c r="L1047" i="20"/>
  <c r="L1048" i="20"/>
  <c r="L1049" i="20"/>
  <c r="L1050" i="20"/>
  <c r="L1051" i="20"/>
  <c r="L1052" i="20"/>
  <c r="L1053" i="20"/>
  <c r="L1054" i="20"/>
  <c r="L1055" i="20"/>
  <c r="L1056" i="20"/>
  <c r="L1057" i="20"/>
  <c r="L1058" i="20"/>
  <c r="L1059" i="20"/>
  <c r="L1060" i="20"/>
  <c r="L1061" i="20"/>
  <c r="L1062" i="20"/>
  <c r="L1063" i="20"/>
  <c r="L1064" i="20"/>
  <c r="L1065" i="20"/>
  <c r="L1066" i="20"/>
  <c r="L1067" i="20"/>
  <c r="L1068" i="20"/>
  <c r="L1069" i="20"/>
  <c r="L1070" i="20"/>
  <c r="L1071" i="20"/>
  <c r="L1072" i="20"/>
  <c r="L1073" i="20"/>
  <c r="L1074" i="20"/>
  <c r="L1075" i="20"/>
  <c r="L1076" i="20"/>
  <c r="L1077" i="20"/>
  <c r="L1078" i="20"/>
  <c r="L1079" i="20"/>
  <c r="L1080" i="20"/>
  <c r="L1081" i="20"/>
  <c r="L1082" i="20"/>
  <c r="L1083" i="20"/>
  <c r="L1084" i="20"/>
  <c r="L1085" i="20"/>
  <c r="L1086" i="20"/>
  <c r="L1087" i="20"/>
  <c r="L1088" i="20"/>
  <c r="L1089" i="20"/>
  <c r="L1090" i="20"/>
  <c r="L1091" i="20"/>
  <c r="L1092" i="20"/>
  <c r="L1093" i="20"/>
  <c r="L1094" i="20"/>
  <c r="L1095" i="20"/>
  <c r="L1096" i="20"/>
  <c r="L1097" i="20"/>
  <c r="L1098" i="20"/>
  <c r="L1099" i="20"/>
  <c r="L1100" i="20"/>
  <c r="L1101" i="20"/>
  <c r="L1102" i="20"/>
  <c r="L1103" i="20"/>
  <c r="L1104" i="20"/>
  <c r="L1105" i="20"/>
  <c r="L1106" i="20"/>
  <c r="L1107" i="20"/>
  <c r="L1108" i="20"/>
  <c r="L1109" i="20"/>
  <c r="L1110" i="20"/>
  <c r="L1111" i="20"/>
  <c r="L1112" i="20"/>
  <c r="L1113" i="20"/>
  <c r="L1114" i="20"/>
  <c r="L1115" i="20"/>
  <c r="L1116" i="20"/>
  <c r="L1117" i="20"/>
  <c r="L1118" i="20"/>
  <c r="L1119" i="20"/>
  <c r="L1120" i="20"/>
  <c r="L1121" i="20"/>
  <c r="L1122" i="20"/>
  <c r="L1123" i="20"/>
  <c r="L1124" i="20"/>
  <c r="L1125" i="20"/>
  <c r="L1126" i="20"/>
  <c r="L1127" i="20"/>
  <c r="L1128" i="20"/>
  <c r="L1129" i="20"/>
  <c r="L1130" i="20"/>
  <c r="L1131" i="20"/>
  <c r="L1132" i="20"/>
  <c r="L1133" i="20"/>
  <c r="L1134" i="20"/>
  <c r="L1135" i="20"/>
  <c r="L1136" i="20"/>
  <c r="L1137" i="20"/>
  <c r="L1138" i="20"/>
  <c r="L1139" i="20"/>
  <c r="L1140" i="20"/>
  <c r="L1141" i="20"/>
  <c r="L1142" i="20"/>
  <c r="L1143" i="20"/>
  <c r="L1144" i="20"/>
  <c r="L1145" i="20"/>
  <c r="L1146" i="20"/>
  <c r="L1147" i="20"/>
  <c r="L1148" i="20"/>
  <c r="L1149" i="20"/>
  <c r="L1150" i="20"/>
  <c r="L1151" i="20"/>
  <c r="L1152" i="20"/>
  <c r="L1153" i="20"/>
  <c r="L1154" i="20"/>
  <c r="L1155" i="20"/>
  <c r="L1156" i="20"/>
  <c r="L1157" i="20"/>
  <c r="L1158" i="20"/>
  <c r="L1159" i="20"/>
  <c r="L1160" i="20"/>
  <c r="L1161" i="20"/>
  <c r="L1162" i="20"/>
  <c r="L1163" i="20"/>
  <c r="L1164" i="20"/>
  <c r="L1165" i="20"/>
  <c r="L1166" i="20"/>
  <c r="L1167" i="20"/>
  <c r="L1168" i="20"/>
  <c r="L1169" i="20"/>
  <c r="L1170" i="20"/>
  <c r="L1171" i="20"/>
  <c r="L1172" i="20"/>
  <c r="L1173" i="20"/>
  <c r="L1174" i="20"/>
  <c r="L1175" i="20"/>
  <c r="L1176" i="20"/>
  <c r="L1177" i="20"/>
  <c r="L1178" i="20"/>
  <c r="L1179" i="20"/>
  <c r="L1180" i="20"/>
  <c r="L1181" i="20"/>
  <c r="L1182" i="20"/>
  <c r="L1183" i="20"/>
  <c r="L1184" i="20"/>
  <c r="L1185" i="20"/>
  <c r="L1186" i="20"/>
  <c r="L1187" i="20"/>
  <c r="L1188" i="20"/>
  <c r="L1189" i="20"/>
  <c r="L1190" i="20"/>
  <c r="L1191" i="20"/>
  <c r="L1192" i="20"/>
  <c r="L1193" i="20"/>
  <c r="L1194" i="20"/>
  <c r="L1195" i="20"/>
  <c r="L1196" i="20"/>
  <c r="L1197" i="20"/>
  <c r="L1198" i="20"/>
  <c r="L1199" i="20"/>
  <c r="L1200" i="20"/>
  <c r="L1201" i="20"/>
  <c r="L1202" i="20"/>
  <c r="L1203" i="20"/>
  <c r="L1204" i="20"/>
  <c r="L1205" i="20"/>
  <c r="L1206" i="20"/>
  <c r="L1207" i="20"/>
  <c r="L1208" i="20"/>
  <c r="L1209" i="20"/>
  <c r="L1210" i="20"/>
  <c r="L1211" i="20"/>
  <c r="L1212" i="20"/>
  <c r="L1213" i="20"/>
  <c r="L1214" i="20"/>
  <c r="L1215" i="20"/>
  <c r="L1216" i="20"/>
  <c r="L1217" i="20"/>
  <c r="L1218" i="20"/>
  <c r="L1219" i="20"/>
  <c r="L1220" i="20"/>
  <c r="L1221" i="20"/>
  <c r="L1222" i="20"/>
  <c r="L1223" i="20"/>
  <c r="L1224" i="20"/>
  <c r="L1225" i="20"/>
  <c r="L1226" i="20"/>
  <c r="L1227" i="20"/>
  <c r="L1228" i="20"/>
  <c r="L1229" i="20"/>
  <c r="L1230" i="20"/>
  <c r="L1231" i="20"/>
  <c r="L1232" i="20"/>
  <c r="L1233" i="20"/>
  <c r="L1234" i="20"/>
  <c r="L1235" i="20"/>
  <c r="L1236" i="20"/>
  <c r="L1237" i="20"/>
  <c r="L1238" i="20"/>
  <c r="L1239" i="20"/>
  <c r="L1240" i="20"/>
  <c r="L1241" i="20"/>
  <c r="L1242" i="20"/>
  <c r="L1243" i="20"/>
  <c r="L1244" i="20"/>
  <c r="L1245" i="20"/>
  <c r="L1246" i="20"/>
  <c r="L1247" i="20"/>
  <c r="L1248" i="20"/>
  <c r="L1249" i="20"/>
  <c r="L1250" i="20"/>
  <c r="L1251" i="20"/>
  <c r="L1252" i="20"/>
  <c r="L1253" i="20"/>
  <c r="L1254" i="20"/>
  <c r="L1255" i="20"/>
  <c r="L1256" i="20"/>
  <c r="L1257" i="20"/>
  <c r="L1258" i="20"/>
  <c r="L1259" i="20"/>
  <c r="L1260" i="20"/>
  <c r="L1261" i="20"/>
  <c r="L1262" i="20"/>
  <c r="L1263" i="20"/>
  <c r="L1264" i="20"/>
  <c r="L1265" i="20"/>
  <c r="L1266" i="20"/>
  <c r="L1267" i="20"/>
  <c r="L1268" i="20"/>
  <c r="L1269" i="20"/>
  <c r="L1270" i="20"/>
  <c r="L1271" i="20"/>
  <c r="L1272" i="20"/>
  <c r="L1273" i="20"/>
  <c r="L1274" i="20"/>
  <c r="L1275" i="20"/>
  <c r="L1276" i="20"/>
  <c r="L1277" i="20"/>
  <c r="L1278" i="20"/>
  <c r="L1279" i="20"/>
  <c r="L1280" i="20"/>
  <c r="L1281" i="20"/>
  <c r="L1282" i="20"/>
  <c r="L1283" i="20"/>
  <c r="L1284" i="20"/>
  <c r="L1285" i="20"/>
  <c r="L1286" i="20"/>
  <c r="L1287" i="20"/>
  <c r="L1288" i="20"/>
  <c r="L1289" i="20"/>
  <c r="L1290" i="20"/>
  <c r="L1291" i="20"/>
  <c r="L1292" i="20"/>
  <c r="L1293" i="20"/>
  <c r="L1294" i="20"/>
  <c r="L1295" i="20"/>
  <c r="L1296" i="20"/>
  <c r="L1297" i="20"/>
  <c r="L1298" i="20"/>
  <c r="L1299" i="20"/>
  <c r="L1300" i="20"/>
  <c r="L1301" i="20"/>
  <c r="L1302" i="20"/>
  <c r="L1303" i="20"/>
  <c r="L1304" i="20"/>
  <c r="L1305" i="20"/>
  <c r="L1306" i="20"/>
  <c r="L1307" i="20"/>
  <c r="L1308" i="20"/>
  <c r="L1309" i="20"/>
  <c r="L1310" i="20"/>
  <c r="L1311" i="20"/>
  <c r="L1312" i="20"/>
  <c r="L1313" i="20"/>
  <c r="L1314" i="20"/>
  <c r="L1315" i="20"/>
  <c r="L1316" i="20"/>
  <c r="L1317" i="20"/>
  <c r="L1318" i="20"/>
  <c r="L1319" i="20"/>
  <c r="L1320" i="20"/>
  <c r="L1321" i="20"/>
  <c r="L1322" i="20"/>
  <c r="L1323" i="20"/>
  <c r="L1324" i="20"/>
  <c r="L1325" i="20"/>
  <c r="L1326" i="20"/>
  <c r="L1327" i="20"/>
  <c r="L1328" i="20"/>
  <c r="L1329" i="20"/>
  <c r="L1330" i="20"/>
  <c r="L1331" i="20"/>
  <c r="L1332" i="20"/>
  <c r="L1333" i="20"/>
  <c r="L1334" i="20"/>
  <c r="L1335" i="20"/>
  <c r="L1336" i="20"/>
  <c r="L1337" i="20"/>
  <c r="L1338" i="20"/>
  <c r="L1339" i="20"/>
  <c r="L1340" i="20"/>
  <c r="L1341" i="20"/>
  <c r="L1342" i="20"/>
  <c r="L1343" i="20"/>
  <c r="L1344" i="20"/>
  <c r="L1345" i="20"/>
  <c r="L1346" i="20"/>
  <c r="L1347" i="20"/>
  <c r="L1348" i="20"/>
  <c r="L1349" i="20"/>
  <c r="L1350" i="20"/>
  <c r="L1351" i="20"/>
  <c r="L1352" i="20"/>
  <c r="L1353" i="20"/>
  <c r="L1354" i="20"/>
  <c r="L1355" i="20"/>
  <c r="L1356" i="20"/>
  <c r="L1357" i="20"/>
  <c r="L1358" i="20"/>
  <c r="L1359" i="20"/>
  <c r="L1360" i="20"/>
  <c r="L1361" i="20"/>
  <c r="L1362" i="20"/>
  <c r="L1363" i="20"/>
  <c r="L1364" i="20"/>
  <c r="L1365" i="20"/>
  <c r="L1366" i="20"/>
  <c r="L1367" i="20"/>
  <c r="L1368" i="20"/>
  <c r="L1369" i="20"/>
  <c r="L1370" i="20"/>
  <c r="L1371" i="20"/>
  <c r="L1372" i="20"/>
  <c r="L1373" i="20"/>
  <c r="L1374" i="20"/>
  <c r="L1375" i="20"/>
  <c r="L1376" i="20"/>
  <c r="L1377" i="20"/>
  <c r="L1378" i="20"/>
  <c r="L1379" i="20"/>
  <c r="L1380" i="20"/>
  <c r="L1381" i="20"/>
  <c r="L1382" i="20"/>
  <c r="L1383" i="20"/>
  <c r="L1384" i="20"/>
  <c r="L1385" i="20"/>
  <c r="L1386" i="20"/>
  <c r="L1387" i="20"/>
  <c r="L1388" i="20"/>
  <c r="L1389" i="20"/>
  <c r="L1390" i="20"/>
  <c r="L1391" i="20"/>
  <c r="L1392" i="20"/>
  <c r="L1393" i="20"/>
  <c r="L1394" i="20"/>
  <c r="L1395" i="20"/>
  <c r="L1396" i="20"/>
  <c r="L1397" i="20"/>
  <c r="L1398" i="20"/>
  <c r="L1399" i="20"/>
  <c r="L1400" i="20"/>
  <c r="L1401" i="20"/>
  <c r="L1402" i="20"/>
  <c r="L1403" i="20"/>
  <c r="L1404" i="20"/>
  <c r="L1405" i="20"/>
  <c r="L1406" i="20"/>
  <c r="L1407" i="20"/>
  <c r="L1408" i="20"/>
  <c r="L1409" i="20"/>
  <c r="L1410" i="20"/>
  <c r="L1411" i="20"/>
  <c r="L1412" i="20"/>
  <c r="L1413" i="20"/>
  <c r="L1414" i="20"/>
  <c r="L1415" i="20"/>
  <c r="L1416" i="20"/>
  <c r="L1417" i="20"/>
  <c r="L1418" i="20"/>
  <c r="L1419" i="20"/>
  <c r="L1420" i="20"/>
  <c r="L1421" i="20"/>
  <c r="L1422" i="20"/>
  <c r="L1423" i="20"/>
  <c r="L1424" i="20"/>
  <c r="L1425" i="20"/>
  <c r="L1426" i="20"/>
  <c r="L1427" i="20"/>
  <c r="L1428" i="20"/>
  <c r="L1429" i="20"/>
  <c r="L1430" i="20"/>
  <c r="L1431" i="20"/>
  <c r="L1432" i="20"/>
  <c r="L1433" i="20"/>
  <c r="L1434" i="20"/>
  <c r="L1435" i="20"/>
  <c r="L1436" i="20"/>
  <c r="L1437" i="20"/>
  <c r="L1438" i="20"/>
  <c r="L1439" i="20"/>
  <c r="L1440" i="20"/>
  <c r="L1441" i="20"/>
  <c r="L1442" i="20"/>
  <c r="L1443" i="20"/>
  <c r="L1444" i="20"/>
  <c r="L1445" i="20"/>
  <c r="L1446" i="20"/>
  <c r="L1447" i="20"/>
  <c r="L1448" i="20"/>
  <c r="L1449" i="20"/>
  <c r="L1450" i="20"/>
  <c r="L1451" i="20"/>
  <c r="L1452" i="20"/>
  <c r="L1453" i="20"/>
  <c r="L1454" i="20"/>
  <c r="L1455" i="20"/>
  <c r="L1456" i="20"/>
  <c r="L1457" i="20"/>
  <c r="L1458" i="20"/>
  <c r="L1459" i="20"/>
  <c r="L1460" i="20"/>
  <c r="L1461" i="20"/>
  <c r="L1462" i="20"/>
  <c r="L1463" i="20"/>
  <c r="L1464" i="20"/>
  <c r="L1465" i="20"/>
  <c r="L1466" i="20"/>
  <c r="L1467" i="20"/>
  <c r="L1468" i="20"/>
  <c r="L1469" i="20"/>
  <c r="L1470" i="20"/>
  <c r="L1471" i="20"/>
  <c r="L1472" i="20"/>
  <c r="L1473" i="20"/>
  <c r="L1474" i="20"/>
  <c r="L1475" i="20"/>
  <c r="L1476" i="20"/>
  <c r="L1477" i="20"/>
  <c r="L1478" i="20"/>
  <c r="L1479" i="20"/>
  <c r="L1480" i="20"/>
  <c r="L1481" i="20"/>
  <c r="L1482" i="20"/>
  <c r="L1483" i="20"/>
  <c r="L1484" i="20"/>
  <c r="L1485" i="20"/>
  <c r="L1486" i="20"/>
  <c r="L1487" i="20"/>
  <c r="L1488" i="20"/>
  <c r="L1489" i="20"/>
  <c r="L1490" i="20"/>
  <c r="L1491" i="20"/>
  <c r="L1492" i="20"/>
  <c r="L1493" i="20"/>
  <c r="L1494" i="20"/>
  <c r="L1495" i="20"/>
  <c r="L1496" i="20"/>
  <c r="L1497" i="20"/>
  <c r="L1498" i="20"/>
  <c r="L1499" i="20"/>
  <c r="L1500" i="20"/>
  <c r="L1501" i="20"/>
  <c r="L1502" i="20"/>
  <c r="L1503" i="20"/>
  <c r="L1504" i="20"/>
  <c r="L1505" i="20"/>
  <c r="L1506" i="20"/>
  <c r="L1507" i="20"/>
  <c r="L1508" i="20"/>
  <c r="L1509" i="20"/>
  <c r="L1510" i="20"/>
  <c r="L1511" i="20"/>
  <c r="L1512" i="20"/>
  <c r="L1513" i="20"/>
  <c r="L1514" i="20"/>
  <c r="L1515" i="20"/>
  <c r="L1516" i="20"/>
  <c r="L1517" i="20"/>
  <c r="L1518" i="20"/>
  <c r="L1519" i="20"/>
  <c r="L1520" i="20"/>
  <c r="L1521" i="20"/>
  <c r="L1522" i="20"/>
  <c r="L1523" i="20"/>
  <c r="L1524" i="20"/>
  <c r="L1525" i="20"/>
  <c r="L1526" i="20"/>
  <c r="L1527" i="20"/>
  <c r="L1528" i="20"/>
  <c r="L1529" i="20"/>
  <c r="L1530" i="20"/>
  <c r="L1531" i="20"/>
  <c r="L1532" i="20"/>
  <c r="L1533" i="20"/>
  <c r="L1534" i="20"/>
  <c r="L1535" i="20"/>
  <c r="L1536" i="20"/>
  <c r="L1537" i="20"/>
  <c r="L1538" i="20"/>
  <c r="L1539" i="20"/>
  <c r="L1540" i="20"/>
  <c r="L1541" i="20"/>
  <c r="L1542" i="20"/>
  <c r="L1543" i="20"/>
  <c r="L1544" i="20"/>
  <c r="L1545" i="20"/>
  <c r="L1546" i="20"/>
  <c r="L1547" i="20"/>
  <c r="L1548" i="20"/>
  <c r="L1549" i="20"/>
  <c r="L1550" i="20"/>
  <c r="L1551" i="20"/>
  <c r="L1552" i="20"/>
  <c r="L1553" i="20"/>
  <c r="L1554" i="20"/>
  <c r="L1555" i="20"/>
  <c r="L1556" i="20"/>
  <c r="L1557" i="20"/>
  <c r="L1558" i="20"/>
  <c r="L1559" i="20"/>
  <c r="L1560" i="20"/>
  <c r="L1561" i="20"/>
  <c r="L1562" i="20"/>
  <c r="L1563" i="20"/>
  <c r="L1564" i="20"/>
  <c r="L1565" i="20"/>
  <c r="L1566" i="20"/>
  <c r="L1567" i="20"/>
  <c r="L1568" i="20"/>
  <c r="L1569" i="20"/>
  <c r="L1570" i="20"/>
  <c r="L1571" i="20"/>
  <c r="L1572" i="20"/>
  <c r="L1573" i="20"/>
  <c r="L1574" i="20"/>
  <c r="L1575" i="20"/>
  <c r="L1576" i="20"/>
  <c r="L1577" i="20"/>
  <c r="L1578" i="20"/>
  <c r="L1579" i="20"/>
  <c r="L1580" i="20"/>
  <c r="L1581" i="20"/>
  <c r="L1582" i="20"/>
  <c r="L1583" i="20"/>
  <c r="L1584" i="20"/>
  <c r="L1585" i="20"/>
  <c r="L1586" i="20"/>
  <c r="L1587" i="20"/>
  <c r="L1588" i="20"/>
  <c r="L1589" i="20"/>
  <c r="L1590" i="20"/>
  <c r="L1591" i="20"/>
  <c r="L1592" i="20"/>
  <c r="L1593" i="20"/>
  <c r="L1594" i="20"/>
  <c r="L1595" i="20"/>
  <c r="L1596" i="20"/>
  <c r="L1597" i="20"/>
  <c r="L1598" i="20"/>
  <c r="L1599" i="20"/>
  <c r="L1600" i="20"/>
  <c r="L1601" i="20"/>
  <c r="L1602" i="20"/>
  <c r="L1603" i="20"/>
  <c r="L1604" i="20"/>
  <c r="L1605" i="20"/>
  <c r="L1606" i="20"/>
  <c r="L1607" i="20"/>
  <c r="L1608" i="20"/>
  <c r="L1609" i="20"/>
  <c r="L1610" i="20"/>
  <c r="L1611" i="20"/>
  <c r="L1612" i="20"/>
  <c r="L1613" i="20"/>
  <c r="L1614" i="20"/>
  <c r="L1615" i="20"/>
  <c r="L1616" i="20"/>
  <c r="L1617" i="20"/>
  <c r="L1618" i="20"/>
  <c r="L1619" i="20"/>
  <c r="L1620" i="20"/>
  <c r="L1621" i="20"/>
  <c r="L1622" i="20"/>
  <c r="L1623" i="20"/>
  <c r="L1624" i="20"/>
  <c r="L1625" i="20"/>
  <c r="L1626" i="20"/>
  <c r="L1627" i="20"/>
  <c r="L1628" i="20"/>
  <c r="L1629" i="20"/>
  <c r="L1630" i="20"/>
  <c r="L1631" i="20"/>
  <c r="L1632" i="20"/>
  <c r="L1633" i="20"/>
  <c r="L1634" i="20"/>
  <c r="L1635" i="20"/>
  <c r="L1636" i="20"/>
  <c r="L1637" i="20"/>
  <c r="L1638" i="20"/>
  <c r="L1639" i="20"/>
  <c r="L1640" i="20"/>
  <c r="L1641" i="20"/>
  <c r="L1642" i="20"/>
  <c r="L1643" i="20"/>
  <c r="L1644" i="20"/>
  <c r="L1645" i="20"/>
  <c r="L1646" i="20"/>
  <c r="L1647" i="20"/>
  <c r="L1648" i="20"/>
  <c r="L1649" i="20"/>
  <c r="L1650" i="20"/>
  <c r="L1651" i="20"/>
  <c r="L1652" i="20"/>
  <c r="L1653" i="20"/>
  <c r="L1654" i="20"/>
  <c r="L1655" i="20"/>
  <c r="L1656" i="20"/>
  <c r="L1657" i="20"/>
  <c r="L1658" i="20"/>
  <c r="L1659" i="20"/>
  <c r="L1660" i="20"/>
  <c r="L1661" i="20"/>
  <c r="L1662" i="20"/>
  <c r="L1663" i="20"/>
  <c r="L1664" i="20"/>
  <c r="L1665" i="20"/>
  <c r="L1666" i="20"/>
  <c r="L1667" i="20"/>
  <c r="L1668" i="20"/>
  <c r="L1669" i="20"/>
  <c r="L1670" i="20"/>
  <c r="L1671" i="20"/>
  <c r="L1672" i="20"/>
  <c r="L1673" i="20"/>
  <c r="L1674" i="20"/>
  <c r="L1675" i="20"/>
  <c r="L1676" i="20"/>
  <c r="L1677" i="20"/>
  <c r="L1678" i="20"/>
  <c r="L1679" i="20"/>
  <c r="L1680" i="20"/>
  <c r="L1681" i="20"/>
  <c r="L1682" i="20"/>
  <c r="L1683" i="20"/>
  <c r="L1684" i="20"/>
  <c r="L1685" i="20"/>
  <c r="L1686" i="20"/>
  <c r="L1687" i="20"/>
  <c r="L1688" i="20"/>
  <c r="L1689" i="20"/>
  <c r="L1690" i="20"/>
  <c r="L1691" i="20"/>
  <c r="L1692" i="20"/>
  <c r="L1693" i="20"/>
  <c r="L1694" i="20"/>
  <c r="L1695" i="20"/>
  <c r="L1696" i="20"/>
  <c r="L1697" i="20"/>
  <c r="L1698" i="20"/>
  <c r="L1699" i="20"/>
  <c r="L1700" i="20"/>
  <c r="L1701" i="20"/>
  <c r="L1702" i="20"/>
  <c r="L1703" i="20"/>
  <c r="L1704" i="20"/>
  <c r="L1705" i="20"/>
  <c r="L1706" i="20"/>
  <c r="L1707" i="20"/>
  <c r="L1708" i="20"/>
  <c r="L1709" i="20"/>
  <c r="L1710" i="20"/>
  <c r="L1711" i="20"/>
  <c r="L1712" i="20"/>
  <c r="L1713" i="20"/>
  <c r="L1714" i="20"/>
  <c r="L1715" i="20"/>
  <c r="L1716" i="20"/>
  <c r="L1717" i="20"/>
  <c r="L1718" i="20"/>
  <c r="L1719" i="20"/>
  <c r="L1720" i="20"/>
  <c r="L1721" i="20"/>
  <c r="L1722" i="20"/>
  <c r="L1723" i="20"/>
  <c r="L1724" i="20"/>
  <c r="L1725" i="20"/>
  <c r="L1726" i="20"/>
  <c r="L1727" i="20"/>
  <c r="L1728" i="20"/>
  <c r="L1729" i="20"/>
  <c r="L1730" i="20"/>
  <c r="L1731" i="20"/>
  <c r="L1732" i="20"/>
  <c r="L1733" i="20"/>
  <c r="L1734" i="20"/>
  <c r="L1735" i="20"/>
  <c r="L1736" i="20"/>
  <c r="L1737" i="20"/>
  <c r="L1738" i="20"/>
  <c r="L1739" i="20"/>
  <c r="L1740" i="20"/>
  <c r="L1741" i="20"/>
  <c r="L1742" i="20"/>
  <c r="L1743" i="20"/>
  <c r="L1744" i="20"/>
  <c r="L1745" i="20"/>
  <c r="L1746" i="20"/>
  <c r="L1747" i="20"/>
  <c r="L1748" i="20"/>
  <c r="L1749" i="20"/>
  <c r="L1750" i="20"/>
  <c r="L1751" i="20"/>
  <c r="L1752" i="20"/>
  <c r="L1753" i="20"/>
  <c r="L1754" i="20"/>
  <c r="L1755" i="20"/>
  <c r="L1756" i="20"/>
  <c r="L1757" i="20"/>
  <c r="L1758" i="20"/>
  <c r="L1759" i="20"/>
  <c r="L1760" i="20"/>
  <c r="L1761" i="20"/>
  <c r="L1762" i="20"/>
  <c r="L1763" i="20"/>
  <c r="L1764" i="20"/>
  <c r="L1765" i="20"/>
  <c r="L1766" i="20"/>
  <c r="L1767" i="20"/>
  <c r="L1768" i="20"/>
  <c r="L1769" i="20"/>
  <c r="L1770" i="20"/>
  <c r="L1771" i="20"/>
  <c r="L1772" i="20"/>
  <c r="L1773" i="20"/>
  <c r="L1774" i="20"/>
  <c r="L1775" i="20"/>
  <c r="L1776" i="20"/>
  <c r="L1777" i="20"/>
  <c r="L1778" i="20"/>
  <c r="L1779" i="20"/>
  <c r="L1780" i="20"/>
  <c r="L1781" i="20"/>
  <c r="L1782" i="20"/>
  <c r="L1783" i="20"/>
  <c r="L1784" i="20"/>
  <c r="L1785" i="20"/>
  <c r="L1786" i="20"/>
  <c r="L1787" i="20"/>
  <c r="L1788" i="20"/>
  <c r="L1789" i="20"/>
  <c r="L1790" i="20"/>
  <c r="L1791" i="20"/>
  <c r="L1792" i="20"/>
  <c r="L1793" i="20"/>
  <c r="L1794" i="20"/>
  <c r="L1795" i="20"/>
  <c r="L1796" i="20"/>
  <c r="L1797" i="20"/>
  <c r="L1798" i="20"/>
  <c r="L1799" i="20"/>
  <c r="L1800" i="20"/>
  <c r="L1801" i="20"/>
  <c r="L1802" i="20"/>
  <c r="L1803" i="20"/>
  <c r="L1804" i="20"/>
  <c r="L1805" i="20"/>
  <c r="L1806" i="20"/>
  <c r="L1807" i="20"/>
  <c r="L1808" i="20"/>
  <c r="L1809" i="20"/>
  <c r="L1810" i="20"/>
  <c r="L1811" i="20"/>
  <c r="L1812" i="20"/>
  <c r="L1813" i="20"/>
  <c r="L1814" i="20"/>
  <c r="L1815" i="20"/>
  <c r="L1816" i="20"/>
  <c r="L1817" i="20"/>
  <c r="L1818" i="20"/>
  <c r="L1819" i="20"/>
  <c r="L1820" i="20"/>
  <c r="L1821" i="20"/>
  <c r="L1822" i="20"/>
  <c r="L1823" i="20"/>
  <c r="L1824" i="20"/>
  <c r="L1825" i="20"/>
  <c r="L1826" i="20"/>
  <c r="L1827" i="20"/>
  <c r="L1828" i="20"/>
  <c r="L1829" i="20"/>
  <c r="L1830" i="20"/>
  <c r="L1831" i="20"/>
  <c r="L1832" i="20"/>
  <c r="L1833" i="20"/>
  <c r="L1834" i="20"/>
  <c r="L1835" i="20"/>
  <c r="L1836" i="20"/>
  <c r="L1837" i="20"/>
  <c r="L1838" i="20"/>
  <c r="L1839" i="20"/>
  <c r="L1840" i="20"/>
  <c r="L1841" i="20"/>
  <c r="L1842" i="20"/>
  <c r="L1843" i="20"/>
  <c r="L1844" i="20"/>
  <c r="L1845" i="20"/>
  <c r="L1846" i="20"/>
  <c r="L1847" i="20"/>
  <c r="L1848" i="20"/>
  <c r="L1849" i="20"/>
  <c r="L1850" i="20"/>
  <c r="L1851" i="20"/>
  <c r="L1852" i="20"/>
  <c r="L1853" i="20"/>
  <c r="L1854" i="20"/>
  <c r="L1855" i="20"/>
  <c r="L1856" i="20"/>
  <c r="L1857" i="20"/>
  <c r="L1858" i="20"/>
  <c r="L1859" i="20"/>
  <c r="L1860" i="20"/>
  <c r="L1861" i="20"/>
  <c r="L1862" i="20"/>
  <c r="L1863" i="20"/>
  <c r="L1864" i="20"/>
  <c r="L1865" i="20"/>
  <c r="L1866" i="20"/>
  <c r="L1867" i="20"/>
  <c r="L1868" i="20"/>
  <c r="L1869" i="20"/>
  <c r="L1870" i="20"/>
  <c r="L1871" i="20"/>
  <c r="L1872" i="20"/>
  <c r="L1873" i="20"/>
  <c r="L1874" i="20"/>
  <c r="L1875" i="20"/>
  <c r="L1876" i="20"/>
  <c r="L1877" i="20"/>
  <c r="L1878" i="20"/>
  <c r="L1879" i="20"/>
  <c r="L1880" i="20"/>
  <c r="L1881" i="20"/>
  <c r="L1882" i="20"/>
  <c r="L1883" i="20"/>
  <c r="L1884" i="20"/>
  <c r="L1885" i="20"/>
  <c r="L1886" i="20"/>
  <c r="L1887" i="20"/>
  <c r="L1888" i="20"/>
  <c r="L1889" i="20"/>
  <c r="L1890" i="20"/>
  <c r="L1891" i="20"/>
  <c r="L1892" i="20"/>
  <c r="L1893" i="20"/>
  <c r="L1894" i="20"/>
  <c r="L1895" i="20"/>
  <c r="L1896" i="20"/>
  <c r="L1897" i="20"/>
  <c r="L1898" i="20"/>
  <c r="L1899" i="20"/>
  <c r="L1900" i="20"/>
  <c r="L1901" i="20"/>
  <c r="L1902" i="20"/>
  <c r="L1903" i="20"/>
  <c r="L1904" i="20"/>
  <c r="L1905" i="20"/>
  <c r="L1906" i="20"/>
  <c r="L1907" i="20"/>
  <c r="L1908" i="20"/>
  <c r="L1909" i="20"/>
  <c r="L1910" i="20"/>
  <c r="L1911" i="20"/>
  <c r="L1912" i="20"/>
  <c r="L1913" i="20"/>
  <c r="L1914" i="20"/>
  <c r="L1915" i="20"/>
  <c r="L1916" i="20"/>
  <c r="L1917" i="20"/>
  <c r="L1918" i="20"/>
  <c r="L1919" i="20"/>
  <c r="L1920" i="20"/>
  <c r="L1921" i="20"/>
  <c r="L1922" i="20"/>
  <c r="L1923" i="20"/>
  <c r="L1924" i="20"/>
  <c r="L1925" i="20"/>
  <c r="L1926" i="20"/>
  <c r="L1927" i="20"/>
  <c r="L1928" i="20"/>
  <c r="L1929" i="20"/>
  <c r="L1930" i="20"/>
  <c r="L1931" i="20"/>
  <c r="L1932" i="20"/>
  <c r="L1933" i="20"/>
  <c r="L1934" i="20"/>
  <c r="L1935" i="20"/>
  <c r="L1936" i="20"/>
  <c r="L1937" i="20"/>
  <c r="L1938" i="20"/>
  <c r="L1939" i="20"/>
  <c r="L1940" i="20"/>
  <c r="L1941" i="20"/>
  <c r="L1942" i="20"/>
  <c r="L1943" i="20"/>
  <c r="L1944" i="20"/>
  <c r="L1945" i="20"/>
  <c r="L1946" i="20"/>
  <c r="L1947" i="20"/>
  <c r="L1948" i="20"/>
  <c r="L1949" i="20"/>
  <c r="L1950" i="20"/>
  <c r="L1951" i="20"/>
  <c r="L1952" i="20"/>
  <c r="L1953" i="20"/>
  <c r="L1954" i="20"/>
  <c r="L1955" i="20"/>
  <c r="L1956" i="20"/>
  <c r="L1957" i="20"/>
  <c r="L1958" i="20"/>
  <c r="L1959" i="20"/>
  <c r="L1960" i="20"/>
  <c r="L1961" i="20"/>
  <c r="L1962" i="20"/>
  <c r="L1963" i="20"/>
  <c r="L1964" i="20"/>
  <c r="L1965" i="20"/>
  <c r="L1966" i="20"/>
  <c r="L1967" i="20"/>
  <c r="L1968" i="20"/>
  <c r="L1969" i="20"/>
  <c r="L1970" i="20"/>
  <c r="L1971" i="20"/>
  <c r="L1972" i="20"/>
  <c r="L1973" i="20"/>
  <c r="L1974" i="20"/>
  <c r="L1975" i="20"/>
  <c r="L1976" i="20"/>
  <c r="L1977" i="20"/>
  <c r="L1978" i="20"/>
  <c r="L1979" i="20"/>
  <c r="L1980" i="20"/>
  <c r="L1981" i="20"/>
  <c r="L1982" i="20"/>
  <c r="L1983" i="20"/>
  <c r="L1984" i="20"/>
  <c r="L1985" i="20"/>
  <c r="L1986" i="20"/>
  <c r="L1987" i="20"/>
  <c r="L1988" i="20"/>
  <c r="L1989" i="20"/>
  <c r="L1990" i="20"/>
  <c r="L1991" i="20"/>
  <c r="L1992" i="20"/>
  <c r="L1993" i="20"/>
  <c r="L1994" i="20"/>
  <c r="L1995" i="20"/>
  <c r="L1996" i="20"/>
  <c r="L1997" i="20"/>
  <c r="L1998" i="20"/>
  <c r="L1999" i="20"/>
  <c r="L2000" i="20"/>
  <c r="L2001" i="20"/>
  <c r="L2002" i="20"/>
  <c r="L2003" i="20"/>
  <c r="L2004" i="20"/>
  <c r="L2005" i="20"/>
  <c r="L2006" i="20"/>
  <c r="L2007" i="20"/>
  <c r="L2008" i="20"/>
  <c r="L2009" i="20"/>
  <c r="L2010" i="20"/>
  <c r="L2011" i="20"/>
  <c r="L2012" i="20"/>
  <c r="L2013" i="20"/>
  <c r="L2014" i="20"/>
  <c r="L2015" i="20"/>
  <c r="L2016" i="20"/>
  <c r="L2017" i="20"/>
  <c r="L2018" i="20"/>
  <c r="L2019" i="20"/>
  <c r="L2020" i="20"/>
  <c r="L2021" i="20"/>
  <c r="L2022" i="20"/>
  <c r="L2023" i="20"/>
  <c r="L2024" i="20"/>
  <c r="L2025" i="20"/>
  <c r="L2026" i="20"/>
  <c r="L2027" i="20"/>
  <c r="L2028" i="20"/>
  <c r="L2029" i="20"/>
  <c r="L2030" i="20"/>
  <c r="L2031" i="20"/>
  <c r="L2032" i="20"/>
  <c r="L2033" i="20"/>
  <c r="L2034" i="20"/>
  <c r="L2035" i="20"/>
  <c r="L2036" i="20"/>
  <c r="L2037" i="20"/>
  <c r="L2038" i="20"/>
  <c r="L2039" i="20"/>
  <c r="L2040" i="20"/>
  <c r="L2041" i="20"/>
  <c r="L2042" i="20"/>
  <c r="L2043" i="20"/>
  <c r="L2044" i="20"/>
  <c r="L2045" i="20"/>
  <c r="L2046" i="20"/>
  <c r="L2047" i="20"/>
  <c r="L2048" i="20"/>
  <c r="L2049" i="20"/>
  <c r="L2050" i="20"/>
  <c r="L2051" i="20"/>
  <c r="L2052" i="20"/>
  <c r="L2053" i="20"/>
  <c r="L2054" i="20"/>
  <c r="L2055" i="20"/>
  <c r="L2056" i="20"/>
  <c r="L2057" i="20"/>
  <c r="L2058" i="20"/>
  <c r="L2059" i="20"/>
  <c r="L2060" i="20"/>
  <c r="L2061" i="20"/>
  <c r="L2062" i="20"/>
  <c r="L2063" i="20"/>
  <c r="L2064" i="20"/>
  <c r="L2065" i="20"/>
  <c r="L2066" i="20"/>
  <c r="L2067" i="20"/>
  <c r="L2068" i="20"/>
  <c r="L2069" i="20"/>
  <c r="L2070" i="20"/>
  <c r="L2071" i="20"/>
  <c r="L2072" i="20"/>
  <c r="L2073" i="20"/>
  <c r="L2074" i="20"/>
  <c r="L2075" i="20"/>
  <c r="L2076" i="20"/>
  <c r="L2077" i="20"/>
  <c r="L2078" i="20"/>
  <c r="L2079" i="20"/>
  <c r="L2080" i="20"/>
  <c r="L2081" i="20"/>
  <c r="L2082" i="20"/>
  <c r="L2083" i="20"/>
  <c r="L2084" i="20"/>
  <c r="L2085" i="20"/>
  <c r="L2086" i="20"/>
  <c r="L2087" i="20"/>
  <c r="L2088" i="20"/>
  <c r="L2089" i="20"/>
  <c r="L2090" i="20"/>
  <c r="L2091" i="20"/>
  <c r="L2092" i="20"/>
  <c r="L2093" i="20"/>
  <c r="L2094" i="20"/>
  <c r="L2095" i="20"/>
  <c r="L2096" i="20"/>
  <c r="L2097" i="20"/>
  <c r="L2098" i="20"/>
  <c r="L2099" i="20"/>
  <c r="L2100" i="20"/>
  <c r="L2101" i="20"/>
  <c r="L80" i="20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475" i="19"/>
  <c r="L476" i="19"/>
  <c r="L477" i="19"/>
  <c r="L478" i="19"/>
  <c r="L479" i="19"/>
  <c r="L480" i="19"/>
  <c r="L481" i="19"/>
  <c r="L482" i="19"/>
  <c r="L483" i="19"/>
  <c r="L484" i="19"/>
  <c r="L485" i="19"/>
  <c r="L486" i="19"/>
  <c r="L487" i="19"/>
  <c r="L488" i="19"/>
  <c r="L489" i="19"/>
  <c r="L490" i="19"/>
  <c r="L491" i="19"/>
  <c r="L492" i="19"/>
  <c r="L493" i="19"/>
  <c r="L494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509" i="19"/>
  <c r="L510" i="19"/>
  <c r="L511" i="19"/>
  <c r="L512" i="19"/>
  <c r="L513" i="19"/>
  <c r="L514" i="19"/>
  <c r="L515" i="19"/>
  <c r="L516" i="19"/>
  <c r="L517" i="19"/>
  <c r="L518" i="19"/>
  <c r="L519" i="19"/>
  <c r="L520" i="19"/>
  <c r="L521" i="19"/>
  <c r="L522" i="19"/>
  <c r="L523" i="19"/>
  <c r="L524" i="19"/>
  <c r="L525" i="19"/>
  <c r="L526" i="19"/>
  <c r="L527" i="19"/>
  <c r="L528" i="19"/>
  <c r="L529" i="19"/>
  <c r="L530" i="19"/>
  <c r="L531" i="19"/>
  <c r="L532" i="19"/>
  <c r="L533" i="19"/>
  <c r="L534" i="19"/>
  <c r="L535" i="19"/>
  <c r="L536" i="19"/>
  <c r="L537" i="19"/>
  <c r="L538" i="19"/>
  <c r="L539" i="19"/>
  <c r="L540" i="19"/>
  <c r="L541" i="19"/>
  <c r="L542" i="19"/>
  <c r="L543" i="19"/>
  <c r="L544" i="19"/>
  <c r="L545" i="19"/>
  <c r="L546" i="19"/>
  <c r="L547" i="19"/>
  <c r="L548" i="19"/>
  <c r="L549" i="19"/>
  <c r="L550" i="19"/>
  <c r="L551" i="19"/>
  <c r="L552" i="19"/>
  <c r="L553" i="19"/>
  <c r="L554" i="19"/>
  <c r="L555" i="19"/>
  <c r="L556" i="19"/>
  <c r="L557" i="19"/>
  <c r="L558" i="19"/>
  <c r="L559" i="19"/>
  <c r="L560" i="19"/>
  <c r="L561" i="19"/>
  <c r="L562" i="19"/>
  <c r="L563" i="19"/>
  <c r="L564" i="19"/>
  <c r="L565" i="19"/>
  <c r="L566" i="19"/>
  <c r="L567" i="19"/>
  <c r="L568" i="19"/>
  <c r="L569" i="19"/>
  <c r="L570" i="19"/>
  <c r="L571" i="19"/>
  <c r="L572" i="19"/>
  <c r="L573" i="19"/>
  <c r="L574" i="19"/>
  <c r="L575" i="19"/>
  <c r="L576" i="19"/>
  <c r="L577" i="19"/>
  <c r="L578" i="19"/>
  <c r="L579" i="19"/>
  <c r="L580" i="19"/>
  <c r="L581" i="19"/>
  <c r="L582" i="19"/>
  <c r="L583" i="19"/>
  <c r="L584" i="19"/>
  <c r="L585" i="19"/>
  <c r="L586" i="19"/>
  <c r="L587" i="19"/>
  <c r="L588" i="19"/>
  <c r="L589" i="19"/>
  <c r="L590" i="19"/>
  <c r="L591" i="19"/>
  <c r="L592" i="19"/>
  <c r="L593" i="19"/>
  <c r="L594" i="19"/>
  <c r="L595" i="19"/>
  <c r="L596" i="19"/>
  <c r="L597" i="19"/>
  <c r="L598" i="19"/>
  <c r="L599" i="19"/>
  <c r="L600" i="19"/>
  <c r="L601" i="19"/>
  <c r="L602" i="19"/>
  <c r="L603" i="19"/>
  <c r="L604" i="19"/>
  <c r="L605" i="19"/>
  <c r="L606" i="19"/>
  <c r="L607" i="19"/>
  <c r="L608" i="19"/>
  <c r="L609" i="19"/>
  <c r="L610" i="19"/>
  <c r="L611" i="19"/>
  <c r="L612" i="19"/>
  <c r="L613" i="19"/>
  <c r="L614" i="19"/>
  <c r="L615" i="19"/>
  <c r="L616" i="19"/>
  <c r="L617" i="19"/>
  <c r="L618" i="19"/>
  <c r="L619" i="19"/>
  <c r="L620" i="19"/>
  <c r="L621" i="19"/>
  <c r="L622" i="19"/>
  <c r="L623" i="19"/>
  <c r="L624" i="19"/>
  <c r="L625" i="19"/>
  <c r="L626" i="19"/>
  <c r="L627" i="19"/>
  <c r="L628" i="19"/>
  <c r="L629" i="19"/>
  <c r="L630" i="19"/>
  <c r="L631" i="19"/>
  <c r="L632" i="19"/>
  <c r="L633" i="19"/>
  <c r="L634" i="19"/>
  <c r="L635" i="19"/>
  <c r="L636" i="19"/>
  <c r="L637" i="19"/>
  <c r="L638" i="19"/>
  <c r="L639" i="19"/>
  <c r="L640" i="19"/>
  <c r="L641" i="19"/>
  <c r="L642" i="19"/>
  <c r="L643" i="19"/>
  <c r="L644" i="19"/>
  <c r="L645" i="19"/>
  <c r="L646" i="19"/>
  <c r="L647" i="19"/>
  <c r="L648" i="19"/>
  <c r="L649" i="19"/>
  <c r="L650" i="19"/>
  <c r="L651" i="19"/>
  <c r="L652" i="19"/>
  <c r="L653" i="19"/>
  <c r="L654" i="19"/>
  <c r="L655" i="19"/>
  <c r="L656" i="19"/>
  <c r="L657" i="19"/>
  <c r="L658" i="19"/>
  <c r="L659" i="19"/>
  <c r="L660" i="19"/>
  <c r="L661" i="19"/>
  <c r="L662" i="19"/>
  <c r="L663" i="19"/>
  <c r="L664" i="19"/>
  <c r="L665" i="19"/>
  <c r="L666" i="19"/>
  <c r="L667" i="19"/>
  <c r="L668" i="19"/>
  <c r="L669" i="19"/>
  <c r="L670" i="19"/>
  <c r="L671" i="19"/>
  <c r="L672" i="19"/>
  <c r="L673" i="19"/>
  <c r="L674" i="19"/>
  <c r="L675" i="19"/>
  <c r="L676" i="19"/>
  <c r="L677" i="19"/>
  <c r="L678" i="19"/>
  <c r="L679" i="19"/>
  <c r="L680" i="19"/>
  <c r="L681" i="19"/>
  <c r="L682" i="19"/>
  <c r="L683" i="19"/>
  <c r="L684" i="19"/>
  <c r="L685" i="19"/>
  <c r="L686" i="19"/>
  <c r="L687" i="19"/>
  <c r="L688" i="19"/>
  <c r="L689" i="19"/>
  <c r="L690" i="19"/>
  <c r="L691" i="19"/>
  <c r="L692" i="19"/>
  <c r="L693" i="19"/>
  <c r="L694" i="19"/>
  <c r="L695" i="19"/>
  <c r="L696" i="19"/>
  <c r="L697" i="19"/>
  <c r="L698" i="19"/>
  <c r="L699" i="19"/>
  <c r="L700" i="19"/>
  <c r="L701" i="19"/>
  <c r="L702" i="19"/>
  <c r="L703" i="19"/>
  <c r="L704" i="19"/>
  <c r="L705" i="19"/>
  <c r="L706" i="19"/>
  <c r="L707" i="19"/>
  <c r="L708" i="19"/>
  <c r="L709" i="19"/>
  <c r="L710" i="19"/>
  <c r="L711" i="19"/>
  <c r="L712" i="19"/>
  <c r="L713" i="19"/>
  <c r="L714" i="19"/>
  <c r="L715" i="19"/>
  <c r="L716" i="19"/>
  <c r="L717" i="19"/>
  <c r="L718" i="19"/>
  <c r="L719" i="19"/>
  <c r="L720" i="19"/>
  <c r="L721" i="19"/>
  <c r="L722" i="19"/>
  <c r="L723" i="19"/>
  <c r="L724" i="19"/>
  <c r="L725" i="19"/>
  <c r="L726" i="19"/>
  <c r="L727" i="19"/>
  <c r="L728" i="19"/>
  <c r="L729" i="19"/>
  <c r="L730" i="19"/>
  <c r="L731" i="19"/>
  <c r="L732" i="19"/>
  <c r="L733" i="19"/>
  <c r="L734" i="19"/>
  <c r="L735" i="19"/>
  <c r="L736" i="19"/>
  <c r="L737" i="19"/>
  <c r="L738" i="19"/>
  <c r="L739" i="19"/>
  <c r="L740" i="19"/>
  <c r="L741" i="19"/>
  <c r="L742" i="19"/>
  <c r="L743" i="19"/>
  <c r="L744" i="19"/>
  <c r="L745" i="19"/>
  <c r="L746" i="19"/>
  <c r="L747" i="19"/>
  <c r="L748" i="19"/>
  <c r="L749" i="19"/>
  <c r="L750" i="19"/>
  <c r="L751" i="19"/>
  <c r="L752" i="19"/>
  <c r="L753" i="19"/>
  <c r="L754" i="19"/>
  <c r="L755" i="19"/>
  <c r="L756" i="19"/>
  <c r="L757" i="19"/>
  <c r="L758" i="19"/>
  <c r="L759" i="19"/>
  <c r="L760" i="19"/>
  <c r="L761" i="19"/>
  <c r="L762" i="19"/>
  <c r="L763" i="19"/>
  <c r="L764" i="19"/>
  <c r="L765" i="19"/>
  <c r="L766" i="19"/>
  <c r="L767" i="19"/>
  <c r="L768" i="19"/>
  <c r="L769" i="19"/>
  <c r="L770" i="19"/>
  <c r="L771" i="19"/>
  <c r="L772" i="19"/>
  <c r="L773" i="19"/>
  <c r="L774" i="19"/>
  <c r="L775" i="19"/>
  <c r="L776" i="19"/>
  <c r="L777" i="19"/>
  <c r="L778" i="19"/>
  <c r="L779" i="19"/>
  <c r="L780" i="19"/>
  <c r="L781" i="19"/>
  <c r="L782" i="19"/>
  <c r="L783" i="19"/>
  <c r="L784" i="19"/>
  <c r="L785" i="19"/>
  <c r="L786" i="19"/>
  <c r="L787" i="19"/>
  <c r="L788" i="19"/>
  <c r="L789" i="19"/>
  <c r="L790" i="19"/>
  <c r="L791" i="19"/>
  <c r="L792" i="19"/>
  <c r="L793" i="19"/>
  <c r="L794" i="19"/>
  <c r="L795" i="19"/>
  <c r="L796" i="19"/>
  <c r="L797" i="19"/>
  <c r="L798" i="19"/>
  <c r="L799" i="19"/>
  <c r="L800" i="19"/>
  <c r="L801" i="19"/>
  <c r="L802" i="19"/>
  <c r="L803" i="19"/>
  <c r="L804" i="19"/>
  <c r="L805" i="19"/>
  <c r="L806" i="19"/>
  <c r="L807" i="19"/>
  <c r="L808" i="19"/>
  <c r="L809" i="19"/>
  <c r="L810" i="19"/>
  <c r="L811" i="19"/>
  <c r="L812" i="19"/>
  <c r="L813" i="19"/>
  <c r="L814" i="19"/>
  <c r="L815" i="19"/>
  <c r="L816" i="19"/>
  <c r="L817" i="19"/>
  <c r="L818" i="19"/>
  <c r="L819" i="19"/>
  <c r="L820" i="19"/>
  <c r="L821" i="19"/>
  <c r="L822" i="19"/>
  <c r="L823" i="19"/>
  <c r="L824" i="19"/>
  <c r="L825" i="19"/>
  <c r="L826" i="19"/>
  <c r="L827" i="19"/>
  <c r="L828" i="19"/>
  <c r="L829" i="19"/>
  <c r="L830" i="19"/>
  <c r="L831" i="19"/>
  <c r="L832" i="19"/>
  <c r="L833" i="19"/>
  <c r="L834" i="19"/>
  <c r="L835" i="19"/>
  <c r="L836" i="19"/>
  <c r="L837" i="19"/>
  <c r="L838" i="19"/>
  <c r="L839" i="19"/>
  <c r="L840" i="19"/>
  <c r="L841" i="19"/>
  <c r="L842" i="19"/>
  <c r="L843" i="19"/>
  <c r="L844" i="19"/>
  <c r="L845" i="19"/>
  <c r="L846" i="19"/>
  <c r="L847" i="19"/>
  <c r="L848" i="19"/>
  <c r="L849" i="19"/>
  <c r="L850" i="19"/>
  <c r="L851" i="19"/>
  <c r="L852" i="19"/>
  <c r="L853" i="19"/>
  <c r="L854" i="19"/>
  <c r="L855" i="19"/>
  <c r="L856" i="19"/>
  <c r="L857" i="19"/>
  <c r="L858" i="19"/>
  <c r="L859" i="19"/>
  <c r="L860" i="19"/>
  <c r="L861" i="19"/>
  <c r="L862" i="19"/>
  <c r="L863" i="19"/>
  <c r="L864" i="19"/>
  <c r="L865" i="19"/>
  <c r="L866" i="19"/>
  <c r="L867" i="19"/>
  <c r="L868" i="19"/>
  <c r="L869" i="19"/>
  <c r="L870" i="19"/>
  <c r="L871" i="19"/>
  <c r="L872" i="19"/>
  <c r="L873" i="19"/>
  <c r="L874" i="19"/>
  <c r="L875" i="19"/>
  <c r="L876" i="19"/>
  <c r="L877" i="19"/>
  <c r="L878" i="19"/>
  <c r="L879" i="19"/>
  <c r="L880" i="19"/>
  <c r="L881" i="19"/>
  <c r="L882" i="19"/>
  <c r="L883" i="19"/>
  <c r="L884" i="19"/>
  <c r="L885" i="19"/>
  <c r="L886" i="19"/>
  <c r="L887" i="19"/>
  <c r="L888" i="19"/>
  <c r="L889" i="19"/>
  <c r="L890" i="19"/>
  <c r="L891" i="19"/>
  <c r="L892" i="19"/>
  <c r="L893" i="19"/>
  <c r="L894" i="19"/>
  <c r="L895" i="19"/>
  <c r="L896" i="19"/>
  <c r="L897" i="19"/>
  <c r="L898" i="19"/>
  <c r="L899" i="19"/>
  <c r="L900" i="19"/>
  <c r="L901" i="19"/>
  <c r="L902" i="19"/>
  <c r="L903" i="19"/>
  <c r="L904" i="19"/>
  <c r="L905" i="19"/>
  <c r="L906" i="19"/>
  <c r="L907" i="19"/>
  <c r="L908" i="19"/>
  <c r="L909" i="19"/>
  <c r="L910" i="19"/>
  <c r="L911" i="19"/>
  <c r="L912" i="19"/>
  <c r="L913" i="19"/>
  <c r="L914" i="19"/>
  <c r="L915" i="19"/>
  <c r="L916" i="19"/>
  <c r="L917" i="19"/>
  <c r="L918" i="19"/>
  <c r="L919" i="19"/>
  <c r="L920" i="19"/>
  <c r="L921" i="19"/>
  <c r="L922" i="19"/>
  <c r="L923" i="19"/>
  <c r="L924" i="19"/>
  <c r="L925" i="19"/>
  <c r="L926" i="19"/>
  <c r="L927" i="19"/>
  <c r="L928" i="19"/>
  <c r="L929" i="19"/>
  <c r="L930" i="19"/>
  <c r="L931" i="19"/>
  <c r="L932" i="19"/>
  <c r="L933" i="19"/>
  <c r="L934" i="19"/>
  <c r="L935" i="19"/>
  <c r="L936" i="19"/>
  <c r="L937" i="19"/>
  <c r="L938" i="19"/>
  <c r="L939" i="19"/>
  <c r="L940" i="19"/>
  <c r="L941" i="19"/>
  <c r="L942" i="19"/>
  <c r="L943" i="19"/>
  <c r="L944" i="19"/>
  <c r="L945" i="19"/>
  <c r="L946" i="19"/>
  <c r="L947" i="19"/>
  <c r="L948" i="19"/>
  <c r="L949" i="19"/>
  <c r="L950" i="19"/>
  <c r="L951" i="19"/>
  <c r="L952" i="19"/>
  <c r="L953" i="19"/>
  <c r="L954" i="19"/>
  <c r="L955" i="19"/>
  <c r="L956" i="19"/>
  <c r="L957" i="19"/>
  <c r="L958" i="19"/>
  <c r="L959" i="19"/>
  <c r="L960" i="19"/>
  <c r="L961" i="19"/>
  <c r="L962" i="19"/>
  <c r="L963" i="19"/>
  <c r="L964" i="19"/>
  <c r="L965" i="19"/>
  <c r="L966" i="19"/>
  <c r="L967" i="19"/>
  <c r="L968" i="19"/>
  <c r="L969" i="19"/>
  <c r="L970" i="19"/>
  <c r="L971" i="19"/>
  <c r="L972" i="19"/>
  <c r="L973" i="19"/>
  <c r="L974" i="19"/>
  <c r="L975" i="19"/>
  <c r="L976" i="19"/>
  <c r="L977" i="19"/>
  <c r="L978" i="19"/>
  <c r="L979" i="19"/>
  <c r="L980" i="19"/>
  <c r="L981" i="19"/>
  <c r="L982" i="19"/>
  <c r="L983" i="19"/>
  <c r="L984" i="19"/>
  <c r="L985" i="19"/>
  <c r="L986" i="19"/>
  <c r="L987" i="19"/>
  <c r="L988" i="19"/>
  <c r="L989" i="19"/>
  <c r="L990" i="19"/>
  <c r="L991" i="19"/>
  <c r="L992" i="19"/>
  <c r="L993" i="19"/>
  <c r="L994" i="19"/>
  <c r="L995" i="19"/>
  <c r="L996" i="19"/>
  <c r="L997" i="19"/>
  <c r="L998" i="19"/>
  <c r="L999" i="19"/>
  <c r="L1000" i="19"/>
  <c r="L1001" i="19"/>
  <c r="L1002" i="19"/>
  <c r="L1003" i="19"/>
  <c r="L1004" i="19"/>
  <c r="L1005" i="19"/>
  <c r="L1006" i="19"/>
  <c r="L1007" i="19"/>
  <c r="L1008" i="19"/>
  <c r="L1009" i="19"/>
  <c r="L1010" i="19"/>
  <c r="L1011" i="19"/>
  <c r="L1012" i="19"/>
  <c r="L1013" i="19"/>
  <c r="L1014" i="19"/>
  <c r="L1015" i="19"/>
  <c r="L1016" i="19"/>
  <c r="L1017" i="19"/>
  <c r="L1018" i="19"/>
  <c r="L1019" i="19"/>
  <c r="L1020" i="19"/>
  <c r="L1021" i="19"/>
  <c r="L1022" i="19"/>
  <c r="L1023" i="19"/>
  <c r="L1024" i="19"/>
  <c r="L1025" i="19"/>
  <c r="L1026" i="19"/>
  <c r="L1027" i="19"/>
  <c r="L1028" i="19"/>
  <c r="L1029" i="19"/>
  <c r="L1030" i="19"/>
  <c r="L1031" i="19"/>
  <c r="L1032" i="19"/>
  <c r="L1033" i="19"/>
  <c r="L1034" i="19"/>
  <c r="L1035" i="19"/>
  <c r="L1036" i="19"/>
  <c r="L1037" i="19"/>
  <c r="L1038" i="19"/>
  <c r="L1039" i="19"/>
  <c r="L1040" i="19"/>
  <c r="L1041" i="19"/>
  <c r="L1042" i="19"/>
  <c r="L1043" i="19"/>
  <c r="L1044" i="19"/>
  <c r="L1045" i="19"/>
  <c r="L1046" i="19"/>
  <c r="L1047" i="19"/>
  <c r="L1048" i="19"/>
  <c r="L1049" i="19"/>
  <c r="L1050" i="19"/>
  <c r="L1051" i="19"/>
  <c r="L1052" i="19"/>
  <c r="L1053" i="19"/>
  <c r="L1054" i="19"/>
  <c r="L1055" i="19"/>
  <c r="L1056" i="19"/>
  <c r="L1057" i="19"/>
  <c r="L1058" i="19"/>
  <c r="L1059" i="19"/>
  <c r="L1060" i="19"/>
  <c r="L1061" i="19"/>
  <c r="L1062" i="19"/>
  <c r="L1063" i="19"/>
  <c r="L1064" i="19"/>
  <c r="L1065" i="19"/>
  <c r="L1066" i="19"/>
  <c r="L1067" i="19"/>
  <c r="L1068" i="19"/>
  <c r="L1069" i="19"/>
  <c r="L1070" i="19"/>
  <c r="L1071" i="19"/>
  <c r="L1072" i="19"/>
  <c r="L1073" i="19"/>
  <c r="L1074" i="19"/>
  <c r="L1075" i="19"/>
  <c r="L1076" i="19"/>
  <c r="L1077" i="19"/>
  <c r="L1078" i="19"/>
  <c r="L1079" i="19"/>
  <c r="L1080" i="19"/>
  <c r="L1081" i="19"/>
  <c r="L1082" i="19"/>
  <c r="L1083" i="19"/>
  <c r="L1084" i="19"/>
  <c r="L1085" i="19"/>
  <c r="L1086" i="19"/>
  <c r="L1087" i="19"/>
  <c r="L1088" i="19"/>
  <c r="L1089" i="19"/>
  <c r="L1090" i="19"/>
  <c r="L1091" i="19"/>
  <c r="L1092" i="19"/>
  <c r="L1093" i="19"/>
  <c r="L1094" i="19"/>
  <c r="L1095" i="19"/>
  <c r="L1096" i="19"/>
  <c r="L1097" i="19"/>
  <c r="L1098" i="19"/>
  <c r="L1099" i="19"/>
  <c r="L1100" i="19"/>
  <c r="L1101" i="19"/>
  <c r="L1102" i="19"/>
  <c r="L1103" i="19"/>
  <c r="L1104" i="19"/>
  <c r="L1105" i="19"/>
  <c r="L1106" i="19"/>
  <c r="L1107" i="19"/>
  <c r="L1108" i="19"/>
  <c r="L1109" i="19"/>
  <c r="L1110" i="19"/>
  <c r="L1111" i="19"/>
  <c r="L1112" i="19"/>
  <c r="L1113" i="19"/>
  <c r="L1114" i="19"/>
  <c r="L1115" i="19"/>
  <c r="L1116" i="19"/>
  <c r="L1117" i="19"/>
  <c r="L1118" i="19"/>
  <c r="L1119" i="19"/>
  <c r="L1120" i="19"/>
  <c r="L1121" i="19"/>
  <c r="L1122" i="19"/>
  <c r="L1123" i="19"/>
  <c r="L1124" i="19"/>
  <c r="L1125" i="19"/>
  <c r="L1126" i="19"/>
  <c r="L1127" i="19"/>
  <c r="L1128" i="19"/>
  <c r="L1129" i="19"/>
  <c r="L1130" i="19"/>
  <c r="L1131" i="19"/>
  <c r="L1132" i="19"/>
  <c r="L1133" i="19"/>
  <c r="L1134" i="19"/>
  <c r="L1135" i="19"/>
  <c r="L1136" i="19"/>
  <c r="L1137" i="19"/>
  <c r="L1138" i="19"/>
  <c r="L1139" i="19"/>
  <c r="L1140" i="19"/>
  <c r="L1141" i="19"/>
  <c r="L1142" i="19"/>
  <c r="L1143" i="19"/>
  <c r="L1144" i="19"/>
  <c r="L1145" i="19"/>
  <c r="L1146" i="19"/>
  <c r="L1147" i="19"/>
  <c r="L1148" i="19"/>
  <c r="L1149" i="19"/>
  <c r="L1150" i="19"/>
  <c r="L1151" i="19"/>
  <c r="L1152" i="19"/>
  <c r="L1153" i="19"/>
  <c r="L1154" i="19"/>
  <c r="L1155" i="19"/>
  <c r="L1156" i="19"/>
  <c r="L1157" i="19"/>
  <c r="L1158" i="19"/>
  <c r="L1159" i="19"/>
  <c r="L1160" i="19"/>
  <c r="L1161" i="19"/>
  <c r="L1162" i="19"/>
  <c r="L1163" i="19"/>
  <c r="L1164" i="19"/>
  <c r="L1165" i="19"/>
  <c r="L1166" i="19"/>
  <c r="L1167" i="19"/>
  <c r="L1168" i="19"/>
  <c r="L1169" i="19"/>
  <c r="L1170" i="19"/>
  <c r="L1171" i="19"/>
  <c r="L1172" i="19"/>
  <c r="L1173" i="19"/>
  <c r="L1174" i="19"/>
  <c r="L1175" i="19"/>
  <c r="L1176" i="19"/>
  <c r="L1177" i="19"/>
  <c r="L1178" i="19"/>
  <c r="L1179" i="19"/>
  <c r="L1180" i="19"/>
  <c r="L1181" i="19"/>
  <c r="L1182" i="19"/>
  <c r="L1183" i="19"/>
  <c r="L1184" i="19"/>
  <c r="L1185" i="19"/>
  <c r="L1186" i="19"/>
  <c r="L1187" i="19"/>
  <c r="L1188" i="19"/>
  <c r="L1189" i="19"/>
  <c r="L1190" i="19"/>
  <c r="L1191" i="19"/>
  <c r="L1192" i="19"/>
  <c r="L1193" i="19"/>
  <c r="L1194" i="19"/>
  <c r="L1195" i="19"/>
  <c r="L1196" i="19"/>
  <c r="L1197" i="19"/>
  <c r="L1198" i="19"/>
  <c r="L1199" i="19"/>
  <c r="L1200" i="19"/>
  <c r="L1201" i="19"/>
  <c r="L1202" i="19"/>
  <c r="L1203" i="19"/>
  <c r="L1204" i="19"/>
  <c r="L1205" i="19"/>
  <c r="L1206" i="19"/>
  <c r="L1207" i="19"/>
  <c r="L1208" i="19"/>
  <c r="L1209" i="19"/>
  <c r="L1210" i="19"/>
  <c r="L1211" i="19"/>
  <c r="L1212" i="19"/>
  <c r="L1213" i="19"/>
  <c r="L1214" i="19"/>
  <c r="L1215" i="19"/>
  <c r="L1216" i="19"/>
  <c r="L1217" i="19"/>
  <c r="L1218" i="19"/>
  <c r="L1219" i="19"/>
  <c r="L1220" i="19"/>
  <c r="L1221" i="19"/>
  <c r="L1222" i="19"/>
  <c r="L1223" i="19"/>
  <c r="L1224" i="19"/>
  <c r="L1225" i="19"/>
  <c r="L1226" i="19"/>
  <c r="L1227" i="19"/>
  <c r="L1228" i="19"/>
  <c r="L1229" i="19"/>
  <c r="L1230" i="19"/>
  <c r="L1231" i="19"/>
  <c r="L1232" i="19"/>
  <c r="L1233" i="19"/>
  <c r="L1234" i="19"/>
  <c r="L1235" i="19"/>
  <c r="L1236" i="19"/>
  <c r="L1237" i="19"/>
  <c r="L1238" i="19"/>
  <c r="L1239" i="19"/>
  <c r="L1240" i="19"/>
  <c r="L1241" i="19"/>
  <c r="L1242" i="19"/>
  <c r="L1243" i="19"/>
  <c r="L1244" i="19"/>
  <c r="L1245" i="19"/>
  <c r="L1246" i="19"/>
  <c r="L1247" i="19"/>
  <c r="L1248" i="19"/>
  <c r="L1249" i="19"/>
  <c r="L1250" i="19"/>
  <c r="L1251" i="19"/>
  <c r="L1252" i="19"/>
  <c r="L1253" i="19"/>
  <c r="L1254" i="19"/>
  <c r="L1255" i="19"/>
  <c r="L1256" i="19"/>
  <c r="L1257" i="19"/>
  <c r="L1258" i="19"/>
  <c r="L1259" i="19"/>
  <c r="L1260" i="19"/>
  <c r="L1261" i="19"/>
  <c r="L1262" i="19"/>
  <c r="L1263" i="19"/>
  <c r="L1264" i="19"/>
  <c r="L1265" i="19"/>
  <c r="L1266" i="19"/>
  <c r="L1267" i="19"/>
  <c r="L1268" i="19"/>
  <c r="L1269" i="19"/>
  <c r="L1270" i="19"/>
  <c r="L1271" i="19"/>
  <c r="L1272" i="19"/>
  <c r="L1273" i="19"/>
  <c r="L1274" i="19"/>
  <c r="L1275" i="19"/>
  <c r="L1276" i="19"/>
  <c r="L1277" i="19"/>
  <c r="L1278" i="19"/>
  <c r="L1279" i="19"/>
  <c r="L1280" i="19"/>
  <c r="L1281" i="19"/>
  <c r="L1282" i="19"/>
  <c r="L1283" i="19"/>
  <c r="L1284" i="19"/>
  <c r="L1285" i="19"/>
  <c r="L1286" i="19"/>
  <c r="L1287" i="19"/>
  <c r="L1288" i="19"/>
  <c r="L1289" i="19"/>
  <c r="L1290" i="19"/>
  <c r="L1291" i="19"/>
  <c r="L1292" i="19"/>
  <c r="L1293" i="19"/>
  <c r="L1294" i="19"/>
  <c r="L1295" i="19"/>
  <c r="L1296" i="19"/>
  <c r="L1297" i="19"/>
  <c r="L1298" i="19"/>
  <c r="L1299" i="19"/>
  <c r="L1300" i="19"/>
  <c r="L1301" i="19"/>
  <c r="L1302" i="19"/>
  <c r="L1303" i="19"/>
  <c r="L1304" i="19"/>
  <c r="L1305" i="19"/>
  <c r="L1306" i="19"/>
  <c r="L1307" i="19"/>
  <c r="L1308" i="19"/>
  <c r="L1309" i="19"/>
  <c r="L1310" i="19"/>
  <c r="L1311" i="19"/>
  <c r="L1312" i="19"/>
  <c r="L1313" i="19"/>
  <c r="L1314" i="19"/>
  <c r="L1315" i="19"/>
  <c r="L1316" i="19"/>
  <c r="L1317" i="19"/>
  <c r="L1318" i="19"/>
  <c r="L1319" i="19"/>
  <c r="L1320" i="19"/>
  <c r="L1321" i="19"/>
  <c r="L1322" i="19"/>
  <c r="L1323" i="19"/>
  <c r="L1324" i="19"/>
  <c r="L1325" i="19"/>
  <c r="L1326" i="19"/>
  <c r="L1327" i="19"/>
  <c r="L1328" i="19"/>
  <c r="L1329" i="19"/>
  <c r="L1330" i="19"/>
  <c r="L1331" i="19"/>
  <c r="L1332" i="19"/>
  <c r="L1333" i="19"/>
  <c r="L1334" i="19"/>
  <c r="L1335" i="19"/>
  <c r="L1336" i="19"/>
  <c r="L1337" i="19"/>
  <c r="L1338" i="19"/>
  <c r="L1339" i="19"/>
  <c r="L1340" i="19"/>
  <c r="L1341" i="19"/>
  <c r="L1342" i="19"/>
  <c r="L1343" i="19"/>
  <c r="L1344" i="19"/>
  <c r="L1345" i="19"/>
  <c r="L1346" i="19"/>
  <c r="L1347" i="19"/>
  <c r="L1348" i="19"/>
  <c r="L1349" i="19"/>
  <c r="L1350" i="19"/>
  <c r="L1351" i="19"/>
  <c r="L1352" i="19"/>
  <c r="L1353" i="19"/>
  <c r="L1354" i="19"/>
  <c r="L1355" i="19"/>
  <c r="L1356" i="19"/>
  <c r="L1357" i="19"/>
  <c r="L1358" i="19"/>
  <c r="L1359" i="19"/>
  <c r="L1360" i="19"/>
  <c r="L1361" i="19"/>
  <c r="L1362" i="19"/>
  <c r="L1363" i="19"/>
  <c r="L1364" i="19"/>
  <c r="L1365" i="19"/>
  <c r="L1366" i="19"/>
  <c r="L1367" i="19"/>
  <c r="L1368" i="19"/>
  <c r="L1369" i="19"/>
  <c r="L1370" i="19"/>
  <c r="L1371" i="19"/>
  <c r="L1372" i="19"/>
  <c r="L1373" i="19"/>
  <c r="L1374" i="19"/>
  <c r="L1375" i="19"/>
  <c r="L1376" i="19"/>
  <c r="L1377" i="19"/>
  <c r="L1378" i="19"/>
  <c r="L1379" i="19"/>
  <c r="L1380" i="19"/>
  <c r="L1381" i="19"/>
  <c r="L1382" i="19"/>
  <c r="L1383" i="19"/>
  <c r="L1384" i="19"/>
  <c r="L1385" i="19"/>
  <c r="L1386" i="19"/>
  <c r="L1387" i="19"/>
  <c r="L1388" i="19"/>
  <c r="L1389" i="19"/>
  <c r="L1390" i="19"/>
  <c r="L1391" i="19"/>
  <c r="L1392" i="19"/>
  <c r="L1393" i="19"/>
  <c r="L1394" i="19"/>
  <c r="L1395" i="19"/>
  <c r="L1396" i="19"/>
  <c r="L1397" i="19"/>
  <c r="L1398" i="19"/>
  <c r="L1399" i="19"/>
  <c r="L1400" i="19"/>
  <c r="L1401" i="19"/>
  <c r="L1402" i="19"/>
  <c r="L1403" i="19"/>
  <c r="L1404" i="19"/>
  <c r="L1405" i="19"/>
  <c r="L1406" i="19"/>
  <c r="L1407" i="19"/>
  <c r="L1408" i="19"/>
  <c r="L1409" i="19"/>
  <c r="L1410" i="19"/>
  <c r="L1411" i="19"/>
  <c r="L1412" i="19"/>
  <c r="L1413" i="19"/>
  <c r="L1414" i="19"/>
  <c r="L1415" i="19"/>
  <c r="L1416" i="19"/>
  <c r="L1417" i="19"/>
  <c r="L1418" i="19"/>
  <c r="L1419" i="19"/>
  <c r="L1420" i="19"/>
  <c r="L1421" i="19"/>
  <c r="L1422" i="19"/>
  <c r="L1423" i="19"/>
  <c r="L1424" i="19"/>
  <c r="L1425" i="19"/>
  <c r="L1426" i="19"/>
  <c r="L1427" i="19"/>
  <c r="L1428" i="19"/>
  <c r="L1429" i="19"/>
  <c r="L1430" i="19"/>
  <c r="L1431" i="19"/>
  <c r="L1432" i="19"/>
  <c r="L1433" i="19"/>
  <c r="L1434" i="19"/>
  <c r="L1435" i="19"/>
  <c r="L1436" i="19"/>
  <c r="L1437" i="19"/>
  <c r="L1438" i="19"/>
  <c r="L1439" i="19"/>
  <c r="L1440" i="19"/>
  <c r="L1441" i="19"/>
  <c r="L1442" i="19"/>
  <c r="L1443" i="19"/>
  <c r="L1444" i="19"/>
  <c r="L1445" i="19"/>
  <c r="L1446" i="19"/>
  <c r="L1447" i="19"/>
  <c r="L1448" i="19"/>
  <c r="L1449" i="19"/>
  <c r="L1450" i="19"/>
  <c r="L1451" i="19"/>
  <c r="L1452" i="19"/>
  <c r="L1453" i="19"/>
  <c r="L1454" i="19"/>
  <c r="L1455" i="19"/>
  <c r="L1456" i="19"/>
  <c r="L1457" i="19"/>
  <c r="L1458" i="19"/>
  <c r="L1459" i="19"/>
  <c r="L1460" i="19"/>
  <c r="L1461" i="19"/>
  <c r="L1462" i="19"/>
  <c r="L1463" i="19"/>
  <c r="L1464" i="19"/>
  <c r="L1465" i="19"/>
  <c r="L1466" i="19"/>
  <c r="L1467" i="19"/>
  <c r="L1468" i="19"/>
  <c r="L1469" i="19"/>
  <c r="L1470" i="19"/>
  <c r="L1471" i="19"/>
  <c r="L1472" i="19"/>
  <c r="L1473" i="19"/>
  <c r="L1474" i="19"/>
  <c r="L1475" i="19"/>
  <c r="L1476" i="19"/>
  <c r="L1477" i="19"/>
  <c r="L1478" i="19"/>
  <c r="L1479" i="19"/>
  <c r="L1480" i="19"/>
  <c r="L1481" i="19"/>
  <c r="L1482" i="19"/>
  <c r="L1483" i="19"/>
  <c r="L1484" i="19"/>
  <c r="L1485" i="19"/>
  <c r="L1486" i="19"/>
  <c r="L1487" i="19"/>
  <c r="L1488" i="19"/>
  <c r="L1489" i="19"/>
  <c r="L1490" i="19"/>
  <c r="L1491" i="19"/>
  <c r="L1492" i="19"/>
  <c r="L1493" i="19"/>
  <c r="L1494" i="19"/>
  <c r="L1495" i="19"/>
  <c r="L1496" i="19"/>
  <c r="L1497" i="19"/>
  <c r="L1498" i="19"/>
  <c r="L1499" i="19"/>
  <c r="L1500" i="19"/>
  <c r="L1501" i="19"/>
  <c r="L1502" i="19"/>
  <c r="L1503" i="19"/>
  <c r="L1504" i="19"/>
  <c r="L1505" i="19"/>
  <c r="L1506" i="19"/>
  <c r="L1507" i="19"/>
  <c r="L1508" i="19"/>
  <c r="L1509" i="19"/>
  <c r="L1510" i="19"/>
  <c r="L1511" i="19"/>
  <c r="L1512" i="19"/>
  <c r="L1513" i="19"/>
  <c r="L1514" i="19"/>
  <c r="L1515" i="19"/>
  <c r="L1516" i="19"/>
  <c r="L1517" i="19"/>
  <c r="L1518" i="19"/>
  <c r="L1519" i="19"/>
  <c r="L1520" i="19"/>
  <c r="L1521" i="19"/>
  <c r="L1522" i="19"/>
  <c r="L1523" i="19"/>
  <c r="L1524" i="19"/>
  <c r="L1525" i="19"/>
  <c r="L1526" i="19"/>
  <c r="L1527" i="19"/>
  <c r="L1528" i="19"/>
  <c r="L1529" i="19"/>
  <c r="L1530" i="19"/>
  <c r="L1531" i="19"/>
  <c r="L1532" i="19"/>
  <c r="L1533" i="19"/>
  <c r="L1534" i="19"/>
  <c r="L1535" i="19"/>
  <c r="L1536" i="19"/>
  <c r="L1537" i="19"/>
  <c r="L1538" i="19"/>
  <c r="L1539" i="19"/>
  <c r="L1540" i="19"/>
  <c r="L1541" i="19"/>
  <c r="L1542" i="19"/>
  <c r="L1543" i="19"/>
  <c r="L1544" i="19"/>
  <c r="L1545" i="19"/>
  <c r="L1546" i="19"/>
  <c r="L1547" i="19"/>
  <c r="L1548" i="19"/>
  <c r="L1549" i="19"/>
  <c r="L1550" i="19"/>
  <c r="L1551" i="19"/>
  <c r="L1552" i="19"/>
  <c r="L1553" i="19"/>
  <c r="L1554" i="19"/>
  <c r="L1555" i="19"/>
  <c r="L1556" i="19"/>
  <c r="L1557" i="19"/>
  <c r="L1558" i="19"/>
  <c r="L1559" i="19"/>
  <c r="L1560" i="19"/>
  <c r="L1561" i="19"/>
  <c r="L1562" i="19"/>
  <c r="L1563" i="19"/>
  <c r="L1564" i="19"/>
  <c r="L1565" i="19"/>
  <c r="L1566" i="19"/>
  <c r="L1567" i="19"/>
  <c r="L1568" i="19"/>
  <c r="L1569" i="19"/>
  <c r="L1570" i="19"/>
  <c r="L1571" i="19"/>
  <c r="L1572" i="19"/>
  <c r="L1573" i="19"/>
  <c r="L1574" i="19"/>
  <c r="L1575" i="19"/>
  <c r="L1576" i="19"/>
  <c r="L1577" i="19"/>
  <c r="L1578" i="19"/>
  <c r="L1579" i="19"/>
  <c r="L1580" i="19"/>
  <c r="L1581" i="19"/>
  <c r="L1582" i="19"/>
  <c r="L1583" i="19"/>
  <c r="L1584" i="19"/>
  <c r="L1585" i="19"/>
  <c r="L1586" i="19"/>
  <c r="L1587" i="19"/>
  <c r="L1588" i="19"/>
  <c r="L1589" i="19"/>
  <c r="L1590" i="19"/>
  <c r="L1591" i="19"/>
  <c r="L1592" i="19"/>
  <c r="L1593" i="19"/>
  <c r="L1594" i="19"/>
  <c r="L1595" i="19"/>
  <c r="L1596" i="19"/>
  <c r="L1597" i="19"/>
  <c r="L1598" i="19"/>
  <c r="L1599" i="19"/>
  <c r="L1600" i="19"/>
  <c r="L1601" i="19"/>
  <c r="L1602" i="19"/>
  <c r="L1603" i="19"/>
  <c r="L1604" i="19"/>
  <c r="L1605" i="19"/>
  <c r="L1606" i="19"/>
  <c r="L1607" i="19"/>
  <c r="L1608" i="19"/>
  <c r="L1609" i="19"/>
  <c r="L1610" i="19"/>
  <c r="L1611" i="19"/>
  <c r="L1612" i="19"/>
  <c r="L1613" i="19"/>
  <c r="L1614" i="19"/>
  <c r="L1615" i="19"/>
  <c r="L1616" i="19"/>
  <c r="L1617" i="19"/>
  <c r="L1618" i="19"/>
  <c r="L1619" i="19"/>
  <c r="L1620" i="19"/>
  <c r="L1621" i="19"/>
  <c r="L1622" i="19"/>
  <c r="L1623" i="19"/>
  <c r="L1624" i="19"/>
  <c r="L1625" i="19"/>
  <c r="L1626" i="19"/>
  <c r="L1627" i="19"/>
  <c r="L1628" i="19"/>
  <c r="L1629" i="19"/>
  <c r="L1630" i="19"/>
  <c r="L1631" i="19"/>
  <c r="L1632" i="19"/>
  <c r="L1633" i="19"/>
  <c r="L1634" i="19"/>
  <c r="L1635" i="19"/>
  <c r="L1636" i="19"/>
  <c r="L1637" i="19"/>
  <c r="L1638" i="19"/>
  <c r="L1639" i="19"/>
  <c r="L1640" i="19"/>
  <c r="L1641" i="19"/>
  <c r="L1642" i="19"/>
  <c r="L1643" i="19"/>
  <c r="L1644" i="19"/>
  <c r="L1645" i="19"/>
  <c r="L1646" i="19"/>
  <c r="L1647" i="19"/>
  <c r="L1648" i="19"/>
  <c r="L1649" i="19"/>
  <c r="L1650" i="19"/>
  <c r="L1651" i="19"/>
  <c r="L1652" i="19"/>
  <c r="L1653" i="19"/>
  <c r="L1654" i="19"/>
  <c r="L1655" i="19"/>
  <c r="L1656" i="19"/>
  <c r="L1657" i="19"/>
  <c r="L1658" i="19"/>
  <c r="L1659" i="19"/>
  <c r="L1660" i="19"/>
  <c r="L1661" i="19"/>
  <c r="L1662" i="19"/>
  <c r="L1663" i="19"/>
  <c r="L1664" i="19"/>
  <c r="L1665" i="19"/>
  <c r="L1666" i="19"/>
  <c r="L1667" i="19"/>
  <c r="L1668" i="19"/>
  <c r="L1669" i="19"/>
  <c r="L1670" i="19"/>
  <c r="L1671" i="19"/>
  <c r="L1672" i="19"/>
  <c r="L1673" i="19"/>
  <c r="L1674" i="19"/>
  <c r="L1675" i="19"/>
  <c r="L1676" i="19"/>
  <c r="L1677" i="19"/>
  <c r="L1678" i="19"/>
  <c r="L1679" i="19"/>
  <c r="L1680" i="19"/>
  <c r="L1681" i="19"/>
  <c r="L1682" i="19"/>
  <c r="L1683" i="19"/>
  <c r="L1684" i="19"/>
  <c r="L1685" i="19"/>
  <c r="L1686" i="19"/>
  <c r="L1687" i="19"/>
  <c r="L1688" i="19"/>
  <c r="L1689" i="19"/>
  <c r="L1690" i="19"/>
  <c r="L1691" i="19"/>
  <c r="L1692" i="19"/>
  <c r="L1693" i="19"/>
  <c r="L1694" i="19"/>
  <c r="L1695" i="19"/>
  <c r="L1696" i="19"/>
  <c r="L1697" i="19"/>
  <c r="L1698" i="19"/>
  <c r="L1699" i="19"/>
  <c r="L1700" i="19"/>
  <c r="L1701" i="19"/>
  <c r="L1702" i="19"/>
  <c r="L1703" i="19"/>
  <c r="L1704" i="19"/>
  <c r="L1705" i="19"/>
  <c r="L1706" i="19"/>
  <c r="L1707" i="19"/>
  <c r="L1708" i="19"/>
  <c r="L1709" i="19"/>
  <c r="L1710" i="19"/>
  <c r="L1711" i="19"/>
  <c r="L1712" i="19"/>
  <c r="L1713" i="19"/>
  <c r="L1714" i="19"/>
  <c r="L1715" i="19"/>
  <c r="L1716" i="19"/>
  <c r="L1717" i="19"/>
  <c r="L1718" i="19"/>
  <c r="L1719" i="19"/>
  <c r="L1720" i="19"/>
  <c r="L1721" i="19"/>
  <c r="L1722" i="19"/>
  <c r="L1723" i="19"/>
  <c r="L1724" i="19"/>
  <c r="L1725" i="19"/>
  <c r="L1726" i="19"/>
  <c r="L1727" i="19"/>
  <c r="L1728" i="19"/>
  <c r="L1729" i="19"/>
  <c r="L1730" i="19"/>
  <c r="L1731" i="19"/>
  <c r="L1732" i="19"/>
  <c r="L1733" i="19"/>
  <c r="L1734" i="19"/>
  <c r="L1735" i="19"/>
  <c r="L1736" i="19"/>
  <c r="L1737" i="19"/>
  <c r="L1738" i="19"/>
  <c r="L1739" i="19"/>
  <c r="L1740" i="19"/>
  <c r="L1741" i="19"/>
  <c r="L1742" i="19"/>
  <c r="L1743" i="19"/>
  <c r="L1744" i="19"/>
  <c r="L1745" i="19"/>
  <c r="L1746" i="19"/>
  <c r="L1747" i="19"/>
  <c r="L1748" i="19"/>
  <c r="L1749" i="19"/>
  <c r="L1750" i="19"/>
  <c r="L1751" i="19"/>
  <c r="L1752" i="19"/>
  <c r="L1753" i="19"/>
  <c r="L1754" i="19"/>
  <c r="L1755" i="19"/>
  <c r="L1756" i="19"/>
  <c r="L1757" i="19"/>
  <c r="L1758" i="19"/>
  <c r="L1759" i="19"/>
  <c r="L1760" i="19"/>
  <c r="L1761" i="19"/>
  <c r="L1762" i="19"/>
  <c r="L1763" i="19"/>
  <c r="L1764" i="19"/>
  <c r="L1765" i="19"/>
  <c r="L1766" i="19"/>
  <c r="L1767" i="19"/>
  <c r="L1768" i="19"/>
  <c r="L1769" i="19"/>
  <c r="L1770" i="19"/>
  <c r="L1771" i="19"/>
  <c r="L1772" i="19"/>
  <c r="L1773" i="19"/>
  <c r="L1774" i="19"/>
  <c r="L1775" i="19"/>
  <c r="L1776" i="19"/>
  <c r="L1777" i="19"/>
  <c r="L1778" i="19"/>
  <c r="L1779" i="19"/>
  <c r="L1780" i="19"/>
  <c r="L1781" i="19"/>
  <c r="L1782" i="19"/>
  <c r="L1783" i="19"/>
  <c r="L1784" i="19"/>
  <c r="L1785" i="19"/>
  <c r="L1786" i="19"/>
  <c r="L1787" i="19"/>
  <c r="L1788" i="19"/>
  <c r="L1789" i="19"/>
  <c r="L1790" i="19"/>
  <c r="L1791" i="19"/>
  <c r="L1792" i="19"/>
  <c r="L1793" i="19"/>
  <c r="L1794" i="19"/>
  <c r="L1795" i="19"/>
  <c r="L1796" i="19"/>
  <c r="L1797" i="19"/>
  <c r="L1798" i="19"/>
  <c r="L1799" i="19"/>
  <c r="L1800" i="19"/>
  <c r="L1801" i="19"/>
  <c r="L1802" i="19"/>
  <c r="L1803" i="19"/>
  <c r="L1804" i="19"/>
  <c r="L1805" i="19"/>
  <c r="L1806" i="19"/>
  <c r="L1807" i="19"/>
  <c r="L1808" i="19"/>
  <c r="L1809" i="19"/>
  <c r="L1810" i="19"/>
  <c r="L1811" i="19"/>
  <c r="L1812" i="19"/>
  <c r="L1813" i="19"/>
  <c r="L1814" i="19"/>
  <c r="L1815" i="19"/>
  <c r="L1816" i="19"/>
  <c r="L1817" i="19"/>
  <c r="L1818" i="19"/>
  <c r="L1819" i="19"/>
  <c r="L1820" i="19"/>
  <c r="L1821" i="19"/>
  <c r="L1822" i="19"/>
  <c r="L1823" i="19"/>
  <c r="L1824" i="19"/>
  <c r="L1825" i="19"/>
  <c r="L1826" i="19"/>
  <c r="L1827" i="19"/>
  <c r="L1828" i="19"/>
  <c r="L1829" i="19"/>
  <c r="L1830" i="19"/>
  <c r="L1831" i="19"/>
  <c r="L1832" i="19"/>
  <c r="L1833" i="19"/>
  <c r="L1834" i="19"/>
  <c r="L1835" i="19"/>
  <c r="L1836" i="19"/>
  <c r="L1837" i="19"/>
  <c r="L1838" i="19"/>
  <c r="L1839" i="19"/>
  <c r="L1840" i="19"/>
  <c r="L1841" i="19"/>
  <c r="L1842" i="19"/>
  <c r="L1843" i="19"/>
  <c r="L1844" i="19"/>
  <c r="L1845" i="19"/>
  <c r="L1846" i="19"/>
  <c r="L1847" i="19"/>
  <c r="L1848" i="19"/>
  <c r="L1849" i="19"/>
  <c r="L1850" i="19"/>
  <c r="L1851" i="19"/>
  <c r="L1852" i="19"/>
  <c r="L1853" i="19"/>
  <c r="L1854" i="19"/>
  <c r="L1855" i="19"/>
  <c r="L1856" i="19"/>
  <c r="L1857" i="19"/>
  <c r="L1858" i="19"/>
  <c r="L1859" i="19"/>
  <c r="L1860" i="19"/>
  <c r="L1861" i="19"/>
  <c r="L1862" i="19"/>
  <c r="L1863" i="19"/>
  <c r="L1864" i="19"/>
  <c r="L1865" i="19"/>
  <c r="L1866" i="19"/>
  <c r="L1867" i="19"/>
  <c r="L1868" i="19"/>
  <c r="L1869" i="19"/>
  <c r="L1870" i="19"/>
  <c r="L1871" i="19"/>
  <c r="L1872" i="19"/>
  <c r="L1873" i="19"/>
  <c r="L1874" i="19"/>
  <c r="L1875" i="19"/>
  <c r="L1876" i="19"/>
  <c r="L1877" i="19"/>
  <c r="L1878" i="19"/>
  <c r="L1879" i="19"/>
  <c r="L1880" i="19"/>
  <c r="L1881" i="19"/>
  <c r="L1882" i="19"/>
  <c r="L1883" i="19"/>
  <c r="L1884" i="19"/>
  <c r="L1885" i="19"/>
  <c r="L1886" i="19"/>
  <c r="L1887" i="19"/>
  <c r="L1888" i="19"/>
  <c r="L1889" i="19"/>
  <c r="L1890" i="19"/>
  <c r="L1891" i="19"/>
  <c r="L1892" i="19"/>
  <c r="L1893" i="19"/>
  <c r="L1894" i="19"/>
  <c r="L1895" i="19"/>
  <c r="L1896" i="19"/>
  <c r="L1897" i="19"/>
  <c r="L1898" i="19"/>
  <c r="L1899" i="19"/>
  <c r="L1900" i="19"/>
  <c r="L1901" i="19"/>
  <c r="L1902" i="19"/>
  <c r="L1903" i="19"/>
  <c r="L1904" i="19"/>
  <c r="L1905" i="19"/>
  <c r="L1906" i="19"/>
  <c r="L1907" i="19"/>
  <c r="L1908" i="19"/>
  <c r="L1909" i="19"/>
  <c r="L1910" i="19"/>
  <c r="L1911" i="19"/>
  <c r="L1912" i="19"/>
  <c r="L1913" i="19"/>
  <c r="L1914" i="19"/>
  <c r="L1915" i="19"/>
  <c r="L1916" i="19"/>
  <c r="L1917" i="19"/>
  <c r="L1918" i="19"/>
  <c r="L1919" i="19"/>
  <c r="L1920" i="19"/>
  <c r="L1921" i="19"/>
  <c r="L1922" i="19"/>
  <c r="L1923" i="19"/>
  <c r="L1924" i="19"/>
  <c r="L1925" i="19"/>
  <c r="L1926" i="19"/>
  <c r="L1927" i="19"/>
  <c r="L1928" i="19"/>
  <c r="L1929" i="19"/>
  <c r="L1930" i="19"/>
  <c r="L1931" i="19"/>
  <c r="L1932" i="19"/>
  <c r="L1933" i="19"/>
  <c r="L1934" i="19"/>
  <c r="L1935" i="19"/>
  <c r="L1936" i="19"/>
  <c r="L1937" i="19"/>
  <c r="L1938" i="19"/>
  <c r="L1939" i="19"/>
  <c r="L1940" i="19"/>
  <c r="L1941" i="19"/>
  <c r="L1942" i="19"/>
  <c r="L1943" i="19"/>
  <c r="L1944" i="19"/>
  <c r="L1945" i="19"/>
  <c r="L1946" i="19"/>
  <c r="L1947" i="19"/>
  <c r="L1948" i="19"/>
  <c r="L1949" i="19"/>
  <c r="L1950" i="19"/>
  <c r="L1951" i="19"/>
  <c r="L1952" i="19"/>
  <c r="L1953" i="19"/>
  <c r="L1954" i="19"/>
  <c r="L1955" i="19"/>
  <c r="L1956" i="19"/>
  <c r="L1957" i="19"/>
  <c r="L1958" i="19"/>
  <c r="L1959" i="19"/>
  <c r="L1960" i="19"/>
  <c r="L1961" i="19"/>
  <c r="L1962" i="19"/>
  <c r="L1963" i="19"/>
  <c r="L1964" i="19"/>
  <c r="L1965" i="19"/>
  <c r="L1966" i="19"/>
  <c r="L1967" i="19"/>
  <c r="L1968" i="19"/>
  <c r="L1969" i="19"/>
  <c r="L1970" i="19"/>
  <c r="L1971" i="19"/>
  <c r="L1972" i="19"/>
  <c r="L1973" i="19"/>
  <c r="L1974" i="19"/>
  <c r="L1975" i="19"/>
  <c r="L1976" i="19"/>
  <c r="L1977" i="19"/>
  <c r="L1978" i="19"/>
  <c r="L1979" i="19"/>
  <c r="L1980" i="19"/>
  <c r="L1981" i="19"/>
  <c r="L1982" i="19"/>
  <c r="L1983" i="19"/>
  <c r="L1984" i="19"/>
  <c r="L1985" i="19"/>
  <c r="L1986" i="19"/>
  <c r="L1987" i="19"/>
  <c r="L1988" i="19"/>
  <c r="L1989" i="19"/>
  <c r="L1990" i="19"/>
  <c r="L1991" i="19"/>
  <c r="L1992" i="19"/>
  <c r="L1993" i="19"/>
  <c r="L1994" i="19"/>
  <c r="L1995" i="19"/>
  <c r="L1996" i="19"/>
  <c r="L1997" i="19"/>
  <c r="L1998" i="19"/>
  <c r="L1999" i="19"/>
  <c r="L2000" i="19"/>
  <c r="L2001" i="19"/>
  <c r="L2002" i="19"/>
  <c r="L2003" i="19"/>
  <c r="L2004" i="19"/>
  <c r="L2005" i="19"/>
  <c r="L2006" i="19"/>
  <c r="L2007" i="19"/>
  <c r="L2008" i="19"/>
  <c r="L2009" i="19"/>
  <c r="L2010" i="19"/>
  <c r="L2011" i="19"/>
  <c r="L2012" i="19"/>
  <c r="L2013" i="19"/>
  <c r="L2014" i="19"/>
  <c r="L2015" i="19"/>
  <c r="L2016" i="19"/>
  <c r="L2017" i="19"/>
  <c r="L2018" i="19"/>
  <c r="L2019" i="19"/>
  <c r="L2020" i="19"/>
  <c r="L2021" i="19"/>
  <c r="L2022" i="19"/>
  <c r="L2023" i="19"/>
  <c r="L2024" i="19"/>
  <c r="L2025" i="19"/>
  <c r="L2026" i="19"/>
  <c r="L2027" i="19"/>
  <c r="L2028" i="19"/>
  <c r="L2029" i="19"/>
  <c r="L2030" i="19"/>
  <c r="L2031" i="19"/>
  <c r="L2032" i="19"/>
  <c r="L2033" i="19"/>
  <c r="L2034" i="19"/>
  <c r="L2035" i="19"/>
  <c r="L2036" i="19"/>
  <c r="L2037" i="19"/>
  <c r="L2038" i="19"/>
  <c r="L2039" i="19"/>
  <c r="L2040" i="19"/>
  <c r="L2041" i="19"/>
  <c r="L2042" i="19"/>
  <c r="L2043" i="19"/>
  <c r="L2044" i="19"/>
  <c r="L2045" i="19"/>
  <c r="L2046" i="19"/>
  <c r="L2047" i="19"/>
  <c r="L2048" i="19"/>
  <c r="L2049" i="19"/>
  <c r="L2050" i="19"/>
  <c r="L51" i="19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1" i="18"/>
  <c r="L532" i="18"/>
  <c r="L533" i="18"/>
  <c r="L534" i="18"/>
  <c r="L535" i="18"/>
  <c r="L536" i="18"/>
  <c r="L537" i="18"/>
  <c r="L538" i="18"/>
  <c r="L539" i="18"/>
  <c r="L540" i="18"/>
  <c r="L541" i="18"/>
  <c r="L542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58" i="18"/>
  <c r="L559" i="18"/>
  <c r="L560" i="18"/>
  <c r="L561" i="18"/>
  <c r="L562" i="18"/>
  <c r="L563" i="18"/>
  <c r="L564" i="18"/>
  <c r="L565" i="18"/>
  <c r="L566" i="18"/>
  <c r="L567" i="18"/>
  <c r="L568" i="18"/>
  <c r="L569" i="18"/>
  <c r="L570" i="18"/>
  <c r="L571" i="18"/>
  <c r="L572" i="18"/>
  <c r="L573" i="18"/>
  <c r="L574" i="18"/>
  <c r="L575" i="18"/>
  <c r="L576" i="18"/>
  <c r="L577" i="18"/>
  <c r="L578" i="18"/>
  <c r="L579" i="18"/>
  <c r="L580" i="18"/>
  <c r="L581" i="18"/>
  <c r="L582" i="18"/>
  <c r="L583" i="18"/>
  <c r="L584" i="18"/>
  <c r="L585" i="18"/>
  <c r="L586" i="18"/>
  <c r="L587" i="18"/>
  <c r="L588" i="18"/>
  <c r="L589" i="18"/>
  <c r="L590" i="18"/>
  <c r="L591" i="18"/>
  <c r="L592" i="18"/>
  <c r="L593" i="18"/>
  <c r="L594" i="18"/>
  <c r="L595" i="18"/>
  <c r="L596" i="18"/>
  <c r="L597" i="18"/>
  <c r="L598" i="18"/>
  <c r="L599" i="18"/>
  <c r="L600" i="18"/>
  <c r="L601" i="18"/>
  <c r="L602" i="18"/>
  <c r="L603" i="18"/>
  <c r="L604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6" i="18"/>
  <c r="L627" i="18"/>
  <c r="L628" i="18"/>
  <c r="L629" i="18"/>
  <c r="L630" i="18"/>
  <c r="L631" i="18"/>
  <c r="L632" i="18"/>
  <c r="L633" i="18"/>
  <c r="L634" i="18"/>
  <c r="L635" i="18"/>
  <c r="L636" i="18"/>
  <c r="L637" i="18"/>
  <c r="L638" i="18"/>
  <c r="L639" i="18"/>
  <c r="L640" i="18"/>
  <c r="L641" i="18"/>
  <c r="L642" i="18"/>
  <c r="L643" i="18"/>
  <c r="L644" i="18"/>
  <c r="L645" i="18"/>
  <c r="L646" i="18"/>
  <c r="L647" i="18"/>
  <c r="L648" i="18"/>
  <c r="L649" i="18"/>
  <c r="L650" i="18"/>
  <c r="L651" i="18"/>
  <c r="L652" i="18"/>
  <c r="L653" i="18"/>
  <c r="L654" i="18"/>
  <c r="L655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69" i="18"/>
  <c r="L670" i="18"/>
  <c r="L671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8" i="18"/>
  <c r="L689" i="18"/>
  <c r="L690" i="18"/>
  <c r="L691" i="18"/>
  <c r="L692" i="18"/>
  <c r="L693" i="18"/>
  <c r="L694" i="18"/>
  <c r="L695" i="18"/>
  <c r="L696" i="18"/>
  <c r="L697" i="18"/>
  <c r="L698" i="18"/>
  <c r="L699" i="18"/>
  <c r="L700" i="18"/>
  <c r="L701" i="18"/>
  <c r="L702" i="18"/>
  <c r="L703" i="18"/>
  <c r="L704" i="18"/>
  <c r="L705" i="18"/>
  <c r="L706" i="18"/>
  <c r="L707" i="18"/>
  <c r="L708" i="18"/>
  <c r="L709" i="18"/>
  <c r="L710" i="18"/>
  <c r="L711" i="18"/>
  <c r="L712" i="18"/>
  <c r="L713" i="18"/>
  <c r="L714" i="18"/>
  <c r="L715" i="18"/>
  <c r="L716" i="18"/>
  <c r="L717" i="18"/>
  <c r="L718" i="18"/>
  <c r="L719" i="18"/>
  <c r="L720" i="18"/>
  <c r="L721" i="18"/>
  <c r="L722" i="18"/>
  <c r="L723" i="18"/>
  <c r="L724" i="18"/>
  <c r="L725" i="18"/>
  <c r="L726" i="18"/>
  <c r="L727" i="18"/>
  <c r="L728" i="18"/>
  <c r="L729" i="18"/>
  <c r="L730" i="18"/>
  <c r="L731" i="18"/>
  <c r="L732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0" i="18"/>
  <c r="L751" i="18"/>
  <c r="L752" i="18"/>
  <c r="L753" i="18"/>
  <c r="L754" i="18"/>
  <c r="L755" i="18"/>
  <c r="L756" i="18"/>
  <c r="L757" i="18"/>
  <c r="L758" i="18"/>
  <c r="L759" i="18"/>
  <c r="L760" i="18"/>
  <c r="L761" i="18"/>
  <c r="L762" i="18"/>
  <c r="L763" i="18"/>
  <c r="L764" i="18"/>
  <c r="L765" i="18"/>
  <c r="L766" i="18"/>
  <c r="L767" i="18"/>
  <c r="L768" i="18"/>
  <c r="L769" i="18"/>
  <c r="L770" i="18"/>
  <c r="L771" i="18"/>
  <c r="L772" i="18"/>
  <c r="L773" i="18"/>
  <c r="L774" i="18"/>
  <c r="L775" i="18"/>
  <c r="L776" i="18"/>
  <c r="L777" i="18"/>
  <c r="L778" i="18"/>
  <c r="L779" i="18"/>
  <c r="L780" i="18"/>
  <c r="L781" i="18"/>
  <c r="L782" i="18"/>
  <c r="L783" i="18"/>
  <c r="L784" i="18"/>
  <c r="L785" i="18"/>
  <c r="L786" i="18"/>
  <c r="L787" i="18"/>
  <c r="L788" i="18"/>
  <c r="L789" i="18"/>
  <c r="L790" i="18"/>
  <c r="L791" i="18"/>
  <c r="L792" i="18"/>
  <c r="L793" i="18"/>
  <c r="L794" i="18"/>
  <c r="L795" i="18"/>
  <c r="L796" i="18"/>
  <c r="L797" i="18"/>
  <c r="L798" i="18"/>
  <c r="L799" i="18"/>
  <c r="L800" i="18"/>
  <c r="L801" i="18"/>
  <c r="L802" i="18"/>
  <c r="L803" i="18"/>
  <c r="L804" i="18"/>
  <c r="L805" i="18"/>
  <c r="L806" i="18"/>
  <c r="L807" i="18"/>
  <c r="L808" i="18"/>
  <c r="L809" i="18"/>
  <c r="L810" i="18"/>
  <c r="L811" i="18"/>
  <c r="L812" i="18"/>
  <c r="L813" i="18"/>
  <c r="L814" i="18"/>
  <c r="L815" i="18"/>
  <c r="L816" i="18"/>
  <c r="L817" i="18"/>
  <c r="L818" i="18"/>
  <c r="L819" i="18"/>
  <c r="L820" i="18"/>
  <c r="L821" i="18"/>
  <c r="L822" i="18"/>
  <c r="L823" i="18"/>
  <c r="L824" i="18"/>
  <c r="L825" i="18"/>
  <c r="L826" i="18"/>
  <c r="L827" i="18"/>
  <c r="L828" i="18"/>
  <c r="L829" i="18"/>
  <c r="L830" i="18"/>
  <c r="L831" i="18"/>
  <c r="L832" i="18"/>
  <c r="L833" i="18"/>
  <c r="L834" i="18"/>
  <c r="L835" i="18"/>
  <c r="L836" i="18"/>
  <c r="L837" i="18"/>
  <c r="L838" i="18"/>
  <c r="L839" i="18"/>
  <c r="L840" i="18"/>
  <c r="L841" i="18"/>
  <c r="L842" i="18"/>
  <c r="L843" i="18"/>
  <c r="L844" i="18"/>
  <c r="L845" i="18"/>
  <c r="L846" i="18"/>
  <c r="L847" i="18"/>
  <c r="L848" i="18"/>
  <c r="L849" i="18"/>
  <c r="L850" i="18"/>
  <c r="L851" i="18"/>
  <c r="L852" i="18"/>
  <c r="L853" i="18"/>
  <c r="L854" i="18"/>
  <c r="L855" i="18"/>
  <c r="L856" i="18"/>
  <c r="L857" i="18"/>
  <c r="L858" i="18"/>
  <c r="L859" i="18"/>
  <c r="L860" i="18"/>
  <c r="L861" i="18"/>
  <c r="L862" i="18"/>
  <c r="L863" i="18"/>
  <c r="L864" i="18"/>
  <c r="L865" i="18"/>
  <c r="L866" i="18"/>
  <c r="L867" i="18"/>
  <c r="L868" i="18"/>
  <c r="L869" i="18"/>
  <c r="L870" i="18"/>
  <c r="L871" i="18"/>
  <c r="L872" i="18"/>
  <c r="L873" i="18"/>
  <c r="L874" i="18"/>
  <c r="L875" i="18"/>
  <c r="L876" i="18"/>
  <c r="L877" i="18"/>
  <c r="L878" i="18"/>
  <c r="L879" i="18"/>
  <c r="L880" i="18"/>
  <c r="L881" i="18"/>
  <c r="L882" i="18"/>
  <c r="L883" i="18"/>
  <c r="L884" i="18"/>
  <c r="L885" i="18"/>
  <c r="L886" i="18"/>
  <c r="L887" i="18"/>
  <c r="L888" i="18"/>
  <c r="L889" i="18"/>
  <c r="L890" i="18"/>
  <c r="L891" i="18"/>
  <c r="L892" i="18"/>
  <c r="L893" i="18"/>
  <c r="L894" i="18"/>
  <c r="L895" i="18"/>
  <c r="L896" i="18"/>
  <c r="L897" i="18"/>
  <c r="L898" i="18"/>
  <c r="L899" i="18"/>
  <c r="L900" i="18"/>
  <c r="L901" i="18"/>
  <c r="L902" i="18"/>
  <c r="L903" i="18"/>
  <c r="L904" i="18"/>
  <c r="L905" i="18"/>
  <c r="L906" i="18"/>
  <c r="L907" i="18"/>
  <c r="L908" i="18"/>
  <c r="L909" i="18"/>
  <c r="L910" i="18"/>
  <c r="L911" i="18"/>
  <c r="L912" i="18"/>
  <c r="L913" i="18"/>
  <c r="L914" i="18"/>
  <c r="L915" i="18"/>
  <c r="L916" i="18"/>
  <c r="L917" i="18"/>
  <c r="L918" i="18"/>
  <c r="L919" i="18"/>
  <c r="L920" i="18"/>
  <c r="L921" i="18"/>
  <c r="L922" i="18"/>
  <c r="L923" i="18"/>
  <c r="L924" i="18"/>
  <c r="L925" i="18"/>
  <c r="L926" i="18"/>
  <c r="L927" i="18"/>
  <c r="L928" i="18"/>
  <c r="L929" i="18"/>
  <c r="L930" i="18"/>
  <c r="L931" i="18"/>
  <c r="L932" i="18"/>
  <c r="L933" i="18"/>
  <c r="L934" i="18"/>
  <c r="L935" i="18"/>
  <c r="L936" i="18"/>
  <c r="L937" i="18"/>
  <c r="L938" i="18"/>
  <c r="L939" i="18"/>
  <c r="L940" i="18"/>
  <c r="L941" i="18"/>
  <c r="L942" i="18"/>
  <c r="L943" i="18"/>
  <c r="L944" i="18"/>
  <c r="L945" i="18"/>
  <c r="L946" i="18"/>
  <c r="L947" i="18"/>
  <c r="L948" i="18"/>
  <c r="L949" i="18"/>
  <c r="L950" i="18"/>
  <c r="L951" i="18"/>
  <c r="L952" i="18"/>
  <c r="L953" i="18"/>
  <c r="L954" i="18"/>
  <c r="L955" i="18"/>
  <c r="L956" i="18"/>
  <c r="L957" i="18"/>
  <c r="L958" i="18"/>
  <c r="L959" i="18"/>
  <c r="L960" i="18"/>
  <c r="L961" i="18"/>
  <c r="L962" i="18"/>
  <c r="L963" i="18"/>
  <c r="L964" i="18"/>
  <c r="L965" i="18"/>
  <c r="L966" i="18"/>
  <c r="L967" i="18"/>
  <c r="L968" i="18"/>
  <c r="L969" i="18"/>
  <c r="L970" i="18"/>
  <c r="L971" i="18"/>
  <c r="L972" i="18"/>
  <c r="L973" i="18"/>
  <c r="L974" i="18"/>
  <c r="L975" i="18"/>
  <c r="L976" i="18"/>
  <c r="L977" i="18"/>
  <c r="L978" i="18"/>
  <c r="L979" i="18"/>
  <c r="L980" i="18"/>
  <c r="L981" i="18"/>
  <c r="L982" i="18"/>
  <c r="L983" i="18"/>
  <c r="L984" i="18"/>
  <c r="L985" i="18"/>
  <c r="L986" i="18"/>
  <c r="L987" i="18"/>
  <c r="L988" i="18"/>
  <c r="L989" i="18"/>
  <c r="L990" i="18"/>
  <c r="L991" i="18"/>
  <c r="L992" i="18"/>
  <c r="L993" i="18"/>
  <c r="L994" i="18"/>
  <c r="L995" i="18"/>
  <c r="L996" i="18"/>
  <c r="L997" i="18"/>
  <c r="L998" i="18"/>
  <c r="L999" i="18"/>
  <c r="L1000" i="18"/>
  <c r="L1001" i="18"/>
  <c r="L1002" i="18"/>
  <c r="L1003" i="18"/>
  <c r="L1004" i="18"/>
  <c r="L1005" i="18"/>
  <c r="L1006" i="18"/>
  <c r="L1007" i="18"/>
  <c r="L1008" i="18"/>
  <c r="L1009" i="18"/>
  <c r="L1010" i="18"/>
  <c r="L1011" i="18"/>
  <c r="L1012" i="18"/>
  <c r="L1013" i="18"/>
  <c r="L1014" i="18"/>
  <c r="L1015" i="18"/>
  <c r="L1016" i="18"/>
  <c r="L1017" i="18"/>
  <c r="L1018" i="18"/>
  <c r="L1019" i="18"/>
  <c r="L1020" i="18"/>
  <c r="L1021" i="18"/>
  <c r="L1022" i="18"/>
  <c r="L1023" i="18"/>
  <c r="L1024" i="18"/>
  <c r="L1025" i="18"/>
  <c r="L1026" i="18"/>
  <c r="L1027" i="18"/>
  <c r="L1028" i="18"/>
  <c r="L1029" i="18"/>
  <c r="L1030" i="18"/>
  <c r="L1031" i="18"/>
  <c r="L1032" i="18"/>
  <c r="L1033" i="18"/>
  <c r="L1034" i="18"/>
  <c r="L1035" i="18"/>
  <c r="L1036" i="18"/>
  <c r="L1037" i="18"/>
  <c r="L1038" i="18"/>
  <c r="L1039" i="18"/>
  <c r="L1040" i="18"/>
  <c r="L1041" i="18"/>
  <c r="L1042" i="18"/>
  <c r="L1043" i="18"/>
  <c r="L1044" i="18"/>
  <c r="L1045" i="18"/>
  <c r="L1046" i="18"/>
  <c r="L1047" i="18"/>
  <c r="L1048" i="18"/>
  <c r="L1049" i="18"/>
  <c r="L1050" i="18"/>
  <c r="L1051" i="18"/>
  <c r="L1052" i="18"/>
  <c r="L1053" i="18"/>
  <c r="L1054" i="18"/>
  <c r="L1055" i="18"/>
  <c r="L1056" i="18"/>
  <c r="L1057" i="18"/>
  <c r="L1058" i="18"/>
  <c r="L1059" i="18"/>
  <c r="L1060" i="18"/>
  <c r="L1061" i="18"/>
  <c r="L1062" i="18"/>
  <c r="L1063" i="18"/>
  <c r="L1064" i="18"/>
  <c r="L1065" i="18"/>
  <c r="L1066" i="18"/>
  <c r="L1067" i="18"/>
  <c r="L1068" i="18"/>
  <c r="L1069" i="18"/>
  <c r="L1070" i="18"/>
  <c r="L1071" i="18"/>
  <c r="L1072" i="18"/>
  <c r="L1073" i="18"/>
  <c r="L1074" i="18"/>
  <c r="L1075" i="18"/>
  <c r="L1076" i="18"/>
  <c r="L1077" i="18"/>
  <c r="L1078" i="18"/>
  <c r="L1079" i="18"/>
  <c r="L1080" i="18"/>
  <c r="L1081" i="18"/>
  <c r="L1082" i="18"/>
  <c r="L1083" i="18"/>
  <c r="L1084" i="18"/>
  <c r="L1085" i="18"/>
  <c r="L1086" i="18"/>
  <c r="L1087" i="18"/>
  <c r="L1088" i="18"/>
  <c r="L1089" i="18"/>
  <c r="L1090" i="18"/>
  <c r="L1091" i="18"/>
  <c r="L1092" i="18"/>
  <c r="L1093" i="18"/>
  <c r="L1094" i="18"/>
  <c r="L1095" i="18"/>
  <c r="L1096" i="18"/>
  <c r="L1097" i="18"/>
  <c r="L1098" i="18"/>
  <c r="L1099" i="18"/>
  <c r="L1100" i="18"/>
  <c r="L1101" i="18"/>
  <c r="L1102" i="18"/>
  <c r="L1103" i="18"/>
  <c r="L1104" i="18"/>
  <c r="L1105" i="18"/>
  <c r="L1106" i="18"/>
  <c r="L1107" i="18"/>
  <c r="L1108" i="18"/>
  <c r="L1109" i="18"/>
  <c r="L1110" i="18"/>
  <c r="L1111" i="18"/>
  <c r="L1112" i="18"/>
  <c r="L1113" i="18"/>
  <c r="L1114" i="18"/>
  <c r="L1115" i="18"/>
  <c r="L1116" i="18"/>
  <c r="L1117" i="18"/>
  <c r="L1118" i="18"/>
  <c r="L1119" i="18"/>
  <c r="L1120" i="18"/>
  <c r="L1121" i="18"/>
  <c r="L1122" i="18"/>
  <c r="L1123" i="18"/>
  <c r="L1124" i="18"/>
  <c r="L1125" i="18"/>
  <c r="L1126" i="18"/>
  <c r="L1127" i="18"/>
  <c r="L1128" i="18"/>
  <c r="L1129" i="18"/>
  <c r="L1130" i="18"/>
  <c r="L1131" i="18"/>
  <c r="L1132" i="18"/>
  <c r="L1133" i="18"/>
  <c r="L1134" i="18"/>
  <c r="L1135" i="18"/>
  <c r="L1136" i="18"/>
  <c r="L1137" i="18"/>
  <c r="L1138" i="18"/>
  <c r="L1139" i="18"/>
  <c r="L1140" i="18"/>
  <c r="L1141" i="18"/>
  <c r="L1142" i="18"/>
  <c r="L1143" i="18"/>
  <c r="L1144" i="18"/>
  <c r="L1145" i="18"/>
  <c r="L1146" i="18"/>
  <c r="L1147" i="18"/>
  <c r="L1148" i="18"/>
  <c r="L1149" i="18"/>
  <c r="L1150" i="18"/>
  <c r="L1151" i="18"/>
  <c r="L1152" i="18"/>
  <c r="L1153" i="18"/>
  <c r="L1154" i="18"/>
  <c r="L1155" i="18"/>
  <c r="L1156" i="18"/>
  <c r="L1157" i="18"/>
  <c r="L1158" i="18"/>
  <c r="L1159" i="18"/>
  <c r="L1160" i="18"/>
  <c r="L1161" i="18"/>
  <c r="L1162" i="18"/>
  <c r="L1163" i="18"/>
  <c r="L1164" i="18"/>
  <c r="L1165" i="18"/>
  <c r="L1166" i="18"/>
  <c r="L1167" i="18"/>
  <c r="L1168" i="18"/>
  <c r="L1169" i="18"/>
  <c r="L1170" i="18"/>
  <c r="L1171" i="18"/>
  <c r="L1172" i="18"/>
  <c r="L1173" i="18"/>
  <c r="L1174" i="18"/>
  <c r="L1175" i="18"/>
  <c r="L1176" i="18"/>
  <c r="L1177" i="18"/>
  <c r="L1178" i="18"/>
  <c r="L1179" i="18"/>
  <c r="L1180" i="18"/>
  <c r="L1181" i="18"/>
  <c r="L1182" i="18"/>
  <c r="L1183" i="18"/>
  <c r="L1184" i="18"/>
  <c r="L1185" i="18"/>
  <c r="L1186" i="18"/>
  <c r="L1187" i="18"/>
  <c r="L1188" i="18"/>
  <c r="L1189" i="18"/>
  <c r="L1190" i="18"/>
  <c r="L1191" i="18"/>
  <c r="L1192" i="18"/>
  <c r="L1193" i="18"/>
  <c r="L1194" i="18"/>
  <c r="L1195" i="18"/>
  <c r="L1196" i="18"/>
  <c r="L1197" i="18"/>
  <c r="L1198" i="18"/>
  <c r="L1199" i="18"/>
  <c r="L1200" i="18"/>
  <c r="L1201" i="18"/>
  <c r="L1202" i="18"/>
  <c r="L1203" i="18"/>
  <c r="L1204" i="18"/>
  <c r="L1205" i="18"/>
  <c r="L1206" i="18"/>
  <c r="L1207" i="18"/>
  <c r="L1208" i="18"/>
  <c r="L1209" i="18"/>
  <c r="L1210" i="18"/>
  <c r="L1211" i="18"/>
  <c r="L1212" i="18"/>
  <c r="L1213" i="18"/>
  <c r="L1214" i="18"/>
  <c r="L1215" i="18"/>
  <c r="L1216" i="18"/>
  <c r="L1217" i="18"/>
  <c r="L1218" i="18"/>
  <c r="L1219" i="18"/>
  <c r="L1220" i="18"/>
  <c r="L1221" i="18"/>
  <c r="L1222" i="18"/>
  <c r="L1223" i="18"/>
  <c r="L1224" i="18"/>
  <c r="L1225" i="18"/>
  <c r="L1226" i="18"/>
  <c r="L1227" i="18"/>
  <c r="L1228" i="18"/>
  <c r="L1229" i="18"/>
  <c r="L1230" i="18"/>
  <c r="L1231" i="18"/>
  <c r="L1232" i="18"/>
  <c r="L1233" i="18"/>
  <c r="L1234" i="18"/>
  <c r="L1235" i="18"/>
  <c r="L1236" i="18"/>
  <c r="L1237" i="18"/>
  <c r="L1238" i="18"/>
  <c r="L1239" i="18"/>
  <c r="L1240" i="18"/>
  <c r="L1241" i="18"/>
  <c r="L1242" i="18"/>
  <c r="L1243" i="18"/>
  <c r="L1244" i="18"/>
  <c r="L1245" i="18"/>
  <c r="L1246" i="18"/>
  <c r="L1247" i="18"/>
  <c r="L1248" i="18"/>
  <c r="L1249" i="18"/>
  <c r="L1250" i="18"/>
  <c r="L1251" i="18"/>
  <c r="L1252" i="18"/>
  <c r="L1253" i="18"/>
  <c r="L1254" i="18"/>
  <c r="L1255" i="18"/>
  <c r="L1256" i="18"/>
  <c r="L1257" i="18"/>
  <c r="L1258" i="18"/>
  <c r="L1259" i="18"/>
  <c r="L1260" i="18"/>
  <c r="L1261" i="18"/>
  <c r="L1262" i="18"/>
  <c r="L1263" i="18"/>
  <c r="L1264" i="18"/>
  <c r="L1265" i="18"/>
  <c r="L1266" i="18"/>
  <c r="L1267" i="18"/>
  <c r="L1268" i="18"/>
  <c r="L1269" i="18"/>
  <c r="L1270" i="18"/>
  <c r="L1271" i="18"/>
  <c r="L1272" i="18"/>
  <c r="L1273" i="18"/>
  <c r="L1274" i="18"/>
  <c r="L1275" i="18"/>
  <c r="L1276" i="18"/>
  <c r="L1277" i="18"/>
  <c r="L1278" i="18"/>
  <c r="L1279" i="18"/>
  <c r="L1280" i="18"/>
  <c r="L1281" i="18"/>
  <c r="L1282" i="18"/>
  <c r="L1283" i="18"/>
  <c r="L1284" i="18"/>
  <c r="L1285" i="18"/>
  <c r="L1286" i="18"/>
  <c r="L1287" i="18"/>
  <c r="L1288" i="18"/>
  <c r="L1289" i="18"/>
  <c r="L1290" i="18"/>
  <c r="L1291" i="18"/>
  <c r="L1292" i="18"/>
  <c r="L1293" i="18"/>
  <c r="L1294" i="18"/>
  <c r="L1295" i="18"/>
  <c r="L1296" i="18"/>
  <c r="L1297" i="18"/>
  <c r="L1298" i="18"/>
  <c r="L1299" i="18"/>
  <c r="L1300" i="18"/>
  <c r="L1301" i="18"/>
  <c r="L1302" i="18"/>
  <c r="L1303" i="18"/>
  <c r="L1304" i="18"/>
  <c r="L1305" i="18"/>
  <c r="L1306" i="18"/>
  <c r="L1307" i="18"/>
  <c r="L1308" i="18"/>
  <c r="L1309" i="18"/>
  <c r="L1310" i="18"/>
  <c r="L1311" i="18"/>
  <c r="L1312" i="18"/>
  <c r="L1313" i="18"/>
  <c r="L1314" i="18"/>
  <c r="L1315" i="18"/>
  <c r="L1316" i="18"/>
  <c r="L1317" i="18"/>
  <c r="L1318" i="18"/>
  <c r="L1319" i="18"/>
  <c r="L1320" i="18"/>
  <c r="L1321" i="18"/>
  <c r="L1322" i="18"/>
  <c r="L1323" i="18"/>
  <c r="L1324" i="18"/>
  <c r="L1325" i="18"/>
  <c r="L1326" i="18"/>
  <c r="L1327" i="18"/>
  <c r="L1328" i="18"/>
  <c r="L1329" i="18"/>
  <c r="L1330" i="18"/>
  <c r="L1331" i="18"/>
  <c r="L1332" i="18"/>
  <c r="L1333" i="18"/>
  <c r="L1334" i="18"/>
  <c r="L1335" i="18"/>
  <c r="L1336" i="18"/>
  <c r="L1337" i="18"/>
  <c r="L1338" i="18"/>
  <c r="L1339" i="18"/>
  <c r="L1340" i="18"/>
  <c r="L1341" i="18"/>
  <c r="L1342" i="18"/>
  <c r="L1343" i="18"/>
  <c r="L1344" i="18"/>
  <c r="L1345" i="18"/>
  <c r="L1346" i="18"/>
  <c r="L1347" i="18"/>
  <c r="L1348" i="18"/>
  <c r="L1349" i="18"/>
  <c r="L1350" i="18"/>
  <c r="L1351" i="18"/>
  <c r="L1352" i="18"/>
  <c r="L1353" i="18"/>
  <c r="L1354" i="18"/>
  <c r="L1355" i="18"/>
  <c r="L1356" i="18"/>
  <c r="L1357" i="18"/>
  <c r="L1358" i="18"/>
  <c r="L1359" i="18"/>
  <c r="L1360" i="18"/>
  <c r="L1361" i="18"/>
  <c r="L1362" i="18"/>
  <c r="L1363" i="18"/>
  <c r="L1364" i="18"/>
  <c r="L1365" i="18"/>
  <c r="L1366" i="18"/>
  <c r="L1367" i="18"/>
  <c r="L1368" i="18"/>
  <c r="L1369" i="18"/>
  <c r="L1370" i="18"/>
  <c r="L1371" i="18"/>
  <c r="L1372" i="18"/>
  <c r="L1373" i="18"/>
  <c r="L1374" i="18"/>
  <c r="L1375" i="18"/>
  <c r="L1376" i="18"/>
  <c r="L1377" i="18"/>
  <c r="L1378" i="18"/>
  <c r="L1379" i="18"/>
  <c r="L1380" i="18"/>
  <c r="L1381" i="18"/>
  <c r="L1382" i="18"/>
  <c r="L1383" i="18"/>
  <c r="L1384" i="18"/>
  <c r="L1385" i="18"/>
  <c r="L1386" i="18"/>
  <c r="L1387" i="18"/>
  <c r="L1388" i="18"/>
  <c r="L1389" i="18"/>
  <c r="L1390" i="18"/>
  <c r="L1391" i="18"/>
  <c r="L1392" i="18"/>
  <c r="L1393" i="18"/>
  <c r="L1394" i="18"/>
  <c r="L1395" i="18"/>
  <c r="L1396" i="18"/>
  <c r="L1397" i="18"/>
  <c r="L1398" i="18"/>
  <c r="L1399" i="18"/>
  <c r="L1400" i="18"/>
  <c r="L1401" i="18"/>
  <c r="L1402" i="18"/>
  <c r="L1403" i="18"/>
  <c r="L1404" i="18"/>
  <c r="L1405" i="18"/>
  <c r="L1406" i="18"/>
  <c r="L1407" i="18"/>
  <c r="L1408" i="18"/>
  <c r="L1409" i="18"/>
  <c r="L1410" i="18"/>
  <c r="L1411" i="18"/>
  <c r="L1412" i="18"/>
  <c r="L1413" i="18"/>
  <c r="L1414" i="18"/>
  <c r="L1415" i="18"/>
  <c r="L1416" i="18"/>
  <c r="L1417" i="18"/>
  <c r="L1418" i="18"/>
  <c r="L1419" i="18"/>
  <c r="L1420" i="18"/>
  <c r="L1421" i="18"/>
  <c r="L1422" i="18"/>
  <c r="L1423" i="18"/>
  <c r="L1424" i="18"/>
  <c r="L1425" i="18"/>
  <c r="L1426" i="18"/>
  <c r="L1427" i="18"/>
  <c r="L1428" i="18"/>
  <c r="L1429" i="18"/>
  <c r="L1430" i="18"/>
  <c r="L1431" i="18"/>
  <c r="L1432" i="18"/>
  <c r="L1433" i="18"/>
  <c r="L1434" i="18"/>
  <c r="L1435" i="18"/>
  <c r="L1436" i="18"/>
  <c r="L1437" i="18"/>
  <c r="L1438" i="18"/>
  <c r="L1439" i="18"/>
  <c r="L1440" i="18"/>
  <c r="L1441" i="18"/>
  <c r="L1442" i="18"/>
  <c r="L1443" i="18"/>
  <c r="L1444" i="18"/>
  <c r="L1445" i="18"/>
  <c r="L1446" i="18"/>
  <c r="L1447" i="18"/>
  <c r="L1448" i="18"/>
  <c r="L1449" i="18"/>
  <c r="L1450" i="18"/>
  <c r="L1451" i="18"/>
  <c r="L1452" i="18"/>
  <c r="L1453" i="18"/>
  <c r="L1454" i="18"/>
  <c r="L1455" i="18"/>
  <c r="L1456" i="18"/>
  <c r="L1457" i="18"/>
  <c r="L1458" i="18"/>
  <c r="L1459" i="18"/>
  <c r="L1460" i="18"/>
  <c r="L1461" i="18"/>
  <c r="L1462" i="18"/>
  <c r="L1463" i="18"/>
  <c r="L1464" i="18"/>
  <c r="L1465" i="18"/>
  <c r="L1466" i="18"/>
  <c r="L1467" i="18"/>
  <c r="L1468" i="18"/>
  <c r="L1469" i="18"/>
  <c r="L1470" i="18"/>
  <c r="L1471" i="18"/>
  <c r="L1472" i="18"/>
  <c r="L1473" i="18"/>
  <c r="L1474" i="18"/>
  <c r="L1475" i="18"/>
  <c r="L1476" i="18"/>
  <c r="L1477" i="18"/>
  <c r="L1478" i="18"/>
  <c r="L1479" i="18"/>
  <c r="L1480" i="18"/>
  <c r="L1481" i="18"/>
  <c r="L1482" i="18"/>
  <c r="L1483" i="18"/>
  <c r="L1484" i="18"/>
  <c r="L1485" i="18"/>
  <c r="L1486" i="18"/>
  <c r="L1487" i="18"/>
  <c r="L1488" i="18"/>
  <c r="L1489" i="18"/>
  <c r="L1490" i="18"/>
  <c r="L1491" i="18"/>
  <c r="L1492" i="18"/>
  <c r="L1493" i="18"/>
  <c r="L1494" i="18"/>
  <c r="L1495" i="18"/>
  <c r="L1496" i="18"/>
  <c r="L1497" i="18"/>
  <c r="L1498" i="18"/>
  <c r="L1499" i="18"/>
  <c r="L1500" i="18"/>
  <c r="L1501" i="18"/>
  <c r="L1502" i="18"/>
  <c r="L1503" i="18"/>
  <c r="L1504" i="18"/>
  <c r="L1505" i="18"/>
  <c r="L1506" i="18"/>
  <c r="L1507" i="18"/>
  <c r="L1508" i="18"/>
  <c r="L1509" i="18"/>
  <c r="L1510" i="18"/>
  <c r="L1511" i="18"/>
  <c r="L1512" i="18"/>
  <c r="L1513" i="18"/>
  <c r="L1514" i="18"/>
  <c r="L1515" i="18"/>
  <c r="L1516" i="18"/>
  <c r="L1517" i="18"/>
  <c r="L1518" i="18"/>
  <c r="L1519" i="18"/>
  <c r="L1520" i="18"/>
  <c r="L1521" i="18"/>
  <c r="L1522" i="18"/>
  <c r="L1523" i="18"/>
  <c r="L1524" i="18"/>
  <c r="L1525" i="18"/>
  <c r="L1526" i="18"/>
  <c r="L1527" i="18"/>
  <c r="L1528" i="18"/>
  <c r="L1529" i="18"/>
  <c r="L1530" i="18"/>
  <c r="L1531" i="18"/>
  <c r="L1532" i="18"/>
  <c r="L1533" i="18"/>
  <c r="L1534" i="18"/>
  <c r="L1535" i="18"/>
  <c r="L1536" i="18"/>
  <c r="L1537" i="18"/>
  <c r="L1538" i="18"/>
  <c r="L1539" i="18"/>
  <c r="L1540" i="18"/>
  <c r="L1541" i="18"/>
  <c r="L1542" i="18"/>
  <c r="L1543" i="18"/>
  <c r="L1544" i="18"/>
  <c r="L1545" i="18"/>
  <c r="L1546" i="18"/>
  <c r="L1547" i="18"/>
  <c r="L1548" i="18"/>
  <c r="L1549" i="18"/>
  <c r="L1550" i="18"/>
  <c r="L1551" i="18"/>
  <c r="L1552" i="18"/>
  <c r="L1553" i="18"/>
  <c r="L1554" i="18"/>
  <c r="L1555" i="18"/>
  <c r="L1556" i="18"/>
  <c r="L1557" i="18"/>
  <c r="L1558" i="18"/>
  <c r="L1559" i="18"/>
  <c r="L1560" i="18"/>
  <c r="L1561" i="18"/>
  <c r="L1562" i="18"/>
  <c r="L1563" i="18"/>
  <c r="L1564" i="18"/>
  <c r="L1565" i="18"/>
  <c r="L1566" i="18"/>
  <c r="L1567" i="18"/>
  <c r="L1568" i="18"/>
  <c r="L1569" i="18"/>
  <c r="L1570" i="18"/>
  <c r="L1571" i="18"/>
  <c r="L1572" i="18"/>
  <c r="L1573" i="18"/>
  <c r="L1574" i="18"/>
  <c r="L1575" i="18"/>
  <c r="L1576" i="18"/>
  <c r="L1577" i="18"/>
  <c r="L1578" i="18"/>
  <c r="L1579" i="18"/>
  <c r="L1580" i="18"/>
  <c r="L1581" i="18"/>
  <c r="L1582" i="18"/>
  <c r="L1583" i="18"/>
  <c r="L1584" i="18"/>
  <c r="L1585" i="18"/>
  <c r="L1586" i="18"/>
  <c r="L1587" i="18"/>
  <c r="L1588" i="18"/>
  <c r="L1589" i="18"/>
  <c r="L1590" i="18"/>
  <c r="L1591" i="18"/>
  <c r="L1592" i="18"/>
  <c r="L1593" i="18"/>
  <c r="L1594" i="18"/>
  <c r="L1595" i="18"/>
  <c r="L1596" i="18"/>
  <c r="L1597" i="18"/>
  <c r="L1598" i="18"/>
  <c r="L1599" i="18"/>
  <c r="L1600" i="18"/>
  <c r="L1601" i="18"/>
  <c r="L1602" i="18"/>
  <c r="L1603" i="18"/>
  <c r="L1604" i="18"/>
  <c r="L1605" i="18"/>
  <c r="L1606" i="18"/>
  <c r="L1607" i="18"/>
  <c r="L1608" i="18"/>
  <c r="L1609" i="18"/>
  <c r="L1610" i="18"/>
  <c r="L1611" i="18"/>
  <c r="L1612" i="18"/>
  <c r="L1613" i="18"/>
  <c r="L1614" i="18"/>
  <c r="L1615" i="18"/>
  <c r="L1616" i="18"/>
  <c r="L1617" i="18"/>
  <c r="L1618" i="18"/>
  <c r="L1619" i="18"/>
  <c r="L1620" i="18"/>
  <c r="L1621" i="18"/>
  <c r="L1622" i="18"/>
  <c r="L1623" i="18"/>
  <c r="L1624" i="18"/>
  <c r="L1625" i="18"/>
  <c r="L1626" i="18"/>
  <c r="L1627" i="18"/>
  <c r="L1628" i="18"/>
  <c r="L1629" i="18"/>
  <c r="L1630" i="18"/>
  <c r="L1631" i="18"/>
  <c r="L1632" i="18"/>
  <c r="L1633" i="18"/>
  <c r="L1634" i="18"/>
  <c r="L1635" i="18"/>
  <c r="L1636" i="18"/>
  <c r="L1637" i="18"/>
  <c r="L1638" i="18"/>
  <c r="L1639" i="18"/>
  <c r="L1640" i="18"/>
  <c r="L1641" i="18"/>
  <c r="L1642" i="18"/>
  <c r="L1643" i="18"/>
  <c r="L1644" i="18"/>
  <c r="L1645" i="18"/>
  <c r="L1646" i="18"/>
  <c r="L1647" i="18"/>
  <c r="L1648" i="18"/>
  <c r="L1649" i="18"/>
  <c r="L1650" i="18"/>
  <c r="L1651" i="18"/>
  <c r="L1652" i="18"/>
  <c r="L1653" i="18"/>
  <c r="L1654" i="18"/>
  <c r="L1655" i="18"/>
  <c r="L1656" i="18"/>
  <c r="L1657" i="18"/>
  <c r="L1658" i="18"/>
  <c r="L1659" i="18"/>
  <c r="L1660" i="18"/>
  <c r="L1661" i="18"/>
  <c r="L1662" i="18"/>
  <c r="L1663" i="18"/>
  <c r="L1664" i="18"/>
  <c r="L1665" i="18"/>
  <c r="L1666" i="18"/>
  <c r="L1667" i="18"/>
  <c r="L1668" i="18"/>
  <c r="L1669" i="18"/>
  <c r="L1670" i="18"/>
  <c r="L1671" i="18"/>
  <c r="L1672" i="18"/>
  <c r="L1673" i="18"/>
  <c r="L1674" i="18"/>
  <c r="L1675" i="18"/>
  <c r="L1676" i="18"/>
  <c r="L1677" i="18"/>
  <c r="L1678" i="18"/>
  <c r="L1679" i="18"/>
  <c r="L1680" i="18"/>
  <c r="L1681" i="18"/>
  <c r="L1682" i="18"/>
  <c r="L1683" i="18"/>
  <c r="L1684" i="18"/>
  <c r="L1685" i="18"/>
  <c r="L1686" i="18"/>
  <c r="L1687" i="18"/>
  <c r="L1688" i="18"/>
  <c r="L1689" i="18"/>
  <c r="L1690" i="18"/>
  <c r="L1691" i="18"/>
  <c r="L1692" i="18"/>
  <c r="L1693" i="18"/>
  <c r="L1694" i="18"/>
  <c r="L1695" i="18"/>
  <c r="L1696" i="18"/>
  <c r="L1697" i="18"/>
  <c r="L1698" i="18"/>
  <c r="L1699" i="18"/>
  <c r="L1700" i="18"/>
  <c r="L1701" i="18"/>
  <c r="L1702" i="18"/>
  <c r="L1703" i="18"/>
  <c r="L1704" i="18"/>
  <c r="L1705" i="18"/>
  <c r="L1706" i="18"/>
  <c r="L1707" i="18"/>
  <c r="L1708" i="18"/>
  <c r="L1709" i="18"/>
  <c r="L1710" i="18"/>
  <c r="L1711" i="18"/>
  <c r="L1712" i="18"/>
  <c r="L1713" i="18"/>
  <c r="L1714" i="18"/>
  <c r="L1715" i="18"/>
  <c r="L1716" i="18"/>
  <c r="L1717" i="18"/>
  <c r="L1718" i="18"/>
  <c r="L1719" i="18"/>
  <c r="L1720" i="18"/>
  <c r="L1721" i="18"/>
  <c r="L1722" i="18"/>
  <c r="L1723" i="18"/>
  <c r="L1724" i="18"/>
  <c r="L1725" i="18"/>
  <c r="L1726" i="18"/>
  <c r="L1727" i="18"/>
  <c r="L1728" i="18"/>
  <c r="L1729" i="18"/>
  <c r="L1730" i="18"/>
  <c r="L1731" i="18"/>
  <c r="L1732" i="18"/>
  <c r="L1733" i="18"/>
  <c r="L1734" i="18"/>
  <c r="L1735" i="18"/>
  <c r="L1736" i="18"/>
  <c r="L1737" i="18"/>
  <c r="L1738" i="18"/>
  <c r="L1739" i="18"/>
  <c r="L1740" i="18"/>
  <c r="L1741" i="18"/>
  <c r="L1742" i="18"/>
  <c r="L1743" i="18"/>
  <c r="L1744" i="18"/>
  <c r="L1745" i="18"/>
  <c r="L1746" i="18"/>
  <c r="L1747" i="18"/>
  <c r="L1748" i="18"/>
  <c r="L1749" i="18"/>
  <c r="L1750" i="18"/>
  <c r="L1751" i="18"/>
  <c r="L1752" i="18"/>
  <c r="L1753" i="18"/>
  <c r="L1754" i="18"/>
  <c r="L1755" i="18"/>
  <c r="L1756" i="18"/>
  <c r="L1757" i="18"/>
  <c r="L1758" i="18"/>
  <c r="L1759" i="18"/>
  <c r="L1760" i="18"/>
  <c r="L1761" i="18"/>
  <c r="L1762" i="18"/>
  <c r="L1763" i="18"/>
  <c r="L1764" i="18"/>
  <c r="L1765" i="18"/>
  <c r="L1766" i="18"/>
  <c r="L1767" i="18"/>
  <c r="L1768" i="18"/>
  <c r="L1769" i="18"/>
  <c r="L1770" i="18"/>
  <c r="L1771" i="18"/>
  <c r="L1772" i="18"/>
  <c r="L1773" i="18"/>
  <c r="L1774" i="18"/>
  <c r="L1775" i="18"/>
  <c r="L1776" i="18"/>
  <c r="L1777" i="18"/>
  <c r="L1778" i="18"/>
  <c r="L1779" i="18"/>
  <c r="L1780" i="18"/>
  <c r="L1781" i="18"/>
  <c r="L1782" i="18"/>
  <c r="L1783" i="18"/>
  <c r="L1784" i="18"/>
  <c r="L1785" i="18"/>
  <c r="L1786" i="18"/>
  <c r="L1787" i="18"/>
  <c r="L1788" i="18"/>
  <c r="L1789" i="18"/>
  <c r="L1790" i="18"/>
  <c r="L1791" i="18"/>
  <c r="L1792" i="18"/>
  <c r="L1793" i="18"/>
  <c r="L1794" i="18"/>
  <c r="L1795" i="18"/>
  <c r="L1796" i="18"/>
  <c r="L1797" i="18"/>
  <c r="L1798" i="18"/>
  <c r="L1799" i="18"/>
  <c r="L1800" i="18"/>
  <c r="L1801" i="18"/>
  <c r="L1802" i="18"/>
  <c r="L1803" i="18"/>
  <c r="L1804" i="18"/>
  <c r="L1805" i="18"/>
  <c r="L1806" i="18"/>
  <c r="L1807" i="18"/>
  <c r="L1808" i="18"/>
  <c r="L1809" i="18"/>
  <c r="L1810" i="18"/>
  <c r="L1811" i="18"/>
  <c r="L1812" i="18"/>
  <c r="L1813" i="18"/>
  <c r="L1814" i="18"/>
  <c r="L1815" i="18"/>
  <c r="L1816" i="18"/>
  <c r="L1817" i="18"/>
  <c r="L1818" i="18"/>
  <c r="L1819" i="18"/>
  <c r="L1820" i="18"/>
  <c r="L1821" i="18"/>
  <c r="L1822" i="18"/>
  <c r="L1823" i="18"/>
  <c r="L1824" i="18"/>
  <c r="L1825" i="18"/>
  <c r="L1826" i="18"/>
  <c r="L1827" i="18"/>
  <c r="L1828" i="18"/>
  <c r="L1829" i="18"/>
  <c r="L1830" i="18"/>
  <c r="L1831" i="18"/>
  <c r="L1832" i="18"/>
  <c r="L1833" i="18"/>
  <c r="L1834" i="18"/>
  <c r="L1835" i="18"/>
  <c r="L1836" i="18"/>
  <c r="L1837" i="18"/>
  <c r="L1838" i="18"/>
  <c r="L1839" i="18"/>
  <c r="L1840" i="18"/>
  <c r="L1841" i="18"/>
  <c r="L1842" i="18"/>
  <c r="L1843" i="18"/>
  <c r="L1844" i="18"/>
  <c r="L1845" i="18"/>
  <c r="L1846" i="18"/>
  <c r="L1847" i="18"/>
  <c r="L1848" i="18"/>
  <c r="L1849" i="18"/>
  <c r="L1850" i="18"/>
  <c r="L1851" i="18"/>
  <c r="L1852" i="18"/>
  <c r="L1853" i="18"/>
  <c r="L1854" i="18"/>
  <c r="L1855" i="18"/>
  <c r="L1856" i="18"/>
  <c r="L1857" i="18"/>
  <c r="L1858" i="18"/>
  <c r="L1859" i="18"/>
  <c r="L1860" i="18"/>
  <c r="L1861" i="18"/>
  <c r="L1862" i="18"/>
  <c r="L1863" i="18"/>
  <c r="L1864" i="18"/>
  <c r="L1865" i="18"/>
  <c r="L1866" i="18"/>
  <c r="L1867" i="18"/>
  <c r="L1868" i="18"/>
  <c r="L1869" i="18"/>
  <c r="L1870" i="18"/>
  <c r="L1871" i="18"/>
  <c r="L1872" i="18"/>
  <c r="L1873" i="18"/>
  <c r="L1874" i="18"/>
  <c r="L1875" i="18"/>
  <c r="L1876" i="18"/>
  <c r="L1877" i="18"/>
  <c r="L1878" i="18"/>
  <c r="L1879" i="18"/>
  <c r="L1880" i="18"/>
  <c r="L1881" i="18"/>
  <c r="L1882" i="18"/>
  <c r="L1883" i="18"/>
  <c r="L1884" i="18"/>
  <c r="L1885" i="18"/>
  <c r="L1886" i="18"/>
  <c r="L1887" i="18"/>
  <c r="L1888" i="18"/>
  <c r="L1889" i="18"/>
  <c r="L1890" i="18"/>
  <c r="L1891" i="18"/>
  <c r="L1892" i="18"/>
  <c r="L1893" i="18"/>
  <c r="L1894" i="18"/>
  <c r="L1895" i="18"/>
  <c r="L1896" i="18"/>
  <c r="L1897" i="18"/>
  <c r="L1898" i="18"/>
  <c r="L1899" i="18"/>
  <c r="L1900" i="18"/>
  <c r="L1901" i="18"/>
  <c r="L1902" i="18"/>
  <c r="L1903" i="18"/>
  <c r="L1904" i="18"/>
  <c r="L1905" i="18"/>
  <c r="L1906" i="18"/>
  <c r="L1907" i="18"/>
  <c r="L1908" i="18"/>
  <c r="L1909" i="18"/>
  <c r="L1910" i="18"/>
  <c r="L1911" i="18"/>
  <c r="L1912" i="18"/>
  <c r="L1913" i="18"/>
  <c r="L1914" i="18"/>
  <c r="L1915" i="18"/>
  <c r="L1916" i="18"/>
  <c r="L1917" i="18"/>
  <c r="L1918" i="18"/>
  <c r="L1919" i="18"/>
  <c r="L1920" i="18"/>
  <c r="L1921" i="18"/>
  <c r="L1922" i="18"/>
  <c r="L1923" i="18"/>
  <c r="L1924" i="18"/>
  <c r="L1925" i="18"/>
  <c r="L1926" i="18"/>
  <c r="L1927" i="18"/>
  <c r="L1928" i="18"/>
  <c r="L1929" i="18"/>
  <c r="L1930" i="18"/>
  <c r="L1931" i="18"/>
  <c r="L1932" i="18"/>
  <c r="L1933" i="18"/>
  <c r="L1934" i="18"/>
  <c r="L1935" i="18"/>
  <c r="L1936" i="18"/>
  <c r="L1937" i="18"/>
  <c r="L1938" i="18"/>
  <c r="L1939" i="18"/>
  <c r="L1940" i="18"/>
  <c r="L1941" i="18"/>
  <c r="L1942" i="18"/>
  <c r="L1943" i="18"/>
  <c r="L1944" i="18"/>
  <c r="L1945" i="18"/>
  <c r="L1946" i="18"/>
  <c r="L1947" i="18"/>
  <c r="L1948" i="18"/>
  <c r="L1949" i="18"/>
  <c r="L1950" i="18"/>
  <c r="L1951" i="18"/>
  <c r="L1952" i="18"/>
  <c r="L1953" i="18"/>
  <c r="L1954" i="18"/>
  <c r="L1955" i="18"/>
  <c r="L1956" i="18"/>
  <c r="L1957" i="18"/>
  <c r="L1958" i="18"/>
  <c r="L1959" i="18"/>
  <c r="L1960" i="18"/>
  <c r="L1961" i="18"/>
  <c r="L1962" i="18"/>
  <c r="L1963" i="18"/>
  <c r="L1964" i="18"/>
  <c r="L1965" i="18"/>
  <c r="L1966" i="18"/>
  <c r="L1967" i="18"/>
  <c r="L1968" i="18"/>
  <c r="L1969" i="18"/>
  <c r="L1970" i="18"/>
  <c r="L1971" i="18"/>
  <c r="L1972" i="18"/>
  <c r="L1973" i="18"/>
  <c r="L1974" i="18"/>
  <c r="L1975" i="18"/>
  <c r="L1976" i="18"/>
  <c r="L1977" i="18"/>
  <c r="L1978" i="18"/>
  <c r="L1979" i="18"/>
  <c r="L1980" i="18"/>
  <c r="L1981" i="18"/>
  <c r="L1982" i="18"/>
  <c r="L1983" i="18"/>
  <c r="L1984" i="18"/>
  <c r="L1985" i="18"/>
  <c r="L1986" i="18"/>
  <c r="L1987" i="18"/>
  <c r="L1988" i="18"/>
  <c r="L1989" i="18"/>
  <c r="L1990" i="18"/>
  <c r="L1991" i="18"/>
  <c r="L1992" i="18"/>
  <c r="L1993" i="18"/>
  <c r="L1994" i="18"/>
  <c r="L1995" i="18"/>
  <c r="L1996" i="18"/>
  <c r="L1997" i="18"/>
  <c r="L1998" i="18"/>
  <c r="L1999" i="18"/>
  <c r="L2000" i="18"/>
  <c r="L2001" i="18"/>
  <c r="L2002" i="18"/>
  <c r="L2003" i="18"/>
  <c r="L2004" i="18"/>
  <c r="L2005" i="18"/>
  <c r="L2006" i="18"/>
  <c r="L2007" i="18"/>
  <c r="L2008" i="18"/>
  <c r="L2009" i="18"/>
  <c r="L2010" i="18"/>
  <c r="L2011" i="18"/>
  <c r="L2012" i="18"/>
  <c r="L2013" i="18"/>
  <c r="L2014" i="18"/>
  <c r="L2015" i="18"/>
  <c r="L2016" i="18"/>
  <c r="L2017" i="18"/>
  <c r="L2018" i="18"/>
  <c r="L2019" i="18"/>
  <c r="L2020" i="18"/>
  <c r="L2021" i="18"/>
  <c r="L2022" i="18"/>
  <c r="L2023" i="18"/>
  <c r="L2024" i="18"/>
  <c r="L2025" i="18"/>
  <c r="L2026" i="18"/>
  <c r="L2027" i="18"/>
  <c r="L2028" i="18"/>
  <c r="L2029" i="18"/>
  <c r="L2030" i="18"/>
  <c r="L2031" i="18"/>
  <c r="L2032" i="18"/>
  <c r="L2033" i="18"/>
  <c r="L2034" i="18"/>
  <c r="L2035" i="18"/>
  <c r="L2036" i="18"/>
  <c r="L2037" i="18"/>
  <c r="L2038" i="18"/>
  <c r="L2039" i="18"/>
  <c r="L2040" i="18"/>
  <c r="L2041" i="18"/>
  <c r="L2042" i="18"/>
  <c r="L2043" i="18"/>
  <c r="L2044" i="18"/>
  <c r="L2045" i="18"/>
  <c r="L2046" i="18"/>
  <c r="L2047" i="18"/>
  <c r="L2048" i="18"/>
  <c r="L2049" i="18"/>
  <c r="L2050" i="18"/>
  <c r="L2051" i="18"/>
  <c r="L2052" i="18"/>
  <c r="L2053" i="18"/>
  <c r="L2054" i="18"/>
  <c r="L2055" i="18"/>
  <c r="L2056" i="18"/>
  <c r="L2057" i="18"/>
  <c r="L2058" i="18"/>
  <c r="L2059" i="18"/>
  <c r="L2060" i="18"/>
  <c r="L2061" i="18"/>
  <c r="L2062" i="18"/>
  <c r="L2063" i="18"/>
  <c r="L2064" i="18"/>
  <c r="L2065" i="18"/>
  <c r="L2066" i="18"/>
  <c r="L2067" i="18"/>
  <c r="L2068" i="18"/>
  <c r="L2069" i="18"/>
  <c r="L2070" i="18"/>
  <c r="L2071" i="18"/>
  <c r="L2072" i="18"/>
  <c r="L2073" i="18"/>
  <c r="L2074" i="18"/>
  <c r="L2075" i="18"/>
  <c r="L2076" i="18"/>
  <c r="L2077" i="18"/>
  <c r="L2078" i="18"/>
  <c r="L2079" i="18"/>
  <c r="L2080" i="18"/>
  <c r="L2081" i="18"/>
  <c r="L2082" i="18"/>
  <c r="L2083" i="18"/>
  <c r="L2084" i="18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51" i="11"/>
  <c r="L81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4" i="18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4" i="11"/>
  <c r="U1441" i="20" l="1"/>
  <c r="T1441" i="20"/>
  <c r="U1440" i="20"/>
  <c r="T1440" i="20"/>
  <c r="U1439" i="20"/>
  <c r="T1439" i="20"/>
  <c r="U1438" i="20"/>
  <c r="T1438" i="20"/>
  <c r="U1437" i="20"/>
  <c r="T1437" i="20"/>
  <c r="U1436" i="20"/>
  <c r="T1436" i="20"/>
  <c r="U1435" i="20"/>
  <c r="T1435" i="20"/>
  <c r="U1434" i="20"/>
  <c r="T1434" i="20"/>
  <c r="U1433" i="20"/>
  <c r="T1433" i="20"/>
  <c r="U1432" i="20"/>
  <c r="T1432" i="20"/>
  <c r="U1431" i="20"/>
  <c r="T1431" i="20"/>
  <c r="U1430" i="20"/>
  <c r="T1430" i="20"/>
  <c r="U1429" i="20"/>
  <c r="T1429" i="20"/>
  <c r="U1428" i="20"/>
  <c r="T1428" i="20"/>
  <c r="U1427" i="20"/>
  <c r="T1427" i="20"/>
  <c r="U1426" i="20"/>
  <c r="T1426" i="20"/>
  <c r="U1425" i="20"/>
  <c r="T1425" i="20"/>
  <c r="U1415" i="20"/>
  <c r="T1415" i="20"/>
  <c r="U1414" i="20"/>
  <c r="T1414" i="20"/>
  <c r="U1413" i="20"/>
  <c r="T1413" i="20"/>
  <c r="U1412" i="20"/>
  <c r="T1412" i="20"/>
  <c r="U1402" i="20"/>
  <c r="T1402" i="20"/>
  <c r="U1401" i="20"/>
  <c r="T1401" i="20"/>
  <c r="U1400" i="20"/>
  <c r="T1400" i="20"/>
  <c r="U1399" i="20"/>
  <c r="T1399" i="20"/>
  <c r="U1389" i="20"/>
  <c r="T1389" i="20"/>
  <c r="U1388" i="20"/>
  <c r="T1388" i="20"/>
  <c r="U1387" i="20"/>
  <c r="T1387" i="20"/>
  <c r="U1386" i="20"/>
  <c r="T1386" i="20"/>
  <c r="U1376" i="20"/>
  <c r="T1376" i="20"/>
  <c r="U1375" i="20"/>
  <c r="T1375" i="20"/>
  <c r="U1374" i="20"/>
  <c r="T1374" i="20"/>
  <c r="U1373" i="20"/>
  <c r="T1373" i="20"/>
  <c r="U1372" i="20"/>
  <c r="T1372" i="20"/>
  <c r="U1371" i="20"/>
  <c r="T1371" i="20"/>
  <c r="U1370" i="20"/>
  <c r="T1370" i="20"/>
  <c r="U1369" i="20"/>
  <c r="T1369" i="20"/>
  <c r="V1368" i="20"/>
  <c r="U1368" i="20"/>
  <c r="T1368" i="20"/>
  <c r="U1367" i="20"/>
  <c r="T1367" i="20"/>
  <c r="U1366" i="20"/>
  <c r="T1366" i="20"/>
  <c r="U1365" i="20"/>
  <c r="T1365" i="20"/>
  <c r="U1364" i="20"/>
  <c r="T1364" i="20"/>
  <c r="U1363" i="20"/>
  <c r="T1363" i="20"/>
  <c r="U1362" i="20"/>
  <c r="T1362" i="20"/>
  <c r="U1361" i="20"/>
  <c r="T1361" i="20"/>
  <c r="U1360" i="20"/>
  <c r="T1360" i="20"/>
  <c r="U1359" i="20"/>
  <c r="T1359" i="20"/>
  <c r="U1358" i="20"/>
  <c r="T1358" i="20"/>
  <c r="U1357" i="20"/>
  <c r="T1357" i="20"/>
  <c r="U1356" i="20"/>
  <c r="T1356" i="20"/>
  <c r="U1355" i="20"/>
  <c r="T1355" i="20"/>
  <c r="U1354" i="20"/>
  <c r="T1354" i="20"/>
  <c r="U1353" i="20"/>
  <c r="T1353" i="20"/>
  <c r="U1352" i="20"/>
  <c r="T1352" i="20"/>
  <c r="U1351" i="20"/>
  <c r="T1351" i="20"/>
  <c r="U1350" i="20"/>
  <c r="T1350" i="20"/>
  <c r="U1349" i="20"/>
  <c r="T1349" i="20"/>
  <c r="U1348" i="20"/>
  <c r="T1348" i="20"/>
  <c r="U1347" i="20"/>
  <c r="T1347" i="20"/>
  <c r="U1337" i="20"/>
  <c r="T1337" i="20"/>
  <c r="U1336" i="20"/>
  <c r="T1336" i="20"/>
  <c r="U1335" i="20"/>
  <c r="T1335" i="20"/>
  <c r="U1334" i="20"/>
  <c r="T1334" i="20"/>
  <c r="U1324" i="20"/>
  <c r="T1324" i="20"/>
  <c r="U1323" i="20"/>
  <c r="T1323" i="20"/>
  <c r="U1322" i="20"/>
  <c r="T1322" i="20"/>
  <c r="U1321" i="20"/>
  <c r="T1321" i="20"/>
  <c r="U1320" i="20"/>
  <c r="T1320" i="20"/>
  <c r="U1319" i="20"/>
  <c r="T1319" i="20"/>
  <c r="U1318" i="20"/>
  <c r="T1318" i="20"/>
  <c r="U1317" i="20"/>
  <c r="T1317" i="20"/>
  <c r="U1316" i="20"/>
  <c r="T1316" i="20"/>
  <c r="U1315" i="20"/>
  <c r="T1315" i="20"/>
  <c r="U1314" i="20"/>
  <c r="T1314" i="20"/>
  <c r="U1313" i="20"/>
  <c r="T1313" i="20"/>
  <c r="U1312" i="20"/>
  <c r="T1312" i="20"/>
  <c r="U1311" i="20"/>
  <c r="T1311" i="20"/>
  <c r="U1310" i="20"/>
  <c r="T1310" i="20"/>
  <c r="U1309" i="20"/>
  <c r="T1309" i="20"/>
  <c r="U1308" i="20"/>
  <c r="T1308" i="20"/>
  <c r="U1307" i="20"/>
  <c r="T1307" i="20"/>
  <c r="U1306" i="20"/>
  <c r="T1306" i="20"/>
  <c r="U1305" i="20"/>
  <c r="T1305" i="20"/>
  <c r="U1304" i="20"/>
  <c r="T1304" i="20"/>
  <c r="U1303" i="20"/>
  <c r="T1303" i="20"/>
  <c r="U1302" i="20"/>
  <c r="T1302" i="20"/>
  <c r="U1301" i="20"/>
  <c r="T1301" i="20"/>
  <c r="U1300" i="20"/>
  <c r="T1300" i="20"/>
  <c r="U1299" i="20"/>
  <c r="T1299" i="20"/>
  <c r="U1298" i="20"/>
  <c r="T1298" i="20"/>
  <c r="U1297" i="20"/>
  <c r="T1297" i="20"/>
  <c r="U1296" i="20"/>
  <c r="T1296" i="20"/>
  <c r="U1295" i="20"/>
  <c r="T1295" i="20"/>
  <c r="U1294" i="20"/>
  <c r="T1294" i="20"/>
  <c r="U1293" i="20"/>
  <c r="T1293" i="20"/>
  <c r="U1292" i="20"/>
  <c r="T1292" i="20"/>
  <c r="U1291" i="20"/>
  <c r="T1291" i="20"/>
  <c r="U1290" i="20"/>
  <c r="T1290" i="20"/>
  <c r="U1289" i="20"/>
  <c r="T1289" i="20"/>
  <c r="U1288" i="20"/>
  <c r="T1288" i="20"/>
  <c r="U1287" i="20"/>
  <c r="T1287" i="20"/>
  <c r="U1286" i="20"/>
  <c r="T1286" i="20"/>
  <c r="U1285" i="20"/>
  <c r="T1285" i="20"/>
  <c r="U1284" i="20"/>
  <c r="T1284" i="20"/>
  <c r="U1283" i="20"/>
  <c r="T1283" i="20"/>
  <c r="U1282" i="20"/>
  <c r="T1282" i="20"/>
  <c r="U1281" i="20"/>
  <c r="T1281" i="20"/>
  <c r="U1280" i="20"/>
  <c r="T1280" i="20"/>
  <c r="U1279" i="20"/>
  <c r="T1279" i="20"/>
  <c r="U1278" i="20"/>
  <c r="T1278" i="20"/>
  <c r="U1277" i="20"/>
  <c r="T1277" i="20"/>
  <c r="U1276" i="20"/>
  <c r="T1276" i="20"/>
  <c r="U1275" i="20"/>
  <c r="T1275" i="20"/>
  <c r="U1274" i="20"/>
  <c r="T1274" i="20"/>
  <c r="U1273" i="20"/>
  <c r="T1273" i="20"/>
  <c r="U1272" i="20"/>
  <c r="T1272" i="20"/>
  <c r="U1271" i="20"/>
  <c r="T1271" i="20"/>
  <c r="U1270" i="20"/>
  <c r="T1270" i="20"/>
  <c r="U1269" i="20"/>
  <c r="T1269" i="20"/>
  <c r="U1268" i="20"/>
  <c r="T1268" i="20"/>
  <c r="U1267" i="20"/>
  <c r="T1267" i="20"/>
  <c r="U1266" i="20"/>
  <c r="T1266" i="20"/>
  <c r="U1265" i="20"/>
  <c r="T1265" i="20"/>
  <c r="U1264" i="20"/>
  <c r="T1264" i="20"/>
  <c r="U1263" i="20"/>
  <c r="T1263" i="20"/>
  <c r="U1262" i="20"/>
  <c r="T1262" i="20"/>
  <c r="U1261" i="20"/>
  <c r="T1261" i="20"/>
  <c r="U1260" i="20"/>
  <c r="T1260" i="20"/>
  <c r="U1259" i="20"/>
  <c r="T1259" i="20"/>
  <c r="U1258" i="20"/>
  <c r="T1258" i="20"/>
  <c r="U1257" i="20"/>
  <c r="T1257" i="20"/>
  <c r="U1256" i="20"/>
  <c r="T1256" i="20"/>
  <c r="U1255" i="20"/>
  <c r="T1255" i="20"/>
  <c r="U1254" i="20"/>
  <c r="T1254" i="20"/>
  <c r="U1253" i="20"/>
  <c r="T1253" i="20"/>
  <c r="U1252" i="20"/>
  <c r="T1252" i="20"/>
  <c r="U1251" i="20"/>
  <c r="T1251" i="20"/>
  <c r="U1250" i="20"/>
  <c r="T1250" i="20"/>
  <c r="U1249" i="20"/>
  <c r="T1249" i="20"/>
  <c r="U1248" i="20"/>
  <c r="T1248" i="20"/>
  <c r="U1247" i="20"/>
  <c r="T1247" i="20"/>
  <c r="U1246" i="20"/>
  <c r="T1246" i="20"/>
  <c r="U1245" i="20"/>
  <c r="T1245" i="20"/>
  <c r="U1244" i="20"/>
  <c r="T1244" i="20"/>
  <c r="U1243" i="20"/>
  <c r="T1243" i="20"/>
  <c r="U1242" i="20"/>
  <c r="T1242" i="20"/>
  <c r="U1241" i="20"/>
  <c r="T1241" i="20"/>
  <c r="U1240" i="20"/>
  <c r="T1240" i="20"/>
  <c r="U1239" i="20"/>
  <c r="T1239" i="20"/>
  <c r="U1238" i="20"/>
  <c r="T1238" i="20"/>
  <c r="U1237" i="20"/>
  <c r="T1237" i="20"/>
  <c r="U1236" i="20"/>
  <c r="T1236" i="20"/>
  <c r="U1235" i="20"/>
  <c r="T1235" i="20"/>
  <c r="U1234" i="20"/>
  <c r="T1234" i="20"/>
  <c r="U1233" i="20"/>
  <c r="T1233" i="20"/>
  <c r="U1232" i="20"/>
  <c r="T1232" i="20"/>
  <c r="U1231" i="20"/>
  <c r="T1231" i="20"/>
  <c r="U1230" i="20"/>
  <c r="T1230" i="20"/>
  <c r="U1229" i="20"/>
  <c r="T1229" i="20"/>
  <c r="U1228" i="20"/>
  <c r="T1228" i="20"/>
  <c r="U1227" i="20"/>
  <c r="T1227" i="20"/>
  <c r="U1226" i="20"/>
  <c r="T1226" i="20"/>
  <c r="U1225" i="20"/>
  <c r="T1225" i="20"/>
  <c r="U1224" i="20"/>
  <c r="T1224" i="20"/>
  <c r="U1223" i="20"/>
  <c r="T1223" i="20"/>
  <c r="U1222" i="20"/>
  <c r="T1222" i="20"/>
  <c r="U1221" i="20"/>
  <c r="T1221" i="20"/>
  <c r="U1220" i="20"/>
  <c r="T1220" i="20"/>
  <c r="U1219" i="20"/>
  <c r="T1219" i="20"/>
  <c r="U1218" i="20"/>
  <c r="T1218" i="20"/>
  <c r="U1217" i="20"/>
  <c r="T1217" i="20"/>
  <c r="U1216" i="20"/>
  <c r="T1216" i="20"/>
  <c r="U1215" i="20"/>
  <c r="T1215" i="20"/>
  <c r="U1214" i="20"/>
  <c r="T1214" i="20"/>
  <c r="U1213" i="20"/>
  <c r="T1213" i="20"/>
  <c r="U1212" i="20"/>
  <c r="T1212" i="20"/>
  <c r="U1211" i="20"/>
  <c r="T1211" i="20"/>
  <c r="U1210" i="20"/>
  <c r="T1210" i="20"/>
  <c r="U1209" i="20"/>
  <c r="T1209" i="20"/>
  <c r="U1208" i="20"/>
  <c r="T1208" i="20"/>
  <c r="U1207" i="20"/>
  <c r="T1207" i="20"/>
  <c r="U1206" i="20"/>
  <c r="T1206" i="20"/>
  <c r="U1205" i="20"/>
  <c r="T1205" i="20"/>
  <c r="U1204" i="20"/>
  <c r="T1204" i="20"/>
  <c r="U1203" i="20"/>
  <c r="T1203" i="20"/>
  <c r="U1202" i="20"/>
  <c r="T1202" i="20"/>
  <c r="U1201" i="20"/>
  <c r="T1201" i="20"/>
  <c r="U1200" i="20"/>
  <c r="T1200" i="20"/>
  <c r="U1199" i="20"/>
  <c r="T1199" i="20"/>
  <c r="U1198" i="20"/>
  <c r="T1198" i="20"/>
  <c r="U1197" i="20"/>
  <c r="T1197" i="20"/>
  <c r="U1196" i="20"/>
  <c r="T1196" i="20"/>
  <c r="U1195" i="20"/>
  <c r="T1195" i="20"/>
  <c r="U1194" i="20"/>
  <c r="T1194" i="20"/>
  <c r="U1193" i="20"/>
  <c r="T1193" i="20"/>
  <c r="U1192" i="20"/>
  <c r="T1192" i="20"/>
  <c r="U1191" i="20"/>
  <c r="T1191" i="20"/>
  <c r="U1190" i="20"/>
  <c r="T1190" i="20"/>
  <c r="U1189" i="20"/>
  <c r="T1189" i="20"/>
  <c r="U1188" i="20"/>
  <c r="T1188" i="20"/>
  <c r="U1187" i="20"/>
  <c r="T1187" i="20"/>
  <c r="U1186" i="20"/>
  <c r="T1186" i="20"/>
  <c r="U1185" i="20"/>
  <c r="T1185" i="20"/>
  <c r="U1184" i="20"/>
  <c r="T1184" i="20"/>
  <c r="U1183" i="20"/>
  <c r="T1183" i="20"/>
  <c r="U1182" i="20"/>
  <c r="T1182" i="20"/>
  <c r="U1181" i="20"/>
  <c r="T1181" i="20"/>
  <c r="U1180" i="20"/>
  <c r="T1180" i="20"/>
  <c r="U1179" i="20"/>
  <c r="T1179" i="20"/>
  <c r="U1178" i="20"/>
  <c r="T1178" i="20"/>
  <c r="U1177" i="20"/>
  <c r="T1177" i="20"/>
  <c r="U1176" i="20"/>
  <c r="T1176" i="20"/>
  <c r="U1175" i="20"/>
  <c r="T1175" i="20"/>
  <c r="U1174" i="20"/>
  <c r="T1174" i="20"/>
  <c r="U1173" i="20"/>
  <c r="T1173" i="20"/>
  <c r="U1172" i="20"/>
  <c r="T1172" i="20"/>
  <c r="U1171" i="20"/>
  <c r="T1171" i="20"/>
  <c r="U1170" i="20"/>
  <c r="T1170" i="20"/>
  <c r="U1169" i="20"/>
  <c r="T1169" i="20"/>
  <c r="U1168" i="20"/>
  <c r="T1168" i="20"/>
  <c r="U1167" i="20"/>
  <c r="T1167" i="20"/>
  <c r="U1166" i="20"/>
  <c r="T1166" i="20"/>
  <c r="U1165" i="20"/>
  <c r="T1165" i="20"/>
  <c r="U1164" i="20"/>
  <c r="T1164" i="20"/>
  <c r="U1163" i="20"/>
  <c r="T1163" i="20"/>
  <c r="U1162" i="20"/>
  <c r="T1162" i="20"/>
  <c r="U1161" i="20"/>
  <c r="T1161" i="20"/>
  <c r="U1160" i="20"/>
  <c r="T1160" i="20"/>
  <c r="U1159" i="20"/>
  <c r="T1159" i="20"/>
  <c r="U1158" i="20"/>
  <c r="T1158" i="20"/>
  <c r="U1157" i="20"/>
  <c r="T1157" i="20"/>
  <c r="U1156" i="20"/>
  <c r="T1156" i="20"/>
  <c r="U1155" i="20"/>
  <c r="T1155" i="20"/>
  <c r="U1154" i="20"/>
  <c r="T1154" i="20"/>
  <c r="U1153" i="20"/>
  <c r="T1153" i="20"/>
  <c r="U1152" i="20"/>
  <c r="T1152" i="20"/>
  <c r="U1151" i="20"/>
  <c r="T1151" i="20"/>
  <c r="U1150" i="20"/>
  <c r="T1150" i="20"/>
  <c r="U1149" i="20"/>
  <c r="T1149" i="20"/>
  <c r="U1148" i="20"/>
  <c r="T1148" i="20"/>
  <c r="U1147" i="20"/>
  <c r="T1147" i="20"/>
  <c r="U1146" i="20"/>
  <c r="T1146" i="20"/>
  <c r="U1145" i="20"/>
  <c r="T1145" i="20"/>
  <c r="U1144" i="20"/>
  <c r="T1144" i="20"/>
  <c r="U1143" i="20"/>
  <c r="T1143" i="20"/>
  <c r="U1142" i="20"/>
  <c r="T1142" i="20"/>
  <c r="U1141" i="20"/>
  <c r="T1141" i="20"/>
  <c r="U1140" i="20"/>
  <c r="T1140" i="20"/>
  <c r="U1139" i="20"/>
  <c r="T1139" i="20"/>
  <c r="U1138" i="20"/>
  <c r="T1138" i="20"/>
  <c r="U1137" i="20"/>
  <c r="T1137" i="20"/>
  <c r="U1136" i="20"/>
  <c r="T1136" i="20"/>
  <c r="U1135" i="20"/>
  <c r="T1135" i="20"/>
  <c r="U1134" i="20"/>
  <c r="T1134" i="20"/>
  <c r="U1133" i="20"/>
  <c r="T1133" i="20"/>
  <c r="U1132" i="20"/>
  <c r="T1132" i="20"/>
  <c r="U1131" i="20"/>
  <c r="T1131" i="20"/>
  <c r="U1130" i="20"/>
  <c r="T1130" i="20"/>
  <c r="U1129" i="20"/>
  <c r="T1129" i="20"/>
  <c r="U1128" i="20"/>
  <c r="T1128" i="20"/>
  <c r="U1127" i="20"/>
  <c r="T1127" i="20"/>
  <c r="U1126" i="20"/>
  <c r="T1126" i="20"/>
  <c r="U1125" i="20"/>
  <c r="T1125" i="20"/>
  <c r="U1124" i="20"/>
  <c r="T1124" i="20"/>
  <c r="U1123" i="20"/>
  <c r="T1123" i="20"/>
  <c r="U1122" i="20"/>
  <c r="T1122" i="20"/>
  <c r="U1121" i="20"/>
  <c r="T1121" i="20"/>
  <c r="U1120" i="20"/>
  <c r="T1120" i="20"/>
  <c r="U1119" i="20"/>
  <c r="T1119" i="20"/>
  <c r="U1118" i="20"/>
  <c r="T1118" i="20"/>
  <c r="U1117" i="20"/>
  <c r="T1117" i="20"/>
  <c r="U1116" i="20"/>
  <c r="T1116" i="20"/>
  <c r="U1115" i="20"/>
  <c r="T1115" i="20"/>
  <c r="U1114" i="20"/>
  <c r="T1114" i="20"/>
  <c r="U1113" i="20"/>
  <c r="T1113" i="20"/>
  <c r="U1112" i="20"/>
  <c r="T1112" i="20"/>
  <c r="U1111" i="20"/>
  <c r="T1111" i="20"/>
  <c r="U1110" i="20"/>
  <c r="T1110" i="20"/>
  <c r="U1109" i="20"/>
  <c r="T1109" i="20"/>
  <c r="U1108" i="20"/>
  <c r="T1108" i="20"/>
  <c r="U1107" i="20"/>
  <c r="T1107" i="20"/>
  <c r="U1106" i="20"/>
  <c r="T1106" i="20"/>
  <c r="U1105" i="20"/>
  <c r="T1105" i="20"/>
  <c r="U1104" i="20"/>
  <c r="T1104" i="20"/>
  <c r="U1103" i="20"/>
  <c r="T1103" i="20"/>
  <c r="U1102" i="20"/>
  <c r="T1102" i="20"/>
  <c r="U1101" i="20"/>
  <c r="T1101" i="20"/>
  <c r="U1100" i="20"/>
  <c r="T1100" i="20"/>
  <c r="U1099" i="20"/>
  <c r="T1099" i="20"/>
  <c r="U1098" i="20"/>
  <c r="T1098" i="20"/>
  <c r="U1097" i="20"/>
  <c r="T1097" i="20"/>
  <c r="U1096" i="20"/>
  <c r="T1096" i="20"/>
  <c r="U1095" i="20"/>
  <c r="T1095" i="20"/>
  <c r="U1094" i="20"/>
  <c r="T1094" i="20"/>
  <c r="U1093" i="20"/>
  <c r="T1093" i="20"/>
  <c r="U1092" i="20"/>
  <c r="T1092" i="20"/>
  <c r="U1091" i="20"/>
  <c r="T1091" i="20"/>
  <c r="U1090" i="20"/>
  <c r="T1090" i="20"/>
  <c r="U1089" i="20"/>
  <c r="T1089" i="20"/>
  <c r="U1088" i="20"/>
  <c r="T1088" i="20"/>
  <c r="U1087" i="20"/>
  <c r="T1087" i="20"/>
  <c r="U1086" i="20"/>
  <c r="T1086" i="20"/>
  <c r="U1085" i="20"/>
  <c r="T1085" i="20"/>
  <c r="U1084" i="20"/>
  <c r="T1084" i="20"/>
  <c r="U1083" i="20"/>
  <c r="T1083" i="20"/>
  <c r="U1082" i="20"/>
  <c r="T1082" i="20"/>
  <c r="U1081" i="20"/>
  <c r="T1081" i="20"/>
  <c r="U1080" i="20"/>
  <c r="T1080" i="20"/>
  <c r="U1079" i="20"/>
  <c r="T1079" i="20"/>
  <c r="U1078" i="20"/>
  <c r="T1078" i="20"/>
  <c r="U1077" i="20"/>
  <c r="T1077" i="20"/>
  <c r="U1076" i="20"/>
  <c r="T1076" i="20"/>
  <c r="U1075" i="20"/>
  <c r="T1075" i="20"/>
  <c r="U1074" i="20"/>
  <c r="T1074" i="20"/>
  <c r="U1073" i="20"/>
  <c r="T1073" i="20"/>
  <c r="U1072" i="20"/>
  <c r="T1072" i="20"/>
  <c r="U1071" i="20"/>
  <c r="T1071" i="20"/>
  <c r="U1070" i="20"/>
  <c r="T1070" i="20"/>
  <c r="U1069" i="20"/>
  <c r="T1069" i="20"/>
  <c r="U1068" i="20"/>
  <c r="T1068" i="20"/>
  <c r="U1067" i="20"/>
  <c r="T1067" i="20"/>
  <c r="U1066" i="20"/>
  <c r="T1066" i="20"/>
  <c r="U1065" i="20"/>
  <c r="T1065" i="20"/>
  <c r="U1064" i="20"/>
  <c r="T1064" i="20"/>
  <c r="U1063" i="20"/>
  <c r="T1063" i="20"/>
  <c r="U1062" i="20"/>
  <c r="T1062" i="20"/>
  <c r="U1061" i="20"/>
  <c r="T1061" i="20"/>
  <c r="U1060" i="20"/>
  <c r="T1060" i="20"/>
  <c r="U1059" i="20"/>
  <c r="T1059" i="20"/>
  <c r="U1058" i="20"/>
  <c r="T1058" i="20"/>
  <c r="U1057" i="20"/>
  <c r="T1057" i="20"/>
  <c r="U1056" i="20"/>
  <c r="T1056" i="20"/>
  <c r="U1055" i="20"/>
  <c r="T1055" i="20"/>
  <c r="U1054" i="20"/>
  <c r="T1054" i="20"/>
  <c r="U1053" i="20"/>
  <c r="T1053" i="20"/>
  <c r="U1052" i="20"/>
  <c r="T1052" i="20"/>
  <c r="U1051" i="20"/>
  <c r="T1051" i="20"/>
  <c r="U1050" i="20"/>
  <c r="T1050" i="20"/>
  <c r="U1049" i="20"/>
  <c r="T1049" i="20"/>
  <c r="U1048" i="20"/>
  <c r="T1048" i="20"/>
  <c r="U1047" i="20"/>
  <c r="T1047" i="20"/>
  <c r="U1046" i="20"/>
  <c r="T1046" i="20"/>
  <c r="U1045" i="20"/>
  <c r="T1045" i="20"/>
  <c r="U1044" i="20"/>
  <c r="T1044" i="20"/>
  <c r="U1043" i="20"/>
  <c r="T1043" i="20"/>
  <c r="U1042" i="20"/>
  <c r="T1042" i="20"/>
  <c r="U1041" i="20"/>
  <c r="T1041" i="20"/>
  <c r="U1040" i="20"/>
  <c r="T1040" i="20"/>
  <c r="U1039" i="20"/>
  <c r="T1039" i="20"/>
  <c r="U1038" i="20"/>
  <c r="T1038" i="20"/>
  <c r="U1037" i="20"/>
  <c r="T1037" i="20"/>
  <c r="U1036" i="20"/>
  <c r="T1036" i="20"/>
  <c r="U1035" i="20"/>
  <c r="T1035" i="20"/>
  <c r="U1034" i="20"/>
  <c r="T1034" i="20"/>
  <c r="U1033" i="20"/>
  <c r="T1033" i="20"/>
  <c r="U1032" i="20"/>
  <c r="T1032" i="20"/>
  <c r="U1031" i="20"/>
  <c r="T1031" i="20"/>
  <c r="U1030" i="20"/>
  <c r="T1030" i="20"/>
  <c r="U1029" i="20"/>
  <c r="T1029" i="20"/>
  <c r="U1028" i="20"/>
  <c r="T1028" i="20"/>
  <c r="U1027" i="20"/>
  <c r="T1027" i="20"/>
  <c r="U1026" i="20"/>
  <c r="T1026" i="20"/>
  <c r="U1025" i="20"/>
  <c r="T1025" i="20"/>
  <c r="U1024" i="20"/>
  <c r="T1024" i="20"/>
  <c r="U1023" i="20"/>
  <c r="T1023" i="20"/>
  <c r="U1022" i="20"/>
  <c r="T1022" i="20"/>
  <c r="U1021" i="20"/>
  <c r="T1021" i="20"/>
  <c r="U1020" i="20"/>
  <c r="T1020" i="20"/>
  <c r="U1019" i="20"/>
  <c r="T1019" i="20"/>
  <c r="U1018" i="20"/>
  <c r="T1018" i="20"/>
  <c r="U1017" i="20"/>
  <c r="T1017" i="20"/>
  <c r="U1016" i="20"/>
  <c r="T1016" i="20"/>
  <c r="U1015" i="20"/>
  <c r="T1015" i="20"/>
  <c r="U1014" i="20"/>
  <c r="T1014" i="20"/>
  <c r="U1013" i="20"/>
  <c r="T1013" i="20"/>
  <c r="U1012" i="20"/>
  <c r="T1012" i="20"/>
  <c r="U1011" i="20"/>
  <c r="T1011" i="20"/>
  <c r="U1010" i="20"/>
  <c r="T1010" i="20"/>
  <c r="U1009" i="20"/>
  <c r="T1009" i="20"/>
  <c r="U1008" i="20"/>
  <c r="T1008" i="20"/>
  <c r="U1007" i="20"/>
  <c r="T1007" i="20"/>
  <c r="U1006" i="20"/>
  <c r="T1006" i="20"/>
  <c r="U1005" i="20"/>
  <c r="T1005" i="20"/>
  <c r="U1004" i="20"/>
  <c r="T1004" i="20"/>
  <c r="U1003" i="20"/>
  <c r="T1003" i="20"/>
  <c r="U1002" i="20"/>
  <c r="T1002" i="20"/>
  <c r="U1001" i="20"/>
  <c r="T1001" i="20"/>
  <c r="U1000" i="20"/>
  <c r="T1000" i="20"/>
  <c r="U999" i="20"/>
  <c r="T999" i="20"/>
  <c r="U998" i="20"/>
  <c r="T998" i="20"/>
  <c r="U997" i="20"/>
  <c r="T997" i="20"/>
  <c r="U996" i="20"/>
  <c r="T996" i="20"/>
  <c r="U995" i="20"/>
  <c r="T995" i="20"/>
  <c r="U994" i="20"/>
  <c r="T994" i="20"/>
  <c r="U993" i="20"/>
  <c r="T993" i="20"/>
  <c r="U992" i="20"/>
  <c r="T992" i="20"/>
  <c r="U991" i="20"/>
  <c r="T991" i="20"/>
  <c r="U990" i="20"/>
  <c r="T990" i="20"/>
  <c r="U989" i="20"/>
  <c r="T989" i="20"/>
  <c r="U988" i="20"/>
  <c r="T988" i="20"/>
  <c r="U987" i="20"/>
  <c r="T987" i="20"/>
  <c r="U986" i="20"/>
  <c r="T986" i="20"/>
  <c r="U985" i="20"/>
  <c r="T985" i="20"/>
  <c r="U984" i="20"/>
  <c r="T984" i="20"/>
  <c r="U983" i="20"/>
  <c r="T983" i="20"/>
  <c r="U982" i="20"/>
  <c r="T982" i="20"/>
  <c r="U981" i="20"/>
  <c r="T981" i="20"/>
  <c r="U980" i="20"/>
  <c r="T980" i="20"/>
  <c r="U979" i="20"/>
  <c r="T979" i="20"/>
  <c r="U978" i="20"/>
  <c r="T978" i="20"/>
  <c r="U977" i="20"/>
  <c r="T977" i="20"/>
  <c r="U976" i="20"/>
  <c r="T976" i="20"/>
  <c r="U975" i="20"/>
  <c r="T975" i="20"/>
  <c r="U974" i="20"/>
  <c r="T974" i="20"/>
  <c r="U973" i="20"/>
  <c r="T973" i="20"/>
  <c r="U972" i="20"/>
  <c r="T972" i="20"/>
  <c r="U971" i="20"/>
  <c r="T971" i="20"/>
  <c r="U970" i="20"/>
  <c r="T970" i="20"/>
  <c r="U969" i="20"/>
  <c r="T969" i="20"/>
  <c r="U968" i="20"/>
  <c r="T968" i="20"/>
  <c r="U967" i="20"/>
  <c r="T967" i="20"/>
  <c r="U966" i="20"/>
  <c r="T966" i="20"/>
  <c r="U965" i="20"/>
  <c r="T965" i="20"/>
  <c r="U964" i="20"/>
  <c r="T964" i="20"/>
  <c r="U963" i="20"/>
  <c r="T963" i="20"/>
  <c r="U962" i="20"/>
  <c r="T962" i="20"/>
  <c r="U961" i="20"/>
  <c r="T961" i="20"/>
  <c r="U960" i="20"/>
  <c r="T960" i="20"/>
  <c r="U959" i="20"/>
  <c r="T959" i="20"/>
  <c r="U958" i="20"/>
  <c r="T958" i="20"/>
  <c r="U957" i="20"/>
  <c r="T957" i="20"/>
  <c r="U956" i="20"/>
  <c r="T956" i="20"/>
  <c r="U955" i="20"/>
  <c r="T955" i="20"/>
  <c r="U954" i="20"/>
  <c r="T954" i="20"/>
  <c r="U953" i="20"/>
  <c r="T953" i="20"/>
  <c r="U952" i="20"/>
  <c r="T952" i="20"/>
  <c r="U951" i="20"/>
  <c r="T951" i="20"/>
  <c r="U950" i="20"/>
  <c r="T950" i="20"/>
  <c r="U949" i="20"/>
  <c r="T949" i="20"/>
  <c r="U948" i="20"/>
  <c r="T948" i="20"/>
  <c r="U947" i="20"/>
  <c r="T947" i="20"/>
  <c r="U946" i="20"/>
  <c r="T946" i="20"/>
  <c r="U945" i="20"/>
  <c r="T945" i="20"/>
  <c r="U944" i="20"/>
  <c r="T944" i="20"/>
  <c r="U943" i="20"/>
  <c r="T943" i="20"/>
  <c r="U942" i="20"/>
  <c r="T942" i="20"/>
  <c r="U941" i="20"/>
  <c r="T941" i="20"/>
  <c r="U940" i="20"/>
  <c r="T940" i="20"/>
  <c r="U939" i="20"/>
  <c r="T939" i="20"/>
  <c r="U938" i="20"/>
  <c r="T938" i="20"/>
  <c r="U937" i="20"/>
  <c r="T937" i="20"/>
  <c r="U936" i="20"/>
  <c r="T936" i="20"/>
  <c r="U935" i="20"/>
  <c r="T935" i="20"/>
  <c r="U934" i="20"/>
  <c r="T934" i="20"/>
  <c r="U933" i="20"/>
  <c r="T933" i="20"/>
  <c r="U932" i="20"/>
  <c r="T932" i="20"/>
  <c r="U931" i="20"/>
  <c r="T931" i="20"/>
  <c r="U930" i="20"/>
  <c r="T930" i="20"/>
  <c r="U929" i="20"/>
  <c r="T929" i="20"/>
  <c r="U928" i="20"/>
  <c r="T928" i="20"/>
  <c r="U927" i="20"/>
  <c r="T927" i="20"/>
  <c r="U926" i="20"/>
  <c r="T926" i="20"/>
  <c r="U925" i="20"/>
  <c r="T925" i="20"/>
  <c r="U924" i="20"/>
  <c r="T924" i="20"/>
  <c r="U923" i="20"/>
  <c r="T923" i="20"/>
  <c r="U922" i="20"/>
  <c r="T922" i="20"/>
  <c r="U921" i="20"/>
  <c r="T921" i="20"/>
  <c r="U920" i="20"/>
  <c r="T920" i="20"/>
  <c r="U919" i="20"/>
  <c r="T919" i="20"/>
  <c r="U918" i="20"/>
  <c r="T918" i="20"/>
  <c r="U917" i="20"/>
  <c r="T917" i="20"/>
  <c r="U916" i="20"/>
  <c r="T916" i="20"/>
  <c r="U915" i="20"/>
  <c r="T915" i="20"/>
  <c r="U914" i="20"/>
  <c r="T914" i="20"/>
  <c r="U913" i="20"/>
  <c r="T913" i="20"/>
  <c r="U912" i="20"/>
  <c r="T912" i="20"/>
  <c r="U911" i="20"/>
  <c r="T911" i="20"/>
  <c r="U910" i="20"/>
  <c r="T910" i="20"/>
  <c r="U909" i="20"/>
  <c r="T909" i="20"/>
  <c r="U908" i="20"/>
  <c r="T908" i="20"/>
  <c r="U907" i="20"/>
  <c r="T907" i="20"/>
  <c r="U906" i="20"/>
  <c r="T906" i="20"/>
  <c r="U905" i="20"/>
  <c r="T905" i="20"/>
  <c r="U904" i="20"/>
  <c r="T904" i="20"/>
  <c r="U903" i="20"/>
  <c r="T903" i="20"/>
  <c r="U902" i="20"/>
  <c r="T902" i="20"/>
  <c r="U901" i="20"/>
  <c r="T901" i="20"/>
  <c r="U900" i="20"/>
  <c r="T900" i="20"/>
  <c r="U899" i="20"/>
  <c r="T899" i="20"/>
  <c r="U898" i="20"/>
  <c r="T898" i="20"/>
  <c r="U897" i="20"/>
  <c r="T897" i="20"/>
  <c r="U896" i="20"/>
  <c r="T896" i="20"/>
  <c r="U895" i="20"/>
  <c r="T895" i="20"/>
  <c r="U894" i="20"/>
  <c r="T894" i="20"/>
  <c r="U893" i="20"/>
  <c r="T893" i="20"/>
  <c r="U892" i="20"/>
  <c r="T892" i="20"/>
  <c r="U891" i="20"/>
  <c r="T891" i="20"/>
  <c r="U890" i="20"/>
  <c r="T890" i="20"/>
  <c r="U889" i="20"/>
  <c r="T889" i="20"/>
  <c r="U888" i="20"/>
  <c r="T888" i="20"/>
  <c r="U887" i="20"/>
  <c r="T887" i="20"/>
  <c r="U886" i="20"/>
  <c r="T886" i="20"/>
  <c r="U885" i="20"/>
  <c r="T885" i="20"/>
  <c r="U884" i="20"/>
  <c r="T884" i="20"/>
  <c r="U883" i="20"/>
  <c r="T883" i="20"/>
  <c r="U882" i="20"/>
  <c r="T882" i="20"/>
  <c r="U881" i="20"/>
  <c r="T881" i="20"/>
  <c r="U880" i="20"/>
  <c r="T880" i="20"/>
  <c r="U879" i="20"/>
  <c r="T879" i="20"/>
  <c r="U878" i="20"/>
  <c r="T878" i="20"/>
  <c r="U877" i="20"/>
  <c r="T877" i="20"/>
  <c r="U876" i="20"/>
  <c r="T876" i="20"/>
  <c r="U875" i="20"/>
  <c r="T875" i="20"/>
  <c r="U874" i="20"/>
  <c r="T874" i="20"/>
  <c r="U873" i="20"/>
  <c r="T873" i="20"/>
  <c r="U872" i="20"/>
  <c r="T872" i="20"/>
  <c r="U871" i="20"/>
  <c r="T871" i="20"/>
  <c r="U870" i="20"/>
  <c r="T870" i="20"/>
  <c r="U869" i="20"/>
  <c r="T869" i="20"/>
  <c r="U868" i="20"/>
  <c r="T868" i="20"/>
  <c r="U867" i="20"/>
  <c r="T867" i="20"/>
  <c r="U866" i="20"/>
  <c r="T866" i="20"/>
  <c r="U865" i="20"/>
  <c r="T865" i="20"/>
  <c r="U864" i="20"/>
  <c r="T864" i="20"/>
  <c r="U863" i="20"/>
  <c r="T863" i="20"/>
  <c r="U862" i="20"/>
  <c r="T862" i="20"/>
  <c r="U861" i="20"/>
  <c r="T861" i="20"/>
  <c r="U860" i="20"/>
  <c r="T860" i="20"/>
  <c r="U859" i="20"/>
  <c r="T859" i="20"/>
  <c r="U858" i="20"/>
  <c r="T858" i="20"/>
  <c r="U857" i="20"/>
  <c r="T857" i="20"/>
  <c r="U856" i="20"/>
  <c r="T856" i="20"/>
  <c r="U855" i="20"/>
  <c r="T855" i="20"/>
  <c r="U854" i="20"/>
  <c r="T854" i="20"/>
  <c r="U853" i="20"/>
  <c r="T853" i="20"/>
  <c r="U852" i="20"/>
  <c r="T852" i="20"/>
  <c r="U851" i="20"/>
  <c r="T851" i="20"/>
  <c r="U850" i="20"/>
  <c r="T850" i="20"/>
  <c r="U849" i="20"/>
  <c r="T849" i="20"/>
  <c r="U848" i="20"/>
  <c r="T848" i="20"/>
  <c r="U847" i="20"/>
  <c r="T847" i="20"/>
  <c r="U846" i="20"/>
  <c r="T846" i="20"/>
  <c r="U845" i="20"/>
  <c r="T845" i="20"/>
  <c r="U844" i="20"/>
  <c r="T844" i="20"/>
  <c r="U843" i="20"/>
  <c r="T843" i="20"/>
  <c r="U842" i="20"/>
  <c r="T842" i="20"/>
  <c r="U841" i="20"/>
  <c r="T841" i="20"/>
  <c r="U840" i="20"/>
  <c r="T840" i="20"/>
  <c r="U839" i="20"/>
  <c r="T839" i="20"/>
  <c r="U838" i="20"/>
  <c r="T838" i="20"/>
  <c r="U837" i="20"/>
  <c r="T837" i="20"/>
  <c r="U836" i="20"/>
  <c r="T836" i="20"/>
  <c r="U835" i="20"/>
  <c r="T835" i="20"/>
  <c r="U834" i="20"/>
  <c r="T834" i="20"/>
  <c r="U833" i="20"/>
  <c r="T833" i="20"/>
  <c r="U832" i="20"/>
  <c r="T832" i="20"/>
  <c r="U831" i="20"/>
  <c r="T831" i="20"/>
  <c r="U830" i="20"/>
  <c r="T830" i="20"/>
  <c r="U829" i="20"/>
  <c r="T829" i="20"/>
  <c r="U828" i="20"/>
  <c r="T828" i="20"/>
  <c r="U827" i="20"/>
  <c r="T827" i="20"/>
  <c r="U826" i="20"/>
  <c r="T826" i="20"/>
  <c r="U825" i="20"/>
  <c r="T825" i="20"/>
  <c r="U824" i="20"/>
  <c r="T824" i="20"/>
  <c r="U823" i="20"/>
  <c r="T823" i="20"/>
  <c r="U822" i="20"/>
  <c r="T822" i="20"/>
  <c r="U821" i="20"/>
  <c r="T821" i="20"/>
  <c r="U820" i="20"/>
  <c r="T820" i="20"/>
  <c r="U819" i="20"/>
  <c r="T819" i="20"/>
  <c r="U818" i="20"/>
  <c r="T818" i="20"/>
  <c r="U817" i="20"/>
  <c r="T817" i="20"/>
  <c r="U816" i="20"/>
  <c r="T816" i="20"/>
  <c r="U815" i="20"/>
  <c r="T815" i="20"/>
  <c r="U814" i="20"/>
  <c r="T814" i="20"/>
  <c r="U813" i="20"/>
  <c r="T813" i="20"/>
  <c r="U812" i="20"/>
  <c r="T812" i="20"/>
  <c r="U811" i="20"/>
  <c r="T811" i="20"/>
  <c r="U810" i="20"/>
  <c r="T810" i="20"/>
  <c r="U809" i="20"/>
  <c r="T809" i="20"/>
  <c r="U808" i="20"/>
  <c r="T808" i="20"/>
  <c r="U807" i="20"/>
  <c r="T807" i="20"/>
  <c r="U806" i="20"/>
  <c r="T806" i="20"/>
  <c r="U805" i="20"/>
  <c r="T805" i="20"/>
  <c r="U804" i="20"/>
  <c r="T804" i="20"/>
  <c r="U803" i="20"/>
  <c r="T803" i="20"/>
  <c r="U802" i="20"/>
  <c r="T802" i="20"/>
  <c r="U801" i="20"/>
  <c r="T801" i="20"/>
  <c r="U800" i="20"/>
  <c r="T800" i="20"/>
  <c r="U799" i="20"/>
  <c r="T799" i="20"/>
  <c r="U798" i="20"/>
  <c r="T798" i="20"/>
  <c r="U797" i="20"/>
  <c r="T797" i="20"/>
  <c r="U796" i="20"/>
  <c r="T796" i="20"/>
  <c r="U795" i="20"/>
  <c r="T795" i="20"/>
  <c r="U794" i="20"/>
  <c r="T794" i="20"/>
  <c r="U793" i="20"/>
  <c r="T793" i="20"/>
  <c r="U792" i="20"/>
  <c r="T792" i="20"/>
  <c r="U791" i="20"/>
  <c r="T791" i="20"/>
  <c r="U790" i="20"/>
  <c r="T790" i="20"/>
  <c r="U789" i="20"/>
  <c r="T789" i="20"/>
  <c r="U788" i="20"/>
  <c r="T788" i="20"/>
  <c r="U787" i="20"/>
  <c r="T787" i="20"/>
  <c r="U786" i="20"/>
  <c r="T786" i="20"/>
  <c r="U785" i="20"/>
  <c r="T785" i="20"/>
  <c r="U784" i="20"/>
  <c r="T784" i="20"/>
  <c r="U783" i="20"/>
  <c r="T783" i="20"/>
  <c r="U782" i="20"/>
  <c r="T782" i="20"/>
  <c r="U781" i="20"/>
  <c r="T781" i="20"/>
  <c r="U780" i="20"/>
  <c r="T780" i="20"/>
  <c r="U779" i="20"/>
  <c r="T779" i="20"/>
  <c r="U778" i="20"/>
  <c r="T778" i="20"/>
  <c r="U777" i="20"/>
  <c r="T777" i="20"/>
  <c r="U776" i="20"/>
  <c r="T776" i="20"/>
  <c r="U775" i="20"/>
  <c r="T775" i="20"/>
  <c r="U774" i="20"/>
  <c r="T774" i="20"/>
  <c r="U773" i="20"/>
  <c r="T773" i="20"/>
  <c r="U772" i="20"/>
  <c r="T772" i="20"/>
  <c r="U771" i="20"/>
  <c r="T771" i="20"/>
  <c r="U770" i="20"/>
  <c r="T770" i="20"/>
  <c r="U769" i="20"/>
  <c r="T769" i="20"/>
  <c r="U768" i="20"/>
  <c r="T768" i="20"/>
  <c r="U767" i="20"/>
  <c r="T767" i="20"/>
  <c r="U766" i="20"/>
  <c r="T766" i="20"/>
  <c r="U765" i="20"/>
  <c r="T765" i="20"/>
  <c r="U764" i="20"/>
  <c r="T764" i="20"/>
  <c r="U763" i="20"/>
  <c r="T763" i="20"/>
  <c r="U762" i="20"/>
  <c r="T762" i="20"/>
  <c r="U761" i="20"/>
  <c r="T761" i="20"/>
  <c r="U760" i="20"/>
  <c r="T760" i="20"/>
  <c r="U759" i="20"/>
  <c r="T759" i="20"/>
  <c r="U758" i="20"/>
  <c r="T758" i="20"/>
  <c r="U757" i="20"/>
  <c r="T757" i="20"/>
  <c r="U756" i="20"/>
  <c r="T756" i="20"/>
  <c r="U755" i="20"/>
  <c r="T755" i="20"/>
  <c r="U754" i="20"/>
  <c r="T754" i="20"/>
  <c r="U753" i="20"/>
  <c r="T753" i="20"/>
  <c r="U752" i="20"/>
  <c r="T752" i="20"/>
  <c r="U751" i="20"/>
  <c r="T751" i="20"/>
  <c r="U750" i="20"/>
  <c r="T750" i="20"/>
  <c r="U749" i="20"/>
  <c r="T749" i="20"/>
  <c r="U748" i="20"/>
  <c r="T748" i="20"/>
  <c r="U747" i="20"/>
  <c r="T747" i="20"/>
  <c r="U746" i="20"/>
  <c r="T746" i="20"/>
  <c r="U745" i="20"/>
  <c r="T745" i="20"/>
  <c r="U744" i="20"/>
  <c r="T744" i="20"/>
  <c r="U743" i="20"/>
  <c r="T743" i="20"/>
  <c r="U742" i="20"/>
  <c r="T742" i="20"/>
  <c r="U741" i="20"/>
  <c r="T741" i="20"/>
  <c r="U740" i="20"/>
  <c r="T740" i="20"/>
  <c r="U739" i="20"/>
  <c r="T739" i="20"/>
  <c r="U738" i="20"/>
  <c r="T738" i="20"/>
  <c r="U737" i="20"/>
  <c r="T737" i="20"/>
  <c r="U736" i="20"/>
  <c r="T736" i="20"/>
  <c r="U735" i="20"/>
  <c r="T735" i="20"/>
  <c r="U734" i="20"/>
  <c r="T734" i="20"/>
  <c r="U733" i="20"/>
  <c r="T733" i="20"/>
  <c r="U732" i="20"/>
  <c r="T732" i="20"/>
  <c r="U731" i="20"/>
  <c r="T731" i="20"/>
  <c r="U730" i="20"/>
  <c r="T730" i="20"/>
  <c r="U729" i="20"/>
  <c r="T729" i="20"/>
  <c r="U728" i="20"/>
  <c r="T728" i="20"/>
  <c r="U727" i="20"/>
  <c r="T727" i="20"/>
  <c r="U726" i="20"/>
  <c r="T726" i="20"/>
  <c r="U725" i="20"/>
  <c r="T725" i="20"/>
  <c r="U724" i="20"/>
  <c r="T724" i="20"/>
  <c r="U723" i="20"/>
  <c r="T723" i="20"/>
  <c r="U722" i="20"/>
  <c r="T722" i="20"/>
  <c r="U721" i="20"/>
  <c r="T721" i="20"/>
  <c r="U720" i="20"/>
  <c r="T720" i="20"/>
  <c r="U719" i="20"/>
  <c r="T719" i="20"/>
  <c r="U718" i="20"/>
  <c r="T718" i="20"/>
  <c r="U717" i="20"/>
  <c r="T717" i="20"/>
  <c r="U716" i="20"/>
  <c r="T716" i="20"/>
  <c r="U715" i="20"/>
  <c r="T715" i="20"/>
  <c r="U714" i="20"/>
  <c r="T714" i="20"/>
  <c r="U713" i="20"/>
  <c r="T713" i="20"/>
  <c r="U712" i="20"/>
  <c r="T712" i="20"/>
  <c r="U711" i="20"/>
  <c r="T711" i="20"/>
  <c r="U710" i="20"/>
  <c r="T710" i="20"/>
  <c r="U709" i="20"/>
  <c r="T709" i="20"/>
  <c r="U708" i="20"/>
  <c r="T708" i="20"/>
  <c r="U707" i="20"/>
  <c r="T707" i="20"/>
  <c r="U706" i="20"/>
  <c r="T706" i="20"/>
  <c r="U705" i="20"/>
  <c r="T705" i="20"/>
  <c r="U704" i="20"/>
  <c r="T704" i="20"/>
  <c r="U703" i="20"/>
  <c r="T703" i="20"/>
  <c r="U702" i="20"/>
  <c r="T702" i="20"/>
  <c r="U701" i="20"/>
  <c r="T701" i="20"/>
  <c r="U700" i="20"/>
  <c r="T700" i="20"/>
  <c r="U699" i="20"/>
  <c r="T699" i="20"/>
  <c r="U698" i="20"/>
  <c r="T698" i="20"/>
  <c r="U697" i="20"/>
  <c r="T697" i="20"/>
  <c r="U696" i="20"/>
  <c r="T696" i="20"/>
  <c r="U695" i="20"/>
  <c r="T695" i="20"/>
  <c r="U694" i="20"/>
  <c r="T694" i="20"/>
  <c r="U693" i="20"/>
  <c r="T693" i="20"/>
  <c r="U692" i="20"/>
  <c r="T692" i="20"/>
  <c r="U691" i="20"/>
  <c r="T691" i="20"/>
  <c r="U690" i="20"/>
  <c r="T690" i="20"/>
  <c r="U689" i="20"/>
  <c r="T689" i="20"/>
  <c r="U688" i="20"/>
  <c r="T688" i="20"/>
  <c r="U687" i="20"/>
  <c r="T687" i="20"/>
  <c r="U686" i="20"/>
  <c r="T686" i="20"/>
  <c r="U685" i="20"/>
  <c r="T685" i="20"/>
  <c r="U684" i="20"/>
  <c r="T684" i="20"/>
  <c r="U683" i="20"/>
  <c r="T683" i="20"/>
  <c r="U682" i="20"/>
  <c r="T682" i="20"/>
  <c r="U681" i="20"/>
  <c r="T681" i="20"/>
  <c r="U680" i="20"/>
  <c r="T680" i="20"/>
  <c r="U679" i="20"/>
  <c r="T679" i="20"/>
  <c r="U678" i="20"/>
  <c r="T678" i="20"/>
  <c r="U677" i="20"/>
  <c r="T677" i="20"/>
  <c r="U676" i="20"/>
  <c r="T676" i="20"/>
  <c r="U675" i="20"/>
  <c r="T675" i="20"/>
  <c r="U674" i="20"/>
  <c r="T674" i="20"/>
  <c r="U673" i="20"/>
  <c r="T673" i="20"/>
  <c r="U672" i="20"/>
  <c r="T672" i="20"/>
  <c r="U671" i="20"/>
  <c r="T671" i="20"/>
  <c r="U670" i="20"/>
  <c r="T670" i="20"/>
  <c r="U669" i="20"/>
  <c r="T669" i="20"/>
  <c r="U668" i="20"/>
  <c r="T668" i="20"/>
  <c r="U667" i="20"/>
  <c r="T667" i="20"/>
  <c r="U666" i="20"/>
  <c r="T666" i="20"/>
  <c r="U665" i="20"/>
  <c r="T665" i="20"/>
  <c r="U664" i="20"/>
  <c r="T664" i="20"/>
  <c r="U663" i="20"/>
  <c r="T663" i="20"/>
  <c r="U662" i="20"/>
  <c r="T662" i="20"/>
  <c r="U661" i="20"/>
  <c r="T661" i="20"/>
  <c r="U660" i="20"/>
  <c r="T660" i="20"/>
  <c r="U659" i="20"/>
  <c r="T659" i="20"/>
  <c r="U658" i="20"/>
  <c r="T658" i="20"/>
  <c r="U657" i="20"/>
  <c r="T657" i="20"/>
  <c r="U656" i="20"/>
  <c r="T656" i="20"/>
  <c r="U655" i="20"/>
  <c r="T655" i="20"/>
  <c r="U654" i="20"/>
  <c r="T654" i="20"/>
  <c r="U653" i="20"/>
  <c r="T653" i="20"/>
  <c r="U652" i="20"/>
  <c r="T652" i="20"/>
  <c r="U651" i="20"/>
  <c r="T651" i="20"/>
  <c r="U650" i="20"/>
  <c r="T650" i="20"/>
  <c r="U649" i="20"/>
  <c r="T649" i="20"/>
  <c r="U648" i="20"/>
  <c r="T648" i="20"/>
  <c r="U647" i="20"/>
  <c r="T647" i="20"/>
  <c r="U646" i="20"/>
  <c r="T646" i="20"/>
  <c r="U645" i="20"/>
  <c r="T645" i="20"/>
  <c r="U644" i="20"/>
  <c r="T644" i="20"/>
  <c r="U643" i="20"/>
  <c r="T643" i="20"/>
  <c r="U642" i="20"/>
  <c r="T642" i="20"/>
  <c r="U641" i="20"/>
  <c r="T641" i="20"/>
  <c r="U640" i="20"/>
  <c r="T640" i="20"/>
  <c r="U639" i="20"/>
  <c r="T639" i="20"/>
  <c r="U638" i="20"/>
  <c r="T638" i="20"/>
  <c r="U637" i="20"/>
  <c r="T637" i="20"/>
  <c r="U636" i="20"/>
  <c r="T636" i="20"/>
  <c r="U635" i="20"/>
  <c r="T635" i="20"/>
  <c r="U634" i="20"/>
  <c r="T634" i="20"/>
  <c r="U633" i="20"/>
  <c r="T633" i="20"/>
  <c r="U632" i="20"/>
  <c r="T632" i="20"/>
  <c r="U631" i="20"/>
  <c r="T631" i="20"/>
  <c r="U630" i="20"/>
  <c r="T630" i="20"/>
  <c r="U629" i="20"/>
  <c r="T629" i="20"/>
  <c r="U628" i="20"/>
  <c r="T628" i="20"/>
  <c r="U627" i="20"/>
  <c r="T627" i="20"/>
  <c r="U626" i="20"/>
  <c r="T626" i="20"/>
  <c r="U625" i="20"/>
  <c r="T625" i="20"/>
  <c r="U624" i="20"/>
  <c r="T624" i="20"/>
  <c r="U623" i="20"/>
  <c r="T623" i="20"/>
  <c r="U622" i="20"/>
  <c r="T622" i="20"/>
  <c r="U621" i="20"/>
  <c r="T621" i="20"/>
  <c r="U620" i="20"/>
  <c r="T620" i="20"/>
  <c r="U619" i="20"/>
  <c r="T619" i="20"/>
  <c r="U618" i="20"/>
  <c r="T618" i="20"/>
  <c r="U617" i="20"/>
  <c r="T617" i="20"/>
  <c r="U616" i="20"/>
  <c r="T616" i="20"/>
  <c r="U615" i="20"/>
  <c r="T615" i="20"/>
  <c r="U614" i="20"/>
  <c r="T614" i="20"/>
  <c r="U613" i="20"/>
  <c r="T613" i="20"/>
  <c r="U612" i="20"/>
  <c r="T612" i="20"/>
  <c r="U611" i="20"/>
  <c r="T611" i="20"/>
  <c r="U610" i="20"/>
  <c r="T610" i="20"/>
  <c r="U609" i="20"/>
  <c r="T609" i="20"/>
  <c r="U608" i="20"/>
  <c r="T608" i="20"/>
  <c r="U607" i="20"/>
  <c r="T607" i="20"/>
  <c r="U606" i="20"/>
  <c r="T606" i="20"/>
  <c r="U605" i="20"/>
  <c r="T605" i="20"/>
  <c r="U604" i="20"/>
  <c r="T604" i="20"/>
  <c r="U603" i="20"/>
  <c r="T603" i="20"/>
  <c r="U602" i="20"/>
  <c r="T602" i="20"/>
  <c r="U601" i="20"/>
  <c r="T601" i="20"/>
  <c r="U600" i="20"/>
  <c r="T600" i="20"/>
  <c r="U599" i="20"/>
  <c r="T599" i="20"/>
  <c r="U598" i="20"/>
  <c r="T598" i="20"/>
  <c r="U597" i="20"/>
  <c r="T597" i="20"/>
  <c r="U596" i="20"/>
  <c r="T596" i="20"/>
  <c r="U595" i="20"/>
  <c r="T595" i="20"/>
  <c r="U594" i="20"/>
  <c r="T594" i="20"/>
  <c r="U593" i="20"/>
  <c r="T593" i="20"/>
  <c r="U592" i="20"/>
  <c r="T592" i="20"/>
  <c r="U591" i="20"/>
  <c r="T591" i="20"/>
  <c r="U590" i="20"/>
  <c r="T590" i="20"/>
  <c r="U589" i="20"/>
  <c r="T589" i="20"/>
  <c r="U588" i="20"/>
  <c r="T588" i="20"/>
  <c r="U587" i="20"/>
  <c r="T587" i="20"/>
  <c r="U586" i="20"/>
  <c r="T586" i="20"/>
  <c r="U585" i="20"/>
  <c r="T585" i="20"/>
  <c r="U584" i="20"/>
  <c r="T584" i="20"/>
  <c r="U583" i="20"/>
  <c r="T583" i="20"/>
  <c r="U582" i="20"/>
  <c r="T582" i="20"/>
  <c r="U581" i="20"/>
  <c r="T581" i="20"/>
  <c r="U580" i="20"/>
  <c r="T580" i="20"/>
  <c r="U579" i="20"/>
  <c r="T579" i="20"/>
  <c r="U578" i="20"/>
  <c r="T578" i="20"/>
  <c r="U577" i="20"/>
  <c r="T577" i="20"/>
  <c r="U576" i="20"/>
  <c r="T576" i="20"/>
  <c r="U575" i="20"/>
  <c r="T575" i="20"/>
  <c r="U574" i="20"/>
  <c r="T574" i="20"/>
  <c r="U573" i="20"/>
  <c r="T573" i="20"/>
  <c r="U572" i="20"/>
  <c r="T572" i="20"/>
  <c r="U571" i="20"/>
  <c r="T571" i="20"/>
  <c r="U570" i="20"/>
  <c r="T570" i="20"/>
  <c r="U569" i="20"/>
  <c r="T569" i="20"/>
  <c r="U568" i="20"/>
  <c r="T568" i="20"/>
  <c r="U567" i="20"/>
  <c r="T567" i="20"/>
  <c r="U566" i="20"/>
  <c r="T566" i="20"/>
  <c r="U565" i="20"/>
  <c r="T565" i="20"/>
  <c r="U564" i="20"/>
  <c r="T564" i="20"/>
  <c r="U563" i="20"/>
  <c r="T563" i="20"/>
  <c r="U562" i="20"/>
  <c r="T562" i="20"/>
  <c r="U561" i="20"/>
  <c r="T561" i="20"/>
  <c r="U560" i="20"/>
  <c r="T560" i="20"/>
  <c r="U559" i="20"/>
  <c r="T559" i="20"/>
  <c r="U558" i="20"/>
  <c r="T558" i="20"/>
  <c r="U557" i="20"/>
  <c r="T557" i="20"/>
  <c r="U556" i="20"/>
  <c r="T556" i="20"/>
  <c r="U555" i="20"/>
  <c r="T555" i="20"/>
  <c r="U554" i="20"/>
  <c r="T554" i="20"/>
  <c r="U553" i="20"/>
  <c r="T553" i="20"/>
  <c r="U552" i="20"/>
  <c r="T552" i="20"/>
  <c r="U551" i="20"/>
  <c r="T551" i="20"/>
  <c r="U550" i="20"/>
  <c r="T550" i="20"/>
  <c r="U549" i="20"/>
  <c r="T549" i="20"/>
  <c r="U548" i="20"/>
  <c r="T548" i="20"/>
  <c r="U547" i="20"/>
  <c r="T547" i="20"/>
  <c r="U546" i="20"/>
  <c r="T546" i="20"/>
  <c r="U545" i="20"/>
  <c r="T545" i="20"/>
  <c r="U544" i="20"/>
  <c r="T544" i="20"/>
  <c r="U543" i="20"/>
  <c r="T543" i="20"/>
  <c r="U542" i="20"/>
  <c r="T542" i="20"/>
  <c r="U541" i="20"/>
  <c r="T541" i="20"/>
  <c r="U540" i="20"/>
  <c r="T540" i="20"/>
  <c r="U539" i="20"/>
  <c r="T539" i="20"/>
  <c r="U538" i="20"/>
  <c r="T538" i="20"/>
  <c r="U537" i="20"/>
  <c r="T537" i="20"/>
  <c r="U536" i="20"/>
  <c r="T536" i="20"/>
  <c r="U535" i="20"/>
  <c r="T535" i="20"/>
  <c r="U534" i="20"/>
  <c r="T534" i="20"/>
  <c r="U533" i="20"/>
  <c r="T533" i="20"/>
  <c r="U532" i="20"/>
  <c r="T532" i="20"/>
  <c r="U531" i="20"/>
  <c r="T531" i="20"/>
  <c r="U530" i="20"/>
  <c r="T530" i="20"/>
  <c r="U529" i="20"/>
  <c r="T529" i="20"/>
  <c r="U528" i="20"/>
  <c r="T528" i="20"/>
  <c r="U527" i="20"/>
  <c r="T527" i="20"/>
  <c r="U526" i="20"/>
  <c r="T526" i="20"/>
  <c r="U525" i="20"/>
  <c r="T525" i="20"/>
  <c r="U524" i="20"/>
  <c r="T524" i="20"/>
  <c r="U523" i="20"/>
  <c r="T523" i="20"/>
  <c r="U522" i="20"/>
  <c r="T522" i="20"/>
  <c r="U521" i="20"/>
  <c r="T521" i="20"/>
  <c r="U520" i="20"/>
  <c r="T520" i="20"/>
  <c r="U519" i="20"/>
  <c r="T519" i="20"/>
  <c r="U518" i="20"/>
  <c r="T518" i="20"/>
  <c r="U517" i="20"/>
  <c r="T517" i="20"/>
  <c r="U516" i="20"/>
  <c r="T516" i="20"/>
  <c r="U515" i="20"/>
  <c r="T515" i="20"/>
  <c r="U514" i="20"/>
  <c r="T514" i="20"/>
  <c r="U513" i="20"/>
  <c r="T513" i="20"/>
  <c r="U512" i="20"/>
  <c r="T512" i="20"/>
  <c r="U511" i="20"/>
  <c r="T511" i="20"/>
  <c r="U510" i="20"/>
  <c r="T510" i="20"/>
  <c r="U509" i="20"/>
  <c r="T509" i="20"/>
  <c r="U508" i="20"/>
  <c r="T508" i="20"/>
  <c r="U507" i="20"/>
  <c r="T507" i="20"/>
  <c r="U506" i="20"/>
  <c r="T506" i="20"/>
  <c r="U505" i="20"/>
  <c r="T505" i="20"/>
  <c r="U504" i="20"/>
  <c r="T504" i="20"/>
  <c r="U503" i="20"/>
  <c r="T503" i="20"/>
  <c r="U502" i="20"/>
  <c r="T502" i="20"/>
  <c r="U501" i="20"/>
  <c r="T501" i="20"/>
  <c r="U500" i="20"/>
  <c r="T500" i="20"/>
  <c r="U499" i="20"/>
  <c r="T499" i="20"/>
  <c r="U498" i="20"/>
  <c r="T498" i="20"/>
  <c r="U497" i="20"/>
  <c r="T497" i="20"/>
  <c r="U496" i="20"/>
  <c r="T496" i="20"/>
  <c r="U495" i="20"/>
  <c r="T495" i="20"/>
  <c r="U494" i="20"/>
  <c r="T494" i="20"/>
  <c r="U493" i="20"/>
  <c r="T493" i="20"/>
  <c r="U492" i="20"/>
  <c r="T492" i="20"/>
  <c r="U491" i="20"/>
  <c r="T491" i="20"/>
  <c r="U490" i="20"/>
  <c r="T490" i="20"/>
  <c r="U489" i="20"/>
  <c r="T489" i="20"/>
  <c r="U488" i="20"/>
  <c r="T488" i="20"/>
  <c r="U487" i="20"/>
  <c r="T487" i="20"/>
  <c r="U486" i="20"/>
  <c r="T486" i="20"/>
  <c r="U485" i="20"/>
  <c r="T485" i="20"/>
  <c r="U484" i="20"/>
  <c r="T484" i="20"/>
  <c r="U483" i="20"/>
  <c r="T483" i="20"/>
  <c r="U482" i="20"/>
  <c r="T482" i="20"/>
  <c r="U481" i="20"/>
  <c r="T481" i="20"/>
  <c r="U480" i="20"/>
  <c r="T480" i="20"/>
  <c r="U479" i="20"/>
  <c r="T479" i="20"/>
  <c r="U478" i="20"/>
  <c r="T478" i="20"/>
  <c r="U477" i="20"/>
  <c r="T477" i="20"/>
  <c r="U476" i="20"/>
  <c r="T476" i="20"/>
  <c r="U475" i="20"/>
  <c r="T475" i="20"/>
  <c r="U474" i="20"/>
  <c r="T474" i="20"/>
  <c r="U473" i="20"/>
  <c r="T473" i="20"/>
  <c r="U472" i="20"/>
  <c r="T472" i="20"/>
  <c r="U471" i="20"/>
  <c r="T471" i="20"/>
  <c r="U470" i="20"/>
  <c r="T470" i="20"/>
  <c r="U469" i="20"/>
  <c r="T469" i="20"/>
  <c r="U468" i="20"/>
  <c r="T468" i="20"/>
  <c r="U467" i="20"/>
  <c r="T467" i="20"/>
  <c r="U466" i="20"/>
  <c r="T466" i="20"/>
  <c r="U465" i="20"/>
  <c r="T465" i="20"/>
  <c r="U464" i="20"/>
  <c r="T464" i="20"/>
  <c r="U463" i="20"/>
  <c r="T463" i="20"/>
  <c r="U462" i="20"/>
  <c r="T462" i="20"/>
  <c r="U461" i="20"/>
  <c r="T461" i="20"/>
  <c r="U460" i="20"/>
  <c r="T460" i="20"/>
  <c r="U459" i="20"/>
  <c r="T459" i="20"/>
  <c r="U458" i="20"/>
  <c r="T458" i="20"/>
  <c r="U457" i="20"/>
  <c r="T457" i="20"/>
  <c r="U456" i="20"/>
  <c r="T456" i="20"/>
  <c r="U455" i="20"/>
  <c r="T455" i="20"/>
  <c r="U454" i="20"/>
  <c r="T454" i="20"/>
  <c r="U453" i="20"/>
  <c r="T453" i="20"/>
  <c r="U452" i="20"/>
  <c r="T452" i="20"/>
  <c r="U451" i="20"/>
  <c r="T451" i="20"/>
  <c r="U450" i="20"/>
  <c r="T450" i="20"/>
  <c r="U449" i="20"/>
  <c r="T449" i="20"/>
  <c r="U448" i="20"/>
  <c r="T448" i="20"/>
  <c r="U447" i="20"/>
  <c r="T447" i="20"/>
  <c r="U446" i="20"/>
  <c r="T446" i="20"/>
  <c r="U445" i="20"/>
  <c r="T445" i="20"/>
  <c r="U444" i="20"/>
  <c r="T444" i="20"/>
  <c r="U443" i="20"/>
  <c r="T443" i="20"/>
  <c r="U442" i="20"/>
  <c r="T442" i="20"/>
  <c r="U441" i="20"/>
  <c r="T441" i="20"/>
  <c r="U440" i="20"/>
  <c r="T440" i="20"/>
  <c r="U439" i="20"/>
  <c r="T439" i="20"/>
  <c r="U438" i="20"/>
  <c r="T438" i="20"/>
  <c r="U437" i="20"/>
  <c r="T437" i="20"/>
  <c r="U436" i="20"/>
  <c r="T436" i="20"/>
  <c r="U435" i="20"/>
  <c r="T435" i="20"/>
  <c r="U434" i="20"/>
  <c r="T434" i="20"/>
  <c r="U433" i="20"/>
  <c r="T433" i="20"/>
  <c r="U432" i="20"/>
  <c r="T432" i="20"/>
  <c r="U431" i="20"/>
  <c r="T431" i="20"/>
  <c r="U430" i="20"/>
  <c r="T430" i="20"/>
  <c r="U429" i="20"/>
  <c r="T429" i="20"/>
  <c r="U428" i="20"/>
  <c r="T428" i="20"/>
  <c r="U427" i="20"/>
  <c r="T427" i="20"/>
  <c r="U426" i="20"/>
  <c r="T426" i="20"/>
  <c r="U425" i="20"/>
  <c r="T425" i="20"/>
  <c r="U424" i="20"/>
  <c r="T424" i="20"/>
  <c r="U423" i="20"/>
  <c r="T423" i="20"/>
  <c r="U422" i="20"/>
  <c r="T422" i="20"/>
  <c r="U421" i="20"/>
  <c r="T421" i="20"/>
  <c r="U420" i="20"/>
  <c r="T420" i="20"/>
  <c r="U419" i="20"/>
  <c r="T419" i="20"/>
  <c r="U418" i="20"/>
  <c r="T418" i="20"/>
  <c r="U417" i="20"/>
  <c r="T417" i="20"/>
  <c r="U416" i="20"/>
  <c r="T416" i="20"/>
  <c r="U415" i="20"/>
  <c r="T415" i="20"/>
  <c r="U414" i="20"/>
  <c r="T414" i="20"/>
  <c r="U413" i="20"/>
  <c r="T413" i="20"/>
  <c r="U412" i="20"/>
  <c r="T412" i="20"/>
  <c r="U411" i="20"/>
  <c r="T411" i="20"/>
  <c r="U410" i="20"/>
  <c r="T410" i="20"/>
  <c r="U409" i="20"/>
  <c r="T409" i="20"/>
  <c r="U408" i="20"/>
  <c r="T408" i="20"/>
  <c r="U407" i="20"/>
  <c r="T407" i="20"/>
  <c r="U406" i="20"/>
  <c r="T406" i="20"/>
  <c r="U405" i="20"/>
  <c r="T405" i="20"/>
  <c r="U404" i="20"/>
  <c r="T404" i="20"/>
  <c r="U403" i="20"/>
  <c r="T403" i="20"/>
  <c r="U402" i="20"/>
  <c r="T402" i="20"/>
  <c r="U401" i="20"/>
  <c r="T401" i="20"/>
  <c r="U400" i="20"/>
  <c r="T400" i="20"/>
  <c r="U399" i="20"/>
  <c r="T399" i="20"/>
  <c r="U398" i="20"/>
  <c r="T398" i="20"/>
  <c r="U397" i="20"/>
  <c r="T397" i="20"/>
  <c r="U396" i="20"/>
  <c r="T396" i="20"/>
  <c r="U395" i="20"/>
  <c r="T395" i="20"/>
  <c r="U394" i="20"/>
  <c r="T394" i="20"/>
  <c r="U393" i="20"/>
  <c r="T393" i="20"/>
  <c r="U392" i="20"/>
  <c r="T392" i="20"/>
  <c r="U391" i="20"/>
  <c r="T391" i="20"/>
  <c r="U390" i="20"/>
  <c r="T390" i="20"/>
  <c r="U389" i="20"/>
  <c r="T389" i="20"/>
  <c r="U388" i="20"/>
  <c r="T388" i="20"/>
  <c r="U387" i="20"/>
  <c r="T387" i="20"/>
  <c r="U386" i="20"/>
  <c r="T386" i="20"/>
  <c r="U385" i="20"/>
  <c r="T385" i="20"/>
  <c r="U384" i="20"/>
  <c r="T384" i="20"/>
  <c r="U383" i="20"/>
  <c r="T383" i="20"/>
  <c r="U382" i="20"/>
  <c r="T382" i="20"/>
  <c r="U381" i="20"/>
  <c r="T381" i="20"/>
  <c r="U380" i="20"/>
  <c r="T380" i="20"/>
  <c r="U379" i="20"/>
  <c r="T379" i="20"/>
  <c r="U378" i="20"/>
  <c r="T378" i="20"/>
  <c r="U377" i="20"/>
  <c r="T377" i="20"/>
  <c r="U376" i="20"/>
  <c r="T376" i="20"/>
  <c r="U375" i="20"/>
  <c r="T375" i="20"/>
  <c r="U374" i="20"/>
  <c r="T374" i="20"/>
  <c r="U373" i="20"/>
  <c r="T373" i="20"/>
  <c r="U372" i="20"/>
  <c r="T372" i="20"/>
  <c r="U371" i="20"/>
  <c r="T371" i="20"/>
  <c r="U370" i="20"/>
  <c r="T370" i="20"/>
  <c r="U369" i="20"/>
  <c r="T369" i="20"/>
  <c r="U368" i="20"/>
  <c r="T368" i="20"/>
  <c r="U367" i="20"/>
  <c r="T367" i="20"/>
  <c r="U366" i="20"/>
  <c r="T366" i="20"/>
  <c r="U365" i="20"/>
  <c r="T365" i="20"/>
  <c r="U364" i="20"/>
  <c r="T364" i="20"/>
  <c r="U363" i="20"/>
  <c r="T363" i="20"/>
  <c r="U362" i="20"/>
  <c r="T362" i="20"/>
  <c r="U361" i="20"/>
  <c r="T361" i="20"/>
  <c r="U360" i="20"/>
  <c r="T360" i="20"/>
  <c r="U359" i="20"/>
  <c r="T359" i="20"/>
  <c r="U358" i="20"/>
  <c r="T358" i="20"/>
  <c r="U357" i="20"/>
  <c r="T357" i="20"/>
  <c r="U356" i="20"/>
  <c r="T356" i="20"/>
  <c r="U355" i="20"/>
  <c r="T355" i="20"/>
  <c r="U354" i="20"/>
  <c r="T354" i="20"/>
  <c r="U353" i="20"/>
  <c r="T353" i="20"/>
  <c r="U352" i="20"/>
  <c r="T352" i="20"/>
  <c r="U351" i="20"/>
  <c r="T351" i="20"/>
  <c r="U350" i="20"/>
  <c r="T350" i="20"/>
  <c r="U349" i="20"/>
  <c r="T349" i="20"/>
  <c r="U348" i="20"/>
  <c r="T348" i="20"/>
  <c r="U347" i="20"/>
  <c r="T347" i="20"/>
  <c r="U346" i="20"/>
  <c r="T346" i="20"/>
  <c r="U345" i="20"/>
  <c r="T345" i="20"/>
  <c r="U344" i="20"/>
  <c r="T344" i="20"/>
  <c r="U343" i="20"/>
  <c r="T343" i="20"/>
  <c r="U342" i="20"/>
  <c r="T342" i="20"/>
  <c r="U341" i="20"/>
  <c r="T341" i="20"/>
  <c r="U340" i="20"/>
  <c r="T340" i="20"/>
  <c r="U339" i="20"/>
  <c r="T339" i="20"/>
  <c r="U338" i="20"/>
  <c r="T338" i="20"/>
  <c r="U337" i="20"/>
  <c r="T337" i="20"/>
  <c r="U336" i="20"/>
  <c r="T336" i="20"/>
  <c r="U335" i="20"/>
  <c r="T335" i="20"/>
  <c r="U334" i="20"/>
  <c r="T334" i="20"/>
  <c r="U333" i="20"/>
  <c r="T333" i="20"/>
  <c r="U332" i="20"/>
  <c r="T332" i="20"/>
  <c r="U331" i="20"/>
  <c r="T331" i="20"/>
  <c r="U330" i="20"/>
  <c r="T330" i="20"/>
  <c r="U329" i="20"/>
  <c r="T329" i="20"/>
  <c r="U328" i="20"/>
  <c r="T328" i="20"/>
  <c r="U327" i="20"/>
  <c r="T327" i="20"/>
  <c r="U326" i="20"/>
  <c r="T326" i="20"/>
  <c r="U325" i="20"/>
  <c r="T325" i="20"/>
  <c r="U324" i="20"/>
  <c r="T324" i="20"/>
  <c r="U323" i="20"/>
  <c r="T323" i="20"/>
  <c r="U322" i="20"/>
  <c r="T322" i="20"/>
  <c r="U321" i="20"/>
  <c r="T321" i="20"/>
  <c r="U320" i="20"/>
  <c r="T320" i="20"/>
  <c r="U319" i="20"/>
  <c r="T319" i="20"/>
  <c r="U318" i="20"/>
  <c r="T318" i="20"/>
  <c r="U317" i="20"/>
  <c r="T317" i="20"/>
  <c r="U316" i="20"/>
  <c r="T316" i="20"/>
  <c r="U315" i="20"/>
  <c r="T315" i="20"/>
  <c r="U314" i="20"/>
  <c r="T314" i="20"/>
  <c r="U313" i="20"/>
  <c r="T313" i="20"/>
  <c r="U312" i="20"/>
  <c r="T312" i="20"/>
  <c r="U311" i="20"/>
  <c r="T311" i="20"/>
  <c r="U310" i="20"/>
  <c r="T310" i="20"/>
  <c r="U309" i="20"/>
  <c r="T309" i="20"/>
  <c r="U308" i="20"/>
  <c r="T308" i="20"/>
  <c r="U307" i="20"/>
  <c r="T307" i="20"/>
  <c r="U306" i="20"/>
  <c r="T306" i="20"/>
  <c r="U305" i="20"/>
  <c r="T305" i="20"/>
  <c r="U304" i="20"/>
  <c r="T304" i="20"/>
  <c r="U303" i="20"/>
  <c r="T303" i="20"/>
  <c r="U302" i="20"/>
  <c r="T302" i="20"/>
  <c r="U301" i="20"/>
  <c r="T301" i="20"/>
  <c r="U300" i="20"/>
  <c r="T300" i="20"/>
  <c r="U299" i="20"/>
  <c r="T299" i="20"/>
  <c r="U298" i="20"/>
  <c r="T298" i="20"/>
  <c r="U297" i="20"/>
  <c r="T297" i="20"/>
  <c r="U296" i="20"/>
  <c r="T296" i="20"/>
  <c r="U295" i="20"/>
  <c r="T295" i="20"/>
  <c r="U294" i="20"/>
  <c r="T294" i="20"/>
  <c r="U293" i="20"/>
  <c r="T293" i="20"/>
  <c r="U292" i="20"/>
  <c r="T292" i="20"/>
  <c r="U291" i="20"/>
  <c r="T291" i="20"/>
  <c r="U290" i="20"/>
  <c r="T290" i="20"/>
  <c r="U289" i="20"/>
  <c r="T289" i="20"/>
  <c r="U288" i="20"/>
  <c r="T288" i="20"/>
  <c r="U287" i="20"/>
  <c r="T287" i="20"/>
  <c r="U286" i="20"/>
  <c r="T286" i="20"/>
  <c r="U285" i="20"/>
  <c r="T285" i="20"/>
  <c r="U284" i="20"/>
  <c r="T284" i="20"/>
  <c r="U283" i="20"/>
  <c r="T283" i="20"/>
  <c r="U282" i="20"/>
  <c r="T282" i="20"/>
  <c r="U281" i="20"/>
  <c r="T281" i="20"/>
  <c r="U280" i="20"/>
  <c r="T280" i="20"/>
  <c r="U279" i="20"/>
  <c r="T279" i="20"/>
  <c r="U278" i="20"/>
  <c r="T278" i="20"/>
  <c r="U277" i="20"/>
  <c r="T277" i="20"/>
  <c r="U276" i="20"/>
  <c r="T276" i="20"/>
  <c r="U275" i="20"/>
  <c r="T275" i="20"/>
  <c r="U274" i="20"/>
  <c r="T274" i="20"/>
  <c r="U273" i="20"/>
  <c r="T273" i="20"/>
  <c r="U272" i="20"/>
  <c r="T272" i="20"/>
  <c r="U271" i="20"/>
  <c r="T271" i="20"/>
  <c r="U270" i="20"/>
  <c r="T270" i="20"/>
  <c r="U269" i="20"/>
  <c r="T269" i="20"/>
  <c r="U268" i="20"/>
  <c r="T268" i="20"/>
  <c r="U267" i="20"/>
  <c r="T267" i="20"/>
  <c r="U266" i="20"/>
  <c r="T266" i="20"/>
  <c r="U265" i="20"/>
  <c r="T265" i="20"/>
  <c r="U264" i="20"/>
  <c r="T264" i="20"/>
  <c r="U263" i="20"/>
  <c r="T263" i="20"/>
  <c r="U262" i="20"/>
  <c r="T262" i="20"/>
  <c r="U261" i="20"/>
  <c r="T261" i="20"/>
  <c r="U260" i="20"/>
  <c r="T260" i="20"/>
  <c r="U259" i="20"/>
  <c r="T259" i="20"/>
  <c r="U258" i="20"/>
  <c r="T258" i="20"/>
  <c r="U257" i="20"/>
  <c r="T257" i="20"/>
  <c r="U256" i="20"/>
  <c r="T256" i="20"/>
  <c r="U255" i="20"/>
  <c r="T255" i="20"/>
  <c r="U254" i="20"/>
  <c r="T254" i="20"/>
  <c r="U253" i="20"/>
  <c r="T253" i="20"/>
  <c r="U252" i="20"/>
  <c r="T252" i="20"/>
  <c r="U251" i="20"/>
  <c r="T251" i="20"/>
  <c r="U250" i="20"/>
  <c r="T250" i="20"/>
  <c r="U249" i="20"/>
  <c r="T249" i="20"/>
  <c r="U248" i="20"/>
  <c r="T248" i="20"/>
  <c r="U247" i="20"/>
  <c r="T247" i="20"/>
  <c r="U246" i="20"/>
  <c r="T246" i="20"/>
  <c r="U245" i="20"/>
  <c r="T245" i="20"/>
  <c r="U244" i="20"/>
  <c r="T244" i="20"/>
  <c r="U243" i="20"/>
  <c r="T243" i="20"/>
  <c r="U242" i="20"/>
  <c r="T242" i="20"/>
  <c r="U241" i="20"/>
  <c r="T241" i="20"/>
  <c r="U240" i="20"/>
  <c r="T240" i="20"/>
  <c r="U239" i="20"/>
  <c r="T239" i="20"/>
  <c r="U238" i="20"/>
  <c r="T238" i="20"/>
  <c r="U237" i="20"/>
  <c r="T237" i="20"/>
  <c r="U236" i="20"/>
  <c r="T236" i="20"/>
  <c r="U235" i="20"/>
  <c r="T235" i="20"/>
  <c r="U234" i="20"/>
  <c r="T234" i="20"/>
  <c r="U233" i="20"/>
  <c r="T233" i="20"/>
  <c r="U232" i="20"/>
  <c r="T232" i="20"/>
  <c r="U231" i="20"/>
  <c r="T231" i="20"/>
  <c r="U230" i="20"/>
  <c r="T230" i="20"/>
  <c r="U229" i="20"/>
  <c r="T229" i="20"/>
  <c r="U228" i="20"/>
  <c r="T228" i="20"/>
  <c r="U227" i="20"/>
  <c r="T227" i="20"/>
  <c r="U226" i="20"/>
  <c r="T226" i="20"/>
  <c r="U225" i="20"/>
  <c r="T225" i="20"/>
  <c r="U224" i="20"/>
  <c r="T224" i="20"/>
  <c r="U223" i="20"/>
  <c r="T223" i="20"/>
  <c r="U222" i="20"/>
  <c r="T222" i="20"/>
  <c r="U221" i="20"/>
  <c r="T221" i="20"/>
  <c r="U220" i="20"/>
  <c r="T220" i="20"/>
  <c r="U219" i="20"/>
  <c r="T219" i="20"/>
  <c r="U218" i="20"/>
  <c r="T218" i="20"/>
  <c r="U217" i="20"/>
  <c r="T217" i="20"/>
  <c r="U216" i="20"/>
  <c r="T216" i="20"/>
  <c r="U215" i="20"/>
  <c r="T215" i="20"/>
  <c r="U214" i="20"/>
  <c r="T214" i="20"/>
  <c r="U213" i="20"/>
  <c r="T213" i="20"/>
  <c r="U212" i="20"/>
  <c r="T212" i="20"/>
  <c r="U211" i="20"/>
  <c r="T211" i="20"/>
  <c r="U210" i="20"/>
  <c r="T210" i="20"/>
  <c r="U209" i="20"/>
  <c r="T209" i="20"/>
  <c r="U208" i="20"/>
  <c r="T208" i="20"/>
  <c r="U207" i="20"/>
  <c r="T207" i="20"/>
  <c r="U206" i="20"/>
  <c r="T206" i="20"/>
  <c r="U205" i="20"/>
  <c r="T205" i="20"/>
  <c r="U204" i="20"/>
  <c r="T204" i="20"/>
  <c r="U203" i="20"/>
  <c r="T203" i="20"/>
  <c r="U202" i="20"/>
  <c r="T202" i="20"/>
  <c r="U201" i="20"/>
  <c r="T201" i="20"/>
  <c r="U200" i="20"/>
  <c r="T200" i="20"/>
  <c r="U199" i="20"/>
  <c r="T199" i="20"/>
  <c r="U198" i="20"/>
  <c r="T198" i="20"/>
  <c r="U197" i="20"/>
  <c r="T197" i="20"/>
  <c r="U196" i="20"/>
  <c r="T196" i="20"/>
  <c r="U195" i="20"/>
  <c r="T195" i="20"/>
  <c r="U194" i="20"/>
  <c r="T194" i="20"/>
  <c r="U193" i="20"/>
  <c r="T193" i="20"/>
  <c r="U192" i="20"/>
  <c r="T192" i="20"/>
  <c r="U191" i="20"/>
  <c r="T191" i="20"/>
  <c r="U190" i="20"/>
  <c r="T190" i="20"/>
  <c r="U189" i="20"/>
  <c r="T189" i="20"/>
  <c r="U188" i="20"/>
  <c r="T188" i="20"/>
  <c r="U187" i="20"/>
  <c r="T187" i="20"/>
  <c r="U186" i="20"/>
  <c r="T186" i="20"/>
  <c r="U185" i="20"/>
  <c r="T185" i="20"/>
  <c r="U184" i="20"/>
  <c r="T184" i="20"/>
  <c r="U183" i="20"/>
  <c r="T183" i="20"/>
  <c r="U182" i="20"/>
  <c r="T182" i="20"/>
  <c r="U181" i="20"/>
  <c r="T181" i="20"/>
  <c r="U180" i="20"/>
  <c r="T180" i="20"/>
  <c r="U179" i="20"/>
  <c r="T179" i="20"/>
  <c r="U178" i="20"/>
  <c r="T178" i="20"/>
  <c r="U177" i="20"/>
  <c r="T177" i="20"/>
  <c r="U176" i="20"/>
  <c r="T176" i="20"/>
  <c r="U175" i="20"/>
  <c r="T175" i="20"/>
  <c r="U174" i="20"/>
  <c r="T174" i="20"/>
  <c r="U173" i="20"/>
  <c r="T173" i="20"/>
  <c r="U172" i="20"/>
  <c r="T172" i="20"/>
  <c r="U171" i="20"/>
  <c r="T171" i="20"/>
  <c r="U170" i="20"/>
  <c r="T170" i="20"/>
  <c r="U169" i="20"/>
  <c r="T169" i="20"/>
  <c r="U168" i="20"/>
  <c r="T168" i="20"/>
  <c r="U167" i="20"/>
  <c r="T167" i="20"/>
  <c r="U166" i="20"/>
  <c r="T166" i="20"/>
  <c r="U165" i="20"/>
  <c r="T165" i="20"/>
  <c r="U164" i="20"/>
  <c r="T164" i="20"/>
  <c r="U163" i="20"/>
  <c r="T163" i="20"/>
  <c r="U162" i="20"/>
  <c r="T162" i="20"/>
  <c r="U161" i="20"/>
  <c r="T161" i="20"/>
  <c r="U160" i="20"/>
  <c r="T160" i="20"/>
  <c r="U159" i="20"/>
  <c r="T159" i="20"/>
  <c r="U158" i="20"/>
  <c r="T158" i="20"/>
  <c r="U157" i="20"/>
  <c r="T157" i="20"/>
  <c r="U156" i="20"/>
  <c r="T156" i="20"/>
  <c r="U155" i="20"/>
  <c r="T155" i="20"/>
  <c r="U154" i="20"/>
  <c r="T154" i="20"/>
  <c r="U153" i="20"/>
  <c r="T153" i="20"/>
  <c r="U152" i="20"/>
  <c r="T152" i="20"/>
  <c r="U151" i="20"/>
  <c r="T151" i="20"/>
  <c r="U150" i="20"/>
  <c r="T150" i="20"/>
  <c r="U149" i="20"/>
  <c r="T149" i="20"/>
  <c r="U148" i="20"/>
  <c r="T148" i="20"/>
  <c r="U147" i="20"/>
  <c r="T147" i="20"/>
  <c r="U146" i="20"/>
  <c r="T146" i="20"/>
  <c r="U145" i="20"/>
  <c r="T145" i="20"/>
  <c r="U144" i="20"/>
  <c r="T144" i="20"/>
  <c r="U143" i="20"/>
  <c r="T143" i="20"/>
  <c r="U142" i="20"/>
  <c r="T142" i="20"/>
  <c r="U141" i="20"/>
  <c r="T141" i="20"/>
  <c r="U140" i="20"/>
  <c r="T140" i="20"/>
  <c r="U139" i="20"/>
  <c r="T139" i="20"/>
  <c r="U138" i="20"/>
  <c r="T138" i="20"/>
  <c r="U137" i="20"/>
  <c r="T137" i="20"/>
  <c r="U136" i="20"/>
  <c r="T136" i="20"/>
  <c r="U135" i="20"/>
  <c r="T135" i="20"/>
  <c r="U134" i="20"/>
  <c r="T134" i="20"/>
  <c r="U133" i="20"/>
  <c r="T133" i="20"/>
  <c r="U132" i="20"/>
  <c r="T132" i="20"/>
  <c r="U131" i="20"/>
  <c r="T131" i="20"/>
  <c r="U130" i="20"/>
  <c r="T130" i="20"/>
  <c r="U129" i="20"/>
  <c r="T129" i="20"/>
  <c r="U128" i="20"/>
  <c r="T128" i="20"/>
  <c r="U127" i="20"/>
  <c r="T127" i="20"/>
  <c r="U126" i="20"/>
  <c r="T126" i="20"/>
  <c r="U125" i="20"/>
  <c r="T125" i="20"/>
  <c r="U124" i="20"/>
  <c r="T124" i="20"/>
  <c r="U123" i="20"/>
  <c r="T123" i="20"/>
  <c r="U122" i="20"/>
  <c r="T122" i="20"/>
  <c r="U121" i="20"/>
  <c r="T121" i="20"/>
  <c r="U120" i="20"/>
  <c r="T120" i="20"/>
  <c r="U119" i="20"/>
  <c r="T119" i="20"/>
  <c r="U118" i="20"/>
  <c r="T118" i="20"/>
  <c r="U117" i="20"/>
  <c r="T117" i="20"/>
  <c r="U116" i="20"/>
  <c r="T116" i="20"/>
  <c r="U115" i="20"/>
  <c r="T115" i="20"/>
  <c r="U114" i="20"/>
  <c r="T114" i="20"/>
  <c r="U113" i="20"/>
  <c r="T113" i="20"/>
  <c r="U112" i="20"/>
  <c r="T112" i="20"/>
  <c r="U111" i="20"/>
  <c r="T111" i="20"/>
  <c r="U110" i="20"/>
  <c r="T110" i="20"/>
  <c r="U109" i="20"/>
  <c r="T109" i="20"/>
  <c r="U108" i="20"/>
  <c r="T108" i="20"/>
  <c r="U107" i="20"/>
  <c r="T107" i="20"/>
  <c r="U106" i="20"/>
  <c r="T106" i="20"/>
  <c r="U105" i="20"/>
  <c r="T105" i="20"/>
  <c r="U104" i="20"/>
  <c r="T104" i="20"/>
  <c r="U103" i="20"/>
  <c r="T103" i="20"/>
  <c r="U102" i="20"/>
  <c r="T102" i="20"/>
  <c r="U101" i="20"/>
  <c r="T101" i="20"/>
  <c r="U100" i="20"/>
  <c r="T100" i="20"/>
  <c r="U99" i="20"/>
  <c r="T99" i="20"/>
  <c r="U98" i="20"/>
  <c r="T98" i="20"/>
  <c r="U97" i="20"/>
  <c r="T97" i="20"/>
  <c r="U96" i="20"/>
  <c r="T96" i="20"/>
  <c r="U95" i="20"/>
  <c r="T95" i="20"/>
  <c r="U94" i="20"/>
  <c r="T94" i="20"/>
  <c r="U93" i="20"/>
  <c r="T93" i="20"/>
  <c r="U92" i="20"/>
  <c r="T92" i="20"/>
  <c r="U91" i="20"/>
  <c r="T91" i="20"/>
  <c r="U90" i="20"/>
  <c r="T90" i="20"/>
  <c r="U89" i="20"/>
  <c r="T89" i="20"/>
  <c r="U88" i="20"/>
  <c r="T88" i="20"/>
  <c r="U87" i="20"/>
  <c r="T87" i="20"/>
  <c r="U86" i="20"/>
  <c r="T86" i="20"/>
  <c r="U85" i="20"/>
  <c r="T85" i="20"/>
  <c r="U84" i="20"/>
  <c r="T84" i="20"/>
  <c r="U83" i="20"/>
  <c r="T83" i="20"/>
  <c r="U82" i="20"/>
  <c r="T82" i="20"/>
  <c r="U81" i="20"/>
  <c r="T81" i="20"/>
  <c r="U80" i="20"/>
  <c r="T80" i="20"/>
  <c r="U1412" i="19"/>
  <c r="T1412" i="19"/>
  <c r="U1411" i="19"/>
  <c r="T1411" i="19"/>
  <c r="U1410" i="19"/>
  <c r="T1410" i="19"/>
  <c r="U1409" i="19"/>
  <c r="T1409" i="19"/>
  <c r="U1408" i="19"/>
  <c r="T1408" i="19"/>
  <c r="U1407" i="19"/>
  <c r="T1407" i="19"/>
  <c r="U1406" i="19"/>
  <c r="T1406" i="19"/>
  <c r="U1405" i="19"/>
  <c r="T1405" i="19"/>
  <c r="U1404" i="19"/>
  <c r="T1404" i="19"/>
  <c r="U1403" i="19"/>
  <c r="T1403" i="19"/>
  <c r="U1402" i="19"/>
  <c r="T1402" i="19"/>
  <c r="U1401" i="19"/>
  <c r="T1401" i="19"/>
  <c r="U1400" i="19"/>
  <c r="T1400" i="19"/>
  <c r="U1399" i="19"/>
  <c r="T1399" i="19"/>
  <c r="U1398" i="19"/>
  <c r="T1398" i="19"/>
  <c r="U1397" i="19"/>
  <c r="T1397" i="19"/>
  <c r="U1396" i="19"/>
  <c r="T1396" i="19"/>
  <c r="U1386" i="19"/>
  <c r="T1386" i="19"/>
  <c r="U1385" i="19"/>
  <c r="T1385" i="19"/>
  <c r="U1384" i="19"/>
  <c r="T1384" i="19"/>
  <c r="U1383" i="19"/>
  <c r="T1383" i="19"/>
  <c r="U1373" i="19"/>
  <c r="T1373" i="19"/>
  <c r="U1372" i="19"/>
  <c r="T1372" i="19"/>
  <c r="U1371" i="19"/>
  <c r="T1371" i="19"/>
  <c r="U1370" i="19"/>
  <c r="T1370" i="19"/>
  <c r="U1360" i="19"/>
  <c r="T1360" i="19"/>
  <c r="U1359" i="19"/>
  <c r="T1359" i="19"/>
  <c r="U1358" i="19"/>
  <c r="T1358" i="19"/>
  <c r="U1357" i="19"/>
  <c r="T1357" i="19"/>
  <c r="U1347" i="19"/>
  <c r="T1347" i="19"/>
  <c r="U1346" i="19"/>
  <c r="T1346" i="19"/>
  <c r="U1345" i="19"/>
  <c r="T1345" i="19"/>
  <c r="U1344" i="19"/>
  <c r="T1344" i="19"/>
  <c r="U1343" i="19"/>
  <c r="T1343" i="19"/>
  <c r="U1342" i="19"/>
  <c r="T1342" i="19"/>
  <c r="U1341" i="19"/>
  <c r="T1341" i="19"/>
  <c r="U1340" i="19"/>
  <c r="T1340" i="19"/>
  <c r="V1339" i="19"/>
  <c r="U1339" i="19"/>
  <c r="T1339" i="19"/>
  <c r="U1338" i="19"/>
  <c r="T1338" i="19"/>
  <c r="U1337" i="19"/>
  <c r="T1337" i="19"/>
  <c r="U1336" i="19"/>
  <c r="T1336" i="19"/>
  <c r="U1335" i="19"/>
  <c r="T1335" i="19"/>
  <c r="U1334" i="19"/>
  <c r="T1334" i="19"/>
  <c r="U1333" i="19"/>
  <c r="T1333" i="19"/>
  <c r="U1332" i="19"/>
  <c r="T1332" i="19"/>
  <c r="U1331" i="19"/>
  <c r="T1331" i="19"/>
  <c r="U1330" i="19"/>
  <c r="T1330" i="19"/>
  <c r="U1329" i="19"/>
  <c r="T1329" i="19"/>
  <c r="U1328" i="19"/>
  <c r="T1328" i="19"/>
  <c r="U1327" i="19"/>
  <c r="T1327" i="19"/>
  <c r="U1326" i="19"/>
  <c r="T1326" i="19"/>
  <c r="U1325" i="19"/>
  <c r="T1325" i="19"/>
  <c r="U1324" i="19"/>
  <c r="T1324" i="19"/>
  <c r="U1323" i="19"/>
  <c r="T1323" i="19"/>
  <c r="U1322" i="19"/>
  <c r="T1322" i="19"/>
  <c r="U1321" i="19"/>
  <c r="T1321" i="19"/>
  <c r="U1320" i="19"/>
  <c r="T1320" i="19"/>
  <c r="U1319" i="19"/>
  <c r="T1319" i="19"/>
  <c r="U1318" i="19"/>
  <c r="T1318" i="19"/>
  <c r="U1308" i="19"/>
  <c r="T1308" i="19"/>
  <c r="U1307" i="19"/>
  <c r="T1307" i="19"/>
  <c r="U1306" i="19"/>
  <c r="T1306" i="19"/>
  <c r="U1305" i="19"/>
  <c r="T1305" i="19"/>
  <c r="U1295" i="19"/>
  <c r="T1295" i="19"/>
  <c r="U1294" i="19"/>
  <c r="T1294" i="19"/>
  <c r="U1293" i="19"/>
  <c r="T1293" i="19"/>
  <c r="U1292" i="19"/>
  <c r="T1292" i="19"/>
  <c r="U1291" i="19"/>
  <c r="T1291" i="19"/>
  <c r="U1290" i="19"/>
  <c r="T1290" i="19"/>
  <c r="U1289" i="19"/>
  <c r="T1289" i="19"/>
  <c r="U1288" i="19"/>
  <c r="T1288" i="19"/>
  <c r="U1287" i="19"/>
  <c r="T1287" i="19"/>
  <c r="U1286" i="19"/>
  <c r="T1286" i="19"/>
  <c r="U1285" i="19"/>
  <c r="T1285" i="19"/>
  <c r="U1284" i="19"/>
  <c r="T1284" i="19"/>
  <c r="U1283" i="19"/>
  <c r="T1283" i="19"/>
  <c r="U1282" i="19"/>
  <c r="T1282" i="19"/>
  <c r="U1281" i="19"/>
  <c r="T1281" i="19"/>
  <c r="U1280" i="19"/>
  <c r="T1280" i="19"/>
  <c r="U1279" i="19"/>
  <c r="T1279" i="19"/>
  <c r="U1278" i="19"/>
  <c r="T1278" i="19"/>
  <c r="U1277" i="19"/>
  <c r="T1277" i="19"/>
  <c r="U1276" i="19"/>
  <c r="T1276" i="19"/>
  <c r="U1275" i="19"/>
  <c r="T1275" i="19"/>
  <c r="U1274" i="19"/>
  <c r="T1274" i="19"/>
  <c r="U1273" i="19"/>
  <c r="T1273" i="19"/>
  <c r="U1272" i="19"/>
  <c r="T1272" i="19"/>
  <c r="U1271" i="19"/>
  <c r="T1271" i="19"/>
  <c r="U1270" i="19"/>
  <c r="T1270" i="19"/>
  <c r="U1269" i="19"/>
  <c r="T1269" i="19"/>
  <c r="U1268" i="19"/>
  <c r="T1268" i="19"/>
  <c r="U1267" i="19"/>
  <c r="T1267" i="19"/>
  <c r="U1266" i="19"/>
  <c r="T1266" i="19"/>
  <c r="U1265" i="19"/>
  <c r="T1265" i="19"/>
  <c r="U1264" i="19"/>
  <c r="T1264" i="19"/>
  <c r="U1263" i="19"/>
  <c r="T1263" i="19"/>
  <c r="U1262" i="19"/>
  <c r="T1262" i="19"/>
  <c r="U1261" i="19"/>
  <c r="T1261" i="19"/>
  <c r="U1260" i="19"/>
  <c r="T1260" i="19"/>
  <c r="U1259" i="19"/>
  <c r="T1259" i="19"/>
  <c r="U1258" i="19"/>
  <c r="T1258" i="19"/>
  <c r="U1257" i="19"/>
  <c r="T1257" i="19"/>
  <c r="U1256" i="19"/>
  <c r="T1256" i="19"/>
  <c r="U1255" i="19"/>
  <c r="T1255" i="19"/>
  <c r="U1254" i="19"/>
  <c r="T1254" i="19"/>
  <c r="U1253" i="19"/>
  <c r="T1253" i="19"/>
  <c r="U1252" i="19"/>
  <c r="T1252" i="19"/>
  <c r="U1251" i="19"/>
  <c r="T1251" i="19"/>
  <c r="U1250" i="19"/>
  <c r="T1250" i="19"/>
  <c r="U1249" i="19"/>
  <c r="T1249" i="19"/>
  <c r="U1248" i="19"/>
  <c r="T1248" i="19"/>
  <c r="U1247" i="19"/>
  <c r="T1247" i="19"/>
  <c r="U1246" i="19"/>
  <c r="T1246" i="19"/>
  <c r="U1245" i="19"/>
  <c r="T1245" i="19"/>
  <c r="U1244" i="19"/>
  <c r="T1244" i="19"/>
  <c r="U1243" i="19"/>
  <c r="T1243" i="19"/>
  <c r="U1242" i="19"/>
  <c r="T1242" i="19"/>
  <c r="U1241" i="19"/>
  <c r="T1241" i="19"/>
  <c r="U1240" i="19"/>
  <c r="T1240" i="19"/>
  <c r="U1239" i="19"/>
  <c r="T1239" i="19"/>
  <c r="U1238" i="19"/>
  <c r="T1238" i="19"/>
  <c r="U1237" i="19"/>
  <c r="T1237" i="19"/>
  <c r="U1236" i="19"/>
  <c r="T1236" i="19"/>
  <c r="U1235" i="19"/>
  <c r="T1235" i="19"/>
  <c r="U1234" i="19"/>
  <c r="T1234" i="19"/>
  <c r="U1233" i="19"/>
  <c r="T1233" i="19"/>
  <c r="U1232" i="19"/>
  <c r="T1232" i="19"/>
  <c r="U1231" i="19"/>
  <c r="T1231" i="19"/>
  <c r="U1230" i="19"/>
  <c r="T1230" i="19"/>
  <c r="U1229" i="19"/>
  <c r="T1229" i="19"/>
  <c r="U1228" i="19"/>
  <c r="T1228" i="19"/>
  <c r="U1227" i="19"/>
  <c r="T1227" i="19"/>
  <c r="U1226" i="19"/>
  <c r="T1226" i="19"/>
  <c r="U1225" i="19"/>
  <c r="T1225" i="19"/>
  <c r="U1224" i="19"/>
  <c r="T1224" i="19"/>
  <c r="U1223" i="19"/>
  <c r="T1223" i="19"/>
  <c r="U1222" i="19"/>
  <c r="T1222" i="19"/>
  <c r="U1221" i="19"/>
  <c r="T1221" i="19"/>
  <c r="U1220" i="19"/>
  <c r="T1220" i="19"/>
  <c r="U1219" i="19"/>
  <c r="T1219" i="19"/>
  <c r="U1218" i="19"/>
  <c r="T1218" i="19"/>
  <c r="U1217" i="19"/>
  <c r="T1217" i="19"/>
  <c r="U1216" i="19"/>
  <c r="T1216" i="19"/>
  <c r="U1215" i="19"/>
  <c r="T1215" i="19"/>
  <c r="U1214" i="19"/>
  <c r="T1214" i="19"/>
  <c r="U1213" i="19"/>
  <c r="T1213" i="19"/>
  <c r="U1212" i="19"/>
  <c r="T1212" i="19"/>
  <c r="U1211" i="19"/>
  <c r="T1211" i="19"/>
  <c r="U1210" i="19"/>
  <c r="T1210" i="19"/>
  <c r="U1209" i="19"/>
  <c r="T1209" i="19"/>
  <c r="U1208" i="19"/>
  <c r="T1208" i="19"/>
  <c r="U1207" i="19"/>
  <c r="T1207" i="19"/>
  <c r="U1206" i="19"/>
  <c r="T1206" i="19"/>
  <c r="U1205" i="19"/>
  <c r="T1205" i="19"/>
  <c r="U1204" i="19"/>
  <c r="T1204" i="19"/>
  <c r="U1203" i="19"/>
  <c r="T1203" i="19"/>
  <c r="U1202" i="19"/>
  <c r="T1202" i="19"/>
  <c r="U1201" i="19"/>
  <c r="T1201" i="19"/>
  <c r="U1200" i="19"/>
  <c r="T1200" i="19"/>
  <c r="U1199" i="19"/>
  <c r="T1199" i="19"/>
  <c r="U1198" i="19"/>
  <c r="T1198" i="19"/>
  <c r="U1197" i="19"/>
  <c r="T1197" i="19"/>
  <c r="U1196" i="19"/>
  <c r="T1196" i="19"/>
  <c r="U1195" i="19"/>
  <c r="T1195" i="19"/>
  <c r="U1194" i="19"/>
  <c r="T1194" i="19"/>
  <c r="U1193" i="19"/>
  <c r="T1193" i="19"/>
  <c r="U1192" i="19"/>
  <c r="T1192" i="19"/>
  <c r="U1191" i="19"/>
  <c r="T1191" i="19"/>
  <c r="U1190" i="19"/>
  <c r="T1190" i="19"/>
  <c r="U1189" i="19"/>
  <c r="T1189" i="19"/>
  <c r="U1188" i="19"/>
  <c r="T1188" i="19"/>
  <c r="U1187" i="19"/>
  <c r="T1187" i="19"/>
  <c r="U1186" i="19"/>
  <c r="T1186" i="19"/>
  <c r="U1185" i="19"/>
  <c r="T1185" i="19"/>
  <c r="U1184" i="19"/>
  <c r="T1184" i="19"/>
  <c r="U1183" i="19"/>
  <c r="T1183" i="19"/>
  <c r="U1182" i="19"/>
  <c r="T1182" i="19"/>
  <c r="U1181" i="19"/>
  <c r="T1181" i="19"/>
  <c r="U1180" i="19"/>
  <c r="T1180" i="19"/>
  <c r="U1179" i="19"/>
  <c r="T1179" i="19"/>
  <c r="U1178" i="19"/>
  <c r="T1178" i="19"/>
  <c r="U1177" i="19"/>
  <c r="T1177" i="19"/>
  <c r="U1176" i="19"/>
  <c r="T1176" i="19"/>
  <c r="U1175" i="19"/>
  <c r="T1175" i="19"/>
  <c r="U1174" i="19"/>
  <c r="T1174" i="19"/>
  <c r="U1173" i="19"/>
  <c r="T1173" i="19"/>
  <c r="U1172" i="19"/>
  <c r="T1172" i="19"/>
  <c r="U1171" i="19"/>
  <c r="T1171" i="19"/>
  <c r="U1170" i="19"/>
  <c r="T1170" i="19"/>
  <c r="U1169" i="19"/>
  <c r="T1169" i="19"/>
  <c r="U1168" i="19"/>
  <c r="T1168" i="19"/>
  <c r="U1167" i="19"/>
  <c r="T1167" i="19"/>
  <c r="U1166" i="19"/>
  <c r="T1166" i="19"/>
  <c r="U1165" i="19"/>
  <c r="T1165" i="19"/>
  <c r="U1164" i="19"/>
  <c r="T1164" i="19"/>
  <c r="U1163" i="19"/>
  <c r="T1163" i="19"/>
  <c r="U1162" i="19"/>
  <c r="T1162" i="19"/>
  <c r="U1161" i="19"/>
  <c r="T1161" i="19"/>
  <c r="U1160" i="19"/>
  <c r="T1160" i="19"/>
  <c r="U1159" i="19"/>
  <c r="T1159" i="19"/>
  <c r="U1158" i="19"/>
  <c r="T1158" i="19"/>
  <c r="U1157" i="19"/>
  <c r="T1157" i="19"/>
  <c r="U1156" i="19"/>
  <c r="T1156" i="19"/>
  <c r="U1155" i="19"/>
  <c r="T1155" i="19"/>
  <c r="U1154" i="19"/>
  <c r="T1154" i="19"/>
  <c r="U1153" i="19"/>
  <c r="T1153" i="19"/>
  <c r="U1152" i="19"/>
  <c r="T1152" i="19"/>
  <c r="U1151" i="19"/>
  <c r="T1151" i="19"/>
  <c r="U1150" i="19"/>
  <c r="T1150" i="19"/>
  <c r="U1149" i="19"/>
  <c r="T1149" i="19"/>
  <c r="U1148" i="19"/>
  <c r="T1148" i="19"/>
  <c r="U1147" i="19"/>
  <c r="T1147" i="19"/>
  <c r="U1146" i="19"/>
  <c r="T1146" i="19"/>
  <c r="U1145" i="19"/>
  <c r="T1145" i="19"/>
  <c r="U1144" i="19"/>
  <c r="T1144" i="19"/>
  <c r="U1143" i="19"/>
  <c r="T1143" i="19"/>
  <c r="U1142" i="19"/>
  <c r="T1142" i="19"/>
  <c r="U1141" i="19"/>
  <c r="T1141" i="19"/>
  <c r="U1140" i="19"/>
  <c r="T1140" i="19"/>
  <c r="U1139" i="19"/>
  <c r="T1139" i="19"/>
  <c r="U1138" i="19"/>
  <c r="T1138" i="19"/>
  <c r="U1137" i="19"/>
  <c r="T1137" i="19"/>
  <c r="U1136" i="19"/>
  <c r="T1136" i="19"/>
  <c r="U1135" i="19"/>
  <c r="T1135" i="19"/>
  <c r="U1134" i="19"/>
  <c r="T1134" i="19"/>
  <c r="U1133" i="19"/>
  <c r="T1133" i="19"/>
  <c r="U1132" i="19"/>
  <c r="T1132" i="19"/>
  <c r="U1131" i="19"/>
  <c r="T1131" i="19"/>
  <c r="U1130" i="19"/>
  <c r="T1130" i="19"/>
  <c r="U1129" i="19"/>
  <c r="T1129" i="19"/>
  <c r="U1128" i="19"/>
  <c r="T1128" i="19"/>
  <c r="U1127" i="19"/>
  <c r="T1127" i="19"/>
  <c r="U1126" i="19"/>
  <c r="T1126" i="19"/>
  <c r="U1125" i="19"/>
  <c r="T1125" i="19"/>
  <c r="U1124" i="19"/>
  <c r="T1124" i="19"/>
  <c r="U1123" i="19"/>
  <c r="T1123" i="19"/>
  <c r="U1122" i="19"/>
  <c r="T1122" i="19"/>
  <c r="U1121" i="19"/>
  <c r="T1121" i="19"/>
  <c r="U1120" i="19"/>
  <c r="T1120" i="19"/>
  <c r="U1119" i="19"/>
  <c r="T1119" i="19"/>
  <c r="U1118" i="19"/>
  <c r="T1118" i="19"/>
  <c r="U1117" i="19"/>
  <c r="T1117" i="19"/>
  <c r="U1116" i="19"/>
  <c r="T1116" i="19"/>
  <c r="U1115" i="19"/>
  <c r="T1115" i="19"/>
  <c r="U1114" i="19"/>
  <c r="T1114" i="19"/>
  <c r="U1113" i="19"/>
  <c r="T1113" i="19"/>
  <c r="U1112" i="19"/>
  <c r="T1112" i="19"/>
  <c r="U1111" i="19"/>
  <c r="T1111" i="19"/>
  <c r="U1110" i="19"/>
  <c r="T1110" i="19"/>
  <c r="U1109" i="19"/>
  <c r="T1109" i="19"/>
  <c r="U1108" i="19"/>
  <c r="T1108" i="19"/>
  <c r="U1107" i="19"/>
  <c r="T1107" i="19"/>
  <c r="U1106" i="19"/>
  <c r="T1106" i="19"/>
  <c r="U1105" i="19"/>
  <c r="T1105" i="19"/>
  <c r="U1104" i="19"/>
  <c r="T1104" i="19"/>
  <c r="U1103" i="19"/>
  <c r="T1103" i="19"/>
  <c r="U1102" i="19"/>
  <c r="T1102" i="19"/>
  <c r="U1101" i="19"/>
  <c r="T1101" i="19"/>
  <c r="U1100" i="19"/>
  <c r="T1100" i="19"/>
  <c r="U1099" i="19"/>
  <c r="T1099" i="19"/>
  <c r="U1098" i="19"/>
  <c r="T1098" i="19"/>
  <c r="U1097" i="19"/>
  <c r="T1097" i="19"/>
  <c r="U1096" i="19"/>
  <c r="T1096" i="19"/>
  <c r="U1095" i="19"/>
  <c r="T1095" i="19"/>
  <c r="U1094" i="19"/>
  <c r="T1094" i="19"/>
  <c r="U1093" i="19"/>
  <c r="T1093" i="19"/>
  <c r="U1092" i="19"/>
  <c r="T1092" i="19"/>
  <c r="U1091" i="19"/>
  <c r="T1091" i="19"/>
  <c r="U1090" i="19"/>
  <c r="T1090" i="19"/>
  <c r="U1089" i="19"/>
  <c r="T1089" i="19"/>
  <c r="U1088" i="19"/>
  <c r="T1088" i="19"/>
  <c r="U1087" i="19"/>
  <c r="T1087" i="19"/>
  <c r="U1086" i="19"/>
  <c r="T1086" i="19"/>
  <c r="U1085" i="19"/>
  <c r="T1085" i="19"/>
  <c r="U1084" i="19"/>
  <c r="T1084" i="19"/>
  <c r="U1083" i="19"/>
  <c r="T1083" i="19"/>
  <c r="U1082" i="19"/>
  <c r="T1082" i="19"/>
  <c r="U1081" i="19"/>
  <c r="T1081" i="19"/>
  <c r="U1080" i="19"/>
  <c r="T1080" i="19"/>
  <c r="U1079" i="19"/>
  <c r="T1079" i="19"/>
  <c r="U1078" i="19"/>
  <c r="T1078" i="19"/>
  <c r="U1077" i="19"/>
  <c r="T1077" i="19"/>
  <c r="U1076" i="19"/>
  <c r="T1076" i="19"/>
  <c r="U1075" i="19"/>
  <c r="T1075" i="19"/>
  <c r="U1074" i="19"/>
  <c r="T1074" i="19"/>
  <c r="U1073" i="19"/>
  <c r="T1073" i="19"/>
  <c r="U1072" i="19"/>
  <c r="T1072" i="19"/>
  <c r="U1071" i="19"/>
  <c r="T1071" i="19"/>
  <c r="U1070" i="19"/>
  <c r="T1070" i="19"/>
  <c r="U1069" i="19"/>
  <c r="T1069" i="19"/>
  <c r="U1068" i="19"/>
  <c r="T1068" i="19"/>
  <c r="U1067" i="19"/>
  <c r="T1067" i="19"/>
  <c r="U1066" i="19"/>
  <c r="T1066" i="19"/>
  <c r="U1065" i="19"/>
  <c r="T1065" i="19"/>
  <c r="U1064" i="19"/>
  <c r="T1064" i="19"/>
  <c r="U1063" i="19"/>
  <c r="T1063" i="19"/>
  <c r="U1062" i="19"/>
  <c r="T1062" i="19"/>
  <c r="U1061" i="19"/>
  <c r="T1061" i="19"/>
  <c r="U1060" i="19"/>
  <c r="T1060" i="19"/>
  <c r="U1059" i="19"/>
  <c r="T1059" i="19"/>
  <c r="U1058" i="19"/>
  <c r="T1058" i="19"/>
  <c r="U1057" i="19"/>
  <c r="T1057" i="19"/>
  <c r="U1056" i="19"/>
  <c r="T1056" i="19"/>
  <c r="U1055" i="19"/>
  <c r="T1055" i="19"/>
  <c r="U1054" i="19"/>
  <c r="T1054" i="19"/>
  <c r="U1053" i="19"/>
  <c r="T1053" i="19"/>
  <c r="U1052" i="19"/>
  <c r="T1052" i="19"/>
  <c r="U1051" i="19"/>
  <c r="T1051" i="19"/>
  <c r="U1050" i="19"/>
  <c r="T1050" i="19"/>
  <c r="U1049" i="19"/>
  <c r="T1049" i="19"/>
  <c r="U1048" i="19"/>
  <c r="T1048" i="19"/>
  <c r="U1047" i="19"/>
  <c r="T1047" i="19"/>
  <c r="U1046" i="19"/>
  <c r="T1046" i="19"/>
  <c r="U1045" i="19"/>
  <c r="T1045" i="19"/>
  <c r="U1044" i="19"/>
  <c r="T1044" i="19"/>
  <c r="U1043" i="19"/>
  <c r="T1043" i="19"/>
  <c r="U1042" i="19"/>
  <c r="T1042" i="19"/>
  <c r="U1041" i="19"/>
  <c r="T1041" i="19"/>
  <c r="U1040" i="19"/>
  <c r="T1040" i="19"/>
  <c r="U1039" i="19"/>
  <c r="T1039" i="19"/>
  <c r="U1038" i="19"/>
  <c r="T1038" i="19"/>
  <c r="U1037" i="19"/>
  <c r="T1037" i="19"/>
  <c r="U1036" i="19"/>
  <c r="T1036" i="19"/>
  <c r="U1035" i="19"/>
  <c r="T1035" i="19"/>
  <c r="U1034" i="19"/>
  <c r="T1034" i="19"/>
  <c r="U1033" i="19"/>
  <c r="T1033" i="19"/>
  <c r="U1032" i="19"/>
  <c r="T1032" i="19"/>
  <c r="U1031" i="19"/>
  <c r="T1031" i="19"/>
  <c r="U1030" i="19"/>
  <c r="T1030" i="19"/>
  <c r="U1029" i="19"/>
  <c r="T1029" i="19"/>
  <c r="U1028" i="19"/>
  <c r="T1028" i="19"/>
  <c r="U1027" i="19"/>
  <c r="T1027" i="19"/>
  <c r="U1026" i="19"/>
  <c r="T1026" i="19"/>
  <c r="U1025" i="19"/>
  <c r="T1025" i="19"/>
  <c r="U1024" i="19"/>
  <c r="T1024" i="19"/>
  <c r="U1023" i="19"/>
  <c r="T1023" i="19"/>
  <c r="U1022" i="19"/>
  <c r="T1022" i="19"/>
  <c r="U1021" i="19"/>
  <c r="T1021" i="19"/>
  <c r="U1020" i="19"/>
  <c r="T1020" i="19"/>
  <c r="U1019" i="19"/>
  <c r="T1019" i="19"/>
  <c r="U1018" i="19"/>
  <c r="T1018" i="19"/>
  <c r="U1017" i="19"/>
  <c r="T1017" i="19"/>
  <c r="U1016" i="19"/>
  <c r="T1016" i="19"/>
  <c r="U1015" i="19"/>
  <c r="T1015" i="19"/>
  <c r="U1014" i="19"/>
  <c r="T1014" i="19"/>
  <c r="U1013" i="19"/>
  <c r="T1013" i="19"/>
  <c r="U1012" i="19"/>
  <c r="T1012" i="19"/>
  <c r="U1011" i="19"/>
  <c r="T1011" i="19"/>
  <c r="U1010" i="19"/>
  <c r="T1010" i="19"/>
  <c r="U1009" i="19"/>
  <c r="T1009" i="19"/>
  <c r="U1008" i="19"/>
  <c r="T1008" i="19"/>
  <c r="U1007" i="19"/>
  <c r="T1007" i="19"/>
  <c r="U1006" i="19"/>
  <c r="T1006" i="19"/>
  <c r="U1005" i="19"/>
  <c r="T1005" i="19"/>
  <c r="U1004" i="19"/>
  <c r="T1004" i="19"/>
  <c r="U1003" i="19"/>
  <c r="T1003" i="19"/>
  <c r="U1002" i="19"/>
  <c r="T1002" i="19"/>
  <c r="U1001" i="19"/>
  <c r="T1001" i="19"/>
  <c r="U1000" i="19"/>
  <c r="T1000" i="19"/>
  <c r="U999" i="19"/>
  <c r="T999" i="19"/>
  <c r="U998" i="19"/>
  <c r="T998" i="19"/>
  <c r="U997" i="19"/>
  <c r="T997" i="19"/>
  <c r="U996" i="19"/>
  <c r="T996" i="19"/>
  <c r="U995" i="19"/>
  <c r="T995" i="19"/>
  <c r="U994" i="19"/>
  <c r="T994" i="19"/>
  <c r="U993" i="19"/>
  <c r="T993" i="19"/>
  <c r="U992" i="19"/>
  <c r="T992" i="19"/>
  <c r="U991" i="19"/>
  <c r="T991" i="19"/>
  <c r="U990" i="19"/>
  <c r="T990" i="19"/>
  <c r="U989" i="19"/>
  <c r="T989" i="19"/>
  <c r="U988" i="19"/>
  <c r="T988" i="19"/>
  <c r="U987" i="19"/>
  <c r="T987" i="19"/>
  <c r="U986" i="19"/>
  <c r="T986" i="19"/>
  <c r="U985" i="19"/>
  <c r="T985" i="19"/>
  <c r="U984" i="19"/>
  <c r="T984" i="19"/>
  <c r="U983" i="19"/>
  <c r="T983" i="19"/>
  <c r="U982" i="19"/>
  <c r="T982" i="19"/>
  <c r="U981" i="19"/>
  <c r="T981" i="19"/>
  <c r="U980" i="19"/>
  <c r="T980" i="19"/>
  <c r="U979" i="19"/>
  <c r="T979" i="19"/>
  <c r="U978" i="19"/>
  <c r="T978" i="19"/>
  <c r="U977" i="19"/>
  <c r="T977" i="19"/>
  <c r="U976" i="19"/>
  <c r="T976" i="19"/>
  <c r="U975" i="19"/>
  <c r="T975" i="19"/>
  <c r="U974" i="19"/>
  <c r="T974" i="19"/>
  <c r="U973" i="19"/>
  <c r="T973" i="19"/>
  <c r="U972" i="19"/>
  <c r="T972" i="19"/>
  <c r="U971" i="19"/>
  <c r="T971" i="19"/>
  <c r="U970" i="19"/>
  <c r="T970" i="19"/>
  <c r="U969" i="19"/>
  <c r="T969" i="19"/>
  <c r="U968" i="19"/>
  <c r="T968" i="19"/>
  <c r="U967" i="19"/>
  <c r="T967" i="19"/>
  <c r="U966" i="19"/>
  <c r="T966" i="19"/>
  <c r="U965" i="19"/>
  <c r="T965" i="19"/>
  <c r="U964" i="19"/>
  <c r="T964" i="19"/>
  <c r="U963" i="19"/>
  <c r="T963" i="19"/>
  <c r="U962" i="19"/>
  <c r="T962" i="19"/>
  <c r="U961" i="19"/>
  <c r="T961" i="19"/>
  <c r="U960" i="19"/>
  <c r="T960" i="19"/>
  <c r="U959" i="19"/>
  <c r="T959" i="19"/>
  <c r="U958" i="19"/>
  <c r="T958" i="19"/>
  <c r="U957" i="19"/>
  <c r="T957" i="19"/>
  <c r="U956" i="19"/>
  <c r="T956" i="19"/>
  <c r="U955" i="19"/>
  <c r="T955" i="19"/>
  <c r="U954" i="19"/>
  <c r="T954" i="19"/>
  <c r="U953" i="19"/>
  <c r="T953" i="19"/>
  <c r="U952" i="19"/>
  <c r="T952" i="19"/>
  <c r="U951" i="19"/>
  <c r="T951" i="19"/>
  <c r="U950" i="19"/>
  <c r="T950" i="19"/>
  <c r="U949" i="19"/>
  <c r="T949" i="19"/>
  <c r="U948" i="19"/>
  <c r="T948" i="19"/>
  <c r="U947" i="19"/>
  <c r="T947" i="19"/>
  <c r="U946" i="19"/>
  <c r="T946" i="19"/>
  <c r="U945" i="19"/>
  <c r="T945" i="19"/>
  <c r="U944" i="19"/>
  <c r="T944" i="19"/>
  <c r="U943" i="19"/>
  <c r="T943" i="19"/>
  <c r="U942" i="19"/>
  <c r="T942" i="19"/>
  <c r="U941" i="19"/>
  <c r="T941" i="19"/>
  <c r="U940" i="19"/>
  <c r="T940" i="19"/>
  <c r="U939" i="19"/>
  <c r="T939" i="19"/>
  <c r="U938" i="19"/>
  <c r="T938" i="19"/>
  <c r="U937" i="19"/>
  <c r="T937" i="19"/>
  <c r="U936" i="19"/>
  <c r="T936" i="19"/>
  <c r="U935" i="19"/>
  <c r="T935" i="19"/>
  <c r="U934" i="19"/>
  <c r="T934" i="19"/>
  <c r="U933" i="19"/>
  <c r="T933" i="19"/>
  <c r="U932" i="19"/>
  <c r="T932" i="19"/>
  <c r="U931" i="19"/>
  <c r="T931" i="19"/>
  <c r="U930" i="19"/>
  <c r="T930" i="19"/>
  <c r="U929" i="19"/>
  <c r="T929" i="19"/>
  <c r="U928" i="19"/>
  <c r="T928" i="19"/>
  <c r="U927" i="19"/>
  <c r="T927" i="19"/>
  <c r="U926" i="19"/>
  <c r="T926" i="19"/>
  <c r="U925" i="19"/>
  <c r="T925" i="19"/>
  <c r="U924" i="19"/>
  <c r="T924" i="19"/>
  <c r="U923" i="19"/>
  <c r="T923" i="19"/>
  <c r="U922" i="19"/>
  <c r="T922" i="19"/>
  <c r="U921" i="19"/>
  <c r="T921" i="19"/>
  <c r="U920" i="19"/>
  <c r="T920" i="19"/>
  <c r="U919" i="19"/>
  <c r="T919" i="19"/>
  <c r="U918" i="19"/>
  <c r="T918" i="19"/>
  <c r="U917" i="19"/>
  <c r="T917" i="19"/>
  <c r="U916" i="19"/>
  <c r="T916" i="19"/>
  <c r="U915" i="19"/>
  <c r="T915" i="19"/>
  <c r="U914" i="19"/>
  <c r="T914" i="19"/>
  <c r="U913" i="19"/>
  <c r="T913" i="19"/>
  <c r="U912" i="19"/>
  <c r="T912" i="19"/>
  <c r="U911" i="19"/>
  <c r="T911" i="19"/>
  <c r="U910" i="19"/>
  <c r="T910" i="19"/>
  <c r="U909" i="19"/>
  <c r="T909" i="19"/>
  <c r="U908" i="19"/>
  <c r="T908" i="19"/>
  <c r="U907" i="19"/>
  <c r="T907" i="19"/>
  <c r="U906" i="19"/>
  <c r="T906" i="19"/>
  <c r="U905" i="19"/>
  <c r="T905" i="19"/>
  <c r="U904" i="19"/>
  <c r="T904" i="19"/>
  <c r="U903" i="19"/>
  <c r="T903" i="19"/>
  <c r="U902" i="19"/>
  <c r="T902" i="19"/>
  <c r="U901" i="19"/>
  <c r="T901" i="19"/>
  <c r="U900" i="19"/>
  <c r="T900" i="19"/>
  <c r="U899" i="19"/>
  <c r="T899" i="19"/>
  <c r="U898" i="19"/>
  <c r="T898" i="19"/>
  <c r="U897" i="19"/>
  <c r="T897" i="19"/>
  <c r="U896" i="19"/>
  <c r="T896" i="19"/>
  <c r="U895" i="19"/>
  <c r="T895" i="19"/>
  <c r="U894" i="19"/>
  <c r="T894" i="19"/>
  <c r="U893" i="19"/>
  <c r="T893" i="19"/>
  <c r="U892" i="19"/>
  <c r="T892" i="19"/>
  <c r="U891" i="19"/>
  <c r="T891" i="19"/>
  <c r="U890" i="19"/>
  <c r="T890" i="19"/>
  <c r="U889" i="19"/>
  <c r="T889" i="19"/>
  <c r="U888" i="19"/>
  <c r="T888" i="19"/>
  <c r="U887" i="19"/>
  <c r="T887" i="19"/>
  <c r="U886" i="19"/>
  <c r="T886" i="19"/>
  <c r="U885" i="19"/>
  <c r="T885" i="19"/>
  <c r="U884" i="19"/>
  <c r="T884" i="19"/>
  <c r="U883" i="19"/>
  <c r="T883" i="19"/>
  <c r="U882" i="19"/>
  <c r="T882" i="19"/>
  <c r="U881" i="19"/>
  <c r="T881" i="19"/>
  <c r="U880" i="19"/>
  <c r="T880" i="19"/>
  <c r="U879" i="19"/>
  <c r="T879" i="19"/>
  <c r="U878" i="19"/>
  <c r="T878" i="19"/>
  <c r="U877" i="19"/>
  <c r="T877" i="19"/>
  <c r="U876" i="19"/>
  <c r="T876" i="19"/>
  <c r="U875" i="19"/>
  <c r="T875" i="19"/>
  <c r="U874" i="19"/>
  <c r="T874" i="19"/>
  <c r="U873" i="19"/>
  <c r="T873" i="19"/>
  <c r="U872" i="19"/>
  <c r="T872" i="19"/>
  <c r="U871" i="19"/>
  <c r="T871" i="19"/>
  <c r="U870" i="19"/>
  <c r="T870" i="19"/>
  <c r="U869" i="19"/>
  <c r="T869" i="19"/>
  <c r="U868" i="19"/>
  <c r="T868" i="19"/>
  <c r="U867" i="19"/>
  <c r="T867" i="19"/>
  <c r="U866" i="19"/>
  <c r="T866" i="19"/>
  <c r="U865" i="19"/>
  <c r="T865" i="19"/>
  <c r="U864" i="19"/>
  <c r="T864" i="19"/>
  <c r="U863" i="19"/>
  <c r="T863" i="19"/>
  <c r="U862" i="19"/>
  <c r="T862" i="19"/>
  <c r="U861" i="19"/>
  <c r="T861" i="19"/>
  <c r="U860" i="19"/>
  <c r="T860" i="19"/>
  <c r="U859" i="19"/>
  <c r="T859" i="19"/>
  <c r="U858" i="19"/>
  <c r="T858" i="19"/>
  <c r="U857" i="19"/>
  <c r="T857" i="19"/>
  <c r="U856" i="19"/>
  <c r="T856" i="19"/>
  <c r="U855" i="19"/>
  <c r="T855" i="19"/>
  <c r="U854" i="19"/>
  <c r="T854" i="19"/>
  <c r="U853" i="19"/>
  <c r="T853" i="19"/>
  <c r="U852" i="19"/>
  <c r="T852" i="19"/>
  <c r="U851" i="19"/>
  <c r="T851" i="19"/>
  <c r="U850" i="19"/>
  <c r="T850" i="19"/>
  <c r="U849" i="19"/>
  <c r="T849" i="19"/>
  <c r="U848" i="19"/>
  <c r="T848" i="19"/>
  <c r="U847" i="19"/>
  <c r="T847" i="19"/>
  <c r="U846" i="19"/>
  <c r="T846" i="19"/>
  <c r="U845" i="19"/>
  <c r="T845" i="19"/>
  <c r="U844" i="19"/>
  <c r="T844" i="19"/>
  <c r="U843" i="19"/>
  <c r="T843" i="19"/>
  <c r="U842" i="19"/>
  <c r="T842" i="19"/>
  <c r="U841" i="19"/>
  <c r="T841" i="19"/>
  <c r="U840" i="19"/>
  <c r="T840" i="19"/>
  <c r="U839" i="19"/>
  <c r="T839" i="19"/>
  <c r="U838" i="19"/>
  <c r="T838" i="19"/>
  <c r="U837" i="19"/>
  <c r="T837" i="19"/>
  <c r="U836" i="19"/>
  <c r="T836" i="19"/>
  <c r="U835" i="19"/>
  <c r="T835" i="19"/>
  <c r="U834" i="19"/>
  <c r="T834" i="19"/>
  <c r="U833" i="19"/>
  <c r="T833" i="19"/>
  <c r="U832" i="19"/>
  <c r="T832" i="19"/>
  <c r="U831" i="19"/>
  <c r="T831" i="19"/>
  <c r="U830" i="19"/>
  <c r="T830" i="19"/>
  <c r="U829" i="19"/>
  <c r="T829" i="19"/>
  <c r="U828" i="19"/>
  <c r="T828" i="19"/>
  <c r="U827" i="19"/>
  <c r="T827" i="19"/>
  <c r="U826" i="19"/>
  <c r="T826" i="19"/>
  <c r="U825" i="19"/>
  <c r="T825" i="19"/>
  <c r="U824" i="19"/>
  <c r="T824" i="19"/>
  <c r="U823" i="19"/>
  <c r="T823" i="19"/>
  <c r="U822" i="19"/>
  <c r="T822" i="19"/>
  <c r="U821" i="19"/>
  <c r="T821" i="19"/>
  <c r="U820" i="19"/>
  <c r="T820" i="19"/>
  <c r="U819" i="19"/>
  <c r="T819" i="19"/>
  <c r="U818" i="19"/>
  <c r="T818" i="19"/>
  <c r="U817" i="19"/>
  <c r="T817" i="19"/>
  <c r="U816" i="19"/>
  <c r="T816" i="19"/>
  <c r="U815" i="19"/>
  <c r="T815" i="19"/>
  <c r="U814" i="19"/>
  <c r="T814" i="19"/>
  <c r="U813" i="19"/>
  <c r="T813" i="19"/>
  <c r="U812" i="19"/>
  <c r="T812" i="19"/>
  <c r="U811" i="19"/>
  <c r="T811" i="19"/>
  <c r="U810" i="19"/>
  <c r="T810" i="19"/>
  <c r="U809" i="19"/>
  <c r="T809" i="19"/>
  <c r="U808" i="19"/>
  <c r="T808" i="19"/>
  <c r="U807" i="19"/>
  <c r="T807" i="19"/>
  <c r="U806" i="19"/>
  <c r="T806" i="19"/>
  <c r="U805" i="19"/>
  <c r="T805" i="19"/>
  <c r="U804" i="19"/>
  <c r="T804" i="19"/>
  <c r="U803" i="19"/>
  <c r="T803" i="19"/>
  <c r="U802" i="19"/>
  <c r="T802" i="19"/>
  <c r="U801" i="19"/>
  <c r="T801" i="19"/>
  <c r="U800" i="19"/>
  <c r="T800" i="19"/>
  <c r="U799" i="19"/>
  <c r="T799" i="19"/>
  <c r="U798" i="19"/>
  <c r="T798" i="19"/>
  <c r="U797" i="19"/>
  <c r="T797" i="19"/>
  <c r="U796" i="19"/>
  <c r="T796" i="19"/>
  <c r="U795" i="19"/>
  <c r="T795" i="19"/>
  <c r="U794" i="19"/>
  <c r="T794" i="19"/>
  <c r="U793" i="19"/>
  <c r="T793" i="19"/>
  <c r="U792" i="19"/>
  <c r="T792" i="19"/>
  <c r="U791" i="19"/>
  <c r="T791" i="19"/>
  <c r="U790" i="19"/>
  <c r="T790" i="19"/>
  <c r="U789" i="19"/>
  <c r="T789" i="19"/>
  <c r="U788" i="19"/>
  <c r="T788" i="19"/>
  <c r="U787" i="19"/>
  <c r="T787" i="19"/>
  <c r="U786" i="19"/>
  <c r="T786" i="19"/>
  <c r="U785" i="19"/>
  <c r="T785" i="19"/>
  <c r="U784" i="19"/>
  <c r="T784" i="19"/>
  <c r="U783" i="19"/>
  <c r="T783" i="19"/>
  <c r="U782" i="19"/>
  <c r="T782" i="19"/>
  <c r="U781" i="19"/>
  <c r="T781" i="19"/>
  <c r="U780" i="19"/>
  <c r="T780" i="19"/>
  <c r="U779" i="19"/>
  <c r="T779" i="19"/>
  <c r="U778" i="19"/>
  <c r="T778" i="19"/>
  <c r="U777" i="19"/>
  <c r="T777" i="19"/>
  <c r="U776" i="19"/>
  <c r="T776" i="19"/>
  <c r="U775" i="19"/>
  <c r="T775" i="19"/>
  <c r="U774" i="19"/>
  <c r="T774" i="19"/>
  <c r="U773" i="19"/>
  <c r="T773" i="19"/>
  <c r="U772" i="19"/>
  <c r="T772" i="19"/>
  <c r="U771" i="19"/>
  <c r="T771" i="19"/>
  <c r="U770" i="19"/>
  <c r="T770" i="19"/>
  <c r="U769" i="19"/>
  <c r="T769" i="19"/>
  <c r="U768" i="19"/>
  <c r="T768" i="19"/>
  <c r="U767" i="19"/>
  <c r="T767" i="19"/>
  <c r="U766" i="19"/>
  <c r="T766" i="19"/>
  <c r="U765" i="19"/>
  <c r="T765" i="19"/>
  <c r="U764" i="19"/>
  <c r="T764" i="19"/>
  <c r="U763" i="19"/>
  <c r="T763" i="19"/>
  <c r="U762" i="19"/>
  <c r="T762" i="19"/>
  <c r="U761" i="19"/>
  <c r="T761" i="19"/>
  <c r="U760" i="19"/>
  <c r="T760" i="19"/>
  <c r="U759" i="19"/>
  <c r="T759" i="19"/>
  <c r="U758" i="19"/>
  <c r="T758" i="19"/>
  <c r="U757" i="19"/>
  <c r="T757" i="19"/>
  <c r="U756" i="19"/>
  <c r="T756" i="19"/>
  <c r="U755" i="19"/>
  <c r="T755" i="19"/>
  <c r="U754" i="19"/>
  <c r="T754" i="19"/>
  <c r="U753" i="19"/>
  <c r="T753" i="19"/>
  <c r="U752" i="19"/>
  <c r="T752" i="19"/>
  <c r="U751" i="19"/>
  <c r="T751" i="19"/>
  <c r="U750" i="19"/>
  <c r="T750" i="19"/>
  <c r="U749" i="19"/>
  <c r="T749" i="19"/>
  <c r="U748" i="19"/>
  <c r="T748" i="19"/>
  <c r="U747" i="19"/>
  <c r="T747" i="19"/>
  <c r="U746" i="19"/>
  <c r="T746" i="19"/>
  <c r="U745" i="19"/>
  <c r="T745" i="19"/>
  <c r="U744" i="19"/>
  <c r="T744" i="19"/>
  <c r="U743" i="19"/>
  <c r="T743" i="19"/>
  <c r="U742" i="19"/>
  <c r="T742" i="19"/>
  <c r="U741" i="19"/>
  <c r="T741" i="19"/>
  <c r="U740" i="19"/>
  <c r="T740" i="19"/>
  <c r="U739" i="19"/>
  <c r="T739" i="19"/>
  <c r="U738" i="19"/>
  <c r="T738" i="19"/>
  <c r="U737" i="19"/>
  <c r="T737" i="19"/>
  <c r="U736" i="19"/>
  <c r="T736" i="19"/>
  <c r="U735" i="19"/>
  <c r="T735" i="19"/>
  <c r="U734" i="19"/>
  <c r="T734" i="19"/>
  <c r="U733" i="19"/>
  <c r="T733" i="19"/>
  <c r="U732" i="19"/>
  <c r="T732" i="19"/>
  <c r="U731" i="19"/>
  <c r="T731" i="19"/>
  <c r="U730" i="19"/>
  <c r="T730" i="19"/>
  <c r="U729" i="19"/>
  <c r="T729" i="19"/>
  <c r="U728" i="19"/>
  <c r="T728" i="19"/>
  <c r="U727" i="19"/>
  <c r="T727" i="19"/>
  <c r="U726" i="19"/>
  <c r="T726" i="19"/>
  <c r="U725" i="19"/>
  <c r="T725" i="19"/>
  <c r="U724" i="19"/>
  <c r="T724" i="19"/>
  <c r="U723" i="19"/>
  <c r="T723" i="19"/>
  <c r="U722" i="19"/>
  <c r="T722" i="19"/>
  <c r="U721" i="19"/>
  <c r="T721" i="19"/>
  <c r="U720" i="19"/>
  <c r="T720" i="19"/>
  <c r="U719" i="19"/>
  <c r="T719" i="19"/>
  <c r="U718" i="19"/>
  <c r="T718" i="19"/>
  <c r="U717" i="19"/>
  <c r="T717" i="19"/>
  <c r="U716" i="19"/>
  <c r="T716" i="19"/>
  <c r="U715" i="19"/>
  <c r="T715" i="19"/>
  <c r="U714" i="19"/>
  <c r="T714" i="19"/>
  <c r="U713" i="19"/>
  <c r="T713" i="19"/>
  <c r="U712" i="19"/>
  <c r="T712" i="19"/>
  <c r="U711" i="19"/>
  <c r="T711" i="19"/>
  <c r="U710" i="19"/>
  <c r="T710" i="19"/>
  <c r="U709" i="19"/>
  <c r="T709" i="19"/>
  <c r="U708" i="19"/>
  <c r="T708" i="19"/>
  <c r="U707" i="19"/>
  <c r="T707" i="19"/>
  <c r="U706" i="19"/>
  <c r="T706" i="19"/>
  <c r="U705" i="19"/>
  <c r="T705" i="19"/>
  <c r="U704" i="19"/>
  <c r="T704" i="19"/>
  <c r="U703" i="19"/>
  <c r="T703" i="19"/>
  <c r="U702" i="19"/>
  <c r="T702" i="19"/>
  <c r="U701" i="19"/>
  <c r="T701" i="19"/>
  <c r="U700" i="19"/>
  <c r="T700" i="19"/>
  <c r="U699" i="19"/>
  <c r="T699" i="19"/>
  <c r="U698" i="19"/>
  <c r="T698" i="19"/>
  <c r="U697" i="19"/>
  <c r="T697" i="19"/>
  <c r="U696" i="19"/>
  <c r="T696" i="19"/>
  <c r="U695" i="19"/>
  <c r="T695" i="19"/>
  <c r="U694" i="19"/>
  <c r="T694" i="19"/>
  <c r="U693" i="19"/>
  <c r="T693" i="19"/>
  <c r="U692" i="19"/>
  <c r="T692" i="19"/>
  <c r="U691" i="19"/>
  <c r="T691" i="19"/>
  <c r="U690" i="19"/>
  <c r="T690" i="19"/>
  <c r="U689" i="19"/>
  <c r="T689" i="19"/>
  <c r="U688" i="19"/>
  <c r="T688" i="19"/>
  <c r="U687" i="19"/>
  <c r="T687" i="19"/>
  <c r="U686" i="19"/>
  <c r="T686" i="19"/>
  <c r="U685" i="19"/>
  <c r="T685" i="19"/>
  <c r="U684" i="19"/>
  <c r="T684" i="19"/>
  <c r="U683" i="19"/>
  <c r="T683" i="19"/>
  <c r="U682" i="19"/>
  <c r="T682" i="19"/>
  <c r="U681" i="19"/>
  <c r="T681" i="19"/>
  <c r="U680" i="19"/>
  <c r="T680" i="19"/>
  <c r="U679" i="19"/>
  <c r="T679" i="19"/>
  <c r="U678" i="19"/>
  <c r="T678" i="19"/>
  <c r="U677" i="19"/>
  <c r="T677" i="19"/>
  <c r="U676" i="19"/>
  <c r="T676" i="19"/>
  <c r="U675" i="19"/>
  <c r="T675" i="19"/>
  <c r="U674" i="19"/>
  <c r="T674" i="19"/>
  <c r="U673" i="19"/>
  <c r="T673" i="19"/>
  <c r="U672" i="19"/>
  <c r="T672" i="19"/>
  <c r="U671" i="19"/>
  <c r="T671" i="19"/>
  <c r="U670" i="19"/>
  <c r="T670" i="19"/>
  <c r="U669" i="19"/>
  <c r="T669" i="19"/>
  <c r="U668" i="19"/>
  <c r="T668" i="19"/>
  <c r="U667" i="19"/>
  <c r="T667" i="19"/>
  <c r="U666" i="19"/>
  <c r="T666" i="19"/>
  <c r="U665" i="19"/>
  <c r="T665" i="19"/>
  <c r="U664" i="19"/>
  <c r="T664" i="19"/>
  <c r="U663" i="19"/>
  <c r="T663" i="19"/>
  <c r="U662" i="19"/>
  <c r="T662" i="19"/>
  <c r="U661" i="19"/>
  <c r="T661" i="19"/>
  <c r="U660" i="19"/>
  <c r="T660" i="19"/>
  <c r="U659" i="19"/>
  <c r="T659" i="19"/>
  <c r="U658" i="19"/>
  <c r="T658" i="19"/>
  <c r="U657" i="19"/>
  <c r="T657" i="19"/>
  <c r="U656" i="19"/>
  <c r="T656" i="19"/>
  <c r="U655" i="19"/>
  <c r="T655" i="19"/>
  <c r="U654" i="19"/>
  <c r="T654" i="19"/>
  <c r="U653" i="19"/>
  <c r="T653" i="19"/>
  <c r="U652" i="19"/>
  <c r="T652" i="19"/>
  <c r="U651" i="19"/>
  <c r="T651" i="19"/>
  <c r="U650" i="19"/>
  <c r="T650" i="19"/>
  <c r="U649" i="19"/>
  <c r="T649" i="19"/>
  <c r="U648" i="19"/>
  <c r="T648" i="19"/>
  <c r="U647" i="19"/>
  <c r="T647" i="19"/>
  <c r="U646" i="19"/>
  <c r="T646" i="19"/>
  <c r="U645" i="19"/>
  <c r="T645" i="19"/>
  <c r="U644" i="19"/>
  <c r="T644" i="19"/>
  <c r="U643" i="19"/>
  <c r="T643" i="19"/>
  <c r="U642" i="19"/>
  <c r="T642" i="19"/>
  <c r="U641" i="19"/>
  <c r="T641" i="19"/>
  <c r="U640" i="19"/>
  <c r="T640" i="19"/>
  <c r="U639" i="19"/>
  <c r="T639" i="19"/>
  <c r="U638" i="19"/>
  <c r="T638" i="19"/>
  <c r="U637" i="19"/>
  <c r="T637" i="19"/>
  <c r="U636" i="19"/>
  <c r="T636" i="19"/>
  <c r="U635" i="19"/>
  <c r="T635" i="19"/>
  <c r="U634" i="19"/>
  <c r="T634" i="19"/>
  <c r="U633" i="19"/>
  <c r="T633" i="19"/>
  <c r="U632" i="19"/>
  <c r="T632" i="19"/>
  <c r="U631" i="19"/>
  <c r="T631" i="19"/>
  <c r="U630" i="19"/>
  <c r="T630" i="19"/>
  <c r="U629" i="19"/>
  <c r="T629" i="19"/>
  <c r="U628" i="19"/>
  <c r="T628" i="19"/>
  <c r="U627" i="19"/>
  <c r="T627" i="19"/>
  <c r="U626" i="19"/>
  <c r="T626" i="19"/>
  <c r="U625" i="19"/>
  <c r="T625" i="19"/>
  <c r="U624" i="19"/>
  <c r="T624" i="19"/>
  <c r="U623" i="19"/>
  <c r="T623" i="19"/>
  <c r="U622" i="19"/>
  <c r="T622" i="19"/>
  <c r="U621" i="19"/>
  <c r="T621" i="19"/>
  <c r="U620" i="19"/>
  <c r="T620" i="19"/>
  <c r="U619" i="19"/>
  <c r="T619" i="19"/>
  <c r="U618" i="19"/>
  <c r="T618" i="19"/>
  <c r="U617" i="19"/>
  <c r="T617" i="19"/>
  <c r="U616" i="19"/>
  <c r="T616" i="19"/>
  <c r="U615" i="19"/>
  <c r="T615" i="19"/>
  <c r="U614" i="19"/>
  <c r="T614" i="19"/>
  <c r="U613" i="19"/>
  <c r="T613" i="19"/>
  <c r="U612" i="19"/>
  <c r="T612" i="19"/>
  <c r="U611" i="19"/>
  <c r="T611" i="19"/>
  <c r="U610" i="19"/>
  <c r="T610" i="19"/>
  <c r="U609" i="19"/>
  <c r="T609" i="19"/>
  <c r="U608" i="19"/>
  <c r="T608" i="19"/>
  <c r="U607" i="19"/>
  <c r="T607" i="19"/>
  <c r="U606" i="19"/>
  <c r="T606" i="19"/>
  <c r="U605" i="19"/>
  <c r="T605" i="19"/>
  <c r="U604" i="19"/>
  <c r="T604" i="19"/>
  <c r="U603" i="19"/>
  <c r="T603" i="19"/>
  <c r="U602" i="19"/>
  <c r="T602" i="19"/>
  <c r="U601" i="19"/>
  <c r="T601" i="19"/>
  <c r="U600" i="19"/>
  <c r="T600" i="19"/>
  <c r="U599" i="19"/>
  <c r="T599" i="19"/>
  <c r="U598" i="19"/>
  <c r="T598" i="19"/>
  <c r="U597" i="19"/>
  <c r="T597" i="19"/>
  <c r="U596" i="19"/>
  <c r="T596" i="19"/>
  <c r="U595" i="19"/>
  <c r="T595" i="19"/>
  <c r="U594" i="19"/>
  <c r="T594" i="19"/>
  <c r="U593" i="19"/>
  <c r="T593" i="19"/>
  <c r="U592" i="19"/>
  <c r="T592" i="19"/>
  <c r="U591" i="19"/>
  <c r="T591" i="19"/>
  <c r="U590" i="19"/>
  <c r="T590" i="19"/>
  <c r="U589" i="19"/>
  <c r="T589" i="19"/>
  <c r="U588" i="19"/>
  <c r="T588" i="19"/>
  <c r="U587" i="19"/>
  <c r="T587" i="19"/>
  <c r="U586" i="19"/>
  <c r="T586" i="19"/>
  <c r="U585" i="19"/>
  <c r="T585" i="19"/>
  <c r="U584" i="19"/>
  <c r="T584" i="19"/>
  <c r="U583" i="19"/>
  <c r="T583" i="19"/>
  <c r="U582" i="19"/>
  <c r="T582" i="19"/>
  <c r="U581" i="19"/>
  <c r="T581" i="19"/>
  <c r="U580" i="19"/>
  <c r="T580" i="19"/>
  <c r="U579" i="19"/>
  <c r="T579" i="19"/>
  <c r="U578" i="19"/>
  <c r="T578" i="19"/>
  <c r="U577" i="19"/>
  <c r="T577" i="19"/>
  <c r="U576" i="19"/>
  <c r="T576" i="19"/>
  <c r="U575" i="19"/>
  <c r="T575" i="19"/>
  <c r="U574" i="19"/>
  <c r="T574" i="19"/>
  <c r="U573" i="19"/>
  <c r="T573" i="19"/>
  <c r="U572" i="19"/>
  <c r="T572" i="19"/>
  <c r="U571" i="19"/>
  <c r="T571" i="19"/>
  <c r="U570" i="19"/>
  <c r="T570" i="19"/>
  <c r="U569" i="19"/>
  <c r="T569" i="19"/>
  <c r="U568" i="19"/>
  <c r="T568" i="19"/>
  <c r="U567" i="19"/>
  <c r="T567" i="19"/>
  <c r="U566" i="19"/>
  <c r="T566" i="19"/>
  <c r="U565" i="19"/>
  <c r="T565" i="19"/>
  <c r="U564" i="19"/>
  <c r="T564" i="19"/>
  <c r="U563" i="19"/>
  <c r="T563" i="19"/>
  <c r="U562" i="19"/>
  <c r="T562" i="19"/>
  <c r="U561" i="19"/>
  <c r="T561" i="19"/>
  <c r="U560" i="19"/>
  <c r="T560" i="19"/>
  <c r="U559" i="19"/>
  <c r="T559" i="19"/>
  <c r="U558" i="19"/>
  <c r="T558" i="19"/>
  <c r="U557" i="19"/>
  <c r="T557" i="19"/>
  <c r="U556" i="19"/>
  <c r="T556" i="19"/>
  <c r="U555" i="19"/>
  <c r="T555" i="19"/>
  <c r="U554" i="19"/>
  <c r="T554" i="19"/>
  <c r="U553" i="19"/>
  <c r="T553" i="19"/>
  <c r="U552" i="19"/>
  <c r="T552" i="19"/>
  <c r="U551" i="19"/>
  <c r="T551" i="19"/>
  <c r="U550" i="19"/>
  <c r="T550" i="19"/>
  <c r="U549" i="19"/>
  <c r="T549" i="19"/>
  <c r="U548" i="19"/>
  <c r="T548" i="19"/>
  <c r="U547" i="19"/>
  <c r="T547" i="19"/>
  <c r="U546" i="19"/>
  <c r="T546" i="19"/>
  <c r="U545" i="19"/>
  <c r="T545" i="19"/>
  <c r="U544" i="19"/>
  <c r="T544" i="19"/>
  <c r="U543" i="19"/>
  <c r="T543" i="19"/>
  <c r="U542" i="19"/>
  <c r="T542" i="19"/>
  <c r="U541" i="19"/>
  <c r="T541" i="19"/>
  <c r="U540" i="19"/>
  <c r="T540" i="19"/>
  <c r="U539" i="19"/>
  <c r="T539" i="19"/>
  <c r="U538" i="19"/>
  <c r="T538" i="19"/>
  <c r="U537" i="19"/>
  <c r="T537" i="19"/>
  <c r="U536" i="19"/>
  <c r="T536" i="19"/>
  <c r="U535" i="19"/>
  <c r="T535" i="19"/>
  <c r="U534" i="19"/>
  <c r="T534" i="19"/>
  <c r="U533" i="19"/>
  <c r="T533" i="19"/>
  <c r="U532" i="19"/>
  <c r="T532" i="19"/>
  <c r="U531" i="19"/>
  <c r="T531" i="19"/>
  <c r="U530" i="19"/>
  <c r="T530" i="19"/>
  <c r="U529" i="19"/>
  <c r="T529" i="19"/>
  <c r="U528" i="19"/>
  <c r="T528" i="19"/>
  <c r="U527" i="19"/>
  <c r="T527" i="19"/>
  <c r="U526" i="19"/>
  <c r="T526" i="19"/>
  <c r="U525" i="19"/>
  <c r="T525" i="19"/>
  <c r="U524" i="19"/>
  <c r="T524" i="19"/>
  <c r="U523" i="19"/>
  <c r="T523" i="19"/>
  <c r="U522" i="19"/>
  <c r="T522" i="19"/>
  <c r="U521" i="19"/>
  <c r="T521" i="19"/>
  <c r="U520" i="19"/>
  <c r="T520" i="19"/>
  <c r="U519" i="19"/>
  <c r="T519" i="19"/>
  <c r="U518" i="19"/>
  <c r="T518" i="19"/>
  <c r="U517" i="19"/>
  <c r="T517" i="19"/>
  <c r="U516" i="19"/>
  <c r="T516" i="19"/>
  <c r="U515" i="19"/>
  <c r="T515" i="19"/>
  <c r="U514" i="19"/>
  <c r="T514" i="19"/>
  <c r="U513" i="19"/>
  <c r="T513" i="19"/>
  <c r="U512" i="19"/>
  <c r="T512" i="19"/>
  <c r="U511" i="19"/>
  <c r="T511" i="19"/>
  <c r="U510" i="19"/>
  <c r="T510" i="19"/>
  <c r="U509" i="19"/>
  <c r="T509" i="19"/>
  <c r="U508" i="19"/>
  <c r="T508" i="19"/>
  <c r="U507" i="19"/>
  <c r="T507" i="19"/>
  <c r="U506" i="19"/>
  <c r="T506" i="19"/>
  <c r="U505" i="19"/>
  <c r="T505" i="19"/>
  <c r="U504" i="19"/>
  <c r="T504" i="19"/>
  <c r="U503" i="19"/>
  <c r="T503" i="19"/>
  <c r="U502" i="19"/>
  <c r="T502" i="19"/>
  <c r="U501" i="19"/>
  <c r="T501" i="19"/>
  <c r="U500" i="19"/>
  <c r="T500" i="19"/>
  <c r="U499" i="19"/>
  <c r="T499" i="19"/>
  <c r="U498" i="19"/>
  <c r="T498" i="19"/>
  <c r="U497" i="19"/>
  <c r="T497" i="19"/>
  <c r="U496" i="19"/>
  <c r="T496" i="19"/>
  <c r="U495" i="19"/>
  <c r="T495" i="19"/>
  <c r="U494" i="19"/>
  <c r="T494" i="19"/>
  <c r="U493" i="19"/>
  <c r="T493" i="19"/>
  <c r="U492" i="19"/>
  <c r="T492" i="19"/>
  <c r="U491" i="19"/>
  <c r="T491" i="19"/>
  <c r="U490" i="19"/>
  <c r="T490" i="19"/>
  <c r="U489" i="19"/>
  <c r="T489" i="19"/>
  <c r="U488" i="19"/>
  <c r="T488" i="19"/>
  <c r="U487" i="19"/>
  <c r="T487" i="19"/>
  <c r="U486" i="19"/>
  <c r="T486" i="19"/>
  <c r="U485" i="19"/>
  <c r="T485" i="19"/>
  <c r="U484" i="19"/>
  <c r="T484" i="19"/>
  <c r="U483" i="19"/>
  <c r="T483" i="19"/>
  <c r="U482" i="19"/>
  <c r="T482" i="19"/>
  <c r="U481" i="19"/>
  <c r="T481" i="19"/>
  <c r="U480" i="19"/>
  <c r="T480" i="19"/>
  <c r="U479" i="19"/>
  <c r="T479" i="19"/>
  <c r="U478" i="19"/>
  <c r="T478" i="19"/>
  <c r="U477" i="19"/>
  <c r="T477" i="19"/>
  <c r="U476" i="19"/>
  <c r="T476" i="19"/>
  <c r="U475" i="19"/>
  <c r="T475" i="19"/>
  <c r="U474" i="19"/>
  <c r="T474" i="19"/>
  <c r="U473" i="19"/>
  <c r="T473" i="19"/>
  <c r="U472" i="19"/>
  <c r="T472" i="19"/>
  <c r="U471" i="19"/>
  <c r="T471" i="19"/>
  <c r="U470" i="19"/>
  <c r="T470" i="19"/>
  <c r="U469" i="19"/>
  <c r="T469" i="19"/>
  <c r="U468" i="19"/>
  <c r="T468" i="19"/>
  <c r="U467" i="19"/>
  <c r="T467" i="19"/>
  <c r="U466" i="19"/>
  <c r="T466" i="19"/>
  <c r="U465" i="19"/>
  <c r="T465" i="19"/>
  <c r="U464" i="19"/>
  <c r="T464" i="19"/>
  <c r="U463" i="19"/>
  <c r="T463" i="19"/>
  <c r="U462" i="19"/>
  <c r="T462" i="19"/>
  <c r="U461" i="19"/>
  <c r="T461" i="19"/>
  <c r="U460" i="19"/>
  <c r="T460" i="19"/>
  <c r="U459" i="19"/>
  <c r="T459" i="19"/>
  <c r="U458" i="19"/>
  <c r="T458" i="19"/>
  <c r="U457" i="19"/>
  <c r="T457" i="19"/>
  <c r="U456" i="19"/>
  <c r="T456" i="19"/>
  <c r="U455" i="19"/>
  <c r="T455" i="19"/>
  <c r="U454" i="19"/>
  <c r="T454" i="19"/>
  <c r="U453" i="19"/>
  <c r="T453" i="19"/>
  <c r="U452" i="19"/>
  <c r="T452" i="19"/>
  <c r="U451" i="19"/>
  <c r="T451" i="19"/>
  <c r="U450" i="19"/>
  <c r="T450" i="19"/>
  <c r="U449" i="19"/>
  <c r="T449" i="19"/>
  <c r="U448" i="19"/>
  <c r="T448" i="19"/>
  <c r="U447" i="19"/>
  <c r="T447" i="19"/>
  <c r="U446" i="19"/>
  <c r="T446" i="19"/>
  <c r="U445" i="19"/>
  <c r="T445" i="19"/>
  <c r="U444" i="19"/>
  <c r="T444" i="19"/>
  <c r="U443" i="19"/>
  <c r="T443" i="19"/>
  <c r="U442" i="19"/>
  <c r="T442" i="19"/>
  <c r="U441" i="19"/>
  <c r="T441" i="19"/>
  <c r="U440" i="19"/>
  <c r="T440" i="19"/>
  <c r="U439" i="19"/>
  <c r="T439" i="19"/>
  <c r="U438" i="19"/>
  <c r="T438" i="19"/>
  <c r="U437" i="19"/>
  <c r="T437" i="19"/>
  <c r="U436" i="19"/>
  <c r="T436" i="19"/>
  <c r="U435" i="19"/>
  <c r="T435" i="19"/>
  <c r="U434" i="19"/>
  <c r="T434" i="19"/>
  <c r="U433" i="19"/>
  <c r="T433" i="19"/>
  <c r="U432" i="19"/>
  <c r="T432" i="19"/>
  <c r="U431" i="19"/>
  <c r="T431" i="19"/>
  <c r="U430" i="19"/>
  <c r="T430" i="19"/>
  <c r="U429" i="19"/>
  <c r="T429" i="19"/>
  <c r="U428" i="19"/>
  <c r="T428" i="19"/>
  <c r="U427" i="19"/>
  <c r="T427" i="19"/>
  <c r="U426" i="19"/>
  <c r="T426" i="19"/>
  <c r="U425" i="19"/>
  <c r="T425" i="19"/>
  <c r="U424" i="19"/>
  <c r="T424" i="19"/>
  <c r="U423" i="19"/>
  <c r="T423" i="19"/>
  <c r="U422" i="19"/>
  <c r="T422" i="19"/>
  <c r="U421" i="19"/>
  <c r="T421" i="19"/>
  <c r="U420" i="19"/>
  <c r="T420" i="19"/>
  <c r="U419" i="19"/>
  <c r="T419" i="19"/>
  <c r="U418" i="19"/>
  <c r="T418" i="19"/>
  <c r="U417" i="19"/>
  <c r="T417" i="19"/>
  <c r="U416" i="19"/>
  <c r="T416" i="19"/>
  <c r="U415" i="19"/>
  <c r="T415" i="19"/>
  <c r="U414" i="19"/>
  <c r="T414" i="19"/>
  <c r="U413" i="19"/>
  <c r="T413" i="19"/>
  <c r="U412" i="19"/>
  <c r="T412" i="19"/>
  <c r="U411" i="19"/>
  <c r="T411" i="19"/>
  <c r="U410" i="19"/>
  <c r="T410" i="19"/>
  <c r="U409" i="19"/>
  <c r="T409" i="19"/>
  <c r="U408" i="19"/>
  <c r="T408" i="19"/>
  <c r="U407" i="19"/>
  <c r="T407" i="19"/>
  <c r="U406" i="19"/>
  <c r="T406" i="19"/>
  <c r="U405" i="19"/>
  <c r="T405" i="19"/>
  <c r="U404" i="19"/>
  <c r="T404" i="19"/>
  <c r="U403" i="19"/>
  <c r="T403" i="19"/>
  <c r="U402" i="19"/>
  <c r="T402" i="19"/>
  <c r="U401" i="19"/>
  <c r="T401" i="19"/>
  <c r="U400" i="19"/>
  <c r="T400" i="19"/>
  <c r="U399" i="19"/>
  <c r="T399" i="19"/>
  <c r="U398" i="19"/>
  <c r="T398" i="19"/>
  <c r="U397" i="19"/>
  <c r="T397" i="19"/>
  <c r="U396" i="19"/>
  <c r="T396" i="19"/>
  <c r="U395" i="19"/>
  <c r="T395" i="19"/>
  <c r="U394" i="19"/>
  <c r="T394" i="19"/>
  <c r="U393" i="19"/>
  <c r="T393" i="19"/>
  <c r="U392" i="19"/>
  <c r="T392" i="19"/>
  <c r="U391" i="19"/>
  <c r="T391" i="19"/>
  <c r="U390" i="19"/>
  <c r="T390" i="19"/>
  <c r="U389" i="19"/>
  <c r="T389" i="19"/>
  <c r="U388" i="19"/>
  <c r="T388" i="19"/>
  <c r="U387" i="19"/>
  <c r="T387" i="19"/>
  <c r="U386" i="19"/>
  <c r="T386" i="19"/>
  <c r="U385" i="19"/>
  <c r="T385" i="19"/>
  <c r="U384" i="19"/>
  <c r="T384" i="19"/>
  <c r="U383" i="19"/>
  <c r="T383" i="19"/>
  <c r="U382" i="19"/>
  <c r="T382" i="19"/>
  <c r="U381" i="19"/>
  <c r="T381" i="19"/>
  <c r="U380" i="19"/>
  <c r="T380" i="19"/>
  <c r="U379" i="19"/>
  <c r="T379" i="19"/>
  <c r="U378" i="19"/>
  <c r="T378" i="19"/>
  <c r="U377" i="19"/>
  <c r="T377" i="19"/>
  <c r="U376" i="19"/>
  <c r="T376" i="19"/>
  <c r="U375" i="19"/>
  <c r="T375" i="19"/>
  <c r="U374" i="19"/>
  <c r="T374" i="19"/>
  <c r="U373" i="19"/>
  <c r="T373" i="19"/>
  <c r="U372" i="19"/>
  <c r="T372" i="19"/>
  <c r="U371" i="19"/>
  <c r="T371" i="19"/>
  <c r="U370" i="19"/>
  <c r="T370" i="19"/>
  <c r="U369" i="19"/>
  <c r="T369" i="19"/>
  <c r="U368" i="19"/>
  <c r="T368" i="19"/>
  <c r="U367" i="19"/>
  <c r="T367" i="19"/>
  <c r="U366" i="19"/>
  <c r="T366" i="19"/>
  <c r="U365" i="19"/>
  <c r="T365" i="19"/>
  <c r="U364" i="19"/>
  <c r="T364" i="19"/>
  <c r="U363" i="19"/>
  <c r="T363" i="19"/>
  <c r="U362" i="19"/>
  <c r="T362" i="19"/>
  <c r="U361" i="19"/>
  <c r="T361" i="19"/>
  <c r="U360" i="19"/>
  <c r="T360" i="19"/>
  <c r="U359" i="19"/>
  <c r="T359" i="19"/>
  <c r="U358" i="19"/>
  <c r="T358" i="19"/>
  <c r="U357" i="19"/>
  <c r="T357" i="19"/>
  <c r="U356" i="19"/>
  <c r="T356" i="19"/>
  <c r="U355" i="19"/>
  <c r="T355" i="19"/>
  <c r="U354" i="19"/>
  <c r="T354" i="19"/>
  <c r="U353" i="19"/>
  <c r="T353" i="19"/>
  <c r="U352" i="19"/>
  <c r="T352" i="19"/>
  <c r="U351" i="19"/>
  <c r="T351" i="19"/>
  <c r="U350" i="19"/>
  <c r="T350" i="19"/>
  <c r="U349" i="19"/>
  <c r="T349" i="19"/>
  <c r="U348" i="19"/>
  <c r="T348" i="19"/>
  <c r="U347" i="19"/>
  <c r="T347" i="19"/>
  <c r="U346" i="19"/>
  <c r="T346" i="19"/>
  <c r="U345" i="19"/>
  <c r="T345" i="19"/>
  <c r="U344" i="19"/>
  <c r="T344" i="19"/>
  <c r="U343" i="19"/>
  <c r="T343" i="19"/>
  <c r="U342" i="19"/>
  <c r="T342" i="19"/>
  <c r="U341" i="19"/>
  <c r="T341" i="19"/>
  <c r="U340" i="19"/>
  <c r="T340" i="19"/>
  <c r="U339" i="19"/>
  <c r="T339" i="19"/>
  <c r="U338" i="19"/>
  <c r="T338" i="19"/>
  <c r="U337" i="19"/>
  <c r="T337" i="19"/>
  <c r="U336" i="19"/>
  <c r="T336" i="19"/>
  <c r="U335" i="19"/>
  <c r="T335" i="19"/>
  <c r="U334" i="19"/>
  <c r="T334" i="19"/>
  <c r="U333" i="19"/>
  <c r="T333" i="19"/>
  <c r="U332" i="19"/>
  <c r="T332" i="19"/>
  <c r="U331" i="19"/>
  <c r="T331" i="19"/>
  <c r="U330" i="19"/>
  <c r="T330" i="19"/>
  <c r="U329" i="19"/>
  <c r="T329" i="19"/>
  <c r="U328" i="19"/>
  <c r="T328" i="19"/>
  <c r="U327" i="19"/>
  <c r="T327" i="19"/>
  <c r="U326" i="19"/>
  <c r="T326" i="19"/>
  <c r="U325" i="19"/>
  <c r="T325" i="19"/>
  <c r="U324" i="19"/>
  <c r="T324" i="19"/>
  <c r="U323" i="19"/>
  <c r="T323" i="19"/>
  <c r="U322" i="19"/>
  <c r="T322" i="19"/>
  <c r="U321" i="19"/>
  <c r="T321" i="19"/>
  <c r="U320" i="19"/>
  <c r="T320" i="19"/>
  <c r="U319" i="19"/>
  <c r="T319" i="19"/>
  <c r="U318" i="19"/>
  <c r="T318" i="19"/>
  <c r="U317" i="19"/>
  <c r="T317" i="19"/>
  <c r="U316" i="19"/>
  <c r="T316" i="19"/>
  <c r="U315" i="19"/>
  <c r="T315" i="19"/>
  <c r="U314" i="19"/>
  <c r="T314" i="19"/>
  <c r="U313" i="19"/>
  <c r="T313" i="19"/>
  <c r="U312" i="19"/>
  <c r="T312" i="19"/>
  <c r="U311" i="19"/>
  <c r="T311" i="19"/>
  <c r="U310" i="19"/>
  <c r="T310" i="19"/>
  <c r="U309" i="19"/>
  <c r="T309" i="19"/>
  <c r="U308" i="19"/>
  <c r="T308" i="19"/>
  <c r="U307" i="19"/>
  <c r="T307" i="19"/>
  <c r="U306" i="19"/>
  <c r="T306" i="19"/>
  <c r="U305" i="19"/>
  <c r="T305" i="19"/>
  <c r="U304" i="19"/>
  <c r="T304" i="19"/>
  <c r="U303" i="19"/>
  <c r="T303" i="19"/>
  <c r="U302" i="19"/>
  <c r="T302" i="19"/>
  <c r="U301" i="19"/>
  <c r="T301" i="19"/>
  <c r="U300" i="19"/>
  <c r="T300" i="19"/>
  <c r="U299" i="19"/>
  <c r="T299" i="19"/>
  <c r="U298" i="19"/>
  <c r="T298" i="19"/>
  <c r="U297" i="19"/>
  <c r="T297" i="19"/>
  <c r="U296" i="19"/>
  <c r="T296" i="19"/>
  <c r="U295" i="19"/>
  <c r="T295" i="19"/>
  <c r="U294" i="19"/>
  <c r="T294" i="19"/>
  <c r="U293" i="19"/>
  <c r="T293" i="19"/>
  <c r="U292" i="19"/>
  <c r="T292" i="19"/>
  <c r="U291" i="19"/>
  <c r="T291" i="19"/>
  <c r="U290" i="19"/>
  <c r="T290" i="19"/>
  <c r="U289" i="19"/>
  <c r="T289" i="19"/>
  <c r="U288" i="19"/>
  <c r="T288" i="19"/>
  <c r="U287" i="19"/>
  <c r="T287" i="19"/>
  <c r="U286" i="19"/>
  <c r="T286" i="19"/>
  <c r="U285" i="19"/>
  <c r="T285" i="19"/>
  <c r="U284" i="19"/>
  <c r="T284" i="19"/>
  <c r="U283" i="19"/>
  <c r="T283" i="19"/>
  <c r="U282" i="19"/>
  <c r="T282" i="19"/>
  <c r="U281" i="19"/>
  <c r="T281" i="19"/>
  <c r="U280" i="19"/>
  <c r="T280" i="19"/>
  <c r="U279" i="19"/>
  <c r="T279" i="19"/>
  <c r="U278" i="19"/>
  <c r="T278" i="19"/>
  <c r="U277" i="19"/>
  <c r="T277" i="19"/>
  <c r="U276" i="19"/>
  <c r="T276" i="19"/>
  <c r="U275" i="19"/>
  <c r="T275" i="19"/>
  <c r="U274" i="19"/>
  <c r="T274" i="19"/>
  <c r="U273" i="19"/>
  <c r="T273" i="19"/>
  <c r="U272" i="19"/>
  <c r="T272" i="19"/>
  <c r="U271" i="19"/>
  <c r="T271" i="19"/>
  <c r="U270" i="19"/>
  <c r="T270" i="19"/>
  <c r="U269" i="19"/>
  <c r="T269" i="19"/>
  <c r="U268" i="19"/>
  <c r="T268" i="19"/>
  <c r="U267" i="19"/>
  <c r="T267" i="19"/>
  <c r="U266" i="19"/>
  <c r="T266" i="19"/>
  <c r="U265" i="19"/>
  <c r="T265" i="19"/>
  <c r="U264" i="19"/>
  <c r="T264" i="19"/>
  <c r="U263" i="19"/>
  <c r="T263" i="19"/>
  <c r="U262" i="19"/>
  <c r="T262" i="19"/>
  <c r="U261" i="19"/>
  <c r="T261" i="19"/>
  <c r="U260" i="19"/>
  <c r="T260" i="19"/>
  <c r="U259" i="19"/>
  <c r="T259" i="19"/>
  <c r="U258" i="19"/>
  <c r="T258" i="19"/>
  <c r="U257" i="19"/>
  <c r="T257" i="19"/>
  <c r="U256" i="19"/>
  <c r="T256" i="19"/>
  <c r="U255" i="19"/>
  <c r="T255" i="19"/>
  <c r="U254" i="19"/>
  <c r="T254" i="19"/>
  <c r="U253" i="19"/>
  <c r="T253" i="19"/>
  <c r="U252" i="19"/>
  <c r="T252" i="19"/>
  <c r="U251" i="19"/>
  <c r="T251" i="19"/>
  <c r="U250" i="19"/>
  <c r="T250" i="19"/>
  <c r="U249" i="19"/>
  <c r="T249" i="19"/>
  <c r="U248" i="19"/>
  <c r="T248" i="19"/>
  <c r="U247" i="19"/>
  <c r="T247" i="19"/>
  <c r="U246" i="19"/>
  <c r="T246" i="19"/>
  <c r="U245" i="19"/>
  <c r="T245" i="19"/>
  <c r="U244" i="19"/>
  <c r="T244" i="19"/>
  <c r="U243" i="19"/>
  <c r="T243" i="19"/>
  <c r="U242" i="19"/>
  <c r="T242" i="19"/>
  <c r="U241" i="19"/>
  <c r="T241" i="19"/>
  <c r="U240" i="19"/>
  <c r="T240" i="19"/>
  <c r="U239" i="19"/>
  <c r="T239" i="19"/>
  <c r="U238" i="19"/>
  <c r="T238" i="19"/>
  <c r="U237" i="19"/>
  <c r="T237" i="19"/>
  <c r="U236" i="19"/>
  <c r="T236" i="19"/>
  <c r="U235" i="19"/>
  <c r="T235" i="19"/>
  <c r="U234" i="19"/>
  <c r="T234" i="19"/>
  <c r="U233" i="19"/>
  <c r="T233" i="19"/>
  <c r="U232" i="19"/>
  <c r="T232" i="19"/>
  <c r="U231" i="19"/>
  <c r="T231" i="19"/>
  <c r="U230" i="19"/>
  <c r="T230" i="19"/>
  <c r="U229" i="19"/>
  <c r="T229" i="19"/>
  <c r="U228" i="19"/>
  <c r="T228" i="19"/>
  <c r="U227" i="19"/>
  <c r="T227" i="19"/>
  <c r="U226" i="19"/>
  <c r="T226" i="19"/>
  <c r="U225" i="19"/>
  <c r="T225" i="19"/>
  <c r="U224" i="19"/>
  <c r="T224" i="19"/>
  <c r="U223" i="19"/>
  <c r="T223" i="19"/>
  <c r="U222" i="19"/>
  <c r="T222" i="19"/>
  <c r="U221" i="19"/>
  <c r="T221" i="19"/>
  <c r="U220" i="19"/>
  <c r="T220" i="19"/>
  <c r="U219" i="19"/>
  <c r="T219" i="19"/>
  <c r="U218" i="19"/>
  <c r="T218" i="19"/>
  <c r="U217" i="19"/>
  <c r="T217" i="19"/>
  <c r="U216" i="19"/>
  <c r="T216" i="19"/>
  <c r="U215" i="19"/>
  <c r="T215" i="19"/>
  <c r="U214" i="19"/>
  <c r="T214" i="19"/>
  <c r="U213" i="19"/>
  <c r="T213" i="19"/>
  <c r="U212" i="19"/>
  <c r="T212" i="19"/>
  <c r="U211" i="19"/>
  <c r="T211" i="19"/>
  <c r="U210" i="19"/>
  <c r="T210" i="19"/>
  <c r="U209" i="19"/>
  <c r="T209" i="19"/>
  <c r="U208" i="19"/>
  <c r="T208" i="19"/>
  <c r="U207" i="19"/>
  <c r="T207" i="19"/>
  <c r="U206" i="19"/>
  <c r="T206" i="19"/>
  <c r="U205" i="19"/>
  <c r="T205" i="19"/>
  <c r="U204" i="19"/>
  <c r="T204" i="19"/>
  <c r="U203" i="19"/>
  <c r="T203" i="19"/>
  <c r="U202" i="19"/>
  <c r="T202" i="19"/>
  <c r="U201" i="19"/>
  <c r="T201" i="19"/>
  <c r="U200" i="19"/>
  <c r="T200" i="19"/>
  <c r="U199" i="19"/>
  <c r="T199" i="19"/>
  <c r="U198" i="19"/>
  <c r="T198" i="19"/>
  <c r="U197" i="19"/>
  <c r="T197" i="19"/>
  <c r="U196" i="19"/>
  <c r="T196" i="19"/>
  <c r="U195" i="19"/>
  <c r="T195" i="19"/>
  <c r="U194" i="19"/>
  <c r="T194" i="19"/>
  <c r="U193" i="19"/>
  <c r="T193" i="19"/>
  <c r="U192" i="19"/>
  <c r="T192" i="19"/>
  <c r="U191" i="19"/>
  <c r="T191" i="19"/>
  <c r="U190" i="19"/>
  <c r="T190" i="19"/>
  <c r="U189" i="19"/>
  <c r="T189" i="19"/>
  <c r="U188" i="19"/>
  <c r="T188" i="19"/>
  <c r="U187" i="19"/>
  <c r="T187" i="19"/>
  <c r="U186" i="19"/>
  <c r="T186" i="19"/>
  <c r="U185" i="19"/>
  <c r="T185" i="19"/>
  <c r="U184" i="19"/>
  <c r="T184" i="19"/>
  <c r="U183" i="19"/>
  <c r="T183" i="19"/>
  <c r="U182" i="19"/>
  <c r="T182" i="19"/>
  <c r="U181" i="19"/>
  <c r="T181" i="19"/>
  <c r="U180" i="19"/>
  <c r="T180" i="19"/>
  <c r="U179" i="19"/>
  <c r="T179" i="19"/>
  <c r="U178" i="19"/>
  <c r="T178" i="19"/>
  <c r="U177" i="19"/>
  <c r="T177" i="19"/>
  <c r="U176" i="19"/>
  <c r="T176" i="19"/>
  <c r="U175" i="19"/>
  <c r="T175" i="19"/>
  <c r="U174" i="19"/>
  <c r="T174" i="19"/>
  <c r="U173" i="19"/>
  <c r="T173" i="19"/>
  <c r="U172" i="19"/>
  <c r="T172" i="19"/>
  <c r="U171" i="19"/>
  <c r="T171" i="19"/>
  <c r="U170" i="19"/>
  <c r="T170" i="19"/>
  <c r="U169" i="19"/>
  <c r="T169" i="19"/>
  <c r="U168" i="19"/>
  <c r="T168" i="19"/>
  <c r="U167" i="19"/>
  <c r="T167" i="19"/>
  <c r="U166" i="19"/>
  <c r="T166" i="19"/>
  <c r="U165" i="19"/>
  <c r="T165" i="19"/>
  <c r="U164" i="19"/>
  <c r="T164" i="19"/>
  <c r="U163" i="19"/>
  <c r="T163" i="19"/>
  <c r="U162" i="19"/>
  <c r="T162" i="19"/>
  <c r="U161" i="19"/>
  <c r="T161" i="19"/>
  <c r="U160" i="19"/>
  <c r="T160" i="19"/>
  <c r="U159" i="19"/>
  <c r="T159" i="19"/>
  <c r="U158" i="19"/>
  <c r="T158" i="19"/>
  <c r="U157" i="19"/>
  <c r="T157" i="19"/>
  <c r="U156" i="19"/>
  <c r="T156" i="19"/>
  <c r="U155" i="19"/>
  <c r="T155" i="19"/>
  <c r="U154" i="19"/>
  <c r="T154" i="19"/>
  <c r="U153" i="19"/>
  <c r="T153" i="19"/>
  <c r="U152" i="19"/>
  <c r="T152" i="19"/>
  <c r="U151" i="19"/>
  <c r="T151" i="19"/>
  <c r="U150" i="19"/>
  <c r="T150" i="19"/>
  <c r="U149" i="19"/>
  <c r="T149" i="19"/>
  <c r="U148" i="19"/>
  <c r="T148" i="19"/>
  <c r="U147" i="19"/>
  <c r="T147" i="19"/>
  <c r="U146" i="19"/>
  <c r="T146" i="19"/>
  <c r="U145" i="19"/>
  <c r="T145" i="19"/>
  <c r="U144" i="19"/>
  <c r="T144" i="19"/>
  <c r="U143" i="19"/>
  <c r="T143" i="19"/>
  <c r="U142" i="19"/>
  <c r="T142" i="19"/>
  <c r="U141" i="19"/>
  <c r="T141" i="19"/>
  <c r="U140" i="19"/>
  <c r="T140" i="19"/>
  <c r="U139" i="19"/>
  <c r="T139" i="19"/>
  <c r="U138" i="19"/>
  <c r="T138" i="19"/>
  <c r="U137" i="19"/>
  <c r="T137" i="19"/>
  <c r="U136" i="19"/>
  <c r="T136" i="19"/>
  <c r="U135" i="19"/>
  <c r="T135" i="19"/>
  <c r="U134" i="19"/>
  <c r="T134" i="19"/>
  <c r="U133" i="19"/>
  <c r="T133" i="19"/>
  <c r="U132" i="19"/>
  <c r="T132" i="19"/>
  <c r="U131" i="19"/>
  <c r="T131" i="19"/>
  <c r="U130" i="19"/>
  <c r="T130" i="19"/>
  <c r="U129" i="19"/>
  <c r="T129" i="19"/>
  <c r="U128" i="19"/>
  <c r="T128" i="19"/>
  <c r="U127" i="19"/>
  <c r="T127" i="19"/>
  <c r="U126" i="19"/>
  <c r="T126" i="19"/>
  <c r="U125" i="19"/>
  <c r="T125" i="19"/>
  <c r="U124" i="19"/>
  <c r="T124" i="19"/>
  <c r="U123" i="19"/>
  <c r="T123" i="19"/>
  <c r="U122" i="19"/>
  <c r="T122" i="19"/>
  <c r="U121" i="19"/>
  <c r="T121" i="19"/>
  <c r="U120" i="19"/>
  <c r="T120" i="19"/>
  <c r="U119" i="19"/>
  <c r="T119" i="19"/>
  <c r="U118" i="19"/>
  <c r="T118" i="19"/>
  <c r="U117" i="19"/>
  <c r="T117" i="19"/>
  <c r="U116" i="19"/>
  <c r="T116" i="19"/>
  <c r="U115" i="19"/>
  <c r="T115" i="19"/>
  <c r="U114" i="19"/>
  <c r="T114" i="19"/>
  <c r="U113" i="19"/>
  <c r="T113" i="19"/>
  <c r="U112" i="19"/>
  <c r="T112" i="19"/>
  <c r="U111" i="19"/>
  <c r="T111" i="19"/>
  <c r="U110" i="19"/>
  <c r="T110" i="19"/>
  <c r="U109" i="19"/>
  <c r="T109" i="19"/>
  <c r="U108" i="19"/>
  <c r="T108" i="19"/>
  <c r="U107" i="19"/>
  <c r="T107" i="19"/>
  <c r="U106" i="19"/>
  <c r="T106" i="19"/>
  <c r="U105" i="19"/>
  <c r="T105" i="19"/>
  <c r="U104" i="19"/>
  <c r="T104" i="19"/>
  <c r="U103" i="19"/>
  <c r="T103" i="19"/>
  <c r="U102" i="19"/>
  <c r="T102" i="19"/>
  <c r="U101" i="19"/>
  <c r="T101" i="19"/>
  <c r="U100" i="19"/>
  <c r="T100" i="19"/>
  <c r="U99" i="19"/>
  <c r="T99" i="19"/>
  <c r="U98" i="19"/>
  <c r="T98" i="19"/>
  <c r="U97" i="19"/>
  <c r="T97" i="19"/>
  <c r="U96" i="19"/>
  <c r="T96" i="19"/>
  <c r="U95" i="19"/>
  <c r="T95" i="19"/>
  <c r="U94" i="19"/>
  <c r="T94" i="19"/>
  <c r="U93" i="19"/>
  <c r="T93" i="19"/>
  <c r="U92" i="19"/>
  <c r="T92" i="19"/>
  <c r="U91" i="19"/>
  <c r="T91" i="19"/>
  <c r="U90" i="19"/>
  <c r="T90" i="19"/>
  <c r="U89" i="19"/>
  <c r="T89" i="19"/>
  <c r="U88" i="19"/>
  <c r="T88" i="19"/>
  <c r="U87" i="19"/>
  <c r="T87" i="19"/>
  <c r="U86" i="19"/>
  <c r="T86" i="19"/>
  <c r="U85" i="19"/>
  <c r="T85" i="19"/>
  <c r="U84" i="19"/>
  <c r="T84" i="19"/>
  <c r="U83" i="19"/>
  <c r="T83" i="19"/>
  <c r="U82" i="19"/>
  <c r="T82" i="19"/>
  <c r="U81" i="19"/>
  <c r="T81" i="19"/>
  <c r="U80" i="19"/>
  <c r="T80" i="19"/>
  <c r="U79" i="19"/>
  <c r="T79" i="19"/>
  <c r="U78" i="19"/>
  <c r="T78" i="19"/>
  <c r="U77" i="19"/>
  <c r="T77" i="19"/>
  <c r="U76" i="19"/>
  <c r="T76" i="19"/>
  <c r="U75" i="19"/>
  <c r="T75" i="19"/>
  <c r="U74" i="19"/>
  <c r="T74" i="19"/>
  <c r="U73" i="19"/>
  <c r="T73" i="19"/>
  <c r="U72" i="19"/>
  <c r="T72" i="19"/>
  <c r="U71" i="19"/>
  <c r="T71" i="19"/>
  <c r="U70" i="19"/>
  <c r="T70" i="19"/>
  <c r="U69" i="19"/>
  <c r="T69" i="19"/>
  <c r="U68" i="19"/>
  <c r="T68" i="19"/>
  <c r="U67" i="19"/>
  <c r="T67" i="19"/>
  <c r="U66" i="19"/>
  <c r="T66" i="19"/>
  <c r="U65" i="19"/>
  <c r="T65" i="19"/>
  <c r="U64" i="19"/>
  <c r="T64" i="19"/>
  <c r="U63" i="19"/>
  <c r="T63" i="19"/>
  <c r="U62" i="19"/>
  <c r="T62" i="19"/>
  <c r="U61" i="19"/>
  <c r="T61" i="19"/>
  <c r="U60" i="19"/>
  <c r="T60" i="19"/>
  <c r="U59" i="19"/>
  <c r="T59" i="19"/>
  <c r="U58" i="19"/>
  <c r="T58" i="19"/>
  <c r="U57" i="19"/>
  <c r="T57" i="19"/>
  <c r="U56" i="19"/>
  <c r="T56" i="19"/>
  <c r="U55" i="19"/>
  <c r="T55" i="19"/>
  <c r="U54" i="19"/>
  <c r="T54" i="19"/>
  <c r="U53" i="19"/>
  <c r="T53" i="19"/>
  <c r="U52" i="19"/>
  <c r="T52" i="19"/>
  <c r="U51" i="19"/>
  <c r="T51" i="19"/>
  <c r="V1369" i="18"/>
  <c r="U1369" i="18"/>
  <c r="T1369" i="18"/>
  <c r="U1269" i="18"/>
  <c r="T1269" i="18"/>
  <c r="U1169" i="18"/>
  <c r="T1169" i="18"/>
  <c r="U1069" i="18"/>
  <c r="T1069" i="18"/>
  <c r="U969" i="18"/>
  <c r="T969" i="18"/>
  <c r="U869" i="18"/>
  <c r="T869" i="18"/>
  <c r="U807" i="18"/>
  <c r="T807" i="18"/>
  <c r="U806" i="18"/>
  <c r="T806" i="18"/>
  <c r="U805" i="18"/>
  <c r="T805" i="18"/>
  <c r="U804" i="18"/>
  <c r="T804" i="18"/>
  <c r="U803" i="18"/>
  <c r="T803" i="18"/>
  <c r="U802" i="18"/>
  <c r="T802" i="18"/>
  <c r="U801" i="18"/>
  <c r="T801" i="18"/>
  <c r="U800" i="18"/>
  <c r="T800" i="18"/>
  <c r="U799" i="18"/>
  <c r="T799" i="18"/>
  <c r="U798" i="18"/>
  <c r="T798" i="18"/>
  <c r="U769" i="18"/>
  <c r="T769" i="18"/>
  <c r="U669" i="18"/>
  <c r="T669" i="18"/>
  <c r="U569" i="18"/>
  <c r="T569" i="18"/>
  <c r="U469" i="18"/>
  <c r="T469" i="18"/>
  <c r="U369" i="18"/>
  <c r="T369" i="18"/>
  <c r="U269" i="18"/>
  <c r="T269" i="18"/>
  <c r="U169" i="18"/>
  <c r="T169" i="18"/>
  <c r="U81" i="18"/>
  <c r="T81" i="18"/>
  <c r="V1336" i="19" l="1"/>
  <c r="V1324" i="19"/>
  <c r="V1021" i="20"/>
  <c r="V1015" i="20"/>
  <c r="V1039" i="20"/>
  <c r="V1207" i="20"/>
  <c r="V1009" i="20"/>
  <c r="V1027" i="20"/>
  <c r="V78" i="19"/>
  <c r="V86" i="19"/>
  <c r="V102" i="19"/>
  <c r="V110" i="19"/>
  <c r="V126" i="19"/>
  <c r="V150" i="19"/>
  <c r="V726" i="19"/>
  <c r="V734" i="19"/>
  <c r="V223" i="19"/>
  <c r="V271" i="19"/>
  <c r="V295" i="19"/>
  <c r="V848" i="19"/>
  <c r="V864" i="19"/>
  <c r="V888" i="19"/>
  <c r="V936" i="19"/>
  <c r="V944" i="19"/>
  <c r="V968" i="19"/>
  <c r="V74" i="19"/>
  <c r="V90" i="19"/>
  <c r="V98" i="19"/>
  <c r="V114" i="19"/>
  <c r="V122" i="19"/>
  <c r="V138" i="19"/>
  <c r="V780" i="19"/>
  <c r="V804" i="19"/>
  <c r="V828" i="19"/>
  <c r="V852" i="19"/>
  <c r="V900" i="19"/>
  <c r="V924" i="19"/>
  <c r="V956" i="19"/>
  <c r="V763" i="19"/>
  <c r="V980" i="19"/>
  <c r="V1028" i="19"/>
  <c r="V1045" i="20"/>
  <c r="V757" i="19"/>
  <c r="V805" i="19"/>
  <c r="V829" i="19"/>
  <c r="V853" i="19"/>
  <c r="V1029" i="19"/>
  <c r="V1189" i="19"/>
  <c r="V1237" i="19"/>
  <c r="V139" i="19"/>
  <c r="V750" i="19"/>
  <c r="V783" i="19"/>
  <c r="V328" i="19"/>
  <c r="V1033" i="20"/>
  <c r="V753" i="19"/>
  <c r="V825" i="19"/>
  <c r="V849" i="19"/>
  <c r="V722" i="19"/>
  <c r="V738" i="19"/>
  <c r="V746" i="19"/>
  <c r="V1067" i="20"/>
  <c r="V905" i="20"/>
  <c r="V923" i="20"/>
  <c r="V941" i="20"/>
  <c r="V959" i="20"/>
  <c r="V977" i="20"/>
  <c r="V983" i="20"/>
  <c r="V1007" i="20"/>
  <c r="V1013" i="20"/>
  <c r="V1043" i="20"/>
  <c r="V1091" i="20"/>
  <c r="V893" i="20"/>
  <c r="V911" i="20"/>
  <c r="V929" i="20"/>
  <c r="V947" i="20"/>
  <c r="V965" i="20"/>
  <c r="V995" i="20"/>
  <c r="V1031" i="20"/>
  <c r="V881" i="20"/>
  <c r="V899" i="20"/>
  <c r="V917" i="20"/>
  <c r="V935" i="20"/>
  <c r="V953" i="20"/>
  <c r="V971" i="20"/>
  <c r="V989" i="20"/>
  <c r="V1001" i="20"/>
  <c r="V1037" i="20"/>
  <c r="V1025" i="20"/>
  <c r="V1019" i="20"/>
  <c r="V1359" i="20"/>
  <c r="V1374" i="20"/>
  <c r="V1413" i="20"/>
  <c r="V1243" i="20"/>
  <c r="V1115" i="20"/>
  <c r="V1139" i="20"/>
  <c r="V1199" i="20"/>
  <c r="V272" i="20"/>
  <c r="V296" i="20"/>
  <c r="V320" i="20"/>
  <c r="V368" i="20"/>
  <c r="V344" i="20"/>
  <c r="V356" i="20"/>
  <c r="V896" i="20"/>
  <c r="V908" i="20"/>
  <c r="V920" i="20"/>
  <c r="V932" i="20"/>
  <c r="V944" i="20"/>
  <c r="V956" i="20"/>
  <c r="V980" i="20"/>
  <c r="V992" i="20"/>
  <c r="V1004" i="20"/>
  <c r="V1016" i="20"/>
  <c r="V1028" i="20"/>
  <c r="V1040" i="20"/>
  <c r="V721" i="20"/>
  <c r="V733" i="20"/>
  <c r="V745" i="20"/>
  <c r="V751" i="20"/>
  <c r="V781" i="20"/>
  <c r="V877" i="20"/>
  <c r="V889" i="20"/>
  <c r="V895" i="20"/>
  <c r="V901" i="20"/>
  <c r="V907" i="20"/>
  <c r="V913" i="20"/>
  <c r="V919" i="20"/>
  <c r="V925" i="20"/>
  <c r="V931" i="20"/>
  <c r="V937" i="20"/>
  <c r="V943" i="20"/>
  <c r="V949" i="20"/>
  <c r="V955" i="20"/>
  <c r="V961" i="20"/>
  <c r="V967" i="20"/>
  <c r="V973" i="20"/>
  <c r="V979" i="20"/>
  <c r="V985" i="20"/>
  <c r="V991" i="20"/>
  <c r="V997" i="20"/>
  <c r="V1003" i="20"/>
  <c r="V1279" i="20"/>
  <c r="V253" i="20"/>
  <c r="V277" i="20"/>
  <c r="V289" i="20"/>
  <c r="V301" i="20"/>
  <c r="V313" i="20"/>
  <c r="V265" i="20"/>
  <c r="V1370" i="20"/>
  <c r="V1318" i="20"/>
  <c r="V1400" i="20"/>
  <c r="V1430" i="20"/>
  <c r="V1434" i="20"/>
  <c r="V1387" i="20"/>
  <c r="V1426" i="20"/>
  <c r="V1438" i="20"/>
  <c r="V1271" i="20"/>
  <c r="V249" i="20"/>
  <c r="V239" i="20"/>
  <c r="V169" i="20"/>
  <c r="V1291" i="20"/>
  <c r="V236" i="20"/>
  <c r="V285" i="20"/>
  <c r="V333" i="20"/>
  <c r="V381" i="20"/>
  <c r="V885" i="20"/>
  <c r="V927" i="20"/>
  <c r="V969" i="20"/>
  <c r="V1005" i="20"/>
  <c r="V1059" i="20"/>
  <c r="V1083" i="20"/>
  <c r="V141" i="20"/>
  <c r="V147" i="20"/>
  <c r="V171" i="20"/>
  <c r="V321" i="20"/>
  <c r="V393" i="20"/>
  <c r="V921" i="20"/>
  <c r="V975" i="20"/>
  <c r="V1041" i="20"/>
  <c r="V1119" i="20"/>
  <c r="V297" i="20"/>
  <c r="V345" i="20"/>
  <c r="V405" i="20"/>
  <c r="V873" i="20"/>
  <c r="V915" i="20"/>
  <c r="V963" i="20"/>
  <c r="V1011" i="20"/>
  <c r="V1107" i="20"/>
  <c r="V273" i="20"/>
  <c r="V435" i="20"/>
  <c r="V879" i="20"/>
  <c r="V933" i="20"/>
  <c r="V1017" i="20"/>
  <c r="V1143" i="20"/>
  <c r="V867" i="20"/>
  <c r="V909" i="20"/>
  <c r="V957" i="20"/>
  <c r="V999" i="20"/>
  <c r="V1047" i="20"/>
  <c r="V1131" i="20"/>
  <c r="V309" i="20"/>
  <c r="V369" i="20"/>
  <c r="V903" i="20"/>
  <c r="V951" i="20"/>
  <c r="V993" i="20"/>
  <c r="V1029" i="20"/>
  <c r="V1071" i="20"/>
  <c r="V417" i="20"/>
  <c r="V897" i="20"/>
  <c r="V945" i="20"/>
  <c r="V987" i="20"/>
  <c r="V1035" i="20"/>
  <c r="V1239" i="20"/>
  <c r="V261" i="20"/>
  <c r="V357" i="20"/>
  <c r="V891" i="20"/>
  <c r="V939" i="20"/>
  <c r="V981" i="20"/>
  <c r="V1023" i="20"/>
  <c r="V1095" i="20"/>
  <c r="V1215" i="20"/>
  <c r="V1263" i="20"/>
  <c r="V1251" i="20"/>
  <c r="V1367" i="20"/>
  <c r="V402" i="20"/>
  <c r="V432" i="20"/>
  <c r="V864" i="20"/>
  <c r="V900" i="20"/>
  <c r="V912" i="20"/>
  <c r="V924" i="20"/>
  <c r="V936" i="20"/>
  <c r="V948" i="20"/>
  <c r="V960" i="20"/>
  <c r="V972" i="20"/>
  <c r="V984" i="20"/>
  <c r="V996" i="20"/>
  <c r="V1008" i="20"/>
  <c r="V1020" i="20"/>
  <c r="V1032" i="20"/>
  <c r="V1068" i="20"/>
  <c r="V1044" i="20"/>
  <c r="V1056" i="20"/>
  <c r="V1080" i="20"/>
  <c r="V1092" i="20"/>
  <c r="V1104" i="20"/>
  <c r="V1116" i="20"/>
  <c r="V1128" i="20"/>
  <c r="V1373" i="20"/>
  <c r="V1412" i="20"/>
  <c r="V1433" i="20"/>
  <c r="V276" i="20"/>
  <c r="V288" i="20"/>
  <c r="V300" i="20"/>
  <c r="V336" i="20"/>
  <c r="V348" i="20"/>
  <c r="V390" i="20"/>
  <c r="V420" i="20"/>
  <c r="V372" i="20"/>
  <c r="V396" i="20"/>
  <c r="V414" i="20"/>
  <c r="V252" i="20"/>
  <c r="V264" i="20"/>
  <c r="V312" i="20"/>
  <c r="V324" i="20"/>
  <c r="V360" i="20"/>
  <c r="V384" i="20"/>
  <c r="V408" i="20"/>
  <c r="V604" i="20"/>
  <c r="V700" i="20"/>
  <c r="V364" i="20"/>
  <c r="V418" i="20"/>
  <c r="V496" i="20"/>
  <c r="V400" i="20"/>
  <c r="V460" i="20"/>
  <c r="V532" i="20"/>
  <c r="V1211" i="20"/>
  <c r="V424" i="20"/>
  <c r="V412" i="20"/>
  <c r="V1283" i="20"/>
  <c r="V1295" i="20"/>
  <c r="V1307" i="20"/>
  <c r="V376" i="20"/>
  <c r="V556" i="20"/>
  <c r="V688" i="20"/>
  <c r="V709" i="20"/>
  <c r="V388" i="20"/>
  <c r="V448" i="20"/>
  <c r="V508" i="20"/>
  <c r="V676" i="20"/>
  <c r="V1231" i="20"/>
  <c r="V652" i="20"/>
  <c r="V406" i="20"/>
  <c r="V640" i="20"/>
  <c r="V394" i="20"/>
  <c r="V472" i="20"/>
  <c r="V580" i="20"/>
  <c r="V664" i="20"/>
  <c r="V1369" i="20"/>
  <c r="V1399" i="20"/>
  <c r="V1429" i="20"/>
  <c r="V1441" i="20"/>
  <c r="V1227" i="20"/>
  <c r="V940" i="20"/>
  <c r="V1036" i="20"/>
  <c r="V257" i="20"/>
  <c r="V269" i="20"/>
  <c r="V281" i="20"/>
  <c r="V293" i="20"/>
  <c r="V305" i="20"/>
  <c r="V317" i="20"/>
  <c r="V329" i="20"/>
  <c r="V341" i="20"/>
  <c r="V353" i="20"/>
  <c r="V365" i="20"/>
  <c r="V377" i="20"/>
  <c r="V389" i="20"/>
  <c r="V401" i="20"/>
  <c r="V413" i="20"/>
  <c r="V425" i="20"/>
  <c r="V437" i="20"/>
  <c r="V443" i="20"/>
  <c r="V461" i="20"/>
  <c r="V467" i="20"/>
  <c r="V473" i="20"/>
  <c r="V485" i="20"/>
  <c r="V491" i="20"/>
  <c r="V509" i="20"/>
  <c r="V521" i="20"/>
  <c r="V533" i="20"/>
  <c r="V545" i="20"/>
  <c r="V557" i="20"/>
  <c r="V569" i="20"/>
  <c r="V581" i="20"/>
  <c r="V593" i="20"/>
  <c r="V605" i="20"/>
  <c r="V629" i="20"/>
  <c r="V641" i="20"/>
  <c r="V653" i="20"/>
  <c r="V665" i="20"/>
  <c r="V677" i="20"/>
  <c r="V689" i="20"/>
  <c r="V701" i="20"/>
  <c r="V1193" i="20"/>
  <c r="V1386" i="20"/>
  <c r="V1425" i="20"/>
  <c r="V1437" i="20"/>
  <c r="V1000" i="20"/>
  <c r="V1223" i="20"/>
  <c r="V1012" i="20"/>
  <c r="V456" i="20"/>
  <c r="V480" i="20"/>
  <c r="V504" i="20"/>
  <c r="V516" i="20"/>
  <c r="V528" i="20"/>
  <c r="V540" i="20"/>
  <c r="V552" i="20"/>
  <c r="V564" i="20"/>
  <c r="V576" i="20"/>
  <c r="V588" i="20"/>
  <c r="V600" i="20"/>
  <c r="V636" i="20"/>
  <c r="V648" i="20"/>
  <c r="V660" i="20"/>
  <c r="V672" i="20"/>
  <c r="V684" i="20"/>
  <c r="V696" i="20"/>
  <c r="V708" i="20"/>
  <c r="V810" i="20"/>
  <c r="V822" i="20"/>
  <c r="V1319" i="20"/>
  <c r="V904" i="20"/>
  <c r="V964" i="20"/>
  <c r="V1132" i="20"/>
  <c r="V325" i="20"/>
  <c r="V337" i="20"/>
  <c r="V349" i="20"/>
  <c r="V361" i="20"/>
  <c r="V373" i="20"/>
  <c r="V385" i="20"/>
  <c r="V397" i="20"/>
  <c r="V409" i="20"/>
  <c r="V421" i="20"/>
  <c r="V439" i="20"/>
  <c r="V445" i="20"/>
  <c r="V463" i="20"/>
  <c r="V469" i="20"/>
  <c r="V487" i="20"/>
  <c r="V493" i="20"/>
  <c r="V613" i="20"/>
  <c r="V625" i="20"/>
  <c r="V637" i="20"/>
  <c r="V649" i="20"/>
  <c r="V661" i="20"/>
  <c r="V673" i="20"/>
  <c r="V685" i="20"/>
  <c r="V697" i="20"/>
  <c r="V1195" i="20"/>
  <c r="V928" i="20"/>
  <c r="V988" i="20"/>
  <c r="V1108" i="20"/>
  <c r="V916" i="20"/>
  <c r="V976" i="20"/>
  <c r="V1048" i="20"/>
  <c r="V380" i="20"/>
  <c r="V386" i="20"/>
  <c r="V392" i="20"/>
  <c r="V398" i="20"/>
  <c r="V404" i="20"/>
  <c r="V860" i="20"/>
  <c r="V1267" i="20"/>
  <c r="V892" i="20"/>
  <c r="V952" i="20"/>
  <c r="V1303" i="20"/>
  <c r="V1315" i="20"/>
  <c r="V880" i="20"/>
  <c r="V1024" i="20"/>
  <c r="V184" i="20"/>
  <c r="V190" i="20"/>
  <c r="V441" i="20"/>
  <c r="V447" i="20"/>
  <c r="V459" i="20"/>
  <c r="V465" i="20"/>
  <c r="V483" i="20"/>
  <c r="V489" i="20"/>
  <c r="V495" i="20"/>
  <c r="V507" i="20"/>
  <c r="V513" i="20"/>
  <c r="V525" i="20"/>
  <c r="V537" i="20"/>
  <c r="V549" i="20"/>
  <c r="V561" i="20"/>
  <c r="V573" i="20"/>
  <c r="V585" i="20"/>
  <c r="V597" i="20"/>
  <c r="V609" i="20"/>
  <c r="V621" i="20"/>
  <c r="V633" i="20"/>
  <c r="V645" i="20"/>
  <c r="V657" i="20"/>
  <c r="V669" i="20"/>
  <c r="V681" i="20"/>
  <c r="V693" i="20"/>
  <c r="V705" i="20"/>
  <c r="V849" i="20"/>
  <c r="V1161" i="20"/>
  <c r="V125" i="20"/>
  <c r="V149" i="20"/>
  <c r="V173" i="20"/>
  <c r="V197" i="20"/>
  <c r="V221" i="20"/>
  <c r="V233" i="20"/>
  <c r="V245" i="20"/>
  <c r="V712" i="20"/>
  <c r="V724" i="20"/>
  <c r="V730" i="20"/>
  <c r="V736" i="20"/>
  <c r="V742" i="20"/>
  <c r="V748" i="20"/>
  <c r="V772" i="20"/>
  <c r="V784" i="20"/>
  <c r="V796" i="20"/>
  <c r="V820" i="20"/>
  <c r="V832" i="20"/>
  <c r="V844" i="20"/>
  <c r="V90" i="20"/>
  <c r="V96" i="20"/>
  <c r="V108" i="20"/>
  <c r="V120" i="20"/>
  <c r="V168" i="20"/>
  <c r="V144" i="20"/>
  <c r="V156" i="20"/>
  <c r="V180" i="20"/>
  <c r="V192" i="20"/>
  <c r="V204" i="20"/>
  <c r="V216" i="20"/>
  <c r="V228" i="20"/>
  <c r="V240" i="20"/>
  <c r="V713" i="20"/>
  <c r="V725" i="20"/>
  <c r="V737" i="20"/>
  <c r="V749" i="20"/>
  <c r="V755" i="20"/>
  <c r="V761" i="20"/>
  <c r="V785" i="20"/>
  <c r="V809" i="20"/>
  <c r="V833" i="20"/>
  <c r="V845" i="20"/>
  <c r="V851" i="20"/>
  <c r="V857" i="20"/>
  <c r="V1275" i="20"/>
  <c r="V1287" i="20"/>
  <c r="V1299" i="20"/>
  <c r="V1311" i="20"/>
  <c r="V1323" i="20"/>
  <c r="V1353" i="20"/>
  <c r="V1365" i="20"/>
  <c r="V1163" i="20"/>
  <c r="V1175" i="20"/>
  <c r="V85" i="20"/>
  <c r="V109" i="20"/>
  <c r="V121" i="20"/>
  <c r="V133" i="20"/>
  <c r="V157" i="20"/>
  <c r="V181" i="20"/>
  <c r="V205" i="20"/>
  <c r="V229" i="20"/>
  <c r="V241" i="20"/>
  <c r="V720" i="20"/>
  <c r="V726" i="20"/>
  <c r="V732" i="20"/>
  <c r="V738" i="20"/>
  <c r="V744" i="20"/>
  <c r="V816" i="20"/>
  <c r="V966" i="20"/>
  <c r="V978" i="20"/>
  <c r="V1366" i="20"/>
  <c r="V1140" i="20"/>
  <c r="V1152" i="20"/>
  <c r="V1247" i="20"/>
  <c r="V1259" i="20"/>
  <c r="V86" i="20"/>
  <c r="V92" i="20"/>
  <c r="V98" i="20"/>
  <c r="V122" i="20"/>
  <c r="V134" i="20"/>
  <c r="V140" i="20"/>
  <c r="V152" i="20"/>
  <c r="V176" i="20"/>
  <c r="V200" i="20"/>
  <c r="V224" i="20"/>
  <c r="V248" i="20"/>
  <c r="V829" i="20"/>
  <c r="V847" i="20"/>
  <c r="V865" i="20"/>
  <c r="V1349" i="20"/>
  <c r="V1361" i="20"/>
  <c r="V410" i="20"/>
  <c r="V416" i="20"/>
  <c r="V422" i="20"/>
  <c r="V428" i="20"/>
  <c r="V452" i="20"/>
  <c r="V476" i="20"/>
  <c r="V500" i="20"/>
  <c r="V632" i="20"/>
  <c r="V668" i="20"/>
  <c r="V644" i="20"/>
  <c r="V656" i="20"/>
  <c r="V680" i="20"/>
  <c r="V692" i="20"/>
  <c r="V704" i="20"/>
  <c r="V1183" i="20"/>
  <c r="V105" i="20"/>
  <c r="V225" i="20"/>
  <c r="V237" i="20"/>
  <c r="V716" i="20"/>
  <c r="V728" i="20"/>
  <c r="V734" i="20"/>
  <c r="V740" i="20"/>
  <c r="V746" i="20"/>
  <c r="V764" i="20"/>
  <c r="V812" i="20"/>
  <c r="V1070" i="20"/>
  <c r="V1076" i="20"/>
  <c r="V1261" i="20"/>
  <c r="V1255" i="20"/>
  <c r="V112" i="20"/>
  <c r="V118" i="20"/>
  <c r="V717" i="20"/>
  <c r="V729" i="20"/>
  <c r="V741" i="20"/>
  <c r="V759" i="20"/>
  <c r="V771" i="20"/>
  <c r="V777" i="20"/>
  <c r="V783" i="20"/>
  <c r="V807" i="20"/>
  <c r="V819" i="20"/>
  <c r="V825" i="20"/>
  <c r="V831" i="20"/>
  <c r="V855" i="20"/>
  <c r="V1336" i="20"/>
  <c r="V1357" i="20"/>
  <c r="V1155" i="20"/>
  <c r="V1167" i="20"/>
  <c r="V1179" i="20"/>
  <c r="V1191" i="20"/>
  <c r="V1249" i="20"/>
  <c r="V1082" i="20"/>
  <c r="V1088" i="20"/>
  <c r="V638" i="20"/>
  <c r="V823" i="20"/>
  <c r="V647" i="20"/>
  <c r="V558" i="20"/>
  <c r="V630" i="20"/>
  <c r="V654" i="20"/>
  <c r="V80" i="20"/>
  <c r="V128" i="20"/>
  <c r="V492" i="20"/>
  <c r="V670" i="20"/>
  <c r="V789" i="20"/>
  <c r="V795" i="20"/>
  <c r="V1216" i="20"/>
  <c r="V1281" i="20"/>
  <c r="V1022" i="20"/>
  <c r="V88" i="20"/>
  <c r="V291" i="20"/>
  <c r="V303" i="20"/>
  <c r="V375" i="20"/>
  <c r="V470" i="20"/>
  <c r="V488" i="20"/>
  <c r="V1093" i="20"/>
  <c r="V1099" i="20"/>
  <c r="V1289" i="20"/>
  <c r="V1301" i="20"/>
  <c r="V1313" i="20"/>
  <c r="V839" i="20"/>
  <c r="V1117" i="20"/>
  <c r="V1123" i="20"/>
  <c r="V286" i="20"/>
  <c r="V292" i="20"/>
  <c r="V358" i="20"/>
  <c r="V536" i="20"/>
  <c r="V614" i="20"/>
  <c r="V1106" i="20"/>
  <c r="V1112" i="20"/>
  <c r="V858" i="20"/>
  <c r="V1065" i="20"/>
  <c r="V126" i="20"/>
  <c r="V132" i="20"/>
  <c r="V383" i="20"/>
  <c r="V543" i="20"/>
  <c r="V591" i="20"/>
  <c r="V686" i="20"/>
  <c r="V769" i="20"/>
  <c r="V1113" i="20"/>
  <c r="V1208" i="20"/>
  <c r="V1232" i="20"/>
  <c r="V115" i="20"/>
  <c r="V330" i="20"/>
  <c r="V479" i="20"/>
  <c r="V520" i="20"/>
  <c r="V592" i="20"/>
  <c r="V710" i="20"/>
  <c r="V830" i="20"/>
  <c r="V836" i="20"/>
  <c r="V848" i="20"/>
  <c r="V1026" i="20"/>
  <c r="V1079" i="20"/>
  <c r="V1120" i="20"/>
  <c r="V1257" i="20"/>
  <c r="V1269" i="20"/>
  <c r="V113" i="20"/>
  <c r="V136" i="20"/>
  <c r="V172" i="20"/>
  <c r="V477" i="20"/>
  <c r="V512" i="20"/>
  <c r="V1144" i="20"/>
  <c r="V238" i="20"/>
  <c r="V431" i="20"/>
  <c r="V466" i="20"/>
  <c r="V484" i="20"/>
  <c r="V601" i="20"/>
  <c r="V619" i="20"/>
  <c r="V747" i="20"/>
  <c r="V788" i="20"/>
  <c r="V906" i="20"/>
  <c r="V974" i="20"/>
  <c r="V1355" i="20"/>
  <c r="V572" i="20"/>
  <c r="V942" i="20"/>
  <c r="V104" i="20"/>
  <c r="V116" i="20"/>
  <c r="V145" i="20"/>
  <c r="V462" i="20"/>
  <c r="V797" i="20"/>
  <c r="V515" i="20"/>
  <c r="V615" i="20"/>
  <c r="V1293" i="20"/>
  <c r="V1118" i="20"/>
  <c r="V1124" i="20"/>
  <c r="V1171" i="20"/>
  <c r="V1189" i="20"/>
  <c r="V117" i="20"/>
  <c r="V217" i="20"/>
  <c r="V311" i="20"/>
  <c r="V382" i="20"/>
  <c r="V457" i="20"/>
  <c r="V475" i="20"/>
  <c r="V481" i="20"/>
  <c r="V510" i="20"/>
  <c r="V616" i="20"/>
  <c r="V622" i="20"/>
  <c r="V779" i="20"/>
  <c r="V1072" i="20"/>
  <c r="V1317" i="20"/>
  <c r="V129" i="20"/>
  <c r="V188" i="20"/>
  <c r="V371" i="20"/>
  <c r="V440" i="20"/>
  <c r="V534" i="20"/>
  <c r="V634" i="20"/>
  <c r="V756" i="20"/>
  <c r="V762" i="20"/>
  <c r="V856" i="20"/>
  <c r="V1154" i="20"/>
  <c r="V1160" i="20"/>
  <c r="V1172" i="20"/>
  <c r="V1219" i="20"/>
  <c r="V1237" i="20"/>
  <c r="V1347" i="20"/>
  <c r="V91" i="20"/>
  <c r="V177" i="20"/>
  <c r="V189" i="20"/>
  <c r="V263" i="20"/>
  <c r="V352" i="20"/>
  <c r="V363" i="20"/>
  <c r="V374" i="20"/>
  <c r="V519" i="20"/>
  <c r="V542" i="20"/>
  <c r="V571" i="20"/>
  <c r="V577" i="20"/>
  <c r="V646" i="20"/>
  <c r="V663" i="20"/>
  <c r="V817" i="20"/>
  <c r="V861" i="20"/>
  <c r="V872" i="20"/>
  <c r="V1058" i="20"/>
  <c r="V1064" i="20"/>
  <c r="V1110" i="20"/>
  <c r="V1127" i="20"/>
  <c r="V1253" i="20"/>
  <c r="V1297" i="20"/>
  <c r="V1334" i="20"/>
  <c r="V1376" i="20"/>
  <c r="V1415" i="20"/>
  <c r="V1436" i="20"/>
  <c r="V986" i="20"/>
  <c r="V1002" i="20"/>
  <c r="V1197" i="20"/>
  <c r="V1265" i="20"/>
  <c r="V1309" i="20"/>
  <c r="V1371" i="20"/>
  <c r="V359" i="20"/>
  <c r="V139" i="20"/>
  <c r="V208" i="20"/>
  <c r="V214" i="20"/>
  <c r="V220" i="20"/>
  <c r="V287" i="20"/>
  <c r="V544" i="20"/>
  <c r="V567" i="20"/>
  <c r="V596" i="20"/>
  <c r="V631" i="20"/>
  <c r="V757" i="20"/>
  <c r="V852" i="20"/>
  <c r="V958" i="20"/>
  <c r="V1204" i="20"/>
  <c r="V1277" i="20"/>
  <c r="V1321" i="20"/>
  <c r="V1372" i="20"/>
  <c r="V1402" i="20"/>
  <c r="V1432" i="20"/>
  <c r="V93" i="20"/>
  <c r="V387" i="20"/>
  <c r="V791" i="20"/>
  <c r="V186" i="20"/>
  <c r="V243" i="20"/>
  <c r="V315" i="20"/>
  <c r="V453" i="20"/>
  <c r="V768" i="20"/>
  <c r="V774" i="20"/>
  <c r="V869" i="20"/>
  <c r="V998" i="20"/>
  <c r="V1205" i="20"/>
  <c r="V1245" i="20"/>
  <c r="V1305" i="20"/>
  <c r="V1351" i="20"/>
  <c r="V1427" i="20"/>
  <c r="V106" i="20"/>
  <c r="V299" i="20"/>
  <c r="V310" i="20"/>
  <c r="V436" i="20"/>
  <c r="V442" i="20"/>
  <c r="V666" i="20"/>
  <c r="V753" i="20"/>
  <c r="V1130" i="20"/>
  <c r="V1136" i="20"/>
  <c r="V1141" i="20"/>
  <c r="V1147" i="20"/>
  <c r="V244" i="20"/>
  <c r="V316" i="20"/>
  <c r="V327" i="20"/>
  <c r="V523" i="20"/>
  <c r="V775" i="20"/>
  <c r="V826" i="20"/>
  <c r="V870" i="20"/>
  <c r="V876" i="20"/>
  <c r="V888" i="20"/>
  <c r="V894" i="20"/>
  <c r="V910" i="20"/>
  <c r="V1034" i="20"/>
  <c r="V1062" i="20"/>
  <c r="V1096" i="20"/>
  <c r="V1273" i="20"/>
  <c r="V1352" i="20"/>
  <c r="V1363" i="20"/>
  <c r="V1389" i="20"/>
  <c r="V1428" i="20"/>
  <c r="V1440" i="20"/>
  <c r="V84" i="20"/>
  <c r="V339" i="20"/>
  <c r="V449" i="20"/>
  <c r="V650" i="20"/>
  <c r="V793" i="20"/>
  <c r="V153" i="20"/>
  <c r="V284" i="20"/>
  <c r="V328" i="20"/>
  <c r="V334" i="20"/>
  <c r="V351" i="20"/>
  <c r="V801" i="20"/>
  <c r="V547" i="20"/>
  <c r="V662" i="20"/>
  <c r="V765" i="20"/>
  <c r="V1051" i="20"/>
  <c r="V1201" i="20"/>
  <c r="V1241" i="20"/>
  <c r="V1285" i="20"/>
  <c r="V1375" i="20"/>
  <c r="V1414" i="20"/>
  <c r="V148" i="20"/>
  <c r="V411" i="20"/>
  <c r="V444" i="20"/>
  <c r="V743" i="20"/>
  <c r="V782" i="20"/>
  <c r="V1010" i="20"/>
  <c r="V1069" i="20"/>
  <c r="V1075" i="20"/>
  <c r="V101" i="20"/>
  <c r="V138" i="20"/>
  <c r="V160" i="20"/>
  <c r="V166" i="20"/>
  <c r="V260" i="20"/>
  <c r="V307" i="20"/>
  <c r="V343" i="20"/>
  <c r="V379" i="20"/>
  <c r="V399" i="20"/>
  <c r="V423" i="20"/>
  <c r="V490" i="20"/>
  <c r="V517" i="20"/>
  <c r="V539" i="20"/>
  <c r="V566" i="20"/>
  <c r="V582" i="20"/>
  <c r="V642" i="20"/>
  <c r="V658" i="20"/>
  <c r="V674" i="20"/>
  <c r="V698" i="20"/>
  <c r="V722" i="20"/>
  <c r="V766" i="20"/>
  <c r="V792" i="20"/>
  <c r="V814" i="20"/>
  <c r="V840" i="20"/>
  <c r="V898" i="20"/>
  <c r="V934" i="20"/>
  <c r="V1014" i="20"/>
  <c r="V1055" i="20"/>
  <c r="V1089" i="20"/>
  <c r="V1094" i="20"/>
  <c r="V1100" i="20"/>
  <c r="V1134" i="20"/>
  <c r="V1151" i="20"/>
  <c r="V1184" i="20"/>
  <c r="V1217" i="20"/>
  <c r="V1314" i="20"/>
  <c r="V1348" i="20"/>
  <c r="V1364" i="20"/>
  <c r="V102" i="20"/>
  <c r="V123" i="20"/>
  <c r="V161" i="20"/>
  <c r="V167" i="20"/>
  <c r="V195" i="20"/>
  <c r="V212" i="20"/>
  <c r="V234" i="20"/>
  <c r="V282" i="20"/>
  <c r="V308" i="20"/>
  <c r="V323" i="20"/>
  <c r="V354" i="20"/>
  <c r="V395" i="20"/>
  <c r="V419" i="20"/>
  <c r="V518" i="20"/>
  <c r="V627" i="20"/>
  <c r="V643" i="20"/>
  <c r="V694" i="20"/>
  <c r="V718" i="20"/>
  <c r="V767" i="20"/>
  <c r="V787" i="20"/>
  <c r="V815" i="20"/>
  <c r="V835" i="20"/>
  <c r="V841" i="20"/>
  <c r="V962" i="20"/>
  <c r="V1006" i="20"/>
  <c r="V1050" i="20"/>
  <c r="V1084" i="20"/>
  <c r="V1101" i="20"/>
  <c r="V1129" i="20"/>
  <c r="V1135" i="20"/>
  <c r="V1146" i="20"/>
  <c r="V1185" i="20"/>
  <c r="V1229" i="20"/>
  <c r="V1240" i="20"/>
  <c r="V1256" i="20"/>
  <c r="V1272" i="20"/>
  <c r="V1288" i="20"/>
  <c r="V1304" i="20"/>
  <c r="V1320" i="20"/>
  <c r="V1354" i="20"/>
  <c r="V81" i="20"/>
  <c r="V97" i="20"/>
  <c r="V429" i="20"/>
  <c r="V471" i="20"/>
  <c r="V524" i="20"/>
  <c r="V529" i="20"/>
  <c r="V562" i="20"/>
  <c r="V589" i="20"/>
  <c r="V862" i="20"/>
  <c r="V878" i="20"/>
  <c r="V883" i="20"/>
  <c r="V1158" i="20"/>
  <c r="V1169" i="20"/>
  <c r="V1213" i="20"/>
  <c r="V1224" i="20"/>
  <c r="V1235" i="20"/>
  <c r="V1310" i="20"/>
  <c r="V1335" i="20"/>
  <c r="V1360" i="20"/>
  <c r="V103" i="20"/>
  <c r="V124" i="20"/>
  <c r="V162" i="20"/>
  <c r="V196" i="20"/>
  <c r="V201" i="20"/>
  <c r="V213" i="20"/>
  <c r="V256" i="20"/>
  <c r="V319" i="20"/>
  <c r="V355" i="20"/>
  <c r="V391" i="20"/>
  <c r="V415" i="20"/>
  <c r="V584" i="20"/>
  <c r="V595" i="20"/>
  <c r="V611" i="20"/>
  <c r="V690" i="20"/>
  <c r="V714" i="20"/>
  <c r="V752" i="20"/>
  <c r="V778" i="20"/>
  <c r="V954" i="20"/>
  <c r="V1046" i="20"/>
  <c r="V82" i="20"/>
  <c r="V114" i="20"/>
  <c r="V130" i="20"/>
  <c r="V185" i="20"/>
  <c r="V191" i="20"/>
  <c r="V219" i="20"/>
  <c r="V262" i="20"/>
  <c r="V267" i="20"/>
  <c r="V304" i="20"/>
  <c r="V335" i="20"/>
  <c r="V340" i="20"/>
  <c r="V430" i="20"/>
  <c r="V451" i="20"/>
  <c r="V514" i="20"/>
  <c r="V541" i="20"/>
  <c r="V563" i="20"/>
  <c r="V590" i="20"/>
  <c r="V606" i="20"/>
  <c r="V617" i="20"/>
  <c r="V639" i="20"/>
  <c r="V763" i="20"/>
  <c r="V811" i="20"/>
  <c r="V821" i="20"/>
  <c r="V863" i="20"/>
  <c r="V884" i="20"/>
  <c r="V926" i="20"/>
  <c r="V950" i="20"/>
  <c r="V994" i="20"/>
  <c r="V1042" i="20"/>
  <c r="V1057" i="20"/>
  <c r="V1063" i="20"/>
  <c r="V1074" i="20"/>
  <c r="V1125" i="20"/>
  <c r="V1153" i="20"/>
  <c r="V1159" i="20"/>
  <c r="V1181" i="20"/>
  <c r="V1192" i="20"/>
  <c r="V1203" i="20"/>
  <c r="V1225" i="20"/>
  <c r="V1236" i="20"/>
  <c r="V1252" i="20"/>
  <c r="V1284" i="20"/>
  <c r="V1300" i="20"/>
  <c r="V1316" i="20"/>
  <c r="V1350" i="20"/>
  <c r="V1439" i="20"/>
  <c r="V827" i="20"/>
  <c r="V837" i="20"/>
  <c r="V843" i="20"/>
  <c r="V853" i="20"/>
  <c r="V874" i="20"/>
  <c r="V946" i="20"/>
  <c r="V990" i="20"/>
  <c r="V1038" i="20"/>
  <c r="V1052" i="20"/>
  <c r="V1086" i="20"/>
  <c r="V1103" i="20"/>
  <c r="V1137" i="20"/>
  <c r="V1142" i="20"/>
  <c r="V1148" i="20"/>
  <c r="V1165" i="20"/>
  <c r="V1176" i="20"/>
  <c r="V1187" i="20"/>
  <c r="V1209" i="20"/>
  <c r="V1220" i="20"/>
  <c r="V1306" i="20"/>
  <c r="V1322" i="20"/>
  <c r="V1356" i="20"/>
  <c r="V89" i="20"/>
  <c r="V94" i="20"/>
  <c r="V110" i="20"/>
  <c r="V137" i="20"/>
  <c r="V142" i="20"/>
  <c r="V164" i="20"/>
  <c r="V209" i="20"/>
  <c r="V215" i="20"/>
  <c r="V258" i="20"/>
  <c r="V295" i="20"/>
  <c r="V331" i="20"/>
  <c r="V367" i="20"/>
  <c r="V407" i="20"/>
  <c r="V478" i="20"/>
  <c r="V548" i="20"/>
  <c r="V553" i="20"/>
  <c r="V586" i="20"/>
  <c r="V635" i="20"/>
  <c r="V651" i="20"/>
  <c r="V667" i="20"/>
  <c r="V682" i="20"/>
  <c r="V687" i="20"/>
  <c r="V706" i="20"/>
  <c r="V711" i="20"/>
  <c r="V735" i="20"/>
  <c r="V754" i="20"/>
  <c r="V780" i="20"/>
  <c r="V828" i="20"/>
  <c r="V859" i="20"/>
  <c r="V875" i="20"/>
  <c r="V922" i="20"/>
  <c r="V982" i="20"/>
  <c r="V1030" i="20"/>
  <c r="V1053" i="20"/>
  <c r="V1081" i="20"/>
  <c r="V1087" i="20"/>
  <c r="V1098" i="20"/>
  <c r="V1149" i="20"/>
  <c r="V1177" i="20"/>
  <c r="V1188" i="20"/>
  <c r="V1221" i="20"/>
  <c r="V1248" i="20"/>
  <c r="V1264" i="20"/>
  <c r="V1280" i="20"/>
  <c r="V1296" i="20"/>
  <c r="V1312" i="20"/>
  <c r="V1337" i="20"/>
  <c r="V1362" i="20"/>
  <c r="V1401" i="20"/>
  <c r="V1435" i="20"/>
  <c r="V95" i="20"/>
  <c r="V100" i="20"/>
  <c r="V143" i="20"/>
  <c r="V165" i="20"/>
  <c r="V193" i="20"/>
  <c r="V210" i="20"/>
  <c r="V232" i="20"/>
  <c r="V280" i="20"/>
  <c r="V306" i="20"/>
  <c r="V332" i="20"/>
  <c r="V347" i="20"/>
  <c r="V378" i="20"/>
  <c r="V403" i="20"/>
  <c r="V427" i="20"/>
  <c r="V800" i="20"/>
  <c r="V565" i="20"/>
  <c r="V587" i="20"/>
  <c r="V678" i="20"/>
  <c r="V702" i="20"/>
  <c r="V808" i="20"/>
  <c r="V813" i="20"/>
  <c r="V464" i="20"/>
  <c r="V776" i="20"/>
  <c r="V824" i="20"/>
  <c r="V850" i="20"/>
  <c r="V871" i="20"/>
  <c r="V887" i="20"/>
  <c r="V918" i="20"/>
  <c r="V970" i="20"/>
  <c r="V1018" i="20"/>
  <c r="V1060" i="20"/>
  <c r="V1077" i="20"/>
  <c r="V1105" i="20"/>
  <c r="V1111" i="20"/>
  <c r="V1122" i="20"/>
  <c r="V1156" i="20"/>
  <c r="V1173" i="20"/>
  <c r="V1200" i="20"/>
  <c r="V1233" i="20"/>
  <c r="V1388" i="20"/>
  <c r="V1431" i="20"/>
  <c r="V127" i="20"/>
  <c r="V154" i="20"/>
  <c r="V159" i="20"/>
  <c r="V178" i="20"/>
  <c r="V183" i="20"/>
  <c r="V202" i="20"/>
  <c r="V207" i="20"/>
  <c r="V226" i="20"/>
  <c r="V231" i="20"/>
  <c r="V250" i="20"/>
  <c r="V255" i="20"/>
  <c r="V274" i="20"/>
  <c r="V279" i="20"/>
  <c r="V298" i="20"/>
  <c r="V322" i="20"/>
  <c r="V346" i="20"/>
  <c r="V370" i="20"/>
  <c r="V433" i="20"/>
  <c r="V119" i="20"/>
  <c r="V150" i="20"/>
  <c r="V155" i="20"/>
  <c r="V174" i="20"/>
  <c r="V179" i="20"/>
  <c r="V198" i="20"/>
  <c r="V203" i="20"/>
  <c r="V222" i="20"/>
  <c r="V227" i="20"/>
  <c r="V246" i="20"/>
  <c r="V251" i="20"/>
  <c r="V270" i="20"/>
  <c r="V275" i="20"/>
  <c r="V294" i="20"/>
  <c r="V318" i="20"/>
  <c r="V342" i="20"/>
  <c r="V366" i="20"/>
  <c r="V455" i="20"/>
  <c r="V111" i="20"/>
  <c r="V146" i="20"/>
  <c r="V151" i="20"/>
  <c r="V170" i="20"/>
  <c r="V175" i="20"/>
  <c r="V194" i="20"/>
  <c r="V199" i="20"/>
  <c r="V218" i="20"/>
  <c r="V223" i="20"/>
  <c r="V242" i="20"/>
  <c r="V247" i="20"/>
  <c r="V266" i="20"/>
  <c r="V271" i="20"/>
  <c r="V290" i="20"/>
  <c r="V314" i="20"/>
  <c r="V338" i="20"/>
  <c r="V362" i="20"/>
  <c r="V107" i="20"/>
  <c r="V99" i="20"/>
  <c r="V799" i="20"/>
  <c r="V499" i="20"/>
  <c r="V805" i="20"/>
  <c r="V505" i="20"/>
  <c r="V87" i="20"/>
  <c r="V135" i="20"/>
  <c r="V158" i="20"/>
  <c r="V163" i="20"/>
  <c r="V182" i="20"/>
  <c r="V187" i="20"/>
  <c r="V206" i="20"/>
  <c r="V211" i="20"/>
  <c r="V230" i="20"/>
  <c r="V235" i="20"/>
  <c r="V254" i="20"/>
  <c r="V259" i="20"/>
  <c r="V268" i="20"/>
  <c r="V278" i="20"/>
  <c r="V283" i="20"/>
  <c r="V302" i="20"/>
  <c r="V326" i="20"/>
  <c r="V350" i="20"/>
  <c r="V538" i="20"/>
  <c r="V568" i="20"/>
  <c r="V83" i="20"/>
  <c r="V131" i="20"/>
  <c r="V560" i="20"/>
  <c r="V426" i="20"/>
  <c r="V474" i="20"/>
  <c r="V610" i="20"/>
  <c r="V626" i="20"/>
  <c r="V679" i="20"/>
  <c r="V703" i="20"/>
  <c r="V727" i="20"/>
  <c r="V659" i="20"/>
  <c r="V675" i="20"/>
  <c r="V699" i="20"/>
  <c r="V723" i="20"/>
  <c r="V458" i="20"/>
  <c r="V501" i="20"/>
  <c r="V806" i="20"/>
  <c r="V506" i="20"/>
  <c r="V612" i="20"/>
  <c r="V628" i="20"/>
  <c r="V695" i="20"/>
  <c r="V719" i="20"/>
  <c r="V454" i="20"/>
  <c r="V497" i="20"/>
  <c r="V802" i="20"/>
  <c r="V502" i="20"/>
  <c r="V511" i="20"/>
  <c r="V530" i="20"/>
  <c r="V535" i="20"/>
  <c r="V554" i="20"/>
  <c r="V559" i="20"/>
  <c r="V578" i="20"/>
  <c r="V583" i="20"/>
  <c r="V602" i="20"/>
  <c r="V607" i="20"/>
  <c r="V623" i="20"/>
  <c r="V655" i="20"/>
  <c r="V671" i="20"/>
  <c r="V773" i="20"/>
  <c r="V450" i="20"/>
  <c r="V798" i="20"/>
  <c r="V498" i="20"/>
  <c r="V618" i="20"/>
  <c r="V691" i="20"/>
  <c r="V715" i="20"/>
  <c r="V739" i="20"/>
  <c r="V446" i="20"/>
  <c r="V494" i="20"/>
  <c r="V803" i="20"/>
  <c r="V526" i="20"/>
  <c r="V531" i="20"/>
  <c r="V550" i="20"/>
  <c r="V555" i="20"/>
  <c r="V574" i="20"/>
  <c r="V579" i="20"/>
  <c r="V598" i="20"/>
  <c r="V603" i="20"/>
  <c r="V608" i="20"/>
  <c r="V624" i="20"/>
  <c r="V438" i="20"/>
  <c r="V468" i="20"/>
  <c r="V486" i="20"/>
  <c r="V503" i="20"/>
  <c r="V522" i="20"/>
  <c r="V527" i="20"/>
  <c r="V546" i="20"/>
  <c r="V551" i="20"/>
  <c r="V570" i="20"/>
  <c r="V575" i="20"/>
  <c r="V594" i="20"/>
  <c r="V599" i="20"/>
  <c r="V434" i="20"/>
  <c r="V482" i="20"/>
  <c r="V804" i="20"/>
  <c r="V620" i="20"/>
  <c r="V683" i="20"/>
  <c r="V707" i="20"/>
  <c r="V731" i="20"/>
  <c r="V760" i="20"/>
  <c r="V770" i="20"/>
  <c r="V818" i="20"/>
  <c r="V866" i="20"/>
  <c r="V914" i="20"/>
  <c r="V758" i="20"/>
  <c r="V854" i="20"/>
  <c r="V902" i="20"/>
  <c r="V750" i="20"/>
  <c r="V846" i="20"/>
  <c r="V794" i="20"/>
  <c r="V842" i="20"/>
  <c r="V890" i="20"/>
  <c r="V968" i="20"/>
  <c r="V938" i="20"/>
  <c r="V790" i="20"/>
  <c r="V838" i="20"/>
  <c r="V868" i="20"/>
  <c r="V886" i="20"/>
  <c r="V786" i="20"/>
  <c r="V834" i="20"/>
  <c r="V882" i="20"/>
  <c r="V930" i="20"/>
  <c r="V1054" i="20"/>
  <c r="V1073" i="20"/>
  <c r="V1078" i="20"/>
  <c r="V1097" i="20"/>
  <c r="V1102" i="20"/>
  <c r="V1121" i="20"/>
  <c r="V1126" i="20"/>
  <c r="V1145" i="20"/>
  <c r="V1150" i="20"/>
  <c r="V1170" i="20"/>
  <c r="V1186" i="20"/>
  <c r="V1202" i="20"/>
  <c r="V1218" i="20"/>
  <c r="V1234" i="20"/>
  <c r="V1250" i="20"/>
  <c r="V1266" i="20"/>
  <c r="V1282" i="20"/>
  <c r="V1298" i="20"/>
  <c r="V1166" i="20"/>
  <c r="V1182" i="20"/>
  <c r="V1198" i="20"/>
  <c r="V1214" i="20"/>
  <c r="V1230" i="20"/>
  <c r="V1246" i="20"/>
  <c r="V1262" i="20"/>
  <c r="V1278" i="20"/>
  <c r="V1294" i="20"/>
  <c r="V1061" i="20"/>
  <c r="V1066" i="20"/>
  <c r="V1085" i="20"/>
  <c r="V1090" i="20"/>
  <c r="V1109" i="20"/>
  <c r="V1114" i="20"/>
  <c r="V1133" i="20"/>
  <c r="V1138" i="20"/>
  <c r="V1168" i="20"/>
  <c r="V1157" i="20"/>
  <c r="V1162" i="20"/>
  <c r="V1178" i="20"/>
  <c r="V1194" i="20"/>
  <c r="V1210" i="20"/>
  <c r="V1226" i="20"/>
  <c r="V1242" i="20"/>
  <c r="V1258" i="20"/>
  <c r="V1274" i="20"/>
  <c r="V1290" i="20"/>
  <c r="V1174" i="20"/>
  <c r="V1190" i="20"/>
  <c r="V1206" i="20"/>
  <c r="V1222" i="20"/>
  <c r="V1238" i="20"/>
  <c r="V1268" i="20"/>
  <c r="V1254" i="20"/>
  <c r="V1270" i="20"/>
  <c r="V1286" i="20"/>
  <c r="V1302" i="20"/>
  <c r="V1049" i="20"/>
  <c r="V1164" i="20"/>
  <c r="V1180" i="20"/>
  <c r="V1196" i="20"/>
  <c r="V1212" i="20"/>
  <c r="V1228" i="20"/>
  <c r="V1244" i="20"/>
  <c r="V1260" i="20"/>
  <c r="V1276" i="20"/>
  <c r="V1292" i="20"/>
  <c r="V1308" i="20"/>
  <c r="V1324" i="20"/>
  <c r="V1358" i="20"/>
  <c r="V797" i="19"/>
  <c r="V869" i="19"/>
  <c r="V562" i="19"/>
  <c r="V586" i="19"/>
  <c r="V718" i="19"/>
  <c r="V179" i="19"/>
  <c r="V209" i="19"/>
  <c r="V215" i="19"/>
  <c r="V245" i="19"/>
  <c r="V251" i="19"/>
  <c r="V293" i="19"/>
  <c r="V329" i="19"/>
  <c r="V335" i="19"/>
  <c r="V503" i="19"/>
  <c r="V66" i="19"/>
  <c r="V588" i="19"/>
  <c r="V600" i="19"/>
  <c r="V684" i="19"/>
  <c r="V708" i="19"/>
  <c r="V499" i="19"/>
  <c r="V511" i="19"/>
  <c r="V709" i="19"/>
  <c r="V356" i="19"/>
  <c r="V362" i="19"/>
  <c r="V386" i="19"/>
  <c r="V392" i="19"/>
  <c r="V398" i="19"/>
  <c r="V404" i="19"/>
  <c r="V410" i="19"/>
  <c r="V770" i="19"/>
  <c r="V482" i="19"/>
  <c r="V644" i="19"/>
  <c r="V1334" i="19"/>
  <c r="V411" i="19"/>
  <c r="V645" i="19"/>
  <c r="V693" i="19"/>
  <c r="V705" i="19"/>
  <c r="V717" i="19"/>
  <c r="V65" i="19"/>
  <c r="V514" i="19"/>
  <c r="V574" i="19"/>
  <c r="V700" i="19"/>
  <c r="V1269" i="19"/>
  <c r="V730" i="19"/>
  <c r="V742" i="19"/>
  <c r="V754" i="19"/>
  <c r="V784" i="19"/>
  <c r="V796" i="19"/>
  <c r="V892" i="19"/>
  <c r="V904" i="19"/>
  <c r="V916" i="19"/>
  <c r="V940" i="19"/>
  <c r="V952" i="19"/>
  <c r="V964" i="19"/>
  <c r="V976" i="19"/>
  <c r="V988" i="19"/>
  <c r="V347" i="19"/>
  <c r="V359" i="19"/>
  <c r="V371" i="19"/>
  <c r="V383" i="19"/>
  <c r="V395" i="19"/>
  <c r="V407" i="19"/>
  <c r="V725" i="19"/>
  <c r="V737" i="19"/>
  <c r="V743" i="19"/>
  <c r="V1319" i="19"/>
  <c r="V149" i="19"/>
  <c r="V151" i="19"/>
  <c r="V175" i="19"/>
  <c r="V325" i="19"/>
  <c r="V546" i="19"/>
  <c r="V558" i="19"/>
  <c r="V816" i="19"/>
  <c r="V840" i="19"/>
  <c r="V966" i="19"/>
  <c r="V984" i="19"/>
  <c r="V1026" i="19"/>
  <c r="V1188" i="19"/>
  <c r="V1224" i="19"/>
  <c r="V1236" i="19"/>
  <c r="V1398" i="19"/>
  <c r="V158" i="19"/>
  <c r="V343" i="19"/>
  <c r="V355" i="19"/>
  <c r="V367" i="19"/>
  <c r="V379" i="19"/>
  <c r="V391" i="19"/>
  <c r="V415" i="19"/>
  <c r="V427" i="19"/>
  <c r="V451" i="19"/>
  <c r="V949" i="19"/>
  <c r="V967" i="19"/>
  <c r="V1015" i="19"/>
  <c r="V368" i="19"/>
  <c r="V81" i="19"/>
  <c r="V165" i="19"/>
  <c r="V171" i="19"/>
  <c r="V177" i="19"/>
  <c r="V183" i="19"/>
  <c r="V213" i="19"/>
  <c r="V219" i="19"/>
  <c r="V243" i="19"/>
  <c r="V249" i="19"/>
  <c r="V273" i="19"/>
  <c r="V285" i="19"/>
  <c r="V333" i="19"/>
  <c r="V566" i="19"/>
  <c r="V884" i="19"/>
  <c r="V1016" i="19"/>
  <c r="V1238" i="19"/>
  <c r="V88" i="19"/>
  <c r="V100" i="19"/>
  <c r="V112" i="19"/>
  <c r="V423" i="19"/>
  <c r="V435" i="19"/>
  <c r="V447" i="19"/>
  <c r="V843" i="19"/>
  <c r="V873" i="19"/>
  <c r="V999" i="19"/>
  <c r="V1221" i="19"/>
  <c r="V134" i="19"/>
  <c r="V146" i="19"/>
  <c r="V403" i="19"/>
  <c r="V439" i="19"/>
  <c r="V498" i="19"/>
  <c r="V629" i="19"/>
  <c r="V641" i="19"/>
  <c r="V653" i="19"/>
  <c r="V883" i="19"/>
  <c r="V930" i="19"/>
  <c r="V1013" i="19"/>
  <c r="V1335" i="19"/>
  <c r="V570" i="19"/>
  <c r="V749" i="19"/>
  <c r="V761" i="19"/>
  <c r="V767" i="19"/>
  <c r="V872" i="19"/>
  <c r="V948" i="19"/>
  <c r="V960" i="19"/>
  <c r="V972" i="19"/>
  <c r="V1025" i="19"/>
  <c r="V1205" i="19"/>
  <c r="V207" i="19"/>
  <c r="V255" i="19"/>
  <c r="V279" i="19"/>
  <c r="V303" i="19"/>
  <c r="V315" i="19"/>
  <c r="V327" i="19"/>
  <c r="V776" i="19"/>
  <c r="V582" i="19"/>
  <c r="V594" i="19"/>
  <c r="V606" i="19"/>
  <c r="V618" i="19"/>
  <c r="V630" i="19"/>
  <c r="V642" i="19"/>
  <c r="V654" i="19"/>
  <c r="V666" i="19"/>
  <c r="V678" i="19"/>
  <c r="V690" i="19"/>
  <c r="V702" i="19"/>
  <c r="V714" i="19"/>
  <c r="V791" i="19"/>
  <c r="V803" i="19"/>
  <c r="V839" i="19"/>
  <c r="V815" i="19"/>
  <c r="V861" i="19"/>
  <c r="V996" i="19"/>
  <c r="V1008" i="19"/>
  <c r="V1253" i="19"/>
  <c r="V58" i="19"/>
  <c r="V70" i="19"/>
  <c r="V82" i="19"/>
  <c r="V94" i="19"/>
  <c r="V106" i="19"/>
  <c r="V118" i="19"/>
  <c r="V130" i="19"/>
  <c r="V142" i="19"/>
  <c r="V154" i="19"/>
  <c r="V351" i="19"/>
  <c r="V363" i="19"/>
  <c r="V375" i="19"/>
  <c r="V387" i="19"/>
  <c r="V399" i="19"/>
  <c r="V908" i="19"/>
  <c r="V159" i="19"/>
  <c r="V370" i="19"/>
  <c r="V376" i="19"/>
  <c r="V382" i="19"/>
  <c r="V388" i="19"/>
  <c r="V394" i="19"/>
  <c r="V400" i="19"/>
  <c r="V530" i="19"/>
  <c r="V542" i="19"/>
  <c r="V554" i="19"/>
  <c r="V739" i="19"/>
  <c r="V821" i="19"/>
  <c r="V885" i="19"/>
  <c r="V903" i="19"/>
  <c r="V915" i="19"/>
  <c r="V920" i="19"/>
  <c r="V932" i="19"/>
  <c r="V950" i="19"/>
  <c r="V1320" i="19"/>
  <c r="V1344" i="19"/>
  <c r="V54" i="19"/>
  <c r="V84" i="19"/>
  <c r="V96" i="19"/>
  <c r="V132" i="19"/>
  <c r="V156" i="19"/>
  <c r="V162" i="19"/>
  <c r="V168" i="19"/>
  <c r="V174" i="19"/>
  <c r="V191" i="19"/>
  <c r="V239" i="19"/>
  <c r="V263" i="19"/>
  <c r="V287" i="19"/>
  <c r="V299" i="19"/>
  <c r="V311" i="19"/>
  <c r="V323" i="19"/>
  <c r="V466" i="19"/>
  <c r="V578" i="19"/>
  <c r="V590" i="19"/>
  <c r="V602" i="19"/>
  <c r="V614" i="19"/>
  <c r="V626" i="19"/>
  <c r="V638" i="19"/>
  <c r="V650" i="19"/>
  <c r="V662" i="19"/>
  <c r="V674" i="19"/>
  <c r="V686" i="19"/>
  <c r="V698" i="19"/>
  <c r="V710" i="19"/>
  <c r="V793" i="19"/>
  <c r="V799" i="19"/>
  <c r="V845" i="19"/>
  <c r="V969" i="19"/>
  <c r="V975" i="19"/>
  <c r="V981" i="19"/>
  <c r="V992" i="19"/>
  <c r="V1004" i="19"/>
  <c r="V1285" i="19"/>
  <c r="V1321" i="19"/>
  <c r="V1327" i="19"/>
  <c r="V153" i="19"/>
  <c r="V67" i="19"/>
  <c r="V79" i="19"/>
  <c r="V419" i="19"/>
  <c r="V431" i="19"/>
  <c r="V443" i="19"/>
  <c r="V550" i="19"/>
  <c r="V568" i="19"/>
  <c r="V928" i="19"/>
  <c r="V982" i="19"/>
  <c r="V145" i="19"/>
  <c r="V414" i="19"/>
  <c r="V420" i="19"/>
  <c r="V426" i="19"/>
  <c r="V774" i="19"/>
  <c r="V1173" i="19"/>
  <c r="V1245" i="19"/>
  <c r="V62" i="19"/>
  <c r="V307" i="19"/>
  <c r="V319" i="19"/>
  <c r="V331" i="19"/>
  <c r="V598" i="19"/>
  <c r="V610" i="19"/>
  <c r="V622" i="19"/>
  <c r="V634" i="19"/>
  <c r="V646" i="19"/>
  <c r="V658" i="19"/>
  <c r="V670" i="19"/>
  <c r="V682" i="19"/>
  <c r="V694" i="19"/>
  <c r="V706" i="19"/>
  <c r="V789" i="19"/>
  <c r="V801" i="19"/>
  <c r="V807" i="19"/>
  <c r="V813" i="19"/>
  <c r="V824" i="19"/>
  <c r="V876" i="19"/>
  <c r="V941" i="19"/>
  <c r="V983" i="19"/>
  <c r="V1000" i="19"/>
  <c r="V1012" i="19"/>
  <c r="V1359" i="19"/>
  <c r="V1383" i="19"/>
  <c r="V1332" i="19"/>
  <c r="V1333" i="19"/>
  <c r="V636" i="19"/>
  <c r="V673" i="19"/>
  <c r="V685" i="19"/>
  <c r="V744" i="19"/>
  <c r="V680" i="19"/>
  <c r="V751" i="19"/>
  <c r="V664" i="19"/>
  <c r="V676" i="19"/>
  <c r="V723" i="19"/>
  <c r="V73" i="19"/>
  <c r="V63" i="19"/>
  <c r="V1265" i="19"/>
  <c r="V1271" i="19"/>
  <c r="V1277" i="19"/>
  <c r="V1283" i="19"/>
  <c r="V1273" i="19"/>
  <c r="V1250" i="19"/>
  <c r="V1274" i="19"/>
  <c r="V1281" i="19"/>
  <c r="V1210" i="19"/>
  <c r="V1176" i="19"/>
  <c r="V1178" i="19"/>
  <c r="V951" i="19"/>
  <c r="V998" i="19"/>
  <c r="V965" i="19"/>
  <c r="V910" i="19"/>
  <c r="V901" i="19"/>
  <c r="V858" i="19"/>
  <c r="V788" i="19"/>
  <c r="V786" i="19"/>
  <c r="V781" i="19"/>
  <c r="V336" i="19"/>
  <c r="V342" i="19"/>
  <c r="V354" i="19"/>
  <c r="V360" i="19"/>
  <c r="V366" i="19"/>
  <c r="V372" i="19"/>
  <c r="V378" i="19"/>
  <c r="V384" i="19"/>
  <c r="V402" i="19"/>
  <c r="V408" i="19"/>
  <c r="V538" i="19"/>
  <c r="V597" i="19"/>
  <c r="V604" i="19"/>
  <c r="V350" i="19"/>
  <c r="V534" i="19"/>
  <c r="V540" i="19"/>
  <c r="V612" i="19"/>
  <c r="V310" i="19"/>
  <c r="V589" i="19"/>
  <c r="V448" i="19"/>
  <c r="V596" i="19"/>
  <c r="V229" i="19"/>
  <c r="V235" i="19"/>
  <c r="V241" i="19"/>
  <c r="V247" i="19"/>
  <c r="V277" i="19"/>
  <c r="V283" i="19"/>
  <c r="V272" i="19"/>
  <c r="V278" i="19"/>
  <c r="V306" i="19"/>
  <c r="V80" i="19"/>
  <c r="V71" i="19"/>
  <c r="V56" i="19"/>
  <c r="V844" i="19"/>
  <c r="V878" i="19"/>
  <c r="V953" i="19"/>
  <c r="V959" i="19"/>
  <c r="V1027" i="19"/>
  <c r="V55" i="19"/>
  <c r="V72" i="19"/>
  <c r="V83" i="19"/>
  <c r="V89" i="19"/>
  <c r="V113" i="19"/>
  <c r="V119" i="19"/>
  <c r="V125" i="19"/>
  <c r="V143" i="19"/>
  <c r="V178" i="19"/>
  <c r="V184" i="19"/>
  <c r="V190" i="19"/>
  <c r="V208" i="19"/>
  <c r="V214" i="19"/>
  <c r="V309" i="19"/>
  <c r="V326" i="19"/>
  <c r="V385" i="19"/>
  <c r="V432" i="19"/>
  <c r="V467" i="19"/>
  <c r="V479" i="19"/>
  <c r="V502" i="19"/>
  <c r="V508" i="19"/>
  <c r="V531" i="19"/>
  <c r="V572" i="19"/>
  <c r="V648" i="19"/>
  <c r="V677" i="19"/>
  <c r="V787" i="19"/>
  <c r="V798" i="19"/>
  <c r="V810" i="19"/>
  <c r="V850" i="19"/>
  <c r="V856" i="19"/>
  <c r="V862" i="19"/>
  <c r="V1201" i="19"/>
  <c r="V1213" i="19"/>
  <c r="V1219" i="19"/>
  <c r="V1242" i="19"/>
  <c r="V155" i="19"/>
  <c r="V274" i="19"/>
  <c r="V280" i="19"/>
  <c r="V332" i="19"/>
  <c r="V450" i="19"/>
  <c r="V584" i="19"/>
  <c r="V613" i="19"/>
  <c r="V625" i="19"/>
  <c r="V637" i="19"/>
  <c r="V660" i="19"/>
  <c r="V689" i="19"/>
  <c r="V701" i="19"/>
  <c r="V724" i="19"/>
  <c r="V747" i="19"/>
  <c r="V926" i="19"/>
  <c r="V937" i="19"/>
  <c r="V943" i="19"/>
  <c r="V1005" i="19"/>
  <c r="V1034" i="19"/>
  <c r="V1046" i="19"/>
  <c r="V1052" i="19"/>
  <c r="V1058" i="19"/>
  <c r="V1064" i="19"/>
  <c r="V1076" i="19"/>
  <c r="V1082" i="19"/>
  <c r="V1094" i="19"/>
  <c r="V1100" i="19"/>
  <c r="V1106" i="19"/>
  <c r="V1112" i="19"/>
  <c r="V1124" i="19"/>
  <c r="V1130" i="19"/>
  <c r="V1142" i="19"/>
  <c r="V1148" i="19"/>
  <c r="V1154" i="19"/>
  <c r="V1160" i="19"/>
  <c r="V1172" i="19"/>
  <c r="V1343" i="19"/>
  <c r="V1358" i="19"/>
  <c r="V1373" i="19"/>
  <c r="V1397" i="19"/>
  <c r="V1403" i="19"/>
  <c r="V416" i="19"/>
  <c r="V457" i="19"/>
  <c r="V463" i="19"/>
  <c r="V527" i="19"/>
  <c r="V556" i="19"/>
  <c r="V620" i="19"/>
  <c r="V632" i="19"/>
  <c r="V661" i="19"/>
  <c r="V794" i="19"/>
  <c r="V880" i="19"/>
  <c r="V938" i="19"/>
  <c r="V989" i="19"/>
  <c r="V1017" i="19"/>
  <c r="V1023" i="19"/>
  <c r="V51" i="19"/>
  <c r="V57" i="19"/>
  <c r="V97" i="19"/>
  <c r="V109" i="19"/>
  <c r="V133" i="19"/>
  <c r="V216" i="19"/>
  <c r="V317" i="19"/>
  <c r="V369" i="19"/>
  <c r="V434" i="19"/>
  <c r="V440" i="19"/>
  <c r="V258" i="19"/>
  <c r="V264" i="19"/>
  <c r="V417" i="19"/>
  <c r="V446" i="19"/>
  <c r="V452" i="19"/>
  <c r="V458" i="19"/>
  <c r="V487" i="19"/>
  <c r="V522" i="19"/>
  <c r="V580" i="19"/>
  <c r="V609" i="19"/>
  <c r="V621" i="19"/>
  <c r="V668" i="19"/>
  <c r="V732" i="19"/>
  <c r="V841" i="19"/>
  <c r="V973" i="19"/>
  <c r="V1001" i="19"/>
  <c r="V1007" i="19"/>
  <c r="V1345" i="19"/>
  <c r="V1360" i="19"/>
  <c r="V1384" i="19"/>
  <c r="V1399" i="19"/>
  <c r="V1405" i="19"/>
  <c r="V116" i="19"/>
  <c r="V128" i="19"/>
  <c r="V140" i="19"/>
  <c r="V193" i="19"/>
  <c r="V199" i="19"/>
  <c r="V340" i="19"/>
  <c r="V346" i="19"/>
  <c r="V352" i="19"/>
  <c r="V358" i="19"/>
  <c r="V1174" i="19"/>
  <c r="V1180" i="19"/>
  <c r="V1186" i="19"/>
  <c r="V1251" i="19"/>
  <c r="V418" i="19"/>
  <c r="V424" i="19"/>
  <c r="V616" i="19"/>
  <c r="V628" i="19"/>
  <c r="V657" i="19"/>
  <c r="V669" i="19"/>
  <c r="V692" i="19"/>
  <c r="V721" i="19"/>
  <c r="V733" i="19"/>
  <c r="V882" i="19"/>
  <c r="V957" i="19"/>
  <c r="V985" i="19"/>
  <c r="V991" i="19"/>
  <c r="V1340" i="19"/>
  <c r="V1346" i="19"/>
  <c r="V1370" i="19"/>
  <c r="V1385" i="19"/>
  <c r="V1400" i="19"/>
  <c r="V1406" i="19"/>
  <c r="V93" i="19"/>
  <c r="V117" i="19"/>
  <c r="V129" i="19"/>
  <c r="V135" i="19"/>
  <c r="V141" i="19"/>
  <c r="V147" i="19"/>
  <c r="V194" i="19"/>
  <c r="V200" i="19"/>
  <c r="V242" i="19"/>
  <c r="V248" i="19"/>
  <c r="V353" i="19"/>
  <c r="V401" i="19"/>
  <c r="V430" i="19"/>
  <c r="V436" i="19"/>
  <c r="V442" i="19"/>
  <c r="V506" i="19"/>
  <c r="V535" i="19"/>
  <c r="V593" i="19"/>
  <c r="V605" i="19"/>
  <c r="V652" i="19"/>
  <c r="V716" i="19"/>
  <c r="V745" i="19"/>
  <c r="V785" i="19"/>
  <c r="V808" i="19"/>
  <c r="V814" i="19"/>
  <c r="V860" i="19"/>
  <c r="V912" i="19"/>
  <c r="V997" i="19"/>
  <c r="V1014" i="19"/>
  <c r="V1181" i="19"/>
  <c r="V1187" i="19"/>
  <c r="V1217" i="19"/>
  <c r="V1240" i="19"/>
  <c r="V1252" i="19"/>
  <c r="V1323" i="19"/>
  <c r="V52" i="19"/>
  <c r="V68" i="19"/>
  <c r="V101" i="19"/>
  <c r="V53" i="19"/>
  <c r="V69" i="19"/>
  <c r="V85" i="19"/>
  <c r="V64" i="19"/>
  <c r="V59" i="19"/>
  <c r="V75" i="19"/>
  <c r="V103" i="19"/>
  <c r="V60" i="19"/>
  <c r="V76" i="19"/>
  <c r="V87" i="19"/>
  <c r="V61" i="19"/>
  <c r="V77" i="19"/>
  <c r="V197" i="19"/>
  <c r="V203" i="19"/>
  <c r="V226" i="19"/>
  <c r="V232" i="19"/>
  <c r="V261" i="19"/>
  <c r="V267" i="19"/>
  <c r="V290" i="19"/>
  <c r="V296" i="19"/>
  <c r="V104" i="19"/>
  <c r="V120" i="19"/>
  <c r="V136" i="19"/>
  <c r="V330" i="19"/>
  <c r="V341" i="19"/>
  <c r="V357" i="19"/>
  <c r="V373" i="19"/>
  <c r="V389" i="19"/>
  <c r="V405" i="19"/>
  <c r="V421" i="19"/>
  <c r="V437" i="19"/>
  <c r="V453" i="19"/>
  <c r="V459" i="19"/>
  <c r="V465" i="19"/>
  <c r="V488" i="19"/>
  <c r="V494" i="19"/>
  <c r="V523" i="19"/>
  <c r="V551" i="19"/>
  <c r="V567" i="19"/>
  <c r="V583" i="19"/>
  <c r="V599" i="19"/>
  <c r="V615" i="19"/>
  <c r="V631" i="19"/>
  <c r="V647" i="19"/>
  <c r="V663" i="19"/>
  <c r="V679" i="19"/>
  <c r="V695" i="19"/>
  <c r="V711" i="19"/>
  <c r="V727" i="19"/>
  <c r="V748" i="19"/>
  <c r="V764" i="19"/>
  <c r="V819" i="19"/>
  <c r="V886" i="19"/>
  <c r="V898" i="19"/>
  <c r="V954" i="19"/>
  <c r="V970" i="19"/>
  <c r="V986" i="19"/>
  <c r="V1002" i="19"/>
  <c r="V1018" i="19"/>
  <c r="V1024" i="19"/>
  <c r="V1041" i="19"/>
  <c r="V1053" i="19"/>
  <c r="V1059" i="19"/>
  <c r="V1065" i="19"/>
  <c r="V1077" i="19"/>
  <c r="V1089" i="19"/>
  <c r="V1101" i="19"/>
  <c r="V1107" i="19"/>
  <c r="V1113" i="19"/>
  <c r="V1125" i="19"/>
  <c r="V1137" i="19"/>
  <c r="V1149" i="19"/>
  <c r="V1155" i="19"/>
  <c r="V1161" i="19"/>
  <c r="V1190" i="19"/>
  <c r="V1196" i="19"/>
  <c r="V1202" i="19"/>
  <c r="V1225" i="19"/>
  <c r="V1254" i="19"/>
  <c r="V1266" i="19"/>
  <c r="V1289" i="19"/>
  <c r="V99" i="19"/>
  <c r="V115" i="19"/>
  <c r="V131" i="19"/>
  <c r="V152" i="19"/>
  <c r="V163" i="19"/>
  <c r="V192" i="19"/>
  <c r="V198" i="19"/>
  <c r="V227" i="19"/>
  <c r="V256" i="19"/>
  <c r="V262" i="19"/>
  <c r="V291" i="19"/>
  <c r="V297" i="19"/>
  <c r="V1185" i="19"/>
  <c r="V1208" i="19"/>
  <c r="V1220" i="19"/>
  <c r="V1249" i="19"/>
  <c r="V1272" i="19"/>
  <c r="V1284" i="19"/>
  <c r="V1331" i="19"/>
  <c r="V105" i="19"/>
  <c r="V121" i="19"/>
  <c r="V137" i="19"/>
  <c r="V181" i="19"/>
  <c r="V187" i="19"/>
  <c r="V210" i="19"/>
  <c r="V320" i="19"/>
  <c r="V374" i="19"/>
  <c r="V390" i="19"/>
  <c r="V406" i="19"/>
  <c r="V422" i="19"/>
  <c r="V438" i="19"/>
  <c r="V454" i="19"/>
  <c r="V483" i="19"/>
  <c r="V495" i="19"/>
  <c r="V518" i="19"/>
  <c r="V524" i="19"/>
  <c r="V552" i="19"/>
  <c r="V696" i="19"/>
  <c r="V712" i="19"/>
  <c r="V728" i="19"/>
  <c r="V760" i="19"/>
  <c r="V765" i="19"/>
  <c r="V792" i="19"/>
  <c r="V820" i="19"/>
  <c r="V831" i="19"/>
  <c r="V837" i="19"/>
  <c r="V865" i="19"/>
  <c r="V887" i="19"/>
  <c r="V899" i="19"/>
  <c r="V922" i="19"/>
  <c r="V933" i="19"/>
  <c r="V955" i="19"/>
  <c r="V971" i="19"/>
  <c r="V987" i="19"/>
  <c r="V1003" i="19"/>
  <c r="V1019" i="19"/>
  <c r="V1036" i="19"/>
  <c r="V1042" i="19"/>
  <c r="V1048" i="19"/>
  <c r="V1060" i="19"/>
  <c r="V1066" i="19"/>
  <c r="V1078" i="19"/>
  <c r="V1084" i="19"/>
  <c r="V1090" i="19"/>
  <c r="V1096" i="19"/>
  <c r="V1108" i="19"/>
  <c r="V1114" i="19"/>
  <c r="V1126" i="19"/>
  <c r="V1132" i="19"/>
  <c r="V1138" i="19"/>
  <c r="V1144" i="19"/>
  <c r="V1156" i="19"/>
  <c r="V1162" i="19"/>
  <c r="V1197" i="19"/>
  <c r="V1203" i="19"/>
  <c r="V1226" i="19"/>
  <c r="V1255" i="19"/>
  <c r="V1261" i="19"/>
  <c r="V1267" i="19"/>
  <c r="V1290" i="19"/>
  <c r="V1337" i="19"/>
  <c r="V257" i="19"/>
  <c r="V433" i="19"/>
  <c r="V449" i="19"/>
  <c r="V478" i="19"/>
  <c r="V507" i="19"/>
  <c r="V536" i="19"/>
  <c r="V547" i="19"/>
  <c r="V563" i="19"/>
  <c r="V579" i="19"/>
  <c r="V595" i="19"/>
  <c r="V611" i="19"/>
  <c r="V627" i="19"/>
  <c r="V643" i="19"/>
  <c r="V659" i="19"/>
  <c r="V675" i="19"/>
  <c r="V691" i="19"/>
  <c r="V707" i="19"/>
  <c r="V1409" i="19"/>
  <c r="V95" i="19"/>
  <c r="V111" i="19"/>
  <c r="V127" i="19"/>
  <c r="V148" i="19"/>
  <c r="V176" i="19"/>
  <c r="V182" i="19"/>
  <c r="V211" i="19"/>
  <c r="V240" i="19"/>
  <c r="V246" i="19"/>
  <c r="V275" i="19"/>
  <c r="V281" i="19"/>
  <c r="V304" i="19"/>
  <c r="V321" i="19"/>
  <c r="V337" i="19"/>
  <c r="V348" i="19"/>
  <c r="V364" i="19"/>
  <c r="V380" i="19"/>
  <c r="V396" i="19"/>
  <c r="V412" i="19"/>
  <c r="V428" i="19"/>
  <c r="V444" i="19"/>
  <c r="V455" i="19"/>
  <c r="V490" i="19"/>
  <c r="V519" i="19"/>
  <c r="V601" i="19"/>
  <c r="V617" i="19"/>
  <c r="V633" i="19"/>
  <c r="V649" i="19"/>
  <c r="V665" i="19"/>
  <c r="V681" i="19"/>
  <c r="V697" i="19"/>
  <c r="V713" i="19"/>
  <c r="V729" i="19"/>
  <c r="V755" i="19"/>
  <c r="V766" i="19"/>
  <c r="V826" i="19"/>
  <c r="V832" i="19"/>
  <c r="V838" i="19"/>
  <c r="V894" i="19"/>
  <c r="V917" i="19"/>
  <c r="V934" i="19"/>
  <c r="V945" i="19"/>
  <c r="V961" i="19"/>
  <c r="V977" i="19"/>
  <c r="V993" i="19"/>
  <c r="V1039" i="19"/>
  <c r="V1020" i="19"/>
  <c r="V1031" i="19"/>
  <c r="V1037" i="19"/>
  <c r="V1043" i="19"/>
  <c r="V1061" i="19"/>
  <c r="V1073" i="19"/>
  <c r="V1085" i="19"/>
  <c r="V1091" i="19"/>
  <c r="V1139" i="19"/>
  <c r="V1121" i="19"/>
  <c r="V1133" i="19"/>
  <c r="V1145" i="19"/>
  <c r="V1157" i="19"/>
  <c r="V1169" i="19"/>
  <c r="V1192" i="19"/>
  <c r="V1204" i="19"/>
  <c r="V1233" i="19"/>
  <c r="V1256" i="19"/>
  <c r="V1268" i="19"/>
  <c r="V1306" i="19"/>
  <c r="V1410" i="19"/>
  <c r="V305" i="19"/>
  <c r="V322" i="19"/>
  <c r="V338" i="19"/>
  <c r="V349" i="19"/>
  <c r="V365" i="19"/>
  <c r="V381" i="19"/>
  <c r="V397" i="19"/>
  <c r="V413" i="19"/>
  <c r="V429" i="19"/>
  <c r="V445" i="19"/>
  <c r="V456" i="19"/>
  <c r="V462" i="19"/>
  <c r="V491" i="19"/>
  <c r="V526" i="19"/>
  <c r="V543" i="19"/>
  <c r="V559" i="19"/>
  <c r="V575" i="19"/>
  <c r="V591" i="19"/>
  <c r="V607" i="19"/>
  <c r="V623" i="19"/>
  <c r="V655" i="19"/>
  <c r="V671" i="19"/>
  <c r="V687" i="19"/>
  <c r="V703" i="19"/>
  <c r="V719" i="19"/>
  <c r="V735" i="19"/>
  <c r="V740" i="19"/>
  <c r="V756" i="19"/>
  <c r="V778" i="19"/>
  <c r="V833" i="19"/>
  <c r="V867" i="19"/>
  <c r="V918" i="19"/>
  <c r="V935" i="19"/>
  <c r="V946" i="19"/>
  <c r="V962" i="19"/>
  <c r="V978" i="19"/>
  <c r="V994" i="19"/>
  <c r="V1010" i="19"/>
  <c r="V1021" i="19"/>
  <c r="V1032" i="19"/>
  <c r="V1044" i="19"/>
  <c r="V1050" i="19"/>
  <c r="V1062" i="19"/>
  <c r="V1068" i="19"/>
  <c r="V1074" i="19"/>
  <c r="V1080" i="19"/>
  <c r="V1092" i="19"/>
  <c r="V1098" i="19"/>
  <c r="V1110" i="19"/>
  <c r="V1116" i="19"/>
  <c r="V1122" i="19"/>
  <c r="V1128" i="19"/>
  <c r="V1140" i="19"/>
  <c r="V1146" i="19"/>
  <c r="V1158" i="19"/>
  <c r="V1164" i="19"/>
  <c r="V1170" i="19"/>
  <c r="V1193" i="19"/>
  <c r="V1222" i="19"/>
  <c r="V1234" i="19"/>
  <c r="V1257" i="19"/>
  <c r="V1286" i="19"/>
  <c r="V1307" i="19"/>
  <c r="V91" i="19"/>
  <c r="V107" i="19"/>
  <c r="V123" i="19"/>
  <c r="V144" i="19"/>
  <c r="V160" i="19"/>
  <c r="V166" i="19"/>
  <c r="V195" i="19"/>
  <c r="V224" i="19"/>
  <c r="V230" i="19"/>
  <c r="V259" i="19"/>
  <c r="V265" i="19"/>
  <c r="V288" i="19"/>
  <c r="V294" i="19"/>
  <c r="V344" i="19"/>
  <c r="V1411" i="19"/>
  <c r="V486" i="19"/>
  <c r="V492" i="19"/>
  <c r="V515" i="19"/>
  <c r="V576" i="19"/>
  <c r="V592" i="19"/>
  <c r="V608" i="19"/>
  <c r="V624" i="19"/>
  <c r="V640" i="19"/>
  <c r="V656" i="19"/>
  <c r="V672" i="19"/>
  <c r="V688" i="19"/>
  <c r="V704" i="19"/>
  <c r="V720" i="19"/>
  <c r="V736" i="19"/>
  <c r="V741" i="19"/>
  <c r="V779" i="19"/>
  <c r="V817" i="19"/>
  <c r="V834" i="19"/>
  <c r="V868" i="19"/>
  <c r="V890" i="19"/>
  <c r="V896" i="19"/>
  <c r="V919" i="19"/>
  <c r="V947" i="19"/>
  <c r="V963" i="19"/>
  <c r="V979" i="19"/>
  <c r="V995" i="19"/>
  <c r="V1011" i="19"/>
  <c r="V1022" i="19"/>
  <c r="V1045" i="19"/>
  <c r="V1057" i="19"/>
  <c r="V1069" i="19"/>
  <c r="V1075" i="19"/>
  <c r="V1093" i="19"/>
  <c r="V1105" i="19"/>
  <c r="V1117" i="19"/>
  <c r="V1123" i="19"/>
  <c r="V1141" i="19"/>
  <c r="V1153" i="19"/>
  <c r="V1165" i="19"/>
  <c r="V1171" i="19"/>
  <c r="V1194" i="19"/>
  <c r="V1229" i="19"/>
  <c r="V1235" i="19"/>
  <c r="V1258" i="19"/>
  <c r="V1287" i="19"/>
  <c r="V1293" i="19"/>
  <c r="V1308" i="19"/>
  <c r="V92" i="19"/>
  <c r="V108" i="19"/>
  <c r="V124" i="19"/>
  <c r="V161" i="19"/>
  <c r="V167" i="19"/>
  <c r="V225" i="19"/>
  <c r="V231" i="19"/>
  <c r="V289" i="19"/>
  <c r="V301" i="19"/>
  <c r="V312" i="19"/>
  <c r="V334" i="19"/>
  <c r="V345" i="19"/>
  <c r="V361" i="19"/>
  <c r="V377" i="19"/>
  <c r="V393" i="19"/>
  <c r="V409" i="19"/>
  <c r="V425" i="19"/>
  <c r="V441" i="19"/>
  <c r="V504" i="19"/>
  <c r="V510" i="19"/>
  <c r="V555" i="19"/>
  <c r="V571" i="19"/>
  <c r="V587" i="19"/>
  <c r="V603" i="19"/>
  <c r="V619" i="19"/>
  <c r="V635" i="19"/>
  <c r="V651" i="19"/>
  <c r="V667" i="19"/>
  <c r="V683" i="19"/>
  <c r="V699" i="19"/>
  <c r="V715" i="19"/>
  <c r="V731" i="19"/>
  <c r="V752" i="19"/>
  <c r="V795" i="19"/>
  <c r="V800" i="19"/>
  <c r="V812" i="19"/>
  <c r="V857" i="19"/>
  <c r="V863" i="19"/>
  <c r="V902" i="19"/>
  <c r="V914" i="19"/>
  <c r="V931" i="19"/>
  <c r="V942" i="19"/>
  <c r="V958" i="19"/>
  <c r="V974" i="19"/>
  <c r="V990" i="19"/>
  <c r="V1006" i="19"/>
  <c r="V1177" i="19"/>
  <c r="V1206" i="19"/>
  <c r="V1218" i="19"/>
  <c r="V1241" i="19"/>
  <c r="V1270" i="19"/>
  <c r="V1282" i="19"/>
  <c r="V1412" i="19"/>
  <c r="V1318" i="19"/>
  <c r="V170" i="19"/>
  <c r="V186" i="19"/>
  <c r="V202" i="19"/>
  <c r="V218" i="19"/>
  <c r="V234" i="19"/>
  <c r="V250" i="19"/>
  <c r="V266" i="19"/>
  <c r="V282" i="19"/>
  <c r="V298" i="19"/>
  <c r="V314" i="19"/>
  <c r="V472" i="19"/>
  <c r="V772" i="19"/>
  <c r="V172" i="19"/>
  <c r="V188" i="19"/>
  <c r="V204" i="19"/>
  <c r="V220" i="19"/>
  <c r="V236" i="19"/>
  <c r="V252" i="19"/>
  <c r="V268" i="19"/>
  <c r="V284" i="19"/>
  <c r="V300" i="19"/>
  <c r="V316" i="19"/>
  <c r="V157" i="19"/>
  <c r="V173" i="19"/>
  <c r="V189" i="19"/>
  <c r="V205" i="19"/>
  <c r="V221" i="19"/>
  <c r="V237" i="19"/>
  <c r="V253" i="19"/>
  <c r="V269" i="19"/>
  <c r="V520" i="19"/>
  <c r="V206" i="19"/>
  <c r="V222" i="19"/>
  <c r="V238" i="19"/>
  <c r="V254" i="19"/>
  <c r="V270" i="19"/>
  <c r="V286" i="19"/>
  <c r="V302" i="19"/>
  <c r="V318" i="19"/>
  <c r="V169" i="19"/>
  <c r="V185" i="19"/>
  <c r="V201" i="19"/>
  <c r="V217" i="19"/>
  <c r="V233" i="19"/>
  <c r="V313" i="19"/>
  <c r="V339" i="19"/>
  <c r="V164" i="19"/>
  <c r="V180" i="19"/>
  <c r="V196" i="19"/>
  <c r="V212" i="19"/>
  <c r="V228" i="19"/>
  <c r="V244" i="19"/>
  <c r="V260" i="19"/>
  <c r="V276" i="19"/>
  <c r="V292" i="19"/>
  <c r="V308" i="19"/>
  <c r="V324" i="19"/>
  <c r="V461" i="19"/>
  <c r="V477" i="19"/>
  <c r="V777" i="19"/>
  <c r="V493" i="19"/>
  <c r="V509" i="19"/>
  <c r="V539" i="19"/>
  <c r="V525" i="19"/>
  <c r="V541" i="19"/>
  <c r="V557" i="19"/>
  <c r="V573" i="19"/>
  <c r="V836" i="19"/>
  <c r="V874" i="19"/>
  <c r="V473" i="19"/>
  <c r="V773" i="19"/>
  <c r="V489" i="19"/>
  <c r="V505" i="19"/>
  <c r="V521" i="19"/>
  <c r="V537" i="19"/>
  <c r="V553" i="19"/>
  <c r="V569" i="19"/>
  <c r="V585" i="19"/>
  <c r="V468" i="19"/>
  <c r="V768" i="19"/>
  <c r="V484" i="19"/>
  <c r="V500" i="19"/>
  <c r="V516" i="19"/>
  <c r="V532" i="19"/>
  <c r="V548" i="19"/>
  <c r="V564" i="19"/>
  <c r="V469" i="19"/>
  <c r="V769" i="19"/>
  <c r="V485" i="19"/>
  <c r="V501" i="19"/>
  <c r="V517" i="19"/>
  <c r="V533" i="19"/>
  <c r="V549" i="19"/>
  <c r="V565" i="19"/>
  <c r="V581" i="19"/>
  <c r="V855" i="19"/>
  <c r="V906" i="19"/>
  <c r="V464" i="19"/>
  <c r="V474" i="19"/>
  <c r="V480" i="19"/>
  <c r="V496" i="19"/>
  <c r="V512" i="19"/>
  <c r="V528" i="19"/>
  <c r="V544" i="19"/>
  <c r="V560" i="19"/>
  <c r="V775" i="19"/>
  <c r="V475" i="19"/>
  <c r="V481" i="19"/>
  <c r="V497" i="19"/>
  <c r="V513" i="19"/>
  <c r="V529" i="19"/>
  <c r="V545" i="19"/>
  <c r="V561" i="19"/>
  <c r="V577" i="19"/>
  <c r="V460" i="19"/>
  <c r="V470" i="19"/>
  <c r="V476" i="19"/>
  <c r="V471" i="19"/>
  <c r="V771" i="19"/>
  <c r="V759" i="19"/>
  <c r="V802" i="19"/>
  <c r="V879" i="19"/>
  <c r="V895" i="19"/>
  <c r="V911" i="19"/>
  <c r="V927" i="19"/>
  <c r="V790" i="19"/>
  <c r="V822" i="19"/>
  <c r="V827" i="19"/>
  <c r="V846" i="19"/>
  <c r="V851" i="19"/>
  <c r="V870" i="19"/>
  <c r="V875" i="19"/>
  <c r="V891" i="19"/>
  <c r="V907" i="19"/>
  <c r="V923" i="19"/>
  <c r="V639" i="19"/>
  <c r="V782" i="19"/>
  <c r="V818" i="19"/>
  <c r="V823" i="19"/>
  <c r="V842" i="19"/>
  <c r="V847" i="19"/>
  <c r="V866" i="19"/>
  <c r="V871" i="19"/>
  <c r="V881" i="19"/>
  <c r="V897" i="19"/>
  <c r="V913" i="19"/>
  <c r="V929" i="19"/>
  <c r="V1049" i="19"/>
  <c r="V1097" i="19"/>
  <c r="V809" i="19"/>
  <c r="V877" i="19"/>
  <c r="V893" i="19"/>
  <c r="V939" i="19"/>
  <c r="V909" i="19"/>
  <c r="V925" i="19"/>
  <c r="V1033" i="19"/>
  <c r="V1081" i="19"/>
  <c r="V1129" i="19"/>
  <c r="V762" i="19"/>
  <c r="V758" i="19"/>
  <c r="V806" i="19"/>
  <c r="V811" i="19"/>
  <c r="V830" i="19"/>
  <c r="V835" i="19"/>
  <c r="V854" i="19"/>
  <c r="V859" i="19"/>
  <c r="V889" i="19"/>
  <c r="V905" i="19"/>
  <c r="V921" i="19"/>
  <c r="V1030" i="19"/>
  <c r="V1035" i="19"/>
  <c r="V1051" i="19"/>
  <c r="V1067" i="19"/>
  <c r="V1083" i="19"/>
  <c r="V1099" i="19"/>
  <c r="V1109" i="19"/>
  <c r="V1115" i="19"/>
  <c r="V1131" i="19"/>
  <c r="V1147" i="19"/>
  <c r="V1163" i="19"/>
  <c r="V1179" i="19"/>
  <c r="V1195" i="19"/>
  <c r="V1211" i="19"/>
  <c r="V1227" i="19"/>
  <c r="V1243" i="19"/>
  <c r="V1259" i="19"/>
  <c r="V1275" i="19"/>
  <c r="V1291" i="19"/>
  <c r="V1325" i="19"/>
  <c r="V1341" i="19"/>
  <c r="V1347" i="19"/>
  <c r="V1371" i="19"/>
  <c r="V1386" i="19"/>
  <c r="V1401" i="19"/>
  <c r="V1407" i="19"/>
  <c r="V1212" i="19"/>
  <c r="V1228" i="19"/>
  <c r="V1244" i="19"/>
  <c r="V1260" i="19"/>
  <c r="V1276" i="19"/>
  <c r="V1292" i="19"/>
  <c r="V1326" i="19"/>
  <c r="V1342" i="19"/>
  <c r="V1357" i="19"/>
  <c r="V1372" i="19"/>
  <c r="V1396" i="19"/>
  <c r="V1402" i="19"/>
  <c r="V1408" i="19"/>
  <c r="V1047" i="19"/>
  <c r="V1063" i="19"/>
  <c r="V1079" i="19"/>
  <c r="V1095" i="19"/>
  <c r="V1111" i="19"/>
  <c r="V1127" i="19"/>
  <c r="V1143" i="19"/>
  <c r="V1159" i="19"/>
  <c r="V1175" i="19"/>
  <c r="V1191" i="19"/>
  <c r="V1207" i="19"/>
  <c r="V1223" i="19"/>
  <c r="V1009" i="19"/>
  <c r="V1288" i="19"/>
  <c r="V1322" i="19"/>
  <c r="V1338" i="19"/>
  <c r="V1404" i="19"/>
  <c r="V1038" i="19"/>
  <c r="V1054" i="19"/>
  <c r="V1070" i="19"/>
  <c r="V1086" i="19"/>
  <c r="V1102" i="19"/>
  <c r="V1118" i="19"/>
  <c r="V1134" i="19"/>
  <c r="V1150" i="19"/>
  <c r="V1166" i="19"/>
  <c r="V1182" i="19"/>
  <c r="V1198" i="19"/>
  <c r="V1239" i="19"/>
  <c r="V1214" i="19"/>
  <c r="V1230" i="19"/>
  <c r="V1246" i="19"/>
  <c r="V1262" i="19"/>
  <c r="V1278" i="19"/>
  <c r="V1294" i="19"/>
  <c r="V1328" i="19"/>
  <c r="V1055" i="19"/>
  <c r="V1071" i="19"/>
  <c r="V1087" i="19"/>
  <c r="V1103" i="19"/>
  <c r="V1119" i="19"/>
  <c r="V1135" i="19"/>
  <c r="V1151" i="19"/>
  <c r="V1167" i="19"/>
  <c r="V1183" i="19"/>
  <c r="V1199" i="19"/>
  <c r="V1209" i="19"/>
  <c r="V1215" i="19"/>
  <c r="V1231" i="19"/>
  <c r="V1247" i="19"/>
  <c r="V1263" i="19"/>
  <c r="V1279" i="19"/>
  <c r="V1295" i="19"/>
  <c r="V1329" i="19"/>
  <c r="V1040" i="19"/>
  <c r="V1056" i="19"/>
  <c r="V1072" i="19"/>
  <c r="V1088" i="19"/>
  <c r="V1104" i="19"/>
  <c r="V1120" i="19"/>
  <c r="V1136" i="19"/>
  <c r="V1152" i="19"/>
  <c r="V1168" i="19"/>
  <c r="V1184" i="19"/>
  <c r="V1200" i="19"/>
  <c r="V1216" i="19"/>
  <c r="V1232" i="19"/>
  <c r="V1248" i="19"/>
  <c r="V1264" i="19"/>
  <c r="V1280" i="19"/>
  <c r="V1305" i="19"/>
  <c r="V1330" i="19"/>
  <c r="V81" i="18"/>
  <c r="U1442" i="18" l="1"/>
  <c r="T1442" i="18"/>
  <c r="U1441" i="18"/>
  <c r="T1441" i="18"/>
  <c r="U1440" i="18"/>
  <c r="T1440" i="18"/>
  <c r="U1439" i="18"/>
  <c r="T1439" i="18"/>
  <c r="U1438" i="18"/>
  <c r="T1438" i="18"/>
  <c r="U1437" i="18"/>
  <c r="T1437" i="18"/>
  <c r="U1436" i="18"/>
  <c r="T1436" i="18"/>
  <c r="U1435" i="18"/>
  <c r="T1435" i="18"/>
  <c r="U1434" i="18"/>
  <c r="T1434" i="18"/>
  <c r="U1433" i="18"/>
  <c r="T1433" i="18"/>
  <c r="U1432" i="18"/>
  <c r="T1432" i="18"/>
  <c r="U1431" i="18"/>
  <c r="T1431" i="18"/>
  <c r="U1430" i="18"/>
  <c r="T1430" i="18"/>
  <c r="U1429" i="18"/>
  <c r="T1429" i="18"/>
  <c r="U1428" i="18"/>
  <c r="T1428" i="18"/>
  <c r="U1427" i="18"/>
  <c r="T1427" i="18"/>
  <c r="U1426" i="18"/>
  <c r="T1426" i="18"/>
  <c r="U1416" i="18"/>
  <c r="T1416" i="18"/>
  <c r="U1415" i="18"/>
  <c r="T1415" i="18"/>
  <c r="U1414" i="18"/>
  <c r="T1414" i="18"/>
  <c r="U1413" i="18"/>
  <c r="T1413" i="18"/>
  <c r="U1403" i="18"/>
  <c r="T1403" i="18"/>
  <c r="U1402" i="18"/>
  <c r="T1402" i="18"/>
  <c r="U1401" i="18"/>
  <c r="T1401" i="18"/>
  <c r="U1400" i="18"/>
  <c r="T1400" i="18"/>
  <c r="U1390" i="18"/>
  <c r="T1390" i="18"/>
  <c r="U1389" i="18"/>
  <c r="T1389" i="18"/>
  <c r="U1388" i="18"/>
  <c r="T1388" i="18"/>
  <c r="U1387" i="18"/>
  <c r="T1387" i="18"/>
  <c r="U1377" i="18"/>
  <c r="T1377" i="18"/>
  <c r="U1376" i="18"/>
  <c r="T1376" i="18"/>
  <c r="U1375" i="18"/>
  <c r="T1375" i="18"/>
  <c r="U1374" i="18"/>
  <c r="T1374" i="18"/>
  <c r="U1373" i="18"/>
  <c r="T1373" i="18"/>
  <c r="U1372" i="18"/>
  <c r="T1372" i="18"/>
  <c r="U1371" i="18"/>
  <c r="T1371" i="18"/>
  <c r="U1370" i="18"/>
  <c r="T1370" i="18"/>
  <c r="U1368" i="18"/>
  <c r="T1368" i="18"/>
  <c r="U1367" i="18"/>
  <c r="T1367" i="18"/>
  <c r="U1366" i="18"/>
  <c r="T1366" i="18"/>
  <c r="U1365" i="18"/>
  <c r="T1365" i="18"/>
  <c r="U1364" i="18"/>
  <c r="T1364" i="18"/>
  <c r="U1363" i="18"/>
  <c r="T1363" i="18"/>
  <c r="U1362" i="18"/>
  <c r="T1362" i="18"/>
  <c r="U1361" i="18"/>
  <c r="T1361" i="18"/>
  <c r="U1360" i="18"/>
  <c r="T1360" i="18"/>
  <c r="U1359" i="18"/>
  <c r="T1359" i="18"/>
  <c r="U1358" i="18"/>
  <c r="T1358" i="18"/>
  <c r="U1357" i="18"/>
  <c r="T1357" i="18"/>
  <c r="U1356" i="18"/>
  <c r="T1356" i="18"/>
  <c r="U1355" i="18"/>
  <c r="T1355" i="18"/>
  <c r="U1354" i="18"/>
  <c r="T1354" i="18"/>
  <c r="U1353" i="18"/>
  <c r="T1353" i="18"/>
  <c r="U1352" i="18"/>
  <c r="T1352" i="18"/>
  <c r="U1351" i="18"/>
  <c r="T1351" i="18"/>
  <c r="U1350" i="18"/>
  <c r="T1350" i="18"/>
  <c r="U1349" i="18"/>
  <c r="T1349" i="18"/>
  <c r="U1348" i="18"/>
  <c r="T1348" i="18"/>
  <c r="U1338" i="18"/>
  <c r="T1338" i="18"/>
  <c r="U1337" i="18"/>
  <c r="T1337" i="18"/>
  <c r="U1336" i="18"/>
  <c r="T1336" i="18"/>
  <c r="U1335" i="18"/>
  <c r="T1335" i="18"/>
  <c r="U1325" i="18"/>
  <c r="T1325" i="18"/>
  <c r="U1324" i="18"/>
  <c r="T1324" i="18"/>
  <c r="U1323" i="18"/>
  <c r="T1323" i="18"/>
  <c r="U1322" i="18"/>
  <c r="T1322" i="18"/>
  <c r="U1321" i="18"/>
  <c r="T1321" i="18"/>
  <c r="U1320" i="18"/>
  <c r="T1320" i="18"/>
  <c r="U1319" i="18"/>
  <c r="T1319" i="18"/>
  <c r="U1318" i="18"/>
  <c r="T1318" i="18"/>
  <c r="U1317" i="18"/>
  <c r="T1317" i="18"/>
  <c r="U1316" i="18"/>
  <c r="T1316" i="18"/>
  <c r="U1315" i="18"/>
  <c r="T1315" i="18"/>
  <c r="U1314" i="18"/>
  <c r="T1314" i="18"/>
  <c r="U1313" i="18"/>
  <c r="T1313" i="18"/>
  <c r="U1312" i="18"/>
  <c r="T1312" i="18"/>
  <c r="U1311" i="18"/>
  <c r="T1311" i="18"/>
  <c r="U1310" i="18"/>
  <c r="T1310" i="18"/>
  <c r="U1309" i="18"/>
  <c r="T1309" i="18"/>
  <c r="U1308" i="18"/>
  <c r="T1308" i="18"/>
  <c r="U1307" i="18"/>
  <c r="T1307" i="18"/>
  <c r="U1306" i="18"/>
  <c r="T1306" i="18"/>
  <c r="U1305" i="18"/>
  <c r="T1305" i="18"/>
  <c r="U1304" i="18"/>
  <c r="T1304" i="18"/>
  <c r="U1303" i="18"/>
  <c r="T1303" i="18"/>
  <c r="U1302" i="18"/>
  <c r="T1302" i="18"/>
  <c r="U1301" i="18"/>
  <c r="T1301" i="18"/>
  <c r="U1300" i="18"/>
  <c r="T1300" i="18"/>
  <c r="U1299" i="18"/>
  <c r="T1299" i="18"/>
  <c r="U1298" i="18"/>
  <c r="T1298" i="18"/>
  <c r="U1297" i="18"/>
  <c r="T1297" i="18"/>
  <c r="U1296" i="18"/>
  <c r="T1296" i="18"/>
  <c r="U1295" i="18"/>
  <c r="T1295" i="18"/>
  <c r="U1294" i="18"/>
  <c r="T1294" i="18"/>
  <c r="U1293" i="18"/>
  <c r="T1293" i="18"/>
  <c r="U1292" i="18"/>
  <c r="T1292" i="18"/>
  <c r="U1291" i="18"/>
  <c r="T1291" i="18"/>
  <c r="U1290" i="18"/>
  <c r="T1290" i="18"/>
  <c r="U1289" i="18"/>
  <c r="T1289" i="18"/>
  <c r="U1288" i="18"/>
  <c r="T1288" i="18"/>
  <c r="U1287" i="18"/>
  <c r="T1287" i="18"/>
  <c r="U1286" i="18"/>
  <c r="T1286" i="18"/>
  <c r="U1285" i="18"/>
  <c r="T1285" i="18"/>
  <c r="U1284" i="18"/>
  <c r="T1284" i="18"/>
  <c r="U1283" i="18"/>
  <c r="T1283" i="18"/>
  <c r="U1282" i="18"/>
  <c r="T1282" i="18"/>
  <c r="U1281" i="18"/>
  <c r="T1281" i="18"/>
  <c r="U1280" i="18"/>
  <c r="T1280" i="18"/>
  <c r="U1279" i="18"/>
  <c r="T1279" i="18"/>
  <c r="U1278" i="18"/>
  <c r="T1278" i="18"/>
  <c r="U1277" i="18"/>
  <c r="T1277" i="18"/>
  <c r="U1276" i="18"/>
  <c r="T1276" i="18"/>
  <c r="U1275" i="18"/>
  <c r="T1275" i="18"/>
  <c r="U1274" i="18"/>
  <c r="T1274" i="18"/>
  <c r="U1273" i="18"/>
  <c r="T1273" i="18"/>
  <c r="U1272" i="18"/>
  <c r="T1272" i="18"/>
  <c r="U1271" i="18"/>
  <c r="T1271" i="18"/>
  <c r="U1270" i="18"/>
  <c r="T1270" i="18"/>
  <c r="U1268" i="18"/>
  <c r="T1268" i="18"/>
  <c r="U1267" i="18"/>
  <c r="T1267" i="18"/>
  <c r="U1266" i="18"/>
  <c r="T1266" i="18"/>
  <c r="U1265" i="18"/>
  <c r="T1265" i="18"/>
  <c r="U1264" i="18"/>
  <c r="T1264" i="18"/>
  <c r="U1263" i="18"/>
  <c r="T1263" i="18"/>
  <c r="U1262" i="18"/>
  <c r="T1262" i="18"/>
  <c r="U1261" i="18"/>
  <c r="T1261" i="18"/>
  <c r="U1260" i="18"/>
  <c r="T1260" i="18"/>
  <c r="U1259" i="18"/>
  <c r="T1259" i="18"/>
  <c r="U1258" i="18"/>
  <c r="T1258" i="18"/>
  <c r="U1257" i="18"/>
  <c r="T1257" i="18"/>
  <c r="U1256" i="18"/>
  <c r="T1256" i="18"/>
  <c r="U1255" i="18"/>
  <c r="T1255" i="18"/>
  <c r="U1254" i="18"/>
  <c r="T1254" i="18"/>
  <c r="U1253" i="18"/>
  <c r="T1253" i="18"/>
  <c r="U1252" i="18"/>
  <c r="T1252" i="18"/>
  <c r="U1251" i="18"/>
  <c r="T1251" i="18"/>
  <c r="U1250" i="18"/>
  <c r="T1250" i="18"/>
  <c r="U1249" i="18"/>
  <c r="T1249" i="18"/>
  <c r="U1248" i="18"/>
  <c r="T1248" i="18"/>
  <c r="U1247" i="18"/>
  <c r="T1247" i="18"/>
  <c r="U1246" i="18"/>
  <c r="T1246" i="18"/>
  <c r="U1245" i="18"/>
  <c r="T1245" i="18"/>
  <c r="U1244" i="18"/>
  <c r="T1244" i="18"/>
  <c r="U1243" i="18"/>
  <c r="T1243" i="18"/>
  <c r="U1242" i="18"/>
  <c r="T1242" i="18"/>
  <c r="U1241" i="18"/>
  <c r="T1241" i="18"/>
  <c r="U1240" i="18"/>
  <c r="T1240" i="18"/>
  <c r="U1239" i="18"/>
  <c r="T1239" i="18"/>
  <c r="U1238" i="18"/>
  <c r="T1238" i="18"/>
  <c r="U1237" i="18"/>
  <c r="T1237" i="18"/>
  <c r="U1236" i="18"/>
  <c r="T1236" i="18"/>
  <c r="U1235" i="18"/>
  <c r="T1235" i="18"/>
  <c r="U1234" i="18"/>
  <c r="T1234" i="18"/>
  <c r="U1233" i="18"/>
  <c r="T1233" i="18"/>
  <c r="U1232" i="18"/>
  <c r="T1232" i="18"/>
  <c r="U1231" i="18"/>
  <c r="T1231" i="18"/>
  <c r="U1230" i="18"/>
  <c r="T1230" i="18"/>
  <c r="U1229" i="18"/>
  <c r="T1229" i="18"/>
  <c r="U1228" i="18"/>
  <c r="T1228" i="18"/>
  <c r="U1227" i="18"/>
  <c r="T1227" i="18"/>
  <c r="U1226" i="18"/>
  <c r="T1226" i="18"/>
  <c r="U1225" i="18"/>
  <c r="T1225" i="18"/>
  <c r="U1224" i="18"/>
  <c r="T1224" i="18"/>
  <c r="U1223" i="18"/>
  <c r="T1223" i="18"/>
  <c r="U1222" i="18"/>
  <c r="T1222" i="18"/>
  <c r="U1221" i="18"/>
  <c r="T1221" i="18"/>
  <c r="U1220" i="18"/>
  <c r="T1220" i="18"/>
  <c r="U1219" i="18"/>
  <c r="T1219" i="18"/>
  <c r="U1218" i="18"/>
  <c r="T1218" i="18"/>
  <c r="U1217" i="18"/>
  <c r="T1217" i="18"/>
  <c r="U1216" i="18"/>
  <c r="T1216" i="18"/>
  <c r="U1215" i="18"/>
  <c r="T1215" i="18"/>
  <c r="U1214" i="18"/>
  <c r="T1214" i="18"/>
  <c r="U1213" i="18"/>
  <c r="T1213" i="18"/>
  <c r="U1212" i="18"/>
  <c r="T1212" i="18"/>
  <c r="U1211" i="18"/>
  <c r="T1211" i="18"/>
  <c r="U1210" i="18"/>
  <c r="T1210" i="18"/>
  <c r="U1209" i="18"/>
  <c r="T1209" i="18"/>
  <c r="U1208" i="18"/>
  <c r="T1208" i="18"/>
  <c r="U1207" i="18"/>
  <c r="T1207" i="18"/>
  <c r="U1206" i="18"/>
  <c r="T1206" i="18"/>
  <c r="U1205" i="18"/>
  <c r="T1205" i="18"/>
  <c r="U1204" i="18"/>
  <c r="T1204" i="18"/>
  <c r="U1203" i="18"/>
  <c r="T1203" i="18"/>
  <c r="U1202" i="18"/>
  <c r="T1202" i="18"/>
  <c r="U1201" i="18"/>
  <c r="T1201" i="18"/>
  <c r="U1200" i="18"/>
  <c r="T1200" i="18"/>
  <c r="U1199" i="18"/>
  <c r="T1199" i="18"/>
  <c r="U1198" i="18"/>
  <c r="T1198" i="18"/>
  <c r="U1197" i="18"/>
  <c r="T1197" i="18"/>
  <c r="U1196" i="18"/>
  <c r="T1196" i="18"/>
  <c r="U1195" i="18"/>
  <c r="T1195" i="18"/>
  <c r="U1194" i="18"/>
  <c r="T1194" i="18"/>
  <c r="U1193" i="18"/>
  <c r="T1193" i="18"/>
  <c r="U1192" i="18"/>
  <c r="T1192" i="18"/>
  <c r="U1191" i="18"/>
  <c r="T1191" i="18"/>
  <c r="U1190" i="18"/>
  <c r="T1190" i="18"/>
  <c r="U1189" i="18"/>
  <c r="T1189" i="18"/>
  <c r="U1188" i="18"/>
  <c r="T1188" i="18"/>
  <c r="U1187" i="18"/>
  <c r="T1187" i="18"/>
  <c r="U1186" i="18"/>
  <c r="T1186" i="18"/>
  <c r="U1185" i="18"/>
  <c r="T1185" i="18"/>
  <c r="U1184" i="18"/>
  <c r="T1184" i="18"/>
  <c r="U1183" i="18"/>
  <c r="T1183" i="18"/>
  <c r="U1182" i="18"/>
  <c r="T1182" i="18"/>
  <c r="U1181" i="18"/>
  <c r="T1181" i="18"/>
  <c r="U1180" i="18"/>
  <c r="T1180" i="18"/>
  <c r="U1179" i="18"/>
  <c r="T1179" i="18"/>
  <c r="U1178" i="18"/>
  <c r="T1178" i="18"/>
  <c r="U1177" i="18"/>
  <c r="T1177" i="18"/>
  <c r="U1176" i="18"/>
  <c r="T1176" i="18"/>
  <c r="U1175" i="18"/>
  <c r="T1175" i="18"/>
  <c r="U1174" i="18"/>
  <c r="T1174" i="18"/>
  <c r="U1173" i="18"/>
  <c r="T1173" i="18"/>
  <c r="U1172" i="18"/>
  <c r="T1172" i="18"/>
  <c r="U1171" i="18"/>
  <c r="T1171" i="18"/>
  <c r="U1170" i="18"/>
  <c r="T1170" i="18"/>
  <c r="U1168" i="18"/>
  <c r="T1168" i="18"/>
  <c r="U1167" i="18"/>
  <c r="T1167" i="18"/>
  <c r="U1166" i="18"/>
  <c r="T1166" i="18"/>
  <c r="U1165" i="18"/>
  <c r="T1165" i="18"/>
  <c r="U1164" i="18"/>
  <c r="T1164" i="18"/>
  <c r="U1163" i="18"/>
  <c r="T1163" i="18"/>
  <c r="U1162" i="18"/>
  <c r="T1162" i="18"/>
  <c r="U1161" i="18"/>
  <c r="T1161" i="18"/>
  <c r="U1160" i="18"/>
  <c r="T1160" i="18"/>
  <c r="U1159" i="18"/>
  <c r="T1159" i="18"/>
  <c r="U1158" i="18"/>
  <c r="T1158" i="18"/>
  <c r="U1157" i="18"/>
  <c r="T1157" i="18"/>
  <c r="U1156" i="18"/>
  <c r="T1156" i="18"/>
  <c r="U1155" i="18"/>
  <c r="T1155" i="18"/>
  <c r="U1154" i="18"/>
  <c r="T1154" i="18"/>
  <c r="U1153" i="18"/>
  <c r="T1153" i="18"/>
  <c r="U1152" i="18"/>
  <c r="T1152" i="18"/>
  <c r="U1151" i="18"/>
  <c r="T1151" i="18"/>
  <c r="U1150" i="18"/>
  <c r="T1150" i="18"/>
  <c r="U1149" i="18"/>
  <c r="T1149" i="18"/>
  <c r="U1148" i="18"/>
  <c r="T1148" i="18"/>
  <c r="U1147" i="18"/>
  <c r="T1147" i="18"/>
  <c r="U1146" i="18"/>
  <c r="T1146" i="18"/>
  <c r="U1145" i="18"/>
  <c r="T1145" i="18"/>
  <c r="U1144" i="18"/>
  <c r="T1144" i="18"/>
  <c r="U1143" i="18"/>
  <c r="T1143" i="18"/>
  <c r="U1142" i="18"/>
  <c r="T1142" i="18"/>
  <c r="U1141" i="18"/>
  <c r="T1141" i="18"/>
  <c r="U1140" i="18"/>
  <c r="T1140" i="18"/>
  <c r="U1139" i="18"/>
  <c r="T1139" i="18"/>
  <c r="U1138" i="18"/>
  <c r="T1138" i="18"/>
  <c r="U1137" i="18"/>
  <c r="T1137" i="18"/>
  <c r="U1136" i="18"/>
  <c r="T1136" i="18"/>
  <c r="U1135" i="18"/>
  <c r="T1135" i="18"/>
  <c r="U1134" i="18"/>
  <c r="T1134" i="18"/>
  <c r="U1133" i="18"/>
  <c r="T1133" i="18"/>
  <c r="U1132" i="18"/>
  <c r="T1132" i="18"/>
  <c r="U1131" i="18"/>
  <c r="T1131" i="18"/>
  <c r="U1130" i="18"/>
  <c r="T1130" i="18"/>
  <c r="U1129" i="18"/>
  <c r="T1129" i="18"/>
  <c r="U1128" i="18"/>
  <c r="T1128" i="18"/>
  <c r="U1127" i="18"/>
  <c r="T1127" i="18"/>
  <c r="U1126" i="18"/>
  <c r="T1126" i="18"/>
  <c r="U1125" i="18"/>
  <c r="T1125" i="18"/>
  <c r="U1124" i="18"/>
  <c r="T1124" i="18"/>
  <c r="U1123" i="18"/>
  <c r="T1123" i="18"/>
  <c r="U1122" i="18"/>
  <c r="T1122" i="18"/>
  <c r="U1121" i="18"/>
  <c r="T1121" i="18"/>
  <c r="U1120" i="18"/>
  <c r="T1120" i="18"/>
  <c r="U1119" i="18"/>
  <c r="T1119" i="18"/>
  <c r="U1118" i="18"/>
  <c r="T1118" i="18"/>
  <c r="U1117" i="18"/>
  <c r="T1117" i="18"/>
  <c r="U1116" i="18"/>
  <c r="T1116" i="18"/>
  <c r="U1115" i="18"/>
  <c r="T1115" i="18"/>
  <c r="U1114" i="18"/>
  <c r="T1114" i="18"/>
  <c r="U1113" i="18"/>
  <c r="T1113" i="18"/>
  <c r="U1112" i="18"/>
  <c r="T1112" i="18"/>
  <c r="U1111" i="18"/>
  <c r="T1111" i="18"/>
  <c r="U1110" i="18"/>
  <c r="T1110" i="18"/>
  <c r="U1109" i="18"/>
  <c r="T1109" i="18"/>
  <c r="U1108" i="18"/>
  <c r="T1108" i="18"/>
  <c r="U1107" i="18"/>
  <c r="T1107" i="18"/>
  <c r="U1106" i="18"/>
  <c r="T1106" i="18"/>
  <c r="U1105" i="18"/>
  <c r="T1105" i="18"/>
  <c r="U1104" i="18"/>
  <c r="T1104" i="18"/>
  <c r="U1103" i="18"/>
  <c r="T1103" i="18"/>
  <c r="U1102" i="18"/>
  <c r="T1102" i="18"/>
  <c r="U1101" i="18"/>
  <c r="T1101" i="18"/>
  <c r="U1100" i="18"/>
  <c r="T1100" i="18"/>
  <c r="U1099" i="18"/>
  <c r="T1099" i="18"/>
  <c r="U1098" i="18"/>
  <c r="T1098" i="18"/>
  <c r="U1097" i="18"/>
  <c r="T1097" i="18"/>
  <c r="U1096" i="18"/>
  <c r="T1096" i="18"/>
  <c r="U1095" i="18"/>
  <c r="T1095" i="18"/>
  <c r="U1094" i="18"/>
  <c r="T1094" i="18"/>
  <c r="U1093" i="18"/>
  <c r="T1093" i="18"/>
  <c r="U1092" i="18"/>
  <c r="T1092" i="18"/>
  <c r="U1091" i="18"/>
  <c r="T1091" i="18"/>
  <c r="U1090" i="18"/>
  <c r="T1090" i="18"/>
  <c r="U1089" i="18"/>
  <c r="T1089" i="18"/>
  <c r="U1088" i="18"/>
  <c r="T1088" i="18"/>
  <c r="U1087" i="18"/>
  <c r="T1087" i="18"/>
  <c r="U1086" i="18"/>
  <c r="T1086" i="18"/>
  <c r="U1085" i="18"/>
  <c r="T1085" i="18"/>
  <c r="U1084" i="18"/>
  <c r="T1084" i="18"/>
  <c r="U1083" i="18"/>
  <c r="T1083" i="18"/>
  <c r="U1082" i="18"/>
  <c r="T1082" i="18"/>
  <c r="U1081" i="18"/>
  <c r="T1081" i="18"/>
  <c r="U1080" i="18"/>
  <c r="T1080" i="18"/>
  <c r="U1079" i="18"/>
  <c r="T1079" i="18"/>
  <c r="U1078" i="18"/>
  <c r="T1078" i="18"/>
  <c r="U1077" i="18"/>
  <c r="T1077" i="18"/>
  <c r="U1076" i="18"/>
  <c r="T1076" i="18"/>
  <c r="U1075" i="18"/>
  <c r="T1075" i="18"/>
  <c r="U1074" i="18"/>
  <c r="T1074" i="18"/>
  <c r="U1073" i="18"/>
  <c r="T1073" i="18"/>
  <c r="U1072" i="18"/>
  <c r="T1072" i="18"/>
  <c r="U1071" i="18"/>
  <c r="T1071" i="18"/>
  <c r="U1070" i="18"/>
  <c r="T1070" i="18"/>
  <c r="U1068" i="18"/>
  <c r="T1068" i="18"/>
  <c r="U1067" i="18"/>
  <c r="T1067" i="18"/>
  <c r="U1066" i="18"/>
  <c r="T1066" i="18"/>
  <c r="U1065" i="18"/>
  <c r="T1065" i="18"/>
  <c r="U1064" i="18"/>
  <c r="T1064" i="18"/>
  <c r="U1063" i="18"/>
  <c r="T1063" i="18"/>
  <c r="U1062" i="18"/>
  <c r="T1062" i="18"/>
  <c r="U1061" i="18"/>
  <c r="T1061" i="18"/>
  <c r="U1060" i="18"/>
  <c r="T1060" i="18"/>
  <c r="U1059" i="18"/>
  <c r="T1059" i="18"/>
  <c r="U1058" i="18"/>
  <c r="T1058" i="18"/>
  <c r="U1057" i="18"/>
  <c r="T1057" i="18"/>
  <c r="U1056" i="18"/>
  <c r="T1056" i="18"/>
  <c r="U1055" i="18"/>
  <c r="T1055" i="18"/>
  <c r="U1054" i="18"/>
  <c r="T1054" i="18"/>
  <c r="U1053" i="18"/>
  <c r="T1053" i="18"/>
  <c r="U1052" i="18"/>
  <c r="T1052" i="18"/>
  <c r="U1051" i="18"/>
  <c r="T1051" i="18"/>
  <c r="U1050" i="18"/>
  <c r="T1050" i="18"/>
  <c r="U1049" i="18"/>
  <c r="T1049" i="18"/>
  <c r="U1048" i="18"/>
  <c r="T1048" i="18"/>
  <c r="U1047" i="18"/>
  <c r="T1047" i="18"/>
  <c r="U1046" i="18"/>
  <c r="T1046" i="18"/>
  <c r="U1045" i="18"/>
  <c r="T1045" i="18"/>
  <c r="U1044" i="18"/>
  <c r="T1044" i="18"/>
  <c r="U1043" i="18"/>
  <c r="T1043" i="18"/>
  <c r="U1042" i="18"/>
  <c r="T1042" i="18"/>
  <c r="U1041" i="18"/>
  <c r="T1041" i="18"/>
  <c r="U1040" i="18"/>
  <c r="T1040" i="18"/>
  <c r="U1039" i="18"/>
  <c r="T1039" i="18"/>
  <c r="U1038" i="18"/>
  <c r="T1038" i="18"/>
  <c r="U1037" i="18"/>
  <c r="T1037" i="18"/>
  <c r="U1036" i="18"/>
  <c r="T1036" i="18"/>
  <c r="U1035" i="18"/>
  <c r="T1035" i="18"/>
  <c r="U1034" i="18"/>
  <c r="T1034" i="18"/>
  <c r="U1033" i="18"/>
  <c r="T1033" i="18"/>
  <c r="U1032" i="18"/>
  <c r="T1032" i="18"/>
  <c r="U1031" i="18"/>
  <c r="T1031" i="18"/>
  <c r="U1030" i="18"/>
  <c r="T1030" i="18"/>
  <c r="U1029" i="18"/>
  <c r="T1029" i="18"/>
  <c r="U1028" i="18"/>
  <c r="T1028" i="18"/>
  <c r="U1027" i="18"/>
  <c r="T1027" i="18"/>
  <c r="U1026" i="18"/>
  <c r="T1026" i="18"/>
  <c r="U1025" i="18"/>
  <c r="T1025" i="18"/>
  <c r="U1024" i="18"/>
  <c r="T1024" i="18"/>
  <c r="U1023" i="18"/>
  <c r="T1023" i="18"/>
  <c r="U1022" i="18"/>
  <c r="T1022" i="18"/>
  <c r="U1021" i="18"/>
  <c r="T1021" i="18"/>
  <c r="U1020" i="18"/>
  <c r="T1020" i="18"/>
  <c r="U1019" i="18"/>
  <c r="T1019" i="18"/>
  <c r="U1018" i="18"/>
  <c r="T1018" i="18"/>
  <c r="U1017" i="18"/>
  <c r="T1017" i="18"/>
  <c r="U1016" i="18"/>
  <c r="T1016" i="18"/>
  <c r="U1015" i="18"/>
  <c r="T1015" i="18"/>
  <c r="U1014" i="18"/>
  <c r="T1014" i="18"/>
  <c r="U1013" i="18"/>
  <c r="T1013" i="18"/>
  <c r="U1012" i="18"/>
  <c r="T1012" i="18"/>
  <c r="U1011" i="18"/>
  <c r="T1011" i="18"/>
  <c r="U1010" i="18"/>
  <c r="T1010" i="18"/>
  <c r="U1009" i="18"/>
  <c r="T1009" i="18"/>
  <c r="U1008" i="18"/>
  <c r="T1008" i="18"/>
  <c r="U1007" i="18"/>
  <c r="T1007" i="18"/>
  <c r="U1006" i="18"/>
  <c r="T1006" i="18"/>
  <c r="U1005" i="18"/>
  <c r="T1005" i="18"/>
  <c r="U1004" i="18"/>
  <c r="T1004" i="18"/>
  <c r="U1003" i="18"/>
  <c r="T1003" i="18"/>
  <c r="U1002" i="18"/>
  <c r="T1002" i="18"/>
  <c r="U1001" i="18"/>
  <c r="T1001" i="18"/>
  <c r="U1000" i="18"/>
  <c r="T1000" i="18"/>
  <c r="U999" i="18"/>
  <c r="T999" i="18"/>
  <c r="U998" i="18"/>
  <c r="T998" i="18"/>
  <c r="U997" i="18"/>
  <c r="T997" i="18"/>
  <c r="U996" i="18"/>
  <c r="T996" i="18"/>
  <c r="U995" i="18"/>
  <c r="T995" i="18"/>
  <c r="U994" i="18"/>
  <c r="T994" i="18"/>
  <c r="U993" i="18"/>
  <c r="T993" i="18"/>
  <c r="U992" i="18"/>
  <c r="T992" i="18"/>
  <c r="U991" i="18"/>
  <c r="T991" i="18"/>
  <c r="U990" i="18"/>
  <c r="T990" i="18"/>
  <c r="U989" i="18"/>
  <c r="T989" i="18"/>
  <c r="U988" i="18"/>
  <c r="T988" i="18"/>
  <c r="U987" i="18"/>
  <c r="T987" i="18"/>
  <c r="U986" i="18"/>
  <c r="T986" i="18"/>
  <c r="U985" i="18"/>
  <c r="T985" i="18"/>
  <c r="U984" i="18"/>
  <c r="T984" i="18"/>
  <c r="U983" i="18"/>
  <c r="T983" i="18"/>
  <c r="U982" i="18"/>
  <c r="T982" i="18"/>
  <c r="U981" i="18"/>
  <c r="T981" i="18"/>
  <c r="U980" i="18"/>
  <c r="T980" i="18"/>
  <c r="U979" i="18"/>
  <c r="T979" i="18"/>
  <c r="U978" i="18"/>
  <c r="T978" i="18"/>
  <c r="U977" i="18"/>
  <c r="T977" i="18"/>
  <c r="U976" i="18"/>
  <c r="T976" i="18"/>
  <c r="U975" i="18"/>
  <c r="T975" i="18"/>
  <c r="U974" i="18"/>
  <c r="T974" i="18"/>
  <c r="U973" i="18"/>
  <c r="T973" i="18"/>
  <c r="U972" i="18"/>
  <c r="T972" i="18"/>
  <c r="U971" i="18"/>
  <c r="T971" i="18"/>
  <c r="U970" i="18"/>
  <c r="T970" i="18"/>
  <c r="U968" i="18"/>
  <c r="T968" i="18"/>
  <c r="U967" i="18"/>
  <c r="T967" i="18"/>
  <c r="U966" i="18"/>
  <c r="T966" i="18"/>
  <c r="U965" i="18"/>
  <c r="T965" i="18"/>
  <c r="U964" i="18"/>
  <c r="T964" i="18"/>
  <c r="U963" i="18"/>
  <c r="T963" i="18"/>
  <c r="U962" i="18"/>
  <c r="T962" i="18"/>
  <c r="U961" i="18"/>
  <c r="T961" i="18"/>
  <c r="U960" i="18"/>
  <c r="T960" i="18"/>
  <c r="U959" i="18"/>
  <c r="T959" i="18"/>
  <c r="U958" i="18"/>
  <c r="T958" i="18"/>
  <c r="U957" i="18"/>
  <c r="T957" i="18"/>
  <c r="U956" i="18"/>
  <c r="T956" i="18"/>
  <c r="U955" i="18"/>
  <c r="T955" i="18"/>
  <c r="U954" i="18"/>
  <c r="T954" i="18"/>
  <c r="U953" i="18"/>
  <c r="T953" i="18"/>
  <c r="U952" i="18"/>
  <c r="T952" i="18"/>
  <c r="U951" i="18"/>
  <c r="T951" i="18"/>
  <c r="U950" i="18"/>
  <c r="T950" i="18"/>
  <c r="U949" i="18"/>
  <c r="T949" i="18"/>
  <c r="U948" i="18"/>
  <c r="T948" i="18"/>
  <c r="U947" i="18"/>
  <c r="T947" i="18"/>
  <c r="U946" i="18"/>
  <c r="T946" i="18"/>
  <c r="U945" i="18"/>
  <c r="T945" i="18"/>
  <c r="U944" i="18"/>
  <c r="T944" i="18"/>
  <c r="U943" i="18"/>
  <c r="T943" i="18"/>
  <c r="U942" i="18"/>
  <c r="T942" i="18"/>
  <c r="U941" i="18"/>
  <c r="T941" i="18"/>
  <c r="U940" i="18"/>
  <c r="T940" i="18"/>
  <c r="U939" i="18"/>
  <c r="T939" i="18"/>
  <c r="U938" i="18"/>
  <c r="T938" i="18"/>
  <c r="U937" i="18"/>
  <c r="T937" i="18"/>
  <c r="U936" i="18"/>
  <c r="T936" i="18"/>
  <c r="U935" i="18"/>
  <c r="T935" i="18"/>
  <c r="U934" i="18"/>
  <c r="T934" i="18"/>
  <c r="U933" i="18"/>
  <c r="T933" i="18"/>
  <c r="U932" i="18"/>
  <c r="T932" i="18"/>
  <c r="U931" i="18"/>
  <c r="T931" i="18"/>
  <c r="U930" i="18"/>
  <c r="T930" i="18"/>
  <c r="U929" i="18"/>
  <c r="T929" i="18"/>
  <c r="U928" i="18"/>
  <c r="T928" i="18"/>
  <c r="U927" i="18"/>
  <c r="T927" i="18"/>
  <c r="U926" i="18"/>
  <c r="T926" i="18"/>
  <c r="U925" i="18"/>
  <c r="T925" i="18"/>
  <c r="U924" i="18"/>
  <c r="T924" i="18"/>
  <c r="U923" i="18"/>
  <c r="T923" i="18"/>
  <c r="U922" i="18"/>
  <c r="T922" i="18"/>
  <c r="U921" i="18"/>
  <c r="T921" i="18"/>
  <c r="U920" i="18"/>
  <c r="T920" i="18"/>
  <c r="U919" i="18"/>
  <c r="T919" i="18"/>
  <c r="U918" i="18"/>
  <c r="T918" i="18"/>
  <c r="U917" i="18"/>
  <c r="T917" i="18"/>
  <c r="U916" i="18"/>
  <c r="T916" i="18"/>
  <c r="U915" i="18"/>
  <c r="T915" i="18"/>
  <c r="U914" i="18"/>
  <c r="T914" i="18"/>
  <c r="U913" i="18"/>
  <c r="T913" i="18"/>
  <c r="U912" i="18"/>
  <c r="T912" i="18"/>
  <c r="U911" i="18"/>
  <c r="T911" i="18"/>
  <c r="U910" i="18"/>
  <c r="T910" i="18"/>
  <c r="U909" i="18"/>
  <c r="T909" i="18"/>
  <c r="U908" i="18"/>
  <c r="T908" i="18"/>
  <c r="U907" i="18"/>
  <c r="T907" i="18"/>
  <c r="U906" i="18"/>
  <c r="T906" i="18"/>
  <c r="U905" i="18"/>
  <c r="T905" i="18"/>
  <c r="U904" i="18"/>
  <c r="T904" i="18"/>
  <c r="U903" i="18"/>
  <c r="T903" i="18"/>
  <c r="U902" i="18"/>
  <c r="T902" i="18"/>
  <c r="U901" i="18"/>
  <c r="T901" i="18"/>
  <c r="U900" i="18"/>
  <c r="T900" i="18"/>
  <c r="U899" i="18"/>
  <c r="T899" i="18"/>
  <c r="U898" i="18"/>
  <c r="T898" i="18"/>
  <c r="U897" i="18"/>
  <c r="T897" i="18"/>
  <c r="U896" i="18"/>
  <c r="T896" i="18"/>
  <c r="U895" i="18"/>
  <c r="T895" i="18"/>
  <c r="U894" i="18"/>
  <c r="T894" i="18"/>
  <c r="U893" i="18"/>
  <c r="T893" i="18"/>
  <c r="U892" i="18"/>
  <c r="T892" i="18"/>
  <c r="U891" i="18"/>
  <c r="T891" i="18"/>
  <c r="U890" i="18"/>
  <c r="T890" i="18"/>
  <c r="U889" i="18"/>
  <c r="T889" i="18"/>
  <c r="U888" i="18"/>
  <c r="T888" i="18"/>
  <c r="U887" i="18"/>
  <c r="T887" i="18"/>
  <c r="U886" i="18"/>
  <c r="T886" i="18"/>
  <c r="U885" i="18"/>
  <c r="T885" i="18"/>
  <c r="U884" i="18"/>
  <c r="T884" i="18"/>
  <c r="U883" i="18"/>
  <c r="T883" i="18"/>
  <c r="U882" i="18"/>
  <c r="T882" i="18"/>
  <c r="U881" i="18"/>
  <c r="T881" i="18"/>
  <c r="U880" i="18"/>
  <c r="T880" i="18"/>
  <c r="U879" i="18"/>
  <c r="T879" i="18"/>
  <c r="U878" i="18"/>
  <c r="T878" i="18"/>
  <c r="U877" i="18"/>
  <c r="T877" i="18"/>
  <c r="U876" i="18"/>
  <c r="T876" i="18"/>
  <c r="U875" i="18"/>
  <c r="T875" i="18"/>
  <c r="U874" i="18"/>
  <c r="T874" i="18"/>
  <c r="U873" i="18"/>
  <c r="T873" i="18"/>
  <c r="U872" i="18"/>
  <c r="T872" i="18"/>
  <c r="U871" i="18"/>
  <c r="T871" i="18"/>
  <c r="U870" i="18"/>
  <c r="T870" i="18"/>
  <c r="U868" i="18"/>
  <c r="T868" i="18"/>
  <c r="U867" i="18"/>
  <c r="T867" i="18"/>
  <c r="U866" i="18"/>
  <c r="T866" i="18"/>
  <c r="U865" i="18"/>
  <c r="T865" i="18"/>
  <c r="U864" i="18"/>
  <c r="T864" i="18"/>
  <c r="U863" i="18"/>
  <c r="T863" i="18"/>
  <c r="U862" i="18"/>
  <c r="T862" i="18"/>
  <c r="U861" i="18"/>
  <c r="T861" i="18"/>
  <c r="U860" i="18"/>
  <c r="T860" i="18"/>
  <c r="U859" i="18"/>
  <c r="T859" i="18"/>
  <c r="U858" i="18"/>
  <c r="T858" i="18"/>
  <c r="U857" i="18"/>
  <c r="T857" i="18"/>
  <c r="U856" i="18"/>
  <c r="T856" i="18"/>
  <c r="U855" i="18"/>
  <c r="T855" i="18"/>
  <c r="U854" i="18"/>
  <c r="T854" i="18"/>
  <c r="U853" i="18"/>
  <c r="T853" i="18"/>
  <c r="U852" i="18"/>
  <c r="T852" i="18"/>
  <c r="U851" i="18"/>
  <c r="T851" i="18"/>
  <c r="U850" i="18"/>
  <c r="T850" i="18"/>
  <c r="U849" i="18"/>
  <c r="T849" i="18"/>
  <c r="U848" i="18"/>
  <c r="T848" i="18"/>
  <c r="U847" i="18"/>
  <c r="T847" i="18"/>
  <c r="U846" i="18"/>
  <c r="T846" i="18"/>
  <c r="U845" i="18"/>
  <c r="T845" i="18"/>
  <c r="U844" i="18"/>
  <c r="T844" i="18"/>
  <c r="U843" i="18"/>
  <c r="T843" i="18"/>
  <c r="U842" i="18"/>
  <c r="T842" i="18"/>
  <c r="U841" i="18"/>
  <c r="T841" i="18"/>
  <c r="U840" i="18"/>
  <c r="T840" i="18"/>
  <c r="U839" i="18"/>
  <c r="T839" i="18"/>
  <c r="U838" i="18"/>
  <c r="T838" i="18"/>
  <c r="U837" i="18"/>
  <c r="T837" i="18"/>
  <c r="U836" i="18"/>
  <c r="T836" i="18"/>
  <c r="U835" i="18"/>
  <c r="T835" i="18"/>
  <c r="U834" i="18"/>
  <c r="T834" i="18"/>
  <c r="U833" i="18"/>
  <c r="T833" i="18"/>
  <c r="U832" i="18"/>
  <c r="T832" i="18"/>
  <c r="U831" i="18"/>
  <c r="T831" i="18"/>
  <c r="U830" i="18"/>
  <c r="T830" i="18"/>
  <c r="U829" i="18"/>
  <c r="T829" i="18"/>
  <c r="U828" i="18"/>
  <c r="T828" i="18"/>
  <c r="U827" i="18"/>
  <c r="T827" i="18"/>
  <c r="U826" i="18"/>
  <c r="T826" i="18"/>
  <c r="U825" i="18"/>
  <c r="T825" i="18"/>
  <c r="U824" i="18"/>
  <c r="T824" i="18"/>
  <c r="U823" i="18"/>
  <c r="T823" i="18"/>
  <c r="U822" i="18"/>
  <c r="T822" i="18"/>
  <c r="U821" i="18"/>
  <c r="T821" i="18"/>
  <c r="U820" i="18"/>
  <c r="T820" i="18"/>
  <c r="U819" i="18"/>
  <c r="T819" i="18"/>
  <c r="U818" i="18"/>
  <c r="T818" i="18"/>
  <c r="U817" i="18"/>
  <c r="T817" i="18"/>
  <c r="U816" i="18"/>
  <c r="T816" i="18"/>
  <c r="U815" i="18"/>
  <c r="T815" i="18"/>
  <c r="U814" i="18"/>
  <c r="T814" i="18"/>
  <c r="U813" i="18"/>
  <c r="T813" i="18"/>
  <c r="U812" i="18"/>
  <c r="T812" i="18"/>
  <c r="U811" i="18"/>
  <c r="T811" i="18"/>
  <c r="U810" i="18"/>
  <c r="T810" i="18"/>
  <c r="U809" i="18"/>
  <c r="T809" i="18"/>
  <c r="U808" i="18"/>
  <c r="T808" i="18"/>
  <c r="U797" i="18"/>
  <c r="T797" i="18"/>
  <c r="U796" i="18"/>
  <c r="T796" i="18"/>
  <c r="U795" i="18"/>
  <c r="T795" i="18"/>
  <c r="U794" i="18"/>
  <c r="T794" i="18"/>
  <c r="U793" i="18"/>
  <c r="T793" i="18"/>
  <c r="U792" i="18"/>
  <c r="T792" i="18"/>
  <c r="U791" i="18"/>
  <c r="T791" i="18"/>
  <c r="U790" i="18"/>
  <c r="T790" i="18"/>
  <c r="U789" i="18"/>
  <c r="T789" i="18"/>
  <c r="U788" i="18"/>
  <c r="T788" i="18"/>
  <c r="U787" i="18"/>
  <c r="T787" i="18"/>
  <c r="U786" i="18"/>
  <c r="T786" i="18"/>
  <c r="U785" i="18"/>
  <c r="T785" i="18"/>
  <c r="U784" i="18"/>
  <c r="T784" i="18"/>
  <c r="U783" i="18"/>
  <c r="T783" i="18"/>
  <c r="U782" i="18"/>
  <c r="T782" i="18"/>
  <c r="U781" i="18"/>
  <c r="T781" i="18"/>
  <c r="U780" i="18"/>
  <c r="T780" i="18"/>
  <c r="U779" i="18"/>
  <c r="T779" i="18"/>
  <c r="U778" i="18"/>
  <c r="T778" i="18"/>
  <c r="U777" i="18"/>
  <c r="T777" i="18"/>
  <c r="U776" i="18"/>
  <c r="T776" i="18"/>
  <c r="U775" i="18"/>
  <c r="T775" i="18"/>
  <c r="U774" i="18"/>
  <c r="T774" i="18"/>
  <c r="U773" i="18"/>
  <c r="T773" i="18"/>
  <c r="U772" i="18"/>
  <c r="T772" i="18"/>
  <c r="U771" i="18"/>
  <c r="T771" i="18"/>
  <c r="U770" i="18"/>
  <c r="T770" i="18"/>
  <c r="U768" i="18"/>
  <c r="T768" i="18"/>
  <c r="U767" i="18"/>
  <c r="T767" i="18"/>
  <c r="U766" i="18"/>
  <c r="T766" i="18"/>
  <c r="U765" i="18"/>
  <c r="T765" i="18"/>
  <c r="U764" i="18"/>
  <c r="T764" i="18"/>
  <c r="U763" i="18"/>
  <c r="T763" i="18"/>
  <c r="U762" i="18"/>
  <c r="T762" i="18"/>
  <c r="U761" i="18"/>
  <c r="T761" i="18"/>
  <c r="U760" i="18"/>
  <c r="T760" i="18"/>
  <c r="U759" i="18"/>
  <c r="T759" i="18"/>
  <c r="U758" i="18"/>
  <c r="T758" i="18"/>
  <c r="U757" i="18"/>
  <c r="T757" i="18"/>
  <c r="U756" i="18"/>
  <c r="T756" i="18"/>
  <c r="U755" i="18"/>
  <c r="T755" i="18"/>
  <c r="U754" i="18"/>
  <c r="T754" i="18"/>
  <c r="U753" i="18"/>
  <c r="T753" i="18"/>
  <c r="U752" i="18"/>
  <c r="T752" i="18"/>
  <c r="U751" i="18"/>
  <c r="T751" i="18"/>
  <c r="U750" i="18"/>
  <c r="T750" i="18"/>
  <c r="U749" i="18"/>
  <c r="T749" i="18"/>
  <c r="U748" i="18"/>
  <c r="T748" i="18"/>
  <c r="U747" i="18"/>
  <c r="T747" i="18"/>
  <c r="U746" i="18"/>
  <c r="T746" i="18"/>
  <c r="U745" i="18"/>
  <c r="T745" i="18"/>
  <c r="U744" i="18"/>
  <c r="T744" i="18"/>
  <c r="U743" i="18"/>
  <c r="T743" i="18"/>
  <c r="U742" i="18"/>
  <c r="T742" i="18"/>
  <c r="U741" i="18"/>
  <c r="T741" i="18"/>
  <c r="U740" i="18"/>
  <c r="T740" i="18"/>
  <c r="U739" i="18"/>
  <c r="T739" i="18"/>
  <c r="U738" i="18"/>
  <c r="T738" i="18"/>
  <c r="U737" i="18"/>
  <c r="T737" i="18"/>
  <c r="U736" i="18"/>
  <c r="T736" i="18"/>
  <c r="U735" i="18"/>
  <c r="T735" i="18"/>
  <c r="U734" i="18"/>
  <c r="T734" i="18"/>
  <c r="U733" i="18"/>
  <c r="T733" i="18"/>
  <c r="U732" i="18"/>
  <c r="T732" i="18"/>
  <c r="U731" i="18"/>
  <c r="T731" i="18"/>
  <c r="U730" i="18"/>
  <c r="T730" i="18"/>
  <c r="U729" i="18"/>
  <c r="T729" i="18"/>
  <c r="U728" i="18"/>
  <c r="T728" i="18"/>
  <c r="U727" i="18"/>
  <c r="T727" i="18"/>
  <c r="U726" i="18"/>
  <c r="T726" i="18"/>
  <c r="U725" i="18"/>
  <c r="T725" i="18"/>
  <c r="U724" i="18"/>
  <c r="T724" i="18"/>
  <c r="U723" i="18"/>
  <c r="T723" i="18"/>
  <c r="U722" i="18"/>
  <c r="T722" i="18"/>
  <c r="U721" i="18"/>
  <c r="T721" i="18"/>
  <c r="U720" i="18"/>
  <c r="T720" i="18"/>
  <c r="U719" i="18"/>
  <c r="T719" i="18"/>
  <c r="U718" i="18"/>
  <c r="T718" i="18"/>
  <c r="U717" i="18"/>
  <c r="T717" i="18"/>
  <c r="U716" i="18"/>
  <c r="T716" i="18"/>
  <c r="U715" i="18"/>
  <c r="T715" i="18"/>
  <c r="U714" i="18"/>
  <c r="T714" i="18"/>
  <c r="U713" i="18"/>
  <c r="T713" i="18"/>
  <c r="U712" i="18"/>
  <c r="T712" i="18"/>
  <c r="U711" i="18"/>
  <c r="T711" i="18"/>
  <c r="U710" i="18"/>
  <c r="T710" i="18"/>
  <c r="U709" i="18"/>
  <c r="T709" i="18"/>
  <c r="U708" i="18"/>
  <c r="T708" i="18"/>
  <c r="U707" i="18"/>
  <c r="T707" i="18"/>
  <c r="U706" i="18"/>
  <c r="T706" i="18"/>
  <c r="U705" i="18"/>
  <c r="T705" i="18"/>
  <c r="U704" i="18"/>
  <c r="T704" i="18"/>
  <c r="U703" i="18"/>
  <c r="T703" i="18"/>
  <c r="U702" i="18"/>
  <c r="T702" i="18"/>
  <c r="U701" i="18"/>
  <c r="T701" i="18"/>
  <c r="U700" i="18"/>
  <c r="T700" i="18"/>
  <c r="U699" i="18"/>
  <c r="T699" i="18"/>
  <c r="U698" i="18"/>
  <c r="T698" i="18"/>
  <c r="U697" i="18"/>
  <c r="T697" i="18"/>
  <c r="U696" i="18"/>
  <c r="T696" i="18"/>
  <c r="U695" i="18"/>
  <c r="T695" i="18"/>
  <c r="U694" i="18"/>
  <c r="T694" i="18"/>
  <c r="U693" i="18"/>
  <c r="T693" i="18"/>
  <c r="U692" i="18"/>
  <c r="T692" i="18"/>
  <c r="U691" i="18"/>
  <c r="T691" i="18"/>
  <c r="U690" i="18"/>
  <c r="T690" i="18"/>
  <c r="U689" i="18"/>
  <c r="T689" i="18"/>
  <c r="U688" i="18"/>
  <c r="T688" i="18"/>
  <c r="U687" i="18"/>
  <c r="T687" i="18"/>
  <c r="U686" i="18"/>
  <c r="T686" i="18"/>
  <c r="U685" i="18"/>
  <c r="T685" i="18"/>
  <c r="U684" i="18"/>
  <c r="T684" i="18"/>
  <c r="U683" i="18"/>
  <c r="T683" i="18"/>
  <c r="U682" i="18"/>
  <c r="T682" i="18"/>
  <c r="U681" i="18"/>
  <c r="T681" i="18"/>
  <c r="U680" i="18"/>
  <c r="T680" i="18"/>
  <c r="U679" i="18"/>
  <c r="T679" i="18"/>
  <c r="U678" i="18"/>
  <c r="T678" i="18"/>
  <c r="U677" i="18"/>
  <c r="T677" i="18"/>
  <c r="U676" i="18"/>
  <c r="T676" i="18"/>
  <c r="U675" i="18"/>
  <c r="T675" i="18"/>
  <c r="U674" i="18"/>
  <c r="T674" i="18"/>
  <c r="U673" i="18"/>
  <c r="T673" i="18"/>
  <c r="U672" i="18"/>
  <c r="T672" i="18"/>
  <c r="U671" i="18"/>
  <c r="T671" i="18"/>
  <c r="U670" i="18"/>
  <c r="T670" i="18"/>
  <c r="U668" i="18"/>
  <c r="T668" i="18"/>
  <c r="U667" i="18"/>
  <c r="T667" i="18"/>
  <c r="U666" i="18"/>
  <c r="T666" i="18"/>
  <c r="U665" i="18"/>
  <c r="T665" i="18"/>
  <c r="U664" i="18"/>
  <c r="T664" i="18"/>
  <c r="U663" i="18"/>
  <c r="T663" i="18"/>
  <c r="U662" i="18"/>
  <c r="T662" i="18"/>
  <c r="U661" i="18"/>
  <c r="T661" i="18"/>
  <c r="U660" i="18"/>
  <c r="T660" i="18"/>
  <c r="U659" i="18"/>
  <c r="T659" i="18"/>
  <c r="U658" i="18"/>
  <c r="T658" i="18"/>
  <c r="U657" i="18"/>
  <c r="T657" i="18"/>
  <c r="U656" i="18"/>
  <c r="T656" i="18"/>
  <c r="U655" i="18"/>
  <c r="T655" i="18"/>
  <c r="U654" i="18"/>
  <c r="T654" i="18"/>
  <c r="U653" i="18"/>
  <c r="T653" i="18"/>
  <c r="U652" i="18"/>
  <c r="T652" i="18"/>
  <c r="U651" i="18"/>
  <c r="T651" i="18"/>
  <c r="U650" i="18"/>
  <c r="T650" i="18"/>
  <c r="U649" i="18"/>
  <c r="T649" i="18"/>
  <c r="U648" i="18"/>
  <c r="T648" i="18"/>
  <c r="U647" i="18"/>
  <c r="T647" i="18"/>
  <c r="U646" i="18"/>
  <c r="T646" i="18"/>
  <c r="U645" i="18"/>
  <c r="T645" i="18"/>
  <c r="U644" i="18"/>
  <c r="T644" i="18"/>
  <c r="U643" i="18"/>
  <c r="T643" i="18"/>
  <c r="U642" i="18"/>
  <c r="T642" i="18"/>
  <c r="U641" i="18"/>
  <c r="T641" i="18"/>
  <c r="U640" i="18"/>
  <c r="T640" i="18"/>
  <c r="U639" i="18"/>
  <c r="T639" i="18"/>
  <c r="U638" i="18"/>
  <c r="T638" i="18"/>
  <c r="U637" i="18"/>
  <c r="T637" i="18"/>
  <c r="U636" i="18"/>
  <c r="T636" i="18"/>
  <c r="U635" i="18"/>
  <c r="T635" i="18"/>
  <c r="U634" i="18"/>
  <c r="T634" i="18"/>
  <c r="U633" i="18"/>
  <c r="T633" i="18"/>
  <c r="U632" i="18"/>
  <c r="T632" i="18"/>
  <c r="U631" i="18"/>
  <c r="T631" i="18"/>
  <c r="U630" i="18"/>
  <c r="T630" i="18"/>
  <c r="U629" i="18"/>
  <c r="T629" i="18"/>
  <c r="U628" i="18"/>
  <c r="T628" i="18"/>
  <c r="U627" i="18"/>
  <c r="T627" i="18"/>
  <c r="U626" i="18"/>
  <c r="T626" i="18"/>
  <c r="U625" i="18"/>
  <c r="T625" i="18"/>
  <c r="U624" i="18"/>
  <c r="T624" i="18"/>
  <c r="U623" i="18"/>
  <c r="T623" i="18"/>
  <c r="U622" i="18"/>
  <c r="T622" i="18"/>
  <c r="U621" i="18"/>
  <c r="T621" i="18"/>
  <c r="U620" i="18"/>
  <c r="T620" i="18"/>
  <c r="U619" i="18"/>
  <c r="T619" i="18"/>
  <c r="U618" i="18"/>
  <c r="T618" i="18"/>
  <c r="U617" i="18"/>
  <c r="T617" i="18"/>
  <c r="U616" i="18"/>
  <c r="T616" i="18"/>
  <c r="U615" i="18"/>
  <c r="T615" i="18"/>
  <c r="U614" i="18"/>
  <c r="T614" i="18"/>
  <c r="U613" i="18"/>
  <c r="T613" i="18"/>
  <c r="U612" i="18"/>
  <c r="T612" i="18"/>
  <c r="U611" i="18"/>
  <c r="T611" i="18"/>
  <c r="U610" i="18"/>
  <c r="T610" i="18"/>
  <c r="U609" i="18"/>
  <c r="T609" i="18"/>
  <c r="U608" i="18"/>
  <c r="T608" i="18"/>
  <c r="U607" i="18"/>
  <c r="T607" i="18"/>
  <c r="U606" i="18"/>
  <c r="T606" i="18"/>
  <c r="U605" i="18"/>
  <c r="T605" i="18"/>
  <c r="U604" i="18"/>
  <c r="T604" i="18"/>
  <c r="U603" i="18"/>
  <c r="T603" i="18"/>
  <c r="U602" i="18"/>
  <c r="T602" i="18"/>
  <c r="U601" i="18"/>
  <c r="T601" i="18"/>
  <c r="U600" i="18"/>
  <c r="T600" i="18"/>
  <c r="U599" i="18"/>
  <c r="T599" i="18"/>
  <c r="U598" i="18"/>
  <c r="T598" i="18"/>
  <c r="U597" i="18"/>
  <c r="T597" i="18"/>
  <c r="U596" i="18"/>
  <c r="T596" i="18"/>
  <c r="U595" i="18"/>
  <c r="T595" i="18"/>
  <c r="U594" i="18"/>
  <c r="T594" i="18"/>
  <c r="U593" i="18"/>
  <c r="T593" i="18"/>
  <c r="U592" i="18"/>
  <c r="T592" i="18"/>
  <c r="U591" i="18"/>
  <c r="T591" i="18"/>
  <c r="U590" i="18"/>
  <c r="T590" i="18"/>
  <c r="U589" i="18"/>
  <c r="T589" i="18"/>
  <c r="U588" i="18"/>
  <c r="T588" i="18"/>
  <c r="U587" i="18"/>
  <c r="T587" i="18"/>
  <c r="U586" i="18"/>
  <c r="T586" i="18"/>
  <c r="U585" i="18"/>
  <c r="T585" i="18"/>
  <c r="U584" i="18"/>
  <c r="T584" i="18"/>
  <c r="U583" i="18"/>
  <c r="T583" i="18"/>
  <c r="U582" i="18"/>
  <c r="T582" i="18"/>
  <c r="U581" i="18"/>
  <c r="T581" i="18"/>
  <c r="U580" i="18"/>
  <c r="T580" i="18"/>
  <c r="U579" i="18"/>
  <c r="T579" i="18"/>
  <c r="U578" i="18"/>
  <c r="T578" i="18"/>
  <c r="U577" i="18"/>
  <c r="T577" i="18"/>
  <c r="U576" i="18"/>
  <c r="T576" i="18"/>
  <c r="U575" i="18"/>
  <c r="T575" i="18"/>
  <c r="U574" i="18"/>
  <c r="T574" i="18"/>
  <c r="U573" i="18"/>
  <c r="T573" i="18"/>
  <c r="U572" i="18"/>
  <c r="T572" i="18"/>
  <c r="U571" i="18"/>
  <c r="T571" i="18"/>
  <c r="U570" i="18"/>
  <c r="T570" i="18"/>
  <c r="U568" i="18"/>
  <c r="T568" i="18"/>
  <c r="U567" i="18"/>
  <c r="T567" i="18"/>
  <c r="U566" i="18"/>
  <c r="T566" i="18"/>
  <c r="U565" i="18"/>
  <c r="T565" i="18"/>
  <c r="U564" i="18"/>
  <c r="T564" i="18"/>
  <c r="U563" i="18"/>
  <c r="T563" i="18"/>
  <c r="U562" i="18"/>
  <c r="T562" i="18"/>
  <c r="U561" i="18"/>
  <c r="T561" i="18"/>
  <c r="U560" i="18"/>
  <c r="T560" i="18"/>
  <c r="U559" i="18"/>
  <c r="T559" i="18"/>
  <c r="U558" i="18"/>
  <c r="T558" i="18"/>
  <c r="U557" i="18"/>
  <c r="T557" i="18"/>
  <c r="U556" i="18"/>
  <c r="T556" i="18"/>
  <c r="U555" i="18"/>
  <c r="T555" i="18"/>
  <c r="U554" i="18"/>
  <c r="T554" i="18"/>
  <c r="U553" i="18"/>
  <c r="T553" i="18"/>
  <c r="U552" i="18"/>
  <c r="T552" i="18"/>
  <c r="U551" i="18"/>
  <c r="T551" i="18"/>
  <c r="U550" i="18"/>
  <c r="T550" i="18"/>
  <c r="U549" i="18"/>
  <c r="T549" i="18"/>
  <c r="U548" i="18"/>
  <c r="T548" i="18"/>
  <c r="U547" i="18"/>
  <c r="T547" i="18"/>
  <c r="U546" i="18"/>
  <c r="T546" i="18"/>
  <c r="U545" i="18"/>
  <c r="T545" i="18"/>
  <c r="U544" i="18"/>
  <c r="T544" i="18"/>
  <c r="U543" i="18"/>
  <c r="T543" i="18"/>
  <c r="U542" i="18"/>
  <c r="T542" i="18"/>
  <c r="U541" i="18"/>
  <c r="T541" i="18"/>
  <c r="U540" i="18"/>
  <c r="T540" i="18"/>
  <c r="U539" i="18"/>
  <c r="T539" i="18"/>
  <c r="U538" i="18"/>
  <c r="T538" i="18"/>
  <c r="U537" i="18"/>
  <c r="T537" i="18"/>
  <c r="U536" i="18"/>
  <c r="T536" i="18"/>
  <c r="U535" i="18"/>
  <c r="T535" i="18"/>
  <c r="U534" i="18"/>
  <c r="T534" i="18"/>
  <c r="U533" i="18"/>
  <c r="T533" i="18"/>
  <c r="U532" i="18"/>
  <c r="T532" i="18"/>
  <c r="U531" i="18"/>
  <c r="T531" i="18"/>
  <c r="U530" i="18"/>
  <c r="T530" i="18"/>
  <c r="U529" i="18"/>
  <c r="T529" i="18"/>
  <c r="U528" i="18"/>
  <c r="T528" i="18"/>
  <c r="U527" i="18"/>
  <c r="T527" i="18"/>
  <c r="U526" i="18"/>
  <c r="T526" i="18"/>
  <c r="U525" i="18"/>
  <c r="T525" i="18"/>
  <c r="U524" i="18"/>
  <c r="T524" i="18"/>
  <c r="U523" i="18"/>
  <c r="T523" i="18"/>
  <c r="U522" i="18"/>
  <c r="T522" i="18"/>
  <c r="U521" i="18"/>
  <c r="T521" i="18"/>
  <c r="U520" i="18"/>
  <c r="T520" i="18"/>
  <c r="U519" i="18"/>
  <c r="T519" i="18"/>
  <c r="U518" i="18"/>
  <c r="T518" i="18"/>
  <c r="U517" i="18"/>
  <c r="T517" i="18"/>
  <c r="U516" i="18"/>
  <c r="T516" i="18"/>
  <c r="U515" i="18"/>
  <c r="T515" i="18"/>
  <c r="U514" i="18"/>
  <c r="T514" i="18"/>
  <c r="U513" i="18"/>
  <c r="T513" i="18"/>
  <c r="U512" i="18"/>
  <c r="T512" i="18"/>
  <c r="U511" i="18"/>
  <c r="T511" i="18"/>
  <c r="U510" i="18"/>
  <c r="T510" i="18"/>
  <c r="U509" i="18"/>
  <c r="T509" i="18"/>
  <c r="U508" i="18"/>
  <c r="T508" i="18"/>
  <c r="U507" i="18"/>
  <c r="T507" i="18"/>
  <c r="U506" i="18"/>
  <c r="T506" i="18"/>
  <c r="U505" i="18"/>
  <c r="T505" i="18"/>
  <c r="U504" i="18"/>
  <c r="T504" i="18"/>
  <c r="U503" i="18"/>
  <c r="T503" i="18"/>
  <c r="U502" i="18"/>
  <c r="T502" i="18"/>
  <c r="U501" i="18"/>
  <c r="T501" i="18"/>
  <c r="U500" i="18"/>
  <c r="T500" i="18"/>
  <c r="U499" i="18"/>
  <c r="T499" i="18"/>
  <c r="U498" i="18"/>
  <c r="T498" i="18"/>
  <c r="U497" i="18"/>
  <c r="T497" i="18"/>
  <c r="U496" i="18"/>
  <c r="T496" i="18"/>
  <c r="U495" i="18"/>
  <c r="T495" i="18"/>
  <c r="U494" i="18"/>
  <c r="T494" i="18"/>
  <c r="U493" i="18"/>
  <c r="T493" i="18"/>
  <c r="U492" i="18"/>
  <c r="T492" i="18"/>
  <c r="U491" i="18"/>
  <c r="T491" i="18"/>
  <c r="U490" i="18"/>
  <c r="T490" i="18"/>
  <c r="U489" i="18"/>
  <c r="T489" i="18"/>
  <c r="U488" i="18"/>
  <c r="T488" i="18"/>
  <c r="U487" i="18"/>
  <c r="T487" i="18"/>
  <c r="U486" i="18"/>
  <c r="T486" i="18"/>
  <c r="U485" i="18"/>
  <c r="T485" i="18"/>
  <c r="U484" i="18"/>
  <c r="T484" i="18"/>
  <c r="U483" i="18"/>
  <c r="T483" i="18"/>
  <c r="U482" i="18"/>
  <c r="T482" i="18"/>
  <c r="U481" i="18"/>
  <c r="T481" i="18"/>
  <c r="U480" i="18"/>
  <c r="T480" i="18"/>
  <c r="U479" i="18"/>
  <c r="T479" i="18"/>
  <c r="U478" i="18"/>
  <c r="T478" i="18"/>
  <c r="U477" i="18"/>
  <c r="T477" i="18"/>
  <c r="U476" i="18"/>
  <c r="T476" i="18"/>
  <c r="U475" i="18"/>
  <c r="T475" i="18"/>
  <c r="U474" i="18"/>
  <c r="T474" i="18"/>
  <c r="U473" i="18"/>
  <c r="T473" i="18"/>
  <c r="U472" i="18"/>
  <c r="T472" i="18"/>
  <c r="U471" i="18"/>
  <c r="T471" i="18"/>
  <c r="U470" i="18"/>
  <c r="T470" i="18"/>
  <c r="U468" i="18"/>
  <c r="T468" i="18"/>
  <c r="U467" i="18"/>
  <c r="T467" i="18"/>
  <c r="U466" i="18"/>
  <c r="T466" i="18"/>
  <c r="U465" i="18"/>
  <c r="T465" i="18"/>
  <c r="U464" i="18"/>
  <c r="T464" i="18"/>
  <c r="U463" i="18"/>
  <c r="T463" i="18"/>
  <c r="U462" i="18"/>
  <c r="T462" i="18"/>
  <c r="U461" i="18"/>
  <c r="T461" i="18"/>
  <c r="U460" i="18"/>
  <c r="T460" i="18"/>
  <c r="U459" i="18"/>
  <c r="T459" i="18"/>
  <c r="U458" i="18"/>
  <c r="T458" i="18"/>
  <c r="U457" i="18"/>
  <c r="T457" i="18"/>
  <c r="U456" i="18"/>
  <c r="T456" i="18"/>
  <c r="U455" i="18"/>
  <c r="T455" i="18"/>
  <c r="U454" i="18"/>
  <c r="T454" i="18"/>
  <c r="U453" i="18"/>
  <c r="T453" i="18"/>
  <c r="U452" i="18"/>
  <c r="T452" i="18"/>
  <c r="U451" i="18"/>
  <c r="T451" i="18"/>
  <c r="U450" i="18"/>
  <c r="T450" i="18"/>
  <c r="U449" i="18"/>
  <c r="T449" i="18"/>
  <c r="U448" i="18"/>
  <c r="T448" i="18"/>
  <c r="U447" i="18"/>
  <c r="T447" i="18"/>
  <c r="U446" i="18"/>
  <c r="T446" i="18"/>
  <c r="U445" i="18"/>
  <c r="T445" i="18"/>
  <c r="U444" i="18"/>
  <c r="T444" i="18"/>
  <c r="U443" i="18"/>
  <c r="T443" i="18"/>
  <c r="U442" i="18"/>
  <c r="T442" i="18"/>
  <c r="U441" i="18"/>
  <c r="T441" i="18"/>
  <c r="U440" i="18"/>
  <c r="T440" i="18"/>
  <c r="U439" i="18"/>
  <c r="T439" i="18"/>
  <c r="U438" i="18"/>
  <c r="T438" i="18"/>
  <c r="U437" i="18"/>
  <c r="T437" i="18"/>
  <c r="U436" i="18"/>
  <c r="T436" i="18"/>
  <c r="U435" i="18"/>
  <c r="T435" i="18"/>
  <c r="U434" i="18"/>
  <c r="T434" i="18"/>
  <c r="U433" i="18"/>
  <c r="T433" i="18"/>
  <c r="U432" i="18"/>
  <c r="T432" i="18"/>
  <c r="U431" i="18"/>
  <c r="T431" i="18"/>
  <c r="U430" i="18"/>
  <c r="T430" i="18"/>
  <c r="U429" i="18"/>
  <c r="T429" i="18"/>
  <c r="U428" i="18"/>
  <c r="T428" i="18"/>
  <c r="U427" i="18"/>
  <c r="T427" i="18"/>
  <c r="U426" i="18"/>
  <c r="T426" i="18"/>
  <c r="U425" i="18"/>
  <c r="T425" i="18"/>
  <c r="U424" i="18"/>
  <c r="T424" i="18"/>
  <c r="U423" i="18"/>
  <c r="T423" i="18"/>
  <c r="U422" i="18"/>
  <c r="T422" i="18"/>
  <c r="U421" i="18"/>
  <c r="T421" i="18"/>
  <c r="U420" i="18"/>
  <c r="T420" i="18"/>
  <c r="U419" i="18"/>
  <c r="T419" i="18"/>
  <c r="U418" i="18"/>
  <c r="T418" i="18"/>
  <c r="U417" i="18"/>
  <c r="T417" i="18"/>
  <c r="U416" i="18"/>
  <c r="T416" i="18"/>
  <c r="U415" i="18"/>
  <c r="T415" i="18"/>
  <c r="U414" i="18"/>
  <c r="T414" i="18"/>
  <c r="U413" i="18"/>
  <c r="T413" i="18"/>
  <c r="U412" i="18"/>
  <c r="T412" i="18"/>
  <c r="U411" i="18"/>
  <c r="T411" i="18"/>
  <c r="U410" i="18"/>
  <c r="T410" i="18"/>
  <c r="U409" i="18"/>
  <c r="T409" i="18"/>
  <c r="U408" i="18"/>
  <c r="T408" i="18"/>
  <c r="U407" i="18"/>
  <c r="T407" i="18"/>
  <c r="U406" i="18"/>
  <c r="T406" i="18"/>
  <c r="U405" i="18"/>
  <c r="T405" i="18"/>
  <c r="U404" i="18"/>
  <c r="T404" i="18"/>
  <c r="U403" i="18"/>
  <c r="T403" i="18"/>
  <c r="U402" i="18"/>
  <c r="T402" i="18"/>
  <c r="U401" i="18"/>
  <c r="T401" i="18"/>
  <c r="U400" i="18"/>
  <c r="T400" i="18"/>
  <c r="U399" i="18"/>
  <c r="T399" i="18"/>
  <c r="U398" i="18"/>
  <c r="T398" i="18"/>
  <c r="U397" i="18"/>
  <c r="T397" i="18"/>
  <c r="U396" i="18"/>
  <c r="T396" i="18"/>
  <c r="U395" i="18"/>
  <c r="T395" i="18"/>
  <c r="U394" i="18"/>
  <c r="T394" i="18"/>
  <c r="U393" i="18"/>
  <c r="T393" i="18"/>
  <c r="U392" i="18"/>
  <c r="T392" i="18"/>
  <c r="U391" i="18"/>
  <c r="T391" i="18"/>
  <c r="U390" i="18"/>
  <c r="T390" i="18"/>
  <c r="U389" i="18"/>
  <c r="T389" i="18"/>
  <c r="U388" i="18"/>
  <c r="T388" i="18"/>
  <c r="U387" i="18"/>
  <c r="T387" i="18"/>
  <c r="U386" i="18"/>
  <c r="T386" i="18"/>
  <c r="U385" i="18"/>
  <c r="T385" i="18"/>
  <c r="U384" i="18"/>
  <c r="T384" i="18"/>
  <c r="U383" i="18"/>
  <c r="T383" i="18"/>
  <c r="U382" i="18"/>
  <c r="T382" i="18"/>
  <c r="U381" i="18"/>
  <c r="T381" i="18"/>
  <c r="U380" i="18"/>
  <c r="T380" i="18"/>
  <c r="U379" i="18"/>
  <c r="T379" i="18"/>
  <c r="U378" i="18"/>
  <c r="T378" i="18"/>
  <c r="U377" i="18"/>
  <c r="T377" i="18"/>
  <c r="U376" i="18"/>
  <c r="T376" i="18"/>
  <c r="U375" i="18"/>
  <c r="T375" i="18"/>
  <c r="U374" i="18"/>
  <c r="T374" i="18"/>
  <c r="U373" i="18"/>
  <c r="T373" i="18"/>
  <c r="U372" i="18"/>
  <c r="T372" i="18"/>
  <c r="U371" i="18"/>
  <c r="T371" i="18"/>
  <c r="U370" i="18"/>
  <c r="T370" i="18"/>
  <c r="U368" i="18"/>
  <c r="T368" i="18"/>
  <c r="U367" i="18"/>
  <c r="T367" i="18"/>
  <c r="U366" i="18"/>
  <c r="T366" i="18"/>
  <c r="U365" i="18"/>
  <c r="T365" i="18"/>
  <c r="U364" i="18"/>
  <c r="T364" i="18"/>
  <c r="U363" i="18"/>
  <c r="T363" i="18"/>
  <c r="U362" i="18"/>
  <c r="T362" i="18"/>
  <c r="U361" i="18"/>
  <c r="T361" i="18"/>
  <c r="U360" i="18"/>
  <c r="T360" i="18"/>
  <c r="U359" i="18"/>
  <c r="T359" i="18"/>
  <c r="U358" i="18"/>
  <c r="T358" i="18"/>
  <c r="U357" i="18"/>
  <c r="T357" i="18"/>
  <c r="U356" i="18"/>
  <c r="T356" i="18"/>
  <c r="U355" i="18"/>
  <c r="T355" i="18"/>
  <c r="U354" i="18"/>
  <c r="T354" i="18"/>
  <c r="U353" i="18"/>
  <c r="T353" i="18"/>
  <c r="U352" i="18"/>
  <c r="T352" i="18"/>
  <c r="U351" i="18"/>
  <c r="T351" i="18"/>
  <c r="U350" i="18"/>
  <c r="T350" i="18"/>
  <c r="U349" i="18"/>
  <c r="T349" i="18"/>
  <c r="U348" i="18"/>
  <c r="T348" i="18"/>
  <c r="U347" i="18"/>
  <c r="T347" i="18"/>
  <c r="U346" i="18"/>
  <c r="T346" i="18"/>
  <c r="U345" i="18"/>
  <c r="T345" i="18"/>
  <c r="U344" i="18"/>
  <c r="T344" i="18"/>
  <c r="U343" i="18"/>
  <c r="T343" i="18"/>
  <c r="U342" i="18"/>
  <c r="T342" i="18"/>
  <c r="U341" i="18"/>
  <c r="T341" i="18"/>
  <c r="U340" i="18"/>
  <c r="T340" i="18"/>
  <c r="U339" i="18"/>
  <c r="T339" i="18"/>
  <c r="U338" i="18"/>
  <c r="T338" i="18"/>
  <c r="U337" i="18"/>
  <c r="T337" i="18"/>
  <c r="U336" i="18"/>
  <c r="T336" i="18"/>
  <c r="U335" i="18"/>
  <c r="T335" i="18"/>
  <c r="U334" i="18"/>
  <c r="T334" i="18"/>
  <c r="U333" i="18"/>
  <c r="T333" i="18"/>
  <c r="U332" i="18"/>
  <c r="T332" i="18"/>
  <c r="U331" i="18"/>
  <c r="T331" i="18"/>
  <c r="U330" i="18"/>
  <c r="T330" i="18"/>
  <c r="U329" i="18"/>
  <c r="T329" i="18"/>
  <c r="U328" i="18"/>
  <c r="T328" i="18"/>
  <c r="U327" i="18"/>
  <c r="T327" i="18"/>
  <c r="U326" i="18"/>
  <c r="T326" i="18"/>
  <c r="U325" i="18"/>
  <c r="T325" i="18"/>
  <c r="U324" i="18"/>
  <c r="T324" i="18"/>
  <c r="U323" i="18"/>
  <c r="T323" i="18"/>
  <c r="U322" i="18"/>
  <c r="T322" i="18"/>
  <c r="U321" i="18"/>
  <c r="T321" i="18"/>
  <c r="U320" i="18"/>
  <c r="T320" i="18"/>
  <c r="U319" i="18"/>
  <c r="T319" i="18"/>
  <c r="U318" i="18"/>
  <c r="T318" i="18"/>
  <c r="U317" i="18"/>
  <c r="T317" i="18"/>
  <c r="U316" i="18"/>
  <c r="T316" i="18"/>
  <c r="U315" i="18"/>
  <c r="T315" i="18"/>
  <c r="U314" i="18"/>
  <c r="T314" i="18"/>
  <c r="U313" i="18"/>
  <c r="T313" i="18"/>
  <c r="U312" i="18"/>
  <c r="T312" i="18"/>
  <c r="U311" i="18"/>
  <c r="T311" i="18"/>
  <c r="U310" i="18"/>
  <c r="T310" i="18"/>
  <c r="U309" i="18"/>
  <c r="T309" i="18"/>
  <c r="U308" i="18"/>
  <c r="T308" i="18"/>
  <c r="U307" i="18"/>
  <c r="T307" i="18"/>
  <c r="U306" i="18"/>
  <c r="T306" i="18"/>
  <c r="U305" i="18"/>
  <c r="T305" i="18"/>
  <c r="U304" i="18"/>
  <c r="T304" i="18"/>
  <c r="U303" i="18"/>
  <c r="T303" i="18"/>
  <c r="U302" i="18"/>
  <c r="T302" i="18"/>
  <c r="U301" i="18"/>
  <c r="T301" i="18"/>
  <c r="U300" i="18"/>
  <c r="T300" i="18"/>
  <c r="U299" i="18"/>
  <c r="T299" i="18"/>
  <c r="U298" i="18"/>
  <c r="T298" i="18"/>
  <c r="U297" i="18"/>
  <c r="T297" i="18"/>
  <c r="U296" i="18"/>
  <c r="T296" i="18"/>
  <c r="U295" i="18"/>
  <c r="T295" i="18"/>
  <c r="U294" i="18"/>
  <c r="T294" i="18"/>
  <c r="U293" i="18"/>
  <c r="T293" i="18"/>
  <c r="U292" i="18"/>
  <c r="T292" i="18"/>
  <c r="U291" i="18"/>
  <c r="T291" i="18"/>
  <c r="U290" i="18"/>
  <c r="T290" i="18"/>
  <c r="U289" i="18"/>
  <c r="T289" i="18"/>
  <c r="U288" i="18"/>
  <c r="T288" i="18"/>
  <c r="U287" i="18"/>
  <c r="T287" i="18"/>
  <c r="U286" i="18"/>
  <c r="T286" i="18"/>
  <c r="U285" i="18"/>
  <c r="T285" i="18"/>
  <c r="U284" i="18"/>
  <c r="T284" i="18"/>
  <c r="U283" i="18"/>
  <c r="T283" i="18"/>
  <c r="U282" i="18"/>
  <c r="T282" i="18"/>
  <c r="U281" i="18"/>
  <c r="T281" i="18"/>
  <c r="U280" i="18"/>
  <c r="T280" i="18"/>
  <c r="U279" i="18"/>
  <c r="T279" i="18"/>
  <c r="U278" i="18"/>
  <c r="T278" i="18"/>
  <c r="U277" i="18"/>
  <c r="T277" i="18"/>
  <c r="U276" i="18"/>
  <c r="T276" i="18"/>
  <c r="U275" i="18"/>
  <c r="T275" i="18"/>
  <c r="U274" i="18"/>
  <c r="T274" i="18"/>
  <c r="U273" i="18"/>
  <c r="T273" i="18"/>
  <c r="U272" i="18"/>
  <c r="T272" i="18"/>
  <c r="U271" i="18"/>
  <c r="T271" i="18"/>
  <c r="U270" i="18"/>
  <c r="T270" i="18"/>
  <c r="U268" i="18"/>
  <c r="T268" i="18"/>
  <c r="U267" i="18"/>
  <c r="T267" i="18"/>
  <c r="U266" i="18"/>
  <c r="T266" i="18"/>
  <c r="U265" i="18"/>
  <c r="T265" i="18"/>
  <c r="U264" i="18"/>
  <c r="T264" i="18"/>
  <c r="U263" i="18"/>
  <c r="T263" i="18"/>
  <c r="U262" i="18"/>
  <c r="T262" i="18"/>
  <c r="U261" i="18"/>
  <c r="T261" i="18"/>
  <c r="U260" i="18"/>
  <c r="T260" i="18"/>
  <c r="U259" i="18"/>
  <c r="T259" i="18"/>
  <c r="U258" i="18"/>
  <c r="T258" i="18"/>
  <c r="U257" i="18"/>
  <c r="T257" i="18"/>
  <c r="U256" i="18"/>
  <c r="T256" i="18"/>
  <c r="U255" i="18"/>
  <c r="T255" i="18"/>
  <c r="U254" i="18"/>
  <c r="T254" i="18"/>
  <c r="U253" i="18"/>
  <c r="T253" i="18"/>
  <c r="U252" i="18"/>
  <c r="T252" i="18"/>
  <c r="U251" i="18"/>
  <c r="T251" i="18"/>
  <c r="U250" i="18"/>
  <c r="T250" i="18"/>
  <c r="U249" i="18"/>
  <c r="T249" i="18"/>
  <c r="U248" i="18"/>
  <c r="T248" i="18"/>
  <c r="U247" i="18"/>
  <c r="T247" i="18"/>
  <c r="U246" i="18"/>
  <c r="T246" i="18"/>
  <c r="U245" i="18"/>
  <c r="T245" i="18"/>
  <c r="U244" i="18"/>
  <c r="T244" i="18"/>
  <c r="U243" i="18"/>
  <c r="T243" i="18"/>
  <c r="U242" i="18"/>
  <c r="T242" i="18"/>
  <c r="U241" i="18"/>
  <c r="T241" i="18"/>
  <c r="U240" i="18"/>
  <c r="T240" i="18"/>
  <c r="U239" i="18"/>
  <c r="T239" i="18"/>
  <c r="U238" i="18"/>
  <c r="T238" i="18"/>
  <c r="U237" i="18"/>
  <c r="T237" i="18"/>
  <c r="U236" i="18"/>
  <c r="T236" i="18"/>
  <c r="U235" i="18"/>
  <c r="T235" i="18"/>
  <c r="U234" i="18"/>
  <c r="T234" i="18"/>
  <c r="U233" i="18"/>
  <c r="T233" i="18"/>
  <c r="U232" i="18"/>
  <c r="T232" i="18"/>
  <c r="U231" i="18"/>
  <c r="T231" i="18"/>
  <c r="U230" i="18"/>
  <c r="T230" i="18"/>
  <c r="U229" i="18"/>
  <c r="T229" i="18"/>
  <c r="U228" i="18"/>
  <c r="T228" i="18"/>
  <c r="U227" i="18"/>
  <c r="T227" i="18"/>
  <c r="U226" i="18"/>
  <c r="T226" i="18"/>
  <c r="U225" i="18"/>
  <c r="T225" i="18"/>
  <c r="U224" i="18"/>
  <c r="T224" i="18"/>
  <c r="U223" i="18"/>
  <c r="T223" i="18"/>
  <c r="U222" i="18"/>
  <c r="T222" i="18"/>
  <c r="U221" i="18"/>
  <c r="T221" i="18"/>
  <c r="U220" i="18"/>
  <c r="T220" i="18"/>
  <c r="U219" i="18"/>
  <c r="T219" i="18"/>
  <c r="U218" i="18"/>
  <c r="T218" i="18"/>
  <c r="U217" i="18"/>
  <c r="T217" i="18"/>
  <c r="U216" i="18"/>
  <c r="T216" i="18"/>
  <c r="U215" i="18"/>
  <c r="T215" i="18"/>
  <c r="U214" i="18"/>
  <c r="T214" i="18"/>
  <c r="U213" i="18"/>
  <c r="T213" i="18"/>
  <c r="U212" i="18"/>
  <c r="T212" i="18"/>
  <c r="U211" i="18"/>
  <c r="T211" i="18"/>
  <c r="U210" i="18"/>
  <c r="T210" i="18"/>
  <c r="U209" i="18"/>
  <c r="T209" i="18"/>
  <c r="U208" i="18"/>
  <c r="T208" i="18"/>
  <c r="U207" i="18"/>
  <c r="T207" i="18"/>
  <c r="U206" i="18"/>
  <c r="T206" i="18"/>
  <c r="U205" i="18"/>
  <c r="T205" i="18"/>
  <c r="U204" i="18"/>
  <c r="T204" i="18"/>
  <c r="U203" i="18"/>
  <c r="T203" i="18"/>
  <c r="U202" i="18"/>
  <c r="T202" i="18"/>
  <c r="U201" i="18"/>
  <c r="T201" i="18"/>
  <c r="U200" i="18"/>
  <c r="T200" i="18"/>
  <c r="U199" i="18"/>
  <c r="T199" i="18"/>
  <c r="U198" i="18"/>
  <c r="T198" i="18"/>
  <c r="U197" i="18"/>
  <c r="T197" i="18"/>
  <c r="U196" i="18"/>
  <c r="T196" i="18"/>
  <c r="U195" i="18"/>
  <c r="T195" i="18"/>
  <c r="U194" i="18"/>
  <c r="T194" i="18"/>
  <c r="U193" i="18"/>
  <c r="T193" i="18"/>
  <c r="U192" i="18"/>
  <c r="T192" i="18"/>
  <c r="U191" i="18"/>
  <c r="T191" i="18"/>
  <c r="U190" i="18"/>
  <c r="T190" i="18"/>
  <c r="U189" i="18"/>
  <c r="T189" i="18"/>
  <c r="U188" i="18"/>
  <c r="T188" i="18"/>
  <c r="U187" i="18"/>
  <c r="T187" i="18"/>
  <c r="U186" i="18"/>
  <c r="T186" i="18"/>
  <c r="U185" i="18"/>
  <c r="T185" i="18"/>
  <c r="U184" i="18"/>
  <c r="T184" i="18"/>
  <c r="U183" i="18"/>
  <c r="T183" i="18"/>
  <c r="U182" i="18"/>
  <c r="T182" i="18"/>
  <c r="U181" i="18"/>
  <c r="T181" i="18"/>
  <c r="U180" i="18"/>
  <c r="T180" i="18"/>
  <c r="U179" i="18"/>
  <c r="T179" i="18"/>
  <c r="U178" i="18"/>
  <c r="T178" i="18"/>
  <c r="U177" i="18"/>
  <c r="T177" i="18"/>
  <c r="U176" i="18"/>
  <c r="T176" i="18"/>
  <c r="U175" i="18"/>
  <c r="T175" i="18"/>
  <c r="U174" i="18"/>
  <c r="T174" i="18"/>
  <c r="U173" i="18"/>
  <c r="T173" i="18"/>
  <c r="U172" i="18"/>
  <c r="T172" i="18"/>
  <c r="U171" i="18"/>
  <c r="T171" i="18"/>
  <c r="U170" i="18"/>
  <c r="T170" i="18"/>
  <c r="U168" i="18"/>
  <c r="T168" i="18"/>
  <c r="U167" i="18"/>
  <c r="T167" i="18"/>
  <c r="U166" i="18"/>
  <c r="T166" i="18"/>
  <c r="U165" i="18"/>
  <c r="T165" i="18"/>
  <c r="U164" i="18"/>
  <c r="T164" i="18"/>
  <c r="U163" i="18"/>
  <c r="T163" i="18"/>
  <c r="U162" i="18"/>
  <c r="T162" i="18"/>
  <c r="U161" i="18"/>
  <c r="T161" i="18"/>
  <c r="U160" i="18"/>
  <c r="T160" i="18"/>
  <c r="U159" i="18"/>
  <c r="T159" i="18"/>
  <c r="U158" i="18"/>
  <c r="T158" i="18"/>
  <c r="U157" i="18"/>
  <c r="T157" i="18"/>
  <c r="U156" i="18"/>
  <c r="T156" i="18"/>
  <c r="U155" i="18"/>
  <c r="T155" i="18"/>
  <c r="U154" i="18"/>
  <c r="T154" i="18"/>
  <c r="U153" i="18"/>
  <c r="T153" i="18"/>
  <c r="U152" i="18"/>
  <c r="T152" i="18"/>
  <c r="U151" i="18"/>
  <c r="T151" i="18"/>
  <c r="U150" i="18"/>
  <c r="T150" i="18"/>
  <c r="U149" i="18"/>
  <c r="T149" i="18"/>
  <c r="U148" i="18"/>
  <c r="T148" i="18"/>
  <c r="U147" i="18"/>
  <c r="T147" i="18"/>
  <c r="U146" i="18"/>
  <c r="T146" i="18"/>
  <c r="U145" i="18"/>
  <c r="T145" i="18"/>
  <c r="U144" i="18"/>
  <c r="T144" i="18"/>
  <c r="U143" i="18"/>
  <c r="T143" i="18"/>
  <c r="U142" i="18"/>
  <c r="T142" i="18"/>
  <c r="U141" i="18"/>
  <c r="T141" i="18"/>
  <c r="U140" i="18"/>
  <c r="T140" i="18"/>
  <c r="U139" i="18"/>
  <c r="T139" i="18"/>
  <c r="U138" i="18"/>
  <c r="T138" i="18"/>
  <c r="U137" i="18"/>
  <c r="T137" i="18"/>
  <c r="U136" i="18"/>
  <c r="T136" i="18"/>
  <c r="U135" i="18"/>
  <c r="T135" i="18"/>
  <c r="U134" i="18"/>
  <c r="T134" i="18"/>
  <c r="U133" i="18"/>
  <c r="T133" i="18"/>
  <c r="U132" i="18"/>
  <c r="T132" i="18"/>
  <c r="U131" i="18"/>
  <c r="T131" i="18"/>
  <c r="U130" i="18"/>
  <c r="T130" i="18"/>
  <c r="U129" i="18"/>
  <c r="T129" i="18"/>
  <c r="U128" i="18"/>
  <c r="T128" i="18"/>
  <c r="U127" i="18"/>
  <c r="T127" i="18"/>
  <c r="U126" i="18"/>
  <c r="T126" i="18"/>
  <c r="U125" i="18"/>
  <c r="T125" i="18"/>
  <c r="U124" i="18"/>
  <c r="T124" i="18"/>
  <c r="U123" i="18"/>
  <c r="T123" i="18"/>
  <c r="U122" i="18"/>
  <c r="T122" i="18"/>
  <c r="U121" i="18"/>
  <c r="T121" i="18"/>
  <c r="U120" i="18"/>
  <c r="T120" i="18"/>
  <c r="U119" i="18"/>
  <c r="T119" i="18"/>
  <c r="U118" i="18"/>
  <c r="T118" i="18"/>
  <c r="U117" i="18"/>
  <c r="T117" i="18"/>
  <c r="U116" i="18"/>
  <c r="T116" i="18"/>
  <c r="U115" i="18"/>
  <c r="T115" i="18"/>
  <c r="U114" i="18"/>
  <c r="T114" i="18"/>
  <c r="U113" i="18"/>
  <c r="T113" i="18"/>
  <c r="U112" i="18"/>
  <c r="T112" i="18"/>
  <c r="U111" i="18"/>
  <c r="T111" i="18"/>
  <c r="U110" i="18"/>
  <c r="T110" i="18"/>
  <c r="U109" i="18"/>
  <c r="T109" i="18"/>
  <c r="U108" i="18"/>
  <c r="T108" i="18"/>
  <c r="U107" i="18"/>
  <c r="T107" i="18"/>
  <c r="U106" i="18"/>
  <c r="T106" i="18"/>
  <c r="U105" i="18"/>
  <c r="T105" i="18"/>
  <c r="U104" i="18"/>
  <c r="T104" i="18"/>
  <c r="U103" i="18"/>
  <c r="T103" i="18"/>
  <c r="U102" i="18"/>
  <c r="T102" i="18"/>
  <c r="U101" i="18"/>
  <c r="T101" i="18"/>
  <c r="U100" i="18"/>
  <c r="T100" i="18"/>
  <c r="U99" i="18"/>
  <c r="T99" i="18"/>
  <c r="U98" i="18"/>
  <c r="T98" i="18"/>
  <c r="U97" i="18"/>
  <c r="T97" i="18"/>
  <c r="U96" i="18"/>
  <c r="T96" i="18"/>
  <c r="U95" i="18"/>
  <c r="T95" i="18"/>
  <c r="U94" i="18"/>
  <c r="T94" i="18"/>
  <c r="U93" i="18"/>
  <c r="T93" i="18"/>
  <c r="U92" i="18"/>
  <c r="T92" i="18"/>
  <c r="U91" i="18"/>
  <c r="T91" i="18"/>
  <c r="U90" i="18"/>
  <c r="T90" i="18"/>
  <c r="U89" i="18"/>
  <c r="T89" i="18"/>
  <c r="U88" i="18"/>
  <c r="T88" i="18"/>
  <c r="U87" i="18"/>
  <c r="T87" i="18"/>
  <c r="U86" i="18"/>
  <c r="T86" i="18"/>
  <c r="U85" i="18"/>
  <c r="T85" i="18"/>
  <c r="U84" i="18"/>
  <c r="T84" i="18"/>
  <c r="U83" i="18"/>
  <c r="T83" i="18"/>
  <c r="U82" i="18"/>
  <c r="T82" i="18"/>
  <c r="M1284" i="11"/>
  <c r="N1284" i="11"/>
  <c r="M1285" i="11"/>
  <c r="N1285" i="11"/>
  <c r="M1286" i="11"/>
  <c r="N1286" i="11"/>
  <c r="M1287" i="11"/>
  <c r="N1287" i="11"/>
  <c r="M1288" i="11"/>
  <c r="N1288" i="11"/>
  <c r="M1289" i="11"/>
  <c r="N1289" i="11"/>
  <c r="M1290" i="11"/>
  <c r="N1290" i="11"/>
  <c r="M1291" i="11"/>
  <c r="N1291" i="11"/>
  <c r="M1292" i="11"/>
  <c r="N1292" i="11"/>
  <c r="M1293" i="11"/>
  <c r="N1293" i="11"/>
  <c r="M1294" i="11"/>
  <c r="N1294" i="11"/>
  <c r="M1295" i="11"/>
  <c r="N1295" i="11"/>
  <c r="M1305" i="11"/>
  <c r="N1305" i="11"/>
  <c r="M1306" i="11"/>
  <c r="N1306" i="11"/>
  <c r="M1307" i="11"/>
  <c r="N1307" i="11"/>
  <c r="M1308" i="11"/>
  <c r="N1308" i="11"/>
  <c r="M1318" i="11"/>
  <c r="N1318" i="11"/>
  <c r="M1319" i="11"/>
  <c r="N1319" i="11"/>
  <c r="M1320" i="11"/>
  <c r="N1320" i="11"/>
  <c r="M1321" i="11"/>
  <c r="N1321" i="11"/>
  <c r="M1322" i="11"/>
  <c r="N1322" i="11"/>
  <c r="M1323" i="11"/>
  <c r="N1323" i="11"/>
  <c r="M1324" i="11"/>
  <c r="N1324" i="11"/>
  <c r="M1325" i="11"/>
  <c r="N1325" i="11"/>
  <c r="M1326" i="11"/>
  <c r="N1326" i="11"/>
  <c r="M1327" i="11"/>
  <c r="N1327" i="11"/>
  <c r="M1328" i="11"/>
  <c r="N1328" i="11"/>
  <c r="M1329" i="11"/>
  <c r="N1329" i="11"/>
  <c r="M1330" i="11"/>
  <c r="N1330" i="11"/>
  <c r="M1331" i="11"/>
  <c r="N1331" i="11"/>
  <c r="M1332" i="11"/>
  <c r="N1332" i="11"/>
  <c r="M1333" i="11"/>
  <c r="N1333" i="11"/>
  <c r="M1334" i="11"/>
  <c r="N1334" i="11"/>
  <c r="M1335" i="11"/>
  <c r="N1335" i="11"/>
  <c r="M1336" i="11"/>
  <c r="N1336" i="11"/>
  <c r="M1337" i="11"/>
  <c r="N1337" i="11"/>
  <c r="M1338" i="11"/>
  <c r="N1338" i="11"/>
  <c r="M1339" i="11"/>
  <c r="N1339" i="11"/>
  <c r="M1340" i="11"/>
  <c r="N1340" i="11"/>
  <c r="M1341" i="11"/>
  <c r="N1341" i="11"/>
  <c r="M1342" i="11"/>
  <c r="N1342" i="11"/>
  <c r="M1343" i="11"/>
  <c r="N1343" i="11"/>
  <c r="M1344" i="11"/>
  <c r="N1344" i="11"/>
  <c r="M1345" i="11"/>
  <c r="N1345" i="11"/>
  <c r="M1346" i="11"/>
  <c r="N1346" i="11"/>
  <c r="M1347" i="11"/>
  <c r="N1347" i="11"/>
  <c r="M1357" i="11"/>
  <c r="N1357" i="11"/>
  <c r="M1358" i="11"/>
  <c r="N1358" i="11"/>
  <c r="M1359" i="11"/>
  <c r="N1359" i="11"/>
  <c r="M1360" i="11"/>
  <c r="N1360" i="11"/>
  <c r="M1370" i="11"/>
  <c r="N1370" i="11"/>
  <c r="M1371" i="11"/>
  <c r="N1371" i="11"/>
  <c r="M1372" i="11"/>
  <c r="N1372" i="11"/>
  <c r="M1373" i="11"/>
  <c r="N1373" i="11"/>
  <c r="M1383" i="11"/>
  <c r="N1383" i="11"/>
  <c r="M1384" i="11"/>
  <c r="N1384" i="11"/>
  <c r="M1385" i="11"/>
  <c r="N1385" i="11"/>
  <c r="M1386" i="11"/>
  <c r="N1386" i="11"/>
  <c r="M1396" i="11"/>
  <c r="N1396" i="11"/>
  <c r="M1397" i="11"/>
  <c r="N1397" i="11"/>
  <c r="M1398" i="11"/>
  <c r="N1398" i="11"/>
  <c r="M1399" i="11"/>
  <c r="N1399" i="11"/>
  <c r="M1400" i="11"/>
  <c r="N1400" i="11"/>
  <c r="M1401" i="11"/>
  <c r="N1401" i="11"/>
  <c r="M1402" i="11"/>
  <c r="N1402" i="11"/>
  <c r="M1403" i="11"/>
  <c r="N1403" i="11"/>
  <c r="M1404" i="11"/>
  <c r="N1404" i="11"/>
  <c r="M1405" i="11"/>
  <c r="N1405" i="11"/>
  <c r="M1406" i="11"/>
  <c r="N1406" i="11"/>
  <c r="M1407" i="11"/>
  <c r="N1407" i="11"/>
  <c r="M1408" i="11"/>
  <c r="N1408" i="11"/>
  <c r="M1409" i="11"/>
  <c r="N1409" i="11"/>
  <c r="M1410" i="11"/>
  <c r="N1410" i="11"/>
  <c r="M1411" i="11"/>
  <c r="N1411" i="11"/>
  <c r="M1412" i="11"/>
  <c r="N1412" i="11"/>
  <c r="N1283" i="11"/>
  <c r="M52" i="11"/>
  <c r="N52" i="11"/>
  <c r="M53" i="11"/>
  <c r="N53" i="11"/>
  <c r="M54" i="11"/>
  <c r="N54" i="11"/>
  <c r="M55" i="11"/>
  <c r="N55" i="11"/>
  <c r="M56" i="11"/>
  <c r="N56" i="11"/>
  <c r="M57" i="11"/>
  <c r="N57" i="11"/>
  <c r="M58" i="11"/>
  <c r="N58" i="11"/>
  <c r="M59" i="11"/>
  <c r="N59" i="11"/>
  <c r="M60" i="11"/>
  <c r="N60" i="11"/>
  <c r="M61" i="11"/>
  <c r="N61" i="11"/>
  <c r="M62" i="11"/>
  <c r="N62" i="11"/>
  <c r="M63" i="11"/>
  <c r="N63" i="11"/>
  <c r="M64" i="11"/>
  <c r="N64" i="11"/>
  <c r="M65" i="11"/>
  <c r="N65" i="11"/>
  <c r="M66" i="11"/>
  <c r="N66" i="11"/>
  <c r="M67" i="11"/>
  <c r="N67" i="11"/>
  <c r="M68" i="11"/>
  <c r="N68" i="11"/>
  <c r="M69" i="11"/>
  <c r="N69" i="11"/>
  <c r="M70" i="11"/>
  <c r="N70" i="11"/>
  <c r="M71" i="11"/>
  <c r="N71" i="11"/>
  <c r="M72" i="11"/>
  <c r="N72" i="11"/>
  <c r="M73" i="11"/>
  <c r="N73" i="11"/>
  <c r="M74" i="11"/>
  <c r="N74" i="11"/>
  <c r="M75" i="11"/>
  <c r="N75" i="11"/>
  <c r="M76" i="11"/>
  <c r="N76" i="11"/>
  <c r="M77" i="11"/>
  <c r="N77" i="11"/>
  <c r="M78" i="11"/>
  <c r="N78" i="11"/>
  <c r="M79" i="11"/>
  <c r="N79" i="11"/>
  <c r="M80" i="11"/>
  <c r="N80" i="11"/>
  <c r="M81" i="11"/>
  <c r="N81" i="11"/>
  <c r="M82" i="11"/>
  <c r="N82" i="11"/>
  <c r="M83" i="11"/>
  <c r="N83" i="11"/>
  <c r="M84" i="11"/>
  <c r="N84" i="11"/>
  <c r="M85" i="11"/>
  <c r="N85" i="11"/>
  <c r="M86" i="11"/>
  <c r="N86" i="11"/>
  <c r="M87" i="11"/>
  <c r="N87" i="11"/>
  <c r="M88" i="11"/>
  <c r="N88" i="11"/>
  <c r="M89" i="11"/>
  <c r="N89" i="11"/>
  <c r="M90" i="11"/>
  <c r="N90" i="11"/>
  <c r="M91" i="11"/>
  <c r="N91" i="11"/>
  <c r="M92" i="11"/>
  <c r="N92" i="11"/>
  <c r="M93" i="11"/>
  <c r="N93" i="11"/>
  <c r="M94" i="11"/>
  <c r="N94" i="11"/>
  <c r="M95" i="11"/>
  <c r="N95" i="11"/>
  <c r="M96" i="11"/>
  <c r="N96" i="11"/>
  <c r="M97" i="11"/>
  <c r="N97" i="11"/>
  <c r="M98" i="11"/>
  <c r="N98" i="11"/>
  <c r="M99" i="11"/>
  <c r="N99" i="11"/>
  <c r="M100" i="11"/>
  <c r="N100" i="11"/>
  <c r="M101" i="11"/>
  <c r="N101" i="11"/>
  <c r="M102" i="11"/>
  <c r="N102" i="11"/>
  <c r="M103" i="11"/>
  <c r="N103" i="11"/>
  <c r="M104" i="11"/>
  <c r="N104" i="11"/>
  <c r="M105" i="11"/>
  <c r="N105" i="11"/>
  <c r="M106" i="11"/>
  <c r="N106" i="11"/>
  <c r="M107" i="11"/>
  <c r="N107" i="11"/>
  <c r="M108" i="11"/>
  <c r="N108" i="11"/>
  <c r="M109" i="11"/>
  <c r="N109" i="11"/>
  <c r="M110" i="11"/>
  <c r="N110" i="11"/>
  <c r="M111" i="11"/>
  <c r="N111" i="11"/>
  <c r="M112" i="11"/>
  <c r="N112" i="11"/>
  <c r="M113" i="11"/>
  <c r="N113" i="11"/>
  <c r="M114" i="11"/>
  <c r="N114" i="11"/>
  <c r="M115" i="11"/>
  <c r="N115" i="11"/>
  <c r="M116" i="11"/>
  <c r="N116" i="11"/>
  <c r="M117" i="11"/>
  <c r="N117" i="11"/>
  <c r="M118" i="11"/>
  <c r="N118" i="11"/>
  <c r="M119" i="11"/>
  <c r="N119" i="11"/>
  <c r="M120" i="11"/>
  <c r="N120" i="11"/>
  <c r="M121" i="11"/>
  <c r="N121" i="11"/>
  <c r="M122" i="11"/>
  <c r="N122" i="11"/>
  <c r="M123" i="11"/>
  <c r="N123" i="11"/>
  <c r="M124" i="11"/>
  <c r="N124" i="11"/>
  <c r="M125" i="11"/>
  <c r="N125" i="11"/>
  <c r="M126" i="11"/>
  <c r="N126" i="11"/>
  <c r="M127" i="11"/>
  <c r="N127" i="11"/>
  <c r="M128" i="11"/>
  <c r="N128" i="11"/>
  <c r="M129" i="11"/>
  <c r="N129" i="11"/>
  <c r="M130" i="11"/>
  <c r="N130" i="11"/>
  <c r="M131" i="11"/>
  <c r="N131" i="11"/>
  <c r="M132" i="11"/>
  <c r="N132" i="11"/>
  <c r="M133" i="11"/>
  <c r="N133" i="11"/>
  <c r="M134" i="11"/>
  <c r="N134" i="11"/>
  <c r="M135" i="11"/>
  <c r="N135" i="11"/>
  <c r="M136" i="11"/>
  <c r="N136" i="11"/>
  <c r="M137" i="11"/>
  <c r="N137" i="11"/>
  <c r="M138" i="11"/>
  <c r="N138" i="11"/>
  <c r="M139" i="11"/>
  <c r="N139" i="11"/>
  <c r="M140" i="11"/>
  <c r="N140" i="11"/>
  <c r="M141" i="11"/>
  <c r="N141" i="11"/>
  <c r="M142" i="11"/>
  <c r="N142" i="11"/>
  <c r="M143" i="11"/>
  <c r="N143" i="11"/>
  <c r="M144" i="11"/>
  <c r="N144" i="11"/>
  <c r="M145" i="11"/>
  <c r="N145" i="11"/>
  <c r="M146" i="11"/>
  <c r="N146" i="11"/>
  <c r="M147" i="11"/>
  <c r="N147" i="11"/>
  <c r="M148" i="11"/>
  <c r="N148" i="11"/>
  <c r="M149" i="11"/>
  <c r="N149" i="11"/>
  <c r="M150" i="11"/>
  <c r="N150" i="11"/>
  <c r="M151" i="11"/>
  <c r="N151" i="11"/>
  <c r="M152" i="11"/>
  <c r="N152" i="11"/>
  <c r="M153" i="11"/>
  <c r="N153" i="11"/>
  <c r="M154" i="11"/>
  <c r="N154" i="11"/>
  <c r="M155" i="11"/>
  <c r="N155" i="11"/>
  <c r="M156" i="11"/>
  <c r="N156" i="11"/>
  <c r="M157" i="11"/>
  <c r="N157" i="11"/>
  <c r="M158" i="11"/>
  <c r="N158" i="11"/>
  <c r="M159" i="11"/>
  <c r="N159" i="11"/>
  <c r="M160" i="11"/>
  <c r="N160" i="11"/>
  <c r="M161" i="11"/>
  <c r="N161" i="11"/>
  <c r="M162" i="11"/>
  <c r="N162" i="11"/>
  <c r="M163" i="11"/>
  <c r="N163" i="11"/>
  <c r="M164" i="11"/>
  <c r="N164" i="11"/>
  <c r="M165" i="11"/>
  <c r="N165" i="11"/>
  <c r="M166" i="11"/>
  <c r="N166" i="11"/>
  <c r="M167" i="11"/>
  <c r="N167" i="11"/>
  <c r="M168" i="11"/>
  <c r="N168" i="11"/>
  <c r="M169" i="11"/>
  <c r="N169" i="11"/>
  <c r="M170" i="11"/>
  <c r="N170" i="11"/>
  <c r="M171" i="11"/>
  <c r="N171" i="11"/>
  <c r="M172" i="11"/>
  <c r="N172" i="11"/>
  <c r="M173" i="11"/>
  <c r="N173" i="11"/>
  <c r="M174" i="11"/>
  <c r="N174" i="11"/>
  <c r="M175" i="11"/>
  <c r="N175" i="11"/>
  <c r="M176" i="11"/>
  <c r="N176" i="11"/>
  <c r="M177" i="11"/>
  <c r="N177" i="11"/>
  <c r="M178" i="11"/>
  <c r="N178" i="11"/>
  <c r="M179" i="11"/>
  <c r="N179" i="11"/>
  <c r="M180" i="11"/>
  <c r="N180" i="11"/>
  <c r="M181" i="11"/>
  <c r="N181" i="11"/>
  <c r="M182" i="11"/>
  <c r="N182" i="11"/>
  <c r="M183" i="11"/>
  <c r="N183" i="11"/>
  <c r="M184" i="11"/>
  <c r="N184" i="11"/>
  <c r="M185" i="11"/>
  <c r="N185" i="11"/>
  <c r="M186" i="11"/>
  <c r="N186" i="11"/>
  <c r="M187" i="11"/>
  <c r="N187" i="11"/>
  <c r="M188" i="11"/>
  <c r="N188" i="11"/>
  <c r="M189" i="11"/>
  <c r="N189" i="11"/>
  <c r="M190" i="11"/>
  <c r="N190" i="11"/>
  <c r="M191" i="11"/>
  <c r="N191" i="11"/>
  <c r="M192" i="11"/>
  <c r="N192" i="11"/>
  <c r="M193" i="11"/>
  <c r="N193" i="11"/>
  <c r="M194" i="11"/>
  <c r="N194" i="11"/>
  <c r="M195" i="11"/>
  <c r="N195" i="11"/>
  <c r="M196" i="11"/>
  <c r="N196" i="11"/>
  <c r="M197" i="11"/>
  <c r="N197" i="11"/>
  <c r="M198" i="11"/>
  <c r="N198" i="11"/>
  <c r="M199" i="11"/>
  <c r="N199" i="11"/>
  <c r="M200" i="11"/>
  <c r="N200" i="11"/>
  <c r="M201" i="11"/>
  <c r="N201" i="11"/>
  <c r="M202" i="11"/>
  <c r="N202" i="11"/>
  <c r="M203" i="11"/>
  <c r="N203" i="11"/>
  <c r="M204" i="11"/>
  <c r="N204" i="11"/>
  <c r="M205" i="11"/>
  <c r="N205" i="11"/>
  <c r="M206" i="11"/>
  <c r="N206" i="11"/>
  <c r="M207" i="11"/>
  <c r="N207" i="11"/>
  <c r="M208" i="11"/>
  <c r="N208" i="11"/>
  <c r="M209" i="11"/>
  <c r="N209" i="11"/>
  <c r="M210" i="11"/>
  <c r="N210" i="11"/>
  <c r="M211" i="11"/>
  <c r="N211" i="11"/>
  <c r="M212" i="11"/>
  <c r="N212" i="11"/>
  <c r="M213" i="11"/>
  <c r="N213" i="11"/>
  <c r="M214" i="11"/>
  <c r="N214" i="11"/>
  <c r="M215" i="11"/>
  <c r="N215" i="11"/>
  <c r="M216" i="11"/>
  <c r="N216" i="11"/>
  <c r="M217" i="11"/>
  <c r="N217" i="11"/>
  <c r="M218" i="11"/>
  <c r="N218" i="11"/>
  <c r="M219" i="11"/>
  <c r="N219" i="11"/>
  <c r="M220" i="11"/>
  <c r="N220" i="11"/>
  <c r="M221" i="11"/>
  <c r="N221" i="11"/>
  <c r="M222" i="11"/>
  <c r="N222" i="11"/>
  <c r="M223" i="11"/>
  <c r="N223" i="11"/>
  <c r="M224" i="11"/>
  <c r="N224" i="11"/>
  <c r="M225" i="11"/>
  <c r="N225" i="11"/>
  <c r="M226" i="11"/>
  <c r="N226" i="11"/>
  <c r="M227" i="11"/>
  <c r="N227" i="11"/>
  <c r="M228" i="11"/>
  <c r="N228" i="11"/>
  <c r="M229" i="11"/>
  <c r="N229" i="11"/>
  <c r="M230" i="11"/>
  <c r="N230" i="11"/>
  <c r="M231" i="11"/>
  <c r="N231" i="11"/>
  <c r="M232" i="11"/>
  <c r="N232" i="11"/>
  <c r="M233" i="11"/>
  <c r="N233" i="11"/>
  <c r="M234" i="11"/>
  <c r="N234" i="11"/>
  <c r="M235" i="11"/>
  <c r="N235" i="11"/>
  <c r="M236" i="11"/>
  <c r="N236" i="11"/>
  <c r="M237" i="11"/>
  <c r="N237" i="11"/>
  <c r="M238" i="11"/>
  <c r="N238" i="11"/>
  <c r="M239" i="11"/>
  <c r="N239" i="11"/>
  <c r="M240" i="11"/>
  <c r="N240" i="11"/>
  <c r="M241" i="11"/>
  <c r="N241" i="11"/>
  <c r="M242" i="11"/>
  <c r="N242" i="11"/>
  <c r="M243" i="11"/>
  <c r="N243" i="11"/>
  <c r="M244" i="11"/>
  <c r="N244" i="11"/>
  <c r="M245" i="11"/>
  <c r="N245" i="11"/>
  <c r="M246" i="11"/>
  <c r="N246" i="11"/>
  <c r="M247" i="11"/>
  <c r="N247" i="11"/>
  <c r="M248" i="11"/>
  <c r="N248" i="11"/>
  <c r="M249" i="11"/>
  <c r="N249" i="11"/>
  <c r="M250" i="11"/>
  <c r="N250" i="11"/>
  <c r="M251" i="11"/>
  <c r="N251" i="11"/>
  <c r="M252" i="11"/>
  <c r="N252" i="11"/>
  <c r="M253" i="11"/>
  <c r="N253" i="11"/>
  <c r="M254" i="11"/>
  <c r="N254" i="11"/>
  <c r="M255" i="11"/>
  <c r="N255" i="11"/>
  <c r="M256" i="11"/>
  <c r="N256" i="11"/>
  <c r="M257" i="11"/>
  <c r="N257" i="11"/>
  <c r="M258" i="11"/>
  <c r="N258" i="11"/>
  <c r="M259" i="11"/>
  <c r="N259" i="11"/>
  <c r="M260" i="11"/>
  <c r="N260" i="11"/>
  <c r="M261" i="11"/>
  <c r="N261" i="11"/>
  <c r="M262" i="11"/>
  <c r="N262" i="11"/>
  <c r="M263" i="11"/>
  <c r="N263" i="11"/>
  <c r="M264" i="11"/>
  <c r="N264" i="11"/>
  <c r="M265" i="11"/>
  <c r="N265" i="11"/>
  <c r="M266" i="11"/>
  <c r="N266" i="11"/>
  <c r="M267" i="11"/>
  <c r="N267" i="11"/>
  <c r="M268" i="11"/>
  <c r="N268" i="11"/>
  <c r="M269" i="11"/>
  <c r="N269" i="11"/>
  <c r="M270" i="11"/>
  <c r="N270" i="11"/>
  <c r="M271" i="11"/>
  <c r="N271" i="11"/>
  <c r="M272" i="11"/>
  <c r="N272" i="11"/>
  <c r="M273" i="11"/>
  <c r="N273" i="11"/>
  <c r="M274" i="11"/>
  <c r="N274" i="11"/>
  <c r="M275" i="11"/>
  <c r="N275" i="11"/>
  <c r="M276" i="11"/>
  <c r="N276" i="11"/>
  <c r="M277" i="11"/>
  <c r="N277" i="11"/>
  <c r="M278" i="11"/>
  <c r="N278" i="11"/>
  <c r="M279" i="11"/>
  <c r="N279" i="11"/>
  <c r="M280" i="11"/>
  <c r="N280" i="11"/>
  <c r="M281" i="11"/>
  <c r="N281" i="11"/>
  <c r="M282" i="11"/>
  <c r="N282" i="11"/>
  <c r="M283" i="11"/>
  <c r="N283" i="11"/>
  <c r="M284" i="11"/>
  <c r="N284" i="11"/>
  <c r="M285" i="11"/>
  <c r="N285" i="11"/>
  <c r="M286" i="11"/>
  <c r="N286" i="11"/>
  <c r="M287" i="11"/>
  <c r="N287" i="11"/>
  <c r="M288" i="11"/>
  <c r="N288" i="11"/>
  <c r="M289" i="11"/>
  <c r="N289" i="11"/>
  <c r="M290" i="11"/>
  <c r="N290" i="11"/>
  <c r="M291" i="11"/>
  <c r="N291" i="11"/>
  <c r="M292" i="11"/>
  <c r="N292" i="11"/>
  <c r="M293" i="11"/>
  <c r="N293" i="11"/>
  <c r="M294" i="11"/>
  <c r="N294" i="11"/>
  <c r="M295" i="11"/>
  <c r="N295" i="11"/>
  <c r="M296" i="11"/>
  <c r="N296" i="11"/>
  <c r="M297" i="11"/>
  <c r="N297" i="11"/>
  <c r="M298" i="11"/>
  <c r="N298" i="11"/>
  <c r="M299" i="11"/>
  <c r="N299" i="11"/>
  <c r="M300" i="11"/>
  <c r="N300" i="11"/>
  <c r="M301" i="11"/>
  <c r="N301" i="11"/>
  <c r="M302" i="11"/>
  <c r="N302" i="11"/>
  <c r="M303" i="11"/>
  <c r="N303" i="11"/>
  <c r="M304" i="11"/>
  <c r="N304" i="11"/>
  <c r="M305" i="11"/>
  <c r="N305" i="11"/>
  <c r="M306" i="11"/>
  <c r="N306" i="11"/>
  <c r="M307" i="11"/>
  <c r="N307" i="11"/>
  <c r="M308" i="11"/>
  <c r="N308" i="11"/>
  <c r="M309" i="11"/>
  <c r="N309" i="11"/>
  <c r="M310" i="11"/>
  <c r="N310" i="11"/>
  <c r="M311" i="11"/>
  <c r="N311" i="11"/>
  <c r="M312" i="11"/>
  <c r="N312" i="11"/>
  <c r="M313" i="11"/>
  <c r="N313" i="11"/>
  <c r="M314" i="11"/>
  <c r="N314" i="11"/>
  <c r="M315" i="11"/>
  <c r="N315" i="11"/>
  <c r="M316" i="11"/>
  <c r="N316" i="11"/>
  <c r="M317" i="11"/>
  <c r="N317" i="11"/>
  <c r="M318" i="11"/>
  <c r="N318" i="11"/>
  <c r="M319" i="11"/>
  <c r="N319" i="11"/>
  <c r="M320" i="11"/>
  <c r="N320" i="11"/>
  <c r="M321" i="11"/>
  <c r="N321" i="11"/>
  <c r="M322" i="11"/>
  <c r="N322" i="11"/>
  <c r="M323" i="11"/>
  <c r="N323" i="11"/>
  <c r="M324" i="11"/>
  <c r="N324" i="11"/>
  <c r="M325" i="11"/>
  <c r="N325" i="11"/>
  <c r="M326" i="11"/>
  <c r="N326" i="11"/>
  <c r="M327" i="11"/>
  <c r="N327" i="11"/>
  <c r="M328" i="11"/>
  <c r="N328" i="11"/>
  <c r="M329" i="11"/>
  <c r="N329" i="11"/>
  <c r="M330" i="11"/>
  <c r="N330" i="11"/>
  <c r="M331" i="11"/>
  <c r="N331" i="11"/>
  <c r="M332" i="11"/>
  <c r="N332" i="11"/>
  <c r="M333" i="11"/>
  <c r="N333" i="11"/>
  <c r="M334" i="11"/>
  <c r="N334" i="11"/>
  <c r="M335" i="11"/>
  <c r="N335" i="11"/>
  <c r="M336" i="11"/>
  <c r="N336" i="11"/>
  <c r="M337" i="11"/>
  <c r="N337" i="11"/>
  <c r="M338" i="11"/>
  <c r="N338" i="11"/>
  <c r="M339" i="11"/>
  <c r="N339" i="11"/>
  <c r="M340" i="11"/>
  <c r="N340" i="11"/>
  <c r="M341" i="11"/>
  <c r="N341" i="11"/>
  <c r="M342" i="11"/>
  <c r="N342" i="11"/>
  <c r="M343" i="11"/>
  <c r="N343" i="11"/>
  <c r="M344" i="11"/>
  <c r="N344" i="11"/>
  <c r="M345" i="11"/>
  <c r="N345" i="11"/>
  <c r="M346" i="11"/>
  <c r="N346" i="11"/>
  <c r="M347" i="11"/>
  <c r="N347" i="11"/>
  <c r="M348" i="11"/>
  <c r="N348" i="11"/>
  <c r="M349" i="11"/>
  <c r="N349" i="11"/>
  <c r="M350" i="11"/>
  <c r="N350" i="11"/>
  <c r="M351" i="11"/>
  <c r="N351" i="11"/>
  <c r="M352" i="11"/>
  <c r="N352" i="11"/>
  <c r="M353" i="11"/>
  <c r="N353" i="11"/>
  <c r="M354" i="11"/>
  <c r="N354" i="11"/>
  <c r="M355" i="11"/>
  <c r="N355" i="11"/>
  <c r="M356" i="11"/>
  <c r="N356" i="11"/>
  <c r="M357" i="11"/>
  <c r="N357" i="11"/>
  <c r="M358" i="11"/>
  <c r="N358" i="11"/>
  <c r="M359" i="11"/>
  <c r="N359" i="11"/>
  <c r="M360" i="11"/>
  <c r="N360" i="11"/>
  <c r="M361" i="11"/>
  <c r="N361" i="11"/>
  <c r="M362" i="11"/>
  <c r="N362" i="11"/>
  <c r="M363" i="11"/>
  <c r="N363" i="11"/>
  <c r="M364" i="11"/>
  <c r="N364" i="11"/>
  <c r="M365" i="11"/>
  <c r="N365" i="11"/>
  <c r="M366" i="11"/>
  <c r="N366" i="11"/>
  <c r="M367" i="11"/>
  <c r="N367" i="11"/>
  <c r="M368" i="11"/>
  <c r="N368" i="11"/>
  <c r="M369" i="11"/>
  <c r="N369" i="11"/>
  <c r="M370" i="11"/>
  <c r="N370" i="11"/>
  <c r="M371" i="11"/>
  <c r="N371" i="11"/>
  <c r="M372" i="11"/>
  <c r="N372" i="11"/>
  <c r="M373" i="11"/>
  <c r="N373" i="11"/>
  <c r="M374" i="11"/>
  <c r="N374" i="11"/>
  <c r="M375" i="11"/>
  <c r="N375" i="11"/>
  <c r="M376" i="11"/>
  <c r="N376" i="11"/>
  <c r="M377" i="11"/>
  <c r="N377" i="11"/>
  <c r="M378" i="11"/>
  <c r="N378" i="11"/>
  <c r="M379" i="11"/>
  <c r="N379" i="11"/>
  <c r="M380" i="11"/>
  <c r="N380" i="11"/>
  <c r="M381" i="11"/>
  <c r="N381" i="11"/>
  <c r="M382" i="11"/>
  <c r="N382" i="11"/>
  <c r="M383" i="11"/>
  <c r="N383" i="11"/>
  <c r="M384" i="11"/>
  <c r="N384" i="11"/>
  <c r="M385" i="11"/>
  <c r="N385" i="11"/>
  <c r="M386" i="11"/>
  <c r="N386" i="11"/>
  <c r="M387" i="11"/>
  <c r="N387" i="11"/>
  <c r="M388" i="11"/>
  <c r="N388" i="11"/>
  <c r="M389" i="11"/>
  <c r="N389" i="11"/>
  <c r="M390" i="11"/>
  <c r="N390" i="11"/>
  <c r="M391" i="11"/>
  <c r="N391" i="11"/>
  <c r="M392" i="11"/>
  <c r="N392" i="11"/>
  <c r="M393" i="11"/>
  <c r="N393" i="11"/>
  <c r="M394" i="11"/>
  <c r="N394" i="11"/>
  <c r="M395" i="11"/>
  <c r="N395" i="11"/>
  <c r="M396" i="11"/>
  <c r="N396" i="11"/>
  <c r="M397" i="11"/>
  <c r="N397" i="11"/>
  <c r="M398" i="11"/>
  <c r="N398" i="11"/>
  <c r="M399" i="11"/>
  <c r="N399" i="11"/>
  <c r="M400" i="11"/>
  <c r="N400" i="11"/>
  <c r="M401" i="11"/>
  <c r="N401" i="11"/>
  <c r="M402" i="11"/>
  <c r="N402" i="11"/>
  <c r="M403" i="11"/>
  <c r="N403" i="11"/>
  <c r="M404" i="11"/>
  <c r="N404" i="11"/>
  <c r="M405" i="11"/>
  <c r="N405" i="11"/>
  <c r="M406" i="11"/>
  <c r="N406" i="11"/>
  <c r="M407" i="11"/>
  <c r="N407" i="11"/>
  <c r="M408" i="11"/>
  <c r="N408" i="11"/>
  <c r="M409" i="11"/>
  <c r="N409" i="11"/>
  <c r="M410" i="11"/>
  <c r="N410" i="11"/>
  <c r="M411" i="11"/>
  <c r="N411" i="11"/>
  <c r="M412" i="11"/>
  <c r="N412" i="11"/>
  <c r="M413" i="11"/>
  <c r="N413" i="11"/>
  <c r="M414" i="11"/>
  <c r="N414" i="11"/>
  <c r="M415" i="11"/>
  <c r="N415" i="11"/>
  <c r="M416" i="11"/>
  <c r="N416" i="11"/>
  <c r="M417" i="11"/>
  <c r="N417" i="11"/>
  <c r="M418" i="11"/>
  <c r="N418" i="11"/>
  <c r="M419" i="11"/>
  <c r="N419" i="11"/>
  <c r="M420" i="11"/>
  <c r="N420" i="11"/>
  <c r="M421" i="11"/>
  <c r="N421" i="11"/>
  <c r="M422" i="11"/>
  <c r="N422" i="11"/>
  <c r="M423" i="11"/>
  <c r="N423" i="11"/>
  <c r="M424" i="11"/>
  <c r="N424" i="11"/>
  <c r="M425" i="11"/>
  <c r="N425" i="11"/>
  <c r="M426" i="11"/>
  <c r="N426" i="11"/>
  <c r="M427" i="11"/>
  <c r="N427" i="11"/>
  <c r="M428" i="11"/>
  <c r="N428" i="11"/>
  <c r="M429" i="11"/>
  <c r="N429" i="11"/>
  <c r="M430" i="11"/>
  <c r="N430" i="11"/>
  <c r="M431" i="11"/>
  <c r="N431" i="11"/>
  <c r="M432" i="11"/>
  <c r="N432" i="11"/>
  <c r="M433" i="11"/>
  <c r="N433" i="11"/>
  <c r="M434" i="11"/>
  <c r="N434" i="11"/>
  <c r="M435" i="11"/>
  <c r="N435" i="11"/>
  <c r="M436" i="11"/>
  <c r="N436" i="11"/>
  <c r="M437" i="11"/>
  <c r="N437" i="11"/>
  <c r="M438" i="11"/>
  <c r="N438" i="11"/>
  <c r="M439" i="11"/>
  <c r="N439" i="11"/>
  <c r="M440" i="11"/>
  <c r="N440" i="11"/>
  <c r="M441" i="11"/>
  <c r="N441" i="11"/>
  <c r="M442" i="11"/>
  <c r="N442" i="11"/>
  <c r="M443" i="11"/>
  <c r="N443" i="11"/>
  <c r="M444" i="11"/>
  <c r="N444" i="11"/>
  <c r="M445" i="11"/>
  <c r="N445" i="11"/>
  <c r="M446" i="11"/>
  <c r="N446" i="11"/>
  <c r="M447" i="11"/>
  <c r="N447" i="11"/>
  <c r="M448" i="11"/>
  <c r="N448" i="11"/>
  <c r="M449" i="11"/>
  <c r="N449" i="11"/>
  <c r="M450" i="11"/>
  <c r="N450" i="11"/>
  <c r="M451" i="11"/>
  <c r="N451" i="11"/>
  <c r="M452" i="11"/>
  <c r="N452" i="11"/>
  <c r="M453" i="11"/>
  <c r="N453" i="11"/>
  <c r="M454" i="11"/>
  <c r="N454" i="11"/>
  <c r="M455" i="11"/>
  <c r="N455" i="11"/>
  <c r="M456" i="11"/>
  <c r="N456" i="11"/>
  <c r="M457" i="11"/>
  <c r="N457" i="11"/>
  <c r="M458" i="11"/>
  <c r="N458" i="11"/>
  <c r="M459" i="11"/>
  <c r="N459" i="11"/>
  <c r="M460" i="11"/>
  <c r="N460" i="11"/>
  <c r="M461" i="11"/>
  <c r="N461" i="11"/>
  <c r="M462" i="11"/>
  <c r="N462" i="11"/>
  <c r="M463" i="11"/>
  <c r="N463" i="11"/>
  <c r="M464" i="11"/>
  <c r="N464" i="11"/>
  <c r="M465" i="11"/>
  <c r="N465" i="11"/>
  <c r="M466" i="11"/>
  <c r="N466" i="11"/>
  <c r="M467" i="11"/>
  <c r="N467" i="11"/>
  <c r="M468" i="11"/>
  <c r="N468" i="11"/>
  <c r="M469" i="11"/>
  <c r="N469" i="11"/>
  <c r="M470" i="11"/>
  <c r="N470" i="11"/>
  <c r="M471" i="11"/>
  <c r="N471" i="11"/>
  <c r="M472" i="11"/>
  <c r="N472" i="11"/>
  <c r="M473" i="11"/>
  <c r="N473" i="11"/>
  <c r="M474" i="11"/>
  <c r="N474" i="11"/>
  <c r="M475" i="11"/>
  <c r="N475" i="11"/>
  <c r="M476" i="11"/>
  <c r="N476" i="11"/>
  <c r="M477" i="11"/>
  <c r="N477" i="11"/>
  <c r="M478" i="11"/>
  <c r="N478" i="11"/>
  <c r="M479" i="11"/>
  <c r="N479" i="11"/>
  <c r="M480" i="11"/>
  <c r="N480" i="11"/>
  <c r="M481" i="11"/>
  <c r="N481" i="11"/>
  <c r="M482" i="11"/>
  <c r="N482" i="11"/>
  <c r="M483" i="11"/>
  <c r="N483" i="11"/>
  <c r="M484" i="11"/>
  <c r="N484" i="11"/>
  <c r="M485" i="11"/>
  <c r="N485" i="11"/>
  <c r="M486" i="11"/>
  <c r="N486" i="11"/>
  <c r="M487" i="11"/>
  <c r="N487" i="11"/>
  <c r="M488" i="11"/>
  <c r="N488" i="11"/>
  <c r="M489" i="11"/>
  <c r="N489" i="11"/>
  <c r="M490" i="11"/>
  <c r="N490" i="11"/>
  <c r="M491" i="11"/>
  <c r="N491" i="11"/>
  <c r="M492" i="11"/>
  <c r="N492" i="11"/>
  <c r="M493" i="11"/>
  <c r="N493" i="11"/>
  <c r="M494" i="11"/>
  <c r="N494" i="11"/>
  <c r="M495" i="11"/>
  <c r="N495" i="11"/>
  <c r="M496" i="11"/>
  <c r="N496" i="11"/>
  <c r="M497" i="11"/>
  <c r="N497" i="11"/>
  <c r="M498" i="11"/>
  <c r="N498" i="11"/>
  <c r="M499" i="11"/>
  <c r="N499" i="11"/>
  <c r="M500" i="11"/>
  <c r="N500" i="11"/>
  <c r="M501" i="11"/>
  <c r="N501" i="11"/>
  <c r="M502" i="11"/>
  <c r="N502" i="11"/>
  <c r="M503" i="11"/>
  <c r="N503" i="11"/>
  <c r="M504" i="11"/>
  <c r="N504" i="11"/>
  <c r="M505" i="11"/>
  <c r="N505" i="11"/>
  <c r="M506" i="11"/>
  <c r="N506" i="11"/>
  <c r="M507" i="11"/>
  <c r="N507" i="11"/>
  <c r="M508" i="11"/>
  <c r="N508" i="11"/>
  <c r="M509" i="11"/>
  <c r="N509" i="11"/>
  <c r="M510" i="11"/>
  <c r="N510" i="11"/>
  <c r="M511" i="11"/>
  <c r="N511" i="11"/>
  <c r="M512" i="11"/>
  <c r="N512" i="11"/>
  <c r="M513" i="11"/>
  <c r="N513" i="11"/>
  <c r="M514" i="11"/>
  <c r="N514" i="11"/>
  <c r="M515" i="11"/>
  <c r="N515" i="11"/>
  <c r="M516" i="11"/>
  <c r="N516" i="11"/>
  <c r="M517" i="11"/>
  <c r="N517" i="11"/>
  <c r="M518" i="11"/>
  <c r="N518" i="11"/>
  <c r="M519" i="11"/>
  <c r="N519" i="11"/>
  <c r="M520" i="11"/>
  <c r="N520" i="11"/>
  <c r="M521" i="11"/>
  <c r="N521" i="11"/>
  <c r="M522" i="11"/>
  <c r="N522" i="11"/>
  <c r="M523" i="11"/>
  <c r="N523" i="11"/>
  <c r="M524" i="11"/>
  <c r="N524" i="11"/>
  <c r="M525" i="11"/>
  <c r="N525" i="11"/>
  <c r="M526" i="11"/>
  <c r="N526" i="11"/>
  <c r="M527" i="11"/>
  <c r="N527" i="11"/>
  <c r="M528" i="11"/>
  <c r="N528" i="11"/>
  <c r="M529" i="11"/>
  <c r="N529" i="11"/>
  <c r="M530" i="11"/>
  <c r="N530" i="11"/>
  <c r="M531" i="11"/>
  <c r="N531" i="11"/>
  <c r="M532" i="11"/>
  <c r="N532" i="11"/>
  <c r="M533" i="11"/>
  <c r="N533" i="11"/>
  <c r="M534" i="11"/>
  <c r="N534" i="11"/>
  <c r="M535" i="11"/>
  <c r="N535" i="11"/>
  <c r="M536" i="11"/>
  <c r="N536" i="11"/>
  <c r="M537" i="11"/>
  <c r="N537" i="11"/>
  <c r="M538" i="11"/>
  <c r="N538" i="11"/>
  <c r="M539" i="11"/>
  <c r="N539" i="11"/>
  <c r="M540" i="11"/>
  <c r="N540" i="11"/>
  <c r="M541" i="11"/>
  <c r="N541" i="11"/>
  <c r="M542" i="11"/>
  <c r="N542" i="11"/>
  <c r="M543" i="11"/>
  <c r="N543" i="11"/>
  <c r="M544" i="11"/>
  <c r="N544" i="11"/>
  <c r="M545" i="11"/>
  <c r="N545" i="11"/>
  <c r="M546" i="11"/>
  <c r="N546" i="11"/>
  <c r="M547" i="11"/>
  <c r="N547" i="11"/>
  <c r="M548" i="11"/>
  <c r="N548" i="11"/>
  <c r="M549" i="11"/>
  <c r="N549" i="11"/>
  <c r="M550" i="11"/>
  <c r="N550" i="11"/>
  <c r="M551" i="11"/>
  <c r="N551" i="11"/>
  <c r="M552" i="11"/>
  <c r="N552" i="11"/>
  <c r="M553" i="11"/>
  <c r="N553" i="11"/>
  <c r="M554" i="11"/>
  <c r="N554" i="11"/>
  <c r="M555" i="11"/>
  <c r="N555" i="11"/>
  <c r="M556" i="11"/>
  <c r="N556" i="11"/>
  <c r="M557" i="11"/>
  <c r="N557" i="11"/>
  <c r="M558" i="11"/>
  <c r="N558" i="11"/>
  <c r="M559" i="11"/>
  <c r="N559" i="11"/>
  <c r="M560" i="11"/>
  <c r="N560" i="11"/>
  <c r="M561" i="11"/>
  <c r="N561" i="11"/>
  <c r="M562" i="11"/>
  <c r="N562" i="11"/>
  <c r="M563" i="11"/>
  <c r="N563" i="11"/>
  <c r="M564" i="11"/>
  <c r="N564" i="11"/>
  <c r="M565" i="11"/>
  <c r="N565" i="11"/>
  <c r="M566" i="11"/>
  <c r="N566" i="11"/>
  <c r="M567" i="11"/>
  <c r="N567" i="11"/>
  <c r="M568" i="11"/>
  <c r="N568" i="11"/>
  <c r="M569" i="11"/>
  <c r="N569" i="11"/>
  <c r="M570" i="11"/>
  <c r="N570" i="11"/>
  <c r="M571" i="11"/>
  <c r="N571" i="11"/>
  <c r="M572" i="11"/>
  <c r="N572" i="11"/>
  <c r="M573" i="11"/>
  <c r="N573" i="11"/>
  <c r="M574" i="11"/>
  <c r="N574" i="11"/>
  <c r="M575" i="11"/>
  <c r="N575" i="11"/>
  <c r="M576" i="11"/>
  <c r="N576" i="11"/>
  <c r="M577" i="11"/>
  <c r="N577" i="11"/>
  <c r="M578" i="11"/>
  <c r="N578" i="11"/>
  <c r="M579" i="11"/>
  <c r="N579" i="11"/>
  <c r="M580" i="11"/>
  <c r="N580" i="11"/>
  <c r="M581" i="11"/>
  <c r="N581" i="11"/>
  <c r="M582" i="11"/>
  <c r="N582" i="11"/>
  <c r="M583" i="11"/>
  <c r="N583" i="11"/>
  <c r="M584" i="11"/>
  <c r="N584" i="11"/>
  <c r="M585" i="11"/>
  <c r="N585" i="11"/>
  <c r="M586" i="11"/>
  <c r="N586" i="11"/>
  <c r="M587" i="11"/>
  <c r="N587" i="11"/>
  <c r="M588" i="11"/>
  <c r="N588" i="11"/>
  <c r="M589" i="11"/>
  <c r="N589" i="11"/>
  <c r="M590" i="11"/>
  <c r="N590" i="11"/>
  <c r="M591" i="11"/>
  <c r="N591" i="11"/>
  <c r="M592" i="11"/>
  <c r="N592" i="11"/>
  <c r="M593" i="11"/>
  <c r="N593" i="11"/>
  <c r="M594" i="11"/>
  <c r="N594" i="11"/>
  <c r="M595" i="11"/>
  <c r="N595" i="11"/>
  <c r="M596" i="11"/>
  <c r="N596" i="11"/>
  <c r="M597" i="11"/>
  <c r="N597" i="11"/>
  <c r="M598" i="11"/>
  <c r="N598" i="11"/>
  <c r="M599" i="11"/>
  <c r="N599" i="11"/>
  <c r="M600" i="11"/>
  <c r="N600" i="11"/>
  <c r="M601" i="11"/>
  <c r="N601" i="11"/>
  <c r="M602" i="11"/>
  <c r="N602" i="11"/>
  <c r="M603" i="11"/>
  <c r="N603" i="11"/>
  <c r="M604" i="11"/>
  <c r="N604" i="11"/>
  <c r="M605" i="11"/>
  <c r="N605" i="11"/>
  <c r="M606" i="11"/>
  <c r="N606" i="11"/>
  <c r="M607" i="11"/>
  <c r="N607" i="11"/>
  <c r="M608" i="11"/>
  <c r="N608" i="11"/>
  <c r="M609" i="11"/>
  <c r="N609" i="11"/>
  <c r="M610" i="11"/>
  <c r="N610" i="11"/>
  <c r="M611" i="11"/>
  <c r="N611" i="11"/>
  <c r="M612" i="11"/>
  <c r="N612" i="11"/>
  <c r="M613" i="11"/>
  <c r="N613" i="11"/>
  <c r="M614" i="11"/>
  <c r="N614" i="11"/>
  <c r="M615" i="11"/>
  <c r="N615" i="11"/>
  <c r="M616" i="11"/>
  <c r="N616" i="11"/>
  <c r="M617" i="11"/>
  <c r="N617" i="11"/>
  <c r="M618" i="11"/>
  <c r="N618" i="11"/>
  <c r="M619" i="11"/>
  <c r="N619" i="11"/>
  <c r="M620" i="11"/>
  <c r="N620" i="11"/>
  <c r="M621" i="11"/>
  <c r="N621" i="11"/>
  <c r="M622" i="11"/>
  <c r="N622" i="11"/>
  <c r="M623" i="11"/>
  <c r="N623" i="11"/>
  <c r="M624" i="11"/>
  <c r="N624" i="11"/>
  <c r="M625" i="11"/>
  <c r="N625" i="11"/>
  <c r="M626" i="11"/>
  <c r="N626" i="11"/>
  <c r="M627" i="11"/>
  <c r="N627" i="11"/>
  <c r="M628" i="11"/>
  <c r="N628" i="11"/>
  <c r="M629" i="11"/>
  <c r="N629" i="11"/>
  <c r="M630" i="11"/>
  <c r="N630" i="11"/>
  <c r="M631" i="11"/>
  <c r="N631" i="11"/>
  <c r="M632" i="11"/>
  <c r="N632" i="11"/>
  <c r="M633" i="11"/>
  <c r="N633" i="11"/>
  <c r="M634" i="11"/>
  <c r="N634" i="11"/>
  <c r="M635" i="11"/>
  <c r="N635" i="11"/>
  <c r="M636" i="11"/>
  <c r="N636" i="11"/>
  <c r="M637" i="11"/>
  <c r="N637" i="11"/>
  <c r="M638" i="11"/>
  <c r="N638" i="11"/>
  <c r="M639" i="11"/>
  <c r="N639" i="11"/>
  <c r="M640" i="11"/>
  <c r="N640" i="11"/>
  <c r="M641" i="11"/>
  <c r="N641" i="11"/>
  <c r="M642" i="11"/>
  <c r="N642" i="11"/>
  <c r="M643" i="11"/>
  <c r="N643" i="11"/>
  <c r="M644" i="11"/>
  <c r="N644" i="11"/>
  <c r="M645" i="11"/>
  <c r="N645" i="11"/>
  <c r="M646" i="11"/>
  <c r="N646" i="11"/>
  <c r="M647" i="11"/>
  <c r="N647" i="11"/>
  <c r="M648" i="11"/>
  <c r="N648" i="11"/>
  <c r="M649" i="11"/>
  <c r="N649" i="11"/>
  <c r="M650" i="11"/>
  <c r="N650" i="11"/>
  <c r="M651" i="11"/>
  <c r="N651" i="11"/>
  <c r="M652" i="11"/>
  <c r="N652" i="11"/>
  <c r="M653" i="11"/>
  <c r="N653" i="11"/>
  <c r="M654" i="11"/>
  <c r="N654" i="11"/>
  <c r="M655" i="11"/>
  <c r="N655" i="11"/>
  <c r="M656" i="11"/>
  <c r="N656" i="11"/>
  <c r="M657" i="11"/>
  <c r="N657" i="11"/>
  <c r="M658" i="11"/>
  <c r="N658" i="11"/>
  <c r="M659" i="11"/>
  <c r="N659" i="11"/>
  <c r="M660" i="11"/>
  <c r="N660" i="11"/>
  <c r="M661" i="11"/>
  <c r="N661" i="11"/>
  <c r="M662" i="11"/>
  <c r="N662" i="11"/>
  <c r="M663" i="11"/>
  <c r="N663" i="11"/>
  <c r="M664" i="11"/>
  <c r="N664" i="11"/>
  <c r="M665" i="11"/>
  <c r="N665" i="11"/>
  <c r="M666" i="11"/>
  <c r="N666" i="11"/>
  <c r="M667" i="11"/>
  <c r="N667" i="11"/>
  <c r="M668" i="11"/>
  <c r="N668" i="11"/>
  <c r="M669" i="11"/>
  <c r="N669" i="11"/>
  <c r="M670" i="11"/>
  <c r="N670" i="11"/>
  <c r="M671" i="11"/>
  <c r="N671" i="11"/>
  <c r="M672" i="11"/>
  <c r="N672" i="11"/>
  <c r="M673" i="11"/>
  <c r="N673" i="11"/>
  <c r="M674" i="11"/>
  <c r="N674" i="11"/>
  <c r="M675" i="11"/>
  <c r="N675" i="11"/>
  <c r="M676" i="11"/>
  <c r="N676" i="11"/>
  <c r="M677" i="11"/>
  <c r="N677" i="11"/>
  <c r="M678" i="11"/>
  <c r="N678" i="11"/>
  <c r="M679" i="11"/>
  <c r="N679" i="11"/>
  <c r="M680" i="11"/>
  <c r="N680" i="11"/>
  <c r="M681" i="11"/>
  <c r="N681" i="11"/>
  <c r="M682" i="11"/>
  <c r="N682" i="11"/>
  <c r="M683" i="11"/>
  <c r="N683" i="11"/>
  <c r="M684" i="11"/>
  <c r="N684" i="11"/>
  <c r="M685" i="11"/>
  <c r="N685" i="11"/>
  <c r="M686" i="11"/>
  <c r="N686" i="11"/>
  <c r="M687" i="11"/>
  <c r="N687" i="11"/>
  <c r="M688" i="11"/>
  <c r="N688" i="11"/>
  <c r="M689" i="11"/>
  <c r="N689" i="11"/>
  <c r="M690" i="11"/>
  <c r="N690" i="11"/>
  <c r="M691" i="11"/>
  <c r="N691" i="11"/>
  <c r="M692" i="11"/>
  <c r="N692" i="11"/>
  <c r="M693" i="11"/>
  <c r="N693" i="11"/>
  <c r="M694" i="11"/>
  <c r="N694" i="11"/>
  <c r="M695" i="11"/>
  <c r="N695" i="11"/>
  <c r="M696" i="11"/>
  <c r="N696" i="11"/>
  <c r="M697" i="11"/>
  <c r="N697" i="11"/>
  <c r="M698" i="11"/>
  <c r="N698" i="11"/>
  <c r="M699" i="11"/>
  <c r="N699" i="11"/>
  <c r="M700" i="11"/>
  <c r="N700" i="11"/>
  <c r="M701" i="11"/>
  <c r="N701" i="11"/>
  <c r="M702" i="11"/>
  <c r="N702" i="11"/>
  <c r="M703" i="11"/>
  <c r="N703" i="11"/>
  <c r="M704" i="11"/>
  <c r="N704" i="11"/>
  <c r="M705" i="11"/>
  <c r="N705" i="11"/>
  <c r="M706" i="11"/>
  <c r="N706" i="11"/>
  <c r="M707" i="11"/>
  <c r="N707" i="11"/>
  <c r="M708" i="11"/>
  <c r="N708" i="11"/>
  <c r="M709" i="11"/>
  <c r="N709" i="11"/>
  <c r="M710" i="11"/>
  <c r="N710" i="11"/>
  <c r="M711" i="11"/>
  <c r="N711" i="11"/>
  <c r="M712" i="11"/>
  <c r="N712" i="11"/>
  <c r="M713" i="11"/>
  <c r="N713" i="11"/>
  <c r="M714" i="11"/>
  <c r="N714" i="11"/>
  <c r="M715" i="11"/>
  <c r="N715" i="11"/>
  <c r="M716" i="11"/>
  <c r="N716" i="11"/>
  <c r="M717" i="11"/>
  <c r="N717" i="11"/>
  <c r="M718" i="11"/>
  <c r="N718" i="11"/>
  <c r="M719" i="11"/>
  <c r="N719" i="11"/>
  <c r="M720" i="11"/>
  <c r="N720" i="11"/>
  <c r="M721" i="11"/>
  <c r="N721" i="11"/>
  <c r="M722" i="11"/>
  <c r="N722" i="11"/>
  <c r="M723" i="11"/>
  <c r="N723" i="11"/>
  <c r="M724" i="11"/>
  <c r="N724" i="11"/>
  <c r="M725" i="11"/>
  <c r="N725" i="11"/>
  <c r="M726" i="11"/>
  <c r="N726" i="11"/>
  <c r="M727" i="11"/>
  <c r="N727" i="11"/>
  <c r="M728" i="11"/>
  <c r="N728" i="11"/>
  <c r="M729" i="11"/>
  <c r="N729" i="11"/>
  <c r="M730" i="11"/>
  <c r="N730" i="11"/>
  <c r="M731" i="11"/>
  <c r="N731" i="11"/>
  <c r="M732" i="11"/>
  <c r="N732" i="11"/>
  <c r="M733" i="11"/>
  <c r="N733" i="11"/>
  <c r="M734" i="11"/>
  <c r="N734" i="11"/>
  <c r="M735" i="11"/>
  <c r="N735" i="11"/>
  <c r="M736" i="11"/>
  <c r="N736" i="11"/>
  <c r="M737" i="11"/>
  <c r="N737" i="11"/>
  <c r="M738" i="11"/>
  <c r="N738" i="11"/>
  <c r="M739" i="11"/>
  <c r="N739" i="11"/>
  <c r="M740" i="11"/>
  <c r="N740" i="11"/>
  <c r="M741" i="11"/>
  <c r="N741" i="11"/>
  <c r="M742" i="11"/>
  <c r="N742" i="11"/>
  <c r="M743" i="11"/>
  <c r="N743" i="11"/>
  <c r="M744" i="11"/>
  <c r="N744" i="11"/>
  <c r="M745" i="11"/>
  <c r="N745" i="11"/>
  <c r="M746" i="11"/>
  <c r="N746" i="11"/>
  <c r="M747" i="11"/>
  <c r="N747" i="11"/>
  <c r="M748" i="11"/>
  <c r="N748" i="11"/>
  <c r="M749" i="11"/>
  <c r="N749" i="11"/>
  <c r="M750" i="11"/>
  <c r="N750" i="11"/>
  <c r="M751" i="11"/>
  <c r="N751" i="11"/>
  <c r="M752" i="11"/>
  <c r="N752" i="11"/>
  <c r="M753" i="11"/>
  <c r="N753" i="11"/>
  <c r="M754" i="11"/>
  <c r="N754" i="11"/>
  <c r="M755" i="11"/>
  <c r="N755" i="11"/>
  <c r="M756" i="11"/>
  <c r="N756" i="11"/>
  <c r="M757" i="11"/>
  <c r="N757" i="11"/>
  <c r="M758" i="11"/>
  <c r="N758" i="11"/>
  <c r="M759" i="11"/>
  <c r="N759" i="11"/>
  <c r="M760" i="11"/>
  <c r="N760" i="11"/>
  <c r="M761" i="11"/>
  <c r="N761" i="11"/>
  <c r="M762" i="11"/>
  <c r="N762" i="11"/>
  <c r="M763" i="11"/>
  <c r="N763" i="11"/>
  <c r="M764" i="11"/>
  <c r="N764" i="11"/>
  <c r="M765" i="11"/>
  <c r="N765" i="11"/>
  <c r="M766" i="11"/>
  <c r="N766" i="11"/>
  <c r="M767" i="11"/>
  <c r="N767" i="11"/>
  <c r="M768" i="11"/>
  <c r="N768" i="11"/>
  <c r="M769" i="11"/>
  <c r="N769" i="11"/>
  <c r="M770" i="11"/>
  <c r="N770" i="11"/>
  <c r="M771" i="11"/>
  <c r="N771" i="11"/>
  <c r="M772" i="11"/>
  <c r="N772" i="11"/>
  <c r="M773" i="11"/>
  <c r="N773" i="11"/>
  <c r="M774" i="11"/>
  <c r="N774" i="11"/>
  <c r="M775" i="11"/>
  <c r="N775" i="11"/>
  <c r="M776" i="11"/>
  <c r="N776" i="11"/>
  <c r="M777" i="11"/>
  <c r="N777" i="11"/>
  <c r="M778" i="11"/>
  <c r="N778" i="11"/>
  <c r="M779" i="11"/>
  <c r="N779" i="11"/>
  <c r="M780" i="11"/>
  <c r="N780" i="11"/>
  <c r="M781" i="11"/>
  <c r="N781" i="11"/>
  <c r="M782" i="11"/>
  <c r="N782" i="11"/>
  <c r="M783" i="11"/>
  <c r="N783" i="11"/>
  <c r="M784" i="11"/>
  <c r="N784" i="11"/>
  <c r="M785" i="11"/>
  <c r="N785" i="11"/>
  <c r="M786" i="11"/>
  <c r="N786" i="11"/>
  <c r="M787" i="11"/>
  <c r="N787" i="11"/>
  <c r="M788" i="11"/>
  <c r="N788" i="11"/>
  <c r="M789" i="11"/>
  <c r="N789" i="11"/>
  <c r="M790" i="11"/>
  <c r="N790" i="11"/>
  <c r="M791" i="11"/>
  <c r="N791" i="11"/>
  <c r="M792" i="11"/>
  <c r="N792" i="11"/>
  <c r="M793" i="11"/>
  <c r="N793" i="11"/>
  <c r="M794" i="11"/>
  <c r="N794" i="11"/>
  <c r="M795" i="11"/>
  <c r="N795" i="11"/>
  <c r="M796" i="11"/>
  <c r="N796" i="11"/>
  <c r="M797" i="11"/>
  <c r="N797" i="11"/>
  <c r="M798" i="11"/>
  <c r="N798" i="11"/>
  <c r="M799" i="11"/>
  <c r="N799" i="11"/>
  <c r="M800" i="11"/>
  <c r="N800" i="11"/>
  <c r="M801" i="11"/>
  <c r="N801" i="11"/>
  <c r="M802" i="11"/>
  <c r="N802" i="11"/>
  <c r="M803" i="11"/>
  <c r="N803" i="11"/>
  <c r="M804" i="11"/>
  <c r="N804" i="11"/>
  <c r="M805" i="11"/>
  <c r="N805" i="11"/>
  <c r="M806" i="11"/>
  <c r="N806" i="11"/>
  <c r="M807" i="11"/>
  <c r="N807" i="11"/>
  <c r="M808" i="11"/>
  <c r="N808" i="11"/>
  <c r="M809" i="11"/>
  <c r="N809" i="11"/>
  <c r="M810" i="11"/>
  <c r="N810" i="11"/>
  <c r="M811" i="11"/>
  <c r="N811" i="11"/>
  <c r="M812" i="11"/>
  <c r="N812" i="11"/>
  <c r="M813" i="11"/>
  <c r="N813" i="11"/>
  <c r="M814" i="11"/>
  <c r="N814" i="11"/>
  <c r="M815" i="11"/>
  <c r="N815" i="11"/>
  <c r="M816" i="11"/>
  <c r="N816" i="11"/>
  <c r="M817" i="11"/>
  <c r="N817" i="11"/>
  <c r="M818" i="11"/>
  <c r="N818" i="11"/>
  <c r="M819" i="11"/>
  <c r="N819" i="11"/>
  <c r="M820" i="11"/>
  <c r="N820" i="11"/>
  <c r="M821" i="11"/>
  <c r="N821" i="11"/>
  <c r="M822" i="11"/>
  <c r="N822" i="11"/>
  <c r="M823" i="11"/>
  <c r="N823" i="11"/>
  <c r="M824" i="11"/>
  <c r="N824" i="11"/>
  <c r="M825" i="11"/>
  <c r="N825" i="11"/>
  <c r="M826" i="11"/>
  <c r="N826" i="11"/>
  <c r="M827" i="11"/>
  <c r="N827" i="11"/>
  <c r="M828" i="11"/>
  <c r="N828" i="11"/>
  <c r="M829" i="11"/>
  <c r="N829" i="11"/>
  <c r="M830" i="11"/>
  <c r="N830" i="11"/>
  <c r="M831" i="11"/>
  <c r="N831" i="11"/>
  <c r="M832" i="11"/>
  <c r="N832" i="11"/>
  <c r="M833" i="11"/>
  <c r="N833" i="11"/>
  <c r="M834" i="11"/>
  <c r="N834" i="11"/>
  <c r="M835" i="11"/>
  <c r="N835" i="11"/>
  <c r="M836" i="11"/>
  <c r="N836" i="11"/>
  <c r="M837" i="11"/>
  <c r="N837" i="11"/>
  <c r="M838" i="11"/>
  <c r="N838" i="11"/>
  <c r="M839" i="11"/>
  <c r="N839" i="11"/>
  <c r="M840" i="11"/>
  <c r="N840" i="11"/>
  <c r="M841" i="11"/>
  <c r="N841" i="11"/>
  <c r="M842" i="11"/>
  <c r="N842" i="11"/>
  <c r="M843" i="11"/>
  <c r="N843" i="11"/>
  <c r="M844" i="11"/>
  <c r="N844" i="11"/>
  <c r="M845" i="11"/>
  <c r="N845" i="11"/>
  <c r="M846" i="11"/>
  <c r="N846" i="11"/>
  <c r="M847" i="11"/>
  <c r="N847" i="11"/>
  <c r="M848" i="11"/>
  <c r="N848" i="11"/>
  <c r="M849" i="11"/>
  <c r="N849" i="11"/>
  <c r="M850" i="11"/>
  <c r="N850" i="11"/>
  <c r="M851" i="11"/>
  <c r="N851" i="11"/>
  <c r="M852" i="11"/>
  <c r="N852" i="11"/>
  <c r="M853" i="11"/>
  <c r="N853" i="11"/>
  <c r="M854" i="11"/>
  <c r="N854" i="11"/>
  <c r="M855" i="11"/>
  <c r="N855" i="11"/>
  <c r="M856" i="11"/>
  <c r="N856" i="11"/>
  <c r="M857" i="11"/>
  <c r="N857" i="11"/>
  <c r="M858" i="11"/>
  <c r="N858" i="11"/>
  <c r="M859" i="11"/>
  <c r="N859" i="11"/>
  <c r="M860" i="11"/>
  <c r="N860" i="11"/>
  <c r="M861" i="11"/>
  <c r="N861" i="11"/>
  <c r="M862" i="11"/>
  <c r="N862" i="11"/>
  <c r="M863" i="11"/>
  <c r="N863" i="11"/>
  <c r="M864" i="11"/>
  <c r="N864" i="11"/>
  <c r="M865" i="11"/>
  <c r="N865" i="11"/>
  <c r="M866" i="11"/>
  <c r="N866" i="11"/>
  <c r="M867" i="11"/>
  <c r="N867" i="11"/>
  <c r="M868" i="11"/>
  <c r="N868" i="11"/>
  <c r="M869" i="11"/>
  <c r="N869" i="11"/>
  <c r="M870" i="11"/>
  <c r="N870" i="11"/>
  <c r="M871" i="11"/>
  <c r="N871" i="11"/>
  <c r="M872" i="11"/>
  <c r="N872" i="11"/>
  <c r="M873" i="11"/>
  <c r="N873" i="11"/>
  <c r="M874" i="11"/>
  <c r="N874" i="11"/>
  <c r="M875" i="11"/>
  <c r="N875" i="11"/>
  <c r="M876" i="11"/>
  <c r="N876" i="11"/>
  <c r="M877" i="11"/>
  <c r="N877" i="11"/>
  <c r="M878" i="11"/>
  <c r="N878" i="11"/>
  <c r="M879" i="11"/>
  <c r="N879" i="11"/>
  <c r="M880" i="11"/>
  <c r="N880" i="11"/>
  <c r="M881" i="11"/>
  <c r="N881" i="11"/>
  <c r="M882" i="11"/>
  <c r="N882" i="11"/>
  <c r="M883" i="11"/>
  <c r="N883" i="11"/>
  <c r="M884" i="11"/>
  <c r="N884" i="11"/>
  <c r="M885" i="11"/>
  <c r="N885" i="11"/>
  <c r="M886" i="11"/>
  <c r="N886" i="11"/>
  <c r="M887" i="11"/>
  <c r="N887" i="11"/>
  <c r="M888" i="11"/>
  <c r="N888" i="11"/>
  <c r="M889" i="11"/>
  <c r="N889" i="11"/>
  <c r="M890" i="11"/>
  <c r="N890" i="11"/>
  <c r="M891" i="11"/>
  <c r="N891" i="11"/>
  <c r="M892" i="11"/>
  <c r="N892" i="11"/>
  <c r="M893" i="11"/>
  <c r="N893" i="11"/>
  <c r="M894" i="11"/>
  <c r="N894" i="11"/>
  <c r="M895" i="11"/>
  <c r="N895" i="11"/>
  <c r="M896" i="11"/>
  <c r="N896" i="11"/>
  <c r="M897" i="11"/>
  <c r="N897" i="11"/>
  <c r="M898" i="11"/>
  <c r="N898" i="11"/>
  <c r="M899" i="11"/>
  <c r="N899" i="11"/>
  <c r="M900" i="11"/>
  <c r="N900" i="11"/>
  <c r="M901" i="11"/>
  <c r="N901" i="11"/>
  <c r="M902" i="11"/>
  <c r="N902" i="11"/>
  <c r="M903" i="11"/>
  <c r="N903" i="11"/>
  <c r="M904" i="11"/>
  <c r="N904" i="11"/>
  <c r="M905" i="11"/>
  <c r="N905" i="11"/>
  <c r="M906" i="11"/>
  <c r="N906" i="11"/>
  <c r="M907" i="11"/>
  <c r="N907" i="11"/>
  <c r="M908" i="11"/>
  <c r="N908" i="11"/>
  <c r="M909" i="11"/>
  <c r="N909" i="11"/>
  <c r="M910" i="11"/>
  <c r="N910" i="11"/>
  <c r="M911" i="11"/>
  <c r="N911" i="11"/>
  <c r="M912" i="11"/>
  <c r="N912" i="11"/>
  <c r="M913" i="11"/>
  <c r="N913" i="11"/>
  <c r="M914" i="11"/>
  <c r="N914" i="11"/>
  <c r="M915" i="11"/>
  <c r="N915" i="11"/>
  <c r="M916" i="11"/>
  <c r="N916" i="11"/>
  <c r="M917" i="11"/>
  <c r="N917" i="11"/>
  <c r="M918" i="11"/>
  <c r="N918" i="11"/>
  <c r="M919" i="11"/>
  <c r="N919" i="11"/>
  <c r="M920" i="11"/>
  <c r="N920" i="11"/>
  <c r="M921" i="11"/>
  <c r="N921" i="11"/>
  <c r="M922" i="11"/>
  <c r="N922" i="11"/>
  <c r="M923" i="11"/>
  <c r="N923" i="11"/>
  <c r="M924" i="11"/>
  <c r="N924" i="11"/>
  <c r="M925" i="11"/>
  <c r="N925" i="11"/>
  <c r="M926" i="11"/>
  <c r="N926" i="11"/>
  <c r="M927" i="11"/>
  <c r="N927" i="11"/>
  <c r="M928" i="11"/>
  <c r="N928" i="11"/>
  <c r="M929" i="11"/>
  <c r="N929" i="11"/>
  <c r="M930" i="11"/>
  <c r="N930" i="11"/>
  <c r="M931" i="11"/>
  <c r="N931" i="11"/>
  <c r="M932" i="11"/>
  <c r="N932" i="11"/>
  <c r="M933" i="11"/>
  <c r="N933" i="11"/>
  <c r="M934" i="11"/>
  <c r="N934" i="11"/>
  <c r="M935" i="11"/>
  <c r="N935" i="11"/>
  <c r="M936" i="11"/>
  <c r="N936" i="11"/>
  <c r="M937" i="11"/>
  <c r="N937" i="11"/>
  <c r="M938" i="11"/>
  <c r="N938" i="11"/>
  <c r="M939" i="11"/>
  <c r="N939" i="11"/>
  <c r="M940" i="11"/>
  <c r="N940" i="11"/>
  <c r="M941" i="11"/>
  <c r="N941" i="11"/>
  <c r="M942" i="11"/>
  <c r="N942" i="11"/>
  <c r="M943" i="11"/>
  <c r="N943" i="11"/>
  <c r="M944" i="11"/>
  <c r="N944" i="11"/>
  <c r="M945" i="11"/>
  <c r="N945" i="11"/>
  <c r="M946" i="11"/>
  <c r="N946" i="11"/>
  <c r="M947" i="11"/>
  <c r="N947" i="11"/>
  <c r="M948" i="11"/>
  <c r="N948" i="11"/>
  <c r="M949" i="11"/>
  <c r="N949" i="11"/>
  <c r="M950" i="11"/>
  <c r="N950" i="11"/>
  <c r="M951" i="11"/>
  <c r="N951" i="11"/>
  <c r="M952" i="11"/>
  <c r="N952" i="11"/>
  <c r="M953" i="11"/>
  <c r="N953" i="11"/>
  <c r="M954" i="11"/>
  <c r="N954" i="11"/>
  <c r="M955" i="11"/>
  <c r="N955" i="11"/>
  <c r="M956" i="11"/>
  <c r="N956" i="11"/>
  <c r="M957" i="11"/>
  <c r="N957" i="11"/>
  <c r="M958" i="11"/>
  <c r="N958" i="11"/>
  <c r="M959" i="11"/>
  <c r="N959" i="11"/>
  <c r="M960" i="11"/>
  <c r="N960" i="11"/>
  <c r="M961" i="11"/>
  <c r="N961" i="11"/>
  <c r="M962" i="11"/>
  <c r="N962" i="11"/>
  <c r="M963" i="11"/>
  <c r="N963" i="11"/>
  <c r="M964" i="11"/>
  <c r="N964" i="11"/>
  <c r="M965" i="11"/>
  <c r="N965" i="11"/>
  <c r="M966" i="11"/>
  <c r="N966" i="11"/>
  <c r="M967" i="11"/>
  <c r="N967" i="11"/>
  <c r="M968" i="11"/>
  <c r="N968" i="11"/>
  <c r="M969" i="11"/>
  <c r="N969" i="11"/>
  <c r="M970" i="11"/>
  <c r="N970" i="11"/>
  <c r="M971" i="11"/>
  <c r="N971" i="11"/>
  <c r="M972" i="11"/>
  <c r="N972" i="11"/>
  <c r="M973" i="11"/>
  <c r="N973" i="11"/>
  <c r="M974" i="11"/>
  <c r="N974" i="11"/>
  <c r="M975" i="11"/>
  <c r="N975" i="11"/>
  <c r="M976" i="11"/>
  <c r="N976" i="11"/>
  <c r="M977" i="11"/>
  <c r="N977" i="11"/>
  <c r="M978" i="11"/>
  <c r="N978" i="11"/>
  <c r="M979" i="11"/>
  <c r="N979" i="11"/>
  <c r="M980" i="11"/>
  <c r="N980" i="11"/>
  <c r="M981" i="11"/>
  <c r="N981" i="11"/>
  <c r="M982" i="11"/>
  <c r="N982" i="11"/>
  <c r="M983" i="11"/>
  <c r="N983" i="11"/>
  <c r="M984" i="11"/>
  <c r="N984" i="11"/>
  <c r="M985" i="11"/>
  <c r="N985" i="11"/>
  <c r="M986" i="11"/>
  <c r="N986" i="11"/>
  <c r="M987" i="11"/>
  <c r="N987" i="11"/>
  <c r="M988" i="11"/>
  <c r="N988" i="11"/>
  <c r="M989" i="11"/>
  <c r="N989" i="11"/>
  <c r="M990" i="11"/>
  <c r="N990" i="11"/>
  <c r="M991" i="11"/>
  <c r="N991" i="11"/>
  <c r="M992" i="11"/>
  <c r="N992" i="11"/>
  <c r="M993" i="11"/>
  <c r="N993" i="11"/>
  <c r="M994" i="11"/>
  <c r="N994" i="11"/>
  <c r="M995" i="11"/>
  <c r="N995" i="11"/>
  <c r="M996" i="11"/>
  <c r="N996" i="11"/>
  <c r="M997" i="11"/>
  <c r="N997" i="11"/>
  <c r="M998" i="11"/>
  <c r="N998" i="11"/>
  <c r="M999" i="11"/>
  <c r="N999" i="11"/>
  <c r="M1000" i="11"/>
  <c r="N1000" i="11"/>
  <c r="M1001" i="11"/>
  <c r="N1001" i="11"/>
  <c r="M1002" i="11"/>
  <c r="N1002" i="11"/>
  <c r="M1003" i="11"/>
  <c r="N1003" i="11"/>
  <c r="M1004" i="11"/>
  <c r="N1004" i="11"/>
  <c r="M1005" i="11"/>
  <c r="N1005" i="11"/>
  <c r="M1006" i="11"/>
  <c r="N1006" i="11"/>
  <c r="M1007" i="11"/>
  <c r="N1007" i="11"/>
  <c r="M1008" i="11"/>
  <c r="N1008" i="11"/>
  <c r="M1009" i="11"/>
  <c r="N1009" i="11"/>
  <c r="M1010" i="11"/>
  <c r="N1010" i="11"/>
  <c r="M1011" i="11"/>
  <c r="N1011" i="11"/>
  <c r="M1012" i="11"/>
  <c r="N1012" i="11"/>
  <c r="M1013" i="11"/>
  <c r="N1013" i="11"/>
  <c r="M1014" i="11"/>
  <c r="N1014" i="11"/>
  <c r="M1015" i="11"/>
  <c r="N1015" i="11"/>
  <c r="M1016" i="11"/>
  <c r="N1016" i="11"/>
  <c r="M1017" i="11"/>
  <c r="N1017" i="11"/>
  <c r="M1018" i="11"/>
  <c r="N1018" i="11"/>
  <c r="M1019" i="11"/>
  <c r="N1019" i="11"/>
  <c r="M1020" i="11"/>
  <c r="N1020" i="11"/>
  <c r="M1021" i="11"/>
  <c r="N1021" i="11"/>
  <c r="M1022" i="11"/>
  <c r="N1022" i="11"/>
  <c r="M1023" i="11"/>
  <c r="N1023" i="11"/>
  <c r="M1024" i="11"/>
  <c r="N1024" i="11"/>
  <c r="M1025" i="11"/>
  <c r="N1025" i="11"/>
  <c r="M1026" i="11"/>
  <c r="N1026" i="11"/>
  <c r="M1027" i="11"/>
  <c r="N1027" i="11"/>
  <c r="M1028" i="11"/>
  <c r="N1028" i="11"/>
  <c r="M1029" i="11"/>
  <c r="N1029" i="11"/>
  <c r="M1030" i="11"/>
  <c r="N1030" i="11"/>
  <c r="M1031" i="11"/>
  <c r="N1031" i="11"/>
  <c r="M1032" i="11"/>
  <c r="N1032" i="11"/>
  <c r="M1033" i="11"/>
  <c r="N1033" i="11"/>
  <c r="M1034" i="11"/>
  <c r="N1034" i="11"/>
  <c r="M1035" i="11"/>
  <c r="N1035" i="11"/>
  <c r="M1036" i="11"/>
  <c r="N1036" i="11"/>
  <c r="M1037" i="11"/>
  <c r="N1037" i="11"/>
  <c r="M1038" i="11"/>
  <c r="N1038" i="11"/>
  <c r="M1039" i="11"/>
  <c r="N1039" i="11"/>
  <c r="M1040" i="11"/>
  <c r="N1040" i="11"/>
  <c r="M1041" i="11"/>
  <c r="N1041" i="11"/>
  <c r="M1042" i="11"/>
  <c r="N1042" i="11"/>
  <c r="M1043" i="11"/>
  <c r="N1043" i="11"/>
  <c r="M1044" i="11"/>
  <c r="N1044" i="11"/>
  <c r="M1045" i="11"/>
  <c r="N1045" i="11"/>
  <c r="M1046" i="11"/>
  <c r="N1046" i="11"/>
  <c r="M1047" i="11"/>
  <c r="N1047" i="11"/>
  <c r="M1048" i="11"/>
  <c r="N1048" i="11"/>
  <c r="M1049" i="11"/>
  <c r="N1049" i="11"/>
  <c r="M1050" i="11"/>
  <c r="N1050" i="11"/>
  <c r="M1051" i="11"/>
  <c r="N1051" i="11"/>
  <c r="M1052" i="11"/>
  <c r="N1052" i="11"/>
  <c r="M1053" i="11"/>
  <c r="N1053" i="11"/>
  <c r="M1054" i="11"/>
  <c r="N1054" i="11"/>
  <c r="M1055" i="11"/>
  <c r="N1055" i="11"/>
  <c r="M1056" i="11"/>
  <c r="N1056" i="11"/>
  <c r="M1057" i="11"/>
  <c r="N1057" i="11"/>
  <c r="M1058" i="11"/>
  <c r="N1058" i="11"/>
  <c r="M1059" i="11"/>
  <c r="N1059" i="11"/>
  <c r="M1060" i="11"/>
  <c r="N1060" i="11"/>
  <c r="M1061" i="11"/>
  <c r="N1061" i="11"/>
  <c r="M1062" i="11"/>
  <c r="N1062" i="11"/>
  <c r="M1063" i="11"/>
  <c r="N1063" i="11"/>
  <c r="M1064" i="11"/>
  <c r="N1064" i="11"/>
  <c r="M1065" i="11"/>
  <c r="N1065" i="11"/>
  <c r="M1066" i="11"/>
  <c r="N1066" i="11"/>
  <c r="M1067" i="11"/>
  <c r="N1067" i="11"/>
  <c r="M1068" i="11"/>
  <c r="N1068" i="11"/>
  <c r="M1069" i="11"/>
  <c r="N1069" i="11"/>
  <c r="M1070" i="11"/>
  <c r="N1070" i="11"/>
  <c r="M1071" i="11"/>
  <c r="N1071" i="11"/>
  <c r="M1072" i="11"/>
  <c r="N1072" i="11"/>
  <c r="M1073" i="11"/>
  <c r="N1073" i="11"/>
  <c r="M1074" i="11"/>
  <c r="N1074" i="11"/>
  <c r="M1075" i="11"/>
  <c r="N1075" i="11"/>
  <c r="M1076" i="11"/>
  <c r="N1076" i="11"/>
  <c r="M1077" i="11"/>
  <c r="N1077" i="11"/>
  <c r="M1078" i="11"/>
  <c r="N1078" i="11"/>
  <c r="M1079" i="11"/>
  <c r="N1079" i="11"/>
  <c r="M1080" i="11"/>
  <c r="N1080" i="11"/>
  <c r="M1081" i="11"/>
  <c r="N1081" i="11"/>
  <c r="M1082" i="11"/>
  <c r="N1082" i="11"/>
  <c r="M1083" i="11"/>
  <c r="N1083" i="11"/>
  <c r="M1084" i="11"/>
  <c r="N1084" i="11"/>
  <c r="M1085" i="11"/>
  <c r="N1085" i="11"/>
  <c r="M1086" i="11"/>
  <c r="N1086" i="11"/>
  <c r="M1087" i="11"/>
  <c r="N1087" i="11"/>
  <c r="M1088" i="11"/>
  <c r="N1088" i="11"/>
  <c r="M1089" i="11"/>
  <c r="N1089" i="11"/>
  <c r="M1090" i="11"/>
  <c r="N1090" i="11"/>
  <c r="M1091" i="11"/>
  <c r="N1091" i="11"/>
  <c r="M1092" i="11"/>
  <c r="N1092" i="11"/>
  <c r="M1093" i="11"/>
  <c r="N1093" i="11"/>
  <c r="M1094" i="11"/>
  <c r="N1094" i="11"/>
  <c r="M1095" i="11"/>
  <c r="N1095" i="11"/>
  <c r="M1096" i="11"/>
  <c r="N1096" i="11"/>
  <c r="M1097" i="11"/>
  <c r="N1097" i="11"/>
  <c r="M1098" i="11"/>
  <c r="N1098" i="11"/>
  <c r="M1099" i="11"/>
  <c r="N1099" i="11"/>
  <c r="M1100" i="11"/>
  <c r="N1100" i="11"/>
  <c r="M1101" i="11"/>
  <c r="N1101" i="11"/>
  <c r="M1102" i="11"/>
  <c r="N1102" i="11"/>
  <c r="M1103" i="11"/>
  <c r="N1103" i="11"/>
  <c r="M1104" i="11"/>
  <c r="N1104" i="11"/>
  <c r="M1105" i="11"/>
  <c r="N1105" i="11"/>
  <c r="M1106" i="11"/>
  <c r="N1106" i="11"/>
  <c r="M1107" i="11"/>
  <c r="N1107" i="11"/>
  <c r="M1108" i="11"/>
  <c r="N1108" i="11"/>
  <c r="M1109" i="11"/>
  <c r="N1109" i="11"/>
  <c r="M1110" i="11"/>
  <c r="N1110" i="11"/>
  <c r="M1111" i="11"/>
  <c r="N1111" i="11"/>
  <c r="M1112" i="11"/>
  <c r="N1112" i="11"/>
  <c r="M1113" i="11"/>
  <c r="N1113" i="11"/>
  <c r="M1114" i="11"/>
  <c r="N1114" i="11"/>
  <c r="M1115" i="11"/>
  <c r="N1115" i="11"/>
  <c r="M1116" i="11"/>
  <c r="N1116" i="11"/>
  <c r="M1117" i="11"/>
  <c r="N1117" i="11"/>
  <c r="M1118" i="11"/>
  <c r="N1118" i="11"/>
  <c r="M1119" i="11"/>
  <c r="N1119" i="11"/>
  <c r="M1120" i="11"/>
  <c r="N1120" i="11"/>
  <c r="M1121" i="11"/>
  <c r="N1121" i="11"/>
  <c r="M1122" i="11"/>
  <c r="N1122" i="11"/>
  <c r="M1123" i="11"/>
  <c r="N1123" i="11"/>
  <c r="M1124" i="11"/>
  <c r="N1124" i="11"/>
  <c r="M1125" i="11"/>
  <c r="N1125" i="11"/>
  <c r="M1126" i="11"/>
  <c r="N1126" i="11"/>
  <c r="M1127" i="11"/>
  <c r="N1127" i="11"/>
  <c r="M1128" i="11"/>
  <c r="N1128" i="11"/>
  <c r="M1129" i="11"/>
  <c r="N1129" i="11"/>
  <c r="M1130" i="11"/>
  <c r="N1130" i="11"/>
  <c r="M1131" i="11"/>
  <c r="N1131" i="11"/>
  <c r="M1132" i="11"/>
  <c r="N1132" i="11"/>
  <c r="M1133" i="11"/>
  <c r="N1133" i="11"/>
  <c r="M1134" i="11"/>
  <c r="N1134" i="11"/>
  <c r="M1135" i="11"/>
  <c r="N1135" i="11"/>
  <c r="M1136" i="11"/>
  <c r="N1136" i="11"/>
  <c r="M1137" i="11"/>
  <c r="N1137" i="11"/>
  <c r="M1138" i="11"/>
  <c r="N1138" i="11"/>
  <c r="M1139" i="11"/>
  <c r="N1139" i="11"/>
  <c r="M1140" i="11"/>
  <c r="N1140" i="11"/>
  <c r="M1141" i="11"/>
  <c r="N1141" i="11"/>
  <c r="M1142" i="11"/>
  <c r="N1142" i="11"/>
  <c r="M1143" i="11"/>
  <c r="N1143" i="11"/>
  <c r="M1144" i="11"/>
  <c r="N1144" i="11"/>
  <c r="M1145" i="11"/>
  <c r="N1145" i="11"/>
  <c r="M1146" i="11"/>
  <c r="N1146" i="11"/>
  <c r="M1147" i="11"/>
  <c r="N1147" i="11"/>
  <c r="M1148" i="11"/>
  <c r="N1148" i="11"/>
  <c r="M1149" i="11"/>
  <c r="N1149" i="11"/>
  <c r="M1150" i="11"/>
  <c r="N1150" i="11"/>
  <c r="M1151" i="11"/>
  <c r="N1151" i="11"/>
  <c r="M1152" i="11"/>
  <c r="N1152" i="11"/>
  <c r="M1153" i="11"/>
  <c r="N1153" i="11"/>
  <c r="M1154" i="11"/>
  <c r="N1154" i="11"/>
  <c r="M1155" i="11"/>
  <c r="N1155" i="11"/>
  <c r="M1156" i="11"/>
  <c r="N1156" i="11"/>
  <c r="M1157" i="11"/>
  <c r="N1157" i="11"/>
  <c r="M1158" i="11"/>
  <c r="N1158" i="11"/>
  <c r="M1159" i="11"/>
  <c r="N1159" i="11"/>
  <c r="M1160" i="11"/>
  <c r="N1160" i="11"/>
  <c r="M1161" i="11"/>
  <c r="N1161" i="11"/>
  <c r="M1162" i="11"/>
  <c r="N1162" i="11"/>
  <c r="M1163" i="11"/>
  <c r="N1163" i="11"/>
  <c r="M1164" i="11"/>
  <c r="N1164" i="11"/>
  <c r="M1165" i="11"/>
  <c r="N1165" i="11"/>
  <c r="M1166" i="11"/>
  <c r="N1166" i="11"/>
  <c r="M1167" i="11"/>
  <c r="N1167" i="11"/>
  <c r="M1168" i="11"/>
  <c r="N1168" i="11"/>
  <c r="M1169" i="11"/>
  <c r="N1169" i="11"/>
  <c r="M1170" i="11"/>
  <c r="N1170" i="11"/>
  <c r="M1171" i="11"/>
  <c r="N1171" i="11"/>
  <c r="M1172" i="11"/>
  <c r="N1172" i="11"/>
  <c r="M1173" i="11"/>
  <c r="N1173" i="11"/>
  <c r="M1174" i="11"/>
  <c r="N1174" i="11"/>
  <c r="M1175" i="11"/>
  <c r="N1175" i="11"/>
  <c r="M1176" i="11"/>
  <c r="N1176" i="11"/>
  <c r="M1177" i="11"/>
  <c r="N1177" i="11"/>
  <c r="M1178" i="11"/>
  <c r="N1178" i="11"/>
  <c r="M1179" i="11"/>
  <c r="N1179" i="11"/>
  <c r="M1180" i="11"/>
  <c r="N1180" i="11"/>
  <c r="M1181" i="11"/>
  <c r="N1181" i="11"/>
  <c r="M1182" i="11"/>
  <c r="N1182" i="11"/>
  <c r="M1183" i="11"/>
  <c r="N1183" i="11"/>
  <c r="M1184" i="11"/>
  <c r="N1184" i="11"/>
  <c r="M1185" i="11"/>
  <c r="N1185" i="11"/>
  <c r="M1186" i="11"/>
  <c r="N1186" i="11"/>
  <c r="M1187" i="11"/>
  <c r="N1187" i="11"/>
  <c r="M1188" i="11"/>
  <c r="N1188" i="11"/>
  <c r="M1189" i="11"/>
  <c r="N1189" i="11"/>
  <c r="M1190" i="11"/>
  <c r="N1190" i="11"/>
  <c r="M1191" i="11"/>
  <c r="N1191" i="11"/>
  <c r="M1192" i="11"/>
  <c r="N1192" i="11"/>
  <c r="M1193" i="11"/>
  <c r="N1193" i="11"/>
  <c r="M1194" i="11"/>
  <c r="N1194" i="11"/>
  <c r="M1195" i="11"/>
  <c r="N1195" i="11"/>
  <c r="M1196" i="11"/>
  <c r="N1196" i="11"/>
  <c r="M1197" i="11"/>
  <c r="N1197" i="11"/>
  <c r="M1198" i="11"/>
  <c r="N1198" i="11"/>
  <c r="M1199" i="11"/>
  <c r="N1199" i="11"/>
  <c r="M1200" i="11"/>
  <c r="N1200" i="11"/>
  <c r="M1201" i="11"/>
  <c r="N1201" i="11"/>
  <c r="M1202" i="11"/>
  <c r="N1202" i="11"/>
  <c r="M1203" i="11"/>
  <c r="N1203" i="11"/>
  <c r="M1204" i="11"/>
  <c r="N1204" i="11"/>
  <c r="M1205" i="11"/>
  <c r="N1205" i="11"/>
  <c r="M1206" i="11"/>
  <c r="N1206" i="11"/>
  <c r="M1207" i="11"/>
  <c r="N1207" i="11"/>
  <c r="M1208" i="11"/>
  <c r="N1208" i="11"/>
  <c r="M1209" i="11"/>
  <c r="N1209" i="11"/>
  <c r="M1210" i="11"/>
  <c r="N1210" i="11"/>
  <c r="M1211" i="11"/>
  <c r="N1211" i="11"/>
  <c r="M1212" i="11"/>
  <c r="N1212" i="11"/>
  <c r="M1213" i="11"/>
  <c r="N1213" i="11"/>
  <c r="M1214" i="11"/>
  <c r="N1214" i="11"/>
  <c r="M1215" i="11"/>
  <c r="N1215" i="11"/>
  <c r="M1216" i="11"/>
  <c r="N1216" i="11"/>
  <c r="M1217" i="11"/>
  <c r="N1217" i="11"/>
  <c r="M1218" i="11"/>
  <c r="N1218" i="11"/>
  <c r="M1219" i="11"/>
  <c r="N1219" i="11"/>
  <c r="M1220" i="11"/>
  <c r="N1220" i="11"/>
  <c r="M1221" i="11"/>
  <c r="N1221" i="11"/>
  <c r="M1222" i="11"/>
  <c r="N1222" i="11"/>
  <c r="M1223" i="11"/>
  <c r="N1223" i="11"/>
  <c r="M1224" i="11"/>
  <c r="N1224" i="11"/>
  <c r="M1225" i="11"/>
  <c r="N1225" i="11"/>
  <c r="M1226" i="11"/>
  <c r="N1226" i="11"/>
  <c r="M1227" i="11"/>
  <c r="N1227" i="11"/>
  <c r="M1228" i="11"/>
  <c r="N1228" i="11"/>
  <c r="M1229" i="11"/>
  <c r="N1229" i="11"/>
  <c r="M1230" i="11"/>
  <c r="N1230" i="11"/>
  <c r="M1231" i="11"/>
  <c r="N1231" i="11"/>
  <c r="M1232" i="11"/>
  <c r="N1232" i="11"/>
  <c r="M1233" i="11"/>
  <c r="N1233" i="11"/>
  <c r="M1234" i="11"/>
  <c r="N1234" i="11"/>
  <c r="M1235" i="11"/>
  <c r="N1235" i="11"/>
  <c r="M1236" i="11"/>
  <c r="N1236" i="11"/>
  <c r="M1237" i="11"/>
  <c r="N1237" i="11"/>
  <c r="M1238" i="11"/>
  <c r="N1238" i="11"/>
  <c r="M1239" i="11"/>
  <c r="N1239" i="11"/>
  <c r="M1240" i="11"/>
  <c r="N1240" i="11"/>
  <c r="M1241" i="11"/>
  <c r="N1241" i="11"/>
  <c r="M1242" i="11"/>
  <c r="N1242" i="11"/>
  <c r="M1243" i="11"/>
  <c r="N1243" i="11"/>
  <c r="M1244" i="11"/>
  <c r="N1244" i="11"/>
  <c r="M1245" i="11"/>
  <c r="N1245" i="11"/>
  <c r="M1246" i="11"/>
  <c r="N1246" i="11"/>
  <c r="M1247" i="11"/>
  <c r="N1247" i="11"/>
  <c r="M1248" i="11"/>
  <c r="N1248" i="11"/>
  <c r="M1249" i="11"/>
  <c r="N1249" i="11"/>
  <c r="M1250" i="11"/>
  <c r="N1250" i="11"/>
  <c r="M1251" i="11"/>
  <c r="N1251" i="11"/>
  <c r="M1252" i="11"/>
  <c r="N1252" i="11"/>
  <c r="M1253" i="11"/>
  <c r="N1253" i="11"/>
  <c r="M1254" i="11"/>
  <c r="N1254" i="11"/>
  <c r="M1255" i="11"/>
  <c r="N1255" i="11"/>
  <c r="M1256" i="11"/>
  <c r="N1256" i="11"/>
  <c r="M1257" i="11"/>
  <c r="N1257" i="11"/>
  <c r="M1258" i="11"/>
  <c r="N1258" i="11"/>
  <c r="M1259" i="11"/>
  <c r="N1259" i="11"/>
  <c r="M1260" i="11"/>
  <c r="N1260" i="11"/>
  <c r="M1261" i="11"/>
  <c r="N1261" i="11"/>
  <c r="M1262" i="11"/>
  <c r="N1262" i="11"/>
  <c r="M1263" i="11"/>
  <c r="N1263" i="11"/>
  <c r="M1264" i="11"/>
  <c r="N1264" i="11"/>
  <c r="M1265" i="11"/>
  <c r="N1265" i="11"/>
  <c r="M1266" i="11"/>
  <c r="N1266" i="11"/>
  <c r="M1267" i="11"/>
  <c r="N1267" i="11"/>
  <c r="M1268" i="11"/>
  <c r="N1268" i="11"/>
  <c r="M1269" i="11"/>
  <c r="N1269" i="11"/>
  <c r="M1270" i="11"/>
  <c r="N1270" i="11"/>
  <c r="M1271" i="11"/>
  <c r="N1271" i="11"/>
  <c r="M1272" i="11"/>
  <c r="N1272" i="11"/>
  <c r="M1273" i="11"/>
  <c r="N1273" i="11"/>
  <c r="M1274" i="11"/>
  <c r="N1274" i="11"/>
  <c r="M1275" i="11"/>
  <c r="N1275" i="11"/>
  <c r="M1276" i="11"/>
  <c r="N1276" i="11"/>
  <c r="M1277" i="11"/>
  <c r="N1277" i="11"/>
  <c r="M1278" i="11"/>
  <c r="N1278" i="11"/>
  <c r="M1279" i="11"/>
  <c r="N1279" i="11"/>
  <c r="M1280" i="11"/>
  <c r="N1280" i="11"/>
  <c r="M1281" i="11"/>
  <c r="N1281" i="11"/>
  <c r="M1282" i="11"/>
  <c r="N1282" i="11"/>
  <c r="N4" i="11"/>
  <c r="M1283" i="11"/>
  <c r="M4" i="11"/>
  <c r="V420" i="18" l="1"/>
  <c r="V402" i="18"/>
  <c r="V426" i="18"/>
  <c r="V450" i="18"/>
  <c r="V486" i="18"/>
  <c r="V390" i="18"/>
  <c r="V438" i="18"/>
  <c r="V870" i="18"/>
  <c r="V408" i="18"/>
  <c r="V456" i="18"/>
  <c r="V498" i="18"/>
  <c r="V269" i="18"/>
  <c r="V469" i="18"/>
  <c r="V800" i="18"/>
  <c r="V806" i="18"/>
  <c r="V669" i="18"/>
  <c r="V1269" i="18"/>
  <c r="V169" i="18"/>
  <c r="V369" i="18"/>
  <c r="V803" i="18"/>
  <c r="V569" i="18"/>
  <c r="V769" i="18"/>
  <c r="V1350" i="18"/>
  <c r="V1368" i="18"/>
  <c r="V1224" i="18"/>
  <c r="V1254" i="18"/>
  <c r="V1266" i="18"/>
  <c r="V342" i="18"/>
  <c r="V801" i="18"/>
  <c r="V807" i="18"/>
  <c r="V802" i="18"/>
  <c r="V869" i="18"/>
  <c r="V1069" i="18"/>
  <c r="V937" i="18"/>
  <c r="V943" i="18"/>
  <c r="V955" i="18"/>
  <c r="V1389" i="18"/>
  <c r="V354" i="18"/>
  <c r="V798" i="18"/>
  <c r="V804" i="18"/>
  <c r="V799" i="18"/>
  <c r="V805" i="18"/>
  <c r="V969" i="18"/>
  <c r="V1169" i="18"/>
  <c r="V82" i="18"/>
  <c r="V94" i="18"/>
  <c r="V106" i="18"/>
  <c r="V118" i="18"/>
  <c r="V154" i="18"/>
  <c r="V340" i="18"/>
  <c r="V346" i="18"/>
  <c r="V358" i="18"/>
  <c r="V370" i="18"/>
  <c r="V382" i="18"/>
  <c r="V388" i="18"/>
  <c r="V394" i="18"/>
  <c r="V406" i="18"/>
  <c r="V418" i="18"/>
  <c r="V454" i="18"/>
  <c r="V466" i="18"/>
  <c r="V472" i="18"/>
  <c r="V478" i="18"/>
  <c r="V502" i="18"/>
  <c r="V514" i="18"/>
  <c r="V550" i="18"/>
  <c r="V868" i="18"/>
  <c r="V874" i="18"/>
  <c r="V886" i="18"/>
  <c r="V898" i="18"/>
  <c r="V922" i="18"/>
  <c r="V934" i="18"/>
  <c r="V946" i="18"/>
  <c r="V952" i="18"/>
  <c r="V958" i="18"/>
  <c r="V964" i="18"/>
  <c r="V970" i="18"/>
  <c r="V982" i="18"/>
  <c r="V994" i="18"/>
  <c r="V1030" i="18"/>
  <c r="V1042" i="18"/>
  <c r="V88" i="18"/>
  <c r="V130" i="18"/>
  <c r="V1048" i="18"/>
  <c r="V961" i="18"/>
  <c r="V967" i="18"/>
  <c r="V1003" i="18"/>
  <c r="V1009" i="18"/>
  <c r="V1015" i="18"/>
  <c r="V1115" i="18"/>
  <c r="V1121" i="18"/>
  <c r="V1127" i="18"/>
  <c r="V1163" i="18"/>
  <c r="V1175" i="18"/>
  <c r="V1193" i="18"/>
  <c r="V1199" i="18"/>
  <c r="V1211" i="18"/>
  <c r="V1217" i="18"/>
  <c r="V1223" i="18"/>
  <c r="V1241" i="18"/>
  <c r="V1247" i="18"/>
  <c r="V1259" i="18"/>
  <c r="V1265" i="18"/>
  <c r="V1271" i="18"/>
  <c r="V1277" i="18"/>
  <c r="V582" i="18"/>
  <c r="V594" i="18"/>
  <c r="V600" i="18"/>
  <c r="V630" i="18"/>
  <c r="V642" i="18"/>
  <c r="V678" i="18"/>
  <c r="V690" i="18"/>
  <c r="V696" i="18"/>
  <c r="V726" i="18"/>
  <c r="V738" i="18"/>
  <c r="V1283" i="18"/>
  <c r="V1373" i="18"/>
  <c r="V1388" i="18"/>
  <c r="V1403" i="18"/>
  <c r="V1427" i="18"/>
  <c r="V1433" i="18"/>
  <c r="V1439" i="18"/>
  <c r="V875" i="18"/>
  <c r="V881" i="18"/>
  <c r="V887" i="18"/>
  <c r="V893" i="18"/>
  <c r="V899" i="18"/>
  <c r="V905" i="18"/>
  <c r="V923" i="18"/>
  <c r="V929" i="18"/>
  <c r="V935" i="18"/>
  <c r="V941" i="18"/>
  <c r="V971" i="18"/>
  <c r="V977" i="18"/>
  <c r="V983" i="18"/>
  <c r="V1001" i="18"/>
  <c r="V1007" i="18"/>
  <c r="V1019" i="18"/>
  <c r="V1078" i="18"/>
  <c r="V1090" i="18"/>
  <c r="V1348" i="18"/>
  <c r="V1402" i="18"/>
  <c r="V1432" i="18"/>
  <c r="V1111" i="18"/>
  <c r="V1129" i="18"/>
  <c r="V1135" i="18"/>
  <c r="V1147" i="18"/>
  <c r="V363" i="18"/>
  <c r="V507" i="18"/>
  <c r="V975" i="18"/>
  <c r="V1065" i="18"/>
  <c r="V393" i="18"/>
  <c r="V489" i="18"/>
  <c r="V873" i="18"/>
  <c r="V897" i="18"/>
  <c r="V999" i="18"/>
  <c r="V423" i="18"/>
  <c r="V495" i="18"/>
  <c r="V903" i="18"/>
  <c r="V1041" i="18"/>
  <c r="V909" i="18"/>
  <c r="V987" i="18"/>
  <c r="V411" i="18"/>
  <c r="V465" i="18"/>
  <c r="V513" i="18"/>
  <c r="V879" i="18"/>
  <c r="V1035" i="18"/>
  <c r="V381" i="18"/>
  <c r="V459" i="18"/>
  <c r="V519" i="18"/>
  <c r="V915" i="18"/>
  <c r="V1047" i="18"/>
  <c r="V399" i="18"/>
  <c r="V945" i="18"/>
  <c r="V1071" i="18"/>
  <c r="V882" i="18"/>
  <c r="V918" i="18"/>
  <c r="V930" i="18"/>
  <c r="V966" i="18"/>
  <c r="V978" i="18"/>
  <c r="V984" i="18"/>
  <c r="V990" i="18"/>
  <c r="V1122" i="18"/>
  <c r="V1158" i="18"/>
  <c r="V1170" i="18"/>
  <c r="V1176" i="18"/>
  <c r="V1206" i="18"/>
  <c r="V1218" i="18"/>
  <c r="V375" i="18"/>
  <c r="V471" i="18"/>
  <c r="V555" i="18"/>
  <c r="V939" i="18"/>
  <c r="V417" i="18"/>
  <c r="V891" i="18"/>
  <c r="V951" i="18"/>
  <c r="V993" i="18"/>
  <c r="V87" i="18"/>
  <c r="V111" i="18"/>
  <c r="V123" i="18"/>
  <c r="V135" i="18"/>
  <c r="V171" i="18"/>
  <c r="V177" i="18"/>
  <c r="V189" i="18"/>
  <c r="V1083" i="18"/>
  <c r="V1089" i="18"/>
  <c r="V1095" i="18"/>
  <c r="V1101" i="18"/>
  <c r="V1107" i="18"/>
  <c r="V1338" i="18"/>
  <c r="V1353" i="18"/>
  <c r="V1359" i="18"/>
  <c r="V1365" i="18"/>
  <c r="V1371" i="18"/>
  <c r="V1416" i="18"/>
  <c r="V1431" i="18"/>
  <c r="V1437" i="18"/>
  <c r="V105" i="18"/>
  <c r="V129" i="18"/>
  <c r="V183" i="18"/>
  <c r="V91" i="18"/>
  <c r="V97" i="18"/>
  <c r="V103" i="18"/>
  <c r="V109" i="18"/>
  <c r="V115" i="18"/>
  <c r="V139" i="18"/>
  <c r="V145" i="18"/>
  <c r="V151" i="18"/>
  <c r="V175" i="18"/>
  <c r="V187" i="18"/>
  <c r="V193" i="18"/>
  <c r="V199" i="18"/>
  <c r="V1153" i="18"/>
  <c r="V1159" i="18"/>
  <c r="V1177" i="18"/>
  <c r="V1183" i="18"/>
  <c r="V1195" i="18"/>
  <c r="V1201" i="18"/>
  <c r="V1207" i="18"/>
  <c r="V1243" i="18"/>
  <c r="V1249" i="18"/>
  <c r="V1357" i="18"/>
  <c r="V343" i="18"/>
  <c r="V361" i="18"/>
  <c r="V367" i="18"/>
  <c r="V379" i="18"/>
  <c r="V385" i="18"/>
  <c r="V391" i="18"/>
  <c r="V427" i="18"/>
  <c r="V433" i="18"/>
  <c r="V439" i="18"/>
  <c r="V445" i="18"/>
  <c r="V457" i="18"/>
  <c r="V463" i="18"/>
  <c r="V571" i="18"/>
  <c r="V577" i="18"/>
  <c r="V583" i="18"/>
  <c r="V589" i="18"/>
  <c r="V595" i="18"/>
  <c r="V601" i="18"/>
  <c r="V607" i="18"/>
  <c r="V619" i="18"/>
  <c r="V625" i="18"/>
  <c r="V631" i="18"/>
  <c r="V667" i="18"/>
  <c r="V673" i="18"/>
  <c r="V679" i="18"/>
  <c r="V715" i="18"/>
  <c r="V721" i="18"/>
  <c r="V727" i="18"/>
  <c r="V859" i="18"/>
  <c r="V865" i="18"/>
  <c r="V871" i="18"/>
  <c r="V877" i="18"/>
  <c r="V907" i="18"/>
  <c r="V913" i="18"/>
  <c r="V919" i="18"/>
  <c r="V347" i="18"/>
  <c r="V353" i="18"/>
  <c r="V365" i="18"/>
  <c r="V371" i="18"/>
  <c r="V395" i="18"/>
  <c r="V401" i="18"/>
  <c r="V407" i="18"/>
  <c r="V425" i="18"/>
  <c r="V431" i="18"/>
  <c r="V443" i="18"/>
  <c r="V449" i="18"/>
  <c r="V455" i="18"/>
  <c r="V461" i="18"/>
  <c r="V467" i="18"/>
  <c r="V473" i="18"/>
  <c r="V479" i="18"/>
  <c r="V491" i="18"/>
  <c r="V497" i="18"/>
  <c r="V503" i="18"/>
  <c r="V539" i="18"/>
  <c r="V545" i="18"/>
  <c r="V551" i="18"/>
  <c r="V359" i="18"/>
  <c r="V1363" i="18"/>
  <c r="V1441" i="18"/>
  <c r="V134" i="18"/>
  <c r="V386" i="18"/>
  <c r="V584" i="18"/>
  <c r="V902" i="18"/>
  <c r="V962" i="18"/>
  <c r="V1058" i="18"/>
  <c r="V1364" i="18"/>
  <c r="V146" i="18"/>
  <c r="V350" i="18"/>
  <c r="V602" i="18"/>
  <c r="V866" i="18"/>
  <c r="V914" i="18"/>
  <c r="V374" i="18"/>
  <c r="V434" i="18"/>
  <c r="V626" i="18"/>
  <c r="V920" i="18"/>
  <c r="V1028" i="18"/>
  <c r="V182" i="18"/>
  <c r="V356" i="18"/>
  <c r="V470" i="18"/>
  <c r="V926" i="18"/>
  <c r="V1436" i="18"/>
  <c r="V98" i="18"/>
  <c r="V152" i="18"/>
  <c r="V362" i="18"/>
  <c r="V578" i="18"/>
  <c r="V632" i="18"/>
  <c r="V1094" i="18"/>
  <c r="V86" i="18"/>
  <c r="V596" i="18"/>
  <c r="V950" i="18"/>
  <c r="V1010" i="18"/>
  <c r="V1106" i="18"/>
  <c r="V164" i="18"/>
  <c r="V344" i="18"/>
  <c r="V566" i="18"/>
  <c r="V614" i="18"/>
  <c r="V998" i="18"/>
  <c r="V1046" i="18"/>
  <c r="V422" i="18"/>
  <c r="V482" i="18"/>
  <c r="V590" i="18"/>
  <c r="V1352" i="18"/>
  <c r="V1306" i="18"/>
  <c r="V1312" i="18"/>
  <c r="V1324" i="18"/>
  <c r="V845" i="18"/>
  <c r="V857" i="18"/>
  <c r="V858" i="18"/>
  <c r="V1110" i="18"/>
  <c r="V1335" i="18"/>
  <c r="V1315" i="18"/>
  <c r="V338" i="18"/>
  <c r="V558" i="18"/>
  <c r="V559" i="18"/>
  <c r="V166" i="18"/>
  <c r="V178" i="18"/>
  <c r="V214" i="18"/>
  <c r="V226" i="18"/>
  <c r="V262" i="18"/>
  <c r="V274" i="18"/>
  <c r="V280" i="18"/>
  <c r="V310" i="18"/>
  <c r="V322" i="18"/>
  <c r="V334" i="18"/>
  <c r="V561" i="18"/>
  <c r="V567" i="18"/>
  <c r="V603" i="18"/>
  <c r="V609" i="18"/>
  <c r="V615" i="18"/>
  <c r="V627" i="18"/>
  <c r="V651" i="18"/>
  <c r="V657" i="18"/>
  <c r="V663" i="18"/>
  <c r="V681" i="18"/>
  <c r="V687" i="18"/>
  <c r="V699" i="18"/>
  <c r="V705" i="18"/>
  <c r="V711" i="18"/>
  <c r="V747" i="18"/>
  <c r="V753" i="18"/>
  <c r="V759" i="18"/>
  <c r="V795" i="18"/>
  <c r="V819" i="18"/>
  <c r="V843" i="18"/>
  <c r="V849" i="18"/>
  <c r="V855" i="18"/>
  <c r="V1112" i="18"/>
  <c r="V1142" i="18"/>
  <c r="V1154" i="18"/>
  <c r="V1160" i="18"/>
  <c r="V1166" i="18"/>
  <c r="V1172" i="18"/>
  <c r="V1178" i="18"/>
  <c r="V1190" i="18"/>
  <c r="V1202" i="18"/>
  <c r="V1238" i="18"/>
  <c r="V1250" i="18"/>
  <c r="V1286" i="18"/>
  <c r="V1298" i="18"/>
  <c r="V83" i="18"/>
  <c r="V89" i="18"/>
  <c r="V107" i="18"/>
  <c r="V113" i="18"/>
  <c r="V119" i="18"/>
  <c r="V125" i="18"/>
  <c r="V131" i="18"/>
  <c r="V137" i="18"/>
  <c r="V143" i="18"/>
  <c r="V155" i="18"/>
  <c r="V161" i="18"/>
  <c r="V167" i="18"/>
  <c r="V173" i="18"/>
  <c r="V179" i="18"/>
  <c r="V203" i="18"/>
  <c r="V209" i="18"/>
  <c r="V215" i="18"/>
  <c r="V233" i="18"/>
  <c r="V239" i="18"/>
  <c r="V251" i="18"/>
  <c r="V257" i="18"/>
  <c r="V263" i="18"/>
  <c r="V299" i="18"/>
  <c r="V305" i="18"/>
  <c r="V311" i="18"/>
  <c r="V317" i="18"/>
  <c r="V323" i="18"/>
  <c r="V562" i="18"/>
  <c r="V574" i="18"/>
  <c r="V580" i="18"/>
  <c r="V586" i="18"/>
  <c r="V598" i="18"/>
  <c r="V610" i="18"/>
  <c r="V646" i="18"/>
  <c r="V658" i="18"/>
  <c r="V664" i="18"/>
  <c r="V676" i="18"/>
  <c r="V682" i="18"/>
  <c r="V694" i="18"/>
  <c r="V706" i="18"/>
  <c r="V712" i="18"/>
  <c r="V718" i="18"/>
  <c r="V724" i="18"/>
  <c r="V730" i="18"/>
  <c r="V742" i="18"/>
  <c r="V754" i="18"/>
  <c r="V790" i="18"/>
  <c r="V838" i="18"/>
  <c r="V850" i="18"/>
  <c r="V856" i="18"/>
  <c r="V1131" i="18"/>
  <c r="V1137" i="18"/>
  <c r="V1143" i="18"/>
  <c r="V1155" i="18"/>
  <c r="V1179" i="18"/>
  <c r="V1185" i="18"/>
  <c r="V1191" i="18"/>
  <c r="V1197" i="18"/>
  <c r="V1203" i="18"/>
  <c r="V1227" i="18"/>
  <c r="V1233" i="18"/>
  <c r="V1239" i="18"/>
  <c r="V1257" i="18"/>
  <c r="V1263" i="18"/>
  <c r="V1275" i="18"/>
  <c r="V1281" i="18"/>
  <c r="V1287" i="18"/>
  <c r="V1293" i="18"/>
  <c r="V1299" i="18"/>
  <c r="V1305" i="18"/>
  <c r="V1311" i="18"/>
  <c r="V1323" i="18"/>
  <c r="V90" i="18"/>
  <c r="V102" i="18"/>
  <c r="V114" i="18"/>
  <c r="V126" i="18"/>
  <c r="V132" i="18"/>
  <c r="V150" i="18"/>
  <c r="V162" i="18"/>
  <c r="V168" i="18"/>
  <c r="V198" i="18"/>
  <c r="V210" i="18"/>
  <c r="V216" i="18"/>
  <c r="V222" i="18"/>
  <c r="V228" i="18"/>
  <c r="V234" i="18"/>
  <c r="V246" i="18"/>
  <c r="V258" i="18"/>
  <c r="V270" i="18"/>
  <c r="V276" i="18"/>
  <c r="V282" i="18"/>
  <c r="V294" i="18"/>
  <c r="V306" i="18"/>
  <c r="V587" i="18"/>
  <c r="V593" i="18"/>
  <c r="V599" i="18"/>
  <c r="V617" i="18"/>
  <c r="V623" i="18"/>
  <c r="V635" i="18"/>
  <c r="V641" i="18"/>
  <c r="V647" i="18"/>
  <c r="V653" i="18"/>
  <c r="V659" i="18"/>
  <c r="V665" i="18"/>
  <c r="V671" i="18"/>
  <c r="V683" i="18"/>
  <c r="V689" i="18"/>
  <c r="V695" i="18"/>
  <c r="V701" i="18"/>
  <c r="V707" i="18"/>
  <c r="V713" i="18"/>
  <c r="V731" i="18"/>
  <c r="V737" i="18"/>
  <c r="V743" i="18"/>
  <c r="V749" i="18"/>
  <c r="V755" i="18"/>
  <c r="V779" i="18"/>
  <c r="V785" i="18"/>
  <c r="V791" i="18"/>
  <c r="V809" i="18"/>
  <c r="V815" i="18"/>
  <c r="V827" i="18"/>
  <c r="V833" i="18"/>
  <c r="V839" i="18"/>
  <c r="V1126" i="18"/>
  <c r="V1138" i="18"/>
  <c r="V1144" i="18"/>
  <c r="V1150" i="18"/>
  <c r="V1162" i="18"/>
  <c r="V1174" i="18"/>
  <c r="V1186" i="18"/>
  <c r="V1222" i="18"/>
  <c r="V1234" i="18"/>
  <c r="V1240" i="18"/>
  <c r="V1252" i="18"/>
  <c r="V1270" i="18"/>
  <c r="V1282" i="18"/>
  <c r="V1288" i="18"/>
  <c r="V1294" i="18"/>
  <c r="V1300" i="18"/>
  <c r="V1318" i="18"/>
  <c r="V504" i="18"/>
  <c r="V510" i="18"/>
  <c r="V516" i="18"/>
  <c r="V522" i="18"/>
  <c r="V534" i="18"/>
  <c r="V546" i="18"/>
  <c r="V1025" i="18"/>
  <c r="V1031" i="18"/>
  <c r="V1037" i="18"/>
  <c r="V1043" i="18"/>
  <c r="V1049" i="18"/>
  <c r="V1055" i="18"/>
  <c r="V1067" i="18"/>
  <c r="V1073" i="18"/>
  <c r="V1079" i="18"/>
  <c r="V235" i="18"/>
  <c r="V241" i="18"/>
  <c r="V247" i="18"/>
  <c r="V253" i="18"/>
  <c r="V259" i="18"/>
  <c r="V265" i="18"/>
  <c r="V271" i="18"/>
  <c r="V283" i="18"/>
  <c r="V289" i="18"/>
  <c r="V295" i="18"/>
  <c r="V301" i="18"/>
  <c r="V307" i="18"/>
  <c r="V331" i="18"/>
  <c r="V337" i="18"/>
  <c r="V774" i="18"/>
  <c r="V786" i="18"/>
  <c r="V792" i="18"/>
  <c r="V810" i="18"/>
  <c r="V822" i="18"/>
  <c r="V834" i="18"/>
  <c r="V1289" i="18"/>
  <c r="V1295" i="18"/>
  <c r="V1307" i="18"/>
  <c r="V1313" i="18"/>
  <c r="V1319" i="18"/>
  <c r="V475" i="18"/>
  <c r="V481" i="18"/>
  <c r="V487" i="18"/>
  <c r="V523" i="18"/>
  <c r="V529" i="18"/>
  <c r="V535" i="18"/>
  <c r="V553" i="18"/>
  <c r="V1014" i="18"/>
  <c r="V1026" i="18"/>
  <c r="V1032" i="18"/>
  <c r="V1062" i="18"/>
  <c r="V1074" i="18"/>
  <c r="V1080" i="18"/>
  <c r="V1086" i="18"/>
  <c r="V1098" i="18"/>
  <c r="V194" i="18"/>
  <c r="V200" i="18"/>
  <c r="V206" i="18"/>
  <c r="V212" i="18"/>
  <c r="V230" i="18"/>
  <c r="V242" i="18"/>
  <c r="V278" i="18"/>
  <c r="V290" i="18"/>
  <c r="V326" i="18"/>
  <c r="V745" i="18"/>
  <c r="V751" i="18"/>
  <c r="V763" i="18"/>
  <c r="V775" i="18"/>
  <c r="V811" i="18"/>
  <c r="V817" i="18"/>
  <c r="V823" i="18"/>
  <c r="V829" i="18"/>
  <c r="V835" i="18"/>
  <c r="V841" i="18"/>
  <c r="V847" i="18"/>
  <c r="V1302" i="18"/>
  <c r="V1314" i="18"/>
  <c r="V1320" i="18"/>
  <c r="V518" i="18"/>
  <c r="V530" i="18"/>
  <c r="V536" i="18"/>
  <c r="V542" i="18"/>
  <c r="V1039" i="18"/>
  <c r="V1051" i="18"/>
  <c r="V1057" i="18"/>
  <c r="V1063" i="18"/>
  <c r="V1099" i="18"/>
  <c r="V1105" i="18"/>
  <c r="V219" i="18"/>
  <c r="V225" i="18"/>
  <c r="V231" i="18"/>
  <c r="V243" i="18"/>
  <c r="V267" i="18"/>
  <c r="V273" i="18"/>
  <c r="V279" i="18"/>
  <c r="V297" i="18"/>
  <c r="V303" i="18"/>
  <c r="V315" i="18"/>
  <c r="V321" i="18"/>
  <c r="V327" i="18"/>
  <c r="V543" i="18"/>
  <c r="V662" i="18"/>
  <c r="V674" i="18"/>
  <c r="V710" i="18"/>
  <c r="V722" i="18"/>
  <c r="V728" i="18"/>
  <c r="V758" i="18"/>
  <c r="V770" i="18"/>
  <c r="V776" i="18"/>
  <c r="V782" i="18"/>
  <c r="V788" i="18"/>
  <c r="V818" i="18"/>
  <c r="V836" i="18"/>
  <c r="V854" i="18"/>
  <c r="V1255" i="18"/>
  <c r="V1267" i="18"/>
  <c r="V1273" i="18"/>
  <c r="V1279" i="18"/>
  <c r="V1291" i="18"/>
  <c r="V1297" i="18"/>
  <c r="V1303" i="18"/>
  <c r="V1309" i="18"/>
  <c r="V1285" i="18"/>
  <c r="V304" i="18"/>
  <c r="V556" i="18"/>
  <c r="V378" i="18"/>
  <c r="V384" i="18"/>
  <c r="V256" i="18"/>
  <c r="V717" i="18"/>
  <c r="V1029" i="18"/>
  <c r="V1156" i="18"/>
  <c r="V403" i="18"/>
  <c r="V409" i="18"/>
  <c r="V421" i="18"/>
  <c r="V232" i="18"/>
  <c r="V638" i="18"/>
  <c r="V644" i="18"/>
  <c r="V650" i="18"/>
  <c r="V656" i="18"/>
  <c r="V512" i="18"/>
  <c r="V639" i="18"/>
  <c r="V1151" i="18"/>
  <c r="V312" i="18"/>
  <c r="V318" i="18"/>
  <c r="V324" i="18"/>
  <c r="V336" i="18"/>
  <c r="V509" i="18"/>
  <c r="V515" i="18"/>
  <c r="V640" i="18"/>
  <c r="V652" i="18"/>
  <c r="V1152" i="18"/>
  <c r="V141" i="18"/>
  <c r="V165" i="18"/>
  <c r="V308" i="18"/>
  <c r="V505" i="18"/>
  <c r="V511" i="18"/>
  <c r="V708" i="18"/>
  <c r="V380" i="18"/>
  <c r="V404" i="18"/>
  <c r="V410" i="18"/>
  <c r="V541" i="18"/>
  <c r="V1256" i="18"/>
  <c r="V1262" i="18"/>
  <c r="V1268" i="18"/>
  <c r="V1322" i="18"/>
  <c r="V476" i="18"/>
  <c r="V1038" i="18"/>
  <c r="V477" i="18"/>
  <c r="V780" i="18"/>
  <c r="V1204" i="18"/>
  <c r="V252" i="18"/>
  <c r="V341" i="18"/>
  <c r="V894" i="18"/>
  <c r="V912" i="18"/>
  <c r="V1116" i="18"/>
  <c r="V99" i="18"/>
  <c r="V140" i="18"/>
  <c r="V372" i="18"/>
  <c r="V520" i="18"/>
  <c r="V585" i="18"/>
  <c r="V734" i="18"/>
  <c r="V740" i="18"/>
  <c r="V746" i="18"/>
  <c r="V764" i="18"/>
  <c r="V988" i="18"/>
  <c r="V1236" i="18"/>
  <c r="V765" i="18"/>
  <c r="V771" i="18"/>
  <c r="V813" i="18"/>
  <c r="V860" i="18"/>
  <c r="V872" i="18"/>
  <c r="V1225" i="18"/>
  <c r="V1237" i="18"/>
  <c r="V760" i="18"/>
  <c r="V796" i="18"/>
  <c r="V826" i="18"/>
  <c r="V927" i="18"/>
  <c r="V933" i="18"/>
  <c r="V956" i="18"/>
  <c r="V287" i="18"/>
  <c r="V293" i="18"/>
  <c r="V484" i="18"/>
  <c r="V830" i="18"/>
  <c r="V895" i="18"/>
  <c r="V936" i="18"/>
  <c r="V1022" i="18"/>
  <c r="V1033" i="18"/>
  <c r="V1085" i="18"/>
  <c r="V1091" i="18"/>
  <c r="V148" i="18"/>
  <c r="V201" i="18"/>
  <c r="V444" i="18"/>
  <c r="V525" i="18"/>
  <c r="V548" i="18"/>
  <c r="V735" i="18"/>
  <c r="V741" i="18"/>
  <c r="V1184" i="18"/>
  <c r="V1196" i="18"/>
  <c r="V1278" i="18"/>
  <c r="V1354" i="18"/>
  <c r="V1387" i="18"/>
  <c r="V288" i="18"/>
  <c r="V329" i="18"/>
  <c r="V508" i="18"/>
  <c r="V666" i="18"/>
  <c r="V831" i="18"/>
  <c r="V896" i="18"/>
  <c r="V1092" i="18"/>
  <c r="V1161" i="18"/>
  <c r="V1167" i="18"/>
  <c r="V661" i="18"/>
  <c r="V844" i="18"/>
  <c r="V960" i="18"/>
  <c r="V1081" i="18"/>
  <c r="V1087" i="18"/>
  <c r="V1093" i="18"/>
  <c r="V1244" i="18"/>
  <c r="V110" i="18"/>
  <c r="V191" i="18"/>
  <c r="V197" i="18"/>
  <c r="V266" i="18"/>
  <c r="V387" i="18"/>
  <c r="V521" i="18"/>
  <c r="V527" i="18"/>
  <c r="V544" i="18"/>
  <c r="V697" i="18"/>
  <c r="V703" i="18"/>
  <c r="V714" i="18"/>
  <c r="V720" i="18"/>
  <c r="V767" i="18"/>
  <c r="V773" i="18"/>
  <c r="V797" i="18"/>
  <c r="V1053" i="18"/>
  <c r="V1139" i="18"/>
  <c r="V1192" i="18"/>
  <c r="V1209" i="18"/>
  <c r="V1221" i="18"/>
  <c r="V1356" i="18"/>
  <c r="V1428" i="18"/>
  <c r="V320" i="18"/>
  <c r="V528" i="18"/>
  <c r="V756" i="18"/>
  <c r="V1146" i="18"/>
  <c r="V1210" i="18"/>
  <c r="V1216" i="18"/>
  <c r="V645" i="18"/>
  <c r="V840" i="18"/>
  <c r="V917" i="18"/>
  <c r="V928" i="18"/>
  <c r="V1008" i="18"/>
  <c r="V355" i="18"/>
  <c r="V377" i="18"/>
  <c r="V563" i="18"/>
  <c r="V575" i="18"/>
  <c r="V592" i="18"/>
  <c r="V628" i="18"/>
  <c r="V716" i="18"/>
  <c r="V781" i="18"/>
  <c r="V787" i="18"/>
  <c r="V940" i="18"/>
  <c r="V957" i="18"/>
  <c r="V991" i="18"/>
  <c r="V997" i="18"/>
  <c r="V1061" i="18"/>
  <c r="V1066" i="18"/>
  <c r="V92" i="18"/>
  <c r="V104" i="18"/>
  <c r="V142" i="18"/>
  <c r="V383" i="18"/>
  <c r="V424" i="18"/>
  <c r="V468" i="18"/>
  <c r="V490" i="18"/>
  <c r="V524" i="18"/>
  <c r="V729" i="18"/>
  <c r="V768" i="18"/>
  <c r="V808" i="18"/>
  <c r="V981" i="18"/>
  <c r="V1054" i="18"/>
  <c r="V1060" i="18"/>
  <c r="V1165" i="18"/>
  <c r="V1171" i="18"/>
  <c r="V1187" i="18"/>
  <c r="V1226" i="18"/>
  <c r="V1232" i="18"/>
  <c r="V149" i="18"/>
  <c r="V217" i="18"/>
  <c r="V313" i="18"/>
  <c r="V531" i="18"/>
  <c r="V576" i="18"/>
  <c r="V1349" i="18"/>
  <c r="V84" i="18"/>
  <c r="V112" i="18"/>
  <c r="V144" i="18"/>
  <c r="V156" i="18"/>
  <c r="V184" i="18"/>
  <c r="V224" i="18"/>
  <c r="V432" i="18"/>
  <c r="V448" i="18"/>
  <c r="V532" i="18"/>
  <c r="V537" i="18"/>
  <c r="V588" i="18"/>
  <c r="V618" i="18"/>
  <c r="V793" i="18"/>
  <c r="V816" i="18"/>
  <c r="V1034" i="18"/>
  <c r="V1040" i="18"/>
  <c r="V1096" i="18"/>
  <c r="V1200" i="18"/>
  <c r="V1246" i="18"/>
  <c r="V85" i="18"/>
  <c r="V157" i="18"/>
  <c r="V163" i="18"/>
  <c r="V185" i="18"/>
  <c r="V208" i="18"/>
  <c r="V281" i="18"/>
  <c r="V348" i="18"/>
  <c r="V364" i="18"/>
  <c r="V538" i="18"/>
  <c r="V572" i="18"/>
  <c r="V636" i="18"/>
  <c r="V648" i="18"/>
  <c r="V654" i="18"/>
  <c r="V783" i="18"/>
  <c r="V862" i="18"/>
  <c r="V924" i="18"/>
  <c r="V1018" i="18"/>
  <c r="V1097" i="18"/>
  <c r="V1108" i="18"/>
  <c r="V1125" i="18"/>
  <c r="V1136" i="18"/>
  <c r="V1292" i="18"/>
  <c r="V1336" i="18"/>
  <c r="V1351" i="18"/>
  <c r="V158" i="18"/>
  <c r="V220" i="18"/>
  <c r="V349" i="18"/>
  <c r="V376" i="18"/>
  <c r="V494" i="18"/>
  <c r="V637" i="18"/>
  <c r="V643" i="18"/>
  <c r="V649" i="18"/>
  <c r="V655" i="18"/>
  <c r="V672" i="18"/>
  <c r="V784" i="18"/>
  <c r="V812" i="18"/>
  <c r="V852" i="18"/>
  <c r="V863" i="18"/>
  <c r="V925" i="18"/>
  <c r="V931" i="18"/>
  <c r="V1036" i="18"/>
  <c r="V1103" i="18"/>
  <c r="V1120" i="18"/>
  <c r="V1242" i="18"/>
  <c r="V1248" i="18"/>
  <c r="V1375" i="18"/>
  <c r="V824" i="18"/>
  <c r="V1337" i="18"/>
  <c r="V1358" i="18"/>
  <c r="V147" i="18"/>
  <c r="V153" i="18"/>
  <c r="V159" i="18"/>
  <c r="V204" i="18"/>
  <c r="V221" i="18"/>
  <c r="V227" i="18"/>
  <c r="V238" i="18"/>
  <c r="V244" i="18"/>
  <c r="V328" i="18"/>
  <c r="V591" i="18"/>
  <c r="V597" i="18"/>
  <c r="V853" i="18"/>
  <c r="V864" i="18"/>
  <c r="V910" i="18"/>
  <c r="V932" i="18"/>
  <c r="V986" i="18"/>
  <c r="V1020" i="18"/>
  <c r="V1070" i="18"/>
  <c r="V1076" i="18"/>
  <c r="V1104" i="18"/>
  <c r="V1132" i="18"/>
  <c r="V1220" i="18"/>
  <c r="V1317" i="18"/>
  <c r="V1376" i="18"/>
  <c r="V1430" i="18"/>
  <c r="V108" i="18"/>
  <c r="V124" i="18"/>
  <c r="V160" i="18"/>
  <c r="V170" i="18"/>
  <c r="V186" i="18"/>
  <c r="V202" i="18"/>
  <c r="V207" i="18"/>
  <c r="V223" i="18"/>
  <c r="V229" i="18"/>
  <c r="V725" i="18"/>
  <c r="V992" i="18"/>
  <c r="V1180" i="18"/>
  <c r="V1258" i="18"/>
  <c r="V1308" i="18"/>
  <c r="V93" i="18"/>
  <c r="V176" i="18"/>
  <c r="V192" i="18"/>
  <c r="V213" i="18"/>
  <c r="V218" i="18"/>
  <c r="V1082" i="18"/>
  <c r="V100" i="18"/>
  <c r="V120" i="18"/>
  <c r="V240" i="18"/>
  <c r="V412" i="18"/>
  <c r="V704" i="18"/>
  <c r="V345" i="18"/>
  <c r="V568" i="18"/>
  <c r="V620" i="18"/>
  <c r="V777" i="18"/>
  <c r="V1050" i="18"/>
  <c r="V95" i="18"/>
  <c r="V101" i="18"/>
  <c r="V116" i="18"/>
  <c r="V121" i="18"/>
  <c r="V136" i="18"/>
  <c r="V172" i="18"/>
  <c r="V188" i="18"/>
  <c r="V96" i="18"/>
  <c r="V122" i="18"/>
  <c r="V127" i="18"/>
  <c r="V195" i="18"/>
  <c r="V205" i="18"/>
  <c r="V236" i="18"/>
  <c r="V396" i="18"/>
  <c r="V474" i="18"/>
  <c r="V604" i="18"/>
  <c r="V1113" i="18"/>
  <c r="V128" i="18"/>
  <c r="V133" i="18"/>
  <c r="V138" i="18"/>
  <c r="V174" i="18"/>
  <c r="V190" i="18"/>
  <c r="V196" i="18"/>
  <c r="V211" i="18"/>
  <c r="V237" i="18"/>
  <c r="V272" i="18"/>
  <c r="V298" i="18"/>
  <c r="V314" i="18"/>
  <c r="V319" i="18"/>
  <c r="V325" i="18"/>
  <c r="V330" i="18"/>
  <c r="V335" i="18"/>
  <c r="V360" i="18"/>
  <c r="V464" i="18"/>
  <c r="V500" i="18"/>
  <c r="V526" i="18"/>
  <c r="V547" i="18"/>
  <c r="V552" i="18"/>
  <c r="V557" i="18"/>
  <c r="V573" i="18"/>
  <c r="V579" i="18"/>
  <c r="V688" i="18"/>
  <c r="V698" i="18"/>
  <c r="V709" i="18"/>
  <c r="V719" i="18"/>
  <c r="V750" i="18"/>
  <c r="V766" i="18"/>
  <c r="V772" i="18"/>
  <c r="V814" i="18"/>
  <c r="V820" i="18"/>
  <c r="V846" i="18"/>
  <c r="V851" i="18"/>
  <c r="V861" i="18"/>
  <c r="V867" i="18"/>
  <c r="V876" i="18"/>
  <c r="V892" i="18"/>
  <c r="V908" i="18"/>
  <c r="V976" i="18"/>
  <c r="V1002" i="18"/>
  <c r="V1024" i="18"/>
  <c r="V1045" i="18"/>
  <c r="V1102" i="18"/>
  <c r="V1118" i="18"/>
  <c r="V1124" i="18"/>
  <c r="V1134" i="18"/>
  <c r="V1140" i="18"/>
  <c r="V1145" i="18"/>
  <c r="V1253" i="18"/>
  <c r="V1284" i="18"/>
  <c r="V1374" i="18"/>
  <c r="V1426" i="18"/>
  <c r="V1442" i="18"/>
  <c r="V268" i="18"/>
  <c r="V351" i="18"/>
  <c r="V366" i="18"/>
  <c r="V392" i="18"/>
  <c r="V397" i="18"/>
  <c r="V413" i="18"/>
  <c r="V419" i="18"/>
  <c r="V428" i="18"/>
  <c r="V460" i="18"/>
  <c r="V480" i="18"/>
  <c r="V496" i="18"/>
  <c r="V506" i="18"/>
  <c r="V517" i="18"/>
  <c r="V533" i="18"/>
  <c r="V564" i="18"/>
  <c r="V605" i="18"/>
  <c r="V611" i="18"/>
  <c r="V616" i="18"/>
  <c r="V621" i="18"/>
  <c r="V668" i="18"/>
  <c r="V684" i="18"/>
  <c r="V736" i="18"/>
  <c r="V762" i="18"/>
  <c r="V778" i="18"/>
  <c r="V789" i="18"/>
  <c r="V794" i="18"/>
  <c r="V832" i="18"/>
  <c r="V837" i="18"/>
  <c r="V842" i="18"/>
  <c r="V883" i="18"/>
  <c r="V888" i="18"/>
  <c r="V904" i="18"/>
  <c r="V972" i="18"/>
  <c r="V1056" i="18"/>
  <c r="V1072" i="18"/>
  <c r="V1088" i="18"/>
  <c r="V1114" i="18"/>
  <c r="V1130" i="18"/>
  <c r="V1157" i="18"/>
  <c r="V1181" i="18"/>
  <c r="V1212" i="18"/>
  <c r="V1228" i="18"/>
  <c r="V1264" i="18"/>
  <c r="V1280" i="18"/>
  <c r="V1290" i="18"/>
  <c r="V1304" i="18"/>
  <c r="V1325" i="18"/>
  <c r="V1370" i="18"/>
  <c r="V1390" i="18"/>
  <c r="V1413" i="18"/>
  <c r="V1438" i="18"/>
  <c r="V248" i="18"/>
  <c r="V264" i="18"/>
  <c r="V284" i="18"/>
  <c r="V300" i="18"/>
  <c r="V316" i="18"/>
  <c r="V332" i="18"/>
  <c r="V352" i="18"/>
  <c r="V398" i="18"/>
  <c r="V414" i="18"/>
  <c r="V429" i="18"/>
  <c r="V435" i="18"/>
  <c r="V440" i="18"/>
  <c r="V451" i="18"/>
  <c r="V554" i="18"/>
  <c r="V570" i="18"/>
  <c r="V581" i="18"/>
  <c r="V606" i="18"/>
  <c r="V612" i="18"/>
  <c r="V622" i="18"/>
  <c r="V675" i="18"/>
  <c r="V680" i="18"/>
  <c r="V685" i="18"/>
  <c r="V700" i="18"/>
  <c r="V752" i="18"/>
  <c r="V848" i="18"/>
  <c r="V878" i="18"/>
  <c r="V884" i="18"/>
  <c r="V889" i="18"/>
  <c r="V900" i="18"/>
  <c r="V947" i="18"/>
  <c r="V963" i="18"/>
  <c r="V968" i="18"/>
  <c r="V973" i="18"/>
  <c r="V1004" i="18"/>
  <c r="V1182" i="18"/>
  <c r="V1213" i="18"/>
  <c r="V1229" i="18"/>
  <c r="V1360" i="18"/>
  <c r="V1366" i="18"/>
  <c r="V1400" i="18"/>
  <c r="V1414" i="18"/>
  <c r="V1434" i="18"/>
  <c r="V911" i="18"/>
  <c r="V916" i="18"/>
  <c r="V921" i="18"/>
  <c r="V989" i="18"/>
  <c r="V1021" i="18"/>
  <c r="V1052" i="18"/>
  <c r="V1084" i="18"/>
  <c r="V1168" i="18"/>
  <c r="V1173" i="18"/>
  <c r="V1188" i="18"/>
  <c r="V1198" i="18"/>
  <c r="V1208" i="18"/>
  <c r="V1219" i="18"/>
  <c r="V1235" i="18"/>
  <c r="V1245" i="18"/>
  <c r="V1260" i="18"/>
  <c r="V1276" i="18"/>
  <c r="V1296" i="18"/>
  <c r="V1310" i="18"/>
  <c r="V1316" i="18"/>
  <c r="V1321" i="18"/>
  <c r="V1355" i="18"/>
  <c r="V1377" i="18"/>
  <c r="V1429" i="18"/>
  <c r="V249" i="18"/>
  <c r="V254" i="18"/>
  <c r="V260" i="18"/>
  <c r="V275" i="18"/>
  <c r="V285" i="18"/>
  <c r="V291" i="18"/>
  <c r="V296" i="18"/>
  <c r="V333" i="18"/>
  <c r="V368" i="18"/>
  <c r="V389" i="18"/>
  <c r="V415" i="18"/>
  <c r="V430" i="18"/>
  <c r="V436" i="18"/>
  <c r="V446" i="18"/>
  <c r="V452" i="18"/>
  <c r="V492" i="18"/>
  <c r="V560" i="18"/>
  <c r="V613" i="18"/>
  <c r="V670" i="18"/>
  <c r="V686" i="18"/>
  <c r="V691" i="18"/>
  <c r="V732" i="18"/>
  <c r="V748" i="18"/>
  <c r="V828" i="18"/>
  <c r="V890" i="18"/>
  <c r="V901" i="18"/>
  <c r="V906" i="18"/>
  <c r="V942" i="18"/>
  <c r="V948" i="18"/>
  <c r="V953" i="18"/>
  <c r="V974" i="18"/>
  <c r="V979" i="18"/>
  <c r="V995" i="18"/>
  <c r="V1000" i="18"/>
  <c r="V1005" i="18"/>
  <c r="V1011" i="18"/>
  <c r="V1016" i="18"/>
  <c r="V1027" i="18"/>
  <c r="V1068" i="18"/>
  <c r="V1100" i="18"/>
  <c r="V1148" i="18"/>
  <c r="V1214" i="18"/>
  <c r="V1251" i="18"/>
  <c r="V1301" i="18"/>
  <c r="V1361" i="18"/>
  <c r="V1367" i="18"/>
  <c r="V1372" i="18"/>
  <c r="V1401" i="18"/>
  <c r="V1435" i="18"/>
  <c r="V1440" i="18"/>
  <c r="V250" i="18"/>
  <c r="V255" i="18"/>
  <c r="V261" i="18"/>
  <c r="V286" i="18"/>
  <c r="V292" i="18"/>
  <c r="V302" i="18"/>
  <c r="V339" i="18"/>
  <c r="V400" i="18"/>
  <c r="V416" i="18"/>
  <c r="V442" i="18"/>
  <c r="V447" i="18"/>
  <c r="V453" i="18"/>
  <c r="V483" i="18"/>
  <c r="V488" i="18"/>
  <c r="V493" i="18"/>
  <c r="V540" i="18"/>
  <c r="V608" i="18"/>
  <c r="V624" i="18"/>
  <c r="V634" i="18"/>
  <c r="V677" i="18"/>
  <c r="V692" i="18"/>
  <c r="V702" i="18"/>
  <c r="V723" i="18"/>
  <c r="V733" i="18"/>
  <c r="V739" i="18"/>
  <c r="V744" i="18"/>
  <c r="V880" i="18"/>
  <c r="V938" i="18"/>
  <c r="V954" i="18"/>
  <c r="V959" i="18"/>
  <c r="V965" i="18"/>
  <c r="V980" i="18"/>
  <c r="V985" i="18"/>
  <c r="V996" i="18"/>
  <c r="V1006" i="18"/>
  <c r="V1012" i="18"/>
  <c r="V1017" i="18"/>
  <c r="V1059" i="18"/>
  <c r="V1064" i="18"/>
  <c r="V1075" i="18"/>
  <c r="V1149" i="18"/>
  <c r="V1164" i="18"/>
  <c r="V1194" i="18"/>
  <c r="V1215" i="18"/>
  <c r="V1231" i="18"/>
  <c r="V1272" i="18"/>
  <c r="V1362" i="18"/>
  <c r="V458" i="18"/>
  <c r="V1023" i="18"/>
  <c r="V1044" i="18"/>
  <c r="V1117" i="18"/>
  <c r="V1123" i="18"/>
  <c r="V1128" i="18"/>
  <c r="V1133" i="18"/>
  <c r="V944" i="18"/>
  <c r="O790" i="11"/>
  <c r="O622" i="11"/>
  <c r="V462" i="18"/>
  <c r="V1230" i="18"/>
  <c r="V499" i="18"/>
  <c r="V660" i="18"/>
  <c r="V1119" i="18"/>
  <c r="V1261" i="18"/>
  <c r="V180" i="18"/>
  <c r="V277" i="18"/>
  <c r="V357" i="18"/>
  <c r="V633" i="18"/>
  <c r="V549" i="18"/>
  <c r="V825" i="18"/>
  <c r="V441" i="18"/>
  <c r="V1109" i="18"/>
  <c r="V1189" i="18"/>
  <c r="V405" i="18"/>
  <c r="V485" i="18"/>
  <c r="V761" i="18"/>
  <c r="V1274" i="18"/>
  <c r="V1415" i="18"/>
  <c r="V117" i="18"/>
  <c r="V181" i="18"/>
  <c r="V245" i="18"/>
  <c r="V309" i="18"/>
  <c r="V373" i="18"/>
  <c r="V437" i="18"/>
  <c r="V501" i="18"/>
  <c r="V565" i="18"/>
  <c r="V629" i="18"/>
  <c r="V693" i="18"/>
  <c r="V757" i="18"/>
  <c r="V821" i="18"/>
  <c r="V885" i="18"/>
  <c r="V949" i="18"/>
  <c r="V1013" i="18"/>
  <c r="V1077" i="18"/>
  <c r="V1141" i="18"/>
  <c r="V1205" i="18"/>
  <c r="O1411" i="11"/>
  <c r="O1075" i="11"/>
  <c r="O1067" i="11"/>
  <c r="O1063" i="11"/>
  <c r="O1059" i="11"/>
  <c r="O595" i="11"/>
  <c r="O563" i="11"/>
  <c r="O435" i="11"/>
  <c r="O427" i="11"/>
  <c r="O419" i="11"/>
  <c r="O996" i="11"/>
  <c r="O852" i="11"/>
  <c r="O832" i="11"/>
  <c r="O820" i="11"/>
  <c r="O708" i="11"/>
  <c r="O680" i="11"/>
  <c r="O676" i="11"/>
  <c r="O640" i="11"/>
  <c r="O64" i="11"/>
  <c r="O56" i="11"/>
  <c r="O1412" i="11"/>
  <c r="O1406" i="11"/>
  <c r="O1359" i="11"/>
  <c r="O1326" i="11"/>
  <c r="O1276" i="11"/>
  <c r="O1204" i="11"/>
  <c r="O1184" i="11"/>
  <c r="O1176" i="11"/>
  <c r="O944" i="11"/>
  <c r="O932" i="11"/>
  <c r="O928" i="11"/>
  <c r="O920" i="11"/>
  <c r="O916" i="11"/>
  <c r="O912" i="11"/>
  <c r="O900" i="11"/>
  <c r="O896" i="11"/>
  <c r="O892" i="11"/>
  <c r="O884" i="11"/>
  <c r="O848" i="11"/>
  <c r="O1405" i="11"/>
  <c r="O1358" i="11"/>
  <c r="O1325" i="11"/>
  <c r="O1054" i="11"/>
  <c r="O1046" i="11"/>
  <c r="O998" i="11"/>
  <c r="O958" i="11"/>
  <c r="O782" i="11"/>
  <c r="O1147" i="11"/>
  <c r="O1139" i="11"/>
  <c r="O1131" i="11"/>
  <c r="O1043" i="11"/>
  <c r="O371" i="11"/>
  <c r="O62" i="11"/>
  <c r="O58" i="11"/>
  <c r="O283" i="11"/>
  <c r="O1407" i="11"/>
  <c r="O1360" i="11"/>
  <c r="O1323" i="11"/>
  <c r="O1293" i="11"/>
  <c r="O53" i="11"/>
  <c r="O1396" i="11"/>
  <c r="O1344" i="11"/>
  <c r="O1285" i="11"/>
  <c r="O689" i="11"/>
  <c r="O1237" i="11"/>
  <c r="O1185" i="11"/>
  <c r="O969" i="11"/>
  <c r="O833" i="11"/>
  <c r="O999" i="11"/>
  <c r="O235" i="11"/>
  <c r="O211" i="11"/>
  <c r="O187" i="11"/>
  <c r="O151" i="11"/>
  <c r="O147" i="11"/>
  <c r="O111" i="11"/>
  <c r="O1165" i="11"/>
  <c r="O1161" i="11"/>
  <c r="O1149" i="11"/>
  <c r="O825" i="11"/>
  <c r="O821" i="11"/>
  <c r="O79" i="11"/>
  <c r="O75" i="11"/>
  <c r="O1057" i="11"/>
  <c r="O1049" i="11"/>
  <c r="O1033" i="11"/>
  <c r="O994" i="11"/>
  <c r="O990" i="11"/>
  <c r="O986" i="11"/>
  <c r="O978" i="11"/>
  <c r="O822" i="11"/>
  <c r="O679" i="11"/>
  <c r="O275" i="11"/>
  <c r="O1148" i="11"/>
  <c r="O1128" i="11"/>
  <c r="O1124" i="11"/>
  <c r="O1016" i="11"/>
  <c r="O1012" i="11"/>
  <c r="O774" i="11"/>
  <c r="O770" i="11"/>
  <c r="O766" i="11"/>
  <c r="O746" i="11"/>
  <c r="O742" i="11"/>
  <c r="O734" i="11"/>
  <c r="O730" i="11"/>
  <c r="O674" i="11"/>
  <c r="O650" i="11"/>
  <c r="O274" i="11"/>
  <c r="O1252" i="11"/>
  <c r="O1244" i="11"/>
  <c r="O1236" i="11"/>
  <c r="O793" i="11"/>
  <c r="O785" i="11"/>
  <c r="O729" i="11"/>
  <c r="O721" i="11"/>
  <c r="O976" i="11"/>
  <c r="O964" i="11"/>
  <c r="O1267" i="11"/>
  <c r="O1167" i="11"/>
  <c r="O1151" i="11"/>
  <c r="O995" i="11"/>
  <c r="O979" i="11"/>
  <c r="O971" i="11"/>
  <c r="O915" i="11"/>
  <c r="O883" i="11"/>
  <c r="O867" i="11"/>
  <c r="O859" i="11"/>
  <c r="O843" i="11"/>
  <c r="O608" i="11"/>
  <c r="O572" i="11"/>
  <c r="O564" i="11"/>
  <c r="O436" i="11"/>
  <c r="O400" i="11"/>
  <c r="O376" i="11"/>
  <c r="O360" i="11"/>
  <c r="O296" i="11"/>
  <c r="O288" i="11"/>
  <c r="O200" i="11"/>
  <c r="O196" i="11"/>
  <c r="O192" i="11"/>
  <c r="O180" i="11"/>
  <c r="O164" i="11"/>
  <c r="O152" i="11"/>
  <c r="O144" i="11"/>
  <c r="O116" i="11"/>
  <c r="O72" i="11"/>
  <c r="O68" i="11"/>
  <c r="O1182" i="11"/>
  <c r="O561" i="11"/>
  <c r="O489" i="11"/>
  <c r="O481" i="11"/>
  <c r="O461" i="11"/>
  <c r="O457" i="11"/>
  <c r="O206" i="11"/>
  <c r="O202" i="11"/>
  <c r="O55" i="11"/>
  <c r="O1321" i="11"/>
  <c r="O1118" i="11"/>
  <c r="O1114" i="11"/>
  <c r="O1102" i="11"/>
  <c r="O1098" i="11"/>
  <c r="O1006" i="11"/>
  <c r="O967" i="11"/>
  <c r="O816" i="11"/>
  <c r="O808" i="11"/>
  <c r="O804" i="11"/>
  <c r="O788" i="11"/>
  <c r="O784" i="11"/>
  <c r="O776" i="11"/>
  <c r="O768" i="11"/>
  <c r="O277" i="11"/>
  <c r="O269" i="11"/>
  <c r="O138" i="11"/>
  <c r="O130" i="11"/>
  <c r="O560" i="11"/>
  <c r="O556" i="11"/>
  <c r="O544" i="11"/>
  <c r="O520" i="11"/>
  <c r="O508" i="11"/>
  <c r="O504" i="11"/>
  <c r="O500" i="11"/>
  <c r="O496" i="11"/>
  <c r="O488" i="11"/>
  <c r="O484" i="11"/>
  <c r="O480" i="11"/>
  <c r="O464" i="11"/>
  <c r="O460" i="11"/>
  <c r="O456" i="11"/>
  <c r="O356" i="11"/>
  <c r="O352" i="11"/>
  <c r="O344" i="11"/>
  <c r="O320" i="11"/>
  <c r="O316" i="11"/>
  <c r="O229" i="11"/>
  <c r="O1307" i="11"/>
  <c r="O1141" i="11"/>
  <c r="O1133" i="11"/>
  <c r="O1125" i="11"/>
  <c r="O942" i="11"/>
  <c r="O910" i="11"/>
  <c r="O906" i="11"/>
  <c r="O882" i="11"/>
  <c r="O878" i="11"/>
  <c r="O874" i="11"/>
  <c r="O870" i="11"/>
  <c r="O862" i="11"/>
  <c r="O858" i="11"/>
  <c r="O830" i="11"/>
  <c r="O791" i="11"/>
  <c r="O276" i="11"/>
  <c r="O268" i="11"/>
  <c r="O141" i="11"/>
  <c r="O137" i="11"/>
  <c r="O129" i="11"/>
  <c r="O1283" i="11"/>
  <c r="O439" i="11"/>
  <c r="O347" i="11"/>
  <c r="O65" i="11"/>
  <c r="O1088" i="11"/>
  <c r="O1080" i="11"/>
  <c r="O1072" i="11"/>
  <c r="O1064" i="11"/>
  <c r="O1048" i="11"/>
  <c r="O1024" i="11"/>
  <c r="O957" i="11"/>
  <c r="O953" i="11"/>
  <c r="O945" i="11"/>
  <c r="O136" i="11"/>
  <c r="O128" i="11"/>
  <c r="O562" i="11"/>
  <c r="O554" i="11"/>
  <c r="O474" i="11"/>
  <c r="O450" i="11"/>
  <c r="O446" i="11"/>
  <c r="O350" i="11"/>
  <c r="O342" i="11"/>
  <c r="O338" i="11"/>
  <c r="O231" i="11"/>
  <c r="O1322" i="11"/>
  <c r="O1305" i="11"/>
  <c r="O1282" i="11"/>
  <c r="O1278" i="11"/>
  <c r="O1172" i="11"/>
  <c r="O1001" i="11"/>
  <c r="O952" i="11"/>
  <c r="O948" i="11"/>
  <c r="O937" i="11"/>
  <c r="O933" i="11"/>
  <c r="O905" i="11"/>
  <c r="O857" i="11"/>
  <c r="O853" i="11"/>
  <c r="O845" i="11"/>
  <c r="O841" i="11"/>
  <c r="O743" i="11"/>
  <c r="O723" i="11"/>
  <c r="O711" i="11"/>
  <c r="O683" i="11"/>
  <c r="O675" i="11"/>
  <c r="O659" i="11"/>
  <c r="O632" i="11"/>
  <c r="O624" i="11"/>
  <c r="O616" i="11"/>
  <c r="O604" i="11"/>
  <c r="O600" i="11"/>
  <c r="O596" i="11"/>
  <c r="O592" i="11"/>
  <c r="O580" i="11"/>
  <c r="O576" i="11"/>
  <c r="O541" i="11"/>
  <c r="O434" i="11"/>
  <c r="O402" i="11"/>
  <c r="O319" i="11"/>
  <c r="O264" i="11"/>
  <c r="O260" i="11"/>
  <c r="O252" i="11"/>
  <c r="O248" i="11"/>
  <c r="O240" i="11"/>
  <c r="O228" i="11"/>
  <c r="O220" i="11"/>
  <c r="O216" i="11"/>
  <c r="O205" i="11"/>
  <c r="O197" i="11"/>
  <c r="O173" i="11"/>
  <c r="O169" i="11"/>
  <c r="O157" i="11"/>
  <c r="O153" i="11"/>
  <c r="O114" i="11"/>
  <c r="O94" i="11"/>
  <c r="O86" i="11"/>
  <c r="O82" i="11"/>
  <c r="O1400" i="11"/>
  <c r="O1226" i="11"/>
  <c r="O1222" i="11"/>
  <c r="O1194" i="11"/>
  <c r="O1190" i="11"/>
  <c r="O1186" i="11"/>
  <c r="O1171" i="11"/>
  <c r="O1120" i="11"/>
  <c r="O1104" i="11"/>
  <c r="O1100" i="11"/>
  <c r="O1096" i="11"/>
  <c r="O1032" i="11"/>
  <c r="O1017" i="11"/>
  <c r="O955" i="11"/>
  <c r="O904" i="11"/>
  <c r="O876" i="11"/>
  <c r="O864" i="11"/>
  <c r="O860" i="11"/>
  <c r="O840" i="11"/>
  <c r="O836" i="11"/>
  <c r="O517" i="11"/>
  <c r="O509" i="11"/>
  <c r="O758" i="11"/>
  <c r="O754" i="11"/>
  <c r="O750" i="11"/>
  <c r="O714" i="11"/>
  <c r="O698" i="11"/>
  <c r="O694" i="11"/>
  <c r="O682" i="11"/>
  <c r="O627" i="11"/>
  <c r="O619" i="11"/>
  <c r="O536" i="11"/>
  <c r="O532" i="11"/>
  <c r="O476" i="11"/>
  <c r="O448" i="11"/>
  <c r="O433" i="11"/>
  <c r="O425" i="11"/>
  <c r="O389" i="11"/>
  <c r="O357" i="11"/>
  <c r="O286" i="11"/>
  <c r="O243" i="11"/>
  <c r="O227" i="11"/>
  <c r="O204" i="11"/>
  <c r="O176" i="11"/>
  <c r="O172" i="11"/>
  <c r="O168" i="11"/>
  <c r="O160" i="11"/>
  <c r="O156" i="11"/>
  <c r="O120" i="11"/>
  <c r="O101" i="11"/>
  <c r="O93" i="11"/>
  <c r="O85" i="11"/>
  <c r="O1403" i="11"/>
  <c r="O1331" i="11"/>
  <c r="O1319" i="11"/>
  <c r="O1273" i="11"/>
  <c r="O1269" i="11"/>
  <c r="O1261" i="11"/>
  <c r="O1253" i="11"/>
  <c r="O1245" i="11"/>
  <c r="O1233" i="11"/>
  <c r="O1221" i="11"/>
  <c r="O1213" i="11"/>
  <c r="O1111" i="11"/>
  <c r="O1087" i="11"/>
  <c r="O1008" i="11"/>
  <c r="O966" i="11"/>
  <c r="O353" i="11"/>
  <c r="O345" i="11"/>
  <c r="O1268" i="11"/>
  <c r="O1264" i="11"/>
  <c r="O1232" i="11"/>
  <c r="O1224" i="11"/>
  <c r="O1216" i="11"/>
  <c r="O1200" i="11"/>
  <c r="O1192" i="11"/>
  <c r="O1188" i="11"/>
  <c r="O1177" i="11"/>
  <c r="O1174" i="11"/>
  <c r="O1170" i="11"/>
  <c r="O1158" i="11"/>
  <c r="O1142" i="11"/>
  <c r="O1134" i="11"/>
  <c r="O1031" i="11"/>
  <c r="O1019" i="11"/>
  <c r="O1015" i="11"/>
  <c r="O1003" i="11"/>
  <c r="O985" i="11"/>
  <c r="O977" i="11"/>
  <c r="O887" i="11"/>
  <c r="O772" i="11"/>
  <c r="O761" i="11"/>
  <c r="O657" i="11"/>
  <c r="O602" i="11"/>
  <c r="O539" i="11"/>
  <c r="O523" i="11"/>
  <c r="O515" i="11"/>
  <c r="O507" i="11"/>
  <c r="O499" i="11"/>
  <c r="O483" i="11"/>
  <c r="O432" i="11"/>
  <c r="O428" i="11"/>
  <c r="O424" i="11"/>
  <c r="O416" i="11"/>
  <c r="O412" i="11"/>
  <c r="O408" i="11"/>
  <c r="O404" i="11"/>
  <c r="O396" i="11"/>
  <c r="O392" i="11"/>
  <c r="O384" i="11"/>
  <c r="O372" i="11"/>
  <c r="O368" i="11"/>
  <c r="O364" i="11"/>
  <c r="O332" i="11"/>
  <c r="O324" i="11"/>
  <c r="O305" i="11"/>
  <c r="O293" i="11"/>
  <c r="O203" i="11"/>
  <c r="O155" i="11"/>
  <c r="O127" i="11"/>
  <c r="O119" i="11"/>
  <c r="O112" i="11"/>
  <c r="O104" i="11"/>
  <c r="O100" i="11"/>
  <c r="O92" i="11"/>
  <c r="O88" i="11"/>
  <c r="O84" i="11"/>
  <c r="O1279" i="11"/>
  <c r="O1169" i="11"/>
  <c r="O854" i="11"/>
  <c r="O846" i="11"/>
  <c r="O748" i="11"/>
  <c r="O736" i="11"/>
  <c r="O732" i="11"/>
  <c r="O712" i="11"/>
  <c r="O1255" i="11"/>
  <c r="O1247" i="11"/>
  <c r="O1239" i="11"/>
  <c r="O1207" i="11"/>
  <c r="O1199" i="11"/>
  <c r="O1191" i="11"/>
  <c r="O1187" i="11"/>
  <c r="O1180" i="11"/>
  <c r="O1113" i="11"/>
  <c r="O1105" i="11"/>
  <c r="O1081" i="11"/>
  <c r="O1078" i="11"/>
  <c r="O1038" i="11"/>
  <c r="O968" i="11"/>
  <c r="O692" i="11"/>
  <c r="O672" i="11"/>
  <c r="O648" i="11"/>
  <c r="O644" i="11"/>
  <c r="O637" i="11"/>
  <c r="O633" i="11"/>
  <c r="O597" i="11"/>
  <c r="O589" i="11"/>
  <c r="O585" i="11"/>
  <c r="O395" i="11"/>
  <c r="O391" i="11"/>
  <c r="O375" i="11"/>
  <c r="O367" i="11"/>
  <c r="O363" i="11"/>
  <c r="O359" i="11"/>
  <c r="O355" i="11"/>
  <c r="O339" i="11"/>
  <c r="O331" i="11"/>
  <c r="O312" i="11"/>
  <c r="O308" i="11"/>
  <c r="O300" i="11"/>
  <c r="O292" i="11"/>
  <c r="O272" i="11"/>
  <c r="O253" i="11"/>
  <c r="O170" i="11"/>
  <c r="O158" i="11"/>
  <c r="O154" i="11"/>
  <c r="O115" i="11"/>
  <c r="O83" i="11"/>
  <c r="O1333" i="11"/>
  <c r="O1274" i="11"/>
  <c r="O1168" i="11"/>
  <c r="O299" i="11"/>
  <c r="O1040" i="11"/>
  <c r="O528" i="11"/>
  <c r="O1205" i="11"/>
  <c r="O80" i="11"/>
  <c r="O756" i="11"/>
  <c r="O1270" i="11"/>
  <c r="O1160" i="11"/>
  <c r="O1156" i="11"/>
  <c r="O1152" i="11"/>
  <c r="O1109" i="11"/>
  <c r="O1097" i="11"/>
  <c r="O983" i="11"/>
  <c r="O949" i="11"/>
  <c r="O889" i="11"/>
  <c r="O885" i="11"/>
  <c r="O824" i="11"/>
  <c r="O809" i="11"/>
  <c r="O797" i="11"/>
  <c r="O789" i="11"/>
  <c r="O781" i="11"/>
  <c r="O777" i="11"/>
  <c r="O752" i="11"/>
  <c r="O744" i="11"/>
  <c r="O740" i="11"/>
  <c r="O728" i="11"/>
  <c r="O720" i="11"/>
  <c r="O716" i="11"/>
  <c r="O634" i="11"/>
  <c r="O603" i="11"/>
  <c r="O557" i="11"/>
  <c r="O524" i="11"/>
  <c r="O505" i="11"/>
  <c r="O498" i="11"/>
  <c r="O482" i="11"/>
  <c r="O471" i="11"/>
  <c r="O452" i="11"/>
  <c r="O444" i="11"/>
  <c r="O413" i="11"/>
  <c r="O409" i="11"/>
  <c r="O401" i="11"/>
  <c r="O394" i="11"/>
  <c r="O348" i="11"/>
  <c r="O329" i="11"/>
  <c r="O321" i="11"/>
  <c r="O314" i="11"/>
  <c r="O295" i="11"/>
  <c r="O284" i="11"/>
  <c r="O280" i="11"/>
  <c r="O266" i="11"/>
  <c r="O239" i="11"/>
  <c r="O224" i="11"/>
  <c r="O212" i="11"/>
  <c r="O208" i="11"/>
  <c r="O190" i="11"/>
  <c r="O186" i="11"/>
  <c r="O178" i="11"/>
  <c r="O167" i="11"/>
  <c r="O148" i="11"/>
  <c r="O140" i="11"/>
  <c r="O132" i="11"/>
  <c r="O125" i="11"/>
  <c r="O117" i="11"/>
  <c r="O106" i="11"/>
  <c r="O91" i="11"/>
  <c r="O87" i="11"/>
  <c r="O76" i="11"/>
  <c r="O60" i="11"/>
  <c r="O1398" i="11"/>
  <c r="O1386" i="11"/>
  <c r="O1373" i="11"/>
  <c r="O1347" i="11"/>
  <c r="O1339" i="11"/>
  <c r="O1328" i="11"/>
  <c r="O1294" i="11"/>
  <c r="O1291" i="11"/>
  <c r="O1281" i="11"/>
  <c r="O1277" i="11"/>
  <c r="O1266" i="11"/>
  <c r="O1262" i="11"/>
  <c r="O1231" i="11"/>
  <c r="O1223" i="11"/>
  <c r="O1220" i="11"/>
  <c r="O1212" i="11"/>
  <c r="O1201" i="11"/>
  <c r="O1155" i="11"/>
  <c r="O1144" i="11"/>
  <c r="O1140" i="11"/>
  <c r="O1136" i="11"/>
  <c r="O1132" i="11"/>
  <c r="O1093" i="11"/>
  <c r="O1086" i="11"/>
  <c r="O1071" i="11"/>
  <c r="O1035" i="11"/>
  <c r="O1020" i="11"/>
  <c r="O960" i="11"/>
  <c r="O907" i="11"/>
  <c r="O888" i="11"/>
  <c r="O873" i="11"/>
  <c r="O849" i="11"/>
  <c r="O838" i="11"/>
  <c r="O834" i="11"/>
  <c r="O812" i="11"/>
  <c r="O800" i="11"/>
  <c r="O796" i="11"/>
  <c r="O792" i="11"/>
  <c r="O755" i="11"/>
  <c r="O739" i="11"/>
  <c r="O731" i="11"/>
  <c r="O715" i="11"/>
  <c r="O704" i="11"/>
  <c r="O700" i="11"/>
  <c r="O688" i="11"/>
  <c r="O684" i="11"/>
  <c r="O661" i="11"/>
  <c r="O653" i="11"/>
  <c r="O649" i="11"/>
  <c r="O645" i="11"/>
  <c r="O630" i="11"/>
  <c r="O626" i="11"/>
  <c r="O618" i="11"/>
  <c r="O610" i="11"/>
  <c r="O591" i="11"/>
  <c r="O587" i="11"/>
  <c r="O571" i="11"/>
  <c r="O538" i="11"/>
  <c r="O516" i="11"/>
  <c r="O459" i="11"/>
  <c r="O420" i="11"/>
  <c r="O397" i="11"/>
  <c r="O382" i="11"/>
  <c r="O317" i="11"/>
  <c r="O340" i="11"/>
  <c r="O336" i="11"/>
  <c r="O328" i="11"/>
  <c r="O287" i="11"/>
  <c r="O219" i="11"/>
  <c r="O215" i="11"/>
  <c r="O193" i="11"/>
  <c r="O185" i="11"/>
  <c r="O177" i="11"/>
  <c r="O162" i="11"/>
  <c r="O139" i="11"/>
  <c r="O124" i="11"/>
  <c r="O109" i="11"/>
  <c r="O105" i="11"/>
  <c r="O90" i="11"/>
  <c r="O67" i="11"/>
  <c r="O59" i="11"/>
  <c r="O1409" i="11"/>
  <c r="O1372" i="11"/>
  <c r="O1346" i="11"/>
  <c r="O1338" i="11"/>
  <c r="O1290" i="11"/>
  <c r="O1272" i="11"/>
  <c r="O1219" i="11"/>
  <c r="O1143" i="11"/>
  <c r="O1119" i="11"/>
  <c r="O1115" i="11"/>
  <c r="O1099" i="11"/>
  <c r="O1070" i="11"/>
  <c r="O1066" i="11"/>
  <c r="O1062" i="11"/>
  <c r="O1058" i="11"/>
  <c r="O1023" i="11"/>
  <c r="O1000" i="11"/>
  <c r="O997" i="11"/>
  <c r="O974" i="11"/>
  <c r="O970" i="11"/>
  <c r="O947" i="11"/>
  <c r="O914" i="11"/>
  <c r="O903" i="11"/>
  <c r="O891" i="11"/>
  <c r="O880" i="11"/>
  <c r="O872" i="11"/>
  <c r="O868" i="11"/>
  <c r="O856" i="11"/>
  <c r="O844" i="11"/>
  <c r="O819" i="11"/>
  <c r="O803" i="11"/>
  <c r="O795" i="11"/>
  <c r="O779" i="11"/>
  <c r="O726" i="11"/>
  <c r="O695" i="11"/>
  <c r="O668" i="11"/>
  <c r="O664" i="11"/>
  <c r="O660" i="11"/>
  <c r="O656" i="11"/>
  <c r="O652" i="11"/>
  <c r="O636" i="11"/>
  <c r="O621" i="11"/>
  <c r="O617" i="11"/>
  <c r="O609" i="11"/>
  <c r="O605" i="11"/>
  <c r="O598" i="11"/>
  <c r="O590" i="11"/>
  <c r="O586" i="11"/>
  <c r="O578" i="11"/>
  <c r="O574" i="11"/>
  <c r="O552" i="11"/>
  <c r="O548" i="11"/>
  <c r="O537" i="11"/>
  <c r="O530" i="11"/>
  <c r="O477" i="11"/>
  <c r="O462" i="11"/>
  <c r="O458" i="11"/>
  <c r="O381" i="11"/>
  <c r="O373" i="11"/>
  <c r="O366" i="11"/>
  <c r="O323" i="11"/>
  <c r="O304" i="11"/>
  <c r="O256" i="11"/>
  <c r="O249" i="11"/>
  <c r="O241" i="11"/>
  <c r="O207" i="11"/>
  <c r="O1397" i="11"/>
  <c r="O1306" i="11"/>
  <c r="O807" i="11"/>
  <c r="O651" i="11"/>
  <c r="O643" i="11"/>
  <c r="O540" i="11"/>
  <c r="O533" i="11"/>
  <c r="O423" i="11"/>
  <c r="O415" i="11"/>
  <c r="O411" i="11"/>
  <c r="O369" i="11"/>
  <c r="O343" i="11"/>
  <c r="O335" i="11"/>
  <c r="O244" i="11"/>
  <c r="O222" i="11"/>
  <c r="O214" i="11"/>
  <c r="O188" i="11"/>
  <c r="O184" i="11"/>
  <c r="O165" i="11"/>
  <c r="O146" i="11"/>
  <c r="O108" i="11"/>
  <c r="O96" i="11"/>
  <c r="O1404" i="11"/>
  <c r="O1371" i="11"/>
  <c r="O1345" i="11"/>
  <c r="O1341" i="11"/>
  <c r="O1271" i="11"/>
  <c r="O1256" i="11"/>
  <c r="O1248" i="11"/>
  <c r="O1240" i="11"/>
  <c r="O1183" i="11"/>
  <c r="O1153" i="11"/>
  <c r="O1110" i="11"/>
  <c r="O1095" i="11"/>
  <c r="O1084" i="11"/>
  <c r="O1069" i="11"/>
  <c r="O1053" i="11"/>
  <c r="O1045" i="11"/>
  <c r="O1041" i="11"/>
  <c r="O1025" i="11"/>
  <c r="O1014" i="11"/>
  <c r="O940" i="11"/>
  <c r="O921" i="11"/>
  <c r="O913" i="11"/>
  <c r="O757" i="11"/>
  <c r="O706" i="11"/>
  <c r="O702" i="11"/>
  <c r="O686" i="11"/>
  <c r="O671" i="11"/>
  <c r="O663" i="11"/>
  <c r="O612" i="11"/>
  <c r="O555" i="11"/>
  <c r="O551" i="11"/>
  <c r="O510" i="11"/>
  <c r="O380" i="11"/>
  <c r="O289" i="11"/>
  <c r="O1145" i="11"/>
  <c r="O1137" i="11"/>
  <c r="O1056" i="11"/>
  <c r="O1052" i="11"/>
  <c r="O1037" i="11"/>
  <c r="O1009" i="11"/>
  <c r="O992" i="11"/>
  <c r="O984" i="11"/>
  <c r="O980" i="11"/>
  <c r="O961" i="11"/>
  <c r="O950" i="11"/>
  <c r="O946" i="11"/>
  <c r="O939" i="11"/>
  <c r="O894" i="11"/>
  <c r="O890" i="11"/>
  <c r="O855" i="11"/>
  <c r="O818" i="11"/>
  <c r="O814" i="11"/>
  <c r="O810" i="11"/>
  <c r="O806" i="11"/>
  <c r="O798" i="11"/>
  <c r="O794" i="11"/>
  <c r="O760" i="11"/>
  <c r="O745" i="11"/>
  <c r="O733" i="11"/>
  <c r="O725" i="11"/>
  <c r="O713" i="11"/>
  <c r="O697" i="11"/>
  <c r="O678" i="11"/>
  <c r="O662" i="11"/>
  <c r="O588" i="11"/>
  <c r="O584" i="11"/>
  <c r="O569" i="11"/>
  <c r="O495" i="11"/>
  <c r="O491" i="11"/>
  <c r="O472" i="11"/>
  <c r="O468" i="11"/>
  <c r="O453" i="11"/>
  <c r="O441" i="11"/>
  <c r="O418" i="11"/>
  <c r="O379" i="11"/>
  <c r="O322" i="11"/>
  <c r="O303" i="11"/>
  <c r="O267" i="11"/>
  <c r="O255" i="11"/>
  <c r="O251" i="11"/>
  <c r="O236" i="11"/>
  <c r="O232" i="11"/>
  <c r="O225" i="11"/>
  <c r="O217" i="11"/>
  <c r="O191" i="11"/>
  <c r="O183" i="11"/>
  <c r="O171" i="11"/>
  <c r="O149" i="11"/>
  <c r="O145" i="11"/>
  <c r="O122" i="11"/>
  <c r="O107" i="11"/>
  <c r="O77" i="11"/>
  <c r="O69" i="11"/>
  <c r="O1370" i="11"/>
  <c r="O1357" i="11"/>
  <c r="O1340" i="11"/>
  <c r="O1336" i="11"/>
  <c r="O1329" i="11"/>
  <c r="O1295" i="11"/>
  <c r="O1292" i="11"/>
  <c r="O1288" i="11"/>
  <c r="O1280" i="11"/>
  <c r="O1259" i="11"/>
  <c r="O1241" i="11"/>
  <c r="O1234" i="11"/>
  <c r="O1230" i="11"/>
  <c r="O1197" i="11"/>
  <c r="O1163" i="11"/>
  <c r="O1076" i="11"/>
  <c r="O1030" i="11"/>
  <c r="O993" i="11"/>
  <c r="O926" i="11"/>
  <c r="O922" i="11"/>
  <c r="O861" i="11"/>
  <c r="O827" i="11"/>
  <c r="O1258" i="11"/>
  <c r="O1254" i="11"/>
  <c r="O1251" i="11"/>
  <c r="O1229" i="11"/>
  <c r="O1196" i="11"/>
  <c r="O1181" i="11"/>
  <c r="O1079" i="11"/>
  <c r="O1044" i="11"/>
  <c r="O1010" i="11"/>
  <c r="O973" i="11"/>
  <c r="O929" i="11"/>
  <c r="O902" i="11"/>
  <c r="O1265" i="11"/>
  <c r="O1112" i="11"/>
  <c r="O936" i="11"/>
  <c r="O909" i="11"/>
  <c r="O871" i="11"/>
  <c r="O1228" i="11"/>
  <c r="O1217" i="11"/>
  <c r="O1210" i="11"/>
  <c r="O1206" i="11"/>
  <c r="O1203" i="11"/>
  <c r="O1195" i="11"/>
  <c r="O851" i="11"/>
  <c r="O1263" i="11"/>
  <c r="O1260" i="11"/>
  <c r="O1249" i="11"/>
  <c r="O1242" i="11"/>
  <c r="O1238" i="11"/>
  <c r="O1235" i="11"/>
  <c r="O1227" i="11"/>
  <c r="O1209" i="11"/>
  <c r="O1202" i="11"/>
  <c r="O1198" i="11"/>
  <c r="O1065" i="11"/>
  <c r="O956" i="11"/>
  <c r="O919" i="11"/>
  <c r="O881" i="11"/>
  <c r="O1173" i="11"/>
  <c r="O1166" i="11"/>
  <c r="O1162" i="11"/>
  <c r="O1159" i="11"/>
  <c r="O1135" i="11"/>
  <c r="O1117" i="11"/>
  <c r="O1106" i="11"/>
  <c r="O1103" i="11"/>
  <c r="O1092" i="11"/>
  <c r="O1085" i="11"/>
  <c r="O1061" i="11"/>
  <c r="O1050" i="11"/>
  <c r="O1047" i="11"/>
  <c r="O1013" i="11"/>
  <c r="O962" i="11"/>
  <c r="O898" i="11"/>
  <c r="O837" i="11"/>
  <c r="O773" i="11"/>
  <c r="O769" i="11"/>
  <c r="O719" i="11"/>
  <c r="O705" i="11"/>
  <c r="O690" i="11"/>
  <c r="O687" i="11"/>
  <c r="O670" i="11"/>
  <c r="O629" i="11"/>
  <c r="O568" i="11"/>
  <c r="O475" i="11"/>
  <c r="O440" i="11"/>
  <c r="O1215" i="11"/>
  <c r="O1208" i="11"/>
  <c r="O1179" i="11"/>
  <c r="O1138" i="11"/>
  <c r="O1127" i="11"/>
  <c r="O1123" i="11"/>
  <c r="O1116" i="11"/>
  <c r="O1091" i="11"/>
  <c r="O1068" i="11"/>
  <c r="O1060" i="11"/>
  <c r="O1036" i="11"/>
  <c r="O1029" i="11"/>
  <c r="O1022" i="11"/>
  <c r="O989" i="11"/>
  <c r="O982" i="11"/>
  <c r="O972" i="11"/>
  <c r="O965" i="11"/>
  <c r="O938" i="11"/>
  <c r="O935" i="11"/>
  <c r="O931" i="11"/>
  <c r="O925" i="11"/>
  <c r="O918" i="11"/>
  <c r="O908" i="11"/>
  <c r="O901" i="11"/>
  <c r="O897" i="11"/>
  <c r="O877" i="11"/>
  <c r="O850" i="11"/>
  <c r="O826" i="11"/>
  <c r="O823" i="11"/>
  <c r="O813" i="11"/>
  <c r="O786" i="11"/>
  <c r="O762" i="11"/>
  <c r="O759" i="11"/>
  <c r="O749" i="11"/>
  <c r="O722" i="11"/>
  <c r="O718" i="11"/>
  <c r="O673" i="11"/>
  <c r="O666" i="11"/>
  <c r="O655" i="11"/>
  <c r="O625" i="11"/>
  <c r="O575" i="11"/>
  <c r="O512" i="11"/>
  <c r="O52" i="11"/>
  <c r="O707" i="11"/>
  <c r="O693" i="11"/>
  <c r="O669" i="11"/>
  <c r="O665" i="11"/>
  <c r="O658" i="11"/>
  <c r="O654" i="11"/>
  <c r="O1175" i="11"/>
  <c r="O1130" i="11"/>
  <c r="O1074" i="11"/>
  <c r="O1042" i="11"/>
  <c r="O1039" i="11"/>
  <c r="O1028" i="11"/>
  <c r="O1021" i="11"/>
  <c r="O1005" i="11"/>
  <c r="O988" i="11"/>
  <c r="O981" i="11"/>
  <c r="O954" i="11"/>
  <c r="O951" i="11"/>
  <c r="O941" i="11"/>
  <c r="O934" i="11"/>
  <c r="O924" i="11"/>
  <c r="O917" i="11"/>
  <c r="O866" i="11"/>
  <c r="O842" i="11"/>
  <c r="O839" i="11"/>
  <c r="O829" i="11"/>
  <c r="O802" i="11"/>
  <c r="O778" i="11"/>
  <c r="O775" i="11"/>
  <c r="O765" i="11"/>
  <c r="O738" i="11"/>
  <c r="O1275" i="11"/>
  <c r="O1257" i="11"/>
  <c r="O1250" i="11"/>
  <c r="O1246" i="11"/>
  <c r="O1243" i="11"/>
  <c r="O1225" i="11"/>
  <c r="O1218" i="11"/>
  <c r="O1214" i="11"/>
  <c r="O1211" i="11"/>
  <c r="O1193" i="11"/>
  <c r="O1189" i="11"/>
  <c r="O1178" i="11"/>
  <c r="O1164" i="11"/>
  <c r="O1157" i="11"/>
  <c r="O1150" i="11"/>
  <c r="O1129" i="11"/>
  <c r="O1126" i="11"/>
  <c r="O1122" i="11"/>
  <c r="O1108" i="11"/>
  <c r="O1101" i="11"/>
  <c r="O1094" i="11"/>
  <c r="O1083" i="11"/>
  <c r="O1077" i="11"/>
  <c r="O1073" i="11"/>
  <c r="O1055" i="11"/>
  <c r="O1027" i="11"/>
  <c r="O1011" i="11"/>
  <c r="O1004" i="11"/>
  <c r="O991" i="11"/>
  <c r="O987" i="11"/>
  <c r="O930" i="11"/>
  <c r="O923" i="11"/>
  <c r="O893" i="11"/>
  <c r="O886" i="11"/>
  <c r="O875" i="11"/>
  <c r="O869" i="11"/>
  <c r="O865" i="11"/>
  <c r="O835" i="11"/>
  <c r="O828" i="11"/>
  <c r="O811" i="11"/>
  <c r="O805" i="11"/>
  <c r="O801" i="11"/>
  <c r="O771" i="11"/>
  <c r="O764" i="11"/>
  <c r="O747" i="11"/>
  <c r="O741" i="11"/>
  <c r="O737" i="11"/>
  <c r="O703" i="11"/>
  <c r="O699" i="11"/>
  <c r="O696" i="11"/>
  <c r="O620" i="11"/>
  <c r="O613" i="11"/>
  <c r="O606" i="11"/>
  <c r="O581" i="11"/>
  <c r="O492" i="11"/>
  <c r="O388" i="11"/>
  <c r="O1121" i="11"/>
  <c r="O1107" i="11"/>
  <c r="O1089" i="11"/>
  <c r="O1051" i="11"/>
  <c r="O1007" i="11"/>
  <c r="O963" i="11"/>
  <c r="O899" i="11"/>
  <c r="O691" i="11"/>
  <c r="O641" i="11"/>
  <c r="O817" i="11"/>
  <c r="O787" i="11"/>
  <c r="O780" i="11"/>
  <c r="O763" i="11"/>
  <c r="O753" i="11"/>
  <c r="O667" i="11"/>
  <c r="O646" i="11"/>
  <c r="O642" i="11"/>
  <c r="O638" i="11"/>
  <c r="O631" i="11"/>
  <c r="O593" i="11"/>
  <c r="O579" i="11"/>
  <c r="O565" i="11"/>
  <c r="O558" i="11"/>
  <c r="O534" i="11"/>
  <c r="O527" i="11"/>
  <c r="O513" i="11"/>
  <c r="O506" i="11"/>
  <c r="O485" i="11"/>
  <c r="O478" i="11"/>
  <c r="O447" i="11"/>
  <c r="O443" i="11"/>
  <c r="O429" i="11"/>
  <c r="O426" i="11"/>
  <c r="O405" i="11"/>
  <c r="O377" i="11"/>
  <c r="O370" i="11"/>
  <c r="O349" i="11"/>
  <c r="O346" i="11"/>
  <c r="O325" i="11"/>
  <c r="O318" i="11"/>
  <c r="O311" i="11"/>
  <c r="O307" i="11"/>
  <c r="O297" i="11"/>
  <c r="O290" i="11"/>
  <c r="O273" i="11"/>
  <c r="O263" i="11"/>
  <c r="O259" i="11"/>
  <c r="O245" i="11"/>
  <c r="O242" i="11"/>
  <c r="O221" i="11"/>
  <c r="O218" i="11"/>
  <c r="O201" i="11"/>
  <c r="O194" i="11"/>
  <c r="O159" i="11"/>
  <c r="O135" i="11"/>
  <c r="O121" i="11"/>
  <c r="O97" i="11"/>
  <c r="O73" i="11"/>
  <c r="O66" i="11"/>
  <c r="O1410" i="11"/>
  <c r="O1399" i="11"/>
  <c r="O1334" i="11"/>
  <c r="O1327" i="11"/>
  <c r="O1324" i="11"/>
  <c r="O1320" i="11"/>
  <c r="O1286" i="11"/>
  <c r="O547" i="11"/>
  <c r="O467" i="11"/>
  <c r="O387" i="11"/>
  <c r="O279" i="11"/>
  <c r="O179" i="11"/>
  <c r="O131" i="11"/>
  <c r="O529" i="11"/>
  <c r="O501" i="11"/>
  <c r="O494" i="11"/>
  <c r="O470" i="11"/>
  <c r="O463" i="11"/>
  <c r="O449" i="11"/>
  <c r="O442" i="11"/>
  <c r="O421" i="11"/>
  <c r="O414" i="11"/>
  <c r="O383" i="11"/>
  <c r="O365" i="11"/>
  <c r="O362" i="11"/>
  <c r="O341" i="11"/>
  <c r="O334" i="11"/>
  <c r="O313" i="11"/>
  <c r="O306" i="11"/>
  <c r="O285" i="11"/>
  <c r="O282" i="11"/>
  <c r="O265" i="11"/>
  <c r="O258" i="11"/>
  <c r="O237" i="11"/>
  <c r="O234" i="11"/>
  <c r="O213" i="11"/>
  <c r="O210" i="11"/>
  <c r="O189" i="11"/>
  <c r="O175" i="11"/>
  <c r="O161" i="11"/>
  <c r="O123" i="11"/>
  <c r="O113" i="11"/>
  <c r="O103" i="11"/>
  <c r="O99" i="11"/>
  <c r="O89" i="11"/>
  <c r="O61" i="11"/>
  <c r="O1402" i="11"/>
  <c r="O1385" i="11"/>
  <c r="O1337" i="11"/>
  <c r="O1330" i="11"/>
  <c r="O1308" i="11"/>
  <c r="O1289" i="11"/>
  <c r="O553" i="11"/>
  <c r="O546" i="11"/>
  <c r="O525" i="11"/>
  <c r="O522" i="11"/>
  <c r="O497" i="11"/>
  <c r="O487" i="11"/>
  <c r="O473" i="11"/>
  <c r="O466" i="11"/>
  <c r="O445" i="11"/>
  <c r="O431" i="11"/>
  <c r="O417" i="11"/>
  <c r="O407" i="11"/>
  <c r="O403" i="11"/>
  <c r="O393" i="11"/>
  <c r="O386" i="11"/>
  <c r="O351" i="11"/>
  <c r="O337" i="11"/>
  <c r="O327" i="11"/>
  <c r="O309" i="11"/>
  <c r="O302" i="11"/>
  <c r="O278" i="11"/>
  <c r="O261" i="11"/>
  <c r="O254" i="11"/>
  <c r="O247" i="11"/>
  <c r="O230" i="11"/>
  <c r="O223" i="11"/>
  <c r="O71" i="11"/>
  <c r="O57" i="11"/>
  <c r="O1408" i="11"/>
  <c r="O1343" i="11"/>
  <c r="O1318" i="11"/>
  <c r="O577" i="11"/>
  <c r="O570" i="11"/>
  <c r="O549" i="11"/>
  <c r="O542" i="11"/>
  <c r="O511" i="11"/>
  <c r="O493" i="11"/>
  <c r="O490" i="11"/>
  <c r="O469" i="11"/>
  <c r="O410" i="11"/>
  <c r="O361" i="11"/>
  <c r="O354" i="11"/>
  <c r="O333" i="11"/>
  <c r="O330" i="11"/>
  <c r="O291" i="11"/>
  <c r="O281" i="11"/>
  <c r="O271" i="11"/>
  <c r="O257" i="11"/>
  <c r="O250" i="11"/>
  <c r="O233" i="11"/>
  <c r="O226" i="11"/>
  <c r="O209" i="11"/>
  <c r="O199" i="11"/>
  <c r="O195" i="11"/>
  <c r="O181" i="11"/>
  <c r="O150" i="11"/>
  <c r="O143" i="11"/>
  <c r="O133" i="11"/>
  <c r="O126" i="11"/>
  <c r="O102" i="11"/>
  <c r="O95" i="11"/>
  <c r="O1401" i="11"/>
  <c r="O1384" i="11"/>
  <c r="O635" i="11"/>
  <c r="O628" i="11"/>
  <c r="O615" i="11"/>
  <c r="O611" i="11"/>
  <c r="O601" i="11"/>
  <c r="O594" i="11"/>
  <c r="O573" i="11"/>
  <c r="O559" i="11"/>
  <c r="O545" i="11"/>
  <c r="O531" i="11"/>
  <c r="O521" i="11"/>
  <c r="O514" i="11"/>
  <c r="O479" i="11"/>
  <c r="O465" i="11"/>
  <c r="O455" i="11"/>
  <c r="O451" i="11"/>
  <c r="O437" i="11"/>
  <c r="O430" i="11"/>
  <c r="O406" i="11"/>
  <c r="O399" i="11"/>
  <c r="O385" i="11"/>
  <c r="O378" i="11"/>
  <c r="O315" i="11"/>
  <c r="O301" i="11"/>
  <c r="O298" i="11"/>
  <c r="O163" i="11"/>
  <c r="O98" i="11"/>
  <c r="O81" i="11"/>
  <c r="O74" i="11"/>
  <c r="O63" i="11"/>
  <c r="O1383" i="11"/>
  <c r="O1342" i="11"/>
  <c r="O1335" i="11"/>
  <c r="O1332" i="11"/>
  <c r="O1287" i="11"/>
  <c r="O1284" i="11"/>
  <c r="O1146" i="11"/>
  <c r="O1082" i="11"/>
  <c r="O1018" i="11"/>
  <c r="O975" i="11"/>
  <c r="O959" i="11"/>
  <c r="O943" i="11"/>
  <c r="O927" i="11"/>
  <c r="O911" i="11"/>
  <c r="O895" i="11"/>
  <c r="O879" i="11"/>
  <c r="O863" i="11"/>
  <c r="O847" i="11"/>
  <c r="O831" i="11"/>
  <c r="O815" i="11"/>
  <c r="O799" i="11"/>
  <c r="O783" i="11"/>
  <c r="O767" i="11"/>
  <c r="O751" i="11"/>
  <c r="O735" i="11"/>
  <c r="O614" i="11"/>
  <c r="O607" i="11"/>
  <c r="O503" i="11"/>
  <c r="O486" i="11"/>
  <c r="O358" i="11"/>
  <c r="O1002" i="11"/>
  <c r="O1154" i="11"/>
  <c r="O1090" i="11"/>
  <c r="O1026" i="11"/>
  <c r="O724" i="11"/>
  <c r="O701" i="11"/>
  <c r="O681" i="11"/>
  <c r="O526" i="11"/>
  <c r="O398" i="11"/>
  <c r="O78" i="11"/>
  <c r="O727" i="11"/>
  <c r="O639" i="11"/>
  <c r="O567" i="11"/>
  <c r="O550" i="11"/>
  <c r="O543" i="11"/>
  <c r="O422" i="11"/>
  <c r="O294" i="11"/>
  <c r="O270" i="11"/>
  <c r="O1034" i="11"/>
  <c r="O710" i="11"/>
  <c r="O166" i="11"/>
  <c r="O142" i="11"/>
  <c r="O709" i="11"/>
  <c r="O677" i="11"/>
  <c r="O623" i="11"/>
  <c r="O583" i="11"/>
  <c r="O566" i="11"/>
  <c r="O519" i="11"/>
  <c r="O502" i="11"/>
  <c r="O438" i="11"/>
  <c r="O374" i="11"/>
  <c r="O310" i="11"/>
  <c r="O246" i="11"/>
  <c r="O182" i="11"/>
  <c r="O118" i="11"/>
  <c r="O54" i="11"/>
  <c r="O717" i="11"/>
  <c r="O685" i="11"/>
  <c r="O647" i="11"/>
  <c r="O599" i="11"/>
  <c r="O582" i="11"/>
  <c r="O535" i="11"/>
  <c r="O518" i="11"/>
  <c r="O454" i="11"/>
  <c r="O390" i="11"/>
  <c r="O326" i="11"/>
  <c r="O262" i="11"/>
  <c r="O198" i="11"/>
  <c r="O134" i="11"/>
  <c r="O70" i="11"/>
  <c r="O238" i="11"/>
  <c r="O174" i="11"/>
  <c r="O110" i="11"/>
  <c r="O4" i="11"/>
</calcChain>
</file>

<file path=xl/sharedStrings.xml><?xml version="1.0" encoding="utf-8"?>
<sst xmlns="http://schemas.openxmlformats.org/spreadsheetml/2006/main" count="58497" uniqueCount="9032">
  <si>
    <t>PLC업체 기입</t>
    <phoneticPr fontId="3" type="noConversion"/>
  </si>
  <si>
    <t>PLC업체 기입
(필요시)</t>
    <phoneticPr fontId="3" type="noConversion"/>
  </si>
  <si>
    <t>EIF 기입</t>
    <phoneticPr fontId="3" type="noConversion"/>
  </si>
  <si>
    <t>PLC업체 기입
(분류코드 참고)</t>
    <phoneticPr fontId="3" type="noConversion"/>
  </si>
  <si>
    <t>분류코드 참고</t>
    <phoneticPr fontId="3" type="noConversion"/>
  </si>
  <si>
    <t>설비명</t>
    <phoneticPr fontId="3" type="noConversion"/>
  </si>
  <si>
    <t>부품명</t>
    <phoneticPr fontId="9" type="noConversion"/>
  </si>
  <si>
    <t>설비ID</t>
    <phoneticPr fontId="9" type="noConversion"/>
  </si>
  <si>
    <t>대분류
코드</t>
    <phoneticPr fontId="9" type="noConversion"/>
  </si>
  <si>
    <t>중분류</t>
    <phoneticPr fontId="9" type="noConversion"/>
  </si>
  <si>
    <t>중분류
코드</t>
    <phoneticPr fontId="9" type="noConversion"/>
  </si>
  <si>
    <t>알람 ID</t>
  </si>
  <si>
    <t>대분류 구분</t>
    <phoneticPr fontId="3" type="noConversion"/>
  </si>
  <si>
    <t>알람 Desc(영어)</t>
    <phoneticPr fontId="3" type="noConversion"/>
  </si>
  <si>
    <t>알람 Desc (한국어)</t>
  </si>
  <si>
    <t>비고</t>
    <phoneticPr fontId="1" type="noConversion"/>
  </si>
  <si>
    <t>설비알람</t>
    <phoneticPr fontId="1" type="noConversion"/>
  </si>
  <si>
    <t>정지</t>
    <phoneticPr fontId="1" type="noConversion"/>
  </si>
  <si>
    <t>EQ</t>
    <phoneticPr fontId="1" type="noConversion"/>
  </si>
  <si>
    <r>
      <rPr>
        <b/>
        <sz val="12"/>
        <color theme="0"/>
        <rFont val="LG스마트체 Regular"/>
        <family val="3"/>
        <charset val="129"/>
      </rPr>
      <t>구분</t>
    </r>
    <phoneticPr fontId="1" type="noConversion"/>
  </si>
  <si>
    <r>
      <rPr>
        <b/>
        <sz val="12"/>
        <color theme="0"/>
        <rFont val="LG스마트체 Regular"/>
        <family val="3"/>
        <charset val="129"/>
      </rPr>
      <t>설비</t>
    </r>
    <r>
      <rPr>
        <b/>
        <sz val="12"/>
        <color theme="0"/>
        <rFont val="Arial Narrow"/>
        <family val="2"/>
      </rPr>
      <t xml:space="preserve"> </t>
    </r>
    <r>
      <rPr>
        <b/>
        <sz val="12"/>
        <color theme="0"/>
        <rFont val="LG스마트체 Regular"/>
        <family val="3"/>
        <charset val="129"/>
      </rPr>
      <t>종합</t>
    </r>
    <r>
      <rPr>
        <b/>
        <sz val="12"/>
        <color theme="0"/>
        <rFont val="Arial Narrow"/>
        <family val="2"/>
      </rPr>
      <t xml:space="preserve"> </t>
    </r>
    <r>
      <rPr>
        <b/>
        <sz val="12"/>
        <color theme="0"/>
        <rFont val="LG스마트체 Regular"/>
        <family val="3"/>
        <charset val="129"/>
      </rPr>
      <t>효율</t>
    </r>
    <phoneticPr fontId="1" type="noConversion"/>
  </si>
  <si>
    <t>대분류</t>
    <phoneticPr fontId="1" type="noConversion"/>
  </si>
  <si>
    <t>System</t>
    <phoneticPr fontId="1" type="noConversion"/>
  </si>
  <si>
    <r>
      <t xml:space="preserve">Error code </t>
    </r>
    <r>
      <rPr>
        <b/>
        <sz val="12"/>
        <color theme="0"/>
        <rFont val="LG스마트체 Regular"/>
        <family val="3"/>
        <charset val="129"/>
      </rPr>
      <t>구분</t>
    </r>
    <phoneticPr fontId="1" type="noConversion"/>
  </si>
  <si>
    <t xml:space="preserve">Error code </t>
    <phoneticPr fontId="1" type="noConversion"/>
  </si>
  <si>
    <r>
      <t xml:space="preserve">Error code </t>
    </r>
    <r>
      <rPr>
        <b/>
        <sz val="12"/>
        <color theme="0"/>
        <rFont val="LG스마트체 Regular"/>
        <family val="3"/>
        <charset val="129"/>
      </rPr>
      <t>정의</t>
    </r>
    <phoneticPr fontId="1" type="noConversion"/>
  </si>
  <si>
    <r>
      <rPr>
        <b/>
        <sz val="12"/>
        <color theme="0"/>
        <rFont val="LG스마트체 Regular"/>
        <family val="3"/>
        <charset val="129"/>
      </rPr>
      <t>산출기준</t>
    </r>
    <phoneticPr fontId="1" type="noConversion"/>
  </si>
  <si>
    <r>
      <rPr>
        <sz val="12"/>
        <color theme="1"/>
        <rFont val="LG스마트체 Regular"/>
        <family val="3"/>
        <charset val="129"/>
      </rPr>
      <t>가동율</t>
    </r>
    <phoneticPr fontId="1" type="noConversion"/>
  </si>
  <si>
    <r>
      <rPr>
        <sz val="12"/>
        <color theme="1"/>
        <rFont val="LG스마트체 Regular"/>
        <family val="3"/>
        <charset val="129"/>
      </rPr>
      <t xml:space="preserve">시간가동율
</t>
    </r>
    <r>
      <rPr>
        <sz val="12"/>
        <color theme="1"/>
        <rFont val="Arial Narrow"/>
        <family val="2"/>
      </rPr>
      <t>(</t>
    </r>
    <r>
      <rPr>
        <sz val="12"/>
        <color theme="1"/>
        <rFont val="LG스마트체 Regular"/>
        <family val="3"/>
        <charset val="129"/>
      </rPr>
      <t>정지로스</t>
    </r>
    <r>
      <rPr>
        <sz val="12"/>
        <color theme="1"/>
        <rFont val="Arial Narrow"/>
        <family val="2"/>
      </rPr>
      <t>)
(</t>
    </r>
    <r>
      <rPr>
        <sz val="12"/>
        <color theme="1"/>
        <rFont val="LG스마트체 Regular"/>
        <family val="3"/>
        <charset val="129"/>
      </rPr>
      <t>부하시간</t>
    </r>
    <r>
      <rPr>
        <sz val="12"/>
        <color theme="1"/>
        <rFont val="Arial Narrow"/>
        <family val="2"/>
      </rPr>
      <t>-</t>
    </r>
    <r>
      <rPr>
        <sz val="12"/>
        <color theme="1"/>
        <rFont val="LG스마트체 Regular"/>
        <family val="3"/>
        <charset val="129"/>
      </rPr>
      <t>정지로스</t>
    </r>
    <r>
      <rPr>
        <sz val="12"/>
        <color theme="1"/>
        <rFont val="Arial Narrow"/>
        <family val="2"/>
      </rPr>
      <t>)/</t>
    </r>
    <r>
      <rPr>
        <sz val="12"/>
        <color theme="1"/>
        <rFont val="LG스마트체 Regular"/>
        <family val="3"/>
        <charset val="129"/>
      </rPr>
      <t>부하시간</t>
    </r>
    <r>
      <rPr>
        <sz val="12"/>
        <color theme="1"/>
        <rFont val="Arial Narrow"/>
        <family val="2"/>
      </rPr>
      <t>*100</t>
    </r>
    <phoneticPr fontId="1" type="noConversion"/>
  </si>
  <si>
    <t>T</t>
    <phoneticPr fontId="1" type="noConversion"/>
  </si>
  <si>
    <t>PLC</t>
    <phoneticPr fontId="1" type="noConversion"/>
  </si>
  <si>
    <r>
      <rPr>
        <sz val="12"/>
        <rFont val="LG스마트체 Regular"/>
        <family val="3"/>
        <charset val="129"/>
      </rPr>
      <t>사고성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고장</t>
    </r>
    <r>
      <rPr>
        <sz val="12"/>
        <rFont val="Arial Narrow"/>
        <family val="2"/>
      </rPr>
      <t xml:space="preserve"> (3</t>
    </r>
    <r>
      <rPr>
        <sz val="12"/>
        <rFont val="LG스마트체 Regular"/>
        <family val="3"/>
        <charset val="129"/>
      </rPr>
      <t>분↑</t>
    </r>
    <r>
      <rPr>
        <sz val="12"/>
        <rFont val="Arial Narrow"/>
        <family val="2"/>
      </rPr>
      <t>)-</t>
    </r>
    <r>
      <rPr>
        <sz val="12"/>
        <rFont val="LG스마트체 Regular"/>
        <family val="3"/>
        <charset val="129"/>
      </rPr>
      <t>설비</t>
    </r>
    <r>
      <rPr>
        <sz val="12"/>
        <rFont val="Arial Narrow"/>
        <family val="2"/>
      </rPr>
      <t xml:space="preserve"> On</t>
    </r>
    <r>
      <rPr>
        <sz val="12"/>
        <rFont val="LG스마트체 Regular"/>
        <family val="3"/>
        <charset val="129"/>
      </rPr>
      <t>상태</t>
    </r>
    <r>
      <rPr>
        <sz val="12"/>
        <rFont val="Arial Narrow"/>
        <family val="2"/>
      </rPr>
      <t xml:space="preserve"> </t>
    </r>
    <phoneticPr fontId="1" type="noConversion"/>
  </si>
  <si>
    <t>EQ</t>
    <phoneticPr fontId="1" type="noConversion"/>
  </si>
  <si>
    <t>Equipment</t>
    <phoneticPr fontId="1" type="noConversion"/>
  </si>
  <si>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Error </t>
    </r>
    <r>
      <rPr>
        <sz val="12"/>
        <color theme="1"/>
        <rFont val="LG스마트체 Regular"/>
        <family val="3"/>
        <charset val="129"/>
      </rPr>
      <t>정지시간</t>
    </r>
    <r>
      <rPr>
        <sz val="12"/>
        <color theme="1"/>
        <rFont val="Arial Narrow"/>
        <family val="2"/>
      </rPr>
      <t xml:space="preserve"> -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자체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돌발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이슈로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인한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동작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기능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이상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실린더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센서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파손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서보모터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과부하</t>
    </r>
    <r>
      <rPr>
        <sz val="12"/>
        <color theme="1"/>
        <rFont val="Arial Narrow"/>
        <family val="2"/>
      </rPr>
      <t>)</t>
    </r>
    <phoneticPr fontId="1" type="noConversion"/>
  </si>
  <si>
    <r>
      <t>3</t>
    </r>
    <r>
      <rPr>
        <sz val="12"/>
        <color theme="1"/>
        <rFont val="LG스마트체 Regular"/>
        <family val="3"/>
        <charset val="129"/>
      </rPr>
      <t>분↑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수집
수식</t>
    </r>
    <r>
      <rPr>
        <sz val="12"/>
        <color theme="1"/>
        <rFont val="Arial Narrow"/>
        <family val="2"/>
      </rPr>
      <t xml:space="preserve"> : Run on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- </t>
    </r>
    <r>
      <rPr>
        <sz val="12"/>
        <color theme="1"/>
        <rFont val="LG스마트체 Regular"/>
        <family val="3"/>
        <charset val="129"/>
      </rPr>
      <t>알람시작시간</t>
    </r>
    <phoneticPr fontId="1" type="noConversion"/>
  </si>
  <si>
    <t>GMES</t>
    <phoneticPr fontId="1" type="noConversion"/>
  </si>
  <si>
    <r>
      <rPr>
        <sz val="12"/>
        <rFont val="LG스마트체 Regular"/>
        <family val="3"/>
        <charset val="129"/>
      </rPr>
      <t>사고성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고장</t>
    </r>
    <r>
      <rPr>
        <sz val="12"/>
        <rFont val="Arial Narrow"/>
        <family val="2"/>
      </rPr>
      <t xml:space="preserve"> (3</t>
    </r>
    <r>
      <rPr>
        <sz val="12"/>
        <rFont val="LG스마트체 Regular"/>
        <family val="3"/>
        <charset val="129"/>
      </rPr>
      <t>분↑</t>
    </r>
    <r>
      <rPr>
        <sz val="12"/>
        <rFont val="Arial Narrow"/>
        <family val="2"/>
      </rPr>
      <t>) -</t>
    </r>
    <r>
      <rPr>
        <sz val="12"/>
        <rFont val="LG스마트체 Regular"/>
        <family val="3"/>
        <charset val="129"/>
      </rPr>
      <t>설비</t>
    </r>
    <r>
      <rPr>
        <sz val="12"/>
        <rFont val="Arial Narrow"/>
        <family val="2"/>
      </rPr>
      <t xml:space="preserve"> Off</t>
    </r>
    <r>
      <rPr>
        <sz val="12"/>
        <rFont val="LG스마트체 Regular"/>
        <family val="3"/>
        <charset val="129"/>
      </rPr>
      <t>상태</t>
    </r>
    <r>
      <rPr>
        <sz val="12"/>
        <rFont val="Arial Narrow"/>
        <family val="2"/>
      </rPr>
      <t xml:space="preserve"> </t>
    </r>
    <phoneticPr fontId="1" type="noConversion"/>
  </si>
  <si>
    <r>
      <t>3</t>
    </r>
    <r>
      <rPr>
        <sz val="12"/>
        <color theme="1"/>
        <rFont val="LG스마트체 Regular"/>
        <family val="3"/>
        <charset val="129"/>
      </rPr>
      <t>분↑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수집
수식</t>
    </r>
    <r>
      <rPr>
        <sz val="12"/>
        <color theme="1"/>
        <rFont val="Arial Narrow"/>
        <family val="2"/>
      </rPr>
      <t xml:space="preserve"> : Run on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 - </t>
    </r>
    <r>
      <rPr>
        <sz val="12"/>
        <color theme="1"/>
        <rFont val="LG스마트체 Regular"/>
        <family val="3"/>
        <charset val="129"/>
      </rPr>
      <t>정지시작시간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)      </t>
    </r>
  </si>
  <si>
    <r>
      <rPr>
        <sz val="12"/>
        <rFont val="LG스마트체 Regular"/>
        <family val="3"/>
        <charset val="129"/>
      </rPr>
      <t>모델교체</t>
    </r>
    <phoneticPr fontId="1" type="noConversion"/>
  </si>
  <si>
    <t>CH</t>
    <phoneticPr fontId="1" type="noConversion"/>
  </si>
  <si>
    <t>Change</t>
    <phoneticPr fontId="1" type="noConversion"/>
  </si>
  <si>
    <r>
      <rPr>
        <sz val="12"/>
        <color theme="1"/>
        <rFont val="LG스마트체 Regular"/>
        <family val="3"/>
        <charset val="129"/>
      </rPr>
      <t>모델교체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소요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정지시간</t>
    </r>
    <phoneticPr fontId="1" type="noConversion"/>
  </si>
  <si>
    <r>
      <t xml:space="preserve">1)  </t>
    </r>
    <r>
      <rPr>
        <sz val="12"/>
        <color theme="1"/>
        <rFont val="LG스마트체 Regular"/>
        <family val="3"/>
        <charset val="129"/>
      </rPr>
      <t>바코드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스캔</t>
    </r>
    <r>
      <rPr>
        <sz val="12"/>
        <color theme="1"/>
        <rFont val="Arial Narrow"/>
        <family val="2"/>
      </rPr>
      <t xml:space="preserve"> :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배출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-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 xml:space="preserve">투입시간
</t>
    </r>
    <r>
      <rPr>
        <sz val="12"/>
        <color theme="1"/>
        <rFont val="Arial Narrow"/>
        <family val="2"/>
      </rPr>
      <t xml:space="preserve">2)  </t>
    </r>
    <r>
      <rPr>
        <sz val="12"/>
        <color theme="1"/>
        <rFont val="LG스마트체 Regular"/>
        <family val="3"/>
        <charset val="129"/>
      </rPr>
      <t>바코드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부재</t>
    </r>
    <r>
      <rPr>
        <sz val="12"/>
        <color theme="1"/>
        <rFont val="Arial Narrow"/>
        <family val="2"/>
      </rPr>
      <t xml:space="preserve"> : </t>
    </r>
    <r>
      <rPr>
        <sz val="12"/>
        <color theme="1"/>
        <rFont val="LG스마트체 Regular"/>
        <family val="3"/>
        <charset val="129"/>
      </rPr>
      <t>모델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변경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>(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>)</t>
    </r>
    <phoneticPr fontId="1" type="noConversion"/>
  </si>
  <si>
    <r>
      <rPr>
        <sz val="12"/>
        <rFont val="LG스마트체 Regular"/>
        <family val="3"/>
        <charset val="129"/>
      </rPr>
      <t>설비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개조</t>
    </r>
    <phoneticPr fontId="1" type="noConversion"/>
  </si>
  <si>
    <t>CM</t>
    <phoneticPr fontId="1" type="noConversion"/>
  </si>
  <si>
    <t>Corrective Management</t>
    <phoneticPr fontId="1" type="noConversion"/>
  </si>
  <si>
    <r>
      <rPr>
        <sz val="12"/>
        <color theme="1"/>
        <rFont val="LG스마트체 Regular"/>
        <family val="3"/>
        <charset val="129"/>
      </rPr>
      <t>생산계획에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미반영된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개조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개선으로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인한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중단</t>
    </r>
    <phoneticPr fontId="1" type="noConversion"/>
  </si>
  <si>
    <r>
      <rPr>
        <sz val="12"/>
        <color theme="1"/>
        <rFont val="LG스마트체 Regular"/>
        <family val="3"/>
        <charset val="129"/>
      </rPr>
      <t>소요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>)</t>
    </r>
    <phoneticPr fontId="1" type="noConversion"/>
  </si>
  <si>
    <r>
      <rPr>
        <sz val="12"/>
        <rFont val="LG스마트체 Regular"/>
        <family val="3"/>
        <charset val="129"/>
      </rPr>
      <t>주요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품질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인자</t>
    </r>
    <r>
      <rPr>
        <sz val="12"/>
        <rFont val="Arial Narrow"/>
        <family val="2"/>
      </rPr>
      <t xml:space="preserve"> Spec. </t>
    </r>
    <r>
      <rPr>
        <sz val="12"/>
        <rFont val="LG스마트체 Regular"/>
        <family val="3"/>
        <charset val="129"/>
      </rPr>
      <t>이상</t>
    </r>
    <phoneticPr fontId="1" type="noConversion"/>
  </si>
  <si>
    <t>SO</t>
    <phoneticPr fontId="1" type="noConversion"/>
  </si>
  <si>
    <t>Spec Out</t>
    <phoneticPr fontId="1" type="noConversion"/>
  </si>
  <si>
    <r>
      <t xml:space="preserve">Setting Value </t>
    </r>
    <r>
      <rPr>
        <sz val="12"/>
        <color theme="1"/>
        <rFont val="LG스마트체 Regular"/>
        <family val="3"/>
        <charset val="129"/>
      </rPr>
      <t>또는</t>
    </r>
    <r>
      <rPr>
        <sz val="12"/>
        <color theme="1"/>
        <rFont val="Arial Narrow"/>
        <family val="2"/>
      </rPr>
      <t xml:space="preserve"> Processing Value</t>
    </r>
    <r>
      <rPr>
        <sz val="12"/>
        <color theme="1"/>
        <rFont val="LG스마트체 Regular"/>
        <family val="3"/>
        <charset val="129"/>
      </rPr>
      <t>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허용</t>
    </r>
    <r>
      <rPr>
        <sz val="12"/>
        <color theme="1"/>
        <rFont val="Arial Narrow"/>
        <family val="2"/>
      </rPr>
      <t xml:space="preserve"> Spec. </t>
    </r>
    <r>
      <rPr>
        <sz val="12"/>
        <color theme="1"/>
        <rFont val="LG스마트체 Regular"/>
        <family val="3"/>
        <charset val="129"/>
      </rPr>
      <t>미달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초과등으로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인한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중단</t>
    </r>
    <phoneticPr fontId="1" type="noConversion"/>
  </si>
  <si>
    <r>
      <rPr>
        <sz val="12"/>
        <color theme="1"/>
        <rFont val="LG스마트체 Regular"/>
        <family val="3"/>
        <charset val="129"/>
      </rPr>
      <t>소요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>)</t>
    </r>
    <phoneticPr fontId="1" type="noConversion"/>
  </si>
  <si>
    <t>GMES,PLC</t>
    <phoneticPr fontId="1" type="noConversion"/>
  </si>
  <si>
    <r>
      <t xml:space="preserve">UTILITY </t>
    </r>
    <r>
      <rPr>
        <sz val="12"/>
        <rFont val="LG스마트체 Regular"/>
        <family val="3"/>
        <charset val="129"/>
      </rPr>
      <t>공급</t>
    </r>
    <r>
      <rPr>
        <sz val="12"/>
        <rFont val="Arial Narrow"/>
        <family val="2"/>
      </rPr>
      <t>/</t>
    </r>
    <r>
      <rPr>
        <sz val="12"/>
        <rFont val="LG스마트체 Regular"/>
        <family val="3"/>
        <charset val="129"/>
      </rPr>
      <t>배기이상</t>
    </r>
    <phoneticPr fontId="1" type="noConversion"/>
  </si>
  <si>
    <t>UT</t>
    <phoneticPr fontId="1" type="noConversion"/>
  </si>
  <si>
    <t>Utility</t>
    <phoneticPr fontId="1" type="noConversion"/>
  </si>
  <si>
    <r>
      <rPr>
        <sz val="12"/>
        <color theme="1"/>
        <rFont val="LG스마트체 Regular"/>
        <family val="3"/>
        <charset val="129"/>
      </rPr>
      <t>전력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에어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기름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등의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차단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또는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저하</t>
    </r>
    <phoneticPr fontId="1" type="noConversion"/>
  </si>
  <si>
    <t>GMES</t>
    <phoneticPr fontId="1" type="noConversion"/>
  </si>
  <si>
    <r>
      <rPr>
        <sz val="12"/>
        <rFont val="LG스마트체 Regular"/>
        <family val="3"/>
        <charset val="129"/>
      </rPr>
      <t>준비조정</t>
    </r>
    <phoneticPr fontId="1" type="noConversion"/>
  </si>
  <si>
    <t>SE</t>
    <phoneticPr fontId="1" type="noConversion"/>
  </si>
  <si>
    <t>Setting Error</t>
    <phoneticPr fontId="1" type="noConversion"/>
  </si>
  <si>
    <r>
      <t>OP</t>
    </r>
    <r>
      <rPr>
        <sz val="12"/>
        <color theme="1"/>
        <rFont val="LG스마트체 Regular"/>
        <family val="3"/>
        <charset val="129"/>
      </rPr>
      <t>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오조작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또는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작업미숙</t>
    </r>
    <phoneticPr fontId="1" type="noConversion"/>
  </si>
  <si>
    <r>
      <rPr>
        <sz val="12"/>
        <color theme="1"/>
        <rFont val="LG스마트체 Regular"/>
        <family val="3"/>
        <charset val="129"/>
      </rPr>
      <t>소요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>)</t>
    </r>
    <phoneticPr fontId="1" type="noConversion"/>
  </si>
  <si>
    <t>GMES,PLC</t>
    <phoneticPr fontId="1" type="noConversion"/>
  </si>
  <si>
    <r>
      <rPr>
        <sz val="12"/>
        <rFont val="LG스마트체 Regular"/>
        <family val="3"/>
        <charset val="129"/>
      </rPr>
      <t>자재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재공품절</t>
    </r>
    <phoneticPr fontId="1" type="noConversion"/>
  </si>
  <si>
    <t>ST</t>
    <phoneticPr fontId="1" type="noConversion"/>
  </si>
  <si>
    <t>Shortage</t>
    <phoneticPr fontId="1" type="noConversion"/>
  </si>
  <si>
    <r>
      <rPr>
        <sz val="12"/>
        <color theme="1"/>
        <rFont val="LG스마트체 Regular"/>
        <family val="3"/>
        <charset val="129"/>
      </rPr>
      <t>스크류</t>
    </r>
    <r>
      <rPr>
        <sz val="12"/>
        <color theme="1"/>
        <rFont val="Arial Narrow"/>
        <family val="2"/>
      </rPr>
      <t xml:space="preserve">, tape, </t>
    </r>
    <r>
      <rPr>
        <sz val="12"/>
        <color theme="1"/>
        <rFont val="LG스마트체 Regular"/>
        <family val="3"/>
        <charset val="129"/>
      </rPr>
      <t>발포액</t>
    </r>
    <r>
      <rPr>
        <sz val="12"/>
        <color theme="1"/>
        <rFont val="Arial Narrow"/>
        <family val="2"/>
      </rPr>
      <t xml:space="preserve">, </t>
    </r>
    <r>
      <rPr>
        <sz val="12"/>
        <color theme="1"/>
        <rFont val="LG스마트체 Regular"/>
        <family val="3"/>
        <charset val="129"/>
      </rPr>
      <t>냉매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등에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품절에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의한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대기시간</t>
    </r>
    <phoneticPr fontId="1" type="noConversion"/>
  </si>
  <si>
    <r>
      <rPr>
        <sz val="12"/>
        <rFont val="LG스마트체 Regular"/>
        <family val="3"/>
        <charset val="129"/>
      </rPr>
      <t>통신</t>
    </r>
    <r>
      <rPr>
        <sz val="12"/>
        <rFont val="Arial Narrow"/>
        <family val="2"/>
      </rPr>
      <t xml:space="preserve"> Error</t>
    </r>
  </si>
  <si>
    <t>CE</t>
    <phoneticPr fontId="1" type="noConversion"/>
  </si>
  <si>
    <t>Communication Error</t>
    <phoneticPr fontId="1" type="noConversion"/>
  </si>
  <si>
    <r>
      <rPr>
        <sz val="12"/>
        <color theme="1"/>
        <rFont val="LG스마트체 Regular"/>
        <family val="3"/>
        <charset val="129"/>
      </rPr>
      <t>정보화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시스템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또는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주변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통신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이상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통신</t>
    </r>
    <r>
      <rPr>
        <sz val="12"/>
        <color theme="1"/>
        <rFont val="Arial Narrow"/>
        <family val="2"/>
      </rPr>
      <t xml:space="preserve"> Device, </t>
    </r>
    <r>
      <rPr>
        <sz val="12"/>
        <color theme="1"/>
        <rFont val="LG스마트체 Regular"/>
        <family val="3"/>
        <charset val="129"/>
      </rPr>
      <t>네트워크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등</t>
    </r>
    <r>
      <rPr>
        <sz val="12"/>
        <color theme="1"/>
        <rFont val="Arial Narrow"/>
        <family val="2"/>
      </rPr>
      <t>)</t>
    </r>
    <phoneticPr fontId="1" type="noConversion"/>
  </si>
  <si>
    <r>
      <rPr>
        <sz val="12"/>
        <color theme="1"/>
        <rFont val="LG스마트체 Regular"/>
        <family val="3"/>
        <charset val="129"/>
      </rPr>
      <t xml:space="preserve">성능가동율
</t>
    </r>
    <r>
      <rPr>
        <sz val="12"/>
        <color theme="1"/>
        <rFont val="Arial Narrow"/>
        <family val="2"/>
      </rPr>
      <t>(</t>
    </r>
    <r>
      <rPr>
        <sz val="12"/>
        <color theme="1"/>
        <rFont val="LG스마트체 Regular"/>
        <family val="3"/>
        <charset val="129"/>
      </rPr>
      <t>성능로스</t>
    </r>
    <r>
      <rPr>
        <sz val="12"/>
        <color theme="1"/>
        <rFont val="Arial Narrow"/>
        <family val="2"/>
      </rPr>
      <t>)
(</t>
    </r>
    <r>
      <rPr>
        <sz val="12"/>
        <color theme="1"/>
        <rFont val="LG스마트체 Regular"/>
        <family val="3"/>
        <charset val="129"/>
      </rPr>
      <t>이론</t>
    </r>
    <r>
      <rPr>
        <sz val="12"/>
        <color theme="1"/>
        <rFont val="Arial Narrow"/>
        <family val="2"/>
      </rPr>
      <t xml:space="preserve">C/T * </t>
    </r>
    <r>
      <rPr>
        <sz val="12"/>
        <color theme="1"/>
        <rFont val="LG스마트체 Regular"/>
        <family val="3"/>
        <charset val="129"/>
      </rPr>
      <t>생산수량</t>
    </r>
    <r>
      <rPr>
        <sz val="12"/>
        <color theme="1"/>
        <rFont val="Arial Narrow"/>
        <family val="2"/>
      </rPr>
      <t>)/</t>
    </r>
    <r>
      <rPr>
        <sz val="12"/>
        <color theme="1"/>
        <rFont val="LG스마트체 Regular"/>
        <family val="3"/>
        <charset val="129"/>
      </rPr>
      <t>가동시간</t>
    </r>
    <r>
      <rPr>
        <sz val="12"/>
        <color theme="1"/>
        <rFont val="Arial Narrow"/>
        <family val="2"/>
      </rPr>
      <t>*100</t>
    </r>
    <phoneticPr fontId="1" type="noConversion"/>
  </si>
  <si>
    <t>F</t>
    <phoneticPr fontId="1" type="noConversion"/>
  </si>
  <si>
    <t>PLC</t>
    <phoneticPr fontId="1" type="noConversion"/>
  </si>
  <si>
    <r>
      <rPr>
        <sz val="12"/>
        <rFont val="LG스마트체 Regular"/>
        <family val="3"/>
        <charset val="129"/>
      </rPr>
      <t>동작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이상</t>
    </r>
    <r>
      <rPr>
        <sz val="12"/>
        <rFont val="Arial Narrow"/>
        <family val="2"/>
      </rPr>
      <t>(</t>
    </r>
    <r>
      <rPr>
        <sz val="12"/>
        <rFont val="LG스마트체 Regular"/>
        <family val="3"/>
        <charset val="129"/>
      </rPr>
      <t>순간정지</t>
    </r>
    <r>
      <rPr>
        <sz val="12"/>
        <rFont val="Arial Narrow"/>
        <family val="2"/>
      </rPr>
      <t xml:space="preserve"> 3</t>
    </r>
    <r>
      <rPr>
        <sz val="12"/>
        <rFont val="LG스마트체 Regular"/>
        <family val="3"/>
        <charset val="129"/>
      </rPr>
      <t>분↓</t>
    </r>
    <r>
      <rPr>
        <sz val="12"/>
        <rFont val="Arial Narrow"/>
        <family val="2"/>
      </rPr>
      <t>)</t>
    </r>
    <phoneticPr fontId="1" type="noConversion"/>
  </si>
  <si>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자체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이슈로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인한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주요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동작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기능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이상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LG스마트체 Regular"/>
        <family val="3"/>
        <charset val="129"/>
      </rPr>
      <t>단선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단락</t>
    </r>
    <r>
      <rPr>
        <sz val="12"/>
        <color theme="1"/>
        <rFont val="Arial Narrow"/>
        <family val="2"/>
      </rPr>
      <t xml:space="preserve">, </t>
    </r>
    <r>
      <rPr>
        <sz val="12"/>
        <color theme="1"/>
        <rFont val="LG스마트체 Regular"/>
        <family val="3"/>
        <charset val="129"/>
      </rPr>
      <t>결선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고정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접촉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접점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막힘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불량</t>
    </r>
    <r>
      <rPr>
        <sz val="12"/>
        <color theme="1"/>
        <rFont val="Arial Narrow"/>
        <family val="2"/>
      </rPr>
      <t>)</t>
    </r>
    <phoneticPr fontId="1" type="noConversion"/>
  </si>
  <si>
    <r>
      <t>3</t>
    </r>
    <r>
      <rPr>
        <sz val="12"/>
        <color theme="1"/>
        <rFont val="LG스마트체 Regular"/>
        <family val="3"/>
        <charset val="129"/>
      </rPr>
      <t>분↓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수집</t>
    </r>
    <r>
      <rPr>
        <sz val="12"/>
        <color theme="1"/>
        <rFont val="Arial Narrow"/>
        <family val="2"/>
      </rPr>
      <t xml:space="preserve"> : 3</t>
    </r>
    <r>
      <rPr>
        <sz val="12"/>
        <color theme="1"/>
        <rFont val="LG스마트체 Regular"/>
        <family val="3"/>
        <charset val="129"/>
      </rPr>
      <t>분이상으로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변경시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시간가동율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집계치로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변경
수식</t>
    </r>
    <r>
      <rPr>
        <sz val="12"/>
        <color theme="1"/>
        <rFont val="Arial Narrow"/>
        <family val="2"/>
      </rPr>
      <t xml:space="preserve"> : Run on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- </t>
    </r>
    <r>
      <rPr>
        <sz val="12"/>
        <color theme="1"/>
        <rFont val="LG스마트체 Regular"/>
        <family val="3"/>
        <charset val="129"/>
      </rPr>
      <t>알람시작시간</t>
    </r>
    <phoneticPr fontId="1" type="noConversion"/>
  </si>
  <si>
    <r>
      <rPr>
        <sz val="12"/>
        <rFont val="LG스마트체 Regular"/>
        <family val="3"/>
        <charset val="129"/>
      </rPr>
      <t>제어</t>
    </r>
    <r>
      <rPr>
        <sz val="12"/>
        <rFont val="Arial Narrow"/>
        <family val="2"/>
      </rPr>
      <t xml:space="preserve"> Program </t>
    </r>
    <r>
      <rPr>
        <sz val="12"/>
        <rFont val="LG스마트체 Regular"/>
        <family val="3"/>
        <charset val="129"/>
      </rPr>
      <t>이상</t>
    </r>
    <phoneticPr fontId="1" type="noConversion"/>
  </si>
  <si>
    <t>PE</t>
    <phoneticPr fontId="1" type="noConversion"/>
  </si>
  <si>
    <t>Program Error</t>
    <phoneticPr fontId="1" type="noConversion"/>
  </si>
  <si>
    <r>
      <rPr>
        <sz val="12"/>
        <color theme="1"/>
        <rFont val="LG스마트체 Regular"/>
        <family val="3"/>
        <charset val="129"/>
      </rPr>
      <t>제어프로그램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오류</t>
    </r>
    <r>
      <rPr>
        <sz val="12"/>
        <color theme="1"/>
        <rFont val="Arial Narrow"/>
        <family val="2"/>
      </rPr>
      <t xml:space="preserve">, </t>
    </r>
    <r>
      <rPr>
        <sz val="12"/>
        <color theme="1"/>
        <rFont val="LG스마트체 Regular"/>
        <family val="3"/>
        <charset val="129"/>
      </rPr>
      <t>응답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없음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등</t>
    </r>
    <phoneticPr fontId="1" type="noConversion"/>
  </si>
  <si>
    <r>
      <rPr>
        <sz val="12"/>
        <color theme="1"/>
        <rFont val="LG스마트체 Regular"/>
        <family val="3"/>
        <charset val="129"/>
      </rPr>
      <t>소요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r>
      <rPr>
        <sz val="12"/>
        <color theme="1"/>
        <rFont val="Arial Narrow"/>
        <family val="2"/>
      </rPr>
      <t xml:space="preserve"> or </t>
    </r>
    <r>
      <rPr>
        <sz val="12"/>
        <color theme="1"/>
        <rFont val="LG스마트체 Regular"/>
        <family val="3"/>
        <charset val="129"/>
      </rPr>
      <t>별도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HMI </t>
    </r>
    <r>
      <rPr>
        <sz val="12"/>
        <color theme="1"/>
        <rFont val="LG스마트체 Regular"/>
        <family val="3"/>
        <charset val="129"/>
      </rPr>
      <t>입력</t>
    </r>
  </si>
  <si>
    <t>Tact Time Loss</t>
    <phoneticPr fontId="1" type="noConversion"/>
  </si>
  <si>
    <t>TL</t>
    <phoneticPr fontId="1" type="noConversion"/>
  </si>
  <si>
    <r>
      <rPr>
        <sz val="12"/>
        <color theme="1"/>
        <rFont val="LG스마트체 Regular"/>
        <family val="3"/>
        <charset val="129"/>
      </rPr>
      <t>실제</t>
    </r>
    <r>
      <rPr>
        <sz val="12"/>
        <color theme="1"/>
        <rFont val="Arial Narrow"/>
        <family val="2"/>
      </rPr>
      <t xml:space="preserve"> T/Time </t>
    </r>
    <r>
      <rPr>
        <sz val="12"/>
        <color theme="1"/>
        <rFont val="LG스마트체 Regular"/>
        <family val="3"/>
        <charset val="129"/>
      </rPr>
      <t>대비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속도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저하로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인해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발생한</t>
    </r>
    <r>
      <rPr>
        <sz val="12"/>
        <color theme="1"/>
        <rFont val="Arial Narrow"/>
        <family val="2"/>
      </rPr>
      <t xml:space="preserve"> Loss </t>
    </r>
    <r>
      <rPr>
        <sz val="12"/>
        <color theme="1"/>
        <rFont val="LG스마트체 Regular"/>
        <family val="3"/>
        <charset val="129"/>
      </rPr>
      <t>시간</t>
    </r>
    <phoneticPr fontId="1" type="noConversion"/>
  </si>
  <si>
    <r>
      <rPr>
        <sz val="12"/>
        <color theme="1"/>
        <rFont val="LG스마트체 Regular"/>
        <family val="3"/>
        <charset val="129"/>
      </rPr>
      <t>라인단위</t>
    </r>
    <r>
      <rPr>
        <sz val="12"/>
        <color theme="1"/>
        <rFont val="Arial Narrow"/>
        <family val="2"/>
      </rPr>
      <t xml:space="preserve"> : </t>
    </r>
    <r>
      <rPr>
        <sz val="12"/>
        <color theme="1"/>
        <rFont val="LG스마트체 Regular"/>
        <family val="3"/>
        <charset val="129"/>
      </rPr>
      <t>라인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실제</t>
    </r>
    <r>
      <rPr>
        <sz val="12"/>
        <color theme="1"/>
        <rFont val="Arial Narrow"/>
        <family val="2"/>
      </rPr>
      <t xml:space="preserve"> Max</t>
    </r>
    <r>
      <rPr>
        <sz val="12"/>
        <color theme="1"/>
        <rFont val="LG스마트체 Regular"/>
        <family val="3"/>
        <charset val="129"/>
      </rPr>
      <t>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T/Time - </t>
    </r>
    <r>
      <rPr>
        <sz val="12"/>
        <color theme="1"/>
        <rFont val="LG스마트체 Regular"/>
        <family val="3"/>
        <charset val="129"/>
      </rPr>
      <t>라인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목표</t>
    </r>
    <r>
      <rPr>
        <sz val="12"/>
        <color theme="1"/>
        <rFont val="Arial Narrow"/>
        <family val="2"/>
      </rPr>
      <t xml:space="preserve"> T/Time
</t>
    </r>
    <r>
      <rPr>
        <sz val="12"/>
        <color theme="1"/>
        <rFont val="LG스마트체 Regular"/>
        <family val="3"/>
        <charset val="129"/>
      </rPr>
      <t>설비단위</t>
    </r>
    <r>
      <rPr>
        <sz val="12"/>
        <color theme="1"/>
        <rFont val="Arial Narrow"/>
        <family val="2"/>
      </rPr>
      <t xml:space="preserve"> : </t>
    </r>
    <r>
      <rPr>
        <sz val="12"/>
        <color theme="1"/>
        <rFont val="LG스마트체 Regular"/>
        <family val="3"/>
        <charset val="129"/>
      </rPr>
      <t>실제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생산</t>
    </r>
    <r>
      <rPr>
        <sz val="12"/>
        <color theme="1"/>
        <rFont val="Arial Narrow"/>
        <family val="2"/>
      </rPr>
      <t xml:space="preserve"> T/Time - </t>
    </r>
    <r>
      <rPr>
        <sz val="12"/>
        <color theme="1"/>
        <rFont val="LG스마트체 Regular"/>
        <family val="3"/>
        <charset val="129"/>
      </rPr>
      <t>목표</t>
    </r>
    <r>
      <rPr>
        <sz val="12"/>
        <color theme="1"/>
        <rFont val="Arial Narrow"/>
        <family val="2"/>
      </rPr>
      <t xml:space="preserve"> T/Time</t>
    </r>
    <phoneticPr fontId="1" type="noConversion"/>
  </si>
  <si>
    <r>
      <rPr>
        <sz val="12"/>
        <color theme="1"/>
        <rFont val="LG스마트체 Regular"/>
        <family val="3"/>
        <charset val="129"/>
      </rPr>
      <t>양품율
양품수량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생산수량</t>
    </r>
    <r>
      <rPr>
        <sz val="12"/>
        <color theme="1"/>
        <rFont val="Arial Narrow"/>
        <family val="2"/>
      </rPr>
      <t>*100</t>
    </r>
    <phoneticPr fontId="1" type="noConversion"/>
  </si>
  <si>
    <t>Q</t>
    <phoneticPr fontId="1" type="noConversion"/>
  </si>
  <si>
    <r>
      <rPr>
        <sz val="12"/>
        <rFont val="LG스마트체 Regular"/>
        <family val="3"/>
        <charset val="129"/>
      </rPr>
      <t>불량</t>
    </r>
    <r>
      <rPr>
        <sz val="12"/>
        <rFont val="Arial Narrow"/>
        <family val="2"/>
      </rPr>
      <t xml:space="preserve"> </t>
    </r>
    <r>
      <rPr>
        <sz val="12"/>
        <rFont val="LG스마트체 Regular"/>
        <family val="3"/>
        <charset val="129"/>
      </rPr>
      <t>재작업</t>
    </r>
    <phoneticPr fontId="1" type="noConversion"/>
  </si>
  <si>
    <t>PR</t>
    <phoneticPr fontId="1" type="noConversion"/>
  </si>
  <si>
    <t>Product</t>
    <phoneticPr fontId="1" type="noConversion"/>
  </si>
  <si>
    <r>
      <rPr>
        <sz val="12"/>
        <color theme="1"/>
        <rFont val="LG스마트체 Regular"/>
        <family val="3"/>
        <charset val="129"/>
      </rPr>
      <t>제품</t>
    </r>
    <r>
      <rPr>
        <sz val="12"/>
        <color theme="1"/>
        <rFont val="Arial Narrow"/>
        <family val="2"/>
      </rPr>
      <t>/</t>
    </r>
    <r>
      <rPr>
        <sz val="12"/>
        <color theme="1"/>
        <rFont val="LG스마트체 Regular"/>
        <family val="3"/>
        <charset val="129"/>
      </rPr>
      <t>단품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불량에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의한</t>
    </r>
    <r>
      <rPr>
        <sz val="12"/>
        <color theme="1"/>
        <rFont val="Arial Narrow"/>
        <family val="2"/>
      </rPr>
      <t xml:space="preserve"> Loss (</t>
    </r>
    <r>
      <rPr>
        <sz val="12"/>
        <color theme="1"/>
        <rFont val="LG스마트체 Regular"/>
        <family val="3"/>
        <charset val="129"/>
      </rPr>
      <t>설비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가동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중단</t>
    </r>
    <r>
      <rPr>
        <sz val="12"/>
        <color theme="1"/>
        <rFont val="Arial Narrow"/>
        <family val="2"/>
      </rPr>
      <t>)</t>
    </r>
    <phoneticPr fontId="1" type="noConversion"/>
  </si>
  <si>
    <r>
      <rPr>
        <sz val="12"/>
        <color theme="1"/>
        <rFont val="LG스마트체 Regular"/>
        <family val="3"/>
        <charset val="129"/>
      </rPr>
      <t>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정지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시간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수작업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입력</t>
    </r>
    <phoneticPr fontId="1" type="noConversion"/>
  </si>
  <si>
    <r>
      <rPr>
        <sz val="12"/>
        <rFont val="LG스마트체 Regular"/>
        <family val="3"/>
        <charset val="129"/>
      </rPr>
      <t>가성불량</t>
    </r>
    <r>
      <rPr>
        <sz val="12"/>
        <rFont val="Arial Narrow"/>
        <family val="2"/>
      </rPr>
      <t xml:space="preserve"> </t>
    </r>
    <phoneticPr fontId="1" type="noConversion"/>
  </si>
  <si>
    <t>RW</t>
    <phoneticPr fontId="1" type="noConversion"/>
  </si>
  <si>
    <t>Rework</t>
    <phoneticPr fontId="1" type="noConversion"/>
  </si>
  <si>
    <r>
      <rPr>
        <sz val="12"/>
        <color theme="1"/>
        <rFont val="LG스마트체 Regular"/>
        <family val="3"/>
        <charset val="129"/>
      </rPr>
      <t>가성불량요인의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재투입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횟수추가에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의한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LG스마트체 Regular"/>
        <family val="3"/>
        <charset val="129"/>
      </rPr>
      <t>생산</t>
    </r>
    <r>
      <rPr>
        <sz val="12"/>
        <color theme="1"/>
        <rFont val="Arial Narrow"/>
        <family val="2"/>
      </rPr>
      <t xml:space="preserve"> Loss</t>
    </r>
    <phoneticPr fontId="1" type="noConversion"/>
  </si>
  <si>
    <r>
      <rPr>
        <sz val="12"/>
        <color theme="1"/>
        <rFont val="LG스마트체 Regular"/>
        <family val="3"/>
        <charset val="129"/>
      </rPr>
      <t>검사설비내</t>
    </r>
    <r>
      <rPr>
        <sz val="12"/>
        <color theme="1"/>
        <rFont val="Arial Narrow"/>
        <family val="2"/>
      </rPr>
      <t xml:space="preserve"> Test Retry</t>
    </r>
    <r>
      <rPr>
        <sz val="12"/>
        <color theme="1"/>
        <rFont val="LG스마트체 Regular"/>
        <family val="3"/>
        <charset val="129"/>
      </rPr>
      <t>횟수</t>
    </r>
    <r>
      <rPr>
        <sz val="12"/>
        <color theme="1"/>
        <rFont val="Arial Narrow"/>
        <family val="2"/>
      </rPr>
      <t xml:space="preserve"> Counting </t>
    </r>
    <phoneticPr fontId="1" type="noConversion"/>
  </si>
  <si>
    <t>[설비상태]</t>
    <phoneticPr fontId="1" type="noConversion"/>
  </si>
  <si>
    <t>0 : Initialize     : 설비 초기화 - PLC 재기동시 초기값
1 : Idle           : 설비의 상태가 정상이며 제품을 기다리는 상태로 진입/배출 시간을 포함한다.
 - 진입, 배출 시 걸리는 시간도 구분 필요함
2 : Run          : 해당 공정에 맞게 제품을 제작하는 실질적인 시간으로 설비로 진입/배출 시간을 미포함 한다.
                      → (진입 ▶) 가공/제작 (▶ 배출)
3 : Down        : 설비 문제가 있어 멈춘상태(알람 등), 설비가 메뉴얼 모드로 작동 하고 하고 있는 상태
4 : Skip          : 값은 Skip 으로 따로 받으나 모니터링 화면에 Idle 과 동일하게 표기함.
                    예) 모델에 따라 사용 미사용 하는 경우로 예를 들어 컴프에서 3점, 4점 용접이 모델따라 다름
5 : Disconnect : 설비와 네트워크가 끊어진 상태
                       가동율 계산 시 Down에 포함하여 계산함.</t>
    <phoneticPr fontId="1" type="noConversion"/>
  </si>
  <si>
    <t>PLC업체 기입</t>
    <phoneticPr fontId="3" type="noConversion"/>
  </si>
  <si>
    <t>정지</t>
    <phoneticPr fontId="1" type="noConversion"/>
  </si>
  <si>
    <t>정지</t>
    <phoneticPr fontId="1" type="noConversion"/>
  </si>
  <si>
    <t>UT</t>
    <phoneticPr fontId="1" type="noConversion"/>
  </si>
  <si>
    <t>EQ</t>
    <phoneticPr fontId="1" type="noConversion"/>
  </si>
  <si>
    <t>자동정지</t>
    <phoneticPr fontId="1" type="noConversion"/>
  </si>
  <si>
    <t>수동정지</t>
    <phoneticPr fontId="1" type="noConversion"/>
  </si>
  <si>
    <t>원재료/반제품 대기</t>
    <phoneticPr fontId="1" type="noConversion"/>
  </si>
  <si>
    <t>UT DOWN</t>
    <phoneticPr fontId="1" type="noConversion"/>
  </si>
  <si>
    <t>전산/IT 이상</t>
  </si>
  <si>
    <t>생산준비</t>
    <phoneticPr fontId="23" type="noConversion"/>
  </si>
  <si>
    <t>재작업</t>
  </si>
  <si>
    <t>설비</t>
    <phoneticPr fontId="23" type="noConversion"/>
  </si>
  <si>
    <t>품질</t>
    <phoneticPr fontId="23" type="noConversion"/>
  </si>
  <si>
    <t>계획 정지(휴일,생산대기,교육,교대)</t>
    <phoneticPr fontId="1" type="noConversion"/>
  </si>
  <si>
    <t>모델 교체</t>
    <phoneticPr fontId="1" type="noConversion"/>
  </si>
  <si>
    <t>품질</t>
    <phoneticPr fontId="1" type="noConversion"/>
  </si>
  <si>
    <t>PM</t>
    <phoneticPr fontId="1" type="noConversion"/>
  </si>
  <si>
    <t>자재</t>
    <phoneticPr fontId="23" type="noConversion"/>
  </si>
  <si>
    <t>공정(운영)</t>
    <phoneticPr fontId="23" type="noConversion"/>
  </si>
  <si>
    <t>설비알람</t>
    <phoneticPr fontId="1" type="noConversion"/>
  </si>
  <si>
    <t>EQ</t>
    <phoneticPr fontId="1" type="noConversion"/>
  </si>
  <si>
    <t>설비알람</t>
    <phoneticPr fontId="1" type="noConversion"/>
  </si>
  <si>
    <t>EQ</t>
    <phoneticPr fontId="1" type="noConversion"/>
  </si>
  <si>
    <t>설비알람</t>
    <phoneticPr fontId="1" type="noConversion"/>
  </si>
  <si>
    <t>설비알람</t>
    <phoneticPr fontId="1" type="noConversion"/>
  </si>
  <si>
    <t>EQ</t>
    <phoneticPr fontId="1" type="noConversion"/>
  </si>
  <si>
    <t>설비알람</t>
    <phoneticPr fontId="1" type="noConversion"/>
  </si>
  <si>
    <t>EQ</t>
    <phoneticPr fontId="1" type="noConversion"/>
  </si>
  <si>
    <t>EQ</t>
    <phoneticPr fontId="1" type="noConversion"/>
  </si>
  <si>
    <t>EQ</t>
    <phoneticPr fontId="1" type="noConversion"/>
  </si>
  <si>
    <t>설비알람</t>
    <phoneticPr fontId="1" type="noConversion"/>
  </si>
  <si>
    <t>EQ</t>
    <phoneticPr fontId="1" type="noConversion"/>
  </si>
  <si>
    <t>설비알람</t>
    <phoneticPr fontId="1" type="noConversion"/>
  </si>
  <si>
    <t>EQ</t>
    <phoneticPr fontId="1" type="noConversion"/>
  </si>
  <si>
    <t>설비알람</t>
    <phoneticPr fontId="1" type="noConversion"/>
  </si>
  <si>
    <t>설비알람</t>
    <phoneticPr fontId="1" type="noConversion"/>
  </si>
  <si>
    <t>사용유무</t>
    <phoneticPr fontId="1" type="noConversion"/>
  </si>
  <si>
    <t>OP그룹</t>
    <phoneticPr fontId="1" type="noConversion"/>
  </si>
  <si>
    <t>Y</t>
    <phoneticPr fontId="1" type="noConversion"/>
  </si>
  <si>
    <t>OP1</t>
    <phoneticPr fontId="1" type="noConversion"/>
  </si>
  <si>
    <t>OP2</t>
    <phoneticPr fontId="1" type="noConversion"/>
  </si>
  <si>
    <t>OP4</t>
    <phoneticPr fontId="1" type="noConversion"/>
  </si>
  <si>
    <t>OP3</t>
    <phoneticPr fontId="1" type="noConversion"/>
  </si>
  <si>
    <t>y</t>
    <phoneticPr fontId="1" type="noConversion"/>
  </si>
  <si>
    <t>공정</t>
    <phoneticPr fontId="1" type="noConversion"/>
  </si>
  <si>
    <t>자재</t>
    <phoneticPr fontId="1" type="noConversion"/>
  </si>
  <si>
    <t>설비</t>
    <phoneticPr fontId="1" type="noConversion"/>
  </si>
  <si>
    <t>대분류</t>
    <phoneticPr fontId="1" type="noConversion"/>
  </si>
  <si>
    <t>소분류</t>
    <phoneticPr fontId="1" type="noConversion"/>
  </si>
  <si>
    <t>안전</t>
    <phoneticPr fontId="1" type="noConversion"/>
  </si>
  <si>
    <t>안전</t>
    <phoneticPr fontId="1" type="noConversion"/>
  </si>
  <si>
    <t>안전</t>
    <phoneticPr fontId="1" type="noConversion"/>
  </si>
  <si>
    <t>정지 or 경고 or 안전</t>
    <phoneticPr fontId="1" type="noConversion"/>
  </si>
  <si>
    <t>PLC1</t>
  </si>
  <si>
    <t>[F0001] PLC 진단 에러 (SM0)</t>
  </si>
  <si>
    <t>[F0002] PLC 자기 진단 에러 (SM1)</t>
  </si>
  <si>
    <t>[F0003] PLC 에러 공통 정보  (SM5)</t>
  </si>
  <si>
    <t>[F0004] PLC 베터리 저하 이상 (SM52)</t>
  </si>
  <si>
    <t>[F0005] PLC 전원 이상 (SM53)</t>
  </si>
  <si>
    <t>[F0006] PLC CC-Link 모듈 레디 이상</t>
  </si>
  <si>
    <t>[F0007] PLC CC-Link 링크 이상</t>
  </si>
  <si>
    <t xml:space="preserve">[F0008] </t>
  </si>
  <si>
    <t xml:space="preserve">[F0009] </t>
  </si>
  <si>
    <t>[F0010] OP#1 비상 정지 이상 (X306)</t>
  </si>
  <si>
    <t>[F0011] OP#2 비상 정지 이상 (X406)</t>
  </si>
  <si>
    <t xml:space="preserve">[F0012] </t>
  </si>
  <si>
    <t xml:space="preserve">[F0013] </t>
  </si>
  <si>
    <t xml:space="preserve">[F0014] </t>
  </si>
  <si>
    <t xml:space="preserve">[F0015] </t>
  </si>
  <si>
    <t xml:space="preserve">[F0016] </t>
  </si>
  <si>
    <t xml:space="preserve">[F0017] </t>
  </si>
  <si>
    <t xml:space="preserve">[F0018] </t>
  </si>
  <si>
    <t xml:space="preserve">[F0019] </t>
  </si>
  <si>
    <t>[F0021] Door-12 열림 이상 (B4E2, B4E3)</t>
  </si>
  <si>
    <t>[F0022] Door-13 열림 이상 (B4E4, B4E5)</t>
  </si>
  <si>
    <t>[F0024] Door-15 열림 이상 (B4E8, B4E9)</t>
  </si>
  <si>
    <t xml:space="preserve">[F0025] </t>
  </si>
  <si>
    <t xml:space="preserve">[F0026] </t>
  </si>
  <si>
    <t xml:space="preserve">[F0027] </t>
  </si>
  <si>
    <t xml:space="preserve">[F0028] </t>
  </si>
  <si>
    <t xml:space="preserve">[F0029] </t>
  </si>
  <si>
    <t xml:space="preserve">[F0031] </t>
  </si>
  <si>
    <t xml:space="preserve">[F0032] </t>
  </si>
  <si>
    <t xml:space="preserve">[F0033] </t>
  </si>
  <si>
    <t xml:space="preserve">[F0034] </t>
  </si>
  <si>
    <t xml:space="preserve">[F0035] </t>
  </si>
  <si>
    <t xml:space="preserve">[F0036] </t>
  </si>
  <si>
    <t xml:space="preserve">[F0037] </t>
  </si>
  <si>
    <t xml:space="preserve">[F0038] </t>
  </si>
  <si>
    <t xml:space="preserve">[F0039] </t>
  </si>
  <si>
    <t xml:space="preserve">[F0040] </t>
  </si>
  <si>
    <t xml:space="preserve">[F0041] </t>
  </si>
  <si>
    <t xml:space="preserve">[F0042] </t>
  </si>
  <si>
    <t xml:space="preserve">[F0043] </t>
  </si>
  <si>
    <t xml:space="preserve">[F0044] </t>
  </si>
  <si>
    <t xml:space="preserve">[F0045] </t>
  </si>
  <si>
    <t xml:space="preserve">[F0046] </t>
  </si>
  <si>
    <t xml:space="preserve">[F0047] </t>
  </si>
  <si>
    <t xml:space="preserve">[F0048] </t>
  </si>
  <si>
    <t xml:space="preserve">[F0049] </t>
  </si>
  <si>
    <t xml:space="preserve">[F0050] </t>
  </si>
  <si>
    <t xml:space="preserve">[F0051] </t>
  </si>
  <si>
    <t xml:space="preserve">[F0052] </t>
  </si>
  <si>
    <t xml:space="preserve">[F0053] </t>
  </si>
  <si>
    <t xml:space="preserve">[F0054] </t>
  </si>
  <si>
    <t xml:space="preserve">[F0055] </t>
  </si>
  <si>
    <t xml:space="preserve">[F0056] </t>
  </si>
  <si>
    <t xml:space="preserve">[F0057] </t>
  </si>
  <si>
    <t xml:space="preserve">[F0058] </t>
  </si>
  <si>
    <t xml:space="preserve">[F0059] </t>
  </si>
  <si>
    <t xml:space="preserve">[F0060] </t>
  </si>
  <si>
    <t xml:space="preserve">[F0061] </t>
  </si>
  <si>
    <t xml:space="preserve">[F0062] </t>
  </si>
  <si>
    <t xml:space="preserve">[F0063] </t>
  </si>
  <si>
    <t xml:space="preserve">[F0064] </t>
  </si>
  <si>
    <t xml:space="preserve">[F0065] </t>
  </si>
  <si>
    <t xml:space="preserve">[F0066] </t>
  </si>
  <si>
    <t xml:space="preserve">[F0067] </t>
  </si>
  <si>
    <t xml:space="preserve">[F0068] </t>
  </si>
  <si>
    <t xml:space="preserve">[F0069] </t>
  </si>
  <si>
    <t xml:space="preserve">[F0070] </t>
  </si>
  <si>
    <t xml:space="preserve">[F0071] </t>
  </si>
  <si>
    <t xml:space="preserve">[F0072] </t>
  </si>
  <si>
    <t xml:space="preserve">[F0073] </t>
  </si>
  <si>
    <t xml:space="preserve">[F0074] </t>
  </si>
  <si>
    <t xml:space="preserve">[F0075] </t>
  </si>
  <si>
    <t xml:space="preserve">[F0076] </t>
  </si>
  <si>
    <t xml:space="preserve">[F0077] </t>
  </si>
  <si>
    <t xml:space="preserve">[F0078] </t>
  </si>
  <si>
    <t xml:space="preserve">[F0079] </t>
  </si>
  <si>
    <t xml:space="preserve">[F0080] </t>
  </si>
  <si>
    <t xml:space="preserve">[F0081] </t>
  </si>
  <si>
    <t xml:space="preserve">[F0082] </t>
  </si>
  <si>
    <t xml:space="preserve">[F0083] </t>
  </si>
  <si>
    <t xml:space="preserve">[F0084] </t>
  </si>
  <si>
    <t xml:space="preserve">[F0085] </t>
  </si>
  <si>
    <t xml:space="preserve">[F0086] </t>
  </si>
  <si>
    <t xml:space="preserve">[F0087] </t>
  </si>
  <si>
    <t xml:space="preserve">[F0088] </t>
  </si>
  <si>
    <t xml:space="preserve">[F0089] </t>
  </si>
  <si>
    <t xml:space="preserve">[F0090] </t>
  </si>
  <si>
    <t xml:space="preserve">[F0091] </t>
  </si>
  <si>
    <t xml:space="preserve">[F0092] </t>
  </si>
  <si>
    <t xml:space="preserve">[F0093] </t>
  </si>
  <si>
    <t xml:space="preserve">[F0094] </t>
  </si>
  <si>
    <t xml:space="preserve">[F0095] </t>
  </si>
  <si>
    <t xml:space="preserve">[F0096] </t>
  </si>
  <si>
    <t xml:space="preserve">[F0097] </t>
  </si>
  <si>
    <t xml:space="preserve">[F0098] </t>
  </si>
  <si>
    <t xml:space="preserve">[F0099] </t>
  </si>
  <si>
    <t>[F0100] 댐핑시트 공급 테이블#1 (SD101) 운전중에 Ready가 Off 되었습니다.</t>
  </si>
  <si>
    <t>[F0101]  (SD101) FLS가 감지되었습니다.</t>
  </si>
  <si>
    <t>[F0102]  (SD101) RLS가 감지되었습니다.</t>
  </si>
  <si>
    <t>[F0103]  (SD101) Stop 명령이 On된 상태에서 기동을 시도했습니다.</t>
  </si>
  <si>
    <t>[F0104]  (SD101) 가동 전원이 Off 되었습니다.</t>
  </si>
  <si>
    <t>[F0105]  (SD101) 엔코더 이상이 검출되었습니다.</t>
  </si>
  <si>
    <t>[F0106]  (SD101) 과전류가 검출되었습니다.</t>
  </si>
  <si>
    <t>[F0107]  (SD101) 과부하가 검출되었습니다.</t>
  </si>
  <si>
    <t>[F0109]  (SD101) 에러가 발생했습니다.</t>
  </si>
  <si>
    <t>[F0110] 댐핑시트 공급 테이블#2 (SD102) 운전중에 Ready가 Off 되었습니다.</t>
  </si>
  <si>
    <t>[F0111]  (SD102) FLS가 감지되었습니다.</t>
  </si>
  <si>
    <t>[F0112]  (SD102) RLS가 감지되었습니다.</t>
  </si>
  <si>
    <t>[F0113]  (SD102) Stop 명령이 On된 상태에서 기동을 시도했습니다.</t>
  </si>
  <si>
    <t>[F0114]  (SD102) 가동 전원이 Off 되었습니다.</t>
  </si>
  <si>
    <t>[F0115]  (SD102) 엔코더 이상이 검출되었습니다.</t>
  </si>
  <si>
    <t>[F0116]  (SD102) 과전류가 검출되었습니다.</t>
  </si>
  <si>
    <t>[F0117]  (SD102) 과부하가 검출되었습니다.</t>
  </si>
  <si>
    <t>[F0119]  (SD102) 에러가 발생했습니다.</t>
  </si>
  <si>
    <t>[F0120] 댐핑시트 공급 이재기X축 (SD103) 운전중에 Ready가 Off 되었습니다.</t>
  </si>
  <si>
    <t>[F0121] 댐핑시트 공급 이재기X축 (SD103) FLS가 감지되었습니다.</t>
  </si>
  <si>
    <t>[F0122] 댐핑시트 공급 이재기X축 (SD103) RLS가 감지되었습니다.</t>
  </si>
  <si>
    <t>[F0123] 댐핑시트 공급 이재기X축 (SD103) Stop 명령이 On된 상태에서 기동을 시도했습니다.</t>
  </si>
  <si>
    <t>[F0124] 댐핑시트 공급 이재기X축 (SD103) 가동 전원이 Off 되었습니다.</t>
  </si>
  <si>
    <t>[F0125] 댐핑시트 공급 이재기X축 (SD103) 엔코더 이상이 검출되었습니다.</t>
  </si>
  <si>
    <t>[F0126] 댐핑시트 공급 이재기X축 (SD103) 과전류가 검출되었습니다.</t>
  </si>
  <si>
    <t>[F0127] 댐핑시트 공급 이재기X축 (SD103) 과부하가 검출되었습니다.</t>
  </si>
  <si>
    <t>[F0129] 댐핑시트 공급 이재기X축 (SD103) 에러가 발생했습니다.</t>
  </si>
  <si>
    <t>[F0130] 댐핑시트 공급 이재기Z축 (SD104) 운전중에 Ready가 Off 되었습니다.</t>
  </si>
  <si>
    <t>[F0131] 댐핑시트 공급 이재기Z축 (SD104) FLS가 감지되었습니다.</t>
  </si>
  <si>
    <t>[F0132] 댐핑시트 공급 이재기Z축 (SD104) RLS가 감지되었습니다.</t>
  </si>
  <si>
    <t>[F0133] 댐핑시트 공급 이재기Z축 (SD104) Stop 명령이 On된 상태에서 기동을 시도했습니다.</t>
  </si>
  <si>
    <t>[F0134] 댐핑시트 공급 이재기Z축 (SD104) 가동 전원이 Off 되었습니다.</t>
  </si>
  <si>
    <t>[F0135] 댐핑시트 공급 이재기Z축 (SD104) 엔코더 이상이 검출되었습니다.</t>
  </si>
  <si>
    <t>[F0136] 댐핑시트 공급 이재기Z축 (SD104) 과전류가 검출되었습니다.</t>
  </si>
  <si>
    <t>[F0137] 댐핑시트 공급 이재기Z축 (SD104) 과부하가 검출되었습니다.</t>
  </si>
  <si>
    <t>[F0139] 댐핑시트 공급 이재기Z축 (SD104) 에러가 발생했습니다.</t>
  </si>
  <si>
    <t>[F0140] 쿨링 공급 개비티#1 (SD105) 운전중에 Ready가 Off 되었습니다.</t>
  </si>
  <si>
    <t>[F0141] 쿨링 공급 개비티#1 (SD105) FLS가 감지되었습니다.</t>
  </si>
  <si>
    <t>[F0142] 쿨링 공급 개비티#1 (SD105) RLS가 감지되었습니다.</t>
  </si>
  <si>
    <t>[F0143] 쿨링 공급 개비티#1 (SD105) Stop 명령이 On된 상태에서 기동을 시도했습니다.</t>
  </si>
  <si>
    <t>[F0144] 쿨링 공급 개비티#1 (SD105) 가동 전원이 Off 되었습니다.</t>
  </si>
  <si>
    <t>[F0145] 쿨링 공급 개비티#1 (SD105) 엔코더 이상이 검출되었습니다.</t>
  </si>
  <si>
    <t>[F0146] 쿨링 공급 개비티#1 (SD105) 과전류가 검출되었습니다.</t>
  </si>
  <si>
    <t>[F0147] 쿨링 공급 개비티#1 (SD105) 과부하가 검출되었습니다.</t>
  </si>
  <si>
    <t>[F0149] 쿨링 공급 개비티#1 (SD105) 에러가 발생했습니다.</t>
  </si>
  <si>
    <t>[F0150] 쿨링 공급 개비티#2 (SD106) 운전중에 Ready가 Off 되었습니다.</t>
  </si>
  <si>
    <t>[F0151] 쿨링 공급 개비티#2 (SD106) FLS가 감지되었습니다.</t>
  </si>
  <si>
    <t>[F0152] 쿨링 공급 개비티#2 (SD106) RLS가 감지되었습니다.</t>
  </si>
  <si>
    <t>[F0153] 쿨링 공급 개비티#2 (SD106) Stop 명령이 On된 상태에서 기동을 시도했습니다.</t>
  </si>
  <si>
    <t>[F0154] 쿨링 공급 개비티#2 (SD106) 가동 전원이 Off 되었습니다.</t>
  </si>
  <si>
    <t>[F0155] 쿨링 공급 개비티#2 (SD106) 엔코더 이상이 검출되었습니다.</t>
  </si>
  <si>
    <t>[F0156] 쿨링 공급 개비티#2 (SD106) 과전류가 검출되었습니다.</t>
  </si>
  <si>
    <t>[F0157] 쿨링 공급 개비티#2 (SD106) 과부하가 검출되었습니다.</t>
  </si>
  <si>
    <t xml:space="preserve">[F0158] 쿨링 공급 개비티#2 (SD106)  </t>
  </si>
  <si>
    <t>[F0159] 쿨링 공급 개비티#2 (SD106) 에러가 발생했습니다.</t>
  </si>
  <si>
    <t>[F0160] 쿨링 배출 개비티#1 (SD107) 운전중에 Ready가 Off 되었습니다.</t>
  </si>
  <si>
    <t>[F0161] 쿨링 배출 개비티#1 (SD107) FLS가 감지되었습니다.</t>
  </si>
  <si>
    <t>[F0162] 쿨링 배출 개비티#1 (SD107) RLS가 감지되었습니다.</t>
  </si>
  <si>
    <t>[F0163] 쿨링 배출 개비티#1 (SD107) Stop 명령이 On된 상태에서 기동을 시도했습니다.</t>
  </si>
  <si>
    <t>[F0164] 쿨링 배출 개비티#1 (SD107) 가동 전원이 Off 되었습니다.</t>
  </si>
  <si>
    <t>[F0165] 쿨링 배출 개비티#1 (SD107) 엔코더 이상이 검출되었습니다.</t>
  </si>
  <si>
    <t>[F0166] 쿨링 배출 개비티#1 (SD107) 과전류가 검출되었습니다.</t>
  </si>
  <si>
    <t>[F0167] 쿨링 배출 개비티#1 (SD107) 과부하가 검출되었습니다.</t>
  </si>
  <si>
    <t xml:space="preserve">[F0168] 쿨링 배출 개비티#1 (SD107)  </t>
  </si>
  <si>
    <t>[F0169] 쿨링 배출 개비티#1 (SD107) 에러가 발생했습니다.</t>
  </si>
  <si>
    <t>[F0170] 쿨링 배출 개비티#2 (SD108) 운전중에 Ready가 Off 되었습니다.</t>
  </si>
  <si>
    <t>[F0171] 쿨링 배출 개비티#2 (SD108) FLS가 감지되었습니다.</t>
  </si>
  <si>
    <t>[F0172] 쿨링 배출 개비티#2 (SD108) RLS가 감지되었습니다.</t>
  </si>
  <si>
    <t>[F0173] 쿨링 배출 개비티#2 (SD108) Stop 명령이 On된 상태에서 기동을 시도했습니다.</t>
  </si>
  <si>
    <t>[F0174] 쿨링 배출 개비티#2 (SD108) 가동 전원이 Off 되었습니다.</t>
  </si>
  <si>
    <t>[F0175] 쿨링 배출 개비티#2 (SD108) 엔코더 이상이 검출되었습니다.</t>
  </si>
  <si>
    <t>[F0176] 쿨링 배출 개비티#2 (SD108) 과전류가 검출되었습니다.</t>
  </si>
  <si>
    <t>[F0177] 쿨링 배출 개비티#2 (SD108) 과부하가 검출되었습니다.</t>
  </si>
  <si>
    <t xml:space="preserve">[F0178] 쿨링 배출 개비티#2 (SD108)  </t>
  </si>
  <si>
    <t>[F0179] 쿨링 배출 개비티#2 (SD108) 에러가 발생했습니다.</t>
  </si>
  <si>
    <t>[F0180] 쿨링 공급 Z축 (SD109) 운전중에 Ready가 Off 되었습니다.</t>
  </si>
  <si>
    <t>[F0181] 쿨링 공급 Z축 (SD109) FLS가 감지되었습니다.</t>
  </si>
  <si>
    <t>[F0182] 쿨링 공급 Z축 (SD109) RLS가 감지되었습니다.</t>
  </si>
  <si>
    <t>[F0183] 쿨링 공급 Z축 (SD109) Stop 명령이 On된 상태에서 기동을 시도했습니다.</t>
  </si>
  <si>
    <t>[F0184] 쿨링 공급 Z축 (SD109) 가동 전원이 Off 되었습니다.</t>
  </si>
  <si>
    <t>[F0185] 쿨링 공급 Z축 (SD109) 엔코더 이상이 검출되었습니다.</t>
  </si>
  <si>
    <t>[F0186] 쿨링 공급 Z축 (SD109) 과전류가 검출되었습니다.</t>
  </si>
  <si>
    <t>[F0187] 쿨링 공급 Z축 (SD109) 과부하가 검출되었습니다.</t>
  </si>
  <si>
    <t xml:space="preserve">[F0188] 쿨링 공급 Z축 (SD109)  </t>
  </si>
  <si>
    <t>[F0189] 쿨링 공급 Z축 (SD109) 에러가 발생했습니다.</t>
  </si>
  <si>
    <t>[F0190] 쿨링 배출 Z축 (SD110) 운전중에 Ready가 Off 되었습니다.</t>
  </si>
  <si>
    <t>[F0191] 쿨링 배출 Z축 (SD110) FLS가 감지되었습니다.</t>
  </si>
  <si>
    <t>[F0192] 쿨링 배출 Z축 (SD110) RLS가 감지되었습니다.</t>
  </si>
  <si>
    <t>[F0193] 쿨링 배출 Z축 (SD110) Stop 명령이 On된 상태에서 기동을 시도했습니다.</t>
  </si>
  <si>
    <t>[F0194] 쿨링 배출 Z축 (SD110) 가동 전원이 Off 되었습니다.</t>
  </si>
  <si>
    <t>[F0195] 쿨링 배출 Z축 (SD110) 엔코더 이상이 검출되었습니다.</t>
  </si>
  <si>
    <t>[F0196] 쿨링 배출 Z축 (SD110) 과전류가 검출되었습니다.</t>
  </si>
  <si>
    <t>[F0197] 쿨링 배출 Z축 (SD110) 과부하가 검출되었습니다.</t>
  </si>
  <si>
    <t xml:space="preserve">[F0198] 쿨링 배출 Z축 (SD110)  </t>
  </si>
  <si>
    <t>[F0199] 쿨링 배출 Z축 (SD110) 에러가 발생했습니다.</t>
  </si>
  <si>
    <t>[F0200] 쿨링 이재기X축 (SD111) 운전중에 Ready가 Off 되었습니다.</t>
  </si>
  <si>
    <t>[F0201] 쿨링 이재기X축 (SD111) FLS가 감지되었습니다.</t>
  </si>
  <si>
    <t>[F0202] 쿨링 이재기X축 (SD111) RLS가 감지되었습니다.</t>
  </si>
  <si>
    <t>[F0203] 쿨링 이재기X축 (SD111) Stop 명령이 On된 상태에서 기동을 시도했습니다.</t>
  </si>
  <si>
    <t>[F0204] 쿨링 이재기X축 (SD111) 가동 전원이 Off 되었습니다.</t>
  </si>
  <si>
    <t>[F0205] 쿨링 이재기X축 (SD111) 엔코더 이상이 검출되었습니다.</t>
  </si>
  <si>
    <t>[F0206] 쿨링 이재기X축 (SD111) 과전류가 검출되었습니다.</t>
  </si>
  <si>
    <t>[F0207] 쿨링 이재기X축 (SD111) 과부하가 검출되었습니다.</t>
  </si>
  <si>
    <t xml:space="preserve">[F0208] 쿨링 이재기X축 (SD111)  </t>
  </si>
  <si>
    <t>[F0209] 쿨링 이재기X축 (SD111) 에러가 발생했습니다.</t>
  </si>
  <si>
    <t>[F0210] 쿨링 이재기Z축 (SD112) 운전중에 Ready가 Off 되었습니다.</t>
  </si>
  <si>
    <t>[F0211] 쿨링 이재기Z축 (SD112) FLS가 감지되었습니다.</t>
  </si>
  <si>
    <t>[F0212] 쿨링 이재기Z축 (SD112) RLS가 감지되었습니다.</t>
  </si>
  <si>
    <t>[F0213] 쿨링 이재기Z축 (SD112) Stop 명령이 On된 상태에서 기동을 시도했습니다.</t>
  </si>
  <si>
    <t>[F0214] 쿨링 이재기Z축 (SD112) 가동 전원이 Off 되었습니다.</t>
  </si>
  <si>
    <t>[F0215] 쿨링 이재기Z축 (SD112) 엔코더 이상이 검출되었습니다.</t>
  </si>
  <si>
    <t>[F0216] 쿨링 이재기Z축 (SD112) 과전류가 검출되었습니다.</t>
  </si>
  <si>
    <t>[F0217] 쿨링 이재기Z축 (SD112) 과부하가 검출되었습니다.</t>
  </si>
  <si>
    <t xml:space="preserve">[F0218] 쿨링 이재기Z축 (SD112)  </t>
  </si>
  <si>
    <t>[F0219] 쿨링 이재기Z축 (SD112) 에러가 발생했습니다.</t>
  </si>
  <si>
    <t>[F0220] 컨베어 언로더 이재기X축 (SD113) 운전중에 Ready가 Off 되었습니다.</t>
  </si>
  <si>
    <t>[F0221] 컨베어 언로더 이재기X축 (SD113) FLS가 감지되었습니다.</t>
  </si>
  <si>
    <t>[F0222] 컨베어 언로더 이재기X축 (SD113) RLS가 감지되었습니다.</t>
  </si>
  <si>
    <t>[F0223] 컨베어 언로더 이재기X축 (SD113) Stop 명령이 On된 상태에서 기동을 시도했습니다.</t>
  </si>
  <si>
    <t>[F0224] 컨베어 언로더 이재기X축 (SD113) 가동 전원이 Off 되었습니다.</t>
  </si>
  <si>
    <t>[F0225] 컨베어 언로더 이재기X축 (SD113) 엔코더 이상이 검출되었습니다.</t>
  </si>
  <si>
    <t>[F0226] 컨베어 언로더 이재기X축 (SD113) 과전류가 검출되었습니다.</t>
  </si>
  <si>
    <t>[F0227] 컨베어 언로더 이재기X축 (SD113) 과부하가 검출되었습니다.</t>
  </si>
  <si>
    <t xml:space="preserve">[F0228] 컨베어 언로더 이재기X축 (SD113)  </t>
  </si>
  <si>
    <t>[F0229] 컨베어 언로더 이재기X축 (SD113) 에러가 발생했습니다.</t>
  </si>
  <si>
    <t>[F0230] 컨베어 언로더 이재기Z축 (SD114) 운전중에 Ready가 Off 되었습니다.</t>
  </si>
  <si>
    <t>[F0231] 컨베어 언로더 이재기Z축 (SD114) FLS가 감지되었습니다.</t>
  </si>
  <si>
    <t>[F0232] 컨베어 언로더 이재기Z축 (SD114) RLS가 감지되었습니다.</t>
  </si>
  <si>
    <t>[F0233] 컨베어 언로더 이재기Z축 (SD114) Stop 명령이 On된 상태에서 기동을 시도했습니다.</t>
  </si>
  <si>
    <t>[F0234] 컨베어 언로더 이재기Z축 (SD114) 가동 전원이 Off 되었습니다.</t>
  </si>
  <si>
    <t>[F0235] 컨베어 언로더 이재기Z축 (SD114) 엔코더 이상이 검출되었습니다.</t>
  </si>
  <si>
    <t>[F0236] 컨베어 언로더 이재기Z축 (SD114) 과전류가 검출되었습니다.</t>
  </si>
  <si>
    <t>[F0237] 컨베어 언로더 이재기Z축 (SD114) 과부하가 검출되었습니다.</t>
  </si>
  <si>
    <t xml:space="preserve">[F0238] 컨베어 언로더 이재기Z축 (SD114)  </t>
  </si>
  <si>
    <t>[F0239] 컨베어 언로더 이재기Z축 (SD114) 에러가 발생했습니다.</t>
  </si>
  <si>
    <t>[F0240] 슬레이트 컨베어 (SD139) 운전중에 Ready가 Off 되었습니다.</t>
  </si>
  <si>
    <t>[F0241] 슬레이트 컨베어 (SD139) FLS가 감지되었습니다.</t>
  </si>
  <si>
    <t>[F0242] 슬레이트 컨베어 (SD139) RLS가 감지되었습니다.</t>
  </si>
  <si>
    <t>[F0243] 슬레이트 컨베어 (SD139) Stop 명령이 On된 상태에서 기동을 시도했습니다.</t>
  </si>
  <si>
    <t>[F0244] 슬레이트 컨베어 (SD139) 가동 전원이 Off 되었습니다.</t>
  </si>
  <si>
    <t>[F0245] 슬레이트 컨베어 (SD139) 엔코더 이상이 검출되었습니다.</t>
  </si>
  <si>
    <t>[F0246] 슬레이트 컨베어 (SD139) 과전류가 검출되었습니다.</t>
  </si>
  <si>
    <t>[F0247] 슬레이트 컨베어 (SD139) 과부하가 검출되었습니다.</t>
  </si>
  <si>
    <t xml:space="preserve">[F0248] 슬레이트 컨베어 (SD139)  </t>
  </si>
  <si>
    <t>[F0249] 슬레이트 컨베어 (SD139) 에러가 발생했습니다.</t>
  </si>
  <si>
    <t xml:space="preserve">[F0250] </t>
  </si>
  <si>
    <t xml:space="preserve">[F0251] </t>
  </si>
  <si>
    <t xml:space="preserve">[F0252] </t>
  </si>
  <si>
    <t xml:space="preserve">[F0253] </t>
  </si>
  <si>
    <t xml:space="preserve">[F0254] </t>
  </si>
  <si>
    <t xml:space="preserve">[F0255] </t>
  </si>
  <si>
    <t xml:space="preserve">[F0256] </t>
  </si>
  <si>
    <t xml:space="preserve">[F0257] </t>
  </si>
  <si>
    <t xml:space="preserve">[F0258] </t>
  </si>
  <si>
    <t xml:space="preserve">[F0259] </t>
  </si>
  <si>
    <t xml:space="preserve">[F0290] </t>
  </si>
  <si>
    <t xml:space="preserve">[F0291] </t>
  </si>
  <si>
    <t xml:space="preserve">[F0292] </t>
  </si>
  <si>
    <t xml:space="preserve">[F0293] </t>
  </si>
  <si>
    <t xml:space="preserve">[F0294] </t>
  </si>
  <si>
    <t xml:space="preserve">[F0295] </t>
  </si>
  <si>
    <t xml:space="preserve">[F0296] </t>
  </si>
  <si>
    <t xml:space="preserve">[F0297] </t>
  </si>
  <si>
    <t xml:space="preserve">[F0298] </t>
  </si>
  <si>
    <t xml:space="preserve">[F0299] </t>
  </si>
  <si>
    <t xml:space="preserve">[F0411] </t>
  </si>
  <si>
    <t xml:space="preserve">[F0412] </t>
  </si>
  <si>
    <t xml:space="preserve">[F0413] </t>
  </si>
  <si>
    <t xml:space="preserve">[F0414] </t>
  </si>
  <si>
    <t xml:space="preserve">[F0415] </t>
  </si>
  <si>
    <t xml:space="preserve">[F0416] </t>
  </si>
  <si>
    <t xml:space="preserve">[F0417] </t>
  </si>
  <si>
    <t xml:space="preserve">[F0418] </t>
  </si>
  <si>
    <t xml:space="preserve">[F0419] </t>
  </si>
  <si>
    <t xml:space="preserve">[F0520] </t>
  </si>
  <si>
    <t xml:space="preserve">[F0521] </t>
  </si>
  <si>
    <t xml:space="preserve">[F0522] </t>
  </si>
  <si>
    <t xml:space="preserve">[F0523] </t>
  </si>
  <si>
    <t xml:space="preserve">[F0524] </t>
  </si>
  <si>
    <t xml:space="preserve">[F0525] </t>
  </si>
  <si>
    <t xml:space="preserve">[F0526] </t>
  </si>
  <si>
    <t xml:space="preserve">[F0527] </t>
  </si>
  <si>
    <t xml:space="preserve">[F0528] </t>
  </si>
  <si>
    <t xml:space="preserve">[F0529] </t>
  </si>
  <si>
    <t xml:space="preserve">[F0530] </t>
  </si>
  <si>
    <t xml:space="preserve">[F0531] </t>
  </si>
  <si>
    <t xml:space="preserve">[F0532] </t>
  </si>
  <si>
    <t xml:space="preserve">[F0533] </t>
  </si>
  <si>
    <t xml:space="preserve">[F0534] </t>
  </si>
  <si>
    <t xml:space="preserve">[F0535] </t>
  </si>
  <si>
    <t xml:space="preserve">[F0536] </t>
  </si>
  <si>
    <t xml:space="preserve">[F0537] </t>
  </si>
  <si>
    <t xml:space="preserve">[F0538] </t>
  </si>
  <si>
    <t xml:space="preserve">[F0539] </t>
  </si>
  <si>
    <t xml:space="preserve">[F0540] </t>
  </si>
  <si>
    <t xml:space="preserve">[F0541] </t>
  </si>
  <si>
    <t xml:space="preserve">[F0542] </t>
  </si>
  <si>
    <t xml:space="preserve">[F0543] </t>
  </si>
  <si>
    <t xml:space="preserve">[F0544] </t>
  </si>
  <si>
    <t xml:space="preserve">[F0545] </t>
  </si>
  <si>
    <t xml:space="preserve">[F0546] </t>
  </si>
  <si>
    <t xml:space="preserve">[F0547] </t>
  </si>
  <si>
    <t xml:space="preserve">[F0548] </t>
  </si>
  <si>
    <t xml:space="preserve">[F0549] </t>
  </si>
  <si>
    <t xml:space="preserve">[F0550] </t>
  </si>
  <si>
    <t xml:space="preserve">[F0551] </t>
  </si>
  <si>
    <t xml:space="preserve">[F0552] </t>
  </si>
  <si>
    <t xml:space="preserve">[F0553] </t>
  </si>
  <si>
    <t xml:space="preserve">[F0554] </t>
  </si>
  <si>
    <t xml:space="preserve">[F0555] </t>
  </si>
  <si>
    <t xml:space="preserve">[F0556] </t>
  </si>
  <si>
    <t xml:space="preserve">[F0557] </t>
  </si>
  <si>
    <t xml:space="preserve">[F0558] </t>
  </si>
  <si>
    <t xml:space="preserve">[F0559] </t>
  </si>
  <si>
    <t xml:space="preserve">[F0560] </t>
  </si>
  <si>
    <t xml:space="preserve">[F0561] </t>
  </si>
  <si>
    <t xml:space="preserve">[F0562] </t>
  </si>
  <si>
    <t xml:space="preserve">[F0563] </t>
  </si>
  <si>
    <t xml:space="preserve">[F0564] </t>
  </si>
  <si>
    <t xml:space="preserve">[F0565] </t>
  </si>
  <si>
    <t xml:space="preserve">[F0566] </t>
  </si>
  <si>
    <t xml:space="preserve">[F0567] </t>
  </si>
  <si>
    <t xml:space="preserve">[F0568] </t>
  </si>
  <si>
    <t xml:space="preserve">[F0569] </t>
  </si>
  <si>
    <t xml:space="preserve">[F0570] </t>
  </si>
  <si>
    <t xml:space="preserve">[F0571] </t>
  </si>
  <si>
    <t xml:space="preserve">[F0572] </t>
  </si>
  <si>
    <t xml:space="preserve">[F0573] </t>
  </si>
  <si>
    <t xml:space="preserve">[F0574] </t>
  </si>
  <si>
    <t xml:space="preserve">[F0575] </t>
  </si>
  <si>
    <t xml:space="preserve">[F0576] </t>
  </si>
  <si>
    <t xml:space="preserve">[F0577] </t>
  </si>
  <si>
    <t xml:space="preserve">[F0578] </t>
  </si>
  <si>
    <t xml:space="preserve">[F0579] </t>
  </si>
  <si>
    <t xml:space="preserve">[F0580] </t>
  </si>
  <si>
    <t xml:space="preserve">[F0581] </t>
  </si>
  <si>
    <t xml:space="preserve">[F0582] </t>
  </si>
  <si>
    <t xml:space="preserve">[F0583] </t>
  </si>
  <si>
    <t xml:space="preserve">[F0584] </t>
  </si>
  <si>
    <t xml:space="preserve">[F0585] </t>
  </si>
  <si>
    <t xml:space="preserve">[F0586] </t>
  </si>
  <si>
    <t xml:space="preserve">[F0587] </t>
  </si>
  <si>
    <t xml:space="preserve">[F0588] </t>
  </si>
  <si>
    <t xml:space="preserve">[F0589] </t>
  </si>
  <si>
    <t xml:space="preserve">[F0590] </t>
  </si>
  <si>
    <t xml:space="preserve">[F0591] </t>
  </si>
  <si>
    <t xml:space="preserve">[F0592] </t>
  </si>
  <si>
    <t xml:space="preserve">[F0593] </t>
  </si>
  <si>
    <t xml:space="preserve">[F0594] </t>
  </si>
  <si>
    <t xml:space="preserve">[F0595] </t>
  </si>
  <si>
    <t xml:space="preserve">[F0596] </t>
  </si>
  <si>
    <t xml:space="preserve">[F0597] </t>
  </si>
  <si>
    <t xml:space="preserve">[F0598] </t>
  </si>
  <si>
    <t xml:space="preserve">[F0599] </t>
  </si>
  <si>
    <t xml:space="preserve">[F0600] </t>
  </si>
  <si>
    <t xml:space="preserve">[F0601] </t>
  </si>
  <si>
    <t xml:space="preserve">[F0602] </t>
  </si>
  <si>
    <t xml:space="preserve">[F0603] </t>
  </si>
  <si>
    <t xml:space="preserve">[F0604] </t>
  </si>
  <si>
    <t xml:space="preserve">[F0605] </t>
  </si>
  <si>
    <t xml:space="preserve">[F0606] </t>
  </si>
  <si>
    <t xml:space="preserve">[F0607] </t>
  </si>
  <si>
    <t xml:space="preserve">[F0608] </t>
  </si>
  <si>
    <t xml:space="preserve">[F0609] </t>
  </si>
  <si>
    <t xml:space="preserve">[F0610] </t>
  </si>
  <si>
    <t xml:space="preserve">[F0611] </t>
  </si>
  <si>
    <t xml:space="preserve">[F0612] </t>
  </si>
  <si>
    <t xml:space="preserve">[F0613] </t>
  </si>
  <si>
    <t xml:space="preserve">[F0614] </t>
  </si>
  <si>
    <t xml:space="preserve">[F0615] </t>
  </si>
  <si>
    <t xml:space="preserve">[F0616] </t>
  </si>
  <si>
    <t xml:space="preserve">[F0617] </t>
  </si>
  <si>
    <t xml:space="preserve">[F0618] </t>
  </si>
  <si>
    <t xml:space="preserve">[F0619] </t>
  </si>
  <si>
    <t xml:space="preserve">[F0620] </t>
  </si>
  <si>
    <t xml:space="preserve">[F0621] </t>
  </si>
  <si>
    <t xml:space="preserve">[F0622] </t>
  </si>
  <si>
    <t xml:space="preserve">[F0623] </t>
  </si>
  <si>
    <t xml:space="preserve">[F0624] </t>
  </si>
  <si>
    <t xml:space="preserve">[F0625] </t>
  </si>
  <si>
    <t xml:space="preserve">[F0626] </t>
  </si>
  <si>
    <t xml:space="preserve">[F0627] </t>
  </si>
  <si>
    <t xml:space="preserve">[F0628] </t>
  </si>
  <si>
    <t xml:space="preserve">[F0629] </t>
  </si>
  <si>
    <t xml:space="preserve">[F0630] </t>
  </si>
  <si>
    <t xml:space="preserve">[F0631] </t>
  </si>
  <si>
    <t xml:space="preserve">[F0632] </t>
  </si>
  <si>
    <t xml:space="preserve">[F0633] </t>
  </si>
  <si>
    <t xml:space="preserve">[F0634] </t>
  </si>
  <si>
    <t xml:space="preserve">[F0635] </t>
  </si>
  <si>
    <t xml:space="preserve">[F0636] </t>
  </si>
  <si>
    <t xml:space="preserve">[F0637] </t>
  </si>
  <si>
    <t xml:space="preserve">[F0638] </t>
  </si>
  <si>
    <t xml:space="preserve">[F0639] </t>
  </si>
  <si>
    <t xml:space="preserve">[F0640] </t>
  </si>
  <si>
    <t xml:space="preserve">[F0641] </t>
  </si>
  <si>
    <t xml:space="preserve">[F0642] </t>
  </si>
  <si>
    <t xml:space="preserve">[F0643] </t>
  </si>
  <si>
    <t xml:space="preserve">[F0644] </t>
  </si>
  <si>
    <t xml:space="preserve">[F0645] </t>
  </si>
  <si>
    <t xml:space="preserve">[F0646] </t>
  </si>
  <si>
    <t xml:space="preserve">[F0647] </t>
  </si>
  <si>
    <t xml:space="preserve">[F0648] </t>
  </si>
  <si>
    <t xml:space="preserve">[F0649] </t>
  </si>
  <si>
    <t xml:space="preserve">[F0650] </t>
  </si>
  <si>
    <t xml:space="preserve">[F0651] </t>
  </si>
  <si>
    <t xml:space="preserve">[F0652] </t>
  </si>
  <si>
    <t xml:space="preserve">[F0653] </t>
  </si>
  <si>
    <t xml:space="preserve">[F0654] </t>
  </si>
  <si>
    <t xml:space="preserve">[F0655] </t>
  </si>
  <si>
    <t xml:space="preserve">[F0656] </t>
  </si>
  <si>
    <t xml:space="preserve">[F0657] </t>
  </si>
  <si>
    <t xml:space="preserve">[F0658] </t>
  </si>
  <si>
    <t xml:space="preserve">[F0659] </t>
  </si>
  <si>
    <t xml:space="preserve">[F0660] </t>
  </si>
  <si>
    <t xml:space="preserve">[F0661] </t>
  </si>
  <si>
    <t xml:space="preserve">[F0662] </t>
  </si>
  <si>
    <t xml:space="preserve">[F0663] </t>
  </si>
  <si>
    <t xml:space="preserve">[F0664] </t>
  </si>
  <si>
    <t xml:space="preserve">[F0665] </t>
  </si>
  <si>
    <t xml:space="preserve">[F0666] </t>
  </si>
  <si>
    <t xml:space="preserve">[F0667] </t>
  </si>
  <si>
    <t xml:space="preserve">[F0668] </t>
  </si>
  <si>
    <t xml:space="preserve">[F0669] </t>
  </si>
  <si>
    <t xml:space="preserve">[F0670] </t>
  </si>
  <si>
    <t xml:space="preserve">[F0671] </t>
  </si>
  <si>
    <t xml:space="preserve">[F0672] </t>
  </si>
  <si>
    <t xml:space="preserve">[F0673] </t>
  </si>
  <si>
    <t xml:space="preserve">[F0674] </t>
  </si>
  <si>
    <t xml:space="preserve">[F0675] </t>
  </si>
  <si>
    <t xml:space="preserve">[F0676] </t>
  </si>
  <si>
    <t xml:space="preserve">[F0677] </t>
  </si>
  <si>
    <t xml:space="preserve">[F0678] </t>
  </si>
  <si>
    <t xml:space="preserve">[F0679] </t>
  </si>
  <si>
    <t xml:space="preserve">[F0680] </t>
  </si>
  <si>
    <t xml:space="preserve">[F0681] </t>
  </si>
  <si>
    <t xml:space="preserve">[F0682] </t>
  </si>
  <si>
    <t xml:space="preserve">[F0683] </t>
  </si>
  <si>
    <t xml:space="preserve">[F0684] </t>
  </si>
  <si>
    <t xml:space="preserve">[F0685] </t>
  </si>
  <si>
    <t xml:space="preserve">[F0686] </t>
  </si>
  <si>
    <t xml:space="preserve">[F0687] </t>
  </si>
  <si>
    <t xml:space="preserve">[F0688] </t>
  </si>
  <si>
    <t xml:space="preserve">[F0689] </t>
  </si>
  <si>
    <t xml:space="preserve">[F0690] </t>
  </si>
  <si>
    <t xml:space="preserve">[F0691] </t>
  </si>
  <si>
    <t xml:space="preserve">[F0692] </t>
  </si>
  <si>
    <t xml:space="preserve">[F0693] </t>
  </si>
  <si>
    <t xml:space="preserve">[F0694] </t>
  </si>
  <si>
    <t xml:space="preserve">[F0695] </t>
  </si>
  <si>
    <t xml:space="preserve">[F0696] </t>
  </si>
  <si>
    <t xml:space="preserve">[F0697] </t>
  </si>
  <si>
    <t xml:space="preserve">[F0698] </t>
  </si>
  <si>
    <t xml:space="preserve">[F0699] </t>
  </si>
  <si>
    <t xml:space="preserve">[F0700] </t>
  </si>
  <si>
    <t xml:space="preserve">[F0701] </t>
  </si>
  <si>
    <t xml:space="preserve">[F0702] </t>
  </si>
  <si>
    <t xml:space="preserve">[F0703] </t>
  </si>
  <si>
    <t xml:space="preserve">[F0704] </t>
  </si>
  <si>
    <t xml:space="preserve">[F0705] </t>
  </si>
  <si>
    <t xml:space="preserve">[F0706] </t>
  </si>
  <si>
    <t xml:space="preserve">[F0707] </t>
  </si>
  <si>
    <t xml:space="preserve">[F0708] </t>
  </si>
  <si>
    <t xml:space="preserve">[F0709] </t>
  </si>
  <si>
    <t xml:space="preserve">[F0710] </t>
  </si>
  <si>
    <t xml:space="preserve">[F0711] </t>
  </si>
  <si>
    <t xml:space="preserve">[F0712] </t>
  </si>
  <si>
    <t xml:space="preserve">[F0713] </t>
  </si>
  <si>
    <t xml:space="preserve">[F0714] </t>
  </si>
  <si>
    <t xml:space="preserve">[F0715] </t>
  </si>
  <si>
    <t xml:space="preserve">[F0716] </t>
  </si>
  <si>
    <t xml:space="preserve">[F0717] </t>
  </si>
  <si>
    <t xml:space="preserve">[F0718] </t>
  </si>
  <si>
    <t xml:space="preserve">[F0719] </t>
  </si>
  <si>
    <t xml:space="preserve">[F0720] </t>
  </si>
  <si>
    <t xml:space="preserve">[F0721] </t>
  </si>
  <si>
    <t xml:space="preserve">[F0722] </t>
  </si>
  <si>
    <t xml:space="preserve">[F0723] </t>
  </si>
  <si>
    <t xml:space="preserve">[F0724] </t>
  </si>
  <si>
    <t xml:space="preserve">[F0725] </t>
  </si>
  <si>
    <t xml:space="preserve">[F0726] </t>
  </si>
  <si>
    <t xml:space="preserve">[F0727] </t>
  </si>
  <si>
    <t xml:space="preserve">[F0728] </t>
  </si>
  <si>
    <t xml:space="preserve">[F0729] </t>
  </si>
  <si>
    <t xml:space="preserve">[F0730] </t>
  </si>
  <si>
    <t xml:space="preserve">[F0731] </t>
  </si>
  <si>
    <t xml:space="preserve">[F0732] </t>
  </si>
  <si>
    <t xml:space="preserve">[F0733] </t>
  </si>
  <si>
    <t xml:space="preserve">[F0734] </t>
  </si>
  <si>
    <t xml:space="preserve">[F0735] </t>
  </si>
  <si>
    <t xml:space="preserve">[F0736] </t>
  </si>
  <si>
    <t xml:space="preserve">[F0737] </t>
  </si>
  <si>
    <t xml:space="preserve">[F0738] </t>
  </si>
  <si>
    <t xml:space="preserve">[F0739] </t>
  </si>
  <si>
    <t xml:space="preserve">[F0740] </t>
  </si>
  <si>
    <t xml:space="preserve">[F0741] </t>
  </si>
  <si>
    <t xml:space="preserve">[F0742] </t>
  </si>
  <si>
    <t xml:space="preserve">[F0743] </t>
  </si>
  <si>
    <t xml:space="preserve">[F0744] </t>
  </si>
  <si>
    <t xml:space="preserve">[F0745] </t>
  </si>
  <si>
    <t xml:space="preserve">[F0746] </t>
  </si>
  <si>
    <t xml:space="preserve">[F0747] </t>
  </si>
  <si>
    <t xml:space="preserve">[F0748] </t>
  </si>
  <si>
    <t xml:space="preserve">[F0749] </t>
  </si>
  <si>
    <t xml:space="preserve">[F0750] </t>
  </si>
  <si>
    <t xml:space="preserve">[F0751] </t>
  </si>
  <si>
    <t xml:space="preserve">[F0752] </t>
  </si>
  <si>
    <t xml:space="preserve">[F0753] </t>
  </si>
  <si>
    <t xml:space="preserve">[F0754] </t>
  </si>
  <si>
    <t xml:space="preserve">[F0755] </t>
  </si>
  <si>
    <t xml:space="preserve">[F0756] </t>
  </si>
  <si>
    <t xml:space="preserve">[F0757] </t>
  </si>
  <si>
    <t xml:space="preserve">[F0758] </t>
  </si>
  <si>
    <t xml:space="preserve">[F0759] </t>
  </si>
  <si>
    <t xml:space="preserve">[F0760] </t>
  </si>
  <si>
    <t xml:space="preserve">[F0761] </t>
  </si>
  <si>
    <t xml:space="preserve">[F0762] </t>
  </si>
  <si>
    <t xml:space="preserve">[F0763] </t>
  </si>
  <si>
    <t xml:space="preserve">[F0764] </t>
  </si>
  <si>
    <t xml:space="preserve">[F0765] </t>
  </si>
  <si>
    <t xml:space="preserve">[F0766] </t>
  </si>
  <si>
    <t xml:space="preserve">[F0767] </t>
  </si>
  <si>
    <t xml:space="preserve">[F0768] </t>
  </si>
  <si>
    <t xml:space="preserve">[F0769] </t>
  </si>
  <si>
    <t xml:space="preserve">[F0770] </t>
  </si>
  <si>
    <t xml:space="preserve">[F0771] </t>
  </si>
  <si>
    <t xml:space="preserve">[F0772] </t>
  </si>
  <si>
    <t xml:space="preserve">[F0773] </t>
  </si>
  <si>
    <t xml:space="preserve">[F0774] </t>
  </si>
  <si>
    <t xml:space="preserve">[F0775] </t>
  </si>
  <si>
    <t xml:space="preserve">[F0776] </t>
  </si>
  <si>
    <t xml:space="preserve">[F0777] </t>
  </si>
  <si>
    <t xml:space="preserve">[F0778] </t>
  </si>
  <si>
    <t xml:space="preserve">[F0779] </t>
  </si>
  <si>
    <t xml:space="preserve">[F0780] </t>
  </si>
  <si>
    <t xml:space="preserve">[F0781] </t>
  </si>
  <si>
    <t xml:space="preserve">[F0782] </t>
  </si>
  <si>
    <t xml:space="preserve">[F0783] </t>
  </si>
  <si>
    <t xml:space="preserve">[F0784] </t>
  </si>
  <si>
    <t xml:space="preserve">[F0785] </t>
  </si>
  <si>
    <t xml:space="preserve">[F0786] </t>
  </si>
  <si>
    <t xml:space="preserve">[F0787] </t>
  </si>
  <si>
    <t xml:space="preserve">[F0788] </t>
  </si>
  <si>
    <t xml:space="preserve">[F0789] </t>
  </si>
  <si>
    <t>[F0790] OP#1 서보 비상정지 알람</t>
  </si>
  <si>
    <t>[F0791] OP#2 서보 비상정지 알람</t>
  </si>
  <si>
    <t xml:space="preserve">[F0792] </t>
  </si>
  <si>
    <t xml:space="preserve">[F0793] </t>
  </si>
  <si>
    <t xml:space="preserve">[F0794] </t>
  </si>
  <si>
    <t xml:space="preserve">[F0795] </t>
  </si>
  <si>
    <t xml:space="preserve">[F0796] </t>
  </si>
  <si>
    <t xml:space="preserve">[F0797] </t>
  </si>
  <si>
    <t xml:space="preserve">[F0798] </t>
  </si>
  <si>
    <t xml:space="preserve">[F0799] </t>
  </si>
  <si>
    <t>[F0800] 댐핑시트 테이블#1 모델 지그 불일치 이상 (X390, X391, X392, X393)</t>
  </si>
  <si>
    <t xml:space="preserve">[F0801] </t>
  </si>
  <si>
    <t xml:space="preserve">[F0802] </t>
  </si>
  <si>
    <t xml:space="preserve">[F0803] </t>
  </si>
  <si>
    <t xml:space="preserve">[F0804] </t>
  </si>
  <si>
    <t xml:space="preserve">[F0805] </t>
  </si>
  <si>
    <t xml:space="preserve">[F0806] </t>
  </si>
  <si>
    <t xml:space="preserve">[F0807] </t>
  </si>
  <si>
    <t xml:space="preserve">[F0808] </t>
  </si>
  <si>
    <t xml:space="preserve">[F0809] </t>
  </si>
  <si>
    <t xml:space="preserve">[F0810] </t>
  </si>
  <si>
    <t xml:space="preserve">[F0811] </t>
  </si>
  <si>
    <t xml:space="preserve">[F0812] </t>
  </si>
  <si>
    <t xml:space="preserve">[F0813] </t>
  </si>
  <si>
    <t xml:space="preserve">[F0814] </t>
  </si>
  <si>
    <t xml:space="preserve">[F0815] </t>
  </si>
  <si>
    <t xml:space="preserve">[F0816] </t>
  </si>
  <si>
    <t xml:space="preserve">[F0817] </t>
  </si>
  <si>
    <t xml:space="preserve">[F0818] </t>
  </si>
  <si>
    <t>[F0819] 댐핑시트 테이블#1 제품 데이터 불일치 이상 (X388)</t>
  </si>
  <si>
    <t>[F0820] 댐핑시트 테이블#2 모델 지그 불일치 이상 (X394, X395, X396, X397)</t>
  </si>
  <si>
    <t xml:space="preserve">[F0821] </t>
  </si>
  <si>
    <t xml:space="preserve">[F0822] </t>
  </si>
  <si>
    <t xml:space="preserve">[F0823] </t>
  </si>
  <si>
    <t xml:space="preserve">[F0824] </t>
  </si>
  <si>
    <t xml:space="preserve">[F0825] </t>
  </si>
  <si>
    <t xml:space="preserve">[F0826] </t>
  </si>
  <si>
    <t xml:space="preserve">[F0827] </t>
  </si>
  <si>
    <t xml:space="preserve">[F0828] </t>
  </si>
  <si>
    <t xml:space="preserve">[F0829] </t>
  </si>
  <si>
    <t xml:space="preserve">[F0830] </t>
  </si>
  <si>
    <t xml:space="preserve">[F0831] </t>
  </si>
  <si>
    <t xml:space="preserve">[F0832] </t>
  </si>
  <si>
    <t xml:space="preserve">[F0833] </t>
  </si>
  <si>
    <t xml:space="preserve">[F0834] </t>
  </si>
  <si>
    <t xml:space="preserve">[F0835] </t>
  </si>
  <si>
    <t xml:space="preserve">[F0836] </t>
  </si>
  <si>
    <t xml:space="preserve">[F0837] </t>
  </si>
  <si>
    <t xml:space="preserve">[F0838] </t>
  </si>
  <si>
    <t>[F0839] 댐핑시트 테이블#2 제품 데이터 불일치 이상 (X389)</t>
  </si>
  <si>
    <t>[F0840] 댐핑시트 이재기 진공#1 On 시간초과 (Y3D0, X3C0, X3C1)</t>
  </si>
  <si>
    <t>[F0841] 댐핑시트 이재기 진공#1 Off 시간초과 (Y3D1, X3C2, X3C3)</t>
  </si>
  <si>
    <t>[F0842] 댐핑시트 이재기 진공#2 On 시간초과 (Y3D3, X3C4, X3C5)</t>
  </si>
  <si>
    <t>[F0843] 댐핑시트 이재기 진공#2 Off 시간초과 (Y3D4, X3C6, X3C7)</t>
  </si>
  <si>
    <t>[F0844] 댐핑시트 이재기 진공#3 On 시간초과 (Y3D6, X3C8, X3C9)</t>
  </si>
  <si>
    <t>[F0845] 댐핑시트 이재기 진공#3 Off 시간초과 (Y3D7, X3CA, X3CB)</t>
  </si>
  <si>
    <t>[F0846] 댐핑시트 이재기 진공#4 On 시간초과 (Y3D9, X3CC, X3CD)</t>
  </si>
  <si>
    <t>[F0847] 댐핑시트 이재기 진공#4 Off 시간초과 (Y3DA, X3CE, X3CF)</t>
  </si>
  <si>
    <t xml:space="preserve">[F0848] </t>
  </si>
  <si>
    <t xml:space="preserve">[F0849] </t>
  </si>
  <si>
    <t>[F0850] 댐핑시트 이재기 제품 수취 시간초과</t>
  </si>
  <si>
    <t>[F0851] 댐핑시트 이재기 제품 배출 시간초과</t>
  </si>
  <si>
    <t>[F0852] 댐핑시트 이재기 제품 수취#1 시퀀스 이상</t>
  </si>
  <si>
    <t>[F0853] 댐핑시트 이재기 제품 수취#2 시퀀스 이상</t>
  </si>
  <si>
    <t>[F0854] 댐핑시트 이재기 제품 베츨 시퀀스 이상</t>
  </si>
  <si>
    <t xml:space="preserve">[F0855] </t>
  </si>
  <si>
    <t xml:space="preserve">[F0856] </t>
  </si>
  <si>
    <t xml:space="preserve">[F0857] </t>
  </si>
  <si>
    <t xml:space="preserve">[F0858] </t>
  </si>
  <si>
    <t>[F0859] 댐핑시트 이재기 제품 데이터 불일치 이상</t>
  </si>
  <si>
    <t>[F0860] 슬레이트 컨베어 정위치 이상 (X4AC, X4AD)</t>
  </si>
  <si>
    <t>[F0861] Slat_C/V 상부#1 SCR#1 이상 Alarm</t>
  </si>
  <si>
    <t>[F0862] Slat_C/V 하부#1 SCR#2 이상 Alarm</t>
  </si>
  <si>
    <t>[F0863] Slat_C/V 상부#2 SCR#3 이상 Alarm</t>
  </si>
  <si>
    <t>[F0864] Slat_C/V 하부#2 SCR#4 이상 Alarm</t>
  </si>
  <si>
    <t>[F0865] Slat_C/V 상부#3 SCR#5 이상 Alarm</t>
  </si>
  <si>
    <t>[F0866] Slat_C/V 하부#3 SCR#6 이상 Alarm</t>
  </si>
  <si>
    <t>[F0867] Slat_C/V 상부#4 SCR#7 이상 Alarm</t>
  </si>
  <si>
    <t>[F0868] Slat_C/V 하부#4 SCR#8 이상 Alarm</t>
  </si>
  <si>
    <t>[F0869] Slat_C/V 상부#5 SCR#9 이상 Alarm</t>
  </si>
  <si>
    <t>[F0870] Slat_C/V 하부#5 SCR#10 이상 Alarm</t>
  </si>
  <si>
    <t>[F0871] Slat_C/V 상부#6 SCR#11 이상 Alarm</t>
  </si>
  <si>
    <t>[F0872] Slat_C/V 하부#6 SCR#12 이상 Alarm</t>
  </si>
  <si>
    <t xml:space="preserve">[F0873] </t>
  </si>
  <si>
    <t>[F0874] 슬랫 컨베어 #2 위치 제품 투입 방향 NG 에러</t>
  </si>
  <si>
    <t>[F0875] 슬레이트 컨베어 제품 투입 제품 데이터 불일치 이상 (X3CB)</t>
  </si>
  <si>
    <t>[F0876] 슬레이트 컨베어 댐핑시트 제품 데이터 불일치 이상 (X3CC)</t>
  </si>
  <si>
    <t>[F0877] 슬레이트 컨베어 언로더 제품 데이터 불일치 이상 (X4AE)</t>
  </si>
  <si>
    <t>[F0878] 슬레이트 컨베어 쿨링공급 제품 데이터 불일치 이상 (X4A5)</t>
  </si>
  <si>
    <t>[F0879] 슬레이트 컨베어 쿨링배출 제품 데이터 불일치 이상 (X4AB)</t>
  </si>
  <si>
    <t>[F0880] 쿨링 공급 캐비티 제품 수취 시간초과</t>
  </si>
  <si>
    <t>[F0881] 쿨링 공급 캐비티 제품 배출 시간초과</t>
  </si>
  <si>
    <t>[F0882] 쿨링 공급 캐비티 제품 수취 시퀀스 이상</t>
  </si>
  <si>
    <t xml:space="preserve">[F0883] </t>
  </si>
  <si>
    <t>[F0884] 쿨링 공급 캐비티 제품 베츨 시퀀스 이상</t>
  </si>
  <si>
    <t xml:space="preserve">[F0885] </t>
  </si>
  <si>
    <t xml:space="preserve">[F0886] </t>
  </si>
  <si>
    <t xml:space="preserve">[F0887] </t>
  </si>
  <si>
    <t xml:space="preserve">[F0888] </t>
  </si>
  <si>
    <t xml:space="preserve">[F0889] </t>
  </si>
  <si>
    <t xml:space="preserve">[F0890] </t>
  </si>
  <si>
    <t xml:space="preserve">[F0891] </t>
  </si>
  <si>
    <t xml:space="preserve">[F0892] </t>
  </si>
  <si>
    <t xml:space="preserve">[F0893] </t>
  </si>
  <si>
    <t xml:space="preserve">[F0894] </t>
  </si>
  <si>
    <t xml:space="preserve">[F0895] </t>
  </si>
  <si>
    <t xml:space="preserve">[F0896] </t>
  </si>
  <si>
    <t xml:space="preserve">[F0897] </t>
  </si>
  <si>
    <t xml:space="preserve">[F0898] </t>
  </si>
  <si>
    <t>[F0899] 쿨링 공급 캐비티 제품 데이터 불일치 이상 (X4A5)</t>
  </si>
  <si>
    <t>[F0900] 쿨링 공급 Z축 피치 이동 정지 위치 이상 (X499)</t>
  </si>
  <si>
    <t>[F0901] 쿨링 공급 Z축 피치 이동 위치 이상</t>
  </si>
  <si>
    <t xml:space="preserve">[F0902] </t>
  </si>
  <si>
    <t xml:space="preserve">[F0903] </t>
  </si>
  <si>
    <t xml:space="preserve">[F0904] </t>
  </si>
  <si>
    <t xml:space="preserve">[F0905] </t>
  </si>
  <si>
    <t xml:space="preserve">[F0906] </t>
  </si>
  <si>
    <t xml:space="preserve">[F0907] </t>
  </si>
  <si>
    <t xml:space="preserve">[F0908] </t>
  </si>
  <si>
    <t xml:space="preserve">[F0909] </t>
  </si>
  <si>
    <t>[F0910] 쿨링 공급 Z축 메인 시퀀스 이상</t>
  </si>
  <si>
    <t>[F0911] 쿨링 공급 Z축 피치 이동 시간초과</t>
  </si>
  <si>
    <t xml:space="preserve">[F0912] </t>
  </si>
  <si>
    <t xml:space="preserve">[F0913] </t>
  </si>
  <si>
    <t xml:space="preserve">[F0914] </t>
  </si>
  <si>
    <t xml:space="preserve">[F0915] </t>
  </si>
  <si>
    <t xml:space="preserve">[F0916] </t>
  </si>
  <si>
    <t xml:space="preserve">[F0917] </t>
  </si>
  <si>
    <t xml:space="preserve">[F0918] </t>
  </si>
  <si>
    <t>[F0919] 쿨링 공급 Z축 제품 데이터 불일치 이상 (X49E)</t>
  </si>
  <si>
    <t>[F0920] 쿨링 이재기 클램프R 전진 시간초과 (Y4B1, X487, X48B, X48F, X493)</t>
  </si>
  <si>
    <t>[F0921] 쿨링 이재기 클램프R 후진 시간초과 (Y4B0, X486, X48A, X48E, X492)</t>
  </si>
  <si>
    <t>[F0922] 쿨링 이재기 클램프R 전진/후진 센서이상 (X487, X48B, X48F, X493, X486, X48A, X48E, X492)</t>
  </si>
  <si>
    <t>[F0923] 쿨링 이재기 클램프L 전진 시간초과 (Y4B3, X485, X489, X48D, X491)</t>
  </si>
  <si>
    <t>[F0924] 쿨링 이재기 클램프L 후진 시간초과 (Y4B2, X484, X488, X48C, X490)</t>
  </si>
  <si>
    <t>[F0925] 쿨링 이재기 클램프L 전진/후진 센서이상 (X485, X489, X48D, X491, X484, X488, X48C, X490)</t>
  </si>
  <si>
    <t xml:space="preserve">[F0926] </t>
  </si>
  <si>
    <t xml:space="preserve">[F0927] </t>
  </si>
  <si>
    <t xml:space="preserve">[F0928] </t>
  </si>
  <si>
    <t xml:space="preserve">[F0929] </t>
  </si>
  <si>
    <t>[F0930] 쿨링 이재기 제품수취 시간초과</t>
  </si>
  <si>
    <t>[F0931] 쿨링 이재기 제품배출 시간초과</t>
  </si>
  <si>
    <t>[F0932] 쿨링 이재기 제품 수취 시퀀스 이상</t>
  </si>
  <si>
    <t xml:space="preserve">[F0933] </t>
  </si>
  <si>
    <t>[F0934] 쿨링 이재기 제품 배출 시퀀스 이상</t>
  </si>
  <si>
    <t xml:space="preserve">[F0935] </t>
  </si>
  <si>
    <t xml:space="preserve">[F0936] </t>
  </si>
  <si>
    <t xml:space="preserve">[F0937] </t>
  </si>
  <si>
    <t xml:space="preserve">[F0938] </t>
  </si>
  <si>
    <t>[F0939] 쿨링 이재기 제품 데이터 불일치 이상 (X482)</t>
  </si>
  <si>
    <t>[F0940] 쿨링 배출 Z축 피치 이동 정지 위치 이상 (X498)</t>
  </si>
  <si>
    <t>[F0941] 쿨링 배출 Z축 피치 이동 위치 이상</t>
  </si>
  <si>
    <t xml:space="preserve">[F0942] </t>
  </si>
  <si>
    <t xml:space="preserve">[F0943] </t>
  </si>
  <si>
    <t xml:space="preserve">[F0944] </t>
  </si>
  <si>
    <t xml:space="preserve">[F0945] </t>
  </si>
  <si>
    <t xml:space="preserve">[F0946] </t>
  </si>
  <si>
    <t xml:space="preserve">[F0947] </t>
  </si>
  <si>
    <t xml:space="preserve">[F0948] </t>
  </si>
  <si>
    <t xml:space="preserve">[F0949] </t>
  </si>
  <si>
    <t>[F0950] 쿨링 배출 Z축 메인 시퀀스 이상</t>
  </si>
  <si>
    <t>[F0951] 쿨링 배출 Z축 피치 이동 시간초과</t>
  </si>
  <si>
    <t xml:space="preserve">[F0952] </t>
  </si>
  <si>
    <t xml:space="preserve">[F0953] </t>
  </si>
  <si>
    <t xml:space="preserve">[F0954] </t>
  </si>
  <si>
    <t xml:space="preserve">[F0955] </t>
  </si>
  <si>
    <t xml:space="preserve">[F0956] </t>
  </si>
  <si>
    <t xml:space="preserve">[F0957] </t>
  </si>
  <si>
    <t>[F0958] 쿨링 배출 Z축 상부 제품 데이터 불일치 이상 (X49F)</t>
  </si>
  <si>
    <t>[F0959] 쿨링 배출 Z축 하부 제품 데이터 불일치 이상 (X3CA)</t>
  </si>
  <si>
    <t>[F0960] 쿨링 배출 캐비티 제품 수취 시간초과</t>
  </si>
  <si>
    <t>[F0961] 쿨링 배출 캐비티 제품 배출 시간초과</t>
  </si>
  <si>
    <t>[F0962] 쿨링 배출 캐비티 제품 수취 시퀀스 이상</t>
  </si>
  <si>
    <t xml:space="preserve">[F0963] </t>
  </si>
  <si>
    <t>[F0964] 쿨링 배출 캐비티 제품 베츨 시퀀스 이상</t>
  </si>
  <si>
    <t xml:space="preserve">[F0965] </t>
  </si>
  <si>
    <t xml:space="preserve">[F0966] </t>
  </si>
  <si>
    <t xml:space="preserve">[F0967] </t>
  </si>
  <si>
    <t xml:space="preserve">[F0968] </t>
  </si>
  <si>
    <t xml:space="preserve">[F0969] </t>
  </si>
  <si>
    <t xml:space="preserve">[F0970] </t>
  </si>
  <si>
    <t xml:space="preserve">[F0971] </t>
  </si>
  <si>
    <t xml:space="preserve">[F0972] </t>
  </si>
  <si>
    <t xml:space="preserve">[F0973] </t>
  </si>
  <si>
    <t xml:space="preserve">[F0974] </t>
  </si>
  <si>
    <t xml:space="preserve">[F0975] </t>
  </si>
  <si>
    <t xml:space="preserve">[F0976] </t>
  </si>
  <si>
    <t xml:space="preserve">[F0977] </t>
  </si>
  <si>
    <t xml:space="preserve">[F0978] </t>
  </si>
  <si>
    <t>[F0979] 쿨링 배출 캐비티 제품 데이터 불일치 이상 (X3CA)</t>
  </si>
  <si>
    <t>[F0980] 컨베어 언로더 이재기 클램프R 전진 시간 초과 (Y4BB, X667, X66B, X66F, X673)</t>
  </si>
  <si>
    <t>[F0981] 컨베어 언로더 이재기 클램프R 후진 시간 초과 (Y4BC, X666, X66A, X66E, X672)</t>
  </si>
  <si>
    <t>[F0982] 컨베어 언로더 이재기 클램프R 전진/후진 시간 초과 (X667, X66B, X66F, X673, X666, X66A, X66E, X672)</t>
  </si>
  <si>
    <t>[F0983] 컨베어 언로더 이재기 클램프L 전진 시간 초과 (Y489, X665, X669, X66D, X671)</t>
  </si>
  <si>
    <t>[F0984] 컨베어 언로더 이재기 클램프L 후진 시간 초과 (Y48A, X664, X668, X66C, X670)</t>
  </si>
  <si>
    <t>[F0985] 컨베어 언로더 이재기 클램프L 전진/후진 시간 초과 (X665, X669, X66D, X671, X664, X668, X66C, X670)</t>
  </si>
  <si>
    <t xml:space="preserve">[F0986] </t>
  </si>
  <si>
    <t xml:space="preserve">[F0987] </t>
  </si>
  <si>
    <t xml:space="preserve">[F0988] </t>
  </si>
  <si>
    <t xml:space="preserve">[F0989] </t>
  </si>
  <si>
    <t>[F0990] 컨베어 언로더 이재기 제품수취 시간초과</t>
  </si>
  <si>
    <t>[F0991] 컨베어 언로더 이재기 제품배출 시간초과</t>
  </si>
  <si>
    <t>[F0992] 컨베어 언로더 이재기 제품 수취 시퀀스 이상</t>
  </si>
  <si>
    <t xml:space="preserve">[F0993] </t>
  </si>
  <si>
    <t>[F0994] 컨베어 언로더 이재기 제품 배출 시퀀스 이상</t>
  </si>
  <si>
    <t xml:space="preserve">[F0995] </t>
  </si>
  <si>
    <t xml:space="preserve">[F0996] </t>
  </si>
  <si>
    <t xml:space="preserve">[F0997] </t>
  </si>
  <si>
    <t xml:space="preserve">[F0998] </t>
  </si>
  <si>
    <t>[F0999] 컨베어 언로더 이재기 제품 데이터 불일치 이상 (X662)</t>
  </si>
  <si>
    <t xml:space="preserve">[F1020] </t>
  </si>
  <si>
    <t xml:space="preserve">[F1021] </t>
  </si>
  <si>
    <t xml:space="preserve">[F1022] </t>
  </si>
  <si>
    <t xml:space="preserve">[F1023] </t>
  </si>
  <si>
    <t xml:space="preserve">[F1024] </t>
  </si>
  <si>
    <t xml:space="preserve">[F1025] </t>
  </si>
  <si>
    <t xml:space="preserve">[F1026] </t>
  </si>
  <si>
    <t xml:space="preserve">[F1027] </t>
  </si>
  <si>
    <t xml:space="preserve">[F1028] </t>
  </si>
  <si>
    <t xml:space="preserve">[F1029] </t>
  </si>
  <si>
    <t xml:space="preserve">[F1035] </t>
  </si>
  <si>
    <t xml:space="preserve">[F1055] </t>
  </si>
  <si>
    <t xml:space="preserve">[F1056] </t>
  </si>
  <si>
    <t xml:space="preserve">[F1057] </t>
  </si>
  <si>
    <t xml:space="preserve">[F1058] </t>
  </si>
  <si>
    <t xml:space="preserve">[F1059] </t>
  </si>
  <si>
    <t xml:space="preserve">[F1060] </t>
  </si>
  <si>
    <t xml:space="preserve">[F1061] </t>
  </si>
  <si>
    <t xml:space="preserve">[F1062] </t>
  </si>
  <si>
    <t xml:space="preserve">[F1063] </t>
  </si>
  <si>
    <t xml:space="preserve">[F1064] </t>
  </si>
  <si>
    <t xml:space="preserve">[F1065] </t>
  </si>
  <si>
    <t xml:space="preserve">[F1066] </t>
  </si>
  <si>
    <t xml:space="preserve">[F1067] </t>
  </si>
  <si>
    <t xml:space="preserve">[F1068] </t>
  </si>
  <si>
    <t xml:space="preserve">[F1069] </t>
  </si>
  <si>
    <t xml:space="preserve">[F1075] </t>
  </si>
  <si>
    <t xml:space="preserve">[F1076] </t>
  </si>
  <si>
    <t xml:space="preserve">[F1077] </t>
  </si>
  <si>
    <t xml:space="preserve">[F1078] </t>
  </si>
  <si>
    <t xml:space="preserve">[F1083] </t>
  </si>
  <si>
    <t xml:space="preserve">[F1084] </t>
  </si>
  <si>
    <t xml:space="preserve">[F1087] </t>
  </si>
  <si>
    <t xml:space="preserve">[F1088] </t>
  </si>
  <si>
    <t xml:space="preserve">[F1089] </t>
  </si>
  <si>
    <t xml:space="preserve">[F1093] </t>
  </si>
  <si>
    <t xml:space="preserve">[F1095] </t>
  </si>
  <si>
    <t xml:space="preserve">[F1096] </t>
  </si>
  <si>
    <t xml:space="preserve">[F1097] </t>
  </si>
  <si>
    <t xml:space="preserve">[F1098] </t>
  </si>
  <si>
    <t xml:space="preserve">[F1109] </t>
  </si>
  <si>
    <t xml:space="preserve">[F1113] </t>
  </si>
  <si>
    <t xml:space="preserve">[F1115] </t>
  </si>
  <si>
    <t xml:space="preserve">[F1116] </t>
  </si>
  <si>
    <t xml:space="preserve">[F1117] </t>
  </si>
  <si>
    <t xml:space="preserve">[F1118] </t>
  </si>
  <si>
    <t xml:space="preserve">[F1123] </t>
  </si>
  <si>
    <t xml:space="preserve">[F1124] </t>
  </si>
  <si>
    <t xml:space="preserve">[F1140] </t>
  </si>
  <si>
    <t xml:space="preserve">[F1141] </t>
  </si>
  <si>
    <t xml:space="preserve">[F1142] </t>
  </si>
  <si>
    <t xml:space="preserve">[F1143] </t>
  </si>
  <si>
    <t xml:space="preserve">[F1144] </t>
  </si>
  <si>
    <t xml:space="preserve">[F1145] </t>
  </si>
  <si>
    <t xml:space="preserve">[F1146] </t>
  </si>
  <si>
    <t xml:space="preserve">[F1147] </t>
  </si>
  <si>
    <t xml:space="preserve">[F1148] </t>
  </si>
  <si>
    <t xml:space="preserve">[F1149] </t>
  </si>
  <si>
    <t xml:space="preserve">[F1150] </t>
  </si>
  <si>
    <t xml:space="preserve">[F1151] </t>
  </si>
  <si>
    <t xml:space="preserve">[F1152] </t>
  </si>
  <si>
    <t xml:space="preserve">[F1154] </t>
  </si>
  <si>
    <t xml:space="preserve">[F1155] </t>
  </si>
  <si>
    <t xml:space="preserve">[F1156] </t>
  </si>
  <si>
    <t xml:space="preserve">[F1157] </t>
  </si>
  <si>
    <t xml:space="preserve">[F1158] </t>
  </si>
  <si>
    <t xml:space="preserve">[F1166] </t>
  </si>
  <si>
    <t xml:space="preserve">[F1167] </t>
  </si>
  <si>
    <t xml:space="preserve">[F1168] </t>
  </si>
  <si>
    <t xml:space="preserve">[F1169] </t>
  </si>
  <si>
    <t xml:space="preserve">[F1173] </t>
  </si>
  <si>
    <t xml:space="preserve">[F1186] </t>
  </si>
  <si>
    <t xml:space="preserve">[F1187] </t>
  </si>
  <si>
    <t xml:space="preserve">[F1188] </t>
  </si>
  <si>
    <t xml:space="preserve">[F1189] </t>
  </si>
  <si>
    <t xml:space="preserve">[F1193] </t>
  </si>
  <si>
    <t xml:space="preserve">[F1195] </t>
  </si>
  <si>
    <t xml:space="preserve">[F1196] </t>
  </si>
  <si>
    <t xml:space="preserve">[F1197] </t>
  </si>
  <si>
    <t xml:space="preserve">[F1198] </t>
  </si>
  <si>
    <t xml:space="preserve">[F1206] </t>
  </si>
  <si>
    <t xml:space="preserve">[F1207] </t>
  </si>
  <si>
    <t xml:space="preserve">[F1208] </t>
  </si>
  <si>
    <t xml:space="preserve">[F1209] </t>
  </si>
  <si>
    <t xml:space="preserve">[F1213] </t>
  </si>
  <si>
    <t xml:space="preserve">[F1215] </t>
  </si>
  <si>
    <t xml:space="preserve">[F1216] </t>
  </si>
  <si>
    <t xml:space="preserve">[F1217] </t>
  </si>
  <si>
    <t xml:space="preserve">[F1218] </t>
  </si>
  <si>
    <t xml:space="preserve">[F1229] </t>
  </si>
  <si>
    <t xml:space="preserve">[F1235] </t>
  </si>
  <si>
    <t xml:space="preserve">[F1236] </t>
  </si>
  <si>
    <t xml:space="preserve">[F1237] </t>
  </si>
  <si>
    <t xml:space="preserve">[F1238] </t>
  </si>
  <si>
    <t xml:space="preserve">[F1240] </t>
  </si>
  <si>
    <t xml:space="preserve">[F1241] </t>
  </si>
  <si>
    <t xml:space="preserve">[F1242] </t>
  </si>
  <si>
    <t xml:space="preserve">[F1243] </t>
  </si>
  <si>
    <t xml:space="preserve">[F1244] </t>
  </si>
  <si>
    <t xml:space="preserve">[F1245] </t>
  </si>
  <si>
    <t xml:space="preserve">[F1246] </t>
  </si>
  <si>
    <t xml:space="preserve">[F1247] </t>
  </si>
  <si>
    <t xml:space="preserve">[F1248] </t>
  </si>
  <si>
    <t xml:space="preserve">[F1249] </t>
  </si>
  <si>
    <t xml:space="preserve">[F1250] </t>
  </si>
  <si>
    <t xml:space="preserve">[F1251] </t>
  </si>
  <si>
    <t xml:space="preserve">[F1252] </t>
  </si>
  <si>
    <t xml:space="preserve">[F1253] </t>
  </si>
  <si>
    <t xml:space="preserve">[F1254] </t>
  </si>
  <si>
    <t xml:space="preserve">[F1255] </t>
  </si>
  <si>
    <t xml:space="preserve">[F1256] </t>
  </si>
  <si>
    <t xml:space="preserve">[F1257] </t>
  </si>
  <si>
    <t xml:space="preserve">[F1258] </t>
  </si>
  <si>
    <t xml:space="preserve">[F1259] </t>
  </si>
  <si>
    <t xml:space="preserve">[F1273] </t>
  </si>
  <si>
    <t xml:space="preserve">[F1274] </t>
  </si>
  <si>
    <t xml:space="preserve">[F1275] </t>
  </si>
  <si>
    <t xml:space="preserve">[F1276] </t>
  </si>
  <si>
    <t xml:space="preserve">[F1277] </t>
  </si>
  <si>
    <t xml:space="preserve">[F1278] </t>
  </si>
  <si>
    <t xml:space="preserve">[F1279] </t>
  </si>
  <si>
    <t xml:space="preserve">[F1280] </t>
  </si>
  <si>
    <t xml:space="preserve">[F1281] </t>
  </si>
  <si>
    <t xml:space="preserve">[F1282] </t>
  </si>
  <si>
    <t xml:space="preserve">[F1283] </t>
  </si>
  <si>
    <t xml:space="preserve">[F1284] </t>
  </si>
  <si>
    <t xml:space="preserve">[F1285] </t>
  </si>
  <si>
    <t xml:space="preserve">[F1286] </t>
  </si>
  <si>
    <t xml:space="preserve">[F1287] </t>
  </si>
  <si>
    <t xml:space="preserve">[F1288] </t>
  </si>
  <si>
    <t xml:space="preserve">[F1289] </t>
  </si>
  <si>
    <t xml:space="preserve">[F1290] </t>
  </si>
  <si>
    <t xml:space="preserve">[F1291] </t>
  </si>
  <si>
    <t xml:space="preserve">[F1292] </t>
  </si>
  <si>
    <t xml:space="preserve">[F1293] </t>
  </si>
  <si>
    <t xml:space="preserve">[F1294] </t>
  </si>
  <si>
    <t xml:space="preserve">[F1295] </t>
  </si>
  <si>
    <t xml:space="preserve">[F1296] </t>
  </si>
  <si>
    <t xml:space="preserve">[F1297] </t>
  </si>
  <si>
    <t xml:space="preserve">[F1298] </t>
  </si>
  <si>
    <t xml:space="preserve">[F1299] </t>
  </si>
  <si>
    <t xml:space="preserve">[F1300] </t>
  </si>
  <si>
    <t xml:space="preserve">[F1301] </t>
  </si>
  <si>
    <t xml:space="preserve">[F1302] </t>
  </si>
  <si>
    <t xml:space="preserve">[F1303] </t>
  </si>
  <si>
    <t xml:space="preserve">[F1304] </t>
  </si>
  <si>
    <t xml:space="preserve">[F1305] </t>
  </si>
  <si>
    <t xml:space="preserve">[F1306] </t>
  </si>
  <si>
    <t xml:space="preserve">[F1307] </t>
  </si>
  <si>
    <t xml:space="preserve">[F1308] </t>
  </si>
  <si>
    <t xml:space="preserve">[F1309] </t>
  </si>
  <si>
    <t xml:space="preserve">[F1310] </t>
  </si>
  <si>
    <t xml:space="preserve">[F1311] </t>
  </si>
  <si>
    <t xml:space="preserve">[F1312] </t>
  </si>
  <si>
    <t xml:space="preserve">[F1313] </t>
  </si>
  <si>
    <t xml:space="preserve">[F1314] </t>
  </si>
  <si>
    <t xml:space="preserve">[F1315] </t>
  </si>
  <si>
    <t xml:space="preserve">[F1316] </t>
  </si>
  <si>
    <t xml:space="preserve">[F1317] </t>
  </si>
  <si>
    <t xml:space="preserve">[F1318] </t>
  </si>
  <si>
    <t xml:space="preserve">[F1319] </t>
  </si>
  <si>
    <t xml:space="preserve">[F1320] </t>
  </si>
  <si>
    <t xml:space="preserve">[F1321] </t>
  </si>
  <si>
    <t xml:space="preserve">[F1322] </t>
  </si>
  <si>
    <t xml:space="preserve">[F1323] </t>
  </si>
  <si>
    <t xml:space="preserve">[F1324] </t>
  </si>
  <si>
    <t xml:space="preserve">[F1325] </t>
  </si>
  <si>
    <t xml:space="preserve">[F1326] </t>
  </si>
  <si>
    <t xml:space="preserve">[F1327] </t>
  </si>
  <si>
    <t xml:space="preserve">[F1328] </t>
  </si>
  <si>
    <t xml:space="preserve">[F1329] </t>
  </si>
  <si>
    <t xml:space="preserve">[F1330] </t>
  </si>
  <si>
    <t xml:space="preserve">[F1331] </t>
  </si>
  <si>
    <t xml:space="preserve">[F1332] </t>
  </si>
  <si>
    <t xml:space="preserve">[F1333] </t>
  </si>
  <si>
    <t xml:space="preserve">[F1334] </t>
  </si>
  <si>
    <t xml:space="preserve">[F1335] </t>
  </si>
  <si>
    <t xml:space="preserve">[F1336] </t>
  </si>
  <si>
    <t xml:space="preserve">[F1337] </t>
  </si>
  <si>
    <t xml:space="preserve">[F1338] </t>
  </si>
  <si>
    <t xml:space="preserve">[F1339] </t>
  </si>
  <si>
    <t xml:space="preserve">[F1340] </t>
  </si>
  <si>
    <t xml:space="preserve">[F1341] </t>
  </si>
  <si>
    <t xml:space="preserve">[F1342] </t>
  </si>
  <si>
    <t xml:space="preserve">[F1343] </t>
  </si>
  <si>
    <t xml:space="preserve">[F1344] </t>
  </si>
  <si>
    <t xml:space="preserve">[F1345] </t>
  </si>
  <si>
    <t xml:space="preserve">[F1346] </t>
  </si>
  <si>
    <t xml:space="preserve">[F1347] </t>
  </si>
  <si>
    <t xml:space="preserve">[F1348] </t>
  </si>
  <si>
    <t xml:space="preserve">[F1349] </t>
  </si>
  <si>
    <t xml:space="preserve">[F1350] </t>
  </si>
  <si>
    <t xml:space="preserve">[F1351] </t>
  </si>
  <si>
    <t xml:space="preserve">[F1352] </t>
  </si>
  <si>
    <t xml:space="preserve">[F1353] </t>
  </si>
  <si>
    <t xml:space="preserve">[F1354] </t>
  </si>
  <si>
    <t xml:space="preserve">[F1355] </t>
  </si>
  <si>
    <t xml:space="preserve">[F1356] </t>
  </si>
  <si>
    <t xml:space="preserve">[F1357] </t>
  </si>
  <si>
    <t xml:space="preserve">[F1358] </t>
  </si>
  <si>
    <t xml:space="preserve">[F1359] </t>
  </si>
  <si>
    <t xml:space="preserve">[F1360] </t>
  </si>
  <si>
    <t xml:space="preserve">[F1361] </t>
  </si>
  <si>
    <t xml:space="preserve">[F1362] </t>
  </si>
  <si>
    <t xml:space="preserve">[F1363] </t>
  </si>
  <si>
    <t xml:space="preserve">[F1364] </t>
  </si>
  <si>
    <t xml:space="preserve">[F1365] </t>
  </si>
  <si>
    <t xml:space="preserve">[F1366] </t>
  </si>
  <si>
    <t xml:space="preserve">[F1367] </t>
  </si>
  <si>
    <t xml:space="preserve">[F1368] </t>
  </si>
  <si>
    <t xml:space="preserve">[F1369] </t>
  </si>
  <si>
    <t xml:space="preserve">[F1370] </t>
  </si>
  <si>
    <t xml:space="preserve">[F1371] </t>
  </si>
  <si>
    <t xml:space="preserve">[F1372] </t>
  </si>
  <si>
    <t xml:space="preserve">[F1373] </t>
  </si>
  <si>
    <t xml:space="preserve">[F1374] </t>
  </si>
  <si>
    <t xml:space="preserve">[F1375] </t>
  </si>
  <si>
    <t xml:space="preserve">[F1376] </t>
  </si>
  <si>
    <t xml:space="preserve">[F1377] </t>
  </si>
  <si>
    <t xml:space="preserve">[F1378] </t>
  </si>
  <si>
    <t xml:space="preserve">[F1379] </t>
  </si>
  <si>
    <t xml:space="preserve">[F1380] </t>
  </si>
  <si>
    <t xml:space="preserve">[F1381] </t>
  </si>
  <si>
    <t xml:space="preserve">[F1382] </t>
  </si>
  <si>
    <t xml:space="preserve">[F1383] </t>
  </si>
  <si>
    <t xml:space="preserve">[F1384] </t>
  </si>
  <si>
    <t xml:space="preserve">[F1385] </t>
  </si>
  <si>
    <t xml:space="preserve">[F1386] </t>
  </si>
  <si>
    <t xml:space="preserve">[F1387] </t>
  </si>
  <si>
    <t xml:space="preserve">[F1388] </t>
  </si>
  <si>
    <t xml:space="preserve">[F1389] </t>
  </si>
  <si>
    <t xml:space="preserve">[F1390] </t>
  </si>
  <si>
    <t xml:space="preserve">[F1391] </t>
  </si>
  <si>
    <t xml:space="preserve">[F1392] </t>
  </si>
  <si>
    <t xml:space="preserve">[F1393] </t>
  </si>
  <si>
    <t xml:space="preserve">[F1394] </t>
  </si>
  <si>
    <t xml:space="preserve">[F1395] </t>
  </si>
  <si>
    <t xml:space="preserve">[F1396] </t>
  </si>
  <si>
    <t xml:space="preserve">[F1397] </t>
  </si>
  <si>
    <t xml:space="preserve">[F1398] </t>
  </si>
  <si>
    <t xml:space="preserve">[F1399] </t>
  </si>
  <si>
    <t xml:space="preserve">[F1400] </t>
  </si>
  <si>
    <t xml:space="preserve">[F1401] </t>
  </si>
  <si>
    <t xml:space="preserve">[F1402] </t>
  </si>
  <si>
    <t xml:space="preserve">[F1403] </t>
  </si>
  <si>
    <t xml:space="preserve">[F1404] </t>
  </si>
  <si>
    <t xml:space="preserve">[F1405] </t>
  </si>
  <si>
    <t xml:space="preserve">[F1406] </t>
  </si>
  <si>
    <t xml:space="preserve">[F1407] </t>
  </si>
  <si>
    <t xml:space="preserve">[F1408] </t>
  </si>
  <si>
    <t xml:space="preserve">[F1409] </t>
  </si>
  <si>
    <t xml:space="preserve">[F1410] </t>
  </si>
  <si>
    <t xml:space="preserve">[F1411] </t>
  </si>
  <si>
    <t xml:space="preserve">[F1412] </t>
  </si>
  <si>
    <t xml:space="preserve">[F1413] </t>
  </si>
  <si>
    <t xml:space="preserve">[F1414] </t>
  </si>
  <si>
    <t xml:space="preserve">[F1415] </t>
  </si>
  <si>
    <t xml:space="preserve">[F1416] </t>
  </si>
  <si>
    <t xml:space="preserve">[F1417] </t>
  </si>
  <si>
    <t xml:space="preserve">[F1418] </t>
  </si>
  <si>
    <t xml:space="preserve">[F1419] </t>
  </si>
  <si>
    <t xml:space="preserve">[F1420] </t>
  </si>
  <si>
    <t xml:space="preserve">[F1421] </t>
  </si>
  <si>
    <t xml:space="preserve">[F1422] </t>
  </si>
  <si>
    <t xml:space="preserve">[F1423] </t>
  </si>
  <si>
    <t xml:space="preserve">[F1424] </t>
  </si>
  <si>
    <t xml:space="preserve">[F1425] </t>
  </si>
  <si>
    <t xml:space="preserve">[F1426] </t>
  </si>
  <si>
    <t xml:space="preserve">[F1427] </t>
  </si>
  <si>
    <t xml:space="preserve">[F1428] </t>
  </si>
  <si>
    <t xml:space="preserve">[F1429] </t>
  </si>
  <si>
    <t xml:space="preserve">[F1430] </t>
  </si>
  <si>
    <t xml:space="preserve">[F1431] </t>
  </si>
  <si>
    <t xml:space="preserve">[F1432] </t>
  </si>
  <si>
    <t xml:space="preserve">[F1433] </t>
  </si>
  <si>
    <t xml:space="preserve">[F1434] </t>
  </si>
  <si>
    <t xml:space="preserve">[F1435] </t>
  </si>
  <si>
    <t xml:space="preserve">[F1436] </t>
  </si>
  <si>
    <t xml:space="preserve">[F1437] </t>
  </si>
  <si>
    <t xml:space="preserve">[F1438] </t>
  </si>
  <si>
    <t xml:space="preserve">[F1439] </t>
  </si>
  <si>
    <t xml:space="preserve">[F1440] </t>
  </si>
  <si>
    <t xml:space="preserve">[F1441] </t>
  </si>
  <si>
    <t xml:space="preserve">[F1442] </t>
  </si>
  <si>
    <t xml:space="preserve">[F1443] </t>
  </si>
  <si>
    <t xml:space="preserve">[F1444] </t>
  </si>
  <si>
    <t xml:space="preserve">[F1445] </t>
  </si>
  <si>
    <t xml:space="preserve">[F1446] </t>
  </si>
  <si>
    <t xml:space="preserve">[F1447] </t>
  </si>
  <si>
    <t xml:space="preserve">[F1448] </t>
  </si>
  <si>
    <t xml:space="preserve">[F1449] </t>
  </si>
  <si>
    <t xml:space="preserve">[F1450] </t>
  </si>
  <si>
    <t xml:space="preserve">[F1451] </t>
  </si>
  <si>
    <t xml:space="preserve">[F1452] </t>
  </si>
  <si>
    <t xml:space="preserve">[F1453] </t>
  </si>
  <si>
    <t xml:space="preserve">[F1454] </t>
  </si>
  <si>
    <t xml:space="preserve">[F1455] </t>
  </si>
  <si>
    <t xml:space="preserve">[F1456] </t>
  </si>
  <si>
    <t xml:space="preserve">[F1457] </t>
  </si>
  <si>
    <t xml:space="preserve">[F1458] </t>
  </si>
  <si>
    <t xml:space="preserve">[F1459] </t>
  </si>
  <si>
    <t xml:space="preserve">[F1460] </t>
  </si>
  <si>
    <t xml:space="preserve">[F1461] </t>
  </si>
  <si>
    <t xml:space="preserve">[F1462] </t>
  </si>
  <si>
    <t xml:space="preserve">[F1463] </t>
  </si>
  <si>
    <t xml:space="preserve">[F1464] </t>
  </si>
  <si>
    <t xml:space="preserve">[F1465] </t>
  </si>
  <si>
    <t xml:space="preserve">[F1466] </t>
  </si>
  <si>
    <t xml:space="preserve">[F1467] </t>
  </si>
  <si>
    <t xml:space="preserve">[F1468] </t>
  </si>
  <si>
    <t xml:space="preserve">[F1469] </t>
  </si>
  <si>
    <t xml:space="preserve">[F1470] </t>
  </si>
  <si>
    <t xml:space="preserve">[F1471] </t>
  </si>
  <si>
    <t xml:space="preserve">[F1472] </t>
  </si>
  <si>
    <t xml:space="preserve">[F1473] </t>
  </si>
  <si>
    <t xml:space="preserve">[F1474] </t>
  </si>
  <si>
    <t xml:space="preserve">[F1475] </t>
  </si>
  <si>
    <t xml:space="preserve">[F1476] </t>
  </si>
  <si>
    <t xml:space="preserve">[F1477] </t>
  </si>
  <si>
    <t xml:space="preserve">[F1478] </t>
  </si>
  <si>
    <t xml:space="preserve">[F1479] </t>
  </si>
  <si>
    <t xml:space="preserve">[F1480] </t>
  </si>
  <si>
    <t xml:space="preserve">[F1481] </t>
  </si>
  <si>
    <t xml:space="preserve">[F1482] </t>
  </si>
  <si>
    <t xml:space="preserve">[F1483] </t>
  </si>
  <si>
    <t xml:space="preserve">[F1484] </t>
  </si>
  <si>
    <t xml:space="preserve">[F1485] </t>
  </si>
  <si>
    <t xml:space="preserve">[F1486] </t>
  </si>
  <si>
    <t xml:space="preserve">[F1487] </t>
  </si>
  <si>
    <t xml:space="preserve">[F1488] </t>
  </si>
  <si>
    <t xml:space="preserve">[F1489] </t>
  </si>
  <si>
    <t xml:space="preserve">[F1490] </t>
  </si>
  <si>
    <t xml:space="preserve">[F1491] </t>
  </si>
  <si>
    <t xml:space="preserve">[F1492] </t>
  </si>
  <si>
    <t xml:space="preserve">[F1493] </t>
  </si>
  <si>
    <t xml:space="preserve">[F1494] </t>
  </si>
  <si>
    <t xml:space="preserve">[F1495] </t>
  </si>
  <si>
    <t xml:space="preserve">[F1496] </t>
  </si>
  <si>
    <t xml:space="preserve">[F1497] </t>
  </si>
  <si>
    <t xml:space="preserve">[F1498] </t>
  </si>
  <si>
    <t xml:space="preserve">[F1499] </t>
  </si>
  <si>
    <t xml:space="preserve">[F1500] </t>
  </si>
  <si>
    <t xml:space="preserve">[F1501] </t>
  </si>
  <si>
    <t xml:space="preserve">[F1502] </t>
  </si>
  <si>
    <t xml:space="preserve">[F1503] </t>
  </si>
  <si>
    <t xml:space="preserve">[F1504] </t>
  </si>
  <si>
    <t xml:space="preserve">[F1505] </t>
  </si>
  <si>
    <t xml:space="preserve">[F1506] </t>
  </si>
  <si>
    <t xml:space="preserve">[F1507] </t>
  </si>
  <si>
    <t xml:space="preserve">[F1508] </t>
  </si>
  <si>
    <t xml:space="preserve">[F1509] </t>
  </si>
  <si>
    <t xml:space="preserve">[F1510] </t>
  </si>
  <si>
    <t xml:space="preserve">[F1511] </t>
  </si>
  <si>
    <t xml:space="preserve">[F1512] </t>
  </si>
  <si>
    <t xml:space="preserve">[F1513] </t>
  </si>
  <si>
    <t xml:space="preserve">[F1514] </t>
  </si>
  <si>
    <t xml:space="preserve">[F1515] </t>
  </si>
  <si>
    <t xml:space="preserve">[F1516] </t>
  </si>
  <si>
    <t xml:space="preserve">[F1517] </t>
  </si>
  <si>
    <t xml:space="preserve">[F1518] </t>
  </si>
  <si>
    <t xml:space="preserve">[F1519] </t>
  </si>
  <si>
    <t xml:space="preserve">[F1520] </t>
  </si>
  <si>
    <t xml:space="preserve">[F1521] </t>
  </si>
  <si>
    <t xml:space="preserve">[F1522] </t>
  </si>
  <si>
    <t xml:space="preserve">[F1523] </t>
  </si>
  <si>
    <t xml:space="preserve">[F1524] </t>
  </si>
  <si>
    <t xml:space="preserve">[F1525] </t>
  </si>
  <si>
    <t xml:space="preserve">[F1526] </t>
  </si>
  <si>
    <t xml:space="preserve">[F1527] </t>
  </si>
  <si>
    <t xml:space="preserve">[F1528] </t>
  </si>
  <si>
    <t xml:space="preserve">[F1529] </t>
  </si>
  <si>
    <t xml:space="preserve">[F1530] </t>
  </si>
  <si>
    <t xml:space="preserve">[F1531] </t>
  </si>
  <si>
    <t xml:space="preserve">[F1532] </t>
  </si>
  <si>
    <t xml:space="preserve">[F1533] </t>
  </si>
  <si>
    <t xml:space="preserve">[F1534] </t>
  </si>
  <si>
    <t xml:space="preserve">[F1535] </t>
  </si>
  <si>
    <t xml:space="preserve">[F1536] </t>
  </si>
  <si>
    <t xml:space="preserve">[F1537] </t>
  </si>
  <si>
    <t xml:space="preserve">[F1538] </t>
  </si>
  <si>
    <t xml:space="preserve">[F1539] </t>
  </si>
  <si>
    <t xml:space="preserve">[F1540] </t>
  </si>
  <si>
    <t xml:space="preserve">[F1541] </t>
  </si>
  <si>
    <t xml:space="preserve">[F1542] </t>
  </si>
  <si>
    <t xml:space="preserve">[F1543] </t>
  </si>
  <si>
    <t xml:space="preserve">[F1544] </t>
  </si>
  <si>
    <t xml:space="preserve">[F1545] </t>
  </si>
  <si>
    <t xml:space="preserve">[F1546] </t>
  </si>
  <si>
    <t xml:space="preserve">[F1547] </t>
  </si>
  <si>
    <t xml:space="preserve">[F1548] </t>
  </si>
  <si>
    <t xml:space="preserve">[F1549] </t>
  </si>
  <si>
    <t xml:space="preserve">[F1550] </t>
  </si>
  <si>
    <t xml:space="preserve">[F1551] </t>
  </si>
  <si>
    <t xml:space="preserve">[F1552] </t>
  </si>
  <si>
    <t xml:space="preserve">[F1553] </t>
  </si>
  <si>
    <t xml:space="preserve">[F1554] </t>
  </si>
  <si>
    <t xml:space="preserve">[F1555] </t>
  </si>
  <si>
    <t xml:space="preserve">[F1556] </t>
  </si>
  <si>
    <t xml:space="preserve">[F1557] </t>
  </si>
  <si>
    <t xml:space="preserve">[F1558] </t>
  </si>
  <si>
    <t xml:space="preserve">[F1559] </t>
  </si>
  <si>
    <t xml:space="preserve">[F1560] </t>
  </si>
  <si>
    <t xml:space="preserve">[F1561] </t>
  </si>
  <si>
    <t xml:space="preserve">[F1562] </t>
  </si>
  <si>
    <t xml:space="preserve">[F1563] </t>
  </si>
  <si>
    <t xml:space="preserve">[F1564] </t>
  </si>
  <si>
    <t xml:space="preserve">[F1565] </t>
  </si>
  <si>
    <t xml:space="preserve">[F1566] </t>
  </si>
  <si>
    <t xml:space="preserve">[F1567] </t>
  </si>
  <si>
    <t xml:space="preserve">[F1568] </t>
  </si>
  <si>
    <t xml:space="preserve">[F1569] </t>
  </si>
  <si>
    <t xml:space="preserve">[F1570] </t>
  </si>
  <si>
    <t xml:space="preserve">[F1571] </t>
  </si>
  <si>
    <t xml:space="preserve">[F1572] </t>
  </si>
  <si>
    <t xml:space="preserve">[F1573] </t>
  </si>
  <si>
    <t xml:space="preserve">[F1574] </t>
  </si>
  <si>
    <t xml:space="preserve">[F1575] </t>
  </si>
  <si>
    <t xml:space="preserve">[F1576] </t>
  </si>
  <si>
    <t xml:space="preserve">[F1577] </t>
  </si>
  <si>
    <t xml:space="preserve">[F1578] </t>
  </si>
  <si>
    <t xml:space="preserve">[F1579] </t>
  </si>
  <si>
    <t xml:space="preserve">[F1580] </t>
  </si>
  <si>
    <t xml:space="preserve">[F1581] </t>
  </si>
  <si>
    <t xml:space="preserve">[F1582] </t>
  </si>
  <si>
    <t xml:space="preserve">[F1583] </t>
  </si>
  <si>
    <t xml:space="preserve">[F1584] </t>
  </si>
  <si>
    <t xml:space="preserve">[F1585] </t>
  </si>
  <si>
    <t xml:space="preserve">[F1586] </t>
  </si>
  <si>
    <t xml:space="preserve">[F1587] </t>
  </si>
  <si>
    <t xml:space="preserve">[F1588] </t>
  </si>
  <si>
    <t xml:space="preserve">[F1589] </t>
  </si>
  <si>
    <t xml:space="preserve">[F1590] </t>
  </si>
  <si>
    <t xml:space="preserve">[F1591] </t>
  </si>
  <si>
    <t xml:space="preserve">[F1592] </t>
  </si>
  <si>
    <t xml:space="preserve">[F1593] </t>
  </si>
  <si>
    <t xml:space="preserve">[F1594] </t>
  </si>
  <si>
    <t xml:space="preserve">[F1595] </t>
  </si>
  <si>
    <t xml:space="preserve">[F1596] </t>
  </si>
  <si>
    <t xml:space="preserve">[F1597] </t>
  </si>
  <si>
    <t xml:space="preserve">[F1598] </t>
  </si>
  <si>
    <t xml:space="preserve">[F1599] </t>
  </si>
  <si>
    <t xml:space="preserve">[F1600] </t>
  </si>
  <si>
    <t xml:space="preserve">[F1601] </t>
  </si>
  <si>
    <t xml:space="preserve">[F1602] </t>
  </si>
  <si>
    <t xml:space="preserve">[F1603] </t>
  </si>
  <si>
    <t xml:space="preserve">[F1604] </t>
  </si>
  <si>
    <t xml:space="preserve">[F1605] </t>
  </si>
  <si>
    <t xml:space="preserve">[F1606] </t>
  </si>
  <si>
    <t xml:space="preserve">[F1607] </t>
  </si>
  <si>
    <t xml:space="preserve">[F1608] </t>
  </si>
  <si>
    <t xml:space="preserve">[F1609] </t>
  </si>
  <si>
    <t xml:space="preserve">[F1610] </t>
  </si>
  <si>
    <t xml:space="preserve">[F1611] </t>
  </si>
  <si>
    <t xml:space="preserve">[F1612] </t>
  </si>
  <si>
    <t xml:space="preserve">[F1613] </t>
  </si>
  <si>
    <t xml:space="preserve">[F1614] </t>
  </si>
  <si>
    <t xml:space="preserve">[F1615] </t>
  </si>
  <si>
    <t xml:space="preserve">[F1616] </t>
  </si>
  <si>
    <t xml:space="preserve">[F1617] </t>
  </si>
  <si>
    <t xml:space="preserve">[F1618] </t>
  </si>
  <si>
    <t xml:space="preserve">[F1619] </t>
  </si>
  <si>
    <t xml:space="preserve">[F1620] </t>
  </si>
  <si>
    <t xml:space="preserve">[F1621] </t>
  </si>
  <si>
    <t xml:space="preserve">[F1622] </t>
  </si>
  <si>
    <t xml:space="preserve">[F1623] </t>
  </si>
  <si>
    <t xml:space="preserve">[F1624] </t>
  </si>
  <si>
    <t xml:space="preserve">[F1625] </t>
  </si>
  <si>
    <t xml:space="preserve">[F1626] </t>
  </si>
  <si>
    <t xml:space="preserve">[F1627] </t>
  </si>
  <si>
    <t xml:space="preserve">[F1628] </t>
  </si>
  <si>
    <t xml:space="preserve">[F1629] </t>
  </si>
  <si>
    <t xml:space="preserve">[F1630] </t>
  </si>
  <si>
    <t xml:space="preserve">[F1631] </t>
  </si>
  <si>
    <t xml:space="preserve">[F1632] </t>
  </si>
  <si>
    <t xml:space="preserve">[F1633] </t>
  </si>
  <si>
    <t xml:space="preserve">[F1634] </t>
  </si>
  <si>
    <t xml:space="preserve">[F1635] </t>
  </si>
  <si>
    <t xml:space="preserve">[F1636] </t>
  </si>
  <si>
    <t xml:space="preserve">[F1637] </t>
  </si>
  <si>
    <t xml:space="preserve">[F1638] </t>
  </si>
  <si>
    <t xml:space="preserve">[F1639] </t>
  </si>
  <si>
    <t xml:space="preserve">[F1640] </t>
  </si>
  <si>
    <t xml:space="preserve">[F1641] </t>
  </si>
  <si>
    <t xml:space="preserve">[F1642] </t>
  </si>
  <si>
    <t xml:space="preserve">[F1643] </t>
  </si>
  <si>
    <t xml:space="preserve">[F1644] </t>
  </si>
  <si>
    <t xml:space="preserve">[F1645] </t>
  </si>
  <si>
    <t xml:space="preserve">[F1646] </t>
  </si>
  <si>
    <t xml:space="preserve">[F1647] </t>
  </si>
  <si>
    <t xml:space="preserve">[F1648] </t>
  </si>
  <si>
    <t xml:space="preserve">[F1649] </t>
  </si>
  <si>
    <t xml:space="preserve">[F1650] </t>
  </si>
  <si>
    <t xml:space="preserve">[F1651] </t>
  </si>
  <si>
    <t xml:space="preserve">[F1652] </t>
  </si>
  <si>
    <t xml:space="preserve">[F1653] </t>
  </si>
  <si>
    <t xml:space="preserve">[F1654] </t>
  </si>
  <si>
    <t xml:space="preserve">[F1655] </t>
  </si>
  <si>
    <t xml:space="preserve">[F1656] </t>
  </si>
  <si>
    <t xml:space="preserve">[F1657] </t>
  </si>
  <si>
    <t xml:space="preserve">[F1658] </t>
  </si>
  <si>
    <t xml:space="preserve">[F1659] </t>
  </si>
  <si>
    <t xml:space="preserve">[F1660] </t>
  </si>
  <si>
    <t xml:space="preserve">[F1661] </t>
  </si>
  <si>
    <t xml:space="preserve">[F1662] </t>
  </si>
  <si>
    <t xml:space="preserve">[F1663] </t>
  </si>
  <si>
    <t xml:space="preserve">[F1664] </t>
  </si>
  <si>
    <t xml:space="preserve">[F1665] </t>
  </si>
  <si>
    <t xml:space="preserve">[F1666] </t>
  </si>
  <si>
    <t xml:space="preserve">[F1667] </t>
  </si>
  <si>
    <t xml:space="preserve">[F1668] </t>
  </si>
  <si>
    <t xml:space="preserve">[F1669] </t>
  </si>
  <si>
    <t xml:space="preserve">[F1670] </t>
  </si>
  <si>
    <t xml:space="preserve">[F1671] </t>
  </si>
  <si>
    <t xml:space="preserve">[F1672] </t>
  </si>
  <si>
    <t xml:space="preserve">[F1673] </t>
  </si>
  <si>
    <t xml:space="preserve">[F1674] </t>
  </si>
  <si>
    <t xml:space="preserve">[F1675] </t>
  </si>
  <si>
    <t xml:space="preserve">[F1676] </t>
  </si>
  <si>
    <t xml:space="preserve">[F1677] </t>
  </si>
  <si>
    <t xml:space="preserve">[F1678] </t>
  </si>
  <si>
    <t xml:space="preserve">[F1679] </t>
  </si>
  <si>
    <t xml:space="preserve">[F1680] </t>
  </si>
  <si>
    <t xml:space="preserve">[F1681] </t>
  </si>
  <si>
    <t xml:space="preserve">[F1682] </t>
  </si>
  <si>
    <t xml:space="preserve">[F1683] </t>
  </si>
  <si>
    <t xml:space="preserve">[F1684] </t>
  </si>
  <si>
    <t xml:space="preserve">[F1685] </t>
  </si>
  <si>
    <t xml:space="preserve">[F1686] </t>
  </si>
  <si>
    <t xml:space="preserve">[F1687] </t>
  </si>
  <si>
    <t xml:space="preserve">[F1688] </t>
  </si>
  <si>
    <t xml:space="preserve">[F1689] </t>
  </si>
  <si>
    <t xml:space="preserve">[F1690] </t>
  </si>
  <si>
    <t xml:space="preserve">[F1691] </t>
  </si>
  <si>
    <t xml:space="preserve">[F1692] </t>
  </si>
  <si>
    <t xml:space="preserve">[F1693] </t>
  </si>
  <si>
    <t xml:space="preserve">[F1694] </t>
  </si>
  <si>
    <t xml:space="preserve">[F1695] </t>
  </si>
  <si>
    <t xml:space="preserve">[F1696] </t>
  </si>
  <si>
    <t xml:space="preserve">[F1697] </t>
  </si>
  <si>
    <t xml:space="preserve">[F1698] </t>
  </si>
  <si>
    <t xml:space="preserve">[F1699] </t>
  </si>
  <si>
    <t xml:space="preserve">[F1700] </t>
  </si>
  <si>
    <t xml:space="preserve">[F1701] </t>
  </si>
  <si>
    <t xml:space="preserve">[F1702] </t>
  </si>
  <si>
    <t xml:space="preserve">[F1703] </t>
  </si>
  <si>
    <t xml:space="preserve">[F1704] </t>
  </si>
  <si>
    <t xml:space="preserve">[F1705] </t>
  </si>
  <si>
    <t xml:space="preserve">[F1706] </t>
  </si>
  <si>
    <t xml:space="preserve">[F1707] </t>
  </si>
  <si>
    <t xml:space="preserve">[F1708] </t>
  </si>
  <si>
    <t xml:space="preserve">[F1709] </t>
  </si>
  <si>
    <t xml:space="preserve">[F1710] </t>
  </si>
  <si>
    <t xml:space="preserve">[F1711] </t>
  </si>
  <si>
    <t xml:space="preserve">[F1712] </t>
  </si>
  <si>
    <t xml:space="preserve">[F1713] </t>
  </si>
  <si>
    <t xml:space="preserve">[F1714] </t>
  </si>
  <si>
    <t xml:space="preserve">[F1715] </t>
  </si>
  <si>
    <t xml:space="preserve">[F1716] </t>
  </si>
  <si>
    <t xml:space="preserve">[F1717] </t>
  </si>
  <si>
    <t xml:space="preserve">[F1718] </t>
  </si>
  <si>
    <t xml:space="preserve">[F1719] </t>
  </si>
  <si>
    <t xml:space="preserve">[F1720] </t>
  </si>
  <si>
    <t xml:space="preserve">[F1721] </t>
  </si>
  <si>
    <t xml:space="preserve">[F1722] </t>
  </si>
  <si>
    <t xml:space="preserve">[F1723] </t>
  </si>
  <si>
    <t xml:space="preserve">[F1724] </t>
  </si>
  <si>
    <t xml:space="preserve">[F1725] </t>
  </si>
  <si>
    <t xml:space="preserve">[F1726] </t>
  </si>
  <si>
    <t xml:space="preserve">[F1727] </t>
  </si>
  <si>
    <t xml:space="preserve">[F1728] </t>
  </si>
  <si>
    <t xml:space="preserve">[F1729] </t>
  </si>
  <si>
    <t xml:space="preserve">[F1730] </t>
  </si>
  <si>
    <t xml:space="preserve">[F1731] </t>
  </si>
  <si>
    <t xml:space="preserve">[F1732] </t>
  </si>
  <si>
    <t xml:space="preserve">[F1733] </t>
  </si>
  <si>
    <t xml:space="preserve">[F1734] </t>
  </si>
  <si>
    <t xml:space="preserve">[F1735] </t>
  </si>
  <si>
    <t xml:space="preserve">[F1736] </t>
  </si>
  <si>
    <t xml:space="preserve">[F1737] </t>
  </si>
  <si>
    <t xml:space="preserve">[F1738] </t>
  </si>
  <si>
    <t xml:space="preserve">[F1739] </t>
  </si>
  <si>
    <t xml:space="preserve">[F1740] </t>
  </si>
  <si>
    <t xml:space="preserve">[F1741] </t>
  </si>
  <si>
    <t xml:space="preserve">[F1742] </t>
  </si>
  <si>
    <t xml:space="preserve">[F1743] </t>
  </si>
  <si>
    <t xml:space="preserve">[F1744] </t>
  </si>
  <si>
    <t xml:space="preserve">[F1745] </t>
  </si>
  <si>
    <t xml:space="preserve">[F1746] </t>
  </si>
  <si>
    <t xml:space="preserve">[F1747] </t>
  </si>
  <si>
    <t xml:space="preserve">[F1748] </t>
  </si>
  <si>
    <t xml:space="preserve">[F1749] </t>
  </si>
  <si>
    <t xml:space="preserve">[F1750] </t>
  </si>
  <si>
    <t xml:space="preserve">[F1751] </t>
  </si>
  <si>
    <t xml:space="preserve">[F1752] </t>
  </si>
  <si>
    <t xml:space="preserve">[F1753] </t>
  </si>
  <si>
    <t xml:space="preserve">[F1754] </t>
  </si>
  <si>
    <t xml:space="preserve">[F1755] </t>
  </si>
  <si>
    <t xml:space="preserve">[F1756] </t>
  </si>
  <si>
    <t xml:space="preserve">[F1757] </t>
  </si>
  <si>
    <t xml:space="preserve">[F1758] </t>
  </si>
  <si>
    <t xml:space="preserve">[F1759] </t>
  </si>
  <si>
    <t xml:space="preserve">[F1760] </t>
  </si>
  <si>
    <t xml:space="preserve">[F1761] </t>
  </si>
  <si>
    <t xml:space="preserve">[F1762] </t>
  </si>
  <si>
    <t xml:space="preserve">[F1763] </t>
  </si>
  <si>
    <t xml:space="preserve">[F1764] </t>
  </si>
  <si>
    <t xml:space="preserve">[F1765] </t>
  </si>
  <si>
    <t xml:space="preserve">[F1766] </t>
  </si>
  <si>
    <t xml:space="preserve">[F1767] </t>
  </si>
  <si>
    <t xml:space="preserve">[F1768] </t>
  </si>
  <si>
    <t xml:space="preserve">[F1769] </t>
  </si>
  <si>
    <t xml:space="preserve">[F1770] </t>
  </si>
  <si>
    <t xml:space="preserve">[F1771] </t>
  </si>
  <si>
    <t xml:space="preserve">[F1772] </t>
  </si>
  <si>
    <t xml:space="preserve">[F1773] </t>
  </si>
  <si>
    <t xml:space="preserve">[F1774] </t>
  </si>
  <si>
    <t xml:space="preserve">[F1775] </t>
  </si>
  <si>
    <t xml:space="preserve">[F1776] </t>
  </si>
  <si>
    <t xml:space="preserve">[F1777] </t>
  </si>
  <si>
    <t xml:space="preserve">[F1778] </t>
  </si>
  <si>
    <t xml:space="preserve">[F1779] </t>
  </si>
  <si>
    <t xml:space="preserve">[F1780] </t>
  </si>
  <si>
    <t xml:space="preserve">[F1781] </t>
  </si>
  <si>
    <t xml:space="preserve">[F1782] </t>
  </si>
  <si>
    <t xml:space="preserve">[F1783] </t>
  </si>
  <si>
    <t xml:space="preserve">[F1784] </t>
  </si>
  <si>
    <t xml:space="preserve">[F1785] </t>
  </si>
  <si>
    <t xml:space="preserve">[F1786] </t>
  </si>
  <si>
    <t xml:space="preserve">[F1787] </t>
  </si>
  <si>
    <t xml:space="preserve">[F1788] </t>
  </si>
  <si>
    <t xml:space="preserve">[F1789] </t>
  </si>
  <si>
    <t xml:space="preserve">[F1790] </t>
  </si>
  <si>
    <t xml:space="preserve">[F1791] </t>
  </si>
  <si>
    <t xml:space="preserve">[F1792] </t>
  </si>
  <si>
    <t xml:space="preserve">[F1793] </t>
  </si>
  <si>
    <t xml:space="preserve">[F1794] </t>
  </si>
  <si>
    <t xml:space="preserve">[F1795] </t>
  </si>
  <si>
    <t xml:space="preserve">[F1796] </t>
  </si>
  <si>
    <t xml:space="preserve">[F1797] </t>
  </si>
  <si>
    <t xml:space="preserve">[F1798] </t>
  </si>
  <si>
    <t xml:space="preserve">[F1799] </t>
  </si>
  <si>
    <t xml:space="preserve">[F1802] </t>
  </si>
  <si>
    <t xml:space="preserve">[F1803] </t>
  </si>
  <si>
    <t xml:space="preserve">[F1804] </t>
  </si>
  <si>
    <t xml:space="preserve">[F1805] </t>
  </si>
  <si>
    <t xml:space="preserve">[F1806] </t>
  </si>
  <si>
    <t xml:space="preserve">[F1807] </t>
  </si>
  <si>
    <t xml:space="preserve">[F1808] </t>
  </si>
  <si>
    <t xml:space="preserve">[F1809] </t>
  </si>
  <si>
    <t xml:space="preserve">[F1810] </t>
  </si>
  <si>
    <t xml:space="preserve">[F1811] </t>
  </si>
  <si>
    <t xml:space="preserve">[F1812] </t>
  </si>
  <si>
    <t xml:space="preserve">[F1813] </t>
  </si>
  <si>
    <t xml:space="preserve">[F1814] </t>
  </si>
  <si>
    <t xml:space="preserve">[F1815] </t>
  </si>
  <si>
    <t xml:space="preserve">[F1816] </t>
  </si>
  <si>
    <t xml:space="preserve">[F1817] </t>
  </si>
  <si>
    <t xml:space="preserve">[F1818] </t>
  </si>
  <si>
    <t xml:space="preserve">[F1819] </t>
  </si>
  <si>
    <t xml:space="preserve">[F1820] </t>
  </si>
  <si>
    <t xml:space="preserve">[F1821] </t>
  </si>
  <si>
    <t xml:space="preserve">[F1822] </t>
  </si>
  <si>
    <t xml:space="preserve">[F1823] </t>
  </si>
  <si>
    <t xml:space="preserve">[F1824] </t>
  </si>
  <si>
    <t xml:space="preserve">[F1825] </t>
  </si>
  <si>
    <t xml:space="preserve">[F1826] </t>
  </si>
  <si>
    <t xml:space="preserve">[F1827] </t>
  </si>
  <si>
    <t xml:space="preserve">[F1828] </t>
  </si>
  <si>
    <t xml:space="preserve">[F1829] </t>
  </si>
  <si>
    <t xml:space="preserve">[F1830] </t>
  </si>
  <si>
    <t xml:space="preserve">[F1831] </t>
  </si>
  <si>
    <t xml:space="preserve">[F1832] </t>
  </si>
  <si>
    <t xml:space="preserve">[F1833] </t>
  </si>
  <si>
    <t xml:space="preserve">[F1834] </t>
  </si>
  <si>
    <t xml:space="preserve">[F1835] </t>
  </si>
  <si>
    <t xml:space="preserve">[F1836] </t>
  </si>
  <si>
    <t xml:space="preserve">[F1837] </t>
  </si>
  <si>
    <t xml:space="preserve">[F1838] </t>
  </si>
  <si>
    <t xml:space="preserve">[F1839] </t>
  </si>
  <si>
    <t xml:space="preserve">[F1840] </t>
  </si>
  <si>
    <t xml:space="preserve">[F1841] </t>
  </si>
  <si>
    <t xml:space="preserve">[F1842] </t>
  </si>
  <si>
    <t xml:space="preserve">[F1843] </t>
  </si>
  <si>
    <t xml:space="preserve">[F1844] </t>
  </si>
  <si>
    <t xml:space="preserve">[F1845] </t>
  </si>
  <si>
    <t xml:space="preserve">[F1846] </t>
  </si>
  <si>
    <t xml:space="preserve">[F1847] </t>
  </si>
  <si>
    <t xml:space="preserve">[F1848] </t>
  </si>
  <si>
    <t xml:space="preserve">[F1849] </t>
  </si>
  <si>
    <t xml:space="preserve">[F1850] </t>
  </si>
  <si>
    <t xml:space="preserve">[F1851] </t>
  </si>
  <si>
    <t xml:space="preserve">[F1852] </t>
  </si>
  <si>
    <t xml:space="preserve">[F1853] </t>
  </si>
  <si>
    <t xml:space="preserve">[F1854] </t>
  </si>
  <si>
    <t xml:space="preserve">[F1855] </t>
  </si>
  <si>
    <t xml:space="preserve">[F1856] </t>
  </si>
  <si>
    <t xml:space="preserve">[F1857] </t>
  </si>
  <si>
    <t xml:space="preserve">[F1858] </t>
  </si>
  <si>
    <t xml:space="preserve">[F1859] </t>
  </si>
  <si>
    <t xml:space="preserve">[F1860] </t>
  </si>
  <si>
    <t xml:space="preserve">[F1861] </t>
  </si>
  <si>
    <t xml:space="preserve">[F1862] </t>
  </si>
  <si>
    <t xml:space="preserve">[F1863] </t>
  </si>
  <si>
    <t xml:space="preserve">[F1864] </t>
  </si>
  <si>
    <t xml:space="preserve">[F1865] </t>
  </si>
  <si>
    <t xml:space="preserve">[F1866] </t>
  </si>
  <si>
    <t xml:space="preserve">[F1867] </t>
  </si>
  <si>
    <t xml:space="preserve">[F1868] </t>
  </si>
  <si>
    <t xml:space="preserve">[F1869] </t>
  </si>
  <si>
    <t xml:space="preserve">[F1870] </t>
  </si>
  <si>
    <t xml:space="preserve">[F1871] </t>
  </si>
  <si>
    <t xml:space="preserve">[F1872] </t>
  </si>
  <si>
    <t xml:space="preserve">[F1873] </t>
  </si>
  <si>
    <t xml:space="preserve">[F1874] </t>
  </si>
  <si>
    <t xml:space="preserve">[F1875] </t>
  </si>
  <si>
    <t xml:space="preserve">[F1876] </t>
  </si>
  <si>
    <t xml:space="preserve">[F1877] </t>
  </si>
  <si>
    <t xml:space="preserve">[F1878] </t>
  </si>
  <si>
    <t xml:space="preserve">[F1879] </t>
  </si>
  <si>
    <t xml:space="preserve">[F1880] </t>
  </si>
  <si>
    <t xml:space="preserve">[F1881] </t>
  </si>
  <si>
    <t xml:space="preserve">[F1882] </t>
  </si>
  <si>
    <t xml:space="preserve">[F1883] </t>
  </si>
  <si>
    <t xml:space="preserve">[F1884] </t>
  </si>
  <si>
    <t xml:space="preserve">[F1885] </t>
  </si>
  <si>
    <t xml:space="preserve">[F1886] </t>
  </si>
  <si>
    <t xml:space="preserve">[F1887] </t>
  </si>
  <si>
    <t xml:space="preserve">[F1888] </t>
  </si>
  <si>
    <t xml:space="preserve">[F1889] </t>
  </si>
  <si>
    <t xml:space="preserve">[F1890] </t>
  </si>
  <si>
    <t xml:space="preserve">[F1891] </t>
  </si>
  <si>
    <t xml:space="preserve">[F1892] </t>
  </si>
  <si>
    <t xml:space="preserve">[F1893] </t>
  </si>
  <si>
    <t xml:space="preserve">[F1894] </t>
  </si>
  <si>
    <t xml:space="preserve">[F1895] </t>
  </si>
  <si>
    <t xml:space="preserve">[F1896] </t>
  </si>
  <si>
    <t xml:space="preserve">[F1897] </t>
  </si>
  <si>
    <t xml:space="preserve">[F1898] </t>
  </si>
  <si>
    <t xml:space="preserve">[F1899] </t>
  </si>
  <si>
    <t>[F1900] 메인 판넬Fan#1 Alarm</t>
  </si>
  <si>
    <t>[F1901] 메인 판넬Fan#2 Alarm</t>
  </si>
  <si>
    <t>[F1902] 메인 판넬Fan#3 Alarm</t>
  </si>
  <si>
    <t>[F1903] 메인 판넬Fan#4 Alarm</t>
  </si>
  <si>
    <t>[F1904] 메인 판넬Fan#5 Alarm</t>
  </si>
  <si>
    <t>[F1905] 메인 판넬Fan#6 Alarm</t>
  </si>
  <si>
    <t>[F1906] 메인 판넬Fan#7 Alarm</t>
  </si>
  <si>
    <t>[F1907] 메인 판넬Fan#8 Alarm</t>
  </si>
  <si>
    <t>[F1908] 메인 판넬Fan#9 Alarm</t>
  </si>
  <si>
    <t>[F1909] 히터판넬Fan#1 Alarm</t>
  </si>
  <si>
    <t>[F1910] 히터판넬Fan#2 Alarm</t>
  </si>
  <si>
    <t>[F1911] 히터판넬Fan#3 Alarm</t>
  </si>
  <si>
    <t>[F1912] 히터판넬Fan#4 Alarm</t>
  </si>
  <si>
    <t>[F1913] 히터판넬Fan#5 Alarm</t>
  </si>
  <si>
    <t>[F1914] 히터판넬Fan#6 Alarm</t>
  </si>
  <si>
    <t>[F1915] 히터판넬Fan#7 Alarm</t>
  </si>
  <si>
    <t xml:space="preserve">[F1916] </t>
  </si>
  <si>
    <t xml:space="preserve">[F1917] </t>
  </si>
  <si>
    <t xml:space="preserve">[F1918] </t>
  </si>
  <si>
    <t xml:space="preserve">[F1919] </t>
  </si>
  <si>
    <t xml:space="preserve">[F1920] </t>
  </si>
  <si>
    <t xml:space="preserve">[F1921] </t>
  </si>
  <si>
    <t xml:space="preserve">[F1922] </t>
  </si>
  <si>
    <t xml:space="preserve">[F1923] </t>
  </si>
  <si>
    <t xml:space="preserve">[F1924] </t>
  </si>
  <si>
    <t xml:space="preserve">[F1925] </t>
  </si>
  <si>
    <t xml:space="preserve">[F1926] </t>
  </si>
  <si>
    <t xml:space="preserve">[F1927] </t>
  </si>
  <si>
    <t xml:space="preserve">[F1928] </t>
  </si>
  <si>
    <t xml:space="preserve">[F1929] </t>
  </si>
  <si>
    <t xml:space="preserve">[F1931] </t>
  </si>
  <si>
    <t xml:space="preserve">[F1932] </t>
  </si>
  <si>
    <t xml:space="preserve">[F1933] </t>
  </si>
  <si>
    <t xml:space="preserve">[F1934] </t>
  </si>
  <si>
    <t xml:space="preserve">[F1935] </t>
  </si>
  <si>
    <t xml:space="preserve">[F1936] </t>
  </si>
  <si>
    <t xml:space="preserve">[F1937] </t>
  </si>
  <si>
    <t xml:space="preserve">[F1938] </t>
  </si>
  <si>
    <t xml:space="preserve">[F1939] </t>
  </si>
  <si>
    <t xml:space="preserve">[F1940] </t>
  </si>
  <si>
    <t xml:space="preserve">[F1941] </t>
  </si>
  <si>
    <t xml:space="preserve">[F1942] </t>
  </si>
  <si>
    <t xml:space="preserve">[F1943] </t>
  </si>
  <si>
    <t xml:space="preserve">[F1944] </t>
  </si>
  <si>
    <t xml:space="preserve">[F1945] </t>
  </si>
  <si>
    <t xml:space="preserve">[F1946] </t>
  </si>
  <si>
    <t xml:space="preserve">[F1947] </t>
  </si>
  <si>
    <t xml:space="preserve">[F1948] </t>
  </si>
  <si>
    <t xml:space="preserve">[F1949] </t>
  </si>
  <si>
    <t xml:space="preserve">[F1950] </t>
  </si>
  <si>
    <t xml:space="preserve">[F1951] </t>
  </si>
  <si>
    <t xml:space="preserve">[F1952] </t>
  </si>
  <si>
    <t xml:space="preserve">[F1953] </t>
  </si>
  <si>
    <t xml:space="preserve">[F1954] </t>
  </si>
  <si>
    <t xml:space="preserve">[F1955] </t>
  </si>
  <si>
    <t xml:space="preserve">[F1956] </t>
  </si>
  <si>
    <t xml:space="preserve">[F1957] </t>
  </si>
  <si>
    <t xml:space="preserve">[F1958] </t>
  </si>
  <si>
    <t xml:space="preserve">[F1959] </t>
  </si>
  <si>
    <t xml:space="preserve">[F1960] </t>
  </si>
  <si>
    <t xml:space="preserve">[F1961] </t>
  </si>
  <si>
    <t xml:space="preserve">[F1962] </t>
  </si>
  <si>
    <t xml:space="preserve">[F1963] </t>
  </si>
  <si>
    <t xml:space="preserve">[F1964] </t>
  </si>
  <si>
    <t xml:space="preserve">[F1965] </t>
  </si>
  <si>
    <t xml:space="preserve">[F1966] </t>
  </si>
  <si>
    <t xml:space="preserve">[F1967] </t>
  </si>
  <si>
    <t xml:space="preserve">[F1968] </t>
  </si>
  <si>
    <t xml:space="preserve">[F1969] </t>
  </si>
  <si>
    <t xml:space="preserve">[F1970] </t>
  </si>
  <si>
    <t xml:space="preserve">[F1971] </t>
  </si>
  <si>
    <t xml:space="preserve">[F1972] </t>
  </si>
  <si>
    <t xml:space="preserve">[F1973] </t>
  </si>
  <si>
    <t xml:space="preserve">[F1974] </t>
  </si>
  <si>
    <t xml:space="preserve">[F1975] </t>
  </si>
  <si>
    <t xml:space="preserve">[F1976] </t>
  </si>
  <si>
    <t xml:space="preserve">[F1977] </t>
  </si>
  <si>
    <t xml:space="preserve">[F1978] </t>
  </si>
  <si>
    <t xml:space="preserve">[F1979] </t>
  </si>
  <si>
    <t xml:space="preserve">[F1980] </t>
  </si>
  <si>
    <t xml:space="preserve">[F1981] </t>
  </si>
  <si>
    <t xml:space="preserve">[F1982] </t>
  </si>
  <si>
    <t xml:space="preserve">[F1983] </t>
  </si>
  <si>
    <t xml:space="preserve">[F1984] </t>
  </si>
  <si>
    <t xml:space="preserve">[F1985] </t>
  </si>
  <si>
    <t xml:space="preserve">[F1986] </t>
  </si>
  <si>
    <t xml:space="preserve">[F1987] </t>
  </si>
  <si>
    <t xml:space="preserve">[F1988] </t>
  </si>
  <si>
    <t xml:space="preserve">[F1989] </t>
  </si>
  <si>
    <t xml:space="preserve">[F1990] </t>
  </si>
  <si>
    <t xml:space="preserve">[F1991] </t>
  </si>
  <si>
    <t xml:space="preserve">[F1992] </t>
  </si>
  <si>
    <t xml:space="preserve">[F1993] </t>
  </si>
  <si>
    <t xml:space="preserve">[F1994] </t>
  </si>
  <si>
    <t xml:space="preserve">[F1995] </t>
  </si>
  <si>
    <t xml:space="preserve">[F1996] </t>
  </si>
  <si>
    <t xml:space="preserve">[F1997] </t>
  </si>
  <si>
    <t xml:space="preserve">[F1998] </t>
  </si>
  <si>
    <t xml:space="preserve">[F1999] </t>
  </si>
  <si>
    <t xml:space="preserve">[F2000] </t>
  </si>
  <si>
    <t>[F0020] Door-11 열림 이상 (B4E0, B4E1)</t>
  </si>
  <si>
    <t>[F0023] Door-14 열림 이상 (B4E6, B4E7)</t>
  </si>
  <si>
    <t>[F0260] 공급 셔틀 (SD115) 운전중에 Ready가 Off 되었습니다.</t>
  </si>
  <si>
    <t>[F0261] 공급 셔틀 (SD115) FLS가 감지되었습니다.</t>
  </si>
  <si>
    <t>[F0262] 공급 셔틀 (SD115) RLS가 감지되었습니다.</t>
  </si>
  <si>
    <t>[F0263] 공급 셔틀 (SD115) Stop 명령이 On된 상태에서 기동을 시도했습니다.</t>
  </si>
  <si>
    <t>[F0264] 공급 셔틀 (SD115) 가동 전원이 Off 되었습니다.</t>
  </si>
  <si>
    <t>[F0265] 공급 셔틀 (SD115) 엔코더 이상이 검출되었습니다.</t>
  </si>
  <si>
    <t>[F0266] 공급 셔틀 (SD115) 과전류가 검출되었습니다.</t>
  </si>
  <si>
    <t>[F0267] 공급 셔틀 (SD115) 과부하가 검출되었습니다.</t>
  </si>
  <si>
    <t xml:space="preserve">[F0268] 공급 셔틀 (SD115)  </t>
  </si>
  <si>
    <t>[F0269] 공급 셔틀 (SD115) 에러가 발생했습니다.</t>
  </si>
  <si>
    <t>[F0270] 배출 셔틀 (SD116) 운전중에 Ready가 Off 되었습니다.</t>
  </si>
  <si>
    <t>[F0271] 배출 셔틀 (SD116) FLS가 감지되었습니다.</t>
  </si>
  <si>
    <t>[F0272] 배출 셔틀 (SD116) RLS가 감지되었습니다.</t>
  </si>
  <si>
    <t>[F0273] 배출 셔틀 (SD116) Stop 명령이 On된 상태에서 기동을 시도했습니다.</t>
  </si>
  <si>
    <t>[F0274] 배출 셔틀 (SD116) 가동 전원이 Off 되었습니다.</t>
  </si>
  <si>
    <t>[F0275] 배출 셔틀 (SD116) 엔코더 이상이 검출되었습니다.</t>
  </si>
  <si>
    <t>[F0276] 배출 셔틀 (SD116) 과전류가 검출되었습니다.</t>
  </si>
  <si>
    <t>[F0277] 배출 셔틀 (SD116) 과부하가 검출되었습니다.</t>
  </si>
  <si>
    <t xml:space="preserve">[F0278] 배출 셔틀 (SD116)  </t>
  </si>
  <si>
    <t>[F0279] 배출 셔틀 (SD116) 에러가 발생했습니다.</t>
  </si>
  <si>
    <t>[F0280] 하부 지그 (SD117) 운전중에 Ready가 Off 되었습니다.</t>
  </si>
  <si>
    <t>[F0281] 하부 지그 (SD117) FLS가 감지되었습니다.</t>
  </si>
  <si>
    <t>[F0282] 하부 지그 (SD117) RLS가 감지되었습니다.</t>
  </si>
  <si>
    <t>[F0283] 하부 지그 (SD117) Stop 명령이 On된 상태에서 기동을 시도했습니다.</t>
  </si>
  <si>
    <t>[F0284] 하부 지그 (SD117) 가동 전원이 Off 되었습니다.</t>
  </si>
  <si>
    <t>[F0285] 하부 지그 (SD117) 엔코더 이상이 검출되었습니다.</t>
  </si>
  <si>
    <t>[F0286] 하부 지그 (SD117) 과전류가 검출되었습니다.</t>
  </si>
  <si>
    <t>[F0287] 하부 지그 (SD117) 과부하가 검출되었습니다.</t>
  </si>
  <si>
    <t xml:space="preserve">[F0288] 하부 지그 (SD117)  </t>
  </si>
  <si>
    <t>[F0289] 하부 지그 (SD117) 에러가 발생했습니다.</t>
  </si>
  <si>
    <t>[F0300] 센터링X1 (SD118) 운전중에 Ready가 Off 되었습니다.</t>
  </si>
  <si>
    <t>[F0301] 센터링X1 (SD118) FLS가 감지되었습니다.</t>
  </si>
  <si>
    <t>[F0302] 센터링X1 (SD118) RLS가 감지되었습니다.</t>
  </si>
  <si>
    <t>[F0303] 센터링X1 (SD118) Stop 명령이 On된 상태에서 기동을 시도했습니다.</t>
  </si>
  <si>
    <t>[F0304] 센터링X1 (SD118) 가동 전원이 Off 되었습니다.</t>
  </si>
  <si>
    <t>[F0305] 센터링X1 (SD118) 엔코더 이상이 검출되었습니다.</t>
  </si>
  <si>
    <t>[F0306] 센터링X1 (SD118) 과전류가 검출되었습니다.</t>
  </si>
  <si>
    <t>[F0307] 센터링X1 (SD118) 과부하가 검출되었습니다.</t>
  </si>
  <si>
    <t xml:space="preserve">[F0308] 센터링X1 (SD118)  </t>
  </si>
  <si>
    <t>[F0309] 센터링X1 (SD118) 에러가 발생했습니다.</t>
  </si>
  <si>
    <t>[F0310] 센터링X2 (SD119) 운전중에 Ready가 Off 되었습니다.</t>
  </si>
  <si>
    <t>[F0311] 센터링X2 (SD119) FLS가 감지되었습니다.</t>
  </si>
  <si>
    <t>[F0312] 센터링X2 (SD119) RLS가 감지되었습니다.</t>
  </si>
  <si>
    <t>[F0313] 센터링X2 (SD119) Stop 명령이 On된 상태에서 기동을 시도했습니다.</t>
  </si>
  <si>
    <t>[F0314] 센터링X2 (SD119) 가동 전원이 Off 되었습니다.</t>
  </si>
  <si>
    <t>[F0315] 센터링X2 (SD119) 엔코더 이상이 검출되었습니다.</t>
  </si>
  <si>
    <t>[F0316] 센터링X2 (SD119) 과전류가 검출되었습니다.</t>
  </si>
  <si>
    <t>[F0317] 센터링X2 (SD119) 과부하가 검출되었습니다.</t>
  </si>
  <si>
    <t xml:space="preserve">[F0318] 센터링X2 (SD119)  </t>
  </si>
  <si>
    <t>[F0319] 센터링X2 (SD119) 에러가 발생했습니다.</t>
  </si>
  <si>
    <t>[F0320] 상부 Z축 (SD120) 운전중에 Ready가 Off 되었습니다.</t>
  </si>
  <si>
    <t>[F0321] 상부 Z축 (SD120) FLS가 감지되었습니다.</t>
  </si>
  <si>
    <t>[F0322] 상부 Z축 (SD120) RLS가 감지되었습니다.</t>
  </si>
  <si>
    <t>[F0323] 상부 Z축 (SD120) Stop 명령이 On된 상태에서 기동을 시도했습니다.</t>
  </si>
  <si>
    <t>[F0324] 상부 Z축 (SD120) 가동 전원이 Off 되었습니다.</t>
  </si>
  <si>
    <t>[F0325] 상부 Z축 (SD120) 엔코더 이상이 검출되었습니다.</t>
  </si>
  <si>
    <t>[F0326] 상부 Z축 (SD120) 과전류가 검출되었습니다.</t>
  </si>
  <si>
    <t>[F0327] 상부 Z축 (SD120) 과부하가 검출되었습니다.</t>
  </si>
  <si>
    <t xml:space="preserve">[F0328] 상부 Z축 (SD120)  </t>
  </si>
  <si>
    <t>[F0329] 상부 Z축 (SD120) 에러가 발생했습니다.</t>
  </si>
  <si>
    <t>[F0330] 벤딩 T1축 (SD121) 운전중에 Ready가 Off 되었습니다.</t>
  </si>
  <si>
    <t>[F0331] 벤딩 T1축 (SD121) FLS가 감지되었습니다.</t>
  </si>
  <si>
    <t>[F0332] 벤딩 T1축 (SD121) RLS가 감지되었습니다.</t>
  </si>
  <si>
    <t>[F0333] 벤딩 T1축 (SD121) Stop 명령이 On된 상태에서 기동을 시도했습니다.</t>
  </si>
  <si>
    <t>[F0334] 벤딩 T1축 (SD121) 가동 전원이 Off 되었습니다.</t>
  </si>
  <si>
    <t>[F0335] 벤딩 T1축 (SD121) 엔코더 이상이 검출되었습니다.</t>
  </si>
  <si>
    <t>[F0336] 벤딩 T1축 (SD121) 과전류가 검출되었습니다.</t>
  </si>
  <si>
    <t>[F0337] 벤딩 T1축 (SD121) 과부하가 검출되었습니다.</t>
  </si>
  <si>
    <t xml:space="preserve">[F0338] 벤딩 T1축 (SD121)  </t>
  </si>
  <si>
    <t>[F0339] 벤딩 T1축 (SD121) 에러가 발생했습니다.</t>
  </si>
  <si>
    <t>[F0340] 벤딩 T2축 (SD122) 운전중에 Ready가 Off 되었습니다.</t>
  </si>
  <si>
    <t>[F0341] 벤딩 T2축 (SD122) FLS가 감지되었습니다.</t>
  </si>
  <si>
    <t>[F0342] 벤딩 T2축 (SD122) RLS가 감지되었습니다.</t>
  </si>
  <si>
    <t>[F0343] 벤딩 T2축 (SD122) Stop 명령이 On된 상태에서 기동을 시도했습니다.</t>
  </si>
  <si>
    <t>[F0344] 벤딩 T2축 (SD122) 가동 전원이 Off 되었습니다.</t>
  </si>
  <si>
    <t>[F0345] 벤딩 T2축 (SD122) 엔코더 이상이 검출되었습니다.</t>
  </si>
  <si>
    <t>[F0346] 벤딩 T2축 (SD122) 과전류가 검출되었습니다.</t>
  </si>
  <si>
    <t>[F0347] 벤딩 T2축 (SD122) 과부하가 검출되었습니다.</t>
  </si>
  <si>
    <t xml:space="preserve">[F0348] 벤딩 T2축 (SD122)  </t>
  </si>
  <si>
    <t>[F0349] 벤딩 T2축 (SD122) 에러가 발생했습니다.</t>
  </si>
  <si>
    <t>[F0350] 상부 금형 X1축 (SD123) 운전중에 Ready가 Off 되었습니다.</t>
  </si>
  <si>
    <t>[F0351] 상부 금형 X1축 (SD123) FLS가 감지되었습니다.</t>
  </si>
  <si>
    <t>[F0352] 상부 금형 X1축 (SD123) RLS가 감지되었습니다.</t>
  </si>
  <si>
    <t>[F0353] 상부 금형 X1축 (SD123) Stop 명령이 On된 상태에서 기동을 시도했습니다.</t>
  </si>
  <si>
    <t>[F0354] 상부 금형 X1축 (SD123) 가동 전원이 Off 되었습니다.</t>
  </si>
  <si>
    <t>[F0355] 상부 금형 X1축 (SD123) 엔코더 이상이 검출되었습니다.</t>
  </si>
  <si>
    <t>[F0356] 상부 금형 X1축 (SD123) 과전류가 검출되었습니다.</t>
  </si>
  <si>
    <t>[F0357] 상부 금형 X1축 (SD123) 과부하가 검출되었습니다.</t>
  </si>
  <si>
    <t xml:space="preserve">[F0358] 상부 금형 X1축 (SD123)  </t>
  </si>
  <si>
    <t>[F0359] 상부 금형 X1축 (SD123) 에러가 발생했습니다.</t>
  </si>
  <si>
    <t>[F0360] 상부 금형 X2축 (SD124) 운전중에 Ready가 Off 되었습니다.</t>
  </si>
  <si>
    <t>[F0361] 상부 금형 X2축 (SD124) FLS가 감지되었습니다.</t>
  </si>
  <si>
    <t>[F0362] 상부 금형 X2축 (SD124) RLS가 감지되었습니다.</t>
  </si>
  <si>
    <t>[F0363] 상부 금형 X2축 (SD124) Stop 명령이 On된 상태에서 기동을 시도했습니다.</t>
  </si>
  <si>
    <t>[F0364] 상부 금형 X2축 (SD124) 가동 전원이 Off 되었습니다.</t>
  </si>
  <si>
    <t>[F0365] 상부 금형 X2축 (SD124) 엔코더 이상이 검출되었습니다.</t>
  </si>
  <si>
    <t>[F0366] 상부 금형 X2축 (SD124) 과전류가 검출되었습니다.</t>
  </si>
  <si>
    <t>[F0367] 상부 금형 X2축 (SD124) 과부하가 검출되었습니다.</t>
  </si>
  <si>
    <t xml:space="preserve">[F0368] 상부 금형 X2축 (SD124)  </t>
  </si>
  <si>
    <t>[F0369] 상부 금형 X2축 (SD124) 에러가 발생했습니다.</t>
  </si>
  <si>
    <t>[F0370] Z축 (SD125) 운전중에 Ready가 Off 되었습니다.</t>
  </si>
  <si>
    <t>[F0371] Z축 (SD125) FLS가 감지되었습니다.</t>
  </si>
  <si>
    <t>[F0372] Z축 (SD125) RLS가 감지되었습니다.</t>
  </si>
  <si>
    <t>[F0373] Z축 (SD125) Stop 명령이 On된 상태에서 기동을 시도했습니다.</t>
  </si>
  <si>
    <t>[F0374] Z축 (SD125) 가동 전원이 Off 되었습니다.</t>
  </si>
  <si>
    <t>[F0375] Z축 (SD125) 엔코더 이상이 검출되었습니다.</t>
  </si>
  <si>
    <t>[F0376] Z축 (SD125) 과전류가 검출되었습니다.</t>
  </si>
  <si>
    <t>[F0377] Z축 (SD125) 과부하가 검출되었습니다.</t>
  </si>
  <si>
    <t xml:space="preserve">[F0378] Z축 (SD125)  </t>
  </si>
  <si>
    <t>[F0379] Z축 (SD125) 에러가 발생했습니다.</t>
  </si>
  <si>
    <t>[F0380] 브라켓 클린칭 X축 (SD126) 운전중에 Ready가 Off 되었습니다.</t>
  </si>
  <si>
    <t>[F0381] 브라켓 클린칭 X축 (SD126) FLS가 감지되었습니다.</t>
  </si>
  <si>
    <t>[F0382] 브라켓 클린칭 X축 (SD126) RLS가 감지되었습니다.</t>
  </si>
  <si>
    <t>[F0383] 브라켓 클린칭 X축 (SD126) Stop 명령이 On된 상태에서 기동을 시도했습니다.</t>
  </si>
  <si>
    <t>[F0384] 브라켓 클린칭 X축 (SD126) 가동 전원이 Off 되었습니다.</t>
  </si>
  <si>
    <t>[F0385] 브라켓 클린칭 X축 (SD126) 엔코더 이상이 검출되었습니다.</t>
  </si>
  <si>
    <t>[F0386] 브라켓 클린칭 X축 (SD126) 과전류가 검출되었습니다.</t>
  </si>
  <si>
    <t>[F0387] 브라켓 클린칭 X축 (SD126) 과부하가 검출되었습니다.</t>
  </si>
  <si>
    <t xml:space="preserve">[F0388] 브라켓 클린칭 X축 (SD126)  </t>
  </si>
  <si>
    <t>[F0389] 브라켓 클린칭 X축 (SD126) 에러가 발생했습니다.</t>
  </si>
  <si>
    <t>[F0390] 브라켓 클린칭 Z축 (SD127) 운전중에 Ready가 Off 되었습니다.</t>
  </si>
  <si>
    <t>[F0391] 브라켓 클린칭 Z축 (SD127) FLS가 감지되었습니다.</t>
  </si>
  <si>
    <t>[F0392] 브라켓 클린칭 Z축 (SD127) RLS가 감지되었습니다.</t>
  </si>
  <si>
    <t>[F0393] 브라켓 클린칭 Z축 (SD127) Stop 명령이 On된 상태에서 기동을 시도했습니다.</t>
  </si>
  <si>
    <t>[F0394] 브라켓 클린칭 Z축 (SD127) 가동 전원이 Off 되었습니다.</t>
  </si>
  <si>
    <t>[F0395] 브라켓 클린칭 Z축 (SD127) 엔코더 이상이 검출되었습니다.</t>
  </si>
  <si>
    <t>[F0396] 브라켓 클린칭 Z축 (SD127) 과전류가 검출되었습니다.</t>
  </si>
  <si>
    <t>[F0397] 브라켓 클린칭 Z축 (SD127) 과부하가 검출되었습니다.</t>
  </si>
  <si>
    <t xml:space="preserve">[F0398] 브라켓 클린칭 Z축 (SD127)  </t>
  </si>
  <si>
    <t>[F0399] 브라켓 클린칭 Z축 (SD127) 에러가 발생했습니다.</t>
  </si>
  <si>
    <t>[F0400] 브라켓 클린칭 건 (SD128) 운전중에 Ready가 Off 되었습니다.</t>
  </si>
  <si>
    <t>[F0401] 브라켓 클린칭 건 (SD128) FLS가 감지되었습니다.</t>
  </si>
  <si>
    <t>[F0402] 브라켓 클린칭 건 (SD128) RLS가 감지되었습니다.</t>
  </si>
  <si>
    <t>[F0403] 브라켓 클린칭 건 (SD128) Stop 명령이 On된 상태에서 기동을 시도했습니다.</t>
  </si>
  <si>
    <t>[F0404] 브라켓 클린칭 건 (SD128) 가동 전원이 Off 되었습니다.</t>
  </si>
  <si>
    <t>[F0405] 브라켓 클린칭 건 (SD128) 엔코더 이상이 검출되었습니다.</t>
  </si>
  <si>
    <t>[F0406] 브라켓 클린칭 건 (SD128) 과전류가 검출되었습니다.</t>
  </si>
  <si>
    <t>[F0407] 브라켓 클린칭 건 (SD128) 과부하가 검출되었습니다.</t>
  </si>
  <si>
    <t xml:space="preserve">[F0408] 브라켓 클린칭 건 (SD128)  </t>
  </si>
  <si>
    <t>[F0409] 브라켓 클린칭 건 (SD128) 에러가 발생했습니다.</t>
  </si>
  <si>
    <t>[F0410] 브라켓 클린칭 건 제품 유실 발생</t>
  </si>
  <si>
    <t>[F0420] 클램프C1축 (SD133) 운전중에 Ready가 Off 되었습니다.</t>
  </si>
  <si>
    <t>[F0421] 클램프C1축 (SD133) FLS가 감지되었습니다.</t>
  </si>
  <si>
    <t>[F0422] 클램프C1축 (SD133) RLS가 감지되었습니다.</t>
  </si>
  <si>
    <t>[F0423] 클램프C1축 (SD133) Stop 명령이 On된 상태에서 기동을 시도했습니다.</t>
  </si>
  <si>
    <t>[F0424] 클램프C1축 (SD133) 가동 전원이 Off 되었습니다.</t>
  </si>
  <si>
    <t>[F0425] 클램프C1축 (SD133) 엔코더 이상이 검출되었습니다.</t>
  </si>
  <si>
    <t>[F0426] 클램프C1축 (SD133) 과전류가 검출되었습니다.</t>
  </si>
  <si>
    <t>[F0427] 클램프C1축 (SD133) 과부하가 검출되었습니다.</t>
  </si>
  <si>
    <t xml:space="preserve">[F0428] 클램프C1축 (SD133)  </t>
  </si>
  <si>
    <t>[F0429] 클램프C1축 (SD133) 에러가 발생했습니다.</t>
  </si>
  <si>
    <t>[F0430] 클램프X2축 (SD134) 운전중에 Ready가 Off 되었습니다.</t>
  </si>
  <si>
    <t>[F0431] 클램프X2축 (SD134) FLS가 감지되었습니다.</t>
  </si>
  <si>
    <t>[F0432] 클램프X2축 (SD134) RLS가 감지되었습니다.</t>
  </si>
  <si>
    <t>[F0433] 클램프X2축 (SD134) Stop 명령이 On된 상태에서 기동을 시도했습니다.</t>
  </si>
  <si>
    <t>[F0434] 클램프X2축 (SD134) 가동 전원이 Off 되었습니다.</t>
  </si>
  <si>
    <t>[F0435] 클램프X2축 (SD134) 엔코더 이상이 검출되었습니다.</t>
  </si>
  <si>
    <t>[F0436] 클램프X2축 (SD134) 과전류가 검출되었습니다.</t>
  </si>
  <si>
    <t>[F0437] 클램프X2축 (SD134) 과부하가 검출되었습니다.</t>
  </si>
  <si>
    <t xml:space="preserve">[F0438] 클램프X2축 (SD134)  </t>
  </si>
  <si>
    <t>[F0439] 클램프X2축 (SD134) 에러가 발생했습니다.</t>
  </si>
  <si>
    <t>[F0440] 터브 이송 이재기#2 X축 (SD129) 운전중에 Ready가 Off 되었습니다.</t>
  </si>
  <si>
    <t>[F0441] 터브 이송 이재기#2 X축 (SD129) FLS가 감지되었습니다.</t>
  </si>
  <si>
    <t>[F0442] 터브 이송 이재기#2 X축 (SD129) RLS가 감지되었습니다.</t>
  </si>
  <si>
    <t>[F0443] 터브 이송 이재기#2 X축 (SD129) Stop 명령이 On된 상태에서 기동을 시도했습니다.</t>
  </si>
  <si>
    <t>[F0444] 터브 이송 이재기#2 X축 (SD129) 가동 전원이 Off 되었습니다.</t>
  </si>
  <si>
    <t>[F0445] 터브 이송 이재기#2 X축 (SD129) 엔코더 이상이 검출되었습니다.</t>
  </si>
  <si>
    <t>[F0446] 터브 이송 이재기#2 X축 (SD129) 과전류가 검출되었습니다.</t>
  </si>
  <si>
    <t>[F0447] 터브 이송 이재기#2 X축 (SD129) 과부하가 검출되었습니다.</t>
  </si>
  <si>
    <t xml:space="preserve">[F0448] 터브 이송 이재기#2 X축 (SD129)  </t>
  </si>
  <si>
    <t>[F0449] 터브 이송 이재기#2 X축 (SD129) 에러가 발생했습니다.</t>
  </si>
  <si>
    <t>[F0450] 터브 이송 이재기#2 Z축 (SD131) 운전중에 Ready가 Off 되었습니다.</t>
  </si>
  <si>
    <t>[F0451] 터브 이송 이재기#2 Z축 (SD131) FLS가 감지되었습니다.</t>
  </si>
  <si>
    <t>[F0452] 터브 이송 이재기#2 Z축 (SD131) RLS가 감지되었습니다.</t>
  </si>
  <si>
    <t>[F0453] 터브 이송 이재기#2 Z축 (SD131) Stop 명령이 On된 상태에서 기동을 시도했습니다.</t>
  </si>
  <si>
    <t>[F0454] 터브 이송 이재기#2 Z축 (SD131) 가동 전원이 Off 되었습니다.</t>
  </si>
  <si>
    <t>[F0455] 터브 이송 이재기#2 Z축 (SD131) 엔코더 이상이 검출되었습니다.</t>
  </si>
  <si>
    <t>[F0456] 터브 이송 이재기#2 Z축 (SD131) 과전류가 검출되었습니다.</t>
  </si>
  <si>
    <t>[F0457] 터브 이송 이재기#2 Z축 (SD131) 과부하가 검출되었습니다.</t>
  </si>
  <si>
    <t xml:space="preserve">[F0458] 터브 이송 이재기#2 Z축 (SD131)  </t>
  </si>
  <si>
    <t>[F0459] 터브 이송 이재기#2 Z축 (SD131) 에러가 발생했습니다.</t>
  </si>
  <si>
    <t>[F0460] 터브 이송 이재기#2 C1축 (SD135) 운전중에 Ready가 Off 되었습니다.</t>
  </si>
  <si>
    <t>[F0461] 터브 이송 이재기#2 C1축 (SD135) FLS가 감지되었습니다.</t>
  </si>
  <si>
    <t>[F0462] 터브 이송 이재기#2 C1축 (SD135) RLS가 감지되었습니다.</t>
  </si>
  <si>
    <t>[F0463] 터브 이송 이재기#2 C1축 (SD135) Stop 명령이 On된 상태에서 기동을 시도했습니다.</t>
  </si>
  <si>
    <t>[F0464] 터브 이송 이재기#2 C1축 (SD135) 가동 전원이 Off 되었습니다.</t>
  </si>
  <si>
    <t>[F0465] 터브 이송 이재기#2 C1축 (SD135) 엔코더 이상이 검출되었습니다.</t>
  </si>
  <si>
    <t>[F0466] 터브 이송 이재기#2 C1축 (SD135) 과전류가 검출되었습니다.</t>
  </si>
  <si>
    <t>[F0467] 터브 이송 이재기#2 C1축 (SD135) 과부하가 검출되었습니다.</t>
  </si>
  <si>
    <t xml:space="preserve">[F0468] 터브 이송 이재기#2 C1축 (SD135)  </t>
  </si>
  <si>
    <t>[F0480] 터브 이송 이재기#3 X축 (SD130) 운전중에 Ready가 Off 되었습니다.</t>
  </si>
  <si>
    <t>[F0481] 터브 이송 이재기#3 X축 (SD130) FLS가 감지되었습니다.</t>
  </si>
  <si>
    <t>[F0482] 터브 이송 이재기#3 X축 (SD130) RLS가 감지되었습니다.</t>
  </si>
  <si>
    <t>[F0483] 터브 이송 이재기#3 X축 (SD130) Stop 명령이 On된 상태에서 기동을 시도했습니다.</t>
  </si>
  <si>
    <t>[F0484] 터브 이송 이재기#3 X축 (SD130) 가동 전원이 Off 되었습니다.</t>
  </si>
  <si>
    <t>[F0485] 터브 이송 이재기#3 X축 (SD130) 엔코더 이상이 검출되었습니다.</t>
  </si>
  <si>
    <t>[F0486] 터브 이송 이재기#3 X축 (SD130) 과전류가 검출되었습니다.</t>
  </si>
  <si>
    <t>[F0487] 터브 이송 이재기#3 X축 (SD130) 과부하가 검출되었습니다.</t>
  </si>
  <si>
    <t xml:space="preserve">[F0488] 터브 이송 이재기#3 X축 (SD130)  </t>
  </si>
  <si>
    <t>[F0489] 터브 이송 이재기#3 X축 (SD130) 에러가 발생했습니다.</t>
  </si>
  <si>
    <t>[F0490] 터브 이송 이재기#3 Z축 (SD132) 운전중에 Ready가 Off 되었습니다.</t>
  </si>
  <si>
    <t>[F0491] 터브 이송 이재기#3 Z축 (SD132) FLS가 감지되었습니다.</t>
  </si>
  <si>
    <t>[F0492] 터브 이송 이재기#3 Z축 (SD132) RLS가 감지되었습니다.</t>
  </si>
  <si>
    <t>[F0493] 터브 이송 이재기#3 Z축 (SD132) Stop 명령이 On된 상태에서 기동을 시도했습니다.</t>
  </si>
  <si>
    <t>[F0494] 터브 이송 이재기#3 Z축 (SD132) 가동 전원이 Off 되었습니다.</t>
  </si>
  <si>
    <t>[F0495] 터브 이송 이재기#3 Z축 (SD132) 엔코더 이상이 검출되었습니다.</t>
  </si>
  <si>
    <t>[F0496] 터브 이송 이재기#3 Z축 (SD132) 과전류가 검출되었습니다.</t>
  </si>
  <si>
    <t>[F0497] 터브 이송 이재기#3 Z축 (SD132) 과부하가 검출되었습니다.</t>
  </si>
  <si>
    <t xml:space="preserve">[F0498] 터브 이송 이재기#3 Z축 (SD132)  </t>
  </si>
  <si>
    <t>[F0499] 터브 이송 이재기#3 Z축 (SD132) 에러가 발생했습니다.</t>
  </si>
  <si>
    <t>[F0500] 터브 이송 이재기#3 C1축 (SD137) 운전중에 Ready가 Off 되었습니다.</t>
  </si>
  <si>
    <t>[F0501] 터브 이송 이재기#3 C1축 (SD137) FLS가 감지되었습니다.</t>
  </si>
  <si>
    <t>[F0502] 터브 이송 이재기#3 C1축 (SD137) RLS가 감지되었습니다.</t>
  </si>
  <si>
    <t>[F0503] 터브 이송 이재기#3 C1축 (SD137) Stop 명령이 On된 상태에서 기동을 시도했습니다.</t>
  </si>
  <si>
    <t>[F0504] 터브 이송 이재기#3 C1축 (SD137) 가동 전원이 Off 되었습니다.</t>
  </si>
  <si>
    <t>[F0505] 터브 이송 이재기#3 C1축 (SD137) 엔코더 이상이 검출되었습니다.</t>
  </si>
  <si>
    <t>[F0506] 터브 이송 이재기#3 C1축 (SD137) 과전류가 검출되었습니다.</t>
  </si>
  <si>
    <t>[F0507] 터브 이송 이재기#3 C1축 (SD137) 과부하가 검출되었습니다.</t>
  </si>
  <si>
    <t xml:space="preserve">[F0508] 터브 이송 이재기#3 C1축 (SD137)  </t>
  </si>
  <si>
    <t>[F0509] 터브 이송 이재기#3 C1축 (SD137) 에러가 발생했습니다.</t>
  </si>
  <si>
    <t>[F0510] 터브 이송 이재기#3 C2축 (SD138) 운전중에 Ready가 Off 되었습니다.</t>
  </si>
  <si>
    <t>[F0511] 터브 이송 이재기#3 C2축 (SD138) FLS가 감지되었습니다.</t>
  </si>
  <si>
    <t>[F0512] 터브 이송 이재기#3 C2축 (SD138) RLS가 감지되었습니다.</t>
  </si>
  <si>
    <t>[F0513] 터브 이송 이재기#3 C2축 (SD138) Stop 명령이 On된 상태에서 기동을 시도했습니다.</t>
  </si>
  <si>
    <t>[F0514] 터브 이송 이재기#3 C2축 (SD138) 가동 전원이 Off 되었습니다.</t>
  </si>
  <si>
    <t>[F0515] 터브 이송 이재기#3 C2축 (SD138) 엔코더 이상이 검출되었습니다.</t>
  </si>
  <si>
    <t>[F0516] 터브 이송 이재기#3 C2축 (SD138) 과전류가 검출되었습니다.</t>
  </si>
  <si>
    <t>[F0517] 터브 이송 이재기#3 C2축 (SD138) 과부하가 검출되었습니다.</t>
  </si>
  <si>
    <t xml:space="preserve">[F0518] 터브 이송 이재기#3 C2축 (SD138)  </t>
  </si>
  <si>
    <t>[F0519] 터브 이송 이재기#3 C2축 (SD138) 에러가 발생했습니다.</t>
  </si>
  <si>
    <t>[F1000] 공급 셔틀 1열 하강 시간 초과 (Y540, X4E3, X4E5)</t>
  </si>
  <si>
    <t>[F1001] 공급 셔틀 1열 상승 시간 초과 (Y541, X4E2, X4E4)</t>
  </si>
  <si>
    <t>[F1002] 공급 셔틀 1열 하강/상승 센서 이상 (X4E3, X4E5, X4E2, X4E4)</t>
  </si>
  <si>
    <t>[F1003] 공급 셔틀 2열 하강 시간 초과 (Y542, X4E9, X4EB)</t>
  </si>
  <si>
    <t>[F1004] 공급 셔틀 2열 상승 시간 초과 (Y543, X4E8, X4EA)</t>
  </si>
  <si>
    <t>[F1005] 공급 셔틀 2열 하강/상승 센서 이상 (X4E9, X4EB, X4E8, X4EA)</t>
  </si>
  <si>
    <t>[F1006] 공급 셔틀 롤러 상승 시간 초과 (Y544, X530, X532, X534, X536)</t>
  </si>
  <si>
    <t>[F1007] 공급 셔틀 롤러 하강 시간 초과 (Y545, X531, X533, X535, X537)</t>
  </si>
  <si>
    <t>[F1008] 공급 셔틀 롤러 상승/하강 센서 이상 (X530, X532, X534, X536, X531, X533, X535, X537)</t>
  </si>
  <si>
    <t>[F1009] 공급 셔틀 1열 모델 변경 후진 시간 초과 (Y548, X519, X51B)</t>
  </si>
  <si>
    <t>[F1010] 공급 셔틀 1열 모델 변경 전진 시간 초과 (Y549, X518, X51A)</t>
  </si>
  <si>
    <t>[F1011] 공급 셔틀 1열 모델 변경 후진/전진 센서 이상</t>
  </si>
  <si>
    <t>[F1012] 공급 셔틀 가이드 후진 시간 초과 (Y546, X50B, X50D, X514, X516)</t>
  </si>
  <si>
    <t>[F1013] 공급 셔틀 가이드 전진 시간 초과 (Y547, X50A, X50C, X513, X515)</t>
  </si>
  <si>
    <t>[F1014] 공급 셔틀 가이드 후진/전진 센서 이상 (X50B, X50D, X514, X516, X50A, X50C, X513, X515)</t>
  </si>
  <si>
    <t>[F1015] 공급 셔틀 2열 모델 변경 후진 시간 초과 (Y650, X51D, X51F)</t>
  </si>
  <si>
    <t>[F1016] 공급 셔틀 2열 모델 변경 전진 시간 초과 (Y651, X51C, X51E)</t>
  </si>
  <si>
    <t>[F1017] 공급 셔틀 2열 모델 변경 후진/전진 센서 이상 (X51D, X51F, X51C, X51E)</t>
  </si>
  <si>
    <t>[F1018] 유벤더 히터 시간초과 이상</t>
  </si>
  <si>
    <t>[F1019] 유벤더 히터 과열 이상</t>
  </si>
  <si>
    <t>[F1030] 공급 셔틀 제품 수취 시간 초과</t>
  </si>
  <si>
    <t>[F1031] 공급 셔틀 제품 배출 시간 초과</t>
  </si>
  <si>
    <t>[F1032] 공급 셔틀 제품 수취 시퀀스 이상</t>
  </si>
  <si>
    <t>[F1033] 공급 셔틀 제품 공정 시퀀스 이상</t>
  </si>
  <si>
    <t>[F1034] 공급 셔틀 제품 배출 시퀀스 이상</t>
  </si>
  <si>
    <t>[F1036] 공급 셔틀 스테이지#1 제품 데이터 불일치 이상 (X4E0)</t>
  </si>
  <si>
    <t>[F1037] 공급 셔틀 1열 제품 데이터 불일치 이상 (X4E1)</t>
  </si>
  <si>
    <t>[F1038] 공급 셔틀 2열 제품 데이터 불일치 이상 (X4E7)</t>
  </si>
  <si>
    <t>[F1039] 공급 셔틀 스테이지#2 제품 데이터 불일치 이상 (X4E6)</t>
  </si>
  <si>
    <t>[F1040] U-벤더 모델 변경 벤더 후진 시간 초과 (Y54A, X441, X443, X451, X453)</t>
  </si>
  <si>
    <t>[F1041] U-벤더 모델 변경 벤더 전진 시간 초과 (Y54B, X440, X442, X450, X452)</t>
  </si>
  <si>
    <t>[F1042] U-벤더 모델 변경 벤더 후진/전진 센서 이상 (X441, X443, X451, X453, X440, X442, X450, X452)</t>
  </si>
  <si>
    <t>[F1043] U-벤더 모델 변경 센터링-X 후진 시간 초과 (Y54C, X445, X455)</t>
  </si>
  <si>
    <t>[F1044] U-벤더 모델 변경 센터링-X 전진 시간 초과 (Y54D, X444, X454)</t>
  </si>
  <si>
    <t>[F1045] U-벤더 모델 변경 센터링-X 후진/전진 센서 이상 (X445, X455, X444, X454)</t>
  </si>
  <si>
    <t>[F1046] U-벤더 센터링-Y 후진 시간 초과 (Y54E, X523, X527)</t>
  </si>
  <si>
    <t>[F1047] U-벤더 센터링-Y 전진 시간 초과 (Y54F, X522, X526)</t>
  </si>
  <si>
    <t>[F1048] U-벤더 센터링-Y 후진/전진 센서 이상 (X523, X527, X522, X526)</t>
  </si>
  <si>
    <t>[F1049] U-벤더 센터링 하강 시간 초과 (Y553, X521, X525)</t>
  </si>
  <si>
    <t>[F1050] U-벤더 센터링 상승 시간 초과 (Y554, X520, X524)</t>
  </si>
  <si>
    <t>[F1051] U-벤더 센터링 하강/상승 센서 이상 (X521, X525, X520, X524)</t>
  </si>
  <si>
    <t>[F1052] U-벤더 센터링-X 전진 시간 초과 (Y556, X446, X456)</t>
  </si>
  <si>
    <t>[F1053] U-벤더 센터링-X 후진 시간 초과 (Y555, X447, X457)</t>
  </si>
  <si>
    <t>[F1054] U-벤더 센터링-X 후진/전진 센서 이상 (X446, X456, X447, X457)</t>
  </si>
  <si>
    <t>[F1070] U-벤더 제품 수취 시간 초과</t>
  </si>
  <si>
    <t>[F1071] U-벤더 제품 배출 시간 초과</t>
  </si>
  <si>
    <t>[F1072] U-벤더 제품 수취 시퀀스 이상</t>
  </si>
  <si>
    <t>[F1073] U-벤더 제품 공정 시퀀스 이상</t>
  </si>
  <si>
    <t>[F1074] U-벤더 제품 배출 시퀀스 이상</t>
  </si>
  <si>
    <t>[F1079] U-벤더 제품 데이터 불일치 이상 (X500)</t>
  </si>
  <si>
    <t>[F1080] 배출 셔틀 상승 시간 초과 (Y558, X504)</t>
  </si>
  <si>
    <t>[F1081] 배출 셔틀 하강 시간 초과 (Y557, X505)</t>
  </si>
  <si>
    <t>[F1082] 배출 셔틀 상승/하강 센서 이상 (X504, X505)</t>
  </si>
  <si>
    <t>[F1085] 배출 셔틀 진공 On 시간 초과 (Y550, X503)</t>
  </si>
  <si>
    <t>[F1086] 배출 셔틀 진공 Off 시간 초과 (Y551, X503)</t>
  </si>
  <si>
    <t>[F1090] 배출 셔틀 수취 시간 초과</t>
  </si>
  <si>
    <t>[F1091] 배출 셔틀 배출 시간 초과</t>
  </si>
  <si>
    <t>[F1092] 배출 셔틀 수취 시퀀스 이상</t>
  </si>
  <si>
    <t>[F1094] 배출 셔틀 배출 시퀀스 이상</t>
  </si>
  <si>
    <t>[F1099] 배출 셔틀 제품 데이터 불일치 이상 (X502)</t>
  </si>
  <si>
    <t>[F1100] 배출 리프트 외부 폭 후진 시간 초과 (Y559, X449, X44B)</t>
  </si>
  <si>
    <t>[F1101] 배출 리프트 외부 폭 전진 시간 초과 (Y55A, X448, X44A)</t>
  </si>
  <si>
    <t>[F1102] 배출 리프트 외부 폭 후진/전진 센서 이상 (X449, X44B, X448, X44A)</t>
  </si>
  <si>
    <t>[F1103] 배출 리프트 상부 센터링 전진 시간 초과 (Y55B, X507, X509)</t>
  </si>
  <si>
    <t>[F1104] 배출 리프트 상부 센터링 후진 시간 초과 (Y55C, X506, X508)</t>
  </si>
  <si>
    <t>[F1105] 배출 리프트 상부 센터링 전진/후진 센서 이상 (X507, X509, X506, X508)</t>
  </si>
  <si>
    <t>[F1106] 배출 리프트 내부 폭 후진 시간 초과 (Y652, X528, X52A)</t>
  </si>
  <si>
    <t>[F1107] 배출 리프트 내부 폭 전진 시간 초과 (Y653, X529, X52B)</t>
  </si>
  <si>
    <t>[F1108] 배출 리프트 내부 폭 후진/전진 센서 이상 (X528, X52A, X529, X52B)</t>
  </si>
  <si>
    <t>[F1110] 배출 리프트 제품 수취 시간 초과</t>
  </si>
  <si>
    <t>[F1111] 배출 리프트 제품 배출 시간 초과</t>
  </si>
  <si>
    <t>[F1112] 배출 리프트 제품 수취 시퀀스 이상</t>
  </si>
  <si>
    <t>[F1114] 배출 리프트 제품 배출 시퀀스 이상</t>
  </si>
  <si>
    <t>[F1119] 배출 리프트 제품 데이터 불일치 알람 (X511)</t>
  </si>
  <si>
    <t>[F1120] 터브 브라켓 공급 픽업 하강 시간 초과 (Y589, X56A)</t>
  </si>
  <si>
    <t>[F1121] 터브 브라켓 공급 픽업 상승 시간 초과 (Y588, X569)</t>
  </si>
  <si>
    <t>[F1122] 터브 브라켓 공급 픽업 하강/상승 센서 이상 (X56A, X569)</t>
  </si>
  <si>
    <t>[F1125] 터브 브라켓 공급 로봇 진공 On 시간 초과 (Y595, X570)</t>
  </si>
  <si>
    <t>[F1126] 터브 브라켓 공급 로봇 진공 Off 시간 초과 (Y596, X570)</t>
  </si>
  <si>
    <t>[F1127] 터브 브라켓 공급 픽업 진공 On 시간 초과 (Y583, X565)</t>
  </si>
  <si>
    <t>[F1128] 터브 브라켓 공급 픽업 진공 Off 시간 초과 (Y584, X565)</t>
  </si>
  <si>
    <t>[F1129] 터브 브라켓 공급 로봇 비젼 NG</t>
  </si>
  <si>
    <t>[F1130] 터브 브라켓 공급 로봇 제품 수취 시간 초과</t>
  </si>
  <si>
    <t>[F1131] 터브 브라켓 공급 로봇 제품 배출 시간 초과</t>
  </si>
  <si>
    <t>[F1132] 터브 브라켓 공급 로봇 제품 수취 시퀀스 이상</t>
  </si>
  <si>
    <t>[F1133] 터브 브라켓 공급 로봇 데이터 미스매치 에러</t>
  </si>
  <si>
    <t>[F1134] 터브 브라켓 공급 로봇 제품 배출 시퀀스 이상</t>
  </si>
  <si>
    <t>[F1135] 터브 브라켓 공급 로봇 리모트 모드 상태 이상</t>
  </si>
  <si>
    <t>[F1136] 터브 브라켓 공급 로봇 서보 온 상태 이상</t>
  </si>
  <si>
    <t>[F1137] 터브 브라켓 공급 로봇 초기화 필요</t>
  </si>
  <si>
    <t>[F1138] 터브 브라켓 공급 로봇 팬던트 비상 정지 이상 (XB0D)</t>
  </si>
  <si>
    <t>[F1139] 터브 브라켓 공급 로봇 콘트롤러 비상 정지 이상 (XB0E)</t>
  </si>
  <si>
    <t>[F1153] 터브 브라켓 클린칭 공정 시퀀스 이상</t>
  </si>
  <si>
    <t>[F1159] 터브 브라켓 클린칭 제품 데이터 불일치 이상 (X568)</t>
  </si>
  <si>
    <t>[F1160] 터브 이송 로봇 상부 진공 On 시간 초과 (Y5CD, X5B8, X5B9)</t>
  </si>
  <si>
    <t>[F1161] 터브 이송 로봇 상부 진공 Off 시간 초과 (Y5CE, X5B8, X5B9)</t>
  </si>
  <si>
    <t>[F1162] 터브 이송 로봇 좌측 진공 On 시간 초과 (Y5DA, X5BA, X5BB)</t>
  </si>
  <si>
    <t>[F1163] 터브 이송 로봇 좌측 진공 Off 시간 초과 (Y5DB, X5BA, X5BB)</t>
  </si>
  <si>
    <t>[F1164] 터브 이송 로봇 우측 진공 On 시간 초과 (Y5DD, X5BC, X5BD)</t>
  </si>
  <si>
    <t>[F1165] 터브 이송 로봇 우측 진공 Off 시간 초과 (Y5DE, X5BC, X5BD)</t>
  </si>
  <si>
    <t>[F1170] 터브 이송 로봇 제품 수취 시간 초과</t>
  </si>
  <si>
    <t>[F1171] 터브 이송 로봇 제품 배출 시간 초과</t>
  </si>
  <si>
    <t>[F1172] 터브 이송 로봇 제품 수취 시퀀스 이상</t>
  </si>
  <si>
    <t>[F1174] 터브 이송 로봇 제품 배출 시퀀스 이상</t>
  </si>
  <si>
    <t>[F1175] 터브 이송 로봇 리모트 모드 상태 이상</t>
  </si>
  <si>
    <t>[F1176] 터브 이송 로봇 서보 온 상태 이상</t>
  </si>
  <si>
    <t>[F1177] 터브 이송 로봇 초기화 필요</t>
  </si>
  <si>
    <t>[F1178] 터브 이송 로봇 팬던트 비상 정지 이상 (XB8D)</t>
  </si>
  <si>
    <t>[F1179] 터브 이송 로봇 콘트롤러 비상 정지 이상 (XB8E)</t>
  </si>
  <si>
    <t>[F1180] 터브 이송 이재기#1-2 상부 진공 On 시간 초과 (Y5C0, X5A0, X5A1)</t>
  </si>
  <si>
    <t>[F1181] 터브 이송 이재기#1-2 상부 진공 Off 시간 초과 (Y5C1, X5A0, X5A1)</t>
  </si>
  <si>
    <t>[F1182] 터브 이송 이재기#1-2 좌측 진공 On 시간 초과 (Y5C3, X5A2, X5A3)</t>
  </si>
  <si>
    <t>[F1183] 터브 이송 이재기#1-2 좌측 진공 Off 시간 초과 (Y5C4, X5A2, X5A3)</t>
  </si>
  <si>
    <t>[F1184] 터브 이송 이재기#1-2 우측 진공 On 시간 초과 (Y5C6, X5A4, X5A5)</t>
  </si>
  <si>
    <t>[F1185] 터브 이송 이재기#1-2 우측 진공 Off 시간 초과 (Y5C7, X5A4, X5A5)</t>
  </si>
  <si>
    <t>[F1190] 터브 이송 이재기#1-2 제품 수취 시간 초과</t>
  </si>
  <si>
    <t>[F1191] 터브 이송 이재기#1-2 제품 배출 시간 초과</t>
  </si>
  <si>
    <t>[F1192] 터브 이송 이재기#1-2 제품 수취 시퀀스 이상</t>
  </si>
  <si>
    <t>[F1194] 터브 이송 이재기#1-2 제품 배출 시퀀스 이상</t>
  </si>
  <si>
    <t>[F1199] 터브 이송 이재기#1-2 제품 데이터 불일치 이상 (X5AA)</t>
  </si>
  <si>
    <t>[F1200] 터브 이송 이재기#1-3 상부 진공 On 시간 초과 (Y5D0, X5A6, X5A7)</t>
  </si>
  <si>
    <t>[F1201] 터브 이송 이재기#1-3 상부 진공 Off 시간 초과 (Y5D1, X5A6, X5A7)</t>
  </si>
  <si>
    <t>[F1202] 터브 이송 이재기#1-3 좌측 진공 On 시간 초과 (Y5D3, X5A8, X5A9)</t>
  </si>
  <si>
    <t>[F1203] 터브 이송 이재기#1-3 좌측 진공 Off 시간 초과 (Y5D4, X5A8, X5A9)</t>
  </si>
  <si>
    <t>[F1204] 터브 이송 이재기#1-3 우측 진공 On 시간 초과 (Y5D6, X5AC, X5AD)</t>
  </si>
  <si>
    <t>[F1205] 터브 이송 이재기#1-3 우측 진공 Off 시간 초과 (Y5D7, X5AC, X5AD)</t>
  </si>
  <si>
    <t>[F1210] 터브 이송 이재기#1-3 제품 수취 시간 초과</t>
  </si>
  <si>
    <t>[F1211] 터브 이송 이재기#1-3 제품 배출 시간 초과</t>
  </si>
  <si>
    <t>[F1212] 터브 이송 이재기#1-3 제품 수취 시퀀스 이상</t>
  </si>
  <si>
    <t>[F1214] 터브 이송 이재기#1-3 제품 배출 시퀀스 이상</t>
  </si>
  <si>
    <t>[F1219] 터브 이송 이재기#1-3 제품 데이터 불일치 이상 (X5AB)</t>
  </si>
  <si>
    <t>[F1220] 브라켓 클린칭 지그 하부 폭 후진 시간 초과 (Y58A, X57A, X57C)</t>
  </si>
  <si>
    <t>[F1221] 브라켓 클린칭 지그 하부 폭 전진 시간 초과 (Y58B, X57B, X57D)</t>
  </si>
  <si>
    <t>[F1222] 브라켓 클린칭 지그 하부 폭 후진/전진 센서 이상 (X57A, X57C, X57B, X57D)</t>
  </si>
  <si>
    <t>[F1223] 브라켓 클린칭 지그 상부 센터링 기준 후진 시간 초과 (Y5BC, X574, X578)</t>
  </si>
  <si>
    <t>[F1224] 브라켓 클린칭 지그 상부 센터링 기준 시간 초과 (Y58D, X575, X579)</t>
  </si>
  <si>
    <t>[F1225] 브라켓 클린칭 지그 상부 센터링 기준 후진/전진 시간 초과 (X574, X578, X575, X579)</t>
  </si>
  <si>
    <t>[F1226] 브라켓 클린칭 지그 상부 센터링 푸셔 후진 시간 초과 (Y58E, X572, X576)</t>
  </si>
  <si>
    <t>[F1227] 브라켓 클린칭 지그 상부 센터링 푸셔 시간 초과 (Y58F, X573, X577)</t>
  </si>
  <si>
    <t>[F1228] 브라켓 클린칭 지그 상부 센터링 푸셔 후진/전진 시간 초과 (X572, X576, X573, X577)</t>
  </si>
  <si>
    <t>[F1230] 브라켓 클린칭 지그 제품 수취 시간 초과</t>
  </si>
  <si>
    <t>[F1231] 브라켓 클린칭 지그 제품 배출 시간 초과</t>
  </si>
  <si>
    <t>[F1232] 브라켓 클린칭 지그 제품 수취 시퀀스 이상</t>
  </si>
  <si>
    <t>[F1233] 브라켓 클린칭 지그 제품 공정 시퀀스 이상</t>
  </si>
  <si>
    <t>[F1234] 브라켓 클린칭 지그 제품 배출 시퀀스 이상</t>
  </si>
  <si>
    <t>[F1239] 브라켓 클린칭 지그 제품 데이터 불일치 이상 (X56F)</t>
  </si>
  <si>
    <t>[F1260] Slat_CV 상부#1 히터 차단기 TRIP Alarm</t>
  </si>
  <si>
    <t>[F1261] Slat_CV 하부#1 히터 차단기 TRIP Alarm</t>
  </si>
  <si>
    <t>[F1262] Slat_CV 상부#2 히터 차단기 TRIP Alarm</t>
  </si>
  <si>
    <t>[F1263] Slat_CV 하부#2 히터 차단기 TRIP Alarm</t>
  </si>
  <si>
    <t>[F1264] Slat_CV 상부#3 히터 차단기 TRIP Alarm</t>
  </si>
  <si>
    <t>[F1265] Slat_CV 하부#3 히터 차단기 TRIP Alarm</t>
  </si>
  <si>
    <t>[F1266] Slat_CV 상부#4 히터 차단기 TRIP Alarm</t>
  </si>
  <si>
    <t>[F1267] Slat_CV 하부#4 히터 차단기 TRIP Alarm</t>
  </si>
  <si>
    <t>[F1268] Slat_CV 상부#5 히터 차단기 TRIP Alarm</t>
  </si>
  <si>
    <t>[F1269] Slat_CV 하부#5 히터 차단기 TRIP Alarm</t>
  </si>
  <si>
    <t>[F1270] Slat_CV 상부#6 히터 차단기 TRIP Alarm</t>
  </si>
  <si>
    <t>[F1271] Slat_CV 하부#6 히터 차단기 TRIP Alarm</t>
  </si>
  <si>
    <t>[F1272] Slat_CV 히터 메인 차단기 OFF Alarm</t>
    <phoneticPr fontId="1" type="noConversion"/>
  </si>
  <si>
    <t>[F1800] 브라켓 클린칭 오일 공급 탱크 A 유량 확인 경고</t>
  </si>
  <si>
    <t>[F1801] 브라켓 클린칭 오일 공급 탱크 B 유량 확인 경고</t>
  </si>
  <si>
    <t>[F1930] 브라켓 공급 파츠 피더 공급 준비 에러</t>
  </si>
  <si>
    <t>[F0108]</t>
    <phoneticPr fontId="1" type="noConversion"/>
  </si>
  <si>
    <t xml:space="preserve">[F0118]   </t>
    <phoneticPr fontId="1" type="noConversion"/>
  </si>
  <si>
    <t xml:space="preserve">[F0128] </t>
    <phoneticPr fontId="1" type="noConversion"/>
  </si>
  <si>
    <t xml:space="preserve">[F0148] </t>
    <phoneticPr fontId="1" type="noConversion"/>
  </si>
  <si>
    <t xml:space="preserve">[F0138] </t>
    <phoneticPr fontId="1" type="noConversion"/>
  </si>
  <si>
    <t>정지</t>
  </si>
  <si>
    <t>OP1</t>
  </si>
  <si>
    <t>Center_댐핑시트 공급</t>
    <phoneticPr fontId="1" type="noConversion"/>
  </si>
  <si>
    <t>Center_슬렛 컨베어</t>
    <phoneticPr fontId="1" type="noConversion"/>
  </si>
  <si>
    <t>Center_쿨링</t>
    <phoneticPr fontId="1" type="noConversion"/>
  </si>
  <si>
    <t>Center_쿨링 배출이송</t>
    <phoneticPr fontId="1" type="noConversion"/>
  </si>
  <si>
    <t>[M800]설비문제로 인한 정지</t>
  </si>
  <si>
    <t>[M801]자재문제로 인한 정비 (자재 품절, 오투입)</t>
  </si>
  <si>
    <t>[M802]제품/부품 품질에 의한 정지 (검사 포함)</t>
  </si>
  <si>
    <t>[M803]작업운영 미숙으로 인한 정지 (작업자)</t>
  </si>
  <si>
    <t>[M804]설비문제로 인한 정지</t>
    <phoneticPr fontId="1" type="noConversion"/>
  </si>
  <si>
    <t>[M805]자재문제로 인한 정비 (자재 품절, 오투입)</t>
    <phoneticPr fontId="1" type="noConversion"/>
  </si>
  <si>
    <t>[M806]제품/부품 품질에 의한 정지 (검사 포함)</t>
    <phoneticPr fontId="1" type="noConversion"/>
  </si>
  <si>
    <t>[M807]작업운영 미숙으로 인한 정지 (작업자)</t>
    <phoneticPr fontId="1" type="noConversion"/>
  </si>
  <si>
    <t>[M808]설비문제로 인한 정지</t>
    <phoneticPr fontId="1" type="noConversion"/>
  </si>
  <si>
    <t>[M809]자재문제로 인한 정비 (자재 품절, 오투입)</t>
    <phoneticPr fontId="1" type="noConversion"/>
  </si>
  <si>
    <t>[M810]제품/부품 품질에 의한 정지 (검사 포함)</t>
    <phoneticPr fontId="1" type="noConversion"/>
  </si>
  <si>
    <t>[M811]작업운영 미숙으로 인한 정지 (작업자)</t>
    <phoneticPr fontId="1" type="noConversion"/>
  </si>
  <si>
    <t>[M812]설비문제로 인한 정지</t>
    <phoneticPr fontId="1" type="noConversion"/>
  </si>
  <si>
    <t>[M813]자재문제로 인한 정비 (자재 품절, 오투입)</t>
    <phoneticPr fontId="1" type="noConversion"/>
  </si>
  <si>
    <t>[M814]제품/부품 품질에 의한 정지 (검사 포함)</t>
    <phoneticPr fontId="1" type="noConversion"/>
  </si>
  <si>
    <t>[M815]작업운영 미숙으로 인한 정지 (작업자)</t>
    <phoneticPr fontId="1" type="noConversion"/>
  </si>
  <si>
    <t>[M860]생산 계획에 따른 정지 시</t>
  </si>
  <si>
    <t>[M861]모델 교체 및 시운전 Test 시</t>
  </si>
  <si>
    <t>[M862]원재료 또는 반제품 부족으로 인한 정지 시</t>
  </si>
  <si>
    <t>[M863]공정 불량 발생 시 작업자가 정지</t>
  </si>
  <si>
    <t>[M864]정기/비정기 설비 점검 시</t>
  </si>
  <si>
    <t>[M865]전원, 공조, 네트워크 이상 발생 시</t>
  </si>
  <si>
    <t>[M866]전산 또는 IT 이상으로 인한 정지 시</t>
  </si>
  <si>
    <t>[M867]작업 준비를 위한 조건 설정 및 조정을 위해 설비 정지 시</t>
  </si>
  <si>
    <t>[M868]재작업을 위한 정지 시</t>
  </si>
  <si>
    <t>[M820]생산 계획에 따른 정지 시</t>
  </si>
  <si>
    <t>[M820]생산 계획에 따른 정지 시</t>
    <phoneticPr fontId="1" type="noConversion"/>
  </si>
  <si>
    <t>[M821]모델 교체 및 시운전 Test 시</t>
  </si>
  <si>
    <t>[M822]원재료 또는 반제품 부족으로 인한 정지 시</t>
  </si>
  <si>
    <t>[M823]공정 불량 발생 시 작업자가 정지</t>
  </si>
  <si>
    <t>[M824]정기/비정기 설비 점검 시</t>
  </si>
  <si>
    <t>[M825]전원, 공조, 네트워크 이상 발생 시</t>
  </si>
  <si>
    <t>[M827]작업 준비를 위한 조건 설정 및 조정을 위해 설비 정지 시</t>
  </si>
  <si>
    <t>[M828]재작업을 위한 정지 시</t>
  </si>
  <si>
    <t>[M826]전산 또는 IT 이상으로 인한 정지 시</t>
  </si>
  <si>
    <t>[M826]전산 또는 IT 이상으로 인한 정지 시</t>
    <phoneticPr fontId="1" type="noConversion"/>
  </si>
  <si>
    <t>[M830]생산 계획에 따른 정지 시</t>
  </si>
  <si>
    <t>[M831]모델 교체 및 시운전 Test 시</t>
  </si>
  <si>
    <t>[M832]원재료 또는 반제품 부족으로 인한 정지 시</t>
  </si>
  <si>
    <t>[M833]공정 불량 발생 시 작업자가 정지</t>
  </si>
  <si>
    <t>[M834]정기/비정기 설비 점검 시</t>
  </si>
  <si>
    <t>[M835]전원, 공조, 네트워크 이상 발생 시</t>
  </si>
  <si>
    <t>[M836]전산 또는 IT 이상으로 인한 정지 시</t>
  </si>
  <si>
    <t>[M837]작업 준비를 위한 조건 설정 및 조정을 위해 설비 정지 시</t>
  </si>
  <si>
    <t>[M838]재작업을 위한 정지 시</t>
  </si>
  <si>
    <t>Center_유밴더</t>
    <phoneticPr fontId="1" type="noConversion"/>
  </si>
  <si>
    <t>[M860]설비문제로 인한 정지</t>
  </si>
  <si>
    <t>[M861]자재문제로 인한 정비 (자재 품절, 오투입)</t>
  </si>
  <si>
    <t>[M862]제품/부품 품질에 의한 정지 (검사 포함)</t>
  </si>
  <si>
    <t>[M863]작업운영 미숙으로 인한 정지 (작업자)</t>
  </si>
  <si>
    <t>Center_클린칭</t>
    <phoneticPr fontId="1" type="noConversion"/>
  </si>
  <si>
    <t>Center_터브이송</t>
    <phoneticPr fontId="1" type="noConversion"/>
  </si>
  <si>
    <t>[M864]설비문제로 인한 정지</t>
  </si>
  <si>
    <t>[M865]자재문제로 인한 정비 (자재 품절, 오투입)</t>
  </si>
  <si>
    <t>[M866]제품/부품 품질에 의한 정지 (검사 포함)</t>
  </si>
  <si>
    <t>[M867]작업운영 미숙으로 인한 정지 (작업자)</t>
  </si>
  <si>
    <t>[M868]설비문제로 인한 정지</t>
  </si>
  <si>
    <t>[M869]자재문제로 인한 정비 (자재 품절, 오투입)</t>
  </si>
  <si>
    <t>[M880]생산 계획에 따른 정지 시</t>
  </si>
  <si>
    <t>[M881]모델 교체 및 시운전 Test 시</t>
  </si>
  <si>
    <t>[M882]원재료 또는 반제품 부족으로 인한 정지 시</t>
  </si>
  <si>
    <t>[M883]공정 불량 발생 시 작업자가 정지</t>
  </si>
  <si>
    <t>[M884]정기/비정기 설비 점검 시</t>
  </si>
  <si>
    <t>[M885]전원, 공조, 네트워크 이상 발생 시</t>
  </si>
  <si>
    <t>[M886]전산 또는 IT 이상으로 인한 정지 시</t>
  </si>
  <si>
    <t>[M887]작업 준비를 위한 조건 설정 및 조정을 위해 설비 정지 시</t>
  </si>
  <si>
    <t>[M888]재작업을 위한 정지 시</t>
  </si>
  <si>
    <t>[M870]제품/부품 품질에 의한 정지 (검사 포함)</t>
    <phoneticPr fontId="1" type="noConversion"/>
  </si>
  <si>
    <t>[M871]작업운영 미숙으로 인한 정지 (작업자)</t>
    <phoneticPr fontId="1" type="noConversion"/>
  </si>
  <si>
    <t xml:space="preserve">[F0010] </t>
  </si>
  <si>
    <t>[F0011] OP#1 비상 정지 이상 (X306)</t>
  </si>
  <si>
    <t>[F0012] OP#2 비상 정지 이상 (X586)</t>
  </si>
  <si>
    <t>[F0013] OP#3 비상 정지 이상 (X706)</t>
  </si>
  <si>
    <t>[F0014] OP#4 비상 정지 이상 (X786)</t>
  </si>
  <si>
    <t>[F0020] Door-21 열림 이상 (X320, X321)</t>
  </si>
  <si>
    <t>[F0021] Door-22 열림 이상 (X322, X323)</t>
  </si>
  <si>
    <t>[F0022] Door-23 열림 이상 (X324, X325)</t>
  </si>
  <si>
    <t>[F0030] 어퍼 커버 로딩  Light Curtain 감지 이상 (XA68)</t>
  </si>
  <si>
    <t>[F0031] 로우 커버 로딩  Light Curtain 감지 이상 (XA69)</t>
  </si>
  <si>
    <t>[F0040] 용접부 칠러 플로어 센서 에러</t>
  </si>
  <si>
    <t>[F0041] 용접부 칠러 알람</t>
  </si>
  <si>
    <t>[F0100] 어퍼 커버 로딩 셔틀#1(SD201) 운전중에 Ready가 Off 되었습니다.</t>
  </si>
  <si>
    <t>[F0101] 어퍼 커버 로딩 셔틀#1(SD201) FLS가 감지되었습니다.</t>
  </si>
  <si>
    <t>[F0102] 어퍼 커버 로딩 셔틀#1(SD201) RLS가 감지되었습니다.</t>
  </si>
  <si>
    <t>[F0103] 어퍼 커버 로딩 셔틀#1(SD201) Stop 명령이 On된 상태에서 기동을 시도했습니다.</t>
  </si>
  <si>
    <t>[F0104] 어퍼 커버 로딩 셔틀#1(SD201) 가동 전원이 Off 되었습니다.</t>
  </si>
  <si>
    <t>[F0105] 어퍼 커버 로딩 셔틀#1(SD201) 엔코더 이상이 검출되었습니다.</t>
  </si>
  <si>
    <t>[F0106] 어퍼 커버 로딩 셔틀#1(SD201) 과전류가 검출되었습니다.</t>
  </si>
  <si>
    <t>[F0107] 어퍼 커버 로딩 셔틀#1(SD201) 과부하가 검출되었습니다.</t>
  </si>
  <si>
    <t xml:space="preserve">[F0108] 어퍼 커버 로딩 셔틀#1(SD201)  </t>
  </si>
  <si>
    <t>[F0109] 어퍼 커버 로딩 셔틀#1(SD201) 에러가 발생했습니다.</t>
  </si>
  <si>
    <t>[F0110] 어퍼 커버 로딩 셔틀#2(SD202) 운전중에 Ready가 Off 되었습니다.</t>
  </si>
  <si>
    <t>[F0111] 어퍼 커버 로딩 셔틀#2(SD202) FLS가 감지되었습니다.</t>
  </si>
  <si>
    <t>[F0112] 어퍼 커버 로딩 셔틀#2(SD202) RLS가 감지되었습니다.</t>
  </si>
  <si>
    <t>[F0113] 어퍼 커버 로딩 셔틀#2(SD202) Stop 명령이 On된 상태에서 기동을 시도했습니다.</t>
  </si>
  <si>
    <t>[F0114] 어퍼 커버 로딩 셔틀#2(SD202) 가동 전원이 Off 되었습니다.</t>
  </si>
  <si>
    <t>[F0115] 어퍼 커버 로딩 셔틀#2(SD202) 엔코더 이상이 검출되었습니다.</t>
  </si>
  <si>
    <t>[F0116] 어퍼 커버 로딩 셔틀#2(SD202) 과전류가 검출되었습니다.</t>
  </si>
  <si>
    <t>[F0117] 어퍼 커버 로딩 셔틀#2(SD202) 과부하가 검출되었습니다.</t>
  </si>
  <si>
    <t xml:space="preserve">[F0118] 어퍼 커버 로딩 셔틀#2(SD202)  </t>
  </si>
  <si>
    <t>[F0119] 어퍼 커버 로딩 셔틀#2(SD202) 에러가 발생했습니다.</t>
  </si>
  <si>
    <t>[F0120] 어퍼 커버 로딩 셔틀#3(SD203) 운전중에 Ready가 Off 되었습니다.</t>
  </si>
  <si>
    <t>[F0121] 어퍼 커버 로딩 셔틀#3(SD203) FLS가 감지되었습니다.</t>
  </si>
  <si>
    <t>[F0122] 어퍼 커버 로딩 셔틀#3(SD203) RLS가 감지되었습니다.</t>
  </si>
  <si>
    <t>[F0123] 어퍼 커버 로딩 셔틀#3(SD203) Stop 명령이 On된 상태에서 기동을 시도했습니다.</t>
  </si>
  <si>
    <t>[F0124] 어퍼 커버 로딩 셔틀#3(SD203) 가동 전원이 Off 되었습니다.</t>
  </si>
  <si>
    <t>[F0125] 어퍼 커버 로딩 셔틀#3(SD203) 엔코더 이상이 검출되었습니다.</t>
  </si>
  <si>
    <t>[F0126] 어퍼 커버 로딩 셔틀#3(SD203) 과전류가 검출되었습니다.</t>
  </si>
  <si>
    <t>[F0127] 어퍼 커버 로딩 셔틀#3(SD203) 과부하가 검출되었습니다.</t>
  </si>
  <si>
    <t xml:space="preserve">[F0128] 어퍼 커버 로딩 셔틀#3(SD203)  </t>
  </si>
  <si>
    <t>[F0129] 어퍼 커버 로딩 셔틀#3(SD203) 에러가 발생했습니다.</t>
  </si>
  <si>
    <t>[F0130] 로우 커버 로딩 셔틀#1(SD204) 운전중에 Ready가 Off 되었습니다.</t>
  </si>
  <si>
    <t>[F0131] 로우 커버 로딩 셔틀#1(SD204) FLS가 감지되었습니다.</t>
  </si>
  <si>
    <t>[F0132] 로우 커버 로딩 셔틀#1(SD204) RLS가 감지되었습니다.</t>
  </si>
  <si>
    <t>[F0133] 로우 커버 로딩 셔틀#1(SD204) Stop 명령이 On된 상태에서 기동을 시도했습니다.</t>
  </si>
  <si>
    <t>[F0134] 로우 커버 로딩 셔틀#1(SD204) 가동 전원이 Off 되었습니다.</t>
  </si>
  <si>
    <t>[F0135] 로우 커버 로딩 셔틀#1(SD204) 엔코더 이상이 검출되었습니다.</t>
  </si>
  <si>
    <t>[F0136] 로우 커버 로딩 셔틀#1(SD204) 과전류가 검출되었습니다.</t>
  </si>
  <si>
    <t>[F0137] 로우 커버 로딩 셔틀#1(SD204) 과부하가 검출되었습니다.</t>
  </si>
  <si>
    <t xml:space="preserve">[F0138] 로우 커버 로딩 셔틀#1(SD204)  </t>
  </si>
  <si>
    <t>[F0139] 로우 커버 로딩 셔틀#1(SD204) 에러가 발생했습니다.</t>
  </si>
  <si>
    <t>[F0140] 로우 커버 로딩 셔틀#2(SD205) 운전중에 Ready가 Off 되었습니다.</t>
  </si>
  <si>
    <t>[F0141] 로우 커버 로딩 셔틀#2(SD205) FLS가 감지되었습니다.</t>
  </si>
  <si>
    <t>[F0142] 로우 커버 로딩 셔틀#2(SD205) RLS가 감지되었습니다.</t>
  </si>
  <si>
    <t>[F0143] 로우 커버 로딩 셔틀#2(SD205) Stop 명령이 On된 상태에서 기동을 시도했습니다.</t>
  </si>
  <si>
    <t>[F0144] 로우 커버 로딩 셔틀#2(SD205) 가동 전원이 Off 되었습니다.</t>
  </si>
  <si>
    <t>[F0145] 로우 커버 로딩 셔틀#2(SD205) 엔코더 이상이 검출되었습니다.</t>
  </si>
  <si>
    <t>[F0146] 로우 커버 로딩 셔틀#2(SD205) 과전류가 검출되었습니다.</t>
  </si>
  <si>
    <t>[F0147] 로우 커버 로딩 셔틀#2(SD205) 과부하가 검출되었습니다.</t>
  </si>
  <si>
    <t xml:space="preserve">[F0148] 로우 커버 로딩 셔틀#2(SD205)  </t>
  </si>
  <si>
    <t>[F0149] 로우 커버 로딩 셔틀#2(SD205) 에러가 발생했습니다.</t>
  </si>
  <si>
    <t>[F0150] 로우 커버 로딩 셔틀#3(SD206) 운전중에 Ready가 Off 되었습니다.</t>
  </si>
  <si>
    <t>[F0151] 로우 커버 로딩 셔틀#3(SD206) FLS가 감지되었습니다.</t>
  </si>
  <si>
    <t>[F0152] 로우 커버 로딩 셔틀#3(SD206) RLS가 감지되었습니다.</t>
  </si>
  <si>
    <t>[F0153] 로우 커버 로딩 셔틀#3(SD206) Stop 명령이 On된 상태에서 기동을 시도했습니다.</t>
  </si>
  <si>
    <t>[F0154] 로우 커버 로딩 셔틀#3(SD206) 가동 전원이 Off 되었습니다.</t>
  </si>
  <si>
    <t>[F0155] 로우 커버 로딩 셔틀#3(SD206) 엔코더 이상이 검출되었습니다.</t>
  </si>
  <si>
    <t>[F0156] 로우 커버 로딩 셔틀#3(SD206) 과전류가 검출되었습니다.</t>
  </si>
  <si>
    <t>[F0157] 로우 커버 로딩 셔틀#3(SD206) 과부하가 검출되었습니다.</t>
  </si>
  <si>
    <t xml:space="preserve">[F0158] 로우 커버 로딩 셔틀#3(SD206)  </t>
  </si>
  <si>
    <t>[F0159] 로우 커버 로딩 셔틀#3(SD206) 에러가 발생했습니다.</t>
  </si>
  <si>
    <t>[F0160] 어퍼 커버 용접 X축(SD210) 운전중에 Ready가 Off 되었습니다.</t>
  </si>
  <si>
    <t>[F0161] 어퍼 커버 용접 X축(SD210) FLS가 감지되었습니다.</t>
  </si>
  <si>
    <t>[F0162] 어퍼 커버 용접 X축(SD210) RLS가 감지되었습니다.</t>
  </si>
  <si>
    <t>[F0163] 어퍼 커버 용접 X축(SD210) Stop 명령이 On된 상태에서 기동을 시도했습니다.</t>
  </si>
  <si>
    <t>[F0164] 어퍼 커버 용접 X축(SD210) 가동 전원이 Off 되었습니다.</t>
  </si>
  <si>
    <t>[F0165] 어퍼 커버 용접 X축(SD210) 엔코더 이상이 검출되었습니다.</t>
  </si>
  <si>
    <t>[F0166] 어퍼 커버 용접 X축(SD210) 과전류가 검출되었습니다.</t>
  </si>
  <si>
    <t>[F0167] 어퍼 커버 용접 X축(SD210) 과부하가 검출되었습니다.</t>
  </si>
  <si>
    <t xml:space="preserve">[F0168] 어퍼 커버 용접 X축(SD210)  </t>
  </si>
  <si>
    <t>[F0169] 어퍼 커버 용접 X축(SD210) 에러가 발생했습니다.</t>
  </si>
  <si>
    <t>[F0170] 어퍼 커버 용접 Z축(SD212) 운전중에 Ready가 Off 되었습니다.</t>
  </si>
  <si>
    <t>[F0171] 어퍼 커버 용접 Z축(SD212) FLS가 감지되었습니다.</t>
  </si>
  <si>
    <t>[F0172] 어퍼 커버 용접 Z축(SD212) RLS가 감지되었습니다.</t>
  </si>
  <si>
    <t>[F0173] 어퍼 커버 용접 Z축(SD212) Stop 명령이 On된 상태에서 기동을 시도했습니다.</t>
  </si>
  <si>
    <t>[F0174] 어퍼 커버 용접 Z축(SD212) 가동 전원이 Off 되었습니다.</t>
  </si>
  <si>
    <t>[F0175] 어퍼 커버 용접 Z축(SD212) 엔코더 이상이 검출되었습니다.</t>
  </si>
  <si>
    <t>[F0176] 어퍼 커버 용접 Z축(SD212) 과전류가 검출되었습니다.</t>
  </si>
  <si>
    <t>[F0177] 어퍼 커버 용접 Z축(SD212) 과부하가 검출되었습니다.</t>
  </si>
  <si>
    <t xml:space="preserve">[F0178] 어퍼 커버 용접 Z축(SD212)  </t>
  </si>
  <si>
    <t>[F0179] 어퍼 커버 용접 Z축(SD212) 에러가 발생했습니다.</t>
  </si>
  <si>
    <t>[F0180] 로우 커버 용접 X축(SD211) 운전중에 Ready가 Off 되었습니다.</t>
  </si>
  <si>
    <t>[F0182] 로우 커버 용접 X축(SD211) RLS가 감지되었습니다.</t>
  </si>
  <si>
    <t>[F0183] 로우 커버 용접 X축(SD211) Stop 명령이 On된 상태에서 기동을 시도했습니다.</t>
  </si>
  <si>
    <t>[F0184] 로우 커버 용접 X축(SD211) 가동 전원이 Off 되었습니다.</t>
  </si>
  <si>
    <t>[F0185] 로우 커버 용접 X축(SD211) 엔코더 이상이 검출되었습니다.</t>
  </si>
  <si>
    <t>[F0186] 로우 커버 용접 X축(SD211) 과전류가 검출되었습니다.</t>
  </si>
  <si>
    <t>[F0187] 로우 커버 용접 X축(SD211) 과부하가 검출되었습니다.</t>
  </si>
  <si>
    <t xml:space="preserve">[F0188] 로우 커버 용접 X축(SD211)  </t>
  </si>
  <si>
    <t>[F0189] 로우 커버 용접 X축(SD211) 에러가 발생했습니다.</t>
  </si>
  <si>
    <t>[F0190] 로우 커버 용접 Z축(SD213) 운전중에 Ready가 Off 되었습니다.</t>
  </si>
  <si>
    <t>[F0191] 로우 커버 용접 Z축(SD213) FLS가 감지되었습니다.</t>
  </si>
  <si>
    <t>[F0192] 로우 커버 용접 Z축(SD213) RLS가 감지되었습니다.</t>
  </si>
  <si>
    <t>[F0193] 로우 커버 용접 Z축(SD213) Stop 명령이 On된 상태에서 기동을 시도했습니다.</t>
  </si>
  <si>
    <t>[F0194] 로우 커버 용접 Z축(SD213) 가동 전원이 Off 되었습니다.</t>
  </si>
  <si>
    <t>[F0195] 로우 커버 용접 Z축(SD213) 엔코더 이상이 검출되었습니다.</t>
  </si>
  <si>
    <t>[F0196] 로우 커버 용접 Z축(SD213) 과전류가 검출되었습니다.</t>
  </si>
  <si>
    <t>[F0197] 로우 커버 용접 Z축(SD213) 과부하가 검출되었습니다.</t>
  </si>
  <si>
    <t xml:space="preserve">[F0198] 로우 커버 용접 Z축(SD213)  </t>
  </si>
  <si>
    <t>[F0199] 로우 커버 용접 Z축(SD213) 에러가 발생했습니다.</t>
  </si>
  <si>
    <t>[F0200] 어퍼브라켓 클린칭 X축(SD207) 운전중에 Ready가 Off 되었습니다.</t>
  </si>
  <si>
    <t>[F0201] 어퍼브라켓 클린칭 X축(SD207) FLS가 감지되었습니다.</t>
  </si>
  <si>
    <t>[F0202] 어퍼브라켓 클린칭 X축(SD207) RLS가 감지되었습니다.</t>
  </si>
  <si>
    <t>[F0203] 어퍼브라켓 클린칭 X축(SD207) Stop 명령이 On된 상태에서 기동을 시도했습니다.</t>
  </si>
  <si>
    <t>[F0204] 어퍼브라켓 클린칭 X축(SD207) 가동 전원이 Off 되었습니다.</t>
  </si>
  <si>
    <t>[F0205] 어퍼브라켓 클린칭 X축(SD207) 엔코더 이상이 검출되었습니다.</t>
  </si>
  <si>
    <t>[F0206] 어퍼브라켓 클린칭 X축(SD207) 과전류가 검출되었습니다.</t>
  </si>
  <si>
    <t>[F0207] 어퍼브라켓 클린칭 X축(SD207) 과부하가 검출되었습니다.</t>
  </si>
  <si>
    <t xml:space="preserve">[F0208] 어퍼브라켓 클린칭 X축(SD207)  </t>
  </si>
  <si>
    <t>[F0209] 어퍼브라켓 클린칭 X축(SD207) 에러가 발생했습니다.</t>
  </si>
  <si>
    <t>[F0210] 어퍼브라켓 클린칭 Z축(SD208) 운전중에 Ready가 Off 되었습니다.</t>
  </si>
  <si>
    <t>[F0211] 어퍼브라켓 클린칭 Z축(SD208) FLS가 감지되었습니다.</t>
  </si>
  <si>
    <t>[F0212] 어퍼브라켓 클린칭 Z축(SD208) RLS가 감지되었습니다.</t>
  </si>
  <si>
    <t>[F0213] 어퍼브라켓 클린칭 Z축(SD208) Stop 명령이 On된 상태에서 기동을 시도했습니다.</t>
  </si>
  <si>
    <t>[F0214] 어퍼브라켓 클린칭 Z축(SD208) 가동 전원이 Off 되었습니다.</t>
  </si>
  <si>
    <t>[F0215] 어퍼브라켓 클린칭 Z축(SD208) 엔코더 이상이 검출되었습니다.</t>
  </si>
  <si>
    <t>[F0216] 어퍼브라켓 클린칭 Z축(SD208) 과전류가 검출되었습니다.</t>
  </si>
  <si>
    <t>[F0217] 어퍼브라켓 클린칭 Z축(SD208) 과부하가 검출되었습니다.</t>
  </si>
  <si>
    <t xml:space="preserve">[F0218] 어퍼브라켓 클린칭 Z축(SD208)  </t>
  </si>
  <si>
    <t>[F0219] 어퍼브라켓 클린칭 Z축(SD208) 에러가 발생했습니다.</t>
  </si>
  <si>
    <t>[F0220] 어퍼브라켓 클린칭 GUN(SD209) 운전중에 Ready가 Off 되었습니다.</t>
  </si>
  <si>
    <t>[F0221] 어퍼브라켓 클린칭 GUN(SD209) FLS가 감지되었습니다.</t>
  </si>
  <si>
    <t>[F0222] 어퍼브라켓 클린칭 GUN(SD209) RLS가 감지되었습니다.</t>
  </si>
  <si>
    <t>[F0223] 어퍼브라켓 클린칭 GUN(SD209) Stop 명령이 On된 상태에서 기동을 시도했습니다.</t>
  </si>
  <si>
    <t>[F0224] 어퍼브라켓 클린칭 GUN(SD209) 가동 전원이 Off 되었습니다.</t>
  </si>
  <si>
    <t>[F0225] 어퍼브라켓 클린칭 GUN(SD209) 엔코더 이상이 검출되었습니다.</t>
  </si>
  <si>
    <t>[F0226] 어퍼브라켓 클린칭 GUN(SD209) 과전류가 검출되었습니다.</t>
  </si>
  <si>
    <t>[F0227] 어퍼브라켓 클린칭 GUN(SD209) 과부하가 검출되었습니다.</t>
  </si>
  <si>
    <t xml:space="preserve">[F0228] 어퍼브라켓 클린칭 GUN(SD209)  </t>
  </si>
  <si>
    <t>[F0229] 어퍼브라켓 클린칭 GUN(SD209) 에러가 발생했습니다.</t>
  </si>
  <si>
    <t xml:space="preserve">[F0230] </t>
  </si>
  <si>
    <t xml:space="preserve">[F0231] </t>
  </si>
  <si>
    <t xml:space="preserve">[F0232] </t>
  </si>
  <si>
    <t xml:space="preserve">[F0233] </t>
  </si>
  <si>
    <t xml:space="preserve">[F0234] </t>
  </si>
  <si>
    <t xml:space="preserve">[F0235] </t>
  </si>
  <si>
    <t xml:space="preserve">[F0236] </t>
  </si>
  <si>
    <t xml:space="preserve">[F0237] </t>
  </si>
  <si>
    <t xml:space="preserve">[F0238] </t>
  </si>
  <si>
    <t xml:space="preserve">[F0239] </t>
  </si>
  <si>
    <t xml:space="preserve">[F0480] </t>
  </si>
  <si>
    <t xml:space="preserve">[F0482] </t>
  </si>
  <si>
    <t xml:space="preserve">[F0483] </t>
  </si>
  <si>
    <t xml:space="preserve">[F0484] </t>
  </si>
  <si>
    <t xml:space="preserve">[F0485] </t>
  </si>
  <si>
    <t xml:space="preserve">[F0486] </t>
  </si>
  <si>
    <t xml:space="preserve">[F0487] </t>
  </si>
  <si>
    <t xml:space="preserve">[F0488] </t>
  </si>
  <si>
    <t xml:space="preserve">[F0489] </t>
  </si>
  <si>
    <t xml:space="preserve">[F0490] </t>
  </si>
  <si>
    <t xml:space="preserve">[F0491] </t>
  </si>
  <si>
    <t xml:space="preserve">[F0492] </t>
  </si>
  <si>
    <t xml:space="preserve">[F0493] </t>
  </si>
  <si>
    <t xml:space="preserve">[F0494] </t>
  </si>
  <si>
    <t>[F0792] OP#3 서보 비상정지 알람</t>
  </si>
  <si>
    <t>[F0793] OP#4 서보 비상정지 알람</t>
  </si>
  <si>
    <t>[F0810] 어퍼 스테이지#1 제품 배출 시간초과</t>
  </si>
  <si>
    <t>[F0814] 어퍼 스테이지#1 제품 베츨 시퀀스 이상</t>
  </si>
  <si>
    <t>[F0819] 어퍼 스테이지#1 제품 데이터 불일치 이상 (X400)</t>
  </si>
  <si>
    <t>[F0820] 어퍼 스테이지#2 클린칭 지그 클램프 상승 시간초과 (Y420, X402)</t>
  </si>
  <si>
    <t>[F0821] 어퍼 스테이지#2 클린칭 지그 클램프 하강 시간초과 (Y421, X403)</t>
  </si>
  <si>
    <t>[F0822] 어퍼 스테이지#2 클램프 상승/하강 센서 이상 (X402, X403)</t>
  </si>
  <si>
    <t>[F0830] 어퍼 스테이지#2 제품 수취 시간초과</t>
  </si>
  <si>
    <t>[F0831] 어퍼 스테이지#2 제품 배출 시간초과</t>
  </si>
  <si>
    <t>[F0832] 어퍼 스테이지#2 제품 수취 시퀀스 이상</t>
  </si>
  <si>
    <t>[F0834] 어퍼 스테이지#2 제품 베츨 시퀀스 이상</t>
  </si>
  <si>
    <t>[F0839] 어퍼 스테이지#2 제품 데이터 불일치 이상 (X401)</t>
  </si>
  <si>
    <t>[F0840] 어퍼 스테이지#3 용접 지그 클램프 하강 시간초과 (Y424, X405)</t>
  </si>
  <si>
    <t>[F0841] 어퍼 스테이지#3 용접 지그 클램프 상승 시간초과 (Y425, X406)</t>
  </si>
  <si>
    <t>[F0842] 어퍼 스테이지#3 용접 지그 클램프 하강/상승 센서 이상 (X405, X406)</t>
  </si>
  <si>
    <t xml:space="preserve">[F0843] </t>
  </si>
  <si>
    <t xml:space="preserve">[F0844] </t>
  </si>
  <si>
    <t xml:space="preserve">[F0845] </t>
  </si>
  <si>
    <t xml:space="preserve">[F0846] </t>
  </si>
  <si>
    <t xml:space="preserve">[F0847] </t>
  </si>
  <si>
    <t>[F0850] 어퍼 스테이지#3 제품 수취 시간초과</t>
  </si>
  <si>
    <t>[F0851] 어퍼 스테이지#3 제품 배출 시간초과</t>
  </si>
  <si>
    <t>[F0852] 어퍼 스테이지#3 제품 수취 시퀀스 이상</t>
  </si>
  <si>
    <t xml:space="preserve">[F0853] </t>
  </si>
  <si>
    <t>[F0854] 어퍼 스테이지#3 제품 베츨 시퀀스 이상</t>
  </si>
  <si>
    <t>[F0859] 어퍼 스테이지#3 제품 데이터 불일치 이상 (X404)</t>
  </si>
  <si>
    <t xml:space="preserve">[F0860] </t>
  </si>
  <si>
    <t xml:space="preserve">[F0861] </t>
  </si>
  <si>
    <t xml:space="preserve">[F0862] </t>
  </si>
  <si>
    <t xml:space="preserve">[F0863] </t>
  </si>
  <si>
    <t xml:space="preserve">[F0864] </t>
  </si>
  <si>
    <t xml:space="preserve">[F0865] </t>
  </si>
  <si>
    <t xml:space="preserve">[F0866] </t>
  </si>
  <si>
    <t xml:space="preserve">[F0867] </t>
  </si>
  <si>
    <t xml:space="preserve">[F0868] </t>
  </si>
  <si>
    <t xml:space="preserve">[F0869] </t>
  </si>
  <si>
    <t>[F0870] 어퍼 스테이지#4 제품 수취 시간초과</t>
  </si>
  <si>
    <t>[F0871] 어퍼 스테이지#4 제품 배출 시간초과</t>
  </si>
  <si>
    <t>[F0872] 어퍼 스테이지#4 제품 수취 시퀀스 이상</t>
  </si>
  <si>
    <t>[F0874] 어퍼 스테이지#4 제품 베츨 시퀀스 이상</t>
  </si>
  <si>
    <t xml:space="preserve">[F0875] </t>
  </si>
  <si>
    <t xml:space="preserve">[F0876] </t>
  </si>
  <si>
    <t xml:space="preserve">[F0877] </t>
  </si>
  <si>
    <t xml:space="preserve">[F0878] </t>
  </si>
  <si>
    <t>[F0879] 어퍼 스테이지#4 제품 데이터 불일치 이상 (X407)</t>
  </si>
  <si>
    <t>[F0880] 어퍼 셔틀#1 셔틀 상승 시간초과 (Y426, X3C2, X3C3)</t>
  </si>
  <si>
    <t>[F0882] 어퍼 셔틀#1 셔틀 상승/하강 센서 이상 (X3C2, X3C3, X3C1)</t>
  </si>
  <si>
    <t>[F0883] 어퍼 셔틀#1 &amp;셔틀#2 기동 지령 오류 이상</t>
  </si>
  <si>
    <t>[F0884] 어퍼 셔틀#1 &amp;셔틀#2 구동 방향 오류 이상</t>
  </si>
  <si>
    <t>[F0885] 어퍼 셔틀#1 &amp;셔틀#2 간격 이상</t>
  </si>
  <si>
    <t>[F0890] 어퍼 셔틀#1 제품 수취 시간초과</t>
  </si>
  <si>
    <t>[F0891] 어퍼 셔틀#1 제품 배출 시간초과</t>
  </si>
  <si>
    <t>[F0892] 어퍼 셔틀#1 제품 수취 시퀀스 이상</t>
  </si>
  <si>
    <t>[F0894] 어퍼 셔틀#1 제품 베츨 시퀀스 이상</t>
  </si>
  <si>
    <t>[F0899] 어퍼 셔틀#1 제품 데이터 불일치 이상 (X3C0)</t>
  </si>
  <si>
    <t>[F0900] 어퍼 셔틀#2 셔틀 상승 시간초과 (Y428, X3C6, X3C7)</t>
  </si>
  <si>
    <t>[F0901] 어퍼 셔틀#2 셔틀 하강 시간초과 (Y429, X3C5)</t>
  </si>
  <si>
    <t>[F0902] 어퍼 셔틀#2 셔틀 상승/하강 센서 이상 (X3C6, X3C7, X3C5)</t>
  </si>
  <si>
    <t>[F0903] 어퍼 셔틀#2 &amp;셔틀#1 기동 지령 오류 이상</t>
  </si>
  <si>
    <t>[F0904] 어퍼 셔틀#2 &amp;셔틀#3 기동 지령 오류 이상</t>
  </si>
  <si>
    <t>[F0905] 어퍼 셔틀#2 &amp;셔틀#1 구동 방향 오류 이상</t>
  </si>
  <si>
    <t>[F0906] 어퍼 셔틀#2 &amp;셔틀#3 구동 방향 오류 이상</t>
  </si>
  <si>
    <t>[F0907] 어퍼 셔틀#2 &amp;셔틀#1 간격 이상</t>
  </si>
  <si>
    <t>[F0908] 어퍼 셔틀#2 &amp;셔틀#3 간격 이상</t>
  </si>
  <si>
    <t>[F0910] 어퍼 셔틀#2 제품 수취 시간초과</t>
  </si>
  <si>
    <t>[F0911] 어퍼 셔틀#2 제품 배출 시간초과</t>
  </si>
  <si>
    <t>[F0912] 어퍼 셔틀#2 제품 수취 시퀀스 이상</t>
  </si>
  <si>
    <t>[F0914] 어퍼 셔틀#2 제품 베츨 시퀀스 이상</t>
  </si>
  <si>
    <t>[F0919] 어퍼 셔틀#2 제품 데이터 불일치 이상 (X3C4)</t>
  </si>
  <si>
    <t>[F0920] 어퍼 셔틀#3 셔틀 상승 시간초과 (Y42A, X3CA, X3CB)</t>
  </si>
  <si>
    <t>[F0921] 어퍼 셔틀#3 셔틀 하강 시간초과 (Y42B, X3C9)</t>
  </si>
  <si>
    <t>[F0922] 어퍼 셔틀#3 셔틀 상승/하강 센서 이상 (X3CA, X3CB, X3C9)</t>
  </si>
  <si>
    <t>[F0923] 어퍼 셔틀#3 &amp;셔틀#2 기동 지령 오류 이상</t>
  </si>
  <si>
    <t>[F0924] 어퍼 셔틀#3 &amp;셔틀#2 구동 방향 오류 이상</t>
  </si>
  <si>
    <t>[F0925] 어퍼 셔틀#3 &amp;셔틀#2 간격 이상</t>
  </si>
  <si>
    <t>[F0930] 어퍼 셔틀#3 제품 수취 시간초과</t>
  </si>
  <si>
    <t>[F0931] 어퍼 셔틀#3 제품 배출 시간초과</t>
  </si>
  <si>
    <t>[F0932] 어퍼 셔틀#3 제품 수취 시퀀스 이상</t>
  </si>
  <si>
    <t>[F0934] 어퍼 셔틀#3 제품 베츨 시퀀스 이상</t>
  </si>
  <si>
    <t>[F0939] 어퍼 셔틀#3 제품 데이터 불일치 이상 (X3C8)</t>
  </si>
  <si>
    <t xml:space="preserve">[F0940] </t>
  </si>
  <si>
    <t xml:space="preserve">[F0941] </t>
  </si>
  <si>
    <t xml:space="preserve">[F0950] </t>
  </si>
  <si>
    <t>[F0951] 로우 스테이지#1 제품 배출 시간초과</t>
  </si>
  <si>
    <t>[F0954] 로우 스테이지#1 제품 베츨 시퀀스 이상</t>
  </si>
  <si>
    <t xml:space="preserve">[F0958] </t>
  </si>
  <si>
    <t>[F0959] 로우 스테이지#1 제품 데이터 불일치 이상 (X408)</t>
  </si>
  <si>
    <t>[F0960] 로우 스테이지#2 용접 지그 클램프 하강 시간초과 (Y422, X40A)</t>
  </si>
  <si>
    <t>[F0961] 로우 스테이지#2 용접 지그 클램프 상승 시간초과 (Y423, X40B)</t>
  </si>
  <si>
    <t>[F0962] 로우 스테이지#2 용접 지그 클램프 하강/상승 센서 이상 (X40A, X40B)</t>
  </si>
  <si>
    <t xml:space="preserve">[F0964] </t>
  </si>
  <si>
    <t>[F0970] 로우 스테이지#2 제품 수취 시간초과</t>
  </si>
  <si>
    <t>[F0971] 로우 스테이지#2 제품 배출 시간초과</t>
  </si>
  <si>
    <t>[F0972] 로우 스테이지#2 제품 수취 시퀀스 이상</t>
  </si>
  <si>
    <t>[F0974] 로우 스테이지#2 제품 베츨 시퀀스 이상</t>
  </si>
  <si>
    <t>[F0979] 로우 스테이지#2 제품 데이터 불일치 이상 (X409)</t>
  </si>
  <si>
    <t xml:space="preserve">[F0980] </t>
  </si>
  <si>
    <t xml:space="preserve">[F0982] </t>
  </si>
  <si>
    <t xml:space="preserve">[F0983] </t>
  </si>
  <si>
    <t xml:space="preserve">[F0984] </t>
  </si>
  <si>
    <t xml:space="preserve">[F0985] </t>
  </si>
  <si>
    <t>[F0990] 로우 스테이지#3 제품 수취 시간초과</t>
  </si>
  <si>
    <t>[F0991] 로우 스테이지#3 제품 배출 시간초과</t>
  </si>
  <si>
    <t>[F0992] 로우 스테이지#3 제품 수취 시퀀스 이상</t>
  </si>
  <si>
    <t>[F0994] 로우 스테이지#3 제품 베츨 시퀀스 이상</t>
  </si>
  <si>
    <t>[F0999] 로우 스테이지#3 제품 데이터 불일치 이상 (X40C)</t>
  </si>
  <si>
    <t xml:space="preserve">[F1000] </t>
  </si>
  <si>
    <t xml:space="preserve">[F1001] </t>
  </si>
  <si>
    <t xml:space="preserve">[F1002] </t>
  </si>
  <si>
    <t xml:space="preserve">[F1003] </t>
  </si>
  <si>
    <t xml:space="preserve">[F1004] </t>
  </si>
  <si>
    <t xml:space="preserve">[F1005] </t>
  </si>
  <si>
    <t xml:space="preserve">[F1006] </t>
  </si>
  <si>
    <t xml:space="preserve">[F1007] </t>
  </si>
  <si>
    <t xml:space="preserve">[F1008] </t>
  </si>
  <si>
    <t xml:space="preserve">[F1009] </t>
  </si>
  <si>
    <t>[F1010] 로우 스테이지#4 제품 수취 시간초과</t>
  </si>
  <si>
    <t>[F1011] 로우 스테이지#4 제품 배출 시간초과</t>
  </si>
  <si>
    <t>[F1012] 로우 스테이지#4 제품 수취 시퀀스 이상</t>
  </si>
  <si>
    <t xml:space="preserve">[F1013] </t>
  </si>
  <si>
    <t>[F1014] 로우 스테이지#4 제품 베츨 시퀀스 이상</t>
  </si>
  <si>
    <t xml:space="preserve">[F1015] </t>
  </si>
  <si>
    <t xml:space="preserve">[F1016] </t>
  </si>
  <si>
    <t xml:space="preserve">[F1017] </t>
  </si>
  <si>
    <t xml:space="preserve">[F1018] </t>
  </si>
  <si>
    <t>[F1019] 로우 스테이지#4 제품 데이터 불일치 이상 (X40D)</t>
  </si>
  <si>
    <t>[F1020] 로우 셔틀#1 셔틀 상승 시간초과 (Y436, X3D3)</t>
  </si>
  <si>
    <t>[F1021] 로우 셔틀#1 셔틀 하강 시간초과 (Y437, X3D1)</t>
  </si>
  <si>
    <t>[F1022] 로우 셔틀#1 셔틀 상승/하강 센서 이상 (X3D3, X3D1)</t>
  </si>
  <si>
    <t>[F1023] 로우 셔틀#1 &amp;셔틀#2 기동 지령 오류 이상</t>
  </si>
  <si>
    <t>[F1024] 로우 셔틀#1 &amp;셔틀#2 구동 방향 오류 이상</t>
  </si>
  <si>
    <t>[F1025] 로우 셔틀#1 &amp;셔틀#2 간격 이상</t>
  </si>
  <si>
    <t>[F1030] 로우 셔틀#1 제품 수취 시간초과</t>
  </si>
  <si>
    <t>[F1031] 로우 셔틀#1 제품 배출 시간초과</t>
  </si>
  <si>
    <t>[F1032] 로우 셔틀#1 제품 수취 시퀀스 이상</t>
  </si>
  <si>
    <t xml:space="preserve">[F1033] </t>
  </si>
  <si>
    <t>[F1034] 로우 셔틀#1 제품 베츨 시퀀스 이상</t>
  </si>
  <si>
    <t xml:space="preserve">[F1036] </t>
  </si>
  <si>
    <t xml:space="preserve">[F1037] </t>
  </si>
  <si>
    <t xml:space="preserve">[F1038] </t>
  </si>
  <si>
    <t>[F1039] 로우 셔틀#1 제품 데이터 불일치 이상 (X3D0)</t>
  </si>
  <si>
    <t>[F1040] 로우 셔틀#2 셔틀 상승 시간초과 (Y438, X3D7)</t>
  </si>
  <si>
    <t>[F1041] 로우 셔틀#2 셔틀 하강 시간초과 (Y439, X3D5)</t>
  </si>
  <si>
    <t>[F1042] 로우 셔틀#2 셔틀 상승/하강 센서 이상 (X3D7, X3D5)</t>
  </si>
  <si>
    <t>[F1043] 로우 셔틀#2 &amp;셔틀#1 기동 지령 오류 이상</t>
  </si>
  <si>
    <t>[F1044] 로우 셔틀#2 &amp;셔틀#3 기동 지령 오류 이상</t>
  </si>
  <si>
    <t>[F1045] 로우 셔틀#2 &amp;셔틀#1 구동 방향 오류 이상</t>
  </si>
  <si>
    <t>[F1046] 로우 셔틀#2 &amp;셔틀#3 구동 방향 오류 이상</t>
  </si>
  <si>
    <t>[F1047] 로우 셔틀#2 &amp;셔틀#1 간격 이상</t>
  </si>
  <si>
    <t>[F1048] 로우 셔틀#2 &amp;셔틀#3 간격 이상</t>
  </si>
  <si>
    <t xml:space="preserve">[F1049] </t>
  </si>
  <si>
    <t>[F1050] 로우 셔틀#2 제품 수취 시간초과</t>
  </si>
  <si>
    <t>[F1051] 로우 셔틀#2 제품 배출 시간초과</t>
  </si>
  <si>
    <t>[F1052] 로우 셔틀#2 제품 수취 시퀀스 이상</t>
  </si>
  <si>
    <t xml:space="preserve">[F1053] </t>
  </si>
  <si>
    <t>[F1054] 로우 셔틀#2 제품 베츨 시퀀스 이상</t>
  </si>
  <si>
    <t>[F1059] 로우 셔틀#2 제품 데이터 불일치 이상 (X3D4)</t>
  </si>
  <si>
    <t>[F1060] 로우 셔틀#3 셔틀 상승 시간초과 (Y43A, X3DB)</t>
  </si>
  <si>
    <t>[F1061] 로우 셔틀#3 셔틀 하강 시간초과 (Y43B, X3D9)</t>
  </si>
  <si>
    <t>[F1062] 로우 셔틀#3 셔틀 상승/하강 센서 이상 (X3DB, X3D9)</t>
  </si>
  <si>
    <t>[F1063] 로우 셔틀#3 &amp;셔틀#2 기동 지령 오류 이상</t>
  </si>
  <si>
    <t>[F1064] 로우 셔틀#3 &amp;셔틀#2 구동 방향 오류 이상</t>
  </si>
  <si>
    <t>[F1065] 로우 셔틀#3 &amp;셔틀#2 간격 이상</t>
  </si>
  <si>
    <t>[F1070] 로우 셔틀#3 제품 수취 시간초과</t>
  </si>
  <si>
    <t>[F1071] 로우 셔틀#3 제품 배출 시간초과</t>
  </si>
  <si>
    <t>[F1072] 로우 셔틀#3 제품 수취 시퀀스 이상</t>
  </si>
  <si>
    <t xml:space="preserve">[F1073] </t>
  </si>
  <si>
    <t>[F1074] 로우 셔틀#3 제품 베츨 시퀀스 이상</t>
  </si>
  <si>
    <t>[F1079] 로우 셔틀#3 제품 데이터 불일치 이상 (X3D8)</t>
  </si>
  <si>
    <t xml:space="preserve">[F1080] </t>
  </si>
  <si>
    <t xml:space="preserve">[F1082] </t>
  </si>
  <si>
    <t xml:space="preserve">[F1085] </t>
  </si>
  <si>
    <t>[F1086] 어퍼 커버 용접 용접 건 하강 시간초과 (Y48A, X44E, X46E)</t>
  </si>
  <si>
    <t>[F1087] 어퍼 커버 용접 용접 건 상승 시간초과 (Y48B, X44D, X46D)</t>
  </si>
  <si>
    <t>[F1088] 어퍼 커버 용접 용접 건 상승/하강 센서 이상 (X44D, X44E, X46D, X46E)</t>
  </si>
  <si>
    <t xml:space="preserve">[F1090] </t>
  </si>
  <si>
    <t xml:space="preserve">[F1091] </t>
  </si>
  <si>
    <t xml:space="preserve">[F1092] </t>
  </si>
  <si>
    <t xml:space="preserve">[F1094] </t>
  </si>
  <si>
    <t xml:space="preserve">[F1099] </t>
  </si>
  <si>
    <t xml:space="preserve">[F1100] </t>
  </si>
  <si>
    <t xml:space="preserve">[F1101] </t>
  </si>
  <si>
    <t xml:space="preserve">[F1102] </t>
  </si>
  <si>
    <t xml:space="preserve">[F1103] </t>
  </si>
  <si>
    <t xml:space="preserve">[F1104] </t>
  </si>
  <si>
    <t xml:space="preserve">[F1105] </t>
  </si>
  <si>
    <t xml:space="preserve">[F1106] </t>
  </si>
  <si>
    <t>[F1107] 어퍼 커버 용접-1 품질 이상 에러</t>
  </si>
  <si>
    <t>[F1108] 어퍼 커버 용접-2 품질 이상 에러</t>
  </si>
  <si>
    <t>[F1109] 에퍼 커버 용접기 에러</t>
  </si>
  <si>
    <t>[F1110] 어퍼 커버 용접 제품 수취 시간초과</t>
  </si>
  <si>
    <t>[F1111] 어퍼 커버 용접 제품 배출 시간초과</t>
  </si>
  <si>
    <t>[F1112] 어퍼 커버 용접 제품 수취 시퀀스 이상</t>
  </si>
  <si>
    <t>[F1113] 어퍼 커버 용접 제품 공정 시퀀스 이상</t>
  </si>
  <si>
    <t>[F1114] 어퍼 커버 용접 제품 베츨 시퀀스 이상</t>
  </si>
  <si>
    <t>[F1119] 어퍼 커버 용접 제품 데이터 불일치 이상 (X44F, X46F)</t>
  </si>
  <si>
    <t>[F1120] 어퍼 커버 공급 로봇L 클램프 전진 시간초과 (Y4DA, X4BA)</t>
  </si>
  <si>
    <t>[F1121] 어퍼 커버 공급 로봇L 클램프 후진 시간초과 (Y4DB)</t>
  </si>
  <si>
    <t>[F1122] 어퍼 커버 공급 로봇L 커버 픽업 상승 시간초과 (Y486, X469)</t>
  </si>
  <si>
    <t>[F1123] 어퍼 커버 공급 로봇L 커버 픽업 하강 시간초과 (Y487, X46A)</t>
  </si>
  <si>
    <t>[F1124] 어퍼 커버 공급 로봇L 커버 픽업 상승/하강 센서 이상 (X469, X46A)</t>
  </si>
  <si>
    <t>[F1125] 어퍼 커버 공급 로봇L 커버 픽업 시프트 전진 시간초과 (Y488, X467)</t>
  </si>
  <si>
    <t>[F1126] 어퍼 커버 공급 로봇L 커버 픽업 시프트 후진 시간초과 (Y489, X468)</t>
  </si>
  <si>
    <t>[F1127] 어퍼 커버 공급 로봇L 커버 픽업 시프트 전진/후진 센서 이상 (X467, X468)</t>
  </si>
  <si>
    <t>[F1128] 어퍼 커버 공급 로봇L 커버 픽업 회전 시간초과 (Y4D0, X464)</t>
  </si>
  <si>
    <t>[F1129] 어퍼 커버 공급 로봇L 커버 픽업 회전 복귀 시간초과 (Y4D1, X465)</t>
  </si>
  <si>
    <t>[F1130] 어퍼 커버 공급 로봇L 커버 픽업 회전/복귀 센서 이상 (X464, X465)</t>
  </si>
  <si>
    <t>[F1131] 어퍼 커버 공급 로봇L 제품 수취 시간초과</t>
  </si>
  <si>
    <t>[F1132] 어퍼 커버 공급 로봇L 제품 배출 시간초과</t>
  </si>
  <si>
    <t>[F1133] 어퍼 커버 공급 로봇L 제품 수취 시퀀스 이상</t>
  </si>
  <si>
    <t>[F1134] 어퍼 커버 공급 로봇L 제품 베츨 시퀀스 이상</t>
  </si>
  <si>
    <t>[F1135] 어퍼 커버 공급 로봇L 리모트 모드 상태 이상</t>
  </si>
  <si>
    <t>[F1136] 어퍼 커버 공급 로봇L 서보 온 상태 이상</t>
  </si>
  <si>
    <t>[F1137] 어퍼 커버 공급 로봇L 초기화 필요</t>
  </si>
  <si>
    <t>[F1138] 어퍼 커버 공급 로봇L 팬던트 비상 정지 이상 (XB0D)</t>
  </si>
  <si>
    <t>[F1139] 어퍼 커버 공급 로봇L 콘트롤러 비상 정지 이상 (XB0E)</t>
  </si>
  <si>
    <t>[F1140] 어퍼 커버 공급 로봇R 클램프 전진 시간초과 (Y4DC, X4BB)</t>
  </si>
  <si>
    <t>[F1141] 어퍼 커버 공급 로봇R 클램프 후진 시간초과 (Y4DD)</t>
  </si>
  <si>
    <t>[F1142] 어퍼 커버 공급 로봇R 커버 픽업 상승 시간초과 (Y496, X4A9)</t>
  </si>
  <si>
    <t>[F1143] 어퍼 커버 공급 로봇R 커버 픽업 하강 시간초과 (Y497, X4AA)</t>
  </si>
  <si>
    <t>[F1144] 어퍼 커버 공급 로봇R 커버 픽업 상승/하강 센서 이상 (X4A9, X4AA)</t>
  </si>
  <si>
    <t>[F1145] 어퍼 커버 공급 로봇R 커버 픽업 시프트 전진 시간초과 (Y498, X4A7)</t>
  </si>
  <si>
    <t>[F1146] 어퍼 커버 공급 로봇R 커버 픽업 시프트 후진 시간초과 (Y499, X4A8)</t>
  </si>
  <si>
    <t>[F1147] 어퍼 커버 공급 로봇R 커버 픽업 시프트 전진/후진 센서 이상 (X4A7, X4A8)</t>
  </si>
  <si>
    <t>[F1148] 어퍼 커버 공급 로봇R 커버 픽업 회전 시간초과 (Y4D2, X4A4)</t>
  </si>
  <si>
    <t>[F1149] 어퍼 커버 공급 로봇R 커버 픽업 회전 복귀 시간초과 (Y4D3, X4A5)</t>
  </si>
  <si>
    <t>[F1150] 어퍼 커버 공급 로봇R 커버 픽업 회전/복귀 센서 이상 (X4A4, X4A5)</t>
  </si>
  <si>
    <t>[F1151] 어퍼 커버 공급 로봇R 제품 수취 시간초과</t>
  </si>
  <si>
    <t>[F1152] 어퍼 커버 공급 로봇R 제품 배출 시간초과</t>
  </si>
  <si>
    <t>[F1153] 어퍼 커버 공급 로봇R 제품 수취 시퀀스 이상</t>
  </si>
  <si>
    <t>[F1154] 어퍼 커버 공급 로봇R 제품 베츨 시퀀스 이상</t>
  </si>
  <si>
    <t>[F1155] 어퍼 커버 공급 로봇R 리모트 모드 상태 이상</t>
  </si>
  <si>
    <t>[F1156] 어퍼 커버 공급 로봇R 서보 온 상태 이상</t>
  </si>
  <si>
    <t>[F1157] 어퍼 커버 공급 로봇R 초기화 필요</t>
  </si>
  <si>
    <t>[F1158] 어퍼 커버 공급 로봇R 팬던트 비상 정지 이상 (XB8D)</t>
  </si>
  <si>
    <t>[F1159] 어퍼 커버 공급 로봇R 콘트롤러 비상 정지 이상 (XB8E)</t>
  </si>
  <si>
    <t xml:space="preserve">[F1160] </t>
  </si>
  <si>
    <t xml:space="preserve">[F1161] </t>
  </si>
  <si>
    <t xml:space="preserve">[F1162] </t>
  </si>
  <si>
    <t xml:space="preserve">[F1163] </t>
  </si>
  <si>
    <t xml:space="preserve">[F1164] </t>
  </si>
  <si>
    <t xml:space="preserve">[F1165] </t>
  </si>
  <si>
    <t>[F1169] 로우 커버 용접 용접 건 하강 시간초과 (Y52B, X4EE, X50E)</t>
  </si>
  <si>
    <t>[F1170] 로우 커버 용접 용접 건 상승 시간초과 (Y52A, X4ED, X50D)</t>
  </si>
  <si>
    <t>[F1171] 로우 커버 용접 용접 건 상승/하강 센서 이상 (X4EE, X50E, X4ED, X50D)</t>
  </si>
  <si>
    <t xml:space="preserve">[F1172] </t>
  </si>
  <si>
    <t xml:space="preserve">[F1174] </t>
  </si>
  <si>
    <t xml:space="preserve">[F1175] </t>
  </si>
  <si>
    <t xml:space="preserve">[F1176] </t>
  </si>
  <si>
    <t xml:space="preserve">[F1177] </t>
  </si>
  <si>
    <t xml:space="preserve">[F1178] </t>
  </si>
  <si>
    <t xml:space="preserve">[F1179] </t>
  </si>
  <si>
    <t xml:space="preserve">[F1180] </t>
  </si>
  <si>
    <t xml:space="preserve">[F1182] </t>
  </si>
  <si>
    <t xml:space="preserve">[F1183] </t>
  </si>
  <si>
    <t xml:space="preserve">[F1184] </t>
  </si>
  <si>
    <t xml:space="preserve">[F1185] </t>
  </si>
  <si>
    <t>[F1187] 로우 커버 용접-1 품질 이상 에러</t>
  </si>
  <si>
    <t>[F1188] 로우 커버 용접-2 품질 이상 에러</t>
  </si>
  <si>
    <t>[F1189] 로우 커버 용접기 에러</t>
  </si>
  <si>
    <t>[F1190] 로우 커버 용접 제품 수취 시간초과</t>
  </si>
  <si>
    <t>[F1191] 로우 커버 용접 제품 배출 시간초과</t>
  </si>
  <si>
    <t>[F1192] 로우 커버 용접 제품 수취 시퀀스 이상</t>
  </si>
  <si>
    <t>[F1193] 로우 커버 용접 제품 공정 시퀀스 이상</t>
  </si>
  <si>
    <t>[F1194] 로우 커버 용접 제품 베츨 시퀀스 이상</t>
  </si>
  <si>
    <t>[F1199] 로우 커버 용접 제품 데이터 불일치 이상 (X4EF, X50F)</t>
  </si>
  <si>
    <t>[F1200] 로우 커버 공급 로봇L 클램프 전진 시간초과 (Y527, X4FC)</t>
  </si>
  <si>
    <t>[F1201] 로우 커버 공급 로봇L 클램프 후진 시간초과 (Y526)</t>
  </si>
  <si>
    <t>[F1202] 로우 커버 공급 로봇L 커버 픽업 상승 시간초과 (Y524, X4E9)</t>
  </si>
  <si>
    <t>[F1203] 로우 커버 공급 로봇L 커버 픽업 하강 시간초과 (Y525, X4EA)</t>
  </si>
  <si>
    <t>[F1204] 로우 커버 공급 로봇L 커버 픽업 상승/하강 센서 이상 (X4E9, X4EA)</t>
  </si>
  <si>
    <t>[F1205] 로우 커버 공급 로봇L 커버 픽업 시프트 전진 시간초과 (Y528, X4E7)</t>
  </si>
  <si>
    <t>[F1206] 로우 커버 공급 로봇L 커버 픽업 시프트 후진 시간초과 (Y529, X4E8)</t>
  </si>
  <si>
    <t>[F1207] 로우 커버 공급 로봇L 커버 픽업 시프트 전진/후진 센서 이상 (X4E7, X4E8)</t>
  </si>
  <si>
    <t>[F1208] 로우 커버 공급 로봇L 커버 픽업 회전 시간초과 (Y52C, X4E4)</t>
  </si>
  <si>
    <t>[F1209] 로우 커버 공급 로봇L 커버 픽업 회전 복귀 시간초과 (Y52D, X4E5)</t>
  </si>
  <si>
    <t>[F1210] 로우 커버 공급 로봇L 커버 픽업 회전/복귀 센서 이상 (X4E4, X4E5)</t>
  </si>
  <si>
    <t>[F1211] 로우 커버 공급 로봇L 제품 수취 시간초과</t>
  </si>
  <si>
    <t>[F1212] 로우 커버 공급 로봇L 제품 배출 시간초과</t>
  </si>
  <si>
    <t>[F1213] 로우 커버 공급 로봇L 제품 수취 시퀀스 이상</t>
  </si>
  <si>
    <t>[F1214] 로우 커버 공급 로봇L 제품 베츨 시퀀스 이상</t>
  </si>
  <si>
    <t>[F1215] 로우 커버 공급 로봇L 리모트 모드 상태 이상</t>
  </si>
  <si>
    <t>[F1216] 로우 커버 공급 로봇L 서보 온 상태 이상</t>
  </si>
  <si>
    <t>[F1217] 로우 커버 공급 로봇L 초기화 필요</t>
  </si>
  <si>
    <t>[F1218] 로우 커버 공급 로봇L 팬던트 비상 정지 이상 (XC0D)</t>
  </si>
  <si>
    <t>[F1219] 로우 커버 공급 로봇L 콘트롤러 비상 정지 이상 (XC0E)</t>
  </si>
  <si>
    <t>[F1220] 로우 커버 공급 로봇R 클램프 전진 시간초과 (Y533, X4FC)</t>
  </si>
  <si>
    <t>[F1221] 로우 커버 공급 로봇R 클램프 후진 시간초과 (Y52F)</t>
  </si>
  <si>
    <t>[F1222] 로우 커버 공급 로봇R 커버 픽업 상승 시간초과 (Y534, X509)</t>
  </si>
  <si>
    <t>[F1223] 로우 커버 공급 로봇R 커버 픽업 하강 시간초과 (Y535, X50A)</t>
  </si>
  <si>
    <t>[F1224] 로우 커버 공급 로봇R 커버 픽업 상승/하강 센서 이상 (X509, X50A)</t>
  </si>
  <si>
    <t>[F1225] 로우 커버 공급 로봇R 커버 픽업 시프트 전진 시간초과 (Y538, X507)</t>
  </si>
  <si>
    <t>[F1226] 로우 커버 공급 로봇R 커버 픽업 시프트 후진 시간초과 (Y539, X508)</t>
  </si>
  <si>
    <t>[F1227] 로우 커버 공급 로봇R 커버 픽업 시프트 전진/후진 센서 이상 (X507, X508)</t>
  </si>
  <si>
    <t>[F1228] 로우 커버 공급 로봇R 커버 픽업 회전 시간초과 (Y53C, X50B)</t>
  </si>
  <si>
    <t>[F1229] 로우 커버 공급 로봇R 커버 픽업 회전 복귀 시간초과 (Y53D, X504)</t>
  </si>
  <si>
    <t>[F1230] 로우 커버 공급 로봇R 커버 픽업 회전/복귀 센서 이상 (X50B, X504)</t>
  </si>
  <si>
    <t>[F1231] 로우 커버 공급 로봇R 제품 수취 시간초과</t>
  </si>
  <si>
    <t>[F1232] 로우 커버 공급 로봇R 제품 배출 시간초과</t>
  </si>
  <si>
    <t>[F1233] 로우 커버 공급 로봇R 제품 수취 시퀀스 이상</t>
  </si>
  <si>
    <t>[F1234] 로우 커버 공급 로봇R 제품 베츨 시퀀스 이상</t>
  </si>
  <si>
    <t>[F1235] 로우 커버 공급 로봇R 리모트 모드 상태 이상</t>
  </si>
  <si>
    <t>[F1236] 로우 커버 공급 로봇R 서보 온 상태 이상</t>
  </si>
  <si>
    <t>[F1237] 로우 커버 공급 로봇R 초기화 필요</t>
  </si>
  <si>
    <t>[F1238] 로우 커버 공급 로봇R 팬던트 비상 정지 이상 (XC8D)</t>
  </si>
  <si>
    <t>[F1239] 로우 커버 공급 로봇R 콘트롤러 비상 정지 이상 (XC8E)</t>
  </si>
  <si>
    <t>[F1240] 어퍼 브라켓 클린칭 오일 탱크 A 선택 시간 초과 (Y49E, X47A)</t>
  </si>
  <si>
    <t>[F1241] 어퍼 브라켓 클린칭 오일 탱크 B 선택 시간 초과 (Y49F, X47B)</t>
  </si>
  <si>
    <t>[F1242] 어퍼 브라켓 클린칭 오일 탱크 선택 센서 이상 (X47A, X47B)</t>
  </si>
  <si>
    <t>[F1253] 어퍼 브라켓 클린칭 제품 공정 시퀀스 이상</t>
  </si>
  <si>
    <t>[F1259] 어퍼 브라켓 클린칭 제품 데이터 불일치 이상 (X45D)</t>
  </si>
  <si>
    <t>[F1260] 어퍼 브라켓 공급 로봇 브라켓 픽업 상승 시간초과 (Y4C6, X449)</t>
  </si>
  <si>
    <t>[F1261] 어퍼 브라켓 공급 로봇 브라켓 픽업 하강 시간초과 (Y4C7, X44A)</t>
  </si>
  <si>
    <t>[F1262] 어퍼 브라켓 공급 로봇 브라켓 픽업 상승/하강 센서 이상 (X449, X44A)</t>
  </si>
  <si>
    <t>[F1263] 어퍼 브라켓 공급 로봇 브라켓 픽업 진공 On 시간초과 (Y4C3, X446)</t>
  </si>
  <si>
    <t>[F1264] 어퍼 브라켓 공급 로봇 브라켓 픽업 진공 Off 시간초과 (Y4C4)</t>
  </si>
  <si>
    <t>[F1265] 어퍼 브라켓 공급 로봇 브라켓 공급 로봇 진공 On 시간초과 (Y4CB, X453)</t>
  </si>
  <si>
    <t>[F1266] 어퍼 브라켓 공급 로봇 브라켓 공급 로봇 진공 Off 시간초과 (Y4CC)</t>
  </si>
  <si>
    <t>[F1267] 어퍼 브라켓 공급 로봇 비젼 NG</t>
  </si>
  <si>
    <t xml:space="preserve">[F1268] </t>
  </si>
  <si>
    <t xml:space="preserve">[F1269] </t>
  </si>
  <si>
    <t>[F1270] 어퍼 브라켓 공급 로봇 제품 수취 시간초과</t>
  </si>
  <si>
    <t>[F1271] 어퍼 브라켓 공급 로봇 제품 배출 시간초과</t>
  </si>
  <si>
    <t>[F1272] 어퍼 브라켓 공급 로봇 제품 수취 시퀀스 이상</t>
  </si>
  <si>
    <t>[F1273] 어퍼 브라켓 공급 로봇 제품 데이터 불일치 이상</t>
  </si>
  <si>
    <t>[F1274] 어퍼 브라켓 공급 로봇 제품 베츨 시퀀스 이상</t>
  </si>
  <si>
    <t>[F1275] 어퍼 브라켓 공급 로봇 리모트 모드 상태 이상</t>
  </si>
  <si>
    <t>[F1276] 어퍼 브라켓 공급 로봇 서보 온 상태 이상</t>
  </si>
  <si>
    <t>[F1277] 어퍼 브라켓 공급 로봇 초기화 필요</t>
  </si>
  <si>
    <t>[F1278] 어퍼 브라켓 공급 로봇 팬던트 비상 정지 이상 (XD0D)</t>
  </si>
  <si>
    <t>[F1279] 어퍼 브라켓 공급 로봇 콘트롤러 비상 정지 이상 (XD0E)</t>
  </si>
  <si>
    <t>[F1280] 커버 이송 이재기 어퍼 진공 On 시간초과 (Y630, X611, X612)</t>
  </si>
  <si>
    <t>[F1282] 커버 이송 이재기 로우 진공 On 시간초과 (Y633, X615, X616)</t>
  </si>
  <si>
    <t>[F1283] 커버 이송 이재기 로우 진공 Off 시간초과 (Y634)</t>
  </si>
  <si>
    <t>[F1290] 커버 이송 이재기 제품 수취 시간초과</t>
  </si>
  <si>
    <t>[F1291] 커버 이송 이재기 제품 배출 시간초과</t>
  </si>
  <si>
    <t>[F1292] 커버 이송 이재기 제품 수취 시퀀스 이상</t>
  </si>
  <si>
    <t>[F1294] 커버 이송 이재기 제품 베츨 시퀀스 이상</t>
  </si>
  <si>
    <t>[F1299] 커버 이송 이재기 제품 데이터 불일치 이상 (X610, X614)</t>
  </si>
  <si>
    <t>[F1800] 어퍼 브라켓 클린칭 오일 공급 탱크 A 유량 확인 경고 (X47C)</t>
  </si>
  <si>
    <t>[F1801] 어퍼 브라켓 클린칭 오일 공급 탱크 B 유량 확인 경고 (X47D)</t>
  </si>
  <si>
    <t>[F1802] 로우 실란트 공급 탱크 A 유량 확인 경고 (XAAC)</t>
  </si>
  <si>
    <t>[F1803] 로우 실란트 공급 탱크 B 유량 확인 경고 (XAAD)</t>
  </si>
  <si>
    <t>[F1804] 어퍼 실란트 공급 탱크 A 유량 확인 경고 (XAAA)</t>
  </si>
  <si>
    <t>[F1805] 어퍼 실란트 공급 탱크 B 유량 확인 경고 (XAAB)</t>
  </si>
  <si>
    <t>[F1900] 히터판넬Fan#1 Alarm</t>
  </si>
  <si>
    <t>[F1901] 히터판넬Fan#2 Alarm</t>
  </si>
  <si>
    <t>[F1902] 히터판넬Fan#3 Alarm</t>
  </si>
  <si>
    <t>[F1903] 히터판넬Fan#4 Alarm</t>
  </si>
  <si>
    <t>[F1904] 히터판넬Fan#5 Alarm</t>
  </si>
  <si>
    <t>[F1905] 히터판넬Fan#6 Alarm</t>
  </si>
  <si>
    <t>[F1906] 어퍼 용접기 판넬Fan#1 Alarm</t>
  </si>
  <si>
    <t>[F1907] 어퍼 용접기 판넬Fan#2 Alarm</t>
  </si>
  <si>
    <t>[F1908] 메인 판넬Fan#1 Alarm</t>
  </si>
  <si>
    <t>[F1909] 메인 판넬Fan#2 Alarm</t>
  </si>
  <si>
    <t>[F1910] 메인 판넬Fan#3 Alarm</t>
  </si>
  <si>
    <t>[F1911] 메인 판넬Fan#4 Alarm</t>
  </si>
  <si>
    <t>[F1912] 메인 판넬Fan#5 Alarm</t>
  </si>
  <si>
    <t>[F1913] 메인 판넬Fan#6 Alarm</t>
  </si>
  <si>
    <t>[F1914] 메인 판넬Fan#7 Alarm</t>
  </si>
  <si>
    <t>[F1915] 메인 판넬Fan#8 Alarm</t>
  </si>
  <si>
    <t>[F1916] 서브 판넬Fan#1 Alarm</t>
  </si>
  <si>
    <t>[F1917] 서브 판넬Fan#2 Alarm</t>
  </si>
  <si>
    <t>[F1918] 서브 판넬Fan#3 Alarm</t>
  </si>
  <si>
    <t>[F1919] 서브 판넬Fan#4 Alarm</t>
  </si>
  <si>
    <t>[F1920] 서브 판넬Fan#5 Alarm</t>
  </si>
  <si>
    <t>[F1921] 서브 판넬Fan#6 Alarm</t>
  </si>
  <si>
    <t>[F1922] 서브 판넬Fan#7 Alarm</t>
  </si>
  <si>
    <t>[F1923] 서브 판넬Fan#8 Alarm</t>
  </si>
  <si>
    <t>[F1924] 서브 판넬Fan#9 Alarm</t>
  </si>
  <si>
    <t>[F1930] 어퍼 커버 용접 브라켓 파츠피더-1 미준비 에러</t>
  </si>
  <si>
    <t>[F1931] 어퍼 커버 용접 브라켓 파츠피더-2 미준비 에러</t>
  </si>
  <si>
    <t>[F1932] 로어 커버 용접 브라켓 파츠피더-1 미준비 에러</t>
  </si>
  <si>
    <t>[F1933] 로어 커버 용접 브라켓 파츠피더-2 미준비 에러</t>
  </si>
  <si>
    <t>[F1934] 어퍼 커버 클린칭 브라켓 파츠피더 미준비 에러</t>
  </si>
  <si>
    <t>[F0023] Door-24 열림 이상 (X326, X327)</t>
  </si>
  <si>
    <t>[F0024] Door-25 열림 이상 (X328, X329)</t>
  </si>
  <si>
    <t>[F0025] Door-26 열림 이상 (X32A, X32B)</t>
  </si>
  <si>
    <t>[F0026] Door-27 열림 이상 (X32E, X32F)</t>
  </si>
  <si>
    <t>[F0027] Door-28 열림 이상</t>
  </si>
  <si>
    <t>[F0032] 댐핑시트 공급 Light Curtain 감지 이상 (XA6A)</t>
  </si>
  <si>
    <t>[F0033] 반전기 Light Curtain 감지 이상 (XA6B)</t>
  </si>
  <si>
    <t>[F0240] 슬레이트 컨베어(SD214) 운전중에 Ready가 Off 되었습니다.</t>
  </si>
  <si>
    <t>[F0241] 슬레이트 컨베어(SD214) FLS가 감지되었습니다.</t>
  </si>
  <si>
    <t>[F0242] 슬레이트 컨베어(SD214) RLS가 감지되었습니다.</t>
  </si>
  <si>
    <t>[F0243] 슬레이트 컨베어(SD214) Stop 명령이 On된 상태에서 기동을 시도했습니다.</t>
  </si>
  <si>
    <t>[F0244] 슬레이트 컨베어(SD214) 가동 전원이 Off 되었습니다.</t>
  </si>
  <si>
    <t>[F0245] 슬레이트 컨베어(SD214) 엔코더 이상이 검출되었습니다.</t>
  </si>
  <si>
    <t>[F0246] 슬레이트 컨베어(SD214) 과전류가 검출되었습니다.</t>
  </si>
  <si>
    <t>[F0247] 슬레이트 컨베어(SD214) 과부하가 검출되었습니다.</t>
  </si>
  <si>
    <t xml:space="preserve">[F0248] 슬레이트 컨베어(SD214)  </t>
  </si>
  <si>
    <t>[F0249] 슬레이트 컨베어(SD214) 에러가 발생했습니다.</t>
  </si>
  <si>
    <t>[F0260] 어퍼/로우 커버 이재기 X축(SD219) 운전중에 Ready가 Off 되었습니다.</t>
  </si>
  <si>
    <t>[F0261] 어퍼/로우 커버 이재기 X축(SD219) FLS가 감지되었습니다.</t>
  </si>
  <si>
    <t>[F0262] 어퍼/로우 커버 이재기 X축(SD219) RLS가 감지되었습니다.</t>
  </si>
  <si>
    <t>[F0263] 어퍼/로우 커버 이재기 X축(SD219) Stop 명령이 On된 상태에서 기동을 시도했습니다.</t>
  </si>
  <si>
    <t>[F0264] 어퍼/로우 커버 이재기 X축(SD219) 가동 전원이 Off 되었습니다.</t>
  </si>
  <si>
    <t>[F0265] 어퍼/로우 커버 이재기 X축(SD219) 엔코더 이상이 검출되었습니다.</t>
  </si>
  <si>
    <t>[F0266] 어퍼/로우 커버 이재기 X축(SD219) 과전류가 검출되었습니다.</t>
  </si>
  <si>
    <t>[F0267] 어퍼/로우 커버 이재기 X축(SD219) 과부하가 검출되었습니다.</t>
  </si>
  <si>
    <t xml:space="preserve">[F0268] 어퍼/로우 커버 이재기 X축(SD219)  </t>
  </si>
  <si>
    <t>[F0269] 어퍼/로우 커버 이재기 X축(SD219) 에러가 발생했습니다.</t>
  </si>
  <si>
    <t>[F0270] 어퍼/로우 커버 이재기 Z축(SD220) 운전중에 Ready가 Off 되었습니다.</t>
  </si>
  <si>
    <t>[F0271] 어퍼/로우 커버 이재기 Z축(SD220) FLS가 감지되었습니다.</t>
  </si>
  <si>
    <t>[F0272] 어퍼/로우 커버 이재기 Z축(SD220) RLS가 감지되었습니다.</t>
  </si>
  <si>
    <t>[F0273] 어퍼/로우 커버 이재기 Z축(SD220) Stop 명령이 On된 상태에서 기동을 시도했습니다.</t>
  </si>
  <si>
    <t>[F0274] 어퍼/로우 커버 이재기 Z축(SD220) 가동 전원이 Off 되었습니다.</t>
  </si>
  <si>
    <t>[F0275] 어퍼/로우 커버 이재기 Z축(SD220) 엔코더 이상이 검출되었습니다.</t>
  </si>
  <si>
    <t>[F0276] 어퍼/로우 커버 이재기 Z축(SD220) 과전류가 검출되었습니다.</t>
  </si>
  <si>
    <t>[F0277] 어퍼/로우 커버 이재기 Z축(SD220) 과부하가 검출되었습니다.</t>
  </si>
  <si>
    <t xml:space="preserve">[F0278] 어퍼/로우 커버 이재기 Z축(SD220)  </t>
  </si>
  <si>
    <t>[F0279] 어퍼/로우 커버 이재기 Z축(SD220) 에러가 발생했습니다.</t>
  </si>
  <si>
    <t>[F0280] 댐핑시트 공급 테이블#1(SD217) 운전중에 Ready가 Off 되었습니다.</t>
  </si>
  <si>
    <t>[F0282] 댐핑시트 공급 테이블#1(SD217) RLS가 감지되었습니다.</t>
  </si>
  <si>
    <t>[F0283] 댐핑시트 공급 테이블#1(SD217) Stop 명령이 On된 상태에서 기동을 시도했습니다.</t>
  </si>
  <si>
    <t>[F0284] 댐핑시트 공급 테이블#1(SD217) 가동 전원이 Off 되었습니다.</t>
  </si>
  <si>
    <t>[F0285] 댐핑시트 공급 테이블#1(SD217) 엔코더 이상이 검출되었습니다.</t>
  </si>
  <si>
    <t>[F0286] 댐핑시트 공급 테이블#1(SD217) 과전류가 검출되었습니다.</t>
  </si>
  <si>
    <t>[F0287] 댐핑시트 공급 테이블#1(SD217) 과부하가 검출되었습니다.</t>
  </si>
  <si>
    <t xml:space="preserve">[F0288] 댐핑시트 공급 테이블#1(SD217)  </t>
  </si>
  <si>
    <t>[F0289] 댐핑시트 공급 테이블#1(SD217) 에러가 발생했습니다.</t>
  </si>
  <si>
    <t>[F0290] 댐핑시트 공급 테이블#2(SD218) 운전중에 Ready가 Off 되었습니다.</t>
  </si>
  <si>
    <t>[F0291] 댐핑시트 공급 테이블#2(SD218) FLS가 감지되었습니다.</t>
  </si>
  <si>
    <t>[F0292] 댐핑시트 공급 테이블#2(SD218) RLS가 감지되었습니다.</t>
  </si>
  <si>
    <t>[F0293] 댐핑시트 공급 테이블#2(SD218) Stop 명령이 On된 상태에서 기동을 시도했습니다.</t>
  </si>
  <si>
    <t>[F0294] 댐핑시트 공급 테이블#2(SD218) 가동 전원이 Off 되었습니다.</t>
  </si>
  <si>
    <t>[F0295] 댐핑시트 공급 테이블#2(SD218) 엔코더 이상이 검출되었습니다.</t>
  </si>
  <si>
    <t>[F0296] 댐핑시트 공급 테이블#2(SD218) 과전류가 검출되었습니다.</t>
  </si>
  <si>
    <t>[F0297] 댐핑시트 공급 테이블#2(SD218) 과부하가 검출되었습니다.</t>
  </si>
  <si>
    <t xml:space="preserve">[F0298] 댐핑시트 공급 테이블#2(SD218)  </t>
  </si>
  <si>
    <t>[F0299] 댐핑시트 공급 테이블#2(SD218) 에러가 발생했습니다.</t>
  </si>
  <si>
    <t>[F0300] 댐핑시트 공급 이재기X축(SD215) 운전중에 Ready가 Off 되었습니다.</t>
  </si>
  <si>
    <t>[F0301] 댐핑시트 공급 이재기X축(SD215) FLS가 감지되었습니다.</t>
  </si>
  <si>
    <t>[F0302] 댐핑시트 공급 이재기X축(SD215) RLS가 감지되었습니다.</t>
  </si>
  <si>
    <t>[F0303] 댐핑시트 공급 이재기X축(SD215) Stop 명령이 On된 상태에서 기동을 시도했습니다.</t>
  </si>
  <si>
    <t>[F0304] 댐핑시트 공급 이재기X축(SD215) 가동 전원이 Off 되었습니다.</t>
  </si>
  <si>
    <t>[F0305] 댐핑시트 공급 이재기X축(SD215) 엔코더 이상이 검출되었습니다.</t>
  </si>
  <si>
    <t>[F0306] 댐핑시트 공급 이재기X축(SD215) 과전류가 검출되었습니다.</t>
  </si>
  <si>
    <t>[F0307] 댐핑시트 공급 이재기X축(SD215) 과부하가 검출되었습니다.</t>
  </si>
  <si>
    <t xml:space="preserve">[F0308] 댐핑시트 공급 이재기X축(SD215)  </t>
  </si>
  <si>
    <t>[F0309] 댐핑시트 공급 이재기X축(SD215) 에러가 발생했습니다.</t>
  </si>
  <si>
    <t>[F0310] 댐핑시트 공급 이재기Z축(SD216) 운전중에 Ready가 Off 되었습니다.</t>
  </si>
  <si>
    <t>[F0311] 댐핑시트 공급 이재기Z축(SD216) FLS가 감지되었습니다.</t>
  </si>
  <si>
    <t>[F0312] 댐핑시트 공급 이재기Z축(SD216) RLS가 감지되었습니다.</t>
  </si>
  <si>
    <t>[F0313] 댐핑시트 공급 이재기Z축(SD216) Stop 명령이 On된 상태에서 기동을 시도했습니다.</t>
  </si>
  <si>
    <t>[F0314] 댐핑시트 공급 이재기Z축(SD216) 가동 전원이 Off 되었습니다.</t>
  </si>
  <si>
    <t>[F0315] 댐핑시트 공급 이재기Z축(SD216) 엔코더 이상이 검출되었습니다.</t>
  </si>
  <si>
    <t>[F0316] 댐핑시트 공급 이재기Z축(SD216) 과전류가 검출되었습니다.</t>
  </si>
  <si>
    <t>[F0317] 댐핑시트 공급 이재기Z축(SD216) 과부하가 검출되었습니다.</t>
  </si>
  <si>
    <t xml:space="preserve">[F0318] 댐핑시트 공급 이재기Z축(SD216)  </t>
  </si>
  <si>
    <t>[F0319] 댐핑시트 공급 이재기Z축(SD216) 에러가 발생했습니다.</t>
  </si>
  <si>
    <t>[F0320] 쿨링 공급 캐비티#1(SD221) 운전중에 Ready가 Off 되었습니다.</t>
  </si>
  <si>
    <t>[F0321] 쿨링 공급 캐비티#1(SD221) FLS가 감지되었습니다.</t>
  </si>
  <si>
    <t>[F0322] 쿨링 공급 캐비티#1(SD221) RLS가 감지되었습니다.</t>
  </si>
  <si>
    <t>[F0323] 쿨링 공급 캐비티#1(SD221) Stop 명령이 On된 상태에서 기동을 시도했습니다.</t>
  </si>
  <si>
    <t>[F0324] 쿨링 공급 캐비티#1(SD221) 가동 전원이 Off 되었습니다.</t>
  </si>
  <si>
    <t>[F0325] 쿨링 공급 캐비티#1(SD221) 엔코더 이상이 검출되었습니다.</t>
  </si>
  <si>
    <t>[F0326] 쿨링 공급 캐비티#1(SD221) 과전류가 검출되었습니다.</t>
  </si>
  <si>
    <t>[F0327] 쿨링 공급 캐비티#1(SD221) 과부하가 검출되었습니다.</t>
  </si>
  <si>
    <t xml:space="preserve">[F0328] 쿨링 공급 캐비티#1(SD221)  </t>
  </si>
  <si>
    <t>[F0329] 쿨링 공급 캐비티#1(SD221) 에러가 발생했습니다.</t>
  </si>
  <si>
    <t>[F0330] 쿨링 공급 캐비티#2(SD222) 운전중에 Ready가 Off 되었습니다.</t>
  </si>
  <si>
    <t>[F0331] 쿨링 공급 캐비티#2(SD222) FLS가 감지되었습니다.</t>
  </si>
  <si>
    <t>[F0332] 쿨링 공급 캐비티#2(SD222) RLS가 감지되었습니다.</t>
  </si>
  <si>
    <t>[F0333] 쿨링 공급 캐비티#2(SD222) Stop 명령이 On된 상태에서 기동을 시도했습니다.</t>
  </si>
  <si>
    <t>[F0334] 쿨링 공급 캐비티#2(SD222) 가동 전원이 Off 되었습니다.</t>
  </si>
  <si>
    <t>[F0335] 쿨링 공급 캐비티#2(SD222) 엔코더 이상이 검출되었습니다.</t>
  </si>
  <si>
    <t>[F0336] 쿨링 공급 캐비티#2(SD222) 과전류가 검출되었습니다.</t>
  </si>
  <si>
    <t>[F0337] 쿨링 공급 캐비티#2(SD222) 과부하가 검출되었습니다.</t>
  </si>
  <si>
    <t xml:space="preserve">[F0338] 쿨링 공급 캐비티#2(SD222)  </t>
  </si>
  <si>
    <t>[F0339] 쿨링 공급 캐비티#2(SD222) 에러가 발생했습니다.</t>
  </si>
  <si>
    <t>[F0340] 쿨링 배출 캐비티#1(SD223) 운전중에 Ready가 Off 되었습니다.</t>
  </si>
  <si>
    <t>[F0341] 쿨링 배출 캐비티#1(SD223) FLS가 감지되었습니다.</t>
  </si>
  <si>
    <t>[F0342] 쿨링 배출 캐비티#1(SD223) RLS가 감지되었습니다.</t>
  </si>
  <si>
    <t>[F0343] 쿨링 배출 캐비티#1(SD223) Stop 명령이 On된 상태에서 기동을 시도했습니다.</t>
  </si>
  <si>
    <t>[F0344] 쿨링 배출 캐비티#1(SD223) 가동 전원이 Off 되었습니다.</t>
  </si>
  <si>
    <t>[F0345] 쿨링 배출 캐비티#1(SD223) 엔코더 이상이 검출되었습니다.</t>
  </si>
  <si>
    <t>[F0346] 쿨링 배출 캐비티#1(SD223) 과전류가 검출되었습니다.</t>
  </si>
  <si>
    <t>[F0347] 쿨링 배출 캐비티#1(SD223) 과부하가 검출되었습니다.</t>
  </si>
  <si>
    <t xml:space="preserve">[F0348] 쿨링 배출 캐비티#1(SD223)  </t>
  </si>
  <si>
    <t>[F0349] 쿨링 배출 캐비티#1(SD223) 에러가 발생했습니다.</t>
  </si>
  <si>
    <t>[F0350] 쿨링 배출 캐비티#2(SD224) 운전중에 Ready가 Off 되었습니다.</t>
  </si>
  <si>
    <t>[F0351] 쿨링 배출 캐비티#2(SD224) FLS가 감지되었습니다.</t>
  </si>
  <si>
    <t>[F0352] 쿨링 배출 캐비티#2(SD224) RLS가 감지되었습니다.</t>
  </si>
  <si>
    <t>[F0353] 쿨링 배출 캐비티#2(SD224) Stop 명령이 On된 상태에서 기동을 시도했습니다.</t>
  </si>
  <si>
    <t>[F0354] 쿨링 배출 캐비티#2(SD224) 가동 전원이 Off 되었습니다.</t>
  </si>
  <si>
    <t>[F0355] 쿨링 배출 캐비티#2(SD224) 엔코더 이상이 검출되었습니다.</t>
  </si>
  <si>
    <t>[F0356] 쿨링 배출 캐비티#2(SD224) 과전류가 검출되었습니다.</t>
  </si>
  <si>
    <t>[F0357] 쿨링 배출 캐비티#2(SD224) 과부하가 검출되었습니다.</t>
  </si>
  <si>
    <t xml:space="preserve">[F0358] 쿨링 배출 캐비티#2(SD224)  </t>
  </si>
  <si>
    <t>[F0359] 쿨링 배출 캐비티#2(SD224) 에러가 발생했습니다.</t>
  </si>
  <si>
    <t>[F0360] 쿨링 공급 Z축(SD225) 운전중에 Ready가 Off 되었습니다.</t>
  </si>
  <si>
    <t>[F0361] 쿨링 공급 Z축(SD225) FLS가 감지되었습니다.</t>
  </si>
  <si>
    <t>[F0362] 쿨링 공급 Z축(SD225) RLS가 감지되었습니다.</t>
  </si>
  <si>
    <t>[F0363] 쿨링 공급 Z축(SD225) Stop 명령이 On된 상태에서 기동을 시도했습니다.</t>
  </si>
  <si>
    <t>[F0364] 쿨링 공급 Z축(SD225) 가동 전원이 Off 되었습니다.</t>
  </si>
  <si>
    <t>[F0365] 쿨링 공급 Z축(SD225) 엔코더 이상이 검출되었습니다.</t>
  </si>
  <si>
    <t>[F0366] 쿨링 공급 Z축(SD225) 과전류가 검출되었습니다.</t>
  </si>
  <si>
    <t>[F0367] 쿨링 공급 Z축(SD225) 과부하가 검출되었습니다.</t>
  </si>
  <si>
    <t xml:space="preserve">[F0368] 쿨링 공급 Z축(SD225)  </t>
  </si>
  <si>
    <t>[F0369] 쿨링 공급 Z축(SD225) 에러가 발생했습니다.</t>
  </si>
  <si>
    <t>[F0370] 쿨링 배출 Z축(SD226) 운전중에 Ready가 Off 되었습니다.</t>
  </si>
  <si>
    <t>[F0371] 쿨링 배출 Z축(SD226) FLS가 감지되었습니다.</t>
  </si>
  <si>
    <t>[F0372] 쿨링 배출 Z축(SD226) RLS가 감지되었습니다.</t>
  </si>
  <si>
    <t>[F0373] 쿨링 배출 Z축(SD226) Stop 명령이 On된 상태에서 기동을 시도했습니다.</t>
  </si>
  <si>
    <t>[F0374] 쿨링 배출 Z축(SD226) 가동 전원이 Off 되었습니다.</t>
  </si>
  <si>
    <t>[F0375] 쿨링 배출 Z축(SD226) 엔코더 이상이 검출되었습니다.</t>
  </si>
  <si>
    <t>[F0376] 쿨링 배출 Z축(SD226) 과전류가 검출되었습니다.</t>
  </si>
  <si>
    <t>[F0377] 쿨링 배출 Z축(SD226) 과부하가 검출되었습니다.</t>
  </si>
  <si>
    <t xml:space="preserve">[F0378] 쿨링 배출 Z축(SD226)  </t>
  </si>
  <si>
    <t>[F0379] 쿨링 배출 Z축(SD226) 에러가 발생했습니다.</t>
  </si>
  <si>
    <t>[F0380] 쿨링 이재기 X축(SD227) 운전중에 Ready가 Off 되었습니다.</t>
  </si>
  <si>
    <t>[F0382] 쿨링 이재기 X축(SD227) RLS가 감지되었습니다.</t>
  </si>
  <si>
    <t>[F0383] 쿨링 이재기 X축(SD227) Stop 명령이 On된 상태에서 기동을 시도했습니다.</t>
  </si>
  <si>
    <t>[F0384] 쿨링 이재기 X축(SD227) 가동 전원이 Off 되었습니다.</t>
  </si>
  <si>
    <t>[F0385] 쿨링 이재기 X축(SD227) 엔코더 이상이 검출되었습니다.</t>
  </si>
  <si>
    <t>[F0386] 쿨링 이재기 X축(SD227) 과전류가 검출되었습니다.</t>
  </si>
  <si>
    <t>[F0387] 쿨링 이재기 X축(SD227) 과부하가 검출되었습니다.</t>
  </si>
  <si>
    <t xml:space="preserve">[F0388] 쿨링 이재기 X축(SD227)  </t>
  </si>
  <si>
    <t>[F0389] 쿨링 이재기 X축(SD227) 에러가 발생했습니다.</t>
  </si>
  <si>
    <t>[F0390] 쿨링 이재기 Z축(SD228) 운전중에 Ready가 Off 되었습니다.</t>
  </si>
  <si>
    <t>[F0391] 쿨링 이재기 Z축(SD228) FLS가 감지되었습니다.</t>
  </si>
  <si>
    <t>[F0392] 쿨링 이재기 Z축(SD228) RLS가 감지되었습니다.</t>
  </si>
  <si>
    <t>[F0393] 쿨링 이재기 Z축(SD228) Stop 명령이 On된 상태에서 기동을 시도했습니다.</t>
  </si>
  <si>
    <t>[F0394] 쿨링 이재기 Z축(SD228) 가동 전원이 Off 되었습니다.</t>
  </si>
  <si>
    <t>[F0395] 쿨링 이재기 Z축(SD228) 엔코더 이상이 검출되었습니다.</t>
  </si>
  <si>
    <t>[F0396] 쿨링 이재기 Z축(SD228) 과전류가 검출되었습니다.</t>
  </si>
  <si>
    <t>[F0397] 쿨링 이재기 Z축(SD228) 과부하가 검출되었습니다.</t>
  </si>
  <si>
    <t xml:space="preserve">[F0398] 쿨링 이재기 Z축(SD228)  </t>
  </si>
  <si>
    <t>[F0399] 쿨링 이재기 Z축(SD228) 에러가 발생했습니다.</t>
  </si>
  <si>
    <t>[F0400] 컨베어 언로더 이재기 X축(SD229) 운전중에 Ready가 Off 되었습니다.</t>
  </si>
  <si>
    <t>[F0401] 컨베어 언로더 이재기 X축(SD229) FLS가 감지되었습니다.</t>
  </si>
  <si>
    <t>[F0402] 컨베어 언로더 이재기 X축(SD229) RLS가 감지되었습니다.</t>
  </si>
  <si>
    <t>[F0403] 컨베어 언로더 이재기 X축(SD229) Stop 명령이 On된 상태에서 기동을 시도했습니다.</t>
  </si>
  <si>
    <t>[F0404] 컨베어 언로더 이재기 X축(SD229) 가동 전원이 Off 되었습니다.</t>
  </si>
  <si>
    <t>[F0405] 컨베어 언로더 이재기 X축(SD229) 엔코더 이상이 검출되었습니다.</t>
  </si>
  <si>
    <t>[F0406] 컨베어 언로더 이재기 X축(SD229) 과전류가 검출되었습니다.</t>
  </si>
  <si>
    <t>[F0407] 컨베어 언로더 이재기 X축(SD229) 과부하가 검출되었습니다.</t>
  </si>
  <si>
    <t xml:space="preserve">[F0408] 컨베어 언로더 이재기 X축(SD229)  </t>
  </si>
  <si>
    <t>[F0409] 컨베어 언로더 이재기 X축(SD229) 에러가 발생했습니다.</t>
  </si>
  <si>
    <t>[F0410] 컨베어 언로더 이재기 Z축(SD230) 운전중에 Ready가 Off 되었습니다.</t>
  </si>
  <si>
    <t>[F0411] 컨베어 언로더 이재기 Z축(SD230) FLS가 감지되었습니다.</t>
  </si>
  <si>
    <t>[F0412] 컨베어 언로더 이재기 Z축(SD230) RLS가 감지되었습니다.</t>
  </si>
  <si>
    <t>[F0413] 컨베어 언로더 이재기 Z축(SD230) Stop 명령이 On된 상태에서 기동을 시도했습니다.</t>
  </si>
  <si>
    <t>[F0414] 컨베어 언로더 이재기 Z축(SD230) 가동 전원이 Off 되었습니다.</t>
  </si>
  <si>
    <t>[F0415] 컨베어 언로더 이재기 Z축(SD230) 엔코더 이상이 검출되었습니다.</t>
  </si>
  <si>
    <t>[F0416] 컨베어 언로더 이재기 Z축(SD230) 과전류가 검출되었습니다.</t>
  </si>
  <si>
    <t>[F0417] 컨베어 언로더 이재기 Z축(SD230) 과부하가 검출되었습니다.</t>
  </si>
  <si>
    <t xml:space="preserve">[F0418] 컨베어 언로더 이재기 Z축(SD230)  </t>
  </si>
  <si>
    <t>[F0419] 컨베어 언로더 이재기 Z축(SD230) 에러가 발생했습니다.</t>
  </si>
  <si>
    <t>[F0420] 턴 오버 T축(SD231) 운전중에 Ready가 Off 되었습니다.</t>
  </si>
  <si>
    <t>[F0421] 턴 오버 T축(SD231) FLS가 감지되었습니다.</t>
  </si>
  <si>
    <t>[F0422] 턴 오버 T축(SD231) RLS가 감지되었습니다.</t>
  </si>
  <si>
    <t>[F0423] 턴 오버 T축(SD231) Stop 명령이 On된 상태에서 기동을 시도했습니다.</t>
  </si>
  <si>
    <t>[F0424] 턴 오버 T축(SD231) 가동 전원이 Off 되었습니다.</t>
  </si>
  <si>
    <t>[F0425] 턴 오버 T축(SD231) 엔코더 이상이 검출되었습니다.</t>
  </si>
  <si>
    <t>[F0426] 턴 오버 T축(SD231) 과전류가 검출되었습니다.</t>
  </si>
  <si>
    <t>[F0427] 턴 오버 T축(SD231) 과부하가 검출되었습니다.</t>
  </si>
  <si>
    <t xml:space="preserve">[F0428] 턴 오버 T축(SD231)  </t>
  </si>
  <si>
    <t>[F0429] 턴 오버 T축(SD231) 에러가 발생했습니다.</t>
  </si>
  <si>
    <t>[F0430] 2헤드 셔틀#1(SD232) 운전중에 Ready가 Off 되었습니다.</t>
  </si>
  <si>
    <t>[F0431] 2헤드 셔틀#1(SD232) FLS가 감지되었습니다.</t>
  </si>
  <si>
    <t>[F0432] 2헤드 셔틀#1(SD232) RLS가 감지되었습니다.</t>
  </si>
  <si>
    <t>[F0433] 2헤드 셔틀#1(SD232) Stop 명령이 On된 상태에서 기동을 시도했습니다.</t>
  </si>
  <si>
    <t>[F0434] 2헤드 셔틀#1(SD232) 가동 전원이 Off 되었습니다.</t>
  </si>
  <si>
    <t>[F0435] 2헤드 셔틀#1(SD232) 엔코더 이상이 검출되었습니다.</t>
  </si>
  <si>
    <t>[F0436] 2헤드 셔틀#1(SD232) 과전류가 검출되었습니다.</t>
  </si>
  <si>
    <t>[F0437] 2헤드 셔틀#1(SD232) 과부하가 검출되었습니다.</t>
  </si>
  <si>
    <t xml:space="preserve">[F0438] 2헤드 셔틀#1(SD232)  </t>
  </si>
  <si>
    <t>[F0439] 2헤드 셔틀#1(SD232) 에러가 발생했습니다.</t>
  </si>
  <si>
    <t>[F0440] 2헤드 셔틀#2(SD233) 운전중에 Ready가 Off 되었습니다.</t>
  </si>
  <si>
    <t>[F0441] 2헤드 셔틀#2(SD233) FLS가 감지되었습니다.</t>
  </si>
  <si>
    <t>[F0442] 2헤드 셔틀#2(SD233) RLS가 감지되었습니다.</t>
  </si>
  <si>
    <t>[F0443] 2헤드 셔틀#2(SD233) Stop 명령이 On된 상태에서 기동을 시도했습니다.</t>
  </si>
  <si>
    <t>[F0444] 2헤드 셔틀#2(SD233) 가동 전원이 Off 되었습니다.</t>
  </si>
  <si>
    <t>[F0445] 2헤드 셔틀#2(SD233) 엔코더 이상이 검출되었습니다.</t>
  </si>
  <si>
    <t>[F0446] 2헤드 셔틀#2(SD233) 과전류가 검출되었습니다.</t>
  </si>
  <si>
    <t>[F0447] 2헤드 셔틀#2(SD233) 과부하가 검출되었습니다.</t>
  </si>
  <si>
    <t xml:space="preserve">[F0448] 2헤드 셔틀#2(SD233)  </t>
  </si>
  <si>
    <t>[F0449] 2헤드 셔틀#2(SD233) 에러가 발생했습니다.</t>
  </si>
  <si>
    <t>[F0450] 2헤드 셔틀#3(SD234) 운전중에 Ready가 Off 되었습니다.</t>
  </si>
  <si>
    <t>[F0451] 2헤드 셔틀#3(SD234) FLS가 감지되었습니다.</t>
  </si>
  <si>
    <t>[F0452] 2헤드 셔틀#3(SD234) RLS가 감지되었습니다.</t>
  </si>
  <si>
    <t>[F0453] 2헤드 셔틀#3(SD234) Stop 명령이 On된 상태에서 기동을 시도했습니다.</t>
  </si>
  <si>
    <t>[F0454] 2헤드 셔틀#3(SD234) 가동 전원이 Off 되었습니다.</t>
  </si>
  <si>
    <t>[F0455] 2헤드 셔틀#3(SD234) 엔코더 이상이 검출되었습니다.</t>
  </si>
  <si>
    <t>[F0456] 2헤드 셔틀#3(SD234) 과전류가 검출되었습니다.</t>
  </si>
  <si>
    <t>[F0457] 2헤드 셔틀#3(SD234) 과부하가 검출되었습니다.</t>
  </si>
  <si>
    <t xml:space="preserve">[F0458] 2헤드 셔틀#3(SD234)  </t>
  </si>
  <si>
    <t>[F0459] 2헤드 셔틀#3(SD234) 에러가 발생했습니다.</t>
  </si>
  <si>
    <t>[F0460] 결합 T-1축(SD235) 운전중에 Ready가 Off 되었습니다.</t>
  </si>
  <si>
    <t>[F0461] 결합 T-1축(SD235) FLS가 감지되었습니다.</t>
  </si>
  <si>
    <t>[F0462] 결합 T-1축(SD235) RLS가 감지되었습니다.</t>
  </si>
  <si>
    <t>[F0463] 결합 T-1축(SD235) Stop 명령이 On된 상태에서 기동을 시도했습니다.</t>
  </si>
  <si>
    <t>[F0464] 결합 T-1축(SD235) 가동 전원이 Off 되었습니다.</t>
  </si>
  <si>
    <t>[F0465] 결합 T-1축(SD235) 엔코더 이상이 검출되었습니다.</t>
  </si>
  <si>
    <t>[F0466] 결합 T-1축(SD235) 과전류가 검출되었습니다.</t>
  </si>
  <si>
    <t>[F0467] 결합 T-1축(SD235) 과부하가 검출되었습니다.</t>
  </si>
  <si>
    <t xml:space="preserve">[F0468] 결합 T-1축(SD235)  </t>
  </si>
  <si>
    <t>[F0469] 결합 T-1축(SD235) 에러가 발생했습니다.</t>
  </si>
  <si>
    <t>[F0470] 결합 T-2축(SD236) 운전중에 Ready가 Off 되었습니다.</t>
  </si>
  <si>
    <t>[F0471] 결합 T-2축(SD236) FLS가 감지되었습니다.</t>
  </si>
  <si>
    <t>[F0472] 결합 T-2축(SD236) RLS가 감지되었습니다.</t>
  </si>
  <si>
    <t>[F0473] 결합 T-2축(SD236) Stop 명령이 On된 상태에서 기동을 시도했습니다.</t>
  </si>
  <si>
    <t>[F0474] 결합 T-2축(SD236) 가동 전원이 Off 되었습니다.</t>
  </si>
  <si>
    <t>[F0475] 결합 T-2축(SD236) 엔코더 이상이 검출되었습니다.</t>
  </si>
  <si>
    <t>[F0476] 결합 T-2축(SD236) 과전류가 검출되었습니다.</t>
  </si>
  <si>
    <t>[F0477] 결합 T-2축(SD236) 과부하가 검출되었습니다.</t>
  </si>
  <si>
    <t xml:space="preserve">[F0478] 결합 T-2축(SD236)  </t>
  </si>
  <si>
    <t>[F0479] 결합 T-2축(SD236) 에러가 발생했습니다.</t>
  </si>
  <si>
    <t>[F0495]</t>
    <phoneticPr fontId="1" type="noConversion"/>
  </si>
  <si>
    <t>[F0496]</t>
  </si>
  <si>
    <t>[F0497]</t>
  </si>
  <si>
    <t>[F0498]</t>
  </si>
  <si>
    <t>[F0499]</t>
  </si>
  <si>
    <t>[F0500]</t>
  </si>
  <si>
    <t>[F0501]</t>
  </si>
  <si>
    <t>[F0502]</t>
  </si>
  <si>
    <t>[F0503]</t>
  </si>
  <si>
    <t>[F0504]</t>
  </si>
  <si>
    <t>[F0505]</t>
  </si>
  <si>
    <t>[F0506]</t>
  </si>
  <si>
    <t>[F0507]</t>
  </si>
  <si>
    <t>[F0508]</t>
  </si>
  <si>
    <t>[F0509]</t>
  </si>
  <si>
    <t>[F0510]</t>
  </si>
  <si>
    <t>[F0511]</t>
  </si>
  <si>
    <t>[F0512]</t>
  </si>
  <si>
    <t>[F0513]</t>
  </si>
  <si>
    <t>[F0514]</t>
  </si>
  <si>
    <t>[F0515]</t>
  </si>
  <si>
    <t>[F0516]</t>
  </si>
  <si>
    <t>[F0517]</t>
  </si>
  <si>
    <t>[F0518]</t>
  </si>
  <si>
    <t>[F0519]</t>
  </si>
  <si>
    <t>[F0520]</t>
  </si>
  <si>
    <t>[F0521]</t>
  </si>
  <si>
    <t>[F0522]</t>
  </si>
  <si>
    <t>[F0523]</t>
  </si>
  <si>
    <t>[F0524]</t>
  </si>
  <si>
    <t>[F0525]</t>
  </si>
  <si>
    <t>[F0526]</t>
  </si>
  <si>
    <t>[F0527]</t>
  </si>
  <si>
    <t>[F0528]</t>
  </si>
  <si>
    <t>[F0529]</t>
  </si>
  <si>
    <t>[F0530]</t>
  </si>
  <si>
    <t>[F0531]</t>
  </si>
  <si>
    <t>[F0532]</t>
  </si>
  <si>
    <t>[F0533]</t>
  </si>
  <si>
    <t>[F0534]</t>
  </si>
  <si>
    <t>[F0535]</t>
  </si>
  <si>
    <t>[F0536]</t>
  </si>
  <si>
    <t>[F0537]</t>
  </si>
  <si>
    <t>[F0538]</t>
  </si>
  <si>
    <t>[F0539]</t>
  </si>
  <si>
    <t>[F0540]</t>
  </si>
  <si>
    <t>[F0541]</t>
  </si>
  <si>
    <t>[F0542]</t>
  </si>
  <si>
    <t>[F0543]</t>
  </si>
  <si>
    <t>[F0544]</t>
  </si>
  <si>
    <t>[F0545]</t>
  </si>
  <si>
    <t>[F0546]</t>
  </si>
  <si>
    <t>[F0547]</t>
  </si>
  <si>
    <t>[F0548]</t>
  </si>
  <si>
    <t>[F0549]</t>
  </si>
  <si>
    <t>[F0550]</t>
  </si>
  <si>
    <t>[F0551]</t>
  </si>
  <si>
    <t>[F0552]</t>
  </si>
  <si>
    <t>[F0553]</t>
  </si>
  <si>
    <t>[F0554]</t>
  </si>
  <si>
    <t>[F0555]</t>
  </si>
  <si>
    <t>[F0556]</t>
  </si>
  <si>
    <t>[F0557]</t>
  </si>
  <si>
    <t>[F0558]</t>
  </si>
  <si>
    <t>[F0559]</t>
  </si>
  <si>
    <t>[F0560]</t>
  </si>
  <si>
    <t>[F0561]</t>
  </si>
  <si>
    <t>[F0562]</t>
  </si>
  <si>
    <t>[F0563]</t>
  </si>
  <si>
    <t>[F0564]</t>
  </si>
  <si>
    <t>[F0565]</t>
  </si>
  <si>
    <t>[F0566]</t>
  </si>
  <si>
    <t>[F0567]</t>
  </si>
  <si>
    <t>[F0568]</t>
  </si>
  <si>
    <t>[F0569]</t>
  </si>
  <si>
    <t>[F0570]</t>
  </si>
  <si>
    <t>[F0571]</t>
  </si>
  <si>
    <t>[F0572]</t>
  </si>
  <si>
    <t>[F0573]</t>
  </si>
  <si>
    <t>[F0574]</t>
  </si>
  <si>
    <t>[F0575]</t>
  </si>
  <si>
    <t>[F0576]</t>
  </si>
  <si>
    <t>[F0577]</t>
  </si>
  <si>
    <t>[F0578]</t>
  </si>
  <si>
    <t>[F0579]</t>
  </si>
  <si>
    <t>[F0580]</t>
  </si>
  <si>
    <t>[F0582]</t>
  </si>
  <si>
    <t>[F0583]</t>
  </si>
  <si>
    <t>[F0584]</t>
  </si>
  <si>
    <t>[F0585]</t>
  </si>
  <si>
    <t>[F0586]</t>
  </si>
  <si>
    <t>[F0587]</t>
  </si>
  <si>
    <t>[F0588]</t>
  </si>
  <si>
    <t>[F0589]</t>
  </si>
  <si>
    <t>[F0590]</t>
  </si>
  <si>
    <t>[F0591]</t>
  </si>
  <si>
    <t>[F0592]</t>
  </si>
  <si>
    <t>[F0593]</t>
  </si>
  <si>
    <t>[F0594]</t>
  </si>
  <si>
    <t>[F0595]</t>
  </si>
  <si>
    <t>[F0596]</t>
  </si>
  <si>
    <t>[F0597]</t>
  </si>
  <si>
    <t>[F0598]</t>
  </si>
  <si>
    <t>[F0599]</t>
  </si>
  <si>
    <t>[F0600]</t>
  </si>
  <si>
    <t>[F0601]</t>
  </si>
  <si>
    <t>[F0602]</t>
  </si>
  <si>
    <t>[F0603]</t>
  </si>
  <si>
    <t>[F0604]</t>
  </si>
  <si>
    <t>[F0605]</t>
  </si>
  <si>
    <t>[F0606]</t>
  </si>
  <si>
    <t>[F0607]</t>
  </si>
  <si>
    <t>[F0608]</t>
  </si>
  <si>
    <t>[F0609]</t>
  </si>
  <si>
    <t>[F0610]</t>
  </si>
  <si>
    <t>[F0611]</t>
  </si>
  <si>
    <t>[F0612]</t>
  </si>
  <si>
    <t>[F0613]</t>
  </si>
  <si>
    <t>[F0614]</t>
  </si>
  <si>
    <t>[F0615]</t>
  </si>
  <si>
    <t>[F0616]</t>
  </si>
  <si>
    <t>[F0617]</t>
  </si>
  <si>
    <t>[F0618]</t>
  </si>
  <si>
    <t>[F0619]</t>
  </si>
  <si>
    <t>[F0620]</t>
  </si>
  <si>
    <t>[F0621]</t>
  </si>
  <si>
    <t>[F0622]</t>
  </si>
  <si>
    <t>[F0623]</t>
  </si>
  <si>
    <t>[F0624]</t>
  </si>
  <si>
    <t>[F0625]</t>
  </si>
  <si>
    <t>[F0626]</t>
  </si>
  <si>
    <t>[F0627]</t>
  </si>
  <si>
    <t>[F0628]</t>
  </si>
  <si>
    <t>[F0629]</t>
  </si>
  <si>
    <t>[F0630]</t>
  </si>
  <si>
    <t>[F0631]</t>
  </si>
  <si>
    <t>[F0632]</t>
  </si>
  <si>
    <t>[F0633]</t>
  </si>
  <si>
    <t>[F0634]</t>
  </si>
  <si>
    <t>[F0635]</t>
  </si>
  <si>
    <t>[F0636]</t>
  </si>
  <si>
    <t>[F0637]</t>
  </si>
  <si>
    <t>[F0638]</t>
  </si>
  <si>
    <t>[F0639]</t>
  </si>
  <si>
    <t>[F0640]</t>
  </si>
  <si>
    <t>[F0641]</t>
  </si>
  <si>
    <t>[F0642]</t>
  </si>
  <si>
    <t>[F0643]</t>
  </si>
  <si>
    <t>[F0644]</t>
  </si>
  <si>
    <t>[F0645]</t>
  </si>
  <si>
    <t>[F0646]</t>
  </si>
  <si>
    <t>[F0647]</t>
  </si>
  <si>
    <t>[F0648]</t>
  </si>
  <si>
    <t>[F0649]</t>
  </si>
  <si>
    <t>[F0650]</t>
  </si>
  <si>
    <t>[F0651]</t>
  </si>
  <si>
    <t>[F0652]</t>
  </si>
  <si>
    <t>[F0653]</t>
  </si>
  <si>
    <t>[F0654]</t>
  </si>
  <si>
    <t>[F0655]</t>
  </si>
  <si>
    <t>[F0656]</t>
  </si>
  <si>
    <t>[F0657]</t>
  </si>
  <si>
    <t>[F0658]</t>
  </si>
  <si>
    <t>[F0659]</t>
  </si>
  <si>
    <t>[F0660]</t>
  </si>
  <si>
    <t>[F0661]</t>
  </si>
  <si>
    <t>[F0662]</t>
  </si>
  <si>
    <t>[F0663]</t>
  </si>
  <si>
    <t>[F0664]</t>
  </si>
  <si>
    <t>[F0665]</t>
  </si>
  <si>
    <t>[F0666]</t>
  </si>
  <si>
    <t>[F0667]</t>
  </si>
  <si>
    <t>[F0668]</t>
  </si>
  <si>
    <t>[F0669]</t>
  </si>
  <si>
    <t>[F0670]</t>
  </si>
  <si>
    <t>[F0671]</t>
  </si>
  <si>
    <t>[F0672]</t>
  </si>
  <si>
    <t>[F0673]</t>
  </si>
  <si>
    <t>[F0674]</t>
  </si>
  <si>
    <t>[F0675]</t>
  </si>
  <si>
    <t>[F0676]</t>
  </si>
  <si>
    <t>[F0677]</t>
  </si>
  <si>
    <t>[F0678]</t>
  </si>
  <si>
    <t>[F0679]</t>
  </si>
  <si>
    <t>[F0680]</t>
  </si>
  <si>
    <t>[F0682]</t>
  </si>
  <si>
    <t>[F0683]</t>
  </si>
  <si>
    <t>[F0684]</t>
  </si>
  <si>
    <t>[F0685]</t>
  </si>
  <si>
    <t>[F0686]</t>
  </si>
  <si>
    <t>[F0687]</t>
  </si>
  <si>
    <t>[F0688]</t>
  </si>
  <si>
    <t>[F0689]</t>
  </si>
  <si>
    <t>[F0690]</t>
  </si>
  <si>
    <t>[F0691]</t>
  </si>
  <si>
    <t>[F0692]</t>
  </si>
  <si>
    <t>[F0693]</t>
  </si>
  <si>
    <t>[F0694]</t>
  </si>
  <si>
    <t>[F0695]</t>
  </si>
  <si>
    <t>[F0696]</t>
  </si>
  <si>
    <t>[F0697]</t>
  </si>
  <si>
    <t>[F0698]</t>
  </si>
  <si>
    <t>[F0699]</t>
  </si>
  <si>
    <t>[F0700]</t>
  </si>
  <si>
    <t>[F0701]</t>
  </si>
  <si>
    <t>[F0702]</t>
  </si>
  <si>
    <t>[F0703]</t>
  </si>
  <si>
    <t>[F0704]</t>
  </si>
  <si>
    <t>[F0705]</t>
  </si>
  <si>
    <t>[F0706]</t>
  </si>
  <si>
    <t>[F0707]</t>
  </si>
  <si>
    <t>[F0708]</t>
  </si>
  <si>
    <t>[F0709]</t>
  </si>
  <si>
    <t>[F0710]</t>
  </si>
  <si>
    <t>[F0711]</t>
  </si>
  <si>
    <t>[F0712]</t>
  </si>
  <si>
    <t>[F0713]</t>
  </si>
  <si>
    <t>[F0714]</t>
  </si>
  <si>
    <t>[F0715]</t>
  </si>
  <si>
    <t>[F0716]</t>
  </si>
  <si>
    <t>[F0717]</t>
  </si>
  <si>
    <t>[F0718]</t>
  </si>
  <si>
    <t>[F0719]</t>
  </si>
  <si>
    <t>[F0720]</t>
  </si>
  <si>
    <t>[F0721]</t>
  </si>
  <si>
    <t>[F0722]</t>
  </si>
  <si>
    <t>[F0723]</t>
  </si>
  <si>
    <t>[F0724]</t>
  </si>
  <si>
    <t>[F0725]</t>
  </si>
  <si>
    <t>[F0726]</t>
  </si>
  <si>
    <t>[F0727]</t>
  </si>
  <si>
    <t>[F0728]</t>
  </si>
  <si>
    <t>[F0729]</t>
  </si>
  <si>
    <t>[F0730]</t>
  </si>
  <si>
    <t>[F0731]</t>
  </si>
  <si>
    <t>[F0732]</t>
  </si>
  <si>
    <t>[F0733]</t>
  </si>
  <si>
    <t>[F0734]</t>
  </si>
  <si>
    <t>[F0735]</t>
  </si>
  <si>
    <t>[F0736]</t>
  </si>
  <si>
    <t>[F0737]</t>
  </si>
  <si>
    <t>[F0738]</t>
  </si>
  <si>
    <t>[F0739]</t>
  </si>
  <si>
    <t>[F0740]</t>
  </si>
  <si>
    <t>[F0741]</t>
  </si>
  <si>
    <t>[F0742]</t>
  </si>
  <si>
    <t>[F0743]</t>
  </si>
  <si>
    <t>[F0744]</t>
  </si>
  <si>
    <t>[F0745]</t>
  </si>
  <si>
    <t>[F0746]</t>
  </si>
  <si>
    <t>[F0747]</t>
  </si>
  <si>
    <t>[F0748]</t>
  </si>
  <si>
    <t>[F0749]</t>
  </si>
  <si>
    <t>[F0750]</t>
  </si>
  <si>
    <t>[F0751]</t>
  </si>
  <si>
    <t>[F0752]</t>
  </si>
  <si>
    <t>[F0753]</t>
  </si>
  <si>
    <t>[F0754]</t>
  </si>
  <si>
    <t>[F0755]</t>
  </si>
  <si>
    <t>[F0756]</t>
  </si>
  <si>
    <t>[F0757]</t>
  </si>
  <si>
    <t>[F0758]</t>
  </si>
  <si>
    <t>[F0759]</t>
  </si>
  <si>
    <t>[F0760]</t>
  </si>
  <si>
    <t>[F0761]</t>
  </si>
  <si>
    <t>[F0762]</t>
  </si>
  <si>
    <t>[F0763]</t>
  </si>
  <si>
    <t>[F0764]</t>
  </si>
  <si>
    <t>[F0765]</t>
  </si>
  <si>
    <t>[F0766]</t>
  </si>
  <si>
    <t>[F0767]</t>
  </si>
  <si>
    <t>[F0768]</t>
  </si>
  <si>
    <t>[F0769]</t>
  </si>
  <si>
    <t>[F0770]</t>
  </si>
  <si>
    <t>[F0771]</t>
  </si>
  <si>
    <t>[F0772]</t>
  </si>
  <si>
    <t>[F0773]</t>
  </si>
  <si>
    <t>[F0774]</t>
  </si>
  <si>
    <t>[F0775]</t>
  </si>
  <si>
    <t>[F0776]</t>
  </si>
  <si>
    <t>[F0777]</t>
  </si>
  <si>
    <t>[F0778]</t>
  </si>
  <si>
    <t>[F0779]</t>
  </si>
  <si>
    <t>[F0780]</t>
  </si>
  <si>
    <t>[F0782]</t>
  </si>
  <si>
    <t>[F0783]</t>
  </si>
  <si>
    <t>[F0784]</t>
  </si>
  <si>
    <t>[F0785]</t>
  </si>
  <si>
    <t>[F0786]</t>
  </si>
  <si>
    <t>[F0787]</t>
  </si>
  <si>
    <t>[F0788]</t>
  </si>
  <si>
    <t>[F0789]</t>
  </si>
  <si>
    <t>[F0794]</t>
  </si>
  <si>
    <t>[F0795]</t>
  </si>
  <si>
    <t>[F0796]</t>
  </si>
  <si>
    <t>[F0797]</t>
  </si>
  <si>
    <t>[F0798]</t>
  </si>
  <si>
    <t>[F0799]</t>
  </si>
  <si>
    <t>[F0800]</t>
  </si>
  <si>
    <t>[F0801]</t>
  </si>
  <si>
    <t>[F0802]</t>
  </si>
  <si>
    <t>[F0803]</t>
  </si>
  <si>
    <t>[F0804]</t>
  </si>
  <si>
    <t>[F0805]</t>
  </si>
  <si>
    <t>[F0806]</t>
  </si>
  <si>
    <t>[F0807]</t>
  </si>
  <si>
    <t>[F0808]</t>
  </si>
  <si>
    <t>[F0809]</t>
  </si>
  <si>
    <t>[F1320]</t>
  </si>
  <si>
    <t>[F1321]</t>
  </si>
  <si>
    <t>[F1322]</t>
  </si>
  <si>
    <t>[F1323]</t>
  </si>
  <si>
    <t>[F1324]</t>
  </si>
  <si>
    <t>[F1325]</t>
  </si>
  <si>
    <t>[F1326]</t>
  </si>
  <si>
    <t>[F1327]</t>
  </si>
  <si>
    <t>[F1328]</t>
  </si>
  <si>
    <t>[F1329]</t>
  </si>
  <si>
    <t>[F1330]</t>
  </si>
  <si>
    <t>[F1331]</t>
  </si>
  <si>
    <t>[F1332]</t>
  </si>
  <si>
    <t>[F1333]</t>
  </si>
  <si>
    <t>[F1334]</t>
  </si>
  <si>
    <t>[F1335]</t>
  </si>
  <si>
    <t>[F1336]</t>
  </si>
  <si>
    <t>[F1337]</t>
  </si>
  <si>
    <t>[F1338]</t>
  </si>
  <si>
    <t>[F1351]</t>
  </si>
  <si>
    <t>[F1380]</t>
  </si>
  <si>
    <t>[F1382]</t>
  </si>
  <si>
    <t>[F1383]</t>
  </si>
  <si>
    <t>[F1384]</t>
  </si>
  <si>
    <t>[F1385]</t>
  </si>
  <si>
    <t>[F1386]</t>
  </si>
  <si>
    <t>[F1387]</t>
  </si>
  <si>
    <t>[F1388]</t>
  </si>
  <si>
    <t>[F1389]</t>
  </si>
  <si>
    <t>[F1510]</t>
  </si>
  <si>
    <t>[F1511]</t>
  </si>
  <si>
    <t>[F1512]</t>
  </si>
  <si>
    <t>[F1513]</t>
  </si>
  <si>
    <t>[F1514]</t>
  </si>
  <si>
    <t>[F1515]</t>
  </si>
  <si>
    <t>[F1516]</t>
  </si>
  <si>
    <t>[F1517]</t>
  </si>
  <si>
    <t>[F1518]</t>
  </si>
  <si>
    <t>[F1519]</t>
  </si>
  <si>
    <t>[F1806]</t>
  </si>
  <si>
    <t>[F1807]</t>
  </si>
  <si>
    <t>[F1808]</t>
  </si>
  <si>
    <t>[F1809]</t>
  </si>
  <si>
    <t>[F1820]</t>
  </si>
  <si>
    <t>[F1821]</t>
  </si>
  <si>
    <t>[F1822]</t>
  </si>
  <si>
    <t>[F1823]</t>
  </si>
  <si>
    <t>[F1824]</t>
  </si>
  <si>
    <t>[F1825]</t>
  </si>
  <si>
    <t>[F1826]</t>
  </si>
  <si>
    <t>[F1827]</t>
  </si>
  <si>
    <t>[F1828]</t>
  </si>
  <si>
    <t>[F1829]</t>
  </si>
  <si>
    <t>[F1830]</t>
  </si>
  <si>
    <t>[F1831]</t>
  </si>
  <si>
    <t>[F1832]</t>
  </si>
  <si>
    <t>[F1833]</t>
  </si>
  <si>
    <t>[F1834]</t>
  </si>
  <si>
    <t>[F1835]</t>
  </si>
  <si>
    <t>[F1836]</t>
  </si>
  <si>
    <t>[F1837]</t>
  </si>
  <si>
    <t>[F1838]</t>
  </si>
  <si>
    <t>[F1839]</t>
  </si>
  <si>
    <t>[F1840]</t>
  </si>
  <si>
    <t>[F1841]</t>
  </si>
  <si>
    <t>[F1842]</t>
  </si>
  <si>
    <t>[F1843]</t>
  </si>
  <si>
    <t>[F1844]</t>
  </si>
  <si>
    <t>[F1845]</t>
  </si>
  <si>
    <t>[F1846]</t>
  </si>
  <si>
    <t>[F1847]</t>
  </si>
  <si>
    <t>[F1848]</t>
  </si>
  <si>
    <t>[F1849]</t>
  </si>
  <si>
    <t>[F1850]</t>
  </si>
  <si>
    <t>[F1851]</t>
  </si>
  <si>
    <t>[F1852]</t>
  </si>
  <si>
    <t>[F1853]</t>
  </si>
  <si>
    <t>[F1854]</t>
  </si>
  <si>
    <t>[F1855]</t>
  </si>
  <si>
    <t>[F1856]</t>
  </si>
  <si>
    <t>[F1857]</t>
  </si>
  <si>
    <t>[F1858]</t>
  </si>
  <si>
    <t>[F1859]</t>
  </si>
  <si>
    <t>[F1860]</t>
  </si>
  <si>
    <t>[F1861]</t>
  </si>
  <si>
    <t>[F1862]</t>
  </si>
  <si>
    <t>[F1863]</t>
  </si>
  <si>
    <t>[F1864]</t>
  </si>
  <si>
    <t>[F1865]</t>
  </si>
  <si>
    <t>[F1866]</t>
  </si>
  <si>
    <t>[F1867]</t>
  </si>
  <si>
    <t>[F1868]</t>
  </si>
  <si>
    <t>[F1869]</t>
  </si>
  <si>
    <t>[F1870]</t>
  </si>
  <si>
    <t>[F1871]</t>
  </si>
  <si>
    <t>[F1872]</t>
  </si>
  <si>
    <t>[F1873]</t>
  </si>
  <si>
    <t>[F1874]</t>
  </si>
  <si>
    <t>[F1875]</t>
  </si>
  <si>
    <t>[F1876]</t>
  </si>
  <si>
    <t>[F1877]</t>
  </si>
  <si>
    <t>[F1878]</t>
  </si>
  <si>
    <t>[F1879]</t>
  </si>
  <si>
    <t>[F1880]</t>
  </si>
  <si>
    <t>[F1882]</t>
  </si>
  <si>
    <t>[F1883]</t>
  </si>
  <si>
    <t>[F1884]</t>
  </si>
  <si>
    <t>[F1885]</t>
  </si>
  <si>
    <t>[F1886]</t>
  </si>
  <si>
    <t>[F1887]</t>
  </si>
  <si>
    <t>[F1888]</t>
  </si>
  <si>
    <t>[F1889]</t>
  </si>
  <si>
    <t>[F1890]</t>
  </si>
  <si>
    <t>[F1891]</t>
  </si>
  <si>
    <t>[F1892]</t>
  </si>
  <si>
    <t>[F1893]</t>
  </si>
  <si>
    <t>[F1894]</t>
  </si>
  <si>
    <t>[F1895]</t>
  </si>
  <si>
    <t>[F1896]</t>
  </si>
  <si>
    <t>[F1897]</t>
  </si>
  <si>
    <t>[F1898]</t>
  </si>
  <si>
    <t>[F1899]</t>
  </si>
  <si>
    <t>[F1936]</t>
  </si>
  <si>
    <t>[F1937]</t>
  </si>
  <si>
    <t>[F1938]</t>
  </si>
  <si>
    <t>[F1939]</t>
  </si>
  <si>
    <t>[F1940]</t>
  </si>
  <si>
    <t>[F1941]</t>
  </si>
  <si>
    <t>[F1942]</t>
  </si>
  <si>
    <t>[F1943]</t>
  </si>
  <si>
    <t>[F1944]</t>
  </si>
  <si>
    <t>[F1945]</t>
  </si>
  <si>
    <t>[F1946]</t>
  </si>
  <si>
    <t>[F1947]</t>
  </si>
  <si>
    <t>[F1948]</t>
  </si>
  <si>
    <t>[F1949]</t>
  </si>
  <si>
    <t>[F1950]</t>
  </si>
  <si>
    <t>[F1951]</t>
  </si>
  <si>
    <t>[F1952]</t>
  </si>
  <si>
    <t>[F1953]</t>
  </si>
  <si>
    <t>[F1954]</t>
  </si>
  <si>
    <t>[F1955]</t>
  </si>
  <si>
    <t>[F1956]</t>
  </si>
  <si>
    <t>[F1957]</t>
  </si>
  <si>
    <t>[F1958]</t>
  </si>
  <si>
    <t>[F1959]</t>
  </si>
  <si>
    <t>[F1960]</t>
  </si>
  <si>
    <t>[F1961]</t>
  </si>
  <si>
    <t>[F1962]</t>
  </si>
  <si>
    <t>[F1963]</t>
  </si>
  <si>
    <t>[F1964]</t>
  </si>
  <si>
    <t>[F1965]</t>
  </si>
  <si>
    <t>[F1966]</t>
  </si>
  <si>
    <t>[F1967]</t>
  </si>
  <si>
    <t>[F1968]</t>
  </si>
  <si>
    <t>[F1969]</t>
  </si>
  <si>
    <t>[F1970]</t>
  </si>
  <si>
    <t>[F1971]</t>
  </si>
  <si>
    <t>[F1972]</t>
  </si>
  <si>
    <t>[F1973]</t>
  </si>
  <si>
    <t>[F1974]</t>
  </si>
  <si>
    <t>[F1975]</t>
  </si>
  <si>
    <t>[F1976]</t>
  </si>
  <si>
    <t>[F1977]</t>
  </si>
  <si>
    <t>[F1978]</t>
  </si>
  <si>
    <t>[F1979]</t>
  </si>
  <si>
    <t>[F1980]</t>
  </si>
  <si>
    <t>[F1982]</t>
  </si>
  <si>
    <t>[F1983]</t>
  </si>
  <si>
    <t>[F1984]</t>
  </si>
  <si>
    <t>[F1985]</t>
  </si>
  <si>
    <t>[F1986]</t>
  </si>
  <si>
    <t>[F1987]</t>
  </si>
  <si>
    <t>[F1988]</t>
  </si>
  <si>
    <t>[F1989]</t>
  </si>
  <si>
    <t>[F1990]</t>
  </si>
  <si>
    <t>[F1991]</t>
  </si>
  <si>
    <t>[F1992]</t>
  </si>
  <si>
    <t>[F1993]</t>
  </si>
  <si>
    <t>[F1994]</t>
  </si>
  <si>
    <t>[F1995]</t>
  </si>
  <si>
    <t>[F1996]</t>
  </si>
  <si>
    <t>[F1997]</t>
  </si>
  <si>
    <t>[F1998]</t>
  </si>
  <si>
    <t>[F1999]</t>
  </si>
  <si>
    <t>[F2000]</t>
  </si>
  <si>
    <t>[F1173] 탑 커버 공급 로보트 제품 정보 불일치</t>
  </si>
  <si>
    <t>[F1390] 쿨링 공급 캐비티 제품 수취 시간초과</t>
  </si>
  <si>
    <t>[F1391] 쿨링 공급 캐비티 제품 배출 시간초과</t>
  </si>
  <si>
    <t>[F1392] 쿨링 공급 캐비티 제품 수취 시퀀스 이상</t>
  </si>
  <si>
    <t>[F1394] 쿨링 공급 캐비티 제품 베츨 시퀀스 이상</t>
  </si>
  <si>
    <t>[F1400] 쿨링 공급 Z축 포지션 이상 (X709)</t>
  </si>
  <si>
    <t>[F1401] 쿨링 공급 Z축 피치 이동 오버 이상</t>
  </si>
  <si>
    <t>[F1410] 쿨링 공급 Z축 제품 공정 시퀀스 이상</t>
  </si>
  <si>
    <t>[F1411] 쿨링 공급 Z축 피치 이동 시간초과</t>
  </si>
  <si>
    <t>[F1419] 쿨링 공급 Z축 최상단 제품 데이터 불일치 이상 (X705)</t>
  </si>
  <si>
    <t>[F1420] 쿨링 이재기 클램프R 전진 시간초과 (Y7F1, X7C4, X7C8, X7CC, X7D0)</t>
  </si>
  <si>
    <t>[F1421] 쿨링 이재기 클램프R 후진 시간초과 (Y7F0, X7C5, X7C9, X7CD, X7D1)</t>
  </si>
  <si>
    <t>[F1422] 쿨링 이재기 클램프R 전진/후진 센서 이상 (X7C4, X7C8, X7CC, X7D0, X7C5, X7C9, X7CD, X7D1)</t>
  </si>
  <si>
    <t>[F1423] 쿨링 이재기 클램프L 전진 시간초과 (Y7F3, X7C6, X7CA, X7CE, X7D2)</t>
  </si>
  <si>
    <t>[F1424] 쿨링 이재기 클램프L 후진 시간초과 (Y7F2, X7C7, X7CB, X7CF, X7D3)</t>
  </si>
  <si>
    <t>[F1425] 쿨링 이재기 클램프L 전진/후진 센서 이상 (X7C6, X7CA, X7CE, X7D2, X7C7, X7CB, X7CF, X7D3)</t>
  </si>
  <si>
    <t>[F1430] 쿨링 이재기 제품 수취 시간초과</t>
  </si>
  <si>
    <t>[F1431] 쿨링 이재기 제품 배출 시간초과</t>
  </si>
  <si>
    <t>[F1432] 쿨링 이재기 제품 수취 시퀀스 이상</t>
  </si>
  <si>
    <t>[F1434] 쿨링 이재기 제품 베츨 시퀀스 이상</t>
  </si>
  <si>
    <t>[F1439] 쿨링 이재기 제품 데이터 불일치 이상 (X7C2, X7C3)</t>
  </si>
  <si>
    <t>[F1440] 쿨링 배출 Z축 포지션 이상 (X7D8)</t>
  </si>
  <si>
    <t>[F1441] 쿨링 배출 Z축 피치 이동 오버 이상</t>
  </si>
  <si>
    <t>[F1450] 쿨링 배출 Z축 제품 공정 시퀀스 이상</t>
  </si>
  <si>
    <t>[F1451] 쿨링 배출 Z축 피치 이동 시간초과</t>
  </si>
  <si>
    <t>[F1458] 쿨링 배출 Z축 최상단 제품 데이터 불일치 이상 (X707)</t>
  </si>
  <si>
    <t>[F1459] 쿨링 배출 Z축 최하단 데이터 불일치 이상 (X70A)</t>
  </si>
  <si>
    <t>[F1470] 쿨링 배출 캐비티 제품 수취 시간초과</t>
  </si>
  <si>
    <t>[F1471] 쿨링 배출 캐비티 제품 배출 시간초과</t>
  </si>
  <si>
    <t>[F1472] 쿨링 배출 캐비티 제품 수취 시퀀스 이상</t>
  </si>
  <si>
    <t>[F1474] 쿨링 배출 캐비티 제품 베츨 시퀀스 이상</t>
  </si>
  <si>
    <t>[F1480] 컨베어 언로더 이재기 어퍼 클램프 후진 시간초과 (Y80C, X905, X907, X909, X90B)</t>
  </si>
  <si>
    <t>[F1482] 컨베어 언로더 이재기 어퍼 클램프 후진/전진 센서 이상 (X905, X907, X909, X90B, X904, X906, X908, X90A)</t>
  </si>
  <si>
    <t>[F1483] 컨베어 언로더 이재기 로우 클램프 후진 시간초과 (Y80E, X90D, X90F, X911, X913)</t>
  </si>
  <si>
    <t>[F1484] 컨베어 언로더 이재기 로우 클램프 전진 시간초과 (Y80F, X90C, X90E, X910, X912)</t>
  </si>
  <si>
    <t>[F1485] 컨베어 언로더 이재기 로우 클램프 후진/전진 센서 이상 (X90D, X90F, X911, X913, X90C, X90E, X910, X912)</t>
  </si>
  <si>
    <t>[F1490] 컨베어 언로더 이재기 제품 수취 시간초과</t>
  </si>
  <si>
    <t>[F1491] 컨베어 언로더 이재기 제품 배출 시간초과</t>
  </si>
  <si>
    <t>[F1492] 컨베어 언로더 이재기 제품 수취 시퀀스 이상</t>
  </si>
  <si>
    <t>[F1494] 컨베어 언로더 이재기 제품 베츨 시퀀스 이상</t>
  </si>
  <si>
    <t>[F1499] 컨베어 언로더 이재기 제품 데이터 불일치 이상 (X91A, X91B)</t>
  </si>
  <si>
    <t>[F1500] 반전기 상승 시간초과 (Y8B3, X8A6, X8A2)</t>
  </si>
  <si>
    <t>[F1501] 반전기 하강 시간초과 (Y8B4, X8A7, X8A3)</t>
  </si>
  <si>
    <t>[F1502] 반전기 상승/하강 센서 이상 (X8A6, X8A2, X8A7, X8A3)</t>
  </si>
  <si>
    <t>[F1505] 반전기 어퍼 진공 On 시간초과 (Y8B1, X8A8, X8A9)</t>
  </si>
  <si>
    <t>[F1506] 반전기 어퍼 진공 Off 시간초과 (Y8B0)</t>
  </si>
  <si>
    <t>[F1507] 반전기 로우 진공 On 시간초과 (Y8B6, X8AA, X8AB)</t>
  </si>
  <si>
    <t>[F1508] 반전기 로우 진공 Off 시간초과 (Y8B5)</t>
  </si>
  <si>
    <t>[F1510] 반전기 제품 수취 시간초과</t>
  </si>
  <si>
    <t>[F1511] 반전기 제품 배출 시간초과</t>
  </si>
  <si>
    <t>[F1512] 반전기 제품 수취 시퀀스 이상</t>
  </si>
  <si>
    <t>[F1514] 반전기 제품 베츨 시퀀스 이상</t>
  </si>
  <si>
    <t>[F1519] 반전기 제품 데이터 불일치 이상 (X8A0, X8A4)</t>
  </si>
  <si>
    <t>[F1520] 2헤드 스테이지#1 모델 구분 지그 16` 전진 시간초과 (Y846, X745, X747, X749, X74B)</t>
  </si>
  <si>
    <t>[F1521] 2헤드 스테이지#1 모델 구분 지그 14` 후진 시간초과 (Y847, X744, X746, X748, X74A)</t>
  </si>
  <si>
    <t>[F1522] 2헤드 스테이지#1 모델 구분 지그 전진/후진 센서 이상 (X745, X747, X749, X74B, X744, X746, X748, X74A)</t>
  </si>
  <si>
    <t>[F1530] 2헤드 스테이지#1 제품 수취 시간초과</t>
  </si>
  <si>
    <t>[F1531] 2헤드 스테이지#1 제품 배출 시간초과</t>
  </si>
  <si>
    <t>[F1532] 2헤드 스테이지#1 제품 수취 시퀀스 이상</t>
  </si>
  <si>
    <t>[F1534] 2헤드 스테이지#1 제품 베츨 시퀀스 이상</t>
  </si>
  <si>
    <t>[F1539] 2헤드 스테이지#1 제품 데이터 불일치 이상 (X829, X828)</t>
  </si>
  <si>
    <t>[F1540] 2헤드 스테이지#2 모델 구분 지그 16` 전진 시간초과 (Y84E, X755, X757, X759, X75B)</t>
  </si>
  <si>
    <t>[F1541] 2헤드 스테이지#2 모델 구분 지그 14` 후진 시간초과 (Y84F, X754, X756, X758, X75A)</t>
  </si>
  <si>
    <t>[F1542] 2헤드 스테이지#2 모델 구분 지그 전진/후진 센서 이상 (X755, X757, X759, X75B, X754, X756, X758, X75A)</t>
  </si>
  <si>
    <t>[F1543] 2헤드 스테이지#2 실링 지그 상승 시간초과 (Y85D, X831)</t>
  </si>
  <si>
    <t>[F1544] 2헤드 스테이지#2 실링 지그 하강 시간초과 (Y85C, X832)</t>
  </si>
  <si>
    <t>[F1545] 2헤드 스테이지#2 실링 지그 상승/하강 센서 이상 (X831, X832)</t>
  </si>
  <si>
    <t>[F1550] 2헤드 스테이지#2 제품 수취 시간초과</t>
  </si>
  <si>
    <t>[F1551] 2헤드 스테이지#2 제품 배출 시간초과</t>
  </si>
  <si>
    <t>[F1552] 2헤드 스테이지#2 제품 수취 시퀀스 이상</t>
  </si>
  <si>
    <t>[F1554] 2헤드 스테이지#2 제품 베츨 시퀀스 이상</t>
  </si>
  <si>
    <t>[F1559] 2헤드 스테이지#2 제품 데이터 불일치 이상 (X82A, X82B)</t>
  </si>
  <si>
    <t>[F1560] 2헤드 스테이지#3 모델 구분 지그 16` 전진 시간초과 (Y856, X765, X767, X769, X76B)</t>
  </si>
  <si>
    <t>[F1561] 2헤드 스테이지#3 모델 구분 지그 14` 후진 시간초과 (Y857, X764, X766, X768, X76A)</t>
  </si>
  <si>
    <t>[F1562] 2헤드 스테이지#3 모델 구분 지그 전진/후진 센서 이상 (X765, X767, X769, X76B, X764, X766, X768, X76A)</t>
  </si>
  <si>
    <t>[F1570] 2헤드 스테이지#3 제품 수취 시간초과</t>
  </si>
  <si>
    <t>[F1571] 2헤드 스테이지#3 제품 배출 시간초과</t>
  </si>
  <si>
    <t>[F1572] 2헤드 스테이지#3 제품 수취 시퀀스 이상</t>
  </si>
  <si>
    <t>[F1574] 2헤드 스테이지#3 제품 베츨 시퀀스 이상</t>
  </si>
  <si>
    <t>[F1579] 2헤드 스테이지#3 제품 데이터 불일치 이상 (X82C, X82D)</t>
  </si>
  <si>
    <t>[F1580] 2헤드 스테이지#4 모델 구분 지그 16` 전진 시간초과 (Y85A, X775, X777, X779, X77B)</t>
  </si>
  <si>
    <t>[F1582] 2헤드 스테이지#4 모델 구분 지그 전진/후진 센서 이상 (X775, X777, X779, X77B, X774, X776, X778, X77A)</t>
  </si>
  <si>
    <t>[F1583] 2헤드 스테이지#4 어퍼 지그 상승 시간초과 (Y874, X83C, X83E)</t>
  </si>
  <si>
    <t>[F1584] 2헤드 스테이지#4 어퍼 지그 하강 시간초과 (Y875, X83D, X83F)</t>
  </si>
  <si>
    <t>[F1585] 2헤드 스테이지#4 어퍼 지그 상승/하강 센서 이상 (X83C, X83E, X83D, X83F)</t>
  </si>
  <si>
    <t>[F1586] 2헤드 스테이지#4 로우 지그 상승 시간초과 (Y876, X838, X83A)</t>
  </si>
  <si>
    <t>[F1587] 2헤드 스테이지#4 로우 지그 하강 시간초과 (Y877, X839, X83B)</t>
  </si>
  <si>
    <t>[F1588] 2헤드 스테이지#4 로우 지그 상승/하강 센서 이상 (X838, X83A, X839, X83B)</t>
  </si>
  <si>
    <t>[F1590] 2헤드 스테이지#4 제품 수취 시간초과</t>
  </si>
  <si>
    <t>[F1591] 2헤드 스테이지#4 제품 배출 시간초과</t>
  </si>
  <si>
    <t>[F1592] 2헤드 스테이지#4 제품 수취 시퀀스 이상</t>
  </si>
  <si>
    <t>[F1594] 2헤드 스테이지#4 제품 베츨 시퀀스 이상</t>
  </si>
  <si>
    <t>[F1599] 2헤드 스테이지#4 제품 데이터 불일치 이상 (X82E, X82F)</t>
  </si>
  <si>
    <t>[F1610] 2헤드 셔틀#1 제품 수취 시간초과</t>
  </si>
  <si>
    <t>[F1611] 2헤드 셔틀#1 제품 배출 시간초과</t>
  </si>
  <si>
    <t>[F1612] 2헤드 셔틀#1 제품 수취 시퀀스 이상</t>
  </si>
  <si>
    <t>[F1614] 2헤드 셔틀#1 제품 베츨 시퀀스 이상</t>
  </si>
  <si>
    <t>[F1630] 2헤드 셔틀#2 제품 수취 시간초과</t>
  </si>
  <si>
    <t>[F1631] 2헤드 셔틀#2 제품 배출 시간초과</t>
  </si>
  <si>
    <t>[F1632] 2헤드 셔틀#2 제품 수취 시퀀스 이상</t>
  </si>
  <si>
    <t>[F1634] 2헤드 셔틀#2 제품 베츨 시퀀스 이상</t>
  </si>
  <si>
    <t>[F1660] 2헤드 셔틀#3 2단 상승 시간초과 (Y850, X823, X827)</t>
  </si>
  <si>
    <t>[F1661] 2헤드 셔틀#3 2단 하강 시간초과 (Y851, X821, X822, X825, X826)</t>
  </si>
  <si>
    <t>[F1662] 2헤드 셔틀#3 2단 상승/하강 센서 이상 (X823, X827, X821, X822, X825, X826)</t>
  </si>
  <si>
    <t>[F1663] 2헤드 셔틀#3 1단 상승 시간초과 (Y852, X822, X823, X826, X827)</t>
  </si>
  <si>
    <t>[F1664] 2헤드 셔틀#3 1단 하강 시간초과 (Y853, X821, X825)</t>
  </si>
  <si>
    <t>[F1665] 2헤드 셔틀#3 1단 상승/하강 센서 이상 (X822, X823, X826, X827, X821, X825)</t>
  </si>
  <si>
    <t>[F1666] 2헤드 셔틀#3 가변 전진 시간초과 (Y858, X837)</t>
  </si>
  <si>
    <t>[F1667] 2헤드 셔틀#3 가변 후진 시간초과 (Y859, X836)</t>
  </si>
  <si>
    <t>[F1668] 2헤드 셔틀#3 가변 전진/후진 센서 이상 (X837, X836)</t>
  </si>
  <si>
    <t>[F1690] 2헤드 셔틀#3 제품 수취 시간초과</t>
  </si>
  <si>
    <t>[F1691] 2헤드 셔틀#3 제품 배출 시간초과</t>
  </si>
  <si>
    <t>[F1692] 2헤드 셔틀#3 제품 수취 시퀀스 이상</t>
  </si>
  <si>
    <t>[F1694] 2헤드 셔틀#3 제품 베츨 시퀀스 이상</t>
  </si>
  <si>
    <t>[F1699] 2헤드 셔틀#3 제품 데이터 불일치 이상 (X824, X820)</t>
  </si>
  <si>
    <t>[F1713] 실링 로봇#1 제품 공정 시퀀스 이상</t>
  </si>
  <si>
    <t>[F1715] 실링 로봇#1 리모트 모드 상태 이상</t>
  </si>
  <si>
    <t>[F1716] 실링 로봇#1 서보 온 상태 이상</t>
  </si>
  <si>
    <t>[F1717] 실링 로봇#1 초기화 필요</t>
  </si>
  <si>
    <t>[F1718] 실링 로봇#1 팬던트 비상 정지 이상 (XD8D)</t>
  </si>
  <si>
    <t>[F1719] 실링 로봇#1 콘트롤러 비상 정지 이상 (XD8E)</t>
  </si>
  <si>
    <t>[F1733] 실링 로봇#2 제품 공정 시퀀스 이상</t>
  </si>
  <si>
    <t>[F1735] 실링 로봇#2 리모트 모드 상태 이상</t>
  </si>
  <si>
    <t>[F1736] 실링 로봇#2 서보 온 상태 이상</t>
  </si>
  <si>
    <t>[F1737] 실링 로봇#2 초기화 필요</t>
  </si>
  <si>
    <t>[F1738] 실링 로봇#2 팬던트 비상 정지 이상 (XE0D)</t>
  </si>
  <si>
    <t>[F1739] 실링 로봇#2 콘트롤러 비상 정지 이상 (XE0E)</t>
  </si>
  <si>
    <t>[F1740] 결합기 로우 컴바인 전진 시간초과 (Y895, X884)</t>
  </si>
  <si>
    <t>[F1741] 결합기 로우 컴바인 후진 시간초과 (Y894, X883)</t>
  </si>
  <si>
    <t>[F1742] 결합기 로우 컴바인 전진/후진 센서 이상 (X884, X883)</t>
  </si>
  <si>
    <t>[F1743] 결합기 어퍼 컴바인 전진 시간초과 (Y897, X888)</t>
  </si>
  <si>
    <t>[F1744] 결합기 어퍼 컴바인 후진 시간초과 (Y896, X887)</t>
  </si>
  <si>
    <t>[F1745] 결합기 어퍼 컴바인 전진/후진 센서 이상 (X888, X887)</t>
  </si>
  <si>
    <t>[F1746] 결합기 어퍼 컴바인 진공 On 시간초과 (Y860, X880)</t>
  </si>
  <si>
    <t>[F1748] 결합기 로우 컴바인 진공 On 시간초과 (Y863, X885)</t>
  </si>
  <si>
    <t>[F1749] 결합기 로우 컴바인 진공 Off 시간초과 (Y864, X889)</t>
  </si>
  <si>
    <t>[F1750] 결합기 제품 수취 시간초과</t>
  </si>
  <si>
    <t>[F1751] 결합기 제품 배출 시간초과</t>
  </si>
  <si>
    <t>[F1752] 결합기 제품 수취 시퀀스 이상</t>
  </si>
  <si>
    <t>[F1754] 결합기 제품 베츨 시퀀스 이상</t>
  </si>
  <si>
    <t>[F1759] 결합기 제품 데이터 불일치 이상 (X835)</t>
  </si>
  <si>
    <t>[M200] 로우 실란트 용액 "A" 설정수량 임박</t>
  </si>
  <si>
    <t>[M201] 로우 실란트 용액 "B" 설정수량 임박</t>
  </si>
  <si>
    <t>[M202] 어퍼 실란트 용액 "A" 설정수량 임박</t>
  </si>
  <si>
    <t>[M203] 어퍼 실란트 용액 "B" 설정수량 임박</t>
  </si>
  <si>
    <t>[F1339] 댐핑시트 공급 테이블#1 제품 데이터 불일치 이상 (X664, X666)</t>
  </si>
  <si>
    <t>[F1359] 댐핑시트 공급 테이블#2 제품 데이터 불일치 이상 (X660, X662)</t>
  </si>
  <si>
    <t>[F1360] 댐핑시트 공급 이재기 어퍼 진공 On 시간초과 (Y620, X601, X602)</t>
  </si>
  <si>
    <t>[F1361] 댐핑시트 공급 이재기 어퍼 진공 Off 시간초과 (Y621)</t>
  </si>
  <si>
    <t>[F1364] 댐핑시트 공급 이재기 로우 진공 On 시간초과 (Y623, X605, X606)</t>
  </si>
  <si>
    <t>[F1365] 댐핑시트 공급 이재기 로우 진공 Off 시간초과 (Y624)</t>
  </si>
  <si>
    <t>[F1370] 댐핑시트 공급 이재기 제품 수취 시간초과</t>
  </si>
  <si>
    <t>[F1371] 댐핑시트 공급 이재기 제품 배출 시간초과</t>
  </si>
  <si>
    <t>[F1372] 댐핑시트 공급 이재기 제품 수취 시퀀스 이상</t>
  </si>
  <si>
    <t>[F1374] 댐핑시트 공급 이재기 제품 베츨 시퀀스 이상</t>
  </si>
  <si>
    <t>[F1379] 댐핑시트 공급 이재기 제품 데이터 불일치 이상 (X601, X602, X605, X606)</t>
  </si>
  <si>
    <t>[F1935] 댐핑 시트 미준비 에러</t>
  </si>
  <si>
    <t>[F1300] Slat_C/V 정위치 센서 미감지 에러 (X61B)</t>
  </si>
  <si>
    <t>[F1301] Slat_C/V 어퍼#1 SCR#1 이상 Alarm</t>
  </si>
  <si>
    <t>[F1302] Slat_C/V 로우#1 SCR#2 이상 Alarm</t>
  </si>
  <si>
    <t>[F1303] Slat_C/V 어퍼#2 SCR#3 이상 Alarm</t>
  </si>
  <si>
    <t>[F1304] Slat_C/V 로우#2 SCR#4 이상 Alarm</t>
  </si>
  <si>
    <t>[F1305] Slat_C/V 어퍼#3 SCR#5 이상 Alarm</t>
  </si>
  <si>
    <t>[F1306] Slat_C/V 로우#3 SCR#6 이상 Alarm</t>
  </si>
  <si>
    <t>[F1307] Slat_C/V 어퍼#4 SCR#7 이상 Alarm</t>
  </si>
  <si>
    <t>[F1308] Slat_C/V 로우#4 SCR#8 이상 Alarm</t>
  </si>
  <si>
    <t>[F1309] Slat_C/V 어퍼#5 SCR#9 이상 Alarm</t>
  </si>
  <si>
    <t>[F1310] Slat_C/V 로우#5 SCR#10 이상 Alarm</t>
  </si>
  <si>
    <t>[F1311] Slat_C/V 어퍼#6 SCR#11 이상 Alarm</t>
  </si>
  <si>
    <t>[F1312] Slat_C/V 로우#6 SCR#12 이상 Alarm</t>
  </si>
  <si>
    <t>[F1315] 슬레이트 컨베어 커버 투입 제품 데이터 불일치 이상</t>
  </si>
  <si>
    <t>[F1316] 슬레이트 컨베어 댐핑시트 공급 제품 데이터 불일치 이상</t>
  </si>
  <si>
    <t>[F1317] 슬레이트 컨베어 배출부 제품 데이터 불일치 이상</t>
  </si>
  <si>
    <t>[F1318] 슬레이트 컨베어 쿨링 공급 제품 데이터 불일치 이상</t>
  </si>
  <si>
    <t>[F1319] 슬레이트 컨베어 쿨링 배출 제품 데이터 불일치 이상</t>
  </si>
  <si>
    <t>안전</t>
    <phoneticPr fontId="1" type="noConversion"/>
  </si>
  <si>
    <t>정지</t>
    <phoneticPr fontId="1" type="noConversion"/>
  </si>
  <si>
    <t>경고</t>
    <phoneticPr fontId="1" type="noConversion"/>
  </si>
  <si>
    <t>수동정지</t>
  </si>
  <si>
    <t>Upper_커버 클린칭</t>
    <phoneticPr fontId="1" type="noConversion"/>
  </si>
  <si>
    <t>설비</t>
  </si>
  <si>
    <t>Y</t>
  </si>
  <si>
    <t>자재</t>
  </si>
  <si>
    <t>품질</t>
  </si>
  <si>
    <t>공정</t>
  </si>
  <si>
    <t>EQ</t>
    <phoneticPr fontId="1" type="noConversion"/>
  </si>
  <si>
    <t>PLC2</t>
    <phoneticPr fontId="1" type="noConversion"/>
  </si>
  <si>
    <t>자동정지</t>
    <phoneticPr fontId="1" type="noConversion"/>
  </si>
  <si>
    <t>Upper_브라켓 용접</t>
    <phoneticPr fontId="1" type="noConversion"/>
  </si>
  <si>
    <t>Lower_브라켓 용접</t>
    <phoneticPr fontId="1" type="noConversion"/>
  </si>
  <si>
    <t>[M500]설비문제로 인한 정지</t>
  </si>
  <si>
    <t>[M501]자재문제로 인한 정비 (자재 품절, 오투입)</t>
  </si>
  <si>
    <t>[M502]제품/부품 품질에 의한 정지 (검사 포함)</t>
  </si>
  <si>
    <t>[M503]작업운영 미숙으로 인한 정지 (작업자)</t>
  </si>
  <si>
    <t>[M504]설비문제로 인한 정지</t>
  </si>
  <si>
    <t>[M505]자재문제로 인한 정비 (자재 품절, 오투입)</t>
  </si>
  <si>
    <t>[M506]제품/부품 품질에 의한 정지 (검사 포함)</t>
  </si>
  <si>
    <t>[M507]작업운영 미숙으로 인한 정지 (작업자)</t>
  </si>
  <si>
    <t>[M508]설비문제로 인한 정지</t>
  </si>
  <si>
    <t>[M509]자재문제로 인한 정비 (자재 품절, 오투입)</t>
  </si>
  <si>
    <t>[M510]제품/부품 품질에 의한 정지 (검사 포함)</t>
  </si>
  <si>
    <t>[M511]작업운영 미숙으로 인한 정지 (작업자)</t>
  </si>
  <si>
    <t>[M512]설비문제로 인한 정지</t>
  </si>
  <si>
    <t>[M513]자재문제로 인한 정비 (자재 품절, 오투입)</t>
  </si>
  <si>
    <t>[M514]제품/부품 품질에 의한 정지 (검사 포함)</t>
  </si>
  <si>
    <t>[M515]작업운영 미숙으로 인한 정지 (작업자)</t>
  </si>
  <si>
    <t>[F0151] 로우 커버 용접 X축(SD211) FLS가 감지되었습니다.</t>
  </si>
  <si>
    <t>[F0251] 댐핑시트 공급 테이블#1(SD217) FLS가 감지되었습니다.</t>
  </si>
  <si>
    <t xml:space="preserve">[F0451] </t>
  </si>
  <si>
    <t>[F0851] 어퍼 셔틀#1 셔틀 하강 시간초과 (Y427, X3C1)</t>
  </si>
  <si>
    <t xml:space="preserve">[F0951] </t>
  </si>
  <si>
    <t xml:space="preserve">[F1051] </t>
  </si>
  <si>
    <t>[F1251] 커버 이송 이재기 어퍼 진공 Off 시간초과 (Y631)</t>
  </si>
  <si>
    <t>[F1451] 컨베어 언로더 이재기 어퍼 클램프 전진 시간초과 (Y80D, X904, X906, X908, X90A)</t>
  </si>
  <si>
    <t>[F1551] 2헤드 스테이지#4 모델 구분 지그 14` 후진 시간초과 (Y85B, X774, X776, X778, X77A)</t>
  </si>
  <si>
    <t>[F1600] 2헤드 셔틀#1 2단 상승 시간초과 (Y840, X513, X517)</t>
  </si>
  <si>
    <t>[F1601] 2헤드 셔틀#1 2단 하강 시간초과 (Y841, X511, X512, X515, X516)</t>
  </si>
  <si>
    <t>[F1602] 2헤드 셔틀#1 2단 상승/하강 센서 이상 (X513, X517, X511, X512, X515, X516)</t>
  </si>
  <si>
    <t>[F1603] 2헤드 셔틀#1 1단 상승 시간초과 (Y842, X512, X513, X516, X517)</t>
  </si>
  <si>
    <t>[F1604] 2헤드 셔틀#1 1단 하강 시간초과 (Y843, X511, X515)</t>
  </si>
  <si>
    <t>[F1605] 2헤드 셔틀#1 1단 상승/하강 센서 이상 (X512, X513, X516, X517, X511, X515)</t>
  </si>
  <si>
    <t>[F1619] 2헤드 셔틀#1 제품 데이터 불일치 이상 (X514, X510)</t>
  </si>
  <si>
    <t>[F1620] 2헤드 셔틀#2 2단 상승 시간초과 (Y848, X51B, X51F)</t>
  </si>
  <si>
    <t>[F1621] 2헤드 셔틀#2 2단 하강 시간초과 (Y849, X519, X51A, X51D, X51E)</t>
  </si>
  <si>
    <t>[F1622] 2헤드 셔틀#2 2단 상승/하강 센서 이상 (X51B, X51F, X519, X51A, X51D, X51E)</t>
  </si>
  <si>
    <t>[F1623] 2헤드 셔틀#2 1단 상승 시간초과 (Y84A, X51A, X51B, X51E, X51F)</t>
  </si>
  <si>
    <t>[F1624] 2헤드 셔틀#2 1단 하강 시간초과 (Y84B, X519, X51D)</t>
  </si>
  <si>
    <t>[F1625] 2헤드 셔틀#2 1단 상승/하강 센서 이상 (X51A, X51B, X51E, X51F, X519, X51D)</t>
  </si>
  <si>
    <t>[F1639] 2헤드 셔틀#2 제품 데이터 불일치 이상 (X51C, X518)</t>
  </si>
  <si>
    <t>[F1747] 결합기 어퍼 컴바인 진공 Off 시간초과 (Y861, X851)</t>
  </si>
  <si>
    <t>Upper&amp;Lower_용접 및 이송셔틀</t>
    <phoneticPr fontId="1" type="noConversion"/>
  </si>
  <si>
    <t>Center_댐핑시트 공급, 슬렛컨베어, 냉각이송</t>
    <phoneticPr fontId="1" type="noConversion"/>
  </si>
  <si>
    <t>Center_유밴더, 클린칭, 터브이송</t>
    <phoneticPr fontId="1" type="noConversion"/>
  </si>
  <si>
    <t>OP2</t>
    <phoneticPr fontId="1" type="noConversion"/>
  </si>
  <si>
    <t>Upper&amp;Lower_쿨링, 배출이송</t>
    <phoneticPr fontId="1" type="noConversion"/>
  </si>
  <si>
    <t>T</t>
    <phoneticPr fontId="1" type="noConversion"/>
  </si>
  <si>
    <t>[M516]설비문제로 인한 정지</t>
    <phoneticPr fontId="1" type="noConversion"/>
  </si>
  <si>
    <t>[M517]자재문제로 인한 정비 (자재 품절, 오투입)</t>
    <phoneticPr fontId="1" type="noConversion"/>
  </si>
  <si>
    <t>[M518]제품/부품 품질에 의한 정지 (검사 포함)</t>
    <phoneticPr fontId="1" type="noConversion"/>
  </si>
  <si>
    <t>[M519]작업운영 미숙으로 인한 정지 (작업자)</t>
    <phoneticPr fontId="1" type="noConversion"/>
  </si>
  <si>
    <t>Upper&amp;Lower_용접 셔틀</t>
    <phoneticPr fontId="1" type="noConversion"/>
  </si>
  <si>
    <t>Upper&amp;Lower_실링,배출 셔틀</t>
    <phoneticPr fontId="1" type="noConversion"/>
  </si>
  <si>
    <t>[M520]설비문제로 인한 정지</t>
    <phoneticPr fontId="1" type="noConversion"/>
  </si>
  <si>
    <t>[M521]자재문제로 인한 정비 (자재 품절, 오투입)</t>
    <phoneticPr fontId="1" type="noConversion"/>
  </si>
  <si>
    <t>[M522]제품/부품 품질에 의한 정지 (검사 포함)</t>
    <phoneticPr fontId="1" type="noConversion"/>
  </si>
  <si>
    <t>[M523]작업운영 미숙으로 인한 정지 (작업자)</t>
    <phoneticPr fontId="1" type="noConversion"/>
  </si>
  <si>
    <t>[M800]생산 계획에 따른 정지 시</t>
  </si>
  <si>
    <t>[M801]모델 교체 및 시운전 Test 시</t>
  </si>
  <si>
    <t>[M802]원재료 또는 반제품 부족으로 인한 정지 시</t>
  </si>
  <si>
    <t>[M803]공정 불량 발생 시 작업자가 정지</t>
  </si>
  <si>
    <t>[M804]정기/비정기 설비 점검 시</t>
  </si>
  <si>
    <t>[M805]전원, 공조, 네트워크 이상 발생 시</t>
  </si>
  <si>
    <t>[M806]전산 또는 IT 이상으로 인한 정지 시</t>
  </si>
  <si>
    <t>[M807]작업 준비를 위한 조건 설정 및 조정을 위해 설비 정지 시</t>
  </si>
  <si>
    <t>[M808]재작업을 위한 정지 시</t>
    <phoneticPr fontId="1" type="noConversion"/>
  </si>
  <si>
    <t>[M810]생산 계획에 따른 정지 시</t>
  </si>
  <si>
    <t>[M811]모델 교체 및 시운전 Test 시</t>
  </si>
  <si>
    <t>[M812]원재료 또는 반제품 부족으로 인한 정지 시</t>
  </si>
  <si>
    <t>[M813]공정 불량 발생 시 작업자가 정지</t>
  </si>
  <si>
    <t>[M814]정기/비정기 설비 점검 시</t>
  </si>
  <si>
    <t>[M815]전원, 공조, 네트워크 이상 발생 시</t>
  </si>
  <si>
    <t>[M816]전산 또는 IT 이상으로 인한 정지 시</t>
  </si>
  <si>
    <t>[M817]작업 준비를 위한 조건 설정 및 조정을 위해 설비 정지 시</t>
  </si>
  <si>
    <t>[M818]재작업을 위한 정지 시</t>
  </si>
  <si>
    <t>Upper&amp;Lower_댐핑 시트 이송</t>
    <phoneticPr fontId="1" type="noConversion"/>
  </si>
  <si>
    <t>[M524]설비문제로 인한 정지</t>
    <phoneticPr fontId="1" type="noConversion"/>
  </si>
  <si>
    <t>[M525]자재문제로 인한 정비 (자재 품절, 오투입)</t>
    <phoneticPr fontId="1" type="noConversion"/>
  </si>
  <si>
    <t>[M526]제품/부품 품질에 의한 정지 (검사 포함)</t>
    <phoneticPr fontId="1" type="noConversion"/>
  </si>
  <si>
    <t>[M527]작업운영 미숙으로 인한 정지 (작업자)</t>
    <phoneticPr fontId="1" type="noConversion"/>
  </si>
  <si>
    <t>OP3</t>
    <phoneticPr fontId="1" type="noConversion"/>
  </si>
  <si>
    <t>Upper&amp;Lower_커버이송</t>
    <phoneticPr fontId="1" type="noConversion"/>
  </si>
  <si>
    <t>Upper&amp;Lower_슬렛컨베어</t>
    <phoneticPr fontId="1" type="noConversion"/>
  </si>
  <si>
    <t>Upper&amp;Lower_쿨링</t>
    <phoneticPr fontId="1" type="noConversion"/>
  </si>
  <si>
    <t>[M528]설비문제로 인한 정지</t>
    <phoneticPr fontId="1" type="noConversion"/>
  </si>
  <si>
    <t>[M529]자재문제로 인한 정비 (자재 품절, 오투입)</t>
    <phoneticPr fontId="1" type="noConversion"/>
  </si>
  <si>
    <t>[M530]제품/부품 품질에 의한 정지 (검사 포함)</t>
    <phoneticPr fontId="1" type="noConversion"/>
  </si>
  <si>
    <t>[M531]작업운영 미숙으로 인한 정지 (작업자)</t>
    <phoneticPr fontId="1" type="noConversion"/>
  </si>
  <si>
    <t>[M532]설비문제로 인한 정지</t>
    <phoneticPr fontId="1" type="noConversion"/>
  </si>
  <si>
    <t>[M533]자재문제로 인한 정비 (자재 품절, 오투입)</t>
    <phoneticPr fontId="1" type="noConversion"/>
  </si>
  <si>
    <t>[M534]제품/부품 품질에 의한 정지 (검사 포함)</t>
    <phoneticPr fontId="1" type="noConversion"/>
  </si>
  <si>
    <t>[M535]작업운영 미숙으로 인한 정지 (작업자)</t>
    <phoneticPr fontId="1" type="noConversion"/>
  </si>
  <si>
    <t>[M536]설비문제로 인한 정지</t>
    <phoneticPr fontId="1" type="noConversion"/>
  </si>
  <si>
    <t>[M537]자재문제로 인한 정비 (자재 품절, 오투입)</t>
    <phoneticPr fontId="1" type="noConversion"/>
  </si>
  <si>
    <t>[M538]제품/부품 품질에 의한 정지 (검사 포함)</t>
    <phoneticPr fontId="1" type="noConversion"/>
  </si>
  <si>
    <t>[M539]작업운영 미숙으로 인한 정지 (작업자)</t>
    <phoneticPr fontId="1" type="noConversion"/>
  </si>
  <si>
    <t>OP4</t>
    <phoneticPr fontId="1" type="noConversion"/>
  </si>
  <si>
    <t>Upper&amp;Lower_커버이송, 슬렛컨베어, 쿨링</t>
    <phoneticPr fontId="1" type="noConversion"/>
  </si>
  <si>
    <t>MAIN</t>
    <phoneticPr fontId="1" type="noConversion"/>
  </si>
  <si>
    <t>[F0008]</t>
  </si>
  <si>
    <t>[F0009]</t>
  </si>
  <si>
    <t>[F0010]</t>
  </si>
  <si>
    <t>[F0014]</t>
  </si>
  <si>
    <t>[F0015]</t>
  </si>
  <si>
    <t>[F0016]</t>
  </si>
  <si>
    <t>[F0017]</t>
  </si>
  <si>
    <t>[F0018]</t>
  </si>
  <si>
    <t>[F0019]</t>
  </si>
  <si>
    <t>[F0025]</t>
  </si>
  <si>
    <t>[F0026]</t>
  </si>
  <si>
    <t>[F0027]</t>
  </si>
  <si>
    <t>[F0028]</t>
  </si>
  <si>
    <t>[F0029]</t>
  </si>
  <si>
    <t>[F0031]</t>
  </si>
  <si>
    <t>[F0032]</t>
  </si>
  <si>
    <t>[F0033]</t>
  </si>
  <si>
    <t>[F0034]</t>
  </si>
  <si>
    <t>[F0035]</t>
  </si>
  <si>
    <t>[F0036]</t>
  </si>
  <si>
    <t>[F0037]</t>
  </si>
  <si>
    <t>[F0038]</t>
  </si>
  <si>
    <t>[F0039]</t>
  </si>
  <si>
    <t>[F0040]</t>
  </si>
  <si>
    <t>[F0041]</t>
  </si>
  <si>
    <t>[F0042]</t>
  </si>
  <si>
    <t>[F0043]</t>
  </si>
  <si>
    <t>[F0044]</t>
  </si>
  <si>
    <t>[F0045]</t>
  </si>
  <si>
    <t>[F0046]</t>
  </si>
  <si>
    <t>[F0047]</t>
  </si>
  <si>
    <t>[F0048]</t>
  </si>
  <si>
    <t>[F0049]</t>
  </si>
  <si>
    <t>[F0050]</t>
  </si>
  <si>
    <t>[F0051]</t>
  </si>
  <si>
    <t>[F0052]</t>
  </si>
  <si>
    <t>[F0053]</t>
  </si>
  <si>
    <t>[F0054]</t>
  </si>
  <si>
    <t>[F0055]</t>
  </si>
  <si>
    <t>[F0056]</t>
  </si>
  <si>
    <t>[F0057]</t>
  </si>
  <si>
    <t>[F0058]</t>
  </si>
  <si>
    <t>[F0059]</t>
  </si>
  <si>
    <t>[F0060]</t>
  </si>
  <si>
    <t>[F0061]</t>
  </si>
  <si>
    <t>[F0062]</t>
  </si>
  <si>
    <t>[F0063]</t>
  </si>
  <si>
    <t>[F0064]</t>
  </si>
  <si>
    <t>[F0065]</t>
  </si>
  <si>
    <t>[F0066]</t>
  </si>
  <si>
    <t>[F0067]</t>
  </si>
  <si>
    <t>[F0068]</t>
  </si>
  <si>
    <t>[F0069]</t>
  </si>
  <si>
    <t>[F0070]</t>
  </si>
  <si>
    <t>[F0071]</t>
  </si>
  <si>
    <t>[F0072]</t>
  </si>
  <si>
    <t>[F0073]</t>
  </si>
  <si>
    <t>[F0074]</t>
  </si>
  <si>
    <t>[F0075]</t>
  </si>
  <si>
    <t>[F0076]</t>
  </si>
  <si>
    <t>[F0077]</t>
  </si>
  <si>
    <t>[F0078]</t>
  </si>
  <si>
    <t>[F0079]</t>
  </si>
  <si>
    <t>[F0080]</t>
  </si>
  <si>
    <t>[F0081]</t>
  </si>
  <si>
    <t>[F0082]</t>
  </si>
  <si>
    <t>[F0083]</t>
  </si>
  <si>
    <t>[F0084]</t>
  </si>
  <si>
    <t>[F0085]</t>
  </si>
  <si>
    <t>[F0086]</t>
  </si>
  <si>
    <t>[F0087]</t>
  </si>
  <si>
    <t>[F0088]</t>
  </si>
  <si>
    <t>[F0089]</t>
  </si>
  <si>
    <t>[F0090]</t>
  </si>
  <si>
    <t>[F0091]</t>
  </si>
  <si>
    <t>[F0092]</t>
  </si>
  <si>
    <t>[F0093]</t>
  </si>
  <si>
    <t>[F0094]</t>
  </si>
  <si>
    <t>[F0095]</t>
  </si>
  <si>
    <t>[F0096]</t>
  </si>
  <si>
    <t>[F0097]</t>
  </si>
  <si>
    <t>[F0098]</t>
  </si>
  <si>
    <t>[F0099]</t>
  </si>
  <si>
    <t>[F0231]</t>
  </si>
  <si>
    <t>[F0232]</t>
  </si>
  <si>
    <t>[F0233]</t>
  </si>
  <si>
    <t>[F0234]</t>
  </si>
  <si>
    <t>[F0235]</t>
  </si>
  <si>
    <t>[F0236]</t>
  </si>
  <si>
    <t>[F0237]</t>
  </si>
  <si>
    <t>[F0238]</t>
  </si>
  <si>
    <t>[F0239]</t>
  </si>
  <si>
    <t>[F0240]</t>
  </si>
  <si>
    <t>[F0241]</t>
  </si>
  <si>
    <t>[F0242]</t>
  </si>
  <si>
    <t>[F0243]</t>
  </si>
  <si>
    <t>[F0244]</t>
  </si>
  <si>
    <t>[F0245]</t>
  </si>
  <si>
    <t>[F0246]</t>
  </si>
  <si>
    <t>[F0247]</t>
  </si>
  <si>
    <t>[F0248]</t>
  </si>
  <si>
    <t>[F0249]</t>
  </si>
  <si>
    <t>[F0250]</t>
  </si>
  <si>
    <t>[F0251]</t>
  </si>
  <si>
    <t>[F0252]</t>
  </si>
  <si>
    <t>[F0253]</t>
  </si>
  <si>
    <t>[F0254]</t>
  </si>
  <si>
    <t>[F0255]</t>
  </si>
  <si>
    <t>[F0256]</t>
  </si>
  <si>
    <t>[F0257]</t>
  </si>
  <si>
    <t>[F0258]</t>
  </si>
  <si>
    <t>[F0259]</t>
  </si>
  <si>
    <t>[F0391]</t>
  </si>
  <si>
    <t>[F0392]</t>
  </si>
  <si>
    <t>[F0393]</t>
  </si>
  <si>
    <t>[F0394]</t>
  </si>
  <si>
    <t>[F0395]</t>
  </si>
  <si>
    <t>[F0396]</t>
  </si>
  <si>
    <t>[F0397]</t>
  </si>
  <si>
    <t>[F0398]</t>
  </si>
  <si>
    <t>[F0399]</t>
  </si>
  <si>
    <t>[F0400]</t>
  </si>
  <si>
    <t>[F0401]</t>
  </si>
  <si>
    <t>[F0402]</t>
  </si>
  <si>
    <t>[F0403]</t>
  </si>
  <si>
    <t>[F0404]</t>
  </si>
  <si>
    <t>[F0405]</t>
  </si>
  <si>
    <t>[F0406]</t>
  </si>
  <si>
    <t>[F0407]</t>
  </si>
  <si>
    <t>[F0408]</t>
  </si>
  <si>
    <t>[F0409]</t>
  </si>
  <si>
    <t>[F0410]</t>
  </si>
  <si>
    <t>[F0411]</t>
  </si>
  <si>
    <t>[F0412]</t>
  </si>
  <si>
    <t>[F0413]</t>
  </si>
  <si>
    <t>[F0414]</t>
  </si>
  <si>
    <t>[F0415]</t>
  </si>
  <si>
    <t>[F0416]</t>
  </si>
  <si>
    <t>[F0417]</t>
  </si>
  <si>
    <t>[F0418]</t>
  </si>
  <si>
    <t>[F0419]</t>
  </si>
  <si>
    <t>[F0781]</t>
  </si>
  <si>
    <t>[F0793]</t>
  </si>
  <si>
    <t>[F0810]</t>
  </si>
  <si>
    <t>[F0811]</t>
  </si>
  <si>
    <t>[F0812]</t>
  </si>
  <si>
    <t>[F0813]</t>
  </si>
  <si>
    <t>[F0814]</t>
  </si>
  <si>
    <t>[F0815]</t>
  </si>
  <si>
    <t>[F0816]</t>
  </si>
  <si>
    <t>[F0817]</t>
  </si>
  <si>
    <t>[F0818]</t>
  </si>
  <si>
    <t>[F0819]</t>
  </si>
  <si>
    <t>[F0826]</t>
  </si>
  <si>
    <t>[F0827]</t>
  </si>
  <si>
    <t>[F0828]</t>
  </si>
  <si>
    <t>[F0829]</t>
  </si>
  <si>
    <t>[F0830]</t>
  </si>
  <si>
    <t>[F0831]</t>
  </si>
  <si>
    <t>[F0832]</t>
  </si>
  <si>
    <t>[F0833]</t>
  </si>
  <si>
    <t>[F0834]</t>
  </si>
  <si>
    <t>[F0835]</t>
  </si>
  <si>
    <t>[F0836]</t>
  </si>
  <si>
    <t>[F0837]</t>
  </si>
  <si>
    <t>[F0838]</t>
  </si>
  <si>
    <t>[F0839]</t>
  </si>
  <si>
    <t>[F0847]</t>
  </si>
  <si>
    <t>[F0848]</t>
  </si>
  <si>
    <t>[F0849]</t>
  </si>
  <si>
    <t>[F0850]</t>
  </si>
  <si>
    <t>[F0851]</t>
  </si>
  <si>
    <t>[F0852]</t>
  </si>
  <si>
    <t>[F0853]</t>
  </si>
  <si>
    <t>[F0854]</t>
  </si>
  <si>
    <t>[F0855]</t>
  </si>
  <si>
    <t>[F0856]</t>
  </si>
  <si>
    <t>[F0857]</t>
  </si>
  <si>
    <t>[F0858]</t>
  </si>
  <si>
    <t>[F0859]</t>
  </si>
  <si>
    <t>[F0863]</t>
  </si>
  <si>
    <t>[F0864]</t>
  </si>
  <si>
    <t>[F0865]</t>
  </si>
  <si>
    <t>[F0866]</t>
  </si>
  <si>
    <t>[F0867]</t>
  </si>
  <si>
    <t>[F0868]</t>
  </si>
  <si>
    <t>[F0869]</t>
  </si>
  <si>
    <t>[F0870]</t>
  </si>
  <si>
    <t>[F0871]</t>
  </si>
  <si>
    <t>[F0872]</t>
  </si>
  <si>
    <t>[F0873]</t>
  </si>
  <si>
    <t>[F0874]</t>
  </si>
  <si>
    <t>[F0875]</t>
  </si>
  <si>
    <t>[F0876]</t>
  </si>
  <si>
    <t>[F0877]</t>
  </si>
  <si>
    <t>[F0878]</t>
  </si>
  <si>
    <t>[F0879]</t>
  </si>
  <si>
    <t>[F0880]</t>
  </si>
  <si>
    <t>[F0881]</t>
  </si>
  <si>
    <t>[F0882]</t>
  </si>
  <si>
    <t>[F0883]</t>
  </si>
  <si>
    <t>[F0884]</t>
  </si>
  <si>
    <t>[F0885]</t>
  </si>
  <si>
    <t>[F0886]</t>
  </si>
  <si>
    <t>[F0887]</t>
  </si>
  <si>
    <t>[F0888]</t>
  </si>
  <si>
    <t>[F0889]</t>
  </si>
  <si>
    <t>[F0890]</t>
  </si>
  <si>
    <t>[F0891]</t>
  </si>
  <si>
    <t>[F0892]</t>
  </si>
  <si>
    <t>[F0893]</t>
  </si>
  <si>
    <t>[F0894]</t>
  </si>
  <si>
    <t>[F0895]</t>
  </si>
  <si>
    <t>[F0896]</t>
  </si>
  <si>
    <t>[F0897]</t>
  </si>
  <si>
    <t>[F0898]</t>
  </si>
  <si>
    <t>[F0899]</t>
  </si>
  <si>
    <t>[F0918]</t>
  </si>
  <si>
    <t>[F0919]</t>
  </si>
  <si>
    <t>[F0920]</t>
  </si>
  <si>
    <t>[F0921]</t>
  </si>
  <si>
    <t>[F0922]</t>
  </si>
  <si>
    <t>[F0923]</t>
  </si>
  <si>
    <t>[F0924]</t>
  </si>
  <si>
    <t>[F0925]</t>
  </si>
  <si>
    <t>[F0926]</t>
  </si>
  <si>
    <t>[F0946]</t>
  </si>
  <si>
    <t>[F0947]</t>
  </si>
  <si>
    <t>[F0948]</t>
  </si>
  <si>
    <t>[F0949]</t>
  </si>
  <si>
    <t>[F0950]</t>
  </si>
  <si>
    <t>[F0951]</t>
  </si>
  <si>
    <t>[F0963]</t>
  </si>
  <si>
    <t>[F0964]</t>
  </si>
  <si>
    <t>[F0965]</t>
  </si>
  <si>
    <t>[F0966]</t>
  </si>
  <si>
    <t>[F0967]</t>
  </si>
  <si>
    <t>[F0968]</t>
  </si>
  <si>
    <t>[F0969]</t>
  </si>
  <si>
    <t>[F0970]</t>
  </si>
  <si>
    <t>[F0971]</t>
  </si>
  <si>
    <t>[F0972]</t>
  </si>
  <si>
    <t>[F0973]</t>
  </si>
  <si>
    <t>[F0974]</t>
  </si>
  <si>
    <t>[F0975]</t>
  </si>
  <si>
    <t>[F0976]</t>
  </si>
  <si>
    <t>[F0977]</t>
  </si>
  <si>
    <t>[F0978]</t>
  </si>
  <si>
    <t>[F0979]</t>
  </si>
  <si>
    <t>[F0980]</t>
  </si>
  <si>
    <t>[F0981]</t>
  </si>
  <si>
    <t>[F0982]</t>
  </si>
  <si>
    <t>[F0983]</t>
  </si>
  <si>
    <t>[F0984]</t>
  </si>
  <si>
    <t>[F0985]</t>
  </si>
  <si>
    <t>[F0986]</t>
  </si>
  <si>
    <t>[F0987]</t>
  </si>
  <si>
    <t>[F0988]</t>
  </si>
  <si>
    <t>[F0989]</t>
  </si>
  <si>
    <t>[F0990]</t>
  </si>
  <si>
    <t>[F0991]</t>
  </si>
  <si>
    <t>[F0992]</t>
  </si>
  <si>
    <t>[F0993]</t>
  </si>
  <si>
    <t>[F0994]</t>
  </si>
  <si>
    <t>[F0995]</t>
  </si>
  <si>
    <t>[F0996]</t>
  </si>
  <si>
    <t>[F0997]</t>
  </si>
  <si>
    <t>[F0998]</t>
  </si>
  <si>
    <t>[F0999]</t>
  </si>
  <si>
    <t>[F1006]</t>
  </si>
  <si>
    <t>[F1007]</t>
  </si>
  <si>
    <t>[F1008]</t>
  </si>
  <si>
    <t>[F1009]</t>
  </si>
  <si>
    <t>[F1010]</t>
  </si>
  <si>
    <t>[F1011]</t>
  </si>
  <si>
    <t>[F1012]</t>
  </si>
  <si>
    <t>[F1013]</t>
  </si>
  <si>
    <t>[F1014]</t>
  </si>
  <si>
    <t>[F1015]</t>
  </si>
  <si>
    <t>[F1016]</t>
  </si>
  <si>
    <t>[F1017]</t>
  </si>
  <si>
    <t>[F1018]</t>
  </si>
  <si>
    <t>[F1019]</t>
  </si>
  <si>
    <t>[F1020]</t>
  </si>
  <si>
    <t>[F1021]</t>
  </si>
  <si>
    <t>[F1022]</t>
  </si>
  <si>
    <t>[F1023]</t>
  </si>
  <si>
    <t>[F1024]</t>
  </si>
  <si>
    <t>[F1025]</t>
  </si>
  <si>
    <t>[F1026]</t>
  </si>
  <si>
    <t>[F1027]</t>
  </si>
  <si>
    <t>[F1028]</t>
  </si>
  <si>
    <t>[F1029]</t>
  </si>
  <si>
    <t>[F1030]</t>
  </si>
  <si>
    <t>[F1031]</t>
  </si>
  <si>
    <t>[F1032]</t>
  </si>
  <si>
    <t>[F1034]</t>
  </si>
  <si>
    <t>[F1043]</t>
  </si>
  <si>
    <t>[F1044]</t>
  </si>
  <si>
    <t>[F1045]</t>
  </si>
  <si>
    <t>[F1046]</t>
  </si>
  <si>
    <t>[F1047]</t>
  </si>
  <si>
    <t>[F1048]</t>
  </si>
  <si>
    <t>[F1049]</t>
  </si>
  <si>
    <t>[F1050]</t>
  </si>
  <si>
    <t>[F1051]</t>
  </si>
  <si>
    <t>[F1052]</t>
  </si>
  <si>
    <t>[F1053]</t>
  </si>
  <si>
    <t>[F1054]</t>
  </si>
  <si>
    <t>[F1055]</t>
  </si>
  <si>
    <t>[F1056]</t>
  </si>
  <si>
    <t>[F1057]</t>
  </si>
  <si>
    <t>[F1060]</t>
  </si>
  <si>
    <t>[F1061]</t>
  </si>
  <si>
    <t>[F1062]</t>
  </si>
  <si>
    <t>[F1063]</t>
  </si>
  <si>
    <t>[F1064]</t>
  </si>
  <si>
    <t>[F1065]</t>
  </si>
  <si>
    <t>[F1066]</t>
  </si>
  <si>
    <t>[F1067]</t>
  </si>
  <si>
    <t>[F1068]</t>
  </si>
  <si>
    <t>[F1069]</t>
  </si>
  <si>
    <t>[F1070]</t>
  </si>
  <si>
    <t>[F1071]</t>
  </si>
  <si>
    <t>[F1072]</t>
  </si>
  <si>
    <t>[F1073]</t>
  </si>
  <si>
    <t>[F1074]</t>
  </si>
  <si>
    <t>[F1075]</t>
  </si>
  <si>
    <t>[F1076]</t>
  </si>
  <si>
    <t>[F1077]</t>
  </si>
  <si>
    <t>[F1078]</t>
  </si>
  <si>
    <t>[F1079]</t>
  </si>
  <si>
    <t>[F1080]</t>
  </si>
  <si>
    <t>[F1081]</t>
  </si>
  <si>
    <t>[F1082]</t>
  </si>
  <si>
    <t>[F1083]</t>
  </si>
  <si>
    <t>[F1084]</t>
  </si>
  <si>
    <t>[F1085]</t>
  </si>
  <si>
    <t>[F1086]</t>
  </si>
  <si>
    <t>[F1087]</t>
  </si>
  <si>
    <t>[F1088]</t>
  </si>
  <si>
    <t>[F1089]</t>
  </si>
  <si>
    <t>[F1090]</t>
  </si>
  <si>
    <t>[F1091]</t>
  </si>
  <si>
    <t>[F1092]</t>
  </si>
  <si>
    <t>[F1093]</t>
  </si>
  <si>
    <t>[F1094]</t>
  </si>
  <si>
    <t>[F1095]</t>
  </si>
  <si>
    <t>[F1096]</t>
  </si>
  <si>
    <t>[F1097]</t>
  </si>
  <si>
    <t>[F1098]</t>
  </si>
  <si>
    <t>[F1099]</t>
  </si>
  <si>
    <t>[F1116]</t>
  </si>
  <si>
    <t>[F1117]</t>
  </si>
  <si>
    <t>[F1118]</t>
  </si>
  <si>
    <t>[F1119]</t>
  </si>
  <si>
    <t>[F1129]</t>
  </si>
  <si>
    <t>[F1130]</t>
  </si>
  <si>
    <t>[F1131]</t>
  </si>
  <si>
    <t>[F1132]</t>
  </si>
  <si>
    <t>[F1133]</t>
  </si>
  <si>
    <t>[F1134]</t>
  </si>
  <si>
    <t>[F1135]</t>
  </si>
  <si>
    <t>[F1136]</t>
  </si>
  <si>
    <t>[F1137]</t>
  </si>
  <si>
    <t>[F1138]</t>
  </si>
  <si>
    <t>[F1139]</t>
  </si>
  <si>
    <t>[F1152]</t>
  </si>
  <si>
    <t>[F1153]</t>
  </si>
  <si>
    <t>[F1154]</t>
  </si>
  <si>
    <t>[F1155]</t>
  </si>
  <si>
    <t>[F1156]</t>
  </si>
  <si>
    <t>[F1157]</t>
  </si>
  <si>
    <t>[F1158]</t>
  </si>
  <si>
    <t>[F1159]</t>
  </si>
  <si>
    <t>[F1163]</t>
  </si>
  <si>
    <t>[F1164]</t>
  </si>
  <si>
    <t>[F1165]</t>
  </si>
  <si>
    <t>[F1166]</t>
  </si>
  <si>
    <t>[F1167]</t>
  </si>
  <si>
    <t>[F1168]</t>
  </si>
  <si>
    <t>[F1169]</t>
  </si>
  <si>
    <t>[F1170]</t>
  </si>
  <si>
    <t>[F1171]</t>
  </si>
  <si>
    <t>[F1172]</t>
  </si>
  <si>
    <t>[F1173]</t>
  </si>
  <si>
    <t>[F1174]</t>
  </si>
  <si>
    <t>[F1175]</t>
  </si>
  <si>
    <t>[F1176]</t>
  </si>
  <si>
    <t>[F1177]</t>
  </si>
  <si>
    <t>[F1178]</t>
  </si>
  <si>
    <t>[F1179]</t>
  </si>
  <si>
    <t>[F1180]</t>
  </si>
  <si>
    <t>[F1181]</t>
  </si>
  <si>
    <t>[F1182]</t>
  </si>
  <si>
    <t>[F1183]</t>
  </si>
  <si>
    <t>[F1184]</t>
  </si>
  <si>
    <t>[F1185]</t>
  </si>
  <si>
    <t>[F1186]</t>
  </si>
  <si>
    <t>[F1187]</t>
  </si>
  <si>
    <t>[F1188]</t>
  </si>
  <si>
    <t>[F1189]</t>
  </si>
  <si>
    <t>[F1190]</t>
  </si>
  <si>
    <t>[F1191]</t>
  </si>
  <si>
    <t>[F1192]</t>
  </si>
  <si>
    <t>[F1193]</t>
  </si>
  <si>
    <t>[F1194]</t>
  </si>
  <si>
    <t>[F1195]</t>
  </si>
  <si>
    <t>[F1196]</t>
  </si>
  <si>
    <t>[F1197]</t>
  </si>
  <si>
    <t>[F1198]</t>
  </si>
  <si>
    <t>[F1199]</t>
  </si>
  <si>
    <t>[F1231]</t>
  </si>
  <si>
    <t>[F1232]</t>
  </si>
  <si>
    <t>[F1233]</t>
  </si>
  <si>
    <t>[F1234]</t>
  </si>
  <si>
    <t>[F1235]</t>
  </si>
  <si>
    <t>[F1236]</t>
  </si>
  <si>
    <t>[F1237]</t>
  </si>
  <si>
    <t>[F1238]</t>
  </si>
  <si>
    <t>[F1239]</t>
  </si>
  <si>
    <t>[F1257]</t>
  </si>
  <si>
    <t>[F1258]</t>
  </si>
  <si>
    <t>[F1259]</t>
  </si>
  <si>
    <t>[F1260]</t>
  </si>
  <si>
    <t>[F1261]</t>
  </si>
  <si>
    <t>[F1262]</t>
  </si>
  <si>
    <t>[F1263]</t>
  </si>
  <si>
    <t>[F1264]</t>
  </si>
  <si>
    <t>[F1265]</t>
  </si>
  <si>
    <t>[F1266]</t>
  </si>
  <si>
    <t>[F1267]</t>
  </si>
  <si>
    <t>[F1268]</t>
  </si>
  <si>
    <t>[F1269]</t>
  </si>
  <si>
    <t>[F1270]</t>
  </si>
  <si>
    <t>[F1271]</t>
  </si>
  <si>
    <t>[F1272]</t>
  </si>
  <si>
    <t>[F1273]</t>
  </si>
  <si>
    <t>[F1274]</t>
  </si>
  <si>
    <t>[F1275]</t>
  </si>
  <si>
    <t>[F1276]</t>
  </si>
  <si>
    <t>[F1277]</t>
  </si>
  <si>
    <t>[F1278]</t>
  </si>
  <si>
    <t>[F1279]</t>
  </si>
  <si>
    <t>[F1280]</t>
  </si>
  <si>
    <t>[F1281]</t>
  </si>
  <si>
    <t>[F1282]</t>
  </si>
  <si>
    <t>[F1283]</t>
  </si>
  <si>
    <t>[F1284]</t>
  </si>
  <si>
    <t>[F1285]</t>
  </si>
  <si>
    <t>[F1286]</t>
  </si>
  <si>
    <t>[F1287]</t>
  </si>
  <si>
    <t>[F1288]</t>
  </si>
  <si>
    <t>[F1289]</t>
  </si>
  <si>
    <t>[F1290]</t>
  </si>
  <si>
    <t>[F1291]</t>
  </si>
  <si>
    <t>[F1292]</t>
  </si>
  <si>
    <t>[F1293]</t>
  </si>
  <si>
    <t>[F1294]</t>
  </si>
  <si>
    <t>[F1295]</t>
  </si>
  <si>
    <t>[F1296]</t>
  </si>
  <si>
    <t>[F1297]</t>
  </si>
  <si>
    <t>[F1298]</t>
  </si>
  <si>
    <t>[F1299]</t>
  </si>
  <si>
    <t>[F1300]</t>
  </si>
  <si>
    <t>[F1301]</t>
  </si>
  <si>
    <t>[F1302]</t>
  </si>
  <si>
    <t>[F1303]</t>
  </si>
  <si>
    <t>[F1304]</t>
  </si>
  <si>
    <t>[F1305]</t>
  </si>
  <si>
    <t>[F1306]</t>
  </si>
  <si>
    <t>[F1307]</t>
  </si>
  <si>
    <t>[F1308]</t>
  </si>
  <si>
    <t>[F1309]</t>
  </si>
  <si>
    <t>[F1310]</t>
  </si>
  <si>
    <t>[F1311]</t>
  </si>
  <si>
    <t>[F1312]</t>
  </si>
  <si>
    <t>[F1313]</t>
  </si>
  <si>
    <t>[F1314]</t>
  </si>
  <si>
    <t>[F1315]</t>
  </si>
  <si>
    <t>[F1316]</t>
  </si>
  <si>
    <t>[F1317]</t>
  </si>
  <si>
    <t>[F1318]</t>
  </si>
  <si>
    <t>[F1319]</t>
  </si>
  <si>
    <t>[F1339]</t>
  </si>
  <si>
    <t>[F1340]</t>
  </si>
  <si>
    <t>[F1341]</t>
  </si>
  <si>
    <t>[F1342]</t>
  </si>
  <si>
    <t>[F1343]</t>
  </si>
  <si>
    <t>[F1344]</t>
  </si>
  <si>
    <t>[F1345]</t>
  </si>
  <si>
    <t>[F1346]</t>
  </si>
  <si>
    <t>[F1347]</t>
  </si>
  <si>
    <t>[F1348]</t>
  </si>
  <si>
    <t>[F1349]</t>
  </si>
  <si>
    <t>[F1350]</t>
  </si>
  <si>
    <t>[F1352]</t>
  </si>
  <si>
    <t>[F1353]</t>
  </si>
  <si>
    <t>[F1354]</t>
  </si>
  <si>
    <t>[F1355]</t>
  </si>
  <si>
    <t>[F1356]</t>
  </si>
  <si>
    <t>[F1357]</t>
  </si>
  <si>
    <t>[F1358]</t>
  </si>
  <si>
    <t>[F1359]</t>
  </si>
  <si>
    <t>[F1360]</t>
  </si>
  <si>
    <t>[F1361]</t>
  </si>
  <si>
    <t>[F1362]</t>
  </si>
  <si>
    <t>[F1363]</t>
  </si>
  <si>
    <t>[F1364]</t>
  </si>
  <si>
    <t>[F1365]</t>
  </si>
  <si>
    <t>[F1366]</t>
  </si>
  <si>
    <t>[F1367]</t>
  </si>
  <si>
    <t>[F1368]</t>
  </si>
  <si>
    <t>[F1369]</t>
  </si>
  <si>
    <t>[F1370]</t>
  </si>
  <si>
    <t>[F1371]</t>
  </si>
  <si>
    <t>[F1372]</t>
  </si>
  <si>
    <t>[F1373]</t>
  </si>
  <si>
    <t>[F1374]</t>
  </si>
  <si>
    <t>[F1375]</t>
  </si>
  <si>
    <t>[F1376]</t>
  </si>
  <si>
    <t>[F1377]</t>
  </si>
  <si>
    <t>[F1378]</t>
  </si>
  <si>
    <t>[F1379]</t>
  </si>
  <si>
    <t>[F1381]</t>
  </si>
  <si>
    <t>[F1390]</t>
  </si>
  <si>
    <t>[F1391]</t>
  </si>
  <si>
    <t>[F1392]</t>
  </si>
  <si>
    <t>[F1393]</t>
  </si>
  <si>
    <t>[F1394]</t>
  </si>
  <si>
    <t>[F1395]</t>
  </si>
  <si>
    <t>[F1396]</t>
  </si>
  <si>
    <t>[F1397]</t>
  </si>
  <si>
    <t>[F1398]</t>
  </si>
  <si>
    <t>[F1399]</t>
  </si>
  <si>
    <t>[F1416]</t>
  </si>
  <si>
    <t>[F1417]</t>
  </si>
  <si>
    <t>[F1418]</t>
  </si>
  <si>
    <t>[F1419]</t>
  </si>
  <si>
    <t>[F1420]</t>
  </si>
  <si>
    <t>[F1421]</t>
  </si>
  <si>
    <t>[F1422]</t>
  </si>
  <si>
    <t>[F1423]</t>
  </si>
  <si>
    <t>[F1424]</t>
  </si>
  <si>
    <t>[F1425]</t>
  </si>
  <si>
    <t>[F1426]</t>
  </si>
  <si>
    <t>[F1427]</t>
  </si>
  <si>
    <t>[F1428]</t>
  </si>
  <si>
    <t>[F1429]</t>
  </si>
  <si>
    <t>[F1430]</t>
  </si>
  <si>
    <t>[F1431]</t>
  </si>
  <si>
    <t>[F1432]</t>
  </si>
  <si>
    <t>[F1433]</t>
  </si>
  <si>
    <t>[F1434]</t>
  </si>
  <si>
    <t>[F1435]</t>
  </si>
  <si>
    <t>[F1436]</t>
  </si>
  <si>
    <t>[F1437]</t>
  </si>
  <si>
    <t>[F1438]</t>
  </si>
  <si>
    <t>[F1439]</t>
  </si>
  <si>
    <t>[F1440]</t>
  </si>
  <si>
    <t>[F1441]</t>
  </si>
  <si>
    <t>[F1442]</t>
  </si>
  <si>
    <t>[F1443]</t>
  </si>
  <si>
    <t>[F1444]</t>
  </si>
  <si>
    <t>[F1445]</t>
  </si>
  <si>
    <t>[F1446]</t>
  </si>
  <si>
    <t>[F1447]</t>
  </si>
  <si>
    <t>[F1448]</t>
  </si>
  <si>
    <t>[F1449]</t>
  </si>
  <si>
    <t>[F1450]</t>
  </si>
  <si>
    <t>[F1451]</t>
  </si>
  <si>
    <t>[F1452]</t>
  </si>
  <si>
    <t>[F1453]</t>
  </si>
  <si>
    <t>[F1454]</t>
  </si>
  <si>
    <t>[F1455]</t>
  </si>
  <si>
    <t>[F1456]</t>
  </si>
  <si>
    <t>[F1457]</t>
  </si>
  <si>
    <t>[F1458]</t>
  </si>
  <si>
    <t>[F1459]</t>
  </si>
  <si>
    <t>[F1460]</t>
  </si>
  <si>
    <t>[F1461]</t>
  </si>
  <si>
    <t>[F1462]</t>
  </si>
  <si>
    <t>[F1463]</t>
  </si>
  <si>
    <t>[F1464]</t>
  </si>
  <si>
    <t>[F1465]</t>
  </si>
  <si>
    <t>[F1466]</t>
  </si>
  <si>
    <t>[F1467]</t>
  </si>
  <si>
    <t>[F1468]</t>
  </si>
  <si>
    <t>[F1469]</t>
  </si>
  <si>
    <t>[F1470]</t>
  </si>
  <si>
    <t>[F1471]</t>
  </si>
  <si>
    <t>[F1472]</t>
  </si>
  <si>
    <t>[F1473]</t>
  </si>
  <si>
    <t>[F1474]</t>
  </si>
  <si>
    <t>[F1475]</t>
  </si>
  <si>
    <t>[F1476]</t>
  </si>
  <si>
    <t>[F1477]</t>
  </si>
  <si>
    <t>[F1478]</t>
  </si>
  <si>
    <t>[F1479]</t>
  </si>
  <si>
    <t>[F1480]</t>
  </si>
  <si>
    <t>[F1481]</t>
  </si>
  <si>
    <t>[F1482]</t>
  </si>
  <si>
    <t>[F1483]</t>
  </si>
  <si>
    <t>[F1484]</t>
  </si>
  <si>
    <t>[F1485]</t>
  </si>
  <si>
    <t>[F1486]</t>
  </si>
  <si>
    <t>[F1487]</t>
  </si>
  <si>
    <t>[F1488]</t>
  </si>
  <si>
    <t>[F1489]</t>
  </si>
  <si>
    <t>[F1490]</t>
  </si>
  <si>
    <t>[F1491]</t>
  </si>
  <si>
    <t>[F1492]</t>
  </si>
  <si>
    <t>[F1493]</t>
  </si>
  <si>
    <t>[F1494]</t>
  </si>
  <si>
    <t>[F1495]</t>
  </si>
  <si>
    <t>[F1496]</t>
  </si>
  <si>
    <t>[F1497]</t>
  </si>
  <si>
    <t>[F1498]</t>
  </si>
  <si>
    <t>[F1499]</t>
  </si>
  <si>
    <t>[F1500]</t>
  </si>
  <si>
    <t>[F1501]</t>
  </si>
  <si>
    <t>[F1502]</t>
  </si>
  <si>
    <t>[F1503]</t>
  </si>
  <si>
    <t>[F1504]</t>
  </si>
  <si>
    <t>[F1505]</t>
  </si>
  <si>
    <t>[F1506]</t>
  </si>
  <si>
    <t>[F1507]</t>
  </si>
  <si>
    <t>[F1508]</t>
  </si>
  <si>
    <t>[F1509]</t>
  </si>
  <si>
    <t>[F1520]</t>
  </si>
  <si>
    <t>[F1521]</t>
  </si>
  <si>
    <t>[F1522]</t>
  </si>
  <si>
    <t>[F1523]</t>
  </si>
  <si>
    <t>[F1524]</t>
  </si>
  <si>
    <t>[F1525]</t>
  </si>
  <si>
    <t>[F1526]</t>
  </si>
  <si>
    <t>[F1527]</t>
  </si>
  <si>
    <t>[F1528]</t>
  </si>
  <si>
    <t>[F1529]</t>
  </si>
  <si>
    <t>[F1530]</t>
  </si>
  <si>
    <t>[F1531]</t>
  </si>
  <si>
    <t>[F1532]</t>
  </si>
  <si>
    <t>[F1533]</t>
  </si>
  <si>
    <t>[F1534]</t>
  </si>
  <si>
    <t>[F1535]</t>
  </si>
  <si>
    <t>[F1536]</t>
  </si>
  <si>
    <t>[F1537]</t>
  </si>
  <si>
    <t>[F1538]</t>
  </si>
  <si>
    <t>[F1539]</t>
  </si>
  <si>
    <t>[F1540]</t>
  </si>
  <si>
    <t>[F1541]</t>
  </si>
  <si>
    <t>[F1542]</t>
  </si>
  <si>
    <t>[F1543]</t>
  </si>
  <si>
    <t>[F1544]</t>
  </si>
  <si>
    <t>[F1545]</t>
  </si>
  <si>
    <t>[F1546]</t>
  </si>
  <si>
    <t>[F1547]</t>
  </si>
  <si>
    <t>[F1548]</t>
  </si>
  <si>
    <t>[F1549]</t>
  </si>
  <si>
    <t>[F1550]</t>
  </si>
  <si>
    <t>[F1551]</t>
  </si>
  <si>
    <t>[F1552]</t>
  </si>
  <si>
    <t>[F1553]</t>
  </si>
  <si>
    <t>[F1554]</t>
  </si>
  <si>
    <t>[F1555]</t>
  </si>
  <si>
    <t>[F1556]</t>
  </si>
  <si>
    <t>[F1557]</t>
  </si>
  <si>
    <t>[F1558]</t>
  </si>
  <si>
    <t>[F1559]</t>
  </si>
  <si>
    <t>[F1560]</t>
  </si>
  <si>
    <t>[F1561]</t>
  </si>
  <si>
    <t>[F1562]</t>
  </si>
  <si>
    <t>[F1563]</t>
  </si>
  <si>
    <t>[F1564]</t>
  </si>
  <si>
    <t>[F1565]</t>
  </si>
  <si>
    <t>[F1566]</t>
  </si>
  <si>
    <t>[F1567]</t>
  </si>
  <si>
    <t>[F1568]</t>
  </si>
  <si>
    <t>[F1569]</t>
  </si>
  <si>
    <t>[F1570]</t>
  </si>
  <si>
    <t>[F1571]</t>
  </si>
  <si>
    <t>[F1572]</t>
  </si>
  <si>
    <t>[F1573]</t>
  </si>
  <si>
    <t>[F1574]</t>
  </si>
  <si>
    <t>[F1575]</t>
  </si>
  <si>
    <t>[F1576]</t>
  </si>
  <si>
    <t>[F1577]</t>
  </si>
  <si>
    <t>[F1578]</t>
  </si>
  <si>
    <t>[F1579]</t>
  </si>
  <si>
    <t>[F1580]</t>
  </si>
  <si>
    <t>[F1581]</t>
  </si>
  <si>
    <t>[F1582]</t>
  </si>
  <si>
    <t>[F1583]</t>
  </si>
  <si>
    <t>[F1584]</t>
  </si>
  <si>
    <t>[F1585]</t>
  </si>
  <si>
    <t>[F1586]</t>
  </si>
  <si>
    <t>[F1587]</t>
  </si>
  <si>
    <t>[F1588]</t>
  </si>
  <si>
    <t>[F1589]</t>
  </si>
  <si>
    <t>[F1590]</t>
  </si>
  <si>
    <t>[F1591]</t>
  </si>
  <si>
    <t>[F1592]</t>
  </si>
  <si>
    <t>[F1593]</t>
  </si>
  <si>
    <t>[F1594]</t>
  </si>
  <si>
    <t>[F1595]</t>
  </si>
  <si>
    <t>[F1596]</t>
  </si>
  <si>
    <t>[F1597]</t>
  </si>
  <si>
    <t>[F1598]</t>
  </si>
  <si>
    <t>[F1599]</t>
  </si>
  <si>
    <t>[F1600]</t>
  </si>
  <si>
    <t>[F1601]</t>
  </si>
  <si>
    <t>[F1602]</t>
  </si>
  <si>
    <t>[F1603]</t>
  </si>
  <si>
    <t>[F1604]</t>
  </si>
  <si>
    <t>[F1605]</t>
  </si>
  <si>
    <t>[F1606]</t>
  </si>
  <si>
    <t>[F1607]</t>
  </si>
  <si>
    <t>[F1608]</t>
  </si>
  <si>
    <t>[F1609]</t>
  </si>
  <si>
    <t>[F1610]</t>
  </si>
  <si>
    <t>[F1611]</t>
  </si>
  <si>
    <t>[F1612]</t>
  </si>
  <si>
    <t>[F1613]</t>
  </si>
  <si>
    <t>[F1614]</t>
  </si>
  <si>
    <t>[F1615]</t>
  </si>
  <si>
    <t>[F1616]</t>
  </si>
  <si>
    <t>[F1617]</t>
  </si>
  <si>
    <t>[F1618]</t>
  </si>
  <si>
    <t>[F1619]</t>
  </si>
  <si>
    <t>[F1620]</t>
  </si>
  <si>
    <t>[F1621]</t>
  </si>
  <si>
    <t>[F1622]</t>
  </si>
  <si>
    <t>[F1623]</t>
  </si>
  <si>
    <t>[F1624]</t>
  </si>
  <si>
    <t>[F1625]</t>
  </si>
  <si>
    <t>[F1626]</t>
  </si>
  <si>
    <t>[F1627]</t>
  </si>
  <si>
    <t>[F1628]</t>
  </si>
  <si>
    <t>[F1629]</t>
  </si>
  <si>
    <t>[F1630]</t>
  </si>
  <si>
    <t>[F1631]</t>
  </si>
  <si>
    <t>[F1632]</t>
  </si>
  <si>
    <t>[F1633]</t>
  </si>
  <si>
    <t>[F1634]</t>
  </si>
  <si>
    <t>[F1635]</t>
  </si>
  <si>
    <t>[F1636]</t>
  </si>
  <si>
    <t>[F1637]</t>
  </si>
  <si>
    <t>[F1638]</t>
  </si>
  <si>
    <t>[F1639]</t>
  </si>
  <si>
    <t>[F1640]</t>
  </si>
  <si>
    <t>[F1641]</t>
  </si>
  <si>
    <t>[F1642]</t>
  </si>
  <si>
    <t>[F1643]</t>
  </si>
  <si>
    <t>[F1644]</t>
  </si>
  <si>
    <t>[F1645]</t>
  </si>
  <si>
    <t>[F1646]</t>
  </si>
  <si>
    <t>[F1647]</t>
  </si>
  <si>
    <t>[F1648]</t>
  </si>
  <si>
    <t>[F1649]</t>
  </si>
  <si>
    <t>[F1650]</t>
  </si>
  <si>
    <t>[F1651]</t>
  </si>
  <si>
    <t>[F1652]</t>
  </si>
  <si>
    <t>[F1653]</t>
  </si>
  <si>
    <t>[F1654]</t>
  </si>
  <si>
    <t>[F1655]</t>
  </si>
  <si>
    <t>[F1656]</t>
  </si>
  <si>
    <t>[F1657]</t>
  </si>
  <si>
    <t>[F1658]</t>
  </si>
  <si>
    <t>[F1659]</t>
  </si>
  <si>
    <t>[F1660]</t>
  </si>
  <si>
    <t>[F1661]</t>
  </si>
  <si>
    <t>[F1662]</t>
  </si>
  <si>
    <t>[F1663]</t>
  </si>
  <si>
    <t>[F1664]</t>
  </si>
  <si>
    <t>[F1665]</t>
  </si>
  <si>
    <t>[F1666]</t>
  </si>
  <si>
    <t>[F1667]</t>
  </si>
  <si>
    <t>[F1668]</t>
  </si>
  <si>
    <t>[F1669]</t>
  </si>
  <si>
    <t>[F1670]</t>
  </si>
  <si>
    <t>[F1671]</t>
  </si>
  <si>
    <t>[F1672]</t>
  </si>
  <si>
    <t>[F1673]</t>
  </si>
  <si>
    <t>[F1674]</t>
  </si>
  <si>
    <t>[F1675]</t>
  </si>
  <si>
    <t>[F1676]</t>
  </si>
  <si>
    <t>[F1677]</t>
  </si>
  <si>
    <t>[F1678]</t>
  </si>
  <si>
    <t>[F1679]</t>
  </si>
  <si>
    <t>[F1680]</t>
  </si>
  <si>
    <t>[F1681]</t>
  </si>
  <si>
    <t>[F1682]</t>
  </si>
  <si>
    <t>[F1683]</t>
  </si>
  <si>
    <t>[F1684]</t>
  </si>
  <si>
    <t>[F1685]</t>
  </si>
  <si>
    <t>[F1686]</t>
  </si>
  <si>
    <t>[F1687]</t>
  </si>
  <si>
    <t>[F1688]</t>
  </si>
  <si>
    <t>[F1689]</t>
  </si>
  <si>
    <t>[F1690]</t>
  </si>
  <si>
    <t>[F1691]</t>
  </si>
  <si>
    <t>[F1692]</t>
  </si>
  <si>
    <t>[F1693]</t>
  </si>
  <si>
    <t>[F1694]</t>
  </si>
  <si>
    <t>[F1695]</t>
  </si>
  <si>
    <t>[F1696]</t>
  </si>
  <si>
    <t>[F1697]</t>
  </si>
  <si>
    <t>[F1698]</t>
  </si>
  <si>
    <t>[F1699]</t>
  </si>
  <si>
    <t>[F1700]</t>
  </si>
  <si>
    <t>[F1701]</t>
  </si>
  <si>
    <t>[F1702]</t>
  </si>
  <si>
    <t>[F1703]</t>
  </si>
  <si>
    <t>[F1704]</t>
  </si>
  <si>
    <t>[F1705]</t>
  </si>
  <si>
    <t>[F1706]</t>
  </si>
  <si>
    <t>[F1707]</t>
  </si>
  <si>
    <t>[F1708]</t>
  </si>
  <si>
    <t>[F1709]</t>
  </si>
  <si>
    <t>[F1710]</t>
  </si>
  <si>
    <t>[F1711]</t>
  </si>
  <si>
    <t>[F1712]</t>
  </si>
  <si>
    <t>[F1713]</t>
  </si>
  <si>
    <t>[F1714]</t>
  </si>
  <si>
    <t>[F1715]</t>
  </si>
  <si>
    <t>[F1716]</t>
  </si>
  <si>
    <t>[F1717]</t>
  </si>
  <si>
    <t>[F1718]</t>
  </si>
  <si>
    <t>[F1719]</t>
  </si>
  <si>
    <t>[F1720]</t>
  </si>
  <si>
    <t>[F1721]</t>
  </si>
  <si>
    <t>[F1722]</t>
  </si>
  <si>
    <t>[F1723]</t>
  </si>
  <si>
    <t>[F1724]</t>
  </si>
  <si>
    <t>[F1725]</t>
  </si>
  <si>
    <t>[F1726]</t>
  </si>
  <si>
    <t>[F1727]</t>
  </si>
  <si>
    <t>[F1728]</t>
  </si>
  <si>
    <t>[F1729]</t>
  </si>
  <si>
    <t>[F1730]</t>
  </si>
  <si>
    <t>[F1731]</t>
  </si>
  <si>
    <t>[F1732]</t>
  </si>
  <si>
    <t>[F1733]</t>
  </si>
  <si>
    <t>[F1734]</t>
  </si>
  <si>
    <t>[F1735]</t>
  </si>
  <si>
    <t>[F1736]</t>
  </si>
  <si>
    <t>[F1737]</t>
  </si>
  <si>
    <t>[F1738]</t>
  </si>
  <si>
    <t>[F1739]</t>
  </si>
  <si>
    <t>[F1740]</t>
  </si>
  <si>
    <t>[F1741]</t>
  </si>
  <si>
    <t>[F1742]</t>
  </si>
  <si>
    <t>[F1743]</t>
  </si>
  <si>
    <t>[F1744]</t>
  </si>
  <si>
    <t>[F1745]</t>
  </si>
  <si>
    <t>[F1746]</t>
  </si>
  <si>
    <t>[F1747]</t>
  </si>
  <si>
    <t>[F1748]</t>
  </si>
  <si>
    <t>[F1749]</t>
  </si>
  <si>
    <t>[F1750]</t>
  </si>
  <si>
    <t>[F1751]</t>
  </si>
  <si>
    <t>[F1752]</t>
  </si>
  <si>
    <t>[F1753]</t>
  </si>
  <si>
    <t>[F1754]</t>
  </si>
  <si>
    <t>[F1755]</t>
  </si>
  <si>
    <t>[F1756]</t>
  </si>
  <si>
    <t>[F1757]</t>
  </si>
  <si>
    <t>[F1758]</t>
  </si>
  <si>
    <t>[F1759]</t>
  </si>
  <si>
    <t>[F1760]</t>
  </si>
  <si>
    <t>[F1761]</t>
  </si>
  <si>
    <t>[F1762]</t>
  </si>
  <si>
    <t>[F1763]</t>
  </si>
  <si>
    <t>[F1764]</t>
  </si>
  <si>
    <t>[F1765]</t>
  </si>
  <si>
    <t>[F1766]</t>
  </si>
  <si>
    <t>[F1767]</t>
  </si>
  <si>
    <t>[F1768]</t>
  </si>
  <si>
    <t>[F1769]</t>
  </si>
  <si>
    <t>[F1770]</t>
  </si>
  <si>
    <t>[F1771]</t>
  </si>
  <si>
    <t>[F1772]</t>
  </si>
  <si>
    <t>[F1773]</t>
  </si>
  <si>
    <t>[F1774]</t>
  </si>
  <si>
    <t>[F1775]</t>
  </si>
  <si>
    <t>[F1776]</t>
  </si>
  <si>
    <t>[F1777]</t>
  </si>
  <si>
    <t>[F1778]</t>
  </si>
  <si>
    <t>[F1779]</t>
  </si>
  <si>
    <t>[F1780]</t>
  </si>
  <si>
    <t>[F1781]</t>
  </si>
  <si>
    <t>[F1782]</t>
  </si>
  <si>
    <t>[F1783]</t>
  </si>
  <si>
    <t>[F1784]</t>
  </si>
  <si>
    <t>[F1785]</t>
  </si>
  <si>
    <t>[F1786]</t>
  </si>
  <si>
    <t>[F1787]</t>
  </si>
  <si>
    <t>[F1788]</t>
  </si>
  <si>
    <t>[F1789]</t>
  </si>
  <si>
    <t>[F1790]</t>
  </si>
  <si>
    <t>[F1791]</t>
  </si>
  <si>
    <t>[F1792]</t>
  </si>
  <si>
    <t>[F1793]</t>
  </si>
  <si>
    <t>[F1794]</t>
  </si>
  <si>
    <t>[F1795]</t>
  </si>
  <si>
    <t>[F1796]</t>
  </si>
  <si>
    <t>[F1797]</t>
  </si>
  <si>
    <t>[F1798]</t>
  </si>
  <si>
    <t>[F1799]</t>
  </si>
  <si>
    <t>[F1800]</t>
  </si>
  <si>
    <t>[F1801]</t>
  </si>
  <si>
    <t>[F1802]</t>
  </si>
  <si>
    <t>[F1803]</t>
  </si>
  <si>
    <t>[F1804]</t>
  </si>
  <si>
    <t>[F1805]</t>
  </si>
  <si>
    <t>[F1810]</t>
  </si>
  <si>
    <t>[F1811]</t>
  </si>
  <si>
    <t>[F1812]</t>
  </si>
  <si>
    <t>[F1813]</t>
  </si>
  <si>
    <t>[F1814]</t>
  </si>
  <si>
    <t>[F1815]</t>
  </si>
  <si>
    <t>[F1816]</t>
  </si>
  <si>
    <t>[F1817]</t>
  </si>
  <si>
    <t>[F1818]</t>
  </si>
  <si>
    <t>[F1819]</t>
  </si>
  <si>
    <t>[F1881]</t>
  </si>
  <si>
    <t>[F1917]</t>
  </si>
  <si>
    <t>[F1918]</t>
  </si>
  <si>
    <t>[F1919]</t>
  </si>
  <si>
    <t>[F1920]</t>
  </si>
  <si>
    <t>[F1921]</t>
  </si>
  <si>
    <t>[F1922]</t>
  </si>
  <si>
    <t>[F1923]</t>
  </si>
  <si>
    <t>[F1924]</t>
  </si>
  <si>
    <t>[F1925]</t>
  </si>
  <si>
    <t>[F1926]</t>
  </si>
  <si>
    <t>[F1927]</t>
  </si>
  <si>
    <t>[F1928]</t>
  </si>
  <si>
    <t>[F1929]</t>
  </si>
  <si>
    <t>[F1930]</t>
  </si>
  <si>
    <t>[F1931]</t>
  </si>
  <si>
    <t>[F1932]</t>
  </si>
  <si>
    <t>[F1933]</t>
  </si>
  <si>
    <t>[F1934]</t>
  </si>
  <si>
    <t>[F1935]</t>
  </si>
  <si>
    <t>[F1981]</t>
  </si>
  <si>
    <t>[F0003] PLC COMMON 에러 (SM5)</t>
  </si>
  <si>
    <t>[F0004] PLC 배터리 전압 저하 에러 (SM52)</t>
  </si>
  <si>
    <t>[F0005] PLC AC DOWN 에러 (SM53)</t>
  </si>
  <si>
    <t>[F0006] PLC CC-LINK 에러 (X04F)</t>
  </si>
  <si>
    <t>[F0007] PLC CC-LINK 연결 에러 (X041)</t>
  </si>
  <si>
    <t>[F0011] OP-1 비상정지 에러 (X306)</t>
  </si>
  <si>
    <t>[F0021] DOOR-42 DOOR OPEN 에러 (Y1201)</t>
  </si>
  <si>
    <t>[F0022] DOOR-43 DOOR OPEN 에러 (Y1202)</t>
  </si>
  <si>
    <t>[F0030] 팬던트 비상정지 에러 (X86C)</t>
  </si>
  <si>
    <t>[F0100] 공급셔틀#1 Y축(SD201) 운전중에 Ready가 Off 되었습니다.</t>
  </si>
  <si>
    <t>[F0101] 공급셔틀#1 Y축(SD201) FLS가 감지되었습니다.</t>
  </si>
  <si>
    <t>[F0102] 공급셔틀#1 Y축(SD201) RLS가 감지되었습니다.</t>
  </si>
  <si>
    <t>[F0103] 공급셔틀#1 Y축(SD201) Stop 명령이 On된 상태에서 기동을 시도했습니다.</t>
  </si>
  <si>
    <t>[F0104] 공급셔틀#1 Y축(SD201) 가동 전원이 Off 되었습니다.</t>
  </si>
  <si>
    <t>[F0105] 공급셔틀#1 Y축(SD201) 엔코더 이상이 검출되었습니다.</t>
  </si>
  <si>
    <t>[F0106] 공급셔틀#1 Y축(SD201) 과전류가 검출되었습니다.</t>
  </si>
  <si>
    <t>[F0107] 공급셔틀#1 Y축(SD201) 과부하가 검출되었습니다.</t>
  </si>
  <si>
    <t xml:space="preserve">[F0108] 공급셔틀#1 Y축(SD201)  </t>
  </si>
  <si>
    <t>[F0109] 공급셔틀#1 Y축(SD201) 에러가 발생했습니다.</t>
  </si>
  <si>
    <t>[F0110] 터브이송#2-1 X축(SD202) 운전중에 Ready가 Off 되었습니다.</t>
  </si>
  <si>
    <t>[F0111] 터브이송#2-1 X축(SD202) FLS가 감지되었습니다.</t>
  </si>
  <si>
    <t>[F0112] 터브이송#2-1 X축(SD202) RLS가 감지되었습니다.</t>
  </si>
  <si>
    <t>[F0113] 터브이송#2-1 X축(SD202) Stop 명령이 On된 상태에서 기동을 시도했습니다.</t>
  </si>
  <si>
    <t>[F0114] 터브이송#2-1 X축(SD202) 가동 전원이 Off 되었습니다.</t>
  </si>
  <si>
    <t>[F0115] 터브이송#2-1 X축(SD202) 엔코더 이상이 검출되었습니다.</t>
  </si>
  <si>
    <t>[F0116] 터브이송#2-1 X축(SD202) 과전류가 검출되었습니다.</t>
  </si>
  <si>
    <t>[F0117] 터브이송#2-1 X축(SD202) 과부하가 검출되었습니다.</t>
  </si>
  <si>
    <t xml:space="preserve">[F0118] 터브이송#2-1 X축(SD202)  </t>
  </si>
  <si>
    <t>[F0119] 터브이송#2-1 X축(SD202) 에러가 발생했습니다.</t>
  </si>
  <si>
    <t>[F0120] 터브이송#2-1 Z축(SD203) 운전중에 Ready가 Off 되었습니다.</t>
  </si>
  <si>
    <t>[F0121] 터브이송#2-1 Z축(SD203) FLS가 감지되었습니다.</t>
  </si>
  <si>
    <t>[F0122] 터브이송#2-1 Z축(SD203) RLS가 감지되었습니다.</t>
  </si>
  <si>
    <t>[F0123] 터브이송#2-1 Z축(SD203) Stop 명령이 On된 상태에서 기동을 시도했습니다.</t>
  </si>
  <si>
    <t>[F0124] 터브이송#2-1 Z축(SD203) 가동 전원이 Off 되었습니다.</t>
  </si>
  <si>
    <t>[F0125] 터브이송#2-1 Z축(SD203) 엔코더 이상이 검출되었습니다.</t>
  </si>
  <si>
    <t>[F0126] 터브이송#2-1 Z축(SD203) 과전류가 검출되었습니다.</t>
  </si>
  <si>
    <t>[F0127] 터브이송#2-1 Z축(SD203) 과부하가 검출되었습니다.</t>
  </si>
  <si>
    <t xml:space="preserve">[F0128] 터브이송#2-1 Z축(SD203)  </t>
  </si>
  <si>
    <t>[F0129] 터브이송#2-1 Z축(SD203) 에러가 발생했습니다.</t>
  </si>
  <si>
    <t>[F0130] 터브이송#2-1 C1축(SD204) 운전중에 Ready가 Off 되었습니다.</t>
  </si>
  <si>
    <t>[F0131] 터브이송#2-1 C1축(SD204) FLS가 감지되었습니다.</t>
  </si>
  <si>
    <t>[F0132] 터브이송#2-1 C1축(SD204) RLS가 감지되었습니다.</t>
  </si>
  <si>
    <t>[F0133] 터브이송#2-1 C1축(SD204) Stop 명령이 On된 상태에서 기동을 시도했습니다.</t>
  </si>
  <si>
    <t>[F0134] 터브이송#2-1 C1축(SD204) 가동 전원이 Off 되었습니다.</t>
  </si>
  <si>
    <t>[F0135] 터브이송#2-1 C1축(SD204) 엔코더 이상이 검출되었습니다.</t>
  </si>
  <si>
    <t>[F0136] 터브이송#2-1 C1축(SD204) 과전류가 검출되었습니다.</t>
  </si>
  <si>
    <t>[F0137] 터브이송#2-1 C1축(SD204) 과부하가 검출되었습니다.</t>
  </si>
  <si>
    <t xml:space="preserve">[F0138] 터브이송#2-1 C1축(SD204)  </t>
  </si>
  <si>
    <t>[F0139] 터브이송#2-1 C1축(SD204) 에러가 발생했습니다.</t>
  </si>
  <si>
    <t>[F0140] 터브이송#2-1 C2축(SD205) 운전중에 Ready가 Off 되었습니다.</t>
  </si>
  <si>
    <t>[F0141] 터브이송#2-1 C2축(SD205) FLS가 감지되었습니다.</t>
  </si>
  <si>
    <t>[F0142] 터브이송#2-1 C2축(SD205) RLS가 감지되었습니다.</t>
  </si>
  <si>
    <t>[F0143] 터브이송#2-1 C2축(SD205) Stop 명령이 On된 상태에서 기동을 시도했습니다.</t>
  </si>
  <si>
    <t>[F0144] 터브이송#2-1 C2축(SD205) 가동 전원이 Off 되었습니다.</t>
  </si>
  <si>
    <t>[F0145] 터브이송#2-1 C2축(SD205) 엔코더 이상이 검출되었습니다.</t>
  </si>
  <si>
    <t>[F0146] 터브이송#2-1 C2축(SD205) 과전류가 검출되었습니다.</t>
  </si>
  <si>
    <t>[F0147] 터브이송#2-1 C2축(SD205) 과부하가 검출되었습니다.</t>
  </si>
  <si>
    <t xml:space="preserve">[F0148] 터브이송#2-1 C2축(SD205)  </t>
  </si>
  <si>
    <t>[F0149] 터브이송#2-1 C2축(SD205) 에러가 발생했습니다.</t>
  </si>
  <si>
    <t>[F0150] 터브이송#2-2 X축(SD206) 운전중에 Ready가 Off 되었습니다.</t>
  </si>
  <si>
    <t>[F0151] 터브이송#2-2 X축(SD206) FLS가 감지되었습니다.</t>
  </si>
  <si>
    <t>[F0152] 터브이송#2-2 X축(SD206) RLS가 감지되었습니다.</t>
  </si>
  <si>
    <t>[F0153] 터브이송#2-2 X축(SD206) Stop 명령이 On된 상태에서 기동을 시도했습니다.</t>
  </si>
  <si>
    <t>[F0154] 터브이송#2-2 X축(SD206) 가동 전원이 Off 되었습니다.</t>
  </si>
  <si>
    <t>[F0155] 터브이송#2-2 X축(SD206) 엔코더 이상이 검출되었습니다.</t>
  </si>
  <si>
    <t>[F0156] 터브이송#2-2 X축(SD206) 과전류가 검출되었습니다.</t>
  </si>
  <si>
    <t>[F0157] 터브이송#2-2 X축(SD206) 과부하가 검출되었습니다.</t>
  </si>
  <si>
    <t xml:space="preserve">[F0158] 터브이송#2-2 X축(SD206)  </t>
  </si>
  <si>
    <t>[F0159] 터브이송#2-2 X축(SD206) 에러가 발생했습니다.</t>
  </si>
  <si>
    <t>[F0160] 터브이송#2-2 Z축(SD207) 운전중에 Ready가 Off 되었습니다.</t>
  </si>
  <si>
    <t>[F0161] 터브이송#2-2 Z축(SD207) FLS가 감지되었습니다.</t>
  </si>
  <si>
    <t>[F0162] 터브이송#2-2 Z축(SD207) RLS가 감지되었습니다.</t>
  </si>
  <si>
    <t>[F0163] 터브이송#2-2 Z축(SD207) Stop 명령이 On된 상태에서 기동을 시도했습니다.</t>
  </si>
  <si>
    <t>[F0164] 터브이송#2-2 Z축(SD207) 가동 전원이 Off 되었습니다.</t>
  </si>
  <si>
    <t>[F0165] 터브이송#2-2 Z축(SD207) 엔코더 이상이 검출되었습니다.</t>
  </si>
  <si>
    <t>[F0166] 터브이송#2-2 Z축(SD207) 과전류가 검출되었습니다.</t>
  </si>
  <si>
    <t>[F0167] 터브이송#2-2 Z축(SD207) 과부하가 검출되었습니다.</t>
  </si>
  <si>
    <t xml:space="preserve">[F0168] 터브이송#2-2 Z축(SD207)  </t>
  </si>
  <si>
    <t>[F0169] 터브이송#2-2 Z축(SD207) 에러가 발생했습니다.</t>
  </si>
  <si>
    <t>[F0170] 터브이송#2-2 C1축(SD208) 운전중에 Ready가 Off 되었습니다.</t>
  </si>
  <si>
    <t>[F0171] 터브이송#2-2 C1축(SD208) FLS가 감지되었습니다.</t>
  </si>
  <si>
    <t>[F0172] 터브이송#2-2 C1축(SD208) RLS가 감지되었습니다.</t>
  </si>
  <si>
    <t>[F0173] 터브이송#2-2 C1축(SD208) Stop 명령이 On된 상태에서 기동을 시도했습니다.</t>
  </si>
  <si>
    <t>[F0174] 터브이송#2-2 C1축(SD208) 가동 전원이 Off 되었습니다.</t>
  </si>
  <si>
    <t>[F0175] 터브이송#2-2 C1축(SD208) 엔코더 이상이 검출되었습니다.</t>
  </si>
  <si>
    <t>[F0176] 터브이송#2-2 C1축(SD208) 과전류가 검출되었습니다.</t>
  </si>
  <si>
    <t>[F0177] 터브이송#2-2 C1축(SD208) 과부하가 검출되었습니다.</t>
  </si>
  <si>
    <t xml:space="preserve">[F0178] 터브이송#2-2 C1축(SD208)  </t>
  </si>
  <si>
    <t>[F0179] 터브이송#2-2 C1축(SD208) 에러가 발생했습니다.</t>
  </si>
  <si>
    <t>[F0180] 터브이송#2-2 C2축(SD209) 운전중에 Ready가 Off 되었습니다.</t>
  </si>
  <si>
    <t>[F0181] 터브이송#2-2 C2축(SD209) FLS가 감지되었습니다.</t>
  </si>
  <si>
    <t>[F0182] 터브이송#2-2 C2축(SD209) RLS가 감지되었습니다.</t>
  </si>
  <si>
    <t>[F0183] 터브이송#2-2 C2축(SD209) Stop 명령이 On된 상태에서 기동을 시도했습니다.</t>
  </si>
  <si>
    <t>[F0184] 터브이송#2-2 C2축(SD209) 가동 전원이 Off 되었습니다.</t>
  </si>
  <si>
    <t>[F0185] 터브이송#2-2 C2축(SD209) 엔코더 이상이 검출되었습니다.</t>
  </si>
  <si>
    <t>[F0186] 터브이송#2-2 C2축(SD209) 과전류가 검출되었습니다.</t>
  </si>
  <si>
    <t>[F0187] 터브이송#2-2 C2축(SD209) 과부하가 검출되었습니다.</t>
  </si>
  <si>
    <t xml:space="preserve">[F0188] 터브이송#2-2 C2축(SD209)  </t>
  </si>
  <si>
    <t>[F0189] 터브이송#2-2 C2축(SD209) 에러가 발생했습니다.</t>
  </si>
  <si>
    <t>[F0190] 터브이송#2-3 X축(SD210) 운전중에 Ready가 Off 되었습니다.</t>
  </si>
  <si>
    <t>[F0191] 터브이송#2-3 X축(SD210) FLS가 감지되었습니다.</t>
  </si>
  <si>
    <t>[F0192] 터브이송#2-3 X축(SD210) RLS가 감지되었습니다.</t>
  </si>
  <si>
    <t>[F0193] 터브이송#2-3 X축(SD210) Stop 명령이 On된 상태에서 기동을 시도했습니다.</t>
  </si>
  <si>
    <t>[F0194] 터브이송#2-3 X축(SD210) 가동 전원이 Off 되었습니다.</t>
  </si>
  <si>
    <t>[F0195] 터브이송#2-3 X축(SD210) 엔코더 이상이 검출되었습니다.</t>
  </si>
  <si>
    <t>[F0196] 터브이송#2-3 X축(SD210) 과전류가 검출되었습니다.</t>
  </si>
  <si>
    <t>[F0197] 터브이송#2-3 X축(SD210) 과부하가 검출되었습니다.</t>
  </si>
  <si>
    <t xml:space="preserve">[F0198] 터브이송#2-3 X축(SD210)  </t>
  </si>
  <si>
    <t>[F0199] 터브이송#2-3 X축(SD210) 에러가 발생했습니다.</t>
  </si>
  <si>
    <t>[F0200] 터브이송#2-3 Z축(SD211) 운전중에 Ready가 Off 되었습니다.</t>
  </si>
  <si>
    <t>[F0201] 터브이송#2-3 Z축(SD211) FLS가 감지되었습니다.</t>
  </si>
  <si>
    <t>[F0202] 터브이송#2-3 Z축(SD211) RLS가 감지되었습니다.</t>
  </si>
  <si>
    <t>[F0203] 터브이송#2-3 Z축(SD211) Stop 명령이 On된 상태에서 기동을 시도했습니다.</t>
  </si>
  <si>
    <t>[F0204] 터브이송#2-3 Z축(SD211) 가동 전원이 Off 되었습니다.</t>
  </si>
  <si>
    <t>[F0205] 터브이송#2-3 Z축(SD211) 엔코더 이상이 검출되었습니다.</t>
  </si>
  <si>
    <t>[F0206] 터브이송#2-3 Z축(SD211) 과전류가 검출되었습니다.</t>
  </si>
  <si>
    <t>[F0207] 터브이송#2-3 Z축(SD211) 과부하가 검출되었습니다.</t>
  </si>
  <si>
    <t xml:space="preserve">[F0208] 터브이송#2-3 Z축(SD211)  </t>
  </si>
  <si>
    <t>[F0209] 터브이송#2-3 Z축(SD211) 에러가 발생했습니다.</t>
  </si>
  <si>
    <t>[F0210] 터브이송#2-3 C1축(SD212) 운전중에 Ready가 Off 되었습니다.</t>
  </si>
  <si>
    <t>[F0211] 터브이송#2-3 C1축(SD212) FLS가 감지되었습니다.</t>
  </si>
  <si>
    <t>[F0212] 터브이송#2-3 C1축(SD212) RLS가 감지되었습니다.</t>
  </si>
  <si>
    <t>[F0213] 터브이송#2-3 C1축(SD212) Stop 명령이 On된 상태에서 기동을 시도했습니다.</t>
  </si>
  <si>
    <t>[F0214] 터브이송#2-3 C1축(SD212) 가동 전원이 Off 되었습니다.</t>
  </si>
  <si>
    <t>[F0215] 터브이송#2-3 C1축(SD212) 엔코더 이상이 검출되었습니다.</t>
  </si>
  <si>
    <t>[F0216] 터브이송#2-3 C1축(SD212) 과전류가 검출되었습니다.</t>
  </si>
  <si>
    <t>[F0217] 터브이송#2-3 C1축(SD212) 과부하가 검출되었습니다.</t>
  </si>
  <si>
    <t xml:space="preserve">[F0218] 터브이송#2-3 C1축(SD212)  </t>
  </si>
  <si>
    <t>[F0219] 터브이송#2-3 C1축(SD212) 에러가 발생했습니다.</t>
  </si>
  <si>
    <t>[F0220] 터브이송#2-3 C2축(SD213) 운전중에 Ready가 Off 되었습니다.</t>
  </si>
  <si>
    <t>[F0221] 터브이송#2-3 C2축(SD213) FLS가 감지되었습니다.</t>
  </si>
  <si>
    <t>[F0222] 터브이송#2-3 C2축(SD213) RLS가 감지되었습니다.</t>
  </si>
  <si>
    <t>[F0223] 터브이송#2-3 C2축(SD213) Stop 명령이 On된 상태에서 기동을 시도했습니다.</t>
  </si>
  <si>
    <t>[F0224] 터브이송#2-3 C2축(SD213) 가동 전원이 Off 되었습니다.</t>
  </si>
  <si>
    <t>[F0225] 터브이송#2-3 C2축(SD213) 엔코더 이상이 검출되었습니다.</t>
  </si>
  <si>
    <t>[F0226] 터브이송#2-3 C2축(SD213) 과전류가 검출되었습니다.</t>
  </si>
  <si>
    <t>[F0227] 터브이송#2-3 C2축(SD213) 과부하가 검출되었습니다.</t>
  </si>
  <si>
    <t xml:space="preserve">[F0228] 터브이송#2-3 C2축(SD213)  </t>
  </si>
  <si>
    <t>[F0229] 터브이송#2-3 C2축(SD213) 에러가 발생했습니다.</t>
  </si>
  <si>
    <t>[F0260] 공급셔틀#2 Y축(SD217) 운전중에 Ready가 Off 되었습니다.</t>
  </si>
  <si>
    <t>[F0261] 공급셔틀#2 Y축(SD217) FLS가 감지되었습니다.</t>
  </si>
  <si>
    <t>[F0262] 공급셔틀#2 Y축(SD217) RLS가 감지되었습니다.</t>
  </si>
  <si>
    <t>[F0263] 공급셔틀#2 Y축(SD217) Stop 명령이 On된 상태에서 기동을 시도했습니다.</t>
  </si>
  <si>
    <t>[F0264] 공급셔틀#2 Y축(SD217) 가동 전원이 Off 되었습니다.</t>
  </si>
  <si>
    <t>[F0265] 공급셔틀#2 Y축(SD217) 엔코더 이상이 검출되었습니다.</t>
  </si>
  <si>
    <t>[F0266] 공급셔틀#2 Y축(SD217) 과전류가 검출되었습니다.</t>
  </si>
  <si>
    <t>[F0267] 공급셔틀#2 Y축(SD217) 과부하가 검출되었습니다.</t>
  </si>
  <si>
    <t xml:space="preserve">[F0268] 공급셔틀#2 Y축(SD217)  </t>
  </si>
  <si>
    <t>[F0269] 공급셔틀#2 Y축(SD217) 에러가 발생했습니다.</t>
  </si>
  <si>
    <t>[F0270] 터브이송#4-1 X축(SD218) 운전중에 Ready가 Off 되었습니다.</t>
  </si>
  <si>
    <t>[F0271] 터브이송#4-1 X축(SD218) FLS가 감지되었습니다.</t>
  </si>
  <si>
    <t>[F0272] 터브이송#4-1 X축(SD218) RLS가 감지되었습니다.</t>
  </si>
  <si>
    <t>[F0273] 터브이송#4-1 X축(SD218) Stop 명령이 On된 상태에서 기동을 시도했습니다.</t>
  </si>
  <si>
    <t>[F0274] 터브이송#4-1 X축(SD218) 가동 전원이 Off 되었습니다.</t>
  </si>
  <si>
    <t>[F0275] 터브이송#4-1 X축(SD218) 엔코더 이상이 검출되었습니다.</t>
  </si>
  <si>
    <t>[F0276] 터브이송#4-1 X축(SD218) 과전류가 검출되었습니다.</t>
  </si>
  <si>
    <t>[F0277] 터브이송#4-1 X축(SD218) 과부하가 검출되었습니다.</t>
  </si>
  <si>
    <t xml:space="preserve">[F0278] 터브이송#4-1 X축(SD218)  </t>
  </si>
  <si>
    <t>[F0279] 터브이송#4-1 X축(SD218) 에러가 발생했습니다.</t>
  </si>
  <si>
    <t>[F0280] 터브이송#4-1 Z축(SD219) 운전중에 Ready가 Off 되었습니다.</t>
  </si>
  <si>
    <t>[F0281] 터브이송#4-1 Z축(SD219) FLS가 감지되었습니다.</t>
  </si>
  <si>
    <t>[F0282] 터브이송#4-1 Z축(SD219) RLS가 감지되었습니다.</t>
  </si>
  <si>
    <t>[F0283] 터브이송#4-1 Z축(SD219) Stop 명령이 On된 상태에서 기동을 시도했습니다.</t>
  </si>
  <si>
    <t>[F0284] 터브이송#4-1 Z축(SD219) 가동 전원이 Off 되었습니다.</t>
  </si>
  <si>
    <t>[F0285] 터브이송#4-1 Z축(SD219) 엔코더 이상이 검출되었습니다.</t>
  </si>
  <si>
    <t>[F0286] 터브이송#4-1 Z축(SD219) 과전류가 검출되었습니다.</t>
  </si>
  <si>
    <t>[F0287] 터브이송#4-1 Z축(SD219) 과부하가 검출되었습니다.</t>
  </si>
  <si>
    <t xml:space="preserve">[F0288] 터브이송#4-1 Z축(SD219)  </t>
  </si>
  <si>
    <t>[F0289] 터브이송#4-1 Z축(SD219) 에러가 발생했습니다.</t>
  </si>
  <si>
    <t>[F0290] 터브이송#4-1 C1축(SD220) 운전중에 Ready가 Off 되었습니다.</t>
  </si>
  <si>
    <t>[F0291] 터브이송#4-1 C1축(SD220) FLS가 감지되었습니다.</t>
  </si>
  <si>
    <t>[F0292] 터브이송#4-1 C1축(SD220) RLS가 감지되었습니다.</t>
  </si>
  <si>
    <t>[F0293] 터브이송#4-1 C1축(SD220) Stop 명령이 On된 상태에서 기동을 시도했습니다.</t>
  </si>
  <si>
    <t>[F0294] 터브이송#4-1 C1축(SD220) 가동 전원이 Off 되었습니다.</t>
  </si>
  <si>
    <t>[F0295] 터브이송#4-1 C1축(SD220) 엔코더 이상이 검출되었습니다.</t>
  </si>
  <si>
    <t>[F0296] 터브이송#4-1 C1축(SD220) 과전류가 검출되었습니다.</t>
  </si>
  <si>
    <t>[F0297] 터브이송#4-1 C1축(SD220) 과부하가 검출되었습니다.</t>
  </si>
  <si>
    <t xml:space="preserve">[F0298] 터브이송#4-1 C1축(SD220)  </t>
  </si>
  <si>
    <t>[F0299] 터브이송#4-1 C1축(SD220) 에러가 발생했습니다.</t>
  </si>
  <si>
    <t>[F0300] 터브이송#4-1 C2축(SD221) 운전중에 Ready가 Off 되었습니다.</t>
  </si>
  <si>
    <t>[F0301] 터브이송#4-1 C2축(SD221) FLS가 감지되었습니다.</t>
  </si>
  <si>
    <t>[F0302] 터브이송#4-1 C2축(SD221) RLS가 감지되었습니다.</t>
  </si>
  <si>
    <t>[F0303] 터브이송#4-1 C2축(SD221) Stop 명령이 On된 상태에서 기동을 시도했습니다.</t>
  </si>
  <si>
    <t>[F0304] 터브이송#4-1 C2축(SD221) 가동 전원이 Off 되었습니다.</t>
  </si>
  <si>
    <t>[F0305] 터브이송#4-1 C2축(SD221) 엔코더 이상이 검출되었습니다.</t>
  </si>
  <si>
    <t>[F0306] 터브이송#4-1 C2축(SD221) 과전류가 검출되었습니다.</t>
  </si>
  <si>
    <t>[F0307] 터브이송#4-1 C2축(SD221) 과부하가 검출되었습니다.</t>
  </si>
  <si>
    <t xml:space="preserve">[F0308] 터브이송#4-1 C2축(SD221)  </t>
  </si>
  <si>
    <t>[F0309] 터브이송#4-1 C2축(SD221) 에러가 발생했습니다.</t>
  </si>
  <si>
    <t>[F0310] 터브이송#4-2 X축(SD222) 운전중에 Ready가 Off 되었습니다.</t>
  </si>
  <si>
    <t>[F0311] 터브이송#4-2 X축(SD222) FLS가 감지되었습니다.</t>
  </si>
  <si>
    <t>[F0312] 터브이송#4-2 X축(SD222) RLS가 감지되었습니다.</t>
  </si>
  <si>
    <t>[F0313] 터브이송#4-2 X축(SD222) Stop 명령이 On된 상태에서 기동을 시도했습니다.</t>
  </si>
  <si>
    <t>[F0314] 터브이송#4-2 X축(SD222) 가동 전원이 Off 되었습니다.</t>
  </si>
  <si>
    <t>[F0315] 터브이송#4-2 X축(SD222) 엔코더 이상이 검출되었습니다.</t>
  </si>
  <si>
    <t>[F0316] 터브이송#4-2 X축(SD222) 과전류가 검출되었습니다.</t>
  </si>
  <si>
    <t>[F0317] 터브이송#4-2 X축(SD222) 과부하가 검출되었습니다.</t>
  </si>
  <si>
    <t xml:space="preserve">[F0318] 터브이송#4-2 X축(SD222)  </t>
  </si>
  <si>
    <t>[F0319] 터브이송#4-2 X축(SD222) 에러가 발생했습니다.</t>
  </si>
  <si>
    <t>[F0320] 터브이송#4-2 Z축(SD223) 운전중에 Ready가 Off 되었습니다.</t>
  </si>
  <si>
    <t>[F0321] 터브이송#4-2 Z축(SD223) FLS가 감지되었습니다.</t>
  </si>
  <si>
    <t>[F0322] 터브이송#4-2 Z축(SD223) RLS가 감지되었습니다.</t>
  </si>
  <si>
    <t>[F0323] 터브이송#4-2 Z축(SD223) Stop 명령이 On된 상태에서 기동을 시도했습니다.</t>
  </si>
  <si>
    <t>[F0324] 터브이송#4-2 Z축(SD223) 가동 전원이 Off 되었습니다.</t>
  </si>
  <si>
    <t>[F0325] 터브이송#4-2 Z축(SD223) 엔코더 이상이 검출되었습니다.</t>
  </si>
  <si>
    <t>[F0326] 터브이송#4-2 Z축(SD223) 과전류가 검출되었습니다.</t>
  </si>
  <si>
    <t>[F0327] 터브이송#4-2 Z축(SD223) 과부하가 검출되었습니다.</t>
  </si>
  <si>
    <t xml:space="preserve">[F0328] 터브이송#4-2 Z축(SD223)  </t>
  </si>
  <si>
    <t>[F0329] 터브이송#4-2 Z축(SD223) 에러가 발생했습니다.</t>
  </si>
  <si>
    <t>[F0330] 터브이송#4-2 C1축(SD224) 운전중에 Ready가 Off 되었습니다.</t>
  </si>
  <si>
    <t>[F0331] 터브이송#4-2 C1축(SD224) FLS가 감지되었습니다.</t>
  </si>
  <si>
    <t>[F0332] 터브이송#4-2 C1축(SD224) RLS가 감지되었습니다.</t>
  </si>
  <si>
    <t>[F0333] 터브이송#4-2 C1축(SD224) Stop 명령이 On된 상태에서 기동을 시도했습니다.</t>
  </si>
  <si>
    <t>[F0334] 터브이송#4-2 C1축(SD224) 가동 전원이 Off 되었습니다.</t>
  </si>
  <si>
    <t>[F0335] 터브이송#4-2 C1축(SD224) 엔코더 이상이 검출되었습니다.</t>
  </si>
  <si>
    <t>[F0336] 터브이송#4-2 C1축(SD224) 과전류가 검출되었습니다.</t>
  </si>
  <si>
    <t>[F0337] 터브이송#4-2 C1축(SD224) 과부하가 검출되었습니다.</t>
  </si>
  <si>
    <t xml:space="preserve">[F0338] 터브이송#4-2 C1축(SD224)  </t>
  </si>
  <si>
    <t>[F0339] 터브이송#4-2 C1축(SD224) 에러가 발생했습니다.</t>
  </si>
  <si>
    <t>[F0340] 터브이송#4-2 C2축(SD225) 운전중에 Ready가 Off 되었습니다.</t>
  </si>
  <si>
    <t>[F0341] 터브이송#4-2 C2축(SD225) FLS가 감지되었습니다.</t>
  </si>
  <si>
    <t>[F0342] 터브이송#4-2 C2축(SD225) RLS가 감지되었습니다.</t>
  </si>
  <si>
    <t>[F0343] 터브이송#4-2 C2축(SD225) Stop 명령이 On된 상태에서 기동을 시도했습니다.</t>
  </si>
  <si>
    <t>[F0344] 터브이송#4-2 C2축(SD225) 가동 전원이 Off 되었습니다.</t>
  </si>
  <si>
    <t>[F0345] 터브이송#4-2 C2축(SD225) 엔코더 이상이 검출되었습니다.</t>
  </si>
  <si>
    <t>[F0346] 터브이송#4-2 C2축(SD225) 과전류가 검출되었습니다.</t>
  </si>
  <si>
    <t>[F0347] 터브이송#4-2 C2축(SD225) 과부하가 검출되었습니다.</t>
  </si>
  <si>
    <t xml:space="preserve">[F0348] 터브이송#4-2 C2축(SD225)  </t>
  </si>
  <si>
    <t>[F0349] 터브이송#4-2 C2축(SD225) 에러가 발생했습니다.</t>
  </si>
  <si>
    <t>[F0350] 터브이송#4-3 X축(SD226) 운전중에 Ready가 Off 되었습니다.</t>
  </si>
  <si>
    <t>[F0351] 터브이송#4-3 X축(SD226) FLS가 감지되었습니다.</t>
  </si>
  <si>
    <t>[F0352] 터브이송#4-3 X축(SD226) RLS가 감지되었습니다.</t>
  </si>
  <si>
    <t>[F0353] 터브이송#4-3 X축(SD226) Stop 명령이 On된 상태에서 기동을 시도했습니다.</t>
  </si>
  <si>
    <t>[F0354] 터브이송#4-3 X축(SD226) 가동 전원이 Off 되었습니다.</t>
  </si>
  <si>
    <t>[F0355] 터브이송#4-3 X축(SD226) 엔코더 이상이 검출되었습니다.</t>
  </si>
  <si>
    <t>[F0356] 터브이송#4-3 X축(SD226) 과전류가 검출되었습니다.</t>
  </si>
  <si>
    <t>[F0357] 터브이송#4-3 X축(SD226) 과부하가 검출되었습니다.</t>
  </si>
  <si>
    <t xml:space="preserve">[F0358] 터브이송#4-3 X축(SD226)  </t>
  </si>
  <si>
    <t>[F0359] 터브이송#4-3 X축(SD226) 에러가 발생했습니다.</t>
  </si>
  <si>
    <t>[F0360] 터브이송#4-3 Z축(SD227) 운전중에 Ready가 Off 되었습니다.</t>
  </si>
  <si>
    <t>[F0361] 터브이송#4-3 Z축(SD227) FLS가 감지되었습니다.</t>
  </si>
  <si>
    <t>[F0362] 터브이송#4-3 Z축(SD227) RLS가 감지되었습니다.</t>
  </si>
  <si>
    <t>[F0363] 터브이송#4-3 Z축(SD227) Stop 명령이 On된 상태에서 기동을 시도했습니다.</t>
  </si>
  <si>
    <t>[F0364] 터브이송#4-3 Z축(SD227) 가동 전원이 Off 되었습니다.</t>
  </si>
  <si>
    <t>[F0365] 터브이송#4-3 Z축(SD227) 엔코더 이상이 검출되었습니다.</t>
  </si>
  <si>
    <t>[F0366] 터브이송#4-3 Z축(SD227) 과전류가 검출되었습니다.</t>
  </si>
  <si>
    <t>[F0367] 터브이송#4-3 Z축(SD227) 과부하가 검출되었습니다.</t>
  </si>
  <si>
    <t xml:space="preserve">[F0368] 터브이송#4-3 Z축(SD227)  </t>
  </si>
  <si>
    <t>[F0369] 터브이송#4-3 Z축(SD227) 에러가 발생했습니다.</t>
  </si>
  <si>
    <t>[F0370] 터브이송#4-3 C1축(SD228) 운전중에 Ready가 Off 되었습니다.</t>
  </si>
  <si>
    <t>[F0371] 터브이송#4-3 C1축(SD228) FLS가 감지되었습니다.</t>
  </si>
  <si>
    <t>[F0372] 터브이송#4-3 C1축(SD228) RLS가 감지되었습니다.</t>
  </si>
  <si>
    <t>[F0373] 터브이송#4-3 C1축(SD228) Stop 명령이 On된 상태에서 기동을 시도했습니다.</t>
  </si>
  <si>
    <t>[F0374] 터브이송#4-3 C1축(SD228) 가동 전원이 Off 되었습니다.</t>
  </si>
  <si>
    <t>[F0375] 터브이송#4-3 C1축(SD228) 엔코더 이상이 검출되었습니다.</t>
  </si>
  <si>
    <t>[F0376] 터브이송#4-3 C1축(SD228) 과전류가 검출되었습니다.</t>
  </si>
  <si>
    <t>[F0377] 터브이송#4-3 C1축(SD228) 과부하가 검출되었습니다.</t>
  </si>
  <si>
    <t xml:space="preserve">[F0378] 터브이송#4-3 C1축(SD228)  </t>
  </si>
  <si>
    <t>[F0379] 터브이송#4-3 C1축(SD228) 에러가 발생했습니다.</t>
  </si>
  <si>
    <t>[F0380] 터브이송#4-3 C2축(SD229) 운전중에 Ready가 Off 되었습니다.</t>
  </si>
  <si>
    <t>[F0381] 터브이송#4-3 C2축(SD229) FLS가 감지되었습니다.</t>
  </si>
  <si>
    <t>[F0382] 터브이송#4-3 C2축(SD229) RLS가 감지되었습니다.</t>
  </si>
  <si>
    <t>[F0383] 터브이송#4-3 C2축(SD229) Stop 명령이 On된 상태에서 기동을 시도했습니다.</t>
  </si>
  <si>
    <t>[F0384] 터브이송#4-3 C2축(SD229) 가동 전원이 Off 되었습니다.</t>
  </si>
  <si>
    <t>[F0385] 터브이송#4-3 C2축(SD229) 엔코더 이상이 검출되었습니다.</t>
  </si>
  <si>
    <t>[F0386] 터브이송#4-3 C2축(SD229) 과전류가 검출되었습니다.</t>
  </si>
  <si>
    <t>[F0387] 터브이송#4-3 C2축(SD229) 과부하가 검출되었습니다.</t>
  </si>
  <si>
    <t xml:space="preserve">[F0388] 터브이송#4-3 C2축(SD229)  </t>
  </si>
  <si>
    <t>[F0389] 터브이송#4-3 C2축(SD229) 에러가 발생했습니다.</t>
  </si>
  <si>
    <t>[F0420] 시밍#1 HEAD LOWER X1축(SD233) 운전중에 Ready가 Off 되었습니다.</t>
  </si>
  <si>
    <t>[F0421] 시밍#1 HEAD LOWER X1축(SD233) FLS가 감지되었습니다.</t>
  </si>
  <si>
    <t>[F0422] 시밍#1 HEAD LOWER X1축(SD233) RLS가 감지되었습니다.</t>
  </si>
  <si>
    <t>[F0423] 시밍#1 HEAD LOWER X1축(SD233) Stop 명령이 On된 상태에서 기동을 시도했습니다.</t>
  </si>
  <si>
    <t>[F0424] 시밍#1 HEAD LOWER X1축(SD233) 가동 전원이 Off 되었습니다.</t>
  </si>
  <si>
    <t>[F0425] 시밍#1 HEAD LOWER X1축(SD233) 엔코더 이상이 검출되었습니다.</t>
  </si>
  <si>
    <t>[F0426] 시밍#1 HEAD LOWER X1축(SD233) 과전류가 검출되었습니다.</t>
  </si>
  <si>
    <t>[F0427] 시밍#1 HEAD LOWER X1축(SD233) 과부하가 검출되었습니다.</t>
  </si>
  <si>
    <t xml:space="preserve">[F0428] 시밍#1 HEAD LOWER X1축(SD233)  </t>
  </si>
  <si>
    <t>[F0429] 시밍#1 HEAD LOWER X1축(SD233) 에러가 발생했습니다.</t>
  </si>
  <si>
    <t>[F0430] 시밍#1 HEAD UPPER X2축(SD234) 운전중에 Ready가 Off 되었습니다.</t>
  </si>
  <si>
    <t>[F0431] 시밍#1 HEAD UPPER X2축(SD234) FLS가 감지되었습니다.</t>
  </si>
  <si>
    <t>[F0432] 시밍#1 HEAD UPPER X2축(SD234) RLS가 감지되었습니다.</t>
  </si>
  <si>
    <t>[F0433] 시밍#1 HEAD UPPER X2축(SD234) Stop 명령이 On된 상태에서 기동을 시도했습니다.</t>
  </si>
  <si>
    <t>[F0434] 시밍#1 HEAD UPPER X2축(SD234) 가동 전원이 Off 되었습니다.</t>
  </si>
  <si>
    <t>[F0435] 시밍#1 HEAD UPPER X2축(SD234) 엔코더 이상이 검출되었습니다.</t>
  </si>
  <si>
    <t>[F0436] 시밍#1 HEAD UPPER X2축(SD234) 과전류가 검출되었습니다.</t>
  </si>
  <si>
    <t>[F0437] 시밍#1 HEAD UPPER X2축(SD234) 과부하가 검출되었습니다.</t>
  </si>
  <si>
    <t xml:space="preserve">[F0438] 시밍#1 HEAD UPPER X2축(SD234)  </t>
  </si>
  <si>
    <t>[F0439] 시밍#1 HEAD UPPER X2축(SD234) 에러가 발생했습니다.</t>
  </si>
  <si>
    <t>[F0440] 시밍#1 MOLD LOWER X1축(SD235) 운전중에 Ready가 Off 되었습니다.</t>
  </si>
  <si>
    <t>[F0441] 시밍#1 MOLD LOWER X1축(SD235) FLS가 감지되었습니다.</t>
  </si>
  <si>
    <t>[F0442] 시밍#1 MOLD LOWER X1축(SD235) RLS가 감지되었습니다.</t>
  </si>
  <si>
    <t>[F0443] 시밍#1 MOLD LOWER X1축(SD235) Stop 명령이 On된 상태에서 기동을 시도했습니다.</t>
  </si>
  <si>
    <t>[F0444] 시밍#1 MOLD LOWER X1축(SD235) 가동 전원이 Off 되었습니다.</t>
  </si>
  <si>
    <t>[F0445] 시밍#1 MOLD LOWER X1축(SD235) 엔코더 이상이 검출되었습니다.</t>
  </si>
  <si>
    <t>[F0446] 시밍#1 MOLD LOWER X1축(SD235) 과전류가 검출되었습니다.</t>
  </si>
  <si>
    <t>[F0447] 시밍#1 MOLD LOWER X1축(SD235) 과부하가 검출되었습니다.</t>
  </si>
  <si>
    <t xml:space="preserve">[F0448] 시밍#1 MOLD LOWER X1축(SD235)  </t>
  </si>
  <si>
    <t>[F0449] 시밍#1 MOLD LOWER X1축(SD235) 에러가 발생했습니다.</t>
  </si>
  <si>
    <t>[F0450] 시밍#1 MOLD UPPER X2축(SD236) 운전중에 Ready가 Off 되었습니다.</t>
  </si>
  <si>
    <t>[F0451] 시밍#1 MOLD UPPER X2축(SD236) FLS가 감지되었습니다.</t>
  </si>
  <si>
    <t>[F0452] 시밍#1 MOLD UPPER X2축(SD236) RLS가 감지되었습니다.</t>
  </si>
  <si>
    <t>[F0453] 시밍#1 MOLD UPPER X2축(SD236) Stop 명령이 On된 상태에서 기동을 시도했습니다.</t>
  </si>
  <si>
    <t>[F0454] 시밍#1 MOLD UPPER X2축(SD236) 가동 전원이 Off 되었습니다.</t>
  </si>
  <si>
    <t>[F0455] 시밍#1 MOLD UPPER X2축(SD236) 엔코더 이상이 검출되었습니다.</t>
  </si>
  <si>
    <t>[F0456] 시밍#1 MOLD UPPER X2축(SD236) 과전류가 검출되었습니다.</t>
  </si>
  <si>
    <t>[F0457] 시밍#1 MOLD UPPER X2축(SD236) 과부하가 검출되었습니다.</t>
  </si>
  <si>
    <t xml:space="preserve">[F0458] 시밍#1 MOLD UPPER X2축(SD236)  </t>
  </si>
  <si>
    <t>[F0459] 시밍#1 MOLD UPPER X2축(SD236) 에러가 발생했습니다.</t>
  </si>
  <si>
    <t>[F0460] 플랜징#1 CLAMP 1축(SD237) 운전중에 Ready가 Off 되었습니다.</t>
  </si>
  <si>
    <t>[F0461] 플랜징#1 CLAMP 1축(SD237) FLS가 감지되었습니다.</t>
  </si>
  <si>
    <t>[F0462] 플랜징#1 CLAMP 1축(SD237) RLS가 감지되었습니다.</t>
  </si>
  <si>
    <t>[F0463] 플랜징#1 CLAMP 1축(SD237) Stop 명령이 On된 상태에서 기동을 시도했습니다.</t>
  </si>
  <si>
    <t>[F0464] 플랜징#1 CLAMP 1축(SD237) 가동 전원이 Off 되었습니다.</t>
  </si>
  <si>
    <t>[F0465] 플랜징#1 CLAMP 1축(SD237) 엔코더 이상이 검출되었습니다.</t>
  </si>
  <si>
    <t>[F0466] 플랜징#1 CLAMP 1축(SD237) 과전류가 검출되었습니다.</t>
  </si>
  <si>
    <t>[F0467] 플랜징#1 CLAMP 1축(SD237) 과부하가 검출되었습니다.</t>
  </si>
  <si>
    <t xml:space="preserve">[F0468] 플랜징#1 CLAMP 1축(SD237)  </t>
  </si>
  <si>
    <t>[F0469] 플랜징#1 CLAMP 1축(SD237) 에러가 발생했습니다.</t>
  </si>
  <si>
    <t>[F0470] 플랜징#1 CLAMP 2축(SD238) 운전중에 Ready가 Off 되었습니다.</t>
  </si>
  <si>
    <t>[F0471] 플랜징#1 CLAMP 2축(SD238) FLS가 감지되었습니다.</t>
  </si>
  <si>
    <t>[F0472] 플랜징#1 CLAMP 2축(SD238) RLS가 감지되었습니다.</t>
  </si>
  <si>
    <t>[F0473] 플랜징#1 CLAMP 2축(SD238) Stop 명령이 On된 상태에서 기동을 시도했습니다.</t>
  </si>
  <si>
    <t>[F0474] 플랜징#1 CLAMP 2축(SD238) 가동 전원이 Off 되었습니다.</t>
  </si>
  <si>
    <t>[F0475] 플랜징#1 CLAMP 2축(SD238) 엔코더 이상이 검출되었습니다.</t>
  </si>
  <si>
    <t>[F0476] 플랜징#1 CLAMP 2축(SD238) 과전류가 검출되었습니다.</t>
  </si>
  <si>
    <t>[F0477] 플랜징#1 CLAMP 2축(SD238) 과부하가 검출되었습니다.</t>
  </si>
  <si>
    <t xml:space="preserve">[F0478] 플랜징#1 CLAMP 2축(SD238)  </t>
  </si>
  <si>
    <t>[F0479] 플랜징#1 CLAMP 2축(SD238) 에러가 발생했습니다.</t>
  </si>
  <si>
    <t>[F0480] 플랜징#1 CLAMP 3축(SD239) 운전중에 Ready가 Off 되었습니다.</t>
  </si>
  <si>
    <t>[F0481] 플랜징#1 CLAMP 3축(SD239) FLS가 감지되었습니다.</t>
  </si>
  <si>
    <t>[F0482] 플랜징#1 CLAMP 3축(SD239) RLS가 감지되었습니다.</t>
  </si>
  <si>
    <t>[F0483] 플랜징#1 CLAMP 3축(SD239) Stop 명령이 On된 상태에서 기동을 시도했습니다.</t>
  </si>
  <si>
    <t>[F0484] 플랜징#1 CLAMP 3축(SD239) 가동 전원이 Off 되었습니다.</t>
  </si>
  <si>
    <t>[F0485] 플랜징#1 CLAMP 3축(SD239) 엔코더 이상이 검출되었습니다.</t>
  </si>
  <si>
    <t>[F0486] 플랜징#1 CLAMP 3축(SD239) 과전류가 검출되었습니다.</t>
  </si>
  <si>
    <t>[F0487] 플랜징#1 CLAMP 3축(SD239) 과부하가 검출되었습니다.</t>
  </si>
  <si>
    <t xml:space="preserve">[F0488] 플랜징#1 CLAMP 3축(SD239)  </t>
  </si>
  <si>
    <t>[F0489] 플랜징#1 CLAMP 3축(SD239) 에러가 발생했습니다.</t>
  </si>
  <si>
    <t>[F0490] 플랜징#1 BENDING Z축(SD240) 운전중에 Ready가 Off 되었습니다.</t>
  </si>
  <si>
    <t>[F0491] 플랜징#1 BENDING Z축(SD240) FLS가 감지되었습니다.</t>
  </si>
  <si>
    <t>[F0492] 플랜징#1 BENDING Z축(SD240) RLS가 감지되었습니다.</t>
  </si>
  <si>
    <t>[F0493] 플랜징#1 BENDING Z축(SD240) Stop 명령이 On된 상태에서 기동을 시도했습니다.</t>
  </si>
  <si>
    <t>[F0494] 플랜징#1 BENDING Z축(SD240) 가동 전원이 Off 되었습니다.</t>
  </si>
  <si>
    <t>[F0495] 플랜징#1 BENDING Z축(SD240) 엔코더 이상이 검출되었습니다.</t>
  </si>
  <si>
    <t>[F0496] 플랜징#1 BENDING Z축(SD240) 과전류가 검출되었습니다.</t>
  </si>
  <si>
    <t>[F0497] 플랜징#1 BENDING Z축(SD240) 과부하가 검출되었습니다.</t>
  </si>
  <si>
    <t xml:space="preserve">[F0498] 플랜징#1 BENDING Z축(SD240)  </t>
  </si>
  <si>
    <t>[F0499] 플랜징#1 BENDING Z축(SD240) 에러가 발생했습니다.</t>
  </si>
  <si>
    <t>[F0500] 시밍#2 HEAD LOWER X1축(SD241) 운전중에 Ready가 Off 되었습니다.</t>
  </si>
  <si>
    <t>[F0501] 시밍#2 HEAD LOWER X1축(SD241) FLS가 감지되었습니다.</t>
  </si>
  <si>
    <t>[F0502] 시밍#2 HEAD LOWER X1축(SD241) RLS가 감지되었습니다.</t>
  </si>
  <si>
    <t>[F0503] 시밍#2 HEAD LOWER X1축(SD241) Stop 명령이 On된 상태에서 기동을 시도했습니다.</t>
  </si>
  <si>
    <t>[F0504] 시밍#2 HEAD LOWER X1축(SD241) 가동 전원이 Off 되었습니다.</t>
  </si>
  <si>
    <t>[F0505] 시밍#2 HEAD LOWER X1축(SD241) 엔코더 이상이 검출되었습니다.</t>
  </si>
  <si>
    <t>[F0506] 시밍#2 HEAD LOWER X1축(SD241) 과전류가 검출되었습니다.</t>
  </si>
  <si>
    <t>[F0507] 시밍#2 HEAD LOWER X1축(SD241) 과부하가 검출되었습니다.</t>
  </si>
  <si>
    <t xml:space="preserve">[F0508] 시밍#2 HEAD LOWER X1축(SD241)  </t>
  </si>
  <si>
    <t>[F0509] 시밍#2 HEAD LOWER X1축(SD241) 에러가 발생했습니다.</t>
  </si>
  <si>
    <t>[F0510] 시밍#2 HEAD UPPER X2축(SD242) 운전중에 Ready가 Off 되었습니다.</t>
  </si>
  <si>
    <t>[F0511] 시밍#2 HEAD UPPER X2축(SD242) FLS가 감지되었습니다.</t>
  </si>
  <si>
    <t>[F0512] 시밍#2 HEAD UPPER X2축(SD242) RLS가 감지되었습니다.</t>
  </si>
  <si>
    <t>[F0513] 시밍#2 HEAD UPPER X2축(SD242) Stop 명령이 On된 상태에서 기동을 시도했습니다.</t>
  </si>
  <si>
    <t>[F0514] 시밍#2 HEAD UPPER X2축(SD242) 가동 전원이 Off 되었습니다.</t>
  </si>
  <si>
    <t>[F0515] 시밍#2 HEAD UPPER X2축(SD242) 엔코더 이상이 검출되었습니다.</t>
  </si>
  <si>
    <t>[F0516] 시밍#2 HEAD UPPER X2축(SD242) 과전류가 검출되었습니다.</t>
  </si>
  <si>
    <t>[F0517] 시밍#2 HEAD UPPER X2축(SD242) 과부하가 검출되었습니다.</t>
  </si>
  <si>
    <t xml:space="preserve">[F0518] 시밍#2 HEAD UPPER X2축(SD242)  </t>
  </si>
  <si>
    <t>[F0519] 시밍#2 HEAD UPPER X2축(SD242) 에러가 발생했습니다.</t>
  </si>
  <si>
    <t>[F0520] 시밍#2 MOLD LOWER X1축(SD243) 운전중에 Ready가 Off 되었습니다.</t>
  </si>
  <si>
    <t>[F0521] 시밍#2 MOLD LOWER X1축(SD243) FLS가 감지되었습니다.</t>
  </si>
  <si>
    <t>[F0522] 시밍#2 MOLD LOWER X1축(SD243) RLS가 감지되었습니다.</t>
  </si>
  <si>
    <t>[F0523] 시밍#2 MOLD LOWER X1축(SD243) Stop 명령이 On된 상태에서 기동을 시도했습니다.</t>
  </si>
  <si>
    <t>[F0524] 시밍#2 MOLD LOWER X1축(SD243) 가동 전원이 Off 되었습니다.</t>
  </si>
  <si>
    <t>[F0525] 시밍#2 MOLD LOWER X1축(SD243) 엔코더 이상이 검출되었습니다.</t>
  </si>
  <si>
    <t>[F0526] 시밍#2 MOLD LOWER X1축(SD243) 과전류가 검출되었습니다.</t>
  </si>
  <si>
    <t>[F0527] 시밍#2 MOLD LOWER X1축(SD243) 과부하가 검출되었습니다.</t>
  </si>
  <si>
    <t xml:space="preserve">[F0528] 시밍#2 MOLD LOWER X1축(SD243)  </t>
  </si>
  <si>
    <t>[F0529] 시밍#2 MOLD LOWER X1축(SD243) 에러가 발생했습니다.</t>
  </si>
  <si>
    <t>[F0530] 시밍#2 MOLD UPPER X2축(SD244) 운전중에 Ready가 Off 되었습니다.</t>
  </si>
  <si>
    <t>[F0531] 시밍#2 MOLD UPPER X2축(SD244) FLS가 감지되었습니다.</t>
  </si>
  <si>
    <t>[F0532] 시밍#2 MOLD UPPER X2축(SD244) RLS가 감지되었습니다.</t>
  </si>
  <si>
    <t>[F0533] 시밍#2 MOLD UPPER X2축(SD244) Stop 명령이 On된 상태에서 기동을 시도했습니다.</t>
  </si>
  <si>
    <t>[F0534] 시밍#2 MOLD UPPER X2축(SD244) 가동 전원이 Off 되었습니다.</t>
  </si>
  <si>
    <t>[F0535] 시밍#2 MOLD UPPER X2축(SD244) 엔코더 이상이 검출되었습니다.</t>
  </si>
  <si>
    <t>[F0536] 시밍#2 MOLD UPPER X2축(SD244) 과전류가 검출되었습니다.</t>
  </si>
  <si>
    <t>[F0537] 시밍#2 MOLD UPPER X2축(SD244) 과부하가 검출되었습니다.</t>
  </si>
  <si>
    <t xml:space="preserve">[F0538] 시밍#2 MOLD UPPER X2축(SD244)  </t>
  </si>
  <si>
    <t>[F0539] 시밍#2 MOLD UPPER X2축(SD244) 에러가 발생했습니다.</t>
  </si>
  <si>
    <t>[F0540] 플랜징#2 CLAMP 1축(SD245) 운전중에 Ready가 Off 되었습니다.</t>
  </si>
  <si>
    <t>[F0541] 플랜징#2 CLAMP 1축(SD245) FLS가 감지되었습니다.</t>
  </si>
  <si>
    <t>[F0542] 플랜징#2 CLAMP 1축(SD245) RLS가 감지되었습니다.</t>
  </si>
  <si>
    <t>[F0543] 플랜징#2 CLAMP 1축(SD245) Stop 명령이 On된 상태에서 기동을 시도했습니다.</t>
  </si>
  <si>
    <t>[F0544] 플랜징#2 CLAMP 1축(SD245) 가동 전원이 Off 되었습니다.</t>
  </si>
  <si>
    <t>[F0545] 플랜징#2 CLAMP 1축(SD245) 엔코더 이상이 검출되었습니다.</t>
  </si>
  <si>
    <t>[F0546] 플랜징#2 CLAMP 1축(SD245) 과전류가 검출되었습니다.</t>
  </si>
  <si>
    <t>[F0547] 플랜징#2 CLAMP 1축(SD245) 과부하가 검출되었습니다.</t>
  </si>
  <si>
    <t xml:space="preserve">[F0548] 플랜징#2 CLAMP 1축(SD245)  </t>
  </si>
  <si>
    <t>[F0549] 플랜징#2 CLAMP 1축(SD245) 에러가 발생했습니다.</t>
  </si>
  <si>
    <t>[F0550] 플랜징#2 CLAMP 2축(SD246) 운전중에 Ready가 Off 되었습니다.</t>
  </si>
  <si>
    <t>[F0551] 플랜징#2 CLAMP 2축(SD246) FLS가 감지되었습니다.</t>
  </si>
  <si>
    <t>[F0552] 플랜징#2 CLAMP 2축(SD246) RLS가 감지되었습니다.</t>
  </si>
  <si>
    <t>[F0553] 플랜징#2 CLAMP 2축(SD246) Stop 명령이 On된 상태에서 기동을 시도했습니다.</t>
  </si>
  <si>
    <t>[F0554] 플랜징#2 CLAMP 2축(SD246) 가동 전원이 Off 되었습니다.</t>
  </si>
  <si>
    <t>[F0555] 플랜징#2 CLAMP 2축(SD246) 엔코더 이상이 검출되었습니다.</t>
  </si>
  <si>
    <t>[F0556] 플랜징#2 CLAMP 2축(SD246) 과전류가 검출되었습니다.</t>
  </si>
  <si>
    <t>[F0557] 플랜징#2 CLAMP 2축(SD246) 과부하가 검출되었습니다.</t>
  </si>
  <si>
    <t xml:space="preserve">[F0558] 플랜징#2 CLAMP 2축(SD246)  </t>
  </si>
  <si>
    <t>[F0559] 플랜징#2 CLAMP 2축(SD246) 에러가 발생했습니다.</t>
  </si>
  <si>
    <t>[F0560] 플랜징#2 CLAMP 3축(SD247) 운전중에 Ready가 Off 되었습니다.</t>
  </si>
  <si>
    <t>[F0561] 플랜징#2 CLAMP 3축(SD247) FLS가 감지되었습니다.</t>
  </si>
  <si>
    <t>[F0562] 플랜징#2 CLAMP 3축(SD247) RLS가 감지되었습니다.</t>
  </si>
  <si>
    <t>[F0563] 플랜징#2 CLAMP 3축(SD247) Stop 명령이 On된 상태에서 기동을 시도했습니다.</t>
  </si>
  <si>
    <t>[F0564] 플랜징#2 CLAMP 3축(SD247) 가동 전원이 Off 되었습니다.</t>
  </si>
  <si>
    <t>[F0565] 플랜징#2 CLAMP 3축(SD247) 엔코더 이상이 검출되었습니다.</t>
  </si>
  <si>
    <t>[F0566] 플랜징#2 CLAMP 3축(SD247) 과전류가 검출되었습니다.</t>
  </si>
  <si>
    <t>[F0567] 플랜징#2 CLAMP 3축(SD247) 과부하가 검출되었습니다.</t>
  </si>
  <si>
    <t xml:space="preserve">[F0568] 플랜징#2 CLAMP 3축(SD247)  </t>
  </si>
  <si>
    <t>[F0569] 플랜징#2 CLAMP 3축(SD247) 에러가 발생했습니다.</t>
  </si>
  <si>
    <t>[F0570] 플랜징#2 BENDING Z축(SD248) 운전중에 Ready가 Off 되었습니다.</t>
  </si>
  <si>
    <t>[F0571] 플랜징#2 BENDING Z축(SD248) FLS가 감지되었습니다.</t>
  </si>
  <si>
    <t>[F0572] 플랜징#2 BENDING Z축(SD248) RLS가 감지되었습니다.</t>
  </si>
  <si>
    <t>[F0573] 플랜징#2 BENDING Z축(SD248) Stop 명령이 On된 상태에서 기동을 시도했습니다.</t>
  </si>
  <si>
    <t>[F0574] 플랜징#2 BENDING Z축(SD248) 가동 전원이 Off 되었습니다.</t>
  </si>
  <si>
    <t>[F0575] 플랜징#2 BENDING Z축(SD248) 엔코더 이상이 검출되었습니다.</t>
  </si>
  <si>
    <t>[F0576] 플랜징#2 BENDING Z축(SD248) 과전류가 검출되었습니다.</t>
  </si>
  <si>
    <t>[F0577] 플랜징#2 BENDING Z축(SD248) 과부하가 검출되었습니다.</t>
  </si>
  <si>
    <t xml:space="preserve">[F0578] 플랜징#2 BENDING Z축(SD248)  </t>
  </si>
  <si>
    <t>[F0579] 플랜징#2 BENDING Z축(SD248) 에러가 발생했습니다.</t>
  </si>
  <si>
    <t>[F0800] 공급셔틀#1 상부 클램프 전진 시간초과 (X384, Y3AA)</t>
  </si>
  <si>
    <t>[F0801] 공급셔틀#1 상부 클램프 후진 시간초과 (X385, Y3AB)</t>
  </si>
  <si>
    <t>[F0802] 공급셔틀#1 상부 클램프 전진/후진 센서이상 (X384, X385)</t>
  </si>
  <si>
    <t>[F0803] 공급셔틀#1 센터 클램프 전진 시간초과</t>
  </si>
  <si>
    <t>[F0804] 공급셔틀#1 센터 클램프 후진 시간초과</t>
  </si>
  <si>
    <t>[F0805] 공급셔틀#1 센터 클램프 전진/후진 센서이상</t>
  </si>
  <si>
    <t>[F0806] 공급셔틀#1 하부 클램프 전진 시간초과 (X38A, Y3AE)</t>
  </si>
  <si>
    <t>[F0807] 공급셔틀#1 하부 클램프 후진 시간초과 (X38B, Y3AF)</t>
  </si>
  <si>
    <t>[F0808] 공급셔틀#1 하부 클램프 전진/후진 센서이상 (X38A, X38B)</t>
  </si>
  <si>
    <t>[F0810] 공급셔틀#1 상부 진공흡착 시간초과 (X380, X381, Y3A0)</t>
  </si>
  <si>
    <t>[F0811] 공급셔틀#1 상부 진공파기 시간초과 (X380, X381, Y3A1, Y3A2)</t>
  </si>
  <si>
    <t>[F0812] 공급셔틀#1 센터 진공흡착 시간초과</t>
  </si>
  <si>
    <t>[F0813] 공급셔틀#1 센터 진공파기 시간초과</t>
  </si>
  <si>
    <t>[F0814] 공급셔틀#1 하부 진공흡착 시간초과 (X382, X383, Y3A6)</t>
  </si>
  <si>
    <t>[F0815] 공급셔틀#1 하부 진공파기 시간초과 (X382, X383, Y3A7, Y3A8)</t>
  </si>
  <si>
    <t xml:space="preserve">[F0819] </t>
  </si>
  <si>
    <t>[F0820] 터브이송#2-1 상부 진공흡착 시간초과 (X3C2, X3D2, Y3E3)</t>
  </si>
  <si>
    <t>[F0821] 터브이송#2-1 상부 진공파기 시간초과 (X3C2, X3D2, Y3E4)</t>
  </si>
  <si>
    <t>[F0822] 터브이송#2-1 센터 진공흡착 시간초과 (X3C0, X3C1, Y3E0)</t>
  </si>
  <si>
    <t>[F0823] 터브이송#2-1 센터 진공파기 시간초과 (X3C0, X3C1, Y3E1)</t>
  </si>
  <si>
    <t>[F0824] 터브이송#2-1 하부 진공흡착 시간초과 (X3D3, X3D4, Y3E6)</t>
  </si>
  <si>
    <t>[F0825] 터브이송#2-1 하부 진공파기 시간초과 (X3D3, X3D4, Y3E7)</t>
  </si>
  <si>
    <t>[F0826] 터브이송#2-1 터브이송#2-2 지령오류 (M8005, M8026)</t>
  </si>
  <si>
    <t>[F0827] 터브이송#2-1 터브이송#2-2 구동방향오류</t>
  </si>
  <si>
    <t>[F0828] 터브이송#2-1 터브이송#2-2 간격오류 (D20246, D20244)</t>
  </si>
  <si>
    <t>[F0829] 이송#2 메인공압에러 (X47B)</t>
  </si>
  <si>
    <t>[F0840] 터브이송#2-2 상부 진공흡착 시간초과 (X3D7, X3D8, Y3EC)</t>
  </si>
  <si>
    <t>[F0841] 터브이송#2-2 상부 진공파기 시간초과 (X3D7, X3D8, Y3ED)</t>
  </si>
  <si>
    <t>[F0842] 터브이송#2-2 센터 진공흡착 시간초과 (X3D5, X3D6, Y3E9)</t>
  </si>
  <si>
    <t>[F0843] 터브이송#2-2 센터 진공파기 시간초과 (X3D5, X3D6, Y3EA)</t>
  </si>
  <si>
    <t>[F0844] 터브이송#2-2 하부 진공흡착 시간초과 (X3D9, X3DA, Y3EF)</t>
  </si>
  <si>
    <t>[F0845] 터브이송#2-2 하부 진공파기 시간초과 (X3D9, X3DA, Y3F0)</t>
  </si>
  <si>
    <t>[F0846] 터브이송#2-1 터브이송#2-2 지령오류 (M8005, M8026)</t>
  </si>
  <si>
    <t>[F0847] 터브이송#2-2 터브이송#2-3 지령오류 (M8025, M8046, M8047)</t>
  </si>
  <si>
    <t>[F0848] 터브이송#2-1 터브이송#2-2 구동방향오류</t>
  </si>
  <si>
    <t>[F0849] 터브이송#2-2 터브이송#2-3 구동방향오류</t>
  </si>
  <si>
    <t>[F0850] 터브이송#2-1 터브이송#2-2 간격오류 (D20246, D20244)</t>
  </si>
  <si>
    <t>[F0851] 터브이송#2-2 터브이송#2-3 간격오류 (D20646, D20644)</t>
  </si>
  <si>
    <t xml:space="preserve">[F0852] </t>
  </si>
  <si>
    <t xml:space="preserve">[F0854] </t>
  </si>
  <si>
    <t xml:space="preserve">[F0859] </t>
  </si>
  <si>
    <t>[F0860] 터브이송#2-2 터브이송#2-3 지령오류 (M8025, M8046, M8047)</t>
  </si>
  <si>
    <t>[F0861] 터브이송#2-2 터브이송#2-3 구동방향오류</t>
  </si>
  <si>
    <t>[F0862] 터브이송#2-2 터브이송#2-3 간격오류 (D20646, D20644)</t>
  </si>
  <si>
    <t>[F0900] 시밍#1 제품 클램프 전진 시간초과 (X422, X424, Y440)</t>
  </si>
  <si>
    <t>[F0901] 시밍#1 제품 클램프 후진 시간초과 (X423, X425, Y441)</t>
  </si>
  <si>
    <t>[F0902] 시밍#1 제품 클램프 전진/후진 센서이상 (X422, X423, X424, X425)</t>
  </si>
  <si>
    <t>[F0903] 시밍#1 헤드하부 클램프 전진 시간초과 (X420, X428, X42A, Y442)</t>
  </si>
  <si>
    <t>[F0904] 시밍#1 헤드하부 클램프 후진 시간초과 (X421, X429, X42B, Y443)</t>
  </si>
  <si>
    <t>[F0905] 시밍#1 헤드하부 클램프 전진/후진 센서이상 (X420, X421, X428, X429, X42A, X42B)</t>
  </si>
  <si>
    <t>[F0906] 시밍#1 헤드상부 클램프 전진 시간초과 (X426, X42C, X42E, Y444)</t>
  </si>
  <si>
    <t>[F0907] 시밍#1 헤드상부 클램프 후진 시간초과 (X427, X42D, X42F, Y445)</t>
  </si>
  <si>
    <t>[F0908] 시밍#1 헤드상부 클램프 전진/후진 센서이상 (X426, X427, X42C, X42D, X42E, X42F)</t>
  </si>
  <si>
    <t>[F0909] 시밍#1 지그하부 클램프 전진 시간초과 (X411, X413, Y446)</t>
  </si>
  <si>
    <t>[F0910] 시밍#1 지그하부 클램프 후진 시간초과 (X410, X412, Y447)</t>
  </si>
  <si>
    <t>[F0911] 시밍#1 지그하부 클램프 전진/후진 센서이상 (X410, X411, X412, X413)</t>
  </si>
  <si>
    <t>[F0912] 시밍#1 지그상부 클램프 전진 시간초과 (X416, X418, Y449)</t>
  </si>
  <si>
    <t>[F0913] 시밍#1 지그상부 클램프 후진 시간초과 (X417, X419, Y448)</t>
  </si>
  <si>
    <t>[F0914] 시밍#1 지그상부 클램프 전진/후진 센서이상 (X416, X417, X418, X419)</t>
  </si>
  <si>
    <t>[F0915] 시밍#1 지그센터링 R 클램프 전진 시간초과 (X40A, Y44B)</t>
  </si>
  <si>
    <t>[F0916] 시밍#1 지그센터링 R 클램프 후진 시간초과 (X40B, Y44A)</t>
  </si>
  <si>
    <t>[F0917] 시밍#1 지그센터링 R 클램프 전진/후진 센서이상 (X40A, X40B)</t>
  </si>
  <si>
    <t>[F0918] 시밍#1 지그센터링 L 클램프 전진 시간초과 (X40C, Y44D)</t>
  </si>
  <si>
    <t>[F0919] 시밍#1 지그센터링 L 클램프 후진 시간초과 (X40D, Y44C)</t>
  </si>
  <si>
    <t>[F0920] 시밍#1 지그센터링 L 클램프 전진/후진 센서이상 (X40C, X40D)</t>
  </si>
  <si>
    <t>[F0921] 시밍#1 헤드하부 진공흡착 시간초과 (X430, X431, Y450)</t>
  </si>
  <si>
    <t>[F0922] 시밍#1 헤드하부 진공파기 시간초과 (X430, X431, Y451, Y452)</t>
  </si>
  <si>
    <t>[F0923] 시밍#1 헤드상부 진공흡착 시간초과 (X432, X433, Y453)</t>
  </si>
  <si>
    <t>[F0924] 시밍#1 헤드상부 진공파기 시간초과 (X432, X433, Y454, Y455)</t>
  </si>
  <si>
    <t>[F0925] 시밍#1 센터RH 진공흡착 시간초과 (X434, Y456)</t>
  </si>
  <si>
    <t>[F0926] 시밍#1 센터RH 진공파기 시간초과 (X434, Y457, Y458)</t>
  </si>
  <si>
    <t>[F0927] 시밍#1 센터상부 진공흡착 시간초과 (X436, X437, Y459)</t>
  </si>
  <si>
    <t>[F0928] 시밍#1 센터상부 진공파기 시간초과 (X436, X437, Y45A, Y45B)</t>
  </si>
  <si>
    <t>[F0929] 시밍#1 센터LH 진공흡착 시간초과 (X435, Y45C)</t>
  </si>
  <si>
    <t>[F0930] 시밍#1 센터LH 진공파기 시간초과 (X435, Y45D, Y45E)</t>
  </si>
  <si>
    <t xml:space="preserve">[F0931] </t>
  </si>
  <si>
    <t>[F0932] 시밍#1 롤러 UPPER, LOWER 감속단 감지 에러 (X401,X403)</t>
  </si>
  <si>
    <t>[F0933] 시밍#1 청소모드 안전발판매트 감지! (X41C)</t>
  </si>
  <si>
    <t xml:space="preserve">[F0934] </t>
  </si>
  <si>
    <t xml:space="preserve">[F0939] </t>
  </si>
  <si>
    <t>[F0940] 플랜징#1 제품 클램프-1 전진 시간초과 (X460, Y480)</t>
  </si>
  <si>
    <t>[F0941] 플랜징#1 제품 클램프-1 후진 시간초과 (X461, Y481)</t>
  </si>
  <si>
    <t>[F0942] 플랜징#1 제품 클램프-1 전진/후진 센서이상 (X460, X461)</t>
  </si>
  <si>
    <t>[F0943] 플랜징#1 제품 클램프-2 전진 시간초과 (X462, Y482)</t>
  </si>
  <si>
    <t>[F0944] 플랜징#1 제품 클램프-2 후진 시간초과 (X463, Y483)</t>
  </si>
  <si>
    <t>[F0945] 플랜징#1 제품 클램프-2 전진/후진 센서이상 (X462, X463)</t>
  </si>
  <si>
    <t>[F0946] 플랜징#1 클램프-1 락킹 상승 시간초과 (X464, X466, Y485)</t>
  </si>
  <si>
    <t>[F0947] 플랜징#1 클램프-1 락킹 하강 시간초과 (X465, X467, Y484)</t>
  </si>
  <si>
    <t>[F0948] 플랜징#1 클램프-1 락킹 상승/하강 센서이상 (X464, X465, X466, X467)</t>
  </si>
  <si>
    <t>[F0949] 플랜징#1 클램프-2 락킹 상승 시간초과 (X468, X46A, Y487)</t>
  </si>
  <si>
    <t>[F0950] 플랜징#1 클램프-2 락킹 하강 시간초과 (X469, X46B, Y486)</t>
  </si>
  <si>
    <t>[F0951] 플랜징#1 클램프-2 락킹 상승/하강 센서이상 (X468, X469, X46A, X46B)</t>
  </si>
  <si>
    <t>[F0952] 플랜징#1 클램프-3 락킹 상승 시간초과 (X46C, X46E, Y489)</t>
  </si>
  <si>
    <t>[F0953] 플랜징#1 클램프-3 락킹 하강 시간초과 (X46D, X46F, Y488)</t>
  </si>
  <si>
    <t>[F0954] 플랜징#1 클램프-3 락킹 상승/하강 센서이상 (X46C, X46D, X46E, X46F)</t>
  </si>
  <si>
    <t>[F0955] 플랜징#1 제품 진공흡착 시간초과 (X470, X471, Y490)</t>
  </si>
  <si>
    <t>[F0956] 플랜징#1 제품 진공파기 시간초과 (X470, X471, Y491, Y492)</t>
  </si>
  <si>
    <t>[F0959] 플랜징#1 제품 체크 에러 (X479)</t>
  </si>
  <si>
    <t>[F0960] 배출 C/V#1-1 스토퍼 상승 시간초과 (X690, Y6A0)</t>
  </si>
  <si>
    <t>[F0961] 배출 C/V#1-1 스토퍼 하강 시간초과 (X691, Y6A1)</t>
  </si>
  <si>
    <t>[F0962] 배출 C/V#1-1 스토퍼 상승/하강 센서이상 (X690, X691)</t>
  </si>
  <si>
    <t>[F1000] 배출 C/V 얼라인-1 전진 시간초과 (X694, Y6A4)</t>
  </si>
  <si>
    <t>[F1001] 배출 C/V 얼라인-1 후진 시간초과 (X695, Y6A5)</t>
  </si>
  <si>
    <t>[F1002] 배출 C/V 얼라인-1 전진/후진 센서이상 (X694, X695)</t>
  </si>
  <si>
    <t>[F1003] 배출 C/V 얼라인-2 전진 시간초과 (X696, Y6A6)</t>
  </si>
  <si>
    <t>[F1004] 배출 C/V 얼라인-2 후진 시간초과 (X697, Y6A7)</t>
  </si>
  <si>
    <t>[F1005] 배출 C/V 얼라인-2 전진/후진 센서이상 (X696, X697)</t>
  </si>
  <si>
    <t>[F1035] 배출 로봇 리모트 상태이상 (XB05)</t>
  </si>
  <si>
    <t>[F1036] 배출 로봇 서보 On 中 상태이상 (XB01)</t>
  </si>
  <si>
    <t>[F1037] 배출 로봇 초기화 필요 (XB0A)</t>
  </si>
  <si>
    <t>[F1038] 배출 로봇 CONTROLLER 비상정지 中 (XB0E)</t>
  </si>
  <si>
    <t>[F1039] 배출 로봇 PENDANT 비상정지 中 (XB0D)</t>
  </si>
  <si>
    <t>[F1040] 배출 C/V#2-1 스토퍼 상승 시간초과 (X69A, Y6B0)</t>
  </si>
  <si>
    <t>[F1041] 배출 C/V#2-1 스토퍼 하강 시간초과 (X69B, Y6B1)</t>
  </si>
  <si>
    <t>[F1042] 배출 C/V#2-1 스토퍼 상승/하강 센서이상 (X69A, X69B)</t>
  </si>
  <si>
    <t>[F1033] 배출 로봇 제품 감지에러 (X79C, L4010)</t>
  </si>
  <si>
    <t>[F1058] 배출 로봇 CONTROLLER 비상정지 中 (XB0E)</t>
  </si>
  <si>
    <t>[F1059] 배출 로봇 PENDANT 비상정지 中 (XB0D)</t>
  </si>
  <si>
    <t>[F1100] 공급셔틀#2 상부 클램프 전진 시간초과</t>
  </si>
  <si>
    <t>[F1101] 공급셔틀#2 상부 클램프 후진 시간초과</t>
  </si>
  <si>
    <t>[F1102] 공급셔틀#2 상부 클램프 전진/후진 센서이상</t>
  </si>
  <si>
    <t>[F1103] 공급셔틀#2 센터 클램프 전진 시간초과</t>
  </si>
  <si>
    <t>[F1104] 공급셔틀#2 센터 클램프 후진 시간초과</t>
  </si>
  <si>
    <t>[F1105] 공급셔틀#2 센터 클램프 전진/후진 센서이상</t>
  </si>
  <si>
    <t>[F1106] 공급셔틀#2 하부 클램프 전진 시간초과</t>
  </si>
  <si>
    <t>[F1107] 공급셔틀#2 하부 클램프 후진 시간초과</t>
  </si>
  <si>
    <t>[F1108] 공급셔틀#2 하부 클램프 전진/후진 센서이상</t>
  </si>
  <si>
    <t>[F1110] 공급셔틀#2 상부 진공흡착 시간초과</t>
  </si>
  <si>
    <t>[F1111] 공급셔틀#2 상부 진공파기 시간초과</t>
  </si>
  <si>
    <t>[F1112] 공급셔틀#2 센터 진공흡착 시간초과</t>
  </si>
  <si>
    <t>[F1113] 공급셔틀#2 센터 진공파기 시간초과</t>
  </si>
  <si>
    <t>[F1114] 공급셔틀#2 하부 진공흡착 시간초과</t>
  </si>
  <si>
    <t>[F1115] 공급셔틀#2 하부 진공파기 시간초과</t>
  </si>
  <si>
    <t>[F1120] 터브이송#4-1 상부 진공흡착 시간초과</t>
  </si>
  <si>
    <t>[F1121] 터브이송#4-1 상부 진공파기 시간초과</t>
  </si>
  <si>
    <t>[F1122] 터브이송#4-1 센터 진공흡착 시간초과</t>
  </si>
  <si>
    <t>[F1123] 터브이송#4-1 센터 진공파기 시간초과</t>
  </si>
  <si>
    <t>[F1124] 터브이송#4-1 하부 진공흡착 시간초과</t>
  </si>
  <si>
    <t>[F1125] 터브이송#4-1 하부 진공파기 시간초과</t>
  </si>
  <si>
    <t>[F1126] 터브이송#4-1 터브이송#4-2 지령오류</t>
  </si>
  <si>
    <t>[F1127] 터브이송#4-1 터브이송#4-2 구동방향오류</t>
  </si>
  <si>
    <t>[F1128] 터브이송#4-1 터브이송#4-2 간격오류</t>
  </si>
  <si>
    <t>[F1140] 터브이송#4-2 상부 진공흡착 시간초과</t>
  </si>
  <si>
    <t>[F1141] 터브이송#4-2 상부 진공파기 시간초과</t>
  </si>
  <si>
    <t>[F1142] 터브이송#4-2 센터 진공흡착 시간초과</t>
  </si>
  <si>
    <t>[F1143] 터브이송#4-2 센터 진공파기 시간초과</t>
  </si>
  <si>
    <t>[F1144] 터브이송#4-2 하부 진공흡착 시간초과</t>
  </si>
  <si>
    <t>[F1145] 터브이송#4-2 하부 진공파기 시간초과</t>
  </si>
  <si>
    <t>[F1146] 터브이송#4-1 터브이송#4-2 지령오류</t>
  </si>
  <si>
    <t>[F1147] 터브이송#4-2 터브이송#4-3 지령오류</t>
  </si>
  <si>
    <t>[F1148] 터브이송#4-1 터브이송#4-2 구동방향오류</t>
  </si>
  <si>
    <t>[F1149] 터브이송#4-2 터브이송#4-3 구동방향오류</t>
  </si>
  <si>
    <t>[F1150] 터브이송#4-1 터브이송#4-2 간격오류</t>
  </si>
  <si>
    <t>[F1151] 터브이송#4-2 터브이송#4-3 간격오류</t>
  </si>
  <si>
    <t>[F1160] 터브이송#4-2 터브이송#4-3 지령오류</t>
  </si>
  <si>
    <t>[F1161] 터브이송#4-2 터브이송#4-3 구동방향오류</t>
  </si>
  <si>
    <t>[F1162] 터브이송#4-2 터브이송#4-3 간격오류</t>
  </si>
  <si>
    <t>[F1200] 시밍#2 제품 클램프 전진 시간초과</t>
  </si>
  <si>
    <t>[F1201] 시밍#2 제품 클램프 후진 시간초과</t>
  </si>
  <si>
    <t>[F1202] 시밍#2 제품 클램프 전진/후진 센서이상</t>
  </si>
  <si>
    <t>[F1203] 시밍#2 헤드하부 클램프 전진 시간초과</t>
  </si>
  <si>
    <t>[F1204] 시밍#2 헤드하부 클램프 후진 시간초과</t>
  </si>
  <si>
    <t>[F1205] 시밍#2 헤드하부 클램프 전진/후진 센서이상</t>
  </si>
  <si>
    <t>[F1206] 시밍#2 헤드상부 클램프 전진 시간초과</t>
  </si>
  <si>
    <t>[F1207] 시밍#2 헤드상부 클램프 후진 시간초과</t>
  </si>
  <si>
    <t>[F1208] 시밍#2 헤드상부 클램프 전진/후진 센서이상</t>
  </si>
  <si>
    <t>[F1209] 시밍#2 지그하부 클램프 전진 시간초과</t>
  </si>
  <si>
    <t>[F1210] 시밍#2 지그하부 클램프 후진 시간초과</t>
  </si>
  <si>
    <t>[F1211] 시밍#2 지그하부 클램프 전진/후진 센서이상</t>
  </si>
  <si>
    <t>[F1212] 시밍#2 지그상부 클램프 전진 시간초과</t>
  </si>
  <si>
    <t>[F1213] 시밍#2 지그상부 클램프 후진 시간초과</t>
  </si>
  <si>
    <t>[F1214] 시밍#2 지그상부 클램프 전진/후진 센서이상</t>
  </si>
  <si>
    <t>[F1215] 시밍#2 지그센터링 R 클램프 전진 시간초과</t>
  </si>
  <si>
    <t>[F1216] 시밍#2 지그센터링 R 클램프 후진 시간초과</t>
  </si>
  <si>
    <t>[F1217] 시밍#2 지그센터링 R 클램프 전진/후진 센서이상</t>
  </si>
  <si>
    <t>[F1218] 시밍#2 지그센터링 L 클램프 전진 시간초과</t>
  </si>
  <si>
    <t>[F1219] 시밍#2 지그센터링 L 클램프 후진 시간초과</t>
  </si>
  <si>
    <t>[F1220] 시밍#2 지그센터링 L 클램프 전진/후진 센서이상</t>
  </si>
  <si>
    <t>[F1221] 시밍#2 헤드하부 진공흡착 시간초과</t>
  </si>
  <si>
    <t>[F1222] 시밍#2 헤드하부 진공파기 시간초과</t>
  </si>
  <si>
    <t>[F1223] 시밍#2 헤드상부 진공흡착 시간초과</t>
  </si>
  <si>
    <t>[F1224] 시밍#2 헤드상부 진공파기 시간초과</t>
  </si>
  <si>
    <t>[F1225] 시밍#2 센터RH 진공흡착 시간초과</t>
  </si>
  <si>
    <t>[F1226] 시밍#2 센터RH 진공파기 시간초과</t>
  </si>
  <si>
    <t>[F1227] 시밍#2 센터상부 진공흡착 시간초과</t>
  </si>
  <si>
    <t>[F1228] 시밍#2 센터상부 진공파기 시간초과</t>
  </si>
  <si>
    <t>[F1229] 시밍#2 센터LH 진공흡착 시간초과</t>
  </si>
  <si>
    <t>[F1230] 시밍#2 센터LH 진공파기 시간초과</t>
  </si>
  <si>
    <t xml:space="preserve">[F1231] </t>
  </si>
  <si>
    <t xml:space="preserve">[F1232] </t>
  </si>
  <si>
    <t xml:space="preserve">[F1233] </t>
  </si>
  <si>
    <t xml:space="preserve">[F1234] </t>
  </si>
  <si>
    <t>[F1240] 플랜징#2 제품 클램프-1 전진 시간초과</t>
  </si>
  <si>
    <t>[F1241] 플랜징#2 제품 클램프-1 후진 시간초과</t>
  </si>
  <si>
    <t>[F1242] 플랜징#2 제품 클램프-1 전진/후진 센서이상</t>
  </si>
  <si>
    <t>[F1243] 플랜징#2 제품 클램프-2 전진 시간초과</t>
  </si>
  <si>
    <t>[F1244] 플랜징#2 제품 클램프-2 후진 시간초과</t>
  </si>
  <si>
    <t>[F1245] 플랜징#2 제품 클램프-2 전진/후진 센서이상</t>
  </si>
  <si>
    <t>[F1246] 플랜징#2 클램프-1 락킹 상승 시간초과</t>
  </si>
  <si>
    <t>[F1247] 플랜징#2 클램프-1 락킹 하강 시간초과</t>
  </si>
  <si>
    <t>[F1248] 플랜징#2 클램프-1 락킹 상승/하강 센서이상</t>
  </si>
  <si>
    <t>[F1249] 플랜징#2 클램프-2 락킹 상승 시간초과</t>
  </si>
  <si>
    <t>[F1250] 플랜징#2 클램프-2 락킹 하강 시간초과</t>
  </si>
  <si>
    <t>[F1251] 플랜징#2 클램프-2 락킹 상승/하강 센서이상</t>
  </si>
  <si>
    <t>[F1252] 플랜징#2 클램프-3 락킹 상승 시간초과</t>
  </si>
  <si>
    <t>[F1253] 플랜징#2 클램프-3 락킹 하강 시간초과</t>
  </si>
  <si>
    <t>[F1254] 플랜징#2 클램프-3 락킹 상승/하강 센서이상</t>
  </si>
  <si>
    <t>[F1255] 플랜징#2 제품 진공흡착 시간초과</t>
  </si>
  <si>
    <t>[F1256] 플랜징#2 제품 진공파기 시간초과</t>
  </si>
  <si>
    <t>[F1278] 언코일 루프 정지 시간 초과 (YAB0, YAB1)</t>
  </si>
  <si>
    <t>[F1909] 서브 판넬Fan#1 Alarm</t>
  </si>
  <si>
    <t>[F1910] 서브 판넬Fan#2 Alarm</t>
  </si>
  <si>
    <t>[F1911] 서브 판넬Fan#3 Alarm</t>
  </si>
  <si>
    <t>[F1912] 서브 판넬Fan#4 Alarm</t>
  </si>
  <si>
    <t>[F1913] 서브 판넬Fan#5 Alarm</t>
  </si>
  <si>
    <t>[F1914] 서브 판넬Fan#6 Alarm</t>
  </si>
  <si>
    <t>[F1915] 서브 판넬Fan#7 Alarm</t>
  </si>
  <si>
    <t>[F1916] 서브 판넬Fan#8 Alarm</t>
  </si>
  <si>
    <t>[F0012] OP-2 비상정지 에러 (X506)</t>
  </si>
  <si>
    <t>[F0013] OP-3 비상정지 에러 (X706)</t>
  </si>
  <si>
    <t>[F0020] DOOR-41 DOOR OPEN 에러 (Y1200)</t>
  </si>
  <si>
    <t>[F0023] DOOR-44 DOOR OPEN 에러 (Y1203)</t>
  </si>
  <si>
    <t>[F0024] DOOR-45 DOOR OPEN 에러 (Y1204)</t>
  </si>
  <si>
    <t>[F0025] DOOR-46 DOOR OPEN 에러 (Y1205)</t>
  </si>
  <si>
    <t>[F0580] 롤포밍 T축(SD249) 운전중에 Ready가 Off 되었습니다.</t>
  </si>
  <si>
    <t>[F0581] 롤포밍 T축(SD249) FLS가 감지되었습니다.</t>
  </si>
  <si>
    <t>[F0582] 롤포밍 T축(SD249) RLS가 감지되었습니다.</t>
  </si>
  <si>
    <t>[F0583] 롤포밍 T축(SD249) Stop 명령이 On된 상태에서 기동을 시도했습니다.</t>
  </si>
  <si>
    <t>[F0584] 롤포밍 T축(SD249) 가동 전원이 Off 되었습니다.</t>
  </si>
  <si>
    <t>[F0585] 롤포밍 T축(SD249) 엔코더 이상이 검출되었습니다.</t>
  </si>
  <si>
    <t>[F0586] 롤포밍 T축(SD249) 과전류가 검출되었습니다.</t>
  </si>
  <si>
    <t>[F0587] 롤포밍 T축(SD249) 과부하가 검출되었습니다.</t>
  </si>
  <si>
    <t xml:space="preserve">[F0588] 롤포밍 T축(SD249)  </t>
  </si>
  <si>
    <t>[F0589] 롤포밍 T축(SD249) 에러가 발생했습니다.</t>
  </si>
  <si>
    <t>[F0590] 가스켓 커팅 Z축(SD250) 운전중에 Ready가 Off 되었습니다.</t>
  </si>
  <si>
    <t>[F0591] 가스켓 커팅 Z축(SD250) FLS가 감지되었습니다.</t>
  </si>
  <si>
    <t>[F0592] 가스켓 커팅 Z축(SD250) RLS가 감지되었습니다.</t>
  </si>
  <si>
    <t>[F0593] 가스켓 커팅 Z축(SD250) Stop 명령이 On된 상태에서 기동을 시도했습니다.</t>
  </si>
  <si>
    <t>[F0594] 가스켓 커팅 Z축(SD250) 가동 전원이 Off 되었습니다.</t>
  </si>
  <si>
    <t>[F0595] 가스켓 커팅 Z축(SD250) 엔코더 이상이 검출되었습니다.</t>
  </si>
  <si>
    <t>[F0596] 가스켓 커팅 Z축(SD250) 과전류가 검출되었습니다.</t>
  </si>
  <si>
    <t>[F0597] 가스켓 커팅 Z축(SD250) 과부하가 검출되었습니다.</t>
  </si>
  <si>
    <t>[F0598] 가스켓 커팅 Z축(SD250)</t>
  </si>
  <si>
    <t>[F0599] 가스켓 커팅 Z축(SD250) 에러가 발생했습니다.</t>
  </si>
  <si>
    <t>[F0600] U-BENDING 셔틀 X축(SD251) 운전중에 Ready가 Off 되었습니다.</t>
  </si>
  <si>
    <t>[F0601] U-BENDING 셔틀 X축(SD251) FLS가 감지되었습니다.</t>
  </si>
  <si>
    <t>[F0602] U-BENDING 셔틀 X축(SD251) RLS가 감지되었습니다.</t>
  </si>
  <si>
    <t>[F0603] U-BENDING 셔틀 X축(SD251) Stop 명령이 On된 상태에서 기동을 시도했습니다.</t>
  </si>
  <si>
    <t>[F0604] U-BENDING 셔틀 X축(SD251) 가동 전원이 Off 되었습니다.</t>
  </si>
  <si>
    <t>[F0605] U-BENDING 셔틀 X축(SD251) 엔코더 이상이 검출되었습니다.</t>
  </si>
  <si>
    <t>[F0606] U-BENDING 셔틀 X축(SD251) 과전류가 검출되었습니다.</t>
  </si>
  <si>
    <t>[F0607] U-BENDING 셔틀 X축(SD251) 과부하가 검출되었습니다.</t>
  </si>
  <si>
    <t>[F0608] U-BENDING 셔틀 X축(SD251)</t>
  </si>
  <si>
    <t>[F0609] U-BENDING 셔틀 X축(SD251) 에러가 발생했습니다.</t>
  </si>
  <si>
    <t>[F0610] 가스켓 TOOL Z축(SD252) 운전중에 Ready가 Off 되었습니다.</t>
  </si>
  <si>
    <t>[F0611] 가스켓 TOOL Z축(SD252) FLS가 감지되었습니다.</t>
  </si>
  <si>
    <t>[F0612] 가스켓 TOOL Z축(SD252) RLS가 감지되었습니다.</t>
  </si>
  <si>
    <t>[F0613] 가스켓 TOOL Z축(SD252) Stop 명령이 On된 상태에서 기동을 시도했습니다.</t>
  </si>
  <si>
    <t>[F0614] 가스켓 TOOL Z축(SD252) 가동 전원이 Off 되었습니다.</t>
  </si>
  <si>
    <t>[F0615] 가스켓 TOOL Z축(SD252) 엔코더 이상이 검출되었습니다.</t>
  </si>
  <si>
    <t>[F0616] 가스켓 TOOL Z축(SD252) 과전류가 검출되었습니다.</t>
  </si>
  <si>
    <t>[F0617] 가스켓 TOOL Z축(SD252) 과부하가 검출되었습니다.</t>
  </si>
  <si>
    <t>[F0618] 가스켓 TOOL Z축(SD252)</t>
  </si>
  <si>
    <t>[F0619] 가스켓 TOOL Z축(SD252) 에러가 발생했습니다.</t>
  </si>
  <si>
    <t>[F0620] U-BENDING T1축(SD253) 운전중에 Ready가 Off 되었습니다.</t>
  </si>
  <si>
    <t>[F0621] U-BENDING T1축(SD253) FLS가 감지되었습니다.</t>
  </si>
  <si>
    <t>[F0622] U-BENDING T1축(SD253) RLS가 감지되었습니다.</t>
  </si>
  <si>
    <t>[F0623] U-BENDING T1축(SD253) Stop 명령이 On된 상태에서 기동을 시도했습니다.</t>
  </si>
  <si>
    <t>[F0624] U-BENDING T1축(SD253) 가동 전원이 Off 되었습니다.</t>
  </si>
  <si>
    <t>[F0625] U-BENDING T1축(SD253) 엔코더 이상이 검출되었습니다.</t>
  </si>
  <si>
    <t>[F0626] U-BENDING T1축(SD253) 과전류가 검출되었습니다.</t>
  </si>
  <si>
    <t>[F0627] U-BENDING T1축(SD253) 과부하가 검출되었습니다.</t>
  </si>
  <si>
    <t>[F0628] U-BENDING T1축(SD253)</t>
  </si>
  <si>
    <t>[F0629] U-BENDING T1축(SD253) 에러가 발생했습니다.</t>
  </si>
  <si>
    <t>[F0630] U-BENDING T2축(SD254) 운전중에 Ready가 Off 되었습니다.</t>
  </si>
  <si>
    <t>[F0631] U-BENDING T2축(SD254) FLS가 감지되었습니다.</t>
  </si>
  <si>
    <t>[F0632] U-BENDING T2축(SD254) RLS가 감지되었습니다.</t>
  </si>
  <si>
    <t>[F0633] U-BENDING T2축(SD254) Stop 명령이 On된 상태에서 기동을 시도했습니다.</t>
  </si>
  <si>
    <t>[F0634] U-BENDING T2축(SD254) 가동 전원이 Off 되었습니다.</t>
  </si>
  <si>
    <t>[F0635] U-BENDING T2축(SD254) 엔코더 이상이 검출되었습니다.</t>
  </si>
  <si>
    <t>[F0636] U-BENDING T2축(SD254) 과전류가 검출되었습니다.</t>
  </si>
  <si>
    <t>[F0637] U-BENDING T2축(SD254) 과부하가 검출되었습니다.</t>
  </si>
  <si>
    <t>[F0638] U-BENDING T2축(SD254)</t>
  </si>
  <si>
    <t>[F0639] U-BENDING T2축(SD254) 에러가 발생했습니다.</t>
  </si>
  <si>
    <t>[F0640] 가스켓 MOLD X1축(SD255) 운전중에 Ready가 Off 되었습니다.</t>
  </si>
  <si>
    <t>[F0641] 가스켓 MOLD X1축(SD255) FLS가 감지되었습니다.</t>
  </si>
  <si>
    <t>[F0642] 가스켓 MOLD X1축(SD255) RLS가 감지되었습니다.</t>
  </si>
  <si>
    <t>[F0643] 가스켓 MOLD X1축(SD255) Stop 명령이 On된 상태에서 기동을 시도했습니다.</t>
  </si>
  <si>
    <t>[F0644] 가스켓 MOLD X1축(SD255) 가동 전원이 Off 되었습니다.</t>
  </si>
  <si>
    <t>[F0645] 가스켓 MOLD X1축(SD255) 엔코더 이상이 검출되었습니다.</t>
  </si>
  <si>
    <t>[F0646] 가스켓 MOLD X1축(SD255) 과전류가 검출되었습니다.</t>
  </si>
  <si>
    <t>[F0647] 가스켓 MOLD X1축(SD255) 과부하가 검출되었습니다.</t>
  </si>
  <si>
    <t>[F0648] 가스켓 MOLD X1축(SD255)</t>
  </si>
  <si>
    <t>[F0649] 가스켓 MOLD X1축(SD255) 에러가 발생했습니다.</t>
  </si>
  <si>
    <t>[F0650] 가스켓 MOLD X2축(SD256) 운전중에 Ready가 Off 되었습니다.</t>
  </si>
  <si>
    <t>[F0651] 가스켓 MOLD X2축(SD256) FLS가 감지되었습니다.</t>
  </si>
  <si>
    <t>[F0652] 가스켓 MOLD X2축(SD256) RLS가 감지되었습니다.</t>
  </si>
  <si>
    <t>[F0653] 가스켓 MOLD X2축(SD256) Stop 명령이 On된 상태에서 기동을 시도했습니다.</t>
  </si>
  <si>
    <t>[F0654] 가스켓 MOLD X2축(SD256) 가동 전원이 Off 되었습니다.</t>
  </si>
  <si>
    <t>[F0655] 가스켓 MOLD X2축(SD256) 엔코더 이상이 검출되었습니다.</t>
  </si>
  <si>
    <t>[F0656] 가스켓 MOLD X2축(SD256) 과전류가 검출되었습니다.</t>
  </si>
  <si>
    <t>[F0657] 가스켓 MOLD X2축(SD256) 과부하가 검출되었습니다.</t>
  </si>
  <si>
    <t>[F0658] 가스켓 MOLD X2축(SD256)</t>
  </si>
  <si>
    <t>[F0659] 가스켓 MOLD X2축(SD256) 에러가 발생했습니다.</t>
  </si>
  <si>
    <t>[F0660] 가스켓 MOLD X3축(SD257) 운전중에 Ready가 Off 되었습니다.</t>
  </si>
  <si>
    <t>[F0661] 가스켓 MOLD X3축(SD257) FLS가 감지되었습니다.</t>
  </si>
  <si>
    <t>[F0662] 가스켓 MOLD X3축(SD257) RLS가 감지되었습니다.</t>
  </si>
  <si>
    <t>[F0663] 가스켓 MOLD X3축(SD257) Stop 명령이 On된 상태에서 기동을 시도했습니다.</t>
  </si>
  <si>
    <t>[F0664] 가스켓 MOLD X3축(SD257) 가동 전원이 Off 되었습니다.</t>
  </si>
  <si>
    <t>[F0665] 가스켓 MOLD X3축(SD257) 엔코더 이상이 검출되었습니다.</t>
  </si>
  <si>
    <t>[F0666] 가스켓 MOLD X3축(SD257) 과전류가 검출되었습니다.</t>
  </si>
  <si>
    <t>[F0667] 가스켓 MOLD X3축(SD257) 과부하가 검출되었습니다.</t>
  </si>
  <si>
    <t>[F0668] 가스켓 MOLD X3축(SD257)</t>
  </si>
  <si>
    <t>[F0669] 가스켓 MOLD X3축(SD257) 에러가 발생했습니다.</t>
  </si>
  <si>
    <t>[F0670] 가스켓 MOLD X4축(SD258) 운전중에 Ready가 Off 되었습니다.</t>
  </si>
  <si>
    <t>[F0671] 가스켓 MOLD X4축(SD258) FLS가 감지되었습니다.</t>
  </si>
  <si>
    <t>[F0672] 가스켓 MOLD X4축(SD258) RLS가 감지되었습니다.</t>
  </si>
  <si>
    <t>[F0673] 가스켓 MOLD X4축(SD258) Stop 명령이 On된 상태에서 기동을 시도했습니다.</t>
  </si>
  <si>
    <t>[F0674] 가스켓 MOLD X4축(SD258) 가동 전원이 Off 되었습니다.</t>
  </si>
  <si>
    <t>[F0675] 가스켓 MOLD X4축(SD258) 엔코더 이상이 검출되었습니다.</t>
  </si>
  <si>
    <t>[F0676] 가스켓 MOLD X4축(SD258) 과전류가 검출되었습니다.</t>
  </si>
  <si>
    <t>[F0677] 가스켓 MOLD X4축(SD258) 과부하가 검출되었습니다.</t>
  </si>
  <si>
    <t>[F0678] 가스켓 MOLD X4축(SD258)</t>
  </si>
  <si>
    <t>[F0679] 가스켓 MOLD X4축(SD258) 에러가 발생했습니다.</t>
  </si>
  <si>
    <t>[F0680] 가스켓 FEEDING축(SD259) 운전중에 Ready가 Off 되었습니다.</t>
  </si>
  <si>
    <t>[F0681] 가스켓 FEEDING축(SD259) FLS가 감지되었습니다.</t>
  </si>
  <si>
    <t>[F0682] 가스켓 FEEDING축(SD259) RLS가 감지되었습니다.</t>
  </si>
  <si>
    <t>[F0683] 가스켓 FEEDING축(SD259) Stop 명령이 On된 상태에서 기동을 시도했습니다.</t>
  </si>
  <si>
    <t>[F0684] 가스켓 FEEDING축(SD259) 가동 전원이 Off 되었습니다.</t>
  </si>
  <si>
    <t>[F0685] 가스켓 FEEDING축(SD259) 엔코더 이상이 검출되었습니다.</t>
  </si>
  <si>
    <t>[F0686] 가스켓 FEEDING축(SD259) 과전류가 검출되었습니다.</t>
  </si>
  <si>
    <t>[F0687] 가스켓 FEEDING축(SD259) 과부하가 검출되었습니다.</t>
  </si>
  <si>
    <t>[F0688] 가스켓 FEEDING축(SD259)</t>
  </si>
  <si>
    <t>[F0689] 가스켓 FEEDING축(SD259) 에러가 발생했습니다.</t>
  </si>
  <si>
    <t>[F0690] 가스켓 센터링 X1축(SD260) 운전중에 Ready가 Off 되었습니다.</t>
  </si>
  <si>
    <t>[F0691] 가스켓 센터링 X1축(SD260) FLS가 감지되었습니다.</t>
  </si>
  <si>
    <t>[F0692] 가스켓 센터링 X1축(SD260) RLS가 감지되었습니다.</t>
  </si>
  <si>
    <t>[F0693] 가스켓 센터링 X1축(SD260) Stop 명령이 On된 상태에서 기동을 시도했습니다.</t>
  </si>
  <si>
    <t>[F0694] 가스켓 센터링 X1축(SD260) 가동 전원이 Off 되었습니다.</t>
  </si>
  <si>
    <t>[F0695] 가스켓 센터링 X1축(SD260) 엔코더 이상이 검출되었습니다.</t>
  </si>
  <si>
    <t>[F0696] 가스켓 센터링 X1축(SD260) 과전류가 검출되었습니다.</t>
  </si>
  <si>
    <t>[F0697] 가스켓 센터링 X1축(SD260) 과부하가 검출되었습니다.</t>
  </si>
  <si>
    <t>[F0698] 가스켓 센터링 X1축(SD260)</t>
  </si>
  <si>
    <t>[F0699] 가스켓 센터링 X1축(SD260) 에러가 발생했습니다.</t>
  </si>
  <si>
    <t>[F0700] 가스켓 센터링 X2축(SD261) 운전중에 Ready가 Off 되었습니다.</t>
  </si>
  <si>
    <t>[F0701] 가스켓 센터링 X2축(SD261) FLS가 감지되었습니다.</t>
  </si>
  <si>
    <t>[F0702] 가스켓 센터링 X2축(SD261) RLS가 감지되었습니다.</t>
  </si>
  <si>
    <t>[F0703] 가스켓 센터링 X2축(SD261) Stop 명령이 On된 상태에서 기동을 시도했습니다.</t>
  </si>
  <si>
    <t>[F0704] 가스켓 센터링 X2축(SD261) 가동 전원이 Off 되었습니다.</t>
  </si>
  <si>
    <t>[F0705] 가스켓 센터링 X2축(SD261) 엔코더 이상이 검출되었습니다.</t>
  </si>
  <si>
    <t>[F0706] 가스켓 센터링 X2축(SD261) 과전류가 검출되었습니다.</t>
  </si>
  <si>
    <t>[F0707] 가스켓 센터링 X2축(SD261) 과부하가 검출되었습니다.</t>
  </si>
  <si>
    <t>[F0708] 가스켓 센터링 X2축(SD261)</t>
  </si>
  <si>
    <t>[F0709] 가스켓 센터링 X2축(SD261) 에러가 발생했습니다.</t>
  </si>
  <si>
    <t>[F0710] 가스켓 센터링 X3축(SD262) 운전중에 Ready가 Off 되었습니다.</t>
  </si>
  <si>
    <t>[F0711] 가스켓 센터링 X3축(SD262) FLS가 감지되었습니다.</t>
  </si>
  <si>
    <t>[F0712] 가스켓 센터링 X3축(SD262) RLS가 감지되었습니다.</t>
  </si>
  <si>
    <t>[F0713] 가스켓 센터링 X3축(SD262) Stop 명령이 On된 상태에서 기동을 시도했습니다.</t>
  </si>
  <si>
    <t>[F0714] 가스켓 센터링 X3축(SD262) 가동 전원이 Off 되었습니다.</t>
  </si>
  <si>
    <t>[F0715] 가스켓 센터링 X3축(SD262) 엔코더 이상이 검출되었습니다.</t>
  </si>
  <si>
    <t>[F0716] 가스켓 센터링 X3축(SD262) 과전류가 검출되었습니다.</t>
  </si>
  <si>
    <t>[F0717] 가스켓 센터링 X3축(SD262) 과부하가 검출되었습니다.</t>
  </si>
  <si>
    <t>[F0718] 가스켓 센터링 X3축(SD262)</t>
  </si>
  <si>
    <t>[F0719] 가스켓 센터링 X3축(SD262) 에러가 발생했습니다.</t>
  </si>
  <si>
    <t>[F1280] U-밴딩 가스켓 롤러 R축 푸셔 상승 시간초과 (X785, Y7C1)</t>
  </si>
  <si>
    <t>[F1281] U-밴딩 가스켓 롤러 R축 푸셔 하강 시간초과 (X784, Y7C0)</t>
  </si>
  <si>
    <t>[F1282] U-밴딩 가스켓 롤러 R축 푸셔 상승/하강 센서이상 (X784, X785)</t>
  </si>
  <si>
    <t>[F1300] U-밴딩 가스켓 이송셔틀 상승 시간초과 (X786, Y7C2)</t>
  </si>
  <si>
    <t>[F1301] U-밴딩 가스켓 이송셔틀 하강 시간초과 (X787, Y7C3)</t>
  </si>
  <si>
    <t>[F1302] U-밴딩 가스켓 이송셔틀 상승/하강 센서이상 (X786, X787)</t>
  </si>
  <si>
    <t>[F1303] U-밴딩 가스켓 이송셔틀 전진 시간초과 (X788, Y7C6)</t>
  </si>
  <si>
    <t>[F1304] U-밴딩 가스켓 이송셔틀 후진 시간초과 (X789, Y7C7)</t>
  </si>
  <si>
    <t>[F1305] U-밴딩 가스켓 이송셔틀 전진/후진 센서이상 (X788, X789)</t>
  </si>
  <si>
    <t>[F1306] U-밴딩 가스켓 디버링 가이드 전진 시간초과 (X7A0, X7A2, Y7D0)</t>
  </si>
  <si>
    <t>[F1307] U-밴딩 가스켓 디버링 가이드 후진 시간초과 (X7A1, X7A3, Y7D1)</t>
  </si>
  <si>
    <t>[F1308] U-밴딩 가스켓 디버링 가이드 전진/후진 센서이상 (X7A0, X7A1, X7A2, X7A3)</t>
  </si>
  <si>
    <t>[F1309] U-밴딩 가스켓 디버링 디버링 상승 시간초과 (X7A4, X7A6, Y7D2)</t>
  </si>
  <si>
    <t>[F1310] U-밴딩 가스켓 디버링 디버링 하강 시간초과 (X7A5, X7A7, Y7D3)</t>
  </si>
  <si>
    <t>[F1311] U-밴딩 가스켓 디버링 디버링 상승/하강 센서이상 (X7A4, X7A5, X7A6, X7A7)</t>
  </si>
  <si>
    <t>[F1312] U-밴딩 가스켓 디버링 고정 상승 시간초과 (X7A8, X7AA, Y7D4)</t>
  </si>
  <si>
    <t>[F1313] U-밴딩 가스켓 디버링 고정 하강 시간초과 (X7A9, X7AB, Y7D5)</t>
  </si>
  <si>
    <t>[F1314] U-밴딩 가스켓 디버링 고정 상승/하강 센서이상 (X7A8, X7A9, X7AA, X7AB)</t>
  </si>
  <si>
    <t>[F1315] U-밴딩 가스켓 디버링 디버링 전진 시간초과 (X78D, X798, Y7DA)</t>
  </si>
  <si>
    <t>[F1316] U-밴딩 가스켓 디버링 디버링 후진 시간초과 (X78E, X799, Y7DB)</t>
  </si>
  <si>
    <t>[F1317] U-밴딩 가스켓 디버링 디버링 전진/후진 센서이상 (X78D, X78E, X798, X799)</t>
  </si>
  <si>
    <t>[F1320] U-밴딩 RH-T축 클램프 전진 시간초과 (X7B0, Y7D6)</t>
  </si>
  <si>
    <t>[F1321] U-밴딩 RH-T축 클램프 후진 시간초과 (X7B1, Y7D7)</t>
  </si>
  <si>
    <t>[F1322] U-밴딩 RH-T축 클램프 전진/후진 센서이상 (X7B0, X7B1)</t>
  </si>
  <si>
    <t>[F1323] U-밴딩 LH-T축 클램프 전진 시간초과 (X7B2, Y7D8)</t>
  </si>
  <si>
    <t>[F1324] U-밴딩 LH-T축 클램프 후진 시간초과 (X7B3, Y7D9)</t>
  </si>
  <si>
    <t>[F1325] U-밴딩 LH-T축 클램프 전진/후진 센서이상 (X7B2, X7B3)</t>
  </si>
  <si>
    <t>[F1326] U-밴딩 가스켓 센터링 전진 시간초과 (X78A, X78C, Y7C8)</t>
  </si>
  <si>
    <t>[F1327] U-밴딩 가스켓 센터링 후진 시간초과 (X78B, X78F, Y7C9)</t>
  </si>
  <si>
    <t>[F1328] U-밴딩 가스켓 센터링 전진/후진 센서이상 (X78A, X78B, X78C, X78F)</t>
  </si>
  <si>
    <t>[F1329] U-밴딩 가스켓 리프트 상승 시간초과 (X794, X795, Y7CA)</t>
  </si>
  <si>
    <t>[F1330] U-밴딩 가스켓 리프트 하강 시간초과 (X794, X795, Y7CB)</t>
  </si>
  <si>
    <t>[F1332] U-밴딩 가스켓 워크아웃 전진 시간초과 (X796, X797, Y7CC)</t>
  </si>
  <si>
    <t>[F1333] U-밴딩 가스켓 워크아웃 후진 시간초과 (X796, X797, Y7CD)</t>
  </si>
  <si>
    <t>OP#2</t>
  </si>
  <si>
    <t>OP#2</t>
    <phoneticPr fontId="1" type="noConversion"/>
  </si>
  <si>
    <t>OP#3</t>
  </si>
  <si>
    <t>OP#6</t>
  </si>
  <si>
    <t>OP#4</t>
  </si>
  <si>
    <t>OP#5</t>
  </si>
  <si>
    <t>[F1380] LINER C/V1 스토퍼 상승 시간초과 (X7E8, Y820)</t>
  </si>
  <si>
    <t>[F1381] LINER C/V1 스토퍼 하강 시간초과 (X7E8, Y821)</t>
  </si>
  <si>
    <t>[F1383] LINER C/V2 스토퍼 상승 시간초과 (X7E9, Y822)</t>
  </si>
  <si>
    <t>[F1384] LINER C/V2 스토퍼 하강 시간초과 (X7E9, Y823)</t>
  </si>
  <si>
    <t>[F1386] LINER C/V3 스토퍼 상승 시간초과 (X7EA, Y824)</t>
  </si>
  <si>
    <t>[F1387] LINER C/V3 스토퍼 하강 시간초과 (X7EA, Y825)</t>
  </si>
  <si>
    <t>[F1389] LINER C/V4 스토퍼 상승 시간초과 (X7EB, Y826)</t>
  </si>
  <si>
    <t>[F1390] LINER C/V4 스토퍼 하강 시간초과 (X7EB, Y827)</t>
  </si>
  <si>
    <t>[F1392] LINER C/V5 스토퍼 상승 시간초과 (X7EC, Y828)</t>
  </si>
  <si>
    <t>[F1393] LINER C/V5 스토퍼 하강 시간초과 (X7EC, Y829)</t>
  </si>
  <si>
    <t>[F1395] LINER C/V6 스토퍼 상승 시간초과 (X7ED, Y82A)</t>
  </si>
  <si>
    <t>[F1396] LINER C/V6 스토퍼 하강 시간초과 (X7ED, Y82B)</t>
  </si>
  <si>
    <t>[F1398] LINER C/V7 스토퍼 상승 시간초과 (X7EE, Y82C)</t>
  </si>
  <si>
    <t>[F1399] LINER C/V7 스토퍼 하강 시간초과 (X7EE, Y82D)</t>
  </si>
  <si>
    <t>[F1401] LINER 이스케이프 상승 시간초과 (X802, X804, Y830)</t>
  </si>
  <si>
    <t>[F1402] LINER 이스케이프 하강 시간초과 (X803, X805, Y831)</t>
  </si>
  <si>
    <t>[F1403] LINER 이스케이프 상승/하강 센서이상 (X802, X803, X804, X805)</t>
  </si>
  <si>
    <t>[F1404] LINER 이스케이프 스토퍼 상승 시간초과 (X806, Y834)</t>
  </si>
  <si>
    <t>[F1405] LINER 이스케이프 스토퍼 하강 시간초과 (X807, Y835)</t>
  </si>
  <si>
    <t>[F1406] LINER 이스케이프 스토퍼 상승/하강 센서이상 (X806, X807)</t>
  </si>
  <si>
    <t>[F1407] LINER 이스케이프 스토퍼 전진 시간초과 (X808, X80A, Y832)</t>
  </si>
  <si>
    <t>[F1408] LINER 이스케이프 스토퍼 후진 시간초과 (X809, X80B, Y833)</t>
  </si>
  <si>
    <t>[F1409] LINER 이스케이프 스토퍼 전진/후진 센서이상 (X808, X809, X80A, X80B)</t>
  </si>
  <si>
    <t>[F1410] LINER 패킹 센터링 리프트 상승 시간초과 (X812, Y838)</t>
  </si>
  <si>
    <t>[F1411] LINER 패킹 센터링 리프트 하강 시간초과 (X813, Y839)</t>
  </si>
  <si>
    <t>[F1412] LINER 패킹 센터링 리프트 상승/하강 센서이상 (X812, X813)</t>
  </si>
  <si>
    <t>[F1413] LINER 패킹 센터링 가이드 전진 시간초과 (X814, X816, Y836)</t>
  </si>
  <si>
    <t>[F1414] LINER 패킹 센터링 가이드 후진 시간초과 (X815, X817, Y837)</t>
  </si>
  <si>
    <t>[F1415] LINER 패킹 센터링 가이드 전진/후진 센서이상 (X814, X815, X816, X817)</t>
  </si>
  <si>
    <t>[F1420] Pack`g 센터링 제품 감지 에러</t>
  </si>
  <si>
    <t>[F1560] LINER 가스켓 이송 로봇 전진 시간초과 (X81A, X81C, X81E, Y83E)</t>
  </si>
  <si>
    <t>[F1561] LINER 가스켓 이송 로봇 후진 시간초과 (X81A, X81C, X81E, Y83F)</t>
  </si>
  <si>
    <t>[F1573] 가스켓 이송 로봇 제품 감지에러 (X818, L4036)</t>
  </si>
  <si>
    <t>[F1575] 가스켓 이송 로봇 리모트 상태이상 (XB85)</t>
  </si>
  <si>
    <t>[F1576] 가스켓 이송 로봇 서보 On 中 상태이상 (XB81)</t>
  </si>
  <si>
    <t>[F1577] 가스켓 이송 로봇 초기화 필요 (XB8A)</t>
  </si>
  <si>
    <t>[F1578] 가스켓 이송 로봇 CONTROLLER 비상정지 中 (XB8E)</t>
  </si>
  <si>
    <t>[F1579] 가스켓 이송 로봇 PENDANT 비상정지 中 (XB8D)</t>
  </si>
  <si>
    <t>OP#1</t>
    <phoneticPr fontId="1" type="noConversion"/>
  </si>
  <si>
    <t>Seaming_공급셔틀</t>
    <phoneticPr fontId="1" type="noConversion"/>
  </si>
  <si>
    <t>Seaming_터브이송</t>
    <phoneticPr fontId="1" type="noConversion"/>
  </si>
  <si>
    <t>Seaming_시밍</t>
    <phoneticPr fontId="1" type="noConversion"/>
  </si>
  <si>
    <t>Seaming_플랜징</t>
    <phoneticPr fontId="1" type="noConversion"/>
  </si>
  <si>
    <t>Seaming_공급셔틀, 터브이송, 시밍, 플랜징</t>
    <phoneticPr fontId="1" type="noConversion"/>
  </si>
  <si>
    <t>Seaming_롤포밍</t>
    <phoneticPr fontId="1" type="noConversion"/>
  </si>
  <si>
    <t>Seaming_유밴딩</t>
    <phoneticPr fontId="1" type="noConversion"/>
  </si>
  <si>
    <t>Seaming_컨베이어</t>
    <phoneticPr fontId="1" type="noConversion"/>
  </si>
  <si>
    <t>Seaming_롤포밍, 유밴딩, 컨베이어</t>
    <phoneticPr fontId="1" type="noConversion"/>
  </si>
  <si>
    <t>[F1283] U-밴딩가스켓 메인공압에러 (X80C)</t>
    <phoneticPr fontId="1" type="noConversion"/>
  </si>
  <si>
    <t>[F0720]</t>
    <phoneticPr fontId="1" type="noConversion"/>
  </si>
  <si>
    <t>[F0390]</t>
    <phoneticPr fontId="1" type="noConversion"/>
  </si>
  <si>
    <t>[F0230]</t>
    <phoneticPr fontId="1" type="noConversion"/>
  </si>
  <si>
    <t>[F0381] 쿨링 이재기 X축(SD227) FLS가 감지되었습니다.</t>
    <phoneticPr fontId="1" type="noConversion"/>
  </si>
  <si>
    <t>MAIN</t>
    <phoneticPr fontId="1" type="noConversion"/>
  </si>
  <si>
    <t>[F0012] OP-2 비상정지 에러 (X606)</t>
  </si>
  <si>
    <t>[F0013] OP-3 비상정지 에러 (X806)</t>
  </si>
  <si>
    <t>[F0014] OP-4 비상정지 에러 (X886)</t>
  </si>
  <si>
    <t>[F0020] DOOR-31 DOOR OPEN 에러 (Y1200)</t>
  </si>
  <si>
    <t>[F0021] DOOR-32 DOOR OPEN 에러 (Y1201)</t>
  </si>
  <si>
    <t>[F0022] DOOR-33 DOOR OPEN 에러 (Y1202)</t>
  </si>
  <si>
    <t>[F0023] DOOR-34 DOOR OPEN 에러 (Y1203)</t>
  </si>
  <si>
    <t>[F0024] DOOR-35 DOOR OPEN 에러 (Y1204)</t>
  </si>
  <si>
    <t>OP#3</t>
    <phoneticPr fontId="1" type="noConversion"/>
  </si>
  <si>
    <t>OP#4</t>
    <phoneticPr fontId="1" type="noConversion"/>
  </si>
  <si>
    <t>[F0030] DOOR FRAME LIGHT CURTAIN 감지 에러 (M7470)</t>
  </si>
  <si>
    <t>[F0031] UNLOAD C/V LIGHT CURTAIN 감지 에러 (X3FE, Y418)</t>
  </si>
  <si>
    <t>[F0040] 용접부1 칠러 플로어 센서 에러</t>
  </si>
  <si>
    <t>[F0041] 용접부2 칠러 플로어 센서 에러</t>
  </si>
  <si>
    <t>[F0042] 용접부1 칠러 에러</t>
  </si>
  <si>
    <t>[F0043] 용접부2 칠러 에러</t>
  </si>
  <si>
    <t>[F0100] 가스켓 용접#1 X1축(SD201) 운전중에 Ready가 Off 되었습니다.</t>
  </si>
  <si>
    <t>[F0101] 가스켓 용접#1 X1축(SD201) FLS가 감지되었습니다.</t>
  </si>
  <si>
    <t>[F0102] 가스켓 용접#1 X1축(SD201) RLS가 감지되었습니다.</t>
  </si>
  <si>
    <t>[F0103] 가스켓 용접#1 X1축(SD201) Stop 명령이 On된 상태에서 기동을 시도했습니다.</t>
  </si>
  <si>
    <t>[F0104] 가스켓 용접#1 X1축(SD201) 가동 전원이 Off 되었습니다.</t>
  </si>
  <si>
    <t>[F0105] 가스켓 용접#1 X1축(SD201) 엔코더 이상이 검출되었습니다.</t>
  </si>
  <si>
    <t>[F0106] 가스켓 용접#1 X1축(SD201) 과전류가 검출되었습니다.</t>
  </si>
  <si>
    <t>[F0107] 가스켓 용접#1 X1축(SD201) 과부하가 검출되었습니다.</t>
  </si>
  <si>
    <t xml:space="preserve">[F0108] 가스켓 용접#1 X1축(SD201)  </t>
  </si>
  <si>
    <t>[F0109] 가스켓 용접#1 X1축(SD201) 에러가 발생했습니다.</t>
  </si>
  <si>
    <t>[F0110] 가스켓 용접#1 X2축(SD202) 운전중에 Ready가 Off 되었습니다.</t>
  </si>
  <si>
    <t>[F0111] 가스켓 용접#1 X2축(SD202) FLS가 감지되었습니다.</t>
  </si>
  <si>
    <t>[F0112] 가스켓 용접#1 X2축(SD202) RLS가 감지되었습니다.</t>
  </si>
  <si>
    <t>[F0113] 가스켓 용접#1 X2축(SD202) Stop 명령이 On된 상태에서 기동을 시도했습니다.</t>
  </si>
  <si>
    <t>[F0114] 가스켓 용접#1 X2축(SD202) 가동 전원이 Off 되었습니다.</t>
  </si>
  <si>
    <t>[F0115] 가스켓 용접#1 X2축(SD202) 엔코더 이상이 검출되었습니다.</t>
  </si>
  <si>
    <t>[F0116] 가스켓 용접#1 X2축(SD202) 과전류가 검출되었습니다.</t>
  </si>
  <si>
    <t>[F0117] 가스켓 용접#1 X2축(SD202) 과부하가 검출되었습니다.</t>
  </si>
  <si>
    <t xml:space="preserve">[F0118] 가스켓 용접#1 X2축(SD202)  </t>
  </si>
  <si>
    <t>[F0119] 가스켓 용접#1 X2축(SD202) 에러가 발생했습니다.</t>
  </si>
  <si>
    <t>[F0120] 가스켓 용접#1 X3축(SD203) 운전중에 Ready가 Off 되었습니다.</t>
  </si>
  <si>
    <t>[F0121] 가스켓 용접#1 X3축(SD203) FLS가 감지되었습니다.</t>
  </si>
  <si>
    <t>[F0122] 가스켓 용접#1 X3축(SD203) RLS가 감지되었습니다.</t>
  </si>
  <si>
    <t>[F0123] 가스켓 용접#1 X3축(SD203) Stop 명령이 On된 상태에서 기동을 시도했습니다.</t>
  </si>
  <si>
    <t>[F0124] 가스켓 용접#1 X3축(SD203) 가동 전원이 Off 되었습니다.</t>
  </si>
  <si>
    <t>[F0125] 가스켓 용접#1 X3축(SD203) 엔코더 이상이 검출되었습니다.</t>
  </si>
  <si>
    <t>[F0126] 가스켓 용접#1 X3축(SD203) 과전류가 검출되었습니다.</t>
  </si>
  <si>
    <t>[F0127] 가스켓 용접#1 X3축(SD203) 과부하가 검출되었습니다.</t>
  </si>
  <si>
    <t xml:space="preserve">[F0128] 가스켓 용접#1 X3축(SD203)  </t>
  </si>
  <si>
    <t>[F0129] 가스켓 용접#1 X3축(SD203) 에러가 발생했습니다.</t>
  </si>
  <si>
    <t>[F0130] 가스켓 용접#2 X1축(SD204) 운전중에 Ready가 Off 되었습니다.</t>
  </si>
  <si>
    <t>[F0131] 가스켓 용접#2 X1축(SD204) FLS가 감지되었습니다.</t>
  </si>
  <si>
    <t>[F0132] 가스켓 용접#2 X1축(SD204) RLS가 감지되었습니다.</t>
  </si>
  <si>
    <t>[F0133] 가스켓 용접#2 X1축(SD204) Stop 명령이 On된 상태에서 기동을 시도했습니다.</t>
  </si>
  <si>
    <t>[F0134] 가스켓 용접#2 X1축(SD204) 가동 전원이 Off 되었습니다.</t>
  </si>
  <si>
    <t>[F0135] 가스켓 용접#2 X1축(SD204) 엔코더 이상이 검출되었습니다.</t>
  </si>
  <si>
    <t>[F0136] 가스켓 용접#2 X1축(SD204) 과전류가 검출되었습니다.</t>
  </si>
  <si>
    <t>[F0137] 가스켓 용접#2 X1축(SD204) 과부하가 검출되었습니다.</t>
  </si>
  <si>
    <t xml:space="preserve">[F0138] 가스켓 용접#2 X1축(SD204)  </t>
  </si>
  <si>
    <t>[F0139] 가스켓 용접#2 X1축(SD204) 에러가 발생했습니다.</t>
  </si>
  <si>
    <t>[F0140] 가스켓 용접#2 X2축(SD205) 운전중에 Ready가 Off 되었습니다.</t>
  </si>
  <si>
    <t>[F0141] 가스켓 용접#2 X2축(SD205) FLS가 감지되었습니다.</t>
  </si>
  <si>
    <t>[F0142] 가스켓 용접#2 X2축(SD205) RLS가 감지되었습니다.</t>
  </si>
  <si>
    <t>[F0143] 가스켓 용접#2 X2축(SD205) Stop 명령이 On된 상태에서 기동을 시도했습니다.</t>
  </si>
  <si>
    <t>[F0144] 가스켓 용접#2 X2축(SD205) 가동 전원이 Off 되었습니다.</t>
  </si>
  <si>
    <t>[F0145] 가스켓 용접#2 X2축(SD205) 엔코더 이상이 검출되었습니다.</t>
  </si>
  <si>
    <t>[F0146] 가스켓 용접#2 X2축(SD205) 과전류가 검출되었습니다.</t>
  </si>
  <si>
    <t>[F0147] 가스켓 용접#2 X2축(SD205) 과부하가 검출되었습니다.</t>
  </si>
  <si>
    <t xml:space="preserve">[F0148] 가스켓 용접#2 X2축(SD205)  </t>
  </si>
  <si>
    <t>[F0149] 가스켓 용접#2 X2축(SD205) 에러가 발생했습니다.</t>
  </si>
  <si>
    <t>[F0150] 가스켓 용접#2 X3축(SD206) 운전중에 Ready가 Off 되었습니다.</t>
  </si>
  <si>
    <t>[F0151] 가스켓 용접#2 X3축(SD206) FLS가 감지되었습니다.</t>
  </si>
  <si>
    <t>[F0152] 가스켓 용접#2 X3축(SD206) RLS가 감지되었습니다.</t>
  </si>
  <si>
    <t>[F0153] 가스켓 용접#2 X3축(SD206) Stop 명령이 On된 상태에서 기동을 시도했습니다.</t>
  </si>
  <si>
    <t>[F0154] 가스켓 용접#2 X3축(SD206) 가동 전원이 Off 되었습니다.</t>
  </si>
  <si>
    <t>[F0155] 가스켓 용접#2 X3축(SD206) 엔코더 이상이 검출되었습니다.</t>
  </si>
  <si>
    <t>[F0156] 가스켓 용접#2 X3축(SD206) 과전류가 검출되었습니다.</t>
  </si>
  <si>
    <t>[F0157] 가스켓 용접#2 X3축(SD206) 과부하가 검출되었습니다.</t>
  </si>
  <si>
    <t xml:space="preserve">[F0158] 가스켓 용접#2 X3축(SD206)  </t>
  </si>
  <si>
    <t>[F0159] 가스켓 용접#2 X3축(SD206) 에러가 발생했습니다.</t>
  </si>
  <si>
    <t>[F0160] 사이드브라켓 용접#1축(SD207) 운전중에 Ready가 Off 되었습니다.</t>
  </si>
  <si>
    <t>[F0161] 사이드브라켓 용접#1축(SD207) FLS가 감지되었습니다.</t>
  </si>
  <si>
    <t>[F0162] 사이드브라켓 용접#1축(SD207) RLS가 감지되었습니다.</t>
  </si>
  <si>
    <t>[F0163] 사이드브라켓 용접#1축(SD207) Stop 명령이 On된 상태에서 기동을 시도했습니다.</t>
  </si>
  <si>
    <t>[F0164] 사이드브라켓 용접#1축(SD207) 가동 전원이 Off 되었습니다.</t>
  </si>
  <si>
    <t>[F0165] 사이드브라켓 용접#1축(SD207) 엔코더 이상이 검출되었습니다.</t>
  </si>
  <si>
    <t>[F0166] 사이드브라켓 용접#1축(SD207) 과전류가 검출되었습니다.</t>
  </si>
  <si>
    <t>[F0167] 사이드브라켓 용접#1축(SD207) 과부하가 검출되었습니다.</t>
  </si>
  <si>
    <t xml:space="preserve">[F0168] 사이드브라켓 용접#1축(SD207)  </t>
  </si>
  <si>
    <t>[F0169] 사이드브라켓 용접#1축(SD207) 에러가 발생했습니다.</t>
  </si>
  <si>
    <t>[F0170] 사이드브라켓 용접#2축(SD208) 운전중에 Ready가 Off 되었습니다.</t>
  </si>
  <si>
    <t>[F0171] 사이드브라켓 용접#2축(SD208) FLS가 감지되었습니다.</t>
  </si>
  <si>
    <t>[F0172] 사이드브라켓 용접#2축(SD208) RLS가 감지되었습니다.</t>
  </si>
  <si>
    <t>[F0173] 사이드브라켓 용접#2축(SD208) Stop 명령이 On된 상태에서 기동을 시도했습니다.</t>
  </si>
  <si>
    <t>[F0174] 사이드브라켓 용접#2축(SD208) 가동 전원이 Off 되었습니다.</t>
  </si>
  <si>
    <t>[F0175] 사이드브라켓 용접#2축(SD208) 엔코더 이상이 검출되었습니다.</t>
  </si>
  <si>
    <t>[F0176] 사이드브라켓 용접#2축(SD208) 과전류가 검출되었습니다.</t>
  </si>
  <si>
    <t>[F0177] 사이드브라켓 용접#2축(SD208) 과부하가 검출되었습니다.</t>
  </si>
  <si>
    <t xml:space="preserve">[F0178] 사이드브라켓 용접#2축(SD208)  </t>
  </si>
  <si>
    <t>[F0179] 사이드브라켓 용접#2축(SD208) 에러가 발생했습니다.</t>
  </si>
  <si>
    <t>[F0180] 가스켓 용접#3 X1축(SD209) 운전중에 Ready가 Off 되었습니다.</t>
  </si>
  <si>
    <t>[F0181] 가스켓 용접#3 X1축(SD209) FLS가 감지되었습니다.</t>
  </si>
  <si>
    <t>[F0182] 가스켓 용접#3 X1축(SD209) RLS가 감지되었습니다.</t>
  </si>
  <si>
    <t>[F0183] 가스켓 용접#3 X1축(SD209) Stop 명령이 On된 상태에서 기동을 시도했습니다.</t>
  </si>
  <si>
    <t>[F0184] 가스켓 용접#3 X1축(SD209) 가동 전원이 Off 되었습니다.</t>
  </si>
  <si>
    <t>[F0185] 가스켓 용접#3 X1축(SD209) 엔코더 이상이 검출되었습니다.</t>
  </si>
  <si>
    <t>[F0186] 가스켓 용접#3 X1축(SD209) 과전류가 검출되었습니다.</t>
  </si>
  <si>
    <t>[F0187] 가스켓 용접#3 X1축(SD209) 과부하가 검출되었습니다.</t>
  </si>
  <si>
    <t xml:space="preserve">[F0188] 가스켓 용접#3 X1축(SD209)  </t>
  </si>
  <si>
    <t>[F0189] 가스켓 용접#3 X1축(SD209) 에러가 발생했습니다.</t>
  </si>
  <si>
    <t>[F0190] 가스켓 용접#3 X2축(SD210) 운전중에 Ready가 Off 되었습니다.</t>
  </si>
  <si>
    <t>[F0191] 가스켓 용접#3 X2축(SD210) FLS가 감지되었습니다.</t>
  </si>
  <si>
    <t>[F0192] 가스켓 용접#3 X2축(SD210) RLS가 감지되었습니다.</t>
  </si>
  <si>
    <t>[F0193] 가스켓 용접#3 X2축(SD210) Stop 명령이 On된 상태에서 기동을 시도했습니다.</t>
  </si>
  <si>
    <t>[F0194] 가스켓 용접#3 X2축(SD210) 가동 전원이 Off 되었습니다.</t>
  </si>
  <si>
    <t>[F0195] 가스켓 용접#3 X2축(SD210) 엔코더 이상이 검출되었습니다.</t>
  </si>
  <si>
    <t>[F0196] 가스켓 용접#3 X2축(SD210) 과전류가 검출되었습니다.</t>
  </si>
  <si>
    <t>[F0197] 가스켓 용접#3 X2축(SD210) 과부하가 검출되었습니다.</t>
  </si>
  <si>
    <t xml:space="preserve">[F0198] 가스켓 용접#3 X2축(SD210)  </t>
  </si>
  <si>
    <t>[F0199] 가스켓 용접#3 X2축(SD210) 에러가 발생했습니다.</t>
  </si>
  <si>
    <t>[F0200] 가스켓 용접#3 X3축(SD211) 운전중에 Ready가 Off 되었습니다.</t>
  </si>
  <si>
    <t>[F0201] 가스켓 용접#3 X3축(SD211) FLS가 감지되었습니다.</t>
  </si>
  <si>
    <t>[F0202] 가스켓 용접#3 X3축(SD211) RLS가 감지되었습니다.</t>
  </si>
  <si>
    <t>[F0203] 가스켓 용접#3 X3축(SD211) Stop 명령이 On된 상태에서 기동을 시도했습니다.</t>
  </si>
  <si>
    <t>[F0204] 가스켓 용접#3 X3축(SD211) 가동 전원이 Off 되었습니다.</t>
  </si>
  <si>
    <t>[F0205] 가스켓 용접#3 X3축(SD211) 엔코더 이상이 검출되었습니다.</t>
  </si>
  <si>
    <t>[F0206] 가스켓 용접#3 X3축(SD211) 과전류가 검출되었습니다.</t>
  </si>
  <si>
    <t>[F0207] 가스켓 용접#3 X3축(SD211) 과부하가 검출되었습니다.</t>
  </si>
  <si>
    <t xml:space="preserve">[F0208] 가스켓 용접#3 X3축(SD211)  </t>
  </si>
  <si>
    <t>[F0209] 가스켓 용접#3 X3축(SD211) 에러가 발생했습니다.</t>
  </si>
  <si>
    <t>[F0210] 레일브라켓 용접#1축(SD212) 운전중에 Ready가 Off 되었습니다.</t>
  </si>
  <si>
    <t>[F0211] 레일브라켓 용접#1축(SD212) FLS가 감지되었습니다.</t>
  </si>
  <si>
    <t>[F0212] 레일브라켓 용접#1축(SD212) RLS가 감지되었습니다.</t>
  </si>
  <si>
    <t>[F0213] 레일브라켓 용접#1축(SD212) Stop 명령이 On된 상태에서 기동을 시도했습니다.</t>
  </si>
  <si>
    <t>[F0214] 레일브라켓 용접#1축(SD212) 가동 전원이 Off 되었습니다.</t>
  </si>
  <si>
    <t>[F0215] 레일브라켓 용접#1축(SD212) 엔코더 이상이 검출되었습니다.</t>
  </si>
  <si>
    <t>[F0216] 레일브라켓 용접#1축(SD212) 과전류가 검출되었습니다.</t>
  </si>
  <si>
    <t>[F0217] 레일브라켓 용접#1축(SD212) 과부하가 검출되었습니다.</t>
  </si>
  <si>
    <t xml:space="preserve">[F0218] 레일브라켓 용접#1축(SD212)  </t>
  </si>
  <si>
    <t>[F0219] 레일브라켓 용접#1축(SD212) 에러가 발생했습니다.</t>
  </si>
  <si>
    <t>[F0220] 레일브라켓 용접#2축(SD213) 운전중에 Ready가 Off 되었습니다.</t>
  </si>
  <si>
    <t>[F0221] 레일브라켓 용접#2축(SD213) FLS가 감지되었습니다.</t>
  </si>
  <si>
    <t>[F0222] 레일브라켓 용접#2축(SD213) RLS가 감지되었습니다.</t>
  </si>
  <si>
    <t>[F0223] 레일브라켓 용접#2축(SD213) Stop 명령이 On된 상태에서 기동을 시도했습니다.</t>
  </si>
  <si>
    <t>[F0224] 레일브라켓 용접#2축(SD213) 가동 전원이 Off 되었습니다.</t>
  </si>
  <si>
    <t>[F0225] 레일브라켓 용접#2축(SD213) 엔코더 이상이 검출되었습니다.</t>
  </si>
  <si>
    <t>[F0226] 레일브라켓 용접#2축(SD213) 과전류가 검출되었습니다.</t>
  </si>
  <si>
    <t>[F0227] 레일브라켓 용접#2축(SD213) 과부하가 검출되었습니다.</t>
  </si>
  <si>
    <t xml:space="preserve">[F0228] 레일브라켓 용접#2축(SD213)  </t>
  </si>
  <si>
    <t>[F0229] 레일브라켓 용접#2축(SD213) 에러가 발생했습니다.</t>
  </si>
  <si>
    <t>[F0230] 도어프레임 클린칭 건 X1축(SD214) 운전중에 Ready가 Off 되었습니다.</t>
  </si>
  <si>
    <t>[F0231] 도어프레임 클린칭 건 X1축(SD214) FLS가 감지되었습니다.</t>
  </si>
  <si>
    <t>[F0232] 도어프레임 클린칭 건 X1축(SD214) RLS가 감지되었습니다.</t>
  </si>
  <si>
    <t>[F0233] 도어프레임 클린칭 건 X1축(SD214) Stop 명령이 On된 상태에서 기동을 시도했습니다.</t>
  </si>
  <si>
    <t>[F0234] 도어프레임 클린칭 건 X1축(SD214) 가동 전원이 Off 되었습니다.</t>
  </si>
  <si>
    <t>[F0235] 도어프레임 클린칭 건 X1축(SD214) 엔코더 이상이 검출되었습니다.</t>
  </si>
  <si>
    <t>[F0236] 도어프레임 클린칭 건 X1축(SD214) 과전류가 검출되었습니다.</t>
  </si>
  <si>
    <t>[F0237] 도어프레임 클린칭 건 X1축(SD214) 과부하가 검출되었습니다.</t>
  </si>
  <si>
    <t xml:space="preserve">[F0238] 도어프레임 클린칭 건 X1축(SD214)  </t>
  </si>
  <si>
    <t>[F0239] 도어프레임 클린칭 건 X1축(SD214) 에러가 발생했습니다.</t>
  </si>
  <si>
    <t>[F0240] 도어프레임 클린칭 건 X2축(SD215) 운전중에 Ready가 Off 되었습니다.</t>
  </si>
  <si>
    <t>[F0241] 도어프레임 클린칭 건 X2축(SD215) FLS가 감지되었습니다.</t>
  </si>
  <si>
    <t>[F0242] 도어프레임 클린칭 건 X2축(SD215) RLS가 감지되었습니다.</t>
  </si>
  <si>
    <t>[F0243] 도어프레임 클린칭 건 X2축(SD215) Stop 명령이 On된 상태에서 기동을 시도했습니다.</t>
  </si>
  <si>
    <t>[F0244] 도어프레임 클린칭 건 X2축(SD215) 가동 전원이 Off 되었습니다.</t>
  </si>
  <si>
    <t>[F0245] 도어프레임 클린칭 건 X2축(SD215) 엔코더 이상이 검출되었습니다.</t>
  </si>
  <si>
    <t>[F0246] 도어프레임 클린칭 건 X2축(SD215) 과전류가 검출되었습니다.</t>
  </si>
  <si>
    <t>[F0247] 도어프레임 클린칭 건 X2축(SD215) 과부하가 검출되었습니다.</t>
  </si>
  <si>
    <t xml:space="preserve">[F0248] 도어프레임 클린칭 건 X2축(SD215)  </t>
  </si>
  <si>
    <t>[F0249] 도어프레임 클린칭 건 X2축(SD215) 에러가 발생했습니다.</t>
  </si>
  <si>
    <t>[F0250] 도어프레임 클린칭 건 X3축(SD216) 운전중에 Ready가 Off 되었습니다.</t>
  </si>
  <si>
    <t>[F0251] 도어프레임 클린칭 건 X3축(SD216) FLS가 감지되었습니다.</t>
  </si>
  <si>
    <t>[F0252] 도어프레임 클린칭 건 X3축(SD216) RLS가 감지되었습니다.</t>
  </si>
  <si>
    <t>[F0253] 도어프레임 클린칭 건 X3축(SD216) Stop 명령이 On된 상태에서 기동을 시도했습니다.</t>
  </si>
  <si>
    <t>[F0254] 도어프레임 클린칭 건 X3축(SD216) 가동 전원이 Off 되었습니다.</t>
  </si>
  <si>
    <t>[F0255] 도어프레임 클린칭 건 X3축(SD216) 엔코더 이상이 검출되었습니다.</t>
  </si>
  <si>
    <t>[F0256] 도어프레임 클린칭 건 X3축(SD216) 과전류가 검출되었습니다.</t>
  </si>
  <si>
    <t>[F0257] 도어프레임 클린칭 건 X3축(SD216) 과부하가 검출되었습니다.</t>
  </si>
  <si>
    <t xml:space="preserve">[F0258] 도어프레임 클린칭 건 X3축(SD216)  </t>
  </si>
  <si>
    <t>[F0259] 도어프레임 클린칭 건 X3축(SD216) 에러가 발생했습니다.</t>
  </si>
  <si>
    <t>[F0260] 상부렉레일 용접#1축(SD217) 운전중에 Ready가 Off 되었습니다.</t>
  </si>
  <si>
    <t>[F0261] 상부렉레일 용접#1축(SD217) FLS가 감지되었습니다.</t>
  </si>
  <si>
    <t>[F0262] 상부렉레일 용접#1축(SD217) RLS가 감지되었습니다.</t>
  </si>
  <si>
    <t>[F0263] 상부렉레일 용접#1축(SD217) Stop 명령이 On된 상태에서 기동을 시도했습니다.</t>
  </si>
  <si>
    <t>[F0264] 상부렉레일 용접#1축(SD217) 가동 전원이 Off 되었습니다.</t>
  </si>
  <si>
    <t>[F0265] 상부렉레일 용접#1축(SD217) 엔코더 이상이 검출되었습니다.</t>
  </si>
  <si>
    <t>[F0266] 상부렉레일 용접#1축(SD217) 과전류가 검출되었습니다.</t>
  </si>
  <si>
    <t>[F0267] 상부렉레일 용접#1축(SD217) 과부하가 검출되었습니다.</t>
  </si>
  <si>
    <t xml:space="preserve">[F0268] 상부렉레일 용접#1축(SD217)  </t>
  </si>
  <si>
    <t>[F0269] 상부렉레일 용접#1축(SD217) 에러가 발생했습니다.</t>
  </si>
  <si>
    <t>[F0270] 상부렉레일 용접#2축(SD218) 운전중에 Ready가 Off 되었습니다.</t>
  </si>
  <si>
    <t>[F0271] 상부렉레일 용접#2축(SD218) FLS가 감지되었습니다.</t>
  </si>
  <si>
    <t>[F0272] 상부렉레일 용접#2축(SD218) RLS가 감지되었습니다.</t>
  </si>
  <si>
    <t>[F0273] 상부렉레일 용접#2축(SD218) Stop 명령이 On된 상태에서 기동을 시도했습니다.</t>
  </si>
  <si>
    <t>[F0274] 상부렉레일 용접#2축(SD218) 가동 전원이 Off 되었습니다.</t>
  </si>
  <si>
    <t>[F0275] 상부렉레일 용접#2축(SD218) 엔코더 이상이 검출되었습니다.</t>
  </si>
  <si>
    <t>[F0276] 상부렉레일 용접#2축(SD218) 과전류가 검출되었습니다.</t>
  </si>
  <si>
    <t>[F0277] 상부렉레일 용접#2축(SD218) 과부하가 검출되었습니다.</t>
  </si>
  <si>
    <t xml:space="preserve">[F0278] 상부렉레일 용접#2축(SD218)  </t>
  </si>
  <si>
    <t>[F0279] 상부렉레일 용접#2축(SD218) 에러가 발생했습니다.</t>
  </si>
  <si>
    <t>[F0280] 도어프레임 클린칭 건#1축(SD219) 운전중에 Ready가 Off 되었습니다.</t>
  </si>
  <si>
    <t>[F0281] 도어프레임 클린칭 건#1축(SD219) FLS가 감지되었습니다.</t>
  </si>
  <si>
    <t>[F0282] 도어프레임 클린칭 건#1축(SD219) RLS가 감지되었습니다.</t>
  </si>
  <si>
    <t>[F0283] 도어프레임 클린칭 건#1축(SD219) Stop 명령이 On된 상태에서 기동을 시도했습니다.</t>
  </si>
  <si>
    <t>[F0284] 도어프레임 클린칭 건#1축(SD219) 가동 전원이 Off 되었습니다.</t>
  </si>
  <si>
    <t>[F0285] 도어프레임 클린칭 건#1축(SD219) 엔코더 이상이 검출되었습니다.</t>
  </si>
  <si>
    <t>[F0286] 도어프레임 클린칭 건#1축(SD219) 과전류가 검출되었습니다.</t>
  </si>
  <si>
    <t>[F0287] 도어프레임 클린칭 건#1축(SD219) 과부하가 검출되었습니다.</t>
  </si>
  <si>
    <t xml:space="preserve">[F0288] 도어프레임 클린칭 건#1축(SD219)  </t>
  </si>
  <si>
    <t>[F0289] 도어프레임 클린칭 건#1축(SD219) 에러가 발생했습니다.</t>
  </si>
  <si>
    <t>[F0290] 도어프레임 클린칭 건#2축(SD220) 운전중에 Ready가 Off 되었습니다.</t>
  </si>
  <si>
    <t>[F0291] 도어프레임 클린칭 건#2축(SD220) FLS가 감지되었습니다.</t>
  </si>
  <si>
    <t>[F0292] 도어프레임 클린칭 건#2축(SD220) RLS가 감지되었습니다.</t>
  </si>
  <si>
    <t>[F0293] 도어프레임 클린칭 건#2축(SD220) Stop 명령이 On된 상태에서 기동을 시도했습니다.</t>
  </si>
  <si>
    <t>[F0294] 도어프레임 클린칭 건#2축(SD220) 가동 전원이 Off 되었습니다.</t>
  </si>
  <si>
    <t>[F0295] 도어프레임 클린칭 건#2축(SD220) 엔코더 이상이 검출되었습니다.</t>
  </si>
  <si>
    <t>[F0296] 도어프레임 클린칭 건#2축(SD220) 과전류가 검출되었습니다.</t>
  </si>
  <si>
    <t>[F0297] 도어프레임 클린칭 건#2축(SD220) 과부하가 검출되었습니다.</t>
  </si>
  <si>
    <t xml:space="preserve">[F0298] 도어프레임 클린칭 건#2축(SD220)  </t>
  </si>
  <si>
    <t>[F0299] 도어프레임 클린칭 건#2축(SD220) 에러가 발생했습니다.</t>
  </si>
  <si>
    <t>[F0300] 도어프레임 클린칭 건#3축(SD221) 운전중에 Ready가 Off 되었습니다.</t>
  </si>
  <si>
    <t>[F0301] 도어프레임 클린칭 건#3축(SD221) FLS가 감지되었습니다.</t>
  </si>
  <si>
    <t>[F0302] 도어프레임 클린칭 건#3축(SD221) RLS가 감지되었습니다.</t>
  </si>
  <si>
    <t>[F0303] 도어프레임 클린칭 건#3축(SD221) Stop 명령이 On된 상태에서 기동을 시도했습니다.</t>
  </si>
  <si>
    <t>[F0304] 도어프레임 클린칭 건#3축(SD221) 가동 전원이 Off 되었습니다.</t>
  </si>
  <si>
    <t>[F0305] 도어프레임 클린칭 건#3축(SD221) 엔코더 이상이 검출되었습니다.</t>
  </si>
  <si>
    <t>[F0306] 도어프레임 클린칭 건#3축(SD221) 과전류가 검출되었습니다.</t>
  </si>
  <si>
    <t>[F0307] 도어프레임 클린칭 건#3축(SD221) 과부하가 검출되었습니다.</t>
  </si>
  <si>
    <t xml:space="preserve">[F0308] 도어프레임 클린칭 건#3축(SD221)  </t>
  </si>
  <si>
    <t>[F0309] 도어프레임 클린칭 건#3축(SD221) 에러가 발생했습니다.</t>
  </si>
  <si>
    <t>[F0310] 도어프레임 클린칭 건#4축(SD222) 운전중에 Ready가 Off 되었습니다.</t>
  </si>
  <si>
    <t>[F0311] 도어프레임 클린칭 건#4축(SD222) FLS가 감지되었습니다.</t>
  </si>
  <si>
    <t>[F0312] 도어프레임 클린칭 건#4축(SD222) RLS가 감지되었습니다.</t>
  </si>
  <si>
    <t>[F0313] 도어프레임 클린칭 건#4축(SD222) Stop 명령이 On된 상태에서 기동을 시도했습니다.</t>
  </si>
  <si>
    <t>[F0314] 도어프레임 클린칭 건#4축(SD222) 가동 전원이 Off 되었습니다.</t>
  </si>
  <si>
    <t>[F0315] 도어프레임 클린칭 건#4축(SD222) 엔코더 이상이 검출되었습니다.</t>
  </si>
  <si>
    <t>[F0316] 도어프레임 클린칭 건#4축(SD222) 과전류가 검출되었습니다.</t>
  </si>
  <si>
    <t>[F0317] 도어프레임 클린칭 건#4축(SD222) 과부하가 검출되었습니다.</t>
  </si>
  <si>
    <t xml:space="preserve">[F0318] 도어프레임 클린칭 건#4축(SD222)  </t>
  </si>
  <si>
    <t>[F0319] 도어프레임 클린칭 건#4축(SD222) 에러가 발생했습니다.</t>
  </si>
  <si>
    <t>[F0320] 도어프레임 클린칭 건#5축(SD223) 운전중에 Ready가 Off 되었습니다.</t>
  </si>
  <si>
    <t>[F0321] 도어프레임 클린칭 건#5축(SD223) FLS가 감지되었습니다.</t>
  </si>
  <si>
    <t>[F0322] 도어프레임 클린칭 건#5축(SD223) RLS가 감지되었습니다.</t>
  </si>
  <si>
    <t>[F0323] 도어프레임 클린칭 건#5축(SD223) Stop 명령이 On된 상태에서 기동을 시도했습니다.</t>
  </si>
  <si>
    <t>[F0324] 도어프레임 클린칭 건#5축(SD223) 가동 전원이 Off 되었습니다.</t>
  </si>
  <si>
    <t>[F0325] 도어프레임 클린칭 건#5축(SD223) 엔코더 이상이 검출되었습니다.</t>
  </si>
  <si>
    <t>[F0326] 도어프레임 클린칭 건#5축(SD223) 과전류가 검출되었습니다.</t>
  </si>
  <si>
    <t>[F0327] 도어프레임 클린칭 건#5축(SD223) 과부하가 검출되었습니다.</t>
  </si>
  <si>
    <t xml:space="preserve">[F0328] 도어프레임 클린칭 건#5축(SD223)  </t>
  </si>
  <si>
    <t>[F0329] 도어프레임 클린칭 건#5축(SD223) 에러가 발생했습니다.</t>
  </si>
  <si>
    <t>[F0330] 도어프레임 클린칭 건#6축(SD224) 운전중에 Ready가 Off 되었습니다.</t>
  </si>
  <si>
    <t>[F0331] 도어프레임 클린칭 건#6축(SD224) FLS가 감지되었습니다.</t>
  </si>
  <si>
    <t>[F0332] 도어프레임 클린칭 건#6축(SD224) RLS가 감지되었습니다.</t>
  </si>
  <si>
    <t>[F0333] 도어프레임 클린칭 건#6축(SD224) Stop 명령이 On된 상태에서 기동을 시도했습니다.</t>
  </si>
  <si>
    <t>[F0334] 도어프레임 클린칭 건#6축(SD224) 가동 전원이 Off 되었습니다.</t>
  </si>
  <si>
    <t>[F0335] 도어프레임 클린칭 건#6축(SD224) 엔코더 이상이 검출되었습니다.</t>
  </si>
  <si>
    <t>[F0336] 도어프레임 클린칭 건#6축(SD224) 과전류가 검출되었습니다.</t>
  </si>
  <si>
    <t>[F0337] 도어프레임 클린칭 건#6축(SD224) 과부하가 검출되었습니다.</t>
  </si>
  <si>
    <t xml:space="preserve">[F0338] 도어프레임 클린칭 건#6축(SD224)  </t>
  </si>
  <si>
    <t>[F0339] 도어프레임 클린칭 건#6축(SD224) 에러가 발생했습니다.</t>
  </si>
  <si>
    <t>[F0360] 도어프레임 서보조립셔틀#2 X축(SD227) 운전중에 Ready가 Off 되었습니다.</t>
  </si>
  <si>
    <t>[F0361] 도어프레임 서보조립셔틀#2 X축(SD227) FLS가 감지되었습니다.</t>
  </si>
  <si>
    <t>[F0362] 도어프레임 서보조립셔틀#2 X축(SD227) RLS가 감지되었습니다.</t>
  </si>
  <si>
    <t>[F0363] 도어프레임 서보조립셔틀#2 X축(SD227) Stop 명령이 On된 상태에서 기동을 시도했습니다.</t>
  </si>
  <si>
    <t>[F0364] 도어프레임 서보조립셔틀#2 X축(SD227) 가동 전원이 Off 되었습니다.</t>
  </si>
  <si>
    <t>[F0365] 도어프레임 서보조립셔틀#2 X축(SD227) 엔코더 이상이 검출되었습니다.</t>
  </si>
  <si>
    <t>[F0366] 도어프레임 서보조립셔틀#2 X축(SD227) 과전류가 검출되었습니다.</t>
  </si>
  <si>
    <t>[F0367] 도어프레임 서보조립셔틀#2 X축(SD227) 과부하가 검출되었습니다.</t>
  </si>
  <si>
    <t xml:space="preserve">[F0368] 도어프레임 서보조립셔틀#2 X축(SD227)  </t>
  </si>
  <si>
    <t>[F0369] 도어프레임 서보조립셔틀#2 X축(SD227) 에러가 발생했습니다.</t>
  </si>
  <si>
    <t>[F0370] 도어프레임 서보조립셔틀#2 Z축(SD228) 운전중에 Ready가 Off 되었습니다.</t>
  </si>
  <si>
    <t>[F0371] 도어프레임 서보조립셔틀#2 Z축(SD228) FLS가 감지되었습니다.</t>
  </si>
  <si>
    <t>[F0372] 도어프레임 서보조립셔틀#2 Z축(SD228) RLS가 감지되었습니다.</t>
  </si>
  <si>
    <t>[F0373] 도어프레임 서보조립셔틀#2 Z축(SD228) Stop 명령이 On된 상태에서 기동을 시도했습니다.</t>
  </si>
  <si>
    <t>[F0374] 도어프레임 서보조립셔틀#2 Z축(SD228) 가동 전원이 Off 되었습니다.</t>
  </si>
  <si>
    <t>[F0375] 도어프레임 서보조립셔틀#2 Z축(SD228) 엔코더 이상이 검출되었습니다.</t>
  </si>
  <si>
    <t>[F0376] 도어프레임 서보조립셔틀#2 Z축(SD228) 과전류가 검출되었습니다.</t>
  </si>
  <si>
    <t>[F0377] 도어프레임 서보조립셔틀#2 Z축(SD228) 과부하가 검출되었습니다.</t>
  </si>
  <si>
    <t xml:space="preserve">[F0378] 도어프레임 서보조립셔틀#2 Z축(SD228)  </t>
  </si>
  <si>
    <t>[F0379] 도어프레임 서보조립셔틀#2 Z축(SD228) 에러가 발생했습니다.</t>
  </si>
  <si>
    <t>[F0390] 도어프레임 서보조립 건#2축(SD230) 운전중에 Ready가 Off 되었습니다.</t>
  </si>
  <si>
    <t>[F0391] 도어프레임 서보조립 건#2축(SD230) FLS가 감지되었습니다.</t>
  </si>
  <si>
    <t>[F0392] 도어프레임 서보조립 건#2축(SD230) RLS가 감지되었습니다.</t>
  </si>
  <si>
    <t>[F0393] 도어프레임 서보조립 건#2축(SD230) Stop 명령이 On된 상태에서 기동을 시도했습니다.</t>
  </si>
  <si>
    <t>[F0394] 도어프레임 서보조립 건#2축(SD230) 가동 전원이 Off 되었습니다.</t>
  </si>
  <si>
    <t>[F0395] 도어프레임 서보조립 건#2축(SD230) 엔코더 이상이 검출되었습니다.</t>
  </si>
  <si>
    <t>[F0396] 도어프레임 서보조립 건#2축(SD230) 과전류가 검출되었습니다.</t>
  </si>
  <si>
    <t>[F0397] 도어프레임 서보조립 건#2축(SD230) 과부하가 검출되었습니다.</t>
  </si>
  <si>
    <t xml:space="preserve">[F0398] 도어프레임 서보조립 건#2축(SD230)  </t>
  </si>
  <si>
    <t>[F0399] 도어프레임 서보조립 건#2축(SD230) 에러가 발생했습니다.</t>
  </si>
  <si>
    <t>[F0400] 도어프레임 서보조립 건#3축(SD231) 운전중에 Ready가 Off 되었습니다.</t>
  </si>
  <si>
    <t>[F0401] 도어프레임 서보조립 건#3축(SD231) FLS가 감지되었습니다.</t>
  </si>
  <si>
    <t>[F0402] 도어프레임 서보조립 건#3축(SD231) RLS가 감지되었습니다.</t>
  </si>
  <si>
    <t>[F0403] 도어프레임 서보조립 건#3축(SD231) Stop 명령이 On된 상태에서 기동을 시도했습니다.</t>
  </si>
  <si>
    <t>[F0404] 도어프레임 서보조립 건#3축(SD231) 가동 전원이 Off 되었습니다.</t>
  </si>
  <si>
    <t>[F0405] 도어프레임 서보조립 건#3축(SD231) 엔코더 이상이 검출되었습니다.</t>
  </si>
  <si>
    <t>[F0406] 도어프레임 서보조립 건#3축(SD231) 과전류가 검출되었습니다.</t>
  </si>
  <si>
    <t>[F0407] 도어프레임 서보조립 건#3축(SD231) 과부하가 검출되었습니다.</t>
  </si>
  <si>
    <t xml:space="preserve">[F0408] 도어프레임 서보조립 건#3축(SD231)  </t>
  </si>
  <si>
    <t>[F0409] 도어프레임 서보조립 건#3축(SD231) 에러가 발생했습니다.</t>
  </si>
  <si>
    <t>[F0410] 도어프레임 서보조립 건#4축(SD232) 운전중에 Ready가 Off 되었습니다.</t>
  </si>
  <si>
    <t>[F0411] 도어프레임 서보조립 건#4축(SD232) FLS가 감지되었습니다.</t>
  </si>
  <si>
    <t>[F0412] 도어프레임 서보조립 건#4축(SD232) RLS가 감지되었습니다.</t>
  </si>
  <si>
    <t>[F0413] 도어프레임 서보조립 건#4축(SD232) Stop 명령이 On된 상태에서 기동을 시도했습니다.</t>
  </si>
  <si>
    <t>[F0414] 도어프레임 서보조립 건#4축(SD232) 가동 전원이 Off 되었습니다.</t>
  </si>
  <si>
    <t>[F0415] 도어프레임 서보조립 건#4축(SD232) 엔코더 이상이 검출되었습니다.</t>
  </si>
  <si>
    <t>[F0416] 도어프레임 서보조립 건#4축(SD232) 과전류가 검출되었습니다.</t>
  </si>
  <si>
    <t>[F0417] 도어프레임 서보조립 건#4축(SD232) 과부하가 검출되었습니다.</t>
  </si>
  <si>
    <t xml:space="preserve">[F0418] 도어프레임 서보조립 건#4축(SD232)  </t>
  </si>
  <si>
    <t>[F0419] 도어프레임 서보조립 건#4축(SD232) 에러가 발생했습니다.</t>
  </si>
  <si>
    <t>[F0440] 도어프레임 서보조립 건#2 X축(SD235) 운전중에 Ready가 Off 되었습니다.</t>
  </si>
  <si>
    <t>[F0441] 도어프레임 서보조립 건#2 X축(SD235) FLS가 감지되었습니다.</t>
  </si>
  <si>
    <t>[F0442] 도어프레임 서보조립 건#2 X축(SD235) RLS가 감지되었습니다.</t>
  </si>
  <si>
    <t>[F0443] 도어프레임 서보조립 건#2 X축(SD235) Stop 명령이 On된 상태에서 기동을 시도했습니다.</t>
  </si>
  <si>
    <t>[F0444] 도어프레임 서보조립 건#2 X축(SD235) 가동 전원이 Off 되었습니다.</t>
  </si>
  <si>
    <t>[F0445] 도어프레임 서보조립 건#2 X축(SD235) 엔코더 이상이 검출되었습니다.</t>
  </si>
  <si>
    <t>[F0446] 도어프레임 서보조립 건#2 X축(SD235) 과전류가 검출되었습니다.</t>
  </si>
  <si>
    <t>[F0447] 도어프레임 서보조립 건#2 X축(SD235) 과부하가 검출되었습니다.</t>
  </si>
  <si>
    <t xml:space="preserve">[F0448] 도어프레임 서보조립 건#2 X축(SD235)  </t>
  </si>
  <si>
    <t>[F0449] 도어프레임 서보조립 건#2 X축(SD235) 에러가 발생했습니다.</t>
  </si>
  <si>
    <t>[F0450] 도어프레임 서보조립 건#2 Z축(SD236) 운전중에 Ready가 Off 되었습니다.</t>
  </si>
  <si>
    <t>[F0451] 도어프레임 서보조립 건#2 Z축(SD236) FLS가 감지되었습니다.</t>
  </si>
  <si>
    <t>[F0452] 도어프레임 서보조립 건#2 Z축(SD236) RLS가 감지되었습니다.</t>
  </si>
  <si>
    <t>[F0453] 도어프레임 서보조립 건#2 Z축(SD236) Stop 명령이 On된 상태에서 기동을 시도했습니다.</t>
  </si>
  <si>
    <t>[F0454] 도어프레임 서보조립 건#2 Z축(SD236) 가동 전원이 Off 되었습니다.</t>
  </si>
  <si>
    <t>[F0455] 도어프레임 서보조립 건#2 Z축(SD236) 엔코더 이상이 검출되었습니다.</t>
  </si>
  <si>
    <t>[F0456] 도어프레임 서보조립 건#2 Z축(SD236) 과전류가 검출되었습니다.</t>
  </si>
  <si>
    <t>[F0457] 도어프레임 서보조립 건#2 Z축(SD236) 과부하가 검출되었습니다.</t>
  </si>
  <si>
    <t xml:space="preserve">[F0458] 도어프레임 서보조립 건#2 Z축(SD236)  </t>
  </si>
  <si>
    <t>[F0459] 도어프레임 서보조립 건#2 Z축(SD236) 에러가 발생했습니다.</t>
  </si>
  <si>
    <t>[F0460] 도어프레임 서보조립 건#3 X축(SD237) 운전중에 Ready가 Off 되었습니다.</t>
  </si>
  <si>
    <t>[F0461] 도어프레임 서보조립 건#3 X축(SD237) FLS가 감지되었습니다.</t>
  </si>
  <si>
    <t>[F0462] 도어프레임 서보조립 건#3 X축(SD237) RLS가 감지되었습니다.</t>
  </si>
  <si>
    <t>[F0463] 도어프레임 서보조립 건#3 X축(SD237) Stop 명령이 On된 상태에서 기동을 시도했습니다.</t>
  </si>
  <si>
    <t>[F0464] 도어프레임 서보조립 건#3 X축(SD237) 가동 전원이 Off 되었습니다.</t>
  </si>
  <si>
    <t>[F0465] 도어프레임 서보조립 건#3 X축(SD237) 엔코더 이상이 검출되었습니다.</t>
  </si>
  <si>
    <t>[F0466] 도어프레임 서보조립 건#3 X축(SD237) 과전류가 검출되었습니다.</t>
  </si>
  <si>
    <t>[F0467] 도어프레임 서보조립 건#3 X축(SD237) 과부하가 검출되었습니다.</t>
  </si>
  <si>
    <t xml:space="preserve">[F0468] 도어프레임 서보조립 건#3 X축(SD237)  </t>
  </si>
  <si>
    <t>[F0469] 도어프레임 서보조립 건#3 X축(SD237) 에러가 발생했습니다.</t>
  </si>
  <si>
    <t>[F0470] 도어프레임 서보조립 건#3 Z축(SD238) 운전중에 Ready가 Off 되었습니다.</t>
  </si>
  <si>
    <t>[F0471] 도어프레임 서보조립 건#3 Z축(SD238) FLS가 감지되었습니다.</t>
  </si>
  <si>
    <t>[F0472] 도어프레임 서보조립 건#3 Z축(SD238) RLS가 감지되었습니다.</t>
  </si>
  <si>
    <t>[F0473] 도어프레임 서보조립 건#3 Z축(SD238) Stop 명령이 On된 상태에서 기동을 시도했습니다.</t>
  </si>
  <si>
    <t>[F0474] 도어프레임 서보조립 건#3 Z축(SD238) 가동 전원이 Off 되었습니다.</t>
  </si>
  <si>
    <t>[F0475] 도어프레임 서보조립 건#3 Z축(SD238) 엔코더 이상이 검출되었습니다.</t>
  </si>
  <si>
    <t>[F0476] 도어프레임 서보조립 건#3 Z축(SD238) 과전류가 검출되었습니다.</t>
  </si>
  <si>
    <t>[F0477] 도어프레임 서보조립 건#3 Z축(SD238) 과부하가 검출되었습니다.</t>
  </si>
  <si>
    <t xml:space="preserve">[F0478] 도어프레임 서보조립 건#3 Z축(SD238)  </t>
  </si>
  <si>
    <t>[F0479] 도어프레임 서보조립 건#3 Z축(SD238) 에러가 발생했습니다.</t>
  </si>
  <si>
    <t>[F0480] 도어프레임 서보조립 건#4 X축(SD239) 운전중에 Ready가 Off 되었습니다.</t>
  </si>
  <si>
    <t>[F0481] 도어프레임 서보조립 건#4 X축(SD239) FLS가 감지되었습니다.</t>
  </si>
  <si>
    <t>[F0482] 도어프레임 서보조립 건#4 X축(SD239) RLS가 감지되었습니다.</t>
  </si>
  <si>
    <t>[F0483] 도어프레임 서보조립 건#4 X축(SD239) Stop 명령이 On된 상태에서 기동을 시도했습니다.</t>
  </si>
  <si>
    <t>[F0484] 도어프레임 서보조립 건#4 X축(SD239) 가동 전원이 Off 되었습니다.</t>
  </si>
  <si>
    <t>[F0485] 도어프레임 서보조립 건#4 X축(SD239) 엔코더 이상이 검출되었습니다.</t>
  </si>
  <si>
    <t>[F0486] 도어프레임 서보조립 건#4 X축(SD239) 과전류가 검출되었습니다.</t>
  </si>
  <si>
    <t>[F0487] 도어프레임 서보조립 건#4 X축(SD239) 과부하가 검출되었습니다.</t>
  </si>
  <si>
    <t xml:space="preserve">[F0488] 도어프레임 서보조립 건#4 X축(SD239)  </t>
  </si>
  <si>
    <t>[F0489] 도어프레임 서보조립 건#4 X축(SD239) 에러가 발생했습니다.</t>
  </si>
  <si>
    <t>[F0490] 도어프레임 서보조립 건#4 Z축(SD240) 운전중에 Ready가 Off 되었습니다.</t>
  </si>
  <si>
    <t>[F0491] 도어프레임 서보조립 건#4 Z축(SD240) FLS가 감지되었습니다.</t>
  </si>
  <si>
    <t>[F0492] 도어프레임 서보조립 건#4 Z축(SD240) RLS가 감지되었습니다.</t>
  </si>
  <si>
    <t>[F0493] 도어프레임 서보조립 건#4 Z축(SD240) Stop 명령이 On된 상태에서 기동을 시도했습니다.</t>
  </si>
  <si>
    <t>[F0494] 도어프레임 서보조립 건#4 Z축(SD240) 가동 전원이 Off 되었습니다.</t>
  </si>
  <si>
    <t>[F0495] 도어프레임 서보조립 건#4 Z축(SD240) 엔코더 이상이 검출되었습니다.</t>
  </si>
  <si>
    <t>[F0496] 도어프레임 서보조립 건#4 Z축(SD240) 과전류가 검출되었습니다.</t>
  </si>
  <si>
    <t>[F0497] 도어프레임 서보조립 건#4 Z축(SD240) 과부하가 검출되었습니다.</t>
  </si>
  <si>
    <t xml:space="preserve">[F0498] 도어프레임 서보조립 건#4 Z축(SD240)  </t>
  </si>
  <si>
    <t>[F0499] 도어프레임 서보조립 건#4 Z축(SD240) 에러가 발생했습니다.</t>
  </si>
  <si>
    <t>[F0510] 도어프레임 공급셔틀#2 X축(SD242) 운전중에 Ready가 Off 되었습니다.</t>
  </si>
  <si>
    <t>[F0511] 도어프레임 공급셔틀#2 X축(SD242) FLS가 감지되었습니다.</t>
  </si>
  <si>
    <t>[F0512] 도어프레임 공급셔틀#2 X축(SD242) RLS가 감지되었습니다.</t>
  </si>
  <si>
    <t>[F0513] 도어프레임 공급셔틀#2 X축(SD242) Stop 명령이 On된 상태에서 기동을 시도했습니다.</t>
  </si>
  <si>
    <t>[F0514] 도어프레임 공급셔틀#2 X축(SD242) 가동 전원이 Off 되었습니다.</t>
  </si>
  <si>
    <t>[F0515] 도어프레임 공급셔틀#2 X축(SD242) 엔코더 이상이 검출되었습니다.</t>
  </si>
  <si>
    <t>[F0516] 도어프레임 공급셔틀#2 X축(SD242) 과전류가 검출되었습니다.</t>
  </si>
  <si>
    <t>[F0517] 도어프레임 공급셔틀#2 X축(SD242) 과부하가 검출되었습니다.</t>
  </si>
  <si>
    <t xml:space="preserve">[F0518] 도어프레임 공급셔틀#2 X축(SD242)  </t>
  </si>
  <si>
    <t>[F0519] 도어프레임 공급셔틀#2 X축(SD242) 에러가 발생했습니다.</t>
  </si>
  <si>
    <t>[F0520] 도어프레임 반전기 T축(SD243) 운전중에 Ready가 Off 되었습니다.</t>
  </si>
  <si>
    <t>[F0521] 도어프레임 반전기 T축(SD243) FLS가 감지되었습니다.</t>
  </si>
  <si>
    <t>[F0522] 도어프레임 반전기 T축(SD243) RLS가 감지되었습니다.</t>
  </si>
  <si>
    <t>[F0523] 도어프레임 반전기 T축(SD243) Stop 명령이 On된 상태에서 기동을 시도했습니다.</t>
  </si>
  <si>
    <t>[F0524] 도어프레임 반전기 T축(SD243) 가동 전원이 Off 되었습니다.</t>
  </si>
  <si>
    <t>[F0525] 도어프레임 반전기 T축(SD243) 엔코더 이상이 검출되었습니다.</t>
  </si>
  <si>
    <t>[F0526] 도어프레임 반전기 T축(SD243) 과전류가 검출되었습니다.</t>
  </si>
  <si>
    <t>[F0527] 도어프레임 반전기 T축(SD243) 과부하가 검출되었습니다.</t>
  </si>
  <si>
    <t xml:space="preserve">[F0528] 도어프레임 반전기 T축(SD243)  </t>
  </si>
  <si>
    <t>[F0529] 도어프레임 반전기 T축(SD243) 에러가 발생했습니다.</t>
  </si>
  <si>
    <t>[F0530] 가스켓레일 용접 X축(SD244) 운전중에 Ready가 Off 되었습니다.</t>
  </si>
  <si>
    <t>[F0531] 가스켓레일 용접 X축(SD244) FLS가 감지되었습니다.</t>
  </si>
  <si>
    <t>[F0532] 가스켓레일 용접 X축(SD244) RLS가 감지되었습니다.</t>
  </si>
  <si>
    <t>[F0533] 가스켓레일 용접 X축(SD244) Stop 명령이 On된 상태에서 기동을 시도했습니다.</t>
  </si>
  <si>
    <t>[F0534] 가스켓레일 용접 X축(SD244) 가동 전원이 Off 되었습니다.</t>
  </si>
  <si>
    <t>[F0535] 가스켓레일 용접 X축(SD244) 엔코더 이상이 검출되었습니다.</t>
  </si>
  <si>
    <t>[F0536] 가스켓레일 용접 X축(SD244) 과전류가 검출되었습니다.</t>
  </si>
  <si>
    <t>[F0537] 가스켓레일 용접 X축(SD244) 과부하가 검출되었습니다.</t>
  </si>
  <si>
    <t xml:space="preserve">[F0538] 가스켓레일 용접 X축(SD244)  </t>
  </si>
  <si>
    <t>[F0539] 가스켓레일 용접 X축(SD244) 에러가 발생했습니다.</t>
  </si>
  <si>
    <t>[F0540] 터브이송#3-1 X축(SD245) 운전중에 Ready가 Off 되었습니다.</t>
  </si>
  <si>
    <t>[F0541] 터브이송#3-1 X축(SD245) FLS가 감지되었습니다.</t>
  </si>
  <si>
    <t>[F0542] 터브이송#3-1 X축(SD245) RLS가 감지되었습니다.</t>
  </si>
  <si>
    <t>[F0543] 터브이송#3-1 X축(SD245) Stop 명령이 On된 상태에서 기동을 시도했습니다.</t>
  </si>
  <si>
    <t>[F0544] 터브이송#3-1 X축(SD245) 가동 전원이 Off 되었습니다.</t>
  </si>
  <si>
    <t>[F0545] 터브이송#3-1 X축(SD245) 엔코더 이상이 검출되었습니다.</t>
  </si>
  <si>
    <t>[F0546] 터브이송#3-1 X축(SD245) 과전류가 검출되었습니다.</t>
  </si>
  <si>
    <t>[F0547] 터브이송#3-1 X축(SD245) 과부하가 검출되었습니다.</t>
  </si>
  <si>
    <t xml:space="preserve">[F0548] 터브이송#3-1 X축(SD245)  </t>
  </si>
  <si>
    <t>[F0549] 터브이송#3-1 X축(SD245) 에러가 발생했습니다.</t>
  </si>
  <si>
    <t>[F0550] 터브이송#3-1 Z축(SD246) 운전중에 Ready가 Off 되었습니다.</t>
  </si>
  <si>
    <t>[F0551] 터브이송#3-1 Z축(SD246) FLS가 감지되었습니다.</t>
  </si>
  <si>
    <t>[F0552] 터브이송#3-1 Z축(SD246) RLS가 감지되었습니다.</t>
  </si>
  <si>
    <t>[F0553] 터브이송#3-1 Z축(SD246) Stop 명령이 On된 상태에서 기동을 시도했습니다.</t>
  </si>
  <si>
    <t>[F0554] 터브이송#3-1 Z축(SD246) 가동 전원이 Off 되었습니다.</t>
  </si>
  <si>
    <t>[F0555] 터브이송#3-1 Z축(SD246) 엔코더 이상이 검출되었습니다.</t>
  </si>
  <si>
    <t>[F0556] 터브이송#3-1 Z축(SD246) 과전류가 검출되었습니다.</t>
  </si>
  <si>
    <t>[F0557] 터브이송#3-1 Z축(SD246) 과부하가 검출되었습니다.</t>
  </si>
  <si>
    <t xml:space="preserve">[F0558] 터브이송#3-1 Z축(SD246)  </t>
  </si>
  <si>
    <t>[F0559] 터브이송#3-1 Z축(SD246) 에러가 발생했습니다.</t>
  </si>
  <si>
    <t>[F0560] 터브이송#3-1 C1축(SD247) 운전중에 Ready가 Off 되었습니다.</t>
  </si>
  <si>
    <t>[F0561] 터브이송#3-1 C1축(SD247) FLS가 감지되었습니다.</t>
  </si>
  <si>
    <t>[F0562] 터브이송#3-1 C1축(SD247) RLS가 감지되었습니다.</t>
  </si>
  <si>
    <t>[F0563] 터브이송#3-1 C1축(SD247) Stop 명령이 On된 상태에서 기동을 시도했습니다.</t>
  </si>
  <si>
    <t>[F0564] 터브이송#3-1 C1축(SD247) 가동 전원이 Off 되었습니다.</t>
  </si>
  <si>
    <t>[F0565] 터브이송#3-1 C1축(SD247) 엔코더 이상이 검출되었습니다.</t>
  </si>
  <si>
    <t>[F0566] 터브이송#3-1 C1축(SD247) 과전류가 검출되었습니다.</t>
  </si>
  <si>
    <t>[F0567] 터브이송#3-1 C1축(SD247) 과부하가 검출되었습니다.</t>
  </si>
  <si>
    <t xml:space="preserve">[F0568] 터브이송#3-1 C1축(SD247)  </t>
  </si>
  <si>
    <t>[F0569] 터브이송#3-1 C1축(SD247) 에러가 발생했습니다.</t>
  </si>
  <si>
    <t>[F0570] 터브이송#3-1 C2축(SD248) 운전중에 Ready가 Off 되었습니다.</t>
  </si>
  <si>
    <t>[F0571] 터브이송#3-1 C2축(SD248) FLS가 감지되었습니다.</t>
  </si>
  <si>
    <t>[F0572] 터브이송#3-1 C2축(SD248) RLS가 감지되었습니다.</t>
  </si>
  <si>
    <t>[F0573] 터브이송#3-1 C2축(SD248) Stop 명령이 On된 상태에서 기동을 시도했습니다.</t>
  </si>
  <si>
    <t>[F0574] 터브이송#3-1 C2축(SD248) 가동 전원이 Off 되었습니다.</t>
  </si>
  <si>
    <t>[F0575] 터브이송#3-1 C2축(SD248) 엔코더 이상이 검출되었습니다.</t>
  </si>
  <si>
    <t>[F0576] 터브이송#3-1 C2축(SD248) 과전류가 검출되었습니다.</t>
  </si>
  <si>
    <t>[F0577] 터브이송#3-1 C2축(SD248) 과부하가 검출되었습니다.</t>
  </si>
  <si>
    <t xml:space="preserve">[F0578] 터브이송#3-1 C2축(SD248)  </t>
  </si>
  <si>
    <t>[F0579] 터브이송#3-1 C2축(SD248) 에러가 발생했습니다.</t>
  </si>
  <si>
    <t>[F0580] 터브이송#3-2 X축(SD249) 운전중에 Ready가 Off 되었습니다.</t>
  </si>
  <si>
    <t>[F0581] 터브이송#3-2 X축(SD249) FLS가 감지되었습니다.</t>
  </si>
  <si>
    <t>[F0582] 터브이송#3-2 X축(SD249) RLS가 감지되었습니다.</t>
  </si>
  <si>
    <t>[F0583] 터브이송#3-2 X축(SD249) Stop 명령이 On된 상태에서 기동을 시도했습니다.</t>
  </si>
  <si>
    <t>[F0584] 터브이송#3-2 X축(SD249) 가동 전원이 Off 되었습니다.</t>
  </si>
  <si>
    <t>[F0585] 터브이송#3-2 X축(SD249) 엔코더 이상이 검출되었습니다.</t>
  </si>
  <si>
    <t>[F0586] 터브이송#3-2 X축(SD249) 과전류가 검출되었습니다.</t>
  </si>
  <si>
    <t>[F0587] 터브이송#3-2 X축(SD249) 과부하가 검출되었습니다.</t>
  </si>
  <si>
    <t xml:space="preserve">[F0588] 터브이송#3-2 X축(SD249)  </t>
  </si>
  <si>
    <t>[F0589] 터브이송#3-2 X축(SD249) 에러가 발생했습니다.</t>
  </si>
  <si>
    <t>[F0590] 터브이송#3-2 Z축(SD250) 운전중에 Ready가 Off 되었습니다.</t>
  </si>
  <si>
    <t>[F0591] 터브이송#3-2 Z축(SD250) FLS가 감지되었습니다.</t>
  </si>
  <si>
    <t>[F0592] 터브이송#3-2 Z축(SD250) RLS가 감지되었습니다.</t>
  </si>
  <si>
    <t>[F0593] 터브이송#3-2 Z축(SD250) Stop 명령이 On된 상태에서 기동을 시도했습니다.</t>
  </si>
  <si>
    <t>[F0594] 터브이송#3-2 Z축(SD250) 가동 전원이 Off 되었습니다.</t>
  </si>
  <si>
    <t>[F0595] 터브이송#3-2 Z축(SD250) 엔코더 이상이 검출되었습니다.</t>
  </si>
  <si>
    <t>[F0596] 터브이송#3-2 Z축(SD250) 과전류가 검출되었습니다.</t>
  </si>
  <si>
    <t>[F0597] 터브이송#3-2 Z축(SD250) 과부하가 검출되었습니다.</t>
  </si>
  <si>
    <t>[F0598] 터브이송#3-2 Z축(SD250)</t>
  </si>
  <si>
    <t>[F0599] 터브이송#3-2 Z축(SD250) 에러가 발생했습니다.</t>
  </si>
  <si>
    <t>[F0600] 터브이송#3-2 C1축(SD251) 운전중에 Ready가 Off 되었습니다.</t>
  </si>
  <si>
    <t>[F0601] 터브이송#3-2 C1축(SD251) FLS가 감지되었습니다.</t>
  </si>
  <si>
    <t>[F0602] 터브이송#3-2 C1축(SD251) RLS가 감지되었습니다.</t>
  </si>
  <si>
    <t>[F0603] 터브이송#3-2 C1축(SD251) Stop 명령이 On된 상태에서 기동을 시도했습니다.</t>
  </si>
  <si>
    <t>[F0604] 터브이송#3-2 C1축(SD251) 가동 전원이 Off 되었습니다.</t>
  </si>
  <si>
    <t>[F0605] 터브이송#3-2 C1축(SD251) 엔코더 이상이 검출되었습니다.</t>
  </si>
  <si>
    <t>[F0606] 터브이송#3-2 C1축(SD251) 과전류가 검출되었습니다.</t>
  </si>
  <si>
    <t>[F0607] 터브이송#3-2 C1축(SD251) 과부하가 검출되었습니다.</t>
  </si>
  <si>
    <t>[F0608] 터브이송#3-2 C1축(SD251)</t>
  </si>
  <si>
    <t>[F0609] 터브이송#3-2 C1축(SD251) 에러가 발생했습니다.</t>
  </si>
  <si>
    <t>[F0610] 터브이송#3-2 C2축(SD252) 운전중에 Ready가 Off 되었습니다.</t>
  </si>
  <si>
    <t>[F0611] 터브이송#3-2 C2축(SD252) FLS가 감지되었습니다.</t>
  </si>
  <si>
    <t>[F0612] 터브이송#3-2 C2축(SD252) RLS가 감지되었습니다.</t>
  </si>
  <si>
    <t>[F0613] 터브이송#3-2 C2축(SD252) Stop 명령이 On된 상태에서 기동을 시도했습니다.</t>
  </si>
  <si>
    <t>[F0614] 터브이송#3-2 C2축(SD252) 가동 전원이 Off 되었습니다.</t>
  </si>
  <si>
    <t>[F0615] 터브이송#3-2 C2축(SD252) 엔코더 이상이 검출되었습니다.</t>
  </si>
  <si>
    <t>[F0616] 터브이송#3-2 C2축(SD252) 과전류가 검출되었습니다.</t>
  </si>
  <si>
    <t>[F0617] 터브이송#3-2 C2축(SD252) 과부하가 검출되었습니다.</t>
  </si>
  <si>
    <t>[F0618] 터브이송#3-2 C2축(SD252)</t>
  </si>
  <si>
    <t>[F0619] 터브이송#3-2 C2축(SD252) 에러가 발생했습니다.</t>
  </si>
  <si>
    <t>[F0620] 터브이송#3-3 X축(SD253) 운전중에 Ready가 Off 되었습니다.</t>
  </si>
  <si>
    <t>[F0621] 터브이송#3-3 X축(SD253) FLS가 감지되었습니다.</t>
  </si>
  <si>
    <t>[F0622] 터브이송#3-3 X축(SD253) RLS가 감지되었습니다.</t>
  </si>
  <si>
    <t>[F0623] 터브이송#3-3 X축(SD253) Stop 명령이 On된 상태에서 기동을 시도했습니다.</t>
  </si>
  <si>
    <t>[F0624] 터브이송#3-3 X축(SD253) 가동 전원이 Off 되었습니다.</t>
  </si>
  <si>
    <t>[F0625] 터브이송#3-3 X축(SD253) 엔코더 이상이 검출되었습니다.</t>
  </si>
  <si>
    <t>[F0626] 터브이송#3-3 X축(SD253) 과전류가 검출되었습니다.</t>
  </si>
  <si>
    <t>[F0627] 터브이송#3-3 X축(SD253) 과부하가 검출되었습니다.</t>
  </si>
  <si>
    <t>[F0628] 터브이송#3-3 X축(SD253)</t>
  </si>
  <si>
    <t>[F0629] 터브이송#3-3 X축(SD253) 에러가 발생했습니다.</t>
  </si>
  <si>
    <t>[F0630] 터브이송#3-3 Z축(SD254) 운전중에 Ready가 Off 되었습니다.</t>
  </si>
  <si>
    <t>[F0631] 터브이송#3-3 Z축(SD254) FLS가 감지되었습니다.</t>
  </si>
  <si>
    <t>[F0632] 터브이송#3-3 Z축(SD254) RLS가 감지되었습니다.</t>
  </si>
  <si>
    <t>[F0633] 터브이송#3-3 Z축(SD254) Stop 명령이 On된 상태에서 기동을 시도했습니다.</t>
  </si>
  <si>
    <t>[F0634] 터브이송#3-3 Z축(SD254) 가동 전원이 Off 되었습니다.</t>
  </si>
  <si>
    <t>[F0635] 터브이송#3-3 Z축(SD254) 엔코더 이상이 검출되었습니다.</t>
  </si>
  <si>
    <t>[F0636] 터브이송#3-3 Z축(SD254) 과전류가 검출되었습니다.</t>
  </si>
  <si>
    <t>[F0637] 터브이송#3-3 Z축(SD254) 과부하가 검출되었습니다.</t>
  </si>
  <si>
    <t>[F0638] 터브이송#3-3 Z축(SD254)</t>
  </si>
  <si>
    <t>[F0639] 터브이송#3-3 Z축(SD254) 에러가 발생했습니다.</t>
  </si>
  <si>
    <t>[F0640] 터브이송#3-3 C1축(SD255) 운전중에 Ready가 Off 되었습니다.</t>
  </si>
  <si>
    <t>[F0641] 터브이송#3-3 C1축(SD255) FLS가 감지되었습니다.</t>
  </si>
  <si>
    <t>[F0642] 터브이송#3-3 C1축(SD255) RLS가 감지되었습니다.</t>
  </si>
  <si>
    <t>[F0643] 터브이송#3-3 C1축(SD255) Stop 명령이 On된 상태에서 기동을 시도했습니다.</t>
  </si>
  <si>
    <t>[F0644] 터브이송#3-3 C1축(SD255) 가동 전원이 Off 되었습니다.</t>
  </si>
  <si>
    <t>[F0645] 터브이송#3-3 C1축(SD255) 엔코더 이상이 검출되었습니다.</t>
  </si>
  <si>
    <t>[F0646] 터브이송#3-3 C1축(SD255) 과전류가 검출되었습니다.</t>
  </si>
  <si>
    <t>[F0647] 터브이송#3-3 C1축(SD255) 과부하가 검출되었습니다.</t>
  </si>
  <si>
    <t>[F0648] 터브이송#3-3 C1축(SD255)</t>
  </si>
  <si>
    <t>[F0649] 터브이송#3-3 C1축(SD255) 에러가 발생했습니다.</t>
  </si>
  <si>
    <t>[F0650] 터브이송#3-3 C2축(SD256) 운전중에 Ready가 Off 되었습니다.</t>
  </si>
  <si>
    <t>[F0651] 터브이송#3-3 C2축(SD256) FLS가 감지되었습니다.</t>
  </si>
  <si>
    <t>[F0652] 터브이송#3-3 C2축(SD256) RLS가 감지되었습니다.</t>
  </si>
  <si>
    <t>[F0653] 터브이송#3-3 C2축(SD256) Stop 명령이 On된 상태에서 기동을 시도했습니다.</t>
  </si>
  <si>
    <t>[F0654] 터브이송#3-3 C2축(SD256) 가동 전원이 Off 되었습니다.</t>
  </si>
  <si>
    <t>[F0655] 터브이송#3-3 C2축(SD256) 엔코더 이상이 검출되었습니다.</t>
  </si>
  <si>
    <t>[F0656] 터브이송#3-3 C2축(SD256) 과전류가 검출되었습니다.</t>
  </si>
  <si>
    <t>[F0657] 터브이송#3-3 C2축(SD256) 과부하가 검출되었습니다.</t>
  </si>
  <si>
    <t>[F0658] 터브이송#3-3 C2축(SD256)</t>
  </si>
  <si>
    <t>[F0659] 터브이송#3-3 C2축(SD256) 에러가 발생했습니다.</t>
  </si>
  <si>
    <t>[F0660] 터브이송#3-4 X축(SD257) 운전중에 Ready가 Off 되었습니다.</t>
  </si>
  <si>
    <t>[F0661] 터브이송#3-4 X축(SD257) FLS가 감지되었습니다.</t>
  </si>
  <si>
    <t>[F0662] 터브이송#3-4 X축(SD257) RLS가 감지되었습니다.</t>
  </si>
  <si>
    <t>[F0663] 터브이송#3-4 X축(SD257) Stop 명령이 On된 상태에서 기동을 시도했습니다.</t>
  </si>
  <si>
    <t>[F0664] 터브이송#3-4 X축(SD257) 가동 전원이 Off 되었습니다.</t>
  </si>
  <si>
    <t>[F0665] 터브이송#3-4 X축(SD257) 엔코더 이상이 검출되었습니다.</t>
  </si>
  <si>
    <t>[F0666] 터브이송#3-4 X축(SD257) 과전류가 검출되었습니다.</t>
  </si>
  <si>
    <t>[F0667] 터브이송#3-4 X축(SD257) 과부하가 검출되었습니다.</t>
  </si>
  <si>
    <t>[F0668] 터브이송#3-4 X축(SD257)</t>
  </si>
  <si>
    <t>[F0669] 터브이송#3-4 X축(SD257) 에러가 발생했습니다.</t>
  </si>
  <si>
    <t>[F0670] 터브이송#3-4 Z축(SD258) 운전중에 Ready가 Off 되었습니다.</t>
  </si>
  <si>
    <t>[F0671] 터브이송#3-4 Z축(SD258) FLS가 감지되었습니다.</t>
  </si>
  <si>
    <t>[F0672] 터브이송#3-4 Z축(SD258) RLS가 감지되었습니다.</t>
  </si>
  <si>
    <t>[F0673] 터브이송#3-4 Z축(SD258) Stop 명령이 On된 상태에서 기동을 시도했습니다.</t>
  </si>
  <si>
    <t>[F0674] 터브이송#3-4 Z축(SD258) 가동 전원이 Off 되었습니다.</t>
  </si>
  <si>
    <t>[F0675] 터브이송#3-4 Z축(SD258) 엔코더 이상이 검출되었습니다.</t>
  </si>
  <si>
    <t>[F0676] 터브이송#3-4 Z축(SD258) 과전류가 검출되었습니다.</t>
  </si>
  <si>
    <t>[F0677] 터브이송#3-4 Z축(SD258) 과부하가 검출되었습니다.</t>
  </si>
  <si>
    <t>[F0678] 터브이송#3-4 Z축(SD258)</t>
  </si>
  <si>
    <t>[F0679] 터브이송#3-4 Z축(SD258) 에러가 발생했습니다.</t>
  </si>
  <si>
    <t>[F0680] 터브이송#3-4 C1축(SD259) 운전중에 Ready가 Off 되었습니다.</t>
  </si>
  <si>
    <t>[F0681] 터브이송#3-4 C1축(SD259) FLS가 감지되었습니다.</t>
  </si>
  <si>
    <t>[F0682] 터브이송#3-4 C1축(SD259) RLS가 감지되었습니다.</t>
  </si>
  <si>
    <t>[F0683] 터브이송#3-4 C1축(SD259) Stop 명령이 On된 상태에서 기동을 시도했습니다.</t>
  </si>
  <si>
    <t>[F0684] 터브이송#3-4 C1축(SD259) 가동 전원이 Off 되었습니다.</t>
  </si>
  <si>
    <t>[F0685] 터브이송#3-4 C1축(SD259) 엔코더 이상이 검출되었습니다.</t>
  </si>
  <si>
    <t>[F0686] 터브이송#3-4 C1축(SD259) 과전류가 검출되었습니다.</t>
  </si>
  <si>
    <t>[F0687] 터브이송#3-4 C1축(SD259) 과부하가 검출되었습니다.</t>
  </si>
  <si>
    <t>[F0688] 터브이송#3-4 C1축(SD259)</t>
  </si>
  <si>
    <t>[F0689] 터브이송#3-4 C1축(SD259) 에러가 발생했습니다.</t>
  </si>
  <si>
    <t>[F0690] 터브이송#3-4 C2축(SD260) 운전중에 Ready가 Off 되었습니다.</t>
  </si>
  <si>
    <t>[F0691] 터브이송#3-4 C2축(SD260) FLS가 감지되었습니다.</t>
  </si>
  <si>
    <t>[F0692] 터브이송#3-4 C2축(SD260) RLS가 감지되었습니다.</t>
  </si>
  <si>
    <t>[F0693] 터브이송#3-4 C2축(SD260) Stop 명령이 On된 상태에서 기동을 시도했습니다.</t>
  </si>
  <si>
    <t>[F0694] 터브이송#3-4 C2축(SD260) 가동 전원이 Off 되었습니다.</t>
  </si>
  <si>
    <t>[F0695] 터브이송#3-4 C2축(SD260) 엔코더 이상이 검출되었습니다.</t>
  </si>
  <si>
    <t>[F0696] 터브이송#3-4 C2축(SD260) 과전류가 검출되었습니다.</t>
  </si>
  <si>
    <t>[F0697] 터브이송#3-4 C2축(SD260) 과부하가 검출되었습니다.</t>
  </si>
  <si>
    <t>[F0698] 터브이송#3-4 C2축(SD260)</t>
  </si>
  <si>
    <t>[F0699] 터브이송#3-4 C2축(SD260) 에러가 발생했습니다.</t>
  </si>
  <si>
    <t>[F0700] 터브이송#3-5 X축(SD261) 운전중에 Ready가 Off 되었습니다.</t>
  </si>
  <si>
    <t>[F0701] 터브이송#3-5 X축(SD261) FLS가 감지되었습니다.</t>
  </si>
  <si>
    <t>[F0702] 터브이송#3-5 X축(SD261) RLS가 감지되었습니다.</t>
  </si>
  <si>
    <t>[F0703] 터브이송#3-5 X축(SD261) Stop 명령이 On된 상태에서 기동을 시도했습니다.</t>
  </si>
  <si>
    <t>[F0704] 터브이송#3-5 X축(SD261) 가동 전원이 Off 되었습니다.</t>
  </si>
  <si>
    <t>[F0705] 터브이송#3-5 X축(SD261) 엔코더 이상이 검출되었습니다.</t>
  </si>
  <si>
    <t>[F0706] 터브이송#3-5 X축(SD261) 과전류가 검출되었습니다.</t>
  </si>
  <si>
    <t>[F0707] 터브이송#3-5 X축(SD261) 과부하가 검출되었습니다.</t>
  </si>
  <si>
    <t>[F0708] 터브이송#3-5 X축(SD261)</t>
  </si>
  <si>
    <t>[F0709] 터브이송#3-5 X축(SD261) 에러가 발생했습니다.</t>
  </si>
  <si>
    <t>[F0710] 터브이송#3-5 Z축(SD262) 운전중에 Ready가 Off 되었습니다.</t>
  </si>
  <si>
    <t>[F0711] 터브이송#3-5 Z축(SD262) FLS가 감지되었습니다.</t>
  </si>
  <si>
    <t>[F0712] 터브이송#3-5 Z축(SD262) RLS가 감지되었습니다.</t>
  </si>
  <si>
    <t>[F0713] 터브이송#3-5 Z축(SD262) Stop 명령이 On된 상태에서 기동을 시도했습니다.</t>
  </si>
  <si>
    <t>[F0714] 터브이송#3-5 Z축(SD262) 가동 전원이 Off 되었습니다.</t>
  </si>
  <si>
    <t>[F0715] 터브이송#3-5 Z축(SD262) 엔코더 이상이 검출되었습니다.</t>
  </si>
  <si>
    <t>[F0716] 터브이송#3-5 Z축(SD262) 과전류가 검출되었습니다.</t>
  </si>
  <si>
    <t>[F0717] 터브이송#3-5 Z축(SD262) 과부하가 검출되었습니다.</t>
  </si>
  <si>
    <t>[F0718] 터브이송#3-5 Z축(SD262)</t>
  </si>
  <si>
    <t>[F0719] 터브이송#3-5 Z축(SD262) 에러가 발생했습니다.</t>
  </si>
  <si>
    <t>[F0720] 터브이송#3-5 C1축(SD263) 운전중에 Ready가 Off 되었습니다.</t>
  </si>
  <si>
    <t>[F0721] 터브이송#3-5 C1축(SD263) FLS가 감지되었습니다.</t>
  </si>
  <si>
    <t>[F0722] 터브이송#3-5 C1축(SD263) RLS가 감지되었습니다.</t>
  </si>
  <si>
    <t>[F0723] 터브이송#3-5 C1축(SD263) Stop 명령이 On된 상태에서 기동을 시도했습니다.</t>
  </si>
  <si>
    <t>[F0724] 터브이송#3-5 C1축(SD263) 가동 전원이 Off 되었습니다.</t>
  </si>
  <si>
    <t>[F0725] 터브이송#3-5 C1축(SD263) 엔코더 이상이 검출되었습니다.</t>
  </si>
  <si>
    <t>[F0726] 터브이송#3-5 C1축(SD263) 과전류가 검출되었습니다.</t>
  </si>
  <si>
    <t>[F0727] 터브이송#3-5 C1축(SD263) 과부하가 검출되었습니다.</t>
  </si>
  <si>
    <t>[F0728] 터브이송#3-5 C1축(SD263)</t>
  </si>
  <si>
    <t>[F0729] 터브이송#3-5 C1축(SD263) 에러가 발생했습니다.</t>
  </si>
  <si>
    <t>[F0730] 터브이송#3-5 C2축(SD264) 운전중에 Ready가 Off 되었습니다.</t>
  </si>
  <si>
    <t>[F0731] 터브이송#3-5 C2축(SD264) FLS가 감지되었습니다.</t>
  </si>
  <si>
    <t>[F0732] 터브이송#3-5 C2축(SD264) RLS가 감지되었습니다.</t>
  </si>
  <si>
    <t>[F0733] 터브이송#3-5 C2축(SD264) Stop 명령이 On된 상태에서 기동을 시도했습니다.</t>
  </si>
  <si>
    <t>[F0734] 터브이송#3-5 C2축(SD264) 가동 전원이 Off 되었습니다.</t>
  </si>
  <si>
    <t>[F0735] 터브이송#3-5 C2축(SD264) 엔코더 이상이 검출되었습니다.</t>
  </si>
  <si>
    <t>[F0736] 터브이송#3-5 C2축(SD264) 과전류가 검출되었습니다.</t>
  </si>
  <si>
    <t>[F0737] 터브이송#3-5 C2축(SD264) 과부하가 검출되었습니다.</t>
  </si>
  <si>
    <t>[F0738] 터브이송#3-5 C2축(SD264)</t>
  </si>
  <si>
    <t>[F0739] 터브이송#3-5 C2축(SD264) 에러가 발생했습니다.</t>
  </si>
  <si>
    <t>[F0740] 언로더 로봇 C1축(SD265) 운전중에 Ready가 Off 되었습니다.</t>
  </si>
  <si>
    <t>[F0741] 언로더 로봇 C1축(SD265) FLS가 감지되었습니다.</t>
  </si>
  <si>
    <t>[F0742] 언로더 로봇 C1축(SD265) RLS가 감지되었습니다.</t>
  </si>
  <si>
    <t>[F0743] 언로더 로봇 C1축(SD265) Stop 명령이 On된 상태에서 기동을 시도했습니다.</t>
  </si>
  <si>
    <t>[F0744] 언로더 로봇 C1축(SD265) 가동 전원이 Off 되었습니다.</t>
  </si>
  <si>
    <t>[F0745] 언로더 로봇 C1축(SD265) 엔코더 이상이 검출되었습니다.</t>
  </si>
  <si>
    <t>[F0746] 언로더 로봇 C1축(SD265) 과전류가 검출되었습니다.</t>
  </si>
  <si>
    <t>[F0747] 언로더 로봇 C1축(SD265) 과부하가 검출되었습니다.</t>
  </si>
  <si>
    <t>[F0748] 언로더 로봇 C1축(SD265)</t>
  </si>
  <si>
    <t>[F0749] 언로더 로봇 C1축(SD265) 에러가 발생했습니다.</t>
  </si>
  <si>
    <t>[F0750] 언로더 로봇 C2축(SD266) 운전중에 Ready가 Off 되었습니다.</t>
  </si>
  <si>
    <t>[F0751] 언로더 로봇 C2축(SD266) FLS가 감지되었습니다.</t>
  </si>
  <si>
    <t>[F0752] 언로더 로봇 C2축(SD266) RLS가 감지되었습니다.</t>
  </si>
  <si>
    <t>[F0753] 언로더 로봇 C2축(SD266) Stop 명령이 On된 상태에서 기동을 시도했습니다.</t>
  </si>
  <si>
    <t>[F0754] 언로더 로봇 C2축(SD266) 가동 전원이 Off 되었습니다.</t>
  </si>
  <si>
    <t>[F0755] 언로더 로봇 C2축(SD266) 엔코더 이상이 검출되었습니다.</t>
  </si>
  <si>
    <t>[F0756] 언로더 로봇 C2축(SD266) 과전류가 검출되었습니다.</t>
  </si>
  <si>
    <t>[F0757] 언로더 로봇 C2축(SD266) 과부하가 검출되었습니다.</t>
  </si>
  <si>
    <t>[F0758] 언로더 로봇 C2축(SD266)</t>
  </si>
  <si>
    <t>[F0759] 언로더 로봇 C2축(SD266) 에러가 발생했습니다.</t>
  </si>
  <si>
    <t>[F0800] 터브이송#3-1 터브이송#3-2 지령오류 (M8005, M8026)</t>
  </si>
  <si>
    <t>[F0801] 터브이송#3-1 터브이송#3-2 구동방향오류</t>
  </si>
  <si>
    <t>[F0802] 터브이송#3-1 터브이송#3-2 간격오류 (D24546, D24544)</t>
  </si>
  <si>
    <t>[F0820] 터브이송#3-1 터브이송#3-2 지령오류 (M8005, M8026)</t>
  </si>
  <si>
    <t>[F0821] 터브이송#3-2 터브이송#3-3 지령오류 (M8025, M8046)</t>
  </si>
  <si>
    <t>[F0822] 터브이송#3-1 터브이송#3-2 구동방향오류</t>
  </si>
  <si>
    <t>[F0823] 터브이송#3-2 터브이송#3-3 구동방향오류</t>
  </si>
  <si>
    <t>[F0824] 터브이송#3-1 터브이송#3-2 간격오류 (D24546, D24544)</t>
  </si>
  <si>
    <t>[F0825] 터브이송#3-2 터브이송#3-3 간격오류 (D24946, D24944)</t>
  </si>
  <si>
    <t>[F0840] 터브이송#3-2 터브이송#3-3 지령오류 (M8025, M8046)</t>
  </si>
  <si>
    <t>[F0841] 터브이송#3-3 터브이송#3-4 지령오류 (M8045, M8066)</t>
  </si>
  <si>
    <t>[F0842] 터브이송#3-2 터브이송#3-3 구동방향오류</t>
  </si>
  <si>
    <t>[F0843] 터브이송#3-3 터브이송#3-4 구동방향오류</t>
  </si>
  <si>
    <t>[F0844] 터브이송#3-2 터브이송#3-3 간격오류 (D24946, D24944)</t>
  </si>
  <si>
    <t>[F0845] 터브이송#3-3 터브이송#3-4 간격오류 (D25346, D25344)</t>
  </si>
  <si>
    <t>[F0860] 터브이송#3-3 터브이송#3-4 지령오류 (M8045, M8066)</t>
  </si>
  <si>
    <t>[F0861] 터브이송#3-4 터브이송#3-5 지령오류 (M8065, M8086)</t>
  </si>
  <si>
    <t>[F0862] 터브이송#3-3 터브이송#3-4 구동방향오류</t>
  </si>
  <si>
    <t>[F0863] 터브이송#3-4 터브이송#3-5 구동방향오류</t>
  </si>
  <si>
    <t>[F0864] 터브이송#3-3 터브이송#3-4 간격오류 (D25346, D25344)</t>
  </si>
  <si>
    <t>[F0865] 터브이송#3-4 터브이송#3-5 간격오류 (D25746, D25744)</t>
  </si>
  <si>
    <t>[F0880] 터브이송#3-5 클램프 상승 시간초과 (X3F4, X3F6, Y401)</t>
  </si>
  <si>
    <t>[F0881] 터브이송#3-5 클램프 하강 시간초과 (X3F5, X3F7, Y400)</t>
  </si>
  <si>
    <t>[F0882] 터브이송#3-5 클램프 상승/하강 센서이상 (X3F4, X3F5, X3F6, X3F7)</t>
  </si>
  <si>
    <t>[F0883] 터브이송#3-4 터브이송#3-5 지령오류 (M8065, M8086)</t>
  </si>
  <si>
    <t>[F0884] 터브이송#3-4 터브이송#3-5 구동방향오류</t>
  </si>
  <si>
    <t>[F0885] 터브이송#3-4 터브이송#3-5 간격오류 (D25746, D25744)</t>
  </si>
  <si>
    <t>[F0900] 용접#1 터브측면 RH 클램프 전진 시간초과 (X436, Y462)</t>
  </si>
  <si>
    <t>[F0901] 용접#1 터브측면 RH 클램프 후진 시간초과 (X437, Y463)</t>
  </si>
  <si>
    <t>[F0902] 용접#1 터브측면 RH 클램프 전진/후진 센서이상 (X436, X437)</t>
  </si>
  <si>
    <t>[F0903] 용접#1 터브측면 LH 클램프 전진 시간초과 (X438, Y464)</t>
  </si>
  <si>
    <t>[F0904] 용접#1 터브측면 LH 클램프 후진 시간초과 (X439, Y465)</t>
  </si>
  <si>
    <t>[F0905] 용접#1 터브측면 LH 클램프 전진/후진 센서이상 (X438, X439)</t>
  </si>
  <si>
    <t>[F0906] 용접#1 터브 FW 클램프 전진 시간초과 (X43A, Y46A)</t>
  </si>
  <si>
    <t>[F0907] 용접#1 터브 FW 클램프 후진 시간초과 (X43B, Y46B)</t>
  </si>
  <si>
    <t>[F0908] 용접#1 터브 FW 클램프 전진/후진 센서이상 (X43A, X43B)</t>
  </si>
  <si>
    <t>[F0909] 용접#1 가스켓 클램프 전진 시간초과 (X430, X432, X434, Y460)</t>
  </si>
  <si>
    <t>[F0910] 용접#1 가스켓 클램프 후진 시간초과 (X431, X433, X435, Y461)</t>
  </si>
  <si>
    <t>[F0911] 용접#1 가스켓 클램프 전진/후진 센서이상 (X430, X431, X432, X433, X434, X435)</t>
  </si>
  <si>
    <t>[F0912] 용접#1 터브곡면 RH 클램프 전진 시간초과 (X421, Y466)</t>
  </si>
  <si>
    <t>[F0913] 용접#1 터브곡면 RH 클램프 후진 시간초과 (X422, Y467)</t>
  </si>
  <si>
    <t>[F0914] 용접#1 터브곡면 RH 클램프 전진/후진 센서이상 (X421, X422)</t>
  </si>
  <si>
    <t>[F0915] 용접#1 터브곡면 LH 클램프 전진 시간초과 (X423, Y468)</t>
  </si>
  <si>
    <t>[F0916] 용접#1 터브곡면 LH 클램프 후진 시간초과 (X424, Y469)</t>
  </si>
  <si>
    <t>[F0917] 용접#1 터브곡면 LH 클램프 전진/후진 센서이상 (X423, X424)</t>
  </si>
  <si>
    <t>[F0927] 용접#1 GUN RH#1 전진 시간초과 (X440, X442, Y470)</t>
  </si>
  <si>
    <t>[F0928] 용접#1 GUN RH#1 후진 시간초과 (X441, X443, Y471)</t>
  </si>
  <si>
    <t>[F0929] 용접#1 GUN RH#1 전진/후진 센서이상  (X440, X441, X442, X443)</t>
  </si>
  <si>
    <t>[F0930] 용접#1 GUN LH#1 전진 시간초과 (X444, X446, Y472)</t>
  </si>
  <si>
    <t>[F0931] 용접#1 GUN LH#1 후진 시간초과 (X445, X447, Y473)</t>
  </si>
  <si>
    <t>[F0932] 용접#1 GUN LH#1 전진/후진 센서이상  (X444, X445, X446, X447)</t>
  </si>
  <si>
    <t>[F0933] 용접#1 GUN FW#1 전진 시간초과 (X448, X44A, Y474)</t>
  </si>
  <si>
    <t>[F0934] 용접#1 GUN FW#1 후진 시간초과 (X449, X44B, Y475)</t>
  </si>
  <si>
    <t>[F0935] 용접#1 GUN FW#1 전진/후진 센서이상  (X448, X449, X44A, X44B)</t>
  </si>
  <si>
    <t>[F0936] 용접#1 GUN RH#2 전진 시간초과 (X450, X452, Y476)</t>
  </si>
  <si>
    <t>[F0937] 용접#1 GUN RH#2 후진 시간초과 (X451, X453, Y477)</t>
  </si>
  <si>
    <t>[F0938] 용접#1 GUN RH#2 전진/후진 센서이상  (X450, X451, X452, X453)</t>
  </si>
  <si>
    <t>[F0939] 용접#1 GUN LH#2 전진 시간초과 (X454, X456, Y478)</t>
  </si>
  <si>
    <t>[F0940] 용접#1 GUN LH#2 후진 시간초과 (X455, X457, Y479)</t>
  </si>
  <si>
    <t>[F0941] 용접#1 GUN LH#2 전진/후진 센서이상  (X454, X455, X456, X457)</t>
  </si>
  <si>
    <t>[F0942] 용접#1 GUN FW#2 전진 시간초과 (X458, X45A, Y47A)</t>
  </si>
  <si>
    <t>[F0943] 용접#1 GUN FW#2 후진 시간초과 (X459, X45B, Y47B)</t>
  </si>
  <si>
    <t>[F0944] 용접#1 GUN FW#2 전진/후진 센서이상  (X458, X459, X45A, X45B)</t>
  </si>
  <si>
    <t>[F0945] 용접#1 메인공압에러 (X43C)</t>
  </si>
  <si>
    <t>[F0952] 용접#1 용접기 1국 Ready 이상 (D9015.4)</t>
  </si>
  <si>
    <t>[F0953] 용접#1 용접기 2국 Ready 이상 (D9025.4)</t>
  </si>
  <si>
    <t>[F0954] 용접#1 용접기 3국 Ready 이상 (D9035.4)</t>
  </si>
  <si>
    <t>[F0956] 용접#1 1국 통신에러 (D9015.7)</t>
  </si>
  <si>
    <t>[F0957] 용접#1 2국 통신에러 (D9025.7)</t>
  </si>
  <si>
    <t>[F0958] 용접#1 3국 통신에러 (D9035.7)</t>
  </si>
  <si>
    <t xml:space="preserve">[F0959] </t>
  </si>
  <si>
    <t xml:space="preserve">[F0960] </t>
  </si>
  <si>
    <t xml:space="preserve">[F0961] </t>
  </si>
  <si>
    <t>[F0962] 용접#1 가스켓 감지에러 (X44E, L4041)</t>
  </si>
  <si>
    <t>[F0963] 용접#1 터브 감지에러 (X420, X44E, L4005)</t>
  </si>
  <si>
    <t>[F0964] 용접#1 1-1용접 품질이상 (D9015.5)</t>
  </si>
  <si>
    <t>[F0965] 용접#1 2-1용접 품질이상 (D9025.5)</t>
  </si>
  <si>
    <t>[F0966] 용접#1 3-1용접 품질이상 (D9035.5)</t>
  </si>
  <si>
    <t>[F0967] 용접#1 1-2용접 품질이상 (D9015.5)</t>
  </si>
  <si>
    <t>[F0968] 용접#1 2-2용접 품질이상 (D9025.5)</t>
  </si>
  <si>
    <t>[F0969] 용접#1 3-2용접 품질이상 (D9035.5)</t>
  </si>
  <si>
    <t>[F1000] 용접#2 터브측면 RH 클램프 전진 시간초과 (X490, Y4D2)</t>
  </si>
  <si>
    <t>[F1001] 용접#2 터브측면 RH 클램프 후진 시간초과 (X491, Y4D3)</t>
  </si>
  <si>
    <t>[F1002] 용접#2 터브측면 RH 클램프 전진/후진 센서이상 (X490, X491)</t>
  </si>
  <si>
    <t>[F1003] 용접#2 터브측면 LH 클램프 전진 시간초과 (X492, Y4D6)</t>
  </si>
  <si>
    <t>[F1004] 용접#2 터브측면 LH 클램프 후진 시간초과 (X493, Y4D7)</t>
  </si>
  <si>
    <t>[F1005] 용접#2 터브측면 LH 클램프 전진/후진 센서이상 (X492, X493)</t>
  </si>
  <si>
    <t>[F1006] 용접#2 터브 FW 클램프 전진 시간초과 (X494, Y4DA)</t>
  </si>
  <si>
    <t>[F1007] 용접#2 터브 FW 클램프 후진 시간초과 (X495, Y4DB)</t>
  </si>
  <si>
    <t>[F1008] 용접#2 터브 FW 클램프 전진/후진 센서이상 (X494, X495)</t>
  </si>
  <si>
    <t>[F1009] 용접#2 GUN RH RAIL Y축 전진 시간초과 (X4C2, X4C6, Y4D8)</t>
  </si>
  <si>
    <t>[F1010] 용접#2 GUN RH RAIL Y축 후진 시간초과 (X4C3, X4C7, Y4D9)</t>
  </si>
  <si>
    <t>[F1011] 용접#2 GUN RH RAIL Y축 전진/후진 센서이상 (X4C2, X4C3, X4C6, X4C7)</t>
  </si>
  <si>
    <t>[F1012] 용접#2 GUN RH 상부 X축 전진 시간초과 (X48C, X48E, Y4EC)</t>
  </si>
  <si>
    <t>[F1013] 용접#2 GUN RH 상부 X축 후진 시간초과 (X48D, X48F, Y4ED)</t>
  </si>
  <si>
    <t>[F1014] 용접#2 GUN RH 상부 X축 전진/후진 센서이상  (X48C, X48D, X48E, X48F)</t>
  </si>
  <si>
    <t xml:space="preserve">[F1019] </t>
  </si>
  <si>
    <t>[F1027] 용접#2 GUN RH#1 전진 시간초과 (X4A0, X4A2, Y4E0)</t>
  </si>
  <si>
    <t>[F1028] 용접#2 GUN RH#1 후진 시간초과 (X4A1, X4A3, Y4E1)</t>
  </si>
  <si>
    <t>[F1029] 용접#2 GUN RH#1 전진/후진 센서이상  (X4A0, X4A1, X4A2, X4A3)</t>
  </si>
  <si>
    <t>[F1030] 용접#2 GUN LH#1 전진 시간초과 (X4A4, X4A6, Y4E2)</t>
  </si>
  <si>
    <t>[F1031] 용접#2 GUN LH#1 후진 시간초과 (X4A5, X4A7, Y4E3)</t>
  </si>
  <si>
    <t>[F1032] 용접#2 GUN LH#1 전진/후진 센서이상  (X4A4, X4A5, X4A6, X4A7)</t>
  </si>
  <si>
    <t>[F1033] 용접#2 GUN FW#1 전진 시간초과 (X4A8, X4AA, Y4E4)</t>
  </si>
  <si>
    <t>[F1034] 용접#2 GUN FW#1 후진 시간초과 (X4A9, X4AB, Y4E5)</t>
  </si>
  <si>
    <t>[F1035] 용접#2 GUN FW#1 전진/후진 센서이상  (X4A8, X4A9, X4AA, X4AB)</t>
  </si>
  <si>
    <t>[F1036] 용접#2 GUN RH#2 전진 시간초과 (X4B0, X4B2, Y4E6)</t>
  </si>
  <si>
    <t>[F1037] 용접#2 GUN RH#2 후진 시간초과 (X4B1, X4B3, Y4E7)</t>
  </si>
  <si>
    <t>[F1038] 용접#2 GUN RH#2 전진/후진 센서이상  (X4B0, X4B1, X4B2, X4B3)</t>
  </si>
  <si>
    <t>[F1039] 용접#2 GUN LH#2 전진 시간초과 (X4B4, X4B6, Y4E8)</t>
  </si>
  <si>
    <t>[F1040] 용접#2 GUN LH#2 후진 시간초과 (X4B5, X4B7, Y4E9)</t>
  </si>
  <si>
    <t>[F1041] 용접#2 GUN LH#2 전진/후진 센서이상  (X4B4, X4B5, X4B6, X4B7)</t>
  </si>
  <si>
    <t>[F1042] 용접#2 GUN FW#2 전진 시간초과 (X4B8, X4BA, Y4EA)</t>
  </si>
  <si>
    <t>[F1043] 용접#2 GUN FW#2 후진 시간초과 (X4B9, X4BB, Y4EB)</t>
  </si>
  <si>
    <t>[F1044] 용접#2 GUN FW#2 전진/후진 센서이상  (X4B8, X4B9, X4BA, X4BB)</t>
  </si>
  <si>
    <t>[F1045] 용접#2 메인공압에러 (X488)</t>
  </si>
  <si>
    <t xml:space="preserve">[F1046] </t>
  </si>
  <si>
    <t xml:space="preserve">[F1047] </t>
  </si>
  <si>
    <t>[F1048] 용접#2 레일 RH 진공흡착 시간초과 (X4BE, Y4FA)</t>
  </si>
  <si>
    <t>[F1049] 용접#2 레일 RH 진공파기 시간초과 (X4BE, Y4FB, Y4FC)</t>
  </si>
  <si>
    <t>[F1050] 용접#2 레일 LH 진공흡착 시간초과 (X4BF, Y4FD)</t>
  </si>
  <si>
    <t>[F1051] 용접#2 레일 LH 진공파기 시간초과 (X4BF, Y4FE, Y4FF)</t>
  </si>
  <si>
    <t>[F1052] 용접#2 용접기 4국 Ready 에러 (D9045.4)</t>
  </si>
  <si>
    <t>[F1053] 용접#2 용접기 5국 Ready 에러 (D9055.4)</t>
  </si>
  <si>
    <t>[F1054] 용접#2 용접기 6국 Ready 에러 (D9065.4)</t>
  </si>
  <si>
    <t>[F1055] 용접#2 용접기 7국 Ready 에러 (D9075.4)</t>
  </si>
  <si>
    <t>[F1056] 용접#2 4국 통신에러 (D9045.7)</t>
  </si>
  <si>
    <t>[F1057] 용접#2 5국 통신에러 (D9055.7)</t>
  </si>
  <si>
    <t>[F1058] 용접#2 6국 통신에러 (D9065.7)</t>
  </si>
  <si>
    <t>[F1059] 용접#2 7국 통신에러 (D9075.7)</t>
  </si>
  <si>
    <t>[F1062] 용접#2 브라켓 감지에러 (X484, X485, L4042)</t>
  </si>
  <si>
    <t>[F1063] 용접#2 터브 감지에러 (X480, X481, X482, L4006)</t>
  </si>
  <si>
    <t>[F1064] 용접#2 1-1용접 품질이상 (D9045.5)</t>
  </si>
  <si>
    <t>[F1065] 용접#2 2-1용접 품질이상 (D9055.5)</t>
  </si>
  <si>
    <t>[F1066] 용접#2 3-1용접 품질이상 (D9065.5)</t>
  </si>
  <si>
    <t>[F1067] 용접#2 레일-1용접 품질이상 (D9075.5)</t>
  </si>
  <si>
    <t>[F1068] 용접#2 1-2용접 품질이상 (D9045.5)</t>
  </si>
  <si>
    <t>[F1069] 용접#2 2-2용접 품질이상 (D9055.5)</t>
  </si>
  <si>
    <t>[F1070] 용접#2 3-2용접 품질이상 (D9065.5)</t>
  </si>
  <si>
    <t>[F1071] 용접#2 레일-2용접 품질이상 (D9075.5)</t>
  </si>
  <si>
    <t>[F1100] 용접#3 터브측면 RH 클램프 전진 시간초과 (X516, Y542)</t>
  </si>
  <si>
    <t>[F1101] 용접#3 터브측면 RH 클램프 후진 시간초과 (X517, Y543)</t>
  </si>
  <si>
    <t>[F1102] 용접#3 터브측면 RH 클램프 전진/후진 센서이상 (X516, X517)</t>
  </si>
  <si>
    <t>[F1103] 용접#3 터브측면 LH 클램프 전진 시간초과 (X518, Y544)</t>
  </si>
  <si>
    <t>[F1104] 용접#3 터브측면 LH 클램프 후진 시간초과 (X519, Y545)</t>
  </si>
  <si>
    <t>[F1105] 용접#3 터브측면 LH 클램프 전진/후진 센서이상 (X518, X519)</t>
  </si>
  <si>
    <t>[F1106] 용접#3 터브 FW 클램프 전진 시간초과 (X51A, Y54A)</t>
  </si>
  <si>
    <t>[F1107] 용접#3 터브 FW 클램프 후진 시간초과 (X51B, Y54B)</t>
  </si>
  <si>
    <t>[F1108] 용접#3 터브 FW 클램프 전진/후진 센서이상 (X51A, X51B)</t>
  </si>
  <si>
    <t>[F1109] 용접#3 렉레일 용접 하강 시간초과 (X52A, X52C, Y540)</t>
  </si>
  <si>
    <t>[F1110] 용접#3 렉레일 용접 상승 시간초과 (X52B, X52D, Y541)</t>
  </si>
  <si>
    <t>[F1111] 용접#3 렉레일 용접 상승/하강 센서이상 (X52A, X52B, X52C, X52D)</t>
  </si>
  <si>
    <t>[F1112] 용접#3 RAIL RH 전진 시간초과 (X509, X50A, Y55A)</t>
  </si>
  <si>
    <t>[F1113] 용접#3 RAIL RH 후진 시간초과 (X508, X50B, Y55B)</t>
  </si>
  <si>
    <t>[F1114] 용접#3 RAIL RH 전진/후진 센서이상  (X508, X509, X50A, X50B)</t>
  </si>
  <si>
    <t>[F1115] 용접#3 RAIL LH 전진 시간초과 (X50C, X50E, Y55C)</t>
  </si>
  <si>
    <t>[F1116] 용접#3 RAIL LH 후진 시간초과 (X50D, X50F, Y55D)</t>
  </si>
  <si>
    <t>[F1117] 용접#3 RAIL LH 전진/후진 센서이상  (X50C, X50D, X50E, X50F)</t>
  </si>
  <si>
    <t>[F1118] 용접#3 RAIL RH 클램프 하강 시간초과 (X51C, Y546)</t>
  </si>
  <si>
    <t>[F1119] 용접#3 RAIL RH 클램프 상승 시간초과 (X51D, Y547)</t>
  </si>
  <si>
    <t>[F1120] 용접#3 RAIL RH 클램프 상승/하강 센서이상 (X51C, X51D)</t>
  </si>
  <si>
    <t>[F1121] 용접#3 RAIL LH 클램프 하강 시간초과 (X51E, Y548)</t>
  </si>
  <si>
    <t>[F1122] 용접#3 RAIL LH 클램프 상승 시간초과 (X51F, Y549)</t>
  </si>
  <si>
    <t>[F1123] 용접#3 RAIL LH 클램프 상승/하강 센서이상 (X51E, X51F)</t>
  </si>
  <si>
    <t xml:space="preserve">[F1125] </t>
  </si>
  <si>
    <t xml:space="preserve">[F1126] </t>
  </si>
  <si>
    <t>[F1127] 용접#3 GUN RH#1 전진 시간초과 (X520, X522, Y550)</t>
  </si>
  <si>
    <t>[F1128] 용접#3 GUN RH#1 후진 시간초과 (X521, X523, Y551)</t>
  </si>
  <si>
    <t>[F1129] 용접#3 GUN RH#1 전진/후진 센서이상  (X520, X521, X522, X523)</t>
  </si>
  <si>
    <t>[F1130] 용접#3 GUN LH#1 전진 시간초과 (X524, X526, Y552)</t>
  </si>
  <si>
    <t>[F1131] 용접#3 GUN LH#1 후진 시간초과 (X525, X527, Y553)</t>
  </si>
  <si>
    <t>[F1132] 용접#3 GUN LH#1 전진/후진 센서이상  (X524, X525, X526, X527)</t>
  </si>
  <si>
    <t>[F1133] 용접#3 GUN FW#1 전진 시간초과 (X528, X507, Y554)</t>
  </si>
  <si>
    <t>[F1134] 용접#3 GUN FW#1 후진 시간초과 (X529, X506, Y555)</t>
  </si>
  <si>
    <t>[F1135] 용접#3 GUN FW#1 전진/후진 센서이상  (X528, X529, X506, X507)</t>
  </si>
  <si>
    <t>[F1136] 용접#3 GUN RH#2 전진 시간초과 (X530, X532, Y556)</t>
  </si>
  <si>
    <t>[F1137] 용접#3 GUN RH#2 후진 시간초과 (X531, X533, Y557)</t>
  </si>
  <si>
    <t>[F1138] 용접#3 GUN RH#2 전진/후진 센서이상  (X530, X531, X532, X533)</t>
  </si>
  <si>
    <t>[F1139] 용접#3 GUN LH#2 전진 시간초과 (X534, X536, Y558)</t>
  </si>
  <si>
    <t>[F1140] 용접#3 GUN LH#2 후진 시간초과 (X535, X537, Y559)</t>
  </si>
  <si>
    <t>[F1141] 용접#3 GUN LH#2 전진/후진 센서이상  (X534, X535, X536, X537)</t>
  </si>
  <si>
    <t>[F1142] 용접#3 메인공압에러 (X53D)</t>
  </si>
  <si>
    <t>[F1148] 용접#3 레일 RH 진공흡착 시간초과 (X510, Y5E1)</t>
  </si>
  <si>
    <t>[F1149] 용접#3 레일 RH 진공파기 시간초과 (X510, Y5E0)</t>
  </si>
  <si>
    <t>[F1150] 용접#3 레일 LH 진공흡착 시간초과 (X511, Y5E4)</t>
  </si>
  <si>
    <t>[F1151] 용접#3 레일 LH 진공파기 시간초과 (X511, Y5E3)</t>
  </si>
  <si>
    <t>[F1152] 용접#3 용접기 8국 Ready 에러 (D9085.4)</t>
  </si>
  <si>
    <t>[F1153] 용접#3 용접기 9국 Ready 에러 (D9095.4)</t>
  </si>
  <si>
    <t>[F1154] 용접#3 용접기 10국 Ready 에러 (D9105.4)</t>
  </si>
  <si>
    <t>[F1155] 용접#3 용접기 11국 Ready 에러 (D9115.4)</t>
  </si>
  <si>
    <t>[F1156] 용접#3 8국 통신에러 (D9085.7)</t>
  </si>
  <si>
    <t>[F1157] 용접#3 9국 통신에러 (D9095.7)</t>
  </si>
  <si>
    <t>[F1158] 용접#3 10국 통신에러 (D9105.7)</t>
  </si>
  <si>
    <t>[F1159] 용접#3 11국 통신에러 (D9115.7)</t>
  </si>
  <si>
    <t>[F1161] 용접#3 레일우측 감지에러 (X510, L4043)</t>
  </si>
  <si>
    <t>[F1162] 용접#3 레일좌측 감지에러 (X511, L4044)</t>
  </si>
  <si>
    <t>[F1163] 용접#3 터브 감지에러 (X501, X502, X503, L4007)</t>
  </si>
  <si>
    <t>[F1164] 용접#3 1-1용접 품질이상 (D9085.5)</t>
  </si>
  <si>
    <t>[F1165] 용접#3 2-1용접 품질이상 (D9095.5)</t>
  </si>
  <si>
    <t>[F1166] 용접#3 3-1용접 품질이상 (D9105.5)</t>
  </si>
  <si>
    <t>[F1167] 용접#3 레일-1용접 품질이상 (D9115.5)</t>
  </si>
  <si>
    <t>[F1168] 용접#3 1-2용접 품질이상 (D9085.5)</t>
  </si>
  <si>
    <t>[F1169] 용접#3 2-2용접 품질이상 (D9095.5)</t>
  </si>
  <si>
    <t>[F1170] 용접#3 레일-2용접 품질이상 (D9115.5)</t>
  </si>
  <si>
    <t>[F1171] 용접#3 레일-3용접 품질이상 (D9115.5)</t>
  </si>
  <si>
    <t>[F1172] 용접#3 레일-4용접 품질이상 (D9115.5)</t>
  </si>
  <si>
    <t>[F1200] 용접#4 터브측면 RH 클램프 전진 시간초과 (X570, Y5A2)</t>
  </si>
  <si>
    <t>[F1201] 용접#4 터브측면 RH 클램프 후진 시간초과 (X571, Y5A3)</t>
  </si>
  <si>
    <t>[F1202] 용접#4 터브측면 RH 클램프 전진/후진 센서이상 (X570, X571)</t>
  </si>
  <si>
    <t>[F1203] 용접#4 터브측면 LH 클램프 전진 시간초과 (X572, Y5A4)</t>
  </si>
  <si>
    <t>[F1204] 용접#4 터브측면 LH 클램프 후진 시간초과 (X573, Y5A5)</t>
  </si>
  <si>
    <t>[F1205] 용접#4 터브측면 LH 클램프 전진/후진 센서이상 (X572, X573)</t>
  </si>
  <si>
    <t>[F1206] 용접#4 터브 FW 클램프 전진 시간초과 (X574, Y5AA)</t>
  </si>
  <si>
    <t>[F1207] 용접#4 터브 FW 클램프 후진 시간초과 (X575, Y5AB)</t>
  </si>
  <si>
    <t>[F1208] 용접#4 터브 FW 클램프 전진/후진 센서이상 (X574, X575)</t>
  </si>
  <si>
    <t>[F1209] 용접#4 렉레일 하강 시간초과 (X584, X586, Y5A0)</t>
  </si>
  <si>
    <t>[F1210] 용접#4 렉레일 상승 시간초과 (X585, X587, Y5A1)</t>
  </si>
  <si>
    <t>[F1211] 용접#4 렉레일 상승/하강 센서이상 (X584, X585, X586, X587)</t>
  </si>
  <si>
    <t>[F1212] 용접#4 렉레일 Y축 전진 시간초과 (X598, Y5B0)</t>
  </si>
  <si>
    <t>[F1213] 용접#4 렉레일 Y축 후진 시간초과 (X599, Y5B1)</t>
  </si>
  <si>
    <t>[F1214] 용접#4 렉레일 Y축 전진/후진 센서이상 (X598, X599)</t>
  </si>
  <si>
    <t>[F1215] 용접#4 GUN RH 하강 시간초과 (X590, Y5A6)</t>
  </si>
  <si>
    <t>[F1216] 용접#4 GUN RH 상승 시간초과 (X591, Y5A7)</t>
  </si>
  <si>
    <t>[F1217] 용접#4 GUN RH 상승/하강 센서이상 (X590, X591)</t>
  </si>
  <si>
    <t>[F1218] 용접#4 GUN RH Y축 전진 시간초과 (X593, Y5A8)</t>
  </si>
  <si>
    <t>[F1219] 용접#4 GUN RH Y축 후진 시간초과 (X592, Y5A9)</t>
  </si>
  <si>
    <t>[F1220] 용접#4 GUN RH Y축 전진/후진 센서이상 (X592, X593)</t>
  </si>
  <si>
    <t>[F1221] 용접#4 GUN LH 하강 시간초과 (X594, Y5AC)</t>
  </si>
  <si>
    <t>[F1222] 용접#4 GUN LH 상승 시간초과 (X595, Y5AD)</t>
  </si>
  <si>
    <t>[F1223] 용접#4 GUN LH 상승/하강 센서이상 (X594, X595)</t>
  </si>
  <si>
    <t>[F1224] 용접#4 GUN LH Y축 전진 시간초과 (X597, Y5AE)</t>
  </si>
  <si>
    <t>[F1225] 용접#4 GUN LH Y축 후진 시간초과 (X596, Y5AF)</t>
  </si>
  <si>
    <t>[F1226] 용접#4 GUN LH Y축 전진/후진 센서이상 (X596, X597)</t>
  </si>
  <si>
    <t xml:space="preserve">[F1227] </t>
  </si>
  <si>
    <t xml:space="preserve">[F1228] </t>
  </si>
  <si>
    <t xml:space="preserve">[F1230] </t>
  </si>
  <si>
    <t>[F1236] 용접#4 GUN RH 전진 시간초과 (X588, X58A, Y5BA)</t>
  </si>
  <si>
    <t>[F1237] 용접#4 GUN RH 후진 시간초과 (X589, X58B, Y5BB)</t>
  </si>
  <si>
    <t>[F1238] 용접#4 GUN RH 전진/후진 센서이상  (X588, X589, X58A, X58B)</t>
  </si>
  <si>
    <t>[F1239] 용접#4 GUN LH 전진 시간초과 (X58C, X58E, Y5BC)</t>
  </si>
  <si>
    <t>[F1240] 용접#4 GUN LH 후진 시간초과 (X58D, X58F, Y5BD)</t>
  </si>
  <si>
    <t>[F1241] 용접#4 GUN LH 전진/후진 센서이상  (X58C, X58D, X58E, X58F)</t>
  </si>
  <si>
    <t>[F1242] 용접#4 메인공압에러 (X56A)</t>
  </si>
  <si>
    <t>[F1248] 용접#4 레일 RH 진공흡착 시간초과 (X576, Y5D1)</t>
  </si>
  <si>
    <t>[F1249] 용접#4 레일 RH 진공파기 시간초과 (X576, Y5D0)</t>
  </si>
  <si>
    <t>[F1250] 용접#4 레일 LH 진공흡착 시간초과 (X578, Y5D4)</t>
  </si>
  <si>
    <t>[F1251] 용접#4 레일 LH 진공파기 시간초과 (X578, Y5D3)</t>
  </si>
  <si>
    <t>[F1252] 용접#4 용접기 12국 Ready 에러 (D9125.4)</t>
  </si>
  <si>
    <t>[F1256] 용접#4 12국 통신에러 (D9125.7)</t>
  </si>
  <si>
    <t xml:space="preserve">[F1260] </t>
  </si>
  <si>
    <t>[F1261] 용접#4 레일우측 감지에러 (X576, L4045)</t>
  </si>
  <si>
    <t>[F1262] 용접#4 레일좌측 감지에러 (X578, L4046)</t>
  </si>
  <si>
    <t>[F1263] 용접#4 터브 감지에러 (X561, X562, X563, L4008)</t>
  </si>
  <si>
    <t>[F1264] 용접#4 레일-1용접 품질이상 (D9125.5)</t>
  </si>
  <si>
    <t>[F1265] 용접#4 레일-2용접 품질이상 (D9125.5)</t>
  </si>
  <si>
    <t>[F1266] 용접#4 레일-3용접 품질이상 (D9125.5)</t>
  </si>
  <si>
    <t>[F1267] 용접#4 레일-4용접 품질이상 (D9125.5)</t>
  </si>
  <si>
    <t>[F1320] 5차 클린칭 도어곡면 클램프 우측 전진 시간초과 (X6D8, Y6F0)</t>
  </si>
  <si>
    <t>[F1321] 5차 클린칭 도어곡면 클램프 우측 후진 시간초과 (X6D9, Y6F1)</t>
  </si>
  <si>
    <t>[F1322] 5차 클린칭 도어곡면 클램프 우측 전진/후진 센서이상 (X6D8, X6D9)</t>
  </si>
  <si>
    <t>[F1323] 5차 클린칭 도어곡면 클램프 좌측 전진 시간초과 (X6DA, Y6F2)</t>
  </si>
  <si>
    <t>[F1324] 5차 클린칭 도어곡면 클램프 좌측 후진 시간초과 (X6DB, Y6F3)</t>
  </si>
  <si>
    <t>[F1325] 5차 클린칭 도어곡면 클램프 좌측 전진/후진 센서이상 (X6DA, X6DB)</t>
  </si>
  <si>
    <t>[F1326] 5차 클린칭 GUN Y축 우측 전진 시간초과 (X6DC, Y6F4)</t>
  </si>
  <si>
    <t>[F1327] 5차 클린칭 GUN Y축 우측 후진 시간초과 (X6DD, Y6F5)</t>
  </si>
  <si>
    <t>[F1328] 5차 클린칭 GUN Y축 우측 전진/후진 센서이상 (X6DC, X6DD)</t>
  </si>
  <si>
    <t>[F1329] 5차 클린칭 GUN Y축 좌측 전진 시간초과 (X6DE, Y6F6)</t>
  </si>
  <si>
    <t>[F1330] 5차 클린칭 GUN Y축 좌측 후진 시간초과 (X6DF, Y6F7)</t>
  </si>
  <si>
    <t>[F1331] 5차 클린칭 GUN Y축 좌측 전진/후진 센서이상 (X6DE, X6DF)</t>
  </si>
  <si>
    <t>[F1332] 5차 클린칭 전면 클램프 전진 시간초과 (X781, Y6F9)</t>
  </si>
  <si>
    <t>[F1333] 5차 클린칭 전면 클램프 후진 시간초과 (X782, Y6F8)</t>
  </si>
  <si>
    <t>[F1334] 5차 클린칭 전면 클램프 전진/후진 센서이상 (X781, X782)</t>
  </si>
  <si>
    <t>[F1335] 5차 클린칭 측면 클램프 전진 시간초과 (X68F, X69B, Y6FB)</t>
  </si>
  <si>
    <t>[F1336] 5차 클린칭 측면 클램프 후진 시간초과 (X68E, X69A, Y6FA)</t>
  </si>
  <si>
    <t>[F1337] 5차 클린칭 터브 내측 클램프 전진 시간초과 (X78E,X78F)</t>
  </si>
  <si>
    <t>[F1338] 5차 클린칭 터브 내측 클램프 후진 시간초과 (X78E,X78F)</t>
  </si>
  <si>
    <t>[F1339] 5차 클린칭 터브 감지에러 (X690, L4010)</t>
  </si>
  <si>
    <t>[F1353] 언로더 로봇 제품 감지에러 (X73A, L4011)</t>
  </si>
  <si>
    <t>[F1355] 로봇#1 Remote Mode 에러 (XB05)</t>
  </si>
  <si>
    <t>[F1356] 로봇#1 U12 서보 OFF 알람 (XB01)</t>
  </si>
  <si>
    <t>[F1357] 로봇#1 U12 PX Ready 에러 (XB0A)</t>
  </si>
  <si>
    <t>[F1358] 언로더 로봇 CONTROLLER 비상정지 에러 (XB0E)</t>
  </si>
  <si>
    <t>[F1359] 언로더 로봇 PENDANT 비상정지 에러 (XB0D)</t>
  </si>
  <si>
    <t>[F1400] 브라켓 로더 상단 클램프 시간 초과 (X538, Y5EC)</t>
  </si>
  <si>
    <t>[F1401] 브라켓 로더 상단 언클램프 시간 초과 (X538, Y5ED)</t>
  </si>
  <si>
    <t>[F1402] 브라켓 자재공급 메인공압에러 (X74F)</t>
  </si>
  <si>
    <t>[F1403] 브라켓 로더 측면 클램프 시간 초과 (X53C, Y5EE)</t>
  </si>
  <si>
    <t>[F1404] 브라켓 로더 측면 언클램프 시간 초과 (X53C, Y5EF)</t>
  </si>
  <si>
    <t>[F1406] 브라켓 로더 우측 PICK-UP 상승 시간초과 (X844, Y869)</t>
  </si>
  <si>
    <t>[F1407] 브라켓 로더 우측 PICK-UP 하강 시간초과 (X845, Y868)</t>
  </si>
  <si>
    <t>[F1408] 브라켓 로더 우측 PICK-UP 상승/하강 센서이상 (X844, X485)</t>
  </si>
  <si>
    <t>[F1409] 브라켓 로더 우측 PUSHER 전진 시간초과 (X846, Y867)</t>
  </si>
  <si>
    <t>[F1410] 브라켓 로더 우측 PUSHER 후진 시간초과 (X847, Y866)</t>
  </si>
  <si>
    <t>[F1411] 브라켓 로더 우측 PUSHER 전진/후진 센서이상 (X846, X847)</t>
  </si>
  <si>
    <t>[F1412] 브라켓 로더 좌측 PICK-UP 상승 시간초과 (X854, Y877)</t>
  </si>
  <si>
    <t>[F1413] 브라켓 로더 좌측 PICK-UP 하강 시간초과 (X855, Y876)</t>
  </si>
  <si>
    <t>[F1414] 브라켓 로더 좌측 PICK-UP 상승/하강 센서이상 (X854, X855)</t>
  </si>
  <si>
    <t>[F1415] 브라켓 로더 좌측 PUSHER 전진 시간초과 (X856, Y879)</t>
  </si>
  <si>
    <t>[F1416] 브라켓 로더 좌측 PUSHER 후진 시간초과 (X857, Y878)</t>
  </si>
  <si>
    <t>[F1417] 브라켓 로더 좌측 PUSHER 전진/후진 센서이상 (X856, X857)</t>
  </si>
  <si>
    <t>[F1418] 브라켓 로더 로봇 CONTROLLER 비상정지 에러 (XB8E)</t>
  </si>
  <si>
    <t>[F1419] 브라켓 로더 로봇 PENDANT 비상정지 에러 (XB8D)</t>
  </si>
  <si>
    <t>[F1460] 레일 로더#1 센터링 상/하 전진 시간초과 (X644, X654, Y5F1)</t>
  </si>
  <si>
    <t>[F1461] 레일 로더#1 센터링 상/하 후진 시간초과 (X644, X654, Y5F0)</t>
  </si>
  <si>
    <t>[F1463] 레일 로더#1 센터링 좌/우 전진 시간초과 (X645, X655, Y5F3)</t>
  </si>
  <si>
    <t>[F1464] 레일 로더#1 센터링 좌/우 후진 시간초과 (X645, X655, Y5F2)</t>
  </si>
  <si>
    <t>[F1500] 레일 로더#1 우측 로봇 제품 진공흡착 시간초과 (X512, Y6B0)</t>
  </si>
  <si>
    <t>[F1501] 레일 로더#1 우측 로봇 제품 진공파기 시간초과 (X512, Y6B1, Y6B2)</t>
  </si>
  <si>
    <t>[F1515] 레일 로더#1 우측 로봇 리모트 상태이상 (XC05)</t>
  </si>
  <si>
    <t>[F1516] 레일 로더#1 우측 로봇 서보 On 中 상태이상 (XC01)</t>
  </si>
  <si>
    <t>[F1517] 레일 로더#1 우측 로봇 초기화 필요 (XC0A)</t>
  </si>
  <si>
    <t>[F1518] 레일 로더#1 우측 로봇 CONTROLLER 비상정지 에러 (XC0E)</t>
  </si>
  <si>
    <t>[F1519] 레일 로더#1 우측 로봇 PENDANT 비상정지 에러 (XC0D)</t>
  </si>
  <si>
    <t>[F1520] 레일 로더#1 좌측 로봇 제품 진공흡착 시간초과 (X514, Y6B3)</t>
  </si>
  <si>
    <t>[F1521] 레일 로더#1 좌측 로봇 제품 진공파기 시간초과 (X514, Y6B4, Y6B5)</t>
  </si>
  <si>
    <t>[F1535] 레일 로더#1 좌측 로봇 리모트 상태이상 (XC85)</t>
  </si>
  <si>
    <t>[F1536] 레일 로더#1 좌측 로봇 서보 On 中 상태이상 (XC81)</t>
  </si>
  <si>
    <t>[F1537] 레일 로더#1 좌측 로봇 초기화 필요 (XC8A)</t>
  </si>
  <si>
    <t>[F1538] 레일 로더#1 좌측 로봇 CONTROLLER 비상정지 에러 (XC8E)</t>
  </si>
  <si>
    <t>[F1539] 레일 로더#1 좌측 로봇 PENDANT 비상정지 에러 (XC8D)</t>
  </si>
  <si>
    <t>[F1580] 레일 로더#2 센터링 상/하 전진 시간초과 (X664, X674, Y5DD)</t>
  </si>
  <si>
    <t>[F1581] 레일 로더#2 센터링 상/하 후진 시간초과 (X664, X674, Y5DC)</t>
  </si>
  <si>
    <t>[F1583] 레일 로더#2 센터링 좌/우 전진 시간초과 (X665, X675, Y5DF)</t>
  </si>
  <si>
    <t>[F1584] 레일 로더#2 센터링 좌/우 후진 시간초과 (X665, X675, Y5DE)</t>
  </si>
  <si>
    <t>[F1620] 레일 로더#2 우측 로봇 제품 진공흡착 시간초과 (X57A, Y5D6)</t>
  </si>
  <si>
    <t>[F1621] 레일 로더#2 우측 로봇 제품 진공파기 시간초과 (X57A, Y5D7, Y5D8)</t>
  </si>
  <si>
    <t>[F1635] 레일 로더#2 우측 로봇 리모트 상태이상 (XD05)</t>
  </si>
  <si>
    <t>[F1636] 레일 로더#2 우측 로봇 서보 On 中 상태이상 (XD01)</t>
  </si>
  <si>
    <t>[F1637] 레일 로더#2 우측 로봇 초기화 필요 (XD0A)</t>
  </si>
  <si>
    <t>[F1638] 레일 로더#2 우측 로봇 CONTROLLER 비상정지 에러 (XD0E)</t>
  </si>
  <si>
    <t>[F1639] 레일 로더#2 우측 로봇 PENDANT 비상정지 에러 (XD0D)</t>
  </si>
  <si>
    <t>[F1640] 레일 로더#2 좌측 로봇 제품 진공흡착 시간초과 (X57C, Y5D9)</t>
  </si>
  <si>
    <t>[F1641] 레일 로더#2 좌측 로봇 제품 진공파기 시간초과 (X57C, Y5DA, Y5DB)</t>
  </si>
  <si>
    <t>[F1655] 레일 로더#2 좌측 로봇 리모트 상태이상 (XD85)</t>
  </si>
  <si>
    <t>[F1656] 레일 로더#2 좌측 로봇 서보 On 中 상태이상 (XD81)</t>
  </si>
  <si>
    <t>[F1657] 레일 로더#2 좌측 로봇 초기화 필요 (XD8A)</t>
  </si>
  <si>
    <t>[F1658] 레일 로더#2 좌측 로봇 CONTROLLER 비상정지 에러 (XD8E)</t>
  </si>
  <si>
    <t>[F1659] 레일 로더#2 좌측 로봇 PENDANT 비상정지 에러 (XD8D)</t>
  </si>
  <si>
    <t>[F1660] 도어 공급셔틀-상 정렬 전진 시간초과 (X6C3, X6C4, Y6E0)</t>
  </si>
  <si>
    <t>[F1661] 도어 공급셔틀-상 정렬 후진 시간초과 (X6C3, X6C4, Y6E1)</t>
  </si>
  <si>
    <t>[F1662] 도어공급 메인공압에러 (X6D3)</t>
  </si>
  <si>
    <t>[F1680] 도어 공급셔틀-하 정렬 전진 시간초과 (X6CB, X6CC, Y6E4)</t>
  </si>
  <si>
    <t>[F1681] 도어 공급셔틀-하 정렬 후진 시간초과 (X6CB, X6CC, Y6E5)</t>
  </si>
  <si>
    <t>[F1720] 도어 프레임 사이드 클린칭 측면지그 좌/우 클램프 전진 시간초과 (X704, X705, X706, X707, Y760)</t>
  </si>
  <si>
    <t>[F1721] 도어 프레임 사이드 클린칭 측면지그 좌/우 클램프 후진 시간초과 (X704, X705, X706, X707, Y761)</t>
  </si>
  <si>
    <t>[F1723] 도어 프레임 사이드 클린칭 측면지그 전면 클램프 전진 시간초과 (X70A, X70B, Y762)</t>
  </si>
  <si>
    <t>[F1724] 도어 프레임 사이드 클린칭 측면지그 전면 클램프 후진 시간초과 (X70A, X70B, Y763)</t>
  </si>
  <si>
    <t>[F1760] 도어 프레임 상부 클린칭 측면지그 좌/우 클램프 전진 시간초과 (X714, X715, X716, X717, Y768)</t>
  </si>
  <si>
    <t>[F1761] 도어 프레임 상부 클린칭 측면지그 좌/우 클램프 후진 시간초과 (X714, X715, X716, X717, Y769)</t>
  </si>
  <si>
    <t>[F1800] 도어 프레임 반전기 우측 클램프 전진 시간초과 (X750, X752, Y770)</t>
  </si>
  <si>
    <t>[F1801] 도어 프레임 반전기 우측 클램프 후진 시간초과 (X751, X753, Y778)</t>
  </si>
  <si>
    <t>[F1802] 도어 프레임 반전기 우측 클램프 전진/후진 센서이상 (X750, X751, X752, X753)</t>
  </si>
  <si>
    <t>[F1803] 도어 프레임 반전기 우측 클램프 시간초과 (X754, X756, Y772)</t>
  </si>
  <si>
    <t>[F1804] 도어 프레임 반전기 우측 언클램프 시간초과 (X755, X757, Y773)</t>
  </si>
  <si>
    <t>[F1805] 도어 프레임 반전기 우측 클램프/언클램프 센서이상 (X754, X755, X756, X757)</t>
  </si>
  <si>
    <t>[F1806] 도어 프레임 반전기 좌측 클램프 전진 시간초과 (X758, X75A, Y774)</t>
  </si>
  <si>
    <t>[F1807] 도어 프레임 반전기 좌측 클램프 후진 시간초과 (X759, X75B, Y775)</t>
  </si>
  <si>
    <t>[F1808] 도어 프레임 반전기 좌측 클램프 전진/후진 센서이상 (X758, X759, X75A, X75B)</t>
  </si>
  <si>
    <t>[F1809] 도어 프레임 반전기 좌측 클램프 시간초과 (X75C, X75E, Y776)</t>
  </si>
  <si>
    <t>[F1810] 도어 프레임 반전기 좌측 언클램프 시간초과 (X75D, X75F, Y777)</t>
  </si>
  <si>
    <t>[F1811] 도어 프레임 반전기 좌측 클램프/언클램프 센서이상 (X75C, X75D, X75E, X75F)</t>
  </si>
  <si>
    <t>[F1820] 도어 프레임 공급 로봇#2 측면 클램프 전진 시간초과 (X784, X788, Y791)</t>
  </si>
  <si>
    <t>[F1821] 도어 프레임 공급 로봇#2 측면 클램프 후진 시간초과 (X785, X789, Y790)</t>
  </si>
  <si>
    <t>[F1822] 도어 프레임 공급 로봇#2 측면 클램프 전진/후진 센서이상 (X784, X785, X788, X789)</t>
  </si>
  <si>
    <t>[F1823] 도어 프레임 공급 로봇#2 측면 클램프 시간초과 (X786, X78A, Y792)</t>
  </si>
  <si>
    <t>[F1824] 도어 프레임 공급 로봇#2 측면 언클램프 시간초과 (X786, X78A, Y793)</t>
  </si>
  <si>
    <t>[F1826] 도어 프레임 공급 로봇#2 전면 클램프 시간초과 (X78C, X78D, Y794)</t>
  </si>
  <si>
    <t>[F1827] 도어 프레임 공급 로봇#2 전면 언클램프 시간초과 (X78C, X78D, Y795)</t>
  </si>
  <si>
    <t>[F1835] 도어 프레임 공급 로봇#2 우측 로봇 리모트 상태이상 (XE85)</t>
  </si>
  <si>
    <t>[F1836] 도어 프레임 공급 로봇#2 우측 로봇 서보 On 中 상태이상 (XE81)</t>
  </si>
  <si>
    <t>[F1837] 도어 프레임 공급 로봇#2 우측 로봇 초기화 필요 (XE8A)</t>
  </si>
  <si>
    <t>[F1838] 도어 프레임 공급 로봇#2 CONTROLLER 비상정지 에러 (XE8E)</t>
  </si>
  <si>
    <t>[F1839] 도어 프레임 공급 로봇#2 PENDANT 비상정지 에러 (XE8D)</t>
  </si>
  <si>
    <t>[F1860] 브라켓 로더 로봇 리모트 상태이상 (XB85)</t>
  </si>
  <si>
    <t>[F1861] 브라켓 로더 로봇 서보 On 中 상태이상 (XB81)</t>
  </si>
  <si>
    <t>[F1862] 브라켓 로더 로봇 초기화 필요 (XB8A)</t>
  </si>
  <si>
    <t>[F1907] 서브 판넬Fan#1 Alarm</t>
  </si>
  <si>
    <t>[F1908] 서브 판넬Fan#2 Alarm</t>
  </si>
  <si>
    <t>[F1909] 서브 판넬Fan#3 Alarm</t>
  </si>
  <si>
    <t>[F1910] 서브 판넬Fan#4 Alarm</t>
  </si>
  <si>
    <t>[F1911] 서브 판넬Fan#5 Alarm</t>
  </si>
  <si>
    <t>[F1912] 서브 판넬Fan#6 Alarm</t>
  </si>
  <si>
    <t>[F1913] 서브 판넬Fan#7 Alarm</t>
  </si>
  <si>
    <t>[F1914] 서브 판넬Fan#8 Alarm</t>
  </si>
  <si>
    <t>[F1915] 용접기#1판넬  Fan#1 Alarm</t>
  </si>
  <si>
    <t>[F1916] 용접기#1판넬  Fan#2 Alarm</t>
  </si>
  <si>
    <t>[F1917] 용접기#2판넬  Fan#1 Alarm</t>
  </si>
  <si>
    <t>[F1918] 용접기#2판넬  Fan#2 Alarm</t>
  </si>
  <si>
    <t>[F1919] 용접기#3판넬  Fan#1 Alarm</t>
  </si>
  <si>
    <t>[F1920] 용접기#3판넬  Fan#2 Alarm</t>
  </si>
  <si>
    <t>[F1921] 용접기#4판넬  Fan#1 Alarm</t>
  </si>
  <si>
    <t>[F1922] 용접기#4판넬  Fan#2 Alarm</t>
  </si>
  <si>
    <t>[F2006]</t>
  </si>
  <si>
    <t>[F2007]</t>
  </si>
  <si>
    <t>[F2008]</t>
  </si>
  <si>
    <t>[F2009]</t>
  </si>
  <si>
    <t>[F2010]</t>
  </si>
  <si>
    <t>[F2011]</t>
  </si>
  <si>
    <t>[F2012]</t>
  </si>
  <si>
    <t>[F2013]</t>
  </si>
  <si>
    <t>[F2014]</t>
  </si>
  <si>
    <t>[F2015]</t>
  </si>
  <si>
    <t>[F2016]</t>
  </si>
  <si>
    <t>[F2017]</t>
  </si>
  <si>
    <t>[F2018]</t>
  </si>
  <si>
    <t>[F2019]</t>
  </si>
  <si>
    <t>[F2022]</t>
  </si>
  <si>
    <t>PLC4</t>
  </si>
  <si>
    <t>PLC3</t>
  </si>
  <si>
    <t>PLC2</t>
  </si>
  <si>
    <t>[F2001] S19_클린칭건#1 소프트리미트 설정이상</t>
  </si>
  <si>
    <t>[F2002] S20_클린칭건#2 소프트리미트 설정이상</t>
  </si>
  <si>
    <t>[F2003] S21_클린칭건#3 소프트리미트 설정이상</t>
  </si>
  <si>
    <t>[F2004] S22_클린칭건#4 소프트리미트 설정이상</t>
  </si>
  <si>
    <t>[F2005] S23_클린칭건#5 소프트리미트 설정이상</t>
  </si>
  <si>
    <t>[F2020] S29_도어프레임 서브조립건#1 소프트리미트 설정이상</t>
  </si>
  <si>
    <t>[F2021] S30_도어프레임 서브조립건#2 소프트리미트 설정이상</t>
  </si>
  <si>
    <t>[M700]설비문제로 인한 정지</t>
  </si>
  <si>
    <t>[M701]자재문제로 인한 정비 (자재 품절, 오투입)</t>
  </si>
  <si>
    <t>[M702]제품/부품 품질에 의한 정지 (검사 포함)</t>
  </si>
  <si>
    <t>[M703]작업운영 미숙으로 인한 정지 (작업자)</t>
  </si>
  <si>
    <t>[M704]설비문제로 인한 정지</t>
  </si>
  <si>
    <t>[M705]자재문제로 인한 정비 (자재 품절, 오투입)</t>
  </si>
  <si>
    <t>[M706]제품/부품 품질에 의한 정지 (검사 포함)</t>
  </si>
  <si>
    <t>[M707]작업운영 미숙으로 인한 정지 (작업자)</t>
  </si>
  <si>
    <t>[M708]설비문제로 인한 정지</t>
  </si>
  <si>
    <t>[M709]자재문제로 인한 정비 (자재 품절, 오투입)</t>
  </si>
  <si>
    <t>[M711]작업운영 미숙으로 인한 정지 (작업자)</t>
  </si>
  <si>
    <t>[M712]설비문제로 인한 정지</t>
  </si>
  <si>
    <t>[M713]자재문제로 인한 정비 (자재 품절, 오투입)</t>
  </si>
  <si>
    <t>[M714]제품/부품 품질에 의한 정지 (검사 포함)</t>
  </si>
  <si>
    <t>[M715]작업운영 미숙으로 인한 정지 (작업자)</t>
  </si>
  <si>
    <t>[M716]설비문제로 인한 정지</t>
  </si>
  <si>
    <t>[M717]자재문제로 인한 정비 (자재 품절, 오투입)</t>
  </si>
  <si>
    <t>[M718]제품/부품 품질에 의한 정지 (검사 포함)</t>
  </si>
  <si>
    <t>[M719]작업운영 미숙으로 인한 정지 (작업자)</t>
  </si>
  <si>
    <t>[M720]설비문제로 인한 정지</t>
  </si>
  <si>
    <t>[M721]자재문제로 인한 정비 (자재 품절, 오투입)</t>
  </si>
  <si>
    <t>[M722]제품/부품 품질에 의한 정지 (검사 포함)</t>
  </si>
  <si>
    <t>[M723]작업운영 미숙으로 인한 정지 (작업자)</t>
  </si>
  <si>
    <t>[M724]설비문제로 인한 정지</t>
  </si>
  <si>
    <t>[M725]자재문제로 인한 정비 (자재 품절, 오투입)</t>
  </si>
  <si>
    <t>[M726]제품/부품 품질에 의한 정지 (검사 포함)</t>
  </si>
  <si>
    <t>[M727]작업운영 미숙으로 인한 정지 (작업자)</t>
  </si>
  <si>
    <t>Welding_공급로봇, 가스켓 로봇</t>
    <phoneticPr fontId="1" type="noConversion"/>
  </si>
  <si>
    <t>Welding_터브이송</t>
    <phoneticPr fontId="1" type="noConversion"/>
  </si>
  <si>
    <t>[M710]제품/부품 품질에 의한 정지 (검사 포함)</t>
  </si>
  <si>
    <t>Welding_용접</t>
    <phoneticPr fontId="1" type="noConversion"/>
  </si>
  <si>
    <t>Welding_배출로봇</t>
    <phoneticPr fontId="1" type="noConversion"/>
  </si>
  <si>
    <t>Welding_공급로봇, 가스켓로봇, 터브이송, 용접, 배출로봇</t>
    <phoneticPr fontId="1" type="noConversion"/>
  </si>
  <si>
    <t>Welding_사이드 브라켓 공급</t>
    <phoneticPr fontId="1" type="noConversion"/>
  </si>
  <si>
    <t>Welding_레일공급#1</t>
    <phoneticPr fontId="1" type="noConversion"/>
  </si>
  <si>
    <t>Welding_레일공급#2</t>
    <phoneticPr fontId="1" type="noConversion"/>
  </si>
  <si>
    <t>Welding_사이드 브라켓 공급, 레일공급#1, 레일공급#2</t>
    <phoneticPr fontId="1" type="noConversion"/>
  </si>
  <si>
    <t>Welding_도어프레임 공급테이블</t>
    <phoneticPr fontId="1" type="noConversion"/>
  </si>
  <si>
    <t>[M728]설비문제로 인한 정지</t>
    <phoneticPr fontId="1" type="noConversion"/>
  </si>
  <si>
    <t>[M729]자재문제로 인한 정비 (자재 품절, 오투입)</t>
    <phoneticPr fontId="1" type="noConversion"/>
  </si>
  <si>
    <t>[M730]제품/부품 품질에 의한 정지 (검사 포함)</t>
    <phoneticPr fontId="1" type="noConversion"/>
  </si>
  <si>
    <t>[M731]작업운영 미숙으로 인한 정지 (작업자)</t>
    <phoneticPr fontId="1" type="noConversion"/>
  </si>
  <si>
    <t>Welding_도어프레임 클린칭</t>
    <phoneticPr fontId="1" type="noConversion"/>
  </si>
  <si>
    <t>Welding_도어프레임 반전기</t>
    <phoneticPr fontId="1" type="noConversion"/>
  </si>
  <si>
    <t>Welding_도어프레임 공급로봇#1</t>
  </si>
  <si>
    <t>Welding_도어프레임 공급로봇#1</t>
    <phoneticPr fontId="1" type="noConversion"/>
  </si>
  <si>
    <t>Welding_도어프레임 공급로봇#2</t>
    <phoneticPr fontId="1" type="noConversion"/>
  </si>
  <si>
    <t>[M732]설비문제로 인한 정지</t>
    <phoneticPr fontId="1" type="noConversion"/>
  </si>
  <si>
    <t>[M733]자재문제로 인한 정비 (자재 품절, 오투입)</t>
    <phoneticPr fontId="1" type="noConversion"/>
  </si>
  <si>
    <t>[M734]제품/부품 품질에 의한 정지 (검사 포함)</t>
    <phoneticPr fontId="1" type="noConversion"/>
  </si>
  <si>
    <t>[M735]작업운영 미숙으로 인한 정지 (작업자)</t>
    <phoneticPr fontId="1" type="noConversion"/>
  </si>
  <si>
    <t>[M736]설비문제로 인한 정지</t>
    <phoneticPr fontId="1" type="noConversion"/>
  </si>
  <si>
    <t>[M737]자재문제로 인한 정비 (자재 품절, 오투입)</t>
    <phoneticPr fontId="1" type="noConversion"/>
  </si>
  <si>
    <t>[M738]제품/부품 품질에 의한 정지 (검사 포함)</t>
    <phoneticPr fontId="1" type="noConversion"/>
  </si>
  <si>
    <t>[M739]작업운영 미숙으로 인한 정지 (작업자)</t>
    <phoneticPr fontId="1" type="noConversion"/>
  </si>
  <si>
    <t>[M740]설비문제로 인한 정지</t>
    <phoneticPr fontId="1" type="noConversion"/>
  </si>
  <si>
    <t>[M741]자재문제로 인한 정비 (자재 품절, 오투입)</t>
    <phoneticPr fontId="1" type="noConversion"/>
  </si>
  <si>
    <t>[M742]제품/부품 품질에 의한 정지 (검사 포함)</t>
    <phoneticPr fontId="1" type="noConversion"/>
  </si>
  <si>
    <t>[M743]작업운영 미숙으로 인한 정지 (작업자)</t>
    <phoneticPr fontId="1" type="noConversion"/>
  </si>
  <si>
    <t>[M744]설비문제로 인한 정지</t>
    <phoneticPr fontId="1" type="noConversion"/>
  </si>
  <si>
    <t>[M745]자재문제로 인한 정비 (자재 품절, 오투입)</t>
    <phoneticPr fontId="1" type="noConversion"/>
  </si>
  <si>
    <t>[M746]제품/부품 품질에 의한 정지 (검사 포함)</t>
    <phoneticPr fontId="1" type="noConversion"/>
  </si>
  <si>
    <t>[M747]작업운영 미숙으로 인한 정지 (작업자)</t>
    <phoneticPr fontId="1" type="noConversion"/>
  </si>
  <si>
    <t>[M819]생산 계획에 따른 정지 시</t>
    <phoneticPr fontId="1" type="noConversion"/>
  </si>
  <si>
    <t>[M820]모델 교체 및 시운전 Test 시</t>
    <phoneticPr fontId="1" type="noConversion"/>
  </si>
  <si>
    <t>[M821]원재료 또는 반제품 부족으로 인한 정지 시</t>
    <phoneticPr fontId="1" type="noConversion"/>
  </si>
  <si>
    <t>[M822]공정 불량 발생 시 작업자가 정지</t>
    <phoneticPr fontId="1" type="noConversion"/>
  </si>
  <si>
    <t>[M823]정기/비정기 설비 점검 시</t>
    <phoneticPr fontId="1" type="noConversion"/>
  </si>
  <si>
    <t>[M824]전원, 공조, 네트워크 이상 발생 시</t>
    <phoneticPr fontId="1" type="noConversion"/>
  </si>
  <si>
    <t>[M825]전산 또는 IT 이상으로 인한 정지 시</t>
    <phoneticPr fontId="1" type="noConversion"/>
  </si>
  <si>
    <t>[M826]작업 준비를 위한 조건 설정 및 조정을 위해 설비 정지 시</t>
    <phoneticPr fontId="1" type="noConversion"/>
  </si>
  <si>
    <t>[M827]재작업을 위한 정지 시</t>
    <phoneticPr fontId="1" type="noConversion"/>
  </si>
  <si>
    <t>Welding_도어프레임 공급테이블, 클린칭, 반전기, 공급로봇#1, 공급로봇#2</t>
    <phoneticPr fontId="1" type="noConversion"/>
  </si>
  <si>
    <t>[F0500] 도어프레임 공급셔틀#2 X축(SD241) 운전중에 Ready가 Off 되었습니다.</t>
  </si>
  <si>
    <t>[F0501] 도어프레임 공급셔틀#2 X축(SD241) FLS가 감지되었습니다.</t>
  </si>
  <si>
    <t>[F0502] 도어프레임 공급셔틀#2 X축(SD241) RLS가 감지되었습니다.</t>
  </si>
  <si>
    <t>[F0503] 도어프레임 공급셔틀#2 X축(SD241) Stop 명령이 On된 상태에서 기동을 시도했습니다.</t>
  </si>
  <si>
    <t>[F0504] 도어프레임 공급셔틀#2 X축(SD241) 가동 전원이 Off 되었습니다.</t>
  </si>
  <si>
    <t>[F0505] 도어프레임 공급셔틀#2 X축(SD241) 엔코더 이상이 검출되었습니다.</t>
  </si>
  <si>
    <t>[F0506] 도어프레임 공급셔틀#2 X축(SD241) 과전류가 검출되었습니다.</t>
  </si>
  <si>
    <t>[F0507] 도어프레임 공급셔틀#2 X축(SD241) 과부하가 검출되었습니다.</t>
  </si>
  <si>
    <t xml:space="preserve">[F0508] 도어프레임 공급셔틀#2 X축(SD241)  </t>
  </si>
  <si>
    <t>[F0509] 도어프레임 공급셔틀#2 X축(SD241) 에러가 발생했습니다.</t>
  </si>
  <si>
    <t>[F1700] 도어 프레임 공급 로봇#2 측면 클램프 전진 시간초과 (X688, Y6A1)</t>
  </si>
  <si>
    <t>[F1701] 도어 프레임 공급 로봇#2 측면 클램프 후진 시간초과 (X688, Y6A0)</t>
  </si>
  <si>
    <t>[F1703] 도어 프레임 공급 로봇#2 전면 클램프 전진 시간초과 (X686, Y6A2)</t>
  </si>
  <si>
    <t>[F1704] 도어 프레임 공급 로봇#2 전면 클램프 후진 시간초과 (X686, Y6A3)</t>
  </si>
  <si>
    <t>[F1706] 도어 프레임 공급 로봇#2 클램프 시간초과 (X685, X687, X689, Y6A5)</t>
  </si>
  <si>
    <t>[F1707] 도어 프레임 공급 로봇#2 언클램프 시간초과 (X685, X687, X689, Y6A4)</t>
  </si>
  <si>
    <t>[F1713] 도어 프레임 공급 로봇#2 제품 감지에러 (X680, X681, X682, L4029)</t>
  </si>
  <si>
    <t>[F1715] 도어 프레임 공급 로봇#2 우측 로봇 리모트 상태이상 (XE05)</t>
  </si>
  <si>
    <t>[F1716] 도어 프레임 공급 로봇#2 우측 로봇 서보 On 中 상태이상 (XE01)</t>
  </si>
  <si>
    <t>[F1717] 도어 프레임 공급 로봇#2 우측 로봇 초기화 필요 (XE0A)</t>
  </si>
  <si>
    <t>[F1718] 도어 프레임 공급 로봇#2 CONTROLLER 비상정지 에러 (XE0E)</t>
  </si>
  <si>
    <t>[F1719] 도어 프레임 공급 로봇#2 PENDANT 비상정지 에러 (XE0D)</t>
  </si>
  <si>
    <t>[F0380] 도어프레임 서보조립 건#2축(SD229) 운전중에 Ready가 Off 되었습니다.</t>
  </si>
  <si>
    <t>[F0381] 도어프레임 서보조립 건#2축(SD229) FLS가 감지되었습니다.</t>
  </si>
  <si>
    <t>[F0382] 도어프레임 서보조립 건#2축(SD229) RLS가 감지되었습니다.</t>
  </si>
  <si>
    <t>[F0383] 도어프레임 서보조립 건#2축(SD229) Stop 명령이 On된 상태에서 기동을 시도했습니다.</t>
  </si>
  <si>
    <t>[F0384] 도어프레임 서보조립 건#2축(SD229) 가동 전원이 Off 되었습니다.</t>
  </si>
  <si>
    <t>[F0385] 도어프레임 서보조립 건#2축(SD229) 엔코더 이상이 검출되었습니다.</t>
  </si>
  <si>
    <t>[F0386] 도어프레임 서보조립 건#2축(SD229) 과전류가 검출되었습니다.</t>
  </si>
  <si>
    <t>[F0387] 도어프레임 서보조립 건#2축(SD229) 과부하가 검출되었습니다.</t>
  </si>
  <si>
    <t xml:space="preserve">[F0388] 도어프레임 서보조립 건#2축(SD229)  </t>
  </si>
  <si>
    <t>[F0389] 도어프레임 서보조립 건#2축(SD229) 에러가 발생했습니다.</t>
  </si>
  <si>
    <t>[F0420] 도어프레임 서보조립 건#2 X축(SD233) 운전중에 Ready가 Off 되었습니다.</t>
  </si>
  <si>
    <t>[F0421] 도어프레임 서보조립 건#2 X축(SD233) FLS가 감지되었습니다.</t>
  </si>
  <si>
    <t>[F0422] 도어프레임 서보조립 건#2 X축(SD233) RLS가 감지되었습니다.</t>
  </si>
  <si>
    <t>[F0423] 도어프레임 서보조립 건#2 X축(SD233) Stop 명령이 On된 상태에서 기동을 시도했습니다.</t>
  </si>
  <si>
    <t>[F0424] 도어프레임 서보조립 건#2 X축(SD233) 가동 전원이 Off 되었습니다.</t>
  </si>
  <si>
    <t>[F0425] 도어프레임 서보조립 건#2 X축(SD233) 엔코더 이상이 검출되었습니다.</t>
  </si>
  <si>
    <t>[F0426] 도어프레임 서보조립 건#2 X축(SD233) 과전류가 검출되었습니다.</t>
  </si>
  <si>
    <t>[F0427] 도어프레임 서보조립 건#2 X축(SD233) 과부하가 검출되었습니다.</t>
  </si>
  <si>
    <t xml:space="preserve">[F0428] 도어프레임 서보조립 건#2 X축(SD233)  </t>
  </si>
  <si>
    <t>[F0429] 도어프레임 서보조립 건#2 X축(SD233) 에러가 발생했습니다.</t>
  </si>
  <si>
    <t>[F0430] 도어프레임 서보조립 건#2 Z축(SD234) 운전중에 Ready가 Off 되었습니다.</t>
  </si>
  <si>
    <t>[F0431] 도어프레임 서보조립 건#2 Z축(SD234) FLS가 감지되었습니다.</t>
  </si>
  <si>
    <t>[F0432] 도어프레임 서보조립 건#2 Z축(SD234) RLS가 감지되었습니다.</t>
  </si>
  <si>
    <t>[F0433] 도어프레임 서보조립 건#2 Z축(SD234) Stop 명령이 On된 상태에서 기동을 시도했습니다.</t>
  </si>
  <si>
    <t>[F0434] 도어프레임 서보조립 건#2 Z축(SD234) 가동 전원이 Off 되었습니다.</t>
  </si>
  <si>
    <t>[F0435] 도어프레임 서보조립 건#2 Z축(SD234) 엔코더 이상이 검출되었습니다.</t>
  </si>
  <si>
    <t>[F0436] 도어프레임 서보조립 건#2 Z축(SD234) 과전류가 검출되었습니다.</t>
  </si>
  <si>
    <t>[F0437] 도어프레임 서보조립 건#2 Z축(SD234) 과부하가 검출되었습니다.</t>
  </si>
  <si>
    <t xml:space="preserve">[F0438] 도어프레임 서보조립 건#2 Z축(SD234)  </t>
  </si>
  <si>
    <t>[F0439] 도어프레임 서보조립 건#2 Z축(SD234) 에러가 발생했습니다.</t>
  </si>
  <si>
    <t>[F0340] 도어프레임 서보조립셔틀#2 X축(SD225) 운전중에 Ready가 Off 되었습니다.</t>
  </si>
  <si>
    <t>[F0341] 도어프레임 서보조립셔틀#2 X축(SD225) FLS가 감지되었습니다.</t>
  </si>
  <si>
    <t>[F0342] 도어프레임 서보조립셔틀#2 X축(SD225) RLS가 감지되었습니다.</t>
  </si>
  <si>
    <t>[F0343] 도어프레임 서보조립셔틀#2 X축(SD225) Stop 명령이 On된 상태에서 기동을 시도했습니다.</t>
  </si>
  <si>
    <t>[F0344] 도어프레임 서보조립셔틀#2 X축(SD225) 가동 전원이 Off 되었습니다.</t>
  </si>
  <si>
    <t>[F0345] 도어프레임 서보조립셔틀#2 X축(SD225) 엔코더 이상이 검출되었습니다.</t>
  </si>
  <si>
    <t>[F0346] 도어프레임 서보조립셔틀#2 X축(SD225) 과전류가 검출되었습니다.</t>
  </si>
  <si>
    <t>[F0347] 도어프레임 서보조립셔틀#2 X축(SD225) 과부하가 검출되었습니다.</t>
  </si>
  <si>
    <t xml:space="preserve">[F0348] 도어프레임 서보조립셔틀#2 X축(SD225)  </t>
  </si>
  <si>
    <t>[F0349] 도어프레임 서보조립셔틀#2 X축(SD225) 에러가 발생했습니다.</t>
  </si>
  <si>
    <t>[F0350] 도어프레임 서보조립셔틀#2 Z축(SD226) 운전중에 Ready가 Off 되었습니다.</t>
  </si>
  <si>
    <t>[F0351] 도어프레임 서보조립셔틀#2 Z축(SD226) FLS가 감지되었습니다.</t>
  </si>
  <si>
    <t>[F0352] 도어프레임 서보조립셔틀#2 Z축(SD226) RLS가 감지되었습니다.</t>
  </si>
  <si>
    <t>[F0353] 도어프레임 서보조립셔틀#2 Z축(SD226) Stop 명령이 On된 상태에서 기동을 시도했습니다.</t>
  </si>
  <si>
    <t>[F0354] 도어프레임 서보조립셔틀#2 Z축(SD226) 가동 전원이 Off 되었습니다.</t>
  </si>
  <si>
    <t>[F0355] 도어프레임 서보조립셔틀#2 Z축(SD226) 엔코더 이상이 검출되었습니다.</t>
  </si>
  <si>
    <t>[F0356] 도어프레임 서보조립셔틀#2 Z축(SD226) 과전류가 검출되었습니다.</t>
  </si>
  <si>
    <t>[F0357] 도어프레임 서보조립셔틀#2 Z축(SD226) 과부하가 검출되었습니다.</t>
  </si>
  <si>
    <t xml:space="preserve">[F0358] 도어프레임 서보조립셔틀#2 Z축(SD226)  </t>
  </si>
  <si>
    <t>[F0359] 도어프레임 서보조립셔틀#2 Z축(SD226) 에러가 발생했습니다.</t>
  </si>
  <si>
    <t>[F0030]</t>
    <phoneticPr fontId="1" type="noConversion"/>
  </si>
  <si>
    <t>공정명</t>
    <phoneticPr fontId="3" type="noConversion"/>
  </si>
  <si>
    <t>[F0469] 터브 이송 이재기#2 C1축 (SD135) 에러가 발생했습니다.</t>
    <phoneticPr fontId="1" type="noConversion"/>
  </si>
  <si>
    <t>[F0470] 터브 이송 이재기#2 C2축 (SD136) 운전중에 Ready가 Off 되었습니다.</t>
    <phoneticPr fontId="1" type="noConversion"/>
  </si>
  <si>
    <t>[F0471] 터브 이송 이재기#2 C2축 (SD136) FLS가 감지되었습니다.</t>
    <phoneticPr fontId="1" type="noConversion"/>
  </si>
  <si>
    <t>[F0472] 터브 이송 이재기#2 C2축 (SD136) RLS가 감지되었습니다.</t>
    <phoneticPr fontId="1" type="noConversion"/>
  </si>
  <si>
    <t>[F0473] 터브 이송 이재기#2 C2축 (SD136) Stop 명령이 On된 상태에서 기동을 시도했습니다.</t>
    <phoneticPr fontId="1" type="noConversion"/>
  </si>
  <si>
    <t>[F0474] 터브 이송 이재기#2 C2축 (SD136) 가동 전원이 Off 되었습니다.</t>
    <phoneticPr fontId="1" type="noConversion"/>
  </si>
  <si>
    <t>[F0475] 터브 이송 이재기#2 C2축 (SD136) 엔코더 이상이 검출되었습니다.</t>
    <phoneticPr fontId="1" type="noConversion"/>
  </si>
  <si>
    <t>[F0476] 터브 이송 이재기#2 C2축 (SD136) 과전류가 검출되었습니다.</t>
    <phoneticPr fontId="1" type="noConversion"/>
  </si>
  <si>
    <t>[F0477] 터브 이송 이재기#2 C2축 (SD136) 과부하가 검출되었습니다.</t>
    <phoneticPr fontId="1" type="noConversion"/>
  </si>
  <si>
    <t xml:space="preserve">[F0478] 터브 이송 이재기#2 C2축 (SD136)  </t>
    <phoneticPr fontId="1" type="noConversion"/>
  </si>
  <si>
    <t>[F0479] 터브 이송 이재기#2 C2축 (SD136) 에러가 발생했습니다.</t>
    <phoneticPr fontId="1" type="noConversion"/>
  </si>
  <si>
    <t>[F0001] PLC 진단 에러 (SM0)</t>
    <phoneticPr fontId="1" type="noConversion"/>
  </si>
  <si>
    <t>기존 PLC
Address</t>
    <phoneticPr fontId="1" type="noConversion"/>
  </si>
  <si>
    <t>신규 PLC
Address</t>
    <phoneticPr fontId="1" type="noConversion"/>
  </si>
  <si>
    <t>M800</t>
    <phoneticPr fontId="1" type="noConversion"/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</si>
  <si>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</si>
  <si>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</si>
  <si>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</si>
  <si>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</si>
  <si>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</si>
  <si>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</si>
  <si>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</si>
  <si>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</si>
  <si>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</si>
  <si>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</si>
  <si>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</si>
  <si>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</si>
  <si>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</si>
  <si>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</si>
  <si>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</si>
  <si>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M820</t>
    <phoneticPr fontId="1" type="noConversion"/>
  </si>
  <si>
    <t>M821</t>
  </si>
  <si>
    <t>M822</t>
  </si>
  <si>
    <t>M823</t>
  </si>
  <si>
    <t>M824</t>
  </si>
  <si>
    <t>M825</t>
  </si>
  <si>
    <t>M826</t>
  </si>
  <si>
    <t>M827</t>
  </si>
  <si>
    <t>M828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</si>
  <si>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</si>
  <si>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</si>
  <si>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</si>
  <si>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</si>
  <si>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</si>
  <si>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</si>
  <si>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</si>
  <si>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</si>
  <si>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</si>
  <si>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</si>
  <si>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  <phoneticPr fontId="1" type="noConversion"/>
  </si>
  <si>
    <t>M871</t>
    <phoneticPr fontId="1" type="noConversion"/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</si>
  <si>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</si>
  <si>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</si>
  <si>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</si>
  <si>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</si>
  <si>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</si>
  <si>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</si>
  <si>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</si>
  <si>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</si>
  <si>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</si>
  <si>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F0001</t>
  </si>
  <si>
    <t>F0002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</si>
  <si>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</si>
  <si>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</si>
  <si>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</si>
  <si>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</si>
  <si>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</si>
  <si>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</si>
  <si>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</si>
  <si>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</si>
  <si>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</si>
  <si>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</si>
  <si>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</si>
  <si>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</si>
  <si>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</si>
  <si>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</si>
  <si>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</si>
  <si>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</si>
  <si>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</si>
  <si>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</si>
  <si>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</si>
  <si>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</si>
  <si>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</si>
  <si>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</si>
  <si>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</si>
  <si>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</si>
  <si>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</si>
  <si>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</si>
  <si>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</si>
  <si>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</si>
  <si>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</si>
  <si>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</si>
  <si>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</si>
  <si>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</si>
  <si>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</si>
  <si>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</si>
  <si>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</si>
  <si>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</si>
  <si>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</si>
  <si>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</si>
  <si>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</si>
  <si>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</si>
  <si>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</si>
  <si>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</si>
  <si>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</si>
  <si>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</si>
  <si>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</si>
  <si>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</si>
  <si>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</si>
  <si>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</si>
  <si>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</si>
  <si>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</si>
  <si>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</si>
  <si>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</si>
  <si>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</si>
  <si>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</si>
  <si>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</si>
  <si>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</si>
  <si>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</si>
  <si>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</si>
  <si>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</si>
  <si>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</si>
  <si>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</si>
  <si>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</si>
  <si>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</si>
  <si>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</si>
  <si>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</si>
  <si>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</si>
  <si>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</si>
  <si>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</si>
  <si>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</si>
  <si>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</si>
  <si>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</si>
  <si>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</si>
  <si>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</si>
  <si>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</si>
  <si>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</si>
  <si>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</si>
  <si>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</si>
  <si>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</si>
  <si>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</si>
  <si>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</si>
  <si>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</si>
  <si>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</si>
  <si>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</si>
  <si>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</si>
  <si>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</si>
  <si>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</si>
  <si>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</si>
  <si>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</si>
  <si>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</si>
  <si>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</si>
  <si>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</si>
  <si>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</si>
  <si>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</si>
  <si>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</si>
  <si>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</si>
  <si>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</si>
  <si>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</si>
  <si>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</si>
  <si>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</si>
  <si>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</si>
  <si>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</si>
  <si>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</si>
  <si>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</si>
  <si>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</si>
  <si>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</si>
  <si>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</si>
  <si>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</si>
  <si>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</si>
  <si>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</si>
  <si>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</si>
  <si>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</si>
  <si>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</si>
  <si>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</si>
  <si>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</si>
  <si>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</si>
  <si>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</si>
  <si>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</si>
  <si>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</si>
  <si>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</si>
  <si>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</si>
  <si>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</si>
  <si>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</si>
  <si>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</si>
  <si>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</si>
  <si>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</si>
  <si>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</si>
  <si>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</si>
  <si>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</si>
  <si>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</si>
  <si>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</si>
  <si>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</si>
  <si>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</si>
  <si>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</si>
  <si>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</si>
  <si>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</si>
  <si>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</si>
  <si>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</si>
  <si>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</si>
  <si>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</si>
  <si>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</si>
  <si>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</si>
  <si>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</si>
  <si>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</si>
  <si>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</si>
  <si>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</si>
  <si>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</si>
  <si>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</si>
  <si>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</si>
  <si>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</si>
  <si>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</si>
  <si>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</si>
  <si>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</si>
  <si>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</si>
  <si>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</si>
  <si>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</si>
  <si>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</si>
  <si>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</si>
  <si>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</si>
  <si>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</si>
  <si>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</si>
  <si>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</si>
  <si>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</si>
  <si>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</si>
  <si>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</si>
  <si>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</si>
  <si>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</si>
  <si>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</si>
  <si>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</si>
  <si>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</si>
  <si>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</si>
  <si>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</si>
  <si>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</si>
  <si>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</si>
  <si>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</si>
  <si>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</si>
  <si>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</si>
  <si>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</si>
  <si>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</si>
  <si>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</si>
  <si>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</si>
  <si>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</si>
  <si>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</si>
  <si>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</si>
  <si>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</si>
  <si>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</si>
  <si>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</si>
  <si>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</si>
  <si>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</si>
  <si>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</si>
  <si>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</si>
  <si>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</si>
  <si>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</si>
  <si>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</si>
  <si>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</si>
  <si>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</si>
  <si>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</si>
  <si>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</si>
  <si>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</si>
  <si>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</si>
  <si>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</si>
  <si>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</si>
  <si>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</si>
  <si>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</si>
  <si>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</si>
  <si>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</si>
  <si>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</si>
  <si>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</si>
  <si>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</si>
  <si>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</si>
  <si>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</si>
  <si>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</si>
  <si>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</si>
  <si>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</si>
  <si>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</si>
  <si>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</si>
  <si>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</si>
  <si>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</si>
  <si>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</si>
  <si>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</si>
  <si>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</si>
  <si>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</si>
  <si>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</si>
  <si>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</si>
  <si>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</si>
  <si>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</si>
  <si>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</si>
  <si>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</si>
  <si>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</si>
  <si>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</si>
  <si>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</si>
  <si>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</si>
  <si>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</si>
  <si>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</si>
  <si>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</si>
  <si>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</si>
  <si>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</si>
  <si>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</si>
  <si>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</si>
  <si>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</si>
  <si>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</si>
  <si>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</si>
  <si>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</si>
  <si>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</si>
  <si>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</si>
  <si>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</si>
  <si>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</si>
  <si>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</si>
  <si>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</si>
  <si>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</si>
  <si>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</si>
  <si>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</si>
  <si>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</si>
  <si>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</si>
  <si>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</si>
  <si>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</si>
  <si>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</si>
  <si>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</si>
  <si>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</si>
  <si>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</si>
  <si>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</si>
  <si>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</si>
  <si>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</si>
  <si>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</si>
  <si>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</si>
  <si>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</si>
  <si>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</si>
  <si>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</si>
  <si>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</si>
  <si>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</si>
  <si>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</si>
  <si>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</si>
  <si>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</si>
  <si>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</si>
  <si>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</si>
  <si>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</si>
  <si>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</si>
  <si>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</si>
  <si>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</si>
  <si>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</si>
  <si>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</si>
  <si>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</si>
  <si>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</si>
  <si>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</si>
  <si>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</si>
  <si>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</si>
  <si>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</si>
  <si>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</si>
  <si>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</si>
  <si>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</si>
  <si>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</si>
  <si>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</si>
  <si>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</si>
  <si>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</si>
  <si>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</si>
  <si>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</si>
  <si>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</si>
  <si>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</si>
  <si>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</si>
  <si>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</si>
  <si>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</si>
  <si>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</si>
  <si>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</si>
  <si>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</si>
  <si>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</si>
  <si>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</si>
  <si>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</si>
  <si>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</si>
  <si>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</si>
  <si>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</si>
  <si>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</si>
  <si>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</si>
  <si>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</si>
  <si>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</si>
  <si>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</si>
  <si>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</si>
  <si>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</si>
  <si>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</si>
  <si>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</si>
  <si>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</si>
  <si>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</si>
  <si>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</si>
  <si>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</si>
  <si>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</si>
  <si>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</si>
  <si>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</si>
  <si>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</si>
  <si>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</si>
  <si>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</si>
  <si>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</si>
  <si>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</si>
  <si>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</si>
  <si>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</si>
  <si>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</si>
  <si>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</si>
  <si>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</si>
  <si>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</si>
  <si>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</si>
  <si>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</si>
  <si>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</si>
  <si>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</si>
  <si>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</si>
  <si>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</si>
  <si>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</si>
  <si>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</si>
  <si>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</si>
  <si>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</si>
  <si>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</si>
  <si>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</si>
  <si>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</si>
  <si>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</si>
  <si>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</si>
  <si>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</si>
  <si>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</si>
  <si>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</si>
  <si>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</si>
  <si>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</si>
  <si>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</si>
  <si>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</si>
  <si>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</si>
  <si>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</si>
  <si>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</si>
  <si>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</si>
  <si>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</si>
  <si>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</si>
  <si>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</si>
  <si>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</si>
  <si>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</si>
  <si>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</si>
  <si>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</si>
  <si>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</si>
  <si>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</si>
  <si>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</si>
  <si>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</si>
  <si>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</si>
  <si>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</si>
  <si>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</si>
  <si>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</si>
  <si>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</si>
  <si>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</si>
  <si>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</si>
  <si>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</si>
  <si>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</si>
  <si>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</si>
  <si>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</si>
  <si>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</si>
  <si>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</si>
  <si>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</si>
  <si>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</si>
  <si>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</si>
  <si>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</si>
  <si>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</si>
  <si>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</si>
  <si>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</si>
  <si>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</si>
  <si>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</si>
  <si>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</si>
  <si>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</si>
  <si>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</si>
  <si>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</si>
  <si>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</si>
  <si>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</si>
  <si>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</si>
  <si>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</si>
  <si>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</si>
  <si>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</si>
  <si>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</si>
  <si>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</si>
  <si>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</si>
  <si>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</si>
  <si>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</si>
  <si>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</si>
  <si>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</si>
  <si>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</si>
  <si>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</si>
  <si>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</si>
  <si>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</si>
  <si>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</si>
  <si>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</si>
  <si>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</si>
  <si>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</si>
  <si>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</si>
  <si>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</si>
  <si>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</si>
  <si>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</si>
  <si>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</si>
  <si>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</si>
  <si>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</si>
  <si>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</si>
  <si>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</si>
  <si>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</si>
  <si>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</si>
  <si>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</si>
  <si>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</si>
  <si>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</si>
  <si>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</si>
  <si>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</si>
  <si>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</si>
  <si>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</si>
  <si>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</si>
  <si>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</si>
  <si>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</si>
  <si>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</si>
  <si>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</si>
  <si>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</si>
  <si>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</si>
  <si>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</si>
  <si>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</si>
  <si>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</si>
  <si>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</si>
  <si>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</si>
  <si>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</si>
  <si>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</si>
  <si>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</si>
  <si>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</si>
  <si>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</si>
  <si>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</si>
  <si>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</si>
  <si>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</si>
  <si>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</si>
  <si>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</si>
  <si>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</si>
  <si>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</si>
  <si>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</si>
  <si>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</si>
  <si>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</si>
  <si>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</si>
  <si>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</si>
  <si>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</si>
  <si>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</si>
  <si>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</si>
  <si>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</si>
  <si>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</si>
  <si>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</si>
  <si>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</si>
  <si>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</si>
  <si>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</si>
  <si>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</si>
  <si>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</si>
  <si>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</si>
  <si>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</si>
  <si>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</si>
  <si>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</si>
  <si>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</si>
  <si>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</si>
  <si>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</si>
  <si>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</si>
  <si>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</si>
  <si>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</si>
  <si>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</si>
  <si>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</si>
  <si>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</si>
  <si>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</si>
  <si>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</si>
  <si>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</si>
  <si>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</si>
  <si>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</si>
  <si>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</si>
  <si>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</si>
  <si>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</si>
  <si>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</si>
  <si>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</si>
  <si>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</si>
  <si>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</si>
  <si>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</si>
  <si>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</si>
  <si>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</si>
  <si>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</si>
  <si>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</si>
  <si>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</si>
  <si>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</si>
  <si>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</si>
  <si>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</si>
  <si>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</si>
  <si>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</si>
  <si>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</si>
  <si>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</si>
  <si>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</si>
  <si>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</si>
  <si>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</si>
  <si>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</si>
  <si>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</si>
  <si>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</si>
  <si>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</si>
  <si>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</si>
  <si>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</si>
  <si>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</si>
  <si>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</si>
  <si>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</si>
  <si>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</si>
  <si>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</si>
  <si>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</si>
  <si>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</si>
  <si>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</si>
  <si>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</si>
  <si>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</si>
  <si>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</si>
  <si>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</si>
  <si>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</si>
  <si>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</si>
  <si>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</si>
  <si>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</si>
  <si>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</si>
  <si>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</si>
  <si>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</si>
  <si>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</si>
  <si>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</si>
  <si>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</si>
  <si>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</si>
  <si>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</si>
  <si>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</si>
  <si>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</si>
  <si>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</si>
  <si>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</si>
  <si>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</si>
  <si>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</si>
  <si>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</si>
  <si>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</si>
  <si>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</si>
  <si>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</si>
  <si>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</si>
  <si>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</si>
  <si>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</si>
  <si>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</si>
  <si>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</si>
  <si>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</si>
  <si>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</si>
  <si>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</si>
  <si>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</si>
  <si>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</si>
  <si>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</si>
  <si>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</si>
  <si>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</si>
  <si>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</si>
  <si>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</si>
  <si>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</si>
  <si>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</si>
  <si>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</si>
  <si>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</si>
  <si>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</si>
  <si>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</si>
  <si>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</si>
  <si>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</si>
  <si>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</si>
  <si>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</si>
  <si>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</si>
  <si>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</si>
  <si>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</si>
  <si>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</si>
  <si>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</si>
  <si>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</si>
  <si>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</si>
  <si>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</si>
  <si>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</si>
  <si>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</si>
  <si>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</si>
  <si>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</si>
  <si>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</si>
  <si>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</si>
  <si>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</si>
  <si>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</si>
  <si>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</si>
  <si>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</si>
  <si>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</si>
  <si>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</si>
  <si>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</si>
  <si>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</si>
  <si>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</si>
  <si>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</si>
  <si>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</si>
  <si>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</si>
  <si>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</si>
  <si>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</si>
  <si>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</si>
  <si>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</si>
  <si>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</si>
  <si>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</si>
  <si>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</si>
  <si>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</si>
  <si>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</si>
  <si>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</si>
  <si>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</si>
  <si>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</si>
  <si>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</si>
  <si>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</si>
  <si>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</si>
  <si>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</si>
  <si>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</si>
  <si>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</si>
  <si>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</si>
  <si>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</si>
  <si>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</si>
  <si>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</si>
  <si>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</si>
  <si>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</si>
  <si>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</si>
  <si>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</si>
  <si>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</si>
  <si>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</si>
  <si>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</si>
  <si>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</si>
  <si>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</si>
  <si>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</si>
  <si>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</si>
  <si>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</si>
  <si>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</si>
  <si>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</si>
  <si>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</si>
  <si>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</si>
  <si>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</si>
  <si>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</si>
  <si>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</si>
  <si>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</si>
  <si>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</si>
  <si>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</si>
  <si>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</si>
  <si>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</si>
  <si>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</si>
  <si>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</si>
  <si>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</si>
  <si>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</si>
  <si>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</si>
  <si>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</si>
  <si>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</si>
  <si>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</si>
  <si>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</si>
  <si>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</si>
  <si>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</si>
  <si>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</si>
  <si>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</si>
  <si>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</si>
  <si>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</si>
  <si>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</si>
  <si>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</si>
  <si>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</si>
  <si>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</si>
  <si>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</si>
  <si>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</si>
  <si>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</si>
  <si>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</si>
  <si>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</si>
  <si>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</si>
  <si>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</si>
  <si>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</si>
  <si>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</si>
  <si>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</si>
  <si>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</si>
  <si>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</si>
  <si>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</si>
  <si>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</si>
  <si>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</si>
  <si>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</si>
  <si>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</si>
  <si>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</si>
  <si>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</si>
  <si>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</si>
  <si>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</si>
  <si>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</si>
  <si>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</si>
  <si>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</si>
  <si>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</si>
  <si>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</si>
  <si>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</si>
  <si>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</si>
  <si>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</si>
  <si>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</si>
  <si>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</si>
  <si>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</si>
  <si>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</si>
  <si>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</si>
  <si>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</si>
  <si>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</si>
  <si>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</si>
  <si>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</si>
  <si>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</si>
  <si>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</si>
  <si>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</si>
  <si>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</si>
  <si>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</si>
  <si>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</si>
  <si>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</si>
  <si>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</si>
  <si>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</si>
  <si>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</si>
  <si>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</si>
  <si>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</si>
  <si>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</si>
  <si>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</si>
  <si>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</si>
  <si>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</si>
  <si>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</si>
  <si>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</si>
  <si>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</si>
  <si>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</si>
  <si>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</si>
  <si>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</si>
  <si>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</si>
  <si>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</si>
  <si>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</si>
  <si>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</si>
  <si>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</si>
  <si>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</si>
  <si>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</si>
  <si>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</si>
  <si>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</si>
  <si>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</si>
  <si>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</si>
  <si>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</si>
  <si>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</si>
  <si>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</si>
  <si>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</si>
  <si>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</si>
  <si>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</si>
  <si>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</si>
  <si>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</si>
  <si>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</si>
  <si>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</si>
  <si>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</si>
  <si>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</si>
  <si>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</si>
  <si>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</si>
  <si>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</si>
  <si>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</si>
  <si>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</si>
  <si>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</si>
  <si>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</si>
  <si>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</si>
  <si>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</si>
  <si>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</si>
  <si>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</si>
  <si>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</si>
  <si>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</si>
  <si>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</si>
  <si>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</si>
  <si>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</si>
  <si>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</si>
  <si>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</si>
  <si>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</si>
  <si>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</si>
  <si>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</si>
  <si>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</si>
  <si>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</si>
  <si>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</si>
  <si>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</si>
  <si>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</si>
  <si>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</si>
  <si>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</si>
  <si>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</si>
  <si>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</si>
  <si>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</si>
  <si>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</si>
  <si>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</si>
  <si>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</si>
  <si>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</si>
  <si>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</si>
  <si>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</si>
  <si>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</si>
  <si>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</si>
  <si>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</si>
  <si>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</si>
  <si>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</si>
  <si>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</si>
  <si>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</si>
  <si>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</si>
  <si>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</si>
  <si>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</si>
  <si>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</si>
  <si>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</si>
  <si>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</si>
  <si>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</si>
  <si>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</si>
  <si>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</si>
  <si>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</si>
  <si>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</si>
  <si>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</si>
  <si>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</si>
  <si>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</si>
  <si>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</si>
  <si>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</si>
  <si>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</si>
  <si>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</si>
  <si>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</si>
  <si>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</si>
  <si>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</si>
  <si>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</si>
  <si>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</si>
  <si>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</si>
  <si>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</si>
  <si>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</si>
  <si>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</si>
  <si>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</si>
  <si>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</si>
  <si>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</si>
  <si>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</si>
  <si>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</si>
  <si>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</si>
  <si>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</si>
  <si>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</si>
  <si>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</si>
  <si>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</si>
  <si>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</si>
  <si>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</si>
  <si>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</si>
  <si>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</si>
  <si>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</si>
  <si>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</si>
  <si>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</si>
  <si>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</si>
  <si>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</si>
  <si>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</si>
  <si>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</si>
  <si>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</si>
  <si>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</si>
  <si>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</si>
  <si>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</si>
  <si>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</si>
  <si>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</si>
  <si>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</si>
  <si>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</si>
  <si>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</si>
  <si>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</si>
  <si>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</si>
  <si>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</si>
  <si>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</si>
  <si>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</si>
  <si>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</si>
  <si>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</si>
  <si>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</si>
  <si>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</si>
  <si>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</si>
  <si>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</si>
  <si>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</si>
  <si>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</si>
  <si>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</si>
  <si>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</si>
  <si>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</si>
  <si>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</si>
  <si>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</si>
  <si>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</si>
  <si>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</si>
  <si>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</si>
  <si>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</si>
  <si>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</si>
  <si>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</si>
  <si>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</si>
  <si>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</si>
  <si>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</si>
  <si>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</si>
  <si>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</si>
  <si>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</si>
  <si>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</si>
  <si>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</si>
  <si>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</si>
  <si>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</si>
  <si>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</si>
  <si>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</si>
  <si>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</si>
  <si>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</si>
  <si>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</si>
  <si>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</si>
  <si>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</si>
  <si>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</si>
  <si>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</si>
  <si>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</si>
  <si>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</si>
  <si>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</si>
  <si>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</si>
  <si>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</si>
  <si>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</si>
  <si>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</si>
  <si>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</si>
  <si>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</si>
  <si>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</si>
  <si>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</si>
  <si>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</si>
  <si>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</si>
  <si>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</si>
  <si>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</si>
  <si>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</si>
  <si>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</si>
  <si>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</si>
  <si>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</si>
  <si>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</si>
  <si>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</si>
  <si>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</si>
  <si>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</si>
  <si>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</si>
  <si>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</si>
  <si>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</si>
  <si>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</si>
  <si>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</si>
  <si>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</si>
  <si>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</si>
  <si>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</si>
  <si>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</si>
  <si>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</si>
  <si>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</si>
  <si>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</si>
  <si>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</si>
  <si>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</si>
  <si>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</si>
  <si>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</si>
  <si>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</si>
  <si>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</si>
  <si>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</si>
  <si>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</si>
  <si>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</si>
  <si>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</si>
  <si>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</si>
  <si>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</si>
  <si>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</si>
  <si>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</si>
  <si>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</si>
  <si>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</si>
  <si>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</si>
  <si>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</si>
  <si>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</si>
  <si>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</si>
  <si>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</si>
  <si>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</si>
  <si>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</si>
  <si>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</si>
  <si>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</si>
  <si>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</si>
  <si>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</si>
  <si>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</si>
  <si>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</si>
  <si>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</si>
  <si>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</si>
  <si>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</si>
  <si>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</si>
  <si>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</si>
  <si>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</si>
  <si>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</si>
  <si>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</si>
  <si>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</si>
  <si>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</si>
  <si>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</si>
  <si>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</si>
  <si>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</si>
  <si>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</si>
  <si>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</si>
  <si>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</si>
  <si>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</si>
  <si>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</si>
  <si>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</si>
  <si>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</si>
  <si>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</si>
  <si>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</si>
  <si>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</si>
  <si>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</si>
  <si>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</si>
  <si>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</si>
  <si>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</si>
  <si>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</si>
  <si>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</si>
  <si>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</si>
  <si>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</si>
  <si>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</si>
  <si>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</si>
  <si>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</si>
  <si>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</si>
  <si>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</si>
  <si>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</si>
  <si>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</si>
  <si>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</si>
  <si>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</si>
  <si>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</si>
  <si>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</si>
  <si>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</si>
  <si>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</si>
  <si>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</si>
  <si>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</si>
  <si>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</si>
  <si>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</si>
  <si>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</si>
  <si>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</si>
  <si>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</si>
  <si>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</si>
  <si>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</si>
  <si>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</si>
  <si>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</si>
  <si>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</si>
  <si>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</si>
  <si>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</si>
  <si>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</si>
  <si>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</si>
  <si>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</si>
  <si>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</si>
  <si>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</si>
  <si>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</si>
  <si>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</si>
  <si>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</si>
  <si>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</si>
  <si>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</si>
  <si>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</si>
  <si>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</si>
  <si>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</si>
  <si>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</si>
  <si>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</si>
  <si>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</si>
  <si>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</si>
  <si>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</si>
  <si>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</si>
  <si>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</si>
  <si>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</si>
  <si>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</si>
  <si>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</si>
  <si>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</si>
  <si>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</si>
  <si>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</si>
  <si>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</si>
  <si>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</si>
  <si>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</si>
  <si>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</si>
  <si>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</si>
  <si>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</si>
  <si>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</si>
  <si>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</si>
  <si>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</si>
  <si>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</si>
  <si>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</si>
  <si>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</si>
  <si>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</si>
  <si>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</si>
  <si>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</si>
  <si>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</si>
  <si>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</si>
  <si>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</si>
  <si>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</si>
  <si>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</si>
  <si>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</si>
  <si>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</si>
  <si>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</si>
  <si>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</si>
  <si>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</si>
  <si>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</si>
  <si>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</si>
  <si>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</si>
  <si>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</si>
  <si>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</si>
  <si>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</si>
  <si>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</si>
  <si>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</si>
  <si>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</si>
  <si>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</si>
  <si>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</si>
  <si>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</si>
  <si>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</si>
  <si>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</si>
  <si>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</si>
  <si>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</si>
  <si>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</si>
  <si>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</si>
  <si>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</si>
  <si>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</si>
  <si>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</si>
  <si>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</si>
  <si>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</si>
  <si>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</si>
  <si>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</si>
  <si>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</si>
  <si>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</si>
  <si>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</si>
  <si>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</si>
  <si>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</si>
  <si>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</si>
  <si>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</si>
  <si>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</si>
  <si>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</si>
  <si>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</si>
  <si>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</si>
  <si>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</si>
  <si>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</si>
  <si>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</si>
  <si>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</si>
  <si>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</si>
  <si>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</si>
  <si>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</si>
  <si>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</si>
  <si>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</si>
  <si>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</si>
  <si>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</si>
  <si>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</si>
  <si>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</si>
  <si>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</si>
  <si>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</si>
  <si>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</si>
  <si>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</si>
  <si>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</si>
  <si>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</si>
  <si>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</si>
  <si>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</si>
  <si>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</si>
  <si>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</si>
  <si>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</si>
  <si>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</si>
  <si>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</si>
  <si>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</si>
  <si>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</si>
  <si>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</si>
  <si>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</si>
  <si>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</si>
  <si>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</si>
  <si>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</si>
  <si>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</si>
  <si>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</si>
  <si>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</si>
  <si>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</si>
  <si>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</si>
  <si>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</si>
  <si>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</si>
  <si>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</si>
  <si>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</si>
  <si>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</si>
  <si>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</si>
  <si>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</si>
  <si>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</si>
  <si>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</si>
  <si>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</si>
  <si>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</si>
  <si>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</si>
  <si>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</si>
  <si>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</si>
  <si>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</si>
  <si>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</si>
  <si>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</si>
  <si>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</si>
  <si>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</si>
  <si>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</si>
  <si>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</si>
  <si>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</si>
  <si>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</si>
  <si>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</si>
  <si>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</si>
  <si>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</si>
  <si>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</si>
  <si>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</si>
  <si>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</si>
  <si>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</si>
  <si>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</si>
  <si>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</si>
  <si>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</si>
  <si>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</si>
  <si>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</si>
  <si>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</si>
  <si>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</si>
  <si>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</si>
  <si>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</si>
  <si>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</si>
  <si>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</si>
  <si>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</si>
  <si>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</si>
  <si>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</si>
  <si>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</si>
  <si>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</si>
  <si>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</si>
  <si>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</si>
  <si>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</si>
  <si>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</si>
  <si>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</si>
  <si>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</si>
  <si>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</si>
  <si>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</si>
  <si>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</si>
  <si>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</si>
  <si>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</si>
  <si>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</si>
  <si>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</si>
  <si>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</si>
  <si>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</si>
  <si>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</si>
  <si>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</si>
  <si>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</si>
  <si>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</si>
  <si>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</si>
  <si>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</si>
  <si>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</si>
  <si>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</si>
  <si>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</si>
  <si>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</si>
  <si>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</si>
  <si>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</si>
  <si>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</si>
  <si>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</si>
  <si>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</si>
  <si>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</si>
  <si>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</si>
  <si>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</si>
  <si>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</si>
  <si>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</si>
  <si>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</si>
  <si>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</si>
  <si>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</si>
  <si>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</si>
  <si>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</si>
  <si>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</si>
  <si>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</si>
  <si>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</si>
  <si>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</si>
  <si>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</si>
  <si>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</si>
  <si>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</si>
  <si>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</si>
  <si>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</si>
  <si>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</si>
  <si>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</si>
  <si>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</si>
  <si>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</si>
  <si>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</si>
  <si>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</si>
  <si>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</si>
  <si>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</si>
  <si>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</si>
  <si>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</si>
  <si>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</si>
  <si>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</si>
  <si>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</si>
  <si>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</si>
  <si>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</si>
  <si>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</si>
  <si>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</si>
  <si>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</si>
  <si>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</si>
  <si>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</si>
  <si>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</si>
  <si>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</si>
  <si>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</si>
  <si>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</si>
  <si>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</si>
  <si>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</si>
  <si>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</si>
  <si>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</si>
  <si>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</si>
  <si>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</si>
  <si>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</si>
  <si>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</si>
  <si>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</si>
  <si>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</si>
  <si>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</si>
  <si>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</si>
  <si>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</si>
  <si>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</si>
  <si>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</si>
  <si>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</si>
  <si>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</si>
  <si>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</si>
  <si>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</si>
  <si>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</si>
  <si>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</si>
  <si>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</si>
  <si>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</si>
  <si>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</si>
  <si>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</si>
  <si>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</si>
  <si>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</si>
  <si>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</si>
  <si>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</si>
  <si>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</si>
  <si>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</si>
  <si>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</si>
  <si>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</si>
  <si>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</si>
  <si>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</si>
  <si>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</si>
  <si>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</si>
  <si>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</si>
  <si>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</si>
  <si>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</si>
  <si>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</si>
  <si>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</si>
  <si>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</si>
  <si>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</si>
  <si>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</si>
  <si>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</si>
  <si>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</si>
  <si>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</si>
  <si>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</si>
  <si>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</si>
  <si>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</si>
  <si>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</si>
  <si>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</si>
  <si>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</si>
  <si>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</si>
  <si>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</si>
  <si>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</si>
  <si>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</si>
  <si>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</si>
  <si>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</si>
  <si>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</si>
  <si>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</si>
  <si>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</si>
  <si>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</si>
  <si>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</si>
  <si>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</si>
  <si>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</si>
  <si>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</si>
  <si>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</si>
  <si>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</si>
  <si>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</si>
  <si>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</si>
  <si>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</si>
  <si>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</si>
  <si>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</si>
  <si>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</si>
  <si>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</si>
  <si>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</si>
  <si>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</si>
  <si>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</si>
  <si>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</si>
  <si>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</si>
  <si>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</si>
  <si>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</si>
  <si>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</si>
  <si>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</si>
  <si>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</si>
  <si>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</si>
  <si>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</si>
  <si>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</si>
  <si>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</si>
  <si>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</si>
  <si>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</si>
  <si>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</si>
  <si>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</si>
  <si>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</si>
  <si>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</si>
  <si>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</si>
  <si>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</si>
  <si>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</si>
  <si>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</si>
  <si>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</si>
  <si>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</si>
  <si>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</si>
  <si>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</si>
  <si>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</si>
  <si>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</si>
  <si>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</si>
  <si>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</si>
  <si>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</si>
  <si>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</si>
  <si>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</si>
  <si>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</si>
  <si>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</si>
  <si>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</si>
  <si>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</si>
  <si>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</si>
  <si>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</si>
  <si>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</si>
  <si>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</si>
  <si>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</si>
  <si>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</si>
  <si>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</si>
  <si>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</si>
  <si>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</si>
  <si>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</si>
  <si>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</si>
  <si>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</si>
  <si>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</si>
  <si>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</si>
  <si>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</si>
  <si>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</si>
  <si>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</si>
  <si>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</si>
  <si>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</si>
  <si>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</si>
  <si>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</si>
  <si>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</si>
  <si>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</si>
  <si>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</si>
  <si>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</si>
  <si>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</si>
  <si>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</si>
  <si>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</si>
  <si>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</si>
  <si>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</si>
  <si>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</si>
  <si>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</si>
  <si>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</si>
  <si>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</si>
  <si>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</si>
  <si>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</si>
  <si>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</si>
  <si>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</si>
  <si>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</si>
  <si>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</si>
  <si>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</si>
  <si>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</si>
  <si>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</si>
  <si>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</si>
  <si>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</si>
  <si>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</si>
  <si>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</si>
  <si>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</si>
  <si>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</si>
  <si>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</si>
  <si>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</si>
  <si>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</si>
  <si>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</si>
  <si>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</si>
  <si>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</si>
  <si>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</si>
  <si>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</si>
  <si>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</si>
  <si>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</si>
  <si>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</si>
  <si>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</si>
  <si>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</si>
  <si>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</si>
  <si>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</si>
  <si>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</si>
  <si>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</si>
  <si>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</si>
  <si>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</si>
  <si>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</si>
  <si>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</si>
  <si>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</si>
  <si>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</si>
  <si>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</si>
  <si>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</si>
  <si>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</si>
  <si>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</si>
  <si>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</si>
  <si>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</si>
  <si>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</si>
  <si>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</si>
  <si>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</si>
  <si>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</si>
  <si>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</si>
  <si>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</si>
  <si>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</si>
  <si>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</si>
  <si>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</si>
  <si>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</si>
  <si>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</si>
  <si>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</si>
  <si>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</si>
  <si>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</si>
  <si>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</si>
  <si>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</si>
  <si>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</si>
  <si>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</si>
  <si>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</si>
  <si>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</si>
  <si>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</si>
  <si>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</si>
  <si>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</si>
  <si>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</si>
  <si>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</si>
  <si>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</si>
  <si>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</si>
  <si>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</si>
  <si>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</si>
  <si>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</si>
  <si>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</si>
  <si>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</si>
  <si>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</si>
  <si>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</si>
  <si>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</si>
  <si>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</si>
  <si>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</si>
  <si>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</si>
  <si>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</si>
  <si>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</si>
  <si>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</si>
  <si>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</si>
  <si>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</si>
  <si>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</si>
  <si>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</si>
  <si>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</si>
  <si>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</si>
  <si>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</si>
  <si>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</si>
  <si>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</si>
  <si>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</si>
  <si>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</si>
  <si>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</si>
  <si>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</si>
  <si>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</si>
  <si>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</si>
  <si>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</si>
  <si>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</si>
  <si>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</si>
  <si>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</si>
  <si>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</si>
  <si>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</si>
  <si>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</si>
  <si>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</si>
  <si>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</si>
  <si>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</si>
  <si>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</si>
  <si>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</si>
  <si>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</si>
  <si>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</si>
  <si>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</si>
  <si>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</si>
  <si>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</si>
  <si>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</si>
  <si>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</si>
  <si>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</si>
  <si>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</si>
  <si>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</si>
  <si>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</si>
  <si>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</si>
  <si>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</si>
  <si>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</si>
  <si>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</si>
  <si>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</si>
  <si>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</si>
  <si>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</si>
  <si>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</si>
  <si>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</si>
  <si>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</si>
  <si>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</si>
  <si>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</si>
  <si>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</si>
  <si>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</si>
  <si>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</si>
  <si>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</si>
  <si>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</si>
  <si>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</si>
  <si>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</si>
  <si>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</si>
  <si>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</si>
  <si>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</si>
  <si>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</si>
  <si>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</si>
  <si>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</si>
  <si>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</si>
  <si>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</si>
  <si>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</si>
  <si>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</si>
  <si>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</si>
  <si>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</si>
  <si>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</si>
  <si>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</si>
  <si>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</si>
  <si>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</si>
  <si>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</si>
  <si>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</si>
  <si>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</si>
  <si>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</si>
  <si>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</si>
  <si>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</si>
  <si>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</si>
  <si>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</si>
  <si>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</si>
  <si>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</si>
  <si>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</si>
  <si>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</si>
  <si>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</si>
  <si>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</si>
  <si>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</si>
  <si>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</si>
  <si>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</si>
  <si>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</si>
  <si>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</si>
  <si>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</si>
  <si>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</si>
  <si>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</si>
  <si>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</si>
  <si>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</si>
  <si>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</si>
  <si>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</si>
  <si>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</si>
  <si>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</si>
  <si>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</si>
  <si>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</si>
  <si>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</si>
  <si>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</si>
  <si>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</si>
  <si>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</si>
  <si>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</si>
  <si>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</si>
  <si>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</si>
  <si>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</si>
  <si>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</si>
  <si>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</si>
  <si>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</si>
  <si>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</si>
  <si>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</si>
  <si>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</si>
  <si>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</si>
  <si>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</si>
  <si>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</si>
  <si>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</si>
  <si>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</si>
  <si>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</si>
  <si>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</si>
  <si>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</si>
  <si>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</si>
  <si>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</si>
  <si>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</si>
  <si>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</si>
  <si>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</si>
  <si>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</si>
  <si>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</si>
  <si>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</si>
  <si>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</si>
  <si>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</si>
  <si>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</si>
  <si>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</si>
  <si>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</si>
  <si>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</si>
  <si>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</si>
  <si>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</si>
  <si>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</si>
  <si>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</si>
  <si>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</si>
  <si>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</si>
  <si>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</si>
  <si>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</si>
  <si>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</si>
  <si>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</si>
  <si>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</si>
  <si>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</si>
  <si>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</si>
  <si>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</si>
  <si>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</si>
  <si>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</si>
  <si>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</si>
  <si>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</si>
  <si>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</si>
  <si>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</si>
  <si>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</si>
  <si>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</si>
  <si>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</si>
  <si>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</si>
  <si>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</si>
  <si>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</si>
  <si>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</si>
  <si>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</si>
  <si>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</si>
  <si>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</si>
  <si>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</si>
  <si>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</si>
  <si>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</si>
  <si>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</si>
  <si>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</si>
  <si>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</si>
  <si>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</si>
  <si>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</si>
  <si>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</si>
  <si>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</si>
  <si>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</si>
  <si>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</si>
  <si>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</si>
  <si>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</si>
  <si>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</si>
  <si>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</si>
  <si>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</si>
  <si>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</si>
  <si>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</si>
  <si>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</si>
  <si>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</si>
  <si>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</si>
  <si>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</si>
  <si>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</si>
  <si>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</si>
  <si>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</si>
  <si>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</si>
  <si>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</si>
  <si>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</si>
  <si>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</si>
  <si>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</si>
  <si>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</si>
  <si>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</si>
  <si>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</si>
  <si>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</si>
  <si>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</si>
  <si>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</si>
  <si>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</si>
  <si>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</si>
  <si>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</si>
  <si>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</si>
  <si>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</si>
  <si>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</si>
  <si>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</si>
  <si>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</si>
  <si>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</si>
  <si>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</si>
  <si>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</si>
  <si>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</si>
  <si>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</si>
  <si>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</si>
  <si>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</si>
  <si>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</si>
  <si>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</si>
  <si>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</si>
  <si>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</si>
  <si>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</si>
  <si>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</si>
  <si>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</si>
  <si>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</si>
  <si>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</si>
  <si>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</si>
  <si>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</si>
  <si>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</si>
  <si>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</si>
  <si>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</si>
  <si>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</si>
  <si>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</si>
  <si>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</si>
  <si>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</si>
  <si>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</si>
  <si>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</si>
  <si>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</si>
  <si>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</si>
  <si>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</si>
  <si>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</si>
  <si>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</si>
  <si>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</si>
  <si>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</si>
  <si>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</si>
  <si>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</si>
  <si>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</si>
  <si>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</si>
  <si>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</si>
  <si>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</si>
  <si>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</si>
  <si>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</si>
  <si>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</si>
  <si>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</si>
  <si>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</si>
  <si>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</si>
  <si>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</si>
  <si>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</si>
  <si>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</si>
  <si>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</si>
  <si>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</si>
  <si>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</si>
  <si>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</si>
  <si>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</si>
  <si>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</si>
  <si>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</si>
  <si>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</si>
  <si>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</si>
  <si>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</si>
  <si>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</si>
  <si>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</si>
  <si>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</si>
  <si>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</si>
  <si>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</si>
  <si>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</si>
  <si>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</si>
  <si>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</si>
  <si>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</si>
  <si>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</si>
  <si>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</si>
  <si>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</si>
  <si>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</si>
  <si>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</si>
  <si>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</si>
  <si>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</si>
  <si>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</si>
  <si>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</si>
  <si>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</si>
  <si>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</si>
  <si>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</si>
  <si>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</si>
  <si>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</si>
  <si>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</si>
  <si>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</si>
  <si>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</si>
  <si>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</si>
  <si>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</si>
  <si>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</si>
  <si>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</si>
  <si>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</si>
  <si>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</si>
  <si>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</si>
  <si>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</si>
  <si>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</si>
  <si>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</si>
  <si>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</si>
  <si>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</si>
  <si>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</si>
  <si>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</si>
  <si>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</si>
  <si>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</si>
  <si>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</si>
  <si>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</si>
  <si>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</si>
  <si>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</si>
  <si>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</si>
  <si>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</si>
  <si>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</si>
  <si>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</si>
  <si>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</si>
  <si>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</si>
  <si>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</si>
  <si>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</si>
  <si>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</si>
  <si>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</si>
  <si>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</si>
  <si>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</si>
  <si>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</si>
  <si>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</si>
  <si>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</si>
  <si>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</si>
  <si>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</si>
  <si>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</si>
  <si>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</si>
  <si>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</si>
  <si>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</si>
  <si>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</si>
  <si>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</si>
  <si>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</si>
  <si>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</si>
  <si>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</si>
  <si>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</si>
  <si>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</si>
  <si>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</si>
  <si>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</si>
  <si>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</si>
  <si>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</si>
  <si>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</si>
  <si>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</si>
  <si>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</si>
  <si>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</si>
  <si>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</si>
  <si>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</si>
  <si>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</si>
  <si>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</si>
  <si>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</si>
  <si>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</si>
  <si>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</si>
  <si>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</si>
  <si>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</si>
  <si>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</si>
  <si>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</si>
  <si>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</si>
  <si>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</si>
  <si>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</si>
  <si>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</si>
  <si>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</si>
  <si>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</si>
  <si>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</si>
  <si>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</si>
  <si>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</si>
  <si>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</si>
  <si>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</si>
  <si>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</si>
  <si>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</si>
  <si>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</si>
  <si>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</si>
  <si>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</si>
  <si>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</si>
  <si>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</si>
  <si>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</si>
  <si>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</si>
  <si>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</si>
  <si>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</si>
  <si>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</si>
  <si>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</si>
  <si>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</si>
  <si>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</si>
  <si>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</si>
  <si>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</si>
  <si>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</si>
  <si>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</si>
  <si>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</si>
  <si>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</si>
  <si>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</si>
  <si>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</si>
  <si>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</si>
  <si>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</si>
  <si>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</si>
  <si>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</si>
  <si>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</si>
  <si>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</si>
  <si>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</si>
  <si>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</si>
  <si>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</si>
  <si>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</si>
  <si>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</si>
  <si>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</si>
  <si>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</si>
  <si>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</si>
  <si>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</si>
  <si>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</si>
  <si>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</si>
  <si>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</si>
  <si>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</si>
  <si>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</si>
  <si>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</si>
  <si>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</si>
  <si>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</si>
  <si>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</si>
  <si>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</si>
  <si>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</si>
  <si>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</si>
  <si>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</si>
  <si>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</si>
  <si>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</si>
  <si>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</si>
  <si>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</si>
  <si>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</si>
  <si>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</si>
  <si>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</si>
  <si>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</si>
  <si>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</si>
  <si>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</si>
  <si>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</si>
  <si>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</si>
  <si>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</si>
  <si>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</si>
  <si>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</si>
  <si>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</si>
  <si>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</si>
  <si>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</si>
  <si>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</si>
  <si>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</si>
  <si>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</si>
  <si>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</si>
  <si>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</si>
  <si>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</si>
  <si>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</si>
  <si>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</si>
  <si>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</si>
  <si>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</si>
  <si>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</si>
  <si>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</si>
  <si>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</si>
  <si>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</si>
  <si>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</si>
  <si>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</si>
  <si>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</si>
  <si>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</si>
  <si>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</si>
  <si>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</si>
  <si>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</si>
  <si>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</si>
  <si>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</si>
  <si>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</si>
  <si>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</si>
  <si>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</si>
  <si>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</si>
  <si>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</si>
  <si>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</si>
  <si>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</si>
  <si>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</si>
  <si>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</si>
  <si>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</si>
  <si>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</si>
  <si>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</si>
  <si>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</si>
  <si>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</si>
  <si>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</si>
  <si>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</si>
  <si>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</si>
  <si>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</si>
  <si>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</si>
  <si>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</si>
  <si>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</si>
  <si>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</si>
  <si>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</si>
  <si>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</si>
  <si>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</si>
  <si>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신규PLC
Address</t>
    <phoneticPr fontId="1" type="noConversion"/>
  </si>
  <si>
    <t>F0003</t>
  </si>
  <si>
    <t>M500</t>
    <phoneticPr fontId="1" type="noConversion"/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</si>
  <si>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</si>
  <si>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</si>
  <si>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</si>
  <si>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</si>
  <si>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</si>
  <si>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</si>
  <si>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</si>
  <si>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</si>
  <si>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</si>
  <si>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</si>
  <si>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</si>
  <si>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</si>
  <si>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</si>
  <si>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</si>
  <si>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</si>
  <si>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M800</t>
  </si>
  <si>
    <t>M808</t>
    <phoneticPr fontId="1" type="noConversion"/>
  </si>
  <si>
    <t>M516</t>
    <phoneticPr fontId="1" type="noConversion"/>
  </si>
  <si>
    <t>M517</t>
  </si>
  <si>
    <t>M518</t>
  </si>
  <si>
    <t>M519</t>
  </si>
  <si>
    <t>M520</t>
  </si>
  <si>
    <t>M521</t>
  </si>
  <si>
    <t>M522</t>
  </si>
  <si>
    <t>M523</t>
  </si>
  <si>
    <t>M816</t>
  </si>
  <si>
    <t>M817</t>
  </si>
  <si>
    <t>M818</t>
  </si>
  <si>
    <t>M524</t>
    <phoneticPr fontId="1" type="noConversion"/>
  </si>
  <si>
    <t>M525</t>
  </si>
  <si>
    <t>M526</t>
  </si>
  <si>
    <t>M527</t>
  </si>
  <si>
    <t>M820</t>
  </si>
  <si>
    <t>M528</t>
    <phoneticPr fontId="1" type="noConversion"/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</si>
  <si>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</si>
  <si>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</si>
  <si>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</si>
  <si>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</si>
  <si>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</si>
  <si>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</si>
  <si>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</si>
  <si>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</si>
  <si>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</si>
  <si>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</si>
  <si>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</si>
  <si>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</si>
  <si>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</si>
  <si>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</si>
  <si>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</si>
  <si>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</si>
  <si>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</si>
  <si>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</si>
  <si>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</si>
  <si>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</si>
  <si>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F2001</t>
  </si>
  <si>
    <t>F2002</t>
  </si>
  <si>
    <t>F2003</t>
  </si>
  <si>
    <t>F2004</t>
  </si>
  <si>
    <t>M200</t>
    <phoneticPr fontId="1" type="noConversion"/>
  </si>
  <si>
    <t>M201</t>
  </si>
  <si>
    <t>M202</t>
  </si>
  <si>
    <t>M203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</si>
  <si>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</si>
  <si>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</si>
  <si>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</si>
  <si>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</si>
  <si>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</si>
  <si>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</si>
  <si>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</si>
  <si>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</si>
  <si>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</si>
  <si>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</si>
  <si>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</si>
  <si>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</si>
  <si>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</si>
  <si>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</si>
  <si>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</si>
  <si>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</si>
  <si>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</si>
  <si>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</si>
  <si>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</si>
  <si>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</si>
  <si>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</si>
  <si>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</si>
  <si>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</si>
  <si>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</si>
  <si>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</si>
  <si>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</si>
  <si>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</si>
  <si>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</si>
  <si>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  <phoneticPr fontId="1" type="noConversion"/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</si>
  <si>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</si>
  <si>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</si>
  <si>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</si>
  <si>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</si>
  <si>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</si>
  <si>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</si>
  <si>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</si>
  <si>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</si>
  <si>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</si>
  <si>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</si>
  <si>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</si>
  <si>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</si>
  <si>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</si>
  <si>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</si>
  <si>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</si>
  <si>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</si>
  <si>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</si>
  <si>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</si>
  <si>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</si>
  <si>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M819</t>
    <phoneticPr fontId="1" type="noConversion"/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</si>
  <si>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</si>
  <si>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</si>
  <si>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</si>
  <si>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</si>
  <si>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</si>
  <si>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</si>
  <si>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</si>
  <si>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</si>
  <si>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</si>
  <si>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</si>
  <si>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</si>
  <si>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</si>
  <si>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</si>
  <si>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</si>
  <si>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</si>
  <si>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</si>
  <si>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</si>
  <si>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</si>
  <si>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공정명</t>
  </si>
  <si>
    <t>Center_댐핑시트 공급</t>
  </si>
  <si>
    <t>Center_댐핑시트 공급, 슬렛컨베어, 냉각이송</t>
  </si>
  <si>
    <t>Center_슬렛 컨베어</t>
  </si>
  <si>
    <t>Center_유밴더</t>
  </si>
  <si>
    <t>Center_유밴더, 클린칭, 터브이송</t>
  </si>
  <si>
    <t>Center_쿨링</t>
  </si>
  <si>
    <t>Center_쿨링 배출이송</t>
  </si>
  <si>
    <t>Center_클린칭</t>
  </si>
  <si>
    <t>Center_터브이송</t>
  </si>
  <si>
    <t>MAIN</t>
  </si>
  <si>
    <t>Upper&amp;Lower_Alarm</t>
  </si>
  <si>
    <t>Seaming</t>
  </si>
  <si>
    <t>Welding</t>
  </si>
  <si>
    <t>Lower_브라켓 용접</t>
  </si>
  <si>
    <t>Upper&amp;Lower_댐핑 시트 이송</t>
  </si>
  <si>
    <t>Upper&amp;Lower_슬렛컨베어</t>
  </si>
  <si>
    <t>Upper&amp;Lower_실링,배출 셔틀</t>
  </si>
  <si>
    <t>Upper&amp;Lower_용접 및 이송셔틀</t>
  </si>
  <si>
    <t>Upper&amp;Lower_용접 셔틀</t>
  </si>
  <si>
    <t>Upper&amp;Lower_커버이송</t>
  </si>
  <si>
    <t>Upper&amp;Lower_커버이송, 슬렛컨베어, 쿨링</t>
  </si>
  <si>
    <t>Upper&amp;Lower_쿨링</t>
  </si>
  <si>
    <t>Upper&amp;Lower_쿨링, 배출이송</t>
  </si>
  <si>
    <t>Upper_브라켓 용접</t>
  </si>
  <si>
    <t>Upper_커버 클린칭</t>
  </si>
  <si>
    <t>Seaming_공급셔틀</t>
  </si>
  <si>
    <t>Seaming_공급셔틀, 터브이송, 시밍, 플랜징</t>
  </si>
  <si>
    <t>Seaming_롤포밍</t>
  </si>
  <si>
    <t>Seaming_롤포밍, 유밴딩, 컨베이어</t>
  </si>
  <si>
    <t>Seaming_시밍</t>
  </si>
  <si>
    <t>Seaming_유밴딩</t>
  </si>
  <si>
    <t>Seaming_컨베이어</t>
  </si>
  <si>
    <t>Seaming_터브이송</t>
  </si>
  <si>
    <t>Seaming_플랜징</t>
  </si>
  <si>
    <t>Welding_공급로봇, 가스켓 로봇</t>
  </si>
  <si>
    <t>Welding_공급로봇, 가스켓로봇, 터브이송, 용접, 배출로봇</t>
  </si>
  <si>
    <t>Welding_도어프레임 공급로봇#2</t>
  </si>
  <si>
    <t>Welding_도어프레임 공급테이블</t>
  </si>
  <si>
    <t>Welding_도어프레임 공급테이블, 클린칭, 반전기, 공급로봇#1, 공급로봇#2</t>
  </si>
  <si>
    <t>Welding_도어프레임 반전기</t>
  </si>
  <si>
    <t>Welding_도어프레임 클린칭</t>
  </si>
  <si>
    <t>Welding_레일공급#1</t>
  </si>
  <si>
    <t>Welding_레일공급#2</t>
  </si>
  <si>
    <t>Welding_배출로봇</t>
  </si>
  <si>
    <t>Welding_사이드 브라켓 공급</t>
  </si>
  <si>
    <t>Welding_사이드 브라켓 공급, 레일공급#1, 레일공급#2</t>
  </si>
  <si>
    <t>Welding_용접</t>
  </si>
  <si>
    <t>Welding_터브이송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</si>
</sst>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LG스마트체 Regular"/>
      <family val="3"/>
      <charset val="129"/>
    </font>
    <font>
      <sz val="10"/>
      <name val="LG스마트체2.0 Regular"/>
      <family val="3"/>
      <charset val="129"/>
    </font>
    <font>
      <sz val="10"/>
      <name val="LG스마트체 Regular"/>
      <family val="3"/>
      <charset val="129"/>
    </font>
    <font>
      <b/>
      <sz val="10"/>
      <name val="LG스마트체2.0 Regular"/>
      <family val="3"/>
      <charset val="129"/>
    </font>
    <font>
      <sz val="8"/>
      <name val="맑은 고딕"/>
      <family val="3"/>
      <charset val="129"/>
    </font>
    <font>
      <b/>
      <sz val="10"/>
      <name val="LG스마트체 Regular"/>
      <family val="3"/>
      <charset val="129"/>
    </font>
    <font>
      <sz val="11"/>
      <color theme="1"/>
      <name val="LG스마트체2.0 Regular"/>
      <family val="3"/>
      <charset val="129"/>
    </font>
    <font>
      <sz val="11"/>
      <name val="LG스마트체 Regular"/>
      <family val="3"/>
      <charset val="129"/>
    </font>
    <font>
      <b/>
      <sz val="12"/>
      <color theme="0"/>
      <name val="Arial Narrow"/>
      <family val="2"/>
    </font>
    <font>
      <b/>
      <sz val="12"/>
      <color theme="0"/>
      <name val="LG스마트체 Regular"/>
      <family val="3"/>
      <charset val="129"/>
    </font>
    <font>
      <b/>
      <sz val="12"/>
      <color theme="0"/>
      <name val="돋움"/>
      <family val="3"/>
      <charset val="129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LG스마트체 Regular"/>
      <family val="3"/>
      <charset val="129"/>
    </font>
    <font>
      <sz val="12"/>
      <name val="Arial Narrow"/>
      <family val="2"/>
    </font>
    <font>
      <sz val="12"/>
      <name val="LG스마트체 Regular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LG스마트체2.0 Regular"/>
      <family val="3"/>
      <charset val="129"/>
    </font>
    <font>
      <sz val="11"/>
      <color rgb="FFFF0000"/>
      <name val="LG스마트체2.0 Regular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7EE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ont="0" applyFill="0" applyBorder="0" applyAlignment="0" applyProtection="0"/>
    <xf numFmtId="0" fontId="2" fillId="0" borderId="0"/>
    <xf numFmtId="0" fontId="21" fillId="0" borderId="0">
      <alignment vertical="center"/>
    </xf>
  </cellStyleXfs>
  <cellXfs count="110">
    <xf numFmtId="0" fontId="0" fillId="0" borderId="0" xfId="0">
      <alignment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>
      <alignment vertical="center"/>
    </xf>
    <xf numFmtId="0" fontId="6" fillId="0" borderId="0" xfId="1" applyFont="1">
      <alignment vertical="center"/>
    </xf>
    <xf numFmtId="0" fontId="8" fillId="5" borderId="1" xfId="2" applyNumberFormat="1" applyFont="1" applyFill="1" applyBorder="1" applyAlignment="1">
      <alignment horizontal="center" vertical="center"/>
    </xf>
    <xf numFmtId="0" fontId="8" fillId="5" borderId="1" xfId="2" applyNumberFormat="1" applyFont="1" applyFill="1" applyBorder="1" applyAlignment="1">
      <alignment horizontal="center" vertical="center" wrapText="1"/>
    </xf>
    <xf numFmtId="0" fontId="10" fillId="5" borderId="1" xfId="2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 wrapText="1"/>
    </xf>
    <xf numFmtId="0" fontId="22" fillId="0" borderId="1" xfId="4" applyFont="1" applyBorder="1" applyAlignment="1">
      <alignment horizontal="left" vertical="center" wrapText="1"/>
    </xf>
    <xf numFmtId="0" fontId="22" fillId="2" borderId="1" xfId="4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12" fillId="0" borderId="1" xfId="1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24" fillId="9" borderId="1" xfId="4" applyFont="1" applyFill="1" applyBorder="1" applyAlignment="1">
      <alignment horizontal="left" vertical="center" wrapText="1"/>
    </xf>
    <xf numFmtId="0" fontId="12" fillId="0" borderId="0" xfId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/>
    </xf>
    <xf numFmtId="0" fontId="25" fillId="0" borderId="1" xfId="1" applyFont="1" applyBorder="1">
      <alignment vertical="center"/>
    </xf>
    <xf numFmtId="0" fontId="25" fillId="0" borderId="0" xfId="1" applyFont="1" applyAlignment="1">
      <alignment horizontal="center" vertical="center"/>
    </xf>
    <xf numFmtId="0" fontId="25" fillId="0" borderId="0" xfId="1" applyFont="1">
      <alignment vertical="center"/>
    </xf>
    <xf numFmtId="0" fontId="0" fillId="8" borderId="1" xfId="0" applyFill="1" applyBorder="1" applyAlignment="1">
      <alignment horizontal="center" vertical="center"/>
    </xf>
    <xf numFmtId="0" fontId="26" fillId="0" borderId="1" xfId="1" applyFont="1" applyBorder="1">
      <alignment vertical="center"/>
    </xf>
    <xf numFmtId="0" fontId="0" fillId="0" borderId="1" xfId="0" applyBorder="1">
      <alignment vertical="center"/>
    </xf>
    <xf numFmtId="0" fontId="25" fillId="2" borderId="1" xfId="1" applyFont="1" applyFill="1" applyBorder="1">
      <alignment vertical="center"/>
    </xf>
    <xf numFmtId="0" fontId="25" fillId="8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4" fillId="2" borderId="1" xfId="4" applyFont="1" applyFill="1" applyBorder="1" applyAlignment="1">
      <alignment horizontal="left" vertical="center" wrapText="1"/>
    </xf>
    <xf numFmtId="0" fontId="24" fillId="0" borderId="1" xfId="4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22" fillId="9" borderId="5" xfId="4" applyFont="1" applyFill="1" applyBorder="1" applyAlignment="1">
      <alignment horizontal="left" vertical="center" wrapText="1"/>
    </xf>
    <xf numFmtId="49" fontId="22" fillId="2" borderId="5" xfId="4" applyNumberFormat="1" applyFont="1" applyFill="1" applyBorder="1" applyAlignment="1">
      <alignment horizontal="center" vertical="center" wrapText="1"/>
    </xf>
    <xf numFmtId="0" fontId="6" fillId="0" borderId="1" xfId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22" fillId="9" borderId="1" xfId="4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25" fillId="0" borderId="9" xfId="1" applyFont="1" applyBorder="1" applyAlignment="1">
      <alignment horizontal="center" vertical="center"/>
    </xf>
    <xf numFmtId="0" fontId="25" fillId="0" borderId="9" xfId="1" applyFont="1" applyBorder="1" applyAlignment="1">
      <alignment horizontal="center"/>
    </xf>
    <xf numFmtId="0" fontId="22" fillId="9" borderId="10" xfId="4" applyFont="1" applyFill="1" applyBorder="1" applyAlignment="1">
      <alignment horizontal="left" vertical="center" wrapText="1"/>
    </xf>
    <xf numFmtId="0" fontId="22" fillId="0" borderId="9" xfId="4" applyFont="1" applyBorder="1" applyAlignment="1">
      <alignment horizontal="left" vertical="center" wrapText="1"/>
    </xf>
    <xf numFmtId="0" fontId="6" fillId="0" borderId="9" xfId="1" applyFont="1" applyBorder="1">
      <alignment vertical="center"/>
    </xf>
    <xf numFmtId="0" fontId="6" fillId="0" borderId="9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25" fillId="0" borderId="13" xfId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/>
    </xf>
    <xf numFmtId="0" fontId="22" fillId="9" borderId="15" xfId="4" applyFont="1" applyFill="1" applyBorder="1" applyAlignment="1">
      <alignment horizontal="left" vertical="center" wrapText="1"/>
    </xf>
    <xf numFmtId="0" fontId="22" fillId="0" borderId="15" xfId="4" applyFont="1" applyBorder="1" applyAlignment="1">
      <alignment horizontal="left" vertical="center" wrapText="1"/>
    </xf>
    <xf numFmtId="0" fontId="6" fillId="0" borderId="15" xfId="1" applyFont="1" applyBorder="1">
      <alignment vertical="center"/>
    </xf>
    <xf numFmtId="0" fontId="6" fillId="0" borderId="15" xfId="1" applyFont="1" applyBorder="1" applyAlignment="1">
      <alignment horizontal="center" vertical="center"/>
    </xf>
    <xf numFmtId="0" fontId="25" fillId="0" borderId="16" xfId="1" applyFont="1" applyBorder="1" applyAlignment="1">
      <alignment horizontal="center" vertical="center"/>
    </xf>
    <xf numFmtId="0" fontId="22" fillId="2" borderId="9" xfId="4" applyFont="1" applyFill="1" applyBorder="1" applyAlignment="1">
      <alignment horizontal="left" vertical="center" wrapText="1"/>
    </xf>
    <xf numFmtId="0" fontId="25" fillId="0" borderId="9" xfId="1" applyFont="1" applyBorder="1">
      <alignment vertical="center"/>
    </xf>
    <xf numFmtId="0" fontId="22" fillId="2" borderId="15" xfId="4" applyFont="1" applyFill="1" applyBorder="1" applyAlignment="1">
      <alignment horizontal="left" vertical="center" wrapText="1"/>
    </xf>
    <xf numFmtId="0" fontId="25" fillId="0" borderId="15" xfId="1" applyFont="1" applyBorder="1">
      <alignment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2" fillId="9" borderId="0" xfId="4" applyFont="1" applyFill="1" applyAlignment="1">
      <alignment horizontal="left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</cellXfs>
  <cellStyles count="5">
    <cellStyle name="0,0_x000d__x000a_NA_x000d__x000a_" xfId="3" xr:uid="{00000000-0005-0000-0000-000000000000}"/>
    <cellStyle name="표준" xfId="0" builtinId="0"/>
    <cellStyle name="표준 2" xfId="4" xr:uid="{00000000-0005-0000-0000-000002000000}"/>
    <cellStyle name="표준 2 2" xfId="2" xr:uid="{00000000-0005-0000-0000-000003000000}"/>
    <cellStyle name="표준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10B8A9-DD35-4EEE-8F2F-1219BBA097DF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2:O2081"/>
  <sheetViews>
    <sheetView tabSelected="1" zoomScale="85" zoomScaleNormal="85" workbookViewId="0">
      <pane ySplit="3" topLeftCell="A4" activePane="bottomLeft" state="frozen"/>
      <selection pane="bottomLeft" activeCell="A64" sqref="A64"/>
    </sheetView>
  </sheetViews>
  <sheetFormatPr defaultColWidth="9" defaultRowHeight="13"/>
  <cols>
    <col min="1" max="1" width="47.08203125" style="15" bestFit="1" customWidth="1"/>
    <col min="2" max="2" width="13.83203125" style="15" hidden="1" customWidth="1"/>
    <col min="3" max="3" width="5.83203125" style="15" customWidth="1"/>
    <col min="4" max="4" width="12.08203125" style="15" customWidth="1"/>
    <col min="5" max="5" width="90.83203125" style="5" hidden="1" customWidth="1"/>
    <col min="6" max="6" width="48.33203125" style="16" customWidth="1"/>
    <col min="7" max="7" width="8.83203125" style="16" customWidth="1"/>
    <col min="8" max="8" width="12.4140625" style="15" bestFit="1" customWidth="1"/>
    <col min="9" max="9" width="25.25" style="15" bestFit="1" customWidth="1"/>
    <col min="10" max="10" width="9.33203125" style="5" bestFit="1" customWidth="1"/>
    <col min="11" max="11" width="26.33203125" style="5" customWidth="1"/>
    <col min="12" max="12" width="4.58203125" style="15" hidden="1" customWidth="1"/>
    <col min="13" max="13" width="0" style="5" hidden="1" customWidth="1"/>
    <col min="14" max="14" width="26" style="5" hidden="1" customWidth="1"/>
    <col min="15" max="15" width="29.58203125" style="5" hidden="1" customWidth="1"/>
    <col min="16" max="16384" width="9" style="5"/>
  </cols>
  <sheetData>
    <row r="2" spans="1:15" ht="78">
      <c r="A2" s="102" t="s">
        <v>0</v>
      </c>
      <c r="B2" s="2" t="s">
        <v>4</v>
      </c>
      <c r="C2" s="1" t="s">
        <v>3</v>
      </c>
      <c r="D2" s="1" t="s">
        <v>3</v>
      </c>
      <c r="E2" s="3" t="s">
        <v>0</v>
      </c>
      <c r="F2" s="3" t="s">
        <v>0</v>
      </c>
      <c r="G2" s="1" t="s">
        <v>0</v>
      </c>
      <c r="H2" s="1" t="s">
        <v>0</v>
      </c>
      <c r="I2" s="1" t="s">
        <v>103</v>
      </c>
      <c r="J2" s="1"/>
      <c r="K2" s="1"/>
      <c r="L2" s="36"/>
    </row>
    <row r="3" spans="1:15" ht="26">
      <c r="A3" s="6" t="s">
        <v>6791</v>
      </c>
      <c r="B3" s="6" t="s">
        <v>9</v>
      </c>
      <c r="C3" s="7" t="s">
        <v>10</v>
      </c>
      <c r="D3" s="6" t="s">
        <v>12</v>
      </c>
      <c r="E3" s="6" t="s">
        <v>13</v>
      </c>
      <c r="F3" s="8" t="s">
        <v>14</v>
      </c>
      <c r="G3" s="38" t="s">
        <v>6804</v>
      </c>
      <c r="H3" s="38" t="s">
        <v>8851</v>
      </c>
      <c r="I3" s="9" t="s">
        <v>156</v>
      </c>
      <c r="J3" s="9" t="s">
        <v>151</v>
      </c>
      <c r="K3" s="9" t="s">
        <v>152</v>
      </c>
      <c r="L3" s="37"/>
    </row>
    <row r="4" spans="1:15" s="49" customFormat="1" ht="14.15" customHeight="1">
      <c r="A4" s="43" t="s">
        <v>2148</v>
      </c>
      <c r="B4" s="11"/>
      <c r="C4" s="11" t="s">
        <v>18</v>
      </c>
      <c r="D4" s="45" t="s">
        <v>16</v>
      </c>
      <c r="E4" s="46"/>
      <c r="F4" s="62" t="s">
        <v>2152</v>
      </c>
      <c r="G4" s="63" t="s">
        <v>6806</v>
      </c>
      <c r="H4" s="99" t="str">
        <f>"W"&amp;DEC2HEX(2048 + INT((ROW()-4)/16)) &amp; "." &amp; IF(MOD(ROW()-4,16)&lt;10,MOD(ROW()-4,16),CHAR(MOD(ROW()-4,16)+55))</f>
        <v>W800.0</v>
      </c>
      <c r="I4" s="13" t="s">
        <v>108</v>
      </c>
      <c r="J4" s="13" t="s">
        <v>150</v>
      </c>
      <c r="K4" s="33" t="s">
        <v>115</v>
      </c>
      <c r="L4" s="48"/>
      <c r="M4" s="49" t="str">
        <f>"["&amp;H4&amp;"]"</f>
        <v>[W800.0]</v>
      </c>
      <c r="N4" s="12" t="str">
        <f>RIGHT(F4,LEN(F4)-7)</f>
        <v>비문제로 인한 정지</v>
      </c>
      <c r="O4" s="49" t="str">
        <f>M4&amp;N4</f>
        <v>[W800.0]비문제로 인한 정지</v>
      </c>
    </row>
    <row r="5" spans="1:15" s="49" customFormat="1" ht="14.15" customHeight="1">
      <c r="A5" s="43" t="s">
        <v>2148</v>
      </c>
      <c r="B5" s="11"/>
      <c r="C5" s="11" t="s">
        <v>18</v>
      </c>
      <c r="D5" s="45" t="s">
        <v>16</v>
      </c>
      <c r="E5" s="46"/>
      <c r="F5" s="62" t="s">
        <v>2153</v>
      </c>
      <c r="G5" s="63" t="s">
        <v>6807</v>
      </c>
      <c r="H5" s="99" t="str">
        <f t="shared" ref="H5:H49" si="0">"W"&amp;DEC2HEX(2048 + INT((ROW()-4)/16)) &amp; "." &amp; IF(MOD(ROW()-4,16)&lt;10,MOD(ROW()-4,16),CHAR(MOD(ROW()-4,16)+55))</f>
        <v>W800.1</v>
      </c>
      <c r="I5" s="13" t="s">
        <v>108</v>
      </c>
      <c r="J5" s="13" t="s">
        <v>149</v>
      </c>
      <c r="K5" s="33" t="s">
        <v>121</v>
      </c>
      <c r="L5" s="48"/>
      <c r="N5" s="12"/>
    </row>
    <row r="6" spans="1:15" s="49" customFormat="1" ht="14.15" customHeight="1">
      <c r="A6" s="43" t="s">
        <v>2148</v>
      </c>
      <c r="B6" s="11"/>
      <c r="C6" s="11" t="s">
        <v>18</v>
      </c>
      <c r="D6" s="45" t="s">
        <v>16</v>
      </c>
      <c r="E6" s="46"/>
      <c r="F6" s="62" t="s">
        <v>2154</v>
      </c>
      <c r="G6" s="63" t="s">
        <v>6808</v>
      </c>
      <c r="H6" s="99" t="str">
        <f t="shared" si="0"/>
        <v>W800.2</v>
      </c>
      <c r="I6" s="13" t="s">
        <v>108</v>
      </c>
      <c r="J6" s="13" t="s">
        <v>119</v>
      </c>
      <c r="K6" s="33" t="s">
        <v>116</v>
      </c>
      <c r="L6" s="48"/>
      <c r="N6" s="12"/>
    </row>
    <row r="7" spans="1:15" s="49" customFormat="1" ht="14.15" customHeight="1">
      <c r="A7" s="43" t="s">
        <v>2148</v>
      </c>
      <c r="B7" s="11"/>
      <c r="C7" s="11" t="s">
        <v>18</v>
      </c>
      <c r="D7" s="45" t="s">
        <v>16</v>
      </c>
      <c r="E7" s="46"/>
      <c r="F7" s="66" t="s">
        <v>2155</v>
      </c>
      <c r="G7" s="63" t="s">
        <v>6809</v>
      </c>
      <c r="H7" s="99" t="str">
        <f t="shared" si="0"/>
        <v>W800.3</v>
      </c>
      <c r="I7" s="13" t="s">
        <v>108</v>
      </c>
      <c r="J7" s="13" t="s">
        <v>148</v>
      </c>
      <c r="K7" s="33" t="s">
        <v>122</v>
      </c>
      <c r="L7" s="48"/>
      <c r="N7" s="12"/>
    </row>
    <row r="8" spans="1:15" s="49" customFormat="1" ht="14.15" customHeight="1">
      <c r="A8" s="43" t="s">
        <v>2149</v>
      </c>
      <c r="B8" s="11"/>
      <c r="C8" s="11" t="s">
        <v>18</v>
      </c>
      <c r="D8" s="45" t="s">
        <v>16</v>
      </c>
      <c r="E8" s="46"/>
      <c r="F8" s="62" t="s">
        <v>2156</v>
      </c>
      <c r="G8" s="63" t="s">
        <v>6810</v>
      </c>
      <c r="H8" s="99" t="str">
        <f t="shared" si="0"/>
        <v>W800.4</v>
      </c>
      <c r="I8" s="13" t="s">
        <v>108</v>
      </c>
      <c r="J8" s="13" t="s">
        <v>150</v>
      </c>
      <c r="K8" s="33" t="s">
        <v>115</v>
      </c>
      <c r="L8" s="48"/>
      <c r="N8" s="12"/>
    </row>
    <row r="9" spans="1:15" s="49" customFormat="1" ht="14.15" customHeight="1">
      <c r="A9" s="43" t="s">
        <v>2149</v>
      </c>
      <c r="B9" s="11"/>
      <c r="C9" s="11" t="s">
        <v>18</v>
      </c>
      <c r="D9" s="45" t="s">
        <v>16</v>
      </c>
      <c r="E9" s="46"/>
      <c r="F9" s="62" t="s">
        <v>2157</v>
      </c>
      <c r="G9" s="63" t="s">
        <v>6811</v>
      </c>
      <c r="H9" s="99" t="str">
        <f t="shared" si="0"/>
        <v>W800.5</v>
      </c>
      <c r="I9" s="13" t="s">
        <v>108</v>
      </c>
      <c r="J9" s="13" t="s">
        <v>149</v>
      </c>
      <c r="K9" s="33" t="s">
        <v>121</v>
      </c>
      <c r="L9" s="48"/>
      <c r="N9" s="12"/>
    </row>
    <row r="10" spans="1:15" s="49" customFormat="1" ht="14.15" customHeight="1">
      <c r="A10" s="43" t="s">
        <v>2149</v>
      </c>
      <c r="B10" s="11"/>
      <c r="C10" s="11" t="s">
        <v>18</v>
      </c>
      <c r="D10" s="45" t="s">
        <v>16</v>
      </c>
      <c r="E10" s="46"/>
      <c r="F10" s="62" t="s">
        <v>2158</v>
      </c>
      <c r="G10" s="63" t="s">
        <v>6812</v>
      </c>
      <c r="H10" s="99" t="str">
        <f t="shared" si="0"/>
        <v>W800.6</v>
      </c>
      <c r="I10" s="13" t="s">
        <v>108</v>
      </c>
      <c r="J10" s="13" t="s">
        <v>119</v>
      </c>
      <c r="K10" s="33" t="s">
        <v>116</v>
      </c>
      <c r="L10" s="48"/>
      <c r="N10" s="12"/>
    </row>
    <row r="11" spans="1:15" s="49" customFormat="1" ht="14.15" customHeight="1">
      <c r="A11" s="43" t="s">
        <v>2149</v>
      </c>
      <c r="B11" s="11"/>
      <c r="C11" s="11" t="s">
        <v>18</v>
      </c>
      <c r="D11" s="45" t="s">
        <v>16</v>
      </c>
      <c r="E11" s="46"/>
      <c r="F11" s="66" t="s">
        <v>2159</v>
      </c>
      <c r="G11" s="63" t="s">
        <v>6813</v>
      </c>
      <c r="H11" s="99" t="str">
        <f t="shared" si="0"/>
        <v>W800.7</v>
      </c>
      <c r="I11" s="13" t="s">
        <v>108</v>
      </c>
      <c r="J11" s="13" t="s">
        <v>148</v>
      </c>
      <c r="K11" s="33" t="s">
        <v>122</v>
      </c>
      <c r="L11" s="48"/>
      <c r="N11" s="12"/>
    </row>
    <row r="12" spans="1:15" s="49" customFormat="1" ht="14.15" customHeight="1">
      <c r="A12" s="43" t="s">
        <v>2150</v>
      </c>
      <c r="B12" s="11"/>
      <c r="C12" s="11" t="s">
        <v>18</v>
      </c>
      <c r="D12" s="45" t="s">
        <v>16</v>
      </c>
      <c r="E12" s="46"/>
      <c r="F12" s="62" t="s">
        <v>2160</v>
      </c>
      <c r="G12" s="63" t="s">
        <v>6814</v>
      </c>
      <c r="H12" s="99" t="str">
        <f t="shared" si="0"/>
        <v>W800.8</v>
      </c>
      <c r="I12" s="13" t="s">
        <v>108</v>
      </c>
      <c r="J12" s="13" t="s">
        <v>150</v>
      </c>
      <c r="K12" s="33" t="s">
        <v>115</v>
      </c>
      <c r="L12" s="48"/>
      <c r="N12" s="12"/>
    </row>
    <row r="13" spans="1:15" s="49" customFormat="1" ht="14.15" customHeight="1">
      <c r="A13" s="43" t="s">
        <v>2150</v>
      </c>
      <c r="B13" s="11"/>
      <c r="C13" s="11" t="s">
        <v>18</v>
      </c>
      <c r="D13" s="45" t="s">
        <v>16</v>
      </c>
      <c r="E13" s="46"/>
      <c r="F13" s="62" t="s">
        <v>2161</v>
      </c>
      <c r="G13" s="63" t="s">
        <v>6815</v>
      </c>
      <c r="H13" s="99" t="str">
        <f t="shared" si="0"/>
        <v>W800.9</v>
      </c>
      <c r="I13" s="13" t="s">
        <v>108</v>
      </c>
      <c r="J13" s="13" t="s">
        <v>149</v>
      </c>
      <c r="K13" s="33" t="s">
        <v>121</v>
      </c>
      <c r="L13" s="48"/>
      <c r="N13" s="12"/>
    </row>
    <row r="14" spans="1:15" s="49" customFormat="1" ht="14.15" customHeight="1">
      <c r="A14" s="43" t="s">
        <v>2150</v>
      </c>
      <c r="B14" s="11"/>
      <c r="C14" s="11" t="s">
        <v>18</v>
      </c>
      <c r="D14" s="45" t="s">
        <v>16</v>
      </c>
      <c r="E14" s="46"/>
      <c r="F14" s="62" t="s">
        <v>2162</v>
      </c>
      <c r="G14" s="63" t="s">
        <v>6816</v>
      </c>
      <c r="H14" s="99" t="str">
        <f t="shared" si="0"/>
        <v>W800.A</v>
      </c>
      <c r="I14" s="13" t="s">
        <v>108</v>
      </c>
      <c r="J14" s="13" t="s">
        <v>119</v>
      </c>
      <c r="K14" s="33" t="s">
        <v>116</v>
      </c>
      <c r="L14" s="48"/>
      <c r="N14" s="12"/>
    </row>
    <row r="15" spans="1:15" s="49" customFormat="1" ht="14.15" customHeight="1">
      <c r="A15" s="43" t="s">
        <v>2150</v>
      </c>
      <c r="B15" s="11"/>
      <c r="C15" s="11" t="s">
        <v>18</v>
      </c>
      <c r="D15" s="45" t="s">
        <v>16</v>
      </c>
      <c r="E15" s="46"/>
      <c r="F15" s="66" t="s">
        <v>2163</v>
      </c>
      <c r="G15" s="63" t="s">
        <v>6817</v>
      </c>
      <c r="H15" s="99" t="str">
        <f t="shared" si="0"/>
        <v>W800.B</v>
      </c>
      <c r="I15" s="13" t="s">
        <v>108</v>
      </c>
      <c r="J15" s="13" t="s">
        <v>148</v>
      </c>
      <c r="K15" s="33" t="s">
        <v>122</v>
      </c>
      <c r="L15" s="48"/>
      <c r="N15" s="12"/>
    </row>
    <row r="16" spans="1:15" s="49" customFormat="1" ht="14.15" customHeight="1">
      <c r="A16" s="43" t="s">
        <v>2151</v>
      </c>
      <c r="B16" s="11"/>
      <c r="C16" s="11" t="s">
        <v>18</v>
      </c>
      <c r="D16" s="45" t="s">
        <v>16</v>
      </c>
      <c r="E16" s="46"/>
      <c r="F16" s="62" t="s">
        <v>2164</v>
      </c>
      <c r="G16" s="63" t="s">
        <v>6818</v>
      </c>
      <c r="H16" s="99" t="str">
        <f t="shared" si="0"/>
        <v>W800.C</v>
      </c>
      <c r="I16" s="13" t="s">
        <v>108</v>
      </c>
      <c r="J16" s="13" t="s">
        <v>150</v>
      </c>
      <c r="K16" s="33" t="s">
        <v>115</v>
      </c>
      <c r="L16" s="48"/>
      <c r="N16" s="12"/>
    </row>
    <row r="17" spans="1:14" s="49" customFormat="1" ht="14.15" customHeight="1">
      <c r="A17" s="43" t="s">
        <v>2151</v>
      </c>
      <c r="B17" s="11"/>
      <c r="C17" s="11" t="s">
        <v>18</v>
      </c>
      <c r="D17" s="45" t="s">
        <v>16</v>
      </c>
      <c r="E17" s="46"/>
      <c r="F17" s="62" t="s">
        <v>2165</v>
      </c>
      <c r="G17" s="63" t="s">
        <v>6819</v>
      </c>
      <c r="H17" s="99" t="str">
        <f t="shared" si="0"/>
        <v>W800.D</v>
      </c>
      <c r="I17" s="13" t="s">
        <v>108</v>
      </c>
      <c r="J17" s="13" t="s">
        <v>149</v>
      </c>
      <c r="K17" s="33" t="s">
        <v>121</v>
      </c>
      <c r="L17" s="48"/>
      <c r="N17" s="12"/>
    </row>
    <row r="18" spans="1:14" s="49" customFormat="1" ht="14.15" customHeight="1">
      <c r="A18" s="43" t="s">
        <v>2151</v>
      </c>
      <c r="B18" s="11"/>
      <c r="C18" s="11" t="s">
        <v>18</v>
      </c>
      <c r="D18" s="45" t="s">
        <v>16</v>
      </c>
      <c r="E18" s="46"/>
      <c r="F18" s="62" t="s">
        <v>2166</v>
      </c>
      <c r="G18" s="63" t="s">
        <v>6820</v>
      </c>
      <c r="H18" s="99" t="str">
        <f t="shared" si="0"/>
        <v>W800.E</v>
      </c>
      <c r="I18" s="13" t="s">
        <v>108</v>
      </c>
      <c r="J18" s="13" t="s">
        <v>119</v>
      </c>
      <c r="K18" s="33" t="s">
        <v>116</v>
      </c>
      <c r="L18" s="48"/>
      <c r="N18" s="12"/>
    </row>
    <row r="19" spans="1:14" s="49" customFormat="1" ht="14.15" customHeight="1">
      <c r="A19" s="43" t="s">
        <v>2151</v>
      </c>
      <c r="B19" s="11"/>
      <c r="C19" s="11" t="s">
        <v>18</v>
      </c>
      <c r="D19" s="45" t="s">
        <v>16</v>
      </c>
      <c r="E19" s="46"/>
      <c r="F19" s="66" t="s">
        <v>2167</v>
      </c>
      <c r="G19" s="63" t="s">
        <v>6821</v>
      </c>
      <c r="H19" s="99" t="str">
        <f t="shared" si="0"/>
        <v>W800.F</v>
      </c>
      <c r="I19" s="13" t="s">
        <v>108</v>
      </c>
      <c r="J19" s="13" t="s">
        <v>148</v>
      </c>
      <c r="K19" s="33" t="s">
        <v>122</v>
      </c>
      <c r="L19" s="48"/>
      <c r="N19" s="12"/>
    </row>
    <row r="20" spans="1:14" s="49" customFormat="1" ht="14.15" customHeight="1">
      <c r="A20" s="43" t="s">
        <v>3722</v>
      </c>
      <c r="B20" s="11" t="s">
        <v>18</v>
      </c>
      <c r="C20" s="11" t="s">
        <v>18</v>
      </c>
      <c r="D20" s="65" t="s">
        <v>16</v>
      </c>
      <c r="E20" s="62" t="s">
        <v>2168</v>
      </c>
      <c r="F20" s="62" t="s">
        <v>2178</v>
      </c>
      <c r="G20" s="63" t="s">
        <v>6822</v>
      </c>
      <c r="H20" s="99" t="str">
        <f t="shared" si="0"/>
        <v>W801.0</v>
      </c>
      <c r="I20" s="13" t="s">
        <v>109</v>
      </c>
      <c r="J20" s="13" t="s">
        <v>148</v>
      </c>
      <c r="K20" s="34" t="s">
        <v>117</v>
      </c>
      <c r="L20" s="48"/>
      <c r="N20" s="12"/>
    </row>
    <row r="21" spans="1:14" s="49" customFormat="1" ht="14.15" customHeight="1">
      <c r="A21" s="43" t="s">
        <v>3722</v>
      </c>
      <c r="B21" s="11" t="s">
        <v>18</v>
      </c>
      <c r="C21" s="11" t="s">
        <v>18</v>
      </c>
      <c r="D21" s="65" t="s">
        <v>16</v>
      </c>
      <c r="E21" s="62" t="s">
        <v>2169</v>
      </c>
      <c r="F21" s="62" t="s">
        <v>2179</v>
      </c>
      <c r="G21" s="63" t="s">
        <v>6823</v>
      </c>
      <c r="H21" s="99" t="str">
        <f t="shared" si="0"/>
        <v>W801.1</v>
      </c>
      <c r="I21" s="13" t="s">
        <v>109</v>
      </c>
      <c r="J21" s="13" t="s">
        <v>148</v>
      </c>
      <c r="K21" s="34" t="s">
        <v>118</v>
      </c>
      <c r="L21" s="48"/>
      <c r="N21" s="12"/>
    </row>
    <row r="22" spans="1:14" s="49" customFormat="1" ht="14.15" customHeight="1">
      <c r="A22" s="43" t="s">
        <v>3722</v>
      </c>
      <c r="B22" s="11" t="s">
        <v>18</v>
      </c>
      <c r="C22" s="11" t="s">
        <v>18</v>
      </c>
      <c r="D22" s="65" t="s">
        <v>16</v>
      </c>
      <c r="E22" s="62" t="s">
        <v>2170</v>
      </c>
      <c r="F22" s="62" t="s">
        <v>2180</v>
      </c>
      <c r="G22" s="63" t="s">
        <v>6824</v>
      </c>
      <c r="H22" s="99" t="str">
        <f t="shared" si="0"/>
        <v>W801.2</v>
      </c>
      <c r="I22" s="13" t="s">
        <v>109</v>
      </c>
      <c r="J22" s="13" t="s">
        <v>149</v>
      </c>
      <c r="K22" s="34" t="s">
        <v>110</v>
      </c>
      <c r="L22" s="48"/>
      <c r="N22" s="12"/>
    </row>
    <row r="23" spans="1:14" s="49" customFormat="1" ht="14.15" customHeight="1">
      <c r="A23" s="43" t="s">
        <v>3722</v>
      </c>
      <c r="B23" s="11" t="s">
        <v>18</v>
      </c>
      <c r="C23" s="11" t="s">
        <v>18</v>
      </c>
      <c r="D23" s="65" t="s">
        <v>16</v>
      </c>
      <c r="E23" s="62" t="s">
        <v>2171</v>
      </c>
      <c r="F23" s="62" t="s">
        <v>2181</v>
      </c>
      <c r="G23" s="63" t="s">
        <v>6825</v>
      </c>
      <c r="H23" s="99" t="str">
        <f t="shared" si="0"/>
        <v>W801.3</v>
      </c>
      <c r="I23" s="13" t="s">
        <v>109</v>
      </c>
      <c r="J23" s="13" t="s">
        <v>119</v>
      </c>
      <c r="K23" s="34" t="s">
        <v>119</v>
      </c>
      <c r="L23" s="48"/>
      <c r="N23" s="12"/>
    </row>
    <row r="24" spans="1:14" s="49" customFormat="1" ht="14.15" customHeight="1">
      <c r="A24" s="43" t="s">
        <v>3722</v>
      </c>
      <c r="B24" s="11" t="s">
        <v>18</v>
      </c>
      <c r="C24" s="11" t="s">
        <v>18</v>
      </c>
      <c r="D24" s="65" t="s">
        <v>16</v>
      </c>
      <c r="E24" s="62" t="s">
        <v>2172</v>
      </c>
      <c r="F24" s="62" t="s">
        <v>2182</v>
      </c>
      <c r="G24" s="63" t="s">
        <v>6826</v>
      </c>
      <c r="H24" s="99" t="str">
        <f t="shared" si="0"/>
        <v>W801.4</v>
      </c>
      <c r="I24" s="13" t="s">
        <v>109</v>
      </c>
      <c r="J24" s="13" t="s">
        <v>150</v>
      </c>
      <c r="K24" s="34" t="s">
        <v>120</v>
      </c>
      <c r="L24" s="48"/>
      <c r="N24" s="12"/>
    </row>
    <row r="25" spans="1:14" s="49" customFormat="1" ht="14.15" customHeight="1">
      <c r="A25" s="43" t="s">
        <v>3722</v>
      </c>
      <c r="B25" s="11" t="s">
        <v>18</v>
      </c>
      <c r="C25" s="11" t="s">
        <v>18</v>
      </c>
      <c r="D25" s="65" t="s">
        <v>16</v>
      </c>
      <c r="E25" s="62" t="s">
        <v>2173</v>
      </c>
      <c r="F25" s="62" t="s">
        <v>2183</v>
      </c>
      <c r="G25" s="63" t="s">
        <v>6827</v>
      </c>
      <c r="H25" s="99" t="str">
        <f t="shared" si="0"/>
        <v>W801.5</v>
      </c>
      <c r="I25" s="13" t="s">
        <v>109</v>
      </c>
      <c r="J25" s="13" t="s">
        <v>150</v>
      </c>
      <c r="K25" s="34" t="s">
        <v>111</v>
      </c>
      <c r="L25" s="48"/>
      <c r="N25" s="12"/>
    </row>
    <row r="26" spans="1:14" s="49" customFormat="1" ht="14.15" customHeight="1">
      <c r="A26" s="43" t="s">
        <v>3722</v>
      </c>
      <c r="B26" s="11" t="s">
        <v>18</v>
      </c>
      <c r="C26" s="11" t="s">
        <v>18</v>
      </c>
      <c r="D26" s="65" t="s">
        <v>16</v>
      </c>
      <c r="E26" s="62" t="s">
        <v>2174</v>
      </c>
      <c r="F26" s="62" t="s">
        <v>2187</v>
      </c>
      <c r="G26" s="63" t="s">
        <v>6828</v>
      </c>
      <c r="H26" s="99" t="str">
        <f t="shared" si="0"/>
        <v>W801.6</v>
      </c>
      <c r="I26" s="13" t="s">
        <v>109</v>
      </c>
      <c r="J26" s="13" t="s">
        <v>150</v>
      </c>
      <c r="K26" s="34" t="s">
        <v>112</v>
      </c>
      <c r="L26" s="48"/>
      <c r="N26" s="12"/>
    </row>
    <row r="27" spans="1:14" s="49" customFormat="1" ht="14.15" customHeight="1">
      <c r="A27" s="43" t="s">
        <v>3722</v>
      </c>
      <c r="B27" s="11" t="s">
        <v>18</v>
      </c>
      <c r="C27" s="11" t="s">
        <v>18</v>
      </c>
      <c r="D27" s="65" t="s">
        <v>16</v>
      </c>
      <c r="E27" s="62" t="s">
        <v>2175</v>
      </c>
      <c r="F27" s="62" t="s">
        <v>2184</v>
      </c>
      <c r="G27" s="63" t="s">
        <v>6829</v>
      </c>
      <c r="H27" s="99" t="str">
        <f t="shared" si="0"/>
        <v>W801.7</v>
      </c>
      <c r="I27" s="13" t="s">
        <v>109</v>
      </c>
      <c r="J27" s="13" t="s">
        <v>148</v>
      </c>
      <c r="K27" s="34" t="s">
        <v>113</v>
      </c>
      <c r="L27" s="48"/>
      <c r="N27" s="12"/>
    </row>
    <row r="28" spans="1:14" s="49" customFormat="1" ht="14.15" customHeight="1">
      <c r="A28" s="43" t="s">
        <v>3722</v>
      </c>
      <c r="B28" s="11" t="s">
        <v>18</v>
      </c>
      <c r="C28" s="11" t="s">
        <v>18</v>
      </c>
      <c r="D28" s="65" t="s">
        <v>16</v>
      </c>
      <c r="E28" s="62" t="s">
        <v>2176</v>
      </c>
      <c r="F28" s="62" t="s">
        <v>2185</v>
      </c>
      <c r="G28" s="63" t="s">
        <v>6830</v>
      </c>
      <c r="H28" s="99" t="str">
        <f t="shared" si="0"/>
        <v>W801.8</v>
      </c>
      <c r="I28" s="13" t="s">
        <v>109</v>
      </c>
      <c r="J28" s="13" t="s">
        <v>119</v>
      </c>
      <c r="K28" s="34" t="s">
        <v>114</v>
      </c>
      <c r="L28" s="48"/>
      <c r="N28" s="12"/>
    </row>
    <row r="29" spans="1:14" s="49" customFormat="1" ht="14.15" customHeight="1">
      <c r="A29" s="43" t="s">
        <v>2197</v>
      </c>
      <c r="B29" s="11"/>
      <c r="C29" s="11" t="s">
        <v>18</v>
      </c>
      <c r="D29" s="45" t="s">
        <v>16</v>
      </c>
      <c r="E29" s="46"/>
      <c r="F29" s="62" t="s">
        <v>2198</v>
      </c>
      <c r="G29" s="63" t="s">
        <v>6831</v>
      </c>
      <c r="H29" s="99" t="str">
        <f t="shared" si="0"/>
        <v>W801.9</v>
      </c>
      <c r="I29" s="13" t="s">
        <v>108</v>
      </c>
      <c r="J29" s="13" t="s">
        <v>150</v>
      </c>
      <c r="K29" s="33" t="s">
        <v>115</v>
      </c>
      <c r="L29" s="48"/>
      <c r="N29" s="12"/>
    </row>
    <row r="30" spans="1:14" s="49" customFormat="1" ht="14.15" customHeight="1">
      <c r="A30" s="43" t="s">
        <v>2197</v>
      </c>
      <c r="B30" s="11"/>
      <c r="C30" s="11" t="s">
        <v>18</v>
      </c>
      <c r="D30" s="45" t="s">
        <v>16</v>
      </c>
      <c r="E30" s="46"/>
      <c r="F30" s="62" t="s">
        <v>2199</v>
      </c>
      <c r="G30" s="63" t="s">
        <v>6832</v>
      </c>
      <c r="H30" s="99" t="str">
        <f t="shared" si="0"/>
        <v>W801.A</v>
      </c>
      <c r="I30" s="13" t="s">
        <v>108</v>
      </c>
      <c r="J30" s="13" t="s">
        <v>149</v>
      </c>
      <c r="K30" s="33" t="s">
        <v>121</v>
      </c>
      <c r="L30" s="48"/>
      <c r="N30" s="12"/>
    </row>
    <row r="31" spans="1:14" s="49" customFormat="1" ht="14.15" customHeight="1">
      <c r="A31" s="43" t="s">
        <v>2197</v>
      </c>
      <c r="B31" s="11"/>
      <c r="C31" s="11" t="s">
        <v>18</v>
      </c>
      <c r="D31" s="45" t="s">
        <v>16</v>
      </c>
      <c r="E31" s="46"/>
      <c r="F31" s="62" t="s">
        <v>2200</v>
      </c>
      <c r="G31" s="63" t="s">
        <v>6833</v>
      </c>
      <c r="H31" s="99" t="str">
        <f t="shared" si="0"/>
        <v>W801.B</v>
      </c>
      <c r="I31" s="13" t="s">
        <v>108</v>
      </c>
      <c r="J31" s="13" t="s">
        <v>119</v>
      </c>
      <c r="K31" s="33" t="s">
        <v>116</v>
      </c>
      <c r="L31" s="48"/>
      <c r="N31" s="12"/>
    </row>
    <row r="32" spans="1:14" s="49" customFormat="1" ht="14.15" customHeight="1">
      <c r="A32" s="43" t="s">
        <v>2197</v>
      </c>
      <c r="B32" s="11"/>
      <c r="C32" s="11" t="s">
        <v>18</v>
      </c>
      <c r="D32" s="45" t="s">
        <v>16</v>
      </c>
      <c r="E32" s="46"/>
      <c r="F32" s="66" t="s">
        <v>2201</v>
      </c>
      <c r="G32" s="63" t="s">
        <v>6834</v>
      </c>
      <c r="H32" s="99" t="str">
        <f t="shared" si="0"/>
        <v>W801.C</v>
      </c>
      <c r="I32" s="13" t="s">
        <v>108</v>
      </c>
      <c r="J32" s="13" t="s">
        <v>148</v>
      </c>
      <c r="K32" s="33" t="s">
        <v>122</v>
      </c>
      <c r="L32" s="48"/>
      <c r="N32" s="12"/>
    </row>
    <row r="33" spans="1:14" s="49" customFormat="1" ht="14.15" customHeight="1">
      <c r="A33" s="43" t="s">
        <v>2202</v>
      </c>
      <c r="B33" s="11"/>
      <c r="C33" s="11" t="s">
        <v>18</v>
      </c>
      <c r="D33" s="45" t="s">
        <v>16</v>
      </c>
      <c r="E33" s="46"/>
      <c r="F33" s="62" t="s">
        <v>2204</v>
      </c>
      <c r="G33" s="63" t="s">
        <v>6835</v>
      </c>
      <c r="H33" s="99" t="str">
        <f t="shared" si="0"/>
        <v>W801.D</v>
      </c>
      <c r="I33" s="13" t="s">
        <v>108</v>
      </c>
      <c r="J33" s="13" t="s">
        <v>150</v>
      </c>
      <c r="K33" s="33" t="s">
        <v>115</v>
      </c>
      <c r="L33" s="48"/>
      <c r="N33" s="12"/>
    </row>
    <row r="34" spans="1:14" s="49" customFormat="1" ht="14.15" customHeight="1">
      <c r="A34" s="43" t="s">
        <v>2202</v>
      </c>
      <c r="B34" s="11"/>
      <c r="C34" s="11" t="s">
        <v>18</v>
      </c>
      <c r="D34" s="45" t="s">
        <v>16</v>
      </c>
      <c r="E34" s="46"/>
      <c r="F34" s="62" t="s">
        <v>2205</v>
      </c>
      <c r="G34" s="63" t="s">
        <v>6836</v>
      </c>
      <c r="H34" s="99" t="str">
        <f t="shared" si="0"/>
        <v>W801.E</v>
      </c>
      <c r="I34" s="13" t="s">
        <v>108</v>
      </c>
      <c r="J34" s="13" t="s">
        <v>149</v>
      </c>
      <c r="K34" s="33" t="s">
        <v>121</v>
      </c>
      <c r="L34" s="48"/>
      <c r="N34" s="12"/>
    </row>
    <row r="35" spans="1:14" s="49" customFormat="1" ht="14.15" customHeight="1">
      <c r="A35" s="43" t="s">
        <v>2202</v>
      </c>
      <c r="B35" s="11"/>
      <c r="C35" s="11" t="s">
        <v>18</v>
      </c>
      <c r="D35" s="45" t="s">
        <v>16</v>
      </c>
      <c r="E35" s="46"/>
      <c r="F35" s="62" t="s">
        <v>2206</v>
      </c>
      <c r="G35" s="63" t="s">
        <v>6837</v>
      </c>
      <c r="H35" s="99" t="str">
        <f t="shared" si="0"/>
        <v>W801.F</v>
      </c>
      <c r="I35" s="13" t="s">
        <v>108</v>
      </c>
      <c r="J35" s="13" t="s">
        <v>119</v>
      </c>
      <c r="K35" s="33" t="s">
        <v>116</v>
      </c>
      <c r="L35" s="48"/>
      <c r="N35" s="12"/>
    </row>
    <row r="36" spans="1:14" s="49" customFormat="1" ht="14.15" customHeight="1">
      <c r="A36" s="43" t="s">
        <v>2202</v>
      </c>
      <c r="B36" s="11"/>
      <c r="C36" s="11" t="s">
        <v>18</v>
      </c>
      <c r="D36" s="45" t="s">
        <v>16</v>
      </c>
      <c r="E36" s="46"/>
      <c r="F36" s="66" t="s">
        <v>2207</v>
      </c>
      <c r="G36" s="63" t="s">
        <v>6838</v>
      </c>
      <c r="H36" s="99" t="str">
        <f t="shared" si="0"/>
        <v>W802.0</v>
      </c>
      <c r="I36" s="13" t="s">
        <v>108</v>
      </c>
      <c r="J36" s="13" t="s">
        <v>148</v>
      </c>
      <c r="K36" s="33" t="s">
        <v>122</v>
      </c>
      <c r="L36" s="48"/>
      <c r="N36" s="12"/>
    </row>
    <row r="37" spans="1:14" s="49" customFormat="1" ht="14.15" customHeight="1">
      <c r="A37" s="43" t="s">
        <v>2203</v>
      </c>
      <c r="B37" s="11"/>
      <c r="C37" s="11" t="s">
        <v>18</v>
      </c>
      <c r="D37" s="45" t="s">
        <v>16</v>
      </c>
      <c r="E37" s="46"/>
      <c r="F37" s="62" t="s">
        <v>2208</v>
      </c>
      <c r="G37" s="63" t="s">
        <v>6839</v>
      </c>
      <c r="H37" s="99" t="str">
        <f t="shared" si="0"/>
        <v>W802.1</v>
      </c>
      <c r="I37" s="13" t="s">
        <v>108</v>
      </c>
      <c r="J37" s="13" t="s">
        <v>150</v>
      </c>
      <c r="K37" s="33" t="s">
        <v>115</v>
      </c>
      <c r="L37" s="48"/>
      <c r="N37" s="12"/>
    </row>
    <row r="38" spans="1:14" s="49" customFormat="1" ht="14.15" customHeight="1">
      <c r="A38" s="43" t="s">
        <v>2203</v>
      </c>
      <c r="B38" s="11"/>
      <c r="C38" s="11" t="s">
        <v>18</v>
      </c>
      <c r="D38" s="45" t="s">
        <v>16</v>
      </c>
      <c r="E38" s="46"/>
      <c r="F38" s="62" t="s">
        <v>2209</v>
      </c>
      <c r="G38" s="63" t="s">
        <v>6840</v>
      </c>
      <c r="H38" s="99" t="str">
        <f t="shared" si="0"/>
        <v>W802.2</v>
      </c>
      <c r="I38" s="13" t="s">
        <v>108</v>
      </c>
      <c r="J38" s="13" t="s">
        <v>149</v>
      </c>
      <c r="K38" s="33" t="s">
        <v>121</v>
      </c>
      <c r="L38" s="48"/>
      <c r="N38" s="12"/>
    </row>
    <row r="39" spans="1:14" s="49" customFormat="1" ht="14.15" customHeight="1">
      <c r="A39" s="43" t="s">
        <v>2203</v>
      </c>
      <c r="B39" s="11"/>
      <c r="C39" s="11" t="s">
        <v>18</v>
      </c>
      <c r="D39" s="45" t="s">
        <v>16</v>
      </c>
      <c r="E39" s="46"/>
      <c r="F39" s="62" t="s">
        <v>2219</v>
      </c>
      <c r="G39" s="63" t="s">
        <v>6841</v>
      </c>
      <c r="H39" s="99" t="str">
        <f t="shared" si="0"/>
        <v>W802.3</v>
      </c>
      <c r="I39" s="13" t="s">
        <v>108</v>
      </c>
      <c r="J39" s="13" t="s">
        <v>119</v>
      </c>
      <c r="K39" s="33" t="s">
        <v>116</v>
      </c>
      <c r="L39" s="48"/>
      <c r="N39" s="12"/>
    </row>
    <row r="40" spans="1:14" s="49" customFormat="1" ht="14.15" customHeight="1">
      <c r="A40" s="43" t="s">
        <v>2203</v>
      </c>
      <c r="B40" s="11"/>
      <c r="C40" s="11" t="s">
        <v>18</v>
      </c>
      <c r="D40" s="45" t="s">
        <v>16</v>
      </c>
      <c r="E40" s="46"/>
      <c r="F40" s="66" t="s">
        <v>2220</v>
      </c>
      <c r="G40" s="63" t="s">
        <v>6842</v>
      </c>
      <c r="H40" s="99" t="str">
        <f t="shared" si="0"/>
        <v>W802.4</v>
      </c>
      <c r="I40" s="13" t="s">
        <v>108</v>
      </c>
      <c r="J40" s="13" t="s">
        <v>148</v>
      </c>
      <c r="K40" s="33" t="s">
        <v>122</v>
      </c>
      <c r="L40" s="48"/>
      <c r="N40" s="12"/>
    </row>
    <row r="41" spans="1:14" s="49" customFormat="1" ht="14.15" customHeight="1">
      <c r="A41" s="43" t="s">
        <v>3723</v>
      </c>
      <c r="B41" s="11" t="s">
        <v>18</v>
      </c>
      <c r="C41" s="11" t="s">
        <v>18</v>
      </c>
      <c r="D41" s="65" t="s">
        <v>16</v>
      </c>
      <c r="E41" s="62" t="s">
        <v>2168</v>
      </c>
      <c r="F41" s="62" t="s">
        <v>2210</v>
      </c>
      <c r="G41" s="63" t="s">
        <v>6843</v>
      </c>
      <c r="H41" s="99" t="str">
        <f t="shared" si="0"/>
        <v>W802.5</v>
      </c>
      <c r="I41" s="13" t="s">
        <v>109</v>
      </c>
      <c r="J41" s="13" t="s">
        <v>148</v>
      </c>
      <c r="K41" s="34" t="s">
        <v>117</v>
      </c>
      <c r="L41" s="48"/>
      <c r="N41" s="12"/>
    </row>
    <row r="42" spans="1:14" s="49" customFormat="1" ht="14.15" customHeight="1">
      <c r="A42" s="43" t="s">
        <v>3723</v>
      </c>
      <c r="B42" s="11" t="s">
        <v>18</v>
      </c>
      <c r="C42" s="11" t="s">
        <v>18</v>
      </c>
      <c r="D42" s="65" t="s">
        <v>16</v>
      </c>
      <c r="E42" s="62" t="s">
        <v>2169</v>
      </c>
      <c r="F42" s="62" t="s">
        <v>2211</v>
      </c>
      <c r="G42" s="63" t="s">
        <v>6844</v>
      </c>
      <c r="H42" s="99" t="str">
        <f t="shared" si="0"/>
        <v>W802.6</v>
      </c>
      <c r="I42" s="13" t="s">
        <v>109</v>
      </c>
      <c r="J42" s="13" t="s">
        <v>148</v>
      </c>
      <c r="K42" s="34" t="s">
        <v>118</v>
      </c>
      <c r="L42" s="48"/>
      <c r="N42" s="12"/>
    </row>
    <row r="43" spans="1:14" s="49" customFormat="1" ht="14.15" customHeight="1">
      <c r="A43" s="43" t="s">
        <v>3723</v>
      </c>
      <c r="B43" s="11" t="s">
        <v>18</v>
      </c>
      <c r="C43" s="11" t="s">
        <v>18</v>
      </c>
      <c r="D43" s="65" t="s">
        <v>16</v>
      </c>
      <c r="E43" s="62" t="s">
        <v>2170</v>
      </c>
      <c r="F43" s="62" t="s">
        <v>2212</v>
      </c>
      <c r="G43" s="63" t="s">
        <v>6845</v>
      </c>
      <c r="H43" s="99" t="str">
        <f t="shared" si="0"/>
        <v>W802.7</v>
      </c>
      <c r="I43" s="13" t="s">
        <v>109</v>
      </c>
      <c r="J43" s="13" t="s">
        <v>149</v>
      </c>
      <c r="K43" s="34" t="s">
        <v>110</v>
      </c>
      <c r="L43" s="48"/>
      <c r="N43" s="12"/>
    </row>
    <row r="44" spans="1:14" s="49" customFormat="1" ht="14.15" customHeight="1">
      <c r="A44" s="43" t="s">
        <v>3723</v>
      </c>
      <c r="B44" s="11" t="s">
        <v>18</v>
      </c>
      <c r="C44" s="11" t="s">
        <v>18</v>
      </c>
      <c r="D44" s="65" t="s">
        <v>16</v>
      </c>
      <c r="E44" s="62" t="s">
        <v>2171</v>
      </c>
      <c r="F44" s="62" t="s">
        <v>2213</v>
      </c>
      <c r="G44" s="63" t="s">
        <v>6846</v>
      </c>
      <c r="H44" s="99" t="str">
        <f t="shared" si="0"/>
        <v>W802.8</v>
      </c>
      <c r="I44" s="13" t="s">
        <v>109</v>
      </c>
      <c r="J44" s="13" t="s">
        <v>119</v>
      </c>
      <c r="K44" s="34" t="s">
        <v>119</v>
      </c>
      <c r="L44" s="48"/>
      <c r="N44" s="12"/>
    </row>
    <row r="45" spans="1:14" s="49" customFormat="1" ht="14.15" customHeight="1">
      <c r="A45" s="43" t="s">
        <v>3723</v>
      </c>
      <c r="B45" s="11" t="s">
        <v>18</v>
      </c>
      <c r="C45" s="11" t="s">
        <v>18</v>
      </c>
      <c r="D45" s="65" t="s">
        <v>16</v>
      </c>
      <c r="E45" s="62" t="s">
        <v>2172</v>
      </c>
      <c r="F45" s="62" t="s">
        <v>2214</v>
      </c>
      <c r="G45" s="63" t="s">
        <v>6847</v>
      </c>
      <c r="H45" s="99" t="str">
        <f t="shared" si="0"/>
        <v>W802.9</v>
      </c>
      <c r="I45" s="13" t="s">
        <v>109</v>
      </c>
      <c r="J45" s="13" t="s">
        <v>150</v>
      </c>
      <c r="K45" s="34" t="s">
        <v>120</v>
      </c>
      <c r="L45" s="48"/>
      <c r="N45" s="12"/>
    </row>
    <row r="46" spans="1:14" s="49" customFormat="1" ht="14.15" customHeight="1">
      <c r="A46" s="43" t="s">
        <v>3723</v>
      </c>
      <c r="B46" s="11" t="s">
        <v>18</v>
      </c>
      <c r="C46" s="11" t="s">
        <v>18</v>
      </c>
      <c r="D46" s="65" t="s">
        <v>16</v>
      </c>
      <c r="E46" s="62" t="s">
        <v>2173</v>
      </c>
      <c r="F46" s="62" t="s">
        <v>2215</v>
      </c>
      <c r="G46" s="63" t="s">
        <v>6848</v>
      </c>
      <c r="H46" s="99" t="str">
        <f t="shared" si="0"/>
        <v>W802.A</v>
      </c>
      <c r="I46" s="13" t="s">
        <v>109</v>
      </c>
      <c r="J46" s="13" t="s">
        <v>150</v>
      </c>
      <c r="K46" s="34" t="s">
        <v>111</v>
      </c>
      <c r="L46" s="48"/>
      <c r="N46" s="12"/>
    </row>
    <row r="47" spans="1:14" s="49" customFormat="1" ht="14.15" customHeight="1">
      <c r="A47" s="43" t="s">
        <v>3723</v>
      </c>
      <c r="B47" s="11" t="s">
        <v>18</v>
      </c>
      <c r="C47" s="11" t="s">
        <v>18</v>
      </c>
      <c r="D47" s="65" t="s">
        <v>16</v>
      </c>
      <c r="E47" s="62" t="s">
        <v>2174</v>
      </c>
      <c r="F47" s="62" t="s">
        <v>2216</v>
      </c>
      <c r="G47" s="63" t="s">
        <v>6849</v>
      </c>
      <c r="H47" s="99" t="str">
        <f t="shared" si="0"/>
        <v>W802.B</v>
      </c>
      <c r="I47" s="13" t="s">
        <v>109</v>
      </c>
      <c r="J47" s="13" t="s">
        <v>150</v>
      </c>
      <c r="K47" s="34" t="s">
        <v>112</v>
      </c>
      <c r="L47" s="48"/>
      <c r="N47" s="12"/>
    </row>
    <row r="48" spans="1:14" s="49" customFormat="1" ht="14.15" customHeight="1">
      <c r="A48" s="43" t="s">
        <v>3723</v>
      </c>
      <c r="B48" s="11" t="s">
        <v>18</v>
      </c>
      <c r="C48" s="11" t="s">
        <v>18</v>
      </c>
      <c r="D48" s="65" t="s">
        <v>16</v>
      </c>
      <c r="E48" s="62" t="s">
        <v>2175</v>
      </c>
      <c r="F48" s="62" t="s">
        <v>2217</v>
      </c>
      <c r="G48" s="63" t="s">
        <v>6850</v>
      </c>
      <c r="H48" s="99" t="str">
        <f t="shared" si="0"/>
        <v>W802.C</v>
      </c>
      <c r="I48" s="13" t="s">
        <v>109</v>
      </c>
      <c r="J48" s="13" t="s">
        <v>148</v>
      </c>
      <c r="K48" s="34" t="s">
        <v>113</v>
      </c>
      <c r="L48" s="48"/>
      <c r="N48" s="12"/>
    </row>
    <row r="49" spans="1:15" s="49" customFormat="1" ht="14.15" customHeight="1">
      <c r="A49" s="43" t="s">
        <v>3723</v>
      </c>
      <c r="B49" s="11" t="s">
        <v>18</v>
      </c>
      <c r="C49" s="11" t="s">
        <v>18</v>
      </c>
      <c r="D49" s="65" t="s">
        <v>16</v>
      </c>
      <c r="E49" s="62" t="s">
        <v>2176</v>
      </c>
      <c r="F49" s="62" t="s">
        <v>2218</v>
      </c>
      <c r="G49" s="63" t="s">
        <v>6851</v>
      </c>
      <c r="H49" s="99" t="str">
        <f t="shared" si="0"/>
        <v>W802.D</v>
      </c>
      <c r="I49" s="13" t="s">
        <v>109</v>
      </c>
      <c r="J49" s="13" t="s">
        <v>119</v>
      </c>
      <c r="K49" s="34" t="s">
        <v>114</v>
      </c>
      <c r="L49" s="48"/>
      <c r="N49" s="12"/>
    </row>
    <row r="50" spans="1:15" s="49" customFormat="1" ht="14.15" customHeight="1">
      <c r="A50" s="43"/>
      <c r="B50" s="11"/>
      <c r="C50" s="11"/>
      <c r="D50" s="45"/>
      <c r="E50" s="46"/>
      <c r="F50" s="12"/>
      <c r="G50" s="12"/>
      <c r="H50" s="13"/>
      <c r="I50" s="13"/>
      <c r="J50" s="13"/>
      <c r="K50" s="13"/>
      <c r="L50" s="48"/>
      <c r="N50" s="12"/>
    </row>
    <row r="51" spans="1:15" s="49" customFormat="1" ht="14.15" customHeight="1">
      <c r="A51" s="43" t="s">
        <v>3778</v>
      </c>
      <c r="B51" s="11"/>
      <c r="C51" s="11" t="s">
        <v>18</v>
      </c>
      <c r="D51" s="45" t="s">
        <v>16</v>
      </c>
      <c r="E51" s="46"/>
      <c r="F51" s="12" t="s">
        <v>158</v>
      </c>
      <c r="G51" s="13" t="s">
        <v>6852</v>
      </c>
      <c r="H51" s="99" t="str">
        <f>"W"&amp;DEC2HEX(512 + INT((ROW()-51)/16)) &amp; "." &amp; IF(MOD(ROW()-51,16)&lt;10,MOD(ROW()-51,16),CHAR(MOD(ROW()-51,16)+55))</f>
        <v>W200.0</v>
      </c>
      <c r="I51" s="13" t="s">
        <v>17</v>
      </c>
      <c r="J51" s="13"/>
      <c r="K51" s="13"/>
      <c r="L51" s="48"/>
      <c r="N51" s="12"/>
    </row>
    <row r="52" spans="1:15" s="49" customFormat="1" ht="14.15" customHeight="1">
      <c r="A52" s="43" t="s">
        <v>3778</v>
      </c>
      <c r="B52" s="11"/>
      <c r="C52" s="11" t="s">
        <v>18</v>
      </c>
      <c r="D52" s="45" t="s">
        <v>16</v>
      </c>
      <c r="E52" s="46"/>
      <c r="F52" s="12" t="s">
        <v>159</v>
      </c>
      <c r="G52" s="13" t="s">
        <v>6853</v>
      </c>
      <c r="H52" s="99" t="str">
        <f t="shared" ref="H52:H115" si="1">"W"&amp;DEC2HEX(512 + INT((ROW()-51)/16)) &amp; "." &amp; IF(MOD(ROW()-51,16)&lt;10,MOD(ROW()-51,16),CHAR(MOD(ROW()-51,16)+55))</f>
        <v>W200.1</v>
      </c>
      <c r="I52" s="13" t="s">
        <v>17</v>
      </c>
      <c r="J52" s="13"/>
      <c r="K52" s="13"/>
      <c r="L52" s="48"/>
      <c r="M52" s="49" t="str">
        <f t="shared" ref="M52:M115" si="2">"["&amp;H52&amp;"]"</f>
        <v>[W200.1]</v>
      </c>
      <c r="N52" s="12" t="str">
        <f t="shared" ref="N52:N115" si="3">RIGHT(F52,LEN(F52)-7)</f>
        <v xml:space="preserve"> PLC 자기 진단 에러 (SM1)</v>
      </c>
      <c r="O52" s="49" t="str">
        <f t="shared" ref="O52:O115" si="4">M52&amp;N52</f>
        <v>[W200.1] PLC 자기 진단 에러 (SM1)</v>
      </c>
    </row>
    <row r="53" spans="1:15" s="49" customFormat="1" ht="14.15" customHeight="1">
      <c r="A53" s="43" t="s">
        <v>3778</v>
      </c>
      <c r="B53" s="11"/>
      <c r="C53" s="11" t="s">
        <v>18</v>
      </c>
      <c r="D53" s="45" t="s">
        <v>16</v>
      </c>
      <c r="E53" s="46"/>
      <c r="F53" s="12" t="s">
        <v>160</v>
      </c>
      <c r="G53" s="13" t="s">
        <v>8852</v>
      </c>
      <c r="H53" s="99" t="str">
        <f t="shared" si="1"/>
        <v>W200.2</v>
      </c>
      <c r="I53" s="13" t="s">
        <v>17</v>
      </c>
      <c r="J53" s="13"/>
      <c r="K53" s="13"/>
      <c r="L53" s="48"/>
      <c r="M53" s="49" t="str">
        <f t="shared" si="2"/>
        <v>[W200.2]</v>
      </c>
      <c r="N53" s="12" t="str">
        <f t="shared" si="3"/>
        <v xml:space="preserve"> PLC 에러 공통 정보  (SM5)</v>
      </c>
      <c r="O53" s="49" t="str">
        <f t="shared" si="4"/>
        <v>[W200.2] PLC 에러 공통 정보  (SM5)</v>
      </c>
    </row>
    <row r="54" spans="1:15" s="49" customFormat="1" ht="14.15" customHeight="1">
      <c r="A54" s="43" t="s">
        <v>3778</v>
      </c>
      <c r="B54" s="11"/>
      <c r="C54" s="11" t="s">
        <v>18</v>
      </c>
      <c r="D54" s="45" t="s">
        <v>16</v>
      </c>
      <c r="E54" s="46"/>
      <c r="F54" s="12" t="s">
        <v>161</v>
      </c>
      <c r="G54" s="13" t="s">
        <v>6854</v>
      </c>
      <c r="H54" s="99" t="str">
        <f t="shared" si="1"/>
        <v>W200.3</v>
      </c>
      <c r="I54" s="13" t="s">
        <v>17</v>
      </c>
      <c r="J54" s="13"/>
      <c r="K54" s="13"/>
      <c r="L54" s="48"/>
      <c r="M54" s="49" t="str">
        <f t="shared" si="2"/>
        <v>[W200.3]</v>
      </c>
      <c r="N54" s="12" t="str">
        <f t="shared" si="3"/>
        <v xml:space="preserve"> PLC 베터리 저하 이상 (SM52)</v>
      </c>
      <c r="O54" s="49" t="str">
        <f t="shared" si="4"/>
        <v>[W200.3] PLC 베터리 저하 이상 (SM52)</v>
      </c>
    </row>
    <row r="55" spans="1:15" s="49" customFormat="1" ht="14.15" customHeight="1">
      <c r="A55" s="43" t="s">
        <v>3778</v>
      </c>
      <c r="B55" s="11"/>
      <c r="C55" s="11" t="s">
        <v>18</v>
      </c>
      <c r="D55" s="45" t="s">
        <v>16</v>
      </c>
      <c r="E55" s="46"/>
      <c r="F55" s="12" t="s">
        <v>162</v>
      </c>
      <c r="G55" s="13" t="s">
        <v>6855</v>
      </c>
      <c r="H55" s="99" t="str">
        <f t="shared" si="1"/>
        <v>W200.4</v>
      </c>
      <c r="I55" s="13" t="s">
        <v>17</v>
      </c>
      <c r="J55" s="13"/>
      <c r="K55" s="13"/>
      <c r="L55" s="48"/>
      <c r="M55" s="49" t="str">
        <f t="shared" si="2"/>
        <v>[W200.4]</v>
      </c>
      <c r="N55" s="12" t="str">
        <f t="shared" si="3"/>
        <v xml:space="preserve"> PLC 전원 이상 (SM53)</v>
      </c>
      <c r="O55" s="49" t="str">
        <f t="shared" si="4"/>
        <v>[W200.4] PLC 전원 이상 (SM53)</v>
      </c>
    </row>
    <row r="56" spans="1:15" s="49" customFormat="1" ht="14.15" customHeight="1">
      <c r="A56" s="43" t="s">
        <v>3778</v>
      </c>
      <c r="B56" s="11"/>
      <c r="C56" s="11" t="s">
        <v>18</v>
      </c>
      <c r="D56" s="45" t="s">
        <v>16</v>
      </c>
      <c r="E56" s="46"/>
      <c r="F56" s="12" t="s">
        <v>163</v>
      </c>
      <c r="G56" s="13" t="s">
        <v>6856</v>
      </c>
      <c r="H56" s="99" t="str">
        <f t="shared" si="1"/>
        <v>W200.5</v>
      </c>
      <c r="I56" s="13" t="s">
        <v>17</v>
      </c>
      <c r="J56" s="13"/>
      <c r="K56" s="13"/>
      <c r="L56" s="48"/>
      <c r="M56" s="49" t="str">
        <f t="shared" si="2"/>
        <v>[W200.5]</v>
      </c>
      <c r="N56" s="12" t="str">
        <f t="shared" si="3"/>
        <v xml:space="preserve"> PLC CC-Link 모듈 레디 이상</v>
      </c>
      <c r="O56" s="49" t="str">
        <f t="shared" si="4"/>
        <v>[W200.5] PLC CC-Link 모듈 레디 이상</v>
      </c>
    </row>
    <row r="57" spans="1:15" s="49" customFormat="1" ht="14.15" customHeight="1">
      <c r="A57" s="43" t="s">
        <v>3778</v>
      </c>
      <c r="B57" s="11"/>
      <c r="C57" s="11" t="s">
        <v>18</v>
      </c>
      <c r="D57" s="45" t="s">
        <v>16</v>
      </c>
      <c r="E57" s="46"/>
      <c r="F57" s="12" t="s">
        <v>164</v>
      </c>
      <c r="G57" s="13" t="s">
        <v>6857</v>
      </c>
      <c r="H57" s="99" t="str">
        <f t="shared" si="1"/>
        <v>W200.6</v>
      </c>
      <c r="I57" s="13" t="s">
        <v>17</v>
      </c>
      <c r="J57" s="13"/>
      <c r="K57" s="13"/>
      <c r="L57" s="48"/>
      <c r="M57" s="49" t="str">
        <f t="shared" si="2"/>
        <v>[W200.6]</v>
      </c>
      <c r="N57" s="12" t="str">
        <f t="shared" si="3"/>
        <v xml:space="preserve"> PLC CC-Link 링크 이상</v>
      </c>
      <c r="O57" s="49" t="str">
        <f t="shared" si="4"/>
        <v>[W200.6] PLC CC-Link 링크 이상</v>
      </c>
    </row>
    <row r="58" spans="1:15" s="49" customFormat="1" ht="14.15" customHeight="1">
      <c r="A58" s="43"/>
      <c r="B58" s="11"/>
      <c r="C58" s="11" t="s">
        <v>18</v>
      </c>
      <c r="D58" s="45" t="s">
        <v>16</v>
      </c>
      <c r="E58" s="46"/>
      <c r="F58" s="12" t="s">
        <v>165</v>
      </c>
      <c r="G58" s="13" t="s">
        <v>6858</v>
      </c>
      <c r="H58" s="99" t="str">
        <f t="shared" si="1"/>
        <v>W200.7</v>
      </c>
      <c r="I58" s="13"/>
      <c r="J58" s="13"/>
      <c r="K58" s="13"/>
      <c r="L58" s="48"/>
      <c r="M58" s="49" t="str">
        <f t="shared" si="2"/>
        <v>[W200.7]</v>
      </c>
      <c r="N58" s="12" t="str">
        <f t="shared" si="3"/>
        <v xml:space="preserve"> </v>
      </c>
      <c r="O58" s="49" t="str">
        <f t="shared" si="4"/>
        <v xml:space="preserve">[W200.7] </v>
      </c>
    </row>
    <row r="59" spans="1:15" s="49" customFormat="1" ht="14.15" customHeight="1">
      <c r="A59" s="43"/>
      <c r="B59" s="11"/>
      <c r="C59" s="11" t="s">
        <v>18</v>
      </c>
      <c r="D59" s="45" t="s">
        <v>16</v>
      </c>
      <c r="E59" s="46"/>
      <c r="F59" s="12" t="s">
        <v>166</v>
      </c>
      <c r="G59" s="13" t="s">
        <v>6859</v>
      </c>
      <c r="H59" s="99" t="str">
        <f t="shared" si="1"/>
        <v>W200.8</v>
      </c>
      <c r="I59" s="13"/>
      <c r="J59" s="13"/>
      <c r="K59" s="13"/>
      <c r="L59" s="48"/>
      <c r="M59" s="49" t="str">
        <f t="shared" si="2"/>
        <v>[W200.8]</v>
      </c>
      <c r="N59" s="12" t="str">
        <f t="shared" si="3"/>
        <v xml:space="preserve"> </v>
      </c>
      <c r="O59" s="49" t="str">
        <f t="shared" si="4"/>
        <v xml:space="preserve">[W200.8] </v>
      </c>
    </row>
    <row r="60" spans="1:15" s="49" customFormat="1" ht="14.15" customHeight="1">
      <c r="A60" s="43" t="s">
        <v>3778</v>
      </c>
      <c r="B60" s="11"/>
      <c r="C60" s="11" t="s">
        <v>18</v>
      </c>
      <c r="D60" s="45" t="s">
        <v>16</v>
      </c>
      <c r="E60" s="46"/>
      <c r="F60" s="12" t="s">
        <v>167</v>
      </c>
      <c r="G60" s="13" t="s">
        <v>6860</v>
      </c>
      <c r="H60" s="99" t="str">
        <f t="shared" si="1"/>
        <v>W200.9</v>
      </c>
      <c r="I60" s="13" t="s">
        <v>155</v>
      </c>
      <c r="J60" s="13"/>
      <c r="K60" s="13"/>
      <c r="L60" s="48"/>
      <c r="M60" s="49" t="str">
        <f t="shared" si="2"/>
        <v>[W200.9]</v>
      </c>
      <c r="N60" s="12" t="str">
        <f t="shared" si="3"/>
        <v xml:space="preserve"> OP#1 비상 정지 이상 (X306)</v>
      </c>
      <c r="O60" s="49" t="str">
        <f t="shared" si="4"/>
        <v>[W200.9] OP#1 비상 정지 이상 (X306)</v>
      </c>
    </row>
    <row r="61" spans="1:15" s="49" customFormat="1" ht="14.15" customHeight="1">
      <c r="A61" s="43" t="s">
        <v>3778</v>
      </c>
      <c r="B61" s="11"/>
      <c r="C61" s="11" t="s">
        <v>18</v>
      </c>
      <c r="D61" s="45" t="s">
        <v>16</v>
      </c>
      <c r="E61" s="46"/>
      <c r="F61" s="12" t="s">
        <v>168</v>
      </c>
      <c r="G61" s="13" t="s">
        <v>6861</v>
      </c>
      <c r="H61" s="99" t="str">
        <f t="shared" si="1"/>
        <v>W200.A</v>
      </c>
      <c r="I61" s="13" t="s">
        <v>155</v>
      </c>
      <c r="J61" s="13"/>
      <c r="K61" s="13"/>
      <c r="L61" s="48"/>
      <c r="M61" s="49" t="str">
        <f t="shared" si="2"/>
        <v>[W200.A]</v>
      </c>
      <c r="N61" s="12" t="str">
        <f t="shared" si="3"/>
        <v xml:space="preserve"> OP#2 비상 정지 이상 (X406)</v>
      </c>
      <c r="O61" s="49" t="str">
        <f t="shared" si="4"/>
        <v>[W200.A] OP#2 비상 정지 이상 (X406)</v>
      </c>
    </row>
    <row r="62" spans="1:15" s="49" customFormat="1" ht="14.15" customHeight="1">
      <c r="A62" s="43"/>
      <c r="B62" s="11"/>
      <c r="C62" s="11" t="s">
        <v>18</v>
      </c>
      <c r="D62" s="45" t="s">
        <v>16</v>
      </c>
      <c r="E62" s="46"/>
      <c r="F62" s="12" t="s">
        <v>169</v>
      </c>
      <c r="G62" s="13" t="s">
        <v>6862</v>
      </c>
      <c r="H62" s="99" t="str">
        <f t="shared" si="1"/>
        <v>W200.B</v>
      </c>
      <c r="I62" s="13"/>
      <c r="J62" s="13"/>
      <c r="K62" s="13"/>
      <c r="L62" s="48"/>
      <c r="M62" s="49" t="str">
        <f t="shared" si="2"/>
        <v>[W200.B]</v>
      </c>
      <c r="N62" s="12" t="str">
        <f t="shared" si="3"/>
        <v xml:space="preserve"> </v>
      </c>
      <c r="O62" s="49" t="str">
        <f t="shared" si="4"/>
        <v xml:space="preserve">[W200.B] </v>
      </c>
    </row>
    <row r="63" spans="1:15" s="49" customFormat="1" ht="14.15" customHeight="1">
      <c r="A63" s="43"/>
      <c r="B63" s="11"/>
      <c r="C63" s="11" t="s">
        <v>18</v>
      </c>
      <c r="D63" s="45" t="s">
        <v>16</v>
      </c>
      <c r="E63" s="46"/>
      <c r="F63" s="12" t="s">
        <v>170</v>
      </c>
      <c r="G63" s="13" t="s">
        <v>6863</v>
      </c>
      <c r="H63" s="99" t="str">
        <f t="shared" si="1"/>
        <v>W200.C</v>
      </c>
      <c r="I63" s="13"/>
      <c r="J63" s="13"/>
      <c r="K63" s="13"/>
      <c r="L63" s="48"/>
      <c r="M63" s="49" t="str">
        <f t="shared" si="2"/>
        <v>[W200.C]</v>
      </c>
      <c r="N63" s="12" t="str">
        <f t="shared" si="3"/>
        <v xml:space="preserve"> </v>
      </c>
      <c r="O63" s="49" t="str">
        <f t="shared" si="4"/>
        <v xml:space="preserve">[W200.C] </v>
      </c>
    </row>
    <row r="64" spans="1:15" s="49" customFormat="1" ht="14.15" customHeight="1">
      <c r="A64" s="43"/>
      <c r="B64" s="11"/>
      <c r="C64" s="11" t="s">
        <v>18</v>
      </c>
      <c r="D64" s="45" t="s">
        <v>16</v>
      </c>
      <c r="E64" s="46"/>
      <c r="F64" s="12" t="s">
        <v>171</v>
      </c>
      <c r="G64" s="13" t="s">
        <v>6864</v>
      </c>
      <c r="H64" s="99" t="str">
        <f t="shared" si="1"/>
        <v>W200.D</v>
      </c>
      <c r="I64" s="13"/>
      <c r="J64" s="13"/>
      <c r="K64" s="13"/>
      <c r="L64" s="48"/>
      <c r="M64" s="49" t="str">
        <f t="shared" si="2"/>
        <v>[W200.D]</v>
      </c>
      <c r="N64" s="12" t="str">
        <f t="shared" si="3"/>
        <v xml:space="preserve"> </v>
      </c>
      <c r="O64" s="49" t="str">
        <f t="shared" si="4"/>
        <v xml:space="preserve">[W200.D] </v>
      </c>
    </row>
    <row r="65" spans="1:15" s="49" customFormat="1" ht="14.15" customHeight="1">
      <c r="A65" s="43"/>
      <c r="B65" s="11"/>
      <c r="C65" s="11" t="s">
        <v>18</v>
      </c>
      <c r="D65" s="45" t="s">
        <v>16</v>
      </c>
      <c r="E65" s="46"/>
      <c r="F65" s="12" t="s">
        <v>172</v>
      </c>
      <c r="G65" s="13" t="s">
        <v>6865</v>
      </c>
      <c r="H65" s="99" t="str">
        <f t="shared" si="1"/>
        <v>W200.E</v>
      </c>
      <c r="I65" s="13"/>
      <c r="J65" s="13"/>
      <c r="K65" s="13"/>
      <c r="L65" s="48"/>
      <c r="M65" s="49" t="str">
        <f t="shared" si="2"/>
        <v>[W200.E]</v>
      </c>
      <c r="N65" s="12" t="str">
        <f t="shared" si="3"/>
        <v xml:space="preserve"> </v>
      </c>
      <c r="O65" s="49" t="str">
        <f t="shared" si="4"/>
        <v xml:space="preserve">[W200.E] </v>
      </c>
    </row>
    <row r="66" spans="1:15" s="49" customFormat="1" ht="14.15" customHeight="1">
      <c r="A66" s="43"/>
      <c r="B66" s="11"/>
      <c r="C66" s="11" t="s">
        <v>18</v>
      </c>
      <c r="D66" s="45" t="s">
        <v>16</v>
      </c>
      <c r="E66" s="46"/>
      <c r="F66" s="12" t="s">
        <v>173</v>
      </c>
      <c r="G66" s="13" t="s">
        <v>6866</v>
      </c>
      <c r="H66" s="99" t="str">
        <f t="shared" si="1"/>
        <v>W200.F</v>
      </c>
      <c r="I66" s="13"/>
      <c r="J66" s="13"/>
      <c r="K66" s="13"/>
      <c r="L66" s="48"/>
      <c r="M66" s="49" t="str">
        <f t="shared" si="2"/>
        <v>[W200.F]</v>
      </c>
      <c r="N66" s="12" t="str">
        <f t="shared" si="3"/>
        <v xml:space="preserve"> </v>
      </c>
      <c r="O66" s="49" t="str">
        <f t="shared" si="4"/>
        <v xml:space="preserve">[W200.F] </v>
      </c>
    </row>
    <row r="67" spans="1:15" s="49" customFormat="1" ht="14.15" customHeight="1">
      <c r="A67" s="43"/>
      <c r="B67" s="11"/>
      <c r="C67" s="11" t="s">
        <v>18</v>
      </c>
      <c r="D67" s="45" t="s">
        <v>16</v>
      </c>
      <c r="E67" s="46"/>
      <c r="F67" s="12" t="s">
        <v>174</v>
      </c>
      <c r="G67" s="13" t="s">
        <v>6867</v>
      </c>
      <c r="H67" s="99" t="str">
        <f t="shared" si="1"/>
        <v>W201.0</v>
      </c>
      <c r="I67" s="13"/>
      <c r="J67" s="13"/>
      <c r="K67" s="13"/>
      <c r="L67" s="48"/>
      <c r="M67" s="49" t="str">
        <f t="shared" si="2"/>
        <v>[W201.0]</v>
      </c>
      <c r="N67" s="12" t="str">
        <f t="shared" si="3"/>
        <v xml:space="preserve"> </v>
      </c>
      <c r="O67" s="49" t="str">
        <f t="shared" si="4"/>
        <v xml:space="preserve">[W201.0] </v>
      </c>
    </row>
    <row r="68" spans="1:15" s="49" customFormat="1" ht="14.15" customHeight="1">
      <c r="A68" s="43"/>
      <c r="B68" s="11"/>
      <c r="C68" s="11" t="s">
        <v>18</v>
      </c>
      <c r="D68" s="45" t="s">
        <v>16</v>
      </c>
      <c r="E68" s="46"/>
      <c r="F68" s="12" t="s">
        <v>175</v>
      </c>
      <c r="G68" s="13" t="s">
        <v>6868</v>
      </c>
      <c r="H68" s="99" t="str">
        <f t="shared" si="1"/>
        <v>W201.1</v>
      </c>
      <c r="I68" s="13"/>
      <c r="J68" s="13"/>
      <c r="K68" s="13"/>
      <c r="L68" s="48"/>
      <c r="M68" s="49" t="str">
        <f t="shared" si="2"/>
        <v>[W201.1]</v>
      </c>
      <c r="N68" s="12" t="str">
        <f t="shared" si="3"/>
        <v xml:space="preserve"> </v>
      </c>
      <c r="O68" s="49" t="str">
        <f t="shared" si="4"/>
        <v xml:space="preserve">[W201.1] </v>
      </c>
    </row>
    <row r="69" spans="1:15" s="49" customFormat="1" ht="14.15" customHeight="1">
      <c r="A69" s="43"/>
      <c r="B69" s="11"/>
      <c r="C69" s="11" t="s">
        <v>18</v>
      </c>
      <c r="D69" s="45" t="s">
        <v>16</v>
      </c>
      <c r="E69" s="46"/>
      <c r="F69" s="12" t="s">
        <v>176</v>
      </c>
      <c r="G69" s="13" t="s">
        <v>6869</v>
      </c>
      <c r="H69" s="99" t="str">
        <f t="shared" si="1"/>
        <v>W201.2</v>
      </c>
      <c r="I69" s="13"/>
      <c r="J69" s="13"/>
      <c r="K69" s="13"/>
      <c r="L69" s="48"/>
      <c r="M69" s="49" t="str">
        <f t="shared" si="2"/>
        <v>[W201.2]</v>
      </c>
      <c r="N69" s="12" t="str">
        <f t="shared" si="3"/>
        <v xml:space="preserve"> </v>
      </c>
      <c r="O69" s="49" t="str">
        <f t="shared" si="4"/>
        <v xml:space="preserve">[W201.2] </v>
      </c>
    </row>
    <row r="70" spans="1:15" s="49" customFormat="1" ht="14.15" customHeight="1">
      <c r="A70" s="43" t="s">
        <v>3778</v>
      </c>
      <c r="B70" s="11"/>
      <c r="C70" s="11" t="s">
        <v>18</v>
      </c>
      <c r="D70" s="45" t="s">
        <v>16</v>
      </c>
      <c r="E70" s="46"/>
      <c r="F70" s="12" t="s">
        <v>1747</v>
      </c>
      <c r="G70" s="13" t="s">
        <v>6870</v>
      </c>
      <c r="H70" s="99" t="str">
        <f t="shared" si="1"/>
        <v>W201.3</v>
      </c>
      <c r="I70" s="13" t="s">
        <v>155</v>
      </c>
      <c r="J70" s="13"/>
      <c r="K70" s="13"/>
      <c r="L70" s="48"/>
      <c r="M70" s="49" t="str">
        <f t="shared" si="2"/>
        <v>[W201.3]</v>
      </c>
      <c r="N70" s="12" t="str">
        <f t="shared" si="3"/>
        <v xml:space="preserve"> Door-11 열림 이상 (B4E0, B4E1)</v>
      </c>
      <c r="O70" s="49" t="str">
        <f t="shared" si="4"/>
        <v>[W201.3] Door-11 열림 이상 (B4E0, B4E1)</v>
      </c>
    </row>
    <row r="71" spans="1:15" s="49" customFormat="1" ht="14.15" customHeight="1">
      <c r="A71" s="43" t="s">
        <v>3778</v>
      </c>
      <c r="B71" s="11"/>
      <c r="C71" s="11" t="s">
        <v>18</v>
      </c>
      <c r="D71" s="45" t="s">
        <v>16</v>
      </c>
      <c r="E71" s="46"/>
      <c r="F71" s="12" t="s">
        <v>177</v>
      </c>
      <c r="G71" s="13" t="s">
        <v>6871</v>
      </c>
      <c r="H71" s="99" t="str">
        <f t="shared" si="1"/>
        <v>W201.4</v>
      </c>
      <c r="I71" s="13" t="s">
        <v>155</v>
      </c>
      <c r="J71" s="13"/>
      <c r="K71" s="13"/>
      <c r="L71" s="48"/>
      <c r="M71" s="49" t="str">
        <f t="shared" si="2"/>
        <v>[W201.4]</v>
      </c>
      <c r="N71" s="12" t="str">
        <f t="shared" si="3"/>
        <v xml:space="preserve"> Door-12 열림 이상 (B4E2, B4E3)</v>
      </c>
      <c r="O71" s="49" t="str">
        <f t="shared" si="4"/>
        <v>[W201.4] Door-12 열림 이상 (B4E2, B4E3)</v>
      </c>
    </row>
    <row r="72" spans="1:15" s="49" customFormat="1" ht="14.15" customHeight="1">
      <c r="A72" s="43" t="s">
        <v>3778</v>
      </c>
      <c r="B72" s="11"/>
      <c r="C72" s="11" t="s">
        <v>18</v>
      </c>
      <c r="D72" s="45" t="s">
        <v>16</v>
      </c>
      <c r="E72" s="46"/>
      <c r="F72" s="12" t="s">
        <v>178</v>
      </c>
      <c r="G72" s="13" t="s">
        <v>6872</v>
      </c>
      <c r="H72" s="99" t="str">
        <f t="shared" si="1"/>
        <v>W201.5</v>
      </c>
      <c r="I72" s="13" t="s">
        <v>155</v>
      </c>
      <c r="J72" s="13"/>
      <c r="K72" s="13"/>
      <c r="L72" s="48"/>
      <c r="M72" s="49" t="str">
        <f t="shared" si="2"/>
        <v>[W201.5]</v>
      </c>
      <c r="N72" s="12" t="str">
        <f t="shared" si="3"/>
        <v xml:space="preserve"> Door-13 열림 이상 (B4E4, B4E5)</v>
      </c>
      <c r="O72" s="49" t="str">
        <f t="shared" si="4"/>
        <v>[W201.5] Door-13 열림 이상 (B4E4, B4E5)</v>
      </c>
    </row>
    <row r="73" spans="1:15" s="49" customFormat="1" ht="14.15" customHeight="1">
      <c r="A73" s="43" t="s">
        <v>3778</v>
      </c>
      <c r="B73" s="11"/>
      <c r="C73" s="11" t="s">
        <v>18</v>
      </c>
      <c r="D73" s="45" t="s">
        <v>16</v>
      </c>
      <c r="E73" s="46"/>
      <c r="F73" s="12" t="s">
        <v>1748</v>
      </c>
      <c r="G73" s="13" t="s">
        <v>6873</v>
      </c>
      <c r="H73" s="99" t="str">
        <f t="shared" si="1"/>
        <v>W201.6</v>
      </c>
      <c r="I73" s="13" t="s">
        <v>155</v>
      </c>
      <c r="J73" s="13"/>
      <c r="K73" s="13"/>
      <c r="L73" s="48"/>
      <c r="M73" s="49" t="str">
        <f t="shared" si="2"/>
        <v>[W201.6]</v>
      </c>
      <c r="N73" s="12" t="str">
        <f t="shared" si="3"/>
        <v xml:space="preserve"> Door-14 열림 이상 (B4E6, B4E7)</v>
      </c>
      <c r="O73" s="49" t="str">
        <f t="shared" si="4"/>
        <v>[W201.6] Door-14 열림 이상 (B4E6, B4E7)</v>
      </c>
    </row>
    <row r="74" spans="1:15" s="49" customFormat="1" ht="14.15" customHeight="1">
      <c r="A74" s="43" t="s">
        <v>3778</v>
      </c>
      <c r="B74" s="11"/>
      <c r="C74" s="11" t="s">
        <v>18</v>
      </c>
      <c r="D74" s="45" t="s">
        <v>16</v>
      </c>
      <c r="E74" s="46"/>
      <c r="F74" s="12" t="s">
        <v>179</v>
      </c>
      <c r="G74" s="13" t="s">
        <v>6874</v>
      </c>
      <c r="H74" s="99" t="str">
        <f t="shared" si="1"/>
        <v>W201.7</v>
      </c>
      <c r="I74" s="13" t="s">
        <v>155</v>
      </c>
      <c r="J74" s="13"/>
      <c r="K74" s="13"/>
      <c r="L74" s="48"/>
      <c r="M74" s="49" t="str">
        <f t="shared" si="2"/>
        <v>[W201.7]</v>
      </c>
      <c r="N74" s="12" t="str">
        <f t="shared" si="3"/>
        <v xml:space="preserve"> Door-15 열림 이상 (B4E8, B4E9)</v>
      </c>
      <c r="O74" s="49" t="str">
        <f t="shared" si="4"/>
        <v>[W201.7] Door-15 열림 이상 (B4E8, B4E9)</v>
      </c>
    </row>
    <row r="75" spans="1:15" s="49" customFormat="1" ht="14.15" customHeight="1">
      <c r="A75" s="43"/>
      <c r="B75" s="11"/>
      <c r="C75" s="11" t="s">
        <v>18</v>
      </c>
      <c r="D75" s="45" t="s">
        <v>16</v>
      </c>
      <c r="E75" s="46"/>
      <c r="F75" s="12" t="s">
        <v>180</v>
      </c>
      <c r="G75" s="13" t="s">
        <v>6875</v>
      </c>
      <c r="H75" s="99" t="str">
        <f t="shared" si="1"/>
        <v>W201.8</v>
      </c>
      <c r="I75" s="13"/>
      <c r="J75" s="13"/>
      <c r="K75" s="13"/>
      <c r="L75" s="48"/>
      <c r="M75" s="49" t="str">
        <f t="shared" si="2"/>
        <v>[W201.8]</v>
      </c>
      <c r="N75" s="12" t="str">
        <f t="shared" si="3"/>
        <v xml:space="preserve"> </v>
      </c>
      <c r="O75" s="49" t="str">
        <f t="shared" si="4"/>
        <v xml:space="preserve">[W201.8] </v>
      </c>
    </row>
    <row r="76" spans="1:15" s="49" customFormat="1" ht="14.15" customHeight="1">
      <c r="A76" s="43"/>
      <c r="B76" s="11"/>
      <c r="C76" s="11" t="s">
        <v>18</v>
      </c>
      <c r="D76" s="45" t="s">
        <v>16</v>
      </c>
      <c r="E76" s="46"/>
      <c r="F76" s="12" t="s">
        <v>181</v>
      </c>
      <c r="G76" s="13" t="s">
        <v>6876</v>
      </c>
      <c r="H76" s="99" t="str">
        <f t="shared" si="1"/>
        <v>W201.9</v>
      </c>
      <c r="I76" s="13"/>
      <c r="J76" s="13"/>
      <c r="K76" s="13"/>
      <c r="L76" s="48"/>
      <c r="M76" s="49" t="str">
        <f t="shared" si="2"/>
        <v>[W201.9]</v>
      </c>
      <c r="N76" s="12" t="str">
        <f t="shared" si="3"/>
        <v xml:space="preserve"> </v>
      </c>
      <c r="O76" s="49" t="str">
        <f t="shared" si="4"/>
        <v xml:space="preserve">[W201.9] </v>
      </c>
    </row>
    <row r="77" spans="1:15" s="49" customFormat="1" ht="14.15" customHeight="1">
      <c r="A77" s="43"/>
      <c r="B77" s="11"/>
      <c r="C77" s="11" t="s">
        <v>18</v>
      </c>
      <c r="D77" s="45" t="s">
        <v>16</v>
      </c>
      <c r="E77" s="46"/>
      <c r="F77" s="12" t="s">
        <v>182</v>
      </c>
      <c r="G77" s="13" t="s">
        <v>6877</v>
      </c>
      <c r="H77" s="99" t="str">
        <f t="shared" si="1"/>
        <v>W201.A</v>
      </c>
      <c r="I77" s="13"/>
      <c r="J77" s="13"/>
      <c r="K77" s="13"/>
      <c r="L77" s="48"/>
      <c r="M77" s="49" t="str">
        <f t="shared" si="2"/>
        <v>[W201.A]</v>
      </c>
      <c r="N77" s="12" t="str">
        <f t="shared" si="3"/>
        <v xml:space="preserve"> </v>
      </c>
      <c r="O77" s="49" t="str">
        <f t="shared" si="4"/>
        <v xml:space="preserve">[W201.A] </v>
      </c>
    </row>
    <row r="78" spans="1:15" s="49" customFormat="1" ht="14.15" customHeight="1">
      <c r="A78" s="43"/>
      <c r="B78" s="11"/>
      <c r="C78" s="11" t="s">
        <v>18</v>
      </c>
      <c r="D78" s="45" t="s">
        <v>16</v>
      </c>
      <c r="E78" s="46"/>
      <c r="F78" s="12" t="s">
        <v>183</v>
      </c>
      <c r="G78" s="13" t="s">
        <v>6878</v>
      </c>
      <c r="H78" s="99" t="str">
        <f t="shared" si="1"/>
        <v>W201.B</v>
      </c>
      <c r="I78" s="13"/>
      <c r="J78" s="13"/>
      <c r="K78" s="13"/>
      <c r="L78" s="48"/>
      <c r="M78" s="49" t="str">
        <f t="shared" si="2"/>
        <v>[W201.B]</v>
      </c>
      <c r="N78" s="12" t="str">
        <f t="shared" si="3"/>
        <v xml:space="preserve"> </v>
      </c>
      <c r="O78" s="49" t="str">
        <f t="shared" si="4"/>
        <v xml:space="preserve">[W201.B] </v>
      </c>
    </row>
    <row r="79" spans="1:15" s="49" customFormat="1" ht="14.15" customHeight="1">
      <c r="A79" s="43"/>
      <c r="B79" s="11"/>
      <c r="C79" s="11" t="s">
        <v>18</v>
      </c>
      <c r="D79" s="45" t="s">
        <v>16</v>
      </c>
      <c r="E79" s="46"/>
      <c r="F79" s="12" t="s">
        <v>184</v>
      </c>
      <c r="G79" s="13" t="s">
        <v>6879</v>
      </c>
      <c r="H79" s="99" t="str">
        <f t="shared" si="1"/>
        <v>W201.C</v>
      </c>
      <c r="I79" s="13"/>
      <c r="J79" s="13"/>
      <c r="K79" s="13"/>
      <c r="L79" s="48"/>
      <c r="M79" s="49" t="str">
        <f t="shared" si="2"/>
        <v>[W201.C]</v>
      </c>
      <c r="N79" s="12" t="str">
        <f t="shared" si="3"/>
        <v xml:space="preserve"> </v>
      </c>
      <c r="O79" s="49" t="str">
        <f t="shared" si="4"/>
        <v xml:space="preserve">[W201.C] </v>
      </c>
    </row>
    <row r="80" spans="1:15" s="49" customFormat="1" ht="14.15" customHeight="1">
      <c r="A80" s="43"/>
      <c r="B80" s="11"/>
      <c r="C80" s="11" t="s">
        <v>18</v>
      </c>
      <c r="D80" s="45" t="s">
        <v>16</v>
      </c>
      <c r="E80" s="46"/>
      <c r="F80" s="12" t="s">
        <v>6790</v>
      </c>
      <c r="G80" s="13" t="s">
        <v>6880</v>
      </c>
      <c r="H80" s="99" t="str">
        <f t="shared" si="1"/>
        <v>W201.D</v>
      </c>
      <c r="I80" s="13"/>
      <c r="J80" s="13"/>
      <c r="K80" s="13"/>
      <c r="L80" s="48"/>
      <c r="M80" s="49" t="str">
        <f t="shared" si="2"/>
        <v>[W201.D]</v>
      </c>
      <c r="N80" s="12" t="str">
        <f t="shared" si="3"/>
        <v/>
      </c>
      <c r="O80" s="49" t="str">
        <f t="shared" si="4"/>
        <v>[W201.D]</v>
      </c>
    </row>
    <row r="81" spans="1:15" s="49" customFormat="1" ht="14.15" customHeight="1">
      <c r="A81" s="43"/>
      <c r="B81" s="11"/>
      <c r="C81" s="11" t="s">
        <v>18</v>
      </c>
      <c r="D81" s="45" t="s">
        <v>16</v>
      </c>
      <c r="E81" s="46"/>
      <c r="F81" s="12" t="s">
        <v>185</v>
      </c>
      <c r="G81" s="13" t="s">
        <v>6881</v>
      </c>
      <c r="H81" s="99" t="str">
        <f t="shared" si="1"/>
        <v>W201.E</v>
      </c>
      <c r="I81" s="13"/>
      <c r="J81" s="13"/>
      <c r="K81" s="13"/>
      <c r="L81" s="48"/>
      <c r="M81" s="49" t="str">
        <f t="shared" si="2"/>
        <v>[W201.E]</v>
      </c>
      <c r="N81" s="12" t="str">
        <f t="shared" si="3"/>
        <v xml:space="preserve"> </v>
      </c>
      <c r="O81" s="49" t="str">
        <f t="shared" si="4"/>
        <v xml:space="preserve">[W201.E] </v>
      </c>
    </row>
    <row r="82" spans="1:15" s="49" customFormat="1" ht="14.15" customHeight="1">
      <c r="A82" s="43"/>
      <c r="B82" s="11"/>
      <c r="C82" s="11" t="s">
        <v>18</v>
      </c>
      <c r="D82" s="45" t="s">
        <v>16</v>
      </c>
      <c r="E82" s="46"/>
      <c r="F82" s="12" t="s">
        <v>186</v>
      </c>
      <c r="G82" s="13" t="s">
        <v>6882</v>
      </c>
      <c r="H82" s="99" t="str">
        <f t="shared" si="1"/>
        <v>W201.F</v>
      </c>
      <c r="I82" s="13"/>
      <c r="J82" s="13"/>
      <c r="K82" s="13"/>
      <c r="L82" s="48"/>
      <c r="M82" s="49" t="str">
        <f t="shared" si="2"/>
        <v>[W201.F]</v>
      </c>
      <c r="N82" s="12" t="str">
        <f t="shared" si="3"/>
        <v xml:space="preserve"> </v>
      </c>
      <c r="O82" s="49" t="str">
        <f t="shared" si="4"/>
        <v xml:space="preserve">[W201.F] </v>
      </c>
    </row>
    <row r="83" spans="1:15" s="49" customFormat="1" ht="14.15" customHeight="1">
      <c r="A83" s="43"/>
      <c r="B83" s="11"/>
      <c r="C83" s="11" t="s">
        <v>18</v>
      </c>
      <c r="D83" s="45" t="s">
        <v>16</v>
      </c>
      <c r="E83" s="46"/>
      <c r="F83" s="12" t="s">
        <v>187</v>
      </c>
      <c r="G83" s="13" t="s">
        <v>6883</v>
      </c>
      <c r="H83" s="99" t="str">
        <f t="shared" si="1"/>
        <v>W202.0</v>
      </c>
      <c r="I83" s="13"/>
      <c r="J83" s="13"/>
      <c r="K83" s="13"/>
      <c r="L83" s="48"/>
      <c r="M83" s="49" t="str">
        <f t="shared" si="2"/>
        <v>[W202.0]</v>
      </c>
      <c r="N83" s="12" t="str">
        <f t="shared" si="3"/>
        <v xml:space="preserve"> </v>
      </c>
      <c r="O83" s="49" t="str">
        <f t="shared" si="4"/>
        <v xml:space="preserve">[W202.0] </v>
      </c>
    </row>
    <row r="84" spans="1:15" s="49" customFormat="1" ht="14.15" customHeight="1">
      <c r="A84" s="43"/>
      <c r="B84" s="11"/>
      <c r="C84" s="11" t="s">
        <v>18</v>
      </c>
      <c r="D84" s="45" t="s">
        <v>16</v>
      </c>
      <c r="E84" s="46"/>
      <c r="F84" s="12" t="s">
        <v>188</v>
      </c>
      <c r="G84" s="13" t="s">
        <v>6884</v>
      </c>
      <c r="H84" s="99" t="str">
        <f t="shared" si="1"/>
        <v>W202.1</v>
      </c>
      <c r="I84" s="13"/>
      <c r="J84" s="13"/>
      <c r="K84" s="13"/>
      <c r="L84" s="48"/>
      <c r="M84" s="49" t="str">
        <f t="shared" si="2"/>
        <v>[W202.1]</v>
      </c>
      <c r="N84" s="12" t="str">
        <f t="shared" si="3"/>
        <v xml:space="preserve"> </v>
      </c>
      <c r="O84" s="49" t="str">
        <f t="shared" si="4"/>
        <v xml:space="preserve">[W202.1] </v>
      </c>
    </row>
    <row r="85" spans="1:15" s="49" customFormat="1" ht="14.15" customHeight="1">
      <c r="A85" s="43"/>
      <c r="B85" s="11"/>
      <c r="C85" s="11" t="s">
        <v>18</v>
      </c>
      <c r="D85" s="45" t="s">
        <v>16</v>
      </c>
      <c r="E85" s="46"/>
      <c r="F85" s="12" t="s">
        <v>189</v>
      </c>
      <c r="G85" s="13" t="s">
        <v>6885</v>
      </c>
      <c r="H85" s="99" t="str">
        <f t="shared" si="1"/>
        <v>W202.2</v>
      </c>
      <c r="I85" s="13"/>
      <c r="J85" s="13"/>
      <c r="K85" s="13"/>
      <c r="L85" s="48"/>
      <c r="M85" s="49" t="str">
        <f t="shared" si="2"/>
        <v>[W202.2]</v>
      </c>
      <c r="N85" s="12" t="str">
        <f t="shared" si="3"/>
        <v xml:space="preserve"> </v>
      </c>
      <c r="O85" s="49" t="str">
        <f t="shared" si="4"/>
        <v xml:space="preserve">[W202.2] </v>
      </c>
    </row>
    <row r="86" spans="1:15" s="49" customFormat="1" ht="14.15" customHeight="1">
      <c r="A86" s="43"/>
      <c r="B86" s="11"/>
      <c r="C86" s="11" t="s">
        <v>18</v>
      </c>
      <c r="D86" s="45" t="s">
        <v>16</v>
      </c>
      <c r="E86" s="46"/>
      <c r="F86" s="12" t="s">
        <v>190</v>
      </c>
      <c r="G86" s="13" t="s">
        <v>6886</v>
      </c>
      <c r="H86" s="99" t="str">
        <f t="shared" si="1"/>
        <v>W202.3</v>
      </c>
      <c r="I86" s="13"/>
      <c r="J86" s="13"/>
      <c r="K86" s="13"/>
      <c r="L86" s="48"/>
      <c r="M86" s="49" t="str">
        <f t="shared" si="2"/>
        <v>[W202.3]</v>
      </c>
      <c r="N86" s="12" t="str">
        <f t="shared" si="3"/>
        <v xml:space="preserve"> </v>
      </c>
      <c r="O86" s="49" t="str">
        <f t="shared" si="4"/>
        <v xml:space="preserve">[W202.3] </v>
      </c>
    </row>
    <row r="87" spans="1:15" s="49" customFormat="1" ht="14.15" customHeight="1">
      <c r="A87" s="43"/>
      <c r="B87" s="11"/>
      <c r="C87" s="11" t="s">
        <v>18</v>
      </c>
      <c r="D87" s="45" t="s">
        <v>16</v>
      </c>
      <c r="E87" s="46"/>
      <c r="F87" s="12" t="s">
        <v>191</v>
      </c>
      <c r="G87" s="13" t="s">
        <v>6887</v>
      </c>
      <c r="H87" s="99" t="str">
        <f t="shared" si="1"/>
        <v>W202.4</v>
      </c>
      <c r="I87" s="13"/>
      <c r="J87" s="13"/>
      <c r="K87" s="13"/>
      <c r="L87" s="48"/>
      <c r="M87" s="49" t="str">
        <f t="shared" si="2"/>
        <v>[W202.4]</v>
      </c>
      <c r="N87" s="12" t="str">
        <f t="shared" si="3"/>
        <v xml:space="preserve"> </v>
      </c>
      <c r="O87" s="49" t="str">
        <f t="shared" si="4"/>
        <v xml:space="preserve">[W202.4] </v>
      </c>
    </row>
    <row r="88" spans="1:15" s="49" customFormat="1" ht="14.15" customHeight="1">
      <c r="A88" s="43"/>
      <c r="B88" s="11"/>
      <c r="C88" s="11" t="s">
        <v>18</v>
      </c>
      <c r="D88" s="45" t="s">
        <v>16</v>
      </c>
      <c r="E88" s="46"/>
      <c r="F88" s="12" t="s">
        <v>192</v>
      </c>
      <c r="G88" s="13" t="s">
        <v>6888</v>
      </c>
      <c r="H88" s="99" t="str">
        <f t="shared" si="1"/>
        <v>W202.5</v>
      </c>
      <c r="I88" s="13"/>
      <c r="J88" s="13"/>
      <c r="K88" s="13"/>
      <c r="L88" s="48"/>
      <c r="M88" s="49" t="str">
        <f t="shared" si="2"/>
        <v>[W202.5]</v>
      </c>
      <c r="N88" s="12" t="str">
        <f t="shared" si="3"/>
        <v xml:space="preserve"> </v>
      </c>
      <c r="O88" s="49" t="str">
        <f t="shared" si="4"/>
        <v xml:space="preserve">[W202.5] </v>
      </c>
    </row>
    <row r="89" spans="1:15" s="49" customFormat="1" ht="14.15" customHeight="1">
      <c r="A89" s="43"/>
      <c r="B89" s="11"/>
      <c r="C89" s="11" t="s">
        <v>18</v>
      </c>
      <c r="D89" s="45" t="s">
        <v>16</v>
      </c>
      <c r="E89" s="46"/>
      <c r="F89" s="12" t="s">
        <v>193</v>
      </c>
      <c r="G89" s="13" t="s">
        <v>6889</v>
      </c>
      <c r="H89" s="99" t="str">
        <f t="shared" si="1"/>
        <v>W202.6</v>
      </c>
      <c r="I89" s="13"/>
      <c r="J89" s="13"/>
      <c r="K89" s="13"/>
      <c r="L89" s="48"/>
      <c r="M89" s="49" t="str">
        <f t="shared" si="2"/>
        <v>[W202.6]</v>
      </c>
      <c r="N89" s="12" t="str">
        <f t="shared" si="3"/>
        <v xml:space="preserve"> </v>
      </c>
      <c r="O89" s="49" t="str">
        <f t="shared" si="4"/>
        <v xml:space="preserve">[W202.6] </v>
      </c>
    </row>
    <row r="90" spans="1:15" s="49" customFormat="1" ht="14.15" customHeight="1">
      <c r="A90" s="43"/>
      <c r="B90" s="11"/>
      <c r="C90" s="11" t="s">
        <v>18</v>
      </c>
      <c r="D90" s="45" t="s">
        <v>16</v>
      </c>
      <c r="E90" s="46"/>
      <c r="F90" s="12" t="s">
        <v>194</v>
      </c>
      <c r="G90" s="13" t="s">
        <v>6890</v>
      </c>
      <c r="H90" s="99" t="str">
        <f t="shared" si="1"/>
        <v>W202.7</v>
      </c>
      <c r="I90" s="13"/>
      <c r="J90" s="13"/>
      <c r="K90" s="13"/>
      <c r="L90" s="48"/>
      <c r="M90" s="49" t="str">
        <f t="shared" si="2"/>
        <v>[W202.7]</v>
      </c>
      <c r="N90" s="12" t="str">
        <f t="shared" si="3"/>
        <v xml:space="preserve"> </v>
      </c>
      <c r="O90" s="49" t="str">
        <f t="shared" si="4"/>
        <v xml:space="preserve">[W202.7] </v>
      </c>
    </row>
    <row r="91" spans="1:15" s="49" customFormat="1" ht="14.15" customHeight="1">
      <c r="A91" s="43"/>
      <c r="B91" s="11"/>
      <c r="C91" s="11" t="s">
        <v>18</v>
      </c>
      <c r="D91" s="45" t="s">
        <v>16</v>
      </c>
      <c r="E91" s="46"/>
      <c r="F91" s="12" t="s">
        <v>195</v>
      </c>
      <c r="G91" s="13" t="s">
        <v>6891</v>
      </c>
      <c r="H91" s="99" t="str">
        <f t="shared" si="1"/>
        <v>W202.8</v>
      </c>
      <c r="I91" s="13"/>
      <c r="J91" s="13"/>
      <c r="K91" s="13"/>
      <c r="L91" s="48"/>
      <c r="M91" s="49" t="str">
        <f t="shared" si="2"/>
        <v>[W202.8]</v>
      </c>
      <c r="N91" s="12" t="str">
        <f t="shared" si="3"/>
        <v xml:space="preserve"> </v>
      </c>
      <c r="O91" s="49" t="str">
        <f t="shared" si="4"/>
        <v xml:space="preserve">[W202.8] </v>
      </c>
    </row>
    <row r="92" spans="1:15" s="49" customFormat="1" ht="14.15" customHeight="1">
      <c r="A92" s="43"/>
      <c r="B92" s="11"/>
      <c r="C92" s="11" t="s">
        <v>18</v>
      </c>
      <c r="D92" s="45" t="s">
        <v>16</v>
      </c>
      <c r="E92" s="46"/>
      <c r="F92" s="12" t="s">
        <v>196</v>
      </c>
      <c r="G92" s="13" t="s">
        <v>6892</v>
      </c>
      <c r="H92" s="99" t="str">
        <f t="shared" si="1"/>
        <v>W202.9</v>
      </c>
      <c r="I92" s="13"/>
      <c r="J92" s="13"/>
      <c r="K92" s="13"/>
      <c r="L92" s="48"/>
      <c r="M92" s="49" t="str">
        <f t="shared" si="2"/>
        <v>[W202.9]</v>
      </c>
      <c r="N92" s="12" t="str">
        <f t="shared" si="3"/>
        <v xml:space="preserve"> </v>
      </c>
      <c r="O92" s="49" t="str">
        <f t="shared" si="4"/>
        <v xml:space="preserve">[W202.9] </v>
      </c>
    </row>
    <row r="93" spans="1:15" s="49" customFormat="1" ht="14.15" customHeight="1">
      <c r="A93" s="43"/>
      <c r="B93" s="11"/>
      <c r="C93" s="11" t="s">
        <v>18</v>
      </c>
      <c r="D93" s="45" t="s">
        <v>16</v>
      </c>
      <c r="E93" s="46"/>
      <c r="F93" s="12" t="s">
        <v>197</v>
      </c>
      <c r="G93" s="13" t="s">
        <v>6893</v>
      </c>
      <c r="H93" s="99" t="str">
        <f t="shared" si="1"/>
        <v>W202.A</v>
      </c>
      <c r="I93" s="13"/>
      <c r="J93" s="13"/>
      <c r="K93" s="13"/>
      <c r="L93" s="48"/>
      <c r="M93" s="49" t="str">
        <f t="shared" si="2"/>
        <v>[W202.A]</v>
      </c>
      <c r="N93" s="12" t="str">
        <f t="shared" si="3"/>
        <v xml:space="preserve"> </v>
      </c>
      <c r="O93" s="49" t="str">
        <f t="shared" si="4"/>
        <v xml:space="preserve">[W202.A] </v>
      </c>
    </row>
    <row r="94" spans="1:15" s="49" customFormat="1" ht="14.15" customHeight="1">
      <c r="A94" s="43"/>
      <c r="B94" s="11"/>
      <c r="C94" s="11" t="s">
        <v>18</v>
      </c>
      <c r="D94" s="45" t="s">
        <v>16</v>
      </c>
      <c r="E94" s="46"/>
      <c r="F94" s="12" t="s">
        <v>198</v>
      </c>
      <c r="G94" s="13" t="s">
        <v>6894</v>
      </c>
      <c r="H94" s="99" t="str">
        <f t="shared" si="1"/>
        <v>W202.B</v>
      </c>
      <c r="I94" s="13"/>
      <c r="J94" s="13"/>
      <c r="K94" s="13"/>
      <c r="L94" s="48"/>
      <c r="M94" s="49" t="str">
        <f t="shared" si="2"/>
        <v>[W202.B]</v>
      </c>
      <c r="N94" s="12" t="str">
        <f t="shared" si="3"/>
        <v xml:space="preserve"> </v>
      </c>
      <c r="O94" s="49" t="str">
        <f t="shared" si="4"/>
        <v xml:space="preserve">[W202.B] </v>
      </c>
    </row>
    <row r="95" spans="1:15" s="49" customFormat="1" ht="14.15" customHeight="1">
      <c r="A95" s="43"/>
      <c r="B95" s="11"/>
      <c r="C95" s="11" t="s">
        <v>18</v>
      </c>
      <c r="D95" s="45" t="s">
        <v>16</v>
      </c>
      <c r="E95" s="46"/>
      <c r="F95" s="12" t="s">
        <v>199</v>
      </c>
      <c r="G95" s="13" t="s">
        <v>6895</v>
      </c>
      <c r="H95" s="99" t="str">
        <f t="shared" si="1"/>
        <v>W202.C</v>
      </c>
      <c r="I95" s="13"/>
      <c r="J95" s="13"/>
      <c r="K95" s="13"/>
      <c r="L95" s="48"/>
      <c r="M95" s="49" t="str">
        <f t="shared" si="2"/>
        <v>[W202.C]</v>
      </c>
      <c r="N95" s="12" t="str">
        <f t="shared" si="3"/>
        <v xml:space="preserve"> </v>
      </c>
      <c r="O95" s="49" t="str">
        <f t="shared" si="4"/>
        <v xml:space="preserve">[W202.C] </v>
      </c>
    </row>
    <row r="96" spans="1:15" s="49" customFormat="1" ht="14.15" customHeight="1">
      <c r="A96" s="43"/>
      <c r="B96" s="11"/>
      <c r="C96" s="11" t="s">
        <v>18</v>
      </c>
      <c r="D96" s="45" t="s">
        <v>16</v>
      </c>
      <c r="E96" s="46"/>
      <c r="F96" s="12" t="s">
        <v>200</v>
      </c>
      <c r="G96" s="13" t="s">
        <v>6896</v>
      </c>
      <c r="H96" s="99" t="str">
        <f t="shared" si="1"/>
        <v>W202.D</v>
      </c>
      <c r="I96" s="13"/>
      <c r="J96" s="13"/>
      <c r="K96" s="13"/>
      <c r="L96" s="48"/>
      <c r="M96" s="49" t="str">
        <f t="shared" si="2"/>
        <v>[W202.D]</v>
      </c>
      <c r="N96" s="12" t="str">
        <f t="shared" si="3"/>
        <v xml:space="preserve"> </v>
      </c>
      <c r="O96" s="49" t="str">
        <f t="shared" si="4"/>
        <v xml:space="preserve">[W202.D] </v>
      </c>
    </row>
    <row r="97" spans="1:15" s="49" customFormat="1" ht="14.15" customHeight="1">
      <c r="A97" s="43"/>
      <c r="B97" s="11"/>
      <c r="C97" s="11" t="s">
        <v>18</v>
      </c>
      <c r="D97" s="45" t="s">
        <v>16</v>
      </c>
      <c r="E97" s="46"/>
      <c r="F97" s="12" t="s">
        <v>201</v>
      </c>
      <c r="G97" s="13" t="s">
        <v>6897</v>
      </c>
      <c r="H97" s="99" t="str">
        <f t="shared" si="1"/>
        <v>W202.E</v>
      </c>
      <c r="I97" s="13"/>
      <c r="J97" s="13"/>
      <c r="K97" s="13"/>
      <c r="L97" s="48"/>
      <c r="M97" s="49" t="str">
        <f t="shared" si="2"/>
        <v>[W202.E]</v>
      </c>
      <c r="N97" s="12" t="str">
        <f t="shared" si="3"/>
        <v xml:space="preserve"> </v>
      </c>
      <c r="O97" s="49" t="str">
        <f t="shared" si="4"/>
        <v xml:space="preserve">[W202.E] </v>
      </c>
    </row>
    <row r="98" spans="1:15" s="49" customFormat="1" ht="14.15" customHeight="1">
      <c r="A98" s="43"/>
      <c r="B98" s="11"/>
      <c r="C98" s="11" t="s">
        <v>18</v>
      </c>
      <c r="D98" s="45" t="s">
        <v>16</v>
      </c>
      <c r="E98" s="46"/>
      <c r="F98" s="12" t="s">
        <v>202</v>
      </c>
      <c r="G98" s="13" t="s">
        <v>6898</v>
      </c>
      <c r="H98" s="99" t="str">
        <f t="shared" si="1"/>
        <v>W202.F</v>
      </c>
      <c r="I98" s="13"/>
      <c r="J98" s="13"/>
      <c r="K98" s="13"/>
      <c r="L98" s="48"/>
      <c r="M98" s="49" t="str">
        <f t="shared" si="2"/>
        <v>[W202.F]</v>
      </c>
      <c r="N98" s="12" t="str">
        <f t="shared" si="3"/>
        <v xml:space="preserve"> </v>
      </c>
      <c r="O98" s="49" t="str">
        <f t="shared" si="4"/>
        <v xml:space="preserve">[W202.F] </v>
      </c>
    </row>
    <row r="99" spans="1:15" s="49" customFormat="1" ht="14.15" customHeight="1">
      <c r="A99" s="43"/>
      <c r="B99" s="11"/>
      <c r="C99" s="11" t="s">
        <v>18</v>
      </c>
      <c r="D99" s="45" t="s">
        <v>16</v>
      </c>
      <c r="E99" s="46"/>
      <c r="F99" s="12" t="s">
        <v>203</v>
      </c>
      <c r="G99" s="13" t="s">
        <v>6899</v>
      </c>
      <c r="H99" s="99" t="str">
        <f t="shared" si="1"/>
        <v>W203.0</v>
      </c>
      <c r="I99" s="13"/>
      <c r="J99" s="13"/>
      <c r="K99" s="13"/>
      <c r="L99" s="48"/>
      <c r="M99" s="49" t="str">
        <f t="shared" si="2"/>
        <v>[W203.0]</v>
      </c>
      <c r="N99" s="12" t="str">
        <f t="shared" si="3"/>
        <v xml:space="preserve"> </v>
      </c>
      <c r="O99" s="49" t="str">
        <f t="shared" si="4"/>
        <v xml:space="preserve">[W203.0] </v>
      </c>
    </row>
    <row r="100" spans="1:15" s="49" customFormat="1" ht="14.15" customHeight="1">
      <c r="A100" s="43"/>
      <c r="B100" s="11"/>
      <c r="C100" s="11" t="s">
        <v>18</v>
      </c>
      <c r="D100" s="45" t="s">
        <v>16</v>
      </c>
      <c r="E100" s="46"/>
      <c r="F100" s="12" t="s">
        <v>204</v>
      </c>
      <c r="G100" s="13" t="s">
        <v>6900</v>
      </c>
      <c r="H100" s="99" t="str">
        <f t="shared" si="1"/>
        <v>W203.1</v>
      </c>
      <c r="I100" s="13"/>
      <c r="J100" s="13"/>
      <c r="K100" s="13"/>
      <c r="L100" s="48"/>
      <c r="M100" s="49" t="str">
        <f t="shared" si="2"/>
        <v>[W203.1]</v>
      </c>
      <c r="N100" s="12" t="str">
        <f t="shared" si="3"/>
        <v xml:space="preserve"> </v>
      </c>
      <c r="O100" s="49" t="str">
        <f t="shared" si="4"/>
        <v xml:space="preserve">[W203.1] </v>
      </c>
    </row>
    <row r="101" spans="1:15" s="49" customFormat="1" ht="14.15" customHeight="1">
      <c r="A101" s="43"/>
      <c r="B101" s="11"/>
      <c r="C101" s="11" t="s">
        <v>18</v>
      </c>
      <c r="D101" s="45" t="s">
        <v>16</v>
      </c>
      <c r="E101" s="46"/>
      <c r="F101" s="12" t="s">
        <v>205</v>
      </c>
      <c r="G101" s="13" t="s">
        <v>6901</v>
      </c>
      <c r="H101" s="99" t="str">
        <f t="shared" si="1"/>
        <v>W203.2</v>
      </c>
      <c r="I101" s="13"/>
      <c r="J101" s="13"/>
      <c r="K101" s="13"/>
      <c r="L101" s="48"/>
      <c r="M101" s="49" t="str">
        <f t="shared" si="2"/>
        <v>[W203.2]</v>
      </c>
      <c r="N101" s="12" t="str">
        <f t="shared" si="3"/>
        <v xml:space="preserve"> </v>
      </c>
      <c r="O101" s="49" t="str">
        <f t="shared" si="4"/>
        <v xml:space="preserve">[W203.2] </v>
      </c>
    </row>
    <row r="102" spans="1:15" s="49" customFormat="1" ht="14.15" customHeight="1">
      <c r="A102" s="43"/>
      <c r="B102" s="11"/>
      <c r="C102" s="11" t="s">
        <v>18</v>
      </c>
      <c r="D102" s="45" t="s">
        <v>16</v>
      </c>
      <c r="E102" s="46"/>
      <c r="F102" s="12" t="s">
        <v>206</v>
      </c>
      <c r="G102" s="13" t="s">
        <v>6902</v>
      </c>
      <c r="H102" s="99" t="str">
        <f t="shared" si="1"/>
        <v>W203.3</v>
      </c>
      <c r="I102" s="13"/>
      <c r="J102" s="13"/>
      <c r="K102" s="13"/>
      <c r="L102" s="48"/>
      <c r="M102" s="49" t="str">
        <f t="shared" si="2"/>
        <v>[W203.3]</v>
      </c>
      <c r="N102" s="12" t="str">
        <f t="shared" si="3"/>
        <v xml:space="preserve"> </v>
      </c>
      <c r="O102" s="49" t="str">
        <f t="shared" si="4"/>
        <v xml:space="preserve">[W203.3] </v>
      </c>
    </row>
    <row r="103" spans="1:15" s="49" customFormat="1" ht="14.15" customHeight="1">
      <c r="A103" s="43"/>
      <c r="B103" s="11"/>
      <c r="C103" s="11" t="s">
        <v>18</v>
      </c>
      <c r="D103" s="45" t="s">
        <v>16</v>
      </c>
      <c r="E103" s="46"/>
      <c r="F103" s="12" t="s">
        <v>207</v>
      </c>
      <c r="G103" s="13" t="s">
        <v>6903</v>
      </c>
      <c r="H103" s="99" t="str">
        <f t="shared" si="1"/>
        <v>W203.4</v>
      </c>
      <c r="I103" s="13"/>
      <c r="J103" s="13"/>
      <c r="K103" s="13"/>
      <c r="L103" s="48"/>
      <c r="M103" s="49" t="str">
        <f t="shared" si="2"/>
        <v>[W203.4]</v>
      </c>
      <c r="N103" s="12" t="str">
        <f t="shared" si="3"/>
        <v xml:space="preserve"> </v>
      </c>
      <c r="O103" s="49" t="str">
        <f t="shared" si="4"/>
        <v xml:space="preserve">[W203.4] </v>
      </c>
    </row>
    <row r="104" spans="1:15" s="49" customFormat="1" ht="14.15" customHeight="1">
      <c r="A104" s="43"/>
      <c r="B104" s="11"/>
      <c r="C104" s="11" t="s">
        <v>18</v>
      </c>
      <c r="D104" s="45" t="s">
        <v>16</v>
      </c>
      <c r="E104" s="46"/>
      <c r="F104" s="12" t="s">
        <v>208</v>
      </c>
      <c r="G104" s="13" t="s">
        <v>6904</v>
      </c>
      <c r="H104" s="99" t="str">
        <f t="shared" si="1"/>
        <v>W203.5</v>
      </c>
      <c r="I104" s="13"/>
      <c r="J104" s="13"/>
      <c r="K104" s="13"/>
      <c r="L104" s="48"/>
      <c r="M104" s="49" t="str">
        <f t="shared" si="2"/>
        <v>[W203.5]</v>
      </c>
      <c r="N104" s="12" t="str">
        <f t="shared" si="3"/>
        <v xml:space="preserve"> </v>
      </c>
      <c r="O104" s="49" t="str">
        <f t="shared" si="4"/>
        <v xml:space="preserve">[W203.5] </v>
      </c>
    </row>
    <row r="105" spans="1:15" s="49" customFormat="1" ht="14.15" customHeight="1">
      <c r="A105" s="43"/>
      <c r="B105" s="11"/>
      <c r="C105" s="11" t="s">
        <v>18</v>
      </c>
      <c r="D105" s="45" t="s">
        <v>16</v>
      </c>
      <c r="E105" s="46"/>
      <c r="F105" s="12" t="s">
        <v>209</v>
      </c>
      <c r="G105" s="13" t="s">
        <v>6905</v>
      </c>
      <c r="H105" s="99" t="str">
        <f t="shared" si="1"/>
        <v>W203.6</v>
      </c>
      <c r="I105" s="13"/>
      <c r="J105" s="13"/>
      <c r="K105" s="13"/>
      <c r="L105" s="48"/>
      <c r="M105" s="49" t="str">
        <f t="shared" si="2"/>
        <v>[W203.6]</v>
      </c>
      <c r="N105" s="12" t="str">
        <f t="shared" si="3"/>
        <v xml:space="preserve"> </v>
      </c>
      <c r="O105" s="49" t="str">
        <f t="shared" si="4"/>
        <v xml:space="preserve">[W203.6] </v>
      </c>
    </row>
    <row r="106" spans="1:15" s="49" customFormat="1" ht="14.15" customHeight="1">
      <c r="A106" s="43"/>
      <c r="B106" s="11"/>
      <c r="C106" s="11" t="s">
        <v>18</v>
      </c>
      <c r="D106" s="45" t="s">
        <v>16</v>
      </c>
      <c r="E106" s="46"/>
      <c r="F106" s="12" t="s">
        <v>210</v>
      </c>
      <c r="G106" s="13" t="s">
        <v>6906</v>
      </c>
      <c r="H106" s="99" t="str">
        <f t="shared" si="1"/>
        <v>W203.7</v>
      </c>
      <c r="I106" s="13"/>
      <c r="J106" s="13"/>
      <c r="K106" s="13"/>
      <c r="L106" s="48"/>
      <c r="M106" s="49" t="str">
        <f t="shared" si="2"/>
        <v>[W203.7]</v>
      </c>
      <c r="N106" s="12" t="str">
        <f t="shared" si="3"/>
        <v xml:space="preserve"> </v>
      </c>
      <c r="O106" s="49" t="str">
        <f t="shared" si="4"/>
        <v xml:space="preserve">[W203.7] </v>
      </c>
    </row>
    <row r="107" spans="1:15" s="49" customFormat="1" ht="14.15" customHeight="1">
      <c r="A107" s="43"/>
      <c r="B107" s="11"/>
      <c r="C107" s="11" t="s">
        <v>18</v>
      </c>
      <c r="D107" s="45" t="s">
        <v>16</v>
      </c>
      <c r="E107" s="46"/>
      <c r="F107" s="12" t="s">
        <v>211</v>
      </c>
      <c r="G107" s="13" t="s">
        <v>6907</v>
      </c>
      <c r="H107" s="99" t="str">
        <f t="shared" si="1"/>
        <v>W203.8</v>
      </c>
      <c r="I107" s="13"/>
      <c r="J107" s="13"/>
      <c r="K107" s="13"/>
      <c r="L107" s="48"/>
      <c r="M107" s="49" t="str">
        <f t="shared" si="2"/>
        <v>[W203.8]</v>
      </c>
      <c r="N107" s="12" t="str">
        <f t="shared" si="3"/>
        <v xml:space="preserve"> </v>
      </c>
      <c r="O107" s="49" t="str">
        <f t="shared" si="4"/>
        <v xml:space="preserve">[W203.8] </v>
      </c>
    </row>
    <row r="108" spans="1:15" s="49" customFormat="1" ht="14.15" customHeight="1">
      <c r="A108" s="43"/>
      <c r="B108" s="11"/>
      <c r="C108" s="11" t="s">
        <v>18</v>
      </c>
      <c r="D108" s="45" t="s">
        <v>16</v>
      </c>
      <c r="E108" s="46"/>
      <c r="F108" s="12" t="s">
        <v>212</v>
      </c>
      <c r="G108" s="13" t="s">
        <v>6908</v>
      </c>
      <c r="H108" s="99" t="str">
        <f t="shared" si="1"/>
        <v>W203.9</v>
      </c>
      <c r="I108" s="13"/>
      <c r="J108" s="13"/>
      <c r="K108" s="13"/>
      <c r="L108" s="48"/>
      <c r="M108" s="49" t="str">
        <f t="shared" si="2"/>
        <v>[W203.9]</v>
      </c>
      <c r="N108" s="12" t="str">
        <f t="shared" si="3"/>
        <v xml:space="preserve"> </v>
      </c>
      <c r="O108" s="49" t="str">
        <f t="shared" si="4"/>
        <v xml:space="preserve">[W203.9] </v>
      </c>
    </row>
    <row r="109" spans="1:15" s="49" customFormat="1" ht="14.15" customHeight="1">
      <c r="A109" s="43"/>
      <c r="B109" s="11"/>
      <c r="C109" s="11" t="s">
        <v>18</v>
      </c>
      <c r="D109" s="45" t="s">
        <v>16</v>
      </c>
      <c r="E109" s="46"/>
      <c r="F109" s="12" t="s">
        <v>213</v>
      </c>
      <c r="G109" s="13" t="s">
        <v>6909</v>
      </c>
      <c r="H109" s="99" t="str">
        <f t="shared" si="1"/>
        <v>W203.A</v>
      </c>
      <c r="I109" s="13"/>
      <c r="J109" s="13"/>
      <c r="K109" s="13"/>
      <c r="L109" s="48"/>
      <c r="M109" s="49" t="str">
        <f t="shared" si="2"/>
        <v>[W203.A]</v>
      </c>
      <c r="N109" s="12" t="str">
        <f t="shared" si="3"/>
        <v xml:space="preserve"> </v>
      </c>
      <c r="O109" s="49" t="str">
        <f t="shared" si="4"/>
        <v xml:space="preserve">[W203.A] </v>
      </c>
    </row>
    <row r="110" spans="1:15" s="49" customFormat="1" ht="14.15" customHeight="1">
      <c r="A110" s="43"/>
      <c r="B110" s="11"/>
      <c r="C110" s="11" t="s">
        <v>18</v>
      </c>
      <c r="D110" s="45" t="s">
        <v>16</v>
      </c>
      <c r="E110" s="46"/>
      <c r="F110" s="12" t="s">
        <v>214</v>
      </c>
      <c r="G110" s="13" t="s">
        <v>6910</v>
      </c>
      <c r="H110" s="99" t="str">
        <f t="shared" si="1"/>
        <v>W203.B</v>
      </c>
      <c r="I110" s="13"/>
      <c r="J110" s="13"/>
      <c r="K110" s="13"/>
      <c r="L110" s="48"/>
      <c r="M110" s="49" t="str">
        <f t="shared" si="2"/>
        <v>[W203.B]</v>
      </c>
      <c r="N110" s="12" t="str">
        <f t="shared" si="3"/>
        <v xml:space="preserve"> </v>
      </c>
      <c r="O110" s="49" t="str">
        <f t="shared" si="4"/>
        <v xml:space="preserve">[W203.B] </v>
      </c>
    </row>
    <row r="111" spans="1:15" s="49" customFormat="1" ht="14.15" customHeight="1">
      <c r="A111" s="43"/>
      <c r="B111" s="11"/>
      <c r="C111" s="11" t="s">
        <v>18</v>
      </c>
      <c r="D111" s="45" t="s">
        <v>16</v>
      </c>
      <c r="E111" s="46"/>
      <c r="F111" s="12" t="s">
        <v>215</v>
      </c>
      <c r="G111" s="13" t="s">
        <v>6911</v>
      </c>
      <c r="H111" s="99" t="str">
        <f t="shared" si="1"/>
        <v>W203.C</v>
      </c>
      <c r="I111" s="13"/>
      <c r="J111" s="13"/>
      <c r="K111" s="13"/>
      <c r="L111" s="48"/>
      <c r="M111" s="49" t="str">
        <f t="shared" si="2"/>
        <v>[W203.C]</v>
      </c>
      <c r="N111" s="12" t="str">
        <f t="shared" si="3"/>
        <v xml:space="preserve"> </v>
      </c>
      <c r="O111" s="49" t="str">
        <f t="shared" si="4"/>
        <v xml:space="preserve">[W203.C] </v>
      </c>
    </row>
    <row r="112" spans="1:15" s="49" customFormat="1" ht="14.15" customHeight="1">
      <c r="A112" s="43"/>
      <c r="B112" s="11"/>
      <c r="C112" s="11" t="s">
        <v>18</v>
      </c>
      <c r="D112" s="45" t="s">
        <v>16</v>
      </c>
      <c r="E112" s="46"/>
      <c r="F112" s="12" t="s">
        <v>216</v>
      </c>
      <c r="G112" s="13" t="s">
        <v>6912</v>
      </c>
      <c r="H112" s="99" t="str">
        <f t="shared" si="1"/>
        <v>W203.D</v>
      </c>
      <c r="I112" s="13"/>
      <c r="J112" s="13"/>
      <c r="K112" s="13"/>
      <c r="L112" s="48"/>
      <c r="M112" s="49" t="str">
        <f t="shared" si="2"/>
        <v>[W203.D]</v>
      </c>
      <c r="N112" s="12" t="str">
        <f t="shared" si="3"/>
        <v xml:space="preserve"> </v>
      </c>
      <c r="O112" s="49" t="str">
        <f t="shared" si="4"/>
        <v xml:space="preserve">[W203.D] </v>
      </c>
    </row>
    <row r="113" spans="1:15" s="49" customFormat="1" ht="14.15" customHeight="1">
      <c r="A113" s="43"/>
      <c r="B113" s="11"/>
      <c r="C113" s="11" t="s">
        <v>18</v>
      </c>
      <c r="D113" s="45" t="s">
        <v>16</v>
      </c>
      <c r="E113" s="46"/>
      <c r="F113" s="12" t="s">
        <v>217</v>
      </c>
      <c r="G113" s="13" t="s">
        <v>6913</v>
      </c>
      <c r="H113" s="99" t="str">
        <f t="shared" si="1"/>
        <v>W203.E</v>
      </c>
      <c r="I113" s="13"/>
      <c r="J113" s="13"/>
      <c r="K113" s="13"/>
      <c r="L113" s="48"/>
      <c r="M113" s="49" t="str">
        <f t="shared" si="2"/>
        <v>[W203.E]</v>
      </c>
      <c r="N113" s="12" t="str">
        <f t="shared" si="3"/>
        <v xml:space="preserve"> </v>
      </c>
      <c r="O113" s="49" t="str">
        <f t="shared" si="4"/>
        <v xml:space="preserve">[W203.E] </v>
      </c>
    </row>
    <row r="114" spans="1:15" s="49" customFormat="1" ht="14.15" customHeight="1">
      <c r="A114" s="43"/>
      <c r="B114" s="11"/>
      <c r="C114" s="11" t="s">
        <v>18</v>
      </c>
      <c r="D114" s="45" t="s">
        <v>16</v>
      </c>
      <c r="E114" s="46"/>
      <c r="F114" s="12" t="s">
        <v>218</v>
      </c>
      <c r="G114" s="13" t="s">
        <v>6914</v>
      </c>
      <c r="H114" s="99" t="str">
        <f t="shared" si="1"/>
        <v>W203.F</v>
      </c>
      <c r="I114" s="13"/>
      <c r="J114" s="13"/>
      <c r="K114" s="13"/>
      <c r="L114" s="48"/>
      <c r="M114" s="49" t="str">
        <f t="shared" si="2"/>
        <v>[W203.F]</v>
      </c>
      <c r="N114" s="12" t="str">
        <f t="shared" si="3"/>
        <v xml:space="preserve"> </v>
      </c>
      <c r="O114" s="49" t="str">
        <f t="shared" si="4"/>
        <v xml:space="preserve">[W203.F] </v>
      </c>
    </row>
    <row r="115" spans="1:15" s="49" customFormat="1" ht="14.15" customHeight="1">
      <c r="A115" s="43"/>
      <c r="B115" s="11"/>
      <c r="C115" s="11" t="s">
        <v>18</v>
      </c>
      <c r="D115" s="45" t="s">
        <v>16</v>
      </c>
      <c r="E115" s="46"/>
      <c r="F115" s="12" t="s">
        <v>219</v>
      </c>
      <c r="G115" s="13" t="s">
        <v>6915</v>
      </c>
      <c r="H115" s="99" t="str">
        <f t="shared" si="1"/>
        <v>W204.0</v>
      </c>
      <c r="I115" s="13"/>
      <c r="J115" s="13"/>
      <c r="K115" s="13"/>
      <c r="L115" s="48"/>
      <c r="M115" s="49" t="str">
        <f t="shared" si="2"/>
        <v>[W204.0]</v>
      </c>
      <c r="N115" s="12" t="str">
        <f t="shared" si="3"/>
        <v xml:space="preserve"> </v>
      </c>
      <c r="O115" s="49" t="str">
        <f t="shared" si="4"/>
        <v xml:space="preserve">[W204.0] </v>
      </c>
    </row>
    <row r="116" spans="1:15" s="49" customFormat="1" ht="14.15" customHeight="1">
      <c r="A116" s="43"/>
      <c r="B116" s="11"/>
      <c r="C116" s="11" t="s">
        <v>18</v>
      </c>
      <c r="D116" s="45" t="s">
        <v>16</v>
      </c>
      <c r="E116" s="46"/>
      <c r="F116" s="12" t="s">
        <v>220</v>
      </c>
      <c r="G116" s="13" t="s">
        <v>6916</v>
      </c>
      <c r="H116" s="99" t="str">
        <f t="shared" ref="H116:H179" si="5">"W"&amp;DEC2HEX(512 + INT((ROW()-51)/16)) &amp; "." &amp; IF(MOD(ROW()-51,16)&lt;10,MOD(ROW()-51,16),CHAR(MOD(ROW()-51,16)+55))</f>
        <v>W204.1</v>
      </c>
      <c r="I116" s="13"/>
      <c r="J116" s="13"/>
      <c r="K116" s="13"/>
      <c r="L116" s="48"/>
      <c r="M116" s="49" t="str">
        <f t="shared" ref="M116:M179" si="6">"["&amp;H116&amp;"]"</f>
        <v>[W204.1]</v>
      </c>
      <c r="N116" s="12" t="str">
        <f t="shared" ref="N116:N179" si="7">RIGHT(F116,LEN(F116)-7)</f>
        <v xml:space="preserve"> </v>
      </c>
      <c r="O116" s="49" t="str">
        <f t="shared" ref="O116:O179" si="8">M116&amp;N116</f>
        <v xml:space="preserve">[W204.1] </v>
      </c>
    </row>
    <row r="117" spans="1:15" s="49" customFormat="1" ht="14.15" customHeight="1">
      <c r="A117" s="43"/>
      <c r="B117" s="11"/>
      <c r="C117" s="11" t="s">
        <v>18</v>
      </c>
      <c r="D117" s="45" t="s">
        <v>16</v>
      </c>
      <c r="E117" s="46"/>
      <c r="F117" s="12" t="s">
        <v>221</v>
      </c>
      <c r="G117" s="13" t="s">
        <v>6917</v>
      </c>
      <c r="H117" s="99" t="str">
        <f t="shared" si="5"/>
        <v>W204.2</v>
      </c>
      <c r="I117" s="13"/>
      <c r="J117" s="13"/>
      <c r="K117" s="13"/>
      <c r="L117" s="48"/>
      <c r="M117" s="49" t="str">
        <f t="shared" si="6"/>
        <v>[W204.2]</v>
      </c>
      <c r="N117" s="12" t="str">
        <f t="shared" si="7"/>
        <v xml:space="preserve"> </v>
      </c>
      <c r="O117" s="49" t="str">
        <f t="shared" si="8"/>
        <v xml:space="preserve">[W204.2] </v>
      </c>
    </row>
    <row r="118" spans="1:15" s="49" customFormat="1" ht="14.15" customHeight="1">
      <c r="A118" s="43"/>
      <c r="B118" s="11"/>
      <c r="C118" s="11" t="s">
        <v>18</v>
      </c>
      <c r="D118" s="45" t="s">
        <v>16</v>
      </c>
      <c r="E118" s="46"/>
      <c r="F118" s="12" t="s">
        <v>222</v>
      </c>
      <c r="G118" s="13" t="s">
        <v>6918</v>
      </c>
      <c r="H118" s="99" t="str">
        <f t="shared" si="5"/>
        <v>W204.3</v>
      </c>
      <c r="I118" s="13"/>
      <c r="J118" s="13"/>
      <c r="K118" s="13"/>
      <c r="L118" s="48"/>
      <c r="M118" s="49" t="str">
        <f t="shared" si="6"/>
        <v>[W204.3]</v>
      </c>
      <c r="N118" s="12" t="str">
        <f t="shared" si="7"/>
        <v xml:space="preserve"> </v>
      </c>
      <c r="O118" s="49" t="str">
        <f t="shared" si="8"/>
        <v xml:space="preserve">[W204.3] </v>
      </c>
    </row>
    <row r="119" spans="1:15" s="49" customFormat="1" ht="14.15" customHeight="1">
      <c r="A119" s="43"/>
      <c r="B119" s="11"/>
      <c r="C119" s="11" t="s">
        <v>18</v>
      </c>
      <c r="D119" s="45" t="s">
        <v>16</v>
      </c>
      <c r="E119" s="46"/>
      <c r="F119" s="12" t="s">
        <v>223</v>
      </c>
      <c r="G119" s="13" t="s">
        <v>6919</v>
      </c>
      <c r="H119" s="99" t="str">
        <f t="shared" si="5"/>
        <v>W204.4</v>
      </c>
      <c r="I119" s="13"/>
      <c r="J119" s="13"/>
      <c r="K119" s="13"/>
      <c r="L119" s="48"/>
      <c r="M119" s="49" t="str">
        <f t="shared" si="6"/>
        <v>[W204.4]</v>
      </c>
      <c r="N119" s="12" t="str">
        <f t="shared" si="7"/>
        <v xml:space="preserve"> </v>
      </c>
      <c r="O119" s="49" t="str">
        <f t="shared" si="8"/>
        <v xml:space="preserve">[W204.4] </v>
      </c>
    </row>
    <row r="120" spans="1:15" s="49" customFormat="1" ht="14.15" customHeight="1">
      <c r="A120" s="43"/>
      <c r="B120" s="11"/>
      <c r="C120" s="11" t="s">
        <v>18</v>
      </c>
      <c r="D120" s="45" t="s">
        <v>16</v>
      </c>
      <c r="E120" s="46"/>
      <c r="F120" s="12" t="s">
        <v>224</v>
      </c>
      <c r="G120" s="13" t="s">
        <v>6920</v>
      </c>
      <c r="H120" s="99" t="str">
        <f t="shared" si="5"/>
        <v>W204.5</v>
      </c>
      <c r="I120" s="13"/>
      <c r="J120" s="13"/>
      <c r="K120" s="13"/>
      <c r="L120" s="48"/>
      <c r="M120" s="49" t="str">
        <f t="shared" si="6"/>
        <v>[W204.5]</v>
      </c>
      <c r="N120" s="12" t="str">
        <f t="shared" si="7"/>
        <v xml:space="preserve"> </v>
      </c>
      <c r="O120" s="49" t="str">
        <f t="shared" si="8"/>
        <v xml:space="preserve">[W204.5] </v>
      </c>
    </row>
    <row r="121" spans="1:15" s="49" customFormat="1" ht="14.15" customHeight="1">
      <c r="A121" s="43"/>
      <c r="B121" s="11"/>
      <c r="C121" s="11" t="s">
        <v>18</v>
      </c>
      <c r="D121" s="45" t="s">
        <v>16</v>
      </c>
      <c r="E121" s="46"/>
      <c r="F121" s="12" t="s">
        <v>225</v>
      </c>
      <c r="G121" s="13" t="s">
        <v>6921</v>
      </c>
      <c r="H121" s="99" t="str">
        <f t="shared" si="5"/>
        <v>W204.6</v>
      </c>
      <c r="I121" s="13"/>
      <c r="J121" s="13"/>
      <c r="K121" s="13"/>
      <c r="L121" s="48"/>
      <c r="M121" s="49" t="str">
        <f t="shared" si="6"/>
        <v>[W204.6]</v>
      </c>
      <c r="N121" s="12" t="str">
        <f t="shared" si="7"/>
        <v xml:space="preserve"> </v>
      </c>
      <c r="O121" s="49" t="str">
        <f t="shared" si="8"/>
        <v xml:space="preserve">[W204.6] </v>
      </c>
    </row>
    <row r="122" spans="1:15" s="49" customFormat="1" ht="14.15" customHeight="1">
      <c r="A122" s="43"/>
      <c r="B122" s="11"/>
      <c r="C122" s="11" t="s">
        <v>18</v>
      </c>
      <c r="D122" s="45" t="s">
        <v>16</v>
      </c>
      <c r="E122" s="46"/>
      <c r="F122" s="12" t="s">
        <v>226</v>
      </c>
      <c r="G122" s="13" t="s">
        <v>6922</v>
      </c>
      <c r="H122" s="99" t="str">
        <f t="shared" si="5"/>
        <v>W204.7</v>
      </c>
      <c r="I122" s="13"/>
      <c r="J122" s="13"/>
      <c r="K122" s="13"/>
      <c r="L122" s="48"/>
      <c r="M122" s="49" t="str">
        <f t="shared" si="6"/>
        <v>[W204.7]</v>
      </c>
      <c r="N122" s="12" t="str">
        <f t="shared" si="7"/>
        <v xml:space="preserve"> </v>
      </c>
      <c r="O122" s="49" t="str">
        <f t="shared" si="8"/>
        <v xml:space="preserve">[W204.7] </v>
      </c>
    </row>
    <row r="123" spans="1:15" s="49" customFormat="1" ht="14.15" customHeight="1">
      <c r="A123" s="43"/>
      <c r="B123" s="11"/>
      <c r="C123" s="11" t="s">
        <v>18</v>
      </c>
      <c r="D123" s="45" t="s">
        <v>16</v>
      </c>
      <c r="E123" s="46"/>
      <c r="F123" s="12" t="s">
        <v>227</v>
      </c>
      <c r="G123" s="13" t="s">
        <v>6923</v>
      </c>
      <c r="H123" s="99" t="str">
        <f t="shared" si="5"/>
        <v>W204.8</v>
      </c>
      <c r="I123" s="13"/>
      <c r="J123" s="13"/>
      <c r="K123" s="13"/>
      <c r="L123" s="48"/>
      <c r="M123" s="49" t="str">
        <f t="shared" si="6"/>
        <v>[W204.8]</v>
      </c>
      <c r="N123" s="12" t="str">
        <f t="shared" si="7"/>
        <v xml:space="preserve"> </v>
      </c>
      <c r="O123" s="49" t="str">
        <f t="shared" si="8"/>
        <v xml:space="preserve">[W204.8] </v>
      </c>
    </row>
    <row r="124" spans="1:15" s="49" customFormat="1" ht="14.15" customHeight="1">
      <c r="A124" s="43"/>
      <c r="B124" s="11"/>
      <c r="C124" s="11" t="s">
        <v>18</v>
      </c>
      <c r="D124" s="45" t="s">
        <v>16</v>
      </c>
      <c r="E124" s="46"/>
      <c r="F124" s="12" t="s">
        <v>228</v>
      </c>
      <c r="G124" s="13" t="s">
        <v>6924</v>
      </c>
      <c r="H124" s="99" t="str">
        <f t="shared" si="5"/>
        <v>W204.9</v>
      </c>
      <c r="I124" s="13"/>
      <c r="J124" s="13"/>
      <c r="K124" s="13"/>
      <c r="L124" s="48"/>
      <c r="M124" s="49" t="str">
        <f t="shared" si="6"/>
        <v>[W204.9]</v>
      </c>
      <c r="N124" s="12" t="str">
        <f t="shared" si="7"/>
        <v xml:space="preserve"> </v>
      </c>
      <c r="O124" s="49" t="str">
        <f t="shared" si="8"/>
        <v xml:space="preserve">[W204.9] </v>
      </c>
    </row>
    <row r="125" spans="1:15" s="49" customFormat="1" ht="14.15" customHeight="1">
      <c r="A125" s="43"/>
      <c r="B125" s="11"/>
      <c r="C125" s="11" t="s">
        <v>18</v>
      </c>
      <c r="D125" s="45" t="s">
        <v>16</v>
      </c>
      <c r="E125" s="46"/>
      <c r="F125" s="12" t="s">
        <v>229</v>
      </c>
      <c r="G125" s="13" t="s">
        <v>6925</v>
      </c>
      <c r="H125" s="99" t="str">
        <f t="shared" si="5"/>
        <v>W204.A</v>
      </c>
      <c r="I125" s="13"/>
      <c r="J125" s="13"/>
      <c r="K125" s="13"/>
      <c r="L125" s="48"/>
      <c r="M125" s="49" t="str">
        <f t="shared" si="6"/>
        <v>[W204.A]</v>
      </c>
      <c r="N125" s="12" t="str">
        <f t="shared" si="7"/>
        <v xml:space="preserve"> </v>
      </c>
      <c r="O125" s="49" t="str">
        <f t="shared" si="8"/>
        <v xml:space="preserve">[W204.A] </v>
      </c>
    </row>
    <row r="126" spans="1:15" s="49" customFormat="1" ht="14.15" customHeight="1">
      <c r="A126" s="43"/>
      <c r="B126" s="11"/>
      <c r="C126" s="11" t="s">
        <v>18</v>
      </c>
      <c r="D126" s="45" t="s">
        <v>16</v>
      </c>
      <c r="E126" s="46"/>
      <c r="F126" s="12" t="s">
        <v>230</v>
      </c>
      <c r="G126" s="13" t="s">
        <v>6926</v>
      </c>
      <c r="H126" s="99" t="str">
        <f t="shared" si="5"/>
        <v>W204.B</v>
      </c>
      <c r="I126" s="13"/>
      <c r="J126" s="13"/>
      <c r="K126" s="13"/>
      <c r="L126" s="48"/>
      <c r="M126" s="49" t="str">
        <f t="shared" si="6"/>
        <v>[W204.B]</v>
      </c>
      <c r="N126" s="12" t="str">
        <f t="shared" si="7"/>
        <v xml:space="preserve"> </v>
      </c>
      <c r="O126" s="49" t="str">
        <f t="shared" si="8"/>
        <v xml:space="preserve">[W204.B] </v>
      </c>
    </row>
    <row r="127" spans="1:15" s="49" customFormat="1" ht="14.15" customHeight="1">
      <c r="A127" s="43"/>
      <c r="B127" s="11"/>
      <c r="C127" s="11" t="s">
        <v>18</v>
      </c>
      <c r="D127" s="45" t="s">
        <v>16</v>
      </c>
      <c r="E127" s="46"/>
      <c r="F127" s="12" t="s">
        <v>231</v>
      </c>
      <c r="G127" s="13" t="s">
        <v>6927</v>
      </c>
      <c r="H127" s="99" t="str">
        <f t="shared" si="5"/>
        <v>W204.C</v>
      </c>
      <c r="I127" s="13"/>
      <c r="J127" s="13"/>
      <c r="K127" s="13"/>
      <c r="L127" s="48"/>
      <c r="M127" s="49" t="str">
        <f t="shared" si="6"/>
        <v>[W204.C]</v>
      </c>
      <c r="N127" s="12" t="str">
        <f t="shared" si="7"/>
        <v xml:space="preserve"> </v>
      </c>
      <c r="O127" s="49" t="str">
        <f t="shared" si="8"/>
        <v xml:space="preserve">[W204.C] </v>
      </c>
    </row>
    <row r="128" spans="1:15" s="49" customFormat="1" ht="14.15" customHeight="1">
      <c r="A128" s="43"/>
      <c r="B128" s="11"/>
      <c r="C128" s="11" t="s">
        <v>18</v>
      </c>
      <c r="D128" s="45" t="s">
        <v>16</v>
      </c>
      <c r="E128" s="46"/>
      <c r="F128" s="12" t="s">
        <v>232</v>
      </c>
      <c r="G128" s="13" t="s">
        <v>6928</v>
      </c>
      <c r="H128" s="99" t="str">
        <f t="shared" si="5"/>
        <v>W204.D</v>
      </c>
      <c r="I128" s="13"/>
      <c r="J128" s="13"/>
      <c r="K128" s="13"/>
      <c r="L128" s="48"/>
      <c r="M128" s="49" t="str">
        <f t="shared" si="6"/>
        <v>[W204.D]</v>
      </c>
      <c r="N128" s="12" t="str">
        <f t="shared" si="7"/>
        <v xml:space="preserve"> </v>
      </c>
      <c r="O128" s="49" t="str">
        <f t="shared" si="8"/>
        <v xml:space="preserve">[W204.D] </v>
      </c>
    </row>
    <row r="129" spans="1:15" s="49" customFormat="1" ht="14.15" customHeight="1">
      <c r="A129" s="43"/>
      <c r="B129" s="11"/>
      <c r="C129" s="11" t="s">
        <v>18</v>
      </c>
      <c r="D129" s="45" t="s">
        <v>16</v>
      </c>
      <c r="E129" s="46"/>
      <c r="F129" s="12" t="s">
        <v>233</v>
      </c>
      <c r="G129" s="13" t="s">
        <v>6929</v>
      </c>
      <c r="H129" s="99" t="str">
        <f t="shared" si="5"/>
        <v>W204.E</v>
      </c>
      <c r="I129" s="13"/>
      <c r="J129" s="13"/>
      <c r="K129" s="13"/>
      <c r="L129" s="48"/>
      <c r="M129" s="49" t="str">
        <f t="shared" si="6"/>
        <v>[W204.E]</v>
      </c>
      <c r="N129" s="12" t="str">
        <f t="shared" si="7"/>
        <v xml:space="preserve"> </v>
      </c>
      <c r="O129" s="49" t="str">
        <f t="shared" si="8"/>
        <v xml:space="preserve">[W204.E] </v>
      </c>
    </row>
    <row r="130" spans="1:15" s="49" customFormat="1" ht="14.15" customHeight="1">
      <c r="A130" s="43"/>
      <c r="B130" s="11"/>
      <c r="C130" s="11" t="s">
        <v>18</v>
      </c>
      <c r="D130" s="45" t="s">
        <v>16</v>
      </c>
      <c r="E130" s="46"/>
      <c r="F130" s="12" t="s">
        <v>234</v>
      </c>
      <c r="G130" s="13" t="s">
        <v>6930</v>
      </c>
      <c r="H130" s="99" t="str">
        <f t="shared" si="5"/>
        <v>W204.F</v>
      </c>
      <c r="I130" s="13"/>
      <c r="J130" s="13"/>
      <c r="K130" s="13"/>
      <c r="L130" s="48"/>
      <c r="M130" s="49" t="str">
        <f t="shared" si="6"/>
        <v>[W204.F]</v>
      </c>
      <c r="N130" s="12" t="str">
        <f t="shared" si="7"/>
        <v xml:space="preserve"> </v>
      </c>
      <c r="O130" s="49" t="str">
        <f t="shared" si="8"/>
        <v xml:space="preserve">[W204.F] </v>
      </c>
    </row>
    <row r="131" spans="1:15" s="49" customFormat="1" ht="14.15" customHeight="1">
      <c r="A131" s="43"/>
      <c r="B131" s="11"/>
      <c r="C131" s="11" t="s">
        <v>18</v>
      </c>
      <c r="D131" s="45" t="s">
        <v>16</v>
      </c>
      <c r="E131" s="46"/>
      <c r="F131" s="12" t="s">
        <v>235</v>
      </c>
      <c r="G131" s="13" t="s">
        <v>6931</v>
      </c>
      <c r="H131" s="99" t="str">
        <f t="shared" si="5"/>
        <v>W205.0</v>
      </c>
      <c r="I131" s="13"/>
      <c r="J131" s="13"/>
      <c r="K131" s="13"/>
      <c r="L131" s="48"/>
      <c r="M131" s="49" t="str">
        <f t="shared" si="6"/>
        <v>[W205.0]</v>
      </c>
      <c r="N131" s="12" t="str">
        <f t="shared" si="7"/>
        <v xml:space="preserve"> </v>
      </c>
      <c r="O131" s="49" t="str">
        <f t="shared" si="8"/>
        <v xml:space="preserve">[W205.0] </v>
      </c>
    </row>
    <row r="132" spans="1:15" s="49" customFormat="1" ht="14.15" customHeight="1">
      <c r="A132" s="43"/>
      <c r="B132" s="11"/>
      <c r="C132" s="11" t="s">
        <v>18</v>
      </c>
      <c r="D132" s="45" t="s">
        <v>16</v>
      </c>
      <c r="E132" s="46"/>
      <c r="F132" s="12" t="s">
        <v>236</v>
      </c>
      <c r="G132" s="13" t="s">
        <v>6932</v>
      </c>
      <c r="H132" s="99" t="str">
        <f t="shared" si="5"/>
        <v>W205.1</v>
      </c>
      <c r="I132" s="13"/>
      <c r="J132" s="13"/>
      <c r="K132" s="13"/>
      <c r="L132" s="48"/>
      <c r="M132" s="49" t="str">
        <f t="shared" si="6"/>
        <v>[W205.1]</v>
      </c>
      <c r="N132" s="12" t="str">
        <f t="shared" si="7"/>
        <v xml:space="preserve"> </v>
      </c>
      <c r="O132" s="49" t="str">
        <f t="shared" si="8"/>
        <v xml:space="preserve">[W205.1] </v>
      </c>
    </row>
    <row r="133" spans="1:15" s="49" customFormat="1" ht="14.15" customHeight="1">
      <c r="A133" s="43"/>
      <c r="B133" s="11"/>
      <c r="C133" s="11" t="s">
        <v>18</v>
      </c>
      <c r="D133" s="45" t="s">
        <v>16</v>
      </c>
      <c r="E133" s="46"/>
      <c r="F133" s="12" t="s">
        <v>237</v>
      </c>
      <c r="G133" s="13" t="s">
        <v>6933</v>
      </c>
      <c r="H133" s="99" t="str">
        <f t="shared" si="5"/>
        <v>W205.2</v>
      </c>
      <c r="I133" s="13"/>
      <c r="J133" s="13"/>
      <c r="K133" s="13"/>
      <c r="L133" s="48"/>
      <c r="M133" s="49" t="str">
        <f t="shared" si="6"/>
        <v>[W205.2]</v>
      </c>
      <c r="N133" s="12" t="str">
        <f t="shared" si="7"/>
        <v xml:space="preserve"> </v>
      </c>
      <c r="O133" s="49" t="str">
        <f t="shared" si="8"/>
        <v xml:space="preserve">[W205.2] </v>
      </c>
    </row>
    <row r="134" spans="1:15" s="49" customFormat="1" ht="14.15" customHeight="1">
      <c r="A134" s="43"/>
      <c r="B134" s="11"/>
      <c r="C134" s="11" t="s">
        <v>18</v>
      </c>
      <c r="D134" s="45" t="s">
        <v>16</v>
      </c>
      <c r="E134" s="46"/>
      <c r="F134" s="12" t="s">
        <v>238</v>
      </c>
      <c r="G134" s="13" t="s">
        <v>6934</v>
      </c>
      <c r="H134" s="99" t="str">
        <f t="shared" si="5"/>
        <v>W205.3</v>
      </c>
      <c r="I134" s="13"/>
      <c r="J134" s="13"/>
      <c r="K134" s="13"/>
      <c r="L134" s="48"/>
      <c r="M134" s="49" t="str">
        <f t="shared" si="6"/>
        <v>[W205.3]</v>
      </c>
      <c r="N134" s="12" t="str">
        <f t="shared" si="7"/>
        <v xml:space="preserve"> </v>
      </c>
      <c r="O134" s="49" t="str">
        <f t="shared" si="8"/>
        <v xml:space="preserve">[W205.3] </v>
      </c>
    </row>
    <row r="135" spans="1:15" s="49" customFormat="1" ht="14.15" customHeight="1">
      <c r="A135" s="43"/>
      <c r="B135" s="11"/>
      <c r="C135" s="11" t="s">
        <v>18</v>
      </c>
      <c r="D135" s="45" t="s">
        <v>16</v>
      </c>
      <c r="E135" s="46"/>
      <c r="F135" s="12" t="s">
        <v>239</v>
      </c>
      <c r="G135" s="13" t="s">
        <v>6935</v>
      </c>
      <c r="H135" s="99" t="str">
        <f t="shared" si="5"/>
        <v>W205.4</v>
      </c>
      <c r="I135" s="13"/>
      <c r="J135" s="13"/>
      <c r="K135" s="13"/>
      <c r="L135" s="48"/>
      <c r="M135" s="49" t="str">
        <f t="shared" si="6"/>
        <v>[W205.4]</v>
      </c>
      <c r="N135" s="12" t="str">
        <f t="shared" si="7"/>
        <v xml:space="preserve"> </v>
      </c>
      <c r="O135" s="49" t="str">
        <f t="shared" si="8"/>
        <v xml:space="preserve">[W205.4] </v>
      </c>
    </row>
    <row r="136" spans="1:15" s="49" customFormat="1" ht="14.15" customHeight="1">
      <c r="A136" s="43"/>
      <c r="B136" s="11"/>
      <c r="C136" s="11" t="s">
        <v>18</v>
      </c>
      <c r="D136" s="45" t="s">
        <v>16</v>
      </c>
      <c r="E136" s="46"/>
      <c r="F136" s="12" t="s">
        <v>240</v>
      </c>
      <c r="G136" s="13" t="s">
        <v>6936</v>
      </c>
      <c r="H136" s="99" t="str">
        <f t="shared" si="5"/>
        <v>W205.5</v>
      </c>
      <c r="I136" s="13"/>
      <c r="J136" s="13"/>
      <c r="K136" s="13"/>
      <c r="L136" s="48"/>
      <c r="M136" s="49" t="str">
        <f t="shared" si="6"/>
        <v>[W205.5]</v>
      </c>
      <c r="N136" s="12" t="str">
        <f t="shared" si="7"/>
        <v xml:space="preserve"> </v>
      </c>
      <c r="O136" s="49" t="str">
        <f t="shared" si="8"/>
        <v xml:space="preserve">[W205.5] </v>
      </c>
    </row>
    <row r="137" spans="1:15" s="49" customFormat="1" ht="14.15" customHeight="1">
      <c r="A137" s="43"/>
      <c r="B137" s="11"/>
      <c r="C137" s="11" t="s">
        <v>18</v>
      </c>
      <c r="D137" s="45" t="s">
        <v>16</v>
      </c>
      <c r="E137" s="46"/>
      <c r="F137" s="12" t="s">
        <v>241</v>
      </c>
      <c r="G137" s="13" t="s">
        <v>6937</v>
      </c>
      <c r="H137" s="99" t="str">
        <f t="shared" si="5"/>
        <v>W205.6</v>
      </c>
      <c r="I137" s="13"/>
      <c r="J137" s="13"/>
      <c r="K137" s="13"/>
      <c r="L137" s="48"/>
      <c r="M137" s="49" t="str">
        <f t="shared" si="6"/>
        <v>[W205.6]</v>
      </c>
      <c r="N137" s="12" t="str">
        <f t="shared" si="7"/>
        <v xml:space="preserve"> </v>
      </c>
      <c r="O137" s="49" t="str">
        <f t="shared" si="8"/>
        <v xml:space="preserve">[W205.6] </v>
      </c>
    </row>
    <row r="138" spans="1:15" s="49" customFormat="1" ht="14.15" customHeight="1">
      <c r="A138" s="43"/>
      <c r="B138" s="11"/>
      <c r="C138" s="11" t="s">
        <v>18</v>
      </c>
      <c r="D138" s="45" t="s">
        <v>16</v>
      </c>
      <c r="E138" s="46"/>
      <c r="F138" s="12" t="s">
        <v>242</v>
      </c>
      <c r="G138" s="13" t="s">
        <v>6938</v>
      </c>
      <c r="H138" s="99" t="str">
        <f t="shared" si="5"/>
        <v>W205.7</v>
      </c>
      <c r="I138" s="13"/>
      <c r="J138" s="13"/>
      <c r="K138" s="13"/>
      <c r="L138" s="48"/>
      <c r="M138" s="49" t="str">
        <f t="shared" si="6"/>
        <v>[W205.7]</v>
      </c>
      <c r="N138" s="12" t="str">
        <f t="shared" si="7"/>
        <v xml:space="preserve"> </v>
      </c>
      <c r="O138" s="49" t="str">
        <f t="shared" si="8"/>
        <v xml:space="preserve">[W205.7] </v>
      </c>
    </row>
    <row r="139" spans="1:15" s="49" customFormat="1" ht="14.15" customHeight="1">
      <c r="A139" s="43"/>
      <c r="B139" s="11"/>
      <c r="C139" s="11" t="s">
        <v>18</v>
      </c>
      <c r="D139" s="45" t="s">
        <v>16</v>
      </c>
      <c r="E139" s="46"/>
      <c r="F139" s="12" t="s">
        <v>243</v>
      </c>
      <c r="G139" s="13" t="s">
        <v>6939</v>
      </c>
      <c r="H139" s="99" t="str">
        <f t="shared" si="5"/>
        <v>W205.8</v>
      </c>
      <c r="I139" s="13"/>
      <c r="J139" s="13"/>
      <c r="K139" s="13"/>
      <c r="L139" s="48"/>
      <c r="M139" s="49" t="str">
        <f t="shared" si="6"/>
        <v>[W205.8]</v>
      </c>
      <c r="N139" s="12" t="str">
        <f t="shared" si="7"/>
        <v xml:space="preserve"> </v>
      </c>
      <c r="O139" s="49" t="str">
        <f t="shared" si="8"/>
        <v xml:space="preserve">[W205.8] </v>
      </c>
    </row>
    <row r="140" spans="1:15" s="49" customFormat="1" ht="14.15" customHeight="1">
      <c r="A140" s="43"/>
      <c r="B140" s="11"/>
      <c r="C140" s="11" t="s">
        <v>18</v>
      </c>
      <c r="D140" s="45" t="s">
        <v>16</v>
      </c>
      <c r="E140" s="46"/>
      <c r="F140" s="12" t="s">
        <v>244</v>
      </c>
      <c r="G140" s="13" t="s">
        <v>6940</v>
      </c>
      <c r="H140" s="99" t="str">
        <f t="shared" si="5"/>
        <v>W205.9</v>
      </c>
      <c r="I140" s="13"/>
      <c r="J140" s="13"/>
      <c r="K140" s="13"/>
      <c r="L140" s="48"/>
      <c r="M140" s="49" t="str">
        <f t="shared" si="6"/>
        <v>[W205.9]</v>
      </c>
      <c r="N140" s="12" t="str">
        <f t="shared" si="7"/>
        <v xml:space="preserve"> </v>
      </c>
      <c r="O140" s="49" t="str">
        <f t="shared" si="8"/>
        <v xml:space="preserve">[W205.9] </v>
      </c>
    </row>
    <row r="141" spans="1:15" s="49" customFormat="1" ht="14.15" customHeight="1">
      <c r="A141" s="43"/>
      <c r="B141" s="11"/>
      <c r="C141" s="11" t="s">
        <v>18</v>
      </c>
      <c r="D141" s="45" t="s">
        <v>16</v>
      </c>
      <c r="E141" s="46"/>
      <c r="F141" s="12" t="s">
        <v>245</v>
      </c>
      <c r="G141" s="13" t="s">
        <v>6941</v>
      </c>
      <c r="H141" s="99" t="str">
        <f t="shared" si="5"/>
        <v>W205.A</v>
      </c>
      <c r="I141" s="13"/>
      <c r="J141" s="13"/>
      <c r="K141" s="13"/>
      <c r="L141" s="48"/>
      <c r="M141" s="49" t="str">
        <f t="shared" si="6"/>
        <v>[W205.A]</v>
      </c>
      <c r="N141" s="12" t="str">
        <f t="shared" si="7"/>
        <v xml:space="preserve"> </v>
      </c>
      <c r="O141" s="49" t="str">
        <f t="shared" si="8"/>
        <v xml:space="preserve">[W205.A] </v>
      </c>
    </row>
    <row r="142" spans="1:15" s="49" customFormat="1" ht="14.15" customHeight="1">
      <c r="A142" s="43"/>
      <c r="B142" s="11"/>
      <c r="C142" s="11" t="s">
        <v>18</v>
      </c>
      <c r="D142" s="45" t="s">
        <v>16</v>
      </c>
      <c r="E142" s="46"/>
      <c r="F142" s="12" t="s">
        <v>246</v>
      </c>
      <c r="G142" s="13" t="s">
        <v>6942</v>
      </c>
      <c r="H142" s="99" t="str">
        <f t="shared" si="5"/>
        <v>W205.B</v>
      </c>
      <c r="I142" s="13"/>
      <c r="J142" s="13"/>
      <c r="K142" s="13"/>
      <c r="L142" s="48"/>
      <c r="M142" s="49" t="str">
        <f t="shared" si="6"/>
        <v>[W205.B]</v>
      </c>
      <c r="N142" s="12" t="str">
        <f t="shared" si="7"/>
        <v xml:space="preserve"> </v>
      </c>
      <c r="O142" s="49" t="str">
        <f t="shared" si="8"/>
        <v xml:space="preserve">[W205.B] </v>
      </c>
    </row>
    <row r="143" spans="1:15" s="49" customFormat="1" ht="14.15" customHeight="1">
      <c r="A143" s="43"/>
      <c r="B143" s="11"/>
      <c r="C143" s="11" t="s">
        <v>18</v>
      </c>
      <c r="D143" s="45" t="s">
        <v>16</v>
      </c>
      <c r="E143" s="46"/>
      <c r="F143" s="12" t="s">
        <v>247</v>
      </c>
      <c r="G143" s="13" t="s">
        <v>6943</v>
      </c>
      <c r="H143" s="99" t="str">
        <f t="shared" si="5"/>
        <v>W205.C</v>
      </c>
      <c r="I143" s="13"/>
      <c r="J143" s="13"/>
      <c r="K143" s="13"/>
      <c r="L143" s="48"/>
      <c r="M143" s="49" t="str">
        <f t="shared" si="6"/>
        <v>[W205.C]</v>
      </c>
      <c r="N143" s="12" t="str">
        <f t="shared" si="7"/>
        <v xml:space="preserve"> </v>
      </c>
      <c r="O143" s="49" t="str">
        <f t="shared" si="8"/>
        <v xml:space="preserve">[W205.C] </v>
      </c>
    </row>
    <row r="144" spans="1:15" s="49" customFormat="1" ht="14.15" customHeight="1">
      <c r="A144" s="43"/>
      <c r="B144" s="11"/>
      <c r="C144" s="11" t="s">
        <v>18</v>
      </c>
      <c r="D144" s="45" t="s">
        <v>16</v>
      </c>
      <c r="E144" s="46"/>
      <c r="F144" s="12" t="s">
        <v>248</v>
      </c>
      <c r="G144" s="13" t="s">
        <v>6944</v>
      </c>
      <c r="H144" s="99" t="str">
        <f t="shared" si="5"/>
        <v>W205.D</v>
      </c>
      <c r="I144" s="13"/>
      <c r="J144" s="13"/>
      <c r="K144" s="13"/>
      <c r="L144" s="48"/>
      <c r="M144" s="49" t="str">
        <f t="shared" si="6"/>
        <v>[W205.D]</v>
      </c>
      <c r="N144" s="12" t="str">
        <f t="shared" si="7"/>
        <v xml:space="preserve"> </v>
      </c>
      <c r="O144" s="49" t="str">
        <f t="shared" si="8"/>
        <v xml:space="preserve">[W205.D] </v>
      </c>
    </row>
    <row r="145" spans="1:15" s="49" customFormat="1" ht="14.15" customHeight="1">
      <c r="A145" s="43"/>
      <c r="B145" s="11"/>
      <c r="C145" s="11" t="s">
        <v>18</v>
      </c>
      <c r="D145" s="45" t="s">
        <v>16</v>
      </c>
      <c r="E145" s="46"/>
      <c r="F145" s="12" t="s">
        <v>249</v>
      </c>
      <c r="G145" s="13" t="s">
        <v>6945</v>
      </c>
      <c r="H145" s="99" t="str">
        <f t="shared" si="5"/>
        <v>W205.E</v>
      </c>
      <c r="I145" s="13"/>
      <c r="J145" s="13"/>
      <c r="K145" s="13"/>
      <c r="L145" s="48"/>
      <c r="M145" s="49" t="str">
        <f t="shared" si="6"/>
        <v>[W205.E]</v>
      </c>
      <c r="N145" s="12" t="str">
        <f t="shared" si="7"/>
        <v xml:space="preserve"> </v>
      </c>
      <c r="O145" s="49" t="str">
        <f t="shared" si="8"/>
        <v xml:space="preserve">[W205.E] </v>
      </c>
    </row>
    <row r="146" spans="1:15" s="49" customFormat="1" ht="14.15" customHeight="1">
      <c r="A146" s="43"/>
      <c r="B146" s="11"/>
      <c r="C146" s="11" t="s">
        <v>18</v>
      </c>
      <c r="D146" s="45" t="s">
        <v>16</v>
      </c>
      <c r="E146" s="46"/>
      <c r="F146" s="12" t="s">
        <v>250</v>
      </c>
      <c r="G146" s="13" t="s">
        <v>6946</v>
      </c>
      <c r="H146" s="99" t="str">
        <f t="shared" si="5"/>
        <v>W205.F</v>
      </c>
      <c r="I146" s="13"/>
      <c r="J146" s="13"/>
      <c r="K146" s="13"/>
      <c r="L146" s="48"/>
      <c r="M146" s="49" t="str">
        <f t="shared" si="6"/>
        <v>[W205.F]</v>
      </c>
      <c r="N146" s="12" t="str">
        <f t="shared" si="7"/>
        <v xml:space="preserve"> </v>
      </c>
      <c r="O146" s="49" t="str">
        <f t="shared" si="8"/>
        <v xml:space="preserve">[W205.F] </v>
      </c>
    </row>
    <row r="147" spans="1:15" s="49" customFormat="1" ht="14.15" customHeight="1">
      <c r="A147" s="43"/>
      <c r="B147" s="11"/>
      <c r="C147" s="11" t="s">
        <v>18</v>
      </c>
      <c r="D147" s="45" t="s">
        <v>16</v>
      </c>
      <c r="E147" s="46"/>
      <c r="F147" s="12" t="s">
        <v>251</v>
      </c>
      <c r="G147" s="13" t="s">
        <v>6947</v>
      </c>
      <c r="H147" s="99" t="str">
        <f t="shared" si="5"/>
        <v>W206.0</v>
      </c>
      <c r="I147" s="13"/>
      <c r="J147" s="13"/>
      <c r="K147" s="13"/>
      <c r="L147" s="48"/>
      <c r="M147" s="49" t="str">
        <f t="shared" si="6"/>
        <v>[W206.0]</v>
      </c>
      <c r="N147" s="12" t="str">
        <f t="shared" si="7"/>
        <v xml:space="preserve"> </v>
      </c>
      <c r="O147" s="49" t="str">
        <f t="shared" si="8"/>
        <v xml:space="preserve">[W206.0] </v>
      </c>
    </row>
    <row r="148" spans="1:15" s="49" customFormat="1" ht="14.15" customHeight="1">
      <c r="A148" s="43"/>
      <c r="B148" s="11"/>
      <c r="C148" s="11" t="s">
        <v>18</v>
      </c>
      <c r="D148" s="45" t="s">
        <v>16</v>
      </c>
      <c r="E148" s="46"/>
      <c r="F148" s="12" t="s">
        <v>252</v>
      </c>
      <c r="G148" s="13" t="s">
        <v>6948</v>
      </c>
      <c r="H148" s="99" t="str">
        <f t="shared" si="5"/>
        <v>W206.1</v>
      </c>
      <c r="I148" s="13"/>
      <c r="J148" s="13"/>
      <c r="K148" s="13"/>
      <c r="L148" s="48"/>
      <c r="M148" s="49" t="str">
        <f t="shared" si="6"/>
        <v>[W206.1]</v>
      </c>
      <c r="N148" s="12" t="str">
        <f t="shared" si="7"/>
        <v xml:space="preserve"> </v>
      </c>
      <c r="O148" s="49" t="str">
        <f t="shared" si="8"/>
        <v xml:space="preserve">[W206.1] </v>
      </c>
    </row>
    <row r="149" spans="1:15" s="49" customFormat="1" ht="14.15" customHeight="1">
      <c r="A149" s="43"/>
      <c r="B149" s="11"/>
      <c r="C149" s="11" t="s">
        <v>18</v>
      </c>
      <c r="D149" s="45" t="s">
        <v>16</v>
      </c>
      <c r="E149" s="46"/>
      <c r="F149" s="12" t="s">
        <v>253</v>
      </c>
      <c r="G149" s="13" t="s">
        <v>6949</v>
      </c>
      <c r="H149" s="99" t="str">
        <f t="shared" si="5"/>
        <v>W206.2</v>
      </c>
      <c r="I149" s="13"/>
      <c r="J149" s="13"/>
      <c r="K149" s="13"/>
      <c r="L149" s="48"/>
      <c r="M149" s="49" t="str">
        <f t="shared" si="6"/>
        <v>[W206.2]</v>
      </c>
      <c r="N149" s="12" t="str">
        <f t="shared" si="7"/>
        <v xml:space="preserve"> </v>
      </c>
      <c r="O149" s="49" t="str">
        <f t="shared" si="8"/>
        <v xml:space="preserve">[W206.2] </v>
      </c>
    </row>
    <row r="150" spans="1:15" s="49" customFormat="1" ht="14.15" customHeight="1">
      <c r="A150" s="43" t="s">
        <v>2148</v>
      </c>
      <c r="B150" s="11"/>
      <c r="C150" s="11" t="s">
        <v>18</v>
      </c>
      <c r="D150" s="45" t="s">
        <v>16</v>
      </c>
      <c r="E150" s="46"/>
      <c r="F150" s="12" t="s">
        <v>254</v>
      </c>
      <c r="G150" s="13" t="s">
        <v>6950</v>
      </c>
      <c r="H150" s="99" t="str">
        <f t="shared" si="5"/>
        <v>W206.3</v>
      </c>
      <c r="I150" s="13" t="s">
        <v>17</v>
      </c>
      <c r="J150" s="13"/>
      <c r="K150" s="13"/>
      <c r="L150" s="48"/>
      <c r="M150" s="49" t="str">
        <f t="shared" si="6"/>
        <v>[W206.3]</v>
      </c>
      <c r="N150" s="12" t="str">
        <f t="shared" si="7"/>
        <v xml:space="preserve"> 댐핑시트 공급 테이블#1 (SD101) 운전중에 Ready가 Off 되었습니다.</v>
      </c>
      <c r="O150" s="49" t="str">
        <f t="shared" si="8"/>
        <v>[W206.3] 댐핑시트 공급 테이블#1 (SD101) 운전중에 Ready가 Off 되었습니다.</v>
      </c>
    </row>
    <row r="151" spans="1:15" s="49" customFormat="1" ht="14.15" customHeight="1">
      <c r="A151" s="43" t="s">
        <v>2148</v>
      </c>
      <c r="B151" s="11"/>
      <c r="C151" s="11" t="s">
        <v>18</v>
      </c>
      <c r="D151" s="45" t="s">
        <v>16</v>
      </c>
      <c r="E151" s="46"/>
      <c r="F151" s="12" t="s">
        <v>255</v>
      </c>
      <c r="G151" s="13" t="s">
        <v>6951</v>
      </c>
      <c r="H151" s="99" t="str">
        <f t="shared" si="5"/>
        <v>W206.4</v>
      </c>
      <c r="I151" s="13" t="s">
        <v>17</v>
      </c>
      <c r="J151" s="13"/>
      <c r="K151" s="13"/>
      <c r="L151" s="48"/>
      <c r="M151" s="49" t="str">
        <f t="shared" si="6"/>
        <v>[W206.4]</v>
      </c>
      <c r="N151" s="12" t="str">
        <f t="shared" si="7"/>
        <v xml:space="preserve">  (SD101) FLS가 감지되었습니다.</v>
      </c>
      <c r="O151" s="49" t="str">
        <f t="shared" si="8"/>
        <v>[W206.4]  (SD101) FLS가 감지되었습니다.</v>
      </c>
    </row>
    <row r="152" spans="1:15" s="49" customFormat="1" ht="14.15" customHeight="1">
      <c r="A152" s="43" t="s">
        <v>2148</v>
      </c>
      <c r="B152" s="11"/>
      <c r="C152" s="11" t="s">
        <v>18</v>
      </c>
      <c r="D152" s="45" t="s">
        <v>16</v>
      </c>
      <c r="E152" s="46"/>
      <c r="F152" s="12" t="s">
        <v>256</v>
      </c>
      <c r="G152" s="13" t="s">
        <v>6952</v>
      </c>
      <c r="H152" s="99" t="str">
        <f t="shared" si="5"/>
        <v>W206.5</v>
      </c>
      <c r="I152" s="13" t="s">
        <v>17</v>
      </c>
      <c r="J152" s="13"/>
      <c r="K152" s="13"/>
      <c r="L152" s="48"/>
      <c r="M152" s="49" t="str">
        <f t="shared" si="6"/>
        <v>[W206.5]</v>
      </c>
      <c r="N152" s="12" t="str">
        <f t="shared" si="7"/>
        <v xml:space="preserve">  (SD101) RLS가 감지되었습니다.</v>
      </c>
      <c r="O152" s="49" t="str">
        <f t="shared" si="8"/>
        <v>[W206.5]  (SD101) RLS가 감지되었습니다.</v>
      </c>
    </row>
    <row r="153" spans="1:15" s="49" customFormat="1" ht="14.15" customHeight="1">
      <c r="A153" s="43" t="s">
        <v>2148</v>
      </c>
      <c r="B153" s="11"/>
      <c r="C153" s="11" t="s">
        <v>18</v>
      </c>
      <c r="D153" s="45" t="s">
        <v>16</v>
      </c>
      <c r="E153" s="46"/>
      <c r="F153" s="12" t="s">
        <v>257</v>
      </c>
      <c r="G153" s="13" t="s">
        <v>6953</v>
      </c>
      <c r="H153" s="99" t="str">
        <f t="shared" si="5"/>
        <v>W206.6</v>
      </c>
      <c r="I153" s="13" t="s">
        <v>17</v>
      </c>
      <c r="J153" s="13"/>
      <c r="K153" s="13"/>
      <c r="L153" s="48"/>
      <c r="M153" s="49" t="str">
        <f t="shared" si="6"/>
        <v>[W206.6]</v>
      </c>
      <c r="N153" s="12" t="str">
        <f t="shared" si="7"/>
        <v xml:space="preserve">  (SD101) Stop 명령이 On된 상태에서 기동을 시도했습니다.</v>
      </c>
      <c r="O153" s="49" t="str">
        <f t="shared" si="8"/>
        <v>[W206.6]  (SD101) Stop 명령이 On된 상태에서 기동을 시도했습니다.</v>
      </c>
    </row>
    <row r="154" spans="1:15" s="49" customFormat="1" ht="14.15" customHeight="1">
      <c r="A154" s="43" t="s">
        <v>2148</v>
      </c>
      <c r="B154" s="11"/>
      <c r="C154" s="11" t="s">
        <v>18</v>
      </c>
      <c r="D154" s="45" t="s">
        <v>16</v>
      </c>
      <c r="E154" s="46"/>
      <c r="F154" s="12" t="s">
        <v>258</v>
      </c>
      <c r="G154" s="13" t="s">
        <v>6954</v>
      </c>
      <c r="H154" s="99" t="str">
        <f t="shared" si="5"/>
        <v>W206.7</v>
      </c>
      <c r="I154" s="13" t="s">
        <v>17</v>
      </c>
      <c r="J154" s="13"/>
      <c r="K154" s="13"/>
      <c r="L154" s="48"/>
      <c r="M154" s="49" t="str">
        <f t="shared" si="6"/>
        <v>[W206.7]</v>
      </c>
      <c r="N154" s="12" t="str">
        <f t="shared" si="7"/>
        <v xml:space="preserve">  (SD101) 가동 전원이 Off 되었습니다.</v>
      </c>
      <c r="O154" s="49" t="str">
        <f t="shared" si="8"/>
        <v>[W206.7]  (SD101) 가동 전원이 Off 되었습니다.</v>
      </c>
    </row>
    <row r="155" spans="1:15" s="49" customFormat="1" ht="14.15" customHeight="1">
      <c r="A155" s="43" t="s">
        <v>2148</v>
      </c>
      <c r="B155" s="11"/>
      <c r="C155" s="11" t="s">
        <v>18</v>
      </c>
      <c r="D155" s="45" t="s">
        <v>16</v>
      </c>
      <c r="E155" s="46"/>
      <c r="F155" s="12" t="s">
        <v>259</v>
      </c>
      <c r="G155" s="13" t="s">
        <v>6955</v>
      </c>
      <c r="H155" s="99" t="str">
        <f t="shared" si="5"/>
        <v>W206.8</v>
      </c>
      <c r="I155" s="13" t="s">
        <v>17</v>
      </c>
      <c r="J155" s="13"/>
      <c r="K155" s="13"/>
      <c r="L155" s="48"/>
      <c r="M155" s="49" t="str">
        <f t="shared" si="6"/>
        <v>[W206.8]</v>
      </c>
      <c r="N155" s="12" t="str">
        <f t="shared" si="7"/>
        <v xml:space="preserve">  (SD101) 엔코더 이상이 검출되었습니다.</v>
      </c>
      <c r="O155" s="49" t="str">
        <f t="shared" si="8"/>
        <v>[W206.8]  (SD101) 엔코더 이상이 검출되었습니다.</v>
      </c>
    </row>
    <row r="156" spans="1:15" s="49" customFormat="1" ht="14.15" customHeight="1">
      <c r="A156" s="43" t="s">
        <v>2148</v>
      </c>
      <c r="B156" s="11"/>
      <c r="C156" s="11" t="s">
        <v>18</v>
      </c>
      <c r="D156" s="45" t="s">
        <v>16</v>
      </c>
      <c r="E156" s="46"/>
      <c r="F156" s="12" t="s">
        <v>260</v>
      </c>
      <c r="G156" s="13" t="s">
        <v>6956</v>
      </c>
      <c r="H156" s="99" t="str">
        <f t="shared" si="5"/>
        <v>W206.9</v>
      </c>
      <c r="I156" s="13" t="s">
        <v>17</v>
      </c>
      <c r="J156" s="13"/>
      <c r="K156" s="13"/>
      <c r="L156" s="48"/>
      <c r="M156" s="49" t="str">
        <f t="shared" si="6"/>
        <v>[W206.9]</v>
      </c>
      <c r="N156" s="12" t="str">
        <f t="shared" si="7"/>
        <v xml:space="preserve">  (SD101) 과전류가 검출되었습니다.</v>
      </c>
      <c r="O156" s="49" t="str">
        <f t="shared" si="8"/>
        <v>[W206.9]  (SD101) 과전류가 검출되었습니다.</v>
      </c>
    </row>
    <row r="157" spans="1:15" s="49" customFormat="1" ht="14.15" customHeight="1">
      <c r="A157" s="43" t="s">
        <v>2148</v>
      </c>
      <c r="B157" s="11"/>
      <c r="C157" s="11" t="s">
        <v>18</v>
      </c>
      <c r="D157" s="45" t="s">
        <v>16</v>
      </c>
      <c r="E157" s="46"/>
      <c r="F157" s="12" t="s">
        <v>261</v>
      </c>
      <c r="G157" s="13" t="s">
        <v>6957</v>
      </c>
      <c r="H157" s="99" t="str">
        <f t="shared" si="5"/>
        <v>W206.A</v>
      </c>
      <c r="I157" s="13" t="s">
        <v>17</v>
      </c>
      <c r="J157" s="13"/>
      <c r="K157" s="13"/>
      <c r="L157" s="48"/>
      <c r="M157" s="49" t="str">
        <f t="shared" si="6"/>
        <v>[W206.A]</v>
      </c>
      <c r="N157" s="12" t="str">
        <f t="shared" si="7"/>
        <v xml:space="preserve">  (SD101) 과부하가 검출되었습니다.</v>
      </c>
      <c r="O157" s="49" t="str">
        <f t="shared" si="8"/>
        <v>[W206.A]  (SD101) 과부하가 검출되었습니다.</v>
      </c>
    </row>
    <row r="158" spans="1:15" s="49" customFormat="1" ht="14.15" customHeight="1">
      <c r="A158" s="43"/>
      <c r="B158" s="11"/>
      <c r="C158" s="11" t="s">
        <v>18</v>
      </c>
      <c r="D158" s="45" t="s">
        <v>16</v>
      </c>
      <c r="E158" s="46"/>
      <c r="F158" s="12" t="s">
        <v>2141</v>
      </c>
      <c r="G158" s="13" t="s">
        <v>6958</v>
      </c>
      <c r="H158" s="99" t="str">
        <f t="shared" si="5"/>
        <v>W206.B</v>
      </c>
      <c r="I158" s="13"/>
      <c r="J158" s="13"/>
      <c r="K158" s="13"/>
      <c r="L158" s="48"/>
      <c r="M158" s="49" t="str">
        <f t="shared" si="6"/>
        <v>[W206.B]</v>
      </c>
      <c r="N158" s="12" t="str">
        <f t="shared" si="7"/>
        <v/>
      </c>
      <c r="O158" s="49" t="str">
        <f t="shared" si="8"/>
        <v>[W206.B]</v>
      </c>
    </row>
    <row r="159" spans="1:15" s="49" customFormat="1" ht="14.15" customHeight="1">
      <c r="A159" s="43" t="s">
        <v>2148</v>
      </c>
      <c r="B159" s="11"/>
      <c r="C159" s="11" t="s">
        <v>18</v>
      </c>
      <c r="D159" s="45" t="s">
        <v>16</v>
      </c>
      <c r="E159" s="46"/>
      <c r="F159" s="12" t="s">
        <v>262</v>
      </c>
      <c r="G159" s="13" t="s">
        <v>6959</v>
      </c>
      <c r="H159" s="99" t="str">
        <f t="shared" si="5"/>
        <v>W206.C</v>
      </c>
      <c r="I159" s="13" t="s">
        <v>17</v>
      </c>
      <c r="J159" s="13"/>
      <c r="K159" s="13"/>
      <c r="L159" s="48"/>
      <c r="M159" s="49" t="str">
        <f t="shared" si="6"/>
        <v>[W206.C]</v>
      </c>
      <c r="N159" s="12" t="str">
        <f t="shared" si="7"/>
        <v xml:space="preserve">  (SD101) 에러가 발생했습니다.</v>
      </c>
      <c r="O159" s="49" t="str">
        <f t="shared" si="8"/>
        <v>[W206.C]  (SD101) 에러가 발생했습니다.</v>
      </c>
    </row>
    <row r="160" spans="1:15" s="49" customFormat="1" ht="14.15" customHeight="1">
      <c r="A160" s="43" t="s">
        <v>2148</v>
      </c>
      <c r="B160" s="11"/>
      <c r="C160" s="11" t="s">
        <v>18</v>
      </c>
      <c r="D160" s="45" t="s">
        <v>16</v>
      </c>
      <c r="E160" s="46"/>
      <c r="F160" s="12" t="s">
        <v>263</v>
      </c>
      <c r="G160" s="13" t="s">
        <v>6960</v>
      </c>
      <c r="H160" s="99" t="str">
        <f t="shared" si="5"/>
        <v>W206.D</v>
      </c>
      <c r="I160" s="13" t="s">
        <v>17</v>
      </c>
      <c r="J160" s="13"/>
      <c r="K160" s="13"/>
      <c r="L160" s="48"/>
      <c r="M160" s="49" t="str">
        <f t="shared" si="6"/>
        <v>[W206.D]</v>
      </c>
      <c r="N160" s="12" t="str">
        <f t="shared" si="7"/>
        <v xml:space="preserve"> 댐핑시트 공급 테이블#2 (SD102) 운전중에 Ready가 Off 되었습니다.</v>
      </c>
      <c r="O160" s="49" t="str">
        <f t="shared" si="8"/>
        <v>[W206.D] 댐핑시트 공급 테이블#2 (SD102) 운전중에 Ready가 Off 되었습니다.</v>
      </c>
    </row>
    <row r="161" spans="1:15" s="49" customFormat="1" ht="14.15" customHeight="1">
      <c r="A161" s="43" t="s">
        <v>2148</v>
      </c>
      <c r="B161" s="11"/>
      <c r="C161" s="11" t="s">
        <v>18</v>
      </c>
      <c r="D161" s="45" t="s">
        <v>16</v>
      </c>
      <c r="E161" s="46"/>
      <c r="F161" s="12" t="s">
        <v>264</v>
      </c>
      <c r="G161" s="13" t="s">
        <v>6961</v>
      </c>
      <c r="H161" s="99" t="str">
        <f t="shared" si="5"/>
        <v>W206.E</v>
      </c>
      <c r="I161" s="13" t="s">
        <v>17</v>
      </c>
      <c r="J161" s="13"/>
      <c r="K161" s="13"/>
      <c r="L161" s="48"/>
      <c r="M161" s="49" t="str">
        <f t="shared" si="6"/>
        <v>[W206.E]</v>
      </c>
      <c r="N161" s="12" t="str">
        <f t="shared" si="7"/>
        <v xml:space="preserve">  (SD102) FLS가 감지되었습니다.</v>
      </c>
      <c r="O161" s="49" t="str">
        <f t="shared" si="8"/>
        <v>[W206.E]  (SD102) FLS가 감지되었습니다.</v>
      </c>
    </row>
    <row r="162" spans="1:15" s="49" customFormat="1" ht="14.15" customHeight="1">
      <c r="A162" s="43" t="s">
        <v>2148</v>
      </c>
      <c r="B162" s="11"/>
      <c r="C162" s="11" t="s">
        <v>18</v>
      </c>
      <c r="D162" s="45" t="s">
        <v>16</v>
      </c>
      <c r="E162" s="46"/>
      <c r="F162" s="12" t="s">
        <v>265</v>
      </c>
      <c r="G162" s="13" t="s">
        <v>6962</v>
      </c>
      <c r="H162" s="99" t="str">
        <f t="shared" si="5"/>
        <v>W206.F</v>
      </c>
      <c r="I162" s="13" t="s">
        <v>17</v>
      </c>
      <c r="J162" s="13"/>
      <c r="K162" s="13"/>
      <c r="L162" s="48"/>
      <c r="M162" s="49" t="str">
        <f t="shared" si="6"/>
        <v>[W206.F]</v>
      </c>
      <c r="N162" s="12" t="str">
        <f t="shared" si="7"/>
        <v xml:space="preserve">  (SD102) RLS가 감지되었습니다.</v>
      </c>
      <c r="O162" s="49" t="str">
        <f t="shared" si="8"/>
        <v>[W206.F]  (SD102) RLS가 감지되었습니다.</v>
      </c>
    </row>
    <row r="163" spans="1:15" s="49" customFormat="1" ht="14.15" customHeight="1">
      <c r="A163" s="43" t="s">
        <v>2148</v>
      </c>
      <c r="B163" s="11"/>
      <c r="C163" s="11" t="s">
        <v>18</v>
      </c>
      <c r="D163" s="45" t="s">
        <v>16</v>
      </c>
      <c r="E163" s="46"/>
      <c r="F163" s="12" t="s">
        <v>266</v>
      </c>
      <c r="G163" s="13" t="s">
        <v>6963</v>
      </c>
      <c r="H163" s="99" t="str">
        <f t="shared" si="5"/>
        <v>W207.0</v>
      </c>
      <c r="I163" s="13" t="s">
        <v>17</v>
      </c>
      <c r="J163" s="13"/>
      <c r="K163" s="13"/>
      <c r="L163" s="48"/>
      <c r="M163" s="49" t="str">
        <f t="shared" si="6"/>
        <v>[W207.0]</v>
      </c>
      <c r="N163" s="12" t="str">
        <f t="shared" si="7"/>
        <v xml:space="preserve">  (SD102) Stop 명령이 On된 상태에서 기동을 시도했습니다.</v>
      </c>
      <c r="O163" s="49" t="str">
        <f t="shared" si="8"/>
        <v>[W207.0]  (SD102) Stop 명령이 On된 상태에서 기동을 시도했습니다.</v>
      </c>
    </row>
    <row r="164" spans="1:15" s="49" customFormat="1" ht="14.15" customHeight="1">
      <c r="A164" s="43" t="s">
        <v>2148</v>
      </c>
      <c r="B164" s="11"/>
      <c r="C164" s="11" t="s">
        <v>18</v>
      </c>
      <c r="D164" s="45" t="s">
        <v>16</v>
      </c>
      <c r="E164" s="46"/>
      <c r="F164" s="12" t="s">
        <v>267</v>
      </c>
      <c r="G164" s="13" t="s">
        <v>6964</v>
      </c>
      <c r="H164" s="99" t="str">
        <f t="shared" si="5"/>
        <v>W207.1</v>
      </c>
      <c r="I164" s="13" t="s">
        <v>17</v>
      </c>
      <c r="J164" s="13"/>
      <c r="K164" s="13"/>
      <c r="L164" s="48"/>
      <c r="M164" s="49" t="str">
        <f t="shared" si="6"/>
        <v>[W207.1]</v>
      </c>
      <c r="N164" s="12" t="str">
        <f t="shared" si="7"/>
        <v xml:space="preserve">  (SD102) 가동 전원이 Off 되었습니다.</v>
      </c>
      <c r="O164" s="49" t="str">
        <f t="shared" si="8"/>
        <v>[W207.1]  (SD102) 가동 전원이 Off 되었습니다.</v>
      </c>
    </row>
    <row r="165" spans="1:15" s="49" customFormat="1" ht="14.15" customHeight="1">
      <c r="A165" s="43" t="s">
        <v>2148</v>
      </c>
      <c r="B165" s="11"/>
      <c r="C165" s="11" t="s">
        <v>18</v>
      </c>
      <c r="D165" s="45" t="s">
        <v>16</v>
      </c>
      <c r="E165" s="46"/>
      <c r="F165" s="12" t="s">
        <v>268</v>
      </c>
      <c r="G165" s="13" t="s">
        <v>6965</v>
      </c>
      <c r="H165" s="99" t="str">
        <f t="shared" si="5"/>
        <v>W207.2</v>
      </c>
      <c r="I165" s="13" t="s">
        <v>17</v>
      </c>
      <c r="J165" s="13"/>
      <c r="K165" s="13"/>
      <c r="L165" s="48"/>
      <c r="M165" s="49" t="str">
        <f t="shared" si="6"/>
        <v>[W207.2]</v>
      </c>
      <c r="N165" s="12" t="str">
        <f t="shared" si="7"/>
        <v xml:space="preserve">  (SD102) 엔코더 이상이 검출되었습니다.</v>
      </c>
      <c r="O165" s="49" t="str">
        <f t="shared" si="8"/>
        <v>[W207.2]  (SD102) 엔코더 이상이 검출되었습니다.</v>
      </c>
    </row>
    <row r="166" spans="1:15" s="49" customFormat="1" ht="14.15" customHeight="1">
      <c r="A166" s="43" t="s">
        <v>2148</v>
      </c>
      <c r="B166" s="11"/>
      <c r="C166" s="11" t="s">
        <v>18</v>
      </c>
      <c r="D166" s="45" t="s">
        <v>16</v>
      </c>
      <c r="E166" s="46"/>
      <c r="F166" s="12" t="s">
        <v>269</v>
      </c>
      <c r="G166" s="13" t="s">
        <v>6966</v>
      </c>
      <c r="H166" s="99" t="str">
        <f t="shared" si="5"/>
        <v>W207.3</v>
      </c>
      <c r="I166" s="13" t="s">
        <v>17</v>
      </c>
      <c r="J166" s="13"/>
      <c r="K166" s="13"/>
      <c r="L166" s="48"/>
      <c r="M166" s="49" t="str">
        <f t="shared" si="6"/>
        <v>[W207.3]</v>
      </c>
      <c r="N166" s="12" t="str">
        <f t="shared" si="7"/>
        <v xml:space="preserve">  (SD102) 과전류가 검출되었습니다.</v>
      </c>
      <c r="O166" s="49" t="str">
        <f t="shared" si="8"/>
        <v>[W207.3]  (SD102) 과전류가 검출되었습니다.</v>
      </c>
    </row>
    <row r="167" spans="1:15" s="49" customFormat="1" ht="14.15" customHeight="1">
      <c r="A167" s="43" t="s">
        <v>2148</v>
      </c>
      <c r="B167" s="11"/>
      <c r="C167" s="11" t="s">
        <v>18</v>
      </c>
      <c r="D167" s="45" t="s">
        <v>16</v>
      </c>
      <c r="E167" s="46"/>
      <c r="F167" s="12" t="s">
        <v>270</v>
      </c>
      <c r="G167" s="13" t="s">
        <v>6967</v>
      </c>
      <c r="H167" s="99" t="str">
        <f t="shared" si="5"/>
        <v>W207.4</v>
      </c>
      <c r="I167" s="13" t="s">
        <v>17</v>
      </c>
      <c r="J167" s="13"/>
      <c r="K167" s="13"/>
      <c r="L167" s="48"/>
      <c r="M167" s="49" t="str">
        <f t="shared" si="6"/>
        <v>[W207.4]</v>
      </c>
      <c r="N167" s="12" t="str">
        <f t="shared" si="7"/>
        <v xml:space="preserve">  (SD102) 과부하가 검출되었습니다.</v>
      </c>
      <c r="O167" s="49" t="str">
        <f t="shared" si="8"/>
        <v>[W207.4]  (SD102) 과부하가 검출되었습니다.</v>
      </c>
    </row>
    <row r="168" spans="1:15" s="49" customFormat="1" ht="14.15" customHeight="1">
      <c r="A168" s="43"/>
      <c r="B168" s="11"/>
      <c r="C168" s="11" t="s">
        <v>18</v>
      </c>
      <c r="D168" s="45" t="s">
        <v>16</v>
      </c>
      <c r="E168" s="46"/>
      <c r="F168" s="12" t="s">
        <v>2142</v>
      </c>
      <c r="G168" s="13" t="s">
        <v>6968</v>
      </c>
      <c r="H168" s="99" t="str">
        <f t="shared" si="5"/>
        <v>W207.5</v>
      </c>
      <c r="I168" s="13"/>
      <c r="J168" s="13"/>
      <c r="K168" s="13"/>
      <c r="L168" s="48"/>
      <c r="M168" s="49" t="str">
        <f t="shared" si="6"/>
        <v>[W207.5]</v>
      </c>
      <c r="N168" s="12" t="str">
        <f t="shared" si="7"/>
        <v xml:space="preserve">   </v>
      </c>
      <c r="O168" s="49" t="str">
        <f t="shared" si="8"/>
        <v xml:space="preserve">[W207.5]   </v>
      </c>
    </row>
    <row r="169" spans="1:15" s="49" customFormat="1" ht="14.15" customHeight="1">
      <c r="A169" s="43" t="s">
        <v>2148</v>
      </c>
      <c r="B169" s="11"/>
      <c r="C169" s="11" t="s">
        <v>18</v>
      </c>
      <c r="D169" s="45" t="s">
        <v>16</v>
      </c>
      <c r="E169" s="46"/>
      <c r="F169" s="12" t="s">
        <v>271</v>
      </c>
      <c r="G169" s="13" t="s">
        <v>6969</v>
      </c>
      <c r="H169" s="99" t="str">
        <f t="shared" si="5"/>
        <v>W207.6</v>
      </c>
      <c r="I169" s="13" t="s">
        <v>17</v>
      </c>
      <c r="J169" s="13"/>
      <c r="K169" s="13"/>
      <c r="L169" s="48"/>
      <c r="M169" s="49" t="str">
        <f t="shared" si="6"/>
        <v>[W207.6]</v>
      </c>
      <c r="N169" s="12" t="str">
        <f t="shared" si="7"/>
        <v xml:space="preserve">  (SD102) 에러가 발생했습니다.</v>
      </c>
      <c r="O169" s="49" t="str">
        <f t="shared" si="8"/>
        <v>[W207.6]  (SD102) 에러가 발생했습니다.</v>
      </c>
    </row>
    <row r="170" spans="1:15" s="49" customFormat="1" ht="14.15" customHeight="1">
      <c r="A170" s="43" t="s">
        <v>2148</v>
      </c>
      <c r="B170" s="11"/>
      <c r="C170" s="11" t="s">
        <v>18</v>
      </c>
      <c r="D170" s="45" t="s">
        <v>16</v>
      </c>
      <c r="E170" s="46"/>
      <c r="F170" s="12" t="s">
        <v>272</v>
      </c>
      <c r="G170" s="13" t="s">
        <v>6970</v>
      </c>
      <c r="H170" s="99" t="str">
        <f t="shared" si="5"/>
        <v>W207.7</v>
      </c>
      <c r="I170" s="13" t="s">
        <v>17</v>
      </c>
      <c r="J170" s="13"/>
      <c r="K170" s="13"/>
      <c r="L170" s="48"/>
      <c r="M170" s="49" t="str">
        <f t="shared" si="6"/>
        <v>[W207.7]</v>
      </c>
      <c r="N170" s="12" t="str">
        <f t="shared" si="7"/>
        <v xml:space="preserve"> 댐핑시트 공급 이재기X축 (SD103) 운전중에 Ready가 Off 되었습니다.</v>
      </c>
      <c r="O170" s="49" t="str">
        <f t="shared" si="8"/>
        <v>[W207.7] 댐핑시트 공급 이재기X축 (SD103) 운전중에 Ready가 Off 되었습니다.</v>
      </c>
    </row>
    <row r="171" spans="1:15" s="49" customFormat="1" ht="14.15" customHeight="1">
      <c r="A171" s="43" t="s">
        <v>2148</v>
      </c>
      <c r="B171" s="11"/>
      <c r="C171" s="11" t="s">
        <v>18</v>
      </c>
      <c r="D171" s="45" t="s">
        <v>16</v>
      </c>
      <c r="E171" s="46"/>
      <c r="F171" s="12" t="s">
        <v>273</v>
      </c>
      <c r="G171" s="13" t="s">
        <v>6971</v>
      </c>
      <c r="H171" s="99" t="str">
        <f t="shared" si="5"/>
        <v>W207.8</v>
      </c>
      <c r="I171" s="13" t="s">
        <v>17</v>
      </c>
      <c r="J171" s="13"/>
      <c r="K171" s="13"/>
      <c r="L171" s="48"/>
      <c r="M171" s="49" t="str">
        <f t="shared" si="6"/>
        <v>[W207.8]</v>
      </c>
      <c r="N171" s="12" t="str">
        <f t="shared" si="7"/>
        <v xml:space="preserve"> 댐핑시트 공급 이재기X축 (SD103) FLS가 감지되었습니다.</v>
      </c>
      <c r="O171" s="49" t="str">
        <f t="shared" si="8"/>
        <v>[W207.8] 댐핑시트 공급 이재기X축 (SD103) FLS가 감지되었습니다.</v>
      </c>
    </row>
    <row r="172" spans="1:15" s="49" customFormat="1" ht="14.15" customHeight="1">
      <c r="A172" s="43" t="s">
        <v>2148</v>
      </c>
      <c r="B172" s="11"/>
      <c r="C172" s="11" t="s">
        <v>18</v>
      </c>
      <c r="D172" s="45" t="s">
        <v>16</v>
      </c>
      <c r="E172" s="46"/>
      <c r="F172" s="12" t="s">
        <v>274</v>
      </c>
      <c r="G172" s="13" t="s">
        <v>6972</v>
      </c>
      <c r="H172" s="99" t="str">
        <f t="shared" si="5"/>
        <v>W207.9</v>
      </c>
      <c r="I172" s="13" t="s">
        <v>17</v>
      </c>
      <c r="J172" s="13"/>
      <c r="K172" s="13"/>
      <c r="L172" s="48"/>
      <c r="M172" s="49" t="str">
        <f t="shared" si="6"/>
        <v>[W207.9]</v>
      </c>
      <c r="N172" s="12" t="str">
        <f t="shared" si="7"/>
        <v xml:space="preserve"> 댐핑시트 공급 이재기X축 (SD103) RLS가 감지되었습니다.</v>
      </c>
      <c r="O172" s="49" t="str">
        <f t="shared" si="8"/>
        <v>[W207.9] 댐핑시트 공급 이재기X축 (SD103) RLS가 감지되었습니다.</v>
      </c>
    </row>
    <row r="173" spans="1:15" s="49" customFormat="1" ht="14.15" customHeight="1">
      <c r="A173" s="43" t="s">
        <v>2148</v>
      </c>
      <c r="B173" s="11"/>
      <c r="C173" s="11" t="s">
        <v>18</v>
      </c>
      <c r="D173" s="45" t="s">
        <v>16</v>
      </c>
      <c r="E173" s="46"/>
      <c r="F173" s="12" t="s">
        <v>275</v>
      </c>
      <c r="G173" s="13" t="s">
        <v>6973</v>
      </c>
      <c r="H173" s="99" t="str">
        <f t="shared" si="5"/>
        <v>W207.A</v>
      </c>
      <c r="I173" s="13" t="s">
        <v>17</v>
      </c>
      <c r="J173" s="13"/>
      <c r="K173" s="13"/>
      <c r="L173" s="48"/>
      <c r="M173" s="49" t="str">
        <f t="shared" si="6"/>
        <v>[W207.A]</v>
      </c>
      <c r="N173" s="12" t="str">
        <f t="shared" si="7"/>
        <v xml:space="preserve"> 댐핑시트 공급 이재기X축 (SD103) Stop 명령이 On된 상태에서 기동을 시도했습니다.</v>
      </c>
      <c r="O173" s="49" t="str">
        <f t="shared" si="8"/>
        <v>[W207.A] 댐핑시트 공급 이재기X축 (SD103) Stop 명령이 On된 상태에서 기동을 시도했습니다.</v>
      </c>
    </row>
    <row r="174" spans="1:15" s="49" customFormat="1" ht="14.15" customHeight="1">
      <c r="A174" s="43" t="s">
        <v>2148</v>
      </c>
      <c r="B174" s="11"/>
      <c r="C174" s="11" t="s">
        <v>18</v>
      </c>
      <c r="D174" s="45" t="s">
        <v>16</v>
      </c>
      <c r="E174" s="46"/>
      <c r="F174" s="12" t="s">
        <v>276</v>
      </c>
      <c r="G174" s="13" t="s">
        <v>6974</v>
      </c>
      <c r="H174" s="99" t="str">
        <f t="shared" si="5"/>
        <v>W207.B</v>
      </c>
      <c r="I174" s="13" t="s">
        <v>17</v>
      </c>
      <c r="J174" s="13"/>
      <c r="K174" s="13"/>
      <c r="L174" s="48"/>
      <c r="M174" s="49" t="str">
        <f t="shared" si="6"/>
        <v>[W207.B]</v>
      </c>
      <c r="N174" s="12" t="str">
        <f t="shared" si="7"/>
        <v xml:space="preserve"> 댐핑시트 공급 이재기X축 (SD103) 가동 전원이 Off 되었습니다.</v>
      </c>
      <c r="O174" s="49" t="str">
        <f t="shared" si="8"/>
        <v>[W207.B] 댐핑시트 공급 이재기X축 (SD103) 가동 전원이 Off 되었습니다.</v>
      </c>
    </row>
    <row r="175" spans="1:15" s="49" customFormat="1" ht="14.15" customHeight="1">
      <c r="A175" s="43" t="s">
        <v>2148</v>
      </c>
      <c r="B175" s="11"/>
      <c r="C175" s="11" t="s">
        <v>18</v>
      </c>
      <c r="D175" s="45" t="s">
        <v>16</v>
      </c>
      <c r="E175" s="46"/>
      <c r="F175" s="12" t="s">
        <v>277</v>
      </c>
      <c r="G175" s="13" t="s">
        <v>6975</v>
      </c>
      <c r="H175" s="99" t="str">
        <f t="shared" si="5"/>
        <v>W207.C</v>
      </c>
      <c r="I175" s="13" t="s">
        <v>17</v>
      </c>
      <c r="J175" s="13"/>
      <c r="K175" s="13"/>
      <c r="L175" s="48"/>
      <c r="M175" s="49" t="str">
        <f t="shared" si="6"/>
        <v>[W207.C]</v>
      </c>
      <c r="N175" s="12" t="str">
        <f t="shared" si="7"/>
        <v xml:space="preserve"> 댐핑시트 공급 이재기X축 (SD103) 엔코더 이상이 검출되었습니다.</v>
      </c>
      <c r="O175" s="49" t="str">
        <f t="shared" si="8"/>
        <v>[W207.C] 댐핑시트 공급 이재기X축 (SD103) 엔코더 이상이 검출되었습니다.</v>
      </c>
    </row>
    <row r="176" spans="1:15" s="49" customFormat="1" ht="14.15" customHeight="1">
      <c r="A176" s="43" t="s">
        <v>2148</v>
      </c>
      <c r="B176" s="11"/>
      <c r="C176" s="11" t="s">
        <v>18</v>
      </c>
      <c r="D176" s="45" t="s">
        <v>16</v>
      </c>
      <c r="E176" s="46"/>
      <c r="F176" s="12" t="s">
        <v>278</v>
      </c>
      <c r="G176" s="13" t="s">
        <v>6976</v>
      </c>
      <c r="H176" s="99" t="str">
        <f t="shared" si="5"/>
        <v>W207.D</v>
      </c>
      <c r="I176" s="13" t="s">
        <v>17</v>
      </c>
      <c r="J176" s="13"/>
      <c r="K176" s="13"/>
      <c r="L176" s="48"/>
      <c r="M176" s="49" t="str">
        <f t="shared" si="6"/>
        <v>[W207.D]</v>
      </c>
      <c r="N176" s="12" t="str">
        <f t="shared" si="7"/>
        <v xml:space="preserve"> 댐핑시트 공급 이재기X축 (SD103) 과전류가 검출되었습니다.</v>
      </c>
      <c r="O176" s="49" t="str">
        <f t="shared" si="8"/>
        <v>[W207.D] 댐핑시트 공급 이재기X축 (SD103) 과전류가 검출되었습니다.</v>
      </c>
    </row>
    <row r="177" spans="1:15" s="49" customFormat="1" ht="14.15" customHeight="1">
      <c r="A177" s="43" t="s">
        <v>2148</v>
      </c>
      <c r="B177" s="11"/>
      <c r="C177" s="11" t="s">
        <v>18</v>
      </c>
      <c r="D177" s="45" t="s">
        <v>16</v>
      </c>
      <c r="E177" s="46"/>
      <c r="F177" s="12" t="s">
        <v>279</v>
      </c>
      <c r="G177" s="13" t="s">
        <v>6977</v>
      </c>
      <c r="H177" s="99" t="str">
        <f t="shared" si="5"/>
        <v>W207.E</v>
      </c>
      <c r="I177" s="13" t="s">
        <v>17</v>
      </c>
      <c r="J177" s="13"/>
      <c r="K177" s="13"/>
      <c r="L177" s="48"/>
      <c r="M177" s="49" t="str">
        <f t="shared" si="6"/>
        <v>[W207.E]</v>
      </c>
      <c r="N177" s="12" t="str">
        <f t="shared" si="7"/>
        <v xml:space="preserve"> 댐핑시트 공급 이재기X축 (SD103) 과부하가 검출되었습니다.</v>
      </c>
      <c r="O177" s="49" t="str">
        <f t="shared" si="8"/>
        <v>[W207.E] 댐핑시트 공급 이재기X축 (SD103) 과부하가 검출되었습니다.</v>
      </c>
    </row>
    <row r="178" spans="1:15" s="49" customFormat="1" ht="14.15" customHeight="1">
      <c r="A178" s="43"/>
      <c r="B178" s="11"/>
      <c r="C178" s="11" t="s">
        <v>18</v>
      </c>
      <c r="D178" s="45" t="s">
        <v>16</v>
      </c>
      <c r="E178" s="46"/>
      <c r="F178" s="12" t="s">
        <v>2143</v>
      </c>
      <c r="G178" s="13" t="s">
        <v>6978</v>
      </c>
      <c r="H178" s="99" t="str">
        <f t="shared" si="5"/>
        <v>W207.F</v>
      </c>
      <c r="I178" s="13"/>
      <c r="J178" s="13"/>
      <c r="K178" s="13"/>
      <c r="L178" s="48"/>
      <c r="M178" s="49" t="str">
        <f t="shared" si="6"/>
        <v>[W207.F]</v>
      </c>
      <c r="N178" s="12" t="str">
        <f t="shared" si="7"/>
        <v xml:space="preserve"> </v>
      </c>
      <c r="O178" s="49" t="str">
        <f t="shared" si="8"/>
        <v xml:space="preserve">[W207.F] </v>
      </c>
    </row>
    <row r="179" spans="1:15" s="49" customFormat="1" ht="14.15" customHeight="1">
      <c r="A179" s="43" t="s">
        <v>2148</v>
      </c>
      <c r="B179" s="11"/>
      <c r="C179" s="11" t="s">
        <v>18</v>
      </c>
      <c r="D179" s="45" t="s">
        <v>16</v>
      </c>
      <c r="E179" s="46"/>
      <c r="F179" s="12" t="s">
        <v>280</v>
      </c>
      <c r="G179" s="13" t="s">
        <v>6979</v>
      </c>
      <c r="H179" s="99" t="str">
        <f t="shared" si="5"/>
        <v>W208.0</v>
      </c>
      <c r="I179" s="13" t="s">
        <v>17</v>
      </c>
      <c r="J179" s="13"/>
      <c r="K179" s="13"/>
      <c r="L179" s="48"/>
      <c r="M179" s="49" t="str">
        <f t="shared" si="6"/>
        <v>[W208.0]</v>
      </c>
      <c r="N179" s="12" t="str">
        <f t="shared" si="7"/>
        <v xml:space="preserve"> 댐핑시트 공급 이재기X축 (SD103) 에러가 발생했습니다.</v>
      </c>
      <c r="O179" s="49" t="str">
        <f t="shared" si="8"/>
        <v>[W208.0] 댐핑시트 공급 이재기X축 (SD103) 에러가 발생했습니다.</v>
      </c>
    </row>
    <row r="180" spans="1:15" s="49" customFormat="1" ht="14.15" customHeight="1">
      <c r="A180" s="43" t="s">
        <v>2148</v>
      </c>
      <c r="B180" s="11"/>
      <c r="C180" s="11" t="s">
        <v>18</v>
      </c>
      <c r="D180" s="45" t="s">
        <v>16</v>
      </c>
      <c r="E180" s="46"/>
      <c r="F180" s="12" t="s">
        <v>281</v>
      </c>
      <c r="G180" s="13" t="s">
        <v>6980</v>
      </c>
      <c r="H180" s="99" t="str">
        <f t="shared" ref="H180:H243" si="9">"W"&amp;DEC2HEX(512 + INT((ROW()-51)/16)) &amp; "." &amp; IF(MOD(ROW()-51,16)&lt;10,MOD(ROW()-51,16),CHAR(MOD(ROW()-51,16)+55))</f>
        <v>W208.1</v>
      </c>
      <c r="I180" s="13" t="s">
        <v>17</v>
      </c>
      <c r="J180" s="13"/>
      <c r="K180" s="13"/>
      <c r="L180" s="48"/>
      <c r="M180" s="49" t="str">
        <f t="shared" ref="M180:M243" si="10">"["&amp;H180&amp;"]"</f>
        <v>[W208.1]</v>
      </c>
      <c r="N180" s="12" t="str">
        <f t="shared" ref="N180:N243" si="11">RIGHT(F180,LEN(F180)-7)</f>
        <v xml:space="preserve"> 댐핑시트 공급 이재기Z축 (SD104) 운전중에 Ready가 Off 되었습니다.</v>
      </c>
      <c r="O180" s="49" t="str">
        <f t="shared" ref="O180:O243" si="12">M180&amp;N180</f>
        <v>[W208.1] 댐핑시트 공급 이재기Z축 (SD104) 운전중에 Ready가 Off 되었습니다.</v>
      </c>
    </row>
    <row r="181" spans="1:15" s="49" customFormat="1" ht="14.15" customHeight="1">
      <c r="A181" s="43" t="s">
        <v>2148</v>
      </c>
      <c r="B181" s="11"/>
      <c r="C181" s="11" t="s">
        <v>18</v>
      </c>
      <c r="D181" s="45" t="s">
        <v>16</v>
      </c>
      <c r="E181" s="46"/>
      <c r="F181" s="12" t="s">
        <v>282</v>
      </c>
      <c r="G181" s="13" t="s">
        <v>6981</v>
      </c>
      <c r="H181" s="99" t="str">
        <f t="shared" si="9"/>
        <v>W208.2</v>
      </c>
      <c r="I181" s="13" t="s">
        <v>17</v>
      </c>
      <c r="J181" s="13"/>
      <c r="K181" s="13"/>
      <c r="L181" s="48"/>
      <c r="M181" s="49" t="str">
        <f t="shared" si="10"/>
        <v>[W208.2]</v>
      </c>
      <c r="N181" s="12" t="str">
        <f t="shared" si="11"/>
        <v xml:space="preserve"> 댐핑시트 공급 이재기Z축 (SD104) FLS가 감지되었습니다.</v>
      </c>
      <c r="O181" s="49" t="str">
        <f t="shared" si="12"/>
        <v>[W208.2] 댐핑시트 공급 이재기Z축 (SD104) FLS가 감지되었습니다.</v>
      </c>
    </row>
    <row r="182" spans="1:15" s="49" customFormat="1" ht="14.15" customHeight="1">
      <c r="A182" s="43" t="s">
        <v>2148</v>
      </c>
      <c r="B182" s="11"/>
      <c r="C182" s="11" t="s">
        <v>18</v>
      </c>
      <c r="D182" s="45" t="s">
        <v>16</v>
      </c>
      <c r="E182" s="46"/>
      <c r="F182" s="12" t="s">
        <v>283</v>
      </c>
      <c r="G182" s="13" t="s">
        <v>6982</v>
      </c>
      <c r="H182" s="99" t="str">
        <f t="shared" si="9"/>
        <v>W208.3</v>
      </c>
      <c r="I182" s="13" t="s">
        <v>17</v>
      </c>
      <c r="J182" s="13"/>
      <c r="K182" s="13"/>
      <c r="L182" s="48"/>
      <c r="M182" s="49" t="str">
        <f t="shared" si="10"/>
        <v>[W208.3]</v>
      </c>
      <c r="N182" s="12" t="str">
        <f t="shared" si="11"/>
        <v xml:space="preserve"> 댐핑시트 공급 이재기Z축 (SD104) RLS가 감지되었습니다.</v>
      </c>
      <c r="O182" s="49" t="str">
        <f t="shared" si="12"/>
        <v>[W208.3] 댐핑시트 공급 이재기Z축 (SD104) RLS가 감지되었습니다.</v>
      </c>
    </row>
    <row r="183" spans="1:15" s="49" customFormat="1" ht="14.15" customHeight="1">
      <c r="A183" s="43" t="s">
        <v>2148</v>
      </c>
      <c r="B183" s="11"/>
      <c r="C183" s="11" t="s">
        <v>18</v>
      </c>
      <c r="D183" s="45" t="s">
        <v>16</v>
      </c>
      <c r="E183" s="46"/>
      <c r="F183" s="12" t="s">
        <v>284</v>
      </c>
      <c r="G183" s="13" t="s">
        <v>6983</v>
      </c>
      <c r="H183" s="99" t="str">
        <f t="shared" si="9"/>
        <v>W208.4</v>
      </c>
      <c r="I183" s="13" t="s">
        <v>17</v>
      </c>
      <c r="J183" s="13"/>
      <c r="K183" s="13"/>
      <c r="L183" s="48"/>
      <c r="M183" s="49" t="str">
        <f t="shared" si="10"/>
        <v>[W208.4]</v>
      </c>
      <c r="N183" s="12" t="str">
        <f t="shared" si="11"/>
        <v xml:space="preserve"> 댐핑시트 공급 이재기Z축 (SD104) Stop 명령이 On된 상태에서 기동을 시도했습니다.</v>
      </c>
      <c r="O183" s="49" t="str">
        <f t="shared" si="12"/>
        <v>[W208.4] 댐핑시트 공급 이재기Z축 (SD104) Stop 명령이 On된 상태에서 기동을 시도했습니다.</v>
      </c>
    </row>
    <row r="184" spans="1:15" s="49" customFormat="1" ht="14.15" customHeight="1">
      <c r="A184" s="43" t="s">
        <v>2148</v>
      </c>
      <c r="B184" s="11"/>
      <c r="C184" s="11" t="s">
        <v>18</v>
      </c>
      <c r="D184" s="45" t="s">
        <v>16</v>
      </c>
      <c r="E184" s="46"/>
      <c r="F184" s="12" t="s">
        <v>285</v>
      </c>
      <c r="G184" s="13" t="s">
        <v>6984</v>
      </c>
      <c r="H184" s="99" t="str">
        <f t="shared" si="9"/>
        <v>W208.5</v>
      </c>
      <c r="I184" s="13" t="s">
        <v>17</v>
      </c>
      <c r="J184" s="13"/>
      <c r="K184" s="13"/>
      <c r="L184" s="48"/>
      <c r="M184" s="49" t="str">
        <f t="shared" si="10"/>
        <v>[W208.5]</v>
      </c>
      <c r="N184" s="12" t="str">
        <f t="shared" si="11"/>
        <v xml:space="preserve"> 댐핑시트 공급 이재기Z축 (SD104) 가동 전원이 Off 되었습니다.</v>
      </c>
      <c r="O184" s="49" t="str">
        <f t="shared" si="12"/>
        <v>[W208.5] 댐핑시트 공급 이재기Z축 (SD104) 가동 전원이 Off 되었습니다.</v>
      </c>
    </row>
    <row r="185" spans="1:15" s="49" customFormat="1" ht="14.15" customHeight="1">
      <c r="A185" s="43" t="s">
        <v>2148</v>
      </c>
      <c r="B185" s="11"/>
      <c r="C185" s="11" t="s">
        <v>18</v>
      </c>
      <c r="D185" s="45" t="s">
        <v>16</v>
      </c>
      <c r="E185" s="46"/>
      <c r="F185" s="12" t="s">
        <v>286</v>
      </c>
      <c r="G185" s="13" t="s">
        <v>6985</v>
      </c>
      <c r="H185" s="99" t="str">
        <f t="shared" si="9"/>
        <v>W208.6</v>
      </c>
      <c r="I185" s="13" t="s">
        <v>17</v>
      </c>
      <c r="J185" s="13"/>
      <c r="K185" s="13"/>
      <c r="L185" s="48"/>
      <c r="M185" s="49" t="str">
        <f t="shared" si="10"/>
        <v>[W208.6]</v>
      </c>
      <c r="N185" s="12" t="str">
        <f t="shared" si="11"/>
        <v xml:space="preserve"> 댐핑시트 공급 이재기Z축 (SD104) 엔코더 이상이 검출되었습니다.</v>
      </c>
      <c r="O185" s="49" t="str">
        <f t="shared" si="12"/>
        <v>[W208.6] 댐핑시트 공급 이재기Z축 (SD104) 엔코더 이상이 검출되었습니다.</v>
      </c>
    </row>
    <row r="186" spans="1:15" s="49" customFormat="1" ht="14.15" customHeight="1">
      <c r="A186" s="43" t="s">
        <v>2148</v>
      </c>
      <c r="B186" s="11"/>
      <c r="C186" s="11" t="s">
        <v>18</v>
      </c>
      <c r="D186" s="45" t="s">
        <v>16</v>
      </c>
      <c r="E186" s="46"/>
      <c r="F186" s="12" t="s">
        <v>287</v>
      </c>
      <c r="G186" s="13" t="s">
        <v>6986</v>
      </c>
      <c r="H186" s="99" t="str">
        <f t="shared" si="9"/>
        <v>W208.7</v>
      </c>
      <c r="I186" s="13" t="s">
        <v>17</v>
      </c>
      <c r="J186" s="13"/>
      <c r="K186" s="13"/>
      <c r="L186" s="48"/>
      <c r="M186" s="49" t="str">
        <f t="shared" si="10"/>
        <v>[W208.7]</v>
      </c>
      <c r="N186" s="12" t="str">
        <f t="shared" si="11"/>
        <v xml:space="preserve"> 댐핑시트 공급 이재기Z축 (SD104) 과전류가 검출되었습니다.</v>
      </c>
      <c r="O186" s="49" t="str">
        <f t="shared" si="12"/>
        <v>[W208.7] 댐핑시트 공급 이재기Z축 (SD104) 과전류가 검출되었습니다.</v>
      </c>
    </row>
    <row r="187" spans="1:15" s="49" customFormat="1" ht="14.15" customHeight="1">
      <c r="A187" s="43" t="s">
        <v>2148</v>
      </c>
      <c r="B187" s="11"/>
      <c r="C187" s="11" t="s">
        <v>18</v>
      </c>
      <c r="D187" s="45" t="s">
        <v>16</v>
      </c>
      <c r="E187" s="46"/>
      <c r="F187" s="12" t="s">
        <v>288</v>
      </c>
      <c r="G187" s="13" t="s">
        <v>6987</v>
      </c>
      <c r="H187" s="99" t="str">
        <f t="shared" si="9"/>
        <v>W208.8</v>
      </c>
      <c r="I187" s="13" t="s">
        <v>17</v>
      </c>
      <c r="J187" s="13"/>
      <c r="K187" s="13"/>
      <c r="L187" s="48"/>
      <c r="M187" s="49" t="str">
        <f t="shared" si="10"/>
        <v>[W208.8]</v>
      </c>
      <c r="N187" s="12" t="str">
        <f t="shared" si="11"/>
        <v xml:space="preserve"> 댐핑시트 공급 이재기Z축 (SD104) 과부하가 검출되었습니다.</v>
      </c>
      <c r="O187" s="49" t="str">
        <f t="shared" si="12"/>
        <v>[W208.8] 댐핑시트 공급 이재기Z축 (SD104) 과부하가 검출되었습니다.</v>
      </c>
    </row>
    <row r="188" spans="1:15" s="49" customFormat="1" ht="14.15" customHeight="1">
      <c r="A188" s="43"/>
      <c r="B188" s="11"/>
      <c r="C188" s="11" t="s">
        <v>18</v>
      </c>
      <c r="D188" s="45" t="s">
        <v>16</v>
      </c>
      <c r="E188" s="46"/>
      <c r="F188" s="12" t="s">
        <v>2145</v>
      </c>
      <c r="G188" s="13" t="s">
        <v>6988</v>
      </c>
      <c r="H188" s="99" t="str">
        <f t="shared" si="9"/>
        <v>W208.9</v>
      </c>
      <c r="I188" s="13"/>
      <c r="J188" s="13"/>
      <c r="K188" s="13"/>
      <c r="L188" s="48"/>
      <c r="M188" s="49" t="str">
        <f t="shared" si="10"/>
        <v>[W208.9]</v>
      </c>
      <c r="N188" s="12" t="str">
        <f t="shared" si="11"/>
        <v xml:space="preserve"> </v>
      </c>
      <c r="O188" s="49" t="str">
        <f t="shared" si="12"/>
        <v xml:space="preserve">[W208.9] </v>
      </c>
    </row>
    <row r="189" spans="1:15" s="49" customFormat="1" ht="14.15" customHeight="1">
      <c r="A189" s="43" t="s">
        <v>2148</v>
      </c>
      <c r="B189" s="11"/>
      <c r="C189" s="11" t="s">
        <v>18</v>
      </c>
      <c r="D189" s="45" t="s">
        <v>16</v>
      </c>
      <c r="E189" s="46"/>
      <c r="F189" s="12" t="s">
        <v>289</v>
      </c>
      <c r="G189" s="13" t="s">
        <v>6989</v>
      </c>
      <c r="H189" s="99" t="str">
        <f t="shared" si="9"/>
        <v>W208.A</v>
      </c>
      <c r="I189" s="13" t="s">
        <v>17</v>
      </c>
      <c r="J189" s="13"/>
      <c r="K189" s="13"/>
      <c r="L189" s="48"/>
      <c r="M189" s="49" t="str">
        <f t="shared" si="10"/>
        <v>[W208.A]</v>
      </c>
      <c r="N189" s="12" t="str">
        <f t="shared" si="11"/>
        <v xml:space="preserve"> 댐핑시트 공급 이재기Z축 (SD104) 에러가 발생했습니다.</v>
      </c>
      <c r="O189" s="49" t="str">
        <f t="shared" si="12"/>
        <v>[W208.A] 댐핑시트 공급 이재기Z축 (SD104) 에러가 발생했습니다.</v>
      </c>
    </row>
    <row r="190" spans="1:15" s="49" customFormat="1" ht="14.15" customHeight="1">
      <c r="A190" s="43" t="s">
        <v>2150</v>
      </c>
      <c r="B190" s="11"/>
      <c r="C190" s="11" t="s">
        <v>18</v>
      </c>
      <c r="D190" s="45" t="s">
        <v>16</v>
      </c>
      <c r="E190" s="46"/>
      <c r="F190" s="12" t="s">
        <v>290</v>
      </c>
      <c r="G190" s="13" t="s">
        <v>6990</v>
      </c>
      <c r="H190" s="99" t="str">
        <f t="shared" si="9"/>
        <v>W208.B</v>
      </c>
      <c r="I190" s="13" t="s">
        <v>17</v>
      </c>
      <c r="J190" s="13"/>
      <c r="K190" s="13"/>
      <c r="L190" s="48"/>
      <c r="M190" s="49" t="str">
        <f t="shared" si="10"/>
        <v>[W208.B]</v>
      </c>
      <c r="N190" s="12" t="str">
        <f t="shared" si="11"/>
        <v xml:space="preserve"> 쿨링 공급 개비티#1 (SD105) 운전중에 Ready가 Off 되었습니다.</v>
      </c>
      <c r="O190" s="49" t="str">
        <f t="shared" si="12"/>
        <v>[W208.B] 쿨링 공급 개비티#1 (SD105) 운전중에 Ready가 Off 되었습니다.</v>
      </c>
    </row>
    <row r="191" spans="1:15" s="49" customFormat="1" ht="14.15" customHeight="1">
      <c r="A191" s="43" t="s">
        <v>2150</v>
      </c>
      <c r="B191" s="11"/>
      <c r="C191" s="11" t="s">
        <v>18</v>
      </c>
      <c r="D191" s="45" t="s">
        <v>16</v>
      </c>
      <c r="E191" s="46"/>
      <c r="F191" s="12" t="s">
        <v>291</v>
      </c>
      <c r="G191" s="13" t="s">
        <v>6991</v>
      </c>
      <c r="H191" s="99" t="str">
        <f t="shared" si="9"/>
        <v>W208.C</v>
      </c>
      <c r="I191" s="13" t="s">
        <v>17</v>
      </c>
      <c r="J191" s="13"/>
      <c r="K191" s="13"/>
      <c r="L191" s="48"/>
      <c r="M191" s="49" t="str">
        <f t="shared" si="10"/>
        <v>[W208.C]</v>
      </c>
      <c r="N191" s="12" t="str">
        <f t="shared" si="11"/>
        <v xml:space="preserve"> 쿨링 공급 개비티#1 (SD105) FLS가 감지되었습니다.</v>
      </c>
      <c r="O191" s="49" t="str">
        <f t="shared" si="12"/>
        <v>[W208.C] 쿨링 공급 개비티#1 (SD105) FLS가 감지되었습니다.</v>
      </c>
    </row>
    <row r="192" spans="1:15" s="49" customFormat="1" ht="14.15" customHeight="1">
      <c r="A192" s="43" t="s">
        <v>2150</v>
      </c>
      <c r="B192" s="11"/>
      <c r="C192" s="11" t="s">
        <v>18</v>
      </c>
      <c r="D192" s="45" t="s">
        <v>16</v>
      </c>
      <c r="E192" s="46"/>
      <c r="F192" s="12" t="s">
        <v>292</v>
      </c>
      <c r="G192" s="13" t="s">
        <v>6992</v>
      </c>
      <c r="H192" s="99" t="str">
        <f t="shared" si="9"/>
        <v>W208.D</v>
      </c>
      <c r="I192" s="13" t="s">
        <v>17</v>
      </c>
      <c r="J192" s="13"/>
      <c r="K192" s="13"/>
      <c r="L192" s="48"/>
      <c r="M192" s="49" t="str">
        <f t="shared" si="10"/>
        <v>[W208.D]</v>
      </c>
      <c r="N192" s="12" t="str">
        <f t="shared" si="11"/>
        <v xml:space="preserve"> 쿨링 공급 개비티#1 (SD105) RLS가 감지되었습니다.</v>
      </c>
      <c r="O192" s="49" t="str">
        <f t="shared" si="12"/>
        <v>[W208.D] 쿨링 공급 개비티#1 (SD105) RLS가 감지되었습니다.</v>
      </c>
    </row>
    <row r="193" spans="1:15" s="49" customFormat="1" ht="14.15" customHeight="1">
      <c r="A193" s="43" t="s">
        <v>2150</v>
      </c>
      <c r="B193" s="11"/>
      <c r="C193" s="11" t="s">
        <v>18</v>
      </c>
      <c r="D193" s="45" t="s">
        <v>16</v>
      </c>
      <c r="E193" s="46"/>
      <c r="F193" s="12" t="s">
        <v>293</v>
      </c>
      <c r="G193" s="13" t="s">
        <v>6993</v>
      </c>
      <c r="H193" s="99" t="str">
        <f t="shared" si="9"/>
        <v>W208.E</v>
      </c>
      <c r="I193" s="13" t="s">
        <v>17</v>
      </c>
      <c r="J193" s="13"/>
      <c r="K193" s="13"/>
      <c r="L193" s="48"/>
      <c r="M193" s="49" t="str">
        <f t="shared" si="10"/>
        <v>[W208.E]</v>
      </c>
      <c r="N193" s="12" t="str">
        <f t="shared" si="11"/>
        <v xml:space="preserve"> 쿨링 공급 개비티#1 (SD105) Stop 명령이 On된 상태에서 기동을 시도했습니다.</v>
      </c>
      <c r="O193" s="49" t="str">
        <f t="shared" si="12"/>
        <v>[W208.E] 쿨링 공급 개비티#1 (SD105) Stop 명령이 On된 상태에서 기동을 시도했습니다.</v>
      </c>
    </row>
    <row r="194" spans="1:15" s="49" customFormat="1" ht="14.15" customHeight="1">
      <c r="A194" s="43" t="s">
        <v>2150</v>
      </c>
      <c r="B194" s="11"/>
      <c r="C194" s="11" t="s">
        <v>18</v>
      </c>
      <c r="D194" s="45" t="s">
        <v>16</v>
      </c>
      <c r="E194" s="46"/>
      <c r="F194" s="12" t="s">
        <v>294</v>
      </c>
      <c r="G194" s="13" t="s">
        <v>6994</v>
      </c>
      <c r="H194" s="99" t="str">
        <f t="shared" si="9"/>
        <v>W208.F</v>
      </c>
      <c r="I194" s="13" t="s">
        <v>17</v>
      </c>
      <c r="J194" s="13"/>
      <c r="K194" s="13"/>
      <c r="L194" s="48"/>
      <c r="M194" s="49" t="str">
        <f t="shared" si="10"/>
        <v>[W208.F]</v>
      </c>
      <c r="N194" s="12" t="str">
        <f t="shared" si="11"/>
        <v xml:space="preserve"> 쿨링 공급 개비티#1 (SD105) 가동 전원이 Off 되었습니다.</v>
      </c>
      <c r="O194" s="49" t="str">
        <f t="shared" si="12"/>
        <v>[W208.F] 쿨링 공급 개비티#1 (SD105) 가동 전원이 Off 되었습니다.</v>
      </c>
    </row>
    <row r="195" spans="1:15" s="49" customFormat="1" ht="14.15" customHeight="1">
      <c r="A195" s="43" t="s">
        <v>2150</v>
      </c>
      <c r="B195" s="11"/>
      <c r="C195" s="11" t="s">
        <v>18</v>
      </c>
      <c r="D195" s="45" t="s">
        <v>16</v>
      </c>
      <c r="E195" s="46"/>
      <c r="F195" s="12" t="s">
        <v>295</v>
      </c>
      <c r="G195" s="13" t="s">
        <v>6995</v>
      </c>
      <c r="H195" s="99" t="str">
        <f t="shared" si="9"/>
        <v>W209.0</v>
      </c>
      <c r="I195" s="13" t="s">
        <v>17</v>
      </c>
      <c r="J195" s="13"/>
      <c r="K195" s="13"/>
      <c r="L195" s="48"/>
      <c r="M195" s="49" t="str">
        <f t="shared" si="10"/>
        <v>[W209.0]</v>
      </c>
      <c r="N195" s="12" t="str">
        <f t="shared" si="11"/>
        <v xml:space="preserve"> 쿨링 공급 개비티#1 (SD105) 엔코더 이상이 검출되었습니다.</v>
      </c>
      <c r="O195" s="49" t="str">
        <f t="shared" si="12"/>
        <v>[W209.0] 쿨링 공급 개비티#1 (SD105) 엔코더 이상이 검출되었습니다.</v>
      </c>
    </row>
    <row r="196" spans="1:15" s="49" customFormat="1" ht="14.15" customHeight="1">
      <c r="A196" s="43" t="s">
        <v>2150</v>
      </c>
      <c r="B196" s="11"/>
      <c r="C196" s="11" t="s">
        <v>18</v>
      </c>
      <c r="D196" s="45" t="s">
        <v>16</v>
      </c>
      <c r="E196" s="46"/>
      <c r="F196" s="12" t="s">
        <v>296</v>
      </c>
      <c r="G196" s="13" t="s">
        <v>6996</v>
      </c>
      <c r="H196" s="99" t="str">
        <f t="shared" si="9"/>
        <v>W209.1</v>
      </c>
      <c r="I196" s="13" t="s">
        <v>17</v>
      </c>
      <c r="J196" s="13"/>
      <c r="K196" s="13"/>
      <c r="L196" s="48"/>
      <c r="M196" s="49" t="str">
        <f t="shared" si="10"/>
        <v>[W209.1]</v>
      </c>
      <c r="N196" s="12" t="str">
        <f t="shared" si="11"/>
        <v xml:space="preserve"> 쿨링 공급 개비티#1 (SD105) 과전류가 검출되었습니다.</v>
      </c>
      <c r="O196" s="49" t="str">
        <f t="shared" si="12"/>
        <v>[W209.1] 쿨링 공급 개비티#1 (SD105) 과전류가 검출되었습니다.</v>
      </c>
    </row>
    <row r="197" spans="1:15" s="49" customFormat="1" ht="14.15" customHeight="1">
      <c r="A197" s="43" t="s">
        <v>2150</v>
      </c>
      <c r="B197" s="11"/>
      <c r="C197" s="11" t="s">
        <v>18</v>
      </c>
      <c r="D197" s="45" t="s">
        <v>16</v>
      </c>
      <c r="E197" s="46"/>
      <c r="F197" s="12" t="s">
        <v>297</v>
      </c>
      <c r="G197" s="13" t="s">
        <v>6997</v>
      </c>
      <c r="H197" s="99" t="str">
        <f t="shared" si="9"/>
        <v>W209.2</v>
      </c>
      <c r="I197" s="13" t="s">
        <v>17</v>
      </c>
      <c r="J197" s="13"/>
      <c r="K197" s="13"/>
      <c r="L197" s="48"/>
      <c r="M197" s="49" t="str">
        <f t="shared" si="10"/>
        <v>[W209.2]</v>
      </c>
      <c r="N197" s="12" t="str">
        <f t="shared" si="11"/>
        <v xml:space="preserve"> 쿨링 공급 개비티#1 (SD105) 과부하가 검출되었습니다.</v>
      </c>
      <c r="O197" s="49" t="str">
        <f t="shared" si="12"/>
        <v>[W209.2] 쿨링 공급 개비티#1 (SD105) 과부하가 검출되었습니다.</v>
      </c>
    </row>
    <row r="198" spans="1:15" s="49" customFormat="1" ht="14.15" customHeight="1">
      <c r="A198" s="43"/>
      <c r="B198" s="11"/>
      <c r="C198" s="11" t="s">
        <v>18</v>
      </c>
      <c r="D198" s="45" t="s">
        <v>16</v>
      </c>
      <c r="E198" s="46"/>
      <c r="F198" s="12" t="s">
        <v>2144</v>
      </c>
      <c r="G198" s="13" t="s">
        <v>6998</v>
      </c>
      <c r="H198" s="99" t="str">
        <f t="shared" si="9"/>
        <v>W209.3</v>
      </c>
      <c r="I198" s="13"/>
      <c r="J198" s="13"/>
      <c r="K198" s="13"/>
      <c r="L198" s="48"/>
      <c r="M198" s="49" t="str">
        <f t="shared" si="10"/>
        <v>[W209.3]</v>
      </c>
      <c r="N198" s="12" t="str">
        <f t="shared" si="11"/>
        <v xml:space="preserve"> </v>
      </c>
      <c r="O198" s="49" t="str">
        <f t="shared" si="12"/>
        <v xml:space="preserve">[W209.3] </v>
      </c>
    </row>
    <row r="199" spans="1:15" s="49" customFormat="1" ht="14.15" customHeight="1">
      <c r="A199" s="43" t="s">
        <v>2150</v>
      </c>
      <c r="B199" s="11"/>
      <c r="C199" s="11" t="s">
        <v>18</v>
      </c>
      <c r="D199" s="45" t="s">
        <v>16</v>
      </c>
      <c r="E199" s="46"/>
      <c r="F199" s="12" t="s">
        <v>298</v>
      </c>
      <c r="G199" s="13" t="s">
        <v>6999</v>
      </c>
      <c r="H199" s="99" t="str">
        <f t="shared" si="9"/>
        <v>W209.4</v>
      </c>
      <c r="I199" s="13" t="s">
        <v>17</v>
      </c>
      <c r="J199" s="13"/>
      <c r="K199" s="13"/>
      <c r="L199" s="48"/>
      <c r="M199" s="49" t="str">
        <f t="shared" si="10"/>
        <v>[W209.4]</v>
      </c>
      <c r="N199" s="12" t="str">
        <f t="shared" si="11"/>
        <v xml:space="preserve"> 쿨링 공급 개비티#1 (SD105) 에러가 발생했습니다.</v>
      </c>
      <c r="O199" s="49" t="str">
        <f t="shared" si="12"/>
        <v>[W209.4] 쿨링 공급 개비티#1 (SD105) 에러가 발생했습니다.</v>
      </c>
    </row>
    <row r="200" spans="1:15" s="49" customFormat="1" ht="14.15" customHeight="1">
      <c r="A200" s="43" t="s">
        <v>2150</v>
      </c>
      <c r="B200" s="11"/>
      <c r="C200" s="11" t="s">
        <v>18</v>
      </c>
      <c r="D200" s="45" t="s">
        <v>16</v>
      </c>
      <c r="E200" s="46"/>
      <c r="F200" s="12" t="s">
        <v>299</v>
      </c>
      <c r="G200" s="13" t="s">
        <v>7000</v>
      </c>
      <c r="H200" s="99" t="str">
        <f t="shared" si="9"/>
        <v>W209.5</v>
      </c>
      <c r="I200" s="13" t="s">
        <v>17</v>
      </c>
      <c r="J200" s="13"/>
      <c r="K200" s="13"/>
      <c r="L200" s="48"/>
      <c r="M200" s="49" t="str">
        <f t="shared" si="10"/>
        <v>[W209.5]</v>
      </c>
      <c r="N200" s="12" t="str">
        <f t="shared" si="11"/>
        <v xml:space="preserve"> 쿨링 공급 개비티#2 (SD106) 운전중에 Ready가 Off 되었습니다.</v>
      </c>
      <c r="O200" s="49" t="str">
        <f t="shared" si="12"/>
        <v>[W209.5] 쿨링 공급 개비티#2 (SD106) 운전중에 Ready가 Off 되었습니다.</v>
      </c>
    </row>
    <row r="201" spans="1:15" s="49" customFormat="1" ht="14.15" customHeight="1">
      <c r="A201" s="43" t="s">
        <v>2150</v>
      </c>
      <c r="B201" s="11"/>
      <c r="C201" s="11" t="s">
        <v>18</v>
      </c>
      <c r="D201" s="45" t="s">
        <v>16</v>
      </c>
      <c r="E201" s="46"/>
      <c r="F201" s="12" t="s">
        <v>300</v>
      </c>
      <c r="G201" s="13" t="s">
        <v>7001</v>
      </c>
      <c r="H201" s="99" t="str">
        <f t="shared" si="9"/>
        <v>W209.6</v>
      </c>
      <c r="I201" s="13" t="s">
        <v>17</v>
      </c>
      <c r="J201" s="13"/>
      <c r="K201" s="13"/>
      <c r="L201" s="48"/>
      <c r="M201" s="49" t="str">
        <f t="shared" si="10"/>
        <v>[W209.6]</v>
      </c>
      <c r="N201" s="12" t="str">
        <f t="shared" si="11"/>
        <v xml:space="preserve"> 쿨링 공급 개비티#2 (SD106) FLS가 감지되었습니다.</v>
      </c>
      <c r="O201" s="49" t="str">
        <f t="shared" si="12"/>
        <v>[W209.6] 쿨링 공급 개비티#2 (SD106) FLS가 감지되었습니다.</v>
      </c>
    </row>
    <row r="202" spans="1:15" s="49" customFormat="1" ht="14.15" customHeight="1">
      <c r="A202" s="43" t="s">
        <v>2150</v>
      </c>
      <c r="B202" s="11"/>
      <c r="C202" s="11" t="s">
        <v>18</v>
      </c>
      <c r="D202" s="45" t="s">
        <v>16</v>
      </c>
      <c r="E202" s="46"/>
      <c r="F202" s="12" t="s">
        <v>301</v>
      </c>
      <c r="G202" s="13" t="s">
        <v>7002</v>
      </c>
      <c r="H202" s="99" t="str">
        <f t="shared" si="9"/>
        <v>W209.7</v>
      </c>
      <c r="I202" s="13" t="s">
        <v>17</v>
      </c>
      <c r="J202" s="13"/>
      <c r="K202" s="13"/>
      <c r="L202" s="48"/>
      <c r="M202" s="49" t="str">
        <f t="shared" si="10"/>
        <v>[W209.7]</v>
      </c>
      <c r="N202" s="12" t="str">
        <f t="shared" si="11"/>
        <v xml:space="preserve"> 쿨링 공급 개비티#2 (SD106) RLS가 감지되었습니다.</v>
      </c>
      <c r="O202" s="49" t="str">
        <f t="shared" si="12"/>
        <v>[W209.7] 쿨링 공급 개비티#2 (SD106) RLS가 감지되었습니다.</v>
      </c>
    </row>
    <row r="203" spans="1:15" s="49" customFormat="1" ht="14.15" customHeight="1">
      <c r="A203" s="43" t="s">
        <v>2150</v>
      </c>
      <c r="B203" s="11"/>
      <c r="C203" s="11" t="s">
        <v>18</v>
      </c>
      <c r="D203" s="45" t="s">
        <v>16</v>
      </c>
      <c r="E203" s="46"/>
      <c r="F203" s="12" t="s">
        <v>302</v>
      </c>
      <c r="G203" s="13" t="s">
        <v>7003</v>
      </c>
      <c r="H203" s="99" t="str">
        <f t="shared" si="9"/>
        <v>W209.8</v>
      </c>
      <c r="I203" s="13" t="s">
        <v>17</v>
      </c>
      <c r="J203" s="13"/>
      <c r="K203" s="13"/>
      <c r="L203" s="48"/>
      <c r="M203" s="49" t="str">
        <f t="shared" si="10"/>
        <v>[W209.8]</v>
      </c>
      <c r="N203" s="12" t="str">
        <f t="shared" si="11"/>
        <v xml:space="preserve"> 쿨링 공급 개비티#2 (SD106) Stop 명령이 On된 상태에서 기동을 시도했습니다.</v>
      </c>
      <c r="O203" s="49" t="str">
        <f t="shared" si="12"/>
        <v>[W209.8] 쿨링 공급 개비티#2 (SD106) Stop 명령이 On된 상태에서 기동을 시도했습니다.</v>
      </c>
    </row>
    <row r="204" spans="1:15" s="49" customFormat="1" ht="14.15" customHeight="1">
      <c r="A204" s="43" t="s">
        <v>2150</v>
      </c>
      <c r="B204" s="11"/>
      <c r="C204" s="11" t="s">
        <v>18</v>
      </c>
      <c r="D204" s="45" t="s">
        <v>16</v>
      </c>
      <c r="E204" s="46"/>
      <c r="F204" s="12" t="s">
        <v>303</v>
      </c>
      <c r="G204" s="13" t="s">
        <v>7004</v>
      </c>
      <c r="H204" s="99" t="str">
        <f t="shared" si="9"/>
        <v>W209.9</v>
      </c>
      <c r="I204" s="13" t="s">
        <v>17</v>
      </c>
      <c r="J204" s="13"/>
      <c r="K204" s="13"/>
      <c r="L204" s="48"/>
      <c r="M204" s="49" t="str">
        <f t="shared" si="10"/>
        <v>[W209.9]</v>
      </c>
      <c r="N204" s="12" t="str">
        <f t="shared" si="11"/>
        <v xml:space="preserve"> 쿨링 공급 개비티#2 (SD106) 가동 전원이 Off 되었습니다.</v>
      </c>
      <c r="O204" s="49" t="str">
        <f t="shared" si="12"/>
        <v>[W209.9] 쿨링 공급 개비티#2 (SD106) 가동 전원이 Off 되었습니다.</v>
      </c>
    </row>
    <row r="205" spans="1:15" s="49" customFormat="1" ht="14.15" customHeight="1">
      <c r="A205" s="43" t="s">
        <v>2150</v>
      </c>
      <c r="B205" s="11"/>
      <c r="C205" s="11" t="s">
        <v>18</v>
      </c>
      <c r="D205" s="45" t="s">
        <v>16</v>
      </c>
      <c r="E205" s="46"/>
      <c r="F205" s="12" t="s">
        <v>304</v>
      </c>
      <c r="G205" s="13" t="s">
        <v>7005</v>
      </c>
      <c r="H205" s="99" t="str">
        <f t="shared" si="9"/>
        <v>W209.A</v>
      </c>
      <c r="I205" s="13" t="s">
        <v>17</v>
      </c>
      <c r="J205" s="13"/>
      <c r="K205" s="13"/>
      <c r="L205" s="48"/>
      <c r="M205" s="49" t="str">
        <f t="shared" si="10"/>
        <v>[W209.A]</v>
      </c>
      <c r="N205" s="12" t="str">
        <f t="shared" si="11"/>
        <v xml:space="preserve"> 쿨링 공급 개비티#2 (SD106) 엔코더 이상이 검출되었습니다.</v>
      </c>
      <c r="O205" s="49" t="str">
        <f t="shared" si="12"/>
        <v>[W209.A] 쿨링 공급 개비티#2 (SD106) 엔코더 이상이 검출되었습니다.</v>
      </c>
    </row>
    <row r="206" spans="1:15" s="49" customFormat="1" ht="14.15" customHeight="1">
      <c r="A206" s="43" t="s">
        <v>2150</v>
      </c>
      <c r="B206" s="11"/>
      <c r="C206" s="11" t="s">
        <v>18</v>
      </c>
      <c r="D206" s="45" t="s">
        <v>16</v>
      </c>
      <c r="E206" s="46"/>
      <c r="F206" s="12" t="s">
        <v>305</v>
      </c>
      <c r="G206" s="13" t="s">
        <v>7006</v>
      </c>
      <c r="H206" s="99" t="str">
        <f t="shared" si="9"/>
        <v>W209.B</v>
      </c>
      <c r="I206" s="13" t="s">
        <v>17</v>
      </c>
      <c r="J206" s="13"/>
      <c r="K206" s="13"/>
      <c r="L206" s="48"/>
      <c r="M206" s="49" t="str">
        <f t="shared" si="10"/>
        <v>[W209.B]</v>
      </c>
      <c r="N206" s="12" t="str">
        <f t="shared" si="11"/>
        <v xml:space="preserve"> 쿨링 공급 개비티#2 (SD106) 과전류가 검출되었습니다.</v>
      </c>
      <c r="O206" s="49" t="str">
        <f t="shared" si="12"/>
        <v>[W209.B] 쿨링 공급 개비티#2 (SD106) 과전류가 검출되었습니다.</v>
      </c>
    </row>
    <row r="207" spans="1:15" s="49" customFormat="1" ht="14.15" customHeight="1">
      <c r="A207" s="43" t="s">
        <v>2150</v>
      </c>
      <c r="B207" s="11"/>
      <c r="C207" s="11" t="s">
        <v>18</v>
      </c>
      <c r="D207" s="45" t="s">
        <v>16</v>
      </c>
      <c r="E207" s="46"/>
      <c r="F207" s="12" t="s">
        <v>306</v>
      </c>
      <c r="G207" s="13" t="s">
        <v>7007</v>
      </c>
      <c r="H207" s="99" t="str">
        <f t="shared" si="9"/>
        <v>W209.C</v>
      </c>
      <c r="I207" s="13" t="s">
        <v>17</v>
      </c>
      <c r="J207" s="13"/>
      <c r="K207" s="13"/>
      <c r="L207" s="48"/>
      <c r="M207" s="49" t="str">
        <f t="shared" si="10"/>
        <v>[W209.C]</v>
      </c>
      <c r="N207" s="12" t="str">
        <f t="shared" si="11"/>
        <v xml:space="preserve"> 쿨링 공급 개비티#2 (SD106) 과부하가 검출되었습니다.</v>
      </c>
      <c r="O207" s="49" t="str">
        <f t="shared" si="12"/>
        <v>[W209.C] 쿨링 공급 개비티#2 (SD106) 과부하가 검출되었습니다.</v>
      </c>
    </row>
    <row r="208" spans="1:15" s="49" customFormat="1" ht="14.15" customHeight="1">
      <c r="A208" s="43" t="s">
        <v>2150</v>
      </c>
      <c r="B208" s="11"/>
      <c r="C208" s="11" t="s">
        <v>18</v>
      </c>
      <c r="D208" s="45" t="s">
        <v>16</v>
      </c>
      <c r="E208" s="46"/>
      <c r="F208" s="12" t="s">
        <v>307</v>
      </c>
      <c r="G208" s="13" t="s">
        <v>7008</v>
      </c>
      <c r="H208" s="99" t="str">
        <f t="shared" si="9"/>
        <v>W209.D</v>
      </c>
      <c r="I208" s="13" t="s">
        <v>17</v>
      </c>
      <c r="J208" s="13"/>
      <c r="K208" s="13"/>
      <c r="L208" s="48"/>
      <c r="M208" s="49" t="str">
        <f t="shared" si="10"/>
        <v>[W209.D]</v>
      </c>
      <c r="N208" s="12" t="str">
        <f t="shared" si="11"/>
        <v xml:space="preserve"> 쿨링 공급 개비티#2 (SD106)  </v>
      </c>
      <c r="O208" s="49" t="str">
        <f t="shared" si="12"/>
        <v xml:space="preserve">[W209.D] 쿨링 공급 개비티#2 (SD106)  </v>
      </c>
    </row>
    <row r="209" spans="1:15" s="49" customFormat="1" ht="14.15" customHeight="1">
      <c r="A209" s="43" t="s">
        <v>2150</v>
      </c>
      <c r="B209" s="11"/>
      <c r="C209" s="11" t="s">
        <v>18</v>
      </c>
      <c r="D209" s="45" t="s">
        <v>16</v>
      </c>
      <c r="E209" s="46"/>
      <c r="F209" s="12" t="s">
        <v>308</v>
      </c>
      <c r="G209" s="13" t="s">
        <v>7009</v>
      </c>
      <c r="H209" s="99" t="str">
        <f t="shared" si="9"/>
        <v>W209.E</v>
      </c>
      <c r="I209" s="13" t="s">
        <v>17</v>
      </c>
      <c r="J209" s="13"/>
      <c r="K209" s="13"/>
      <c r="L209" s="48"/>
      <c r="M209" s="49" t="str">
        <f t="shared" si="10"/>
        <v>[W209.E]</v>
      </c>
      <c r="N209" s="12" t="str">
        <f t="shared" si="11"/>
        <v xml:space="preserve"> 쿨링 공급 개비티#2 (SD106) 에러가 발생했습니다.</v>
      </c>
      <c r="O209" s="49" t="str">
        <f t="shared" si="12"/>
        <v>[W209.E] 쿨링 공급 개비티#2 (SD106) 에러가 발생했습니다.</v>
      </c>
    </row>
    <row r="210" spans="1:15" s="49" customFormat="1" ht="14.15" customHeight="1">
      <c r="A210" s="43" t="s">
        <v>2151</v>
      </c>
      <c r="B210" s="11"/>
      <c r="C210" s="11" t="s">
        <v>18</v>
      </c>
      <c r="D210" s="45" t="s">
        <v>16</v>
      </c>
      <c r="E210" s="46"/>
      <c r="F210" s="12" t="s">
        <v>309</v>
      </c>
      <c r="G210" s="13" t="s">
        <v>7010</v>
      </c>
      <c r="H210" s="99" t="str">
        <f t="shared" si="9"/>
        <v>W209.F</v>
      </c>
      <c r="I210" s="13" t="s">
        <v>17</v>
      </c>
      <c r="J210" s="13"/>
      <c r="K210" s="13"/>
      <c r="L210" s="48"/>
      <c r="M210" s="49" t="str">
        <f t="shared" si="10"/>
        <v>[W209.F]</v>
      </c>
      <c r="N210" s="12" t="str">
        <f t="shared" si="11"/>
        <v xml:space="preserve"> 쿨링 배출 개비티#1 (SD107) 운전중에 Ready가 Off 되었습니다.</v>
      </c>
      <c r="O210" s="49" t="str">
        <f t="shared" si="12"/>
        <v>[W209.F] 쿨링 배출 개비티#1 (SD107) 운전중에 Ready가 Off 되었습니다.</v>
      </c>
    </row>
    <row r="211" spans="1:15" s="49" customFormat="1" ht="14.15" customHeight="1">
      <c r="A211" s="43" t="s">
        <v>2151</v>
      </c>
      <c r="B211" s="11"/>
      <c r="C211" s="11" t="s">
        <v>18</v>
      </c>
      <c r="D211" s="45" t="s">
        <v>16</v>
      </c>
      <c r="E211" s="46"/>
      <c r="F211" s="12" t="s">
        <v>310</v>
      </c>
      <c r="G211" s="13" t="s">
        <v>7011</v>
      </c>
      <c r="H211" s="99" t="str">
        <f t="shared" si="9"/>
        <v>W20A.0</v>
      </c>
      <c r="I211" s="13" t="s">
        <v>17</v>
      </c>
      <c r="J211" s="13"/>
      <c r="K211" s="13"/>
      <c r="L211" s="48"/>
      <c r="M211" s="49" t="str">
        <f t="shared" si="10"/>
        <v>[W20A.0]</v>
      </c>
      <c r="N211" s="12" t="str">
        <f t="shared" si="11"/>
        <v xml:space="preserve"> 쿨링 배출 개비티#1 (SD107) FLS가 감지되었습니다.</v>
      </c>
      <c r="O211" s="49" t="str">
        <f t="shared" si="12"/>
        <v>[W20A.0] 쿨링 배출 개비티#1 (SD107) FLS가 감지되었습니다.</v>
      </c>
    </row>
    <row r="212" spans="1:15" s="49" customFormat="1" ht="14.15" customHeight="1">
      <c r="A212" s="43" t="s">
        <v>2151</v>
      </c>
      <c r="B212" s="11"/>
      <c r="C212" s="11" t="s">
        <v>18</v>
      </c>
      <c r="D212" s="45" t="s">
        <v>16</v>
      </c>
      <c r="E212" s="46"/>
      <c r="F212" s="12" t="s">
        <v>311</v>
      </c>
      <c r="G212" s="13" t="s">
        <v>7012</v>
      </c>
      <c r="H212" s="99" t="str">
        <f t="shared" si="9"/>
        <v>W20A.1</v>
      </c>
      <c r="I212" s="13" t="s">
        <v>17</v>
      </c>
      <c r="J212" s="13"/>
      <c r="K212" s="13"/>
      <c r="L212" s="48"/>
      <c r="M212" s="49" t="str">
        <f t="shared" si="10"/>
        <v>[W20A.1]</v>
      </c>
      <c r="N212" s="12" t="str">
        <f t="shared" si="11"/>
        <v xml:space="preserve"> 쿨링 배출 개비티#1 (SD107) RLS가 감지되었습니다.</v>
      </c>
      <c r="O212" s="49" t="str">
        <f t="shared" si="12"/>
        <v>[W20A.1] 쿨링 배출 개비티#1 (SD107) RLS가 감지되었습니다.</v>
      </c>
    </row>
    <row r="213" spans="1:15" s="49" customFormat="1" ht="14.15" customHeight="1">
      <c r="A213" s="43" t="s">
        <v>2151</v>
      </c>
      <c r="B213" s="11"/>
      <c r="C213" s="11" t="s">
        <v>18</v>
      </c>
      <c r="D213" s="45" t="s">
        <v>16</v>
      </c>
      <c r="E213" s="46"/>
      <c r="F213" s="12" t="s">
        <v>312</v>
      </c>
      <c r="G213" s="13" t="s">
        <v>7013</v>
      </c>
      <c r="H213" s="99" t="str">
        <f t="shared" si="9"/>
        <v>W20A.2</v>
      </c>
      <c r="I213" s="13" t="s">
        <v>17</v>
      </c>
      <c r="J213" s="13"/>
      <c r="K213" s="13"/>
      <c r="L213" s="48"/>
      <c r="M213" s="49" t="str">
        <f t="shared" si="10"/>
        <v>[W20A.2]</v>
      </c>
      <c r="N213" s="12" t="str">
        <f t="shared" si="11"/>
        <v xml:space="preserve"> 쿨링 배출 개비티#1 (SD107) Stop 명령이 On된 상태에서 기동을 시도했습니다.</v>
      </c>
      <c r="O213" s="49" t="str">
        <f t="shared" si="12"/>
        <v>[W20A.2] 쿨링 배출 개비티#1 (SD107) Stop 명령이 On된 상태에서 기동을 시도했습니다.</v>
      </c>
    </row>
    <row r="214" spans="1:15" s="49" customFormat="1" ht="14.15" customHeight="1">
      <c r="A214" s="43" t="s">
        <v>2151</v>
      </c>
      <c r="B214" s="11"/>
      <c r="C214" s="11" t="s">
        <v>18</v>
      </c>
      <c r="D214" s="45" t="s">
        <v>16</v>
      </c>
      <c r="E214" s="46"/>
      <c r="F214" s="12" t="s">
        <v>313</v>
      </c>
      <c r="G214" s="13" t="s">
        <v>7014</v>
      </c>
      <c r="H214" s="99" t="str">
        <f t="shared" si="9"/>
        <v>W20A.3</v>
      </c>
      <c r="I214" s="13" t="s">
        <v>17</v>
      </c>
      <c r="J214" s="13"/>
      <c r="K214" s="13"/>
      <c r="L214" s="48"/>
      <c r="M214" s="49" t="str">
        <f t="shared" si="10"/>
        <v>[W20A.3]</v>
      </c>
      <c r="N214" s="12" t="str">
        <f t="shared" si="11"/>
        <v xml:space="preserve"> 쿨링 배출 개비티#1 (SD107) 가동 전원이 Off 되었습니다.</v>
      </c>
      <c r="O214" s="49" t="str">
        <f t="shared" si="12"/>
        <v>[W20A.3] 쿨링 배출 개비티#1 (SD107) 가동 전원이 Off 되었습니다.</v>
      </c>
    </row>
    <row r="215" spans="1:15" s="49" customFormat="1" ht="14.15" customHeight="1">
      <c r="A215" s="43" t="s">
        <v>2151</v>
      </c>
      <c r="B215" s="11"/>
      <c r="C215" s="11" t="s">
        <v>18</v>
      </c>
      <c r="D215" s="45" t="s">
        <v>16</v>
      </c>
      <c r="E215" s="46"/>
      <c r="F215" s="12" t="s">
        <v>314</v>
      </c>
      <c r="G215" s="13" t="s">
        <v>7015</v>
      </c>
      <c r="H215" s="99" t="str">
        <f t="shared" si="9"/>
        <v>W20A.4</v>
      </c>
      <c r="I215" s="13" t="s">
        <v>17</v>
      </c>
      <c r="J215" s="13"/>
      <c r="K215" s="13"/>
      <c r="L215" s="48"/>
      <c r="M215" s="49" t="str">
        <f t="shared" si="10"/>
        <v>[W20A.4]</v>
      </c>
      <c r="N215" s="12" t="str">
        <f t="shared" si="11"/>
        <v xml:space="preserve"> 쿨링 배출 개비티#1 (SD107) 엔코더 이상이 검출되었습니다.</v>
      </c>
      <c r="O215" s="49" t="str">
        <f t="shared" si="12"/>
        <v>[W20A.4] 쿨링 배출 개비티#1 (SD107) 엔코더 이상이 검출되었습니다.</v>
      </c>
    </row>
    <row r="216" spans="1:15" s="49" customFormat="1" ht="14.15" customHeight="1">
      <c r="A216" s="43" t="s">
        <v>2151</v>
      </c>
      <c r="B216" s="11"/>
      <c r="C216" s="11" t="s">
        <v>18</v>
      </c>
      <c r="D216" s="45" t="s">
        <v>16</v>
      </c>
      <c r="E216" s="46"/>
      <c r="F216" s="12" t="s">
        <v>315</v>
      </c>
      <c r="G216" s="13" t="s">
        <v>7016</v>
      </c>
      <c r="H216" s="99" t="str">
        <f t="shared" si="9"/>
        <v>W20A.5</v>
      </c>
      <c r="I216" s="13" t="s">
        <v>17</v>
      </c>
      <c r="J216" s="13"/>
      <c r="K216" s="13"/>
      <c r="L216" s="48"/>
      <c r="M216" s="49" t="str">
        <f t="shared" si="10"/>
        <v>[W20A.5]</v>
      </c>
      <c r="N216" s="12" t="str">
        <f t="shared" si="11"/>
        <v xml:space="preserve"> 쿨링 배출 개비티#1 (SD107) 과전류가 검출되었습니다.</v>
      </c>
      <c r="O216" s="49" t="str">
        <f t="shared" si="12"/>
        <v>[W20A.5] 쿨링 배출 개비티#1 (SD107) 과전류가 검출되었습니다.</v>
      </c>
    </row>
    <row r="217" spans="1:15" s="49" customFormat="1" ht="14.15" customHeight="1">
      <c r="A217" s="43" t="s">
        <v>2151</v>
      </c>
      <c r="B217" s="11"/>
      <c r="C217" s="11" t="s">
        <v>18</v>
      </c>
      <c r="D217" s="45" t="s">
        <v>16</v>
      </c>
      <c r="E217" s="46"/>
      <c r="F217" s="12" t="s">
        <v>316</v>
      </c>
      <c r="G217" s="13" t="s">
        <v>7017</v>
      </c>
      <c r="H217" s="99" t="str">
        <f t="shared" si="9"/>
        <v>W20A.6</v>
      </c>
      <c r="I217" s="13" t="s">
        <v>17</v>
      </c>
      <c r="J217" s="13"/>
      <c r="K217" s="13"/>
      <c r="L217" s="48"/>
      <c r="M217" s="49" t="str">
        <f t="shared" si="10"/>
        <v>[W20A.6]</v>
      </c>
      <c r="N217" s="12" t="str">
        <f t="shared" si="11"/>
        <v xml:space="preserve"> 쿨링 배출 개비티#1 (SD107) 과부하가 검출되었습니다.</v>
      </c>
      <c r="O217" s="49" t="str">
        <f t="shared" si="12"/>
        <v>[W20A.6] 쿨링 배출 개비티#1 (SD107) 과부하가 검출되었습니다.</v>
      </c>
    </row>
    <row r="218" spans="1:15" s="49" customFormat="1" ht="14.15" customHeight="1">
      <c r="A218" s="43" t="s">
        <v>2151</v>
      </c>
      <c r="B218" s="11"/>
      <c r="C218" s="11" t="s">
        <v>18</v>
      </c>
      <c r="D218" s="45" t="s">
        <v>16</v>
      </c>
      <c r="E218" s="46"/>
      <c r="F218" s="12" t="s">
        <v>317</v>
      </c>
      <c r="G218" s="13" t="s">
        <v>7018</v>
      </c>
      <c r="H218" s="99" t="str">
        <f t="shared" si="9"/>
        <v>W20A.7</v>
      </c>
      <c r="I218" s="13" t="s">
        <v>17</v>
      </c>
      <c r="J218" s="13"/>
      <c r="K218" s="13"/>
      <c r="L218" s="48"/>
      <c r="M218" s="49" t="str">
        <f t="shared" si="10"/>
        <v>[W20A.7]</v>
      </c>
      <c r="N218" s="12" t="str">
        <f t="shared" si="11"/>
        <v xml:space="preserve"> 쿨링 배출 개비티#1 (SD107)  </v>
      </c>
      <c r="O218" s="49" t="str">
        <f t="shared" si="12"/>
        <v xml:space="preserve">[W20A.7] 쿨링 배출 개비티#1 (SD107)  </v>
      </c>
    </row>
    <row r="219" spans="1:15" s="49" customFormat="1" ht="14.15" customHeight="1">
      <c r="A219" s="43" t="s">
        <v>2151</v>
      </c>
      <c r="B219" s="11"/>
      <c r="C219" s="11" t="s">
        <v>18</v>
      </c>
      <c r="D219" s="45" t="s">
        <v>16</v>
      </c>
      <c r="E219" s="46"/>
      <c r="F219" s="12" t="s">
        <v>318</v>
      </c>
      <c r="G219" s="13" t="s">
        <v>7019</v>
      </c>
      <c r="H219" s="99" t="str">
        <f t="shared" si="9"/>
        <v>W20A.8</v>
      </c>
      <c r="I219" s="13" t="s">
        <v>17</v>
      </c>
      <c r="J219" s="13"/>
      <c r="K219" s="13"/>
      <c r="L219" s="48"/>
      <c r="M219" s="49" t="str">
        <f t="shared" si="10"/>
        <v>[W20A.8]</v>
      </c>
      <c r="N219" s="12" t="str">
        <f t="shared" si="11"/>
        <v xml:space="preserve"> 쿨링 배출 개비티#1 (SD107) 에러가 발생했습니다.</v>
      </c>
      <c r="O219" s="49" t="str">
        <f t="shared" si="12"/>
        <v>[W20A.8] 쿨링 배출 개비티#1 (SD107) 에러가 발생했습니다.</v>
      </c>
    </row>
    <row r="220" spans="1:15" s="49" customFormat="1" ht="14.15" customHeight="1">
      <c r="A220" s="43" t="s">
        <v>2151</v>
      </c>
      <c r="B220" s="11"/>
      <c r="C220" s="11" t="s">
        <v>18</v>
      </c>
      <c r="D220" s="45" t="s">
        <v>16</v>
      </c>
      <c r="E220" s="46"/>
      <c r="F220" s="12" t="s">
        <v>319</v>
      </c>
      <c r="G220" s="13" t="s">
        <v>7020</v>
      </c>
      <c r="H220" s="99" t="str">
        <f t="shared" si="9"/>
        <v>W20A.9</v>
      </c>
      <c r="I220" s="13" t="s">
        <v>17</v>
      </c>
      <c r="J220" s="13"/>
      <c r="K220" s="13"/>
      <c r="L220" s="48"/>
      <c r="M220" s="49" t="str">
        <f t="shared" si="10"/>
        <v>[W20A.9]</v>
      </c>
      <c r="N220" s="12" t="str">
        <f t="shared" si="11"/>
        <v xml:space="preserve"> 쿨링 배출 개비티#2 (SD108) 운전중에 Ready가 Off 되었습니다.</v>
      </c>
      <c r="O220" s="49" t="str">
        <f t="shared" si="12"/>
        <v>[W20A.9] 쿨링 배출 개비티#2 (SD108) 운전중에 Ready가 Off 되었습니다.</v>
      </c>
    </row>
    <row r="221" spans="1:15" s="49" customFormat="1" ht="14.15" customHeight="1">
      <c r="A221" s="43" t="s">
        <v>2151</v>
      </c>
      <c r="B221" s="11"/>
      <c r="C221" s="11" t="s">
        <v>18</v>
      </c>
      <c r="D221" s="45" t="s">
        <v>16</v>
      </c>
      <c r="E221" s="46"/>
      <c r="F221" s="12" t="s">
        <v>320</v>
      </c>
      <c r="G221" s="13" t="s">
        <v>7021</v>
      </c>
      <c r="H221" s="99" t="str">
        <f t="shared" si="9"/>
        <v>W20A.A</v>
      </c>
      <c r="I221" s="13" t="s">
        <v>17</v>
      </c>
      <c r="J221" s="13"/>
      <c r="K221" s="13"/>
      <c r="L221" s="48"/>
      <c r="M221" s="49" t="str">
        <f t="shared" si="10"/>
        <v>[W20A.A]</v>
      </c>
      <c r="N221" s="12" t="str">
        <f t="shared" si="11"/>
        <v xml:space="preserve"> 쿨링 배출 개비티#2 (SD108) FLS가 감지되었습니다.</v>
      </c>
      <c r="O221" s="49" t="str">
        <f t="shared" si="12"/>
        <v>[W20A.A] 쿨링 배출 개비티#2 (SD108) FLS가 감지되었습니다.</v>
      </c>
    </row>
    <row r="222" spans="1:15" s="49" customFormat="1" ht="14.15" customHeight="1">
      <c r="A222" s="43" t="s">
        <v>2151</v>
      </c>
      <c r="B222" s="11"/>
      <c r="C222" s="11" t="s">
        <v>18</v>
      </c>
      <c r="D222" s="45" t="s">
        <v>16</v>
      </c>
      <c r="E222" s="46"/>
      <c r="F222" s="12" t="s">
        <v>321</v>
      </c>
      <c r="G222" s="13" t="s">
        <v>7022</v>
      </c>
      <c r="H222" s="99" t="str">
        <f t="shared" si="9"/>
        <v>W20A.B</v>
      </c>
      <c r="I222" s="13" t="s">
        <v>17</v>
      </c>
      <c r="J222" s="13"/>
      <c r="K222" s="13"/>
      <c r="L222" s="48"/>
      <c r="M222" s="49" t="str">
        <f t="shared" si="10"/>
        <v>[W20A.B]</v>
      </c>
      <c r="N222" s="12" t="str">
        <f t="shared" si="11"/>
        <v xml:space="preserve"> 쿨링 배출 개비티#2 (SD108) RLS가 감지되었습니다.</v>
      </c>
      <c r="O222" s="49" t="str">
        <f t="shared" si="12"/>
        <v>[W20A.B] 쿨링 배출 개비티#2 (SD108) RLS가 감지되었습니다.</v>
      </c>
    </row>
    <row r="223" spans="1:15" s="49" customFormat="1" ht="14.15" customHeight="1">
      <c r="A223" s="43" t="s">
        <v>2151</v>
      </c>
      <c r="B223" s="11"/>
      <c r="C223" s="11" t="s">
        <v>18</v>
      </c>
      <c r="D223" s="45" t="s">
        <v>16</v>
      </c>
      <c r="E223" s="46"/>
      <c r="F223" s="12" t="s">
        <v>322</v>
      </c>
      <c r="G223" s="13" t="s">
        <v>7023</v>
      </c>
      <c r="H223" s="99" t="str">
        <f t="shared" si="9"/>
        <v>W20A.C</v>
      </c>
      <c r="I223" s="13" t="s">
        <v>17</v>
      </c>
      <c r="J223" s="13"/>
      <c r="K223" s="13"/>
      <c r="L223" s="48"/>
      <c r="M223" s="49" t="str">
        <f t="shared" si="10"/>
        <v>[W20A.C]</v>
      </c>
      <c r="N223" s="12" t="str">
        <f t="shared" si="11"/>
        <v xml:space="preserve"> 쿨링 배출 개비티#2 (SD108) Stop 명령이 On된 상태에서 기동을 시도했습니다.</v>
      </c>
      <c r="O223" s="49" t="str">
        <f t="shared" si="12"/>
        <v>[W20A.C] 쿨링 배출 개비티#2 (SD108) Stop 명령이 On된 상태에서 기동을 시도했습니다.</v>
      </c>
    </row>
    <row r="224" spans="1:15" s="49" customFormat="1" ht="14.15" customHeight="1">
      <c r="A224" s="43" t="s">
        <v>2151</v>
      </c>
      <c r="B224" s="11"/>
      <c r="C224" s="11" t="s">
        <v>18</v>
      </c>
      <c r="D224" s="45" t="s">
        <v>16</v>
      </c>
      <c r="E224" s="46"/>
      <c r="F224" s="12" t="s">
        <v>323</v>
      </c>
      <c r="G224" s="13" t="s">
        <v>7024</v>
      </c>
      <c r="H224" s="99" t="str">
        <f t="shared" si="9"/>
        <v>W20A.D</v>
      </c>
      <c r="I224" s="13" t="s">
        <v>17</v>
      </c>
      <c r="J224" s="13"/>
      <c r="K224" s="13"/>
      <c r="L224" s="48"/>
      <c r="M224" s="49" t="str">
        <f t="shared" si="10"/>
        <v>[W20A.D]</v>
      </c>
      <c r="N224" s="12" t="str">
        <f t="shared" si="11"/>
        <v xml:space="preserve"> 쿨링 배출 개비티#2 (SD108) 가동 전원이 Off 되었습니다.</v>
      </c>
      <c r="O224" s="49" t="str">
        <f t="shared" si="12"/>
        <v>[W20A.D] 쿨링 배출 개비티#2 (SD108) 가동 전원이 Off 되었습니다.</v>
      </c>
    </row>
    <row r="225" spans="1:15" s="49" customFormat="1" ht="14.15" customHeight="1">
      <c r="A225" s="43" t="s">
        <v>2151</v>
      </c>
      <c r="B225" s="11"/>
      <c r="C225" s="11" t="s">
        <v>18</v>
      </c>
      <c r="D225" s="45" t="s">
        <v>16</v>
      </c>
      <c r="E225" s="46"/>
      <c r="F225" s="12" t="s">
        <v>324</v>
      </c>
      <c r="G225" s="13" t="s">
        <v>7025</v>
      </c>
      <c r="H225" s="99" t="str">
        <f t="shared" si="9"/>
        <v>W20A.E</v>
      </c>
      <c r="I225" s="13" t="s">
        <v>17</v>
      </c>
      <c r="J225" s="13"/>
      <c r="K225" s="13"/>
      <c r="L225" s="48"/>
      <c r="M225" s="49" t="str">
        <f t="shared" si="10"/>
        <v>[W20A.E]</v>
      </c>
      <c r="N225" s="12" t="str">
        <f t="shared" si="11"/>
        <v xml:space="preserve"> 쿨링 배출 개비티#2 (SD108) 엔코더 이상이 검출되었습니다.</v>
      </c>
      <c r="O225" s="49" t="str">
        <f t="shared" si="12"/>
        <v>[W20A.E] 쿨링 배출 개비티#2 (SD108) 엔코더 이상이 검출되었습니다.</v>
      </c>
    </row>
    <row r="226" spans="1:15" s="49" customFormat="1" ht="14.15" customHeight="1">
      <c r="A226" s="43" t="s">
        <v>2151</v>
      </c>
      <c r="B226" s="11"/>
      <c r="C226" s="11" t="s">
        <v>18</v>
      </c>
      <c r="D226" s="45" t="s">
        <v>16</v>
      </c>
      <c r="E226" s="46"/>
      <c r="F226" s="12" t="s">
        <v>325</v>
      </c>
      <c r="G226" s="13" t="s">
        <v>7026</v>
      </c>
      <c r="H226" s="99" t="str">
        <f t="shared" si="9"/>
        <v>W20A.F</v>
      </c>
      <c r="I226" s="13" t="s">
        <v>17</v>
      </c>
      <c r="J226" s="13"/>
      <c r="K226" s="13"/>
      <c r="L226" s="48"/>
      <c r="M226" s="49" t="str">
        <f t="shared" si="10"/>
        <v>[W20A.F]</v>
      </c>
      <c r="N226" s="12" t="str">
        <f t="shared" si="11"/>
        <v xml:space="preserve"> 쿨링 배출 개비티#2 (SD108) 과전류가 검출되었습니다.</v>
      </c>
      <c r="O226" s="49" t="str">
        <f t="shared" si="12"/>
        <v>[W20A.F] 쿨링 배출 개비티#2 (SD108) 과전류가 검출되었습니다.</v>
      </c>
    </row>
    <row r="227" spans="1:15" s="49" customFormat="1" ht="14.15" customHeight="1">
      <c r="A227" s="43" t="s">
        <v>2151</v>
      </c>
      <c r="B227" s="11"/>
      <c r="C227" s="11" t="s">
        <v>18</v>
      </c>
      <c r="D227" s="45" t="s">
        <v>16</v>
      </c>
      <c r="E227" s="46"/>
      <c r="F227" s="12" t="s">
        <v>326</v>
      </c>
      <c r="G227" s="13" t="s">
        <v>7027</v>
      </c>
      <c r="H227" s="99" t="str">
        <f t="shared" si="9"/>
        <v>W20B.0</v>
      </c>
      <c r="I227" s="13" t="s">
        <v>17</v>
      </c>
      <c r="J227" s="13"/>
      <c r="K227" s="13"/>
      <c r="L227" s="48"/>
      <c r="M227" s="49" t="str">
        <f t="shared" si="10"/>
        <v>[W20B.0]</v>
      </c>
      <c r="N227" s="12" t="str">
        <f t="shared" si="11"/>
        <v xml:space="preserve"> 쿨링 배출 개비티#2 (SD108) 과부하가 검출되었습니다.</v>
      </c>
      <c r="O227" s="49" t="str">
        <f t="shared" si="12"/>
        <v>[W20B.0] 쿨링 배출 개비티#2 (SD108) 과부하가 검출되었습니다.</v>
      </c>
    </row>
    <row r="228" spans="1:15" s="49" customFormat="1" ht="14.15" customHeight="1">
      <c r="A228" s="43" t="s">
        <v>2151</v>
      </c>
      <c r="B228" s="11"/>
      <c r="C228" s="11" t="s">
        <v>18</v>
      </c>
      <c r="D228" s="45" t="s">
        <v>16</v>
      </c>
      <c r="E228" s="46"/>
      <c r="F228" s="12" t="s">
        <v>327</v>
      </c>
      <c r="G228" s="13" t="s">
        <v>7028</v>
      </c>
      <c r="H228" s="99" t="str">
        <f t="shared" si="9"/>
        <v>W20B.1</v>
      </c>
      <c r="I228" s="13" t="s">
        <v>17</v>
      </c>
      <c r="J228" s="13"/>
      <c r="K228" s="13"/>
      <c r="L228" s="48"/>
      <c r="M228" s="49" t="str">
        <f t="shared" si="10"/>
        <v>[W20B.1]</v>
      </c>
      <c r="N228" s="12" t="str">
        <f t="shared" si="11"/>
        <v xml:space="preserve"> 쿨링 배출 개비티#2 (SD108)  </v>
      </c>
      <c r="O228" s="49" t="str">
        <f t="shared" si="12"/>
        <v xml:space="preserve">[W20B.1] 쿨링 배출 개비티#2 (SD108)  </v>
      </c>
    </row>
    <row r="229" spans="1:15" s="49" customFormat="1" ht="14.15" customHeight="1">
      <c r="A229" s="43" t="s">
        <v>2151</v>
      </c>
      <c r="B229" s="11"/>
      <c r="C229" s="11" t="s">
        <v>18</v>
      </c>
      <c r="D229" s="45" t="s">
        <v>16</v>
      </c>
      <c r="E229" s="46"/>
      <c r="F229" s="12" t="s">
        <v>328</v>
      </c>
      <c r="G229" s="13" t="s">
        <v>7029</v>
      </c>
      <c r="H229" s="99" t="str">
        <f t="shared" si="9"/>
        <v>W20B.2</v>
      </c>
      <c r="I229" s="13" t="s">
        <v>17</v>
      </c>
      <c r="J229" s="13"/>
      <c r="K229" s="13"/>
      <c r="L229" s="48"/>
      <c r="M229" s="49" t="str">
        <f t="shared" si="10"/>
        <v>[W20B.2]</v>
      </c>
      <c r="N229" s="12" t="str">
        <f t="shared" si="11"/>
        <v xml:space="preserve"> 쿨링 배출 개비티#2 (SD108) 에러가 발생했습니다.</v>
      </c>
      <c r="O229" s="49" t="str">
        <f t="shared" si="12"/>
        <v>[W20B.2] 쿨링 배출 개비티#2 (SD108) 에러가 발생했습니다.</v>
      </c>
    </row>
    <row r="230" spans="1:15" s="49" customFormat="1" ht="14.15" customHeight="1">
      <c r="A230" s="43" t="s">
        <v>2150</v>
      </c>
      <c r="B230" s="11"/>
      <c r="C230" s="11" t="s">
        <v>18</v>
      </c>
      <c r="D230" s="45" t="s">
        <v>16</v>
      </c>
      <c r="E230" s="46"/>
      <c r="F230" s="12" t="s">
        <v>329</v>
      </c>
      <c r="G230" s="13" t="s">
        <v>7030</v>
      </c>
      <c r="H230" s="99" t="str">
        <f t="shared" si="9"/>
        <v>W20B.3</v>
      </c>
      <c r="I230" s="13" t="s">
        <v>17</v>
      </c>
      <c r="J230" s="13"/>
      <c r="K230" s="13"/>
      <c r="L230" s="48"/>
      <c r="M230" s="49" t="str">
        <f t="shared" si="10"/>
        <v>[W20B.3]</v>
      </c>
      <c r="N230" s="12" t="str">
        <f t="shared" si="11"/>
        <v xml:space="preserve"> 쿨링 공급 Z축 (SD109) 운전중에 Ready가 Off 되었습니다.</v>
      </c>
      <c r="O230" s="49" t="str">
        <f t="shared" si="12"/>
        <v>[W20B.3] 쿨링 공급 Z축 (SD109) 운전중에 Ready가 Off 되었습니다.</v>
      </c>
    </row>
    <row r="231" spans="1:15" s="49" customFormat="1" ht="14.15" customHeight="1">
      <c r="A231" s="43" t="s">
        <v>2150</v>
      </c>
      <c r="B231" s="11"/>
      <c r="C231" s="11" t="s">
        <v>18</v>
      </c>
      <c r="D231" s="45" t="s">
        <v>16</v>
      </c>
      <c r="E231" s="46"/>
      <c r="F231" s="12" t="s">
        <v>330</v>
      </c>
      <c r="G231" s="13" t="s">
        <v>7031</v>
      </c>
      <c r="H231" s="99" t="str">
        <f t="shared" si="9"/>
        <v>W20B.4</v>
      </c>
      <c r="I231" s="13" t="s">
        <v>17</v>
      </c>
      <c r="J231" s="13"/>
      <c r="K231" s="13"/>
      <c r="L231" s="48"/>
      <c r="M231" s="49" t="str">
        <f t="shared" si="10"/>
        <v>[W20B.4]</v>
      </c>
      <c r="N231" s="12" t="str">
        <f t="shared" si="11"/>
        <v xml:space="preserve"> 쿨링 공급 Z축 (SD109) FLS가 감지되었습니다.</v>
      </c>
      <c r="O231" s="49" t="str">
        <f t="shared" si="12"/>
        <v>[W20B.4] 쿨링 공급 Z축 (SD109) FLS가 감지되었습니다.</v>
      </c>
    </row>
    <row r="232" spans="1:15" s="49" customFormat="1" ht="14.15" customHeight="1">
      <c r="A232" s="43" t="s">
        <v>2150</v>
      </c>
      <c r="B232" s="11"/>
      <c r="C232" s="11" t="s">
        <v>18</v>
      </c>
      <c r="D232" s="45" t="s">
        <v>16</v>
      </c>
      <c r="E232" s="46"/>
      <c r="F232" s="12" t="s">
        <v>331</v>
      </c>
      <c r="G232" s="13" t="s">
        <v>7032</v>
      </c>
      <c r="H232" s="99" t="str">
        <f t="shared" si="9"/>
        <v>W20B.5</v>
      </c>
      <c r="I232" s="13" t="s">
        <v>17</v>
      </c>
      <c r="J232" s="13"/>
      <c r="K232" s="13"/>
      <c r="L232" s="48"/>
      <c r="M232" s="49" t="str">
        <f t="shared" si="10"/>
        <v>[W20B.5]</v>
      </c>
      <c r="N232" s="12" t="str">
        <f t="shared" si="11"/>
        <v xml:space="preserve"> 쿨링 공급 Z축 (SD109) RLS가 감지되었습니다.</v>
      </c>
      <c r="O232" s="49" t="str">
        <f t="shared" si="12"/>
        <v>[W20B.5] 쿨링 공급 Z축 (SD109) RLS가 감지되었습니다.</v>
      </c>
    </row>
    <row r="233" spans="1:15" s="49" customFormat="1" ht="14.15" customHeight="1">
      <c r="A233" s="43" t="s">
        <v>2150</v>
      </c>
      <c r="B233" s="11"/>
      <c r="C233" s="11" t="s">
        <v>18</v>
      </c>
      <c r="D233" s="45" t="s">
        <v>16</v>
      </c>
      <c r="E233" s="46"/>
      <c r="F233" s="12" t="s">
        <v>332</v>
      </c>
      <c r="G233" s="13" t="s">
        <v>7033</v>
      </c>
      <c r="H233" s="99" t="str">
        <f t="shared" si="9"/>
        <v>W20B.6</v>
      </c>
      <c r="I233" s="13" t="s">
        <v>17</v>
      </c>
      <c r="J233" s="13"/>
      <c r="K233" s="13"/>
      <c r="L233" s="48"/>
      <c r="M233" s="49" t="str">
        <f t="shared" si="10"/>
        <v>[W20B.6]</v>
      </c>
      <c r="N233" s="12" t="str">
        <f t="shared" si="11"/>
        <v xml:space="preserve"> 쿨링 공급 Z축 (SD109) Stop 명령이 On된 상태에서 기동을 시도했습니다.</v>
      </c>
      <c r="O233" s="49" t="str">
        <f t="shared" si="12"/>
        <v>[W20B.6] 쿨링 공급 Z축 (SD109) Stop 명령이 On된 상태에서 기동을 시도했습니다.</v>
      </c>
    </row>
    <row r="234" spans="1:15" s="49" customFormat="1" ht="14.15" customHeight="1">
      <c r="A234" s="43" t="s">
        <v>2150</v>
      </c>
      <c r="B234" s="11"/>
      <c r="C234" s="11" t="s">
        <v>18</v>
      </c>
      <c r="D234" s="45" t="s">
        <v>16</v>
      </c>
      <c r="E234" s="46"/>
      <c r="F234" s="12" t="s">
        <v>333</v>
      </c>
      <c r="G234" s="13" t="s">
        <v>7034</v>
      </c>
      <c r="H234" s="99" t="str">
        <f t="shared" si="9"/>
        <v>W20B.7</v>
      </c>
      <c r="I234" s="13" t="s">
        <v>17</v>
      </c>
      <c r="J234" s="13"/>
      <c r="K234" s="13"/>
      <c r="L234" s="48"/>
      <c r="M234" s="49" t="str">
        <f t="shared" si="10"/>
        <v>[W20B.7]</v>
      </c>
      <c r="N234" s="12" t="str">
        <f t="shared" si="11"/>
        <v xml:space="preserve"> 쿨링 공급 Z축 (SD109) 가동 전원이 Off 되었습니다.</v>
      </c>
      <c r="O234" s="49" t="str">
        <f t="shared" si="12"/>
        <v>[W20B.7] 쿨링 공급 Z축 (SD109) 가동 전원이 Off 되었습니다.</v>
      </c>
    </row>
    <row r="235" spans="1:15" s="49" customFormat="1" ht="14.15" customHeight="1">
      <c r="A235" s="43" t="s">
        <v>2150</v>
      </c>
      <c r="B235" s="11"/>
      <c r="C235" s="11" t="s">
        <v>18</v>
      </c>
      <c r="D235" s="45" t="s">
        <v>16</v>
      </c>
      <c r="E235" s="46"/>
      <c r="F235" s="12" t="s">
        <v>334</v>
      </c>
      <c r="G235" s="13" t="s">
        <v>7035</v>
      </c>
      <c r="H235" s="99" t="str">
        <f t="shared" si="9"/>
        <v>W20B.8</v>
      </c>
      <c r="I235" s="13" t="s">
        <v>17</v>
      </c>
      <c r="J235" s="13"/>
      <c r="K235" s="13"/>
      <c r="L235" s="48"/>
      <c r="M235" s="49" t="str">
        <f t="shared" si="10"/>
        <v>[W20B.8]</v>
      </c>
      <c r="N235" s="12" t="str">
        <f t="shared" si="11"/>
        <v xml:space="preserve"> 쿨링 공급 Z축 (SD109) 엔코더 이상이 검출되었습니다.</v>
      </c>
      <c r="O235" s="49" t="str">
        <f t="shared" si="12"/>
        <v>[W20B.8] 쿨링 공급 Z축 (SD109) 엔코더 이상이 검출되었습니다.</v>
      </c>
    </row>
    <row r="236" spans="1:15" s="49" customFormat="1" ht="14.15" customHeight="1">
      <c r="A236" s="43" t="s">
        <v>2150</v>
      </c>
      <c r="B236" s="11"/>
      <c r="C236" s="11" t="s">
        <v>18</v>
      </c>
      <c r="D236" s="45" t="s">
        <v>16</v>
      </c>
      <c r="E236" s="46"/>
      <c r="F236" s="12" t="s">
        <v>335</v>
      </c>
      <c r="G236" s="13" t="s">
        <v>7036</v>
      </c>
      <c r="H236" s="99" t="str">
        <f t="shared" si="9"/>
        <v>W20B.9</v>
      </c>
      <c r="I236" s="13" t="s">
        <v>17</v>
      </c>
      <c r="J236" s="13"/>
      <c r="K236" s="13"/>
      <c r="L236" s="48"/>
      <c r="M236" s="49" t="str">
        <f t="shared" si="10"/>
        <v>[W20B.9]</v>
      </c>
      <c r="N236" s="12" t="str">
        <f t="shared" si="11"/>
        <v xml:space="preserve"> 쿨링 공급 Z축 (SD109) 과전류가 검출되었습니다.</v>
      </c>
      <c r="O236" s="49" t="str">
        <f t="shared" si="12"/>
        <v>[W20B.9] 쿨링 공급 Z축 (SD109) 과전류가 검출되었습니다.</v>
      </c>
    </row>
    <row r="237" spans="1:15" s="49" customFormat="1" ht="14.15" customHeight="1">
      <c r="A237" s="43" t="s">
        <v>2150</v>
      </c>
      <c r="B237" s="11"/>
      <c r="C237" s="11" t="s">
        <v>18</v>
      </c>
      <c r="D237" s="45" t="s">
        <v>16</v>
      </c>
      <c r="E237" s="46"/>
      <c r="F237" s="12" t="s">
        <v>336</v>
      </c>
      <c r="G237" s="13" t="s">
        <v>7037</v>
      </c>
      <c r="H237" s="99" t="str">
        <f t="shared" si="9"/>
        <v>W20B.A</v>
      </c>
      <c r="I237" s="13" t="s">
        <v>17</v>
      </c>
      <c r="J237" s="13"/>
      <c r="K237" s="13"/>
      <c r="L237" s="48"/>
      <c r="M237" s="49" t="str">
        <f t="shared" si="10"/>
        <v>[W20B.A]</v>
      </c>
      <c r="N237" s="12" t="str">
        <f t="shared" si="11"/>
        <v xml:space="preserve"> 쿨링 공급 Z축 (SD109) 과부하가 검출되었습니다.</v>
      </c>
      <c r="O237" s="49" t="str">
        <f t="shared" si="12"/>
        <v>[W20B.A] 쿨링 공급 Z축 (SD109) 과부하가 검출되었습니다.</v>
      </c>
    </row>
    <row r="238" spans="1:15" s="49" customFormat="1" ht="14.15" customHeight="1">
      <c r="A238" s="43" t="s">
        <v>2150</v>
      </c>
      <c r="B238" s="11"/>
      <c r="C238" s="11" t="s">
        <v>18</v>
      </c>
      <c r="D238" s="45" t="s">
        <v>16</v>
      </c>
      <c r="E238" s="46"/>
      <c r="F238" s="12" t="s">
        <v>337</v>
      </c>
      <c r="G238" s="13" t="s">
        <v>7038</v>
      </c>
      <c r="H238" s="99" t="str">
        <f t="shared" si="9"/>
        <v>W20B.B</v>
      </c>
      <c r="I238" s="13" t="s">
        <v>17</v>
      </c>
      <c r="J238" s="13"/>
      <c r="K238" s="13"/>
      <c r="L238" s="48"/>
      <c r="M238" s="49" t="str">
        <f t="shared" si="10"/>
        <v>[W20B.B]</v>
      </c>
      <c r="N238" s="12" t="str">
        <f t="shared" si="11"/>
        <v xml:space="preserve"> 쿨링 공급 Z축 (SD109)  </v>
      </c>
      <c r="O238" s="49" t="str">
        <f t="shared" si="12"/>
        <v xml:space="preserve">[W20B.B] 쿨링 공급 Z축 (SD109)  </v>
      </c>
    </row>
    <row r="239" spans="1:15" s="49" customFormat="1" ht="14.15" customHeight="1">
      <c r="A239" s="43" t="s">
        <v>2150</v>
      </c>
      <c r="B239" s="11"/>
      <c r="C239" s="11" t="s">
        <v>18</v>
      </c>
      <c r="D239" s="45" t="s">
        <v>16</v>
      </c>
      <c r="E239" s="46"/>
      <c r="F239" s="12" t="s">
        <v>338</v>
      </c>
      <c r="G239" s="13" t="s">
        <v>7039</v>
      </c>
      <c r="H239" s="99" t="str">
        <f t="shared" si="9"/>
        <v>W20B.C</v>
      </c>
      <c r="I239" s="13" t="s">
        <v>17</v>
      </c>
      <c r="J239" s="13"/>
      <c r="K239" s="13"/>
      <c r="L239" s="48"/>
      <c r="M239" s="49" t="str">
        <f t="shared" si="10"/>
        <v>[W20B.C]</v>
      </c>
      <c r="N239" s="12" t="str">
        <f t="shared" si="11"/>
        <v xml:space="preserve"> 쿨링 공급 Z축 (SD109) 에러가 발생했습니다.</v>
      </c>
      <c r="O239" s="49" t="str">
        <f t="shared" si="12"/>
        <v>[W20B.C] 쿨링 공급 Z축 (SD109) 에러가 발생했습니다.</v>
      </c>
    </row>
    <row r="240" spans="1:15" s="49" customFormat="1" ht="14.15" customHeight="1">
      <c r="A240" s="43" t="s">
        <v>2150</v>
      </c>
      <c r="B240" s="11"/>
      <c r="C240" s="11" t="s">
        <v>18</v>
      </c>
      <c r="D240" s="45" t="s">
        <v>16</v>
      </c>
      <c r="E240" s="46"/>
      <c r="F240" s="12" t="s">
        <v>339</v>
      </c>
      <c r="G240" s="13" t="s">
        <v>7040</v>
      </c>
      <c r="H240" s="99" t="str">
        <f t="shared" si="9"/>
        <v>W20B.D</v>
      </c>
      <c r="I240" s="13" t="s">
        <v>17</v>
      </c>
      <c r="J240" s="13"/>
      <c r="K240" s="13"/>
      <c r="L240" s="48"/>
      <c r="M240" s="49" t="str">
        <f t="shared" si="10"/>
        <v>[W20B.D]</v>
      </c>
      <c r="N240" s="12" t="str">
        <f t="shared" si="11"/>
        <v xml:space="preserve"> 쿨링 배출 Z축 (SD110) 운전중에 Ready가 Off 되었습니다.</v>
      </c>
      <c r="O240" s="49" t="str">
        <f t="shared" si="12"/>
        <v>[W20B.D] 쿨링 배출 Z축 (SD110) 운전중에 Ready가 Off 되었습니다.</v>
      </c>
    </row>
    <row r="241" spans="1:15" s="49" customFormat="1" ht="14.15" customHeight="1">
      <c r="A241" s="43" t="s">
        <v>2150</v>
      </c>
      <c r="B241" s="11"/>
      <c r="C241" s="11" t="s">
        <v>18</v>
      </c>
      <c r="D241" s="45" t="s">
        <v>16</v>
      </c>
      <c r="E241" s="46"/>
      <c r="F241" s="14" t="s">
        <v>340</v>
      </c>
      <c r="G241" s="13" t="s">
        <v>7041</v>
      </c>
      <c r="H241" s="99" t="str">
        <f t="shared" si="9"/>
        <v>W20B.E</v>
      </c>
      <c r="I241" s="13" t="s">
        <v>17</v>
      </c>
      <c r="J241" s="13"/>
      <c r="K241" s="13"/>
      <c r="L241" s="48"/>
      <c r="M241" s="49" t="str">
        <f t="shared" si="10"/>
        <v>[W20B.E]</v>
      </c>
      <c r="N241" s="12" t="str">
        <f t="shared" si="11"/>
        <v xml:space="preserve"> 쿨링 배출 Z축 (SD110) FLS가 감지되었습니다.</v>
      </c>
      <c r="O241" s="49" t="str">
        <f t="shared" si="12"/>
        <v>[W20B.E] 쿨링 배출 Z축 (SD110) FLS가 감지되었습니다.</v>
      </c>
    </row>
    <row r="242" spans="1:15" s="49" customFormat="1" ht="14.15" customHeight="1">
      <c r="A242" s="43" t="s">
        <v>2150</v>
      </c>
      <c r="B242" s="11"/>
      <c r="C242" s="11" t="s">
        <v>18</v>
      </c>
      <c r="D242" s="45" t="s">
        <v>16</v>
      </c>
      <c r="E242" s="46"/>
      <c r="F242" s="14" t="s">
        <v>341</v>
      </c>
      <c r="G242" s="13" t="s">
        <v>7042</v>
      </c>
      <c r="H242" s="99" t="str">
        <f t="shared" si="9"/>
        <v>W20B.F</v>
      </c>
      <c r="I242" s="13" t="s">
        <v>17</v>
      </c>
      <c r="J242" s="13"/>
      <c r="K242" s="13"/>
      <c r="L242" s="48"/>
      <c r="M242" s="49" t="str">
        <f t="shared" si="10"/>
        <v>[W20B.F]</v>
      </c>
      <c r="N242" s="12" t="str">
        <f t="shared" si="11"/>
        <v xml:space="preserve"> 쿨링 배출 Z축 (SD110) RLS가 감지되었습니다.</v>
      </c>
      <c r="O242" s="49" t="str">
        <f t="shared" si="12"/>
        <v>[W20B.F] 쿨링 배출 Z축 (SD110) RLS가 감지되었습니다.</v>
      </c>
    </row>
    <row r="243" spans="1:15" s="49" customFormat="1" ht="14.15" customHeight="1">
      <c r="A243" s="43" t="s">
        <v>2150</v>
      </c>
      <c r="B243" s="11"/>
      <c r="C243" s="11" t="s">
        <v>18</v>
      </c>
      <c r="D243" s="45" t="s">
        <v>16</v>
      </c>
      <c r="E243" s="46"/>
      <c r="F243" s="14" t="s">
        <v>342</v>
      </c>
      <c r="G243" s="13" t="s">
        <v>7043</v>
      </c>
      <c r="H243" s="99" t="str">
        <f t="shared" si="9"/>
        <v>W20C.0</v>
      </c>
      <c r="I243" s="13" t="s">
        <v>17</v>
      </c>
      <c r="J243" s="13"/>
      <c r="K243" s="13"/>
      <c r="L243" s="48"/>
      <c r="M243" s="49" t="str">
        <f t="shared" si="10"/>
        <v>[W20C.0]</v>
      </c>
      <c r="N243" s="12" t="str">
        <f t="shared" si="11"/>
        <v xml:space="preserve"> 쿨링 배출 Z축 (SD110) Stop 명령이 On된 상태에서 기동을 시도했습니다.</v>
      </c>
      <c r="O243" s="49" t="str">
        <f t="shared" si="12"/>
        <v>[W20C.0] 쿨링 배출 Z축 (SD110) Stop 명령이 On된 상태에서 기동을 시도했습니다.</v>
      </c>
    </row>
    <row r="244" spans="1:15" s="49" customFormat="1" ht="14.15" customHeight="1">
      <c r="A244" s="43" t="s">
        <v>2150</v>
      </c>
      <c r="B244" s="11"/>
      <c r="C244" s="11" t="s">
        <v>18</v>
      </c>
      <c r="D244" s="45" t="s">
        <v>16</v>
      </c>
      <c r="E244" s="46"/>
      <c r="F244" s="14" t="s">
        <v>343</v>
      </c>
      <c r="G244" s="13" t="s">
        <v>7044</v>
      </c>
      <c r="H244" s="99" t="str">
        <f t="shared" ref="H244:H307" si="13">"W"&amp;DEC2HEX(512 + INT((ROW()-51)/16)) &amp; "." &amp; IF(MOD(ROW()-51,16)&lt;10,MOD(ROW()-51,16),CHAR(MOD(ROW()-51,16)+55))</f>
        <v>W20C.1</v>
      </c>
      <c r="I244" s="13" t="s">
        <v>17</v>
      </c>
      <c r="J244" s="13"/>
      <c r="K244" s="13"/>
      <c r="L244" s="48"/>
      <c r="M244" s="49" t="str">
        <f t="shared" ref="M244:M307" si="14">"["&amp;H244&amp;"]"</f>
        <v>[W20C.1]</v>
      </c>
      <c r="N244" s="12" t="str">
        <f t="shared" ref="N244:N307" si="15">RIGHT(F244,LEN(F244)-7)</f>
        <v xml:space="preserve"> 쿨링 배출 Z축 (SD110) 가동 전원이 Off 되었습니다.</v>
      </c>
      <c r="O244" s="49" t="str">
        <f t="shared" ref="O244:O307" si="16">M244&amp;N244</f>
        <v>[W20C.1] 쿨링 배출 Z축 (SD110) 가동 전원이 Off 되었습니다.</v>
      </c>
    </row>
    <row r="245" spans="1:15" s="49" customFormat="1" ht="14.15" customHeight="1">
      <c r="A245" s="43" t="s">
        <v>2150</v>
      </c>
      <c r="B245" s="11"/>
      <c r="C245" s="11" t="s">
        <v>18</v>
      </c>
      <c r="D245" s="45" t="s">
        <v>16</v>
      </c>
      <c r="E245" s="46"/>
      <c r="F245" s="14" t="s">
        <v>344</v>
      </c>
      <c r="G245" s="13" t="s">
        <v>7045</v>
      </c>
      <c r="H245" s="99" t="str">
        <f t="shared" si="13"/>
        <v>W20C.2</v>
      </c>
      <c r="I245" s="13" t="s">
        <v>17</v>
      </c>
      <c r="J245" s="13"/>
      <c r="K245" s="13"/>
      <c r="L245" s="48"/>
      <c r="M245" s="49" t="str">
        <f t="shared" si="14"/>
        <v>[W20C.2]</v>
      </c>
      <c r="N245" s="12" t="str">
        <f t="shared" si="15"/>
        <v xml:space="preserve"> 쿨링 배출 Z축 (SD110) 엔코더 이상이 검출되었습니다.</v>
      </c>
      <c r="O245" s="49" t="str">
        <f t="shared" si="16"/>
        <v>[W20C.2] 쿨링 배출 Z축 (SD110) 엔코더 이상이 검출되었습니다.</v>
      </c>
    </row>
    <row r="246" spans="1:15" s="49" customFormat="1" ht="14.15" customHeight="1">
      <c r="A246" s="43" t="s">
        <v>2150</v>
      </c>
      <c r="B246" s="11"/>
      <c r="C246" s="11" t="s">
        <v>18</v>
      </c>
      <c r="D246" s="45" t="s">
        <v>16</v>
      </c>
      <c r="E246" s="46"/>
      <c r="F246" s="14" t="s">
        <v>345</v>
      </c>
      <c r="G246" s="13" t="s">
        <v>7046</v>
      </c>
      <c r="H246" s="99" t="str">
        <f t="shared" si="13"/>
        <v>W20C.3</v>
      </c>
      <c r="I246" s="13" t="s">
        <v>17</v>
      </c>
      <c r="J246" s="13"/>
      <c r="K246" s="13"/>
      <c r="L246" s="48"/>
      <c r="M246" s="49" t="str">
        <f t="shared" si="14"/>
        <v>[W20C.3]</v>
      </c>
      <c r="N246" s="12" t="str">
        <f t="shared" si="15"/>
        <v xml:space="preserve"> 쿨링 배출 Z축 (SD110) 과전류가 검출되었습니다.</v>
      </c>
      <c r="O246" s="49" t="str">
        <f t="shared" si="16"/>
        <v>[W20C.3] 쿨링 배출 Z축 (SD110) 과전류가 검출되었습니다.</v>
      </c>
    </row>
    <row r="247" spans="1:15" s="49" customFormat="1" ht="14.15" customHeight="1">
      <c r="A247" s="43" t="s">
        <v>2150</v>
      </c>
      <c r="B247" s="11"/>
      <c r="C247" s="11" t="s">
        <v>18</v>
      </c>
      <c r="D247" s="45" t="s">
        <v>16</v>
      </c>
      <c r="E247" s="46"/>
      <c r="F247" s="14" t="s">
        <v>346</v>
      </c>
      <c r="G247" s="13" t="s">
        <v>7047</v>
      </c>
      <c r="H247" s="99" t="str">
        <f t="shared" si="13"/>
        <v>W20C.4</v>
      </c>
      <c r="I247" s="13" t="s">
        <v>17</v>
      </c>
      <c r="J247" s="13"/>
      <c r="K247" s="13"/>
      <c r="L247" s="48"/>
      <c r="M247" s="49" t="str">
        <f t="shared" si="14"/>
        <v>[W20C.4]</v>
      </c>
      <c r="N247" s="12" t="str">
        <f t="shared" si="15"/>
        <v xml:space="preserve"> 쿨링 배출 Z축 (SD110) 과부하가 검출되었습니다.</v>
      </c>
      <c r="O247" s="49" t="str">
        <f t="shared" si="16"/>
        <v>[W20C.4] 쿨링 배출 Z축 (SD110) 과부하가 검출되었습니다.</v>
      </c>
    </row>
    <row r="248" spans="1:15" s="49" customFormat="1" ht="14.15" customHeight="1">
      <c r="A248" s="43" t="s">
        <v>2150</v>
      </c>
      <c r="B248" s="11"/>
      <c r="C248" s="11" t="s">
        <v>18</v>
      </c>
      <c r="D248" s="45" t="s">
        <v>16</v>
      </c>
      <c r="E248" s="46"/>
      <c r="F248" s="14" t="s">
        <v>347</v>
      </c>
      <c r="G248" s="13" t="s">
        <v>7048</v>
      </c>
      <c r="H248" s="99" t="str">
        <f t="shared" si="13"/>
        <v>W20C.5</v>
      </c>
      <c r="I248" s="13" t="s">
        <v>17</v>
      </c>
      <c r="J248" s="13"/>
      <c r="K248" s="13"/>
      <c r="L248" s="48"/>
      <c r="M248" s="49" t="str">
        <f t="shared" si="14"/>
        <v>[W20C.5]</v>
      </c>
      <c r="N248" s="12" t="str">
        <f t="shared" si="15"/>
        <v xml:space="preserve"> 쿨링 배출 Z축 (SD110)  </v>
      </c>
      <c r="O248" s="49" t="str">
        <f t="shared" si="16"/>
        <v xml:space="preserve">[W20C.5] 쿨링 배출 Z축 (SD110)  </v>
      </c>
    </row>
    <row r="249" spans="1:15" s="49" customFormat="1" ht="14.15" customHeight="1">
      <c r="A249" s="43" t="s">
        <v>2150</v>
      </c>
      <c r="B249" s="11"/>
      <c r="C249" s="11" t="s">
        <v>18</v>
      </c>
      <c r="D249" s="45" t="s">
        <v>16</v>
      </c>
      <c r="E249" s="46"/>
      <c r="F249" s="14" t="s">
        <v>348</v>
      </c>
      <c r="G249" s="13" t="s">
        <v>7049</v>
      </c>
      <c r="H249" s="99" t="str">
        <f t="shared" si="13"/>
        <v>W20C.6</v>
      </c>
      <c r="I249" s="13" t="s">
        <v>17</v>
      </c>
      <c r="J249" s="13"/>
      <c r="K249" s="13"/>
      <c r="L249" s="48"/>
      <c r="M249" s="49" t="str">
        <f t="shared" si="14"/>
        <v>[W20C.6]</v>
      </c>
      <c r="N249" s="12" t="str">
        <f t="shared" si="15"/>
        <v xml:space="preserve"> 쿨링 배출 Z축 (SD110) 에러가 발생했습니다.</v>
      </c>
      <c r="O249" s="49" t="str">
        <f t="shared" si="16"/>
        <v>[W20C.6] 쿨링 배출 Z축 (SD110) 에러가 발생했습니다.</v>
      </c>
    </row>
    <row r="250" spans="1:15" s="49" customFormat="1" ht="14.15" customHeight="1">
      <c r="A250" s="43" t="s">
        <v>2150</v>
      </c>
      <c r="B250" s="11"/>
      <c r="C250" s="11" t="s">
        <v>18</v>
      </c>
      <c r="D250" s="45" t="s">
        <v>16</v>
      </c>
      <c r="E250" s="46"/>
      <c r="F250" s="14" t="s">
        <v>349</v>
      </c>
      <c r="G250" s="13" t="s">
        <v>7050</v>
      </c>
      <c r="H250" s="99" t="str">
        <f t="shared" si="13"/>
        <v>W20C.7</v>
      </c>
      <c r="I250" s="13" t="s">
        <v>17</v>
      </c>
      <c r="J250" s="13"/>
      <c r="K250" s="13"/>
      <c r="L250" s="48"/>
      <c r="M250" s="49" t="str">
        <f t="shared" si="14"/>
        <v>[W20C.7]</v>
      </c>
      <c r="N250" s="12" t="str">
        <f t="shared" si="15"/>
        <v xml:space="preserve"> 쿨링 이재기X축 (SD111) 운전중에 Ready가 Off 되었습니다.</v>
      </c>
      <c r="O250" s="49" t="str">
        <f t="shared" si="16"/>
        <v>[W20C.7] 쿨링 이재기X축 (SD111) 운전중에 Ready가 Off 되었습니다.</v>
      </c>
    </row>
    <row r="251" spans="1:15" s="49" customFormat="1" ht="14.15" customHeight="1">
      <c r="A251" s="43" t="s">
        <v>2150</v>
      </c>
      <c r="B251" s="11"/>
      <c r="C251" s="11" t="s">
        <v>18</v>
      </c>
      <c r="D251" s="45" t="s">
        <v>16</v>
      </c>
      <c r="E251" s="46"/>
      <c r="F251" s="14" t="s">
        <v>350</v>
      </c>
      <c r="G251" s="13" t="s">
        <v>7051</v>
      </c>
      <c r="H251" s="99" t="str">
        <f t="shared" si="13"/>
        <v>W20C.8</v>
      </c>
      <c r="I251" s="13" t="s">
        <v>17</v>
      </c>
      <c r="J251" s="13"/>
      <c r="K251" s="13"/>
      <c r="L251" s="48"/>
      <c r="M251" s="49" t="str">
        <f t="shared" si="14"/>
        <v>[W20C.8]</v>
      </c>
      <c r="N251" s="12" t="str">
        <f t="shared" si="15"/>
        <v xml:space="preserve"> 쿨링 이재기X축 (SD111) FLS가 감지되었습니다.</v>
      </c>
      <c r="O251" s="49" t="str">
        <f t="shared" si="16"/>
        <v>[W20C.8] 쿨링 이재기X축 (SD111) FLS가 감지되었습니다.</v>
      </c>
    </row>
    <row r="252" spans="1:15" s="49" customFormat="1" ht="14.15" customHeight="1">
      <c r="A252" s="43" t="s">
        <v>2150</v>
      </c>
      <c r="B252" s="11"/>
      <c r="C252" s="11" t="s">
        <v>18</v>
      </c>
      <c r="D252" s="45" t="s">
        <v>16</v>
      </c>
      <c r="E252" s="46"/>
      <c r="F252" s="14" t="s">
        <v>351</v>
      </c>
      <c r="G252" s="13" t="s">
        <v>7052</v>
      </c>
      <c r="H252" s="99" t="str">
        <f t="shared" si="13"/>
        <v>W20C.9</v>
      </c>
      <c r="I252" s="13" t="s">
        <v>17</v>
      </c>
      <c r="J252" s="13"/>
      <c r="K252" s="13"/>
      <c r="L252" s="48"/>
      <c r="M252" s="49" t="str">
        <f t="shared" si="14"/>
        <v>[W20C.9]</v>
      </c>
      <c r="N252" s="12" t="str">
        <f t="shared" si="15"/>
        <v xml:space="preserve"> 쿨링 이재기X축 (SD111) RLS가 감지되었습니다.</v>
      </c>
      <c r="O252" s="49" t="str">
        <f t="shared" si="16"/>
        <v>[W20C.9] 쿨링 이재기X축 (SD111) RLS가 감지되었습니다.</v>
      </c>
    </row>
    <row r="253" spans="1:15" s="49" customFormat="1" ht="14.15" customHeight="1">
      <c r="A253" s="43" t="s">
        <v>2150</v>
      </c>
      <c r="B253" s="11"/>
      <c r="C253" s="11" t="s">
        <v>18</v>
      </c>
      <c r="D253" s="45" t="s">
        <v>16</v>
      </c>
      <c r="E253" s="46"/>
      <c r="F253" s="14" t="s">
        <v>352</v>
      </c>
      <c r="G253" s="13" t="s">
        <v>7053</v>
      </c>
      <c r="H253" s="99" t="str">
        <f t="shared" si="13"/>
        <v>W20C.A</v>
      </c>
      <c r="I253" s="13" t="s">
        <v>17</v>
      </c>
      <c r="J253" s="13"/>
      <c r="K253" s="13"/>
      <c r="L253" s="48"/>
      <c r="M253" s="49" t="str">
        <f t="shared" si="14"/>
        <v>[W20C.A]</v>
      </c>
      <c r="N253" s="12" t="str">
        <f t="shared" si="15"/>
        <v xml:space="preserve"> 쿨링 이재기X축 (SD111) Stop 명령이 On된 상태에서 기동을 시도했습니다.</v>
      </c>
      <c r="O253" s="49" t="str">
        <f t="shared" si="16"/>
        <v>[W20C.A] 쿨링 이재기X축 (SD111) Stop 명령이 On된 상태에서 기동을 시도했습니다.</v>
      </c>
    </row>
    <row r="254" spans="1:15" s="49" customFormat="1" ht="14.15" customHeight="1">
      <c r="A254" s="43" t="s">
        <v>2150</v>
      </c>
      <c r="B254" s="11"/>
      <c r="C254" s="11" t="s">
        <v>18</v>
      </c>
      <c r="D254" s="45" t="s">
        <v>16</v>
      </c>
      <c r="E254" s="46"/>
      <c r="F254" s="14" t="s">
        <v>353</v>
      </c>
      <c r="G254" s="13" t="s">
        <v>7054</v>
      </c>
      <c r="H254" s="99" t="str">
        <f t="shared" si="13"/>
        <v>W20C.B</v>
      </c>
      <c r="I254" s="13" t="s">
        <v>17</v>
      </c>
      <c r="J254" s="13"/>
      <c r="K254" s="13"/>
      <c r="L254" s="48"/>
      <c r="M254" s="49" t="str">
        <f t="shared" si="14"/>
        <v>[W20C.B]</v>
      </c>
      <c r="N254" s="12" t="str">
        <f t="shared" si="15"/>
        <v xml:space="preserve"> 쿨링 이재기X축 (SD111) 가동 전원이 Off 되었습니다.</v>
      </c>
      <c r="O254" s="49" t="str">
        <f t="shared" si="16"/>
        <v>[W20C.B] 쿨링 이재기X축 (SD111) 가동 전원이 Off 되었습니다.</v>
      </c>
    </row>
    <row r="255" spans="1:15" s="49" customFormat="1" ht="14.15" customHeight="1">
      <c r="A255" s="43" t="s">
        <v>2150</v>
      </c>
      <c r="B255" s="11"/>
      <c r="C255" s="11" t="s">
        <v>18</v>
      </c>
      <c r="D255" s="45" t="s">
        <v>16</v>
      </c>
      <c r="E255" s="46"/>
      <c r="F255" s="14" t="s">
        <v>354</v>
      </c>
      <c r="G255" s="13" t="s">
        <v>7055</v>
      </c>
      <c r="H255" s="99" t="str">
        <f t="shared" si="13"/>
        <v>W20C.C</v>
      </c>
      <c r="I255" s="13" t="s">
        <v>17</v>
      </c>
      <c r="J255" s="13"/>
      <c r="K255" s="13"/>
      <c r="L255" s="48"/>
      <c r="M255" s="49" t="str">
        <f t="shared" si="14"/>
        <v>[W20C.C]</v>
      </c>
      <c r="N255" s="12" t="str">
        <f t="shared" si="15"/>
        <v xml:space="preserve"> 쿨링 이재기X축 (SD111) 엔코더 이상이 검출되었습니다.</v>
      </c>
      <c r="O255" s="49" t="str">
        <f t="shared" si="16"/>
        <v>[W20C.C] 쿨링 이재기X축 (SD111) 엔코더 이상이 검출되었습니다.</v>
      </c>
    </row>
    <row r="256" spans="1:15" s="49" customFormat="1" ht="14.15" customHeight="1">
      <c r="A256" s="43" t="s">
        <v>2150</v>
      </c>
      <c r="B256" s="11"/>
      <c r="C256" s="11" t="s">
        <v>18</v>
      </c>
      <c r="D256" s="45" t="s">
        <v>16</v>
      </c>
      <c r="E256" s="46"/>
      <c r="F256" s="14" t="s">
        <v>355</v>
      </c>
      <c r="G256" s="13" t="s">
        <v>7056</v>
      </c>
      <c r="H256" s="99" t="str">
        <f t="shared" si="13"/>
        <v>W20C.D</v>
      </c>
      <c r="I256" s="13" t="s">
        <v>17</v>
      </c>
      <c r="J256" s="13"/>
      <c r="K256" s="13"/>
      <c r="L256" s="48"/>
      <c r="M256" s="49" t="str">
        <f t="shared" si="14"/>
        <v>[W20C.D]</v>
      </c>
      <c r="N256" s="12" t="str">
        <f t="shared" si="15"/>
        <v xml:space="preserve"> 쿨링 이재기X축 (SD111) 과전류가 검출되었습니다.</v>
      </c>
      <c r="O256" s="49" t="str">
        <f t="shared" si="16"/>
        <v>[W20C.D] 쿨링 이재기X축 (SD111) 과전류가 검출되었습니다.</v>
      </c>
    </row>
    <row r="257" spans="1:15" s="49" customFormat="1" ht="14.15" customHeight="1">
      <c r="A257" s="43" t="s">
        <v>2150</v>
      </c>
      <c r="B257" s="11"/>
      <c r="C257" s="11" t="s">
        <v>18</v>
      </c>
      <c r="D257" s="45" t="s">
        <v>16</v>
      </c>
      <c r="E257" s="46"/>
      <c r="F257" s="14" t="s">
        <v>356</v>
      </c>
      <c r="G257" s="13" t="s">
        <v>7057</v>
      </c>
      <c r="H257" s="99" t="str">
        <f t="shared" si="13"/>
        <v>W20C.E</v>
      </c>
      <c r="I257" s="13" t="s">
        <v>17</v>
      </c>
      <c r="J257" s="13"/>
      <c r="K257" s="13"/>
      <c r="L257" s="48"/>
      <c r="M257" s="49" t="str">
        <f t="shared" si="14"/>
        <v>[W20C.E]</v>
      </c>
      <c r="N257" s="12" t="str">
        <f t="shared" si="15"/>
        <v xml:space="preserve"> 쿨링 이재기X축 (SD111) 과부하가 검출되었습니다.</v>
      </c>
      <c r="O257" s="49" t="str">
        <f t="shared" si="16"/>
        <v>[W20C.E] 쿨링 이재기X축 (SD111) 과부하가 검출되었습니다.</v>
      </c>
    </row>
    <row r="258" spans="1:15" s="49" customFormat="1" ht="14.15" customHeight="1">
      <c r="A258" s="43" t="s">
        <v>2150</v>
      </c>
      <c r="B258" s="11"/>
      <c r="C258" s="11" t="s">
        <v>18</v>
      </c>
      <c r="D258" s="45" t="s">
        <v>16</v>
      </c>
      <c r="E258" s="46"/>
      <c r="F258" s="14" t="s">
        <v>357</v>
      </c>
      <c r="G258" s="13" t="s">
        <v>7058</v>
      </c>
      <c r="H258" s="99" t="str">
        <f t="shared" si="13"/>
        <v>W20C.F</v>
      </c>
      <c r="I258" s="13" t="s">
        <v>17</v>
      </c>
      <c r="J258" s="13"/>
      <c r="K258" s="13"/>
      <c r="L258" s="48"/>
      <c r="M258" s="49" t="str">
        <f t="shared" si="14"/>
        <v>[W20C.F]</v>
      </c>
      <c r="N258" s="12" t="str">
        <f t="shared" si="15"/>
        <v xml:space="preserve"> 쿨링 이재기X축 (SD111)  </v>
      </c>
      <c r="O258" s="49" t="str">
        <f t="shared" si="16"/>
        <v xml:space="preserve">[W20C.F] 쿨링 이재기X축 (SD111)  </v>
      </c>
    </row>
    <row r="259" spans="1:15" s="49" customFormat="1" ht="14.15" customHeight="1">
      <c r="A259" s="43" t="s">
        <v>2150</v>
      </c>
      <c r="B259" s="11"/>
      <c r="C259" s="11" t="s">
        <v>18</v>
      </c>
      <c r="D259" s="45" t="s">
        <v>16</v>
      </c>
      <c r="E259" s="46"/>
      <c r="F259" s="14" t="s">
        <v>358</v>
      </c>
      <c r="G259" s="13" t="s">
        <v>7059</v>
      </c>
      <c r="H259" s="99" t="str">
        <f t="shared" si="13"/>
        <v>W20D.0</v>
      </c>
      <c r="I259" s="13" t="s">
        <v>17</v>
      </c>
      <c r="J259" s="13"/>
      <c r="K259" s="13"/>
      <c r="L259" s="48"/>
      <c r="M259" s="49" t="str">
        <f t="shared" si="14"/>
        <v>[W20D.0]</v>
      </c>
      <c r="N259" s="12" t="str">
        <f t="shared" si="15"/>
        <v xml:space="preserve"> 쿨링 이재기X축 (SD111) 에러가 발생했습니다.</v>
      </c>
      <c r="O259" s="49" t="str">
        <f t="shared" si="16"/>
        <v>[W20D.0] 쿨링 이재기X축 (SD111) 에러가 발생했습니다.</v>
      </c>
    </row>
    <row r="260" spans="1:15" s="49" customFormat="1" ht="14.15" customHeight="1">
      <c r="A260" s="43" t="s">
        <v>2150</v>
      </c>
      <c r="B260" s="11"/>
      <c r="C260" s="11" t="s">
        <v>18</v>
      </c>
      <c r="D260" s="45" t="s">
        <v>16</v>
      </c>
      <c r="E260" s="46"/>
      <c r="F260" s="14" t="s">
        <v>359</v>
      </c>
      <c r="G260" s="13" t="s">
        <v>7060</v>
      </c>
      <c r="H260" s="99" t="str">
        <f t="shared" si="13"/>
        <v>W20D.1</v>
      </c>
      <c r="I260" s="13" t="s">
        <v>17</v>
      </c>
      <c r="J260" s="13"/>
      <c r="K260" s="13"/>
      <c r="L260" s="48"/>
      <c r="M260" s="49" t="str">
        <f t="shared" si="14"/>
        <v>[W20D.1]</v>
      </c>
      <c r="N260" s="12" t="str">
        <f t="shared" si="15"/>
        <v xml:space="preserve"> 쿨링 이재기Z축 (SD112) 운전중에 Ready가 Off 되었습니다.</v>
      </c>
      <c r="O260" s="49" t="str">
        <f t="shared" si="16"/>
        <v>[W20D.1] 쿨링 이재기Z축 (SD112) 운전중에 Ready가 Off 되었습니다.</v>
      </c>
    </row>
    <row r="261" spans="1:15" s="49" customFormat="1" ht="14.15" customHeight="1">
      <c r="A261" s="43" t="s">
        <v>2150</v>
      </c>
      <c r="B261" s="11"/>
      <c r="C261" s="11" t="s">
        <v>18</v>
      </c>
      <c r="D261" s="45" t="s">
        <v>16</v>
      </c>
      <c r="E261" s="46"/>
      <c r="F261" s="14" t="s">
        <v>360</v>
      </c>
      <c r="G261" s="13" t="s">
        <v>7061</v>
      </c>
      <c r="H261" s="99" t="str">
        <f t="shared" si="13"/>
        <v>W20D.2</v>
      </c>
      <c r="I261" s="13" t="s">
        <v>17</v>
      </c>
      <c r="J261" s="13"/>
      <c r="K261" s="13"/>
      <c r="L261" s="48"/>
      <c r="M261" s="49" t="str">
        <f t="shared" si="14"/>
        <v>[W20D.2]</v>
      </c>
      <c r="N261" s="12" t="str">
        <f t="shared" si="15"/>
        <v xml:space="preserve"> 쿨링 이재기Z축 (SD112) FLS가 감지되었습니다.</v>
      </c>
      <c r="O261" s="49" t="str">
        <f t="shared" si="16"/>
        <v>[W20D.2] 쿨링 이재기Z축 (SD112) FLS가 감지되었습니다.</v>
      </c>
    </row>
    <row r="262" spans="1:15" s="49" customFormat="1" ht="14.15" customHeight="1">
      <c r="A262" s="43" t="s">
        <v>2150</v>
      </c>
      <c r="B262" s="11"/>
      <c r="C262" s="11" t="s">
        <v>18</v>
      </c>
      <c r="D262" s="45" t="s">
        <v>16</v>
      </c>
      <c r="E262" s="46"/>
      <c r="F262" s="14" t="s">
        <v>361</v>
      </c>
      <c r="G262" s="13" t="s">
        <v>7062</v>
      </c>
      <c r="H262" s="99" t="str">
        <f t="shared" si="13"/>
        <v>W20D.3</v>
      </c>
      <c r="I262" s="13" t="s">
        <v>17</v>
      </c>
      <c r="J262" s="13"/>
      <c r="K262" s="13"/>
      <c r="L262" s="48"/>
      <c r="M262" s="49" t="str">
        <f t="shared" si="14"/>
        <v>[W20D.3]</v>
      </c>
      <c r="N262" s="12" t="str">
        <f t="shared" si="15"/>
        <v xml:space="preserve"> 쿨링 이재기Z축 (SD112) RLS가 감지되었습니다.</v>
      </c>
      <c r="O262" s="49" t="str">
        <f t="shared" si="16"/>
        <v>[W20D.3] 쿨링 이재기Z축 (SD112) RLS가 감지되었습니다.</v>
      </c>
    </row>
    <row r="263" spans="1:15" s="49" customFormat="1" ht="14.15" customHeight="1">
      <c r="A263" s="43" t="s">
        <v>2150</v>
      </c>
      <c r="B263" s="11"/>
      <c r="C263" s="11" t="s">
        <v>18</v>
      </c>
      <c r="D263" s="45" t="s">
        <v>16</v>
      </c>
      <c r="E263" s="46"/>
      <c r="F263" s="14" t="s">
        <v>362</v>
      </c>
      <c r="G263" s="13" t="s">
        <v>7063</v>
      </c>
      <c r="H263" s="99" t="str">
        <f t="shared" si="13"/>
        <v>W20D.4</v>
      </c>
      <c r="I263" s="13" t="s">
        <v>17</v>
      </c>
      <c r="J263" s="13"/>
      <c r="K263" s="13"/>
      <c r="L263" s="48"/>
      <c r="M263" s="49" t="str">
        <f t="shared" si="14"/>
        <v>[W20D.4]</v>
      </c>
      <c r="N263" s="12" t="str">
        <f t="shared" si="15"/>
        <v xml:space="preserve"> 쿨링 이재기Z축 (SD112) Stop 명령이 On된 상태에서 기동을 시도했습니다.</v>
      </c>
      <c r="O263" s="49" t="str">
        <f t="shared" si="16"/>
        <v>[W20D.4] 쿨링 이재기Z축 (SD112) Stop 명령이 On된 상태에서 기동을 시도했습니다.</v>
      </c>
    </row>
    <row r="264" spans="1:15" s="49" customFormat="1" ht="14.15" customHeight="1">
      <c r="A264" s="43" t="s">
        <v>2150</v>
      </c>
      <c r="B264" s="11"/>
      <c r="C264" s="11" t="s">
        <v>18</v>
      </c>
      <c r="D264" s="45" t="s">
        <v>16</v>
      </c>
      <c r="E264" s="46"/>
      <c r="F264" s="14" t="s">
        <v>363</v>
      </c>
      <c r="G264" s="13" t="s">
        <v>7064</v>
      </c>
      <c r="H264" s="99" t="str">
        <f t="shared" si="13"/>
        <v>W20D.5</v>
      </c>
      <c r="I264" s="13" t="s">
        <v>17</v>
      </c>
      <c r="J264" s="13"/>
      <c r="K264" s="13"/>
      <c r="L264" s="48"/>
      <c r="M264" s="49" t="str">
        <f t="shared" si="14"/>
        <v>[W20D.5]</v>
      </c>
      <c r="N264" s="12" t="str">
        <f t="shared" si="15"/>
        <v xml:space="preserve"> 쿨링 이재기Z축 (SD112) 가동 전원이 Off 되었습니다.</v>
      </c>
      <c r="O264" s="49" t="str">
        <f t="shared" si="16"/>
        <v>[W20D.5] 쿨링 이재기Z축 (SD112) 가동 전원이 Off 되었습니다.</v>
      </c>
    </row>
    <row r="265" spans="1:15" s="49" customFormat="1" ht="14.15" customHeight="1">
      <c r="A265" s="43" t="s">
        <v>2150</v>
      </c>
      <c r="B265" s="11"/>
      <c r="C265" s="11" t="s">
        <v>18</v>
      </c>
      <c r="D265" s="45" t="s">
        <v>16</v>
      </c>
      <c r="E265" s="46"/>
      <c r="F265" s="14" t="s">
        <v>364</v>
      </c>
      <c r="G265" s="13" t="s">
        <v>7065</v>
      </c>
      <c r="H265" s="99" t="str">
        <f t="shared" si="13"/>
        <v>W20D.6</v>
      </c>
      <c r="I265" s="13" t="s">
        <v>17</v>
      </c>
      <c r="J265" s="13"/>
      <c r="K265" s="13"/>
      <c r="L265" s="48"/>
      <c r="M265" s="49" t="str">
        <f t="shared" si="14"/>
        <v>[W20D.6]</v>
      </c>
      <c r="N265" s="12" t="str">
        <f t="shared" si="15"/>
        <v xml:space="preserve"> 쿨링 이재기Z축 (SD112) 엔코더 이상이 검출되었습니다.</v>
      </c>
      <c r="O265" s="49" t="str">
        <f t="shared" si="16"/>
        <v>[W20D.6] 쿨링 이재기Z축 (SD112) 엔코더 이상이 검출되었습니다.</v>
      </c>
    </row>
    <row r="266" spans="1:15" s="49" customFormat="1" ht="14.15" customHeight="1">
      <c r="A266" s="43" t="s">
        <v>2150</v>
      </c>
      <c r="B266" s="11"/>
      <c r="C266" s="11" t="s">
        <v>18</v>
      </c>
      <c r="D266" s="45" t="s">
        <v>16</v>
      </c>
      <c r="E266" s="46"/>
      <c r="F266" s="14" t="s">
        <v>365</v>
      </c>
      <c r="G266" s="13" t="s">
        <v>7066</v>
      </c>
      <c r="H266" s="99" t="str">
        <f t="shared" si="13"/>
        <v>W20D.7</v>
      </c>
      <c r="I266" s="13" t="s">
        <v>17</v>
      </c>
      <c r="J266" s="13"/>
      <c r="K266" s="13"/>
      <c r="L266" s="48"/>
      <c r="M266" s="49" t="str">
        <f t="shared" si="14"/>
        <v>[W20D.7]</v>
      </c>
      <c r="N266" s="12" t="str">
        <f t="shared" si="15"/>
        <v xml:space="preserve"> 쿨링 이재기Z축 (SD112) 과전류가 검출되었습니다.</v>
      </c>
      <c r="O266" s="49" t="str">
        <f t="shared" si="16"/>
        <v>[W20D.7] 쿨링 이재기Z축 (SD112) 과전류가 검출되었습니다.</v>
      </c>
    </row>
    <row r="267" spans="1:15" s="49" customFormat="1" ht="14.15" customHeight="1">
      <c r="A267" s="43" t="s">
        <v>2150</v>
      </c>
      <c r="B267" s="11"/>
      <c r="C267" s="11" t="s">
        <v>18</v>
      </c>
      <c r="D267" s="45" t="s">
        <v>16</v>
      </c>
      <c r="E267" s="47"/>
      <c r="F267" s="12" t="s">
        <v>366</v>
      </c>
      <c r="G267" s="13" t="s">
        <v>7067</v>
      </c>
      <c r="H267" s="99" t="str">
        <f t="shared" si="13"/>
        <v>W20D.8</v>
      </c>
      <c r="I267" s="13" t="s">
        <v>17</v>
      </c>
      <c r="J267" s="13"/>
      <c r="K267" s="13"/>
      <c r="L267" s="48"/>
      <c r="M267" s="49" t="str">
        <f t="shared" si="14"/>
        <v>[W20D.8]</v>
      </c>
      <c r="N267" s="12" t="str">
        <f t="shared" si="15"/>
        <v xml:space="preserve"> 쿨링 이재기Z축 (SD112) 과부하가 검출되었습니다.</v>
      </c>
      <c r="O267" s="49" t="str">
        <f t="shared" si="16"/>
        <v>[W20D.8] 쿨링 이재기Z축 (SD112) 과부하가 검출되었습니다.</v>
      </c>
    </row>
    <row r="268" spans="1:15" s="49" customFormat="1" ht="14.15" customHeight="1">
      <c r="A268" s="43" t="s">
        <v>2150</v>
      </c>
      <c r="B268" s="11"/>
      <c r="C268" s="11" t="s">
        <v>18</v>
      </c>
      <c r="D268" s="45" t="s">
        <v>16</v>
      </c>
      <c r="E268" s="47"/>
      <c r="F268" s="12" t="s">
        <v>367</v>
      </c>
      <c r="G268" s="13" t="s">
        <v>7068</v>
      </c>
      <c r="H268" s="99" t="str">
        <f t="shared" si="13"/>
        <v>W20D.9</v>
      </c>
      <c r="I268" s="13" t="s">
        <v>17</v>
      </c>
      <c r="J268" s="13"/>
      <c r="K268" s="13"/>
      <c r="L268" s="48"/>
      <c r="M268" s="49" t="str">
        <f t="shared" si="14"/>
        <v>[W20D.9]</v>
      </c>
      <c r="N268" s="12" t="str">
        <f t="shared" si="15"/>
        <v xml:space="preserve"> 쿨링 이재기Z축 (SD112)  </v>
      </c>
      <c r="O268" s="49" t="str">
        <f t="shared" si="16"/>
        <v xml:space="preserve">[W20D.9] 쿨링 이재기Z축 (SD112)  </v>
      </c>
    </row>
    <row r="269" spans="1:15" s="49" customFormat="1" ht="14.15" customHeight="1">
      <c r="A269" s="43" t="s">
        <v>2150</v>
      </c>
      <c r="B269" s="11"/>
      <c r="C269" s="11" t="s">
        <v>18</v>
      </c>
      <c r="D269" s="45" t="s">
        <v>16</v>
      </c>
      <c r="E269" s="47"/>
      <c r="F269" s="12" t="s">
        <v>368</v>
      </c>
      <c r="G269" s="13" t="s">
        <v>7069</v>
      </c>
      <c r="H269" s="99" t="str">
        <f t="shared" si="13"/>
        <v>W20D.A</v>
      </c>
      <c r="I269" s="13" t="s">
        <v>17</v>
      </c>
      <c r="J269" s="13"/>
      <c r="K269" s="13"/>
      <c r="L269" s="48"/>
      <c r="M269" s="49" t="str">
        <f t="shared" si="14"/>
        <v>[W20D.A]</v>
      </c>
      <c r="N269" s="12" t="str">
        <f t="shared" si="15"/>
        <v xml:space="preserve"> 쿨링 이재기Z축 (SD112) 에러가 발생했습니다.</v>
      </c>
      <c r="O269" s="49" t="str">
        <f t="shared" si="16"/>
        <v>[W20D.A] 쿨링 이재기Z축 (SD112) 에러가 발생했습니다.</v>
      </c>
    </row>
    <row r="270" spans="1:15" s="49" customFormat="1" ht="14.15" customHeight="1">
      <c r="A270" s="43" t="s">
        <v>2151</v>
      </c>
      <c r="B270" s="11"/>
      <c r="C270" s="11" t="s">
        <v>18</v>
      </c>
      <c r="D270" s="45" t="s">
        <v>16</v>
      </c>
      <c r="E270" s="47"/>
      <c r="F270" s="12" t="s">
        <v>369</v>
      </c>
      <c r="G270" s="13" t="s">
        <v>7070</v>
      </c>
      <c r="H270" s="99" t="str">
        <f t="shared" si="13"/>
        <v>W20D.B</v>
      </c>
      <c r="I270" s="13" t="s">
        <v>17</v>
      </c>
      <c r="J270" s="13"/>
      <c r="K270" s="13"/>
      <c r="L270" s="48"/>
      <c r="M270" s="49" t="str">
        <f t="shared" si="14"/>
        <v>[W20D.B]</v>
      </c>
      <c r="N270" s="12" t="str">
        <f t="shared" si="15"/>
        <v xml:space="preserve"> 컨베어 언로더 이재기X축 (SD113) 운전중에 Ready가 Off 되었습니다.</v>
      </c>
      <c r="O270" s="49" t="str">
        <f t="shared" si="16"/>
        <v>[W20D.B] 컨베어 언로더 이재기X축 (SD113) 운전중에 Ready가 Off 되었습니다.</v>
      </c>
    </row>
    <row r="271" spans="1:15" s="49" customFormat="1" ht="14.15" customHeight="1">
      <c r="A271" s="43" t="s">
        <v>2151</v>
      </c>
      <c r="B271" s="11"/>
      <c r="C271" s="11" t="s">
        <v>18</v>
      </c>
      <c r="D271" s="45" t="s">
        <v>16</v>
      </c>
      <c r="E271" s="47"/>
      <c r="F271" s="12" t="s">
        <v>370</v>
      </c>
      <c r="G271" s="13" t="s">
        <v>7071</v>
      </c>
      <c r="H271" s="99" t="str">
        <f t="shared" si="13"/>
        <v>W20D.C</v>
      </c>
      <c r="I271" s="13" t="s">
        <v>17</v>
      </c>
      <c r="J271" s="13"/>
      <c r="K271" s="13"/>
      <c r="L271" s="48"/>
      <c r="M271" s="49" t="str">
        <f t="shared" si="14"/>
        <v>[W20D.C]</v>
      </c>
      <c r="N271" s="12" t="str">
        <f t="shared" si="15"/>
        <v xml:space="preserve"> 컨베어 언로더 이재기X축 (SD113) FLS가 감지되었습니다.</v>
      </c>
      <c r="O271" s="49" t="str">
        <f t="shared" si="16"/>
        <v>[W20D.C] 컨베어 언로더 이재기X축 (SD113) FLS가 감지되었습니다.</v>
      </c>
    </row>
    <row r="272" spans="1:15" s="49" customFormat="1" ht="14.15" customHeight="1">
      <c r="A272" s="43" t="s">
        <v>2151</v>
      </c>
      <c r="B272" s="11"/>
      <c r="C272" s="11" t="s">
        <v>18</v>
      </c>
      <c r="D272" s="45" t="s">
        <v>16</v>
      </c>
      <c r="E272" s="47"/>
      <c r="F272" s="12" t="s">
        <v>371</v>
      </c>
      <c r="G272" s="13" t="s">
        <v>7072</v>
      </c>
      <c r="H272" s="99" t="str">
        <f t="shared" si="13"/>
        <v>W20D.D</v>
      </c>
      <c r="I272" s="13" t="s">
        <v>17</v>
      </c>
      <c r="J272" s="13"/>
      <c r="K272" s="13"/>
      <c r="L272" s="48"/>
      <c r="M272" s="49" t="str">
        <f t="shared" si="14"/>
        <v>[W20D.D]</v>
      </c>
      <c r="N272" s="12" t="str">
        <f t="shared" si="15"/>
        <v xml:space="preserve"> 컨베어 언로더 이재기X축 (SD113) RLS가 감지되었습니다.</v>
      </c>
      <c r="O272" s="49" t="str">
        <f t="shared" si="16"/>
        <v>[W20D.D] 컨베어 언로더 이재기X축 (SD113) RLS가 감지되었습니다.</v>
      </c>
    </row>
    <row r="273" spans="1:15" s="49" customFormat="1" ht="14.15" customHeight="1">
      <c r="A273" s="43" t="s">
        <v>2151</v>
      </c>
      <c r="B273" s="11"/>
      <c r="C273" s="11" t="s">
        <v>18</v>
      </c>
      <c r="D273" s="45" t="s">
        <v>16</v>
      </c>
      <c r="E273" s="47"/>
      <c r="F273" s="12" t="s">
        <v>372</v>
      </c>
      <c r="G273" s="13" t="s">
        <v>7073</v>
      </c>
      <c r="H273" s="99" t="str">
        <f t="shared" si="13"/>
        <v>W20D.E</v>
      </c>
      <c r="I273" s="13" t="s">
        <v>17</v>
      </c>
      <c r="J273" s="13"/>
      <c r="K273" s="13"/>
      <c r="L273" s="48"/>
      <c r="M273" s="49" t="str">
        <f t="shared" si="14"/>
        <v>[W20D.E]</v>
      </c>
      <c r="N273" s="12" t="str">
        <f t="shared" si="15"/>
        <v xml:space="preserve"> 컨베어 언로더 이재기X축 (SD113) Stop 명령이 On된 상태에서 기동을 시도했습니다.</v>
      </c>
      <c r="O273" s="49" t="str">
        <f t="shared" si="16"/>
        <v>[W20D.E] 컨베어 언로더 이재기X축 (SD113) Stop 명령이 On된 상태에서 기동을 시도했습니다.</v>
      </c>
    </row>
    <row r="274" spans="1:15" s="49" customFormat="1" ht="14.15" customHeight="1">
      <c r="A274" s="43" t="s">
        <v>2151</v>
      </c>
      <c r="B274" s="11"/>
      <c r="C274" s="11" t="s">
        <v>18</v>
      </c>
      <c r="D274" s="45" t="s">
        <v>16</v>
      </c>
      <c r="E274" s="47"/>
      <c r="F274" s="12" t="s">
        <v>373</v>
      </c>
      <c r="G274" s="13" t="s">
        <v>7074</v>
      </c>
      <c r="H274" s="99" t="str">
        <f t="shared" si="13"/>
        <v>W20D.F</v>
      </c>
      <c r="I274" s="13" t="s">
        <v>17</v>
      </c>
      <c r="J274" s="13"/>
      <c r="K274" s="13"/>
      <c r="L274" s="48"/>
      <c r="M274" s="49" t="str">
        <f t="shared" si="14"/>
        <v>[W20D.F]</v>
      </c>
      <c r="N274" s="12" t="str">
        <f t="shared" si="15"/>
        <v xml:space="preserve"> 컨베어 언로더 이재기X축 (SD113) 가동 전원이 Off 되었습니다.</v>
      </c>
      <c r="O274" s="49" t="str">
        <f t="shared" si="16"/>
        <v>[W20D.F] 컨베어 언로더 이재기X축 (SD113) 가동 전원이 Off 되었습니다.</v>
      </c>
    </row>
    <row r="275" spans="1:15" s="49" customFormat="1" ht="14.15" customHeight="1">
      <c r="A275" s="43" t="s">
        <v>2151</v>
      </c>
      <c r="B275" s="11"/>
      <c r="C275" s="11" t="s">
        <v>18</v>
      </c>
      <c r="D275" s="45" t="s">
        <v>16</v>
      </c>
      <c r="E275" s="47"/>
      <c r="F275" s="12" t="s">
        <v>374</v>
      </c>
      <c r="G275" s="13" t="s">
        <v>7075</v>
      </c>
      <c r="H275" s="99" t="str">
        <f t="shared" si="13"/>
        <v>W20E.0</v>
      </c>
      <c r="I275" s="13" t="s">
        <v>17</v>
      </c>
      <c r="J275" s="13"/>
      <c r="K275" s="13"/>
      <c r="L275" s="48"/>
      <c r="M275" s="49" t="str">
        <f t="shared" si="14"/>
        <v>[W20E.0]</v>
      </c>
      <c r="N275" s="12" t="str">
        <f t="shared" si="15"/>
        <v xml:space="preserve"> 컨베어 언로더 이재기X축 (SD113) 엔코더 이상이 검출되었습니다.</v>
      </c>
      <c r="O275" s="49" t="str">
        <f t="shared" si="16"/>
        <v>[W20E.0] 컨베어 언로더 이재기X축 (SD113) 엔코더 이상이 검출되었습니다.</v>
      </c>
    </row>
    <row r="276" spans="1:15" s="49" customFormat="1" ht="14.15" customHeight="1">
      <c r="A276" s="43" t="s">
        <v>2151</v>
      </c>
      <c r="B276" s="11"/>
      <c r="C276" s="11" t="s">
        <v>18</v>
      </c>
      <c r="D276" s="45" t="s">
        <v>16</v>
      </c>
      <c r="E276" s="47"/>
      <c r="F276" s="12" t="s">
        <v>375</v>
      </c>
      <c r="G276" s="13" t="s">
        <v>7076</v>
      </c>
      <c r="H276" s="99" t="str">
        <f t="shared" si="13"/>
        <v>W20E.1</v>
      </c>
      <c r="I276" s="13" t="s">
        <v>17</v>
      </c>
      <c r="J276" s="13"/>
      <c r="K276" s="13"/>
      <c r="L276" s="48"/>
      <c r="M276" s="49" t="str">
        <f t="shared" si="14"/>
        <v>[W20E.1]</v>
      </c>
      <c r="N276" s="12" t="str">
        <f t="shared" si="15"/>
        <v xml:space="preserve"> 컨베어 언로더 이재기X축 (SD113) 과전류가 검출되었습니다.</v>
      </c>
      <c r="O276" s="49" t="str">
        <f t="shared" si="16"/>
        <v>[W20E.1] 컨베어 언로더 이재기X축 (SD113) 과전류가 검출되었습니다.</v>
      </c>
    </row>
    <row r="277" spans="1:15" s="49" customFormat="1" ht="14.15" customHeight="1">
      <c r="A277" s="43" t="s">
        <v>2151</v>
      </c>
      <c r="B277" s="11"/>
      <c r="C277" s="11" t="s">
        <v>18</v>
      </c>
      <c r="D277" s="45" t="s">
        <v>16</v>
      </c>
      <c r="E277" s="47"/>
      <c r="F277" s="12" t="s">
        <v>376</v>
      </c>
      <c r="G277" s="13" t="s">
        <v>7077</v>
      </c>
      <c r="H277" s="99" t="str">
        <f t="shared" si="13"/>
        <v>W20E.2</v>
      </c>
      <c r="I277" s="13" t="s">
        <v>17</v>
      </c>
      <c r="J277" s="13"/>
      <c r="K277" s="13"/>
      <c r="L277" s="48"/>
      <c r="M277" s="49" t="str">
        <f t="shared" si="14"/>
        <v>[W20E.2]</v>
      </c>
      <c r="N277" s="12" t="str">
        <f t="shared" si="15"/>
        <v xml:space="preserve"> 컨베어 언로더 이재기X축 (SD113) 과부하가 검출되었습니다.</v>
      </c>
      <c r="O277" s="49" t="str">
        <f t="shared" si="16"/>
        <v>[W20E.2] 컨베어 언로더 이재기X축 (SD113) 과부하가 검출되었습니다.</v>
      </c>
    </row>
    <row r="278" spans="1:15" s="49" customFormat="1" ht="14.15" customHeight="1">
      <c r="A278" s="43" t="s">
        <v>2151</v>
      </c>
      <c r="B278" s="11"/>
      <c r="C278" s="11" t="s">
        <v>18</v>
      </c>
      <c r="D278" s="45" t="s">
        <v>16</v>
      </c>
      <c r="E278" s="47"/>
      <c r="F278" s="12" t="s">
        <v>377</v>
      </c>
      <c r="G278" s="13" t="s">
        <v>7078</v>
      </c>
      <c r="H278" s="99" t="str">
        <f t="shared" si="13"/>
        <v>W20E.3</v>
      </c>
      <c r="I278" s="13" t="s">
        <v>17</v>
      </c>
      <c r="J278" s="13"/>
      <c r="K278" s="13"/>
      <c r="L278" s="48"/>
      <c r="M278" s="49" t="str">
        <f t="shared" si="14"/>
        <v>[W20E.3]</v>
      </c>
      <c r="N278" s="12" t="str">
        <f t="shared" si="15"/>
        <v xml:space="preserve"> 컨베어 언로더 이재기X축 (SD113)  </v>
      </c>
      <c r="O278" s="49" t="str">
        <f t="shared" si="16"/>
        <v xml:space="preserve">[W20E.3] 컨베어 언로더 이재기X축 (SD113)  </v>
      </c>
    </row>
    <row r="279" spans="1:15" s="49" customFormat="1" ht="14.15" customHeight="1">
      <c r="A279" s="43" t="s">
        <v>2151</v>
      </c>
      <c r="B279" s="11"/>
      <c r="C279" s="11" t="s">
        <v>18</v>
      </c>
      <c r="D279" s="45" t="s">
        <v>16</v>
      </c>
      <c r="E279" s="47"/>
      <c r="F279" s="12" t="s">
        <v>378</v>
      </c>
      <c r="G279" s="13" t="s">
        <v>7079</v>
      </c>
      <c r="H279" s="99" t="str">
        <f t="shared" si="13"/>
        <v>W20E.4</v>
      </c>
      <c r="I279" s="13" t="s">
        <v>17</v>
      </c>
      <c r="J279" s="13"/>
      <c r="K279" s="13"/>
      <c r="L279" s="48"/>
      <c r="M279" s="49" t="str">
        <f t="shared" si="14"/>
        <v>[W20E.4]</v>
      </c>
      <c r="N279" s="12" t="str">
        <f t="shared" si="15"/>
        <v xml:space="preserve"> 컨베어 언로더 이재기X축 (SD113) 에러가 발생했습니다.</v>
      </c>
      <c r="O279" s="49" t="str">
        <f t="shared" si="16"/>
        <v>[W20E.4] 컨베어 언로더 이재기X축 (SD113) 에러가 발생했습니다.</v>
      </c>
    </row>
    <row r="280" spans="1:15" s="49" customFormat="1" ht="14.15" customHeight="1">
      <c r="A280" s="43" t="s">
        <v>2151</v>
      </c>
      <c r="B280" s="11"/>
      <c r="C280" s="11" t="s">
        <v>18</v>
      </c>
      <c r="D280" s="45" t="s">
        <v>16</v>
      </c>
      <c r="E280" s="47"/>
      <c r="F280" s="12" t="s">
        <v>379</v>
      </c>
      <c r="G280" s="13" t="s">
        <v>7080</v>
      </c>
      <c r="H280" s="99" t="str">
        <f t="shared" si="13"/>
        <v>W20E.5</v>
      </c>
      <c r="I280" s="13" t="s">
        <v>17</v>
      </c>
      <c r="J280" s="13"/>
      <c r="K280" s="13"/>
      <c r="L280" s="48"/>
      <c r="M280" s="49" t="str">
        <f t="shared" si="14"/>
        <v>[W20E.5]</v>
      </c>
      <c r="N280" s="12" t="str">
        <f t="shared" si="15"/>
        <v xml:space="preserve"> 컨베어 언로더 이재기Z축 (SD114) 운전중에 Ready가 Off 되었습니다.</v>
      </c>
      <c r="O280" s="49" t="str">
        <f t="shared" si="16"/>
        <v>[W20E.5] 컨베어 언로더 이재기Z축 (SD114) 운전중에 Ready가 Off 되었습니다.</v>
      </c>
    </row>
    <row r="281" spans="1:15" s="49" customFormat="1" ht="14.15" customHeight="1">
      <c r="A281" s="43" t="s">
        <v>2151</v>
      </c>
      <c r="B281" s="11"/>
      <c r="C281" s="11" t="s">
        <v>18</v>
      </c>
      <c r="D281" s="45" t="s">
        <v>16</v>
      </c>
      <c r="E281" s="47"/>
      <c r="F281" s="12" t="s">
        <v>380</v>
      </c>
      <c r="G281" s="13" t="s">
        <v>7081</v>
      </c>
      <c r="H281" s="99" t="str">
        <f t="shared" si="13"/>
        <v>W20E.6</v>
      </c>
      <c r="I281" s="13" t="s">
        <v>17</v>
      </c>
      <c r="J281" s="13"/>
      <c r="K281" s="13"/>
      <c r="L281" s="48"/>
      <c r="M281" s="49" t="str">
        <f t="shared" si="14"/>
        <v>[W20E.6]</v>
      </c>
      <c r="N281" s="12" t="str">
        <f t="shared" si="15"/>
        <v xml:space="preserve"> 컨베어 언로더 이재기Z축 (SD114) FLS가 감지되었습니다.</v>
      </c>
      <c r="O281" s="49" t="str">
        <f t="shared" si="16"/>
        <v>[W20E.6] 컨베어 언로더 이재기Z축 (SD114) FLS가 감지되었습니다.</v>
      </c>
    </row>
    <row r="282" spans="1:15" s="49" customFormat="1" ht="14.15" customHeight="1">
      <c r="A282" s="43" t="s">
        <v>2151</v>
      </c>
      <c r="B282" s="11"/>
      <c r="C282" s="11" t="s">
        <v>18</v>
      </c>
      <c r="D282" s="45" t="s">
        <v>16</v>
      </c>
      <c r="E282" s="47"/>
      <c r="F282" s="12" t="s">
        <v>381</v>
      </c>
      <c r="G282" s="13" t="s">
        <v>7082</v>
      </c>
      <c r="H282" s="99" t="str">
        <f t="shared" si="13"/>
        <v>W20E.7</v>
      </c>
      <c r="I282" s="13" t="s">
        <v>17</v>
      </c>
      <c r="J282" s="13"/>
      <c r="K282" s="13"/>
      <c r="L282" s="48"/>
      <c r="M282" s="49" t="str">
        <f t="shared" si="14"/>
        <v>[W20E.7]</v>
      </c>
      <c r="N282" s="12" t="str">
        <f t="shared" si="15"/>
        <v xml:space="preserve"> 컨베어 언로더 이재기Z축 (SD114) RLS가 감지되었습니다.</v>
      </c>
      <c r="O282" s="49" t="str">
        <f t="shared" si="16"/>
        <v>[W20E.7] 컨베어 언로더 이재기Z축 (SD114) RLS가 감지되었습니다.</v>
      </c>
    </row>
    <row r="283" spans="1:15" s="49" customFormat="1" ht="14.15" customHeight="1">
      <c r="A283" s="43" t="s">
        <v>2151</v>
      </c>
      <c r="B283" s="11"/>
      <c r="C283" s="11" t="s">
        <v>18</v>
      </c>
      <c r="D283" s="45" t="s">
        <v>16</v>
      </c>
      <c r="E283" s="46"/>
      <c r="F283" s="14" t="s">
        <v>382</v>
      </c>
      <c r="G283" s="13" t="s">
        <v>7083</v>
      </c>
      <c r="H283" s="99" t="str">
        <f t="shared" si="13"/>
        <v>W20E.8</v>
      </c>
      <c r="I283" s="13" t="s">
        <v>17</v>
      </c>
      <c r="J283" s="13"/>
      <c r="K283" s="13"/>
      <c r="L283" s="48"/>
      <c r="M283" s="49" t="str">
        <f t="shared" si="14"/>
        <v>[W20E.8]</v>
      </c>
      <c r="N283" s="12" t="str">
        <f t="shared" si="15"/>
        <v xml:space="preserve"> 컨베어 언로더 이재기Z축 (SD114) Stop 명령이 On된 상태에서 기동을 시도했습니다.</v>
      </c>
      <c r="O283" s="49" t="str">
        <f t="shared" si="16"/>
        <v>[W20E.8] 컨베어 언로더 이재기Z축 (SD114) Stop 명령이 On된 상태에서 기동을 시도했습니다.</v>
      </c>
    </row>
    <row r="284" spans="1:15" s="49" customFormat="1" ht="14.15" customHeight="1">
      <c r="A284" s="43" t="s">
        <v>2151</v>
      </c>
      <c r="B284" s="11"/>
      <c r="C284" s="11" t="s">
        <v>18</v>
      </c>
      <c r="D284" s="45" t="s">
        <v>16</v>
      </c>
      <c r="E284" s="46"/>
      <c r="F284" s="14" t="s">
        <v>383</v>
      </c>
      <c r="G284" s="13" t="s">
        <v>7084</v>
      </c>
      <c r="H284" s="99" t="str">
        <f t="shared" si="13"/>
        <v>W20E.9</v>
      </c>
      <c r="I284" s="13" t="s">
        <v>17</v>
      </c>
      <c r="J284" s="13"/>
      <c r="K284" s="13"/>
      <c r="L284" s="48"/>
      <c r="M284" s="49" t="str">
        <f t="shared" si="14"/>
        <v>[W20E.9]</v>
      </c>
      <c r="N284" s="12" t="str">
        <f t="shared" si="15"/>
        <v xml:space="preserve"> 컨베어 언로더 이재기Z축 (SD114) 가동 전원이 Off 되었습니다.</v>
      </c>
      <c r="O284" s="49" t="str">
        <f t="shared" si="16"/>
        <v>[W20E.9] 컨베어 언로더 이재기Z축 (SD114) 가동 전원이 Off 되었습니다.</v>
      </c>
    </row>
    <row r="285" spans="1:15" s="49" customFormat="1" ht="14.15" customHeight="1">
      <c r="A285" s="43" t="s">
        <v>2151</v>
      </c>
      <c r="B285" s="11"/>
      <c r="C285" s="11" t="s">
        <v>18</v>
      </c>
      <c r="D285" s="45" t="s">
        <v>16</v>
      </c>
      <c r="E285" s="46"/>
      <c r="F285" s="14" t="s">
        <v>384</v>
      </c>
      <c r="G285" s="13" t="s">
        <v>7085</v>
      </c>
      <c r="H285" s="99" t="str">
        <f t="shared" si="13"/>
        <v>W20E.A</v>
      </c>
      <c r="I285" s="13" t="s">
        <v>17</v>
      </c>
      <c r="J285" s="13"/>
      <c r="K285" s="13"/>
      <c r="L285" s="48"/>
      <c r="M285" s="49" t="str">
        <f t="shared" si="14"/>
        <v>[W20E.A]</v>
      </c>
      <c r="N285" s="12" t="str">
        <f t="shared" si="15"/>
        <v xml:space="preserve"> 컨베어 언로더 이재기Z축 (SD114) 엔코더 이상이 검출되었습니다.</v>
      </c>
      <c r="O285" s="49" t="str">
        <f t="shared" si="16"/>
        <v>[W20E.A] 컨베어 언로더 이재기Z축 (SD114) 엔코더 이상이 검출되었습니다.</v>
      </c>
    </row>
    <row r="286" spans="1:15" s="49" customFormat="1" ht="14.15" customHeight="1">
      <c r="A286" s="43" t="s">
        <v>2151</v>
      </c>
      <c r="B286" s="11"/>
      <c r="C286" s="11" t="s">
        <v>18</v>
      </c>
      <c r="D286" s="45" t="s">
        <v>16</v>
      </c>
      <c r="E286" s="46"/>
      <c r="F286" s="14" t="s">
        <v>385</v>
      </c>
      <c r="G286" s="13" t="s">
        <v>7086</v>
      </c>
      <c r="H286" s="99" t="str">
        <f t="shared" si="13"/>
        <v>W20E.B</v>
      </c>
      <c r="I286" s="13" t="s">
        <v>17</v>
      </c>
      <c r="J286" s="13"/>
      <c r="K286" s="13"/>
      <c r="L286" s="48"/>
      <c r="M286" s="49" t="str">
        <f t="shared" si="14"/>
        <v>[W20E.B]</v>
      </c>
      <c r="N286" s="12" t="str">
        <f t="shared" si="15"/>
        <v xml:space="preserve"> 컨베어 언로더 이재기Z축 (SD114) 과전류가 검출되었습니다.</v>
      </c>
      <c r="O286" s="49" t="str">
        <f t="shared" si="16"/>
        <v>[W20E.B] 컨베어 언로더 이재기Z축 (SD114) 과전류가 검출되었습니다.</v>
      </c>
    </row>
    <row r="287" spans="1:15" s="49" customFormat="1" ht="14.15" customHeight="1">
      <c r="A287" s="43" t="s">
        <v>2151</v>
      </c>
      <c r="B287" s="11"/>
      <c r="C287" s="11" t="s">
        <v>18</v>
      </c>
      <c r="D287" s="45" t="s">
        <v>16</v>
      </c>
      <c r="E287" s="46"/>
      <c r="F287" s="14" t="s">
        <v>386</v>
      </c>
      <c r="G287" s="13" t="s">
        <v>7087</v>
      </c>
      <c r="H287" s="99" t="str">
        <f t="shared" si="13"/>
        <v>W20E.C</v>
      </c>
      <c r="I287" s="13" t="s">
        <v>17</v>
      </c>
      <c r="J287" s="13"/>
      <c r="K287" s="13"/>
      <c r="L287" s="48"/>
      <c r="M287" s="49" t="str">
        <f t="shared" si="14"/>
        <v>[W20E.C]</v>
      </c>
      <c r="N287" s="12" t="str">
        <f t="shared" si="15"/>
        <v xml:space="preserve"> 컨베어 언로더 이재기Z축 (SD114) 과부하가 검출되었습니다.</v>
      </c>
      <c r="O287" s="49" t="str">
        <f t="shared" si="16"/>
        <v>[W20E.C] 컨베어 언로더 이재기Z축 (SD114) 과부하가 검출되었습니다.</v>
      </c>
    </row>
    <row r="288" spans="1:15" s="49" customFormat="1" ht="14.15" customHeight="1">
      <c r="A288" s="43" t="s">
        <v>2151</v>
      </c>
      <c r="B288" s="11"/>
      <c r="C288" s="11" t="s">
        <v>18</v>
      </c>
      <c r="D288" s="45" t="s">
        <v>16</v>
      </c>
      <c r="E288" s="47"/>
      <c r="F288" s="12" t="s">
        <v>387</v>
      </c>
      <c r="G288" s="13" t="s">
        <v>7088</v>
      </c>
      <c r="H288" s="99" t="str">
        <f t="shared" si="13"/>
        <v>W20E.D</v>
      </c>
      <c r="I288" s="13" t="s">
        <v>17</v>
      </c>
      <c r="J288" s="13"/>
      <c r="K288" s="13"/>
      <c r="L288" s="48"/>
      <c r="M288" s="49" t="str">
        <f t="shared" si="14"/>
        <v>[W20E.D]</v>
      </c>
      <c r="N288" s="12" t="str">
        <f t="shared" si="15"/>
        <v xml:space="preserve"> 컨베어 언로더 이재기Z축 (SD114)  </v>
      </c>
      <c r="O288" s="49" t="str">
        <f t="shared" si="16"/>
        <v xml:space="preserve">[W20E.D] 컨베어 언로더 이재기Z축 (SD114)  </v>
      </c>
    </row>
    <row r="289" spans="1:15" s="49" customFormat="1" ht="14.15" customHeight="1">
      <c r="A289" s="43" t="s">
        <v>2151</v>
      </c>
      <c r="B289" s="11"/>
      <c r="C289" s="11" t="s">
        <v>18</v>
      </c>
      <c r="D289" s="45" t="s">
        <v>16</v>
      </c>
      <c r="E289" s="46"/>
      <c r="F289" s="14" t="s">
        <v>388</v>
      </c>
      <c r="G289" s="13" t="s">
        <v>7089</v>
      </c>
      <c r="H289" s="99" t="str">
        <f t="shared" si="13"/>
        <v>W20E.E</v>
      </c>
      <c r="I289" s="13" t="s">
        <v>17</v>
      </c>
      <c r="J289" s="13"/>
      <c r="K289" s="13"/>
      <c r="L289" s="48"/>
      <c r="M289" s="49" t="str">
        <f t="shared" si="14"/>
        <v>[W20E.E]</v>
      </c>
      <c r="N289" s="12" t="str">
        <f t="shared" si="15"/>
        <v xml:space="preserve"> 컨베어 언로더 이재기Z축 (SD114) 에러가 발생했습니다.</v>
      </c>
      <c r="O289" s="49" t="str">
        <f t="shared" si="16"/>
        <v>[W20E.E] 컨베어 언로더 이재기Z축 (SD114) 에러가 발생했습니다.</v>
      </c>
    </row>
    <row r="290" spans="1:15" s="49" customFormat="1" ht="14.15" customHeight="1">
      <c r="A290" s="43" t="s">
        <v>2149</v>
      </c>
      <c r="B290" s="11"/>
      <c r="C290" s="11" t="s">
        <v>18</v>
      </c>
      <c r="D290" s="45" t="s">
        <v>16</v>
      </c>
      <c r="E290" s="46"/>
      <c r="F290" s="14" t="s">
        <v>389</v>
      </c>
      <c r="G290" s="13" t="s">
        <v>7090</v>
      </c>
      <c r="H290" s="99" t="str">
        <f t="shared" si="13"/>
        <v>W20E.F</v>
      </c>
      <c r="I290" s="13" t="s">
        <v>17</v>
      </c>
      <c r="J290" s="13"/>
      <c r="K290" s="13"/>
      <c r="L290" s="48"/>
      <c r="M290" s="49" t="str">
        <f t="shared" si="14"/>
        <v>[W20E.F]</v>
      </c>
      <c r="N290" s="12" t="str">
        <f t="shared" si="15"/>
        <v xml:space="preserve"> 슬레이트 컨베어 (SD139) 운전중에 Ready가 Off 되었습니다.</v>
      </c>
      <c r="O290" s="49" t="str">
        <f t="shared" si="16"/>
        <v>[W20E.F] 슬레이트 컨베어 (SD139) 운전중에 Ready가 Off 되었습니다.</v>
      </c>
    </row>
    <row r="291" spans="1:15" s="49" customFormat="1" ht="14.15" customHeight="1">
      <c r="A291" s="43" t="s">
        <v>2149</v>
      </c>
      <c r="B291" s="11"/>
      <c r="C291" s="11" t="s">
        <v>18</v>
      </c>
      <c r="D291" s="45" t="s">
        <v>16</v>
      </c>
      <c r="E291" s="46"/>
      <c r="F291" s="14" t="s">
        <v>390</v>
      </c>
      <c r="G291" s="13" t="s">
        <v>7091</v>
      </c>
      <c r="H291" s="99" t="str">
        <f t="shared" si="13"/>
        <v>W20F.0</v>
      </c>
      <c r="I291" s="13" t="s">
        <v>17</v>
      </c>
      <c r="J291" s="13"/>
      <c r="K291" s="13"/>
      <c r="L291" s="48"/>
      <c r="M291" s="49" t="str">
        <f t="shared" si="14"/>
        <v>[W20F.0]</v>
      </c>
      <c r="N291" s="12" t="str">
        <f t="shared" si="15"/>
        <v xml:space="preserve"> 슬레이트 컨베어 (SD139) FLS가 감지되었습니다.</v>
      </c>
      <c r="O291" s="49" t="str">
        <f t="shared" si="16"/>
        <v>[W20F.0] 슬레이트 컨베어 (SD139) FLS가 감지되었습니다.</v>
      </c>
    </row>
    <row r="292" spans="1:15" s="49" customFormat="1" ht="14.15" customHeight="1">
      <c r="A292" s="43" t="s">
        <v>2149</v>
      </c>
      <c r="B292" s="11"/>
      <c r="C292" s="11" t="s">
        <v>18</v>
      </c>
      <c r="D292" s="45" t="s">
        <v>16</v>
      </c>
      <c r="E292" s="46"/>
      <c r="F292" s="14" t="s">
        <v>391</v>
      </c>
      <c r="G292" s="13" t="s">
        <v>7092</v>
      </c>
      <c r="H292" s="99" t="str">
        <f t="shared" si="13"/>
        <v>W20F.1</v>
      </c>
      <c r="I292" s="13" t="s">
        <v>17</v>
      </c>
      <c r="J292" s="13"/>
      <c r="K292" s="13"/>
      <c r="L292" s="48"/>
      <c r="M292" s="49" t="str">
        <f t="shared" si="14"/>
        <v>[W20F.1]</v>
      </c>
      <c r="N292" s="12" t="str">
        <f t="shared" si="15"/>
        <v xml:space="preserve"> 슬레이트 컨베어 (SD139) RLS가 감지되었습니다.</v>
      </c>
      <c r="O292" s="49" t="str">
        <f t="shared" si="16"/>
        <v>[W20F.1] 슬레이트 컨베어 (SD139) RLS가 감지되었습니다.</v>
      </c>
    </row>
    <row r="293" spans="1:15" s="49" customFormat="1" ht="14.15" customHeight="1">
      <c r="A293" s="43" t="s">
        <v>2149</v>
      </c>
      <c r="B293" s="11"/>
      <c r="C293" s="11" t="s">
        <v>18</v>
      </c>
      <c r="D293" s="45" t="s">
        <v>16</v>
      </c>
      <c r="E293" s="46"/>
      <c r="F293" s="14" t="s">
        <v>392</v>
      </c>
      <c r="G293" s="13" t="s">
        <v>7093</v>
      </c>
      <c r="H293" s="99" t="str">
        <f t="shared" si="13"/>
        <v>W20F.2</v>
      </c>
      <c r="I293" s="13" t="s">
        <v>17</v>
      </c>
      <c r="J293" s="13"/>
      <c r="K293" s="13"/>
      <c r="L293" s="48"/>
      <c r="M293" s="49" t="str">
        <f t="shared" si="14"/>
        <v>[W20F.2]</v>
      </c>
      <c r="N293" s="12" t="str">
        <f t="shared" si="15"/>
        <v xml:space="preserve"> 슬레이트 컨베어 (SD139) Stop 명령이 On된 상태에서 기동을 시도했습니다.</v>
      </c>
      <c r="O293" s="49" t="str">
        <f t="shared" si="16"/>
        <v>[W20F.2] 슬레이트 컨베어 (SD139) Stop 명령이 On된 상태에서 기동을 시도했습니다.</v>
      </c>
    </row>
    <row r="294" spans="1:15" s="49" customFormat="1" ht="14.15" customHeight="1">
      <c r="A294" s="43" t="s">
        <v>2149</v>
      </c>
      <c r="B294" s="11"/>
      <c r="C294" s="11" t="s">
        <v>18</v>
      </c>
      <c r="D294" s="45" t="s">
        <v>16</v>
      </c>
      <c r="E294" s="46"/>
      <c r="F294" s="14" t="s">
        <v>393</v>
      </c>
      <c r="G294" s="13" t="s">
        <v>7094</v>
      </c>
      <c r="H294" s="99" t="str">
        <f t="shared" si="13"/>
        <v>W20F.3</v>
      </c>
      <c r="I294" s="13" t="s">
        <v>17</v>
      </c>
      <c r="J294" s="13"/>
      <c r="K294" s="13"/>
      <c r="L294" s="48"/>
      <c r="M294" s="49" t="str">
        <f t="shared" si="14"/>
        <v>[W20F.3]</v>
      </c>
      <c r="N294" s="12" t="str">
        <f t="shared" si="15"/>
        <v xml:space="preserve"> 슬레이트 컨베어 (SD139) 가동 전원이 Off 되었습니다.</v>
      </c>
      <c r="O294" s="49" t="str">
        <f t="shared" si="16"/>
        <v>[W20F.3] 슬레이트 컨베어 (SD139) 가동 전원이 Off 되었습니다.</v>
      </c>
    </row>
    <row r="295" spans="1:15" s="49" customFormat="1" ht="14.15" customHeight="1">
      <c r="A295" s="43" t="s">
        <v>2149</v>
      </c>
      <c r="B295" s="11"/>
      <c r="C295" s="11" t="s">
        <v>18</v>
      </c>
      <c r="D295" s="45" t="s">
        <v>16</v>
      </c>
      <c r="E295" s="46"/>
      <c r="F295" s="14" t="s">
        <v>394</v>
      </c>
      <c r="G295" s="13" t="s">
        <v>7095</v>
      </c>
      <c r="H295" s="99" t="str">
        <f t="shared" si="13"/>
        <v>W20F.4</v>
      </c>
      <c r="I295" s="13" t="s">
        <v>17</v>
      </c>
      <c r="J295" s="13"/>
      <c r="K295" s="13"/>
      <c r="L295" s="48"/>
      <c r="M295" s="49" t="str">
        <f t="shared" si="14"/>
        <v>[W20F.4]</v>
      </c>
      <c r="N295" s="12" t="str">
        <f t="shared" si="15"/>
        <v xml:space="preserve"> 슬레이트 컨베어 (SD139) 엔코더 이상이 검출되었습니다.</v>
      </c>
      <c r="O295" s="49" t="str">
        <f t="shared" si="16"/>
        <v>[W20F.4] 슬레이트 컨베어 (SD139) 엔코더 이상이 검출되었습니다.</v>
      </c>
    </row>
    <row r="296" spans="1:15" s="49" customFormat="1" ht="14.15" customHeight="1">
      <c r="A296" s="43" t="s">
        <v>2149</v>
      </c>
      <c r="B296" s="11"/>
      <c r="C296" s="11" t="s">
        <v>18</v>
      </c>
      <c r="D296" s="45" t="s">
        <v>16</v>
      </c>
      <c r="E296" s="46"/>
      <c r="F296" s="14" t="s">
        <v>395</v>
      </c>
      <c r="G296" s="13" t="s">
        <v>7096</v>
      </c>
      <c r="H296" s="99" t="str">
        <f t="shared" si="13"/>
        <v>W20F.5</v>
      </c>
      <c r="I296" s="13" t="s">
        <v>17</v>
      </c>
      <c r="J296" s="13"/>
      <c r="K296" s="13"/>
      <c r="L296" s="48"/>
      <c r="M296" s="49" t="str">
        <f t="shared" si="14"/>
        <v>[W20F.5]</v>
      </c>
      <c r="N296" s="12" t="str">
        <f t="shared" si="15"/>
        <v xml:space="preserve"> 슬레이트 컨베어 (SD139) 과전류가 검출되었습니다.</v>
      </c>
      <c r="O296" s="49" t="str">
        <f t="shared" si="16"/>
        <v>[W20F.5] 슬레이트 컨베어 (SD139) 과전류가 검출되었습니다.</v>
      </c>
    </row>
    <row r="297" spans="1:15" s="49" customFormat="1" ht="14.15" customHeight="1">
      <c r="A297" s="43" t="s">
        <v>2149</v>
      </c>
      <c r="B297" s="11"/>
      <c r="C297" s="11" t="s">
        <v>18</v>
      </c>
      <c r="D297" s="45" t="s">
        <v>16</v>
      </c>
      <c r="E297" s="46"/>
      <c r="F297" s="14" t="s">
        <v>396</v>
      </c>
      <c r="G297" s="13" t="s">
        <v>7097</v>
      </c>
      <c r="H297" s="99" t="str">
        <f t="shared" si="13"/>
        <v>W20F.6</v>
      </c>
      <c r="I297" s="13" t="s">
        <v>17</v>
      </c>
      <c r="J297" s="13"/>
      <c r="K297" s="13"/>
      <c r="L297" s="48"/>
      <c r="M297" s="49" t="str">
        <f t="shared" si="14"/>
        <v>[W20F.6]</v>
      </c>
      <c r="N297" s="12" t="str">
        <f t="shared" si="15"/>
        <v xml:space="preserve"> 슬레이트 컨베어 (SD139) 과부하가 검출되었습니다.</v>
      </c>
      <c r="O297" s="49" t="str">
        <f t="shared" si="16"/>
        <v>[W20F.6] 슬레이트 컨베어 (SD139) 과부하가 검출되었습니다.</v>
      </c>
    </row>
    <row r="298" spans="1:15" s="49" customFormat="1" ht="14.15" customHeight="1">
      <c r="A298" s="43" t="s">
        <v>2149</v>
      </c>
      <c r="B298" s="11"/>
      <c r="C298" s="11" t="s">
        <v>18</v>
      </c>
      <c r="D298" s="45" t="s">
        <v>16</v>
      </c>
      <c r="E298" s="46"/>
      <c r="F298" s="14" t="s">
        <v>397</v>
      </c>
      <c r="G298" s="13" t="s">
        <v>7098</v>
      </c>
      <c r="H298" s="99" t="str">
        <f t="shared" si="13"/>
        <v>W20F.7</v>
      </c>
      <c r="I298" s="13" t="s">
        <v>17</v>
      </c>
      <c r="J298" s="13"/>
      <c r="K298" s="13"/>
      <c r="L298" s="48"/>
      <c r="M298" s="49" t="str">
        <f t="shared" si="14"/>
        <v>[W20F.7]</v>
      </c>
      <c r="N298" s="12" t="str">
        <f t="shared" si="15"/>
        <v xml:space="preserve"> 슬레이트 컨베어 (SD139)  </v>
      </c>
      <c r="O298" s="49" t="str">
        <f t="shared" si="16"/>
        <v xml:space="preserve">[W20F.7] 슬레이트 컨베어 (SD139)  </v>
      </c>
    </row>
    <row r="299" spans="1:15" s="49" customFormat="1" ht="14.15" customHeight="1">
      <c r="A299" s="43" t="s">
        <v>2149</v>
      </c>
      <c r="B299" s="11"/>
      <c r="C299" s="11" t="s">
        <v>18</v>
      </c>
      <c r="D299" s="45" t="s">
        <v>16</v>
      </c>
      <c r="E299" s="46"/>
      <c r="F299" s="14" t="s">
        <v>398</v>
      </c>
      <c r="G299" s="13" t="s">
        <v>7099</v>
      </c>
      <c r="H299" s="99" t="str">
        <f t="shared" si="13"/>
        <v>W20F.8</v>
      </c>
      <c r="I299" s="13" t="s">
        <v>17</v>
      </c>
      <c r="J299" s="13"/>
      <c r="K299" s="13"/>
      <c r="L299" s="48"/>
      <c r="M299" s="49" t="str">
        <f t="shared" si="14"/>
        <v>[W20F.8]</v>
      </c>
      <c r="N299" s="12" t="str">
        <f t="shared" si="15"/>
        <v xml:space="preserve"> 슬레이트 컨베어 (SD139) 에러가 발생했습니다.</v>
      </c>
      <c r="O299" s="49" t="str">
        <f t="shared" si="16"/>
        <v>[W20F.8] 슬레이트 컨베어 (SD139) 에러가 발생했습니다.</v>
      </c>
    </row>
    <row r="300" spans="1:15" s="49" customFormat="1" ht="14.15" customHeight="1">
      <c r="A300" s="44"/>
      <c r="B300" s="11"/>
      <c r="C300" s="11" t="s">
        <v>18</v>
      </c>
      <c r="D300" s="45" t="s">
        <v>16</v>
      </c>
      <c r="E300" s="46"/>
      <c r="F300" s="14" t="s">
        <v>399</v>
      </c>
      <c r="G300" s="13" t="s">
        <v>7100</v>
      </c>
      <c r="H300" s="99" t="str">
        <f t="shared" si="13"/>
        <v>W20F.9</v>
      </c>
      <c r="I300" s="13"/>
      <c r="J300" s="13"/>
      <c r="K300" s="13"/>
      <c r="L300" s="48"/>
      <c r="M300" s="49" t="str">
        <f t="shared" si="14"/>
        <v>[W20F.9]</v>
      </c>
      <c r="N300" s="12" t="str">
        <f t="shared" si="15"/>
        <v xml:space="preserve"> </v>
      </c>
      <c r="O300" s="49" t="str">
        <f t="shared" si="16"/>
        <v xml:space="preserve">[W20F.9] </v>
      </c>
    </row>
    <row r="301" spans="1:15" s="49" customFormat="1" ht="14.15" customHeight="1">
      <c r="A301" s="44"/>
      <c r="B301" s="11"/>
      <c r="C301" s="11" t="s">
        <v>18</v>
      </c>
      <c r="D301" s="45" t="s">
        <v>16</v>
      </c>
      <c r="E301" s="46"/>
      <c r="F301" s="14" t="s">
        <v>400</v>
      </c>
      <c r="G301" s="13" t="s">
        <v>7101</v>
      </c>
      <c r="H301" s="99" t="str">
        <f t="shared" si="13"/>
        <v>W20F.A</v>
      </c>
      <c r="I301" s="13"/>
      <c r="J301" s="13"/>
      <c r="K301" s="13"/>
      <c r="L301" s="48"/>
      <c r="M301" s="49" t="str">
        <f t="shared" si="14"/>
        <v>[W20F.A]</v>
      </c>
      <c r="N301" s="12" t="str">
        <f t="shared" si="15"/>
        <v xml:space="preserve"> </v>
      </c>
      <c r="O301" s="49" t="str">
        <f t="shared" si="16"/>
        <v xml:space="preserve">[W20F.A] </v>
      </c>
    </row>
    <row r="302" spans="1:15" s="49" customFormat="1" ht="14.15" customHeight="1">
      <c r="A302" s="44"/>
      <c r="B302" s="11"/>
      <c r="C302" s="11" t="s">
        <v>18</v>
      </c>
      <c r="D302" s="45" t="s">
        <v>16</v>
      </c>
      <c r="E302" s="46"/>
      <c r="F302" s="14" t="s">
        <v>401</v>
      </c>
      <c r="G302" s="13" t="s">
        <v>7102</v>
      </c>
      <c r="H302" s="99" t="str">
        <f t="shared" si="13"/>
        <v>W20F.B</v>
      </c>
      <c r="I302" s="13"/>
      <c r="J302" s="13"/>
      <c r="K302" s="13"/>
      <c r="L302" s="48"/>
      <c r="M302" s="49" t="str">
        <f t="shared" si="14"/>
        <v>[W20F.B]</v>
      </c>
      <c r="N302" s="12" t="str">
        <f t="shared" si="15"/>
        <v xml:space="preserve"> </v>
      </c>
      <c r="O302" s="49" t="str">
        <f t="shared" si="16"/>
        <v xml:space="preserve">[W20F.B] </v>
      </c>
    </row>
    <row r="303" spans="1:15" s="49" customFormat="1" ht="14.15" customHeight="1">
      <c r="A303" s="44"/>
      <c r="B303" s="11"/>
      <c r="C303" s="11" t="s">
        <v>18</v>
      </c>
      <c r="D303" s="45" t="s">
        <v>16</v>
      </c>
      <c r="E303" s="46"/>
      <c r="F303" s="14" t="s">
        <v>402</v>
      </c>
      <c r="G303" s="13" t="s">
        <v>7103</v>
      </c>
      <c r="H303" s="99" t="str">
        <f t="shared" si="13"/>
        <v>W20F.C</v>
      </c>
      <c r="I303" s="13"/>
      <c r="J303" s="13"/>
      <c r="K303" s="13"/>
      <c r="L303" s="48"/>
      <c r="M303" s="49" t="str">
        <f t="shared" si="14"/>
        <v>[W20F.C]</v>
      </c>
      <c r="N303" s="12" t="str">
        <f t="shared" si="15"/>
        <v xml:space="preserve"> </v>
      </c>
      <c r="O303" s="49" t="str">
        <f t="shared" si="16"/>
        <v xml:space="preserve">[W20F.C] </v>
      </c>
    </row>
    <row r="304" spans="1:15" s="49" customFormat="1" ht="14.15" customHeight="1">
      <c r="A304" s="44"/>
      <c r="B304" s="11"/>
      <c r="C304" s="11" t="s">
        <v>18</v>
      </c>
      <c r="D304" s="45" t="s">
        <v>16</v>
      </c>
      <c r="E304" s="46"/>
      <c r="F304" s="14" t="s">
        <v>403</v>
      </c>
      <c r="G304" s="13" t="s">
        <v>7104</v>
      </c>
      <c r="H304" s="99" t="str">
        <f t="shared" si="13"/>
        <v>W20F.D</v>
      </c>
      <c r="I304" s="13"/>
      <c r="J304" s="13"/>
      <c r="K304" s="13"/>
      <c r="L304" s="48"/>
      <c r="M304" s="49" t="str">
        <f t="shared" si="14"/>
        <v>[W20F.D]</v>
      </c>
      <c r="N304" s="12" t="str">
        <f t="shared" si="15"/>
        <v xml:space="preserve"> </v>
      </c>
      <c r="O304" s="49" t="str">
        <f t="shared" si="16"/>
        <v xml:space="preserve">[W20F.D] </v>
      </c>
    </row>
    <row r="305" spans="1:15" s="49" customFormat="1" ht="14.15" customHeight="1">
      <c r="A305" s="44"/>
      <c r="B305" s="11"/>
      <c r="C305" s="11" t="s">
        <v>18</v>
      </c>
      <c r="D305" s="45" t="s">
        <v>16</v>
      </c>
      <c r="E305" s="46"/>
      <c r="F305" s="14" t="s">
        <v>404</v>
      </c>
      <c r="G305" s="13" t="s">
        <v>7105</v>
      </c>
      <c r="H305" s="99" t="str">
        <f t="shared" si="13"/>
        <v>W20F.E</v>
      </c>
      <c r="I305" s="13"/>
      <c r="J305" s="13"/>
      <c r="K305" s="13"/>
      <c r="L305" s="48"/>
      <c r="M305" s="49" t="str">
        <f t="shared" si="14"/>
        <v>[W20F.E]</v>
      </c>
      <c r="N305" s="12" t="str">
        <f t="shared" si="15"/>
        <v xml:space="preserve"> </v>
      </c>
      <c r="O305" s="49" t="str">
        <f t="shared" si="16"/>
        <v xml:space="preserve">[W20F.E] </v>
      </c>
    </row>
    <row r="306" spans="1:15" s="49" customFormat="1" ht="14.15" customHeight="1">
      <c r="A306" s="44"/>
      <c r="B306" s="11"/>
      <c r="C306" s="11" t="s">
        <v>18</v>
      </c>
      <c r="D306" s="45" t="s">
        <v>16</v>
      </c>
      <c r="E306" s="46"/>
      <c r="F306" s="14" t="s">
        <v>405</v>
      </c>
      <c r="G306" s="13" t="s">
        <v>7106</v>
      </c>
      <c r="H306" s="99" t="str">
        <f t="shared" si="13"/>
        <v>W20F.F</v>
      </c>
      <c r="I306" s="13"/>
      <c r="J306" s="13"/>
      <c r="K306" s="13"/>
      <c r="L306" s="48"/>
      <c r="M306" s="49" t="str">
        <f t="shared" si="14"/>
        <v>[W20F.F]</v>
      </c>
      <c r="N306" s="12" t="str">
        <f t="shared" si="15"/>
        <v xml:space="preserve"> </v>
      </c>
      <c r="O306" s="49" t="str">
        <f t="shared" si="16"/>
        <v xml:space="preserve">[W20F.F] </v>
      </c>
    </row>
    <row r="307" spans="1:15" s="49" customFormat="1" ht="14.15" customHeight="1">
      <c r="A307" s="44"/>
      <c r="B307" s="11"/>
      <c r="C307" s="11" t="s">
        <v>18</v>
      </c>
      <c r="D307" s="45" t="s">
        <v>16</v>
      </c>
      <c r="E307" s="46"/>
      <c r="F307" s="14" t="s">
        <v>406</v>
      </c>
      <c r="G307" s="13" t="s">
        <v>7107</v>
      </c>
      <c r="H307" s="99" t="str">
        <f t="shared" si="13"/>
        <v>W210.0</v>
      </c>
      <c r="I307" s="13"/>
      <c r="J307" s="13"/>
      <c r="K307" s="13"/>
      <c r="L307" s="48"/>
      <c r="M307" s="49" t="str">
        <f t="shared" si="14"/>
        <v>[W210.0]</v>
      </c>
      <c r="N307" s="12" t="str">
        <f t="shared" si="15"/>
        <v xml:space="preserve"> </v>
      </c>
      <c r="O307" s="49" t="str">
        <f t="shared" si="16"/>
        <v xml:space="preserve">[W210.0] </v>
      </c>
    </row>
    <row r="308" spans="1:15" s="49" customFormat="1" ht="14.15" customHeight="1">
      <c r="A308" s="44"/>
      <c r="B308" s="11"/>
      <c r="C308" s="11" t="s">
        <v>18</v>
      </c>
      <c r="D308" s="45" t="s">
        <v>16</v>
      </c>
      <c r="E308" s="47"/>
      <c r="F308" s="12" t="s">
        <v>407</v>
      </c>
      <c r="G308" s="13" t="s">
        <v>7108</v>
      </c>
      <c r="H308" s="99" t="str">
        <f t="shared" ref="H308:H371" si="17">"W"&amp;DEC2HEX(512 + INT((ROW()-51)/16)) &amp; "." &amp; IF(MOD(ROW()-51,16)&lt;10,MOD(ROW()-51,16),CHAR(MOD(ROW()-51,16)+55))</f>
        <v>W210.1</v>
      </c>
      <c r="I308" s="13"/>
      <c r="J308" s="13"/>
      <c r="K308" s="13"/>
      <c r="L308" s="48"/>
      <c r="M308" s="49" t="str">
        <f t="shared" ref="M308:M371" si="18">"["&amp;H308&amp;"]"</f>
        <v>[W210.1]</v>
      </c>
      <c r="N308" s="12" t="str">
        <f t="shared" ref="N308:N371" si="19">RIGHT(F308,LEN(F308)-7)</f>
        <v xml:space="preserve"> </v>
      </c>
      <c r="O308" s="49" t="str">
        <f t="shared" ref="O308:O371" si="20">M308&amp;N308</f>
        <v xml:space="preserve">[W210.1] </v>
      </c>
    </row>
    <row r="309" spans="1:15" s="49" customFormat="1" ht="14.15" customHeight="1">
      <c r="A309" s="44"/>
      <c r="B309" s="11"/>
      <c r="C309" s="11" t="s">
        <v>18</v>
      </c>
      <c r="D309" s="45" t="s">
        <v>16</v>
      </c>
      <c r="E309" s="47"/>
      <c r="F309" s="12" t="s">
        <v>408</v>
      </c>
      <c r="G309" s="13" t="s">
        <v>7109</v>
      </c>
      <c r="H309" s="99" t="str">
        <f t="shared" si="17"/>
        <v>W210.2</v>
      </c>
      <c r="I309" s="13"/>
      <c r="J309" s="13"/>
      <c r="K309" s="13"/>
      <c r="L309" s="48"/>
      <c r="M309" s="49" t="str">
        <f t="shared" si="18"/>
        <v>[W210.2]</v>
      </c>
      <c r="N309" s="12" t="str">
        <f t="shared" si="19"/>
        <v xml:space="preserve"> </v>
      </c>
      <c r="O309" s="49" t="str">
        <f t="shared" si="20"/>
        <v xml:space="preserve">[W210.2] </v>
      </c>
    </row>
    <row r="310" spans="1:15" s="49" customFormat="1" ht="14.15" customHeight="1">
      <c r="A310" s="43" t="s">
        <v>2197</v>
      </c>
      <c r="B310" s="11"/>
      <c r="C310" s="11" t="s">
        <v>18</v>
      </c>
      <c r="D310" s="45" t="s">
        <v>16</v>
      </c>
      <c r="E310" s="47"/>
      <c r="F310" s="12" t="s">
        <v>1749</v>
      </c>
      <c r="G310" s="13" t="s">
        <v>7110</v>
      </c>
      <c r="H310" s="99" t="str">
        <f t="shared" si="17"/>
        <v>W210.3</v>
      </c>
      <c r="I310" s="13" t="s">
        <v>104</v>
      </c>
      <c r="J310" s="13"/>
      <c r="K310" s="13"/>
      <c r="L310" s="48"/>
      <c r="M310" s="49" t="str">
        <f t="shared" si="18"/>
        <v>[W210.3]</v>
      </c>
      <c r="N310" s="12" t="str">
        <f t="shared" si="19"/>
        <v xml:space="preserve"> 공급 셔틀 (SD115) 운전중에 Ready가 Off 되었습니다.</v>
      </c>
      <c r="O310" s="49" t="str">
        <f t="shared" si="20"/>
        <v>[W210.3] 공급 셔틀 (SD115) 운전중에 Ready가 Off 되었습니다.</v>
      </c>
    </row>
    <row r="311" spans="1:15" s="49" customFormat="1" ht="14.15" customHeight="1">
      <c r="A311" s="43" t="s">
        <v>2197</v>
      </c>
      <c r="B311" s="11"/>
      <c r="C311" s="11" t="s">
        <v>18</v>
      </c>
      <c r="D311" s="45" t="s">
        <v>16</v>
      </c>
      <c r="E311" s="47"/>
      <c r="F311" s="12" t="s">
        <v>1750</v>
      </c>
      <c r="G311" s="13" t="s">
        <v>7111</v>
      </c>
      <c r="H311" s="99" t="str">
        <f t="shared" si="17"/>
        <v>W210.4</v>
      </c>
      <c r="I311" s="13" t="s">
        <v>104</v>
      </c>
      <c r="J311" s="13"/>
      <c r="K311" s="13"/>
      <c r="L311" s="48"/>
      <c r="M311" s="49" t="str">
        <f t="shared" si="18"/>
        <v>[W210.4]</v>
      </c>
      <c r="N311" s="12" t="str">
        <f t="shared" si="19"/>
        <v xml:space="preserve"> 공급 셔틀 (SD115) FLS가 감지되었습니다.</v>
      </c>
      <c r="O311" s="49" t="str">
        <f t="shared" si="20"/>
        <v>[W210.4] 공급 셔틀 (SD115) FLS가 감지되었습니다.</v>
      </c>
    </row>
    <row r="312" spans="1:15" s="49" customFormat="1" ht="14.15" customHeight="1">
      <c r="A312" s="43" t="s">
        <v>2197</v>
      </c>
      <c r="B312" s="11"/>
      <c r="C312" s="11" t="s">
        <v>18</v>
      </c>
      <c r="D312" s="45" t="s">
        <v>16</v>
      </c>
      <c r="E312" s="47"/>
      <c r="F312" s="12" t="s">
        <v>1751</v>
      </c>
      <c r="G312" s="13" t="s">
        <v>7112</v>
      </c>
      <c r="H312" s="99" t="str">
        <f t="shared" si="17"/>
        <v>W210.5</v>
      </c>
      <c r="I312" s="13" t="s">
        <v>104</v>
      </c>
      <c r="J312" s="13"/>
      <c r="K312" s="13"/>
      <c r="L312" s="48"/>
      <c r="M312" s="49" t="str">
        <f t="shared" si="18"/>
        <v>[W210.5]</v>
      </c>
      <c r="N312" s="12" t="str">
        <f t="shared" si="19"/>
        <v xml:space="preserve"> 공급 셔틀 (SD115) RLS가 감지되었습니다.</v>
      </c>
      <c r="O312" s="49" t="str">
        <f t="shared" si="20"/>
        <v>[W210.5] 공급 셔틀 (SD115) RLS가 감지되었습니다.</v>
      </c>
    </row>
    <row r="313" spans="1:15" s="49" customFormat="1" ht="14.15" customHeight="1">
      <c r="A313" s="43" t="s">
        <v>2197</v>
      </c>
      <c r="B313" s="11"/>
      <c r="C313" s="11" t="s">
        <v>18</v>
      </c>
      <c r="D313" s="45" t="s">
        <v>16</v>
      </c>
      <c r="E313" s="47"/>
      <c r="F313" s="12" t="s">
        <v>1752</v>
      </c>
      <c r="G313" s="13" t="s">
        <v>7113</v>
      </c>
      <c r="H313" s="99" t="str">
        <f t="shared" si="17"/>
        <v>W210.6</v>
      </c>
      <c r="I313" s="13" t="s">
        <v>105</v>
      </c>
      <c r="J313" s="13"/>
      <c r="K313" s="13"/>
      <c r="L313" s="48"/>
      <c r="M313" s="49" t="str">
        <f t="shared" si="18"/>
        <v>[W210.6]</v>
      </c>
      <c r="N313" s="12" t="str">
        <f t="shared" si="19"/>
        <v xml:space="preserve"> 공급 셔틀 (SD115) Stop 명령이 On된 상태에서 기동을 시도했습니다.</v>
      </c>
      <c r="O313" s="49" t="str">
        <f t="shared" si="20"/>
        <v>[W210.6] 공급 셔틀 (SD115) Stop 명령이 On된 상태에서 기동을 시도했습니다.</v>
      </c>
    </row>
    <row r="314" spans="1:15" s="49" customFormat="1" ht="14.15" customHeight="1">
      <c r="A314" s="43" t="s">
        <v>2197</v>
      </c>
      <c r="B314" s="11"/>
      <c r="C314" s="11" t="s">
        <v>18</v>
      </c>
      <c r="D314" s="45" t="s">
        <v>16</v>
      </c>
      <c r="E314" s="47"/>
      <c r="F314" s="12" t="s">
        <v>1753</v>
      </c>
      <c r="G314" s="13" t="s">
        <v>7114</v>
      </c>
      <c r="H314" s="99" t="str">
        <f t="shared" si="17"/>
        <v>W210.7</v>
      </c>
      <c r="I314" s="13" t="s">
        <v>104</v>
      </c>
      <c r="J314" s="13"/>
      <c r="K314" s="13"/>
      <c r="L314" s="48"/>
      <c r="M314" s="49" t="str">
        <f t="shared" si="18"/>
        <v>[W210.7]</v>
      </c>
      <c r="N314" s="12" t="str">
        <f t="shared" si="19"/>
        <v xml:space="preserve"> 공급 셔틀 (SD115) 가동 전원이 Off 되었습니다.</v>
      </c>
      <c r="O314" s="49" t="str">
        <f t="shared" si="20"/>
        <v>[W210.7] 공급 셔틀 (SD115) 가동 전원이 Off 되었습니다.</v>
      </c>
    </row>
    <row r="315" spans="1:15" s="49" customFormat="1" ht="14.15" customHeight="1">
      <c r="A315" s="43" t="s">
        <v>2197</v>
      </c>
      <c r="B315" s="11"/>
      <c r="C315" s="11" t="s">
        <v>18</v>
      </c>
      <c r="D315" s="45" t="s">
        <v>16</v>
      </c>
      <c r="E315" s="47"/>
      <c r="F315" s="12" t="s">
        <v>1754</v>
      </c>
      <c r="G315" s="13" t="s">
        <v>7115</v>
      </c>
      <c r="H315" s="99" t="str">
        <f t="shared" si="17"/>
        <v>W210.8</v>
      </c>
      <c r="I315" s="13" t="s">
        <v>104</v>
      </c>
      <c r="J315" s="13"/>
      <c r="K315" s="13"/>
      <c r="L315" s="48"/>
      <c r="M315" s="49" t="str">
        <f t="shared" si="18"/>
        <v>[W210.8]</v>
      </c>
      <c r="N315" s="12" t="str">
        <f t="shared" si="19"/>
        <v xml:space="preserve"> 공급 셔틀 (SD115) 엔코더 이상이 검출되었습니다.</v>
      </c>
      <c r="O315" s="49" t="str">
        <f t="shared" si="20"/>
        <v>[W210.8] 공급 셔틀 (SD115) 엔코더 이상이 검출되었습니다.</v>
      </c>
    </row>
    <row r="316" spans="1:15" s="49" customFormat="1" ht="14.15" customHeight="1">
      <c r="A316" s="43" t="s">
        <v>2197</v>
      </c>
      <c r="B316" s="11"/>
      <c r="C316" s="11" t="s">
        <v>18</v>
      </c>
      <c r="D316" s="45" t="s">
        <v>16</v>
      </c>
      <c r="E316" s="47"/>
      <c r="F316" s="12" t="s">
        <v>1755</v>
      </c>
      <c r="G316" s="13" t="s">
        <v>7116</v>
      </c>
      <c r="H316" s="99" t="str">
        <f t="shared" si="17"/>
        <v>W210.9</v>
      </c>
      <c r="I316" s="13" t="s">
        <v>104</v>
      </c>
      <c r="J316" s="13"/>
      <c r="K316" s="13"/>
      <c r="L316" s="48"/>
      <c r="M316" s="49" t="str">
        <f t="shared" si="18"/>
        <v>[W210.9]</v>
      </c>
      <c r="N316" s="12" t="str">
        <f t="shared" si="19"/>
        <v xml:space="preserve"> 공급 셔틀 (SD115) 과전류가 검출되었습니다.</v>
      </c>
      <c r="O316" s="49" t="str">
        <f t="shared" si="20"/>
        <v>[W210.9] 공급 셔틀 (SD115) 과전류가 검출되었습니다.</v>
      </c>
    </row>
    <row r="317" spans="1:15" s="49" customFormat="1" ht="14.15" customHeight="1">
      <c r="A317" s="43" t="s">
        <v>2197</v>
      </c>
      <c r="B317" s="11"/>
      <c r="C317" s="11" t="s">
        <v>18</v>
      </c>
      <c r="D317" s="45" t="s">
        <v>16</v>
      </c>
      <c r="E317" s="47"/>
      <c r="F317" s="12" t="s">
        <v>1756</v>
      </c>
      <c r="G317" s="13" t="s">
        <v>7117</v>
      </c>
      <c r="H317" s="99" t="str">
        <f t="shared" si="17"/>
        <v>W210.A</v>
      </c>
      <c r="I317" s="13" t="s">
        <v>104</v>
      </c>
      <c r="J317" s="13"/>
      <c r="K317" s="13"/>
      <c r="L317" s="48"/>
      <c r="M317" s="49" t="str">
        <f t="shared" si="18"/>
        <v>[W210.A]</v>
      </c>
      <c r="N317" s="12" t="str">
        <f t="shared" si="19"/>
        <v xml:space="preserve"> 공급 셔틀 (SD115) 과부하가 검출되었습니다.</v>
      </c>
      <c r="O317" s="49" t="str">
        <f t="shared" si="20"/>
        <v>[W210.A] 공급 셔틀 (SD115) 과부하가 검출되었습니다.</v>
      </c>
    </row>
    <row r="318" spans="1:15" s="49" customFormat="1" ht="14.15" customHeight="1">
      <c r="A318" s="43" t="s">
        <v>2197</v>
      </c>
      <c r="B318" s="11"/>
      <c r="C318" s="11" t="s">
        <v>18</v>
      </c>
      <c r="D318" s="45" t="s">
        <v>16</v>
      </c>
      <c r="E318" s="47"/>
      <c r="F318" s="12" t="s">
        <v>1757</v>
      </c>
      <c r="G318" s="13" t="s">
        <v>7118</v>
      </c>
      <c r="H318" s="99" t="str">
        <f t="shared" si="17"/>
        <v>W210.B</v>
      </c>
      <c r="I318" s="13" t="s">
        <v>17</v>
      </c>
      <c r="J318" s="13"/>
      <c r="K318" s="13"/>
      <c r="L318" s="48"/>
      <c r="M318" s="49" t="str">
        <f t="shared" si="18"/>
        <v>[W210.B]</v>
      </c>
      <c r="N318" s="12" t="str">
        <f t="shared" si="19"/>
        <v xml:space="preserve"> 공급 셔틀 (SD115)  </v>
      </c>
      <c r="O318" s="49" t="str">
        <f t="shared" si="20"/>
        <v xml:space="preserve">[W210.B] 공급 셔틀 (SD115)  </v>
      </c>
    </row>
    <row r="319" spans="1:15" s="49" customFormat="1" ht="14.15" customHeight="1">
      <c r="A319" s="43" t="s">
        <v>2197</v>
      </c>
      <c r="B319" s="11"/>
      <c r="C319" s="11" t="s">
        <v>18</v>
      </c>
      <c r="D319" s="45" t="s">
        <v>16</v>
      </c>
      <c r="E319" s="47"/>
      <c r="F319" s="12" t="s">
        <v>1758</v>
      </c>
      <c r="G319" s="13" t="s">
        <v>7119</v>
      </c>
      <c r="H319" s="99" t="str">
        <f t="shared" si="17"/>
        <v>W210.C</v>
      </c>
      <c r="I319" s="13" t="s">
        <v>17</v>
      </c>
      <c r="J319" s="13"/>
      <c r="K319" s="13"/>
      <c r="L319" s="48"/>
      <c r="M319" s="49" t="str">
        <f t="shared" si="18"/>
        <v>[W210.C]</v>
      </c>
      <c r="N319" s="12" t="str">
        <f t="shared" si="19"/>
        <v xml:space="preserve"> 공급 셔틀 (SD115) 에러가 발생했습니다.</v>
      </c>
      <c r="O319" s="49" t="str">
        <f t="shared" si="20"/>
        <v>[W210.C] 공급 셔틀 (SD115) 에러가 발생했습니다.</v>
      </c>
    </row>
    <row r="320" spans="1:15" s="49" customFormat="1" ht="14.15" customHeight="1">
      <c r="A320" s="43" t="s">
        <v>2197</v>
      </c>
      <c r="B320" s="11"/>
      <c r="C320" s="11" t="s">
        <v>18</v>
      </c>
      <c r="D320" s="45" t="s">
        <v>16</v>
      </c>
      <c r="E320" s="47"/>
      <c r="F320" s="12" t="s">
        <v>1759</v>
      </c>
      <c r="G320" s="13" t="s">
        <v>7120</v>
      </c>
      <c r="H320" s="99" t="str">
        <f t="shared" si="17"/>
        <v>W210.D</v>
      </c>
      <c r="I320" s="13" t="s">
        <v>104</v>
      </c>
      <c r="J320" s="13"/>
      <c r="K320" s="13"/>
      <c r="L320" s="48"/>
      <c r="M320" s="49" t="str">
        <f t="shared" si="18"/>
        <v>[W210.D]</v>
      </c>
      <c r="N320" s="12" t="str">
        <f t="shared" si="19"/>
        <v xml:space="preserve"> 배출 셔틀 (SD116) 운전중에 Ready가 Off 되었습니다.</v>
      </c>
      <c r="O320" s="49" t="str">
        <f t="shared" si="20"/>
        <v>[W210.D] 배출 셔틀 (SD116) 운전중에 Ready가 Off 되었습니다.</v>
      </c>
    </row>
    <row r="321" spans="1:15" s="49" customFormat="1" ht="14.15" customHeight="1">
      <c r="A321" s="43" t="s">
        <v>2197</v>
      </c>
      <c r="B321" s="11"/>
      <c r="C321" s="11" t="s">
        <v>18</v>
      </c>
      <c r="D321" s="45" t="s">
        <v>16</v>
      </c>
      <c r="E321" s="47"/>
      <c r="F321" s="12" t="s">
        <v>1760</v>
      </c>
      <c r="G321" s="13" t="s">
        <v>7121</v>
      </c>
      <c r="H321" s="99" t="str">
        <f t="shared" si="17"/>
        <v>W210.E</v>
      </c>
      <c r="I321" s="13" t="s">
        <v>17</v>
      </c>
      <c r="J321" s="13"/>
      <c r="K321" s="13"/>
      <c r="L321" s="48"/>
      <c r="M321" s="49" t="str">
        <f t="shared" si="18"/>
        <v>[W210.E]</v>
      </c>
      <c r="N321" s="12" t="str">
        <f t="shared" si="19"/>
        <v xml:space="preserve"> 배출 셔틀 (SD116) FLS가 감지되었습니다.</v>
      </c>
      <c r="O321" s="49" t="str">
        <f t="shared" si="20"/>
        <v>[W210.E] 배출 셔틀 (SD116) FLS가 감지되었습니다.</v>
      </c>
    </row>
    <row r="322" spans="1:15" s="49" customFormat="1" ht="14.15" customHeight="1">
      <c r="A322" s="43" t="s">
        <v>2197</v>
      </c>
      <c r="B322" s="11"/>
      <c r="C322" s="11" t="s">
        <v>18</v>
      </c>
      <c r="D322" s="45" t="s">
        <v>16</v>
      </c>
      <c r="E322" s="47"/>
      <c r="F322" s="12" t="s">
        <v>1761</v>
      </c>
      <c r="G322" s="13" t="s">
        <v>7122</v>
      </c>
      <c r="H322" s="99" t="str">
        <f t="shared" si="17"/>
        <v>W210.F</v>
      </c>
      <c r="I322" s="13" t="s">
        <v>104</v>
      </c>
      <c r="J322" s="13"/>
      <c r="K322" s="13"/>
      <c r="L322" s="48"/>
      <c r="M322" s="49" t="str">
        <f t="shared" si="18"/>
        <v>[W210.F]</v>
      </c>
      <c r="N322" s="12" t="str">
        <f t="shared" si="19"/>
        <v xml:space="preserve"> 배출 셔틀 (SD116) RLS가 감지되었습니다.</v>
      </c>
      <c r="O322" s="49" t="str">
        <f t="shared" si="20"/>
        <v>[W210.F] 배출 셔틀 (SD116) RLS가 감지되었습니다.</v>
      </c>
    </row>
    <row r="323" spans="1:15" s="49" customFormat="1" ht="14.15" customHeight="1">
      <c r="A323" s="43" t="s">
        <v>2197</v>
      </c>
      <c r="B323" s="11"/>
      <c r="C323" s="11" t="s">
        <v>18</v>
      </c>
      <c r="D323" s="45" t="s">
        <v>16</v>
      </c>
      <c r="E323" s="47"/>
      <c r="F323" s="12" t="s">
        <v>1762</v>
      </c>
      <c r="G323" s="13" t="s">
        <v>7123</v>
      </c>
      <c r="H323" s="99" t="str">
        <f t="shared" si="17"/>
        <v>W211.0</v>
      </c>
      <c r="I323" s="13" t="s">
        <v>104</v>
      </c>
      <c r="J323" s="13"/>
      <c r="K323" s="13"/>
      <c r="L323" s="48"/>
      <c r="M323" s="49" t="str">
        <f t="shared" si="18"/>
        <v>[W211.0]</v>
      </c>
      <c r="N323" s="12" t="str">
        <f t="shared" si="19"/>
        <v xml:space="preserve"> 배출 셔틀 (SD116) Stop 명령이 On된 상태에서 기동을 시도했습니다.</v>
      </c>
      <c r="O323" s="49" t="str">
        <f t="shared" si="20"/>
        <v>[W211.0] 배출 셔틀 (SD116) Stop 명령이 On된 상태에서 기동을 시도했습니다.</v>
      </c>
    </row>
    <row r="324" spans="1:15" s="49" customFormat="1" ht="14.15" customHeight="1">
      <c r="A324" s="43" t="s">
        <v>2197</v>
      </c>
      <c r="B324" s="11"/>
      <c r="C324" s="11" t="s">
        <v>18</v>
      </c>
      <c r="D324" s="45" t="s">
        <v>16</v>
      </c>
      <c r="E324" s="46"/>
      <c r="F324" s="14" t="s">
        <v>1763</v>
      </c>
      <c r="G324" s="13" t="s">
        <v>7124</v>
      </c>
      <c r="H324" s="99" t="str">
        <f t="shared" si="17"/>
        <v>W211.1</v>
      </c>
      <c r="I324" s="13" t="s">
        <v>104</v>
      </c>
      <c r="J324" s="13"/>
      <c r="K324" s="13"/>
      <c r="L324" s="48"/>
      <c r="M324" s="49" t="str">
        <f t="shared" si="18"/>
        <v>[W211.1]</v>
      </c>
      <c r="N324" s="12" t="str">
        <f t="shared" si="19"/>
        <v xml:space="preserve"> 배출 셔틀 (SD116) 가동 전원이 Off 되었습니다.</v>
      </c>
      <c r="O324" s="49" t="str">
        <f t="shared" si="20"/>
        <v>[W211.1] 배출 셔틀 (SD116) 가동 전원이 Off 되었습니다.</v>
      </c>
    </row>
    <row r="325" spans="1:15" s="49" customFormat="1" ht="14.15" customHeight="1">
      <c r="A325" s="43" t="s">
        <v>2197</v>
      </c>
      <c r="B325" s="11"/>
      <c r="C325" s="11" t="s">
        <v>18</v>
      </c>
      <c r="D325" s="45" t="s">
        <v>16</v>
      </c>
      <c r="E325" s="46"/>
      <c r="F325" s="14" t="s">
        <v>1764</v>
      </c>
      <c r="G325" s="13" t="s">
        <v>7125</v>
      </c>
      <c r="H325" s="99" t="str">
        <f t="shared" si="17"/>
        <v>W211.2</v>
      </c>
      <c r="I325" s="13" t="s">
        <v>104</v>
      </c>
      <c r="J325" s="13"/>
      <c r="K325" s="13"/>
      <c r="L325" s="48"/>
      <c r="M325" s="49" t="str">
        <f t="shared" si="18"/>
        <v>[W211.2]</v>
      </c>
      <c r="N325" s="12" t="str">
        <f t="shared" si="19"/>
        <v xml:space="preserve"> 배출 셔틀 (SD116) 엔코더 이상이 검출되었습니다.</v>
      </c>
      <c r="O325" s="49" t="str">
        <f t="shared" si="20"/>
        <v>[W211.2] 배출 셔틀 (SD116) 엔코더 이상이 검출되었습니다.</v>
      </c>
    </row>
    <row r="326" spans="1:15" s="49" customFormat="1" ht="14.15" customHeight="1">
      <c r="A326" s="43" t="s">
        <v>2197</v>
      </c>
      <c r="B326" s="11"/>
      <c r="C326" s="11" t="s">
        <v>18</v>
      </c>
      <c r="D326" s="45" t="s">
        <v>16</v>
      </c>
      <c r="E326" s="46"/>
      <c r="F326" s="14" t="s">
        <v>1765</v>
      </c>
      <c r="G326" s="13" t="s">
        <v>7126</v>
      </c>
      <c r="H326" s="99" t="str">
        <f t="shared" si="17"/>
        <v>W211.3</v>
      </c>
      <c r="I326" s="13" t="s">
        <v>17</v>
      </c>
      <c r="J326" s="13"/>
      <c r="K326" s="13"/>
      <c r="L326" s="48"/>
      <c r="M326" s="49" t="str">
        <f t="shared" si="18"/>
        <v>[W211.3]</v>
      </c>
      <c r="N326" s="12" t="str">
        <f t="shared" si="19"/>
        <v xml:space="preserve"> 배출 셔틀 (SD116) 과전류가 검출되었습니다.</v>
      </c>
      <c r="O326" s="49" t="str">
        <f t="shared" si="20"/>
        <v>[W211.3] 배출 셔틀 (SD116) 과전류가 검출되었습니다.</v>
      </c>
    </row>
    <row r="327" spans="1:15" s="49" customFormat="1" ht="14.15" customHeight="1">
      <c r="A327" s="43" t="s">
        <v>2197</v>
      </c>
      <c r="B327" s="11"/>
      <c r="C327" s="11" t="s">
        <v>18</v>
      </c>
      <c r="D327" s="45" t="s">
        <v>16</v>
      </c>
      <c r="E327" s="46"/>
      <c r="F327" s="14" t="s">
        <v>1766</v>
      </c>
      <c r="G327" s="13" t="s">
        <v>7127</v>
      </c>
      <c r="H327" s="99" t="str">
        <f t="shared" si="17"/>
        <v>W211.4</v>
      </c>
      <c r="I327" s="13" t="s">
        <v>17</v>
      </c>
      <c r="J327" s="13"/>
      <c r="K327" s="13"/>
      <c r="L327" s="48"/>
      <c r="M327" s="49" t="str">
        <f t="shared" si="18"/>
        <v>[W211.4]</v>
      </c>
      <c r="N327" s="12" t="str">
        <f t="shared" si="19"/>
        <v xml:space="preserve"> 배출 셔틀 (SD116) 과부하가 검출되었습니다.</v>
      </c>
      <c r="O327" s="49" t="str">
        <f t="shared" si="20"/>
        <v>[W211.4] 배출 셔틀 (SD116) 과부하가 검출되었습니다.</v>
      </c>
    </row>
    <row r="328" spans="1:15" s="49" customFormat="1" ht="14.15" customHeight="1">
      <c r="A328" s="43" t="s">
        <v>2197</v>
      </c>
      <c r="B328" s="11"/>
      <c r="C328" s="11" t="s">
        <v>18</v>
      </c>
      <c r="D328" s="45" t="s">
        <v>16</v>
      </c>
      <c r="E328" s="46"/>
      <c r="F328" s="14" t="s">
        <v>1767</v>
      </c>
      <c r="G328" s="13" t="s">
        <v>7128</v>
      </c>
      <c r="H328" s="99" t="str">
        <f t="shared" si="17"/>
        <v>W211.5</v>
      </c>
      <c r="I328" s="13" t="s">
        <v>104</v>
      </c>
      <c r="J328" s="13"/>
      <c r="K328" s="13"/>
      <c r="L328" s="48"/>
      <c r="M328" s="49" t="str">
        <f t="shared" si="18"/>
        <v>[W211.5]</v>
      </c>
      <c r="N328" s="12" t="str">
        <f t="shared" si="19"/>
        <v xml:space="preserve"> 배출 셔틀 (SD116)  </v>
      </c>
      <c r="O328" s="49" t="str">
        <f t="shared" si="20"/>
        <v xml:space="preserve">[W211.5] 배출 셔틀 (SD116)  </v>
      </c>
    </row>
    <row r="329" spans="1:15" s="49" customFormat="1" ht="14.15" customHeight="1">
      <c r="A329" s="43" t="s">
        <v>2197</v>
      </c>
      <c r="B329" s="11"/>
      <c r="C329" s="11" t="s">
        <v>18</v>
      </c>
      <c r="D329" s="45" t="s">
        <v>16</v>
      </c>
      <c r="E329" s="47"/>
      <c r="F329" s="12" t="s">
        <v>1768</v>
      </c>
      <c r="G329" s="13" t="s">
        <v>7129</v>
      </c>
      <c r="H329" s="99" t="str">
        <f t="shared" si="17"/>
        <v>W211.6</v>
      </c>
      <c r="I329" s="13" t="s">
        <v>17</v>
      </c>
      <c r="J329" s="13"/>
      <c r="K329" s="13"/>
      <c r="L329" s="48"/>
      <c r="M329" s="49" t="str">
        <f t="shared" si="18"/>
        <v>[W211.6]</v>
      </c>
      <c r="N329" s="12" t="str">
        <f t="shared" si="19"/>
        <v xml:space="preserve"> 배출 셔틀 (SD116) 에러가 발생했습니다.</v>
      </c>
      <c r="O329" s="49" t="str">
        <f t="shared" si="20"/>
        <v>[W211.6] 배출 셔틀 (SD116) 에러가 발생했습니다.</v>
      </c>
    </row>
    <row r="330" spans="1:15" s="49" customFormat="1" ht="14.15" customHeight="1">
      <c r="A330" s="43" t="s">
        <v>2197</v>
      </c>
      <c r="B330" s="11"/>
      <c r="C330" s="11" t="s">
        <v>18</v>
      </c>
      <c r="D330" s="45" t="s">
        <v>16</v>
      </c>
      <c r="E330" s="47"/>
      <c r="F330" s="12" t="s">
        <v>1769</v>
      </c>
      <c r="G330" s="13" t="s">
        <v>7130</v>
      </c>
      <c r="H330" s="99" t="str">
        <f t="shared" si="17"/>
        <v>W211.7</v>
      </c>
      <c r="I330" s="13" t="s">
        <v>104</v>
      </c>
      <c r="J330" s="13"/>
      <c r="K330" s="13"/>
      <c r="L330" s="48"/>
      <c r="M330" s="49" t="str">
        <f t="shared" si="18"/>
        <v>[W211.7]</v>
      </c>
      <c r="N330" s="12" t="str">
        <f t="shared" si="19"/>
        <v xml:space="preserve"> 하부 지그 (SD117) 운전중에 Ready가 Off 되었습니다.</v>
      </c>
      <c r="O330" s="49" t="str">
        <f t="shared" si="20"/>
        <v>[W211.7] 하부 지그 (SD117) 운전중에 Ready가 Off 되었습니다.</v>
      </c>
    </row>
    <row r="331" spans="1:15" s="49" customFormat="1" ht="14.15" customHeight="1">
      <c r="A331" s="43" t="s">
        <v>2197</v>
      </c>
      <c r="B331" s="11"/>
      <c r="C331" s="11" t="s">
        <v>18</v>
      </c>
      <c r="D331" s="45" t="s">
        <v>16</v>
      </c>
      <c r="E331" s="47"/>
      <c r="F331" s="12" t="s">
        <v>1770</v>
      </c>
      <c r="G331" s="13" t="s">
        <v>7131</v>
      </c>
      <c r="H331" s="99" t="str">
        <f t="shared" si="17"/>
        <v>W211.8</v>
      </c>
      <c r="I331" s="13" t="s">
        <v>17</v>
      </c>
      <c r="J331" s="13"/>
      <c r="K331" s="13"/>
      <c r="L331" s="48"/>
      <c r="M331" s="49" t="str">
        <f t="shared" si="18"/>
        <v>[W211.8]</v>
      </c>
      <c r="N331" s="12" t="str">
        <f t="shared" si="19"/>
        <v xml:space="preserve"> 하부 지그 (SD117) FLS가 감지되었습니다.</v>
      </c>
      <c r="O331" s="49" t="str">
        <f t="shared" si="20"/>
        <v>[W211.8] 하부 지그 (SD117) FLS가 감지되었습니다.</v>
      </c>
    </row>
    <row r="332" spans="1:15" s="49" customFormat="1" ht="14.15" customHeight="1">
      <c r="A332" s="43" t="s">
        <v>2197</v>
      </c>
      <c r="B332" s="11"/>
      <c r="C332" s="11" t="s">
        <v>18</v>
      </c>
      <c r="D332" s="45" t="s">
        <v>16</v>
      </c>
      <c r="E332" s="47"/>
      <c r="F332" s="12" t="s">
        <v>1771</v>
      </c>
      <c r="G332" s="13" t="s">
        <v>7132</v>
      </c>
      <c r="H332" s="99" t="str">
        <f t="shared" si="17"/>
        <v>W211.9</v>
      </c>
      <c r="I332" s="13" t="s">
        <v>104</v>
      </c>
      <c r="J332" s="13"/>
      <c r="K332" s="13"/>
      <c r="L332" s="48"/>
      <c r="M332" s="49" t="str">
        <f t="shared" si="18"/>
        <v>[W211.9]</v>
      </c>
      <c r="N332" s="12" t="str">
        <f t="shared" si="19"/>
        <v xml:space="preserve"> 하부 지그 (SD117) RLS가 감지되었습니다.</v>
      </c>
      <c r="O332" s="49" t="str">
        <f t="shared" si="20"/>
        <v>[W211.9] 하부 지그 (SD117) RLS가 감지되었습니다.</v>
      </c>
    </row>
    <row r="333" spans="1:15" s="49" customFormat="1" ht="14.15" customHeight="1">
      <c r="A333" s="43" t="s">
        <v>2197</v>
      </c>
      <c r="B333" s="11"/>
      <c r="C333" s="11" t="s">
        <v>18</v>
      </c>
      <c r="D333" s="45" t="s">
        <v>16</v>
      </c>
      <c r="E333" s="47"/>
      <c r="F333" s="12" t="s">
        <v>1772</v>
      </c>
      <c r="G333" s="13" t="s">
        <v>7133</v>
      </c>
      <c r="H333" s="99" t="str">
        <f t="shared" si="17"/>
        <v>W211.A</v>
      </c>
      <c r="I333" s="13" t="s">
        <v>104</v>
      </c>
      <c r="J333" s="13"/>
      <c r="K333" s="13"/>
      <c r="L333" s="48"/>
      <c r="M333" s="49" t="str">
        <f t="shared" si="18"/>
        <v>[W211.A]</v>
      </c>
      <c r="N333" s="12" t="str">
        <f t="shared" si="19"/>
        <v xml:space="preserve"> 하부 지그 (SD117) Stop 명령이 On된 상태에서 기동을 시도했습니다.</v>
      </c>
      <c r="O333" s="49" t="str">
        <f t="shared" si="20"/>
        <v>[W211.A] 하부 지그 (SD117) Stop 명령이 On된 상태에서 기동을 시도했습니다.</v>
      </c>
    </row>
    <row r="334" spans="1:15" s="49" customFormat="1" ht="14.15" customHeight="1">
      <c r="A334" s="43" t="s">
        <v>2197</v>
      </c>
      <c r="B334" s="11"/>
      <c r="C334" s="11" t="s">
        <v>18</v>
      </c>
      <c r="D334" s="45" t="s">
        <v>16</v>
      </c>
      <c r="E334" s="47"/>
      <c r="F334" s="12" t="s">
        <v>1773</v>
      </c>
      <c r="G334" s="13" t="s">
        <v>7134</v>
      </c>
      <c r="H334" s="99" t="str">
        <f t="shared" si="17"/>
        <v>W211.B</v>
      </c>
      <c r="I334" s="13" t="s">
        <v>17</v>
      </c>
      <c r="J334" s="13"/>
      <c r="K334" s="13"/>
      <c r="L334" s="48"/>
      <c r="M334" s="49" t="str">
        <f t="shared" si="18"/>
        <v>[W211.B]</v>
      </c>
      <c r="N334" s="12" t="str">
        <f t="shared" si="19"/>
        <v xml:space="preserve"> 하부 지그 (SD117) 가동 전원이 Off 되었습니다.</v>
      </c>
      <c r="O334" s="49" t="str">
        <f t="shared" si="20"/>
        <v>[W211.B] 하부 지그 (SD117) 가동 전원이 Off 되었습니다.</v>
      </c>
    </row>
    <row r="335" spans="1:15" s="49" customFormat="1" ht="14.15" customHeight="1">
      <c r="A335" s="43" t="s">
        <v>2197</v>
      </c>
      <c r="B335" s="11"/>
      <c r="C335" s="11" t="s">
        <v>18</v>
      </c>
      <c r="D335" s="45" t="s">
        <v>16</v>
      </c>
      <c r="E335" s="47"/>
      <c r="F335" s="12" t="s">
        <v>1774</v>
      </c>
      <c r="G335" s="13" t="s">
        <v>7135</v>
      </c>
      <c r="H335" s="99" t="str">
        <f t="shared" si="17"/>
        <v>W211.C</v>
      </c>
      <c r="I335" s="13" t="s">
        <v>105</v>
      </c>
      <c r="J335" s="13"/>
      <c r="K335" s="13"/>
      <c r="L335" s="48"/>
      <c r="M335" s="49" t="str">
        <f t="shared" si="18"/>
        <v>[W211.C]</v>
      </c>
      <c r="N335" s="12" t="str">
        <f t="shared" si="19"/>
        <v xml:space="preserve"> 하부 지그 (SD117) 엔코더 이상이 검출되었습니다.</v>
      </c>
      <c r="O335" s="49" t="str">
        <f t="shared" si="20"/>
        <v>[W211.C] 하부 지그 (SD117) 엔코더 이상이 검출되었습니다.</v>
      </c>
    </row>
    <row r="336" spans="1:15" s="49" customFormat="1" ht="14.15" customHeight="1">
      <c r="A336" s="43" t="s">
        <v>2197</v>
      </c>
      <c r="B336" s="11"/>
      <c r="C336" s="11" t="s">
        <v>18</v>
      </c>
      <c r="D336" s="45" t="s">
        <v>16</v>
      </c>
      <c r="E336" s="47"/>
      <c r="F336" s="12" t="s">
        <v>1775</v>
      </c>
      <c r="G336" s="13" t="s">
        <v>7136</v>
      </c>
      <c r="H336" s="99" t="str">
        <f t="shared" si="17"/>
        <v>W211.D</v>
      </c>
      <c r="I336" s="13" t="s">
        <v>104</v>
      </c>
      <c r="J336" s="13"/>
      <c r="K336" s="13"/>
      <c r="L336" s="48"/>
      <c r="M336" s="49" t="str">
        <f t="shared" si="18"/>
        <v>[W211.D]</v>
      </c>
      <c r="N336" s="12" t="str">
        <f t="shared" si="19"/>
        <v xml:space="preserve"> 하부 지그 (SD117) 과전류가 검출되었습니다.</v>
      </c>
      <c r="O336" s="49" t="str">
        <f t="shared" si="20"/>
        <v>[W211.D] 하부 지그 (SD117) 과전류가 검출되었습니다.</v>
      </c>
    </row>
    <row r="337" spans="1:15" s="49" customFormat="1" ht="14.15" customHeight="1">
      <c r="A337" s="43" t="s">
        <v>2197</v>
      </c>
      <c r="B337" s="11"/>
      <c r="C337" s="11" t="s">
        <v>18</v>
      </c>
      <c r="D337" s="45" t="s">
        <v>16</v>
      </c>
      <c r="E337" s="46"/>
      <c r="F337" s="14" t="s">
        <v>1776</v>
      </c>
      <c r="G337" s="13" t="s">
        <v>7137</v>
      </c>
      <c r="H337" s="99" t="str">
        <f t="shared" si="17"/>
        <v>W211.E</v>
      </c>
      <c r="I337" s="13" t="s">
        <v>104</v>
      </c>
      <c r="J337" s="13"/>
      <c r="K337" s="13"/>
      <c r="L337" s="48"/>
      <c r="M337" s="49" t="str">
        <f t="shared" si="18"/>
        <v>[W211.E]</v>
      </c>
      <c r="N337" s="12" t="str">
        <f t="shared" si="19"/>
        <v xml:space="preserve"> 하부 지그 (SD117) 과부하가 검출되었습니다.</v>
      </c>
      <c r="O337" s="49" t="str">
        <f t="shared" si="20"/>
        <v>[W211.E] 하부 지그 (SD117) 과부하가 검출되었습니다.</v>
      </c>
    </row>
    <row r="338" spans="1:15" s="49" customFormat="1" ht="14.15" customHeight="1">
      <c r="A338" s="43" t="s">
        <v>2197</v>
      </c>
      <c r="B338" s="11"/>
      <c r="C338" s="11" t="s">
        <v>18</v>
      </c>
      <c r="D338" s="45" t="s">
        <v>16</v>
      </c>
      <c r="E338" s="47"/>
      <c r="F338" s="12" t="s">
        <v>1777</v>
      </c>
      <c r="G338" s="13" t="s">
        <v>7138</v>
      </c>
      <c r="H338" s="99" t="str">
        <f t="shared" si="17"/>
        <v>W211.F</v>
      </c>
      <c r="I338" s="13" t="s">
        <v>104</v>
      </c>
      <c r="J338" s="13"/>
      <c r="K338" s="13"/>
      <c r="L338" s="48"/>
      <c r="M338" s="49" t="str">
        <f t="shared" si="18"/>
        <v>[W211.F]</v>
      </c>
      <c r="N338" s="12" t="str">
        <f t="shared" si="19"/>
        <v xml:space="preserve"> 하부 지그 (SD117)  </v>
      </c>
      <c r="O338" s="49" t="str">
        <f t="shared" si="20"/>
        <v xml:space="preserve">[W211.F] 하부 지그 (SD117)  </v>
      </c>
    </row>
    <row r="339" spans="1:15" s="49" customFormat="1" ht="14.15" customHeight="1">
      <c r="A339" s="43" t="s">
        <v>2197</v>
      </c>
      <c r="B339" s="11"/>
      <c r="C339" s="11" t="s">
        <v>18</v>
      </c>
      <c r="D339" s="45" t="s">
        <v>16</v>
      </c>
      <c r="E339" s="47"/>
      <c r="F339" s="12" t="s">
        <v>1778</v>
      </c>
      <c r="G339" s="13" t="s">
        <v>7139</v>
      </c>
      <c r="H339" s="99" t="str">
        <f t="shared" si="17"/>
        <v>W212.0</v>
      </c>
      <c r="I339" s="13" t="s">
        <v>104</v>
      </c>
      <c r="J339" s="13"/>
      <c r="K339" s="13"/>
      <c r="L339" s="48"/>
      <c r="M339" s="49" t="str">
        <f t="shared" si="18"/>
        <v>[W212.0]</v>
      </c>
      <c r="N339" s="12" t="str">
        <f t="shared" si="19"/>
        <v xml:space="preserve"> 하부 지그 (SD117) 에러가 발생했습니다.</v>
      </c>
      <c r="O339" s="49" t="str">
        <f t="shared" si="20"/>
        <v>[W212.0] 하부 지그 (SD117) 에러가 발생했습니다.</v>
      </c>
    </row>
    <row r="340" spans="1:15" s="49" customFormat="1" ht="14.15" customHeight="1">
      <c r="A340" s="44"/>
      <c r="B340" s="11"/>
      <c r="C340" s="11" t="s">
        <v>18</v>
      </c>
      <c r="D340" s="45" t="s">
        <v>16</v>
      </c>
      <c r="E340" s="47"/>
      <c r="F340" s="12" t="s">
        <v>409</v>
      </c>
      <c r="G340" s="13" t="s">
        <v>7140</v>
      </c>
      <c r="H340" s="99" t="str">
        <f t="shared" si="17"/>
        <v>W212.1</v>
      </c>
      <c r="I340" s="13"/>
      <c r="J340" s="13"/>
      <c r="K340" s="13"/>
      <c r="L340" s="48"/>
      <c r="M340" s="49" t="str">
        <f t="shared" si="18"/>
        <v>[W212.1]</v>
      </c>
      <c r="N340" s="12" t="str">
        <f t="shared" si="19"/>
        <v xml:space="preserve"> </v>
      </c>
      <c r="O340" s="49" t="str">
        <f t="shared" si="20"/>
        <v xml:space="preserve">[W212.1] </v>
      </c>
    </row>
    <row r="341" spans="1:15" s="49" customFormat="1" ht="14.15" customHeight="1">
      <c r="A341" s="44"/>
      <c r="B341" s="11"/>
      <c r="C341" s="11" t="s">
        <v>18</v>
      </c>
      <c r="D341" s="45" t="s">
        <v>16</v>
      </c>
      <c r="E341" s="47"/>
      <c r="F341" s="12" t="s">
        <v>410</v>
      </c>
      <c r="G341" s="13" t="s">
        <v>7141</v>
      </c>
      <c r="H341" s="99" t="str">
        <f t="shared" si="17"/>
        <v>W212.2</v>
      </c>
      <c r="I341" s="13"/>
      <c r="J341" s="13"/>
      <c r="K341" s="13"/>
      <c r="L341" s="48"/>
      <c r="M341" s="49" t="str">
        <f t="shared" si="18"/>
        <v>[W212.2]</v>
      </c>
      <c r="N341" s="12" t="str">
        <f t="shared" si="19"/>
        <v xml:space="preserve"> </v>
      </c>
      <c r="O341" s="49" t="str">
        <f t="shared" si="20"/>
        <v xml:space="preserve">[W212.2] </v>
      </c>
    </row>
    <row r="342" spans="1:15" s="49" customFormat="1" ht="14.15" customHeight="1">
      <c r="A342" s="44"/>
      <c r="B342" s="11"/>
      <c r="C342" s="11" t="s">
        <v>18</v>
      </c>
      <c r="D342" s="45" t="s">
        <v>16</v>
      </c>
      <c r="E342" s="47"/>
      <c r="F342" s="12" t="s">
        <v>411</v>
      </c>
      <c r="G342" s="13" t="s">
        <v>7142</v>
      </c>
      <c r="H342" s="99" t="str">
        <f t="shared" si="17"/>
        <v>W212.3</v>
      </c>
      <c r="I342" s="13"/>
      <c r="J342" s="13"/>
      <c r="K342" s="13"/>
      <c r="L342" s="48"/>
      <c r="M342" s="49" t="str">
        <f t="shared" si="18"/>
        <v>[W212.3]</v>
      </c>
      <c r="N342" s="12" t="str">
        <f t="shared" si="19"/>
        <v xml:space="preserve"> </v>
      </c>
      <c r="O342" s="49" t="str">
        <f t="shared" si="20"/>
        <v xml:space="preserve">[W212.3] </v>
      </c>
    </row>
    <row r="343" spans="1:15" s="49" customFormat="1" ht="14.15" customHeight="1">
      <c r="A343" s="44"/>
      <c r="B343" s="11"/>
      <c r="C343" s="11" t="s">
        <v>18</v>
      </c>
      <c r="D343" s="45" t="s">
        <v>16</v>
      </c>
      <c r="E343" s="47"/>
      <c r="F343" s="12" t="s">
        <v>412</v>
      </c>
      <c r="G343" s="13" t="s">
        <v>7143</v>
      </c>
      <c r="H343" s="99" t="str">
        <f t="shared" si="17"/>
        <v>W212.4</v>
      </c>
      <c r="I343" s="13"/>
      <c r="J343" s="13"/>
      <c r="K343" s="13"/>
      <c r="L343" s="48"/>
      <c r="M343" s="49" t="str">
        <f t="shared" si="18"/>
        <v>[W212.4]</v>
      </c>
      <c r="N343" s="12" t="str">
        <f t="shared" si="19"/>
        <v xml:space="preserve"> </v>
      </c>
      <c r="O343" s="49" t="str">
        <f t="shared" si="20"/>
        <v xml:space="preserve">[W212.4] </v>
      </c>
    </row>
    <row r="344" spans="1:15" s="49" customFormat="1" ht="14.15" customHeight="1">
      <c r="A344" s="44"/>
      <c r="B344" s="11"/>
      <c r="C344" s="11" t="s">
        <v>18</v>
      </c>
      <c r="D344" s="45" t="s">
        <v>16</v>
      </c>
      <c r="E344" s="47"/>
      <c r="F344" s="12" t="s">
        <v>413</v>
      </c>
      <c r="G344" s="13" t="s">
        <v>7144</v>
      </c>
      <c r="H344" s="99" t="str">
        <f t="shared" si="17"/>
        <v>W212.5</v>
      </c>
      <c r="I344" s="13"/>
      <c r="J344" s="13"/>
      <c r="K344" s="13"/>
      <c r="L344" s="48"/>
      <c r="M344" s="49" t="str">
        <f t="shared" si="18"/>
        <v>[W212.5]</v>
      </c>
      <c r="N344" s="12" t="str">
        <f t="shared" si="19"/>
        <v xml:space="preserve"> </v>
      </c>
      <c r="O344" s="49" t="str">
        <f t="shared" si="20"/>
        <v xml:space="preserve">[W212.5] </v>
      </c>
    </row>
    <row r="345" spans="1:15" s="49" customFormat="1" ht="14.15" customHeight="1">
      <c r="A345" s="44"/>
      <c r="B345" s="11"/>
      <c r="C345" s="11" t="s">
        <v>18</v>
      </c>
      <c r="D345" s="45" t="s">
        <v>16</v>
      </c>
      <c r="E345" s="47"/>
      <c r="F345" s="12" t="s">
        <v>414</v>
      </c>
      <c r="G345" s="13" t="s">
        <v>7145</v>
      </c>
      <c r="H345" s="99" t="str">
        <f t="shared" si="17"/>
        <v>W212.6</v>
      </c>
      <c r="I345" s="13"/>
      <c r="J345" s="13"/>
      <c r="K345" s="13"/>
      <c r="L345" s="48"/>
      <c r="M345" s="49" t="str">
        <f t="shared" si="18"/>
        <v>[W212.6]</v>
      </c>
      <c r="N345" s="12" t="str">
        <f t="shared" si="19"/>
        <v xml:space="preserve"> </v>
      </c>
      <c r="O345" s="49" t="str">
        <f t="shared" si="20"/>
        <v xml:space="preserve">[W212.6] </v>
      </c>
    </row>
    <row r="346" spans="1:15" s="49" customFormat="1" ht="14.15" customHeight="1">
      <c r="A346" s="44"/>
      <c r="B346" s="11"/>
      <c r="C346" s="11" t="s">
        <v>18</v>
      </c>
      <c r="D346" s="45" t="s">
        <v>16</v>
      </c>
      <c r="E346" s="47"/>
      <c r="F346" s="12" t="s">
        <v>415</v>
      </c>
      <c r="G346" s="13" t="s">
        <v>7146</v>
      </c>
      <c r="H346" s="99" t="str">
        <f t="shared" si="17"/>
        <v>W212.7</v>
      </c>
      <c r="I346" s="13"/>
      <c r="J346" s="13"/>
      <c r="K346" s="13"/>
      <c r="L346" s="48"/>
      <c r="M346" s="49" t="str">
        <f t="shared" si="18"/>
        <v>[W212.7]</v>
      </c>
      <c r="N346" s="12" t="str">
        <f t="shared" si="19"/>
        <v xml:space="preserve"> </v>
      </c>
      <c r="O346" s="49" t="str">
        <f t="shared" si="20"/>
        <v xml:space="preserve">[W212.7] </v>
      </c>
    </row>
    <row r="347" spans="1:15" s="49" customFormat="1" ht="14.15" customHeight="1">
      <c r="A347" s="44"/>
      <c r="B347" s="11"/>
      <c r="C347" s="11" t="s">
        <v>18</v>
      </c>
      <c r="D347" s="45" t="s">
        <v>16</v>
      </c>
      <c r="E347" s="46"/>
      <c r="F347" s="14" t="s">
        <v>416</v>
      </c>
      <c r="G347" s="13" t="s">
        <v>7147</v>
      </c>
      <c r="H347" s="99" t="str">
        <f t="shared" si="17"/>
        <v>W212.8</v>
      </c>
      <c r="I347" s="13"/>
      <c r="J347" s="13"/>
      <c r="K347" s="13"/>
      <c r="L347" s="48"/>
      <c r="M347" s="49" t="str">
        <f t="shared" si="18"/>
        <v>[W212.8]</v>
      </c>
      <c r="N347" s="12" t="str">
        <f t="shared" si="19"/>
        <v xml:space="preserve"> </v>
      </c>
      <c r="O347" s="49" t="str">
        <f t="shared" si="20"/>
        <v xml:space="preserve">[W212.8] </v>
      </c>
    </row>
    <row r="348" spans="1:15" s="49" customFormat="1" ht="14.15" customHeight="1">
      <c r="A348" s="44"/>
      <c r="B348" s="11"/>
      <c r="C348" s="11" t="s">
        <v>18</v>
      </c>
      <c r="D348" s="45" t="s">
        <v>16</v>
      </c>
      <c r="E348" s="46"/>
      <c r="F348" s="14" t="s">
        <v>417</v>
      </c>
      <c r="G348" s="13" t="s">
        <v>7148</v>
      </c>
      <c r="H348" s="99" t="str">
        <f t="shared" si="17"/>
        <v>W212.9</v>
      </c>
      <c r="I348" s="13"/>
      <c r="J348" s="13"/>
      <c r="K348" s="13"/>
      <c r="L348" s="48"/>
      <c r="M348" s="49" t="str">
        <f t="shared" si="18"/>
        <v>[W212.9]</v>
      </c>
      <c r="N348" s="12" t="str">
        <f t="shared" si="19"/>
        <v xml:space="preserve"> </v>
      </c>
      <c r="O348" s="49" t="str">
        <f t="shared" si="20"/>
        <v xml:space="preserve">[W212.9] </v>
      </c>
    </row>
    <row r="349" spans="1:15" s="49" customFormat="1" ht="14.15" customHeight="1">
      <c r="A349" s="44"/>
      <c r="B349" s="11"/>
      <c r="C349" s="11" t="s">
        <v>18</v>
      </c>
      <c r="D349" s="45" t="s">
        <v>16</v>
      </c>
      <c r="E349" s="46"/>
      <c r="F349" s="14" t="s">
        <v>418</v>
      </c>
      <c r="G349" s="13" t="s">
        <v>7149</v>
      </c>
      <c r="H349" s="99" t="str">
        <f t="shared" si="17"/>
        <v>W212.A</v>
      </c>
      <c r="I349" s="13"/>
      <c r="J349" s="13"/>
      <c r="K349" s="13"/>
      <c r="L349" s="48"/>
      <c r="M349" s="49" t="str">
        <f t="shared" si="18"/>
        <v>[W212.A]</v>
      </c>
      <c r="N349" s="12" t="str">
        <f t="shared" si="19"/>
        <v xml:space="preserve"> </v>
      </c>
      <c r="O349" s="49" t="str">
        <f t="shared" si="20"/>
        <v xml:space="preserve">[W212.A] </v>
      </c>
    </row>
    <row r="350" spans="1:15" s="49" customFormat="1" ht="14.15" customHeight="1">
      <c r="A350" s="43" t="s">
        <v>2197</v>
      </c>
      <c r="B350" s="11"/>
      <c r="C350" s="11" t="s">
        <v>18</v>
      </c>
      <c r="D350" s="45" t="s">
        <v>16</v>
      </c>
      <c r="E350" s="46"/>
      <c r="F350" s="14" t="s">
        <v>1779</v>
      </c>
      <c r="G350" s="13" t="s">
        <v>7150</v>
      </c>
      <c r="H350" s="99" t="str">
        <f t="shared" si="17"/>
        <v>W212.B</v>
      </c>
      <c r="I350" s="13" t="s">
        <v>104</v>
      </c>
      <c r="J350" s="13"/>
      <c r="K350" s="13"/>
      <c r="L350" s="48"/>
      <c r="M350" s="49" t="str">
        <f t="shared" si="18"/>
        <v>[W212.B]</v>
      </c>
      <c r="N350" s="12" t="str">
        <f t="shared" si="19"/>
        <v xml:space="preserve"> 센터링X1 (SD118) 운전중에 Ready가 Off 되었습니다.</v>
      </c>
      <c r="O350" s="49" t="str">
        <f t="shared" si="20"/>
        <v>[W212.B] 센터링X1 (SD118) 운전중에 Ready가 Off 되었습니다.</v>
      </c>
    </row>
    <row r="351" spans="1:15" s="49" customFormat="1" ht="14.15" customHeight="1">
      <c r="A351" s="43" t="s">
        <v>2197</v>
      </c>
      <c r="B351" s="11"/>
      <c r="C351" s="11" t="s">
        <v>18</v>
      </c>
      <c r="D351" s="45" t="s">
        <v>16</v>
      </c>
      <c r="E351" s="46"/>
      <c r="F351" s="14" t="s">
        <v>1780</v>
      </c>
      <c r="G351" s="13" t="s">
        <v>7151</v>
      </c>
      <c r="H351" s="99" t="str">
        <f t="shared" si="17"/>
        <v>W212.C</v>
      </c>
      <c r="I351" s="13" t="s">
        <v>104</v>
      </c>
      <c r="J351" s="13"/>
      <c r="K351" s="13"/>
      <c r="L351" s="48"/>
      <c r="M351" s="49" t="str">
        <f t="shared" si="18"/>
        <v>[W212.C]</v>
      </c>
      <c r="N351" s="12" t="str">
        <f t="shared" si="19"/>
        <v xml:space="preserve"> 센터링X1 (SD118) FLS가 감지되었습니다.</v>
      </c>
      <c r="O351" s="49" t="str">
        <f t="shared" si="20"/>
        <v>[W212.C] 센터링X1 (SD118) FLS가 감지되었습니다.</v>
      </c>
    </row>
    <row r="352" spans="1:15" s="49" customFormat="1" ht="14.15" customHeight="1">
      <c r="A352" s="43" t="s">
        <v>2197</v>
      </c>
      <c r="B352" s="11"/>
      <c r="C352" s="11" t="s">
        <v>18</v>
      </c>
      <c r="D352" s="45" t="s">
        <v>16</v>
      </c>
      <c r="E352" s="46"/>
      <c r="F352" s="14" t="s">
        <v>1781</v>
      </c>
      <c r="G352" s="13" t="s">
        <v>7152</v>
      </c>
      <c r="H352" s="99" t="str">
        <f t="shared" si="17"/>
        <v>W212.D</v>
      </c>
      <c r="I352" s="13" t="s">
        <v>17</v>
      </c>
      <c r="J352" s="13"/>
      <c r="K352" s="13"/>
      <c r="L352" s="48"/>
      <c r="M352" s="49" t="str">
        <f t="shared" si="18"/>
        <v>[W212.D]</v>
      </c>
      <c r="N352" s="12" t="str">
        <f t="shared" si="19"/>
        <v xml:space="preserve"> 센터링X1 (SD118) RLS가 감지되었습니다.</v>
      </c>
      <c r="O352" s="49" t="str">
        <f t="shared" si="20"/>
        <v>[W212.D] 센터링X1 (SD118) RLS가 감지되었습니다.</v>
      </c>
    </row>
    <row r="353" spans="1:15" s="49" customFormat="1" ht="14.15" customHeight="1">
      <c r="A353" s="43" t="s">
        <v>2197</v>
      </c>
      <c r="B353" s="11"/>
      <c r="C353" s="11" t="s">
        <v>18</v>
      </c>
      <c r="D353" s="45" t="s">
        <v>16</v>
      </c>
      <c r="E353" s="46"/>
      <c r="F353" s="14" t="s">
        <v>1782</v>
      </c>
      <c r="G353" s="13" t="s">
        <v>7153</v>
      </c>
      <c r="H353" s="99" t="str">
        <f t="shared" si="17"/>
        <v>W212.E</v>
      </c>
      <c r="I353" s="13" t="s">
        <v>105</v>
      </c>
      <c r="J353" s="13"/>
      <c r="K353" s="13"/>
      <c r="L353" s="48"/>
      <c r="M353" s="49" t="str">
        <f t="shared" si="18"/>
        <v>[W212.E]</v>
      </c>
      <c r="N353" s="12" t="str">
        <f t="shared" si="19"/>
        <v xml:space="preserve"> 센터링X1 (SD118) Stop 명령이 On된 상태에서 기동을 시도했습니다.</v>
      </c>
      <c r="O353" s="49" t="str">
        <f t="shared" si="20"/>
        <v>[W212.E] 센터링X1 (SD118) Stop 명령이 On된 상태에서 기동을 시도했습니다.</v>
      </c>
    </row>
    <row r="354" spans="1:15" s="49" customFormat="1" ht="14.15" customHeight="1">
      <c r="A354" s="43" t="s">
        <v>2197</v>
      </c>
      <c r="B354" s="11"/>
      <c r="C354" s="11" t="s">
        <v>18</v>
      </c>
      <c r="D354" s="45" t="s">
        <v>16</v>
      </c>
      <c r="E354" s="46"/>
      <c r="F354" s="14" t="s">
        <v>1783</v>
      </c>
      <c r="G354" s="13" t="s">
        <v>7154</v>
      </c>
      <c r="H354" s="99" t="str">
        <f t="shared" si="17"/>
        <v>W212.F</v>
      </c>
      <c r="I354" s="13" t="s">
        <v>104</v>
      </c>
      <c r="J354" s="13"/>
      <c r="K354" s="13"/>
      <c r="L354" s="48"/>
      <c r="M354" s="49" t="str">
        <f t="shared" si="18"/>
        <v>[W212.F]</v>
      </c>
      <c r="N354" s="12" t="str">
        <f t="shared" si="19"/>
        <v xml:space="preserve"> 센터링X1 (SD118) 가동 전원이 Off 되었습니다.</v>
      </c>
      <c r="O354" s="49" t="str">
        <f t="shared" si="20"/>
        <v>[W212.F] 센터링X1 (SD118) 가동 전원이 Off 되었습니다.</v>
      </c>
    </row>
    <row r="355" spans="1:15" s="49" customFormat="1" ht="14.15" customHeight="1">
      <c r="A355" s="43" t="s">
        <v>2197</v>
      </c>
      <c r="B355" s="11"/>
      <c r="C355" s="11" t="s">
        <v>18</v>
      </c>
      <c r="D355" s="45" t="s">
        <v>16</v>
      </c>
      <c r="E355" s="46"/>
      <c r="F355" s="14" t="s">
        <v>1784</v>
      </c>
      <c r="G355" s="13" t="s">
        <v>7155</v>
      </c>
      <c r="H355" s="99" t="str">
        <f t="shared" si="17"/>
        <v>W213.0</v>
      </c>
      <c r="I355" s="13" t="s">
        <v>105</v>
      </c>
      <c r="J355" s="13"/>
      <c r="K355" s="13"/>
      <c r="L355" s="48"/>
      <c r="M355" s="49" t="str">
        <f t="shared" si="18"/>
        <v>[W213.0]</v>
      </c>
      <c r="N355" s="12" t="str">
        <f t="shared" si="19"/>
        <v xml:space="preserve"> 센터링X1 (SD118) 엔코더 이상이 검출되었습니다.</v>
      </c>
      <c r="O355" s="49" t="str">
        <f t="shared" si="20"/>
        <v>[W213.0] 센터링X1 (SD118) 엔코더 이상이 검출되었습니다.</v>
      </c>
    </row>
    <row r="356" spans="1:15" s="49" customFormat="1" ht="14.15" customHeight="1">
      <c r="A356" s="43" t="s">
        <v>2197</v>
      </c>
      <c r="B356" s="11"/>
      <c r="C356" s="11" t="s">
        <v>18</v>
      </c>
      <c r="D356" s="45" t="s">
        <v>16</v>
      </c>
      <c r="E356" s="46"/>
      <c r="F356" s="14" t="s">
        <v>1785</v>
      </c>
      <c r="G356" s="13" t="s">
        <v>7156</v>
      </c>
      <c r="H356" s="99" t="str">
        <f t="shared" si="17"/>
        <v>W213.1</v>
      </c>
      <c r="I356" s="13" t="s">
        <v>104</v>
      </c>
      <c r="J356" s="13"/>
      <c r="K356" s="13"/>
      <c r="L356" s="48"/>
      <c r="M356" s="49" t="str">
        <f t="shared" si="18"/>
        <v>[W213.1]</v>
      </c>
      <c r="N356" s="12" t="str">
        <f t="shared" si="19"/>
        <v xml:space="preserve"> 센터링X1 (SD118) 과전류가 검출되었습니다.</v>
      </c>
      <c r="O356" s="49" t="str">
        <f t="shared" si="20"/>
        <v>[W213.1] 센터링X1 (SD118) 과전류가 검출되었습니다.</v>
      </c>
    </row>
    <row r="357" spans="1:15" s="49" customFormat="1" ht="14.15" customHeight="1">
      <c r="A357" s="43" t="s">
        <v>2197</v>
      </c>
      <c r="B357" s="11"/>
      <c r="C357" s="11" t="s">
        <v>18</v>
      </c>
      <c r="D357" s="45" t="s">
        <v>16</v>
      </c>
      <c r="E357" s="46"/>
      <c r="F357" s="14" t="s">
        <v>1786</v>
      </c>
      <c r="G357" s="13" t="s">
        <v>7157</v>
      </c>
      <c r="H357" s="99" t="str">
        <f t="shared" si="17"/>
        <v>W213.2</v>
      </c>
      <c r="I357" s="13" t="s">
        <v>104</v>
      </c>
      <c r="J357" s="13"/>
      <c r="K357" s="13"/>
      <c r="L357" s="48"/>
      <c r="M357" s="49" t="str">
        <f t="shared" si="18"/>
        <v>[W213.2]</v>
      </c>
      <c r="N357" s="12" t="str">
        <f t="shared" si="19"/>
        <v xml:space="preserve"> 센터링X1 (SD118) 과부하가 검출되었습니다.</v>
      </c>
      <c r="O357" s="49" t="str">
        <f t="shared" si="20"/>
        <v>[W213.2] 센터링X1 (SD118) 과부하가 검출되었습니다.</v>
      </c>
    </row>
    <row r="358" spans="1:15" s="49" customFormat="1" ht="14.15" customHeight="1">
      <c r="A358" s="43" t="s">
        <v>2197</v>
      </c>
      <c r="B358" s="11"/>
      <c r="C358" s="11" t="s">
        <v>18</v>
      </c>
      <c r="D358" s="45" t="s">
        <v>16</v>
      </c>
      <c r="E358" s="46"/>
      <c r="F358" s="14" t="s">
        <v>1787</v>
      </c>
      <c r="G358" s="13" t="s">
        <v>7158</v>
      </c>
      <c r="H358" s="99" t="str">
        <f t="shared" si="17"/>
        <v>W213.3</v>
      </c>
      <c r="I358" s="13" t="s">
        <v>17</v>
      </c>
      <c r="J358" s="13"/>
      <c r="K358" s="13"/>
      <c r="L358" s="48"/>
      <c r="M358" s="49" t="str">
        <f t="shared" si="18"/>
        <v>[W213.3]</v>
      </c>
      <c r="N358" s="12" t="str">
        <f t="shared" si="19"/>
        <v xml:space="preserve"> 센터링X1 (SD118)  </v>
      </c>
      <c r="O358" s="49" t="str">
        <f t="shared" si="20"/>
        <v xml:space="preserve">[W213.3] 센터링X1 (SD118)  </v>
      </c>
    </row>
    <row r="359" spans="1:15" s="49" customFormat="1" ht="14.15" customHeight="1">
      <c r="A359" s="43" t="s">
        <v>2197</v>
      </c>
      <c r="B359" s="11"/>
      <c r="C359" s="11" t="s">
        <v>18</v>
      </c>
      <c r="D359" s="45" t="s">
        <v>16</v>
      </c>
      <c r="E359" s="46"/>
      <c r="F359" s="14" t="s">
        <v>1788</v>
      </c>
      <c r="G359" s="13" t="s">
        <v>7159</v>
      </c>
      <c r="H359" s="99" t="str">
        <f t="shared" si="17"/>
        <v>W213.4</v>
      </c>
      <c r="I359" s="13" t="s">
        <v>104</v>
      </c>
      <c r="J359" s="13"/>
      <c r="K359" s="13"/>
      <c r="L359" s="48"/>
      <c r="M359" s="49" t="str">
        <f t="shared" si="18"/>
        <v>[W213.4]</v>
      </c>
      <c r="N359" s="12" t="str">
        <f t="shared" si="19"/>
        <v xml:space="preserve"> 센터링X1 (SD118) 에러가 발생했습니다.</v>
      </c>
      <c r="O359" s="49" t="str">
        <f t="shared" si="20"/>
        <v>[W213.4] 센터링X1 (SD118) 에러가 발생했습니다.</v>
      </c>
    </row>
    <row r="360" spans="1:15" s="49" customFormat="1" ht="14.15" customHeight="1">
      <c r="A360" s="43" t="s">
        <v>2197</v>
      </c>
      <c r="B360" s="11"/>
      <c r="C360" s="11" t="s">
        <v>18</v>
      </c>
      <c r="D360" s="45" t="s">
        <v>16</v>
      </c>
      <c r="E360" s="46"/>
      <c r="F360" s="14" t="s">
        <v>1789</v>
      </c>
      <c r="G360" s="13" t="s">
        <v>7160</v>
      </c>
      <c r="H360" s="99" t="str">
        <f t="shared" si="17"/>
        <v>W213.5</v>
      </c>
      <c r="I360" s="13" t="s">
        <v>17</v>
      </c>
      <c r="J360" s="13"/>
      <c r="K360" s="13"/>
      <c r="L360" s="48"/>
      <c r="M360" s="49" t="str">
        <f t="shared" si="18"/>
        <v>[W213.5]</v>
      </c>
      <c r="N360" s="12" t="str">
        <f t="shared" si="19"/>
        <v xml:space="preserve"> 센터링X2 (SD119) 운전중에 Ready가 Off 되었습니다.</v>
      </c>
      <c r="O360" s="49" t="str">
        <f t="shared" si="20"/>
        <v>[W213.5] 센터링X2 (SD119) 운전중에 Ready가 Off 되었습니다.</v>
      </c>
    </row>
    <row r="361" spans="1:15" s="49" customFormat="1" ht="14.15" customHeight="1">
      <c r="A361" s="43" t="s">
        <v>2197</v>
      </c>
      <c r="B361" s="11"/>
      <c r="C361" s="11" t="s">
        <v>18</v>
      </c>
      <c r="D361" s="45" t="s">
        <v>16</v>
      </c>
      <c r="E361" s="46"/>
      <c r="F361" s="14" t="s">
        <v>1790</v>
      </c>
      <c r="G361" s="13" t="s">
        <v>7161</v>
      </c>
      <c r="H361" s="99" t="str">
        <f t="shared" si="17"/>
        <v>W213.6</v>
      </c>
      <c r="I361" s="13" t="s">
        <v>17</v>
      </c>
      <c r="J361" s="13"/>
      <c r="K361" s="13"/>
      <c r="L361" s="48"/>
      <c r="M361" s="49" t="str">
        <f t="shared" si="18"/>
        <v>[W213.6]</v>
      </c>
      <c r="N361" s="12" t="str">
        <f t="shared" si="19"/>
        <v xml:space="preserve"> 센터링X2 (SD119) FLS가 감지되었습니다.</v>
      </c>
      <c r="O361" s="49" t="str">
        <f t="shared" si="20"/>
        <v>[W213.6] 센터링X2 (SD119) FLS가 감지되었습니다.</v>
      </c>
    </row>
    <row r="362" spans="1:15" s="49" customFormat="1" ht="14.15" customHeight="1">
      <c r="A362" s="43" t="s">
        <v>2197</v>
      </c>
      <c r="B362" s="11"/>
      <c r="C362" s="11" t="s">
        <v>18</v>
      </c>
      <c r="D362" s="45" t="s">
        <v>16</v>
      </c>
      <c r="E362" s="46"/>
      <c r="F362" s="14" t="s">
        <v>1791</v>
      </c>
      <c r="G362" s="13" t="s">
        <v>7162</v>
      </c>
      <c r="H362" s="99" t="str">
        <f t="shared" si="17"/>
        <v>W213.7</v>
      </c>
      <c r="I362" s="13" t="s">
        <v>104</v>
      </c>
      <c r="J362" s="13"/>
      <c r="K362" s="13"/>
      <c r="L362" s="48"/>
      <c r="M362" s="49" t="str">
        <f t="shared" si="18"/>
        <v>[W213.7]</v>
      </c>
      <c r="N362" s="12" t="str">
        <f t="shared" si="19"/>
        <v xml:space="preserve"> 센터링X2 (SD119) RLS가 감지되었습니다.</v>
      </c>
      <c r="O362" s="49" t="str">
        <f t="shared" si="20"/>
        <v>[W213.7] 센터링X2 (SD119) RLS가 감지되었습니다.</v>
      </c>
    </row>
    <row r="363" spans="1:15" s="49" customFormat="1" ht="14.15" customHeight="1">
      <c r="A363" s="43" t="s">
        <v>2197</v>
      </c>
      <c r="B363" s="11"/>
      <c r="C363" s="11" t="s">
        <v>18</v>
      </c>
      <c r="D363" s="45" t="s">
        <v>16</v>
      </c>
      <c r="E363" s="46"/>
      <c r="F363" s="14" t="s">
        <v>1792</v>
      </c>
      <c r="G363" s="13" t="s">
        <v>7163</v>
      </c>
      <c r="H363" s="99" t="str">
        <f t="shared" si="17"/>
        <v>W213.8</v>
      </c>
      <c r="I363" s="13" t="s">
        <v>104</v>
      </c>
      <c r="J363" s="13"/>
      <c r="K363" s="13"/>
      <c r="L363" s="48"/>
      <c r="M363" s="49" t="str">
        <f t="shared" si="18"/>
        <v>[W213.8]</v>
      </c>
      <c r="N363" s="12" t="str">
        <f t="shared" si="19"/>
        <v xml:space="preserve"> 센터링X2 (SD119) Stop 명령이 On된 상태에서 기동을 시도했습니다.</v>
      </c>
      <c r="O363" s="49" t="str">
        <f t="shared" si="20"/>
        <v>[W213.8] 센터링X2 (SD119) Stop 명령이 On된 상태에서 기동을 시도했습니다.</v>
      </c>
    </row>
    <row r="364" spans="1:15" s="49" customFormat="1" ht="14.15" customHeight="1">
      <c r="A364" s="43" t="s">
        <v>2197</v>
      </c>
      <c r="B364" s="11"/>
      <c r="C364" s="11" t="s">
        <v>18</v>
      </c>
      <c r="D364" s="45" t="s">
        <v>16</v>
      </c>
      <c r="E364" s="46"/>
      <c r="F364" s="14" t="s">
        <v>1793</v>
      </c>
      <c r="G364" s="13" t="s">
        <v>7164</v>
      </c>
      <c r="H364" s="99" t="str">
        <f t="shared" si="17"/>
        <v>W213.9</v>
      </c>
      <c r="I364" s="13" t="s">
        <v>17</v>
      </c>
      <c r="J364" s="13"/>
      <c r="K364" s="13"/>
      <c r="L364" s="48"/>
      <c r="M364" s="49" t="str">
        <f t="shared" si="18"/>
        <v>[W213.9]</v>
      </c>
      <c r="N364" s="12" t="str">
        <f t="shared" si="19"/>
        <v xml:space="preserve"> 센터링X2 (SD119) 가동 전원이 Off 되었습니다.</v>
      </c>
      <c r="O364" s="49" t="str">
        <f t="shared" si="20"/>
        <v>[W213.9] 센터링X2 (SD119) 가동 전원이 Off 되었습니다.</v>
      </c>
    </row>
    <row r="365" spans="1:15" s="49" customFormat="1" ht="14.15" customHeight="1">
      <c r="A365" s="43" t="s">
        <v>2197</v>
      </c>
      <c r="B365" s="11"/>
      <c r="C365" s="11" t="s">
        <v>18</v>
      </c>
      <c r="D365" s="45" t="s">
        <v>16</v>
      </c>
      <c r="E365" s="46"/>
      <c r="F365" s="14" t="s">
        <v>1794</v>
      </c>
      <c r="G365" s="13" t="s">
        <v>7165</v>
      </c>
      <c r="H365" s="99" t="str">
        <f t="shared" si="17"/>
        <v>W213.A</v>
      </c>
      <c r="I365" s="13" t="s">
        <v>104</v>
      </c>
      <c r="J365" s="13"/>
      <c r="K365" s="13"/>
      <c r="L365" s="48"/>
      <c r="M365" s="49" t="str">
        <f t="shared" si="18"/>
        <v>[W213.A]</v>
      </c>
      <c r="N365" s="12" t="str">
        <f t="shared" si="19"/>
        <v xml:space="preserve"> 센터링X2 (SD119) 엔코더 이상이 검출되었습니다.</v>
      </c>
      <c r="O365" s="49" t="str">
        <f t="shared" si="20"/>
        <v>[W213.A] 센터링X2 (SD119) 엔코더 이상이 검출되었습니다.</v>
      </c>
    </row>
    <row r="366" spans="1:15" s="49" customFormat="1" ht="14.15" customHeight="1">
      <c r="A366" s="43" t="s">
        <v>2197</v>
      </c>
      <c r="B366" s="11"/>
      <c r="C366" s="11" t="s">
        <v>18</v>
      </c>
      <c r="D366" s="45" t="s">
        <v>16</v>
      </c>
      <c r="E366" s="46"/>
      <c r="F366" s="14" t="s">
        <v>1795</v>
      </c>
      <c r="G366" s="13" t="s">
        <v>7166</v>
      </c>
      <c r="H366" s="99" t="str">
        <f t="shared" si="17"/>
        <v>W213.B</v>
      </c>
      <c r="I366" s="13" t="s">
        <v>104</v>
      </c>
      <c r="J366" s="13"/>
      <c r="K366" s="13"/>
      <c r="L366" s="48"/>
      <c r="M366" s="49" t="str">
        <f t="shared" si="18"/>
        <v>[W213.B]</v>
      </c>
      <c r="N366" s="12" t="str">
        <f t="shared" si="19"/>
        <v xml:space="preserve"> 센터링X2 (SD119) 과전류가 검출되었습니다.</v>
      </c>
      <c r="O366" s="49" t="str">
        <f t="shared" si="20"/>
        <v>[W213.B] 센터링X2 (SD119) 과전류가 검출되었습니다.</v>
      </c>
    </row>
    <row r="367" spans="1:15" s="49" customFormat="1" ht="14.15" customHeight="1">
      <c r="A367" s="43" t="s">
        <v>2197</v>
      </c>
      <c r="B367" s="11"/>
      <c r="C367" s="11" t="s">
        <v>18</v>
      </c>
      <c r="D367" s="45" t="s">
        <v>16</v>
      </c>
      <c r="E367" s="46"/>
      <c r="F367" s="14" t="s">
        <v>1796</v>
      </c>
      <c r="G367" s="13" t="s">
        <v>7167</v>
      </c>
      <c r="H367" s="99" t="str">
        <f t="shared" si="17"/>
        <v>W213.C</v>
      </c>
      <c r="I367" s="13" t="s">
        <v>104</v>
      </c>
      <c r="J367" s="13"/>
      <c r="K367" s="13"/>
      <c r="L367" s="48"/>
      <c r="M367" s="49" t="str">
        <f t="shared" si="18"/>
        <v>[W213.C]</v>
      </c>
      <c r="N367" s="12" t="str">
        <f t="shared" si="19"/>
        <v xml:space="preserve"> 센터링X2 (SD119) 과부하가 검출되었습니다.</v>
      </c>
      <c r="O367" s="49" t="str">
        <f t="shared" si="20"/>
        <v>[W213.C] 센터링X2 (SD119) 과부하가 검출되었습니다.</v>
      </c>
    </row>
    <row r="368" spans="1:15" s="49" customFormat="1" ht="14.15" customHeight="1">
      <c r="A368" s="43" t="s">
        <v>2197</v>
      </c>
      <c r="B368" s="11"/>
      <c r="C368" s="11" t="s">
        <v>18</v>
      </c>
      <c r="D368" s="45" t="s">
        <v>16</v>
      </c>
      <c r="E368" s="46"/>
      <c r="F368" s="14" t="s">
        <v>1797</v>
      </c>
      <c r="G368" s="13" t="s">
        <v>7168</v>
      </c>
      <c r="H368" s="99" t="str">
        <f t="shared" si="17"/>
        <v>W213.D</v>
      </c>
      <c r="I368" s="13" t="s">
        <v>104</v>
      </c>
      <c r="J368" s="13"/>
      <c r="K368" s="13"/>
      <c r="L368" s="48"/>
      <c r="M368" s="49" t="str">
        <f t="shared" si="18"/>
        <v>[W213.D]</v>
      </c>
      <c r="N368" s="12" t="str">
        <f t="shared" si="19"/>
        <v xml:space="preserve"> 센터링X2 (SD119)  </v>
      </c>
      <c r="O368" s="49" t="str">
        <f t="shared" si="20"/>
        <v xml:space="preserve">[W213.D] 센터링X2 (SD119)  </v>
      </c>
    </row>
    <row r="369" spans="1:15" s="49" customFormat="1" ht="14.15" customHeight="1">
      <c r="A369" s="43" t="s">
        <v>2197</v>
      </c>
      <c r="B369" s="11"/>
      <c r="C369" s="11" t="s">
        <v>18</v>
      </c>
      <c r="D369" s="45" t="s">
        <v>16</v>
      </c>
      <c r="E369" s="46"/>
      <c r="F369" s="14" t="s">
        <v>1798</v>
      </c>
      <c r="G369" s="13" t="s">
        <v>7169</v>
      </c>
      <c r="H369" s="99" t="str">
        <f t="shared" si="17"/>
        <v>W213.E</v>
      </c>
      <c r="I369" s="13" t="s">
        <v>104</v>
      </c>
      <c r="J369" s="13"/>
      <c r="K369" s="13"/>
      <c r="L369" s="48"/>
      <c r="M369" s="49" t="str">
        <f t="shared" si="18"/>
        <v>[W213.E]</v>
      </c>
      <c r="N369" s="12" t="str">
        <f t="shared" si="19"/>
        <v xml:space="preserve"> 센터링X2 (SD119) 에러가 발생했습니다.</v>
      </c>
      <c r="O369" s="49" t="str">
        <f t="shared" si="20"/>
        <v>[W213.E] 센터링X2 (SD119) 에러가 발생했습니다.</v>
      </c>
    </row>
    <row r="370" spans="1:15" s="49" customFormat="1" ht="14.15" customHeight="1">
      <c r="A370" s="43" t="s">
        <v>2197</v>
      </c>
      <c r="B370" s="11"/>
      <c r="C370" s="11" t="s">
        <v>18</v>
      </c>
      <c r="D370" s="45" t="s">
        <v>16</v>
      </c>
      <c r="E370" s="46"/>
      <c r="F370" s="14" t="s">
        <v>1799</v>
      </c>
      <c r="G370" s="13" t="s">
        <v>7170</v>
      </c>
      <c r="H370" s="99" t="str">
        <f t="shared" si="17"/>
        <v>W213.F</v>
      </c>
      <c r="I370" s="13" t="s">
        <v>104</v>
      </c>
      <c r="J370" s="13"/>
      <c r="K370" s="13"/>
      <c r="L370" s="48"/>
      <c r="M370" s="49" t="str">
        <f t="shared" si="18"/>
        <v>[W213.F]</v>
      </c>
      <c r="N370" s="12" t="str">
        <f t="shared" si="19"/>
        <v xml:space="preserve"> 상부 Z축 (SD120) 운전중에 Ready가 Off 되었습니다.</v>
      </c>
      <c r="O370" s="49" t="str">
        <f t="shared" si="20"/>
        <v>[W213.F] 상부 Z축 (SD120) 운전중에 Ready가 Off 되었습니다.</v>
      </c>
    </row>
    <row r="371" spans="1:15" s="49" customFormat="1" ht="14.15" customHeight="1">
      <c r="A371" s="43" t="s">
        <v>2197</v>
      </c>
      <c r="B371" s="11"/>
      <c r="C371" s="11" t="s">
        <v>18</v>
      </c>
      <c r="D371" s="45" t="s">
        <v>16</v>
      </c>
      <c r="E371" s="45"/>
      <c r="F371" s="12" t="s">
        <v>1800</v>
      </c>
      <c r="G371" s="13" t="s">
        <v>7171</v>
      </c>
      <c r="H371" s="99" t="str">
        <f t="shared" si="17"/>
        <v>W214.0</v>
      </c>
      <c r="I371" s="13" t="s">
        <v>17</v>
      </c>
      <c r="J371" s="13"/>
      <c r="K371" s="13"/>
      <c r="L371" s="48"/>
      <c r="M371" s="49" t="str">
        <f t="shared" si="18"/>
        <v>[W214.0]</v>
      </c>
      <c r="N371" s="12" t="str">
        <f t="shared" si="19"/>
        <v xml:space="preserve"> 상부 Z축 (SD120) FLS가 감지되었습니다.</v>
      </c>
      <c r="O371" s="49" t="str">
        <f t="shared" si="20"/>
        <v>[W214.0] 상부 Z축 (SD120) FLS가 감지되었습니다.</v>
      </c>
    </row>
    <row r="372" spans="1:15" s="49" customFormat="1" ht="14.15" customHeight="1">
      <c r="A372" s="43" t="s">
        <v>2197</v>
      </c>
      <c r="B372" s="11"/>
      <c r="C372" s="11" t="s">
        <v>18</v>
      </c>
      <c r="D372" s="45" t="s">
        <v>16</v>
      </c>
      <c r="E372" s="45"/>
      <c r="F372" s="12" t="s">
        <v>1801</v>
      </c>
      <c r="G372" s="13" t="s">
        <v>7172</v>
      </c>
      <c r="H372" s="99" t="str">
        <f t="shared" ref="H372:H435" si="21">"W"&amp;DEC2HEX(512 + INT((ROW()-51)/16)) &amp; "." &amp; IF(MOD(ROW()-51,16)&lt;10,MOD(ROW()-51,16),CHAR(MOD(ROW()-51,16)+55))</f>
        <v>W214.1</v>
      </c>
      <c r="I372" s="13" t="s">
        <v>104</v>
      </c>
      <c r="J372" s="13"/>
      <c r="K372" s="13"/>
      <c r="L372" s="48"/>
      <c r="M372" s="49" t="str">
        <f t="shared" ref="M372:M435" si="22">"["&amp;H372&amp;"]"</f>
        <v>[W214.1]</v>
      </c>
      <c r="N372" s="12" t="str">
        <f t="shared" ref="N372:N435" si="23">RIGHT(F372,LEN(F372)-7)</f>
        <v xml:space="preserve"> 상부 Z축 (SD120) RLS가 감지되었습니다.</v>
      </c>
      <c r="O372" s="49" t="str">
        <f t="shared" ref="O372:O435" si="24">M372&amp;N372</f>
        <v>[W214.1] 상부 Z축 (SD120) RLS가 감지되었습니다.</v>
      </c>
    </row>
    <row r="373" spans="1:15" s="49" customFormat="1" ht="14.15" customHeight="1">
      <c r="A373" s="43" t="s">
        <v>2197</v>
      </c>
      <c r="B373" s="11"/>
      <c r="C373" s="11" t="s">
        <v>18</v>
      </c>
      <c r="D373" s="45" t="s">
        <v>16</v>
      </c>
      <c r="E373" s="45"/>
      <c r="F373" s="12" t="s">
        <v>1802</v>
      </c>
      <c r="G373" s="13" t="s">
        <v>7173</v>
      </c>
      <c r="H373" s="99" t="str">
        <f t="shared" si="21"/>
        <v>W214.2</v>
      </c>
      <c r="I373" s="13" t="s">
        <v>104</v>
      </c>
      <c r="J373" s="13"/>
      <c r="K373" s="13"/>
      <c r="L373" s="48"/>
      <c r="M373" s="49" t="str">
        <f t="shared" si="22"/>
        <v>[W214.2]</v>
      </c>
      <c r="N373" s="12" t="str">
        <f t="shared" si="23"/>
        <v xml:space="preserve"> 상부 Z축 (SD120) Stop 명령이 On된 상태에서 기동을 시도했습니다.</v>
      </c>
      <c r="O373" s="49" t="str">
        <f t="shared" si="24"/>
        <v>[W214.2] 상부 Z축 (SD120) Stop 명령이 On된 상태에서 기동을 시도했습니다.</v>
      </c>
    </row>
    <row r="374" spans="1:15" s="49" customFormat="1" ht="14.15" customHeight="1">
      <c r="A374" s="43" t="s">
        <v>2197</v>
      </c>
      <c r="B374" s="11"/>
      <c r="C374" s="11" t="s">
        <v>18</v>
      </c>
      <c r="D374" s="45" t="s">
        <v>16</v>
      </c>
      <c r="E374" s="45"/>
      <c r="F374" s="12" t="s">
        <v>1803</v>
      </c>
      <c r="G374" s="13" t="s">
        <v>7174</v>
      </c>
      <c r="H374" s="99" t="str">
        <f t="shared" si="21"/>
        <v>W214.3</v>
      </c>
      <c r="I374" s="13" t="s">
        <v>104</v>
      </c>
      <c r="J374" s="13"/>
      <c r="K374" s="13"/>
      <c r="L374" s="48"/>
      <c r="M374" s="49" t="str">
        <f t="shared" si="22"/>
        <v>[W214.3]</v>
      </c>
      <c r="N374" s="12" t="str">
        <f t="shared" si="23"/>
        <v xml:space="preserve"> 상부 Z축 (SD120) 가동 전원이 Off 되었습니다.</v>
      </c>
      <c r="O374" s="49" t="str">
        <f t="shared" si="24"/>
        <v>[W214.3] 상부 Z축 (SD120) 가동 전원이 Off 되었습니다.</v>
      </c>
    </row>
    <row r="375" spans="1:15" s="49" customFormat="1" ht="14.15" customHeight="1">
      <c r="A375" s="43" t="s">
        <v>2197</v>
      </c>
      <c r="B375" s="11"/>
      <c r="C375" s="11" t="s">
        <v>18</v>
      </c>
      <c r="D375" s="45" t="s">
        <v>16</v>
      </c>
      <c r="E375" s="45"/>
      <c r="F375" s="12" t="s">
        <v>1804</v>
      </c>
      <c r="G375" s="13" t="s">
        <v>7175</v>
      </c>
      <c r="H375" s="99" t="str">
        <f t="shared" si="21"/>
        <v>W214.4</v>
      </c>
      <c r="I375" s="13" t="s">
        <v>104</v>
      </c>
      <c r="J375" s="13"/>
      <c r="K375" s="13"/>
      <c r="L375" s="48"/>
      <c r="M375" s="49" t="str">
        <f t="shared" si="22"/>
        <v>[W214.4]</v>
      </c>
      <c r="N375" s="12" t="str">
        <f t="shared" si="23"/>
        <v xml:space="preserve"> 상부 Z축 (SD120) 엔코더 이상이 검출되었습니다.</v>
      </c>
      <c r="O375" s="49" t="str">
        <f t="shared" si="24"/>
        <v>[W214.4] 상부 Z축 (SD120) 엔코더 이상이 검출되었습니다.</v>
      </c>
    </row>
    <row r="376" spans="1:15" s="49" customFormat="1" ht="14.15" customHeight="1">
      <c r="A376" s="43" t="s">
        <v>2197</v>
      </c>
      <c r="B376" s="11"/>
      <c r="C376" s="11" t="s">
        <v>18</v>
      </c>
      <c r="D376" s="45" t="s">
        <v>16</v>
      </c>
      <c r="E376" s="45"/>
      <c r="F376" s="12" t="s">
        <v>1805</v>
      </c>
      <c r="G376" s="13" t="s">
        <v>7176</v>
      </c>
      <c r="H376" s="99" t="str">
        <f t="shared" si="21"/>
        <v>W214.5</v>
      </c>
      <c r="I376" s="13" t="s">
        <v>104</v>
      </c>
      <c r="J376" s="13"/>
      <c r="K376" s="13"/>
      <c r="L376" s="48"/>
      <c r="M376" s="49" t="str">
        <f t="shared" si="22"/>
        <v>[W214.5]</v>
      </c>
      <c r="N376" s="12" t="str">
        <f t="shared" si="23"/>
        <v xml:space="preserve"> 상부 Z축 (SD120) 과전류가 검출되었습니다.</v>
      </c>
      <c r="O376" s="49" t="str">
        <f t="shared" si="24"/>
        <v>[W214.5] 상부 Z축 (SD120) 과전류가 검출되었습니다.</v>
      </c>
    </row>
    <row r="377" spans="1:15" s="49" customFormat="1" ht="14.15" customHeight="1">
      <c r="A377" s="43" t="s">
        <v>2197</v>
      </c>
      <c r="B377" s="11"/>
      <c r="C377" s="11" t="s">
        <v>18</v>
      </c>
      <c r="D377" s="45" t="s">
        <v>16</v>
      </c>
      <c r="E377" s="45"/>
      <c r="F377" s="12" t="s">
        <v>1806</v>
      </c>
      <c r="G377" s="13" t="s">
        <v>7177</v>
      </c>
      <c r="H377" s="99" t="str">
        <f t="shared" si="21"/>
        <v>W214.6</v>
      </c>
      <c r="I377" s="13" t="s">
        <v>104</v>
      </c>
      <c r="J377" s="13"/>
      <c r="K377" s="13"/>
      <c r="L377" s="48"/>
      <c r="M377" s="49" t="str">
        <f t="shared" si="22"/>
        <v>[W214.6]</v>
      </c>
      <c r="N377" s="12" t="str">
        <f t="shared" si="23"/>
        <v xml:space="preserve"> 상부 Z축 (SD120) 과부하가 검출되었습니다.</v>
      </c>
      <c r="O377" s="49" t="str">
        <f t="shared" si="24"/>
        <v>[W214.6] 상부 Z축 (SD120) 과부하가 검출되었습니다.</v>
      </c>
    </row>
    <row r="378" spans="1:15" s="49" customFormat="1" ht="14.15" customHeight="1">
      <c r="A378" s="43" t="s">
        <v>2197</v>
      </c>
      <c r="B378" s="11"/>
      <c r="C378" s="11" t="s">
        <v>18</v>
      </c>
      <c r="D378" s="45" t="s">
        <v>16</v>
      </c>
      <c r="E378" s="45"/>
      <c r="F378" s="12" t="s">
        <v>1807</v>
      </c>
      <c r="G378" s="13" t="s">
        <v>7178</v>
      </c>
      <c r="H378" s="99" t="str">
        <f t="shared" si="21"/>
        <v>W214.7</v>
      </c>
      <c r="I378" s="13" t="s">
        <v>104</v>
      </c>
      <c r="J378" s="13"/>
      <c r="K378" s="13"/>
      <c r="L378" s="48"/>
      <c r="M378" s="49" t="str">
        <f t="shared" si="22"/>
        <v>[W214.7]</v>
      </c>
      <c r="N378" s="12" t="str">
        <f t="shared" si="23"/>
        <v xml:space="preserve"> 상부 Z축 (SD120)  </v>
      </c>
      <c r="O378" s="49" t="str">
        <f t="shared" si="24"/>
        <v xml:space="preserve">[W214.7] 상부 Z축 (SD120)  </v>
      </c>
    </row>
    <row r="379" spans="1:15" s="49" customFormat="1" ht="14.15" customHeight="1">
      <c r="A379" s="43" t="s">
        <v>2197</v>
      </c>
      <c r="B379" s="11"/>
      <c r="C379" s="11" t="s">
        <v>18</v>
      </c>
      <c r="D379" s="45" t="s">
        <v>16</v>
      </c>
      <c r="E379" s="45"/>
      <c r="F379" s="12" t="s">
        <v>1808</v>
      </c>
      <c r="G379" s="13" t="s">
        <v>7179</v>
      </c>
      <c r="H379" s="99" t="str">
        <f t="shared" si="21"/>
        <v>W214.8</v>
      </c>
      <c r="I379" s="13" t="s">
        <v>104</v>
      </c>
      <c r="J379" s="13"/>
      <c r="K379" s="13"/>
      <c r="L379" s="48"/>
      <c r="M379" s="49" t="str">
        <f t="shared" si="22"/>
        <v>[W214.8]</v>
      </c>
      <c r="N379" s="12" t="str">
        <f t="shared" si="23"/>
        <v xml:space="preserve"> 상부 Z축 (SD120) 에러가 발생했습니다.</v>
      </c>
      <c r="O379" s="49" t="str">
        <f t="shared" si="24"/>
        <v>[W214.8] 상부 Z축 (SD120) 에러가 발생했습니다.</v>
      </c>
    </row>
    <row r="380" spans="1:15" s="49" customFormat="1" ht="14.15" customHeight="1">
      <c r="A380" s="43" t="s">
        <v>2197</v>
      </c>
      <c r="B380" s="11"/>
      <c r="C380" s="11" t="s">
        <v>18</v>
      </c>
      <c r="D380" s="45" t="s">
        <v>16</v>
      </c>
      <c r="E380" s="45"/>
      <c r="F380" s="12" t="s">
        <v>1809</v>
      </c>
      <c r="G380" s="13" t="s">
        <v>7180</v>
      </c>
      <c r="H380" s="99" t="str">
        <f t="shared" si="21"/>
        <v>W214.9</v>
      </c>
      <c r="I380" s="13" t="s">
        <v>104</v>
      </c>
      <c r="J380" s="13"/>
      <c r="K380" s="13"/>
      <c r="L380" s="48"/>
      <c r="M380" s="49" t="str">
        <f t="shared" si="22"/>
        <v>[W214.9]</v>
      </c>
      <c r="N380" s="12" t="str">
        <f t="shared" si="23"/>
        <v xml:space="preserve"> 벤딩 T1축 (SD121) 운전중에 Ready가 Off 되었습니다.</v>
      </c>
      <c r="O380" s="49" t="str">
        <f t="shared" si="24"/>
        <v>[W214.9] 벤딩 T1축 (SD121) 운전중에 Ready가 Off 되었습니다.</v>
      </c>
    </row>
    <row r="381" spans="1:15" s="49" customFormat="1" ht="14.15" customHeight="1">
      <c r="A381" s="43" t="s">
        <v>2197</v>
      </c>
      <c r="B381" s="11"/>
      <c r="C381" s="11" t="s">
        <v>18</v>
      </c>
      <c r="D381" s="45" t="s">
        <v>16</v>
      </c>
      <c r="E381" s="45"/>
      <c r="F381" s="12" t="s">
        <v>1810</v>
      </c>
      <c r="G381" s="13" t="s">
        <v>7181</v>
      </c>
      <c r="H381" s="99" t="str">
        <f t="shared" si="21"/>
        <v>W214.A</v>
      </c>
      <c r="I381" s="13" t="s">
        <v>104</v>
      </c>
      <c r="J381" s="13"/>
      <c r="K381" s="13"/>
      <c r="L381" s="48"/>
      <c r="M381" s="49" t="str">
        <f t="shared" si="22"/>
        <v>[W214.A]</v>
      </c>
      <c r="N381" s="12" t="str">
        <f t="shared" si="23"/>
        <v xml:space="preserve"> 벤딩 T1축 (SD121) FLS가 감지되었습니다.</v>
      </c>
      <c r="O381" s="49" t="str">
        <f t="shared" si="24"/>
        <v>[W214.A] 벤딩 T1축 (SD121) FLS가 감지되었습니다.</v>
      </c>
    </row>
    <row r="382" spans="1:15" s="49" customFormat="1" ht="14.15" customHeight="1">
      <c r="A382" s="43" t="s">
        <v>2197</v>
      </c>
      <c r="B382" s="11"/>
      <c r="C382" s="11" t="s">
        <v>18</v>
      </c>
      <c r="D382" s="45" t="s">
        <v>16</v>
      </c>
      <c r="E382" s="45"/>
      <c r="F382" s="12" t="s">
        <v>1811</v>
      </c>
      <c r="G382" s="13" t="s">
        <v>7182</v>
      </c>
      <c r="H382" s="99" t="str">
        <f t="shared" si="21"/>
        <v>W214.B</v>
      </c>
      <c r="I382" s="13" t="s">
        <v>104</v>
      </c>
      <c r="J382" s="13"/>
      <c r="K382" s="13"/>
      <c r="L382" s="48"/>
      <c r="M382" s="49" t="str">
        <f t="shared" si="22"/>
        <v>[W214.B]</v>
      </c>
      <c r="N382" s="12" t="str">
        <f t="shared" si="23"/>
        <v xml:space="preserve"> 벤딩 T1축 (SD121) RLS가 감지되었습니다.</v>
      </c>
      <c r="O382" s="49" t="str">
        <f t="shared" si="24"/>
        <v>[W214.B] 벤딩 T1축 (SD121) RLS가 감지되었습니다.</v>
      </c>
    </row>
    <row r="383" spans="1:15" s="49" customFormat="1" ht="14.15" customHeight="1">
      <c r="A383" s="43" t="s">
        <v>2197</v>
      </c>
      <c r="B383" s="11"/>
      <c r="C383" s="11" t="s">
        <v>18</v>
      </c>
      <c r="D383" s="45" t="s">
        <v>16</v>
      </c>
      <c r="E383" s="45"/>
      <c r="F383" s="12" t="s">
        <v>1812</v>
      </c>
      <c r="G383" s="13" t="s">
        <v>7183</v>
      </c>
      <c r="H383" s="99" t="str">
        <f t="shared" si="21"/>
        <v>W214.C</v>
      </c>
      <c r="I383" s="13" t="s">
        <v>104</v>
      </c>
      <c r="J383" s="13"/>
      <c r="K383" s="13"/>
      <c r="L383" s="48"/>
      <c r="M383" s="49" t="str">
        <f t="shared" si="22"/>
        <v>[W214.C]</v>
      </c>
      <c r="N383" s="12" t="str">
        <f t="shared" si="23"/>
        <v xml:space="preserve"> 벤딩 T1축 (SD121) Stop 명령이 On된 상태에서 기동을 시도했습니다.</v>
      </c>
      <c r="O383" s="49" t="str">
        <f t="shared" si="24"/>
        <v>[W214.C] 벤딩 T1축 (SD121) Stop 명령이 On된 상태에서 기동을 시도했습니다.</v>
      </c>
    </row>
    <row r="384" spans="1:15" s="49" customFormat="1" ht="14.15" customHeight="1">
      <c r="A384" s="43" t="s">
        <v>2197</v>
      </c>
      <c r="B384" s="11"/>
      <c r="C384" s="11" t="s">
        <v>18</v>
      </c>
      <c r="D384" s="45" t="s">
        <v>16</v>
      </c>
      <c r="E384" s="45"/>
      <c r="F384" s="12" t="s">
        <v>1813</v>
      </c>
      <c r="G384" s="13" t="s">
        <v>7184</v>
      </c>
      <c r="H384" s="99" t="str">
        <f t="shared" si="21"/>
        <v>W214.D</v>
      </c>
      <c r="I384" s="13" t="s">
        <v>104</v>
      </c>
      <c r="J384" s="13"/>
      <c r="K384" s="13"/>
      <c r="L384" s="48"/>
      <c r="M384" s="49" t="str">
        <f t="shared" si="22"/>
        <v>[W214.D]</v>
      </c>
      <c r="N384" s="12" t="str">
        <f t="shared" si="23"/>
        <v xml:space="preserve"> 벤딩 T1축 (SD121) 가동 전원이 Off 되었습니다.</v>
      </c>
      <c r="O384" s="49" t="str">
        <f t="shared" si="24"/>
        <v>[W214.D] 벤딩 T1축 (SD121) 가동 전원이 Off 되었습니다.</v>
      </c>
    </row>
    <row r="385" spans="1:15" s="49" customFormat="1" ht="14.15" customHeight="1">
      <c r="A385" s="43" t="s">
        <v>2197</v>
      </c>
      <c r="B385" s="11"/>
      <c r="C385" s="11" t="s">
        <v>18</v>
      </c>
      <c r="D385" s="45" t="s">
        <v>16</v>
      </c>
      <c r="E385" s="45"/>
      <c r="F385" s="12" t="s">
        <v>1814</v>
      </c>
      <c r="G385" s="13" t="s">
        <v>7185</v>
      </c>
      <c r="H385" s="99" t="str">
        <f t="shared" si="21"/>
        <v>W214.E</v>
      </c>
      <c r="I385" s="13" t="s">
        <v>104</v>
      </c>
      <c r="J385" s="13"/>
      <c r="K385" s="13"/>
      <c r="L385" s="48"/>
      <c r="M385" s="49" t="str">
        <f t="shared" si="22"/>
        <v>[W214.E]</v>
      </c>
      <c r="N385" s="12" t="str">
        <f t="shared" si="23"/>
        <v xml:space="preserve"> 벤딩 T1축 (SD121) 엔코더 이상이 검출되었습니다.</v>
      </c>
      <c r="O385" s="49" t="str">
        <f t="shared" si="24"/>
        <v>[W214.E] 벤딩 T1축 (SD121) 엔코더 이상이 검출되었습니다.</v>
      </c>
    </row>
    <row r="386" spans="1:15" s="49" customFormat="1" ht="14.15" customHeight="1">
      <c r="A386" s="43" t="s">
        <v>2197</v>
      </c>
      <c r="B386" s="11"/>
      <c r="C386" s="11" t="s">
        <v>18</v>
      </c>
      <c r="D386" s="45" t="s">
        <v>16</v>
      </c>
      <c r="E386" s="45"/>
      <c r="F386" s="12" t="s">
        <v>1815</v>
      </c>
      <c r="G386" s="13" t="s">
        <v>7186</v>
      </c>
      <c r="H386" s="99" t="str">
        <f t="shared" si="21"/>
        <v>W214.F</v>
      </c>
      <c r="I386" s="13" t="s">
        <v>17</v>
      </c>
      <c r="J386" s="13"/>
      <c r="K386" s="13"/>
      <c r="L386" s="48"/>
      <c r="M386" s="49" t="str">
        <f t="shared" si="22"/>
        <v>[W214.F]</v>
      </c>
      <c r="N386" s="12" t="str">
        <f t="shared" si="23"/>
        <v xml:space="preserve"> 벤딩 T1축 (SD121) 과전류가 검출되었습니다.</v>
      </c>
      <c r="O386" s="49" t="str">
        <f t="shared" si="24"/>
        <v>[W214.F] 벤딩 T1축 (SD121) 과전류가 검출되었습니다.</v>
      </c>
    </row>
    <row r="387" spans="1:15" s="49" customFormat="1" ht="14.15" customHeight="1">
      <c r="A387" s="43" t="s">
        <v>2197</v>
      </c>
      <c r="B387" s="11"/>
      <c r="C387" s="11" t="s">
        <v>18</v>
      </c>
      <c r="D387" s="45" t="s">
        <v>16</v>
      </c>
      <c r="E387" s="46"/>
      <c r="F387" s="14" t="s">
        <v>1816</v>
      </c>
      <c r="G387" s="13" t="s">
        <v>7187</v>
      </c>
      <c r="H387" s="99" t="str">
        <f t="shared" si="21"/>
        <v>W215.0</v>
      </c>
      <c r="I387" s="13" t="s">
        <v>105</v>
      </c>
      <c r="J387" s="13"/>
      <c r="K387" s="13"/>
      <c r="L387" s="48"/>
      <c r="M387" s="49" t="str">
        <f t="shared" si="22"/>
        <v>[W215.0]</v>
      </c>
      <c r="N387" s="12" t="str">
        <f t="shared" si="23"/>
        <v xml:space="preserve"> 벤딩 T1축 (SD121) 과부하가 검출되었습니다.</v>
      </c>
      <c r="O387" s="49" t="str">
        <f t="shared" si="24"/>
        <v>[W215.0] 벤딩 T1축 (SD121) 과부하가 검출되었습니다.</v>
      </c>
    </row>
    <row r="388" spans="1:15" s="49" customFormat="1" ht="14.15" customHeight="1">
      <c r="A388" s="43" t="s">
        <v>2197</v>
      </c>
      <c r="B388" s="11"/>
      <c r="C388" s="11" t="s">
        <v>18</v>
      </c>
      <c r="D388" s="45" t="s">
        <v>16</v>
      </c>
      <c r="E388" s="46"/>
      <c r="F388" s="14" t="s">
        <v>1817</v>
      </c>
      <c r="G388" s="13" t="s">
        <v>7188</v>
      </c>
      <c r="H388" s="99" t="str">
        <f t="shared" si="21"/>
        <v>W215.1</v>
      </c>
      <c r="I388" s="13" t="s">
        <v>104</v>
      </c>
      <c r="J388" s="13"/>
      <c r="K388" s="13"/>
      <c r="L388" s="48"/>
      <c r="M388" s="49" t="str">
        <f t="shared" si="22"/>
        <v>[W215.1]</v>
      </c>
      <c r="N388" s="12" t="str">
        <f t="shared" si="23"/>
        <v xml:space="preserve"> 벤딩 T1축 (SD121)  </v>
      </c>
      <c r="O388" s="49" t="str">
        <f t="shared" si="24"/>
        <v xml:space="preserve">[W215.1] 벤딩 T1축 (SD121)  </v>
      </c>
    </row>
    <row r="389" spans="1:15" s="49" customFormat="1" ht="14.15" customHeight="1">
      <c r="A389" s="43" t="s">
        <v>2197</v>
      </c>
      <c r="B389" s="11"/>
      <c r="C389" s="11" t="s">
        <v>18</v>
      </c>
      <c r="D389" s="45" t="s">
        <v>16</v>
      </c>
      <c r="E389" s="46"/>
      <c r="F389" s="14" t="s">
        <v>1818</v>
      </c>
      <c r="G389" s="13" t="s">
        <v>7189</v>
      </c>
      <c r="H389" s="99" t="str">
        <f t="shared" si="21"/>
        <v>W215.2</v>
      </c>
      <c r="I389" s="13" t="s">
        <v>105</v>
      </c>
      <c r="J389" s="13"/>
      <c r="K389" s="13"/>
      <c r="L389" s="48"/>
      <c r="M389" s="49" t="str">
        <f t="shared" si="22"/>
        <v>[W215.2]</v>
      </c>
      <c r="N389" s="12" t="str">
        <f t="shared" si="23"/>
        <v xml:space="preserve"> 벤딩 T1축 (SD121) 에러가 발생했습니다.</v>
      </c>
      <c r="O389" s="49" t="str">
        <f t="shared" si="24"/>
        <v>[W215.2] 벤딩 T1축 (SD121) 에러가 발생했습니다.</v>
      </c>
    </row>
    <row r="390" spans="1:15" s="49" customFormat="1" ht="14.15" customHeight="1">
      <c r="A390" s="43" t="s">
        <v>2197</v>
      </c>
      <c r="B390" s="11"/>
      <c r="C390" s="11" t="s">
        <v>18</v>
      </c>
      <c r="D390" s="45" t="s">
        <v>16</v>
      </c>
      <c r="E390" s="46"/>
      <c r="F390" s="14" t="s">
        <v>1819</v>
      </c>
      <c r="G390" s="13" t="s">
        <v>7190</v>
      </c>
      <c r="H390" s="99" t="str">
        <f t="shared" si="21"/>
        <v>W215.3</v>
      </c>
      <c r="I390" s="13" t="s">
        <v>104</v>
      </c>
      <c r="J390" s="13"/>
      <c r="K390" s="13"/>
      <c r="L390" s="48"/>
      <c r="M390" s="49" t="str">
        <f t="shared" si="22"/>
        <v>[W215.3]</v>
      </c>
      <c r="N390" s="12" t="str">
        <f t="shared" si="23"/>
        <v xml:space="preserve"> 벤딩 T2축 (SD122) 운전중에 Ready가 Off 되었습니다.</v>
      </c>
      <c r="O390" s="49" t="str">
        <f t="shared" si="24"/>
        <v>[W215.3] 벤딩 T2축 (SD122) 운전중에 Ready가 Off 되었습니다.</v>
      </c>
    </row>
    <row r="391" spans="1:15" s="49" customFormat="1" ht="14.15" customHeight="1">
      <c r="A391" s="43" t="s">
        <v>2197</v>
      </c>
      <c r="B391" s="11"/>
      <c r="C391" s="11" t="s">
        <v>18</v>
      </c>
      <c r="D391" s="45" t="s">
        <v>16</v>
      </c>
      <c r="E391" s="46"/>
      <c r="F391" s="14" t="s">
        <v>1820</v>
      </c>
      <c r="G391" s="13" t="s">
        <v>7191</v>
      </c>
      <c r="H391" s="99" t="str">
        <f t="shared" si="21"/>
        <v>W215.4</v>
      </c>
      <c r="I391" s="13" t="s">
        <v>104</v>
      </c>
      <c r="J391" s="13"/>
      <c r="K391" s="13"/>
      <c r="L391" s="48"/>
      <c r="M391" s="49" t="str">
        <f t="shared" si="22"/>
        <v>[W215.4]</v>
      </c>
      <c r="N391" s="12" t="str">
        <f t="shared" si="23"/>
        <v xml:space="preserve"> 벤딩 T2축 (SD122) FLS가 감지되었습니다.</v>
      </c>
      <c r="O391" s="49" t="str">
        <f t="shared" si="24"/>
        <v>[W215.4] 벤딩 T2축 (SD122) FLS가 감지되었습니다.</v>
      </c>
    </row>
    <row r="392" spans="1:15" s="49" customFormat="1" ht="14.15" customHeight="1">
      <c r="A392" s="43" t="s">
        <v>2197</v>
      </c>
      <c r="B392" s="11"/>
      <c r="C392" s="11" t="s">
        <v>18</v>
      </c>
      <c r="D392" s="45" t="s">
        <v>16</v>
      </c>
      <c r="E392" s="46"/>
      <c r="F392" s="14" t="s">
        <v>1821</v>
      </c>
      <c r="G392" s="13" t="s">
        <v>7192</v>
      </c>
      <c r="H392" s="99" t="str">
        <f t="shared" si="21"/>
        <v>W215.5</v>
      </c>
      <c r="I392" s="13" t="s">
        <v>17</v>
      </c>
      <c r="J392" s="13"/>
      <c r="K392" s="13"/>
      <c r="L392" s="48"/>
      <c r="M392" s="49" t="str">
        <f t="shared" si="22"/>
        <v>[W215.5]</v>
      </c>
      <c r="N392" s="12" t="str">
        <f t="shared" si="23"/>
        <v xml:space="preserve"> 벤딩 T2축 (SD122) RLS가 감지되었습니다.</v>
      </c>
      <c r="O392" s="49" t="str">
        <f t="shared" si="24"/>
        <v>[W215.5] 벤딩 T2축 (SD122) RLS가 감지되었습니다.</v>
      </c>
    </row>
    <row r="393" spans="1:15" s="49" customFormat="1" ht="14.15" customHeight="1">
      <c r="A393" s="43" t="s">
        <v>2197</v>
      </c>
      <c r="B393" s="11"/>
      <c r="C393" s="11" t="s">
        <v>18</v>
      </c>
      <c r="D393" s="45" t="s">
        <v>16</v>
      </c>
      <c r="E393" s="46"/>
      <c r="F393" s="14" t="s">
        <v>1822</v>
      </c>
      <c r="G393" s="13" t="s">
        <v>7193</v>
      </c>
      <c r="H393" s="99" t="str">
        <f t="shared" si="21"/>
        <v>W215.6</v>
      </c>
      <c r="I393" s="13" t="s">
        <v>104</v>
      </c>
      <c r="J393" s="13"/>
      <c r="K393" s="13"/>
      <c r="L393" s="48"/>
      <c r="M393" s="49" t="str">
        <f t="shared" si="22"/>
        <v>[W215.6]</v>
      </c>
      <c r="N393" s="12" t="str">
        <f t="shared" si="23"/>
        <v xml:space="preserve"> 벤딩 T2축 (SD122) Stop 명령이 On된 상태에서 기동을 시도했습니다.</v>
      </c>
      <c r="O393" s="49" t="str">
        <f t="shared" si="24"/>
        <v>[W215.6] 벤딩 T2축 (SD122) Stop 명령이 On된 상태에서 기동을 시도했습니다.</v>
      </c>
    </row>
    <row r="394" spans="1:15" s="49" customFormat="1" ht="14.15" customHeight="1">
      <c r="A394" s="43" t="s">
        <v>2197</v>
      </c>
      <c r="B394" s="11"/>
      <c r="C394" s="11" t="s">
        <v>18</v>
      </c>
      <c r="D394" s="45" t="s">
        <v>16</v>
      </c>
      <c r="E394" s="46"/>
      <c r="F394" s="14" t="s">
        <v>1823</v>
      </c>
      <c r="G394" s="13" t="s">
        <v>7194</v>
      </c>
      <c r="H394" s="99" t="str">
        <f t="shared" si="21"/>
        <v>W215.7</v>
      </c>
      <c r="I394" s="13" t="s">
        <v>17</v>
      </c>
      <c r="J394" s="13"/>
      <c r="K394" s="13"/>
      <c r="L394" s="48"/>
      <c r="M394" s="49" t="str">
        <f t="shared" si="22"/>
        <v>[W215.7]</v>
      </c>
      <c r="N394" s="12" t="str">
        <f t="shared" si="23"/>
        <v xml:space="preserve"> 벤딩 T2축 (SD122) 가동 전원이 Off 되었습니다.</v>
      </c>
      <c r="O394" s="49" t="str">
        <f t="shared" si="24"/>
        <v>[W215.7] 벤딩 T2축 (SD122) 가동 전원이 Off 되었습니다.</v>
      </c>
    </row>
    <row r="395" spans="1:15" s="49" customFormat="1" ht="14.15" customHeight="1">
      <c r="A395" s="43" t="s">
        <v>2197</v>
      </c>
      <c r="B395" s="11"/>
      <c r="C395" s="11" t="s">
        <v>18</v>
      </c>
      <c r="D395" s="45" t="s">
        <v>16</v>
      </c>
      <c r="E395" s="46"/>
      <c r="F395" s="14" t="s">
        <v>1824</v>
      </c>
      <c r="G395" s="13" t="s">
        <v>7195</v>
      </c>
      <c r="H395" s="99" t="str">
        <f t="shared" si="21"/>
        <v>W215.8</v>
      </c>
      <c r="I395" s="13" t="s">
        <v>17</v>
      </c>
      <c r="J395" s="13"/>
      <c r="K395" s="13"/>
      <c r="L395" s="48"/>
      <c r="M395" s="49" t="str">
        <f t="shared" si="22"/>
        <v>[W215.8]</v>
      </c>
      <c r="N395" s="12" t="str">
        <f t="shared" si="23"/>
        <v xml:space="preserve"> 벤딩 T2축 (SD122) 엔코더 이상이 검출되었습니다.</v>
      </c>
      <c r="O395" s="49" t="str">
        <f t="shared" si="24"/>
        <v>[W215.8] 벤딩 T2축 (SD122) 엔코더 이상이 검출되었습니다.</v>
      </c>
    </row>
    <row r="396" spans="1:15" s="49" customFormat="1" ht="14.15" customHeight="1">
      <c r="A396" s="43" t="s">
        <v>2197</v>
      </c>
      <c r="B396" s="11"/>
      <c r="C396" s="11" t="s">
        <v>18</v>
      </c>
      <c r="D396" s="45" t="s">
        <v>16</v>
      </c>
      <c r="E396" s="46"/>
      <c r="F396" s="14" t="s">
        <v>1825</v>
      </c>
      <c r="G396" s="13" t="s">
        <v>7196</v>
      </c>
      <c r="H396" s="99" t="str">
        <f t="shared" si="21"/>
        <v>W215.9</v>
      </c>
      <c r="I396" s="13" t="s">
        <v>104</v>
      </c>
      <c r="J396" s="13"/>
      <c r="K396" s="13"/>
      <c r="L396" s="48"/>
      <c r="M396" s="49" t="str">
        <f t="shared" si="22"/>
        <v>[W215.9]</v>
      </c>
      <c r="N396" s="12" t="str">
        <f t="shared" si="23"/>
        <v xml:space="preserve"> 벤딩 T2축 (SD122) 과전류가 검출되었습니다.</v>
      </c>
      <c r="O396" s="49" t="str">
        <f t="shared" si="24"/>
        <v>[W215.9] 벤딩 T2축 (SD122) 과전류가 검출되었습니다.</v>
      </c>
    </row>
    <row r="397" spans="1:15" s="49" customFormat="1" ht="14.15" customHeight="1">
      <c r="A397" s="43" t="s">
        <v>2197</v>
      </c>
      <c r="B397" s="11"/>
      <c r="C397" s="11" t="s">
        <v>18</v>
      </c>
      <c r="D397" s="45" t="s">
        <v>16</v>
      </c>
      <c r="E397" s="46"/>
      <c r="F397" s="14" t="s">
        <v>1826</v>
      </c>
      <c r="G397" s="13" t="s">
        <v>7197</v>
      </c>
      <c r="H397" s="99" t="str">
        <f t="shared" si="21"/>
        <v>W215.A</v>
      </c>
      <c r="I397" s="13" t="s">
        <v>104</v>
      </c>
      <c r="J397" s="13"/>
      <c r="K397" s="13"/>
      <c r="L397" s="48"/>
      <c r="M397" s="49" t="str">
        <f t="shared" si="22"/>
        <v>[W215.A]</v>
      </c>
      <c r="N397" s="12" t="str">
        <f t="shared" si="23"/>
        <v xml:space="preserve"> 벤딩 T2축 (SD122) 과부하가 검출되었습니다.</v>
      </c>
      <c r="O397" s="49" t="str">
        <f t="shared" si="24"/>
        <v>[W215.A] 벤딩 T2축 (SD122) 과부하가 검출되었습니다.</v>
      </c>
    </row>
    <row r="398" spans="1:15" s="49" customFormat="1" ht="14.15" customHeight="1">
      <c r="A398" s="43" t="s">
        <v>2197</v>
      </c>
      <c r="B398" s="11"/>
      <c r="C398" s="11" t="s">
        <v>18</v>
      </c>
      <c r="D398" s="45" t="s">
        <v>16</v>
      </c>
      <c r="E398" s="46"/>
      <c r="F398" s="14" t="s">
        <v>1827</v>
      </c>
      <c r="G398" s="13" t="s">
        <v>7198</v>
      </c>
      <c r="H398" s="99" t="str">
        <f t="shared" si="21"/>
        <v>W215.B</v>
      </c>
      <c r="I398" s="13" t="s">
        <v>17</v>
      </c>
      <c r="J398" s="13"/>
      <c r="K398" s="13"/>
      <c r="L398" s="48"/>
      <c r="M398" s="49" t="str">
        <f t="shared" si="22"/>
        <v>[W215.B]</v>
      </c>
      <c r="N398" s="12" t="str">
        <f t="shared" si="23"/>
        <v xml:space="preserve"> 벤딩 T2축 (SD122)  </v>
      </c>
      <c r="O398" s="49" t="str">
        <f t="shared" si="24"/>
        <v xml:space="preserve">[W215.B] 벤딩 T2축 (SD122)  </v>
      </c>
    </row>
    <row r="399" spans="1:15" s="49" customFormat="1" ht="14.15" customHeight="1">
      <c r="A399" s="43" t="s">
        <v>2197</v>
      </c>
      <c r="B399" s="11"/>
      <c r="C399" s="11" t="s">
        <v>18</v>
      </c>
      <c r="D399" s="45" t="s">
        <v>16</v>
      </c>
      <c r="E399" s="46"/>
      <c r="F399" s="14" t="s">
        <v>1828</v>
      </c>
      <c r="G399" s="13" t="s">
        <v>7199</v>
      </c>
      <c r="H399" s="99" t="str">
        <f t="shared" si="21"/>
        <v>W215.C</v>
      </c>
      <c r="I399" s="13" t="s">
        <v>104</v>
      </c>
      <c r="J399" s="13"/>
      <c r="K399" s="13"/>
      <c r="L399" s="48"/>
      <c r="M399" s="49" t="str">
        <f t="shared" si="22"/>
        <v>[W215.C]</v>
      </c>
      <c r="N399" s="12" t="str">
        <f t="shared" si="23"/>
        <v xml:space="preserve"> 벤딩 T2축 (SD122) 에러가 발생했습니다.</v>
      </c>
      <c r="O399" s="49" t="str">
        <f t="shared" si="24"/>
        <v>[W215.C] 벤딩 T2축 (SD122) 에러가 발생했습니다.</v>
      </c>
    </row>
    <row r="400" spans="1:15" s="49" customFormat="1" ht="14.15" customHeight="1">
      <c r="A400" s="43" t="s">
        <v>2197</v>
      </c>
      <c r="B400" s="11"/>
      <c r="C400" s="11" t="s">
        <v>18</v>
      </c>
      <c r="D400" s="45" t="s">
        <v>16</v>
      </c>
      <c r="E400" s="46"/>
      <c r="F400" s="14" t="s">
        <v>1829</v>
      </c>
      <c r="G400" s="13" t="s">
        <v>7200</v>
      </c>
      <c r="H400" s="99" t="str">
        <f t="shared" si="21"/>
        <v>W215.D</v>
      </c>
      <c r="I400" s="13" t="s">
        <v>104</v>
      </c>
      <c r="J400" s="13"/>
      <c r="K400" s="13"/>
      <c r="L400" s="48"/>
      <c r="M400" s="49" t="str">
        <f t="shared" si="22"/>
        <v>[W215.D]</v>
      </c>
      <c r="N400" s="12" t="str">
        <f t="shared" si="23"/>
        <v xml:space="preserve"> 상부 금형 X1축 (SD123) 운전중에 Ready가 Off 되었습니다.</v>
      </c>
      <c r="O400" s="49" t="str">
        <f t="shared" si="24"/>
        <v>[W215.D] 상부 금형 X1축 (SD123) 운전중에 Ready가 Off 되었습니다.</v>
      </c>
    </row>
    <row r="401" spans="1:15" s="49" customFormat="1" ht="14.15" customHeight="1">
      <c r="A401" s="43" t="s">
        <v>2197</v>
      </c>
      <c r="B401" s="11"/>
      <c r="C401" s="11" t="s">
        <v>18</v>
      </c>
      <c r="D401" s="45" t="s">
        <v>16</v>
      </c>
      <c r="E401" s="46"/>
      <c r="F401" s="14" t="s">
        <v>1830</v>
      </c>
      <c r="G401" s="13" t="s">
        <v>7201</v>
      </c>
      <c r="H401" s="99" t="str">
        <f t="shared" si="21"/>
        <v>W215.E</v>
      </c>
      <c r="I401" s="13" t="s">
        <v>104</v>
      </c>
      <c r="J401" s="13"/>
      <c r="K401" s="13"/>
      <c r="L401" s="48"/>
      <c r="M401" s="49" t="str">
        <f t="shared" si="22"/>
        <v>[W215.E]</v>
      </c>
      <c r="N401" s="12" t="str">
        <f t="shared" si="23"/>
        <v xml:space="preserve"> 상부 금형 X1축 (SD123) FLS가 감지되었습니다.</v>
      </c>
      <c r="O401" s="49" t="str">
        <f t="shared" si="24"/>
        <v>[W215.E] 상부 금형 X1축 (SD123) FLS가 감지되었습니다.</v>
      </c>
    </row>
    <row r="402" spans="1:15" s="49" customFormat="1" ht="14.15" customHeight="1">
      <c r="A402" s="43" t="s">
        <v>2197</v>
      </c>
      <c r="B402" s="11"/>
      <c r="C402" s="11" t="s">
        <v>18</v>
      </c>
      <c r="D402" s="45" t="s">
        <v>16</v>
      </c>
      <c r="E402" s="46"/>
      <c r="F402" s="14" t="s">
        <v>1831</v>
      </c>
      <c r="G402" s="13" t="s">
        <v>7202</v>
      </c>
      <c r="H402" s="99" t="str">
        <f t="shared" si="21"/>
        <v>W215.F</v>
      </c>
      <c r="I402" s="13" t="s">
        <v>104</v>
      </c>
      <c r="J402" s="13"/>
      <c r="K402" s="13"/>
      <c r="L402" s="48"/>
      <c r="M402" s="49" t="str">
        <f t="shared" si="22"/>
        <v>[W215.F]</v>
      </c>
      <c r="N402" s="12" t="str">
        <f t="shared" si="23"/>
        <v xml:space="preserve"> 상부 금형 X1축 (SD123) RLS가 감지되었습니다.</v>
      </c>
      <c r="O402" s="49" t="str">
        <f t="shared" si="24"/>
        <v>[W215.F] 상부 금형 X1축 (SD123) RLS가 감지되었습니다.</v>
      </c>
    </row>
    <row r="403" spans="1:15" s="49" customFormat="1" ht="14.15" customHeight="1">
      <c r="A403" s="43" t="s">
        <v>2197</v>
      </c>
      <c r="B403" s="11"/>
      <c r="C403" s="11" t="s">
        <v>18</v>
      </c>
      <c r="D403" s="45" t="s">
        <v>16</v>
      </c>
      <c r="E403" s="46"/>
      <c r="F403" s="14" t="s">
        <v>1832</v>
      </c>
      <c r="G403" s="13" t="s">
        <v>7203</v>
      </c>
      <c r="H403" s="99" t="str">
        <f t="shared" si="21"/>
        <v>W216.0</v>
      </c>
      <c r="I403" s="13" t="s">
        <v>104</v>
      </c>
      <c r="J403" s="13"/>
      <c r="K403" s="13"/>
      <c r="L403" s="48"/>
      <c r="M403" s="49" t="str">
        <f t="shared" si="22"/>
        <v>[W216.0]</v>
      </c>
      <c r="N403" s="12" t="str">
        <f t="shared" si="23"/>
        <v xml:space="preserve"> 상부 금형 X1축 (SD123) Stop 명령이 On된 상태에서 기동을 시도했습니다.</v>
      </c>
      <c r="O403" s="49" t="str">
        <f t="shared" si="24"/>
        <v>[W216.0] 상부 금형 X1축 (SD123) Stop 명령이 On된 상태에서 기동을 시도했습니다.</v>
      </c>
    </row>
    <row r="404" spans="1:15" s="49" customFormat="1" ht="14.15" customHeight="1">
      <c r="A404" s="43" t="s">
        <v>2197</v>
      </c>
      <c r="B404" s="11"/>
      <c r="C404" s="11" t="s">
        <v>18</v>
      </c>
      <c r="D404" s="45" t="s">
        <v>16</v>
      </c>
      <c r="E404" s="46"/>
      <c r="F404" s="14" t="s">
        <v>1833</v>
      </c>
      <c r="G404" s="13" t="s">
        <v>7204</v>
      </c>
      <c r="H404" s="99" t="str">
        <f t="shared" si="21"/>
        <v>W216.1</v>
      </c>
      <c r="I404" s="13" t="s">
        <v>104</v>
      </c>
      <c r="J404" s="13"/>
      <c r="K404" s="13"/>
      <c r="L404" s="48"/>
      <c r="M404" s="49" t="str">
        <f t="shared" si="22"/>
        <v>[W216.1]</v>
      </c>
      <c r="N404" s="12" t="str">
        <f t="shared" si="23"/>
        <v xml:space="preserve"> 상부 금형 X1축 (SD123) 가동 전원이 Off 되었습니다.</v>
      </c>
      <c r="O404" s="49" t="str">
        <f t="shared" si="24"/>
        <v>[W216.1] 상부 금형 X1축 (SD123) 가동 전원이 Off 되었습니다.</v>
      </c>
    </row>
    <row r="405" spans="1:15" s="49" customFormat="1" ht="14.15" customHeight="1">
      <c r="A405" s="43" t="s">
        <v>2197</v>
      </c>
      <c r="B405" s="11"/>
      <c r="C405" s="11" t="s">
        <v>18</v>
      </c>
      <c r="D405" s="45" t="s">
        <v>16</v>
      </c>
      <c r="E405" s="46"/>
      <c r="F405" s="14" t="s">
        <v>1834</v>
      </c>
      <c r="G405" s="13" t="s">
        <v>7205</v>
      </c>
      <c r="H405" s="99" t="str">
        <f t="shared" si="21"/>
        <v>W216.2</v>
      </c>
      <c r="I405" s="13" t="s">
        <v>17</v>
      </c>
      <c r="J405" s="13"/>
      <c r="K405" s="13"/>
      <c r="L405" s="48"/>
      <c r="M405" s="49" t="str">
        <f t="shared" si="22"/>
        <v>[W216.2]</v>
      </c>
      <c r="N405" s="12" t="str">
        <f t="shared" si="23"/>
        <v xml:space="preserve"> 상부 금형 X1축 (SD123) 엔코더 이상이 검출되었습니다.</v>
      </c>
      <c r="O405" s="49" t="str">
        <f t="shared" si="24"/>
        <v>[W216.2] 상부 금형 X1축 (SD123) 엔코더 이상이 검출되었습니다.</v>
      </c>
    </row>
    <row r="406" spans="1:15" s="49" customFormat="1" ht="14.15" customHeight="1">
      <c r="A406" s="43" t="s">
        <v>2197</v>
      </c>
      <c r="B406" s="11"/>
      <c r="C406" s="11" t="s">
        <v>18</v>
      </c>
      <c r="D406" s="45" t="s">
        <v>16</v>
      </c>
      <c r="E406" s="46"/>
      <c r="F406" s="14" t="s">
        <v>1835</v>
      </c>
      <c r="G406" s="13" t="s">
        <v>7206</v>
      </c>
      <c r="H406" s="99" t="str">
        <f t="shared" si="21"/>
        <v>W216.3</v>
      </c>
      <c r="I406" s="13" t="s">
        <v>104</v>
      </c>
      <c r="J406" s="13"/>
      <c r="K406" s="13"/>
      <c r="L406" s="48"/>
      <c r="M406" s="49" t="str">
        <f t="shared" si="22"/>
        <v>[W216.3]</v>
      </c>
      <c r="N406" s="12" t="str">
        <f t="shared" si="23"/>
        <v xml:space="preserve"> 상부 금형 X1축 (SD123) 과전류가 검출되었습니다.</v>
      </c>
      <c r="O406" s="49" t="str">
        <f t="shared" si="24"/>
        <v>[W216.3] 상부 금형 X1축 (SD123) 과전류가 검출되었습니다.</v>
      </c>
    </row>
    <row r="407" spans="1:15" s="49" customFormat="1" ht="14.15" customHeight="1">
      <c r="A407" s="43" t="s">
        <v>2197</v>
      </c>
      <c r="B407" s="11"/>
      <c r="C407" s="11" t="s">
        <v>18</v>
      </c>
      <c r="D407" s="45" t="s">
        <v>16</v>
      </c>
      <c r="E407" s="46"/>
      <c r="F407" s="14" t="s">
        <v>1836</v>
      </c>
      <c r="G407" s="13" t="s">
        <v>7207</v>
      </c>
      <c r="H407" s="99" t="str">
        <f t="shared" si="21"/>
        <v>W216.4</v>
      </c>
      <c r="I407" s="13" t="s">
        <v>104</v>
      </c>
      <c r="J407" s="13"/>
      <c r="K407" s="13"/>
      <c r="L407" s="48"/>
      <c r="M407" s="49" t="str">
        <f t="shared" si="22"/>
        <v>[W216.4]</v>
      </c>
      <c r="N407" s="12" t="str">
        <f t="shared" si="23"/>
        <v xml:space="preserve"> 상부 금형 X1축 (SD123) 과부하가 검출되었습니다.</v>
      </c>
      <c r="O407" s="49" t="str">
        <f t="shared" si="24"/>
        <v>[W216.4] 상부 금형 X1축 (SD123) 과부하가 검출되었습니다.</v>
      </c>
    </row>
    <row r="408" spans="1:15" s="49" customFormat="1" ht="14.15" customHeight="1">
      <c r="A408" s="43" t="s">
        <v>2197</v>
      </c>
      <c r="B408" s="11"/>
      <c r="C408" s="11" t="s">
        <v>18</v>
      </c>
      <c r="D408" s="45" t="s">
        <v>16</v>
      </c>
      <c r="E408" s="46"/>
      <c r="F408" s="14" t="s">
        <v>1837</v>
      </c>
      <c r="G408" s="13" t="s">
        <v>7208</v>
      </c>
      <c r="H408" s="99" t="str">
        <f t="shared" si="21"/>
        <v>W216.5</v>
      </c>
      <c r="I408" s="13" t="s">
        <v>104</v>
      </c>
      <c r="J408" s="13"/>
      <c r="K408" s="13"/>
      <c r="L408" s="48"/>
      <c r="M408" s="49" t="str">
        <f t="shared" si="22"/>
        <v>[W216.5]</v>
      </c>
      <c r="N408" s="12" t="str">
        <f t="shared" si="23"/>
        <v xml:space="preserve"> 상부 금형 X1축 (SD123)  </v>
      </c>
      <c r="O408" s="49" t="str">
        <f t="shared" si="24"/>
        <v xml:space="preserve">[W216.5] 상부 금형 X1축 (SD123)  </v>
      </c>
    </row>
    <row r="409" spans="1:15" s="49" customFormat="1" ht="14.15" customHeight="1">
      <c r="A409" s="43" t="s">
        <v>2197</v>
      </c>
      <c r="B409" s="11"/>
      <c r="C409" s="11" t="s">
        <v>18</v>
      </c>
      <c r="D409" s="45" t="s">
        <v>16</v>
      </c>
      <c r="E409" s="46"/>
      <c r="F409" s="14" t="s">
        <v>1838</v>
      </c>
      <c r="G409" s="13" t="s">
        <v>7209</v>
      </c>
      <c r="H409" s="99" t="str">
        <f t="shared" si="21"/>
        <v>W216.6</v>
      </c>
      <c r="I409" s="13" t="s">
        <v>104</v>
      </c>
      <c r="J409" s="13"/>
      <c r="K409" s="13"/>
      <c r="L409" s="48"/>
      <c r="M409" s="49" t="str">
        <f t="shared" si="22"/>
        <v>[W216.6]</v>
      </c>
      <c r="N409" s="12" t="str">
        <f t="shared" si="23"/>
        <v xml:space="preserve"> 상부 금형 X1축 (SD123) 에러가 발생했습니다.</v>
      </c>
      <c r="O409" s="49" t="str">
        <f t="shared" si="24"/>
        <v>[W216.6] 상부 금형 X1축 (SD123) 에러가 발생했습니다.</v>
      </c>
    </row>
    <row r="410" spans="1:15" s="49" customFormat="1" ht="14.15" customHeight="1">
      <c r="A410" s="43" t="s">
        <v>2197</v>
      </c>
      <c r="B410" s="11"/>
      <c r="C410" s="11" t="s">
        <v>18</v>
      </c>
      <c r="D410" s="45" t="s">
        <v>16</v>
      </c>
      <c r="E410" s="46"/>
      <c r="F410" s="14" t="s">
        <v>1839</v>
      </c>
      <c r="G410" s="13" t="s">
        <v>7210</v>
      </c>
      <c r="H410" s="99" t="str">
        <f t="shared" si="21"/>
        <v>W216.7</v>
      </c>
      <c r="I410" s="13" t="s">
        <v>104</v>
      </c>
      <c r="J410" s="13"/>
      <c r="K410" s="13"/>
      <c r="L410" s="48"/>
      <c r="M410" s="49" t="str">
        <f t="shared" si="22"/>
        <v>[W216.7]</v>
      </c>
      <c r="N410" s="12" t="str">
        <f t="shared" si="23"/>
        <v xml:space="preserve"> 상부 금형 X2축 (SD124) 운전중에 Ready가 Off 되었습니다.</v>
      </c>
      <c r="O410" s="49" t="str">
        <f t="shared" si="24"/>
        <v>[W216.7] 상부 금형 X2축 (SD124) 운전중에 Ready가 Off 되었습니다.</v>
      </c>
    </row>
    <row r="411" spans="1:15" s="49" customFormat="1" ht="14.15" customHeight="1">
      <c r="A411" s="43" t="s">
        <v>2197</v>
      </c>
      <c r="B411" s="11"/>
      <c r="C411" s="11" t="s">
        <v>18</v>
      </c>
      <c r="D411" s="45" t="s">
        <v>16</v>
      </c>
      <c r="E411" s="46"/>
      <c r="F411" s="14" t="s">
        <v>1840</v>
      </c>
      <c r="G411" s="13" t="s">
        <v>7211</v>
      </c>
      <c r="H411" s="99" t="str">
        <f t="shared" si="21"/>
        <v>W216.8</v>
      </c>
      <c r="I411" s="13" t="s">
        <v>104</v>
      </c>
      <c r="J411" s="13"/>
      <c r="K411" s="13"/>
      <c r="L411" s="48"/>
      <c r="M411" s="49" t="str">
        <f t="shared" si="22"/>
        <v>[W216.8]</v>
      </c>
      <c r="N411" s="12" t="str">
        <f t="shared" si="23"/>
        <v xml:space="preserve"> 상부 금형 X2축 (SD124) FLS가 감지되었습니다.</v>
      </c>
      <c r="O411" s="49" t="str">
        <f t="shared" si="24"/>
        <v>[W216.8] 상부 금형 X2축 (SD124) FLS가 감지되었습니다.</v>
      </c>
    </row>
    <row r="412" spans="1:15" s="49" customFormat="1" ht="14.15" customHeight="1">
      <c r="A412" s="43" t="s">
        <v>2197</v>
      </c>
      <c r="B412" s="11"/>
      <c r="C412" s="11" t="s">
        <v>18</v>
      </c>
      <c r="D412" s="45" t="s">
        <v>16</v>
      </c>
      <c r="E412" s="46"/>
      <c r="F412" s="14" t="s">
        <v>1841</v>
      </c>
      <c r="G412" s="13" t="s">
        <v>7212</v>
      </c>
      <c r="H412" s="99" t="str">
        <f t="shared" si="21"/>
        <v>W216.9</v>
      </c>
      <c r="I412" s="13" t="s">
        <v>104</v>
      </c>
      <c r="J412" s="13"/>
      <c r="K412" s="13"/>
      <c r="L412" s="48"/>
      <c r="M412" s="49" t="str">
        <f t="shared" si="22"/>
        <v>[W216.9]</v>
      </c>
      <c r="N412" s="12" t="str">
        <f t="shared" si="23"/>
        <v xml:space="preserve"> 상부 금형 X2축 (SD124) RLS가 감지되었습니다.</v>
      </c>
      <c r="O412" s="49" t="str">
        <f t="shared" si="24"/>
        <v>[W216.9] 상부 금형 X2축 (SD124) RLS가 감지되었습니다.</v>
      </c>
    </row>
    <row r="413" spans="1:15" s="49" customFormat="1" ht="14.15" customHeight="1">
      <c r="A413" s="43" t="s">
        <v>2197</v>
      </c>
      <c r="B413" s="11"/>
      <c r="C413" s="11" t="s">
        <v>18</v>
      </c>
      <c r="D413" s="45" t="s">
        <v>16</v>
      </c>
      <c r="E413" s="46"/>
      <c r="F413" s="14" t="s">
        <v>1842</v>
      </c>
      <c r="G413" s="13" t="s">
        <v>7213</v>
      </c>
      <c r="H413" s="99" t="str">
        <f t="shared" si="21"/>
        <v>W216.A</v>
      </c>
      <c r="I413" s="13" t="s">
        <v>104</v>
      </c>
      <c r="J413" s="13"/>
      <c r="K413" s="13"/>
      <c r="L413" s="48"/>
      <c r="M413" s="49" t="str">
        <f t="shared" si="22"/>
        <v>[W216.A]</v>
      </c>
      <c r="N413" s="12" t="str">
        <f t="shared" si="23"/>
        <v xml:space="preserve"> 상부 금형 X2축 (SD124) Stop 명령이 On된 상태에서 기동을 시도했습니다.</v>
      </c>
      <c r="O413" s="49" t="str">
        <f t="shared" si="24"/>
        <v>[W216.A] 상부 금형 X2축 (SD124) Stop 명령이 On된 상태에서 기동을 시도했습니다.</v>
      </c>
    </row>
    <row r="414" spans="1:15" s="49" customFormat="1" ht="14.15" customHeight="1">
      <c r="A414" s="43" t="s">
        <v>2197</v>
      </c>
      <c r="B414" s="11"/>
      <c r="C414" s="11" t="s">
        <v>18</v>
      </c>
      <c r="D414" s="45" t="s">
        <v>16</v>
      </c>
      <c r="E414" s="46"/>
      <c r="F414" s="14" t="s">
        <v>1843</v>
      </c>
      <c r="G414" s="13" t="s">
        <v>7214</v>
      </c>
      <c r="H414" s="99" t="str">
        <f t="shared" si="21"/>
        <v>W216.B</v>
      </c>
      <c r="I414" s="13" t="s">
        <v>104</v>
      </c>
      <c r="J414" s="13"/>
      <c r="K414" s="13"/>
      <c r="L414" s="48"/>
      <c r="M414" s="49" t="str">
        <f t="shared" si="22"/>
        <v>[W216.B]</v>
      </c>
      <c r="N414" s="12" t="str">
        <f t="shared" si="23"/>
        <v xml:space="preserve"> 상부 금형 X2축 (SD124) 가동 전원이 Off 되었습니다.</v>
      </c>
      <c r="O414" s="49" t="str">
        <f t="shared" si="24"/>
        <v>[W216.B] 상부 금형 X2축 (SD124) 가동 전원이 Off 되었습니다.</v>
      </c>
    </row>
    <row r="415" spans="1:15" s="49" customFormat="1" ht="14.15" customHeight="1">
      <c r="A415" s="43" t="s">
        <v>2197</v>
      </c>
      <c r="B415" s="11"/>
      <c r="C415" s="11" t="s">
        <v>18</v>
      </c>
      <c r="D415" s="45" t="s">
        <v>16</v>
      </c>
      <c r="E415" s="46"/>
      <c r="F415" s="14" t="s">
        <v>1844</v>
      </c>
      <c r="G415" s="13" t="s">
        <v>7215</v>
      </c>
      <c r="H415" s="99" t="str">
        <f t="shared" si="21"/>
        <v>W216.C</v>
      </c>
      <c r="I415" s="13" t="s">
        <v>17</v>
      </c>
      <c r="J415" s="13"/>
      <c r="K415" s="13"/>
      <c r="L415" s="48"/>
      <c r="M415" s="49" t="str">
        <f t="shared" si="22"/>
        <v>[W216.C]</v>
      </c>
      <c r="N415" s="12" t="str">
        <f t="shared" si="23"/>
        <v xml:space="preserve"> 상부 금형 X2축 (SD124) 엔코더 이상이 검출되었습니다.</v>
      </c>
      <c r="O415" s="49" t="str">
        <f t="shared" si="24"/>
        <v>[W216.C] 상부 금형 X2축 (SD124) 엔코더 이상이 검출되었습니다.</v>
      </c>
    </row>
    <row r="416" spans="1:15" s="49" customFormat="1" ht="14.15" customHeight="1">
      <c r="A416" s="43" t="s">
        <v>2197</v>
      </c>
      <c r="B416" s="11"/>
      <c r="C416" s="11" t="s">
        <v>18</v>
      </c>
      <c r="D416" s="45" t="s">
        <v>16</v>
      </c>
      <c r="E416" s="46"/>
      <c r="F416" s="14" t="s">
        <v>1845</v>
      </c>
      <c r="G416" s="13" t="s">
        <v>7216</v>
      </c>
      <c r="H416" s="99" t="str">
        <f t="shared" si="21"/>
        <v>W216.D</v>
      </c>
      <c r="I416" s="13" t="s">
        <v>104</v>
      </c>
      <c r="J416" s="13"/>
      <c r="K416" s="13"/>
      <c r="L416" s="48"/>
      <c r="M416" s="49" t="str">
        <f t="shared" si="22"/>
        <v>[W216.D]</v>
      </c>
      <c r="N416" s="12" t="str">
        <f t="shared" si="23"/>
        <v xml:space="preserve"> 상부 금형 X2축 (SD124) 과전류가 검출되었습니다.</v>
      </c>
      <c r="O416" s="49" t="str">
        <f t="shared" si="24"/>
        <v>[W216.D] 상부 금형 X2축 (SD124) 과전류가 검출되었습니다.</v>
      </c>
    </row>
    <row r="417" spans="1:15" s="49" customFormat="1" ht="14.15" customHeight="1">
      <c r="A417" s="43" t="s">
        <v>2197</v>
      </c>
      <c r="B417" s="11"/>
      <c r="C417" s="11" t="s">
        <v>18</v>
      </c>
      <c r="D417" s="45" t="s">
        <v>16</v>
      </c>
      <c r="E417" s="46"/>
      <c r="F417" s="14" t="s">
        <v>1846</v>
      </c>
      <c r="G417" s="13" t="s">
        <v>7217</v>
      </c>
      <c r="H417" s="99" t="str">
        <f t="shared" si="21"/>
        <v>W216.E</v>
      </c>
      <c r="I417" s="13" t="s">
        <v>17</v>
      </c>
      <c r="J417" s="13"/>
      <c r="K417" s="13"/>
      <c r="L417" s="48"/>
      <c r="M417" s="49" t="str">
        <f t="shared" si="22"/>
        <v>[W216.E]</v>
      </c>
      <c r="N417" s="12" t="str">
        <f t="shared" si="23"/>
        <v xml:space="preserve"> 상부 금형 X2축 (SD124) 과부하가 검출되었습니다.</v>
      </c>
      <c r="O417" s="49" t="str">
        <f t="shared" si="24"/>
        <v>[W216.E] 상부 금형 X2축 (SD124) 과부하가 검출되었습니다.</v>
      </c>
    </row>
    <row r="418" spans="1:15" s="49" customFormat="1" ht="14.15" customHeight="1">
      <c r="A418" s="43" t="s">
        <v>2197</v>
      </c>
      <c r="B418" s="11"/>
      <c r="C418" s="11" t="s">
        <v>18</v>
      </c>
      <c r="D418" s="45" t="s">
        <v>16</v>
      </c>
      <c r="E418" s="46"/>
      <c r="F418" s="14" t="s">
        <v>1847</v>
      </c>
      <c r="G418" s="13" t="s">
        <v>7218</v>
      </c>
      <c r="H418" s="99" t="str">
        <f t="shared" si="21"/>
        <v>W216.F</v>
      </c>
      <c r="I418" s="13" t="s">
        <v>104</v>
      </c>
      <c r="J418" s="13"/>
      <c r="K418" s="13"/>
      <c r="L418" s="48"/>
      <c r="M418" s="49" t="str">
        <f t="shared" si="22"/>
        <v>[W216.F]</v>
      </c>
      <c r="N418" s="12" t="str">
        <f t="shared" si="23"/>
        <v xml:space="preserve"> 상부 금형 X2축 (SD124)  </v>
      </c>
      <c r="O418" s="49" t="str">
        <f t="shared" si="24"/>
        <v xml:space="preserve">[W216.F] 상부 금형 X2축 (SD124)  </v>
      </c>
    </row>
    <row r="419" spans="1:15" s="49" customFormat="1" ht="14.15" customHeight="1">
      <c r="A419" s="43" t="s">
        <v>2197</v>
      </c>
      <c r="B419" s="11"/>
      <c r="C419" s="11" t="s">
        <v>18</v>
      </c>
      <c r="D419" s="45" t="s">
        <v>16</v>
      </c>
      <c r="E419" s="46"/>
      <c r="F419" s="14" t="s">
        <v>1848</v>
      </c>
      <c r="G419" s="13" t="s">
        <v>7219</v>
      </c>
      <c r="H419" s="99" t="str">
        <f t="shared" si="21"/>
        <v>W217.0</v>
      </c>
      <c r="I419" s="13" t="s">
        <v>104</v>
      </c>
      <c r="J419" s="13"/>
      <c r="K419" s="13"/>
      <c r="L419" s="48"/>
      <c r="M419" s="49" t="str">
        <f t="shared" si="22"/>
        <v>[W217.0]</v>
      </c>
      <c r="N419" s="12" t="str">
        <f t="shared" si="23"/>
        <v xml:space="preserve"> 상부 금형 X2축 (SD124) 에러가 발생했습니다.</v>
      </c>
      <c r="O419" s="49" t="str">
        <f t="shared" si="24"/>
        <v>[W217.0] 상부 금형 X2축 (SD124) 에러가 발생했습니다.</v>
      </c>
    </row>
    <row r="420" spans="1:15" s="49" customFormat="1" ht="14.15" customHeight="1">
      <c r="A420" s="43" t="s">
        <v>2197</v>
      </c>
      <c r="B420" s="11"/>
      <c r="C420" s="11" t="s">
        <v>18</v>
      </c>
      <c r="D420" s="45" t="s">
        <v>16</v>
      </c>
      <c r="E420" s="46"/>
      <c r="F420" s="14" t="s">
        <v>1849</v>
      </c>
      <c r="G420" s="13" t="s">
        <v>7220</v>
      </c>
      <c r="H420" s="99" t="str">
        <f t="shared" si="21"/>
        <v>W217.1</v>
      </c>
      <c r="I420" s="13" t="s">
        <v>104</v>
      </c>
      <c r="J420" s="13"/>
      <c r="K420" s="13"/>
      <c r="L420" s="48"/>
      <c r="M420" s="49" t="str">
        <f t="shared" si="22"/>
        <v>[W217.1]</v>
      </c>
      <c r="N420" s="12" t="str">
        <f t="shared" si="23"/>
        <v xml:space="preserve"> Z축 (SD125) 운전중에 Ready가 Off 되었습니다.</v>
      </c>
      <c r="O420" s="49" t="str">
        <f t="shared" si="24"/>
        <v>[W217.1] Z축 (SD125) 운전중에 Ready가 Off 되었습니다.</v>
      </c>
    </row>
    <row r="421" spans="1:15" s="49" customFormat="1" ht="14.15" customHeight="1">
      <c r="A421" s="43" t="s">
        <v>2197</v>
      </c>
      <c r="B421" s="11"/>
      <c r="C421" s="11" t="s">
        <v>18</v>
      </c>
      <c r="D421" s="45" t="s">
        <v>16</v>
      </c>
      <c r="E421" s="46"/>
      <c r="F421" s="14" t="s">
        <v>1850</v>
      </c>
      <c r="G421" s="13" t="s">
        <v>7221</v>
      </c>
      <c r="H421" s="99" t="str">
        <f t="shared" si="21"/>
        <v>W217.2</v>
      </c>
      <c r="I421" s="13" t="s">
        <v>104</v>
      </c>
      <c r="J421" s="13"/>
      <c r="K421" s="13"/>
      <c r="L421" s="48"/>
      <c r="M421" s="49" t="str">
        <f t="shared" si="22"/>
        <v>[W217.2]</v>
      </c>
      <c r="N421" s="12" t="str">
        <f t="shared" si="23"/>
        <v xml:space="preserve"> Z축 (SD125) FLS가 감지되었습니다.</v>
      </c>
      <c r="O421" s="49" t="str">
        <f t="shared" si="24"/>
        <v>[W217.2] Z축 (SD125) FLS가 감지되었습니다.</v>
      </c>
    </row>
    <row r="422" spans="1:15" s="49" customFormat="1" ht="14.15" customHeight="1">
      <c r="A422" s="43" t="s">
        <v>2197</v>
      </c>
      <c r="B422" s="11"/>
      <c r="C422" s="11" t="s">
        <v>18</v>
      </c>
      <c r="D422" s="45" t="s">
        <v>16</v>
      </c>
      <c r="E422" s="46"/>
      <c r="F422" s="14" t="s">
        <v>1851</v>
      </c>
      <c r="G422" s="13" t="s">
        <v>7222</v>
      </c>
      <c r="H422" s="99" t="str">
        <f t="shared" si="21"/>
        <v>W217.3</v>
      </c>
      <c r="I422" s="13" t="s">
        <v>17</v>
      </c>
      <c r="J422" s="13"/>
      <c r="K422" s="13"/>
      <c r="L422" s="48"/>
      <c r="M422" s="49" t="str">
        <f t="shared" si="22"/>
        <v>[W217.3]</v>
      </c>
      <c r="N422" s="12" t="str">
        <f t="shared" si="23"/>
        <v xml:space="preserve"> Z축 (SD125) RLS가 감지되었습니다.</v>
      </c>
      <c r="O422" s="49" t="str">
        <f t="shared" si="24"/>
        <v>[W217.3] Z축 (SD125) RLS가 감지되었습니다.</v>
      </c>
    </row>
    <row r="423" spans="1:15" s="49" customFormat="1" ht="14.15" customHeight="1">
      <c r="A423" s="43" t="s">
        <v>2197</v>
      </c>
      <c r="B423" s="11"/>
      <c r="C423" s="11" t="s">
        <v>18</v>
      </c>
      <c r="D423" s="45" t="s">
        <v>16</v>
      </c>
      <c r="E423" s="46"/>
      <c r="F423" s="14" t="s">
        <v>1852</v>
      </c>
      <c r="G423" s="13" t="s">
        <v>7223</v>
      </c>
      <c r="H423" s="99" t="str">
        <f t="shared" si="21"/>
        <v>W217.4</v>
      </c>
      <c r="I423" s="13" t="s">
        <v>17</v>
      </c>
      <c r="J423" s="13"/>
      <c r="K423" s="13"/>
      <c r="L423" s="48"/>
      <c r="M423" s="49" t="str">
        <f t="shared" si="22"/>
        <v>[W217.4]</v>
      </c>
      <c r="N423" s="12" t="str">
        <f t="shared" si="23"/>
        <v xml:space="preserve"> Z축 (SD125) Stop 명령이 On된 상태에서 기동을 시도했습니다.</v>
      </c>
      <c r="O423" s="49" t="str">
        <f t="shared" si="24"/>
        <v>[W217.4] Z축 (SD125) Stop 명령이 On된 상태에서 기동을 시도했습니다.</v>
      </c>
    </row>
    <row r="424" spans="1:15" s="49" customFormat="1" ht="14.15" customHeight="1">
      <c r="A424" s="43" t="s">
        <v>2197</v>
      </c>
      <c r="B424" s="11"/>
      <c r="C424" s="11" t="s">
        <v>18</v>
      </c>
      <c r="D424" s="45" t="s">
        <v>16</v>
      </c>
      <c r="E424" s="46"/>
      <c r="F424" s="14" t="s">
        <v>1853</v>
      </c>
      <c r="G424" s="13" t="s">
        <v>7224</v>
      </c>
      <c r="H424" s="99" t="str">
        <f t="shared" si="21"/>
        <v>W217.5</v>
      </c>
      <c r="I424" s="13" t="s">
        <v>104</v>
      </c>
      <c r="J424" s="13"/>
      <c r="K424" s="13"/>
      <c r="L424" s="48"/>
      <c r="M424" s="49" t="str">
        <f t="shared" si="22"/>
        <v>[W217.5]</v>
      </c>
      <c r="N424" s="12" t="str">
        <f t="shared" si="23"/>
        <v xml:space="preserve"> Z축 (SD125) 가동 전원이 Off 되었습니다.</v>
      </c>
      <c r="O424" s="49" t="str">
        <f t="shared" si="24"/>
        <v>[W217.5] Z축 (SD125) 가동 전원이 Off 되었습니다.</v>
      </c>
    </row>
    <row r="425" spans="1:15" s="49" customFormat="1" ht="14.15" customHeight="1">
      <c r="A425" s="43" t="s">
        <v>2197</v>
      </c>
      <c r="B425" s="11"/>
      <c r="C425" s="11" t="s">
        <v>18</v>
      </c>
      <c r="D425" s="45" t="s">
        <v>16</v>
      </c>
      <c r="E425" s="46"/>
      <c r="F425" s="14" t="s">
        <v>1854</v>
      </c>
      <c r="G425" s="13" t="s">
        <v>7225</v>
      </c>
      <c r="H425" s="99" t="str">
        <f t="shared" si="21"/>
        <v>W217.6</v>
      </c>
      <c r="I425" s="13" t="s">
        <v>104</v>
      </c>
      <c r="J425" s="13"/>
      <c r="K425" s="13"/>
      <c r="L425" s="48"/>
      <c r="M425" s="49" t="str">
        <f t="shared" si="22"/>
        <v>[W217.6]</v>
      </c>
      <c r="N425" s="12" t="str">
        <f t="shared" si="23"/>
        <v xml:space="preserve"> Z축 (SD125) 엔코더 이상이 검출되었습니다.</v>
      </c>
      <c r="O425" s="49" t="str">
        <f t="shared" si="24"/>
        <v>[W217.6] Z축 (SD125) 엔코더 이상이 검출되었습니다.</v>
      </c>
    </row>
    <row r="426" spans="1:15" s="49" customFormat="1" ht="14.15" customHeight="1">
      <c r="A426" s="43" t="s">
        <v>2197</v>
      </c>
      <c r="B426" s="11"/>
      <c r="C426" s="11" t="s">
        <v>18</v>
      </c>
      <c r="D426" s="45" t="s">
        <v>16</v>
      </c>
      <c r="E426" s="46"/>
      <c r="F426" s="14" t="s">
        <v>1855</v>
      </c>
      <c r="G426" s="13" t="s">
        <v>7226</v>
      </c>
      <c r="H426" s="99" t="str">
        <f t="shared" si="21"/>
        <v>W217.7</v>
      </c>
      <c r="I426" s="13" t="s">
        <v>17</v>
      </c>
      <c r="J426" s="13"/>
      <c r="K426" s="13"/>
      <c r="L426" s="48"/>
      <c r="M426" s="49" t="str">
        <f t="shared" si="22"/>
        <v>[W217.7]</v>
      </c>
      <c r="N426" s="12" t="str">
        <f t="shared" si="23"/>
        <v xml:space="preserve"> Z축 (SD125) 과전류가 검출되었습니다.</v>
      </c>
      <c r="O426" s="49" t="str">
        <f t="shared" si="24"/>
        <v>[W217.7] Z축 (SD125) 과전류가 검출되었습니다.</v>
      </c>
    </row>
    <row r="427" spans="1:15" s="49" customFormat="1" ht="14.15" customHeight="1">
      <c r="A427" s="43" t="s">
        <v>2197</v>
      </c>
      <c r="B427" s="11"/>
      <c r="C427" s="11" t="s">
        <v>18</v>
      </c>
      <c r="D427" s="45" t="s">
        <v>16</v>
      </c>
      <c r="E427" s="46"/>
      <c r="F427" s="14" t="s">
        <v>1856</v>
      </c>
      <c r="G427" s="13" t="s">
        <v>7227</v>
      </c>
      <c r="H427" s="99" t="str">
        <f t="shared" si="21"/>
        <v>W217.8</v>
      </c>
      <c r="I427" s="13" t="s">
        <v>104</v>
      </c>
      <c r="J427" s="13"/>
      <c r="K427" s="13"/>
      <c r="L427" s="48"/>
      <c r="M427" s="49" t="str">
        <f t="shared" si="22"/>
        <v>[W217.8]</v>
      </c>
      <c r="N427" s="12" t="str">
        <f t="shared" si="23"/>
        <v xml:space="preserve"> Z축 (SD125) 과부하가 검출되었습니다.</v>
      </c>
      <c r="O427" s="49" t="str">
        <f t="shared" si="24"/>
        <v>[W217.8] Z축 (SD125) 과부하가 검출되었습니다.</v>
      </c>
    </row>
    <row r="428" spans="1:15" s="49" customFormat="1" ht="14.15" customHeight="1">
      <c r="A428" s="43" t="s">
        <v>2197</v>
      </c>
      <c r="B428" s="11"/>
      <c r="C428" s="11" t="s">
        <v>18</v>
      </c>
      <c r="D428" s="45" t="s">
        <v>16</v>
      </c>
      <c r="E428" s="46"/>
      <c r="F428" s="14" t="s">
        <v>1857</v>
      </c>
      <c r="G428" s="13" t="s">
        <v>7228</v>
      </c>
      <c r="H428" s="99" t="str">
        <f t="shared" si="21"/>
        <v>W217.9</v>
      </c>
      <c r="I428" s="13" t="s">
        <v>104</v>
      </c>
      <c r="J428" s="13"/>
      <c r="K428" s="13"/>
      <c r="L428" s="48"/>
      <c r="M428" s="49" t="str">
        <f t="shared" si="22"/>
        <v>[W217.9]</v>
      </c>
      <c r="N428" s="12" t="str">
        <f t="shared" si="23"/>
        <v xml:space="preserve"> Z축 (SD125)  </v>
      </c>
      <c r="O428" s="49" t="str">
        <f t="shared" si="24"/>
        <v xml:space="preserve">[W217.9] Z축 (SD125)  </v>
      </c>
    </row>
    <row r="429" spans="1:15" s="49" customFormat="1" ht="14.15" customHeight="1">
      <c r="A429" s="43" t="s">
        <v>2197</v>
      </c>
      <c r="B429" s="11"/>
      <c r="C429" s="11" t="s">
        <v>18</v>
      </c>
      <c r="D429" s="45" t="s">
        <v>16</v>
      </c>
      <c r="E429" s="46"/>
      <c r="F429" s="14" t="s">
        <v>1858</v>
      </c>
      <c r="G429" s="13" t="s">
        <v>7229</v>
      </c>
      <c r="H429" s="99" t="str">
        <f t="shared" si="21"/>
        <v>W217.A</v>
      </c>
      <c r="I429" s="13" t="s">
        <v>104</v>
      </c>
      <c r="J429" s="13"/>
      <c r="K429" s="13"/>
      <c r="L429" s="48"/>
      <c r="M429" s="49" t="str">
        <f t="shared" si="22"/>
        <v>[W217.A]</v>
      </c>
      <c r="N429" s="12" t="str">
        <f t="shared" si="23"/>
        <v xml:space="preserve"> Z축 (SD125) 에러가 발생했습니다.</v>
      </c>
      <c r="O429" s="49" t="str">
        <f t="shared" si="24"/>
        <v>[W217.A] Z축 (SD125) 에러가 발생했습니다.</v>
      </c>
    </row>
    <row r="430" spans="1:15" s="49" customFormat="1" ht="14.15" customHeight="1">
      <c r="A430" s="43" t="s">
        <v>2202</v>
      </c>
      <c r="B430" s="11"/>
      <c r="C430" s="11" t="s">
        <v>18</v>
      </c>
      <c r="D430" s="45" t="s">
        <v>16</v>
      </c>
      <c r="E430" s="47"/>
      <c r="F430" s="12" t="s">
        <v>1859</v>
      </c>
      <c r="G430" s="13" t="s">
        <v>7230</v>
      </c>
      <c r="H430" s="99" t="str">
        <f t="shared" si="21"/>
        <v>W217.B</v>
      </c>
      <c r="I430" s="13" t="s">
        <v>104</v>
      </c>
      <c r="J430" s="13"/>
      <c r="K430" s="13"/>
      <c r="L430" s="48"/>
      <c r="M430" s="49" t="str">
        <f t="shared" si="22"/>
        <v>[W217.B]</v>
      </c>
      <c r="N430" s="12" t="str">
        <f t="shared" si="23"/>
        <v xml:space="preserve"> 브라켓 클린칭 X축 (SD126) 운전중에 Ready가 Off 되었습니다.</v>
      </c>
      <c r="O430" s="49" t="str">
        <f t="shared" si="24"/>
        <v>[W217.B] 브라켓 클린칭 X축 (SD126) 운전중에 Ready가 Off 되었습니다.</v>
      </c>
    </row>
    <row r="431" spans="1:15" s="49" customFormat="1" ht="14.15" customHeight="1">
      <c r="A431" s="43" t="s">
        <v>2202</v>
      </c>
      <c r="B431" s="11"/>
      <c r="C431" s="11" t="s">
        <v>18</v>
      </c>
      <c r="D431" s="45" t="s">
        <v>16</v>
      </c>
      <c r="E431" s="47"/>
      <c r="F431" s="12" t="s">
        <v>1860</v>
      </c>
      <c r="G431" s="13" t="s">
        <v>7231</v>
      </c>
      <c r="H431" s="99" t="str">
        <f t="shared" si="21"/>
        <v>W217.C</v>
      </c>
      <c r="I431" s="13" t="s">
        <v>104</v>
      </c>
      <c r="J431" s="13"/>
      <c r="K431" s="13"/>
      <c r="L431" s="48"/>
      <c r="M431" s="49" t="str">
        <f t="shared" si="22"/>
        <v>[W217.C]</v>
      </c>
      <c r="N431" s="12" t="str">
        <f t="shared" si="23"/>
        <v xml:space="preserve"> 브라켓 클린칭 X축 (SD126) FLS가 감지되었습니다.</v>
      </c>
      <c r="O431" s="49" t="str">
        <f t="shared" si="24"/>
        <v>[W217.C] 브라켓 클린칭 X축 (SD126) FLS가 감지되었습니다.</v>
      </c>
    </row>
    <row r="432" spans="1:15" s="49" customFormat="1" ht="14.15" customHeight="1">
      <c r="A432" s="43" t="s">
        <v>2202</v>
      </c>
      <c r="B432" s="11"/>
      <c r="C432" s="11" t="s">
        <v>18</v>
      </c>
      <c r="D432" s="45" t="s">
        <v>16</v>
      </c>
      <c r="E432" s="47"/>
      <c r="F432" s="12" t="s">
        <v>1861</v>
      </c>
      <c r="G432" s="13" t="s">
        <v>7232</v>
      </c>
      <c r="H432" s="99" t="str">
        <f t="shared" si="21"/>
        <v>W217.D</v>
      </c>
      <c r="I432" s="13" t="s">
        <v>104</v>
      </c>
      <c r="J432" s="13"/>
      <c r="K432" s="13"/>
      <c r="L432" s="48"/>
      <c r="M432" s="49" t="str">
        <f t="shared" si="22"/>
        <v>[W217.D]</v>
      </c>
      <c r="N432" s="12" t="str">
        <f t="shared" si="23"/>
        <v xml:space="preserve"> 브라켓 클린칭 X축 (SD126) RLS가 감지되었습니다.</v>
      </c>
      <c r="O432" s="49" t="str">
        <f t="shared" si="24"/>
        <v>[W217.D] 브라켓 클린칭 X축 (SD126) RLS가 감지되었습니다.</v>
      </c>
    </row>
    <row r="433" spans="1:15" s="49" customFormat="1" ht="14.15" customHeight="1">
      <c r="A433" s="43" t="s">
        <v>2202</v>
      </c>
      <c r="B433" s="11"/>
      <c r="C433" s="11" t="s">
        <v>18</v>
      </c>
      <c r="D433" s="45" t="s">
        <v>16</v>
      </c>
      <c r="E433" s="47"/>
      <c r="F433" s="12" t="s">
        <v>1862</v>
      </c>
      <c r="G433" s="13" t="s">
        <v>7233</v>
      </c>
      <c r="H433" s="99" t="str">
        <f t="shared" si="21"/>
        <v>W217.E</v>
      </c>
      <c r="I433" s="13" t="s">
        <v>104</v>
      </c>
      <c r="J433" s="13"/>
      <c r="K433" s="13"/>
      <c r="L433" s="48"/>
      <c r="M433" s="49" t="str">
        <f t="shared" si="22"/>
        <v>[W217.E]</v>
      </c>
      <c r="N433" s="12" t="str">
        <f t="shared" si="23"/>
        <v xml:space="preserve"> 브라켓 클린칭 X축 (SD126) Stop 명령이 On된 상태에서 기동을 시도했습니다.</v>
      </c>
      <c r="O433" s="49" t="str">
        <f t="shared" si="24"/>
        <v>[W217.E] 브라켓 클린칭 X축 (SD126) Stop 명령이 On된 상태에서 기동을 시도했습니다.</v>
      </c>
    </row>
    <row r="434" spans="1:15" s="49" customFormat="1" ht="14.15" customHeight="1">
      <c r="A434" s="43" t="s">
        <v>2202</v>
      </c>
      <c r="B434" s="11"/>
      <c r="C434" s="11" t="s">
        <v>18</v>
      </c>
      <c r="D434" s="45" t="s">
        <v>16</v>
      </c>
      <c r="E434" s="47"/>
      <c r="F434" s="12" t="s">
        <v>1863</v>
      </c>
      <c r="G434" s="13" t="s">
        <v>7234</v>
      </c>
      <c r="H434" s="99" t="str">
        <f t="shared" si="21"/>
        <v>W217.F</v>
      </c>
      <c r="I434" s="13" t="s">
        <v>104</v>
      </c>
      <c r="J434" s="13"/>
      <c r="K434" s="13"/>
      <c r="L434" s="48"/>
      <c r="M434" s="49" t="str">
        <f t="shared" si="22"/>
        <v>[W217.F]</v>
      </c>
      <c r="N434" s="12" t="str">
        <f t="shared" si="23"/>
        <v xml:space="preserve"> 브라켓 클린칭 X축 (SD126) 가동 전원이 Off 되었습니다.</v>
      </c>
      <c r="O434" s="49" t="str">
        <f t="shared" si="24"/>
        <v>[W217.F] 브라켓 클린칭 X축 (SD126) 가동 전원이 Off 되었습니다.</v>
      </c>
    </row>
    <row r="435" spans="1:15" s="49" customFormat="1" ht="14.15" customHeight="1">
      <c r="A435" s="43" t="s">
        <v>2202</v>
      </c>
      <c r="B435" s="11"/>
      <c r="C435" s="11" t="s">
        <v>18</v>
      </c>
      <c r="D435" s="45" t="s">
        <v>16</v>
      </c>
      <c r="E435" s="47"/>
      <c r="F435" s="12" t="s">
        <v>1864</v>
      </c>
      <c r="G435" s="13" t="s">
        <v>7235</v>
      </c>
      <c r="H435" s="99" t="str">
        <f t="shared" si="21"/>
        <v>W218.0</v>
      </c>
      <c r="I435" s="13" t="s">
        <v>104</v>
      </c>
      <c r="J435" s="13"/>
      <c r="K435" s="13"/>
      <c r="L435" s="48"/>
      <c r="M435" s="49" t="str">
        <f t="shared" si="22"/>
        <v>[W218.0]</v>
      </c>
      <c r="N435" s="12" t="str">
        <f t="shared" si="23"/>
        <v xml:space="preserve"> 브라켓 클린칭 X축 (SD126) 엔코더 이상이 검출되었습니다.</v>
      </c>
      <c r="O435" s="49" t="str">
        <f t="shared" si="24"/>
        <v>[W218.0] 브라켓 클린칭 X축 (SD126) 엔코더 이상이 검출되었습니다.</v>
      </c>
    </row>
    <row r="436" spans="1:15" s="49" customFormat="1" ht="14.15" customHeight="1">
      <c r="A436" s="43" t="s">
        <v>2202</v>
      </c>
      <c r="B436" s="11"/>
      <c r="C436" s="11" t="s">
        <v>18</v>
      </c>
      <c r="D436" s="45" t="s">
        <v>16</v>
      </c>
      <c r="E436" s="47"/>
      <c r="F436" s="12" t="s">
        <v>1865</v>
      </c>
      <c r="G436" s="13" t="s">
        <v>7236</v>
      </c>
      <c r="H436" s="99" t="str">
        <f t="shared" ref="H436:H499" si="25">"W"&amp;DEC2HEX(512 + INT((ROW()-51)/16)) &amp; "." &amp; IF(MOD(ROW()-51,16)&lt;10,MOD(ROW()-51,16),CHAR(MOD(ROW()-51,16)+55))</f>
        <v>W218.1</v>
      </c>
      <c r="I436" s="13" t="s">
        <v>104</v>
      </c>
      <c r="J436" s="13"/>
      <c r="K436" s="13"/>
      <c r="L436" s="48"/>
      <c r="M436" s="49" t="str">
        <f t="shared" ref="M436:M499" si="26">"["&amp;H436&amp;"]"</f>
        <v>[W218.1]</v>
      </c>
      <c r="N436" s="12" t="str">
        <f t="shared" ref="N436:N499" si="27">RIGHT(F436,LEN(F436)-7)</f>
        <v xml:space="preserve"> 브라켓 클린칭 X축 (SD126) 과전류가 검출되었습니다.</v>
      </c>
      <c r="O436" s="49" t="str">
        <f t="shared" ref="O436:O499" si="28">M436&amp;N436</f>
        <v>[W218.1] 브라켓 클린칭 X축 (SD126) 과전류가 검출되었습니다.</v>
      </c>
    </row>
    <row r="437" spans="1:15" s="49" customFormat="1" ht="14.15" customHeight="1">
      <c r="A437" s="43" t="s">
        <v>2202</v>
      </c>
      <c r="B437" s="11"/>
      <c r="C437" s="11" t="s">
        <v>18</v>
      </c>
      <c r="D437" s="45" t="s">
        <v>16</v>
      </c>
      <c r="E437" s="47"/>
      <c r="F437" s="12" t="s">
        <v>1866</v>
      </c>
      <c r="G437" s="13" t="s">
        <v>7237</v>
      </c>
      <c r="H437" s="99" t="str">
        <f t="shared" si="25"/>
        <v>W218.2</v>
      </c>
      <c r="I437" s="13" t="s">
        <v>104</v>
      </c>
      <c r="J437" s="13"/>
      <c r="K437" s="13"/>
      <c r="L437" s="48"/>
      <c r="M437" s="49" t="str">
        <f t="shared" si="26"/>
        <v>[W218.2]</v>
      </c>
      <c r="N437" s="12" t="str">
        <f t="shared" si="27"/>
        <v xml:space="preserve"> 브라켓 클린칭 X축 (SD126) 과부하가 검출되었습니다.</v>
      </c>
      <c r="O437" s="49" t="str">
        <f t="shared" si="28"/>
        <v>[W218.2] 브라켓 클린칭 X축 (SD126) 과부하가 검출되었습니다.</v>
      </c>
    </row>
    <row r="438" spans="1:15" s="49" customFormat="1" ht="14.15" customHeight="1">
      <c r="A438" s="43" t="s">
        <v>2202</v>
      </c>
      <c r="B438" s="11"/>
      <c r="C438" s="11" t="s">
        <v>18</v>
      </c>
      <c r="D438" s="45" t="s">
        <v>16</v>
      </c>
      <c r="E438" s="47"/>
      <c r="F438" s="12" t="s">
        <v>1867</v>
      </c>
      <c r="G438" s="13" t="s">
        <v>7238</v>
      </c>
      <c r="H438" s="99" t="str">
        <f t="shared" si="25"/>
        <v>W218.3</v>
      </c>
      <c r="I438" s="13" t="s">
        <v>104</v>
      </c>
      <c r="J438" s="13"/>
      <c r="K438" s="13"/>
      <c r="L438" s="48"/>
      <c r="M438" s="49" t="str">
        <f t="shared" si="26"/>
        <v>[W218.3]</v>
      </c>
      <c r="N438" s="12" t="str">
        <f t="shared" si="27"/>
        <v xml:space="preserve"> 브라켓 클린칭 X축 (SD126)  </v>
      </c>
      <c r="O438" s="49" t="str">
        <f t="shared" si="28"/>
        <v xml:space="preserve">[W218.3] 브라켓 클린칭 X축 (SD126)  </v>
      </c>
    </row>
    <row r="439" spans="1:15" s="49" customFormat="1" ht="14.15" customHeight="1">
      <c r="A439" s="43" t="s">
        <v>2202</v>
      </c>
      <c r="B439" s="11"/>
      <c r="C439" s="11" t="s">
        <v>18</v>
      </c>
      <c r="D439" s="45" t="s">
        <v>16</v>
      </c>
      <c r="E439" s="47"/>
      <c r="F439" s="12" t="s">
        <v>1868</v>
      </c>
      <c r="G439" s="13" t="s">
        <v>7239</v>
      </c>
      <c r="H439" s="99" t="str">
        <f t="shared" si="25"/>
        <v>W218.4</v>
      </c>
      <c r="I439" s="13" t="s">
        <v>104</v>
      </c>
      <c r="J439" s="13"/>
      <c r="K439" s="13"/>
      <c r="L439" s="48"/>
      <c r="M439" s="49" t="str">
        <f t="shared" si="26"/>
        <v>[W218.4]</v>
      </c>
      <c r="N439" s="12" t="str">
        <f t="shared" si="27"/>
        <v xml:space="preserve"> 브라켓 클린칭 X축 (SD126) 에러가 발생했습니다.</v>
      </c>
      <c r="O439" s="49" t="str">
        <f t="shared" si="28"/>
        <v>[W218.4] 브라켓 클린칭 X축 (SD126) 에러가 발생했습니다.</v>
      </c>
    </row>
    <row r="440" spans="1:15" s="49" customFormat="1" ht="14.15" customHeight="1">
      <c r="A440" s="43" t="s">
        <v>2202</v>
      </c>
      <c r="B440" s="11"/>
      <c r="C440" s="11" t="s">
        <v>18</v>
      </c>
      <c r="D440" s="45" t="s">
        <v>16</v>
      </c>
      <c r="E440" s="47"/>
      <c r="F440" s="12" t="s">
        <v>1869</v>
      </c>
      <c r="G440" s="13" t="s">
        <v>7240</v>
      </c>
      <c r="H440" s="99" t="str">
        <f t="shared" si="25"/>
        <v>W218.5</v>
      </c>
      <c r="I440" s="13" t="s">
        <v>104</v>
      </c>
      <c r="J440" s="13"/>
      <c r="K440" s="13"/>
      <c r="L440" s="48"/>
      <c r="M440" s="49" t="str">
        <f t="shared" si="26"/>
        <v>[W218.5]</v>
      </c>
      <c r="N440" s="12" t="str">
        <f t="shared" si="27"/>
        <v xml:space="preserve"> 브라켓 클린칭 Z축 (SD127) 운전중에 Ready가 Off 되었습니다.</v>
      </c>
      <c r="O440" s="49" t="str">
        <f t="shared" si="28"/>
        <v>[W218.5] 브라켓 클린칭 Z축 (SD127) 운전중에 Ready가 Off 되었습니다.</v>
      </c>
    </row>
    <row r="441" spans="1:15" s="49" customFormat="1" ht="14.15" customHeight="1">
      <c r="A441" s="43" t="s">
        <v>2202</v>
      </c>
      <c r="B441" s="11"/>
      <c r="C441" s="11" t="s">
        <v>18</v>
      </c>
      <c r="D441" s="45" t="s">
        <v>16</v>
      </c>
      <c r="E441" s="47"/>
      <c r="F441" s="12" t="s">
        <v>1870</v>
      </c>
      <c r="G441" s="13" t="s">
        <v>7241</v>
      </c>
      <c r="H441" s="99" t="str">
        <f t="shared" si="25"/>
        <v>W218.6</v>
      </c>
      <c r="I441" s="13" t="s">
        <v>104</v>
      </c>
      <c r="J441" s="13"/>
      <c r="K441" s="13"/>
      <c r="L441" s="48"/>
      <c r="M441" s="49" t="str">
        <f t="shared" si="26"/>
        <v>[W218.6]</v>
      </c>
      <c r="N441" s="12" t="str">
        <f t="shared" si="27"/>
        <v xml:space="preserve"> 브라켓 클린칭 Z축 (SD127) FLS가 감지되었습니다.</v>
      </c>
      <c r="O441" s="49" t="str">
        <f t="shared" si="28"/>
        <v>[W218.6] 브라켓 클린칭 Z축 (SD127) FLS가 감지되었습니다.</v>
      </c>
    </row>
    <row r="442" spans="1:15" s="49" customFormat="1" ht="14.15" customHeight="1">
      <c r="A442" s="43" t="s">
        <v>2202</v>
      </c>
      <c r="B442" s="11"/>
      <c r="C442" s="11" t="s">
        <v>18</v>
      </c>
      <c r="D442" s="45" t="s">
        <v>16</v>
      </c>
      <c r="E442" s="47"/>
      <c r="F442" s="12" t="s">
        <v>1871</v>
      </c>
      <c r="G442" s="13" t="s">
        <v>7242</v>
      </c>
      <c r="H442" s="99" t="str">
        <f t="shared" si="25"/>
        <v>W218.7</v>
      </c>
      <c r="I442" s="13" t="s">
        <v>104</v>
      </c>
      <c r="J442" s="13"/>
      <c r="K442" s="13"/>
      <c r="L442" s="48"/>
      <c r="M442" s="49" t="str">
        <f t="shared" si="26"/>
        <v>[W218.7]</v>
      </c>
      <c r="N442" s="12" t="str">
        <f t="shared" si="27"/>
        <v xml:space="preserve"> 브라켓 클린칭 Z축 (SD127) RLS가 감지되었습니다.</v>
      </c>
      <c r="O442" s="49" t="str">
        <f t="shared" si="28"/>
        <v>[W218.7] 브라켓 클린칭 Z축 (SD127) RLS가 감지되었습니다.</v>
      </c>
    </row>
    <row r="443" spans="1:15" s="49" customFormat="1" ht="14.15" customHeight="1">
      <c r="A443" s="43" t="s">
        <v>2202</v>
      </c>
      <c r="B443" s="11"/>
      <c r="C443" s="11" t="s">
        <v>18</v>
      </c>
      <c r="D443" s="45" t="s">
        <v>16</v>
      </c>
      <c r="E443" s="47"/>
      <c r="F443" s="12" t="s">
        <v>1872</v>
      </c>
      <c r="G443" s="13" t="s">
        <v>7243</v>
      </c>
      <c r="H443" s="99" t="str">
        <f t="shared" si="25"/>
        <v>W218.8</v>
      </c>
      <c r="I443" s="13" t="s">
        <v>104</v>
      </c>
      <c r="J443" s="13"/>
      <c r="K443" s="13"/>
      <c r="L443" s="48"/>
      <c r="M443" s="49" t="str">
        <f t="shared" si="26"/>
        <v>[W218.8]</v>
      </c>
      <c r="N443" s="12" t="str">
        <f t="shared" si="27"/>
        <v xml:space="preserve"> 브라켓 클린칭 Z축 (SD127) Stop 명령이 On된 상태에서 기동을 시도했습니다.</v>
      </c>
      <c r="O443" s="49" t="str">
        <f t="shared" si="28"/>
        <v>[W218.8] 브라켓 클린칭 Z축 (SD127) Stop 명령이 On된 상태에서 기동을 시도했습니다.</v>
      </c>
    </row>
    <row r="444" spans="1:15" s="49" customFormat="1" ht="14.15" customHeight="1">
      <c r="A444" s="43" t="s">
        <v>2202</v>
      </c>
      <c r="B444" s="11"/>
      <c r="C444" s="11" t="s">
        <v>18</v>
      </c>
      <c r="D444" s="45" t="s">
        <v>16</v>
      </c>
      <c r="E444" s="47"/>
      <c r="F444" s="12" t="s">
        <v>1873</v>
      </c>
      <c r="G444" s="13" t="s">
        <v>7244</v>
      </c>
      <c r="H444" s="99" t="str">
        <f t="shared" si="25"/>
        <v>W218.9</v>
      </c>
      <c r="I444" s="13" t="s">
        <v>104</v>
      </c>
      <c r="J444" s="13"/>
      <c r="K444" s="13"/>
      <c r="L444" s="48"/>
      <c r="M444" s="49" t="str">
        <f t="shared" si="26"/>
        <v>[W218.9]</v>
      </c>
      <c r="N444" s="12" t="str">
        <f t="shared" si="27"/>
        <v xml:space="preserve"> 브라켓 클린칭 Z축 (SD127) 가동 전원이 Off 되었습니다.</v>
      </c>
      <c r="O444" s="49" t="str">
        <f t="shared" si="28"/>
        <v>[W218.9] 브라켓 클린칭 Z축 (SD127) 가동 전원이 Off 되었습니다.</v>
      </c>
    </row>
    <row r="445" spans="1:15" s="49" customFormat="1" ht="14.15" customHeight="1">
      <c r="A445" s="43" t="s">
        <v>2202</v>
      </c>
      <c r="B445" s="11"/>
      <c r="C445" s="11" t="s">
        <v>18</v>
      </c>
      <c r="D445" s="45" t="s">
        <v>16</v>
      </c>
      <c r="E445" s="47"/>
      <c r="F445" s="12" t="s">
        <v>1874</v>
      </c>
      <c r="G445" s="13" t="s">
        <v>7245</v>
      </c>
      <c r="H445" s="99" t="str">
        <f t="shared" si="25"/>
        <v>W218.A</v>
      </c>
      <c r="I445" s="13" t="s">
        <v>104</v>
      </c>
      <c r="J445" s="13"/>
      <c r="K445" s="13"/>
      <c r="L445" s="48"/>
      <c r="M445" s="49" t="str">
        <f t="shared" si="26"/>
        <v>[W218.A]</v>
      </c>
      <c r="N445" s="12" t="str">
        <f t="shared" si="27"/>
        <v xml:space="preserve"> 브라켓 클린칭 Z축 (SD127) 엔코더 이상이 검출되었습니다.</v>
      </c>
      <c r="O445" s="49" t="str">
        <f t="shared" si="28"/>
        <v>[W218.A] 브라켓 클린칭 Z축 (SD127) 엔코더 이상이 검출되었습니다.</v>
      </c>
    </row>
    <row r="446" spans="1:15" s="49" customFormat="1" ht="14.15" customHeight="1">
      <c r="A446" s="43" t="s">
        <v>2202</v>
      </c>
      <c r="B446" s="11"/>
      <c r="C446" s="11" t="s">
        <v>18</v>
      </c>
      <c r="D446" s="45" t="s">
        <v>16</v>
      </c>
      <c r="E446" s="46"/>
      <c r="F446" s="14" t="s">
        <v>1875</v>
      </c>
      <c r="G446" s="13" t="s">
        <v>7246</v>
      </c>
      <c r="H446" s="99" t="str">
        <f t="shared" si="25"/>
        <v>W218.B</v>
      </c>
      <c r="I446" s="13" t="s">
        <v>104</v>
      </c>
      <c r="J446" s="13"/>
      <c r="K446" s="13"/>
      <c r="L446" s="48"/>
      <c r="M446" s="49" t="str">
        <f t="shared" si="26"/>
        <v>[W218.B]</v>
      </c>
      <c r="N446" s="12" t="str">
        <f t="shared" si="27"/>
        <v xml:space="preserve"> 브라켓 클린칭 Z축 (SD127) 과전류가 검출되었습니다.</v>
      </c>
      <c r="O446" s="49" t="str">
        <f t="shared" si="28"/>
        <v>[W218.B] 브라켓 클린칭 Z축 (SD127) 과전류가 검출되었습니다.</v>
      </c>
    </row>
    <row r="447" spans="1:15" s="49" customFormat="1" ht="14.15" customHeight="1">
      <c r="A447" s="43" t="s">
        <v>2202</v>
      </c>
      <c r="B447" s="11"/>
      <c r="C447" s="11" t="s">
        <v>18</v>
      </c>
      <c r="D447" s="45" t="s">
        <v>16</v>
      </c>
      <c r="E447" s="46"/>
      <c r="F447" s="14" t="s">
        <v>1876</v>
      </c>
      <c r="G447" s="13" t="s">
        <v>7247</v>
      </c>
      <c r="H447" s="99" t="str">
        <f t="shared" si="25"/>
        <v>W218.C</v>
      </c>
      <c r="I447" s="13" t="s">
        <v>104</v>
      </c>
      <c r="J447" s="13"/>
      <c r="K447" s="13"/>
      <c r="L447" s="48"/>
      <c r="M447" s="49" t="str">
        <f t="shared" si="26"/>
        <v>[W218.C]</v>
      </c>
      <c r="N447" s="12" t="str">
        <f t="shared" si="27"/>
        <v xml:space="preserve"> 브라켓 클린칭 Z축 (SD127) 과부하가 검출되었습니다.</v>
      </c>
      <c r="O447" s="49" t="str">
        <f t="shared" si="28"/>
        <v>[W218.C] 브라켓 클린칭 Z축 (SD127) 과부하가 검출되었습니다.</v>
      </c>
    </row>
    <row r="448" spans="1:15" s="49" customFormat="1" ht="14.15" customHeight="1">
      <c r="A448" s="43" t="s">
        <v>2202</v>
      </c>
      <c r="B448" s="11"/>
      <c r="C448" s="11" t="s">
        <v>18</v>
      </c>
      <c r="D448" s="45" t="s">
        <v>16</v>
      </c>
      <c r="E448" s="46"/>
      <c r="F448" s="14" t="s">
        <v>1877</v>
      </c>
      <c r="G448" s="13" t="s">
        <v>7248</v>
      </c>
      <c r="H448" s="99" t="str">
        <f t="shared" si="25"/>
        <v>W218.D</v>
      </c>
      <c r="I448" s="13" t="s">
        <v>104</v>
      </c>
      <c r="J448" s="13"/>
      <c r="K448" s="13"/>
      <c r="L448" s="48"/>
      <c r="M448" s="49" t="str">
        <f t="shared" si="26"/>
        <v>[W218.D]</v>
      </c>
      <c r="N448" s="12" t="str">
        <f t="shared" si="27"/>
        <v xml:space="preserve"> 브라켓 클린칭 Z축 (SD127)  </v>
      </c>
      <c r="O448" s="49" t="str">
        <f t="shared" si="28"/>
        <v xml:space="preserve">[W218.D] 브라켓 클린칭 Z축 (SD127)  </v>
      </c>
    </row>
    <row r="449" spans="1:15" s="49" customFormat="1" ht="14.15" customHeight="1">
      <c r="A449" s="43" t="s">
        <v>2202</v>
      </c>
      <c r="B449" s="11"/>
      <c r="C449" s="11" t="s">
        <v>18</v>
      </c>
      <c r="D449" s="45" t="s">
        <v>16</v>
      </c>
      <c r="E449" s="46"/>
      <c r="F449" s="14" t="s">
        <v>1878</v>
      </c>
      <c r="G449" s="13" t="s">
        <v>7249</v>
      </c>
      <c r="H449" s="99" t="str">
        <f t="shared" si="25"/>
        <v>W218.E</v>
      </c>
      <c r="I449" s="13" t="s">
        <v>104</v>
      </c>
      <c r="J449" s="13"/>
      <c r="K449" s="13"/>
      <c r="L449" s="48"/>
      <c r="M449" s="49" t="str">
        <f t="shared" si="26"/>
        <v>[W218.E]</v>
      </c>
      <c r="N449" s="12" t="str">
        <f t="shared" si="27"/>
        <v xml:space="preserve"> 브라켓 클린칭 Z축 (SD127) 에러가 발생했습니다.</v>
      </c>
      <c r="O449" s="49" t="str">
        <f t="shared" si="28"/>
        <v>[W218.E] 브라켓 클린칭 Z축 (SD127) 에러가 발생했습니다.</v>
      </c>
    </row>
    <row r="450" spans="1:15" s="49" customFormat="1" ht="14.15" customHeight="1">
      <c r="A450" s="43" t="s">
        <v>2202</v>
      </c>
      <c r="B450" s="11"/>
      <c r="C450" s="11" t="s">
        <v>18</v>
      </c>
      <c r="D450" s="45" t="s">
        <v>16</v>
      </c>
      <c r="E450" s="46"/>
      <c r="F450" s="14" t="s">
        <v>1879</v>
      </c>
      <c r="G450" s="13" t="s">
        <v>7250</v>
      </c>
      <c r="H450" s="99" t="str">
        <f t="shared" si="25"/>
        <v>W218.F</v>
      </c>
      <c r="I450" s="13" t="s">
        <v>105</v>
      </c>
      <c r="J450" s="13"/>
      <c r="K450" s="13"/>
      <c r="L450" s="48"/>
      <c r="M450" s="49" t="str">
        <f t="shared" si="26"/>
        <v>[W218.F]</v>
      </c>
      <c r="N450" s="12" t="str">
        <f t="shared" si="27"/>
        <v xml:space="preserve"> 브라켓 클린칭 건 (SD128) 운전중에 Ready가 Off 되었습니다.</v>
      </c>
      <c r="O450" s="49" t="str">
        <f t="shared" si="28"/>
        <v>[W218.F] 브라켓 클린칭 건 (SD128) 운전중에 Ready가 Off 되었습니다.</v>
      </c>
    </row>
    <row r="451" spans="1:15" s="49" customFormat="1" ht="14.15" customHeight="1">
      <c r="A451" s="43" t="s">
        <v>2202</v>
      </c>
      <c r="B451" s="11"/>
      <c r="C451" s="11" t="s">
        <v>18</v>
      </c>
      <c r="D451" s="45" t="s">
        <v>16</v>
      </c>
      <c r="E451" s="47"/>
      <c r="F451" s="12" t="s">
        <v>1880</v>
      </c>
      <c r="G451" s="13" t="s">
        <v>7251</v>
      </c>
      <c r="H451" s="99" t="str">
        <f t="shared" si="25"/>
        <v>W219.0</v>
      </c>
      <c r="I451" s="13" t="s">
        <v>104</v>
      </c>
      <c r="J451" s="13"/>
      <c r="K451" s="13"/>
      <c r="L451" s="48"/>
      <c r="M451" s="49" t="str">
        <f t="shared" si="26"/>
        <v>[W219.0]</v>
      </c>
      <c r="N451" s="12" t="str">
        <f t="shared" si="27"/>
        <v xml:space="preserve"> 브라켓 클린칭 건 (SD128) FLS가 감지되었습니다.</v>
      </c>
      <c r="O451" s="49" t="str">
        <f t="shared" si="28"/>
        <v>[W219.0] 브라켓 클린칭 건 (SD128) FLS가 감지되었습니다.</v>
      </c>
    </row>
    <row r="452" spans="1:15" s="49" customFormat="1" ht="14.15" customHeight="1">
      <c r="A452" s="43" t="s">
        <v>2202</v>
      </c>
      <c r="B452" s="11"/>
      <c r="C452" s="11" t="s">
        <v>18</v>
      </c>
      <c r="D452" s="45" t="s">
        <v>16</v>
      </c>
      <c r="E452" s="47"/>
      <c r="F452" s="12" t="s">
        <v>1881</v>
      </c>
      <c r="G452" s="13" t="s">
        <v>7252</v>
      </c>
      <c r="H452" s="99" t="str">
        <f t="shared" si="25"/>
        <v>W219.1</v>
      </c>
      <c r="I452" s="13" t="s">
        <v>104</v>
      </c>
      <c r="J452" s="13"/>
      <c r="K452" s="13"/>
      <c r="L452" s="48"/>
      <c r="M452" s="49" t="str">
        <f t="shared" si="26"/>
        <v>[W219.1]</v>
      </c>
      <c r="N452" s="12" t="str">
        <f t="shared" si="27"/>
        <v xml:space="preserve"> 브라켓 클린칭 건 (SD128) RLS가 감지되었습니다.</v>
      </c>
      <c r="O452" s="49" t="str">
        <f t="shared" si="28"/>
        <v>[W219.1] 브라켓 클린칭 건 (SD128) RLS가 감지되었습니다.</v>
      </c>
    </row>
    <row r="453" spans="1:15" s="49" customFormat="1" ht="14.15" customHeight="1">
      <c r="A453" s="43" t="s">
        <v>2202</v>
      </c>
      <c r="B453" s="11"/>
      <c r="C453" s="11" t="s">
        <v>18</v>
      </c>
      <c r="D453" s="45" t="s">
        <v>16</v>
      </c>
      <c r="E453" s="47"/>
      <c r="F453" s="12" t="s">
        <v>1882</v>
      </c>
      <c r="G453" s="13" t="s">
        <v>7253</v>
      </c>
      <c r="H453" s="99" t="str">
        <f t="shared" si="25"/>
        <v>W219.2</v>
      </c>
      <c r="I453" s="13" t="s">
        <v>104</v>
      </c>
      <c r="J453" s="13"/>
      <c r="K453" s="13"/>
      <c r="L453" s="48"/>
      <c r="M453" s="49" t="str">
        <f t="shared" si="26"/>
        <v>[W219.2]</v>
      </c>
      <c r="N453" s="12" t="str">
        <f t="shared" si="27"/>
        <v xml:space="preserve"> 브라켓 클린칭 건 (SD128) Stop 명령이 On된 상태에서 기동을 시도했습니다.</v>
      </c>
      <c r="O453" s="49" t="str">
        <f t="shared" si="28"/>
        <v>[W219.2] 브라켓 클린칭 건 (SD128) Stop 명령이 On된 상태에서 기동을 시도했습니다.</v>
      </c>
    </row>
    <row r="454" spans="1:15" s="49" customFormat="1" ht="14.15" customHeight="1">
      <c r="A454" s="43" t="s">
        <v>2202</v>
      </c>
      <c r="B454" s="11"/>
      <c r="C454" s="11" t="s">
        <v>18</v>
      </c>
      <c r="D454" s="45" t="s">
        <v>16</v>
      </c>
      <c r="E454" s="47"/>
      <c r="F454" s="12" t="s">
        <v>1883</v>
      </c>
      <c r="G454" s="13" t="s">
        <v>7254</v>
      </c>
      <c r="H454" s="99" t="str">
        <f t="shared" si="25"/>
        <v>W219.3</v>
      </c>
      <c r="I454" s="13" t="s">
        <v>17</v>
      </c>
      <c r="J454" s="13"/>
      <c r="K454" s="13"/>
      <c r="L454" s="48"/>
      <c r="M454" s="49" t="str">
        <f t="shared" si="26"/>
        <v>[W219.3]</v>
      </c>
      <c r="N454" s="12" t="str">
        <f t="shared" si="27"/>
        <v xml:space="preserve"> 브라켓 클린칭 건 (SD128) 가동 전원이 Off 되었습니다.</v>
      </c>
      <c r="O454" s="49" t="str">
        <f t="shared" si="28"/>
        <v>[W219.3] 브라켓 클린칭 건 (SD128) 가동 전원이 Off 되었습니다.</v>
      </c>
    </row>
    <row r="455" spans="1:15" s="49" customFormat="1" ht="14.15" customHeight="1">
      <c r="A455" s="43" t="s">
        <v>2202</v>
      </c>
      <c r="B455" s="11"/>
      <c r="C455" s="11" t="s">
        <v>18</v>
      </c>
      <c r="D455" s="45" t="s">
        <v>16</v>
      </c>
      <c r="E455" s="47"/>
      <c r="F455" s="12" t="s">
        <v>1884</v>
      </c>
      <c r="G455" s="13" t="s">
        <v>7255</v>
      </c>
      <c r="H455" s="99" t="str">
        <f t="shared" si="25"/>
        <v>W219.4</v>
      </c>
      <c r="I455" s="13" t="s">
        <v>17</v>
      </c>
      <c r="J455" s="13"/>
      <c r="K455" s="13"/>
      <c r="L455" s="48"/>
      <c r="M455" s="49" t="str">
        <f t="shared" si="26"/>
        <v>[W219.4]</v>
      </c>
      <c r="N455" s="12" t="str">
        <f t="shared" si="27"/>
        <v xml:space="preserve"> 브라켓 클린칭 건 (SD128) 엔코더 이상이 검출되었습니다.</v>
      </c>
      <c r="O455" s="49" t="str">
        <f t="shared" si="28"/>
        <v>[W219.4] 브라켓 클린칭 건 (SD128) 엔코더 이상이 검출되었습니다.</v>
      </c>
    </row>
    <row r="456" spans="1:15" s="49" customFormat="1" ht="14.15" customHeight="1">
      <c r="A456" s="43" t="s">
        <v>2202</v>
      </c>
      <c r="B456" s="11"/>
      <c r="C456" s="11" t="s">
        <v>18</v>
      </c>
      <c r="D456" s="45" t="s">
        <v>16</v>
      </c>
      <c r="E456" s="47"/>
      <c r="F456" s="12" t="s">
        <v>1885</v>
      </c>
      <c r="G456" s="13" t="s">
        <v>7256</v>
      </c>
      <c r="H456" s="99" t="str">
        <f t="shared" si="25"/>
        <v>W219.5</v>
      </c>
      <c r="I456" s="13" t="s">
        <v>104</v>
      </c>
      <c r="J456" s="13"/>
      <c r="K456" s="13"/>
      <c r="L456" s="48"/>
      <c r="M456" s="49" t="str">
        <f t="shared" si="26"/>
        <v>[W219.5]</v>
      </c>
      <c r="N456" s="12" t="str">
        <f t="shared" si="27"/>
        <v xml:space="preserve"> 브라켓 클린칭 건 (SD128) 과전류가 검출되었습니다.</v>
      </c>
      <c r="O456" s="49" t="str">
        <f t="shared" si="28"/>
        <v>[W219.5] 브라켓 클린칭 건 (SD128) 과전류가 검출되었습니다.</v>
      </c>
    </row>
    <row r="457" spans="1:15" s="49" customFormat="1" ht="14.15" customHeight="1">
      <c r="A457" s="43" t="s">
        <v>2202</v>
      </c>
      <c r="B457" s="11"/>
      <c r="C457" s="11" t="s">
        <v>18</v>
      </c>
      <c r="D457" s="45" t="s">
        <v>16</v>
      </c>
      <c r="E457" s="47"/>
      <c r="F457" s="12" t="s">
        <v>1886</v>
      </c>
      <c r="G457" s="13" t="s">
        <v>7257</v>
      </c>
      <c r="H457" s="99" t="str">
        <f t="shared" si="25"/>
        <v>W219.6</v>
      </c>
      <c r="I457" s="13" t="s">
        <v>17</v>
      </c>
      <c r="J457" s="13"/>
      <c r="K457" s="13"/>
      <c r="L457" s="48"/>
      <c r="M457" s="49" t="str">
        <f t="shared" si="26"/>
        <v>[W219.6]</v>
      </c>
      <c r="N457" s="12" t="str">
        <f t="shared" si="27"/>
        <v xml:space="preserve"> 브라켓 클린칭 건 (SD128) 과부하가 검출되었습니다.</v>
      </c>
      <c r="O457" s="49" t="str">
        <f t="shared" si="28"/>
        <v>[W219.6] 브라켓 클린칭 건 (SD128) 과부하가 검출되었습니다.</v>
      </c>
    </row>
    <row r="458" spans="1:15" s="49" customFormat="1" ht="14.15" customHeight="1">
      <c r="A458" s="43" t="s">
        <v>2202</v>
      </c>
      <c r="B458" s="11"/>
      <c r="C458" s="11" t="s">
        <v>18</v>
      </c>
      <c r="D458" s="45" t="s">
        <v>16</v>
      </c>
      <c r="E458" s="47"/>
      <c r="F458" s="12" t="s">
        <v>1887</v>
      </c>
      <c r="G458" s="13" t="s">
        <v>7258</v>
      </c>
      <c r="H458" s="99" t="str">
        <f t="shared" si="25"/>
        <v>W219.7</v>
      </c>
      <c r="I458" s="13" t="s">
        <v>104</v>
      </c>
      <c r="J458" s="13"/>
      <c r="K458" s="13"/>
      <c r="L458" s="48"/>
      <c r="M458" s="49" t="str">
        <f t="shared" si="26"/>
        <v>[W219.7]</v>
      </c>
      <c r="N458" s="12" t="str">
        <f t="shared" si="27"/>
        <v xml:space="preserve"> 브라켓 클린칭 건 (SD128)  </v>
      </c>
      <c r="O458" s="49" t="str">
        <f t="shared" si="28"/>
        <v xml:space="preserve">[W219.7] 브라켓 클린칭 건 (SD128)  </v>
      </c>
    </row>
    <row r="459" spans="1:15" s="49" customFormat="1" ht="14.15" customHeight="1">
      <c r="A459" s="43" t="s">
        <v>2202</v>
      </c>
      <c r="B459" s="11"/>
      <c r="C459" s="11" t="s">
        <v>18</v>
      </c>
      <c r="D459" s="45" t="s">
        <v>16</v>
      </c>
      <c r="E459" s="47"/>
      <c r="F459" s="12" t="s">
        <v>1888</v>
      </c>
      <c r="G459" s="13" t="s">
        <v>7259</v>
      </c>
      <c r="H459" s="99" t="str">
        <f t="shared" si="25"/>
        <v>W219.8</v>
      </c>
      <c r="I459" s="13" t="s">
        <v>17</v>
      </c>
      <c r="J459" s="13"/>
      <c r="K459" s="13"/>
      <c r="L459" s="48"/>
      <c r="M459" s="49" t="str">
        <f t="shared" si="26"/>
        <v>[W219.8]</v>
      </c>
      <c r="N459" s="12" t="str">
        <f t="shared" si="27"/>
        <v xml:space="preserve"> 브라켓 클린칭 건 (SD128) 에러가 발생했습니다.</v>
      </c>
      <c r="O459" s="49" t="str">
        <f t="shared" si="28"/>
        <v>[W219.8] 브라켓 클린칭 건 (SD128) 에러가 발생했습니다.</v>
      </c>
    </row>
    <row r="460" spans="1:15" s="49" customFormat="1" ht="14.15" customHeight="1">
      <c r="A460" s="44"/>
      <c r="B460" s="11"/>
      <c r="C460" s="11" t="s">
        <v>18</v>
      </c>
      <c r="D460" s="45" t="s">
        <v>16</v>
      </c>
      <c r="E460" s="47"/>
      <c r="F460" s="12" t="s">
        <v>1889</v>
      </c>
      <c r="G460" s="13" t="s">
        <v>7260</v>
      </c>
      <c r="H460" s="99" t="str">
        <f t="shared" si="25"/>
        <v>W219.9</v>
      </c>
      <c r="I460" s="13" t="s">
        <v>104</v>
      </c>
      <c r="J460" s="13"/>
      <c r="K460" s="13"/>
      <c r="L460" s="48"/>
      <c r="M460" s="49" t="str">
        <f t="shared" si="26"/>
        <v>[W219.9]</v>
      </c>
      <c r="N460" s="12" t="str">
        <f t="shared" si="27"/>
        <v xml:space="preserve"> 브라켓 클린칭 건 제품 유실 발생</v>
      </c>
      <c r="O460" s="49" t="str">
        <f t="shared" si="28"/>
        <v>[W219.9] 브라켓 클린칭 건 제품 유실 발생</v>
      </c>
    </row>
    <row r="461" spans="1:15" s="49" customFormat="1" ht="14.15" customHeight="1">
      <c r="A461" s="44"/>
      <c r="B461" s="11"/>
      <c r="C461" s="11" t="s">
        <v>18</v>
      </c>
      <c r="D461" s="45" t="s">
        <v>16</v>
      </c>
      <c r="E461" s="47"/>
      <c r="F461" s="12" t="s">
        <v>419</v>
      </c>
      <c r="G461" s="13" t="s">
        <v>7261</v>
      </c>
      <c r="H461" s="99" t="str">
        <f t="shared" si="25"/>
        <v>W219.A</v>
      </c>
      <c r="I461" s="13"/>
      <c r="J461" s="13"/>
      <c r="K461" s="13"/>
      <c r="L461" s="48"/>
      <c r="M461" s="49" t="str">
        <f t="shared" si="26"/>
        <v>[W219.A]</v>
      </c>
      <c r="N461" s="12" t="str">
        <f t="shared" si="27"/>
        <v xml:space="preserve"> </v>
      </c>
      <c r="O461" s="49" t="str">
        <f t="shared" si="28"/>
        <v xml:space="preserve">[W219.A] </v>
      </c>
    </row>
    <row r="462" spans="1:15" s="49" customFormat="1" ht="14.15" customHeight="1">
      <c r="A462" s="44"/>
      <c r="B462" s="11"/>
      <c r="C462" s="11" t="s">
        <v>18</v>
      </c>
      <c r="D462" s="45" t="s">
        <v>16</v>
      </c>
      <c r="E462" s="47"/>
      <c r="F462" s="12" t="s">
        <v>420</v>
      </c>
      <c r="G462" s="13" t="s">
        <v>7262</v>
      </c>
      <c r="H462" s="99" t="str">
        <f t="shared" si="25"/>
        <v>W219.B</v>
      </c>
      <c r="I462" s="13"/>
      <c r="J462" s="13"/>
      <c r="K462" s="13"/>
      <c r="L462" s="48"/>
      <c r="M462" s="49" t="str">
        <f t="shared" si="26"/>
        <v>[W219.B]</v>
      </c>
      <c r="N462" s="12" t="str">
        <f t="shared" si="27"/>
        <v xml:space="preserve"> </v>
      </c>
      <c r="O462" s="49" t="str">
        <f t="shared" si="28"/>
        <v xml:space="preserve">[W219.B] </v>
      </c>
    </row>
    <row r="463" spans="1:15" s="49" customFormat="1" ht="14.15" customHeight="1">
      <c r="A463" s="44"/>
      <c r="B463" s="11"/>
      <c r="C463" s="11" t="s">
        <v>18</v>
      </c>
      <c r="D463" s="45" t="s">
        <v>16</v>
      </c>
      <c r="E463" s="47"/>
      <c r="F463" s="12" t="s">
        <v>421</v>
      </c>
      <c r="G463" s="13" t="s">
        <v>7263</v>
      </c>
      <c r="H463" s="99" t="str">
        <f t="shared" si="25"/>
        <v>W219.C</v>
      </c>
      <c r="I463" s="13"/>
      <c r="J463" s="13"/>
      <c r="K463" s="13"/>
      <c r="L463" s="48"/>
      <c r="M463" s="49" t="str">
        <f t="shared" si="26"/>
        <v>[W219.C]</v>
      </c>
      <c r="N463" s="12" t="str">
        <f t="shared" si="27"/>
        <v xml:space="preserve"> </v>
      </c>
      <c r="O463" s="49" t="str">
        <f t="shared" si="28"/>
        <v xml:space="preserve">[W219.C] </v>
      </c>
    </row>
    <row r="464" spans="1:15" s="49" customFormat="1" ht="14.15" customHeight="1">
      <c r="A464" s="44"/>
      <c r="B464" s="11"/>
      <c r="C464" s="11" t="s">
        <v>18</v>
      </c>
      <c r="D464" s="45" t="s">
        <v>16</v>
      </c>
      <c r="E464" s="47"/>
      <c r="F464" s="12" t="s">
        <v>422</v>
      </c>
      <c r="G464" s="13" t="s">
        <v>7264</v>
      </c>
      <c r="H464" s="99" t="str">
        <f t="shared" si="25"/>
        <v>W219.D</v>
      </c>
      <c r="I464" s="13"/>
      <c r="J464" s="13"/>
      <c r="K464" s="13"/>
      <c r="L464" s="48"/>
      <c r="M464" s="49" t="str">
        <f t="shared" si="26"/>
        <v>[W219.D]</v>
      </c>
      <c r="N464" s="12" t="str">
        <f t="shared" si="27"/>
        <v xml:space="preserve"> </v>
      </c>
      <c r="O464" s="49" t="str">
        <f t="shared" si="28"/>
        <v xml:space="preserve">[W219.D] </v>
      </c>
    </row>
    <row r="465" spans="1:15" s="49" customFormat="1" ht="14.15" customHeight="1">
      <c r="A465" s="44"/>
      <c r="B465" s="11"/>
      <c r="C465" s="11" t="s">
        <v>18</v>
      </c>
      <c r="D465" s="45" t="s">
        <v>16</v>
      </c>
      <c r="E465" s="47"/>
      <c r="F465" s="12" t="s">
        <v>423</v>
      </c>
      <c r="G465" s="13" t="s">
        <v>7265</v>
      </c>
      <c r="H465" s="99" t="str">
        <f t="shared" si="25"/>
        <v>W219.E</v>
      </c>
      <c r="I465" s="13"/>
      <c r="J465" s="13"/>
      <c r="K465" s="13"/>
      <c r="L465" s="48"/>
      <c r="M465" s="49" t="str">
        <f t="shared" si="26"/>
        <v>[W219.E]</v>
      </c>
      <c r="N465" s="12" t="str">
        <f t="shared" si="27"/>
        <v xml:space="preserve"> </v>
      </c>
      <c r="O465" s="49" t="str">
        <f t="shared" si="28"/>
        <v xml:space="preserve">[W219.E] </v>
      </c>
    </row>
    <row r="466" spans="1:15" s="49" customFormat="1" ht="14.15" customHeight="1">
      <c r="A466" s="44"/>
      <c r="B466" s="11"/>
      <c r="C466" s="11" t="s">
        <v>18</v>
      </c>
      <c r="D466" s="45" t="s">
        <v>16</v>
      </c>
      <c r="E466" s="47"/>
      <c r="F466" s="12" t="s">
        <v>424</v>
      </c>
      <c r="G466" s="13" t="s">
        <v>7266</v>
      </c>
      <c r="H466" s="99" t="str">
        <f t="shared" si="25"/>
        <v>W219.F</v>
      </c>
      <c r="I466" s="13"/>
      <c r="J466" s="13"/>
      <c r="K466" s="13"/>
      <c r="L466" s="48"/>
      <c r="M466" s="49" t="str">
        <f t="shared" si="26"/>
        <v>[W219.F]</v>
      </c>
      <c r="N466" s="12" t="str">
        <f t="shared" si="27"/>
        <v xml:space="preserve"> </v>
      </c>
      <c r="O466" s="49" t="str">
        <f t="shared" si="28"/>
        <v xml:space="preserve">[W219.F] </v>
      </c>
    </row>
    <row r="467" spans="1:15" s="49" customFormat="1" ht="14.15" customHeight="1">
      <c r="A467" s="44"/>
      <c r="B467" s="11"/>
      <c r="C467" s="11" t="s">
        <v>18</v>
      </c>
      <c r="D467" s="45" t="s">
        <v>16</v>
      </c>
      <c r="E467" s="47"/>
      <c r="F467" s="12" t="s">
        <v>425</v>
      </c>
      <c r="G467" s="13" t="s">
        <v>7267</v>
      </c>
      <c r="H467" s="99" t="str">
        <f t="shared" si="25"/>
        <v>W21A.0</v>
      </c>
      <c r="I467" s="13"/>
      <c r="J467" s="13"/>
      <c r="K467" s="13"/>
      <c r="L467" s="48"/>
      <c r="M467" s="49" t="str">
        <f t="shared" si="26"/>
        <v>[W21A.0]</v>
      </c>
      <c r="N467" s="12" t="str">
        <f t="shared" si="27"/>
        <v xml:space="preserve"> </v>
      </c>
      <c r="O467" s="49" t="str">
        <f t="shared" si="28"/>
        <v xml:space="preserve">[W21A.0] </v>
      </c>
    </row>
    <row r="468" spans="1:15" s="49" customFormat="1" ht="14.15" customHeight="1">
      <c r="A468" s="44"/>
      <c r="B468" s="11"/>
      <c r="C468" s="11" t="s">
        <v>18</v>
      </c>
      <c r="D468" s="45" t="s">
        <v>16</v>
      </c>
      <c r="E468" s="47"/>
      <c r="F468" s="12" t="s">
        <v>426</v>
      </c>
      <c r="G468" s="13" t="s">
        <v>7268</v>
      </c>
      <c r="H468" s="99" t="str">
        <f t="shared" si="25"/>
        <v>W21A.1</v>
      </c>
      <c r="I468" s="13"/>
      <c r="J468" s="13"/>
      <c r="K468" s="13"/>
      <c r="L468" s="48"/>
      <c r="M468" s="49" t="str">
        <f t="shared" si="26"/>
        <v>[W21A.1]</v>
      </c>
      <c r="N468" s="12" t="str">
        <f t="shared" si="27"/>
        <v xml:space="preserve"> </v>
      </c>
      <c r="O468" s="49" t="str">
        <f t="shared" si="28"/>
        <v xml:space="preserve">[W21A.1] </v>
      </c>
    </row>
    <row r="469" spans="1:15" s="49" customFormat="1" ht="14.15" customHeight="1">
      <c r="A469" s="44"/>
      <c r="B469" s="11"/>
      <c r="C469" s="11" t="s">
        <v>18</v>
      </c>
      <c r="D469" s="45" t="s">
        <v>16</v>
      </c>
      <c r="E469" s="47"/>
      <c r="F469" s="12" t="s">
        <v>427</v>
      </c>
      <c r="G469" s="13" t="s">
        <v>7269</v>
      </c>
      <c r="H469" s="99" t="str">
        <f t="shared" si="25"/>
        <v>W21A.2</v>
      </c>
      <c r="I469" s="13"/>
      <c r="J469" s="13"/>
      <c r="K469" s="13"/>
      <c r="L469" s="48"/>
      <c r="M469" s="49" t="str">
        <f t="shared" si="26"/>
        <v>[W21A.2]</v>
      </c>
      <c r="N469" s="12" t="str">
        <f t="shared" si="27"/>
        <v xml:space="preserve"> </v>
      </c>
      <c r="O469" s="49" t="str">
        <f t="shared" si="28"/>
        <v xml:space="preserve">[W21A.2] </v>
      </c>
    </row>
    <row r="470" spans="1:15" s="49" customFormat="1" ht="14.15" customHeight="1">
      <c r="A470" s="43" t="s">
        <v>2203</v>
      </c>
      <c r="B470" s="11"/>
      <c r="C470" s="11" t="s">
        <v>18</v>
      </c>
      <c r="D470" s="45" t="s">
        <v>16</v>
      </c>
      <c r="E470" s="47"/>
      <c r="F470" s="12" t="s">
        <v>1890</v>
      </c>
      <c r="G470" s="13" t="s">
        <v>7270</v>
      </c>
      <c r="H470" s="99" t="str">
        <f t="shared" si="25"/>
        <v>W21A.3</v>
      </c>
      <c r="I470" s="13" t="s">
        <v>17</v>
      </c>
      <c r="J470" s="13"/>
      <c r="K470" s="13"/>
      <c r="L470" s="48"/>
      <c r="M470" s="49" t="str">
        <f t="shared" si="26"/>
        <v>[W21A.3]</v>
      </c>
      <c r="N470" s="12" t="str">
        <f t="shared" si="27"/>
        <v xml:space="preserve"> 클램프C1축 (SD133) 운전중에 Ready가 Off 되었습니다.</v>
      </c>
      <c r="O470" s="49" t="str">
        <f t="shared" si="28"/>
        <v>[W21A.3] 클램프C1축 (SD133) 운전중에 Ready가 Off 되었습니다.</v>
      </c>
    </row>
    <row r="471" spans="1:15" s="49" customFormat="1" ht="14.15" customHeight="1">
      <c r="A471" s="43" t="s">
        <v>2203</v>
      </c>
      <c r="B471" s="11"/>
      <c r="C471" s="11" t="s">
        <v>18</v>
      </c>
      <c r="D471" s="45" t="s">
        <v>16</v>
      </c>
      <c r="E471" s="47"/>
      <c r="F471" s="12" t="s">
        <v>1891</v>
      </c>
      <c r="G471" s="13" t="s">
        <v>7271</v>
      </c>
      <c r="H471" s="99" t="str">
        <f t="shared" si="25"/>
        <v>W21A.4</v>
      </c>
      <c r="I471" s="13" t="s">
        <v>104</v>
      </c>
      <c r="J471" s="13"/>
      <c r="K471" s="13"/>
      <c r="L471" s="48"/>
      <c r="M471" s="49" t="str">
        <f t="shared" si="26"/>
        <v>[W21A.4]</v>
      </c>
      <c r="N471" s="12" t="str">
        <f t="shared" si="27"/>
        <v xml:space="preserve"> 클램프C1축 (SD133) FLS가 감지되었습니다.</v>
      </c>
      <c r="O471" s="49" t="str">
        <f t="shared" si="28"/>
        <v>[W21A.4] 클램프C1축 (SD133) FLS가 감지되었습니다.</v>
      </c>
    </row>
    <row r="472" spans="1:15" s="49" customFormat="1" ht="14.15" customHeight="1">
      <c r="A472" s="43" t="s">
        <v>2203</v>
      </c>
      <c r="B472" s="11"/>
      <c r="C472" s="11" t="s">
        <v>18</v>
      </c>
      <c r="D472" s="45" t="s">
        <v>16</v>
      </c>
      <c r="E472" s="47"/>
      <c r="F472" s="12" t="s">
        <v>1892</v>
      </c>
      <c r="G472" s="13" t="s">
        <v>7272</v>
      </c>
      <c r="H472" s="99" t="str">
        <f t="shared" si="25"/>
        <v>W21A.5</v>
      </c>
      <c r="I472" s="13" t="s">
        <v>17</v>
      </c>
      <c r="J472" s="13"/>
      <c r="K472" s="13"/>
      <c r="L472" s="48"/>
      <c r="M472" s="49" t="str">
        <f t="shared" si="26"/>
        <v>[W21A.5]</v>
      </c>
      <c r="N472" s="12" t="str">
        <f t="shared" si="27"/>
        <v xml:space="preserve"> 클램프C1축 (SD133) RLS가 감지되었습니다.</v>
      </c>
      <c r="O472" s="49" t="str">
        <f t="shared" si="28"/>
        <v>[W21A.5] 클램프C1축 (SD133) RLS가 감지되었습니다.</v>
      </c>
    </row>
    <row r="473" spans="1:15" s="49" customFormat="1" ht="14.15" customHeight="1">
      <c r="A473" s="43" t="s">
        <v>2203</v>
      </c>
      <c r="B473" s="11"/>
      <c r="C473" s="11" t="s">
        <v>18</v>
      </c>
      <c r="D473" s="45" t="s">
        <v>16</v>
      </c>
      <c r="E473" s="47"/>
      <c r="F473" s="12" t="s">
        <v>1893</v>
      </c>
      <c r="G473" s="13" t="s">
        <v>7273</v>
      </c>
      <c r="H473" s="99" t="str">
        <f t="shared" si="25"/>
        <v>W21A.6</v>
      </c>
      <c r="I473" s="13" t="s">
        <v>104</v>
      </c>
      <c r="J473" s="13"/>
      <c r="K473" s="13"/>
      <c r="L473" s="48"/>
      <c r="M473" s="49" t="str">
        <f t="shared" si="26"/>
        <v>[W21A.6]</v>
      </c>
      <c r="N473" s="12" t="str">
        <f t="shared" si="27"/>
        <v xml:space="preserve"> 클램프C1축 (SD133) Stop 명령이 On된 상태에서 기동을 시도했습니다.</v>
      </c>
      <c r="O473" s="49" t="str">
        <f t="shared" si="28"/>
        <v>[W21A.6] 클램프C1축 (SD133) Stop 명령이 On된 상태에서 기동을 시도했습니다.</v>
      </c>
    </row>
    <row r="474" spans="1:15" s="49" customFormat="1" ht="14.15" customHeight="1">
      <c r="A474" s="43" t="s">
        <v>2203</v>
      </c>
      <c r="B474" s="11"/>
      <c r="C474" s="11" t="s">
        <v>18</v>
      </c>
      <c r="D474" s="45" t="s">
        <v>16</v>
      </c>
      <c r="E474" s="47"/>
      <c r="F474" s="12" t="s">
        <v>1894</v>
      </c>
      <c r="G474" s="13" t="s">
        <v>7274</v>
      </c>
      <c r="H474" s="99" t="str">
        <f t="shared" si="25"/>
        <v>W21A.7</v>
      </c>
      <c r="I474" s="13" t="s">
        <v>104</v>
      </c>
      <c r="J474" s="13"/>
      <c r="K474" s="13"/>
      <c r="L474" s="48"/>
      <c r="M474" s="49" t="str">
        <f t="shared" si="26"/>
        <v>[W21A.7]</v>
      </c>
      <c r="N474" s="12" t="str">
        <f t="shared" si="27"/>
        <v xml:space="preserve"> 클램프C1축 (SD133) 가동 전원이 Off 되었습니다.</v>
      </c>
      <c r="O474" s="49" t="str">
        <f t="shared" si="28"/>
        <v>[W21A.7] 클램프C1축 (SD133) 가동 전원이 Off 되었습니다.</v>
      </c>
    </row>
    <row r="475" spans="1:15" s="49" customFormat="1" ht="14.15" customHeight="1">
      <c r="A475" s="43" t="s">
        <v>2203</v>
      </c>
      <c r="B475" s="11"/>
      <c r="C475" s="11" t="s">
        <v>18</v>
      </c>
      <c r="D475" s="45" t="s">
        <v>16</v>
      </c>
      <c r="E475" s="47"/>
      <c r="F475" s="12" t="s">
        <v>1895</v>
      </c>
      <c r="G475" s="13" t="s">
        <v>7275</v>
      </c>
      <c r="H475" s="99" t="str">
        <f t="shared" si="25"/>
        <v>W21A.8</v>
      </c>
      <c r="I475" s="13" t="s">
        <v>104</v>
      </c>
      <c r="J475" s="13"/>
      <c r="K475" s="13"/>
      <c r="L475" s="48"/>
      <c r="M475" s="49" t="str">
        <f t="shared" si="26"/>
        <v>[W21A.8]</v>
      </c>
      <c r="N475" s="12" t="str">
        <f t="shared" si="27"/>
        <v xml:space="preserve"> 클램프C1축 (SD133) 엔코더 이상이 검출되었습니다.</v>
      </c>
      <c r="O475" s="49" t="str">
        <f t="shared" si="28"/>
        <v>[W21A.8] 클램프C1축 (SD133) 엔코더 이상이 검출되었습니다.</v>
      </c>
    </row>
    <row r="476" spans="1:15" s="49" customFormat="1" ht="14.15" customHeight="1">
      <c r="A476" s="43" t="s">
        <v>2203</v>
      </c>
      <c r="B476" s="11"/>
      <c r="C476" s="11" t="s">
        <v>18</v>
      </c>
      <c r="D476" s="45" t="s">
        <v>16</v>
      </c>
      <c r="E476" s="47"/>
      <c r="F476" s="12" t="s">
        <v>1896</v>
      </c>
      <c r="G476" s="13" t="s">
        <v>7276</v>
      </c>
      <c r="H476" s="99" t="str">
        <f t="shared" si="25"/>
        <v>W21A.9</v>
      </c>
      <c r="I476" s="13" t="s">
        <v>104</v>
      </c>
      <c r="J476" s="13"/>
      <c r="K476" s="13"/>
      <c r="L476" s="48"/>
      <c r="M476" s="49" t="str">
        <f t="shared" si="26"/>
        <v>[W21A.9]</v>
      </c>
      <c r="N476" s="12" t="str">
        <f t="shared" si="27"/>
        <v xml:space="preserve"> 클램프C1축 (SD133) 과전류가 검출되었습니다.</v>
      </c>
      <c r="O476" s="49" t="str">
        <f t="shared" si="28"/>
        <v>[W21A.9] 클램프C1축 (SD133) 과전류가 검출되었습니다.</v>
      </c>
    </row>
    <row r="477" spans="1:15" s="49" customFormat="1" ht="14.15" customHeight="1">
      <c r="A477" s="43" t="s">
        <v>2203</v>
      </c>
      <c r="B477" s="11"/>
      <c r="C477" s="11" t="s">
        <v>18</v>
      </c>
      <c r="D477" s="45" t="s">
        <v>16</v>
      </c>
      <c r="E477" s="47"/>
      <c r="F477" s="12" t="s">
        <v>1897</v>
      </c>
      <c r="G477" s="13" t="s">
        <v>7277</v>
      </c>
      <c r="H477" s="99" t="str">
        <f t="shared" si="25"/>
        <v>W21A.A</v>
      </c>
      <c r="I477" s="13" t="s">
        <v>104</v>
      </c>
      <c r="J477" s="13"/>
      <c r="K477" s="13"/>
      <c r="L477" s="48"/>
      <c r="M477" s="49" t="str">
        <f t="shared" si="26"/>
        <v>[W21A.A]</v>
      </c>
      <c r="N477" s="12" t="str">
        <f t="shared" si="27"/>
        <v xml:space="preserve"> 클램프C1축 (SD133) 과부하가 검출되었습니다.</v>
      </c>
      <c r="O477" s="49" t="str">
        <f t="shared" si="28"/>
        <v>[W21A.A] 클램프C1축 (SD133) 과부하가 검출되었습니다.</v>
      </c>
    </row>
    <row r="478" spans="1:15" s="49" customFormat="1" ht="14.15" customHeight="1">
      <c r="A478" s="43" t="s">
        <v>2203</v>
      </c>
      <c r="B478" s="11"/>
      <c r="C478" s="11" t="s">
        <v>18</v>
      </c>
      <c r="D478" s="45" t="s">
        <v>16</v>
      </c>
      <c r="E478" s="47"/>
      <c r="F478" s="12" t="s">
        <v>1898</v>
      </c>
      <c r="G478" s="13" t="s">
        <v>7278</v>
      </c>
      <c r="H478" s="99" t="str">
        <f t="shared" si="25"/>
        <v>W21A.B</v>
      </c>
      <c r="I478" s="13" t="s">
        <v>17</v>
      </c>
      <c r="J478" s="13"/>
      <c r="K478" s="13"/>
      <c r="L478" s="48"/>
      <c r="M478" s="49" t="str">
        <f t="shared" si="26"/>
        <v>[W21A.B]</v>
      </c>
      <c r="N478" s="12" t="str">
        <f t="shared" si="27"/>
        <v xml:space="preserve"> 클램프C1축 (SD133)  </v>
      </c>
      <c r="O478" s="49" t="str">
        <f t="shared" si="28"/>
        <v xml:space="preserve">[W21A.B] 클램프C1축 (SD133)  </v>
      </c>
    </row>
    <row r="479" spans="1:15" s="49" customFormat="1" ht="14.15" customHeight="1">
      <c r="A479" s="43" t="s">
        <v>2203</v>
      </c>
      <c r="B479" s="11"/>
      <c r="C479" s="11" t="s">
        <v>18</v>
      </c>
      <c r="D479" s="45" t="s">
        <v>16</v>
      </c>
      <c r="E479" s="47"/>
      <c r="F479" s="12" t="s">
        <v>1899</v>
      </c>
      <c r="G479" s="13" t="s">
        <v>7279</v>
      </c>
      <c r="H479" s="99" t="str">
        <f t="shared" si="25"/>
        <v>W21A.C</v>
      </c>
      <c r="I479" s="13" t="s">
        <v>104</v>
      </c>
      <c r="J479" s="13"/>
      <c r="K479" s="13"/>
      <c r="L479" s="48"/>
      <c r="M479" s="49" t="str">
        <f t="shared" si="26"/>
        <v>[W21A.C]</v>
      </c>
      <c r="N479" s="12" t="str">
        <f t="shared" si="27"/>
        <v xml:space="preserve"> 클램프C1축 (SD133) 에러가 발생했습니다.</v>
      </c>
      <c r="O479" s="49" t="str">
        <f t="shared" si="28"/>
        <v>[W21A.C] 클램프C1축 (SD133) 에러가 발생했습니다.</v>
      </c>
    </row>
    <row r="480" spans="1:15" s="49" customFormat="1" ht="14.15" customHeight="1">
      <c r="A480" s="43" t="s">
        <v>2203</v>
      </c>
      <c r="B480" s="11"/>
      <c r="C480" s="11" t="s">
        <v>18</v>
      </c>
      <c r="D480" s="45" t="s">
        <v>16</v>
      </c>
      <c r="E480" s="47"/>
      <c r="F480" s="12" t="s">
        <v>1900</v>
      </c>
      <c r="G480" s="13" t="s">
        <v>7280</v>
      </c>
      <c r="H480" s="99" t="str">
        <f t="shared" si="25"/>
        <v>W21A.D</v>
      </c>
      <c r="I480" s="13" t="s">
        <v>104</v>
      </c>
      <c r="J480" s="13"/>
      <c r="K480" s="13"/>
      <c r="L480" s="48"/>
      <c r="M480" s="49" t="str">
        <f t="shared" si="26"/>
        <v>[W21A.D]</v>
      </c>
      <c r="N480" s="12" t="str">
        <f t="shared" si="27"/>
        <v xml:space="preserve"> 클램프X2축 (SD134) 운전중에 Ready가 Off 되었습니다.</v>
      </c>
      <c r="O480" s="49" t="str">
        <f t="shared" si="28"/>
        <v>[W21A.D] 클램프X2축 (SD134) 운전중에 Ready가 Off 되었습니다.</v>
      </c>
    </row>
    <row r="481" spans="1:15" s="49" customFormat="1" ht="14.15" customHeight="1">
      <c r="A481" s="43" t="s">
        <v>2203</v>
      </c>
      <c r="B481" s="11"/>
      <c r="C481" s="11" t="s">
        <v>18</v>
      </c>
      <c r="D481" s="45" t="s">
        <v>16</v>
      </c>
      <c r="E481" s="47"/>
      <c r="F481" s="12" t="s">
        <v>1901</v>
      </c>
      <c r="G481" s="13" t="s">
        <v>7281</v>
      </c>
      <c r="H481" s="99" t="str">
        <f t="shared" si="25"/>
        <v>W21A.E</v>
      </c>
      <c r="I481" s="13" t="s">
        <v>104</v>
      </c>
      <c r="J481" s="13"/>
      <c r="K481" s="13"/>
      <c r="L481" s="48"/>
      <c r="M481" s="49" t="str">
        <f t="shared" si="26"/>
        <v>[W21A.E]</v>
      </c>
      <c r="N481" s="12" t="str">
        <f t="shared" si="27"/>
        <v xml:space="preserve"> 클램프X2축 (SD134) FLS가 감지되었습니다.</v>
      </c>
      <c r="O481" s="49" t="str">
        <f t="shared" si="28"/>
        <v>[W21A.E] 클램프X2축 (SD134) FLS가 감지되었습니다.</v>
      </c>
    </row>
    <row r="482" spans="1:15" s="49" customFormat="1" ht="14.15" customHeight="1">
      <c r="A482" s="43" t="s">
        <v>2203</v>
      </c>
      <c r="B482" s="11"/>
      <c r="C482" s="11" t="s">
        <v>18</v>
      </c>
      <c r="D482" s="45" t="s">
        <v>16</v>
      </c>
      <c r="E482" s="47"/>
      <c r="F482" s="12" t="s">
        <v>1902</v>
      </c>
      <c r="G482" s="13" t="s">
        <v>7282</v>
      </c>
      <c r="H482" s="99" t="str">
        <f t="shared" si="25"/>
        <v>W21A.F</v>
      </c>
      <c r="I482" s="13" t="s">
        <v>17</v>
      </c>
      <c r="J482" s="13"/>
      <c r="K482" s="13"/>
      <c r="L482" s="48"/>
      <c r="M482" s="49" t="str">
        <f t="shared" si="26"/>
        <v>[W21A.F]</v>
      </c>
      <c r="N482" s="12" t="str">
        <f t="shared" si="27"/>
        <v xml:space="preserve"> 클램프X2축 (SD134) RLS가 감지되었습니다.</v>
      </c>
      <c r="O482" s="49" t="str">
        <f t="shared" si="28"/>
        <v>[W21A.F] 클램프X2축 (SD134) RLS가 감지되었습니다.</v>
      </c>
    </row>
    <row r="483" spans="1:15" s="49" customFormat="1" ht="14.15" customHeight="1">
      <c r="A483" s="43" t="s">
        <v>2203</v>
      </c>
      <c r="B483" s="11"/>
      <c r="C483" s="11" t="s">
        <v>18</v>
      </c>
      <c r="D483" s="45" t="s">
        <v>16</v>
      </c>
      <c r="E483" s="47"/>
      <c r="F483" s="12" t="s">
        <v>1903</v>
      </c>
      <c r="G483" s="13" t="s">
        <v>7283</v>
      </c>
      <c r="H483" s="99" t="str">
        <f t="shared" si="25"/>
        <v>W21B.0</v>
      </c>
      <c r="I483" s="13" t="s">
        <v>104</v>
      </c>
      <c r="J483" s="13"/>
      <c r="K483" s="13"/>
      <c r="L483" s="48"/>
      <c r="M483" s="49" t="str">
        <f t="shared" si="26"/>
        <v>[W21B.0]</v>
      </c>
      <c r="N483" s="12" t="str">
        <f t="shared" si="27"/>
        <v xml:space="preserve"> 클램프X2축 (SD134) Stop 명령이 On된 상태에서 기동을 시도했습니다.</v>
      </c>
      <c r="O483" s="49" t="str">
        <f t="shared" si="28"/>
        <v>[W21B.0] 클램프X2축 (SD134) Stop 명령이 On된 상태에서 기동을 시도했습니다.</v>
      </c>
    </row>
    <row r="484" spans="1:15" s="49" customFormat="1" ht="14.15" customHeight="1">
      <c r="A484" s="43" t="s">
        <v>2203</v>
      </c>
      <c r="B484" s="11"/>
      <c r="C484" s="11" t="s">
        <v>18</v>
      </c>
      <c r="D484" s="45" t="s">
        <v>16</v>
      </c>
      <c r="E484" s="46"/>
      <c r="F484" s="14" t="s">
        <v>1904</v>
      </c>
      <c r="G484" s="13" t="s">
        <v>7284</v>
      </c>
      <c r="H484" s="99" t="str">
        <f t="shared" si="25"/>
        <v>W21B.1</v>
      </c>
      <c r="I484" s="13" t="s">
        <v>104</v>
      </c>
      <c r="J484" s="13"/>
      <c r="K484" s="13"/>
      <c r="L484" s="48"/>
      <c r="M484" s="49" t="str">
        <f t="shared" si="26"/>
        <v>[W21B.1]</v>
      </c>
      <c r="N484" s="12" t="str">
        <f t="shared" si="27"/>
        <v xml:space="preserve"> 클램프X2축 (SD134) 가동 전원이 Off 되었습니다.</v>
      </c>
      <c r="O484" s="49" t="str">
        <f t="shared" si="28"/>
        <v>[W21B.1] 클램프X2축 (SD134) 가동 전원이 Off 되었습니다.</v>
      </c>
    </row>
    <row r="485" spans="1:15" s="49" customFormat="1" ht="14.15" customHeight="1">
      <c r="A485" s="43" t="s">
        <v>2203</v>
      </c>
      <c r="B485" s="11"/>
      <c r="C485" s="11" t="s">
        <v>18</v>
      </c>
      <c r="D485" s="45" t="s">
        <v>16</v>
      </c>
      <c r="E485" s="46"/>
      <c r="F485" s="14" t="s">
        <v>1905</v>
      </c>
      <c r="G485" s="13" t="s">
        <v>7285</v>
      </c>
      <c r="H485" s="99" t="str">
        <f t="shared" si="25"/>
        <v>W21B.2</v>
      </c>
      <c r="I485" s="13" t="s">
        <v>104</v>
      </c>
      <c r="J485" s="13"/>
      <c r="K485" s="13"/>
      <c r="L485" s="48"/>
      <c r="M485" s="49" t="str">
        <f t="shared" si="26"/>
        <v>[W21B.2]</v>
      </c>
      <c r="N485" s="12" t="str">
        <f t="shared" si="27"/>
        <v xml:space="preserve"> 클램프X2축 (SD134) 엔코더 이상이 검출되었습니다.</v>
      </c>
      <c r="O485" s="49" t="str">
        <f t="shared" si="28"/>
        <v>[W21B.2] 클램프X2축 (SD134) 엔코더 이상이 검출되었습니다.</v>
      </c>
    </row>
    <row r="486" spans="1:15" s="49" customFormat="1" ht="14.15" customHeight="1">
      <c r="A486" s="43" t="s">
        <v>2203</v>
      </c>
      <c r="B486" s="11"/>
      <c r="C486" s="11" t="s">
        <v>18</v>
      </c>
      <c r="D486" s="45" t="s">
        <v>16</v>
      </c>
      <c r="E486" s="46"/>
      <c r="F486" s="14" t="s">
        <v>1906</v>
      </c>
      <c r="G486" s="13" t="s">
        <v>7286</v>
      </c>
      <c r="H486" s="99" t="str">
        <f t="shared" si="25"/>
        <v>W21B.3</v>
      </c>
      <c r="I486" s="13" t="s">
        <v>104</v>
      </c>
      <c r="J486" s="13"/>
      <c r="K486" s="13"/>
      <c r="L486" s="48"/>
      <c r="M486" s="49" t="str">
        <f t="shared" si="26"/>
        <v>[W21B.3]</v>
      </c>
      <c r="N486" s="12" t="str">
        <f t="shared" si="27"/>
        <v xml:space="preserve"> 클램프X2축 (SD134) 과전류가 검출되었습니다.</v>
      </c>
      <c r="O486" s="49" t="str">
        <f t="shared" si="28"/>
        <v>[W21B.3] 클램프X2축 (SD134) 과전류가 검출되었습니다.</v>
      </c>
    </row>
    <row r="487" spans="1:15" s="49" customFormat="1" ht="14.15" customHeight="1">
      <c r="A487" s="43" t="s">
        <v>2203</v>
      </c>
      <c r="B487" s="11"/>
      <c r="C487" s="11" t="s">
        <v>18</v>
      </c>
      <c r="D487" s="45" t="s">
        <v>16</v>
      </c>
      <c r="E487" s="46"/>
      <c r="F487" s="14" t="s">
        <v>1907</v>
      </c>
      <c r="G487" s="13" t="s">
        <v>7287</v>
      </c>
      <c r="H487" s="99" t="str">
        <f t="shared" si="25"/>
        <v>W21B.4</v>
      </c>
      <c r="I487" s="13" t="s">
        <v>17</v>
      </c>
      <c r="J487" s="13"/>
      <c r="K487" s="13"/>
      <c r="L487" s="48"/>
      <c r="M487" s="49" t="str">
        <f t="shared" si="26"/>
        <v>[W21B.4]</v>
      </c>
      <c r="N487" s="12" t="str">
        <f t="shared" si="27"/>
        <v xml:space="preserve"> 클램프X2축 (SD134) 과부하가 검출되었습니다.</v>
      </c>
      <c r="O487" s="49" t="str">
        <f t="shared" si="28"/>
        <v>[W21B.4] 클램프X2축 (SD134) 과부하가 검출되었습니다.</v>
      </c>
    </row>
    <row r="488" spans="1:15" s="49" customFormat="1" ht="14.15" customHeight="1">
      <c r="A488" s="43" t="s">
        <v>2203</v>
      </c>
      <c r="B488" s="11"/>
      <c r="C488" s="11" t="s">
        <v>18</v>
      </c>
      <c r="D488" s="45" t="s">
        <v>16</v>
      </c>
      <c r="E488" s="46"/>
      <c r="F488" s="14" t="s">
        <v>1908</v>
      </c>
      <c r="G488" s="13" t="s">
        <v>7288</v>
      </c>
      <c r="H488" s="99" t="str">
        <f t="shared" si="25"/>
        <v>W21B.5</v>
      </c>
      <c r="I488" s="13" t="s">
        <v>104</v>
      </c>
      <c r="J488" s="13"/>
      <c r="K488" s="13"/>
      <c r="L488" s="48"/>
      <c r="M488" s="49" t="str">
        <f t="shared" si="26"/>
        <v>[W21B.5]</v>
      </c>
      <c r="N488" s="12" t="str">
        <f t="shared" si="27"/>
        <v xml:space="preserve"> 클램프X2축 (SD134)  </v>
      </c>
      <c r="O488" s="49" t="str">
        <f t="shared" si="28"/>
        <v xml:space="preserve">[W21B.5] 클램프X2축 (SD134)  </v>
      </c>
    </row>
    <row r="489" spans="1:15" s="49" customFormat="1" ht="14.15" customHeight="1">
      <c r="A489" s="43" t="s">
        <v>2203</v>
      </c>
      <c r="B489" s="11"/>
      <c r="C489" s="11" t="s">
        <v>18</v>
      </c>
      <c r="D489" s="45" t="s">
        <v>16</v>
      </c>
      <c r="E489" s="47"/>
      <c r="F489" s="12" t="s">
        <v>1909</v>
      </c>
      <c r="G489" s="13" t="s">
        <v>7289</v>
      </c>
      <c r="H489" s="99" t="str">
        <f t="shared" si="25"/>
        <v>W21B.6</v>
      </c>
      <c r="I489" s="13" t="s">
        <v>104</v>
      </c>
      <c r="J489" s="13"/>
      <c r="K489" s="13"/>
      <c r="L489" s="48"/>
      <c r="M489" s="49" t="str">
        <f t="shared" si="26"/>
        <v>[W21B.6]</v>
      </c>
      <c r="N489" s="12" t="str">
        <f t="shared" si="27"/>
        <v xml:space="preserve"> 클램프X2축 (SD134) 에러가 발생했습니다.</v>
      </c>
      <c r="O489" s="49" t="str">
        <f t="shared" si="28"/>
        <v>[W21B.6] 클램프X2축 (SD134) 에러가 발생했습니다.</v>
      </c>
    </row>
    <row r="490" spans="1:15" s="49" customFormat="1" ht="14.15" customHeight="1">
      <c r="A490" s="43" t="s">
        <v>2203</v>
      </c>
      <c r="B490" s="11"/>
      <c r="C490" s="11" t="s">
        <v>18</v>
      </c>
      <c r="D490" s="45" t="s">
        <v>16</v>
      </c>
      <c r="E490" s="47"/>
      <c r="F490" s="12" t="s">
        <v>1910</v>
      </c>
      <c r="G490" s="13" t="s">
        <v>7290</v>
      </c>
      <c r="H490" s="99" t="str">
        <f t="shared" si="25"/>
        <v>W21B.7</v>
      </c>
      <c r="I490" s="13" t="s">
        <v>17</v>
      </c>
      <c r="J490" s="13"/>
      <c r="K490" s="13"/>
      <c r="L490" s="48"/>
      <c r="M490" s="49" t="str">
        <f t="shared" si="26"/>
        <v>[W21B.7]</v>
      </c>
      <c r="N490" s="12" t="str">
        <f t="shared" si="27"/>
        <v xml:space="preserve"> 터브 이송 이재기#2 X축 (SD129) 운전중에 Ready가 Off 되었습니다.</v>
      </c>
      <c r="O490" s="49" t="str">
        <f t="shared" si="28"/>
        <v>[W21B.7] 터브 이송 이재기#2 X축 (SD129) 운전중에 Ready가 Off 되었습니다.</v>
      </c>
    </row>
    <row r="491" spans="1:15" s="49" customFormat="1" ht="14.15" customHeight="1">
      <c r="A491" s="43" t="s">
        <v>2203</v>
      </c>
      <c r="B491" s="11"/>
      <c r="C491" s="11" t="s">
        <v>18</v>
      </c>
      <c r="D491" s="45" t="s">
        <v>16</v>
      </c>
      <c r="E491" s="47"/>
      <c r="F491" s="12" t="s">
        <v>1911</v>
      </c>
      <c r="G491" s="13" t="s">
        <v>7291</v>
      </c>
      <c r="H491" s="99" t="str">
        <f t="shared" si="25"/>
        <v>W21B.8</v>
      </c>
      <c r="I491" s="13" t="s">
        <v>104</v>
      </c>
      <c r="J491" s="13"/>
      <c r="K491" s="13"/>
      <c r="L491" s="48"/>
      <c r="M491" s="49" t="str">
        <f t="shared" si="26"/>
        <v>[W21B.8]</v>
      </c>
      <c r="N491" s="12" t="str">
        <f t="shared" si="27"/>
        <v xml:space="preserve"> 터브 이송 이재기#2 X축 (SD129) FLS가 감지되었습니다.</v>
      </c>
      <c r="O491" s="49" t="str">
        <f t="shared" si="28"/>
        <v>[W21B.8] 터브 이송 이재기#2 X축 (SD129) FLS가 감지되었습니다.</v>
      </c>
    </row>
    <row r="492" spans="1:15" s="49" customFormat="1" ht="14.15" customHeight="1">
      <c r="A492" s="43" t="s">
        <v>2203</v>
      </c>
      <c r="B492" s="11"/>
      <c r="C492" s="11" t="s">
        <v>18</v>
      </c>
      <c r="D492" s="45" t="s">
        <v>16</v>
      </c>
      <c r="E492" s="47"/>
      <c r="F492" s="12" t="s">
        <v>1912</v>
      </c>
      <c r="G492" s="13" t="s">
        <v>7292</v>
      </c>
      <c r="H492" s="99" t="str">
        <f t="shared" si="25"/>
        <v>W21B.9</v>
      </c>
      <c r="I492" s="13" t="s">
        <v>104</v>
      </c>
      <c r="J492" s="13"/>
      <c r="K492" s="13"/>
      <c r="L492" s="48"/>
      <c r="M492" s="49" t="str">
        <f t="shared" si="26"/>
        <v>[W21B.9]</v>
      </c>
      <c r="N492" s="12" t="str">
        <f t="shared" si="27"/>
        <v xml:space="preserve"> 터브 이송 이재기#2 X축 (SD129) RLS가 감지되었습니다.</v>
      </c>
      <c r="O492" s="49" t="str">
        <f t="shared" si="28"/>
        <v>[W21B.9] 터브 이송 이재기#2 X축 (SD129) RLS가 감지되었습니다.</v>
      </c>
    </row>
    <row r="493" spans="1:15" s="49" customFormat="1" ht="14.15" customHeight="1">
      <c r="A493" s="43" t="s">
        <v>2203</v>
      </c>
      <c r="B493" s="11"/>
      <c r="C493" s="11" t="s">
        <v>18</v>
      </c>
      <c r="D493" s="45" t="s">
        <v>16</v>
      </c>
      <c r="E493" s="47"/>
      <c r="F493" s="12" t="s">
        <v>1913</v>
      </c>
      <c r="G493" s="13" t="s">
        <v>7293</v>
      </c>
      <c r="H493" s="99" t="str">
        <f t="shared" si="25"/>
        <v>W21B.A</v>
      </c>
      <c r="I493" s="13" t="s">
        <v>17</v>
      </c>
      <c r="J493" s="13"/>
      <c r="K493" s="13"/>
      <c r="L493" s="48"/>
      <c r="M493" s="49" t="str">
        <f t="shared" si="26"/>
        <v>[W21B.A]</v>
      </c>
      <c r="N493" s="12" t="str">
        <f t="shared" si="27"/>
        <v xml:space="preserve"> 터브 이송 이재기#2 X축 (SD129) Stop 명령이 On된 상태에서 기동을 시도했습니다.</v>
      </c>
      <c r="O493" s="49" t="str">
        <f t="shared" si="28"/>
        <v>[W21B.A] 터브 이송 이재기#2 X축 (SD129) Stop 명령이 On된 상태에서 기동을 시도했습니다.</v>
      </c>
    </row>
    <row r="494" spans="1:15" s="49" customFormat="1" ht="14.15" customHeight="1">
      <c r="A494" s="43" t="s">
        <v>2203</v>
      </c>
      <c r="B494" s="11"/>
      <c r="C494" s="11" t="s">
        <v>18</v>
      </c>
      <c r="D494" s="45" t="s">
        <v>16</v>
      </c>
      <c r="E494" s="47"/>
      <c r="F494" s="12" t="s">
        <v>1914</v>
      </c>
      <c r="G494" s="13" t="s">
        <v>7294</v>
      </c>
      <c r="H494" s="99" t="str">
        <f t="shared" si="25"/>
        <v>W21B.B</v>
      </c>
      <c r="I494" s="13" t="s">
        <v>104</v>
      </c>
      <c r="J494" s="13"/>
      <c r="K494" s="13"/>
      <c r="L494" s="48"/>
      <c r="M494" s="49" t="str">
        <f t="shared" si="26"/>
        <v>[W21B.B]</v>
      </c>
      <c r="N494" s="12" t="str">
        <f t="shared" si="27"/>
        <v xml:space="preserve"> 터브 이송 이재기#2 X축 (SD129) 가동 전원이 Off 되었습니다.</v>
      </c>
      <c r="O494" s="49" t="str">
        <f t="shared" si="28"/>
        <v>[W21B.B] 터브 이송 이재기#2 X축 (SD129) 가동 전원이 Off 되었습니다.</v>
      </c>
    </row>
    <row r="495" spans="1:15" s="49" customFormat="1" ht="14.15" customHeight="1">
      <c r="A495" s="43" t="s">
        <v>2203</v>
      </c>
      <c r="B495" s="11"/>
      <c r="C495" s="11" t="s">
        <v>18</v>
      </c>
      <c r="D495" s="45" t="s">
        <v>16</v>
      </c>
      <c r="E495" s="47"/>
      <c r="F495" s="12" t="s">
        <v>1915</v>
      </c>
      <c r="G495" s="13" t="s">
        <v>7295</v>
      </c>
      <c r="H495" s="99" t="str">
        <f t="shared" si="25"/>
        <v>W21B.C</v>
      </c>
      <c r="I495" s="13" t="s">
        <v>105</v>
      </c>
      <c r="J495" s="13"/>
      <c r="K495" s="13"/>
      <c r="L495" s="48"/>
      <c r="M495" s="49" t="str">
        <f t="shared" si="26"/>
        <v>[W21B.C]</v>
      </c>
      <c r="N495" s="12" t="str">
        <f t="shared" si="27"/>
        <v xml:space="preserve"> 터브 이송 이재기#2 X축 (SD129) 엔코더 이상이 검출되었습니다.</v>
      </c>
      <c r="O495" s="49" t="str">
        <f t="shared" si="28"/>
        <v>[W21B.C] 터브 이송 이재기#2 X축 (SD129) 엔코더 이상이 검출되었습니다.</v>
      </c>
    </row>
    <row r="496" spans="1:15" s="49" customFormat="1" ht="14.15" customHeight="1">
      <c r="A496" s="43" t="s">
        <v>2203</v>
      </c>
      <c r="B496" s="11"/>
      <c r="C496" s="11" t="s">
        <v>18</v>
      </c>
      <c r="D496" s="45" t="s">
        <v>16</v>
      </c>
      <c r="E496" s="47"/>
      <c r="F496" s="12" t="s">
        <v>1916</v>
      </c>
      <c r="G496" s="13" t="s">
        <v>7296</v>
      </c>
      <c r="H496" s="99" t="str">
        <f t="shared" si="25"/>
        <v>W21B.D</v>
      </c>
      <c r="I496" s="13" t="s">
        <v>104</v>
      </c>
      <c r="J496" s="13"/>
      <c r="K496" s="13"/>
      <c r="L496" s="48"/>
      <c r="M496" s="49" t="str">
        <f t="shared" si="26"/>
        <v>[W21B.D]</v>
      </c>
      <c r="N496" s="12" t="str">
        <f t="shared" si="27"/>
        <v xml:space="preserve"> 터브 이송 이재기#2 X축 (SD129) 과전류가 검출되었습니다.</v>
      </c>
      <c r="O496" s="49" t="str">
        <f t="shared" si="28"/>
        <v>[W21B.D] 터브 이송 이재기#2 X축 (SD129) 과전류가 검출되었습니다.</v>
      </c>
    </row>
    <row r="497" spans="1:15" s="49" customFormat="1" ht="14.15" customHeight="1">
      <c r="A497" s="43" t="s">
        <v>2203</v>
      </c>
      <c r="B497" s="11"/>
      <c r="C497" s="11" t="s">
        <v>18</v>
      </c>
      <c r="D497" s="45" t="s">
        <v>16</v>
      </c>
      <c r="E497" s="47"/>
      <c r="F497" s="12" t="s">
        <v>1917</v>
      </c>
      <c r="G497" s="13" t="s">
        <v>7297</v>
      </c>
      <c r="H497" s="99" t="str">
        <f t="shared" si="25"/>
        <v>W21B.E</v>
      </c>
      <c r="I497" s="13" t="s">
        <v>17</v>
      </c>
      <c r="J497" s="13"/>
      <c r="K497" s="13"/>
      <c r="L497" s="48"/>
      <c r="M497" s="49" t="str">
        <f t="shared" si="26"/>
        <v>[W21B.E]</v>
      </c>
      <c r="N497" s="12" t="str">
        <f t="shared" si="27"/>
        <v xml:space="preserve"> 터브 이송 이재기#2 X축 (SD129) 과부하가 검출되었습니다.</v>
      </c>
      <c r="O497" s="49" t="str">
        <f t="shared" si="28"/>
        <v>[W21B.E] 터브 이송 이재기#2 X축 (SD129) 과부하가 검출되었습니다.</v>
      </c>
    </row>
    <row r="498" spans="1:15" s="49" customFormat="1" ht="14.15" customHeight="1">
      <c r="A498" s="43" t="s">
        <v>2203</v>
      </c>
      <c r="B498" s="11"/>
      <c r="C498" s="11" t="s">
        <v>18</v>
      </c>
      <c r="D498" s="45" t="s">
        <v>16</v>
      </c>
      <c r="E498" s="47"/>
      <c r="F498" s="12" t="s">
        <v>1918</v>
      </c>
      <c r="G498" s="13" t="s">
        <v>7298</v>
      </c>
      <c r="H498" s="99" t="str">
        <f t="shared" si="25"/>
        <v>W21B.F</v>
      </c>
      <c r="I498" s="13" t="s">
        <v>104</v>
      </c>
      <c r="J498" s="13"/>
      <c r="K498" s="13"/>
      <c r="L498" s="48"/>
      <c r="M498" s="49" t="str">
        <f t="shared" si="26"/>
        <v>[W21B.F]</v>
      </c>
      <c r="N498" s="12" t="str">
        <f t="shared" si="27"/>
        <v xml:space="preserve"> 터브 이송 이재기#2 X축 (SD129)  </v>
      </c>
      <c r="O498" s="49" t="str">
        <f t="shared" si="28"/>
        <v xml:space="preserve">[W21B.F] 터브 이송 이재기#2 X축 (SD129)  </v>
      </c>
    </row>
    <row r="499" spans="1:15" s="49" customFormat="1" ht="14.15" customHeight="1">
      <c r="A499" s="43" t="s">
        <v>2203</v>
      </c>
      <c r="B499" s="11"/>
      <c r="C499" s="11" t="s">
        <v>18</v>
      </c>
      <c r="D499" s="45" t="s">
        <v>16</v>
      </c>
      <c r="E499" s="47"/>
      <c r="F499" s="12" t="s">
        <v>1919</v>
      </c>
      <c r="G499" s="13" t="s">
        <v>7299</v>
      </c>
      <c r="H499" s="99" t="str">
        <f t="shared" si="25"/>
        <v>W21C.0</v>
      </c>
      <c r="I499" s="13" t="s">
        <v>104</v>
      </c>
      <c r="J499" s="13"/>
      <c r="K499" s="13"/>
      <c r="L499" s="48"/>
      <c r="M499" s="49" t="str">
        <f t="shared" si="26"/>
        <v>[W21C.0]</v>
      </c>
      <c r="N499" s="12" t="str">
        <f t="shared" si="27"/>
        <v xml:space="preserve"> 터브 이송 이재기#2 X축 (SD129) 에러가 발생했습니다.</v>
      </c>
      <c r="O499" s="49" t="str">
        <f t="shared" si="28"/>
        <v>[W21C.0] 터브 이송 이재기#2 X축 (SD129) 에러가 발생했습니다.</v>
      </c>
    </row>
    <row r="500" spans="1:15" s="49" customFormat="1" ht="14.15" customHeight="1">
      <c r="A500" s="43" t="s">
        <v>2203</v>
      </c>
      <c r="B500" s="11"/>
      <c r="C500" s="11" t="s">
        <v>18</v>
      </c>
      <c r="D500" s="45" t="s">
        <v>16</v>
      </c>
      <c r="E500" s="47"/>
      <c r="F500" s="12" t="s">
        <v>1920</v>
      </c>
      <c r="G500" s="13" t="s">
        <v>7300</v>
      </c>
      <c r="H500" s="99" t="str">
        <f t="shared" ref="H500:H563" si="29">"W"&amp;DEC2HEX(512 + INT((ROW()-51)/16)) &amp; "." &amp; IF(MOD(ROW()-51,16)&lt;10,MOD(ROW()-51,16),CHAR(MOD(ROW()-51,16)+55))</f>
        <v>W21C.1</v>
      </c>
      <c r="I500" s="13" t="s">
        <v>104</v>
      </c>
      <c r="J500" s="13"/>
      <c r="K500" s="13"/>
      <c r="L500" s="48"/>
      <c r="M500" s="49" t="str">
        <f t="shared" ref="M500:M563" si="30">"["&amp;H500&amp;"]"</f>
        <v>[W21C.1]</v>
      </c>
      <c r="N500" s="12" t="str">
        <f t="shared" ref="N500:N563" si="31">RIGHT(F500,LEN(F500)-7)</f>
        <v xml:space="preserve"> 터브 이송 이재기#2 Z축 (SD131) 운전중에 Ready가 Off 되었습니다.</v>
      </c>
      <c r="O500" s="49" t="str">
        <f t="shared" ref="O500:O563" si="32">M500&amp;N500</f>
        <v>[W21C.1] 터브 이송 이재기#2 Z축 (SD131) 운전중에 Ready가 Off 되었습니다.</v>
      </c>
    </row>
    <row r="501" spans="1:15" s="49" customFormat="1" ht="14.15" customHeight="1">
      <c r="A501" s="43" t="s">
        <v>2203</v>
      </c>
      <c r="B501" s="11"/>
      <c r="C501" s="11" t="s">
        <v>18</v>
      </c>
      <c r="D501" s="45" t="s">
        <v>16</v>
      </c>
      <c r="E501" s="47"/>
      <c r="F501" s="12" t="s">
        <v>1921</v>
      </c>
      <c r="G501" s="13" t="s">
        <v>7301</v>
      </c>
      <c r="H501" s="99" t="str">
        <f t="shared" si="29"/>
        <v>W21C.2</v>
      </c>
      <c r="I501" s="13" t="s">
        <v>17</v>
      </c>
      <c r="J501" s="13"/>
      <c r="K501" s="13"/>
      <c r="L501" s="48"/>
      <c r="M501" s="49" t="str">
        <f t="shared" si="30"/>
        <v>[W21C.2]</v>
      </c>
      <c r="N501" s="12" t="str">
        <f t="shared" si="31"/>
        <v xml:space="preserve"> 터브 이송 이재기#2 Z축 (SD131) FLS가 감지되었습니다.</v>
      </c>
      <c r="O501" s="49" t="str">
        <f t="shared" si="32"/>
        <v>[W21C.2] 터브 이송 이재기#2 Z축 (SD131) FLS가 감지되었습니다.</v>
      </c>
    </row>
    <row r="502" spans="1:15" s="49" customFormat="1" ht="14.15" customHeight="1">
      <c r="A502" s="43" t="s">
        <v>2203</v>
      </c>
      <c r="B502" s="11"/>
      <c r="C502" s="11" t="s">
        <v>18</v>
      </c>
      <c r="D502" s="45" t="s">
        <v>16</v>
      </c>
      <c r="E502" s="47"/>
      <c r="F502" s="12" t="s">
        <v>1922</v>
      </c>
      <c r="G502" s="13" t="s">
        <v>7302</v>
      </c>
      <c r="H502" s="99" t="str">
        <f t="shared" si="29"/>
        <v>W21C.3</v>
      </c>
      <c r="I502" s="13" t="s">
        <v>104</v>
      </c>
      <c r="J502" s="13"/>
      <c r="K502" s="13"/>
      <c r="L502" s="48"/>
      <c r="M502" s="49" t="str">
        <f t="shared" si="30"/>
        <v>[W21C.3]</v>
      </c>
      <c r="N502" s="12" t="str">
        <f t="shared" si="31"/>
        <v xml:space="preserve"> 터브 이송 이재기#2 Z축 (SD131) RLS가 감지되었습니다.</v>
      </c>
      <c r="O502" s="49" t="str">
        <f t="shared" si="32"/>
        <v>[W21C.3] 터브 이송 이재기#2 Z축 (SD131) RLS가 감지되었습니다.</v>
      </c>
    </row>
    <row r="503" spans="1:15" s="49" customFormat="1" ht="14.15" customHeight="1">
      <c r="A503" s="43" t="s">
        <v>2203</v>
      </c>
      <c r="B503" s="11"/>
      <c r="C503" s="11" t="s">
        <v>18</v>
      </c>
      <c r="D503" s="45" t="s">
        <v>16</v>
      </c>
      <c r="E503" s="47"/>
      <c r="F503" s="12" t="s">
        <v>1923</v>
      </c>
      <c r="G503" s="13" t="s">
        <v>7303</v>
      </c>
      <c r="H503" s="99" t="str">
        <f t="shared" si="29"/>
        <v>W21C.4</v>
      </c>
      <c r="I503" s="13" t="s">
        <v>104</v>
      </c>
      <c r="J503" s="13"/>
      <c r="K503" s="13"/>
      <c r="L503" s="48"/>
      <c r="M503" s="49" t="str">
        <f t="shared" si="30"/>
        <v>[W21C.4]</v>
      </c>
      <c r="N503" s="12" t="str">
        <f t="shared" si="31"/>
        <v xml:space="preserve"> 터브 이송 이재기#2 Z축 (SD131) Stop 명령이 On된 상태에서 기동을 시도했습니다.</v>
      </c>
      <c r="O503" s="49" t="str">
        <f t="shared" si="32"/>
        <v>[W21C.4] 터브 이송 이재기#2 Z축 (SD131) Stop 명령이 On된 상태에서 기동을 시도했습니다.</v>
      </c>
    </row>
    <row r="504" spans="1:15" s="49" customFormat="1" ht="14.15" customHeight="1">
      <c r="A504" s="43" t="s">
        <v>2203</v>
      </c>
      <c r="B504" s="11"/>
      <c r="C504" s="11" t="s">
        <v>18</v>
      </c>
      <c r="D504" s="45" t="s">
        <v>16</v>
      </c>
      <c r="E504" s="47"/>
      <c r="F504" s="12" t="s">
        <v>1924</v>
      </c>
      <c r="G504" s="13" t="s">
        <v>7304</v>
      </c>
      <c r="H504" s="99" t="str">
        <f t="shared" si="29"/>
        <v>W21C.5</v>
      </c>
      <c r="I504" s="13" t="s">
        <v>104</v>
      </c>
      <c r="J504" s="13"/>
      <c r="K504" s="13"/>
      <c r="L504" s="48"/>
      <c r="M504" s="49" t="str">
        <f t="shared" si="30"/>
        <v>[W21C.5]</v>
      </c>
      <c r="N504" s="12" t="str">
        <f t="shared" si="31"/>
        <v xml:space="preserve"> 터브 이송 이재기#2 Z축 (SD131) 가동 전원이 Off 되었습니다.</v>
      </c>
      <c r="O504" s="49" t="str">
        <f t="shared" si="32"/>
        <v>[W21C.5] 터브 이송 이재기#2 Z축 (SD131) 가동 전원이 Off 되었습니다.</v>
      </c>
    </row>
    <row r="505" spans="1:15" s="49" customFormat="1" ht="14.15" customHeight="1">
      <c r="A505" s="43" t="s">
        <v>2203</v>
      </c>
      <c r="B505" s="11"/>
      <c r="C505" s="11" t="s">
        <v>18</v>
      </c>
      <c r="D505" s="45" t="s">
        <v>16</v>
      </c>
      <c r="E505" s="47"/>
      <c r="F505" s="12" t="s">
        <v>1925</v>
      </c>
      <c r="G505" s="13" t="s">
        <v>7305</v>
      </c>
      <c r="H505" s="99" t="str">
        <f t="shared" si="29"/>
        <v>W21C.6</v>
      </c>
      <c r="I505" s="13" t="s">
        <v>104</v>
      </c>
      <c r="J505" s="13"/>
      <c r="K505" s="13"/>
      <c r="L505" s="48"/>
      <c r="M505" s="49" t="str">
        <f t="shared" si="30"/>
        <v>[W21C.6]</v>
      </c>
      <c r="N505" s="12" t="str">
        <f t="shared" si="31"/>
        <v xml:space="preserve"> 터브 이송 이재기#2 Z축 (SD131) 엔코더 이상이 검출되었습니다.</v>
      </c>
      <c r="O505" s="49" t="str">
        <f t="shared" si="32"/>
        <v>[W21C.6] 터브 이송 이재기#2 Z축 (SD131) 엔코더 이상이 검출되었습니다.</v>
      </c>
    </row>
    <row r="506" spans="1:15" s="49" customFormat="1" ht="14.15" customHeight="1">
      <c r="A506" s="43" t="s">
        <v>2203</v>
      </c>
      <c r="B506" s="11"/>
      <c r="C506" s="11" t="s">
        <v>18</v>
      </c>
      <c r="D506" s="45" t="s">
        <v>16</v>
      </c>
      <c r="E506" s="47"/>
      <c r="F506" s="12" t="s">
        <v>1926</v>
      </c>
      <c r="G506" s="13" t="s">
        <v>7306</v>
      </c>
      <c r="H506" s="99" t="str">
        <f t="shared" si="29"/>
        <v>W21C.7</v>
      </c>
      <c r="I506" s="13" t="s">
        <v>105</v>
      </c>
      <c r="J506" s="13"/>
      <c r="K506" s="13"/>
      <c r="L506" s="48"/>
      <c r="M506" s="49" t="str">
        <f t="shared" si="30"/>
        <v>[W21C.7]</v>
      </c>
      <c r="N506" s="12" t="str">
        <f t="shared" si="31"/>
        <v xml:space="preserve"> 터브 이송 이재기#2 Z축 (SD131) 과전류가 검출되었습니다.</v>
      </c>
      <c r="O506" s="49" t="str">
        <f t="shared" si="32"/>
        <v>[W21C.7] 터브 이송 이재기#2 Z축 (SD131) 과전류가 검출되었습니다.</v>
      </c>
    </row>
    <row r="507" spans="1:15" s="49" customFormat="1" ht="14.15" customHeight="1">
      <c r="A507" s="43" t="s">
        <v>2203</v>
      </c>
      <c r="B507" s="11"/>
      <c r="C507" s="11" t="s">
        <v>18</v>
      </c>
      <c r="D507" s="45" t="s">
        <v>16</v>
      </c>
      <c r="E507" s="47"/>
      <c r="F507" s="12" t="s">
        <v>1927</v>
      </c>
      <c r="G507" s="13" t="s">
        <v>7307</v>
      </c>
      <c r="H507" s="99" t="str">
        <f t="shared" si="29"/>
        <v>W21C.8</v>
      </c>
      <c r="I507" s="13" t="s">
        <v>104</v>
      </c>
      <c r="J507" s="13"/>
      <c r="K507" s="13"/>
      <c r="L507" s="48"/>
      <c r="M507" s="49" t="str">
        <f t="shared" si="30"/>
        <v>[W21C.8]</v>
      </c>
      <c r="N507" s="12" t="str">
        <f t="shared" si="31"/>
        <v xml:space="preserve"> 터브 이송 이재기#2 Z축 (SD131) 과부하가 검출되었습니다.</v>
      </c>
      <c r="O507" s="49" t="str">
        <f t="shared" si="32"/>
        <v>[W21C.8] 터브 이송 이재기#2 Z축 (SD131) 과부하가 검출되었습니다.</v>
      </c>
    </row>
    <row r="508" spans="1:15" s="49" customFormat="1" ht="14.15" customHeight="1">
      <c r="A508" s="43" t="s">
        <v>2203</v>
      </c>
      <c r="B508" s="11"/>
      <c r="C508" s="11" t="s">
        <v>18</v>
      </c>
      <c r="D508" s="45" t="s">
        <v>16</v>
      </c>
      <c r="E508" s="47"/>
      <c r="F508" s="12" t="s">
        <v>1928</v>
      </c>
      <c r="G508" s="13" t="s">
        <v>7308</v>
      </c>
      <c r="H508" s="99" t="str">
        <f t="shared" si="29"/>
        <v>W21C.9</v>
      </c>
      <c r="I508" s="13" t="s">
        <v>104</v>
      </c>
      <c r="J508" s="13"/>
      <c r="K508" s="13"/>
      <c r="L508" s="48"/>
      <c r="M508" s="49" t="str">
        <f t="shared" si="30"/>
        <v>[W21C.9]</v>
      </c>
      <c r="N508" s="12" t="str">
        <f t="shared" si="31"/>
        <v xml:space="preserve"> 터브 이송 이재기#2 Z축 (SD131)  </v>
      </c>
      <c r="O508" s="49" t="str">
        <f t="shared" si="32"/>
        <v xml:space="preserve">[W21C.9] 터브 이송 이재기#2 Z축 (SD131)  </v>
      </c>
    </row>
    <row r="509" spans="1:15" s="49" customFormat="1" ht="14.15" customHeight="1">
      <c r="A509" s="43" t="s">
        <v>2203</v>
      </c>
      <c r="B509" s="11"/>
      <c r="C509" s="11" t="s">
        <v>18</v>
      </c>
      <c r="D509" s="45" t="s">
        <v>16</v>
      </c>
      <c r="E509" s="47"/>
      <c r="F509" s="12" t="s">
        <v>1929</v>
      </c>
      <c r="G509" s="13" t="s">
        <v>7309</v>
      </c>
      <c r="H509" s="99" t="str">
        <f t="shared" si="29"/>
        <v>W21C.A</v>
      </c>
      <c r="I509" s="13" t="s">
        <v>104</v>
      </c>
      <c r="J509" s="13"/>
      <c r="K509" s="13"/>
      <c r="L509" s="48"/>
      <c r="M509" s="49" t="str">
        <f t="shared" si="30"/>
        <v>[W21C.A]</v>
      </c>
      <c r="N509" s="12" t="str">
        <f t="shared" si="31"/>
        <v xml:space="preserve"> 터브 이송 이재기#2 Z축 (SD131) 에러가 발생했습니다.</v>
      </c>
      <c r="O509" s="49" t="str">
        <f t="shared" si="32"/>
        <v>[W21C.A] 터브 이송 이재기#2 Z축 (SD131) 에러가 발생했습니다.</v>
      </c>
    </row>
    <row r="510" spans="1:15" s="49" customFormat="1" ht="14.15" customHeight="1">
      <c r="A510" s="43" t="s">
        <v>2203</v>
      </c>
      <c r="B510" s="11"/>
      <c r="C510" s="11" t="s">
        <v>18</v>
      </c>
      <c r="D510" s="45" t="s">
        <v>16</v>
      </c>
      <c r="E510" s="47"/>
      <c r="F510" s="12" t="s">
        <v>1930</v>
      </c>
      <c r="G510" s="13" t="s">
        <v>7310</v>
      </c>
      <c r="H510" s="99" t="str">
        <f t="shared" si="29"/>
        <v>W21C.B</v>
      </c>
      <c r="I510" s="13" t="s">
        <v>104</v>
      </c>
      <c r="J510" s="13"/>
      <c r="K510" s="13"/>
      <c r="L510" s="48"/>
      <c r="M510" s="49" t="str">
        <f t="shared" si="30"/>
        <v>[W21C.B]</v>
      </c>
      <c r="N510" s="12" t="str">
        <f t="shared" si="31"/>
        <v xml:space="preserve"> 터브 이송 이재기#2 C1축 (SD135) 운전중에 Ready가 Off 되었습니다.</v>
      </c>
      <c r="O510" s="49" t="str">
        <f t="shared" si="32"/>
        <v>[W21C.B] 터브 이송 이재기#2 C1축 (SD135) 운전중에 Ready가 Off 되었습니다.</v>
      </c>
    </row>
    <row r="511" spans="1:15" s="49" customFormat="1" ht="14.15" customHeight="1">
      <c r="A511" s="43" t="s">
        <v>2203</v>
      </c>
      <c r="B511" s="11"/>
      <c r="C511" s="11" t="s">
        <v>18</v>
      </c>
      <c r="D511" s="45" t="s">
        <v>16</v>
      </c>
      <c r="E511" s="47"/>
      <c r="F511" s="12" t="s">
        <v>1931</v>
      </c>
      <c r="G511" s="13" t="s">
        <v>7311</v>
      </c>
      <c r="H511" s="99" t="str">
        <f t="shared" si="29"/>
        <v>W21C.C</v>
      </c>
      <c r="I511" s="13" t="s">
        <v>17</v>
      </c>
      <c r="J511" s="13"/>
      <c r="K511" s="13"/>
      <c r="L511" s="48"/>
      <c r="M511" s="49" t="str">
        <f t="shared" si="30"/>
        <v>[W21C.C]</v>
      </c>
      <c r="N511" s="12" t="str">
        <f t="shared" si="31"/>
        <v xml:space="preserve"> 터브 이송 이재기#2 C1축 (SD135) FLS가 감지되었습니다.</v>
      </c>
      <c r="O511" s="49" t="str">
        <f t="shared" si="32"/>
        <v>[W21C.C] 터브 이송 이재기#2 C1축 (SD135) FLS가 감지되었습니다.</v>
      </c>
    </row>
    <row r="512" spans="1:15" s="49" customFormat="1" ht="14.15" customHeight="1">
      <c r="A512" s="43" t="s">
        <v>2203</v>
      </c>
      <c r="B512" s="11"/>
      <c r="C512" s="11" t="s">
        <v>18</v>
      </c>
      <c r="D512" s="45" t="s">
        <v>16</v>
      </c>
      <c r="E512" s="47"/>
      <c r="F512" s="12" t="s">
        <v>1932</v>
      </c>
      <c r="G512" s="13" t="s">
        <v>7312</v>
      </c>
      <c r="H512" s="99" t="str">
        <f t="shared" si="29"/>
        <v>W21C.D</v>
      </c>
      <c r="I512" s="13" t="s">
        <v>17</v>
      </c>
      <c r="J512" s="13"/>
      <c r="K512" s="13"/>
      <c r="L512" s="48"/>
      <c r="M512" s="49" t="str">
        <f t="shared" si="30"/>
        <v>[W21C.D]</v>
      </c>
      <c r="N512" s="12" t="str">
        <f t="shared" si="31"/>
        <v xml:space="preserve"> 터브 이송 이재기#2 C1축 (SD135) RLS가 감지되었습니다.</v>
      </c>
      <c r="O512" s="49" t="str">
        <f t="shared" si="32"/>
        <v>[W21C.D] 터브 이송 이재기#2 C1축 (SD135) RLS가 감지되었습니다.</v>
      </c>
    </row>
    <row r="513" spans="1:15" s="49" customFormat="1" ht="14.15" customHeight="1">
      <c r="A513" s="43" t="s">
        <v>2203</v>
      </c>
      <c r="B513" s="11"/>
      <c r="C513" s="11" t="s">
        <v>18</v>
      </c>
      <c r="D513" s="45" t="s">
        <v>16</v>
      </c>
      <c r="E513" s="47"/>
      <c r="F513" s="12" t="s">
        <v>1933</v>
      </c>
      <c r="G513" s="13" t="s">
        <v>7313</v>
      </c>
      <c r="H513" s="99" t="str">
        <f t="shared" si="29"/>
        <v>W21C.E</v>
      </c>
      <c r="I513" s="13" t="s">
        <v>104</v>
      </c>
      <c r="J513" s="13"/>
      <c r="K513" s="13"/>
      <c r="L513" s="48"/>
      <c r="M513" s="49" t="str">
        <f t="shared" si="30"/>
        <v>[W21C.E]</v>
      </c>
      <c r="N513" s="12" t="str">
        <f t="shared" si="31"/>
        <v xml:space="preserve"> 터브 이송 이재기#2 C1축 (SD135) Stop 명령이 On된 상태에서 기동을 시도했습니다.</v>
      </c>
      <c r="O513" s="49" t="str">
        <f t="shared" si="32"/>
        <v>[W21C.E] 터브 이송 이재기#2 C1축 (SD135) Stop 명령이 On된 상태에서 기동을 시도했습니다.</v>
      </c>
    </row>
    <row r="514" spans="1:15" s="49" customFormat="1" ht="14.15" customHeight="1">
      <c r="A514" s="43" t="s">
        <v>2203</v>
      </c>
      <c r="B514" s="11"/>
      <c r="C514" s="11" t="s">
        <v>18</v>
      </c>
      <c r="D514" s="45" t="s">
        <v>16</v>
      </c>
      <c r="E514" s="47"/>
      <c r="F514" s="12" t="s">
        <v>1934</v>
      </c>
      <c r="G514" s="13" t="s">
        <v>7314</v>
      </c>
      <c r="H514" s="99" t="str">
        <f t="shared" si="29"/>
        <v>W21C.F</v>
      </c>
      <c r="I514" s="13" t="s">
        <v>17</v>
      </c>
      <c r="J514" s="13"/>
      <c r="K514" s="13"/>
      <c r="L514" s="48"/>
      <c r="M514" s="49" t="str">
        <f t="shared" si="30"/>
        <v>[W21C.F]</v>
      </c>
      <c r="N514" s="12" t="str">
        <f t="shared" si="31"/>
        <v xml:space="preserve"> 터브 이송 이재기#2 C1축 (SD135) 가동 전원이 Off 되었습니다.</v>
      </c>
      <c r="O514" s="49" t="str">
        <f t="shared" si="32"/>
        <v>[W21C.F] 터브 이송 이재기#2 C1축 (SD135) 가동 전원이 Off 되었습니다.</v>
      </c>
    </row>
    <row r="515" spans="1:15" s="49" customFormat="1" ht="14.15" customHeight="1">
      <c r="A515" s="43" t="s">
        <v>2203</v>
      </c>
      <c r="B515" s="11"/>
      <c r="C515" s="11" t="s">
        <v>18</v>
      </c>
      <c r="D515" s="45" t="s">
        <v>16</v>
      </c>
      <c r="E515" s="47"/>
      <c r="F515" s="12" t="s">
        <v>1935</v>
      </c>
      <c r="G515" s="13" t="s">
        <v>7315</v>
      </c>
      <c r="H515" s="99" t="str">
        <f t="shared" si="29"/>
        <v>W21D.0</v>
      </c>
      <c r="I515" s="13" t="s">
        <v>104</v>
      </c>
      <c r="J515" s="13"/>
      <c r="K515" s="13"/>
      <c r="L515" s="48"/>
      <c r="M515" s="49" t="str">
        <f t="shared" si="30"/>
        <v>[W21D.0]</v>
      </c>
      <c r="N515" s="12" t="str">
        <f t="shared" si="31"/>
        <v xml:space="preserve"> 터브 이송 이재기#2 C1축 (SD135) 엔코더 이상이 검출되었습니다.</v>
      </c>
      <c r="O515" s="49" t="str">
        <f t="shared" si="32"/>
        <v>[W21D.0] 터브 이송 이재기#2 C1축 (SD135) 엔코더 이상이 검출되었습니다.</v>
      </c>
    </row>
    <row r="516" spans="1:15" s="49" customFormat="1" ht="14.15" customHeight="1">
      <c r="A516" s="43" t="s">
        <v>2203</v>
      </c>
      <c r="B516" s="11"/>
      <c r="C516" s="11" t="s">
        <v>18</v>
      </c>
      <c r="D516" s="45" t="s">
        <v>16</v>
      </c>
      <c r="E516" s="47"/>
      <c r="F516" s="12" t="s">
        <v>1936</v>
      </c>
      <c r="G516" s="13" t="s">
        <v>7316</v>
      </c>
      <c r="H516" s="99" t="str">
        <f t="shared" si="29"/>
        <v>W21D.1</v>
      </c>
      <c r="I516" s="13" t="s">
        <v>104</v>
      </c>
      <c r="J516" s="13"/>
      <c r="K516" s="13"/>
      <c r="L516" s="48"/>
      <c r="M516" s="49" t="str">
        <f t="shared" si="30"/>
        <v>[W21D.1]</v>
      </c>
      <c r="N516" s="12" t="str">
        <f t="shared" si="31"/>
        <v xml:space="preserve"> 터브 이송 이재기#2 C1축 (SD135) 과전류가 검출되었습니다.</v>
      </c>
      <c r="O516" s="49" t="str">
        <f t="shared" si="32"/>
        <v>[W21D.1] 터브 이송 이재기#2 C1축 (SD135) 과전류가 검출되었습니다.</v>
      </c>
    </row>
    <row r="517" spans="1:15" s="49" customFormat="1" ht="14.15" customHeight="1">
      <c r="A517" s="43" t="s">
        <v>2203</v>
      </c>
      <c r="B517" s="11"/>
      <c r="C517" s="11" t="s">
        <v>18</v>
      </c>
      <c r="D517" s="45" t="s">
        <v>16</v>
      </c>
      <c r="E517" s="47"/>
      <c r="F517" s="12" t="s">
        <v>1937</v>
      </c>
      <c r="G517" s="13" t="s">
        <v>7317</v>
      </c>
      <c r="H517" s="99" t="str">
        <f t="shared" si="29"/>
        <v>W21D.2</v>
      </c>
      <c r="I517" s="13" t="s">
        <v>104</v>
      </c>
      <c r="J517" s="13"/>
      <c r="K517" s="13"/>
      <c r="L517" s="48"/>
      <c r="M517" s="49" t="str">
        <f t="shared" si="30"/>
        <v>[W21D.2]</v>
      </c>
      <c r="N517" s="12" t="str">
        <f t="shared" si="31"/>
        <v xml:space="preserve"> 터브 이송 이재기#2 C1축 (SD135) 과부하가 검출되었습니다.</v>
      </c>
      <c r="O517" s="49" t="str">
        <f t="shared" si="32"/>
        <v>[W21D.2] 터브 이송 이재기#2 C1축 (SD135) 과부하가 검출되었습니다.</v>
      </c>
    </row>
    <row r="518" spans="1:15" s="49" customFormat="1" ht="14.15" customHeight="1">
      <c r="A518" s="43" t="s">
        <v>2203</v>
      </c>
      <c r="B518" s="11"/>
      <c r="C518" s="11" t="s">
        <v>18</v>
      </c>
      <c r="D518" s="45" t="s">
        <v>16</v>
      </c>
      <c r="E518" s="47"/>
      <c r="F518" s="12" t="s">
        <v>1938</v>
      </c>
      <c r="G518" s="13" t="s">
        <v>7318</v>
      </c>
      <c r="H518" s="99" t="str">
        <f t="shared" si="29"/>
        <v>W21D.3</v>
      </c>
      <c r="I518" s="13" t="s">
        <v>104</v>
      </c>
      <c r="J518" s="13"/>
      <c r="K518" s="13"/>
      <c r="L518" s="48"/>
      <c r="M518" s="49" t="str">
        <f t="shared" si="30"/>
        <v>[W21D.3]</v>
      </c>
      <c r="N518" s="12" t="str">
        <f t="shared" si="31"/>
        <v xml:space="preserve"> 터브 이송 이재기#2 C1축 (SD135)  </v>
      </c>
      <c r="O518" s="49" t="str">
        <f t="shared" si="32"/>
        <v xml:space="preserve">[W21D.3] 터브 이송 이재기#2 C1축 (SD135)  </v>
      </c>
    </row>
    <row r="519" spans="1:15" s="49" customFormat="1" ht="14.15" customHeight="1">
      <c r="A519" s="43" t="s">
        <v>2203</v>
      </c>
      <c r="B519" s="11"/>
      <c r="C519" s="11" t="s">
        <v>18</v>
      </c>
      <c r="D519" s="45" t="s">
        <v>16</v>
      </c>
      <c r="E519" s="47"/>
      <c r="F519" s="12" t="s">
        <v>6792</v>
      </c>
      <c r="G519" s="13" t="s">
        <v>7319</v>
      </c>
      <c r="H519" s="99" t="str">
        <f t="shared" si="29"/>
        <v>W21D.4</v>
      </c>
      <c r="I519" s="13" t="s">
        <v>17</v>
      </c>
      <c r="J519" s="13"/>
      <c r="K519" s="13"/>
      <c r="L519" s="48"/>
      <c r="M519" s="49" t="str">
        <f t="shared" si="30"/>
        <v>[W21D.4]</v>
      </c>
      <c r="N519" s="12" t="str">
        <f t="shared" si="31"/>
        <v xml:space="preserve"> 터브 이송 이재기#2 C1축 (SD135) 에러가 발생했습니다.</v>
      </c>
      <c r="O519" s="49" t="str">
        <f t="shared" si="32"/>
        <v>[W21D.4] 터브 이송 이재기#2 C1축 (SD135) 에러가 발생했습니다.</v>
      </c>
    </row>
    <row r="520" spans="1:15" s="49" customFormat="1" ht="14.15" customHeight="1">
      <c r="A520" s="43" t="s">
        <v>2203</v>
      </c>
      <c r="B520" s="11"/>
      <c r="C520" s="11" t="s">
        <v>18</v>
      </c>
      <c r="D520" s="45" t="s">
        <v>16</v>
      </c>
      <c r="E520" s="47"/>
      <c r="F520" s="12" t="s">
        <v>6793</v>
      </c>
      <c r="G520" s="13" t="s">
        <v>7320</v>
      </c>
      <c r="H520" s="99" t="str">
        <f t="shared" si="29"/>
        <v>W21D.5</v>
      </c>
      <c r="I520" s="13" t="s">
        <v>17</v>
      </c>
      <c r="J520" s="13"/>
      <c r="K520" s="13"/>
      <c r="L520" s="48"/>
      <c r="M520" s="49" t="str">
        <f t="shared" si="30"/>
        <v>[W21D.5]</v>
      </c>
      <c r="N520" s="12" t="str">
        <f t="shared" si="31"/>
        <v xml:space="preserve"> 터브 이송 이재기#2 C2축 (SD136) 운전중에 Ready가 Off 되었습니다.</v>
      </c>
      <c r="O520" s="49" t="str">
        <f t="shared" si="32"/>
        <v>[W21D.5] 터브 이송 이재기#2 C2축 (SD136) 운전중에 Ready가 Off 되었습니다.</v>
      </c>
    </row>
    <row r="521" spans="1:15" s="49" customFormat="1" ht="14.15" customHeight="1">
      <c r="A521" s="43" t="s">
        <v>2203</v>
      </c>
      <c r="B521" s="11"/>
      <c r="C521" s="11" t="s">
        <v>18</v>
      </c>
      <c r="D521" s="45" t="s">
        <v>16</v>
      </c>
      <c r="E521" s="47"/>
      <c r="F521" s="12" t="s">
        <v>6794</v>
      </c>
      <c r="G521" s="13" t="s">
        <v>7321</v>
      </c>
      <c r="H521" s="99" t="str">
        <f t="shared" si="29"/>
        <v>W21D.6</v>
      </c>
      <c r="I521" s="13" t="s">
        <v>104</v>
      </c>
      <c r="J521" s="13"/>
      <c r="K521" s="13"/>
      <c r="L521" s="48"/>
      <c r="M521" s="49" t="str">
        <f t="shared" si="30"/>
        <v>[W21D.6]</v>
      </c>
      <c r="N521" s="12" t="str">
        <f t="shared" si="31"/>
        <v xml:space="preserve"> 터브 이송 이재기#2 C2축 (SD136) FLS가 감지되었습니다.</v>
      </c>
      <c r="O521" s="49" t="str">
        <f t="shared" si="32"/>
        <v>[W21D.6] 터브 이송 이재기#2 C2축 (SD136) FLS가 감지되었습니다.</v>
      </c>
    </row>
    <row r="522" spans="1:15" s="49" customFormat="1" ht="14.15" customHeight="1">
      <c r="A522" s="43" t="s">
        <v>2203</v>
      </c>
      <c r="B522" s="11"/>
      <c r="C522" s="11" t="s">
        <v>18</v>
      </c>
      <c r="D522" s="45" t="s">
        <v>16</v>
      </c>
      <c r="E522" s="47"/>
      <c r="F522" s="12" t="s">
        <v>6795</v>
      </c>
      <c r="G522" s="13" t="s">
        <v>7322</v>
      </c>
      <c r="H522" s="99" t="str">
        <f t="shared" si="29"/>
        <v>W21D.7</v>
      </c>
      <c r="I522" s="13" t="s">
        <v>17</v>
      </c>
      <c r="J522" s="13"/>
      <c r="K522" s="13"/>
      <c r="L522" s="48"/>
      <c r="M522" s="49" t="str">
        <f t="shared" si="30"/>
        <v>[W21D.7]</v>
      </c>
      <c r="N522" s="12" t="str">
        <f t="shared" si="31"/>
        <v xml:space="preserve"> 터브 이송 이재기#2 C2축 (SD136) RLS가 감지되었습니다.</v>
      </c>
      <c r="O522" s="49" t="str">
        <f t="shared" si="32"/>
        <v>[W21D.7] 터브 이송 이재기#2 C2축 (SD136) RLS가 감지되었습니다.</v>
      </c>
    </row>
    <row r="523" spans="1:15" s="49" customFormat="1" ht="14.15" customHeight="1">
      <c r="A523" s="43" t="s">
        <v>2203</v>
      </c>
      <c r="B523" s="11"/>
      <c r="C523" s="11" t="s">
        <v>18</v>
      </c>
      <c r="D523" s="45" t="s">
        <v>16</v>
      </c>
      <c r="E523" s="47"/>
      <c r="F523" s="12" t="s">
        <v>6796</v>
      </c>
      <c r="G523" s="13" t="s">
        <v>7323</v>
      </c>
      <c r="H523" s="99" t="str">
        <f t="shared" si="29"/>
        <v>W21D.8</v>
      </c>
      <c r="I523" s="13" t="s">
        <v>104</v>
      </c>
      <c r="J523" s="13"/>
      <c r="K523" s="13"/>
      <c r="L523" s="48"/>
      <c r="M523" s="49" t="str">
        <f t="shared" si="30"/>
        <v>[W21D.8]</v>
      </c>
      <c r="N523" s="12" t="str">
        <f t="shared" si="31"/>
        <v xml:space="preserve"> 터브 이송 이재기#2 C2축 (SD136) Stop 명령이 On된 상태에서 기동을 시도했습니다.</v>
      </c>
      <c r="O523" s="49" t="str">
        <f t="shared" si="32"/>
        <v>[W21D.8] 터브 이송 이재기#2 C2축 (SD136) Stop 명령이 On된 상태에서 기동을 시도했습니다.</v>
      </c>
    </row>
    <row r="524" spans="1:15" s="49" customFormat="1" ht="14.15" customHeight="1">
      <c r="A524" s="43" t="s">
        <v>2203</v>
      </c>
      <c r="B524" s="11"/>
      <c r="C524" s="11" t="s">
        <v>18</v>
      </c>
      <c r="D524" s="45" t="s">
        <v>16</v>
      </c>
      <c r="E524" s="47"/>
      <c r="F524" s="12" t="s">
        <v>6797</v>
      </c>
      <c r="G524" s="13" t="s">
        <v>7324</v>
      </c>
      <c r="H524" s="99" t="str">
        <f t="shared" si="29"/>
        <v>W21D.9</v>
      </c>
      <c r="I524" s="13" t="s">
        <v>17</v>
      </c>
      <c r="J524" s="13"/>
      <c r="K524" s="13"/>
      <c r="L524" s="48"/>
      <c r="M524" s="49" t="str">
        <f t="shared" si="30"/>
        <v>[W21D.9]</v>
      </c>
      <c r="N524" s="12" t="str">
        <f t="shared" si="31"/>
        <v xml:space="preserve"> 터브 이송 이재기#2 C2축 (SD136) 가동 전원이 Off 되었습니다.</v>
      </c>
      <c r="O524" s="49" t="str">
        <f t="shared" si="32"/>
        <v>[W21D.9] 터브 이송 이재기#2 C2축 (SD136) 가동 전원이 Off 되었습니다.</v>
      </c>
    </row>
    <row r="525" spans="1:15" s="49" customFormat="1" ht="14.15" customHeight="1">
      <c r="A525" s="43" t="s">
        <v>2203</v>
      </c>
      <c r="B525" s="11"/>
      <c r="C525" s="11" t="s">
        <v>18</v>
      </c>
      <c r="D525" s="45" t="s">
        <v>16</v>
      </c>
      <c r="E525" s="46"/>
      <c r="F525" s="14" t="s">
        <v>6798</v>
      </c>
      <c r="G525" s="13" t="s">
        <v>7325</v>
      </c>
      <c r="H525" s="99" t="str">
        <f t="shared" si="29"/>
        <v>W21D.A</v>
      </c>
      <c r="I525" s="13" t="s">
        <v>104</v>
      </c>
      <c r="J525" s="13"/>
      <c r="K525" s="13"/>
      <c r="L525" s="48"/>
      <c r="M525" s="49" t="str">
        <f t="shared" si="30"/>
        <v>[W21D.A]</v>
      </c>
      <c r="N525" s="12" t="str">
        <f t="shared" si="31"/>
        <v xml:space="preserve"> 터브 이송 이재기#2 C2축 (SD136) 엔코더 이상이 검출되었습니다.</v>
      </c>
      <c r="O525" s="49" t="str">
        <f t="shared" si="32"/>
        <v>[W21D.A] 터브 이송 이재기#2 C2축 (SD136) 엔코더 이상이 검출되었습니다.</v>
      </c>
    </row>
    <row r="526" spans="1:15" s="49" customFormat="1" ht="14.15" customHeight="1">
      <c r="A526" s="43" t="s">
        <v>2203</v>
      </c>
      <c r="B526" s="11"/>
      <c r="C526" s="11" t="s">
        <v>18</v>
      </c>
      <c r="D526" s="45" t="s">
        <v>16</v>
      </c>
      <c r="E526" s="46"/>
      <c r="F526" s="14" t="s">
        <v>6799</v>
      </c>
      <c r="G526" s="13" t="s">
        <v>7326</v>
      </c>
      <c r="H526" s="99" t="str">
        <f t="shared" si="29"/>
        <v>W21D.B</v>
      </c>
      <c r="I526" s="13" t="s">
        <v>104</v>
      </c>
      <c r="J526" s="13"/>
      <c r="K526" s="13"/>
      <c r="L526" s="48"/>
      <c r="M526" s="49" t="str">
        <f t="shared" si="30"/>
        <v>[W21D.B]</v>
      </c>
      <c r="N526" s="12" t="str">
        <f t="shared" si="31"/>
        <v xml:space="preserve"> 터브 이송 이재기#2 C2축 (SD136) 과전류가 검출되었습니다.</v>
      </c>
      <c r="O526" s="49" t="str">
        <f t="shared" si="32"/>
        <v>[W21D.B] 터브 이송 이재기#2 C2축 (SD136) 과전류가 검출되었습니다.</v>
      </c>
    </row>
    <row r="527" spans="1:15" s="49" customFormat="1" ht="14.15" customHeight="1">
      <c r="A527" s="43" t="s">
        <v>2203</v>
      </c>
      <c r="B527" s="11"/>
      <c r="C527" s="11" t="s">
        <v>18</v>
      </c>
      <c r="D527" s="45" t="s">
        <v>16</v>
      </c>
      <c r="E527" s="46"/>
      <c r="F527" s="14" t="s">
        <v>6800</v>
      </c>
      <c r="G527" s="13" t="s">
        <v>7327</v>
      </c>
      <c r="H527" s="99" t="str">
        <f t="shared" si="29"/>
        <v>W21D.C</v>
      </c>
      <c r="I527" s="13" t="s">
        <v>17</v>
      </c>
      <c r="J527" s="13"/>
      <c r="K527" s="13"/>
      <c r="L527" s="48"/>
      <c r="M527" s="49" t="str">
        <f t="shared" si="30"/>
        <v>[W21D.C]</v>
      </c>
      <c r="N527" s="12" t="str">
        <f t="shared" si="31"/>
        <v xml:space="preserve"> 터브 이송 이재기#2 C2축 (SD136) 과부하가 검출되었습니다.</v>
      </c>
      <c r="O527" s="49" t="str">
        <f t="shared" si="32"/>
        <v>[W21D.C] 터브 이송 이재기#2 C2축 (SD136) 과부하가 검출되었습니다.</v>
      </c>
    </row>
    <row r="528" spans="1:15" s="49" customFormat="1" ht="14.15" customHeight="1">
      <c r="A528" s="43" t="s">
        <v>2203</v>
      </c>
      <c r="B528" s="11"/>
      <c r="C528" s="11" t="s">
        <v>18</v>
      </c>
      <c r="D528" s="45" t="s">
        <v>16</v>
      </c>
      <c r="E528" s="46"/>
      <c r="F528" s="14" t="s">
        <v>6801</v>
      </c>
      <c r="G528" s="13" t="s">
        <v>7328</v>
      </c>
      <c r="H528" s="99" t="str">
        <f t="shared" si="29"/>
        <v>W21D.D</v>
      </c>
      <c r="I528" s="13" t="s">
        <v>105</v>
      </c>
      <c r="J528" s="13"/>
      <c r="K528" s="13"/>
      <c r="L528" s="48"/>
      <c r="M528" s="49" t="str">
        <f t="shared" si="30"/>
        <v>[W21D.D]</v>
      </c>
      <c r="N528" s="12" t="str">
        <f t="shared" si="31"/>
        <v xml:space="preserve"> 터브 이송 이재기#2 C2축 (SD136)  </v>
      </c>
      <c r="O528" s="49" t="str">
        <f t="shared" si="32"/>
        <v xml:space="preserve">[W21D.D] 터브 이송 이재기#2 C2축 (SD136)  </v>
      </c>
    </row>
    <row r="529" spans="1:15" s="49" customFormat="1" ht="14.15" customHeight="1">
      <c r="A529" s="43" t="s">
        <v>2203</v>
      </c>
      <c r="B529" s="11"/>
      <c r="C529" s="11" t="s">
        <v>18</v>
      </c>
      <c r="D529" s="45" t="s">
        <v>16</v>
      </c>
      <c r="E529" s="46"/>
      <c r="F529" s="14" t="s">
        <v>6802</v>
      </c>
      <c r="G529" s="13" t="s">
        <v>7329</v>
      </c>
      <c r="H529" s="99" t="str">
        <f t="shared" si="29"/>
        <v>W21D.E</v>
      </c>
      <c r="I529" s="13" t="s">
        <v>104</v>
      </c>
      <c r="J529" s="13"/>
      <c r="K529" s="13"/>
      <c r="L529" s="48"/>
      <c r="M529" s="49" t="str">
        <f t="shared" si="30"/>
        <v>[W21D.E]</v>
      </c>
      <c r="N529" s="12" t="str">
        <f t="shared" si="31"/>
        <v xml:space="preserve"> 터브 이송 이재기#2 C2축 (SD136) 에러가 발생했습니다.</v>
      </c>
      <c r="O529" s="49" t="str">
        <f t="shared" si="32"/>
        <v>[W21D.E] 터브 이송 이재기#2 C2축 (SD136) 에러가 발생했습니다.</v>
      </c>
    </row>
    <row r="530" spans="1:15" s="49" customFormat="1" ht="14.15" customHeight="1">
      <c r="A530" s="43" t="s">
        <v>2203</v>
      </c>
      <c r="B530" s="11"/>
      <c r="C530" s="11" t="s">
        <v>18</v>
      </c>
      <c r="D530" s="45" t="s">
        <v>16</v>
      </c>
      <c r="E530" s="47"/>
      <c r="F530" s="12" t="s">
        <v>1939</v>
      </c>
      <c r="G530" s="13" t="s">
        <v>7330</v>
      </c>
      <c r="H530" s="99" t="str">
        <f t="shared" si="29"/>
        <v>W21D.F</v>
      </c>
      <c r="I530" s="13" t="s">
        <v>104</v>
      </c>
      <c r="J530" s="13"/>
      <c r="K530" s="13"/>
      <c r="L530" s="48"/>
      <c r="M530" s="49" t="str">
        <f t="shared" si="30"/>
        <v>[W21D.F]</v>
      </c>
      <c r="N530" s="12" t="str">
        <f t="shared" si="31"/>
        <v xml:space="preserve"> 터브 이송 이재기#3 X축 (SD130) 운전중에 Ready가 Off 되었습니다.</v>
      </c>
      <c r="O530" s="49" t="str">
        <f t="shared" si="32"/>
        <v>[W21D.F] 터브 이송 이재기#3 X축 (SD130) 운전중에 Ready가 Off 되었습니다.</v>
      </c>
    </row>
    <row r="531" spans="1:15" s="49" customFormat="1" ht="14.15" customHeight="1">
      <c r="A531" s="43" t="s">
        <v>2203</v>
      </c>
      <c r="B531" s="11"/>
      <c r="C531" s="11" t="s">
        <v>18</v>
      </c>
      <c r="D531" s="45" t="s">
        <v>16</v>
      </c>
      <c r="E531" s="47"/>
      <c r="F531" s="12" t="s">
        <v>1940</v>
      </c>
      <c r="G531" s="13" t="s">
        <v>7331</v>
      </c>
      <c r="H531" s="99" t="str">
        <f t="shared" si="29"/>
        <v>W21E.0</v>
      </c>
      <c r="I531" s="13" t="s">
        <v>104</v>
      </c>
      <c r="J531" s="13"/>
      <c r="K531" s="13"/>
      <c r="L531" s="48"/>
      <c r="M531" s="49" t="str">
        <f t="shared" si="30"/>
        <v>[W21E.0]</v>
      </c>
      <c r="N531" s="12" t="str">
        <f t="shared" si="31"/>
        <v xml:space="preserve"> 터브 이송 이재기#3 X축 (SD130) FLS가 감지되었습니다.</v>
      </c>
      <c r="O531" s="49" t="str">
        <f t="shared" si="32"/>
        <v>[W21E.0] 터브 이송 이재기#3 X축 (SD130) FLS가 감지되었습니다.</v>
      </c>
    </row>
    <row r="532" spans="1:15" s="49" customFormat="1" ht="14.15" customHeight="1">
      <c r="A532" s="43" t="s">
        <v>2203</v>
      </c>
      <c r="B532" s="11"/>
      <c r="C532" s="11" t="s">
        <v>18</v>
      </c>
      <c r="D532" s="45" t="s">
        <v>16</v>
      </c>
      <c r="E532" s="47"/>
      <c r="F532" s="12" t="s">
        <v>1941</v>
      </c>
      <c r="G532" s="13" t="s">
        <v>7332</v>
      </c>
      <c r="H532" s="99" t="str">
        <f t="shared" si="29"/>
        <v>W21E.1</v>
      </c>
      <c r="I532" s="13" t="s">
        <v>104</v>
      </c>
      <c r="J532" s="13"/>
      <c r="K532" s="13"/>
      <c r="L532" s="48"/>
      <c r="M532" s="49" t="str">
        <f t="shared" si="30"/>
        <v>[W21E.1]</v>
      </c>
      <c r="N532" s="12" t="str">
        <f t="shared" si="31"/>
        <v xml:space="preserve"> 터브 이송 이재기#3 X축 (SD130) RLS가 감지되었습니다.</v>
      </c>
      <c r="O532" s="49" t="str">
        <f t="shared" si="32"/>
        <v>[W21E.1] 터브 이송 이재기#3 X축 (SD130) RLS가 감지되었습니다.</v>
      </c>
    </row>
    <row r="533" spans="1:15" s="49" customFormat="1" ht="14.15" customHeight="1">
      <c r="A533" s="43" t="s">
        <v>2203</v>
      </c>
      <c r="B533" s="11"/>
      <c r="C533" s="11" t="s">
        <v>18</v>
      </c>
      <c r="D533" s="45" t="s">
        <v>16</v>
      </c>
      <c r="E533" s="47"/>
      <c r="F533" s="12" t="s">
        <v>1942</v>
      </c>
      <c r="G533" s="13" t="s">
        <v>7333</v>
      </c>
      <c r="H533" s="99" t="str">
        <f t="shared" si="29"/>
        <v>W21E.2</v>
      </c>
      <c r="I533" s="13" t="s">
        <v>104</v>
      </c>
      <c r="J533" s="13"/>
      <c r="K533" s="13"/>
      <c r="L533" s="48"/>
      <c r="M533" s="49" t="str">
        <f t="shared" si="30"/>
        <v>[W21E.2]</v>
      </c>
      <c r="N533" s="12" t="str">
        <f t="shared" si="31"/>
        <v xml:space="preserve"> 터브 이송 이재기#3 X축 (SD130) Stop 명령이 On된 상태에서 기동을 시도했습니다.</v>
      </c>
      <c r="O533" s="49" t="str">
        <f t="shared" si="32"/>
        <v>[W21E.2] 터브 이송 이재기#3 X축 (SD130) Stop 명령이 On된 상태에서 기동을 시도했습니다.</v>
      </c>
    </row>
    <row r="534" spans="1:15" s="49" customFormat="1" ht="14.15" customHeight="1">
      <c r="A534" s="43" t="s">
        <v>2203</v>
      </c>
      <c r="B534" s="11"/>
      <c r="C534" s="11" t="s">
        <v>18</v>
      </c>
      <c r="D534" s="45" t="s">
        <v>16</v>
      </c>
      <c r="E534" s="47"/>
      <c r="F534" s="12" t="s">
        <v>1943</v>
      </c>
      <c r="G534" s="13" t="s">
        <v>7334</v>
      </c>
      <c r="H534" s="99" t="str">
        <f t="shared" si="29"/>
        <v>W21E.3</v>
      </c>
      <c r="I534" s="13" t="s">
        <v>104</v>
      </c>
      <c r="J534" s="13"/>
      <c r="K534" s="13"/>
      <c r="L534" s="48"/>
      <c r="M534" s="49" t="str">
        <f t="shared" si="30"/>
        <v>[W21E.3]</v>
      </c>
      <c r="N534" s="12" t="str">
        <f t="shared" si="31"/>
        <v xml:space="preserve"> 터브 이송 이재기#3 X축 (SD130) 가동 전원이 Off 되었습니다.</v>
      </c>
      <c r="O534" s="49" t="str">
        <f t="shared" si="32"/>
        <v>[W21E.3] 터브 이송 이재기#3 X축 (SD130) 가동 전원이 Off 되었습니다.</v>
      </c>
    </row>
    <row r="535" spans="1:15" s="49" customFormat="1" ht="14.15" customHeight="1">
      <c r="A535" s="43" t="s">
        <v>2203</v>
      </c>
      <c r="B535" s="11"/>
      <c r="C535" s="11" t="s">
        <v>18</v>
      </c>
      <c r="D535" s="45" t="s">
        <v>16</v>
      </c>
      <c r="E535" s="47"/>
      <c r="F535" s="12" t="s">
        <v>1944</v>
      </c>
      <c r="G535" s="13" t="s">
        <v>7335</v>
      </c>
      <c r="H535" s="99" t="str">
        <f t="shared" si="29"/>
        <v>W21E.4</v>
      </c>
      <c r="I535" s="13" t="s">
        <v>104</v>
      </c>
      <c r="J535" s="13"/>
      <c r="K535" s="13"/>
      <c r="L535" s="48"/>
      <c r="M535" s="49" t="str">
        <f t="shared" si="30"/>
        <v>[W21E.4]</v>
      </c>
      <c r="N535" s="12" t="str">
        <f t="shared" si="31"/>
        <v xml:space="preserve"> 터브 이송 이재기#3 X축 (SD130) 엔코더 이상이 검출되었습니다.</v>
      </c>
      <c r="O535" s="49" t="str">
        <f t="shared" si="32"/>
        <v>[W21E.4] 터브 이송 이재기#3 X축 (SD130) 엔코더 이상이 검출되었습니다.</v>
      </c>
    </row>
    <row r="536" spans="1:15" s="49" customFormat="1" ht="14.15" customHeight="1">
      <c r="A536" s="43" t="s">
        <v>2203</v>
      </c>
      <c r="B536" s="11"/>
      <c r="C536" s="11" t="s">
        <v>18</v>
      </c>
      <c r="D536" s="45" t="s">
        <v>16</v>
      </c>
      <c r="E536" s="47"/>
      <c r="F536" s="12" t="s">
        <v>1945</v>
      </c>
      <c r="G536" s="13" t="s">
        <v>7336</v>
      </c>
      <c r="H536" s="99" t="str">
        <f t="shared" si="29"/>
        <v>W21E.5</v>
      </c>
      <c r="I536" s="13" t="s">
        <v>17</v>
      </c>
      <c r="J536" s="13"/>
      <c r="K536" s="13"/>
      <c r="L536" s="48"/>
      <c r="M536" s="49" t="str">
        <f t="shared" si="30"/>
        <v>[W21E.5]</v>
      </c>
      <c r="N536" s="12" t="str">
        <f t="shared" si="31"/>
        <v xml:space="preserve"> 터브 이송 이재기#3 X축 (SD130) 과전류가 검출되었습니다.</v>
      </c>
      <c r="O536" s="49" t="str">
        <f t="shared" si="32"/>
        <v>[W21E.5] 터브 이송 이재기#3 X축 (SD130) 과전류가 검출되었습니다.</v>
      </c>
    </row>
    <row r="537" spans="1:15" s="49" customFormat="1" ht="14.15" customHeight="1">
      <c r="A537" s="43" t="s">
        <v>2203</v>
      </c>
      <c r="B537" s="11"/>
      <c r="C537" s="11" t="s">
        <v>18</v>
      </c>
      <c r="D537" s="45" t="s">
        <v>16</v>
      </c>
      <c r="E537" s="47"/>
      <c r="F537" s="12" t="s">
        <v>1946</v>
      </c>
      <c r="G537" s="13" t="s">
        <v>7337</v>
      </c>
      <c r="H537" s="99" t="str">
        <f t="shared" si="29"/>
        <v>W21E.6</v>
      </c>
      <c r="I537" s="13" t="s">
        <v>104</v>
      </c>
      <c r="J537" s="13"/>
      <c r="K537" s="13"/>
      <c r="L537" s="48"/>
      <c r="M537" s="49" t="str">
        <f t="shared" si="30"/>
        <v>[W21E.6]</v>
      </c>
      <c r="N537" s="12" t="str">
        <f t="shared" si="31"/>
        <v xml:space="preserve"> 터브 이송 이재기#3 X축 (SD130) 과부하가 검출되었습니다.</v>
      </c>
      <c r="O537" s="49" t="str">
        <f t="shared" si="32"/>
        <v>[W21E.6] 터브 이송 이재기#3 X축 (SD130) 과부하가 검출되었습니다.</v>
      </c>
    </row>
    <row r="538" spans="1:15" s="49" customFormat="1" ht="14.15" customHeight="1">
      <c r="A538" s="43" t="s">
        <v>2203</v>
      </c>
      <c r="B538" s="11"/>
      <c r="C538" s="11" t="s">
        <v>18</v>
      </c>
      <c r="D538" s="45" t="s">
        <v>16</v>
      </c>
      <c r="E538" s="47"/>
      <c r="F538" s="12" t="s">
        <v>1947</v>
      </c>
      <c r="G538" s="13" t="s">
        <v>7338</v>
      </c>
      <c r="H538" s="99" t="str">
        <f t="shared" si="29"/>
        <v>W21E.7</v>
      </c>
      <c r="I538" s="13" t="s">
        <v>104</v>
      </c>
      <c r="J538" s="13"/>
      <c r="K538" s="13"/>
      <c r="L538" s="48"/>
      <c r="M538" s="49" t="str">
        <f t="shared" si="30"/>
        <v>[W21E.7]</v>
      </c>
      <c r="N538" s="12" t="str">
        <f t="shared" si="31"/>
        <v xml:space="preserve"> 터브 이송 이재기#3 X축 (SD130)  </v>
      </c>
      <c r="O538" s="49" t="str">
        <f t="shared" si="32"/>
        <v xml:space="preserve">[W21E.7] 터브 이송 이재기#3 X축 (SD130)  </v>
      </c>
    </row>
    <row r="539" spans="1:15" s="49" customFormat="1" ht="14.15" customHeight="1">
      <c r="A539" s="43" t="s">
        <v>2203</v>
      </c>
      <c r="B539" s="11"/>
      <c r="C539" s="11" t="s">
        <v>18</v>
      </c>
      <c r="D539" s="45" t="s">
        <v>16</v>
      </c>
      <c r="E539" s="47"/>
      <c r="F539" s="12" t="s">
        <v>1948</v>
      </c>
      <c r="G539" s="13" t="s">
        <v>7339</v>
      </c>
      <c r="H539" s="99" t="str">
        <f t="shared" si="29"/>
        <v>W21E.8</v>
      </c>
      <c r="I539" s="13" t="s">
        <v>104</v>
      </c>
      <c r="J539" s="13"/>
      <c r="K539" s="13"/>
      <c r="L539" s="48"/>
      <c r="M539" s="49" t="str">
        <f t="shared" si="30"/>
        <v>[W21E.8]</v>
      </c>
      <c r="N539" s="12" t="str">
        <f t="shared" si="31"/>
        <v xml:space="preserve"> 터브 이송 이재기#3 X축 (SD130) 에러가 발생했습니다.</v>
      </c>
      <c r="O539" s="49" t="str">
        <f t="shared" si="32"/>
        <v>[W21E.8] 터브 이송 이재기#3 X축 (SD130) 에러가 발생했습니다.</v>
      </c>
    </row>
    <row r="540" spans="1:15" s="49" customFormat="1" ht="14.15" customHeight="1">
      <c r="A540" s="43" t="s">
        <v>2203</v>
      </c>
      <c r="B540" s="11"/>
      <c r="C540" s="11" t="s">
        <v>18</v>
      </c>
      <c r="D540" s="45" t="s">
        <v>16</v>
      </c>
      <c r="E540" s="47"/>
      <c r="F540" s="12" t="s">
        <v>1949</v>
      </c>
      <c r="G540" s="13" t="s">
        <v>7340</v>
      </c>
      <c r="H540" s="99" t="str">
        <f t="shared" si="29"/>
        <v>W21E.9</v>
      </c>
      <c r="I540" s="13" t="s">
        <v>104</v>
      </c>
      <c r="J540" s="13"/>
      <c r="K540" s="13"/>
      <c r="L540" s="48"/>
      <c r="M540" s="49" t="str">
        <f t="shared" si="30"/>
        <v>[W21E.9]</v>
      </c>
      <c r="N540" s="12" t="str">
        <f t="shared" si="31"/>
        <v xml:space="preserve"> 터브 이송 이재기#3 Z축 (SD132) 운전중에 Ready가 Off 되었습니다.</v>
      </c>
      <c r="O540" s="49" t="str">
        <f t="shared" si="32"/>
        <v>[W21E.9] 터브 이송 이재기#3 Z축 (SD132) 운전중에 Ready가 Off 되었습니다.</v>
      </c>
    </row>
    <row r="541" spans="1:15" s="49" customFormat="1" ht="14.15" customHeight="1">
      <c r="A541" s="43" t="s">
        <v>2203</v>
      </c>
      <c r="B541" s="11"/>
      <c r="C541" s="11" t="s">
        <v>18</v>
      </c>
      <c r="D541" s="45" t="s">
        <v>16</v>
      </c>
      <c r="E541" s="47"/>
      <c r="F541" s="12" t="s">
        <v>1950</v>
      </c>
      <c r="G541" s="13" t="s">
        <v>7341</v>
      </c>
      <c r="H541" s="99" t="str">
        <f t="shared" si="29"/>
        <v>W21E.A</v>
      </c>
      <c r="I541" s="13" t="s">
        <v>104</v>
      </c>
      <c r="J541" s="13"/>
      <c r="K541" s="13"/>
      <c r="L541" s="48"/>
      <c r="M541" s="49" t="str">
        <f t="shared" si="30"/>
        <v>[W21E.A]</v>
      </c>
      <c r="N541" s="12" t="str">
        <f t="shared" si="31"/>
        <v xml:space="preserve"> 터브 이송 이재기#3 Z축 (SD132) FLS가 감지되었습니다.</v>
      </c>
      <c r="O541" s="49" t="str">
        <f t="shared" si="32"/>
        <v>[W21E.A] 터브 이송 이재기#3 Z축 (SD132) FLS가 감지되었습니다.</v>
      </c>
    </row>
    <row r="542" spans="1:15" s="49" customFormat="1" ht="14.15" customHeight="1">
      <c r="A542" s="43" t="s">
        <v>2203</v>
      </c>
      <c r="B542" s="11"/>
      <c r="C542" s="11" t="s">
        <v>18</v>
      </c>
      <c r="D542" s="45" t="s">
        <v>16</v>
      </c>
      <c r="E542" s="47"/>
      <c r="F542" s="12" t="s">
        <v>1951</v>
      </c>
      <c r="G542" s="13" t="s">
        <v>7342</v>
      </c>
      <c r="H542" s="99" t="str">
        <f t="shared" si="29"/>
        <v>W21E.B</v>
      </c>
      <c r="I542" s="13" t="s">
        <v>104</v>
      </c>
      <c r="J542" s="13"/>
      <c r="K542" s="13"/>
      <c r="L542" s="48"/>
      <c r="M542" s="49" t="str">
        <f t="shared" si="30"/>
        <v>[W21E.B]</v>
      </c>
      <c r="N542" s="12" t="str">
        <f t="shared" si="31"/>
        <v xml:space="preserve"> 터브 이송 이재기#3 Z축 (SD132) RLS가 감지되었습니다.</v>
      </c>
      <c r="O542" s="49" t="str">
        <f t="shared" si="32"/>
        <v>[W21E.B] 터브 이송 이재기#3 Z축 (SD132) RLS가 감지되었습니다.</v>
      </c>
    </row>
    <row r="543" spans="1:15" s="49" customFormat="1" ht="14.15" customHeight="1">
      <c r="A543" s="43" t="s">
        <v>2203</v>
      </c>
      <c r="B543" s="11"/>
      <c r="C543" s="11" t="s">
        <v>18</v>
      </c>
      <c r="D543" s="45" t="s">
        <v>16</v>
      </c>
      <c r="E543" s="47"/>
      <c r="F543" s="12" t="s">
        <v>1952</v>
      </c>
      <c r="G543" s="13" t="s">
        <v>7343</v>
      </c>
      <c r="H543" s="99" t="str">
        <f t="shared" si="29"/>
        <v>W21E.C</v>
      </c>
      <c r="I543" s="13" t="s">
        <v>104</v>
      </c>
      <c r="J543" s="13"/>
      <c r="K543" s="13"/>
      <c r="L543" s="48"/>
      <c r="M543" s="49" t="str">
        <f t="shared" si="30"/>
        <v>[W21E.C]</v>
      </c>
      <c r="N543" s="12" t="str">
        <f t="shared" si="31"/>
        <v xml:space="preserve"> 터브 이송 이재기#3 Z축 (SD132) Stop 명령이 On된 상태에서 기동을 시도했습니다.</v>
      </c>
      <c r="O543" s="49" t="str">
        <f t="shared" si="32"/>
        <v>[W21E.C] 터브 이송 이재기#3 Z축 (SD132) Stop 명령이 On된 상태에서 기동을 시도했습니다.</v>
      </c>
    </row>
    <row r="544" spans="1:15" s="49" customFormat="1" ht="14.15" customHeight="1">
      <c r="A544" s="43" t="s">
        <v>2203</v>
      </c>
      <c r="B544" s="11"/>
      <c r="C544" s="11" t="s">
        <v>18</v>
      </c>
      <c r="D544" s="45" t="s">
        <v>16</v>
      </c>
      <c r="E544" s="47"/>
      <c r="F544" s="12" t="s">
        <v>1953</v>
      </c>
      <c r="G544" s="13" t="s">
        <v>7344</v>
      </c>
      <c r="H544" s="99" t="str">
        <f t="shared" si="29"/>
        <v>W21E.D</v>
      </c>
      <c r="I544" s="13" t="s">
        <v>104</v>
      </c>
      <c r="J544" s="13"/>
      <c r="K544" s="13"/>
      <c r="L544" s="48"/>
      <c r="M544" s="49" t="str">
        <f t="shared" si="30"/>
        <v>[W21E.D]</v>
      </c>
      <c r="N544" s="12" t="str">
        <f t="shared" si="31"/>
        <v xml:space="preserve"> 터브 이송 이재기#3 Z축 (SD132) 가동 전원이 Off 되었습니다.</v>
      </c>
      <c r="O544" s="49" t="str">
        <f t="shared" si="32"/>
        <v>[W21E.D] 터브 이송 이재기#3 Z축 (SD132) 가동 전원이 Off 되었습니다.</v>
      </c>
    </row>
    <row r="545" spans="1:15" s="49" customFormat="1" ht="14.15" customHeight="1">
      <c r="A545" s="43" t="s">
        <v>2203</v>
      </c>
      <c r="B545" s="11"/>
      <c r="C545" s="11" t="s">
        <v>18</v>
      </c>
      <c r="D545" s="45" t="s">
        <v>16</v>
      </c>
      <c r="E545" s="47"/>
      <c r="F545" s="12" t="s">
        <v>1954</v>
      </c>
      <c r="G545" s="13" t="s">
        <v>7345</v>
      </c>
      <c r="H545" s="99" t="str">
        <f t="shared" si="29"/>
        <v>W21E.E</v>
      </c>
      <c r="I545" s="13" t="s">
        <v>17</v>
      </c>
      <c r="J545" s="13"/>
      <c r="K545" s="13"/>
      <c r="L545" s="48"/>
      <c r="M545" s="49" t="str">
        <f t="shared" si="30"/>
        <v>[W21E.E]</v>
      </c>
      <c r="N545" s="12" t="str">
        <f t="shared" si="31"/>
        <v xml:space="preserve"> 터브 이송 이재기#3 Z축 (SD132) 엔코더 이상이 검출되었습니다.</v>
      </c>
      <c r="O545" s="49" t="str">
        <f t="shared" si="32"/>
        <v>[W21E.E] 터브 이송 이재기#3 Z축 (SD132) 엔코더 이상이 검출되었습니다.</v>
      </c>
    </row>
    <row r="546" spans="1:15" s="49" customFormat="1" ht="14.15" customHeight="1">
      <c r="A546" s="43" t="s">
        <v>2203</v>
      </c>
      <c r="B546" s="11"/>
      <c r="C546" s="11" t="s">
        <v>18</v>
      </c>
      <c r="D546" s="45" t="s">
        <v>16</v>
      </c>
      <c r="E546" s="47"/>
      <c r="F546" s="12" t="s">
        <v>1955</v>
      </c>
      <c r="G546" s="13" t="s">
        <v>7346</v>
      </c>
      <c r="H546" s="99" t="str">
        <f t="shared" si="29"/>
        <v>W21E.F</v>
      </c>
      <c r="I546" s="13" t="s">
        <v>105</v>
      </c>
      <c r="J546" s="13"/>
      <c r="K546" s="13"/>
      <c r="L546" s="48"/>
      <c r="M546" s="49" t="str">
        <f t="shared" si="30"/>
        <v>[W21E.F]</v>
      </c>
      <c r="N546" s="12" t="str">
        <f t="shared" si="31"/>
        <v xml:space="preserve"> 터브 이송 이재기#3 Z축 (SD132) 과전류가 검출되었습니다.</v>
      </c>
      <c r="O546" s="49" t="str">
        <f t="shared" si="32"/>
        <v>[W21E.F] 터브 이송 이재기#3 Z축 (SD132) 과전류가 검출되었습니다.</v>
      </c>
    </row>
    <row r="547" spans="1:15" s="49" customFormat="1" ht="14.15" customHeight="1">
      <c r="A547" s="43" t="s">
        <v>2203</v>
      </c>
      <c r="B547" s="11"/>
      <c r="C547" s="11" t="s">
        <v>18</v>
      </c>
      <c r="D547" s="45" t="s">
        <v>16</v>
      </c>
      <c r="E547" s="47"/>
      <c r="F547" s="12" t="s">
        <v>1956</v>
      </c>
      <c r="G547" s="13" t="s">
        <v>7347</v>
      </c>
      <c r="H547" s="99" t="str">
        <f t="shared" si="29"/>
        <v>W21F.0</v>
      </c>
      <c r="I547" s="13" t="s">
        <v>104</v>
      </c>
      <c r="J547" s="13"/>
      <c r="K547" s="13"/>
      <c r="L547" s="48"/>
      <c r="M547" s="49" t="str">
        <f t="shared" si="30"/>
        <v>[W21F.0]</v>
      </c>
      <c r="N547" s="12" t="str">
        <f t="shared" si="31"/>
        <v xml:space="preserve"> 터브 이송 이재기#3 Z축 (SD132) 과부하가 검출되었습니다.</v>
      </c>
      <c r="O547" s="49" t="str">
        <f t="shared" si="32"/>
        <v>[W21F.0] 터브 이송 이재기#3 Z축 (SD132) 과부하가 검출되었습니다.</v>
      </c>
    </row>
    <row r="548" spans="1:15" s="49" customFormat="1" ht="14.15" customHeight="1">
      <c r="A548" s="43" t="s">
        <v>2203</v>
      </c>
      <c r="B548" s="11"/>
      <c r="C548" s="11" t="s">
        <v>18</v>
      </c>
      <c r="D548" s="45" t="s">
        <v>16</v>
      </c>
      <c r="E548" s="47"/>
      <c r="F548" s="12" t="s">
        <v>1957</v>
      </c>
      <c r="G548" s="13" t="s">
        <v>7348</v>
      </c>
      <c r="H548" s="99" t="str">
        <f t="shared" si="29"/>
        <v>W21F.1</v>
      </c>
      <c r="I548" s="13" t="s">
        <v>105</v>
      </c>
      <c r="J548" s="13"/>
      <c r="K548" s="13"/>
      <c r="L548" s="48"/>
      <c r="M548" s="49" t="str">
        <f t="shared" si="30"/>
        <v>[W21F.1]</v>
      </c>
      <c r="N548" s="12" t="str">
        <f t="shared" si="31"/>
        <v xml:space="preserve"> 터브 이송 이재기#3 Z축 (SD132)  </v>
      </c>
      <c r="O548" s="49" t="str">
        <f t="shared" si="32"/>
        <v xml:space="preserve">[W21F.1] 터브 이송 이재기#3 Z축 (SD132)  </v>
      </c>
    </row>
    <row r="549" spans="1:15" s="49" customFormat="1" ht="14.15" customHeight="1">
      <c r="A549" s="43" t="s">
        <v>2203</v>
      </c>
      <c r="B549" s="11"/>
      <c r="C549" s="11" t="s">
        <v>18</v>
      </c>
      <c r="D549" s="45" t="s">
        <v>16</v>
      </c>
      <c r="E549" s="47"/>
      <c r="F549" s="12" t="s">
        <v>1958</v>
      </c>
      <c r="G549" s="13" t="s">
        <v>7349</v>
      </c>
      <c r="H549" s="99" t="str">
        <f t="shared" si="29"/>
        <v>W21F.2</v>
      </c>
      <c r="I549" s="13" t="s">
        <v>104</v>
      </c>
      <c r="J549" s="13"/>
      <c r="K549" s="13"/>
      <c r="L549" s="48"/>
      <c r="M549" s="49" t="str">
        <f t="shared" si="30"/>
        <v>[W21F.2]</v>
      </c>
      <c r="N549" s="12" t="str">
        <f t="shared" si="31"/>
        <v xml:space="preserve"> 터브 이송 이재기#3 Z축 (SD132) 에러가 발생했습니다.</v>
      </c>
      <c r="O549" s="49" t="str">
        <f t="shared" si="32"/>
        <v>[W21F.2] 터브 이송 이재기#3 Z축 (SD132) 에러가 발생했습니다.</v>
      </c>
    </row>
    <row r="550" spans="1:15" s="49" customFormat="1" ht="14.15" customHeight="1">
      <c r="A550" s="43" t="s">
        <v>2203</v>
      </c>
      <c r="B550" s="11"/>
      <c r="C550" s="11" t="s">
        <v>18</v>
      </c>
      <c r="D550" s="45" t="s">
        <v>16</v>
      </c>
      <c r="E550" s="47"/>
      <c r="F550" s="12" t="s">
        <v>1959</v>
      </c>
      <c r="G550" s="13" t="s">
        <v>7350</v>
      </c>
      <c r="H550" s="99" t="str">
        <f t="shared" si="29"/>
        <v>W21F.3</v>
      </c>
      <c r="I550" s="13" t="s">
        <v>104</v>
      </c>
      <c r="J550" s="13"/>
      <c r="K550" s="13"/>
      <c r="L550" s="48"/>
      <c r="M550" s="49" t="str">
        <f t="shared" si="30"/>
        <v>[W21F.3]</v>
      </c>
      <c r="N550" s="12" t="str">
        <f t="shared" si="31"/>
        <v xml:space="preserve"> 터브 이송 이재기#3 C1축 (SD137) 운전중에 Ready가 Off 되었습니다.</v>
      </c>
      <c r="O550" s="49" t="str">
        <f t="shared" si="32"/>
        <v>[W21F.3] 터브 이송 이재기#3 C1축 (SD137) 운전중에 Ready가 Off 되었습니다.</v>
      </c>
    </row>
    <row r="551" spans="1:15" s="49" customFormat="1" ht="14.15" customHeight="1">
      <c r="A551" s="43" t="s">
        <v>2203</v>
      </c>
      <c r="B551" s="11"/>
      <c r="C551" s="11" t="s">
        <v>18</v>
      </c>
      <c r="D551" s="45" t="s">
        <v>16</v>
      </c>
      <c r="E551" s="47"/>
      <c r="F551" s="12" t="s">
        <v>1960</v>
      </c>
      <c r="G551" s="13" t="s">
        <v>7351</v>
      </c>
      <c r="H551" s="99" t="str">
        <f t="shared" si="29"/>
        <v>W21F.4</v>
      </c>
      <c r="I551" s="13" t="s">
        <v>104</v>
      </c>
      <c r="J551" s="13"/>
      <c r="K551" s="13"/>
      <c r="L551" s="48"/>
      <c r="M551" s="49" t="str">
        <f t="shared" si="30"/>
        <v>[W21F.4]</v>
      </c>
      <c r="N551" s="12" t="str">
        <f t="shared" si="31"/>
        <v xml:space="preserve"> 터브 이송 이재기#3 C1축 (SD137) FLS가 감지되었습니다.</v>
      </c>
      <c r="O551" s="49" t="str">
        <f t="shared" si="32"/>
        <v>[W21F.4] 터브 이송 이재기#3 C1축 (SD137) FLS가 감지되었습니다.</v>
      </c>
    </row>
    <row r="552" spans="1:15" s="49" customFormat="1" ht="14.15" customHeight="1">
      <c r="A552" s="43" t="s">
        <v>2203</v>
      </c>
      <c r="B552" s="11"/>
      <c r="C552" s="11" t="s">
        <v>18</v>
      </c>
      <c r="D552" s="45" t="s">
        <v>16</v>
      </c>
      <c r="E552" s="47"/>
      <c r="F552" s="12" t="s">
        <v>1961</v>
      </c>
      <c r="G552" s="13" t="s">
        <v>7352</v>
      </c>
      <c r="H552" s="99" t="str">
        <f t="shared" si="29"/>
        <v>W21F.5</v>
      </c>
      <c r="I552" s="13" t="s">
        <v>104</v>
      </c>
      <c r="J552" s="13"/>
      <c r="K552" s="13"/>
      <c r="L552" s="48"/>
      <c r="M552" s="49" t="str">
        <f t="shared" si="30"/>
        <v>[W21F.5]</v>
      </c>
      <c r="N552" s="12" t="str">
        <f t="shared" si="31"/>
        <v xml:space="preserve"> 터브 이송 이재기#3 C1축 (SD137) RLS가 감지되었습니다.</v>
      </c>
      <c r="O552" s="49" t="str">
        <f t="shared" si="32"/>
        <v>[W21F.5] 터브 이송 이재기#3 C1축 (SD137) RLS가 감지되었습니다.</v>
      </c>
    </row>
    <row r="553" spans="1:15" s="49" customFormat="1" ht="14.15" customHeight="1">
      <c r="A553" s="43" t="s">
        <v>2203</v>
      </c>
      <c r="B553" s="11"/>
      <c r="C553" s="11" t="s">
        <v>18</v>
      </c>
      <c r="D553" s="45" t="s">
        <v>16</v>
      </c>
      <c r="E553" s="47"/>
      <c r="F553" s="12" t="s">
        <v>1962</v>
      </c>
      <c r="G553" s="13" t="s">
        <v>7353</v>
      </c>
      <c r="H553" s="99" t="str">
        <f t="shared" si="29"/>
        <v>W21F.6</v>
      </c>
      <c r="I553" s="13" t="s">
        <v>104</v>
      </c>
      <c r="J553" s="13"/>
      <c r="K553" s="13"/>
      <c r="L553" s="48"/>
      <c r="M553" s="49" t="str">
        <f t="shared" si="30"/>
        <v>[W21F.6]</v>
      </c>
      <c r="N553" s="12" t="str">
        <f t="shared" si="31"/>
        <v xml:space="preserve"> 터브 이송 이재기#3 C1축 (SD137) Stop 명령이 On된 상태에서 기동을 시도했습니다.</v>
      </c>
      <c r="O553" s="49" t="str">
        <f t="shared" si="32"/>
        <v>[W21F.6] 터브 이송 이재기#3 C1축 (SD137) Stop 명령이 On된 상태에서 기동을 시도했습니다.</v>
      </c>
    </row>
    <row r="554" spans="1:15" s="49" customFormat="1" ht="14.15" customHeight="1">
      <c r="A554" s="43" t="s">
        <v>2203</v>
      </c>
      <c r="B554" s="11"/>
      <c r="C554" s="11" t="s">
        <v>18</v>
      </c>
      <c r="D554" s="45" t="s">
        <v>16</v>
      </c>
      <c r="E554" s="47"/>
      <c r="F554" s="12" t="s">
        <v>1963</v>
      </c>
      <c r="G554" s="13" t="s">
        <v>7354</v>
      </c>
      <c r="H554" s="99" t="str">
        <f t="shared" si="29"/>
        <v>W21F.7</v>
      </c>
      <c r="I554" s="13" t="s">
        <v>104</v>
      </c>
      <c r="J554" s="13"/>
      <c r="K554" s="13"/>
      <c r="L554" s="48"/>
      <c r="M554" s="49" t="str">
        <f t="shared" si="30"/>
        <v>[W21F.7]</v>
      </c>
      <c r="N554" s="12" t="str">
        <f t="shared" si="31"/>
        <v xml:space="preserve"> 터브 이송 이재기#3 C1축 (SD137) 가동 전원이 Off 되었습니다.</v>
      </c>
      <c r="O554" s="49" t="str">
        <f t="shared" si="32"/>
        <v>[W21F.7] 터브 이송 이재기#3 C1축 (SD137) 가동 전원이 Off 되었습니다.</v>
      </c>
    </row>
    <row r="555" spans="1:15" s="49" customFormat="1" ht="14.15" customHeight="1">
      <c r="A555" s="43" t="s">
        <v>2203</v>
      </c>
      <c r="B555" s="11"/>
      <c r="C555" s="11" t="s">
        <v>18</v>
      </c>
      <c r="D555" s="45" t="s">
        <v>16</v>
      </c>
      <c r="E555" s="47"/>
      <c r="F555" s="12" t="s">
        <v>1964</v>
      </c>
      <c r="G555" s="13" t="s">
        <v>7355</v>
      </c>
      <c r="H555" s="99" t="str">
        <f t="shared" si="29"/>
        <v>W21F.8</v>
      </c>
      <c r="I555" s="13" t="s">
        <v>17</v>
      </c>
      <c r="J555" s="13"/>
      <c r="K555" s="13"/>
      <c r="L555" s="48"/>
      <c r="M555" s="49" t="str">
        <f t="shared" si="30"/>
        <v>[W21F.8]</v>
      </c>
      <c r="N555" s="12" t="str">
        <f t="shared" si="31"/>
        <v xml:space="preserve"> 터브 이송 이재기#3 C1축 (SD137) 엔코더 이상이 검출되었습니다.</v>
      </c>
      <c r="O555" s="49" t="str">
        <f t="shared" si="32"/>
        <v>[W21F.8] 터브 이송 이재기#3 C1축 (SD137) 엔코더 이상이 검출되었습니다.</v>
      </c>
    </row>
    <row r="556" spans="1:15" s="49" customFormat="1" ht="14.15" customHeight="1">
      <c r="A556" s="43" t="s">
        <v>2203</v>
      </c>
      <c r="B556" s="11"/>
      <c r="C556" s="11" t="s">
        <v>18</v>
      </c>
      <c r="D556" s="45" t="s">
        <v>16</v>
      </c>
      <c r="E556" s="47"/>
      <c r="F556" s="12" t="s">
        <v>1965</v>
      </c>
      <c r="G556" s="13" t="s">
        <v>7356</v>
      </c>
      <c r="H556" s="99" t="str">
        <f t="shared" si="29"/>
        <v>W21F.9</v>
      </c>
      <c r="I556" s="13" t="s">
        <v>104</v>
      </c>
      <c r="J556" s="13"/>
      <c r="K556" s="13"/>
      <c r="L556" s="48"/>
      <c r="M556" s="49" t="str">
        <f t="shared" si="30"/>
        <v>[W21F.9]</v>
      </c>
      <c r="N556" s="12" t="str">
        <f t="shared" si="31"/>
        <v xml:space="preserve"> 터브 이송 이재기#3 C1축 (SD137) 과전류가 검출되었습니다.</v>
      </c>
      <c r="O556" s="49" t="str">
        <f t="shared" si="32"/>
        <v>[W21F.9] 터브 이송 이재기#3 C1축 (SD137) 과전류가 검출되었습니다.</v>
      </c>
    </row>
    <row r="557" spans="1:15" s="49" customFormat="1" ht="14.15" customHeight="1">
      <c r="A557" s="43" t="s">
        <v>2203</v>
      </c>
      <c r="B557" s="11"/>
      <c r="C557" s="11" t="s">
        <v>18</v>
      </c>
      <c r="D557" s="45" t="s">
        <v>16</v>
      </c>
      <c r="E557" s="47"/>
      <c r="F557" s="12" t="s">
        <v>1966</v>
      </c>
      <c r="G557" s="13" t="s">
        <v>7357</v>
      </c>
      <c r="H557" s="99" t="str">
        <f t="shared" si="29"/>
        <v>W21F.A</v>
      </c>
      <c r="I557" s="13" t="s">
        <v>104</v>
      </c>
      <c r="J557" s="13"/>
      <c r="K557" s="13"/>
      <c r="L557" s="48"/>
      <c r="M557" s="49" t="str">
        <f t="shared" si="30"/>
        <v>[W21F.A]</v>
      </c>
      <c r="N557" s="12" t="str">
        <f t="shared" si="31"/>
        <v xml:space="preserve"> 터브 이송 이재기#3 C1축 (SD137) 과부하가 검출되었습니다.</v>
      </c>
      <c r="O557" s="49" t="str">
        <f t="shared" si="32"/>
        <v>[W21F.A] 터브 이송 이재기#3 C1축 (SD137) 과부하가 검출되었습니다.</v>
      </c>
    </row>
    <row r="558" spans="1:15" s="49" customFormat="1" ht="14.15" customHeight="1">
      <c r="A558" s="43" t="s">
        <v>2203</v>
      </c>
      <c r="B558" s="11"/>
      <c r="C558" s="11" t="s">
        <v>18</v>
      </c>
      <c r="D558" s="45" t="s">
        <v>16</v>
      </c>
      <c r="E558" s="47"/>
      <c r="F558" s="12" t="s">
        <v>1967</v>
      </c>
      <c r="G558" s="13" t="s">
        <v>7358</v>
      </c>
      <c r="H558" s="99" t="str">
        <f t="shared" si="29"/>
        <v>W21F.B</v>
      </c>
      <c r="I558" s="13" t="s">
        <v>104</v>
      </c>
      <c r="J558" s="13"/>
      <c r="K558" s="13"/>
      <c r="L558" s="48"/>
      <c r="M558" s="49" t="str">
        <f t="shared" si="30"/>
        <v>[W21F.B]</v>
      </c>
      <c r="N558" s="12" t="str">
        <f t="shared" si="31"/>
        <v xml:space="preserve"> 터브 이송 이재기#3 C1축 (SD137)  </v>
      </c>
      <c r="O558" s="49" t="str">
        <f t="shared" si="32"/>
        <v xml:space="preserve">[W21F.B] 터브 이송 이재기#3 C1축 (SD137)  </v>
      </c>
    </row>
    <row r="559" spans="1:15" s="49" customFormat="1" ht="14.15" customHeight="1">
      <c r="A559" s="43" t="s">
        <v>2203</v>
      </c>
      <c r="B559" s="11"/>
      <c r="C559" s="11" t="s">
        <v>18</v>
      </c>
      <c r="D559" s="45" t="s">
        <v>16</v>
      </c>
      <c r="E559" s="47"/>
      <c r="F559" s="12" t="s">
        <v>1968</v>
      </c>
      <c r="G559" s="13" t="s">
        <v>7359</v>
      </c>
      <c r="H559" s="99" t="str">
        <f t="shared" si="29"/>
        <v>W21F.C</v>
      </c>
      <c r="I559" s="13" t="s">
        <v>17</v>
      </c>
      <c r="J559" s="13"/>
      <c r="K559" s="13"/>
      <c r="L559" s="48"/>
      <c r="M559" s="49" t="str">
        <f t="shared" si="30"/>
        <v>[W21F.C]</v>
      </c>
      <c r="N559" s="12" t="str">
        <f t="shared" si="31"/>
        <v xml:space="preserve"> 터브 이송 이재기#3 C1축 (SD137) 에러가 발생했습니다.</v>
      </c>
      <c r="O559" s="49" t="str">
        <f t="shared" si="32"/>
        <v>[W21F.C] 터브 이송 이재기#3 C1축 (SD137) 에러가 발생했습니다.</v>
      </c>
    </row>
    <row r="560" spans="1:15" s="49" customFormat="1" ht="14.15" customHeight="1">
      <c r="A560" s="43" t="s">
        <v>2203</v>
      </c>
      <c r="B560" s="11"/>
      <c r="C560" s="11" t="s">
        <v>18</v>
      </c>
      <c r="D560" s="45" t="s">
        <v>16</v>
      </c>
      <c r="E560" s="47"/>
      <c r="F560" s="12" t="s">
        <v>1969</v>
      </c>
      <c r="G560" s="13" t="s">
        <v>7360</v>
      </c>
      <c r="H560" s="99" t="str">
        <f t="shared" si="29"/>
        <v>W21F.D</v>
      </c>
      <c r="I560" s="13" t="s">
        <v>104</v>
      </c>
      <c r="J560" s="13"/>
      <c r="K560" s="13"/>
      <c r="L560" s="48"/>
      <c r="M560" s="49" t="str">
        <f t="shared" si="30"/>
        <v>[W21F.D]</v>
      </c>
      <c r="N560" s="12" t="str">
        <f t="shared" si="31"/>
        <v xml:space="preserve"> 터브 이송 이재기#3 C2축 (SD138) 운전중에 Ready가 Off 되었습니다.</v>
      </c>
      <c r="O560" s="49" t="str">
        <f t="shared" si="32"/>
        <v>[W21F.D] 터브 이송 이재기#3 C2축 (SD138) 운전중에 Ready가 Off 되었습니다.</v>
      </c>
    </row>
    <row r="561" spans="1:15" s="49" customFormat="1" ht="14.15" customHeight="1">
      <c r="A561" s="43" t="s">
        <v>2203</v>
      </c>
      <c r="B561" s="11"/>
      <c r="C561" s="11" t="s">
        <v>18</v>
      </c>
      <c r="D561" s="45" t="s">
        <v>16</v>
      </c>
      <c r="E561" s="47"/>
      <c r="F561" s="12" t="s">
        <v>1970</v>
      </c>
      <c r="G561" s="13" t="s">
        <v>7361</v>
      </c>
      <c r="H561" s="99" t="str">
        <f t="shared" si="29"/>
        <v>W21F.E</v>
      </c>
      <c r="I561" s="13" t="s">
        <v>17</v>
      </c>
      <c r="J561" s="13"/>
      <c r="K561" s="13"/>
      <c r="L561" s="48"/>
      <c r="M561" s="49" t="str">
        <f t="shared" si="30"/>
        <v>[W21F.E]</v>
      </c>
      <c r="N561" s="12" t="str">
        <f t="shared" si="31"/>
        <v xml:space="preserve"> 터브 이송 이재기#3 C2축 (SD138) FLS가 감지되었습니다.</v>
      </c>
      <c r="O561" s="49" t="str">
        <f t="shared" si="32"/>
        <v>[W21F.E] 터브 이송 이재기#3 C2축 (SD138) FLS가 감지되었습니다.</v>
      </c>
    </row>
    <row r="562" spans="1:15" s="49" customFormat="1" ht="14.15" customHeight="1">
      <c r="A562" s="43" t="s">
        <v>2203</v>
      </c>
      <c r="B562" s="11"/>
      <c r="C562" s="11" t="s">
        <v>18</v>
      </c>
      <c r="D562" s="45" t="s">
        <v>16</v>
      </c>
      <c r="E562" s="47"/>
      <c r="F562" s="12" t="s">
        <v>1971</v>
      </c>
      <c r="G562" s="13" t="s">
        <v>7362</v>
      </c>
      <c r="H562" s="99" t="str">
        <f t="shared" si="29"/>
        <v>W21F.F</v>
      </c>
      <c r="I562" s="13" t="s">
        <v>104</v>
      </c>
      <c r="J562" s="13"/>
      <c r="K562" s="13"/>
      <c r="L562" s="48"/>
      <c r="M562" s="49" t="str">
        <f t="shared" si="30"/>
        <v>[W21F.F]</v>
      </c>
      <c r="N562" s="12" t="str">
        <f t="shared" si="31"/>
        <v xml:space="preserve"> 터브 이송 이재기#3 C2축 (SD138) RLS가 감지되었습니다.</v>
      </c>
      <c r="O562" s="49" t="str">
        <f t="shared" si="32"/>
        <v>[W21F.F] 터브 이송 이재기#3 C2축 (SD138) RLS가 감지되었습니다.</v>
      </c>
    </row>
    <row r="563" spans="1:15" s="49" customFormat="1" ht="14.15" customHeight="1">
      <c r="A563" s="43" t="s">
        <v>2203</v>
      </c>
      <c r="B563" s="11"/>
      <c r="C563" s="11" t="s">
        <v>18</v>
      </c>
      <c r="D563" s="45" t="s">
        <v>16</v>
      </c>
      <c r="E563" s="47"/>
      <c r="F563" s="12" t="s">
        <v>1972</v>
      </c>
      <c r="G563" s="13" t="s">
        <v>7363</v>
      </c>
      <c r="H563" s="99" t="str">
        <f t="shared" si="29"/>
        <v>W220.0</v>
      </c>
      <c r="I563" s="13" t="s">
        <v>104</v>
      </c>
      <c r="J563" s="13"/>
      <c r="K563" s="13"/>
      <c r="L563" s="48"/>
      <c r="M563" s="49" t="str">
        <f t="shared" si="30"/>
        <v>[W220.0]</v>
      </c>
      <c r="N563" s="12" t="str">
        <f t="shared" si="31"/>
        <v xml:space="preserve"> 터브 이송 이재기#3 C2축 (SD138) Stop 명령이 On된 상태에서 기동을 시도했습니다.</v>
      </c>
      <c r="O563" s="49" t="str">
        <f t="shared" si="32"/>
        <v>[W220.0] 터브 이송 이재기#3 C2축 (SD138) Stop 명령이 On된 상태에서 기동을 시도했습니다.</v>
      </c>
    </row>
    <row r="564" spans="1:15" s="49" customFormat="1" ht="14.15" customHeight="1">
      <c r="A564" s="43" t="s">
        <v>2203</v>
      </c>
      <c r="B564" s="11"/>
      <c r="C564" s="11" t="s">
        <v>18</v>
      </c>
      <c r="D564" s="45" t="s">
        <v>16</v>
      </c>
      <c r="E564" s="47"/>
      <c r="F564" s="12" t="s">
        <v>1973</v>
      </c>
      <c r="G564" s="13" t="s">
        <v>7364</v>
      </c>
      <c r="H564" s="99" t="str">
        <f t="shared" ref="H564:H627" si="33">"W"&amp;DEC2HEX(512 + INT((ROW()-51)/16)) &amp; "." &amp; IF(MOD(ROW()-51,16)&lt;10,MOD(ROW()-51,16),CHAR(MOD(ROW()-51,16)+55))</f>
        <v>W220.1</v>
      </c>
      <c r="I564" s="13" t="s">
        <v>104</v>
      </c>
      <c r="J564" s="13"/>
      <c r="K564" s="13"/>
      <c r="L564" s="48"/>
      <c r="M564" s="49" t="str">
        <f t="shared" ref="M564:M627" si="34">"["&amp;H564&amp;"]"</f>
        <v>[W220.1]</v>
      </c>
      <c r="N564" s="12" t="str">
        <f t="shared" ref="N564:N627" si="35">RIGHT(F564,LEN(F564)-7)</f>
        <v xml:space="preserve"> 터브 이송 이재기#3 C2축 (SD138) 가동 전원이 Off 되었습니다.</v>
      </c>
      <c r="O564" s="49" t="str">
        <f t="shared" ref="O564:O627" si="36">M564&amp;N564</f>
        <v>[W220.1] 터브 이송 이재기#3 C2축 (SD138) 가동 전원이 Off 되었습니다.</v>
      </c>
    </row>
    <row r="565" spans="1:15" s="49" customFormat="1" ht="14.15" customHeight="1">
      <c r="A565" s="43" t="s">
        <v>2203</v>
      </c>
      <c r="B565" s="11"/>
      <c r="C565" s="11" t="s">
        <v>18</v>
      </c>
      <c r="D565" s="45" t="s">
        <v>16</v>
      </c>
      <c r="E565" s="46"/>
      <c r="F565" s="14" t="s">
        <v>1974</v>
      </c>
      <c r="G565" s="13" t="s">
        <v>7365</v>
      </c>
      <c r="H565" s="99" t="str">
        <f t="shared" si="33"/>
        <v>W220.2</v>
      </c>
      <c r="I565" s="13" t="s">
        <v>104</v>
      </c>
      <c r="J565" s="13"/>
      <c r="K565" s="13"/>
      <c r="L565" s="48"/>
      <c r="M565" s="49" t="str">
        <f t="shared" si="34"/>
        <v>[W220.2]</v>
      </c>
      <c r="N565" s="12" t="str">
        <f t="shared" si="35"/>
        <v xml:space="preserve"> 터브 이송 이재기#3 C2축 (SD138) 엔코더 이상이 검출되었습니다.</v>
      </c>
      <c r="O565" s="49" t="str">
        <f t="shared" si="36"/>
        <v>[W220.2] 터브 이송 이재기#3 C2축 (SD138) 엔코더 이상이 검출되었습니다.</v>
      </c>
    </row>
    <row r="566" spans="1:15" s="49" customFormat="1" ht="14.15" customHeight="1">
      <c r="A566" s="43" t="s">
        <v>2203</v>
      </c>
      <c r="B566" s="11"/>
      <c r="C566" s="11" t="s">
        <v>18</v>
      </c>
      <c r="D566" s="45" t="s">
        <v>16</v>
      </c>
      <c r="E566" s="46"/>
      <c r="F566" s="14" t="s">
        <v>1975</v>
      </c>
      <c r="G566" s="13" t="s">
        <v>7366</v>
      </c>
      <c r="H566" s="99" t="str">
        <f t="shared" si="33"/>
        <v>W220.3</v>
      </c>
      <c r="I566" s="13" t="s">
        <v>104</v>
      </c>
      <c r="J566" s="13"/>
      <c r="K566" s="13"/>
      <c r="L566" s="48"/>
      <c r="M566" s="49" t="str">
        <f t="shared" si="34"/>
        <v>[W220.3]</v>
      </c>
      <c r="N566" s="12" t="str">
        <f t="shared" si="35"/>
        <v xml:space="preserve"> 터브 이송 이재기#3 C2축 (SD138) 과전류가 검출되었습니다.</v>
      </c>
      <c r="O566" s="49" t="str">
        <f t="shared" si="36"/>
        <v>[W220.3] 터브 이송 이재기#3 C2축 (SD138) 과전류가 검출되었습니다.</v>
      </c>
    </row>
    <row r="567" spans="1:15" s="49" customFormat="1" ht="14.15" customHeight="1">
      <c r="A567" s="43" t="s">
        <v>2203</v>
      </c>
      <c r="B567" s="11"/>
      <c r="C567" s="11" t="s">
        <v>18</v>
      </c>
      <c r="D567" s="45" t="s">
        <v>16</v>
      </c>
      <c r="E567" s="46"/>
      <c r="F567" s="14" t="s">
        <v>1976</v>
      </c>
      <c r="G567" s="13" t="s">
        <v>7367</v>
      </c>
      <c r="H567" s="99" t="str">
        <f t="shared" si="33"/>
        <v>W220.4</v>
      </c>
      <c r="I567" s="13" t="s">
        <v>104</v>
      </c>
      <c r="J567" s="13"/>
      <c r="K567" s="13"/>
      <c r="L567" s="48"/>
      <c r="M567" s="49" t="str">
        <f t="shared" si="34"/>
        <v>[W220.4]</v>
      </c>
      <c r="N567" s="12" t="str">
        <f t="shared" si="35"/>
        <v xml:space="preserve"> 터브 이송 이재기#3 C2축 (SD138) 과부하가 검출되었습니다.</v>
      </c>
      <c r="O567" s="49" t="str">
        <f t="shared" si="36"/>
        <v>[W220.4] 터브 이송 이재기#3 C2축 (SD138) 과부하가 검출되었습니다.</v>
      </c>
    </row>
    <row r="568" spans="1:15" s="49" customFormat="1" ht="14.15" customHeight="1">
      <c r="A568" s="43" t="s">
        <v>2203</v>
      </c>
      <c r="B568" s="11"/>
      <c r="C568" s="11" t="s">
        <v>18</v>
      </c>
      <c r="D568" s="45" t="s">
        <v>16</v>
      </c>
      <c r="E568" s="46"/>
      <c r="F568" s="14" t="s">
        <v>1977</v>
      </c>
      <c r="G568" s="13" t="s">
        <v>7368</v>
      </c>
      <c r="H568" s="99" t="str">
        <f t="shared" si="33"/>
        <v>W220.5</v>
      </c>
      <c r="I568" s="13" t="s">
        <v>17</v>
      </c>
      <c r="J568" s="13"/>
      <c r="K568" s="13"/>
      <c r="L568" s="48"/>
      <c r="M568" s="49" t="str">
        <f t="shared" si="34"/>
        <v>[W220.5]</v>
      </c>
      <c r="N568" s="12" t="str">
        <f t="shared" si="35"/>
        <v xml:space="preserve"> 터브 이송 이재기#3 C2축 (SD138)  </v>
      </c>
      <c r="O568" s="49" t="str">
        <f t="shared" si="36"/>
        <v xml:space="preserve">[W220.5] 터브 이송 이재기#3 C2축 (SD138)  </v>
      </c>
    </row>
    <row r="569" spans="1:15" s="49" customFormat="1" ht="14.15" customHeight="1">
      <c r="A569" s="43" t="s">
        <v>2203</v>
      </c>
      <c r="B569" s="11"/>
      <c r="C569" s="11" t="s">
        <v>18</v>
      </c>
      <c r="D569" s="45" t="s">
        <v>16</v>
      </c>
      <c r="E569" s="46"/>
      <c r="F569" s="14" t="s">
        <v>1978</v>
      </c>
      <c r="G569" s="13" t="s">
        <v>7369</v>
      </c>
      <c r="H569" s="99" t="str">
        <f t="shared" si="33"/>
        <v>W220.6</v>
      </c>
      <c r="I569" s="13" t="s">
        <v>104</v>
      </c>
      <c r="J569" s="13"/>
      <c r="K569" s="13"/>
      <c r="L569" s="48"/>
      <c r="M569" s="49" t="str">
        <f t="shared" si="34"/>
        <v>[W220.6]</v>
      </c>
      <c r="N569" s="12" t="str">
        <f t="shared" si="35"/>
        <v xml:space="preserve"> 터브 이송 이재기#3 C2축 (SD138) 에러가 발생했습니다.</v>
      </c>
      <c r="O569" s="49" t="str">
        <f t="shared" si="36"/>
        <v>[W220.6] 터브 이송 이재기#3 C2축 (SD138) 에러가 발생했습니다.</v>
      </c>
    </row>
    <row r="570" spans="1:15" s="49" customFormat="1" ht="14.15" customHeight="1">
      <c r="A570" s="44"/>
      <c r="B570" s="11"/>
      <c r="C570" s="11" t="s">
        <v>18</v>
      </c>
      <c r="D570" s="45" t="s">
        <v>16</v>
      </c>
      <c r="E570" s="46"/>
      <c r="F570" s="14" t="s">
        <v>428</v>
      </c>
      <c r="G570" s="13" t="s">
        <v>7370</v>
      </c>
      <c r="H570" s="99" t="str">
        <f t="shared" si="33"/>
        <v>W220.7</v>
      </c>
      <c r="I570" s="13" t="s">
        <v>104</v>
      </c>
      <c r="J570" s="13"/>
      <c r="K570" s="13"/>
      <c r="L570" s="48"/>
      <c r="M570" s="49" t="str">
        <f t="shared" si="34"/>
        <v>[W220.7]</v>
      </c>
      <c r="N570" s="12" t="str">
        <f t="shared" si="35"/>
        <v xml:space="preserve"> </v>
      </c>
      <c r="O570" s="49" t="str">
        <f t="shared" si="36"/>
        <v xml:space="preserve">[W220.7] </v>
      </c>
    </row>
    <row r="571" spans="1:15" s="49" customFormat="1" ht="14.15" customHeight="1">
      <c r="A571" s="44"/>
      <c r="B571" s="11"/>
      <c r="C571" s="11" t="s">
        <v>18</v>
      </c>
      <c r="D571" s="45" t="s">
        <v>16</v>
      </c>
      <c r="E571" s="47"/>
      <c r="F571" s="12" t="s">
        <v>429</v>
      </c>
      <c r="G571" s="13" t="s">
        <v>7371</v>
      </c>
      <c r="H571" s="99" t="str">
        <f t="shared" si="33"/>
        <v>W220.8</v>
      </c>
      <c r="I571" s="13"/>
      <c r="J571" s="13"/>
      <c r="K571" s="13"/>
      <c r="L571" s="48"/>
      <c r="M571" s="49" t="str">
        <f t="shared" si="34"/>
        <v>[W220.8]</v>
      </c>
      <c r="N571" s="12" t="str">
        <f t="shared" si="35"/>
        <v xml:space="preserve"> </v>
      </c>
      <c r="O571" s="49" t="str">
        <f t="shared" si="36"/>
        <v xml:space="preserve">[W220.8] </v>
      </c>
    </row>
    <row r="572" spans="1:15" s="49" customFormat="1" ht="14.15" customHeight="1">
      <c r="A572" s="44"/>
      <c r="B572" s="11"/>
      <c r="C572" s="11" t="s">
        <v>18</v>
      </c>
      <c r="D572" s="45" t="s">
        <v>16</v>
      </c>
      <c r="E572" s="47"/>
      <c r="F572" s="12" t="s">
        <v>430</v>
      </c>
      <c r="G572" s="13" t="s">
        <v>7372</v>
      </c>
      <c r="H572" s="99" t="str">
        <f t="shared" si="33"/>
        <v>W220.9</v>
      </c>
      <c r="I572" s="13"/>
      <c r="J572" s="13"/>
      <c r="K572" s="13"/>
      <c r="L572" s="48"/>
      <c r="M572" s="49" t="str">
        <f t="shared" si="34"/>
        <v>[W220.9]</v>
      </c>
      <c r="N572" s="12" t="str">
        <f t="shared" si="35"/>
        <v xml:space="preserve"> </v>
      </c>
      <c r="O572" s="49" t="str">
        <f t="shared" si="36"/>
        <v xml:space="preserve">[W220.9] </v>
      </c>
    </row>
    <row r="573" spans="1:15" s="49" customFormat="1" ht="14.15" customHeight="1">
      <c r="A573" s="44"/>
      <c r="B573" s="11"/>
      <c r="C573" s="11" t="s">
        <v>18</v>
      </c>
      <c r="D573" s="45" t="s">
        <v>16</v>
      </c>
      <c r="E573" s="47"/>
      <c r="F573" s="12" t="s">
        <v>431</v>
      </c>
      <c r="G573" s="13" t="s">
        <v>7373</v>
      </c>
      <c r="H573" s="99" t="str">
        <f t="shared" si="33"/>
        <v>W220.A</v>
      </c>
      <c r="I573" s="13"/>
      <c r="J573" s="13"/>
      <c r="K573" s="13"/>
      <c r="L573" s="48"/>
      <c r="M573" s="49" t="str">
        <f t="shared" si="34"/>
        <v>[W220.A]</v>
      </c>
      <c r="N573" s="12" t="str">
        <f t="shared" si="35"/>
        <v xml:space="preserve"> </v>
      </c>
      <c r="O573" s="49" t="str">
        <f t="shared" si="36"/>
        <v xml:space="preserve">[W220.A] </v>
      </c>
    </row>
    <row r="574" spans="1:15" s="49" customFormat="1" ht="14.15" customHeight="1">
      <c r="A574" s="44"/>
      <c r="B574" s="11"/>
      <c r="C574" s="11" t="s">
        <v>18</v>
      </c>
      <c r="D574" s="45" t="s">
        <v>16</v>
      </c>
      <c r="E574" s="47"/>
      <c r="F574" s="12" t="s">
        <v>432</v>
      </c>
      <c r="G574" s="13" t="s">
        <v>7374</v>
      </c>
      <c r="H574" s="99" t="str">
        <f t="shared" si="33"/>
        <v>W220.B</v>
      </c>
      <c r="I574" s="13"/>
      <c r="J574" s="13"/>
      <c r="K574" s="13"/>
      <c r="L574" s="48"/>
      <c r="M574" s="49" t="str">
        <f t="shared" si="34"/>
        <v>[W220.B]</v>
      </c>
      <c r="N574" s="12" t="str">
        <f t="shared" si="35"/>
        <v xml:space="preserve"> </v>
      </c>
      <c r="O574" s="49" t="str">
        <f t="shared" si="36"/>
        <v xml:space="preserve">[W220.B] </v>
      </c>
    </row>
    <row r="575" spans="1:15" s="49" customFormat="1" ht="14.15" customHeight="1">
      <c r="A575" s="44"/>
      <c r="B575" s="11"/>
      <c r="C575" s="11" t="s">
        <v>18</v>
      </c>
      <c r="D575" s="45" t="s">
        <v>16</v>
      </c>
      <c r="E575" s="47"/>
      <c r="F575" s="12" t="s">
        <v>433</v>
      </c>
      <c r="G575" s="13" t="s">
        <v>7375</v>
      </c>
      <c r="H575" s="99" t="str">
        <f t="shared" si="33"/>
        <v>W220.C</v>
      </c>
      <c r="I575" s="13"/>
      <c r="J575" s="13"/>
      <c r="K575" s="13"/>
      <c r="L575" s="48"/>
      <c r="M575" s="49" t="str">
        <f t="shared" si="34"/>
        <v>[W220.C]</v>
      </c>
      <c r="N575" s="12" t="str">
        <f t="shared" si="35"/>
        <v xml:space="preserve"> </v>
      </c>
      <c r="O575" s="49" t="str">
        <f t="shared" si="36"/>
        <v xml:space="preserve">[W220.C] </v>
      </c>
    </row>
    <row r="576" spans="1:15" s="49" customFormat="1" ht="14.15" customHeight="1">
      <c r="A576" s="44"/>
      <c r="B576" s="11"/>
      <c r="C576" s="11" t="s">
        <v>18</v>
      </c>
      <c r="D576" s="45" t="s">
        <v>16</v>
      </c>
      <c r="E576" s="47"/>
      <c r="F576" s="12" t="s">
        <v>434</v>
      </c>
      <c r="G576" s="13" t="s">
        <v>7376</v>
      </c>
      <c r="H576" s="99" t="str">
        <f t="shared" si="33"/>
        <v>W220.D</v>
      </c>
      <c r="I576" s="13"/>
      <c r="J576" s="13"/>
      <c r="K576" s="13"/>
      <c r="L576" s="48"/>
      <c r="M576" s="49" t="str">
        <f t="shared" si="34"/>
        <v>[W220.D]</v>
      </c>
      <c r="N576" s="12" t="str">
        <f t="shared" si="35"/>
        <v xml:space="preserve"> </v>
      </c>
      <c r="O576" s="49" t="str">
        <f t="shared" si="36"/>
        <v xml:space="preserve">[W220.D] </v>
      </c>
    </row>
    <row r="577" spans="1:15" s="49" customFormat="1" ht="14.15" customHeight="1">
      <c r="A577" s="44"/>
      <c r="B577" s="11"/>
      <c r="C577" s="11" t="s">
        <v>18</v>
      </c>
      <c r="D577" s="45" t="s">
        <v>16</v>
      </c>
      <c r="E577" s="47"/>
      <c r="F577" s="12" t="s">
        <v>435</v>
      </c>
      <c r="G577" s="13" t="s">
        <v>7377</v>
      </c>
      <c r="H577" s="99" t="str">
        <f t="shared" si="33"/>
        <v>W220.E</v>
      </c>
      <c r="I577" s="13"/>
      <c r="J577" s="13"/>
      <c r="K577" s="13"/>
      <c r="L577" s="48"/>
      <c r="M577" s="49" t="str">
        <f t="shared" si="34"/>
        <v>[W220.E]</v>
      </c>
      <c r="N577" s="12" t="str">
        <f t="shared" si="35"/>
        <v xml:space="preserve"> </v>
      </c>
      <c r="O577" s="49" t="str">
        <f t="shared" si="36"/>
        <v xml:space="preserve">[W220.E] </v>
      </c>
    </row>
    <row r="578" spans="1:15" s="49" customFormat="1" ht="14.15" customHeight="1">
      <c r="A578" s="44"/>
      <c r="B578" s="11"/>
      <c r="C578" s="11" t="s">
        <v>18</v>
      </c>
      <c r="D578" s="45" t="s">
        <v>16</v>
      </c>
      <c r="E578" s="47"/>
      <c r="F578" s="12" t="s">
        <v>436</v>
      </c>
      <c r="G578" s="13" t="s">
        <v>7378</v>
      </c>
      <c r="H578" s="99" t="str">
        <f t="shared" si="33"/>
        <v>W220.F</v>
      </c>
      <c r="I578" s="13"/>
      <c r="J578" s="13"/>
      <c r="K578" s="13"/>
      <c r="L578" s="48"/>
      <c r="M578" s="49" t="str">
        <f t="shared" si="34"/>
        <v>[W220.F]</v>
      </c>
      <c r="N578" s="12" t="str">
        <f t="shared" si="35"/>
        <v xml:space="preserve"> </v>
      </c>
      <c r="O578" s="49" t="str">
        <f t="shared" si="36"/>
        <v xml:space="preserve">[W220.F] </v>
      </c>
    </row>
    <row r="579" spans="1:15" s="49" customFormat="1" ht="14.15" customHeight="1">
      <c r="A579" s="44"/>
      <c r="B579" s="11"/>
      <c r="C579" s="11" t="s">
        <v>18</v>
      </c>
      <c r="D579" s="45" t="s">
        <v>16</v>
      </c>
      <c r="E579" s="47"/>
      <c r="F579" s="12" t="s">
        <v>437</v>
      </c>
      <c r="G579" s="13" t="s">
        <v>7379</v>
      </c>
      <c r="H579" s="99" t="str">
        <f t="shared" si="33"/>
        <v>W221.0</v>
      </c>
      <c r="I579" s="13"/>
      <c r="J579" s="13"/>
      <c r="K579" s="13"/>
      <c r="L579" s="48"/>
      <c r="M579" s="49" t="str">
        <f t="shared" si="34"/>
        <v>[W221.0]</v>
      </c>
      <c r="N579" s="12" t="str">
        <f t="shared" si="35"/>
        <v xml:space="preserve"> </v>
      </c>
      <c r="O579" s="49" t="str">
        <f t="shared" si="36"/>
        <v xml:space="preserve">[W221.0] </v>
      </c>
    </row>
    <row r="580" spans="1:15" s="49" customFormat="1" ht="14.15" customHeight="1">
      <c r="A580" s="44"/>
      <c r="B580" s="11"/>
      <c r="C580" s="11" t="s">
        <v>18</v>
      </c>
      <c r="D580" s="45" t="s">
        <v>16</v>
      </c>
      <c r="E580" s="47"/>
      <c r="F580" s="12" t="s">
        <v>438</v>
      </c>
      <c r="G580" s="13" t="s">
        <v>7380</v>
      </c>
      <c r="H580" s="99" t="str">
        <f t="shared" si="33"/>
        <v>W221.1</v>
      </c>
      <c r="I580" s="13"/>
      <c r="J580" s="13"/>
      <c r="K580" s="13"/>
      <c r="L580" s="48"/>
      <c r="M580" s="49" t="str">
        <f t="shared" si="34"/>
        <v>[W221.1]</v>
      </c>
      <c r="N580" s="12" t="str">
        <f t="shared" si="35"/>
        <v xml:space="preserve"> </v>
      </c>
      <c r="O580" s="49" t="str">
        <f t="shared" si="36"/>
        <v xml:space="preserve">[W221.1] </v>
      </c>
    </row>
    <row r="581" spans="1:15" s="49" customFormat="1" ht="14.15" customHeight="1">
      <c r="A581" s="44"/>
      <c r="B581" s="11"/>
      <c r="C581" s="11" t="s">
        <v>18</v>
      </c>
      <c r="D581" s="45" t="s">
        <v>16</v>
      </c>
      <c r="E581" s="47"/>
      <c r="F581" s="12" t="s">
        <v>439</v>
      </c>
      <c r="G581" s="13" t="s">
        <v>7381</v>
      </c>
      <c r="H581" s="99" t="str">
        <f t="shared" si="33"/>
        <v>W221.2</v>
      </c>
      <c r="I581" s="13"/>
      <c r="J581" s="13"/>
      <c r="K581" s="13"/>
      <c r="L581" s="48"/>
      <c r="M581" s="49" t="str">
        <f t="shared" si="34"/>
        <v>[W221.2]</v>
      </c>
      <c r="N581" s="12" t="str">
        <f t="shared" si="35"/>
        <v xml:space="preserve"> </v>
      </c>
      <c r="O581" s="49" t="str">
        <f t="shared" si="36"/>
        <v xml:space="preserve">[W221.2] </v>
      </c>
    </row>
    <row r="582" spans="1:15" s="49" customFormat="1" ht="14.15" customHeight="1">
      <c r="A582" s="44"/>
      <c r="B582" s="11"/>
      <c r="C582" s="11" t="s">
        <v>18</v>
      </c>
      <c r="D582" s="45" t="s">
        <v>16</v>
      </c>
      <c r="E582" s="47"/>
      <c r="F582" s="12" t="s">
        <v>440</v>
      </c>
      <c r="G582" s="13" t="s">
        <v>7382</v>
      </c>
      <c r="H582" s="99" t="str">
        <f t="shared" si="33"/>
        <v>W221.3</v>
      </c>
      <c r="I582" s="13"/>
      <c r="J582" s="13"/>
      <c r="K582" s="13"/>
      <c r="L582" s="48"/>
      <c r="M582" s="49" t="str">
        <f t="shared" si="34"/>
        <v>[W221.3]</v>
      </c>
      <c r="N582" s="12" t="str">
        <f t="shared" si="35"/>
        <v xml:space="preserve"> </v>
      </c>
      <c r="O582" s="49" t="str">
        <f t="shared" si="36"/>
        <v xml:space="preserve">[W221.3] </v>
      </c>
    </row>
    <row r="583" spans="1:15" s="49" customFormat="1" ht="14.15" customHeight="1">
      <c r="A583" s="44"/>
      <c r="B583" s="11"/>
      <c r="C583" s="11" t="s">
        <v>18</v>
      </c>
      <c r="D583" s="45" t="s">
        <v>16</v>
      </c>
      <c r="E583" s="47"/>
      <c r="F583" s="12" t="s">
        <v>441</v>
      </c>
      <c r="G583" s="13" t="s">
        <v>7383</v>
      </c>
      <c r="H583" s="99" t="str">
        <f t="shared" si="33"/>
        <v>W221.4</v>
      </c>
      <c r="I583" s="13"/>
      <c r="J583" s="13"/>
      <c r="K583" s="13"/>
      <c r="L583" s="48"/>
      <c r="M583" s="49" t="str">
        <f t="shared" si="34"/>
        <v>[W221.4]</v>
      </c>
      <c r="N583" s="12" t="str">
        <f t="shared" si="35"/>
        <v xml:space="preserve"> </v>
      </c>
      <c r="O583" s="49" t="str">
        <f t="shared" si="36"/>
        <v xml:space="preserve">[W221.4] </v>
      </c>
    </row>
    <row r="584" spans="1:15" s="49" customFormat="1" ht="14.15" customHeight="1">
      <c r="A584" s="44"/>
      <c r="B584" s="11"/>
      <c r="C584" s="11" t="s">
        <v>18</v>
      </c>
      <c r="D584" s="45" t="s">
        <v>16</v>
      </c>
      <c r="E584" s="47"/>
      <c r="F584" s="12" t="s">
        <v>442</v>
      </c>
      <c r="G584" s="13" t="s">
        <v>7384</v>
      </c>
      <c r="H584" s="99" t="str">
        <f t="shared" si="33"/>
        <v>W221.5</v>
      </c>
      <c r="I584" s="13"/>
      <c r="J584" s="13"/>
      <c r="K584" s="13"/>
      <c r="L584" s="48"/>
      <c r="M584" s="49" t="str">
        <f t="shared" si="34"/>
        <v>[W221.5]</v>
      </c>
      <c r="N584" s="12" t="str">
        <f t="shared" si="35"/>
        <v xml:space="preserve"> </v>
      </c>
      <c r="O584" s="49" t="str">
        <f t="shared" si="36"/>
        <v xml:space="preserve">[W221.5] </v>
      </c>
    </row>
    <row r="585" spans="1:15" s="49" customFormat="1" ht="14.15" customHeight="1">
      <c r="A585" s="44"/>
      <c r="B585" s="11"/>
      <c r="C585" s="11" t="s">
        <v>18</v>
      </c>
      <c r="D585" s="45" t="s">
        <v>16</v>
      </c>
      <c r="E585" s="47"/>
      <c r="F585" s="12" t="s">
        <v>443</v>
      </c>
      <c r="G585" s="13" t="s">
        <v>7385</v>
      </c>
      <c r="H585" s="99" t="str">
        <f t="shared" si="33"/>
        <v>W221.6</v>
      </c>
      <c r="I585" s="13"/>
      <c r="J585" s="13"/>
      <c r="K585" s="13"/>
      <c r="L585" s="48"/>
      <c r="M585" s="49" t="str">
        <f t="shared" si="34"/>
        <v>[W221.6]</v>
      </c>
      <c r="N585" s="12" t="str">
        <f t="shared" si="35"/>
        <v xml:space="preserve"> </v>
      </c>
      <c r="O585" s="49" t="str">
        <f t="shared" si="36"/>
        <v xml:space="preserve">[W221.6] </v>
      </c>
    </row>
    <row r="586" spans="1:15" s="49" customFormat="1" ht="14.15" customHeight="1">
      <c r="A586" s="44"/>
      <c r="B586" s="11"/>
      <c r="C586" s="11" t="s">
        <v>18</v>
      </c>
      <c r="D586" s="45" t="s">
        <v>16</v>
      </c>
      <c r="E586" s="47"/>
      <c r="F586" s="12" t="s">
        <v>444</v>
      </c>
      <c r="G586" s="13" t="s">
        <v>7386</v>
      </c>
      <c r="H586" s="99" t="str">
        <f t="shared" si="33"/>
        <v>W221.7</v>
      </c>
      <c r="I586" s="13"/>
      <c r="J586" s="13"/>
      <c r="K586" s="13"/>
      <c r="L586" s="48"/>
      <c r="M586" s="49" t="str">
        <f t="shared" si="34"/>
        <v>[W221.7]</v>
      </c>
      <c r="N586" s="12" t="str">
        <f t="shared" si="35"/>
        <v xml:space="preserve"> </v>
      </c>
      <c r="O586" s="49" t="str">
        <f t="shared" si="36"/>
        <v xml:space="preserve">[W221.7] </v>
      </c>
    </row>
    <row r="587" spans="1:15" s="49" customFormat="1" ht="14.15" customHeight="1">
      <c r="A587" s="44"/>
      <c r="B587" s="11"/>
      <c r="C587" s="11" t="s">
        <v>18</v>
      </c>
      <c r="D587" s="45" t="s">
        <v>16</v>
      </c>
      <c r="E587" s="47"/>
      <c r="F587" s="12" t="s">
        <v>445</v>
      </c>
      <c r="G587" s="13" t="s">
        <v>7387</v>
      </c>
      <c r="H587" s="99" t="str">
        <f t="shared" si="33"/>
        <v>W221.8</v>
      </c>
      <c r="I587" s="13"/>
      <c r="J587" s="13"/>
      <c r="K587" s="13"/>
      <c r="L587" s="48"/>
      <c r="M587" s="49" t="str">
        <f t="shared" si="34"/>
        <v>[W221.8]</v>
      </c>
      <c r="N587" s="12" t="str">
        <f t="shared" si="35"/>
        <v xml:space="preserve"> </v>
      </c>
      <c r="O587" s="49" t="str">
        <f t="shared" si="36"/>
        <v xml:space="preserve">[W221.8] </v>
      </c>
    </row>
    <row r="588" spans="1:15" s="49" customFormat="1" ht="14.15" customHeight="1">
      <c r="A588" s="44"/>
      <c r="B588" s="11"/>
      <c r="C588" s="11" t="s">
        <v>18</v>
      </c>
      <c r="D588" s="45" t="s">
        <v>16</v>
      </c>
      <c r="E588" s="47"/>
      <c r="F588" s="12" t="s">
        <v>446</v>
      </c>
      <c r="G588" s="13" t="s">
        <v>7388</v>
      </c>
      <c r="H588" s="99" t="str">
        <f t="shared" si="33"/>
        <v>W221.9</v>
      </c>
      <c r="I588" s="13"/>
      <c r="J588" s="13"/>
      <c r="K588" s="13"/>
      <c r="L588" s="48"/>
      <c r="M588" s="49" t="str">
        <f t="shared" si="34"/>
        <v>[W221.9]</v>
      </c>
      <c r="N588" s="12" t="str">
        <f t="shared" si="35"/>
        <v xml:space="preserve"> </v>
      </c>
      <c r="O588" s="49" t="str">
        <f t="shared" si="36"/>
        <v xml:space="preserve">[W221.9] </v>
      </c>
    </row>
    <row r="589" spans="1:15" s="49" customFormat="1" ht="14.15" customHeight="1">
      <c r="A589" s="44"/>
      <c r="B589" s="11"/>
      <c r="C589" s="11" t="s">
        <v>18</v>
      </c>
      <c r="D589" s="45" t="s">
        <v>16</v>
      </c>
      <c r="E589" s="47"/>
      <c r="F589" s="12" t="s">
        <v>447</v>
      </c>
      <c r="G589" s="13" t="s">
        <v>7389</v>
      </c>
      <c r="H589" s="99" t="str">
        <f t="shared" si="33"/>
        <v>W221.A</v>
      </c>
      <c r="I589" s="13"/>
      <c r="J589" s="13"/>
      <c r="K589" s="13"/>
      <c r="L589" s="48"/>
      <c r="M589" s="49" t="str">
        <f t="shared" si="34"/>
        <v>[W221.A]</v>
      </c>
      <c r="N589" s="12" t="str">
        <f t="shared" si="35"/>
        <v xml:space="preserve"> </v>
      </c>
      <c r="O589" s="49" t="str">
        <f t="shared" si="36"/>
        <v xml:space="preserve">[W221.A] </v>
      </c>
    </row>
    <row r="590" spans="1:15" s="49" customFormat="1" ht="14.15" customHeight="1">
      <c r="A590" s="44"/>
      <c r="B590" s="11"/>
      <c r="C590" s="11" t="s">
        <v>18</v>
      </c>
      <c r="D590" s="45" t="s">
        <v>16</v>
      </c>
      <c r="E590" s="47"/>
      <c r="F590" s="12" t="s">
        <v>448</v>
      </c>
      <c r="G590" s="13" t="s">
        <v>7390</v>
      </c>
      <c r="H590" s="99" t="str">
        <f t="shared" si="33"/>
        <v>W221.B</v>
      </c>
      <c r="I590" s="13"/>
      <c r="J590" s="13"/>
      <c r="K590" s="13"/>
      <c r="L590" s="48"/>
      <c r="M590" s="49" t="str">
        <f t="shared" si="34"/>
        <v>[W221.B]</v>
      </c>
      <c r="N590" s="12" t="str">
        <f t="shared" si="35"/>
        <v xml:space="preserve"> </v>
      </c>
      <c r="O590" s="49" t="str">
        <f t="shared" si="36"/>
        <v xml:space="preserve">[W221.B] </v>
      </c>
    </row>
    <row r="591" spans="1:15" s="49" customFormat="1" ht="14.15" customHeight="1">
      <c r="A591" s="44"/>
      <c r="B591" s="11"/>
      <c r="C591" s="11" t="s">
        <v>18</v>
      </c>
      <c r="D591" s="45" t="s">
        <v>16</v>
      </c>
      <c r="E591" s="47"/>
      <c r="F591" s="12" t="s">
        <v>449</v>
      </c>
      <c r="G591" s="13" t="s">
        <v>7391</v>
      </c>
      <c r="H591" s="99" t="str">
        <f t="shared" si="33"/>
        <v>W221.C</v>
      </c>
      <c r="I591" s="13"/>
      <c r="J591" s="13"/>
      <c r="K591" s="13"/>
      <c r="L591" s="48"/>
      <c r="M591" s="49" t="str">
        <f t="shared" si="34"/>
        <v>[W221.C]</v>
      </c>
      <c r="N591" s="12" t="str">
        <f t="shared" si="35"/>
        <v xml:space="preserve"> </v>
      </c>
      <c r="O591" s="49" t="str">
        <f t="shared" si="36"/>
        <v xml:space="preserve">[W221.C] </v>
      </c>
    </row>
    <row r="592" spans="1:15" s="49" customFormat="1" ht="14.15" customHeight="1">
      <c r="A592" s="44"/>
      <c r="B592" s="11"/>
      <c r="C592" s="11" t="s">
        <v>18</v>
      </c>
      <c r="D592" s="45" t="s">
        <v>16</v>
      </c>
      <c r="E592" s="47"/>
      <c r="F592" s="12" t="s">
        <v>450</v>
      </c>
      <c r="G592" s="13" t="s">
        <v>7392</v>
      </c>
      <c r="H592" s="99" t="str">
        <f t="shared" si="33"/>
        <v>W221.D</v>
      </c>
      <c r="I592" s="13"/>
      <c r="J592" s="13"/>
      <c r="K592" s="13"/>
      <c r="L592" s="48"/>
      <c r="M592" s="49" t="str">
        <f t="shared" si="34"/>
        <v>[W221.D]</v>
      </c>
      <c r="N592" s="12" t="str">
        <f t="shared" si="35"/>
        <v xml:space="preserve"> </v>
      </c>
      <c r="O592" s="49" t="str">
        <f t="shared" si="36"/>
        <v xml:space="preserve">[W221.D] </v>
      </c>
    </row>
    <row r="593" spans="1:15" s="49" customFormat="1" ht="14.15" customHeight="1">
      <c r="A593" s="44"/>
      <c r="B593" s="11"/>
      <c r="C593" s="11" t="s">
        <v>18</v>
      </c>
      <c r="D593" s="45" t="s">
        <v>16</v>
      </c>
      <c r="E593" s="47"/>
      <c r="F593" s="12" t="s">
        <v>451</v>
      </c>
      <c r="G593" s="13" t="s">
        <v>7393</v>
      </c>
      <c r="H593" s="99" t="str">
        <f t="shared" si="33"/>
        <v>W221.E</v>
      </c>
      <c r="I593" s="13"/>
      <c r="J593" s="13"/>
      <c r="K593" s="13"/>
      <c r="L593" s="48"/>
      <c r="M593" s="49" t="str">
        <f t="shared" si="34"/>
        <v>[W221.E]</v>
      </c>
      <c r="N593" s="12" t="str">
        <f t="shared" si="35"/>
        <v xml:space="preserve"> </v>
      </c>
      <c r="O593" s="49" t="str">
        <f t="shared" si="36"/>
        <v xml:space="preserve">[W221.E] </v>
      </c>
    </row>
    <row r="594" spans="1:15" s="49" customFormat="1" ht="14.15" customHeight="1">
      <c r="A594" s="44"/>
      <c r="B594" s="11"/>
      <c r="C594" s="11" t="s">
        <v>18</v>
      </c>
      <c r="D594" s="45" t="s">
        <v>16</v>
      </c>
      <c r="E594" s="47"/>
      <c r="F594" s="12" t="s">
        <v>452</v>
      </c>
      <c r="G594" s="13" t="s">
        <v>7394</v>
      </c>
      <c r="H594" s="99" t="str">
        <f t="shared" si="33"/>
        <v>W221.F</v>
      </c>
      <c r="I594" s="13"/>
      <c r="J594" s="13"/>
      <c r="K594" s="13"/>
      <c r="L594" s="48"/>
      <c r="M594" s="49" t="str">
        <f t="shared" si="34"/>
        <v>[W221.F]</v>
      </c>
      <c r="N594" s="12" t="str">
        <f t="shared" si="35"/>
        <v xml:space="preserve"> </v>
      </c>
      <c r="O594" s="49" t="str">
        <f t="shared" si="36"/>
        <v xml:space="preserve">[W221.F] </v>
      </c>
    </row>
    <row r="595" spans="1:15" s="49" customFormat="1" ht="14.15" customHeight="1">
      <c r="A595" s="44"/>
      <c r="B595" s="11"/>
      <c r="C595" s="11" t="s">
        <v>18</v>
      </c>
      <c r="D595" s="45" t="s">
        <v>16</v>
      </c>
      <c r="E595" s="46"/>
      <c r="F595" s="12" t="s">
        <v>453</v>
      </c>
      <c r="G595" s="13" t="s">
        <v>7395</v>
      </c>
      <c r="H595" s="99" t="str">
        <f t="shared" si="33"/>
        <v>W222.0</v>
      </c>
      <c r="I595" s="13"/>
      <c r="J595" s="13"/>
      <c r="K595" s="13"/>
      <c r="L595" s="48"/>
      <c r="M595" s="49" t="str">
        <f t="shared" si="34"/>
        <v>[W222.0]</v>
      </c>
      <c r="N595" s="12" t="str">
        <f t="shared" si="35"/>
        <v xml:space="preserve"> </v>
      </c>
      <c r="O595" s="49" t="str">
        <f t="shared" si="36"/>
        <v xml:space="preserve">[W222.0] </v>
      </c>
    </row>
    <row r="596" spans="1:15" s="49" customFormat="1" ht="14.15" customHeight="1">
      <c r="A596" s="44"/>
      <c r="B596" s="11"/>
      <c r="C596" s="11" t="s">
        <v>18</v>
      </c>
      <c r="D596" s="45" t="s">
        <v>16</v>
      </c>
      <c r="E596" s="47"/>
      <c r="F596" s="12" t="s">
        <v>454</v>
      </c>
      <c r="G596" s="13" t="s">
        <v>7396</v>
      </c>
      <c r="H596" s="99" t="str">
        <f t="shared" si="33"/>
        <v>W222.1</v>
      </c>
      <c r="I596" s="13"/>
      <c r="J596" s="13"/>
      <c r="K596" s="13"/>
      <c r="L596" s="48"/>
      <c r="M596" s="49" t="str">
        <f t="shared" si="34"/>
        <v>[W222.1]</v>
      </c>
      <c r="N596" s="12" t="str">
        <f t="shared" si="35"/>
        <v xml:space="preserve"> </v>
      </c>
      <c r="O596" s="49" t="str">
        <f t="shared" si="36"/>
        <v xml:space="preserve">[W222.1] </v>
      </c>
    </row>
    <row r="597" spans="1:15" s="49" customFormat="1" ht="14.15" customHeight="1">
      <c r="A597" s="44"/>
      <c r="B597" s="11"/>
      <c r="C597" s="11" t="s">
        <v>18</v>
      </c>
      <c r="D597" s="45" t="s">
        <v>16</v>
      </c>
      <c r="E597" s="46"/>
      <c r="F597" s="12" t="s">
        <v>455</v>
      </c>
      <c r="G597" s="13" t="s">
        <v>7397</v>
      </c>
      <c r="H597" s="99" t="str">
        <f t="shared" si="33"/>
        <v>W222.2</v>
      </c>
      <c r="I597" s="13"/>
      <c r="J597" s="13"/>
      <c r="K597" s="13"/>
      <c r="L597" s="48"/>
      <c r="M597" s="49" t="str">
        <f t="shared" si="34"/>
        <v>[W222.2]</v>
      </c>
      <c r="N597" s="12" t="str">
        <f t="shared" si="35"/>
        <v xml:space="preserve"> </v>
      </c>
      <c r="O597" s="49" t="str">
        <f t="shared" si="36"/>
        <v xml:space="preserve">[W222.2] </v>
      </c>
    </row>
    <row r="598" spans="1:15" s="49" customFormat="1" ht="14.15" customHeight="1">
      <c r="A598" s="44"/>
      <c r="B598" s="11"/>
      <c r="C598" s="11" t="s">
        <v>18</v>
      </c>
      <c r="D598" s="45" t="s">
        <v>16</v>
      </c>
      <c r="E598" s="46"/>
      <c r="F598" s="12" t="s">
        <v>456</v>
      </c>
      <c r="G598" s="13" t="s">
        <v>7398</v>
      </c>
      <c r="H598" s="99" t="str">
        <f t="shared" si="33"/>
        <v>W222.3</v>
      </c>
      <c r="I598" s="13"/>
      <c r="J598" s="13"/>
      <c r="K598" s="13"/>
      <c r="L598" s="48"/>
      <c r="M598" s="49" t="str">
        <f t="shared" si="34"/>
        <v>[W222.3]</v>
      </c>
      <c r="N598" s="12" t="str">
        <f t="shared" si="35"/>
        <v xml:space="preserve"> </v>
      </c>
      <c r="O598" s="49" t="str">
        <f t="shared" si="36"/>
        <v xml:space="preserve">[W222.3] </v>
      </c>
    </row>
    <row r="599" spans="1:15" s="49" customFormat="1" ht="14.15" customHeight="1">
      <c r="A599" s="44"/>
      <c r="B599" s="11"/>
      <c r="C599" s="11" t="s">
        <v>18</v>
      </c>
      <c r="D599" s="45" t="s">
        <v>16</v>
      </c>
      <c r="E599" s="46"/>
      <c r="F599" s="12" t="s">
        <v>457</v>
      </c>
      <c r="G599" s="13" t="s">
        <v>7399</v>
      </c>
      <c r="H599" s="99" t="str">
        <f t="shared" si="33"/>
        <v>W222.4</v>
      </c>
      <c r="I599" s="13"/>
      <c r="J599" s="13"/>
      <c r="K599" s="13"/>
      <c r="L599" s="48"/>
      <c r="M599" s="49" t="str">
        <f t="shared" si="34"/>
        <v>[W222.4]</v>
      </c>
      <c r="N599" s="12" t="str">
        <f t="shared" si="35"/>
        <v xml:space="preserve"> </v>
      </c>
      <c r="O599" s="49" t="str">
        <f t="shared" si="36"/>
        <v xml:space="preserve">[W222.4] </v>
      </c>
    </row>
    <row r="600" spans="1:15" s="49" customFormat="1" ht="14.15" customHeight="1">
      <c r="A600" s="44"/>
      <c r="B600" s="11"/>
      <c r="C600" s="11" t="s">
        <v>18</v>
      </c>
      <c r="D600" s="45" t="s">
        <v>16</v>
      </c>
      <c r="E600" s="46"/>
      <c r="F600" s="12" t="s">
        <v>458</v>
      </c>
      <c r="G600" s="13" t="s">
        <v>7400</v>
      </c>
      <c r="H600" s="99" t="str">
        <f t="shared" si="33"/>
        <v>W222.5</v>
      </c>
      <c r="I600" s="13"/>
      <c r="J600" s="13"/>
      <c r="K600" s="13"/>
      <c r="L600" s="48"/>
      <c r="M600" s="49" t="str">
        <f t="shared" si="34"/>
        <v>[W222.5]</v>
      </c>
      <c r="N600" s="12" t="str">
        <f t="shared" si="35"/>
        <v xml:space="preserve"> </v>
      </c>
      <c r="O600" s="49" t="str">
        <f t="shared" si="36"/>
        <v xml:space="preserve">[W222.5] </v>
      </c>
    </row>
    <row r="601" spans="1:15" s="49" customFormat="1" ht="14.15" customHeight="1">
      <c r="A601" s="44"/>
      <c r="B601" s="11"/>
      <c r="C601" s="11" t="s">
        <v>18</v>
      </c>
      <c r="D601" s="45" t="s">
        <v>16</v>
      </c>
      <c r="E601" s="46"/>
      <c r="F601" s="12" t="s">
        <v>459</v>
      </c>
      <c r="G601" s="13" t="s">
        <v>7401</v>
      </c>
      <c r="H601" s="99" t="str">
        <f t="shared" si="33"/>
        <v>W222.6</v>
      </c>
      <c r="I601" s="13"/>
      <c r="J601" s="13"/>
      <c r="K601" s="13"/>
      <c r="L601" s="48"/>
      <c r="M601" s="49" t="str">
        <f t="shared" si="34"/>
        <v>[W222.6]</v>
      </c>
      <c r="N601" s="12" t="str">
        <f t="shared" si="35"/>
        <v xml:space="preserve"> </v>
      </c>
      <c r="O601" s="49" t="str">
        <f t="shared" si="36"/>
        <v xml:space="preserve">[W222.6] </v>
      </c>
    </row>
    <row r="602" spans="1:15" s="49" customFormat="1" ht="14.15" customHeight="1">
      <c r="A602" s="44"/>
      <c r="B602" s="11"/>
      <c r="C602" s="11" t="s">
        <v>18</v>
      </c>
      <c r="D602" s="45" t="s">
        <v>16</v>
      </c>
      <c r="E602" s="46"/>
      <c r="F602" s="12" t="s">
        <v>460</v>
      </c>
      <c r="G602" s="13" t="s">
        <v>7402</v>
      </c>
      <c r="H602" s="99" t="str">
        <f t="shared" si="33"/>
        <v>W222.7</v>
      </c>
      <c r="I602" s="13"/>
      <c r="J602" s="13"/>
      <c r="K602" s="13"/>
      <c r="L602" s="48"/>
      <c r="M602" s="49" t="str">
        <f t="shared" si="34"/>
        <v>[W222.7]</v>
      </c>
      <c r="N602" s="12" t="str">
        <f t="shared" si="35"/>
        <v xml:space="preserve"> </v>
      </c>
      <c r="O602" s="49" t="str">
        <f t="shared" si="36"/>
        <v xml:space="preserve">[W222.7] </v>
      </c>
    </row>
    <row r="603" spans="1:15" s="49" customFormat="1" ht="14.15" customHeight="1">
      <c r="A603" s="44"/>
      <c r="B603" s="11"/>
      <c r="C603" s="11" t="s">
        <v>18</v>
      </c>
      <c r="D603" s="45" t="s">
        <v>16</v>
      </c>
      <c r="E603" s="46"/>
      <c r="F603" s="12" t="s">
        <v>461</v>
      </c>
      <c r="G603" s="13" t="s">
        <v>7403</v>
      </c>
      <c r="H603" s="99" t="str">
        <f t="shared" si="33"/>
        <v>W222.8</v>
      </c>
      <c r="I603" s="13"/>
      <c r="J603" s="13"/>
      <c r="K603" s="13"/>
      <c r="L603" s="48"/>
      <c r="M603" s="49" t="str">
        <f t="shared" si="34"/>
        <v>[W222.8]</v>
      </c>
      <c r="N603" s="12" t="str">
        <f t="shared" si="35"/>
        <v xml:space="preserve"> </v>
      </c>
      <c r="O603" s="49" t="str">
        <f t="shared" si="36"/>
        <v xml:space="preserve">[W222.8] </v>
      </c>
    </row>
    <row r="604" spans="1:15" s="49" customFormat="1" ht="14.15" customHeight="1">
      <c r="A604" s="44"/>
      <c r="B604" s="11"/>
      <c r="C604" s="11" t="s">
        <v>18</v>
      </c>
      <c r="D604" s="45" t="s">
        <v>16</v>
      </c>
      <c r="E604" s="46"/>
      <c r="F604" s="12" t="s">
        <v>462</v>
      </c>
      <c r="G604" s="13" t="s">
        <v>7404</v>
      </c>
      <c r="H604" s="99" t="str">
        <f t="shared" si="33"/>
        <v>W222.9</v>
      </c>
      <c r="I604" s="13"/>
      <c r="J604" s="13"/>
      <c r="K604" s="13"/>
      <c r="L604" s="48"/>
      <c r="M604" s="49" t="str">
        <f t="shared" si="34"/>
        <v>[W222.9]</v>
      </c>
      <c r="N604" s="12" t="str">
        <f t="shared" si="35"/>
        <v xml:space="preserve"> </v>
      </c>
      <c r="O604" s="49" t="str">
        <f t="shared" si="36"/>
        <v xml:space="preserve">[W222.9] </v>
      </c>
    </row>
    <row r="605" spans="1:15" s="49" customFormat="1" ht="14.15" customHeight="1">
      <c r="A605" s="44"/>
      <c r="B605" s="11"/>
      <c r="C605" s="11" t="s">
        <v>18</v>
      </c>
      <c r="D605" s="45" t="s">
        <v>16</v>
      </c>
      <c r="E605" s="46"/>
      <c r="F605" s="14" t="s">
        <v>463</v>
      </c>
      <c r="G605" s="13" t="s">
        <v>7405</v>
      </c>
      <c r="H605" s="99" t="str">
        <f t="shared" si="33"/>
        <v>W222.A</v>
      </c>
      <c r="I605" s="13"/>
      <c r="J605" s="13"/>
      <c r="K605" s="13"/>
      <c r="L605" s="48"/>
      <c r="M605" s="49" t="str">
        <f t="shared" si="34"/>
        <v>[W222.A]</v>
      </c>
      <c r="N605" s="12" t="str">
        <f t="shared" si="35"/>
        <v xml:space="preserve"> </v>
      </c>
      <c r="O605" s="49" t="str">
        <f t="shared" si="36"/>
        <v xml:space="preserve">[W222.A] </v>
      </c>
    </row>
    <row r="606" spans="1:15" s="49" customFormat="1" ht="14.15" customHeight="1">
      <c r="A606" s="44"/>
      <c r="B606" s="11"/>
      <c r="C606" s="11" t="s">
        <v>18</v>
      </c>
      <c r="D606" s="45" t="s">
        <v>16</v>
      </c>
      <c r="E606" s="46"/>
      <c r="F606" s="14" t="s">
        <v>464</v>
      </c>
      <c r="G606" s="13" t="s">
        <v>7406</v>
      </c>
      <c r="H606" s="99" t="str">
        <f t="shared" si="33"/>
        <v>W222.B</v>
      </c>
      <c r="I606" s="13"/>
      <c r="J606" s="13"/>
      <c r="K606" s="13"/>
      <c r="L606" s="48"/>
      <c r="M606" s="49" t="str">
        <f t="shared" si="34"/>
        <v>[W222.B]</v>
      </c>
      <c r="N606" s="12" t="str">
        <f t="shared" si="35"/>
        <v xml:space="preserve"> </v>
      </c>
      <c r="O606" s="49" t="str">
        <f t="shared" si="36"/>
        <v xml:space="preserve">[W222.B] </v>
      </c>
    </row>
    <row r="607" spans="1:15" s="49" customFormat="1" ht="14.15" customHeight="1">
      <c r="A607" s="44"/>
      <c r="B607" s="11"/>
      <c r="C607" s="11" t="s">
        <v>18</v>
      </c>
      <c r="D607" s="45" t="s">
        <v>16</v>
      </c>
      <c r="E607" s="46"/>
      <c r="F607" s="14" t="s">
        <v>465</v>
      </c>
      <c r="G607" s="13" t="s">
        <v>7407</v>
      </c>
      <c r="H607" s="99" t="str">
        <f t="shared" si="33"/>
        <v>W222.C</v>
      </c>
      <c r="I607" s="13"/>
      <c r="J607" s="13"/>
      <c r="K607" s="13"/>
      <c r="L607" s="48"/>
      <c r="M607" s="49" t="str">
        <f t="shared" si="34"/>
        <v>[W222.C]</v>
      </c>
      <c r="N607" s="12" t="str">
        <f t="shared" si="35"/>
        <v xml:space="preserve"> </v>
      </c>
      <c r="O607" s="49" t="str">
        <f t="shared" si="36"/>
        <v xml:space="preserve">[W222.C] </v>
      </c>
    </row>
    <row r="608" spans="1:15" s="49" customFormat="1" ht="14.15" customHeight="1">
      <c r="A608" s="44"/>
      <c r="B608" s="11"/>
      <c r="C608" s="11" t="s">
        <v>18</v>
      </c>
      <c r="D608" s="45" t="s">
        <v>16</v>
      </c>
      <c r="E608" s="46"/>
      <c r="F608" s="14" t="s">
        <v>466</v>
      </c>
      <c r="G608" s="13" t="s">
        <v>7408</v>
      </c>
      <c r="H608" s="99" t="str">
        <f t="shared" si="33"/>
        <v>W222.D</v>
      </c>
      <c r="I608" s="13"/>
      <c r="J608" s="13"/>
      <c r="K608" s="13"/>
      <c r="L608" s="48"/>
      <c r="M608" s="49" t="str">
        <f t="shared" si="34"/>
        <v>[W222.D]</v>
      </c>
      <c r="N608" s="12" t="str">
        <f t="shared" si="35"/>
        <v xml:space="preserve"> </v>
      </c>
      <c r="O608" s="49" t="str">
        <f t="shared" si="36"/>
        <v xml:space="preserve">[W222.D] </v>
      </c>
    </row>
    <row r="609" spans="1:15" s="49" customFormat="1" ht="14.15" customHeight="1">
      <c r="A609" s="44"/>
      <c r="B609" s="11"/>
      <c r="C609" s="11" t="s">
        <v>18</v>
      </c>
      <c r="D609" s="45" t="s">
        <v>16</v>
      </c>
      <c r="E609" s="46"/>
      <c r="F609" s="14" t="s">
        <v>467</v>
      </c>
      <c r="G609" s="13" t="s">
        <v>7409</v>
      </c>
      <c r="H609" s="99" t="str">
        <f t="shared" si="33"/>
        <v>W222.E</v>
      </c>
      <c r="I609" s="13"/>
      <c r="J609" s="13"/>
      <c r="K609" s="13"/>
      <c r="L609" s="48"/>
      <c r="M609" s="49" t="str">
        <f t="shared" si="34"/>
        <v>[W222.E]</v>
      </c>
      <c r="N609" s="12" t="str">
        <f t="shared" si="35"/>
        <v xml:space="preserve"> </v>
      </c>
      <c r="O609" s="49" t="str">
        <f t="shared" si="36"/>
        <v xml:space="preserve">[W222.E] </v>
      </c>
    </row>
    <row r="610" spans="1:15" s="49" customFormat="1" ht="14.15" customHeight="1">
      <c r="A610" s="44"/>
      <c r="B610" s="11"/>
      <c r="C610" s="11" t="s">
        <v>18</v>
      </c>
      <c r="D610" s="45" t="s">
        <v>16</v>
      </c>
      <c r="E610" s="46"/>
      <c r="F610" s="14" t="s">
        <v>468</v>
      </c>
      <c r="G610" s="13" t="s">
        <v>7410</v>
      </c>
      <c r="H610" s="99" t="str">
        <f t="shared" si="33"/>
        <v>W222.F</v>
      </c>
      <c r="I610" s="13"/>
      <c r="J610" s="13"/>
      <c r="K610" s="13"/>
      <c r="L610" s="48"/>
      <c r="M610" s="49" t="str">
        <f t="shared" si="34"/>
        <v>[W222.F]</v>
      </c>
      <c r="N610" s="12" t="str">
        <f t="shared" si="35"/>
        <v xml:space="preserve"> </v>
      </c>
      <c r="O610" s="49" t="str">
        <f t="shared" si="36"/>
        <v xml:space="preserve">[W222.F] </v>
      </c>
    </row>
    <row r="611" spans="1:15" s="49" customFormat="1" ht="14.15" customHeight="1">
      <c r="A611" s="44"/>
      <c r="B611" s="11"/>
      <c r="C611" s="11" t="s">
        <v>18</v>
      </c>
      <c r="D611" s="45" t="s">
        <v>16</v>
      </c>
      <c r="E611" s="46"/>
      <c r="F611" s="14" t="s">
        <v>469</v>
      </c>
      <c r="G611" s="13" t="s">
        <v>7411</v>
      </c>
      <c r="H611" s="99" t="str">
        <f t="shared" si="33"/>
        <v>W223.0</v>
      </c>
      <c r="I611" s="13"/>
      <c r="J611" s="13"/>
      <c r="K611" s="13"/>
      <c r="L611" s="48"/>
      <c r="M611" s="49" t="str">
        <f t="shared" si="34"/>
        <v>[W223.0]</v>
      </c>
      <c r="N611" s="12" t="str">
        <f t="shared" si="35"/>
        <v xml:space="preserve"> </v>
      </c>
      <c r="O611" s="49" t="str">
        <f t="shared" si="36"/>
        <v xml:space="preserve">[W223.0] </v>
      </c>
    </row>
    <row r="612" spans="1:15" s="49" customFormat="1" ht="14.15" customHeight="1">
      <c r="A612" s="44"/>
      <c r="B612" s="11"/>
      <c r="C612" s="11" t="s">
        <v>18</v>
      </c>
      <c r="D612" s="45" t="s">
        <v>16</v>
      </c>
      <c r="E612" s="46"/>
      <c r="F612" s="14" t="s">
        <v>470</v>
      </c>
      <c r="G612" s="13" t="s">
        <v>7412</v>
      </c>
      <c r="H612" s="99" t="str">
        <f t="shared" si="33"/>
        <v>W223.1</v>
      </c>
      <c r="I612" s="13"/>
      <c r="J612" s="13"/>
      <c r="K612" s="13"/>
      <c r="L612" s="48"/>
      <c r="M612" s="49" t="str">
        <f t="shared" si="34"/>
        <v>[W223.1]</v>
      </c>
      <c r="N612" s="12" t="str">
        <f t="shared" si="35"/>
        <v xml:space="preserve"> </v>
      </c>
      <c r="O612" s="49" t="str">
        <f t="shared" si="36"/>
        <v xml:space="preserve">[W223.1] </v>
      </c>
    </row>
    <row r="613" spans="1:15" s="49" customFormat="1" ht="14.15" customHeight="1">
      <c r="A613" s="44"/>
      <c r="B613" s="11"/>
      <c r="C613" s="11" t="s">
        <v>18</v>
      </c>
      <c r="D613" s="45" t="s">
        <v>16</v>
      </c>
      <c r="E613" s="46"/>
      <c r="F613" s="14" t="s">
        <v>471</v>
      </c>
      <c r="G613" s="13" t="s">
        <v>7413</v>
      </c>
      <c r="H613" s="99" t="str">
        <f t="shared" si="33"/>
        <v>W223.2</v>
      </c>
      <c r="I613" s="13"/>
      <c r="J613" s="13"/>
      <c r="K613" s="13"/>
      <c r="L613" s="48"/>
      <c r="M613" s="49" t="str">
        <f t="shared" si="34"/>
        <v>[W223.2]</v>
      </c>
      <c r="N613" s="12" t="str">
        <f t="shared" si="35"/>
        <v xml:space="preserve"> </v>
      </c>
      <c r="O613" s="49" t="str">
        <f t="shared" si="36"/>
        <v xml:space="preserve">[W223.2] </v>
      </c>
    </row>
    <row r="614" spans="1:15" s="49" customFormat="1" ht="14.15" customHeight="1">
      <c r="A614" s="44"/>
      <c r="B614" s="11"/>
      <c r="C614" s="11" t="s">
        <v>18</v>
      </c>
      <c r="D614" s="45" t="s">
        <v>16</v>
      </c>
      <c r="E614" s="46"/>
      <c r="F614" s="14" t="s">
        <v>472</v>
      </c>
      <c r="G614" s="13" t="s">
        <v>7414</v>
      </c>
      <c r="H614" s="99" t="str">
        <f t="shared" si="33"/>
        <v>W223.3</v>
      </c>
      <c r="I614" s="13"/>
      <c r="J614" s="13"/>
      <c r="K614" s="13"/>
      <c r="L614" s="48"/>
      <c r="M614" s="49" t="str">
        <f t="shared" si="34"/>
        <v>[W223.3]</v>
      </c>
      <c r="N614" s="12" t="str">
        <f t="shared" si="35"/>
        <v xml:space="preserve"> </v>
      </c>
      <c r="O614" s="49" t="str">
        <f t="shared" si="36"/>
        <v xml:space="preserve">[W223.3] </v>
      </c>
    </row>
    <row r="615" spans="1:15" s="49" customFormat="1" ht="14.15" customHeight="1">
      <c r="A615" s="44"/>
      <c r="B615" s="11"/>
      <c r="C615" s="11" t="s">
        <v>18</v>
      </c>
      <c r="D615" s="45" t="s">
        <v>16</v>
      </c>
      <c r="E615" s="46"/>
      <c r="F615" s="14" t="s">
        <v>473</v>
      </c>
      <c r="G615" s="13" t="s">
        <v>7415</v>
      </c>
      <c r="H615" s="99" t="str">
        <f t="shared" si="33"/>
        <v>W223.4</v>
      </c>
      <c r="I615" s="13"/>
      <c r="J615" s="13"/>
      <c r="K615" s="13"/>
      <c r="L615" s="48"/>
      <c r="M615" s="49" t="str">
        <f t="shared" si="34"/>
        <v>[W223.4]</v>
      </c>
      <c r="N615" s="12" t="str">
        <f t="shared" si="35"/>
        <v xml:space="preserve"> </v>
      </c>
      <c r="O615" s="49" t="str">
        <f t="shared" si="36"/>
        <v xml:space="preserve">[W223.4] </v>
      </c>
    </row>
    <row r="616" spans="1:15" s="49" customFormat="1" ht="14.15" customHeight="1">
      <c r="A616" s="44"/>
      <c r="B616" s="11"/>
      <c r="C616" s="11" t="s">
        <v>18</v>
      </c>
      <c r="D616" s="45" t="s">
        <v>16</v>
      </c>
      <c r="E616" s="46"/>
      <c r="F616" s="14" t="s">
        <v>474</v>
      </c>
      <c r="G616" s="13" t="s">
        <v>7416</v>
      </c>
      <c r="H616" s="99" t="str">
        <f t="shared" si="33"/>
        <v>W223.5</v>
      </c>
      <c r="I616" s="13"/>
      <c r="J616" s="13"/>
      <c r="K616" s="13"/>
      <c r="L616" s="48"/>
      <c r="M616" s="49" t="str">
        <f t="shared" si="34"/>
        <v>[W223.5]</v>
      </c>
      <c r="N616" s="12" t="str">
        <f t="shared" si="35"/>
        <v xml:space="preserve"> </v>
      </c>
      <c r="O616" s="49" t="str">
        <f t="shared" si="36"/>
        <v xml:space="preserve">[W223.5] </v>
      </c>
    </row>
    <row r="617" spans="1:15" s="49" customFormat="1" ht="14.15" customHeight="1">
      <c r="A617" s="44"/>
      <c r="B617" s="11"/>
      <c r="C617" s="11" t="s">
        <v>18</v>
      </c>
      <c r="D617" s="45" t="s">
        <v>16</v>
      </c>
      <c r="E617" s="46"/>
      <c r="F617" s="14" t="s">
        <v>475</v>
      </c>
      <c r="G617" s="13" t="s">
        <v>7417</v>
      </c>
      <c r="H617" s="99" t="str">
        <f t="shared" si="33"/>
        <v>W223.6</v>
      </c>
      <c r="I617" s="13"/>
      <c r="J617" s="13"/>
      <c r="K617" s="13"/>
      <c r="L617" s="48"/>
      <c r="M617" s="49" t="str">
        <f t="shared" si="34"/>
        <v>[W223.6]</v>
      </c>
      <c r="N617" s="12" t="str">
        <f t="shared" si="35"/>
        <v xml:space="preserve"> </v>
      </c>
      <c r="O617" s="49" t="str">
        <f t="shared" si="36"/>
        <v xml:space="preserve">[W223.6] </v>
      </c>
    </row>
    <row r="618" spans="1:15" s="49" customFormat="1" ht="14.15" customHeight="1">
      <c r="A618" s="44"/>
      <c r="B618" s="11"/>
      <c r="C618" s="11" t="s">
        <v>18</v>
      </c>
      <c r="D618" s="45" t="s">
        <v>16</v>
      </c>
      <c r="E618" s="46"/>
      <c r="F618" s="14" t="s">
        <v>476</v>
      </c>
      <c r="G618" s="13" t="s">
        <v>7418</v>
      </c>
      <c r="H618" s="99" t="str">
        <f t="shared" si="33"/>
        <v>W223.7</v>
      </c>
      <c r="I618" s="13"/>
      <c r="J618" s="13"/>
      <c r="K618" s="13"/>
      <c r="L618" s="48"/>
      <c r="M618" s="49" t="str">
        <f t="shared" si="34"/>
        <v>[W223.7]</v>
      </c>
      <c r="N618" s="12" t="str">
        <f t="shared" si="35"/>
        <v xml:space="preserve"> </v>
      </c>
      <c r="O618" s="49" t="str">
        <f t="shared" si="36"/>
        <v xml:space="preserve">[W223.7] </v>
      </c>
    </row>
    <row r="619" spans="1:15" s="49" customFormat="1" ht="14.15" customHeight="1">
      <c r="A619" s="44"/>
      <c r="B619" s="11"/>
      <c r="C619" s="11" t="s">
        <v>18</v>
      </c>
      <c r="D619" s="45" t="s">
        <v>16</v>
      </c>
      <c r="E619" s="46"/>
      <c r="F619" s="14" t="s">
        <v>477</v>
      </c>
      <c r="G619" s="13" t="s">
        <v>7419</v>
      </c>
      <c r="H619" s="99" t="str">
        <f t="shared" si="33"/>
        <v>W223.8</v>
      </c>
      <c r="I619" s="13"/>
      <c r="J619" s="13"/>
      <c r="K619" s="13"/>
      <c r="L619" s="48"/>
      <c r="M619" s="49" t="str">
        <f t="shared" si="34"/>
        <v>[W223.8]</v>
      </c>
      <c r="N619" s="12" t="str">
        <f t="shared" si="35"/>
        <v xml:space="preserve"> </v>
      </c>
      <c r="O619" s="49" t="str">
        <f t="shared" si="36"/>
        <v xml:space="preserve">[W223.8] </v>
      </c>
    </row>
    <row r="620" spans="1:15" s="49" customFormat="1" ht="14.15" customHeight="1">
      <c r="A620" s="44"/>
      <c r="B620" s="11"/>
      <c r="C620" s="11" t="s">
        <v>18</v>
      </c>
      <c r="D620" s="45" t="s">
        <v>16</v>
      </c>
      <c r="E620" s="47"/>
      <c r="F620" s="12" t="s">
        <v>478</v>
      </c>
      <c r="G620" s="13" t="s">
        <v>7420</v>
      </c>
      <c r="H620" s="99" t="str">
        <f t="shared" si="33"/>
        <v>W223.9</v>
      </c>
      <c r="I620" s="13"/>
      <c r="J620" s="13"/>
      <c r="K620" s="13"/>
      <c r="L620" s="48"/>
      <c r="M620" s="49" t="str">
        <f t="shared" si="34"/>
        <v>[W223.9]</v>
      </c>
      <c r="N620" s="12" t="str">
        <f t="shared" si="35"/>
        <v xml:space="preserve"> </v>
      </c>
      <c r="O620" s="49" t="str">
        <f t="shared" si="36"/>
        <v xml:space="preserve">[W223.9] </v>
      </c>
    </row>
    <row r="621" spans="1:15" s="49" customFormat="1" ht="14.15" customHeight="1">
      <c r="A621" s="44"/>
      <c r="B621" s="11"/>
      <c r="C621" s="11" t="s">
        <v>18</v>
      </c>
      <c r="D621" s="45" t="s">
        <v>16</v>
      </c>
      <c r="E621" s="47"/>
      <c r="F621" s="12" t="s">
        <v>479</v>
      </c>
      <c r="G621" s="13" t="s">
        <v>7421</v>
      </c>
      <c r="H621" s="99" t="str">
        <f t="shared" si="33"/>
        <v>W223.A</v>
      </c>
      <c r="I621" s="13"/>
      <c r="J621" s="13"/>
      <c r="K621" s="13"/>
      <c r="L621" s="48"/>
      <c r="M621" s="49" t="str">
        <f t="shared" si="34"/>
        <v>[W223.A]</v>
      </c>
      <c r="N621" s="12" t="str">
        <f t="shared" si="35"/>
        <v xml:space="preserve"> </v>
      </c>
      <c r="O621" s="49" t="str">
        <f t="shared" si="36"/>
        <v xml:space="preserve">[W223.A] </v>
      </c>
    </row>
    <row r="622" spans="1:15" s="49" customFormat="1" ht="14.15" customHeight="1">
      <c r="A622" s="44"/>
      <c r="B622" s="11"/>
      <c r="C622" s="11" t="s">
        <v>18</v>
      </c>
      <c r="D622" s="45" t="s">
        <v>16</v>
      </c>
      <c r="E622" s="47"/>
      <c r="F622" s="12" t="s">
        <v>480</v>
      </c>
      <c r="G622" s="13" t="s">
        <v>7422</v>
      </c>
      <c r="H622" s="99" t="str">
        <f t="shared" si="33"/>
        <v>W223.B</v>
      </c>
      <c r="I622" s="13"/>
      <c r="J622" s="13"/>
      <c r="K622" s="13"/>
      <c r="L622" s="48"/>
      <c r="M622" s="49" t="str">
        <f t="shared" si="34"/>
        <v>[W223.B]</v>
      </c>
      <c r="N622" s="12" t="str">
        <f t="shared" si="35"/>
        <v xml:space="preserve"> </v>
      </c>
      <c r="O622" s="49" t="str">
        <f t="shared" si="36"/>
        <v xml:space="preserve">[W223.B] </v>
      </c>
    </row>
    <row r="623" spans="1:15" s="49" customFormat="1" ht="14.15" customHeight="1">
      <c r="A623" s="44"/>
      <c r="B623" s="11"/>
      <c r="C623" s="11" t="s">
        <v>18</v>
      </c>
      <c r="D623" s="45" t="s">
        <v>16</v>
      </c>
      <c r="E623" s="47"/>
      <c r="F623" s="12" t="s">
        <v>481</v>
      </c>
      <c r="G623" s="13" t="s">
        <v>7423</v>
      </c>
      <c r="H623" s="99" t="str">
        <f t="shared" si="33"/>
        <v>W223.C</v>
      </c>
      <c r="I623" s="13"/>
      <c r="J623" s="13"/>
      <c r="K623" s="13"/>
      <c r="L623" s="48"/>
      <c r="M623" s="49" t="str">
        <f t="shared" si="34"/>
        <v>[W223.C]</v>
      </c>
      <c r="N623" s="12" t="str">
        <f t="shared" si="35"/>
        <v xml:space="preserve"> </v>
      </c>
      <c r="O623" s="49" t="str">
        <f t="shared" si="36"/>
        <v xml:space="preserve">[W223.C] </v>
      </c>
    </row>
    <row r="624" spans="1:15" s="49" customFormat="1" ht="14.15" customHeight="1">
      <c r="A624" s="44"/>
      <c r="B624" s="11"/>
      <c r="C624" s="11" t="s">
        <v>18</v>
      </c>
      <c r="D624" s="45" t="s">
        <v>16</v>
      </c>
      <c r="E624" s="47"/>
      <c r="F624" s="12" t="s">
        <v>482</v>
      </c>
      <c r="G624" s="13" t="s">
        <v>7424</v>
      </c>
      <c r="H624" s="99" t="str">
        <f t="shared" si="33"/>
        <v>W223.D</v>
      </c>
      <c r="I624" s="13"/>
      <c r="J624" s="13"/>
      <c r="K624" s="13"/>
      <c r="L624" s="48"/>
      <c r="M624" s="49" t="str">
        <f t="shared" si="34"/>
        <v>[W223.D]</v>
      </c>
      <c r="N624" s="12" t="str">
        <f t="shared" si="35"/>
        <v xml:space="preserve"> </v>
      </c>
      <c r="O624" s="49" t="str">
        <f t="shared" si="36"/>
        <v xml:space="preserve">[W223.D] </v>
      </c>
    </row>
    <row r="625" spans="1:15" s="49" customFormat="1" ht="14.15" customHeight="1">
      <c r="A625" s="44"/>
      <c r="B625" s="11"/>
      <c r="C625" s="11" t="s">
        <v>18</v>
      </c>
      <c r="D625" s="45" t="s">
        <v>16</v>
      </c>
      <c r="E625" s="47"/>
      <c r="F625" s="12" t="s">
        <v>483</v>
      </c>
      <c r="G625" s="13" t="s">
        <v>7425</v>
      </c>
      <c r="H625" s="99" t="str">
        <f t="shared" si="33"/>
        <v>W223.E</v>
      </c>
      <c r="I625" s="13"/>
      <c r="J625" s="13"/>
      <c r="K625" s="13"/>
      <c r="L625" s="48"/>
      <c r="M625" s="49" t="str">
        <f t="shared" si="34"/>
        <v>[W223.E]</v>
      </c>
      <c r="N625" s="12" t="str">
        <f t="shared" si="35"/>
        <v xml:space="preserve"> </v>
      </c>
      <c r="O625" s="49" t="str">
        <f t="shared" si="36"/>
        <v xml:space="preserve">[W223.E] </v>
      </c>
    </row>
    <row r="626" spans="1:15" s="49" customFormat="1" ht="14.15" customHeight="1">
      <c r="A626" s="44"/>
      <c r="B626" s="11"/>
      <c r="C626" s="11" t="s">
        <v>18</v>
      </c>
      <c r="D626" s="45" t="s">
        <v>16</v>
      </c>
      <c r="E626" s="47"/>
      <c r="F626" s="12" t="s">
        <v>484</v>
      </c>
      <c r="G626" s="13" t="s">
        <v>7426</v>
      </c>
      <c r="H626" s="99" t="str">
        <f t="shared" si="33"/>
        <v>W223.F</v>
      </c>
      <c r="I626" s="13"/>
      <c r="J626" s="13"/>
      <c r="K626" s="13"/>
      <c r="L626" s="48"/>
      <c r="M626" s="49" t="str">
        <f t="shared" si="34"/>
        <v>[W223.F]</v>
      </c>
      <c r="N626" s="12" t="str">
        <f t="shared" si="35"/>
        <v xml:space="preserve"> </v>
      </c>
      <c r="O626" s="49" t="str">
        <f t="shared" si="36"/>
        <v xml:space="preserve">[W223.F] </v>
      </c>
    </row>
    <row r="627" spans="1:15" s="49" customFormat="1" ht="14.15" customHeight="1">
      <c r="A627" s="44"/>
      <c r="B627" s="11"/>
      <c r="C627" s="11" t="s">
        <v>18</v>
      </c>
      <c r="D627" s="45" t="s">
        <v>16</v>
      </c>
      <c r="E627" s="47"/>
      <c r="F627" s="12" t="s">
        <v>485</v>
      </c>
      <c r="G627" s="13" t="s">
        <v>7427</v>
      </c>
      <c r="H627" s="99" t="str">
        <f t="shared" si="33"/>
        <v>W224.0</v>
      </c>
      <c r="I627" s="13"/>
      <c r="J627" s="13"/>
      <c r="K627" s="13"/>
      <c r="L627" s="48"/>
      <c r="M627" s="49" t="str">
        <f t="shared" si="34"/>
        <v>[W224.0]</v>
      </c>
      <c r="N627" s="12" t="str">
        <f t="shared" si="35"/>
        <v xml:space="preserve"> </v>
      </c>
      <c r="O627" s="49" t="str">
        <f t="shared" si="36"/>
        <v xml:space="preserve">[W224.0] </v>
      </c>
    </row>
    <row r="628" spans="1:15" s="49" customFormat="1" ht="14.15" customHeight="1">
      <c r="A628" s="44"/>
      <c r="B628" s="11"/>
      <c r="C628" s="11" t="s">
        <v>18</v>
      </c>
      <c r="D628" s="45" t="s">
        <v>16</v>
      </c>
      <c r="E628" s="47"/>
      <c r="F628" s="12" t="s">
        <v>486</v>
      </c>
      <c r="G628" s="13" t="s">
        <v>7428</v>
      </c>
      <c r="H628" s="99" t="str">
        <f t="shared" ref="H628:H691" si="37">"W"&amp;DEC2HEX(512 + INT((ROW()-51)/16)) &amp; "." &amp; IF(MOD(ROW()-51,16)&lt;10,MOD(ROW()-51,16),CHAR(MOD(ROW()-51,16)+55))</f>
        <v>W224.1</v>
      </c>
      <c r="I628" s="13"/>
      <c r="J628" s="13"/>
      <c r="K628" s="13"/>
      <c r="L628" s="48"/>
      <c r="M628" s="49" t="str">
        <f t="shared" ref="M628:M691" si="38">"["&amp;H628&amp;"]"</f>
        <v>[W224.1]</v>
      </c>
      <c r="N628" s="12" t="str">
        <f t="shared" ref="N628:N691" si="39">RIGHT(F628,LEN(F628)-7)</f>
        <v xml:space="preserve"> </v>
      </c>
      <c r="O628" s="49" t="str">
        <f t="shared" ref="O628:O691" si="40">M628&amp;N628</f>
        <v xml:space="preserve">[W224.1] </v>
      </c>
    </row>
    <row r="629" spans="1:15" s="49" customFormat="1" ht="14.15" customHeight="1">
      <c r="A629" s="44"/>
      <c r="B629" s="11"/>
      <c r="C629" s="11" t="s">
        <v>18</v>
      </c>
      <c r="D629" s="45" t="s">
        <v>16</v>
      </c>
      <c r="E629" s="47"/>
      <c r="F629" s="39" t="s">
        <v>487</v>
      </c>
      <c r="G629" s="13" t="s">
        <v>7429</v>
      </c>
      <c r="H629" s="99" t="str">
        <f t="shared" si="37"/>
        <v>W224.2</v>
      </c>
      <c r="I629" s="13"/>
      <c r="J629" s="13"/>
      <c r="K629" s="13"/>
      <c r="L629" s="48"/>
      <c r="M629" s="49" t="str">
        <f t="shared" si="38"/>
        <v>[W224.2]</v>
      </c>
      <c r="N629" s="12" t="str">
        <f t="shared" si="39"/>
        <v xml:space="preserve"> </v>
      </c>
      <c r="O629" s="49" t="str">
        <f t="shared" si="40"/>
        <v xml:space="preserve">[W224.2] </v>
      </c>
    </row>
    <row r="630" spans="1:15" s="49" customFormat="1" ht="14.15" customHeight="1">
      <c r="A630" s="44"/>
      <c r="B630" s="11"/>
      <c r="C630" s="11" t="s">
        <v>18</v>
      </c>
      <c r="D630" s="45" t="s">
        <v>16</v>
      </c>
      <c r="E630" s="47"/>
      <c r="F630" s="39" t="s">
        <v>488</v>
      </c>
      <c r="G630" s="13" t="s">
        <v>7430</v>
      </c>
      <c r="H630" s="99" t="str">
        <f t="shared" si="37"/>
        <v>W224.3</v>
      </c>
      <c r="I630" s="13"/>
      <c r="J630" s="13"/>
      <c r="K630" s="13"/>
      <c r="L630" s="48"/>
      <c r="M630" s="49" t="str">
        <f t="shared" si="38"/>
        <v>[W224.3]</v>
      </c>
      <c r="N630" s="12" t="str">
        <f t="shared" si="39"/>
        <v xml:space="preserve"> </v>
      </c>
      <c r="O630" s="49" t="str">
        <f t="shared" si="40"/>
        <v xml:space="preserve">[W224.3] </v>
      </c>
    </row>
    <row r="631" spans="1:15" s="49" customFormat="1" ht="14.15" customHeight="1">
      <c r="A631" s="44"/>
      <c r="B631" s="11"/>
      <c r="C631" s="11" t="s">
        <v>18</v>
      </c>
      <c r="D631" s="45" t="s">
        <v>16</v>
      </c>
      <c r="E631" s="47"/>
      <c r="F631" s="39" t="s">
        <v>489</v>
      </c>
      <c r="G631" s="13" t="s">
        <v>7431</v>
      </c>
      <c r="H631" s="99" t="str">
        <f t="shared" si="37"/>
        <v>W224.4</v>
      </c>
      <c r="I631" s="13"/>
      <c r="J631" s="13"/>
      <c r="K631" s="13"/>
      <c r="L631" s="48"/>
      <c r="M631" s="49" t="str">
        <f t="shared" si="38"/>
        <v>[W224.4]</v>
      </c>
      <c r="N631" s="12" t="str">
        <f t="shared" si="39"/>
        <v xml:space="preserve"> </v>
      </c>
      <c r="O631" s="49" t="str">
        <f t="shared" si="40"/>
        <v xml:space="preserve">[W224.4] </v>
      </c>
    </row>
    <row r="632" spans="1:15" s="49" customFormat="1" ht="14.15" customHeight="1">
      <c r="A632" s="44"/>
      <c r="B632" s="11"/>
      <c r="C632" s="11" t="s">
        <v>18</v>
      </c>
      <c r="D632" s="45" t="s">
        <v>16</v>
      </c>
      <c r="E632" s="47"/>
      <c r="F632" s="39" t="s">
        <v>490</v>
      </c>
      <c r="G632" s="13" t="s">
        <v>7432</v>
      </c>
      <c r="H632" s="99" t="str">
        <f t="shared" si="37"/>
        <v>W224.5</v>
      </c>
      <c r="I632" s="13"/>
      <c r="J632" s="13"/>
      <c r="K632" s="13"/>
      <c r="L632" s="48"/>
      <c r="M632" s="49" t="str">
        <f t="shared" si="38"/>
        <v>[W224.5]</v>
      </c>
      <c r="N632" s="12" t="str">
        <f t="shared" si="39"/>
        <v xml:space="preserve"> </v>
      </c>
      <c r="O632" s="49" t="str">
        <f t="shared" si="40"/>
        <v xml:space="preserve">[W224.5] </v>
      </c>
    </row>
    <row r="633" spans="1:15" s="49" customFormat="1" ht="14.15" customHeight="1">
      <c r="A633" s="44"/>
      <c r="B633" s="11"/>
      <c r="C633" s="11" t="s">
        <v>18</v>
      </c>
      <c r="D633" s="45" t="s">
        <v>16</v>
      </c>
      <c r="E633" s="47"/>
      <c r="F633" s="39" t="s">
        <v>491</v>
      </c>
      <c r="G633" s="13" t="s">
        <v>7433</v>
      </c>
      <c r="H633" s="99" t="str">
        <f t="shared" si="37"/>
        <v>W224.6</v>
      </c>
      <c r="I633" s="13"/>
      <c r="J633" s="13"/>
      <c r="K633" s="13"/>
      <c r="L633" s="48"/>
      <c r="M633" s="49" t="str">
        <f t="shared" si="38"/>
        <v>[W224.6]</v>
      </c>
      <c r="N633" s="12" t="str">
        <f t="shared" si="39"/>
        <v xml:space="preserve"> </v>
      </c>
      <c r="O633" s="49" t="str">
        <f t="shared" si="40"/>
        <v xml:space="preserve">[W224.6] </v>
      </c>
    </row>
    <row r="634" spans="1:15" s="49" customFormat="1" ht="14.15" customHeight="1">
      <c r="A634" s="44"/>
      <c r="B634" s="11"/>
      <c r="C634" s="11" t="s">
        <v>18</v>
      </c>
      <c r="D634" s="45" t="s">
        <v>16</v>
      </c>
      <c r="E634" s="47"/>
      <c r="F634" s="39" t="s">
        <v>492</v>
      </c>
      <c r="G634" s="13" t="s">
        <v>7434</v>
      </c>
      <c r="H634" s="99" t="str">
        <f t="shared" si="37"/>
        <v>W224.7</v>
      </c>
      <c r="I634" s="13"/>
      <c r="J634" s="13"/>
      <c r="K634" s="13"/>
      <c r="L634" s="48"/>
      <c r="M634" s="49" t="str">
        <f t="shared" si="38"/>
        <v>[W224.7]</v>
      </c>
      <c r="N634" s="12" t="str">
        <f t="shared" si="39"/>
        <v xml:space="preserve"> </v>
      </c>
      <c r="O634" s="49" t="str">
        <f t="shared" si="40"/>
        <v xml:space="preserve">[W224.7] </v>
      </c>
    </row>
    <row r="635" spans="1:15" s="49" customFormat="1" ht="14.15" customHeight="1">
      <c r="A635" s="44"/>
      <c r="B635" s="11"/>
      <c r="C635" s="11" t="s">
        <v>18</v>
      </c>
      <c r="D635" s="45" t="s">
        <v>16</v>
      </c>
      <c r="E635" s="47"/>
      <c r="F635" s="39" t="s">
        <v>493</v>
      </c>
      <c r="G635" s="13" t="s">
        <v>7435</v>
      </c>
      <c r="H635" s="99" t="str">
        <f t="shared" si="37"/>
        <v>W224.8</v>
      </c>
      <c r="I635" s="13"/>
      <c r="J635" s="13"/>
      <c r="K635" s="13"/>
      <c r="L635" s="48"/>
      <c r="M635" s="49" t="str">
        <f t="shared" si="38"/>
        <v>[W224.8]</v>
      </c>
      <c r="N635" s="12" t="str">
        <f t="shared" si="39"/>
        <v xml:space="preserve"> </v>
      </c>
      <c r="O635" s="49" t="str">
        <f t="shared" si="40"/>
        <v xml:space="preserve">[W224.8] </v>
      </c>
    </row>
    <row r="636" spans="1:15" s="49" customFormat="1" ht="14.15" customHeight="1">
      <c r="A636" s="44"/>
      <c r="B636" s="11"/>
      <c r="C636" s="11" t="s">
        <v>18</v>
      </c>
      <c r="D636" s="45" t="s">
        <v>16</v>
      </c>
      <c r="E636" s="47"/>
      <c r="F636" s="39" t="s">
        <v>494</v>
      </c>
      <c r="G636" s="13" t="s">
        <v>7436</v>
      </c>
      <c r="H636" s="99" t="str">
        <f t="shared" si="37"/>
        <v>W224.9</v>
      </c>
      <c r="I636" s="13"/>
      <c r="J636" s="13"/>
      <c r="K636" s="13"/>
      <c r="L636" s="48"/>
      <c r="M636" s="49" t="str">
        <f t="shared" si="38"/>
        <v>[W224.9]</v>
      </c>
      <c r="N636" s="12" t="str">
        <f t="shared" si="39"/>
        <v xml:space="preserve"> </v>
      </c>
      <c r="O636" s="49" t="str">
        <f t="shared" si="40"/>
        <v xml:space="preserve">[W224.9] </v>
      </c>
    </row>
    <row r="637" spans="1:15" s="49" customFormat="1" ht="14.15" customHeight="1">
      <c r="A637" s="44"/>
      <c r="B637" s="11"/>
      <c r="C637" s="11" t="s">
        <v>18</v>
      </c>
      <c r="D637" s="45" t="s">
        <v>16</v>
      </c>
      <c r="E637" s="47"/>
      <c r="F637" s="39" t="s">
        <v>495</v>
      </c>
      <c r="G637" s="13" t="s">
        <v>7437</v>
      </c>
      <c r="H637" s="99" t="str">
        <f t="shared" si="37"/>
        <v>W224.A</v>
      </c>
      <c r="I637" s="13"/>
      <c r="J637" s="13"/>
      <c r="K637" s="13"/>
      <c r="L637" s="48"/>
      <c r="M637" s="49" t="str">
        <f t="shared" si="38"/>
        <v>[W224.A]</v>
      </c>
      <c r="N637" s="12" t="str">
        <f t="shared" si="39"/>
        <v xml:space="preserve"> </v>
      </c>
      <c r="O637" s="49" t="str">
        <f t="shared" si="40"/>
        <v xml:space="preserve">[W224.A] </v>
      </c>
    </row>
    <row r="638" spans="1:15" s="49" customFormat="1" ht="14.15" customHeight="1">
      <c r="A638" s="44"/>
      <c r="B638" s="11"/>
      <c r="C638" s="11" t="s">
        <v>18</v>
      </c>
      <c r="D638" s="45" t="s">
        <v>16</v>
      </c>
      <c r="E638" s="47"/>
      <c r="F638" s="39" t="s">
        <v>496</v>
      </c>
      <c r="G638" s="13" t="s">
        <v>7438</v>
      </c>
      <c r="H638" s="99" t="str">
        <f t="shared" si="37"/>
        <v>W224.B</v>
      </c>
      <c r="I638" s="13"/>
      <c r="J638" s="13"/>
      <c r="K638" s="13"/>
      <c r="L638" s="48"/>
      <c r="M638" s="49" t="str">
        <f t="shared" si="38"/>
        <v>[W224.B]</v>
      </c>
      <c r="N638" s="12" t="str">
        <f t="shared" si="39"/>
        <v xml:space="preserve"> </v>
      </c>
      <c r="O638" s="49" t="str">
        <f t="shared" si="40"/>
        <v xml:space="preserve">[W224.B] </v>
      </c>
    </row>
    <row r="639" spans="1:15" s="49" customFormat="1" ht="14.15" customHeight="1">
      <c r="A639" s="44"/>
      <c r="B639" s="11"/>
      <c r="C639" s="11" t="s">
        <v>18</v>
      </c>
      <c r="D639" s="45" t="s">
        <v>16</v>
      </c>
      <c r="E639" s="47"/>
      <c r="F639" s="39" t="s">
        <v>497</v>
      </c>
      <c r="G639" s="13" t="s">
        <v>7439</v>
      </c>
      <c r="H639" s="99" t="str">
        <f t="shared" si="37"/>
        <v>W224.C</v>
      </c>
      <c r="I639" s="13"/>
      <c r="J639" s="13"/>
      <c r="K639" s="13"/>
      <c r="L639" s="48"/>
      <c r="M639" s="49" t="str">
        <f t="shared" si="38"/>
        <v>[W224.C]</v>
      </c>
      <c r="N639" s="12" t="str">
        <f t="shared" si="39"/>
        <v xml:space="preserve"> </v>
      </c>
      <c r="O639" s="49" t="str">
        <f t="shared" si="40"/>
        <v xml:space="preserve">[W224.C] </v>
      </c>
    </row>
    <row r="640" spans="1:15" s="49" customFormat="1" ht="14.15" customHeight="1">
      <c r="A640" s="44"/>
      <c r="B640" s="11"/>
      <c r="C640" s="11" t="s">
        <v>18</v>
      </c>
      <c r="D640" s="45" t="s">
        <v>16</v>
      </c>
      <c r="E640" s="47"/>
      <c r="F640" s="39" t="s">
        <v>498</v>
      </c>
      <c r="G640" s="13" t="s">
        <v>7440</v>
      </c>
      <c r="H640" s="99" t="str">
        <f t="shared" si="37"/>
        <v>W224.D</v>
      </c>
      <c r="I640" s="13"/>
      <c r="J640" s="13"/>
      <c r="K640" s="13"/>
      <c r="L640" s="48"/>
      <c r="M640" s="49" t="str">
        <f t="shared" si="38"/>
        <v>[W224.D]</v>
      </c>
      <c r="N640" s="12" t="str">
        <f t="shared" si="39"/>
        <v xml:space="preserve"> </v>
      </c>
      <c r="O640" s="49" t="str">
        <f t="shared" si="40"/>
        <v xml:space="preserve">[W224.D] </v>
      </c>
    </row>
    <row r="641" spans="1:15" s="49" customFormat="1" ht="14.15" customHeight="1">
      <c r="A641" s="44"/>
      <c r="B641" s="11"/>
      <c r="C641" s="11" t="s">
        <v>18</v>
      </c>
      <c r="D641" s="45" t="s">
        <v>16</v>
      </c>
      <c r="E641" s="47"/>
      <c r="F641" s="39" t="s">
        <v>499</v>
      </c>
      <c r="G641" s="13" t="s">
        <v>7441</v>
      </c>
      <c r="H641" s="99" t="str">
        <f t="shared" si="37"/>
        <v>W224.E</v>
      </c>
      <c r="I641" s="13"/>
      <c r="J641" s="13"/>
      <c r="K641" s="13"/>
      <c r="L641" s="48"/>
      <c r="M641" s="49" t="str">
        <f t="shared" si="38"/>
        <v>[W224.E]</v>
      </c>
      <c r="N641" s="12" t="str">
        <f t="shared" si="39"/>
        <v xml:space="preserve"> </v>
      </c>
      <c r="O641" s="49" t="str">
        <f t="shared" si="40"/>
        <v xml:space="preserve">[W224.E] </v>
      </c>
    </row>
    <row r="642" spans="1:15" s="49" customFormat="1" ht="14.15" customHeight="1">
      <c r="A642" s="44"/>
      <c r="B642" s="11"/>
      <c r="C642" s="11" t="s">
        <v>18</v>
      </c>
      <c r="D642" s="45" t="s">
        <v>16</v>
      </c>
      <c r="E642" s="47"/>
      <c r="F642" s="39" t="s">
        <v>500</v>
      </c>
      <c r="G642" s="13" t="s">
        <v>7442</v>
      </c>
      <c r="H642" s="99" t="str">
        <f t="shared" si="37"/>
        <v>W224.F</v>
      </c>
      <c r="I642" s="13"/>
      <c r="J642" s="13"/>
      <c r="K642" s="13"/>
      <c r="L642" s="48"/>
      <c r="M642" s="49" t="str">
        <f t="shared" si="38"/>
        <v>[W224.F]</v>
      </c>
      <c r="N642" s="12" t="str">
        <f t="shared" si="39"/>
        <v xml:space="preserve"> </v>
      </c>
      <c r="O642" s="49" t="str">
        <f t="shared" si="40"/>
        <v xml:space="preserve">[W224.F] </v>
      </c>
    </row>
    <row r="643" spans="1:15" s="49" customFormat="1" ht="14.15" customHeight="1">
      <c r="A643" s="44"/>
      <c r="B643" s="11"/>
      <c r="C643" s="11" t="s">
        <v>18</v>
      </c>
      <c r="D643" s="45" t="s">
        <v>16</v>
      </c>
      <c r="E643" s="47"/>
      <c r="F643" s="39" t="s">
        <v>501</v>
      </c>
      <c r="G643" s="13" t="s">
        <v>7443</v>
      </c>
      <c r="H643" s="99" t="str">
        <f t="shared" si="37"/>
        <v>W225.0</v>
      </c>
      <c r="I643" s="13"/>
      <c r="J643" s="13"/>
      <c r="K643" s="13"/>
      <c r="L643" s="48"/>
      <c r="M643" s="49" t="str">
        <f t="shared" si="38"/>
        <v>[W225.0]</v>
      </c>
      <c r="N643" s="12" t="str">
        <f t="shared" si="39"/>
        <v xml:space="preserve"> </v>
      </c>
      <c r="O643" s="49" t="str">
        <f t="shared" si="40"/>
        <v xml:space="preserve">[W225.0] </v>
      </c>
    </row>
    <row r="644" spans="1:15" s="49" customFormat="1" ht="14.15" customHeight="1">
      <c r="A644" s="44"/>
      <c r="B644" s="11"/>
      <c r="C644" s="11" t="s">
        <v>18</v>
      </c>
      <c r="D644" s="45" t="s">
        <v>16</v>
      </c>
      <c r="E644" s="47"/>
      <c r="F644" s="39" t="s">
        <v>502</v>
      </c>
      <c r="G644" s="13" t="s">
        <v>7444</v>
      </c>
      <c r="H644" s="99" t="str">
        <f t="shared" si="37"/>
        <v>W225.1</v>
      </c>
      <c r="I644" s="13"/>
      <c r="J644" s="13"/>
      <c r="K644" s="13"/>
      <c r="L644" s="48"/>
      <c r="M644" s="49" t="str">
        <f t="shared" si="38"/>
        <v>[W225.1]</v>
      </c>
      <c r="N644" s="12" t="str">
        <f t="shared" si="39"/>
        <v xml:space="preserve"> </v>
      </c>
      <c r="O644" s="49" t="str">
        <f t="shared" si="40"/>
        <v xml:space="preserve">[W225.1] </v>
      </c>
    </row>
    <row r="645" spans="1:15" s="49" customFormat="1" ht="14.15" customHeight="1">
      <c r="A645" s="44"/>
      <c r="B645" s="11"/>
      <c r="C645" s="11" t="s">
        <v>18</v>
      </c>
      <c r="D645" s="45" t="s">
        <v>16</v>
      </c>
      <c r="E645" s="47"/>
      <c r="F645" s="39" t="s">
        <v>503</v>
      </c>
      <c r="G645" s="13" t="s">
        <v>7445</v>
      </c>
      <c r="H645" s="99" t="str">
        <f t="shared" si="37"/>
        <v>W225.2</v>
      </c>
      <c r="I645" s="13"/>
      <c r="J645" s="13"/>
      <c r="K645" s="13"/>
      <c r="L645" s="48"/>
      <c r="M645" s="49" t="str">
        <f t="shared" si="38"/>
        <v>[W225.2]</v>
      </c>
      <c r="N645" s="12" t="str">
        <f t="shared" si="39"/>
        <v xml:space="preserve"> </v>
      </c>
      <c r="O645" s="49" t="str">
        <f t="shared" si="40"/>
        <v xml:space="preserve">[W225.2] </v>
      </c>
    </row>
    <row r="646" spans="1:15" s="49" customFormat="1" ht="14.15" customHeight="1">
      <c r="A646" s="44"/>
      <c r="B646" s="11"/>
      <c r="C646" s="11" t="s">
        <v>18</v>
      </c>
      <c r="D646" s="45" t="s">
        <v>16</v>
      </c>
      <c r="E646" s="47"/>
      <c r="F646" s="39" t="s">
        <v>504</v>
      </c>
      <c r="G646" s="13" t="s">
        <v>7446</v>
      </c>
      <c r="H646" s="99" t="str">
        <f t="shared" si="37"/>
        <v>W225.3</v>
      </c>
      <c r="I646" s="13"/>
      <c r="J646" s="13"/>
      <c r="K646" s="13"/>
      <c r="L646" s="48"/>
      <c r="M646" s="49" t="str">
        <f t="shared" si="38"/>
        <v>[W225.3]</v>
      </c>
      <c r="N646" s="12" t="str">
        <f t="shared" si="39"/>
        <v xml:space="preserve"> </v>
      </c>
      <c r="O646" s="49" t="str">
        <f t="shared" si="40"/>
        <v xml:space="preserve">[W225.3] </v>
      </c>
    </row>
    <row r="647" spans="1:15" s="49" customFormat="1" ht="14.15" customHeight="1">
      <c r="A647" s="44"/>
      <c r="B647" s="11"/>
      <c r="C647" s="11" t="s">
        <v>18</v>
      </c>
      <c r="D647" s="45" t="s">
        <v>16</v>
      </c>
      <c r="E647" s="47"/>
      <c r="F647" s="39" t="s">
        <v>505</v>
      </c>
      <c r="G647" s="13" t="s">
        <v>7447</v>
      </c>
      <c r="H647" s="99" t="str">
        <f t="shared" si="37"/>
        <v>W225.4</v>
      </c>
      <c r="I647" s="13"/>
      <c r="J647" s="13"/>
      <c r="K647" s="13"/>
      <c r="L647" s="48"/>
      <c r="M647" s="49" t="str">
        <f t="shared" si="38"/>
        <v>[W225.4]</v>
      </c>
      <c r="N647" s="12" t="str">
        <f t="shared" si="39"/>
        <v xml:space="preserve"> </v>
      </c>
      <c r="O647" s="49" t="str">
        <f t="shared" si="40"/>
        <v xml:space="preserve">[W225.4] </v>
      </c>
    </row>
    <row r="648" spans="1:15" s="49" customFormat="1" ht="14.15" customHeight="1">
      <c r="A648" s="44"/>
      <c r="B648" s="11"/>
      <c r="C648" s="11" t="s">
        <v>18</v>
      </c>
      <c r="D648" s="45" t="s">
        <v>16</v>
      </c>
      <c r="E648" s="47"/>
      <c r="F648" s="39" t="s">
        <v>506</v>
      </c>
      <c r="G648" s="13" t="s">
        <v>7448</v>
      </c>
      <c r="H648" s="99" t="str">
        <f t="shared" si="37"/>
        <v>W225.5</v>
      </c>
      <c r="I648" s="13"/>
      <c r="J648" s="13"/>
      <c r="K648" s="13"/>
      <c r="L648" s="48"/>
      <c r="M648" s="49" t="str">
        <f t="shared" si="38"/>
        <v>[W225.5]</v>
      </c>
      <c r="N648" s="12" t="str">
        <f t="shared" si="39"/>
        <v xml:space="preserve"> </v>
      </c>
      <c r="O648" s="49" t="str">
        <f t="shared" si="40"/>
        <v xml:space="preserve">[W225.5] </v>
      </c>
    </row>
    <row r="649" spans="1:15" s="49" customFormat="1" ht="14.15" customHeight="1">
      <c r="A649" s="44"/>
      <c r="B649" s="11"/>
      <c r="C649" s="11" t="s">
        <v>18</v>
      </c>
      <c r="D649" s="45" t="s">
        <v>16</v>
      </c>
      <c r="E649" s="47"/>
      <c r="F649" s="39" t="s">
        <v>507</v>
      </c>
      <c r="G649" s="13" t="s">
        <v>7449</v>
      </c>
      <c r="H649" s="99" t="str">
        <f t="shared" si="37"/>
        <v>W225.6</v>
      </c>
      <c r="I649" s="13"/>
      <c r="J649" s="13"/>
      <c r="K649" s="13"/>
      <c r="L649" s="48"/>
      <c r="M649" s="49" t="str">
        <f t="shared" si="38"/>
        <v>[W225.6]</v>
      </c>
      <c r="N649" s="12" t="str">
        <f t="shared" si="39"/>
        <v xml:space="preserve"> </v>
      </c>
      <c r="O649" s="49" t="str">
        <f t="shared" si="40"/>
        <v xml:space="preserve">[W225.6] </v>
      </c>
    </row>
    <row r="650" spans="1:15" s="49" customFormat="1" ht="14.15" customHeight="1">
      <c r="A650" s="44"/>
      <c r="B650" s="11"/>
      <c r="C650" s="11" t="s">
        <v>18</v>
      </c>
      <c r="D650" s="45" t="s">
        <v>16</v>
      </c>
      <c r="E650" s="47"/>
      <c r="F650" s="39" t="s">
        <v>508</v>
      </c>
      <c r="G650" s="13" t="s">
        <v>7450</v>
      </c>
      <c r="H650" s="99" t="str">
        <f t="shared" si="37"/>
        <v>W225.7</v>
      </c>
      <c r="I650" s="13"/>
      <c r="J650" s="13"/>
      <c r="K650" s="13"/>
      <c r="L650" s="48"/>
      <c r="M650" s="49" t="str">
        <f t="shared" si="38"/>
        <v>[W225.7]</v>
      </c>
      <c r="N650" s="12" t="str">
        <f t="shared" si="39"/>
        <v xml:space="preserve"> </v>
      </c>
      <c r="O650" s="49" t="str">
        <f t="shared" si="40"/>
        <v xml:space="preserve">[W225.7] </v>
      </c>
    </row>
    <row r="651" spans="1:15" s="49" customFormat="1" ht="14.15" customHeight="1">
      <c r="A651" s="44"/>
      <c r="B651" s="11"/>
      <c r="C651" s="11" t="s">
        <v>18</v>
      </c>
      <c r="D651" s="45" t="s">
        <v>16</v>
      </c>
      <c r="E651" s="47"/>
      <c r="F651" s="39" t="s">
        <v>509</v>
      </c>
      <c r="G651" s="13" t="s">
        <v>7451</v>
      </c>
      <c r="H651" s="99" t="str">
        <f t="shared" si="37"/>
        <v>W225.8</v>
      </c>
      <c r="I651" s="13"/>
      <c r="J651" s="13"/>
      <c r="K651" s="13"/>
      <c r="L651" s="48"/>
      <c r="M651" s="49" t="str">
        <f t="shared" si="38"/>
        <v>[W225.8]</v>
      </c>
      <c r="N651" s="12" t="str">
        <f t="shared" si="39"/>
        <v xml:space="preserve"> </v>
      </c>
      <c r="O651" s="49" t="str">
        <f t="shared" si="40"/>
        <v xml:space="preserve">[W225.8] </v>
      </c>
    </row>
    <row r="652" spans="1:15" s="49" customFormat="1" ht="14.15" customHeight="1">
      <c r="A652" s="44"/>
      <c r="B652" s="11"/>
      <c r="C652" s="11" t="s">
        <v>18</v>
      </c>
      <c r="D652" s="45" t="s">
        <v>16</v>
      </c>
      <c r="E652" s="47"/>
      <c r="F652" s="39" t="s">
        <v>510</v>
      </c>
      <c r="G652" s="13" t="s">
        <v>7452</v>
      </c>
      <c r="H652" s="99" t="str">
        <f t="shared" si="37"/>
        <v>W225.9</v>
      </c>
      <c r="I652" s="13"/>
      <c r="J652" s="13"/>
      <c r="K652" s="13"/>
      <c r="L652" s="48"/>
      <c r="M652" s="49" t="str">
        <f t="shared" si="38"/>
        <v>[W225.9]</v>
      </c>
      <c r="N652" s="12" t="str">
        <f t="shared" si="39"/>
        <v xml:space="preserve"> </v>
      </c>
      <c r="O652" s="49" t="str">
        <f t="shared" si="40"/>
        <v xml:space="preserve">[W225.9] </v>
      </c>
    </row>
    <row r="653" spans="1:15" s="49" customFormat="1" ht="14.15" customHeight="1">
      <c r="A653" s="44"/>
      <c r="B653" s="11"/>
      <c r="C653" s="11" t="s">
        <v>18</v>
      </c>
      <c r="D653" s="45" t="s">
        <v>16</v>
      </c>
      <c r="E653" s="47"/>
      <c r="F653" s="39" t="s">
        <v>511</v>
      </c>
      <c r="G653" s="13" t="s">
        <v>7453</v>
      </c>
      <c r="H653" s="99" t="str">
        <f t="shared" si="37"/>
        <v>W225.A</v>
      </c>
      <c r="I653" s="13"/>
      <c r="J653" s="13"/>
      <c r="K653" s="13"/>
      <c r="L653" s="48"/>
      <c r="M653" s="49" t="str">
        <f t="shared" si="38"/>
        <v>[W225.A]</v>
      </c>
      <c r="N653" s="12" t="str">
        <f t="shared" si="39"/>
        <v xml:space="preserve"> </v>
      </c>
      <c r="O653" s="49" t="str">
        <f t="shared" si="40"/>
        <v xml:space="preserve">[W225.A] </v>
      </c>
    </row>
    <row r="654" spans="1:15" s="49" customFormat="1" ht="14.15" customHeight="1">
      <c r="A654" s="44"/>
      <c r="B654" s="11"/>
      <c r="C654" s="11" t="s">
        <v>18</v>
      </c>
      <c r="D654" s="45" t="s">
        <v>16</v>
      </c>
      <c r="E654" s="47"/>
      <c r="F654" s="39" t="s">
        <v>512</v>
      </c>
      <c r="G654" s="13" t="s">
        <v>7454</v>
      </c>
      <c r="H654" s="99" t="str">
        <f t="shared" si="37"/>
        <v>W225.B</v>
      </c>
      <c r="I654" s="13"/>
      <c r="J654" s="13"/>
      <c r="K654" s="13"/>
      <c r="L654" s="48"/>
      <c r="M654" s="49" t="str">
        <f t="shared" si="38"/>
        <v>[W225.B]</v>
      </c>
      <c r="N654" s="12" t="str">
        <f t="shared" si="39"/>
        <v xml:space="preserve"> </v>
      </c>
      <c r="O654" s="49" t="str">
        <f t="shared" si="40"/>
        <v xml:space="preserve">[W225.B] </v>
      </c>
    </row>
    <row r="655" spans="1:15" s="49" customFormat="1" ht="14.15" customHeight="1">
      <c r="A655" s="44"/>
      <c r="B655" s="11"/>
      <c r="C655" s="11" t="s">
        <v>18</v>
      </c>
      <c r="D655" s="45" t="s">
        <v>16</v>
      </c>
      <c r="E655" s="47"/>
      <c r="F655" s="39" t="s">
        <v>513</v>
      </c>
      <c r="G655" s="13" t="s">
        <v>7455</v>
      </c>
      <c r="H655" s="99" t="str">
        <f t="shared" si="37"/>
        <v>W225.C</v>
      </c>
      <c r="I655" s="13"/>
      <c r="J655" s="13"/>
      <c r="K655" s="13"/>
      <c r="L655" s="48"/>
      <c r="M655" s="49" t="str">
        <f t="shared" si="38"/>
        <v>[W225.C]</v>
      </c>
      <c r="N655" s="12" t="str">
        <f t="shared" si="39"/>
        <v xml:space="preserve"> </v>
      </c>
      <c r="O655" s="49" t="str">
        <f t="shared" si="40"/>
        <v xml:space="preserve">[W225.C] </v>
      </c>
    </row>
    <row r="656" spans="1:15" s="49" customFormat="1" ht="14.15" customHeight="1">
      <c r="A656" s="44"/>
      <c r="B656" s="11"/>
      <c r="C656" s="11" t="s">
        <v>18</v>
      </c>
      <c r="D656" s="45" t="s">
        <v>16</v>
      </c>
      <c r="E656" s="47"/>
      <c r="F656" s="39" t="s">
        <v>514</v>
      </c>
      <c r="G656" s="13" t="s">
        <v>7456</v>
      </c>
      <c r="H656" s="99" t="str">
        <f t="shared" si="37"/>
        <v>W225.D</v>
      </c>
      <c r="I656" s="13"/>
      <c r="J656" s="13"/>
      <c r="K656" s="13"/>
      <c r="L656" s="48"/>
      <c r="M656" s="49" t="str">
        <f t="shared" si="38"/>
        <v>[W225.D]</v>
      </c>
      <c r="N656" s="12" t="str">
        <f t="shared" si="39"/>
        <v xml:space="preserve"> </v>
      </c>
      <c r="O656" s="49" t="str">
        <f t="shared" si="40"/>
        <v xml:space="preserve">[W225.D] </v>
      </c>
    </row>
    <row r="657" spans="1:15" s="49" customFormat="1" ht="14.15" customHeight="1">
      <c r="A657" s="44"/>
      <c r="B657" s="11"/>
      <c r="C657" s="11" t="s">
        <v>18</v>
      </c>
      <c r="D657" s="45" t="s">
        <v>16</v>
      </c>
      <c r="E657" s="47"/>
      <c r="F657" s="39" t="s">
        <v>515</v>
      </c>
      <c r="G657" s="13" t="s">
        <v>7457</v>
      </c>
      <c r="H657" s="99" t="str">
        <f t="shared" si="37"/>
        <v>W225.E</v>
      </c>
      <c r="I657" s="13"/>
      <c r="J657" s="13"/>
      <c r="K657" s="13"/>
      <c r="L657" s="48"/>
      <c r="M657" s="49" t="str">
        <f t="shared" si="38"/>
        <v>[W225.E]</v>
      </c>
      <c r="N657" s="12" t="str">
        <f t="shared" si="39"/>
        <v xml:space="preserve"> </v>
      </c>
      <c r="O657" s="49" t="str">
        <f t="shared" si="40"/>
        <v xml:space="preserve">[W225.E] </v>
      </c>
    </row>
    <row r="658" spans="1:15" s="49" customFormat="1" ht="14.15" customHeight="1">
      <c r="A658" s="44"/>
      <c r="B658" s="11"/>
      <c r="C658" s="11" t="s">
        <v>18</v>
      </c>
      <c r="D658" s="45" t="s">
        <v>16</v>
      </c>
      <c r="E658" s="47"/>
      <c r="F658" s="39" t="s">
        <v>516</v>
      </c>
      <c r="G658" s="13" t="s">
        <v>7458</v>
      </c>
      <c r="H658" s="99" t="str">
        <f t="shared" si="37"/>
        <v>W225.F</v>
      </c>
      <c r="I658" s="13"/>
      <c r="J658" s="13"/>
      <c r="K658" s="13"/>
      <c r="L658" s="48"/>
      <c r="M658" s="49" t="str">
        <f t="shared" si="38"/>
        <v>[W225.F]</v>
      </c>
      <c r="N658" s="12" t="str">
        <f t="shared" si="39"/>
        <v xml:space="preserve"> </v>
      </c>
      <c r="O658" s="49" t="str">
        <f t="shared" si="40"/>
        <v xml:space="preserve">[W225.F] </v>
      </c>
    </row>
    <row r="659" spans="1:15" s="49" customFormat="1" ht="14.15" customHeight="1">
      <c r="A659" s="44"/>
      <c r="B659" s="11"/>
      <c r="C659" s="11" t="s">
        <v>18</v>
      </c>
      <c r="D659" s="45" t="s">
        <v>16</v>
      </c>
      <c r="E659" s="47"/>
      <c r="F659" s="39" t="s">
        <v>517</v>
      </c>
      <c r="G659" s="13" t="s">
        <v>7459</v>
      </c>
      <c r="H659" s="99" t="str">
        <f t="shared" si="37"/>
        <v>W226.0</v>
      </c>
      <c r="I659" s="13"/>
      <c r="J659" s="13"/>
      <c r="K659" s="13"/>
      <c r="L659" s="48"/>
      <c r="M659" s="49" t="str">
        <f t="shared" si="38"/>
        <v>[W226.0]</v>
      </c>
      <c r="N659" s="12" t="str">
        <f t="shared" si="39"/>
        <v xml:space="preserve"> </v>
      </c>
      <c r="O659" s="49" t="str">
        <f t="shared" si="40"/>
        <v xml:space="preserve">[W226.0] </v>
      </c>
    </row>
    <row r="660" spans="1:15" s="49" customFormat="1" ht="14.15" customHeight="1">
      <c r="A660" s="44"/>
      <c r="B660" s="11"/>
      <c r="C660" s="11" t="s">
        <v>18</v>
      </c>
      <c r="D660" s="45" t="s">
        <v>16</v>
      </c>
      <c r="E660" s="47"/>
      <c r="F660" s="39" t="s">
        <v>518</v>
      </c>
      <c r="G660" s="13" t="s">
        <v>7460</v>
      </c>
      <c r="H660" s="99" t="str">
        <f t="shared" si="37"/>
        <v>W226.1</v>
      </c>
      <c r="I660" s="13"/>
      <c r="J660" s="13"/>
      <c r="K660" s="13"/>
      <c r="L660" s="48"/>
      <c r="M660" s="49" t="str">
        <f t="shared" si="38"/>
        <v>[W226.1]</v>
      </c>
      <c r="N660" s="12" t="str">
        <f t="shared" si="39"/>
        <v xml:space="preserve"> </v>
      </c>
      <c r="O660" s="49" t="str">
        <f t="shared" si="40"/>
        <v xml:space="preserve">[W226.1] </v>
      </c>
    </row>
    <row r="661" spans="1:15" s="49" customFormat="1" ht="14.15" customHeight="1">
      <c r="A661" s="43"/>
      <c r="B661" s="11"/>
      <c r="C661" s="11" t="s">
        <v>18</v>
      </c>
      <c r="D661" s="45" t="s">
        <v>16</v>
      </c>
      <c r="E661" s="47"/>
      <c r="F661" s="40" t="s">
        <v>519</v>
      </c>
      <c r="G661" s="13" t="s">
        <v>7461</v>
      </c>
      <c r="H661" s="99" t="str">
        <f t="shared" si="37"/>
        <v>W226.2</v>
      </c>
      <c r="I661" s="13"/>
      <c r="J661" s="13"/>
      <c r="K661" s="13"/>
      <c r="L661" s="48"/>
      <c r="M661" s="49" t="str">
        <f t="shared" si="38"/>
        <v>[W226.2]</v>
      </c>
      <c r="N661" s="12" t="str">
        <f t="shared" si="39"/>
        <v xml:space="preserve"> </v>
      </c>
      <c r="O661" s="49" t="str">
        <f t="shared" si="40"/>
        <v xml:space="preserve">[W226.2] </v>
      </c>
    </row>
    <row r="662" spans="1:15" s="49" customFormat="1" ht="14.15" customHeight="1">
      <c r="A662" s="43"/>
      <c r="B662" s="11"/>
      <c r="C662" s="11" t="s">
        <v>18</v>
      </c>
      <c r="D662" s="45" t="s">
        <v>16</v>
      </c>
      <c r="E662" s="47"/>
      <c r="F662" s="40" t="s">
        <v>520</v>
      </c>
      <c r="G662" s="13" t="s">
        <v>7462</v>
      </c>
      <c r="H662" s="99" t="str">
        <f t="shared" si="37"/>
        <v>W226.3</v>
      </c>
      <c r="I662" s="13"/>
      <c r="J662" s="13"/>
      <c r="K662" s="13"/>
      <c r="L662" s="48"/>
      <c r="M662" s="49" t="str">
        <f t="shared" si="38"/>
        <v>[W226.3]</v>
      </c>
      <c r="N662" s="12" t="str">
        <f t="shared" si="39"/>
        <v xml:space="preserve"> </v>
      </c>
      <c r="O662" s="49" t="str">
        <f t="shared" si="40"/>
        <v xml:space="preserve">[W226.3] </v>
      </c>
    </row>
    <row r="663" spans="1:15" s="49" customFormat="1" ht="14.15" customHeight="1">
      <c r="A663" s="43"/>
      <c r="B663" s="11"/>
      <c r="C663" s="11" t="s">
        <v>18</v>
      </c>
      <c r="D663" s="45" t="s">
        <v>16</v>
      </c>
      <c r="E663" s="47"/>
      <c r="F663" s="40" t="s">
        <v>521</v>
      </c>
      <c r="G663" s="13" t="s">
        <v>7463</v>
      </c>
      <c r="H663" s="99" t="str">
        <f t="shared" si="37"/>
        <v>W226.4</v>
      </c>
      <c r="I663" s="13"/>
      <c r="J663" s="13"/>
      <c r="K663" s="13"/>
      <c r="L663" s="48"/>
      <c r="M663" s="49" t="str">
        <f t="shared" si="38"/>
        <v>[W226.4]</v>
      </c>
      <c r="N663" s="12" t="str">
        <f t="shared" si="39"/>
        <v xml:space="preserve"> </v>
      </c>
      <c r="O663" s="49" t="str">
        <f t="shared" si="40"/>
        <v xml:space="preserve">[W226.4] </v>
      </c>
    </row>
    <row r="664" spans="1:15" s="49" customFormat="1" ht="14.15" customHeight="1">
      <c r="A664" s="43"/>
      <c r="B664" s="11"/>
      <c r="C664" s="11" t="s">
        <v>18</v>
      </c>
      <c r="D664" s="45" t="s">
        <v>16</v>
      </c>
      <c r="E664" s="47"/>
      <c r="F664" s="40" t="s">
        <v>522</v>
      </c>
      <c r="G664" s="13" t="s">
        <v>7464</v>
      </c>
      <c r="H664" s="99" t="str">
        <f t="shared" si="37"/>
        <v>W226.5</v>
      </c>
      <c r="I664" s="13"/>
      <c r="J664" s="13"/>
      <c r="K664" s="13"/>
      <c r="L664" s="48"/>
      <c r="M664" s="49" t="str">
        <f t="shared" si="38"/>
        <v>[W226.5]</v>
      </c>
      <c r="N664" s="12" t="str">
        <f t="shared" si="39"/>
        <v xml:space="preserve"> </v>
      </c>
      <c r="O664" s="49" t="str">
        <f t="shared" si="40"/>
        <v xml:space="preserve">[W226.5] </v>
      </c>
    </row>
    <row r="665" spans="1:15" s="49" customFormat="1" ht="14.15" customHeight="1">
      <c r="A665" s="43"/>
      <c r="B665" s="11"/>
      <c r="C665" s="11" t="s">
        <v>18</v>
      </c>
      <c r="D665" s="45" t="s">
        <v>16</v>
      </c>
      <c r="E665" s="47"/>
      <c r="F665" s="40" t="s">
        <v>523</v>
      </c>
      <c r="G665" s="13" t="s">
        <v>7465</v>
      </c>
      <c r="H665" s="99" t="str">
        <f t="shared" si="37"/>
        <v>W226.6</v>
      </c>
      <c r="I665" s="13"/>
      <c r="J665" s="13"/>
      <c r="K665" s="13"/>
      <c r="L665" s="48"/>
      <c r="M665" s="49" t="str">
        <f t="shared" si="38"/>
        <v>[W226.6]</v>
      </c>
      <c r="N665" s="12" t="str">
        <f t="shared" si="39"/>
        <v xml:space="preserve"> </v>
      </c>
      <c r="O665" s="49" t="str">
        <f t="shared" si="40"/>
        <v xml:space="preserve">[W226.6] </v>
      </c>
    </row>
    <row r="666" spans="1:15" s="49" customFormat="1" ht="14.15" customHeight="1">
      <c r="A666" s="43"/>
      <c r="B666" s="11"/>
      <c r="C666" s="11" t="s">
        <v>18</v>
      </c>
      <c r="D666" s="45" t="s">
        <v>16</v>
      </c>
      <c r="E666" s="47"/>
      <c r="F666" s="40" t="s">
        <v>524</v>
      </c>
      <c r="G666" s="13" t="s">
        <v>7466</v>
      </c>
      <c r="H666" s="99" t="str">
        <f t="shared" si="37"/>
        <v>W226.7</v>
      </c>
      <c r="I666" s="13"/>
      <c r="J666" s="13"/>
      <c r="K666" s="13"/>
      <c r="L666" s="48"/>
      <c r="M666" s="49" t="str">
        <f t="shared" si="38"/>
        <v>[W226.7]</v>
      </c>
      <c r="N666" s="12" t="str">
        <f t="shared" si="39"/>
        <v xml:space="preserve"> </v>
      </c>
      <c r="O666" s="49" t="str">
        <f t="shared" si="40"/>
        <v xml:space="preserve">[W226.7] </v>
      </c>
    </row>
    <row r="667" spans="1:15" s="49" customFormat="1" ht="14.15" customHeight="1">
      <c r="A667" s="43"/>
      <c r="B667" s="11"/>
      <c r="C667" s="11" t="s">
        <v>18</v>
      </c>
      <c r="D667" s="45" t="s">
        <v>16</v>
      </c>
      <c r="E667" s="47"/>
      <c r="F667" s="40" t="s">
        <v>525</v>
      </c>
      <c r="G667" s="13" t="s">
        <v>7467</v>
      </c>
      <c r="H667" s="99" t="str">
        <f t="shared" si="37"/>
        <v>W226.8</v>
      </c>
      <c r="I667" s="13"/>
      <c r="J667" s="13"/>
      <c r="K667" s="13"/>
      <c r="L667" s="48"/>
      <c r="M667" s="49" t="str">
        <f t="shared" si="38"/>
        <v>[W226.8]</v>
      </c>
      <c r="N667" s="12" t="str">
        <f t="shared" si="39"/>
        <v xml:space="preserve"> </v>
      </c>
      <c r="O667" s="49" t="str">
        <f t="shared" si="40"/>
        <v xml:space="preserve">[W226.8] </v>
      </c>
    </row>
    <row r="668" spans="1:15" s="49" customFormat="1" ht="14.15" customHeight="1">
      <c r="A668" s="43"/>
      <c r="B668" s="11"/>
      <c r="C668" s="11" t="s">
        <v>18</v>
      </c>
      <c r="D668" s="45" t="s">
        <v>16</v>
      </c>
      <c r="E668" s="47"/>
      <c r="F668" s="40" t="s">
        <v>526</v>
      </c>
      <c r="G668" s="13" t="s">
        <v>7468</v>
      </c>
      <c r="H668" s="99" t="str">
        <f t="shared" si="37"/>
        <v>W226.9</v>
      </c>
      <c r="I668" s="13"/>
      <c r="J668" s="13"/>
      <c r="K668" s="13"/>
      <c r="L668" s="48"/>
      <c r="M668" s="49" t="str">
        <f t="shared" si="38"/>
        <v>[W226.9]</v>
      </c>
      <c r="N668" s="12" t="str">
        <f t="shared" si="39"/>
        <v xml:space="preserve"> </v>
      </c>
      <c r="O668" s="49" t="str">
        <f t="shared" si="40"/>
        <v xml:space="preserve">[W226.9] </v>
      </c>
    </row>
    <row r="669" spans="1:15" s="49" customFormat="1" ht="14.15" customHeight="1">
      <c r="A669" s="43"/>
      <c r="B669" s="11"/>
      <c r="C669" s="11" t="s">
        <v>18</v>
      </c>
      <c r="D669" s="45" t="s">
        <v>16</v>
      </c>
      <c r="E669" s="47"/>
      <c r="F669" s="40" t="s">
        <v>527</v>
      </c>
      <c r="G669" s="13" t="s">
        <v>7469</v>
      </c>
      <c r="H669" s="99" t="str">
        <f t="shared" si="37"/>
        <v>W226.A</v>
      </c>
      <c r="I669" s="13"/>
      <c r="J669" s="13"/>
      <c r="K669" s="13"/>
      <c r="L669" s="48"/>
      <c r="M669" s="49" t="str">
        <f t="shared" si="38"/>
        <v>[W226.A]</v>
      </c>
      <c r="N669" s="12" t="str">
        <f t="shared" si="39"/>
        <v xml:space="preserve"> </v>
      </c>
      <c r="O669" s="49" t="str">
        <f t="shared" si="40"/>
        <v xml:space="preserve">[W226.A] </v>
      </c>
    </row>
    <row r="670" spans="1:15" s="49" customFormat="1" ht="14.15" customHeight="1">
      <c r="A670" s="43"/>
      <c r="B670" s="11"/>
      <c r="C670" s="11" t="s">
        <v>18</v>
      </c>
      <c r="D670" s="45" t="s">
        <v>16</v>
      </c>
      <c r="E670" s="47"/>
      <c r="F670" s="40" t="s">
        <v>528</v>
      </c>
      <c r="G670" s="13" t="s">
        <v>7470</v>
      </c>
      <c r="H670" s="99" t="str">
        <f t="shared" si="37"/>
        <v>W226.B</v>
      </c>
      <c r="I670" s="13"/>
      <c r="J670" s="13"/>
      <c r="K670" s="13"/>
      <c r="L670" s="48"/>
      <c r="M670" s="49" t="str">
        <f t="shared" si="38"/>
        <v>[W226.B]</v>
      </c>
      <c r="N670" s="12" t="str">
        <f t="shared" si="39"/>
        <v xml:space="preserve"> </v>
      </c>
      <c r="O670" s="49" t="str">
        <f t="shared" si="40"/>
        <v xml:space="preserve">[W226.B] </v>
      </c>
    </row>
    <row r="671" spans="1:15" s="49" customFormat="1" ht="14.15" customHeight="1">
      <c r="A671" s="43"/>
      <c r="B671" s="11"/>
      <c r="C671" s="11" t="s">
        <v>18</v>
      </c>
      <c r="D671" s="45" t="s">
        <v>16</v>
      </c>
      <c r="E671" s="47"/>
      <c r="F671" s="40" t="s">
        <v>529</v>
      </c>
      <c r="G671" s="13" t="s">
        <v>7471</v>
      </c>
      <c r="H671" s="99" t="str">
        <f t="shared" si="37"/>
        <v>W226.C</v>
      </c>
      <c r="I671" s="13"/>
      <c r="J671" s="13"/>
      <c r="K671" s="13"/>
      <c r="L671" s="48"/>
      <c r="M671" s="49" t="str">
        <f t="shared" si="38"/>
        <v>[W226.C]</v>
      </c>
      <c r="N671" s="12" t="str">
        <f t="shared" si="39"/>
        <v xml:space="preserve"> </v>
      </c>
      <c r="O671" s="49" t="str">
        <f t="shared" si="40"/>
        <v xml:space="preserve">[W226.C] </v>
      </c>
    </row>
    <row r="672" spans="1:15" s="49" customFormat="1" ht="14.15" customHeight="1">
      <c r="A672" s="43"/>
      <c r="B672" s="11"/>
      <c r="C672" s="11" t="s">
        <v>18</v>
      </c>
      <c r="D672" s="45" t="s">
        <v>16</v>
      </c>
      <c r="E672" s="47"/>
      <c r="F672" s="40" t="s">
        <v>530</v>
      </c>
      <c r="G672" s="13" t="s">
        <v>7472</v>
      </c>
      <c r="H672" s="99" t="str">
        <f t="shared" si="37"/>
        <v>W226.D</v>
      </c>
      <c r="I672" s="13"/>
      <c r="J672" s="13"/>
      <c r="K672" s="13"/>
      <c r="L672" s="48"/>
      <c r="M672" s="49" t="str">
        <f t="shared" si="38"/>
        <v>[W226.D]</v>
      </c>
      <c r="N672" s="12" t="str">
        <f t="shared" si="39"/>
        <v xml:space="preserve"> </v>
      </c>
      <c r="O672" s="49" t="str">
        <f t="shared" si="40"/>
        <v xml:space="preserve">[W226.D] </v>
      </c>
    </row>
    <row r="673" spans="1:15" s="49" customFormat="1" ht="14.15" customHeight="1">
      <c r="A673" s="43"/>
      <c r="B673" s="11"/>
      <c r="C673" s="11" t="s">
        <v>18</v>
      </c>
      <c r="D673" s="45" t="s">
        <v>16</v>
      </c>
      <c r="E673" s="47"/>
      <c r="F673" s="40" t="s">
        <v>531</v>
      </c>
      <c r="G673" s="13" t="s">
        <v>7473</v>
      </c>
      <c r="H673" s="99" t="str">
        <f t="shared" si="37"/>
        <v>W226.E</v>
      </c>
      <c r="I673" s="13"/>
      <c r="J673" s="13"/>
      <c r="K673" s="13"/>
      <c r="L673" s="48"/>
      <c r="M673" s="49" t="str">
        <f t="shared" si="38"/>
        <v>[W226.E]</v>
      </c>
      <c r="N673" s="12" t="str">
        <f t="shared" si="39"/>
        <v xml:space="preserve"> </v>
      </c>
      <c r="O673" s="49" t="str">
        <f t="shared" si="40"/>
        <v xml:space="preserve">[W226.E] </v>
      </c>
    </row>
    <row r="674" spans="1:15" s="49" customFormat="1" ht="14.15" customHeight="1">
      <c r="A674" s="43"/>
      <c r="B674" s="11"/>
      <c r="C674" s="11" t="s">
        <v>18</v>
      </c>
      <c r="D674" s="45" t="s">
        <v>16</v>
      </c>
      <c r="E674" s="47"/>
      <c r="F674" s="40" t="s">
        <v>532</v>
      </c>
      <c r="G674" s="13" t="s">
        <v>7474</v>
      </c>
      <c r="H674" s="99" t="str">
        <f t="shared" si="37"/>
        <v>W226.F</v>
      </c>
      <c r="I674" s="13"/>
      <c r="J674" s="13"/>
      <c r="K674" s="13"/>
      <c r="L674" s="48"/>
      <c r="M674" s="49" t="str">
        <f t="shared" si="38"/>
        <v>[W226.F]</v>
      </c>
      <c r="N674" s="12" t="str">
        <f t="shared" si="39"/>
        <v xml:space="preserve"> </v>
      </c>
      <c r="O674" s="49" t="str">
        <f t="shared" si="40"/>
        <v xml:space="preserve">[W226.F] </v>
      </c>
    </row>
    <row r="675" spans="1:15" s="49" customFormat="1" ht="14.15" customHeight="1">
      <c r="A675" s="43"/>
      <c r="B675" s="11"/>
      <c r="C675" s="11" t="s">
        <v>18</v>
      </c>
      <c r="D675" s="45" t="s">
        <v>16</v>
      </c>
      <c r="E675" s="47"/>
      <c r="F675" s="40" t="s">
        <v>533</v>
      </c>
      <c r="G675" s="13" t="s">
        <v>7475</v>
      </c>
      <c r="H675" s="99" t="str">
        <f t="shared" si="37"/>
        <v>W227.0</v>
      </c>
      <c r="I675" s="13"/>
      <c r="J675" s="13"/>
      <c r="K675" s="13"/>
      <c r="L675" s="48"/>
      <c r="M675" s="49" t="str">
        <f t="shared" si="38"/>
        <v>[W227.0]</v>
      </c>
      <c r="N675" s="12" t="str">
        <f t="shared" si="39"/>
        <v xml:space="preserve"> </v>
      </c>
      <c r="O675" s="49" t="str">
        <f t="shared" si="40"/>
        <v xml:space="preserve">[W227.0] </v>
      </c>
    </row>
    <row r="676" spans="1:15" s="49" customFormat="1" ht="14.15" customHeight="1">
      <c r="A676" s="43"/>
      <c r="B676" s="11"/>
      <c r="C676" s="11" t="s">
        <v>18</v>
      </c>
      <c r="D676" s="45" t="s">
        <v>16</v>
      </c>
      <c r="E676" s="47"/>
      <c r="F676" s="40" t="s">
        <v>534</v>
      </c>
      <c r="G676" s="13" t="s">
        <v>7476</v>
      </c>
      <c r="H676" s="99" t="str">
        <f t="shared" si="37"/>
        <v>W227.1</v>
      </c>
      <c r="I676" s="13"/>
      <c r="J676" s="13"/>
      <c r="K676" s="13"/>
      <c r="L676" s="48"/>
      <c r="M676" s="49" t="str">
        <f t="shared" si="38"/>
        <v>[W227.1]</v>
      </c>
      <c r="N676" s="12" t="str">
        <f t="shared" si="39"/>
        <v xml:space="preserve"> </v>
      </c>
      <c r="O676" s="49" t="str">
        <f t="shared" si="40"/>
        <v xml:space="preserve">[W227.1] </v>
      </c>
    </row>
    <row r="677" spans="1:15" s="49" customFormat="1" ht="14.15" customHeight="1">
      <c r="A677" s="43"/>
      <c r="B677" s="11"/>
      <c r="C677" s="11" t="s">
        <v>18</v>
      </c>
      <c r="D677" s="45" t="s">
        <v>16</v>
      </c>
      <c r="E677" s="47"/>
      <c r="F677" s="40" t="s">
        <v>535</v>
      </c>
      <c r="G677" s="13" t="s">
        <v>7477</v>
      </c>
      <c r="H677" s="99" t="str">
        <f t="shared" si="37"/>
        <v>W227.2</v>
      </c>
      <c r="I677" s="13"/>
      <c r="J677" s="13"/>
      <c r="K677" s="13"/>
      <c r="L677" s="48"/>
      <c r="M677" s="49" t="str">
        <f t="shared" si="38"/>
        <v>[W227.2]</v>
      </c>
      <c r="N677" s="12" t="str">
        <f t="shared" si="39"/>
        <v xml:space="preserve"> </v>
      </c>
      <c r="O677" s="49" t="str">
        <f t="shared" si="40"/>
        <v xml:space="preserve">[W227.2] </v>
      </c>
    </row>
    <row r="678" spans="1:15" s="49" customFormat="1" ht="14.15" customHeight="1">
      <c r="A678" s="43"/>
      <c r="B678" s="11"/>
      <c r="C678" s="11" t="s">
        <v>18</v>
      </c>
      <c r="D678" s="45" t="s">
        <v>16</v>
      </c>
      <c r="E678" s="47"/>
      <c r="F678" s="40" t="s">
        <v>536</v>
      </c>
      <c r="G678" s="13" t="s">
        <v>7478</v>
      </c>
      <c r="H678" s="99" t="str">
        <f t="shared" si="37"/>
        <v>W227.3</v>
      </c>
      <c r="I678" s="13"/>
      <c r="J678" s="13"/>
      <c r="K678" s="13"/>
      <c r="L678" s="48"/>
      <c r="M678" s="49" t="str">
        <f t="shared" si="38"/>
        <v>[W227.3]</v>
      </c>
      <c r="N678" s="12" t="str">
        <f t="shared" si="39"/>
        <v xml:space="preserve"> </v>
      </c>
      <c r="O678" s="49" t="str">
        <f t="shared" si="40"/>
        <v xml:space="preserve">[W227.3] </v>
      </c>
    </row>
    <row r="679" spans="1:15" s="49" customFormat="1" ht="14.15" customHeight="1">
      <c r="A679" s="43"/>
      <c r="B679" s="11"/>
      <c r="C679" s="11" t="s">
        <v>18</v>
      </c>
      <c r="D679" s="45" t="s">
        <v>16</v>
      </c>
      <c r="E679" s="47"/>
      <c r="F679" s="40" t="s">
        <v>537</v>
      </c>
      <c r="G679" s="13" t="s">
        <v>7479</v>
      </c>
      <c r="H679" s="99" t="str">
        <f t="shared" si="37"/>
        <v>W227.4</v>
      </c>
      <c r="I679" s="13"/>
      <c r="J679" s="13"/>
      <c r="K679" s="13"/>
      <c r="L679" s="48"/>
      <c r="M679" s="49" t="str">
        <f t="shared" si="38"/>
        <v>[W227.4]</v>
      </c>
      <c r="N679" s="12" t="str">
        <f t="shared" si="39"/>
        <v xml:space="preserve"> </v>
      </c>
      <c r="O679" s="49" t="str">
        <f t="shared" si="40"/>
        <v xml:space="preserve">[W227.4] </v>
      </c>
    </row>
    <row r="680" spans="1:15" s="49" customFormat="1" ht="14.15" customHeight="1">
      <c r="A680" s="43"/>
      <c r="B680" s="11"/>
      <c r="C680" s="11" t="s">
        <v>18</v>
      </c>
      <c r="D680" s="45" t="s">
        <v>16</v>
      </c>
      <c r="E680" s="47"/>
      <c r="F680" s="40" t="s">
        <v>538</v>
      </c>
      <c r="G680" s="13" t="s">
        <v>7480</v>
      </c>
      <c r="H680" s="99" t="str">
        <f t="shared" si="37"/>
        <v>W227.5</v>
      </c>
      <c r="I680" s="13"/>
      <c r="J680" s="13"/>
      <c r="K680" s="13"/>
      <c r="L680" s="48"/>
      <c r="M680" s="49" t="str">
        <f t="shared" si="38"/>
        <v>[W227.5]</v>
      </c>
      <c r="N680" s="12" t="str">
        <f t="shared" si="39"/>
        <v xml:space="preserve"> </v>
      </c>
      <c r="O680" s="49" t="str">
        <f t="shared" si="40"/>
        <v xml:space="preserve">[W227.5] </v>
      </c>
    </row>
    <row r="681" spans="1:15" s="49" customFormat="1" ht="14.15" customHeight="1">
      <c r="A681" s="43"/>
      <c r="B681" s="11"/>
      <c r="C681" s="11" t="s">
        <v>18</v>
      </c>
      <c r="D681" s="45" t="s">
        <v>16</v>
      </c>
      <c r="E681" s="47"/>
      <c r="F681" s="40" t="s">
        <v>539</v>
      </c>
      <c r="G681" s="13" t="s">
        <v>7481</v>
      </c>
      <c r="H681" s="99" t="str">
        <f t="shared" si="37"/>
        <v>W227.6</v>
      </c>
      <c r="I681" s="13"/>
      <c r="J681" s="13"/>
      <c r="K681" s="13"/>
      <c r="L681" s="48"/>
      <c r="M681" s="49" t="str">
        <f t="shared" si="38"/>
        <v>[W227.6]</v>
      </c>
      <c r="N681" s="12" t="str">
        <f t="shared" si="39"/>
        <v xml:space="preserve"> </v>
      </c>
      <c r="O681" s="49" t="str">
        <f t="shared" si="40"/>
        <v xml:space="preserve">[W227.6] </v>
      </c>
    </row>
    <row r="682" spans="1:15" s="49" customFormat="1" ht="14.15" customHeight="1">
      <c r="A682" s="43"/>
      <c r="B682" s="11"/>
      <c r="C682" s="11" t="s">
        <v>18</v>
      </c>
      <c r="D682" s="45" t="s">
        <v>16</v>
      </c>
      <c r="E682" s="47"/>
      <c r="F682" s="40" t="s">
        <v>540</v>
      </c>
      <c r="G682" s="13" t="s">
        <v>7482</v>
      </c>
      <c r="H682" s="99" t="str">
        <f t="shared" si="37"/>
        <v>W227.7</v>
      </c>
      <c r="I682" s="13"/>
      <c r="J682" s="13"/>
      <c r="K682" s="13"/>
      <c r="L682" s="48"/>
      <c r="M682" s="49" t="str">
        <f t="shared" si="38"/>
        <v>[W227.7]</v>
      </c>
      <c r="N682" s="12" t="str">
        <f t="shared" si="39"/>
        <v xml:space="preserve"> </v>
      </c>
      <c r="O682" s="49" t="str">
        <f t="shared" si="40"/>
        <v xml:space="preserve">[W227.7] </v>
      </c>
    </row>
    <row r="683" spans="1:15" s="49" customFormat="1" ht="14.15" customHeight="1">
      <c r="A683" s="43"/>
      <c r="B683" s="11"/>
      <c r="C683" s="11" t="s">
        <v>18</v>
      </c>
      <c r="D683" s="45" t="s">
        <v>16</v>
      </c>
      <c r="E683" s="47"/>
      <c r="F683" s="40" t="s">
        <v>541</v>
      </c>
      <c r="G683" s="13" t="s">
        <v>7483</v>
      </c>
      <c r="H683" s="99" t="str">
        <f t="shared" si="37"/>
        <v>W227.8</v>
      </c>
      <c r="I683" s="13"/>
      <c r="J683" s="13"/>
      <c r="K683" s="13"/>
      <c r="L683" s="48"/>
      <c r="M683" s="49" t="str">
        <f t="shared" si="38"/>
        <v>[W227.8]</v>
      </c>
      <c r="N683" s="12" t="str">
        <f t="shared" si="39"/>
        <v xml:space="preserve"> </v>
      </c>
      <c r="O683" s="49" t="str">
        <f t="shared" si="40"/>
        <v xml:space="preserve">[W227.8] </v>
      </c>
    </row>
    <row r="684" spans="1:15" s="49" customFormat="1" ht="14.15" customHeight="1">
      <c r="A684" s="43"/>
      <c r="B684" s="11"/>
      <c r="C684" s="11" t="s">
        <v>18</v>
      </c>
      <c r="D684" s="45" t="s">
        <v>16</v>
      </c>
      <c r="E684" s="47"/>
      <c r="F684" s="40" t="s">
        <v>542</v>
      </c>
      <c r="G684" s="13" t="s">
        <v>7484</v>
      </c>
      <c r="H684" s="99" t="str">
        <f t="shared" si="37"/>
        <v>W227.9</v>
      </c>
      <c r="I684" s="13"/>
      <c r="J684" s="13"/>
      <c r="K684" s="13"/>
      <c r="L684" s="48"/>
      <c r="M684" s="49" t="str">
        <f t="shared" si="38"/>
        <v>[W227.9]</v>
      </c>
      <c r="N684" s="12" t="str">
        <f t="shared" si="39"/>
        <v xml:space="preserve"> </v>
      </c>
      <c r="O684" s="49" t="str">
        <f t="shared" si="40"/>
        <v xml:space="preserve">[W227.9] </v>
      </c>
    </row>
    <row r="685" spans="1:15" s="49" customFormat="1" ht="14.15" customHeight="1">
      <c r="A685" s="43"/>
      <c r="B685" s="11"/>
      <c r="C685" s="11" t="s">
        <v>18</v>
      </c>
      <c r="D685" s="45" t="s">
        <v>16</v>
      </c>
      <c r="E685" s="47"/>
      <c r="F685" s="40" t="s">
        <v>543</v>
      </c>
      <c r="G685" s="13" t="s">
        <v>7485</v>
      </c>
      <c r="H685" s="99" t="str">
        <f t="shared" si="37"/>
        <v>W227.A</v>
      </c>
      <c r="I685" s="13"/>
      <c r="J685" s="13"/>
      <c r="K685" s="13"/>
      <c r="L685" s="48"/>
      <c r="M685" s="49" t="str">
        <f t="shared" si="38"/>
        <v>[W227.A]</v>
      </c>
      <c r="N685" s="12" t="str">
        <f t="shared" si="39"/>
        <v xml:space="preserve"> </v>
      </c>
      <c r="O685" s="49" t="str">
        <f t="shared" si="40"/>
        <v xml:space="preserve">[W227.A] </v>
      </c>
    </row>
    <row r="686" spans="1:15" s="49" customFormat="1" ht="14.15" customHeight="1">
      <c r="A686" s="43"/>
      <c r="B686" s="11"/>
      <c r="C686" s="11" t="s">
        <v>18</v>
      </c>
      <c r="D686" s="45" t="s">
        <v>16</v>
      </c>
      <c r="E686" s="47"/>
      <c r="F686" s="40" t="s">
        <v>544</v>
      </c>
      <c r="G686" s="13" t="s">
        <v>7486</v>
      </c>
      <c r="H686" s="99" t="str">
        <f t="shared" si="37"/>
        <v>W227.B</v>
      </c>
      <c r="I686" s="13"/>
      <c r="J686" s="13"/>
      <c r="K686" s="13"/>
      <c r="L686" s="48"/>
      <c r="M686" s="49" t="str">
        <f t="shared" si="38"/>
        <v>[W227.B]</v>
      </c>
      <c r="N686" s="12" t="str">
        <f t="shared" si="39"/>
        <v xml:space="preserve"> </v>
      </c>
      <c r="O686" s="49" t="str">
        <f t="shared" si="40"/>
        <v xml:space="preserve">[W227.B] </v>
      </c>
    </row>
    <row r="687" spans="1:15" s="49" customFormat="1" ht="14.15" customHeight="1">
      <c r="A687" s="43"/>
      <c r="B687" s="11"/>
      <c r="C687" s="11" t="s">
        <v>18</v>
      </c>
      <c r="D687" s="45" t="s">
        <v>16</v>
      </c>
      <c r="E687" s="47"/>
      <c r="F687" s="40" t="s">
        <v>545</v>
      </c>
      <c r="G687" s="13" t="s">
        <v>7487</v>
      </c>
      <c r="H687" s="99" t="str">
        <f t="shared" si="37"/>
        <v>W227.C</v>
      </c>
      <c r="I687" s="13"/>
      <c r="J687" s="13"/>
      <c r="K687" s="13"/>
      <c r="L687" s="48"/>
      <c r="M687" s="49" t="str">
        <f t="shared" si="38"/>
        <v>[W227.C]</v>
      </c>
      <c r="N687" s="12" t="str">
        <f t="shared" si="39"/>
        <v xml:space="preserve"> </v>
      </c>
      <c r="O687" s="49" t="str">
        <f t="shared" si="40"/>
        <v xml:space="preserve">[W227.C] </v>
      </c>
    </row>
    <row r="688" spans="1:15" s="49" customFormat="1" ht="14.15" customHeight="1">
      <c r="A688" s="43"/>
      <c r="B688" s="11"/>
      <c r="C688" s="11" t="s">
        <v>18</v>
      </c>
      <c r="D688" s="45" t="s">
        <v>16</v>
      </c>
      <c r="E688" s="47"/>
      <c r="F688" s="40" t="s">
        <v>546</v>
      </c>
      <c r="G688" s="13" t="s">
        <v>7488</v>
      </c>
      <c r="H688" s="99" t="str">
        <f t="shared" si="37"/>
        <v>W227.D</v>
      </c>
      <c r="I688" s="13"/>
      <c r="J688" s="13"/>
      <c r="K688" s="13"/>
      <c r="L688" s="48"/>
      <c r="M688" s="49" t="str">
        <f t="shared" si="38"/>
        <v>[W227.D]</v>
      </c>
      <c r="N688" s="12" t="str">
        <f t="shared" si="39"/>
        <v xml:space="preserve"> </v>
      </c>
      <c r="O688" s="49" t="str">
        <f t="shared" si="40"/>
        <v xml:space="preserve">[W227.D] </v>
      </c>
    </row>
    <row r="689" spans="1:15" s="49" customFormat="1" ht="14.15" customHeight="1">
      <c r="A689" s="43"/>
      <c r="B689" s="11"/>
      <c r="C689" s="11" t="s">
        <v>18</v>
      </c>
      <c r="D689" s="45" t="s">
        <v>16</v>
      </c>
      <c r="E689" s="47"/>
      <c r="F689" s="40" t="s">
        <v>547</v>
      </c>
      <c r="G689" s="13" t="s">
        <v>7489</v>
      </c>
      <c r="H689" s="99" t="str">
        <f t="shared" si="37"/>
        <v>W227.E</v>
      </c>
      <c r="I689" s="13"/>
      <c r="J689" s="13"/>
      <c r="K689" s="13"/>
      <c r="L689" s="48"/>
      <c r="M689" s="49" t="str">
        <f t="shared" si="38"/>
        <v>[W227.E]</v>
      </c>
      <c r="N689" s="12" t="str">
        <f t="shared" si="39"/>
        <v xml:space="preserve"> </v>
      </c>
      <c r="O689" s="49" t="str">
        <f t="shared" si="40"/>
        <v xml:space="preserve">[W227.E] </v>
      </c>
    </row>
    <row r="690" spans="1:15" s="49" customFormat="1" ht="14.15" customHeight="1">
      <c r="A690" s="43"/>
      <c r="B690" s="11"/>
      <c r="C690" s="11" t="s">
        <v>18</v>
      </c>
      <c r="D690" s="45" t="s">
        <v>16</v>
      </c>
      <c r="E690" s="47"/>
      <c r="F690" s="40" t="s">
        <v>548</v>
      </c>
      <c r="G690" s="13" t="s">
        <v>7490</v>
      </c>
      <c r="H690" s="99" t="str">
        <f t="shared" si="37"/>
        <v>W227.F</v>
      </c>
      <c r="I690" s="13"/>
      <c r="J690" s="13"/>
      <c r="K690" s="13"/>
      <c r="L690" s="48"/>
      <c r="M690" s="49" t="str">
        <f t="shared" si="38"/>
        <v>[W227.F]</v>
      </c>
      <c r="N690" s="12" t="str">
        <f t="shared" si="39"/>
        <v xml:space="preserve"> </v>
      </c>
      <c r="O690" s="49" t="str">
        <f t="shared" si="40"/>
        <v xml:space="preserve">[W227.F] </v>
      </c>
    </row>
    <row r="691" spans="1:15" s="49" customFormat="1" ht="14.15" customHeight="1">
      <c r="A691" s="43"/>
      <c r="B691" s="11"/>
      <c r="C691" s="11" t="s">
        <v>18</v>
      </c>
      <c r="D691" s="45" t="s">
        <v>16</v>
      </c>
      <c r="E691" s="47"/>
      <c r="F691" s="40" t="s">
        <v>549</v>
      </c>
      <c r="G691" s="13" t="s">
        <v>7491</v>
      </c>
      <c r="H691" s="99" t="str">
        <f t="shared" si="37"/>
        <v>W228.0</v>
      </c>
      <c r="I691" s="13"/>
      <c r="J691" s="13"/>
      <c r="K691" s="13"/>
      <c r="L691" s="48"/>
      <c r="M691" s="49" t="str">
        <f t="shared" si="38"/>
        <v>[W228.0]</v>
      </c>
      <c r="N691" s="12" t="str">
        <f t="shared" si="39"/>
        <v xml:space="preserve"> </v>
      </c>
      <c r="O691" s="49" t="str">
        <f t="shared" si="40"/>
        <v xml:space="preserve">[W228.0] </v>
      </c>
    </row>
    <row r="692" spans="1:15" s="49" customFormat="1" ht="14.15" customHeight="1">
      <c r="A692" s="43"/>
      <c r="B692" s="11"/>
      <c r="C692" s="11" t="s">
        <v>18</v>
      </c>
      <c r="D692" s="45" t="s">
        <v>16</v>
      </c>
      <c r="E692" s="47"/>
      <c r="F692" s="40" t="s">
        <v>550</v>
      </c>
      <c r="G692" s="13" t="s">
        <v>7492</v>
      </c>
      <c r="H692" s="99" t="str">
        <f t="shared" ref="H692:H755" si="41">"W"&amp;DEC2HEX(512 + INT((ROW()-51)/16)) &amp; "." &amp; IF(MOD(ROW()-51,16)&lt;10,MOD(ROW()-51,16),CHAR(MOD(ROW()-51,16)+55))</f>
        <v>W228.1</v>
      </c>
      <c r="I692" s="13"/>
      <c r="J692" s="13"/>
      <c r="K692" s="13"/>
      <c r="L692" s="48"/>
      <c r="M692" s="49" t="str">
        <f t="shared" ref="M692:M755" si="42">"["&amp;H692&amp;"]"</f>
        <v>[W228.1]</v>
      </c>
      <c r="N692" s="12" t="str">
        <f t="shared" ref="N692:N755" si="43">RIGHT(F692,LEN(F692)-7)</f>
        <v xml:space="preserve"> </v>
      </c>
      <c r="O692" s="49" t="str">
        <f t="shared" ref="O692:O755" si="44">M692&amp;N692</f>
        <v xml:space="preserve">[W228.1] </v>
      </c>
    </row>
    <row r="693" spans="1:15" s="49" customFormat="1" ht="14.15" customHeight="1">
      <c r="A693" s="43"/>
      <c r="B693" s="11"/>
      <c r="C693" s="11" t="s">
        <v>18</v>
      </c>
      <c r="D693" s="45" t="s">
        <v>16</v>
      </c>
      <c r="E693" s="47"/>
      <c r="F693" s="40" t="s">
        <v>551</v>
      </c>
      <c r="G693" s="13" t="s">
        <v>7493</v>
      </c>
      <c r="H693" s="99" t="str">
        <f t="shared" si="41"/>
        <v>W228.2</v>
      </c>
      <c r="I693" s="13"/>
      <c r="J693" s="13"/>
      <c r="K693" s="13"/>
      <c r="L693" s="48"/>
      <c r="M693" s="49" t="str">
        <f t="shared" si="42"/>
        <v>[W228.2]</v>
      </c>
      <c r="N693" s="12" t="str">
        <f t="shared" si="43"/>
        <v xml:space="preserve"> </v>
      </c>
      <c r="O693" s="49" t="str">
        <f t="shared" si="44"/>
        <v xml:space="preserve">[W228.2] </v>
      </c>
    </row>
    <row r="694" spans="1:15" s="49" customFormat="1" ht="14.15" customHeight="1">
      <c r="A694" s="43"/>
      <c r="B694" s="11"/>
      <c r="C694" s="11" t="s">
        <v>18</v>
      </c>
      <c r="D694" s="45" t="s">
        <v>16</v>
      </c>
      <c r="E694" s="47"/>
      <c r="F694" s="40" t="s">
        <v>552</v>
      </c>
      <c r="G694" s="13" t="s">
        <v>7494</v>
      </c>
      <c r="H694" s="99" t="str">
        <f t="shared" si="41"/>
        <v>W228.3</v>
      </c>
      <c r="I694" s="13"/>
      <c r="J694" s="13"/>
      <c r="K694" s="13"/>
      <c r="L694" s="48"/>
      <c r="M694" s="49" t="str">
        <f t="shared" si="42"/>
        <v>[W228.3]</v>
      </c>
      <c r="N694" s="12" t="str">
        <f t="shared" si="43"/>
        <v xml:space="preserve"> </v>
      </c>
      <c r="O694" s="49" t="str">
        <f t="shared" si="44"/>
        <v xml:space="preserve">[W228.3] </v>
      </c>
    </row>
    <row r="695" spans="1:15" s="49" customFormat="1" ht="14.15" customHeight="1">
      <c r="A695" s="43"/>
      <c r="B695" s="11"/>
      <c r="C695" s="11" t="s">
        <v>18</v>
      </c>
      <c r="D695" s="45" t="s">
        <v>16</v>
      </c>
      <c r="E695" s="47"/>
      <c r="F695" s="40" t="s">
        <v>553</v>
      </c>
      <c r="G695" s="13" t="s">
        <v>7495</v>
      </c>
      <c r="H695" s="99" t="str">
        <f t="shared" si="41"/>
        <v>W228.4</v>
      </c>
      <c r="I695" s="13"/>
      <c r="J695" s="13"/>
      <c r="K695" s="13"/>
      <c r="L695" s="48"/>
      <c r="M695" s="49" t="str">
        <f t="shared" si="42"/>
        <v>[W228.4]</v>
      </c>
      <c r="N695" s="12" t="str">
        <f t="shared" si="43"/>
        <v xml:space="preserve"> </v>
      </c>
      <c r="O695" s="49" t="str">
        <f t="shared" si="44"/>
        <v xml:space="preserve">[W228.4] </v>
      </c>
    </row>
    <row r="696" spans="1:15" s="49" customFormat="1" ht="14.15" customHeight="1">
      <c r="A696" s="43"/>
      <c r="B696" s="11"/>
      <c r="C696" s="11" t="s">
        <v>18</v>
      </c>
      <c r="D696" s="45" t="s">
        <v>16</v>
      </c>
      <c r="E696" s="47"/>
      <c r="F696" s="40" t="s">
        <v>554</v>
      </c>
      <c r="G696" s="13" t="s">
        <v>7496</v>
      </c>
      <c r="H696" s="99" t="str">
        <f t="shared" si="41"/>
        <v>W228.5</v>
      </c>
      <c r="I696" s="13"/>
      <c r="J696" s="13"/>
      <c r="K696" s="13"/>
      <c r="L696" s="48"/>
      <c r="M696" s="49" t="str">
        <f t="shared" si="42"/>
        <v>[W228.5]</v>
      </c>
      <c r="N696" s="12" t="str">
        <f t="shared" si="43"/>
        <v xml:space="preserve"> </v>
      </c>
      <c r="O696" s="49" t="str">
        <f t="shared" si="44"/>
        <v xml:space="preserve">[W228.5] </v>
      </c>
    </row>
    <row r="697" spans="1:15" s="49" customFormat="1" ht="14.15" customHeight="1">
      <c r="A697" s="43"/>
      <c r="B697" s="11"/>
      <c r="C697" s="11" t="s">
        <v>18</v>
      </c>
      <c r="D697" s="45" t="s">
        <v>16</v>
      </c>
      <c r="E697" s="47"/>
      <c r="F697" s="40" t="s">
        <v>555</v>
      </c>
      <c r="G697" s="13" t="s">
        <v>7497</v>
      </c>
      <c r="H697" s="99" t="str">
        <f t="shared" si="41"/>
        <v>W228.6</v>
      </c>
      <c r="I697" s="13"/>
      <c r="J697" s="13"/>
      <c r="K697" s="13"/>
      <c r="L697" s="48"/>
      <c r="M697" s="49" t="str">
        <f t="shared" si="42"/>
        <v>[W228.6]</v>
      </c>
      <c r="N697" s="12" t="str">
        <f t="shared" si="43"/>
        <v xml:space="preserve"> </v>
      </c>
      <c r="O697" s="49" t="str">
        <f t="shared" si="44"/>
        <v xml:space="preserve">[W228.6] </v>
      </c>
    </row>
    <row r="698" spans="1:15" s="49" customFormat="1" ht="14.15" customHeight="1">
      <c r="A698" s="43"/>
      <c r="B698" s="11"/>
      <c r="C698" s="11" t="s">
        <v>18</v>
      </c>
      <c r="D698" s="45" t="s">
        <v>16</v>
      </c>
      <c r="E698" s="47"/>
      <c r="F698" s="40" t="s">
        <v>556</v>
      </c>
      <c r="G698" s="13" t="s">
        <v>7498</v>
      </c>
      <c r="H698" s="99" t="str">
        <f t="shared" si="41"/>
        <v>W228.7</v>
      </c>
      <c r="I698" s="13"/>
      <c r="J698" s="13"/>
      <c r="K698" s="13"/>
      <c r="L698" s="48"/>
      <c r="M698" s="49" t="str">
        <f t="shared" si="42"/>
        <v>[W228.7]</v>
      </c>
      <c r="N698" s="12" t="str">
        <f t="shared" si="43"/>
        <v xml:space="preserve"> </v>
      </c>
      <c r="O698" s="49" t="str">
        <f t="shared" si="44"/>
        <v xml:space="preserve">[W228.7] </v>
      </c>
    </row>
    <row r="699" spans="1:15" s="49" customFormat="1" ht="14.15" customHeight="1">
      <c r="A699" s="43"/>
      <c r="B699" s="11"/>
      <c r="C699" s="11" t="s">
        <v>18</v>
      </c>
      <c r="D699" s="45" t="s">
        <v>16</v>
      </c>
      <c r="E699" s="47"/>
      <c r="F699" s="40" t="s">
        <v>557</v>
      </c>
      <c r="G699" s="13" t="s">
        <v>7499</v>
      </c>
      <c r="H699" s="99" t="str">
        <f t="shared" si="41"/>
        <v>W228.8</v>
      </c>
      <c r="I699" s="13"/>
      <c r="J699" s="13"/>
      <c r="K699" s="13"/>
      <c r="L699" s="48"/>
      <c r="M699" s="49" t="str">
        <f t="shared" si="42"/>
        <v>[W228.8]</v>
      </c>
      <c r="N699" s="12" t="str">
        <f t="shared" si="43"/>
        <v xml:space="preserve"> </v>
      </c>
      <c r="O699" s="49" t="str">
        <f t="shared" si="44"/>
        <v xml:space="preserve">[W228.8] </v>
      </c>
    </row>
    <row r="700" spans="1:15" s="49" customFormat="1" ht="14.15" customHeight="1">
      <c r="A700" s="43"/>
      <c r="B700" s="11"/>
      <c r="C700" s="11" t="s">
        <v>18</v>
      </c>
      <c r="D700" s="45" t="s">
        <v>16</v>
      </c>
      <c r="E700" s="47"/>
      <c r="F700" s="40" t="s">
        <v>558</v>
      </c>
      <c r="G700" s="13" t="s">
        <v>7500</v>
      </c>
      <c r="H700" s="99" t="str">
        <f t="shared" si="41"/>
        <v>W228.9</v>
      </c>
      <c r="I700" s="13"/>
      <c r="J700" s="13"/>
      <c r="K700" s="13"/>
      <c r="L700" s="48"/>
      <c r="M700" s="49" t="str">
        <f t="shared" si="42"/>
        <v>[W228.9]</v>
      </c>
      <c r="N700" s="12" t="str">
        <f t="shared" si="43"/>
        <v xml:space="preserve"> </v>
      </c>
      <c r="O700" s="49" t="str">
        <f t="shared" si="44"/>
        <v xml:space="preserve">[W228.9] </v>
      </c>
    </row>
    <row r="701" spans="1:15" s="49" customFormat="1" ht="14.15" customHeight="1">
      <c r="A701" s="43"/>
      <c r="B701" s="11"/>
      <c r="C701" s="11" t="s">
        <v>18</v>
      </c>
      <c r="D701" s="45" t="s">
        <v>16</v>
      </c>
      <c r="E701" s="47"/>
      <c r="F701" s="40" t="s">
        <v>559</v>
      </c>
      <c r="G701" s="13" t="s">
        <v>7501</v>
      </c>
      <c r="H701" s="99" t="str">
        <f t="shared" si="41"/>
        <v>W228.A</v>
      </c>
      <c r="I701" s="13"/>
      <c r="J701" s="13"/>
      <c r="K701" s="13"/>
      <c r="L701" s="48"/>
      <c r="M701" s="49" t="str">
        <f t="shared" si="42"/>
        <v>[W228.A]</v>
      </c>
      <c r="N701" s="12" t="str">
        <f t="shared" si="43"/>
        <v xml:space="preserve"> </v>
      </c>
      <c r="O701" s="49" t="str">
        <f t="shared" si="44"/>
        <v xml:space="preserve">[W228.A] </v>
      </c>
    </row>
    <row r="702" spans="1:15" s="49" customFormat="1" ht="14.15" customHeight="1">
      <c r="A702" s="43"/>
      <c r="B702" s="11"/>
      <c r="C702" s="11" t="s">
        <v>18</v>
      </c>
      <c r="D702" s="45" t="s">
        <v>16</v>
      </c>
      <c r="E702" s="47"/>
      <c r="F702" s="40" t="s">
        <v>560</v>
      </c>
      <c r="G702" s="13" t="s">
        <v>7502</v>
      </c>
      <c r="H702" s="99" t="str">
        <f t="shared" si="41"/>
        <v>W228.B</v>
      </c>
      <c r="I702" s="13"/>
      <c r="J702" s="13"/>
      <c r="K702" s="13"/>
      <c r="L702" s="48"/>
      <c r="M702" s="49" t="str">
        <f t="shared" si="42"/>
        <v>[W228.B]</v>
      </c>
      <c r="N702" s="12" t="str">
        <f t="shared" si="43"/>
        <v xml:space="preserve"> </v>
      </c>
      <c r="O702" s="49" t="str">
        <f t="shared" si="44"/>
        <v xml:space="preserve">[W228.B] </v>
      </c>
    </row>
    <row r="703" spans="1:15" s="49" customFormat="1" ht="14.15" customHeight="1">
      <c r="A703" s="43"/>
      <c r="B703" s="11"/>
      <c r="C703" s="11" t="s">
        <v>18</v>
      </c>
      <c r="D703" s="45" t="s">
        <v>16</v>
      </c>
      <c r="E703" s="47"/>
      <c r="F703" s="40" t="s">
        <v>561</v>
      </c>
      <c r="G703" s="13" t="s">
        <v>7503</v>
      </c>
      <c r="H703" s="99" t="str">
        <f t="shared" si="41"/>
        <v>W228.C</v>
      </c>
      <c r="I703" s="13"/>
      <c r="J703" s="13"/>
      <c r="K703" s="13"/>
      <c r="L703" s="48"/>
      <c r="M703" s="49" t="str">
        <f t="shared" si="42"/>
        <v>[W228.C]</v>
      </c>
      <c r="N703" s="12" t="str">
        <f t="shared" si="43"/>
        <v xml:space="preserve"> </v>
      </c>
      <c r="O703" s="49" t="str">
        <f t="shared" si="44"/>
        <v xml:space="preserve">[W228.C] </v>
      </c>
    </row>
    <row r="704" spans="1:15" s="49" customFormat="1" ht="14.15" customHeight="1">
      <c r="A704" s="43"/>
      <c r="B704" s="11"/>
      <c r="C704" s="11" t="s">
        <v>18</v>
      </c>
      <c r="D704" s="45" t="s">
        <v>16</v>
      </c>
      <c r="E704" s="47"/>
      <c r="F704" s="40" t="s">
        <v>562</v>
      </c>
      <c r="G704" s="13" t="s">
        <v>7504</v>
      </c>
      <c r="H704" s="99" t="str">
        <f t="shared" si="41"/>
        <v>W228.D</v>
      </c>
      <c r="I704" s="13"/>
      <c r="J704" s="13"/>
      <c r="K704" s="13"/>
      <c r="L704" s="48"/>
      <c r="M704" s="49" t="str">
        <f t="shared" si="42"/>
        <v>[W228.D]</v>
      </c>
      <c r="N704" s="12" t="str">
        <f t="shared" si="43"/>
        <v xml:space="preserve"> </v>
      </c>
      <c r="O704" s="49" t="str">
        <f t="shared" si="44"/>
        <v xml:space="preserve">[W228.D] </v>
      </c>
    </row>
    <row r="705" spans="1:15" s="49" customFormat="1" ht="14.15" customHeight="1">
      <c r="A705" s="43"/>
      <c r="B705" s="11"/>
      <c r="C705" s="11" t="s">
        <v>18</v>
      </c>
      <c r="D705" s="45" t="s">
        <v>16</v>
      </c>
      <c r="E705" s="47"/>
      <c r="F705" s="40" t="s">
        <v>563</v>
      </c>
      <c r="G705" s="13" t="s">
        <v>7505</v>
      </c>
      <c r="H705" s="99" t="str">
        <f t="shared" si="41"/>
        <v>W228.E</v>
      </c>
      <c r="I705" s="13"/>
      <c r="J705" s="13"/>
      <c r="K705" s="13"/>
      <c r="L705" s="48"/>
      <c r="M705" s="49" t="str">
        <f t="shared" si="42"/>
        <v>[W228.E]</v>
      </c>
      <c r="N705" s="12" t="str">
        <f t="shared" si="43"/>
        <v xml:space="preserve"> </v>
      </c>
      <c r="O705" s="49" t="str">
        <f t="shared" si="44"/>
        <v xml:space="preserve">[W228.E] </v>
      </c>
    </row>
    <row r="706" spans="1:15" s="49" customFormat="1" ht="14.15" customHeight="1">
      <c r="A706" s="43"/>
      <c r="B706" s="11"/>
      <c r="C706" s="11" t="s">
        <v>18</v>
      </c>
      <c r="D706" s="45" t="s">
        <v>16</v>
      </c>
      <c r="E706" s="47"/>
      <c r="F706" s="40" t="s">
        <v>564</v>
      </c>
      <c r="G706" s="13" t="s">
        <v>7506</v>
      </c>
      <c r="H706" s="99" t="str">
        <f t="shared" si="41"/>
        <v>W228.F</v>
      </c>
      <c r="I706" s="13"/>
      <c r="J706" s="13"/>
      <c r="K706" s="13"/>
      <c r="L706" s="48"/>
      <c r="M706" s="49" t="str">
        <f t="shared" si="42"/>
        <v>[W228.F]</v>
      </c>
      <c r="N706" s="12" t="str">
        <f t="shared" si="43"/>
        <v xml:space="preserve"> </v>
      </c>
      <c r="O706" s="49" t="str">
        <f t="shared" si="44"/>
        <v xml:space="preserve">[W228.F] </v>
      </c>
    </row>
    <row r="707" spans="1:15" s="49" customFormat="1" ht="14.15" customHeight="1">
      <c r="A707" s="43"/>
      <c r="B707" s="11"/>
      <c r="C707" s="11" t="s">
        <v>18</v>
      </c>
      <c r="D707" s="45" t="s">
        <v>16</v>
      </c>
      <c r="E707" s="47"/>
      <c r="F707" s="40" t="s">
        <v>565</v>
      </c>
      <c r="G707" s="13" t="s">
        <v>7507</v>
      </c>
      <c r="H707" s="99" t="str">
        <f t="shared" si="41"/>
        <v>W229.0</v>
      </c>
      <c r="I707" s="13"/>
      <c r="J707" s="13"/>
      <c r="K707" s="13"/>
      <c r="L707" s="48"/>
      <c r="M707" s="49" t="str">
        <f t="shared" si="42"/>
        <v>[W229.0]</v>
      </c>
      <c r="N707" s="12" t="str">
        <f t="shared" si="43"/>
        <v xml:space="preserve"> </v>
      </c>
      <c r="O707" s="49" t="str">
        <f t="shared" si="44"/>
        <v xml:space="preserve">[W229.0] </v>
      </c>
    </row>
    <row r="708" spans="1:15" s="49" customFormat="1" ht="14.15" customHeight="1">
      <c r="A708" s="43"/>
      <c r="B708" s="11"/>
      <c r="C708" s="11" t="s">
        <v>18</v>
      </c>
      <c r="D708" s="45" t="s">
        <v>16</v>
      </c>
      <c r="E708" s="47"/>
      <c r="F708" s="40" t="s">
        <v>566</v>
      </c>
      <c r="G708" s="13" t="s">
        <v>7508</v>
      </c>
      <c r="H708" s="99" t="str">
        <f t="shared" si="41"/>
        <v>W229.1</v>
      </c>
      <c r="I708" s="13"/>
      <c r="J708" s="13"/>
      <c r="K708" s="13"/>
      <c r="L708" s="48"/>
      <c r="M708" s="49" t="str">
        <f t="shared" si="42"/>
        <v>[W229.1]</v>
      </c>
      <c r="N708" s="12" t="str">
        <f t="shared" si="43"/>
        <v xml:space="preserve"> </v>
      </c>
      <c r="O708" s="49" t="str">
        <f t="shared" si="44"/>
        <v xml:space="preserve">[W229.1] </v>
      </c>
    </row>
    <row r="709" spans="1:15" s="49" customFormat="1" ht="14.15" customHeight="1">
      <c r="A709" s="43"/>
      <c r="B709" s="11"/>
      <c r="C709" s="11" t="s">
        <v>18</v>
      </c>
      <c r="D709" s="45" t="s">
        <v>16</v>
      </c>
      <c r="E709" s="47"/>
      <c r="F709" s="40" t="s">
        <v>567</v>
      </c>
      <c r="G709" s="13" t="s">
        <v>7509</v>
      </c>
      <c r="H709" s="99" t="str">
        <f t="shared" si="41"/>
        <v>W229.2</v>
      </c>
      <c r="I709" s="13"/>
      <c r="J709" s="13"/>
      <c r="K709" s="13"/>
      <c r="L709" s="48"/>
      <c r="M709" s="49" t="str">
        <f t="shared" si="42"/>
        <v>[W229.2]</v>
      </c>
      <c r="N709" s="12" t="str">
        <f t="shared" si="43"/>
        <v xml:space="preserve"> </v>
      </c>
      <c r="O709" s="49" t="str">
        <f t="shared" si="44"/>
        <v xml:space="preserve">[W229.2] </v>
      </c>
    </row>
    <row r="710" spans="1:15" s="49" customFormat="1" ht="14.15" customHeight="1">
      <c r="A710" s="43"/>
      <c r="B710" s="11"/>
      <c r="C710" s="11" t="s">
        <v>18</v>
      </c>
      <c r="D710" s="45" t="s">
        <v>16</v>
      </c>
      <c r="E710" s="47"/>
      <c r="F710" s="40" t="s">
        <v>568</v>
      </c>
      <c r="G710" s="13" t="s">
        <v>7510</v>
      </c>
      <c r="H710" s="99" t="str">
        <f t="shared" si="41"/>
        <v>W229.3</v>
      </c>
      <c r="I710" s="13"/>
      <c r="J710" s="13"/>
      <c r="K710" s="13"/>
      <c r="L710" s="48"/>
      <c r="M710" s="49" t="str">
        <f t="shared" si="42"/>
        <v>[W229.3]</v>
      </c>
      <c r="N710" s="12" t="str">
        <f t="shared" si="43"/>
        <v xml:space="preserve"> </v>
      </c>
      <c r="O710" s="49" t="str">
        <f t="shared" si="44"/>
        <v xml:space="preserve">[W229.3] </v>
      </c>
    </row>
    <row r="711" spans="1:15" s="49" customFormat="1" ht="14.15" customHeight="1">
      <c r="A711" s="43"/>
      <c r="B711" s="11"/>
      <c r="C711" s="11" t="s">
        <v>18</v>
      </c>
      <c r="D711" s="45" t="s">
        <v>16</v>
      </c>
      <c r="E711" s="47"/>
      <c r="F711" s="40" t="s">
        <v>569</v>
      </c>
      <c r="G711" s="13" t="s">
        <v>7511</v>
      </c>
      <c r="H711" s="99" t="str">
        <f t="shared" si="41"/>
        <v>W229.4</v>
      </c>
      <c r="I711" s="13"/>
      <c r="J711" s="13"/>
      <c r="K711" s="13"/>
      <c r="L711" s="48"/>
      <c r="M711" s="49" t="str">
        <f t="shared" si="42"/>
        <v>[W229.4]</v>
      </c>
      <c r="N711" s="12" t="str">
        <f t="shared" si="43"/>
        <v xml:space="preserve"> </v>
      </c>
      <c r="O711" s="49" t="str">
        <f t="shared" si="44"/>
        <v xml:space="preserve">[W229.4] </v>
      </c>
    </row>
    <row r="712" spans="1:15" s="49" customFormat="1" ht="14.15" customHeight="1">
      <c r="A712" s="43"/>
      <c r="B712" s="11"/>
      <c r="C712" s="11" t="s">
        <v>18</v>
      </c>
      <c r="D712" s="45" t="s">
        <v>16</v>
      </c>
      <c r="E712" s="47"/>
      <c r="F712" s="40" t="s">
        <v>570</v>
      </c>
      <c r="G712" s="13" t="s">
        <v>7512</v>
      </c>
      <c r="H712" s="99" t="str">
        <f t="shared" si="41"/>
        <v>W229.5</v>
      </c>
      <c r="I712" s="13"/>
      <c r="J712" s="13"/>
      <c r="K712" s="13"/>
      <c r="L712" s="48"/>
      <c r="M712" s="49" t="str">
        <f t="shared" si="42"/>
        <v>[W229.5]</v>
      </c>
      <c r="N712" s="12" t="str">
        <f t="shared" si="43"/>
        <v xml:space="preserve"> </v>
      </c>
      <c r="O712" s="49" t="str">
        <f t="shared" si="44"/>
        <v xml:space="preserve">[W229.5] </v>
      </c>
    </row>
    <row r="713" spans="1:15" s="49" customFormat="1" ht="14.15" customHeight="1">
      <c r="A713" s="43"/>
      <c r="B713" s="11"/>
      <c r="C713" s="11" t="s">
        <v>18</v>
      </c>
      <c r="D713" s="45" t="s">
        <v>16</v>
      </c>
      <c r="E713" s="47"/>
      <c r="F713" s="40" t="s">
        <v>571</v>
      </c>
      <c r="G713" s="13" t="s">
        <v>7513</v>
      </c>
      <c r="H713" s="99" t="str">
        <f t="shared" si="41"/>
        <v>W229.6</v>
      </c>
      <c r="I713" s="13"/>
      <c r="J713" s="13"/>
      <c r="K713" s="13"/>
      <c r="L713" s="48"/>
      <c r="M713" s="49" t="str">
        <f t="shared" si="42"/>
        <v>[W229.6]</v>
      </c>
      <c r="N713" s="12" t="str">
        <f t="shared" si="43"/>
        <v xml:space="preserve"> </v>
      </c>
      <c r="O713" s="49" t="str">
        <f t="shared" si="44"/>
        <v xml:space="preserve">[W229.6] </v>
      </c>
    </row>
    <row r="714" spans="1:15" s="49" customFormat="1" ht="14.15" customHeight="1">
      <c r="A714" s="43"/>
      <c r="B714" s="11"/>
      <c r="C714" s="11" t="s">
        <v>18</v>
      </c>
      <c r="D714" s="45" t="s">
        <v>16</v>
      </c>
      <c r="E714" s="47"/>
      <c r="F714" s="40" t="s">
        <v>572</v>
      </c>
      <c r="G714" s="13" t="s">
        <v>7514</v>
      </c>
      <c r="H714" s="99" t="str">
        <f t="shared" si="41"/>
        <v>W229.7</v>
      </c>
      <c r="I714" s="13"/>
      <c r="J714" s="13"/>
      <c r="K714" s="13"/>
      <c r="L714" s="48"/>
      <c r="M714" s="49" t="str">
        <f t="shared" si="42"/>
        <v>[W229.7]</v>
      </c>
      <c r="N714" s="12" t="str">
        <f t="shared" si="43"/>
        <v xml:space="preserve"> </v>
      </c>
      <c r="O714" s="49" t="str">
        <f t="shared" si="44"/>
        <v xml:space="preserve">[W229.7] </v>
      </c>
    </row>
    <row r="715" spans="1:15" s="49" customFormat="1" ht="14.15" customHeight="1">
      <c r="A715" s="43"/>
      <c r="B715" s="11"/>
      <c r="C715" s="11" t="s">
        <v>18</v>
      </c>
      <c r="D715" s="45" t="s">
        <v>16</v>
      </c>
      <c r="E715" s="47"/>
      <c r="F715" s="40" t="s">
        <v>573</v>
      </c>
      <c r="G715" s="13" t="s">
        <v>7515</v>
      </c>
      <c r="H715" s="99" t="str">
        <f t="shared" si="41"/>
        <v>W229.8</v>
      </c>
      <c r="I715" s="13"/>
      <c r="J715" s="13"/>
      <c r="K715" s="13"/>
      <c r="L715" s="48"/>
      <c r="M715" s="49" t="str">
        <f t="shared" si="42"/>
        <v>[W229.8]</v>
      </c>
      <c r="N715" s="12" t="str">
        <f t="shared" si="43"/>
        <v xml:space="preserve"> </v>
      </c>
      <c r="O715" s="49" t="str">
        <f t="shared" si="44"/>
        <v xml:space="preserve">[W229.8] </v>
      </c>
    </row>
    <row r="716" spans="1:15" s="49" customFormat="1" ht="14.15" customHeight="1">
      <c r="A716" s="43"/>
      <c r="B716" s="11"/>
      <c r="C716" s="11" t="s">
        <v>18</v>
      </c>
      <c r="D716" s="45" t="s">
        <v>16</v>
      </c>
      <c r="E716" s="47"/>
      <c r="F716" s="40" t="s">
        <v>574</v>
      </c>
      <c r="G716" s="13" t="s">
        <v>7516</v>
      </c>
      <c r="H716" s="99" t="str">
        <f t="shared" si="41"/>
        <v>W229.9</v>
      </c>
      <c r="I716" s="13"/>
      <c r="J716" s="13"/>
      <c r="K716" s="13"/>
      <c r="L716" s="48"/>
      <c r="M716" s="49" t="str">
        <f t="shared" si="42"/>
        <v>[W229.9]</v>
      </c>
      <c r="N716" s="12" t="str">
        <f t="shared" si="43"/>
        <v xml:space="preserve"> </v>
      </c>
      <c r="O716" s="49" t="str">
        <f t="shared" si="44"/>
        <v xml:space="preserve">[W229.9] </v>
      </c>
    </row>
    <row r="717" spans="1:15" s="49" customFormat="1" ht="14.15" customHeight="1">
      <c r="A717" s="43"/>
      <c r="B717" s="11"/>
      <c r="C717" s="11" t="s">
        <v>18</v>
      </c>
      <c r="D717" s="45" t="s">
        <v>16</v>
      </c>
      <c r="E717" s="47"/>
      <c r="F717" s="40" t="s">
        <v>575</v>
      </c>
      <c r="G717" s="13" t="s">
        <v>7517</v>
      </c>
      <c r="H717" s="99" t="str">
        <f t="shared" si="41"/>
        <v>W229.A</v>
      </c>
      <c r="I717" s="13"/>
      <c r="J717" s="13"/>
      <c r="K717" s="13"/>
      <c r="L717" s="48"/>
      <c r="M717" s="49" t="str">
        <f t="shared" si="42"/>
        <v>[W229.A]</v>
      </c>
      <c r="N717" s="12" t="str">
        <f t="shared" si="43"/>
        <v xml:space="preserve"> </v>
      </c>
      <c r="O717" s="49" t="str">
        <f t="shared" si="44"/>
        <v xml:space="preserve">[W229.A] </v>
      </c>
    </row>
    <row r="718" spans="1:15" s="49" customFormat="1" ht="14.15" customHeight="1">
      <c r="A718" s="43"/>
      <c r="B718" s="11"/>
      <c r="C718" s="11" t="s">
        <v>18</v>
      </c>
      <c r="D718" s="45" t="s">
        <v>16</v>
      </c>
      <c r="E718" s="47"/>
      <c r="F718" s="40" t="s">
        <v>576</v>
      </c>
      <c r="G718" s="13" t="s">
        <v>7518</v>
      </c>
      <c r="H718" s="99" t="str">
        <f t="shared" si="41"/>
        <v>W229.B</v>
      </c>
      <c r="I718" s="13"/>
      <c r="J718" s="13"/>
      <c r="K718" s="13"/>
      <c r="L718" s="48"/>
      <c r="M718" s="49" t="str">
        <f t="shared" si="42"/>
        <v>[W229.B]</v>
      </c>
      <c r="N718" s="12" t="str">
        <f t="shared" si="43"/>
        <v xml:space="preserve"> </v>
      </c>
      <c r="O718" s="49" t="str">
        <f t="shared" si="44"/>
        <v xml:space="preserve">[W229.B] </v>
      </c>
    </row>
    <row r="719" spans="1:15" s="49" customFormat="1" ht="14.15" customHeight="1">
      <c r="A719" s="43"/>
      <c r="B719" s="11"/>
      <c r="C719" s="11" t="s">
        <v>18</v>
      </c>
      <c r="D719" s="45" t="s">
        <v>16</v>
      </c>
      <c r="E719" s="47"/>
      <c r="F719" s="40" t="s">
        <v>577</v>
      </c>
      <c r="G719" s="13" t="s">
        <v>7519</v>
      </c>
      <c r="H719" s="99" t="str">
        <f t="shared" si="41"/>
        <v>W229.C</v>
      </c>
      <c r="I719" s="13"/>
      <c r="J719" s="13"/>
      <c r="K719" s="13"/>
      <c r="L719" s="48"/>
      <c r="M719" s="49" t="str">
        <f t="shared" si="42"/>
        <v>[W229.C]</v>
      </c>
      <c r="N719" s="12" t="str">
        <f t="shared" si="43"/>
        <v xml:space="preserve"> </v>
      </c>
      <c r="O719" s="49" t="str">
        <f t="shared" si="44"/>
        <v xml:space="preserve">[W229.C] </v>
      </c>
    </row>
    <row r="720" spans="1:15" s="49" customFormat="1" ht="14.15" customHeight="1">
      <c r="A720" s="43"/>
      <c r="B720" s="11"/>
      <c r="C720" s="11" t="s">
        <v>18</v>
      </c>
      <c r="D720" s="45" t="s">
        <v>16</v>
      </c>
      <c r="E720" s="47"/>
      <c r="F720" s="40" t="s">
        <v>578</v>
      </c>
      <c r="G720" s="13" t="s">
        <v>7520</v>
      </c>
      <c r="H720" s="99" t="str">
        <f t="shared" si="41"/>
        <v>W229.D</v>
      </c>
      <c r="I720" s="13"/>
      <c r="J720" s="13"/>
      <c r="K720" s="13"/>
      <c r="L720" s="48"/>
      <c r="M720" s="49" t="str">
        <f t="shared" si="42"/>
        <v>[W229.D]</v>
      </c>
      <c r="N720" s="12" t="str">
        <f t="shared" si="43"/>
        <v xml:space="preserve"> </v>
      </c>
      <c r="O720" s="49" t="str">
        <f t="shared" si="44"/>
        <v xml:space="preserve">[W229.D] </v>
      </c>
    </row>
    <row r="721" spans="1:15" s="49" customFormat="1" ht="14.15" customHeight="1">
      <c r="A721" s="43"/>
      <c r="B721" s="11"/>
      <c r="C721" s="11" t="s">
        <v>18</v>
      </c>
      <c r="D721" s="45" t="s">
        <v>16</v>
      </c>
      <c r="E721" s="47"/>
      <c r="F721" s="40" t="s">
        <v>579</v>
      </c>
      <c r="G721" s="13" t="s">
        <v>7521</v>
      </c>
      <c r="H721" s="99" t="str">
        <f t="shared" si="41"/>
        <v>W229.E</v>
      </c>
      <c r="I721" s="13"/>
      <c r="J721" s="13"/>
      <c r="K721" s="13"/>
      <c r="L721" s="48"/>
      <c r="M721" s="49" t="str">
        <f t="shared" si="42"/>
        <v>[W229.E]</v>
      </c>
      <c r="N721" s="12" t="str">
        <f t="shared" si="43"/>
        <v xml:space="preserve"> </v>
      </c>
      <c r="O721" s="49" t="str">
        <f t="shared" si="44"/>
        <v xml:space="preserve">[W229.E] </v>
      </c>
    </row>
    <row r="722" spans="1:15" s="49" customFormat="1" ht="14.15" customHeight="1">
      <c r="A722" s="43"/>
      <c r="B722" s="11"/>
      <c r="C722" s="11" t="s">
        <v>18</v>
      </c>
      <c r="D722" s="45" t="s">
        <v>16</v>
      </c>
      <c r="E722" s="47"/>
      <c r="F722" s="40" t="s">
        <v>580</v>
      </c>
      <c r="G722" s="13" t="s">
        <v>7522</v>
      </c>
      <c r="H722" s="99" t="str">
        <f t="shared" si="41"/>
        <v>W229.F</v>
      </c>
      <c r="I722" s="13"/>
      <c r="J722" s="13"/>
      <c r="K722" s="13"/>
      <c r="L722" s="48"/>
      <c r="M722" s="49" t="str">
        <f t="shared" si="42"/>
        <v>[W229.F]</v>
      </c>
      <c r="N722" s="12" t="str">
        <f t="shared" si="43"/>
        <v xml:space="preserve"> </v>
      </c>
      <c r="O722" s="49" t="str">
        <f t="shared" si="44"/>
        <v xml:space="preserve">[W229.F] </v>
      </c>
    </row>
    <row r="723" spans="1:15" s="49" customFormat="1" ht="14.15" customHeight="1">
      <c r="A723" s="43"/>
      <c r="B723" s="11"/>
      <c r="C723" s="11" t="s">
        <v>18</v>
      </c>
      <c r="D723" s="45" t="s">
        <v>16</v>
      </c>
      <c r="E723" s="47"/>
      <c r="F723" s="40" t="s">
        <v>581</v>
      </c>
      <c r="G723" s="13" t="s">
        <v>7523</v>
      </c>
      <c r="H723" s="99" t="str">
        <f t="shared" si="41"/>
        <v>W22A.0</v>
      </c>
      <c r="I723" s="13"/>
      <c r="J723" s="13"/>
      <c r="K723" s="13"/>
      <c r="L723" s="48"/>
      <c r="M723" s="49" t="str">
        <f t="shared" si="42"/>
        <v>[W22A.0]</v>
      </c>
      <c r="N723" s="12" t="str">
        <f t="shared" si="43"/>
        <v xml:space="preserve"> </v>
      </c>
      <c r="O723" s="49" t="str">
        <f t="shared" si="44"/>
        <v xml:space="preserve">[W22A.0] </v>
      </c>
    </row>
    <row r="724" spans="1:15" s="49" customFormat="1" ht="14.15" customHeight="1">
      <c r="A724" s="43"/>
      <c r="B724" s="11"/>
      <c r="C724" s="11" t="s">
        <v>18</v>
      </c>
      <c r="D724" s="45" t="s">
        <v>16</v>
      </c>
      <c r="E724" s="47"/>
      <c r="F724" s="40" t="s">
        <v>582</v>
      </c>
      <c r="G724" s="13" t="s">
        <v>7524</v>
      </c>
      <c r="H724" s="99" t="str">
        <f t="shared" si="41"/>
        <v>W22A.1</v>
      </c>
      <c r="I724" s="13"/>
      <c r="J724" s="13"/>
      <c r="K724" s="13"/>
      <c r="L724" s="48"/>
      <c r="M724" s="49" t="str">
        <f t="shared" si="42"/>
        <v>[W22A.1]</v>
      </c>
      <c r="N724" s="12" t="str">
        <f t="shared" si="43"/>
        <v xml:space="preserve"> </v>
      </c>
      <c r="O724" s="49" t="str">
        <f t="shared" si="44"/>
        <v xml:space="preserve">[W22A.1] </v>
      </c>
    </row>
    <row r="725" spans="1:15" s="49" customFormat="1" ht="14.15" customHeight="1">
      <c r="A725" s="43"/>
      <c r="B725" s="11"/>
      <c r="C725" s="11" t="s">
        <v>18</v>
      </c>
      <c r="D725" s="45" t="s">
        <v>16</v>
      </c>
      <c r="E725" s="47"/>
      <c r="F725" s="40" t="s">
        <v>583</v>
      </c>
      <c r="G725" s="13" t="s">
        <v>7525</v>
      </c>
      <c r="H725" s="99" t="str">
        <f t="shared" si="41"/>
        <v>W22A.2</v>
      </c>
      <c r="I725" s="13"/>
      <c r="J725" s="13"/>
      <c r="K725" s="13"/>
      <c r="L725" s="48"/>
      <c r="M725" s="49" t="str">
        <f t="shared" si="42"/>
        <v>[W22A.2]</v>
      </c>
      <c r="N725" s="12" t="str">
        <f t="shared" si="43"/>
        <v xml:space="preserve"> </v>
      </c>
      <c r="O725" s="49" t="str">
        <f t="shared" si="44"/>
        <v xml:space="preserve">[W22A.2] </v>
      </c>
    </row>
    <row r="726" spans="1:15" s="49" customFormat="1" ht="14.15" customHeight="1">
      <c r="A726" s="43"/>
      <c r="B726" s="11"/>
      <c r="C726" s="11" t="s">
        <v>18</v>
      </c>
      <c r="D726" s="45" t="s">
        <v>16</v>
      </c>
      <c r="E726" s="47"/>
      <c r="F726" s="40" t="s">
        <v>584</v>
      </c>
      <c r="G726" s="13" t="s">
        <v>7526</v>
      </c>
      <c r="H726" s="99" t="str">
        <f t="shared" si="41"/>
        <v>W22A.3</v>
      </c>
      <c r="I726" s="13"/>
      <c r="J726" s="13"/>
      <c r="K726" s="13"/>
      <c r="L726" s="48"/>
      <c r="M726" s="49" t="str">
        <f t="shared" si="42"/>
        <v>[W22A.3]</v>
      </c>
      <c r="N726" s="12" t="str">
        <f t="shared" si="43"/>
        <v xml:space="preserve"> </v>
      </c>
      <c r="O726" s="49" t="str">
        <f t="shared" si="44"/>
        <v xml:space="preserve">[W22A.3] </v>
      </c>
    </row>
    <row r="727" spans="1:15" s="49" customFormat="1" ht="14.15" customHeight="1">
      <c r="A727" s="43"/>
      <c r="B727" s="11"/>
      <c r="C727" s="11" t="s">
        <v>18</v>
      </c>
      <c r="D727" s="45" t="s">
        <v>16</v>
      </c>
      <c r="E727" s="47"/>
      <c r="F727" s="40" t="s">
        <v>585</v>
      </c>
      <c r="G727" s="13" t="s">
        <v>7527</v>
      </c>
      <c r="H727" s="99" t="str">
        <f t="shared" si="41"/>
        <v>W22A.4</v>
      </c>
      <c r="I727" s="13"/>
      <c r="J727" s="13"/>
      <c r="K727" s="13"/>
      <c r="L727" s="48"/>
      <c r="M727" s="49" t="str">
        <f t="shared" si="42"/>
        <v>[W22A.4]</v>
      </c>
      <c r="N727" s="12" t="str">
        <f t="shared" si="43"/>
        <v xml:space="preserve"> </v>
      </c>
      <c r="O727" s="49" t="str">
        <f t="shared" si="44"/>
        <v xml:space="preserve">[W22A.4] </v>
      </c>
    </row>
    <row r="728" spans="1:15" s="49" customFormat="1" ht="14.15" customHeight="1">
      <c r="A728" s="43"/>
      <c r="B728" s="11"/>
      <c r="C728" s="11" t="s">
        <v>18</v>
      </c>
      <c r="D728" s="45" t="s">
        <v>16</v>
      </c>
      <c r="E728" s="47"/>
      <c r="F728" s="40" t="s">
        <v>586</v>
      </c>
      <c r="G728" s="13" t="s">
        <v>7528</v>
      </c>
      <c r="H728" s="99" t="str">
        <f t="shared" si="41"/>
        <v>W22A.5</v>
      </c>
      <c r="I728" s="13"/>
      <c r="J728" s="13"/>
      <c r="K728" s="13"/>
      <c r="L728" s="48"/>
      <c r="M728" s="49" t="str">
        <f t="shared" si="42"/>
        <v>[W22A.5]</v>
      </c>
      <c r="N728" s="12" t="str">
        <f t="shared" si="43"/>
        <v xml:space="preserve"> </v>
      </c>
      <c r="O728" s="49" t="str">
        <f t="shared" si="44"/>
        <v xml:space="preserve">[W22A.5] </v>
      </c>
    </row>
    <row r="729" spans="1:15" s="49" customFormat="1" ht="14.15" customHeight="1">
      <c r="A729" s="43"/>
      <c r="B729" s="11"/>
      <c r="C729" s="11" t="s">
        <v>18</v>
      </c>
      <c r="D729" s="45" t="s">
        <v>16</v>
      </c>
      <c r="E729" s="47"/>
      <c r="F729" s="40" t="s">
        <v>587</v>
      </c>
      <c r="G729" s="13" t="s">
        <v>7529</v>
      </c>
      <c r="H729" s="99" t="str">
        <f t="shared" si="41"/>
        <v>W22A.6</v>
      </c>
      <c r="I729" s="13"/>
      <c r="J729" s="13"/>
      <c r="K729" s="13"/>
      <c r="L729" s="48"/>
      <c r="M729" s="49" t="str">
        <f t="shared" si="42"/>
        <v>[W22A.6]</v>
      </c>
      <c r="N729" s="12" t="str">
        <f t="shared" si="43"/>
        <v xml:space="preserve"> </v>
      </c>
      <c r="O729" s="49" t="str">
        <f t="shared" si="44"/>
        <v xml:space="preserve">[W22A.6] </v>
      </c>
    </row>
    <row r="730" spans="1:15" s="49" customFormat="1" ht="14.15" customHeight="1">
      <c r="A730" s="43"/>
      <c r="B730" s="11"/>
      <c r="C730" s="11" t="s">
        <v>18</v>
      </c>
      <c r="D730" s="45" t="s">
        <v>16</v>
      </c>
      <c r="E730" s="47"/>
      <c r="F730" s="40" t="s">
        <v>588</v>
      </c>
      <c r="G730" s="13" t="s">
        <v>7530</v>
      </c>
      <c r="H730" s="99" t="str">
        <f t="shared" si="41"/>
        <v>W22A.7</v>
      </c>
      <c r="I730" s="13"/>
      <c r="J730" s="13"/>
      <c r="K730" s="13"/>
      <c r="L730" s="48"/>
      <c r="M730" s="49" t="str">
        <f t="shared" si="42"/>
        <v>[W22A.7]</v>
      </c>
      <c r="N730" s="12" t="str">
        <f t="shared" si="43"/>
        <v xml:space="preserve"> </v>
      </c>
      <c r="O730" s="49" t="str">
        <f t="shared" si="44"/>
        <v xml:space="preserve">[W22A.7] </v>
      </c>
    </row>
    <row r="731" spans="1:15" s="49" customFormat="1" ht="14.15" customHeight="1">
      <c r="A731" s="43"/>
      <c r="B731" s="11"/>
      <c r="C731" s="11" t="s">
        <v>18</v>
      </c>
      <c r="D731" s="45" t="s">
        <v>16</v>
      </c>
      <c r="E731" s="47"/>
      <c r="F731" s="40" t="s">
        <v>589</v>
      </c>
      <c r="G731" s="13" t="s">
        <v>7531</v>
      </c>
      <c r="H731" s="99" t="str">
        <f t="shared" si="41"/>
        <v>W22A.8</v>
      </c>
      <c r="I731" s="13"/>
      <c r="J731" s="13"/>
      <c r="K731" s="13"/>
      <c r="L731" s="48"/>
      <c r="M731" s="49" t="str">
        <f t="shared" si="42"/>
        <v>[W22A.8]</v>
      </c>
      <c r="N731" s="12" t="str">
        <f t="shared" si="43"/>
        <v xml:space="preserve"> </v>
      </c>
      <c r="O731" s="49" t="str">
        <f t="shared" si="44"/>
        <v xml:space="preserve">[W22A.8] </v>
      </c>
    </row>
    <row r="732" spans="1:15" s="49" customFormat="1" ht="14.15" customHeight="1">
      <c r="A732" s="43"/>
      <c r="B732" s="11"/>
      <c r="C732" s="11" t="s">
        <v>18</v>
      </c>
      <c r="D732" s="45" t="s">
        <v>16</v>
      </c>
      <c r="E732" s="47"/>
      <c r="F732" s="40" t="s">
        <v>590</v>
      </c>
      <c r="G732" s="13" t="s">
        <v>7532</v>
      </c>
      <c r="H732" s="99" t="str">
        <f t="shared" si="41"/>
        <v>W22A.9</v>
      </c>
      <c r="I732" s="13"/>
      <c r="J732" s="13"/>
      <c r="K732" s="13"/>
      <c r="L732" s="48"/>
      <c r="M732" s="49" t="str">
        <f t="shared" si="42"/>
        <v>[W22A.9]</v>
      </c>
      <c r="N732" s="12" t="str">
        <f t="shared" si="43"/>
        <v xml:space="preserve"> </v>
      </c>
      <c r="O732" s="49" t="str">
        <f t="shared" si="44"/>
        <v xml:space="preserve">[W22A.9] </v>
      </c>
    </row>
    <row r="733" spans="1:15" s="49" customFormat="1" ht="14.15" customHeight="1">
      <c r="A733" s="43"/>
      <c r="B733" s="11"/>
      <c r="C733" s="11" t="s">
        <v>18</v>
      </c>
      <c r="D733" s="45" t="s">
        <v>16</v>
      </c>
      <c r="E733" s="47"/>
      <c r="F733" s="40" t="s">
        <v>591</v>
      </c>
      <c r="G733" s="13" t="s">
        <v>7533</v>
      </c>
      <c r="H733" s="99" t="str">
        <f t="shared" si="41"/>
        <v>W22A.A</v>
      </c>
      <c r="I733" s="13"/>
      <c r="J733" s="13"/>
      <c r="K733" s="13"/>
      <c r="L733" s="48"/>
      <c r="M733" s="49" t="str">
        <f t="shared" si="42"/>
        <v>[W22A.A]</v>
      </c>
      <c r="N733" s="12" t="str">
        <f t="shared" si="43"/>
        <v xml:space="preserve"> </v>
      </c>
      <c r="O733" s="49" t="str">
        <f t="shared" si="44"/>
        <v xml:space="preserve">[W22A.A] </v>
      </c>
    </row>
    <row r="734" spans="1:15" s="49" customFormat="1" ht="14.15" customHeight="1">
      <c r="A734" s="43"/>
      <c r="B734" s="11"/>
      <c r="C734" s="11" t="s">
        <v>18</v>
      </c>
      <c r="D734" s="45" t="s">
        <v>16</v>
      </c>
      <c r="E734" s="47"/>
      <c r="F734" s="40" t="s">
        <v>592</v>
      </c>
      <c r="G734" s="13" t="s">
        <v>7534</v>
      </c>
      <c r="H734" s="99" t="str">
        <f t="shared" si="41"/>
        <v>W22A.B</v>
      </c>
      <c r="I734" s="13"/>
      <c r="J734" s="13"/>
      <c r="K734" s="13"/>
      <c r="L734" s="48"/>
      <c r="M734" s="49" t="str">
        <f t="shared" si="42"/>
        <v>[W22A.B]</v>
      </c>
      <c r="N734" s="12" t="str">
        <f t="shared" si="43"/>
        <v xml:space="preserve"> </v>
      </c>
      <c r="O734" s="49" t="str">
        <f t="shared" si="44"/>
        <v xml:space="preserve">[W22A.B] </v>
      </c>
    </row>
    <row r="735" spans="1:15" s="49" customFormat="1" ht="14.15" customHeight="1">
      <c r="A735" s="43"/>
      <c r="B735" s="11"/>
      <c r="C735" s="11" t="s">
        <v>18</v>
      </c>
      <c r="D735" s="45" t="s">
        <v>16</v>
      </c>
      <c r="E735" s="47"/>
      <c r="F735" s="40" t="s">
        <v>593</v>
      </c>
      <c r="G735" s="13" t="s">
        <v>7535</v>
      </c>
      <c r="H735" s="99" t="str">
        <f t="shared" si="41"/>
        <v>W22A.C</v>
      </c>
      <c r="I735" s="13"/>
      <c r="J735" s="13"/>
      <c r="K735" s="13"/>
      <c r="L735" s="48"/>
      <c r="M735" s="49" t="str">
        <f t="shared" si="42"/>
        <v>[W22A.C]</v>
      </c>
      <c r="N735" s="12" t="str">
        <f t="shared" si="43"/>
        <v xml:space="preserve"> </v>
      </c>
      <c r="O735" s="49" t="str">
        <f t="shared" si="44"/>
        <v xml:space="preserve">[W22A.C] </v>
      </c>
    </row>
    <row r="736" spans="1:15" s="49" customFormat="1" ht="14.15" customHeight="1">
      <c r="A736" s="43"/>
      <c r="B736" s="11"/>
      <c r="C736" s="11" t="s">
        <v>18</v>
      </c>
      <c r="D736" s="45" t="s">
        <v>16</v>
      </c>
      <c r="E736" s="47"/>
      <c r="F736" s="40" t="s">
        <v>594</v>
      </c>
      <c r="G736" s="13" t="s">
        <v>7536</v>
      </c>
      <c r="H736" s="99" t="str">
        <f t="shared" si="41"/>
        <v>W22A.D</v>
      </c>
      <c r="I736" s="13"/>
      <c r="J736" s="13"/>
      <c r="K736" s="13"/>
      <c r="L736" s="48"/>
      <c r="M736" s="49" t="str">
        <f t="shared" si="42"/>
        <v>[W22A.D]</v>
      </c>
      <c r="N736" s="12" t="str">
        <f t="shared" si="43"/>
        <v xml:space="preserve"> </v>
      </c>
      <c r="O736" s="49" t="str">
        <f t="shared" si="44"/>
        <v xml:space="preserve">[W22A.D] </v>
      </c>
    </row>
    <row r="737" spans="1:15" s="49" customFormat="1" ht="14.15" customHeight="1">
      <c r="A737" s="43"/>
      <c r="B737" s="11"/>
      <c r="C737" s="11" t="s">
        <v>18</v>
      </c>
      <c r="D737" s="45" t="s">
        <v>16</v>
      </c>
      <c r="E737" s="47"/>
      <c r="F737" s="40" t="s">
        <v>595</v>
      </c>
      <c r="G737" s="13" t="s">
        <v>7537</v>
      </c>
      <c r="H737" s="99" t="str">
        <f t="shared" si="41"/>
        <v>W22A.E</v>
      </c>
      <c r="I737" s="13"/>
      <c r="J737" s="13"/>
      <c r="K737" s="13"/>
      <c r="L737" s="48"/>
      <c r="M737" s="49" t="str">
        <f t="shared" si="42"/>
        <v>[W22A.E]</v>
      </c>
      <c r="N737" s="12" t="str">
        <f t="shared" si="43"/>
        <v xml:space="preserve"> </v>
      </c>
      <c r="O737" s="49" t="str">
        <f t="shared" si="44"/>
        <v xml:space="preserve">[W22A.E] </v>
      </c>
    </row>
    <row r="738" spans="1:15" s="49" customFormat="1" ht="14.15" customHeight="1">
      <c r="A738" s="43"/>
      <c r="B738" s="11"/>
      <c r="C738" s="11" t="s">
        <v>18</v>
      </c>
      <c r="D738" s="45" t="s">
        <v>16</v>
      </c>
      <c r="E738" s="47"/>
      <c r="F738" s="40" t="s">
        <v>596</v>
      </c>
      <c r="G738" s="13" t="s">
        <v>7538</v>
      </c>
      <c r="H738" s="99" t="str">
        <f t="shared" si="41"/>
        <v>W22A.F</v>
      </c>
      <c r="I738" s="13"/>
      <c r="J738" s="13"/>
      <c r="K738" s="13"/>
      <c r="L738" s="48"/>
      <c r="M738" s="49" t="str">
        <f t="shared" si="42"/>
        <v>[W22A.F]</v>
      </c>
      <c r="N738" s="12" t="str">
        <f t="shared" si="43"/>
        <v xml:space="preserve"> </v>
      </c>
      <c r="O738" s="49" t="str">
        <f t="shared" si="44"/>
        <v xml:space="preserve">[W22A.F] </v>
      </c>
    </row>
    <row r="739" spans="1:15" s="49" customFormat="1" ht="14.15" customHeight="1">
      <c r="A739" s="43"/>
      <c r="B739" s="11"/>
      <c r="C739" s="11" t="s">
        <v>18</v>
      </c>
      <c r="D739" s="45" t="s">
        <v>16</v>
      </c>
      <c r="E739" s="47"/>
      <c r="F739" s="40" t="s">
        <v>597</v>
      </c>
      <c r="G739" s="13" t="s">
        <v>7539</v>
      </c>
      <c r="H739" s="99" t="str">
        <f t="shared" si="41"/>
        <v>W22B.0</v>
      </c>
      <c r="I739" s="13"/>
      <c r="J739" s="13"/>
      <c r="K739" s="13"/>
      <c r="L739" s="48"/>
      <c r="M739" s="49" t="str">
        <f t="shared" si="42"/>
        <v>[W22B.0]</v>
      </c>
      <c r="N739" s="12" t="str">
        <f t="shared" si="43"/>
        <v xml:space="preserve"> </v>
      </c>
      <c r="O739" s="49" t="str">
        <f t="shared" si="44"/>
        <v xml:space="preserve">[W22B.0] </v>
      </c>
    </row>
    <row r="740" spans="1:15" s="49" customFormat="1" ht="14.15" customHeight="1">
      <c r="A740" s="43"/>
      <c r="B740" s="11"/>
      <c r="C740" s="11" t="s">
        <v>18</v>
      </c>
      <c r="D740" s="45" t="s">
        <v>16</v>
      </c>
      <c r="E740" s="47"/>
      <c r="F740" s="40" t="s">
        <v>598</v>
      </c>
      <c r="G740" s="13" t="s">
        <v>7540</v>
      </c>
      <c r="H740" s="99" t="str">
        <f t="shared" si="41"/>
        <v>W22B.1</v>
      </c>
      <c r="I740" s="13"/>
      <c r="J740" s="13"/>
      <c r="K740" s="13"/>
      <c r="L740" s="48"/>
      <c r="M740" s="49" t="str">
        <f t="shared" si="42"/>
        <v>[W22B.1]</v>
      </c>
      <c r="N740" s="12" t="str">
        <f t="shared" si="43"/>
        <v xml:space="preserve"> </v>
      </c>
      <c r="O740" s="49" t="str">
        <f t="shared" si="44"/>
        <v xml:space="preserve">[W22B.1] </v>
      </c>
    </row>
    <row r="741" spans="1:15" s="49" customFormat="1" ht="14.15" customHeight="1">
      <c r="A741" s="43"/>
      <c r="B741" s="11"/>
      <c r="C741" s="11" t="s">
        <v>18</v>
      </c>
      <c r="D741" s="45" t="s">
        <v>16</v>
      </c>
      <c r="E741" s="47"/>
      <c r="F741" s="40" t="s">
        <v>599</v>
      </c>
      <c r="G741" s="13" t="s">
        <v>7541</v>
      </c>
      <c r="H741" s="99" t="str">
        <f t="shared" si="41"/>
        <v>W22B.2</v>
      </c>
      <c r="I741" s="13"/>
      <c r="J741" s="13"/>
      <c r="K741" s="13"/>
      <c r="L741" s="48"/>
      <c r="M741" s="49" t="str">
        <f t="shared" si="42"/>
        <v>[W22B.2]</v>
      </c>
      <c r="N741" s="12" t="str">
        <f t="shared" si="43"/>
        <v xml:space="preserve"> </v>
      </c>
      <c r="O741" s="49" t="str">
        <f t="shared" si="44"/>
        <v xml:space="preserve">[W22B.2] </v>
      </c>
    </row>
    <row r="742" spans="1:15" s="49" customFormat="1" ht="14.15" customHeight="1">
      <c r="A742" s="43"/>
      <c r="B742" s="11"/>
      <c r="C742" s="11" t="s">
        <v>18</v>
      </c>
      <c r="D742" s="45" t="s">
        <v>16</v>
      </c>
      <c r="E742" s="47"/>
      <c r="F742" s="40" t="s">
        <v>600</v>
      </c>
      <c r="G742" s="13" t="s">
        <v>7542</v>
      </c>
      <c r="H742" s="99" t="str">
        <f t="shared" si="41"/>
        <v>W22B.3</v>
      </c>
      <c r="I742" s="13"/>
      <c r="J742" s="13"/>
      <c r="K742" s="13"/>
      <c r="L742" s="48"/>
      <c r="M742" s="49" t="str">
        <f t="shared" si="42"/>
        <v>[W22B.3]</v>
      </c>
      <c r="N742" s="12" t="str">
        <f t="shared" si="43"/>
        <v xml:space="preserve"> </v>
      </c>
      <c r="O742" s="49" t="str">
        <f t="shared" si="44"/>
        <v xml:space="preserve">[W22B.3] </v>
      </c>
    </row>
    <row r="743" spans="1:15" s="49" customFormat="1" ht="14.15" customHeight="1">
      <c r="A743" s="43"/>
      <c r="B743" s="11"/>
      <c r="C743" s="11" t="s">
        <v>18</v>
      </c>
      <c r="D743" s="45" t="s">
        <v>16</v>
      </c>
      <c r="E743" s="47"/>
      <c r="F743" s="40" t="s">
        <v>601</v>
      </c>
      <c r="G743" s="13" t="s">
        <v>7543</v>
      </c>
      <c r="H743" s="99" t="str">
        <f t="shared" si="41"/>
        <v>W22B.4</v>
      </c>
      <c r="I743" s="13"/>
      <c r="J743" s="13"/>
      <c r="K743" s="13"/>
      <c r="L743" s="48"/>
      <c r="M743" s="49" t="str">
        <f t="shared" si="42"/>
        <v>[W22B.4]</v>
      </c>
      <c r="N743" s="12" t="str">
        <f t="shared" si="43"/>
        <v xml:space="preserve"> </v>
      </c>
      <c r="O743" s="49" t="str">
        <f t="shared" si="44"/>
        <v xml:space="preserve">[W22B.4] </v>
      </c>
    </row>
    <row r="744" spans="1:15" s="49" customFormat="1" ht="14.15" customHeight="1">
      <c r="A744" s="43"/>
      <c r="B744" s="11"/>
      <c r="C744" s="11" t="s">
        <v>18</v>
      </c>
      <c r="D744" s="45" t="s">
        <v>16</v>
      </c>
      <c r="E744" s="47"/>
      <c r="F744" s="40" t="s">
        <v>602</v>
      </c>
      <c r="G744" s="13" t="s">
        <v>7544</v>
      </c>
      <c r="H744" s="99" t="str">
        <f t="shared" si="41"/>
        <v>W22B.5</v>
      </c>
      <c r="I744" s="13"/>
      <c r="J744" s="13"/>
      <c r="K744" s="13"/>
      <c r="L744" s="48"/>
      <c r="M744" s="49" t="str">
        <f t="shared" si="42"/>
        <v>[W22B.5]</v>
      </c>
      <c r="N744" s="12" t="str">
        <f t="shared" si="43"/>
        <v xml:space="preserve"> </v>
      </c>
      <c r="O744" s="49" t="str">
        <f t="shared" si="44"/>
        <v xml:space="preserve">[W22B.5] </v>
      </c>
    </row>
    <row r="745" spans="1:15" s="49" customFormat="1" ht="14.15" customHeight="1">
      <c r="A745" s="43"/>
      <c r="B745" s="11"/>
      <c r="C745" s="11" t="s">
        <v>18</v>
      </c>
      <c r="D745" s="45" t="s">
        <v>16</v>
      </c>
      <c r="E745" s="47"/>
      <c r="F745" s="40" t="s">
        <v>603</v>
      </c>
      <c r="G745" s="13" t="s">
        <v>7545</v>
      </c>
      <c r="H745" s="99" t="str">
        <f t="shared" si="41"/>
        <v>W22B.6</v>
      </c>
      <c r="I745" s="13"/>
      <c r="J745" s="13"/>
      <c r="K745" s="13"/>
      <c r="L745" s="48"/>
      <c r="M745" s="49" t="str">
        <f t="shared" si="42"/>
        <v>[W22B.6]</v>
      </c>
      <c r="N745" s="12" t="str">
        <f t="shared" si="43"/>
        <v xml:space="preserve"> </v>
      </c>
      <c r="O745" s="49" t="str">
        <f t="shared" si="44"/>
        <v xml:space="preserve">[W22B.6] </v>
      </c>
    </row>
    <row r="746" spans="1:15" s="49" customFormat="1" ht="14.15" customHeight="1">
      <c r="A746" s="43"/>
      <c r="B746" s="11"/>
      <c r="C746" s="11" t="s">
        <v>18</v>
      </c>
      <c r="D746" s="45" t="s">
        <v>16</v>
      </c>
      <c r="E746" s="47"/>
      <c r="F746" s="40" t="s">
        <v>604</v>
      </c>
      <c r="G746" s="13" t="s">
        <v>7546</v>
      </c>
      <c r="H746" s="99" t="str">
        <f t="shared" si="41"/>
        <v>W22B.7</v>
      </c>
      <c r="I746" s="13"/>
      <c r="J746" s="13"/>
      <c r="K746" s="13"/>
      <c r="L746" s="48"/>
      <c r="M746" s="49" t="str">
        <f t="shared" si="42"/>
        <v>[W22B.7]</v>
      </c>
      <c r="N746" s="12" t="str">
        <f t="shared" si="43"/>
        <v xml:space="preserve"> </v>
      </c>
      <c r="O746" s="49" t="str">
        <f t="shared" si="44"/>
        <v xml:space="preserve">[W22B.7] </v>
      </c>
    </row>
    <row r="747" spans="1:15" s="49" customFormat="1" ht="14.15" customHeight="1">
      <c r="A747" s="43"/>
      <c r="B747" s="11"/>
      <c r="C747" s="11" t="s">
        <v>18</v>
      </c>
      <c r="D747" s="45" t="s">
        <v>16</v>
      </c>
      <c r="E747" s="47"/>
      <c r="F747" s="40" t="s">
        <v>605</v>
      </c>
      <c r="G747" s="13" t="s">
        <v>7547</v>
      </c>
      <c r="H747" s="99" t="str">
        <f t="shared" si="41"/>
        <v>W22B.8</v>
      </c>
      <c r="I747" s="13"/>
      <c r="J747" s="13"/>
      <c r="K747" s="13"/>
      <c r="L747" s="48"/>
      <c r="M747" s="49" t="str">
        <f t="shared" si="42"/>
        <v>[W22B.8]</v>
      </c>
      <c r="N747" s="12" t="str">
        <f t="shared" si="43"/>
        <v xml:space="preserve"> </v>
      </c>
      <c r="O747" s="49" t="str">
        <f t="shared" si="44"/>
        <v xml:space="preserve">[W22B.8] </v>
      </c>
    </row>
    <row r="748" spans="1:15" s="49" customFormat="1" ht="14.15" customHeight="1">
      <c r="A748" s="43"/>
      <c r="B748" s="11"/>
      <c r="C748" s="11" t="s">
        <v>18</v>
      </c>
      <c r="D748" s="45" t="s">
        <v>16</v>
      </c>
      <c r="E748" s="47"/>
      <c r="F748" s="40" t="s">
        <v>606</v>
      </c>
      <c r="G748" s="13" t="s">
        <v>7548</v>
      </c>
      <c r="H748" s="99" t="str">
        <f t="shared" si="41"/>
        <v>W22B.9</v>
      </c>
      <c r="I748" s="13"/>
      <c r="J748" s="13"/>
      <c r="K748" s="13"/>
      <c r="L748" s="48"/>
      <c r="M748" s="49" t="str">
        <f t="shared" si="42"/>
        <v>[W22B.9]</v>
      </c>
      <c r="N748" s="12" t="str">
        <f t="shared" si="43"/>
        <v xml:space="preserve"> </v>
      </c>
      <c r="O748" s="49" t="str">
        <f t="shared" si="44"/>
        <v xml:space="preserve">[W22B.9] </v>
      </c>
    </row>
    <row r="749" spans="1:15" s="49" customFormat="1" ht="14.15" customHeight="1">
      <c r="A749" s="43"/>
      <c r="B749" s="11"/>
      <c r="C749" s="11" t="s">
        <v>18</v>
      </c>
      <c r="D749" s="45" t="s">
        <v>16</v>
      </c>
      <c r="E749" s="47"/>
      <c r="F749" s="40" t="s">
        <v>607</v>
      </c>
      <c r="G749" s="13" t="s">
        <v>7549</v>
      </c>
      <c r="H749" s="99" t="str">
        <f t="shared" si="41"/>
        <v>W22B.A</v>
      </c>
      <c r="I749" s="13"/>
      <c r="J749" s="13"/>
      <c r="K749" s="13"/>
      <c r="L749" s="48"/>
      <c r="M749" s="49" t="str">
        <f t="shared" si="42"/>
        <v>[W22B.A]</v>
      </c>
      <c r="N749" s="12" t="str">
        <f t="shared" si="43"/>
        <v xml:space="preserve"> </v>
      </c>
      <c r="O749" s="49" t="str">
        <f t="shared" si="44"/>
        <v xml:space="preserve">[W22B.A] </v>
      </c>
    </row>
    <row r="750" spans="1:15" s="49" customFormat="1" ht="14.15" customHeight="1">
      <c r="A750" s="43"/>
      <c r="B750" s="11"/>
      <c r="C750" s="11" t="s">
        <v>18</v>
      </c>
      <c r="D750" s="45" t="s">
        <v>16</v>
      </c>
      <c r="E750" s="47"/>
      <c r="F750" s="40" t="s">
        <v>608</v>
      </c>
      <c r="G750" s="13" t="s">
        <v>7550</v>
      </c>
      <c r="H750" s="99" t="str">
        <f t="shared" si="41"/>
        <v>W22B.B</v>
      </c>
      <c r="I750" s="13"/>
      <c r="J750" s="13"/>
      <c r="K750" s="13"/>
      <c r="L750" s="48"/>
      <c r="M750" s="49" t="str">
        <f t="shared" si="42"/>
        <v>[W22B.B]</v>
      </c>
      <c r="N750" s="12" t="str">
        <f t="shared" si="43"/>
        <v xml:space="preserve"> </v>
      </c>
      <c r="O750" s="49" t="str">
        <f t="shared" si="44"/>
        <v xml:space="preserve">[W22B.B] </v>
      </c>
    </row>
    <row r="751" spans="1:15" s="49" customFormat="1" ht="14.15" customHeight="1">
      <c r="A751" s="43"/>
      <c r="B751" s="11"/>
      <c r="C751" s="11" t="s">
        <v>18</v>
      </c>
      <c r="D751" s="45" t="s">
        <v>16</v>
      </c>
      <c r="E751" s="47"/>
      <c r="F751" s="40" t="s">
        <v>609</v>
      </c>
      <c r="G751" s="13" t="s">
        <v>7551</v>
      </c>
      <c r="H751" s="99" t="str">
        <f t="shared" si="41"/>
        <v>W22B.C</v>
      </c>
      <c r="I751" s="13"/>
      <c r="J751" s="13"/>
      <c r="K751" s="13"/>
      <c r="L751" s="48"/>
      <c r="M751" s="49" t="str">
        <f t="shared" si="42"/>
        <v>[W22B.C]</v>
      </c>
      <c r="N751" s="12" t="str">
        <f t="shared" si="43"/>
        <v xml:space="preserve"> </v>
      </c>
      <c r="O751" s="49" t="str">
        <f t="shared" si="44"/>
        <v xml:space="preserve">[W22B.C] </v>
      </c>
    </row>
    <row r="752" spans="1:15" s="49" customFormat="1" ht="14.15" customHeight="1">
      <c r="A752" s="43"/>
      <c r="B752" s="11"/>
      <c r="C752" s="11" t="s">
        <v>18</v>
      </c>
      <c r="D752" s="45" t="s">
        <v>16</v>
      </c>
      <c r="E752" s="47"/>
      <c r="F752" s="40" t="s">
        <v>610</v>
      </c>
      <c r="G752" s="13" t="s">
        <v>7552</v>
      </c>
      <c r="H752" s="99" t="str">
        <f t="shared" si="41"/>
        <v>W22B.D</v>
      </c>
      <c r="I752" s="13"/>
      <c r="J752" s="13"/>
      <c r="K752" s="13"/>
      <c r="L752" s="48"/>
      <c r="M752" s="49" t="str">
        <f t="shared" si="42"/>
        <v>[W22B.D]</v>
      </c>
      <c r="N752" s="12" t="str">
        <f t="shared" si="43"/>
        <v xml:space="preserve"> </v>
      </c>
      <c r="O752" s="49" t="str">
        <f t="shared" si="44"/>
        <v xml:space="preserve">[W22B.D] </v>
      </c>
    </row>
    <row r="753" spans="1:15" s="49" customFormat="1" ht="14.15" customHeight="1">
      <c r="A753" s="43"/>
      <c r="B753" s="11"/>
      <c r="C753" s="11" t="s">
        <v>18</v>
      </c>
      <c r="D753" s="45" t="s">
        <v>16</v>
      </c>
      <c r="E753" s="47"/>
      <c r="F753" s="40" t="s">
        <v>611</v>
      </c>
      <c r="G753" s="13" t="s">
        <v>7553</v>
      </c>
      <c r="H753" s="99" t="str">
        <f t="shared" si="41"/>
        <v>W22B.E</v>
      </c>
      <c r="I753" s="13"/>
      <c r="J753" s="13"/>
      <c r="K753" s="13"/>
      <c r="L753" s="48"/>
      <c r="M753" s="49" t="str">
        <f t="shared" si="42"/>
        <v>[W22B.E]</v>
      </c>
      <c r="N753" s="12" t="str">
        <f t="shared" si="43"/>
        <v xml:space="preserve"> </v>
      </c>
      <c r="O753" s="49" t="str">
        <f t="shared" si="44"/>
        <v xml:space="preserve">[W22B.E] </v>
      </c>
    </row>
    <row r="754" spans="1:15" s="49" customFormat="1" ht="14.15" customHeight="1">
      <c r="A754" s="43"/>
      <c r="B754" s="11"/>
      <c r="C754" s="11" t="s">
        <v>18</v>
      </c>
      <c r="D754" s="45" t="s">
        <v>16</v>
      </c>
      <c r="E754" s="47"/>
      <c r="F754" s="40" t="s">
        <v>612</v>
      </c>
      <c r="G754" s="13" t="s">
        <v>7554</v>
      </c>
      <c r="H754" s="99" t="str">
        <f t="shared" si="41"/>
        <v>W22B.F</v>
      </c>
      <c r="I754" s="13"/>
      <c r="J754" s="13"/>
      <c r="K754" s="13"/>
      <c r="L754" s="48"/>
      <c r="M754" s="49" t="str">
        <f t="shared" si="42"/>
        <v>[W22B.F]</v>
      </c>
      <c r="N754" s="12" t="str">
        <f t="shared" si="43"/>
        <v xml:space="preserve"> </v>
      </c>
      <c r="O754" s="49" t="str">
        <f t="shared" si="44"/>
        <v xml:space="preserve">[W22B.F] </v>
      </c>
    </row>
    <row r="755" spans="1:15" s="49" customFormat="1" ht="14.15" customHeight="1">
      <c r="A755" s="43"/>
      <c r="B755" s="11"/>
      <c r="C755" s="11" t="s">
        <v>18</v>
      </c>
      <c r="D755" s="45" t="s">
        <v>16</v>
      </c>
      <c r="E755" s="47"/>
      <c r="F755" s="40" t="s">
        <v>613</v>
      </c>
      <c r="G755" s="13" t="s">
        <v>7555</v>
      </c>
      <c r="H755" s="99" t="str">
        <f t="shared" si="41"/>
        <v>W22C.0</v>
      </c>
      <c r="I755" s="13"/>
      <c r="J755" s="13"/>
      <c r="K755" s="13"/>
      <c r="L755" s="48"/>
      <c r="M755" s="49" t="str">
        <f t="shared" si="42"/>
        <v>[W22C.0]</v>
      </c>
      <c r="N755" s="12" t="str">
        <f t="shared" si="43"/>
        <v xml:space="preserve"> </v>
      </c>
      <c r="O755" s="49" t="str">
        <f t="shared" si="44"/>
        <v xml:space="preserve">[W22C.0] </v>
      </c>
    </row>
    <row r="756" spans="1:15" s="49" customFormat="1" ht="14.15" customHeight="1">
      <c r="A756" s="43"/>
      <c r="B756" s="11"/>
      <c r="C756" s="11" t="s">
        <v>18</v>
      </c>
      <c r="D756" s="45" t="s">
        <v>16</v>
      </c>
      <c r="E756" s="47"/>
      <c r="F756" s="40" t="s">
        <v>614</v>
      </c>
      <c r="G756" s="13" t="s">
        <v>7556</v>
      </c>
      <c r="H756" s="99" t="str">
        <f t="shared" ref="H756:H819" si="45">"W"&amp;DEC2HEX(512 + INT((ROW()-51)/16)) &amp; "." &amp; IF(MOD(ROW()-51,16)&lt;10,MOD(ROW()-51,16),CHAR(MOD(ROW()-51,16)+55))</f>
        <v>W22C.1</v>
      </c>
      <c r="I756" s="13"/>
      <c r="J756" s="13"/>
      <c r="K756" s="13"/>
      <c r="L756" s="48"/>
      <c r="M756" s="49" t="str">
        <f t="shared" ref="M756:M819" si="46">"["&amp;H756&amp;"]"</f>
        <v>[W22C.1]</v>
      </c>
      <c r="N756" s="12" t="str">
        <f t="shared" ref="N756:N819" si="47">RIGHT(F756,LEN(F756)-7)</f>
        <v xml:space="preserve"> </v>
      </c>
      <c r="O756" s="49" t="str">
        <f t="shared" ref="O756:O819" si="48">M756&amp;N756</f>
        <v xml:space="preserve">[W22C.1] </v>
      </c>
    </row>
    <row r="757" spans="1:15" s="49" customFormat="1" ht="14.15" customHeight="1">
      <c r="A757" s="43"/>
      <c r="B757" s="11"/>
      <c r="C757" s="11" t="s">
        <v>18</v>
      </c>
      <c r="D757" s="45" t="s">
        <v>16</v>
      </c>
      <c r="E757" s="47"/>
      <c r="F757" s="40" t="s">
        <v>615</v>
      </c>
      <c r="G757" s="13" t="s">
        <v>7557</v>
      </c>
      <c r="H757" s="99" t="str">
        <f t="shared" si="45"/>
        <v>W22C.2</v>
      </c>
      <c r="I757" s="13"/>
      <c r="J757" s="13"/>
      <c r="K757" s="13"/>
      <c r="L757" s="48"/>
      <c r="M757" s="49" t="str">
        <f t="shared" si="46"/>
        <v>[W22C.2]</v>
      </c>
      <c r="N757" s="12" t="str">
        <f t="shared" si="47"/>
        <v xml:space="preserve"> </v>
      </c>
      <c r="O757" s="49" t="str">
        <f t="shared" si="48"/>
        <v xml:space="preserve">[W22C.2] </v>
      </c>
    </row>
    <row r="758" spans="1:15" s="49" customFormat="1" ht="14.15" customHeight="1">
      <c r="A758" s="43"/>
      <c r="B758" s="11"/>
      <c r="C758" s="11" t="s">
        <v>18</v>
      </c>
      <c r="D758" s="45" t="s">
        <v>16</v>
      </c>
      <c r="E758" s="47"/>
      <c r="F758" s="40" t="s">
        <v>616</v>
      </c>
      <c r="G758" s="13" t="s">
        <v>7558</v>
      </c>
      <c r="H758" s="99" t="str">
        <f t="shared" si="45"/>
        <v>W22C.3</v>
      </c>
      <c r="I758" s="13"/>
      <c r="J758" s="13"/>
      <c r="K758" s="13"/>
      <c r="L758" s="48"/>
      <c r="M758" s="49" t="str">
        <f t="shared" si="46"/>
        <v>[W22C.3]</v>
      </c>
      <c r="N758" s="12" t="str">
        <f t="shared" si="47"/>
        <v xml:space="preserve"> </v>
      </c>
      <c r="O758" s="49" t="str">
        <f t="shared" si="48"/>
        <v xml:space="preserve">[W22C.3] </v>
      </c>
    </row>
    <row r="759" spans="1:15" s="49" customFormat="1" ht="14.15" customHeight="1">
      <c r="A759" s="43"/>
      <c r="B759" s="11"/>
      <c r="C759" s="11" t="s">
        <v>18</v>
      </c>
      <c r="D759" s="45" t="s">
        <v>16</v>
      </c>
      <c r="E759" s="47"/>
      <c r="F759" s="40" t="s">
        <v>617</v>
      </c>
      <c r="G759" s="13" t="s">
        <v>7559</v>
      </c>
      <c r="H759" s="99" t="str">
        <f t="shared" si="45"/>
        <v>W22C.4</v>
      </c>
      <c r="I759" s="13"/>
      <c r="J759" s="13"/>
      <c r="K759" s="13"/>
      <c r="L759" s="48"/>
      <c r="M759" s="49" t="str">
        <f t="shared" si="46"/>
        <v>[W22C.4]</v>
      </c>
      <c r="N759" s="12" t="str">
        <f t="shared" si="47"/>
        <v xml:space="preserve"> </v>
      </c>
      <c r="O759" s="49" t="str">
        <f t="shared" si="48"/>
        <v xml:space="preserve">[W22C.4] </v>
      </c>
    </row>
    <row r="760" spans="1:15" s="49" customFormat="1" ht="14.15" customHeight="1">
      <c r="A760" s="43"/>
      <c r="B760" s="11"/>
      <c r="C760" s="11" t="s">
        <v>18</v>
      </c>
      <c r="D760" s="45" t="s">
        <v>16</v>
      </c>
      <c r="E760" s="47"/>
      <c r="F760" s="40" t="s">
        <v>618</v>
      </c>
      <c r="G760" s="13" t="s">
        <v>7560</v>
      </c>
      <c r="H760" s="99" t="str">
        <f t="shared" si="45"/>
        <v>W22C.5</v>
      </c>
      <c r="I760" s="13"/>
      <c r="J760" s="13"/>
      <c r="K760" s="13"/>
      <c r="L760" s="48"/>
      <c r="M760" s="49" t="str">
        <f t="shared" si="46"/>
        <v>[W22C.5]</v>
      </c>
      <c r="N760" s="12" t="str">
        <f t="shared" si="47"/>
        <v xml:space="preserve"> </v>
      </c>
      <c r="O760" s="49" t="str">
        <f t="shared" si="48"/>
        <v xml:space="preserve">[W22C.5] </v>
      </c>
    </row>
    <row r="761" spans="1:15" s="49" customFormat="1" ht="14.15" customHeight="1">
      <c r="A761" s="43"/>
      <c r="B761" s="11"/>
      <c r="C761" s="11" t="s">
        <v>18</v>
      </c>
      <c r="D761" s="45" t="s">
        <v>16</v>
      </c>
      <c r="E761" s="47"/>
      <c r="F761" s="40" t="s">
        <v>619</v>
      </c>
      <c r="G761" s="13" t="s">
        <v>7561</v>
      </c>
      <c r="H761" s="99" t="str">
        <f t="shared" si="45"/>
        <v>W22C.6</v>
      </c>
      <c r="I761" s="13"/>
      <c r="J761" s="13"/>
      <c r="K761" s="13"/>
      <c r="L761" s="48"/>
      <c r="M761" s="49" t="str">
        <f t="shared" si="46"/>
        <v>[W22C.6]</v>
      </c>
      <c r="N761" s="12" t="str">
        <f t="shared" si="47"/>
        <v xml:space="preserve"> </v>
      </c>
      <c r="O761" s="49" t="str">
        <f t="shared" si="48"/>
        <v xml:space="preserve">[W22C.6] </v>
      </c>
    </row>
    <row r="762" spans="1:15" s="49" customFormat="1" ht="14.15" customHeight="1">
      <c r="A762" s="43"/>
      <c r="B762" s="11"/>
      <c r="C762" s="11" t="s">
        <v>18</v>
      </c>
      <c r="D762" s="45" t="s">
        <v>16</v>
      </c>
      <c r="E762" s="47"/>
      <c r="F762" s="40" t="s">
        <v>620</v>
      </c>
      <c r="G762" s="13" t="s">
        <v>7562</v>
      </c>
      <c r="H762" s="99" t="str">
        <f t="shared" si="45"/>
        <v>W22C.7</v>
      </c>
      <c r="I762" s="13"/>
      <c r="J762" s="13"/>
      <c r="K762" s="13"/>
      <c r="L762" s="48"/>
      <c r="M762" s="49" t="str">
        <f t="shared" si="46"/>
        <v>[W22C.7]</v>
      </c>
      <c r="N762" s="12" t="str">
        <f t="shared" si="47"/>
        <v xml:space="preserve"> </v>
      </c>
      <c r="O762" s="49" t="str">
        <f t="shared" si="48"/>
        <v xml:space="preserve">[W22C.7] </v>
      </c>
    </row>
    <row r="763" spans="1:15" s="49" customFormat="1" ht="14.15" customHeight="1">
      <c r="A763" s="43"/>
      <c r="B763" s="11"/>
      <c r="C763" s="11" t="s">
        <v>18</v>
      </c>
      <c r="D763" s="45" t="s">
        <v>16</v>
      </c>
      <c r="E763" s="47"/>
      <c r="F763" s="40" t="s">
        <v>621</v>
      </c>
      <c r="G763" s="13" t="s">
        <v>7563</v>
      </c>
      <c r="H763" s="99" t="str">
        <f t="shared" si="45"/>
        <v>W22C.8</v>
      </c>
      <c r="I763" s="13"/>
      <c r="J763" s="13"/>
      <c r="K763" s="13"/>
      <c r="L763" s="48"/>
      <c r="M763" s="49" t="str">
        <f t="shared" si="46"/>
        <v>[W22C.8]</v>
      </c>
      <c r="N763" s="12" t="str">
        <f t="shared" si="47"/>
        <v xml:space="preserve"> </v>
      </c>
      <c r="O763" s="49" t="str">
        <f t="shared" si="48"/>
        <v xml:space="preserve">[W22C.8] </v>
      </c>
    </row>
    <row r="764" spans="1:15" s="49" customFormat="1" ht="14.15" customHeight="1">
      <c r="A764" s="43"/>
      <c r="B764" s="11"/>
      <c r="C764" s="11" t="s">
        <v>18</v>
      </c>
      <c r="D764" s="45" t="s">
        <v>16</v>
      </c>
      <c r="E764" s="47"/>
      <c r="F764" s="40" t="s">
        <v>622</v>
      </c>
      <c r="G764" s="13" t="s">
        <v>7564</v>
      </c>
      <c r="H764" s="99" t="str">
        <f t="shared" si="45"/>
        <v>W22C.9</v>
      </c>
      <c r="I764" s="13"/>
      <c r="J764" s="13"/>
      <c r="K764" s="13"/>
      <c r="L764" s="48"/>
      <c r="M764" s="49" t="str">
        <f t="shared" si="46"/>
        <v>[W22C.9]</v>
      </c>
      <c r="N764" s="12" t="str">
        <f t="shared" si="47"/>
        <v xml:space="preserve"> </v>
      </c>
      <c r="O764" s="49" t="str">
        <f t="shared" si="48"/>
        <v xml:space="preserve">[W22C.9] </v>
      </c>
    </row>
    <row r="765" spans="1:15" s="49" customFormat="1" ht="14.15" customHeight="1">
      <c r="A765" s="43"/>
      <c r="B765" s="11"/>
      <c r="C765" s="11" t="s">
        <v>18</v>
      </c>
      <c r="D765" s="45" t="s">
        <v>16</v>
      </c>
      <c r="E765" s="47"/>
      <c r="F765" s="40" t="s">
        <v>623</v>
      </c>
      <c r="G765" s="13" t="s">
        <v>7565</v>
      </c>
      <c r="H765" s="99" t="str">
        <f t="shared" si="45"/>
        <v>W22C.A</v>
      </c>
      <c r="I765" s="13"/>
      <c r="J765" s="13"/>
      <c r="K765" s="13"/>
      <c r="L765" s="48"/>
      <c r="M765" s="49" t="str">
        <f t="shared" si="46"/>
        <v>[W22C.A]</v>
      </c>
      <c r="N765" s="12" t="str">
        <f t="shared" si="47"/>
        <v xml:space="preserve"> </v>
      </c>
      <c r="O765" s="49" t="str">
        <f t="shared" si="48"/>
        <v xml:space="preserve">[W22C.A] </v>
      </c>
    </row>
    <row r="766" spans="1:15" s="49" customFormat="1" ht="14.15" customHeight="1">
      <c r="A766" s="43"/>
      <c r="B766" s="11"/>
      <c r="C766" s="11" t="s">
        <v>18</v>
      </c>
      <c r="D766" s="45" t="s">
        <v>16</v>
      </c>
      <c r="E766" s="47"/>
      <c r="F766" s="40" t="s">
        <v>624</v>
      </c>
      <c r="G766" s="13" t="s">
        <v>7566</v>
      </c>
      <c r="H766" s="99" t="str">
        <f t="shared" si="45"/>
        <v>W22C.B</v>
      </c>
      <c r="I766" s="13"/>
      <c r="J766" s="13"/>
      <c r="K766" s="13"/>
      <c r="L766" s="48"/>
      <c r="M766" s="49" t="str">
        <f t="shared" si="46"/>
        <v>[W22C.B]</v>
      </c>
      <c r="N766" s="12" t="str">
        <f t="shared" si="47"/>
        <v xml:space="preserve"> </v>
      </c>
      <c r="O766" s="49" t="str">
        <f t="shared" si="48"/>
        <v xml:space="preserve">[W22C.B] </v>
      </c>
    </row>
    <row r="767" spans="1:15" s="49" customFormat="1" ht="14.15" customHeight="1">
      <c r="A767" s="43"/>
      <c r="B767" s="11"/>
      <c r="C767" s="11" t="s">
        <v>18</v>
      </c>
      <c r="D767" s="45" t="s">
        <v>16</v>
      </c>
      <c r="E767" s="47"/>
      <c r="F767" s="40" t="s">
        <v>625</v>
      </c>
      <c r="G767" s="13" t="s">
        <v>7567</v>
      </c>
      <c r="H767" s="99" t="str">
        <f t="shared" si="45"/>
        <v>W22C.C</v>
      </c>
      <c r="I767" s="13"/>
      <c r="J767" s="13"/>
      <c r="K767" s="13"/>
      <c r="L767" s="48"/>
      <c r="M767" s="49" t="str">
        <f t="shared" si="46"/>
        <v>[W22C.C]</v>
      </c>
      <c r="N767" s="12" t="str">
        <f t="shared" si="47"/>
        <v xml:space="preserve"> </v>
      </c>
      <c r="O767" s="49" t="str">
        <f t="shared" si="48"/>
        <v xml:space="preserve">[W22C.C] </v>
      </c>
    </row>
    <row r="768" spans="1:15" s="49" customFormat="1" ht="14.15" customHeight="1">
      <c r="A768" s="43"/>
      <c r="B768" s="11"/>
      <c r="C768" s="11" t="s">
        <v>18</v>
      </c>
      <c r="D768" s="45" t="s">
        <v>16</v>
      </c>
      <c r="E768" s="47"/>
      <c r="F768" s="40" t="s">
        <v>626</v>
      </c>
      <c r="G768" s="13" t="s">
        <v>7568</v>
      </c>
      <c r="H768" s="99" t="str">
        <f t="shared" si="45"/>
        <v>W22C.D</v>
      </c>
      <c r="I768" s="13"/>
      <c r="J768" s="13"/>
      <c r="K768" s="13"/>
      <c r="L768" s="48"/>
      <c r="M768" s="49" t="str">
        <f t="shared" si="46"/>
        <v>[W22C.D]</v>
      </c>
      <c r="N768" s="12" t="str">
        <f t="shared" si="47"/>
        <v xml:space="preserve"> </v>
      </c>
      <c r="O768" s="49" t="str">
        <f t="shared" si="48"/>
        <v xml:space="preserve">[W22C.D] </v>
      </c>
    </row>
    <row r="769" spans="1:15" s="49" customFormat="1" ht="14.15" customHeight="1">
      <c r="A769" s="43"/>
      <c r="B769" s="11"/>
      <c r="C769" s="11" t="s">
        <v>18</v>
      </c>
      <c r="D769" s="45" t="s">
        <v>16</v>
      </c>
      <c r="E769" s="47"/>
      <c r="F769" s="40" t="s">
        <v>627</v>
      </c>
      <c r="G769" s="13" t="s">
        <v>7569</v>
      </c>
      <c r="H769" s="99" t="str">
        <f t="shared" si="45"/>
        <v>W22C.E</v>
      </c>
      <c r="I769" s="13"/>
      <c r="J769" s="13"/>
      <c r="K769" s="13"/>
      <c r="L769" s="48"/>
      <c r="M769" s="49" t="str">
        <f t="shared" si="46"/>
        <v>[W22C.E]</v>
      </c>
      <c r="N769" s="12" t="str">
        <f t="shared" si="47"/>
        <v xml:space="preserve"> </v>
      </c>
      <c r="O769" s="49" t="str">
        <f t="shared" si="48"/>
        <v xml:space="preserve">[W22C.E] </v>
      </c>
    </row>
    <row r="770" spans="1:15" s="49" customFormat="1" ht="14.15" customHeight="1">
      <c r="A770" s="43"/>
      <c r="B770" s="11"/>
      <c r="C770" s="11" t="s">
        <v>18</v>
      </c>
      <c r="D770" s="45" t="s">
        <v>16</v>
      </c>
      <c r="E770" s="47"/>
      <c r="F770" s="40" t="s">
        <v>628</v>
      </c>
      <c r="G770" s="13" t="s">
        <v>7570</v>
      </c>
      <c r="H770" s="99" t="str">
        <f t="shared" si="45"/>
        <v>W22C.F</v>
      </c>
      <c r="I770" s="13"/>
      <c r="J770" s="13"/>
      <c r="K770" s="13"/>
      <c r="L770" s="48"/>
      <c r="M770" s="49" t="str">
        <f t="shared" si="46"/>
        <v>[W22C.F]</v>
      </c>
      <c r="N770" s="12" t="str">
        <f t="shared" si="47"/>
        <v xml:space="preserve"> </v>
      </c>
      <c r="O770" s="49" t="str">
        <f t="shared" si="48"/>
        <v xml:space="preserve">[W22C.F] </v>
      </c>
    </row>
    <row r="771" spans="1:15" s="49" customFormat="1" ht="14.15" customHeight="1">
      <c r="A771" s="43"/>
      <c r="B771" s="11"/>
      <c r="C771" s="11" t="s">
        <v>18</v>
      </c>
      <c r="D771" s="45" t="s">
        <v>16</v>
      </c>
      <c r="E771" s="47"/>
      <c r="F771" s="40" t="s">
        <v>629</v>
      </c>
      <c r="G771" s="13" t="s">
        <v>7571</v>
      </c>
      <c r="H771" s="99" t="str">
        <f t="shared" si="45"/>
        <v>W22D.0</v>
      </c>
      <c r="I771" s="13"/>
      <c r="J771" s="13"/>
      <c r="K771" s="13"/>
      <c r="L771" s="48"/>
      <c r="M771" s="49" t="str">
        <f t="shared" si="46"/>
        <v>[W22D.0]</v>
      </c>
      <c r="N771" s="12" t="str">
        <f t="shared" si="47"/>
        <v xml:space="preserve"> </v>
      </c>
      <c r="O771" s="49" t="str">
        <f t="shared" si="48"/>
        <v xml:space="preserve">[W22D.0] </v>
      </c>
    </row>
    <row r="772" spans="1:15" s="49" customFormat="1" ht="14.15" customHeight="1">
      <c r="A772" s="43"/>
      <c r="B772" s="11"/>
      <c r="C772" s="11" t="s">
        <v>18</v>
      </c>
      <c r="D772" s="45" t="s">
        <v>16</v>
      </c>
      <c r="E772" s="47"/>
      <c r="F772" s="40" t="s">
        <v>630</v>
      </c>
      <c r="G772" s="13" t="s">
        <v>7572</v>
      </c>
      <c r="H772" s="99" t="str">
        <f t="shared" si="45"/>
        <v>W22D.1</v>
      </c>
      <c r="I772" s="13"/>
      <c r="J772" s="13"/>
      <c r="K772" s="13"/>
      <c r="L772" s="48"/>
      <c r="M772" s="49" t="str">
        <f t="shared" si="46"/>
        <v>[W22D.1]</v>
      </c>
      <c r="N772" s="12" t="str">
        <f t="shared" si="47"/>
        <v xml:space="preserve"> </v>
      </c>
      <c r="O772" s="49" t="str">
        <f t="shared" si="48"/>
        <v xml:space="preserve">[W22D.1] </v>
      </c>
    </row>
    <row r="773" spans="1:15" s="49" customFormat="1" ht="14.15" customHeight="1">
      <c r="A773" s="43"/>
      <c r="B773" s="11"/>
      <c r="C773" s="11" t="s">
        <v>18</v>
      </c>
      <c r="D773" s="45" t="s">
        <v>16</v>
      </c>
      <c r="E773" s="47"/>
      <c r="F773" s="40" t="s">
        <v>631</v>
      </c>
      <c r="G773" s="13" t="s">
        <v>7573</v>
      </c>
      <c r="H773" s="99" t="str">
        <f t="shared" si="45"/>
        <v>W22D.2</v>
      </c>
      <c r="I773" s="13"/>
      <c r="J773" s="13"/>
      <c r="K773" s="13"/>
      <c r="L773" s="48"/>
      <c r="M773" s="49" t="str">
        <f t="shared" si="46"/>
        <v>[W22D.2]</v>
      </c>
      <c r="N773" s="12" t="str">
        <f t="shared" si="47"/>
        <v xml:space="preserve"> </v>
      </c>
      <c r="O773" s="49" t="str">
        <f t="shared" si="48"/>
        <v xml:space="preserve">[W22D.2] </v>
      </c>
    </row>
    <row r="774" spans="1:15" s="49" customFormat="1" ht="14.15" customHeight="1">
      <c r="A774" s="43"/>
      <c r="B774" s="11"/>
      <c r="C774" s="11" t="s">
        <v>18</v>
      </c>
      <c r="D774" s="45" t="s">
        <v>16</v>
      </c>
      <c r="E774" s="47"/>
      <c r="F774" s="40" t="s">
        <v>632</v>
      </c>
      <c r="G774" s="13" t="s">
        <v>7574</v>
      </c>
      <c r="H774" s="99" t="str">
        <f t="shared" si="45"/>
        <v>W22D.3</v>
      </c>
      <c r="I774" s="13"/>
      <c r="J774" s="13"/>
      <c r="K774" s="13"/>
      <c r="L774" s="48"/>
      <c r="M774" s="49" t="str">
        <f t="shared" si="46"/>
        <v>[W22D.3]</v>
      </c>
      <c r="N774" s="12" t="str">
        <f t="shared" si="47"/>
        <v xml:space="preserve"> </v>
      </c>
      <c r="O774" s="49" t="str">
        <f t="shared" si="48"/>
        <v xml:space="preserve">[W22D.3] </v>
      </c>
    </row>
    <row r="775" spans="1:15" s="49" customFormat="1" ht="14.15" customHeight="1">
      <c r="A775" s="43"/>
      <c r="B775" s="11"/>
      <c r="C775" s="11" t="s">
        <v>18</v>
      </c>
      <c r="D775" s="45" t="s">
        <v>16</v>
      </c>
      <c r="E775" s="47"/>
      <c r="F775" s="40" t="s">
        <v>633</v>
      </c>
      <c r="G775" s="13" t="s">
        <v>7575</v>
      </c>
      <c r="H775" s="99" t="str">
        <f t="shared" si="45"/>
        <v>W22D.4</v>
      </c>
      <c r="I775" s="13"/>
      <c r="J775" s="13"/>
      <c r="K775" s="13"/>
      <c r="L775" s="48"/>
      <c r="M775" s="49" t="str">
        <f t="shared" si="46"/>
        <v>[W22D.4]</v>
      </c>
      <c r="N775" s="12" t="str">
        <f t="shared" si="47"/>
        <v xml:space="preserve"> </v>
      </c>
      <c r="O775" s="49" t="str">
        <f t="shared" si="48"/>
        <v xml:space="preserve">[W22D.4] </v>
      </c>
    </row>
    <row r="776" spans="1:15" s="49" customFormat="1" ht="14.15" customHeight="1">
      <c r="A776" s="43"/>
      <c r="B776" s="11"/>
      <c r="C776" s="11" t="s">
        <v>18</v>
      </c>
      <c r="D776" s="45" t="s">
        <v>16</v>
      </c>
      <c r="E776" s="47"/>
      <c r="F776" s="40" t="s">
        <v>634</v>
      </c>
      <c r="G776" s="13" t="s">
        <v>7576</v>
      </c>
      <c r="H776" s="99" t="str">
        <f t="shared" si="45"/>
        <v>W22D.5</v>
      </c>
      <c r="I776" s="13"/>
      <c r="J776" s="13"/>
      <c r="K776" s="13"/>
      <c r="L776" s="48"/>
      <c r="M776" s="49" t="str">
        <f t="shared" si="46"/>
        <v>[W22D.5]</v>
      </c>
      <c r="N776" s="12" t="str">
        <f t="shared" si="47"/>
        <v xml:space="preserve"> </v>
      </c>
      <c r="O776" s="49" t="str">
        <f t="shared" si="48"/>
        <v xml:space="preserve">[W22D.5] </v>
      </c>
    </row>
    <row r="777" spans="1:15" s="49" customFormat="1" ht="14.15" customHeight="1">
      <c r="A777" s="43"/>
      <c r="B777" s="11"/>
      <c r="C777" s="11" t="s">
        <v>18</v>
      </c>
      <c r="D777" s="45" t="s">
        <v>16</v>
      </c>
      <c r="E777" s="47"/>
      <c r="F777" s="40" t="s">
        <v>635</v>
      </c>
      <c r="G777" s="13" t="s">
        <v>7577</v>
      </c>
      <c r="H777" s="99" t="str">
        <f t="shared" si="45"/>
        <v>W22D.6</v>
      </c>
      <c r="I777" s="13"/>
      <c r="J777" s="13"/>
      <c r="K777" s="13"/>
      <c r="L777" s="48"/>
      <c r="M777" s="49" t="str">
        <f t="shared" si="46"/>
        <v>[W22D.6]</v>
      </c>
      <c r="N777" s="12" t="str">
        <f t="shared" si="47"/>
        <v xml:space="preserve"> </v>
      </c>
      <c r="O777" s="49" t="str">
        <f t="shared" si="48"/>
        <v xml:space="preserve">[W22D.6] </v>
      </c>
    </row>
    <row r="778" spans="1:15" s="49" customFormat="1" ht="14.15" customHeight="1">
      <c r="A778" s="43"/>
      <c r="B778" s="11"/>
      <c r="C778" s="11" t="s">
        <v>18</v>
      </c>
      <c r="D778" s="45" t="s">
        <v>16</v>
      </c>
      <c r="E778" s="47"/>
      <c r="F778" s="40" t="s">
        <v>636</v>
      </c>
      <c r="G778" s="13" t="s">
        <v>7578</v>
      </c>
      <c r="H778" s="99" t="str">
        <f t="shared" si="45"/>
        <v>W22D.7</v>
      </c>
      <c r="I778" s="13"/>
      <c r="J778" s="13"/>
      <c r="K778" s="13"/>
      <c r="L778" s="48"/>
      <c r="M778" s="49" t="str">
        <f t="shared" si="46"/>
        <v>[W22D.7]</v>
      </c>
      <c r="N778" s="12" t="str">
        <f t="shared" si="47"/>
        <v xml:space="preserve"> </v>
      </c>
      <c r="O778" s="49" t="str">
        <f t="shared" si="48"/>
        <v xml:space="preserve">[W22D.7] </v>
      </c>
    </row>
    <row r="779" spans="1:15" s="49" customFormat="1" ht="14.15" customHeight="1">
      <c r="A779" s="43"/>
      <c r="B779" s="11"/>
      <c r="C779" s="11" t="s">
        <v>18</v>
      </c>
      <c r="D779" s="45" t="s">
        <v>16</v>
      </c>
      <c r="E779" s="47"/>
      <c r="F779" s="40" t="s">
        <v>637</v>
      </c>
      <c r="G779" s="13" t="s">
        <v>7579</v>
      </c>
      <c r="H779" s="99" t="str">
        <f t="shared" si="45"/>
        <v>W22D.8</v>
      </c>
      <c r="I779" s="13"/>
      <c r="J779" s="13"/>
      <c r="K779" s="13"/>
      <c r="L779" s="48"/>
      <c r="M779" s="49" t="str">
        <f t="shared" si="46"/>
        <v>[W22D.8]</v>
      </c>
      <c r="N779" s="12" t="str">
        <f t="shared" si="47"/>
        <v xml:space="preserve"> </v>
      </c>
      <c r="O779" s="49" t="str">
        <f t="shared" si="48"/>
        <v xml:space="preserve">[W22D.8] </v>
      </c>
    </row>
    <row r="780" spans="1:15" s="49" customFormat="1" ht="14.15" customHeight="1">
      <c r="A780" s="43"/>
      <c r="B780" s="11"/>
      <c r="C780" s="11" t="s">
        <v>18</v>
      </c>
      <c r="D780" s="45" t="s">
        <v>16</v>
      </c>
      <c r="E780" s="47"/>
      <c r="F780" s="40" t="s">
        <v>638</v>
      </c>
      <c r="G780" s="13" t="s">
        <v>7580</v>
      </c>
      <c r="H780" s="99" t="str">
        <f t="shared" si="45"/>
        <v>W22D.9</v>
      </c>
      <c r="I780" s="13"/>
      <c r="J780" s="13"/>
      <c r="K780" s="13"/>
      <c r="L780" s="48"/>
      <c r="M780" s="49" t="str">
        <f t="shared" si="46"/>
        <v>[W22D.9]</v>
      </c>
      <c r="N780" s="12" t="str">
        <f t="shared" si="47"/>
        <v xml:space="preserve"> </v>
      </c>
      <c r="O780" s="49" t="str">
        <f t="shared" si="48"/>
        <v xml:space="preserve">[W22D.9] </v>
      </c>
    </row>
    <row r="781" spans="1:15" s="49" customFormat="1" ht="14.15" customHeight="1">
      <c r="A781" s="43"/>
      <c r="B781" s="11"/>
      <c r="C781" s="11" t="s">
        <v>18</v>
      </c>
      <c r="D781" s="45" t="s">
        <v>16</v>
      </c>
      <c r="E781" s="47"/>
      <c r="F781" s="40" t="s">
        <v>639</v>
      </c>
      <c r="G781" s="13" t="s">
        <v>7581</v>
      </c>
      <c r="H781" s="99" t="str">
        <f t="shared" si="45"/>
        <v>W22D.A</v>
      </c>
      <c r="I781" s="13"/>
      <c r="J781" s="13"/>
      <c r="K781" s="13"/>
      <c r="L781" s="48"/>
      <c r="M781" s="49" t="str">
        <f t="shared" si="46"/>
        <v>[W22D.A]</v>
      </c>
      <c r="N781" s="12" t="str">
        <f t="shared" si="47"/>
        <v xml:space="preserve"> </v>
      </c>
      <c r="O781" s="49" t="str">
        <f t="shared" si="48"/>
        <v xml:space="preserve">[W22D.A] </v>
      </c>
    </row>
    <row r="782" spans="1:15" s="49" customFormat="1" ht="14.15" customHeight="1">
      <c r="A782" s="43"/>
      <c r="B782" s="11"/>
      <c r="C782" s="11" t="s">
        <v>18</v>
      </c>
      <c r="D782" s="45" t="s">
        <v>16</v>
      </c>
      <c r="E782" s="47"/>
      <c r="F782" s="40" t="s">
        <v>640</v>
      </c>
      <c r="G782" s="13" t="s">
        <v>7582</v>
      </c>
      <c r="H782" s="99" t="str">
        <f t="shared" si="45"/>
        <v>W22D.B</v>
      </c>
      <c r="I782" s="13"/>
      <c r="J782" s="13"/>
      <c r="K782" s="13"/>
      <c r="L782" s="48"/>
      <c r="M782" s="49" t="str">
        <f t="shared" si="46"/>
        <v>[W22D.B]</v>
      </c>
      <c r="N782" s="12" t="str">
        <f t="shared" si="47"/>
        <v xml:space="preserve"> </v>
      </c>
      <c r="O782" s="49" t="str">
        <f t="shared" si="48"/>
        <v xml:space="preserve">[W22D.B] </v>
      </c>
    </row>
    <row r="783" spans="1:15" s="49" customFormat="1" ht="14.15" customHeight="1">
      <c r="A783" s="43"/>
      <c r="B783" s="11"/>
      <c r="C783" s="11" t="s">
        <v>18</v>
      </c>
      <c r="D783" s="45" t="s">
        <v>16</v>
      </c>
      <c r="E783" s="47"/>
      <c r="F783" s="40" t="s">
        <v>641</v>
      </c>
      <c r="G783" s="13" t="s">
        <v>7583</v>
      </c>
      <c r="H783" s="99" t="str">
        <f t="shared" si="45"/>
        <v>W22D.C</v>
      </c>
      <c r="I783" s="13"/>
      <c r="J783" s="13"/>
      <c r="K783" s="13"/>
      <c r="L783" s="48"/>
      <c r="M783" s="49" t="str">
        <f t="shared" si="46"/>
        <v>[W22D.C]</v>
      </c>
      <c r="N783" s="12" t="str">
        <f t="shared" si="47"/>
        <v xml:space="preserve"> </v>
      </c>
      <c r="O783" s="49" t="str">
        <f t="shared" si="48"/>
        <v xml:space="preserve">[W22D.C] </v>
      </c>
    </row>
    <row r="784" spans="1:15" s="49" customFormat="1" ht="14.15" customHeight="1">
      <c r="A784" s="43"/>
      <c r="B784" s="11"/>
      <c r="C784" s="11" t="s">
        <v>18</v>
      </c>
      <c r="D784" s="45" t="s">
        <v>16</v>
      </c>
      <c r="E784" s="47"/>
      <c r="F784" s="40" t="s">
        <v>642</v>
      </c>
      <c r="G784" s="13" t="s">
        <v>7584</v>
      </c>
      <c r="H784" s="99" t="str">
        <f t="shared" si="45"/>
        <v>W22D.D</v>
      </c>
      <c r="I784" s="13"/>
      <c r="J784" s="13"/>
      <c r="K784" s="13"/>
      <c r="L784" s="48"/>
      <c r="M784" s="49" t="str">
        <f t="shared" si="46"/>
        <v>[W22D.D]</v>
      </c>
      <c r="N784" s="12" t="str">
        <f t="shared" si="47"/>
        <v xml:space="preserve"> </v>
      </c>
      <c r="O784" s="49" t="str">
        <f t="shared" si="48"/>
        <v xml:space="preserve">[W22D.D] </v>
      </c>
    </row>
    <row r="785" spans="1:15" s="49" customFormat="1" ht="14.15" customHeight="1">
      <c r="A785" s="43"/>
      <c r="B785" s="11"/>
      <c r="C785" s="11" t="s">
        <v>18</v>
      </c>
      <c r="D785" s="45" t="s">
        <v>16</v>
      </c>
      <c r="E785" s="47"/>
      <c r="F785" s="40" t="s">
        <v>643</v>
      </c>
      <c r="G785" s="13" t="s">
        <v>7585</v>
      </c>
      <c r="H785" s="99" t="str">
        <f t="shared" si="45"/>
        <v>W22D.E</v>
      </c>
      <c r="I785" s="13"/>
      <c r="J785" s="13"/>
      <c r="K785" s="13"/>
      <c r="L785" s="48"/>
      <c r="M785" s="49" t="str">
        <f t="shared" si="46"/>
        <v>[W22D.E]</v>
      </c>
      <c r="N785" s="12" t="str">
        <f t="shared" si="47"/>
        <v xml:space="preserve"> </v>
      </c>
      <c r="O785" s="49" t="str">
        <f t="shared" si="48"/>
        <v xml:space="preserve">[W22D.E] </v>
      </c>
    </row>
    <row r="786" spans="1:15" s="49" customFormat="1" ht="14.15" customHeight="1">
      <c r="A786" s="43"/>
      <c r="B786" s="11"/>
      <c r="C786" s="11" t="s">
        <v>18</v>
      </c>
      <c r="D786" s="45" t="s">
        <v>16</v>
      </c>
      <c r="E786" s="47"/>
      <c r="F786" s="40" t="s">
        <v>644</v>
      </c>
      <c r="G786" s="13" t="s">
        <v>7586</v>
      </c>
      <c r="H786" s="99" t="str">
        <f t="shared" si="45"/>
        <v>W22D.F</v>
      </c>
      <c r="I786" s="13"/>
      <c r="J786" s="13"/>
      <c r="K786" s="13"/>
      <c r="L786" s="48"/>
      <c r="M786" s="49" t="str">
        <f t="shared" si="46"/>
        <v>[W22D.F]</v>
      </c>
      <c r="N786" s="12" t="str">
        <f t="shared" si="47"/>
        <v xml:space="preserve"> </v>
      </c>
      <c r="O786" s="49" t="str">
        <f t="shared" si="48"/>
        <v xml:space="preserve">[W22D.F] </v>
      </c>
    </row>
    <row r="787" spans="1:15" s="49" customFormat="1" ht="14.15" customHeight="1">
      <c r="A787" s="43"/>
      <c r="B787" s="11"/>
      <c r="C787" s="11" t="s">
        <v>18</v>
      </c>
      <c r="D787" s="45" t="s">
        <v>16</v>
      </c>
      <c r="E787" s="47"/>
      <c r="F787" s="40" t="s">
        <v>645</v>
      </c>
      <c r="G787" s="13" t="s">
        <v>7587</v>
      </c>
      <c r="H787" s="99" t="str">
        <f t="shared" si="45"/>
        <v>W22E.0</v>
      </c>
      <c r="I787" s="13"/>
      <c r="J787" s="13"/>
      <c r="K787" s="13"/>
      <c r="L787" s="48"/>
      <c r="M787" s="49" t="str">
        <f t="shared" si="46"/>
        <v>[W22E.0]</v>
      </c>
      <c r="N787" s="12" t="str">
        <f t="shared" si="47"/>
        <v xml:space="preserve"> </v>
      </c>
      <c r="O787" s="49" t="str">
        <f t="shared" si="48"/>
        <v xml:space="preserve">[W22E.0] </v>
      </c>
    </row>
    <row r="788" spans="1:15" s="49" customFormat="1" ht="14.15" customHeight="1">
      <c r="A788" s="43"/>
      <c r="B788" s="11"/>
      <c r="C788" s="11" t="s">
        <v>18</v>
      </c>
      <c r="D788" s="45" t="s">
        <v>16</v>
      </c>
      <c r="E788" s="47"/>
      <c r="F788" s="40" t="s">
        <v>646</v>
      </c>
      <c r="G788" s="13" t="s">
        <v>7588</v>
      </c>
      <c r="H788" s="99" t="str">
        <f t="shared" si="45"/>
        <v>W22E.1</v>
      </c>
      <c r="I788" s="13"/>
      <c r="J788" s="13"/>
      <c r="K788" s="13"/>
      <c r="L788" s="48"/>
      <c r="M788" s="49" t="str">
        <f t="shared" si="46"/>
        <v>[W22E.1]</v>
      </c>
      <c r="N788" s="12" t="str">
        <f t="shared" si="47"/>
        <v xml:space="preserve"> </v>
      </c>
      <c r="O788" s="49" t="str">
        <f t="shared" si="48"/>
        <v xml:space="preserve">[W22E.1] </v>
      </c>
    </row>
    <row r="789" spans="1:15" s="49" customFormat="1" ht="14.15" customHeight="1">
      <c r="A789" s="43"/>
      <c r="B789" s="11"/>
      <c r="C789" s="11" t="s">
        <v>18</v>
      </c>
      <c r="D789" s="45" t="s">
        <v>16</v>
      </c>
      <c r="E789" s="47"/>
      <c r="F789" s="40" t="s">
        <v>647</v>
      </c>
      <c r="G789" s="13" t="s">
        <v>7589</v>
      </c>
      <c r="H789" s="99" t="str">
        <f t="shared" si="45"/>
        <v>W22E.2</v>
      </c>
      <c r="I789" s="13"/>
      <c r="J789" s="13"/>
      <c r="K789" s="13"/>
      <c r="L789" s="48"/>
      <c r="M789" s="49" t="str">
        <f t="shared" si="46"/>
        <v>[W22E.2]</v>
      </c>
      <c r="N789" s="12" t="str">
        <f t="shared" si="47"/>
        <v xml:space="preserve"> </v>
      </c>
      <c r="O789" s="49" t="str">
        <f t="shared" si="48"/>
        <v xml:space="preserve">[W22E.2] </v>
      </c>
    </row>
    <row r="790" spans="1:15" s="49" customFormat="1" ht="14.15" customHeight="1">
      <c r="A790" s="43"/>
      <c r="B790" s="11"/>
      <c r="C790" s="11" t="s">
        <v>18</v>
      </c>
      <c r="D790" s="45" t="s">
        <v>16</v>
      </c>
      <c r="E790" s="47"/>
      <c r="F790" s="40" t="s">
        <v>648</v>
      </c>
      <c r="G790" s="13" t="s">
        <v>7590</v>
      </c>
      <c r="H790" s="99" t="str">
        <f t="shared" si="45"/>
        <v>W22E.3</v>
      </c>
      <c r="I790" s="13"/>
      <c r="J790" s="13"/>
      <c r="K790" s="13"/>
      <c r="L790" s="48"/>
      <c r="M790" s="49" t="str">
        <f t="shared" si="46"/>
        <v>[W22E.3]</v>
      </c>
      <c r="N790" s="12" t="str">
        <f t="shared" si="47"/>
        <v xml:space="preserve"> </v>
      </c>
      <c r="O790" s="49" t="str">
        <f t="shared" si="48"/>
        <v xml:space="preserve">[W22E.3] </v>
      </c>
    </row>
    <row r="791" spans="1:15" s="49" customFormat="1" ht="14.15" customHeight="1">
      <c r="A791" s="43"/>
      <c r="B791" s="11"/>
      <c r="C791" s="11" t="s">
        <v>18</v>
      </c>
      <c r="D791" s="45" t="s">
        <v>16</v>
      </c>
      <c r="E791" s="47"/>
      <c r="F791" s="40" t="s">
        <v>649</v>
      </c>
      <c r="G791" s="13" t="s">
        <v>7591</v>
      </c>
      <c r="H791" s="99" t="str">
        <f t="shared" si="45"/>
        <v>W22E.4</v>
      </c>
      <c r="I791" s="13"/>
      <c r="J791" s="13"/>
      <c r="K791" s="13"/>
      <c r="L791" s="48"/>
      <c r="M791" s="49" t="str">
        <f t="shared" si="46"/>
        <v>[W22E.4]</v>
      </c>
      <c r="N791" s="12" t="str">
        <f t="shared" si="47"/>
        <v xml:space="preserve"> </v>
      </c>
      <c r="O791" s="49" t="str">
        <f t="shared" si="48"/>
        <v xml:space="preserve">[W22E.4] </v>
      </c>
    </row>
    <row r="792" spans="1:15" s="49" customFormat="1" ht="14.15" customHeight="1">
      <c r="A792" s="43"/>
      <c r="B792" s="11"/>
      <c r="C792" s="11" t="s">
        <v>18</v>
      </c>
      <c r="D792" s="45" t="s">
        <v>16</v>
      </c>
      <c r="E792" s="47"/>
      <c r="F792" s="40" t="s">
        <v>650</v>
      </c>
      <c r="G792" s="13" t="s">
        <v>7592</v>
      </c>
      <c r="H792" s="99" t="str">
        <f t="shared" si="45"/>
        <v>W22E.5</v>
      </c>
      <c r="I792" s="13"/>
      <c r="J792" s="13"/>
      <c r="K792" s="13"/>
      <c r="L792" s="48"/>
      <c r="M792" s="49" t="str">
        <f t="shared" si="46"/>
        <v>[W22E.5]</v>
      </c>
      <c r="N792" s="12" t="str">
        <f t="shared" si="47"/>
        <v xml:space="preserve"> </v>
      </c>
      <c r="O792" s="49" t="str">
        <f t="shared" si="48"/>
        <v xml:space="preserve">[W22E.5] </v>
      </c>
    </row>
    <row r="793" spans="1:15" s="49" customFormat="1" ht="14.15" customHeight="1">
      <c r="A793" s="43"/>
      <c r="B793" s="11"/>
      <c r="C793" s="11" t="s">
        <v>18</v>
      </c>
      <c r="D793" s="45" t="s">
        <v>16</v>
      </c>
      <c r="E793" s="47"/>
      <c r="F793" s="40" t="s">
        <v>651</v>
      </c>
      <c r="G793" s="13" t="s">
        <v>7593</v>
      </c>
      <c r="H793" s="99" t="str">
        <f t="shared" si="45"/>
        <v>W22E.6</v>
      </c>
      <c r="I793" s="13"/>
      <c r="J793" s="13"/>
      <c r="K793" s="13"/>
      <c r="L793" s="48"/>
      <c r="M793" s="49" t="str">
        <f t="shared" si="46"/>
        <v>[W22E.6]</v>
      </c>
      <c r="N793" s="12" t="str">
        <f t="shared" si="47"/>
        <v xml:space="preserve"> </v>
      </c>
      <c r="O793" s="49" t="str">
        <f t="shared" si="48"/>
        <v xml:space="preserve">[W22E.6] </v>
      </c>
    </row>
    <row r="794" spans="1:15" s="49" customFormat="1" ht="14.15" customHeight="1">
      <c r="A794" s="43"/>
      <c r="B794" s="11"/>
      <c r="C794" s="11" t="s">
        <v>18</v>
      </c>
      <c r="D794" s="45" t="s">
        <v>16</v>
      </c>
      <c r="E794" s="47"/>
      <c r="F794" s="40" t="s">
        <v>652</v>
      </c>
      <c r="G794" s="13" t="s">
        <v>7594</v>
      </c>
      <c r="H794" s="99" t="str">
        <f t="shared" si="45"/>
        <v>W22E.7</v>
      </c>
      <c r="I794" s="13"/>
      <c r="J794" s="13"/>
      <c r="K794" s="13"/>
      <c r="L794" s="48"/>
      <c r="M794" s="49" t="str">
        <f t="shared" si="46"/>
        <v>[W22E.7]</v>
      </c>
      <c r="N794" s="12" t="str">
        <f t="shared" si="47"/>
        <v xml:space="preserve"> </v>
      </c>
      <c r="O794" s="49" t="str">
        <f t="shared" si="48"/>
        <v xml:space="preserve">[W22E.7] </v>
      </c>
    </row>
    <row r="795" spans="1:15" s="49" customFormat="1" ht="14.15" customHeight="1">
      <c r="A795" s="43"/>
      <c r="B795" s="11"/>
      <c r="C795" s="11" t="s">
        <v>18</v>
      </c>
      <c r="D795" s="45" t="s">
        <v>16</v>
      </c>
      <c r="E795" s="47"/>
      <c r="F795" s="40" t="s">
        <v>653</v>
      </c>
      <c r="G795" s="13" t="s">
        <v>7595</v>
      </c>
      <c r="H795" s="99" t="str">
        <f t="shared" si="45"/>
        <v>W22E.8</v>
      </c>
      <c r="I795" s="13"/>
      <c r="J795" s="13"/>
      <c r="K795" s="13"/>
      <c r="L795" s="48"/>
      <c r="M795" s="49" t="str">
        <f t="shared" si="46"/>
        <v>[W22E.8]</v>
      </c>
      <c r="N795" s="12" t="str">
        <f t="shared" si="47"/>
        <v xml:space="preserve"> </v>
      </c>
      <c r="O795" s="49" t="str">
        <f t="shared" si="48"/>
        <v xml:space="preserve">[W22E.8] </v>
      </c>
    </row>
    <row r="796" spans="1:15" s="49" customFormat="1" ht="14.15" customHeight="1">
      <c r="A796" s="43"/>
      <c r="B796" s="11"/>
      <c r="C796" s="11" t="s">
        <v>18</v>
      </c>
      <c r="D796" s="45" t="s">
        <v>16</v>
      </c>
      <c r="E796" s="47"/>
      <c r="F796" s="40" t="s">
        <v>654</v>
      </c>
      <c r="G796" s="13" t="s">
        <v>7596</v>
      </c>
      <c r="H796" s="99" t="str">
        <f t="shared" si="45"/>
        <v>W22E.9</v>
      </c>
      <c r="I796" s="13"/>
      <c r="J796" s="13"/>
      <c r="K796" s="13"/>
      <c r="L796" s="48"/>
      <c r="M796" s="49" t="str">
        <f t="shared" si="46"/>
        <v>[W22E.9]</v>
      </c>
      <c r="N796" s="12" t="str">
        <f t="shared" si="47"/>
        <v xml:space="preserve"> </v>
      </c>
      <c r="O796" s="49" t="str">
        <f t="shared" si="48"/>
        <v xml:space="preserve">[W22E.9] </v>
      </c>
    </row>
    <row r="797" spans="1:15" s="49" customFormat="1" ht="14.15" customHeight="1">
      <c r="A797" s="43"/>
      <c r="B797" s="11"/>
      <c r="C797" s="11" t="s">
        <v>18</v>
      </c>
      <c r="D797" s="45" t="s">
        <v>16</v>
      </c>
      <c r="E797" s="47"/>
      <c r="F797" s="40" t="s">
        <v>655</v>
      </c>
      <c r="G797" s="13" t="s">
        <v>7597</v>
      </c>
      <c r="H797" s="99" t="str">
        <f t="shared" si="45"/>
        <v>W22E.A</v>
      </c>
      <c r="I797" s="13"/>
      <c r="J797" s="13"/>
      <c r="K797" s="13"/>
      <c r="L797" s="48"/>
      <c r="M797" s="49" t="str">
        <f t="shared" si="46"/>
        <v>[W22E.A]</v>
      </c>
      <c r="N797" s="12" t="str">
        <f t="shared" si="47"/>
        <v xml:space="preserve"> </v>
      </c>
      <c r="O797" s="49" t="str">
        <f t="shared" si="48"/>
        <v xml:space="preserve">[W22E.A] </v>
      </c>
    </row>
    <row r="798" spans="1:15" s="49" customFormat="1" ht="14.15" customHeight="1">
      <c r="A798" s="43"/>
      <c r="B798" s="11"/>
      <c r="C798" s="11" t="s">
        <v>18</v>
      </c>
      <c r="D798" s="45" t="s">
        <v>16</v>
      </c>
      <c r="E798" s="47"/>
      <c r="F798" s="40" t="s">
        <v>656</v>
      </c>
      <c r="G798" s="13" t="s">
        <v>7598</v>
      </c>
      <c r="H798" s="99" t="str">
        <f t="shared" si="45"/>
        <v>W22E.B</v>
      </c>
      <c r="I798" s="13"/>
      <c r="J798" s="13"/>
      <c r="K798" s="13"/>
      <c r="L798" s="48"/>
      <c r="M798" s="49" t="str">
        <f t="shared" si="46"/>
        <v>[W22E.B]</v>
      </c>
      <c r="N798" s="12" t="str">
        <f t="shared" si="47"/>
        <v xml:space="preserve"> </v>
      </c>
      <c r="O798" s="49" t="str">
        <f t="shared" si="48"/>
        <v xml:space="preserve">[W22E.B] </v>
      </c>
    </row>
    <row r="799" spans="1:15" s="49" customFormat="1" ht="14.15" customHeight="1">
      <c r="A799" s="43"/>
      <c r="B799" s="11"/>
      <c r="C799" s="11" t="s">
        <v>18</v>
      </c>
      <c r="D799" s="45" t="s">
        <v>16</v>
      </c>
      <c r="E799" s="47"/>
      <c r="F799" s="40" t="s">
        <v>657</v>
      </c>
      <c r="G799" s="13" t="s">
        <v>7599</v>
      </c>
      <c r="H799" s="99" t="str">
        <f t="shared" si="45"/>
        <v>W22E.C</v>
      </c>
      <c r="I799" s="13"/>
      <c r="J799" s="13"/>
      <c r="K799" s="13"/>
      <c r="L799" s="48"/>
      <c r="M799" s="49" t="str">
        <f t="shared" si="46"/>
        <v>[W22E.C]</v>
      </c>
      <c r="N799" s="12" t="str">
        <f t="shared" si="47"/>
        <v xml:space="preserve"> </v>
      </c>
      <c r="O799" s="49" t="str">
        <f t="shared" si="48"/>
        <v xml:space="preserve">[W22E.C] </v>
      </c>
    </row>
    <row r="800" spans="1:15" s="49" customFormat="1" ht="14.15" customHeight="1">
      <c r="A800" s="43"/>
      <c r="B800" s="11"/>
      <c r="C800" s="11" t="s">
        <v>18</v>
      </c>
      <c r="D800" s="45" t="s">
        <v>16</v>
      </c>
      <c r="E800" s="47"/>
      <c r="F800" s="40" t="s">
        <v>658</v>
      </c>
      <c r="G800" s="13" t="s">
        <v>7600</v>
      </c>
      <c r="H800" s="99" t="str">
        <f t="shared" si="45"/>
        <v>W22E.D</v>
      </c>
      <c r="I800" s="13"/>
      <c r="J800" s="13"/>
      <c r="K800" s="13"/>
      <c r="L800" s="48"/>
      <c r="M800" s="49" t="str">
        <f t="shared" si="46"/>
        <v>[W22E.D]</v>
      </c>
      <c r="N800" s="12" t="str">
        <f t="shared" si="47"/>
        <v xml:space="preserve"> </v>
      </c>
      <c r="O800" s="49" t="str">
        <f t="shared" si="48"/>
        <v xml:space="preserve">[W22E.D] </v>
      </c>
    </row>
    <row r="801" spans="1:15" s="49" customFormat="1" ht="14.15" customHeight="1">
      <c r="A801" s="43"/>
      <c r="B801" s="11"/>
      <c r="C801" s="11" t="s">
        <v>18</v>
      </c>
      <c r="D801" s="45" t="s">
        <v>16</v>
      </c>
      <c r="E801" s="47"/>
      <c r="F801" s="40" t="s">
        <v>659</v>
      </c>
      <c r="G801" s="13" t="s">
        <v>7601</v>
      </c>
      <c r="H801" s="99" t="str">
        <f t="shared" si="45"/>
        <v>W22E.E</v>
      </c>
      <c r="I801" s="13"/>
      <c r="J801" s="13"/>
      <c r="K801" s="13"/>
      <c r="L801" s="48"/>
      <c r="M801" s="49" t="str">
        <f t="shared" si="46"/>
        <v>[W22E.E]</v>
      </c>
      <c r="N801" s="12" t="str">
        <f t="shared" si="47"/>
        <v xml:space="preserve"> </v>
      </c>
      <c r="O801" s="49" t="str">
        <f t="shared" si="48"/>
        <v xml:space="preserve">[W22E.E] </v>
      </c>
    </row>
    <row r="802" spans="1:15" s="49" customFormat="1" ht="14.15" customHeight="1">
      <c r="A802" s="43"/>
      <c r="B802" s="11"/>
      <c r="C802" s="11" t="s">
        <v>18</v>
      </c>
      <c r="D802" s="45" t="s">
        <v>16</v>
      </c>
      <c r="E802" s="47"/>
      <c r="F802" s="40" t="s">
        <v>660</v>
      </c>
      <c r="G802" s="13" t="s">
        <v>7602</v>
      </c>
      <c r="H802" s="99" t="str">
        <f t="shared" si="45"/>
        <v>W22E.F</v>
      </c>
      <c r="I802" s="13"/>
      <c r="J802" s="13"/>
      <c r="K802" s="13"/>
      <c r="L802" s="48"/>
      <c r="M802" s="49" t="str">
        <f t="shared" si="46"/>
        <v>[W22E.F]</v>
      </c>
      <c r="N802" s="12" t="str">
        <f t="shared" si="47"/>
        <v xml:space="preserve"> </v>
      </c>
      <c r="O802" s="49" t="str">
        <f t="shared" si="48"/>
        <v xml:space="preserve">[W22E.F] </v>
      </c>
    </row>
    <row r="803" spans="1:15" s="49" customFormat="1" ht="14.15" customHeight="1">
      <c r="A803" s="43"/>
      <c r="B803" s="11"/>
      <c r="C803" s="11" t="s">
        <v>18</v>
      </c>
      <c r="D803" s="45" t="s">
        <v>16</v>
      </c>
      <c r="E803" s="47"/>
      <c r="F803" s="40" t="s">
        <v>661</v>
      </c>
      <c r="G803" s="13" t="s">
        <v>7603</v>
      </c>
      <c r="H803" s="99" t="str">
        <f t="shared" si="45"/>
        <v>W22F.0</v>
      </c>
      <c r="I803" s="13"/>
      <c r="J803" s="13"/>
      <c r="K803" s="13"/>
      <c r="L803" s="48"/>
      <c r="M803" s="49" t="str">
        <f t="shared" si="46"/>
        <v>[W22F.0]</v>
      </c>
      <c r="N803" s="12" t="str">
        <f t="shared" si="47"/>
        <v xml:space="preserve"> </v>
      </c>
      <c r="O803" s="49" t="str">
        <f t="shared" si="48"/>
        <v xml:space="preserve">[W22F.0] </v>
      </c>
    </row>
    <row r="804" spans="1:15" s="49" customFormat="1" ht="14.15" customHeight="1">
      <c r="A804" s="43"/>
      <c r="B804" s="11"/>
      <c r="C804" s="11" t="s">
        <v>18</v>
      </c>
      <c r="D804" s="45" t="s">
        <v>16</v>
      </c>
      <c r="E804" s="47"/>
      <c r="F804" s="40" t="s">
        <v>662</v>
      </c>
      <c r="G804" s="13" t="s">
        <v>7604</v>
      </c>
      <c r="H804" s="99" t="str">
        <f t="shared" si="45"/>
        <v>W22F.1</v>
      </c>
      <c r="I804" s="13"/>
      <c r="J804" s="13"/>
      <c r="K804" s="13"/>
      <c r="L804" s="48"/>
      <c r="M804" s="49" t="str">
        <f t="shared" si="46"/>
        <v>[W22F.1]</v>
      </c>
      <c r="N804" s="12" t="str">
        <f t="shared" si="47"/>
        <v xml:space="preserve"> </v>
      </c>
      <c r="O804" s="49" t="str">
        <f t="shared" si="48"/>
        <v xml:space="preserve">[W22F.1] </v>
      </c>
    </row>
    <row r="805" spans="1:15" s="49" customFormat="1" ht="14.15" customHeight="1">
      <c r="A805" s="43"/>
      <c r="B805" s="11"/>
      <c r="C805" s="11" t="s">
        <v>18</v>
      </c>
      <c r="D805" s="45" t="s">
        <v>16</v>
      </c>
      <c r="E805" s="47"/>
      <c r="F805" s="40" t="s">
        <v>663</v>
      </c>
      <c r="G805" s="13" t="s">
        <v>7605</v>
      </c>
      <c r="H805" s="99" t="str">
        <f t="shared" si="45"/>
        <v>W22F.2</v>
      </c>
      <c r="I805" s="13"/>
      <c r="J805" s="13"/>
      <c r="K805" s="13"/>
      <c r="L805" s="48"/>
      <c r="M805" s="49" t="str">
        <f t="shared" si="46"/>
        <v>[W22F.2]</v>
      </c>
      <c r="N805" s="12" t="str">
        <f t="shared" si="47"/>
        <v xml:space="preserve"> </v>
      </c>
      <c r="O805" s="49" t="str">
        <f t="shared" si="48"/>
        <v xml:space="preserve">[W22F.2] </v>
      </c>
    </row>
    <row r="806" spans="1:15" s="49" customFormat="1" ht="14.15" customHeight="1">
      <c r="A806" s="43"/>
      <c r="B806" s="11"/>
      <c r="C806" s="11" t="s">
        <v>18</v>
      </c>
      <c r="D806" s="45" t="s">
        <v>16</v>
      </c>
      <c r="E806" s="47"/>
      <c r="F806" s="40" t="s">
        <v>664</v>
      </c>
      <c r="G806" s="13" t="s">
        <v>7606</v>
      </c>
      <c r="H806" s="99" t="str">
        <f t="shared" si="45"/>
        <v>W22F.3</v>
      </c>
      <c r="I806" s="13"/>
      <c r="J806" s="13"/>
      <c r="K806" s="13"/>
      <c r="L806" s="48"/>
      <c r="M806" s="49" t="str">
        <f t="shared" si="46"/>
        <v>[W22F.3]</v>
      </c>
      <c r="N806" s="12" t="str">
        <f t="shared" si="47"/>
        <v xml:space="preserve"> </v>
      </c>
      <c r="O806" s="49" t="str">
        <f t="shared" si="48"/>
        <v xml:space="preserve">[W22F.3] </v>
      </c>
    </row>
    <row r="807" spans="1:15" s="49" customFormat="1" ht="14.15" customHeight="1">
      <c r="A807" s="43"/>
      <c r="B807" s="11"/>
      <c r="C807" s="11" t="s">
        <v>18</v>
      </c>
      <c r="D807" s="45" t="s">
        <v>16</v>
      </c>
      <c r="E807" s="47"/>
      <c r="F807" s="40" t="s">
        <v>665</v>
      </c>
      <c r="G807" s="13" t="s">
        <v>7607</v>
      </c>
      <c r="H807" s="99" t="str">
        <f t="shared" si="45"/>
        <v>W22F.4</v>
      </c>
      <c r="I807" s="13"/>
      <c r="J807" s="13"/>
      <c r="K807" s="13"/>
      <c r="L807" s="48"/>
      <c r="M807" s="49" t="str">
        <f t="shared" si="46"/>
        <v>[W22F.4]</v>
      </c>
      <c r="N807" s="12" t="str">
        <f t="shared" si="47"/>
        <v xml:space="preserve"> </v>
      </c>
      <c r="O807" s="49" t="str">
        <f t="shared" si="48"/>
        <v xml:space="preserve">[W22F.4] </v>
      </c>
    </row>
    <row r="808" spans="1:15" s="49" customFormat="1" ht="14.15" customHeight="1">
      <c r="A808" s="43"/>
      <c r="B808" s="11"/>
      <c r="C808" s="11" t="s">
        <v>18</v>
      </c>
      <c r="D808" s="45" t="s">
        <v>16</v>
      </c>
      <c r="E808" s="47"/>
      <c r="F808" s="40" t="s">
        <v>666</v>
      </c>
      <c r="G808" s="13" t="s">
        <v>7608</v>
      </c>
      <c r="H808" s="99" t="str">
        <f t="shared" si="45"/>
        <v>W22F.5</v>
      </c>
      <c r="I808" s="13"/>
      <c r="J808" s="13"/>
      <c r="K808" s="13"/>
      <c r="L808" s="48"/>
      <c r="M808" s="49" t="str">
        <f t="shared" si="46"/>
        <v>[W22F.5]</v>
      </c>
      <c r="N808" s="12" t="str">
        <f t="shared" si="47"/>
        <v xml:space="preserve"> </v>
      </c>
      <c r="O808" s="49" t="str">
        <f t="shared" si="48"/>
        <v xml:space="preserve">[W22F.5] </v>
      </c>
    </row>
    <row r="809" spans="1:15" s="49" customFormat="1" ht="14.15" customHeight="1">
      <c r="A809" s="43"/>
      <c r="B809" s="11"/>
      <c r="C809" s="11" t="s">
        <v>18</v>
      </c>
      <c r="D809" s="45" t="s">
        <v>16</v>
      </c>
      <c r="E809" s="47"/>
      <c r="F809" s="40" t="s">
        <v>667</v>
      </c>
      <c r="G809" s="13" t="s">
        <v>7609</v>
      </c>
      <c r="H809" s="99" t="str">
        <f t="shared" si="45"/>
        <v>W22F.6</v>
      </c>
      <c r="I809" s="13"/>
      <c r="J809" s="13"/>
      <c r="K809" s="13"/>
      <c r="L809" s="48"/>
      <c r="M809" s="49" t="str">
        <f t="shared" si="46"/>
        <v>[W22F.6]</v>
      </c>
      <c r="N809" s="12" t="str">
        <f t="shared" si="47"/>
        <v xml:space="preserve"> </v>
      </c>
      <c r="O809" s="49" t="str">
        <f t="shared" si="48"/>
        <v xml:space="preserve">[W22F.6] </v>
      </c>
    </row>
    <row r="810" spans="1:15" s="49" customFormat="1" ht="14.15" customHeight="1">
      <c r="A810" s="43"/>
      <c r="B810" s="11"/>
      <c r="C810" s="11" t="s">
        <v>18</v>
      </c>
      <c r="D810" s="45" t="s">
        <v>16</v>
      </c>
      <c r="E810" s="47"/>
      <c r="F810" s="40" t="s">
        <v>668</v>
      </c>
      <c r="G810" s="13" t="s">
        <v>7610</v>
      </c>
      <c r="H810" s="99" t="str">
        <f t="shared" si="45"/>
        <v>W22F.7</v>
      </c>
      <c r="I810" s="13"/>
      <c r="J810" s="13"/>
      <c r="K810" s="13"/>
      <c r="L810" s="48"/>
      <c r="M810" s="49" t="str">
        <f t="shared" si="46"/>
        <v>[W22F.7]</v>
      </c>
      <c r="N810" s="12" t="str">
        <f t="shared" si="47"/>
        <v xml:space="preserve"> </v>
      </c>
      <c r="O810" s="49" t="str">
        <f t="shared" si="48"/>
        <v xml:space="preserve">[W22F.7] </v>
      </c>
    </row>
    <row r="811" spans="1:15" s="49" customFormat="1" ht="14.15" customHeight="1">
      <c r="A811" s="43"/>
      <c r="B811" s="11"/>
      <c r="C811" s="11" t="s">
        <v>18</v>
      </c>
      <c r="D811" s="45" t="s">
        <v>16</v>
      </c>
      <c r="E811" s="47"/>
      <c r="F811" s="40" t="s">
        <v>669</v>
      </c>
      <c r="G811" s="13" t="s">
        <v>7611</v>
      </c>
      <c r="H811" s="99" t="str">
        <f t="shared" si="45"/>
        <v>W22F.8</v>
      </c>
      <c r="I811" s="13"/>
      <c r="J811" s="13"/>
      <c r="K811" s="13"/>
      <c r="L811" s="48"/>
      <c r="M811" s="49" t="str">
        <f t="shared" si="46"/>
        <v>[W22F.8]</v>
      </c>
      <c r="N811" s="12" t="str">
        <f t="shared" si="47"/>
        <v xml:space="preserve"> </v>
      </c>
      <c r="O811" s="49" t="str">
        <f t="shared" si="48"/>
        <v xml:space="preserve">[W22F.8] </v>
      </c>
    </row>
    <row r="812" spans="1:15" s="49" customFormat="1" ht="14.15" customHeight="1">
      <c r="A812" s="43"/>
      <c r="B812" s="11"/>
      <c r="C812" s="11" t="s">
        <v>18</v>
      </c>
      <c r="D812" s="45" t="s">
        <v>16</v>
      </c>
      <c r="E812" s="47"/>
      <c r="F812" s="40" t="s">
        <v>670</v>
      </c>
      <c r="G812" s="13" t="s">
        <v>7612</v>
      </c>
      <c r="H812" s="99" t="str">
        <f t="shared" si="45"/>
        <v>W22F.9</v>
      </c>
      <c r="I812" s="13"/>
      <c r="J812" s="13"/>
      <c r="K812" s="13"/>
      <c r="L812" s="48"/>
      <c r="M812" s="49" t="str">
        <f t="shared" si="46"/>
        <v>[W22F.9]</v>
      </c>
      <c r="N812" s="12" t="str">
        <f t="shared" si="47"/>
        <v xml:space="preserve"> </v>
      </c>
      <c r="O812" s="49" t="str">
        <f t="shared" si="48"/>
        <v xml:space="preserve">[W22F.9] </v>
      </c>
    </row>
    <row r="813" spans="1:15" s="49" customFormat="1" ht="14.15" customHeight="1">
      <c r="A813" s="43"/>
      <c r="B813" s="11"/>
      <c r="C813" s="11" t="s">
        <v>18</v>
      </c>
      <c r="D813" s="45" t="s">
        <v>16</v>
      </c>
      <c r="E813" s="47"/>
      <c r="F813" s="40" t="s">
        <v>671</v>
      </c>
      <c r="G813" s="13" t="s">
        <v>7613</v>
      </c>
      <c r="H813" s="99" t="str">
        <f t="shared" si="45"/>
        <v>W22F.A</v>
      </c>
      <c r="I813" s="13"/>
      <c r="J813" s="13"/>
      <c r="K813" s="13"/>
      <c r="L813" s="48"/>
      <c r="M813" s="49" t="str">
        <f t="shared" si="46"/>
        <v>[W22F.A]</v>
      </c>
      <c r="N813" s="12" t="str">
        <f t="shared" si="47"/>
        <v xml:space="preserve"> </v>
      </c>
      <c r="O813" s="49" t="str">
        <f t="shared" si="48"/>
        <v xml:space="preserve">[W22F.A] </v>
      </c>
    </row>
    <row r="814" spans="1:15" s="49" customFormat="1" ht="14.15" customHeight="1">
      <c r="A814" s="43"/>
      <c r="B814" s="11"/>
      <c r="C814" s="11" t="s">
        <v>18</v>
      </c>
      <c r="D814" s="45" t="s">
        <v>16</v>
      </c>
      <c r="E814" s="47"/>
      <c r="F814" s="40" t="s">
        <v>672</v>
      </c>
      <c r="G814" s="13" t="s">
        <v>7614</v>
      </c>
      <c r="H814" s="99" t="str">
        <f t="shared" si="45"/>
        <v>W22F.B</v>
      </c>
      <c r="I814" s="13"/>
      <c r="J814" s="13"/>
      <c r="K814" s="13"/>
      <c r="L814" s="48"/>
      <c r="M814" s="49" t="str">
        <f t="shared" si="46"/>
        <v>[W22F.B]</v>
      </c>
      <c r="N814" s="12" t="str">
        <f t="shared" si="47"/>
        <v xml:space="preserve"> </v>
      </c>
      <c r="O814" s="49" t="str">
        <f t="shared" si="48"/>
        <v xml:space="preserve">[W22F.B] </v>
      </c>
    </row>
    <row r="815" spans="1:15" s="49" customFormat="1" ht="14.15" customHeight="1">
      <c r="A815" s="43"/>
      <c r="B815" s="11"/>
      <c r="C815" s="11" t="s">
        <v>18</v>
      </c>
      <c r="D815" s="45" t="s">
        <v>16</v>
      </c>
      <c r="E815" s="47"/>
      <c r="F815" s="40" t="s">
        <v>673</v>
      </c>
      <c r="G815" s="13" t="s">
        <v>7615</v>
      </c>
      <c r="H815" s="99" t="str">
        <f t="shared" si="45"/>
        <v>W22F.C</v>
      </c>
      <c r="I815" s="13"/>
      <c r="J815" s="13"/>
      <c r="K815" s="13"/>
      <c r="L815" s="48"/>
      <c r="M815" s="49" t="str">
        <f t="shared" si="46"/>
        <v>[W22F.C]</v>
      </c>
      <c r="N815" s="12" t="str">
        <f t="shared" si="47"/>
        <v xml:space="preserve"> </v>
      </c>
      <c r="O815" s="49" t="str">
        <f t="shared" si="48"/>
        <v xml:space="preserve">[W22F.C] </v>
      </c>
    </row>
    <row r="816" spans="1:15" s="49" customFormat="1" ht="14.15" customHeight="1">
      <c r="A816" s="43"/>
      <c r="B816" s="11"/>
      <c r="C816" s="11" t="s">
        <v>18</v>
      </c>
      <c r="D816" s="45" t="s">
        <v>16</v>
      </c>
      <c r="E816" s="47"/>
      <c r="F816" s="40" t="s">
        <v>674</v>
      </c>
      <c r="G816" s="13" t="s">
        <v>7616</v>
      </c>
      <c r="H816" s="99" t="str">
        <f t="shared" si="45"/>
        <v>W22F.D</v>
      </c>
      <c r="I816" s="13"/>
      <c r="J816" s="13"/>
      <c r="K816" s="13"/>
      <c r="L816" s="48"/>
      <c r="M816" s="49" t="str">
        <f t="shared" si="46"/>
        <v>[W22F.D]</v>
      </c>
      <c r="N816" s="12" t="str">
        <f t="shared" si="47"/>
        <v xml:space="preserve"> </v>
      </c>
      <c r="O816" s="49" t="str">
        <f t="shared" si="48"/>
        <v xml:space="preserve">[W22F.D] </v>
      </c>
    </row>
    <row r="817" spans="1:15" s="49" customFormat="1" ht="14.15" customHeight="1">
      <c r="A817" s="44"/>
      <c r="B817" s="11"/>
      <c r="C817" s="11" t="s">
        <v>18</v>
      </c>
      <c r="D817" s="45" t="s">
        <v>16</v>
      </c>
      <c r="E817" s="47"/>
      <c r="F817" s="39" t="s">
        <v>675</v>
      </c>
      <c r="G817" s="13" t="s">
        <v>7617</v>
      </c>
      <c r="H817" s="99" t="str">
        <f t="shared" si="45"/>
        <v>W22F.E</v>
      </c>
      <c r="I817" s="13"/>
      <c r="J817" s="13"/>
      <c r="K817" s="13"/>
      <c r="L817" s="48"/>
      <c r="M817" s="49" t="str">
        <f t="shared" si="46"/>
        <v>[W22F.E]</v>
      </c>
      <c r="N817" s="12" t="str">
        <f t="shared" si="47"/>
        <v xml:space="preserve"> </v>
      </c>
      <c r="O817" s="49" t="str">
        <f t="shared" si="48"/>
        <v xml:space="preserve">[W22F.E] </v>
      </c>
    </row>
    <row r="818" spans="1:15" s="49" customFormat="1" ht="14.15" customHeight="1">
      <c r="A818" s="44"/>
      <c r="B818" s="11"/>
      <c r="C818" s="11" t="s">
        <v>18</v>
      </c>
      <c r="D818" s="45" t="s">
        <v>16</v>
      </c>
      <c r="E818" s="47"/>
      <c r="F818" s="39" t="s">
        <v>676</v>
      </c>
      <c r="G818" s="13" t="s">
        <v>7618</v>
      </c>
      <c r="H818" s="99" t="str">
        <f t="shared" si="45"/>
        <v>W22F.F</v>
      </c>
      <c r="I818" s="13"/>
      <c r="J818" s="13"/>
      <c r="K818" s="13"/>
      <c r="L818" s="48"/>
      <c r="M818" s="49" t="str">
        <f t="shared" si="46"/>
        <v>[W22F.F]</v>
      </c>
      <c r="N818" s="12" t="str">
        <f t="shared" si="47"/>
        <v xml:space="preserve"> </v>
      </c>
      <c r="O818" s="49" t="str">
        <f t="shared" si="48"/>
        <v xml:space="preserve">[W22F.F] </v>
      </c>
    </row>
    <row r="819" spans="1:15" s="49" customFormat="1" ht="14.15" customHeight="1">
      <c r="A819" s="44"/>
      <c r="B819" s="11"/>
      <c r="C819" s="11" t="s">
        <v>18</v>
      </c>
      <c r="D819" s="45" t="s">
        <v>16</v>
      </c>
      <c r="E819" s="47"/>
      <c r="F819" s="39" t="s">
        <v>677</v>
      </c>
      <c r="G819" s="13" t="s">
        <v>7619</v>
      </c>
      <c r="H819" s="99" t="str">
        <f t="shared" si="45"/>
        <v>W230.0</v>
      </c>
      <c r="I819" s="13"/>
      <c r="J819" s="13"/>
      <c r="K819" s="13"/>
      <c r="L819" s="48"/>
      <c r="M819" s="49" t="str">
        <f t="shared" si="46"/>
        <v>[W230.0]</v>
      </c>
      <c r="N819" s="12" t="str">
        <f t="shared" si="47"/>
        <v xml:space="preserve"> </v>
      </c>
      <c r="O819" s="49" t="str">
        <f t="shared" si="48"/>
        <v xml:space="preserve">[W230.0] </v>
      </c>
    </row>
    <row r="820" spans="1:15" s="49" customFormat="1" ht="14.15" customHeight="1">
      <c r="A820" s="44"/>
      <c r="B820" s="11"/>
      <c r="C820" s="11" t="s">
        <v>18</v>
      </c>
      <c r="D820" s="45" t="s">
        <v>16</v>
      </c>
      <c r="E820" s="47"/>
      <c r="F820" s="39" t="s">
        <v>678</v>
      </c>
      <c r="G820" s="13" t="s">
        <v>7620</v>
      </c>
      <c r="H820" s="99" t="str">
        <f t="shared" ref="H820:H883" si="49">"W"&amp;DEC2HEX(512 + INT((ROW()-51)/16)) &amp; "." &amp; IF(MOD(ROW()-51,16)&lt;10,MOD(ROW()-51,16),CHAR(MOD(ROW()-51,16)+55))</f>
        <v>W230.1</v>
      </c>
      <c r="I820" s="13"/>
      <c r="J820" s="13"/>
      <c r="K820" s="13"/>
      <c r="L820" s="48"/>
      <c r="M820" s="49" t="str">
        <f t="shared" ref="M820:M883" si="50">"["&amp;H820&amp;"]"</f>
        <v>[W230.1]</v>
      </c>
      <c r="N820" s="12" t="str">
        <f t="shared" ref="N820:N883" si="51">RIGHT(F820,LEN(F820)-7)</f>
        <v xml:space="preserve"> </v>
      </c>
      <c r="O820" s="49" t="str">
        <f t="shared" ref="O820:O883" si="52">M820&amp;N820</f>
        <v xml:space="preserve">[W230.1] </v>
      </c>
    </row>
    <row r="821" spans="1:15" s="49" customFormat="1" ht="14.15" customHeight="1">
      <c r="A821" s="44"/>
      <c r="B821" s="11"/>
      <c r="C821" s="11" t="s">
        <v>18</v>
      </c>
      <c r="D821" s="45" t="s">
        <v>16</v>
      </c>
      <c r="E821" s="47"/>
      <c r="F821" s="39" t="s">
        <v>679</v>
      </c>
      <c r="G821" s="13" t="s">
        <v>7621</v>
      </c>
      <c r="H821" s="99" t="str">
        <f t="shared" si="49"/>
        <v>W230.2</v>
      </c>
      <c r="I821" s="13"/>
      <c r="J821" s="13"/>
      <c r="K821" s="13"/>
      <c r="L821" s="48"/>
      <c r="M821" s="49" t="str">
        <f t="shared" si="50"/>
        <v>[W230.2]</v>
      </c>
      <c r="N821" s="12" t="str">
        <f t="shared" si="51"/>
        <v xml:space="preserve"> </v>
      </c>
      <c r="O821" s="49" t="str">
        <f t="shared" si="52"/>
        <v xml:space="preserve">[W230.2] </v>
      </c>
    </row>
    <row r="822" spans="1:15" s="49" customFormat="1" ht="14.15" customHeight="1">
      <c r="A822" s="44"/>
      <c r="B822" s="11"/>
      <c r="C822" s="11" t="s">
        <v>18</v>
      </c>
      <c r="D822" s="45" t="s">
        <v>16</v>
      </c>
      <c r="E822" s="47"/>
      <c r="F822" s="39" t="s">
        <v>680</v>
      </c>
      <c r="G822" s="13" t="s">
        <v>7622</v>
      </c>
      <c r="H822" s="99" t="str">
        <f t="shared" si="49"/>
        <v>W230.3</v>
      </c>
      <c r="I822" s="13"/>
      <c r="J822" s="13"/>
      <c r="K822" s="13"/>
      <c r="L822" s="48"/>
      <c r="M822" s="49" t="str">
        <f t="shared" si="50"/>
        <v>[W230.3]</v>
      </c>
      <c r="N822" s="12" t="str">
        <f t="shared" si="51"/>
        <v xml:space="preserve"> </v>
      </c>
      <c r="O822" s="49" t="str">
        <f t="shared" si="52"/>
        <v xml:space="preserve">[W230.3] </v>
      </c>
    </row>
    <row r="823" spans="1:15" s="49" customFormat="1" ht="14.15" customHeight="1">
      <c r="A823" s="44"/>
      <c r="B823" s="11"/>
      <c r="C823" s="11" t="s">
        <v>18</v>
      </c>
      <c r="D823" s="45" t="s">
        <v>16</v>
      </c>
      <c r="E823" s="47"/>
      <c r="F823" s="39" t="s">
        <v>681</v>
      </c>
      <c r="G823" s="13" t="s">
        <v>7623</v>
      </c>
      <c r="H823" s="99" t="str">
        <f t="shared" si="49"/>
        <v>W230.4</v>
      </c>
      <c r="I823" s="13"/>
      <c r="J823" s="13"/>
      <c r="K823" s="13"/>
      <c r="L823" s="48"/>
      <c r="M823" s="49" t="str">
        <f t="shared" si="50"/>
        <v>[W230.4]</v>
      </c>
      <c r="N823" s="12" t="str">
        <f t="shared" si="51"/>
        <v xml:space="preserve"> </v>
      </c>
      <c r="O823" s="49" t="str">
        <f t="shared" si="52"/>
        <v xml:space="preserve">[W230.4] </v>
      </c>
    </row>
    <row r="824" spans="1:15" s="49" customFormat="1" ht="14.15" customHeight="1">
      <c r="A824" s="44"/>
      <c r="B824" s="11"/>
      <c r="C824" s="11" t="s">
        <v>18</v>
      </c>
      <c r="D824" s="45" t="s">
        <v>16</v>
      </c>
      <c r="E824" s="47"/>
      <c r="F824" s="39" t="s">
        <v>682</v>
      </c>
      <c r="G824" s="13" t="s">
        <v>7624</v>
      </c>
      <c r="H824" s="99" t="str">
        <f t="shared" si="49"/>
        <v>W230.5</v>
      </c>
      <c r="I824" s="13"/>
      <c r="J824" s="13"/>
      <c r="K824" s="13"/>
      <c r="L824" s="48"/>
      <c r="M824" s="49" t="str">
        <f t="shared" si="50"/>
        <v>[W230.5]</v>
      </c>
      <c r="N824" s="12" t="str">
        <f t="shared" si="51"/>
        <v xml:space="preserve"> </v>
      </c>
      <c r="O824" s="49" t="str">
        <f t="shared" si="52"/>
        <v xml:space="preserve">[W230.5] </v>
      </c>
    </row>
    <row r="825" spans="1:15" s="49" customFormat="1" ht="14.15" customHeight="1">
      <c r="A825" s="44"/>
      <c r="B825" s="11"/>
      <c r="C825" s="11" t="s">
        <v>18</v>
      </c>
      <c r="D825" s="45" t="s">
        <v>16</v>
      </c>
      <c r="E825" s="47"/>
      <c r="F825" s="39" t="s">
        <v>683</v>
      </c>
      <c r="G825" s="13" t="s">
        <v>7625</v>
      </c>
      <c r="H825" s="99" t="str">
        <f t="shared" si="49"/>
        <v>W230.6</v>
      </c>
      <c r="I825" s="13"/>
      <c r="J825" s="13"/>
      <c r="K825" s="13"/>
      <c r="L825" s="48"/>
      <c r="M825" s="49" t="str">
        <f t="shared" si="50"/>
        <v>[W230.6]</v>
      </c>
      <c r="N825" s="12" t="str">
        <f t="shared" si="51"/>
        <v xml:space="preserve"> </v>
      </c>
      <c r="O825" s="49" t="str">
        <f t="shared" si="52"/>
        <v xml:space="preserve">[W230.6] </v>
      </c>
    </row>
    <row r="826" spans="1:15" s="49" customFormat="1" ht="14.15" customHeight="1">
      <c r="A826" s="44"/>
      <c r="B826" s="11"/>
      <c r="C826" s="11" t="s">
        <v>18</v>
      </c>
      <c r="D826" s="45" t="s">
        <v>16</v>
      </c>
      <c r="E826" s="47"/>
      <c r="F826" s="39" t="s">
        <v>684</v>
      </c>
      <c r="G826" s="13" t="s">
        <v>7626</v>
      </c>
      <c r="H826" s="99" t="str">
        <f t="shared" si="49"/>
        <v>W230.7</v>
      </c>
      <c r="I826" s="13"/>
      <c r="J826" s="13"/>
      <c r="K826" s="13"/>
      <c r="L826" s="48"/>
      <c r="M826" s="49" t="str">
        <f t="shared" si="50"/>
        <v>[W230.7]</v>
      </c>
      <c r="N826" s="12" t="str">
        <f t="shared" si="51"/>
        <v xml:space="preserve"> </v>
      </c>
      <c r="O826" s="49" t="str">
        <f t="shared" si="52"/>
        <v xml:space="preserve">[W230.7] </v>
      </c>
    </row>
    <row r="827" spans="1:15" s="49" customFormat="1" ht="14.15" customHeight="1">
      <c r="A827" s="44"/>
      <c r="B827" s="11"/>
      <c r="C827" s="11" t="s">
        <v>18</v>
      </c>
      <c r="D827" s="45" t="s">
        <v>16</v>
      </c>
      <c r="E827" s="47"/>
      <c r="F827" s="39" t="s">
        <v>685</v>
      </c>
      <c r="G827" s="13" t="s">
        <v>7627</v>
      </c>
      <c r="H827" s="99" t="str">
        <f t="shared" si="49"/>
        <v>W230.8</v>
      </c>
      <c r="I827" s="13"/>
      <c r="J827" s="13"/>
      <c r="K827" s="13"/>
      <c r="L827" s="48"/>
      <c r="M827" s="49" t="str">
        <f t="shared" si="50"/>
        <v>[W230.8]</v>
      </c>
      <c r="N827" s="12" t="str">
        <f t="shared" si="51"/>
        <v xml:space="preserve"> </v>
      </c>
      <c r="O827" s="49" t="str">
        <f t="shared" si="52"/>
        <v xml:space="preserve">[W230.8] </v>
      </c>
    </row>
    <row r="828" spans="1:15" s="49" customFormat="1" ht="14.15" customHeight="1">
      <c r="A828" s="44"/>
      <c r="B828" s="11"/>
      <c r="C828" s="11" t="s">
        <v>18</v>
      </c>
      <c r="D828" s="45" t="s">
        <v>16</v>
      </c>
      <c r="E828" s="47"/>
      <c r="F828" s="39" t="s">
        <v>686</v>
      </c>
      <c r="G828" s="13" t="s">
        <v>7628</v>
      </c>
      <c r="H828" s="99" t="str">
        <f t="shared" si="49"/>
        <v>W230.9</v>
      </c>
      <c r="I828" s="13"/>
      <c r="J828" s="13"/>
      <c r="K828" s="13"/>
      <c r="L828" s="48"/>
      <c r="M828" s="49" t="str">
        <f t="shared" si="50"/>
        <v>[W230.9]</v>
      </c>
      <c r="N828" s="12" t="str">
        <f t="shared" si="51"/>
        <v xml:space="preserve"> </v>
      </c>
      <c r="O828" s="49" t="str">
        <f t="shared" si="52"/>
        <v xml:space="preserve">[W230.9] </v>
      </c>
    </row>
    <row r="829" spans="1:15" s="49" customFormat="1" ht="14.15" customHeight="1">
      <c r="A829" s="44"/>
      <c r="B829" s="11"/>
      <c r="C829" s="11" t="s">
        <v>18</v>
      </c>
      <c r="D829" s="45" t="s">
        <v>16</v>
      </c>
      <c r="E829" s="47"/>
      <c r="F829" s="39" t="s">
        <v>687</v>
      </c>
      <c r="G829" s="13" t="s">
        <v>7629</v>
      </c>
      <c r="H829" s="99" t="str">
        <f t="shared" si="49"/>
        <v>W230.A</v>
      </c>
      <c r="I829" s="13"/>
      <c r="J829" s="13"/>
      <c r="K829" s="13"/>
      <c r="L829" s="48"/>
      <c r="M829" s="49" t="str">
        <f t="shared" si="50"/>
        <v>[W230.A]</v>
      </c>
      <c r="N829" s="12" t="str">
        <f t="shared" si="51"/>
        <v xml:space="preserve"> </v>
      </c>
      <c r="O829" s="49" t="str">
        <f t="shared" si="52"/>
        <v xml:space="preserve">[W230.A] </v>
      </c>
    </row>
    <row r="830" spans="1:15" s="49" customFormat="1" ht="14.15" customHeight="1">
      <c r="A830" s="44"/>
      <c r="B830" s="11"/>
      <c r="C830" s="11" t="s">
        <v>18</v>
      </c>
      <c r="D830" s="45" t="s">
        <v>16</v>
      </c>
      <c r="E830" s="47"/>
      <c r="F830" s="39" t="s">
        <v>688</v>
      </c>
      <c r="G830" s="13" t="s">
        <v>7630</v>
      </c>
      <c r="H830" s="99" t="str">
        <f t="shared" si="49"/>
        <v>W230.B</v>
      </c>
      <c r="I830" s="13"/>
      <c r="J830" s="13"/>
      <c r="K830" s="13"/>
      <c r="L830" s="48"/>
      <c r="M830" s="49" t="str">
        <f t="shared" si="50"/>
        <v>[W230.B]</v>
      </c>
      <c r="N830" s="12" t="str">
        <f t="shared" si="51"/>
        <v xml:space="preserve"> </v>
      </c>
      <c r="O830" s="49" t="str">
        <f t="shared" si="52"/>
        <v xml:space="preserve">[W230.B] </v>
      </c>
    </row>
    <row r="831" spans="1:15" s="49" customFormat="1" ht="14.15" customHeight="1">
      <c r="A831" s="44"/>
      <c r="B831" s="11"/>
      <c r="C831" s="11" t="s">
        <v>18</v>
      </c>
      <c r="D831" s="45" t="s">
        <v>16</v>
      </c>
      <c r="E831" s="47"/>
      <c r="F831" s="39" t="s">
        <v>689</v>
      </c>
      <c r="G831" s="13" t="s">
        <v>7631</v>
      </c>
      <c r="H831" s="99" t="str">
        <f t="shared" si="49"/>
        <v>W230.C</v>
      </c>
      <c r="I831" s="13"/>
      <c r="J831" s="13"/>
      <c r="K831" s="13"/>
      <c r="L831" s="48"/>
      <c r="M831" s="49" t="str">
        <f t="shared" si="50"/>
        <v>[W230.C]</v>
      </c>
      <c r="N831" s="12" t="str">
        <f t="shared" si="51"/>
        <v xml:space="preserve"> </v>
      </c>
      <c r="O831" s="49" t="str">
        <f t="shared" si="52"/>
        <v xml:space="preserve">[W230.C] </v>
      </c>
    </row>
    <row r="832" spans="1:15" s="49" customFormat="1" ht="14.15" customHeight="1">
      <c r="A832" s="44"/>
      <c r="B832" s="11"/>
      <c r="C832" s="11" t="s">
        <v>18</v>
      </c>
      <c r="D832" s="45" t="s">
        <v>16</v>
      </c>
      <c r="E832" s="47"/>
      <c r="F832" s="39" t="s">
        <v>690</v>
      </c>
      <c r="G832" s="13" t="s">
        <v>7632</v>
      </c>
      <c r="H832" s="99" t="str">
        <f t="shared" si="49"/>
        <v>W230.D</v>
      </c>
      <c r="I832" s="13"/>
      <c r="J832" s="13"/>
      <c r="K832" s="13"/>
      <c r="L832" s="48"/>
      <c r="M832" s="49" t="str">
        <f t="shared" si="50"/>
        <v>[W230.D]</v>
      </c>
      <c r="N832" s="12" t="str">
        <f t="shared" si="51"/>
        <v xml:space="preserve"> </v>
      </c>
      <c r="O832" s="49" t="str">
        <f t="shared" si="52"/>
        <v xml:space="preserve">[W230.D] </v>
      </c>
    </row>
    <row r="833" spans="1:15" s="49" customFormat="1" ht="14.15" customHeight="1">
      <c r="A833" s="44"/>
      <c r="B833" s="11"/>
      <c r="C833" s="11" t="s">
        <v>18</v>
      </c>
      <c r="D833" s="45" t="s">
        <v>16</v>
      </c>
      <c r="E833" s="47"/>
      <c r="F833" s="39" t="s">
        <v>691</v>
      </c>
      <c r="G833" s="13" t="s">
        <v>7633</v>
      </c>
      <c r="H833" s="99" t="str">
        <f t="shared" si="49"/>
        <v>W230.E</v>
      </c>
      <c r="I833" s="13"/>
      <c r="J833" s="13"/>
      <c r="K833" s="13"/>
      <c r="L833" s="48"/>
      <c r="M833" s="49" t="str">
        <f t="shared" si="50"/>
        <v>[W230.E]</v>
      </c>
      <c r="N833" s="12" t="str">
        <f t="shared" si="51"/>
        <v xml:space="preserve"> </v>
      </c>
      <c r="O833" s="49" t="str">
        <f t="shared" si="52"/>
        <v xml:space="preserve">[W230.E] </v>
      </c>
    </row>
    <row r="834" spans="1:15" s="49" customFormat="1" ht="14.15" customHeight="1">
      <c r="A834" s="44"/>
      <c r="B834" s="11"/>
      <c r="C834" s="11" t="s">
        <v>18</v>
      </c>
      <c r="D834" s="45" t="s">
        <v>16</v>
      </c>
      <c r="E834" s="47"/>
      <c r="F834" s="39" t="s">
        <v>692</v>
      </c>
      <c r="G834" s="13" t="s">
        <v>7634</v>
      </c>
      <c r="H834" s="99" t="str">
        <f t="shared" si="49"/>
        <v>W230.F</v>
      </c>
      <c r="I834" s="13"/>
      <c r="J834" s="13"/>
      <c r="K834" s="13"/>
      <c r="L834" s="48"/>
      <c r="M834" s="49" t="str">
        <f t="shared" si="50"/>
        <v>[W230.F]</v>
      </c>
      <c r="N834" s="12" t="str">
        <f t="shared" si="51"/>
        <v xml:space="preserve"> </v>
      </c>
      <c r="O834" s="49" t="str">
        <f t="shared" si="52"/>
        <v xml:space="preserve">[W230.F] </v>
      </c>
    </row>
    <row r="835" spans="1:15" s="49" customFormat="1" ht="14.15" customHeight="1">
      <c r="A835" s="44"/>
      <c r="B835" s="11"/>
      <c r="C835" s="11" t="s">
        <v>18</v>
      </c>
      <c r="D835" s="45" t="s">
        <v>16</v>
      </c>
      <c r="E835" s="47"/>
      <c r="F835" s="39" t="s">
        <v>693</v>
      </c>
      <c r="G835" s="13" t="s">
        <v>7635</v>
      </c>
      <c r="H835" s="99" t="str">
        <f t="shared" si="49"/>
        <v>W231.0</v>
      </c>
      <c r="I835" s="13"/>
      <c r="J835" s="13"/>
      <c r="K835" s="13"/>
      <c r="L835" s="48"/>
      <c r="M835" s="49" t="str">
        <f t="shared" si="50"/>
        <v>[W231.0]</v>
      </c>
      <c r="N835" s="12" t="str">
        <f t="shared" si="51"/>
        <v xml:space="preserve"> </v>
      </c>
      <c r="O835" s="49" t="str">
        <f t="shared" si="52"/>
        <v xml:space="preserve">[W231.0] </v>
      </c>
    </row>
    <row r="836" spans="1:15" s="49" customFormat="1" ht="14.15" customHeight="1">
      <c r="A836" s="44"/>
      <c r="B836" s="11"/>
      <c r="C836" s="11" t="s">
        <v>18</v>
      </c>
      <c r="D836" s="45" t="s">
        <v>16</v>
      </c>
      <c r="E836" s="47"/>
      <c r="F836" s="39" t="s">
        <v>694</v>
      </c>
      <c r="G836" s="13" t="s">
        <v>7636</v>
      </c>
      <c r="H836" s="99" t="str">
        <f t="shared" si="49"/>
        <v>W231.1</v>
      </c>
      <c r="I836" s="13"/>
      <c r="J836" s="13"/>
      <c r="K836" s="13"/>
      <c r="L836" s="48"/>
      <c r="M836" s="49" t="str">
        <f t="shared" si="50"/>
        <v>[W231.1]</v>
      </c>
      <c r="N836" s="12" t="str">
        <f t="shared" si="51"/>
        <v xml:space="preserve"> </v>
      </c>
      <c r="O836" s="49" t="str">
        <f t="shared" si="52"/>
        <v xml:space="preserve">[W231.1] </v>
      </c>
    </row>
    <row r="837" spans="1:15" s="49" customFormat="1" ht="14.15" customHeight="1">
      <c r="A837" s="44"/>
      <c r="B837" s="11"/>
      <c r="C837" s="11" t="s">
        <v>18</v>
      </c>
      <c r="D837" s="45" t="s">
        <v>16</v>
      </c>
      <c r="E837" s="47"/>
      <c r="F837" s="39" t="s">
        <v>695</v>
      </c>
      <c r="G837" s="13" t="s">
        <v>7637</v>
      </c>
      <c r="H837" s="99" t="str">
        <f t="shared" si="49"/>
        <v>W231.2</v>
      </c>
      <c r="I837" s="13"/>
      <c r="J837" s="13"/>
      <c r="K837" s="13"/>
      <c r="L837" s="48"/>
      <c r="M837" s="49" t="str">
        <f t="shared" si="50"/>
        <v>[W231.2]</v>
      </c>
      <c r="N837" s="12" t="str">
        <f t="shared" si="51"/>
        <v xml:space="preserve"> </v>
      </c>
      <c r="O837" s="49" t="str">
        <f t="shared" si="52"/>
        <v xml:space="preserve">[W231.2] </v>
      </c>
    </row>
    <row r="838" spans="1:15" s="49" customFormat="1" ht="14.15" customHeight="1">
      <c r="A838" s="44"/>
      <c r="B838" s="11"/>
      <c r="C838" s="11" t="s">
        <v>18</v>
      </c>
      <c r="D838" s="45" t="s">
        <v>16</v>
      </c>
      <c r="E838" s="47"/>
      <c r="F838" s="39" t="s">
        <v>696</v>
      </c>
      <c r="G838" s="13" t="s">
        <v>7638</v>
      </c>
      <c r="H838" s="99" t="str">
        <f t="shared" si="49"/>
        <v>W231.3</v>
      </c>
      <c r="I838" s="13"/>
      <c r="J838" s="13"/>
      <c r="K838" s="13"/>
      <c r="L838" s="48"/>
      <c r="M838" s="49" t="str">
        <f t="shared" si="50"/>
        <v>[W231.3]</v>
      </c>
      <c r="N838" s="12" t="str">
        <f t="shared" si="51"/>
        <v xml:space="preserve"> </v>
      </c>
      <c r="O838" s="49" t="str">
        <f t="shared" si="52"/>
        <v xml:space="preserve">[W231.3] </v>
      </c>
    </row>
    <row r="839" spans="1:15" s="49" customFormat="1" ht="14.15" customHeight="1">
      <c r="A839" s="44"/>
      <c r="B839" s="11"/>
      <c r="C839" s="11" t="s">
        <v>18</v>
      </c>
      <c r="D839" s="45" t="s">
        <v>16</v>
      </c>
      <c r="E839" s="47"/>
      <c r="F839" s="39" t="s">
        <v>697</v>
      </c>
      <c r="G839" s="13" t="s">
        <v>7639</v>
      </c>
      <c r="H839" s="99" t="str">
        <f t="shared" si="49"/>
        <v>W231.4</v>
      </c>
      <c r="I839" s="13"/>
      <c r="J839" s="13"/>
      <c r="K839" s="13"/>
      <c r="L839" s="48"/>
      <c r="M839" s="49" t="str">
        <f t="shared" si="50"/>
        <v>[W231.4]</v>
      </c>
      <c r="N839" s="12" t="str">
        <f t="shared" si="51"/>
        <v xml:space="preserve"> </v>
      </c>
      <c r="O839" s="49" t="str">
        <f t="shared" si="52"/>
        <v xml:space="preserve">[W231.4] </v>
      </c>
    </row>
    <row r="840" spans="1:15" s="49" customFormat="1" ht="14.15" customHeight="1">
      <c r="A840" s="44" t="s">
        <v>3778</v>
      </c>
      <c r="B840" s="11"/>
      <c r="C840" s="11" t="s">
        <v>18</v>
      </c>
      <c r="D840" s="45" t="s">
        <v>16</v>
      </c>
      <c r="E840" s="47"/>
      <c r="F840" s="39" t="s">
        <v>698</v>
      </c>
      <c r="G840" s="13" t="s">
        <v>7640</v>
      </c>
      <c r="H840" s="99" t="str">
        <f t="shared" si="49"/>
        <v>W231.5</v>
      </c>
      <c r="I840" s="13" t="s">
        <v>153</v>
      </c>
      <c r="J840" s="13"/>
      <c r="K840" s="13"/>
      <c r="L840" s="48"/>
      <c r="M840" s="49" t="str">
        <f t="shared" si="50"/>
        <v>[W231.5]</v>
      </c>
      <c r="N840" s="12" t="str">
        <f t="shared" si="51"/>
        <v xml:space="preserve"> OP#1 서보 비상정지 알람</v>
      </c>
      <c r="O840" s="49" t="str">
        <f t="shared" si="52"/>
        <v>[W231.5] OP#1 서보 비상정지 알람</v>
      </c>
    </row>
    <row r="841" spans="1:15" s="49" customFormat="1" ht="14.15" customHeight="1">
      <c r="A841" s="44" t="s">
        <v>3778</v>
      </c>
      <c r="B841" s="11"/>
      <c r="C841" s="11" t="s">
        <v>18</v>
      </c>
      <c r="D841" s="45" t="s">
        <v>16</v>
      </c>
      <c r="E841" s="47"/>
      <c r="F841" s="39" t="s">
        <v>699</v>
      </c>
      <c r="G841" s="13" t="s">
        <v>7641</v>
      </c>
      <c r="H841" s="99" t="str">
        <f t="shared" si="49"/>
        <v>W231.6</v>
      </c>
      <c r="I841" s="13" t="s">
        <v>153</v>
      </c>
      <c r="J841" s="13"/>
      <c r="K841" s="13"/>
      <c r="L841" s="48"/>
      <c r="M841" s="49" t="str">
        <f t="shared" si="50"/>
        <v>[W231.6]</v>
      </c>
      <c r="N841" s="12" t="str">
        <f t="shared" si="51"/>
        <v xml:space="preserve"> OP#2 서보 비상정지 알람</v>
      </c>
      <c r="O841" s="49" t="str">
        <f t="shared" si="52"/>
        <v>[W231.6] OP#2 서보 비상정지 알람</v>
      </c>
    </row>
    <row r="842" spans="1:15" s="49" customFormat="1" ht="14.15" customHeight="1">
      <c r="A842" s="44"/>
      <c r="B842" s="11"/>
      <c r="C842" s="11" t="s">
        <v>18</v>
      </c>
      <c r="D842" s="45" t="s">
        <v>16</v>
      </c>
      <c r="E842" s="47"/>
      <c r="F842" s="39" t="s">
        <v>700</v>
      </c>
      <c r="G842" s="13" t="s">
        <v>7642</v>
      </c>
      <c r="H842" s="99" t="str">
        <f t="shared" si="49"/>
        <v>W231.7</v>
      </c>
      <c r="I842" s="13"/>
      <c r="J842" s="13"/>
      <c r="K842" s="13"/>
      <c r="L842" s="48"/>
      <c r="M842" s="49" t="str">
        <f t="shared" si="50"/>
        <v>[W231.7]</v>
      </c>
      <c r="N842" s="12" t="str">
        <f t="shared" si="51"/>
        <v xml:space="preserve"> </v>
      </c>
      <c r="O842" s="49" t="str">
        <f t="shared" si="52"/>
        <v xml:space="preserve">[W231.7] </v>
      </c>
    </row>
    <row r="843" spans="1:15" s="49" customFormat="1" ht="14.15" customHeight="1">
      <c r="A843" s="44"/>
      <c r="B843" s="11"/>
      <c r="C843" s="11" t="s">
        <v>18</v>
      </c>
      <c r="D843" s="45" t="s">
        <v>16</v>
      </c>
      <c r="E843" s="47"/>
      <c r="F843" s="39" t="s">
        <v>701</v>
      </c>
      <c r="G843" s="13" t="s">
        <v>7643</v>
      </c>
      <c r="H843" s="99" t="str">
        <f t="shared" si="49"/>
        <v>W231.8</v>
      </c>
      <c r="I843" s="13"/>
      <c r="J843" s="13"/>
      <c r="K843" s="13"/>
      <c r="L843" s="48"/>
      <c r="M843" s="49" t="str">
        <f t="shared" si="50"/>
        <v>[W231.8]</v>
      </c>
      <c r="N843" s="12" t="str">
        <f t="shared" si="51"/>
        <v xml:space="preserve"> </v>
      </c>
      <c r="O843" s="49" t="str">
        <f t="shared" si="52"/>
        <v xml:space="preserve">[W231.8] </v>
      </c>
    </row>
    <row r="844" spans="1:15" s="49" customFormat="1" ht="14.15" customHeight="1">
      <c r="A844" s="44"/>
      <c r="B844" s="11"/>
      <c r="C844" s="11" t="s">
        <v>18</v>
      </c>
      <c r="D844" s="45" t="s">
        <v>16</v>
      </c>
      <c r="E844" s="47"/>
      <c r="F844" s="39" t="s">
        <v>702</v>
      </c>
      <c r="G844" s="13" t="s">
        <v>7644</v>
      </c>
      <c r="H844" s="99" t="str">
        <f t="shared" si="49"/>
        <v>W231.9</v>
      </c>
      <c r="I844" s="13"/>
      <c r="J844" s="13"/>
      <c r="K844" s="13"/>
      <c r="L844" s="48"/>
      <c r="M844" s="49" t="str">
        <f t="shared" si="50"/>
        <v>[W231.9]</v>
      </c>
      <c r="N844" s="12" t="str">
        <f t="shared" si="51"/>
        <v xml:space="preserve"> </v>
      </c>
      <c r="O844" s="49" t="str">
        <f t="shared" si="52"/>
        <v xml:space="preserve">[W231.9] </v>
      </c>
    </row>
    <row r="845" spans="1:15" s="49" customFormat="1" ht="14.15" customHeight="1">
      <c r="A845" s="44"/>
      <c r="B845" s="11"/>
      <c r="C845" s="11" t="s">
        <v>18</v>
      </c>
      <c r="D845" s="45" t="s">
        <v>16</v>
      </c>
      <c r="E845" s="47"/>
      <c r="F845" s="39" t="s">
        <v>703</v>
      </c>
      <c r="G845" s="13" t="s">
        <v>7645</v>
      </c>
      <c r="H845" s="99" t="str">
        <f t="shared" si="49"/>
        <v>W231.A</v>
      </c>
      <c r="I845" s="13"/>
      <c r="J845" s="13"/>
      <c r="K845" s="13"/>
      <c r="L845" s="48"/>
      <c r="M845" s="49" t="str">
        <f t="shared" si="50"/>
        <v>[W231.A]</v>
      </c>
      <c r="N845" s="12" t="str">
        <f t="shared" si="51"/>
        <v xml:space="preserve"> </v>
      </c>
      <c r="O845" s="49" t="str">
        <f t="shared" si="52"/>
        <v xml:space="preserve">[W231.A] </v>
      </c>
    </row>
    <row r="846" spans="1:15" s="49" customFormat="1" ht="14.15" customHeight="1">
      <c r="A846" s="44"/>
      <c r="B846" s="11"/>
      <c r="C846" s="11" t="s">
        <v>18</v>
      </c>
      <c r="D846" s="45" t="s">
        <v>16</v>
      </c>
      <c r="E846" s="47"/>
      <c r="F846" s="39" t="s">
        <v>704</v>
      </c>
      <c r="G846" s="13" t="s">
        <v>7646</v>
      </c>
      <c r="H846" s="99" t="str">
        <f t="shared" si="49"/>
        <v>W231.B</v>
      </c>
      <c r="I846" s="13"/>
      <c r="J846" s="13"/>
      <c r="K846" s="13"/>
      <c r="L846" s="48"/>
      <c r="M846" s="49" t="str">
        <f t="shared" si="50"/>
        <v>[W231.B]</v>
      </c>
      <c r="N846" s="12" t="str">
        <f t="shared" si="51"/>
        <v xml:space="preserve"> </v>
      </c>
      <c r="O846" s="49" t="str">
        <f t="shared" si="52"/>
        <v xml:space="preserve">[W231.B] </v>
      </c>
    </row>
    <row r="847" spans="1:15" s="49" customFormat="1" ht="14.15" customHeight="1">
      <c r="A847" s="44"/>
      <c r="B847" s="11"/>
      <c r="C847" s="11" t="s">
        <v>18</v>
      </c>
      <c r="D847" s="45" t="s">
        <v>16</v>
      </c>
      <c r="E847" s="47"/>
      <c r="F847" s="39" t="s">
        <v>705</v>
      </c>
      <c r="G847" s="13" t="s">
        <v>7647</v>
      </c>
      <c r="H847" s="99" t="str">
        <f t="shared" si="49"/>
        <v>W231.C</v>
      </c>
      <c r="I847" s="13"/>
      <c r="J847" s="13"/>
      <c r="K847" s="13"/>
      <c r="L847" s="48"/>
      <c r="M847" s="49" t="str">
        <f t="shared" si="50"/>
        <v>[W231.C]</v>
      </c>
      <c r="N847" s="12" t="str">
        <f t="shared" si="51"/>
        <v xml:space="preserve"> </v>
      </c>
      <c r="O847" s="49" t="str">
        <f t="shared" si="52"/>
        <v xml:space="preserve">[W231.C] </v>
      </c>
    </row>
    <row r="848" spans="1:15" s="49" customFormat="1" ht="14.15" customHeight="1">
      <c r="A848" s="44"/>
      <c r="B848" s="11"/>
      <c r="C848" s="11" t="s">
        <v>18</v>
      </c>
      <c r="D848" s="45" t="s">
        <v>16</v>
      </c>
      <c r="E848" s="47"/>
      <c r="F848" s="39" t="s">
        <v>706</v>
      </c>
      <c r="G848" s="13" t="s">
        <v>7648</v>
      </c>
      <c r="H848" s="99" t="str">
        <f t="shared" si="49"/>
        <v>W231.D</v>
      </c>
      <c r="I848" s="13"/>
      <c r="J848" s="13"/>
      <c r="K848" s="13"/>
      <c r="L848" s="48"/>
      <c r="M848" s="49" t="str">
        <f t="shared" si="50"/>
        <v>[W231.D]</v>
      </c>
      <c r="N848" s="12" t="str">
        <f t="shared" si="51"/>
        <v xml:space="preserve"> </v>
      </c>
      <c r="O848" s="49" t="str">
        <f t="shared" si="52"/>
        <v xml:space="preserve">[W231.D] </v>
      </c>
    </row>
    <row r="849" spans="1:15" s="49" customFormat="1" ht="14.15" customHeight="1">
      <c r="A849" s="44"/>
      <c r="B849" s="11"/>
      <c r="C849" s="11" t="s">
        <v>18</v>
      </c>
      <c r="D849" s="45" t="s">
        <v>16</v>
      </c>
      <c r="E849" s="47"/>
      <c r="F849" s="39" t="s">
        <v>707</v>
      </c>
      <c r="G849" s="13" t="s">
        <v>7649</v>
      </c>
      <c r="H849" s="99" t="str">
        <f t="shared" si="49"/>
        <v>W231.E</v>
      </c>
      <c r="I849" s="13"/>
      <c r="J849" s="13"/>
      <c r="K849" s="13"/>
      <c r="L849" s="48"/>
      <c r="M849" s="49" t="str">
        <f t="shared" si="50"/>
        <v>[W231.E]</v>
      </c>
      <c r="N849" s="12" t="str">
        <f t="shared" si="51"/>
        <v xml:space="preserve"> </v>
      </c>
      <c r="O849" s="49" t="str">
        <f t="shared" si="52"/>
        <v xml:space="preserve">[W231.E] </v>
      </c>
    </row>
    <row r="850" spans="1:15" s="49" customFormat="1" ht="17">
      <c r="A850" s="43" t="s">
        <v>2148</v>
      </c>
      <c r="B850" s="11"/>
      <c r="C850" s="11" t="s">
        <v>18</v>
      </c>
      <c r="D850" s="45" t="s">
        <v>16</v>
      </c>
      <c r="E850" s="47"/>
      <c r="F850" s="39" t="s">
        <v>708</v>
      </c>
      <c r="G850" s="13" t="s">
        <v>7650</v>
      </c>
      <c r="H850" s="99" t="str">
        <f t="shared" si="49"/>
        <v>W231.F</v>
      </c>
      <c r="I850" s="13" t="s">
        <v>17</v>
      </c>
      <c r="J850" s="13"/>
      <c r="K850" s="13"/>
      <c r="L850" s="48"/>
      <c r="M850" s="49" t="str">
        <f t="shared" si="50"/>
        <v>[W231.F]</v>
      </c>
      <c r="N850" s="12" t="str">
        <f t="shared" si="51"/>
        <v xml:space="preserve"> 댐핑시트 테이블#1 모델 지그 불일치 이상 (X390, X391, X392, X393)</v>
      </c>
      <c r="O850" s="49" t="str">
        <f t="shared" si="52"/>
        <v>[W231.F] 댐핑시트 테이블#1 모델 지그 불일치 이상 (X390, X391, X392, X393)</v>
      </c>
    </row>
    <row r="851" spans="1:15" s="49" customFormat="1" ht="14.15" customHeight="1">
      <c r="A851" s="44"/>
      <c r="B851" s="11"/>
      <c r="C851" s="11" t="s">
        <v>18</v>
      </c>
      <c r="D851" s="45" t="s">
        <v>16</v>
      </c>
      <c r="E851" s="47"/>
      <c r="F851" s="39" t="s">
        <v>709</v>
      </c>
      <c r="G851" s="13" t="s">
        <v>7651</v>
      </c>
      <c r="H851" s="99" t="str">
        <f t="shared" si="49"/>
        <v>W232.0</v>
      </c>
      <c r="I851" s="13"/>
      <c r="J851" s="13"/>
      <c r="K851" s="13"/>
      <c r="L851" s="48"/>
      <c r="M851" s="49" t="str">
        <f t="shared" si="50"/>
        <v>[W232.0]</v>
      </c>
      <c r="N851" s="12" t="str">
        <f t="shared" si="51"/>
        <v xml:space="preserve"> </v>
      </c>
      <c r="O851" s="49" t="str">
        <f t="shared" si="52"/>
        <v xml:space="preserve">[W232.0] </v>
      </c>
    </row>
    <row r="852" spans="1:15" s="49" customFormat="1" ht="14.15" customHeight="1">
      <c r="A852" s="44"/>
      <c r="B852" s="11"/>
      <c r="C852" s="11" t="s">
        <v>18</v>
      </c>
      <c r="D852" s="45" t="s">
        <v>16</v>
      </c>
      <c r="E852" s="47"/>
      <c r="F852" s="39" t="s">
        <v>710</v>
      </c>
      <c r="G852" s="13" t="s">
        <v>7652</v>
      </c>
      <c r="H852" s="99" t="str">
        <f t="shared" si="49"/>
        <v>W232.1</v>
      </c>
      <c r="I852" s="13"/>
      <c r="J852" s="13"/>
      <c r="K852" s="13"/>
      <c r="L852" s="48"/>
      <c r="M852" s="49" t="str">
        <f t="shared" si="50"/>
        <v>[W232.1]</v>
      </c>
      <c r="N852" s="12" t="str">
        <f t="shared" si="51"/>
        <v xml:space="preserve"> </v>
      </c>
      <c r="O852" s="49" t="str">
        <f t="shared" si="52"/>
        <v xml:space="preserve">[W232.1] </v>
      </c>
    </row>
    <row r="853" spans="1:15" s="49" customFormat="1" ht="14.15" customHeight="1">
      <c r="A853" s="44"/>
      <c r="B853" s="11"/>
      <c r="C853" s="11" t="s">
        <v>18</v>
      </c>
      <c r="D853" s="45" t="s">
        <v>16</v>
      </c>
      <c r="E853" s="47"/>
      <c r="F853" s="39" t="s">
        <v>711</v>
      </c>
      <c r="G853" s="13" t="s">
        <v>7653</v>
      </c>
      <c r="H853" s="99" t="str">
        <f t="shared" si="49"/>
        <v>W232.2</v>
      </c>
      <c r="I853" s="13"/>
      <c r="J853" s="13"/>
      <c r="K853" s="13"/>
      <c r="L853" s="48"/>
      <c r="M853" s="49" t="str">
        <f t="shared" si="50"/>
        <v>[W232.2]</v>
      </c>
      <c r="N853" s="12" t="str">
        <f t="shared" si="51"/>
        <v xml:space="preserve"> </v>
      </c>
      <c r="O853" s="49" t="str">
        <f t="shared" si="52"/>
        <v xml:space="preserve">[W232.2] </v>
      </c>
    </row>
    <row r="854" spans="1:15" s="49" customFormat="1" ht="14.15" customHeight="1">
      <c r="A854" s="44"/>
      <c r="B854" s="11"/>
      <c r="C854" s="11" t="s">
        <v>18</v>
      </c>
      <c r="D854" s="45" t="s">
        <v>16</v>
      </c>
      <c r="E854" s="47"/>
      <c r="F854" s="39" t="s">
        <v>712</v>
      </c>
      <c r="G854" s="13" t="s">
        <v>7654</v>
      </c>
      <c r="H854" s="99" t="str">
        <f t="shared" si="49"/>
        <v>W232.3</v>
      </c>
      <c r="I854" s="13"/>
      <c r="J854" s="13"/>
      <c r="K854" s="13"/>
      <c r="L854" s="48"/>
      <c r="M854" s="49" t="str">
        <f t="shared" si="50"/>
        <v>[W232.3]</v>
      </c>
      <c r="N854" s="12" t="str">
        <f t="shared" si="51"/>
        <v xml:space="preserve"> </v>
      </c>
      <c r="O854" s="49" t="str">
        <f t="shared" si="52"/>
        <v xml:space="preserve">[W232.3] </v>
      </c>
    </row>
    <row r="855" spans="1:15" s="49" customFormat="1" ht="14.15" customHeight="1">
      <c r="A855" s="44"/>
      <c r="B855" s="11"/>
      <c r="C855" s="11" t="s">
        <v>18</v>
      </c>
      <c r="D855" s="45" t="s">
        <v>16</v>
      </c>
      <c r="E855" s="47"/>
      <c r="F855" s="39" t="s">
        <v>713</v>
      </c>
      <c r="G855" s="13" t="s">
        <v>7655</v>
      </c>
      <c r="H855" s="99" t="str">
        <f t="shared" si="49"/>
        <v>W232.4</v>
      </c>
      <c r="I855" s="13"/>
      <c r="J855" s="13"/>
      <c r="K855" s="13"/>
      <c r="L855" s="48"/>
      <c r="M855" s="49" t="str">
        <f t="shared" si="50"/>
        <v>[W232.4]</v>
      </c>
      <c r="N855" s="12" t="str">
        <f t="shared" si="51"/>
        <v xml:space="preserve"> </v>
      </c>
      <c r="O855" s="49" t="str">
        <f t="shared" si="52"/>
        <v xml:space="preserve">[W232.4] </v>
      </c>
    </row>
    <row r="856" spans="1:15" s="49" customFormat="1" ht="14.15" customHeight="1">
      <c r="A856" s="44"/>
      <c r="B856" s="11"/>
      <c r="C856" s="11" t="s">
        <v>18</v>
      </c>
      <c r="D856" s="45" t="s">
        <v>16</v>
      </c>
      <c r="E856" s="47"/>
      <c r="F856" s="39" t="s">
        <v>714</v>
      </c>
      <c r="G856" s="13" t="s">
        <v>7656</v>
      </c>
      <c r="H856" s="99" t="str">
        <f t="shared" si="49"/>
        <v>W232.5</v>
      </c>
      <c r="I856" s="13"/>
      <c r="J856" s="13"/>
      <c r="K856" s="13"/>
      <c r="L856" s="48"/>
      <c r="M856" s="49" t="str">
        <f t="shared" si="50"/>
        <v>[W232.5]</v>
      </c>
      <c r="N856" s="12" t="str">
        <f t="shared" si="51"/>
        <v xml:space="preserve"> </v>
      </c>
      <c r="O856" s="49" t="str">
        <f t="shared" si="52"/>
        <v xml:space="preserve">[W232.5] </v>
      </c>
    </row>
    <row r="857" spans="1:15" s="49" customFormat="1" ht="14.15" customHeight="1">
      <c r="A857" s="44"/>
      <c r="B857" s="11"/>
      <c r="C857" s="11" t="s">
        <v>18</v>
      </c>
      <c r="D857" s="45" t="s">
        <v>16</v>
      </c>
      <c r="E857" s="47"/>
      <c r="F857" s="39" t="s">
        <v>715</v>
      </c>
      <c r="G857" s="13" t="s">
        <v>7657</v>
      </c>
      <c r="H857" s="99" t="str">
        <f t="shared" si="49"/>
        <v>W232.6</v>
      </c>
      <c r="I857" s="13"/>
      <c r="J857" s="13"/>
      <c r="K857" s="13"/>
      <c r="L857" s="48"/>
      <c r="M857" s="49" t="str">
        <f t="shared" si="50"/>
        <v>[W232.6]</v>
      </c>
      <c r="N857" s="12" t="str">
        <f t="shared" si="51"/>
        <v xml:space="preserve"> </v>
      </c>
      <c r="O857" s="49" t="str">
        <f t="shared" si="52"/>
        <v xml:space="preserve">[W232.6] </v>
      </c>
    </row>
    <row r="858" spans="1:15" s="49" customFormat="1" ht="14.15" customHeight="1">
      <c r="A858" s="44"/>
      <c r="B858" s="11"/>
      <c r="C858" s="11" t="s">
        <v>18</v>
      </c>
      <c r="D858" s="45" t="s">
        <v>16</v>
      </c>
      <c r="E858" s="47"/>
      <c r="F858" s="39" t="s">
        <v>716</v>
      </c>
      <c r="G858" s="13" t="s">
        <v>7658</v>
      </c>
      <c r="H858" s="99" t="str">
        <f t="shared" si="49"/>
        <v>W232.7</v>
      </c>
      <c r="I858" s="13"/>
      <c r="J858" s="13"/>
      <c r="K858" s="13"/>
      <c r="L858" s="48"/>
      <c r="M858" s="49" t="str">
        <f t="shared" si="50"/>
        <v>[W232.7]</v>
      </c>
      <c r="N858" s="12" t="str">
        <f t="shared" si="51"/>
        <v xml:space="preserve"> </v>
      </c>
      <c r="O858" s="49" t="str">
        <f t="shared" si="52"/>
        <v xml:space="preserve">[W232.7] </v>
      </c>
    </row>
    <row r="859" spans="1:15" s="49" customFormat="1" ht="14.15" customHeight="1">
      <c r="A859" s="44"/>
      <c r="B859" s="11"/>
      <c r="C859" s="11" t="s">
        <v>18</v>
      </c>
      <c r="D859" s="45" t="s">
        <v>16</v>
      </c>
      <c r="E859" s="47"/>
      <c r="F859" s="39" t="s">
        <v>717</v>
      </c>
      <c r="G859" s="13" t="s">
        <v>7659</v>
      </c>
      <c r="H859" s="99" t="str">
        <f t="shared" si="49"/>
        <v>W232.8</v>
      </c>
      <c r="I859" s="13"/>
      <c r="J859" s="13"/>
      <c r="K859" s="13"/>
      <c r="L859" s="48"/>
      <c r="M859" s="49" t="str">
        <f t="shared" si="50"/>
        <v>[W232.8]</v>
      </c>
      <c r="N859" s="12" t="str">
        <f t="shared" si="51"/>
        <v xml:space="preserve"> </v>
      </c>
      <c r="O859" s="49" t="str">
        <f t="shared" si="52"/>
        <v xml:space="preserve">[W232.8] </v>
      </c>
    </row>
    <row r="860" spans="1:15" s="49" customFormat="1" ht="14.15" customHeight="1">
      <c r="A860" s="44"/>
      <c r="B860" s="11"/>
      <c r="C860" s="11" t="s">
        <v>18</v>
      </c>
      <c r="D860" s="45" t="s">
        <v>16</v>
      </c>
      <c r="E860" s="47"/>
      <c r="F860" s="39" t="s">
        <v>718</v>
      </c>
      <c r="G860" s="13" t="s">
        <v>7660</v>
      </c>
      <c r="H860" s="99" t="str">
        <f t="shared" si="49"/>
        <v>W232.9</v>
      </c>
      <c r="I860" s="13"/>
      <c r="J860" s="13"/>
      <c r="K860" s="13"/>
      <c r="L860" s="48"/>
      <c r="M860" s="49" t="str">
        <f t="shared" si="50"/>
        <v>[W232.9]</v>
      </c>
      <c r="N860" s="12" t="str">
        <f t="shared" si="51"/>
        <v xml:space="preserve"> </v>
      </c>
      <c r="O860" s="49" t="str">
        <f t="shared" si="52"/>
        <v xml:space="preserve">[W232.9] </v>
      </c>
    </row>
    <row r="861" spans="1:15" s="49" customFormat="1" ht="14.15" customHeight="1">
      <c r="A861" s="44"/>
      <c r="B861" s="11"/>
      <c r="C861" s="11" t="s">
        <v>18</v>
      </c>
      <c r="D861" s="45" t="s">
        <v>16</v>
      </c>
      <c r="E861" s="47"/>
      <c r="F861" s="39" t="s">
        <v>719</v>
      </c>
      <c r="G861" s="13" t="s">
        <v>7661</v>
      </c>
      <c r="H861" s="99" t="str">
        <f t="shared" si="49"/>
        <v>W232.A</v>
      </c>
      <c r="I861" s="13"/>
      <c r="J861" s="13"/>
      <c r="K861" s="13"/>
      <c r="L861" s="48"/>
      <c r="M861" s="49" t="str">
        <f t="shared" si="50"/>
        <v>[W232.A]</v>
      </c>
      <c r="N861" s="12" t="str">
        <f t="shared" si="51"/>
        <v xml:space="preserve"> </v>
      </c>
      <c r="O861" s="49" t="str">
        <f t="shared" si="52"/>
        <v xml:space="preserve">[W232.A] </v>
      </c>
    </row>
    <row r="862" spans="1:15" s="49" customFormat="1" ht="14.15" customHeight="1">
      <c r="A862" s="44"/>
      <c r="B862" s="11"/>
      <c r="C862" s="11" t="s">
        <v>18</v>
      </c>
      <c r="D862" s="45" t="s">
        <v>16</v>
      </c>
      <c r="E862" s="47"/>
      <c r="F862" s="39" t="s">
        <v>720</v>
      </c>
      <c r="G862" s="13" t="s">
        <v>7662</v>
      </c>
      <c r="H862" s="99" t="str">
        <f t="shared" si="49"/>
        <v>W232.B</v>
      </c>
      <c r="I862" s="13"/>
      <c r="J862" s="13"/>
      <c r="K862" s="13"/>
      <c r="L862" s="48"/>
      <c r="M862" s="49" t="str">
        <f t="shared" si="50"/>
        <v>[W232.B]</v>
      </c>
      <c r="N862" s="12" t="str">
        <f t="shared" si="51"/>
        <v xml:space="preserve"> </v>
      </c>
      <c r="O862" s="49" t="str">
        <f t="shared" si="52"/>
        <v xml:space="preserve">[W232.B] </v>
      </c>
    </row>
    <row r="863" spans="1:15" s="49" customFormat="1" ht="14.15" customHeight="1">
      <c r="A863" s="44"/>
      <c r="B863" s="11"/>
      <c r="C863" s="11" t="s">
        <v>18</v>
      </c>
      <c r="D863" s="45" t="s">
        <v>16</v>
      </c>
      <c r="E863" s="47"/>
      <c r="F863" s="39" t="s">
        <v>721</v>
      </c>
      <c r="G863" s="13" t="s">
        <v>7663</v>
      </c>
      <c r="H863" s="99" t="str">
        <f t="shared" si="49"/>
        <v>W232.C</v>
      </c>
      <c r="I863" s="13"/>
      <c r="J863" s="13"/>
      <c r="K863" s="13"/>
      <c r="L863" s="48"/>
      <c r="M863" s="49" t="str">
        <f t="shared" si="50"/>
        <v>[W232.C]</v>
      </c>
      <c r="N863" s="12" t="str">
        <f t="shared" si="51"/>
        <v xml:space="preserve"> </v>
      </c>
      <c r="O863" s="49" t="str">
        <f t="shared" si="52"/>
        <v xml:space="preserve">[W232.C] </v>
      </c>
    </row>
    <row r="864" spans="1:15" s="49" customFormat="1" ht="14.15" customHeight="1">
      <c r="A864" s="44"/>
      <c r="B864" s="11"/>
      <c r="C864" s="11" t="s">
        <v>18</v>
      </c>
      <c r="D864" s="45" t="s">
        <v>16</v>
      </c>
      <c r="E864" s="47"/>
      <c r="F864" s="39" t="s">
        <v>722</v>
      </c>
      <c r="G864" s="13" t="s">
        <v>7664</v>
      </c>
      <c r="H864" s="99" t="str">
        <f t="shared" si="49"/>
        <v>W232.D</v>
      </c>
      <c r="I864" s="13"/>
      <c r="J864" s="13"/>
      <c r="K864" s="13"/>
      <c r="L864" s="48"/>
      <c r="M864" s="49" t="str">
        <f t="shared" si="50"/>
        <v>[W232.D]</v>
      </c>
      <c r="N864" s="12" t="str">
        <f t="shared" si="51"/>
        <v xml:space="preserve"> </v>
      </c>
      <c r="O864" s="49" t="str">
        <f t="shared" si="52"/>
        <v xml:space="preserve">[W232.D] </v>
      </c>
    </row>
    <row r="865" spans="1:15" s="49" customFormat="1" ht="14.15" customHeight="1">
      <c r="A865" s="44"/>
      <c r="B865" s="11"/>
      <c r="C865" s="11" t="s">
        <v>18</v>
      </c>
      <c r="D865" s="45" t="s">
        <v>16</v>
      </c>
      <c r="E865" s="47"/>
      <c r="F865" s="39" t="s">
        <v>723</v>
      </c>
      <c r="G865" s="13" t="s">
        <v>7665</v>
      </c>
      <c r="H865" s="99" t="str">
        <f t="shared" si="49"/>
        <v>W232.E</v>
      </c>
      <c r="I865" s="13"/>
      <c r="J865" s="13"/>
      <c r="K865" s="13"/>
      <c r="L865" s="48"/>
      <c r="M865" s="49" t="str">
        <f t="shared" si="50"/>
        <v>[W232.E]</v>
      </c>
      <c r="N865" s="12" t="str">
        <f t="shared" si="51"/>
        <v xml:space="preserve"> </v>
      </c>
      <c r="O865" s="49" t="str">
        <f t="shared" si="52"/>
        <v xml:space="preserve">[W232.E] </v>
      </c>
    </row>
    <row r="866" spans="1:15" s="49" customFormat="1" ht="14.15" customHeight="1">
      <c r="A866" s="44"/>
      <c r="B866" s="11"/>
      <c r="C866" s="11" t="s">
        <v>18</v>
      </c>
      <c r="D866" s="45" t="s">
        <v>16</v>
      </c>
      <c r="E866" s="47"/>
      <c r="F866" s="39" t="s">
        <v>724</v>
      </c>
      <c r="G866" s="13" t="s">
        <v>7666</v>
      </c>
      <c r="H866" s="99" t="str">
        <f t="shared" si="49"/>
        <v>W232.F</v>
      </c>
      <c r="I866" s="13"/>
      <c r="J866" s="13"/>
      <c r="K866" s="13"/>
      <c r="L866" s="48"/>
      <c r="M866" s="49" t="str">
        <f t="shared" si="50"/>
        <v>[W232.F]</v>
      </c>
      <c r="N866" s="12" t="str">
        <f t="shared" si="51"/>
        <v xml:space="preserve"> </v>
      </c>
      <c r="O866" s="49" t="str">
        <f t="shared" si="52"/>
        <v xml:space="preserve">[W232.F] </v>
      </c>
    </row>
    <row r="867" spans="1:15" s="49" customFormat="1" ht="14.15" customHeight="1">
      <c r="A867" s="44"/>
      <c r="B867" s="11"/>
      <c r="C867" s="11" t="s">
        <v>18</v>
      </c>
      <c r="D867" s="45" t="s">
        <v>16</v>
      </c>
      <c r="E867" s="47"/>
      <c r="F867" s="39" t="s">
        <v>725</v>
      </c>
      <c r="G867" s="13" t="s">
        <v>7667</v>
      </c>
      <c r="H867" s="99" t="str">
        <f t="shared" si="49"/>
        <v>W233.0</v>
      </c>
      <c r="I867" s="13"/>
      <c r="J867" s="13"/>
      <c r="K867" s="13"/>
      <c r="L867" s="48"/>
      <c r="M867" s="49" t="str">
        <f t="shared" si="50"/>
        <v>[W233.0]</v>
      </c>
      <c r="N867" s="12" t="str">
        <f t="shared" si="51"/>
        <v xml:space="preserve"> </v>
      </c>
      <c r="O867" s="49" t="str">
        <f t="shared" si="52"/>
        <v xml:space="preserve">[W233.0] </v>
      </c>
    </row>
    <row r="868" spans="1:15" s="49" customFormat="1" ht="14.15" customHeight="1">
      <c r="A868" s="44"/>
      <c r="B868" s="11"/>
      <c r="C868" s="11" t="s">
        <v>18</v>
      </c>
      <c r="D868" s="45" t="s">
        <v>16</v>
      </c>
      <c r="E868" s="47"/>
      <c r="F868" s="39" t="s">
        <v>726</v>
      </c>
      <c r="G868" s="13" t="s">
        <v>7668</v>
      </c>
      <c r="H868" s="99" t="str">
        <f t="shared" si="49"/>
        <v>W233.1</v>
      </c>
      <c r="I868" s="13"/>
      <c r="J868" s="13"/>
      <c r="K868" s="13"/>
      <c r="L868" s="48"/>
      <c r="M868" s="49" t="str">
        <f t="shared" si="50"/>
        <v>[W233.1]</v>
      </c>
      <c r="N868" s="12" t="str">
        <f t="shared" si="51"/>
        <v xml:space="preserve"> </v>
      </c>
      <c r="O868" s="49" t="str">
        <f t="shared" si="52"/>
        <v xml:space="preserve">[W233.1] </v>
      </c>
    </row>
    <row r="869" spans="1:15" s="49" customFormat="1" ht="17">
      <c r="A869" s="43" t="s">
        <v>2148</v>
      </c>
      <c r="B869" s="11"/>
      <c r="C869" s="11" t="s">
        <v>18</v>
      </c>
      <c r="D869" s="45" t="s">
        <v>16</v>
      </c>
      <c r="E869" s="47"/>
      <c r="F869" s="39" t="s">
        <v>727</v>
      </c>
      <c r="G869" s="13" t="s">
        <v>7669</v>
      </c>
      <c r="H869" s="99" t="str">
        <f t="shared" si="49"/>
        <v>W233.2</v>
      </c>
      <c r="I869" s="13" t="s">
        <v>17</v>
      </c>
      <c r="J869" s="13"/>
      <c r="K869" s="13"/>
      <c r="L869" s="48"/>
      <c r="M869" s="49" t="str">
        <f t="shared" si="50"/>
        <v>[W233.2]</v>
      </c>
      <c r="N869" s="12" t="str">
        <f t="shared" si="51"/>
        <v xml:space="preserve"> 댐핑시트 테이블#1 제품 데이터 불일치 이상 (X388)</v>
      </c>
      <c r="O869" s="49" t="str">
        <f t="shared" si="52"/>
        <v>[W233.2] 댐핑시트 테이블#1 제품 데이터 불일치 이상 (X388)</v>
      </c>
    </row>
    <row r="870" spans="1:15" s="49" customFormat="1" ht="17">
      <c r="A870" s="43" t="s">
        <v>2148</v>
      </c>
      <c r="B870" s="11"/>
      <c r="C870" s="11" t="s">
        <v>18</v>
      </c>
      <c r="D870" s="45" t="s">
        <v>16</v>
      </c>
      <c r="E870" s="47"/>
      <c r="F870" s="39" t="s">
        <v>728</v>
      </c>
      <c r="G870" s="13" t="s">
        <v>7670</v>
      </c>
      <c r="H870" s="99" t="str">
        <f t="shared" si="49"/>
        <v>W233.3</v>
      </c>
      <c r="I870" s="13" t="s">
        <v>17</v>
      </c>
      <c r="J870" s="13"/>
      <c r="K870" s="13"/>
      <c r="L870" s="48"/>
      <c r="M870" s="49" t="str">
        <f t="shared" si="50"/>
        <v>[W233.3]</v>
      </c>
      <c r="N870" s="12" t="str">
        <f t="shared" si="51"/>
        <v xml:space="preserve"> 댐핑시트 테이블#2 모델 지그 불일치 이상 (X394, X395, X396, X397)</v>
      </c>
      <c r="O870" s="49" t="str">
        <f t="shared" si="52"/>
        <v>[W233.3] 댐핑시트 테이블#2 모델 지그 불일치 이상 (X394, X395, X396, X397)</v>
      </c>
    </row>
    <row r="871" spans="1:15" s="49" customFormat="1" ht="14.15" customHeight="1">
      <c r="A871" s="44"/>
      <c r="B871" s="11"/>
      <c r="C871" s="11" t="s">
        <v>18</v>
      </c>
      <c r="D871" s="45" t="s">
        <v>16</v>
      </c>
      <c r="E871" s="47"/>
      <c r="F871" s="39" t="s">
        <v>729</v>
      </c>
      <c r="G871" s="13" t="s">
        <v>7671</v>
      </c>
      <c r="H871" s="99" t="str">
        <f t="shared" si="49"/>
        <v>W233.4</v>
      </c>
      <c r="I871" s="13"/>
      <c r="J871" s="13"/>
      <c r="K871" s="13"/>
      <c r="L871" s="48"/>
      <c r="M871" s="49" t="str">
        <f t="shared" si="50"/>
        <v>[W233.4]</v>
      </c>
      <c r="N871" s="12" t="str">
        <f t="shared" si="51"/>
        <v xml:space="preserve"> </v>
      </c>
      <c r="O871" s="49" t="str">
        <f t="shared" si="52"/>
        <v xml:space="preserve">[W233.4] </v>
      </c>
    </row>
    <row r="872" spans="1:15" s="49" customFormat="1" ht="14.15" customHeight="1">
      <c r="A872" s="44"/>
      <c r="B872" s="11"/>
      <c r="C872" s="11" t="s">
        <v>18</v>
      </c>
      <c r="D872" s="45" t="s">
        <v>16</v>
      </c>
      <c r="E872" s="47"/>
      <c r="F872" s="39" t="s">
        <v>730</v>
      </c>
      <c r="G872" s="13" t="s">
        <v>7672</v>
      </c>
      <c r="H872" s="99" t="str">
        <f t="shared" si="49"/>
        <v>W233.5</v>
      </c>
      <c r="I872" s="13"/>
      <c r="J872" s="13"/>
      <c r="K872" s="13"/>
      <c r="L872" s="48"/>
      <c r="M872" s="49" t="str">
        <f t="shared" si="50"/>
        <v>[W233.5]</v>
      </c>
      <c r="N872" s="12" t="str">
        <f t="shared" si="51"/>
        <v xml:space="preserve"> </v>
      </c>
      <c r="O872" s="49" t="str">
        <f t="shared" si="52"/>
        <v xml:space="preserve">[W233.5] </v>
      </c>
    </row>
    <row r="873" spans="1:15" s="49" customFormat="1" ht="14.15" customHeight="1">
      <c r="A873" s="44"/>
      <c r="B873" s="11"/>
      <c r="C873" s="11" t="s">
        <v>18</v>
      </c>
      <c r="D873" s="45" t="s">
        <v>16</v>
      </c>
      <c r="E873" s="47"/>
      <c r="F873" s="39" t="s">
        <v>731</v>
      </c>
      <c r="G873" s="13" t="s">
        <v>7673</v>
      </c>
      <c r="H873" s="99" t="str">
        <f t="shared" si="49"/>
        <v>W233.6</v>
      </c>
      <c r="I873" s="13"/>
      <c r="J873" s="13"/>
      <c r="K873" s="13"/>
      <c r="L873" s="48"/>
      <c r="M873" s="49" t="str">
        <f t="shared" si="50"/>
        <v>[W233.6]</v>
      </c>
      <c r="N873" s="12" t="str">
        <f t="shared" si="51"/>
        <v xml:space="preserve"> </v>
      </c>
      <c r="O873" s="49" t="str">
        <f t="shared" si="52"/>
        <v xml:space="preserve">[W233.6] </v>
      </c>
    </row>
    <row r="874" spans="1:15" s="49" customFormat="1" ht="14.15" customHeight="1">
      <c r="A874" s="44"/>
      <c r="B874" s="11"/>
      <c r="C874" s="11" t="s">
        <v>18</v>
      </c>
      <c r="D874" s="45" t="s">
        <v>16</v>
      </c>
      <c r="E874" s="47"/>
      <c r="F874" s="39" t="s">
        <v>732</v>
      </c>
      <c r="G874" s="13" t="s">
        <v>7674</v>
      </c>
      <c r="H874" s="99" t="str">
        <f t="shared" si="49"/>
        <v>W233.7</v>
      </c>
      <c r="I874" s="13"/>
      <c r="J874" s="13"/>
      <c r="K874" s="13"/>
      <c r="L874" s="48"/>
      <c r="M874" s="49" t="str">
        <f t="shared" si="50"/>
        <v>[W233.7]</v>
      </c>
      <c r="N874" s="12" t="str">
        <f t="shared" si="51"/>
        <v xml:space="preserve"> </v>
      </c>
      <c r="O874" s="49" t="str">
        <f t="shared" si="52"/>
        <v xml:space="preserve">[W233.7] </v>
      </c>
    </row>
    <row r="875" spans="1:15" s="49" customFormat="1" ht="14.15" customHeight="1">
      <c r="A875" s="44"/>
      <c r="B875" s="11"/>
      <c r="C875" s="11" t="s">
        <v>18</v>
      </c>
      <c r="D875" s="45" t="s">
        <v>16</v>
      </c>
      <c r="E875" s="47"/>
      <c r="F875" s="39" t="s">
        <v>733</v>
      </c>
      <c r="G875" s="13" t="s">
        <v>7675</v>
      </c>
      <c r="H875" s="99" t="str">
        <f t="shared" si="49"/>
        <v>W233.8</v>
      </c>
      <c r="I875" s="13"/>
      <c r="J875" s="13"/>
      <c r="K875" s="13"/>
      <c r="L875" s="48"/>
      <c r="M875" s="49" t="str">
        <f t="shared" si="50"/>
        <v>[W233.8]</v>
      </c>
      <c r="N875" s="12" t="str">
        <f t="shared" si="51"/>
        <v xml:space="preserve"> </v>
      </c>
      <c r="O875" s="49" t="str">
        <f t="shared" si="52"/>
        <v xml:space="preserve">[W233.8] </v>
      </c>
    </row>
    <row r="876" spans="1:15" s="49" customFormat="1" ht="14.15" customHeight="1">
      <c r="A876" s="44"/>
      <c r="B876" s="11"/>
      <c r="C876" s="11" t="s">
        <v>18</v>
      </c>
      <c r="D876" s="45" t="s">
        <v>16</v>
      </c>
      <c r="E876" s="47"/>
      <c r="F876" s="39" t="s">
        <v>734</v>
      </c>
      <c r="G876" s="13" t="s">
        <v>7676</v>
      </c>
      <c r="H876" s="99" t="str">
        <f t="shared" si="49"/>
        <v>W233.9</v>
      </c>
      <c r="I876" s="13"/>
      <c r="J876" s="13"/>
      <c r="K876" s="13"/>
      <c r="L876" s="48"/>
      <c r="M876" s="49" t="str">
        <f t="shared" si="50"/>
        <v>[W233.9]</v>
      </c>
      <c r="N876" s="12" t="str">
        <f t="shared" si="51"/>
        <v xml:space="preserve"> </v>
      </c>
      <c r="O876" s="49" t="str">
        <f t="shared" si="52"/>
        <v xml:space="preserve">[W233.9] </v>
      </c>
    </row>
    <row r="877" spans="1:15" s="49" customFormat="1" ht="14.15" customHeight="1">
      <c r="A877" s="44"/>
      <c r="B877" s="11"/>
      <c r="C877" s="11" t="s">
        <v>18</v>
      </c>
      <c r="D877" s="45" t="s">
        <v>16</v>
      </c>
      <c r="E877" s="47"/>
      <c r="F877" s="39" t="s">
        <v>735</v>
      </c>
      <c r="G877" s="13" t="s">
        <v>7677</v>
      </c>
      <c r="H877" s="99" t="str">
        <f t="shared" si="49"/>
        <v>W233.A</v>
      </c>
      <c r="I877" s="13"/>
      <c r="J877" s="13"/>
      <c r="K877" s="13"/>
      <c r="L877" s="48"/>
      <c r="M877" s="49" t="str">
        <f t="shared" si="50"/>
        <v>[W233.A]</v>
      </c>
      <c r="N877" s="12" t="str">
        <f t="shared" si="51"/>
        <v xml:space="preserve"> </v>
      </c>
      <c r="O877" s="49" t="str">
        <f t="shared" si="52"/>
        <v xml:space="preserve">[W233.A] </v>
      </c>
    </row>
    <row r="878" spans="1:15" s="49" customFormat="1" ht="14.15" customHeight="1">
      <c r="A878" s="44"/>
      <c r="B878" s="11"/>
      <c r="C878" s="11" t="s">
        <v>18</v>
      </c>
      <c r="D878" s="45" t="s">
        <v>16</v>
      </c>
      <c r="E878" s="47"/>
      <c r="F878" s="39" t="s">
        <v>736</v>
      </c>
      <c r="G878" s="13" t="s">
        <v>7678</v>
      </c>
      <c r="H878" s="99" t="str">
        <f t="shared" si="49"/>
        <v>W233.B</v>
      </c>
      <c r="I878" s="13"/>
      <c r="J878" s="13"/>
      <c r="K878" s="13"/>
      <c r="L878" s="48"/>
      <c r="M878" s="49" t="str">
        <f t="shared" si="50"/>
        <v>[W233.B]</v>
      </c>
      <c r="N878" s="12" t="str">
        <f t="shared" si="51"/>
        <v xml:space="preserve"> </v>
      </c>
      <c r="O878" s="49" t="str">
        <f t="shared" si="52"/>
        <v xml:space="preserve">[W233.B] </v>
      </c>
    </row>
    <row r="879" spans="1:15" s="49" customFormat="1" ht="14.15" customHeight="1">
      <c r="A879" s="44"/>
      <c r="B879" s="11"/>
      <c r="C879" s="11" t="s">
        <v>18</v>
      </c>
      <c r="D879" s="45" t="s">
        <v>16</v>
      </c>
      <c r="E879" s="47"/>
      <c r="F879" s="39" t="s">
        <v>737</v>
      </c>
      <c r="G879" s="13" t="s">
        <v>7679</v>
      </c>
      <c r="H879" s="99" t="str">
        <f t="shared" si="49"/>
        <v>W233.C</v>
      </c>
      <c r="I879" s="13"/>
      <c r="J879" s="13"/>
      <c r="K879" s="13"/>
      <c r="L879" s="48"/>
      <c r="M879" s="49" t="str">
        <f t="shared" si="50"/>
        <v>[W233.C]</v>
      </c>
      <c r="N879" s="12" t="str">
        <f t="shared" si="51"/>
        <v xml:space="preserve"> </v>
      </c>
      <c r="O879" s="49" t="str">
        <f t="shared" si="52"/>
        <v xml:space="preserve">[W233.C] </v>
      </c>
    </row>
    <row r="880" spans="1:15" s="49" customFormat="1" ht="14.15" customHeight="1">
      <c r="A880" s="44"/>
      <c r="B880" s="11"/>
      <c r="C880" s="11" t="s">
        <v>18</v>
      </c>
      <c r="D880" s="45" t="s">
        <v>16</v>
      </c>
      <c r="E880" s="47"/>
      <c r="F880" s="39" t="s">
        <v>738</v>
      </c>
      <c r="G880" s="13" t="s">
        <v>7680</v>
      </c>
      <c r="H880" s="99" t="str">
        <f t="shared" si="49"/>
        <v>W233.D</v>
      </c>
      <c r="I880" s="13"/>
      <c r="J880" s="13"/>
      <c r="K880" s="13"/>
      <c r="L880" s="48"/>
      <c r="M880" s="49" t="str">
        <f t="shared" si="50"/>
        <v>[W233.D]</v>
      </c>
      <c r="N880" s="12" t="str">
        <f t="shared" si="51"/>
        <v xml:space="preserve"> </v>
      </c>
      <c r="O880" s="49" t="str">
        <f t="shared" si="52"/>
        <v xml:space="preserve">[W233.D] </v>
      </c>
    </row>
    <row r="881" spans="1:15" s="49" customFormat="1" ht="14.15" customHeight="1">
      <c r="A881" s="44"/>
      <c r="B881" s="11"/>
      <c r="C881" s="11" t="s">
        <v>18</v>
      </c>
      <c r="D881" s="45" t="s">
        <v>16</v>
      </c>
      <c r="E881" s="47"/>
      <c r="F881" s="39" t="s">
        <v>739</v>
      </c>
      <c r="G881" s="13" t="s">
        <v>7681</v>
      </c>
      <c r="H881" s="99" t="str">
        <f t="shared" si="49"/>
        <v>W233.E</v>
      </c>
      <c r="I881" s="13"/>
      <c r="J881" s="13"/>
      <c r="K881" s="13"/>
      <c r="L881" s="48"/>
      <c r="M881" s="49" t="str">
        <f t="shared" si="50"/>
        <v>[W233.E]</v>
      </c>
      <c r="N881" s="12" t="str">
        <f t="shared" si="51"/>
        <v xml:space="preserve"> </v>
      </c>
      <c r="O881" s="49" t="str">
        <f t="shared" si="52"/>
        <v xml:space="preserve">[W233.E] </v>
      </c>
    </row>
    <row r="882" spans="1:15" s="49" customFormat="1" ht="14.15" customHeight="1">
      <c r="A882" s="44"/>
      <c r="B882" s="11"/>
      <c r="C882" s="11" t="s">
        <v>18</v>
      </c>
      <c r="D882" s="45" t="s">
        <v>16</v>
      </c>
      <c r="E882" s="47"/>
      <c r="F882" s="39" t="s">
        <v>740</v>
      </c>
      <c r="G882" s="13" t="s">
        <v>7682</v>
      </c>
      <c r="H882" s="99" t="str">
        <f t="shared" si="49"/>
        <v>W233.F</v>
      </c>
      <c r="I882" s="13"/>
      <c r="J882" s="13"/>
      <c r="K882" s="13"/>
      <c r="L882" s="48"/>
      <c r="M882" s="49" t="str">
        <f t="shared" si="50"/>
        <v>[W233.F]</v>
      </c>
      <c r="N882" s="12" t="str">
        <f t="shared" si="51"/>
        <v xml:space="preserve"> </v>
      </c>
      <c r="O882" s="49" t="str">
        <f t="shared" si="52"/>
        <v xml:space="preserve">[W233.F] </v>
      </c>
    </row>
    <row r="883" spans="1:15" s="49" customFormat="1" ht="14.15" customHeight="1">
      <c r="A883" s="44"/>
      <c r="B883" s="11"/>
      <c r="C883" s="11" t="s">
        <v>18</v>
      </c>
      <c r="D883" s="45" t="s">
        <v>16</v>
      </c>
      <c r="E883" s="47"/>
      <c r="F883" s="39" t="s">
        <v>741</v>
      </c>
      <c r="G883" s="13" t="s">
        <v>7683</v>
      </c>
      <c r="H883" s="99" t="str">
        <f t="shared" si="49"/>
        <v>W234.0</v>
      </c>
      <c r="I883" s="13"/>
      <c r="J883" s="13"/>
      <c r="K883" s="13"/>
      <c r="L883" s="48"/>
      <c r="M883" s="49" t="str">
        <f t="shared" si="50"/>
        <v>[W234.0]</v>
      </c>
      <c r="N883" s="12" t="str">
        <f t="shared" si="51"/>
        <v xml:space="preserve"> </v>
      </c>
      <c r="O883" s="49" t="str">
        <f t="shared" si="52"/>
        <v xml:space="preserve">[W234.0] </v>
      </c>
    </row>
    <row r="884" spans="1:15" s="49" customFormat="1" ht="14.15" customHeight="1">
      <c r="A884" s="44"/>
      <c r="B884" s="11"/>
      <c r="C884" s="11" t="s">
        <v>18</v>
      </c>
      <c r="D884" s="45" t="s">
        <v>16</v>
      </c>
      <c r="E884" s="47"/>
      <c r="F884" s="39" t="s">
        <v>742</v>
      </c>
      <c r="G884" s="13" t="s">
        <v>7684</v>
      </c>
      <c r="H884" s="99" t="str">
        <f t="shared" ref="H884:H947" si="53">"W"&amp;DEC2HEX(512 + INT((ROW()-51)/16)) &amp; "." &amp; IF(MOD(ROW()-51,16)&lt;10,MOD(ROW()-51,16),CHAR(MOD(ROW()-51,16)+55))</f>
        <v>W234.1</v>
      </c>
      <c r="I884" s="13"/>
      <c r="J884" s="13"/>
      <c r="K884" s="13"/>
      <c r="L884" s="48"/>
      <c r="M884" s="49" t="str">
        <f t="shared" ref="M884:M947" si="54">"["&amp;H884&amp;"]"</f>
        <v>[W234.1]</v>
      </c>
      <c r="N884" s="12" t="str">
        <f t="shared" ref="N884:N947" si="55">RIGHT(F884,LEN(F884)-7)</f>
        <v xml:space="preserve"> </v>
      </c>
      <c r="O884" s="49" t="str">
        <f t="shared" ref="O884:O947" si="56">M884&amp;N884</f>
        <v xml:space="preserve">[W234.1] </v>
      </c>
    </row>
    <row r="885" spans="1:15" s="49" customFormat="1" ht="14.15" customHeight="1">
      <c r="A885" s="44"/>
      <c r="B885" s="11"/>
      <c r="C885" s="11" t="s">
        <v>18</v>
      </c>
      <c r="D885" s="45" t="s">
        <v>16</v>
      </c>
      <c r="E885" s="47"/>
      <c r="F885" s="39" t="s">
        <v>743</v>
      </c>
      <c r="G885" s="13" t="s">
        <v>7685</v>
      </c>
      <c r="H885" s="99" t="str">
        <f t="shared" si="53"/>
        <v>W234.2</v>
      </c>
      <c r="I885" s="13"/>
      <c r="J885" s="13"/>
      <c r="K885" s="13"/>
      <c r="L885" s="48"/>
      <c r="M885" s="49" t="str">
        <f t="shared" si="54"/>
        <v>[W234.2]</v>
      </c>
      <c r="N885" s="12" t="str">
        <f t="shared" si="55"/>
        <v xml:space="preserve"> </v>
      </c>
      <c r="O885" s="49" t="str">
        <f t="shared" si="56"/>
        <v xml:space="preserve">[W234.2] </v>
      </c>
    </row>
    <row r="886" spans="1:15" s="49" customFormat="1" ht="14.15" customHeight="1">
      <c r="A886" s="44"/>
      <c r="B886" s="11"/>
      <c r="C886" s="11" t="s">
        <v>18</v>
      </c>
      <c r="D886" s="45" t="s">
        <v>16</v>
      </c>
      <c r="E886" s="47"/>
      <c r="F886" s="39" t="s">
        <v>744</v>
      </c>
      <c r="G886" s="13" t="s">
        <v>7686</v>
      </c>
      <c r="H886" s="99" t="str">
        <f t="shared" si="53"/>
        <v>W234.3</v>
      </c>
      <c r="I886" s="13"/>
      <c r="J886" s="13"/>
      <c r="K886" s="13"/>
      <c r="L886" s="48"/>
      <c r="M886" s="49" t="str">
        <f t="shared" si="54"/>
        <v>[W234.3]</v>
      </c>
      <c r="N886" s="12" t="str">
        <f t="shared" si="55"/>
        <v xml:space="preserve"> </v>
      </c>
      <c r="O886" s="49" t="str">
        <f t="shared" si="56"/>
        <v xml:space="preserve">[W234.3] </v>
      </c>
    </row>
    <row r="887" spans="1:15" s="49" customFormat="1" ht="14.15" customHeight="1">
      <c r="A887" s="44"/>
      <c r="B887" s="11"/>
      <c r="C887" s="11" t="s">
        <v>18</v>
      </c>
      <c r="D887" s="45" t="s">
        <v>16</v>
      </c>
      <c r="E887" s="47"/>
      <c r="F887" s="39" t="s">
        <v>745</v>
      </c>
      <c r="G887" s="13" t="s">
        <v>7687</v>
      </c>
      <c r="H887" s="99" t="str">
        <f t="shared" si="53"/>
        <v>W234.4</v>
      </c>
      <c r="I887" s="13"/>
      <c r="J887" s="13"/>
      <c r="K887" s="13"/>
      <c r="L887" s="48"/>
      <c r="M887" s="49" t="str">
        <f t="shared" si="54"/>
        <v>[W234.4]</v>
      </c>
      <c r="N887" s="12" t="str">
        <f t="shared" si="55"/>
        <v xml:space="preserve"> </v>
      </c>
      <c r="O887" s="49" t="str">
        <f t="shared" si="56"/>
        <v xml:space="preserve">[W234.4] </v>
      </c>
    </row>
    <row r="888" spans="1:15" s="49" customFormat="1" ht="14.15" customHeight="1">
      <c r="A888" s="44"/>
      <c r="B888" s="11"/>
      <c r="C888" s="11" t="s">
        <v>18</v>
      </c>
      <c r="D888" s="45" t="s">
        <v>16</v>
      </c>
      <c r="E888" s="47"/>
      <c r="F888" s="39" t="s">
        <v>746</v>
      </c>
      <c r="G888" s="13" t="s">
        <v>7688</v>
      </c>
      <c r="H888" s="99" t="str">
        <f t="shared" si="53"/>
        <v>W234.5</v>
      </c>
      <c r="I888" s="13"/>
      <c r="J888" s="13"/>
      <c r="K888" s="13"/>
      <c r="L888" s="48"/>
      <c r="M888" s="49" t="str">
        <f t="shared" si="54"/>
        <v>[W234.5]</v>
      </c>
      <c r="N888" s="12" t="str">
        <f t="shared" si="55"/>
        <v xml:space="preserve"> </v>
      </c>
      <c r="O888" s="49" t="str">
        <f t="shared" si="56"/>
        <v xml:space="preserve">[W234.5] </v>
      </c>
    </row>
    <row r="889" spans="1:15" s="49" customFormat="1" ht="17">
      <c r="A889" s="43" t="s">
        <v>2148</v>
      </c>
      <c r="B889" s="11"/>
      <c r="C889" s="11" t="s">
        <v>18</v>
      </c>
      <c r="D889" s="45" t="s">
        <v>16</v>
      </c>
      <c r="E889" s="47"/>
      <c r="F889" s="39" t="s">
        <v>747</v>
      </c>
      <c r="G889" s="13" t="s">
        <v>7689</v>
      </c>
      <c r="H889" s="99" t="str">
        <f t="shared" si="53"/>
        <v>W234.6</v>
      </c>
      <c r="I889" s="13" t="s">
        <v>17</v>
      </c>
      <c r="J889" s="13"/>
      <c r="K889" s="13"/>
      <c r="L889" s="48"/>
      <c r="M889" s="49" t="str">
        <f t="shared" si="54"/>
        <v>[W234.6]</v>
      </c>
      <c r="N889" s="12" t="str">
        <f t="shared" si="55"/>
        <v xml:space="preserve"> 댐핑시트 테이블#2 제품 데이터 불일치 이상 (X389)</v>
      </c>
      <c r="O889" s="49" t="str">
        <f t="shared" si="56"/>
        <v>[W234.6] 댐핑시트 테이블#2 제품 데이터 불일치 이상 (X389)</v>
      </c>
    </row>
    <row r="890" spans="1:15" s="49" customFormat="1" ht="14.15" customHeight="1">
      <c r="A890" s="43" t="s">
        <v>2148</v>
      </c>
      <c r="B890" s="11"/>
      <c r="C890" s="11" t="s">
        <v>18</v>
      </c>
      <c r="D890" s="45" t="s">
        <v>16</v>
      </c>
      <c r="E890" s="47"/>
      <c r="F890" s="39" t="s">
        <v>748</v>
      </c>
      <c r="G890" s="13" t="s">
        <v>7690</v>
      </c>
      <c r="H890" s="99" t="str">
        <f t="shared" si="53"/>
        <v>W234.7</v>
      </c>
      <c r="I890" s="13" t="s">
        <v>104</v>
      </c>
      <c r="J890" s="13"/>
      <c r="K890" s="13"/>
      <c r="L890" s="48"/>
      <c r="M890" s="49" t="str">
        <f t="shared" si="54"/>
        <v>[W234.7]</v>
      </c>
      <c r="N890" s="12" t="str">
        <f t="shared" si="55"/>
        <v xml:space="preserve"> 댐핑시트 이재기 진공#1 On 시간초과 (Y3D0, X3C0, X3C1)</v>
      </c>
      <c r="O890" s="49" t="str">
        <f t="shared" si="56"/>
        <v>[W234.7] 댐핑시트 이재기 진공#1 On 시간초과 (Y3D0, X3C0, X3C1)</v>
      </c>
    </row>
    <row r="891" spans="1:15" s="49" customFormat="1" ht="14.15" customHeight="1">
      <c r="A891" s="43" t="s">
        <v>2148</v>
      </c>
      <c r="B891" s="11"/>
      <c r="C891" s="11" t="s">
        <v>18</v>
      </c>
      <c r="D891" s="45" t="s">
        <v>16</v>
      </c>
      <c r="E891" s="47"/>
      <c r="F891" s="39" t="s">
        <v>749</v>
      </c>
      <c r="G891" s="13" t="s">
        <v>7691</v>
      </c>
      <c r="H891" s="99" t="str">
        <f t="shared" si="53"/>
        <v>W234.8</v>
      </c>
      <c r="I891" s="13" t="s">
        <v>17</v>
      </c>
      <c r="J891" s="13"/>
      <c r="K891" s="13"/>
      <c r="L891" s="48"/>
      <c r="M891" s="49" t="str">
        <f t="shared" si="54"/>
        <v>[W234.8]</v>
      </c>
      <c r="N891" s="12" t="str">
        <f t="shared" si="55"/>
        <v xml:space="preserve"> 댐핑시트 이재기 진공#1 Off 시간초과 (Y3D1, X3C2, X3C3)</v>
      </c>
      <c r="O891" s="49" t="str">
        <f t="shared" si="56"/>
        <v>[W234.8] 댐핑시트 이재기 진공#1 Off 시간초과 (Y3D1, X3C2, X3C3)</v>
      </c>
    </row>
    <row r="892" spans="1:15" s="49" customFormat="1" ht="14.15" customHeight="1">
      <c r="A892" s="43" t="s">
        <v>2148</v>
      </c>
      <c r="B892" s="11"/>
      <c r="C892" s="11" t="s">
        <v>18</v>
      </c>
      <c r="D892" s="45" t="s">
        <v>16</v>
      </c>
      <c r="E892" s="47"/>
      <c r="F892" s="39" t="s">
        <v>750</v>
      </c>
      <c r="G892" s="13" t="s">
        <v>7692</v>
      </c>
      <c r="H892" s="99" t="str">
        <f t="shared" si="53"/>
        <v>W234.9</v>
      </c>
      <c r="I892" s="13" t="s">
        <v>104</v>
      </c>
      <c r="J892" s="13"/>
      <c r="K892" s="13"/>
      <c r="L892" s="48"/>
      <c r="M892" s="49" t="str">
        <f t="shared" si="54"/>
        <v>[W234.9]</v>
      </c>
      <c r="N892" s="12" t="str">
        <f t="shared" si="55"/>
        <v xml:space="preserve"> 댐핑시트 이재기 진공#2 On 시간초과 (Y3D3, X3C4, X3C5)</v>
      </c>
      <c r="O892" s="49" t="str">
        <f t="shared" si="56"/>
        <v>[W234.9] 댐핑시트 이재기 진공#2 On 시간초과 (Y3D3, X3C4, X3C5)</v>
      </c>
    </row>
    <row r="893" spans="1:15" s="49" customFormat="1" ht="14.15" customHeight="1">
      <c r="A893" s="43" t="s">
        <v>2148</v>
      </c>
      <c r="B893" s="11"/>
      <c r="C893" s="11" t="s">
        <v>18</v>
      </c>
      <c r="D893" s="45" t="s">
        <v>16</v>
      </c>
      <c r="E893" s="47"/>
      <c r="F893" s="39" t="s">
        <v>751</v>
      </c>
      <c r="G893" s="13" t="s">
        <v>7693</v>
      </c>
      <c r="H893" s="99" t="str">
        <f t="shared" si="53"/>
        <v>W234.A</v>
      </c>
      <c r="I893" s="13" t="s">
        <v>104</v>
      </c>
      <c r="J893" s="13"/>
      <c r="K893" s="13"/>
      <c r="L893" s="48"/>
      <c r="M893" s="49" t="str">
        <f t="shared" si="54"/>
        <v>[W234.A]</v>
      </c>
      <c r="N893" s="12" t="str">
        <f t="shared" si="55"/>
        <v xml:space="preserve"> 댐핑시트 이재기 진공#2 Off 시간초과 (Y3D4, X3C6, X3C7)</v>
      </c>
      <c r="O893" s="49" t="str">
        <f t="shared" si="56"/>
        <v>[W234.A] 댐핑시트 이재기 진공#2 Off 시간초과 (Y3D4, X3C6, X3C7)</v>
      </c>
    </row>
    <row r="894" spans="1:15" s="49" customFormat="1" ht="14.15" customHeight="1">
      <c r="A894" s="43" t="s">
        <v>2148</v>
      </c>
      <c r="B894" s="11"/>
      <c r="C894" s="11" t="s">
        <v>18</v>
      </c>
      <c r="D894" s="45" t="s">
        <v>16</v>
      </c>
      <c r="E894" s="47"/>
      <c r="F894" s="39" t="s">
        <v>752</v>
      </c>
      <c r="G894" s="13" t="s">
        <v>7694</v>
      </c>
      <c r="H894" s="99" t="str">
        <f t="shared" si="53"/>
        <v>W234.B</v>
      </c>
      <c r="I894" s="13" t="s">
        <v>17</v>
      </c>
      <c r="J894" s="13"/>
      <c r="K894" s="13"/>
      <c r="L894" s="48"/>
      <c r="M894" s="49" t="str">
        <f t="shared" si="54"/>
        <v>[W234.B]</v>
      </c>
      <c r="N894" s="12" t="str">
        <f t="shared" si="55"/>
        <v xml:space="preserve"> 댐핑시트 이재기 진공#3 On 시간초과 (Y3D6, X3C8, X3C9)</v>
      </c>
      <c r="O894" s="49" t="str">
        <f t="shared" si="56"/>
        <v>[W234.B] 댐핑시트 이재기 진공#3 On 시간초과 (Y3D6, X3C8, X3C9)</v>
      </c>
    </row>
    <row r="895" spans="1:15" s="49" customFormat="1" ht="14.15" customHeight="1">
      <c r="A895" s="43" t="s">
        <v>2148</v>
      </c>
      <c r="B895" s="11"/>
      <c r="C895" s="11" t="s">
        <v>18</v>
      </c>
      <c r="D895" s="45" t="s">
        <v>16</v>
      </c>
      <c r="E895" s="47"/>
      <c r="F895" s="39" t="s">
        <v>753</v>
      </c>
      <c r="G895" s="13" t="s">
        <v>7695</v>
      </c>
      <c r="H895" s="99" t="str">
        <f t="shared" si="53"/>
        <v>W234.C</v>
      </c>
      <c r="I895" s="13" t="s">
        <v>17</v>
      </c>
      <c r="J895" s="13"/>
      <c r="K895" s="13"/>
      <c r="L895" s="48"/>
      <c r="M895" s="49" t="str">
        <f t="shared" si="54"/>
        <v>[W234.C]</v>
      </c>
      <c r="N895" s="12" t="str">
        <f t="shared" si="55"/>
        <v xml:space="preserve"> 댐핑시트 이재기 진공#3 Off 시간초과 (Y3D7, X3CA, X3CB)</v>
      </c>
      <c r="O895" s="49" t="str">
        <f t="shared" si="56"/>
        <v>[W234.C] 댐핑시트 이재기 진공#3 Off 시간초과 (Y3D7, X3CA, X3CB)</v>
      </c>
    </row>
    <row r="896" spans="1:15" s="49" customFormat="1" ht="14.15" customHeight="1">
      <c r="A896" s="43" t="s">
        <v>2148</v>
      </c>
      <c r="B896" s="11"/>
      <c r="C896" s="11" t="s">
        <v>18</v>
      </c>
      <c r="D896" s="45" t="s">
        <v>16</v>
      </c>
      <c r="E896" s="47"/>
      <c r="F896" s="39" t="s">
        <v>754</v>
      </c>
      <c r="G896" s="13" t="s">
        <v>7696</v>
      </c>
      <c r="H896" s="99" t="str">
        <f t="shared" si="53"/>
        <v>W234.D</v>
      </c>
      <c r="I896" s="13" t="s">
        <v>104</v>
      </c>
      <c r="J896" s="13"/>
      <c r="K896" s="13"/>
      <c r="L896" s="48"/>
      <c r="M896" s="49" t="str">
        <f t="shared" si="54"/>
        <v>[W234.D]</v>
      </c>
      <c r="N896" s="12" t="str">
        <f t="shared" si="55"/>
        <v xml:space="preserve"> 댐핑시트 이재기 진공#4 On 시간초과 (Y3D9, X3CC, X3CD)</v>
      </c>
      <c r="O896" s="49" t="str">
        <f t="shared" si="56"/>
        <v>[W234.D] 댐핑시트 이재기 진공#4 On 시간초과 (Y3D9, X3CC, X3CD)</v>
      </c>
    </row>
    <row r="897" spans="1:15" s="49" customFormat="1" ht="14.15" customHeight="1">
      <c r="A897" s="43" t="s">
        <v>2148</v>
      </c>
      <c r="B897" s="11"/>
      <c r="C897" s="11" t="s">
        <v>18</v>
      </c>
      <c r="D897" s="45" t="s">
        <v>16</v>
      </c>
      <c r="E897" s="47"/>
      <c r="F897" s="39" t="s">
        <v>755</v>
      </c>
      <c r="G897" s="13" t="s">
        <v>7697</v>
      </c>
      <c r="H897" s="99" t="str">
        <f t="shared" si="53"/>
        <v>W234.E</v>
      </c>
      <c r="I897" s="13" t="s">
        <v>104</v>
      </c>
      <c r="J897" s="13"/>
      <c r="K897" s="13"/>
      <c r="L897" s="48"/>
      <c r="M897" s="49" t="str">
        <f t="shared" si="54"/>
        <v>[W234.E]</v>
      </c>
      <c r="N897" s="12" t="str">
        <f t="shared" si="55"/>
        <v xml:space="preserve"> 댐핑시트 이재기 진공#4 Off 시간초과 (Y3DA, X3CE, X3CF)</v>
      </c>
      <c r="O897" s="49" t="str">
        <f t="shared" si="56"/>
        <v>[W234.E] 댐핑시트 이재기 진공#4 Off 시간초과 (Y3DA, X3CE, X3CF)</v>
      </c>
    </row>
    <row r="898" spans="1:15" s="49" customFormat="1" ht="14.15" customHeight="1">
      <c r="A898" s="44"/>
      <c r="B898" s="11"/>
      <c r="C898" s="11" t="s">
        <v>18</v>
      </c>
      <c r="D898" s="45" t="s">
        <v>16</v>
      </c>
      <c r="E898" s="47"/>
      <c r="F898" s="39" t="s">
        <v>756</v>
      </c>
      <c r="G898" s="13" t="s">
        <v>7698</v>
      </c>
      <c r="H898" s="99" t="str">
        <f t="shared" si="53"/>
        <v>W234.F</v>
      </c>
      <c r="I898" s="13"/>
      <c r="J898" s="13"/>
      <c r="K898" s="13"/>
      <c r="L898" s="48"/>
      <c r="M898" s="49" t="str">
        <f t="shared" si="54"/>
        <v>[W234.F]</v>
      </c>
      <c r="N898" s="12" t="str">
        <f t="shared" si="55"/>
        <v xml:space="preserve"> </v>
      </c>
      <c r="O898" s="49" t="str">
        <f t="shared" si="56"/>
        <v xml:space="preserve">[W234.F] </v>
      </c>
    </row>
    <row r="899" spans="1:15" s="49" customFormat="1" ht="14.15" customHeight="1">
      <c r="A899" s="44"/>
      <c r="B899" s="11"/>
      <c r="C899" s="11" t="s">
        <v>18</v>
      </c>
      <c r="D899" s="45" t="s">
        <v>16</v>
      </c>
      <c r="E899" s="47"/>
      <c r="F899" s="39" t="s">
        <v>757</v>
      </c>
      <c r="G899" s="13" t="s">
        <v>7699</v>
      </c>
      <c r="H899" s="99" t="str">
        <f t="shared" si="53"/>
        <v>W235.0</v>
      </c>
      <c r="I899" s="13"/>
      <c r="J899" s="13"/>
      <c r="K899" s="13"/>
      <c r="L899" s="48"/>
      <c r="M899" s="49" t="str">
        <f t="shared" si="54"/>
        <v>[W235.0]</v>
      </c>
      <c r="N899" s="12" t="str">
        <f t="shared" si="55"/>
        <v xml:space="preserve"> </v>
      </c>
      <c r="O899" s="49" t="str">
        <f t="shared" si="56"/>
        <v xml:space="preserve">[W235.0] </v>
      </c>
    </row>
    <row r="900" spans="1:15" s="49" customFormat="1" ht="14.15" customHeight="1">
      <c r="A900" s="43" t="s">
        <v>2148</v>
      </c>
      <c r="B900" s="11"/>
      <c r="C900" s="11" t="s">
        <v>18</v>
      </c>
      <c r="D900" s="45" t="s">
        <v>16</v>
      </c>
      <c r="E900" s="47"/>
      <c r="F900" s="39" t="s">
        <v>758</v>
      </c>
      <c r="G900" s="13" t="s">
        <v>7700</v>
      </c>
      <c r="H900" s="99" t="str">
        <f t="shared" si="53"/>
        <v>W235.1</v>
      </c>
      <c r="I900" s="13" t="s">
        <v>104</v>
      </c>
      <c r="J900" s="13"/>
      <c r="K900" s="13"/>
      <c r="L900" s="48"/>
      <c r="M900" s="49" t="str">
        <f t="shared" si="54"/>
        <v>[W235.1]</v>
      </c>
      <c r="N900" s="12" t="str">
        <f t="shared" si="55"/>
        <v xml:space="preserve"> 댐핑시트 이재기 제품 수취 시간초과</v>
      </c>
      <c r="O900" s="49" t="str">
        <f t="shared" si="56"/>
        <v>[W235.1] 댐핑시트 이재기 제품 수취 시간초과</v>
      </c>
    </row>
    <row r="901" spans="1:15" s="49" customFormat="1" ht="14.15" customHeight="1">
      <c r="A901" s="43" t="s">
        <v>2148</v>
      </c>
      <c r="B901" s="11"/>
      <c r="C901" s="11" t="s">
        <v>18</v>
      </c>
      <c r="D901" s="45" t="s">
        <v>16</v>
      </c>
      <c r="E901" s="47"/>
      <c r="F901" s="39" t="s">
        <v>759</v>
      </c>
      <c r="G901" s="13" t="s">
        <v>7701</v>
      </c>
      <c r="H901" s="99" t="str">
        <f t="shared" si="53"/>
        <v>W235.2</v>
      </c>
      <c r="I901" s="13" t="s">
        <v>104</v>
      </c>
      <c r="J901" s="13"/>
      <c r="K901" s="13"/>
      <c r="L901" s="48"/>
      <c r="M901" s="49" t="str">
        <f t="shared" si="54"/>
        <v>[W235.2]</v>
      </c>
      <c r="N901" s="12" t="str">
        <f t="shared" si="55"/>
        <v xml:space="preserve"> 댐핑시트 이재기 제품 배출 시간초과</v>
      </c>
      <c r="O901" s="49" t="str">
        <f t="shared" si="56"/>
        <v>[W235.2] 댐핑시트 이재기 제품 배출 시간초과</v>
      </c>
    </row>
    <row r="902" spans="1:15" s="49" customFormat="1" ht="14.15" customHeight="1">
      <c r="A902" s="43" t="s">
        <v>2148</v>
      </c>
      <c r="B902" s="11"/>
      <c r="C902" s="11" t="s">
        <v>18</v>
      </c>
      <c r="D902" s="45" t="s">
        <v>16</v>
      </c>
      <c r="E902" s="47"/>
      <c r="F902" s="39" t="s">
        <v>760</v>
      </c>
      <c r="G902" s="13" t="s">
        <v>7702</v>
      </c>
      <c r="H902" s="99" t="str">
        <f t="shared" si="53"/>
        <v>W235.3</v>
      </c>
      <c r="I902" s="13" t="s">
        <v>104</v>
      </c>
      <c r="J902" s="13"/>
      <c r="K902" s="13"/>
      <c r="L902" s="48"/>
      <c r="M902" s="49" t="str">
        <f t="shared" si="54"/>
        <v>[W235.3]</v>
      </c>
      <c r="N902" s="12" t="str">
        <f t="shared" si="55"/>
        <v xml:space="preserve"> 댐핑시트 이재기 제품 수취#1 시퀀스 이상</v>
      </c>
      <c r="O902" s="49" t="str">
        <f t="shared" si="56"/>
        <v>[W235.3] 댐핑시트 이재기 제품 수취#1 시퀀스 이상</v>
      </c>
    </row>
    <row r="903" spans="1:15" s="49" customFormat="1" ht="14.15" customHeight="1">
      <c r="A903" s="43" t="s">
        <v>2148</v>
      </c>
      <c r="B903" s="11"/>
      <c r="C903" s="11" t="s">
        <v>18</v>
      </c>
      <c r="D903" s="45" t="s">
        <v>16</v>
      </c>
      <c r="E903" s="47"/>
      <c r="F903" s="39" t="s">
        <v>761</v>
      </c>
      <c r="G903" s="13" t="s">
        <v>7703</v>
      </c>
      <c r="H903" s="99" t="str">
        <f t="shared" si="53"/>
        <v>W235.4</v>
      </c>
      <c r="I903" s="13" t="s">
        <v>104</v>
      </c>
      <c r="J903" s="13"/>
      <c r="K903" s="13"/>
      <c r="L903" s="48"/>
      <c r="M903" s="49" t="str">
        <f t="shared" si="54"/>
        <v>[W235.4]</v>
      </c>
      <c r="N903" s="12" t="str">
        <f t="shared" si="55"/>
        <v xml:space="preserve"> 댐핑시트 이재기 제품 수취#2 시퀀스 이상</v>
      </c>
      <c r="O903" s="49" t="str">
        <f t="shared" si="56"/>
        <v>[W235.4] 댐핑시트 이재기 제품 수취#2 시퀀스 이상</v>
      </c>
    </row>
    <row r="904" spans="1:15" s="49" customFormat="1" ht="14.15" customHeight="1">
      <c r="A904" s="43" t="s">
        <v>2148</v>
      </c>
      <c r="B904" s="11"/>
      <c r="C904" s="11" t="s">
        <v>18</v>
      </c>
      <c r="D904" s="45" t="s">
        <v>16</v>
      </c>
      <c r="E904" s="47"/>
      <c r="F904" s="39" t="s">
        <v>762</v>
      </c>
      <c r="G904" s="13" t="s">
        <v>7704</v>
      </c>
      <c r="H904" s="99" t="str">
        <f t="shared" si="53"/>
        <v>W235.5</v>
      </c>
      <c r="I904" s="13" t="s">
        <v>104</v>
      </c>
      <c r="J904" s="13"/>
      <c r="K904" s="13"/>
      <c r="L904" s="48"/>
      <c r="M904" s="49" t="str">
        <f t="shared" si="54"/>
        <v>[W235.5]</v>
      </c>
      <c r="N904" s="12" t="str">
        <f t="shared" si="55"/>
        <v xml:space="preserve"> 댐핑시트 이재기 제품 베츨 시퀀스 이상</v>
      </c>
      <c r="O904" s="49" t="str">
        <f t="shared" si="56"/>
        <v>[W235.5] 댐핑시트 이재기 제품 베츨 시퀀스 이상</v>
      </c>
    </row>
    <row r="905" spans="1:15" s="49" customFormat="1" ht="14.15" customHeight="1">
      <c r="A905" s="44"/>
      <c r="B905" s="11"/>
      <c r="C905" s="11" t="s">
        <v>18</v>
      </c>
      <c r="D905" s="45" t="s">
        <v>16</v>
      </c>
      <c r="E905" s="47"/>
      <c r="F905" s="39" t="s">
        <v>763</v>
      </c>
      <c r="G905" s="13" t="s">
        <v>7705</v>
      </c>
      <c r="H905" s="99" t="str">
        <f t="shared" si="53"/>
        <v>W235.6</v>
      </c>
      <c r="I905" s="13"/>
      <c r="J905" s="13"/>
      <c r="K905" s="13"/>
      <c r="L905" s="48"/>
      <c r="M905" s="49" t="str">
        <f t="shared" si="54"/>
        <v>[W235.6]</v>
      </c>
      <c r="N905" s="12" t="str">
        <f t="shared" si="55"/>
        <v xml:space="preserve"> </v>
      </c>
      <c r="O905" s="49" t="str">
        <f t="shared" si="56"/>
        <v xml:space="preserve">[W235.6] </v>
      </c>
    </row>
    <row r="906" spans="1:15" s="49" customFormat="1" ht="14.15" customHeight="1">
      <c r="A906" s="44"/>
      <c r="B906" s="11"/>
      <c r="C906" s="11" t="s">
        <v>18</v>
      </c>
      <c r="D906" s="45" t="s">
        <v>16</v>
      </c>
      <c r="E906" s="47"/>
      <c r="F906" s="39" t="s">
        <v>764</v>
      </c>
      <c r="G906" s="13" t="s">
        <v>7706</v>
      </c>
      <c r="H906" s="99" t="str">
        <f t="shared" si="53"/>
        <v>W235.7</v>
      </c>
      <c r="I906" s="13"/>
      <c r="J906" s="13"/>
      <c r="K906" s="13"/>
      <c r="L906" s="48"/>
      <c r="M906" s="49" t="str">
        <f t="shared" si="54"/>
        <v>[W235.7]</v>
      </c>
      <c r="N906" s="12" t="str">
        <f t="shared" si="55"/>
        <v xml:space="preserve"> </v>
      </c>
      <c r="O906" s="49" t="str">
        <f t="shared" si="56"/>
        <v xml:space="preserve">[W235.7] </v>
      </c>
    </row>
    <row r="907" spans="1:15" s="49" customFormat="1" ht="14.15" customHeight="1">
      <c r="A907" s="44"/>
      <c r="B907" s="11"/>
      <c r="C907" s="11" t="s">
        <v>18</v>
      </c>
      <c r="D907" s="45" t="s">
        <v>16</v>
      </c>
      <c r="E907" s="47"/>
      <c r="F907" s="39" t="s">
        <v>765</v>
      </c>
      <c r="G907" s="13" t="s">
        <v>7707</v>
      </c>
      <c r="H907" s="99" t="str">
        <f t="shared" si="53"/>
        <v>W235.8</v>
      </c>
      <c r="I907" s="13"/>
      <c r="J907" s="13"/>
      <c r="K907" s="13"/>
      <c r="L907" s="48"/>
      <c r="M907" s="49" t="str">
        <f t="shared" si="54"/>
        <v>[W235.8]</v>
      </c>
      <c r="N907" s="12" t="str">
        <f t="shared" si="55"/>
        <v xml:space="preserve"> </v>
      </c>
      <c r="O907" s="49" t="str">
        <f t="shared" si="56"/>
        <v xml:space="preserve">[W235.8] </v>
      </c>
    </row>
    <row r="908" spans="1:15" s="49" customFormat="1" ht="14.15" customHeight="1">
      <c r="A908" s="44"/>
      <c r="B908" s="11"/>
      <c r="C908" s="11" t="s">
        <v>18</v>
      </c>
      <c r="D908" s="45" t="s">
        <v>16</v>
      </c>
      <c r="E908" s="47"/>
      <c r="F908" s="39" t="s">
        <v>766</v>
      </c>
      <c r="G908" s="13" t="s">
        <v>7708</v>
      </c>
      <c r="H908" s="99" t="str">
        <f t="shared" si="53"/>
        <v>W235.9</v>
      </c>
      <c r="I908" s="13"/>
      <c r="J908" s="13"/>
      <c r="K908" s="13"/>
      <c r="L908" s="48"/>
      <c r="M908" s="49" t="str">
        <f t="shared" si="54"/>
        <v>[W235.9]</v>
      </c>
      <c r="N908" s="12" t="str">
        <f t="shared" si="55"/>
        <v xml:space="preserve"> </v>
      </c>
      <c r="O908" s="49" t="str">
        <f t="shared" si="56"/>
        <v xml:space="preserve">[W235.9] </v>
      </c>
    </row>
    <row r="909" spans="1:15" s="49" customFormat="1" ht="17">
      <c r="A909" s="43" t="s">
        <v>2148</v>
      </c>
      <c r="B909" s="11"/>
      <c r="C909" s="11" t="s">
        <v>18</v>
      </c>
      <c r="D909" s="45" t="s">
        <v>16</v>
      </c>
      <c r="E909" s="47"/>
      <c r="F909" s="39" t="s">
        <v>767</v>
      </c>
      <c r="G909" s="13" t="s">
        <v>7709</v>
      </c>
      <c r="H909" s="99" t="str">
        <f t="shared" si="53"/>
        <v>W235.A</v>
      </c>
      <c r="I909" s="13" t="s">
        <v>17</v>
      </c>
      <c r="J909" s="13"/>
      <c r="K909" s="13"/>
      <c r="L909" s="48"/>
      <c r="M909" s="49" t="str">
        <f t="shared" si="54"/>
        <v>[W235.A]</v>
      </c>
      <c r="N909" s="12" t="str">
        <f t="shared" si="55"/>
        <v xml:space="preserve"> 댐핑시트 이재기 제품 데이터 불일치 이상</v>
      </c>
      <c r="O909" s="49" t="str">
        <f t="shared" si="56"/>
        <v>[W235.A] 댐핑시트 이재기 제품 데이터 불일치 이상</v>
      </c>
    </row>
    <row r="910" spans="1:15" s="49" customFormat="1" ht="14.15" customHeight="1">
      <c r="A910" s="43" t="s">
        <v>2149</v>
      </c>
      <c r="B910" s="11"/>
      <c r="C910" s="11" t="s">
        <v>18</v>
      </c>
      <c r="D910" s="45" t="s">
        <v>16</v>
      </c>
      <c r="E910" s="47"/>
      <c r="F910" s="39" t="s">
        <v>768</v>
      </c>
      <c r="G910" s="13" t="s">
        <v>7710</v>
      </c>
      <c r="H910" s="99" t="str">
        <f t="shared" si="53"/>
        <v>W235.B</v>
      </c>
      <c r="I910" s="13" t="s">
        <v>104</v>
      </c>
      <c r="J910" s="13"/>
      <c r="K910" s="13"/>
      <c r="L910" s="48"/>
      <c r="M910" s="49" t="str">
        <f t="shared" si="54"/>
        <v>[W235.B]</v>
      </c>
      <c r="N910" s="12" t="str">
        <f t="shared" si="55"/>
        <v xml:space="preserve"> 슬레이트 컨베어 정위치 이상 (X4AC, X4AD)</v>
      </c>
      <c r="O910" s="49" t="str">
        <f t="shared" si="56"/>
        <v>[W235.B] 슬레이트 컨베어 정위치 이상 (X4AC, X4AD)</v>
      </c>
    </row>
    <row r="911" spans="1:15" s="49" customFormat="1" ht="14.15" customHeight="1">
      <c r="A911" s="43" t="s">
        <v>2149</v>
      </c>
      <c r="B911" s="11"/>
      <c r="C911" s="11" t="s">
        <v>18</v>
      </c>
      <c r="D911" s="45" t="s">
        <v>16</v>
      </c>
      <c r="E911" s="47"/>
      <c r="F911" s="39" t="s">
        <v>769</v>
      </c>
      <c r="G911" s="13" t="s">
        <v>7711</v>
      </c>
      <c r="H911" s="99" t="str">
        <f t="shared" si="53"/>
        <v>W235.C</v>
      </c>
      <c r="I911" s="13" t="s">
        <v>104</v>
      </c>
      <c r="J911" s="13"/>
      <c r="K911" s="13"/>
      <c r="L911" s="48"/>
      <c r="M911" s="49" t="str">
        <f t="shared" si="54"/>
        <v>[W235.C]</v>
      </c>
      <c r="N911" s="12" t="str">
        <f t="shared" si="55"/>
        <v xml:space="preserve"> Slat_C/V 상부#1 SCR#1 이상 Alarm</v>
      </c>
      <c r="O911" s="49" t="str">
        <f t="shared" si="56"/>
        <v>[W235.C] Slat_C/V 상부#1 SCR#1 이상 Alarm</v>
      </c>
    </row>
    <row r="912" spans="1:15" s="49" customFormat="1" ht="14.15" customHeight="1">
      <c r="A912" s="43" t="s">
        <v>2149</v>
      </c>
      <c r="B912" s="11"/>
      <c r="C912" s="11" t="s">
        <v>18</v>
      </c>
      <c r="D912" s="45" t="s">
        <v>16</v>
      </c>
      <c r="E912" s="47"/>
      <c r="F912" s="39" t="s">
        <v>770</v>
      </c>
      <c r="G912" s="13" t="s">
        <v>7712</v>
      </c>
      <c r="H912" s="99" t="str">
        <f t="shared" si="53"/>
        <v>W235.D</v>
      </c>
      <c r="I912" s="13" t="s">
        <v>104</v>
      </c>
      <c r="J912" s="13"/>
      <c r="K912" s="13"/>
      <c r="L912" s="48"/>
      <c r="M912" s="49" t="str">
        <f t="shared" si="54"/>
        <v>[W235.D]</v>
      </c>
      <c r="N912" s="12" t="str">
        <f t="shared" si="55"/>
        <v xml:space="preserve"> Slat_C/V 하부#1 SCR#2 이상 Alarm</v>
      </c>
      <c r="O912" s="49" t="str">
        <f t="shared" si="56"/>
        <v>[W235.D] Slat_C/V 하부#1 SCR#2 이상 Alarm</v>
      </c>
    </row>
    <row r="913" spans="1:15" s="49" customFormat="1" ht="14.15" customHeight="1">
      <c r="A913" s="43" t="s">
        <v>2149</v>
      </c>
      <c r="B913" s="11"/>
      <c r="C913" s="11" t="s">
        <v>18</v>
      </c>
      <c r="D913" s="45" t="s">
        <v>16</v>
      </c>
      <c r="E913" s="47"/>
      <c r="F913" s="39" t="s">
        <v>771</v>
      </c>
      <c r="G913" s="13" t="s">
        <v>7713</v>
      </c>
      <c r="H913" s="99" t="str">
        <f t="shared" si="53"/>
        <v>W235.E</v>
      </c>
      <c r="I913" s="13" t="s">
        <v>104</v>
      </c>
      <c r="J913" s="13"/>
      <c r="K913" s="13"/>
      <c r="L913" s="48"/>
      <c r="M913" s="49" t="str">
        <f t="shared" si="54"/>
        <v>[W235.E]</v>
      </c>
      <c r="N913" s="12" t="str">
        <f t="shared" si="55"/>
        <v xml:space="preserve"> Slat_C/V 상부#2 SCR#3 이상 Alarm</v>
      </c>
      <c r="O913" s="49" t="str">
        <f t="shared" si="56"/>
        <v>[W235.E] Slat_C/V 상부#2 SCR#3 이상 Alarm</v>
      </c>
    </row>
    <row r="914" spans="1:15" s="49" customFormat="1" ht="14.15" customHeight="1">
      <c r="A914" s="43" t="s">
        <v>2149</v>
      </c>
      <c r="B914" s="11"/>
      <c r="C914" s="11" t="s">
        <v>18</v>
      </c>
      <c r="D914" s="45" t="s">
        <v>16</v>
      </c>
      <c r="E914" s="47"/>
      <c r="F914" s="39" t="s">
        <v>772</v>
      </c>
      <c r="G914" s="13" t="s">
        <v>7714</v>
      </c>
      <c r="H914" s="99" t="str">
        <f t="shared" si="53"/>
        <v>W235.F</v>
      </c>
      <c r="I914" s="13" t="s">
        <v>104</v>
      </c>
      <c r="J914" s="13"/>
      <c r="K914" s="13"/>
      <c r="L914" s="48"/>
      <c r="M914" s="49" t="str">
        <f t="shared" si="54"/>
        <v>[W235.F]</v>
      </c>
      <c r="N914" s="12" t="str">
        <f t="shared" si="55"/>
        <v xml:space="preserve"> Slat_C/V 하부#2 SCR#4 이상 Alarm</v>
      </c>
      <c r="O914" s="49" t="str">
        <f t="shared" si="56"/>
        <v>[W235.F] Slat_C/V 하부#2 SCR#4 이상 Alarm</v>
      </c>
    </row>
    <row r="915" spans="1:15" s="49" customFormat="1" ht="14.15" customHeight="1">
      <c r="A915" s="43" t="s">
        <v>2149</v>
      </c>
      <c r="B915" s="11"/>
      <c r="C915" s="11" t="s">
        <v>18</v>
      </c>
      <c r="D915" s="45" t="s">
        <v>16</v>
      </c>
      <c r="E915" s="47"/>
      <c r="F915" s="39" t="s">
        <v>773</v>
      </c>
      <c r="G915" s="13" t="s">
        <v>7715</v>
      </c>
      <c r="H915" s="99" t="str">
        <f t="shared" si="53"/>
        <v>W236.0</v>
      </c>
      <c r="I915" s="13" t="s">
        <v>17</v>
      </c>
      <c r="J915" s="13"/>
      <c r="K915" s="13"/>
      <c r="L915" s="48"/>
      <c r="M915" s="49" t="str">
        <f t="shared" si="54"/>
        <v>[W236.0]</v>
      </c>
      <c r="N915" s="12" t="str">
        <f t="shared" si="55"/>
        <v xml:space="preserve"> Slat_C/V 상부#3 SCR#5 이상 Alarm</v>
      </c>
      <c r="O915" s="49" t="str">
        <f t="shared" si="56"/>
        <v>[W236.0] Slat_C/V 상부#3 SCR#5 이상 Alarm</v>
      </c>
    </row>
    <row r="916" spans="1:15" s="49" customFormat="1" ht="14.15" customHeight="1">
      <c r="A916" s="43" t="s">
        <v>2149</v>
      </c>
      <c r="B916" s="11"/>
      <c r="C916" s="11" t="s">
        <v>18</v>
      </c>
      <c r="D916" s="45" t="s">
        <v>16</v>
      </c>
      <c r="E916" s="47"/>
      <c r="F916" s="39" t="s">
        <v>774</v>
      </c>
      <c r="G916" s="13" t="s">
        <v>7716</v>
      </c>
      <c r="H916" s="99" t="str">
        <f t="shared" si="53"/>
        <v>W236.1</v>
      </c>
      <c r="I916" s="13" t="s">
        <v>104</v>
      </c>
      <c r="J916" s="13"/>
      <c r="K916" s="13"/>
      <c r="L916" s="48"/>
      <c r="M916" s="49" t="str">
        <f t="shared" si="54"/>
        <v>[W236.1]</v>
      </c>
      <c r="N916" s="12" t="str">
        <f t="shared" si="55"/>
        <v xml:space="preserve"> Slat_C/V 하부#3 SCR#6 이상 Alarm</v>
      </c>
      <c r="O916" s="49" t="str">
        <f t="shared" si="56"/>
        <v>[W236.1] Slat_C/V 하부#3 SCR#6 이상 Alarm</v>
      </c>
    </row>
    <row r="917" spans="1:15" s="49" customFormat="1" ht="14.15" customHeight="1">
      <c r="A917" s="43" t="s">
        <v>2149</v>
      </c>
      <c r="B917" s="11"/>
      <c r="C917" s="11" t="s">
        <v>18</v>
      </c>
      <c r="D917" s="45" t="s">
        <v>16</v>
      </c>
      <c r="E917" s="47"/>
      <c r="F917" s="39" t="s">
        <v>775</v>
      </c>
      <c r="G917" s="13" t="s">
        <v>7717</v>
      </c>
      <c r="H917" s="99" t="str">
        <f t="shared" si="53"/>
        <v>W236.2</v>
      </c>
      <c r="I917" s="13" t="s">
        <v>104</v>
      </c>
      <c r="J917" s="13"/>
      <c r="K917" s="13"/>
      <c r="L917" s="48"/>
      <c r="M917" s="49" t="str">
        <f t="shared" si="54"/>
        <v>[W236.2]</v>
      </c>
      <c r="N917" s="12" t="str">
        <f t="shared" si="55"/>
        <v xml:space="preserve"> Slat_C/V 상부#4 SCR#7 이상 Alarm</v>
      </c>
      <c r="O917" s="49" t="str">
        <f t="shared" si="56"/>
        <v>[W236.2] Slat_C/V 상부#4 SCR#7 이상 Alarm</v>
      </c>
    </row>
    <row r="918" spans="1:15" s="49" customFormat="1" ht="14.15" customHeight="1">
      <c r="A918" s="43" t="s">
        <v>2149</v>
      </c>
      <c r="B918" s="11"/>
      <c r="C918" s="11" t="s">
        <v>18</v>
      </c>
      <c r="D918" s="45" t="s">
        <v>16</v>
      </c>
      <c r="E918" s="47"/>
      <c r="F918" s="39" t="s">
        <v>776</v>
      </c>
      <c r="G918" s="13" t="s">
        <v>7718</v>
      </c>
      <c r="H918" s="99" t="str">
        <f t="shared" si="53"/>
        <v>W236.3</v>
      </c>
      <c r="I918" s="13" t="s">
        <v>104</v>
      </c>
      <c r="J918" s="13"/>
      <c r="K918" s="13"/>
      <c r="L918" s="48"/>
      <c r="M918" s="49" t="str">
        <f t="shared" si="54"/>
        <v>[W236.3]</v>
      </c>
      <c r="N918" s="12" t="str">
        <f t="shared" si="55"/>
        <v xml:space="preserve"> Slat_C/V 하부#4 SCR#8 이상 Alarm</v>
      </c>
      <c r="O918" s="49" t="str">
        <f t="shared" si="56"/>
        <v>[W236.3] Slat_C/V 하부#4 SCR#8 이상 Alarm</v>
      </c>
    </row>
    <row r="919" spans="1:15" s="49" customFormat="1" ht="14.15" customHeight="1">
      <c r="A919" s="43" t="s">
        <v>2149</v>
      </c>
      <c r="B919" s="11"/>
      <c r="C919" s="11" t="s">
        <v>18</v>
      </c>
      <c r="D919" s="45" t="s">
        <v>16</v>
      </c>
      <c r="E919" s="47"/>
      <c r="F919" s="39" t="s">
        <v>777</v>
      </c>
      <c r="G919" s="13" t="s">
        <v>7719</v>
      </c>
      <c r="H919" s="99" t="str">
        <f t="shared" si="53"/>
        <v>W236.4</v>
      </c>
      <c r="I919" s="13" t="s">
        <v>17</v>
      </c>
      <c r="J919" s="13"/>
      <c r="K919" s="13"/>
      <c r="L919" s="48"/>
      <c r="M919" s="49" t="str">
        <f t="shared" si="54"/>
        <v>[W236.4]</v>
      </c>
      <c r="N919" s="12" t="str">
        <f t="shared" si="55"/>
        <v xml:space="preserve"> Slat_C/V 상부#5 SCR#9 이상 Alarm</v>
      </c>
      <c r="O919" s="49" t="str">
        <f t="shared" si="56"/>
        <v>[W236.4] Slat_C/V 상부#5 SCR#9 이상 Alarm</v>
      </c>
    </row>
    <row r="920" spans="1:15" s="49" customFormat="1" ht="14.15" customHeight="1">
      <c r="A920" s="43" t="s">
        <v>2149</v>
      </c>
      <c r="B920" s="11"/>
      <c r="C920" s="11" t="s">
        <v>18</v>
      </c>
      <c r="D920" s="45" t="s">
        <v>16</v>
      </c>
      <c r="E920" s="47"/>
      <c r="F920" s="39" t="s">
        <v>778</v>
      </c>
      <c r="G920" s="13" t="s">
        <v>7720</v>
      </c>
      <c r="H920" s="99" t="str">
        <f t="shared" si="53"/>
        <v>W236.5</v>
      </c>
      <c r="I920" s="13" t="s">
        <v>104</v>
      </c>
      <c r="J920" s="13"/>
      <c r="K920" s="13"/>
      <c r="L920" s="48"/>
      <c r="M920" s="49" t="str">
        <f t="shared" si="54"/>
        <v>[W236.5]</v>
      </c>
      <c r="N920" s="12" t="str">
        <f t="shared" si="55"/>
        <v xml:space="preserve"> Slat_C/V 하부#5 SCR#10 이상 Alarm</v>
      </c>
      <c r="O920" s="49" t="str">
        <f t="shared" si="56"/>
        <v>[W236.5] Slat_C/V 하부#5 SCR#10 이상 Alarm</v>
      </c>
    </row>
    <row r="921" spans="1:15" s="49" customFormat="1" ht="14.15" customHeight="1">
      <c r="A921" s="43" t="s">
        <v>2149</v>
      </c>
      <c r="B921" s="11"/>
      <c r="C921" s="11" t="s">
        <v>18</v>
      </c>
      <c r="D921" s="45" t="s">
        <v>16</v>
      </c>
      <c r="E921" s="47"/>
      <c r="F921" s="39" t="s">
        <v>779</v>
      </c>
      <c r="G921" s="13" t="s">
        <v>7721</v>
      </c>
      <c r="H921" s="99" t="str">
        <f t="shared" si="53"/>
        <v>W236.6</v>
      </c>
      <c r="I921" s="13" t="s">
        <v>104</v>
      </c>
      <c r="J921" s="13"/>
      <c r="K921" s="13"/>
      <c r="L921" s="48"/>
      <c r="M921" s="49" t="str">
        <f t="shared" si="54"/>
        <v>[W236.6]</v>
      </c>
      <c r="N921" s="12" t="str">
        <f t="shared" si="55"/>
        <v xml:space="preserve"> Slat_C/V 상부#6 SCR#11 이상 Alarm</v>
      </c>
      <c r="O921" s="49" t="str">
        <f t="shared" si="56"/>
        <v>[W236.6] Slat_C/V 상부#6 SCR#11 이상 Alarm</v>
      </c>
    </row>
    <row r="922" spans="1:15" s="49" customFormat="1" ht="14.15" customHeight="1">
      <c r="A922" s="43" t="s">
        <v>2149</v>
      </c>
      <c r="B922" s="11"/>
      <c r="C922" s="11" t="s">
        <v>18</v>
      </c>
      <c r="D922" s="45" t="s">
        <v>16</v>
      </c>
      <c r="E922" s="47"/>
      <c r="F922" s="39" t="s">
        <v>780</v>
      </c>
      <c r="G922" s="13" t="s">
        <v>7722</v>
      </c>
      <c r="H922" s="99" t="str">
        <f t="shared" si="53"/>
        <v>W236.7</v>
      </c>
      <c r="I922" s="13" t="s">
        <v>104</v>
      </c>
      <c r="J922" s="13"/>
      <c r="K922" s="13"/>
      <c r="L922" s="48"/>
      <c r="M922" s="49" t="str">
        <f t="shared" si="54"/>
        <v>[W236.7]</v>
      </c>
      <c r="N922" s="12" t="str">
        <f t="shared" si="55"/>
        <v xml:space="preserve"> Slat_C/V 하부#6 SCR#12 이상 Alarm</v>
      </c>
      <c r="O922" s="49" t="str">
        <f t="shared" si="56"/>
        <v>[W236.7] Slat_C/V 하부#6 SCR#12 이상 Alarm</v>
      </c>
    </row>
    <row r="923" spans="1:15" s="49" customFormat="1" ht="14.15" customHeight="1">
      <c r="A923" s="44"/>
      <c r="B923" s="11"/>
      <c r="C923" s="11" t="s">
        <v>18</v>
      </c>
      <c r="D923" s="45" t="s">
        <v>16</v>
      </c>
      <c r="E923" s="47"/>
      <c r="F923" s="39" t="s">
        <v>781</v>
      </c>
      <c r="G923" s="13" t="s">
        <v>7723</v>
      </c>
      <c r="H923" s="99" t="str">
        <f t="shared" si="53"/>
        <v>W236.8</v>
      </c>
      <c r="I923" s="13"/>
      <c r="J923" s="13"/>
      <c r="K923" s="13"/>
      <c r="L923" s="48"/>
      <c r="M923" s="49" t="str">
        <f t="shared" si="54"/>
        <v>[W236.8]</v>
      </c>
      <c r="N923" s="12" t="str">
        <f t="shared" si="55"/>
        <v xml:space="preserve"> </v>
      </c>
      <c r="O923" s="49" t="str">
        <f t="shared" si="56"/>
        <v xml:space="preserve">[W236.8] </v>
      </c>
    </row>
    <row r="924" spans="1:15" s="49" customFormat="1" ht="14.15" customHeight="1">
      <c r="A924" s="43" t="s">
        <v>2149</v>
      </c>
      <c r="B924" s="11"/>
      <c r="C924" s="11" t="s">
        <v>18</v>
      </c>
      <c r="D924" s="45" t="s">
        <v>16</v>
      </c>
      <c r="E924" s="47"/>
      <c r="F924" s="39" t="s">
        <v>782</v>
      </c>
      <c r="G924" s="13" t="s">
        <v>7724</v>
      </c>
      <c r="H924" s="99" t="str">
        <f t="shared" si="53"/>
        <v>W236.9</v>
      </c>
      <c r="I924" s="13" t="s">
        <v>17</v>
      </c>
      <c r="J924" s="13"/>
      <c r="K924" s="13"/>
      <c r="L924" s="48"/>
      <c r="M924" s="49" t="str">
        <f t="shared" si="54"/>
        <v>[W236.9]</v>
      </c>
      <c r="N924" s="12" t="str">
        <f t="shared" si="55"/>
        <v xml:space="preserve"> 슬랫 컨베어 #2 위치 제품 투입 방향 NG 에러</v>
      </c>
      <c r="O924" s="49" t="str">
        <f t="shared" si="56"/>
        <v>[W236.9] 슬랫 컨베어 #2 위치 제품 투입 방향 NG 에러</v>
      </c>
    </row>
    <row r="925" spans="1:15" s="49" customFormat="1" ht="14.15" customHeight="1">
      <c r="A925" s="43" t="s">
        <v>2149</v>
      </c>
      <c r="B925" s="11"/>
      <c r="C925" s="11" t="s">
        <v>18</v>
      </c>
      <c r="D925" s="45" t="s">
        <v>16</v>
      </c>
      <c r="E925" s="47"/>
      <c r="F925" s="39" t="s">
        <v>783</v>
      </c>
      <c r="G925" s="13" t="s">
        <v>7725</v>
      </c>
      <c r="H925" s="99" t="str">
        <f t="shared" si="53"/>
        <v>W236.A</v>
      </c>
      <c r="I925" s="13" t="s">
        <v>104</v>
      </c>
      <c r="J925" s="13"/>
      <c r="K925" s="13"/>
      <c r="L925" s="48"/>
      <c r="M925" s="49" t="str">
        <f t="shared" si="54"/>
        <v>[W236.A]</v>
      </c>
      <c r="N925" s="12" t="str">
        <f t="shared" si="55"/>
        <v xml:space="preserve"> 슬레이트 컨베어 제품 투입 제품 데이터 불일치 이상 (X3CB)</v>
      </c>
      <c r="O925" s="49" t="str">
        <f t="shared" si="56"/>
        <v>[W236.A] 슬레이트 컨베어 제품 투입 제품 데이터 불일치 이상 (X3CB)</v>
      </c>
    </row>
    <row r="926" spans="1:15" s="49" customFormat="1" ht="14.15" customHeight="1">
      <c r="A926" s="43" t="s">
        <v>2149</v>
      </c>
      <c r="B926" s="11"/>
      <c r="C926" s="11" t="s">
        <v>18</v>
      </c>
      <c r="D926" s="45" t="s">
        <v>16</v>
      </c>
      <c r="E926" s="47"/>
      <c r="F926" s="39" t="s">
        <v>784</v>
      </c>
      <c r="G926" s="13" t="s">
        <v>7726</v>
      </c>
      <c r="H926" s="99" t="str">
        <f t="shared" si="53"/>
        <v>W236.B</v>
      </c>
      <c r="I926" s="13" t="s">
        <v>104</v>
      </c>
      <c r="J926" s="13"/>
      <c r="K926" s="13"/>
      <c r="L926" s="48"/>
      <c r="M926" s="49" t="str">
        <f t="shared" si="54"/>
        <v>[W236.B]</v>
      </c>
      <c r="N926" s="12" t="str">
        <f t="shared" si="55"/>
        <v xml:space="preserve"> 슬레이트 컨베어 댐핑시트 제품 데이터 불일치 이상 (X3CC)</v>
      </c>
      <c r="O926" s="49" t="str">
        <f t="shared" si="56"/>
        <v>[W236.B] 슬레이트 컨베어 댐핑시트 제품 데이터 불일치 이상 (X3CC)</v>
      </c>
    </row>
    <row r="927" spans="1:15" s="49" customFormat="1" ht="14.15" customHeight="1">
      <c r="A927" s="43" t="s">
        <v>2149</v>
      </c>
      <c r="B927" s="11"/>
      <c r="C927" s="11" t="s">
        <v>18</v>
      </c>
      <c r="D927" s="45" t="s">
        <v>16</v>
      </c>
      <c r="E927" s="47"/>
      <c r="F927" s="39" t="s">
        <v>785</v>
      </c>
      <c r="G927" s="13" t="s">
        <v>7727</v>
      </c>
      <c r="H927" s="99" t="str">
        <f t="shared" si="53"/>
        <v>W236.C</v>
      </c>
      <c r="I927" s="13" t="s">
        <v>17</v>
      </c>
      <c r="J927" s="13"/>
      <c r="K927" s="13"/>
      <c r="L927" s="48"/>
      <c r="M927" s="49" t="str">
        <f t="shared" si="54"/>
        <v>[W236.C]</v>
      </c>
      <c r="N927" s="12" t="str">
        <f t="shared" si="55"/>
        <v xml:space="preserve"> 슬레이트 컨베어 언로더 제품 데이터 불일치 이상 (X4AE)</v>
      </c>
      <c r="O927" s="49" t="str">
        <f t="shared" si="56"/>
        <v>[W236.C] 슬레이트 컨베어 언로더 제품 데이터 불일치 이상 (X4AE)</v>
      </c>
    </row>
    <row r="928" spans="1:15" s="49" customFormat="1" ht="14.15" customHeight="1">
      <c r="A928" s="43" t="s">
        <v>2149</v>
      </c>
      <c r="B928" s="11"/>
      <c r="C928" s="11" t="s">
        <v>18</v>
      </c>
      <c r="D928" s="45" t="s">
        <v>16</v>
      </c>
      <c r="E928" s="47"/>
      <c r="F928" s="39" t="s">
        <v>786</v>
      </c>
      <c r="G928" s="13" t="s">
        <v>7728</v>
      </c>
      <c r="H928" s="99" t="str">
        <f t="shared" si="53"/>
        <v>W236.D</v>
      </c>
      <c r="I928" s="13" t="s">
        <v>104</v>
      </c>
      <c r="J928" s="13"/>
      <c r="K928" s="13"/>
      <c r="L928" s="48"/>
      <c r="M928" s="49" t="str">
        <f t="shared" si="54"/>
        <v>[W236.D]</v>
      </c>
      <c r="N928" s="12" t="str">
        <f t="shared" si="55"/>
        <v xml:space="preserve"> 슬레이트 컨베어 쿨링공급 제품 데이터 불일치 이상 (X4A5)</v>
      </c>
      <c r="O928" s="49" t="str">
        <f t="shared" si="56"/>
        <v>[W236.D] 슬레이트 컨베어 쿨링공급 제품 데이터 불일치 이상 (X4A5)</v>
      </c>
    </row>
    <row r="929" spans="1:15" s="49" customFormat="1" ht="14.15" customHeight="1">
      <c r="A929" s="43" t="s">
        <v>2149</v>
      </c>
      <c r="B929" s="11"/>
      <c r="C929" s="11" t="s">
        <v>18</v>
      </c>
      <c r="D929" s="45" t="s">
        <v>16</v>
      </c>
      <c r="E929" s="47"/>
      <c r="F929" s="39" t="s">
        <v>787</v>
      </c>
      <c r="G929" s="13" t="s">
        <v>7729</v>
      </c>
      <c r="H929" s="99" t="str">
        <f t="shared" si="53"/>
        <v>W236.E</v>
      </c>
      <c r="I929" s="13" t="s">
        <v>104</v>
      </c>
      <c r="J929" s="13"/>
      <c r="K929" s="13"/>
      <c r="L929" s="48"/>
      <c r="M929" s="49" t="str">
        <f t="shared" si="54"/>
        <v>[W236.E]</v>
      </c>
      <c r="N929" s="12" t="str">
        <f t="shared" si="55"/>
        <v xml:space="preserve"> 슬레이트 컨베어 쿨링배출 제품 데이터 불일치 이상 (X4AB)</v>
      </c>
      <c r="O929" s="49" t="str">
        <f t="shared" si="56"/>
        <v>[W236.E] 슬레이트 컨베어 쿨링배출 제품 데이터 불일치 이상 (X4AB)</v>
      </c>
    </row>
    <row r="930" spans="1:15" s="49" customFormat="1" ht="14.15" customHeight="1">
      <c r="A930" s="43" t="s">
        <v>2150</v>
      </c>
      <c r="B930" s="11"/>
      <c r="C930" s="11" t="s">
        <v>18</v>
      </c>
      <c r="D930" s="45" t="s">
        <v>16</v>
      </c>
      <c r="E930" s="47"/>
      <c r="F930" s="39" t="s">
        <v>788</v>
      </c>
      <c r="G930" s="13" t="s">
        <v>7730</v>
      </c>
      <c r="H930" s="99" t="str">
        <f t="shared" si="53"/>
        <v>W236.F</v>
      </c>
      <c r="I930" s="13" t="s">
        <v>17</v>
      </c>
      <c r="J930" s="13"/>
      <c r="K930" s="13"/>
      <c r="L930" s="48"/>
      <c r="M930" s="49" t="str">
        <f t="shared" si="54"/>
        <v>[W236.F]</v>
      </c>
      <c r="N930" s="12" t="str">
        <f t="shared" si="55"/>
        <v xml:space="preserve"> 쿨링 공급 캐비티 제품 수취 시간초과</v>
      </c>
      <c r="O930" s="49" t="str">
        <f t="shared" si="56"/>
        <v>[W236.F] 쿨링 공급 캐비티 제품 수취 시간초과</v>
      </c>
    </row>
    <row r="931" spans="1:15" s="49" customFormat="1" ht="14.15" customHeight="1">
      <c r="A931" s="43" t="s">
        <v>2150</v>
      </c>
      <c r="B931" s="11"/>
      <c r="C931" s="11" t="s">
        <v>18</v>
      </c>
      <c r="D931" s="45" t="s">
        <v>16</v>
      </c>
      <c r="E931" s="47"/>
      <c r="F931" s="39" t="s">
        <v>789</v>
      </c>
      <c r="G931" s="13" t="s">
        <v>7731</v>
      </c>
      <c r="H931" s="99" t="str">
        <f t="shared" si="53"/>
        <v>W237.0</v>
      </c>
      <c r="I931" s="13" t="s">
        <v>104</v>
      </c>
      <c r="J931" s="13"/>
      <c r="K931" s="13"/>
      <c r="L931" s="48"/>
      <c r="M931" s="49" t="str">
        <f t="shared" si="54"/>
        <v>[W237.0]</v>
      </c>
      <c r="N931" s="12" t="str">
        <f t="shared" si="55"/>
        <v xml:space="preserve"> 쿨링 공급 캐비티 제품 배출 시간초과</v>
      </c>
      <c r="O931" s="49" t="str">
        <f t="shared" si="56"/>
        <v>[W237.0] 쿨링 공급 캐비티 제품 배출 시간초과</v>
      </c>
    </row>
    <row r="932" spans="1:15" s="49" customFormat="1" ht="14.15" customHeight="1">
      <c r="A932" s="43" t="s">
        <v>2150</v>
      </c>
      <c r="B932" s="11"/>
      <c r="C932" s="11" t="s">
        <v>18</v>
      </c>
      <c r="D932" s="45" t="s">
        <v>16</v>
      </c>
      <c r="E932" s="47"/>
      <c r="F932" s="39" t="s">
        <v>790</v>
      </c>
      <c r="G932" s="13" t="s">
        <v>7732</v>
      </c>
      <c r="H932" s="99" t="str">
        <f t="shared" si="53"/>
        <v>W237.1</v>
      </c>
      <c r="I932" s="13" t="s">
        <v>105</v>
      </c>
      <c r="J932" s="13"/>
      <c r="K932" s="13"/>
      <c r="L932" s="48"/>
      <c r="M932" s="49" t="str">
        <f t="shared" si="54"/>
        <v>[W237.1]</v>
      </c>
      <c r="N932" s="12" t="str">
        <f t="shared" si="55"/>
        <v xml:space="preserve"> 쿨링 공급 캐비티 제품 수취 시퀀스 이상</v>
      </c>
      <c r="O932" s="49" t="str">
        <f t="shared" si="56"/>
        <v>[W237.1] 쿨링 공급 캐비티 제품 수취 시퀀스 이상</v>
      </c>
    </row>
    <row r="933" spans="1:15" s="49" customFormat="1" ht="14.15" customHeight="1">
      <c r="A933" s="44"/>
      <c r="B933" s="11"/>
      <c r="C933" s="11" t="s">
        <v>18</v>
      </c>
      <c r="D933" s="45" t="s">
        <v>16</v>
      </c>
      <c r="E933" s="47"/>
      <c r="F933" s="39" t="s">
        <v>791</v>
      </c>
      <c r="G933" s="13" t="s">
        <v>7733</v>
      </c>
      <c r="H933" s="99" t="str">
        <f t="shared" si="53"/>
        <v>W237.2</v>
      </c>
      <c r="I933" s="13"/>
      <c r="J933" s="13"/>
      <c r="K933" s="13"/>
      <c r="L933" s="48"/>
      <c r="M933" s="49" t="str">
        <f t="shared" si="54"/>
        <v>[W237.2]</v>
      </c>
      <c r="N933" s="12" t="str">
        <f t="shared" si="55"/>
        <v xml:space="preserve"> </v>
      </c>
      <c r="O933" s="49" t="str">
        <f t="shared" si="56"/>
        <v xml:space="preserve">[W237.2] </v>
      </c>
    </row>
    <row r="934" spans="1:15" s="49" customFormat="1" ht="14.15" customHeight="1">
      <c r="A934" s="43" t="s">
        <v>2150</v>
      </c>
      <c r="B934" s="11"/>
      <c r="C934" s="11" t="s">
        <v>18</v>
      </c>
      <c r="D934" s="45" t="s">
        <v>16</v>
      </c>
      <c r="E934" s="47"/>
      <c r="F934" s="39" t="s">
        <v>792</v>
      </c>
      <c r="G934" s="13" t="s">
        <v>7734</v>
      </c>
      <c r="H934" s="99" t="str">
        <f t="shared" si="53"/>
        <v>W237.3</v>
      </c>
      <c r="I934" s="13" t="s">
        <v>17</v>
      </c>
      <c r="J934" s="13"/>
      <c r="K934" s="13"/>
      <c r="L934" s="48"/>
      <c r="M934" s="49" t="str">
        <f t="shared" si="54"/>
        <v>[W237.3]</v>
      </c>
      <c r="N934" s="12" t="str">
        <f t="shared" si="55"/>
        <v xml:space="preserve"> 쿨링 공급 캐비티 제품 베츨 시퀀스 이상</v>
      </c>
      <c r="O934" s="49" t="str">
        <f t="shared" si="56"/>
        <v>[W237.3] 쿨링 공급 캐비티 제품 베츨 시퀀스 이상</v>
      </c>
    </row>
    <row r="935" spans="1:15" s="49" customFormat="1" ht="14.15" customHeight="1">
      <c r="A935" s="44"/>
      <c r="B935" s="11"/>
      <c r="C935" s="11" t="s">
        <v>18</v>
      </c>
      <c r="D935" s="45" t="s">
        <v>16</v>
      </c>
      <c r="E935" s="47"/>
      <c r="F935" s="39" t="s">
        <v>793</v>
      </c>
      <c r="G935" s="13" t="s">
        <v>7735</v>
      </c>
      <c r="H935" s="99" t="str">
        <f t="shared" si="53"/>
        <v>W237.4</v>
      </c>
      <c r="I935" s="13"/>
      <c r="J935" s="13"/>
      <c r="K935" s="13"/>
      <c r="L935" s="48"/>
      <c r="M935" s="49" t="str">
        <f t="shared" si="54"/>
        <v>[W237.4]</v>
      </c>
      <c r="N935" s="12" t="str">
        <f t="shared" si="55"/>
        <v xml:space="preserve"> </v>
      </c>
      <c r="O935" s="49" t="str">
        <f t="shared" si="56"/>
        <v xml:space="preserve">[W237.4] </v>
      </c>
    </row>
    <row r="936" spans="1:15" s="49" customFormat="1" ht="14.15" customHeight="1">
      <c r="A936" s="44"/>
      <c r="B936" s="11"/>
      <c r="C936" s="11" t="s">
        <v>18</v>
      </c>
      <c r="D936" s="45" t="s">
        <v>16</v>
      </c>
      <c r="E936" s="47"/>
      <c r="F936" s="39" t="s">
        <v>794</v>
      </c>
      <c r="G936" s="13" t="s">
        <v>7736</v>
      </c>
      <c r="H936" s="99" t="str">
        <f t="shared" si="53"/>
        <v>W237.5</v>
      </c>
      <c r="I936" s="13"/>
      <c r="J936" s="13"/>
      <c r="K936" s="13"/>
      <c r="L936" s="48"/>
      <c r="M936" s="49" t="str">
        <f t="shared" si="54"/>
        <v>[W237.5]</v>
      </c>
      <c r="N936" s="12" t="str">
        <f t="shared" si="55"/>
        <v xml:space="preserve"> </v>
      </c>
      <c r="O936" s="49" t="str">
        <f t="shared" si="56"/>
        <v xml:space="preserve">[W237.5] </v>
      </c>
    </row>
    <row r="937" spans="1:15" s="49" customFormat="1" ht="14.15" customHeight="1">
      <c r="A937" s="44"/>
      <c r="B937" s="11"/>
      <c r="C937" s="11" t="s">
        <v>18</v>
      </c>
      <c r="D937" s="45" t="s">
        <v>16</v>
      </c>
      <c r="E937" s="47"/>
      <c r="F937" s="39" t="s">
        <v>795</v>
      </c>
      <c r="G937" s="13" t="s">
        <v>7737</v>
      </c>
      <c r="H937" s="99" t="str">
        <f t="shared" si="53"/>
        <v>W237.6</v>
      </c>
      <c r="I937" s="13"/>
      <c r="J937" s="13"/>
      <c r="K937" s="13"/>
      <c r="L937" s="48"/>
      <c r="M937" s="49" t="str">
        <f t="shared" si="54"/>
        <v>[W237.6]</v>
      </c>
      <c r="N937" s="12" t="str">
        <f t="shared" si="55"/>
        <v xml:space="preserve"> </v>
      </c>
      <c r="O937" s="49" t="str">
        <f t="shared" si="56"/>
        <v xml:space="preserve">[W237.6] </v>
      </c>
    </row>
    <row r="938" spans="1:15" s="49" customFormat="1" ht="14.15" customHeight="1">
      <c r="A938" s="44"/>
      <c r="B938" s="11"/>
      <c r="C938" s="11" t="s">
        <v>18</v>
      </c>
      <c r="D938" s="45" t="s">
        <v>16</v>
      </c>
      <c r="E938" s="47"/>
      <c r="F938" s="39" t="s">
        <v>796</v>
      </c>
      <c r="G938" s="13" t="s">
        <v>7738</v>
      </c>
      <c r="H938" s="99" t="str">
        <f t="shared" si="53"/>
        <v>W237.7</v>
      </c>
      <c r="I938" s="13"/>
      <c r="J938" s="13"/>
      <c r="K938" s="13"/>
      <c r="L938" s="48"/>
      <c r="M938" s="49" t="str">
        <f t="shared" si="54"/>
        <v>[W237.7]</v>
      </c>
      <c r="N938" s="12" t="str">
        <f t="shared" si="55"/>
        <v xml:space="preserve"> </v>
      </c>
      <c r="O938" s="49" t="str">
        <f t="shared" si="56"/>
        <v xml:space="preserve">[W237.7] </v>
      </c>
    </row>
    <row r="939" spans="1:15" s="49" customFormat="1" ht="14.15" customHeight="1">
      <c r="A939" s="44"/>
      <c r="B939" s="11"/>
      <c r="C939" s="11" t="s">
        <v>18</v>
      </c>
      <c r="D939" s="45" t="s">
        <v>16</v>
      </c>
      <c r="E939" s="47"/>
      <c r="F939" s="39" t="s">
        <v>797</v>
      </c>
      <c r="G939" s="13" t="s">
        <v>7739</v>
      </c>
      <c r="H939" s="99" t="str">
        <f t="shared" si="53"/>
        <v>W237.8</v>
      </c>
      <c r="I939" s="13"/>
      <c r="J939" s="13"/>
      <c r="K939" s="13"/>
      <c r="L939" s="48"/>
      <c r="M939" s="49" t="str">
        <f t="shared" si="54"/>
        <v>[W237.8]</v>
      </c>
      <c r="N939" s="12" t="str">
        <f t="shared" si="55"/>
        <v xml:space="preserve"> </v>
      </c>
      <c r="O939" s="49" t="str">
        <f t="shared" si="56"/>
        <v xml:space="preserve">[W237.8] </v>
      </c>
    </row>
    <row r="940" spans="1:15" s="49" customFormat="1" ht="14.15" customHeight="1">
      <c r="A940" s="44"/>
      <c r="B940" s="11"/>
      <c r="C940" s="11" t="s">
        <v>18</v>
      </c>
      <c r="D940" s="45" t="s">
        <v>16</v>
      </c>
      <c r="E940" s="47"/>
      <c r="F940" s="39" t="s">
        <v>798</v>
      </c>
      <c r="G940" s="13" t="s">
        <v>7740</v>
      </c>
      <c r="H940" s="99" t="str">
        <f t="shared" si="53"/>
        <v>W237.9</v>
      </c>
      <c r="I940" s="13"/>
      <c r="J940" s="13"/>
      <c r="K940" s="13"/>
      <c r="L940" s="48"/>
      <c r="M940" s="49" t="str">
        <f t="shared" si="54"/>
        <v>[W237.9]</v>
      </c>
      <c r="N940" s="12" t="str">
        <f t="shared" si="55"/>
        <v xml:space="preserve"> </v>
      </c>
      <c r="O940" s="49" t="str">
        <f t="shared" si="56"/>
        <v xml:space="preserve">[W237.9] </v>
      </c>
    </row>
    <row r="941" spans="1:15" s="49" customFormat="1" ht="14.15" customHeight="1">
      <c r="A941" s="44"/>
      <c r="B941" s="11"/>
      <c r="C941" s="11" t="s">
        <v>18</v>
      </c>
      <c r="D941" s="45" t="s">
        <v>16</v>
      </c>
      <c r="E941" s="47"/>
      <c r="F941" s="39" t="s">
        <v>799</v>
      </c>
      <c r="G941" s="13" t="s">
        <v>7741</v>
      </c>
      <c r="H941" s="99" t="str">
        <f t="shared" si="53"/>
        <v>W237.A</v>
      </c>
      <c r="I941" s="13"/>
      <c r="J941" s="13"/>
      <c r="K941" s="13"/>
      <c r="L941" s="48"/>
      <c r="M941" s="49" t="str">
        <f t="shared" si="54"/>
        <v>[W237.A]</v>
      </c>
      <c r="N941" s="12" t="str">
        <f t="shared" si="55"/>
        <v xml:space="preserve"> </v>
      </c>
      <c r="O941" s="49" t="str">
        <f t="shared" si="56"/>
        <v xml:space="preserve">[W237.A] </v>
      </c>
    </row>
    <row r="942" spans="1:15" s="49" customFormat="1" ht="14.15" customHeight="1">
      <c r="A942" s="44"/>
      <c r="B942" s="11"/>
      <c r="C942" s="11" t="s">
        <v>18</v>
      </c>
      <c r="D942" s="45" t="s">
        <v>16</v>
      </c>
      <c r="E942" s="47"/>
      <c r="F942" s="39" t="s">
        <v>800</v>
      </c>
      <c r="G942" s="13" t="s">
        <v>7742</v>
      </c>
      <c r="H942" s="99" t="str">
        <f t="shared" si="53"/>
        <v>W237.B</v>
      </c>
      <c r="I942" s="13"/>
      <c r="J942" s="13"/>
      <c r="K942" s="13"/>
      <c r="L942" s="48"/>
      <c r="M942" s="49" t="str">
        <f t="shared" si="54"/>
        <v>[W237.B]</v>
      </c>
      <c r="N942" s="12" t="str">
        <f t="shared" si="55"/>
        <v xml:space="preserve"> </v>
      </c>
      <c r="O942" s="49" t="str">
        <f t="shared" si="56"/>
        <v xml:space="preserve">[W237.B] </v>
      </c>
    </row>
    <row r="943" spans="1:15" s="49" customFormat="1" ht="14.15" customHeight="1">
      <c r="A943" s="44"/>
      <c r="B943" s="11"/>
      <c r="C943" s="11" t="s">
        <v>18</v>
      </c>
      <c r="D943" s="45" t="s">
        <v>16</v>
      </c>
      <c r="E943" s="47"/>
      <c r="F943" s="39" t="s">
        <v>801</v>
      </c>
      <c r="G943" s="13" t="s">
        <v>7743</v>
      </c>
      <c r="H943" s="99" t="str">
        <f t="shared" si="53"/>
        <v>W237.C</v>
      </c>
      <c r="I943" s="13"/>
      <c r="J943" s="13"/>
      <c r="K943" s="13"/>
      <c r="L943" s="48"/>
      <c r="M943" s="49" t="str">
        <f t="shared" si="54"/>
        <v>[W237.C]</v>
      </c>
      <c r="N943" s="12" t="str">
        <f t="shared" si="55"/>
        <v xml:space="preserve"> </v>
      </c>
      <c r="O943" s="49" t="str">
        <f t="shared" si="56"/>
        <v xml:space="preserve">[W237.C] </v>
      </c>
    </row>
    <row r="944" spans="1:15" s="49" customFormat="1" ht="14.15" customHeight="1">
      <c r="A944" s="44"/>
      <c r="B944" s="11"/>
      <c r="C944" s="11" t="s">
        <v>18</v>
      </c>
      <c r="D944" s="45" t="s">
        <v>16</v>
      </c>
      <c r="E944" s="47"/>
      <c r="F944" s="39" t="s">
        <v>802</v>
      </c>
      <c r="G944" s="13" t="s">
        <v>7744</v>
      </c>
      <c r="H944" s="99" t="str">
        <f t="shared" si="53"/>
        <v>W237.D</v>
      </c>
      <c r="I944" s="13"/>
      <c r="J944" s="13"/>
      <c r="K944" s="13"/>
      <c r="L944" s="48"/>
      <c r="M944" s="49" t="str">
        <f t="shared" si="54"/>
        <v>[W237.D]</v>
      </c>
      <c r="N944" s="12" t="str">
        <f t="shared" si="55"/>
        <v xml:space="preserve"> </v>
      </c>
      <c r="O944" s="49" t="str">
        <f t="shared" si="56"/>
        <v xml:space="preserve">[W237.D] </v>
      </c>
    </row>
    <row r="945" spans="1:15" s="49" customFormat="1" ht="14.15" customHeight="1">
      <c r="A945" s="44"/>
      <c r="B945" s="11"/>
      <c r="C945" s="11" t="s">
        <v>18</v>
      </c>
      <c r="D945" s="45" t="s">
        <v>16</v>
      </c>
      <c r="E945" s="47"/>
      <c r="F945" s="39" t="s">
        <v>803</v>
      </c>
      <c r="G945" s="13" t="s">
        <v>7745</v>
      </c>
      <c r="H945" s="99" t="str">
        <f t="shared" si="53"/>
        <v>W237.E</v>
      </c>
      <c r="I945" s="13"/>
      <c r="J945" s="13"/>
      <c r="K945" s="13"/>
      <c r="L945" s="48"/>
      <c r="M945" s="49" t="str">
        <f t="shared" si="54"/>
        <v>[W237.E]</v>
      </c>
      <c r="N945" s="12" t="str">
        <f t="shared" si="55"/>
        <v xml:space="preserve"> </v>
      </c>
      <c r="O945" s="49" t="str">
        <f t="shared" si="56"/>
        <v xml:space="preserve">[W237.E] </v>
      </c>
    </row>
    <row r="946" spans="1:15" s="49" customFormat="1" ht="14.15" customHeight="1">
      <c r="A946" s="44"/>
      <c r="B946" s="11"/>
      <c r="C946" s="11" t="s">
        <v>18</v>
      </c>
      <c r="D946" s="45" t="s">
        <v>16</v>
      </c>
      <c r="E946" s="47"/>
      <c r="F946" s="39" t="s">
        <v>804</v>
      </c>
      <c r="G946" s="13" t="s">
        <v>7746</v>
      </c>
      <c r="H946" s="99" t="str">
        <f t="shared" si="53"/>
        <v>W237.F</v>
      </c>
      <c r="I946" s="13"/>
      <c r="J946" s="13"/>
      <c r="K946" s="13"/>
      <c r="L946" s="48"/>
      <c r="M946" s="49" t="str">
        <f t="shared" si="54"/>
        <v>[W237.F]</v>
      </c>
      <c r="N946" s="12" t="str">
        <f t="shared" si="55"/>
        <v xml:space="preserve"> </v>
      </c>
      <c r="O946" s="49" t="str">
        <f t="shared" si="56"/>
        <v xml:space="preserve">[W237.F] </v>
      </c>
    </row>
    <row r="947" spans="1:15" s="49" customFormat="1" ht="14.15" customHeight="1">
      <c r="A947" s="44"/>
      <c r="B947" s="11"/>
      <c r="C947" s="11" t="s">
        <v>18</v>
      </c>
      <c r="D947" s="45" t="s">
        <v>16</v>
      </c>
      <c r="E947" s="47"/>
      <c r="F947" s="39" t="s">
        <v>805</v>
      </c>
      <c r="G947" s="13" t="s">
        <v>7747</v>
      </c>
      <c r="H947" s="99" t="str">
        <f t="shared" si="53"/>
        <v>W238.0</v>
      </c>
      <c r="I947" s="13"/>
      <c r="J947" s="13"/>
      <c r="K947" s="13"/>
      <c r="L947" s="48"/>
      <c r="M947" s="49" t="str">
        <f t="shared" si="54"/>
        <v>[W238.0]</v>
      </c>
      <c r="N947" s="12" t="str">
        <f t="shared" si="55"/>
        <v xml:space="preserve"> </v>
      </c>
      <c r="O947" s="49" t="str">
        <f t="shared" si="56"/>
        <v xml:space="preserve">[W238.0] </v>
      </c>
    </row>
    <row r="948" spans="1:15" s="49" customFormat="1" ht="14.15" customHeight="1">
      <c r="A948" s="44"/>
      <c r="B948" s="11"/>
      <c r="C948" s="11" t="s">
        <v>18</v>
      </c>
      <c r="D948" s="45" t="s">
        <v>16</v>
      </c>
      <c r="E948" s="47"/>
      <c r="F948" s="39" t="s">
        <v>806</v>
      </c>
      <c r="G948" s="13" t="s">
        <v>7748</v>
      </c>
      <c r="H948" s="99" t="str">
        <f t="shared" ref="H948:H1011" si="57">"W"&amp;DEC2HEX(512 + INT((ROW()-51)/16)) &amp; "." &amp; IF(MOD(ROW()-51,16)&lt;10,MOD(ROW()-51,16),CHAR(MOD(ROW()-51,16)+55))</f>
        <v>W238.1</v>
      </c>
      <c r="I948" s="13"/>
      <c r="J948" s="13"/>
      <c r="K948" s="13"/>
      <c r="L948" s="48"/>
      <c r="M948" s="49" t="str">
        <f t="shared" ref="M948:M1011" si="58">"["&amp;H948&amp;"]"</f>
        <v>[W238.1]</v>
      </c>
      <c r="N948" s="12" t="str">
        <f t="shared" ref="N948:N1011" si="59">RIGHT(F948,LEN(F948)-7)</f>
        <v xml:space="preserve"> </v>
      </c>
      <c r="O948" s="49" t="str">
        <f t="shared" ref="O948:O1011" si="60">M948&amp;N948</f>
        <v xml:space="preserve">[W238.1] </v>
      </c>
    </row>
    <row r="949" spans="1:15" s="49" customFormat="1" ht="14.15" customHeight="1">
      <c r="A949" s="43" t="s">
        <v>2150</v>
      </c>
      <c r="B949" s="11"/>
      <c r="C949" s="11" t="s">
        <v>18</v>
      </c>
      <c r="D949" s="45" t="s">
        <v>16</v>
      </c>
      <c r="E949" s="47"/>
      <c r="F949" s="39" t="s">
        <v>807</v>
      </c>
      <c r="G949" s="13" t="s">
        <v>7749</v>
      </c>
      <c r="H949" s="99" t="str">
        <f t="shared" si="57"/>
        <v>W238.2</v>
      </c>
      <c r="I949" s="13" t="s">
        <v>104</v>
      </c>
      <c r="J949" s="13"/>
      <c r="K949" s="13"/>
      <c r="L949" s="48"/>
      <c r="M949" s="49" t="str">
        <f t="shared" si="58"/>
        <v>[W238.2]</v>
      </c>
      <c r="N949" s="12" t="str">
        <f t="shared" si="59"/>
        <v xml:space="preserve"> 쿨링 공급 캐비티 제품 데이터 불일치 이상 (X4A5)</v>
      </c>
      <c r="O949" s="49" t="str">
        <f t="shared" si="60"/>
        <v>[W238.2] 쿨링 공급 캐비티 제품 데이터 불일치 이상 (X4A5)</v>
      </c>
    </row>
    <row r="950" spans="1:15" s="49" customFormat="1" ht="14.15" customHeight="1">
      <c r="A950" s="43" t="s">
        <v>2150</v>
      </c>
      <c r="B950" s="11"/>
      <c r="C950" s="11" t="s">
        <v>18</v>
      </c>
      <c r="D950" s="45" t="s">
        <v>16</v>
      </c>
      <c r="E950" s="47"/>
      <c r="F950" s="39" t="s">
        <v>808</v>
      </c>
      <c r="G950" s="13" t="s">
        <v>7750</v>
      </c>
      <c r="H950" s="99" t="str">
        <f t="shared" si="57"/>
        <v>W238.3</v>
      </c>
      <c r="I950" s="13" t="s">
        <v>17</v>
      </c>
      <c r="J950" s="13"/>
      <c r="K950" s="13"/>
      <c r="L950" s="48"/>
      <c r="M950" s="49" t="str">
        <f t="shared" si="58"/>
        <v>[W238.3]</v>
      </c>
      <c r="N950" s="12" t="str">
        <f t="shared" si="59"/>
        <v xml:space="preserve"> 쿨링 공급 Z축 피치 이동 정지 위치 이상 (X499)</v>
      </c>
      <c r="O950" s="49" t="str">
        <f t="shared" si="60"/>
        <v>[W238.3] 쿨링 공급 Z축 피치 이동 정지 위치 이상 (X499)</v>
      </c>
    </row>
    <row r="951" spans="1:15" s="49" customFormat="1" ht="14.15" customHeight="1">
      <c r="A951" s="43" t="s">
        <v>2150</v>
      </c>
      <c r="B951" s="11"/>
      <c r="C951" s="11" t="s">
        <v>18</v>
      </c>
      <c r="D951" s="45" t="s">
        <v>16</v>
      </c>
      <c r="E951" s="47"/>
      <c r="F951" s="39" t="s">
        <v>809</v>
      </c>
      <c r="G951" s="13" t="s">
        <v>7751</v>
      </c>
      <c r="H951" s="99" t="str">
        <f t="shared" si="57"/>
        <v>W238.4</v>
      </c>
      <c r="I951" s="13" t="s">
        <v>17</v>
      </c>
      <c r="J951" s="13"/>
      <c r="K951" s="13"/>
      <c r="L951" s="48"/>
      <c r="M951" s="49" t="str">
        <f t="shared" si="58"/>
        <v>[W238.4]</v>
      </c>
      <c r="N951" s="12" t="str">
        <f t="shared" si="59"/>
        <v xml:space="preserve"> 쿨링 공급 Z축 피치 이동 위치 이상</v>
      </c>
      <c r="O951" s="49" t="str">
        <f t="shared" si="60"/>
        <v>[W238.4] 쿨링 공급 Z축 피치 이동 위치 이상</v>
      </c>
    </row>
    <row r="952" spans="1:15" s="49" customFormat="1" ht="14.15" customHeight="1">
      <c r="A952" s="44"/>
      <c r="B952" s="11"/>
      <c r="C952" s="11" t="s">
        <v>18</v>
      </c>
      <c r="D952" s="45" t="s">
        <v>16</v>
      </c>
      <c r="E952" s="47"/>
      <c r="F952" s="39" t="s">
        <v>810</v>
      </c>
      <c r="G952" s="13" t="s">
        <v>7752</v>
      </c>
      <c r="H952" s="99" t="str">
        <f t="shared" si="57"/>
        <v>W238.5</v>
      </c>
      <c r="I952" s="13"/>
      <c r="J952" s="13"/>
      <c r="K952" s="13"/>
      <c r="L952" s="48"/>
      <c r="M952" s="49" t="str">
        <f t="shared" si="58"/>
        <v>[W238.5]</v>
      </c>
      <c r="N952" s="12" t="str">
        <f t="shared" si="59"/>
        <v xml:space="preserve"> </v>
      </c>
      <c r="O952" s="49" t="str">
        <f t="shared" si="60"/>
        <v xml:space="preserve">[W238.5] </v>
      </c>
    </row>
    <row r="953" spans="1:15" s="49" customFormat="1" ht="14.15" customHeight="1">
      <c r="A953" s="44"/>
      <c r="B953" s="11"/>
      <c r="C953" s="11" t="s">
        <v>18</v>
      </c>
      <c r="D953" s="45" t="s">
        <v>16</v>
      </c>
      <c r="E953" s="47"/>
      <c r="F953" s="39" t="s">
        <v>811</v>
      </c>
      <c r="G953" s="13" t="s">
        <v>7753</v>
      </c>
      <c r="H953" s="99" t="str">
        <f t="shared" si="57"/>
        <v>W238.6</v>
      </c>
      <c r="I953" s="13"/>
      <c r="J953" s="13"/>
      <c r="K953" s="13"/>
      <c r="L953" s="48"/>
      <c r="M953" s="49" t="str">
        <f t="shared" si="58"/>
        <v>[W238.6]</v>
      </c>
      <c r="N953" s="12" t="str">
        <f t="shared" si="59"/>
        <v xml:space="preserve"> </v>
      </c>
      <c r="O953" s="49" t="str">
        <f t="shared" si="60"/>
        <v xml:space="preserve">[W238.6] </v>
      </c>
    </row>
    <row r="954" spans="1:15" s="49" customFormat="1" ht="14.15" customHeight="1">
      <c r="A954" s="44"/>
      <c r="B954" s="11"/>
      <c r="C954" s="11" t="s">
        <v>18</v>
      </c>
      <c r="D954" s="45" t="s">
        <v>16</v>
      </c>
      <c r="E954" s="47"/>
      <c r="F954" s="39" t="s">
        <v>812</v>
      </c>
      <c r="G954" s="13" t="s">
        <v>7754</v>
      </c>
      <c r="H954" s="99" t="str">
        <f t="shared" si="57"/>
        <v>W238.7</v>
      </c>
      <c r="I954" s="13"/>
      <c r="J954" s="13"/>
      <c r="K954" s="13"/>
      <c r="L954" s="48"/>
      <c r="M954" s="49" t="str">
        <f t="shared" si="58"/>
        <v>[W238.7]</v>
      </c>
      <c r="N954" s="12" t="str">
        <f t="shared" si="59"/>
        <v xml:space="preserve"> </v>
      </c>
      <c r="O954" s="49" t="str">
        <f t="shared" si="60"/>
        <v xml:space="preserve">[W238.7] </v>
      </c>
    </row>
    <row r="955" spans="1:15" s="49" customFormat="1" ht="14.15" customHeight="1">
      <c r="A955" s="44"/>
      <c r="B955" s="11"/>
      <c r="C955" s="11" t="s">
        <v>18</v>
      </c>
      <c r="D955" s="45" t="s">
        <v>16</v>
      </c>
      <c r="E955" s="47"/>
      <c r="F955" s="39" t="s">
        <v>813</v>
      </c>
      <c r="G955" s="13" t="s">
        <v>7755</v>
      </c>
      <c r="H955" s="99" t="str">
        <f t="shared" si="57"/>
        <v>W238.8</v>
      </c>
      <c r="I955" s="13"/>
      <c r="J955" s="13"/>
      <c r="K955" s="13"/>
      <c r="L955" s="48"/>
      <c r="M955" s="49" t="str">
        <f t="shared" si="58"/>
        <v>[W238.8]</v>
      </c>
      <c r="N955" s="12" t="str">
        <f t="shared" si="59"/>
        <v xml:space="preserve"> </v>
      </c>
      <c r="O955" s="49" t="str">
        <f t="shared" si="60"/>
        <v xml:space="preserve">[W238.8] </v>
      </c>
    </row>
    <row r="956" spans="1:15" s="49" customFormat="1" ht="14.15" customHeight="1">
      <c r="A956" s="44"/>
      <c r="B956" s="11"/>
      <c r="C956" s="11" t="s">
        <v>18</v>
      </c>
      <c r="D956" s="45" t="s">
        <v>16</v>
      </c>
      <c r="E956" s="47"/>
      <c r="F956" s="39" t="s">
        <v>814</v>
      </c>
      <c r="G956" s="13" t="s">
        <v>7756</v>
      </c>
      <c r="H956" s="99" t="str">
        <f t="shared" si="57"/>
        <v>W238.9</v>
      </c>
      <c r="I956" s="13"/>
      <c r="J956" s="13"/>
      <c r="K956" s="13"/>
      <c r="L956" s="48"/>
      <c r="M956" s="49" t="str">
        <f t="shared" si="58"/>
        <v>[W238.9]</v>
      </c>
      <c r="N956" s="12" t="str">
        <f t="shared" si="59"/>
        <v xml:space="preserve"> </v>
      </c>
      <c r="O956" s="49" t="str">
        <f t="shared" si="60"/>
        <v xml:space="preserve">[W238.9] </v>
      </c>
    </row>
    <row r="957" spans="1:15" s="49" customFormat="1" ht="14.15" customHeight="1">
      <c r="A957" s="44"/>
      <c r="B957" s="11"/>
      <c r="C957" s="11" t="s">
        <v>18</v>
      </c>
      <c r="D957" s="45" t="s">
        <v>16</v>
      </c>
      <c r="E957" s="47"/>
      <c r="F957" s="39" t="s">
        <v>815</v>
      </c>
      <c r="G957" s="13" t="s">
        <v>7757</v>
      </c>
      <c r="H957" s="99" t="str">
        <f t="shared" si="57"/>
        <v>W238.A</v>
      </c>
      <c r="I957" s="13"/>
      <c r="J957" s="13"/>
      <c r="K957" s="13"/>
      <c r="L957" s="48"/>
      <c r="M957" s="49" t="str">
        <f t="shared" si="58"/>
        <v>[W238.A]</v>
      </c>
      <c r="N957" s="12" t="str">
        <f t="shared" si="59"/>
        <v xml:space="preserve"> </v>
      </c>
      <c r="O957" s="49" t="str">
        <f t="shared" si="60"/>
        <v xml:space="preserve">[W238.A] </v>
      </c>
    </row>
    <row r="958" spans="1:15" s="49" customFormat="1" ht="14.15" customHeight="1">
      <c r="A958" s="44"/>
      <c r="B958" s="11"/>
      <c r="C958" s="11" t="s">
        <v>18</v>
      </c>
      <c r="D958" s="45" t="s">
        <v>16</v>
      </c>
      <c r="E958" s="47"/>
      <c r="F958" s="39" t="s">
        <v>816</v>
      </c>
      <c r="G958" s="13" t="s">
        <v>7758</v>
      </c>
      <c r="H958" s="99" t="str">
        <f t="shared" si="57"/>
        <v>W238.B</v>
      </c>
      <c r="I958" s="13"/>
      <c r="J958" s="13"/>
      <c r="K958" s="13"/>
      <c r="L958" s="48"/>
      <c r="M958" s="49" t="str">
        <f t="shared" si="58"/>
        <v>[W238.B]</v>
      </c>
      <c r="N958" s="12" t="str">
        <f t="shared" si="59"/>
        <v xml:space="preserve"> </v>
      </c>
      <c r="O958" s="49" t="str">
        <f t="shared" si="60"/>
        <v xml:space="preserve">[W238.B] </v>
      </c>
    </row>
    <row r="959" spans="1:15" s="49" customFormat="1" ht="14.15" customHeight="1">
      <c r="A959" s="44"/>
      <c r="B959" s="11"/>
      <c r="C959" s="11" t="s">
        <v>18</v>
      </c>
      <c r="D959" s="45" t="s">
        <v>16</v>
      </c>
      <c r="E959" s="47"/>
      <c r="F959" s="39" t="s">
        <v>817</v>
      </c>
      <c r="G959" s="13" t="s">
        <v>7759</v>
      </c>
      <c r="H959" s="99" t="str">
        <f t="shared" si="57"/>
        <v>W238.C</v>
      </c>
      <c r="I959" s="13"/>
      <c r="J959" s="13"/>
      <c r="K959" s="13"/>
      <c r="L959" s="48"/>
      <c r="M959" s="49" t="str">
        <f t="shared" si="58"/>
        <v>[W238.C]</v>
      </c>
      <c r="N959" s="12" t="str">
        <f t="shared" si="59"/>
        <v xml:space="preserve"> </v>
      </c>
      <c r="O959" s="49" t="str">
        <f t="shared" si="60"/>
        <v xml:space="preserve">[W238.C] </v>
      </c>
    </row>
    <row r="960" spans="1:15" s="49" customFormat="1" ht="14.15" customHeight="1">
      <c r="A960" s="43" t="s">
        <v>2150</v>
      </c>
      <c r="B960" s="11"/>
      <c r="C960" s="11" t="s">
        <v>18</v>
      </c>
      <c r="D960" s="45" t="s">
        <v>16</v>
      </c>
      <c r="E960" s="47"/>
      <c r="F960" s="39" t="s">
        <v>818</v>
      </c>
      <c r="G960" s="13" t="s">
        <v>7760</v>
      </c>
      <c r="H960" s="99" t="str">
        <f t="shared" si="57"/>
        <v>W238.D</v>
      </c>
      <c r="I960" s="13" t="s">
        <v>104</v>
      </c>
      <c r="J960" s="13"/>
      <c r="K960" s="13"/>
      <c r="L960" s="48"/>
      <c r="M960" s="49" t="str">
        <f t="shared" si="58"/>
        <v>[W238.D]</v>
      </c>
      <c r="N960" s="12" t="str">
        <f t="shared" si="59"/>
        <v xml:space="preserve"> 쿨링 공급 Z축 메인 시퀀스 이상</v>
      </c>
      <c r="O960" s="49" t="str">
        <f t="shared" si="60"/>
        <v>[W238.D] 쿨링 공급 Z축 메인 시퀀스 이상</v>
      </c>
    </row>
    <row r="961" spans="1:15" s="49" customFormat="1" ht="14.15" customHeight="1">
      <c r="A961" s="43" t="s">
        <v>2150</v>
      </c>
      <c r="B961" s="11"/>
      <c r="C961" s="11" t="s">
        <v>18</v>
      </c>
      <c r="D961" s="45" t="s">
        <v>16</v>
      </c>
      <c r="E961" s="47"/>
      <c r="F961" s="39" t="s">
        <v>819</v>
      </c>
      <c r="G961" s="13" t="s">
        <v>7761</v>
      </c>
      <c r="H961" s="99" t="str">
        <f t="shared" si="57"/>
        <v>W238.E</v>
      </c>
      <c r="I961" s="13" t="s">
        <v>104</v>
      </c>
      <c r="J961" s="13"/>
      <c r="K961" s="13"/>
      <c r="L961" s="48"/>
      <c r="M961" s="49" t="str">
        <f t="shared" si="58"/>
        <v>[W238.E]</v>
      </c>
      <c r="N961" s="12" t="str">
        <f t="shared" si="59"/>
        <v xml:space="preserve"> 쿨링 공급 Z축 피치 이동 시간초과</v>
      </c>
      <c r="O961" s="49" t="str">
        <f t="shared" si="60"/>
        <v>[W238.E] 쿨링 공급 Z축 피치 이동 시간초과</v>
      </c>
    </row>
    <row r="962" spans="1:15" s="49" customFormat="1" ht="14.15" customHeight="1">
      <c r="A962" s="44"/>
      <c r="B962" s="11"/>
      <c r="C962" s="11" t="s">
        <v>18</v>
      </c>
      <c r="D962" s="45" t="s">
        <v>16</v>
      </c>
      <c r="E962" s="47"/>
      <c r="F962" s="39" t="s">
        <v>820</v>
      </c>
      <c r="G962" s="13" t="s">
        <v>7762</v>
      </c>
      <c r="H962" s="99" t="str">
        <f t="shared" si="57"/>
        <v>W238.F</v>
      </c>
      <c r="I962" s="13"/>
      <c r="J962" s="13"/>
      <c r="K962" s="13"/>
      <c r="L962" s="48"/>
      <c r="M962" s="49" t="str">
        <f t="shared" si="58"/>
        <v>[W238.F]</v>
      </c>
      <c r="N962" s="12" t="str">
        <f t="shared" si="59"/>
        <v xml:space="preserve"> </v>
      </c>
      <c r="O962" s="49" t="str">
        <f t="shared" si="60"/>
        <v xml:space="preserve">[W238.F] </v>
      </c>
    </row>
    <row r="963" spans="1:15" s="49" customFormat="1" ht="14.15" customHeight="1">
      <c r="A963" s="44"/>
      <c r="B963" s="11"/>
      <c r="C963" s="11" t="s">
        <v>18</v>
      </c>
      <c r="D963" s="45" t="s">
        <v>16</v>
      </c>
      <c r="E963" s="47"/>
      <c r="F963" s="39" t="s">
        <v>821</v>
      </c>
      <c r="G963" s="13" t="s">
        <v>7763</v>
      </c>
      <c r="H963" s="99" t="str">
        <f t="shared" si="57"/>
        <v>W239.0</v>
      </c>
      <c r="I963" s="13"/>
      <c r="J963" s="13"/>
      <c r="K963" s="13"/>
      <c r="L963" s="48"/>
      <c r="M963" s="49" t="str">
        <f t="shared" si="58"/>
        <v>[W239.0]</v>
      </c>
      <c r="N963" s="12" t="str">
        <f t="shared" si="59"/>
        <v xml:space="preserve"> </v>
      </c>
      <c r="O963" s="49" t="str">
        <f t="shared" si="60"/>
        <v xml:space="preserve">[W239.0] </v>
      </c>
    </row>
    <row r="964" spans="1:15" s="49" customFormat="1" ht="14.15" customHeight="1">
      <c r="A964" s="44"/>
      <c r="B964" s="11"/>
      <c r="C964" s="11" t="s">
        <v>18</v>
      </c>
      <c r="D964" s="45" t="s">
        <v>16</v>
      </c>
      <c r="E964" s="47"/>
      <c r="F964" s="39" t="s">
        <v>822</v>
      </c>
      <c r="G964" s="13" t="s">
        <v>7764</v>
      </c>
      <c r="H964" s="99" t="str">
        <f t="shared" si="57"/>
        <v>W239.1</v>
      </c>
      <c r="I964" s="13"/>
      <c r="J964" s="13"/>
      <c r="K964" s="13"/>
      <c r="L964" s="48"/>
      <c r="M964" s="49" t="str">
        <f t="shared" si="58"/>
        <v>[W239.1]</v>
      </c>
      <c r="N964" s="12" t="str">
        <f t="shared" si="59"/>
        <v xml:space="preserve"> </v>
      </c>
      <c r="O964" s="49" t="str">
        <f t="shared" si="60"/>
        <v xml:space="preserve">[W239.1] </v>
      </c>
    </row>
    <row r="965" spans="1:15" s="49" customFormat="1" ht="14.15" customHeight="1">
      <c r="A965" s="44"/>
      <c r="B965" s="11"/>
      <c r="C965" s="11" t="s">
        <v>18</v>
      </c>
      <c r="D965" s="45" t="s">
        <v>16</v>
      </c>
      <c r="E965" s="47"/>
      <c r="F965" s="39" t="s">
        <v>823</v>
      </c>
      <c r="G965" s="13" t="s">
        <v>7765</v>
      </c>
      <c r="H965" s="99" t="str">
        <f t="shared" si="57"/>
        <v>W239.2</v>
      </c>
      <c r="I965" s="13"/>
      <c r="J965" s="13"/>
      <c r="K965" s="13"/>
      <c r="L965" s="48"/>
      <c r="M965" s="49" t="str">
        <f t="shared" si="58"/>
        <v>[W239.2]</v>
      </c>
      <c r="N965" s="12" t="str">
        <f t="shared" si="59"/>
        <v xml:space="preserve"> </v>
      </c>
      <c r="O965" s="49" t="str">
        <f t="shared" si="60"/>
        <v xml:space="preserve">[W239.2] </v>
      </c>
    </row>
    <row r="966" spans="1:15" s="49" customFormat="1" ht="14.15" customHeight="1">
      <c r="A966" s="44"/>
      <c r="B966" s="11"/>
      <c r="C966" s="11" t="s">
        <v>18</v>
      </c>
      <c r="D966" s="45" t="s">
        <v>16</v>
      </c>
      <c r="E966" s="47"/>
      <c r="F966" s="39" t="s">
        <v>824</v>
      </c>
      <c r="G966" s="13" t="s">
        <v>7766</v>
      </c>
      <c r="H966" s="99" t="str">
        <f t="shared" si="57"/>
        <v>W239.3</v>
      </c>
      <c r="I966" s="13"/>
      <c r="J966" s="13"/>
      <c r="K966" s="13"/>
      <c r="L966" s="48"/>
      <c r="M966" s="49" t="str">
        <f t="shared" si="58"/>
        <v>[W239.3]</v>
      </c>
      <c r="N966" s="12" t="str">
        <f t="shared" si="59"/>
        <v xml:space="preserve"> </v>
      </c>
      <c r="O966" s="49" t="str">
        <f t="shared" si="60"/>
        <v xml:space="preserve">[W239.3] </v>
      </c>
    </row>
    <row r="967" spans="1:15" s="49" customFormat="1" ht="14.15" customHeight="1">
      <c r="A967" s="44"/>
      <c r="B967" s="11"/>
      <c r="C967" s="11" t="s">
        <v>18</v>
      </c>
      <c r="D967" s="45" t="s">
        <v>16</v>
      </c>
      <c r="E967" s="47"/>
      <c r="F967" s="39" t="s">
        <v>825</v>
      </c>
      <c r="G967" s="13" t="s">
        <v>7767</v>
      </c>
      <c r="H967" s="99" t="str">
        <f t="shared" si="57"/>
        <v>W239.4</v>
      </c>
      <c r="I967" s="13"/>
      <c r="J967" s="13"/>
      <c r="K967" s="13"/>
      <c r="L967" s="48"/>
      <c r="M967" s="49" t="str">
        <f t="shared" si="58"/>
        <v>[W239.4]</v>
      </c>
      <c r="N967" s="12" t="str">
        <f t="shared" si="59"/>
        <v xml:space="preserve"> </v>
      </c>
      <c r="O967" s="49" t="str">
        <f t="shared" si="60"/>
        <v xml:space="preserve">[W239.4] </v>
      </c>
    </row>
    <row r="968" spans="1:15" s="49" customFormat="1" ht="14.15" customHeight="1">
      <c r="A968" s="44"/>
      <c r="B968" s="11"/>
      <c r="C968" s="11" t="s">
        <v>18</v>
      </c>
      <c r="D968" s="45" t="s">
        <v>16</v>
      </c>
      <c r="E968" s="47"/>
      <c r="F968" s="39" t="s">
        <v>826</v>
      </c>
      <c r="G968" s="13" t="s">
        <v>7768</v>
      </c>
      <c r="H968" s="99" t="str">
        <f t="shared" si="57"/>
        <v>W239.5</v>
      </c>
      <c r="I968" s="13"/>
      <c r="J968" s="13"/>
      <c r="K968" s="13"/>
      <c r="L968" s="48"/>
      <c r="M968" s="49" t="str">
        <f t="shared" si="58"/>
        <v>[W239.5]</v>
      </c>
      <c r="N968" s="12" t="str">
        <f t="shared" si="59"/>
        <v xml:space="preserve"> </v>
      </c>
      <c r="O968" s="49" t="str">
        <f t="shared" si="60"/>
        <v xml:space="preserve">[W239.5] </v>
      </c>
    </row>
    <row r="969" spans="1:15" s="49" customFormat="1" ht="14.15" customHeight="1">
      <c r="A969" s="44"/>
      <c r="B969" s="11"/>
      <c r="C969" s="11" t="s">
        <v>18</v>
      </c>
      <c r="D969" s="45" t="s">
        <v>16</v>
      </c>
      <c r="E969" s="47"/>
      <c r="F969" s="39" t="s">
        <v>827</v>
      </c>
      <c r="G969" s="13" t="s">
        <v>7769</v>
      </c>
      <c r="H969" s="99" t="str">
        <f t="shared" si="57"/>
        <v>W239.6</v>
      </c>
      <c r="I969" s="13" t="s">
        <v>104</v>
      </c>
      <c r="J969" s="13"/>
      <c r="K969" s="13"/>
      <c r="L969" s="48"/>
      <c r="M969" s="49" t="str">
        <f t="shared" si="58"/>
        <v>[W239.6]</v>
      </c>
      <c r="N969" s="12" t="str">
        <f t="shared" si="59"/>
        <v xml:space="preserve"> 쿨링 공급 Z축 제품 데이터 불일치 이상 (X49E)</v>
      </c>
      <c r="O969" s="49" t="str">
        <f t="shared" si="60"/>
        <v>[W239.6] 쿨링 공급 Z축 제품 데이터 불일치 이상 (X49E)</v>
      </c>
    </row>
    <row r="970" spans="1:15" s="49" customFormat="1" ht="14.15" customHeight="1">
      <c r="A970" s="43" t="s">
        <v>2150</v>
      </c>
      <c r="B970" s="11"/>
      <c r="C970" s="11" t="s">
        <v>18</v>
      </c>
      <c r="D970" s="45" t="s">
        <v>16</v>
      </c>
      <c r="E970" s="47"/>
      <c r="F970" s="39" t="s">
        <v>828</v>
      </c>
      <c r="G970" s="13" t="s">
        <v>7770</v>
      </c>
      <c r="H970" s="99" t="str">
        <f t="shared" si="57"/>
        <v>W239.7</v>
      </c>
      <c r="I970" s="13" t="s">
        <v>104</v>
      </c>
      <c r="J970" s="13"/>
      <c r="K970" s="13"/>
      <c r="L970" s="48"/>
      <c r="M970" s="49" t="str">
        <f t="shared" si="58"/>
        <v>[W239.7]</v>
      </c>
      <c r="N970" s="12" t="str">
        <f t="shared" si="59"/>
        <v xml:space="preserve"> 쿨링 이재기 클램프R 전진 시간초과 (Y4B1, X487, X48B, X48F, X493)</v>
      </c>
      <c r="O970" s="49" t="str">
        <f t="shared" si="60"/>
        <v>[W239.7] 쿨링 이재기 클램프R 전진 시간초과 (Y4B1, X487, X48B, X48F, X493)</v>
      </c>
    </row>
    <row r="971" spans="1:15" s="49" customFormat="1" ht="14.15" customHeight="1">
      <c r="A971" s="43" t="s">
        <v>2150</v>
      </c>
      <c r="B971" s="11"/>
      <c r="C971" s="11" t="s">
        <v>18</v>
      </c>
      <c r="D971" s="45" t="s">
        <v>16</v>
      </c>
      <c r="E971" s="47"/>
      <c r="F971" s="39" t="s">
        <v>829</v>
      </c>
      <c r="G971" s="13" t="s">
        <v>7771</v>
      </c>
      <c r="H971" s="99" t="str">
        <f t="shared" si="57"/>
        <v>W239.8</v>
      </c>
      <c r="I971" s="13" t="s">
        <v>17</v>
      </c>
      <c r="J971" s="13"/>
      <c r="K971" s="13"/>
      <c r="L971" s="48"/>
      <c r="M971" s="49" t="str">
        <f t="shared" si="58"/>
        <v>[W239.8]</v>
      </c>
      <c r="N971" s="12" t="str">
        <f t="shared" si="59"/>
        <v xml:space="preserve"> 쿨링 이재기 클램프R 후진 시간초과 (Y4B0, X486, X48A, X48E, X492)</v>
      </c>
      <c r="O971" s="49" t="str">
        <f t="shared" si="60"/>
        <v>[W239.8] 쿨링 이재기 클램프R 후진 시간초과 (Y4B0, X486, X48A, X48E, X492)</v>
      </c>
    </row>
    <row r="972" spans="1:15" s="49" customFormat="1" ht="14.15" customHeight="1">
      <c r="A972" s="43" t="s">
        <v>2150</v>
      </c>
      <c r="B972" s="11"/>
      <c r="C972" s="11" t="s">
        <v>18</v>
      </c>
      <c r="D972" s="45" t="s">
        <v>16</v>
      </c>
      <c r="E972" s="47"/>
      <c r="F972" s="39" t="s">
        <v>830</v>
      </c>
      <c r="G972" s="13" t="s">
        <v>7772</v>
      </c>
      <c r="H972" s="99" t="str">
        <f t="shared" si="57"/>
        <v>W239.9</v>
      </c>
      <c r="I972" s="13" t="s">
        <v>104</v>
      </c>
      <c r="J972" s="13"/>
      <c r="K972" s="13"/>
      <c r="L972" s="48"/>
      <c r="M972" s="49" t="str">
        <f t="shared" si="58"/>
        <v>[W239.9]</v>
      </c>
      <c r="N972" s="12" t="str">
        <f t="shared" si="59"/>
        <v xml:space="preserve"> 쿨링 이재기 클램프R 전진/후진 센서이상 (X487, X48B, X48F, X493, X486, X48A, X48E, X492)</v>
      </c>
      <c r="O972" s="49" t="str">
        <f t="shared" si="60"/>
        <v>[W239.9] 쿨링 이재기 클램프R 전진/후진 센서이상 (X487, X48B, X48F, X493, X486, X48A, X48E, X492)</v>
      </c>
    </row>
    <row r="973" spans="1:15" s="49" customFormat="1" ht="14.15" customHeight="1">
      <c r="A973" s="43" t="s">
        <v>2150</v>
      </c>
      <c r="B973" s="11"/>
      <c r="C973" s="11" t="s">
        <v>18</v>
      </c>
      <c r="D973" s="45" t="s">
        <v>16</v>
      </c>
      <c r="E973" s="47"/>
      <c r="F973" s="39" t="s">
        <v>831</v>
      </c>
      <c r="G973" s="13" t="s">
        <v>7773</v>
      </c>
      <c r="H973" s="99" t="str">
        <f t="shared" si="57"/>
        <v>W239.A</v>
      </c>
      <c r="I973" s="13" t="s">
        <v>104</v>
      </c>
      <c r="J973" s="13"/>
      <c r="K973" s="13"/>
      <c r="L973" s="48"/>
      <c r="M973" s="49" t="str">
        <f t="shared" si="58"/>
        <v>[W239.A]</v>
      </c>
      <c r="N973" s="12" t="str">
        <f t="shared" si="59"/>
        <v xml:space="preserve"> 쿨링 이재기 클램프L 전진 시간초과 (Y4B3, X485, X489, X48D, X491)</v>
      </c>
      <c r="O973" s="49" t="str">
        <f t="shared" si="60"/>
        <v>[W239.A] 쿨링 이재기 클램프L 전진 시간초과 (Y4B3, X485, X489, X48D, X491)</v>
      </c>
    </row>
    <row r="974" spans="1:15" s="49" customFormat="1" ht="14.15" customHeight="1">
      <c r="A974" s="43" t="s">
        <v>2150</v>
      </c>
      <c r="B974" s="11"/>
      <c r="C974" s="11" t="s">
        <v>18</v>
      </c>
      <c r="D974" s="45" t="s">
        <v>16</v>
      </c>
      <c r="E974" s="47"/>
      <c r="F974" s="39" t="s">
        <v>832</v>
      </c>
      <c r="G974" s="13" t="s">
        <v>7774</v>
      </c>
      <c r="H974" s="99" t="str">
        <f t="shared" si="57"/>
        <v>W239.B</v>
      </c>
      <c r="I974" s="13" t="s">
        <v>104</v>
      </c>
      <c r="J974" s="13"/>
      <c r="K974" s="13"/>
      <c r="L974" s="48"/>
      <c r="M974" s="49" t="str">
        <f t="shared" si="58"/>
        <v>[W239.B]</v>
      </c>
      <c r="N974" s="12" t="str">
        <f t="shared" si="59"/>
        <v xml:space="preserve"> 쿨링 이재기 클램프L 후진 시간초과 (Y4B2, X484, X488, X48C, X490)</v>
      </c>
      <c r="O974" s="49" t="str">
        <f t="shared" si="60"/>
        <v>[W239.B] 쿨링 이재기 클램프L 후진 시간초과 (Y4B2, X484, X488, X48C, X490)</v>
      </c>
    </row>
    <row r="975" spans="1:15" s="49" customFormat="1" ht="14.15" customHeight="1">
      <c r="A975" s="43" t="s">
        <v>2150</v>
      </c>
      <c r="B975" s="11"/>
      <c r="C975" s="11" t="s">
        <v>18</v>
      </c>
      <c r="D975" s="45" t="s">
        <v>16</v>
      </c>
      <c r="E975" s="47"/>
      <c r="F975" s="39" t="s">
        <v>833</v>
      </c>
      <c r="G975" s="13" t="s">
        <v>7775</v>
      </c>
      <c r="H975" s="99" t="str">
        <f t="shared" si="57"/>
        <v>W239.C</v>
      </c>
      <c r="I975" s="13" t="s">
        <v>17</v>
      </c>
      <c r="J975" s="13"/>
      <c r="K975" s="13"/>
      <c r="L975" s="48"/>
      <c r="M975" s="49" t="str">
        <f t="shared" si="58"/>
        <v>[W239.C]</v>
      </c>
      <c r="N975" s="12" t="str">
        <f t="shared" si="59"/>
        <v xml:space="preserve"> 쿨링 이재기 클램프L 전진/후진 센서이상 (X485, X489, X48D, X491, X484, X488, X48C, X490)</v>
      </c>
      <c r="O975" s="49" t="str">
        <f t="shared" si="60"/>
        <v>[W239.C] 쿨링 이재기 클램프L 전진/후진 센서이상 (X485, X489, X48D, X491, X484, X488, X48C, X490)</v>
      </c>
    </row>
    <row r="976" spans="1:15" s="49" customFormat="1" ht="14.15" customHeight="1">
      <c r="A976" s="44"/>
      <c r="B976" s="11"/>
      <c r="C976" s="11" t="s">
        <v>18</v>
      </c>
      <c r="D976" s="45" t="s">
        <v>16</v>
      </c>
      <c r="E976" s="47"/>
      <c r="F976" s="39" t="s">
        <v>834</v>
      </c>
      <c r="G976" s="13" t="s">
        <v>7776</v>
      </c>
      <c r="H976" s="99" t="str">
        <f t="shared" si="57"/>
        <v>W239.D</v>
      </c>
      <c r="I976" s="13"/>
      <c r="J976" s="13"/>
      <c r="K976" s="13"/>
      <c r="L976" s="48"/>
      <c r="M976" s="49" t="str">
        <f t="shared" si="58"/>
        <v>[W239.D]</v>
      </c>
      <c r="N976" s="12" t="str">
        <f t="shared" si="59"/>
        <v xml:space="preserve"> </v>
      </c>
      <c r="O976" s="49" t="str">
        <f t="shared" si="60"/>
        <v xml:space="preserve">[W239.D] </v>
      </c>
    </row>
    <row r="977" spans="1:15" s="49" customFormat="1" ht="14.15" customHeight="1">
      <c r="A977" s="44"/>
      <c r="B977" s="11"/>
      <c r="C977" s="11" t="s">
        <v>18</v>
      </c>
      <c r="D977" s="45" t="s">
        <v>16</v>
      </c>
      <c r="E977" s="47"/>
      <c r="F977" s="39" t="s">
        <v>835</v>
      </c>
      <c r="G977" s="13" t="s">
        <v>7777</v>
      </c>
      <c r="H977" s="99" t="str">
        <f t="shared" si="57"/>
        <v>W239.E</v>
      </c>
      <c r="I977" s="13"/>
      <c r="J977" s="13"/>
      <c r="K977" s="13"/>
      <c r="L977" s="48"/>
      <c r="M977" s="49" t="str">
        <f t="shared" si="58"/>
        <v>[W239.E]</v>
      </c>
      <c r="N977" s="12" t="str">
        <f t="shared" si="59"/>
        <v xml:space="preserve"> </v>
      </c>
      <c r="O977" s="49" t="str">
        <f t="shared" si="60"/>
        <v xml:space="preserve">[W239.E] </v>
      </c>
    </row>
    <row r="978" spans="1:15" s="49" customFormat="1" ht="14.15" customHeight="1">
      <c r="A978" s="44"/>
      <c r="B978" s="11"/>
      <c r="C978" s="11" t="s">
        <v>18</v>
      </c>
      <c r="D978" s="45" t="s">
        <v>16</v>
      </c>
      <c r="E978" s="47"/>
      <c r="F978" s="39" t="s">
        <v>836</v>
      </c>
      <c r="G978" s="13" t="s">
        <v>7778</v>
      </c>
      <c r="H978" s="99" t="str">
        <f t="shared" si="57"/>
        <v>W239.F</v>
      </c>
      <c r="I978" s="13"/>
      <c r="J978" s="13"/>
      <c r="K978" s="13"/>
      <c r="L978" s="48"/>
      <c r="M978" s="49" t="str">
        <f t="shared" si="58"/>
        <v>[W239.F]</v>
      </c>
      <c r="N978" s="12" t="str">
        <f t="shared" si="59"/>
        <v xml:space="preserve"> </v>
      </c>
      <c r="O978" s="49" t="str">
        <f t="shared" si="60"/>
        <v xml:space="preserve">[W239.F] </v>
      </c>
    </row>
    <row r="979" spans="1:15" s="49" customFormat="1" ht="14.15" customHeight="1">
      <c r="A979" s="44"/>
      <c r="B979" s="11"/>
      <c r="C979" s="11" t="s">
        <v>18</v>
      </c>
      <c r="D979" s="45" t="s">
        <v>16</v>
      </c>
      <c r="E979" s="47"/>
      <c r="F979" s="39" t="s">
        <v>837</v>
      </c>
      <c r="G979" s="13" t="s">
        <v>7779</v>
      </c>
      <c r="H979" s="99" t="str">
        <f t="shared" si="57"/>
        <v>W23A.0</v>
      </c>
      <c r="I979" s="13"/>
      <c r="J979" s="13"/>
      <c r="K979" s="13"/>
      <c r="L979" s="48"/>
      <c r="M979" s="49" t="str">
        <f t="shared" si="58"/>
        <v>[W23A.0]</v>
      </c>
      <c r="N979" s="12" t="str">
        <f t="shared" si="59"/>
        <v xml:space="preserve"> </v>
      </c>
      <c r="O979" s="49" t="str">
        <f t="shared" si="60"/>
        <v xml:space="preserve">[W23A.0] </v>
      </c>
    </row>
    <row r="980" spans="1:15" s="49" customFormat="1" ht="14.15" customHeight="1">
      <c r="A980" s="43" t="s">
        <v>2150</v>
      </c>
      <c r="B980" s="11"/>
      <c r="C980" s="11" t="s">
        <v>18</v>
      </c>
      <c r="D980" s="45" t="s">
        <v>16</v>
      </c>
      <c r="E980" s="47"/>
      <c r="F980" s="39" t="s">
        <v>838</v>
      </c>
      <c r="G980" s="13" t="s">
        <v>7780</v>
      </c>
      <c r="H980" s="99" t="str">
        <f t="shared" si="57"/>
        <v>W23A.1</v>
      </c>
      <c r="I980" s="13" t="s">
        <v>104</v>
      </c>
      <c r="J980" s="13"/>
      <c r="K980" s="13"/>
      <c r="L980" s="48"/>
      <c r="M980" s="49" t="str">
        <f t="shared" si="58"/>
        <v>[W23A.1]</v>
      </c>
      <c r="N980" s="12" t="str">
        <f t="shared" si="59"/>
        <v xml:space="preserve"> 쿨링 이재기 제품수취 시간초과</v>
      </c>
      <c r="O980" s="49" t="str">
        <f t="shared" si="60"/>
        <v>[W23A.1] 쿨링 이재기 제품수취 시간초과</v>
      </c>
    </row>
    <row r="981" spans="1:15" s="49" customFormat="1" ht="14.15" customHeight="1">
      <c r="A981" s="43" t="s">
        <v>2150</v>
      </c>
      <c r="B981" s="11"/>
      <c r="C981" s="11" t="s">
        <v>18</v>
      </c>
      <c r="D981" s="45" t="s">
        <v>16</v>
      </c>
      <c r="E981" s="47"/>
      <c r="F981" s="39" t="s">
        <v>839</v>
      </c>
      <c r="G981" s="13" t="s">
        <v>7781</v>
      </c>
      <c r="H981" s="99" t="str">
        <f t="shared" si="57"/>
        <v>W23A.2</v>
      </c>
      <c r="I981" s="13" t="s">
        <v>17</v>
      </c>
      <c r="J981" s="13"/>
      <c r="K981" s="13"/>
      <c r="L981" s="48"/>
      <c r="M981" s="49" t="str">
        <f t="shared" si="58"/>
        <v>[W23A.2]</v>
      </c>
      <c r="N981" s="12" t="str">
        <f t="shared" si="59"/>
        <v xml:space="preserve"> 쿨링 이재기 제품배출 시간초과</v>
      </c>
      <c r="O981" s="49" t="str">
        <f t="shared" si="60"/>
        <v>[W23A.2] 쿨링 이재기 제품배출 시간초과</v>
      </c>
    </row>
    <row r="982" spans="1:15" s="49" customFormat="1" ht="14.15" customHeight="1">
      <c r="A982" s="43" t="s">
        <v>2150</v>
      </c>
      <c r="B982" s="11"/>
      <c r="C982" s="11" t="s">
        <v>18</v>
      </c>
      <c r="D982" s="45" t="s">
        <v>16</v>
      </c>
      <c r="E982" s="47"/>
      <c r="F982" s="39" t="s">
        <v>840</v>
      </c>
      <c r="G982" s="13" t="s">
        <v>7782</v>
      </c>
      <c r="H982" s="99" t="str">
        <f t="shared" si="57"/>
        <v>W23A.3</v>
      </c>
      <c r="I982" s="13" t="s">
        <v>17</v>
      </c>
      <c r="J982" s="13"/>
      <c r="K982" s="13"/>
      <c r="L982" s="48"/>
      <c r="M982" s="49" t="str">
        <f t="shared" si="58"/>
        <v>[W23A.3]</v>
      </c>
      <c r="N982" s="12" t="str">
        <f t="shared" si="59"/>
        <v xml:space="preserve"> 쿨링 이재기 제품 수취 시퀀스 이상</v>
      </c>
      <c r="O982" s="49" t="str">
        <f t="shared" si="60"/>
        <v>[W23A.3] 쿨링 이재기 제품 수취 시퀀스 이상</v>
      </c>
    </row>
    <row r="983" spans="1:15" s="49" customFormat="1" ht="14.15" customHeight="1">
      <c r="A983" s="44"/>
      <c r="B983" s="11"/>
      <c r="C983" s="11" t="s">
        <v>18</v>
      </c>
      <c r="D983" s="45" t="s">
        <v>16</v>
      </c>
      <c r="E983" s="47"/>
      <c r="F983" s="39" t="s">
        <v>841</v>
      </c>
      <c r="G983" s="13" t="s">
        <v>7783</v>
      </c>
      <c r="H983" s="99" t="str">
        <f t="shared" si="57"/>
        <v>W23A.4</v>
      </c>
      <c r="I983" s="13"/>
      <c r="J983" s="13"/>
      <c r="K983" s="13"/>
      <c r="L983" s="48"/>
      <c r="M983" s="49" t="str">
        <f t="shared" si="58"/>
        <v>[W23A.4]</v>
      </c>
      <c r="N983" s="12" t="str">
        <f t="shared" si="59"/>
        <v xml:space="preserve"> </v>
      </c>
      <c r="O983" s="49" t="str">
        <f t="shared" si="60"/>
        <v xml:space="preserve">[W23A.4] </v>
      </c>
    </row>
    <row r="984" spans="1:15" s="49" customFormat="1" ht="14.15" customHeight="1">
      <c r="A984" s="43" t="s">
        <v>2150</v>
      </c>
      <c r="B984" s="11"/>
      <c r="C984" s="11" t="s">
        <v>18</v>
      </c>
      <c r="D984" s="45" t="s">
        <v>16</v>
      </c>
      <c r="E984" s="47"/>
      <c r="F984" s="39" t="s">
        <v>842</v>
      </c>
      <c r="G984" s="13" t="s">
        <v>7784</v>
      </c>
      <c r="H984" s="99" t="str">
        <f t="shared" si="57"/>
        <v>W23A.5</v>
      </c>
      <c r="I984" s="13" t="s">
        <v>104</v>
      </c>
      <c r="J984" s="13"/>
      <c r="K984" s="13"/>
      <c r="L984" s="48"/>
      <c r="M984" s="49" t="str">
        <f t="shared" si="58"/>
        <v>[W23A.5]</v>
      </c>
      <c r="N984" s="12" t="str">
        <f t="shared" si="59"/>
        <v xml:space="preserve"> 쿨링 이재기 제품 배출 시퀀스 이상</v>
      </c>
      <c r="O984" s="49" t="str">
        <f t="shared" si="60"/>
        <v>[W23A.5] 쿨링 이재기 제품 배출 시퀀스 이상</v>
      </c>
    </row>
    <row r="985" spans="1:15" s="49" customFormat="1" ht="14.15" customHeight="1">
      <c r="A985" s="44"/>
      <c r="B985" s="11"/>
      <c r="C985" s="11" t="s">
        <v>18</v>
      </c>
      <c r="D985" s="45" t="s">
        <v>16</v>
      </c>
      <c r="E985" s="47"/>
      <c r="F985" s="39" t="s">
        <v>843</v>
      </c>
      <c r="G985" s="13" t="s">
        <v>7785</v>
      </c>
      <c r="H985" s="99" t="str">
        <f t="shared" si="57"/>
        <v>W23A.6</v>
      </c>
      <c r="I985" s="13"/>
      <c r="J985" s="13"/>
      <c r="K985" s="13"/>
      <c r="L985" s="48"/>
      <c r="M985" s="49" t="str">
        <f t="shared" si="58"/>
        <v>[W23A.6]</v>
      </c>
      <c r="N985" s="12" t="str">
        <f t="shared" si="59"/>
        <v xml:space="preserve"> </v>
      </c>
      <c r="O985" s="49" t="str">
        <f t="shared" si="60"/>
        <v xml:space="preserve">[W23A.6] </v>
      </c>
    </row>
    <row r="986" spans="1:15" s="49" customFormat="1" ht="14.15" customHeight="1">
      <c r="A986" s="44"/>
      <c r="B986" s="11"/>
      <c r="C986" s="11" t="s">
        <v>18</v>
      </c>
      <c r="D986" s="45" t="s">
        <v>16</v>
      </c>
      <c r="E986" s="47"/>
      <c r="F986" s="39" t="s">
        <v>844</v>
      </c>
      <c r="G986" s="13" t="s">
        <v>7786</v>
      </c>
      <c r="H986" s="99" t="str">
        <f t="shared" si="57"/>
        <v>W23A.7</v>
      </c>
      <c r="I986" s="13"/>
      <c r="J986" s="13"/>
      <c r="K986" s="13"/>
      <c r="L986" s="48"/>
      <c r="M986" s="49" t="str">
        <f t="shared" si="58"/>
        <v>[W23A.7]</v>
      </c>
      <c r="N986" s="12" t="str">
        <f t="shared" si="59"/>
        <v xml:space="preserve"> </v>
      </c>
      <c r="O986" s="49" t="str">
        <f t="shared" si="60"/>
        <v xml:space="preserve">[W23A.7] </v>
      </c>
    </row>
    <row r="987" spans="1:15" s="49" customFormat="1" ht="14.15" customHeight="1">
      <c r="A987" s="44"/>
      <c r="B987" s="11"/>
      <c r="C987" s="11" t="s">
        <v>18</v>
      </c>
      <c r="D987" s="45" t="s">
        <v>16</v>
      </c>
      <c r="E987" s="47"/>
      <c r="F987" s="39" t="s">
        <v>845</v>
      </c>
      <c r="G987" s="13" t="s">
        <v>7787</v>
      </c>
      <c r="H987" s="99" t="str">
        <f t="shared" si="57"/>
        <v>W23A.8</v>
      </c>
      <c r="I987" s="13"/>
      <c r="J987" s="13"/>
      <c r="K987" s="13"/>
      <c r="L987" s="48"/>
      <c r="M987" s="49" t="str">
        <f t="shared" si="58"/>
        <v>[W23A.8]</v>
      </c>
      <c r="N987" s="12" t="str">
        <f t="shared" si="59"/>
        <v xml:space="preserve"> </v>
      </c>
      <c r="O987" s="49" t="str">
        <f t="shared" si="60"/>
        <v xml:space="preserve">[W23A.8] </v>
      </c>
    </row>
    <row r="988" spans="1:15" s="49" customFormat="1" ht="14.15" customHeight="1">
      <c r="A988" s="44"/>
      <c r="B988" s="11"/>
      <c r="C988" s="11" t="s">
        <v>18</v>
      </c>
      <c r="D988" s="45" t="s">
        <v>16</v>
      </c>
      <c r="E988" s="47"/>
      <c r="F988" s="39" t="s">
        <v>846</v>
      </c>
      <c r="G988" s="13" t="s">
        <v>7788</v>
      </c>
      <c r="H988" s="99" t="str">
        <f t="shared" si="57"/>
        <v>W23A.9</v>
      </c>
      <c r="I988" s="13"/>
      <c r="J988" s="13"/>
      <c r="K988" s="13"/>
      <c r="L988" s="48"/>
      <c r="M988" s="49" t="str">
        <f t="shared" si="58"/>
        <v>[W23A.9]</v>
      </c>
      <c r="N988" s="12" t="str">
        <f t="shared" si="59"/>
        <v xml:space="preserve"> </v>
      </c>
      <c r="O988" s="49" t="str">
        <f t="shared" si="60"/>
        <v xml:space="preserve">[W23A.9] </v>
      </c>
    </row>
    <row r="989" spans="1:15" s="49" customFormat="1" ht="17">
      <c r="A989" s="43" t="s">
        <v>2150</v>
      </c>
      <c r="B989" s="11"/>
      <c r="C989" s="11" t="s">
        <v>18</v>
      </c>
      <c r="D989" s="45" t="s">
        <v>16</v>
      </c>
      <c r="E989" s="47"/>
      <c r="F989" s="39" t="s">
        <v>847</v>
      </c>
      <c r="G989" s="13" t="s">
        <v>7789</v>
      </c>
      <c r="H989" s="99" t="str">
        <f t="shared" si="57"/>
        <v>W23A.A</v>
      </c>
      <c r="I989" s="13" t="s">
        <v>17</v>
      </c>
      <c r="J989" s="13"/>
      <c r="K989" s="13"/>
      <c r="L989" s="48"/>
      <c r="M989" s="49" t="str">
        <f t="shared" si="58"/>
        <v>[W23A.A]</v>
      </c>
      <c r="N989" s="12" t="str">
        <f t="shared" si="59"/>
        <v xml:space="preserve"> 쿨링 이재기 제품 데이터 불일치 이상 (X482)</v>
      </c>
      <c r="O989" s="49" t="str">
        <f t="shared" si="60"/>
        <v>[W23A.A] 쿨링 이재기 제품 데이터 불일치 이상 (X482)</v>
      </c>
    </row>
    <row r="990" spans="1:15" s="49" customFormat="1" ht="14.15" customHeight="1">
      <c r="A990" s="43" t="s">
        <v>2150</v>
      </c>
      <c r="B990" s="11"/>
      <c r="C990" s="11" t="s">
        <v>18</v>
      </c>
      <c r="D990" s="45" t="s">
        <v>16</v>
      </c>
      <c r="E990" s="47"/>
      <c r="F990" s="39" t="s">
        <v>848</v>
      </c>
      <c r="G990" s="13" t="s">
        <v>7790</v>
      </c>
      <c r="H990" s="99" t="str">
        <f t="shared" si="57"/>
        <v>W23A.B</v>
      </c>
      <c r="I990" s="13" t="s">
        <v>104</v>
      </c>
      <c r="J990" s="13"/>
      <c r="K990" s="13"/>
      <c r="L990" s="48"/>
      <c r="M990" s="49" t="str">
        <f t="shared" si="58"/>
        <v>[W23A.B]</v>
      </c>
      <c r="N990" s="12" t="str">
        <f t="shared" si="59"/>
        <v xml:space="preserve"> 쿨링 배출 Z축 피치 이동 정지 위치 이상 (X498)</v>
      </c>
      <c r="O990" s="49" t="str">
        <f t="shared" si="60"/>
        <v>[W23A.B] 쿨링 배출 Z축 피치 이동 정지 위치 이상 (X498)</v>
      </c>
    </row>
    <row r="991" spans="1:15" s="49" customFormat="1" ht="14.15" customHeight="1">
      <c r="A991" s="43" t="s">
        <v>2150</v>
      </c>
      <c r="B991" s="11"/>
      <c r="C991" s="11" t="s">
        <v>18</v>
      </c>
      <c r="D991" s="45" t="s">
        <v>16</v>
      </c>
      <c r="E991" s="47"/>
      <c r="F991" s="39" t="s">
        <v>849</v>
      </c>
      <c r="G991" s="13" t="s">
        <v>7791</v>
      </c>
      <c r="H991" s="99" t="str">
        <f t="shared" si="57"/>
        <v>W23A.C</v>
      </c>
      <c r="I991" s="13" t="s">
        <v>17</v>
      </c>
      <c r="J991" s="13"/>
      <c r="K991" s="13"/>
      <c r="L991" s="48"/>
      <c r="M991" s="49" t="str">
        <f t="shared" si="58"/>
        <v>[W23A.C]</v>
      </c>
      <c r="N991" s="12" t="str">
        <f t="shared" si="59"/>
        <v xml:space="preserve"> 쿨링 배출 Z축 피치 이동 위치 이상</v>
      </c>
      <c r="O991" s="49" t="str">
        <f t="shared" si="60"/>
        <v>[W23A.C] 쿨링 배출 Z축 피치 이동 위치 이상</v>
      </c>
    </row>
    <row r="992" spans="1:15" s="49" customFormat="1" ht="14.15" customHeight="1">
      <c r="A992" s="44"/>
      <c r="B992" s="11"/>
      <c r="C992" s="11" t="s">
        <v>18</v>
      </c>
      <c r="D992" s="45" t="s">
        <v>16</v>
      </c>
      <c r="E992" s="47"/>
      <c r="F992" s="39" t="s">
        <v>850</v>
      </c>
      <c r="G992" s="13" t="s">
        <v>7792</v>
      </c>
      <c r="H992" s="99" t="str">
        <f t="shared" si="57"/>
        <v>W23A.D</v>
      </c>
      <c r="I992" s="13"/>
      <c r="J992" s="13"/>
      <c r="K992" s="13"/>
      <c r="L992" s="48"/>
      <c r="M992" s="49" t="str">
        <f t="shared" si="58"/>
        <v>[W23A.D]</v>
      </c>
      <c r="N992" s="12" t="str">
        <f t="shared" si="59"/>
        <v xml:space="preserve"> </v>
      </c>
      <c r="O992" s="49" t="str">
        <f t="shared" si="60"/>
        <v xml:space="preserve">[W23A.D] </v>
      </c>
    </row>
    <row r="993" spans="1:15" s="49" customFormat="1" ht="14.15" customHeight="1">
      <c r="A993" s="44"/>
      <c r="B993" s="11"/>
      <c r="C993" s="11" t="s">
        <v>18</v>
      </c>
      <c r="D993" s="45" t="s">
        <v>16</v>
      </c>
      <c r="E993" s="47"/>
      <c r="F993" s="39" t="s">
        <v>851</v>
      </c>
      <c r="G993" s="13" t="s">
        <v>7793</v>
      </c>
      <c r="H993" s="99" t="str">
        <f t="shared" si="57"/>
        <v>W23A.E</v>
      </c>
      <c r="I993" s="13"/>
      <c r="J993" s="13"/>
      <c r="K993" s="13"/>
      <c r="L993" s="48"/>
      <c r="M993" s="49" t="str">
        <f t="shared" si="58"/>
        <v>[W23A.E]</v>
      </c>
      <c r="N993" s="12" t="str">
        <f t="shared" si="59"/>
        <v xml:space="preserve"> </v>
      </c>
      <c r="O993" s="49" t="str">
        <f t="shared" si="60"/>
        <v xml:space="preserve">[W23A.E] </v>
      </c>
    </row>
    <row r="994" spans="1:15" s="49" customFormat="1" ht="14.15" customHeight="1">
      <c r="A994" s="44"/>
      <c r="B994" s="11"/>
      <c r="C994" s="11" t="s">
        <v>18</v>
      </c>
      <c r="D994" s="45" t="s">
        <v>16</v>
      </c>
      <c r="E994" s="47"/>
      <c r="F994" s="39" t="s">
        <v>852</v>
      </c>
      <c r="G994" s="13" t="s">
        <v>7794</v>
      </c>
      <c r="H994" s="99" t="str">
        <f t="shared" si="57"/>
        <v>W23A.F</v>
      </c>
      <c r="I994" s="13"/>
      <c r="J994" s="13"/>
      <c r="K994" s="13"/>
      <c r="L994" s="48"/>
      <c r="M994" s="49" t="str">
        <f t="shared" si="58"/>
        <v>[W23A.F]</v>
      </c>
      <c r="N994" s="12" t="str">
        <f t="shared" si="59"/>
        <v xml:space="preserve"> </v>
      </c>
      <c r="O994" s="49" t="str">
        <f t="shared" si="60"/>
        <v xml:space="preserve">[W23A.F] </v>
      </c>
    </row>
    <row r="995" spans="1:15" s="49" customFormat="1" ht="14.15" customHeight="1">
      <c r="A995" s="44"/>
      <c r="B995" s="11"/>
      <c r="C995" s="11" t="s">
        <v>18</v>
      </c>
      <c r="D995" s="45" t="s">
        <v>16</v>
      </c>
      <c r="E995" s="47"/>
      <c r="F995" s="39" t="s">
        <v>853</v>
      </c>
      <c r="G995" s="13" t="s">
        <v>7795</v>
      </c>
      <c r="H995" s="99" t="str">
        <f t="shared" si="57"/>
        <v>W23B.0</v>
      </c>
      <c r="I995" s="13"/>
      <c r="J995" s="13"/>
      <c r="K995" s="13"/>
      <c r="L995" s="48"/>
      <c r="M995" s="49" t="str">
        <f t="shared" si="58"/>
        <v>[W23B.0]</v>
      </c>
      <c r="N995" s="12" t="str">
        <f t="shared" si="59"/>
        <v xml:space="preserve"> </v>
      </c>
      <c r="O995" s="49" t="str">
        <f t="shared" si="60"/>
        <v xml:space="preserve">[W23B.0] </v>
      </c>
    </row>
    <row r="996" spans="1:15" s="49" customFormat="1" ht="14.15" customHeight="1">
      <c r="A996" s="44"/>
      <c r="B996" s="11"/>
      <c r="C996" s="11" t="s">
        <v>18</v>
      </c>
      <c r="D996" s="45" t="s">
        <v>16</v>
      </c>
      <c r="E996" s="47"/>
      <c r="F996" s="39" t="s">
        <v>854</v>
      </c>
      <c r="G996" s="13" t="s">
        <v>7796</v>
      </c>
      <c r="H996" s="99" t="str">
        <f t="shared" si="57"/>
        <v>W23B.1</v>
      </c>
      <c r="I996" s="13"/>
      <c r="J996" s="13"/>
      <c r="K996" s="13"/>
      <c r="L996" s="48"/>
      <c r="M996" s="49" t="str">
        <f t="shared" si="58"/>
        <v>[W23B.1]</v>
      </c>
      <c r="N996" s="12" t="str">
        <f t="shared" si="59"/>
        <v xml:space="preserve"> </v>
      </c>
      <c r="O996" s="49" t="str">
        <f t="shared" si="60"/>
        <v xml:space="preserve">[W23B.1] </v>
      </c>
    </row>
    <row r="997" spans="1:15" s="49" customFormat="1" ht="14.15" customHeight="1">
      <c r="A997" s="44"/>
      <c r="B997" s="11"/>
      <c r="C997" s="11" t="s">
        <v>18</v>
      </c>
      <c r="D997" s="45" t="s">
        <v>16</v>
      </c>
      <c r="E997" s="47"/>
      <c r="F997" s="39" t="s">
        <v>855</v>
      </c>
      <c r="G997" s="13" t="s">
        <v>7797</v>
      </c>
      <c r="H997" s="99" t="str">
        <f t="shared" si="57"/>
        <v>W23B.2</v>
      </c>
      <c r="I997" s="13"/>
      <c r="J997" s="13"/>
      <c r="K997" s="13"/>
      <c r="L997" s="48"/>
      <c r="M997" s="49" t="str">
        <f t="shared" si="58"/>
        <v>[W23B.2]</v>
      </c>
      <c r="N997" s="12" t="str">
        <f t="shared" si="59"/>
        <v xml:space="preserve"> </v>
      </c>
      <c r="O997" s="49" t="str">
        <f t="shared" si="60"/>
        <v xml:space="preserve">[W23B.2] </v>
      </c>
    </row>
    <row r="998" spans="1:15" s="49" customFormat="1" ht="14.15" customHeight="1">
      <c r="A998" s="44"/>
      <c r="B998" s="11"/>
      <c r="C998" s="11" t="s">
        <v>18</v>
      </c>
      <c r="D998" s="45" t="s">
        <v>16</v>
      </c>
      <c r="E998" s="47"/>
      <c r="F998" s="39" t="s">
        <v>856</v>
      </c>
      <c r="G998" s="13" t="s">
        <v>7798</v>
      </c>
      <c r="H998" s="99" t="str">
        <f t="shared" si="57"/>
        <v>W23B.3</v>
      </c>
      <c r="I998" s="13"/>
      <c r="J998" s="13"/>
      <c r="K998" s="13"/>
      <c r="L998" s="48"/>
      <c r="M998" s="49" t="str">
        <f t="shared" si="58"/>
        <v>[W23B.3]</v>
      </c>
      <c r="N998" s="12" t="str">
        <f t="shared" si="59"/>
        <v xml:space="preserve"> </v>
      </c>
      <c r="O998" s="49" t="str">
        <f t="shared" si="60"/>
        <v xml:space="preserve">[W23B.3] </v>
      </c>
    </row>
    <row r="999" spans="1:15" s="49" customFormat="1" ht="14.15" customHeight="1">
      <c r="A999" s="44"/>
      <c r="B999" s="11"/>
      <c r="C999" s="11" t="s">
        <v>18</v>
      </c>
      <c r="D999" s="45" t="s">
        <v>16</v>
      </c>
      <c r="E999" s="47"/>
      <c r="F999" s="39" t="s">
        <v>857</v>
      </c>
      <c r="G999" s="13" t="s">
        <v>7799</v>
      </c>
      <c r="H999" s="99" t="str">
        <f t="shared" si="57"/>
        <v>W23B.4</v>
      </c>
      <c r="I999" s="13"/>
      <c r="J999" s="13"/>
      <c r="K999" s="13"/>
      <c r="L999" s="48"/>
      <c r="M999" s="49" t="str">
        <f t="shared" si="58"/>
        <v>[W23B.4]</v>
      </c>
      <c r="N999" s="12" t="str">
        <f t="shared" si="59"/>
        <v xml:space="preserve"> </v>
      </c>
      <c r="O999" s="49" t="str">
        <f t="shared" si="60"/>
        <v xml:space="preserve">[W23B.4] </v>
      </c>
    </row>
    <row r="1000" spans="1:15" s="49" customFormat="1" ht="14.15" customHeight="1">
      <c r="A1000" s="43" t="s">
        <v>2150</v>
      </c>
      <c r="B1000" s="11"/>
      <c r="C1000" s="11" t="s">
        <v>18</v>
      </c>
      <c r="D1000" s="45" t="s">
        <v>16</v>
      </c>
      <c r="E1000" s="47"/>
      <c r="F1000" s="39" t="s">
        <v>858</v>
      </c>
      <c r="G1000" s="13" t="s">
        <v>7800</v>
      </c>
      <c r="H1000" s="99" t="str">
        <f t="shared" si="57"/>
        <v>W23B.5</v>
      </c>
      <c r="I1000" s="13" t="s">
        <v>17</v>
      </c>
      <c r="J1000" s="13"/>
      <c r="K1000" s="13"/>
      <c r="L1000" s="48"/>
      <c r="M1000" s="49" t="str">
        <f t="shared" si="58"/>
        <v>[W23B.5]</v>
      </c>
      <c r="N1000" s="12" t="str">
        <f t="shared" si="59"/>
        <v xml:space="preserve"> 쿨링 배출 Z축 메인 시퀀스 이상</v>
      </c>
      <c r="O1000" s="49" t="str">
        <f t="shared" si="60"/>
        <v>[W23B.5] 쿨링 배출 Z축 메인 시퀀스 이상</v>
      </c>
    </row>
    <row r="1001" spans="1:15" s="49" customFormat="1" ht="14.15" customHeight="1">
      <c r="A1001" s="43" t="s">
        <v>2150</v>
      </c>
      <c r="B1001" s="11"/>
      <c r="C1001" s="11" t="s">
        <v>18</v>
      </c>
      <c r="D1001" s="45" t="s">
        <v>16</v>
      </c>
      <c r="E1001" s="47"/>
      <c r="F1001" s="39" t="s">
        <v>859</v>
      </c>
      <c r="G1001" s="13" t="s">
        <v>7801</v>
      </c>
      <c r="H1001" s="99" t="str">
        <f t="shared" si="57"/>
        <v>W23B.6</v>
      </c>
      <c r="I1001" s="13" t="s">
        <v>17</v>
      </c>
      <c r="J1001" s="13"/>
      <c r="K1001" s="13"/>
      <c r="L1001" s="48"/>
      <c r="M1001" s="49" t="str">
        <f t="shared" si="58"/>
        <v>[W23B.6]</v>
      </c>
      <c r="N1001" s="12" t="str">
        <f t="shared" si="59"/>
        <v xml:space="preserve"> 쿨링 배출 Z축 피치 이동 시간초과</v>
      </c>
      <c r="O1001" s="49" t="str">
        <f t="shared" si="60"/>
        <v>[W23B.6] 쿨링 배출 Z축 피치 이동 시간초과</v>
      </c>
    </row>
    <row r="1002" spans="1:15" s="49" customFormat="1" ht="14.15" customHeight="1">
      <c r="A1002" s="44"/>
      <c r="B1002" s="11"/>
      <c r="C1002" s="11" t="s">
        <v>18</v>
      </c>
      <c r="D1002" s="45" t="s">
        <v>16</v>
      </c>
      <c r="E1002" s="47"/>
      <c r="F1002" s="39" t="s">
        <v>860</v>
      </c>
      <c r="G1002" s="13" t="s">
        <v>7802</v>
      </c>
      <c r="H1002" s="99" t="str">
        <f t="shared" si="57"/>
        <v>W23B.7</v>
      </c>
      <c r="I1002" s="13"/>
      <c r="J1002" s="13"/>
      <c r="K1002" s="13"/>
      <c r="L1002" s="48"/>
      <c r="M1002" s="49" t="str">
        <f t="shared" si="58"/>
        <v>[W23B.7]</v>
      </c>
      <c r="N1002" s="12" t="str">
        <f t="shared" si="59"/>
        <v xml:space="preserve"> </v>
      </c>
      <c r="O1002" s="49" t="str">
        <f t="shared" si="60"/>
        <v xml:space="preserve">[W23B.7] </v>
      </c>
    </row>
    <row r="1003" spans="1:15" s="49" customFormat="1" ht="14.15" customHeight="1">
      <c r="A1003" s="44"/>
      <c r="B1003" s="11"/>
      <c r="C1003" s="11" t="s">
        <v>18</v>
      </c>
      <c r="D1003" s="45" t="s">
        <v>16</v>
      </c>
      <c r="E1003" s="47"/>
      <c r="F1003" s="39" t="s">
        <v>861</v>
      </c>
      <c r="G1003" s="13" t="s">
        <v>7803</v>
      </c>
      <c r="H1003" s="99" t="str">
        <f t="shared" si="57"/>
        <v>W23B.8</v>
      </c>
      <c r="I1003" s="13"/>
      <c r="J1003" s="13"/>
      <c r="K1003" s="13"/>
      <c r="L1003" s="48"/>
      <c r="M1003" s="49" t="str">
        <f t="shared" si="58"/>
        <v>[W23B.8]</v>
      </c>
      <c r="N1003" s="12" t="str">
        <f t="shared" si="59"/>
        <v xml:space="preserve"> </v>
      </c>
      <c r="O1003" s="49" t="str">
        <f t="shared" si="60"/>
        <v xml:space="preserve">[W23B.8] </v>
      </c>
    </row>
    <row r="1004" spans="1:15" s="49" customFormat="1" ht="14.15" customHeight="1">
      <c r="A1004" s="44"/>
      <c r="B1004" s="11"/>
      <c r="C1004" s="11" t="s">
        <v>18</v>
      </c>
      <c r="D1004" s="45" t="s">
        <v>16</v>
      </c>
      <c r="E1004" s="47"/>
      <c r="F1004" s="39" t="s">
        <v>862</v>
      </c>
      <c r="G1004" s="13" t="s">
        <v>7804</v>
      </c>
      <c r="H1004" s="99" t="str">
        <f t="shared" si="57"/>
        <v>W23B.9</v>
      </c>
      <c r="I1004" s="13"/>
      <c r="J1004" s="13"/>
      <c r="K1004" s="13"/>
      <c r="L1004" s="48"/>
      <c r="M1004" s="49" t="str">
        <f t="shared" si="58"/>
        <v>[W23B.9]</v>
      </c>
      <c r="N1004" s="12" t="str">
        <f t="shared" si="59"/>
        <v xml:space="preserve"> </v>
      </c>
      <c r="O1004" s="49" t="str">
        <f t="shared" si="60"/>
        <v xml:space="preserve">[W23B.9] </v>
      </c>
    </row>
    <row r="1005" spans="1:15" s="49" customFormat="1" ht="14.15" customHeight="1">
      <c r="A1005" s="44"/>
      <c r="B1005" s="11"/>
      <c r="C1005" s="11" t="s">
        <v>18</v>
      </c>
      <c r="D1005" s="45" t="s">
        <v>16</v>
      </c>
      <c r="E1005" s="47"/>
      <c r="F1005" s="39" t="s">
        <v>863</v>
      </c>
      <c r="G1005" s="13" t="s">
        <v>7805</v>
      </c>
      <c r="H1005" s="99" t="str">
        <f t="shared" si="57"/>
        <v>W23B.A</v>
      </c>
      <c r="I1005" s="13"/>
      <c r="J1005" s="13"/>
      <c r="K1005" s="13"/>
      <c r="L1005" s="48"/>
      <c r="M1005" s="49" t="str">
        <f t="shared" si="58"/>
        <v>[W23B.A]</v>
      </c>
      <c r="N1005" s="12" t="str">
        <f t="shared" si="59"/>
        <v xml:space="preserve"> </v>
      </c>
      <c r="O1005" s="49" t="str">
        <f t="shared" si="60"/>
        <v xml:space="preserve">[W23B.A] </v>
      </c>
    </row>
    <row r="1006" spans="1:15" s="49" customFormat="1" ht="14.15" customHeight="1">
      <c r="A1006" s="44"/>
      <c r="B1006" s="11"/>
      <c r="C1006" s="11" t="s">
        <v>18</v>
      </c>
      <c r="D1006" s="45" t="s">
        <v>16</v>
      </c>
      <c r="E1006" s="47"/>
      <c r="F1006" s="39" t="s">
        <v>864</v>
      </c>
      <c r="G1006" s="13" t="s">
        <v>7806</v>
      </c>
      <c r="H1006" s="99" t="str">
        <f t="shared" si="57"/>
        <v>W23B.B</v>
      </c>
      <c r="I1006" s="13"/>
      <c r="J1006" s="13"/>
      <c r="K1006" s="13"/>
      <c r="L1006" s="48"/>
      <c r="M1006" s="49" t="str">
        <f t="shared" si="58"/>
        <v>[W23B.B]</v>
      </c>
      <c r="N1006" s="12" t="str">
        <f t="shared" si="59"/>
        <v xml:space="preserve"> </v>
      </c>
      <c r="O1006" s="49" t="str">
        <f t="shared" si="60"/>
        <v xml:space="preserve">[W23B.B] </v>
      </c>
    </row>
    <row r="1007" spans="1:15" s="49" customFormat="1" ht="14.15" customHeight="1">
      <c r="A1007" s="44"/>
      <c r="B1007" s="11"/>
      <c r="C1007" s="11" t="s">
        <v>18</v>
      </c>
      <c r="D1007" s="45" t="s">
        <v>16</v>
      </c>
      <c r="E1007" s="47"/>
      <c r="F1007" s="39" t="s">
        <v>865</v>
      </c>
      <c r="G1007" s="13" t="s">
        <v>7807</v>
      </c>
      <c r="H1007" s="99" t="str">
        <f t="shared" si="57"/>
        <v>W23B.C</v>
      </c>
      <c r="I1007" s="13"/>
      <c r="J1007" s="13"/>
      <c r="K1007" s="13"/>
      <c r="L1007" s="48"/>
      <c r="M1007" s="49" t="str">
        <f t="shared" si="58"/>
        <v>[W23B.C]</v>
      </c>
      <c r="N1007" s="12" t="str">
        <f t="shared" si="59"/>
        <v xml:space="preserve"> </v>
      </c>
      <c r="O1007" s="49" t="str">
        <f t="shared" si="60"/>
        <v xml:space="preserve">[W23B.C] </v>
      </c>
    </row>
    <row r="1008" spans="1:15" s="49" customFormat="1" ht="14.15" customHeight="1">
      <c r="A1008" s="43" t="s">
        <v>2150</v>
      </c>
      <c r="B1008" s="11"/>
      <c r="C1008" s="11" t="s">
        <v>18</v>
      </c>
      <c r="D1008" s="45" t="s">
        <v>16</v>
      </c>
      <c r="E1008" s="47"/>
      <c r="F1008" s="39" t="s">
        <v>866</v>
      </c>
      <c r="G1008" s="13" t="s">
        <v>7808</v>
      </c>
      <c r="H1008" s="99" t="str">
        <f t="shared" si="57"/>
        <v>W23B.D</v>
      </c>
      <c r="I1008" s="13" t="s">
        <v>17</v>
      </c>
      <c r="J1008" s="13"/>
      <c r="K1008" s="13"/>
      <c r="L1008" s="48"/>
      <c r="M1008" s="49" t="str">
        <f t="shared" si="58"/>
        <v>[W23B.D]</v>
      </c>
      <c r="N1008" s="12" t="str">
        <f t="shared" si="59"/>
        <v xml:space="preserve"> 쿨링 배출 Z축 상부 제품 데이터 불일치 이상 (X49F)</v>
      </c>
      <c r="O1008" s="49" t="str">
        <f t="shared" si="60"/>
        <v>[W23B.D] 쿨링 배출 Z축 상부 제품 데이터 불일치 이상 (X49F)</v>
      </c>
    </row>
    <row r="1009" spans="1:15" s="49" customFormat="1" ht="14.15" customHeight="1">
      <c r="A1009" s="43" t="s">
        <v>2150</v>
      </c>
      <c r="B1009" s="11"/>
      <c r="C1009" s="11" t="s">
        <v>18</v>
      </c>
      <c r="D1009" s="45" t="s">
        <v>16</v>
      </c>
      <c r="E1009" s="47"/>
      <c r="F1009" s="39" t="s">
        <v>867</v>
      </c>
      <c r="G1009" s="13" t="s">
        <v>7809</v>
      </c>
      <c r="H1009" s="99" t="str">
        <f t="shared" si="57"/>
        <v>W23B.E</v>
      </c>
      <c r="I1009" s="13" t="s">
        <v>104</v>
      </c>
      <c r="J1009" s="13"/>
      <c r="K1009" s="13"/>
      <c r="L1009" s="48"/>
      <c r="M1009" s="49" t="str">
        <f t="shared" si="58"/>
        <v>[W23B.E]</v>
      </c>
      <c r="N1009" s="12" t="str">
        <f t="shared" si="59"/>
        <v xml:space="preserve"> 쿨링 배출 Z축 하부 제품 데이터 불일치 이상 (X3CA)</v>
      </c>
      <c r="O1009" s="49" t="str">
        <f t="shared" si="60"/>
        <v>[W23B.E] 쿨링 배출 Z축 하부 제품 데이터 불일치 이상 (X3CA)</v>
      </c>
    </row>
    <row r="1010" spans="1:15" s="49" customFormat="1" ht="14.15" customHeight="1">
      <c r="A1010" s="43" t="s">
        <v>2151</v>
      </c>
      <c r="B1010" s="11"/>
      <c r="C1010" s="11" t="s">
        <v>18</v>
      </c>
      <c r="D1010" s="45" t="s">
        <v>16</v>
      </c>
      <c r="E1010" s="47"/>
      <c r="F1010" s="39" t="s">
        <v>868</v>
      </c>
      <c r="G1010" s="13" t="s">
        <v>7810</v>
      </c>
      <c r="H1010" s="99" t="str">
        <f t="shared" si="57"/>
        <v>W23B.F</v>
      </c>
      <c r="I1010" s="13" t="s">
        <v>17</v>
      </c>
      <c r="J1010" s="13"/>
      <c r="K1010" s="13"/>
      <c r="L1010" s="48"/>
      <c r="M1010" s="49" t="str">
        <f t="shared" si="58"/>
        <v>[W23B.F]</v>
      </c>
      <c r="N1010" s="12" t="str">
        <f t="shared" si="59"/>
        <v xml:space="preserve"> 쿨링 배출 캐비티 제품 수취 시간초과</v>
      </c>
      <c r="O1010" s="49" t="str">
        <f t="shared" si="60"/>
        <v>[W23B.F] 쿨링 배출 캐비티 제품 수취 시간초과</v>
      </c>
    </row>
    <row r="1011" spans="1:15" s="49" customFormat="1" ht="14.15" customHeight="1">
      <c r="A1011" s="43" t="s">
        <v>2151</v>
      </c>
      <c r="B1011" s="11"/>
      <c r="C1011" s="11" t="s">
        <v>18</v>
      </c>
      <c r="D1011" s="45" t="s">
        <v>16</v>
      </c>
      <c r="E1011" s="47"/>
      <c r="F1011" s="39" t="s">
        <v>869</v>
      </c>
      <c r="G1011" s="13" t="s">
        <v>7811</v>
      </c>
      <c r="H1011" s="99" t="str">
        <f t="shared" si="57"/>
        <v>W23C.0</v>
      </c>
      <c r="I1011" s="13" t="s">
        <v>17</v>
      </c>
      <c r="J1011" s="13"/>
      <c r="K1011" s="13"/>
      <c r="L1011" s="48"/>
      <c r="M1011" s="49" t="str">
        <f t="shared" si="58"/>
        <v>[W23C.0]</v>
      </c>
      <c r="N1011" s="12" t="str">
        <f t="shared" si="59"/>
        <v xml:space="preserve"> 쿨링 배출 캐비티 제품 배출 시간초과</v>
      </c>
      <c r="O1011" s="49" t="str">
        <f t="shared" si="60"/>
        <v>[W23C.0] 쿨링 배출 캐비티 제품 배출 시간초과</v>
      </c>
    </row>
    <row r="1012" spans="1:15" s="49" customFormat="1" ht="14.15" customHeight="1">
      <c r="A1012" s="43" t="s">
        <v>2151</v>
      </c>
      <c r="B1012" s="11"/>
      <c r="C1012" s="11" t="s">
        <v>18</v>
      </c>
      <c r="D1012" s="45" t="s">
        <v>16</v>
      </c>
      <c r="E1012" s="47"/>
      <c r="F1012" s="39" t="s">
        <v>870</v>
      </c>
      <c r="G1012" s="13" t="s">
        <v>7812</v>
      </c>
      <c r="H1012" s="99" t="str">
        <f t="shared" ref="H1012:H1075" si="61">"W"&amp;DEC2HEX(512 + INT((ROW()-51)/16)) &amp; "." &amp; IF(MOD(ROW()-51,16)&lt;10,MOD(ROW()-51,16),CHAR(MOD(ROW()-51,16)+55))</f>
        <v>W23C.1</v>
      </c>
      <c r="I1012" s="13" t="s">
        <v>104</v>
      </c>
      <c r="J1012" s="13"/>
      <c r="K1012" s="13"/>
      <c r="L1012" s="48"/>
      <c r="M1012" s="49" t="str">
        <f t="shared" ref="M1012:M1075" si="62">"["&amp;H1012&amp;"]"</f>
        <v>[W23C.1]</v>
      </c>
      <c r="N1012" s="12" t="str">
        <f t="shared" ref="N1012:N1075" si="63">RIGHT(F1012,LEN(F1012)-7)</f>
        <v xml:space="preserve"> 쿨링 배출 캐비티 제품 수취 시퀀스 이상</v>
      </c>
      <c r="O1012" s="49" t="str">
        <f t="shared" ref="O1012:O1075" si="64">M1012&amp;N1012</f>
        <v>[W23C.1] 쿨링 배출 캐비티 제품 수취 시퀀스 이상</v>
      </c>
    </row>
    <row r="1013" spans="1:15" s="49" customFormat="1" ht="14.15" customHeight="1">
      <c r="A1013" s="44"/>
      <c r="B1013" s="11"/>
      <c r="C1013" s="11" t="s">
        <v>18</v>
      </c>
      <c r="D1013" s="45" t="s">
        <v>16</v>
      </c>
      <c r="E1013" s="47"/>
      <c r="F1013" s="39" t="s">
        <v>871</v>
      </c>
      <c r="G1013" s="13" t="s">
        <v>7813</v>
      </c>
      <c r="H1013" s="99" t="str">
        <f t="shared" si="61"/>
        <v>W23C.2</v>
      </c>
      <c r="I1013" s="13"/>
      <c r="J1013" s="13"/>
      <c r="K1013" s="13"/>
      <c r="L1013" s="48"/>
      <c r="M1013" s="49" t="str">
        <f t="shared" si="62"/>
        <v>[W23C.2]</v>
      </c>
      <c r="N1013" s="12" t="str">
        <f t="shared" si="63"/>
        <v xml:space="preserve"> </v>
      </c>
      <c r="O1013" s="49" t="str">
        <f t="shared" si="64"/>
        <v xml:space="preserve">[W23C.2] </v>
      </c>
    </row>
    <row r="1014" spans="1:15" s="49" customFormat="1" ht="14.15" customHeight="1">
      <c r="A1014" s="43" t="s">
        <v>2151</v>
      </c>
      <c r="B1014" s="11"/>
      <c r="C1014" s="11" t="s">
        <v>18</v>
      </c>
      <c r="D1014" s="45" t="s">
        <v>16</v>
      </c>
      <c r="E1014" s="47"/>
      <c r="F1014" s="39" t="s">
        <v>872</v>
      </c>
      <c r="G1014" s="13" t="s">
        <v>7814</v>
      </c>
      <c r="H1014" s="99" t="str">
        <f t="shared" si="61"/>
        <v>W23C.3</v>
      </c>
      <c r="I1014" s="13" t="s">
        <v>17</v>
      </c>
      <c r="J1014" s="13"/>
      <c r="K1014" s="13"/>
      <c r="L1014" s="48"/>
      <c r="M1014" s="49" t="str">
        <f t="shared" si="62"/>
        <v>[W23C.3]</v>
      </c>
      <c r="N1014" s="12" t="str">
        <f t="shared" si="63"/>
        <v xml:space="preserve"> 쿨링 배출 캐비티 제품 베츨 시퀀스 이상</v>
      </c>
      <c r="O1014" s="49" t="str">
        <f t="shared" si="64"/>
        <v>[W23C.3] 쿨링 배출 캐비티 제품 베츨 시퀀스 이상</v>
      </c>
    </row>
    <row r="1015" spans="1:15" s="49" customFormat="1" ht="14.15" customHeight="1">
      <c r="A1015" s="44"/>
      <c r="B1015" s="11"/>
      <c r="C1015" s="11" t="s">
        <v>18</v>
      </c>
      <c r="D1015" s="45" t="s">
        <v>16</v>
      </c>
      <c r="E1015" s="47"/>
      <c r="F1015" s="39" t="s">
        <v>873</v>
      </c>
      <c r="G1015" s="13" t="s">
        <v>7815</v>
      </c>
      <c r="H1015" s="99" t="str">
        <f t="shared" si="61"/>
        <v>W23C.4</v>
      </c>
      <c r="I1015" s="13"/>
      <c r="J1015" s="13"/>
      <c r="K1015" s="13"/>
      <c r="L1015" s="48"/>
      <c r="M1015" s="49" t="str">
        <f t="shared" si="62"/>
        <v>[W23C.4]</v>
      </c>
      <c r="N1015" s="12" t="str">
        <f t="shared" si="63"/>
        <v xml:space="preserve"> </v>
      </c>
      <c r="O1015" s="49" t="str">
        <f t="shared" si="64"/>
        <v xml:space="preserve">[W23C.4] </v>
      </c>
    </row>
    <row r="1016" spans="1:15" s="49" customFormat="1" ht="14.15" customHeight="1">
      <c r="A1016" s="44"/>
      <c r="B1016" s="11"/>
      <c r="C1016" s="11" t="s">
        <v>18</v>
      </c>
      <c r="D1016" s="45" t="s">
        <v>16</v>
      </c>
      <c r="E1016" s="47"/>
      <c r="F1016" s="39" t="s">
        <v>874</v>
      </c>
      <c r="G1016" s="13" t="s">
        <v>7816</v>
      </c>
      <c r="H1016" s="99" t="str">
        <f t="shared" si="61"/>
        <v>W23C.5</v>
      </c>
      <c r="I1016" s="13"/>
      <c r="J1016" s="13"/>
      <c r="K1016" s="13"/>
      <c r="L1016" s="48"/>
      <c r="M1016" s="49" t="str">
        <f t="shared" si="62"/>
        <v>[W23C.5]</v>
      </c>
      <c r="N1016" s="12" t="str">
        <f t="shared" si="63"/>
        <v xml:space="preserve"> </v>
      </c>
      <c r="O1016" s="49" t="str">
        <f t="shared" si="64"/>
        <v xml:space="preserve">[W23C.5] </v>
      </c>
    </row>
    <row r="1017" spans="1:15" s="49" customFormat="1" ht="14.15" customHeight="1">
      <c r="A1017" s="44"/>
      <c r="B1017" s="11"/>
      <c r="C1017" s="11" t="s">
        <v>18</v>
      </c>
      <c r="D1017" s="45" t="s">
        <v>16</v>
      </c>
      <c r="E1017" s="47"/>
      <c r="F1017" s="39" t="s">
        <v>875</v>
      </c>
      <c r="G1017" s="13" t="s">
        <v>7817</v>
      </c>
      <c r="H1017" s="99" t="str">
        <f t="shared" si="61"/>
        <v>W23C.6</v>
      </c>
      <c r="I1017" s="13"/>
      <c r="J1017" s="13"/>
      <c r="K1017" s="13"/>
      <c r="L1017" s="48"/>
      <c r="M1017" s="49" t="str">
        <f t="shared" si="62"/>
        <v>[W23C.6]</v>
      </c>
      <c r="N1017" s="12" t="str">
        <f t="shared" si="63"/>
        <v xml:space="preserve"> </v>
      </c>
      <c r="O1017" s="49" t="str">
        <f t="shared" si="64"/>
        <v xml:space="preserve">[W23C.6] </v>
      </c>
    </row>
    <row r="1018" spans="1:15" s="49" customFormat="1" ht="14.15" customHeight="1">
      <c r="A1018" s="44"/>
      <c r="B1018" s="11"/>
      <c r="C1018" s="11" t="s">
        <v>18</v>
      </c>
      <c r="D1018" s="45" t="s">
        <v>16</v>
      </c>
      <c r="E1018" s="47"/>
      <c r="F1018" s="39" t="s">
        <v>876</v>
      </c>
      <c r="G1018" s="13" t="s">
        <v>7818</v>
      </c>
      <c r="H1018" s="99" t="str">
        <f t="shared" si="61"/>
        <v>W23C.7</v>
      </c>
      <c r="I1018" s="13"/>
      <c r="J1018" s="13"/>
      <c r="K1018" s="13"/>
      <c r="L1018" s="48"/>
      <c r="M1018" s="49" t="str">
        <f t="shared" si="62"/>
        <v>[W23C.7]</v>
      </c>
      <c r="N1018" s="12" t="str">
        <f t="shared" si="63"/>
        <v xml:space="preserve"> </v>
      </c>
      <c r="O1018" s="49" t="str">
        <f t="shared" si="64"/>
        <v xml:space="preserve">[W23C.7] </v>
      </c>
    </row>
    <row r="1019" spans="1:15" s="49" customFormat="1" ht="14.15" customHeight="1">
      <c r="A1019" s="44"/>
      <c r="B1019" s="11"/>
      <c r="C1019" s="11" t="s">
        <v>18</v>
      </c>
      <c r="D1019" s="45" t="s">
        <v>16</v>
      </c>
      <c r="E1019" s="47"/>
      <c r="F1019" s="39" t="s">
        <v>877</v>
      </c>
      <c r="G1019" s="13" t="s">
        <v>7819</v>
      </c>
      <c r="H1019" s="99" t="str">
        <f t="shared" si="61"/>
        <v>W23C.8</v>
      </c>
      <c r="I1019" s="13"/>
      <c r="J1019" s="13"/>
      <c r="K1019" s="13"/>
      <c r="L1019" s="48"/>
      <c r="M1019" s="49" t="str">
        <f t="shared" si="62"/>
        <v>[W23C.8]</v>
      </c>
      <c r="N1019" s="12" t="str">
        <f t="shared" si="63"/>
        <v xml:space="preserve"> </v>
      </c>
      <c r="O1019" s="49" t="str">
        <f t="shared" si="64"/>
        <v xml:space="preserve">[W23C.8] </v>
      </c>
    </row>
    <row r="1020" spans="1:15" s="49" customFormat="1" ht="14.15" customHeight="1">
      <c r="A1020" s="44"/>
      <c r="B1020" s="11"/>
      <c r="C1020" s="11" t="s">
        <v>18</v>
      </c>
      <c r="D1020" s="45" t="s">
        <v>16</v>
      </c>
      <c r="E1020" s="47"/>
      <c r="F1020" s="39" t="s">
        <v>878</v>
      </c>
      <c r="G1020" s="13" t="s">
        <v>7820</v>
      </c>
      <c r="H1020" s="99" t="str">
        <f t="shared" si="61"/>
        <v>W23C.9</v>
      </c>
      <c r="I1020" s="13"/>
      <c r="J1020" s="13"/>
      <c r="K1020" s="13"/>
      <c r="L1020" s="48"/>
      <c r="M1020" s="49" t="str">
        <f t="shared" si="62"/>
        <v>[W23C.9]</v>
      </c>
      <c r="N1020" s="12" t="str">
        <f t="shared" si="63"/>
        <v xml:space="preserve"> </v>
      </c>
      <c r="O1020" s="49" t="str">
        <f t="shared" si="64"/>
        <v xml:space="preserve">[W23C.9] </v>
      </c>
    </row>
    <row r="1021" spans="1:15" s="49" customFormat="1" ht="14.15" customHeight="1">
      <c r="A1021" s="44"/>
      <c r="B1021" s="11"/>
      <c r="C1021" s="11" t="s">
        <v>18</v>
      </c>
      <c r="D1021" s="45" t="s">
        <v>16</v>
      </c>
      <c r="E1021" s="47"/>
      <c r="F1021" s="39" t="s">
        <v>879</v>
      </c>
      <c r="G1021" s="13" t="s">
        <v>7821</v>
      </c>
      <c r="H1021" s="99" t="str">
        <f t="shared" si="61"/>
        <v>W23C.A</v>
      </c>
      <c r="I1021" s="13"/>
      <c r="J1021" s="13"/>
      <c r="K1021" s="13"/>
      <c r="L1021" s="48"/>
      <c r="M1021" s="49" t="str">
        <f t="shared" si="62"/>
        <v>[W23C.A]</v>
      </c>
      <c r="N1021" s="12" t="str">
        <f t="shared" si="63"/>
        <v xml:space="preserve"> </v>
      </c>
      <c r="O1021" s="49" t="str">
        <f t="shared" si="64"/>
        <v xml:space="preserve">[W23C.A] </v>
      </c>
    </row>
    <row r="1022" spans="1:15" s="49" customFormat="1" ht="14.15" customHeight="1">
      <c r="A1022" s="44"/>
      <c r="B1022" s="11"/>
      <c r="C1022" s="11" t="s">
        <v>18</v>
      </c>
      <c r="D1022" s="45" t="s">
        <v>16</v>
      </c>
      <c r="E1022" s="47"/>
      <c r="F1022" s="39" t="s">
        <v>880</v>
      </c>
      <c r="G1022" s="13" t="s">
        <v>7822</v>
      </c>
      <c r="H1022" s="99" t="str">
        <f t="shared" si="61"/>
        <v>W23C.B</v>
      </c>
      <c r="I1022" s="13"/>
      <c r="J1022" s="13"/>
      <c r="K1022" s="13"/>
      <c r="L1022" s="48"/>
      <c r="M1022" s="49" t="str">
        <f t="shared" si="62"/>
        <v>[W23C.B]</v>
      </c>
      <c r="N1022" s="12" t="str">
        <f t="shared" si="63"/>
        <v xml:space="preserve"> </v>
      </c>
      <c r="O1022" s="49" t="str">
        <f t="shared" si="64"/>
        <v xml:space="preserve">[W23C.B] </v>
      </c>
    </row>
    <row r="1023" spans="1:15" s="49" customFormat="1" ht="14.15" customHeight="1">
      <c r="A1023" s="44"/>
      <c r="B1023" s="11"/>
      <c r="C1023" s="11" t="s">
        <v>18</v>
      </c>
      <c r="D1023" s="45" t="s">
        <v>16</v>
      </c>
      <c r="E1023" s="47"/>
      <c r="F1023" s="39" t="s">
        <v>881</v>
      </c>
      <c r="G1023" s="13" t="s">
        <v>7823</v>
      </c>
      <c r="H1023" s="99" t="str">
        <f t="shared" si="61"/>
        <v>W23C.C</v>
      </c>
      <c r="I1023" s="13"/>
      <c r="J1023" s="13"/>
      <c r="K1023" s="13"/>
      <c r="L1023" s="48"/>
      <c r="M1023" s="49" t="str">
        <f t="shared" si="62"/>
        <v>[W23C.C]</v>
      </c>
      <c r="N1023" s="12" t="str">
        <f t="shared" si="63"/>
        <v xml:space="preserve"> </v>
      </c>
      <c r="O1023" s="49" t="str">
        <f t="shared" si="64"/>
        <v xml:space="preserve">[W23C.C] </v>
      </c>
    </row>
    <row r="1024" spans="1:15" s="49" customFormat="1" ht="14.15" customHeight="1">
      <c r="A1024" s="44"/>
      <c r="B1024" s="11"/>
      <c r="C1024" s="11" t="s">
        <v>18</v>
      </c>
      <c r="D1024" s="45" t="s">
        <v>16</v>
      </c>
      <c r="E1024" s="47"/>
      <c r="F1024" s="39" t="s">
        <v>882</v>
      </c>
      <c r="G1024" s="13" t="s">
        <v>7824</v>
      </c>
      <c r="H1024" s="99" t="str">
        <f t="shared" si="61"/>
        <v>W23C.D</v>
      </c>
      <c r="I1024" s="13"/>
      <c r="J1024" s="13"/>
      <c r="K1024" s="13"/>
      <c r="L1024" s="48"/>
      <c r="M1024" s="49" t="str">
        <f t="shared" si="62"/>
        <v>[W23C.D]</v>
      </c>
      <c r="N1024" s="12" t="str">
        <f t="shared" si="63"/>
        <v xml:space="preserve"> </v>
      </c>
      <c r="O1024" s="49" t="str">
        <f t="shared" si="64"/>
        <v xml:space="preserve">[W23C.D] </v>
      </c>
    </row>
    <row r="1025" spans="1:15" s="49" customFormat="1" ht="14.15" customHeight="1">
      <c r="A1025" s="44"/>
      <c r="B1025" s="11"/>
      <c r="C1025" s="11" t="s">
        <v>18</v>
      </c>
      <c r="D1025" s="45" t="s">
        <v>16</v>
      </c>
      <c r="E1025" s="47"/>
      <c r="F1025" s="39" t="s">
        <v>883</v>
      </c>
      <c r="G1025" s="13" t="s">
        <v>7825</v>
      </c>
      <c r="H1025" s="99" t="str">
        <f t="shared" si="61"/>
        <v>W23C.E</v>
      </c>
      <c r="I1025" s="13"/>
      <c r="J1025" s="13"/>
      <c r="K1025" s="13"/>
      <c r="L1025" s="48"/>
      <c r="M1025" s="49" t="str">
        <f t="shared" si="62"/>
        <v>[W23C.E]</v>
      </c>
      <c r="N1025" s="12" t="str">
        <f t="shared" si="63"/>
        <v xml:space="preserve"> </v>
      </c>
      <c r="O1025" s="49" t="str">
        <f t="shared" si="64"/>
        <v xml:space="preserve">[W23C.E] </v>
      </c>
    </row>
    <row r="1026" spans="1:15" s="49" customFormat="1" ht="14.15" customHeight="1">
      <c r="A1026" s="44"/>
      <c r="B1026" s="11"/>
      <c r="C1026" s="11" t="s">
        <v>18</v>
      </c>
      <c r="D1026" s="45" t="s">
        <v>16</v>
      </c>
      <c r="E1026" s="47"/>
      <c r="F1026" s="39" t="s">
        <v>884</v>
      </c>
      <c r="G1026" s="13" t="s">
        <v>7826</v>
      </c>
      <c r="H1026" s="99" t="str">
        <f t="shared" si="61"/>
        <v>W23C.F</v>
      </c>
      <c r="I1026" s="13"/>
      <c r="J1026" s="13"/>
      <c r="K1026" s="13"/>
      <c r="L1026" s="48"/>
      <c r="M1026" s="49" t="str">
        <f t="shared" si="62"/>
        <v>[W23C.F]</v>
      </c>
      <c r="N1026" s="12" t="str">
        <f t="shared" si="63"/>
        <v xml:space="preserve"> </v>
      </c>
      <c r="O1026" s="49" t="str">
        <f t="shared" si="64"/>
        <v xml:space="preserve">[W23C.F] </v>
      </c>
    </row>
    <row r="1027" spans="1:15" s="49" customFormat="1" ht="14.15" customHeight="1">
      <c r="A1027" s="44"/>
      <c r="B1027" s="11"/>
      <c r="C1027" s="11" t="s">
        <v>18</v>
      </c>
      <c r="D1027" s="45" t="s">
        <v>16</v>
      </c>
      <c r="E1027" s="47"/>
      <c r="F1027" s="39" t="s">
        <v>885</v>
      </c>
      <c r="G1027" s="13" t="s">
        <v>7827</v>
      </c>
      <c r="H1027" s="99" t="str">
        <f t="shared" si="61"/>
        <v>W23D.0</v>
      </c>
      <c r="I1027" s="13"/>
      <c r="J1027" s="13"/>
      <c r="K1027" s="13"/>
      <c r="L1027" s="48"/>
      <c r="M1027" s="49" t="str">
        <f t="shared" si="62"/>
        <v>[W23D.0]</v>
      </c>
      <c r="N1027" s="12" t="str">
        <f t="shared" si="63"/>
        <v xml:space="preserve"> </v>
      </c>
      <c r="O1027" s="49" t="str">
        <f t="shared" si="64"/>
        <v xml:space="preserve">[W23D.0] </v>
      </c>
    </row>
    <row r="1028" spans="1:15" s="49" customFormat="1" ht="14.15" customHeight="1">
      <c r="A1028" s="44"/>
      <c r="B1028" s="11"/>
      <c r="C1028" s="11" t="s">
        <v>18</v>
      </c>
      <c r="D1028" s="45" t="s">
        <v>16</v>
      </c>
      <c r="E1028" s="47"/>
      <c r="F1028" s="39" t="s">
        <v>886</v>
      </c>
      <c r="G1028" s="13" t="s">
        <v>7828</v>
      </c>
      <c r="H1028" s="99" t="str">
        <f t="shared" si="61"/>
        <v>W23D.1</v>
      </c>
      <c r="I1028" s="13"/>
      <c r="J1028" s="13"/>
      <c r="K1028" s="13"/>
      <c r="L1028" s="48"/>
      <c r="M1028" s="49" t="str">
        <f t="shared" si="62"/>
        <v>[W23D.1]</v>
      </c>
      <c r="N1028" s="12" t="str">
        <f t="shared" si="63"/>
        <v xml:space="preserve"> </v>
      </c>
      <c r="O1028" s="49" t="str">
        <f t="shared" si="64"/>
        <v xml:space="preserve">[W23D.1] </v>
      </c>
    </row>
    <row r="1029" spans="1:15" s="49" customFormat="1" ht="14.15" customHeight="1">
      <c r="A1029" s="43" t="s">
        <v>2151</v>
      </c>
      <c r="B1029" s="11"/>
      <c r="C1029" s="11" t="s">
        <v>18</v>
      </c>
      <c r="D1029" s="45" t="s">
        <v>16</v>
      </c>
      <c r="E1029" s="47"/>
      <c r="F1029" s="39" t="s">
        <v>887</v>
      </c>
      <c r="G1029" s="13" t="s">
        <v>7829</v>
      </c>
      <c r="H1029" s="99" t="str">
        <f t="shared" si="61"/>
        <v>W23D.2</v>
      </c>
      <c r="I1029" s="13" t="s">
        <v>17</v>
      </c>
      <c r="J1029" s="13"/>
      <c r="K1029" s="13"/>
      <c r="L1029" s="48"/>
      <c r="M1029" s="49" t="str">
        <f t="shared" si="62"/>
        <v>[W23D.2]</v>
      </c>
      <c r="N1029" s="12" t="str">
        <f t="shared" si="63"/>
        <v xml:space="preserve"> 쿨링 배출 캐비티 제품 데이터 불일치 이상 (X3CA)</v>
      </c>
      <c r="O1029" s="49" t="str">
        <f t="shared" si="64"/>
        <v>[W23D.2] 쿨링 배출 캐비티 제품 데이터 불일치 이상 (X3CA)</v>
      </c>
    </row>
    <row r="1030" spans="1:15" s="49" customFormat="1" ht="14.15" customHeight="1">
      <c r="A1030" s="43" t="s">
        <v>2151</v>
      </c>
      <c r="B1030" s="11"/>
      <c r="C1030" s="11" t="s">
        <v>18</v>
      </c>
      <c r="D1030" s="45" t="s">
        <v>16</v>
      </c>
      <c r="E1030" s="47"/>
      <c r="F1030" s="39" t="s">
        <v>888</v>
      </c>
      <c r="G1030" s="13" t="s">
        <v>7830</v>
      </c>
      <c r="H1030" s="99" t="str">
        <f t="shared" si="61"/>
        <v>W23D.3</v>
      </c>
      <c r="I1030" s="13" t="s">
        <v>17</v>
      </c>
      <c r="J1030" s="13"/>
      <c r="K1030" s="13"/>
      <c r="L1030" s="48"/>
      <c r="M1030" s="49" t="str">
        <f t="shared" si="62"/>
        <v>[W23D.3]</v>
      </c>
      <c r="N1030" s="12" t="str">
        <f t="shared" si="63"/>
        <v xml:space="preserve"> 컨베어 언로더 이재기 클램프R 전진 시간 초과 (Y4BB, X667, X66B, X66F, X673)</v>
      </c>
      <c r="O1030" s="49" t="str">
        <f t="shared" si="64"/>
        <v>[W23D.3] 컨베어 언로더 이재기 클램프R 전진 시간 초과 (Y4BB, X667, X66B, X66F, X673)</v>
      </c>
    </row>
    <row r="1031" spans="1:15" s="49" customFormat="1" ht="14.15" customHeight="1">
      <c r="A1031" s="43" t="s">
        <v>2151</v>
      </c>
      <c r="B1031" s="11"/>
      <c r="C1031" s="11" t="s">
        <v>18</v>
      </c>
      <c r="D1031" s="45" t="s">
        <v>16</v>
      </c>
      <c r="E1031" s="47"/>
      <c r="F1031" s="39" t="s">
        <v>889</v>
      </c>
      <c r="G1031" s="13" t="s">
        <v>7831</v>
      </c>
      <c r="H1031" s="99" t="str">
        <f t="shared" si="61"/>
        <v>W23D.4</v>
      </c>
      <c r="I1031" s="13" t="s">
        <v>104</v>
      </c>
      <c r="J1031" s="13"/>
      <c r="K1031" s="13"/>
      <c r="L1031" s="48"/>
      <c r="M1031" s="49" t="str">
        <f t="shared" si="62"/>
        <v>[W23D.4]</v>
      </c>
      <c r="N1031" s="12" t="str">
        <f t="shared" si="63"/>
        <v xml:space="preserve"> 컨베어 언로더 이재기 클램프R 후진 시간 초과 (Y4BC, X666, X66A, X66E, X672)</v>
      </c>
      <c r="O1031" s="49" t="str">
        <f t="shared" si="64"/>
        <v>[W23D.4] 컨베어 언로더 이재기 클램프R 후진 시간 초과 (Y4BC, X666, X66A, X66E, X672)</v>
      </c>
    </row>
    <row r="1032" spans="1:15" s="49" customFormat="1" ht="14.15" customHeight="1">
      <c r="A1032" s="43" t="s">
        <v>2151</v>
      </c>
      <c r="B1032" s="11"/>
      <c r="C1032" s="11" t="s">
        <v>18</v>
      </c>
      <c r="D1032" s="45" t="s">
        <v>16</v>
      </c>
      <c r="E1032" s="47"/>
      <c r="F1032" s="39" t="s">
        <v>890</v>
      </c>
      <c r="G1032" s="13" t="s">
        <v>7832</v>
      </c>
      <c r="H1032" s="99" t="str">
        <f t="shared" si="61"/>
        <v>W23D.5</v>
      </c>
      <c r="I1032" s="13" t="s">
        <v>17</v>
      </c>
      <c r="J1032" s="13"/>
      <c r="K1032" s="13"/>
      <c r="L1032" s="48"/>
      <c r="M1032" s="49" t="str">
        <f t="shared" si="62"/>
        <v>[W23D.5]</v>
      </c>
      <c r="N1032" s="12" t="str">
        <f t="shared" si="63"/>
        <v xml:space="preserve"> 컨베어 언로더 이재기 클램프R 전진/후진 시간 초과 (X667, X66B, X66F, X673, X666, X66A, X66E, X672)</v>
      </c>
      <c r="O1032" s="49" t="str">
        <f t="shared" si="64"/>
        <v>[W23D.5] 컨베어 언로더 이재기 클램프R 전진/후진 시간 초과 (X667, X66B, X66F, X673, X666, X66A, X66E, X672)</v>
      </c>
    </row>
    <row r="1033" spans="1:15" s="49" customFormat="1" ht="14.15" customHeight="1">
      <c r="A1033" s="43" t="s">
        <v>2151</v>
      </c>
      <c r="B1033" s="11"/>
      <c r="C1033" s="11" t="s">
        <v>18</v>
      </c>
      <c r="D1033" s="45" t="s">
        <v>16</v>
      </c>
      <c r="E1033" s="47"/>
      <c r="F1033" s="39" t="s">
        <v>891</v>
      </c>
      <c r="G1033" s="13" t="s">
        <v>7833</v>
      </c>
      <c r="H1033" s="99" t="str">
        <f t="shared" si="61"/>
        <v>W23D.6</v>
      </c>
      <c r="I1033" s="13" t="s">
        <v>17</v>
      </c>
      <c r="J1033" s="13"/>
      <c r="K1033" s="13"/>
      <c r="L1033" s="48"/>
      <c r="M1033" s="49" t="str">
        <f t="shared" si="62"/>
        <v>[W23D.6]</v>
      </c>
      <c r="N1033" s="12" t="str">
        <f t="shared" si="63"/>
        <v xml:space="preserve"> 컨베어 언로더 이재기 클램프L 전진 시간 초과 (Y489, X665, X669, X66D, X671)</v>
      </c>
      <c r="O1033" s="49" t="str">
        <f t="shared" si="64"/>
        <v>[W23D.6] 컨베어 언로더 이재기 클램프L 전진 시간 초과 (Y489, X665, X669, X66D, X671)</v>
      </c>
    </row>
    <row r="1034" spans="1:15" s="49" customFormat="1" ht="14.15" customHeight="1">
      <c r="A1034" s="43" t="s">
        <v>2151</v>
      </c>
      <c r="B1034" s="11"/>
      <c r="C1034" s="11" t="s">
        <v>18</v>
      </c>
      <c r="D1034" s="45" t="s">
        <v>16</v>
      </c>
      <c r="E1034" s="47"/>
      <c r="F1034" s="39" t="s">
        <v>892</v>
      </c>
      <c r="G1034" s="13" t="s">
        <v>7834</v>
      </c>
      <c r="H1034" s="99" t="str">
        <f t="shared" si="61"/>
        <v>W23D.7</v>
      </c>
      <c r="I1034" s="13" t="s">
        <v>17</v>
      </c>
      <c r="J1034" s="13"/>
      <c r="K1034" s="13"/>
      <c r="L1034" s="48"/>
      <c r="M1034" s="49" t="str">
        <f t="shared" si="62"/>
        <v>[W23D.7]</v>
      </c>
      <c r="N1034" s="12" t="str">
        <f t="shared" si="63"/>
        <v xml:space="preserve"> 컨베어 언로더 이재기 클램프L 후진 시간 초과 (Y48A, X664, X668, X66C, X670)</v>
      </c>
      <c r="O1034" s="49" t="str">
        <f t="shared" si="64"/>
        <v>[W23D.7] 컨베어 언로더 이재기 클램프L 후진 시간 초과 (Y48A, X664, X668, X66C, X670)</v>
      </c>
    </row>
    <row r="1035" spans="1:15" s="49" customFormat="1" ht="14.15" customHeight="1">
      <c r="A1035" s="43" t="s">
        <v>2151</v>
      </c>
      <c r="B1035" s="11"/>
      <c r="C1035" s="11" t="s">
        <v>18</v>
      </c>
      <c r="D1035" s="45" t="s">
        <v>16</v>
      </c>
      <c r="E1035" s="47"/>
      <c r="F1035" s="39" t="s">
        <v>893</v>
      </c>
      <c r="G1035" s="13" t="s">
        <v>7835</v>
      </c>
      <c r="H1035" s="99" t="str">
        <f t="shared" si="61"/>
        <v>W23D.8</v>
      </c>
      <c r="I1035" s="13" t="s">
        <v>104</v>
      </c>
      <c r="J1035" s="13"/>
      <c r="K1035" s="13"/>
      <c r="L1035" s="48"/>
      <c r="M1035" s="49" t="str">
        <f t="shared" si="62"/>
        <v>[W23D.8]</v>
      </c>
      <c r="N1035" s="12" t="str">
        <f t="shared" si="63"/>
        <v xml:space="preserve"> 컨베어 언로더 이재기 클램프L 전진/후진 시간 초과 (X665, X669, X66D, X671, X664, X668, X66C, X670)</v>
      </c>
      <c r="O1035" s="49" t="str">
        <f t="shared" si="64"/>
        <v>[W23D.8] 컨베어 언로더 이재기 클램프L 전진/후진 시간 초과 (X665, X669, X66D, X671, X664, X668, X66C, X670)</v>
      </c>
    </row>
    <row r="1036" spans="1:15" s="49" customFormat="1" ht="14.15" customHeight="1">
      <c r="A1036" s="44"/>
      <c r="B1036" s="11"/>
      <c r="C1036" s="11" t="s">
        <v>18</v>
      </c>
      <c r="D1036" s="45" t="s">
        <v>16</v>
      </c>
      <c r="E1036" s="47"/>
      <c r="F1036" s="39" t="s">
        <v>894</v>
      </c>
      <c r="G1036" s="13" t="s">
        <v>7836</v>
      </c>
      <c r="H1036" s="99" t="str">
        <f t="shared" si="61"/>
        <v>W23D.9</v>
      </c>
      <c r="I1036" s="13"/>
      <c r="J1036" s="13"/>
      <c r="K1036" s="13"/>
      <c r="L1036" s="48"/>
      <c r="M1036" s="49" t="str">
        <f t="shared" si="62"/>
        <v>[W23D.9]</v>
      </c>
      <c r="N1036" s="12" t="str">
        <f t="shared" si="63"/>
        <v xml:space="preserve"> </v>
      </c>
      <c r="O1036" s="49" t="str">
        <f t="shared" si="64"/>
        <v xml:space="preserve">[W23D.9] </v>
      </c>
    </row>
    <row r="1037" spans="1:15" s="49" customFormat="1" ht="14.15" customHeight="1">
      <c r="A1037" s="44"/>
      <c r="B1037" s="11"/>
      <c r="C1037" s="11" t="s">
        <v>18</v>
      </c>
      <c r="D1037" s="45" t="s">
        <v>16</v>
      </c>
      <c r="E1037" s="47"/>
      <c r="F1037" s="39" t="s">
        <v>895</v>
      </c>
      <c r="G1037" s="13" t="s">
        <v>7837</v>
      </c>
      <c r="H1037" s="99" t="str">
        <f t="shared" si="61"/>
        <v>W23D.A</v>
      </c>
      <c r="I1037" s="13"/>
      <c r="J1037" s="13"/>
      <c r="K1037" s="13"/>
      <c r="L1037" s="48"/>
      <c r="M1037" s="49" t="str">
        <f t="shared" si="62"/>
        <v>[W23D.A]</v>
      </c>
      <c r="N1037" s="12" t="str">
        <f t="shared" si="63"/>
        <v xml:space="preserve"> </v>
      </c>
      <c r="O1037" s="49" t="str">
        <f t="shared" si="64"/>
        <v xml:space="preserve">[W23D.A] </v>
      </c>
    </row>
    <row r="1038" spans="1:15" s="49" customFormat="1" ht="14.15" customHeight="1">
      <c r="A1038" s="44"/>
      <c r="B1038" s="11"/>
      <c r="C1038" s="11" t="s">
        <v>18</v>
      </c>
      <c r="D1038" s="45" t="s">
        <v>16</v>
      </c>
      <c r="E1038" s="47"/>
      <c r="F1038" s="39" t="s">
        <v>896</v>
      </c>
      <c r="G1038" s="13" t="s">
        <v>7838</v>
      </c>
      <c r="H1038" s="99" t="str">
        <f t="shared" si="61"/>
        <v>W23D.B</v>
      </c>
      <c r="I1038" s="13"/>
      <c r="J1038" s="13"/>
      <c r="K1038" s="13"/>
      <c r="L1038" s="48"/>
      <c r="M1038" s="49" t="str">
        <f t="shared" si="62"/>
        <v>[W23D.B]</v>
      </c>
      <c r="N1038" s="12" t="str">
        <f t="shared" si="63"/>
        <v xml:space="preserve"> </v>
      </c>
      <c r="O1038" s="49" t="str">
        <f t="shared" si="64"/>
        <v xml:space="preserve">[W23D.B] </v>
      </c>
    </row>
    <row r="1039" spans="1:15" s="49" customFormat="1" ht="14.15" customHeight="1">
      <c r="A1039" s="44"/>
      <c r="B1039" s="11"/>
      <c r="C1039" s="11" t="s">
        <v>18</v>
      </c>
      <c r="D1039" s="45" t="s">
        <v>16</v>
      </c>
      <c r="E1039" s="47"/>
      <c r="F1039" s="39" t="s">
        <v>897</v>
      </c>
      <c r="G1039" s="13" t="s">
        <v>7839</v>
      </c>
      <c r="H1039" s="99" t="str">
        <f t="shared" si="61"/>
        <v>W23D.C</v>
      </c>
      <c r="I1039" s="13"/>
      <c r="J1039" s="13"/>
      <c r="K1039" s="13"/>
      <c r="L1039" s="48"/>
      <c r="M1039" s="49" t="str">
        <f t="shared" si="62"/>
        <v>[W23D.C]</v>
      </c>
      <c r="N1039" s="12" t="str">
        <f t="shared" si="63"/>
        <v xml:space="preserve"> </v>
      </c>
      <c r="O1039" s="49" t="str">
        <f t="shared" si="64"/>
        <v xml:space="preserve">[W23D.C] </v>
      </c>
    </row>
    <row r="1040" spans="1:15" s="49" customFormat="1" ht="14.15" customHeight="1">
      <c r="A1040" s="43" t="s">
        <v>2151</v>
      </c>
      <c r="B1040" s="11"/>
      <c r="C1040" s="11" t="s">
        <v>18</v>
      </c>
      <c r="D1040" s="45" t="s">
        <v>16</v>
      </c>
      <c r="E1040" s="47"/>
      <c r="F1040" s="39" t="s">
        <v>898</v>
      </c>
      <c r="G1040" s="13" t="s">
        <v>7840</v>
      </c>
      <c r="H1040" s="99" t="str">
        <f t="shared" si="61"/>
        <v>W23D.D</v>
      </c>
      <c r="I1040" s="13" t="s">
        <v>17</v>
      </c>
      <c r="J1040" s="13"/>
      <c r="K1040" s="13"/>
      <c r="L1040" s="48"/>
      <c r="M1040" s="49" t="str">
        <f t="shared" si="62"/>
        <v>[W23D.D]</v>
      </c>
      <c r="N1040" s="12" t="str">
        <f t="shared" si="63"/>
        <v xml:space="preserve"> 컨베어 언로더 이재기 제품수취 시간초과</v>
      </c>
      <c r="O1040" s="49" t="str">
        <f t="shared" si="64"/>
        <v>[W23D.D] 컨베어 언로더 이재기 제품수취 시간초과</v>
      </c>
    </row>
    <row r="1041" spans="1:15" s="49" customFormat="1" ht="14.15" customHeight="1">
      <c r="A1041" s="43" t="s">
        <v>2151</v>
      </c>
      <c r="B1041" s="11"/>
      <c r="C1041" s="11" t="s">
        <v>18</v>
      </c>
      <c r="D1041" s="45" t="s">
        <v>16</v>
      </c>
      <c r="E1041" s="47"/>
      <c r="F1041" s="39" t="s">
        <v>899</v>
      </c>
      <c r="G1041" s="13" t="s">
        <v>7841</v>
      </c>
      <c r="H1041" s="99" t="str">
        <f t="shared" si="61"/>
        <v>W23D.E</v>
      </c>
      <c r="I1041" s="13" t="s">
        <v>104</v>
      </c>
      <c r="J1041" s="13"/>
      <c r="K1041" s="13"/>
      <c r="L1041" s="48"/>
      <c r="M1041" s="49" t="str">
        <f t="shared" si="62"/>
        <v>[W23D.E]</v>
      </c>
      <c r="N1041" s="12" t="str">
        <f t="shared" si="63"/>
        <v xml:space="preserve"> 컨베어 언로더 이재기 제품배출 시간초과</v>
      </c>
      <c r="O1041" s="49" t="str">
        <f t="shared" si="64"/>
        <v>[W23D.E] 컨베어 언로더 이재기 제품배출 시간초과</v>
      </c>
    </row>
    <row r="1042" spans="1:15" s="49" customFormat="1" ht="14.15" customHeight="1">
      <c r="A1042" s="43" t="s">
        <v>2151</v>
      </c>
      <c r="B1042" s="11"/>
      <c r="C1042" s="11" t="s">
        <v>18</v>
      </c>
      <c r="D1042" s="45" t="s">
        <v>16</v>
      </c>
      <c r="E1042" s="47"/>
      <c r="F1042" s="39" t="s">
        <v>900</v>
      </c>
      <c r="G1042" s="13" t="s">
        <v>7842</v>
      </c>
      <c r="H1042" s="99" t="str">
        <f t="shared" si="61"/>
        <v>W23D.F</v>
      </c>
      <c r="I1042" s="13" t="s">
        <v>17</v>
      </c>
      <c r="J1042" s="13"/>
      <c r="K1042" s="13"/>
      <c r="L1042" s="48"/>
      <c r="M1042" s="49" t="str">
        <f t="shared" si="62"/>
        <v>[W23D.F]</v>
      </c>
      <c r="N1042" s="12" t="str">
        <f t="shared" si="63"/>
        <v xml:space="preserve"> 컨베어 언로더 이재기 제품 수취 시퀀스 이상</v>
      </c>
      <c r="O1042" s="49" t="str">
        <f t="shared" si="64"/>
        <v>[W23D.F] 컨베어 언로더 이재기 제품 수취 시퀀스 이상</v>
      </c>
    </row>
    <row r="1043" spans="1:15" s="49" customFormat="1" ht="14.15" customHeight="1">
      <c r="A1043" s="44"/>
      <c r="B1043" s="11"/>
      <c r="C1043" s="11" t="s">
        <v>18</v>
      </c>
      <c r="D1043" s="45" t="s">
        <v>16</v>
      </c>
      <c r="E1043" s="47"/>
      <c r="F1043" s="39" t="s">
        <v>901</v>
      </c>
      <c r="G1043" s="13" t="s">
        <v>7843</v>
      </c>
      <c r="H1043" s="99" t="str">
        <f t="shared" si="61"/>
        <v>W23E.0</v>
      </c>
      <c r="I1043" s="13"/>
      <c r="J1043" s="13"/>
      <c r="K1043" s="13"/>
      <c r="L1043" s="48"/>
      <c r="M1043" s="49" t="str">
        <f t="shared" si="62"/>
        <v>[W23E.0]</v>
      </c>
      <c r="N1043" s="12" t="str">
        <f t="shared" si="63"/>
        <v xml:space="preserve"> </v>
      </c>
      <c r="O1043" s="49" t="str">
        <f t="shared" si="64"/>
        <v xml:space="preserve">[W23E.0] </v>
      </c>
    </row>
    <row r="1044" spans="1:15" s="49" customFormat="1" ht="14.15" customHeight="1">
      <c r="A1044" s="43" t="s">
        <v>2151</v>
      </c>
      <c r="B1044" s="11"/>
      <c r="C1044" s="11" t="s">
        <v>18</v>
      </c>
      <c r="D1044" s="45" t="s">
        <v>16</v>
      </c>
      <c r="E1044" s="47"/>
      <c r="F1044" s="39" t="s">
        <v>902</v>
      </c>
      <c r="G1044" s="13" t="s">
        <v>7844</v>
      </c>
      <c r="H1044" s="99" t="str">
        <f t="shared" si="61"/>
        <v>W23E.1</v>
      </c>
      <c r="I1044" s="13" t="s">
        <v>104</v>
      </c>
      <c r="J1044" s="13"/>
      <c r="K1044" s="13"/>
      <c r="L1044" s="48"/>
      <c r="M1044" s="49" t="str">
        <f t="shared" si="62"/>
        <v>[W23E.1]</v>
      </c>
      <c r="N1044" s="12" t="str">
        <f t="shared" si="63"/>
        <v xml:space="preserve"> 컨베어 언로더 이재기 제품 배출 시퀀스 이상</v>
      </c>
      <c r="O1044" s="49" t="str">
        <f t="shared" si="64"/>
        <v>[W23E.1] 컨베어 언로더 이재기 제품 배출 시퀀스 이상</v>
      </c>
    </row>
    <row r="1045" spans="1:15" s="49" customFormat="1" ht="14.15" customHeight="1">
      <c r="A1045" s="44"/>
      <c r="B1045" s="11"/>
      <c r="C1045" s="11" t="s">
        <v>18</v>
      </c>
      <c r="D1045" s="45" t="s">
        <v>16</v>
      </c>
      <c r="E1045" s="47"/>
      <c r="F1045" s="39" t="s">
        <v>903</v>
      </c>
      <c r="G1045" s="13" t="s">
        <v>7845</v>
      </c>
      <c r="H1045" s="99" t="str">
        <f t="shared" si="61"/>
        <v>W23E.2</v>
      </c>
      <c r="I1045" s="13"/>
      <c r="J1045" s="13"/>
      <c r="K1045" s="13"/>
      <c r="L1045" s="48"/>
      <c r="M1045" s="49" t="str">
        <f t="shared" si="62"/>
        <v>[W23E.2]</v>
      </c>
      <c r="N1045" s="12" t="str">
        <f t="shared" si="63"/>
        <v xml:space="preserve"> </v>
      </c>
      <c r="O1045" s="49" t="str">
        <f t="shared" si="64"/>
        <v xml:space="preserve">[W23E.2] </v>
      </c>
    </row>
    <row r="1046" spans="1:15" s="49" customFormat="1" ht="14.15" customHeight="1">
      <c r="A1046" s="44"/>
      <c r="B1046" s="11"/>
      <c r="C1046" s="11" t="s">
        <v>18</v>
      </c>
      <c r="D1046" s="45" t="s">
        <v>16</v>
      </c>
      <c r="E1046" s="47"/>
      <c r="F1046" s="39" t="s">
        <v>904</v>
      </c>
      <c r="G1046" s="13" t="s">
        <v>7846</v>
      </c>
      <c r="H1046" s="99" t="str">
        <f t="shared" si="61"/>
        <v>W23E.3</v>
      </c>
      <c r="I1046" s="13"/>
      <c r="J1046" s="13"/>
      <c r="K1046" s="13"/>
      <c r="L1046" s="48"/>
      <c r="M1046" s="49" t="str">
        <f t="shared" si="62"/>
        <v>[W23E.3]</v>
      </c>
      <c r="N1046" s="12" t="str">
        <f t="shared" si="63"/>
        <v xml:space="preserve"> </v>
      </c>
      <c r="O1046" s="49" t="str">
        <f t="shared" si="64"/>
        <v xml:space="preserve">[W23E.3] </v>
      </c>
    </row>
    <row r="1047" spans="1:15" s="49" customFormat="1" ht="14.15" customHeight="1">
      <c r="A1047" s="44"/>
      <c r="B1047" s="11"/>
      <c r="C1047" s="11" t="s">
        <v>18</v>
      </c>
      <c r="D1047" s="45" t="s">
        <v>16</v>
      </c>
      <c r="E1047" s="47"/>
      <c r="F1047" s="39" t="s">
        <v>905</v>
      </c>
      <c r="G1047" s="13" t="s">
        <v>7847</v>
      </c>
      <c r="H1047" s="99" t="str">
        <f t="shared" si="61"/>
        <v>W23E.4</v>
      </c>
      <c r="I1047" s="13"/>
      <c r="J1047" s="13"/>
      <c r="K1047" s="13"/>
      <c r="L1047" s="48"/>
      <c r="M1047" s="49" t="str">
        <f t="shared" si="62"/>
        <v>[W23E.4]</v>
      </c>
      <c r="N1047" s="12" t="str">
        <f t="shared" si="63"/>
        <v xml:space="preserve"> </v>
      </c>
      <c r="O1047" s="49" t="str">
        <f t="shared" si="64"/>
        <v xml:space="preserve">[W23E.4] </v>
      </c>
    </row>
    <row r="1048" spans="1:15" s="49" customFormat="1" ht="14.15" customHeight="1">
      <c r="A1048" s="44"/>
      <c r="B1048" s="11"/>
      <c r="C1048" s="11" t="s">
        <v>18</v>
      </c>
      <c r="D1048" s="45" t="s">
        <v>16</v>
      </c>
      <c r="E1048" s="47"/>
      <c r="F1048" s="39" t="s">
        <v>906</v>
      </c>
      <c r="G1048" s="13" t="s">
        <v>7848</v>
      </c>
      <c r="H1048" s="99" t="str">
        <f t="shared" si="61"/>
        <v>W23E.5</v>
      </c>
      <c r="I1048" s="13"/>
      <c r="J1048" s="13"/>
      <c r="K1048" s="13"/>
      <c r="L1048" s="48"/>
      <c r="M1048" s="49" t="str">
        <f t="shared" si="62"/>
        <v>[W23E.5]</v>
      </c>
      <c r="N1048" s="12" t="str">
        <f t="shared" si="63"/>
        <v xml:space="preserve"> </v>
      </c>
      <c r="O1048" s="49" t="str">
        <f t="shared" si="64"/>
        <v xml:space="preserve">[W23E.5] </v>
      </c>
    </row>
    <row r="1049" spans="1:15" s="49" customFormat="1" ht="14.15" customHeight="1">
      <c r="A1049" s="43" t="s">
        <v>2151</v>
      </c>
      <c r="B1049" s="11"/>
      <c r="C1049" s="11" t="s">
        <v>18</v>
      </c>
      <c r="D1049" s="45" t="s">
        <v>16</v>
      </c>
      <c r="E1049" s="47"/>
      <c r="F1049" s="39" t="s">
        <v>907</v>
      </c>
      <c r="G1049" s="13" t="s">
        <v>7849</v>
      </c>
      <c r="H1049" s="99" t="str">
        <f t="shared" si="61"/>
        <v>W23E.6</v>
      </c>
      <c r="I1049" s="13" t="s">
        <v>17</v>
      </c>
      <c r="J1049" s="13"/>
      <c r="K1049" s="13"/>
      <c r="L1049" s="48"/>
      <c r="M1049" s="49" t="str">
        <f t="shared" si="62"/>
        <v>[W23E.6]</v>
      </c>
      <c r="N1049" s="12" t="str">
        <f t="shared" si="63"/>
        <v xml:space="preserve"> 컨베어 언로더 이재기 제품 데이터 불일치 이상 (X662)</v>
      </c>
      <c r="O1049" s="49" t="str">
        <f t="shared" si="64"/>
        <v>[W23E.6] 컨베어 언로더 이재기 제품 데이터 불일치 이상 (X662)</v>
      </c>
    </row>
    <row r="1050" spans="1:15" s="49" customFormat="1" ht="14.15" customHeight="1">
      <c r="A1050" s="43" t="s">
        <v>2197</v>
      </c>
      <c r="B1050" s="11"/>
      <c r="C1050" s="11" t="s">
        <v>18</v>
      </c>
      <c r="D1050" s="45" t="s">
        <v>16</v>
      </c>
      <c r="E1050" s="47"/>
      <c r="F1050" s="39" t="s">
        <v>1979</v>
      </c>
      <c r="G1050" s="13" t="s">
        <v>7850</v>
      </c>
      <c r="H1050" s="99" t="str">
        <f t="shared" si="61"/>
        <v>W23E.7</v>
      </c>
      <c r="I1050" s="13" t="s">
        <v>17</v>
      </c>
      <c r="J1050" s="13"/>
      <c r="K1050" s="13"/>
      <c r="L1050" s="48"/>
      <c r="M1050" s="49" t="str">
        <f t="shared" si="62"/>
        <v>[W23E.7]</v>
      </c>
      <c r="N1050" s="12" t="str">
        <f t="shared" si="63"/>
        <v xml:space="preserve"> 공급 셔틀 1열 하강 시간 초과 (Y540, X4E3, X4E5)</v>
      </c>
      <c r="O1050" s="49" t="str">
        <f t="shared" si="64"/>
        <v>[W23E.7] 공급 셔틀 1열 하강 시간 초과 (Y540, X4E3, X4E5)</v>
      </c>
    </row>
    <row r="1051" spans="1:15" s="49" customFormat="1" ht="14.15" customHeight="1">
      <c r="A1051" s="43" t="s">
        <v>2197</v>
      </c>
      <c r="B1051" s="11"/>
      <c r="C1051" s="11" t="s">
        <v>18</v>
      </c>
      <c r="D1051" s="45" t="s">
        <v>16</v>
      </c>
      <c r="E1051" s="47"/>
      <c r="F1051" s="39" t="s">
        <v>1980</v>
      </c>
      <c r="G1051" s="13" t="s">
        <v>7851</v>
      </c>
      <c r="H1051" s="99" t="str">
        <f t="shared" si="61"/>
        <v>W23E.8</v>
      </c>
      <c r="I1051" s="13" t="s">
        <v>104</v>
      </c>
      <c r="J1051" s="13"/>
      <c r="K1051" s="13"/>
      <c r="L1051" s="48"/>
      <c r="M1051" s="49" t="str">
        <f t="shared" si="62"/>
        <v>[W23E.8]</v>
      </c>
      <c r="N1051" s="12" t="str">
        <f t="shared" si="63"/>
        <v xml:space="preserve"> 공급 셔틀 1열 상승 시간 초과 (Y541, X4E2, X4E4)</v>
      </c>
      <c r="O1051" s="49" t="str">
        <f t="shared" si="64"/>
        <v>[W23E.8] 공급 셔틀 1열 상승 시간 초과 (Y541, X4E2, X4E4)</v>
      </c>
    </row>
    <row r="1052" spans="1:15" s="49" customFormat="1" ht="14.15" customHeight="1">
      <c r="A1052" s="43" t="s">
        <v>2197</v>
      </c>
      <c r="B1052" s="11"/>
      <c r="C1052" s="11" t="s">
        <v>18</v>
      </c>
      <c r="D1052" s="45" t="s">
        <v>16</v>
      </c>
      <c r="E1052" s="47"/>
      <c r="F1052" s="39" t="s">
        <v>1981</v>
      </c>
      <c r="G1052" s="13" t="s">
        <v>7852</v>
      </c>
      <c r="H1052" s="99" t="str">
        <f t="shared" si="61"/>
        <v>W23E.9</v>
      </c>
      <c r="I1052" s="13" t="s">
        <v>17</v>
      </c>
      <c r="J1052" s="13"/>
      <c r="K1052" s="13"/>
      <c r="L1052" s="48"/>
      <c r="M1052" s="49" t="str">
        <f t="shared" si="62"/>
        <v>[W23E.9]</v>
      </c>
      <c r="N1052" s="12" t="str">
        <f t="shared" si="63"/>
        <v xml:space="preserve"> 공급 셔틀 1열 하강/상승 센서 이상 (X4E3, X4E5, X4E2, X4E4)</v>
      </c>
      <c r="O1052" s="49" t="str">
        <f t="shared" si="64"/>
        <v>[W23E.9] 공급 셔틀 1열 하강/상승 센서 이상 (X4E3, X4E5, X4E2, X4E4)</v>
      </c>
    </row>
    <row r="1053" spans="1:15" s="49" customFormat="1" ht="14.15" customHeight="1">
      <c r="A1053" s="43" t="s">
        <v>2197</v>
      </c>
      <c r="B1053" s="11"/>
      <c r="C1053" s="11" t="s">
        <v>18</v>
      </c>
      <c r="D1053" s="45" t="s">
        <v>16</v>
      </c>
      <c r="E1053" s="47"/>
      <c r="F1053" s="31" t="s">
        <v>1982</v>
      </c>
      <c r="G1053" s="13" t="s">
        <v>7853</v>
      </c>
      <c r="H1053" s="99" t="str">
        <f t="shared" si="61"/>
        <v>W23E.A</v>
      </c>
      <c r="I1053" s="13" t="s">
        <v>154</v>
      </c>
      <c r="J1053" s="13"/>
      <c r="K1053" s="13"/>
      <c r="L1053" s="48"/>
      <c r="M1053" s="49" t="str">
        <f t="shared" si="62"/>
        <v>[W23E.A]</v>
      </c>
      <c r="N1053" s="12" t="str">
        <f t="shared" si="63"/>
        <v xml:space="preserve"> 공급 셔틀 2열 하강 시간 초과 (Y542, X4E9, X4EB)</v>
      </c>
      <c r="O1053" s="49" t="str">
        <f t="shared" si="64"/>
        <v>[W23E.A] 공급 셔틀 2열 하강 시간 초과 (Y542, X4E9, X4EB)</v>
      </c>
    </row>
    <row r="1054" spans="1:15" s="49" customFormat="1" ht="14.15" customHeight="1">
      <c r="A1054" s="43" t="s">
        <v>2197</v>
      </c>
      <c r="B1054" s="11"/>
      <c r="C1054" s="11" t="s">
        <v>18</v>
      </c>
      <c r="D1054" s="45" t="s">
        <v>16</v>
      </c>
      <c r="E1054" s="47"/>
      <c r="F1054" s="39" t="s">
        <v>1983</v>
      </c>
      <c r="G1054" s="13" t="s">
        <v>7854</v>
      </c>
      <c r="H1054" s="99" t="str">
        <f t="shared" si="61"/>
        <v>W23E.B</v>
      </c>
      <c r="I1054" s="13" t="s">
        <v>104</v>
      </c>
      <c r="J1054" s="13"/>
      <c r="K1054" s="13"/>
      <c r="L1054" s="48"/>
      <c r="M1054" s="49" t="str">
        <f t="shared" si="62"/>
        <v>[W23E.B]</v>
      </c>
      <c r="N1054" s="12" t="str">
        <f t="shared" si="63"/>
        <v xml:space="preserve"> 공급 셔틀 2열 상승 시간 초과 (Y543, X4E8, X4EA)</v>
      </c>
      <c r="O1054" s="49" t="str">
        <f t="shared" si="64"/>
        <v>[W23E.B] 공급 셔틀 2열 상승 시간 초과 (Y543, X4E8, X4EA)</v>
      </c>
    </row>
    <row r="1055" spans="1:15" s="49" customFormat="1" ht="14.15" customHeight="1">
      <c r="A1055" s="43" t="s">
        <v>2197</v>
      </c>
      <c r="B1055" s="11"/>
      <c r="C1055" s="11" t="s">
        <v>18</v>
      </c>
      <c r="D1055" s="45" t="s">
        <v>16</v>
      </c>
      <c r="E1055" s="47"/>
      <c r="F1055" s="39" t="s">
        <v>1984</v>
      </c>
      <c r="G1055" s="13" t="s">
        <v>7855</v>
      </c>
      <c r="H1055" s="99" t="str">
        <f t="shared" si="61"/>
        <v>W23E.C</v>
      </c>
      <c r="I1055" s="13" t="s">
        <v>17</v>
      </c>
      <c r="J1055" s="13"/>
      <c r="K1055" s="13"/>
      <c r="L1055" s="48"/>
      <c r="M1055" s="49" t="str">
        <f t="shared" si="62"/>
        <v>[W23E.C]</v>
      </c>
      <c r="N1055" s="12" t="str">
        <f t="shared" si="63"/>
        <v xml:space="preserve"> 공급 셔틀 2열 하강/상승 센서 이상 (X4E9, X4EB, X4E8, X4EA)</v>
      </c>
      <c r="O1055" s="49" t="str">
        <f t="shared" si="64"/>
        <v>[W23E.C] 공급 셔틀 2열 하강/상승 센서 이상 (X4E9, X4EB, X4E8, X4EA)</v>
      </c>
    </row>
    <row r="1056" spans="1:15" s="49" customFormat="1" ht="14.15" customHeight="1">
      <c r="A1056" s="43" t="s">
        <v>2197</v>
      </c>
      <c r="B1056" s="11"/>
      <c r="C1056" s="11" t="s">
        <v>18</v>
      </c>
      <c r="D1056" s="45" t="s">
        <v>16</v>
      </c>
      <c r="E1056" s="47"/>
      <c r="F1056" s="39" t="s">
        <v>1985</v>
      </c>
      <c r="G1056" s="13" t="s">
        <v>7856</v>
      </c>
      <c r="H1056" s="99" t="str">
        <f t="shared" si="61"/>
        <v>W23E.D</v>
      </c>
      <c r="I1056" s="13" t="s">
        <v>17</v>
      </c>
      <c r="J1056" s="13"/>
      <c r="K1056" s="13"/>
      <c r="L1056" s="48"/>
      <c r="M1056" s="49" t="str">
        <f t="shared" si="62"/>
        <v>[W23E.D]</v>
      </c>
      <c r="N1056" s="12" t="str">
        <f t="shared" si="63"/>
        <v xml:space="preserve"> 공급 셔틀 롤러 상승 시간 초과 (Y544, X530, X532, X534, X536)</v>
      </c>
      <c r="O1056" s="49" t="str">
        <f t="shared" si="64"/>
        <v>[W23E.D] 공급 셔틀 롤러 상승 시간 초과 (Y544, X530, X532, X534, X536)</v>
      </c>
    </row>
    <row r="1057" spans="1:15" s="49" customFormat="1" ht="14.15" customHeight="1">
      <c r="A1057" s="43" t="s">
        <v>2197</v>
      </c>
      <c r="B1057" s="11"/>
      <c r="C1057" s="11" t="s">
        <v>18</v>
      </c>
      <c r="D1057" s="45" t="s">
        <v>16</v>
      </c>
      <c r="E1057" s="47"/>
      <c r="F1057" s="39" t="s">
        <v>1986</v>
      </c>
      <c r="G1057" s="13" t="s">
        <v>7857</v>
      </c>
      <c r="H1057" s="99" t="str">
        <f t="shared" si="61"/>
        <v>W23E.E</v>
      </c>
      <c r="I1057" s="13" t="s">
        <v>104</v>
      </c>
      <c r="J1057" s="13"/>
      <c r="K1057" s="13"/>
      <c r="L1057" s="48"/>
      <c r="M1057" s="49" t="str">
        <f t="shared" si="62"/>
        <v>[W23E.E]</v>
      </c>
      <c r="N1057" s="12" t="str">
        <f t="shared" si="63"/>
        <v xml:space="preserve"> 공급 셔틀 롤러 하강 시간 초과 (Y545, X531, X533, X535, X537)</v>
      </c>
      <c r="O1057" s="49" t="str">
        <f t="shared" si="64"/>
        <v>[W23E.E] 공급 셔틀 롤러 하강 시간 초과 (Y545, X531, X533, X535, X537)</v>
      </c>
    </row>
    <row r="1058" spans="1:15" s="49" customFormat="1" ht="14.15" customHeight="1">
      <c r="A1058" s="43" t="s">
        <v>2197</v>
      </c>
      <c r="B1058" s="11"/>
      <c r="C1058" s="11" t="s">
        <v>18</v>
      </c>
      <c r="D1058" s="45" t="s">
        <v>16</v>
      </c>
      <c r="E1058" s="47"/>
      <c r="F1058" s="39" t="s">
        <v>1987</v>
      </c>
      <c r="G1058" s="13" t="s">
        <v>7858</v>
      </c>
      <c r="H1058" s="99" t="str">
        <f t="shared" si="61"/>
        <v>W23E.F</v>
      </c>
      <c r="I1058" s="13" t="s">
        <v>17</v>
      </c>
      <c r="J1058" s="13"/>
      <c r="K1058" s="13"/>
      <c r="L1058" s="48"/>
      <c r="M1058" s="49" t="str">
        <f t="shared" si="62"/>
        <v>[W23E.F]</v>
      </c>
      <c r="N1058" s="12" t="str">
        <f t="shared" si="63"/>
        <v xml:space="preserve"> 공급 셔틀 롤러 상승/하강 센서 이상 (X530, X532, X534, X536, X531, X533, X535, X537)</v>
      </c>
      <c r="O1058" s="49" t="str">
        <f t="shared" si="64"/>
        <v>[W23E.F] 공급 셔틀 롤러 상승/하강 센서 이상 (X530, X532, X534, X536, X531, X533, X535, X537)</v>
      </c>
    </row>
    <row r="1059" spans="1:15" s="49" customFormat="1" ht="14.15" customHeight="1">
      <c r="A1059" s="43" t="s">
        <v>2197</v>
      </c>
      <c r="B1059" s="11"/>
      <c r="C1059" s="11" t="s">
        <v>18</v>
      </c>
      <c r="D1059" s="45" t="s">
        <v>16</v>
      </c>
      <c r="E1059" s="47"/>
      <c r="F1059" s="39" t="s">
        <v>1988</v>
      </c>
      <c r="G1059" s="13" t="s">
        <v>7859</v>
      </c>
      <c r="H1059" s="99" t="str">
        <f t="shared" si="61"/>
        <v>W23F.0</v>
      </c>
      <c r="I1059" s="13" t="s">
        <v>17</v>
      </c>
      <c r="J1059" s="13"/>
      <c r="K1059" s="13"/>
      <c r="L1059" s="48"/>
      <c r="M1059" s="49" t="str">
        <f t="shared" si="62"/>
        <v>[W23F.0]</v>
      </c>
      <c r="N1059" s="12" t="str">
        <f t="shared" si="63"/>
        <v xml:space="preserve"> 공급 셔틀 1열 모델 변경 후진 시간 초과 (Y548, X519, X51B)</v>
      </c>
      <c r="O1059" s="49" t="str">
        <f t="shared" si="64"/>
        <v>[W23F.0] 공급 셔틀 1열 모델 변경 후진 시간 초과 (Y548, X519, X51B)</v>
      </c>
    </row>
    <row r="1060" spans="1:15" s="49" customFormat="1" ht="14.15" customHeight="1">
      <c r="A1060" s="43" t="s">
        <v>2197</v>
      </c>
      <c r="B1060" s="11"/>
      <c r="C1060" s="11" t="s">
        <v>18</v>
      </c>
      <c r="D1060" s="45" t="s">
        <v>16</v>
      </c>
      <c r="E1060" s="47"/>
      <c r="F1060" s="39" t="s">
        <v>1989</v>
      </c>
      <c r="G1060" s="13" t="s">
        <v>7860</v>
      </c>
      <c r="H1060" s="99" t="str">
        <f t="shared" si="61"/>
        <v>W23F.1</v>
      </c>
      <c r="I1060" s="13" t="s">
        <v>104</v>
      </c>
      <c r="J1060" s="13"/>
      <c r="K1060" s="13"/>
      <c r="L1060" s="48"/>
      <c r="M1060" s="49" t="str">
        <f t="shared" si="62"/>
        <v>[W23F.1]</v>
      </c>
      <c r="N1060" s="12" t="str">
        <f t="shared" si="63"/>
        <v xml:space="preserve"> 공급 셔틀 1열 모델 변경 전진 시간 초과 (Y549, X518, X51A)</v>
      </c>
      <c r="O1060" s="49" t="str">
        <f t="shared" si="64"/>
        <v>[W23F.1] 공급 셔틀 1열 모델 변경 전진 시간 초과 (Y549, X518, X51A)</v>
      </c>
    </row>
    <row r="1061" spans="1:15" s="49" customFormat="1" ht="14.15" customHeight="1">
      <c r="A1061" s="43" t="s">
        <v>2197</v>
      </c>
      <c r="B1061" s="11"/>
      <c r="C1061" s="11" t="s">
        <v>18</v>
      </c>
      <c r="D1061" s="45" t="s">
        <v>16</v>
      </c>
      <c r="E1061" s="47"/>
      <c r="F1061" s="39" t="s">
        <v>1990</v>
      </c>
      <c r="G1061" s="13" t="s">
        <v>7861</v>
      </c>
      <c r="H1061" s="99" t="str">
        <f t="shared" si="61"/>
        <v>W23F.2</v>
      </c>
      <c r="I1061" s="13" t="s">
        <v>17</v>
      </c>
      <c r="J1061" s="13"/>
      <c r="K1061" s="13"/>
      <c r="L1061" s="48"/>
      <c r="M1061" s="49" t="str">
        <f t="shared" si="62"/>
        <v>[W23F.2]</v>
      </c>
      <c r="N1061" s="12" t="str">
        <f t="shared" si="63"/>
        <v xml:space="preserve"> 공급 셔틀 1열 모델 변경 후진/전진 센서 이상</v>
      </c>
      <c r="O1061" s="49" t="str">
        <f t="shared" si="64"/>
        <v>[W23F.2] 공급 셔틀 1열 모델 변경 후진/전진 센서 이상</v>
      </c>
    </row>
    <row r="1062" spans="1:15" s="49" customFormat="1" ht="14.15" customHeight="1">
      <c r="A1062" s="43" t="s">
        <v>2197</v>
      </c>
      <c r="B1062" s="11"/>
      <c r="C1062" s="11" t="s">
        <v>18</v>
      </c>
      <c r="D1062" s="45" t="s">
        <v>16</v>
      </c>
      <c r="E1062" s="47"/>
      <c r="F1062" s="39" t="s">
        <v>1991</v>
      </c>
      <c r="G1062" s="13" t="s">
        <v>7862</v>
      </c>
      <c r="H1062" s="99" t="str">
        <f t="shared" si="61"/>
        <v>W23F.3</v>
      </c>
      <c r="I1062" s="13" t="s">
        <v>17</v>
      </c>
      <c r="J1062" s="13"/>
      <c r="K1062" s="13"/>
      <c r="L1062" s="48"/>
      <c r="M1062" s="49" t="str">
        <f t="shared" si="62"/>
        <v>[W23F.3]</v>
      </c>
      <c r="N1062" s="12" t="str">
        <f t="shared" si="63"/>
        <v xml:space="preserve"> 공급 셔틀 가이드 후진 시간 초과 (Y546, X50B, X50D, X514, X516)</v>
      </c>
      <c r="O1062" s="49" t="str">
        <f t="shared" si="64"/>
        <v>[W23F.3] 공급 셔틀 가이드 후진 시간 초과 (Y546, X50B, X50D, X514, X516)</v>
      </c>
    </row>
    <row r="1063" spans="1:15" s="49" customFormat="1" ht="14.15" customHeight="1">
      <c r="A1063" s="43" t="s">
        <v>2197</v>
      </c>
      <c r="B1063" s="11"/>
      <c r="C1063" s="11" t="s">
        <v>18</v>
      </c>
      <c r="D1063" s="45" t="s">
        <v>16</v>
      </c>
      <c r="E1063" s="47"/>
      <c r="F1063" s="39" t="s">
        <v>1992</v>
      </c>
      <c r="G1063" s="13" t="s">
        <v>7863</v>
      </c>
      <c r="H1063" s="99" t="str">
        <f t="shared" si="61"/>
        <v>W23F.4</v>
      </c>
      <c r="I1063" s="13" t="s">
        <v>154</v>
      </c>
      <c r="J1063" s="13"/>
      <c r="K1063" s="13"/>
      <c r="L1063" s="48"/>
      <c r="M1063" s="49" t="str">
        <f t="shared" si="62"/>
        <v>[W23F.4]</v>
      </c>
      <c r="N1063" s="12" t="str">
        <f t="shared" si="63"/>
        <v xml:space="preserve"> 공급 셔틀 가이드 전진 시간 초과 (Y547, X50A, X50C, X513, X515)</v>
      </c>
      <c r="O1063" s="49" t="str">
        <f t="shared" si="64"/>
        <v>[W23F.4] 공급 셔틀 가이드 전진 시간 초과 (Y547, X50A, X50C, X513, X515)</v>
      </c>
    </row>
    <row r="1064" spans="1:15" s="49" customFormat="1" ht="14.15" customHeight="1">
      <c r="A1064" s="43" t="s">
        <v>2197</v>
      </c>
      <c r="B1064" s="11"/>
      <c r="C1064" s="11" t="s">
        <v>18</v>
      </c>
      <c r="D1064" s="45" t="s">
        <v>16</v>
      </c>
      <c r="E1064" s="47"/>
      <c r="F1064" s="39" t="s">
        <v>1993</v>
      </c>
      <c r="G1064" s="13" t="s">
        <v>7864</v>
      </c>
      <c r="H1064" s="99" t="str">
        <f t="shared" si="61"/>
        <v>W23F.5</v>
      </c>
      <c r="I1064" s="13" t="s">
        <v>154</v>
      </c>
      <c r="J1064" s="13"/>
      <c r="K1064" s="13"/>
      <c r="L1064" s="48"/>
      <c r="M1064" s="49" t="str">
        <f t="shared" si="62"/>
        <v>[W23F.5]</v>
      </c>
      <c r="N1064" s="12" t="str">
        <f t="shared" si="63"/>
        <v xml:space="preserve"> 공급 셔틀 가이드 후진/전진 센서 이상 (X50B, X50D, X514, X516, X50A, X50C, X513, X515)</v>
      </c>
      <c r="O1064" s="49" t="str">
        <f t="shared" si="64"/>
        <v>[W23F.5] 공급 셔틀 가이드 후진/전진 센서 이상 (X50B, X50D, X514, X516, X50A, X50C, X513, X515)</v>
      </c>
    </row>
    <row r="1065" spans="1:15" s="49" customFormat="1" ht="14.15" customHeight="1">
      <c r="A1065" s="43" t="s">
        <v>2197</v>
      </c>
      <c r="B1065" s="11"/>
      <c r="C1065" s="11" t="s">
        <v>18</v>
      </c>
      <c r="D1065" s="45" t="s">
        <v>16</v>
      </c>
      <c r="E1065" s="47"/>
      <c r="F1065" s="39" t="s">
        <v>1994</v>
      </c>
      <c r="G1065" s="13" t="s">
        <v>7865</v>
      </c>
      <c r="H1065" s="99" t="str">
        <f t="shared" si="61"/>
        <v>W23F.6</v>
      </c>
      <c r="I1065" s="13" t="s">
        <v>17</v>
      </c>
      <c r="J1065" s="13"/>
      <c r="K1065" s="13"/>
      <c r="L1065" s="48"/>
      <c r="M1065" s="49" t="str">
        <f t="shared" si="62"/>
        <v>[W23F.6]</v>
      </c>
      <c r="N1065" s="12" t="str">
        <f t="shared" si="63"/>
        <v xml:space="preserve"> 공급 셔틀 2열 모델 변경 후진 시간 초과 (Y650, X51D, X51F)</v>
      </c>
      <c r="O1065" s="49" t="str">
        <f t="shared" si="64"/>
        <v>[W23F.6] 공급 셔틀 2열 모델 변경 후진 시간 초과 (Y650, X51D, X51F)</v>
      </c>
    </row>
    <row r="1066" spans="1:15" s="49" customFormat="1" ht="14.15" customHeight="1">
      <c r="A1066" s="43" t="s">
        <v>2197</v>
      </c>
      <c r="B1066" s="11"/>
      <c r="C1066" s="11" t="s">
        <v>18</v>
      </c>
      <c r="D1066" s="45" t="s">
        <v>16</v>
      </c>
      <c r="E1066" s="47"/>
      <c r="F1066" s="39" t="s">
        <v>1995</v>
      </c>
      <c r="G1066" s="13" t="s">
        <v>7866</v>
      </c>
      <c r="H1066" s="99" t="str">
        <f t="shared" si="61"/>
        <v>W23F.7</v>
      </c>
      <c r="I1066" s="13" t="s">
        <v>17</v>
      </c>
      <c r="J1066" s="13"/>
      <c r="K1066" s="13"/>
      <c r="L1066" s="48"/>
      <c r="M1066" s="49" t="str">
        <f t="shared" si="62"/>
        <v>[W23F.7]</v>
      </c>
      <c r="N1066" s="12" t="str">
        <f t="shared" si="63"/>
        <v xml:space="preserve"> 공급 셔틀 2열 모델 변경 전진 시간 초과 (Y651, X51C, X51E)</v>
      </c>
      <c r="O1066" s="49" t="str">
        <f t="shared" si="64"/>
        <v>[W23F.7] 공급 셔틀 2열 모델 변경 전진 시간 초과 (Y651, X51C, X51E)</v>
      </c>
    </row>
    <row r="1067" spans="1:15" s="49" customFormat="1" ht="14.15" customHeight="1">
      <c r="A1067" s="43" t="s">
        <v>2197</v>
      </c>
      <c r="B1067" s="11"/>
      <c r="C1067" s="11" t="s">
        <v>18</v>
      </c>
      <c r="D1067" s="45" t="s">
        <v>16</v>
      </c>
      <c r="E1067" s="47"/>
      <c r="F1067" s="39" t="s">
        <v>1996</v>
      </c>
      <c r="G1067" s="13" t="s">
        <v>7867</v>
      </c>
      <c r="H1067" s="99" t="str">
        <f t="shared" si="61"/>
        <v>W23F.8</v>
      </c>
      <c r="I1067" s="13" t="s">
        <v>104</v>
      </c>
      <c r="J1067" s="13"/>
      <c r="K1067" s="13"/>
      <c r="L1067" s="48"/>
      <c r="M1067" s="49" t="str">
        <f t="shared" si="62"/>
        <v>[W23F.8]</v>
      </c>
      <c r="N1067" s="12" t="str">
        <f t="shared" si="63"/>
        <v xml:space="preserve"> 공급 셔틀 2열 모델 변경 후진/전진 센서 이상 (X51D, X51F, X51C, X51E)</v>
      </c>
      <c r="O1067" s="49" t="str">
        <f t="shared" si="64"/>
        <v>[W23F.8] 공급 셔틀 2열 모델 변경 후진/전진 센서 이상 (X51D, X51F, X51C, X51E)</v>
      </c>
    </row>
    <row r="1068" spans="1:15" s="49" customFormat="1" ht="14.15" customHeight="1">
      <c r="A1068" s="43" t="s">
        <v>2197</v>
      </c>
      <c r="B1068" s="11"/>
      <c r="C1068" s="11" t="s">
        <v>18</v>
      </c>
      <c r="D1068" s="45" t="s">
        <v>16</v>
      </c>
      <c r="E1068" s="47"/>
      <c r="F1068" s="39" t="s">
        <v>1997</v>
      </c>
      <c r="G1068" s="13" t="s">
        <v>7868</v>
      </c>
      <c r="H1068" s="99" t="str">
        <f t="shared" si="61"/>
        <v>W23F.9</v>
      </c>
      <c r="I1068" s="13" t="s">
        <v>17</v>
      </c>
      <c r="J1068" s="13"/>
      <c r="K1068" s="13"/>
      <c r="L1068" s="48"/>
      <c r="M1068" s="49" t="str">
        <f t="shared" si="62"/>
        <v>[W23F.9]</v>
      </c>
      <c r="N1068" s="12" t="str">
        <f t="shared" si="63"/>
        <v xml:space="preserve"> 유벤더 히터 시간초과 이상</v>
      </c>
      <c r="O1068" s="49" t="str">
        <f t="shared" si="64"/>
        <v>[W23F.9] 유벤더 히터 시간초과 이상</v>
      </c>
    </row>
    <row r="1069" spans="1:15" s="49" customFormat="1" ht="14.15" customHeight="1">
      <c r="A1069" s="43" t="s">
        <v>2197</v>
      </c>
      <c r="B1069" s="11"/>
      <c r="C1069" s="11" t="s">
        <v>18</v>
      </c>
      <c r="D1069" s="45" t="s">
        <v>16</v>
      </c>
      <c r="E1069" s="47"/>
      <c r="F1069" s="39" t="s">
        <v>1998</v>
      </c>
      <c r="G1069" s="13" t="s">
        <v>7869</v>
      </c>
      <c r="H1069" s="99" t="str">
        <f t="shared" si="61"/>
        <v>W23F.A</v>
      </c>
      <c r="I1069" s="13" t="s">
        <v>17</v>
      </c>
      <c r="J1069" s="13"/>
      <c r="K1069" s="13"/>
      <c r="L1069" s="48"/>
      <c r="M1069" s="49" t="str">
        <f t="shared" si="62"/>
        <v>[W23F.A]</v>
      </c>
      <c r="N1069" s="12" t="str">
        <f t="shared" si="63"/>
        <v xml:space="preserve"> 유벤더 히터 과열 이상</v>
      </c>
      <c r="O1069" s="49" t="str">
        <f t="shared" si="64"/>
        <v>[W23F.A] 유벤더 히터 과열 이상</v>
      </c>
    </row>
    <row r="1070" spans="1:15" s="49" customFormat="1" ht="14.15" customHeight="1">
      <c r="A1070" s="44"/>
      <c r="B1070" s="11"/>
      <c r="C1070" s="11" t="s">
        <v>18</v>
      </c>
      <c r="D1070" s="45" t="s">
        <v>16</v>
      </c>
      <c r="E1070" s="47"/>
      <c r="F1070" s="39" t="s">
        <v>908</v>
      </c>
      <c r="G1070" s="13" t="s">
        <v>7870</v>
      </c>
      <c r="H1070" s="99" t="str">
        <f t="shared" si="61"/>
        <v>W23F.B</v>
      </c>
      <c r="I1070" s="13"/>
      <c r="J1070" s="13"/>
      <c r="K1070" s="13"/>
      <c r="L1070" s="48"/>
      <c r="M1070" s="49" t="str">
        <f t="shared" si="62"/>
        <v>[W23F.B]</v>
      </c>
      <c r="N1070" s="12" t="str">
        <f t="shared" si="63"/>
        <v xml:space="preserve"> </v>
      </c>
      <c r="O1070" s="49" t="str">
        <f t="shared" si="64"/>
        <v xml:space="preserve">[W23F.B] </v>
      </c>
    </row>
    <row r="1071" spans="1:15" s="49" customFormat="1" ht="14.15" customHeight="1">
      <c r="A1071" s="44"/>
      <c r="B1071" s="11"/>
      <c r="C1071" s="11" t="s">
        <v>18</v>
      </c>
      <c r="D1071" s="45" t="s">
        <v>16</v>
      </c>
      <c r="E1071" s="47"/>
      <c r="F1071" s="39" t="s">
        <v>909</v>
      </c>
      <c r="G1071" s="13" t="s">
        <v>7871</v>
      </c>
      <c r="H1071" s="99" t="str">
        <f t="shared" si="61"/>
        <v>W23F.C</v>
      </c>
      <c r="I1071" s="13"/>
      <c r="J1071" s="13"/>
      <c r="K1071" s="13"/>
      <c r="L1071" s="48"/>
      <c r="M1071" s="49" t="str">
        <f t="shared" si="62"/>
        <v>[W23F.C]</v>
      </c>
      <c r="N1071" s="12" t="str">
        <f t="shared" si="63"/>
        <v xml:space="preserve"> </v>
      </c>
      <c r="O1071" s="49" t="str">
        <f t="shared" si="64"/>
        <v xml:space="preserve">[W23F.C] </v>
      </c>
    </row>
    <row r="1072" spans="1:15" s="49" customFormat="1" ht="14.15" customHeight="1">
      <c r="A1072" s="44"/>
      <c r="B1072" s="11"/>
      <c r="C1072" s="11" t="s">
        <v>18</v>
      </c>
      <c r="D1072" s="45" t="s">
        <v>16</v>
      </c>
      <c r="E1072" s="47"/>
      <c r="F1072" s="39" t="s">
        <v>910</v>
      </c>
      <c r="G1072" s="13" t="s">
        <v>7872</v>
      </c>
      <c r="H1072" s="99" t="str">
        <f t="shared" si="61"/>
        <v>W23F.D</v>
      </c>
      <c r="I1072" s="13"/>
      <c r="J1072" s="13"/>
      <c r="K1072" s="13"/>
      <c r="L1072" s="48"/>
      <c r="M1072" s="49" t="str">
        <f t="shared" si="62"/>
        <v>[W23F.D]</v>
      </c>
      <c r="N1072" s="12" t="str">
        <f t="shared" si="63"/>
        <v xml:space="preserve"> </v>
      </c>
      <c r="O1072" s="49" t="str">
        <f t="shared" si="64"/>
        <v xml:space="preserve">[W23F.D] </v>
      </c>
    </row>
    <row r="1073" spans="1:15" s="49" customFormat="1" ht="14.15" customHeight="1">
      <c r="A1073" s="44"/>
      <c r="B1073" s="11"/>
      <c r="C1073" s="11" t="s">
        <v>18</v>
      </c>
      <c r="D1073" s="45" t="s">
        <v>16</v>
      </c>
      <c r="E1073" s="47"/>
      <c r="F1073" s="39" t="s">
        <v>911</v>
      </c>
      <c r="G1073" s="13" t="s">
        <v>7873</v>
      </c>
      <c r="H1073" s="99" t="str">
        <f t="shared" si="61"/>
        <v>W23F.E</v>
      </c>
      <c r="I1073" s="13"/>
      <c r="J1073" s="13"/>
      <c r="K1073" s="13"/>
      <c r="L1073" s="48"/>
      <c r="M1073" s="49" t="str">
        <f t="shared" si="62"/>
        <v>[W23F.E]</v>
      </c>
      <c r="N1073" s="12" t="str">
        <f t="shared" si="63"/>
        <v xml:space="preserve"> </v>
      </c>
      <c r="O1073" s="49" t="str">
        <f t="shared" si="64"/>
        <v xml:space="preserve">[W23F.E] </v>
      </c>
    </row>
    <row r="1074" spans="1:15" s="49" customFormat="1" ht="14.15" customHeight="1">
      <c r="A1074" s="44"/>
      <c r="B1074" s="11"/>
      <c r="C1074" s="11" t="s">
        <v>18</v>
      </c>
      <c r="D1074" s="45" t="s">
        <v>16</v>
      </c>
      <c r="E1074" s="47"/>
      <c r="F1074" s="39" t="s">
        <v>912</v>
      </c>
      <c r="G1074" s="13" t="s">
        <v>7874</v>
      </c>
      <c r="H1074" s="99" t="str">
        <f t="shared" si="61"/>
        <v>W23F.F</v>
      </c>
      <c r="I1074" s="13"/>
      <c r="J1074" s="13"/>
      <c r="K1074" s="13"/>
      <c r="L1074" s="48"/>
      <c r="M1074" s="49" t="str">
        <f t="shared" si="62"/>
        <v>[W23F.F]</v>
      </c>
      <c r="N1074" s="12" t="str">
        <f t="shared" si="63"/>
        <v xml:space="preserve"> </v>
      </c>
      <c r="O1074" s="49" t="str">
        <f t="shared" si="64"/>
        <v xml:space="preserve">[W23F.F] </v>
      </c>
    </row>
    <row r="1075" spans="1:15" s="49" customFormat="1" ht="14.15" customHeight="1">
      <c r="A1075" s="44"/>
      <c r="B1075" s="11"/>
      <c r="C1075" s="11" t="s">
        <v>18</v>
      </c>
      <c r="D1075" s="45" t="s">
        <v>16</v>
      </c>
      <c r="E1075" s="47"/>
      <c r="F1075" s="39" t="s">
        <v>913</v>
      </c>
      <c r="G1075" s="13" t="s">
        <v>7875</v>
      </c>
      <c r="H1075" s="99" t="str">
        <f t="shared" si="61"/>
        <v>W240.0</v>
      </c>
      <c r="I1075" s="13"/>
      <c r="J1075" s="13"/>
      <c r="K1075" s="13"/>
      <c r="L1075" s="48"/>
      <c r="M1075" s="49" t="str">
        <f t="shared" si="62"/>
        <v>[W240.0]</v>
      </c>
      <c r="N1075" s="12" t="str">
        <f t="shared" si="63"/>
        <v xml:space="preserve"> </v>
      </c>
      <c r="O1075" s="49" t="str">
        <f t="shared" si="64"/>
        <v xml:space="preserve">[W240.0] </v>
      </c>
    </row>
    <row r="1076" spans="1:15" s="49" customFormat="1" ht="14.15" customHeight="1">
      <c r="A1076" s="44"/>
      <c r="B1076" s="11"/>
      <c r="C1076" s="11" t="s">
        <v>18</v>
      </c>
      <c r="D1076" s="45" t="s">
        <v>16</v>
      </c>
      <c r="E1076" s="47"/>
      <c r="F1076" s="39" t="s">
        <v>914</v>
      </c>
      <c r="G1076" s="13" t="s">
        <v>7876</v>
      </c>
      <c r="H1076" s="99" t="str">
        <f t="shared" ref="H1076:H1139" si="65">"W"&amp;DEC2HEX(512 + INT((ROW()-51)/16)) &amp; "." &amp; IF(MOD(ROW()-51,16)&lt;10,MOD(ROW()-51,16),CHAR(MOD(ROW()-51,16)+55))</f>
        <v>W240.1</v>
      </c>
      <c r="I1076" s="13"/>
      <c r="J1076" s="13"/>
      <c r="K1076" s="13"/>
      <c r="L1076" s="48"/>
      <c r="M1076" s="49" t="str">
        <f t="shared" ref="M1076:M1139" si="66">"["&amp;H1076&amp;"]"</f>
        <v>[W240.1]</v>
      </c>
      <c r="N1076" s="12" t="str">
        <f t="shared" ref="N1076:N1139" si="67">RIGHT(F1076,LEN(F1076)-7)</f>
        <v xml:space="preserve"> </v>
      </c>
      <c r="O1076" s="49" t="str">
        <f t="shared" ref="O1076:O1139" si="68">M1076&amp;N1076</f>
        <v xml:space="preserve">[W240.1] </v>
      </c>
    </row>
    <row r="1077" spans="1:15" s="49" customFormat="1" ht="14.15" customHeight="1">
      <c r="A1077" s="44"/>
      <c r="B1077" s="11"/>
      <c r="C1077" s="11" t="s">
        <v>18</v>
      </c>
      <c r="D1077" s="45" t="s">
        <v>16</v>
      </c>
      <c r="E1077" s="47"/>
      <c r="F1077" s="39" t="s">
        <v>915</v>
      </c>
      <c r="G1077" s="13" t="s">
        <v>7877</v>
      </c>
      <c r="H1077" s="99" t="str">
        <f t="shared" si="65"/>
        <v>W240.2</v>
      </c>
      <c r="I1077" s="13"/>
      <c r="J1077" s="13"/>
      <c r="K1077" s="13"/>
      <c r="L1077" s="48"/>
      <c r="M1077" s="49" t="str">
        <f t="shared" si="66"/>
        <v>[W240.2]</v>
      </c>
      <c r="N1077" s="12" t="str">
        <f t="shared" si="67"/>
        <v xml:space="preserve"> </v>
      </c>
      <c r="O1077" s="49" t="str">
        <f t="shared" si="68"/>
        <v xml:space="preserve">[W240.2] </v>
      </c>
    </row>
    <row r="1078" spans="1:15" s="49" customFormat="1" ht="14.15" customHeight="1">
      <c r="A1078" s="44"/>
      <c r="B1078" s="11"/>
      <c r="C1078" s="11" t="s">
        <v>18</v>
      </c>
      <c r="D1078" s="45" t="s">
        <v>16</v>
      </c>
      <c r="E1078" s="47"/>
      <c r="F1078" s="39" t="s">
        <v>916</v>
      </c>
      <c r="G1078" s="13" t="s">
        <v>7878</v>
      </c>
      <c r="H1078" s="99" t="str">
        <f t="shared" si="65"/>
        <v>W240.3</v>
      </c>
      <c r="I1078" s="13"/>
      <c r="J1078" s="13"/>
      <c r="K1078" s="13"/>
      <c r="L1078" s="48"/>
      <c r="M1078" s="49" t="str">
        <f t="shared" si="66"/>
        <v>[W240.3]</v>
      </c>
      <c r="N1078" s="12" t="str">
        <f t="shared" si="67"/>
        <v xml:space="preserve"> </v>
      </c>
      <c r="O1078" s="49" t="str">
        <f t="shared" si="68"/>
        <v xml:space="preserve">[W240.3] </v>
      </c>
    </row>
    <row r="1079" spans="1:15" s="49" customFormat="1" ht="14.15" customHeight="1">
      <c r="A1079" s="44"/>
      <c r="B1079" s="11"/>
      <c r="C1079" s="11" t="s">
        <v>18</v>
      </c>
      <c r="D1079" s="45" t="s">
        <v>16</v>
      </c>
      <c r="E1079" s="47"/>
      <c r="F1079" s="39" t="s">
        <v>917</v>
      </c>
      <c r="G1079" s="13" t="s">
        <v>7879</v>
      </c>
      <c r="H1079" s="99" t="str">
        <f t="shared" si="65"/>
        <v>W240.4</v>
      </c>
      <c r="I1079" s="13"/>
      <c r="J1079" s="13"/>
      <c r="K1079" s="13"/>
      <c r="L1079" s="48"/>
      <c r="M1079" s="49" t="str">
        <f t="shared" si="66"/>
        <v>[W240.4]</v>
      </c>
      <c r="N1079" s="12" t="str">
        <f t="shared" si="67"/>
        <v xml:space="preserve"> </v>
      </c>
      <c r="O1079" s="49" t="str">
        <f t="shared" si="68"/>
        <v xml:space="preserve">[W240.4] </v>
      </c>
    </row>
    <row r="1080" spans="1:15" s="49" customFormat="1" ht="14.15" customHeight="1">
      <c r="A1080" s="43" t="s">
        <v>2197</v>
      </c>
      <c r="B1080" s="11"/>
      <c r="C1080" s="11" t="s">
        <v>18</v>
      </c>
      <c r="D1080" s="45" t="s">
        <v>16</v>
      </c>
      <c r="E1080" s="47"/>
      <c r="F1080" s="39" t="s">
        <v>1999</v>
      </c>
      <c r="G1080" s="13" t="s">
        <v>7880</v>
      </c>
      <c r="H1080" s="99" t="str">
        <f t="shared" si="65"/>
        <v>W240.5</v>
      </c>
      <c r="I1080" s="13" t="s">
        <v>17</v>
      </c>
      <c r="J1080" s="13"/>
      <c r="K1080" s="13"/>
      <c r="L1080" s="48"/>
      <c r="M1080" s="49" t="str">
        <f t="shared" si="66"/>
        <v>[W240.5]</v>
      </c>
      <c r="N1080" s="12" t="str">
        <f t="shared" si="67"/>
        <v xml:space="preserve"> 공급 셔틀 제품 수취 시간 초과</v>
      </c>
      <c r="O1080" s="49" t="str">
        <f t="shared" si="68"/>
        <v>[W240.5] 공급 셔틀 제품 수취 시간 초과</v>
      </c>
    </row>
    <row r="1081" spans="1:15" s="49" customFormat="1" ht="14.15" customHeight="1">
      <c r="A1081" s="43" t="s">
        <v>2197</v>
      </c>
      <c r="B1081" s="11"/>
      <c r="C1081" s="11" t="s">
        <v>18</v>
      </c>
      <c r="D1081" s="45" t="s">
        <v>16</v>
      </c>
      <c r="E1081" s="47"/>
      <c r="F1081" s="39" t="s">
        <v>2000</v>
      </c>
      <c r="G1081" s="13" t="s">
        <v>7881</v>
      </c>
      <c r="H1081" s="99" t="str">
        <f t="shared" si="65"/>
        <v>W240.6</v>
      </c>
      <c r="I1081" s="13" t="s">
        <v>17</v>
      </c>
      <c r="J1081" s="13"/>
      <c r="K1081" s="13"/>
      <c r="L1081" s="48"/>
      <c r="M1081" s="49" t="str">
        <f t="shared" si="66"/>
        <v>[W240.6]</v>
      </c>
      <c r="N1081" s="12" t="str">
        <f t="shared" si="67"/>
        <v xml:space="preserve"> 공급 셔틀 제품 배출 시간 초과</v>
      </c>
      <c r="O1081" s="49" t="str">
        <f t="shared" si="68"/>
        <v>[W240.6] 공급 셔틀 제품 배출 시간 초과</v>
      </c>
    </row>
    <row r="1082" spans="1:15" s="49" customFormat="1" ht="14.15" customHeight="1">
      <c r="A1082" s="43" t="s">
        <v>2197</v>
      </c>
      <c r="B1082" s="11"/>
      <c r="C1082" s="11" t="s">
        <v>18</v>
      </c>
      <c r="D1082" s="45" t="s">
        <v>16</v>
      </c>
      <c r="E1082" s="47"/>
      <c r="F1082" s="39" t="s">
        <v>2001</v>
      </c>
      <c r="G1082" s="13" t="s">
        <v>7882</v>
      </c>
      <c r="H1082" s="99" t="str">
        <f t="shared" si="65"/>
        <v>W240.7</v>
      </c>
      <c r="I1082" s="13" t="s">
        <v>17</v>
      </c>
      <c r="J1082" s="13"/>
      <c r="K1082" s="13"/>
      <c r="L1082" s="48"/>
      <c r="M1082" s="49" t="str">
        <f t="shared" si="66"/>
        <v>[W240.7]</v>
      </c>
      <c r="N1082" s="12" t="str">
        <f t="shared" si="67"/>
        <v xml:space="preserve"> 공급 셔틀 제품 수취 시퀀스 이상</v>
      </c>
      <c r="O1082" s="49" t="str">
        <f t="shared" si="68"/>
        <v>[W240.7] 공급 셔틀 제품 수취 시퀀스 이상</v>
      </c>
    </row>
    <row r="1083" spans="1:15" s="49" customFormat="1" ht="14.15" customHeight="1">
      <c r="A1083" s="43" t="s">
        <v>2197</v>
      </c>
      <c r="B1083" s="11"/>
      <c r="C1083" s="11" t="s">
        <v>18</v>
      </c>
      <c r="D1083" s="45" t="s">
        <v>16</v>
      </c>
      <c r="E1083" s="47"/>
      <c r="F1083" s="39" t="s">
        <v>2002</v>
      </c>
      <c r="G1083" s="13" t="s">
        <v>7883</v>
      </c>
      <c r="H1083" s="99" t="str">
        <f t="shared" si="65"/>
        <v>W240.8</v>
      </c>
      <c r="I1083" s="13" t="s">
        <v>104</v>
      </c>
      <c r="J1083" s="13"/>
      <c r="K1083" s="13"/>
      <c r="L1083" s="48"/>
      <c r="M1083" s="49" t="str">
        <f t="shared" si="66"/>
        <v>[W240.8]</v>
      </c>
      <c r="N1083" s="12" t="str">
        <f t="shared" si="67"/>
        <v xml:space="preserve"> 공급 셔틀 제품 공정 시퀀스 이상</v>
      </c>
      <c r="O1083" s="49" t="str">
        <f t="shared" si="68"/>
        <v>[W240.8] 공급 셔틀 제품 공정 시퀀스 이상</v>
      </c>
    </row>
    <row r="1084" spans="1:15" s="49" customFormat="1" ht="14.15" customHeight="1">
      <c r="A1084" s="43" t="s">
        <v>2197</v>
      </c>
      <c r="B1084" s="11"/>
      <c r="C1084" s="11" t="s">
        <v>18</v>
      </c>
      <c r="D1084" s="45" t="s">
        <v>16</v>
      </c>
      <c r="E1084" s="47"/>
      <c r="F1084" s="39" t="s">
        <v>2003</v>
      </c>
      <c r="G1084" s="13" t="s">
        <v>7884</v>
      </c>
      <c r="H1084" s="99" t="str">
        <f t="shared" si="65"/>
        <v>W240.9</v>
      </c>
      <c r="I1084" s="13" t="s">
        <v>17</v>
      </c>
      <c r="J1084" s="13"/>
      <c r="K1084" s="13"/>
      <c r="L1084" s="48"/>
      <c r="M1084" s="49" t="str">
        <f t="shared" si="66"/>
        <v>[W240.9]</v>
      </c>
      <c r="N1084" s="12" t="str">
        <f t="shared" si="67"/>
        <v xml:space="preserve"> 공급 셔틀 제품 배출 시퀀스 이상</v>
      </c>
      <c r="O1084" s="49" t="str">
        <f t="shared" si="68"/>
        <v>[W240.9] 공급 셔틀 제품 배출 시퀀스 이상</v>
      </c>
    </row>
    <row r="1085" spans="1:15" s="49" customFormat="1" ht="14.15" customHeight="1">
      <c r="A1085" s="43" t="s">
        <v>2197</v>
      </c>
      <c r="B1085" s="11"/>
      <c r="C1085" s="11" t="s">
        <v>18</v>
      </c>
      <c r="D1085" s="45" t="s">
        <v>16</v>
      </c>
      <c r="E1085" s="47"/>
      <c r="F1085" s="39" t="s">
        <v>918</v>
      </c>
      <c r="G1085" s="13" t="s">
        <v>7885</v>
      </c>
      <c r="H1085" s="99" t="str">
        <f t="shared" si="65"/>
        <v>W240.A</v>
      </c>
      <c r="I1085" s="13"/>
      <c r="J1085" s="13"/>
      <c r="K1085" s="13"/>
      <c r="L1085" s="48"/>
      <c r="M1085" s="49" t="str">
        <f t="shared" si="66"/>
        <v>[W240.A]</v>
      </c>
      <c r="N1085" s="12" t="str">
        <f t="shared" si="67"/>
        <v xml:space="preserve"> </v>
      </c>
      <c r="O1085" s="49" t="str">
        <f t="shared" si="68"/>
        <v xml:space="preserve">[W240.A] </v>
      </c>
    </row>
    <row r="1086" spans="1:15" s="49" customFormat="1" ht="14.15" customHeight="1">
      <c r="A1086" s="43" t="s">
        <v>2197</v>
      </c>
      <c r="B1086" s="11"/>
      <c r="C1086" s="11" t="s">
        <v>18</v>
      </c>
      <c r="D1086" s="45" t="s">
        <v>16</v>
      </c>
      <c r="E1086" s="47"/>
      <c r="F1086" s="39" t="s">
        <v>2004</v>
      </c>
      <c r="G1086" s="13" t="s">
        <v>7886</v>
      </c>
      <c r="H1086" s="99" t="str">
        <f t="shared" si="65"/>
        <v>W240.B</v>
      </c>
      <c r="I1086" s="13" t="s">
        <v>104</v>
      </c>
      <c r="J1086" s="13"/>
      <c r="K1086" s="13"/>
      <c r="L1086" s="48"/>
      <c r="M1086" s="49" t="str">
        <f t="shared" si="66"/>
        <v>[W240.B]</v>
      </c>
      <c r="N1086" s="12" t="str">
        <f t="shared" si="67"/>
        <v xml:space="preserve"> 공급 셔틀 스테이지#1 제품 데이터 불일치 이상 (X4E0)</v>
      </c>
      <c r="O1086" s="49" t="str">
        <f t="shared" si="68"/>
        <v>[W240.B] 공급 셔틀 스테이지#1 제품 데이터 불일치 이상 (X4E0)</v>
      </c>
    </row>
    <row r="1087" spans="1:15" s="49" customFormat="1" ht="14.15" customHeight="1">
      <c r="A1087" s="43" t="s">
        <v>2197</v>
      </c>
      <c r="B1087" s="11"/>
      <c r="C1087" s="11" t="s">
        <v>18</v>
      </c>
      <c r="D1087" s="45" t="s">
        <v>16</v>
      </c>
      <c r="E1087" s="47"/>
      <c r="F1087" s="39" t="s">
        <v>2005</v>
      </c>
      <c r="G1087" s="13" t="s">
        <v>7887</v>
      </c>
      <c r="H1087" s="99" t="str">
        <f t="shared" si="65"/>
        <v>W240.C</v>
      </c>
      <c r="I1087" s="13" t="s">
        <v>17</v>
      </c>
      <c r="J1087" s="13"/>
      <c r="K1087" s="13"/>
      <c r="L1087" s="48"/>
      <c r="M1087" s="49" t="str">
        <f t="shared" si="66"/>
        <v>[W240.C]</v>
      </c>
      <c r="N1087" s="12" t="str">
        <f t="shared" si="67"/>
        <v xml:space="preserve"> 공급 셔틀 1열 제품 데이터 불일치 이상 (X4E1)</v>
      </c>
      <c r="O1087" s="49" t="str">
        <f t="shared" si="68"/>
        <v>[W240.C] 공급 셔틀 1열 제품 데이터 불일치 이상 (X4E1)</v>
      </c>
    </row>
    <row r="1088" spans="1:15" s="49" customFormat="1" ht="14.15" customHeight="1">
      <c r="A1088" s="43" t="s">
        <v>2197</v>
      </c>
      <c r="B1088" s="11"/>
      <c r="C1088" s="11" t="s">
        <v>18</v>
      </c>
      <c r="D1088" s="45" t="s">
        <v>16</v>
      </c>
      <c r="E1088" s="47"/>
      <c r="F1088" s="39" t="s">
        <v>2006</v>
      </c>
      <c r="G1088" s="13" t="s">
        <v>7888</v>
      </c>
      <c r="H1088" s="99" t="str">
        <f t="shared" si="65"/>
        <v>W240.D</v>
      </c>
      <c r="I1088" s="13" t="s">
        <v>17</v>
      </c>
      <c r="J1088" s="13"/>
      <c r="K1088" s="13"/>
      <c r="L1088" s="48"/>
      <c r="M1088" s="49" t="str">
        <f t="shared" si="66"/>
        <v>[W240.D]</v>
      </c>
      <c r="N1088" s="12" t="str">
        <f t="shared" si="67"/>
        <v xml:space="preserve"> 공급 셔틀 2열 제품 데이터 불일치 이상 (X4E7)</v>
      </c>
      <c r="O1088" s="49" t="str">
        <f t="shared" si="68"/>
        <v>[W240.D] 공급 셔틀 2열 제품 데이터 불일치 이상 (X4E7)</v>
      </c>
    </row>
    <row r="1089" spans="1:15" s="49" customFormat="1" ht="14.15" customHeight="1">
      <c r="A1089" s="43" t="s">
        <v>2197</v>
      </c>
      <c r="B1089" s="11"/>
      <c r="C1089" s="11" t="s">
        <v>18</v>
      </c>
      <c r="D1089" s="45" t="s">
        <v>16</v>
      </c>
      <c r="E1089" s="47"/>
      <c r="F1089" s="39" t="s">
        <v>2007</v>
      </c>
      <c r="G1089" s="13" t="s">
        <v>7889</v>
      </c>
      <c r="H1089" s="99" t="str">
        <f t="shared" si="65"/>
        <v>W240.E</v>
      </c>
      <c r="I1089" s="13" t="s">
        <v>104</v>
      </c>
      <c r="J1089" s="13"/>
      <c r="K1089" s="13"/>
      <c r="L1089" s="48"/>
      <c r="M1089" s="49" t="str">
        <f t="shared" si="66"/>
        <v>[W240.E]</v>
      </c>
      <c r="N1089" s="12" t="str">
        <f t="shared" si="67"/>
        <v xml:space="preserve"> 공급 셔틀 스테이지#2 제품 데이터 불일치 이상 (X4E6)</v>
      </c>
      <c r="O1089" s="49" t="str">
        <f t="shared" si="68"/>
        <v>[W240.E] 공급 셔틀 스테이지#2 제품 데이터 불일치 이상 (X4E6)</v>
      </c>
    </row>
    <row r="1090" spans="1:15" s="49" customFormat="1" ht="14.15" customHeight="1">
      <c r="A1090" s="43" t="s">
        <v>2197</v>
      </c>
      <c r="B1090" s="11"/>
      <c r="C1090" s="11" t="s">
        <v>18</v>
      </c>
      <c r="D1090" s="45" t="s">
        <v>16</v>
      </c>
      <c r="E1090" s="47"/>
      <c r="F1090" s="39" t="s">
        <v>2008</v>
      </c>
      <c r="G1090" s="13" t="s">
        <v>7890</v>
      </c>
      <c r="H1090" s="99" t="str">
        <f t="shared" si="65"/>
        <v>W240.F</v>
      </c>
      <c r="I1090" s="13" t="s">
        <v>17</v>
      </c>
      <c r="J1090" s="13"/>
      <c r="K1090" s="13"/>
      <c r="L1090" s="48"/>
      <c r="M1090" s="49" t="str">
        <f t="shared" si="66"/>
        <v>[W240.F]</v>
      </c>
      <c r="N1090" s="12" t="str">
        <f t="shared" si="67"/>
        <v xml:space="preserve"> U-벤더 모델 변경 벤더 후진 시간 초과 (Y54A, X441, X443, X451, X453)</v>
      </c>
      <c r="O1090" s="49" t="str">
        <f t="shared" si="68"/>
        <v>[W240.F] U-벤더 모델 변경 벤더 후진 시간 초과 (Y54A, X441, X443, X451, X453)</v>
      </c>
    </row>
    <row r="1091" spans="1:15" s="49" customFormat="1" ht="14.15" customHeight="1">
      <c r="A1091" s="43" t="s">
        <v>2197</v>
      </c>
      <c r="B1091" s="11"/>
      <c r="C1091" s="11" t="s">
        <v>18</v>
      </c>
      <c r="D1091" s="45" t="s">
        <v>16</v>
      </c>
      <c r="E1091" s="47"/>
      <c r="F1091" s="39" t="s">
        <v>2009</v>
      </c>
      <c r="G1091" s="13" t="s">
        <v>7891</v>
      </c>
      <c r="H1091" s="99" t="str">
        <f t="shared" si="65"/>
        <v>W241.0</v>
      </c>
      <c r="I1091" s="13" t="s">
        <v>17</v>
      </c>
      <c r="J1091" s="13"/>
      <c r="K1091" s="13"/>
      <c r="L1091" s="48"/>
      <c r="M1091" s="49" t="str">
        <f t="shared" si="66"/>
        <v>[W241.0]</v>
      </c>
      <c r="N1091" s="12" t="str">
        <f t="shared" si="67"/>
        <v xml:space="preserve"> U-벤더 모델 변경 벤더 전진 시간 초과 (Y54B, X440, X442, X450, X452)</v>
      </c>
      <c r="O1091" s="49" t="str">
        <f t="shared" si="68"/>
        <v>[W241.0] U-벤더 모델 변경 벤더 전진 시간 초과 (Y54B, X440, X442, X450, X452)</v>
      </c>
    </row>
    <row r="1092" spans="1:15" s="49" customFormat="1" ht="14.15" customHeight="1">
      <c r="A1092" s="43" t="s">
        <v>2197</v>
      </c>
      <c r="B1092" s="11"/>
      <c r="C1092" s="11" t="s">
        <v>18</v>
      </c>
      <c r="D1092" s="45" t="s">
        <v>16</v>
      </c>
      <c r="E1092" s="47"/>
      <c r="F1092" s="39" t="s">
        <v>2010</v>
      </c>
      <c r="G1092" s="13" t="s">
        <v>7892</v>
      </c>
      <c r="H1092" s="99" t="str">
        <f t="shared" si="65"/>
        <v>W241.1</v>
      </c>
      <c r="I1092" s="13" t="s">
        <v>104</v>
      </c>
      <c r="J1092" s="13"/>
      <c r="K1092" s="13"/>
      <c r="L1092" s="48"/>
      <c r="M1092" s="49" t="str">
        <f t="shared" si="66"/>
        <v>[W241.1]</v>
      </c>
      <c r="N1092" s="12" t="str">
        <f t="shared" si="67"/>
        <v xml:space="preserve"> U-벤더 모델 변경 벤더 후진/전진 센서 이상 (X441, X443, X451, X453, X440, X442, X450, X452)</v>
      </c>
      <c r="O1092" s="49" t="str">
        <f t="shared" si="68"/>
        <v>[W241.1] U-벤더 모델 변경 벤더 후진/전진 센서 이상 (X441, X443, X451, X453, X440, X442, X450, X452)</v>
      </c>
    </row>
    <row r="1093" spans="1:15" s="49" customFormat="1" ht="14.15" customHeight="1">
      <c r="A1093" s="43" t="s">
        <v>2197</v>
      </c>
      <c r="B1093" s="11"/>
      <c r="C1093" s="11" t="s">
        <v>18</v>
      </c>
      <c r="D1093" s="45" t="s">
        <v>16</v>
      </c>
      <c r="E1093" s="47"/>
      <c r="F1093" s="39" t="s">
        <v>2011</v>
      </c>
      <c r="G1093" s="13" t="s">
        <v>7893</v>
      </c>
      <c r="H1093" s="99" t="str">
        <f t="shared" si="65"/>
        <v>W241.2</v>
      </c>
      <c r="I1093" s="13" t="s">
        <v>17</v>
      </c>
      <c r="J1093" s="13"/>
      <c r="K1093" s="13"/>
      <c r="L1093" s="48"/>
      <c r="M1093" s="49" t="str">
        <f t="shared" si="66"/>
        <v>[W241.2]</v>
      </c>
      <c r="N1093" s="12" t="str">
        <f t="shared" si="67"/>
        <v xml:space="preserve"> U-벤더 모델 변경 센터링-X 후진 시간 초과 (Y54C, X445, X455)</v>
      </c>
      <c r="O1093" s="49" t="str">
        <f t="shared" si="68"/>
        <v>[W241.2] U-벤더 모델 변경 센터링-X 후진 시간 초과 (Y54C, X445, X455)</v>
      </c>
    </row>
    <row r="1094" spans="1:15" s="49" customFormat="1" ht="14.15" customHeight="1">
      <c r="A1094" s="43" t="s">
        <v>2197</v>
      </c>
      <c r="B1094" s="11"/>
      <c r="C1094" s="11" t="s">
        <v>18</v>
      </c>
      <c r="D1094" s="45" t="s">
        <v>16</v>
      </c>
      <c r="E1094" s="47"/>
      <c r="F1094" s="39" t="s">
        <v>2012</v>
      </c>
      <c r="G1094" s="13" t="s">
        <v>7894</v>
      </c>
      <c r="H1094" s="99" t="str">
        <f t="shared" si="65"/>
        <v>W241.3</v>
      </c>
      <c r="I1094" s="13" t="s">
        <v>17</v>
      </c>
      <c r="J1094" s="13"/>
      <c r="K1094" s="13"/>
      <c r="L1094" s="48"/>
      <c r="M1094" s="49" t="str">
        <f t="shared" si="66"/>
        <v>[W241.3]</v>
      </c>
      <c r="N1094" s="12" t="str">
        <f t="shared" si="67"/>
        <v xml:space="preserve"> U-벤더 모델 변경 센터링-X 전진 시간 초과 (Y54D, X444, X454)</v>
      </c>
      <c r="O1094" s="49" t="str">
        <f t="shared" si="68"/>
        <v>[W241.3] U-벤더 모델 변경 센터링-X 전진 시간 초과 (Y54D, X444, X454)</v>
      </c>
    </row>
    <row r="1095" spans="1:15" s="49" customFormat="1" ht="14.15" customHeight="1">
      <c r="A1095" s="43" t="s">
        <v>2197</v>
      </c>
      <c r="B1095" s="11"/>
      <c r="C1095" s="11" t="s">
        <v>18</v>
      </c>
      <c r="D1095" s="45" t="s">
        <v>16</v>
      </c>
      <c r="E1095" s="47"/>
      <c r="F1095" s="39" t="s">
        <v>2013</v>
      </c>
      <c r="G1095" s="13" t="s">
        <v>7895</v>
      </c>
      <c r="H1095" s="99" t="str">
        <f t="shared" si="65"/>
        <v>W241.4</v>
      </c>
      <c r="I1095" s="13" t="s">
        <v>104</v>
      </c>
      <c r="J1095" s="13"/>
      <c r="K1095" s="13"/>
      <c r="L1095" s="48"/>
      <c r="M1095" s="49" t="str">
        <f t="shared" si="66"/>
        <v>[W241.4]</v>
      </c>
      <c r="N1095" s="12" t="str">
        <f t="shared" si="67"/>
        <v xml:space="preserve"> U-벤더 모델 변경 센터링-X 후진/전진 센서 이상 (X445, X455, X444, X454)</v>
      </c>
      <c r="O1095" s="49" t="str">
        <f t="shared" si="68"/>
        <v>[W241.4] U-벤더 모델 변경 센터링-X 후진/전진 센서 이상 (X445, X455, X444, X454)</v>
      </c>
    </row>
    <row r="1096" spans="1:15" s="49" customFormat="1" ht="14.15" customHeight="1">
      <c r="A1096" s="43" t="s">
        <v>2197</v>
      </c>
      <c r="B1096" s="11"/>
      <c r="C1096" s="11" t="s">
        <v>18</v>
      </c>
      <c r="D1096" s="45" t="s">
        <v>16</v>
      </c>
      <c r="E1096" s="47"/>
      <c r="F1096" s="39" t="s">
        <v>2014</v>
      </c>
      <c r="G1096" s="13" t="s">
        <v>7896</v>
      </c>
      <c r="H1096" s="99" t="str">
        <f t="shared" si="65"/>
        <v>W241.5</v>
      </c>
      <c r="I1096" s="13" t="s">
        <v>17</v>
      </c>
      <c r="J1096" s="13"/>
      <c r="K1096" s="13"/>
      <c r="L1096" s="48"/>
      <c r="M1096" s="49" t="str">
        <f t="shared" si="66"/>
        <v>[W241.5]</v>
      </c>
      <c r="N1096" s="12" t="str">
        <f t="shared" si="67"/>
        <v xml:space="preserve"> U-벤더 센터링-Y 후진 시간 초과 (Y54E, X523, X527)</v>
      </c>
      <c r="O1096" s="49" t="str">
        <f t="shared" si="68"/>
        <v>[W241.5] U-벤더 센터링-Y 후진 시간 초과 (Y54E, X523, X527)</v>
      </c>
    </row>
    <row r="1097" spans="1:15" s="49" customFormat="1" ht="14.15" customHeight="1">
      <c r="A1097" s="43" t="s">
        <v>2197</v>
      </c>
      <c r="B1097" s="11"/>
      <c r="C1097" s="11" t="s">
        <v>18</v>
      </c>
      <c r="D1097" s="45" t="s">
        <v>16</v>
      </c>
      <c r="E1097" s="47"/>
      <c r="F1097" s="39" t="s">
        <v>2015</v>
      </c>
      <c r="G1097" s="13" t="s">
        <v>7897</v>
      </c>
      <c r="H1097" s="99" t="str">
        <f t="shared" si="65"/>
        <v>W241.6</v>
      </c>
      <c r="I1097" s="13" t="s">
        <v>17</v>
      </c>
      <c r="J1097" s="13"/>
      <c r="K1097" s="13"/>
      <c r="L1097" s="48"/>
      <c r="M1097" s="49" t="str">
        <f t="shared" si="66"/>
        <v>[W241.6]</v>
      </c>
      <c r="N1097" s="12" t="str">
        <f t="shared" si="67"/>
        <v xml:space="preserve"> U-벤더 센터링-Y 전진 시간 초과 (Y54F, X522, X526)</v>
      </c>
      <c r="O1097" s="49" t="str">
        <f t="shared" si="68"/>
        <v>[W241.6] U-벤더 센터링-Y 전진 시간 초과 (Y54F, X522, X526)</v>
      </c>
    </row>
    <row r="1098" spans="1:15" s="49" customFormat="1" ht="14.15" customHeight="1">
      <c r="A1098" s="43" t="s">
        <v>2197</v>
      </c>
      <c r="B1098" s="11"/>
      <c r="C1098" s="11" t="s">
        <v>18</v>
      </c>
      <c r="D1098" s="45" t="s">
        <v>16</v>
      </c>
      <c r="E1098" s="47"/>
      <c r="F1098" s="39" t="s">
        <v>2016</v>
      </c>
      <c r="G1098" s="13" t="s">
        <v>7898</v>
      </c>
      <c r="H1098" s="99" t="str">
        <f t="shared" si="65"/>
        <v>W241.7</v>
      </c>
      <c r="I1098" s="13" t="s">
        <v>17</v>
      </c>
      <c r="J1098" s="13"/>
      <c r="K1098" s="13"/>
      <c r="L1098" s="48"/>
      <c r="M1098" s="49" t="str">
        <f t="shared" si="66"/>
        <v>[W241.7]</v>
      </c>
      <c r="N1098" s="12" t="str">
        <f t="shared" si="67"/>
        <v xml:space="preserve"> U-벤더 센터링-Y 후진/전진 센서 이상 (X523, X527, X522, X526)</v>
      </c>
      <c r="O1098" s="49" t="str">
        <f t="shared" si="68"/>
        <v>[W241.7] U-벤더 센터링-Y 후진/전진 센서 이상 (X523, X527, X522, X526)</v>
      </c>
    </row>
    <row r="1099" spans="1:15" s="49" customFormat="1" ht="14.15" customHeight="1">
      <c r="A1099" s="43" t="s">
        <v>2197</v>
      </c>
      <c r="B1099" s="11"/>
      <c r="C1099" s="11" t="s">
        <v>18</v>
      </c>
      <c r="D1099" s="45" t="s">
        <v>16</v>
      </c>
      <c r="E1099" s="47"/>
      <c r="F1099" s="39" t="s">
        <v>2017</v>
      </c>
      <c r="G1099" s="13" t="s">
        <v>7899</v>
      </c>
      <c r="H1099" s="99" t="str">
        <f t="shared" si="65"/>
        <v>W241.8</v>
      </c>
      <c r="I1099" s="13" t="s">
        <v>104</v>
      </c>
      <c r="J1099" s="13"/>
      <c r="K1099" s="13"/>
      <c r="L1099" s="48"/>
      <c r="M1099" s="49" t="str">
        <f t="shared" si="66"/>
        <v>[W241.8]</v>
      </c>
      <c r="N1099" s="12" t="str">
        <f t="shared" si="67"/>
        <v xml:space="preserve"> U-벤더 센터링 하강 시간 초과 (Y553, X521, X525)</v>
      </c>
      <c r="O1099" s="49" t="str">
        <f t="shared" si="68"/>
        <v>[W241.8] U-벤더 센터링 하강 시간 초과 (Y553, X521, X525)</v>
      </c>
    </row>
    <row r="1100" spans="1:15" s="49" customFormat="1" ht="14.15" customHeight="1">
      <c r="A1100" s="43" t="s">
        <v>2197</v>
      </c>
      <c r="B1100" s="11"/>
      <c r="C1100" s="11" t="s">
        <v>18</v>
      </c>
      <c r="D1100" s="45" t="s">
        <v>16</v>
      </c>
      <c r="E1100" s="47"/>
      <c r="F1100" s="39" t="s">
        <v>2018</v>
      </c>
      <c r="G1100" s="13" t="s">
        <v>7900</v>
      </c>
      <c r="H1100" s="99" t="str">
        <f t="shared" si="65"/>
        <v>W241.9</v>
      </c>
      <c r="I1100" s="13" t="s">
        <v>17</v>
      </c>
      <c r="J1100" s="13"/>
      <c r="K1100" s="13"/>
      <c r="L1100" s="48"/>
      <c r="M1100" s="49" t="str">
        <f t="shared" si="66"/>
        <v>[W241.9]</v>
      </c>
      <c r="N1100" s="12" t="str">
        <f t="shared" si="67"/>
        <v xml:space="preserve"> U-벤더 센터링 상승 시간 초과 (Y554, X520, X524)</v>
      </c>
      <c r="O1100" s="49" t="str">
        <f t="shared" si="68"/>
        <v>[W241.9] U-벤더 센터링 상승 시간 초과 (Y554, X520, X524)</v>
      </c>
    </row>
    <row r="1101" spans="1:15" s="49" customFormat="1" ht="14.15" customHeight="1">
      <c r="A1101" s="43" t="s">
        <v>2197</v>
      </c>
      <c r="B1101" s="11"/>
      <c r="C1101" s="11" t="s">
        <v>18</v>
      </c>
      <c r="D1101" s="45" t="s">
        <v>16</v>
      </c>
      <c r="E1101" s="47"/>
      <c r="F1101" s="39" t="s">
        <v>2019</v>
      </c>
      <c r="G1101" s="13" t="s">
        <v>7901</v>
      </c>
      <c r="H1101" s="99" t="str">
        <f t="shared" si="65"/>
        <v>W241.A</v>
      </c>
      <c r="I1101" s="13" t="s">
        <v>17</v>
      </c>
      <c r="J1101" s="13"/>
      <c r="K1101" s="13"/>
      <c r="L1101" s="48"/>
      <c r="M1101" s="49" t="str">
        <f t="shared" si="66"/>
        <v>[W241.A]</v>
      </c>
      <c r="N1101" s="12" t="str">
        <f t="shared" si="67"/>
        <v xml:space="preserve"> U-벤더 센터링 하강/상승 센서 이상 (X521, X525, X520, X524)</v>
      </c>
      <c r="O1101" s="49" t="str">
        <f t="shared" si="68"/>
        <v>[W241.A] U-벤더 센터링 하강/상승 센서 이상 (X521, X525, X520, X524)</v>
      </c>
    </row>
    <row r="1102" spans="1:15" s="49" customFormat="1" ht="14.15" customHeight="1">
      <c r="A1102" s="43" t="s">
        <v>2197</v>
      </c>
      <c r="B1102" s="11"/>
      <c r="C1102" s="11" t="s">
        <v>106</v>
      </c>
      <c r="D1102" s="45" t="s">
        <v>16</v>
      </c>
      <c r="E1102" s="47"/>
      <c r="F1102" s="39" t="s">
        <v>2020</v>
      </c>
      <c r="G1102" s="13" t="s">
        <v>7902</v>
      </c>
      <c r="H1102" s="99" t="str">
        <f t="shared" si="65"/>
        <v>W241.B</v>
      </c>
      <c r="I1102" s="13" t="s">
        <v>104</v>
      </c>
      <c r="J1102" s="13"/>
      <c r="K1102" s="13"/>
      <c r="L1102" s="48"/>
      <c r="M1102" s="49" t="str">
        <f t="shared" si="66"/>
        <v>[W241.B]</v>
      </c>
      <c r="N1102" s="12" t="str">
        <f t="shared" si="67"/>
        <v xml:space="preserve"> U-벤더 센터링-X 전진 시간 초과 (Y556, X446, X456)</v>
      </c>
      <c r="O1102" s="49" t="str">
        <f t="shared" si="68"/>
        <v>[W241.B] U-벤더 센터링-X 전진 시간 초과 (Y556, X446, X456)</v>
      </c>
    </row>
    <row r="1103" spans="1:15" s="49" customFormat="1" ht="14.15" customHeight="1">
      <c r="A1103" s="43" t="s">
        <v>2197</v>
      </c>
      <c r="B1103" s="11"/>
      <c r="C1103" s="11" t="s">
        <v>18</v>
      </c>
      <c r="D1103" s="45" t="s">
        <v>16</v>
      </c>
      <c r="E1103" s="47"/>
      <c r="F1103" s="39" t="s">
        <v>2021</v>
      </c>
      <c r="G1103" s="13" t="s">
        <v>7903</v>
      </c>
      <c r="H1103" s="99" t="str">
        <f t="shared" si="65"/>
        <v>W241.C</v>
      </c>
      <c r="I1103" s="13" t="s">
        <v>17</v>
      </c>
      <c r="J1103" s="13"/>
      <c r="K1103" s="13"/>
      <c r="L1103" s="48"/>
      <c r="M1103" s="49" t="str">
        <f t="shared" si="66"/>
        <v>[W241.C]</v>
      </c>
      <c r="N1103" s="12" t="str">
        <f t="shared" si="67"/>
        <v xml:space="preserve"> U-벤더 센터링-X 후진 시간 초과 (Y555, X447, X457)</v>
      </c>
      <c r="O1103" s="49" t="str">
        <f t="shared" si="68"/>
        <v>[W241.C] U-벤더 센터링-X 후진 시간 초과 (Y555, X447, X457)</v>
      </c>
    </row>
    <row r="1104" spans="1:15" s="49" customFormat="1" ht="14.15" customHeight="1">
      <c r="A1104" s="43" t="s">
        <v>2197</v>
      </c>
      <c r="B1104" s="11"/>
      <c r="C1104" s="11" t="s">
        <v>18</v>
      </c>
      <c r="D1104" s="45" t="s">
        <v>16</v>
      </c>
      <c r="E1104" s="47"/>
      <c r="F1104" s="39" t="s">
        <v>2022</v>
      </c>
      <c r="G1104" s="13" t="s">
        <v>7904</v>
      </c>
      <c r="H1104" s="99" t="str">
        <f t="shared" si="65"/>
        <v>W241.D</v>
      </c>
      <c r="I1104" s="13" t="s">
        <v>17</v>
      </c>
      <c r="J1104" s="13"/>
      <c r="K1104" s="13"/>
      <c r="L1104" s="48"/>
      <c r="M1104" s="49" t="str">
        <f t="shared" si="66"/>
        <v>[W241.D]</v>
      </c>
      <c r="N1104" s="12" t="str">
        <f t="shared" si="67"/>
        <v xml:space="preserve"> U-벤더 센터링-X 후진/전진 센서 이상 (X446, X456, X447, X457)</v>
      </c>
      <c r="O1104" s="49" t="str">
        <f t="shared" si="68"/>
        <v>[W241.D] U-벤더 센터링-X 후진/전진 센서 이상 (X446, X456, X447, X457)</v>
      </c>
    </row>
    <row r="1105" spans="1:15" s="49" customFormat="1" ht="14.15" customHeight="1">
      <c r="A1105" s="44"/>
      <c r="B1105" s="11"/>
      <c r="C1105" s="11" t="s">
        <v>18</v>
      </c>
      <c r="D1105" s="45" t="s">
        <v>16</v>
      </c>
      <c r="E1105" s="47"/>
      <c r="F1105" s="39" t="s">
        <v>919</v>
      </c>
      <c r="G1105" s="13" t="s">
        <v>7905</v>
      </c>
      <c r="H1105" s="99" t="str">
        <f t="shared" si="65"/>
        <v>W241.E</v>
      </c>
      <c r="I1105" s="13"/>
      <c r="J1105" s="13"/>
      <c r="K1105" s="13"/>
      <c r="L1105" s="48"/>
      <c r="M1105" s="49" t="str">
        <f t="shared" si="66"/>
        <v>[W241.E]</v>
      </c>
      <c r="N1105" s="12" t="str">
        <f t="shared" si="67"/>
        <v xml:space="preserve"> </v>
      </c>
      <c r="O1105" s="49" t="str">
        <f t="shared" si="68"/>
        <v xml:space="preserve">[W241.E] </v>
      </c>
    </row>
    <row r="1106" spans="1:15" s="49" customFormat="1" ht="14.15" customHeight="1">
      <c r="A1106" s="44"/>
      <c r="B1106" s="11"/>
      <c r="C1106" s="11" t="s">
        <v>18</v>
      </c>
      <c r="D1106" s="45" t="s">
        <v>16</v>
      </c>
      <c r="E1106" s="47"/>
      <c r="F1106" s="39" t="s">
        <v>920</v>
      </c>
      <c r="G1106" s="13" t="s">
        <v>7906</v>
      </c>
      <c r="H1106" s="99" t="str">
        <f t="shared" si="65"/>
        <v>W241.F</v>
      </c>
      <c r="I1106" s="13"/>
      <c r="J1106" s="13"/>
      <c r="K1106" s="13"/>
      <c r="L1106" s="48"/>
      <c r="M1106" s="49" t="str">
        <f t="shared" si="66"/>
        <v>[W241.F]</v>
      </c>
      <c r="N1106" s="12" t="str">
        <f t="shared" si="67"/>
        <v xml:space="preserve"> </v>
      </c>
      <c r="O1106" s="49" t="str">
        <f t="shared" si="68"/>
        <v xml:space="preserve">[W241.F] </v>
      </c>
    </row>
    <row r="1107" spans="1:15" s="49" customFormat="1" ht="14.15" customHeight="1">
      <c r="A1107" s="44"/>
      <c r="B1107" s="11"/>
      <c r="C1107" s="11" t="s">
        <v>18</v>
      </c>
      <c r="D1107" s="45" t="s">
        <v>16</v>
      </c>
      <c r="E1107" s="47"/>
      <c r="F1107" s="39" t="s">
        <v>921</v>
      </c>
      <c r="G1107" s="13" t="s">
        <v>7907</v>
      </c>
      <c r="H1107" s="99" t="str">
        <f t="shared" si="65"/>
        <v>W242.0</v>
      </c>
      <c r="I1107" s="13"/>
      <c r="J1107" s="13"/>
      <c r="K1107" s="13"/>
      <c r="L1107" s="48"/>
      <c r="M1107" s="49" t="str">
        <f t="shared" si="66"/>
        <v>[W242.0]</v>
      </c>
      <c r="N1107" s="12" t="str">
        <f t="shared" si="67"/>
        <v xml:space="preserve"> </v>
      </c>
      <c r="O1107" s="49" t="str">
        <f t="shared" si="68"/>
        <v xml:space="preserve">[W242.0] </v>
      </c>
    </row>
    <row r="1108" spans="1:15" s="49" customFormat="1" ht="14.15" customHeight="1">
      <c r="A1108" s="44"/>
      <c r="B1108" s="11"/>
      <c r="C1108" s="11" t="s">
        <v>18</v>
      </c>
      <c r="D1108" s="45" t="s">
        <v>16</v>
      </c>
      <c r="E1108" s="47"/>
      <c r="F1108" s="39" t="s">
        <v>922</v>
      </c>
      <c r="G1108" s="13" t="s">
        <v>7908</v>
      </c>
      <c r="H1108" s="99" t="str">
        <f t="shared" si="65"/>
        <v>W242.1</v>
      </c>
      <c r="I1108" s="13"/>
      <c r="J1108" s="13"/>
      <c r="K1108" s="13"/>
      <c r="L1108" s="48"/>
      <c r="M1108" s="49" t="str">
        <f t="shared" si="66"/>
        <v>[W242.1]</v>
      </c>
      <c r="N1108" s="12" t="str">
        <f t="shared" si="67"/>
        <v xml:space="preserve"> </v>
      </c>
      <c r="O1108" s="49" t="str">
        <f t="shared" si="68"/>
        <v xml:space="preserve">[W242.1] </v>
      </c>
    </row>
    <row r="1109" spans="1:15" s="49" customFormat="1" ht="14.15" customHeight="1">
      <c r="A1109" s="44"/>
      <c r="B1109" s="11"/>
      <c r="C1109" s="11" t="s">
        <v>18</v>
      </c>
      <c r="D1109" s="45" t="s">
        <v>16</v>
      </c>
      <c r="E1109" s="47"/>
      <c r="F1109" s="39" t="s">
        <v>923</v>
      </c>
      <c r="G1109" s="13" t="s">
        <v>7909</v>
      </c>
      <c r="H1109" s="99" t="str">
        <f t="shared" si="65"/>
        <v>W242.2</v>
      </c>
      <c r="I1109" s="13"/>
      <c r="J1109" s="13"/>
      <c r="K1109" s="13"/>
      <c r="L1109" s="48"/>
      <c r="M1109" s="49" t="str">
        <f t="shared" si="66"/>
        <v>[W242.2]</v>
      </c>
      <c r="N1109" s="12" t="str">
        <f t="shared" si="67"/>
        <v xml:space="preserve"> </v>
      </c>
      <c r="O1109" s="49" t="str">
        <f t="shared" si="68"/>
        <v xml:space="preserve">[W242.2] </v>
      </c>
    </row>
    <row r="1110" spans="1:15" s="49" customFormat="1" ht="14.15" customHeight="1">
      <c r="A1110" s="44"/>
      <c r="B1110" s="11"/>
      <c r="C1110" s="11" t="s">
        <v>18</v>
      </c>
      <c r="D1110" s="45" t="s">
        <v>16</v>
      </c>
      <c r="E1110" s="47"/>
      <c r="F1110" s="39" t="s">
        <v>924</v>
      </c>
      <c r="G1110" s="13" t="s">
        <v>7910</v>
      </c>
      <c r="H1110" s="99" t="str">
        <f t="shared" si="65"/>
        <v>W242.3</v>
      </c>
      <c r="I1110" s="13"/>
      <c r="J1110" s="13"/>
      <c r="K1110" s="13"/>
      <c r="L1110" s="48"/>
      <c r="M1110" s="49" t="str">
        <f t="shared" si="66"/>
        <v>[W242.3]</v>
      </c>
      <c r="N1110" s="12" t="str">
        <f t="shared" si="67"/>
        <v xml:space="preserve"> </v>
      </c>
      <c r="O1110" s="49" t="str">
        <f t="shared" si="68"/>
        <v xml:space="preserve">[W242.3] </v>
      </c>
    </row>
    <row r="1111" spans="1:15" s="49" customFormat="1" ht="14.15" customHeight="1">
      <c r="A1111" s="44"/>
      <c r="B1111" s="11"/>
      <c r="C1111" s="11" t="s">
        <v>18</v>
      </c>
      <c r="D1111" s="45" t="s">
        <v>16</v>
      </c>
      <c r="E1111" s="47"/>
      <c r="F1111" s="39" t="s">
        <v>925</v>
      </c>
      <c r="G1111" s="13" t="s">
        <v>7911</v>
      </c>
      <c r="H1111" s="99" t="str">
        <f t="shared" si="65"/>
        <v>W242.4</v>
      </c>
      <c r="I1111" s="13"/>
      <c r="J1111" s="13"/>
      <c r="K1111" s="13"/>
      <c r="L1111" s="48"/>
      <c r="M1111" s="49" t="str">
        <f t="shared" si="66"/>
        <v>[W242.4]</v>
      </c>
      <c r="N1111" s="12" t="str">
        <f t="shared" si="67"/>
        <v xml:space="preserve"> </v>
      </c>
      <c r="O1111" s="49" t="str">
        <f t="shared" si="68"/>
        <v xml:space="preserve">[W242.4] </v>
      </c>
    </row>
    <row r="1112" spans="1:15" s="49" customFormat="1" ht="14.15" customHeight="1">
      <c r="A1112" s="44"/>
      <c r="B1112" s="11"/>
      <c r="C1112" s="11" t="s">
        <v>18</v>
      </c>
      <c r="D1112" s="45" t="s">
        <v>16</v>
      </c>
      <c r="E1112" s="47"/>
      <c r="F1112" s="39" t="s">
        <v>926</v>
      </c>
      <c r="G1112" s="13" t="s">
        <v>7912</v>
      </c>
      <c r="H1112" s="99" t="str">
        <f t="shared" si="65"/>
        <v>W242.5</v>
      </c>
      <c r="I1112" s="13"/>
      <c r="J1112" s="13"/>
      <c r="K1112" s="13"/>
      <c r="L1112" s="48"/>
      <c r="M1112" s="49" t="str">
        <f t="shared" si="66"/>
        <v>[W242.5]</v>
      </c>
      <c r="N1112" s="12" t="str">
        <f t="shared" si="67"/>
        <v xml:space="preserve"> </v>
      </c>
      <c r="O1112" s="49" t="str">
        <f t="shared" si="68"/>
        <v xml:space="preserve">[W242.5] </v>
      </c>
    </row>
    <row r="1113" spans="1:15" s="49" customFormat="1" ht="14.15" customHeight="1">
      <c r="A1113" s="44"/>
      <c r="B1113" s="11"/>
      <c r="C1113" s="11" t="s">
        <v>18</v>
      </c>
      <c r="D1113" s="45" t="s">
        <v>16</v>
      </c>
      <c r="E1113" s="47"/>
      <c r="F1113" s="39" t="s">
        <v>927</v>
      </c>
      <c r="G1113" s="13" t="s">
        <v>7913</v>
      </c>
      <c r="H1113" s="99" t="str">
        <f t="shared" si="65"/>
        <v>W242.6</v>
      </c>
      <c r="I1113" s="13"/>
      <c r="J1113" s="13"/>
      <c r="K1113" s="13"/>
      <c r="L1113" s="48"/>
      <c r="M1113" s="49" t="str">
        <f t="shared" si="66"/>
        <v>[W242.6]</v>
      </c>
      <c r="N1113" s="12" t="str">
        <f t="shared" si="67"/>
        <v xml:space="preserve"> </v>
      </c>
      <c r="O1113" s="49" t="str">
        <f t="shared" si="68"/>
        <v xml:space="preserve">[W242.6] </v>
      </c>
    </row>
    <row r="1114" spans="1:15" s="49" customFormat="1" ht="14.15" customHeight="1">
      <c r="A1114" s="44"/>
      <c r="B1114" s="11"/>
      <c r="C1114" s="11" t="s">
        <v>18</v>
      </c>
      <c r="D1114" s="45" t="s">
        <v>16</v>
      </c>
      <c r="E1114" s="47"/>
      <c r="F1114" s="39" t="s">
        <v>928</v>
      </c>
      <c r="G1114" s="13" t="s">
        <v>7914</v>
      </c>
      <c r="H1114" s="99" t="str">
        <f t="shared" si="65"/>
        <v>W242.7</v>
      </c>
      <c r="I1114" s="13"/>
      <c r="J1114" s="13"/>
      <c r="K1114" s="13"/>
      <c r="L1114" s="48"/>
      <c r="M1114" s="49" t="str">
        <f t="shared" si="66"/>
        <v>[W242.7]</v>
      </c>
      <c r="N1114" s="12" t="str">
        <f t="shared" si="67"/>
        <v xml:space="preserve"> </v>
      </c>
      <c r="O1114" s="49" t="str">
        <f t="shared" si="68"/>
        <v xml:space="preserve">[W242.7] </v>
      </c>
    </row>
    <row r="1115" spans="1:15" s="49" customFormat="1" ht="14.15" customHeight="1">
      <c r="A1115" s="44"/>
      <c r="B1115" s="11"/>
      <c r="C1115" s="11" t="s">
        <v>18</v>
      </c>
      <c r="D1115" s="45" t="s">
        <v>16</v>
      </c>
      <c r="E1115" s="47"/>
      <c r="F1115" s="39" t="s">
        <v>929</v>
      </c>
      <c r="G1115" s="13" t="s">
        <v>7915</v>
      </c>
      <c r="H1115" s="99" t="str">
        <f t="shared" si="65"/>
        <v>W242.8</v>
      </c>
      <c r="I1115" s="13"/>
      <c r="J1115" s="13"/>
      <c r="K1115" s="13"/>
      <c r="L1115" s="48"/>
      <c r="M1115" s="49" t="str">
        <f t="shared" si="66"/>
        <v>[W242.8]</v>
      </c>
      <c r="N1115" s="12" t="str">
        <f t="shared" si="67"/>
        <v xml:space="preserve"> </v>
      </c>
      <c r="O1115" s="49" t="str">
        <f t="shared" si="68"/>
        <v xml:space="preserve">[W242.8] </v>
      </c>
    </row>
    <row r="1116" spans="1:15" s="49" customFormat="1" ht="14.15" customHeight="1">
      <c r="A1116" s="44"/>
      <c r="B1116" s="11"/>
      <c r="C1116" s="11" t="s">
        <v>18</v>
      </c>
      <c r="D1116" s="45" t="s">
        <v>16</v>
      </c>
      <c r="E1116" s="47"/>
      <c r="F1116" s="39" t="s">
        <v>930</v>
      </c>
      <c r="G1116" s="13" t="s">
        <v>7916</v>
      </c>
      <c r="H1116" s="99" t="str">
        <f t="shared" si="65"/>
        <v>W242.9</v>
      </c>
      <c r="I1116" s="13"/>
      <c r="J1116" s="13"/>
      <c r="K1116" s="13"/>
      <c r="L1116" s="48"/>
      <c r="M1116" s="49" t="str">
        <f t="shared" si="66"/>
        <v>[W242.9]</v>
      </c>
      <c r="N1116" s="12" t="str">
        <f t="shared" si="67"/>
        <v xml:space="preserve"> </v>
      </c>
      <c r="O1116" s="49" t="str">
        <f t="shared" si="68"/>
        <v xml:space="preserve">[W242.9] </v>
      </c>
    </row>
    <row r="1117" spans="1:15" s="49" customFormat="1" ht="14.15" customHeight="1">
      <c r="A1117" s="44"/>
      <c r="B1117" s="11"/>
      <c r="C1117" s="11" t="s">
        <v>18</v>
      </c>
      <c r="D1117" s="45" t="s">
        <v>16</v>
      </c>
      <c r="E1117" s="47"/>
      <c r="F1117" s="39" t="s">
        <v>931</v>
      </c>
      <c r="G1117" s="13" t="s">
        <v>7917</v>
      </c>
      <c r="H1117" s="99" t="str">
        <f t="shared" si="65"/>
        <v>W242.A</v>
      </c>
      <c r="I1117" s="13"/>
      <c r="J1117" s="13"/>
      <c r="K1117" s="13"/>
      <c r="L1117" s="48"/>
      <c r="M1117" s="49" t="str">
        <f t="shared" si="66"/>
        <v>[W242.A]</v>
      </c>
      <c r="N1117" s="12" t="str">
        <f t="shared" si="67"/>
        <v xml:space="preserve"> </v>
      </c>
      <c r="O1117" s="49" t="str">
        <f t="shared" si="68"/>
        <v xml:space="preserve">[W242.A] </v>
      </c>
    </row>
    <row r="1118" spans="1:15" s="49" customFormat="1" ht="14.15" customHeight="1">
      <c r="A1118" s="44"/>
      <c r="B1118" s="11"/>
      <c r="C1118" s="11" t="s">
        <v>18</v>
      </c>
      <c r="D1118" s="45" t="s">
        <v>16</v>
      </c>
      <c r="E1118" s="47"/>
      <c r="F1118" s="39" t="s">
        <v>932</v>
      </c>
      <c r="G1118" s="13" t="s">
        <v>7918</v>
      </c>
      <c r="H1118" s="99" t="str">
        <f t="shared" si="65"/>
        <v>W242.B</v>
      </c>
      <c r="I1118" s="13"/>
      <c r="J1118" s="13"/>
      <c r="K1118" s="13"/>
      <c r="L1118" s="48"/>
      <c r="M1118" s="49" t="str">
        <f t="shared" si="66"/>
        <v>[W242.B]</v>
      </c>
      <c r="N1118" s="12" t="str">
        <f t="shared" si="67"/>
        <v xml:space="preserve"> </v>
      </c>
      <c r="O1118" s="49" t="str">
        <f t="shared" si="68"/>
        <v xml:space="preserve">[W242.B] </v>
      </c>
    </row>
    <row r="1119" spans="1:15" s="49" customFormat="1" ht="14.15" customHeight="1">
      <c r="A1119" s="44"/>
      <c r="B1119" s="11"/>
      <c r="C1119" s="11" t="s">
        <v>18</v>
      </c>
      <c r="D1119" s="45" t="s">
        <v>16</v>
      </c>
      <c r="E1119" s="47"/>
      <c r="F1119" s="39" t="s">
        <v>933</v>
      </c>
      <c r="G1119" s="13" t="s">
        <v>7919</v>
      </c>
      <c r="H1119" s="99" t="str">
        <f t="shared" si="65"/>
        <v>W242.C</v>
      </c>
      <c r="I1119" s="13"/>
      <c r="J1119" s="13"/>
      <c r="K1119" s="13"/>
      <c r="L1119" s="48"/>
      <c r="M1119" s="49" t="str">
        <f t="shared" si="66"/>
        <v>[W242.C]</v>
      </c>
      <c r="N1119" s="12" t="str">
        <f t="shared" si="67"/>
        <v xml:space="preserve"> </v>
      </c>
      <c r="O1119" s="49" t="str">
        <f t="shared" si="68"/>
        <v xml:space="preserve">[W242.C] </v>
      </c>
    </row>
    <row r="1120" spans="1:15" s="49" customFormat="1" ht="14.15" customHeight="1">
      <c r="A1120" s="43" t="s">
        <v>2197</v>
      </c>
      <c r="B1120" s="11"/>
      <c r="C1120" s="11" t="s">
        <v>18</v>
      </c>
      <c r="D1120" s="45" t="s">
        <v>16</v>
      </c>
      <c r="E1120" s="47"/>
      <c r="F1120" s="39" t="s">
        <v>2023</v>
      </c>
      <c r="G1120" s="13" t="s">
        <v>7920</v>
      </c>
      <c r="H1120" s="99" t="str">
        <f t="shared" si="65"/>
        <v>W242.D</v>
      </c>
      <c r="I1120" s="13" t="s">
        <v>17</v>
      </c>
      <c r="J1120" s="13"/>
      <c r="K1120" s="13"/>
      <c r="L1120" s="48"/>
      <c r="M1120" s="49" t="str">
        <f t="shared" si="66"/>
        <v>[W242.D]</v>
      </c>
      <c r="N1120" s="12" t="str">
        <f t="shared" si="67"/>
        <v xml:space="preserve"> U-벤더 제품 수취 시간 초과</v>
      </c>
      <c r="O1120" s="49" t="str">
        <f t="shared" si="68"/>
        <v>[W242.D] U-벤더 제품 수취 시간 초과</v>
      </c>
    </row>
    <row r="1121" spans="1:15" s="49" customFormat="1" ht="14.15" customHeight="1">
      <c r="A1121" s="43" t="s">
        <v>2197</v>
      </c>
      <c r="B1121" s="11"/>
      <c r="C1121" s="11" t="s">
        <v>18</v>
      </c>
      <c r="D1121" s="45" t="s">
        <v>16</v>
      </c>
      <c r="E1121" s="47"/>
      <c r="F1121" s="39" t="s">
        <v>2024</v>
      </c>
      <c r="G1121" s="13" t="s">
        <v>7921</v>
      </c>
      <c r="H1121" s="99" t="str">
        <f t="shared" si="65"/>
        <v>W242.E</v>
      </c>
      <c r="I1121" s="13" t="s">
        <v>104</v>
      </c>
      <c r="J1121" s="13"/>
      <c r="K1121" s="13"/>
      <c r="L1121" s="48"/>
      <c r="M1121" s="49" t="str">
        <f t="shared" si="66"/>
        <v>[W242.E]</v>
      </c>
      <c r="N1121" s="12" t="str">
        <f t="shared" si="67"/>
        <v xml:space="preserve"> U-벤더 제품 배출 시간 초과</v>
      </c>
      <c r="O1121" s="49" t="str">
        <f t="shared" si="68"/>
        <v>[W242.E] U-벤더 제품 배출 시간 초과</v>
      </c>
    </row>
    <row r="1122" spans="1:15" s="49" customFormat="1" ht="14.15" customHeight="1">
      <c r="A1122" s="43" t="s">
        <v>2197</v>
      </c>
      <c r="B1122" s="11"/>
      <c r="C1122" s="11" t="s">
        <v>18</v>
      </c>
      <c r="D1122" s="45" t="s">
        <v>16</v>
      </c>
      <c r="E1122" s="47"/>
      <c r="F1122" s="39" t="s">
        <v>2025</v>
      </c>
      <c r="G1122" s="13" t="s">
        <v>7922</v>
      </c>
      <c r="H1122" s="99" t="str">
        <f t="shared" si="65"/>
        <v>W242.F</v>
      </c>
      <c r="I1122" s="13" t="s">
        <v>17</v>
      </c>
      <c r="J1122" s="13"/>
      <c r="K1122" s="13"/>
      <c r="L1122" s="48"/>
      <c r="M1122" s="49" t="str">
        <f t="shared" si="66"/>
        <v>[W242.F]</v>
      </c>
      <c r="N1122" s="12" t="str">
        <f t="shared" si="67"/>
        <v xml:space="preserve"> U-벤더 제품 수취 시퀀스 이상</v>
      </c>
      <c r="O1122" s="49" t="str">
        <f t="shared" si="68"/>
        <v>[W242.F] U-벤더 제품 수취 시퀀스 이상</v>
      </c>
    </row>
    <row r="1123" spans="1:15" s="49" customFormat="1" ht="14.15" customHeight="1">
      <c r="A1123" s="43" t="s">
        <v>2197</v>
      </c>
      <c r="B1123" s="11"/>
      <c r="C1123" s="11" t="s">
        <v>18</v>
      </c>
      <c r="D1123" s="45" t="s">
        <v>16</v>
      </c>
      <c r="E1123" s="47"/>
      <c r="F1123" s="39" t="s">
        <v>2026</v>
      </c>
      <c r="G1123" s="13" t="s">
        <v>7923</v>
      </c>
      <c r="H1123" s="99" t="str">
        <f t="shared" si="65"/>
        <v>W243.0</v>
      </c>
      <c r="I1123" s="13" t="s">
        <v>17</v>
      </c>
      <c r="J1123" s="13"/>
      <c r="K1123" s="13"/>
      <c r="L1123" s="48"/>
      <c r="M1123" s="49" t="str">
        <f t="shared" si="66"/>
        <v>[W243.0]</v>
      </c>
      <c r="N1123" s="12" t="str">
        <f t="shared" si="67"/>
        <v xml:space="preserve"> U-벤더 제품 공정 시퀀스 이상</v>
      </c>
      <c r="O1123" s="49" t="str">
        <f t="shared" si="68"/>
        <v>[W243.0] U-벤더 제품 공정 시퀀스 이상</v>
      </c>
    </row>
    <row r="1124" spans="1:15" s="49" customFormat="1" ht="14.15" customHeight="1">
      <c r="A1124" s="43" t="s">
        <v>2197</v>
      </c>
      <c r="B1124" s="11"/>
      <c r="C1124" s="11" t="s">
        <v>18</v>
      </c>
      <c r="D1124" s="45" t="s">
        <v>16</v>
      </c>
      <c r="E1124" s="47"/>
      <c r="F1124" s="39" t="s">
        <v>2027</v>
      </c>
      <c r="G1124" s="13" t="s">
        <v>7924</v>
      </c>
      <c r="H1124" s="99" t="str">
        <f t="shared" si="65"/>
        <v>W243.1</v>
      </c>
      <c r="I1124" s="13" t="s">
        <v>104</v>
      </c>
      <c r="J1124" s="13"/>
      <c r="K1124" s="13"/>
      <c r="L1124" s="48"/>
      <c r="M1124" s="49" t="str">
        <f t="shared" si="66"/>
        <v>[W243.1]</v>
      </c>
      <c r="N1124" s="12" t="str">
        <f t="shared" si="67"/>
        <v xml:space="preserve"> U-벤더 제품 배출 시퀀스 이상</v>
      </c>
      <c r="O1124" s="49" t="str">
        <f t="shared" si="68"/>
        <v>[W243.1] U-벤더 제품 배출 시퀀스 이상</v>
      </c>
    </row>
    <row r="1125" spans="1:15" s="49" customFormat="1" ht="14.15" customHeight="1">
      <c r="A1125" s="44"/>
      <c r="B1125" s="11"/>
      <c r="C1125" s="11" t="s">
        <v>18</v>
      </c>
      <c r="D1125" s="45" t="s">
        <v>16</v>
      </c>
      <c r="E1125" s="47"/>
      <c r="F1125" s="39" t="s">
        <v>934</v>
      </c>
      <c r="G1125" s="13" t="s">
        <v>7925</v>
      </c>
      <c r="H1125" s="99" t="str">
        <f t="shared" si="65"/>
        <v>W243.2</v>
      </c>
      <c r="I1125" s="13"/>
      <c r="J1125" s="13"/>
      <c r="K1125" s="13"/>
      <c r="L1125" s="48"/>
      <c r="M1125" s="49" t="str">
        <f t="shared" si="66"/>
        <v>[W243.2]</v>
      </c>
      <c r="N1125" s="12" t="str">
        <f t="shared" si="67"/>
        <v xml:space="preserve"> </v>
      </c>
      <c r="O1125" s="49" t="str">
        <f t="shared" si="68"/>
        <v xml:space="preserve">[W243.2] </v>
      </c>
    </row>
    <row r="1126" spans="1:15" s="49" customFormat="1" ht="14.15" customHeight="1">
      <c r="A1126" s="44"/>
      <c r="B1126" s="11"/>
      <c r="C1126" s="11" t="s">
        <v>18</v>
      </c>
      <c r="D1126" s="45" t="s">
        <v>16</v>
      </c>
      <c r="E1126" s="47"/>
      <c r="F1126" s="39" t="s">
        <v>935</v>
      </c>
      <c r="G1126" s="13" t="s">
        <v>7926</v>
      </c>
      <c r="H1126" s="99" t="str">
        <f t="shared" si="65"/>
        <v>W243.3</v>
      </c>
      <c r="I1126" s="13"/>
      <c r="J1126" s="13"/>
      <c r="K1126" s="13"/>
      <c r="L1126" s="48"/>
      <c r="M1126" s="49" t="str">
        <f t="shared" si="66"/>
        <v>[W243.3]</v>
      </c>
      <c r="N1126" s="12" t="str">
        <f t="shared" si="67"/>
        <v xml:space="preserve"> </v>
      </c>
      <c r="O1126" s="49" t="str">
        <f t="shared" si="68"/>
        <v xml:space="preserve">[W243.3] </v>
      </c>
    </row>
    <row r="1127" spans="1:15" s="49" customFormat="1" ht="14.15" customHeight="1">
      <c r="A1127" s="44"/>
      <c r="B1127" s="11"/>
      <c r="C1127" s="11" t="s">
        <v>18</v>
      </c>
      <c r="D1127" s="45" t="s">
        <v>16</v>
      </c>
      <c r="E1127" s="47"/>
      <c r="F1127" s="39" t="s">
        <v>936</v>
      </c>
      <c r="G1127" s="13" t="s">
        <v>7927</v>
      </c>
      <c r="H1127" s="99" t="str">
        <f t="shared" si="65"/>
        <v>W243.4</v>
      </c>
      <c r="I1127" s="13"/>
      <c r="J1127" s="13"/>
      <c r="K1127" s="13"/>
      <c r="L1127" s="48"/>
      <c r="M1127" s="49" t="str">
        <f t="shared" si="66"/>
        <v>[W243.4]</v>
      </c>
      <c r="N1127" s="12" t="str">
        <f t="shared" si="67"/>
        <v xml:space="preserve"> </v>
      </c>
      <c r="O1127" s="49" t="str">
        <f t="shared" si="68"/>
        <v xml:space="preserve">[W243.4] </v>
      </c>
    </row>
    <row r="1128" spans="1:15" s="49" customFormat="1" ht="14.15" customHeight="1">
      <c r="A1128" s="44"/>
      <c r="B1128" s="11"/>
      <c r="C1128" s="11" t="s">
        <v>18</v>
      </c>
      <c r="D1128" s="45" t="s">
        <v>16</v>
      </c>
      <c r="E1128" s="47"/>
      <c r="F1128" s="39" t="s">
        <v>937</v>
      </c>
      <c r="G1128" s="13" t="s">
        <v>7928</v>
      </c>
      <c r="H1128" s="99" t="str">
        <f t="shared" si="65"/>
        <v>W243.5</v>
      </c>
      <c r="I1128" s="13"/>
      <c r="J1128" s="13"/>
      <c r="K1128" s="13"/>
      <c r="L1128" s="48"/>
      <c r="M1128" s="49" t="str">
        <f t="shared" si="66"/>
        <v>[W243.5]</v>
      </c>
      <c r="N1128" s="12" t="str">
        <f t="shared" si="67"/>
        <v xml:space="preserve"> </v>
      </c>
      <c r="O1128" s="49" t="str">
        <f t="shared" si="68"/>
        <v xml:space="preserve">[W243.5] </v>
      </c>
    </row>
    <row r="1129" spans="1:15" s="49" customFormat="1" ht="14.15" customHeight="1">
      <c r="A1129" s="43" t="s">
        <v>2197</v>
      </c>
      <c r="B1129" s="11"/>
      <c r="C1129" s="11" t="s">
        <v>18</v>
      </c>
      <c r="D1129" s="45" t="s">
        <v>16</v>
      </c>
      <c r="E1129" s="47"/>
      <c r="F1129" s="39" t="s">
        <v>2028</v>
      </c>
      <c r="G1129" s="13" t="s">
        <v>7929</v>
      </c>
      <c r="H1129" s="99" t="str">
        <f t="shared" si="65"/>
        <v>W243.6</v>
      </c>
      <c r="I1129" s="13" t="s">
        <v>17</v>
      </c>
      <c r="J1129" s="13"/>
      <c r="K1129" s="13"/>
      <c r="L1129" s="48"/>
      <c r="M1129" s="49" t="str">
        <f t="shared" si="66"/>
        <v>[W243.6]</v>
      </c>
      <c r="N1129" s="12" t="str">
        <f t="shared" si="67"/>
        <v xml:space="preserve"> U-벤더 제품 데이터 불일치 이상 (X500)</v>
      </c>
      <c r="O1129" s="49" t="str">
        <f t="shared" si="68"/>
        <v>[W243.6] U-벤더 제품 데이터 불일치 이상 (X500)</v>
      </c>
    </row>
    <row r="1130" spans="1:15" s="49" customFormat="1" ht="14.15" customHeight="1">
      <c r="A1130" s="43" t="s">
        <v>2197</v>
      </c>
      <c r="B1130" s="11"/>
      <c r="C1130" s="11" t="s">
        <v>18</v>
      </c>
      <c r="D1130" s="45" t="s">
        <v>16</v>
      </c>
      <c r="E1130" s="47"/>
      <c r="F1130" s="39" t="s">
        <v>2029</v>
      </c>
      <c r="G1130" s="13" t="s">
        <v>7930</v>
      </c>
      <c r="H1130" s="99" t="str">
        <f t="shared" si="65"/>
        <v>W243.7</v>
      </c>
      <c r="I1130" s="13" t="s">
        <v>17</v>
      </c>
      <c r="J1130" s="13"/>
      <c r="K1130" s="13"/>
      <c r="L1130" s="48"/>
      <c r="M1130" s="49" t="str">
        <f t="shared" si="66"/>
        <v>[W243.7]</v>
      </c>
      <c r="N1130" s="12" t="str">
        <f t="shared" si="67"/>
        <v xml:space="preserve"> 배출 셔틀 상승 시간 초과 (Y558, X504)</v>
      </c>
      <c r="O1130" s="49" t="str">
        <f t="shared" si="68"/>
        <v>[W243.7] 배출 셔틀 상승 시간 초과 (Y558, X504)</v>
      </c>
    </row>
    <row r="1131" spans="1:15" s="49" customFormat="1" ht="14.15" customHeight="1">
      <c r="A1131" s="43" t="s">
        <v>2197</v>
      </c>
      <c r="B1131" s="11"/>
      <c r="C1131" s="11" t="s">
        <v>18</v>
      </c>
      <c r="D1131" s="45" t="s">
        <v>16</v>
      </c>
      <c r="E1131" s="47"/>
      <c r="F1131" s="39" t="s">
        <v>2030</v>
      </c>
      <c r="G1131" s="13" t="s">
        <v>7931</v>
      </c>
      <c r="H1131" s="99" t="str">
        <f t="shared" si="65"/>
        <v>W243.8</v>
      </c>
      <c r="I1131" s="13" t="s">
        <v>104</v>
      </c>
      <c r="J1131" s="13"/>
      <c r="K1131" s="13"/>
      <c r="L1131" s="48"/>
      <c r="M1131" s="49" t="str">
        <f t="shared" si="66"/>
        <v>[W243.8]</v>
      </c>
      <c r="N1131" s="12" t="str">
        <f t="shared" si="67"/>
        <v xml:space="preserve"> 배출 셔틀 하강 시간 초과 (Y557, X505)</v>
      </c>
      <c r="O1131" s="49" t="str">
        <f t="shared" si="68"/>
        <v>[W243.8] 배출 셔틀 하강 시간 초과 (Y557, X505)</v>
      </c>
    </row>
    <row r="1132" spans="1:15" s="49" customFormat="1" ht="14.15" customHeight="1">
      <c r="A1132" s="43" t="s">
        <v>2197</v>
      </c>
      <c r="B1132" s="11"/>
      <c r="C1132" s="11" t="s">
        <v>18</v>
      </c>
      <c r="D1132" s="45" t="s">
        <v>16</v>
      </c>
      <c r="E1132" s="47"/>
      <c r="F1132" s="39" t="s">
        <v>2031</v>
      </c>
      <c r="G1132" s="13" t="s">
        <v>7932</v>
      </c>
      <c r="H1132" s="99" t="str">
        <f t="shared" si="65"/>
        <v>W243.9</v>
      </c>
      <c r="I1132" s="13" t="s">
        <v>17</v>
      </c>
      <c r="J1132" s="13"/>
      <c r="K1132" s="13"/>
      <c r="L1132" s="48"/>
      <c r="M1132" s="49" t="str">
        <f t="shared" si="66"/>
        <v>[W243.9]</v>
      </c>
      <c r="N1132" s="12" t="str">
        <f t="shared" si="67"/>
        <v xml:space="preserve"> 배출 셔틀 상승/하강 센서 이상 (X504, X505)</v>
      </c>
      <c r="O1132" s="49" t="str">
        <f t="shared" si="68"/>
        <v>[W243.9] 배출 셔틀 상승/하강 센서 이상 (X504, X505)</v>
      </c>
    </row>
    <row r="1133" spans="1:15" s="49" customFormat="1" ht="14.15" customHeight="1">
      <c r="A1133" s="44"/>
      <c r="B1133" s="11"/>
      <c r="C1133" s="11" t="s">
        <v>18</v>
      </c>
      <c r="D1133" s="45" t="s">
        <v>16</v>
      </c>
      <c r="E1133" s="47"/>
      <c r="F1133" s="39" t="s">
        <v>938</v>
      </c>
      <c r="G1133" s="13" t="s">
        <v>7933</v>
      </c>
      <c r="H1133" s="99" t="str">
        <f t="shared" si="65"/>
        <v>W243.A</v>
      </c>
      <c r="I1133" s="13"/>
      <c r="J1133" s="13"/>
      <c r="K1133" s="13"/>
      <c r="L1133" s="48"/>
      <c r="M1133" s="49" t="str">
        <f t="shared" si="66"/>
        <v>[W243.A]</v>
      </c>
      <c r="N1133" s="12" t="str">
        <f t="shared" si="67"/>
        <v xml:space="preserve"> </v>
      </c>
      <c r="O1133" s="49" t="str">
        <f t="shared" si="68"/>
        <v xml:space="preserve">[W243.A] </v>
      </c>
    </row>
    <row r="1134" spans="1:15" s="49" customFormat="1" ht="14.15" customHeight="1">
      <c r="A1134" s="44"/>
      <c r="B1134" s="11"/>
      <c r="C1134" s="11" t="s">
        <v>18</v>
      </c>
      <c r="D1134" s="45" t="s">
        <v>16</v>
      </c>
      <c r="E1134" s="47"/>
      <c r="F1134" s="39" t="s">
        <v>939</v>
      </c>
      <c r="G1134" s="13" t="s">
        <v>7934</v>
      </c>
      <c r="H1134" s="99" t="str">
        <f t="shared" si="65"/>
        <v>W243.B</v>
      </c>
      <c r="I1134" s="13"/>
      <c r="J1134" s="13"/>
      <c r="K1134" s="13"/>
      <c r="L1134" s="48"/>
      <c r="M1134" s="49" t="str">
        <f t="shared" si="66"/>
        <v>[W243.B]</v>
      </c>
      <c r="N1134" s="12" t="str">
        <f t="shared" si="67"/>
        <v xml:space="preserve"> </v>
      </c>
      <c r="O1134" s="49" t="str">
        <f t="shared" si="68"/>
        <v xml:space="preserve">[W243.B] </v>
      </c>
    </row>
    <row r="1135" spans="1:15" s="49" customFormat="1" ht="14.15" customHeight="1">
      <c r="A1135" s="43" t="s">
        <v>2197</v>
      </c>
      <c r="B1135" s="11"/>
      <c r="C1135" s="11" t="s">
        <v>18</v>
      </c>
      <c r="D1135" s="45" t="s">
        <v>16</v>
      </c>
      <c r="E1135" s="47"/>
      <c r="F1135" s="39" t="s">
        <v>2032</v>
      </c>
      <c r="G1135" s="13" t="s">
        <v>7935</v>
      </c>
      <c r="H1135" s="99" t="str">
        <f t="shared" si="65"/>
        <v>W243.C</v>
      </c>
      <c r="I1135" s="13" t="s">
        <v>17</v>
      </c>
      <c r="J1135" s="13"/>
      <c r="K1135" s="13"/>
      <c r="L1135" s="48"/>
      <c r="M1135" s="49" t="str">
        <f t="shared" si="66"/>
        <v>[W243.C]</v>
      </c>
      <c r="N1135" s="12" t="str">
        <f t="shared" si="67"/>
        <v xml:space="preserve"> 배출 셔틀 진공 On 시간 초과 (Y550, X503)</v>
      </c>
      <c r="O1135" s="49" t="str">
        <f t="shared" si="68"/>
        <v>[W243.C] 배출 셔틀 진공 On 시간 초과 (Y550, X503)</v>
      </c>
    </row>
    <row r="1136" spans="1:15" s="49" customFormat="1" ht="14.15" customHeight="1">
      <c r="A1136" s="43" t="s">
        <v>2197</v>
      </c>
      <c r="B1136" s="11"/>
      <c r="C1136" s="11" t="s">
        <v>18</v>
      </c>
      <c r="D1136" s="45" t="s">
        <v>16</v>
      </c>
      <c r="E1136" s="47"/>
      <c r="F1136" s="39" t="s">
        <v>2033</v>
      </c>
      <c r="G1136" s="13" t="s">
        <v>7936</v>
      </c>
      <c r="H1136" s="99" t="str">
        <f t="shared" si="65"/>
        <v>W243.D</v>
      </c>
      <c r="I1136" s="13" t="s">
        <v>17</v>
      </c>
      <c r="J1136" s="13"/>
      <c r="K1136" s="13"/>
      <c r="L1136" s="48"/>
      <c r="M1136" s="49" t="str">
        <f t="shared" si="66"/>
        <v>[W243.D]</v>
      </c>
      <c r="N1136" s="12" t="str">
        <f t="shared" si="67"/>
        <v xml:space="preserve"> 배출 셔틀 진공 Off 시간 초과 (Y551, X503)</v>
      </c>
      <c r="O1136" s="49" t="str">
        <f t="shared" si="68"/>
        <v>[W243.D] 배출 셔틀 진공 Off 시간 초과 (Y551, X503)</v>
      </c>
    </row>
    <row r="1137" spans="1:15" s="49" customFormat="1" ht="14.15" customHeight="1">
      <c r="A1137" s="44"/>
      <c r="B1137" s="11"/>
      <c r="C1137" s="11" t="s">
        <v>18</v>
      </c>
      <c r="D1137" s="45" t="s">
        <v>16</v>
      </c>
      <c r="E1137" s="47"/>
      <c r="F1137" s="39" t="s">
        <v>940</v>
      </c>
      <c r="G1137" s="13" t="s">
        <v>7937</v>
      </c>
      <c r="H1137" s="99" t="str">
        <f t="shared" si="65"/>
        <v>W243.E</v>
      </c>
      <c r="I1137" s="13"/>
      <c r="J1137" s="13"/>
      <c r="K1137" s="13"/>
      <c r="L1137" s="48"/>
      <c r="M1137" s="49" t="str">
        <f t="shared" si="66"/>
        <v>[W243.E]</v>
      </c>
      <c r="N1137" s="12" t="str">
        <f t="shared" si="67"/>
        <v xml:space="preserve"> </v>
      </c>
      <c r="O1137" s="49" t="str">
        <f t="shared" si="68"/>
        <v xml:space="preserve">[W243.E] </v>
      </c>
    </row>
    <row r="1138" spans="1:15" s="49" customFormat="1" ht="14.15" customHeight="1">
      <c r="A1138" s="44"/>
      <c r="B1138" s="11"/>
      <c r="C1138" s="11" t="s">
        <v>18</v>
      </c>
      <c r="D1138" s="45" t="s">
        <v>16</v>
      </c>
      <c r="E1138" s="47"/>
      <c r="F1138" s="39" t="s">
        <v>941</v>
      </c>
      <c r="G1138" s="13" t="s">
        <v>7938</v>
      </c>
      <c r="H1138" s="99" t="str">
        <f t="shared" si="65"/>
        <v>W243.F</v>
      </c>
      <c r="I1138" s="13"/>
      <c r="J1138" s="13"/>
      <c r="K1138" s="13"/>
      <c r="L1138" s="48"/>
      <c r="M1138" s="49" t="str">
        <f t="shared" si="66"/>
        <v>[W243.F]</v>
      </c>
      <c r="N1138" s="12" t="str">
        <f t="shared" si="67"/>
        <v xml:space="preserve"> </v>
      </c>
      <c r="O1138" s="49" t="str">
        <f t="shared" si="68"/>
        <v xml:space="preserve">[W243.F] </v>
      </c>
    </row>
    <row r="1139" spans="1:15" s="49" customFormat="1" ht="14.15" customHeight="1">
      <c r="A1139" s="44"/>
      <c r="B1139" s="11"/>
      <c r="C1139" s="11" t="s">
        <v>18</v>
      </c>
      <c r="D1139" s="45" t="s">
        <v>16</v>
      </c>
      <c r="E1139" s="47"/>
      <c r="F1139" s="39" t="s">
        <v>942</v>
      </c>
      <c r="G1139" s="13" t="s">
        <v>7939</v>
      </c>
      <c r="H1139" s="99" t="str">
        <f t="shared" si="65"/>
        <v>W244.0</v>
      </c>
      <c r="I1139" s="13"/>
      <c r="J1139" s="13"/>
      <c r="K1139" s="13"/>
      <c r="L1139" s="48"/>
      <c r="M1139" s="49" t="str">
        <f t="shared" si="66"/>
        <v>[W244.0]</v>
      </c>
      <c r="N1139" s="12" t="str">
        <f t="shared" si="67"/>
        <v xml:space="preserve"> </v>
      </c>
      <c r="O1139" s="49" t="str">
        <f t="shared" si="68"/>
        <v xml:space="preserve">[W244.0] </v>
      </c>
    </row>
    <row r="1140" spans="1:15" s="49" customFormat="1" ht="14.15" customHeight="1">
      <c r="A1140" s="43" t="s">
        <v>2197</v>
      </c>
      <c r="B1140" s="11"/>
      <c r="C1140" s="11" t="s">
        <v>18</v>
      </c>
      <c r="D1140" s="45" t="s">
        <v>16</v>
      </c>
      <c r="E1140" s="47"/>
      <c r="F1140" s="39" t="s">
        <v>2034</v>
      </c>
      <c r="G1140" s="13" t="s">
        <v>7940</v>
      </c>
      <c r="H1140" s="99" t="str">
        <f t="shared" ref="H1140:H1203" si="69">"W"&amp;DEC2HEX(512 + INT((ROW()-51)/16)) &amp; "." &amp; IF(MOD(ROW()-51,16)&lt;10,MOD(ROW()-51,16),CHAR(MOD(ROW()-51,16)+55))</f>
        <v>W244.1</v>
      </c>
      <c r="I1140" s="13" t="s">
        <v>104</v>
      </c>
      <c r="J1140" s="13"/>
      <c r="K1140" s="13"/>
      <c r="L1140" s="48"/>
      <c r="M1140" s="49" t="str">
        <f t="shared" ref="M1140:M1203" si="70">"["&amp;H1140&amp;"]"</f>
        <v>[W244.1]</v>
      </c>
      <c r="N1140" s="12" t="str">
        <f t="shared" ref="N1140:N1203" si="71">RIGHT(F1140,LEN(F1140)-7)</f>
        <v xml:space="preserve"> 배출 셔틀 수취 시간 초과</v>
      </c>
      <c r="O1140" s="49" t="str">
        <f t="shared" ref="O1140:O1203" si="72">M1140&amp;N1140</f>
        <v>[W244.1] 배출 셔틀 수취 시간 초과</v>
      </c>
    </row>
    <row r="1141" spans="1:15" s="49" customFormat="1" ht="14.15" customHeight="1">
      <c r="A1141" s="43" t="s">
        <v>2197</v>
      </c>
      <c r="B1141" s="11"/>
      <c r="C1141" s="11" t="s">
        <v>18</v>
      </c>
      <c r="D1141" s="45" t="s">
        <v>16</v>
      </c>
      <c r="E1141" s="47"/>
      <c r="F1141" s="39" t="s">
        <v>2035</v>
      </c>
      <c r="G1141" s="13" t="s">
        <v>7941</v>
      </c>
      <c r="H1141" s="99" t="str">
        <f t="shared" si="69"/>
        <v>W244.2</v>
      </c>
      <c r="I1141" s="13" t="s">
        <v>17</v>
      </c>
      <c r="J1141" s="13"/>
      <c r="K1141" s="13"/>
      <c r="L1141" s="48"/>
      <c r="M1141" s="49" t="str">
        <f t="shared" si="70"/>
        <v>[W244.2]</v>
      </c>
      <c r="N1141" s="12" t="str">
        <f t="shared" si="71"/>
        <v xml:space="preserve"> 배출 셔틀 배출 시간 초과</v>
      </c>
      <c r="O1141" s="49" t="str">
        <f t="shared" si="72"/>
        <v>[W244.2] 배출 셔틀 배출 시간 초과</v>
      </c>
    </row>
    <row r="1142" spans="1:15" s="49" customFormat="1" ht="14.15" customHeight="1">
      <c r="A1142" s="43" t="s">
        <v>2197</v>
      </c>
      <c r="B1142" s="11"/>
      <c r="C1142" s="11" t="s">
        <v>18</v>
      </c>
      <c r="D1142" s="45" t="s">
        <v>16</v>
      </c>
      <c r="E1142" s="47"/>
      <c r="F1142" s="39" t="s">
        <v>2036</v>
      </c>
      <c r="G1142" s="13" t="s">
        <v>7942</v>
      </c>
      <c r="H1142" s="99" t="str">
        <f t="shared" si="69"/>
        <v>W244.3</v>
      </c>
      <c r="I1142" s="13" t="s">
        <v>17</v>
      </c>
      <c r="J1142" s="13"/>
      <c r="K1142" s="13"/>
      <c r="L1142" s="48"/>
      <c r="M1142" s="49" t="str">
        <f t="shared" si="70"/>
        <v>[W244.3]</v>
      </c>
      <c r="N1142" s="12" t="str">
        <f t="shared" si="71"/>
        <v xml:space="preserve"> 배출 셔틀 수취 시퀀스 이상</v>
      </c>
      <c r="O1142" s="49" t="str">
        <f t="shared" si="72"/>
        <v>[W244.3] 배출 셔틀 수취 시퀀스 이상</v>
      </c>
    </row>
    <row r="1143" spans="1:15" s="49" customFormat="1" ht="14.15" customHeight="1">
      <c r="A1143" s="44"/>
      <c r="B1143" s="11"/>
      <c r="C1143" s="11" t="s">
        <v>18</v>
      </c>
      <c r="D1143" s="45" t="s">
        <v>16</v>
      </c>
      <c r="E1143" s="47"/>
      <c r="F1143" s="39" t="s">
        <v>943</v>
      </c>
      <c r="G1143" s="13" t="s">
        <v>7943</v>
      </c>
      <c r="H1143" s="99" t="str">
        <f t="shared" si="69"/>
        <v>W244.4</v>
      </c>
      <c r="I1143" s="13"/>
      <c r="J1143" s="13"/>
      <c r="K1143" s="13"/>
      <c r="L1143" s="48"/>
      <c r="M1143" s="49" t="str">
        <f t="shared" si="70"/>
        <v>[W244.4]</v>
      </c>
      <c r="N1143" s="12" t="str">
        <f t="shared" si="71"/>
        <v xml:space="preserve"> </v>
      </c>
      <c r="O1143" s="49" t="str">
        <f t="shared" si="72"/>
        <v xml:space="preserve">[W244.4] </v>
      </c>
    </row>
    <row r="1144" spans="1:15" s="49" customFormat="1" ht="14.15" customHeight="1">
      <c r="A1144" s="43" t="s">
        <v>2197</v>
      </c>
      <c r="B1144" s="11"/>
      <c r="C1144" s="11" t="s">
        <v>18</v>
      </c>
      <c r="D1144" s="45" t="s">
        <v>16</v>
      </c>
      <c r="E1144" s="47"/>
      <c r="F1144" s="39" t="s">
        <v>2037</v>
      </c>
      <c r="G1144" s="13" t="s">
        <v>7944</v>
      </c>
      <c r="H1144" s="99" t="str">
        <f t="shared" si="69"/>
        <v>W244.5</v>
      </c>
      <c r="I1144" s="13" t="s">
        <v>17</v>
      </c>
      <c r="J1144" s="13"/>
      <c r="K1144" s="13"/>
      <c r="L1144" s="48"/>
      <c r="M1144" s="49" t="str">
        <f t="shared" si="70"/>
        <v>[W244.5]</v>
      </c>
      <c r="N1144" s="12" t="str">
        <f t="shared" si="71"/>
        <v xml:space="preserve"> 배출 셔틀 배출 시퀀스 이상</v>
      </c>
      <c r="O1144" s="49" t="str">
        <f t="shared" si="72"/>
        <v>[W244.5] 배출 셔틀 배출 시퀀스 이상</v>
      </c>
    </row>
    <row r="1145" spans="1:15" s="49" customFormat="1" ht="14.15" customHeight="1">
      <c r="A1145" s="44"/>
      <c r="B1145" s="11"/>
      <c r="C1145" s="11" t="s">
        <v>18</v>
      </c>
      <c r="D1145" s="45" t="s">
        <v>16</v>
      </c>
      <c r="E1145" s="47"/>
      <c r="F1145" s="39" t="s">
        <v>944</v>
      </c>
      <c r="G1145" s="13" t="s">
        <v>7945</v>
      </c>
      <c r="H1145" s="99" t="str">
        <f t="shared" si="69"/>
        <v>W244.6</v>
      </c>
      <c r="I1145" s="13"/>
      <c r="J1145" s="13"/>
      <c r="K1145" s="13"/>
      <c r="L1145" s="48"/>
      <c r="M1145" s="49" t="str">
        <f t="shared" si="70"/>
        <v>[W244.6]</v>
      </c>
      <c r="N1145" s="12" t="str">
        <f t="shared" si="71"/>
        <v xml:space="preserve"> </v>
      </c>
      <c r="O1145" s="49" t="str">
        <f t="shared" si="72"/>
        <v xml:space="preserve">[W244.6] </v>
      </c>
    </row>
    <row r="1146" spans="1:15" s="49" customFormat="1" ht="14.15" customHeight="1">
      <c r="A1146" s="44"/>
      <c r="B1146" s="11"/>
      <c r="C1146" s="11" t="s">
        <v>18</v>
      </c>
      <c r="D1146" s="45" t="s">
        <v>16</v>
      </c>
      <c r="E1146" s="47"/>
      <c r="F1146" s="39" t="s">
        <v>945</v>
      </c>
      <c r="G1146" s="13" t="s">
        <v>7946</v>
      </c>
      <c r="H1146" s="99" t="str">
        <f t="shared" si="69"/>
        <v>W244.7</v>
      </c>
      <c r="I1146" s="13"/>
      <c r="J1146" s="13"/>
      <c r="K1146" s="13"/>
      <c r="L1146" s="48"/>
      <c r="M1146" s="49" t="str">
        <f t="shared" si="70"/>
        <v>[W244.7]</v>
      </c>
      <c r="N1146" s="12" t="str">
        <f t="shared" si="71"/>
        <v xml:space="preserve"> </v>
      </c>
      <c r="O1146" s="49" t="str">
        <f t="shared" si="72"/>
        <v xml:space="preserve">[W244.7] </v>
      </c>
    </row>
    <row r="1147" spans="1:15" s="49" customFormat="1" ht="14.15" customHeight="1">
      <c r="A1147" s="44"/>
      <c r="B1147" s="11"/>
      <c r="C1147" s="11" t="s">
        <v>18</v>
      </c>
      <c r="D1147" s="45" t="s">
        <v>16</v>
      </c>
      <c r="E1147" s="47"/>
      <c r="F1147" s="39" t="s">
        <v>946</v>
      </c>
      <c r="G1147" s="13" t="s">
        <v>7947</v>
      </c>
      <c r="H1147" s="99" t="str">
        <f t="shared" si="69"/>
        <v>W244.8</v>
      </c>
      <c r="I1147" s="13"/>
      <c r="J1147" s="13"/>
      <c r="K1147" s="13"/>
      <c r="L1147" s="48"/>
      <c r="M1147" s="49" t="str">
        <f t="shared" si="70"/>
        <v>[W244.8]</v>
      </c>
      <c r="N1147" s="12" t="str">
        <f t="shared" si="71"/>
        <v xml:space="preserve"> </v>
      </c>
      <c r="O1147" s="49" t="str">
        <f t="shared" si="72"/>
        <v xml:space="preserve">[W244.8] </v>
      </c>
    </row>
    <row r="1148" spans="1:15" s="49" customFormat="1" ht="14.15" customHeight="1">
      <c r="A1148" s="44"/>
      <c r="B1148" s="11"/>
      <c r="C1148" s="11" t="s">
        <v>18</v>
      </c>
      <c r="D1148" s="45" t="s">
        <v>16</v>
      </c>
      <c r="E1148" s="47"/>
      <c r="F1148" s="39" t="s">
        <v>947</v>
      </c>
      <c r="G1148" s="13" t="s">
        <v>7948</v>
      </c>
      <c r="H1148" s="99" t="str">
        <f t="shared" si="69"/>
        <v>W244.9</v>
      </c>
      <c r="I1148" s="13"/>
      <c r="J1148" s="13"/>
      <c r="K1148" s="13"/>
      <c r="L1148" s="48"/>
      <c r="M1148" s="49" t="str">
        <f t="shared" si="70"/>
        <v>[W244.9]</v>
      </c>
      <c r="N1148" s="12" t="str">
        <f t="shared" si="71"/>
        <v xml:space="preserve"> </v>
      </c>
      <c r="O1148" s="49" t="str">
        <f t="shared" si="72"/>
        <v xml:space="preserve">[W244.9] </v>
      </c>
    </row>
    <row r="1149" spans="1:15" s="49" customFormat="1" ht="17">
      <c r="A1149" s="43" t="s">
        <v>2197</v>
      </c>
      <c r="B1149" s="11"/>
      <c r="C1149" s="11" t="s">
        <v>18</v>
      </c>
      <c r="D1149" s="45" t="s">
        <v>16</v>
      </c>
      <c r="E1149" s="47"/>
      <c r="F1149" s="39" t="s">
        <v>2038</v>
      </c>
      <c r="G1149" s="13" t="s">
        <v>7949</v>
      </c>
      <c r="H1149" s="99" t="str">
        <f t="shared" si="69"/>
        <v>W244.A</v>
      </c>
      <c r="I1149" s="13" t="s">
        <v>17</v>
      </c>
      <c r="J1149" s="13"/>
      <c r="K1149" s="13"/>
      <c r="L1149" s="48"/>
      <c r="M1149" s="49" t="str">
        <f t="shared" si="70"/>
        <v>[W244.A]</v>
      </c>
      <c r="N1149" s="12" t="str">
        <f t="shared" si="71"/>
        <v xml:space="preserve"> 배출 셔틀 제품 데이터 불일치 이상 (X502)</v>
      </c>
      <c r="O1149" s="49" t="str">
        <f t="shared" si="72"/>
        <v>[W244.A] 배출 셔틀 제품 데이터 불일치 이상 (X502)</v>
      </c>
    </row>
    <row r="1150" spans="1:15" s="49" customFormat="1" ht="14.15" customHeight="1">
      <c r="A1150" s="43" t="s">
        <v>2197</v>
      </c>
      <c r="B1150" s="11"/>
      <c r="C1150" s="11" t="s">
        <v>18</v>
      </c>
      <c r="D1150" s="45" t="s">
        <v>16</v>
      </c>
      <c r="E1150" s="47"/>
      <c r="F1150" s="39" t="s">
        <v>2039</v>
      </c>
      <c r="G1150" s="13" t="s">
        <v>7950</v>
      </c>
      <c r="H1150" s="99" t="str">
        <f t="shared" si="69"/>
        <v>W244.B</v>
      </c>
      <c r="I1150" s="13" t="s">
        <v>104</v>
      </c>
      <c r="J1150" s="13"/>
      <c r="K1150" s="13"/>
      <c r="L1150" s="48"/>
      <c r="M1150" s="49" t="str">
        <f t="shared" si="70"/>
        <v>[W244.B]</v>
      </c>
      <c r="N1150" s="12" t="str">
        <f t="shared" si="71"/>
        <v xml:space="preserve"> 배출 리프트 외부 폭 후진 시간 초과 (Y559, X449, X44B)</v>
      </c>
      <c r="O1150" s="49" t="str">
        <f t="shared" si="72"/>
        <v>[W244.B] 배출 리프트 외부 폭 후진 시간 초과 (Y559, X449, X44B)</v>
      </c>
    </row>
    <row r="1151" spans="1:15" s="49" customFormat="1" ht="14.15" customHeight="1">
      <c r="A1151" s="43" t="s">
        <v>2197</v>
      </c>
      <c r="B1151" s="11"/>
      <c r="C1151" s="11" t="s">
        <v>18</v>
      </c>
      <c r="D1151" s="45" t="s">
        <v>16</v>
      </c>
      <c r="E1151" s="47"/>
      <c r="F1151" s="39" t="s">
        <v>2040</v>
      </c>
      <c r="G1151" s="13" t="s">
        <v>7951</v>
      </c>
      <c r="H1151" s="99" t="str">
        <f t="shared" si="69"/>
        <v>W244.C</v>
      </c>
      <c r="I1151" s="13" t="s">
        <v>17</v>
      </c>
      <c r="J1151" s="13"/>
      <c r="K1151" s="13"/>
      <c r="L1151" s="48"/>
      <c r="M1151" s="49" t="str">
        <f t="shared" si="70"/>
        <v>[W244.C]</v>
      </c>
      <c r="N1151" s="12" t="str">
        <f t="shared" si="71"/>
        <v xml:space="preserve"> 배출 리프트 외부 폭 전진 시간 초과 (Y55A, X448, X44A)</v>
      </c>
      <c r="O1151" s="49" t="str">
        <f t="shared" si="72"/>
        <v>[W244.C] 배출 리프트 외부 폭 전진 시간 초과 (Y55A, X448, X44A)</v>
      </c>
    </row>
    <row r="1152" spans="1:15" s="49" customFormat="1" ht="14.15" customHeight="1">
      <c r="A1152" s="43" t="s">
        <v>2197</v>
      </c>
      <c r="B1152" s="11"/>
      <c r="C1152" s="11" t="s">
        <v>18</v>
      </c>
      <c r="D1152" s="45" t="s">
        <v>16</v>
      </c>
      <c r="E1152" s="47"/>
      <c r="F1152" s="39" t="s">
        <v>2041</v>
      </c>
      <c r="G1152" s="13" t="s">
        <v>7952</v>
      </c>
      <c r="H1152" s="99" t="str">
        <f t="shared" si="69"/>
        <v>W244.D</v>
      </c>
      <c r="I1152" s="13" t="s">
        <v>17</v>
      </c>
      <c r="J1152" s="13"/>
      <c r="K1152" s="13"/>
      <c r="L1152" s="48"/>
      <c r="M1152" s="49" t="str">
        <f t="shared" si="70"/>
        <v>[W244.D]</v>
      </c>
      <c r="N1152" s="12" t="str">
        <f t="shared" si="71"/>
        <v xml:space="preserve"> 배출 리프트 외부 폭 후진/전진 센서 이상 (X449, X44B, X448, X44A)</v>
      </c>
      <c r="O1152" s="49" t="str">
        <f t="shared" si="72"/>
        <v>[W244.D] 배출 리프트 외부 폭 후진/전진 센서 이상 (X449, X44B, X448, X44A)</v>
      </c>
    </row>
    <row r="1153" spans="1:15" s="49" customFormat="1" ht="14.15" customHeight="1">
      <c r="A1153" s="43" t="s">
        <v>2197</v>
      </c>
      <c r="B1153" s="11"/>
      <c r="C1153" s="11" t="s">
        <v>18</v>
      </c>
      <c r="D1153" s="45" t="s">
        <v>16</v>
      </c>
      <c r="E1153" s="47"/>
      <c r="F1153" s="39" t="s">
        <v>2042</v>
      </c>
      <c r="G1153" s="13" t="s">
        <v>7953</v>
      </c>
      <c r="H1153" s="99" t="str">
        <f t="shared" si="69"/>
        <v>W244.E</v>
      </c>
      <c r="I1153" s="13" t="s">
        <v>104</v>
      </c>
      <c r="J1153" s="13"/>
      <c r="K1153" s="13"/>
      <c r="L1153" s="48"/>
      <c r="M1153" s="49" t="str">
        <f t="shared" si="70"/>
        <v>[W244.E]</v>
      </c>
      <c r="N1153" s="12" t="str">
        <f t="shared" si="71"/>
        <v xml:space="preserve"> 배출 리프트 상부 센터링 전진 시간 초과 (Y55B, X507, X509)</v>
      </c>
      <c r="O1153" s="49" t="str">
        <f t="shared" si="72"/>
        <v>[W244.E] 배출 리프트 상부 센터링 전진 시간 초과 (Y55B, X507, X509)</v>
      </c>
    </row>
    <row r="1154" spans="1:15" s="49" customFormat="1" ht="14.15" customHeight="1">
      <c r="A1154" s="43" t="s">
        <v>2197</v>
      </c>
      <c r="B1154" s="11"/>
      <c r="C1154" s="11" t="s">
        <v>18</v>
      </c>
      <c r="D1154" s="45" t="s">
        <v>16</v>
      </c>
      <c r="E1154" s="47"/>
      <c r="F1154" s="39" t="s">
        <v>2043</v>
      </c>
      <c r="G1154" s="13" t="s">
        <v>7954</v>
      </c>
      <c r="H1154" s="99" t="str">
        <f t="shared" si="69"/>
        <v>W244.F</v>
      </c>
      <c r="I1154" s="13" t="s">
        <v>17</v>
      </c>
      <c r="J1154" s="13"/>
      <c r="K1154" s="13"/>
      <c r="L1154" s="48"/>
      <c r="M1154" s="49" t="str">
        <f t="shared" si="70"/>
        <v>[W244.F]</v>
      </c>
      <c r="N1154" s="12" t="str">
        <f t="shared" si="71"/>
        <v xml:space="preserve"> 배출 리프트 상부 센터링 후진 시간 초과 (Y55C, X506, X508)</v>
      </c>
      <c r="O1154" s="49" t="str">
        <f t="shared" si="72"/>
        <v>[W244.F] 배출 리프트 상부 센터링 후진 시간 초과 (Y55C, X506, X508)</v>
      </c>
    </row>
    <row r="1155" spans="1:15" s="49" customFormat="1" ht="14.15" customHeight="1">
      <c r="A1155" s="43" t="s">
        <v>2197</v>
      </c>
      <c r="B1155" s="11"/>
      <c r="C1155" s="11" t="s">
        <v>18</v>
      </c>
      <c r="D1155" s="45" t="s">
        <v>16</v>
      </c>
      <c r="E1155" s="47"/>
      <c r="F1155" s="39" t="s">
        <v>2044</v>
      </c>
      <c r="G1155" s="13" t="s">
        <v>7955</v>
      </c>
      <c r="H1155" s="99" t="str">
        <f t="shared" si="69"/>
        <v>W245.0</v>
      </c>
      <c r="I1155" s="13" t="s">
        <v>17</v>
      </c>
      <c r="J1155" s="13"/>
      <c r="K1155" s="13"/>
      <c r="L1155" s="48"/>
      <c r="M1155" s="49" t="str">
        <f t="shared" si="70"/>
        <v>[W245.0]</v>
      </c>
      <c r="N1155" s="12" t="str">
        <f t="shared" si="71"/>
        <v xml:space="preserve"> 배출 리프트 상부 센터링 전진/후진 센서 이상 (X507, X509, X506, X508)</v>
      </c>
      <c r="O1155" s="49" t="str">
        <f t="shared" si="72"/>
        <v>[W245.0] 배출 리프트 상부 센터링 전진/후진 센서 이상 (X507, X509, X506, X508)</v>
      </c>
    </row>
    <row r="1156" spans="1:15" s="49" customFormat="1" ht="14.15" customHeight="1">
      <c r="A1156" s="43" t="s">
        <v>2197</v>
      </c>
      <c r="B1156" s="11"/>
      <c r="C1156" s="11" t="s">
        <v>18</v>
      </c>
      <c r="D1156" s="45" t="s">
        <v>16</v>
      </c>
      <c r="E1156" s="47"/>
      <c r="F1156" s="39" t="s">
        <v>2045</v>
      </c>
      <c r="G1156" s="13" t="s">
        <v>7956</v>
      </c>
      <c r="H1156" s="99" t="str">
        <f t="shared" si="69"/>
        <v>W245.1</v>
      </c>
      <c r="I1156" s="13" t="s">
        <v>104</v>
      </c>
      <c r="J1156" s="13"/>
      <c r="K1156" s="13"/>
      <c r="L1156" s="48"/>
      <c r="M1156" s="49" t="str">
        <f t="shared" si="70"/>
        <v>[W245.1]</v>
      </c>
      <c r="N1156" s="12" t="str">
        <f t="shared" si="71"/>
        <v xml:space="preserve"> 배출 리프트 내부 폭 후진 시간 초과 (Y652, X528, X52A)</v>
      </c>
      <c r="O1156" s="49" t="str">
        <f t="shared" si="72"/>
        <v>[W245.1] 배출 리프트 내부 폭 후진 시간 초과 (Y652, X528, X52A)</v>
      </c>
    </row>
    <row r="1157" spans="1:15" s="49" customFormat="1" ht="14.15" customHeight="1">
      <c r="A1157" s="43" t="s">
        <v>2197</v>
      </c>
      <c r="B1157" s="11"/>
      <c r="C1157" s="11" t="s">
        <v>18</v>
      </c>
      <c r="D1157" s="45" t="s">
        <v>16</v>
      </c>
      <c r="E1157" s="47"/>
      <c r="F1157" s="39" t="s">
        <v>2046</v>
      </c>
      <c r="G1157" s="13" t="s">
        <v>7957</v>
      </c>
      <c r="H1157" s="99" t="str">
        <f t="shared" si="69"/>
        <v>W245.2</v>
      </c>
      <c r="I1157" s="13" t="s">
        <v>17</v>
      </c>
      <c r="J1157" s="13"/>
      <c r="K1157" s="13"/>
      <c r="L1157" s="48"/>
      <c r="M1157" s="49" t="str">
        <f t="shared" si="70"/>
        <v>[W245.2]</v>
      </c>
      <c r="N1157" s="12" t="str">
        <f t="shared" si="71"/>
        <v xml:space="preserve"> 배출 리프트 내부 폭 전진 시간 초과 (Y653, X529, X52B)</v>
      </c>
      <c r="O1157" s="49" t="str">
        <f t="shared" si="72"/>
        <v>[W245.2] 배출 리프트 내부 폭 전진 시간 초과 (Y653, X529, X52B)</v>
      </c>
    </row>
    <row r="1158" spans="1:15" s="49" customFormat="1" ht="14.15" customHeight="1">
      <c r="A1158" s="43" t="s">
        <v>2197</v>
      </c>
      <c r="B1158" s="11"/>
      <c r="C1158" s="11" t="s">
        <v>18</v>
      </c>
      <c r="D1158" s="45" t="s">
        <v>16</v>
      </c>
      <c r="E1158" s="47"/>
      <c r="F1158" s="39" t="s">
        <v>2047</v>
      </c>
      <c r="G1158" s="13" t="s">
        <v>7958</v>
      </c>
      <c r="H1158" s="99" t="str">
        <f t="shared" si="69"/>
        <v>W245.3</v>
      </c>
      <c r="I1158" s="13" t="s">
        <v>17</v>
      </c>
      <c r="J1158" s="13"/>
      <c r="K1158" s="13"/>
      <c r="L1158" s="48"/>
      <c r="M1158" s="49" t="str">
        <f t="shared" si="70"/>
        <v>[W245.3]</v>
      </c>
      <c r="N1158" s="12" t="str">
        <f t="shared" si="71"/>
        <v xml:space="preserve"> 배출 리프트 내부 폭 후진/전진 센서 이상 (X528, X52A, X529, X52B)</v>
      </c>
      <c r="O1158" s="49" t="str">
        <f t="shared" si="72"/>
        <v>[W245.3] 배출 리프트 내부 폭 후진/전진 센서 이상 (X528, X52A, X529, X52B)</v>
      </c>
    </row>
    <row r="1159" spans="1:15" s="49" customFormat="1" ht="14.15" customHeight="1">
      <c r="A1159" s="44"/>
      <c r="B1159" s="11"/>
      <c r="C1159" s="11" t="s">
        <v>18</v>
      </c>
      <c r="D1159" s="45" t="s">
        <v>16</v>
      </c>
      <c r="E1159" s="47"/>
      <c r="F1159" s="39" t="s">
        <v>948</v>
      </c>
      <c r="G1159" s="13" t="s">
        <v>7959</v>
      </c>
      <c r="H1159" s="99" t="str">
        <f t="shared" si="69"/>
        <v>W245.4</v>
      </c>
      <c r="I1159" s="13"/>
      <c r="J1159" s="13"/>
      <c r="K1159" s="13"/>
      <c r="L1159" s="48"/>
      <c r="M1159" s="49" t="str">
        <f t="shared" si="70"/>
        <v>[W245.4]</v>
      </c>
      <c r="N1159" s="12" t="str">
        <f t="shared" si="71"/>
        <v xml:space="preserve"> </v>
      </c>
      <c r="O1159" s="49" t="str">
        <f t="shared" si="72"/>
        <v xml:space="preserve">[W245.4] </v>
      </c>
    </row>
    <row r="1160" spans="1:15" s="49" customFormat="1" ht="14.15" customHeight="1">
      <c r="A1160" s="43" t="s">
        <v>2197</v>
      </c>
      <c r="B1160" s="11"/>
      <c r="C1160" s="11" t="s">
        <v>18</v>
      </c>
      <c r="D1160" s="45" t="s">
        <v>16</v>
      </c>
      <c r="E1160" s="47"/>
      <c r="F1160" s="39" t="s">
        <v>2048</v>
      </c>
      <c r="G1160" s="13" t="s">
        <v>7960</v>
      </c>
      <c r="H1160" s="99" t="str">
        <f t="shared" si="69"/>
        <v>W245.5</v>
      </c>
      <c r="I1160" s="13" t="s">
        <v>17</v>
      </c>
      <c r="J1160" s="13"/>
      <c r="K1160" s="13"/>
      <c r="L1160" s="48"/>
      <c r="M1160" s="49" t="str">
        <f t="shared" si="70"/>
        <v>[W245.5]</v>
      </c>
      <c r="N1160" s="12" t="str">
        <f t="shared" si="71"/>
        <v xml:space="preserve"> 배출 리프트 제품 수취 시간 초과</v>
      </c>
      <c r="O1160" s="49" t="str">
        <f t="shared" si="72"/>
        <v>[W245.5] 배출 리프트 제품 수취 시간 초과</v>
      </c>
    </row>
    <row r="1161" spans="1:15" s="49" customFormat="1" ht="14.15" customHeight="1">
      <c r="A1161" s="43" t="s">
        <v>2197</v>
      </c>
      <c r="B1161" s="11"/>
      <c r="C1161" s="11" t="s">
        <v>18</v>
      </c>
      <c r="D1161" s="45" t="s">
        <v>16</v>
      </c>
      <c r="E1161" s="47"/>
      <c r="F1161" s="39" t="s">
        <v>2049</v>
      </c>
      <c r="G1161" s="13" t="s">
        <v>7961</v>
      </c>
      <c r="H1161" s="99" t="str">
        <f t="shared" si="69"/>
        <v>W245.6</v>
      </c>
      <c r="I1161" s="13" t="s">
        <v>17</v>
      </c>
      <c r="J1161" s="13"/>
      <c r="K1161" s="13"/>
      <c r="L1161" s="48"/>
      <c r="M1161" s="49" t="str">
        <f t="shared" si="70"/>
        <v>[W245.6]</v>
      </c>
      <c r="N1161" s="12" t="str">
        <f t="shared" si="71"/>
        <v xml:space="preserve"> 배출 리프트 제품 배출 시간 초과</v>
      </c>
      <c r="O1161" s="49" t="str">
        <f t="shared" si="72"/>
        <v>[W245.6] 배출 리프트 제품 배출 시간 초과</v>
      </c>
    </row>
    <row r="1162" spans="1:15" s="49" customFormat="1" ht="14.15" customHeight="1">
      <c r="A1162" s="43" t="s">
        <v>2197</v>
      </c>
      <c r="B1162" s="11"/>
      <c r="C1162" s="11" t="s">
        <v>18</v>
      </c>
      <c r="D1162" s="45" t="s">
        <v>16</v>
      </c>
      <c r="E1162" s="47"/>
      <c r="F1162" s="39" t="s">
        <v>2050</v>
      </c>
      <c r="G1162" s="13" t="s">
        <v>7962</v>
      </c>
      <c r="H1162" s="99" t="str">
        <f t="shared" si="69"/>
        <v>W245.7</v>
      </c>
      <c r="I1162" s="13" t="s">
        <v>17</v>
      </c>
      <c r="J1162" s="13"/>
      <c r="K1162" s="13"/>
      <c r="L1162" s="48"/>
      <c r="M1162" s="49" t="str">
        <f t="shared" si="70"/>
        <v>[W245.7]</v>
      </c>
      <c r="N1162" s="12" t="str">
        <f t="shared" si="71"/>
        <v xml:space="preserve"> 배출 리프트 제품 수취 시퀀스 이상</v>
      </c>
      <c r="O1162" s="49" t="str">
        <f t="shared" si="72"/>
        <v>[W245.7] 배출 리프트 제품 수취 시퀀스 이상</v>
      </c>
    </row>
    <row r="1163" spans="1:15" s="49" customFormat="1" ht="14.15" customHeight="1">
      <c r="A1163" s="44"/>
      <c r="B1163" s="11"/>
      <c r="C1163" s="11" t="s">
        <v>18</v>
      </c>
      <c r="D1163" s="45" t="s">
        <v>16</v>
      </c>
      <c r="E1163" s="47"/>
      <c r="F1163" s="39" t="s">
        <v>949</v>
      </c>
      <c r="G1163" s="13" t="s">
        <v>7963</v>
      </c>
      <c r="H1163" s="99" t="str">
        <f t="shared" si="69"/>
        <v>W245.8</v>
      </c>
      <c r="I1163" s="13"/>
      <c r="J1163" s="13"/>
      <c r="K1163" s="13"/>
      <c r="L1163" s="48"/>
      <c r="M1163" s="49" t="str">
        <f t="shared" si="70"/>
        <v>[W245.8]</v>
      </c>
      <c r="N1163" s="12" t="str">
        <f t="shared" si="71"/>
        <v xml:space="preserve"> </v>
      </c>
      <c r="O1163" s="49" t="str">
        <f t="shared" si="72"/>
        <v xml:space="preserve">[W245.8] </v>
      </c>
    </row>
    <row r="1164" spans="1:15" s="49" customFormat="1" ht="14.15" customHeight="1">
      <c r="A1164" s="43" t="s">
        <v>2197</v>
      </c>
      <c r="B1164" s="11"/>
      <c r="C1164" s="11" t="s">
        <v>18</v>
      </c>
      <c r="D1164" s="45" t="s">
        <v>16</v>
      </c>
      <c r="E1164" s="47"/>
      <c r="F1164" s="39" t="s">
        <v>2051</v>
      </c>
      <c r="G1164" s="13" t="s">
        <v>7964</v>
      </c>
      <c r="H1164" s="99" t="str">
        <f t="shared" si="69"/>
        <v>W245.9</v>
      </c>
      <c r="I1164" s="13" t="s">
        <v>17</v>
      </c>
      <c r="J1164" s="13"/>
      <c r="K1164" s="13"/>
      <c r="L1164" s="48"/>
      <c r="M1164" s="49" t="str">
        <f t="shared" si="70"/>
        <v>[W245.9]</v>
      </c>
      <c r="N1164" s="12" t="str">
        <f t="shared" si="71"/>
        <v xml:space="preserve"> 배출 리프트 제품 배출 시퀀스 이상</v>
      </c>
      <c r="O1164" s="49" t="str">
        <f t="shared" si="72"/>
        <v>[W245.9] 배출 리프트 제품 배출 시퀀스 이상</v>
      </c>
    </row>
    <row r="1165" spans="1:15" s="49" customFormat="1" ht="14.15" customHeight="1">
      <c r="A1165" s="44"/>
      <c r="B1165" s="11"/>
      <c r="C1165" s="11" t="s">
        <v>18</v>
      </c>
      <c r="D1165" s="45" t="s">
        <v>16</v>
      </c>
      <c r="E1165" s="47"/>
      <c r="F1165" s="39" t="s">
        <v>950</v>
      </c>
      <c r="G1165" s="13" t="s">
        <v>7965</v>
      </c>
      <c r="H1165" s="99" t="str">
        <f t="shared" si="69"/>
        <v>W245.A</v>
      </c>
      <c r="I1165" s="13"/>
      <c r="J1165" s="13"/>
      <c r="K1165" s="13"/>
      <c r="L1165" s="48"/>
      <c r="M1165" s="49" t="str">
        <f t="shared" si="70"/>
        <v>[W245.A]</v>
      </c>
      <c r="N1165" s="12" t="str">
        <f t="shared" si="71"/>
        <v xml:space="preserve"> </v>
      </c>
      <c r="O1165" s="49" t="str">
        <f t="shared" si="72"/>
        <v xml:space="preserve">[W245.A] </v>
      </c>
    </row>
    <row r="1166" spans="1:15" s="49" customFormat="1" ht="14.15" customHeight="1">
      <c r="A1166" s="44"/>
      <c r="B1166" s="11"/>
      <c r="C1166" s="11" t="s">
        <v>18</v>
      </c>
      <c r="D1166" s="45" t="s">
        <v>16</v>
      </c>
      <c r="E1166" s="47"/>
      <c r="F1166" s="39" t="s">
        <v>951</v>
      </c>
      <c r="G1166" s="13" t="s">
        <v>7966</v>
      </c>
      <c r="H1166" s="99" t="str">
        <f t="shared" si="69"/>
        <v>W245.B</v>
      </c>
      <c r="I1166" s="13"/>
      <c r="J1166" s="13"/>
      <c r="K1166" s="13"/>
      <c r="L1166" s="48"/>
      <c r="M1166" s="49" t="str">
        <f t="shared" si="70"/>
        <v>[W245.B]</v>
      </c>
      <c r="N1166" s="12" t="str">
        <f t="shared" si="71"/>
        <v xml:space="preserve"> </v>
      </c>
      <c r="O1166" s="49" t="str">
        <f t="shared" si="72"/>
        <v xml:space="preserve">[W245.B] </v>
      </c>
    </row>
    <row r="1167" spans="1:15" s="49" customFormat="1" ht="14.15" customHeight="1">
      <c r="A1167" s="44"/>
      <c r="B1167" s="11"/>
      <c r="C1167" s="11" t="s">
        <v>18</v>
      </c>
      <c r="D1167" s="45" t="s">
        <v>16</v>
      </c>
      <c r="E1167" s="47"/>
      <c r="F1167" s="39" t="s">
        <v>952</v>
      </c>
      <c r="G1167" s="13" t="s">
        <v>7967</v>
      </c>
      <c r="H1167" s="99" t="str">
        <f t="shared" si="69"/>
        <v>W245.C</v>
      </c>
      <c r="I1167" s="13"/>
      <c r="J1167" s="13"/>
      <c r="K1167" s="13"/>
      <c r="L1167" s="48"/>
      <c r="M1167" s="49" t="str">
        <f t="shared" si="70"/>
        <v>[W245.C]</v>
      </c>
      <c r="N1167" s="12" t="str">
        <f t="shared" si="71"/>
        <v xml:space="preserve"> </v>
      </c>
      <c r="O1167" s="49" t="str">
        <f t="shared" si="72"/>
        <v xml:space="preserve">[W245.C] </v>
      </c>
    </row>
    <row r="1168" spans="1:15" s="49" customFormat="1" ht="14.15" customHeight="1">
      <c r="A1168" s="44"/>
      <c r="B1168" s="11"/>
      <c r="C1168" s="11" t="s">
        <v>18</v>
      </c>
      <c r="D1168" s="45" t="s">
        <v>16</v>
      </c>
      <c r="E1168" s="47"/>
      <c r="F1168" s="39" t="s">
        <v>953</v>
      </c>
      <c r="G1168" s="13" t="s">
        <v>7968</v>
      </c>
      <c r="H1168" s="99" t="str">
        <f t="shared" si="69"/>
        <v>W245.D</v>
      </c>
      <c r="I1168" s="13"/>
      <c r="J1168" s="13"/>
      <c r="K1168" s="13"/>
      <c r="L1168" s="48"/>
      <c r="M1168" s="49" t="str">
        <f t="shared" si="70"/>
        <v>[W245.D]</v>
      </c>
      <c r="N1168" s="12" t="str">
        <f t="shared" si="71"/>
        <v xml:space="preserve"> </v>
      </c>
      <c r="O1168" s="49" t="str">
        <f t="shared" si="72"/>
        <v xml:space="preserve">[W245.D] </v>
      </c>
    </row>
    <row r="1169" spans="1:15" s="49" customFormat="1" ht="14.15" customHeight="1">
      <c r="A1169" s="43" t="s">
        <v>2197</v>
      </c>
      <c r="B1169" s="11"/>
      <c r="C1169" s="11" t="s">
        <v>18</v>
      </c>
      <c r="D1169" s="45" t="s">
        <v>16</v>
      </c>
      <c r="E1169" s="47"/>
      <c r="F1169" s="39" t="s">
        <v>2052</v>
      </c>
      <c r="G1169" s="13" t="s">
        <v>7969</v>
      </c>
      <c r="H1169" s="99" t="str">
        <f t="shared" si="69"/>
        <v>W245.E</v>
      </c>
      <c r="I1169" s="13" t="s">
        <v>104</v>
      </c>
      <c r="J1169" s="13"/>
      <c r="K1169" s="13"/>
      <c r="L1169" s="48"/>
      <c r="M1169" s="49" t="str">
        <f t="shared" si="70"/>
        <v>[W245.E]</v>
      </c>
      <c r="N1169" s="12" t="str">
        <f t="shared" si="71"/>
        <v xml:space="preserve"> 배출 리프트 제품 데이터 불일치 알람 (X511)</v>
      </c>
      <c r="O1169" s="49" t="str">
        <f t="shared" si="72"/>
        <v>[W245.E] 배출 리프트 제품 데이터 불일치 알람 (X511)</v>
      </c>
    </row>
    <row r="1170" spans="1:15" s="49" customFormat="1" ht="14.15" customHeight="1">
      <c r="A1170" s="43" t="s">
        <v>2197</v>
      </c>
      <c r="B1170" s="11"/>
      <c r="C1170" s="11" t="s">
        <v>18</v>
      </c>
      <c r="D1170" s="45" t="s">
        <v>16</v>
      </c>
      <c r="E1170" s="47"/>
      <c r="F1170" s="39" t="s">
        <v>2053</v>
      </c>
      <c r="G1170" s="13" t="s">
        <v>7970</v>
      </c>
      <c r="H1170" s="99" t="str">
        <f t="shared" si="69"/>
        <v>W245.F</v>
      </c>
      <c r="I1170" s="13" t="s">
        <v>17</v>
      </c>
      <c r="J1170" s="13"/>
      <c r="K1170" s="13"/>
      <c r="L1170" s="48"/>
      <c r="M1170" s="49" t="str">
        <f t="shared" si="70"/>
        <v>[W245.F]</v>
      </c>
      <c r="N1170" s="12" t="str">
        <f t="shared" si="71"/>
        <v xml:space="preserve"> 터브 브라켓 공급 픽업 하강 시간 초과 (Y589, X56A)</v>
      </c>
      <c r="O1170" s="49" t="str">
        <f t="shared" si="72"/>
        <v>[W245.F] 터브 브라켓 공급 픽업 하강 시간 초과 (Y589, X56A)</v>
      </c>
    </row>
    <row r="1171" spans="1:15" s="49" customFormat="1" ht="14.15" customHeight="1">
      <c r="A1171" s="43" t="s">
        <v>2197</v>
      </c>
      <c r="B1171" s="11"/>
      <c r="C1171" s="11" t="s">
        <v>18</v>
      </c>
      <c r="D1171" s="45" t="s">
        <v>16</v>
      </c>
      <c r="E1171" s="47"/>
      <c r="F1171" s="39" t="s">
        <v>2054</v>
      </c>
      <c r="G1171" s="13" t="s">
        <v>7971</v>
      </c>
      <c r="H1171" s="99" t="str">
        <f t="shared" si="69"/>
        <v>W246.0</v>
      </c>
      <c r="I1171" s="13" t="s">
        <v>17</v>
      </c>
      <c r="J1171" s="13"/>
      <c r="K1171" s="13"/>
      <c r="L1171" s="48"/>
      <c r="M1171" s="49" t="str">
        <f t="shared" si="70"/>
        <v>[W246.0]</v>
      </c>
      <c r="N1171" s="12" t="str">
        <f t="shared" si="71"/>
        <v xml:space="preserve"> 터브 브라켓 공급 픽업 상승 시간 초과 (Y588, X569)</v>
      </c>
      <c r="O1171" s="49" t="str">
        <f t="shared" si="72"/>
        <v>[W246.0] 터브 브라켓 공급 픽업 상승 시간 초과 (Y588, X569)</v>
      </c>
    </row>
    <row r="1172" spans="1:15" s="49" customFormat="1" ht="14.15" customHeight="1">
      <c r="A1172" s="43" t="s">
        <v>2197</v>
      </c>
      <c r="B1172" s="11"/>
      <c r="C1172" s="11" t="s">
        <v>18</v>
      </c>
      <c r="D1172" s="45" t="s">
        <v>16</v>
      </c>
      <c r="E1172" s="47"/>
      <c r="F1172" s="39" t="s">
        <v>2055</v>
      </c>
      <c r="G1172" s="13" t="s">
        <v>7972</v>
      </c>
      <c r="H1172" s="99" t="str">
        <f t="shared" si="69"/>
        <v>W246.1</v>
      </c>
      <c r="I1172" s="13" t="s">
        <v>104</v>
      </c>
      <c r="J1172" s="13"/>
      <c r="K1172" s="13"/>
      <c r="L1172" s="48"/>
      <c r="M1172" s="49" t="str">
        <f t="shared" si="70"/>
        <v>[W246.1]</v>
      </c>
      <c r="N1172" s="12" t="str">
        <f t="shared" si="71"/>
        <v xml:space="preserve"> 터브 브라켓 공급 픽업 하강/상승 센서 이상 (X56A, X569)</v>
      </c>
      <c r="O1172" s="49" t="str">
        <f t="shared" si="72"/>
        <v>[W246.1] 터브 브라켓 공급 픽업 하강/상승 센서 이상 (X56A, X569)</v>
      </c>
    </row>
    <row r="1173" spans="1:15" s="49" customFormat="1" ht="14.15" customHeight="1">
      <c r="A1173" s="44"/>
      <c r="B1173" s="11"/>
      <c r="C1173" s="11" t="s">
        <v>18</v>
      </c>
      <c r="D1173" s="45" t="s">
        <v>16</v>
      </c>
      <c r="E1173" s="47"/>
      <c r="F1173" s="39" t="s">
        <v>954</v>
      </c>
      <c r="G1173" s="13" t="s">
        <v>7973</v>
      </c>
      <c r="H1173" s="99" t="str">
        <f t="shared" si="69"/>
        <v>W246.2</v>
      </c>
      <c r="I1173" s="13"/>
      <c r="J1173" s="13"/>
      <c r="K1173" s="13"/>
      <c r="L1173" s="48"/>
      <c r="M1173" s="49" t="str">
        <f t="shared" si="70"/>
        <v>[W246.2]</v>
      </c>
      <c r="N1173" s="12" t="str">
        <f t="shared" si="71"/>
        <v xml:space="preserve"> </v>
      </c>
      <c r="O1173" s="49" t="str">
        <f t="shared" si="72"/>
        <v xml:space="preserve">[W246.2] </v>
      </c>
    </row>
    <row r="1174" spans="1:15" s="49" customFormat="1" ht="14.15" customHeight="1">
      <c r="A1174" s="44"/>
      <c r="B1174" s="11"/>
      <c r="C1174" s="11" t="s">
        <v>18</v>
      </c>
      <c r="D1174" s="45" t="s">
        <v>16</v>
      </c>
      <c r="E1174" s="47"/>
      <c r="F1174" s="39" t="s">
        <v>955</v>
      </c>
      <c r="G1174" s="13" t="s">
        <v>7974</v>
      </c>
      <c r="H1174" s="99" t="str">
        <f t="shared" si="69"/>
        <v>W246.3</v>
      </c>
      <c r="I1174" s="13"/>
      <c r="J1174" s="13"/>
      <c r="K1174" s="13"/>
      <c r="L1174" s="48"/>
      <c r="M1174" s="49" t="str">
        <f t="shared" si="70"/>
        <v>[W246.3]</v>
      </c>
      <c r="N1174" s="12" t="str">
        <f t="shared" si="71"/>
        <v xml:space="preserve"> </v>
      </c>
      <c r="O1174" s="49" t="str">
        <f t="shared" si="72"/>
        <v xml:space="preserve">[W246.3] </v>
      </c>
    </row>
    <row r="1175" spans="1:15" s="49" customFormat="1" ht="14.15" customHeight="1">
      <c r="A1175" s="43" t="s">
        <v>2197</v>
      </c>
      <c r="B1175" s="11"/>
      <c r="C1175" s="11" t="s">
        <v>18</v>
      </c>
      <c r="D1175" s="45" t="s">
        <v>16</v>
      </c>
      <c r="E1175" s="47"/>
      <c r="F1175" s="39" t="s">
        <v>2056</v>
      </c>
      <c r="G1175" s="13" t="s">
        <v>7975</v>
      </c>
      <c r="H1175" s="99" t="str">
        <f t="shared" si="69"/>
        <v>W246.4</v>
      </c>
      <c r="I1175" s="13" t="s">
        <v>104</v>
      </c>
      <c r="J1175" s="13"/>
      <c r="K1175" s="13"/>
      <c r="L1175" s="48"/>
      <c r="M1175" s="49" t="str">
        <f t="shared" si="70"/>
        <v>[W246.4]</v>
      </c>
      <c r="N1175" s="12" t="str">
        <f t="shared" si="71"/>
        <v xml:space="preserve"> 터브 브라켓 공급 로봇 진공 On 시간 초과 (Y595, X570)</v>
      </c>
      <c r="O1175" s="49" t="str">
        <f t="shared" si="72"/>
        <v>[W246.4] 터브 브라켓 공급 로봇 진공 On 시간 초과 (Y595, X570)</v>
      </c>
    </row>
    <row r="1176" spans="1:15" s="49" customFormat="1" ht="14.15" customHeight="1">
      <c r="A1176" s="43" t="s">
        <v>2197</v>
      </c>
      <c r="B1176" s="11"/>
      <c r="C1176" s="11" t="s">
        <v>18</v>
      </c>
      <c r="D1176" s="45" t="s">
        <v>16</v>
      </c>
      <c r="E1176" s="47"/>
      <c r="F1176" s="39" t="s">
        <v>2057</v>
      </c>
      <c r="G1176" s="13" t="s">
        <v>7976</v>
      </c>
      <c r="H1176" s="99" t="str">
        <f t="shared" si="69"/>
        <v>W246.5</v>
      </c>
      <c r="I1176" s="13" t="s">
        <v>17</v>
      </c>
      <c r="J1176" s="13"/>
      <c r="K1176" s="13"/>
      <c r="L1176" s="48"/>
      <c r="M1176" s="49" t="str">
        <f t="shared" si="70"/>
        <v>[W246.5]</v>
      </c>
      <c r="N1176" s="12" t="str">
        <f t="shared" si="71"/>
        <v xml:space="preserve"> 터브 브라켓 공급 로봇 진공 Off 시간 초과 (Y596, X570)</v>
      </c>
      <c r="O1176" s="49" t="str">
        <f t="shared" si="72"/>
        <v>[W246.5] 터브 브라켓 공급 로봇 진공 Off 시간 초과 (Y596, X570)</v>
      </c>
    </row>
    <row r="1177" spans="1:15" s="49" customFormat="1" ht="14.15" customHeight="1">
      <c r="A1177" s="43" t="s">
        <v>2197</v>
      </c>
      <c r="B1177" s="11"/>
      <c r="C1177" s="11" t="s">
        <v>18</v>
      </c>
      <c r="D1177" s="45" t="s">
        <v>16</v>
      </c>
      <c r="E1177" s="47"/>
      <c r="F1177" s="39" t="s">
        <v>2058</v>
      </c>
      <c r="G1177" s="13" t="s">
        <v>7977</v>
      </c>
      <c r="H1177" s="99" t="str">
        <f t="shared" si="69"/>
        <v>W246.6</v>
      </c>
      <c r="I1177" s="13" t="s">
        <v>17</v>
      </c>
      <c r="J1177" s="13"/>
      <c r="K1177" s="13"/>
      <c r="L1177" s="48"/>
      <c r="M1177" s="49" t="str">
        <f t="shared" si="70"/>
        <v>[W246.6]</v>
      </c>
      <c r="N1177" s="12" t="str">
        <f t="shared" si="71"/>
        <v xml:space="preserve"> 터브 브라켓 공급 픽업 진공 On 시간 초과 (Y583, X565)</v>
      </c>
      <c r="O1177" s="49" t="str">
        <f t="shared" si="72"/>
        <v>[W246.6] 터브 브라켓 공급 픽업 진공 On 시간 초과 (Y583, X565)</v>
      </c>
    </row>
    <row r="1178" spans="1:15" s="49" customFormat="1" ht="14.15" customHeight="1">
      <c r="A1178" s="43" t="s">
        <v>2197</v>
      </c>
      <c r="B1178" s="11"/>
      <c r="C1178" s="11" t="s">
        <v>18</v>
      </c>
      <c r="D1178" s="45" t="s">
        <v>16</v>
      </c>
      <c r="E1178" s="47"/>
      <c r="F1178" s="39" t="s">
        <v>2059</v>
      </c>
      <c r="G1178" s="13" t="s">
        <v>7978</v>
      </c>
      <c r="H1178" s="99" t="str">
        <f t="shared" si="69"/>
        <v>W246.7</v>
      </c>
      <c r="I1178" s="13" t="s">
        <v>17</v>
      </c>
      <c r="J1178" s="13"/>
      <c r="K1178" s="13"/>
      <c r="L1178" s="48"/>
      <c r="M1178" s="49" t="str">
        <f t="shared" si="70"/>
        <v>[W246.7]</v>
      </c>
      <c r="N1178" s="12" t="str">
        <f t="shared" si="71"/>
        <v xml:space="preserve"> 터브 브라켓 공급 픽업 진공 Off 시간 초과 (Y584, X565)</v>
      </c>
      <c r="O1178" s="49" t="str">
        <f t="shared" si="72"/>
        <v>[W246.7] 터브 브라켓 공급 픽업 진공 Off 시간 초과 (Y584, X565)</v>
      </c>
    </row>
    <row r="1179" spans="1:15" s="49" customFormat="1" ht="14.15" customHeight="1">
      <c r="A1179" s="43" t="s">
        <v>2197</v>
      </c>
      <c r="B1179" s="11"/>
      <c r="C1179" s="11" t="s">
        <v>18</v>
      </c>
      <c r="D1179" s="45" t="s">
        <v>16</v>
      </c>
      <c r="E1179" s="47"/>
      <c r="F1179" s="39" t="s">
        <v>2060</v>
      </c>
      <c r="G1179" s="13" t="s">
        <v>7979</v>
      </c>
      <c r="H1179" s="99" t="str">
        <f t="shared" si="69"/>
        <v>W246.8</v>
      </c>
      <c r="I1179" s="13" t="s">
        <v>104</v>
      </c>
      <c r="J1179" s="13"/>
      <c r="K1179" s="13"/>
      <c r="L1179" s="48"/>
      <c r="M1179" s="49" t="str">
        <f t="shared" si="70"/>
        <v>[W246.8]</v>
      </c>
      <c r="N1179" s="12" t="str">
        <f t="shared" si="71"/>
        <v xml:space="preserve"> 터브 브라켓 공급 로봇 비젼 NG</v>
      </c>
      <c r="O1179" s="49" t="str">
        <f t="shared" si="72"/>
        <v>[W246.8] 터브 브라켓 공급 로봇 비젼 NG</v>
      </c>
    </row>
    <row r="1180" spans="1:15" s="49" customFormat="1" ht="14.15" customHeight="1">
      <c r="A1180" s="43" t="s">
        <v>2197</v>
      </c>
      <c r="B1180" s="11"/>
      <c r="C1180" s="11" t="s">
        <v>18</v>
      </c>
      <c r="D1180" s="45" t="s">
        <v>16</v>
      </c>
      <c r="E1180" s="47"/>
      <c r="F1180" s="39" t="s">
        <v>2061</v>
      </c>
      <c r="G1180" s="13" t="s">
        <v>7980</v>
      </c>
      <c r="H1180" s="99" t="str">
        <f t="shared" si="69"/>
        <v>W246.9</v>
      </c>
      <c r="I1180" s="13" t="s">
        <v>17</v>
      </c>
      <c r="J1180" s="13"/>
      <c r="K1180" s="13"/>
      <c r="L1180" s="48"/>
      <c r="M1180" s="49" t="str">
        <f t="shared" si="70"/>
        <v>[W246.9]</v>
      </c>
      <c r="N1180" s="12" t="str">
        <f t="shared" si="71"/>
        <v xml:space="preserve"> 터브 브라켓 공급 로봇 제품 수취 시간 초과</v>
      </c>
      <c r="O1180" s="49" t="str">
        <f t="shared" si="72"/>
        <v>[W246.9] 터브 브라켓 공급 로봇 제품 수취 시간 초과</v>
      </c>
    </row>
    <row r="1181" spans="1:15" s="49" customFormat="1" ht="14.15" customHeight="1">
      <c r="A1181" s="43" t="s">
        <v>2197</v>
      </c>
      <c r="B1181" s="11"/>
      <c r="C1181" s="11" t="s">
        <v>18</v>
      </c>
      <c r="D1181" s="45" t="s">
        <v>16</v>
      </c>
      <c r="E1181" s="47"/>
      <c r="F1181" s="39" t="s">
        <v>2062</v>
      </c>
      <c r="G1181" s="13" t="s">
        <v>7981</v>
      </c>
      <c r="H1181" s="99" t="str">
        <f t="shared" si="69"/>
        <v>W246.A</v>
      </c>
      <c r="I1181" s="13" t="s">
        <v>17</v>
      </c>
      <c r="J1181" s="13"/>
      <c r="K1181" s="13"/>
      <c r="L1181" s="48"/>
      <c r="M1181" s="49" t="str">
        <f t="shared" si="70"/>
        <v>[W246.A]</v>
      </c>
      <c r="N1181" s="12" t="str">
        <f t="shared" si="71"/>
        <v xml:space="preserve"> 터브 브라켓 공급 로봇 제품 배출 시간 초과</v>
      </c>
      <c r="O1181" s="49" t="str">
        <f t="shared" si="72"/>
        <v>[W246.A] 터브 브라켓 공급 로봇 제품 배출 시간 초과</v>
      </c>
    </row>
    <row r="1182" spans="1:15" s="49" customFormat="1" ht="14.15" customHeight="1">
      <c r="A1182" s="43" t="s">
        <v>2197</v>
      </c>
      <c r="B1182" s="11"/>
      <c r="C1182" s="11" t="s">
        <v>18</v>
      </c>
      <c r="D1182" s="45" t="s">
        <v>16</v>
      </c>
      <c r="E1182" s="47"/>
      <c r="F1182" s="39" t="s">
        <v>2063</v>
      </c>
      <c r="G1182" s="13" t="s">
        <v>7982</v>
      </c>
      <c r="H1182" s="99" t="str">
        <f t="shared" si="69"/>
        <v>W246.B</v>
      </c>
      <c r="I1182" s="13" t="s">
        <v>104</v>
      </c>
      <c r="J1182" s="13"/>
      <c r="K1182" s="13"/>
      <c r="L1182" s="48"/>
      <c r="M1182" s="49" t="str">
        <f t="shared" si="70"/>
        <v>[W246.B]</v>
      </c>
      <c r="N1182" s="12" t="str">
        <f t="shared" si="71"/>
        <v xml:space="preserve"> 터브 브라켓 공급 로봇 제품 수취 시퀀스 이상</v>
      </c>
      <c r="O1182" s="49" t="str">
        <f t="shared" si="72"/>
        <v>[W246.B] 터브 브라켓 공급 로봇 제품 수취 시퀀스 이상</v>
      </c>
    </row>
    <row r="1183" spans="1:15" s="49" customFormat="1" ht="14.15" customHeight="1">
      <c r="A1183" s="43" t="s">
        <v>2197</v>
      </c>
      <c r="B1183" s="11"/>
      <c r="C1183" s="11" t="s">
        <v>18</v>
      </c>
      <c r="D1183" s="45" t="s">
        <v>16</v>
      </c>
      <c r="E1183" s="47"/>
      <c r="F1183" s="39" t="s">
        <v>2064</v>
      </c>
      <c r="G1183" s="13" t="s">
        <v>7983</v>
      </c>
      <c r="H1183" s="99" t="str">
        <f t="shared" si="69"/>
        <v>W246.C</v>
      </c>
      <c r="I1183" s="13" t="s">
        <v>17</v>
      </c>
      <c r="J1183" s="13"/>
      <c r="K1183" s="13"/>
      <c r="L1183" s="48"/>
      <c r="M1183" s="49" t="str">
        <f t="shared" si="70"/>
        <v>[W246.C]</v>
      </c>
      <c r="N1183" s="12" t="str">
        <f t="shared" si="71"/>
        <v xml:space="preserve"> 터브 브라켓 공급 로봇 데이터 미스매치 에러</v>
      </c>
      <c r="O1183" s="49" t="str">
        <f t="shared" si="72"/>
        <v>[W246.C] 터브 브라켓 공급 로봇 데이터 미스매치 에러</v>
      </c>
    </row>
    <row r="1184" spans="1:15" s="49" customFormat="1" ht="14.15" customHeight="1">
      <c r="A1184" s="43" t="s">
        <v>2197</v>
      </c>
      <c r="B1184" s="11"/>
      <c r="C1184" s="11" t="s">
        <v>18</v>
      </c>
      <c r="D1184" s="45" t="s">
        <v>16</v>
      </c>
      <c r="E1184" s="47"/>
      <c r="F1184" s="39" t="s">
        <v>2065</v>
      </c>
      <c r="G1184" s="13" t="s">
        <v>7984</v>
      </c>
      <c r="H1184" s="99" t="str">
        <f t="shared" si="69"/>
        <v>W246.D</v>
      </c>
      <c r="I1184" s="13" t="s">
        <v>17</v>
      </c>
      <c r="J1184" s="13"/>
      <c r="K1184" s="13"/>
      <c r="L1184" s="48"/>
      <c r="M1184" s="49" t="str">
        <f t="shared" si="70"/>
        <v>[W246.D]</v>
      </c>
      <c r="N1184" s="12" t="str">
        <f t="shared" si="71"/>
        <v xml:space="preserve"> 터브 브라켓 공급 로봇 제품 배출 시퀀스 이상</v>
      </c>
      <c r="O1184" s="49" t="str">
        <f t="shared" si="72"/>
        <v>[W246.D] 터브 브라켓 공급 로봇 제품 배출 시퀀스 이상</v>
      </c>
    </row>
    <row r="1185" spans="1:15" s="49" customFormat="1" ht="14.15" customHeight="1">
      <c r="A1185" s="43" t="s">
        <v>2197</v>
      </c>
      <c r="B1185" s="11"/>
      <c r="C1185" s="11" t="s">
        <v>18</v>
      </c>
      <c r="D1185" s="45" t="s">
        <v>16</v>
      </c>
      <c r="E1185" s="47"/>
      <c r="F1185" s="39" t="s">
        <v>2066</v>
      </c>
      <c r="G1185" s="13" t="s">
        <v>7985</v>
      </c>
      <c r="H1185" s="99" t="str">
        <f t="shared" si="69"/>
        <v>W246.E</v>
      </c>
      <c r="I1185" s="13" t="s">
        <v>104</v>
      </c>
      <c r="J1185" s="13"/>
      <c r="K1185" s="13"/>
      <c r="L1185" s="48"/>
      <c r="M1185" s="49" t="str">
        <f t="shared" si="70"/>
        <v>[W246.E]</v>
      </c>
      <c r="N1185" s="12" t="str">
        <f t="shared" si="71"/>
        <v xml:space="preserve"> 터브 브라켓 공급 로봇 리모트 모드 상태 이상</v>
      </c>
      <c r="O1185" s="49" t="str">
        <f t="shared" si="72"/>
        <v>[W246.E] 터브 브라켓 공급 로봇 리모트 모드 상태 이상</v>
      </c>
    </row>
    <row r="1186" spans="1:15" s="49" customFormat="1" ht="14.15" customHeight="1">
      <c r="A1186" s="43" t="s">
        <v>2197</v>
      </c>
      <c r="B1186" s="11"/>
      <c r="C1186" s="11" t="s">
        <v>18</v>
      </c>
      <c r="D1186" s="45" t="s">
        <v>16</v>
      </c>
      <c r="E1186" s="47"/>
      <c r="F1186" s="39" t="s">
        <v>2067</v>
      </c>
      <c r="G1186" s="13" t="s">
        <v>7986</v>
      </c>
      <c r="H1186" s="99" t="str">
        <f t="shared" si="69"/>
        <v>W246.F</v>
      </c>
      <c r="I1186" s="13" t="s">
        <v>17</v>
      </c>
      <c r="J1186" s="13"/>
      <c r="K1186" s="13"/>
      <c r="L1186" s="48"/>
      <c r="M1186" s="49" t="str">
        <f t="shared" si="70"/>
        <v>[W246.F]</v>
      </c>
      <c r="N1186" s="12" t="str">
        <f t="shared" si="71"/>
        <v xml:space="preserve"> 터브 브라켓 공급 로봇 서보 온 상태 이상</v>
      </c>
      <c r="O1186" s="49" t="str">
        <f t="shared" si="72"/>
        <v>[W246.F] 터브 브라켓 공급 로봇 서보 온 상태 이상</v>
      </c>
    </row>
    <row r="1187" spans="1:15" s="49" customFormat="1" ht="14.15" customHeight="1">
      <c r="A1187" s="43" t="s">
        <v>2197</v>
      </c>
      <c r="B1187" s="11"/>
      <c r="C1187" s="11" t="s">
        <v>18</v>
      </c>
      <c r="D1187" s="45" t="s">
        <v>16</v>
      </c>
      <c r="E1187" s="47"/>
      <c r="F1187" s="39" t="s">
        <v>2068</v>
      </c>
      <c r="G1187" s="13" t="s">
        <v>7987</v>
      </c>
      <c r="H1187" s="99" t="str">
        <f t="shared" si="69"/>
        <v>W247.0</v>
      </c>
      <c r="I1187" s="13" t="s">
        <v>17</v>
      </c>
      <c r="J1187" s="13"/>
      <c r="K1187" s="13"/>
      <c r="L1187" s="48"/>
      <c r="M1187" s="49" t="str">
        <f t="shared" si="70"/>
        <v>[W247.0]</v>
      </c>
      <c r="N1187" s="12" t="str">
        <f t="shared" si="71"/>
        <v xml:space="preserve"> 터브 브라켓 공급 로봇 초기화 필요</v>
      </c>
      <c r="O1187" s="49" t="str">
        <f t="shared" si="72"/>
        <v>[W247.0] 터브 브라켓 공급 로봇 초기화 필요</v>
      </c>
    </row>
    <row r="1188" spans="1:15" s="49" customFormat="1" ht="14.15" customHeight="1">
      <c r="A1188" s="43" t="s">
        <v>2197</v>
      </c>
      <c r="B1188" s="11"/>
      <c r="C1188" s="11" t="s">
        <v>18</v>
      </c>
      <c r="D1188" s="45" t="s">
        <v>16</v>
      </c>
      <c r="E1188" s="47"/>
      <c r="F1188" s="39" t="s">
        <v>2069</v>
      </c>
      <c r="G1188" s="13" t="s">
        <v>7988</v>
      </c>
      <c r="H1188" s="99" t="str">
        <f t="shared" si="69"/>
        <v>W247.1</v>
      </c>
      <c r="I1188" s="13" t="s">
        <v>104</v>
      </c>
      <c r="J1188" s="13"/>
      <c r="K1188" s="13"/>
      <c r="L1188" s="48"/>
      <c r="M1188" s="49" t="str">
        <f t="shared" si="70"/>
        <v>[W247.1]</v>
      </c>
      <c r="N1188" s="12" t="str">
        <f t="shared" si="71"/>
        <v xml:space="preserve"> 터브 브라켓 공급 로봇 팬던트 비상 정지 이상 (XB0D)</v>
      </c>
      <c r="O1188" s="49" t="str">
        <f t="shared" si="72"/>
        <v>[W247.1] 터브 브라켓 공급 로봇 팬던트 비상 정지 이상 (XB0D)</v>
      </c>
    </row>
    <row r="1189" spans="1:15" s="49" customFormat="1" ht="14.15" customHeight="1">
      <c r="A1189" s="43" t="s">
        <v>2197</v>
      </c>
      <c r="B1189" s="11"/>
      <c r="C1189" s="11" t="s">
        <v>18</v>
      </c>
      <c r="D1189" s="45" t="s">
        <v>16</v>
      </c>
      <c r="E1189" s="47"/>
      <c r="F1189" s="39" t="s">
        <v>2070</v>
      </c>
      <c r="G1189" s="13" t="s">
        <v>7989</v>
      </c>
      <c r="H1189" s="99" t="str">
        <f t="shared" si="69"/>
        <v>W247.2</v>
      </c>
      <c r="I1189" s="13" t="s">
        <v>17</v>
      </c>
      <c r="J1189" s="13"/>
      <c r="K1189" s="13"/>
      <c r="L1189" s="48"/>
      <c r="M1189" s="49" t="str">
        <f t="shared" si="70"/>
        <v>[W247.2]</v>
      </c>
      <c r="N1189" s="12" t="str">
        <f t="shared" si="71"/>
        <v xml:space="preserve"> 터브 브라켓 공급 로봇 콘트롤러 비상 정지 이상 (XB0E)</v>
      </c>
      <c r="O1189" s="49" t="str">
        <f t="shared" si="72"/>
        <v>[W247.2] 터브 브라켓 공급 로봇 콘트롤러 비상 정지 이상 (XB0E)</v>
      </c>
    </row>
    <row r="1190" spans="1:15" s="49" customFormat="1" ht="14.15" customHeight="1">
      <c r="A1190" s="44"/>
      <c r="B1190" s="11"/>
      <c r="C1190" s="11" t="s">
        <v>18</v>
      </c>
      <c r="D1190" s="45" t="s">
        <v>16</v>
      </c>
      <c r="E1190" s="47"/>
      <c r="F1190" s="39" t="s">
        <v>956</v>
      </c>
      <c r="G1190" s="13" t="s">
        <v>7990</v>
      </c>
      <c r="H1190" s="99" t="str">
        <f t="shared" si="69"/>
        <v>W247.3</v>
      </c>
      <c r="I1190" s="13"/>
      <c r="J1190" s="13"/>
      <c r="K1190" s="13"/>
      <c r="L1190" s="48"/>
      <c r="M1190" s="49" t="str">
        <f t="shared" si="70"/>
        <v>[W247.3]</v>
      </c>
      <c r="N1190" s="12" t="str">
        <f t="shared" si="71"/>
        <v xml:space="preserve"> </v>
      </c>
      <c r="O1190" s="49" t="str">
        <f t="shared" si="72"/>
        <v xml:space="preserve">[W247.3] </v>
      </c>
    </row>
    <row r="1191" spans="1:15" s="49" customFormat="1" ht="14.15" customHeight="1">
      <c r="A1191" s="44"/>
      <c r="B1191" s="11"/>
      <c r="C1191" s="11" t="s">
        <v>18</v>
      </c>
      <c r="D1191" s="45" t="s">
        <v>16</v>
      </c>
      <c r="E1191" s="47"/>
      <c r="F1191" s="39" t="s">
        <v>957</v>
      </c>
      <c r="G1191" s="13" t="s">
        <v>7991</v>
      </c>
      <c r="H1191" s="99" t="str">
        <f t="shared" si="69"/>
        <v>W247.4</v>
      </c>
      <c r="I1191" s="13"/>
      <c r="J1191" s="13"/>
      <c r="K1191" s="13"/>
      <c r="L1191" s="48"/>
      <c r="M1191" s="49" t="str">
        <f t="shared" si="70"/>
        <v>[W247.4]</v>
      </c>
      <c r="N1191" s="12" t="str">
        <f t="shared" si="71"/>
        <v xml:space="preserve"> </v>
      </c>
      <c r="O1191" s="49" t="str">
        <f t="shared" si="72"/>
        <v xml:space="preserve">[W247.4] </v>
      </c>
    </row>
    <row r="1192" spans="1:15" s="49" customFormat="1" ht="14.15" customHeight="1">
      <c r="A1192" s="44"/>
      <c r="B1192" s="11"/>
      <c r="C1192" s="11" t="s">
        <v>18</v>
      </c>
      <c r="D1192" s="45" t="s">
        <v>16</v>
      </c>
      <c r="E1192" s="47"/>
      <c r="F1192" s="39" t="s">
        <v>958</v>
      </c>
      <c r="G1192" s="13" t="s">
        <v>7992</v>
      </c>
      <c r="H1192" s="99" t="str">
        <f t="shared" si="69"/>
        <v>W247.5</v>
      </c>
      <c r="I1192" s="13"/>
      <c r="J1192" s="13"/>
      <c r="K1192" s="13"/>
      <c r="L1192" s="48"/>
      <c r="M1192" s="49" t="str">
        <f t="shared" si="70"/>
        <v>[W247.5]</v>
      </c>
      <c r="N1192" s="12" t="str">
        <f t="shared" si="71"/>
        <v xml:space="preserve"> </v>
      </c>
      <c r="O1192" s="49" t="str">
        <f t="shared" si="72"/>
        <v xml:space="preserve">[W247.5] </v>
      </c>
    </row>
    <row r="1193" spans="1:15" s="49" customFormat="1" ht="14.15" customHeight="1">
      <c r="A1193" s="44"/>
      <c r="B1193" s="11"/>
      <c r="C1193" s="11" t="s">
        <v>18</v>
      </c>
      <c r="D1193" s="45" t="s">
        <v>16</v>
      </c>
      <c r="E1193" s="47"/>
      <c r="F1193" s="39" t="s">
        <v>959</v>
      </c>
      <c r="G1193" s="13" t="s">
        <v>7993</v>
      </c>
      <c r="H1193" s="99" t="str">
        <f t="shared" si="69"/>
        <v>W247.6</v>
      </c>
      <c r="I1193" s="13"/>
      <c r="J1193" s="13"/>
      <c r="K1193" s="13"/>
      <c r="L1193" s="48"/>
      <c r="M1193" s="49" t="str">
        <f t="shared" si="70"/>
        <v>[W247.6]</v>
      </c>
      <c r="N1193" s="12" t="str">
        <f t="shared" si="71"/>
        <v xml:space="preserve"> </v>
      </c>
      <c r="O1193" s="49" t="str">
        <f t="shared" si="72"/>
        <v xml:space="preserve">[W247.6] </v>
      </c>
    </row>
    <row r="1194" spans="1:15" s="49" customFormat="1" ht="14.15" customHeight="1">
      <c r="A1194" s="44"/>
      <c r="B1194" s="11"/>
      <c r="C1194" s="11" t="s">
        <v>18</v>
      </c>
      <c r="D1194" s="45" t="s">
        <v>16</v>
      </c>
      <c r="E1194" s="47"/>
      <c r="F1194" s="39" t="s">
        <v>960</v>
      </c>
      <c r="G1194" s="13" t="s">
        <v>7994</v>
      </c>
      <c r="H1194" s="99" t="str">
        <f t="shared" si="69"/>
        <v>W247.7</v>
      </c>
      <c r="I1194" s="13"/>
      <c r="J1194" s="13"/>
      <c r="K1194" s="13"/>
      <c r="L1194" s="48"/>
      <c r="M1194" s="49" t="str">
        <f t="shared" si="70"/>
        <v>[W247.7]</v>
      </c>
      <c r="N1194" s="12" t="str">
        <f t="shared" si="71"/>
        <v xml:space="preserve"> </v>
      </c>
      <c r="O1194" s="49" t="str">
        <f t="shared" si="72"/>
        <v xml:space="preserve">[W247.7] </v>
      </c>
    </row>
    <row r="1195" spans="1:15" s="49" customFormat="1" ht="14.15" customHeight="1">
      <c r="A1195" s="44"/>
      <c r="B1195" s="11"/>
      <c r="C1195" s="11" t="s">
        <v>18</v>
      </c>
      <c r="D1195" s="45" t="s">
        <v>16</v>
      </c>
      <c r="E1195" s="47"/>
      <c r="F1195" s="39" t="s">
        <v>961</v>
      </c>
      <c r="G1195" s="13" t="s">
        <v>7995</v>
      </c>
      <c r="H1195" s="99" t="str">
        <f t="shared" si="69"/>
        <v>W247.8</v>
      </c>
      <c r="I1195" s="13"/>
      <c r="J1195" s="13"/>
      <c r="K1195" s="13"/>
      <c r="L1195" s="48"/>
      <c r="M1195" s="49" t="str">
        <f t="shared" si="70"/>
        <v>[W247.8]</v>
      </c>
      <c r="N1195" s="12" t="str">
        <f t="shared" si="71"/>
        <v xml:space="preserve"> </v>
      </c>
      <c r="O1195" s="49" t="str">
        <f t="shared" si="72"/>
        <v xml:space="preserve">[W247.8] </v>
      </c>
    </row>
    <row r="1196" spans="1:15" s="49" customFormat="1" ht="14.15" customHeight="1">
      <c r="A1196" s="44"/>
      <c r="B1196" s="11"/>
      <c r="C1196" s="11" t="s">
        <v>18</v>
      </c>
      <c r="D1196" s="45" t="s">
        <v>16</v>
      </c>
      <c r="E1196" s="47"/>
      <c r="F1196" s="39" t="s">
        <v>962</v>
      </c>
      <c r="G1196" s="13" t="s">
        <v>7996</v>
      </c>
      <c r="H1196" s="99" t="str">
        <f t="shared" si="69"/>
        <v>W247.9</v>
      </c>
      <c r="I1196" s="13"/>
      <c r="J1196" s="13"/>
      <c r="K1196" s="13"/>
      <c r="L1196" s="48"/>
      <c r="M1196" s="49" t="str">
        <f t="shared" si="70"/>
        <v>[W247.9]</v>
      </c>
      <c r="N1196" s="12" t="str">
        <f t="shared" si="71"/>
        <v xml:space="preserve"> </v>
      </c>
      <c r="O1196" s="49" t="str">
        <f t="shared" si="72"/>
        <v xml:space="preserve">[W247.9] </v>
      </c>
    </row>
    <row r="1197" spans="1:15" s="49" customFormat="1" ht="14.15" customHeight="1">
      <c r="A1197" s="44"/>
      <c r="B1197" s="11"/>
      <c r="C1197" s="11" t="s">
        <v>18</v>
      </c>
      <c r="D1197" s="45" t="s">
        <v>16</v>
      </c>
      <c r="E1197" s="47"/>
      <c r="F1197" s="39" t="s">
        <v>963</v>
      </c>
      <c r="G1197" s="13" t="s">
        <v>7997</v>
      </c>
      <c r="H1197" s="99" t="str">
        <f t="shared" si="69"/>
        <v>W247.A</v>
      </c>
      <c r="I1197" s="13"/>
      <c r="J1197" s="13"/>
      <c r="K1197" s="13"/>
      <c r="L1197" s="48"/>
      <c r="M1197" s="49" t="str">
        <f t="shared" si="70"/>
        <v>[W247.A]</v>
      </c>
      <c r="N1197" s="12" t="str">
        <f t="shared" si="71"/>
        <v xml:space="preserve"> </v>
      </c>
      <c r="O1197" s="49" t="str">
        <f t="shared" si="72"/>
        <v xml:space="preserve">[W247.A] </v>
      </c>
    </row>
    <row r="1198" spans="1:15" s="49" customFormat="1" ht="14.15" customHeight="1">
      <c r="A1198" s="44"/>
      <c r="B1198" s="11"/>
      <c r="C1198" s="11" t="s">
        <v>18</v>
      </c>
      <c r="D1198" s="45" t="s">
        <v>16</v>
      </c>
      <c r="E1198" s="47"/>
      <c r="F1198" s="39" t="s">
        <v>964</v>
      </c>
      <c r="G1198" s="13" t="s">
        <v>7998</v>
      </c>
      <c r="H1198" s="99" t="str">
        <f t="shared" si="69"/>
        <v>W247.B</v>
      </c>
      <c r="I1198" s="13"/>
      <c r="J1198" s="13"/>
      <c r="K1198" s="13"/>
      <c r="L1198" s="48"/>
      <c r="M1198" s="49" t="str">
        <f t="shared" si="70"/>
        <v>[W247.B]</v>
      </c>
      <c r="N1198" s="12" t="str">
        <f t="shared" si="71"/>
        <v xml:space="preserve"> </v>
      </c>
      <c r="O1198" s="49" t="str">
        <f t="shared" si="72"/>
        <v xml:space="preserve">[W247.B] </v>
      </c>
    </row>
    <row r="1199" spans="1:15" s="49" customFormat="1" ht="14.15" customHeight="1">
      <c r="A1199" s="44"/>
      <c r="B1199" s="11"/>
      <c r="C1199" s="11" t="s">
        <v>18</v>
      </c>
      <c r="D1199" s="45" t="s">
        <v>16</v>
      </c>
      <c r="E1199" s="47"/>
      <c r="F1199" s="39" t="s">
        <v>965</v>
      </c>
      <c r="G1199" s="13" t="s">
        <v>7999</v>
      </c>
      <c r="H1199" s="99" t="str">
        <f t="shared" si="69"/>
        <v>W247.C</v>
      </c>
      <c r="I1199" s="13"/>
      <c r="J1199" s="13"/>
      <c r="K1199" s="13"/>
      <c r="L1199" s="48"/>
      <c r="M1199" s="49" t="str">
        <f t="shared" si="70"/>
        <v>[W247.C]</v>
      </c>
      <c r="N1199" s="12" t="str">
        <f t="shared" si="71"/>
        <v xml:space="preserve"> </v>
      </c>
      <c r="O1199" s="49" t="str">
        <f t="shared" si="72"/>
        <v xml:space="preserve">[W247.C] </v>
      </c>
    </row>
    <row r="1200" spans="1:15" s="49" customFormat="1" ht="14.15" customHeight="1">
      <c r="A1200" s="44"/>
      <c r="B1200" s="11"/>
      <c r="C1200" s="11" t="s">
        <v>18</v>
      </c>
      <c r="D1200" s="45" t="s">
        <v>16</v>
      </c>
      <c r="E1200" s="47"/>
      <c r="F1200" s="39" t="s">
        <v>966</v>
      </c>
      <c r="G1200" s="13" t="s">
        <v>8000</v>
      </c>
      <c r="H1200" s="99" t="str">
        <f t="shared" si="69"/>
        <v>W247.D</v>
      </c>
      <c r="I1200" s="13"/>
      <c r="J1200" s="13"/>
      <c r="K1200" s="13"/>
      <c r="L1200" s="48"/>
      <c r="M1200" s="49" t="str">
        <f t="shared" si="70"/>
        <v>[W247.D]</v>
      </c>
      <c r="N1200" s="12" t="str">
        <f t="shared" si="71"/>
        <v xml:space="preserve"> </v>
      </c>
      <c r="O1200" s="49" t="str">
        <f t="shared" si="72"/>
        <v xml:space="preserve">[W247.D] </v>
      </c>
    </row>
    <row r="1201" spans="1:15" s="49" customFormat="1" ht="14.15" customHeight="1">
      <c r="A1201" s="44"/>
      <c r="B1201" s="11"/>
      <c r="C1201" s="11" t="s">
        <v>18</v>
      </c>
      <c r="D1201" s="45" t="s">
        <v>16</v>
      </c>
      <c r="E1201" s="47"/>
      <c r="F1201" s="39" t="s">
        <v>967</v>
      </c>
      <c r="G1201" s="13" t="s">
        <v>8001</v>
      </c>
      <c r="H1201" s="99" t="str">
        <f t="shared" si="69"/>
        <v>W247.E</v>
      </c>
      <c r="I1201" s="13"/>
      <c r="J1201" s="13"/>
      <c r="K1201" s="13"/>
      <c r="L1201" s="48"/>
      <c r="M1201" s="49" t="str">
        <f t="shared" si="70"/>
        <v>[W247.E]</v>
      </c>
      <c r="N1201" s="12" t="str">
        <f t="shared" si="71"/>
        <v xml:space="preserve"> </v>
      </c>
      <c r="O1201" s="49" t="str">
        <f t="shared" si="72"/>
        <v xml:space="preserve">[W247.E] </v>
      </c>
    </row>
    <row r="1202" spans="1:15" s="49" customFormat="1" ht="14.15" customHeight="1">
      <c r="A1202" s="44"/>
      <c r="B1202" s="11"/>
      <c r="C1202" s="11" t="s">
        <v>18</v>
      </c>
      <c r="D1202" s="45" t="s">
        <v>16</v>
      </c>
      <c r="E1202" s="47"/>
      <c r="F1202" s="39" t="s">
        <v>968</v>
      </c>
      <c r="G1202" s="13" t="s">
        <v>8002</v>
      </c>
      <c r="H1202" s="99" t="str">
        <f t="shared" si="69"/>
        <v>W247.F</v>
      </c>
      <c r="I1202" s="13"/>
      <c r="J1202" s="13"/>
      <c r="K1202" s="13"/>
      <c r="L1202" s="48"/>
      <c r="M1202" s="49" t="str">
        <f t="shared" si="70"/>
        <v>[W247.F]</v>
      </c>
      <c r="N1202" s="12" t="str">
        <f t="shared" si="71"/>
        <v xml:space="preserve"> </v>
      </c>
      <c r="O1202" s="49" t="str">
        <f t="shared" si="72"/>
        <v xml:space="preserve">[W247.F] </v>
      </c>
    </row>
    <row r="1203" spans="1:15" s="49" customFormat="1" ht="14.15" customHeight="1">
      <c r="A1203" s="43" t="s">
        <v>2202</v>
      </c>
      <c r="B1203" s="11"/>
      <c r="C1203" s="11" t="s">
        <v>18</v>
      </c>
      <c r="D1203" s="45" t="s">
        <v>16</v>
      </c>
      <c r="E1203" s="47"/>
      <c r="F1203" s="39" t="s">
        <v>2071</v>
      </c>
      <c r="G1203" s="13" t="s">
        <v>8003</v>
      </c>
      <c r="H1203" s="99" t="str">
        <f t="shared" si="69"/>
        <v>W248.0</v>
      </c>
      <c r="I1203" s="13" t="s">
        <v>17</v>
      </c>
      <c r="J1203" s="13"/>
      <c r="K1203" s="13"/>
      <c r="L1203" s="48"/>
      <c r="M1203" s="49" t="str">
        <f t="shared" si="70"/>
        <v>[W248.0]</v>
      </c>
      <c r="N1203" s="12" t="str">
        <f t="shared" si="71"/>
        <v xml:space="preserve"> 터브 브라켓 클린칭 공정 시퀀스 이상</v>
      </c>
      <c r="O1203" s="49" t="str">
        <f t="shared" si="72"/>
        <v>[W248.0] 터브 브라켓 클린칭 공정 시퀀스 이상</v>
      </c>
    </row>
    <row r="1204" spans="1:15" s="49" customFormat="1" ht="14.15" customHeight="1">
      <c r="A1204" s="44"/>
      <c r="B1204" s="11"/>
      <c r="C1204" s="11" t="s">
        <v>18</v>
      </c>
      <c r="D1204" s="45" t="s">
        <v>16</v>
      </c>
      <c r="E1204" s="47"/>
      <c r="F1204" s="39" t="s">
        <v>969</v>
      </c>
      <c r="G1204" s="13" t="s">
        <v>8004</v>
      </c>
      <c r="H1204" s="99" t="str">
        <f t="shared" ref="H1204:H1267" si="73">"W"&amp;DEC2HEX(512 + INT((ROW()-51)/16)) &amp; "." &amp; IF(MOD(ROW()-51,16)&lt;10,MOD(ROW()-51,16),CHAR(MOD(ROW()-51,16)+55))</f>
        <v>W248.1</v>
      </c>
      <c r="I1204" s="13"/>
      <c r="J1204" s="13"/>
      <c r="K1204" s="13"/>
      <c r="L1204" s="48"/>
      <c r="M1204" s="49" t="str">
        <f t="shared" ref="M1204:M1267" si="74">"["&amp;H1204&amp;"]"</f>
        <v>[W248.1]</v>
      </c>
      <c r="N1204" s="12" t="str">
        <f t="shared" ref="N1204:N1267" si="75">RIGHT(F1204,LEN(F1204)-7)</f>
        <v xml:space="preserve"> </v>
      </c>
      <c r="O1204" s="49" t="str">
        <f t="shared" ref="O1204:O1267" si="76">M1204&amp;N1204</f>
        <v xml:space="preserve">[W248.1] </v>
      </c>
    </row>
    <row r="1205" spans="1:15" s="49" customFormat="1" ht="14.15" customHeight="1">
      <c r="A1205" s="44"/>
      <c r="B1205" s="11"/>
      <c r="C1205" s="11" t="s">
        <v>18</v>
      </c>
      <c r="D1205" s="45" t="s">
        <v>16</v>
      </c>
      <c r="E1205" s="47"/>
      <c r="F1205" s="39" t="s">
        <v>970</v>
      </c>
      <c r="G1205" s="13" t="s">
        <v>8005</v>
      </c>
      <c r="H1205" s="99" t="str">
        <f t="shared" si="73"/>
        <v>W248.2</v>
      </c>
      <c r="I1205" s="13"/>
      <c r="J1205" s="13"/>
      <c r="K1205" s="13"/>
      <c r="L1205" s="48"/>
      <c r="M1205" s="49" t="str">
        <f t="shared" si="74"/>
        <v>[W248.2]</v>
      </c>
      <c r="N1205" s="12" t="str">
        <f t="shared" si="75"/>
        <v xml:space="preserve"> </v>
      </c>
      <c r="O1205" s="49" t="str">
        <f t="shared" si="76"/>
        <v xml:space="preserve">[W248.2] </v>
      </c>
    </row>
    <row r="1206" spans="1:15" s="49" customFormat="1" ht="14.15" customHeight="1">
      <c r="A1206" s="44"/>
      <c r="B1206" s="11"/>
      <c r="C1206" s="11" t="s">
        <v>18</v>
      </c>
      <c r="D1206" s="45" t="s">
        <v>16</v>
      </c>
      <c r="E1206" s="47"/>
      <c r="F1206" s="39" t="s">
        <v>971</v>
      </c>
      <c r="G1206" s="13" t="s">
        <v>8006</v>
      </c>
      <c r="H1206" s="99" t="str">
        <f t="shared" si="73"/>
        <v>W248.3</v>
      </c>
      <c r="I1206" s="13"/>
      <c r="J1206" s="13"/>
      <c r="K1206" s="13"/>
      <c r="L1206" s="48"/>
      <c r="M1206" s="49" t="str">
        <f t="shared" si="74"/>
        <v>[W248.3]</v>
      </c>
      <c r="N1206" s="12" t="str">
        <f t="shared" si="75"/>
        <v xml:space="preserve"> </v>
      </c>
      <c r="O1206" s="49" t="str">
        <f t="shared" si="76"/>
        <v xml:space="preserve">[W248.3] </v>
      </c>
    </row>
    <row r="1207" spans="1:15" s="49" customFormat="1" ht="14.15" customHeight="1">
      <c r="A1207" s="44"/>
      <c r="B1207" s="11"/>
      <c r="C1207" s="11" t="s">
        <v>18</v>
      </c>
      <c r="D1207" s="45" t="s">
        <v>16</v>
      </c>
      <c r="E1207" s="47"/>
      <c r="F1207" s="39" t="s">
        <v>972</v>
      </c>
      <c r="G1207" s="13" t="s">
        <v>8007</v>
      </c>
      <c r="H1207" s="99" t="str">
        <f t="shared" si="73"/>
        <v>W248.4</v>
      </c>
      <c r="I1207" s="13"/>
      <c r="J1207" s="13"/>
      <c r="K1207" s="13"/>
      <c r="L1207" s="48"/>
      <c r="M1207" s="49" t="str">
        <f t="shared" si="74"/>
        <v>[W248.4]</v>
      </c>
      <c r="N1207" s="12" t="str">
        <f t="shared" si="75"/>
        <v xml:space="preserve"> </v>
      </c>
      <c r="O1207" s="49" t="str">
        <f t="shared" si="76"/>
        <v xml:space="preserve">[W248.4] </v>
      </c>
    </row>
    <row r="1208" spans="1:15" s="49" customFormat="1" ht="14.15" customHeight="1">
      <c r="A1208" s="44"/>
      <c r="B1208" s="11"/>
      <c r="C1208" s="11" t="s">
        <v>18</v>
      </c>
      <c r="D1208" s="45" t="s">
        <v>16</v>
      </c>
      <c r="E1208" s="47"/>
      <c r="F1208" s="39" t="s">
        <v>973</v>
      </c>
      <c r="G1208" s="13" t="s">
        <v>8008</v>
      </c>
      <c r="H1208" s="99" t="str">
        <f t="shared" si="73"/>
        <v>W248.5</v>
      </c>
      <c r="I1208" s="13"/>
      <c r="J1208" s="13"/>
      <c r="K1208" s="13"/>
      <c r="L1208" s="48"/>
      <c r="M1208" s="49" t="str">
        <f t="shared" si="74"/>
        <v>[W248.5]</v>
      </c>
      <c r="N1208" s="12" t="str">
        <f t="shared" si="75"/>
        <v xml:space="preserve"> </v>
      </c>
      <c r="O1208" s="49" t="str">
        <f t="shared" si="76"/>
        <v xml:space="preserve">[W248.5] </v>
      </c>
    </row>
    <row r="1209" spans="1:15" s="49" customFormat="1" ht="14.15" customHeight="1">
      <c r="A1209" s="43" t="s">
        <v>2202</v>
      </c>
      <c r="B1209" s="11"/>
      <c r="C1209" s="11" t="s">
        <v>18</v>
      </c>
      <c r="D1209" s="45" t="s">
        <v>16</v>
      </c>
      <c r="E1209" s="47"/>
      <c r="F1209" s="39" t="s">
        <v>2072</v>
      </c>
      <c r="G1209" s="13" t="s">
        <v>8009</v>
      </c>
      <c r="H1209" s="99" t="str">
        <f t="shared" si="73"/>
        <v>W248.6</v>
      </c>
      <c r="I1209" s="13" t="s">
        <v>17</v>
      </c>
      <c r="J1209" s="13"/>
      <c r="K1209" s="13"/>
      <c r="L1209" s="48"/>
      <c r="M1209" s="49" t="str">
        <f t="shared" si="74"/>
        <v>[W248.6]</v>
      </c>
      <c r="N1209" s="12" t="str">
        <f t="shared" si="75"/>
        <v xml:space="preserve"> 터브 브라켓 클린칭 제품 데이터 불일치 이상 (X568)</v>
      </c>
      <c r="O1209" s="49" t="str">
        <f t="shared" si="76"/>
        <v>[W248.6] 터브 브라켓 클린칭 제품 데이터 불일치 이상 (X568)</v>
      </c>
    </row>
    <row r="1210" spans="1:15" s="49" customFormat="1" ht="14.15" customHeight="1">
      <c r="A1210" s="43" t="s">
        <v>2203</v>
      </c>
      <c r="B1210" s="11"/>
      <c r="C1210" s="11" t="s">
        <v>18</v>
      </c>
      <c r="D1210" s="45" t="s">
        <v>16</v>
      </c>
      <c r="E1210" s="47"/>
      <c r="F1210" s="39" t="s">
        <v>2073</v>
      </c>
      <c r="G1210" s="13" t="s">
        <v>8010</v>
      </c>
      <c r="H1210" s="99" t="str">
        <f t="shared" si="73"/>
        <v>W248.7</v>
      </c>
      <c r="I1210" s="13" t="s">
        <v>17</v>
      </c>
      <c r="J1210" s="13"/>
      <c r="K1210" s="13"/>
      <c r="L1210" s="48"/>
      <c r="M1210" s="49" t="str">
        <f t="shared" si="74"/>
        <v>[W248.7]</v>
      </c>
      <c r="N1210" s="12" t="str">
        <f t="shared" si="75"/>
        <v xml:space="preserve"> 터브 이송 로봇 상부 진공 On 시간 초과 (Y5CD, X5B8, X5B9)</v>
      </c>
      <c r="O1210" s="49" t="str">
        <f t="shared" si="76"/>
        <v>[W248.7] 터브 이송 로봇 상부 진공 On 시간 초과 (Y5CD, X5B8, X5B9)</v>
      </c>
    </row>
    <row r="1211" spans="1:15" s="49" customFormat="1" ht="14.15" customHeight="1">
      <c r="A1211" s="43" t="s">
        <v>2203</v>
      </c>
      <c r="B1211" s="11"/>
      <c r="C1211" s="11" t="s">
        <v>18</v>
      </c>
      <c r="D1211" s="45" t="s">
        <v>16</v>
      </c>
      <c r="E1211" s="47"/>
      <c r="F1211" s="39" t="s">
        <v>2074</v>
      </c>
      <c r="G1211" s="13" t="s">
        <v>8011</v>
      </c>
      <c r="H1211" s="99" t="str">
        <f t="shared" si="73"/>
        <v>W248.8</v>
      </c>
      <c r="I1211" s="13" t="s">
        <v>104</v>
      </c>
      <c r="J1211" s="13"/>
      <c r="K1211" s="13"/>
      <c r="L1211" s="48"/>
      <c r="M1211" s="49" t="str">
        <f t="shared" si="74"/>
        <v>[W248.8]</v>
      </c>
      <c r="N1211" s="12" t="str">
        <f t="shared" si="75"/>
        <v xml:space="preserve"> 터브 이송 로봇 상부 진공 Off 시간 초과 (Y5CE, X5B8, X5B9)</v>
      </c>
      <c r="O1211" s="49" t="str">
        <f t="shared" si="76"/>
        <v>[W248.8] 터브 이송 로봇 상부 진공 Off 시간 초과 (Y5CE, X5B8, X5B9)</v>
      </c>
    </row>
    <row r="1212" spans="1:15" s="49" customFormat="1" ht="14.15" customHeight="1">
      <c r="A1212" s="43" t="s">
        <v>2203</v>
      </c>
      <c r="B1212" s="11"/>
      <c r="C1212" s="11" t="s">
        <v>18</v>
      </c>
      <c r="D1212" s="45" t="s">
        <v>16</v>
      </c>
      <c r="E1212" s="47"/>
      <c r="F1212" s="39" t="s">
        <v>2075</v>
      </c>
      <c r="G1212" s="13" t="s">
        <v>8012</v>
      </c>
      <c r="H1212" s="99" t="str">
        <f t="shared" si="73"/>
        <v>W248.9</v>
      </c>
      <c r="I1212" s="13" t="s">
        <v>17</v>
      </c>
      <c r="J1212" s="13"/>
      <c r="K1212" s="13"/>
      <c r="L1212" s="48"/>
      <c r="M1212" s="49" t="str">
        <f t="shared" si="74"/>
        <v>[W248.9]</v>
      </c>
      <c r="N1212" s="12" t="str">
        <f t="shared" si="75"/>
        <v xml:space="preserve"> 터브 이송 로봇 좌측 진공 On 시간 초과 (Y5DA, X5BA, X5BB)</v>
      </c>
      <c r="O1212" s="49" t="str">
        <f t="shared" si="76"/>
        <v>[W248.9] 터브 이송 로봇 좌측 진공 On 시간 초과 (Y5DA, X5BA, X5BB)</v>
      </c>
    </row>
    <row r="1213" spans="1:15" s="49" customFormat="1" ht="14.15" customHeight="1">
      <c r="A1213" s="43" t="s">
        <v>2203</v>
      </c>
      <c r="B1213" s="11"/>
      <c r="C1213" s="11" t="s">
        <v>18</v>
      </c>
      <c r="D1213" s="45" t="s">
        <v>16</v>
      </c>
      <c r="E1213" s="47"/>
      <c r="F1213" s="39" t="s">
        <v>2076</v>
      </c>
      <c r="G1213" s="13" t="s">
        <v>8013</v>
      </c>
      <c r="H1213" s="99" t="str">
        <f t="shared" si="73"/>
        <v>W248.A</v>
      </c>
      <c r="I1213" s="13" t="s">
        <v>17</v>
      </c>
      <c r="J1213" s="13"/>
      <c r="K1213" s="13"/>
      <c r="L1213" s="48"/>
      <c r="M1213" s="49" t="str">
        <f t="shared" si="74"/>
        <v>[W248.A]</v>
      </c>
      <c r="N1213" s="12" t="str">
        <f t="shared" si="75"/>
        <v xml:space="preserve"> 터브 이송 로봇 좌측 진공 Off 시간 초과 (Y5DB, X5BA, X5BB)</v>
      </c>
      <c r="O1213" s="49" t="str">
        <f t="shared" si="76"/>
        <v>[W248.A] 터브 이송 로봇 좌측 진공 Off 시간 초과 (Y5DB, X5BA, X5BB)</v>
      </c>
    </row>
    <row r="1214" spans="1:15" s="49" customFormat="1" ht="14.15" customHeight="1">
      <c r="A1214" s="43" t="s">
        <v>2203</v>
      </c>
      <c r="B1214" s="11"/>
      <c r="C1214" s="11" t="s">
        <v>18</v>
      </c>
      <c r="D1214" s="45" t="s">
        <v>16</v>
      </c>
      <c r="E1214" s="47"/>
      <c r="F1214" s="39" t="s">
        <v>2077</v>
      </c>
      <c r="G1214" s="13" t="s">
        <v>8014</v>
      </c>
      <c r="H1214" s="99" t="str">
        <f t="shared" si="73"/>
        <v>W248.B</v>
      </c>
      <c r="I1214" s="13" t="s">
        <v>104</v>
      </c>
      <c r="J1214" s="13"/>
      <c r="K1214" s="13"/>
      <c r="L1214" s="48"/>
      <c r="M1214" s="49" t="str">
        <f t="shared" si="74"/>
        <v>[W248.B]</v>
      </c>
      <c r="N1214" s="12" t="str">
        <f t="shared" si="75"/>
        <v xml:space="preserve"> 터브 이송 로봇 우측 진공 On 시간 초과 (Y5DD, X5BC, X5BD)</v>
      </c>
      <c r="O1214" s="49" t="str">
        <f t="shared" si="76"/>
        <v>[W248.B] 터브 이송 로봇 우측 진공 On 시간 초과 (Y5DD, X5BC, X5BD)</v>
      </c>
    </row>
    <row r="1215" spans="1:15" s="49" customFormat="1" ht="14.15" customHeight="1">
      <c r="A1215" s="43" t="s">
        <v>2203</v>
      </c>
      <c r="B1215" s="11"/>
      <c r="C1215" s="11" t="s">
        <v>18</v>
      </c>
      <c r="D1215" s="45" t="s">
        <v>16</v>
      </c>
      <c r="E1215" s="47"/>
      <c r="F1215" s="39" t="s">
        <v>2078</v>
      </c>
      <c r="G1215" s="13" t="s">
        <v>8015</v>
      </c>
      <c r="H1215" s="99" t="str">
        <f t="shared" si="73"/>
        <v>W248.C</v>
      </c>
      <c r="I1215" s="13" t="s">
        <v>17</v>
      </c>
      <c r="J1215" s="13"/>
      <c r="K1215" s="13"/>
      <c r="L1215" s="48"/>
      <c r="M1215" s="49" t="str">
        <f t="shared" si="74"/>
        <v>[W248.C]</v>
      </c>
      <c r="N1215" s="12" t="str">
        <f t="shared" si="75"/>
        <v xml:space="preserve"> 터브 이송 로봇 우측 진공 Off 시간 초과 (Y5DE, X5BC, X5BD)</v>
      </c>
      <c r="O1215" s="49" t="str">
        <f t="shared" si="76"/>
        <v>[W248.C] 터브 이송 로봇 우측 진공 Off 시간 초과 (Y5DE, X5BC, X5BD)</v>
      </c>
    </row>
    <row r="1216" spans="1:15" s="49" customFormat="1" ht="14.15" customHeight="1">
      <c r="A1216" s="44"/>
      <c r="B1216" s="11"/>
      <c r="C1216" s="11" t="s">
        <v>18</v>
      </c>
      <c r="D1216" s="45" t="s">
        <v>16</v>
      </c>
      <c r="E1216" s="47"/>
      <c r="F1216" s="39" t="s">
        <v>974</v>
      </c>
      <c r="G1216" s="13" t="s">
        <v>8016</v>
      </c>
      <c r="H1216" s="99" t="str">
        <f t="shared" si="73"/>
        <v>W248.D</v>
      </c>
      <c r="I1216" s="13"/>
      <c r="J1216" s="13"/>
      <c r="K1216" s="13"/>
      <c r="L1216" s="48"/>
      <c r="M1216" s="49" t="str">
        <f t="shared" si="74"/>
        <v>[W248.D]</v>
      </c>
      <c r="N1216" s="12" t="str">
        <f t="shared" si="75"/>
        <v xml:space="preserve"> </v>
      </c>
      <c r="O1216" s="49" t="str">
        <f t="shared" si="76"/>
        <v xml:space="preserve">[W248.D] </v>
      </c>
    </row>
    <row r="1217" spans="1:15" s="49" customFormat="1" ht="14.15" customHeight="1">
      <c r="A1217" s="44"/>
      <c r="B1217" s="11"/>
      <c r="C1217" s="11" t="s">
        <v>18</v>
      </c>
      <c r="D1217" s="45" t="s">
        <v>16</v>
      </c>
      <c r="E1217" s="47"/>
      <c r="F1217" s="39" t="s">
        <v>975</v>
      </c>
      <c r="G1217" s="13" t="s">
        <v>8017</v>
      </c>
      <c r="H1217" s="99" t="str">
        <f t="shared" si="73"/>
        <v>W248.E</v>
      </c>
      <c r="I1217" s="13"/>
      <c r="J1217" s="13"/>
      <c r="K1217" s="13"/>
      <c r="L1217" s="48"/>
      <c r="M1217" s="49" t="str">
        <f t="shared" si="74"/>
        <v>[W248.E]</v>
      </c>
      <c r="N1217" s="12" t="str">
        <f t="shared" si="75"/>
        <v xml:space="preserve"> </v>
      </c>
      <c r="O1217" s="49" t="str">
        <f t="shared" si="76"/>
        <v xml:space="preserve">[W248.E] </v>
      </c>
    </row>
    <row r="1218" spans="1:15" s="49" customFormat="1" ht="14.15" customHeight="1">
      <c r="A1218" s="44"/>
      <c r="B1218" s="11"/>
      <c r="C1218" s="11" t="s">
        <v>18</v>
      </c>
      <c r="D1218" s="45" t="s">
        <v>16</v>
      </c>
      <c r="E1218" s="47"/>
      <c r="F1218" s="39" t="s">
        <v>976</v>
      </c>
      <c r="G1218" s="13" t="s">
        <v>8018</v>
      </c>
      <c r="H1218" s="99" t="str">
        <f t="shared" si="73"/>
        <v>W248.F</v>
      </c>
      <c r="I1218" s="13"/>
      <c r="J1218" s="13"/>
      <c r="K1218" s="13"/>
      <c r="L1218" s="48"/>
      <c r="M1218" s="49" t="str">
        <f t="shared" si="74"/>
        <v>[W248.F]</v>
      </c>
      <c r="N1218" s="12" t="str">
        <f t="shared" si="75"/>
        <v xml:space="preserve"> </v>
      </c>
      <c r="O1218" s="49" t="str">
        <f t="shared" si="76"/>
        <v xml:space="preserve">[W248.F] </v>
      </c>
    </row>
    <row r="1219" spans="1:15" s="49" customFormat="1" ht="14.15" customHeight="1">
      <c r="A1219" s="44"/>
      <c r="B1219" s="11"/>
      <c r="C1219" s="11" t="s">
        <v>18</v>
      </c>
      <c r="D1219" s="45" t="s">
        <v>16</v>
      </c>
      <c r="E1219" s="47"/>
      <c r="F1219" s="39" t="s">
        <v>977</v>
      </c>
      <c r="G1219" s="13" t="s">
        <v>8019</v>
      </c>
      <c r="H1219" s="99" t="str">
        <f t="shared" si="73"/>
        <v>W249.0</v>
      </c>
      <c r="I1219" s="13"/>
      <c r="J1219" s="13"/>
      <c r="K1219" s="13"/>
      <c r="L1219" s="48"/>
      <c r="M1219" s="49" t="str">
        <f t="shared" si="74"/>
        <v>[W249.0]</v>
      </c>
      <c r="N1219" s="12" t="str">
        <f t="shared" si="75"/>
        <v xml:space="preserve"> </v>
      </c>
      <c r="O1219" s="49" t="str">
        <f t="shared" si="76"/>
        <v xml:space="preserve">[W249.0] </v>
      </c>
    </row>
    <row r="1220" spans="1:15" s="49" customFormat="1" ht="14.15" customHeight="1">
      <c r="A1220" s="43" t="s">
        <v>2203</v>
      </c>
      <c r="B1220" s="11"/>
      <c r="C1220" s="11" t="s">
        <v>18</v>
      </c>
      <c r="D1220" s="45" t="s">
        <v>16</v>
      </c>
      <c r="E1220" s="47"/>
      <c r="F1220" s="39" t="s">
        <v>2079</v>
      </c>
      <c r="G1220" s="13" t="s">
        <v>8020</v>
      </c>
      <c r="H1220" s="99" t="str">
        <f t="shared" si="73"/>
        <v>W249.1</v>
      </c>
      <c r="I1220" s="13" t="s">
        <v>104</v>
      </c>
      <c r="J1220" s="13"/>
      <c r="K1220" s="13"/>
      <c r="L1220" s="48"/>
      <c r="M1220" s="49" t="str">
        <f t="shared" si="74"/>
        <v>[W249.1]</v>
      </c>
      <c r="N1220" s="12" t="str">
        <f t="shared" si="75"/>
        <v xml:space="preserve"> 터브 이송 로봇 제품 수취 시간 초과</v>
      </c>
      <c r="O1220" s="49" t="str">
        <f t="shared" si="76"/>
        <v>[W249.1] 터브 이송 로봇 제품 수취 시간 초과</v>
      </c>
    </row>
    <row r="1221" spans="1:15" s="49" customFormat="1" ht="14.15" customHeight="1">
      <c r="A1221" s="43" t="s">
        <v>2203</v>
      </c>
      <c r="B1221" s="11"/>
      <c r="C1221" s="11" t="s">
        <v>18</v>
      </c>
      <c r="D1221" s="45" t="s">
        <v>16</v>
      </c>
      <c r="E1221" s="47"/>
      <c r="F1221" s="39" t="s">
        <v>2080</v>
      </c>
      <c r="G1221" s="13" t="s">
        <v>8021</v>
      </c>
      <c r="H1221" s="99" t="str">
        <f t="shared" si="73"/>
        <v>W249.2</v>
      </c>
      <c r="I1221" s="13" t="s">
        <v>17</v>
      </c>
      <c r="J1221" s="13"/>
      <c r="K1221" s="13"/>
      <c r="L1221" s="48"/>
      <c r="M1221" s="49" t="str">
        <f t="shared" si="74"/>
        <v>[W249.2]</v>
      </c>
      <c r="N1221" s="12" t="str">
        <f t="shared" si="75"/>
        <v xml:space="preserve"> 터브 이송 로봇 제품 배출 시간 초과</v>
      </c>
      <c r="O1221" s="49" t="str">
        <f t="shared" si="76"/>
        <v>[W249.2] 터브 이송 로봇 제품 배출 시간 초과</v>
      </c>
    </row>
    <row r="1222" spans="1:15" s="49" customFormat="1" ht="14.15" customHeight="1">
      <c r="A1222" s="43" t="s">
        <v>2203</v>
      </c>
      <c r="B1222" s="11"/>
      <c r="C1222" s="11" t="s">
        <v>18</v>
      </c>
      <c r="D1222" s="45" t="s">
        <v>16</v>
      </c>
      <c r="E1222" s="47"/>
      <c r="F1222" s="39" t="s">
        <v>2081</v>
      </c>
      <c r="G1222" s="13" t="s">
        <v>8022</v>
      </c>
      <c r="H1222" s="99" t="str">
        <f t="shared" si="73"/>
        <v>W249.3</v>
      </c>
      <c r="I1222" s="13" t="s">
        <v>17</v>
      </c>
      <c r="J1222" s="13"/>
      <c r="K1222" s="13"/>
      <c r="L1222" s="48"/>
      <c r="M1222" s="49" t="str">
        <f t="shared" si="74"/>
        <v>[W249.3]</v>
      </c>
      <c r="N1222" s="12" t="str">
        <f t="shared" si="75"/>
        <v xml:space="preserve"> 터브 이송 로봇 제품 수취 시퀀스 이상</v>
      </c>
      <c r="O1222" s="49" t="str">
        <f t="shared" si="76"/>
        <v>[W249.3] 터브 이송 로봇 제품 수취 시퀀스 이상</v>
      </c>
    </row>
    <row r="1223" spans="1:15" s="49" customFormat="1" ht="14.15" customHeight="1">
      <c r="A1223" s="44"/>
      <c r="B1223" s="11"/>
      <c r="C1223" s="11" t="s">
        <v>18</v>
      </c>
      <c r="D1223" s="45" t="s">
        <v>16</v>
      </c>
      <c r="E1223" s="47"/>
      <c r="F1223" s="39" t="s">
        <v>978</v>
      </c>
      <c r="G1223" s="13" t="s">
        <v>8023</v>
      </c>
      <c r="H1223" s="99" t="str">
        <f t="shared" si="73"/>
        <v>W249.4</v>
      </c>
      <c r="I1223" s="13"/>
      <c r="J1223" s="13"/>
      <c r="K1223" s="13"/>
      <c r="L1223" s="48"/>
      <c r="M1223" s="49" t="str">
        <f t="shared" si="74"/>
        <v>[W249.4]</v>
      </c>
      <c r="N1223" s="12" t="str">
        <f t="shared" si="75"/>
        <v xml:space="preserve"> </v>
      </c>
      <c r="O1223" s="49" t="str">
        <f t="shared" si="76"/>
        <v xml:space="preserve">[W249.4] </v>
      </c>
    </row>
    <row r="1224" spans="1:15" s="49" customFormat="1" ht="14.15" customHeight="1">
      <c r="A1224" s="43" t="s">
        <v>2203</v>
      </c>
      <c r="B1224" s="11"/>
      <c r="C1224" s="11" t="s">
        <v>18</v>
      </c>
      <c r="D1224" s="45" t="s">
        <v>16</v>
      </c>
      <c r="E1224" s="47"/>
      <c r="F1224" s="39" t="s">
        <v>2082</v>
      </c>
      <c r="G1224" s="13" t="s">
        <v>8024</v>
      </c>
      <c r="H1224" s="99" t="str">
        <f t="shared" si="73"/>
        <v>W249.5</v>
      </c>
      <c r="I1224" s="13" t="s">
        <v>17</v>
      </c>
      <c r="J1224" s="13"/>
      <c r="K1224" s="13"/>
      <c r="L1224" s="48"/>
      <c r="M1224" s="49" t="str">
        <f t="shared" si="74"/>
        <v>[W249.5]</v>
      </c>
      <c r="N1224" s="12" t="str">
        <f t="shared" si="75"/>
        <v xml:space="preserve"> 터브 이송 로봇 제품 배출 시퀀스 이상</v>
      </c>
      <c r="O1224" s="49" t="str">
        <f t="shared" si="76"/>
        <v>[W249.5] 터브 이송 로봇 제품 배출 시퀀스 이상</v>
      </c>
    </row>
    <row r="1225" spans="1:15" s="49" customFormat="1" ht="14.15" customHeight="1">
      <c r="A1225" s="43" t="s">
        <v>2203</v>
      </c>
      <c r="B1225" s="11"/>
      <c r="C1225" s="11" t="s">
        <v>18</v>
      </c>
      <c r="D1225" s="45" t="s">
        <v>16</v>
      </c>
      <c r="E1225" s="47"/>
      <c r="F1225" s="39" t="s">
        <v>2083</v>
      </c>
      <c r="G1225" s="13" t="s">
        <v>8025</v>
      </c>
      <c r="H1225" s="99" t="str">
        <f t="shared" si="73"/>
        <v>W249.6</v>
      </c>
      <c r="I1225" s="13" t="s">
        <v>17</v>
      </c>
      <c r="J1225" s="13"/>
      <c r="K1225" s="13"/>
      <c r="L1225" s="48"/>
      <c r="M1225" s="49" t="str">
        <f t="shared" si="74"/>
        <v>[W249.6]</v>
      </c>
      <c r="N1225" s="12" t="str">
        <f t="shared" si="75"/>
        <v xml:space="preserve"> 터브 이송 로봇 리모트 모드 상태 이상</v>
      </c>
      <c r="O1225" s="49" t="str">
        <f t="shared" si="76"/>
        <v>[W249.6] 터브 이송 로봇 리모트 모드 상태 이상</v>
      </c>
    </row>
    <row r="1226" spans="1:15" s="49" customFormat="1" ht="14.15" customHeight="1">
      <c r="A1226" s="43" t="s">
        <v>2203</v>
      </c>
      <c r="B1226" s="11"/>
      <c r="C1226" s="11" t="s">
        <v>18</v>
      </c>
      <c r="D1226" s="45" t="s">
        <v>16</v>
      </c>
      <c r="E1226" s="47"/>
      <c r="F1226" s="39" t="s">
        <v>2084</v>
      </c>
      <c r="G1226" s="13" t="s">
        <v>8026</v>
      </c>
      <c r="H1226" s="99" t="str">
        <f t="shared" si="73"/>
        <v>W249.7</v>
      </c>
      <c r="I1226" s="13" t="s">
        <v>17</v>
      </c>
      <c r="J1226" s="13"/>
      <c r="K1226" s="13"/>
      <c r="L1226" s="48"/>
      <c r="M1226" s="49" t="str">
        <f t="shared" si="74"/>
        <v>[W249.7]</v>
      </c>
      <c r="N1226" s="12" t="str">
        <f t="shared" si="75"/>
        <v xml:space="preserve"> 터브 이송 로봇 서보 온 상태 이상</v>
      </c>
      <c r="O1226" s="49" t="str">
        <f t="shared" si="76"/>
        <v>[W249.7] 터브 이송 로봇 서보 온 상태 이상</v>
      </c>
    </row>
    <row r="1227" spans="1:15" s="49" customFormat="1" ht="14.15" customHeight="1">
      <c r="A1227" s="43" t="s">
        <v>2203</v>
      </c>
      <c r="B1227" s="11"/>
      <c r="C1227" s="11" t="s">
        <v>18</v>
      </c>
      <c r="D1227" s="45" t="s">
        <v>16</v>
      </c>
      <c r="E1227" s="47"/>
      <c r="F1227" s="39" t="s">
        <v>2085</v>
      </c>
      <c r="G1227" s="13" t="s">
        <v>8027</v>
      </c>
      <c r="H1227" s="99" t="str">
        <f t="shared" si="73"/>
        <v>W249.8</v>
      </c>
      <c r="I1227" s="13" t="s">
        <v>104</v>
      </c>
      <c r="J1227" s="13"/>
      <c r="K1227" s="13"/>
      <c r="L1227" s="48"/>
      <c r="M1227" s="49" t="str">
        <f t="shared" si="74"/>
        <v>[W249.8]</v>
      </c>
      <c r="N1227" s="12" t="str">
        <f t="shared" si="75"/>
        <v xml:space="preserve"> 터브 이송 로봇 초기화 필요</v>
      </c>
      <c r="O1227" s="49" t="str">
        <f t="shared" si="76"/>
        <v>[W249.8] 터브 이송 로봇 초기화 필요</v>
      </c>
    </row>
    <row r="1228" spans="1:15" s="49" customFormat="1" ht="14.15" customHeight="1">
      <c r="A1228" s="43" t="s">
        <v>2203</v>
      </c>
      <c r="B1228" s="11"/>
      <c r="C1228" s="11" t="s">
        <v>18</v>
      </c>
      <c r="D1228" s="45" t="s">
        <v>16</v>
      </c>
      <c r="E1228" s="47"/>
      <c r="F1228" s="39" t="s">
        <v>2086</v>
      </c>
      <c r="G1228" s="13" t="s">
        <v>8028</v>
      </c>
      <c r="H1228" s="99" t="str">
        <f t="shared" si="73"/>
        <v>W249.9</v>
      </c>
      <c r="I1228" s="13" t="s">
        <v>17</v>
      </c>
      <c r="J1228" s="13"/>
      <c r="K1228" s="13"/>
      <c r="L1228" s="48"/>
      <c r="M1228" s="49" t="str">
        <f t="shared" si="74"/>
        <v>[W249.9]</v>
      </c>
      <c r="N1228" s="12" t="str">
        <f t="shared" si="75"/>
        <v xml:space="preserve"> 터브 이송 로봇 팬던트 비상 정지 이상 (XB8D)</v>
      </c>
      <c r="O1228" s="49" t="str">
        <f t="shared" si="76"/>
        <v>[W249.9] 터브 이송 로봇 팬던트 비상 정지 이상 (XB8D)</v>
      </c>
    </row>
    <row r="1229" spans="1:15" s="49" customFormat="1" ht="14.15" customHeight="1">
      <c r="A1229" s="43" t="s">
        <v>2203</v>
      </c>
      <c r="B1229" s="11"/>
      <c r="C1229" s="11" t="s">
        <v>18</v>
      </c>
      <c r="D1229" s="45" t="s">
        <v>16</v>
      </c>
      <c r="E1229" s="47"/>
      <c r="F1229" s="39" t="s">
        <v>2087</v>
      </c>
      <c r="G1229" s="13" t="s">
        <v>8029</v>
      </c>
      <c r="H1229" s="99" t="str">
        <f t="shared" si="73"/>
        <v>W249.A</v>
      </c>
      <c r="I1229" s="13" t="s">
        <v>17</v>
      </c>
      <c r="J1229" s="13"/>
      <c r="K1229" s="13"/>
      <c r="L1229" s="48"/>
      <c r="M1229" s="49" t="str">
        <f t="shared" si="74"/>
        <v>[W249.A]</v>
      </c>
      <c r="N1229" s="12" t="str">
        <f t="shared" si="75"/>
        <v xml:space="preserve"> 터브 이송 로봇 콘트롤러 비상 정지 이상 (XB8E)</v>
      </c>
      <c r="O1229" s="49" t="str">
        <f t="shared" si="76"/>
        <v>[W249.A] 터브 이송 로봇 콘트롤러 비상 정지 이상 (XB8E)</v>
      </c>
    </row>
    <row r="1230" spans="1:15" s="49" customFormat="1" ht="14.15" customHeight="1">
      <c r="A1230" s="43" t="s">
        <v>2203</v>
      </c>
      <c r="B1230" s="11"/>
      <c r="C1230" s="11" t="s">
        <v>18</v>
      </c>
      <c r="D1230" s="45" t="s">
        <v>16</v>
      </c>
      <c r="E1230" s="47"/>
      <c r="F1230" s="39" t="s">
        <v>2088</v>
      </c>
      <c r="G1230" s="13" t="s">
        <v>8030</v>
      </c>
      <c r="H1230" s="99" t="str">
        <f t="shared" si="73"/>
        <v>W249.B</v>
      </c>
      <c r="I1230" s="13" t="s">
        <v>104</v>
      </c>
      <c r="J1230" s="13"/>
      <c r="K1230" s="13"/>
      <c r="L1230" s="48"/>
      <c r="M1230" s="49" t="str">
        <f t="shared" si="74"/>
        <v>[W249.B]</v>
      </c>
      <c r="N1230" s="12" t="str">
        <f t="shared" si="75"/>
        <v xml:space="preserve"> 터브 이송 이재기#1-2 상부 진공 On 시간 초과 (Y5C0, X5A0, X5A1)</v>
      </c>
      <c r="O1230" s="49" t="str">
        <f t="shared" si="76"/>
        <v>[W249.B] 터브 이송 이재기#1-2 상부 진공 On 시간 초과 (Y5C0, X5A0, X5A1)</v>
      </c>
    </row>
    <row r="1231" spans="1:15" s="49" customFormat="1" ht="14.15" customHeight="1">
      <c r="A1231" s="43" t="s">
        <v>2203</v>
      </c>
      <c r="B1231" s="11"/>
      <c r="C1231" s="11" t="s">
        <v>18</v>
      </c>
      <c r="D1231" s="45" t="s">
        <v>16</v>
      </c>
      <c r="E1231" s="47"/>
      <c r="F1231" s="39" t="s">
        <v>2089</v>
      </c>
      <c r="G1231" s="13" t="s">
        <v>8031</v>
      </c>
      <c r="H1231" s="99" t="str">
        <f t="shared" si="73"/>
        <v>W249.C</v>
      </c>
      <c r="I1231" s="13" t="s">
        <v>17</v>
      </c>
      <c r="J1231" s="13"/>
      <c r="K1231" s="13"/>
      <c r="L1231" s="48"/>
      <c r="M1231" s="49" t="str">
        <f t="shared" si="74"/>
        <v>[W249.C]</v>
      </c>
      <c r="N1231" s="12" t="str">
        <f t="shared" si="75"/>
        <v xml:space="preserve"> 터브 이송 이재기#1-2 상부 진공 Off 시간 초과 (Y5C1, X5A0, X5A1)</v>
      </c>
      <c r="O1231" s="49" t="str">
        <f t="shared" si="76"/>
        <v>[W249.C] 터브 이송 이재기#1-2 상부 진공 Off 시간 초과 (Y5C1, X5A0, X5A1)</v>
      </c>
    </row>
    <row r="1232" spans="1:15" s="49" customFormat="1" ht="14.15" customHeight="1">
      <c r="A1232" s="43" t="s">
        <v>2203</v>
      </c>
      <c r="B1232" s="11"/>
      <c r="C1232" s="11" t="s">
        <v>18</v>
      </c>
      <c r="D1232" s="45" t="s">
        <v>16</v>
      </c>
      <c r="E1232" s="47"/>
      <c r="F1232" s="39" t="s">
        <v>2090</v>
      </c>
      <c r="G1232" s="13" t="s">
        <v>8032</v>
      </c>
      <c r="H1232" s="99" t="str">
        <f t="shared" si="73"/>
        <v>W249.D</v>
      </c>
      <c r="I1232" s="13" t="s">
        <v>17</v>
      </c>
      <c r="J1232" s="13"/>
      <c r="K1232" s="13"/>
      <c r="L1232" s="48"/>
      <c r="M1232" s="49" t="str">
        <f t="shared" si="74"/>
        <v>[W249.D]</v>
      </c>
      <c r="N1232" s="12" t="str">
        <f t="shared" si="75"/>
        <v xml:space="preserve"> 터브 이송 이재기#1-2 좌측 진공 On 시간 초과 (Y5C3, X5A2, X5A3)</v>
      </c>
      <c r="O1232" s="49" t="str">
        <f t="shared" si="76"/>
        <v>[W249.D] 터브 이송 이재기#1-2 좌측 진공 On 시간 초과 (Y5C3, X5A2, X5A3)</v>
      </c>
    </row>
    <row r="1233" spans="1:15" s="49" customFormat="1" ht="14.15" customHeight="1">
      <c r="A1233" s="43" t="s">
        <v>2203</v>
      </c>
      <c r="B1233" s="11"/>
      <c r="C1233" s="11" t="s">
        <v>18</v>
      </c>
      <c r="D1233" s="45" t="s">
        <v>16</v>
      </c>
      <c r="E1233" s="47"/>
      <c r="F1233" s="39" t="s">
        <v>2091</v>
      </c>
      <c r="G1233" s="13" t="s">
        <v>8033</v>
      </c>
      <c r="H1233" s="99" t="str">
        <f t="shared" si="73"/>
        <v>W249.E</v>
      </c>
      <c r="I1233" s="13" t="s">
        <v>104</v>
      </c>
      <c r="J1233" s="13"/>
      <c r="K1233" s="13"/>
      <c r="L1233" s="48"/>
      <c r="M1233" s="49" t="str">
        <f t="shared" si="74"/>
        <v>[W249.E]</v>
      </c>
      <c r="N1233" s="12" t="str">
        <f t="shared" si="75"/>
        <v xml:space="preserve"> 터브 이송 이재기#1-2 좌측 진공 Off 시간 초과 (Y5C4, X5A2, X5A3)</v>
      </c>
      <c r="O1233" s="49" t="str">
        <f t="shared" si="76"/>
        <v>[W249.E] 터브 이송 이재기#1-2 좌측 진공 Off 시간 초과 (Y5C4, X5A2, X5A3)</v>
      </c>
    </row>
    <row r="1234" spans="1:15" s="49" customFormat="1" ht="14.15" customHeight="1">
      <c r="A1234" s="43" t="s">
        <v>2203</v>
      </c>
      <c r="B1234" s="11"/>
      <c r="C1234" s="11" t="s">
        <v>18</v>
      </c>
      <c r="D1234" s="45" t="s">
        <v>16</v>
      </c>
      <c r="E1234" s="47"/>
      <c r="F1234" s="39" t="s">
        <v>2092</v>
      </c>
      <c r="G1234" s="13" t="s">
        <v>8034</v>
      </c>
      <c r="H1234" s="99" t="str">
        <f t="shared" si="73"/>
        <v>W249.F</v>
      </c>
      <c r="I1234" s="13" t="s">
        <v>17</v>
      </c>
      <c r="J1234" s="13"/>
      <c r="K1234" s="13"/>
      <c r="L1234" s="48"/>
      <c r="M1234" s="49" t="str">
        <f t="shared" si="74"/>
        <v>[W249.F]</v>
      </c>
      <c r="N1234" s="12" t="str">
        <f t="shared" si="75"/>
        <v xml:space="preserve"> 터브 이송 이재기#1-2 우측 진공 On 시간 초과 (Y5C6, X5A4, X5A5)</v>
      </c>
      <c r="O1234" s="49" t="str">
        <f t="shared" si="76"/>
        <v>[W249.F] 터브 이송 이재기#1-2 우측 진공 On 시간 초과 (Y5C6, X5A4, X5A5)</v>
      </c>
    </row>
    <row r="1235" spans="1:15" s="49" customFormat="1" ht="14.15" customHeight="1">
      <c r="A1235" s="43" t="s">
        <v>2203</v>
      </c>
      <c r="B1235" s="11"/>
      <c r="C1235" s="11" t="s">
        <v>18</v>
      </c>
      <c r="D1235" s="45" t="s">
        <v>16</v>
      </c>
      <c r="E1235" s="47"/>
      <c r="F1235" s="39" t="s">
        <v>2093</v>
      </c>
      <c r="G1235" s="13" t="s">
        <v>8035</v>
      </c>
      <c r="H1235" s="99" t="str">
        <f t="shared" si="73"/>
        <v>W24A.0</v>
      </c>
      <c r="I1235" s="13" t="s">
        <v>17</v>
      </c>
      <c r="J1235" s="13"/>
      <c r="K1235" s="13"/>
      <c r="L1235" s="48"/>
      <c r="M1235" s="49" t="str">
        <f t="shared" si="74"/>
        <v>[W24A.0]</v>
      </c>
      <c r="N1235" s="12" t="str">
        <f t="shared" si="75"/>
        <v xml:space="preserve"> 터브 이송 이재기#1-2 우측 진공 Off 시간 초과 (Y5C7, X5A4, X5A5)</v>
      </c>
      <c r="O1235" s="49" t="str">
        <f t="shared" si="76"/>
        <v>[W24A.0] 터브 이송 이재기#1-2 우측 진공 Off 시간 초과 (Y5C7, X5A4, X5A5)</v>
      </c>
    </row>
    <row r="1236" spans="1:15" s="49" customFormat="1" ht="14.15" customHeight="1">
      <c r="A1236" s="44"/>
      <c r="B1236" s="11"/>
      <c r="C1236" s="11" t="s">
        <v>18</v>
      </c>
      <c r="D1236" s="45" t="s">
        <v>16</v>
      </c>
      <c r="E1236" s="47"/>
      <c r="F1236" s="39" t="s">
        <v>979</v>
      </c>
      <c r="G1236" s="13" t="s">
        <v>8036</v>
      </c>
      <c r="H1236" s="99" t="str">
        <f t="shared" si="73"/>
        <v>W24A.1</v>
      </c>
      <c r="I1236" s="13"/>
      <c r="J1236" s="13"/>
      <c r="K1236" s="13"/>
      <c r="L1236" s="48"/>
      <c r="M1236" s="49" t="str">
        <f t="shared" si="74"/>
        <v>[W24A.1]</v>
      </c>
      <c r="N1236" s="12" t="str">
        <f t="shared" si="75"/>
        <v xml:space="preserve"> </v>
      </c>
      <c r="O1236" s="49" t="str">
        <f t="shared" si="76"/>
        <v xml:space="preserve">[W24A.1] </v>
      </c>
    </row>
    <row r="1237" spans="1:15" s="49" customFormat="1" ht="14.15" customHeight="1">
      <c r="A1237" s="44"/>
      <c r="B1237" s="11"/>
      <c r="C1237" s="11" t="s">
        <v>18</v>
      </c>
      <c r="D1237" s="45" t="s">
        <v>16</v>
      </c>
      <c r="E1237" s="47"/>
      <c r="F1237" s="39" t="s">
        <v>980</v>
      </c>
      <c r="G1237" s="13" t="s">
        <v>8037</v>
      </c>
      <c r="H1237" s="99" t="str">
        <f t="shared" si="73"/>
        <v>W24A.2</v>
      </c>
      <c r="I1237" s="13"/>
      <c r="J1237" s="13"/>
      <c r="K1237" s="13"/>
      <c r="L1237" s="48"/>
      <c r="M1237" s="49" t="str">
        <f t="shared" si="74"/>
        <v>[W24A.2]</v>
      </c>
      <c r="N1237" s="12" t="str">
        <f t="shared" si="75"/>
        <v xml:space="preserve"> </v>
      </c>
      <c r="O1237" s="49" t="str">
        <f t="shared" si="76"/>
        <v xml:space="preserve">[W24A.2] </v>
      </c>
    </row>
    <row r="1238" spans="1:15" s="49" customFormat="1" ht="14.15" customHeight="1">
      <c r="A1238" s="44"/>
      <c r="B1238" s="11"/>
      <c r="C1238" s="11" t="s">
        <v>18</v>
      </c>
      <c r="D1238" s="45" t="s">
        <v>16</v>
      </c>
      <c r="E1238" s="47"/>
      <c r="F1238" s="39" t="s">
        <v>981</v>
      </c>
      <c r="G1238" s="13" t="s">
        <v>8038</v>
      </c>
      <c r="H1238" s="99" t="str">
        <f t="shared" si="73"/>
        <v>W24A.3</v>
      </c>
      <c r="I1238" s="13"/>
      <c r="J1238" s="13"/>
      <c r="K1238" s="13"/>
      <c r="L1238" s="48"/>
      <c r="M1238" s="49" t="str">
        <f t="shared" si="74"/>
        <v>[W24A.3]</v>
      </c>
      <c r="N1238" s="12" t="str">
        <f t="shared" si="75"/>
        <v xml:space="preserve"> </v>
      </c>
      <c r="O1238" s="49" t="str">
        <f t="shared" si="76"/>
        <v xml:space="preserve">[W24A.3] </v>
      </c>
    </row>
    <row r="1239" spans="1:15" s="49" customFormat="1" ht="14.15" customHeight="1">
      <c r="A1239" s="44"/>
      <c r="B1239" s="11"/>
      <c r="C1239" s="11" t="s">
        <v>18</v>
      </c>
      <c r="D1239" s="45" t="s">
        <v>16</v>
      </c>
      <c r="E1239" s="47"/>
      <c r="F1239" s="39" t="s">
        <v>982</v>
      </c>
      <c r="G1239" s="13" t="s">
        <v>8039</v>
      </c>
      <c r="H1239" s="99" t="str">
        <f t="shared" si="73"/>
        <v>W24A.4</v>
      </c>
      <c r="I1239" s="13"/>
      <c r="J1239" s="13"/>
      <c r="K1239" s="13"/>
      <c r="L1239" s="48"/>
      <c r="M1239" s="49" t="str">
        <f t="shared" si="74"/>
        <v>[W24A.4]</v>
      </c>
      <c r="N1239" s="12" t="str">
        <f t="shared" si="75"/>
        <v xml:space="preserve"> </v>
      </c>
      <c r="O1239" s="49" t="str">
        <f t="shared" si="76"/>
        <v xml:space="preserve">[W24A.4] </v>
      </c>
    </row>
    <row r="1240" spans="1:15" s="49" customFormat="1" ht="14.15" customHeight="1">
      <c r="A1240" s="43" t="s">
        <v>2203</v>
      </c>
      <c r="B1240" s="11"/>
      <c r="C1240" s="11" t="s">
        <v>18</v>
      </c>
      <c r="D1240" s="45" t="s">
        <v>16</v>
      </c>
      <c r="E1240" s="47"/>
      <c r="F1240" s="39" t="s">
        <v>2094</v>
      </c>
      <c r="G1240" s="13" t="s">
        <v>8040</v>
      </c>
      <c r="H1240" s="99" t="str">
        <f t="shared" si="73"/>
        <v>W24A.5</v>
      </c>
      <c r="I1240" s="13" t="s">
        <v>17</v>
      </c>
      <c r="J1240" s="13"/>
      <c r="K1240" s="13"/>
      <c r="L1240" s="48"/>
      <c r="M1240" s="49" t="str">
        <f t="shared" si="74"/>
        <v>[W24A.5]</v>
      </c>
      <c r="N1240" s="12" t="str">
        <f t="shared" si="75"/>
        <v xml:space="preserve"> 터브 이송 이재기#1-2 제품 수취 시간 초과</v>
      </c>
      <c r="O1240" s="49" t="str">
        <f t="shared" si="76"/>
        <v>[W24A.5] 터브 이송 이재기#1-2 제품 수취 시간 초과</v>
      </c>
    </row>
    <row r="1241" spans="1:15" s="49" customFormat="1" ht="14.15" customHeight="1">
      <c r="A1241" s="43" t="s">
        <v>2203</v>
      </c>
      <c r="B1241" s="11"/>
      <c r="C1241" s="11" t="s">
        <v>18</v>
      </c>
      <c r="D1241" s="45" t="s">
        <v>16</v>
      </c>
      <c r="E1241" s="47"/>
      <c r="F1241" s="39" t="s">
        <v>2095</v>
      </c>
      <c r="G1241" s="13" t="s">
        <v>8041</v>
      </c>
      <c r="H1241" s="99" t="str">
        <f t="shared" si="73"/>
        <v>W24A.6</v>
      </c>
      <c r="I1241" s="13" t="s">
        <v>17</v>
      </c>
      <c r="J1241" s="13"/>
      <c r="K1241" s="13"/>
      <c r="L1241" s="48"/>
      <c r="M1241" s="49" t="str">
        <f t="shared" si="74"/>
        <v>[W24A.6]</v>
      </c>
      <c r="N1241" s="12" t="str">
        <f t="shared" si="75"/>
        <v xml:space="preserve"> 터브 이송 이재기#1-2 제품 배출 시간 초과</v>
      </c>
      <c r="O1241" s="49" t="str">
        <f t="shared" si="76"/>
        <v>[W24A.6] 터브 이송 이재기#1-2 제품 배출 시간 초과</v>
      </c>
    </row>
    <row r="1242" spans="1:15" s="49" customFormat="1" ht="14.15" customHeight="1">
      <c r="A1242" s="43" t="s">
        <v>2203</v>
      </c>
      <c r="B1242" s="11"/>
      <c r="C1242" s="11" t="s">
        <v>18</v>
      </c>
      <c r="D1242" s="45" t="s">
        <v>16</v>
      </c>
      <c r="E1242" s="47"/>
      <c r="F1242" s="39" t="s">
        <v>2096</v>
      </c>
      <c r="G1242" s="13" t="s">
        <v>8042</v>
      </c>
      <c r="H1242" s="99" t="str">
        <f t="shared" si="73"/>
        <v>W24A.7</v>
      </c>
      <c r="I1242" s="13" t="s">
        <v>17</v>
      </c>
      <c r="J1242" s="13"/>
      <c r="K1242" s="13"/>
      <c r="L1242" s="48"/>
      <c r="M1242" s="49" t="str">
        <f t="shared" si="74"/>
        <v>[W24A.7]</v>
      </c>
      <c r="N1242" s="12" t="str">
        <f t="shared" si="75"/>
        <v xml:space="preserve"> 터브 이송 이재기#1-2 제품 수취 시퀀스 이상</v>
      </c>
      <c r="O1242" s="49" t="str">
        <f t="shared" si="76"/>
        <v>[W24A.7] 터브 이송 이재기#1-2 제품 수취 시퀀스 이상</v>
      </c>
    </row>
    <row r="1243" spans="1:15" s="49" customFormat="1" ht="14.15" customHeight="1">
      <c r="A1243" s="44"/>
      <c r="B1243" s="11"/>
      <c r="C1243" s="11" t="s">
        <v>18</v>
      </c>
      <c r="D1243" s="45" t="s">
        <v>16</v>
      </c>
      <c r="E1243" s="47"/>
      <c r="F1243" s="39" t="s">
        <v>983</v>
      </c>
      <c r="G1243" s="13" t="s">
        <v>8043</v>
      </c>
      <c r="H1243" s="99" t="str">
        <f t="shared" si="73"/>
        <v>W24A.8</v>
      </c>
      <c r="I1243" s="13"/>
      <c r="J1243" s="13"/>
      <c r="K1243" s="13"/>
      <c r="L1243" s="48"/>
      <c r="M1243" s="49" t="str">
        <f t="shared" si="74"/>
        <v>[W24A.8]</v>
      </c>
      <c r="N1243" s="12" t="str">
        <f t="shared" si="75"/>
        <v xml:space="preserve"> </v>
      </c>
      <c r="O1243" s="49" t="str">
        <f t="shared" si="76"/>
        <v xml:space="preserve">[W24A.8] </v>
      </c>
    </row>
    <row r="1244" spans="1:15" s="49" customFormat="1" ht="14.15" customHeight="1">
      <c r="A1244" s="43" t="s">
        <v>2203</v>
      </c>
      <c r="B1244" s="11"/>
      <c r="C1244" s="11" t="s">
        <v>18</v>
      </c>
      <c r="D1244" s="45" t="s">
        <v>16</v>
      </c>
      <c r="E1244" s="47"/>
      <c r="F1244" s="39" t="s">
        <v>2097</v>
      </c>
      <c r="G1244" s="13" t="s">
        <v>8044</v>
      </c>
      <c r="H1244" s="99" t="str">
        <f t="shared" si="73"/>
        <v>W24A.9</v>
      </c>
      <c r="I1244" s="13" t="s">
        <v>17</v>
      </c>
      <c r="J1244" s="13"/>
      <c r="K1244" s="13"/>
      <c r="L1244" s="48"/>
      <c r="M1244" s="49" t="str">
        <f t="shared" si="74"/>
        <v>[W24A.9]</v>
      </c>
      <c r="N1244" s="12" t="str">
        <f t="shared" si="75"/>
        <v xml:space="preserve"> 터브 이송 이재기#1-2 제품 배출 시퀀스 이상</v>
      </c>
      <c r="O1244" s="49" t="str">
        <f t="shared" si="76"/>
        <v>[W24A.9] 터브 이송 이재기#1-2 제품 배출 시퀀스 이상</v>
      </c>
    </row>
    <row r="1245" spans="1:15" s="49" customFormat="1" ht="14.15" customHeight="1">
      <c r="A1245" s="44"/>
      <c r="B1245" s="11"/>
      <c r="C1245" s="11" t="s">
        <v>18</v>
      </c>
      <c r="D1245" s="45" t="s">
        <v>16</v>
      </c>
      <c r="E1245" s="47"/>
      <c r="F1245" s="39" t="s">
        <v>984</v>
      </c>
      <c r="G1245" s="13" t="s">
        <v>8045</v>
      </c>
      <c r="H1245" s="99" t="str">
        <f t="shared" si="73"/>
        <v>W24A.A</v>
      </c>
      <c r="I1245" s="13" t="s">
        <v>17</v>
      </c>
      <c r="J1245" s="13"/>
      <c r="K1245" s="13"/>
      <c r="L1245" s="48"/>
      <c r="M1245" s="49" t="str">
        <f t="shared" si="74"/>
        <v>[W24A.A]</v>
      </c>
      <c r="N1245" s="12" t="str">
        <f t="shared" si="75"/>
        <v xml:space="preserve"> </v>
      </c>
      <c r="O1245" s="49" t="str">
        <f t="shared" si="76"/>
        <v xml:space="preserve">[W24A.A] </v>
      </c>
    </row>
    <row r="1246" spans="1:15" s="49" customFormat="1" ht="14.15" customHeight="1">
      <c r="A1246" s="44"/>
      <c r="B1246" s="11"/>
      <c r="C1246" s="11" t="s">
        <v>18</v>
      </c>
      <c r="D1246" s="45" t="s">
        <v>16</v>
      </c>
      <c r="E1246" s="47"/>
      <c r="F1246" s="39" t="s">
        <v>985</v>
      </c>
      <c r="G1246" s="13" t="s">
        <v>8046</v>
      </c>
      <c r="H1246" s="99" t="str">
        <f t="shared" si="73"/>
        <v>W24A.B</v>
      </c>
      <c r="I1246" s="13" t="s">
        <v>104</v>
      </c>
      <c r="J1246" s="13"/>
      <c r="K1246" s="13"/>
      <c r="L1246" s="48"/>
      <c r="M1246" s="49" t="str">
        <f t="shared" si="74"/>
        <v>[W24A.B]</v>
      </c>
      <c r="N1246" s="12" t="str">
        <f t="shared" si="75"/>
        <v xml:space="preserve"> </v>
      </c>
      <c r="O1246" s="49" t="str">
        <f t="shared" si="76"/>
        <v xml:space="preserve">[W24A.B] </v>
      </c>
    </row>
    <row r="1247" spans="1:15" s="49" customFormat="1" ht="14.15" customHeight="1">
      <c r="A1247" s="44"/>
      <c r="B1247" s="11"/>
      <c r="C1247" s="11" t="s">
        <v>18</v>
      </c>
      <c r="D1247" s="45" t="s">
        <v>16</v>
      </c>
      <c r="E1247" s="47"/>
      <c r="F1247" s="39" t="s">
        <v>986</v>
      </c>
      <c r="G1247" s="13" t="s">
        <v>8047</v>
      </c>
      <c r="H1247" s="99" t="str">
        <f t="shared" si="73"/>
        <v>W24A.C</v>
      </c>
      <c r="I1247" s="13" t="s">
        <v>17</v>
      </c>
      <c r="J1247" s="13"/>
      <c r="K1247" s="13"/>
      <c r="L1247" s="48"/>
      <c r="M1247" s="49" t="str">
        <f t="shared" si="74"/>
        <v>[W24A.C]</v>
      </c>
      <c r="N1247" s="12" t="str">
        <f t="shared" si="75"/>
        <v xml:space="preserve"> </v>
      </c>
      <c r="O1247" s="49" t="str">
        <f t="shared" si="76"/>
        <v xml:space="preserve">[W24A.C] </v>
      </c>
    </row>
    <row r="1248" spans="1:15" s="49" customFormat="1" ht="14.15" customHeight="1">
      <c r="A1248" s="44"/>
      <c r="B1248" s="11"/>
      <c r="C1248" s="11" t="s">
        <v>18</v>
      </c>
      <c r="D1248" s="45" t="s">
        <v>16</v>
      </c>
      <c r="E1248" s="47"/>
      <c r="F1248" s="39" t="s">
        <v>987</v>
      </c>
      <c r="G1248" s="13" t="s">
        <v>8048</v>
      </c>
      <c r="H1248" s="99" t="str">
        <f t="shared" si="73"/>
        <v>W24A.D</v>
      </c>
      <c r="I1248" s="13" t="s">
        <v>17</v>
      </c>
      <c r="J1248" s="13"/>
      <c r="K1248" s="13"/>
      <c r="L1248" s="48"/>
      <c r="M1248" s="49" t="str">
        <f t="shared" si="74"/>
        <v>[W24A.D]</v>
      </c>
      <c r="N1248" s="12" t="str">
        <f t="shared" si="75"/>
        <v xml:space="preserve"> </v>
      </c>
      <c r="O1248" s="49" t="str">
        <f t="shared" si="76"/>
        <v xml:space="preserve">[W24A.D] </v>
      </c>
    </row>
    <row r="1249" spans="1:15" s="49" customFormat="1" ht="14.15" customHeight="1">
      <c r="A1249" s="43" t="s">
        <v>2203</v>
      </c>
      <c r="B1249" s="11"/>
      <c r="C1249" s="11" t="s">
        <v>18</v>
      </c>
      <c r="D1249" s="45" t="s">
        <v>16</v>
      </c>
      <c r="E1249" s="47"/>
      <c r="F1249" s="39" t="s">
        <v>2098</v>
      </c>
      <c r="G1249" s="13" t="s">
        <v>8049</v>
      </c>
      <c r="H1249" s="99" t="str">
        <f t="shared" si="73"/>
        <v>W24A.E</v>
      </c>
      <c r="I1249" s="13" t="s">
        <v>104</v>
      </c>
      <c r="J1249" s="13"/>
      <c r="K1249" s="13"/>
      <c r="L1249" s="48"/>
      <c r="M1249" s="49" t="str">
        <f t="shared" si="74"/>
        <v>[W24A.E]</v>
      </c>
      <c r="N1249" s="12" t="str">
        <f t="shared" si="75"/>
        <v xml:space="preserve"> 터브 이송 이재기#1-2 제품 데이터 불일치 이상 (X5AA)</v>
      </c>
      <c r="O1249" s="49" t="str">
        <f t="shared" si="76"/>
        <v>[W24A.E] 터브 이송 이재기#1-2 제품 데이터 불일치 이상 (X5AA)</v>
      </c>
    </row>
    <row r="1250" spans="1:15" s="49" customFormat="1" ht="14.15" customHeight="1">
      <c r="A1250" s="43" t="s">
        <v>2203</v>
      </c>
      <c r="B1250" s="11"/>
      <c r="C1250" s="11" t="s">
        <v>18</v>
      </c>
      <c r="D1250" s="45" t="s">
        <v>16</v>
      </c>
      <c r="E1250" s="47"/>
      <c r="F1250" s="39" t="s">
        <v>2099</v>
      </c>
      <c r="G1250" s="13" t="s">
        <v>8050</v>
      </c>
      <c r="H1250" s="99" t="str">
        <f t="shared" si="73"/>
        <v>W24A.F</v>
      </c>
      <c r="I1250" s="13" t="s">
        <v>17</v>
      </c>
      <c r="J1250" s="13"/>
      <c r="K1250" s="13"/>
      <c r="L1250" s="48"/>
      <c r="M1250" s="49" t="str">
        <f t="shared" si="74"/>
        <v>[W24A.F]</v>
      </c>
      <c r="N1250" s="12" t="str">
        <f t="shared" si="75"/>
        <v xml:space="preserve"> 터브 이송 이재기#1-3 상부 진공 On 시간 초과 (Y5D0, X5A6, X5A7)</v>
      </c>
      <c r="O1250" s="49" t="str">
        <f t="shared" si="76"/>
        <v>[W24A.F] 터브 이송 이재기#1-3 상부 진공 On 시간 초과 (Y5D0, X5A6, X5A7)</v>
      </c>
    </row>
    <row r="1251" spans="1:15" s="49" customFormat="1" ht="14.15" customHeight="1">
      <c r="A1251" s="43" t="s">
        <v>2203</v>
      </c>
      <c r="B1251" s="11"/>
      <c r="C1251" s="11" t="s">
        <v>18</v>
      </c>
      <c r="D1251" s="45" t="s">
        <v>16</v>
      </c>
      <c r="E1251" s="47"/>
      <c r="F1251" s="39" t="s">
        <v>2100</v>
      </c>
      <c r="G1251" s="13" t="s">
        <v>8051</v>
      </c>
      <c r="H1251" s="99" t="str">
        <f t="shared" si="73"/>
        <v>W24B.0</v>
      </c>
      <c r="I1251" s="13" t="s">
        <v>17</v>
      </c>
      <c r="J1251" s="13"/>
      <c r="K1251" s="13"/>
      <c r="L1251" s="48"/>
      <c r="M1251" s="49" t="str">
        <f t="shared" si="74"/>
        <v>[W24B.0]</v>
      </c>
      <c r="N1251" s="12" t="str">
        <f t="shared" si="75"/>
        <v xml:space="preserve"> 터브 이송 이재기#1-3 상부 진공 Off 시간 초과 (Y5D1, X5A6, X5A7)</v>
      </c>
      <c r="O1251" s="49" t="str">
        <f t="shared" si="76"/>
        <v>[W24B.0] 터브 이송 이재기#1-3 상부 진공 Off 시간 초과 (Y5D1, X5A6, X5A7)</v>
      </c>
    </row>
    <row r="1252" spans="1:15" s="49" customFormat="1" ht="14.15" customHeight="1">
      <c r="A1252" s="43" t="s">
        <v>2203</v>
      </c>
      <c r="B1252" s="11"/>
      <c r="C1252" s="11" t="s">
        <v>18</v>
      </c>
      <c r="D1252" s="45" t="s">
        <v>16</v>
      </c>
      <c r="E1252" s="47"/>
      <c r="F1252" s="39" t="s">
        <v>2101</v>
      </c>
      <c r="G1252" s="13" t="s">
        <v>8052</v>
      </c>
      <c r="H1252" s="99" t="str">
        <f t="shared" si="73"/>
        <v>W24B.1</v>
      </c>
      <c r="I1252" s="13" t="s">
        <v>104</v>
      </c>
      <c r="J1252" s="13"/>
      <c r="K1252" s="13"/>
      <c r="L1252" s="48"/>
      <c r="M1252" s="49" t="str">
        <f t="shared" si="74"/>
        <v>[W24B.1]</v>
      </c>
      <c r="N1252" s="12" t="str">
        <f t="shared" si="75"/>
        <v xml:space="preserve"> 터브 이송 이재기#1-3 좌측 진공 On 시간 초과 (Y5D3, X5A8, X5A9)</v>
      </c>
      <c r="O1252" s="49" t="str">
        <f t="shared" si="76"/>
        <v>[W24B.1] 터브 이송 이재기#1-3 좌측 진공 On 시간 초과 (Y5D3, X5A8, X5A9)</v>
      </c>
    </row>
    <row r="1253" spans="1:15" s="49" customFormat="1" ht="14.15" customHeight="1">
      <c r="A1253" s="43" t="s">
        <v>2203</v>
      </c>
      <c r="B1253" s="11"/>
      <c r="C1253" s="11" t="s">
        <v>18</v>
      </c>
      <c r="D1253" s="45" t="s">
        <v>16</v>
      </c>
      <c r="E1253" s="47"/>
      <c r="F1253" s="39" t="s">
        <v>2102</v>
      </c>
      <c r="G1253" s="13" t="s">
        <v>8053</v>
      </c>
      <c r="H1253" s="99" t="str">
        <f t="shared" si="73"/>
        <v>W24B.2</v>
      </c>
      <c r="I1253" s="13" t="s">
        <v>17</v>
      </c>
      <c r="J1253" s="13"/>
      <c r="K1253" s="13"/>
      <c r="L1253" s="48"/>
      <c r="M1253" s="49" t="str">
        <f t="shared" si="74"/>
        <v>[W24B.2]</v>
      </c>
      <c r="N1253" s="12" t="str">
        <f t="shared" si="75"/>
        <v xml:space="preserve"> 터브 이송 이재기#1-3 좌측 진공 Off 시간 초과 (Y5D4, X5A8, X5A9)</v>
      </c>
      <c r="O1253" s="49" t="str">
        <f t="shared" si="76"/>
        <v>[W24B.2] 터브 이송 이재기#1-3 좌측 진공 Off 시간 초과 (Y5D4, X5A8, X5A9)</v>
      </c>
    </row>
    <row r="1254" spans="1:15" s="49" customFormat="1" ht="14.15" customHeight="1">
      <c r="A1254" s="43" t="s">
        <v>2203</v>
      </c>
      <c r="B1254" s="11"/>
      <c r="C1254" s="11" t="s">
        <v>18</v>
      </c>
      <c r="D1254" s="45" t="s">
        <v>16</v>
      </c>
      <c r="E1254" s="47"/>
      <c r="F1254" s="39" t="s">
        <v>2103</v>
      </c>
      <c r="G1254" s="13" t="s">
        <v>8054</v>
      </c>
      <c r="H1254" s="99" t="str">
        <f t="shared" si="73"/>
        <v>W24B.3</v>
      </c>
      <c r="I1254" s="13" t="s">
        <v>17</v>
      </c>
      <c r="J1254" s="13"/>
      <c r="K1254" s="13"/>
      <c r="L1254" s="48"/>
      <c r="M1254" s="49" t="str">
        <f t="shared" si="74"/>
        <v>[W24B.3]</v>
      </c>
      <c r="N1254" s="12" t="str">
        <f t="shared" si="75"/>
        <v xml:space="preserve"> 터브 이송 이재기#1-3 우측 진공 On 시간 초과 (Y5D6, X5AC, X5AD)</v>
      </c>
      <c r="O1254" s="49" t="str">
        <f t="shared" si="76"/>
        <v>[W24B.3] 터브 이송 이재기#1-3 우측 진공 On 시간 초과 (Y5D6, X5AC, X5AD)</v>
      </c>
    </row>
    <row r="1255" spans="1:15" s="49" customFormat="1" ht="14.15" customHeight="1">
      <c r="A1255" s="43" t="s">
        <v>2203</v>
      </c>
      <c r="B1255" s="11"/>
      <c r="C1255" s="11" t="s">
        <v>18</v>
      </c>
      <c r="D1255" s="45" t="s">
        <v>16</v>
      </c>
      <c r="E1255" s="47"/>
      <c r="F1255" s="39" t="s">
        <v>2104</v>
      </c>
      <c r="G1255" s="13" t="s">
        <v>8055</v>
      </c>
      <c r="H1255" s="99" t="str">
        <f t="shared" si="73"/>
        <v>W24B.4</v>
      </c>
      <c r="I1255" s="13" t="s">
        <v>104</v>
      </c>
      <c r="J1255" s="13"/>
      <c r="K1255" s="13"/>
      <c r="L1255" s="48"/>
      <c r="M1255" s="49" t="str">
        <f t="shared" si="74"/>
        <v>[W24B.4]</v>
      </c>
      <c r="N1255" s="12" t="str">
        <f t="shared" si="75"/>
        <v xml:space="preserve"> 터브 이송 이재기#1-3 우측 진공 Off 시간 초과 (Y5D7, X5AC, X5AD)</v>
      </c>
      <c r="O1255" s="49" t="str">
        <f t="shared" si="76"/>
        <v>[W24B.4] 터브 이송 이재기#1-3 우측 진공 Off 시간 초과 (Y5D7, X5AC, X5AD)</v>
      </c>
    </row>
    <row r="1256" spans="1:15" s="49" customFormat="1" ht="14.15" customHeight="1">
      <c r="A1256" s="44"/>
      <c r="B1256" s="11"/>
      <c r="C1256" s="11" t="s">
        <v>18</v>
      </c>
      <c r="D1256" s="45" t="s">
        <v>16</v>
      </c>
      <c r="E1256" s="47"/>
      <c r="F1256" s="39" t="s">
        <v>988</v>
      </c>
      <c r="G1256" s="13" t="s">
        <v>8056</v>
      </c>
      <c r="H1256" s="99" t="str">
        <f t="shared" si="73"/>
        <v>W24B.5</v>
      </c>
      <c r="I1256" s="13"/>
      <c r="J1256" s="13"/>
      <c r="K1256" s="13"/>
      <c r="L1256" s="48"/>
      <c r="M1256" s="49" t="str">
        <f t="shared" si="74"/>
        <v>[W24B.5]</v>
      </c>
      <c r="N1256" s="12" t="str">
        <f t="shared" si="75"/>
        <v xml:space="preserve"> </v>
      </c>
      <c r="O1256" s="49" t="str">
        <f t="shared" si="76"/>
        <v xml:space="preserve">[W24B.5] </v>
      </c>
    </row>
    <row r="1257" spans="1:15" s="49" customFormat="1" ht="14.15" customHeight="1">
      <c r="A1257" s="44"/>
      <c r="B1257" s="11"/>
      <c r="C1257" s="11" t="s">
        <v>18</v>
      </c>
      <c r="D1257" s="45" t="s">
        <v>16</v>
      </c>
      <c r="E1257" s="47"/>
      <c r="F1257" s="39" t="s">
        <v>989</v>
      </c>
      <c r="G1257" s="13" t="s">
        <v>8057</v>
      </c>
      <c r="H1257" s="99" t="str">
        <f t="shared" si="73"/>
        <v>W24B.6</v>
      </c>
      <c r="I1257" s="13"/>
      <c r="J1257" s="13"/>
      <c r="K1257" s="13"/>
      <c r="L1257" s="48"/>
      <c r="M1257" s="49" t="str">
        <f t="shared" si="74"/>
        <v>[W24B.6]</v>
      </c>
      <c r="N1257" s="12" t="str">
        <f t="shared" si="75"/>
        <v xml:space="preserve"> </v>
      </c>
      <c r="O1257" s="49" t="str">
        <f t="shared" si="76"/>
        <v xml:space="preserve">[W24B.6] </v>
      </c>
    </row>
    <row r="1258" spans="1:15" s="49" customFormat="1" ht="14.15" customHeight="1">
      <c r="A1258" s="44"/>
      <c r="B1258" s="11"/>
      <c r="C1258" s="11" t="s">
        <v>18</v>
      </c>
      <c r="D1258" s="45" t="s">
        <v>16</v>
      </c>
      <c r="E1258" s="47"/>
      <c r="F1258" s="39" t="s">
        <v>990</v>
      </c>
      <c r="G1258" s="13" t="s">
        <v>8058</v>
      </c>
      <c r="H1258" s="99" t="str">
        <f t="shared" si="73"/>
        <v>W24B.7</v>
      </c>
      <c r="I1258" s="13"/>
      <c r="J1258" s="13"/>
      <c r="K1258" s="13"/>
      <c r="L1258" s="48"/>
      <c r="M1258" s="49" t="str">
        <f t="shared" si="74"/>
        <v>[W24B.7]</v>
      </c>
      <c r="N1258" s="12" t="str">
        <f t="shared" si="75"/>
        <v xml:space="preserve"> </v>
      </c>
      <c r="O1258" s="49" t="str">
        <f t="shared" si="76"/>
        <v xml:space="preserve">[W24B.7] </v>
      </c>
    </row>
    <row r="1259" spans="1:15" s="49" customFormat="1" ht="14.15" customHeight="1">
      <c r="A1259" s="44"/>
      <c r="B1259" s="11"/>
      <c r="C1259" s="11" t="s">
        <v>18</v>
      </c>
      <c r="D1259" s="45" t="s">
        <v>16</v>
      </c>
      <c r="E1259" s="47"/>
      <c r="F1259" s="39" t="s">
        <v>991</v>
      </c>
      <c r="G1259" s="13" t="s">
        <v>8059</v>
      </c>
      <c r="H1259" s="99" t="str">
        <f t="shared" si="73"/>
        <v>W24B.8</v>
      </c>
      <c r="I1259" s="13"/>
      <c r="J1259" s="13"/>
      <c r="K1259" s="13"/>
      <c r="L1259" s="48"/>
      <c r="M1259" s="49" t="str">
        <f t="shared" si="74"/>
        <v>[W24B.8]</v>
      </c>
      <c r="N1259" s="12" t="str">
        <f t="shared" si="75"/>
        <v xml:space="preserve"> </v>
      </c>
      <c r="O1259" s="49" t="str">
        <f t="shared" si="76"/>
        <v xml:space="preserve">[W24B.8] </v>
      </c>
    </row>
    <row r="1260" spans="1:15" s="49" customFormat="1" ht="14.15" customHeight="1">
      <c r="A1260" s="43" t="s">
        <v>2203</v>
      </c>
      <c r="B1260" s="11"/>
      <c r="C1260" s="11" t="s">
        <v>18</v>
      </c>
      <c r="D1260" s="45" t="s">
        <v>16</v>
      </c>
      <c r="E1260" s="47"/>
      <c r="F1260" s="39" t="s">
        <v>2105</v>
      </c>
      <c r="G1260" s="13" t="s">
        <v>8060</v>
      </c>
      <c r="H1260" s="99" t="str">
        <f t="shared" si="73"/>
        <v>W24B.9</v>
      </c>
      <c r="I1260" s="13" t="s">
        <v>17</v>
      </c>
      <c r="J1260" s="13"/>
      <c r="K1260" s="13"/>
      <c r="L1260" s="48"/>
      <c r="M1260" s="49" t="str">
        <f t="shared" si="74"/>
        <v>[W24B.9]</v>
      </c>
      <c r="N1260" s="12" t="str">
        <f t="shared" si="75"/>
        <v xml:space="preserve"> 터브 이송 이재기#1-3 제품 수취 시간 초과</v>
      </c>
      <c r="O1260" s="49" t="str">
        <f t="shared" si="76"/>
        <v>[W24B.9] 터브 이송 이재기#1-3 제품 수취 시간 초과</v>
      </c>
    </row>
    <row r="1261" spans="1:15" s="49" customFormat="1" ht="14.15" customHeight="1">
      <c r="A1261" s="43" t="s">
        <v>2203</v>
      </c>
      <c r="B1261" s="11"/>
      <c r="C1261" s="11" t="s">
        <v>18</v>
      </c>
      <c r="D1261" s="45" t="s">
        <v>16</v>
      </c>
      <c r="E1261" s="47"/>
      <c r="F1261" s="39" t="s">
        <v>2106</v>
      </c>
      <c r="G1261" s="13" t="s">
        <v>8061</v>
      </c>
      <c r="H1261" s="99" t="str">
        <f t="shared" si="73"/>
        <v>W24B.A</v>
      </c>
      <c r="I1261" s="13" t="s">
        <v>17</v>
      </c>
      <c r="J1261" s="13"/>
      <c r="K1261" s="13"/>
      <c r="L1261" s="48"/>
      <c r="M1261" s="49" t="str">
        <f t="shared" si="74"/>
        <v>[W24B.A]</v>
      </c>
      <c r="N1261" s="12" t="str">
        <f t="shared" si="75"/>
        <v xml:space="preserve"> 터브 이송 이재기#1-3 제품 배출 시간 초과</v>
      </c>
      <c r="O1261" s="49" t="str">
        <f t="shared" si="76"/>
        <v>[W24B.A] 터브 이송 이재기#1-3 제품 배출 시간 초과</v>
      </c>
    </row>
    <row r="1262" spans="1:15" s="49" customFormat="1" ht="14.15" customHeight="1">
      <c r="A1262" s="43" t="s">
        <v>2203</v>
      </c>
      <c r="B1262" s="11"/>
      <c r="C1262" s="11" t="s">
        <v>18</v>
      </c>
      <c r="D1262" s="45" t="s">
        <v>16</v>
      </c>
      <c r="E1262" s="47"/>
      <c r="F1262" s="39" t="s">
        <v>2107</v>
      </c>
      <c r="G1262" s="13" t="s">
        <v>8062</v>
      </c>
      <c r="H1262" s="99" t="str">
        <f t="shared" si="73"/>
        <v>W24B.B</v>
      </c>
      <c r="I1262" s="13" t="s">
        <v>104</v>
      </c>
      <c r="J1262" s="13"/>
      <c r="K1262" s="13"/>
      <c r="L1262" s="48"/>
      <c r="M1262" s="49" t="str">
        <f t="shared" si="74"/>
        <v>[W24B.B]</v>
      </c>
      <c r="N1262" s="12" t="str">
        <f t="shared" si="75"/>
        <v xml:space="preserve"> 터브 이송 이재기#1-3 제품 수취 시퀀스 이상</v>
      </c>
      <c r="O1262" s="49" t="str">
        <f t="shared" si="76"/>
        <v>[W24B.B] 터브 이송 이재기#1-3 제품 수취 시퀀스 이상</v>
      </c>
    </row>
    <row r="1263" spans="1:15" s="49" customFormat="1" ht="14.15" customHeight="1">
      <c r="A1263" s="44"/>
      <c r="B1263" s="11"/>
      <c r="C1263" s="11" t="s">
        <v>18</v>
      </c>
      <c r="D1263" s="45" t="s">
        <v>16</v>
      </c>
      <c r="E1263" s="47"/>
      <c r="F1263" s="39" t="s">
        <v>992</v>
      </c>
      <c r="G1263" s="13" t="s">
        <v>8063</v>
      </c>
      <c r="H1263" s="99" t="str">
        <f t="shared" si="73"/>
        <v>W24B.C</v>
      </c>
      <c r="I1263" s="13"/>
      <c r="J1263" s="13"/>
      <c r="K1263" s="13"/>
      <c r="L1263" s="48"/>
      <c r="M1263" s="49" t="str">
        <f t="shared" si="74"/>
        <v>[W24B.C]</v>
      </c>
      <c r="N1263" s="12" t="str">
        <f t="shared" si="75"/>
        <v xml:space="preserve"> </v>
      </c>
      <c r="O1263" s="49" t="str">
        <f t="shared" si="76"/>
        <v xml:space="preserve">[W24B.C] </v>
      </c>
    </row>
    <row r="1264" spans="1:15" s="49" customFormat="1" ht="14.15" customHeight="1">
      <c r="A1264" s="43" t="s">
        <v>2203</v>
      </c>
      <c r="B1264" s="11"/>
      <c r="C1264" s="11" t="s">
        <v>18</v>
      </c>
      <c r="D1264" s="45" t="s">
        <v>16</v>
      </c>
      <c r="E1264" s="47"/>
      <c r="F1264" s="39" t="s">
        <v>2108</v>
      </c>
      <c r="G1264" s="13" t="s">
        <v>8064</v>
      </c>
      <c r="H1264" s="99" t="str">
        <f t="shared" si="73"/>
        <v>W24B.D</v>
      </c>
      <c r="I1264" s="13" t="s">
        <v>17</v>
      </c>
      <c r="J1264" s="13"/>
      <c r="K1264" s="13"/>
      <c r="L1264" s="48"/>
      <c r="M1264" s="49" t="str">
        <f t="shared" si="74"/>
        <v>[W24B.D]</v>
      </c>
      <c r="N1264" s="12" t="str">
        <f t="shared" si="75"/>
        <v xml:space="preserve"> 터브 이송 이재기#1-3 제품 배출 시퀀스 이상</v>
      </c>
      <c r="O1264" s="49" t="str">
        <f t="shared" si="76"/>
        <v>[W24B.D] 터브 이송 이재기#1-3 제품 배출 시퀀스 이상</v>
      </c>
    </row>
    <row r="1265" spans="1:15" s="49" customFormat="1" ht="14.15" customHeight="1">
      <c r="A1265" s="44"/>
      <c r="B1265" s="11"/>
      <c r="C1265" s="11" t="s">
        <v>18</v>
      </c>
      <c r="D1265" s="45" t="s">
        <v>16</v>
      </c>
      <c r="E1265" s="47"/>
      <c r="F1265" s="39" t="s">
        <v>993</v>
      </c>
      <c r="G1265" s="13" t="s">
        <v>8065</v>
      </c>
      <c r="H1265" s="99" t="str">
        <f t="shared" si="73"/>
        <v>W24B.E</v>
      </c>
      <c r="I1265" s="13"/>
      <c r="J1265" s="13"/>
      <c r="K1265" s="13"/>
      <c r="L1265" s="48"/>
      <c r="M1265" s="49" t="str">
        <f t="shared" si="74"/>
        <v>[W24B.E]</v>
      </c>
      <c r="N1265" s="12" t="str">
        <f t="shared" si="75"/>
        <v xml:space="preserve"> </v>
      </c>
      <c r="O1265" s="49" t="str">
        <f t="shared" si="76"/>
        <v xml:space="preserve">[W24B.E] </v>
      </c>
    </row>
    <row r="1266" spans="1:15" s="49" customFormat="1" ht="14.15" customHeight="1">
      <c r="A1266" s="44"/>
      <c r="B1266" s="11"/>
      <c r="C1266" s="11" t="s">
        <v>18</v>
      </c>
      <c r="D1266" s="45" t="s">
        <v>16</v>
      </c>
      <c r="E1266" s="47"/>
      <c r="F1266" s="39" t="s">
        <v>994</v>
      </c>
      <c r="G1266" s="13" t="s">
        <v>8066</v>
      </c>
      <c r="H1266" s="99" t="str">
        <f t="shared" si="73"/>
        <v>W24B.F</v>
      </c>
      <c r="I1266" s="13"/>
      <c r="J1266" s="13"/>
      <c r="K1266" s="13"/>
      <c r="L1266" s="48"/>
      <c r="M1266" s="49" t="str">
        <f t="shared" si="74"/>
        <v>[W24B.F]</v>
      </c>
      <c r="N1266" s="12" t="str">
        <f t="shared" si="75"/>
        <v xml:space="preserve"> </v>
      </c>
      <c r="O1266" s="49" t="str">
        <f t="shared" si="76"/>
        <v xml:space="preserve">[W24B.F] </v>
      </c>
    </row>
    <row r="1267" spans="1:15" s="49" customFormat="1" ht="14.15" customHeight="1">
      <c r="A1267" s="44"/>
      <c r="B1267" s="11"/>
      <c r="C1267" s="11" t="s">
        <v>18</v>
      </c>
      <c r="D1267" s="45" t="s">
        <v>16</v>
      </c>
      <c r="E1267" s="47"/>
      <c r="F1267" s="39" t="s">
        <v>995</v>
      </c>
      <c r="G1267" s="13" t="s">
        <v>8067</v>
      </c>
      <c r="H1267" s="99" t="str">
        <f t="shared" si="73"/>
        <v>W24C.0</v>
      </c>
      <c r="I1267" s="13"/>
      <c r="J1267" s="13"/>
      <c r="K1267" s="13"/>
      <c r="L1267" s="48"/>
      <c r="M1267" s="49" t="str">
        <f t="shared" si="74"/>
        <v>[W24C.0]</v>
      </c>
      <c r="N1267" s="12" t="str">
        <f t="shared" si="75"/>
        <v xml:space="preserve"> </v>
      </c>
      <c r="O1267" s="49" t="str">
        <f t="shared" si="76"/>
        <v xml:space="preserve">[W24C.0] </v>
      </c>
    </row>
    <row r="1268" spans="1:15" s="49" customFormat="1" ht="14.15" customHeight="1">
      <c r="A1268" s="44"/>
      <c r="B1268" s="11"/>
      <c r="C1268" s="11" t="s">
        <v>18</v>
      </c>
      <c r="D1268" s="45" t="s">
        <v>16</v>
      </c>
      <c r="E1268" s="47"/>
      <c r="F1268" s="39" t="s">
        <v>996</v>
      </c>
      <c r="G1268" s="13" t="s">
        <v>8068</v>
      </c>
      <c r="H1268" s="99" t="str">
        <f t="shared" ref="H1268:H1331" si="77">"W"&amp;DEC2HEX(512 + INT((ROW()-51)/16)) &amp; "." &amp; IF(MOD(ROW()-51,16)&lt;10,MOD(ROW()-51,16),CHAR(MOD(ROW()-51,16)+55))</f>
        <v>W24C.1</v>
      </c>
      <c r="I1268" s="13"/>
      <c r="J1268" s="13"/>
      <c r="K1268" s="13"/>
      <c r="L1268" s="48"/>
      <c r="M1268" s="49" t="str">
        <f t="shared" ref="M1268:M1295" si="78">"["&amp;H1268&amp;"]"</f>
        <v>[W24C.1]</v>
      </c>
      <c r="N1268" s="12" t="str">
        <f t="shared" ref="N1268:N1282" si="79">RIGHT(F1268,LEN(F1268)-7)</f>
        <v xml:space="preserve"> </v>
      </c>
      <c r="O1268" s="49" t="str">
        <f t="shared" ref="O1268:O1282" si="80">M1268&amp;N1268</f>
        <v xml:space="preserve">[W24C.1] </v>
      </c>
    </row>
    <row r="1269" spans="1:15" s="49" customFormat="1" ht="14.15" customHeight="1">
      <c r="A1269" s="43" t="s">
        <v>2203</v>
      </c>
      <c r="B1269" s="11"/>
      <c r="C1269" s="11" t="s">
        <v>18</v>
      </c>
      <c r="D1269" s="45" t="s">
        <v>16</v>
      </c>
      <c r="E1269" s="47"/>
      <c r="F1269" s="39" t="s">
        <v>2109</v>
      </c>
      <c r="G1269" s="13" t="s">
        <v>8069</v>
      </c>
      <c r="H1269" s="99" t="str">
        <f t="shared" si="77"/>
        <v>W24C.2</v>
      </c>
      <c r="I1269" s="13" t="s">
        <v>17</v>
      </c>
      <c r="J1269" s="13"/>
      <c r="K1269" s="13"/>
      <c r="L1269" s="48"/>
      <c r="M1269" s="49" t="str">
        <f t="shared" si="78"/>
        <v>[W24C.2]</v>
      </c>
      <c r="N1269" s="12" t="str">
        <f t="shared" si="79"/>
        <v xml:space="preserve"> 터브 이송 이재기#1-3 제품 데이터 불일치 이상 (X5AB)</v>
      </c>
      <c r="O1269" s="49" t="str">
        <f t="shared" si="80"/>
        <v>[W24C.2] 터브 이송 이재기#1-3 제품 데이터 불일치 이상 (X5AB)</v>
      </c>
    </row>
    <row r="1270" spans="1:15" s="49" customFormat="1" ht="14.15" customHeight="1">
      <c r="A1270" s="43" t="s">
        <v>2203</v>
      </c>
      <c r="B1270" s="11"/>
      <c r="C1270" s="11" t="s">
        <v>18</v>
      </c>
      <c r="D1270" s="45" t="s">
        <v>16</v>
      </c>
      <c r="E1270" s="47"/>
      <c r="F1270" s="39" t="s">
        <v>2110</v>
      </c>
      <c r="G1270" s="13" t="s">
        <v>8070</v>
      </c>
      <c r="H1270" s="99" t="str">
        <f t="shared" si="77"/>
        <v>W24C.3</v>
      </c>
      <c r="I1270" s="13" t="s">
        <v>17</v>
      </c>
      <c r="J1270" s="13"/>
      <c r="K1270" s="13"/>
      <c r="L1270" s="48"/>
      <c r="M1270" s="49" t="str">
        <f t="shared" si="78"/>
        <v>[W24C.3]</v>
      </c>
      <c r="N1270" s="12" t="str">
        <f t="shared" si="79"/>
        <v xml:space="preserve"> 브라켓 클린칭 지그 하부 폭 후진 시간 초과 (Y58A, X57A, X57C)</v>
      </c>
      <c r="O1270" s="49" t="str">
        <f t="shared" si="80"/>
        <v>[W24C.3] 브라켓 클린칭 지그 하부 폭 후진 시간 초과 (Y58A, X57A, X57C)</v>
      </c>
    </row>
    <row r="1271" spans="1:15" s="49" customFormat="1" ht="14.15" customHeight="1">
      <c r="A1271" s="43" t="s">
        <v>2203</v>
      </c>
      <c r="B1271" s="11"/>
      <c r="C1271" s="11" t="s">
        <v>18</v>
      </c>
      <c r="D1271" s="45" t="s">
        <v>16</v>
      </c>
      <c r="E1271" s="47"/>
      <c r="F1271" s="39" t="s">
        <v>2111</v>
      </c>
      <c r="G1271" s="13" t="s">
        <v>8071</v>
      </c>
      <c r="H1271" s="99" t="str">
        <f t="shared" si="77"/>
        <v>W24C.4</v>
      </c>
      <c r="I1271" s="13" t="s">
        <v>104</v>
      </c>
      <c r="J1271" s="13"/>
      <c r="K1271" s="13"/>
      <c r="L1271" s="48"/>
      <c r="M1271" s="49" t="str">
        <f t="shared" si="78"/>
        <v>[W24C.4]</v>
      </c>
      <c r="N1271" s="12" t="str">
        <f t="shared" si="79"/>
        <v xml:space="preserve"> 브라켓 클린칭 지그 하부 폭 전진 시간 초과 (Y58B, X57B, X57D)</v>
      </c>
      <c r="O1271" s="49" t="str">
        <f t="shared" si="80"/>
        <v>[W24C.4] 브라켓 클린칭 지그 하부 폭 전진 시간 초과 (Y58B, X57B, X57D)</v>
      </c>
    </row>
    <row r="1272" spans="1:15" s="49" customFormat="1" ht="14.15" customHeight="1">
      <c r="A1272" s="43" t="s">
        <v>2203</v>
      </c>
      <c r="B1272" s="11"/>
      <c r="C1272" s="11" t="s">
        <v>18</v>
      </c>
      <c r="D1272" s="45" t="s">
        <v>16</v>
      </c>
      <c r="E1272" s="47"/>
      <c r="F1272" s="39" t="s">
        <v>2112</v>
      </c>
      <c r="G1272" s="13" t="s">
        <v>8072</v>
      </c>
      <c r="H1272" s="99" t="str">
        <f t="shared" si="77"/>
        <v>W24C.5</v>
      </c>
      <c r="I1272" s="13" t="s">
        <v>17</v>
      </c>
      <c r="J1272" s="13"/>
      <c r="K1272" s="13"/>
      <c r="L1272" s="48"/>
      <c r="M1272" s="49" t="str">
        <f t="shared" si="78"/>
        <v>[W24C.5]</v>
      </c>
      <c r="N1272" s="12" t="str">
        <f t="shared" si="79"/>
        <v xml:space="preserve"> 브라켓 클린칭 지그 하부 폭 후진/전진 센서 이상 (X57A, X57C, X57B, X57D)</v>
      </c>
      <c r="O1272" s="49" t="str">
        <f t="shared" si="80"/>
        <v>[W24C.5] 브라켓 클린칭 지그 하부 폭 후진/전진 센서 이상 (X57A, X57C, X57B, X57D)</v>
      </c>
    </row>
    <row r="1273" spans="1:15" s="49" customFormat="1" ht="14.15" customHeight="1">
      <c r="A1273" s="43" t="s">
        <v>2203</v>
      </c>
      <c r="B1273" s="11"/>
      <c r="C1273" s="11" t="s">
        <v>18</v>
      </c>
      <c r="D1273" s="45" t="s">
        <v>16</v>
      </c>
      <c r="E1273" s="47"/>
      <c r="F1273" s="39" t="s">
        <v>2113</v>
      </c>
      <c r="G1273" s="13" t="s">
        <v>8073</v>
      </c>
      <c r="H1273" s="99" t="str">
        <f t="shared" si="77"/>
        <v>W24C.6</v>
      </c>
      <c r="I1273" s="13" t="s">
        <v>17</v>
      </c>
      <c r="J1273" s="13"/>
      <c r="K1273" s="13"/>
      <c r="L1273" s="48"/>
      <c r="M1273" s="49" t="str">
        <f t="shared" si="78"/>
        <v>[W24C.6]</v>
      </c>
      <c r="N1273" s="12" t="str">
        <f t="shared" si="79"/>
        <v xml:space="preserve"> 브라켓 클린칭 지그 상부 센터링 기준 후진 시간 초과 (Y5BC, X574, X578)</v>
      </c>
      <c r="O1273" s="49" t="str">
        <f t="shared" si="80"/>
        <v>[W24C.6] 브라켓 클린칭 지그 상부 센터링 기준 후진 시간 초과 (Y5BC, X574, X578)</v>
      </c>
    </row>
    <row r="1274" spans="1:15" s="49" customFormat="1" ht="14.15" customHeight="1">
      <c r="A1274" s="43" t="s">
        <v>2203</v>
      </c>
      <c r="B1274" s="11"/>
      <c r="C1274" s="11" t="s">
        <v>18</v>
      </c>
      <c r="D1274" s="45" t="s">
        <v>16</v>
      </c>
      <c r="E1274" s="47"/>
      <c r="F1274" s="39" t="s">
        <v>2114</v>
      </c>
      <c r="G1274" s="13" t="s">
        <v>8074</v>
      </c>
      <c r="H1274" s="99" t="str">
        <f t="shared" si="77"/>
        <v>W24C.7</v>
      </c>
      <c r="I1274" s="13" t="s">
        <v>17</v>
      </c>
      <c r="J1274" s="13"/>
      <c r="K1274" s="13"/>
      <c r="L1274" s="48"/>
      <c r="M1274" s="49" t="str">
        <f t="shared" si="78"/>
        <v>[W24C.7]</v>
      </c>
      <c r="N1274" s="12" t="str">
        <f t="shared" si="79"/>
        <v xml:space="preserve"> 브라켓 클린칭 지그 상부 센터링 기준 시간 초과 (Y58D, X575, X579)</v>
      </c>
      <c r="O1274" s="49" t="str">
        <f t="shared" si="80"/>
        <v>[W24C.7] 브라켓 클린칭 지그 상부 센터링 기준 시간 초과 (Y58D, X575, X579)</v>
      </c>
    </row>
    <row r="1275" spans="1:15" s="49" customFormat="1" ht="14.15" customHeight="1">
      <c r="A1275" s="43" t="s">
        <v>2203</v>
      </c>
      <c r="B1275" s="11"/>
      <c r="C1275" s="11" t="s">
        <v>18</v>
      </c>
      <c r="D1275" s="45" t="s">
        <v>16</v>
      </c>
      <c r="E1275" s="47"/>
      <c r="F1275" s="39" t="s">
        <v>2115</v>
      </c>
      <c r="G1275" s="13" t="s">
        <v>8075</v>
      </c>
      <c r="H1275" s="99" t="str">
        <f t="shared" si="77"/>
        <v>W24C.8</v>
      </c>
      <c r="I1275" s="13" t="s">
        <v>104</v>
      </c>
      <c r="J1275" s="13"/>
      <c r="K1275" s="13"/>
      <c r="L1275" s="48"/>
      <c r="M1275" s="49" t="str">
        <f t="shared" si="78"/>
        <v>[W24C.8]</v>
      </c>
      <c r="N1275" s="12" t="str">
        <f t="shared" si="79"/>
        <v xml:space="preserve"> 브라켓 클린칭 지그 상부 센터링 기준 후진/전진 시간 초과 (X574, X578, X575, X579)</v>
      </c>
      <c r="O1275" s="49" t="str">
        <f t="shared" si="80"/>
        <v>[W24C.8] 브라켓 클린칭 지그 상부 센터링 기준 후진/전진 시간 초과 (X574, X578, X575, X579)</v>
      </c>
    </row>
    <row r="1276" spans="1:15" s="49" customFormat="1" ht="14.15" customHeight="1">
      <c r="A1276" s="43" t="s">
        <v>2203</v>
      </c>
      <c r="B1276" s="11"/>
      <c r="C1276" s="11" t="s">
        <v>18</v>
      </c>
      <c r="D1276" s="45" t="s">
        <v>16</v>
      </c>
      <c r="E1276" s="47"/>
      <c r="F1276" s="39" t="s">
        <v>2116</v>
      </c>
      <c r="G1276" s="13" t="s">
        <v>8076</v>
      </c>
      <c r="H1276" s="99" t="str">
        <f t="shared" si="77"/>
        <v>W24C.9</v>
      </c>
      <c r="I1276" s="13" t="s">
        <v>17</v>
      </c>
      <c r="J1276" s="13"/>
      <c r="K1276" s="13"/>
      <c r="L1276" s="48"/>
      <c r="M1276" s="49" t="str">
        <f t="shared" si="78"/>
        <v>[W24C.9]</v>
      </c>
      <c r="N1276" s="12" t="str">
        <f t="shared" si="79"/>
        <v xml:space="preserve"> 브라켓 클린칭 지그 상부 센터링 푸셔 후진 시간 초과 (Y58E, X572, X576)</v>
      </c>
      <c r="O1276" s="49" t="str">
        <f t="shared" si="80"/>
        <v>[W24C.9] 브라켓 클린칭 지그 상부 센터링 푸셔 후진 시간 초과 (Y58E, X572, X576)</v>
      </c>
    </row>
    <row r="1277" spans="1:15" s="49" customFormat="1" ht="14.15" customHeight="1">
      <c r="A1277" s="43" t="s">
        <v>2203</v>
      </c>
      <c r="B1277" s="11"/>
      <c r="C1277" s="11" t="s">
        <v>18</v>
      </c>
      <c r="D1277" s="45" t="s">
        <v>16</v>
      </c>
      <c r="E1277" s="47"/>
      <c r="F1277" s="39" t="s">
        <v>2117</v>
      </c>
      <c r="G1277" s="13" t="s">
        <v>8077</v>
      </c>
      <c r="H1277" s="99" t="str">
        <f t="shared" si="77"/>
        <v>W24C.A</v>
      </c>
      <c r="I1277" s="13" t="s">
        <v>17</v>
      </c>
      <c r="J1277" s="13"/>
      <c r="K1277" s="13"/>
      <c r="L1277" s="48"/>
      <c r="M1277" s="49" t="str">
        <f t="shared" si="78"/>
        <v>[W24C.A]</v>
      </c>
      <c r="N1277" s="12" t="str">
        <f t="shared" si="79"/>
        <v xml:space="preserve"> 브라켓 클린칭 지그 상부 센터링 푸셔 시간 초과 (Y58F, X573, X577)</v>
      </c>
      <c r="O1277" s="49" t="str">
        <f t="shared" si="80"/>
        <v>[W24C.A] 브라켓 클린칭 지그 상부 센터링 푸셔 시간 초과 (Y58F, X573, X577)</v>
      </c>
    </row>
    <row r="1278" spans="1:15" s="49" customFormat="1" ht="14.15" customHeight="1">
      <c r="A1278" s="43" t="s">
        <v>2203</v>
      </c>
      <c r="B1278" s="11"/>
      <c r="C1278" s="11" t="s">
        <v>18</v>
      </c>
      <c r="D1278" s="45" t="s">
        <v>16</v>
      </c>
      <c r="E1278" s="47"/>
      <c r="F1278" s="39" t="s">
        <v>2118</v>
      </c>
      <c r="G1278" s="13" t="s">
        <v>8078</v>
      </c>
      <c r="H1278" s="99" t="str">
        <f t="shared" si="77"/>
        <v>W24C.B</v>
      </c>
      <c r="I1278" s="13" t="s">
        <v>104</v>
      </c>
      <c r="J1278" s="13"/>
      <c r="K1278" s="13"/>
      <c r="L1278" s="48"/>
      <c r="M1278" s="49" t="str">
        <f t="shared" si="78"/>
        <v>[W24C.B]</v>
      </c>
      <c r="N1278" s="12" t="str">
        <f t="shared" si="79"/>
        <v xml:space="preserve"> 브라켓 클린칭 지그 상부 센터링 푸셔 후진/전진 시간 초과 (X572, X576, X573, X577)</v>
      </c>
      <c r="O1278" s="49" t="str">
        <f t="shared" si="80"/>
        <v>[W24C.B] 브라켓 클린칭 지그 상부 센터링 푸셔 후진/전진 시간 초과 (X572, X576, X573, X577)</v>
      </c>
    </row>
    <row r="1279" spans="1:15" s="49" customFormat="1" ht="14.15" customHeight="1">
      <c r="A1279" s="44"/>
      <c r="B1279" s="11"/>
      <c r="C1279" s="11" t="s">
        <v>18</v>
      </c>
      <c r="D1279" s="45" t="s">
        <v>16</v>
      </c>
      <c r="E1279" s="47"/>
      <c r="F1279" s="39" t="s">
        <v>997</v>
      </c>
      <c r="G1279" s="13" t="s">
        <v>8079</v>
      </c>
      <c r="H1279" s="99" t="str">
        <f t="shared" si="77"/>
        <v>W24C.C</v>
      </c>
      <c r="I1279" s="13"/>
      <c r="J1279" s="13"/>
      <c r="K1279" s="13"/>
      <c r="L1279" s="48"/>
      <c r="M1279" s="49" t="str">
        <f t="shared" si="78"/>
        <v>[W24C.C]</v>
      </c>
      <c r="N1279" s="12" t="str">
        <f t="shared" si="79"/>
        <v xml:space="preserve"> </v>
      </c>
      <c r="O1279" s="49" t="str">
        <f t="shared" si="80"/>
        <v xml:space="preserve">[W24C.C] </v>
      </c>
    </row>
    <row r="1280" spans="1:15" s="49" customFormat="1" ht="14.15" customHeight="1">
      <c r="A1280" s="43" t="s">
        <v>2203</v>
      </c>
      <c r="B1280" s="11"/>
      <c r="C1280" s="11" t="s">
        <v>18</v>
      </c>
      <c r="D1280" s="45" t="s">
        <v>16</v>
      </c>
      <c r="E1280" s="47"/>
      <c r="F1280" s="39" t="s">
        <v>2119</v>
      </c>
      <c r="G1280" s="13" t="s">
        <v>8080</v>
      </c>
      <c r="H1280" s="99" t="str">
        <f t="shared" si="77"/>
        <v>W24C.D</v>
      </c>
      <c r="I1280" s="13" t="s">
        <v>17</v>
      </c>
      <c r="J1280" s="13"/>
      <c r="K1280" s="13"/>
      <c r="L1280" s="48"/>
      <c r="M1280" s="49" t="str">
        <f t="shared" si="78"/>
        <v>[W24C.D]</v>
      </c>
      <c r="N1280" s="12" t="str">
        <f t="shared" si="79"/>
        <v xml:space="preserve"> 브라켓 클린칭 지그 제품 수취 시간 초과</v>
      </c>
      <c r="O1280" s="49" t="str">
        <f t="shared" si="80"/>
        <v>[W24C.D] 브라켓 클린칭 지그 제품 수취 시간 초과</v>
      </c>
    </row>
    <row r="1281" spans="1:15" s="49" customFormat="1" ht="14.15" customHeight="1">
      <c r="A1281" s="43" t="s">
        <v>2203</v>
      </c>
      <c r="B1281" s="11"/>
      <c r="C1281" s="11" t="s">
        <v>18</v>
      </c>
      <c r="D1281" s="45" t="s">
        <v>16</v>
      </c>
      <c r="E1281" s="47"/>
      <c r="F1281" s="39" t="s">
        <v>2120</v>
      </c>
      <c r="G1281" s="13" t="s">
        <v>8081</v>
      </c>
      <c r="H1281" s="99" t="str">
        <f t="shared" si="77"/>
        <v>W24C.E</v>
      </c>
      <c r="I1281" s="13" t="s">
        <v>104</v>
      </c>
      <c r="J1281" s="13"/>
      <c r="K1281" s="13"/>
      <c r="L1281" s="48"/>
      <c r="M1281" s="49" t="str">
        <f t="shared" si="78"/>
        <v>[W24C.E]</v>
      </c>
      <c r="N1281" s="12" t="str">
        <f t="shared" si="79"/>
        <v xml:space="preserve"> 브라켓 클린칭 지그 제품 배출 시간 초과</v>
      </c>
      <c r="O1281" s="49" t="str">
        <f t="shared" si="80"/>
        <v>[W24C.E] 브라켓 클린칭 지그 제품 배출 시간 초과</v>
      </c>
    </row>
    <row r="1282" spans="1:15" s="49" customFormat="1" ht="14.15" customHeight="1">
      <c r="A1282" s="43" t="s">
        <v>2203</v>
      </c>
      <c r="B1282" s="11"/>
      <c r="C1282" s="11" t="s">
        <v>18</v>
      </c>
      <c r="D1282" s="45" t="s">
        <v>16</v>
      </c>
      <c r="E1282" s="47"/>
      <c r="F1282" s="39" t="s">
        <v>2121</v>
      </c>
      <c r="G1282" s="13" t="s">
        <v>8082</v>
      </c>
      <c r="H1282" s="99" t="str">
        <f t="shared" si="77"/>
        <v>W24C.F</v>
      </c>
      <c r="I1282" s="13" t="s">
        <v>17</v>
      </c>
      <c r="J1282" s="13"/>
      <c r="K1282" s="13"/>
      <c r="L1282" s="48"/>
      <c r="M1282" s="49" t="str">
        <f t="shared" si="78"/>
        <v>[W24C.F]</v>
      </c>
      <c r="N1282" s="12" t="str">
        <f t="shared" si="79"/>
        <v xml:space="preserve"> 브라켓 클린칭 지그 제품 수취 시퀀스 이상</v>
      </c>
      <c r="O1282" s="49" t="str">
        <f t="shared" si="80"/>
        <v>[W24C.F] 브라켓 클린칭 지그 제품 수취 시퀀스 이상</v>
      </c>
    </row>
    <row r="1283" spans="1:15" s="49" customFormat="1" ht="14.15" customHeight="1">
      <c r="A1283" s="43" t="s">
        <v>2203</v>
      </c>
      <c r="B1283" s="11"/>
      <c r="C1283" s="11" t="s">
        <v>124</v>
      </c>
      <c r="D1283" s="45" t="s">
        <v>123</v>
      </c>
      <c r="E1283" s="47"/>
      <c r="F1283" s="41" t="s">
        <v>2122</v>
      </c>
      <c r="G1283" s="13" t="s">
        <v>8083</v>
      </c>
      <c r="H1283" s="99" t="str">
        <f t="shared" si="77"/>
        <v>W24D.0</v>
      </c>
      <c r="I1283" s="13" t="s">
        <v>17</v>
      </c>
      <c r="J1283" s="13"/>
      <c r="K1283" s="56"/>
      <c r="L1283" s="48"/>
      <c r="M1283" s="49" t="str">
        <f t="shared" si="78"/>
        <v>[W24D.0]</v>
      </c>
      <c r="N1283" s="12" t="str">
        <f t="shared" ref="N1283:N1295" si="81">RIGHT(F1283,LEN(F1283)-6)</f>
        <v>] 브라켓 클린칭 지그 제품 공정 시퀀스 이상</v>
      </c>
      <c r="O1283" s="49" t="str">
        <f>M1283&amp;N1283</f>
        <v>[W24D.0]] 브라켓 클린칭 지그 제품 공정 시퀀스 이상</v>
      </c>
    </row>
    <row r="1284" spans="1:15" s="49" customFormat="1" ht="14.15" customHeight="1">
      <c r="A1284" s="43" t="s">
        <v>2203</v>
      </c>
      <c r="B1284" s="11"/>
      <c r="C1284" s="11" t="s">
        <v>107</v>
      </c>
      <c r="D1284" s="45" t="s">
        <v>16</v>
      </c>
      <c r="E1284" s="47"/>
      <c r="F1284" s="41" t="s">
        <v>2123</v>
      </c>
      <c r="G1284" s="13" t="s">
        <v>8084</v>
      </c>
      <c r="H1284" s="99" t="str">
        <f t="shared" si="77"/>
        <v>W24D.1</v>
      </c>
      <c r="I1284" s="13" t="s">
        <v>17</v>
      </c>
      <c r="J1284" s="13"/>
      <c r="K1284" s="56"/>
      <c r="L1284" s="48"/>
      <c r="M1284" s="49" t="str">
        <f t="shared" si="78"/>
        <v>[W24D.1]</v>
      </c>
      <c r="N1284" s="12" t="str">
        <f t="shared" si="81"/>
        <v>] 브라켓 클린칭 지그 제품 배출 시퀀스 이상</v>
      </c>
      <c r="O1284" s="49" t="str">
        <f t="shared" ref="O1284:O1347" si="82">M1284&amp;N1284</f>
        <v>[W24D.1]] 브라켓 클린칭 지그 제품 배출 시퀀스 이상</v>
      </c>
    </row>
    <row r="1285" spans="1:15" s="49" customFormat="1" ht="14.15" customHeight="1">
      <c r="A1285" s="55"/>
      <c r="B1285" s="11"/>
      <c r="C1285" s="11" t="s">
        <v>124</v>
      </c>
      <c r="D1285" s="45" t="s">
        <v>16</v>
      </c>
      <c r="E1285" s="47"/>
      <c r="F1285" s="41" t="s">
        <v>998</v>
      </c>
      <c r="G1285" s="13" t="s">
        <v>8085</v>
      </c>
      <c r="H1285" s="99" t="str">
        <f t="shared" si="77"/>
        <v>W24D.2</v>
      </c>
      <c r="I1285" s="13"/>
      <c r="J1285" s="13"/>
      <c r="K1285" s="56"/>
      <c r="L1285" s="48"/>
      <c r="M1285" s="49" t="str">
        <f t="shared" si="78"/>
        <v>[W24D.2]</v>
      </c>
      <c r="N1285" s="12" t="str">
        <f t="shared" si="81"/>
        <v xml:space="preserve">] </v>
      </c>
      <c r="O1285" s="49" t="str">
        <f t="shared" si="82"/>
        <v xml:space="preserve">[W24D.2]] </v>
      </c>
    </row>
    <row r="1286" spans="1:15" s="49" customFormat="1" ht="14.15" customHeight="1">
      <c r="A1286" s="55"/>
      <c r="B1286" s="11"/>
      <c r="C1286" s="11" t="s">
        <v>124</v>
      </c>
      <c r="D1286" s="45" t="s">
        <v>123</v>
      </c>
      <c r="E1286" s="47"/>
      <c r="F1286" s="41" t="s">
        <v>999</v>
      </c>
      <c r="G1286" s="13" t="s">
        <v>8086</v>
      </c>
      <c r="H1286" s="99" t="str">
        <f t="shared" si="77"/>
        <v>W24D.3</v>
      </c>
      <c r="I1286" s="13"/>
      <c r="J1286" s="13"/>
      <c r="K1286" s="56"/>
      <c r="L1286" s="48"/>
      <c r="M1286" s="49" t="str">
        <f t="shared" si="78"/>
        <v>[W24D.3]</v>
      </c>
      <c r="N1286" s="12" t="str">
        <f t="shared" si="81"/>
        <v xml:space="preserve">] </v>
      </c>
      <c r="O1286" s="49" t="str">
        <f t="shared" si="82"/>
        <v xml:space="preserve">[W24D.3]] </v>
      </c>
    </row>
    <row r="1287" spans="1:15" s="49" customFormat="1" ht="14.15" customHeight="1">
      <c r="A1287" s="55"/>
      <c r="B1287" s="11"/>
      <c r="C1287" s="11" t="s">
        <v>124</v>
      </c>
      <c r="D1287" s="45" t="s">
        <v>123</v>
      </c>
      <c r="E1287" s="47"/>
      <c r="F1287" s="41" t="s">
        <v>1000</v>
      </c>
      <c r="G1287" s="13" t="s">
        <v>8087</v>
      </c>
      <c r="H1287" s="99" t="str">
        <f t="shared" si="77"/>
        <v>W24D.4</v>
      </c>
      <c r="I1287" s="13"/>
      <c r="J1287" s="13"/>
      <c r="K1287" s="56"/>
      <c r="L1287" s="48"/>
      <c r="M1287" s="49" t="str">
        <f t="shared" si="78"/>
        <v>[W24D.4]</v>
      </c>
      <c r="N1287" s="12" t="str">
        <f t="shared" si="81"/>
        <v xml:space="preserve">] </v>
      </c>
      <c r="O1287" s="49" t="str">
        <f t="shared" si="82"/>
        <v xml:space="preserve">[W24D.4]] </v>
      </c>
    </row>
    <row r="1288" spans="1:15" s="49" customFormat="1" ht="14.15" customHeight="1">
      <c r="A1288" s="55"/>
      <c r="B1288" s="11"/>
      <c r="C1288" s="11" t="s">
        <v>124</v>
      </c>
      <c r="D1288" s="45" t="s">
        <v>123</v>
      </c>
      <c r="E1288" s="47"/>
      <c r="F1288" s="41" t="s">
        <v>1001</v>
      </c>
      <c r="G1288" s="13" t="s">
        <v>8088</v>
      </c>
      <c r="H1288" s="99" t="str">
        <f t="shared" si="77"/>
        <v>W24D.5</v>
      </c>
      <c r="I1288" s="13"/>
      <c r="J1288" s="13"/>
      <c r="K1288" s="56"/>
      <c r="L1288" s="48"/>
      <c r="M1288" s="49" t="str">
        <f t="shared" si="78"/>
        <v>[W24D.5]</v>
      </c>
      <c r="N1288" s="12" t="str">
        <f t="shared" si="81"/>
        <v xml:space="preserve">] </v>
      </c>
      <c r="O1288" s="49" t="str">
        <f t="shared" si="82"/>
        <v xml:space="preserve">[W24D.5]] </v>
      </c>
    </row>
    <row r="1289" spans="1:15" s="49" customFormat="1" ht="14.15" customHeight="1">
      <c r="A1289" s="43" t="s">
        <v>2203</v>
      </c>
      <c r="B1289" s="11"/>
      <c r="C1289" s="11" t="s">
        <v>124</v>
      </c>
      <c r="D1289" s="45" t="s">
        <v>123</v>
      </c>
      <c r="E1289" s="47"/>
      <c r="F1289" s="41" t="s">
        <v>2124</v>
      </c>
      <c r="G1289" s="13" t="s">
        <v>8089</v>
      </c>
      <c r="H1289" s="99" t="str">
        <f t="shared" si="77"/>
        <v>W24D.6</v>
      </c>
      <c r="I1289" s="13" t="s">
        <v>17</v>
      </c>
      <c r="J1289" s="13"/>
      <c r="K1289" s="56"/>
      <c r="L1289" s="48"/>
      <c r="M1289" s="49" t="str">
        <f t="shared" si="78"/>
        <v>[W24D.6]</v>
      </c>
      <c r="N1289" s="12" t="str">
        <f t="shared" si="81"/>
        <v>] 브라켓 클린칭 지그 제품 데이터 불일치 이상 (X56F)</v>
      </c>
      <c r="O1289" s="49" t="str">
        <f t="shared" si="82"/>
        <v>[W24D.6]] 브라켓 클린칭 지그 제품 데이터 불일치 이상 (X56F)</v>
      </c>
    </row>
    <row r="1290" spans="1:15" s="49" customFormat="1" ht="14.15" customHeight="1">
      <c r="A1290" s="55"/>
      <c r="B1290" s="11"/>
      <c r="C1290" s="11" t="s">
        <v>124</v>
      </c>
      <c r="D1290" s="45" t="s">
        <v>123</v>
      </c>
      <c r="E1290" s="47"/>
      <c r="F1290" s="41" t="s">
        <v>1002</v>
      </c>
      <c r="G1290" s="13" t="s">
        <v>8090</v>
      </c>
      <c r="H1290" s="99" t="str">
        <f t="shared" si="77"/>
        <v>W24D.7</v>
      </c>
      <c r="I1290" s="13"/>
      <c r="J1290" s="13"/>
      <c r="K1290" s="56"/>
      <c r="L1290" s="48"/>
      <c r="M1290" s="49" t="str">
        <f t="shared" si="78"/>
        <v>[W24D.7]</v>
      </c>
      <c r="N1290" s="12" t="str">
        <f t="shared" si="81"/>
        <v xml:space="preserve">] </v>
      </c>
      <c r="O1290" s="49" t="str">
        <f t="shared" si="82"/>
        <v xml:space="preserve">[W24D.7]] </v>
      </c>
    </row>
    <row r="1291" spans="1:15" s="49" customFormat="1" ht="14.15" customHeight="1">
      <c r="A1291" s="55"/>
      <c r="B1291" s="11"/>
      <c r="C1291" s="11" t="s">
        <v>107</v>
      </c>
      <c r="D1291" s="45" t="s">
        <v>123</v>
      </c>
      <c r="E1291" s="47"/>
      <c r="F1291" s="41" t="s">
        <v>1003</v>
      </c>
      <c r="G1291" s="13" t="s">
        <v>8091</v>
      </c>
      <c r="H1291" s="99" t="str">
        <f t="shared" si="77"/>
        <v>W24D.8</v>
      </c>
      <c r="I1291" s="13"/>
      <c r="J1291" s="13"/>
      <c r="K1291" s="56"/>
      <c r="L1291" s="48"/>
      <c r="M1291" s="49" t="str">
        <f t="shared" si="78"/>
        <v>[W24D.8]</v>
      </c>
      <c r="N1291" s="12" t="str">
        <f t="shared" si="81"/>
        <v xml:space="preserve">] </v>
      </c>
      <c r="O1291" s="49" t="str">
        <f t="shared" si="82"/>
        <v xml:space="preserve">[W24D.8]] </v>
      </c>
    </row>
    <row r="1292" spans="1:15" s="49" customFormat="1" ht="14.15" customHeight="1">
      <c r="A1292" s="55"/>
      <c r="B1292" s="11"/>
      <c r="C1292" s="11" t="s">
        <v>124</v>
      </c>
      <c r="D1292" s="45" t="s">
        <v>123</v>
      </c>
      <c r="E1292" s="47"/>
      <c r="F1292" s="41" t="s">
        <v>1004</v>
      </c>
      <c r="G1292" s="13" t="s">
        <v>8092</v>
      </c>
      <c r="H1292" s="99" t="str">
        <f t="shared" si="77"/>
        <v>W24D.9</v>
      </c>
      <c r="I1292" s="13"/>
      <c r="J1292" s="13"/>
      <c r="K1292" s="57"/>
      <c r="L1292" s="48"/>
      <c r="M1292" s="49" t="str">
        <f t="shared" si="78"/>
        <v>[W24D.9]</v>
      </c>
      <c r="N1292" s="12" t="str">
        <f t="shared" si="81"/>
        <v xml:space="preserve">] </v>
      </c>
      <c r="O1292" s="49" t="str">
        <f t="shared" si="82"/>
        <v xml:space="preserve">[W24D.9]] </v>
      </c>
    </row>
    <row r="1293" spans="1:15" s="49" customFormat="1" ht="14.15" customHeight="1">
      <c r="A1293" s="55"/>
      <c r="B1293" s="11"/>
      <c r="C1293" s="11" t="s">
        <v>124</v>
      </c>
      <c r="D1293" s="45" t="s">
        <v>123</v>
      </c>
      <c r="E1293" s="46"/>
      <c r="F1293" s="41" t="s">
        <v>1005</v>
      </c>
      <c r="G1293" s="13" t="s">
        <v>8093</v>
      </c>
      <c r="H1293" s="99" t="str">
        <f t="shared" si="77"/>
        <v>W24D.A</v>
      </c>
      <c r="I1293" s="13"/>
      <c r="J1293" s="13"/>
      <c r="K1293" s="57"/>
      <c r="L1293" s="48"/>
      <c r="M1293" s="49" t="str">
        <f t="shared" si="78"/>
        <v>[W24D.A]</v>
      </c>
      <c r="N1293" s="12" t="str">
        <f t="shared" si="81"/>
        <v xml:space="preserve">] </v>
      </c>
      <c r="O1293" s="49" t="str">
        <f t="shared" si="82"/>
        <v xml:space="preserve">[W24D.A]] </v>
      </c>
    </row>
    <row r="1294" spans="1:15" s="49" customFormat="1" ht="14.15" customHeight="1">
      <c r="A1294" s="55"/>
      <c r="B1294" s="11"/>
      <c r="C1294" s="11" t="s">
        <v>124</v>
      </c>
      <c r="D1294" s="45" t="s">
        <v>123</v>
      </c>
      <c r="E1294" s="47"/>
      <c r="F1294" s="41" t="s">
        <v>1006</v>
      </c>
      <c r="G1294" s="13" t="s">
        <v>8094</v>
      </c>
      <c r="H1294" s="99" t="str">
        <f t="shared" si="77"/>
        <v>W24D.B</v>
      </c>
      <c r="I1294" s="13"/>
      <c r="J1294" s="13"/>
      <c r="K1294" s="57"/>
      <c r="L1294" s="48"/>
      <c r="M1294" s="49" t="str">
        <f t="shared" si="78"/>
        <v>[W24D.B]</v>
      </c>
      <c r="N1294" s="12" t="str">
        <f t="shared" si="81"/>
        <v xml:space="preserve">] </v>
      </c>
      <c r="O1294" s="49" t="str">
        <f t="shared" si="82"/>
        <v xml:space="preserve">[W24D.B]] </v>
      </c>
    </row>
    <row r="1295" spans="1:15" s="49" customFormat="1" ht="14.15" customHeight="1">
      <c r="A1295" s="55"/>
      <c r="B1295" s="11"/>
      <c r="C1295" s="11" t="s">
        <v>124</v>
      </c>
      <c r="D1295" s="45" t="s">
        <v>123</v>
      </c>
      <c r="E1295" s="46"/>
      <c r="F1295" s="41" t="s">
        <v>1007</v>
      </c>
      <c r="G1295" s="13" t="s">
        <v>8095</v>
      </c>
      <c r="H1295" s="99" t="str">
        <f t="shared" si="77"/>
        <v>W24D.C</v>
      </c>
      <c r="I1295" s="13"/>
      <c r="J1295" s="13"/>
      <c r="K1295" s="57"/>
      <c r="L1295" s="48"/>
      <c r="M1295" s="49" t="str">
        <f t="shared" si="78"/>
        <v>[W24D.C]</v>
      </c>
      <c r="N1295" s="12" t="str">
        <f t="shared" si="81"/>
        <v xml:space="preserve">] </v>
      </c>
      <c r="O1295" s="49" t="str">
        <f t="shared" si="82"/>
        <v xml:space="preserve">[W24D.C]] </v>
      </c>
    </row>
    <row r="1296" spans="1:15" s="49" customFormat="1" ht="14.15" customHeight="1">
      <c r="A1296" s="55"/>
      <c r="B1296" s="11"/>
      <c r="C1296" s="11" t="s">
        <v>107</v>
      </c>
      <c r="D1296" s="45" t="s">
        <v>16</v>
      </c>
      <c r="E1296" s="47"/>
      <c r="F1296" s="41" t="s">
        <v>1008</v>
      </c>
      <c r="G1296" s="13" t="s">
        <v>8096</v>
      </c>
      <c r="H1296" s="99" t="str">
        <f t="shared" si="77"/>
        <v>W24D.D</v>
      </c>
      <c r="I1296" s="13"/>
      <c r="J1296" s="13"/>
      <c r="K1296" s="13"/>
      <c r="L1296" s="48"/>
      <c r="N1296" s="12"/>
    </row>
    <row r="1297" spans="1:15" s="49" customFormat="1" ht="14.15" customHeight="1">
      <c r="A1297" s="55"/>
      <c r="B1297" s="11"/>
      <c r="C1297" s="11" t="s">
        <v>107</v>
      </c>
      <c r="D1297" s="45" t="s">
        <v>123</v>
      </c>
      <c r="E1297" s="47"/>
      <c r="F1297" s="41" t="s">
        <v>1009</v>
      </c>
      <c r="G1297" s="13" t="s">
        <v>8097</v>
      </c>
      <c r="H1297" s="99" t="str">
        <f t="shared" si="77"/>
        <v>W24D.E</v>
      </c>
      <c r="I1297" s="13"/>
      <c r="J1297" s="13"/>
      <c r="K1297" s="13"/>
      <c r="L1297" s="48"/>
      <c r="N1297" s="12"/>
    </row>
    <row r="1298" spans="1:15" s="49" customFormat="1" ht="14.15" customHeight="1">
      <c r="A1298" s="55"/>
      <c r="B1298" s="11"/>
      <c r="C1298" s="11" t="s">
        <v>124</v>
      </c>
      <c r="D1298" s="45" t="s">
        <v>16</v>
      </c>
      <c r="E1298" s="47"/>
      <c r="F1298" s="41" t="s">
        <v>1010</v>
      </c>
      <c r="G1298" s="13" t="s">
        <v>8098</v>
      </c>
      <c r="H1298" s="99" t="str">
        <f t="shared" si="77"/>
        <v>W24D.F</v>
      </c>
      <c r="I1298" s="13"/>
      <c r="J1298" s="13"/>
      <c r="K1298" s="13"/>
      <c r="L1298" s="48"/>
      <c r="N1298" s="12"/>
    </row>
    <row r="1299" spans="1:15" s="49" customFormat="1" ht="14.15" customHeight="1">
      <c r="A1299" s="55"/>
      <c r="B1299" s="11"/>
      <c r="C1299" s="11" t="s">
        <v>107</v>
      </c>
      <c r="D1299" s="45" t="s">
        <v>127</v>
      </c>
      <c r="E1299" s="47"/>
      <c r="F1299" s="41" t="s">
        <v>1011</v>
      </c>
      <c r="G1299" s="13" t="s">
        <v>8099</v>
      </c>
      <c r="H1299" s="99" t="str">
        <f t="shared" si="77"/>
        <v>W24E.0</v>
      </c>
      <c r="I1299" s="13"/>
      <c r="J1299" s="13"/>
      <c r="K1299" s="13"/>
      <c r="L1299" s="48"/>
      <c r="N1299" s="12"/>
    </row>
    <row r="1300" spans="1:15" s="49" customFormat="1" ht="14.15" customHeight="1">
      <c r="A1300" s="55"/>
      <c r="B1300" s="11"/>
      <c r="C1300" s="11" t="s">
        <v>107</v>
      </c>
      <c r="D1300" s="45" t="s">
        <v>16</v>
      </c>
      <c r="E1300" s="47"/>
      <c r="F1300" s="41" t="s">
        <v>1012</v>
      </c>
      <c r="G1300" s="13" t="s">
        <v>8100</v>
      </c>
      <c r="H1300" s="99" t="str">
        <f t="shared" si="77"/>
        <v>W24E.1</v>
      </c>
      <c r="I1300" s="13"/>
      <c r="J1300" s="13"/>
      <c r="K1300" s="13"/>
      <c r="L1300" s="48"/>
      <c r="N1300" s="12"/>
    </row>
    <row r="1301" spans="1:15" s="49" customFormat="1" ht="14.15" customHeight="1">
      <c r="A1301" s="55"/>
      <c r="B1301" s="11"/>
      <c r="C1301" s="11" t="s">
        <v>107</v>
      </c>
      <c r="D1301" s="45" t="s">
        <v>16</v>
      </c>
      <c r="E1301" s="47"/>
      <c r="F1301" s="41" t="s">
        <v>1013</v>
      </c>
      <c r="G1301" s="13" t="s">
        <v>8101</v>
      </c>
      <c r="H1301" s="99" t="str">
        <f t="shared" si="77"/>
        <v>W24E.2</v>
      </c>
      <c r="I1301" s="13"/>
      <c r="J1301" s="13"/>
      <c r="K1301" s="13"/>
      <c r="L1301" s="48"/>
      <c r="N1301" s="12"/>
    </row>
    <row r="1302" spans="1:15" s="49" customFormat="1" ht="14.15" customHeight="1">
      <c r="A1302" s="55"/>
      <c r="B1302" s="11"/>
      <c r="C1302" s="11" t="s">
        <v>124</v>
      </c>
      <c r="D1302" s="45" t="s">
        <v>128</v>
      </c>
      <c r="E1302" s="47"/>
      <c r="F1302" s="41" t="s">
        <v>1014</v>
      </c>
      <c r="G1302" s="13" t="s">
        <v>8102</v>
      </c>
      <c r="H1302" s="99" t="str">
        <f t="shared" si="77"/>
        <v>W24E.3</v>
      </c>
      <c r="I1302" s="13"/>
      <c r="J1302" s="13"/>
      <c r="K1302" s="13"/>
      <c r="L1302" s="48"/>
      <c r="N1302" s="12"/>
    </row>
    <row r="1303" spans="1:15" s="49" customFormat="1" ht="14.15" customHeight="1">
      <c r="A1303" s="55"/>
      <c r="B1303" s="11"/>
      <c r="C1303" s="11" t="s">
        <v>124</v>
      </c>
      <c r="D1303" s="45" t="s">
        <v>16</v>
      </c>
      <c r="E1303" s="47"/>
      <c r="F1303" s="41" t="s">
        <v>1015</v>
      </c>
      <c r="G1303" s="13" t="s">
        <v>8103</v>
      </c>
      <c r="H1303" s="99" t="str">
        <f t="shared" si="77"/>
        <v>W24E.4</v>
      </c>
      <c r="I1303" s="13"/>
      <c r="J1303" s="13"/>
      <c r="K1303" s="13"/>
      <c r="L1303" s="48"/>
      <c r="N1303" s="12"/>
    </row>
    <row r="1304" spans="1:15" s="49" customFormat="1" ht="14.15" customHeight="1">
      <c r="A1304" s="55"/>
      <c r="B1304" s="11"/>
      <c r="C1304" s="11" t="s">
        <v>107</v>
      </c>
      <c r="D1304" s="45" t="s">
        <v>16</v>
      </c>
      <c r="E1304" s="47"/>
      <c r="F1304" s="41" t="s">
        <v>1016</v>
      </c>
      <c r="G1304" s="13" t="s">
        <v>8104</v>
      </c>
      <c r="H1304" s="99" t="str">
        <f t="shared" si="77"/>
        <v>W24E.5</v>
      </c>
      <c r="I1304" s="13"/>
      <c r="J1304" s="13"/>
      <c r="K1304" s="13"/>
      <c r="L1304" s="48"/>
      <c r="N1304" s="12"/>
    </row>
    <row r="1305" spans="1:15" s="49" customFormat="1" ht="14.15" customHeight="1">
      <c r="A1305" s="55"/>
      <c r="B1305" s="11"/>
      <c r="C1305" s="11" t="s">
        <v>129</v>
      </c>
      <c r="D1305" s="45" t="s">
        <v>123</v>
      </c>
      <c r="E1305" s="47"/>
      <c r="F1305" s="41" t="s">
        <v>1017</v>
      </c>
      <c r="G1305" s="13" t="s">
        <v>8105</v>
      </c>
      <c r="H1305" s="99" t="str">
        <f t="shared" si="77"/>
        <v>W24E.6</v>
      </c>
      <c r="I1305" s="13"/>
      <c r="J1305" s="13"/>
      <c r="K1305" s="57"/>
      <c r="L1305" s="48"/>
      <c r="M1305" s="49" t="str">
        <f>"["&amp;H1305&amp;"]"</f>
        <v>[W24E.6]</v>
      </c>
      <c r="N1305" s="12" t="str">
        <f>RIGHT(F1305,LEN(F1305)-6)</f>
        <v xml:space="preserve">] </v>
      </c>
      <c r="O1305" s="49" t="str">
        <f t="shared" si="82"/>
        <v xml:space="preserve">[W24E.6]] </v>
      </c>
    </row>
    <row r="1306" spans="1:15" s="49" customFormat="1" ht="14.15" customHeight="1">
      <c r="A1306" s="55"/>
      <c r="B1306" s="11"/>
      <c r="C1306" s="11" t="s">
        <v>126</v>
      </c>
      <c r="D1306" s="45" t="s">
        <v>123</v>
      </c>
      <c r="E1306" s="46"/>
      <c r="F1306" s="41" t="s">
        <v>1018</v>
      </c>
      <c r="G1306" s="13" t="s">
        <v>8106</v>
      </c>
      <c r="H1306" s="99" t="str">
        <f t="shared" si="77"/>
        <v>W24E.7</v>
      </c>
      <c r="I1306" s="13"/>
      <c r="J1306" s="13"/>
      <c r="K1306" s="57"/>
      <c r="L1306" s="48"/>
      <c r="M1306" s="49" t="str">
        <f>"["&amp;H1306&amp;"]"</f>
        <v>[W24E.7]</v>
      </c>
      <c r="N1306" s="12" t="str">
        <f>RIGHT(F1306,LEN(F1306)-6)</f>
        <v xml:space="preserve">] </v>
      </c>
      <c r="O1306" s="49" t="str">
        <f t="shared" si="82"/>
        <v xml:space="preserve">[W24E.7]] </v>
      </c>
    </row>
    <row r="1307" spans="1:15" s="49" customFormat="1" ht="14.15" customHeight="1">
      <c r="A1307" s="55"/>
      <c r="B1307" s="11"/>
      <c r="C1307" s="11" t="s">
        <v>107</v>
      </c>
      <c r="D1307" s="45" t="s">
        <v>130</v>
      </c>
      <c r="E1307" s="47"/>
      <c r="F1307" s="41" t="s">
        <v>1019</v>
      </c>
      <c r="G1307" s="13" t="s">
        <v>8107</v>
      </c>
      <c r="H1307" s="99" t="str">
        <f t="shared" si="77"/>
        <v>W24E.8</v>
      </c>
      <c r="I1307" s="13"/>
      <c r="J1307" s="13"/>
      <c r="K1307" s="57"/>
      <c r="L1307" s="48"/>
      <c r="M1307" s="49" t="str">
        <f>"["&amp;H1307&amp;"]"</f>
        <v>[W24E.8]</v>
      </c>
      <c r="N1307" s="12" t="str">
        <f>RIGHT(F1307,LEN(F1307)-6)</f>
        <v xml:space="preserve">] </v>
      </c>
      <c r="O1307" s="49" t="str">
        <f t="shared" si="82"/>
        <v xml:space="preserve">[W24E.8]] </v>
      </c>
    </row>
    <row r="1308" spans="1:15" s="49" customFormat="1" ht="14.15" customHeight="1">
      <c r="A1308" s="55"/>
      <c r="B1308" s="11"/>
      <c r="C1308" s="11" t="s">
        <v>131</v>
      </c>
      <c r="D1308" s="45" t="s">
        <v>16</v>
      </c>
      <c r="E1308" s="46"/>
      <c r="F1308" s="41" t="s">
        <v>1020</v>
      </c>
      <c r="G1308" s="13" t="s">
        <v>8108</v>
      </c>
      <c r="H1308" s="99" t="str">
        <f t="shared" si="77"/>
        <v>W24E.9</v>
      </c>
      <c r="I1308" s="13"/>
      <c r="J1308" s="13"/>
      <c r="K1308" s="57"/>
      <c r="L1308" s="48"/>
      <c r="M1308" s="49" t="str">
        <f>"["&amp;H1308&amp;"]"</f>
        <v>[W24E.9]</v>
      </c>
      <c r="N1308" s="12" t="str">
        <f>RIGHT(F1308,LEN(F1308)-6)</f>
        <v xml:space="preserve">] </v>
      </c>
      <c r="O1308" s="49" t="str">
        <f t="shared" si="82"/>
        <v xml:space="preserve">[W24E.9]] </v>
      </c>
    </row>
    <row r="1309" spans="1:15" s="49" customFormat="1" ht="14.15" customHeight="1">
      <c r="A1309" s="55"/>
      <c r="B1309" s="11"/>
      <c r="C1309" s="11" t="s">
        <v>132</v>
      </c>
      <c r="D1309" s="45" t="s">
        <v>16</v>
      </c>
      <c r="E1309" s="47"/>
      <c r="F1309" s="41" t="s">
        <v>1021</v>
      </c>
      <c r="G1309" s="13" t="s">
        <v>8109</v>
      </c>
      <c r="H1309" s="99" t="str">
        <f t="shared" si="77"/>
        <v>W24E.A</v>
      </c>
      <c r="I1309" s="13"/>
      <c r="J1309" s="13"/>
      <c r="K1309" s="13"/>
      <c r="L1309" s="48"/>
      <c r="N1309" s="12"/>
    </row>
    <row r="1310" spans="1:15" s="49" customFormat="1" ht="14.15" customHeight="1">
      <c r="A1310" s="43" t="s">
        <v>2149</v>
      </c>
      <c r="B1310" s="11"/>
      <c r="C1310" s="11" t="s">
        <v>133</v>
      </c>
      <c r="D1310" s="45" t="s">
        <v>125</v>
      </c>
      <c r="E1310" s="47"/>
      <c r="F1310" s="41" t="s">
        <v>2125</v>
      </c>
      <c r="G1310" s="13" t="s">
        <v>8110</v>
      </c>
      <c r="H1310" s="99" t="str">
        <f t="shared" si="77"/>
        <v>W24E.B</v>
      </c>
      <c r="I1310" s="13" t="s">
        <v>17</v>
      </c>
      <c r="J1310" s="13"/>
      <c r="K1310" s="13"/>
      <c r="L1310" s="48"/>
      <c r="N1310" s="12"/>
    </row>
    <row r="1311" spans="1:15" s="49" customFormat="1" ht="14.15" customHeight="1">
      <c r="A1311" s="43" t="s">
        <v>2149</v>
      </c>
      <c r="B1311" s="11"/>
      <c r="C1311" s="11" t="s">
        <v>124</v>
      </c>
      <c r="D1311" s="45" t="s">
        <v>16</v>
      </c>
      <c r="E1311" s="47"/>
      <c r="F1311" s="41" t="s">
        <v>2126</v>
      </c>
      <c r="G1311" s="13" t="s">
        <v>8111</v>
      </c>
      <c r="H1311" s="99" t="str">
        <f t="shared" si="77"/>
        <v>W24E.C</v>
      </c>
      <c r="I1311" s="13" t="s">
        <v>17</v>
      </c>
      <c r="J1311" s="13"/>
      <c r="K1311" s="13"/>
      <c r="L1311" s="48"/>
      <c r="N1311" s="12"/>
    </row>
    <row r="1312" spans="1:15" s="49" customFormat="1" ht="14.15" customHeight="1">
      <c r="A1312" s="43" t="s">
        <v>2149</v>
      </c>
      <c r="B1312" s="11"/>
      <c r="C1312" s="11" t="s">
        <v>133</v>
      </c>
      <c r="D1312" s="45" t="s">
        <v>134</v>
      </c>
      <c r="E1312" s="47"/>
      <c r="F1312" s="41" t="s">
        <v>2127</v>
      </c>
      <c r="G1312" s="13" t="s">
        <v>8112</v>
      </c>
      <c r="H1312" s="99" t="str">
        <f t="shared" si="77"/>
        <v>W24E.D</v>
      </c>
      <c r="I1312" s="13" t="s">
        <v>17</v>
      </c>
      <c r="J1312" s="13"/>
      <c r="K1312" s="13"/>
      <c r="L1312" s="48"/>
      <c r="N1312" s="12"/>
    </row>
    <row r="1313" spans="1:15" s="49" customFormat="1" ht="14.15" customHeight="1">
      <c r="A1313" s="43" t="s">
        <v>2149</v>
      </c>
      <c r="B1313" s="11"/>
      <c r="C1313" s="11" t="s">
        <v>124</v>
      </c>
      <c r="D1313" s="45" t="s">
        <v>16</v>
      </c>
      <c r="E1313" s="47"/>
      <c r="F1313" s="41" t="s">
        <v>2128</v>
      </c>
      <c r="G1313" s="13" t="s">
        <v>8113</v>
      </c>
      <c r="H1313" s="99" t="str">
        <f t="shared" si="77"/>
        <v>W24E.E</v>
      </c>
      <c r="I1313" s="13" t="s">
        <v>17</v>
      </c>
      <c r="J1313" s="13"/>
      <c r="K1313" s="13"/>
      <c r="L1313" s="48"/>
      <c r="N1313" s="12"/>
    </row>
    <row r="1314" spans="1:15" s="49" customFormat="1" ht="14.15" customHeight="1">
      <c r="A1314" s="43" t="s">
        <v>2149</v>
      </c>
      <c r="B1314" s="11"/>
      <c r="C1314" s="11" t="s">
        <v>124</v>
      </c>
      <c r="D1314" s="45" t="s">
        <v>123</v>
      </c>
      <c r="E1314" s="47"/>
      <c r="F1314" s="41" t="s">
        <v>2129</v>
      </c>
      <c r="G1314" s="13" t="s">
        <v>8114</v>
      </c>
      <c r="H1314" s="99" t="str">
        <f t="shared" si="77"/>
        <v>W24E.F</v>
      </c>
      <c r="I1314" s="13" t="s">
        <v>17</v>
      </c>
      <c r="J1314" s="13"/>
      <c r="K1314" s="13"/>
      <c r="L1314" s="48"/>
      <c r="N1314" s="12"/>
    </row>
    <row r="1315" spans="1:15" s="49" customFormat="1" ht="14.15" customHeight="1">
      <c r="A1315" s="43" t="s">
        <v>2149</v>
      </c>
      <c r="B1315" s="11"/>
      <c r="C1315" s="11" t="s">
        <v>107</v>
      </c>
      <c r="D1315" s="45" t="s">
        <v>123</v>
      </c>
      <c r="E1315" s="47"/>
      <c r="F1315" s="41" t="s">
        <v>2130</v>
      </c>
      <c r="G1315" s="13" t="s">
        <v>8115</v>
      </c>
      <c r="H1315" s="99" t="str">
        <f t="shared" si="77"/>
        <v>W24F.0</v>
      </c>
      <c r="I1315" s="13" t="s">
        <v>17</v>
      </c>
      <c r="J1315" s="13"/>
      <c r="K1315" s="13"/>
      <c r="L1315" s="48"/>
      <c r="N1315" s="12"/>
    </row>
    <row r="1316" spans="1:15" s="49" customFormat="1" ht="14.15" customHeight="1">
      <c r="A1316" s="43" t="s">
        <v>2149</v>
      </c>
      <c r="B1316" s="11"/>
      <c r="C1316" s="11" t="s">
        <v>124</v>
      </c>
      <c r="D1316" s="45" t="s">
        <v>123</v>
      </c>
      <c r="E1316" s="47"/>
      <c r="F1316" s="41" t="s">
        <v>2131</v>
      </c>
      <c r="G1316" s="13" t="s">
        <v>8116</v>
      </c>
      <c r="H1316" s="99" t="str">
        <f t="shared" si="77"/>
        <v>W24F.1</v>
      </c>
      <c r="I1316" s="13" t="s">
        <v>17</v>
      </c>
      <c r="J1316" s="13"/>
      <c r="K1316" s="13"/>
      <c r="L1316" s="48"/>
      <c r="N1316" s="12"/>
    </row>
    <row r="1317" spans="1:15" s="49" customFormat="1" ht="14.15" customHeight="1">
      <c r="A1317" s="43" t="s">
        <v>2149</v>
      </c>
      <c r="B1317" s="11"/>
      <c r="C1317" s="11" t="s">
        <v>107</v>
      </c>
      <c r="D1317" s="45" t="s">
        <v>123</v>
      </c>
      <c r="E1317" s="47"/>
      <c r="F1317" s="41" t="s">
        <v>2132</v>
      </c>
      <c r="G1317" s="13" t="s">
        <v>8117</v>
      </c>
      <c r="H1317" s="99" t="str">
        <f t="shared" si="77"/>
        <v>W24F.2</v>
      </c>
      <c r="I1317" s="13" t="s">
        <v>17</v>
      </c>
      <c r="J1317" s="13"/>
      <c r="K1317" s="13"/>
      <c r="L1317" s="48"/>
      <c r="N1317" s="12"/>
    </row>
    <row r="1318" spans="1:15" s="49" customFormat="1" ht="14.15" customHeight="1">
      <c r="A1318" s="43" t="s">
        <v>2149</v>
      </c>
      <c r="B1318" s="11"/>
      <c r="C1318" s="11" t="s">
        <v>107</v>
      </c>
      <c r="D1318" s="45" t="s">
        <v>123</v>
      </c>
      <c r="E1318" s="47"/>
      <c r="F1318" s="41" t="s">
        <v>2133</v>
      </c>
      <c r="G1318" s="13" t="s">
        <v>8118</v>
      </c>
      <c r="H1318" s="99" t="str">
        <f t="shared" si="77"/>
        <v>W24F.3</v>
      </c>
      <c r="I1318" s="13" t="s">
        <v>17</v>
      </c>
      <c r="J1318" s="13"/>
      <c r="K1318" s="57"/>
      <c r="L1318" s="48"/>
      <c r="M1318" s="49" t="str">
        <f t="shared" ref="M1318:M1347" si="83">"["&amp;H1318&amp;"]"</f>
        <v>[W24F.3]</v>
      </c>
      <c r="N1318" s="12" t="str">
        <f t="shared" ref="N1318:N1347" si="84">RIGHT(F1318,LEN(F1318)-6)</f>
        <v>] Slat_CV 상부#5 히터 차단기 TRIP Alarm</v>
      </c>
      <c r="O1318" s="49" t="str">
        <f t="shared" si="82"/>
        <v>[W24F.3]] Slat_CV 상부#5 히터 차단기 TRIP Alarm</v>
      </c>
    </row>
    <row r="1319" spans="1:15" s="49" customFormat="1" ht="14.15" customHeight="1">
      <c r="A1319" s="43" t="s">
        <v>2149</v>
      </c>
      <c r="B1319" s="11"/>
      <c r="C1319" s="11" t="s">
        <v>107</v>
      </c>
      <c r="D1319" s="45" t="s">
        <v>16</v>
      </c>
      <c r="E1319" s="46"/>
      <c r="F1319" s="41" t="s">
        <v>2134</v>
      </c>
      <c r="G1319" s="13" t="s">
        <v>8119</v>
      </c>
      <c r="H1319" s="99" t="str">
        <f t="shared" si="77"/>
        <v>W24F.4</v>
      </c>
      <c r="I1319" s="13" t="s">
        <v>17</v>
      </c>
      <c r="J1319" s="13"/>
      <c r="K1319" s="57"/>
      <c r="L1319" s="48"/>
      <c r="M1319" s="49" t="str">
        <f t="shared" si="83"/>
        <v>[W24F.4]</v>
      </c>
      <c r="N1319" s="12" t="str">
        <f t="shared" si="84"/>
        <v>] Slat_CV 하부#5 히터 차단기 TRIP Alarm</v>
      </c>
      <c r="O1319" s="49" t="str">
        <f t="shared" si="82"/>
        <v>[W24F.4]] Slat_CV 하부#5 히터 차단기 TRIP Alarm</v>
      </c>
    </row>
    <row r="1320" spans="1:15" s="49" customFormat="1" ht="14.15" customHeight="1">
      <c r="A1320" s="43" t="s">
        <v>2149</v>
      </c>
      <c r="B1320" s="11"/>
      <c r="C1320" s="11" t="s">
        <v>124</v>
      </c>
      <c r="D1320" s="45" t="s">
        <v>16</v>
      </c>
      <c r="E1320" s="47"/>
      <c r="F1320" s="41" t="s">
        <v>2135</v>
      </c>
      <c r="G1320" s="13" t="s">
        <v>8120</v>
      </c>
      <c r="H1320" s="99" t="str">
        <f t="shared" si="77"/>
        <v>W24F.5</v>
      </c>
      <c r="I1320" s="13" t="s">
        <v>17</v>
      </c>
      <c r="J1320" s="13"/>
      <c r="K1320" s="57"/>
      <c r="L1320" s="48"/>
      <c r="M1320" s="49" t="str">
        <f t="shared" si="83"/>
        <v>[W24F.5]</v>
      </c>
      <c r="N1320" s="12" t="str">
        <f t="shared" si="84"/>
        <v>] Slat_CV 상부#6 히터 차단기 TRIP Alarm</v>
      </c>
      <c r="O1320" s="49" t="str">
        <f t="shared" si="82"/>
        <v>[W24F.5]] Slat_CV 상부#6 히터 차단기 TRIP Alarm</v>
      </c>
    </row>
    <row r="1321" spans="1:15" s="49" customFormat="1" ht="14.15" customHeight="1">
      <c r="A1321" s="43" t="s">
        <v>2149</v>
      </c>
      <c r="B1321" s="11"/>
      <c r="C1321" s="11" t="s">
        <v>124</v>
      </c>
      <c r="D1321" s="45" t="s">
        <v>123</v>
      </c>
      <c r="E1321" s="46"/>
      <c r="F1321" s="41" t="s">
        <v>2136</v>
      </c>
      <c r="G1321" s="13" t="s">
        <v>8121</v>
      </c>
      <c r="H1321" s="99" t="str">
        <f t="shared" si="77"/>
        <v>W24F.6</v>
      </c>
      <c r="I1321" s="13" t="s">
        <v>17</v>
      </c>
      <c r="J1321" s="13"/>
      <c r="K1321" s="57"/>
      <c r="L1321" s="48"/>
      <c r="M1321" s="49" t="str">
        <f t="shared" si="83"/>
        <v>[W24F.6]</v>
      </c>
      <c r="N1321" s="12" t="str">
        <f t="shared" si="84"/>
        <v>] Slat_CV 하부#6 히터 차단기 TRIP Alarm</v>
      </c>
      <c r="O1321" s="49" t="str">
        <f t="shared" si="82"/>
        <v>[W24F.6]] Slat_CV 하부#6 히터 차단기 TRIP Alarm</v>
      </c>
    </row>
    <row r="1322" spans="1:15" s="49" customFormat="1" ht="14.15" customHeight="1">
      <c r="A1322" s="43" t="s">
        <v>2149</v>
      </c>
      <c r="B1322" s="11"/>
      <c r="C1322" s="11" t="s">
        <v>107</v>
      </c>
      <c r="D1322" s="45" t="s">
        <v>16</v>
      </c>
      <c r="E1322" s="47"/>
      <c r="F1322" s="41" t="s">
        <v>2137</v>
      </c>
      <c r="G1322" s="13" t="s">
        <v>8122</v>
      </c>
      <c r="H1322" s="99" t="str">
        <f t="shared" si="77"/>
        <v>W24F.7</v>
      </c>
      <c r="I1322" s="13" t="s">
        <v>17</v>
      </c>
      <c r="J1322" s="13"/>
      <c r="K1322" s="56"/>
      <c r="L1322" s="48"/>
      <c r="M1322" s="49" t="str">
        <f t="shared" si="83"/>
        <v>[W24F.7]</v>
      </c>
      <c r="N1322" s="12" t="str">
        <f t="shared" si="84"/>
        <v>] Slat_CV 히터 메인 차단기 OFF Alarm</v>
      </c>
      <c r="O1322" s="49" t="str">
        <f t="shared" si="82"/>
        <v>[W24F.7]] Slat_CV 히터 메인 차단기 OFF Alarm</v>
      </c>
    </row>
    <row r="1323" spans="1:15" s="49" customFormat="1" ht="14.15" customHeight="1">
      <c r="A1323" s="55"/>
      <c r="B1323" s="11"/>
      <c r="C1323" s="11" t="s">
        <v>107</v>
      </c>
      <c r="D1323" s="45" t="s">
        <v>130</v>
      </c>
      <c r="E1323" s="47"/>
      <c r="F1323" s="41" t="s">
        <v>1022</v>
      </c>
      <c r="G1323" s="13" t="s">
        <v>8123</v>
      </c>
      <c r="H1323" s="99" t="str">
        <f t="shared" si="77"/>
        <v>W24F.8</v>
      </c>
      <c r="I1323" s="13"/>
      <c r="J1323" s="13"/>
      <c r="K1323" s="56"/>
      <c r="L1323" s="48"/>
      <c r="M1323" s="49" t="str">
        <f t="shared" si="83"/>
        <v>[W24F.8]</v>
      </c>
      <c r="N1323" s="12" t="str">
        <f t="shared" si="84"/>
        <v xml:space="preserve">] </v>
      </c>
      <c r="O1323" s="49" t="str">
        <f t="shared" si="82"/>
        <v xml:space="preserve">[W24F.8]] </v>
      </c>
    </row>
    <row r="1324" spans="1:15" s="49" customFormat="1" ht="14.15" customHeight="1">
      <c r="A1324" s="55"/>
      <c r="B1324" s="11"/>
      <c r="C1324" s="11" t="s">
        <v>107</v>
      </c>
      <c r="D1324" s="45" t="s">
        <v>123</v>
      </c>
      <c r="E1324" s="47"/>
      <c r="F1324" s="41" t="s">
        <v>1023</v>
      </c>
      <c r="G1324" s="13" t="s">
        <v>8124</v>
      </c>
      <c r="H1324" s="99" t="str">
        <f t="shared" si="77"/>
        <v>W24F.9</v>
      </c>
      <c r="I1324" s="13"/>
      <c r="J1324" s="13"/>
      <c r="K1324" s="56"/>
      <c r="L1324" s="48"/>
      <c r="M1324" s="49" t="str">
        <f t="shared" si="83"/>
        <v>[W24F.9]</v>
      </c>
      <c r="N1324" s="12" t="str">
        <f t="shared" si="84"/>
        <v xml:space="preserve">] </v>
      </c>
      <c r="O1324" s="49" t="str">
        <f t="shared" si="82"/>
        <v xml:space="preserve">[W24F.9]] </v>
      </c>
    </row>
    <row r="1325" spans="1:15" s="49" customFormat="1" ht="14.15" customHeight="1">
      <c r="A1325" s="55"/>
      <c r="B1325" s="11"/>
      <c r="C1325" s="11" t="s">
        <v>124</v>
      </c>
      <c r="D1325" s="45" t="s">
        <v>125</v>
      </c>
      <c r="E1325" s="47"/>
      <c r="F1325" s="41" t="s">
        <v>1024</v>
      </c>
      <c r="G1325" s="13" t="s">
        <v>8125</v>
      </c>
      <c r="H1325" s="99" t="str">
        <f t="shared" si="77"/>
        <v>W24F.A</v>
      </c>
      <c r="I1325" s="13"/>
      <c r="J1325" s="13"/>
      <c r="K1325" s="56"/>
      <c r="L1325" s="48"/>
      <c r="M1325" s="49" t="str">
        <f t="shared" si="83"/>
        <v>[W24F.A]</v>
      </c>
      <c r="N1325" s="12" t="str">
        <f t="shared" si="84"/>
        <v xml:space="preserve">] </v>
      </c>
      <c r="O1325" s="49" t="str">
        <f t="shared" si="82"/>
        <v xml:space="preserve">[W24F.A]] </v>
      </c>
    </row>
    <row r="1326" spans="1:15" s="49" customFormat="1" ht="14.15" customHeight="1">
      <c r="A1326" s="55"/>
      <c r="B1326" s="11"/>
      <c r="C1326" s="11" t="s">
        <v>124</v>
      </c>
      <c r="D1326" s="45" t="s">
        <v>16</v>
      </c>
      <c r="E1326" s="47"/>
      <c r="F1326" s="41" t="s">
        <v>1025</v>
      </c>
      <c r="G1326" s="13" t="s">
        <v>8126</v>
      </c>
      <c r="H1326" s="99" t="str">
        <f t="shared" si="77"/>
        <v>W24F.B</v>
      </c>
      <c r="I1326" s="13"/>
      <c r="J1326" s="13"/>
      <c r="K1326" s="56"/>
      <c r="L1326" s="48"/>
      <c r="M1326" s="49" t="str">
        <f t="shared" si="83"/>
        <v>[W24F.B]</v>
      </c>
      <c r="N1326" s="12" t="str">
        <f t="shared" si="84"/>
        <v xml:space="preserve">] </v>
      </c>
      <c r="O1326" s="49" t="str">
        <f t="shared" si="82"/>
        <v xml:space="preserve">[W24F.B]] </v>
      </c>
    </row>
    <row r="1327" spans="1:15" s="49" customFormat="1" ht="14.15" customHeight="1">
      <c r="A1327" s="55"/>
      <c r="B1327" s="11"/>
      <c r="C1327" s="11" t="s">
        <v>107</v>
      </c>
      <c r="D1327" s="45" t="s">
        <v>123</v>
      </c>
      <c r="E1327" s="47"/>
      <c r="F1327" s="41" t="s">
        <v>1026</v>
      </c>
      <c r="G1327" s="13" t="s">
        <v>8127</v>
      </c>
      <c r="H1327" s="99" t="str">
        <f t="shared" si="77"/>
        <v>W24F.C</v>
      </c>
      <c r="I1327" s="13"/>
      <c r="J1327" s="13"/>
      <c r="K1327" s="56"/>
      <c r="L1327" s="48"/>
      <c r="M1327" s="49" t="str">
        <f t="shared" si="83"/>
        <v>[W24F.C]</v>
      </c>
      <c r="N1327" s="12" t="str">
        <f t="shared" si="84"/>
        <v xml:space="preserve">] </v>
      </c>
      <c r="O1327" s="49" t="str">
        <f t="shared" si="82"/>
        <v xml:space="preserve">[W24F.C]] </v>
      </c>
    </row>
    <row r="1328" spans="1:15" s="49" customFormat="1" ht="14.15" customHeight="1">
      <c r="A1328" s="55"/>
      <c r="B1328" s="11"/>
      <c r="C1328" s="11" t="s">
        <v>124</v>
      </c>
      <c r="D1328" s="45" t="s">
        <v>125</v>
      </c>
      <c r="E1328" s="47"/>
      <c r="F1328" s="41" t="s">
        <v>1027</v>
      </c>
      <c r="G1328" s="13" t="s">
        <v>8128</v>
      </c>
      <c r="H1328" s="99" t="str">
        <f t="shared" si="77"/>
        <v>W24F.D</v>
      </c>
      <c r="I1328" s="13"/>
      <c r="J1328" s="13"/>
      <c r="K1328" s="56"/>
      <c r="L1328" s="48"/>
      <c r="M1328" s="49" t="str">
        <f t="shared" si="83"/>
        <v>[W24F.D]</v>
      </c>
      <c r="N1328" s="12" t="str">
        <f t="shared" si="84"/>
        <v xml:space="preserve">] </v>
      </c>
      <c r="O1328" s="49" t="str">
        <f t="shared" si="82"/>
        <v xml:space="preserve">[W24F.D]] </v>
      </c>
    </row>
    <row r="1329" spans="1:15" s="49" customFormat="1" ht="14.15" customHeight="1">
      <c r="A1329" s="55"/>
      <c r="B1329" s="11"/>
      <c r="C1329" s="11" t="s">
        <v>124</v>
      </c>
      <c r="D1329" s="45" t="s">
        <v>16</v>
      </c>
      <c r="E1329" s="47"/>
      <c r="F1329" s="41" t="s">
        <v>1028</v>
      </c>
      <c r="G1329" s="13" t="s">
        <v>8129</v>
      </c>
      <c r="H1329" s="99" t="str">
        <f t="shared" si="77"/>
        <v>W24F.E</v>
      </c>
      <c r="I1329" s="13"/>
      <c r="J1329" s="13"/>
      <c r="K1329" s="56"/>
      <c r="L1329" s="48"/>
      <c r="M1329" s="49" t="str">
        <f t="shared" si="83"/>
        <v>[W24F.E]</v>
      </c>
      <c r="N1329" s="12" t="str">
        <f t="shared" si="84"/>
        <v xml:space="preserve">] </v>
      </c>
      <c r="O1329" s="49" t="str">
        <f t="shared" si="82"/>
        <v xml:space="preserve">[W24F.E]] </v>
      </c>
    </row>
    <row r="1330" spans="1:15" s="49" customFormat="1" ht="14.15" customHeight="1">
      <c r="A1330" s="55"/>
      <c r="B1330" s="11"/>
      <c r="C1330" s="11" t="s">
        <v>135</v>
      </c>
      <c r="D1330" s="45" t="s">
        <v>16</v>
      </c>
      <c r="E1330" s="47"/>
      <c r="F1330" s="41" t="s">
        <v>1029</v>
      </c>
      <c r="G1330" s="13" t="s">
        <v>8130</v>
      </c>
      <c r="H1330" s="99" t="str">
        <f t="shared" si="77"/>
        <v>W24F.F</v>
      </c>
      <c r="I1330" s="13"/>
      <c r="J1330" s="13"/>
      <c r="K1330" s="56"/>
      <c r="L1330" s="48"/>
      <c r="M1330" s="49" t="str">
        <f t="shared" si="83"/>
        <v>[W24F.F]</v>
      </c>
      <c r="N1330" s="12" t="str">
        <f t="shared" si="84"/>
        <v xml:space="preserve">] </v>
      </c>
      <c r="O1330" s="49" t="str">
        <f t="shared" si="82"/>
        <v xml:space="preserve">[W24F.F]] </v>
      </c>
    </row>
    <row r="1331" spans="1:15" s="49" customFormat="1" ht="14.15" customHeight="1">
      <c r="A1331" s="55"/>
      <c r="B1331" s="11"/>
      <c r="C1331" s="11" t="s">
        <v>124</v>
      </c>
      <c r="D1331" s="45" t="s">
        <v>136</v>
      </c>
      <c r="E1331" s="47"/>
      <c r="F1331" s="41" t="s">
        <v>1030</v>
      </c>
      <c r="G1331" s="13" t="s">
        <v>8131</v>
      </c>
      <c r="H1331" s="99" t="str">
        <f t="shared" si="77"/>
        <v>W250.0</v>
      </c>
      <c r="I1331" s="13"/>
      <c r="J1331" s="13"/>
      <c r="K1331" s="57"/>
      <c r="L1331" s="48"/>
      <c r="M1331" s="49" t="str">
        <f t="shared" si="83"/>
        <v>[W250.0]</v>
      </c>
      <c r="N1331" s="12" t="str">
        <f t="shared" si="84"/>
        <v xml:space="preserve">] </v>
      </c>
      <c r="O1331" s="49" t="str">
        <f t="shared" si="82"/>
        <v xml:space="preserve">[W250.0]] </v>
      </c>
    </row>
    <row r="1332" spans="1:15" s="49" customFormat="1" ht="14.15" customHeight="1">
      <c r="A1332" s="55"/>
      <c r="B1332" s="11"/>
      <c r="C1332" s="11" t="s">
        <v>124</v>
      </c>
      <c r="D1332" s="45" t="s">
        <v>16</v>
      </c>
      <c r="E1332" s="46"/>
      <c r="F1332" s="41" t="s">
        <v>1031</v>
      </c>
      <c r="G1332" s="13" t="s">
        <v>8132</v>
      </c>
      <c r="H1332" s="99" t="str">
        <f t="shared" ref="H1332:H1395" si="85">"W"&amp;DEC2HEX(512 + INT((ROW()-51)/16)) &amp; "." &amp; IF(MOD(ROW()-51,16)&lt;10,MOD(ROW()-51,16),CHAR(MOD(ROW()-51,16)+55))</f>
        <v>W250.1</v>
      </c>
      <c r="I1332" s="13"/>
      <c r="J1332" s="13"/>
      <c r="K1332" s="57"/>
      <c r="L1332" s="48"/>
      <c r="M1332" s="49" t="str">
        <f t="shared" si="83"/>
        <v>[W250.1]</v>
      </c>
      <c r="N1332" s="12" t="str">
        <f t="shared" si="84"/>
        <v xml:space="preserve">] </v>
      </c>
      <c r="O1332" s="49" t="str">
        <f t="shared" si="82"/>
        <v xml:space="preserve">[W250.1]] </v>
      </c>
    </row>
    <row r="1333" spans="1:15" s="49" customFormat="1" ht="14.15" customHeight="1">
      <c r="A1333" s="55"/>
      <c r="B1333" s="11"/>
      <c r="C1333" s="11" t="s">
        <v>135</v>
      </c>
      <c r="D1333" s="45" t="s">
        <v>16</v>
      </c>
      <c r="E1333" s="47"/>
      <c r="F1333" s="41" t="s">
        <v>1032</v>
      </c>
      <c r="G1333" s="13" t="s">
        <v>8133</v>
      </c>
      <c r="H1333" s="99" t="str">
        <f t="shared" si="85"/>
        <v>W250.2</v>
      </c>
      <c r="I1333" s="13"/>
      <c r="J1333" s="13"/>
      <c r="K1333" s="57"/>
      <c r="L1333" s="48"/>
      <c r="M1333" s="49" t="str">
        <f t="shared" si="83"/>
        <v>[W250.2]</v>
      </c>
      <c r="N1333" s="12" t="str">
        <f t="shared" si="84"/>
        <v xml:space="preserve">] </v>
      </c>
      <c r="O1333" s="49" t="str">
        <f t="shared" si="82"/>
        <v xml:space="preserve">[W250.2]] </v>
      </c>
    </row>
    <row r="1334" spans="1:15" s="49" customFormat="1" ht="14.15" customHeight="1">
      <c r="A1334" s="55"/>
      <c r="B1334" s="11"/>
      <c r="C1334" s="11" t="s">
        <v>107</v>
      </c>
      <c r="D1334" s="45" t="s">
        <v>123</v>
      </c>
      <c r="E1334" s="46"/>
      <c r="F1334" s="41" t="s">
        <v>1033</v>
      </c>
      <c r="G1334" s="13" t="s">
        <v>8134</v>
      </c>
      <c r="H1334" s="99" t="str">
        <f t="shared" si="85"/>
        <v>W250.3</v>
      </c>
      <c r="I1334" s="13"/>
      <c r="J1334" s="13"/>
      <c r="K1334" s="57"/>
      <c r="L1334" s="48"/>
      <c r="M1334" s="49" t="str">
        <f t="shared" si="83"/>
        <v>[W250.3]</v>
      </c>
      <c r="N1334" s="12" t="str">
        <f t="shared" si="84"/>
        <v xml:space="preserve">] </v>
      </c>
      <c r="O1334" s="49" t="str">
        <f t="shared" si="82"/>
        <v xml:space="preserve">[W250.3]] </v>
      </c>
    </row>
    <row r="1335" spans="1:15" s="49" customFormat="1" ht="14.15" customHeight="1">
      <c r="A1335" s="55"/>
      <c r="B1335" s="11"/>
      <c r="C1335" s="11" t="s">
        <v>107</v>
      </c>
      <c r="D1335" s="45" t="s">
        <v>123</v>
      </c>
      <c r="E1335" s="47"/>
      <c r="F1335" s="41" t="s">
        <v>1034</v>
      </c>
      <c r="G1335" s="13" t="s">
        <v>8135</v>
      </c>
      <c r="H1335" s="99" t="str">
        <f t="shared" si="85"/>
        <v>W250.4</v>
      </c>
      <c r="I1335" s="13"/>
      <c r="J1335" s="13"/>
      <c r="K1335" s="56"/>
      <c r="L1335" s="48"/>
      <c r="M1335" s="49" t="str">
        <f t="shared" si="83"/>
        <v>[W250.4]</v>
      </c>
      <c r="N1335" s="12" t="str">
        <f t="shared" si="84"/>
        <v xml:space="preserve">] </v>
      </c>
      <c r="O1335" s="49" t="str">
        <f t="shared" si="82"/>
        <v xml:space="preserve">[W250.4]] </v>
      </c>
    </row>
    <row r="1336" spans="1:15" s="49" customFormat="1" ht="14.15" customHeight="1">
      <c r="A1336" s="55"/>
      <c r="B1336" s="11"/>
      <c r="C1336" s="11" t="s">
        <v>124</v>
      </c>
      <c r="D1336" s="45" t="s">
        <v>16</v>
      </c>
      <c r="E1336" s="47"/>
      <c r="F1336" s="41" t="s">
        <v>1035</v>
      </c>
      <c r="G1336" s="13" t="s">
        <v>8136</v>
      </c>
      <c r="H1336" s="99" t="str">
        <f t="shared" si="85"/>
        <v>W250.5</v>
      </c>
      <c r="I1336" s="13"/>
      <c r="J1336" s="13"/>
      <c r="K1336" s="56"/>
      <c r="L1336" s="48"/>
      <c r="M1336" s="49" t="str">
        <f t="shared" si="83"/>
        <v>[W250.5]</v>
      </c>
      <c r="N1336" s="12" t="str">
        <f t="shared" si="84"/>
        <v xml:space="preserve">] </v>
      </c>
      <c r="O1336" s="49" t="str">
        <f t="shared" si="82"/>
        <v xml:space="preserve">[W250.5]] </v>
      </c>
    </row>
    <row r="1337" spans="1:15" s="49" customFormat="1" ht="14.15" customHeight="1">
      <c r="A1337" s="55"/>
      <c r="B1337" s="11"/>
      <c r="C1337" s="11" t="s">
        <v>107</v>
      </c>
      <c r="D1337" s="45" t="s">
        <v>123</v>
      </c>
      <c r="E1337" s="47"/>
      <c r="F1337" s="41" t="s">
        <v>1036</v>
      </c>
      <c r="G1337" s="13" t="s">
        <v>8137</v>
      </c>
      <c r="H1337" s="99" t="str">
        <f t="shared" si="85"/>
        <v>W250.6</v>
      </c>
      <c r="I1337" s="13"/>
      <c r="J1337" s="13"/>
      <c r="K1337" s="56"/>
      <c r="L1337" s="48"/>
      <c r="M1337" s="49" t="str">
        <f t="shared" si="83"/>
        <v>[W250.6]</v>
      </c>
      <c r="N1337" s="12" t="str">
        <f t="shared" si="84"/>
        <v xml:space="preserve">] </v>
      </c>
      <c r="O1337" s="49" t="str">
        <f t="shared" si="82"/>
        <v xml:space="preserve">[W250.6]] </v>
      </c>
    </row>
    <row r="1338" spans="1:15" s="49" customFormat="1" ht="14.15" customHeight="1">
      <c r="A1338" s="55"/>
      <c r="B1338" s="11"/>
      <c r="C1338" s="11" t="s">
        <v>124</v>
      </c>
      <c r="D1338" s="45" t="s">
        <v>16</v>
      </c>
      <c r="E1338" s="47"/>
      <c r="F1338" s="41" t="s">
        <v>1037</v>
      </c>
      <c r="G1338" s="13" t="s">
        <v>8138</v>
      </c>
      <c r="H1338" s="99" t="str">
        <f t="shared" si="85"/>
        <v>W250.7</v>
      </c>
      <c r="I1338" s="13"/>
      <c r="J1338" s="13"/>
      <c r="K1338" s="56"/>
      <c r="L1338" s="48"/>
      <c r="M1338" s="49" t="str">
        <f t="shared" si="83"/>
        <v>[W250.7]</v>
      </c>
      <c r="N1338" s="12" t="str">
        <f t="shared" si="84"/>
        <v xml:space="preserve">] </v>
      </c>
      <c r="O1338" s="49" t="str">
        <f t="shared" si="82"/>
        <v xml:space="preserve">[W250.7]] </v>
      </c>
    </row>
    <row r="1339" spans="1:15" s="49" customFormat="1" ht="14.15" customHeight="1">
      <c r="A1339" s="55"/>
      <c r="B1339" s="11"/>
      <c r="C1339" s="11" t="s">
        <v>132</v>
      </c>
      <c r="D1339" s="45" t="s">
        <v>123</v>
      </c>
      <c r="E1339" s="47"/>
      <c r="F1339" s="41" t="s">
        <v>1038</v>
      </c>
      <c r="G1339" s="13" t="s">
        <v>8139</v>
      </c>
      <c r="H1339" s="99" t="str">
        <f t="shared" si="85"/>
        <v>W250.8</v>
      </c>
      <c r="I1339" s="13"/>
      <c r="J1339" s="13"/>
      <c r="K1339" s="56"/>
      <c r="L1339" s="48"/>
      <c r="M1339" s="49" t="str">
        <f t="shared" si="83"/>
        <v>[W250.8]</v>
      </c>
      <c r="N1339" s="12" t="str">
        <f t="shared" si="84"/>
        <v xml:space="preserve">] </v>
      </c>
      <c r="O1339" s="49" t="str">
        <f t="shared" si="82"/>
        <v xml:space="preserve">[W250.8]] </v>
      </c>
    </row>
    <row r="1340" spans="1:15" s="49" customFormat="1" ht="14.15" customHeight="1">
      <c r="A1340" s="55"/>
      <c r="B1340" s="11"/>
      <c r="C1340" s="11" t="s">
        <v>126</v>
      </c>
      <c r="D1340" s="45" t="s">
        <v>123</v>
      </c>
      <c r="E1340" s="47"/>
      <c r="F1340" s="41" t="s">
        <v>1039</v>
      </c>
      <c r="G1340" s="13" t="s">
        <v>8140</v>
      </c>
      <c r="H1340" s="99" t="str">
        <f t="shared" si="85"/>
        <v>W250.9</v>
      </c>
      <c r="I1340" s="13"/>
      <c r="J1340" s="13"/>
      <c r="K1340" s="56"/>
      <c r="L1340" s="48"/>
      <c r="M1340" s="49" t="str">
        <f t="shared" si="83"/>
        <v>[W250.9]</v>
      </c>
      <c r="N1340" s="12" t="str">
        <f t="shared" si="84"/>
        <v xml:space="preserve">] </v>
      </c>
      <c r="O1340" s="49" t="str">
        <f t="shared" si="82"/>
        <v xml:space="preserve">[W250.9]] </v>
      </c>
    </row>
    <row r="1341" spans="1:15" s="49" customFormat="1" ht="14.15" customHeight="1">
      <c r="A1341" s="55"/>
      <c r="B1341" s="11"/>
      <c r="C1341" s="11" t="s">
        <v>124</v>
      </c>
      <c r="D1341" s="45" t="s">
        <v>130</v>
      </c>
      <c r="E1341" s="47"/>
      <c r="F1341" s="41" t="s">
        <v>1040</v>
      </c>
      <c r="G1341" s="13" t="s">
        <v>8141</v>
      </c>
      <c r="H1341" s="99" t="str">
        <f t="shared" si="85"/>
        <v>W250.A</v>
      </c>
      <c r="I1341" s="13"/>
      <c r="J1341" s="13"/>
      <c r="K1341" s="56"/>
      <c r="L1341" s="48"/>
      <c r="M1341" s="49" t="str">
        <f t="shared" si="83"/>
        <v>[W250.A]</v>
      </c>
      <c r="N1341" s="12" t="str">
        <f t="shared" si="84"/>
        <v xml:space="preserve">] </v>
      </c>
      <c r="O1341" s="49" t="str">
        <f t="shared" si="82"/>
        <v xml:space="preserve">[W250.A]] </v>
      </c>
    </row>
    <row r="1342" spans="1:15" s="49" customFormat="1" ht="14.15" customHeight="1">
      <c r="A1342" s="55"/>
      <c r="B1342" s="11"/>
      <c r="C1342" s="11" t="s">
        <v>124</v>
      </c>
      <c r="D1342" s="45" t="s">
        <v>123</v>
      </c>
      <c r="E1342" s="47"/>
      <c r="F1342" s="41" t="s">
        <v>1041</v>
      </c>
      <c r="G1342" s="13" t="s">
        <v>8142</v>
      </c>
      <c r="H1342" s="99" t="str">
        <f t="shared" si="85"/>
        <v>W250.B</v>
      </c>
      <c r="I1342" s="13"/>
      <c r="J1342" s="13"/>
      <c r="K1342" s="56"/>
      <c r="L1342" s="48"/>
      <c r="M1342" s="49" t="str">
        <f t="shared" si="83"/>
        <v>[W250.B]</v>
      </c>
      <c r="N1342" s="12" t="str">
        <f t="shared" si="84"/>
        <v xml:space="preserve">] </v>
      </c>
      <c r="O1342" s="49" t="str">
        <f t="shared" si="82"/>
        <v xml:space="preserve">[W250.B]] </v>
      </c>
    </row>
    <row r="1343" spans="1:15" s="49" customFormat="1" ht="14.15" customHeight="1">
      <c r="A1343" s="55"/>
      <c r="B1343" s="11"/>
      <c r="C1343" s="11" t="s">
        <v>124</v>
      </c>
      <c r="D1343" s="45" t="s">
        <v>123</v>
      </c>
      <c r="E1343" s="47"/>
      <c r="F1343" s="41" t="s">
        <v>1042</v>
      </c>
      <c r="G1343" s="13" t="s">
        <v>8143</v>
      </c>
      <c r="H1343" s="99" t="str">
        <f t="shared" si="85"/>
        <v>W250.C</v>
      </c>
      <c r="I1343" s="13"/>
      <c r="J1343" s="13"/>
      <c r="K1343" s="56"/>
      <c r="L1343" s="48"/>
      <c r="M1343" s="49" t="str">
        <f t="shared" si="83"/>
        <v>[W250.C]</v>
      </c>
      <c r="N1343" s="12" t="str">
        <f t="shared" si="84"/>
        <v xml:space="preserve">] </v>
      </c>
      <c r="O1343" s="49" t="str">
        <f t="shared" si="82"/>
        <v xml:space="preserve">[W250.C]] </v>
      </c>
    </row>
    <row r="1344" spans="1:15" s="49" customFormat="1" ht="14.15" customHeight="1">
      <c r="A1344" s="55"/>
      <c r="B1344" s="11"/>
      <c r="C1344" s="11" t="s">
        <v>124</v>
      </c>
      <c r="D1344" s="45" t="s">
        <v>123</v>
      </c>
      <c r="E1344" s="47"/>
      <c r="F1344" s="41" t="s">
        <v>1043</v>
      </c>
      <c r="G1344" s="13" t="s">
        <v>8144</v>
      </c>
      <c r="H1344" s="99" t="str">
        <f t="shared" si="85"/>
        <v>W250.D</v>
      </c>
      <c r="I1344" s="13"/>
      <c r="J1344" s="13"/>
      <c r="K1344" s="57"/>
      <c r="L1344" s="48"/>
      <c r="M1344" s="49" t="str">
        <f t="shared" si="83"/>
        <v>[W250.D]</v>
      </c>
      <c r="N1344" s="12" t="str">
        <f t="shared" si="84"/>
        <v xml:space="preserve">] </v>
      </c>
      <c r="O1344" s="49" t="str">
        <f t="shared" si="82"/>
        <v xml:space="preserve">[W250.D]] </v>
      </c>
    </row>
    <row r="1345" spans="1:15" s="49" customFormat="1" ht="14.15" customHeight="1">
      <c r="A1345" s="55"/>
      <c r="B1345" s="11"/>
      <c r="C1345" s="11" t="s">
        <v>124</v>
      </c>
      <c r="D1345" s="45" t="s">
        <v>123</v>
      </c>
      <c r="E1345" s="46"/>
      <c r="F1345" s="41" t="s">
        <v>1044</v>
      </c>
      <c r="G1345" s="13" t="s">
        <v>8145</v>
      </c>
      <c r="H1345" s="99" t="str">
        <f t="shared" si="85"/>
        <v>W250.E</v>
      </c>
      <c r="I1345" s="13"/>
      <c r="J1345" s="13"/>
      <c r="K1345" s="57"/>
      <c r="L1345" s="48"/>
      <c r="M1345" s="49" t="str">
        <f t="shared" si="83"/>
        <v>[W250.E]</v>
      </c>
      <c r="N1345" s="12" t="str">
        <f t="shared" si="84"/>
        <v xml:space="preserve">] </v>
      </c>
      <c r="O1345" s="49" t="str">
        <f t="shared" si="82"/>
        <v xml:space="preserve">[W250.E]] </v>
      </c>
    </row>
    <row r="1346" spans="1:15" s="49" customFormat="1" ht="14.15" customHeight="1">
      <c r="A1346" s="55"/>
      <c r="B1346" s="11"/>
      <c r="C1346" s="11" t="s">
        <v>124</v>
      </c>
      <c r="D1346" s="45" t="s">
        <v>123</v>
      </c>
      <c r="E1346" s="47"/>
      <c r="F1346" s="41" t="s">
        <v>1045</v>
      </c>
      <c r="G1346" s="13" t="s">
        <v>8146</v>
      </c>
      <c r="H1346" s="99" t="str">
        <f t="shared" si="85"/>
        <v>W250.F</v>
      </c>
      <c r="I1346" s="13"/>
      <c r="J1346" s="13"/>
      <c r="K1346" s="57"/>
      <c r="L1346" s="48"/>
      <c r="M1346" s="49" t="str">
        <f t="shared" si="83"/>
        <v>[W250.F]</v>
      </c>
      <c r="N1346" s="12" t="str">
        <f t="shared" si="84"/>
        <v xml:space="preserve">] </v>
      </c>
      <c r="O1346" s="49" t="str">
        <f t="shared" si="82"/>
        <v xml:space="preserve">[W250.F]] </v>
      </c>
    </row>
    <row r="1347" spans="1:15" s="49" customFormat="1" ht="14.15" customHeight="1">
      <c r="A1347" s="55"/>
      <c r="B1347" s="11"/>
      <c r="C1347" s="11" t="s">
        <v>124</v>
      </c>
      <c r="D1347" s="45" t="s">
        <v>123</v>
      </c>
      <c r="E1347" s="46"/>
      <c r="F1347" s="41" t="s">
        <v>1046</v>
      </c>
      <c r="G1347" s="13" t="s">
        <v>8147</v>
      </c>
      <c r="H1347" s="99" t="str">
        <f t="shared" si="85"/>
        <v>W251.0</v>
      </c>
      <c r="I1347" s="13"/>
      <c r="J1347" s="13"/>
      <c r="K1347" s="57"/>
      <c r="L1347" s="48"/>
      <c r="M1347" s="49" t="str">
        <f t="shared" si="83"/>
        <v>[W251.0]</v>
      </c>
      <c r="N1347" s="12" t="str">
        <f t="shared" si="84"/>
        <v xml:space="preserve">] </v>
      </c>
      <c r="O1347" s="49" t="str">
        <f t="shared" si="82"/>
        <v xml:space="preserve">[W251.0]] </v>
      </c>
    </row>
    <row r="1348" spans="1:15" s="49" customFormat="1" ht="14.15" customHeight="1">
      <c r="A1348" s="55"/>
      <c r="B1348" s="11"/>
      <c r="C1348" s="11" t="s">
        <v>124</v>
      </c>
      <c r="D1348" s="45" t="s">
        <v>123</v>
      </c>
      <c r="E1348" s="47"/>
      <c r="F1348" s="41" t="s">
        <v>1047</v>
      </c>
      <c r="G1348" s="13" t="s">
        <v>8148</v>
      </c>
      <c r="H1348" s="99" t="str">
        <f t="shared" si="85"/>
        <v>W251.1</v>
      </c>
      <c r="I1348" s="13"/>
      <c r="J1348" s="13"/>
      <c r="K1348" s="13"/>
      <c r="L1348" s="48"/>
      <c r="N1348" s="12"/>
    </row>
    <row r="1349" spans="1:15" s="49" customFormat="1" ht="14.15" customHeight="1">
      <c r="A1349" s="55"/>
      <c r="B1349" s="11"/>
      <c r="C1349" s="11" t="s">
        <v>124</v>
      </c>
      <c r="D1349" s="45" t="s">
        <v>123</v>
      </c>
      <c r="E1349" s="47"/>
      <c r="F1349" s="41" t="s">
        <v>1048</v>
      </c>
      <c r="G1349" s="13" t="s">
        <v>8149</v>
      </c>
      <c r="H1349" s="99" t="str">
        <f t="shared" si="85"/>
        <v>W251.2</v>
      </c>
      <c r="I1349" s="13"/>
      <c r="J1349" s="13"/>
      <c r="K1349" s="13"/>
      <c r="L1349" s="48"/>
      <c r="N1349" s="12"/>
    </row>
    <row r="1350" spans="1:15" s="49" customFormat="1" ht="14.15" customHeight="1">
      <c r="A1350" s="55"/>
      <c r="B1350" s="11"/>
      <c r="C1350" s="11" t="s">
        <v>124</v>
      </c>
      <c r="D1350" s="45" t="s">
        <v>125</v>
      </c>
      <c r="E1350" s="47"/>
      <c r="F1350" s="41" t="s">
        <v>1049</v>
      </c>
      <c r="G1350" s="13" t="s">
        <v>8150</v>
      </c>
      <c r="H1350" s="99" t="str">
        <f t="shared" si="85"/>
        <v>W251.3</v>
      </c>
      <c r="I1350" s="13"/>
      <c r="J1350" s="13"/>
      <c r="K1350" s="13"/>
      <c r="L1350" s="48"/>
      <c r="N1350" s="12"/>
    </row>
    <row r="1351" spans="1:15" s="49" customFormat="1" ht="14.15" customHeight="1">
      <c r="A1351" s="55"/>
      <c r="B1351" s="11"/>
      <c r="C1351" s="11" t="s">
        <v>124</v>
      </c>
      <c r="D1351" s="45" t="s">
        <v>123</v>
      </c>
      <c r="E1351" s="47"/>
      <c r="F1351" s="41" t="s">
        <v>1050</v>
      </c>
      <c r="G1351" s="13" t="s">
        <v>8151</v>
      </c>
      <c r="H1351" s="99" t="str">
        <f t="shared" si="85"/>
        <v>W251.4</v>
      </c>
      <c r="I1351" s="13"/>
      <c r="J1351" s="13"/>
      <c r="K1351" s="13"/>
      <c r="L1351" s="48"/>
      <c r="N1351" s="12"/>
    </row>
    <row r="1352" spans="1:15" s="49" customFormat="1" ht="14.15" customHeight="1">
      <c r="A1352" s="55"/>
      <c r="B1352" s="11"/>
      <c r="C1352" s="11" t="s">
        <v>126</v>
      </c>
      <c r="D1352" s="45" t="s">
        <v>130</v>
      </c>
      <c r="E1352" s="47"/>
      <c r="F1352" s="41" t="s">
        <v>1051</v>
      </c>
      <c r="G1352" s="13" t="s">
        <v>8152</v>
      </c>
      <c r="H1352" s="99" t="str">
        <f t="shared" si="85"/>
        <v>W251.5</v>
      </c>
      <c r="I1352" s="13"/>
      <c r="J1352" s="13"/>
      <c r="K1352" s="13"/>
      <c r="L1352" s="48"/>
      <c r="N1352" s="12"/>
    </row>
    <row r="1353" spans="1:15" s="49" customFormat="1" ht="14.15" customHeight="1">
      <c r="A1353" s="55"/>
      <c r="B1353" s="11"/>
      <c r="C1353" s="11" t="s">
        <v>124</v>
      </c>
      <c r="D1353" s="45" t="s">
        <v>123</v>
      </c>
      <c r="E1353" s="47"/>
      <c r="F1353" s="41" t="s">
        <v>1052</v>
      </c>
      <c r="G1353" s="13" t="s">
        <v>8153</v>
      </c>
      <c r="H1353" s="99" t="str">
        <f t="shared" si="85"/>
        <v>W251.6</v>
      </c>
      <c r="I1353" s="13"/>
      <c r="J1353" s="13"/>
      <c r="K1353" s="13"/>
      <c r="L1353" s="48"/>
      <c r="N1353" s="12"/>
    </row>
    <row r="1354" spans="1:15" s="49" customFormat="1" ht="14.15" customHeight="1">
      <c r="A1354" s="55"/>
      <c r="B1354" s="11"/>
      <c r="C1354" s="11" t="s">
        <v>107</v>
      </c>
      <c r="D1354" s="45" t="s">
        <v>16</v>
      </c>
      <c r="E1354" s="47"/>
      <c r="F1354" s="41" t="s">
        <v>1053</v>
      </c>
      <c r="G1354" s="13" t="s">
        <v>8154</v>
      </c>
      <c r="H1354" s="99" t="str">
        <f t="shared" si="85"/>
        <v>W251.7</v>
      </c>
      <c r="I1354" s="13"/>
      <c r="J1354" s="13"/>
      <c r="K1354" s="13"/>
      <c r="L1354" s="48"/>
      <c r="N1354" s="12"/>
    </row>
    <row r="1355" spans="1:15" s="49" customFormat="1" ht="14.15" customHeight="1">
      <c r="A1355" s="55"/>
      <c r="B1355" s="11"/>
      <c r="C1355" s="11" t="s">
        <v>107</v>
      </c>
      <c r="D1355" s="45" t="s">
        <v>16</v>
      </c>
      <c r="E1355" s="47"/>
      <c r="F1355" s="41" t="s">
        <v>1054</v>
      </c>
      <c r="G1355" s="13" t="s">
        <v>8155</v>
      </c>
      <c r="H1355" s="99" t="str">
        <f t="shared" si="85"/>
        <v>W251.8</v>
      </c>
      <c r="I1355" s="13"/>
      <c r="J1355" s="13"/>
      <c r="K1355" s="13"/>
      <c r="L1355" s="48"/>
      <c r="N1355" s="12"/>
    </row>
    <row r="1356" spans="1:15" s="49" customFormat="1" ht="14.15" customHeight="1">
      <c r="A1356" s="55"/>
      <c r="B1356" s="11"/>
      <c r="C1356" s="11" t="s">
        <v>107</v>
      </c>
      <c r="D1356" s="45" t="s">
        <v>16</v>
      </c>
      <c r="E1356" s="47"/>
      <c r="F1356" s="41" t="s">
        <v>1055</v>
      </c>
      <c r="G1356" s="13" t="s">
        <v>8156</v>
      </c>
      <c r="H1356" s="99" t="str">
        <f t="shared" si="85"/>
        <v>W251.9</v>
      </c>
      <c r="I1356" s="13"/>
      <c r="J1356" s="13"/>
      <c r="K1356" s="13"/>
      <c r="L1356" s="48"/>
      <c r="N1356" s="12"/>
    </row>
    <row r="1357" spans="1:15" s="49" customFormat="1" ht="14.15" customHeight="1">
      <c r="A1357" s="55"/>
      <c r="B1357" s="11"/>
      <c r="C1357" s="11" t="s">
        <v>107</v>
      </c>
      <c r="D1357" s="45" t="s">
        <v>16</v>
      </c>
      <c r="E1357" s="47"/>
      <c r="F1357" s="41" t="s">
        <v>1056</v>
      </c>
      <c r="G1357" s="13" t="s">
        <v>8157</v>
      </c>
      <c r="H1357" s="99" t="str">
        <f t="shared" si="85"/>
        <v>W251.A</v>
      </c>
      <c r="I1357" s="13"/>
      <c r="J1357" s="13"/>
      <c r="K1357" s="57"/>
      <c r="L1357" s="48"/>
      <c r="M1357" s="49" t="str">
        <f>"["&amp;H1357&amp;"]"</f>
        <v>[W251.A]</v>
      </c>
      <c r="N1357" s="12" t="str">
        <f>RIGHT(F1357,LEN(F1357)-6)</f>
        <v xml:space="preserve">] </v>
      </c>
      <c r="O1357" s="49" t="str">
        <f t="shared" ref="O1357:O1411" si="86">M1357&amp;N1357</f>
        <v xml:space="preserve">[W251.A]] </v>
      </c>
    </row>
    <row r="1358" spans="1:15" s="49" customFormat="1" ht="14.15" customHeight="1">
      <c r="A1358" s="55"/>
      <c r="B1358" s="11"/>
      <c r="C1358" s="11" t="s">
        <v>124</v>
      </c>
      <c r="D1358" s="45" t="s">
        <v>16</v>
      </c>
      <c r="E1358" s="46"/>
      <c r="F1358" s="41" t="s">
        <v>1057</v>
      </c>
      <c r="G1358" s="13" t="s">
        <v>8158</v>
      </c>
      <c r="H1358" s="99" t="str">
        <f t="shared" si="85"/>
        <v>W251.B</v>
      </c>
      <c r="I1358" s="13"/>
      <c r="J1358" s="13"/>
      <c r="K1358" s="57"/>
      <c r="L1358" s="48"/>
      <c r="M1358" s="49" t="str">
        <f>"["&amp;H1358&amp;"]"</f>
        <v>[W251.B]</v>
      </c>
      <c r="N1358" s="12" t="str">
        <f>RIGHT(F1358,LEN(F1358)-6)</f>
        <v xml:space="preserve">] </v>
      </c>
      <c r="O1358" s="49" t="str">
        <f t="shared" si="86"/>
        <v xml:space="preserve">[W251.B]] </v>
      </c>
    </row>
    <row r="1359" spans="1:15" s="49" customFormat="1" ht="14.15" customHeight="1">
      <c r="A1359" s="55"/>
      <c r="B1359" s="11"/>
      <c r="C1359" s="11" t="s">
        <v>107</v>
      </c>
      <c r="D1359" s="45" t="s">
        <v>16</v>
      </c>
      <c r="E1359" s="47"/>
      <c r="F1359" s="41" t="s">
        <v>1058</v>
      </c>
      <c r="G1359" s="13" t="s">
        <v>8159</v>
      </c>
      <c r="H1359" s="99" t="str">
        <f t="shared" si="85"/>
        <v>W251.C</v>
      </c>
      <c r="I1359" s="13"/>
      <c r="J1359" s="13"/>
      <c r="K1359" s="57"/>
      <c r="L1359" s="48"/>
      <c r="M1359" s="49" t="str">
        <f>"["&amp;H1359&amp;"]"</f>
        <v>[W251.C]</v>
      </c>
      <c r="N1359" s="12" t="str">
        <f>RIGHT(F1359,LEN(F1359)-6)</f>
        <v xml:space="preserve">] </v>
      </c>
      <c r="O1359" s="49" t="str">
        <f t="shared" si="86"/>
        <v xml:space="preserve">[W251.C]] </v>
      </c>
    </row>
    <row r="1360" spans="1:15" s="49" customFormat="1" ht="14.15" customHeight="1">
      <c r="A1360" s="55"/>
      <c r="B1360" s="11"/>
      <c r="C1360" s="11" t="s">
        <v>124</v>
      </c>
      <c r="D1360" s="45" t="s">
        <v>16</v>
      </c>
      <c r="E1360" s="46"/>
      <c r="F1360" s="41" t="s">
        <v>1059</v>
      </c>
      <c r="G1360" s="13" t="s">
        <v>8160</v>
      </c>
      <c r="H1360" s="99" t="str">
        <f t="shared" si="85"/>
        <v>W251.D</v>
      </c>
      <c r="I1360" s="13"/>
      <c r="J1360" s="13"/>
      <c r="K1360" s="57"/>
      <c r="L1360" s="48"/>
      <c r="M1360" s="49" t="str">
        <f>"["&amp;H1360&amp;"]"</f>
        <v>[W251.D]</v>
      </c>
      <c r="N1360" s="12" t="str">
        <f>RIGHT(F1360,LEN(F1360)-6)</f>
        <v xml:space="preserve">] </v>
      </c>
      <c r="O1360" s="49" t="str">
        <f t="shared" si="86"/>
        <v xml:space="preserve">[W251.D]] </v>
      </c>
    </row>
    <row r="1361" spans="1:15" s="49" customFormat="1" ht="14.15" customHeight="1">
      <c r="A1361" s="58"/>
      <c r="B1361" s="11"/>
      <c r="C1361" s="11" t="s">
        <v>107</v>
      </c>
      <c r="D1361" s="45" t="s">
        <v>16</v>
      </c>
      <c r="E1361" s="47"/>
      <c r="F1361" s="41" t="s">
        <v>1060</v>
      </c>
      <c r="G1361" s="13" t="s">
        <v>8161</v>
      </c>
      <c r="H1361" s="99" t="str">
        <f t="shared" si="85"/>
        <v>W251.E</v>
      </c>
      <c r="I1361" s="13"/>
      <c r="J1361" s="13"/>
      <c r="K1361" s="13"/>
      <c r="L1361" s="48"/>
      <c r="N1361" s="12"/>
    </row>
    <row r="1362" spans="1:15" s="49" customFormat="1" ht="14.15" customHeight="1">
      <c r="A1362" s="58"/>
      <c r="B1362" s="11"/>
      <c r="C1362" s="11" t="s">
        <v>107</v>
      </c>
      <c r="D1362" s="45" t="s">
        <v>16</v>
      </c>
      <c r="E1362" s="47"/>
      <c r="F1362" s="41" t="s">
        <v>1061</v>
      </c>
      <c r="G1362" s="13" t="s">
        <v>8162</v>
      </c>
      <c r="H1362" s="99" t="str">
        <f t="shared" si="85"/>
        <v>W251.F</v>
      </c>
      <c r="I1362" s="13"/>
      <c r="J1362" s="13"/>
      <c r="K1362" s="13"/>
      <c r="L1362" s="48"/>
      <c r="N1362" s="12"/>
    </row>
    <row r="1363" spans="1:15" s="49" customFormat="1" ht="14.15" customHeight="1">
      <c r="A1363" s="58"/>
      <c r="B1363" s="11"/>
      <c r="C1363" s="11" t="s">
        <v>107</v>
      </c>
      <c r="D1363" s="45" t="s">
        <v>16</v>
      </c>
      <c r="E1363" s="47"/>
      <c r="F1363" s="41" t="s">
        <v>1062</v>
      </c>
      <c r="G1363" s="13" t="s">
        <v>8163</v>
      </c>
      <c r="H1363" s="99" t="str">
        <f t="shared" si="85"/>
        <v>W252.0</v>
      </c>
      <c r="I1363" s="13"/>
      <c r="J1363" s="13"/>
      <c r="K1363" s="13"/>
      <c r="L1363" s="48"/>
      <c r="N1363" s="12"/>
    </row>
    <row r="1364" spans="1:15" s="49" customFormat="1" ht="14.15" customHeight="1">
      <c r="A1364" s="58"/>
      <c r="B1364" s="11"/>
      <c r="C1364" s="11" t="s">
        <v>137</v>
      </c>
      <c r="D1364" s="45" t="s">
        <v>16</v>
      </c>
      <c r="E1364" s="47"/>
      <c r="F1364" s="41" t="s">
        <v>1063</v>
      </c>
      <c r="G1364" s="13" t="s">
        <v>8164</v>
      </c>
      <c r="H1364" s="99" t="str">
        <f t="shared" si="85"/>
        <v>W252.1</v>
      </c>
      <c r="I1364" s="13"/>
      <c r="J1364" s="13"/>
      <c r="K1364" s="13"/>
      <c r="L1364" s="48"/>
      <c r="N1364" s="12"/>
    </row>
    <row r="1365" spans="1:15" s="49" customFormat="1" ht="14.15" customHeight="1">
      <c r="A1365" s="58"/>
      <c r="B1365" s="11"/>
      <c r="C1365" s="11" t="s">
        <v>107</v>
      </c>
      <c r="D1365" s="45" t="s">
        <v>123</v>
      </c>
      <c r="E1365" s="47"/>
      <c r="F1365" s="41" t="s">
        <v>1064</v>
      </c>
      <c r="G1365" s="13" t="s">
        <v>8165</v>
      </c>
      <c r="H1365" s="99" t="str">
        <f t="shared" si="85"/>
        <v>W252.2</v>
      </c>
      <c r="I1365" s="13"/>
      <c r="J1365" s="13"/>
      <c r="K1365" s="13"/>
      <c r="L1365" s="48"/>
      <c r="N1365" s="12"/>
    </row>
    <row r="1366" spans="1:15" s="49" customFormat="1" ht="14.15" customHeight="1">
      <c r="A1366" s="58"/>
      <c r="B1366" s="11"/>
      <c r="C1366" s="11" t="s">
        <v>124</v>
      </c>
      <c r="D1366" s="45" t="s">
        <v>123</v>
      </c>
      <c r="E1366" s="47"/>
      <c r="F1366" s="41" t="s">
        <v>1065</v>
      </c>
      <c r="G1366" s="13" t="s">
        <v>8166</v>
      </c>
      <c r="H1366" s="99" t="str">
        <f t="shared" si="85"/>
        <v>W252.3</v>
      </c>
      <c r="I1366" s="13"/>
      <c r="J1366" s="13"/>
      <c r="K1366" s="13"/>
      <c r="L1366" s="48"/>
      <c r="N1366" s="12"/>
    </row>
    <row r="1367" spans="1:15" s="49" customFormat="1" ht="14.15" customHeight="1">
      <c r="A1367" s="58"/>
      <c r="B1367" s="11"/>
      <c r="C1367" s="11" t="s">
        <v>107</v>
      </c>
      <c r="D1367" s="45" t="s">
        <v>16</v>
      </c>
      <c r="E1367" s="47"/>
      <c r="F1367" s="41" t="s">
        <v>1066</v>
      </c>
      <c r="G1367" s="13" t="s">
        <v>8167</v>
      </c>
      <c r="H1367" s="99" t="str">
        <f t="shared" si="85"/>
        <v>W252.4</v>
      </c>
      <c r="I1367" s="13"/>
      <c r="J1367" s="13"/>
      <c r="K1367" s="13"/>
      <c r="L1367" s="48"/>
      <c r="N1367" s="12"/>
    </row>
    <row r="1368" spans="1:15" s="49" customFormat="1" ht="14.15" customHeight="1">
      <c r="A1368" s="58"/>
      <c r="B1368" s="11"/>
      <c r="C1368" s="11" t="s">
        <v>107</v>
      </c>
      <c r="D1368" s="45" t="s">
        <v>123</v>
      </c>
      <c r="E1368" s="47"/>
      <c r="F1368" s="41" t="s">
        <v>1067</v>
      </c>
      <c r="G1368" s="13" t="s">
        <v>8168</v>
      </c>
      <c r="H1368" s="99" t="str">
        <f t="shared" si="85"/>
        <v>W252.5</v>
      </c>
      <c r="I1368" s="13"/>
      <c r="J1368" s="13"/>
      <c r="K1368" s="13"/>
      <c r="L1368" s="48"/>
      <c r="N1368" s="12"/>
    </row>
    <row r="1369" spans="1:15" s="49" customFormat="1" ht="14.15" customHeight="1">
      <c r="A1369" s="58"/>
      <c r="B1369" s="11"/>
      <c r="C1369" s="11" t="s">
        <v>107</v>
      </c>
      <c r="D1369" s="45" t="s">
        <v>16</v>
      </c>
      <c r="E1369" s="47"/>
      <c r="F1369" s="41" t="s">
        <v>1068</v>
      </c>
      <c r="G1369" s="13" t="s">
        <v>8169</v>
      </c>
      <c r="H1369" s="99" t="str">
        <f t="shared" si="85"/>
        <v>W252.6</v>
      </c>
      <c r="I1369" s="13"/>
      <c r="J1369" s="13"/>
      <c r="K1369" s="13"/>
      <c r="L1369" s="48"/>
      <c r="N1369" s="12"/>
    </row>
    <row r="1370" spans="1:15" s="49" customFormat="1" ht="14.15" customHeight="1">
      <c r="A1370" s="58"/>
      <c r="B1370" s="11"/>
      <c r="C1370" s="11" t="s">
        <v>124</v>
      </c>
      <c r="D1370" s="45" t="s">
        <v>123</v>
      </c>
      <c r="E1370" s="47"/>
      <c r="F1370" s="41" t="s">
        <v>1069</v>
      </c>
      <c r="G1370" s="13" t="s">
        <v>8170</v>
      </c>
      <c r="H1370" s="99" t="str">
        <f t="shared" si="85"/>
        <v>W252.7</v>
      </c>
      <c r="I1370" s="13"/>
      <c r="J1370" s="13"/>
      <c r="K1370" s="57"/>
      <c r="L1370" s="48"/>
      <c r="M1370" s="49" t="str">
        <f>"["&amp;H1370&amp;"]"</f>
        <v>[W252.7]</v>
      </c>
      <c r="N1370" s="12" t="str">
        <f>RIGHT(F1370,LEN(F1370)-6)</f>
        <v xml:space="preserve">] </v>
      </c>
      <c r="O1370" s="49" t="str">
        <f t="shared" si="86"/>
        <v xml:space="preserve">[W252.7]] </v>
      </c>
    </row>
    <row r="1371" spans="1:15" s="49" customFormat="1" ht="14.15" customHeight="1">
      <c r="A1371" s="58"/>
      <c r="B1371" s="11"/>
      <c r="C1371" s="11" t="s">
        <v>107</v>
      </c>
      <c r="D1371" s="45" t="s">
        <v>16</v>
      </c>
      <c r="E1371" s="46"/>
      <c r="F1371" s="41" t="s">
        <v>1070</v>
      </c>
      <c r="G1371" s="13" t="s">
        <v>8171</v>
      </c>
      <c r="H1371" s="99" t="str">
        <f t="shared" si="85"/>
        <v>W252.8</v>
      </c>
      <c r="I1371" s="13"/>
      <c r="J1371" s="13"/>
      <c r="K1371" s="57"/>
      <c r="L1371" s="48"/>
      <c r="M1371" s="49" t="str">
        <f>"["&amp;H1371&amp;"]"</f>
        <v>[W252.8]</v>
      </c>
      <c r="N1371" s="12" t="str">
        <f>RIGHT(F1371,LEN(F1371)-6)</f>
        <v xml:space="preserve">] </v>
      </c>
      <c r="O1371" s="49" t="str">
        <f t="shared" si="86"/>
        <v xml:space="preserve">[W252.8]] </v>
      </c>
    </row>
    <row r="1372" spans="1:15" s="49" customFormat="1" ht="14.15" customHeight="1">
      <c r="A1372" s="58"/>
      <c r="B1372" s="11"/>
      <c r="C1372" s="11" t="s">
        <v>107</v>
      </c>
      <c r="D1372" s="45" t="s">
        <v>123</v>
      </c>
      <c r="E1372" s="47"/>
      <c r="F1372" s="41" t="s">
        <v>1071</v>
      </c>
      <c r="G1372" s="13" t="s">
        <v>8172</v>
      </c>
      <c r="H1372" s="99" t="str">
        <f t="shared" si="85"/>
        <v>W252.9</v>
      </c>
      <c r="I1372" s="13"/>
      <c r="J1372" s="13"/>
      <c r="K1372" s="57"/>
      <c r="L1372" s="48"/>
      <c r="M1372" s="49" t="str">
        <f>"["&amp;H1372&amp;"]"</f>
        <v>[W252.9]</v>
      </c>
      <c r="N1372" s="12" t="str">
        <f>RIGHT(F1372,LEN(F1372)-6)</f>
        <v xml:space="preserve">] </v>
      </c>
      <c r="O1372" s="49" t="str">
        <f t="shared" si="86"/>
        <v xml:space="preserve">[W252.9]] </v>
      </c>
    </row>
    <row r="1373" spans="1:15" s="49" customFormat="1" ht="14.15" customHeight="1">
      <c r="A1373" s="58"/>
      <c r="B1373" s="11"/>
      <c r="C1373" s="11" t="s">
        <v>124</v>
      </c>
      <c r="D1373" s="45" t="s">
        <v>123</v>
      </c>
      <c r="E1373" s="46"/>
      <c r="F1373" s="41" t="s">
        <v>1072</v>
      </c>
      <c r="G1373" s="13" t="s">
        <v>8173</v>
      </c>
      <c r="H1373" s="99" t="str">
        <f t="shared" si="85"/>
        <v>W252.A</v>
      </c>
      <c r="I1373" s="13"/>
      <c r="J1373" s="13"/>
      <c r="K1373" s="57"/>
      <c r="L1373" s="48"/>
      <c r="M1373" s="49" t="str">
        <f>"["&amp;H1373&amp;"]"</f>
        <v>[W252.A]</v>
      </c>
      <c r="N1373" s="12" t="str">
        <f>RIGHT(F1373,LEN(F1373)-6)</f>
        <v xml:space="preserve">] </v>
      </c>
      <c r="O1373" s="49" t="str">
        <f t="shared" si="86"/>
        <v xml:space="preserve">[W252.A]] </v>
      </c>
    </row>
    <row r="1374" spans="1:15" s="49" customFormat="1" ht="14.15" customHeight="1">
      <c r="A1374" s="58"/>
      <c r="B1374" s="11"/>
      <c r="C1374" s="11" t="s">
        <v>107</v>
      </c>
      <c r="D1374" s="45" t="s">
        <v>123</v>
      </c>
      <c r="E1374" s="47"/>
      <c r="F1374" s="41" t="s">
        <v>1073</v>
      </c>
      <c r="G1374" s="13" t="s">
        <v>8174</v>
      </c>
      <c r="H1374" s="99" t="str">
        <f t="shared" si="85"/>
        <v>W252.B</v>
      </c>
      <c r="I1374" s="13"/>
      <c r="J1374" s="13"/>
      <c r="K1374" s="13"/>
      <c r="L1374" s="48"/>
      <c r="N1374" s="12"/>
    </row>
    <row r="1375" spans="1:15" s="49" customFormat="1" ht="14.15" customHeight="1">
      <c r="A1375" s="58"/>
      <c r="B1375" s="11"/>
      <c r="C1375" s="11" t="s">
        <v>107</v>
      </c>
      <c r="D1375" s="45" t="s">
        <v>123</v>
      </c>
      <c r="E1375" s="47"/>
      <c r="F1375" s="41" t="s">
        <v>1074</v>
      </c>
      <c r="G1375" s="13" t="s">
        <v>8175</v>
      </c>
      <c r="H1375" s="99" t="str">
        <f t="shared" si="85"/>
        <v>W252.C</v>
      </c>
      <c r="I1375" s="13"/>
      <c r="J1375" s="13"/>
      <c r="K1375" s="13"/>
      <c r="L1375" s="48"/>
      <c r="N1375" s="12"/>
    </row>
    <row r="1376" spans="1:15" s="49" customFormat="1" ht="14.15" customHeight="1">
      <c r="A1376" s="58"/>
      <c r="B1376" s="11"/>
      <c r="C1376" s="11" t="s">
        <v>107</v>
      </c>
      <c r="D1376" s="45" t="s">
        <v>16</v>
      </c>
      <c r="E1376" s="47"/>
      <c r="F1376" s="41" t="s">
        <v>1075</v>
      </c>
      <c r="G1376" s="13" t="s">
        <v>8176</v>
      </c>
      <c r="H1376" s="99" t="str">
        <f t="shared" si="85"/>
        <v>W252.D</v>
      </c>
      <c r="I1376" s="13"/>
      <c r="J1376" s="13"/>
      <c r="K1376" s="13"/>
      <c r="L1376" s="48"/>
      <c r="N1376" s="12"/>
    </row>
    <row r="1377" spans="1:15" s="49" customFormat="1" ht="14.15" customHeight="1">
      <c r="A1377" s="58"/>
      <c r="B1377" s="11"/>
      <c r="C1377" s="11" t="s">
        <v>107</v>
      </c>
      <c r="D1377" s="45" t="s">
        <v>138</v>
      </c>
      <c r="E1377" s="47"/>
      <c r="F1377" s="41" t="s">
        <v>1076</v>
      </c>
      <c r="G1377" s="13" t="s">
        <v>8177</v>
      </c>
      <c r="H1377" s="99" t="str">
        <f t="shared" si="85"/>
        <v>W252.E</v>
      </c>
      <c r="I1377" s="13"/>
      <c r="J1377" s="13"/>
      <c r="K1377" s="13"/>
      <c r="L1377" s="48"/>
      <c r="N1377" s="12"/>
    </row>
    <row r="1378" spans="1:15" s="49" customFormat="1" ht="14.15" customHeight="1">
      <c r="A1378" s="58"/>
      <c r="B1378" s="11"/>
      <c r="C1378" s="11" t="s">
        <v>107</v>
      </c>
      <c r="D1378" s="45" t="s">
        <v>123</v>
      </c>
      <c r="E1378" s="47"/>
      <c r="F1378" s="41" t="s">
        <v>1077</v>
      </c>
      <c r="G1378" s="13" t="s">
        <v>8178</v>
      </c>
      <c r="H1378" s="99" t="str">
        <f t="shared" si="85"/>
        <v>W252.F</v>
      </c>
      <c r="I1378" s="13"/>
      <c r="J1378" s="13"/>
      <c r="K1378" s="13"/>
      <c r="L1378" s="48"/>
      <c r="N1378" s="12"/>
    </row>
    <row r="1379" spans="1:15" s="49" customFormat="1" ht="14.15" customHeight="1">
      <c r="A1379" s="58"/>
      <c r="B1379" s="11"/>
      <c r="C1379" s="11" t="s">
        <v>124</v>
      </c>
      <c r="D1379" s="45" t="s">
        <v>123</v>
      </c>
      <c r="E1379" s="47"/>
      <c r="F1379" s="41" t="s">
        <v>1078</v>
      </c>
      <c r="G1379" s="13" t="s">
        <v>8179</v>
      </c>
      <c r="H1379" s="99" t="str">
        <f t="shared" si="85"/>
        <v>W253.0</v>
      </c>
      <c r="I1379" s="13"/>
      <c r="J1379" s="13"/>
      <c r="K1379" s="13"/>
      <c r="L1379" s="48"/>
      <c r="N1379" s="12"/>
    </row>
    <row r="1380" spans="1:15" s="49" customFormat="1" ht="14.15" customHeight="1">
      <c r="A1380" s="58"/>
      <c r="B1380" s="11"/>
      <c r="C1380" s="11" t="s">
        <v>124</v>
      </c>
      <c r="D1380" s="45" t="s">
        <v>138</v>
      </c>
      <c r="E1380" s="47"/>
      <c r="F1380" s="41" t="s">
        <v>1079</v>
      </c>
      <c r="G1380" s="13" t="s">
        <v>8180</v>
      </c>
      <c r="H1380" s="99" t="str">
        <f t="shared" si="85"/>
        <v>W253.1</v>
      </c>
      <c r="I1380" s="13"/>
      <c r="J1380" s="13"/>
      <c r="K1380" s="13"/>
      <c r="L1380" s="48"/>
      <c r="N1380" s="12"/>
    </row>
    <row r="1381" spans="1:15" s="49" customFormat="1" ht="14.15" customHeight="1">
      <c r="A1381" s="58"/>
      <c r="B1381" s="11"/>
      <c r="C1381" s="11" t="s">
        <v>124</v>
      </c>
      <c r="D1381" s="45" t="s">
        <v>16</v>
      </c>
      <c r="E1381" s="47"/>
      <c r="F1381" s="41" t="s">
        <v>1080</v>
      </c>
      <c r="G1381" s="13" t="s">
        <v>8181</v>
      </c>
      <c r="H1381" s="99" t="str">
        <f t="shared" si="85"/>
        <v>W253.2</v>
      </c>
      <c r="I1381" s="13"/>
      <c r="J1381" s="13"/>
      <c r="K1381" s="13"/>
      <c r="L1381" s="48"/>
      <c r="N1381" s="12"/>
    </row>
    <row r="1382" spans="1:15" s="49" customFormat="1" ht="14.15" customHeight="1">
      <c r="A1382" s="58"/>
      <c r="B1382" s="11"/>
      <c r="C1382" s="11" t="s">
        <v>124</v>
      </c>
      <c r="D1382" s="45" t="s">
        <v>123</v>
      </c>
      <c r="E1382" s="47"/>
      <c r="F1382" s="41" t="s">
        <v>1081</v>
      </c>
      <c r="G1382" s="13" t="s">
        <v>8182</v>
      </c>
      <c r="H1382" s="99" t="str">
        <f t="shared" si="85"/>
        <v>W253.3</v>
      </c>
      <c r="I1382" s="13"/>
      <c r="J1382" s="13"/>
      <c r="K1382" s="13"/>
      <c r="L1382" s="48"/>
      <c r="N1382" s="12"/>
    </row>
    <row r="1383" spans="1:15" s="49" customFormat="1" ht="14.15" customHeight="1">
      <c r="A1383" s="58"/>
      <c r="B1383" s="11"/>
      <c r="C1383" s="11" t="s">
        <v>107</v>
      </c>
      <c r="D1383" s="45" t="s">
        <v>123</v>
      </c>
      <c r="E1383" s="47"/>
      <c r="F1383" s="41" t="s">
        <v>1082</v>
      </c>
      <c r="G1383" s="13" t="s">
        <v>8183</v>
      </c>
      <c r="H1383" s="99" t="str">
        <f t="shared" si="85"/>
        <v>W253.4</v>
      </c>
      <c r="I1383" s="13"/>
      <c r="J1383" s="13"/>
      <c r="K1383" s="57"/>
      <c r="L1383" s="48"/>
      <c r="M1383" s="49" t="str">
        <f>"["&amp;H1383&amp;"]"</f>
        <v>[W253.4]</v>
      </c>
      <c r="N1383" s="12" t="str">
        <f>RIGHT(F1383,LEN(F1383)-6)</f>
        <v xml:space="preserve">] </v>
      </c>
      <c r="O1383" s="49" t="str">
        <f t="shared" si="86"/>
        <v xml:space="preserve">[W253.4]] </v>
      </c>
    </row>
    <row r="1384" spans="1:15" s="49" customFormat="1" ht="14.15" customHeight="1">
      <c r="A1384" s="58"/>
      <c r="B1384" s="11"/>
      <c r="C1384" s="11" t="s">
        <v>124</v>
      </c>
      <c r="D1384" s="45" t="s">
        <v>123</v>
      </c>
      <c r="E1384" s="46"/>
      <c r="F1384" s="41" t="s">
        <v>1083</v>
      </c>
      <c r="G1384" s="13" t="s">
        <v>8184</v>
      </c>
      <c r="H1384" s="99" t="str">
        <f t="shared" si="85"/>
        <v>W253.5</v>
      </c>
      <c r="I1384" s="13"/>
      <c r="J1384" s="13"/>
      <c r="K1384" s="57"/>
      <c r="L1384" s="48"/>
      <c r="M1384" s="49" t="str">
        <f>"["&amp;H1384&amp;"]"</f>
        <v>[W253.5]</v>
      </c>
      <c r="N1384" s="12" t="str">
        <f>RIGHT(F1384,LEN(F1384)-6)</f>
        <v xml:space="preserve">] </v>
      </c>
      <c r="O1384" s="49" t="str">
        <f t="shared" si="86"/>
        <v xml:space="preserve">[W253.5]] </v>
      </c>
    </row>
    <row r="1385" spans="1:15" s="49" customFormat="1" ht="14.15" customHeight="1">
      <c r="A1385" s="58"/>
      <c r="B1385" s="11"/>
      <c r="C1385" s="11" t="s">
        <v>107</v>
      </c>
      <c r="D1385" s="45" t="s">
        <v>16</v>
      </c>
      <c r="E1385" s="47"/>
      <c r="F1385" s="41" t="s">
        <v>1084</v>
      </c>
      <c r="G1385" s="13" t="s">
        <v>8185</v>
      </c>
      <c r="H1385" s="99" t="str">
        <f t="shared" si="85"/>
        <v>W253.6</v>
      </c>
      <c r="I1385" s="13"/>
      <c r="J1385" s="13"/>
      <c r="K1385" s="57"/>
      <c r="L1385" s="48"/>
      <c r="M1385" s="49" t="str">
        <f>"["&amp;H1385&amp;"]"</f>
        <v>[W253.6]</v>
      </c>
      <c r="N1385" s="12" t="str">
        <f>RIGHT(F1385,LEN(F1385)-6)</f>
        <v xml:space="preserve">] </v>
      </c>
      <c r="O1385" s="49" t="str">
        <f t="shared" si="86"/>
        <v xml:space="preserve">[W253.6]] </v>
      </c>
    </row>
    <row r="1386" spans="1:15" s="49" customFormat="1" ht="14.15" customHeight="1">
      <c r="A1386" s="58"/>
      <c r="B1386" s="11"/>
      <c r="C1386" s="11" t="s">
        <v>124</v>
      </c>
      <c r="D1386" s="45" t="s">
        <v>16</v>
      </c>
      <c r="E1386" s="46"/>
      <c r="F1386" s="41" t="s">
        <v>1085</v>
      </c>
      <c r="G1386" s="13" t="s">
        <v>8186</v>
      </c>
      <c r="H1386" s="99" t="str">
        <f t="shared" si="85"/>
        <v>W253.7</v>
      </c>
      <c r="I1386" s="13"/>
      <c r="J1386" s="13"/>
      <c r="K1386" s="57"/>
      <c r="L1386" s="48"/>
      <c r="M1386" s="49" t="str">
        <f>"["&amp;H1386&amp;"]"</f>
        <v>[W253.7]</v>
      </c>
      <c r="N1386" s="12" t="str">
        <f>RIGHT(F1386,LEN(F1386)-6)</f>
        <v xml:space="preserve">] </v>
      </c>
      <c r="O1386" s="49" t="str">
        <f t="shared" si="86"/>
        <v xml:space="preserve">[W253.7]] </v>
      </c>
    </row>
    <row r="1387" spans="1:15" s="49" customFormat="1" ht="14.15" customHeight="1">
      <c r="A1387" s="59"/>
      <c r="B1387" s="11"/>
      <c r="C1387" s="11" t="s">
        <v>124</v>
      </c>
      <c r="D1387" s="45" t="s">
        <v>123</v>
      </c>
      <c r="E1387" s="46"/>
      <c r="F1387" s="41" t="s">
        <v>1086</v>
      </c>
      <c r="G1387" s="13" t="s">
        <v>8187</v>
      </c>
      <c r="H1387" s="99" t="str">
        <f t="shared" si="85"/>
        <v>W253.8</v>
      </c>
      <c r="I1387" s="13"/>
      <c r="J1387" s="13"/>
      <c r="K1387" s="13"/>
      <c r="L1387" s="48"/>
      <c r="N1387" s="12"/>
    </row>
    <row r="1388" spans="1:15" s="49" customFormat="1" ht="14.15" customHeight="1">
      <c r="A1388" s="59"/>
      <c r="B1388" s="11"/>
      <c r="C1388" s="11" t="s">
        <v>124</v>
      </c>
      <c r="D1388" s="45" t="s">
        <v>16</v>
      </c>
      <c r="E1388" s="46"/>
      <c r="F1388" s="41" t="s">
        <v>1087</v>
      </c>
      <c r="G1388" s="13" t="s">
        <v>8188</v>
      </c>
      <c r="H1388" s="99" t="str">
        <f t="shared" si="85"/>
        <v>W253.9</v>
      </c>
      <c r="I1388" s="13"/>
      <c r="J1388" s="13"/>
      <c r="K1388" s="13"/>
      <c r="L1388" s="48"/>
      <c r="N1388" s="12"/>
    </row>
    <row r="1389" spans="1:15" s="49" customFormat="1" ht="14.15" customHeight="1">
      <c r="A1389" s="59"/>
      <c r="B1389" s="11"/>
      <c r="C1389" s="11" t="s">
        <v>107</v>
      </c>
      <c r="D1389" s="45" t="s">
        <v>123</v>
      </c>
      <c r="E1389" s="46"/>
      <c r="F1389" s="41" t="s">
        <v>1088</v>
      </c>
      <c r="G1389" s="13" t="s">
        <v>8189</v>
      </c>
      <c r="H1389" s="99" t="str">
        <f t="shared" si="85"/>
        <v>W253.A</v>
      </c>
      <c r="I1389" s="13"/>
      <c r="J1389" s="13"/>
      <c r="K1389" s="13"/>
      <c r="L1389" s="48"/>
      <c r="N1389" s="12"/>
    </row>
    <row r="1390" spans="1:15" s="49" customFormat="1" ht="14.15" customHeight="1">
      <c r="A1390" s="59"/>
      <c r="B1390" s="11"/>
      <c r="C1390" s="11" t="s">
        <v>107</v>
      </c>
      <c r="D1390" s="45" t="s">
        <v>139</v>
      </c>
      <c r="E1390" s="46"/>
      <c r="F1390" s="41" t="s">
        <v>1089</v>
      </c>
      <c r="G1390" s="13" t="s">
        <v>8190</v>
      </c>
      <c r="H1390" s="99" t="str">
        <f t="shared" si="85"/>
        <v>W253.B</v>
      </c>
      <c r="I1390" s="13"/>
      <c r="J1390" s="13"/>
      <c r="K1390" s="13"/>
      <c r="L1390" s="48"/>
      <c r="N1390" s="12"/>
    </row>
    <row r="1391" spans="1:15" s="49" customFormat="1" ht="14.15" customHeight="1">
      <c r="A1391" s="59"/>
      <c r="B1391" s="11"/>
      <c r="C1391" s="11" t="s">
        <v>107</v>
      </c>
      <c r="D1391" s="45" t="s">
        <v>123</v>
      </c>
      <c r="E1391" s="46"/>
      <c r="F1391" s="41" t="s">
        <v>1090</v>
      </c>
      <c r="G1391" s="13" t="s">
        <v>8191</v>
      </c>
      <c r="H1391" s="99" t="str">
        <f t="shared" si="85"/>
        <v>W253.C</v>
      </c>
      <c r="I1391" s="13"/>
      <c r="J1391" s="13"/>
      <c r="K1391" s="13"/>
      <c r="L1391" s="48"/>
      <c r="N1391" s="12"/>
    </row>
    <row r="1392" spans="1:15" s="49" customFormat="1" ht="14.15" customHeight="1">
      <c r="A1392" s="59"/>
      <c r="B1392" s="11"/>
      <c r="C1392" s="11" t="s">
        <v>124</v>
      </c>
      <c r="D1392" s="45" t="s">
        <v>16</v>
      </c>
      <c r="E1392" s="46"/>
      <c r="F1392" s="41" t="s">
        <v>1091</v>
      </c>
      <c r="G1392" s="13" t="s">
        <v>8192</v>
      </c>
      <c r="H1392" s="99" t="str">
        <f t="shared" si="85"/>
        <v>W253.D</v>
      </c>
      <c r="I1392" s="13"/>
      <c r="J1392" s="13"/>
      <c r="K1392" s="13"/>
      <c r="L1392" s="48"/>
      <c r="N1392" s="12"/>
    </row>
    <row r="1393" spans="1:15" s="49" customFormat="1" ht="14.15" customHeight="1">
      <c r="A1393" s="59"/>
      <c r="B1393" s="11"/>
      <c r="C1393" s="11" t="s">
        <v>124</v>
      </c>
      <c r="D1393" s="45" t="s">
        <v>123</v>
      </c>
      <c r="E1393" s="46"/>
      <c r="F1393" s="41" t="s">
        <v>1092</v>
      </c>
      <c r="G1393" s="13" t="s">
        <v>8193</v>
      </c>
      <c r="H1393" s="99" t="str">
        <f t="shared" si="85"/>
        <v>W253.E</v>
      </c>
      <c r="I1393" s="13"/>
      <c r="J1393" s="13"/>
      <c r="K1393" s="13"/>
      <c r="L1393" s="48"/>
      <c r="N1393" s="12"/>
    </row>
    <row r="1394" spans="1:15" s="49" customFormat="1" ht="14.15" customHeight="1">
      <c r="A1394" s="59"/>
      <c r="B1394" s="11"/>
      <c r="C1394" s="11" t="s">
        <v>124</v>
      </c>
      <c r="D1394" s="45" t="s">
        <v>123</v>
      </c>
      <c r="E1394" s="46"/>
      <c r="F1394" s="41" t="s">
        <v>1093</v>
      </c>
      <c r="G1394" s="13" t="s">
        <v>8194</v>
      </c>
      <c r="H1394" s="99" t="str">
        <f t="shared" si="85"/>
        <v>W253.F</v>
      </c>
      <c r="I1394" s="13"/>
      <c r="J1394" s="13"/>
      <c r="K1394" s="13"/>
      <c r="L1394" s="48"/>
      <c r="N1394" s="12"/>
    </row>
    <row r="1395" spans="1:15" s="49" customFormat="1" ht="14.15" customHeight="1">
      <c r="A1395" s="59"/>
      <c r="B1395" s="11"/>
      <c r="C1395" s="11" t="s">
        <v>107</v>
      </c>
      <c r="D1395" s="45" t="s">
        <v>123</v>
      </c>
      <c r="E1395" s="46"/>
      <c r="F1395" s="41" t="s">
        <v>1094</v>
      </c>
      <c r="G1395" s="13" t="s">
        <v>8195</v>
      </c>
      <c r="H1395" s="99" t="str">
        <f t="shared" si="85"/>
        <v>W254.0</v>
      </c>
      <c r="I1395" s="13"/>
      <c r="J1395" s="13"/>
      <c r="K1395" s="13"/>
      <c r="L1395" s="48"/>
      <c r="N1395" s="12"/>
    </row>
    <row r="1396" spans="1:15" s="49" customFormat="1" ht="14.15" customHeight="1">
      <c r="A1396" s="59"/>
      <c r="B1396" s="11"/>
      <c r="C1396" s="11" t="s">
        <v>124</v>
      </c>
      <c r="D1396" s="45" t="s">
        <v>123</v>
      </c>
      <c r="E1396" s="46"/>
      <c r="F1396" s="41" t="s">
        <v>1095</v>
      </c>
      <c r="G1396" s="13" t="s">
        <v>8196</v>
      </c>
      <c r="H1396" s="99" t="str">
        <f t="shared" ref="H1396:H1459" si="87">"W"&amp;DEC2HEX(512 + INT((ROW()-51)/16)) &amp; "." &amp; IF(MOD(ROW()-51,16)&lt;10,MOD(ROW()-51,16),CHAR(MOD(ROW()-51,16)+55))</f>
        <v>W254.1</v>
      </c>
      <c r="I1396" s="13"/>
      <c r="J1396" s="13"/>
      <c r="K1396" s="57"/>
      <c r="L1396" s="48"/>
      <c r="M1396" s="49" t="str">
        <f t="shared" ref="M1396:M1412" si="88">"["&amp;H1396&amp;"]"</f>
        <v>[W254.1]</v>
      </c>
      <c r="N1396" s="12" t="str">
        <f t="shared" ref="N1396:N1412" si="89">RIGHT(F1396,LEN(F1396)-6)</f>
        <v xml:space="preserve">] </v>
      </c>
      <c r="O1396" s="49" t="str">
        <f t="shared" si="86"/>
        <v xml:space="preserve">[W254.1]] </v>
      </c>
    </row>
    <row r="1397" spans="1:15" s="49" customFormat="1" ht="14.15" customHeight="1">
      <c r="A1397" s="59"/>
      <c r="B1397" s="11"/>
      <c r="C1397" s="11" t="s">
        <v>107</v>
      </c>
      <c r="D1397" s="45" t="s">
        <v>16</v>
      </c>
      <c r="E1397" s="46"/>
      <c r="F1397" s="41" t="s">
        <v>1096</v>
      </c>
      <c r="G1397" s="13" t="s">
        <v>8197</v>
      </c>
      <c r="H1397" s="99" t="str">
        <f t="shared" si="87"/>
        <v>W254.2</v>
      </c>
      <c r="I1397" s="13"/>
      <c r="J1397" s="13"/>
      <c r="K1397" s="57"/>
      <c r="L1397" s="48"/>
      <c r="M1397" s="49" t="str">
        <f t="shared" si="88"/>
        <v>[W254.2]</v>
      </c>
      <c r="N1397" s="12" t="str">
        <f t="shared" si="89"/>
        <v xml:space="preserve">] </v>
      </c>
      <c r="O1397" s="49" t="str">
        <f t="shared" si="86"/>
        <v xml:space="preserve">[W254.2]] </v>
      </c>
    </row>
    <row r="1398" spans="1:15" s="49" customFormat="1" ht="14.15" customHeight="1">
      <c r="A1398" s="59"/>
      <c r="B1398" s="11"/>
      <c r="C1398" s="11" t="s">
        <v>107</v>
      </c>
      <c r="D1398" s="45" t="s">
        <v>123</v>
      </c>
      <c r="E1398" s="46"/>
      <c r="F1398" s="41" t="s">
        <v>1097</v>
      </c>
      <c r="G1398" s="13" t="s">
        <v>8198</v>
      </c>
      <c r="H1398" s="99" t="str">
        <f t="shared" si="87"/>
        <v>W254.3</v>
      </c>
      <c r="I1398" s="13"/>
      <c r="J1398" s="13"/>
      <c r="K1398" s="57"/>
      <c r="L1398" s="48"/>
      <c r="M1398" s="49" t="str">
        <f t="shared" si="88"/>
        <v>[W254.3]</v>
      </c>
      <c r="N1398" s="12" t="str">
        <f t="shared" si="89"/>
        <v xml:space="preserve">] </v>
      </c>
      <c r="O1398" s="49" t="str">
        <f t="shared" si="86"/>
        <v xml:space="preserve">[W254.3]] </v>
      </c>
    </row>
    <row r="1399" spans="1:15" s="49" customFormat="1" ht="14.15" customHeight="1">
      <c r="A1399" s="59"/>
      <c r="B1399" s="11"/>
      <c r="C1399" s="11" t="s">
        <v>124</v>
      </c>
      <c r="D1399" s="45" t="s">
        <v>123</v>
      </c>
      <c r="E1399" s="46"/>
      <c r="F1399" s="41" t="s">
        <v>1098</v>
      </c>
      <c r="G1399" s="13" t="s">
        <v>8199</v>
      </c>
      <c r="H1399" s="99" t="str">
        <f t="shared" si="87"/>
        <v>W254.4</v>
      </c>
      <c r="I1399" s="13"/>
      <c r="J1399" s="13"/>
      <c r="K1399" s="57"/>
      <c r="L1399" s="48"/>
      <c r="M1399" s="49" t="str">
        <f t="shared" si="88"/>
        <v>[W254.4]</v>
      </c>
      <c r="N1399" s="12" t="str">
        <f t="shared" si="89"/>
        <v xml:space="preserve">] </v>
      </c>
      <c r="O1399" s="49" t="str">
        <f t="shared" si="86"/>
        <v xml:space="preserve">[W254.4]] </v>
      </c>
    </row>
    <row r="1400" spans="1:15" s="49" customFormat="1" ht="14.15" customHeight="1">
      <c r="A1400" s="60"/>
      <c r="B1400" s="11"/>
      <c r="C1400" s="11" t="s">
        <v>124</v>
      </c>
      <c r="D1400" s="45" t="s">
        <v>123</v>
      </c>
      <c r="E1400" s="47"/>
      <c r="F1400" s="41" t="s">
        <v>1099</v>
      </c>
      <c r="G1400" s="13" t="s">
        <v>8200</v>
      </c>
      <c r="H1400" s="99" t="str">
        <f t="shared" si="87"/>
        <v>W254.5</v>
      </c>
      <c r="I1400" s="13"/>
      <c r="J1400" s="13"/>
      <c r="K1400" s="56"/>
      <c r="L1400" s="48"/>
      <c r="M1400" s="49" t="str">
        <f t="shared" si="88"/>
        <v>[W254.5]</v>
      </c>
      <c r="N1400" s="12" t="str">
        <f t="shared" si="89"/>
        <v xml:space="preserve">] </v>
      </c>
      <c r="O1400" s="49" t="str">
        <f t="shared" si="86"/>
        <v xml:space="preserve">[W254.5]] </v>
      </c>
    </row>
    <row r="1401" spans="1:15" s="49" customFormat="1" ht="14.15" customHeight="1">
      <c r="A1401" s="60"/>
      <c r="B1401" s="11"/>
      <c r="C1401" s="11" t="s">
        <v>124</v>
      </c>
      <c r="D1401" s="45" t="s">
        <v>123</v>
      </c>
      <c r="E1401" s="47"/>
      <c r="F1401" s="41" t="s">
        <v>1100</v>
      </c>
      <c r="G1401" s="13" t="s">
        <v>8201</v>
      </c>
      <c r="H1401" s="99" t="str">
        <f t="shared" si="87"/>
        <v>W254.6</v>
      </c>
      <c r="I1401" s="13"/>
      <c r="J1401" s="13"/>
      <c r="K1401" s="56"/>
      <c r="L1401" s="48"/>
      <c r="M1401" s="49" t="str">
        <f t="shared" si="88"/>
        <v>[W254.6]</v>
      </c>
      <c r="N1401" s="12" t="str">
        <f t="shared" si="89"/>
        <v xml:space="preserve">] </v>
      </c>
      <c r="O1401" s="49" t="str">
        <f t="shared" si="86"/>
        <v xml:space="preserve">[W254.6]] </v>
      </c>
    </row>
    <row r="1402" spans="1:15" s="49" customFormat="1" ht="14.15" customHeight="1">
      <c r="A1402" s="60"/>
      <c r="B1402" s="11"/>
      <c r="C1402" s="11" t="s">
        <v>124</v>
      </c>
      <c r="D1402" s="45" t="s">
        <v>123</v>
      </c>
      <c r="E1402" s="47"/>
      <c r="F1402" s="41" t="s">
        <v>1101</v>
      </c>
      <c r="G1402" s="13" t="s">
        <v>8202</v>
      </c>
      <c r="H1402" s="99" t="str">
        <f t="shared" si="87"/>
        <v>W254.7</v>
      </c>
      <c r="I1402" s="13"/>
      <c r="J1402" s="13"/>
      <c r="K1402" s="56"/>
      <c r="L1402" s="48"/>
      <c r="M1402" s="49" t="str">
        <f t="shared" si="88"/>
        <v>[W254.7]</v>
      </c>
      <c r="N1402" s="12" t="str">
        <f t="shared" si="89"/>
        <v xml:space="preserve">] </v>
      </c>
      <c r="O1402" s="49" t="str">
        <f t="shared" si="86"/>
        <v xml:space="preserve">[W254.7]] </v>
      </c>
    </row>
    <row r="1403" spans="1:15" s="49" customFormat="1" ht="14.15" customHeight="1">
      <c r="A1403" s="60"/>
      <c r="B1403" s="11"/>
      <c r="C1403" s="11" t="s">
        <v>124</v>
      </c>
      <c r="D1403" s="45" t="s">
        <v>123</v>
      </c>
      <c r="E1403" s="47"/>
      <c r="F1403" s="41" t="s">
        <v>1102</v>
      </c>
      <c r="G1403" s="13" t="s">
        <v>8203</v>
      </c>
      <c r="H1403" s="99" t="str">
        <f t="shared" si="87"/>
        <v>W254.8</v>
      </c>
      <c r="I1403" s="13"/>
      <c r="J1403" s="13"/>
      <c r="K1403" s="56"/>
      <c r="L1403" s="48"/>
      <c r="M1403" s="49" t="str">
        <f t="shared" si="88"/>
        <v>[W254.8]</v>
      </c>
      <c r="N1403" s="12" t="str">
        <f t="shared" si="89"/>
        <v xml:space="preserve">] </v>
      </c>
      <c r="O1403" s="49" t="str">
        <f t="shared" si="86"/>
        <v xml:space="preserve">[W254.8]] </v>
      </c>
    </row>
    <row r="1404" spans="1:15" s="49" customFormat="1" ht="14.15" customHeight="1">
      <c r="A1404" s="60"/>
      <c r="B1404" s="11"/>
      <c r="C1404" s="11" t="s">
        <v>124</v>
      </c>
      <c r="D1404" s="45" t="s">
        <v>123</v>
      </c>
      <c r="E1404" s="47"/>
      <c r="F1404" s="41" t="s">
        <v>1103</v>
      </c>
      <c r="G1404" s="13" t="s">
        <v>8204</v>
      </c>
      <c r="H1404" s="99" t="str">
        <f t="shared" si="87"/>
        <v>W254.9</v>
      </c>
      <c r="I1404" s="13"/>
      <c r="J1404" s="13"/>
      <c r="K1404" s="56"/>
      <c r="L1404" s="48"/>
      <c r="M1404" s="49" t="str">
        <f t="shared" si="88"/>
        <v>[W254.9]</v>
      </c>
      <c r="N1404" s="12" t="str">
        <f t="shared" si="89"/>
        <v xml:space="preserve">] </v>
      </c>
      <c r="O1404" s="49" t="str">
        <f t="shared" si="86"/>
        <v xml:space="preserve">[W254.9]] </v>
      </c>
    </row>
    <row r="1405" spans="1:15" s="49" customFormat="1" ht="14.15" customHeight="1">
      <c r="A1405" s="60"/>
      <c r="B1405" s="11"/>
      <c r="C1405" s="11" t="s">
        <v>124</v>
      </c>
      <c r="D1405" s="45" t="s">
        <v>123</v>
      </c>
      <c r="E1405" s="47"/>
      <c r="F1405" s="41" t="s">
        <v>1104</v>
      </c>
      <c r="G1405" s="13" t="s">
        <v>8205</v>
      </c>
      <c r="H1405" s="99" t="str">
        <f t="shared" si="87"/>
        <v>W254.A</v>
      </c>
      <c r="I1405" s="13"/>
      <c r="J1405" s="13"/>
      <c r="K1405" s="56"/>
      <c r="L1405" s="48"/>
      <c r="M1405" s="49" t="str">
        <f t="shared" si="88"/>
        <v>[W254.A]</v>
      </c>
      <c r="N1405" s="12" t="str">
        <f t="shared" si="89"/>
        <v xml:space="preserve">] </v>
      </c>
      <c r="O1405" s="49" t="str">
        <f t="shared" si="86"/>
        <v xml:space="preserve">[W254.A]] </v>
      </c>
    </row>
    <row r="1406" spans="1:15" s="49" customFormat="1" ht="14.15" customHeight="1">
      <c r="A1406" s="60"/>
      <c r="B1406" s="11"/>
      <c r="C1406" s="11" t="s">
        <v>107</v>
      </c>
      <c r="D1406" s="45" t="s">
        <v>123</v>
      </c>
      <c r="E1406" s="47"/>
      <c r="F1406" s="41" t="s">
        <v>1105</v>
      </c>
      <c r="G1406" s="13" t="s">
        <v>8206</v>
      </c>
      <c r="H1406" s="99" t="str">
        <f t="shared" si="87"/>
        <v>W254.B</v>
      </c>
      <c r="I1406" s="13"/>
      <c r="J1406" s="13"/>
      <c r="K1406" s="56"/>
      <c r="L1406" s="48"/>
      <c r="M1406" s="49" t="str">
        <f t="shared" si="88"/>
        <v>[W254.B]</v>
      </c>
      <c r="N1406" s="12" t="str">
        <f t="shared" si="89"/>
        <v xml:space="preserve">] </v>
      </c>
      <c r="O1406" s="49" t="str">
        <f t="shared" si="86"/>
        <v xml:space="preserve">[W254.B]] </v>
      </c>
    </row>
    <row r="1407" spans="1:15" s="49" customFormat="1" ht="14.15" customHeight="1">
      <c r="A1407" s="60"/>
      <c r="B1407" s="11"/>
      <c r="C1407" s="11" t="s">
        <v>107</v>
      </c>
      <c r="D1407" s="45" t="s">
        <v>16</v>
      </c>
      <c r="E1407" s="47"/>
      <c r="F1407" s="41" t="s">
        <v>1106</v>
      </c>
      <c r="G1407" s="13" t="s">
        <v>8207</v>
      </c>
      <c r="H1407" s="99" t="str">
        <f t="shared" si="87"/>
        <v>W254.C</v>
      </c>
      <c r="I1407" s="13"/>
      <c r="J1407" s="13"/>
      <c r="K1407" s="56"/>
      <c r="L1407" s="48"/>
      <c r="M1407" s="49" t="str">
        <f t="shared" si="88"/>
        <v>[W254.C]</v>
      </c>
      <c r="N1407" s="12" t="str">
        <f t="shared" si="89"/>
        <v xml:space="preserve">] </v>
      </c>
      <c r="O1407" s="49" t="str">
        <f t="shared" si="86"/>
        <v xml:space="preserve">[W254.C]] </v>
      </c>
    </row>
    <row r="1408" spans="1:15" s="49" customFormat="1" ht="14.15" customHeight="1">
      <c r="A1408" s="60"/>
      <c r="B1408" s="11"/>
      <c r="C1408" s="11" t="s">
        <v>124</v>
      </c>
      <c r="D1408" s="45" t="s">
        <v>123</v>
      </c>
      <c r="E1408" s="47"/>
      <c r="F1408" s="41" t="s">
        <v>1107</v>
      </c>
      <c r="G1408" s="13" t="s">
        <v>8208</v>
      </c>
      <c r="H1408" s="99" t="str">
        <f t="shared" si="87"/>
        <v>W254.D</v>
      </c>
      <c r="I1408" s="13"/>
      <c r="J1408" s="13"/>
      <c r="K1408" s="56"/>
      <c r="L1408" s="48"/>
      <c r="M1408" s="49" t="str">
        <f t="shared" si="88"/>
        <v>[W254.D]</v>
      </c>
      <c r="N1408" s="12" t="str">
        <f t="shared" si="89"/>
        <v xml:space="preserve">] </v>
      </c>
      <c r="O1408" s="49" t="str">
        <f t="shared" si="86"/>
        <v xml:space="preserve">[W254.D]] </v>
      </c>
    </row>
    <row r="1409" spans="1:15" s="49" customFormat="1" ht="14.15" customHeight="1">
      <c r="A1409" s="60"/>
      <c r="B1409" s="11"/>
      <c r="C1409" s="11" t="s">
        <v>124</v>
      </c>
      <c r="D1409" s="45" t="s">
        <v>123</v>
      </c>
      <c r="E1409" s="47"/>
      <c r="F1409" s="41" t="s">
        <v>1108</v>
      </c>
      <c r="G1409" s="13" t="s">
        <v>8209</v>
      </c>
      <c r="H1409" s="99" t="str">
        <f t="shared" si="87"/>
        <v>W254.E</v>
      </c>
      <c r="I1409" s="13"/>
      <c r="J1409" s="13"/>
      <c r="K1409" s="57"/>
      <c r="L1409" s="48"/>
      <c r="M1409" s="49" t="str">
        <f t="shared" si="88"/>
        <v>[W254.E]</v>
      </c>
      <c r="N1409" s="12" t="str">
        <f t="shared" si="89"/>
        <v xml:space="preserve">] </v>
      </c>
      <c r="O1409" s="49" t="str">
        <f t="shared" si="86"/>
        <v xml:space="preserve">[W254.E]] </v>
      </c>
    </row>
    <row r="1410" spans="1:15" s="49" customFormat="1" ht="14.15" customHeight="1">
      <c r="A1410" s="60"/>
      <c r="B1410" s="11"/>
      <c r="C1410" s="11" t="s">
        <v>124</v>
      </c>
      <c r="D1410" s="45" t="s">
        <v>123</v>
      </c>
      <c r="E1410" s="46"/>
      <c r="F1410" s="41" t="s">
        <v>1109</v>
      </c>
      <c r="G1410" s="13" t="s">
        <v>8210</v>
      </c>
      <c r="H1410" s="99" t="str">
        <f t="shared" si="87"/>
        <v>W254.F</v>
      </c>
      <c r="I1410" s="13"/>
      <c r="J1410" s="13"/>
      <c r="K1410" s="57"/>
      <c r="L1410" s="48"/>
      <c r="M1410" s="49" t="str">
        <f t="shared" si="88"/>
        <v>[W254.F]</v>
      </c>
      <c r="N1410" s="12" t="str">
        <f t="shared" si="89"/>
        <v xml:space="preserve">] </v>
      </c>
      <c r="O1410" s="49" t="str">
        <f t="shared" si="86"/>
        <v xml:space="preserve">[W254.F]] </v>
      </c>
    </row>
    <row r="1411" spans="1:15" s="49" customFormat="1" ht="14.15" customHeight="1">
      <c r="A1411" s="60"/>
      <c r="B1411" s="11"/>
      <c r="C1411" s="11" t="s">
        <v>107</v>
      </c>
      <c r="D1411" s="45" t="s">
        <v>16</v>
      </c>
      <c r="E1411" s="47"/>
      <c r="F1411" s="41" t="s">
        <v>1110</v>
      </c>
      <c r="G1411" s="13" t="s">
        <v>8211</v>
      </c>
      <c r="H1411" s="99" t="str">
        <f t="shared" si="87"/>
        <v>W255.0</v>
      </c>
      <c r="I1411" s="13"/>
      <c r="J1411" s="13"/>
      <c r="K1411" s="57"/>
      <c r="L1411" s="48"/>
      <c r="M1411" s="49" t="str">
        <f t="shared" si="88"/>
        <v>[W255.0]</v>
      </c>
      <c r="N1411" s="12" t="str">
        <f t="shared" si="89"/>
        <v xml:space="preserve">] </v>
      </c>
      <c r="O1411" s="49" t="str">
        <f t="shared" si="86"/>
        <v xml:space="preserve">[W255.0]] </v>
      </c>
    </row>
    <row r="1412" spans="1:15" s="49" customFormat="1" ht="14.15" customHeight="1">
      <c r="A1412" s="60"/>
      <c r="B1412" s="11"/>
      <c r="C1412" s="11" t="s">
        <v>107</v>
      </c>
      <c r="D1412" s="45" t="s">
        <v>16</v>
      </c>
      <c r="E1412" s="46"/>
      <c r="F1412" s="41" t="s">
        <v>1111</v>
      </c>
      <c r="G1412" s="13" t="s">
        <v>8212</v>
      </c>
      <c r="H1412" s="99" t="str">
        <f t="shared" si="87"/>
        <v>W255.1</v>
      </c>
      <c r="I1412" s="13"/>
      <c r="J1412" s="13"/>
      <c r="K1412" s="57"/>
      <c r="L1412" s="48"/>
      <c r="M1412" s="49" t="str">
        <f t="shared" si="88"/>
        <v>[W255.1]</v>
      </c>
      <c r="N1412" s="12" t="str">
        <f t="shared" si="89"/>
        <v xml:space="preserve">] </v>
      </c>
      <c r="O1412" s="49" t="str">
        <f>M1412&amp;N1412</f>
        <v xml:space="preserve">[W255.1]] </v>
      </c>
    </row>
    <row r="1413" spans="1:15" s="49" customFormat="1" ht="14.15" customHeight="1">
      <c r="A1413" s="45"/>
      <c r="B1413" s="11"/>
      <c r="C1413" s="11" t="s">
        <v>18</v>
      </c>
      <c r="D1413" s="45" t="s">
        <v>16</v>
      </c>
      <c r="E1413" s="47"/>
      <c r="F1413" s="39" t="s">
        <v>1112</v>
      </c>
      <c r="G1413" s="13" t="s">
        <v>8213</v>
      </c>
      <c r="H1413" s="99" t="str">
        <f t="shared" si="87"/>
        <v>W255.2</v>
      </c>
      <c r="I1413" s="45"/>
      <c r="J1413" s="47"/>
      <c r="K1413" s="47"/>
      <c r="L1413" s="48"/>
    </row>
    <row r="1414" spans="1:15" s="49" customFormat="1" ht="14.15" customHeight="1">
      <c r="A1414" s="45"/>
      <c r="B1414" s="11"/>
      <c r="C1414" s="11" t="s">
        <v>18</v>
      </c>
      <c r="D1414" s="45" t="s">
        <v>16</v>
      </c>
      <c r="E1414" s="47"/>
      <c r="F1414" s="39" t="s">
        <v>1113</v>
      </c>
      <c r="G1414" s="13" t="s">
        <v>8214</v>
      </c>
      <c r="H1414" s="99" t="str">
        <f t="shared" si="87"/>
        <v>W255.3</v>
      </c>
      <c r="I1414" s="45"/>
      <c r="J1414" s="47"/>
      <c r="K1414" s="47"/>
      <c r="L1414" s="48"/>
    </row>
    <row r="1415" spans="1:15" s="49" customFormat="1" ht="14.15" customHeight="1">
      <c r="A1415" s="45"/>
      <c r="B1415" s="11"/>
      <c r="C1415" s="11" t="s">
        <v>18</v>
      </c>
      <c r="D1415" s="45" t="s">
        <v>16</v>
      </c>
      <c r="E1415" s="47"/>
      <c r="F1415" s="39" t="s">
        <v>1114</v>
      </c>
      <c r="G1415" s="13" t="s">
        <v>8215</v>
      </c>
      <c r="H1415" s="99" t="str">
        <f t="shared" si="87"/>
        <v>W255.4</v>
      </c>
      <c r="I1415" s="45"/>
      <c r="J1415" s="47"/>
      <c r="K1415" s="47"/>
      <c r="L1415" s="48"/>
    </row>
    <row r="1416" spans="1:15" s="49" customFormat="1" ht="14.15" customHeight="1">
      <c r="A1416" s="45"/>
      <c r="B1416" s="11"/>
      <c r="C1416" s="11" t="s">
        <v>18</v>
      </c>
      <c r="D1416" s="45" t="s">
        <v>16</v>
      </c>
      <c r="E1416" s="47"/>
      <c r="F1416" s="39" t="s">
        <v>1115</v>
      </c>
      <c r="G1416" s="13" t="s">
        <v>8216</v>
      </c>
      <c r="H1416" s="99" t="str">
        <f t="shared" si="87"/>
        <v>W255.5</v>
      </c>
      <c r="I1416" s="45"/>
      <c r="J1416" s="47"/>
      <c r="K1416" s="47"/>
      <c r="L1416" s="48"/>
    </row>
    <row r="1417" spans="1:15" s="49" customFormat="1" ht="14.15" customHeight="1">
      <c r="A1417" s="45"/>
      <c r="B1417" s="11"/>
      <c r="C1417" s="11" t="s">
        <v>18</v>
      </c>
      <c r="D1417" s="45" t="s">
        <v>16</v>
      </c>
      <c r="E1417" s="47"/>
      <c r="F1417" s="39" t="s">
        <v>1116</v>
      </c>
      <c r="G1417" s="13" t="s">
        <v>8217</v>
      </c>
      <c r="H1417" s="99" t="str">
        <f t="shared" si="87"/>
        <v>W255.6</v>
      </c>
      <c r="I1417" s="45"/>
      <c r="J1417" s="47"/>
      <c r="K1417" s="47"/>
      <c r="L1417" s="48"/>
    </row>
    <row r="1418" spans="1:15" s="49" customFormat="1" ht="14.15" customHeight="1">
      <c r="A1418" s="45"/>
      <c r="B1418" s="11"/>
      <c r="C1418" s="11" t="s">
        <v>18</v>
      </c>
      <c r="D1418" s="45" t="s">
        <v>16</v>
      </c>
      <c r="E1418" s="47"/>
      <c r="F1418" s="39" t="s">
        <v>1117</v>
      </c>
      <c r="G1418" s="13" t="s">
        <v>8218</v>
      </c>
      <c r="H1418" s="99" t="str">
        <f t="shared" si="87"/>
        <v>W255.7</v>
      </c>
      <c r="I1418" s="45"/>
      <c r="J1418" s="47"/>
      <c r="K1418" s="47"/>
      <c r="L1418" s="48"/>
    </row>
    <row r="1419" spans="1:15" s="49" customFormat="1" ht="14.15" customHeight="1">
      <c r="A1419" s="45"/>
      <c r="B1419" s="11"/>
      <c r="C1419" s="11" t="s">
        <v>18</v>
      </c>
      <c r="D1419" s="45" t="s">
        <v>16</v>
      </c>
      <c r="E1419" s="47"/>
      <c r="F1419" s="39" t="s">
        <v>1118</v>
      </c>
      <c r="G1419" s="13" t="s">
        <v>8219</v>
      </c>
      <c r="H1419" s="99" t="str">
        <f t="shared" si="87"/>
        <v>W255.8</v>
      </c>
      <c r="I1419" s="45"/>
      <c r="J1419" s="47"/>
      <c r="K1419" s="47"/>
      <c r="L1419" s="48"/>
    </row>
    <row r="1420" spans="1:15" s="49" customFormat="1" ht="14.15" customHeight="1">
      <c r="A1420" s="45"/>
      <c r="B1420" s="11"/>
      <c r="C1420" s="11" t="s">
        <v>18</v>
      </c>
      <c r="D1420" s="45" t="s">
        <v>16</v>
      </c>
      <c r="E1420" s="47"/>
      <c r="F1420" s="39" t="s">
        <v>1119</v>
      </c>
      <c r="G1420" s="13" t="s">
        <v>8220</v>
      </c>
      <c r="H1420" s="99" t="str">
        <f t="shared" si="87"/>
        <v>W255.9</v>
      </c>
      <c r="I1420" s="45"/>
      <c r="J1420" s="47"/>
      <c r="K1420" s="47"/>
      <c r="L1420" s="48"/>
    </row>
    <row r="1421" spans="1:15" s="49" customFormat="1" ht="14.15" customHeight="1">
      <c r="A1421" s="45"/>
      <c r="B1421" s="11"/>
      <c r="C1421" s="11" t="s">
        <v>18</v>
      </c>
      <c r="D1421" s="45" t="s">
        <v>16</v>
      </c>
      <c r="E1421" s="47"/>
      <c r="F1421" s="39" t="s">
        <v>1120</v>
      </c>
      <c r="G1421" s="13" t="s">
        <v>8221</v>
      </c>
      <c r="H1421" s="99" t="str">
        <f t="shared" si="87"/>
        <v>W255.A</v>
      </c>
      <c r="I1421" s="45"/>
      <c r="J1421" s="47"/>
      <c r="K1421" s="47"/>
      <c r="L1421" s="48"/>
    </row>
    <row r="1422" spans="1:15" s="49" customFormat="1" ht="14.15" customHeight="1">
      <c r="A1422" s="45"/>
      <c r="B1422" s="11"/>
      <c r="C1422" s="11" t="s">
        <v>18</v>
      </c>
      <c r="D1422" s="45" t="s">
        <v>16</v>
      </c>
      <c r="E1422" s="47"/>
      <c r="F1422" s="39" t="s">
        <v>1121</v>
      </c>
      <c r="G1422" s="13" t="s">
        <v>8222</v>
      </c>
      <c r="H1422" s="99" t="str">
        <f t="shared" si="87"/>
        <v>W255.B</v>
      </c>
      <c r="I1422" s="45"/>
      <c r="J1422" s="47"/>
      <c r="K1422" s="47"/>
      <c r="L1422" s="48"/>
    </row>
    <row r="1423" spans="1:15" s="49" customFormat="1" ht="14.15" customHeight="1">
      <c r="A1423" s="45"/>
      <c r="B1423" s="11"/>
      <c r="C1423" s="11" t="s">
        <v>18</v>
      </c>
      <c r="D1423" s="45" t="s">
        <v>16</v>
      </c>
      <c r="E1423" s="47"/>
      <c r="F1423" s="39" t="s">
        <v>1122</v>
      </c>
      <c r="G1423" s="13" t="s">
        <v>8223</v>
      </c>
      <c r="H1423" s="99" t="str">
        <f t="shared" si="87"/>
        <v>W255.C</v>
      </c>
      <c r="I1423" s="45"/>
      <c r="J1423" s="47"/>
      <c r="K1423" s="47"/>
      <c r="L1423" s="48"/>
    </row>
    <row r="1424" spans="1:15" s="49" customFormat="1" ht="14.15" customHeight="1">
      <c r="A1424" s="45"/>
      <c r="B1424" s="11"/>
      <c r="C1424" s="11" t="s">
        <v>18</v>
      </c>
      <c r="D1424" s="45" t="s">
        <v>16</v>
      </c>
      <c r="E1424" s="47"/>
      <c r="F1424" s="39" t="s">
        <v>1123</v>
      </c>
      <c r="G1424" s="13" t="s">
        <v>8224</v>
      </c>
      <c r="H1424" s="99" t="str">
        <f t="shared" si="87"/>
        <v>W255.D</v>
      </c>
      <c r="I1424" s="45"/>
      <c r="J1424" s="47"/>
      <c r="K1424" s="47"/>
      <c r="L1424" s="48"/>
    </row>
    <row r="1425" spans="1:12" s="49" customFormat="1" ht="14.15" customHeight="1">
      <c r="A1425" s="45"/>
      <c r="B1425" s="11"/>
      <c r="C1425" s="11" t="s">
        <v>18</v>
      </c>
      <c r="D1425" s="45" t="s">
        <v>16</v>
      </c>
      <c r="E1425" s="47"/>
      <c r="F1425" s="39" t="s">
        <v>1124</v>
      </c>
      <c r="G1425" s="13" t="s">
        <v>8225</v>
      </c>
      <c r="H1425" s="99" t="str">
        <f t="shared" si="87"/>
        <v>W255.E</v>
      </c>
      <c r="I1425" s="45"/>
      <c r="J1425" s="47"/>
      <c r="K1425" s="47"/>
      <c r="L1425" s="48"/>
    </row>
    <row r="1426" spans="1:12" s="49" customFormat="1" ht="14.15" customHeight="1">
      <c r="A1426" s="45"/>
      <c r="B1426" s="11"/>
      <c r="C1426" s="11" t="s">
        <v>18</v>
      </c>
      <c r="D1426" s="45" t="s">
        <v>16</v>
      </c>
      <c r="E1426" s="47"/>
      <c r="F1426" s="39" t="s">
        <v>1125</v>
      </c>
      <c r="G1426" s="13" t="s">
        <v>8226</v>
      </c>
      <c r="H1426" s="99" t="str">
        <f t="shared" si="87"/>
        <v>W255.F</v>
      </c>
      <c r="I1426" s="45"/>
      <c r="J1426" s="47"/>
      <c r="K1426" s="47"/>
      <c r="L1426" s="48"/>
    </row>
    <row r="1427" spans="1:12" s="49" customFormat="1" ht="14.15" customHeight="1">
      <c r="A1427" s="45"/>
      <c r="B1427" s="11"/>
      <c r="C1427" s="11" t="s">
        <v>18</v>
      </c>
      <c r="D1427" s="45" t="s">
        <v>16</v>
      </c>
      <c r="E1427" s="47"/>
      <c r="F1427" s="39" t="s">
        <v>1126</v>
      </c>
      <c r="G1427" s="13" t="s">
        <v>8227</v>
      </c>
      <c r="H1427" s="99" t="str">
        <f t="shared" si="87"/>
        <v>W256.0</v>
      </c>
      <c r="I1427" s="45"/>
      <c r="J1427" s="47"/>
      <c r="K1427" s="47"/>
      <c r="L1427" s="48"/>
    </row>
    <row r="1428" spans="1:12" s="49" customFormat="1" ht="14.15" customHeight="1">
      <c r="A1428" s="45"/>
      <c r="B1428" s="11"/>
      <c r="C1428" s="11" t="s">
        <v>18</v>
      </c>
      <c r="D1428" s="45" t="s">
        <v>16</v>
      </c>
      <c r="E1428" s="47"/>
      <c r="F1428" s="39" t="s">
        <v>1127</v>
      </c>
      <c r="G1428" s="13" t="s">
        <v>8228</v>
      </c>
      <c r="H1428" s="99" t="str">
        <f t="shared" si="87"/>
        <v>W256.1</v>
      </c>
      <c r="I1428" s="45"/>
      <c r="J1428" s="47"/>
      <c r="K1428" s="47"/>
      <c r="L1428" s="48"/>
    </row>
    <row r="1429" spans="1:12" s="49" customFormat="1" ht="14.15" customHeight="1">
      <c r="A1429" s="45"/>
      <c r="B1429" s="11"/>
      <c r="C1429" s="11" t="s">
        <v>18</v>
      </c>
      <c r="D1429" s="45" t="s">
        <v>16</v>
      </c>
      <c r="E1429" s="47"/>
      <c r="F1429" s="39" t="s">
        <v>1128</v>
      </c>
      <c r="G1429" s="13" t="s">
        <v>8229</v>
      </c>
      <c r="H1429" s="99" t="str">
        <f t="shared" si="87"/>
        <v>W256.2</v>
      </c>
      <c r="I1429" s="45"/>
      <c r="J1429" s="47"/>
      <c r="K1429" s="47"/>
      <c r="L1429" s="48"/>
    </row>
    <row r="1430" spans="1:12" s="49" customFormat="1" ht="14.15" customHeight="1">
      <c r="A1430" s="45"/>
      <c r="B1430" s="11"/>
      <c r="C1430" s="11" t="s">
        <v>18</v>
      </c>
      <c r="D1430" s="45" t="s">
        <v>16</v>
      </c>
      <c r="E1430" s="47"/>
      <c r="F1430" s="39" t="s">
        <v>1129</v>
      </c>
      <c r="G1430" s="13" t="s">
        <v>8230</v>
      </c>
      <c r="H1430" s="99" t="str">
        <f t="shared" si="87"/>
        <v>W256.3</v>
      </c>
      <c r="I1430" s="45"/>
      <c r="J1430" s="47"/>
      <c r="K1430" s="47"/>
      <c r="L1430" s="48"/>
    </row>
    <row r="1431" spans="1:12" s="49" customFormat="1" ht="14.15" customHeight="1">
      <c r="A1431" s="45"/>
      <c r="B1431" s="11"/>
      <c r="C1431" s="11" t="s">
        <v>18</v>
      </c>
      <c r="D1431" s="45" t="s">
        <v>16</v>
      </c>
      <c r="E1431" s="47"/>
      <c r="F1431" s="39" t="s">
        <v>1130</v>
      </c>
      <c r="G1431" s="13" t="s">
        <v>8231</v>
      </c>
      <c r="H1431" s="99" t="str">
        <f t="shared" si="87"/>
        <v>W256.4</v>
      </c>
      <c r="I1431" s="45"/>
      <c r="J1431" s="47"/>
      <c r="K1431" s="47"/>
      <c r="L1431" s="48"/>
    </row>
    <row r="1432" spans="1:12" s="49" customFormat="1" ht="14.15" customHeight="1">
      <c r="A1432" s="45"/>
      <c r="B1432" s="11"/>
      <c r="C1432" s="11" t="s">
        <v>18</v>
      </c>
      <c r="D1432" s="45" t="s">
        <v>16</v>
      </c>
      <c r="E1432" s="47"/>
      <c r="F1432" s="39" t="s">
        <v>1131</v>
      </c>
      <c r="G1432" s="13" t="s">
        <v>8232</v>
      </c>
      <c r="H1432" s="99" t="str">
        <f t="shared" si="87"/>
        <v>W256.5</v>
      </c>
      <c r="I1432" s="45"/>
      <c r="J1432" s="47"/>
      <c r="K1432" s="47"/>
      <c r="L1432" s="48"/>
    </row>
    <row r="1433" spans="1:12" s="49" customFormat="1" ht="14.15" customHeight="1">
      <c r="A1433" s="45"/>
      <c r="B1433" s="11"/>
      <c r="C1433" s="11" t="s">
        <v>18</v>
      </c>
      <c r="D1433" s="45" t="s">
        <v>16</v>
      </c>
      <c r="E1433" s="47"/>
      <c r="F1433" s="39" t="s">
        <v>1132</v>
      </c>
      <c r="G1433" s="13" t="s">
        <v>8233</v>
      </c>
      <c r="H1433" s="99" t="str">
        <f t="shared" si="87"/>
        <v>W256.6</v>
      </c>
      <c r="I1433" s="45"/>
      <c r="J1433" s="47"/>
      <c r="K1433" s="47"/>
      <c r="L1433" s="48"/>
    </row>
    <row r="1434" spans="1:12" s="49" customFormat="1" ht="14.15" customHeight="1">
      <c r="A1434" s="45"/>
      <c r="B1434" s="11"/>
      <c r="C1434" s="11" t="s">
        <v>18</v>
      </c>
      <c r="D1434" s="45" t="s">
        <v>16</v>
      </c>
      <c r="E1434" s="47"/>
      <c r="F1434" s="39" t="s">
        <v>1133</v>
      </c>
      <c r="G1434" s="13" t="s">
        <v>8234</v>
      </c>
      <c r="H1434" s="99" t="str">
        <f t="shared" si="87"/>
        <v>W256.7</v>
      </c>
      <c r="I1434" s="45"/>
      <c r="J1434" s="47"/>
      <c r="K1434" s="47"/>
      <c r="L1434" s="48"/>
    </row>
    <row r="1435" spans="1:12" s="49" customFormat="1" ht="14.15" customHeight="1">
      <c r="A1435" s="45"/>
      <c r="B1435" s="11"/>
      <c r="C1435" s="11" t="s">
        <v>18</v>
      </c>
      <c r="D1435" s="45" t="s">
        <v>16</v>
      </c>
      <c r="E1435" s="47"/>
      <c r="F1435" s="39" t="s">
        <v>1134</v>
      </c>
      <c r="G1435" s="13" t="s">
        <v>8235</v>
      </c>
      <c r="H1435" s="99" t="str">
        <f t="shared" si="87"/>
        <v>W256.8</v>
      </c>
      <c r="I1435" s="45"/>
      <c r="J1435" s="47"/>
      <c r="K1435" s="47"/>
      <c r="L1435" s="48"/>
    </row>
    <row r="1436" spans="1:12" s="49" customFormat="1" ht="14.15" customHeight="1">
      <c r="A1436" s="45"/>
      <c r="B1436" s="11"/>
      <c r="C1436" s="11" t="s">
        <v>18</v>
      </c>
      <c r="D1436" s="45" t="s">
        <v>16</v>
      </c>
      <c r="E1436" s="47"/>
      <c r="F1436" s="39" t="s">
        <v>1135</v>
      </c>
      <c r="G1436" s="13" t="s">
        <v>8236</v>
      </c>
      <c r="H1436" s="99" t="str">
        <f t="shared" si="87"/>
        <v>W256.9</v>
      </c>
      <c r="I1436" s="45"/>
      <c r="J1436" s="47"/>
      <c r="K1436" s="47"/>
      <c r="L1436" s="48"/>
    </row>
    <row r="1437" spans="1:12" s="49" customFormat="1" ht="14.15" customHeight="1">
      <c r="A1437" s="45"/>
      <c r="B1437" s="11"/>
      <c r="C1437" s="11" t="s">
        <v>18</v>
      </c>
      <c r="D1437" s="45" t="s">
        <v>16</v>
      </c>
      <c r="E1437" s="47"/>
      <c r="F1437" s="39" t="s">
        <v>1136</v>
      </c>
      <c r="G1437" s="13" t="s">
        <v>8237</v>
      </c>
      <c r="H1437" s="99" t="str">
        <f t="shared" si="87"/>
        <v>W256.A</v>
      </c>
      <c r="I1437" s="45"/>
      <c r="J1437" s="47"/>
      <c r="K1437" s="47"/>
      <c r="L1437" s="48"/>
    </row>
    <row r="1438" spans="1:12" s="49" customFormat="1" ht="14.15" customHeight="1">
      <c r="A1438" s="45"/>
      <c r="B1438" s="11"/>
      <c r="C1438" s="11" t="s">
        <v>18</v>
      </c>
      <c r="D1438" s="45" t="s">
        <v>16</v>
      </c>
      <c r="E1438" s="47"/>
      <c r="F1438" s="39" t="s">
        <v>1137</v>
      </c>
      <c r="G1438" s="13" t="s">
        <v>8238</v>
      </c>
      <c r="H1438" s="99" t="str">
        <f t="shared" si="87"/>
        <v>W256.B</v>
      </c>
      <c r="I1438" s="45"/>
      <c r="J1438" s="47"/>
      <c r="K1438" s="47"/>
      <c r="L1438" s="48"/>
    </row>
    <row r="1439" spans="1:12" s="49" customFormat="1" ht="14.15" customHeight="1">
      <c r="A1439" s="45"/>
      <c r="B1439" s="11"/>
      <c r="C1439" s="11" t="s">
        <v>18</v>
      </c>
      <c r="D1439" s="45" t="s">
        <v>16</v>
      </c>
      <c r="E1439" s="47"/>
      <c r="F1439" s="39" t="s">
        <v>1138</v>
      </c>
      <c r="G1439" s="13" t="s">
        <v>8239</v>
      </c>
      <c r="H1439" s="99" t="str">
        <f t="shared" si="87"/>
        <v>W256.C</v>
      </c>
      <c r="I1439" s="45"/>
      <c r="J1439" s="47"/>
      <c r="K1439" s="47"/>
      <c r="L1439" s="48"/>
    </row>
    <row r="1440" spans="1:12" s="49" customFormat="1" ht="14.15" customHeight="1">
      <c r="A1440" s="45"/>
      <c r="B1440" s="11"/>
      <c r="C1440" s="11" t="s">
        <v>18</v>
      </c>
      <c r="D1440" s="45" t="s">
        <v>16</v>
      </c>
      <c r="E1440" s="47"/>
      <c r="F1440" s="39" t="s">
        <v>1139</v>
      </c>
      <c r="G1440" s="13" t="s">
        <v>8240</v>
      </c>
      <c r="H1440" s="99" t="str">
        <f t="shared" si="87"/>
        <v>W256.D</v>
      </c>
      <c r="I1440" s="45"/>
      <c r="J1440" s="47"/>
      <c r="K1440" s="47"/>
      <c r="L1440" s="48"/>
    </row>
    <row r="1441" spans="1:12" s="49" customFormat="1" ht="14.15" customHeight="1">
      <c r="A1441" s="45"/>
      <c r="B1441" s="11"/>
      <c r="C1441" s="11" t="s">
        <v>18</v>
      </c>
      <c r="D1441" s="45" t="s">
        <v>16</v>
      </c>
      <c r="E1441" s="47"/>
      <c r="F1441" s="39" t="s">
        <v>1140</v>
      </c>
      <c r="G1441" s="13" t="s">
        <v>8241</v>
      </c>
      <c r="H1441" s="99" t="str">
        <f t="shared" si="87"/>
        <v>W256.E</v>
      </c>
      <c r="I1441" s="45"/>
      <c r="J1441" s="47"/>
      <c r="K1441" s="47"/>
      <c r="L1441" s="48"/>
    </row>
    <row r="1442" spans="1:12" s="49" customFormat="1" ht="14.15" customHeight="1">
      <c r="A1442" s="45"/>
      <c r="B1442" s="11"/>
      <c r="C1442" s="11" t="s">
        <v>18</v>
      </c>
      <c r="D1442" s="45" t="s">
        <v>16</v>
      </c>
      <c r="E1442" s="47"/>
      <c r="F1442" s="39" t="s">
        <v>1141</v>
      </c>
      <c r="G1442" s="13" t="s">
        <v>8242</v>
      </c>
      <c r="H1442" s="99" t="str">
        <f t="shared" si="87"/>
        <v>W256.F</v>
      </c>
      <c r="I1442" s="45"/>
      <c r="J1442" s="47"/>
      <c r="K1442" s="47"/>
      <c r="L1442" s="48"/>
    </row>
    <row r="1443" spans="1:12" s="49" customFormat="1" ht="14.15" customHeight="1">
      <c r="A1443" s="45"/>
      <c r="B1443" s="11"/>
      <c r="C1443" s="11" t="s">
        <v>18</v>
      </c>
      <c r="D1443" s="45" t="s">
        <v>16</v>
      </c>
      <c r="E1443" s="47"/>
      <c r="F1443" s="39" t="s">
        <v>1142</v>
      </c>
      <c r="G1443" s="13" t="s">
        <v>8243</v>
      </c>
      <c r="H1443" s="99" t="str">
        <f t="shared" si="87"/>
        <v>W257.0</v>
      </c>
      <c r="I1443" s="45"/>
      <c r="J1443" s="47"/>
      <c r="K1443" s="47"/>
      <c r="L1443" s="48"/>
    </row>
    <row r="1444" spans="1:12" s="49" customFormat="1" ht="14.15" customHeight="1">
      <c r="A1444" s="45"/>
      <c r="B1444" s="11"/>
      <c r="C1444" s="11" t="s">
        <v>18</v>
      </c>
      <c r="D1444" s="45" t="s">
        <v>16</v>
      </c>
      <c r="E1444" s="47"/>
      <c r="F1444" s="39" t="s">
        <v>1143</v>
      </c>
      <c r="G1444" s="13" t="s">
        <v>8244</v>
      </c>
      <c r="H1444" s="99" t="str">
        <f t="shared" si="87"/>
        <v>W257.1</v>
      </c>
      <c r="I1444" s="45"/>
      <c r="J1444" s="47"/>
      <c r="K1444" s="47"/>
      <c r="L1444" s="48"/>
    </row>
    <row r="1445" spans="1:12" s="49" customFormat="1" ht="14.15" customHeight="1">
      <c r="A1445" s="45"/>
      <c r="B1445" s="11"/>
      <c r="C1445" s="11" t="s">
        <v>18</v>
      </c>
      <c r="D1445" s="45" t="s">
        <v>16</v>
      </c>
      <c r="E1445" s="47"/>
      <c r="F1445" s="39" t="s">
        <v>1144</v>
      </c>
      <c r="G1445" s="13" t="s">
        <v>8245</v>
      </c>
      <c r="H1445" s="99" t="str">
        <f t="shared" si="87"/>
        <v>W257.2</v>
      </c>
      <c r="I1445" s="45"/>
      <c r="J1445" s="47"/>
      <c r="K1445" s="47"/>
      <c r="L1445" s="48"/>
    </row>
    <row r="1446" spans="1:12" s="49" customFormat="1" ht="14.15" customHeight="1">
      <c r="A1446" s="45"/>
      <c r="B1446" s="11"/>
      <c r="C1446" s="11" t="s">
        <v>18</v>
      </c>
      <c r="D1446" s="45" t="s">
        <v>16</v>
      </c>
      <c r="E1446" s="47"/>
      <c r="F1446" s="39" t="s">
        <v>1145</v>
      </c>
      <c r="G1446" s="13" t="s">
        <v>8246</v>
      </c>
      <c r="H1446" s="99" t="str">
        <f t="shared" si="87"/>
        <v>W257.3</v>
      </c>
      <c r="I1446" s="45"/>
      <c r="J1446" s="47"/>
      <c r="K1446" s="47"/>
      <c r="L1446" s="48"/>
    </row>
    <row r="1447" spans="1:12" s="49" customFormat="1" ht="14.15" customHeight="1">
      <c r="A1447" s="45"/>
      <c r="B1447" s="11"/>
      <c r="C1447" s="11" t="s">
        <v>18</v>
      </c>
      <c r="D1447" s="45" t="s">
        <v>16</v>
      </c>
      <c r="E1447" s="47"/>
      <c r="F1447" s="39" t="s">
        <v>1146</v>
      </c>
      <c r="G1447" s="13" t="s">
        <v>8247</v>
      </c>
      <c r="H1447" s="99" t="str">
        <f t="shared" si="87"/>
        <v>W257.4</v>
      </c>
      <c r="I1447" s="45"/>
      <c r="J1447" s="47"/>
      <c r="K1447" s="47"/>
      <c r="L1447" s="48"/>
    </row>
    <row r="1448" spans="1:12" s="49" customFormat="1" ht="14.15" customHeight="1">
      <c r="A1448" s="45"/>
      <c r="B1448" s="11"/>
      <c r="C1448" s="11" t="s">
        <v>18</v>
      </c>
      <c r="D1448" s="45" t="s">
        <v>16</v>
      </c>
      <c r="E1448" s="47"/>
      <c r="F1448" s="39" t="s">
        <v>1147</v>
      </c>
      <c r="G1448" s="13" t="s">
        <v>8248</v>
      </c>
      <c r="H1448" s="99" t="str">
        <f t="shared" si="87"/>
        <v>W257.5</v>
      </c>
      <c r="I1448" s="45"/>
      <c r="J1448" s="47"/>
      <c r="K1448" s="47"/>
      <c r="L1448" s="48"/>
    </row>
    <row r="1449" spans="1:12" s="49" customFormat="1" ht="14.15" customHeight="1">
      <c r="A1449" s="45"/>
      <c r="B1449" s="11"/>
      <c r="C1449" s="11" t="s">
        <v>18</v>
      </c>
      <c r="D1449" s="45" t="s">
        <v>16</v>
      </c>
      <c r="E1449" s="47"/>
      <c r="F1449" s="39" t="s">
        <v>1148</v>
      </c>
      <c r="G1449" s="13" t="s">
        <v>8249</v>
      </c>
      <c r="H1449" s="99" t="str">
        <f t="shared" si="87"/>
        <v>W257.6</v>
      </c>
      <c r="I1449" s="45"/>
      <c r="J1449" s="47"/>
      <c r="K1449" s="47"/>
      <c r="L1449" s="48"/>
    </row>
    <row r="1450" spans="1:12" s="49" customFormat="1" ht="14.15" customHeight="1">
      <c r="A1450" s="45"/>
      <c r="B1450" s="11"/>
      <c r="C1450" s="11" t="s">
        <v>18</v>
      </c>
      <c r="D1450" s="45" t="s">
        <v>16</v>
      </c>
      <c r="E1450" s="47"/>
      <c r="F1450" s="39" t="s">
        <v>1149</v>
      </c>
      <c r="G1450" s="13" t="s">
        <v>8250</v>
      </c>
      <c r="H1450" s="99" t="str">
        <f t="shared" si="87"/>
        <v>W257.7</v>
      </c>
      <c r="I1450" s="45"/>
      <c r="J1450" s="47"/>
      <c r="K1450" s="47"/>
      <c r="L1450" s="48"/>
    </row>
    <row r="1451" spans="1:12" s="49" customFormat="1" ht="14.15" customHeight="1">
      <c r="A1451" s="45"/>
      <c r="B1451" s="11"/>
      <c r="C1451" s="11" t="s">
        <v>18</v>
      </c>
      <c r="D1451" s="45" t="s">
        <v>16</v>
      </c>
      <c r="E1451" s="47"/>
      <c r="F1451" s="39" t="s">
        <v>1150</v>
      </c>
      <c r="G1451" s="13" t="s">
        <v>8251</v>
      </c>
      <c r="H1451" s="99" t="str">
        <f t="shared" si="87"/>
        <v>W257.8</v>
      </c>
      <c r="I1451" s="45"/>
      <c r="J1451" s="47"/>
      <c r="K1451" s="47"/>
      <c r="L1451" s="48"/>
    </row>
    <row r="1452" spans="1:12" s="49" customFormat="1" ht="14.15" customHeight="1">
      <c r="A1452" s="45"/>
      <c r="B1452" s="11"/>
      <c r="C1452" s="11" t="s">
        <v>18</v>
      </c>
      <c r="D1452" s="45" t="s">
        <v>16</v>
      </c>
      <c r="E1452" s="47"/>
      <c r="F1452" s="39" t="s">
        <v>1151</v>
      </c>
      <c r="G1452" s="13" t="s">
        <v>8252</v>
      </c>
      <c r="H1452" s="99" t="str">
        <f t="shared" si="87"/>
        <v>W257.9</v>
      </c>
      <c r="I1452" s="45"/>
      <c r="J1452" s="47"/>
      <c r="K1452" s="47"/>
      <c r="L1452" s="48"/>
    </row>
    <row r="1453" spans="1:12" s="49" customFormat="1" ht="14.15" customHeight="1">
      <c r="A1453" s="45"/>
      <c r="B1453" s="11"/>
      <c r="C1453" s="11" t="s">
        <v>18</v>
      </c>
      <c r="D1453" s="45" t="s">
        <v>16</v>
      </c>
      <c r="E1453" s="47"/>
      <c r="F1453" s="39" t="s">
        <v>1152</v>
      </c>
      <c r="G1453" s="13" t="s">
        <v>8253</v>
      </c>
      <c r="H1453" s="99" t="str">
        <f t="shared" si="87"/>
        <v>W257.A</v>
      </c>
      <c r="I1453" s="45"/>
      <c r="J1453" s="47"/>
      <c r="K1453" s="47"/>
      <c r="L1453" s="48"/>
    </row>
    <row r="1454" spans="1:12" s="49" customFormat="1" ht="14.15" customHeight="1">
      <c r="A1454" s="45"/>
      <c r="B1454" s="11"/>
      <c r="C1454" s="11" t="s">
        <v>18</v>
      </c>
      <c r="D1454" s="45" t="s">
        <v>16</v>
      </c>
      <c r="E1454" s="47"/>
      <c r="F1454" s="39" t="s">
        <v>1153</v>
      </c>
      <c r="G1454" s="13" t="s">
        <v>8254</v>
      </c>
      <c r="H1454" s="99" t="str">
        <f t="shared" si="87"/>
        <v>W257.B</v>
      </c>
      <c r="I1454" s="45"/>
      <c r="J1454" s="47"/>
      <c r="K1454" s="47"/>
      <c r="L1454" s="48"/>
    </row>
    <row r="1455" spans="1:12" s="49" customFormat="1" ht="14.15" customHeight="1">
      <c r="A1455" s="45"/>
      <c r="B1455" s="11"/>
      <c r="C1455" s="11" t="s">
        <v>18</v>
      </c>
      <c r="D1455" s="45" t="s">
        <v>16</v>
      </c>
      <c r="E1455" s="47"/>
      <c r="F1455" s="39" t="s">
        <v>1154</v>
      </c>
      <c r="G1455" s="13" t="s">
        <v>8255</v>
      </c>
      <c r="H1455" s="99" t="str">
        <f t="shared" si="87"/>
        <v>W257.C</v>
      </c>
      <c r="I1455" s="45"/>
      <c r="J1455" s="47"/>
      <c r="K1455" s="47"/>
      <c r="L1455" s="48"/>
    </row>
    <row r="1456" spans="1:12" s="49" customFormat="1" ht="14.15" customHeight="1">
      <c r="A1456" s="45"/>
      <c r="B1456" s="11"/>
      <c r="C1456" s="11" t="s">
        <v>18</v>
      </c>
      <c r="D1456" s="45" t="s">
        <v>16</v>
      </c>
      <c r="E1456" s="47"/>
      <c r="F1456" s="39" t="s">
        <v>1155</v>
      </c>
      <c r="G1456" s="13" t="s">
        <v>8256</v>
      </c>
      <c r="H1456" s="99" t="str">
        <f t="shared" si="87"/>
        <v>W257.D</v>
      </c>
      <c r="I1456" s="45"/>
      <c r="J1456" s="47"/>
      <c r="K1456" s="47"/>
      <c r="L1456" s="48"/>
    </row>
    <row r="1457" spans="1:12" s="49" customFormat="1" ht="14.15" customHeight="1">
      <c r="A1457" s="45"/>
      <c r="B1457" s="11"/>
      <c r="C1457" s="11" t="s">
        <v>18</v>
      </c>
      <c r="D1457" s="45" t="s">
        <v>16</v>
      </c>
      <c r="E1457" s="47"/>
      <c r="F1457" s="39" t="s">
        <v>1156</v>
      </c>
      <c r="G1457" s="13" t="s">
        <v>8257</v>
      </c>
      <c r="H1457" s="99" t="str">
        <f t="shared" si="87"/>
        <v>W257.E</v>
      </c>
      <c r="I1457" s="45"/>
      <c r="J1457" s="47"/>
      <c r="K1457" s="47"/>
      <c r="L1457" s="48"/>
    </row>
    <row r="1458" spans="1:12" s="49" customFormat="1" ht="14.15" customHeight="1">
      <c r="A1458" s="45"/>
      <c r="B1458" s="11"/>
      <c r="C1458" s="11" t="s">
        <v>18</v>
      </c>
      <c r="D1458" s="45" t="s">
        <v>16</v>
      </c>
      <c r="E1458" s="47"/>
      <c r="F1458" s="39" t="s">
        <v>1157</v>
      </c>
      <c r="G1458" s="13" t="s">
        <v>8258</v>
      </c>
      <c r="H1458" s="99" t="str">
        <f t="shared" si="87"/>
        <v>W257.F</v>
      </c>
      <c r="I1458" s="45"/>
      <c r="J1458" s="47"/>
      <c r="K1458" s="47"/>
      <c r="L1458" s="48"/>
    </row>
    <row r="1459" spans="1:12" s="49" customFormat="1" ht="14.15" customHeight="1">
      <c r="A1459" s="45"/>
      <c r="B1459" s="11"/>
      <c r="C1459" s="11" t="s">
        <v>18</v>
      </c>
      <c r="D1459" s="45" t="s">
        <v>16</v>
      </c>
      <c r="E1459" s="47"/>
      <c r="F1459" s="39" t="s">
        <v>1158</v>
      </c>
      <c r="G1459" s="13" t="s">
        <v>8259</v>
      </c>
      <c r="H1459" s="99" t="str">
        <f t="shared" si="87"/>
        <v>W258.0</v>
      </c>
      <c r="I1459" s="45"/>
      <c r="J1459" s="47"/>
      <c r="K1459" s="47"/>
      <c r="L1459" s="48"/>
    </row>
    <row r="1460" spans="1:12" s="49" customFormat="1" ht="14.15" customHeight="1">
      <c r="A1460" s="45"/>
      <c r="B1460" s="11"/>
      <c r="C1460" s="11" t="s">
        <v>18</v>
      </c>
      <c r="D1460" s="45" t="s">
        <v>16</v>
      </c>
      <c r="E1460" s="47"/>
      <c r="F1460" s="39" t="s">
        <v>1159</v>
      </c>
      <c r="G1460" s="13" t="s">
        <v>8260</v>
      </c>
      <c r="H1460" s="99" t="str">
        <f t="shared" ref="H1460:H1523" si="90">"W"&amp;DEC2HEX(512 + INT((ROW()-51)/16)) &amp; "." &amp; IF(MOD(ROW()-51,16)&lt;10,MOD(ROW()-51,16),CHAR(MOD(ROW()-51,16)+55))</f>
        <v>W258.1</v>
      </c>
      <c r="I1460" s="45"/>
      <c r="J1460" s="47"/>
      <c r="K1460" s="47"/>
      <c r="L1460" s="48"/>
    </row>
    <row r="1461" spans="1:12" s="49" customFormat="1" ht="14.15" customHeight="1">
      <c r="A1461" s="45"/>
      <c r="B1461" s="11"/>
      <c r="C1461" s="11" t="s">
        <v>18</v>
      </c>
      <c r="D1461" s="45" t="s">
        <v>16</v>
      </c>
      <c r="E1461" s="47"/>
      <c r="F1461" s="39" t="s">
        <v>1160</v>
      </c>
      <c r="G1461" s="13" t="s">
        <v>8261</v>
      </c>
      <c r="H1461" s="99" t="str">
        <f t="shared" si="90"/>
        <v>W258.2</v>
      </c>
      <c r="I1461" s="45"/>
      <c r="J1461" s="47"/>
      <c r="K1461" s="47"/>
      <c r="L1461" s="48"/>
    </row>
    <row r="1462" spans="1:12" s="49" customFormat="1" ht="14.15" customHeight="1">
      <c r="A1462" s="45"/>
      <c r="B1462" s="11"/>
      <c r="C1462" s="11" t="s">
        <v>18</v>
      </c>
      <c r="D1462" s="45" t="s">
        <v>16</v>
      </c>
      <c r="E1462" s="47"/>
      <c r="F1462" s="39" t="s">
        <v>1161</v>
      </c>
      <c r="G1462" s="13" t="s">
        <v>8262</v>
      </c>
      <c r="H1462" s="99" t="str">
        <f t="shared" si="90"/>
        <v>W258.3</v>
      </c>
      <c r="I1462" s="45"/>
      <c r="J1462" s="47"/>
      <c r="K1462" s="47"/>
      <c r="L1462" s="48"/>
    </row>
    <row r="1463" spans="1:12" s="49" customFormat="1" ht="14.15" customHeight="1">
      <c r="A1463" s="45"/>
      <c r="B1463" s="11"/>
      <c r="C1463" s="11" t="s">
        <v>18</v>
      </c>
      <c r="D1463" s="45" t="s">
        <v>16</v>
      </c>
      <c r="E1463" s="47"/>
      <c r="F1463" s="39" t="s">
        <v>1162</v>
      </c>
      <c r="G1463" s="13" t="s">
        <v>8263</v>
      </c>
      <c r="H1463" s="99" t="str">
        <f t="shared" si="90"/>
        <v>W258.4</v>
      </c>
      <c r="I1463" s="45"/>
      <c r="J1463" s="47"/>
      <c r="K1463" s="47"/>
      <c r="L1463" s="48"/>
    </row>
    <row r="1464" spans="1:12" s="49" customFormat="1" ht="14.15" customHeight="1">
      <c r="A1464" s="45"/>
      <c r="B1464" s="11"/>
      <c r="C1464" s="11" t="s">
        <v>18</v>
      </c>
      <c r="D1464" s="45" t="s">
        <v>16</v>
      </c>
      <c r="E1464" s="47"/>
      <c r="F1464" s="39" t="s">
        <v>1163</v>
      </c>
      <c r="G1464" s="13" t="s">
        <v>8264</v>
      </c>
      <c r="H1464" s="99" t="str">
        <f t="shared" si="90"/>
        <v>W258.5</v>
      </c>
      <c r="I1464" s="45"/>
      <c r="J1464" s="47"/>
      <c r="K1464" s="47"/>
      <c r="L1464" s="48"/>
    </row>
    <row r="1465" spans="1:12" s="49" customFormat="1" ht="14.15" customHeight="1">
      <c r="A1465" s="45"/>
      <c r="B1465" s="11"/>
      <c r="C1465" s="11" t="s">
        <v>18</v>
      </c>
      <c r="D1465" s="45" t="s">
        <v>16</v>
      </c>
      <c r="E1465" s="47"/>
      <c r="F1465" s="39" t="s">
        <v>1164</v>
      </c>
      <c r="G1465" s="13" t="s">
        <v>8265</v>
      </c>
      <c r="H1465" s="99" t="str">
        <f t="shared" si="90"/>
        <v>W258.6</v>
      </c>
      <c r="I1465" s="45"/>
      <c r="J1465" s="47"/>
      <c r="K1465" s="47"/>
      <c r="L1465" s="48"/>
    </row>
    <row r="1466" spans="1:12" s="49" customFormat="1" ht="14.15" customHeight="1">
      <c r="A1466" s="45"/>
      <c r="B1466" s="11"/>
      <c r="C1466" s="11" t="s">
        <v>18</v>
      </c>
      <c r="D1466" s="45" t="s">
        <v>16</v>
      </c>
      <c r="E1466" s="47"/>
      <c r="F1466" s="39" t="s">
        <v>1165</v>
      </c>
      <c r="G1466" s="13" t="s">
        <v>8266</v>
      </c>
      <c r="H1466" s="99" t="str">
        <f t="shared" si="90"/>
        <v>W258.7</v>
      </c>
      <c r="I1466" s="45"/>
      <c r="J1466" s="47"/>
      <c r="K1466" s="47"/>
      <c r="L1466" s="48"/>
    </row>
    <row r="1467" spans="1:12" s="49" customFormat="1" ht="14.15" customHeight="1">
      <c r="A1467" s="45"/>
      <c r="B1467" s="11"/>
      <c r="C1467" s="11" t="s">
        <v>18</v>
      </c>
      <c r="D1467" s="45" t="s">
        <v>16</v>
      </c>
      <c r="E1467" s="47"/>
      <c r="F1467" s="39" t="s">
        <v>1166</v>
      </c>
      <c r="G1467" s="13" t="s">
        <v>8267</v>
      </c>
      <c r="H1467" s="99" t="str">
        <f t="shared" si="90"/>
        <v>W258.8</v>
      </c>
      <c r="I1467" s="45"/>
      <c r="J1467" s="47"/>
      <c r="K1467" s="47"/>
      <c r="L1467" s="48"/>
    </row>
    <row r="1468" spans="1:12" s="49" customFormat="1" ht="14.15" customHeight="1">
      <c r="A1468" s="45"/>
      <c r="B1468" s="11"/>
      <c r="C1468" s="11" t="s">
        <v>18</v>
      </c>
      <c r="D1468" s="45" t="s">
        <v>16</v>
      </c>
      <c r="E1468" s="47"/>
      <c r="F1468" s="39" t="s">
        <v>1167</v>
      </c>
      <c r="G1468" s="13" t="s">
        <v>8268</v>
      </c>
      <c r="H1468" s="99" t="str">
        <f t="shared" si="90"/>
        <v>W258.9</v>
      </c>
      <c r="I1468" s="45"/>
      <c r="J1468" s="47"/>
      <c r="K1468" s="47"/>
      <c r="L1468" s="48"/>
    </row>
    <row r="1469" spans="1:12" s="49" customFormat="1" ht="14.15" customHeight="1">
      <c r="A1469" s="45"/>
      <c r="B1469" s="11"/>
      <c r="C1469" s="11" t="s">
        <v>18</v>
      </c>
      <c r="D1469" s="45" t="s">
        <v>16</v>
      </c>
      <c r="E1469" s="47"/>
      <c r="F1469" s="39" t="s">
        <v>1168</v>
      </c>
      <c r="G1469" s="13" t="s">
        <v>8269</v>
      </c>
      <c r="H1469" s="99" t="str">
        <f t="shared" si="90"/>
        <v>W258.A</v>
      </c>
      <c r="I1469" s="45"/>
      <c r="J1469" s="47"/>
      <c r="K1469" s="47"/>
      <c r="L1469" s="48"/>
    </row>
    <row r="1470" spans="1:12" s="49" customFormat="1" ht="14.15" customHeight="1">
      <c r="A1470" s="45"/>
      <c r="B1470" s="11"/>
      <c r="C1470" s="11" t="s">
        <v>18</v>
      </c>
      <c r="D1470" s="45" t="s">
        <v>16</v>
      </c>
      <c r="E1470" s="47"/>
      <c r="F1470" s="39" t="s">
        <v>1169</v>
      </c>
      <c r="G1470" s="13" t="s">
        <v>8270</v>
      </c>
      <c r="H1470" s="99" t="str">
        <f t="shared" si="90"/>
        <v>W258.B</v>
      </c>
      <c r="I1470" s="45"/>
      <c r="J1470" s="47"/>
      <c r="K1470" s="47"/>
      <c r="L1470" s="48"/>
    </row>
    <row r="1471" spans="1:12" s="49" customFormat="1" ht="14.15" customHeight="1">
      <c r="A1471" s="45"/>
      <c r="B1471" s="11"/>
      <c r="C1471" s="11" t="s">
        <v>18</v>
      </c>
      <c r="D1471" s="45" t="s">
        <v>16</v>
      </c>
      <c r="E1471" s="47"/>
      <c r="F1471" s="39" t="s">
        <v>1170</v>
      </c>
      <c r="G1471" s="13" t="s">
        <v>8271</v>
      </c>
      <c r="H1471" s="99" t="str">
        <f t="shared" si="90"/>
        <v>W258.C</v>
      </c>
      <c r="I1471" s="45"/>
      <c r="J1471" s="47"/>
      <c r="K1471" s="47"/>
      <c r="L1471" s="48"/>
    </row>
    <row r="1472" spans="1:12" s="49" customFormat="1" ht="14.15" customHeight="1">
      <c r="A1472" s="45"/>
      <c r="B1472" s="11"/>
      <c r="C1472" s="11" t="s">
        <v>18</v>
      </c>
      <c r="D1472" s="45" t="s">
        <v>16</v>
      </c>
      <c r="E1472" s="47"/>
      <c r="F1472" s="39" t="s">
        <v>1171</v>
      </c>
      <c r="G1472" s="13" t="s">
        <v>8272</v>
      </c>
      <c r="H1472" s="99" t="str">
        <f t="shared" si="90"/>
        <v>W258.D</v>
      </c>
      <c r="I1472" s="45"/>
      <c r="J1472" s="47"/>
      <c r="K1472" s="47"/>
      <c r="L1472" s="48"/>
    </row>
    <row r="1473" spans="1:12" s="49" customFormat="1" ht="14.15" customHeight="1">
      <c r="A1473" s="45"/>
      <c r="B1473" s="11"/>
      <c r="C1473" s="11" t="s">
        <v>18</v>
      </c>
      <c r="D1473" s="45" t="s">
        <v>16</v>
      </c>
      <c r="E1473" s="47"/>
      <c r="F1473" s="39" t="s">
        <v>1172</v>
      </c>
      <c r="G1473" s="13" t="s">
        <v>8273</v>
      </c>
      <c r="H1473" s="99" t="str">
        <f t="shared" si="90"/>
        <v>W258.E</v>
      </c>
      <c r="I1473" s="45"/>
      <c r="J1473" s="47"/>
      <c r="K1473" s="47"/>
      <c r="L1473" s="48"/>
    </row>
    <row r="1474" spans="1:12" s="49" customFormat="1" ht="14.15" customHeight="1">
      <c r="A1474" s="45"/>
      <c r="B1474" s="11"/>
      <c r="C1474" s="11" t="s">
        <v>18</v>
      </c>
      <c r="D1474" s="45" t="s">
        <v>16</v>
      </c>
      <c r="E1474" s="47"/>
      <c r="F1474" s="39" t="s">
        <v>1173</v>
      </c>
      <c r="G1474" s="13" t="s">
        <v>8274</v>
      </c>
      <c r="H1474" s="99" t="str">
        <f t="shared" si="90"/>
        <v>W258.F</v>
      </c>
      <c r="I1474" s="45"/>
      <c r="J1474" s="47"/>
      <c r="K1474" s="47"/>
      <c r="L1474" s="48"/>
    </row>
    <row r="1475" spans="1:12" s="49" customFormat="1" ht="14.15" customHeight="1">
      <c r="A1475" s="45"/>
      <c r="B1475" s="11"/>
      <c r="C1475" s="11" t="s">
        <v>18</v>
      </c>
      <c r="D1475" s="45" t="s">
        <v>16</v>
      </c>
      <c r="E1475" s="47"/>
      <c r="F1475" s="39" t="s">
        <v>1174</v>
      </c>
      <c r="G1475" s="13" t="s">
        <v>8275</v>
      </c>
      <c r="H1475" s="99" t="str">
        <f t="shared" si="90"/>
        <v>W259.0</v>
      </c>
      <c r="I1475" s="45"/>
      <c r="J1475" s="47"/>
      <c r="K1475" s="47"/>
      <c r="L1475" s="48"/>
    </row>
    <row r="1476" spans="1:12" s="49" customFormat="1" ht="14.15" customHeight="1">
      <c r="A1476" s="45"/>
      <c r="B1476" s="11"/>
      <c r="C1476" s="11" t="s">
        <v>18</v>
      </c>
      <c r="D1476" s="45" t="s">
        <v>16</v>
      </c>
      <c r="E1476" s="47"/>
      <c r="F1476" s="39" t="s">
        <v>1175</v>
      </c>
      <c r="G1476" s="13" t="s">
        <v>8276</v>
      </c>
      <c r="H1476" s="99" t="str">
        <f t="shared" si="90"/>
        <v>W259.1</v>
      </c>
      <c r="I1476" s="45"/>
      <c r="J1476" s="47"/>
      <c r="K1476" s="47"/>
      <c r="L1476" s="48"/>
    </row>
    <row r="1477" spans="1:12" s="49" customFormat="1" ht="14.15" customHeight="1">
      <c r="A1477" s="45"/>
      <c r="B1477" s="11"/>
      <c r="C1477" s="11" t="s">
        <v>18</v>
      </c>
      <c r="D1477" s="45" t="s">
        <v>16</v>
      </c>
      <c r="E1477" s="47"/>
      <c r="F1477" s="39" t="s">
        <v>1176</v>
      </c>
      <c r="G1477" s="13" t="s">
        <v>8277</v>
      </c>
      <c r="H1477" s="99" t="str">
        <f t="shared" si="90"/>
        <v>W259.2</v>
      </c>
      <c r="I1477" s="45"/>
      <c r="J1477" s="47"/>
      <c r="K1477" s="47"/>
      <c r="L1477" s="48"/>
    </row>
    <row r="1478" spans="1:12" s="49" customFormat="1" ht="14.15" customHeight="1">
      <c r="A1478" s="45"/>
      <c r="B1478" s="11"/>
      <c r="C1478" s="11" t="s">
        <v>18</v>
      </c>
      <c r="D1478" s="45" t="s">
        <v>16</v>
      </c>
      <c r="E1478" s="47"/>
      <c r="F1478" s="39" t="s">
        <v>1177</v>
      </c>
      <c r="G1478" s="13" t="s">
        <v>8278</v>
      </c>
      <c r="H1478" s="99" t="str">
        <f t="shared" si="90"/>
        <v>W259.3</v>
      </c>
      <c r="I1478" s="45"/>
      <c r="J1478" s="47"/>
      <c r="K1478" s="47"/>
      <c r="L1478" s="48"/>
    </row>
    <row r="1479" spans="1:12" s="49" customFormat="1" ht="14.15" customHeight="1">
      <c r="A1479" s="45"/>
      <c r="B1479" s="11"/>
      <c r="C1479" s="11" t="s">
        <v>18</v>
      </c>
      <c r="D1479" s="45" t="s">
        <v>16</v>
      </c>
      <c r="E1479" s="47"/>
      <c r="F1479" s="39" t="s">
        <v>1178</v>
      </c>
      <c r="G1479" s="13" t="s">
        <v>8279</v>
      </c>
      <c r="H1479" s="99" t="str">
        <f t="shared" si="90"/>
        <v>W259.4</v>
      </c>
      <c r="I1479" s="45"/>
      <c r="J1479" s="47"/>
      <c r="K1479" s="47"/>
      <c r="L1479" s="48"/>
    </row>
    <row r="1480" spans="1:12" s="49" customFormat="1" ht="14.15" customHeight="1">
      <c r="A1480" s="45"/>
      <c r="B1480" s="11"/>
      <c r="C1480" s="11" t="s">
        <v>18</v>
      </c>
      <c r="D1480" s="45" t="s">
        <v>16</v>
      </c>
      <c r="E1480" s="47"/>
      <c r="F1480" s="39" t="s">
        <v>1179</v>
      </c>
      <c r="G1480" s="13" t="s">
        <v>8280</v>
      </c>
      <c r="H1480" s="99" t="str">
        <f t="shared" si="90"/>
        <v>W259.5</v>
      </c>
      <c r="I1480" s="45"/>
      <c r="J1480" s="47"/>
      <c r="K1480" s="47"/>
      <c r="L1480" s="48"/>
    </row>
    <row r="1481" spans="1:12" s="49" customFormat="1" ht="14.15" customHeight="1">
      <c r="A1481" s="45"/>
      <c r="B1481" s="11"/>
      <c r="C1481" s="11" t="s">
        <v>18</v>
      </c>
      <c r="D1481" s="45" t="s">
        <v>16</v>
      </c>
      <c r="E1481" s="47"/>
      <c r="F1481" s="39" t="s">
        <v>1180</v>
      </c>
      <c r="G1481" s="13" t="s">
        <v>8281</v>
      </c>
      <c r="H1481" s="99" t="str">
        <f t="shared" si="90"/>
        <v>W259.6</v>
      </c>
      <c r="I1481" s="45"/>
      <c r="J1481" s="47"/>
      <c r="K1481" s="47"/>
      <c r="L1481" s="48"/>
    </row>
    <row r="1482" spans="1:12" s="49" customFormat="1" ht="14.15" customHeight="1">
      <c r="A1482" s="45"/>
      <c r="B1482" s="11"/>
      <c r="C1482" s="11" t="s">
        <v>18</v>
      </c>
      <c r="D1482" s="45" t="s">
        <v>16</v>
      </c>
      <c r="E1482" s="47"/>
      <c r="F1482" s="39" t="s">
        <v>1181</v>
      </c>
      <c r="G1482" s="13" t="s">
        <v>8282</v>
      </c>
      <c r="H1482" s="99" t="str">
        <f t="shared" si="90"/>
        <v>W259.7</v>
      </c>
      <c r="I1482" s="45"/>
      <c r="J1482" s="47"/>
      <c r="K1482" s="47"/>
      <c r="L1482" s="48"/>
    </row>
    <row r="1483" spans="1:12" s="49" customFormat="1" ht="14.15" customHeight="1">
      <c r="A1483" s="45"/>
      <c r="B1483" s="11"/>
      <c r="C1483" s="11" t="s">
        <v>18</v>
      </c>
      <c r="D1483" s="45" t="s">
        <v>16</v>
      </c>
      <c r="E1483" s="47"/>
      <c r="F1483" s="39" t="s">
        <v>1182</v>
      </c>
      <c r="G1483" s="13" t="s">
        <v>8283</v>
      </c>
      <c r="H1483" s="99" t="str">
        <f t="shared" si="90"/>
        <v>W259.8</v>
      </c>
      <c r="I1483" s="45"/>
      <c r="J1483" s="47"/>
      <c r="K1483" s="47"/>
      <c r="L1483" s="48"/>
    </row>
    <row r="1484" spans="1:12" s="49" customFormat="1" ht="14.15" customHeight="1">
      <c r="A1484" s="45"/>
      <c r="B1484" s="11"/>
      <c r="C1484" s="11" t="s">
        <v>18</v>
      </c>
      <c r="D1484" s="45" t="s">
        <v>16</v>
      </c>
      <c r="E1484" s="47"/>
      <c r="F1484" s="39" t="s">
        <v>1183</v>
      </c>
      <c r="G1484" s="13" t="s">
        <v>8284</v>
      </c>
      <c r="H1484" s="99" t="str">
        <f t="shared" si="90"/>
        <v>W259.9</v>
      </c>
      <c r="I1484" s="45"/>
      <c r="J1484" s="47"/>
      <c r="K1484" s="47"/>
      <c r="L1484" s="48"/>
    </row>
    <row r="1485" spans="1:12" s="49" customFormat="1" ht="14.15" customHeight="1">
      <c r="A1485" s="45"/>
      <c r="B1485" s="11"/>
      <c r="C1485" s="11" t="s">
        <v>18</v>
      </c>
      <c r="D1485" s="45" t="s">
        <v>16</v>
      </c>
      <c r="E1485" s="47"/>
      <c r="F1485" s="39" t="s">
        <v>1184</v>
      </c>
      <c r="G1485" s="13" t="s">
        <v>8285</v>
      </c>
      <c r="H1485" s="99" t="str">
        <f t="shared" si="90"/>
        <v>W259.A</v>
      </c>
      <c r="I1485" s="45"/>
      <c r="J1485" s="47"/>
      <c r="K1485" s="47"/>
      <c r="L1485" s="48"/>
    </row>
    <row r="1486" spans="1:12" s="49" customFormat="1" ht="14.15" customHeight="1">
      <c r="A1486" s="45"/>
      <c r="B1486" s="11"/>
      <c r="C1486" s="11" t="s">
        <v>18</v>
      </c>
      <c r="D1486" s="45" t="s">
        <v>16</v>
      </c>
      <c r="E1486" s="47"/>
      <c r="F1486" s="39" t="s">
        <v>1185</v>
      </c>
      <c r="G1486" s="13" t="s">
        <v>8286</v>
      </c>
      <c r="H1486" s="99" t="str">
        <f t="shared" si="90"/>
        <v>W259.B</v>
      </c>
      <c r="I1486" s="45"/>
      <c r="J1486" s="47"/>
      <c r="K1486" s="47"/>
      <c r="L1486" s="48"/>
    </row>
    <row r="1487" spans="1:12" s="49" customFormat="1" ht="14.15" customHeight="1">
      <c r="A1487" s="45"/>
      <c r="B1487" s="11"/>
      <c r="C1487" s="11" t="s">
        <v>18</v>
      </c>
      <c r="D1487" s="45" t="s">
        <v>16</v>
      </c>
      <c r="E1487" s="47"/>
      <c r="F1487" s="39" t="s">
        <v>1186</v>
      </c>
      <c r="G1487" s="13" t="s">
        <v>8287</v>
      </c>
      <c r="H1487" s="99" t="str">
        <f t="shared" si="90"/>
        <v>W259.C</v>
      </c>
      <c r="I1487" s="45"/>
      <c r="J1487" s="47"/>
      <c r="K1487" s="47"/>
      <c r="L1487" s="48"/>
    </row>
    <row r="1488" spans="1:12" s="49" customFormat="1" ht="14.15" customHeight="1">
      <c r="A1488" s="45"/>
      <c r="B1488" s="11"/>
      <c r="C1488" s="11" t="s">
        <v>18</v>
      </c>
      <c r="D1488" s="45" t="s">
        <v>16</v>
      </c>
      <c r="E1488" s="47"/>
      <c r="F1488" s="39" t="s">
        <v>1187</v>
      </c>
      <c r="G1488" s="13" t="s">
        <v>8288</v>
      </c>
      <c r="H1488" s="99" t="str">
        <f t="shared" si="90"/>
        <v>W259.D</v>
      </c>
      <c r="I1488" s="45"/>
      <c r="J1488" s="47"/>
      <c r="K1488" s="47"/>
      <c r="L1488" s="48"/>
    </row>
    <row r="1489" spans="1:12" s="49" customFormat="1" ht="14.15" customHeight="1">
      <c r="A1489" s="45"/>
      <c r="B1489" s="11"/>
      <c r="C1489" s="11" t="s">
        <v>18</v>
      </c>
      <c r="D1489" s="45" t="s">
        <v>16</v>
      </c>
      <c r="E1489" s="47"/>
      <c r="F1489" s="39" t="s">
        <v>1188</v>
      </c>
      <c r="G1489" s="13" t="s">
        <v>8289</v>
      </c>
      <c r="H1489" s="99" t="str">
        <f t="shared" si="90"/>
        <v>W259.E</v>
      </c>
      <c r="I1489" s="45"/>
      <c r="J1489" s="47"/>
      <c r="K1489" s="47"/>
      <c r="L1489" s="48"/>
    </row>
    <row r="1490" spans="1:12" s="49" customFormat="1" ht="14.15" customHeight="1">
      <c r="A1490" s="45"/>
      <c r="B1490" s="11"/>
      <c r="C1490" s="11" t="s">
        <v>18</v>
      </c>
      <c r="D1490" s="45" t="s">
        <v>16</v>
      </c>
      <c r="E1490" s="47"/>
      <c r="F1490" s="39" t="s">
        <v>1189</v>
      </c>
      <c r="G1490" s="13" t="s">
        <v>8290</v>
      </c>
      <c r="H1490" s="99" t="str">
        <f t="shared" si="90"/>
        <v>W259.F</v>
      </c>
      <c r="I1490" s="45"/>
      <c r="J1490" s="47"/>
      <c r="K1490" s="47"/>
      <c r="L1490" s="48"/>
    </row>
    <row r="1491" spans="1:12" s="49" customFormat="1" ht="14.15" customHeight="1">
      <c r="A1491" s="45"/>
      <c r="B1491" s="11"/>
      <c r="C1491" s="11" t="s">
        <v>18</v>
      </c>
      <c r="D1491" s="45" t="s">
        <v>16</v>
      </c>
      <c r="E1491" s="47"/>
      <c r="F1491" s="39" t="s">
        <v>1190</v>
      </c>
      <c r="G1491" s="13" t="s">
        <v>8291</v>
      </c>
      <c r="H1491" s="99" t="str">
        <f t="shared" si="90"/>
        <v>W25A.0</v>
      </c>
      <c r="I1491" s="45"/>
      <c r="J1491" s="47"/>
      <c r="K1491" s="47"/>
      <c r="L1491" s="48"/>
    </row>
    <row r="1492" spans="1:12" s="49" customFormat="1" ht="14.15" customHeight="1">
      <c r="A1492" s="45"/>
      <c r="B1492" s="11"/>
      <c r="C1492" s="11" t="s">
        <v>18</v>
      </c>
      <c r="D1492" s="45" t="s">
        <v>16</v>
      </c>
      <c r="E1492" s="47"/>
      <c r="F1492" s="39" t="s">
        <v>1191</v>
      </c>
      <c r="G1492" s="13" t="s">
        <v>8292</v>
      </c>
      <c r="H1492" s="99" t="str">
        <f t="shared" si="90"/>
        <v>W25A.1</v>
      </c>
      <c r="I1492" s="45"/>
      <c r="J1492" s="47"/>
      <c r="K1492" s="47"/>
      <c r="L1492" s="48"/>
    </row>
    <row r="1493" spans="1:12" s="49" customFormat="1" ht="14.15" customHeight="1">
      <c r="A1493" s="45"/>
      <c r="B1493" s="11"/>
      <c r="C1493" s="11" t="s">
        <v>18</v>
      </c>
      <c r="D1493" s="45" t="s">
        <v>16</v>
      </c>
      <c r="E1493" s="47"/>
      <c r="F1493" s="39" t="s">
        <v>1192</v>
      </c>
      <c r="G1493" s="13" t="s">
        <v>8293</v>
      </c>
      <c r="H1493" s="99" t="str">
        <f t="shared" si="90"/>
        <v>W25A.2</v>
      </c>
      <c r="I1493" s="45"/>
      <c r="J1493" s="47"/>
      <c r="K1493" s="47"/>
      <c r="L1493" s="48"/>
    </row>
    <row r="1494" spans="1:12" s="49" customFormat="1" ht="14.15" customHeight="1">
      <c r="A1494" s="45"/>
      <c r="B1494" s="11"/>
      <c r="C1494" s="11" t="s">
        <v>18</v>
      </c>
      <c r="D1494" s="45" t="s">
        <v>16</v>
      </c>
      <c r="E1494" s="47"/>
      <c r="F1494" s="39" t="s">
        <v>1193</v>
      </c>
      <c r="G1494" s="13" t="s">
        <v>8294</v>
      </c>
      <c r="H1494" s="99" t="str">
        <f t="shared" si="90"/>
        <v>W25A.3</v>
      </c>
      <c r="I1494" s="45"/>
      <c r="J1494" s="47"/>
      <c r="K1494" s="47"/>
      <c r="L1494" s="48"/>
    </row>
    <row r="1495" spans="1:12" s="49" customFormat="1" ht="14.15" customHeight="1">
      <c r="A1495" s="45"/>
      <c r="B1495" s="11"/>
      <c r="C1495" s="11" t="s">
        <v>18</v>
      </c>
      <c r="D1495" s="45" t="s">
        <v>16</v>
      </c>
      <c r="E1495" s="47"/>
      <c r="F1495" s="39" t="s">
        <v>1194</v>
      </c>
      <c r="G1495" s="13" t="s">
        <v>8295</v>
      </c>
      <c r="H1495" s="99" t="str">
        <f t="shared" si="90"/>
        <v>W25A.4</v>
      </c>
      <c r="I1495" s="45"/>
      <c r="J1495" s="47"/>
      <c r="K1495" s="47"/>
      <c r="L1495" s="48"/>
    </row>
    <row r="1496" spans="1:12" s="49" customFormat="1" ht="14.15" customHeight="1">
      <c r="A1496" s="45"/>
      <c r="B1496" s="11"/>
      <c r="C1496" s="11" t="s">
        <v>18</v>
      </c>
      <c r="D1496" s="45" t="s">
        <v>16</v>
      </c>
      <c r="E1496" s="47"/>
      <c r="F1496" s="39" t="s">
        <v>1195</v>
      </c>
      <c r="G1496" s="13" t="s">
        <v>8296</v>
      </c>
      <c r="H1496" s="99" t="str">
        <f t="shared" si="90"/>
        <v>W25A.5</v>
      </c>
      <c r="I1496" s="45"/>
      <c r="J1496" s="47"/>
      <c r="K1496" s="47"/>
      <c r="L1496" s="48"/>
    </row>
    <row r="1497" spans="1:12" s="49" customFormat="1" ht="14.15" customHeight="1">
      <c r="A1497" s="45"/>
      <c r="B1497" s="11"/>
      <c r="C1497" s="11" t="s">
        <v>18</v>
      </c>
      <c r="D1497" s="45" t="s">
        <v>16</v>
      </c>
      <c r="E1497" s="47"/>
      <c r="F1497" s="39" t="s">
        <v>1196</v>
      </c>
      <c r="G1497" s="13" t="s">
        <v>8297</v>
      </c>
      <c r="H1497" s="99" t="str">
        <f t="shared" si="90"/>
        <v>W25A.6</v>
      </c>
      <c r="I1497" s="45"/>
      <c r="J1497" s="47"/>
      <c r="K1497" s="47"/>
      <c r="L1497" s="48"/>
    </row>
    <row r="1498" spans="1:12" s="49" customFormat="1" ht="14.15" customHeight="1">
      <c r="A1498" s="45"/>
      <c r="B1498" s="11"/>
      <c r="C1498" s="11" t="s">
        <v>18</v>
      </c>
      <c r="D1498" s="45" t="s">
        <v>16</v>
      </c>
      <c r="E1498" s="47"/>
      <c r="F1498" s="39" t="s">
        <v>1197</v>
      </c>
      <c r="G1498" s="13" t="s">
        <v>8298</v>
      </c>
      <c r="H1498" s="99" t="str">
        <f t="shared" si="90"/>
        <v>W25A.7</v>
      </c>
      <c r="I1498" s="45"/>
      <c r="J1498" s="47"/>
      <c r="K1498" s="47"/>
      <c r="L1498" s="48"/>
    </row>
    <row r="1499" spans="1:12" s="49" customFormat="1" ht="14.15" customHeight="1">
      <c r="A1499" s="45"/>
      <c r="B1499" s="11"/>
      <c r="C1499" s="11" t="s">
        <v>18</v>
      </c>
      <c r="D1499" s="45" t="s">
        <v>16</v>
      </c>
      <c r="E1499" s="47"/>
      <c r="F1499" s="39" t="s">
        <v>1198</v>
      </c>
      <c r="G1499" s="13" t="s">
        <v>8299</v>
      </c>
      <c r="H1499" s="99" t="str">
        <f t="shared" si="90"/>
        <v>W25A.8</v>
      </c>
      <c r="I1499" s="45"/>
      <c r="J1499" s="47"/>
      <c r="K1499" s="47"/>
      <c r="L1499" s="48"/>
    </row>
    <row r="1500" spans="1:12" s="49" customFormat="1" ht="14.15" customHeight="1">
      <c r="A1500" s="45"/>
      <c r="B1500" s="11"/>
      <c r="C1500" s="11" t="s">
        <v>18</v>
      </c>
      <c r="D1500" s="45" t="s">
        <v>16</v>
      </c>
      <c r="E1500" s="47"/>
      <c r="F1500" s="39" t="s">
        <v>1199</v>
      </c>
      <c r="G1500" s="13" t="s">
        <v>8300</v>
      </c>
      <c r="H1500" s="99" t="str">
        <f t="shared" si="90"/>
        <v>W25A.9</v>
      </c>
      <c r="I1500" s="45"/>
      <c r="J1500" s="47"/>
      <c r="K1500" s="47"/>
      <c r="L1500" s="48"/>
    </row>
    <row r="1501" spans="1:12" s="49" customFormat="1" ht="14.15" customHeight="1">
      <c r="A1501" s="45"/>
      <c r="B1501" s="11"/>
      <c r="C1501" s="11" t="s">
        <v>18</v>
      </c>
      <c r="D1501" s="45" t="s">
        <v>16</v>
      </c>
      <c r="E1501" s="47"/>
      <c r="F1501" s="39" t="s">
        <v>1200</v>
      </c>
      <c r="G1501" s="13" t="s">
        <v>8301</v>
      </c>
      <c r="H1501" s="99" t="str">
        <f t="shared" si="90"/>
        <v>W25A.A</v>
      </c>
      <c r="I1501" s="45"/>
      <c r="J1501" s="47"/>
      <c r="K1501" s="47"/>
      <c r="L1501" s="48"/>
    </row>
    <row r="1502" spans="1:12" s="49" customFormat="1" ht="14.15" customHeight="1">
      <c r="A1502" s="45"/>
      <c r="B1502" s="11"/>
      <c r="C1502" s="11" t="s">
        <v>18</v>
      </c>
      <c r="D1502" s="45" t="s">
        <v>16</v>
      </c>
      <c r="E1502" s="47"/>
      <c r="F1502" s="39" t="s">
        <v>1201</v>
      </c>
      <c r="G1502" s="13" t="s">
        <v>8302</v>
      </c>
      <c r="H1502" s="99" t="str">
        <f t="shared" si="90"/>
        <v>W25A.B</v>
      </c>
      <c r="I1502" s="45"/>
      <c r="J1502" s="47"/>
      <c r="K1502" s="47"/>
      <c r="L1502" s="48"/>
    </row>
    <row r="1503" spans="1:12" s="49" customFormat="1" ht="14.15" customHeight="1">
      <c r="A1503" s="45"/>
      <c r="B1503" s="11"/>
      <c r="C1503" s="11" t="s">
        <v>18</v>
      </c>
      <c r="D1503" s="45" t="s">
        <v>16</v>
      </c>
      <c r="E1503" s="47"/>
      <c r="F1503" s="39" t="s">
        <v>1202</v>
      </c>
      <c r="G1503" s="13" t="s">
        <v>8303</v>
      </c>
      <c r="H1503" s="99" t="str">
        <f t="shared" si="90"/>
        <v>W25A.C</v>
      </c>
      <c r="I1503" s="45"/>
      <c r="J1503" s="47"/>
      <c r="K1503" s="47"/>
      <c r="L1503" s="48"/>
    </row>
    <row r="1504" spans="1:12" s="49" customFormat="1" ht="14.15" customHeight="1">
      <c r="A1504" s="45"/>
      <c r="B1504" s="11"/>
      <c r="C1504" s="11" t="s">
        <v>18</v>
      </c>
      <c r="D1504" s="45" t="s">
        <v>16</v>
      </c>
      <c r="E1504" s="47"/>
      <c r="F1504" s="39" t="s">
        <v>1203</v>
      </c>
      <c r="G1504" s="13" t="s">
        <v>8304</v>
      </c>
      <c r="H1504" s="99" t="str">
        <f t="shared" si="90"/>
        <v>W25A.D</v>
      </c>
      <c r="I1504" s="45"/>
      <c r="J1504" s="47"/>
      <c r="K1504" s="47"/>
      <c r="L1504" s="48"/>
    </row>
    <row r="1505" spans="1:12" s="49" customFormat="1" ht="14.15" customHeight="1">
      <c r="A1505" s="45"/>
      <c r="B1505" s="11"/>
      <c r="C1505" s="11" t="s">
        <v>18</v>
      </c>
      <c r="D1505" s="45" t="s">
        <v>16</v>
      </c>
      <c r="E1505" s="47"/>
      <c r="F1505" s="39" t="s">
        <v>1204</v>
      </c>
      <c r="G1505" s="13" t="s">
        <v>8305</v>
      </c>
      <c r="H1505" s="99" t="str">
        <f t="shared" si="90"/>
        <v>W25A.E</v>
      </c>
      <c r="I1505" s="45"/>
      <c r="J1505" s="47"/>
      <c r="K1505" s="47"/>
      <c r="L1505" s="48"/>
    </row>
    <row r="1506" spans="1:12" s="49" customFormat="1" ht="14.15" customHeight="1">
      <c r="A1506" s="45"/>
      <c r="B1506" s="11"/>
      <c r="C1506" s="11" t="s">
        <v>18</v>
      </c>
      <c r="D1506" s="45" t="s">
        <v>16</v>
      </c>
      <c r="E1506" s="47"/>
      <c r="F1506" s="39" t="s">
        <v>1205</v>
      </c>
      <c r="G1506" s="13" t="s">
        <v>8306</v>
      </c>
      <c r="H1506" s="99" t="str">
        <f t="shared" si="90"/>
        <v>W25A.F</v>
      </c>
      <c r="I1506" s="45"/>
      <c r="J1506" s="47"/>
      <c r="K1506" s="47"/>
      <c r="L1506" s="48"/>
    </row>
    <row r="1507" spans="1:12" s="49" customFormat="1" ht="14.15" customHeight="1">
      <c r="A1507" s="45"/>
      <c r="B1507" s="11"/>
      <c r="C1507" s="11" t="s">
        <v>18</v>
      </c>
      <c r="D1507" s="45" t="s">
        <v>16</v>
      </c>
      <c r="E1507" s="47"/>
      <c r="F1507" s="39" t="s">
        <v>1206</v>
      </c>
      <c r="G1507" s="13" t="s">
        <v>8307</v>
      </c>
      <c r="H1507" s="99" t="str">
        <f t="shared" si="90"/>
        <v>W25B.0</v>
      </c>
      <c r="I1507" s="45"/>
      <c r="J1507" s="47"/>
      <c r="K1507" s="47"/>
      <c r="L1507" s="48"/>
    </row>
    <row r="1508" spans="1:12" s="49" customFormat="1" ht="14.15" customHeight="1">
      <c r="A1508" s="45"/>
      <c r="B1508" s="11"/>
      <c r="C1508" s="11" t="s">
        <v>18</v>
      </c>
      <c r="D1508" s="45" t="s">
        <v>16</v>
      </c>
      <c r="E1508" s="47"/>
      <c r="F1508" s="39" t="s">
        <v>1207</v>
      </c>
      <c r="G1508" s="13" t="s">
        <v>8308</v>
      </c>
      <c r="H1508" s="99" t="str">
        <f t="shared" si="90"/>
        <v>W25B.1</v>
      </c>
      <c r="I1508" s="45"/>
      <c r="J1508" s="47"/>
      <c r="K1508" s="47"/>
      <c r="L1508" s="48"/>
    </row>
    <row r="1509" spans="1:12" s="49" customFormat="1" ht="14.15" customHeight="1">
      <c r="A1509" s="45"/>
      <c r="B1509" s="11"/>
      <c r="C1509" s="11" t="s">
        <v>18</v>
      </c>
      <c r="D1509" s="45" t="s">
        <v>16</v>
      </c>
      <c r="E1509" s="47"/>
      <c r="F1509" s="39" t="s">
        <v>1208</v>
      </c>
      <c r="G1509" s="13" t="s">
        <v>8309</v>
      </c>
      <c r="H1509" s="99" t="str">
        <f t="shared" si="90"/>
        <v>W25B.2</v>
      </c>
      <c r="I1509" s="45"/>
      <c r="J1509" s="47"/>
      <c r="K1509" s="47"/>
      <c r="L1509" s="48"/>
    </row>
    <row r="1510" spans="1:12" s="49" customFormat="1" ht="14.15" customHeight="1">
      <c r="A1510" s="45"/>
      <c r="B1510" s="11"/>
      <c r="C1510" s="11" t="s">
        <v>18</v>
      </c>
      <c r="D1510" s="45" t="s">
        <v>16</v>
      </c>
      <c r="E1510" s="47"/>
      <c r="F1510" s="39" t="s">
        <v>1209</v>
      </c>
      <c r="G1510" s="13" t="s">
        <v>8310</v>
      </c>
      <c r="H1510" s="99" t="str">
        <f t="shared" si="90"/>
        <v>W25B.3</v>
      </c>
      <c r="I1510" s="45"/>
      <c r="J1510" s="47"/>
      <c r="K1510" s="47"/>
      <c r="L1510" s="48"/>
    </row>
    <row r="1511" spans="1:12" s="49" customFormat="1" ht="14.15" customHeight="1">
      <c r="A1511" s="45"/>
      <c r="B1511" s="11"/>
      <c r="C1511" s="11" t="s">
        <v>18</v>
      </c>
      <c r="D1511" s="45" t="s">
        <v>16</v>
      </c>
      <c r="E1511" s="47"/>
      <c r="F1511" s="39" t="s">
        <v>1210</v>
      </c>
      <c r="G1511" s="13" t="s">
        <v>8311</v>
      </c>
      <c r="H1511" s="99" t="str">
        <f t="shared" si="90"/>
        <v>W25B.4</v>
      </c>
      <c r="I1511" s="45"/>
      <c r="J1511" s="47"/>
      <c r="K1511" s="47"/>
      <c r="L1511" s="48"/>
    </row>
    <row r="1512" spans="1:12" s="49" customFormat="1" ht="14.15" customHeight="1">
      <c r="A1512" s="45"/>
      <c r="B1512" s="11"/>
      <c r="C1512" s="11" t="s">
        <v>18</v>
      </c>
      <c r="D1512" s="45" t="s">
        <v>16</v>
      </c>
      <c r="E1512" s="47"/>
      <c r="F1512" s="39" t="s">
        <v>1211</v>
      </c>
      <c r="G1512" s="13" t="s">
        <v>8312</v>
      </c>
      <c r="H1512" s="99" t="str">
        <f t="shared" si="90"/>
        <v>W25B.5</v>
      </c>
      <c r="I1512" s="45"/>
      <c r="J1512" s="47"/>
      <c r="K1512" s="47"/>
      <c r="L1512" s="48"/>
    </row>
    <row r="1513" spans="1:12" s="49" customFormat="1" ht="14.15" customHeight="1">
      <c r="A1513" s="45"/>
      <c r="B1513" s="11"/>
      <c r="C1513" s="11" t="s">
        <v>18</v>
      </c>
      <c r="D1513" s="45" t="s">
        <v>16</v>
      </c>
      <c r="E1513" s="47"/>
      <c r="F1513" s="39" t="s">
        <v>1212</v>
      </c>
      <c r="G1513" s="13" t="s">
        <v>8313</v>
      </c>
      <c r="H1513" s="99" t="str">
        <f t="shared" si="90"/>
        <v>W25B.6</v>
      </c>
      <c r="I1513" s="45"/>
      <c r="J1513" s="47"/>
      <c r="K1513" s="47"/>
      <c r="L1513" s="48"/>
    </row>
    <row r="1514" spans="1:12" s="49" customFormat="1" ht="14.15" customHeight="1">
      <c r="A1514" s="45"/>
      <c r="B1514" s="11"/>
      <c r="C1514" s="11" t="s">
        <v>18</v>
      </c>
      <c r="D1514" s="45" t="s">
        <v>16</v>
      </c>
      <c r="E1514" s="47"/>
      <c r="F1514" s="39" t="s">
        <v>1213</v>
      </c>
      <c r="G1514" s="13" t="s">
        <v>8314</v>
      </c>
      <c r="H1514" s="99" t="str">
        <f t="shared" si="90"/>
        <v>W25B.7</v>
      </c>
      <c r="I1514" s="45"/>
      <c r="J1514" s="47"/>
      <c r="K1514" s="47"/>
      <c r="L1514" s="48"/>
    </row>
    <row r="1515" spans="1:12" s="49" customFormat="1" ht="14.15" customHeight="1">
      <c r="A1515" s="45"/>
      <c r="B1515" s="11"/>
      <c r="C1515" s="11" t="s">
        <v>18</v>
      </c>
      <c r="D1515" s="45" t="s">
        <v>16</v>
      </c>
      <c r="E1515" s="47"/>
      <c r="F1515" s="39" t="s">
        <v>1214</v>
      </c>
      <c r="G1515" s="13" t="s">
        <v>8315</v>
      </c>
      <c r="H1515" s="99" t="str">
        <f t="shared" si="90"/>
        <v>W25B.8</v>
      </c>
      <c r="I1515" s="45"/>
      <c r="J1515" s="47"/>
      <c r="K1515" s="47"/>
      <c r="L1515" s="48"/>
    </row>
    <row r="1516" spans="1:12" s="49" customFormat="1" ht="14.15" customHeight="1">
      <c r="A1516" s="45"/>
      <c r="B1516" s="11"/>
      <c r="C1516" s="11" t="s">
        <v>18</v>
      </c>
      <c r="D1516" s="45" t="s">
        <v>16</v>
      </c>
      <c r="E1516" s="47"/>
      <c r="F1516" s="39" t="s">
        <v>1215</v>
      </c>
      <c r="G1516" s="13" t="s">
        <v>8316</v>
      </c>
      <c r="H1516" s="99" t="str">
        <f t="shared" si="90"/>
        <v>W25B.9</v>
      </c>
      <c r="I1516" s="45"/>
      <c r="J1516" s="47"/>
      <c r="K1516" s="47"/>
      <c r="L1516" s="48"/>
    </row>
    <row r="1517" spans="1:12" s="49" customFormat="1" ht="14.15" customHeight="1">
      <c r="A1517" s="45"/>
      <c r="B1517" s="11"/>
      <c r="C1517" s="11" t="s">
        <v>18</v>
      </c>
      <c r="D1517" s="45" t="s">
        <v>16</v>
      </c>
      <c r="E1517" s="47"/>
      <c r="F1517" s="39" t="s">
        <v>1216</v>
      </c>
      <c r="G1517" s="13" t="s">
        <v>8317</v>
      </c>
      <c r="H1517" s="99" t="str">
        <f t="shared" si="90"/>
        <v>W25B.A</v>
      </c>
      <c r="I1517" s="45"/>
      <c r="J1517" s="47"/>
      <c r="K1517" s="47"/>
      <c r="L1517" s="48"/>
    </row>
    <row r="1518" spans="1:12" s="49" customFormat="1" ht="14.15" customHeight="1">
      <c r="A1518" s="45"/>
      <c r="B1518" s="11"/>
      <c r="C1518" s="11" t="s">
        <v>18</v>
      </c>
      <c r="D1518" s="45" t="s">
        <v>16</v>
      </c>
      <c r="E1518" s="47"/>
      <c r="F1518" s="39" t="s">
        <v>1217</v>
      </c>
      <c r="G1518" s="13" t="s">
        <v>8318</v>
      </c>
      <c r="H1518" s="99" t="str">
        <f t="shared" si="90"/>
        <v>W25B.B</v>
      </c>
      <c r="I1518" s="45"/>
      <c r="J1518" s="47"/>
      <c r="K1518" s="47"/>
      <c r="L1518" s="48"/>
    </row>
    <row r="1519" spans="1:12" s="49" customFormat="1" ht="14.15" customHeight="1">
      <c r="A1519" s="45"/>
      <c r="B1519" s="11"/>
      <c r="C1519" s="11" t="s">
        <v>18</v>
      </c>
      <c r="D1519" s="45" t="s">
        <v>16</v>
      </c>
      <c r="E1519" s="47"/>
      <c r="F1519" s="39" t="s">
        <v>1218</v>
      </c>
      <c r="G1519" s="13" t="s">
        <v>8319</v>
      </c>
      <c r="H1519" s="99" t="str">
        <f t="shared" si="90"/>
        <v>W25B.C</v>
      </c>
      <c r="I1519" s="45"/>
      <c r="J1519" s="47"/>
      <c r="K1519" s="47"/>
      <c r="L1519" s="48"/>
    </row>
    <row r="1520" spans="1:12" s="49" customFormat="1" ht="14.15" customHeight="1">
      <c r="A1520" s="45"/>
      <c r="B1520" s="11"/>
      <c r="C1520" s="11" t="s">
        <v>18</v>
      </c>
      <c r="D1520" s="45" t="s">
        <v>16</v>
      </c>
      <c r="E1520" s="47"/>
      <c r="F1520" s="39" t="s">
        <v>1219</v>
      </c>
      <c r="G1520" s="13" t="s">
        <v>8320</v>
      </c>
      <c r="H1520" s="99" t="str">
        <f t="shared" si="90"/>
        <v>W25B.D</v>
      </c>
      <c r="I1520" s="45"/>
      <c r="J1520" s="47"/>
      <c r="K1520" s="47"/>
      <c r="L1520" s="48"/>
    </row>
    <row r="1521" spans="1:12" s="49" customFormat="1" ht="14.15" customHeight="1">
      <c r="A1521" s="45"/>
      <c r="B1521" s="11"/>
      <c r="C1521" s="11" t="s">
        <v>18</v>
      </c>
      <c r="D1521" s="45" t="s">
        <v>16</v>
      </c>
      <c r="E1521" s="47"/>
      <c r="F1521" s="39" t="s">
        <v>1220</v>
      </c>
      <c r="G1521" s="13" t="s">
        <v>8321</v>
      </c>
      <c r="H1521" s="99" t="str">
        <f t="shared" si="90"/>
        <v>W25B.E</v>
      </c>
      <c r="I1521" s="45"/>
      <c r="J1521" s="47"/>
      <c r="K1521" s="47"/>
      <c r="L1521" s="48"/>
    </row>
    <row r="1522" spans="1:12" s="49" customFormat="1" ht="14.15" customHeight="1">
      <c r="A1522" s="45"/>
      <c r="B1522" s="11"/>
      <c r="C1522" s="11" t="s">
        <v>18</v>
      </c>
      <c r="D1522" s="45" t="s">
        <v>16</v>
      </c>
      <c r="E1522" s="47"/>
      <c r="F1522" s="39" t="s">
        <v>1221</v>
      </c>
      <c r="G1522" s="13" t="s">
        <v>8322</v>
      </c>
      <c r="H1522" s="99" t="str">
        <f t="shared" si="90"/>
        <v>W25B.F</v>
      </c>
      <c r="I1522" s="45"/>
      <c r="J1522" s="47"/>
      <c r="K1522" s="47"/>
      <c r="L1522" s="48"/>
    </row>
    <row r="1523" spans="1:12" s="49" customFormat="1" ht="14.15" customHeight="1">
      <c r="A1523" s="45"/>
      <c r="B1523" s="11"/>
      <c r="C1523" s="11" t="s">
        <v>18</v>
      </c>
      <c r="D1523" s="45" t="s">
        <v>16</v>
      </c>
      <c r="E1523" s="47"/>
      <c r="F1523" s="39" t="s">
        <v>1222</v>
      </c>
      <c r="G1523" s="13" t="s">
        <v>8323</v>
      </c>
      <c r="H1523" s="99" t="str">
        <f t="shared" si="90"/>
        <v>W25C.0</v>
      </c>
      <c r="I1523" s="45"/>
      <c r="J1523" s="47"/>
      <c r="K1523" s="47"/>
      <c r="L1523" s="48"/>
    </row>
    <row r="1524" spans="1:12" s="49" customFormat="1" ht="14.15" customHeight="1">
      <c r="A1524" s="45"/>
      <c r="B1524" s="11"/>
      <c r="C1524" s="11" t="s">
        <v>18</v>
      </c>
      <c r="D1524" s="45" t="s">
        <v>16</v>
      </c>
      <c r="E1524" s="47"/>
      <c r="F1524" s="39" t="s">
        <v>1223</v>
      </c>
      <c r="G1524" s="13" t="s">
        <v>8324</v>
      </c>
      <c r="H1524" s="99" t="str">
        <f t="shared" ref="H1524:H1587" si="91">"W"&amp;DEC2HEX(512 + INT((ROW()-51)/16)) &amp; "." &amp; IF(MOD(ROW()-51,16)&lt;10,MOD(ROW()-51,16),CHAR(MOD(ROW()-51,16)+55))</f>
        <v>W25C.1</v>
      </c>
      <c r="I1524" s="45"/>
      <c r="J1524" s="47"/>
      <c r="K1524" s="47"/>
      <c r="L1524" s="48"/>
    </row>
    <row r="1525" spans="1:12" s="49" customFormat="1" ht="14.15" customHeight="1">
      <c r="A1525" s="45"/>
      <c r="B1525" s="11"/>
      <c r="C1525" s="11" t="s">
        <v>18</v>
      </c>
      <c r="D1525" s="45" t="s">
        <v>16</v>
      </c>
      <c r="E1525" s="47"/>
      <c r="F1525" s="39" t="s">
        <v>1224</v>
      </c>
      <c r="G1525" s="13" t="s">
        <v>8325</v>
      </c>
      <c r="H1525" s="99" t="str">
        <f t="shared" si="91"/>
        <v>W25C.2</v>
      </c>
      <c r="I1525" s="45"/>
      <c r="J1525" s="47"/>
      <c r="K1525" s="47"/>
      <c r="L1525" s="48"/>
    </row>
    <row r="1526" spans="1:12" s="49" customFormat="1" ht="14.15" customHeight="1">
      <c r="A1526" s="45"/>
      <c r="B1526" s="11"/>
      <c r="C1526" s="11" t="s">
        <v>18</v>
      </c>
      <c r="D1526" s="45" t="s">
        <v>16</v>
      </c>
      <c r="E1526" s="47"/>
      <c r="F1526" s="39" t="s">
        <v>1225</v>
      </c>
      <c r="G1526" s="13" t="s">
        <v>8326</v>
      </c>
      <c r="H1526" s="99" t="str">
        <f t="shared" si="91"/>
        <v>W25C.3</v>
      </c>
      <c r="I1526" s="45"/>
      <c r="J1526" s="47"/>
      <c r="K1526" s="47"/>
      <c r="L1526" s="48"/>
    </row>
    <row r="1527" spans="1:12" s="49" customFormat="1" ht="14.15" customHeight="1">
      <c r="A1527" s="45"/>
      <c r="B1527" s="11"/>
      <c r="C1527" s="11" t="s">
        <v>18</v>
      </c>
      <c r="D1527" s="45" t="s">
        <v>16</v>
      </c>
      <c r="E1527" s="47"/>
      <c r="F1527" s="39" t="s">
        <v>1226</v>
      </c>
      <c r="G1527" s="13" t="s">
        <v>8327</v>
      </c>
      <c r="H1527" s="99" t="str">
        <f t="shared" si="91"/>
        <v>W25C.4</v>
      </c>
      <c r="I1527" s="45"/>
      <c r="J1527" s="47"/>
      <c r="K1527" s="47"/>
      <c r="L1527" s="48"/>
    </row>
    <row r="1528" spans="1:12" s="49" customFormat="1" ht="14.15" customHeight="1">
      <c r="A1528" s="45"/>
      <c r="B1528" s="11"/>
      <c r="C1528" s="11" t="s">
        <v>18</v>
      </c>
      <c r="D1528" s="45" t="s">
        <v>16</v>
      </c>
      <c r="E1528" s="47"/>
      <c r="F1528" s="39" t="s">
        <v>1227</v>
      </c>
      <c r="G1528" s="13" t="s">
        <v>8328</v>
      </c>
      <c r="H1528" s="99" t="str">
        <f t="shared" si="91"/>
        <v>W25C.5</v>
      </c>
      <c r="I1528" s="45"/>
      <c r="J1528" s="47"/>
      <c r="K1528" s="47"/>
      <c r="L1528" s="48"/>
    </row>
    <row r="1529" spans="1:12" s="49" customFormat="1" ht="14.15" customHeight="1">
      <c r="A1529" s="45"/>
      <c r="B1529" s="11"/>
      <c r="C1529" s="11" t="s">
        <v>18</v>
      </c>
      <c r="D1529" s="45" t="s">
        <v>16</v>
      </c>
      <c r="E1529" s="47"/>
      <c r="F1529" s="39" t="s">
        <v>1228</v>
      </c>
      <c r="G1529" s="13" t="s">
        <v>8329</v>
      </c>
      <c r="H1529" s="99" t="str">
        <f t="shared" si="91"/>
        <v>W25C.6</v>
      </c>
      <c r="I1529" s="45"/>
      <c r="J1529" s="47"/>
      <c r="K1529" s="47"/>
      <c r="L1529" s="48"/>
    </row>
    <row r="1530" spans="1:12" s="49" customFormat="1" ht="14.15" customHeight="1">
      <c r="A1530" s="45"/>
      <c r="B1530" s="11"/>
      <c r="C1530" s="11" t="s">
        <v>18</v>
      </c>
      <c r="D1530" s="45" t="s">
        <v>16</v>
      </c>
      <c r="E1530" s="47"/>
      <c r="F1530" s="39" t="s">
        <v>1229</v>
      </c>
      <c r="G1530" s="13" t="s">
        <v>8330</v>
      </c>
      <c r="H1530" s="99" t="str">
        <f t="shared" si="91"/>
        <v>W25C.7</v>
      </c>
      <c r="I1530" s="45"/>
      <c r="J1530" s="47"/>
      <c r="K1530" s="47"/>
      <c r="L1530" s="48"/>
    </row>
    <row r="1531" spans="1:12" s="49" customFormat="1" ht="14.15" customHeight="1">
      <c r="A1531" s="45"/>
      <c r="B1531" s="11"/>
      <c r="C1531" s="11" t="s">
        <v>18</v>
      </c>
      <c r="D1531" s="45" t="s">
        <v>16</v>
      </c>
      <c r="E1531" s="47"/>
      <c r="F1531" s="39" t="s">
        <v>1230</v>
      </c>
      <c r="G1531" s="13" t="s">
        <v>8331</v>
      </c>
      <c r="H1531" s="99" t="str">
        <f t="shared" si="91"/>
        <v>W25C.8</v>
      </c>
      <c r="I1531" s="45"/>
      <c r="J1531" s="47"/>
      <c r="K1531" s="47"/>
      <c r="L1531" s="48"/>
    </row>
    <row r="1532" spans="1:12" s="49" customFormat="1" ht="14.15" customHeight="1">
      <c r="A1532" s="45"/>
      <c r="B1532" s="11"/>
      <c r="C1532" s="11" t="s">
        <v>18</v>
      </c>
      <c r="D1532" s="45" t="s">
        <v>16</v>
      </c>
      <c r="E1532" s="47"/>
      <c r="F1532" s="39" t="s">
        <v>1231</v>
      </c>
      <c r="G1532" s="13" t="s">
        <v>8332</v>
      </c>
      <c r="H1532" s="99" t="str">
        <f t="shared" si="91"/>
        <v>W25C.9</v>
      </c>
      <c r="I1532" s="45"/>
      <c r="J1532" s="47"/>
      <c r="K1532" s="47"/>
      <c r="L1532" s="48"/>
    </row>
    <row r="1533" spans="1:12" s="49" customFormat="1" ht="14.15" customHeight="1">
      <c r="A1533" s="45"/>
      <c r="B1533" s="11"/>
      <c r="C1533" s="11" t="s">
        <v>18</v>
      </c>
      <c r="D1533" s="45" t="s">
        <v>16</v>
      </c>
      <c r="E1533" s="47"/>
      <c r="F1533" s="39" t="s">
        <v>1232</v>
      </c>
      <c r="G1533" s="13" t="s">
        <v>8333</v>
      </c>
      <c r="H1533" s="99" t="str">
        <f t="shared" si="91"/>
        <v>W25C.A</v>
      </c>
      <c r="I1533" s="45"/>
      <c r="J1533" s="47"/>
      <c r="K1533" s="47"/>
      <c r="L1533" s="48"/>
    </row>
    <row r="1534" spans="1:12" s="49" customFormat="1" ht="14.15" customHeight="1">
      <c r="A1534" s="45"/>
      <c r="B1534" s="11"/>
      <c r="C1534" s="11" t="s">
        <v>18</v>
      </c>
      <c r="D1534" s="45" t="s">
        <v>16</v>
      </c>
      <c r="E1534" s="47"/>
      <c r="F1534" s="39" t="s">
        <v>1233</v>
      </c>
      <c r="G1534" s="13" t="s">
        <v>8334</v>
      </c>
      <c r="H1534" s="99" t="str">
        <f t="shared" si="91"/>
        <v>W25C.B</v>
      </c>
      <c r="I1534" s="45"/>
      <c r="J1534" s="47"/>
      <c r="K1534" s="47"/>
      <c r="L1534" s="48"/>
    </row>
    <row r="1535" spans="1:12" s="49" customFormat="1" ht="14.15" customHeight="1">
      <c r="A1535" s="45"/>
      <c r="B1535" s="11"/>
      <c r="C1535" s="11" t="s">
        <v>18</v>
      </c>
      <c r="D1535" s="45" t="s">
        <v>16</v>
      </c>
      <c r="E1535" s="47"/>
      <c r="F1535" s="39" t="s">
        <v>1234</v>
      </c>
      <c r="G1535" s="13" t="s">
        <v>8335</v>
      </c>
      <c r="H1535" s="99" t="str">
        <f t="shared" si="91"/>
        <v>W25C.C</v>
      </c>
      <c r="I1535" s="45"/>
      <c r="J1535" s="47"/>
      <c r="K1535" s="47"/>
      <c r="L1535" s="48"/>
    </row>
    <row r="1536" spans="1:12" s="49" customFormat="1" ht="14.15" customHeight="1">
      <c r="A1536" s="45"/>
      <c r="B1536" s="11"/>
      <c r="C1536" s="11" t="s">
        <v>18</v>
      </c>
      <c r="D1536" s="45" t="s">
        <v>16</v>
      </c>
      <c r="E1536" s="47"/>
      <c r="F1536" s="39" t="s">
        <v>1235</v>
      </c>
      <c r="G1536" s="13" t="s">
        <v>8336</v>
      </c>
      <c r="H1536" s="99" t="str">
        <f t="shared" si="91"/>
        <v>W25C.D</v>
      </c>
      <c r="I1536" s="45"/>
      <c r="J1536" s="47"/>
      <c r="K1536" s="47"/>
      <c r="L1536" s="48"/>
    </row>
    <row r="1537" spans="1:12" s="49" customFormat="1" ht="14.15" customHeight="1">
      <c r="A1537" s="45"/>
      <c r="B1537" s="11"/>
      <c r="C1537" s="11" t="s">
        <v>18</v>
      </c>
      <c r="D1537" s="45" t="s">
        <v>16</v>
      </c>
      <c r="E1537" s="47"/>
      <c r="F1537" s="39" t="s">
        <v>1236</v>
      </c>
      <c r="G1537" s="13" t="s">
        <v>8337</v>
      </c>
      <c r="H1537" s="99" t="str">
        <f t="shared" si="91"/>
        <v>W25C.E</v>
      </c>
      <c r="I1537" s="45"/>
      <c r="J1537" s="47"/>
      <c r="K1537" s="47"/>
      <c r="L1537" s="48"/>
    </row>
    <row r="1538" spans="1:12" s="49" customFormat="1" ht="14.15" customHeight="1">
      <c r="A1538" s="45"/>
      <c r="B1538" s="11"/>
      <c r="C1538" s="11" t="s">
        <v>18</v>
      </c>
      <c r="D1538" s="45" t="s">
        <v>16</v>
      </c>
      <c r="E1538" s="47"/>
      <c r="F1538" s="39" t="s">
        <v>1237</v>
      </c>
      <c r="G1538" s="13" t="s">
        <v>8338</v>
      </c>
      <c r="H1538" s="99" t="str">
        <f t="shared" si="91"/>
        <v>W25C.F</v>
      </c>
      <c r="I1538" s="45"/>
      <c r="J1538" s="47"/>
      <c r="K1538" s="47"/>
      <c r="L1538" s="48"/>
    </row>
    <row r="1539" spans="1:12" s="49" customFormat="1" ht="14.15" customHeight="1">
      <c r="A1539" s="45"/>
      <c r="B1539" s="11"/>
      <c r="C1539" s="11" t="s">
        <v>18</v>
      </c>
      <c r="D1539" s="45" t="s">
        <v>16</v>
      </c>
      <c r="E1539" s="47"/>
      <c r="F1539" s="39" t="s">
        <v>1238</v>
      </c>
      <c r="G1539" s="13" t="s">
        <v>8339</v>
      </c>
      <c r="H1539" s="99" t="str">
        <f t="shared" si="91"/>
        <v>W25D.0</v>
      </c>
      <c r="I1539" s="45"/>
      <c r="J1539" s="47"/>
      <c r="K1539" s="47"/>
      <c r="L1539" s="48"/>
    </row>
    <row r="1540" spans="1:12" s="49" customFormat="1" ht="14.15" customHeight="1">
      <c r="A1540" s="45"/>
      <c r="B1540" s="11"/>
      <c r="C1540" s="11" t="s">
        <v>18</v>
      </c>
      <c r="D1540" s="45" t="s">
        <v>16</v>
      </c>
      <c r="E1540" s="47"/>
      <c r="F1540" s="39" t="s">
        <v>1239</v>
      </c>
      <c r="G1540" s="13" t="s">
        <v>8340</v>
      </c>
      <c r="H1540" s="99" t="str">
        <f t="shared" si="91"/>
        <v>W25D.1</v>
      </c>
      <c r="I1540" s="45"/>
      <c r="J1540" s="47"/>
      <c r="K1540" s="47"/>
      <c r="L1540" s="48"/>
    </row>
    <row r="1541" spans="1:12" s="49" customFormat="1" ht="14.15" customHeight="1">
      <c r="A1541" s="45"/>
      <c r="B1541" s="11"/>
      <c r="C1541" s="11" t="s">
        <v>18</v>
      </c>
      <c r="D1541" s="45" t="s">
        <v>16</v>
      </c>
      <c r="E1541" s="47"/>
      <c r="F1541" s="39" t="s">
        <v>1240</v>
      </c>
      <c r="G1541" s="13" t="s">
        <v>8341</v>
      </c>
      <c r="H1541" s="99" t="str">
        <f t="shared" si="91"/>
        <v>W25D.2</v>
      </c>
      <c r="I1541" s="45"/>
      <c r="J1541" s="47"/>
      <c r="K1541" s="47"/>
      <c r="L1541" s="48"/>
    </row>
    <row r="1542" spans="1:12" s="49" customFormat="1" ht="14.15" customHeight="1">
      <c r="A1542" s="45"/>
      <c r="B1542" s="11"/>
      <c r="C1542" s="11" t="s">
        <v>18</v>
      </c>
      <c r="D1542" s="45" t="s">
        <v>16</v>
      </c>
      <c r="E1542" s="47"/>
      <c r="F1542" s="39" t="s">
        <v>1241</v>
      </c>
      <c r="G1542" s="13" t="s">
        <v>8342</v>
      </c>
      <c r="H1542" s="99" t="str">
        <f t="shared" si="91"/>
        <v>W25D.3</v>
      </c>
      <c r="I1542" s="45"/>
      <c r="J1542" s="47"/>
      <c r="K1542" s="47"/>
      <c r="L1542" s="48"/>
    </row>
    <row r="1543" spans="1:12" s="49" customFormat="1" ht="14.15" customHeight="1">
      <c r="A1543" s="45"/>
      <c r="B1543" s="11"/>
      <c r="C1543" s="11" t="s">
        <v>18</v>
      </c>
      <c r="D1543" s="45" t="s">
        <v>16</v>
      </c>
      <c r="E1543" s="47"/>
      <c r="F1543" s="39" t="s">
        <v>1242</v>
      </c>
      <c r="G1543" s="13" t="s">
        <v>8343</v>
      </c>
      <c r="H1543" s="99" t="str">
        <f t="shared" si="91"/>
        <v>W25D.4</v>
      </c>
      <c r="I1543" s="45"/>
      <c r="J1543" s="47"/>
      <c r="K1543" s="47"/>
      <c r="L1543" s="48"/>
    </row>
    <row r="1544" spans="1:12" s="49" customFormat="1" ht="14.15" customHeight="1">
      <c r="A1544" s="45"/>
      <c r="B1544" s="11"/>
      <c r="C1544" s="11" t="s">
        <v>18</v>
      </c>
      <c r="D1544" s="45" t="s">
        <v>16</v>
      </c>
      <c r="E1544" s="47"/>
      <c r="F1544" s="39" t="s">
        <v>1243</v>
      </c>
      <c r="G1544" s="13" t="s">
        <v>8344</v>
      </c>
      <c r="H1544" s="99" t="str">
        <f t="shared" si="91"/>
        <v>W25D.5</v>
      </c>
      <c r="I1544" s="45"/>
      <c r="J1544" s="47"/>
      <c r="K1544" s="47"/>
      <c r="L1544" s="48"/>
    </row>
    <row r="1545" spans="1:12" s="49" customFormat="1" ht="14.15" customHeight="1">
      <c r="A1545" s="45"/>
      <c r="B1545" s="11"/>
      <c r="C1545" s="11" t="s">
        <v>18</v>
      </c>
      <c r="D1545" s="45" t="s">
        <v>16</v>
      </c>
      <c r="E1545" s="47"/>
      <c r="F1545" s="39" t="s">
        <v>1244</v>
      </c>
      <c r="G1545" s="13" t="s">
        <v>8345</v>
      </c>
      <c r="H1545" s="99" t="str">
        <f t="shared" si="91"/>
        <v>W25D.6</v>
      </c>
      <c r="I1545" s="45"/>
      <c r="J1545" s="47"/>
      <c r="K1545" s="47"/>
      <c r="L1545" s="48"/>
    </row>
    <row r="1546" spans="1:12" s="49" customFormat="1" ht="14.15" customHeight="1">
      <c r="A1546" s="45"/>
      <c r="B1546" s="11"/>
      <c r="C1546" s="11" t="s">
        <v>18</v>
      </c>
      <c r="D1546" s="45" t="s">
        <v>16</v>
      </c>
      <c r="E1546" s="47"/>
      <c r="F1546" s="39" t="s">
        <v>1245</v>
      </c>
      <c r="G1546" s="13" t="s">
        <v>8346</v>
      </c>
      <c r="H1546" s="99" t="str">
        <f t="shared" si="91"/>
        <v>W25D.7</v>
      </c>
      <c r="I1546" s="45"/>
      <c r="J1546" s="47"/>
      <c r="K1546" s="47"/>
      <c r="L1546" s="48"/>
    </row>
    <row r="1547" spans="1:12" s="49" customFormat="1" ht="14.15" customHeight="1">
      <c r="A1547" s="45"/>
      <c r="B1547" s="11"/>
      <c r="C1547" s="11" t="s">
        <v>18</v>
      </c>
      <c r="D1547" s="45" t="s">
        <v>16</v>
      </c>
      <c r="E1547" s="47"/>
      <c r="F1547" s="39" t="s">
        <v>1246</v>
      </c>
      <c r="G1547" s="13" t="s">
        <v>8347</v>
      </c>
      <c r="H1547" s="99" t="str">
        <f t="shared" si="91"/>
        <v>W25D.8</v>
      </c>
      <c r="I1547" s="45"/>
      <c r="J1547" s="47"/>
      <c r="K1547" s="47"/>
      <c r="L1547" s="48"/>
    </row>
    <row r="1548" spans="1:12" s="49" customFormat="1" ht="14.15" customHeight="1">
      <c r="A1548" s="45"/>
      <c r="B1548" s="11"/>
      <c r="C1548" s="11" t="s">
        <v>18</v>
      </c>
      <c r="D1548" s="45" t="s">
        <v>16</v>
      </c>
      <c r="E1548" s="47"/>
      <c r="F1548" s="39" t="s">
        <v>1247</v>
      </c>
      <c r="G1548" s="13" t="s">
        <v>8348</v>
      </c>
      <c r="H1548" s="99" t="str">
        <f t="shared" si="91"/>
        <v>W25D.9</v>
      </c>
      <c r="I1548" s="45"/>
      <c r="J1548" s="47"/>
      <c r="K1548" s="47"/>
      <c r="L1548" s="48"/>
    </row>
    <row r="1549" spans="1:12" s="49" customFormat="1" ht="14.15" customHeight="1">
      <c r="A1549" s="45"/>
      <c r="B1549" s="11"/>
      <c r="C1549" s="11" t="s">
        <v>18</v>
      </c>
      <c r="D1549" s="45" t="s">
        <v>16</v>
      </c>
      <c r="E1549" s="47"/>
      <c r="F1549" s="39" t="s">
        <v>1248</v>
      </c>
      <c r="G1549" s="13" t="s">
        <v>8349</v>
      </c>
      <c r="H1549" s="99" t="str">
        <f t="shared" si="91"/>
        <v>W25D.A</v>
      </c>
      <c r="I1549" s="45"/>
      <c r="J1549" s="47"/>
      <c r="K1549" s="47"/>
      <c r="L1549" s="48"/>
    </row>
    <row r="1550" spans="1:12" s="49" customFormat="1" ht="14.15" customHeight="1">
      <c r="A1550" s="45"/>
      <c r="B1550" s="11"/>
      <c r="C1550" s="11" t="s">
        <v>18</v>
      </c>
      <c r="D1550" s="45" t="s">
        <v>16</v>
      </c>
      <c r="E1550" s="47"/>
      <c r="F1550" s="39" t="s">
        <v>1249</v>
      </c>
      <c r="G1550" s="13" t="s">
        <v>8350</v>
      </c>
      <c r="H1550" s="99" t="str">
        <f t="shared" si="91"/>
        <v>W25D.B</v>
      </c>
      <c r="I1550" s="45"/>
      <c r="J1550" s="47"/>
      <c r="K1550" s="47"/>
      <c r="L1550" s="48"/>
    </row>
    <row r="1551" spans="1:12" s="49" customFormat="1" ht="14.15" customHeight="1">
      <c r="A1551" s="45"/>
      <c r="B1551" s="11"/>
      <c r="C1551" s="11" t="s">
        <v>18</v>
      </c>
      <c r="D1551" s="45" t="s">
        <v>16</v>
      </c>
      <c r="E1551" s="47"/>
      <c r="F1551" s="39" t="s">
        <v>1250</v>
      </c>
      <c r="G1551" s="13" t="s">
        <v>8351</v>
      </c>
      <c r="H1551" s="99" t="str">
        <f t="shared" si="91"/>
        <v>W25D.C</v>
      </c>
      <c r="I1551" s="45"/>
      <c r="J1551" s="47"/>
      <c r="K1551" s="47"/>
      <c r="L1551" s="48"/>
    </row>
    <row r="1552" spans="1:12" s="49" customFormat="1" ht="14.15" customHeight="1">
      <c r="A1552" s="45"/>
      <c r="B1552" s="11"/>
      <c r="C1552" s="11" t="s">
        <v>18</v>
      </c>
      <c r="D1552" s="45" t="s">
        <v>16</v>
      </c>
      <c r="E1552" s="47"/>
      <c r="F1552" s="39" t="s">
        <v>1251</v>
      </c>
      <c r="G1552" s="13" t="s">
        <v>8352</v>
      </c>
      <c r="H1552" s="99" t="str">
        <f t="shared" si="91"/>
        <v>W25D.D</v>
      </c>
      <c r="I1552" s="45"/>
      <c r="J1552" s="47"/>
      <c r="K1552" s="47"/>
      <c r="L1552" s="48"/>
    </row>
    <row r="1553" spans="1:12" s="49" customFormat="1" ht="14.15" customHeight="1">
      <c r="A1553" s="45"/>
      <c r="B1553" s="11"/>
      <c r="C1553" s="11" t="s">
        <v>18</v>
      </c>
      <c r="D1553" s="45" t="s">
        <v>16</v>
      </c>
      <c r="E1553" s="47"/>
      <c r="F1553" s="39" t="s">
        <v>1252</v>
      </c>
      <c r="G1553" s="13" t="s">
        <v>8353</v>
      </c>
      <c r="H1553" s="99" t="str">
        <f t="shared" si="91"/>
        <v>W25D.E</v>
      </c>
      <c r="I1553" s="45"/>
      <c r="J1553" s="47"/>
      <c r="K1553" s="47"/>
      <c r="L1553" s="48"/>
    </row>
    <row r="1554" spans="1:12" s="49" customFormat="1" ht="14.15" customHeight="1">
      <c r="A1554" s="45"/>
      <c r="B1554" s="11"/>
      <c r="C1554" s="11" t="s">
        <v>18</v>
      </c>
      <c r="D1554" s="45" t="s">
        <v>16</v>
      </c>
      <c r="E1554" s="47"/>
      <c r="F1554" s="39" t="s">
        <v>1253</v>
      </c>
      <c r="G1554" s="13" t="s">
        <v>8354</v>
      </c>
      <c r="H1554" s="99" t="str">
        <f t="shared" si="91"/>
        <v>W25D.F</v>
      </c>
      <c r="I1554" s="45"/>
      <c r="J1554" s="47"/>
      <c r="K1554" s="47"/>
      <c r="L1554" s="48"/>
    </row>
    <row r="1555" spans="1:12" s="49" customFormat="1" ht="14.15" customHeight="1">
      <c r="A1555" s="45"/>
      <c r="B1555" s="11"/>
      <c r="C1555" s="11" t="s">
        <v>18</v>
      </c>
      <c r="D1555" s="45" t="s">
        <v>16</v>
      </c>
      <c r="E1555" s="47"/>
      <c r="F1555" s="39" t="s">
        <v>1254</v>
      </c>
      <c r="G1555" s="13" t="s">
        <v>8355</v>
      </c>
      <c r="H1555" s="99" t="str">
        <f t="shared" si="91"/>
        <v>W25E.0</v>
      </c>
      <c r="I1555" s="45"/>
      <c r="J1555" s="47"/>
      <c r="K1555" s="47"/>
      <c r="L1555" s="48"/>
    </row>
    <row r="1556" spans="1:12" s="49" customFormat="1" ht="14.15" customHeight="1">
      <c r="A1556" s="45"/>
      <c r="B1556" s="11"/>
      <c r="C1556" s="11" t="s">
        <v>18</v>
      </c>
      <c r="D1556" s="45" t="s">
        <v>16</v>
      </c>
      <c r="E1556" s="47"/>
      <c r="F1556" s="39" t="s">
        <v>1255</v>
      </c>
      <c r="G1556" s="13" t="s">
        <v>8356</v>
      </c>
      <c r="H1556" s="99" t="str">
        <f t="shared" si="91"/>
        <v>W25E.1</v>
      </c>
      <c r="I1556" s="45"/>
      <c r="J1556" s="47"/>
      <c r="K1556" s="47"/>
      <c r="L1556" s="48"/>
    </row>
    <row r="1557" spans="1:12" s="49" customFormat="1" ht="14.15" customHeight="1">
      <c r="A1557" s="45"/>
      <c r="B1557" s="11"/>
      <c r="C1557" s="11" t="s">
        <v>18</v>
      </c>
      <c r="D1557" s="45" t="s">
        <v>16</v>
      </c>
      <c r="E1557" s="47"/>
      <c r="F1557" s="39" t="s">
        <v>1256</v>
      </c>
      <c r="G1557" s="13" t="s">
        <v>8357</v>
      </c>
      <c r="H1557" s="99" t="str">
        <f t="shared" si="91"/>
        <v>W25E.2</v>
      </c>
      <c r="I1557" s="45"/>
      <c r="J1557" s="47"/>
      <c r="K1557" s="47"/>
      <c r="L1557" s="48"/>
    </row>
    <row r="1558" spans="1:12" s="49" customFormat="1" ht="14.15" customHeight="1">
      <c r="A1558" s="45"/>
      <c r="B1558" s="11"/>
      <c r="C1558" s="11" t="s">
        <v>18</v>
      </c>
      <c r="D1558" s="45" t="s">
        <v>16</v>
      </c>
      <c r="E1558" s="47"/>
      <c r="F1558" s="39" t="s">
        <v>1257</v>
      </c>
      <c r="G1558" s="13" t="s">
        <v>8358</v>
      </c>
      <c r="H1558" s="99" t="str">
        <f t="shared" si="91"/>
        <v>W25E.3</v>
      </c>
      <c r="I1558" s="45"/>
      <c r="J1558" s="47"/>
      <c r="K1558" s="47"/>
      <c r="L1558" s="48"/>
    </row>
    <row r="1559" spans="1:12" s="49" customFormat="1" ht="14.15" customHeight="1">
      <c r="A1559" s="45"/>
      <c r="B1559" s="11"/>
      <c r="C1559" s="11" t="s">
        <v>18</v>
      </c>
      <c r="D1559" s="45" t="s">
        <v>16</v>
      </c>
      <c r="E1559" s="47"/>
      <c r="F1559" s="39" t="s">
        <v>1258</v>
      </c>
      <c r="G1559" s="13" t="s">
        <v>8359</v>
      </c>
      <c r="H1559" s="99" t="str">
        <f t="shared" si="91"/>
        <v>W25E.4</v>
      </c>
      <c r="I1559" s="45"/>
      <c r="J1559" s="47"/>
      <c r="K1559" s="47"/>
      <c r="L1559" s="48"/>
    </row>
    <row r="1560" spans="1:12" s="49" customFormat="1" ht="14.15" customHeight="1">
      <c r="A1560" s="45"/>
      <c r="B1560" s="11"/>
      <c r="C1560" s="11" t="s">
        <v>18</v>
      </c>
      <c r="D1560" s="45" t="s">
        <v>16</v>
      </c>
      <c r="E1560" s="47"/>
      <c r="F1560" s="39" t="s">
        <v>1259</v>
      </c>
      <c r="G1560" s="13" t="s">
        <v>8360</v>
      </c>
      <c r="H1560" s="99" t="str">
        <f t="shared" si="91"/>
        <v>W25E.5</v>
      </c>
      <c r="I1560" s="45"/>
      <c r="J1560" s="47"/>
      <c r="K1560" s="47"/>
      <c r="L1560" s="48"/>
    </row>
    <row r="1561" spans="1:12" s="49" customFormat="1" ht="14.15" customHeight="1">
      <c r="A1561" s="45"/>
      <c r="B1561" s="11"/>
      <c r="C1561" s="11" t="s">
        <v>18</v>
      </c>
      <c r="D1561" s="45" t="s">
        <v>16</v>
      </c>
      <c r="E1561" s="47"/>
      <c r="F1561" s="39" t="s">
        <v>1260</v>
      </c>
      <c r="G1561" s="13" t="s">
        <v>8361</v>
      </c>
      <c r="H1561" s="99" t="str">
        <f t="shared" si="91"/>
        <v>W25E.6</v>
      </c>
      <c r="I1561" s="45"/>
      <c r="J1561" s="47"/>
      <c r="K1561" s="47"/>
      <c r="L1561" s="48"/>
    </row>
    <row r="1562" spans="1:12" s="49" customFormat="1" ht="14.15" customHeight="1">
      <c r="A1562" s="45"/>
      <c r="B1562" s="11"/>
      <c r="C1562" s="11" t="s">
        <v>18</v>
      </c>
      <c r="D1562" s="45" t="s">
        <v>16</v>
      </c>
      <c r="E1562" s="47"/>
      <c r="F1562" s="39" t="s">
        <v>1261</v>
      </c>
      <c r="G1562" s="13" t="s">
        <v>8362</v>
      </c>
      <c r="H1562" s="99" t="str">
        <f t="shared" si="91"/>
        <v>W25E.7</v>
      </c>
      <c r="I1562" s="45"/>
      <c r="J1562" s="47"/>
      <c r="K1562" s="47"/>
      <c r="L1562" s="48"/>
    </row>
    <row r="1563" spans="1:12" s="49" customFormat="1" ht="14.15" customHeight="1">
      <c r="A1563" s="45"/>
      <c r="B1563" s="11"/>
      <c r="C1563" s="11" t="s">
        <v>18</v>
      </c>
      <c r="D1563" s="45" t="s">
        <v>16</v>
      </c>
      <c r="E1563" s="47"/>
      <c r="F1563" s="39" t="s">
        <v>1262</v>
      </c>
      <c r="G1563" s="13" t="s">
        <v>8363</v>
      </c>
      <c r="H1563" s="99" t="str">
        <f t="shared" si="91"/>
        <v>W25E.8</v>
      </c>
      <c r="I1563" s="45"/>
      <c r="J1563" s="47"/>
      <c r="K1563" s="47"/>
      <c r="L1563" s="48"/>
    </row>
    <row r="1564" spans="1:12" s="49" customFormat="1" ht="14.15" customHeight="1">
      <c r="A1564" s="45"/>
      <c r="B1564" s="11"/>
      <c r="C1564" s="11" t="s">
        <v>18</v>
      </c>
      <c r="D1564" s="45" t="s">
        <v>16</v>
      </c>
      <c r="E1564" s="47"/>
      <c r="F1564" s="39" t="s">
        <v>1263</v>
      </c>
      <c r="G1564" s="13" t="s">
        <v>8364</v>
      </c>
      <c r="H1564" s="99" t="str">
        <f t="shared" si="91"/>
        <v>W25E.9</v>
      </c>
      <c r="I1564" s="45"/>
      <c r="J1564" s="47"/>
      <c r="K1564" s="47"/>
      <c r="L1564" s="48"/>
    </row>
    <row r="1565" spans="1:12" s="49" customFormat="1" ht="14.15" customHeight="1">
      <c r="A1565" s="45"/>
      <c r="B1565" s="11"/>
      <c r="C1565" s="11" t="s">
        <v>18</v>
      </c>
      <c r="D1565" s="45" t="s">
        <v>16</v>
      </c>
      <c r="E1565" s="47"/>
      <c r="F1565" s="39" t="s">
        <v>1264</v>
      </c>
      <c r="G1565" s="13" t="s">
        <v>8365</v>
      </c>
      <c r="H1565" s="99" t="str">
        <f t="shared" si="91"/>
        <v>W25E.A</v>
      </c>
      <c r="I1565" s="45"/>
      <c r="J1565" s="47"/>
      <c r="K1565" s="47"/>
      <c r="L1565" s="48"/>
    </row>
    <row r="1566" spans="1:12" s="49" customFormat="1" ht="14.15" customHeight="1">
      <c r="A1566" s="45"/>
      <c r="B1566" s="11"/>
      <c r="C1566" s="11" t="s">
        <v>18</v>
      </c>
      <c r="D1566" s="45" t="s">
        <v>16</v>
      </c>
      <c r="E1566" s="47"/>
      <c r="F1566" s="39" t="s">
        <v>1265</v>
      </c>
      <c r="G1566" s="13" t="s">
        <v>8366</v>
      </c>
      <c r="H1566" s="99" t="str">
        <f t="shared" si="91"/>
        <v>W25E.B</v>
      </c>
      <c r="I1566" s="45"/>
      <c r="J1566" s="47"/>
      <c r="K1566" s="47"/>
      <c r="L1566" s="48"/>
    </row>
    <row r="1567" spans="1:12" s="49" customFormat="1" ht="14.15" customHeight="1">
      <c r="A1567" s="45"/>
      <c r="B1567" s="11"/>
      <c r="C1567" s="11" t="s">
        <v>18</v>
      </c>
      <c r="D1567" s="45" t="s">
        <v>16</v>
      </c>
      <c r="E1567" s="47"/>
      <c r="F1567" s="39" t="s">
        <v>1266</v>
      </c>
      <c r="G1567" s="13" t="s">
        <v>8367</v>
      </c>
      <c r="H1567" s="99" t="str">
        <f t="shared" si="91"/>
        <v>W25E.C</v>
      </c>
      <c r="I1567" s="45"/>
      <c r="J1567" s="47"/>
      <c r="K1567" s="47"/>
      <c r="L1567" s="48"/>
    </row>
    <row r="1568" spans="1:12" s="49" customFormat="1" ht="14.15" customHeight="1">
      <c r="A1568" s="45"/>
      <c r="B1568" s="11"/>
      <c r="C1568" s="11" t="s">
        <v>18</v>
      </c>
      <c r="D1568" s="45" t="s">
        <v>16</v>
      </c>
      <c r="E1568" s="47"/>
      <c r="F1568" s="39" t="s">
        <v>1267</v>
      </c>
      <c r="G1568" s="13" t="s">
        <v>8368</v>
      </c>
      <c r="H1568" s="99" t="str">
        <f t="shared" si="91"/>
        <v>W25E.D</v>
      </c>
      <c r="I1568" s="45"/>
      <c r="J1568" s="47"/>
      <c r="K1568" s="47"/>
      <c r="L1568" s="48"/>
    </row>
    <row r="1569" spans="1:12" s="49" customFormat="1" ht="14.15" customHeight="1">
      <c r="A1569" s="45"/>
      <c r="B1569" s="11"/>
      <c r="C1569" s="11" t="s">
        <v>18</v>
      </c>
      <c r="D1569" s="45" t="s">
        <v>16</v>
      </c>
      <c r="E1569" s="47"/>
      <c r="F1569" s="39" t="s">
        <v>1268</v>
      </c>
      <c r="G1569" s="13" t="s">
        <v>8369</v>
      </c>
      <c r="H1569" s="99" t="str">
        <f t="shared" si="91"/>
        <v>W25E.E</v>
      </c>
      <c r="I1569" s="45"/>
      <c r="J1569" s="47"/>
      <c r="K1569" s="47"/>
      <c r="L1569" s="48"/>
    </row>
    <row r="1570" spans="1:12" s="49" customFormat="1" ht="14.15" customHeight="1">
      <c r="A1570" s="45"/>
      <c r="B1570" s="11"/>
      <c r="C1570" s="11" t="s">
        <v>18</v>
      </c>
      <c r="D1570" s="45" t="s">
        <v>16</v>
      </c>
      <c r="E1570" s="47"/>
      <c r="F1570" s="39" t="s">
        <v>1269</v>
      </c>
      <c r="G1570" s="13" t="s">
        <v>8370</v>
      </c>
      <c r="H1570" s="99" t="str">
        <f t="shared" si="91"/>
        <v>W25E.F</v>
      </c>
      <c r="I1570" s="45"/>
      <c r="J1570" s="47"/>
      <c r="K1570" s="47"/>
      <c r="L1570" s="48"/>
    </row>
    <row r="1571" spans="1:12" s="49" customFormat="1" ht="14.15" customHeight="1">
      <c r="A1571" s="45"/>
      <c r="B1571" s="11"/>
      <c r="C1571" s="11" t="s">
        <v>18</v>
      </c>
      <c r="D1571" s="45" t="s">
        <v>16</v>
      </c>
      <c r="E1571" s="47"/>
      <c r="F1571" s="39" t="s">
        <v>1270</v>
      </c>
      <c r="G1571" s="13" t="s">
        <v>8371</v>
      </c>
      <c r="H1571" s="99" t="str">
        <f t="shared" si="91"/>
        <v>W25F.0</v>
      </c>
      <c r="I1571" s="45"/>
      <c r="J1571" s="47"/>
      <c r="K1571" s="47"/>
      <c r="L1571" s="48"/>
    </row>
    <row r="1572" spans="1:12" s="49" customFormat="1" ht="14.15" customHeight="1">
      <c r="A1572" s="45"/>
      <c r="B1572" s="11"/>
      <c r="C1572" s="11" t="s">
        <v>18</v>
      </c>
      <c r="D1572" s="45" t="s">
        <v>16</v>
      </c>
      <c r="E1572" s="47"/>
      <c r="F1572" s="39" t="s">
        <v>1271</v>
      </c>
      <c r="G1572" s="13" t="s">
        <v>8372</v>
      </c>
      <c r="H1572" s="99" t="str">
        <f t="shared" si="91"/>
        <v>W25F.1</v>
      </c>
      <c r="I1572" s="45"/>
      <c r="J1572" s="47"/>
      <c r="K1572" s="47"/>
      <c r="L1572" s="48"/>
    </row>
    <row r="1573" spans="1:12" s="49" customFormat="1" ht="14.15" customHeight="1">
      <c r="A1573" s="45"/>
      <c r="B1573" s="11"/>
      <c r="C1573" s="11" t="s">
        <v>18</v>
      </c>
      <c r="D1573" s="45" t="s">
        <v>16</v>
      </c>
      <c r="E1573" s="47"/>
      <c r="F1573" s="39" t="s">
        <v>1272</v>
      </c>
      <c r="G1573" s="13" t="s">
        <v>8373</v>
      </c>
      <c r="H1573" s="99" t="str">
        <f t="shared" si="91"/>
        <v>W25F.2</v>
      </c>
      <c r="I1573" s="45"/>
      <c r="J1573" s="47"/>
      <c r="K1573" s="47"/>
      <c r="L1573" s="48"/>
    </row>
    <row r="1574" spans="1:12" s="49" customFormat="1" ht="14.15" customHeight="1">
      <c r="A1574" s="45"/>
      <c r="B1574" s="11"/>
      <c r="C1574" s="11" t="s">
        <v>18</v>
      </c>
      <c r="D1574" s="45" t="s">
        <v>16</v>
      </c>
      <c r="E1574" s="47"/>
      <c r="F1574" s="39" t="s">
        <v>1273</v>
      </c>
      <c r="G1574" s="13" t="s">
        <v>8374</v>
      </c>
      <c r="H1574" s="99" t="str">
        <f t="shared" si="91"/>
        <v>W25F.3</v>
      </c>
      <c r="I1574" s="45"/>
      <c r="J1574" s="47"/>
      <c r="K1574" s="47"/>
      <c r="L1574" s="48"/>
    </row>
    <row r="1575" spans="1:12" s="49" customFormat="1" ht="14.15" customHeight="1">
      <c r="A1575" s="45"/>
      <c r="B1575" s="11"/>
      <c r="C1575" s="11" t="s">
        <v>18</v>
      </c>
      <c r="D1575" s="45" t="s">
        <v>16</v>
      </c>
      <c r="E1575" s="47"/>
      <c r="F1575" s="39" t="s">
        <v>1274</v>
      </c>
      <c r="G1575" s="13" t="s">
        <v>8375</v>
      </c>
      <c r="H1575" s="99" t="str">
        <f t="shared" si="91"/>
        <v>W25F.4</v>
      </c>
      <c r="I1575" s="45"/>
      <c r="J1575" s="47"/>
      <c r="K1575" s="47"/>
      <c r="L1575" s="48"/>
    </row>
    <row r="1576" spans="1:12" s="49" customFormat="1" ht="14.15" customHeight="1">
      <c r="A1576" s="45"/>
      <c r="B1576" s="11"/>
      <c r="C1576" s="11" t="s">
        <v>18</v>
      </c>
      <c r="D1576" s="45" t="s">
        <v>16</v>
      </c>
      <c r="E1576" s="47"/>
      <c r="F1576" s="39" t="s">
        <v>1275</v>
      </c>
      <c r="G1576" s="13" t="s">
        <v>8376</v>
      </c>
      <c r="H1576" s="99" t="str">
        <f t="shared" si="91"/>
        <v>W25F.5</v>
      </c>
      <c r="I1576" s="45"/>
      <c r="J1576" s="47"/>
      <c r="K1576" s="47"/>
      <c r="L1576" s="48"/>
    </row>
    <row r="1577" spans="1:12" s="49" customFormat="1" ht="14.15" customHeight="1">
      <c r="A1577" s="45"/>
      <c r="B1577" s="11"/>
      <c r="C1577" s="11" t="s">
        <v>18</v>
      </c>
      <c r="D1577" s="45" t="s">
        <v>16</v>
      </c>
      <c r="E1577" s="47"/>
      <c r="F1577" s="39" t="s">
        <v>1276</v>
      </c>
      <c r="G1577" s="13" t="s">
        <v>8377</v>
      </c>
      <c r="H1577" s="99" t="str">
        <f t="shared" si="91"/>
        <v>W25F.6</v>
      </c>
      <c r="I1577" s="45"/>
      <c r="J1577" s="47"/>
      <c r="K1577" s="47"/>
      <c r="L1577" s="48"/>
    </row>
    <row r="1578" spans="1:12" s="49" customFormat="1" ht="14.15" customHeight="1">
      <c r="A1578" s="45"/>
      <c r="B1578" s="11"/>
      <c r="C1578" s="11" t="s">
        <v>18</v>
      </c>
      <c r="D1578" s="45" t="s">
        <v>16</v>
      </c>
      <c r="E1578" s="47"/>
      <c r="F1578" s="39" t="s">
        <v>1277</v>
      </c>
      <c r="G1578" s="13" t="s">
        <v>8378</v>
      </c>
      <c r="H1578" s="99" t="str">
        <f t="shared" si="91"/>
        <v>W25F.7</v>
      </c>
      <c r="I1578" s="45"/>
      <c r="J1578" s="47"/>
      <c r="K1578" s="47"/>
      <c r="L1578" s="48"/>
    </row>
    <row r="1579" spans="1:12" s="49" customFormat="1" ht="14.15" customHeight="1">
      <c r="A1579" s="45"/>
      <c r="B1579" s="11"/>
      <c r="C1579" s="11" t="s">
        <v>18</v>
      </c>
      <c r="D1579" s="45" t="s">
        <v>16</v>
      </c>
      <c r="E1579" s="47"/>
      <c r="F1579" s="39" t="s">
        <v>1278</v>
      </c>
      <c r="G1579" s="13" t="s">
        <v>8379</v>
      </c>
      <c r="H1579" s="99" t="str">
        <f t="shared" si="91"/>
        <v>W25F.8</v>
      </c>
      <c r="I1579" s="45"/>
      <c r="J1579" s="47"/>
      <c r="K1579" s="47"/>
      <c r="L1579" s="48"/>
    </row>
    <row r="1580" spans="1:12" s="49" customFormat="1" ht="14.15" customHeight="1">
      <c r="A1580" s="45"/>
      <c r="B1580" s="11"/>
      <c r="C1580" s="11" t="s">
        <v>18</v>
      </c>
      <c r="D1580" s="45" t="s">
        <v>16</v>
      </c>
      <c r="E1580" s="47"/>
      <c r="F1580" s="39" t="s">
        <v>1279</v>
      </c>
      <c r="G1580" s="13" t="s">
        <v>8380</v>
      </c>
      <c r="H1580" s="99" t="str">
        <f t="shared" si="91"/>
        <v>W25F.9</v>
      </c>
      <c r="I1580" s="45"/>
      <c r="J1580" s="47"/>
      <c r="K1580" s="47"/>
      <c r="L1580" s="48"/>
    </row>
    <row r="1581" spans="1:12" s="49" customFormat="1" ht="14.15" customHeight="1">
      <c r="A1581" s="45"/>
      <c r="B1581" s="11"/>
      <c r="C1581" s="11" t="s">
        <v>18</v>
      </c>
      <c r="D1581" s="45" t="s">
        <v>16</v>
      </c>
      <c r="E1581" s="47"/>
      <c r="F1581" s="39" t="s">
        <v>1280</v>
      </c>
      <c r="G1581" s="13" t="s">
        <v>8381</v>
      </c>
      <c r="H1581" s="99" t="str">
        <f t="shared" si="91"/>
        <v>W25F.A</v>
      </c>
      <c r="I1581" s="45"/>
      <c r="J1581" s="47"/>
      <c r="K1581" s="47"/>
      <c r="L1581" s="48"/>
    </row>
    <row r="1582" spans="1:12" s="49" customFormat="1" ht="14.15" customHeight="1">
      <c r="A1582" s="45"/>
      <c r="B1582" s="11"/>
      <c r="C1582" s="11" t="s">
        <v>18</v>
      </c>
      <c r="D1582" s="45" t="s">
        <v>16</v>
      </c>
      <c r="E1582" s="47"/>
      <c r="F1582" s="39" t="s">
        <v>1281</v>
      </c>
      <c r="G1582" s="13" t="s">
        <v>8382</v>
      </c>
      <c r="H1582" s="99" t="str">
        <f t="shared" si="91"/>
        <v>W25F.B</v>
      </c>
      <c r="I1582" s="45"/>
      <c r="J1582" s="47"/>
      <c r="K1582" s="47"/>
      <c r="L1582" s="48"/>
    </row>
    <row r="1583" spans="1:12" s="49" customFormat="1" ht="14.15" customHeight="1">
      <c r="A1583" s="45"/>
      <c r="B1583" s="11"/>
      <c r="C1583" s="11" t="s">
        <v>18</v>
      </c>
      <c r="D1583" s="45" t="s">
        <v>16</v>
      </c>
      <c r="E1583" s="47"/>
      <c r="F1583" s="39" t="s">
        <v>1282</v>
      </c>
      <c r="G1583" s="13" t="s">
        <v>8383</v>
      </c>
      <c r="H1583" s="99" t="str">
        <f t="shared" si="91"/>
        <v>W25F.C</v>
      </c>
      <c r="I1583" s="45"/>
      <c r="J1583" s="47"/>
      <c r="K1583" s="47"/>
      <c r="L1583" s="48"/>
    </row>
    <row r="1584" spans="1:12" s="49" customFormat="1" ht="14.15" customHeight="1">
      <c r="A1584" s="45"/>
      <c r="B1584" s="11"/>
      <c r="C1584" s="11" t="s">
        <v>18</v>
      </c>
      <c r="D1584" s="45" t="s">
        <v>16</v>
      </c>
      <c r="E1584" s="47"/>
      <c r="F1584" s="39" t="s">
        <v>1283</v>
      </c>
      <c r="G1584" s="13" t="s">
        <v>8384</v>
      </c>
      <c r="H1584" s="99" t="str">
        <f t="shared" si="91"/>
        <v>W25F.D</v>
      </c>
      <c r="I1584" s="45"/>
      <c r="J1584" s="47"/>
      <c r="K1584" s="47"/>
      <c r="L1584" s="48"/>
    </row>
    <row r="1585" spans="1:12" s="49" customFormat="1" ht="14.15" customHeight="1">
      <c r="A1585" s="45"/>
      <c r="B1585" s="11"/>
      <c r="C1585" s="11" t="s">
        <v>18</v>
      </c>
      <c r="D1585" s="45" t="s">
        <v>16</v>
      </c>
      <c r="E1585" s="47"/>
      <c r="F1585" s="39" t="s">
        <v>1284</v>
      </c>
      <c r="G1585" s="13" t="s">
        <v>8385</v>
      </c>
      <c r="H1585" s="99" t="str">
        <f t="shared" si="91"/>
        <v>W25F.E</v>
      </c>
      <c r="I1585" s="45"/>
      <c r="J1585" s="47"/>
      <c r="K1585" s="47"/>
      <c r="L1585" s="48"/>
    </row>
    <row r="1586" spans="1:12" s="49" customFormat="1" ht="14.15" customHeight="1">
      <c r="A1586" s="45"/>
      <c r="B1586" s="11"/>
      <c r="C1586" s="11" t="s">
        <v>18</v>
      </c>
      <c r="D1586" s="45" t="s">
        <v>16</v>
      </c>
      <c r="E1586" s="47"/>
      <c r="F1586" s="39" t="s">
        <v>1285</v>
      </c>
      <c r="G1586" s="13" t="s">
        <v>8386</v>
      </c>
      <c r="H1586" s="99" t="str">
        <f t="shared" si="91"/>
        <v>W25F.F</v>
      </c>
      <c r="I1586" s="45"/>
      <c r="J1586" s="47"/>
      <c r="K1586" s="47"/>
      <c r="L1586" s="48"/>
    </row>
    <row r="1587" spans="1:12" s="49" customFormat="1" ht="14.15" customHeight="1">
      <c r="A1587" s="45"/>
      <c r="B1587" s="11"/>
      <c r="C1587" s="11" t="s">
        <v>18</v>
      </c>
      <c r="D1587" s="45" t="s">
        <v>16</v>
      </c>
      <c r="E1587" s="47"/>
      <c r="F1587" s="39" t="s">
        <v>1286</v>
      </c>
      <c r="G1587" s="13" t="s">
        <v>8387</v>
      </c>
      <c r="H1587" s="99" t="str">
        <f t="shared" si="91"/>
        <v>W260.0</v>
      </c>
      <c r="I1587" s="45"/>
      <c r="J1587" s="47"/>
      <c r="K1587" s="47"/>
      <c r="L1587" s="48"/>
    </row>
    <row r="1588" spans="1:12" s="49" customFormat="1" ht="14.15" customHeight="1">
      <c r="A1588" s="45"/>
      <c r="B1588" s="11"/>
      <c r="C1588" s="11" t="s">
        <v>18</v>
      </c>
      <c r="D1588" s="45" t="s">
        <v>16</v>
      </c>
      <c r="E1588" s="47"/>
      <c r="F1588" s="39" t="s">
        <v>1287</v>
      </c>
      <c r="G1588" s="13" t="s">
        <v>8388</v>
      </c>
      <c r="H1588" s="99" t="str">
        <f t="shared" ref="H1588:H1651" si="92">"W"&amp;DEC2HEX(512 + INT((ROW()-51)/16)) &amp; "." &amp; IF(MOD(ROW()-51,16)&lt;10,MOD(ROW()-51,16),CHAR(MOD(ROW()-51,16)+55))</f>
        <v>W260.1</v>
      </c>
      <c r="I1588" s="45"/>
      <c r="J1588" s="47"/>
      <c r="K1588" s="47"/>
      <c r="L1588" s="48"/>
    </row>
    <row r="1589" spans="1:12" s="49" customFormat="1" ht="14.15" customHeight="1">
      <c r="A1589" s="45"/>
      <c r="B1589" s="11"/>
      <c r="C1589" s="11" t="s">
        <v>18</v>
      </c>
      <c r="D1589" s="45" t="s">
        <v>16</v>
      </c>
      <c r="E1589" s="47"/>
      <c r="F1589" s="39" t="s">
        <v>1288</v>
      </c>
      <c r="G1589" s="13" t="s">
        <v>8389</v>
      </c>
      <c r="H1589" s="99" t="str">
        <f t="shared" si="92"/>
        <v>W260.2</v>
      </c>
      <c r="I1589" s="45"/>
      <c r="J1589" s="47"/>
      <c r="K1589" s="47"/>
      <c r="L1589" s="48"/>
    </row>
    <row r="1590" spans="1:12" s="49" customFormat="1" ht="14.15" customHeight="1">
      <c r="A1590" s="45"/>
      <c r="B1590" s="11"/>
      <c r="C1590" s="11" t="s">
        <v>18</v>
      </c>
      <c r="D1590" s="45" t="s">
        <v>16</v>
      </c>
      <c r="E1590" s="47"/>
      <c r="F1590" s="39" t="s">
        <v>1289</v>
      </c>
      <c r="G1590" s="13" t="s">
        <v>8390</v>
      </c>
      <c r="H1590" s="99" t="str">
        <f t="shared" si="92"/>
        <v>W260.3</v>
      </c>
      <c r="I1590" s="45"/>
      <c r="J1590" s="47"/>
      <c r="K1590" s="47"/>
      <c r="L1590" s="48"/>
    </row>
    <row r="1591" spans="1:12" s="49" customFormat="1" ht="14.15" customHeight="1">
      <c r="A1591" s="45"/>
      <c r="B1591" s="11"/>
      <c r="C1591" s="11" t="s">
        <v>18</v>
      </c>
      <c r="D1591" s="45" t="s">
        <v>16</v>
      </c>
      <c r="E1591" s="47"/>
      <c r="F1591" s="39" t="s">
        <v>1290</v>
      </c>
      <c r="G1591" s="13" t="s">
        <v>8391</v>
      </c>
      <c r="H1591" s="99" t="str">
        <f t="shared" si="92"/>
        <v>W260.4</v>
      </c>
      <c r="I1591" s="45"/>
      <c r="J1591" s="47"/>
      <c r="K1591" s="47"/>
      <c r="L1591" s="48"/>
    </row>
    <row r="1592" spans="1:12" s="49" customFormat="1" ht="14.15" customHeight="1">
      <c r="A1592" s="45"/>
      <c r="B1592" s="11"/>
      <c r="C1592" s="11" t="s">
        <v>18</v>
      </c>
      <c r="D1592" s="45" t="s">
        <v>16</v>
      </c>
      <c r="E1592" s="47"/>
      <c r="F1592" s="39" t="s">
        <v>1291</v>
      </c>
      <c r="G1592" s="13" t="s">
        <v>8392</v>
      </c>
      <c r="H1592" s="99" t="str">
        <f t="shared" si="92"/>
        <v>W260.5</v>
      </c>
      <c r="I1592" s="45"/>
      <c r="J1592" s="47"/>
      <c r="K1592" s="47"/>
      <c r="L1592" s="48"/>
    </row>
    <row r="1593" spans="1:12" s="49" customFormat="1" ht="14.15" customHeight="1">
      <c r="A1593" s="45"/>
      <c r="B1593" s="11"/>
      <c r="C1593" s="11" t="s">
        <v>18</v>
      </c>
      <c r="D1593" s="45" t="s">
        <v>16</v>
      </c>
      <c r="E1593" s="47"/>
      <c r="F1593" s="39" t="s">
        <v>1292</v>
      </c>
      <c r="G1593" s="13" t="s">
        <v>8393</v>
      </c>
      <c r="H1593" s="99" t="str">
        <f t="shared" si="92"/>
        <v>W260.6</v>
      </c>
      <c r="I1593" s="45"/>
      <c r="J1593" s="47"/>
      <c r="K1593" s="47"/>
      <c r="L1593" s="48"/>
    </row>
    <row r="1594" spans="1:12" s="49" customFormat="1" ht="14.15" customHeight="1">
      <c r="A1594" s="45"/>
      <c r="B1594" s="11"/>
      <c r="C1594" s="11" t="s">
        <v>18</v>
      </c>
      <c r="D1594" s="45" t="s">
        <v>16</v>
      </c>
      <c r="E1594" s="47"/>
      <c r="F1594" s="39" t="s">
        <v>1293</v>
      </c>
      <c r="G1594" s="13" t="s">
        <v>8394</v>
      </c>
      <c r="H1594" s="99" t="str">
        <f t="shared" si="92"/>
        <v>W260.7</v>
      </c>
      <c r="I1594" s="45"/>
      <c r="J1594" s="47"/>
      <c r="K1594" s="47"/>
      <c r="L1594" s="48"/>
    </row>
    <row r="1595" spans="1:12" s="49" customFormat="1" ht="14.15" customHeight="1">
      <c r="A1595" s="45"/>
      <c r="B1595" s="11"/>
      <c r="C1595" s="11" t="s">
        <v>18</v>
      </c>
      <c r="D1595" s="45" t="s">
        <v>16</v>
      </c>
      <c r="E1595" s="47"/>
      <c r="F1595" s="39" t="s">
        <v>1294</v>
      </c>
      <c r="G1595" s="13" t="s">
        <v>8395</v>
      </c>
      <c r="H1595" s="99" t="str">
        <f t="shared" si="92"/>
        <v>W260.8</v>
      </c>
      <c r="I1595" s="45"/>
      <c r="J1595" s="47"/>
      <c r="K1595" s="47"/>
      <c r="L1595" s="48"/>
    </row>
    <row r="1596" spans="1:12" s="49" customFormat="1" ht="14.15" customHeight="1">
      <c r="A1596" s="45"/>
      <c r="B1596" s="11"/>
      <c r="C1596" s="11" t="s">
        <v>18</v>
      </c>
      <c r="D1596" s="45" t="s">
        <v>16</v>
      </c>
      <c r="E1596" s="47"/>
      <c r="F1596" s="39" t="s">
        <v>1295</v>
      </c>
      <c r="G1596" s="13" t="s">
        <v>8396</v>
      </c>
      <c r="H1596" s="99" t="str">
        <f t="shared" si="92"/>
        <v>W260.9</v>
      </c>
      <c r="I1596" s="45"/>
      <c r="J1596" s="47"/>
      <c r="K1596" s="47"/>
      <c r="L1596" s="48"/>
    </row>
    <row r="1597" spans="1:12" s="49" customFormat="1" ht="14.15" customHeight="1">
      <c r="A1597" s="45"/>
      <c r="B1597" s="11"/>
      <c r="C1597" s="11" t="s">
        <v>18</v>
      </c>
      <c r="D1597" s="45" t="s">
        <v>16</v>
      </c>
      <c r="E1597" s="47"/>
      <c r="F1597" s="39" t="s">
        <v>1296</v>
      </c>
      <c r="G1597" s="13" t="s">
        <v>8397</v>
      </c>
      <c r="H1597" s="99" t="str">
        <f t="shared" si="92"/>
        <v>W260.A</v>
      </c>
      <c r="I1597" s="45"/>
      <c r="J1597" s="47"/>
      <c r="K1597" s="47"/>
      <c r="L1597" s="48"/>
    </row>
    <row r="1598" spans="1:12" s="49" customFormat="1" ht="14.15" customHeight="1">
      <c r="A1598" s="45"/>
      <c r="B1598" s="11"/>
      <c r="C1598" s="11" t="s">
        <v>18</v>
      </c>
      <c r="D1598" s="45" t="s">
        <v>16</v>
      </c>
      <c r="E1598" s="47"/>
      <c r="F1598" s="39" t="s">
        <v>1297</v>
      </c>
      <c r="G1598" s="13" t="s">
        <v>8398</v>
      </c>
      <c r="H1598" s="99" t="str">
        <f t="shared" si="92"/>
        <v>W260.B</v>
      </c>
      <c r="I1598" s="45"/>
      <c r="J1598" s="47"/>
      <c r="K1598" s="47"/>
      <c r="L1598" s="48"/>
    </row>
    <row r="1599" spans="1:12" s="49" customFormat="1" ht="14.15" customHeight="1">
      <c r="A1599" s="45"/>
      <c r="B1599" s="11"/>
      <c r="C1599" s="11" t="s">
        <v>18</v>
      </c>
      <c r="D1599" s="45" t="s">
        <v>16</v>
      </c>
      <c r="E1599" s="47"/>
      <c r="F1599" s="39" t="s">
        <v>1298</v>
      </c>
      <c r="G1599" s="13" t="s">
        <v>8399</v>
      </c>
      <c r="H1599" s="99" t="str">
        <f t="shared" si="92"/>
        <v>W260.C</v>
      </c>
      <c r="I1599" s="45"/>
      <c r="J1599" s="47"/>
      <c r="K1599" s="47"/>
      <c r="L1599" s="48"/>
    </row>
    <row r="1600" spans="1:12" s="49" customFormat="1" ht="14.15" customHeight="1">
      <c r="A1600" s="45"/>
      <c r="B1600" s="11"/>
      <c r="C1600" s="11" t="s">
        <v>18</v>
      </c>
      <c r="D1600" s="45" t="s">
        <v>16</v>
      </c>
      <c r="E1600" s="47"/>
      <c r="F1600" s="39" t="s">
        <v>1299</v>
      </c>
      <c r="G1600" s="13" t="s">
        <v>8400</v>
      </c>
      <c r="H1600" s="99" t="str">
        <f t="shared" si="92"/>
        <v>W260.D</v>
      </c>
      <c r="I1600" s="45"/>
      <c r="J1600" s="47"/>
      <c r="K1600" s="47"/>
      <c r="L1600" s="48"/>
    </row>
    <row r="1601" spans="1:12" s="49" customFormat="1" ht="14.15" customHeight="1">
      <c r="A1601" s="45"/>
      <c r="B1601" s="11"/>
      <c r="C1601" s="11" t="s">
        <v>18</v>
      </c>
      <c r="D1601" s="45" t="s">
        <v>16</v>
      </c>
      <c r="E1601" s="47"/>
      <c r="F1601" s="39" t="s">
        <v>1300</v>
      </c>
      <c r="G1601" s="13" t="s">
        <v>8401</v>
      </c>
      <c r="H1601" s="99" t="str">
        <f t="shared" si="92"/>
        <v>W260.E</v>
      </c>
      <c r="I1601" s="45"/>
      <c r="J1601" s="47"/>
      <c r="K1601" s="47"/>
      <c r="L1601" s="48"/>
    </row>
    <row r="1602" spans="1:12" s="49" customFormat="1" ht="14.15" customHeight="1">
      <c r="A1602" s="45"/>
      <c r="B1602" s="11"/>
      <c r="C1602" s="11" t="s">
        <v>18</v>
      </c>
      <c r="D1602" s="45" t="s">
        <v>16</v>
      </c>
      <c r="E1602" s="47"/>
      <c r="F1602" s="39" t="s">
        <v>1301</v>
      </c>
      <c r="G1602" s="13" t="s">
        <v>8402</v>
      </c>
      <c r="H1602" s="99" t="str">
        <f t="shared" si="92"/>
        <v>W260.F</v>
      </c>
      <c r="I1602" s="45"/>
      <c r="J1602" s="47"/>
      <c r="K1602" s="47"/>
      <c r="L1602" s="48"/>
    </row>
    <row r="1603" spans="1:12" s="49" customFormat="1" ht="14.15" customHeight="1">
      <c r="A1603" s="45"/>
      <c r="B1603" s="11"/>
      <c r="C1603" s="11" t="s">
        <v>18</v>
      </c>
      <c r="D1603" s="45" t="s">
        <v>16</v>
      </c>
      <c r="E1603" s="47"/>
      <c r="F1603" s="39" t="s">
        <v>1302</v>
      </c>
      <c r="G1603" s="13" t="s">
        <v>8403</v>
      </c>
      <c r="H1603" s="99" t="str">
        <f t="shared" si="92"/>
        <v>W261.0</v>
      </c>
      <c r="I1603" s="45"/>
      <c r="J1603" s="47"/>
      <c r="K1603" s="47"/>
      <c r="L1603" s="48"/>
    </row>
    <row r="1604" spans="1:12" s="49" customFormat="1" ht="14.15" customHeight="1">
      <c r="A1604" s="45"/>
      <c r="B1604" s="11"/>
      <c r="C1604" s="11" t="s">
        <v>18</v>
      </c>
      <c r="D1604" s="45" t="s">
        <v>16</v>
      </c>
      <c r="E1604" s="47"/>
      <c r="F1604" s="39" t="s">
        <v>1303</v>
      </c>
      <c r="G1604" s="13" t="s">
        <v>8404</v>
      </c>
      <c r="H1604" s="99" t="str">
        <f t="shared" si="92"/>
        <v>W261.1</v>
      </c>
      <c r="I1604" s="45"/>
      <c r="J1604" s="47"/>
      <c r="K1604" s="47"/>
      <c r="L1604" s="48"/>
    </row>
    <row r="1605" spans="1:12" s="49" customFormat="1" ht="14.15" customHeight="1">
      <c r="A1605" s="45"/>
      <c r="B1605" s="11"/>
      <c r="C1605" s="11" t="s">
        <v>18</v>
      </c>
      <c r="D1605" s="45" t="s">
        <v>16</v>
      </c>
      <c r="E1605" s="47"/>
      <c r="F1605" s="39" t="s">
        <v>1304</v>
      </c>
      <c r="G1605" s="13" t="s">
        <v>8405</v>
      </c>
      <c r="H1605" s="99" t="str">
        <f t="shared" si="92"/>
        <v>W261.2</v>
      </c>
      <c r="I1605" s="45"/>
      <c r="J1605" s="47"/>
      <c r="K1605" s="47"/>
      <c r="L1605" s="48"/>
    </row>
    <row r="1606" spans="1:12" s="49" customFormat="1" ht="14.15" customHeight="1">
      <c r="A1606" s="45"/>
      <c r="B1606" s="11"/>
      <c r="C1606" s="11" t="s">
        <v>18</v>
      </c>
      <c r="D1606" s="45" t="s">
        <v>16</v>
      </c>
      <c r="E1606" s="47"/>
      <c r="F1606" s="39" t="s">
        <v>1305</v>
      </c>
      <c r="G1606" s="13" t="s">
        <v>8406</v>
      </c>
      <c r="H1606" s="99" t="str">
        <f t="shared" si="92"/>
        <v>W261.3</v>
      </c>
      <c r="I1606" s="45"/>
      <c r="J1606" s="47"/>
      <c r="K1606" s="47"/>
      <c r="L1606" s="48"/>
    </row>
    <row r="1607" spans="1:12" s="49" customFormat="1" ht="14.15" customHeight="1">
      <c r="A1607" s="45"/>
      <c r="B1607" s="11"/>
      <c r="C1607" s="11" t="s">
        <v>18</v>
      </c>
      <c r="D1607" s="45" t="s">
        <v>16</v>
      </c>
      <c r="E1607" s="47"/>
      <c r="F1607" s="39" t="s">
        <v>1306</v>
      </c>
      <c r="G1607" s="13" t="s">
        <v>8407</v>
      </c>
      <c r="H1607" s="99" t="str">
        <f t="shared" si="92"/>
        <v>W261.4</v>
      </c>
      <c r="I1607" s="45"/>
      <c r="J1607" s="47"/>
      <c r="K1607" s="47"/>
      <c r="L1607" s="48"/>
    </row>
    <row r="1608" spans="1:12" s="49" customFormat="1" ht="14.15" customHeight="1">
      <c r="A1608" s="45"/>
      <c r="B1608" s="11"/>
      <c r="C1608" s="11" t="s">
        <v>18</v>
      </c>
      <c r="D1608" s="45" t="s">
        <v>16</v>
      </c>
      <c r="E1608" s="47"/>
      <c r="F1608" s="39" t="s">
        <v>1307</v>
      </c>
      <c r="G1608" s="13" t="s">
        <v>8408</v>
      </c>
      <c r="H1608" s="99" t="str">
        <f t="shared" si="92"/>
        <v>W261.5</v>
      </c>
      <c r="I1608" s="45"/>
      <c r="J1608" s="47"/>
      <c r="K1608" s="47"/>
      <c r="L1608" s="48"/>
    </row>
    <row r="1609" spans="1:12" s="49" customFormat="1" ht="14.15" customHeight="1">
      <c r="A1609" s="45"/>
      <c r="B1609" s="11"/>
      <c r="C1609" s="11" t="s">
        <v>18</v>
      </c>
      <c r="D1609" s="45" t="s">
        <v>16</v>
      </c>
      <c r="E1609" s="47"/>
      <c r="F1609" s="39" t="s">
        <v>1308</v>
      </c>
      <c r="G1609" s="13" t="s">
        <v>8409</v>
      </c>
      <c r="H1609" s="99" t="str">
        <f t="shared" si="92"/>
        <v>W261.6</v>
      </c>
      <c r="I1609" s="45"/>
      <c r="J1609" s="47"/>
      <c r="K1609" s="47"/>
      <c r="L1609" s="48"/>
    </row>
    <row r="1610" spans="1:12" s="49" customFormat="1" ht="14.15" customHeight="1">
      <c r="A1610" s="45"/>
      <c r="B1610" s="11"/>
      <c r="C1610" s="11" t="s">
        <v>18</v>
      </c>
      <c r="D1610" s="45" t="s">
        <v>16</v>
      </c>
      <c r="E1610" s="47"/>
      <c r="F1610" s="39" t="s">
        <v>1309</v>
      </c>
      <c r="G1610" s="13" t="s">
        <v>8410</v>
      </c>
      <c r="H1610" s="99" t="str">
        <f t="shared" si="92"/>
        <v>W261.7</v>
      </c>
      <c r="I1610" s="45"/>
      <c r="J1610" s="47"/>
      <c r="K1610" s="47"/>
      <c r="L1610" s="48"/>
    </row>
    <row r="1611" spans="1:12" s="49" customFormat="1" ht="14.15" customHeight="1">
      <c r="A1611" s="45"/>
      <c r="B1611" s="11"/>
      <c r="C1611" s="11" t="s">
        <v>18</v>
      </c>
      <c r="D1611" s="45" t="s">
        <v>16</v>
      </c>
      <c r="E1611" s="47"/>
      <c r="F1611" s="39" t="s">
        <v>1310</v>
      </c>
      <c r="G1611" s="13" t="s">
        <v>8411</v>
      </c>
      <c r="H1611" s="99" t="str">
        <f t="shared" si="92"/>
        <v>W261.8</v>
      </c>
      <c r="I1611" s="45"/>
      <c r="J1611" s="47"/>
      <c r="K1611" s="47"/>
      <c r="L1611" s="48"/>
    </row>
    <row r="1612" spans="1:12" s="49" customFormat="1" ht="14.15" customHeight="1">
      <c r="A1612" s="45"/>
      <c r="B1612" s="11"/>
      <c r="C1612" s="11" t="s">
        <v>18</v>
      </c>
      <c r="D1612" s="45" t="s">
        <v>16</v>
      </c>
      <c r="E1612" s="47"/>
      <c r="F1612" s="39" t="s">
        <v>1311</v>
      </c>
      <c r="G1612" s="13" t="s">
        <v>8412</v>
      </c>
      <c r="H1612" s="99" t="str">
        <f t="shared" si="92"/>
        <v>W261.9</v>
      </c>
      <c r="I1612" s="45"/>
      <c r="J1612" s="47"/>
      <c r="K1612" s="47"/>
      <c r="L1612" s="48"/>
    </row>
    <row r="1613" spans="1:12" s="49" customFormat="1" ht="14.15" customHeight="1">
      <c r="A1613" s="45"/>
      <c r="B1613" s="11"/>
      <c r="C1613" s="11" t="s">
        <v>18</v>
      </c>
      <c r="D1613" s="45" t="s">
        <v>16</v>
      </c>
      <c r="E1613" s="47"/>
      <c r="F1613" s="39" t="s">
        <v>1312</v>
      </c>
      <c r="G1613" s="13" t="s">
        <v>8413</v>
      </c>
      <c r="H1613" s="99" t="str">
        <f t="shared" si="92"/>
        <v>W261.A</v>
      </c>
      <c r="I1613" s="45"/>
      <c r="J1613" s="47"/>
      <c r="K1613" s="47"/>
      <c r="L1613" s="48"/>
    </row>
    <row r="1614" spans="1:12" s="49" customFormat="1" ht="14.15" customHeight="1">
      <c r="A1614" s="45"/>
      <c r="B1614" s="11"/>
      <c r="C1614" s="11" t="s">
        <v>18</v>
      </c>
      <c r="D1614" s="45" t="s">
        <v>16</v>
      </c>
      <c r="E1614" s="47"/>
      <c r="F1614" s="39" t="s">
        <v>1313</v>
      </c>
      <c r="G1614" s="13" t="s">
        <v>8414</v>
      </c>
      <c r="H1614" s="99" t="str">
        <f t="shared" si="92"/>
        <v>W261.B</v>
      </c>
      <c r="I1614" s="45"/>
      <c r="J1614" s="47"/>
      <c r="K1614" s="47"/>
      <c r="L1614" s="48"/>
    </row>
    <row r="1615" spans="1:12" s="49" customFormat="1" ht="14.15" customHeight="1">
      <c r="A1615" s="45"/>
      <c r="B1615" s="11"/>
      <c r="C1615" s="11" t="s">
        <v>18</v>
      </c>
      <c r="D1615" s="45" t="s">
        <v>16</v>
      </c>
      <c r="E1615" s="47"/>
      <c r="F1615" s="39" t="s">
        <v>1314</v>
      </c>
      <c r="G1615" s="13" t="s">
        <v>8415</v>
      </c>
      <c r="H1615" s="99" t="str">
        <f t="shared" si="92"/>
        <v>W261.C</v>
      </c>
      <c r="I1615" s="45"/>
      <c r="J1615" s="47"/>
      <c r="K1615" s="47"/>
      <c r="L1615" s="48"/>
    </row>
    <row r="1616" spans="1:12" s="49" customFormat="1" ht="14.15" customHeight="1">
      <c r="A1616" s="45"/>
      <c r="B1616" s="11"/>
      <c r="C1616" s="11" t="s">
        <v>18</v>
      </c>
      <c r="D1616" s="45" t="s">
        <v>16</v>
      </c>
      <c r="E1616" s="47"/>
      <c r="F1616" s="39" t="s">
        <v>1315</v>
      </c>
      <c r="G1616" s="13" t="s">
        <v>8416</v>
      </c>
      <c r="H1616" s="99" t="str">
        <f t="shared" si="92"/>
        <v>W261.D</v>
      </c>
      <c r="I1616" s="45"/>
      <c r="J1616" s="47"/>
      <c r="K1616" s="47"/>
      <c r="L1616" s="48"/>
    </row>
    <row r="1617" spans="1:12" s="49" customFormat="1" ht="14.15" customHeight="1">
      <c r="A1617" s="45"/>
      <c r="B1617" s="11"/>
      <c r="C1617" s="11" t="s">
        <v>18</v>
      </c>
      <c r="D1617" s="45" t="s">
        <v>16</v>
      </c>
      <c r="E1617" s="47"/>
      <c r="F1617" s="39" t="s">
        <v>1316</v>
      </c>
      <c r="G1617" s="13" t="s">
        <v>8417</v>
      </c>
      <c r="H1617" s="99" t="str">
        <f t="shared" si="92"/>
        <v>W261.E</v>
      </c>
      <c r="I1617" s="45"/>
      <c r="J1617" s="47"/>
      <c r="K1617" s="47"/>
      <c r="L1617" s="48"/>
    </row>
    <row r="1618" spans="1:12" s="49" customFormat="1" ht="14.15" customHeight="1">
      <c r="A1618" s="45"/>
      <c r="B1618" s="11"/>
      <c r="C1618" s="11" t="s">
        <v>18</v>
      </c>
      <c r="D1618" s="45" t="s">
        <v>16</v>
      </c>
      <c r="E1618" s="47"/>
      <c r="F1618" s="39" t="s">
        <v>1317</v>
      </c>
      <c r="G1618" s="13" t="s">
        <v>8418</v>
      </c>
      <c r="H1618" s="99" t="str">
        <f t="shared" si="92"/>
        <v>W261.F</v>
      </c>
      <c r="I1618" s="45"/>
      <c r="J1618" s="47"/>
      <c r="K1618" s="47"/>
      <c r="L1618" s="48"/>
    </row>
    <row r="1619" spans="1:12" s="49" customFormat="1" ht="14.15" customHeight="1">
      <c r="A1619" s="45"/>
      <c r="B1619" s="11"/>
      <c r="C1619" s="11" t="s">
        <v>18</v>
      </c>
      <c r="D1619" s="45" t="s">
        <v>16</v>
      </c>
      <c r="E1619" s="47"/>
      <c r="F1619" s="39" t="s">
        <v>1318</v>
      </c>
      <c r="G1619" s="13" t="s">
        <v>8419</v>
      </c>
      <c r="H1619" s="99" t="str">
        <f t="shared" si="92"/>
        <v>W262.0</v>
      </c>
      <c r="I1619" s="45"/>
      <c r="J1619" s="47"/>
      <c r="K1619" s="47"/>
      <c r="L1619" s="48"/>
    </row>
    <row r="1620" spans="1:12" s="49" customFormat="1" ht="14.15" customHeight="1">
      <c r="A1620" s="45"/>
      <c r="B1620" s="11"/>
      <c r="C1620" s="11" t="s">
        <v>18</v>
      </c>
      <c r="D1620" s="45" t="s">
        <v>16</v>
      </c>
      <c r="E1620" s="47"/>
      <c r="F1620" s="39" t="s">
        <v>1319</v>
      </c>
      <c r="G1620" s="13" t="s">
        <v>8420</v>
      </c>
      <c r="H1620" s="99" t="str">
        <f t="shared" si="92"/>
        <v>W262.1</v>
      </c>
      <c r="I1620" s="45"/>
      <c r="J1620" s="47"/>
      <c r="K1620" s="47"/>
      <c r="L1620" s="48"/>
    </row>
    <row r="1621" spans="1:12" s="49" customFormat="1" ht="14.15" customHeight="1">
      <c r="A1621" s="45"/>
      <c r="B1621" s="11"/>
      <c r="C1621" s="11" t="s">
        <v>18</v>
      </c>
      <c r="D1621" s="45" t="s">
        <v>16</v>
      </c>
      <c r="E1621" s="47"/>
      <c r="F1621" s="39" t="s">
        <v>1320</v>
      </c>
      <c r="G1621" s="13" t="s">
        <v>8421</v>
      </c>
      <c r="H1621" s="99" t="str">
        <f t="shared" si="92"/>
        <v>W262.2</v>
      </c>
      <c r="I1621" s="45"/>
      <c r="J1621" s="47"/>
      <c r="K1621" s="47"/>
      <c r="L1621" s="48"/>
    </row>
    <row r="1622" spans="1:12" s="49" customFormat="1" ht="14.15" customHeight="1">
      <c r="A1622" s="45"/>
      <c r="B1622" s="11"/>
      <c r="C1622" s="11" t="s">
        <v>18</v>
      </c>
      <c r="D1622" s="45" t="s">
        <v>16</v>
      </c>
      <c r="E1622" s="47"/>
      <c r="F1622" s="39" t="s">
        <v>1321</v>
      </c>
      <c r="G1622" s="13" t="s">
        <v>8422</v>
      </c>
      <c r="H1622" s="99" t="str">
        <f t="shared" si="92"/>
        <v>W262.3</v>
      </c>
      <c r="I1622" s="45"/>
      <c r="J1622" s="47"/>
      <c r="K1622" s="47"/>
      <c r="L1622" s="48"/>
    </row>
    <row r="1623" spans="1:12" s="49" customFormat="1" ht="14.15" customHeight="1">
      <c r="A1623" s="45"/>
      <c r="B1623" s="11"/>
      <c r="C1623" s="11" t="s">
        <v>18</v>
      </c>
      <c r="D1623" s="45" t="s">
        <v>16</v>
      </c>
      <c r="E1623" s="47"/>
      <c r="F1623" s="39" t="s">
        <v>1322</v>
      </c>
      <c r="G1623" s="13" t="s">
        <v>8423</v>
      </c>
      <c r="H1623" s="99" t="str">
        <f t="shared" si="92"/>
        <v>W262.4</v>
      </c>
      <c r="I1623" s="45"/>
      <c r="J1623" s="47"/>
      <c r="K1623" s="47"/>
      <c r="L1623" s="48"/>
    </row>
    <row r="1624" spans="1:12" s="49" customFormat="1" ht="14.15" customHeight="1">
      <c r="A1624" s="45"/>
      <c r="B1624" s="11"/>
      <c r="C1624" s="11" t="s">
        <v>18</v>
      </c>
      <c r="D1624" s="45" t="s">
        <v>16</v>
      </c>
      <c r="E1624" s="47"/>
      <c r="F1624" s="39" t="s">
        <v>1323</v>
      </c>
      <c r="G1624" s="13" t="s">
        <v>8424</v>
      </c>
      <c r="H1624" s="99" t="str">
        <f t="shared" si="92"/>
        <v>W262.5</v>
      </c>
      <c r="I1624" s="45"/>
      <c r="J1624" s="47"/>
      <c r="K1624" s="47"/>
      <c r="L1624" s="48"/>
    </row>
    <row r="1625" spans="1:12" s="49" customFormat="1" ht="14.15" customHeight="1">
      <c r="A1625" s="45"/>
      <c r="B1625" s="11"/>
      <c r="C1625" s="11" t="s">
        <v>18</v>
      </c>
      <c r="D1625" s="45" t="s">
        <v>16</v>
      </c>
      <c r="E1625" s="47"/>
      <c r="F1625" s="39" t="s">
        <v>1324</v>
      </c>
      <c r="G1625" s="13" t="s">
        <v>8425</v>
      </c>
      <c r="H1625" s="99" t="str">
        <f t="shared" si="92"/>
        <v>W262.6</v>
      </c>
      <c r="I1625" s="45"/>
      <c r="J1625" s="47"/>
      <c r="K1625" s="47"/>
      <c r="L1625" s="48"/>
    </row>
    <row r="1626" spans="1:12" s="49" customFormat="1" ht="14.15" customHeight="1">
      <c r="A1626" s="45"/>
      <c r="B1626" s="11"/>
      <c r="C1626" s="11" t="s">
        <v>18</v>
      </c>
      <c r="D1626" s="45" t="s">
        <v>16</v>
      </c>
      <c r="E1626" s="47"/>
      <c r="F1626" s="39" t="s">
        <v>1325</v>
      </c>
      <c r="G1626" s="13" t="s">
        <v>8426</v>
      </c>
      <c r="H1626" s="99" t="str">
        <f t="shared" si="92"/>
        <v>W262.7</v>
      </c>
      <c r="I1626" s="45"/>
      <c r="J1626" s="47"/>
      <c r="K1626" s="47"/>
      <c r="L1626" s="48"/>
    </row>
    <row r="1627" spans="1:12" s="49" customFormat="1" ht="14.15" customHeight="1">
      <c r="A1627" s="45"/>
      <c r="B1627" s="11"/>
      <c r="C1627" s="11" t="s">
        <v>18</v>
      </c>
      <c r="D1627" s="45" t="s">
        <v>16</v>
      </c>
      <c r="E1627" s="47"/>
      <c r="F1627" s="39" t="s">
        <v>1326</v>
      </c>
      <c r="G1627" s="13" t="s">
        <v>8427</v>
      </c>
      <c r="H1627" s="99" t="str">
        <f t="shared" si="92"/>
        <v>W262.8</v>
      </c>
      <c r="I1627" s="45"/>
      <c r="J1627" s="47"/>
      <c r="K1627" s="47"/>
      <c r="L1627" s="48"/>
    </row>
    <row r="1628" spans="1:12" s="49" customFormat="1" ht="14.15" customHeight="1">
      <c r="A1628" s="45"/>
      <c r="B1628" s="11"/>
      <c r="C1628" s="11" t="s">
        <v>18</v>
      </c>
      <c r="D1628" s="45" t="s">
        <v>16</v>
      </c>
      <c r="E1628" s="47"/>
      <c r="F1628" s="39" t="s">
        <v>1327</v>
      </c>
      <c r="G1628" s="13" t="s">
        <v>8428</v>
      </c>
      <c r="H1628" s="99" t="str">
        <f t="shared" si="92"/>
        <v>W262.9</v>
      </c>
      <c r="I1628" s="45"/>
      <c r="J1628" s="47"/>
      <c r="K1628" s="47"/>
      <c r="L1628" s="48"/>
    </row>
    <row r="1629" spans="1:12" s="49" customFormat="1" ht="14.15" customHeight="1">
      <c r="A1629" s="45"/>
      <c r="B1629" s="11"/>
      <c r="C1629" s="11" t="s">
        <v>18</v>
      </c>
      <c r="D1629" s="45" t="s">
        <v>16</v>
      </c>
      <c r="E1629" s="47"/>
      <c r="F1629" s="39" t="s">
        <v>1328</v>
      </c>
      <c r="G1629" s="13" t="s">
        <v>8429</v>
      </c>
      <c r="H1629" s="99" t="str">
        <f t="shared" si="92"/>
        <v>W262.A</v>
      </c>
      <c r="I1629" s="45"/>
      <c r="J1629" s="47"/>
      <c r="K1629" s="47"/>
      <c r="L1629" s="48"/>
    </row>
    <row r="1630" spans="1:12" s="49" customFormat="1" ht="14.15" customHeight="1">
      <c r="A1630" s="45"/>
      <c r="B1630" s="11"/>
      <c r="C1630" s="11" t="s">
        <v>18</v>
      </c>
      <c r="D1630" s="45" t="s">
        <v>16</v>
      </c>
      <c r="E1630" s="47"/>
      <c r="F1630" s="39" t="s">
        <v>1329</v>
      </c>
      <c r="G1630" s="13" t="s">
        <v>8430</v>
      </c>
      <c r="H1630" s="99" t="str">
        <f t="shared" si="92"/>
        <v>W262.B</v>
      </c>
      <c r="I1630" s="45"/>
      <c r="J1630" s="47"/>
      <c r="K1630" s="47"/>
      <c r="L1630" s="48"/>
    </row>
    <row r="1631" spans="1:12" s="49" customFormat="1" ht="14.15" customHeight="1">
      <c r="A1631" s="45"/>
      <c r="B1631" s="11"/>
      <c r="C1631" s="11" t="s">
        <v>18</v>
      </c>
      <c r="D1631" s="45" t="s">
        <v>16</v>
      </c>
      <c r="E1631" s="47"/>
      <c r="F1631" s="39" t="s">
        <v>1330</v>
      </c>
      <c r="G1631" s="13" t="s">
        <v>8431</v>
      </c>
      <c r="H1631" s="99" t="str">
        <f t="shared" si="92"/>
        <v>W262.C</v>
      </c>
      <c r="I1631" s="45"/>
      <c r="J1631" s="47"/>
      <c r="K1631" s="47"/>
      <c r="L1631" s="48"/>
    </row>
    <row r="1632" spans="1:12" s="49" customFormat="1" ht="14.15" customHeight="1">
      <c r="A1632" s="45"/>
      <c r="B1632" s="11"/>
      <c r="C1632" s="11" t="s">
        <v>18</v>
      </c>
      <c r="D1632" s="45" t="s">
        <v>16</v>
      </c>
      <c r="E1632" s="47"/>
      <c r="F1632" s="39" t="s">
        <v>1331</v>
      </c>
      <c r="G1632" s="13" t="s">
        <v>8432</v>
      </c>
      <c r="H1632" s="99" t="str">
        <f t="shared" si="92"/>
        <v>W262.D</v>
      </c>
      <c r="I1632" s="45"/>
      <c r="J1632" s="47"/>
      <c r="K1632" s="47"/>
      <c r="L1632" s="48"/>
    </row>
    <row r="1633" spans="1:12" s="49" customFormat="1" ht="14.15" customHeight="1">
      <c r="A1633" s="45"/>
      <c r="B1633" s="11"/>
      <c r="C1633" s="11" t="s">
        <v>18</v>
      </c>
      <c r="D1633" s="45" t="s">
        <v>16</v>
      </c>
      <c r="E1633" s="47"/>
      <c r="F1633" s="39" t="s">
        <v>1332</v>
      </c>
      <c r="G1633" s="13" t="s">
        <v>8433</v>
      </c>
      <c r="H1633" s="99" t="str">
        <f t="shared" si="92"/>
        <v>W262.E</v>
      </c>
      <c r="I1633" s="45"/>
      <c r="J1633" s="47"/>
      <c r="K1633" s="47"/>
      <c r="L1633" s="48"/>
    </row>
    <row r="1634" spans="1:12" s="49" customFormat="1" ht="14.15" customHeight="1">
      <c r="A1634" s="45"/>
      <c r="B1634" s="11"/>
      <c r="C1634" s="11" t="s">
        <v>18</v>
      </c>
      <c r="D1634" s="45" t="s">
        <v>16</v>
      </c>
      <c r="E1634" s="47"/>
      <c r="F1634" s="39" t="s">
        <v>1333</v>
      </c>
      <c r="G1634" s="13" t="s">
        <v>8434</v>
      </c>
      <c r="H1634" s="99" t="str">
        <f t="shared" si="92"/>
        <v>W262.F</v>
      </c>
      <c r="I1634" s="45"/>
      <c r="J1634" s="47"/>
      <c r="K1634" s="47"/>
      <c r="L1634" s="48"/>
    </row>
    <row r="1635" spans="1:12" s="49" customFormat="1" ht="14.15" customHeight="1">
      <c r="A1635" s="45"/>
      <c r="B1635" s="11"/>
      <c r="C1635" s="11" t="s">
        <v>18</v>
      </c>
      <c r="D1635" s="45" t="s">
        <v>16</v>
      </c>
      <c r="E1635" s="47"/>
      <c r="F1635" s="39" t="s">
        <v>1334</v>
      </c>
      <c r="G1635" s="13" t="s">
        <v>8435</v>
      </c>
      <c r="H1635" s="99" t="str">
        <f t="shared" si="92"/>
        <v>W263.0</v>
      </c>
      <c r="I1635" s="45"/>
      <c r="J1635" s="47"/>
      <c r="K1635" s="47"/>
      <c r="L1635" s="48"/>
    </row>
    <row r="1636" spans="1:12" s="49" customFormat="1" ht="14.15" customHeight="1">
      <c r="A1636" s="45"/>
      <c r="B1636" s="11"/>
      <c r="C1636" s="11" t="s">
        <v>18</v>
      </c>
      <c r="D1636" s="45" t="s">
        <v>16</v>
      </c>
      <c r="E1636" s="47"/>
      <c r="F1636" s="39" t="s">
        <v>1335</v>
      </c>
      <c r="G1636" s="13" t="s">
        <v>8436</v>
      </c>
      <c r="H1636" s="99" t="str">
        <f t="shared" si="92"/>
        <v>W263.1</v>
      </c>
      <c r="I1636" s="45"/>
      <c r="J1636" s="47"/>
      <c r="K1636" s="47"/>
      <c r="L1636" s="48"/>
    </row>
    <row r="1637" spans="1:12" s="49" customFormat="1" ht="14.15" customHeight="1">
      <c r="A1637" s="45"/>
      <c r="B1637" s="11"/>
      <c r="C1637" s="11" t="s">
        <v>18</v>
      </c>
      <c r="D1637" s="45" t="s">
        <v>16</v>
      </c>
      <c r="E1637" s="47"/>
      <c r="F1637" s="39" t="s">
        <v>1336</v>
      </c>
      <c r="G1637" s="13" t="s">
        <v>8437</v>
      </c>
      <c r="H1637" s="99" t="str">
        <f t="shared" si="92"/>
        <v>W263.2</v>
      </c>
      <c r="I1637" s="45"/>
      <c r="J1637" s="47"/>
      <c r="K1637" s="47"/>
      <c r="L1637" s="48"/>
    </row>
    <row r="1638" spans="1:12" s="49" customFormat="1" ht="14.15" customHeight="1">
      <c r="A1638" s="45"/>
      <c r="B1638" s="11"/>
      <c r="C1638" s="11" t="s">
        <v>18</v>
      </c>
      <c r="D1638" s="45" t="s">
        <v>16</v>
      </c>
      <c r="E1638" s="47"/>
      <c r="F1638" s="39" t="s">
        <v>1337</v>
      </c>
      <c r="G1638" s="13" t="s">
        <v>8438</v>
      </c>
      <c r="H1638" s="99" t="str">
        <f t="shared" si="92"/>
        <v>W263.3</v>
      </c>
      <c r="I1638" s="45"/>
      <c r="J1638" s="47"/>
      <c r="K1638" s="47"/>
      <c r="L1638" s="48"/>
    </row>
    <row r="1639" spans="1:12" s="49" customFormat="1" ht="14.15" customHeight="1">
      <c r="A1639" s="45"/>
      <c r="B1639" s="11"/>
      <c r="C1639" s="11" t="s">
        <v>18</v>
      </c>
      <c r="D1639" s="45" t="s">
        <v>16</v>
      </c>
      <c r="E1639" s="47"/>
      <c r="F1639" s="39" t="s">
        <v>1338</v>
      </c>
      <c r="G1639" s="13" t="s">
        <v>8439</v>
      </c>
      <c r="H1639" s="99" t="str">
        <f t="shared" si="92"/>
        <v>W263.4</v>
      </c>
      <c r="I1639" s="45"/>
      <c r="J1639" s="47"/>
      <c r="K1639" s="47"/>
      <c r="L1639" s="48"/>
    </row>
    <row r="1640" spans="1:12" s="49" customFormat="1" ht="14.15" customHeight="1">
      <c r="A1640" s="45"/>
      <c r="B1640" s="11"/>
      <c r="C1640" s="11" t="s">
        <v>18</v>
      </c>
      <c r="D1640" s="45" t="s">
        <v>16</v>
      </c>
      <c r="E1640" s="47"/>
      <c r="F1640" s="39" t="s">
        <v>1339</v>
      </c>
      <c r="G1640" s="13" t="s">
        <v>8440</v>
      </c>
      <c r="H1640" s="99" t="str">
        <f t="shared" si="92"/>
        <v>W263.5</v>
      </c>
      <c r="I1640" s="45"/>
      <c r="J1640" s="47"/>
      <c r="K1640" s="47"/>
      <c r="L1640" s="48"/>
    </row>
    <row r="1641" spans="1:12" s="49" customFormat="1" ht="14.15" customHeight="1">
      <c r="A1641" s="45"/>
      <c r="B1641" s="11"/>
      <c r="C1641" s="11" t="s">
        <v>18</v>
      </c>
      <c r="D1641" s="45" t="s">
        <v>16</v>
      </c>
      <c r="E1641" s="47"/>
      <c r="F1641" s="39" t="s">
        <v>1340</v>
      </c>
      <c r="G1641" s="13" t="s">
        <v>8441</v>
      </c>
      <c r="H1641" s="99" t="str">
        <f t="shared" si="92"/>
        <v>W263.6</v>
      </c>
      <c r="I1641" s="45"/>
      <c r="J1641" s="47"/>
      <c r="K1641" s="47"/>
      <c r="L1641" s="48"/>
    </row>
    <row r="1642" spans="1:12" s="49" customFormat="1" ht="14.15" customHeight="1">
      <c r="A1642" s="45"/>
      <c r="B1642" s="11"/>
      <c r="C1642" s="11" t="s">
        <v>18</v>
      </c>
      <c r="D1642" s="45" t="s">
        <v>16</v>
      </c>
      <c r="E1642" s="47"/>
      <c r="F1642" s="39" t="s">
        <v>1341</v>
      </c>
      <c r="G1642" s="13" t="s">
        <v>8442</v>
      </c>
      <c r="H1642" s="99" t="str">
        <f t="shared" si="92"/>
        <v>W263.7</v>
      </c>
      <c r="I1642" s="45"/>
      <c r="J1642" s="47"/>
      <c r="K1642" s="47"/>
      <c r="L1642" s="48"/>
    </row>
    <row r="1643" spans="1:12" s="49" customFormat="1" ht="14.15" customHeight="1">
      <c r="A1643" s="45"/>
      <c r="B1643" s="11"/>
      <c r="C1643" s="11" t="s">
        <v>18</v>
      </c>
      <c r="D1643" s="45" t="s">
        <v>16</v>
      </c>
      <c r="E1643" s="47"/>
      <c r="F1643" s="39" t="s">
        <v>1342</v>
      </c>
      <c r="G1643" s="13" t="s">
        <v>8443</v>
      </c>
      <c r="H1643" s="99" t="str">
        <f t="shared" si="92"/>
        <v>W263.8</v>
      </c>
      <c r="I1643" s="45"/>
      <c r="J1643" s="47"/>
      <c r="K1643" s="47"/>
      <c r="L1643" s="48"/>
    </row>
    <row r="1644" spans="1:12" s="49" customFormat="1" ht="14.15" customHeight="1">
      <c r="A1644" s="45"/>
      <c r="B1644" s="11"/>
      <c r="C1644" s="11" t="s">
        <v>18</v>
      </c>
      <c r="D1644" s="45" t="s">
        <v>16</v>
      </c>
      <c r="E1644" s="47"/>
      <c r="F1644" s="39" t="s">
        <v>1343</v>
      </c>
      <c r="G1644" s="13" t="s">
        <v>8444</v>
      </c>
      <c r="H1644" s="99" t="str">
        <f t="shared" si="92"/>
        <v>W263.9</v>
      </c>
      <c r="I1644" s="45"/>
      <c r="J1644" s="47"/>
      <c r="K1644" s="47"/>
      <c r="L1644" s="48"/>
    </row>
    <row r="1645" spans="1:12" s="49" customFormat="1" ht="14.15" customHeight="1">
      <c r="A1645" s="45"/>
      <c r="B1645" s="11"/>
      <c r="C1645" s="11" t="s">
        <v>18</v>
      </c>
      <c r="D1645" s="45" t="s">
        <v>16</v>
      </c>
      <c r="E1645" s="47"/>
      <c r="F1645" s="39" t="s">
        <v>1344</v>
      </c>
      <c r="G1645" s="13" t="s">
        <v>8445</v>
      </c>
      <c r="H1645" s="99" t="str">
        <f t="shared" si="92"/>
        <v>W263.A</v>
      </c>
      <c r="I1645" s="45"/>
      <c r="J1645" s="47"/>
      <c r="K1645" s="47"/>
      <c r="L1645" s="48"/>
    </row>
    <row r="1646" spans="1:12" s="49" customFormat="1" ht="14.15" customHeight="1">
      <c r="A1646" s="45"/>
      <c r="B1646" s="11"/>
      <c r="C1646" s="11" t="s">
        <v>18</v>
      </c>
      <c r="D1646" s="45" t="s">
        <v>16</v>
      </c>
      <c r="E1646" s="47"/>
      <c r="F1646" s="39" t="s">
        <v>1345</v>
      </c>
      <c r="G1646" s="13" t="s">
        <v>8446</v>
      </c>
      <c r="H1646" s="99" t="str">
        <f t="shared" si="92"/>
        <v>W263.B</v>
      </c>
      <c r="I1646" s="45"/>
      <c r="J1646" s="47"/>
      <c r="K1646" s="47"/>
      <c r="L1646" s="48"/>
    </row>
    <row r="1647" spans="1:12" s="49" customFormat="1" ht="14.15" customHeight="1">
      <c r="A1647" s="45"/>
      <c r="B1647" s="11"/>
      <c r="C1647" s="11" t="s">
        <v>18</v>
      </c>
      <c r="D1647" s="45" t="s">
        <v>16</v>
      </c>
      <c r="E1647" s="47"/>
      <c r="F1647" s="39" t="s">
        <v>1346</v>
      </c>
      <c r="G1647" s="13" t="s">
        <v>8447</v>
      </c>
      <c r="H1647" s="99" t="str">
        <f t="shared" si="92"/>
        <v>W263.C</v>
      </c>
      <c r="I1647" s="45"/>
      <c r="J1647" s="47"/>
      <c r="K1647" s="47"/>
      <c r="L1647" s="48"/>
    </row>
    <row r="1648" spans="1:12" s="49" customFormat="1" ht="14.15" customHeight="1">
      <c r="A1648" s="45"/>
      <c r="B1648" s="11"/>
      <c r="C1648" s="11" t="s">
        <v>18</v>
      </c>
      <c r="D1648" s="45" t="s">
        <v>16</v>
      </c>
      <c r="E1648" s="47"/>
      <c r="F1648" s="39" t="s">
        <v>1347</v>
      </c>
      <c r="G1648" s="13" t="s">
        <v>8448</v>
      </c>
      <c r="H1648" s="99" t="str">
        <f t="shared" si="92"/>
        <v>W263.D</v>
      </c>
      <c r="I1648" s="45"/>
      <c r="J1648" s="47"/>
      <c r="K1648" s="47"/>
      <c r="L1648" s="48"/>
    </row>
    <row r="1649" spans="1:12" s="49" customFormat="1" ht="14.15" customHeight="1">
      <c r="A1649" s="45"/>
      <c r="B1649" s="11"/>
      <c r="C1649" s="11" t="s">
        <v>18</v>
      </c>
      <c r="D1649" s="45" t="s">
        <v>16</v>
      </c>
      <c r="E1649" s="47"/>
      <c r="F1649" s="39" t="s">
        <v>1348</v>
      </c>
      <c r="G1649" s="13" t="s">
        <v>8449</v>
      </c>
      <c r="H1649" s="99" t="str">
        <f t="shared" si="92"/>
        <v>W263.E</v>
      </c>
      <c r="I1649" s="45"/>
      <c r="J1649" s="47"/>
      <c r="K1649" s="47"/>
      <c r="L1649" s="48"/>
    </row>
    <row r="1650" spans="1:12" s="49" customFormat="1" ht="14.15" customHeight="1">
      <c r="A1650" s="45"/>
      <c r="B1650" s="11"/>
      <c r="C1650" s="11" t="s">
        <v>18</v>
      </c>
      <c r="D1650" s="45" t="s">
        <v>16</v>
      </c>
      <c r="E1650" s="47"/>
      <c r="F1650" s="39" t="s">
        <v>1349</v>
      </c>
      <c r="G1650" s="13" t="s">
        <v>8450</v>
      </c>
      <c r="H1650" s="99" t="str">
        <f t="shared" si="92"/>
        <v>W263.F</v>
      </c>
      <c r="I1650" s="45"/>
      <c r="J1650" s="47"/>
      <c r="K1650" s="47"/>
      <c r="L1650" s="48"/>
    </row>
    <row r="1651" spans="1:12" s="49" customFormat="1" ht="14.15" customHeight="1">
      <c r="A1651" s="45"/>
      <c r="B1651" s="11"/>
      <c r="C1651" s="11" t="s">
        <v>18</v>
      </c>
      <c r="D1651" s="45" t="s">
        <v>16</v>
      </c>
      <c r="E1651" s="47"/>
      <c r="F1651" s="39" t="s">
        <v>1350</v>
      </c>
      <c r="G1651" s="13" t="s">
        <v>8451</v>
      </c>
      <c r="H1651" s="99" t="str">
        <f t="shared" si="92"/>
        <v>W264.0</v>
      </c>
      <c r="I1651" s="45"/>
      <c r="J1651" s="47"/>
      <c r="K1651" s="47"/>
      <c r="L1651" s="48"/>
    </row>
    <row r="1652" spans="1:12" s="49" customFormat="1" ht="14.15" customHeight="1">
      <c r="A1652" s="45"/>
      <c r="B1652" s="11"/>
      <c r="C1652" s="11" t="s">
        <v>18</v>
      </c>
      <c r="D1652" s="45" t="s">
        <v>16</v>
      </c>
      <c r="E1652" s="47"/>
      <c r="F1652" s="39" t="s">
        <v>1351</v>
      </c>
      <c r="G1652" s="13" t="s">
        <v>8452</v>
      </c>
      <c r="H1652" s="99" t="str">
        <f t="shared" ref="H1652:H1715" si="93">"W"&amp;DEC2HEX(512 + INT((ROW()-51)/16)) &amp; "." &amp; IF(MOD(ROW()-51,16)&lt;10,MOD(ROW()-51,16),CHAR(MOD(ROW()-51,16)+55))</f>
        <v>W264.1</v>
      </c>
      <c r="I1652" s="45"/>
      <c r="J1652" s="47"/>
      <c r="K1652" s="47"/>
      <c r="L1652" s="48"/>
    </row>
    <row r="1653" spans="1:12" s="49" customFormat="1" ht="14.15" customHeight="1">
      <c r="A1653" s="45"/>
      <c r="B1653" s="11"/>
      <c r="C1653" s="11" t="s">
        <v>18</v>
      </c>
      <c r="D1653" s="45" t="s">
        <v>16</v>
      </c>
      <c r="E1653" s="47"/>
      <c r="F1653" s="39" t="s">
        <v>1352</v>
      </c>
      <c r="G1653" s="13" t="s">
        <v>8453</v>
      </c>
      <c r="H1653" s="99" t="str">
        <f t="shared" si="93"/>
        <v>W264.2</v>
      </c>
      <c r="I1653" s="45"/>
      <c r="J1653" s="47"/>
      <c r="K1653" s="47"/>
      <c r="L1653" s="48"/>
    </row>
    <row r="1654" spans="1:12" s="49" customFormat="1" ht="14.15" customHeight="1">
      <c r="A1654" s="45"/>
      <c r="B1654" s="11"/>
      <c r="C1654" s="11" t="s">
        <v>18</v>
      </c>
      <c r="D1654" s="45" t="s">
        <v>16</v>
      </c>
      <c r="E1654" s="47"/>
      <c r="F1654" s="39" t="s">
        <v>1353</v>
      </c>
      <c r="G1654" s="13" t="s">
        <v>8454</v>
      </c>
      <c r="H1654" s="99" t="str">
        <f t="shared" si="93"/>
        <v>W264.3</v>
      </c>
      <c r="I1654" s="45"/>
      <c r="J1654" s="47"/>
      <c r="K1654" s="47"/>
      <c r="L1654" s="48"/>
    </row>
    <row r="1655" spans="1:12" s="49" customFormat="1" ht="14.15" customHeight="1">
      <c r="A1655" s="45"/>
      <c r="B1655" s="11"/>
      <c r="C1655" s="11" t="s">
        <v>18</v>
      </c>
      <c r="D1655" s="45" t="s">
        <v>16</v>
      </c>
      <c r="E1655" s="47"/>
      <c r="F1655" s="39" t="s">
        <v>1354</v>
      </c>
      <c r="G1655" s="13" t="s">
        <v>8455</v>
      </c>
      <c r="H1655" s="99" t="str">
        <f t="shared" si="93"/>
        <v>W264.4</v>
      </c>
      <c r="I1655" s="45"/>
      <c r="J1655" s="47"/>
      <c r="K1655" s="47"/>
      <c r="L1655" s="48"/>
    </row>
    <row r="1656" spans="1:12" s="49" customFormat="1" ht="14.15" customHeight="1">
      <c r="A1656" s="45"/>
      <c r="B1656" s="11"/>
      <c r="C1656" s="11" t="s">
        <v>18</v>
      </c>
      <c r="D1656" s="45" t="s">
        <v>16</v>
      </c>
      <c r="E1656" s="47"/>
      <c r="F1656" s="39" t="s">
        <v>1355</v>
      </c>
      <c r="G1656" s="13" t="s">
        <v>8456</v>
      </c>
      <c r="H1656" s="99" t="str">
        <f t="shared" si="93"/>
        <v>W264.5</v>
      </c>
      <c r="I1656" s="45"/>
      <c r="J1656" s="47"/>
      <c r="K1656" s="47"/>
      <c r="L1656" s="48"/>
    </row>
    <row r="1657" spans="1:12" s="49" customFormat="1" ht="14.15" customHeight="1">
      <c r="A1657" s="45"/>
      <c r="B1657" s="11"/>
      <c r="C1657" s="11" t="s">
        <v>18</v>
      </c>
      <c r="D1657" s="45" t="s">
        <v>16</v>
      </c>
      <c r="E1657" s="47"/>
      <c r="F1657" s="39" t="s">
        <v>1356</v>
      </c>
      <c r="G1657" s="13" t="s">
        <v>8457</v>
      </c>
      <c r="H1657" s="99" t="str">
        <f t="shared" si="93"/>
        <v>W264.6</v>
      </c>
      <c r="I1657" s="45"/>
      <c r="J1657" s="47"/>
      <c r="K1657" s="47"/>
      <c r="L1657" s="48"/>
    </row>
    <row r="1658" spans="1:12" s="49" customFormat="1" ht="14.15" customHeight="1">
      <c r="A1658" s="45"/>
      <c r="B1658" s="11"/>
      <c r="C1658" s="11" t="s">
        <v>18</v>
      </c>
      <c r="D1658" s="45" t="s">
        <v>16</v>
      </c>
      <c r="E1658" s="47"/>
      <c r="F1658" s="39" t="s">
        <v>1357</v>
      </c>
      <c r="G1658" s="13" t="s">
        <v>8458</v>
      </c>
      <c r="H1658" s="99" t="str">
        <f t="shared" si="93"/>
        <v>W264.7</v>
      </c>
      <c r="I1658" s="45"/>
      <c r="J1658" s="47"/>
      <c r="K1658" s="47"/>
      <c r="L1658" s="48"/>
    </row>
    <row r="1659" spans="1:12" s="49" customFormat="1" ht="14.15" customHeight="1">
      <c r="A1659" s="45"/>
      <c r="B1659" s="11"/>
      <c r="C1659" s="11" t="s">
        <v>18</v>
      </c>
      <c r="D1659" s="45" t="s">
        <v>16</v>
      </c>
      <c r="E1659" s="47"/>
      <c r="F1659" s="39" t="s">
        <v>1358</v>
      </c>
      <c r="G1659" s="13" t="s">
        <v>8459</v>
      </c>
      <c r="H1659" s="99" t="str">
        <f t="shared" si="93"/>
        <v>W264.8</v>
      </c>
      <c r="I1659" s="45"/>
      <c r="J1659" s="47"/>
      <c r="K1659" s="47"/>
      <c r="L1659" s="48"/>
    </row>
    <row r="1660" spans="1:12" s="49" customFormat="1" ht="14.15" customHeight="1">
      <c r="A1660" s="45"/>
      <c r="B1660" s="11"/>
      <c r="C1660" s="11" t="s">
        <v>18</v>
      </c>
      <c r="D1660" s="45" t="s">
        <v>16</v>
      </c>
      <c r="E1660" s="47"/>
      <c r="F1660" s="39" t="s">
        <v>1359</v>
      </c>
      <c r="G1660" s="13" t="s">
        <v>8460</v>
      </c>
      <c r="H1660" s="99" t="str">
        <f t="shared" si="93"/>
        <v>W264.9</v>
      </c>
      <c r="I1660" s="45"/>
      <c r="J1660" s="47"/>
      <c r="K1660" s="47"/>
      <c r="L1660" s="48"/>
    </row>
    <row r="1661" spans="1:12" s="49" customFormat="1" ht="14.15" customHeight="1">
      <c r="A1661" s="45"/>
      <c r="B1661" s="11"/>
      <c r="C1661" s="11" t="s">
        <v>18</v>
      </c>
      <c r="D1661" s="45" t="s">
        <v>16</v>
      </c>
      <c r="E1661" s="47"/>
      <c r="F1661" s="39" t="s">
        <v>1360</v>
      </c>
      <c r="G1661" s="13" t="s">
        <v>8461</v>
      </c>
      <c r="H1661" s="99" t="str">
        <f t="shared" si="93"/>
        <v>W264.A</v>
      </c>
      <c r="I1661" s="45"/>
      <c r="J1661" s="47"/>
      <c r="K1661" s="47"/>
      <c r="L1661" s="48"/>
    </row>
    <row r="1662" spans="1:12" s="49" customFormat="1" ht="14.15" customHeight="1">
      <c r="A1662" s="45"/>
      <c r="B1662" s="11"/>
      <c r="C1662" s="11" t="s">
        <v>18</v>
      </c>
      <c r="D1662" s="45" t="s">
        <v>16</v>
      </c>
      <c r="E1662" s="47"/>
      <c r="F1662" s="39" t="s">
        <v>1361</v>
      </c>
      <c r="G1662" s="13" t="s">
        <v>8462</v>
      </c>
      <c r="H1662" s="99" t="str">
        <f t="shared" si="93"/>
        <v>W264.B</v>
      </c>
      <c r="I1662" s="45"/>
      <c r="J1662" s="47"/>
      <c r="K1662" s="47"/>
      <c r="L1662" s="48"/>
    </row>
    <row r="1663" spans="1:12" s="49" customFormat="1" ht="14.15" customHeight="1">
      <c r="A1663" s="45"/>
      <c r="B1663" s="11"/>
      <c r="C1663" s="11" t="s">
        <v>18</v>
      </c>
      <c r="D1663" s="45" t="s">
        <v>16</v>
      </c>
      <c r="E1663" s="47"/>
      <c r="F1663" s="39" t="s">
        <v>1362</v>
      </c>
      <c r="G1663" s="13" t="s">
        <v>8463</v>
      </c>
      <c r="H1663" s="99" t="str">
        <f t="shared" si="93"/>
        <v>W264.C</v>
      </c>
      <c r="I1663" s="45"/>
      <c r="J1663" s="47"/>
      <c r="K1663" s="47"/>
      <c r="L1663" s="48"/>
    </row>
    <row r="1664" spans="1:12" s="49" customFormat="1" ht="14.15" customHeight="1">
      <c r="A1664" s="45"/>
      <c r="B1664" s="11"/>
      <c r="C1664" s="11" t="s">
        <v>18</v>
      </c>
      <c r="D1664" s="45" t="s">
        <v>16</v>
      </c>
      <c r="E1664" s="47"/>
      <c r="F1664" s="39" t="s">
        <v>1363</v>
      </c>
      <c r="G1664" s="13" t="s">
        <v>8464</v>
      </c>
      <c r="H1664" s="99" t="str">
        <f t="shared" si="93"/>
        <v>W264.D</v>
      </c>
      <c r="I1664" s="45"/>
      <c r="J1664" s="47"/>
      <c r="K1664" s="47"/>
      <c r="L1664" s="48"/>
    </row>
    <row r="1665" spans="1:12" s="49" customFormat="1" ht="14.15" customHeight="1">
      <c r="A1665" s="45"/>
      <c r="B1665" s="11"/>
      <c r="C1665" s="11" t="s">
        <v>18</v>
      </c>
      <c r="D1665" s="45" t="s">
        <v>16</v>
      </c>
      <c r="E1665" s="47"/>
      <c r="F1665" s="39" t="s">
        <v>1364</v>
      </c>
      <c r="G1665" s="13" t="s">
        <v>8465</v>
      </c>
      <c r="H1665" s="99" t="str">
        <f t="shared" si="93"/>
        <v>W264.E</v>
      </c>
      <c r="I1665" s="45"/>
      <c r="J1665" s="47"/>
      <c r="K1665" s="47"/>
      <c r="L1665" s="48"/>
    </row>
    <row r="1666" spans="1:12" s="49" customFormat="1" ht="14.15" customHeight="1">
      <c r="A1666" s="45"/>
      <c r="B1666" s="11"/>
      <c r="C1666" s="11" t="s">
        <v>18</v>
      </c>
      <c r="D1666" s="45" t="s">
        <v>16</v>
      </c>
      <c r="E1666" s="47"/>
      <c r="F1666" s="39" t="s">
        <v>1365</v>
      </c>
      <c r="G1666" s="13" t="s">
        <v>8466</v>
      </c>
      <c r="H1666" s="99" t="str">
        <f t="shared" si="93"/>
        <v>W264.F</v>
      </c>
      <c r="I1666" s="45"/>
      <c r="J1666" s="47"/>
      <c r="K1666" s="47"/>
      <c r="L1666" s="48"/>
    </row>
    <row r="1667" spans="1:12" s="49" customFormat="1" ht="14.15" customHeight="1">
      <c r="A1667" s="45"/>
      <c r="B1667" s="11"/>
      <c r="C1667" s="11" t="s">
        <v>18</v>
      </c>
      <c r="D1667" s="45" t="s">
        <v>16</v>
      </c>
      <c r="E1667" s="47"/>
      <c r="F1667" s="39" t="s">
        <v>1366</v>
      </c>
      <c r="G1667" s="13" t="s">
        <v>8467</v>
      </c>
      <c r="H1667" s="99" t="str">
        <f t="shared" si="93"/>
        <v>W265.0</v>
      </c>
      <c r="I1667" s="45"/>
      <c r="J1667" s="47"/>
      <c r="K1667" s="47"/>
      <c r="L1667" s="48"/>
    </row>
    <row r="1668" spans="1:12" s="49" customFormat="1" ht="14.15" customHeight="1">
      <c r="A1668" s="45"/>
      <c r="B1668" s="11"/>
      <c r="C1668" s="11" t="s">
        <v>18</v>
      </c>
      <c r="D1668" s="45" t="s">
        <v>16</v>
      </c>
      <c r="E1668" s="47"/>
      <c r="F1668" s="39" t="s">
        <v>1367</v>
      </c>
      <c r="G1668" s="13" t="s">
        <v>8468</v>
      </c>
      <c r="H1668" s="99" t="str">
        <f t="shared" si="93"/>
        <v>W265.1</v>
      </c>
      <c r="I1668" s="45"/>
      <c r="J1668" s="47"/>
      <c r="K1668" s="47"/>
      <c r="L1668" s="48"/>
    </row>
    <row r="1669" spans="1:12" s="49" customFormat="1" ht="14.15" customHeight="1">
      <c r="A1669" s="45"/>
      <c r="B1669" s="11"/>
      <c r="C1669" s="11" t="s">
        <v>18</v>
      </c>
      <c r="D1669" s="45" t="s">
        <v>16</v>
      </c>
      <c r="E1669" s="47"/>
      <c r="F1669" s="39" t="s">
        <v>1368</v>
      </c>
      <c r="G1669" s="13" t="s">
        <v>8469</v>
      </c>
      <c r="H1669" s="99" t="str">
        <f t="shared" si="93"/>
        <v>W265.2</v>
      </c>
      <c r="I1669" s="45"/>
      <c r="J1669" s="47"/>
      <c r="K1669" s="47"/>
      <c r="L1669" s="48"/>
    </row>
    <row r="1670" spans="1:12" s="49" customFormat="1" ht="14.15" customHeight="1">
      <c r="A1670" s="45"/>
      <c r="B1670" s="11"/>
      <c r="C1670" s="11" t="s">
        <v>18</v>
      </c>
      <c r="D1670" s="45" t="s">
        <v>16</v>
      </c>
      <c r="E1670" s="47"/>
      <c r="F1670" s="39" t="s">
        <v>1369</v>
      </c>
      <c r="G1670" s="13" t="s">
        <v>8470</v>
      </c>
      <c r="H1670" s="99" t="str">
        <f t="shared" si="93"/>
        <v>W265.3</v>
      </c>
      <c r="I1670" s="45"/>
      <c r="J1670" s="47"/>
      <c r="K1670" s="47"/>
      <c r="L1670" s="48"/>
    </row>
    <row r="1671" spans="1:12" s="49" customFormat="1" ht="14.15" customHeight="1">
      <c r="A1671" s="45"/>
      <c r="B1671" s="11"/>
      <c r="C1671" s="11" t="s">
        <v>18</v>
      </c>
      <c r="D1671" s="45" t="s">
        <v>16</v>
      </c>
      <c r="E1671" s="47"/>
      <c r="F1671" s="39" t="s">
        <v>1370</v>
      </c>
      <c r="G1671" s="13" t="s">
        <v>8471</v>
      </c>
      <c r="H1671" s="99" t="str">
        <f t="shared" si="93"/>
        <v>W265.4</v>
      </c>
      <c r="I1671" s="45"/>
      <c r="J1671" s="47"/>
      <c r="K1671" s="47"/>
      <c r="L1671" s="48"/>
    </row>
    <row r="1672" spans="1:12" s="49" customFormat="1" ht="14.15" customHeight="1">
      <c r="A1672" s="45"/>
      <c r="B1672" s="11"/>
      <c r="C1672" s="11" t="s">
        <v>18</v>
      </c>
      <c r="D1672" s="45" t="s">
        <v>16</v>
      </c>
      <c r="E1672" s="47"/>
      <c r="F1672" s="39" t="s">
        <v>1371</v>
      </c>
      <c r="G1672" s="13" t="s">
        <v>8472</v>
      </c>
      <c r="H1672" s="99" t="str">
        <f t="shared" si="93"/>
        <v>W265.5</v>
      </c>
      <c r="I1672" s="45"/>
      <c r="J1672" s="47"/>
      <c r="K1672" s="47"/>
      <c r="L1672" s="48"/>
    </row>
    <row r="1673" spans="1:12" s="49" customFormat="1" ht="14.15" customHeight="1">
      <c r="A1673" s="45"/>
      <c r="B1673" s="11"/>
      <c r="C1673" s="11" t="s">
        <v>18</v>
      </c>
      <c r="D1673" s="45" t="s">
        <v>16</v>
      </c>
      <c r="E1673" s="47"/>
      <c r="F1673" s="39" t="s">
        <v>1372</v>
      </c>
      <c r="G1673" s="13" t="s">
        <v>8473</v>
      </c>
      <c r="H1673" s="99" t="str">
        <f t="shared" si="93"/>
        <v>W265.6</v>
      </c>
      <c r="I1673" s="45"/>
      <c r="J1673" s="47"/>
      <c r="K1673" s="47"/>
      <c r="L1673" s="48"/>
    </row>
    <row r="1674" spans="1:12" s="49" customFormat="1" ht="14.15" customHeight="1">
      <c r="A1674" s="45"/>
      <c r="B1674" s="11"/>
      <c r="C1674" s="11" t="s">
        <v>18</v>
      </c>
      <c r="D1674" s="45" t="s">
        <v>16</v>
      </c>
      <c r="E1674" s="47"/>
      <c r="F1674" s="39" t="s">
        <v>1373</v>
      </c>
      <c r="G1674" s="13" t="s">
        <v>8474</v>
      </c>
      <c r="H1674" s="99" t="str">
        <f t="shared" si="93"/>
        <v>W265.7</v>
      </c>
      <c r="I1674" s="45"/>
      <c r="J1674" s="47"/>
      <c r="K1674" s="47"/>
      <c r="L1674" s="48"/>
    </row>
    <row r="1675" spans="1:12" s="49" customFormat="1" ht="14.15" customHeight="1">
      <c r="A1675" s="45"/>
      <c r="B1675" s="11"/>
      <c r="C1675" s="11" t="s">
        <v>18</v>
      </c>
      <c r="D1675" s="45" t="s">
        <v>16</v>
      </c>
      <c r="E1675" s="47"/>
      <c r="F1675" s="39" t="s">
        <v>1374</v>
      </c>
      <c r="G1675" s="13" t="s">
        <v>8475</v>
      </c>
      <c r="H1675" s="99" t="str">
        <f t="shared" si="93"/>
        <v>W265.8</v>
      </c>
      <c r="I1675" s="45"/>
      <c r="J1675" s="47"/>
      <c r="K1675" s="47"/>
      <c r="L1675" s="48"/>
    </row>
    <row r="1676" spans="1:12" s="49" customFormat="1" ht="14.15" customHeight="1">
      <c r="A1676" s="45"/>
      <c r="B1676" s="11"/>
      <c r="C1676" s="11" t="s">
        <v>18</v>
      </c>
      <c r="D1676" s="45" t="s">
        <v>16</v>
      </c>
      <c r="E1676" s="47"/>
      <c r="F1676" s="39" t="s">
        <v>1375</v>
      </c>
      <c r="G1676" s="13" t="s">
        <v>8476</v>
      </c>
      <c r="H1676" s="99" t="str">
        <f t="shared" si="93"/>
        <v>W265.9</v>
      </c>
      <c r="I1676" s="45"/>
      <c r="J1676" s="47"/>
      <c r="K1676" s="47"/>
      <c r="L1676" s="48"/>
    </row>
    <row r="1677" spans="1:12" s="49" customFormat="1" ht="14.15" customHeight="1">
      <c r="A1677" s="45"/>
      <c r="B1677" s="11"/>
      <c r="C1677" s="11" t="s">
        <v>18</v>
      </c>
      <c r="D1677" s="45" t="s">
        <v>16</v>
      </c>
      <c r="E1677" s="47"/>
      <c r="F1677" s="39" t="s">
        <v>1376</v>
      </c>
      <c r="G1677" s="13" t="s">
        <v>8477</v>
      </c>
      <c r="H1677" s="99" t="str">
        <f t="shared" si="93"/>
        <v>W265.A</v>
      </c>
      <c r="I1677" s="45"/>
      <c r="J1677" s="47"/>
      <c r="K1677" s="47"/>
      <c r="L1677" s="48"/>
    </row>
    <row r="1678" spans="1:12" s="49" customFormat="1" ht="14.15" customHeight="1">
      <c r="A1678" s="45"/>
      <c r="B1678" s="11"/>
      <c r="C1678" s="11" t="s">
        <v>18</v>
      </c>
      <c r="D1678" s="45" t="s">
        <v>16</v>
      </c>
      <c r="E1678" s="47"/>
      <c r="F1678" s="39" t="s">
        <v>1377</v>
      </c>
      <c r="G1678" s="13" t="s">
        <v>8478</v>
      </c>
      <c r="H1678" s="99" t="str">
        <f t="shared" si="93"/>
        <v>W265.B</v>
      </c>
      <c r="I1678" s="45"/>
      <c r="J1678" s="47"/>
      <c r="K1678" s="47"/>
      <c r="L1678" s="48"/>
    </row>
    <row r="1679" spans="1:12" s="49" customFormat="1" ht="14.15" customHeight="1">
      <c r="A1679" s="45"/>
      <c r="B1679" s="11"/>
      <c r="C1679" s="11" t="s">
        <v>18</v>
      </c>
      <c r="D1679" s="45" t="s">
        <v>16</v>
      </c>
      <c r="E1679" s="47"/>
      <c r="F1679" s="39" t="s">
        <v>1378</v>
      </c>
      <c r="G1679" s="13" t="s">
        <v>8479</v>
      </c>
      <c r="H1679" s="99" t="str">
        <f t="shared" si="93"/>
        <v>W265.C</v>
      </c>
      <c r="I1679" s="45"/>
      <c r="J1679" s="47"/>
      <c r="K1679" s="47"/>
      <c r="L1679" s="48"/>
    </row>
    <row r="1680" spans="1:12" s="49" customFormat="1" ht="14.15" customHeight="1">
      <c r="A1680" s="45"/>
      <c r="B1680" s="11"/>
      <c r="C1680" s="11" t="s">
        <v>18</v>
      </c>
      <c r="D1680" s="45" t="s">
        <v>16</v>
      </c>
      <c r="E1680" s="47"/>
      <c r="F1680" s="39" t="s">
        <v>1379</v>
      </c>
      <c r="G1680" s="13" t="s">
        <v>8480</v>
      </c>
      <c r="H1680" s="99" t="str">
        <f t="shared" si="93"/>
        <v>W265.D</v>
      </c>
      <c r="I1680" s="45"/>
      <c r="J1680" s="47"/>
      <c r="K1680" s="47"/>
      <c r="L1680" s="48"/>
    </row>
    <row r="1681" spans="1:12" s="49" customFormat="1" ht="14.15" customHeight="1">
      <c r="A1681" s="45"/>
      <c r="B1681" s="11"/>
      <c r="C1681" s="11" t="s">
        <v>18</v>
      </c>
      <c r="D1681" s="45" t="s">
        <v>16</v>
      </c>
      <c r="E1681" s="47"/>
      <c r="F1681" s="39" t="s">
        <v>1380</v>
      </c>
      <c r="G1681" s="13" t="s">
        <v>8481</v>
      </c>
      <c r="H1681" s="99" t="str">
        <f t="shared" si="93"/>
        <v>W265.E</v>
      </c>
      <c r="I1681" s="45"/>
      <c r="J1681" s="47"/>
      <c r="K1681" s="47"/>
      <c r="L1681" s="48"/>
    </row>
    <row r="1682" spans="1:12" s="49" customFormat="1" ht="14.15" customHeight="1">
      <c r="A1682" s="45"/>
      <c r="B1682" s="11"/>
      <c r="C1682" s="11" t="s">
        <v>18</v>
      </c>
      <c r="D1682" s="45" t="s">
        <v>16</v>
      </c>
      <c r="E1682" s="47"/>
      <c r="F1682" s="39" t="s">
        <v>1381</v>
      </c>
      <c r="G1682" s="13" t="s">
        <v>8482</v>
      </c>
      <c r="H1682" s="99" t="str">
        <f t="shared" si="93"/>
        <v>W265.F</v>
      </c>
      <c r="I1682" s="45"/>
      <c r="J1682" s="47"/>
      <c r="K1682" s="47"/>
      <c r="L1682" s="48"/>
    </row>
    <row r="1683" spans="1:12" s="49" customFormat="1" ht="14.15" customHeight="1">
      <c r="A1683" s="45"/>
      <c r="B1683" s="11"/>
      <c r="C1683" s="11" t="s">
        <v>18</v>
      </c>
      <c r="D1683" s="45" t="s">
        <v>16</v>
      </c>
      <c r="E1683" s="47"/>
      <c r="F1683" s="39" t="s">
        <v>1382</v>
      </c>
      <c r="G1683" s="13" t="s">
        <v>8483</v>
      </c>
      <c r="H1683" s="99" t="str">
        <f t="shared" si="93"/>
        <v>W266.0</v>
      </c>
      <c r="I1683" s="45"/>
      <c r="J1683" s="47"/>
      <c r="K1683" s="47"/>
      <c r="L1683" s="48"/>
    </row>
    <row r="1684" spans="1:12" s="49" customFormat="1" ht="14.15" customHeight="1">
      <c r="A1684" s="45"/>
      <c r="B1684" s="11"/>
      <c r="C1684" s="11" t="s">
        <v>18</v>
      </c>
      <c r="D1684" s="45" t="s">
        <v>16</v>
      </c>
      <c r="E1684" s="47"/>
      <c r="F1684" s="39" t="s">
        <v>1383</v>
      </c>
      <c r="G1684" s="13" t="s">
        <v>8484</v>
      </c>
      <c r="H1684" s="99" t="str">
        <f t="shared" si="93"/>
        <v>W266.1</v>
      </c>
      <c r="I1684" s="45"/>
      <c r="J1684" s="47"/>
      <c r="K1684" s="47"/>
      <c r="L1684" s="48"/>
    </row>
    <row r="1685" spans="1:12" s="49" customFormat="1" ht="14.15" customHeight="1">
      <c r="A1685" s="45"/>
      <c r="B1685" s="11"/>
      <c r="C1685" s="11" t="s">
        <v>18</v>
      </c>
      <c r="D1685" s="45" t="s">
        <v>16</v>
      </c>
      <c r="E1685" s="47"/>
      <c r="F1685" s="39" t="s">
        <v>1384</v>
      </c>
      <c r="G1685" s="13" t="s">
        <v>8485</v>
      </c>
      <c r="H1685" s="99" t="str">
        <f t="shared" si="93"/>
        <v>W266.2</v>
      </c>
      <c r="I1685" s="45"/>
      <c r="J1685" s="47"/>
      <c r="K1685" s="47"/>
      <c r="L1685" s="48"/>
    </row>
    <row r="1686" spans="1:12" s="49" customFormat="1" ht="14.15" customHeight="1">
      <c r="A1686" s="45"/>
      <c r="B1686" s="11"/>
      <c r="C1686" s="11" t="s">
        <v>18</v>
      </c>
      <c r="D1686" s="45" t="s">
        <v>16</v>
      </c>
      <c r="E1686" s="47"/>
      <c r="F1686" s="39" t="s">
        <v>1385</v>
      </c>
      <c r="G1686" s="13" t="s">
        <v>8486</v>
      </c>
      <c r="H1686" s="99" t="str">
        <f t="shared" si="93"/>
        <v>W266.3</v>
      </c>
      <c r="I1686" s="45"/>
      <c r="J1686" s="47"/>
      <c r="K1686" s="47"/>
      <c r="L1686" s="48"/>
    </row>
    <row r="1687" spans="1:12" s="49" customFormat="1" ht="14.15" customHeight="1">
      <c r="A1687" s="45"/>
      <c r="B1687" s="11"/>
      <c r="C1687" s="11" t="s">
        <v>18</v>
      </c>
      <c r="D1687" s="45" t="s">
        <v>16</v>
      </c>
      <c r="E1687" s="47"/>
      <c r="F1687" s="39" t="s">
        <v>1386</v>
      </c>
      <c r="G1687" s="13" t="s">
        <v>8487</v>
      </c>
      <c r="H1687" s="99" t="str">
        <f t="shared" si="93"/>
        <v>W266.4</v>
      </c>
      <c r="I1687" s="45"/>
      <c r="J1687" s="47"/>
      <c r="K1687" s="47"/>
      <c r="L1687" s="48"/>
    </row>
    <row r="1688" spans="1:12" s="49" customFormat="1" ht="14.15" customHeight="1">
      <c r="A1688" s="45"/>
      <c r="B1688" s="11"/>
      <c r="C1688" s="11" t="s">
        <v>18</v>
      </c>
      <c r="D1688" s="45" t="s">
        <v>16</v>
      </c>
      <c r="E1688" s="47"/>
      <c r="F1688" s="39" t="s">
        <v>1387</v>
      </c>
      <c r="G1688" s="13" t="s">
        <v>8488</v>
      </c>
      <c r="H1688" s="99" t="str">
        <f t="shared" si="93"/>
        <v>W266.5</v>
      </c>
      <c r="I1688" s="45"/>
      <c r="J1688" s="47"/>
      <c r="K1688" s="47"/>
      <c r="L1688" s="48"/>
    </row>
    <row r="1689" spans="1:12" s="49" customFormat="1" ht="14.15" customHeight="1">
      <c r="A1689" s="45"/>
      <c r="B1689" s="11"/>
      <c r="C1689" s="11" t="s">
        <v>18</v>
      </c>
      <c r="D1689" s="45" t="s">
        <v>16</v>
      </c>
      <c r="E1689" s="47"/>
      <c r="F1689" s="39" t="s">
        <v>1388</v>
      </c>
      <c r="G1689" s="13" t="s">
        <v>8489</v>
      </c>
      <c r="H1689" s="99" t="str">
        <f t="shared" si="93"/>
        <v>W266.6</v>
      </c>
      <c r="I1689" s="45"/>
      <c r="J1689" s="47"/>
      <c r="K1689" s="47"/>
      <c r="L1689" s="48"/>
    </row>
    <row r="1690" spans="1:12" s="49" customFormat="1" ht="14.15" customHeight="1">
      <c r="A1690" s="45"/>
      <c r="B1690" s="11"/>
      <c r="C1690" s="11" t="s">
        <v>18</v>
      </c>
      <c r="D1690" s="45" t="s">
        <v>16</v>
      </c>
      <c r="E1690" s="47"/>
      <c r="F1690" s="39" t="s">
        <v>1389</v>
      </c>
      <c r="G1690" s="13" t="s">
        <v>8490</v>
      </c>
      <c r="H1690" s="99" t="str">
        <f t="shared" si="93"/>
        <v>W266.7</v>
      </c>
      <c r="I1690" s="45"/>
      <c r="J1690" s="47"/>
      <c r="K1690" s="47"/>
      <c r="L1690" s="48"/>
    </row>
    <row r="1691" spans="1:12" s="49" customFormat="1" ht="14.15" customHeight="1">
      <c r="A1691" s="45"/>
      <c r="B1691" s="11"/>
      <c r="C1691" s="11" t="s">
        <v>18</v>
      </c>
      <c r="D1691" s="45" t="s">
        <v>16</v>
      </c>
      <c r="E1691" s="47"/>
      <c r="F1691" s="39" t="s">
        <v>1390</v>
      </c>
      <c r="G1691" s="13" t="s">
        <v>8491</v>
      </c>
      <c r="H1691" s="99" t="str">
        <f t="shared" si="93"/>
        <v>W266.8</v>
      </c>
      <c r="I1691" s="45"/>
      <c r="J1691" s="47"/>
      <c r="K1691" s="47"/>
      <c r="L1691" s="48"/>
    </row>
    <row r="1692" spans="1:12" s="49" customFormat="1" ht="14.15" customHeight="1">
      <c r="A1692" s="45"/>
      <c r="B1692" s="11"/>
      <c r="C1692" s="11" t="s">
        <v>18</v>
      </c>
      <c r="D1692" s="45" t="s">
        <v>16</v>
      </c>
      <c r="E1692" s="47"/>
      <c r="F1692" s="39" t="s">
        <v>1391</v>
      </c>
      <c r="G1692" s="13" t="s">
        <v>8492</v>
      </c>
      <c r="H1692" s="99" t="str">
        <f t="shared" si="93"/>
        <v>W266.9</v>
      </c>
      <c r="I1692" s="45"/>
      <c r="J1692" s="47"/>
      <c r="K1692" s="47"/>
      <c r="L1692" s="48"/>
    </row>
    <row r="1693" spans="1:12" s="49" customFormat="1" ht="14.15" customHeight="1">
      <c r="A1693" s="45"/>
      <c r="B1693" s="11"/>
      <c r="C1693" s="11" t="s">
        <v>18</v>
      </c>
      <c r="D1693" s="45" t="s">
        <v>16</v>
      </c>
      <c r="E1693" s="47"/>
      <c r="F1693" s="39" t="s">
        <v>1392</v>
      </c>
      <c r="G1693" s="13" t="s">
        <v>8493</v>
      </c>
      <c r="H1693" s="99" t="str">
        <f t="shared" si="93"/>
        <v>W266.A</v>
      </c>
      <c r="I1693" s="45"/>
      <c r="J1693" s="47"/>
      <c r="K1693" s="47"/>
      <c r="L1693" s="48"/>
    </row>
    <row r="1694" spans="1:12" s="49" customFormat="1" ht="14.15" customHeight="1">
      <c r="A1694" s="45"/>
      <c r="B1694" s="11"/>
      <c r="C1694" s="11" t="s">
        <v>18</v>
      </c>
      <c r="D1694" s="45" t="s">
        <v>16</v>
      </c>
      <c r="E1694" s="47"/>
      <c r="F1694" s="39" t="s">
        <v>1393</v>
      </c>
      <c r="G1694" s="13" t="s">
        <v>8494</v>
      </c>
      <c r="H1694" s="99" t="str">
        <f t="shared" si="93"/>
        <v>W266.B</v>
      </c>
      <c r="I1694" s="45"/>
      <c r="J1694" s="47"/>
      <c r="K1694" s="47"/>
      <c r="L1694" s="48"/>
    </row>
    <row r="1695" spans="1:12" s="49" customFormat="1" ht="14.15" customHeight="1">
      <c r="A1695" s="45"/>
      <c r="B1695" s="11"/>
      <c r="C1695" s="11" t="s">
        <v>18</v>
      </c>
      <c r="D1695" s="45" t="s">
        <v>16</v>
      </c>
      <c r="E1695" s="47"/>
      <c r="F1695" s="39" t="s">
        <v>1394</v>
      </c>
      <c r="G1695" s="13" t="s">
        <v>8495</v>
      </c>
      <c r="H1695" s="99" t="str">
        <f t="shared" si="93"/>
        <v>W266.C</v>
      </c>
      <c r="I1695" s="45"/>
      <c r="J1695" s="47"/>
      <c r="K1695" s="47"/>
      <c r="L1695" s="48"/>
    </row>
    <row r="1696" spans="1:12" s="49" customFormat="1" ht="14.15" customHeight="1">
      <c r="A1696" s="45"/>
      <c r="B1696" s="11"/>
      <c r="C1696" s="11" t="s">
        <v>18</v>
      </c>
      <c r="D1696" s="45" t="s">
        <v>16</v>
      </c>
      <c r="E1696" s="47"/>
      <c r="F1696" s="39" t="s">
        <v>1395</v>
      </c>
      <c r="G1696" s="13" t="s">
        <v>8496</v>
      </c>
      <c r="H1696" s="99" t="str">
        <f t="shared" si="93"/>
        <v>W266.D</v>
      </c>
      <c r="I1696" s="45"/>
      <c r="J1696" s="47"/>
      <c r="K1696" s="47"/>
      <c r="L1696" s="48"/>
    </row>
    <row r="1697" spans="1:12" s="49" customFormat="1" ht="14.15" customHeight="1">
      <c r="A1697" s="45"/>
      <c r="B1697" s="11"/>
      <c r="C1697" s="11" t="s">
        <v>18</v>
      </c>
      <c r="D1697" s="45" t="s">
        <v>16</v>
      </c>
      <c r="E1697" s="47"/>
      <c r="F1697" s="39" t="s">
        <v>1396</v>
      </c>
      <c r="G1697" s="13" t="s">
        <v>8497</v>
      </c>
      <c r="H1697" s="99" t="str">
        <f t="shared" si="93"/>
        <v>W266.E</v>
      </c>
      <c r="I1697" s="45"/>
      <c r="J1697" s="47"/>
      <c r="K1697" s="47"/>
      <c r="L1697" s="48"/>
    </row>
    <row r="1698" spans="1:12" s="49" customFormat="1" ht="14.15" customHeight="1">
      <c r="A1698" s="45"/>
      <c r="B1698" s="11"/>
      <c r="C1698" s="11" t="s">
        <v>18</v>
      </c>
      <c r="D1698" s="45" t="s">
        <v>16</v>
      </c>
      <c r="E1698" s="47"/>
      <c r="F1698" s="39" t="s">
        <v>1397</v>
      </c>
      <c r="G1698" s="13" t="s">
        <v>8498</v>
      </c>
      <c r="H1698" s="99" t="str">
        <f t="shared" si="93"/>
        <v>W266.F</v>
      </c>
      <c r="I1698" s="45"/>
      <c r="J1698" s="47"/>
      <c r="K1698" s="47"/>
      <c r="L1698" s="48"/>
    </row>
    <row r="1699" spans="1:12" s="49" customFormat="1" ht="14.15" customHeight="1">
      <c r="A1699" s="45"/>
      <c r="B1699" s="11"/>
      <c r="C1699" s="11" t="s">
        <v>18</v>
      </c>
      <c r="D1699" s="45" t="s">
        <v>16</v>
      </c>
      <c r="E1699" s="47"/>
      <c r="F1699" s="39" t="s">
        <v>1398</v>
      </c>
      <c r="G1699" s="13" t="s">
        <v>8499</v>
      </c>
      <c r="H1699" s="99" t="str">
        <f t="shared" si="93"/>
        <v>W267.0</v>
      </c>
      <c r="I1699" s="45"/>
      <c r="J1699" s="47"/>
      <c r="K1699" s="47"/>
      <c r="L1699" s="48"/>
    </row>
    <row r="1700" spans="1:12" s="49" customFormat="1" ht="14.15" customHeight="1">
      <c r="A1700" s="45"/>
      <c r="B1700" s="11"/>
      <c r="C1700" s="11" t="s">
        <v>18</v>
      </c>
      <c r="D1700" s="45" t="s">
        <v>16</v>
      </c>
      <c r="E1700" s="47"/>
      <c r="F1700" s="39" t="s">
        <v>1399</v>
      </c>
      <c r="G1700" s="13" t="s">
        <v>8500</v>
      </c>
      <c r="H1700" s="99" t="str">
        <f t="shared" si="93"/>
        <v>W267.1</v>
      </c>
      <c r="I1700" s="45"/>
      <c r="J1700" s="47"/>
      <c r="K1700" s="47"/>
      <c r="L1700" s="48"/>
    </row>
    <row r="1701" spans="1:12" s="49" customFormat="1" ht="14.15" customHeight="1">
      <c r="A1701" s="45"/>
      <c r="B1701" s="11"/>
      <c r="C1701" s="11" t="s">
        <v>18</v>
      </c>
      <c r="D1701" s="45" t="s">
        <v>16</v>
      </c>
      <c r="E1701" s="47"/>
      <c r="F1701" s="39" t="s">
        <v>1400</v>
      </c>
      <c r="G1701" s="13" t="s">
        <v>8501</v>
      </c>
      <c r="H1701" s="99" t="str">
        <f t="shared" si="93"/>
        <v>W267.2</v>
      </c>
      <c r="I1701" s="45"/>
      <c r="J1701" s="47"/>
      <c r="K1701" s="47"/>
      <c r="L1701" s="48"/>
    </row>
    <row r="1702" spans="1:12" s="49" customFormat="1" ht="14.15" customHeight="1">
      <c r="A1702" s="45"/>
      <c r="B1702" s="11"/>
      <c r="C1702" s="11" t="s">
        <v>18</v>
      </c>
      <c r="D1702" s="45" t="s">
        <v>16</v>
      </c>
      <c r="E1702" s="47"/>
      <c r="F1702" s="39" t="s">
        <v>1401</v>
      </c>
      <c r="G1702" s="13" t="s">
        <v>8502</v>
      </c>
      <c r="H1702" s="99" t="str">
        <f t="shared" si="93"/>
        <v>W267.3</v>
      </c>
      <c r="I1702" s="45"/>
      <c r="J1702" s="47"/>
      <c r="K1702" s="47"/>
      <c r="L1702" s="48"/>
    </row>
    <row r="1703" spans="1:12" s="49" customFormat="1" ht="14.15" customHeight="1">
      <c r="A1703" s="45"/>
      <c r="B1703" s="11"/>
      <c r="C1703" s="11" t="s">
        <v>18</v>
      </c>
      <c r="D1703" s="45" t="s">
        <v>16</v>
      </c>
      <c r="E1703" s="47"/>
      <c r="F1703" s="39" t="s">
        <v>1402</v>
      </c>
      <c r="G1703" s="13" t="s">
        <v>8503</v>
      </c>
      <c r="H1703" s="99" t="str">
        <f t="shared" si="93"/>
        <v>W267.4</v>
      </c>
      <c r="I1703" s="45"/>
      <c r="J1703" s="47"/>
      <c r="K1703" s="47"/>
      <c r="L1703" s="48"/>
    </row>
    <row r="1704" spans="1:12" s="49" customFormat="1" ht="14.15" customHeight="1">
      <c r="A1704" s="45"/>
      <c r="B1704" s="11"/>
      <c r="C1704" s="11" t="s">
        <v>18</v>
      </c>
      <c r="D1704" s="45" t="s">
        <v>16</v>
      </c>
      <c r="E1704" s="47"/>
      <c r="F1704" s="39" t="s">
        <v>1403</v>
      </c>
      <c r="G1704" s="13" t="s">
        <v>8504</v>
      </c>
      <c r="H1704" s="99" t="str">
        <f t="shared" si="93"/>
        <v>W267.5</v>
      </c>
      <c r="I1704" s="45"/>
      <c r="J1704" s="47"/>
      <c r="K1704" s="47"/>
      <c r="L1704" s="48"/>
    </row>
    <row r="1705" spans="1:12" s="49" customFormat="1" ht="14.15" customHeight="1">
      <c r="A1705" s="45"/>
      <c r="B1705" s="11"/>
      <c r="C1705" s="11" t="s">
        <v>18</v>
      </c>
      <c r="D1705" s="45" t="s">
        <v>16</v>
      </c>
      <c r="E1705" s="47"/>
      <c r="F1705" s="39" t="s">
        <v>1404</v>
      </c>
      <c r="G1705" s="13" t="s">
        <v>8505</v>
      </c>
      <c r="H1705" s="99" t="str">
        <f t="shared" si="93"/>
        <v>W267.6</v>
      </c>
      <c r="I1705" s="45"/>
      <c r="J1705" s="47"/>
      <c r="K1705" s="47"/>
      <c r="L1705" s="48"/>
    </row>
    <row r="1706" spans="1:12" s="49" customFormat="1" ht="14.15" customHeight="1">
      <c r="A1706" s="45"/>
      <c r="B1706" s="11"/>
      <c r="C1706" s="11" t="s">
        <v>18</v>
      </c>
      <c r="D1706" s="45" t="s">
        <v>16</v>
      </c>
      <c r="E1706" s="47"/>
      <c r="F1706" s="39" t="s">
        <v>1405</v>
      </c>
      <c r="G1706" s="13" t="s">
        <v>8506</v>
      </c>
      <c r="H1706" s="99" t="str">
        <f t="shared" si="93"/>
        <v>W267.7</v>
      </c>
      <c r="I1706" s="45"/>
      <c r="J1706" s="47"/>
      <c r="K1706" s="47"/>
      <c r="L1706" s="48"/>
    </row>
    <row r="1707" spans="1:12" s="49" customFormat="1" ht="14.15" customHeight="1">
      <c r="A1707" s="45"/>
      <c r="B1707" s="11"/>
      <c r="C1707" s="11" t="s">
        <v>18</v>
      </c>
      <c r="D1707" s="45" t="s">
        <v>16</v>
      </c>
      <c r="E1707" s="47"/>
      <c r="F1707" s="39" t="s">
        <v>1406</v>
      </c>
      <c r="G1707" s="13" t="s">
        <v>8507</v>
      </c>
      <c r="H1707" s="99" t="str">
        <f t="shared" si="93"/>
        <v>W267.8</v>
      </c>
      <c r="I1707" s="45"/>
      <c r="J1707" s="47"/>
      <c r="K1707" s="47"/>
      <c r="L1707" s="48"/>
    </row>
    <row r="1708" spans="1:12" s="49" customFormat="1" ht="14.15" customHeight="1">
      <c r="A1708" s="45"/>
      <c r="B1708" s="11"/>
      <c r="C1708" s="11" t="s">
        <v>18</v>
      </c>
      <c r="D1708" s="45" t="s">
        <v>16</v>
      </c>
      <c r="E1708" s="47"/>
      <c r="F1708" s="39" t="s">
        <v>1407</v>
      </c>
      <c r="G1708" s="13" t="s">
        <v>8508</v>
      </c>
      <c r="H1708" s="99" t="str">
        <f t="shared" si="93"/>
        <v>W267.9</v>
      </c>
      <c r="I1708" s="45"/>
      <c r="J1708" s="47"/>
      <c r="K1708" s="47"/>
      <c r="L1708" s="48"/>
    </row>
    <row r="1709" spans="1:12" s="49" customFormat="1" ht="14.15" customHeight="1">
      <c r="A1709" s="45"/>
      <c r="B1709" s="11"/>
      <c r="C1709" s="11" t="s">
        <v>18</v>
      </c>
      <c r="D1709" s="45" t="s">
        <v>16</v>
      </c>
      <c r="E1709" s="47"/>
      <c r="F1709" s="39" t="s">
        <v>1408</v>
      </c>
      <c r="G1709" s="13" t="s">
        <v>8509</v>
      </c>
      <c r="H1709" s="99" t="str">
        <f t="shared" si="93"/>
        <v>W267.A</v>
      </c>
      <c r="I1709" s="45"/>
      <c r="J1709" s="47"/>
      <c r="K1709" s="47"/>
      <c r="L1709" s="48"/>
    </row>
    <row r="1710" spans="1:12" s="49" customFormat="1" ht="14.15" customHeight="1">
      <c r="A1710" s="45"/>
      <c r="B1710" s="11"/>
      <c r="C1710" s="11" t="s">
        <v>18</v>
      </c>
      <c r="D1710" s="45" t="s">
        <v>16</v>
      </c>
      <c r="E1710" s="47"/>
      <c r="F1710" s="39" t="s">
        <v>1409</v>
      </c>
      <c r="G1710" s="13" t="s">
        <v>8510</v>
      </c>
      <c r="H1710" s="99" t="str">
        <f t="shared" si="93"/>
        <v>W267.B</v>
      </c>
      <c r="I1710" s="45"/>
      <c r="J1710" s="47"/>
      <c r="K1710" s="47"/>
      <c r="L1710" s="48"/>
    </row>
    <row r="1711" spans="1:12" s="49" customFormat="1" ht="14.15" customHeight="1">
      <c r="A1711" s="45"/>
      <c r="B1711" s="11"/>
      <c r="C1711" s="11" t="s">
        <v>18</v>
      </c>
      <c r="D1711" s="45" t="s">
        <v>16</v>
      </c>
      <c r="E1711" s="47"/>
      <c r="F1711" s="39" t="s">
        <v>1410</v>
      </c>
      <c r="G1711" s="13" t="s">
        <v>8511</v>
      </c>
      <c r="H1711" s="99" t="str">
        <f t="shared" si="93"/>
        <v>W267.C</v>
      </c>
      <c r="I1711" s="45"/>
      <c r="J1711" s="47"/>
      <c r="K1711" s="47"/>
      <c r="L1711" s="48"/>
    </row>
    <row r="1712" spans="1:12" s="49" customFormat="1" ht="14.15" customHeight="1">
      <c r="A1712" s="45"/>
      <c r="B1712" s="11"/>
      <c r="C1712" s="11" t="s">
        <v>18</v>
      </c>
      <c r="D1712" s="45" t="s">
        <v>16</v>
      </c>
      <c r="E1712" s="47"/>
      <c r="F1712" s="39" t="s">
        <v>1411</v>
      </c>
      <c r="G1712" s="13" t="s">
        <v>8512</v>
      </c>
      <c r="H1712" s="99" t="str">
        <f t="shared" si="93"/>
        <v>W267.D</v>
      </c>
      <c r="I1712" s="45"/>
      <c r="J1712" s="47"/>
      <c r="K1712" s="47"/>
      <c r="L1712" s="48"/>
    </row>
    <row r="1713" spans="1:12" s="49" customFormat="1" ht="14.15" customHeight="1">
      <c r="A1713" s="45"/>
      <c r="B1713" s="11"/>
      <c r="C1713" s="11" t="s">
        <v>18</v>
      </c>
      <c r="D1713" s="45" t="s">
        <v>16</v>
      </c>
      <c r="E1713" s="47"/>
      <c r="F1713" s="39" t="s">
        <v>1412</v>
      </c>
      <c r="G1713" s="13" t="s">
        <v>8513</v>
      </c>
      <c r="H1713" s="99" t="str">
        <f t="shared" si="93"/>
        <v>W267.E</v>
      </c>
      <c r="I1713" s="45"/>
      <c r="J1713" s="47"/>
      <c r="K1713" s="47"/>
      <c r="L1713" s="48"/>
    </row>
    <row r="1714" spans="1:12" s="49" customFormat="1" ht="14.15" customHeight="1">
      <c r="A1714" s="45"/>
      <c r="B1714" s="11"/>
      <c r="C1714" s="11" t="s">
        <v>18</v>
      </c>
      <c r="D1714" s="45" t="s">
        <v>16</v>
      </c>
      <c r="E1714" s="47"/>
      <c r="F1714" s="39" t="s">
        <v>1413</v>
      </c>
      <c r="G1714" s="13" t="s">
        <v>8514</v>
      </c>
      <c r="H1714" s="99" t="str">
        <f t="shared" si="93"/>
        <v>W267.F</v>
      </c>
      <c r="I1714" s="45"/>
      <c r="J1714" s="47"/>
      <c r="K1714" s="47"/>
      <c r="L1714" s="48"/>
    </row>
    <row r="1715" spans="1:12" s="49" customFormat="1" ht="14.15" customHeight="1">
      <c r="A1715" s="45"/>
      <c r="B1715" s="11"/>
      <c r="C1715" s="11" t="s">
        <v>18</v>
      </c>
      <c r="D1715" s="45" t="s">
        <v>16</v>
      </c>
      <c r="E1715" s="47"/>
      <c r="F1715" s="39" t="s">
        <v>1414</v>
      </c>
      <c r="G1715" s="13" t="s">
        <v>8515</v>
      </c>
      <c r="H1715" s="99" t="str">
        <f t="shared" si="93"/>
        <v>W268.0</v>
      </c>
      <c r="I1715" s="45"/>
      <c r="J1715" s="47"/>
      <c r="K1715" s="47"/>
      <c r="L1715" s="48"/>
    </row>
    <row r="1716" spans="1:12" s="49" customFormat="1" ht="14.15" customHeight="1">
      <c r="A1716" s="45"/>
      <c r="B1716" s="11"/>
      <c r="C1716" s="11" t="s">
        <v>18</v>
      </c>
      <c r="D1716" s="45" t="s">
        <v>16</v>
      </c>
      <c r="E1716" s="47"/>
      <c r="F1716" s="39" t="s">
        <v>1415</v>
      </c>
      <c r="G1716" s="13" t="s">
        <v>8516</v>
      </c>
      <c r="H1716" s="99" t="str">
        <f t="shared" ref="H1716:H1779" si="94">"W"&amp;DEC2HEX(512 + INT((ROW()-51)/16)) &amp; "." &amp; IF(MOD(ROW()-51,16)&lt;10,MOD(ROW()-51,16),CHAR(MOD(ROW()-51,16)+55))</f>
        <v>W268.1</v>
      </c>
      <c r="I1716" s="45"/>
      <c r="J1716" s="47"/>
      <c r="K1716" s="47"/>
      <c r="L1716" s="48"/>
    </row>
    <row r="1717" spans="1:12" s="49" customFormat="1" ht="14.15" customHeight="1">
      <c r="A1717" s="45"/>
      <c r="B1717" s="11"/>
      <c r="C1717" s="11" t="s">
        <v>18</v>
      </c>
      <c r="D1717" s="45" t="s">
        <v>16</v>
      </c>
      <c r="E1717" s="47"/>
      <c r="F1717" s="39" t="s">
        <v>1416</v>
      </c>
      <c r="G1717" s="13" t="s">
        <v>8517</v>
      </c>
      <c r="H1717" s="99" t="str">
        <f t="shared" si="94"/>
        <v>W268.2</v>
      </c>
      <c r="I1717" s="45"/>
      <c r="J1717" s="47"/>
      <c r="K1717" s="47"/>
      <c r="L1717" s="48"/>
    </row>
    <row r="1718" spans="1:12" s="49" customFormat="1" ht="14.15" customHeight="1">
      <c r="A1718" s="45"/>
      <c r="B1718" s="11"/>
      <c r="C1718" s="11" t="s">
        <v>18</v>
      </c>
      <c r="D1718" s="45" t="s">
        <v>16</v>
      </c>
      <c r="E1718" s="47"/>
      <c r="F1718" s="39" t="s">
        <v>1417</v>
      </c>
      <c r="G1718" s="13" t="s">
        <v>8518</v>
      </c>
      <c r="H1718" s="99" t="str">
        <f t="shared" si="94"/>
        <v>W268.3</v>
      </c>
      <c r="I1718" s="45"/>
      <c r="J1718" s="47"/>
      <c r="K1718" s="47"/>
      <c r="L1718" s="48"/>
    </row>
    <row r="1719" spans="1:12" s="49" customFormat="1" ht="14.15" customHeight="1">
      <c r="A1719" s="45"/>
      <c r="B1719" s="11"/>
      <c r="C1719" s="11" t="s">
        <v>18</v>
      </c>
      <c r="D1719" s="45" t="s">
        <v>16</v>
      </c>
      <c r="E1719" s="47"/>
      <c r="F1719" s="39" t="s">
        <v>1418</v>
      </c>
      <c r="G1719" s="13" t="s">
        <v>8519</v>
      </c>
      <c r="H1719" s="99" t="str">
        <f t="shared" si="94"/>
        <v>W268.4</v>
      </c>
      <c r="I1719" s="45"/>
      <c r="J1719" s="47"/>
      <c r="K1719" s="47"/>
      <c r="L1719" s="48"/>
    </row>
    <row r="1720" spans="1:12" s="49" customFormat="1" ht="14.15" customHeight="1">
      <c r="A1720" s="45"/>
      <c r="B1720" s="11"/>
      <c r="C1720" s="11" t="s">
        <v>18</v>
      </c>
      <c r="D1720" s="45" t="s">
        <v>16</v>
      </c>
      <c r="E1720" s="47"/>
      <c r="F1720" s="39" t="s">
        <v>1419</v>
      </c>
      <c r="G1720" s="13" t="s">
        <v>8520</v>
      </c>
      <c r="H1720" s="99" t="str">
        <f t="shared" si="94"/>
        <v>W268.5</v>
      </c>
      <c r="I1720" s="45"/>
      <c r="J1720" s="47"/>
      <c r="K1720" s="47"/>
      <c r="L1720" s="48"/>
    </row>
    <row r="1721" spans="1:12" s="49" customFormat="1" ht="14.15" customHeight="1">
      <c r="A1721" s="45"/>
      <c r="B1721" s="11"/>
      <c r="C1721" s="11" t="s">
        <v>18</v>
      </c>
      <c r="D1721" s="45" t="s">
        <v>16</v>
      </c>
      <c r="E1721" s="47"/>
      <c r="F1721" s="39" t="s">
        <v>1420</v>
      </c>
      <c r="G1721" s="13" t="s">
        <v>8521</v>
      </c>
      <c r="H1721" s="99" t="str">
        <f t="shared" si="94"/>
        <v>W268.6</v>
      </c>
      <c r="I1721" s="45"/>
      <c r="J1721" s="47"/>
      <c r="K1721" s="47"/>
      <c r="L1721" s="48"/>
    </row>
    <row r="1722" spans="1:12" s="49" customFormat="1" ht="14.15" customHeight="1">
      <c r="A1722" s="45"/>
      <c r="B1722" s="11"/>
      <c r="C1722" s="11" t="s">
        <v>18</v>
      </c>
      <c r="D1722" s="45" t="s">
        <v>16</v>
      </c>
      <c r="E1722" s="47"/>
      <c r="F1722" s="39" t="s">
        <v>1421</v>
      </c>
      <c r="G1722" s="13" t="s">
        <v>8522</v>
      </c>
      <c r="H1722" s="99" t="str">
        <f t="shared" si="94"/>
        <v>W268.7</v>
      </c>
      <c r="I1722" s="45"/>
      <c r="J1722" s="47"/>
      <c r="K1722" s="47"/>
      <c r="L1722" s="48"/>
    </row>
    <row r="1723" spans="1:12" s="49" customFormat="1" ht="14.15" customHeight="1">
      <c r="A1723" s="45"/>
      <c r="B1723" s="11"/>
      <c r="C1723" s="11" t="s">
        <v>18</v>
      </c>
      <c r="D1723" s="45" t="s">
        <v>16</v>
      </c>
      <c r="E1723" s="47"/>
      <c r="F1723" s="39" t="s">
        <v>1422</v>
      </c>
      <c r="G1723" s="13" t="s">
        <v>8523</v>
      </c>
      <c r="H1723" s="99" t="str">
        <f t="shared" si="94"/>
        <v>W268.8</v>
      </c>
      <c r="I1723" s="45"/>
      <c r="J1723" s="47"/>
      <c r="K1723" s="47"/>
      <c r="L1723" s="48"/>
    </row>
    <row r="1724" spans="1:12" s="49" customFormat="1" ht="14.15" customHeight="1">
      <c r="A1724" s="45"/>
      <c r="B1724" s="11"/>
      <c r="C1724" s="11" t="s">
        <v>18</v>
      </c>
      <c r="D1724" s="45" t="s">
        <v>16</v>
      </c>
      <c r="E1724" s="47"/>
      <c r="F1724" s="39" t="s">
        <v>1423</v>
      </c>
      <c r="G1724" s="13" t="s">
        <v>8524</v>
      </c>
      <c r="H1724" s="99" t="str">
        <f t="shared" si="94"/>
        <v>W268.9</v>
      </c>
      <c r="I1724" s="45"/>
      <c r="J1724" s="47"/>
      <c r="K1724" s="47"/>
      <c r="L1724" s="48"/>
    </row>
    <row r="1725" spans="1:12" s="49" customFormat="1" ht="14.15" customHeight="1">
      <c r="A1725" s="45"/>
      <c r="B1725" s="11"/>
      <c r="C1725" s="11" t="s">
        <v>18</v>
      </c>
      <c r="D1725" s="45" t="s">
        <v>16</v>
      </c>
      <c r="E1725" s="47"/>
      <c r="F1725" s="39" t="s">
        <v>1424</v>
      </c>
      <c r="G1725" s="13" t="s">
        <v>8525</v>
      </c>
      <c r="H1725" s="99" t="str">
        <f t="shared" si="94"/>
        <v>W268.A</v>
      </c>
      <c r="I1725" s="45"/>
      <c r="J1725" s="47"/>
      <c r="K1725" s="47"/>
      <c r="L1725" s="48"/>
    </row>
    <row r="1726" spans="1:12" s="49" customFormat="1" ht="14.15" customHeight="1">
      <c r="A1726" s="45"/>
      <c r="B1726" s="11"/>
      <c r="C1726" s="11" t="s">
        <v>18</v>
      </c>
      <c r="D1726" s="45" t="s">
        <v>16</v>
      </c>
      <c r="E1726" s="47"/>
      <c r="F1726" s="39" t="s">
        <v>1425</v>
      </c>
      <c r="G1726" s="13" t="s">
        <v>8526</v>
      </c>
      <c r="H1726" s="99" t="str">
        <f t="shared" si="94"/>
        <v>W268.B</v>
      </c>
      <c r="I1726" s="45"/>
      <c r="J1726" s="47"/>
      <c r="K1726" s="47"/>
      <c r="L1726" s="48"/>
    </row>
    <row r="1727" spans="1:12" s="49" customFormat="1" ht="14.15" customHeight="1">
      <c r="A1727" s="45"/>
      <c r="B1727" s="11"/>
      <c r="C1727" s="11" t="s">
        <v>18</v>
      </c>
      <c r="D1727" s="45" t="s">
        <v>16</v>
      </c>
      <c r="E1727" s="47"/>
      <c r="F1727" s="39" t="s">
        <v>1426</v>
      </c>
      <c r="G1727" s="13" t="s">
        <v>8527</v>
      </c>
      <c r="H1727" s="99" t="str">
        <f t="shared" si="94"/>
        <v>W268.C</v>
      </c>
      <c r="I1727" s="45"/>
      <c r="J1727" s="47"/>
      <c r="K1727" s="47"/>
      <c r="L1727" s="48"/>
    </row>
    <row r="1728" spans="1:12" s="49" customFormat="1" ht="14.15" customHeight="1">
      <c r="A1728" s="45"/>
      <c r="B1728" s="11"/>
      <c r="C1728" s="11" t="s">
        <v>18</v>
      </c>
      <c r="D1728" s="45" t="s">
        <v>16</v>
      </c>
      <c r="E1728" s="47"/>
      <c r="F1728" s="39" t="s">
        <v>1427</v>
      </c>
      <c r="G1728" s="13" t="s">
        <v>8528</v>
      </c>
      <c r="H1728" s="99" t="str">
        <f t="shared" si="94"/>
        <v>W268.D</v>
      </c>
      <c r="I1728" s="45"/>
      <c r="J1728" s="47"/>
      <c r="K1728" s="47"/>
      <c r="L1728" s="48"/>
    </row>
    <row r="1729" spans="1:12" s="49" customFormat="1" ht="14.15" customHeight="1">
      <c r="A1729" s="45"/>
      <c r="B1729" s="11"/>
      <c r="C1729" s="11" t="s">
        <v>18</v>
      </c>
      <c r="D1729" s="45" t="s">
        <v>16</v>
      </c>
      <c r="E1729" s="47"/>
      <c r="F1729" s="39" t="s">
        <v>1428</v>
      </c>
      <c r="G1729" s="13" t="s">
        <v>8529</v>
      </c>
      <c r="H1729" s="99" t="str">
        <f t="shared" si="94"/>
        <v>W268.E</v>
      </c>
      <c r="I1729" s="45"/>
      <c r="J1729" s="47"/>
      <c r="K1729" s="47"/>
      <c r="L1729" s="48"/>
    </row>
    <row r="1730" spans="1:12" s="49" customFormat="1" ht="14.15" customHeight="1">
      <c r="A1730" s="45"/>
      <c r="B1730" s="11"/>
      <c r="C1730" s="11" t="s">
        <v>18</v>
      </c>
      <c r="D1730" s="45" t="s">
        <v>16</v>
      </c>
      <c r="E1730" s="47"/>
      <c r="F1730" s="39" t="s">
        <v>1429</v>
      </c>
      <c r="G1730" s="13" t="s">
        <v>8530</v>
      </c>
      <c r="H1730" s="99" t="str">
        <f t="shared" si="94"/>
        <v>W268.F</v>
      </c>
      <c r="I1730" s="45"/>
      <c r="J1730" s="47"/>
      <c r="K1730" s="47"/>
      <c r="L1730" s="48"/>
    </row>
    <row r="1731" spans="1:12" s="49" customFormat="1" ht="14.15" customHeight="1">
      <c r="A1731" s="45"/>
      <c r="B1731" s="11"/>
      <c r="C1731" s="11" t="s">
        <v>18</v>
      </c>
      <c r="D1731" s="45" t="s">
        <v>16</v>
      </c>
      <c r="E1731" s="47"/>
      <c r="F1731" s="39" t="s">
        <v>1430</v>
      </c>
      <c r="G1731" s="13" t="s">
        <v>8531</v>
      </c>
      <c r="H1731" s="99" t="str">
        <f t="shared" si="94"/>
        <v>W269.0</v>
      </c>
      <c r="I1731" s="45"/>
      <c r="J1731" s="47"/>
      <c r="K1731" s="47"/>
      <c r="L1731" s="48"/>
    </row>
    <row r="1732" spans="1:12" s="49" customFormat="1" ht="14.15" customHeight="1">
      <c r="A1732" s="45"/>
      <c r="B1732" s="11"/>
      <c r="C1732" s="11" t="s">
        <v>18</v>
      </c>
      <c r="D1732" s="45" t="s">
        <v>16</v>
      </c>
      <c r="E1732" s="47"/>
      <c r="F1732" s="39" t="s">
        <v>1431</v>
      </c>
      <c r="G1732" s="13" t="s">
        <v>8532</v>
      </c>
      <c r="H1732" s="99" t="str">
        <f t="shared" si="94"/>
        <v>W269.1</v>
      </c>
      <c r="I1732" s="45"/>
      <c r="J1732" s="47"/>
      <c r="K1732" s="47"/>
      <c r="L1732" s="48"/>
    </row>
    <row r="1733" spans="1:12" s="49" customFormat="1" ht="14.15" customHeight="1">
      <c r="A1733" s="45"/>
      <c r="B1733" s="11"/>
      <c r="C1733" s="11" t="s">
        <v>18</v>
      </c>
      <c r="D1733" s="45" t="s">
        <v>16</v>
      </c>
      <c r="E1733" s="47"/>
      <c r="F1733" s="39" t="s">
        <v>1432</v>
      </c>
      <c r="G1733" s="13" t="s">
        <v>8533</v>
      </c>
      <c r="H1733" s="99" t="str">
        <f t="shared" si="94"/>
        <v>W269.2</v>
      </c>
      <c r="I1733" s="45"/>
      <c r="J1733" s="47"/>
      <c r="K1733" s="47"/>
      <c r="L1733" s="48"/>
    </row>
    <row r="1734" spans="1:12" s="49" customFormat="1" ht="14.15" customHeight="1">
      <c r="A1734" s="45"/>
      <c r="B1734" s="11"/>
      <c r="C1734" s="11" t="s">
        <v>18</v>
      </c>
      <c r="D1734" s="45" t="s">
        <v>16</v>
      </c>
      <c r="E1734" s="47"/>
      <c r="F1734" s="39" t="s">
        <v>1433</v>
      </c>
      <c r="G1734" s="13" t="s">
        <v>8534</v>
      </c>
      <c r="H1734" s="99" t="str">
        <f t="shared" si="94"/>
        <v>W269.3</v>
      </c>
      <c r="I1734" s="45"/>
      <c r="J1734" s="47"/>
      <c r="K1734" s="47"/>
      <c r="L1734" s="48"/>
    </row>
    <row r="1735" spans="1:12" s="49" customFormat="1" ht="14.15" customHeight="1">
      <c r="A1735" s="45"/>
      <c r="B1735" s="11"/>
      <c r="C1735" s="11" t="s">
        <v>18</v>
      </c>
      <c r="D1735" s="45" t="s">
        <v>16</v>
      </c>
      <c r="E1735" s="47"/>
      <c r="F1735" s="39" t="s">
        <v>1434</v>
      </c>
      <c r="G1735" s="13" t="s">
        <v>8535</v>
      </c>
      <c r="H1735" s="99" t="str">
        <f t="shared" si="94"/>
        <v>W269.4</v>
      </c>
      <c r="I1735" s="45"/>
      <c r="J1735" s="47"/>
      <c r="K1735" s="47"/>
      <c r="L1735" s="48"/>
    </row>
    <row r="1736" spans="1:12" s="49" customFormat="1" ht="14.15" customHeight="1">
      <c r="A1736" s="45"/>
      <c r="B1736" s="11"/>
      <c r="C1736" s="11" t="s">
        <v>18</v>
      </c>
      <c r="D1736" s="45" t="s">
        <v>16</v>
      </c>
      <c r="E1736" s="47"/>
      <c r="F1736" s="39" t="s">
        <v>1435</v>
      </c>
      <c r="G1736" s="13" t="s">
        <v>8536</v>
      </c>
      <c r="H1736" s="99" t="str">
        <f t="shared" si="94"/>
        <v>W269.5</v>
      </c>
      <c r="I1736" s="45"/>
      <c r="J1736" s="47"/>
      <c r="K1736" s="47"/>
      <c r="L1736" s="48"/>
    </row>
    <row r="1737" spans="1:12" s="49" customFormat="1" ht="14.15" customHeight="1">
      <c r="A1737" s="45"/>
      <c r="B1737" s="11"/>
      <c r="C1737" s="11" t="s">
        <v>18</v>
      </c>
      <c r="D1737" s="45" t="s">
        <v>16</v>
      </c>
      <c r="E1737" s="47"/>
      <c r="F1737" s="39" t="s">
        <v>1436</v>
      </c>
      <c r="G1737" s="13" t="s">
        <v>8537</v>
      </c>
      <c r="H1737" s="99" t="str">
        <f t="shared" si="94"/>
        <v>W269.6</v>
      </c>
      <c r="I1737" s="45"/>
      <c r="J1737" s="47"/>
      <c r="K1737" s="47"/>
      <c r="L1737" s="48"/>
    </row>
    <row r="1738" spans="1:12" s="49" customFormat="1" ht="14.15" customHeight="1">
      <c r="A1738" s="45"/>
      <c r="B1738" s="11"/>
      <c r="C1738" s="11" t="s">
        <v>18</v>
      </c>
      <c r="D1738" s="45" t="s">
        <v>16</v>
      </c>
      <c r="E1738" s="47"/>
      <c r="F1738" s="39" t="s">
        <v>1437</v>
      </c>
      <c r="G1738" s="13" t="s">
        <v>8538</v>
      </c>
      <c r="H1738" s="99" t="str">
        <f t="shared" si="94"/>
        <v>W269.7</v>
      </c>
      <c r="I1738" s="45"/>
      <c r="J1738" s="47"/>
      <c r="K1738" s="47"/>
      <c r="L1738" s="48"/>
    </row>
    <row r="1739" spans="1:12" s="49" customFormat="1" ht="14.15" customHeight="1">
      <c r="A1739" s="45"/>
      <c r="B1739" s="11"/>
      <c r="C1739" s="11" t="s">
        <v>18</v>
      </c>
      <c r="D1739" s="45" t="s">
        <v>16</v>
      </c>
      <c r="E1739" s="47"/>
      <c r="F1739" s="39" t="s">
        <v>1438</v>
      </c>
      <c r="G1739" s="13" t="s">
        <v>8539</v>
      </c>
      <c r="H1739" s="99" t="str">
        <f t="shared" si="94"/>
        <v>W269.8</v>
      </c>
      <c r="I1739" s="45"/>
      <c r="J1739" s="47"/>
      <c r="K1739" s="47"/>
      <c r="L1739" s="48"/>
    </row>
    <row r="1740" spans="1:12" s="49" customFormat="1" ht="14.15" customHeight="1">
      <c r="A1740" s="45"/>
      <c r="B1740" s="11"/>
      <c r="C1740" s="11" t="s">
        <v>18</v>
      </c>
      <c r="D1740" s="45" t="s">
        <v>16</v>
      </c>
      <c r="E1740" s="47"/>
      <c r="F1740" s="39" t="s">
        <v>1439</v>
      </c>
      <c r="G1740" s="13" t="s">
        <v>8540</v>
      </c>
      <c r="H1740" s="99" t="str">
        <f t="shared" si="94"/>
        <v>W269.9</v>
      </c>
      <c r="I1740" s="45"/>
      <c r="J1740" s="47"/>
      <c r="K1740" s="47"/>
      <c r="L1740" s="48"/>
    </row>
    <row r="1741" spans="1:12" s="49" customFormat="1" ht="14.15" customHeight="1">
      <c r="A1741" s="45"/>
      <c r="B1741" s="11"/>
      <c r="C1741" s="11" t="s">
        <v>18</v>
      </c>
      <c r="D1741" s="45" t="s">
        <v>16</v>
      </c>
      <c r="E1741" s="47"/>
      <c r="F1741" s="39" t="s">
        <v>1440</v>
      </c>
      <c r="G1741" s="13" t="s">
        <v>8541</v>
      </c>
      <c r="H1741" s="99" t="str">
        <f t="shared" si="94"/>
        <v>W269.A</v>
      </c>
      <c r="I1741" s="45"/>
      <c r="J1741" s="47"/>
      <c r="K1741" s="47"/>
      <c r="L1741" s="48"/>
    </row>
    <row r="1742" spans="1:12" s="49" customFormat="1" ht="14.15" customHeight="1">
      <c r="A1742" s="45"/>
      <c r="B1742" s="11"/>
      <c r="C1742" s="11" t="s">
        <v>18</v>
      </c>
      <c r="D1742" s="45" t="s">
        <v>16</v>
      </c>
      <c r="E1742" s="47"/>
      <c r="F1742" s="39" t="s">
        <v>1441</v>
      </c>
      <c r="G1742" s="13" t="s">
        <v>8542</v>
      </c>
      <c r="H1742" s="99" t="str">
        <f t="shared" si="94"/>
        <v>W269.B</v>
      </c>
      <c r="I1742" s="45"/>
      <c r="J1742" s="47"/>
      <c r="K1742" s="47"/>
      <c r="L1742" s="48"/>
    </row>
    <row r="1743" spans="1:12" s="49" customFormat="1" ht="14.15" customHeight="1">
      <c r="A1743" s="45"/>
      <c r="B1743" s="11"/>
      <c r="C1743" s="11" t="s">
        <v>18</v>
      </c>
      <c r="D1743" s="45" t="s">
        <v>16</v>
      </c>
      <c r="E1743" s="47"/>
      <c r="F1743" s="39" t="s">
        <v>1442</v>
      </c>
      <c r="G1743" s="13" t="s">
        <v>8543</v>
      </c>
      <c r="H1743" s="99" t="str">
        <f t="shared" si="94"/>
        <v>W269.C</v>
      </c>
      <c r="I1743" s="45"/>
      <c r="J1743" s="47"/>
      <c r="K1743" s="47"/>
      <c r="L1743" s="48"/>
    </row>
    <row r="1744" spans="1:12" s="49" customFormat="1" ht="14.15" customHeight="1">
      <c r="A1744" s="45"/>
      <c r="B1744" s="11"/>
      <c r="C1744" s="11" t="s">
        <v>18</v>
      </c>
      <c r="D1744" s="45" t="s">
        <v>16</v>
      </c>
      <c r="E1744" s="47"/>
      <c r="F1744" s="39" t="s">
        <v>1443</v>
      </c>
      <c r="G1744" s="13" t="s">
        <v>8544</v>
      </c>
      <c r="H1744" s="99" t="str">
        <f t="shared" si="94"/>
        <v>W269.D</v>
      </c>
      <c r="I1744" s="45"/>
      <c r="J1744" s="47"/>
      <c r="K1744" s="47"/>
      <c r="L1744" s="48"/>
    </row>
    <row r="1745" spans="1:12" s="49" customFormat="1" ht="14.15" customHeight="1">
      <c r="A1745" s="45"/>
      <c r="B1745" s="11"/>
      <c r="C1745" s="11" t="s">
        <v>18</v>
      </c>
      <c r="D1745" s="45" t="s">
        <v>16</v>
      </c>
      <c r="E1745" s="47"/>
      <c r="F1745" s="39" t="s">
        <v>1444</v>
      </c>
      <c r="G1745" s="13" t="s">
        <v>8545</v>
      </c>
      <c r="H1745" s="99" t="str">
        <f t="shared" si="94"/>
        <v>W269.E</v>
      </c>
      <c r="I1745" s="45"/>
      <c r="J1745" s="47"/>
      <c r="K1745" s="47"/>
      <c r="L1745" s="48"/>
    </row>
    <row r="1746" spans="1:12" s="49" customFormat="1" ht="14.15" customHeight="1">
      <c r="A1746" s="45"/>
      <c r="B1746" s="11"/>
      <c r="C1746" s="11" t="s">
        <v>18</v>
      </c>
      <c r="D1746" s="45" t="s">
        <v>16</v>
      </c>
      <c r="E1746" s="47"/>
      <c r="F1746" s="39" t="s">
        <v>1445</v>
      </c>
      <c r="G1746" s="13" t="s">
        <v>8546</v>
      </c>
      <c r="H1746" s="99" t="str">
        <f t="shared" si="94"/>
        <v>W269.F</v>
      </c>
      <c r="I1746" s="45"/>
      <c r="J1746" s="47"/>
      <c r="K1746" s="47"/>
      <c r="L1746" s="48"/>
    </row>
    <row r="1747" spans="1:12" s="49" customFormat="1" ht="14.15" customHeight="1">
      <c r="A1747" s="45"/>
      <c r="B1747" s="11"/>
      <c r="C1747" s="11" t="s">
        <v>18</v>
      </c>
      <c r="D1747" s="45" t="s">
        <v>16</v>
      </c>
      <c r="E1747" s="47"/>
      <c r="F1747" s="39" t="s">
        <v>1446</v>
      </c>
      <c r="G1747" s="13" t="s">
        <v>8547</v>
      </c>
      <c r="H1747" s="99" t="str">
        <f t="shared" si="94"/>
        <v>W26A.0</v>
      </c>
      <c r="I1747" s="45"/>
      <c r="J1747" s="47"/>
      <c r="K1747" s="47"/>
      <c r="L1747" s="48"/>
    </row>
    <row r="1748" spans="1:12" s="49" customFormat="1" ht="14.15" customHeight="1">
      <c r="A1748" s="45"/>
      <c r="B1748" s="11"/>
      <c r="C1748" s="11" t="s">
        <v>18</v>
      </c>
      <c r="D1748" s="45" t="s">
        <v>16</v>
      </c>
      <c r="E1748" s="47"/>
      <c r="F1748" s="39" t="s">
        <v>1447</v>
      </c>
      <c r="G1748" s="13" t="s">
        <v>8548</v>
      </c>
      <c r="H1748" s="99" t="str">
        <f t="shared" si="94"/>
        <v>W26A.1</v>
      </c>
      <c r="I1748" s="45"/>
      <c r="J1748" s="47"/>
      <c r="K1748" s="47"/>
      <c r="L1748" s="48"/>
    </row>
    <row r="1749" spans="1:12" s="49" customFormat="1" ht="14.15" customHeight="1">
      <c r="A1749" s="45"/>
      <c r="B1749" s="11"/>
      <c r="C1749" s="11" t="s">
        <v>18</v>
      </c>
      <c r="D1749" s="45" t="s">
        <v>16</v>
      </c>
      <c r="E1749" s="47"/>
      <c r="F1749" s="39" t="s">
        <v>1448</v>
      </c>
      <c r="G1749" s="13" t="s">
        <v>8549</v>
      </c>
      <c r="H1749" s="99" t="str">
        <f t="shared" si="94"/>
        <v>W26A.2</v>
      </c>
      <c r="I1749" s="45"/>
      <c r="J1749" s="47"/>
      <c r="K1749" s="47"/>
      <c r="L1749" s="48"/>
    </row>
    <row r="1750" spans="1:12" s="49" customFormat="1" ht="14.15" customHeight="1">
      <c r="A1750" s="45"/>
      <c r="B1750" s="11"/>
      <c r="C1750" s="11" t="s">
        <v>18</v>
      </c>
      <c r="D1750" s="45" t="s">
        <v>16</v>
      </c>
      <c r="E1750" s="47"/>
      <c r="F1750" s="39" t="s">
        <v>1449</v>
      </c>
      <c r="G1750" s="13" t="s">
        <v>8550</v>
      </c>
      <c r="H1750" s="99" t="str">
        <f t="shared" si="94"/>
        <v>W26A.3</v>
      </c>
      <c r="I1750" s="45"/>
      <c r="J1750" s="47"/>
      <c r="K1750" s="47"/>
      <c r="L1750" s="48"/>
    </row>
    <row r="1751" spans="1:12" s="49" customFormat="1" ht="14.15" customHeight="1">
      <c r="A1751" s="45"/>
      <c r="B1751" s="11"/>
      <c r="C1751" s="11" t="s">
        <v>18</v>
      </c>
      <c r="D1751" s="45" t="s">
        <v>16</v>
      </c>
      <c r="E1751" s="47"/>
      <c r="F1751" s="39" t="s">
        <v>1450</v>
      </c>
      <c r="G1751" s="13" t="s">
        <v>8551</v>
      </c>
      <c r="H1751" s="99" t="str">
        <f t="shared" si="94"/>
        <v>W26A.4</v>
      </c>
      <c r="I1751" s="45"/>
      <c r="J1751" s="47"/>
      <c r="K1751" s="47"/>
      <c r="L1751" s="48"/>
    </row>
    <row r="1752" spans="1:12" s="49" customFormat="1" ht="14.15" customHeight="1">
      <c r="A1752" s="45"/>
      <c r="B1752" s="11"/>
      <c r="C1752" s="11" t="s">
        <v>18</v>
      </c>
      <c r="D1752" s="45" t="s">
        <v>16</v>
      </c>
      <c r="E1752" s="47"/>
      <c r="F1752" s="39" t="s">
        <v>1451</v>
      </c>
      <c r="G1752" s="13" t="s">
        <v>8552</v>
      </c>
      <c r="H1752" s="99" t="str">
        <f t="shared" si="94"/>
        <v>W26A.5</v>
      </c>
      <c r="I1752" s="45"/>
      <c r="J1752" s="47"/>
      <c r="K1752" s="47"/>
      <c r="L1752" s="48"/>
    </row>
    <row r="1753" spans="1:12" s="49" customFormat="1" ht="14.15" customHeight="1">
      <c r="A1753" s="45"/>
      <c r="B1753" s="11"/>
      <c r="C1753" s="11" t="s">
        <v>18</v>
      </c>
      <c r="D1753" s="45" t="s">
        <v>16</v>
      </c>
      <c r="E1753" s="47"/>
      <c r="F1753" s="39" t="s">
        <v>1452</v>
      </c>
      <c r="G1753" s="13" t="s">
        <v>8553</v>
      </c>
      <c r="H1753" s="99" t="str">
        <f t="shared" si="94"/>
        <v>W26A.6</v>
      </c>
      <c r="I1753" s="45"/>
      <c r="J1753" s="47"/>
      <c r="K1753" s="47"/>
      <c r="L1753" s="48"/>
    </row>
    <row r="1754" spans="1:12" s="49" customFormat="1" ht="14.15" customHeight="1">
      <c r="A1754" s="45"/>
      <c r="B1754" s="11"/>
      <c r="C1754" s="11" t="s">
        <v>18</v>
      </c>
      <c r="D1754" s="45" t="s">
        <v>16</v>
      </c>
      <c r="E1754" s="47"/>
      <c r="F1754" s="39" t="s">
        <v>1453</v>
      </c>
      <c r="G1754" s="13" t="s">
        <v>8554</v>
      </c>
      <c r="H1754" s="99" t="str">
        <f t="shared" si="94"/>
        <v>W26A.7</v>
      </c>
      <c r="I1754" s="45"/>
      <c r="J1754" s="47"/>
      <c r="K1754" s="47"/>
      <c r="L1754" s="48"/>
    </row>
    <row r="1755" spans="1:12" s="49" customFormat="1" ht="14.15" customHeight="1">
      <c r="A1755" s="45"/>
      <c r="B1755" s="11"/>
      <c r="C1755" s="11" t="s">
        <v>18</v>
      </c>
      <c r="D1755" s="45" t="s">
        <v>16</v>
      </c>
      <c r="E1755" s="47"/>
      <c r="F1755" s="39" t="s">
        <v>1454</v>
      </c>
      <c r="G1755" s="13" t="s">
        <v>8555</v>
      </c>
      <c r="H1755" s="99" t="str">
        <f t="shared" si="94"/>
        <v>W26A.8</v>
      </c>
      <c r="I1755" s="45"/>
      <c r="J1755" s="47"/>
      <c r="K1755" s="47"/>
      <c r="L1755" s="48"/>
    </row>
    <row r="1756" spans="1:12" s="49" customFormat="1" ht="14.15" customHeight="1">
      <c r="A1756" s="45"/>
      <c r="B1756" s="11"/>
      <c r="C1756" s="11" t="s">
        <v>18</v>
      </c>
      <c r="D1756" s="45" t="s">
        <v>16</v>
      </c>
      <c r="E1756" s="47"/>
      <c r="F1756" s="39" t="s">
        <v>1455</v>
      </c>
      <c r="G1756" s="13" t="s">
        <v>8556</v>
      </c>
      <c r="H1756" s="99" t="str">
        <f t="shared" si="94"/>
        <v>W26A.9</v>
      </c>
      <c r="I1756" s="45"/>
      <c r="J1756" s="47"/>
      <c r="K1756" s="47"/>
      <c r="L1756" s="48"/>
    </row>
    <row r="1757" spans="1:12" s="49" customFormat="1" ht="14.15" customHeight="1">
      <c r="A1757" s="45"/>
      <c r="B1757" s="11"/>
      <c r="C1757" s="11" t="s">
        <v>18</v>
      </c>
      <c r="D1757" s="45" t="s">
        <v>16</v>
      </c>
      <c r="E1757" s="47"/>
      <c r="F1757" s="39" t="s">
        <v>1456</v>
      </c>
      <c r="G1757" s="13" t="s">
        <v>8557</v>
      </c>
      <c r="H1757" s="99" t="str">
        <f t="shared" si="94"/>
        <v>W26A.A</v>
      </c>
      <c r="I1757" s="45"/>
      <c r="J1757" s="47"/>
      <c r="K1757" s="47"/>
      <c r="L1757" s="48"/>
    </row>
    <row r="1758" spans="1:12" s="49" customFormat="1" ht="14.15" customHeight="1">
      <c r="A1758" s="45"/>
      <c r="B1758" s="11"/>
      <c r="C1758" s="11" t="s">
        <v>18</v>
      </c>
      <c r="D1758" s="45" t="s">
        <v>16</v>
      </c>
      <c r="E1758" s="47"/>
      <c r="F1758" s="39" t="s">
        <v>1457</v>
      </c>
      <c r="G1758" s="13" t="s">
        <v>8558</v>
      </c>
      <c r="H1758" s="99" t="str">
        <f t="shared" si="94"/>
        <v>W26A.B</v>
      </c>
      <c r="I1758" s="45"/>
      <c r="J1758" s="47"/>
      <c r="K1758" s="47"/>
      <c r="L1758" s="48"/>
    </row>
    <row r="1759" spans="1:12" s="49" customFormat="1" ht="14.15" customHeight="1">
      <c r="A1759" s="45"/>
      <c r="B1759" s="11"/>
      <c r="C1759" s="11" t="s">
        <v>18</v>
      </c>
      <c r="D1759" s="45" t="s">
        <v>16</v>
      </c>
      <c r="E1759" s="47"/>
      <c r="F1759" s="39" t="s">
        <v>1458</v>
      </c>
      <c r="G1759" s="13" t="s">
        <v>8559</v>
      </c>
      <c r="H1759" s="99" t="str">
        <f t="shared" si="94"/>
        <v>W26A.C</v>
      </c>
      <c r="I1759" s="45"/>
      <c r="J1759" s="47"/>
      <c r="K1759" s="47"/>
      <c r="L1759" s="48"/>
    </row>
    <row r="1760" spans="1:12" s="49" customFormat="1" ht="14.15" customHeight="1">
      <c r="A1760" s="45"/>
      <c r="B1760" s="11"/>
      <c r="C1760" s="11" t="s">
        <v>18</v>
      </c>
      <c r="D1760" s="45" t="s">
        <v>16</v>
      </c>
      <c r="E1760" s="47"/>
      <c r="F1760" s="39" t="s">
        <v>1459</v>
      </c>
      <c r="G1760" s="13" t="s">
        <v>8560</v>
      </c>
      <c r="H1760" s="99" t="str">
        <f t="shared" si="94"/>
        <v>W26A.D</v>
      </c>
      <c r="I1760" s="45"/>
      <c r="J1760" s="47"/>
      <c r="K1760" s="47"/>
      <c r="L1760" s="48"/>
    </row>
    <row r="1761" spans="1:12" s="49" customFormat="1" ht="14.15" customHeight="1">
      <c r="A1761" s="45"/>
      <c r="B1761" s="11"/>
      <c r="C1761" s="11" t="s">
        <v>18</v>
      </c>
      <c r="D1761" s="45" t="s">
        <v>16</v>
      </c>
      <c r="E1761" s="47"/>
      <c r="F1761" s="39" t="s">
        <v>1460</v>
      </c>
      <c r="G1761" s="13" t="s">
        <v>8561</v>
      </c>
      <c r="H1761" s="99" t="str">
        <f t="shared" si="94"/>
        <v>W26A.E</v>
      </c>
      <c r="I1761" s="45"/>
      <c r="J1761" s="47"/>
      <c r="K1761" s="47"/>
      <c r="L1761" s="48"/>
    </row>
    <row r="1762" spans="1:12" s="49" customFormat="1" ht="14.15" customHeight="1">
      <c r="A1762" s="45"/>
      <c r="B1762" s="11"/>
      <c r="C1762" s="11" t="s">
        <v>18</v>
      </c>
      <c r="D1762" s="45" t="s">
        <v>16</v>
      </c>
      <c r="E1762" s="47"/>
      <c r="F1762" s="39" t="s">
        <v>1461</v>
      </c>
      <c r="G1762" s="13" t="s">
        <v>8562</v>
      </c>
      <c r="H1762" s="99" t="str">
        <f t="shared" si="94"/>
        <v>W26A.F</v>
      </c>
      <c r="I1762" s="45"/>
      <c r="J1762" s="47"/>
      <c r="K1762" s="47"/>
      <c r="L1762" s="48"/>
    </row>
    <row r="1763" spans="1:12" s="49" customFormat="1" ht="14.15" customHeight="1">
      <c r="A1763" s="45"/>
      <c r="B1763" s="11"/>
      <c r="C1763" s="11" t="s">
        <v>18</v>
      </c>
      <c r="D1763" s="45" t="s">
        <v>16</v>
      </c>
      <c r="E1763" s="47"/>
      <c r="F1763" s="39" t="s">
        <v>1462</v>
      </c>
      <c r="G1763" s="13" t="s">
        <v>8563</v>
      </c>
      <c r="H1763" s="99" t="str">
        <f t="shared" si="94"/>
        <v>W26B.0</v>
      </c>
      <c r="I1763" s="45"/>
      <c r="J1763" s="47"/>
      <c r="K1763" s="47"/>
      <c r="L1763" s="48"/>
    </row>
    <row r="1764" spans="1:12" s="49" customFormat="1" ht="14.15" customHeight="1">
      <c r="A1764" s="45"/>
      <c r="B1764" s="11"/>
      <c r="C1764" s="11" t="s">
        <v>18</v>
      </c>
      <c r="D1764" s="45" t="s">
        <v>16</v>
      </c>
      <c r="E1764" s="47"/>
      <c r="F1764" s="39" t="s">
        <v>1463</v>
      </c>
      <c r="G1764" s="13" t="s">
        <v>8564</v>
      </c>
      <c r="H1764" s="99" t="str">
        <f t="shared" si="94"/>
        <v>W26B.1</v>
      </c>
      <c r="I1764" s="45"/>
      <c r="J1764" s="47"/>
      <c r="K1764" s="47"/>
      <c r="L1764" s="48"/>
    </row>
    <row r="1765" spans="1:12" s="49" customFormat="1" ht="14.15" customHeight="1">
      <c r="A1765" s="45"/>
      <c r="B1765" s="11"/>
      <c r="C1765" s="11" t="s">
        <v>18</v>
      </c>
      <c r="D1765" s="45" t="s">
        <v>16</v>
      </c>
      <c r="E1765" s="47"/>
      <c r="F1765" s="39" t="s">
        <v>1464</v>
      </c>
      <c r="G1765" s="13" t="s">
        <v>8565</v>
      </c>
      <c r="H1765" s="99" t="str">
        <f t="shared" si="94"/>
        <v>W26B.2</v>
      </c>
      <c r="I1765" s="45"/>
      <c r="J1765" s="47"/>
      <c r="K1765" s="47"/>
      <c r="L1765" s="48"/>
    </row>
    <row r="1766" spans="1:12" s="49" customFormat="1" ht="14.15" customHeight="1">
      <c r="A1766" s="45"/>
      <c r="B1766" s="11"/>
      <c r="C1766" s="11" t="s">
        <v>18</v>
      </c>
      <c r="D1766" s="45" t="s">
        <v>16</v>
      </c>
      <c r="E1766" s="47"/>
      <c r="F1766" s="39" t="s">
        <v>1465</v>
      </c>
      <c r="G1766" s="13" t="s">
        <v>8566</v>
      </c>
      <c r="H1766" s="99" t="str">
        <f t="shared" si="94"/>
        <v>W26B.3</v>
      </c>
      <c r="I1766" s="45"/>
      <c r="J1766" s="47"/>
      <c r="K1766" s="47"/>
      <c r="L1766" s="48"/>
    </row>
    <row r="1767" spans="1:12" s="49" customFormat="1" ht="14.15" customHeight="1">
      <c r="A1767" s="45"/>
      <c r="B1767" s="11"/>
      <c r="C1767" s="11" t="s">
        <v>18</v>
      </c>
      <c r="D1767" s="45" t="s">
        <v>16</v>
      </c>
      <c r="E1767" s="47"/>
      <c r="F1767" s="39" t="s">
        <v>1466</v>
      </c>
      <c r="G1767" s="13" t="s">
        <v>8567</v>
      </c>
      <c r="H1767" s="99" t="str">
        <f t="shared" si="94"/>
        <v>W26B.4</v>
      </c>
      <c r="I1767" s="45"/>
      <c r="J1767" s="47"/>
      <c r="K1767" s="47"/>
      <c r="L1767" s="48"/>
    </row>
    <row r="1768" spans="1:12" s="49" customFormat="1" ht="14.15" customHeight="1">
      <c r="A1768" s="45"/>
      <c r="B1768" s="11"/>
      <c r="C1768" s="11" t="s">
        <v>18</v>
      </c>
      <c r="D1768" s="45" t="s">
        <v>16</v>
      </c>
      <c r="E1768" s="47"/>
      <c r="F1768" s="39" t="s">
        <v>1467</v>
      </c>
      <c r="G1768" s="13" t="s">
        <v>8568</v>
      </c>
      <c r="H1768" s="99" t="str">
        <f t="shared" si="94"/>
        <v>W26B.5</v>
      </c>
      <c r="I1768" s="45"/>
      <c r="J1768" s="47"/>
      <c r="K1768" s="47"/>
      <c r="L1768" s="48"/>
    </row>
    <row r="1769" spans="1:12" s="49" customFormat="1" ht="14.15" customHeight="1">
      <c r="A1769" s="45"/>
      <c r="B1769" s="11"/>
      <c r="C1769" s="11" t="s">
        <v>18</v>
      </c>
      <c r="D1769" s="45" t="s">
        <v>16</v>
      </c>
      <c r="E1769" s="47"/>
      <c r="F1769" s="39" t="s">
        <v>1468</v>
      </c>
      <c r="G1769" s="13" t="s">
        <v>8569</v>
      </c>
      <c r="H1769" s="99" t="str">
        <f t="shared" si="94"/>
        <v>W26B.6</v>
      </c>
      <c r="I1769" s="45"/>
      <c r="J1769" s="47"/>
      <c r="K1769" s="47"/>
      <c r="L1769" s="48"/>
    </row>
    <row r="1770" spans="1:12" s="49" customFormat="1" ht="14.15" customHeight="1">
      <c r="A1770" s="45"/>
      <c r="B1770" s="11"/>
      <c r="C1770" s="11" t="s">
        <v>18</v>
      </c>
      <c r="D1770" s="45" t="s">
        <v>16</v>
      </c>
      <c r="E1770" s="47"/>
      <c r="F1770" s="39" t="s">
        <v>1469</v>
      </c>
      <c r="G1770" s="13" t="s">
        <v>8570</v>
      </c>
      <c r="H1770" s="99" t="str">
        <f t="shared" si="94"/>
        <v>W26B.7</v>
      </c>
      <c r="I1770" s="45"/>
      <c r="J1770" s="47"/>
      <c r="K1770" s="47"/>
      <c r="L1770" s="48"/>
    </row>
    <row r="1771" spans="1:12" s="49" customFormat="1" ht="14.15" customHeight="1">
      <c r="A1771" s="45"/>
      <c r="B1771" s="11"/>
      <c r="C1771" s="11" t="s">
        <v>18</v>
      </c>
      <c r="D1771" s="45" t="s">
        <v>16</v>
      </c>
      <c r="E1771" s="47"/>
      <c r="F1771" s="39" t="s">
        <v>1470</v>
      </c>
      <c r="G1771" s="13" t="s">
        <v>8571</v>
      </c>
      <c r="H1771" s="99" t="str">
        <f t="shared" si="94"/>
        <v>W26B.8</v>
      </c>
      <c r="I1771" s="45"/>
      <c r="J1771" s="47"/>
      <c r="K1771" s="47"/>
      <c r="L1771" s="48"/>
    </row>
    <row r="1772" spans="1:12" s="49" customFormat="1" ht="14.15" customHeight="1">
      <c r="A1772" s="45"/>
      <c r="B1772" s="11"/>
      <c r="C1772" s="11" t="s">
        <v>18</v>
      </c>
      <c r="D1772" s="45" t="s">
        <v>16</v>
      </c>
      <c r="E1772" s="47"/>
      <c r="F1772" s="39" t="s">
        <v>1471</v>
      </c>
      <c r="G1772" s="13" t="s">
        <v>8572</v>
      </c>
      <c r="H1772" s="99" t="str">
        <f t="shared" si="94"/>
        <v>W26B.9</v>
      </c>
      <c r="I1772" s="45"/>
      <c r="J1772" s="47"/>
      <c r="K1772" s="47"/>
      <c r="L1772" s="48"/>
    </row>
    <row r="1773" spans="1:12" s="49" customFormat="1" ht="14.15" customHeight="1">
      <c r="A1773" s="45"/>
      <c r="B1773" s="11"/>
      <c r="C1773" s="11" t="s">
        <v>18</v>
      </c>
      <c r="D1773" s="45" t="s">
        <v>16</v>
      </c>
      <c r="E1773" s="47"/>
      <c r="F1773" s="39" t="s">
        <v>1472</v>
      </c>
      <c r="G1773" s="13" t="s">
        <v>8573</v>
      </c>
      <c r="H1773" s="99" t="str">
        <f t="shared" si="94"/>
        <v>W26B.A</v>
      </c>
      <c r="I1773" s="45"/>
      <c r="J1773" s="47"/>
      <c r="K1773" s="47"/>
      <c r="L1773" s="48"/>
    </row>
    <row r="1774" spans="1:12" s="49" customFormat="1" ht="14.15" customHeight="1">
      <c r="A1774" s="45"/>
      <c r="B1774" s="11"/>
      <c r="C1774" s="11" t="s">
        <v>18</v>
      </c>
      <c r="D1774" s="45" t="s">
        <v>16</v>
      </c>
      <c r="E1774" s="47"/>
      <c r="F1774" s="39" t="s">
        <v>1473</v>
      </c>
      <c r="G1774" s="13" t="s">
        <v>8574</v>
      </c>
      <c r="H1774" s="99" t="str">
        <f t="shared" si="94"/>
        <v>W26B.B</v>
      </c>
      <c r="I1774" s="45"/>
      <c r="J1774" s="47"/>
      <c r="K1774" s="47"/>
      <c r="L1774" s="48"/>
    </row>
    <row r="1775" spans="1:12" s="49" customFormat="1" ht="14.15" customHeight="1">
      <c r="A1775" s="45"/>
      <c r="B1775" s="11"/>
      <c r="C1775" s="11" t="s">
        <v>18</v>
      </c>
      <c r="D1775" s="45" t="s">
        <v>16</v>
      </c>
      <c r="E1775" s="47"/>
      <c r="F1775" s="39" t="s">
        <v>1474</v>
      </c>
      <c r="G1775" s="13" t="s">
        <v>8575</v>
      </c>
      <c r="H1775" s="99" t="str">
        <f t="shared" si="94"/>
        <v>W26B.C</v>
      </c>
      <c r="I1775" s="45"/>
      <c r="J1775" s="47"/>
      <c r="K1775" s="47"/>
      <c r="L1775" s="48"/>
    </row>
    <row r="1776" spans="1:12" s="49" customFormat="1" ht="14.15" customHeight="1">
      <c r="A1776" s="45"/>
      <c r="B1776" s="11"/>
      <c r="C1776" s="11" t="s">
        <v>18</v>
      </c>
      <c r="D1776" s="45" t="s">
        <v>16</v>
      </c>
      <c r="E1776" s="47"/>
      <c r="F1776" s="39" t="s">
        <v>1475</v>
      </c>
      <c r="G1776" s="13" t="s">
        <v>8576</v>
      </c>
      <c r="H1776" s="99" t="str">
        <f t="shared" si="94"/>
        <v>W26B.D</v>
      </c>
      <c r="I1776" s="45"/>
      <c r="J1776" s="47"/>
      <c r="K1776" s="47"/>
      <c r="L1776" s="48"/>
    </row>
    <row r="1777" spans="1:12" s="49" customFormat="1" ht="14.15" customHeight="1">
      <c r="A1777" s="45"/>
      <c r="B1777" s="11"/>
      <c r="C1777" s="11" t="s">
        <v>18</v>
      </c>
      <c r="D1777" s="45" t="s">
        <v>16</v>
      </c>
      <c r="E1777" s="47"/>
      <c r="F1777" s="39" t="s">
        <v>1476</v>
      </c>
      <c r="G1777" s="13" t="s">
        <v>8577</v>
      </c>
      <c r="H1777" s="99" t="str">
        <f t="shared" si="94"/>
        <v>W26B.E</v>
      </c>
      <c r="I1777" s="45"/>
      <c r="J1777" s="47"/>
      <c r="K1777" s="47"/>
      <c r="L1777" s="48"/>
    </row>
    <row r="1778" spans="1:12" s="49" customFormat="1" ht="14.15" customHeight="1">
      <c r="A1778" s="45"/>
      <c r="B1778" s="11"/>
      <c r="C1778" s="11" t="s">
        <v>18</v>
      </c>
      <c r="D1778" s="45" t="s">
        <v>16</v>
      </c>
      <c r="E1778" s="47"/>
      <c r="F1778" s="39" t="s">
        <v>1477</v>
      </c>
      <c r="G1778" s="13" t="s">
        <v>8578</v>
      </c>
      <c r="H1778" s="99" t="str">
        <f t="shared" si="94"/>
        <v>W26B.F</v>
      </c>
      <c r="I1778" s="45"/>
      <c r="J1778" s="47"/>
      <c r="K1778" s="47"/>
      <c r="L1778" s="48"/>
    </row>
    <row r="1779" spans="1:12" s="49" customFormat="1" ht="14.15" customHeight="1">
      <c r="A1779" s="45"/>
      <c r="B1779" s="11"/>
      <c r="C1779" s="11" t="s">
        <v>18</v>
      </c>
      <c r="D1779" s="45" t="s">
        <v>16</v>
      </c>
      <c r="E1779" s="47"/>
      <c r="F1779" s="39" t="s">
        <v>1478</v>
      </c>
      <c r="G1779" s="13" t="s">
        <v>8579</v>
      </c>
      <c r="H1779" s="99" t="str">
        <f t="shared" si="94"/>
        <v>W26C.0</v>
      </c>
      <c r="I1779" s="45"/>
      <c r="J1779" s="47"/>
      <c r="K1779" s="47"/>
      <c r="L1779" s="48"/>
    </row>
    <row r="1780" spans="1:12" s="49" customFormat="1" ht="14.15" customHeight="1">
      <c r="A1780" s="45"/>
      <c r="B1780" s="11"/>
      <c r="C1780" s="11" t="s">
        <v>18</v>
      </c>
      <c r="D1780" s="45" t="s">
        <v>16</v>
      </c>
      <c r="E1780" s="47"/>
      <c r="F1780" s="39" t="s">
        <v>1479</v>
      </c>
      <c r="G1780" s="13" t="s">
        <v>8580</v>
      </c>
      <c r="H1780" s="99" t="str">
        <f t="shared" ref="H1780:H1843" si="95">"W"&amp;DEC2HEX(512 + INT((ROW()-51)/16)) &amp; "." &amp; IF(MOD(ROW()-51,16)&lt;10,MOD(ROW()-51,16),CHAR(MOD(ROW()-51,16)+55))</f>
        <v>W26C.1</v>
      </c>
      <c r="I1780" s="45"/>
      <c r="J1780" s="47"/>
      <c r="K1780" s="47"/>
      <c r="L1780" s="48"/>
    </row>
    <row r="1781" spans="1:12" s="49" customFormat="1" ht="14.15" customHeight="1">
      <c r="A1781" s="45"/>
      <c r="B1781" s="11"/>
      <c r="C1781" s="11" t="s">
        <v>18</v>
      </c>
      <c r="D1781" s="45" t="s">
        <v>16</v>
      </c>
      <c r="E1781" s="47"/>
      <c r="F1781" s="39" t="s">
        <v>1480</v>
      </c>
      <c r="G1781" s="13" t="s">
        <v>8581</v>
      </c>
      <c r="H1781" s="99" t="str">
        <f t="shared" si="95"/>
        <v>W26C.2</v>
      </c>
      <c r="I1781" s="45"/>
      <c r="J1781" s="47"/>
      <c r="K1781" s="47"/>
      <c r="L1781" s="48"/>
    </row>
    <row r="1782" spans="1:12" s="49" customFormat="1" ht="14.15" customHeight="1">
      <c r="A1782" s="45"/>
      <c r="B1782" s="11"/>
      <c r="C1782" s="11" t="s">
        <v>18</v>
      </c>
      <c r="D1782" s="45" t="s">
        <v>16</v>
      </c>
      <c r="E1782" s="47"/>
      <c r="F1782" s="39" t="s">
        <v>1481</v>
      </c>
      <c r="G1782" s="13" t="s">
        <v>8582</v>
      </c>
      <c r="H1782" s="99" t="str">
        <f t="shared" si="95"/>
        <v>W26C.3</v>
      </c>
      <c r="I1782" s="45"/>
      <c r="J1782" s="47"/>
      <c r="K1782" s="47"/>
      <c r="L1782" s="48"/>
    </row>
    <row r="1783" spans="1:12" s="49" customFormat="1" ht="14.15" customHeight="1">
      <c r="A1783" s="45"/>
      <c r="B1783" s="11"/>
      <c r="C1783" s="11" t="s">
        <v>18</v>
      </c>
      <c r="D1783" s="45" t="s">
        <v>16</v>
      </c>
      <c r="E1783" s="47"/>
      <c r="F1783" s="39" t="s">
        <v>1482</v>
      </c>
      <c r="G1783" s="13" t="s">
        <v>8583</v>
      </c>
      <c r="H1783" s="99" t="str">
        <f t="shared" si="95"/>
        <v>W26C.4</v>
      </c>
      <c r="I1783" s="45"/>
      <c r="J1783" s="47"/>
      <c r="K1783" s="47"/>
      <c r="L1783" s="48"/>
    </row>
    <row r="1784" spans="1:12" s="49" customFormat="1" ht="14.15" customHeight="1">
      <c r="A1784" s="45"/>
      <c r="B1784" s="11"/>
      <c r="C1784" s="11" t="s">
        <v>18</v>
      </c>
      <c r="D1784" s="45" t="s">
        <v>16</v>
      </c>
      <c r="E1784" s="47"/>
      <c r="F1784" s="39" t="s">
        <v>1483</v>
      </c>
      <c r="G1784" s="13" t="s">
        <v>8584</v>
      </c>
      <c r="H1784" s="99" t="str">
        <f t="shared" si="95"/>
        <v>W26C.5</v>
      </c>
      <c r="I1784" s="45"/>
      <c r="J1784" s="47"/>
      <c r="K1784" s="47"/>
      <c r="L1784" s="48"/>
    </row>
    <row r="1785" spans="1:12" s="49" customFormat="1" ht="14.15" customHeight="1">
      <c r="A1785" s="45"/>
      <c r="B1785" s="11"/>
      <c r="C1785" s="11" t="s">
        <v>18</v>
      </c>
      <c r="D1785" s="45" t="s">
        <v>16</v>
      </c>
      <c r="E1785" s="47"/>
      <c r="F1785" s="39" t="s">
        <v>1484</v>
      </c>
      <c r="G1785" s="13" t="s">
        <v>8585</v>
      </c>
      <c r="H1785" s="99" t="str">
        <f t="shared" si="95"/>
        <v>W26C.6</v>
      </c>
      <c r="I1785" s="45"/>
      <c r="J1785" s="47"/>
      <c r="K1785" s="47"/>
      <c r="L1785" s="48"/>
    </row>
    <row r="1786" spans="1:12" s="49" customFormat="1" ht="14.15" customHeight="1">
      <c r="A1786" s="45"/>
      <c r="B1786" s="11"/>
      <c r="C1786" s="11" t="s">
        <v>18</v>
      </c>
      <c r="D1786" s="45" t="s">
        <v>16</v>
      </c>
      <c r="E1786" s="47"/>
      <c r="F1786" s="39" t="s">
        <v>1485</v>
      </c>
      <c r="G1786" s="13" t="s">
        <v>8586</v>
      </c>
      <c r="H1786" s="99" t="str">
        <f t="shared" si="95"/>
        <v>W26C.7</v>
      </c>
      <c r="I1786" s="45"/>
      <c r="J1786" s="47"/>
      <c r="K1786" s="47"/>
      <c r="L1786" s="48"/>
    </row>
    <row r="1787" spans="1:12" s="49" customFormat="1" ht="14.15" customHeight="1">
      <c r="A1787" s="45"/>
      <c r="B1787" s="11"/>
      <c r="C1787" s="11" t="s">
        <v>18</v>
      </c>
      <c r="D1787" s="45" t="s">
        <v>16</v>
      </c>
      <c r="E1787" s="47"/>
      <c r="F1787" s="39" t="s">
        <v>1486</v>
      </c>
      <c r="G1787" s="13" t="s">
        <v>8587</v>
      </c>
      <c r="H1787" s="99" t="str">
        <f t="shared" si="95"/>
        <v>W26C.8</v>
      </c>
      <c r="I1787" s="45"/>
      <c r="J1787" s="47"/>
      <c r="K1787" s="47"/>
      <c r="L1787" s="48"/>
    </row>
    <row r="1788" spans="1:12" s="49" customFormat="1" ht="14.15" customHeight="1">
      <c r="A1788" s="45"/>
      <c r="B1788" s="11"/>
      <c r="C1788" s="11" t="s">
        <v>18</v>
      </c>
      <c r="D1788" s="45" t="s">
        <v>16</v>
      </c>
      <c r="E1788" s="47"/>
      <c r="F1788" s="39" t="s">
        <v>1487</v>
      </c>
      <c r="G1788" s="13" t="s">
        <v>8588</v>
      </c>
      <c r="H1788" s="99" t="str">
        <f t="shared" si="95"/>
        <v>W26C.9</v>
      </c>
      <c r="I1788" s="45"/>
      <c r="J1788" s="47"/>
      <c r="K1788" s="47"/>
      <c r="L1788" s="48"/>
    </row>
    <row r="1789" spans="1:12" s="49" customFormat="1" ht="14.15" customHeight="1">
      <c r="A1789" s="45"/>
      <c r="B1789" s="11"/>
      <c r="C1789" s="11" t="s">
        <v>18</v>
      </c>
      <c r="D1789" s="45" t="s">
        <v>16</v>
      </c>
      <c r="E1789" s="47"/>
      <c r="F1789" s="39" t="s">
        <v>1488</v>
      </c>
      <c r="G1789" s="13" t="s">
        <v>8589</v>
      </c>
      <c r="H1789" s="99" t="str">
        <f t="shared" si="95"/>
        <v>W26C.A</v>
      </c>
      <c r="I1789" s="45"/>
      <c r="J1789" s="47"/>
      <c r="K1789" s="47"/>
      <c r="L1789" s="48"/>
    </row>
    <row r="1790" spans="1:12" s="49" customFormat="1" ht="14.15" customHeight="1">
      <c r="A1790" s="45"/>
      <c r="B1790" s="11"/>
      <c r="C1790" s="11" t="s">
        <v>18</v>
      </c>
      <c r="D1790" s="45" t="s">
        <v>16</v>
      </c>
      <c r="E1790" s="47"/>
      <c r="F1790" s="39" t="s">
        <v>1489</v>
      </c>
      <c r="G1790" s="13" t="s">
        <v>8590</v>
      </c>
      <c r="H1790" s="99" t="str">
        <f t="shared" si="95"/>
        <v>W26C.B</v>
      </c>
      <c r="I1790" s="45"/>
      <c r="J1790" s="47"/>
      <c r="K1790" s="47"/>
      <c r="L1790" s="48"/>
    </row>
    <row r="1791" spans="1:12" s="49" customFormat="1" ht="14.15" customHeight="1">
      <c r="A1791" s="45"/>
      <c r="B1791" s="11"/>
      <c r="C1791" s="11" t="s">
        <v>18</v>
      </c>
      <c r="D1791" s="45" t="s">
        <v>16</v>
      </c>
      <c r="E1791" s="47"/>
      <c r="F1791" s="39" t="s">
        <v>1490</v>
      </c>
      <c r="G1791" s="13" t="s">
        <v>8591</v>
      </c>
      <c r="H1791" s="99" t="str">
        <f t="shared" si="95"/>
        <v>W26C.C</v>
      </c>
      <c r="I1791" s="45"/>
      <c r="J1791" s="47"/>
      <c r="K1791" s="47"/>
      <c r="L1791" s="48"/>
    </row>
    <row r="1792" spans="1:12" s="49" customFormat="1" ht="14.15" customHeight="1">
      <c r="A1792" s="45"/>
      <c r="B1792" s="11"/>
      <c r="C1792" s="11" t="s">
        <v>18</v>
      </c>
      <c r="D1792" s="45" t="s">
        <v>16</v>
      </c>
      <c r="E1792" s="47"/>
      <c r="F1792" s="39" t="s">
        <v>1491</v>
      </c>
      <c r="G1792" s="13" t="s">
        <v>8592</v>
      </c>
      <c r="H1792" s="99" t="str">
        <f t="shared" si="95"/>
        <v>W26C.D</v>
      </c>
      <c r="I1792" s="45"/>
      <c r="J1792" s="47"/>
      <c r="K1792" s="47"/>
      <c r="L1792" s="48"/>
    </row>
    <row r="1793" spans="1:12" s="49" customFormat="1" ht="14.15" customHeight="1">
      <c r="A1793" s="45"/>
      <c r="B1793" s="11"/>
      <c r="C1793" s="11" t="s">
        <v>18</v>
      </c>
      <c r="D1793" s="45" t="s">
        <v>16</v>
      </c>
      <c r="E1793" s="47"/>
      <c r="F1793" s="39" t="s">
        <v>1492</v>
      </c>
      <c r="G1793" s="13" t="s">
        <v>8593</v>
      </c>
      <c r="H1793" s="99" t="str">
        <f t="shared" si="95"/>
        <v>W26C.E</v>
      </c>
      <c r="I1793" s="45"/>
      <c r="J1793" s="47"/>
      <c r="K1793" s="47"/>
      <c r="L1793" s="48"/>
    </row>
    <row r="1794" spans="1:12" s="49" customFormat="1" ht="14.15" customHeight="1">
      <c r="A1794" s="45"/>
      <c r="B1794" s="11"/>
      <c r="C1794" s="11" t="s">
        <v>18</v>
      </c>
      <c r="D1794" s="45" t="s">
        <v>16</v>
      </c>
      <c r="E1794" s="47"/>
      <c r="F1794" s="39" t="s">
        <v>1493</v>
      </c>
      <c r="G1794" s="13" t="s">
        <v>8594</v>
      </c>
      <c r="H1794" s="99" t="str">
        <f t="shared" si="95"/>
        <v>W26C.F</v>
      </c>
      <c r="I1794" s="45"/>
      <c r="J1794" s="47"/>
      <c r="K1794" s="47"/>
      <c r="L1794" s="48"/>
    </row>
    <row r="1795" spans="1:12" s="49" customFormat="1" ht="14.15" customHeight="1">
      <c r="A1795" s="45"/>
      <c r="B1795" s="11"/>
      <c r="C1795" s="11" t="s">
        <v>18</v>
      </c>
      <c r="D1795" s="45" t="s">
        <v>16</v>
      </c>
      <c r="E1795" s="47"/>
      <c r="F1795" s="39" t="s">
        <v>1494</v>
      </c>
      <c r="G1795" s="13" t="s">
        <v>8595</v>
      </c>
      <c r="H1795" s="99" t="str">
        <f t="shared" si="95"/>
        <v>W26D.0</v>
      </c>
      <c r="I1795" s="45"/>
      <c r="J1795" s="47"/>
      <c r="K1795" s="47"/>
      <c r="L1795" s="48"/>
    </row>
    <row r="1796" spans="1:12" s="49" customFormat="1" ht="14.15" customHeight="1">
      <c r="A1796" s="45"/>
      <c r="B1796" s="11"/>
      <c r="C1796" s="11" t="s">
        <v>18</v>
      </c>
      <c r="D1796" s="45" t="s">
        <v>16</v>
      </c>
      <c r="E1796" s="47"/>
      <c r="F1796" s="39" t="s">
        <v>1495</v>
      </c>
      <c r="G1796" s="13" t="s">
        <v>8596</v>
      </c>
      <c r="H1796" s="99" t="str">
        <f t="shared" si="95"/>
        <v>W26D.1</v>
      </c>
      <c r="I1796" s="45"/>
      <c r="J1796" s="47"/>
      <c r="K1796" s="47"/>
      <c r="L1796" s="48"/>
    </row>
    <row r="1797" spans="1:12" s="49" customFormat="1" ht="14.15" customHeight="1">
      <c r="A1797" s="45"/>
      <c r="B1797" s="11"/>
      <c r="C1797" s="11" t="s">
        <v>18</v>
      </c>
      <c r="D1797" s="45" t="s">
        <v>16</v>
      </c>
      <c r="E1797" s="47"/>
      <c r="F1797" s="39" t="s">
        <v>1496</v>
      </c>
      <c r="G1797" s="13" t="s">
        <v>8597</v>
      </c>
      <c r="H1797" s="99" t="str">
        <f t="shared" si="95"/>
        <v>W26D.2</v>
      </c>
      <c r="I1797" s="45"/>
      <c r="J1797" s="47"/>
      <c r="K1797" s="47"/>
      <c r="L1797" s="48"/>
    </row>
    <row r="1798" spans="1:12" s="49" customFormat="1" ht="14.15" customHeight="1">
      <c r="A1798" s="45"/>
      <c r="B1798" s="11"/>
      <c r="C1798" s="11" t="s">
        <v>18</v>
      </c>
      <c r="D1798" s="45" t="s">
        <v>16</v>
      </c>
      <c r="E1798" s="47"/>
      <c r="F1798" s="39" t="s">
        <v>1497</v>
      </c>
      <c r="G1798" s="13" t="s">
        <v>8598</v>
      </c>
      <c r="H1798" s="99" t="str">
        <f t="shared" si="95"/>
        <v>W26D.3</v>
      </c>
      <c r="I1798" s="45"/>
      <c r="J1798" s="47"/>
      <c r="K1798" s="47"/>
      <c r="L1798" s="48"/>
    </row>
    <row r="1799" spans="1:12" s="49" customFormat="1" ht="14.15" customHeight="1">
      <c r="A1799" s="45"/>
      <c r="B1799" s="11"/>
      <c r="C1799" s="11" t="s">
        <v>18</v>
      </c>
      <c r="D1799" s="45" t="s">
        <v>16</v>
      </c>
      <c r="E1799" s="47"/>
      <c r="F1799" s="39" t="s">
        <v>1498</v>
      </c>
      <c r="G1799" s="13" t="s">
        <v>8599</v>
      </c>
      <c r="H1799" s="99" t="str">
        <f t="shared" si="95"/>
        <v>W26D.4</v>
      </c>
      <c r="I1799" s="45"/>
      <c r="J1799" s="47"/>
      <c r="K1799" s="47"/>
      <c r="L1799" s="48"/>
    </row>
    <row r="1800" spans="1:12" s="49" customFormat="1" ht="14.15" customHeight="1">
      <c r="A1800" s="45"/>
      <c r="B1800" s="11"/>
      <c r="C1800" s="11" t="s">
        <v>18</v>
      </c>
      <c r="D1800" s="45" t="s">
        <v>16</v>
      </c>
      <c r="E1800" s="47"/>
      <c r="F1800" s="39" t="s">
        <v>1499</v>
      </c>
      <c r="G1800" s="13" t="s">
        <v>8600</v>
      </c>
      <c r="H1800" s="99" t="str">
        <f t="shared" si="95"/>
        <v>W26D.5</v>
      </c>
      <c r="I1800" s="45"/>
      <c r="J1800" s="47"/>
      <c r="K1800" s="47"/>
      <c r="L1800" s="48"/>
    </row>
    <row r="1801" spans="1:12" s="49" customFormat="1" ht="14.15" customHeight="1">
      <c r="A1801" s="45"/>
      <c r="B1801" s="11"/>
      <c r="C1801" s="11" t="s">
        <v>18</v>
      </c>
      <c r="D1801" s="45" t="s">
        <v>16</v>
      </c>
      <c r="E1801" s="47"/>
      <c r="F1801" s="39" t="s">
        <v>1500</v>
      </c>
      <c r="G1801" s="13" t="s">
        <v>8601</v>
      </c>
      <c r="H1801" s="99" t="str">
        <f t="shared" si="95"/>
        <v>W26D.6</v>
      </c>
      <c r="I1801" s="45"/>
      <c r="J1801" s="47"/>
      <c r="K1801" s="47"/>
      <c r="L1801" s="48"/>
    </row>
    <row r="1802" spans="1:12" s="49" customFormat="1" ht="14.15" customHeight="1">
      <c r="A1802" s="45"/>
      <c r="B1802" s="11"/>
      <c r="C1802" s="11" t="s">
        <v>18</v>
      </c>
      <c r="D1802" s="45" t="s">
        <v>16</v>
      </c>
      <c r="E1802" s="47"/>
      <c r="F1802" s="39" t="s">
        <v>1501</v>
      </c>
      <c r="G1802" s="13" t="s">
        <v>8602</v>
      </c>
      <c r="H1802" s="99" t="str">
        <f t="shared" si="95"/>
        <v>W26D.7</v>
      </c>
      <c r="I1802" s="45"/>
      <c r="J1802" s="47"/>
      <c r="K1802" s="47"/>
      <c r="L1802" s="48"/>
    </row>
    <row r="1803" spans="1:12" s="49" customFormat="1" ht="14.15" customHeight="1">
      <c r="A1803" s="45"/>
      <c r="B1803" s="11"/>
      <c r="C1803" s="11" t="s">
        <v>18</v>
      </c>
      <c r="D1803" s="45" t="s">
        <v>16</v>
      </c>
      <c r="E1803" s="47"/>
      <c r="F1803" s="39" t="s">
        <v>1502</v>
      </c>
      <c r="G1803" s="13" t="s">
        <v>8603</v>
      </c>
      <c r="H1803" s="99" t="str">
        <f t="shared" si="95"/>
        <v>W26D.8</v>
      </c>
      <c r="I1803" s="45"/>
      <c r="J1803" s="47"/>
      <c r="K1803" s="47"/>
      <c r="L1803" s="48"/>
    </row>
    <row r="1804" spans="1:12" s="49" customFormat="1" ht="14.15" customHeight="1">
      <c r="A1804" s="45"/>
      <c r="B1804" s="11"/>
      <c r="C1804" s="11" t="s">
        <v>18</v>
      </c>
      <c r="D1804" s="45" t="s">
        <v>16</v>
      </c>
      <c r="E1804" s="47"/>
      <c r="F1804" s="39" t="s">
        <v>1503</v>
      </c>
      <c r="G1804" s="13" t="s">
        <v>8604</v>
      </c>
      <c r="H1804" s="99" t="str">
        <f t="shared" si="95"/>
        <v>W26D.9</v>
      </c>
      <c r="I1804" s="45"/>
      <c r="J1804" s="47"/>
      <c r="K1804" s="47"/>
      <c r="L1804" s="48"/>
    </row>
    <row r="1805" spans="1:12" s="49" customFormat="1" ht="14.15" customHeight="1">
      <c r="A1805" s="45"/>
      <c r="B1805" s="11"/>
      <c r="C1805" s="11" t="s">
        <v>18</v>
      </c>
      <c r="D1805" s="45" t="s">
        <v>16</v>
      </c>
      <c r="E1805" s="47"/>
      <c r="F1805" s="39" t="s">
        <v>1504</v>
      </c>
      <c r="G1805" s="13" t="s">
        <v>8605</v>
      </c>
      <c r="H1805" s="99" t="str">
        <f t="shared" si="95"/>
        <v>W26D.A</v>
      </c>
      <c r="I1805" s="45"/>
      <c r="J1805" s="47"/>
      <c r="K1805" s="47"/>
      <c r="L1805" s="48"/>
    </row>
    <row r="1806" spans="1:12" s="49" customFormat="1" ht="14.15" customHeight="1">
      <c r="A1806" s="45"/>
      <c r="B1806" s="11"/>
      <c r="C1806" s="11" t="s">
        <v>18</v>
      </c>
      <c r="D1806" s="45" t="s">
        <v>16</v>
      </c>
      <c r="E1806" s="47"/>
      <c r="F1806" s="39" t="s">
        <v>1505</v>
      </c>
      <c r="G1806" s="13" t="s">
        <v>8606</v>
      </c>
      <c r="H1806" s="99" t="str">
        <f t="shared" si="95"/>
        <v>W26D.B</v>
      </c>
      <c r="I1806" s="45"/>
      <c r="J1806" s="47"/>
      <c r="K1806" s="47"/>
      <c r="L1806" s="48"/>
    </row>
    <row r="1807" spans="1:12" s="49" customFormat="1" ht="14.15" customHeight="1">
      <c r="A1807" s="45"/>
      <c r="B1807" s="11"/>
      <c r="C1807" s="11" t="s">
        <v>18</v>
      </c>
      <c r="D1807" s="45" t="s">
        <v>16</v>
      </c>
      <c r="E1807" s="47"/>
      <c r="F1807" s="39" t="s">
        <v>1506</v>
      </c>
      <c r="G1807" s="13" t="s">
        <v>8607</v>
      </c>
      <c r="H1807" s="99" t="str">
        <f t="shared" si="95"/>
        <v>W26D.C</v>
      </c>
      <c r="I1807" s="45"/>
      <c r="J1807" s="47"/>
      <c r="K1807" s="47"/>
      <c r="L1807" s="48"/>
    </row>
    <row r="1808" spans="1:12" s="49" customFormat="1" ht="14.15" customHeight="1">
      <c r="A1808" s="45"/>
      <c r="B1808" s="11"/>
      <c r="C1808" s="11" t="s">
        <v>18</v>
      </c>
      <c r="D1808" s="45" t="s">
        <v>16</v>
      </c>
      <c r="E1808" s="47"/>
      <c r="F1808" s="39" t="s">
        <v>1507</v>
      </c>
      <c r="G1808" s="13" t="s">
        <v>8608</v>
      </c>
      <c r="H1808" s="99" t="str">
        <f t="shared" si="95"/>
        <v>W26D.D</v>
      </c>
      <c r="I1808" s="45"/>
      <c r="J1808" s="47"/>
      <c r="K1808" s="47"/>
      <c r="L1808" s="48"/>
    </row>
    <row r="1809" spans="1:12" s="49" customFormat="1" ht="14.15" customHeight="1">
      <c r="A1809" s="45"/>
      <c r="B1809" s="11"/>
      <c r="C1809" s="11" t="s">
        <v>18</v>
      </c>
      <c r="D1809" s="45" t="s">
        <v>16</v>
      </c>
      <c r="E1809" s="47"/>
      <c r="F1809" s="39" t="s">
        <v>1508</v>
      </c>
      <c r="G1809" s="13" t="s">
        <v>8609</v>
      </c>
      <c r="H1809" s="99" t="str">
        <f t="shared" si="95"/>
        <v>W26D.E</v>
      </c>
      <c r="I1809" s="45"/>
      <c r="J1809" s="47"/>
      <c r="K1809" s="47"/>
      <c r="L1809" s="48"/>
    </row>
    <row r="1810" spans="1:12" s="49" customFormat="1" ht="14.15" customHeight="1">
      <c r="A1810" s="45"/>
      <c r="B1810" s="11"/>
      <c r="C1810" s="11" t="s">
        <v>18</v>
      </c>
      <c r="D1810" s="45" t="s">
        <v>16</v>
      </c>
      <c r="E1810" s="47"/>
      <c r="F1810" s="39" t="s">
        <v>1509</v>
      </c>
      <c r="G1810" s="13" t="s">
        <v>8610</v>
      </c>
      <c r="H1810" s="99" t="str">
        <f t="shared" si="95"/>
        <v>W26D.F</v>
      </c>
      <c r="I1810" s="45"/>
      <c r="J1810" s="47"/>
      <c r="K1810" s="47"/>
      <c r="L1810" s="48"/>
    </row>
    <row r="1811" spans="1:12" s="49" customFormat="1" ht="14.15" customHeight="1">
      <c r="A1811" s="45"/>
      <c r="B1811" s="11"/>
      <c r="C1811" s="11" t="s">
        <v>18</v>
      </c>
      <c r="D1811" s="45" t="s">
        <v>16</v>
      </c>
      <c r="E1811" s="47"/>
      <c r="F1811" s="39" t="s">
        <v>1510</v>
      </c>
      <c r="G1811" s="13" t="s">
        <v>8611</v>
      </c>
      <c r="H1811" s="99" t="str">
        <f t="shared" si="95"/>
        <v>W26E.0</v>
      </c>
      <c r="I1811" s="45"/>
      <c r="J1811" s="47"/>
      <c r="K1811" s="47"/>
      <c r="L1811" s="48"/>
    </row>
    <row r="1812" spans="1:12" s="49" customFormat="1" ht="14.15" customHeight="1">
      <c r="A1812" s="45"/>
      <c r="B1812" s="11"/>
      <c r="C1812" s="11" t="s">
        <v>18</v>
      </c>
      <c r="D1812" s="45" t="s">
        <v>16</v>
      </c>
      <c r="E1812" s="47"/>
      <c r="F1812" s="39" t="s">
        <v>1511</v>
      </c>
      <c r="G1812" s="13" t="s">
        <v>8612</v>
      </c>
      <c r="H1812" s="99" t="str">
        <f t="shared" si="95"/>
        <v>W26E.1</v>
      </c>
      <c r="I1812" s="45"/>
      <c r="J1812" s="47"/>
      <c r="K1812" s="47"/>
      <c r="L1812" s="48"/>
    </row>
    <row r="1813" spans="1:12" s="49" customFormat="1" ht="14.15" customHeight="1">
      <c r="A1813" s="45"/>
      <c r="B1813" s="11"/>
      <c r="C1813" s="11" t="s">
        <v>18</v>
      </c>
      <c r="D1813" s="45" t="s">
        <v>16</v>
      </c>
      <c r="E1813" s="47"/>
      <c r="F1813" s="39" t="s">
        <v>1512</v>
      </c>
      <c r="G1813" s="13" t="s">
        <v>8613</v>
      </c>
      <c r="H1813" s="99" t="str">
        <f t="shared" si="95"/>
        <v>W26E.2</v>
      </c>
      <c r="I1813" s="45"/>
      <c r="J1813" s="47"/>
      <c r="K1813" s="47"/>
      <c r="L1813" s="48"/>
    </row>
    <row r="1814" spans="1:12" s="49" customFormat="1" ht="14.15" customHeight="1">
      <c r="A1814" s="45"/>
      <c r="B1814" s="11"/>
      <c r="C1814" s="11" t="s">
        <v>18</v>
      </c>
      <c r="D1814" s="45" t="s">
        <v>16</v>
      </c>
      <c r="E1814" s="47"/>
      <c r="F1814" s="39" t="s">
        <v>1513</v>
      </c>
      <c r="G1814" s="13" t="s">
        <v>8614</v>
      </c>
      <c r="H1814" s="99" t="str">
        <f t="shared" si="95"/>
        <v>W26E.3</v>
      </c>
      <c r="I1814" s="45"/>
      <c r="J1814" s="47"/>
      <c r="K1814" s="47"/>
      <c r="L1814" s="48"/>
    </row>
    <row r="1815" spans="1:12" s="49" customFormat="1" ht="14.15" customHeight="1">
      <c r="A1815" s="45"/>
      <c r="B1815" s="11"/>
      <c r="C1815" s="11" t="s">
        <v>18</v>
      </c>
      <c r="D1815" s="45" t="s">
        <v>16</v>
      </c>
      <c r="E1815" s="47"/>
      <c r="F1815" s="39" t="s">
        <v>1514</v>
      </c>
      <c r="G1815" s="13" t="s">
        <v>8615</v>
      </c>
      <c r="H1815" s="99" t="str">
        <f t="shared" si="95"/>
        <v>W26E.4</v>
      </c>
      <c r="I1815" s="45"/>
      <c r="J1815" s="47"/>
      <c r="K1815" s="47"/>
      <c r="L1815" s="48"/>
    </row>
    <row r="1816" spans="1:12" s="49" customFormat="1" ht="14.15" customHeight="1">
      <c r="A1816" s="45"/>
      <c r="B1816" s="11"/>
      <c r="C1816" s="11" t="s">
        <v>18</v>
      </c>
      <c r="D1816" s="45" t="s">
        <v>16</v>
      </c>
      <c r="E1816" s="47"/>
      <c r="F1816" s="39" t="s">
        <v>1515</v>
      </c>
      <c r="G1816" s="13" t="s">
        <v>8616</v>
      </c>
      <c r="H1816" s="99" t="str">
        <f t="shared" si="95"/>
        <v>W26E.5</v>
      </c>
      <c r="I1816" s="45"/>
      <c r="J1816" s="47"/>
      <c r="K1816" s="47"/>
      <c r="L1816" s="48"/>
    </row>
    <row r="1817" spans="1:12" s="49" customFormat="1" ht="14.15" customHeight="1">
      <c r="A1817" s="45"/>
      <c r="B1817" s="11"/>
      <c r="C1817" s="11" t="s">
        <v>18</v>
      </c>
      <c r="D1817" s="45" t="s">
        <v>16</v>
      </c>
      <c r="E1817" s="47"/>
      <c r="F1817" s="39" t="s">
        <v>1516</v>
      </c>
      <c r="G1817" s="13" t="s">
        <v>8617</v>
      </c>
      <c r="H1817" s="99" t="str">
        <f t="shared" si="95"/>
        <v>W26E.6</v>
      </c>
      <c r="I1817" s="45"/>
      <c r="J1817" s="47"/>
      <c r="K1817" s="47"/>
      <c r="L1817" s="48"/>
    </row>
    <row r="1818" spans="1:12" s="49" customFormat="1" ht="14.15" customHeight="1">
      <c r="A1818" s="45"/>
      <c r="B1818" s="11"/>
      <c r="C1818" s="11" t="s">
        <v>18</v>
      </c>
      <c r="D1818" s="45" t="s">
        <v>16</v>
      </c>
      <c r="E1818" s="47"/>
      <c r="F1818" s="39" t="s">
        <v>1517</v>
      </c>
      <c r="G1818" s="13" t="s">
        <v>8618</v>
      </c>
      <c r="H1818" s="99" t="str">
        <f t="shared" si="95"/>
        <v>W26E.7</v>
      </c>
      <c r="I1818" s="45"/>
      <c r="J1818" s="47"/>
      <c r="K1818" s="47"/>
      <c r="L1818" s="48"/>
    </row>
    <row r="1819" spans="1:12" s="49" customFormat="1" ht="14.15" customHeight="1">
      <c r="A1819" s="45"/>
      <c r="B1819" s="11"/>
      <c r="C1819" s="11" t="s">
        <v>18</v>
      </c>
      <c r="D1819" s="45" t="s">
        <v>16</v>
      </c>
      <c r="E1819" s="47"/>
      <c r="F1819" s="39" t="s">
        <v>1518</v>
      </c>
      <c r="G1819" s="13" t="s">
        <v>8619</v>
      </c>
      <c r="H1819" s="99" t="str">
        <f t="shared" si="95"/>
        <v>W26E.8</v>
      </c>
      <c r="I1819" s="45"/>
      <c r="J1819" s="47"/>
      <c r="K1819" s="47"/>
      <c r="L1819" s="48"/>
    </row>
    <row r="1820" spans="1:12" s="49" customFormat="1" ht="14.15" customHeight="1">
      <c r="A1820" s="45"/>
      <c r="B1820" s="11"/>
      <c r="C1820" s="11" t="s">
        <v>18</v>
      </c>
      <c r="D1820" s="45" t="s">
        <v>16</v>
      </c>
      <c r="E1820" s="47"/>
      <c r="F1820" s="39" t="s">
        <v>1519</v>
      </c>
      <c r="G1820" s="13" t="s">
        <v>8620</v>
      </c>
      <c r="H1820" s="99" t="str">
        <f t="shared" si="95"/>
        <v>W26E.9</v>
      </c>
      <c r="I1820" s="45"/>
      <c r="J1820" s="47"/>
      <c r="K1820" s="47"/>
      <c r="L1820" s="48"/>
    </row>
    <row r="1821" spans="1:12" s="49" customFormat="1" ht="14.15" customHeight="1">
      <c r="A1821" s="45"/>
      <c r="B1821" s="11"/>
      <c r="C1821" s="11" t="s">
        <v>18</v>
      </c>
      <c r="D1821" s="45" t="s">
        <v>16</v>
      </c>
      <c r="E1821" s="47"/>
      <c r="F1821" s="39" t="s">
        <v>1520</v>
      </c>
      <c r="G1821" s="13" t="s">
        <v>8621</v>
      </c>
      <c r="H1821" s="99" t="str">
        <f t="shared" si="95"/>
        <v>W26E.A</v>
      </c>
      <c r="I1821" s="45"/>
      <c r="J1821" s="47"/>
      <c r="K1821" s="47"/>
      <c r="L1821" s="48"/>
    </row>
    <row r="1822" spans="1:12" s="49" customFormat="1" ht="14.15" customHeight="1">
      <c r="A1822" s="45"/>
      <c r="B1822" s="11"/>
      <c r="C1822" s="11" t="s">
        <v>18</v>
      </c>
      <c r="D1822" s="45" t="s">
        <v>16</v>
      </c>
      <c r="E1822" s="47"/>
      <c r="F1822" s="39" t="s">
        <v>1521</v>
      </c>
      <c r="G1822" s="13" t="s">
        <v>8622</v>
      </c>
      <c r="H1822" s="99" t="str">
        <f t="shared" si="95"/>
        <v>W26E.B</v>
      </c>
      <c r="I1822" s="45"/>
      <c r="J1822" s="47"/>
      <c r="K1822" s="47"/>
      <c r="L1822" s="48"/>
    </row>
    <row r="1823" spans="1:12" s="49" customFormat="1" ht="14.15" customHeight="1">
      <c r="A1823" s="45"/>
      <c r="B1823" s="11"/>
      <c r="C1823" s="11" t="s">
        <v>18</v>
      </c>
      <c r="D1823" s="45" t="s">
        <v>16</v>
      </c>
      <c r="E1823" s="47"/>
      <c r="F1823" s="39" t="s">
        <v>1522</v>
      </c>
      <c r="G1823" s="13" t="s">
        <v>8623</v>
      </c>
      <c r="H1823" s="99" t="str">
        <f t="shared" si="95"/>
        <v>W26E.C</v>
      </c>
      <c r="I1823" s="45"/>
      <c r="J1823" s="47"/>
      <c r="K1823" s="47"/>
      <c r="L1823" s="48"/>
    </row>
    <row r="1824" spans="1:12" s="49" customFormat="1" ht="14.15" customHeight="1">
      <c r="A1824" s="45"/>
      <c r="B1824" s="11"/>
      <c r="C1824" s="11" t="s">
        <v>18</v>
      </c>
      <c r="D1824" s="45" t="s">
        <v>16</v>
      </c>
      <c r="E1824" s="47"/>
      <c r="F1824" s="39" t="s">
        <v>1523</v>
      </c>
      <c r="G1824" s="13" t="s">
        <v>8624</v>
      </c>
      <c r="H1824" s="99" t="str">
        <f t="shared" si="95"/>
        <v>W26E.D</v>
      </c>
      <c r="I1824" s="45"/>
      <c r="J1824" s="47"/>
      <c r="K1824" s="47"/>
      <c r="L1824" s="48"/>
    </row>
    <row r="1825" spans="1:12" s="49" customFormat="1" ht="14.15" customHeight="1">
      <c r="A1825" s="45"/>
      <c r="B1825" s="11"/>
      <c r="C1825" s="11" t="s">
        <v>18</v>
      </c>
      <c r="D1825" s="45" t="s">
        <v>16</v>
      </c>
      <c r="E1825" s="47"/>
      <c r="F1825" s="39" t="s">
        <v>1524</v>
      </c>
      <c r="G1825" s="13" t="s">
        <v>8625</v>
      </c>
      <c r="H1825" s="99" t="str">
        <f t="shared" si="95"/>
        <v>W26E.E</v>
      </c>
      <c r="I1825" s="45"/>
      <c r="J1825" s="47"/>
      <c r="K1825" s="47"/>
      <c r="L1825" s="48"/>
    </row>
    <row r="1826" spans="1:12" s="49" customFormat="1" ht="14.15" customHeight="1">
      <c r="A1826" s="45"/>
      <c r="B1826" s="11"/>
      <c r="C1826" s="11" t="s">
        <v>18</v>
      </c>
      <c r="D1826" s="45" t="s">
        <v>16</v>
      </c>
      <c r="E1826" s="47"/>
      <c r="F1826" s="39" t="s">
        <v>1525</v>
      </c>
      <c r="G1826" s="13" t="s">
        <v>8626</v>
      </c>
      <c r="H1826" s="99" t="str">
        <f t="shared" si="95"/>
        <v>W26E.F</v>
      </c>
      <c r="I1826" s="45"/>
      <c r="J1826" s="47"/>
      <c r="K1826" s="47"/>
      <c r="L1826" s="48"/>
    </row>
    <row r="1827" spans="1:12" s="49" customFormat="1" ht="14.15" customHeight="1">
      <c r="A1827" s="45"/>
      <c r="B1827" s="11"/>
      <c r="C1827" s="11" t="s">
        <v>18</v>
      </c>
      <c r="D1827" s="45" t="s">
        <v>16</v>
      </c>
      <c r="E1827" s="47"/>
      <c r="F1827" s="39" t="s">
        <v>1526</v>
      </c>
      <c r="G1827" s="13" t="s">
        <v>8627</v>
      </c>
      <c r="H1827" s="99" t="str">
        <f t="shared" si="95"/>
        <v>W26F.0</v>
      </c>
      <c r="I1827" s="45"/>
      <c r="J1827" s="47"/>
      <c r="K1827" s="47"/>
      <c r="L1827" s="48"/>
    </row>
    <row r="1828" spans="1:12" s="49" customFormat="1" ht="14.15" customHeight="1">
      <c r="A1828" s="45"/>
      <c r="B1828" s="11"/>
      <c r="C1828" s="11" t="s">
        <v>18</v>
      </c>
      <c r="D1828" s="45" t="s">
        <v>16</v>
      </c>
      <c r="E1828" s="47"/>
      <c r="F1828" s="39" t="s">
        <v>1527</v>
      </c>
      <c r="G1828" s="13" t="s">
        <v>8628</v>
      </c>
      <c r="H1828" s="99" t="str">
        <f t="shared" si="95"/>
        <v>W26F.1</v>
      </c>
      <c r="I1828" s="45"/>
      <c r="J1828" s="47"/>
      <c r="K1828" s="47"/>
      <c r="L1828" s="48"/>
    </row>
    <row r="1829" spans="1:12" s="49" customFormat="1" ht="14.15" customHeight="1">
      <c r="A1829" s="45"/>
      <c r="B1829" s="11"/>
      <c r="C1829" s="11" t="s">
        <v>18</v>
      </c>
      <c r="D1829" s="45" t="s">
        <v>16</v>
      </c>
      <c r="E1829" s="47"/>
      <c r="F1829" s="39" t="s">
        <v>1528</v>
      </c>
      <c r="G1829" s="13" t="s">
        <v>8629</v>
      </c>
      <c r="H1829" s="99" t="str">
        <f t="shared" si="95"/>
        <v>W26F.2</v>
      </c>
      <c r="I1829" s="45"/>
      <c r="J1829" s="47"/>
      <c r="K1829" s="47"/>
      <c r="L1829" s="48"/>
    </row>
    <row r="1830" spans="1:12" s="49" customFormat="1" ht="14.15" customHeight="1">
      <c r="A1830" s="45"/>
      <c r="B1830" s="11"/>
      <c r="C1830" s="11" t="s">
        <v>18</v>
      </c>
      <c r="D1830" s="45" t="s">
        <v>16</v>
      </c>
      <c r="E1830" s="47"/>
      <c r="F1830" s="39" t="s">
        <v>1529</v>
      </c>
      <c r="G1830" s="13" t="s">
        <v>8630</v>
      </c>
      <c r="H1830" s="99" t="str">
        <f t="shared" si="95"/>
        <v>W26F.3</v>
      </c>
      <c r="I1830" s="45"/>
      <c r="J1830" s="47"/>
      <c r="K1830" s="47"/>
      <c r="L1830" s="48"/>
    </row>
    <row r="1831" spans="1:12" s="49" customFormat="1" ht="14.15" customHeight="1">
      <c r="A1831" s="45"/>
      <c r="B1831" s="11"/>
      <c r="C1831" s="11" t="s">
        <v>18</v>
      </c>
      <c r="D1831" s="45" t="s">
        <v>16</v>
      </c>
      <c r="E1831" s="47"/>
      <c r="F1831" s="39" t="s">
        <v>1530</v>
      </c>
      <c r="G1831" s="13" t="s">
        <v>8631</v>
      </c>
      <c r="H1831" s="99" t="str">
        <f t="shared" si="95"/>
        <v>W26F.4</v>
      </c>
      <c r="I1831" s="45"/>
      <c r="J1831" s="47"/>
      <c r="K1831" s="47"/>
      <c r="L1831" s="48"/>
    </row>
    <row r="1832" spans="1:12" s="49" customFormat="1" ht="14.15" customHeight="1">
      <c r="A1832" s="45"/>
      <c r="B1832" s="11"/>
      <c r="C1832" s="11" t="s">
        <v>18</v>
      </c>
      <c r="D1832" s="45" t="s">
        <v>16</v>
      </c>
      <c r="E1832" s="47"/>
      <c r="F1832" s="39" t="s">
        <v>1531</v>
      </c>
      <c r="G1832" s="13" t="s">
        <v>8632</v>
      </c>
      <c r="H1832" s="99" t="str">
        <f t="shared" si="95"/>
        <v>W26F.5</v>
      </c>
      <c r="I1832" s="45"/>
      <c r="J1832" s="47"/>
      <c r="K1832" s="47"/>
      <c r="L1832" s="48"/>
    </row>
    <row r="1833" spans="1:12" s="49" customFormat="1" ht="14.15" customHeight="1">
      <c r="A1833" s="45"/>
      <c r="B1833" s="11"/>
      <c r="C1833" s="11" t="s">
        <v>18</v>
      </c>
      <c r="D1833" s="45" t="s">
        <v>16</v>
      </c>
      <c r="E1833" s="47"/>
      <c r="F1833" s="39" t="s">
        <v>1532</v>
      </c>
      <c r="G1833" s="13" t="s">
        <v>8633</v>
      </c>
      <c r="H1833" s="99" t="str">
        <f t="shared" si="95"/>
        <v>W26F.6</v>
      </c>
      <c r="I1833" s="45"/>
      <c r="J1833" s="47"/>
      <c r="K1833" s="47"/>
      <c r="L1833" s="48"/>
    </row>
    <row r="1834" spans="1:12" s="49" customFormat="1" ht="14.15" customHeight="1">
      <c r="A1834" s="45"/>
      <c r="B1834" s="11"/>
      <c r="C1834" s="11" t="s">
        <v>18</v>
      </c>
      <c r="D1834" s="45" t="s">
        <v>16</v>
      </c>
      <c r="E1834" s="47"/>
      <c r="F1834" s="39" t="s">
        <v>1533</v>
      </c>
      <c r="G1834" s="13" t="s">
        <v>8634</v>
      </c>
      <c r="H1834" s="99" t="str">
        <f t="shared" si="95"/>
        <v>W26F.7</v>
      </c>
      <c r="I1834" s="45"/>
      <c r="J1834" s="47"/>
      <c r="K1834" s="47"/>
      <c r="L1834" s="48"/>
    </row>
    <row r="1835" spans="1:12" s="49" customFormat="1" ht="14.15" customHeight="1">
      <c r="A1835" s="45"/>
      <c r="B1835" s="11"/>
      <c r="C1835" s="11" t="s">
        <v>18</v>
      </c>
      <c r="D1835" s="45" t="s">
        <v>16</v>
      </c>
      <c r="E1835" s="47"/>
      <c r="F1835" s="39" t="s">
        <v>1534</v>
      </c>
      <c r="G1835" s="13" t="s">
        <v>8635</v>
      </c>
      <c r="H1835" s="99" t="str">
        <f t="shared" si="95"/>
        <v>W26F.8</v>
      </c>
      <c r="I1835" s="45"/>
      <c r="J1835" s="47"/>
      <c r="K1835" s="47"/>
      <c r="L1835" s="48"/>
    </row>
    <row r="1836" spans="1:12" s="49" customFormat="1" ht="14.15" customHeight="1">
      <c r="A1836" s="45"/>
      <c r="B1836" s="11"/>
      <c r="C1836" s="11" t="s">
        <v>18</v>
      </c>
      <c r="D1836" s="45" t="s">
        <v>16</v>
      </c>
      <c r="E1836" s="47"/>
      <c r="F1836" s="39" t="s">
        <v>1535</v>
      </c>
      <c r="G1836" s="13" t="s">
        <v>8636</v>
      </c>
      <c r="H1836" s="99" t="str">
        <f t="shared" si="95"/>
        <v>W26F.9</v>
      </c>
      <c r="I1836" s="45"/>
      <c r="J1836" s="47"/>
      <c r="K1836" s="47"/>
      <c r="L1836" s="48"/>
    </row>
    <row r="1837" spans="1:12" s="49" customFormat="1" ht="14.15" customHeight="1">
      <c r="A1837" s="45"/>
      <c r="B1837" s="11"/>
      <c r="C1837" s="11" t="s">
        <v>18</v>
      </c>
      <c r="D1837" s="45" t="s">
        <v>16</v>
      </c>
      <c r="E1837" s="47"/>
      <c r="F1837" s="39" t="s">
        <v>1536</v>
      </c>
      <c r="G1837" s="13" t="s">
        <v>8637</v>
      </c>
      <c r="H1837" s="99" t="str">
        <f t="shared" si="95"/>
        <v>W26F.A</v>
      </c>
      <c r="I1837" s="45"/>
      <c r="J1837" s="47"/>
      <c r="K1837" s="47"/>
      <c r="L1837" s="48"/>
    </row>
    <row r="1838" spans="1:12" s="49" customFormat="1" ht="14.15" customHeight="1">
      <c r="A1838" s="45"/>
      <c r="B1838" s="11"/>
      <c r="C1838" s="11" t="s">
        <v>18</v>
      </c>
      <c r="D1838" s="45" t="s">
        <v>16</v>
      </c>
      <c r="E1838" s="47"/>
      <c r="F1838" s="39" t="s">
        <v>1537</v>
      </c>
      <c r="G1838" s="13" t="s">
        <v>8638</v>
      </c>
      <c r="H1838" s="99" t="str">
        <f t="shared" si="95"/>
        <v>W26F.B</v>
      </c>
      <c r="I1838" s="45"/>
      <c r="J1838" s="47"/>
      <c r="K1838" s="47"/>
      <c r="L1838" s="48"/>
    </row>
    <row r="1839" spans="1:12" s="49" customFormat="1" ht="14.15" customHeight="1">
      <c r="A1839" s="45"/>
      <c r="B1839" s="11"/>
      <c r="C1839" s="11" t="s">
        <v>18</v>
      </c>
      <c r="D1839" s="45" t="s">
        <v>16</v>
      </c>
      <c r="E1839" s="47"/>
      <c r="F1839" s="39" t="s">
        <v>1538</v>
      </c>
      <c r="G1839" s="13" t="s">
        <v>8639</v>
      </c>
      <c r="H1839" s="99" t="str">
        <f t="shared" si="95"/>
        <v>W26F.C</v>
      </c>
      <c r="I1839" s="45"/>
      <c r="J1839" s="47"/>
      <c r="K1839" s="47"/>
      <c r="L1839" s="48"/>
    </row>
    <row r="1840" spans="1:12" s="49" customFormat="1" ht="14.15" customHeight="1">
      <c r="A1840" s="45"/>
      <c r="B1840" s="11"/>
      <c r="C1840" s="11" t="s">
        <v>18</v>
      </c>
      <c r="D1840" s="45" t="s">
        <v>16</v>
      </c>
      <c r="E1840" s="47"/>
      <c r="F1840" s="39" t="s">
        <v>1539</v>
      </c>
      <c r="G1840" s="13" t="s">
        <v>8640</v>
      </c>
      <c r="H1840" s="99" t="str">
        <f t="shared" si="95"/>
        <v>W26F.D</v>
      </c>
      <c r="I1840" s="45"/>
      <c r="J1840" s="47"/>
      <c r="K1840" s="47"/>
      <c r="L1840" s="48"/>
    </row>
    <row r="1841" spans="1:12" s="49" customFormat="1" ht="14.15" customHeight="1">
      <c r="A1841" s="45"/>
      <c r="B1841" s="11"/>
      <c r="C1841" s="11" t="s">
        <v>18</v>
      </c>
      <c r="D1841" s="45" t="s">
        <v>16</v>
      </c>
      <c r="E1841" s="47"/>
      <c r="F1841" s="39" t="s">
        <v>1540</v>
      </c>
      <c r="G1841" s="13" t="s">
        <v>8641</v>
      </c>
      <c r="H1841" s="99" t="str">
        <f t="shared" si="95"/>
        <v>W26F.E</v>
      </c>
      <c r="I1841" s="45"/>
      <c r="J1841" s="47"/>
      <c r="K1841" s="47"/>
      <c r="L1841" s="48"/>
    </row>
    <row r="1842" spans="1:12" s="49" customFormat="1" ht="14.15" customHeight="1">
      <c r="A1842" s="45"/>
      <c r="B1842" s="11"/>
      <c r="C1842" s="11" t="s">
        <v>18</v>
      </c>
      <c r="D1842" s="45" t="s">
        <v>16</v>
      </c>
      <c r="E1842" s="47"/>
      <c r="F1842" s="39" t="s">
        <v>1541</v>
      </c>
      <c r="G1842" s="13" t="s">
        <v>8642</v>
      </c>
      <c r="H1842" s="99" t="str">
        <f t="shared" si="95"/>
        <v>W26F.F</v>
      </c>
      <c r="I1842" s="45"/>
      <c r="J1842" s="47"/>
      <c r="K1842" s="47"/>
      <c r="L1842" s="48"/>
    </row>
    <row r="1843" spans="1:12" s="49" customFormat="1" ht="14.15" customHeight="1">
      <c r="A1843" s="45"/>
      <c r="B1843" s="11"/>
      <c r="C1843" s="11" t="s">
        <v>18</v>
      </c>
      <c r="D1843" s="45" t="s">
        <v>16</v>
      </c>
      <c r="E1843" s="47"/>
      <c r="F1843" s="39" t="s">
        <v>1542</v>
      </c>
      <c r="G1843" s="13" t="s">
        <v>8643</v>
      </c>
      <c r="H1843" s="99" t="str">
        <f t="shared" si="95"/>
        <v>W270.0</v>
      </c>
      <c r="I1843" s="45"/>
      <c r="J1843" s="47"/>
      <c r="K1843" s="47"/>
      <c r="L1843" s="48"/>
    </row>
    <row r="1844" spans="1:12" s="49" customFormat="1" ht="14.15" customHeight="1">
      <c r="A1844" s="45"/>
      <c r="B1844" s="11"/>
      <c r="C1844" s="11" t="s">
        <v>18</v>
      </c>
      <c r="D1844" s="45" t="s">
        <v>16</v>
      </c>
      <c r="E1844" s="47"/>
      <c r="F1844" s="39" t="s">
        <v>1543</v>
      </c>
      <c r="G1844" s="13" t="s">
        <v>8644</v>
      </c>
      <c r="H1844" s="99" t="str">
        <f t="shared" ref="H1844:H1907" si="96">"W"&amp;DEC2HEX(512 + INT((ROW()-51)/16)) &amp; "." &amp; IF(MOD(ROW()-51,16)&lt;10,MOD(ROW()-51,16),CHAR(MOD(ROW()-51,16)+55))</f>
        <v>W270.1</v>
      </c>
      <c r="I1844" s="45"/>
      <c r="J1844" s="47"/>
      <c r="K1844" s="47"/>
      <c r="L1844" s="48"/>
    </row>
    <row r="1845" spans="1:12" s="49" customFormat="1" ht="14.15" customHeight="1">
      <c r="A1845" s="45"/>
      <c r="B1845" s="11"/>
      <c r="C1845" s="11" t="s">
        <v>18</v>
      </c>
      <c r="D1845" s="45" t="s">
        <v>16</v>
      </c>
      <c r="E1845" s="47"/>
      <c r="F1845" s="39" t="s">
        <v>1544</v>
      </c>
      <c r="G1845" s="13" t="s">
        <v>8645</v>
      </c>
      <c r="H1845" s="99" t="str">
        <f t="shared" si="96"/>
        <v>W270.2</v>
      </c>
      <c r="I1845" s="45"/>
      <c r="J1845" s="47"/>
      <c r="K1845" s="47"/>
      <c r="L1845" s="48"/>
    </row>
    <row r="1846" spans="1:12" s="49" customFormat="1" ht="14.15" customHeight="1">
      <c r="A1846" s="45"/>
      <c r="B1846" s="11"/>
      <c r="C1846" s="11" t="s">
        <v>18</v>
      </c>
      <c r="D1846" s="45" t="s">
        <v>16</v>
      </c>
      <c r="E1846" s="47"/>
      <c r="F1846" s="39" t="s">
        <v>1545</v>
      </c>
      <c r="G1846" s="13" t="s">
        <v>8646</v>
      </c>
      <c r="H1846" s="99" t="str">
        <f t="shared" si="96"/>
        <v>W270.3</v>
      </c>
      <c r="I1846" s="45"/>
      <c r="J1846" s="47"/>
      <c r="K1846" s="47"/>
      <c r="L1846" s="48"/>
    </row>
    <row r="1847" spans="1:12" s="49" customFormat="1" ht="14.15" customHeight="1">
      <c r="A1847" s="45"/>
      <c r="B1847" s="11"/>
      <c r="C1847" s="11" t="s">
        <v>18</v>
      </c>
      <c r="D1847" s="45" t="s">
        <v>16</v>
      </c>
      <c r="E1847" s="47"/>
      <c r="F1847" s="39" t="s">
        <v>1546</v>
      </c>
      <c r="G1847" s="13" t="s">
        <v>8647</v>
      </c>
      <c r="H1847" s="99" t="str">
        <f t="shared" si="96"/>
        <v>W270.4</v>
      </c>
      <c r="I1847" s="45"/>
      <c r="J1847" s="47"/>
      <c r="K1847" s="47"/>
      <c r="L1847" s="48"/>
    </row>
    <row r="1848" spans="1:12" s="49" customFormat="1" ht="14.15" customHeight="1">
      <c r="A1848" s="45"/>
      <c r="B1848" s="11"/>
      <c r="C1848" s="11" t="s">
        <v>18</v>
      </c>
      <c r="D1848" s="45" t="s">
        <v>16</v>
      </c>
      <c r="E1848" s="47"/>
      <c r="F1848" s="39" t="s">
        <v>1547</v>
      </c>
      <c r="G1848" s="13" t="s">
        <v>8648</v>
      </c>
      <c r="H1848" s="99" t="str">
        <f t="shared" si="96"/>
        <v>W270.5</v>
      </c>
      <c r="I1848" s="45"/>
      <c r="J1848" s="47"/>
      <c r="K1848" s="47"/>
      <c r="L1848" s="48"/>
    </row>
    <row r="1849" spans="1:12" s="49" customFormat="1" ht="14.15" customHeight="1">
      <c r="A1849" s="45"/>
      <c r="B1849" s="11"/>
      <c r="C1849" s="11" t="s">
        <v>18</v>
      </c>
      <c r="D1849" s="45" t="s">
        <v>16</v>
      </c>
      <c r="E1849" s="47"/>
      <c r="F1849" s="39" t="s">
        <v>1548</v>
      </c>
      <c r="G1849" s="13" t="s">
        <v>8649</v>
      </c>
      <c r="H1849" s="99" t="str">
        <f t="shared" si="96"/>
        <v>W270.6</v>
      </c>
      <c r="I1849" s="45"/>
      <c r="J1849" s="47"/>
      <c r="K1849" s="47"/>
      <c r="L1849" s="48"/>
    </row>
    <row r="1850" spans="1:12" s="49" customFormat="1" ht="14.15" customHeight="1">
      <c r="A1850" s="43" t="s">
        <v>2202</v>
      </c>
      <c r="B1850" s="11"/>
      <c r="C1850" s="11" t="s">
        <v>18</v>
      </c>
      <c r="D1850" s="45" t="s">
        <v>16</v>
      </c>
      <c r="E1850" s="47"/>
      <c r="F1850" s="39" t="s">
        <v>2138</v>
      </c>
      <c r="G1850" s="13" t="s">
        <v>8650</v>
      </c>
      <c r="H1850" s="99" t="str">
        <f t="shared" si="96"/>
        <v>W270.7</v>
      </c>
      <c r="I1850" s="45" t="s">
        <v>3668</v>
      </c>
      <c r="J1850" s="47"/>
      <c r="K1850" s="47"/>
      <c r="L1850" s="48"/>
    </row>
    <row r="1851" spans="1:12" s="49" customFormat="1" ht="14.15" customHeight="1">
      <c r="A1851" s="43" t="s">
        <v>2202</v>
      </c>
      <c r="B1851" s="11"/>
      <c r="C1851" s="11" t="s">
        <v>18</v>
      </c>
      <c r="D1851" s="45" t="s">
        <v>16</v>
      </c>
      <c r="E1851" s="47"/>
      <c r="F1851" s="39" t="s">
        <v>2139</v>
      </c>
      <c r="G1851" s="13" t="s">
        <v>8651</v>
      </c>
      <c r="H1851" s="99" t="str">
        <f t="shared" si="96"/>
        <v>W270.8</v>
      </c>
      <c r="I1851" s="45" t="s">
        <v>3668</v>
      </c>
      <c r="J1851" s="47"/>
      <c r="K1851" s="47"/>
      <c r="L1851" s="48"/>
    </row>
    <row r="1852" spans="1:12" s="49" customFormat="1" ht="14.15" customHeight="1">
      <c r="A1852" s="45"/>
      <c r="B1852" s="11"/>
      <c r="C1852" s="11" t="s">
        <v>18</v>
      </c>
      <c r="D1852" s="45" t="s">
        <v>16</v>
      </c>
      <c r="E1852" s="47"/>
      <c r="F1852" s="39" t="s">
        <v>1549</v>
      </c>
      <c r="G1852" s="13" t="s">
        <v>8652</v>
      </c>
      <c r="H1852" s="99" t="str">
        <f t="shared" si="96"/>
        <v>W270.9</v>
      </c>
      <c r="I1852" s="45"/>
      <c r="J1852" s="47"/>
      <c r="K1852" s="47"/>
      <c r="L1852" s="48"/>
    </row>
    <row r="1853" spans="1:12" s="49" customFormat="1" ht="14.15" customHeight="1">
      <c r="A1853" s="45"/>
      <c r="B1853" s="11"/>
      <c r="C1853" s="11" t="s">
        <v>18</v>
      </c>
      <c r="D1853" s="45" t="s">
        <v>16</v>
      </c>
      <c r="E1853" s="47"/>
      <c r="F1853" s="39" t="s">
        <v>1550</v>
      </c>
      <c r="G1853" s="13" t="s">
        <v>8653</v>
      </c>
      <c r="H1853" s="99" t="str">
        <f t="shared" si="96"/>
        <v>W270.A</v>
      </c>
      <c r="I1853" s="45"/>
      <c r="J1853" s="47"/>
      <c r="K1853" s="47"/>
      <c r="L1853" s="48"/>
    </row>
    <row r="1854" spans="1:12" s="49" customFormat="1" ht="14.15" customHeight="1">
      <c r="A1854" s="45"/>
      <c r="B1854" s="11"/>
      <c r="C1854" s="11" t="s">
        <v>18</v>
      </c>
      <c r="D1854" s="45" t="s">
        <v>16</v>
      </c>
      <c r="E1854" s="47"/>
      <c r="F1854" s="39" t="s">
        <v>1551</v>
      </c>
      <c r="G1854" s="13" t="s">
        <v>8654</v>
      </c>
      <c r="H1854" s="99" t="str">
        <f t="shared" si="96"/>
        <v>W270.B</v>
      </c>
      <c r="I1854" s="45"/>
      <c r="J1854" s="47"/>
      <c r="K1854" s="47"/>
      <c r="L1854" s="48"/>
    </row>
    <row r="1855" spans="1:12" s="49" customFormat="1" ht="14.15" customHeight="1">
      <c r="A1855" s="45"/>
      <c r="B1855" s="11"/>
      <c r="C1855" s="11" t="s">
        <v>18</v>
      </c>
      <c r="D1855" s="45" t="s">
        <v>16</v>
      </c>
      <c r="E1855" s="47"/>
      <c r="F1855" s="39" t="s">
        <v>1552</v>
      </c>
      <c r="G1855" s="13" t="s">
        <v>8655</v>
      </c>
      <c r="H1855" s="99" t="str">
        <f t="shared" si="96"/>
        <v>W270.C</v>
      </c>
      <c r="I1855" s="45"/>
      <c r="J1855" s="47"/>
      <c r="K1855" s="47"/>
      <c r="L1855" s="48"/>
    </row>
    <row r="1856" spans="1:12" s="49" customFormat="1" ht="14.15" customHeight="1">
      <c r="A1856" s="45"/>
      <c r="B1856" s="11"/>
      <c r="C1856" s="11" t="s">
        <v>18</v>
      </c>
      <c r="D1856" s="45" t="s">
        <v>16</v>
      </c>
      <c r="E1856" s="47"/>
      <c r="F1856" s="39" t="s">
        <v>1553</v>
      </c>
      <c r="G1856" s="13" t="s">
        <v>8656</v>
      </c>
      <c r="H1856" s="99" t="str">
        <f t="shared" si="96"/>
        <v>W270.D</v>
      </c>
      <c r="I1856" s="45"/>
      <c r="J1856" s="47"/>
      <c r="K1856" s="47"/>
      <c r="L1856" s="48"/>
    </row>
    <row r="1857" spans="1:12" s="49" customFormat="1" ht="14.15" customHeight="1">
      <c r="A1857" s="45"/>
      <c r="B1857" s="11"/>
      <c r="C1857" s="11" t="s">
        <v>18</v>
      </c>
      <c r="D1857" s="45" t="s">
        <v>16</v>
      </c>
      <c r="E1857" s="47"/>
      <c r="F1857" s="39" t="s">
        <v>1554</v>
      </c>
      <c r="G1857" s="13" t="s">
        <v>8657</v>
      </c>
      <c r="H1857" s="99" t="str">
        <f t="shared" si="96"/>
        <v>W270.E</v>
      </c>
      <c r="I1857" s="45"/>
      <c r="J1857" s="47"/>
      <c r="K1857" s="47"/>
      <c r="L1857" s="48"/>
    </row>
    <row r="1858" spans="1:12" s="49" customFormat="1" ht="14.15" customHeight="1">
      <c r="A1858" s="45"/>
      <c r="B1858" s="11"/>
      <c r="C1858" s="11" t="s">
        <v>18</v>
      </c>
      <c r="D1858" s="45" t="s">
        <v>16</v>
      </c>
      <c r="E1858" s="47"/>
      <c r="F1858" s="39" t="s">
        <v>1555</v>
      </c>
      <c r="G1858" s="13" t="s">
        <v>8658</v>
      </c>
      <c r="H1858" s="99" t="str">
        <f t="shared" si="96"/>
        <v>W270.F</v>
      </c>
      <c r="I1858" s="45"/>
      <c r="J1858" s="47"/>
      <c r="K1858" s="47"/>
      <c r="L1858" s="48"/>
    </row>
    <row r="1859" spans="1:12" s="49" customFormat="1" ht="14.15" customHeight="1">
      <c r="A1859" s="45"/>
      <c r="B1859" s="11"/>
      <c r="C1859" s="11" t="s">
        <v>18</v>
      </c>
      <c r="D1859" s="45" t="s">
        <v>16</v>
      </c>
      <c r="E1859" s="47"/>
      <c r="F1859" s="39" t="s">
        <v>1556</v>
      </c>
      <c r="G1859" s="13" t="s">
        <v>8659</v>
      </c>
      <c r="H1859" s="99" t="str">
        <f t="shared" si="96"/>
        <v>W271.0</v>
      </c>
      <c r="I1859" s="45"/>
      <c r="J1859" s="47"/>
      <c r="K1859" s="47"/>
      <c r="L1859" s="48"/>
    </row>
    <row r="1860" spans="1:12" s="49" customFormat="1" ht="14.15" customHeight="1">
      <c r="A1860" s="45"/>
      <c r="B1860" s="11"/>
      <c r="C1860" s="11" t="s">
        <v>18</v>
      </c>
      <c r="D1860" s="45" t="s">
        <v>16</v>
      </c>
      <c r="E1860" s="47"/>
      <c r="F1860" s="39" t="s">
        <v>1557</v>
      </c>
      <c r="G1860" s="13" t="s">
        <v>8660</v>
      </c>
      <c r="H1860" s="99" t="str">
        <f t="shared" si="96"/>
        <v>W271.1</v>
      </c>
      <c r="I1860" s="45"/>
      <c r="J1860" s="47"/>
      <c r="K1860" s="47"/>
      <c r="L1860" s="48"/>
    </row>
    <row r="1861" spans="1:12" s="49" customFormat="1" ht="14.15" customHeight="1">
      <c r="A1861" s="45"/>
      <c r="B1861" s="11"/>
      <c r="C1861" s="11" t="s">
        <v>18</v>
      </c>
      <c r="D1861" s="45" t="s">
        <v>16</v>
      </c>
      <c r="E1861" s="47"/>
      <c r="F1861" s="39" t="s">
        <v>1558</v>
      </c>
      <c r="G1861" s="13" t="s">
        <v>8661</v>
      </c>
      <c r="H1861" s="99" t="str">
        <f t="shared" si="96"/>
        <v>W271.2</v>
      </c>
      <c r="I1861" s="45"/>
      <c r="J1861" s="47"/>
      <c r="K1861" s="47"/>
      <c r="L1861" s="48"/>
    </row>
    <row r="1862" spans="1:12" s="49" customFormat="1" ht="14.15" customHeight="1">
      <c r="A1862" s="45"/>
      <c r="B1862" s="11"/>
      <c r="C1862" s="11" t="s">
        <v>18</v>
      </c>
      <c r="D1862" s="45" t="s">
        <v>16</v>
      </c>
      <c r="E1862" s="47"/>
      <c r="F1862" s="39" t="s">
        <v>1559</v>
      </c>
      <c r="G1862" s="13" t="s">
        <v>8662</v>
      </c>
      <c r="H1862" s="99" t="str">
        <f t="shared" si="96"/>
        <v>W271.3</v>
      </c>
      <c r="I1862" s="45"/>
      <c r="J1862" s="47"/>
      <c r="K1862" s="47"/>
      <c r="L1862" s="48"/>
    </row>
    <row r="1863" spans="1:12" s="49" customFormat="1" ht="14.15" customHeight="1">
      <c r="A1863" s="45"/>
      <c r="B1863" s="11"/>
      <c r="C1863" s="11" t="s">
        <v>18</v>
      </c>
      <c r="D1863" s="45" t="s">
        <v>16</v>
      </c>
      <c r="E1863" s="47"/>
      <c r="F1863" s="39" t="s">
        <v>1560</v>
      </c>
      <c r="G1863" s="13" t="s">
        <v>8663</v>
      </c>
      <c r="H1863" s="99" t="str">
        <f t="shared" si="96"/>
        <v>W271.4</v>
      </c>
      <c r="I1863" s="45"/>
      <c r="J1863" s="47"/>
      <c r="K1863" s="47"/>
      <c r="L1863" s="48"/>
    </row>
    <row r="1864" spans="1:12" s="49" customFormat="1" ht="14.15" customHeight="1">
      <c r="A1864" s="45"/>
      <c r="B1864" s="11"/>
      <c r="C1864" s="11" t="s">
        <v>18</v>
      </c>
      <c r="D1864" s="45" t="s">
        <v>16</v>
      </c>
      <c r="E1864" s="47"/>
      <c r="F1864" s="39" t="s">
        <v>1561</v>
      </c>
      <c r="G1864" s="13" t="s">
        <v>8664</v>
      </c>
      <c r="H1864" s="99" t="str">
        <f t="shared" si="96"/>
        <v>W271.5</v>
      </c>
      <c r="I1864" s="45"/>
      <c r="J1864" s="47"/>
      <c r="K1864" s="47"/>
      <c r="L1864" s="48"/>
    </row>
    <row r="1865" spans="1:12" s="49" customFormat="1" ht="14.15" customHeight="1">
      <c r="A1865" s="45"/>
      <c r="B1865" s="11"/>
      <c r="C1865" s="11" t="s">
        <v>18</v>
      </c>
      <c r="D1865" s="45" t="s">
        <v>16</v>
      </c>
      <c r="E1865" s="47"/>
      <c r="F1865" s="39" t="s">
        <v>1562</v>
      </c>
      <c r="G1865" s="13" t="s">
        <v>8665</v>
      </c>
      <c r="H1865" s="99" t="str">
        <f t="shared" si="96"/>
        <v>W271.6</v>
      </c>
      <c r="I1865" s="45"/>
      <c r="J1865" s="47"/>
      <c r="K1865" s="47"/>
      <c r="L1865" s="48"/>
    </row>
    <row r="1866" spans="1:12" s="49" customFormat="1" ht="14.15" customHeight="1">
      <c r="A1866" s="45"/>
      <c r="B1866" s="11"/>
      <c r="C1866" s="11" t="s">
        <v>18</v>
      </c>
      <c r="D1866" s="45" t="s">
        <v>16</v>
      </c>
      <c r="E1866" s="47"/>
      <c r="F1866" s="39" t="s">
        <v>1563</v>
      </c>
      <c r="G1866" s="13" t="s">
        <v>8666</v>
      </c>
      <c r="H1866" s="99" t="str">
        <f t="shared" si="96"/>
        <v>W271.7</v>
      </c>
      <c r="I1866" s="45"/>
      <c r="J1866" s="47"/>
      <c r="K1866" s="47"/>
      <c r="L1866" s="48"/>
    </row>
    <row r="1867" spans="1:12" s="49" customFormat="1" ht="14.15" customHeight="1">
      <c r="A1867" s="45"/>
      <c r="B1867" s="11"/>
      <c r="C1867" s="11" t="s">
        <v>18</v>
      </c>
      <c r="D1867" s="45" t="s">
        <v>16</v>
      </c>
      <c r="E1867" s="47"/>
      <c r="F1867" s="39" t="s">
        <v>1564</v>
      </c>
      <c r="G1867" s="13" t="s">
        <v>8667</v>
      </c>
      <c r="H1867" s="99" t="str">
        <f t="shared" si="96"/>
        <v>W271.8</v>
      </c>
      <c r="I1867" s="45"/>
      <c r="J1867" s="47"/>
      <c r="K1867" s="47"/>
      <c r="L1867" s="48"/>
    </row>
    <row r="1868" spans="1:12" s="49" customFormat="1" ht="14.15" customHeight="1">
      <c r="A1868" s="45"/>
      <c r="B1868" s="11"/>
      <c r="C1868" s="11" t="s">
        <v>18</v>
      </c>
      <c r="D1868" s="45" t="s">
        <v>16</v>
      </c>
      <c r="E1868" s="47"/>
      <c r="F1868" s="39" t="s">
        <v>1565</v>
      </c>
      <c r="G1868" s="13" t="s">
        <v>8668</v>
      </c>
      <c r="H1868" s="99" t="str">
        <f t="shared" si="96"/>
        <v>W271.9</v>
      </c>
      <c r="I1868" s="45"/>
      <c r="J1868" s="47"/>
      <c r="K1868" s="47"/>
      <c r="L1868" s="48"/>
    </row>
    <row r="1869" spans="1:12" s="49" customFormat="1" ht="14.15" customHeight="1">
      <c r="A1869" s="45"/>
      <c r="B1869" s="11"/>
      <c r="C1869" s="11" t="s">
        <v>18</v>
      </c>
      <c r="D1869" s="45" t="s">
        <v>16</v>
      </c>
      <c r="E1869" s="47"/>
      <c r="F1869" s="39" t="s">
        <v>1566</v>
      </c>
      <c r="G1869" s="13" t="s">
        <v>8669</v>
      </c>
      <c r="H1869" s="99" t="str">
        <f t="shared" si="96"/>
        <v>W271.A</v>
      </c>
      <c r="I1869" s="45"/>
      <c r="J1869" s="47"/>
      <c r="K1869" s="47"/>
      <c r="L1869" s="48"/>
    </row>
    <row r="1870" spans="1:12" s="49" customFormat="1" ht="14.15" customHeight="1">
      <c r="A1870" s="45"/>
      <c r="B1870" s="11"/>
      <c r="C1870" s="11" t="s">
        <v>18</v>
      </c>
      <c r="D1870" s="45" t="s">
        <v>16</v>
      </c>
      <c r="E1870" s="47"/>
      <c r="F1870" s="39" t="s">
        <v>1567</v>
      </c>
      <c r="G1870" s="13" t="s">
        <v>8670</v>
      </c>
      <c r="H1870" s="99" t="str">
        <f t="shared" si="96"/>
        <v>W271.B</v>
      </c>
      <c r="I1870" s="45"/>
      <c r="J1870" s="47"/>
      <c r="K1870" s="47"/>
      <c r="L1870" s="48"/>
    </row>
    <row r="1871" spans="1:12" s="49" customFormat="1" ht="14.15" customHeight="1">
      <c r="A1871" s="45"/>
      <c r="B1871" s="11"/>
      <c r="C1871" s="11" t="s">
        <v>18</v>
      </c>
      <c r="D1871" s="45" t="s">
        <v>16</v>
      </c>
      <c r="E1871" s="47"/>
      <c r="F1871" s="39" t="s">
        <v>1568</v>
      </c>
      <c r="G1871" s="13" t="s">
        <v>8671</v>
      </c>
      <c r="H1871" s="99" t="str">
        <f t="shared" si="96"/>
        <v>W271.C</v>
      </c>
      <c r="I1871" s="45"/>
      <c r="J1871" s="47"/>
      <c r="K1871" s="47"/>
      <c r="L1871" s="48"/>
    </row>
    <row r="1872" spans="1:12" s="49" customFormat="1" ht="14.15" customHeight="1">
      <c r="A1872" s="45"/>
      <c r="B1872" s="11"/>
      <c r="C1872" s="11" t="s">
        <v>18</v>
      </c>
      <c r="D1872" s="45" t="s">
        <v>16</v>
      </c>
      <c r="E1872" s="47"/>
      <c r="F1872" s="39" t="s">
        <v>1569</v>
      </c>
      <c r="G1872" s="13" t="s">
        <v>8672</v>
      </c>
      <c r="H1872" s="99" t="str">
        <f t="shared" si="96"/>
        <v>W271.D</v>
      </c>
      <c r="I1872" s="45"/>
      <c r="J1872" s="47"/>
      <c r="K1872" s="47"/>
      <c r="L1872" s="48"/>
    </row>
    <row r="1873" spans="1:12" s="49" customFormat="1" ht="14.15" customHeight="1">
      <c r="A1873" s="45"/>
      <c r="B1873" s="11"/>
      <c r="C1873" s="11" t="s">
        <v>18</v>
      </c>
      <c r="D1873" s="45" t="s">
        <v>16</v>
      </c>
      <c r="E1873" s="47"/>
      <c r="F1873" s="39" t="s">
        <v>1570</v>
      </c>
      <c r="G1873" s="13" t="s">
        <v>8673</v>
      </c>
      <c r="H1873" s="99" t="str">
        <f t="shared" si="96"/>
        <v>W271.E</v>
      </c>
      <c r="I1873" s="45"/>
      <c r="J1873" s="47"/>
      <c r="K1873" s="47"/>
      <c r="L1873" s="48"/>
    </row>
    <row r="1874" spans="1:12" s="49" customFormat="1" ht="14.15" customHeight="1">
      <c r="A1874" s="45"/>
      <c r="B1874" s="11"/>
      <c r="C1874" s="11" t="s">
        <v>18</v>
      </c>
      <c r="D1874" s="45" t="s">
        <v>16</v>
      </c>
      <c r="E1874" s="47"/>
      <c r="F1874" s="39" t="s">
        <v>1571</v>
      </c>
      <c r="G1874" s="13" t="s">
        <v>8674</v>
      </c>
      <c r="H1874" s="99" t="str">
        <f t="shared" si="96"/>
        <v>W271.F</v>
      </c>
      <c r="I1874" s="45"/>
      <c r="J1874" s="47"/>
      <c r="K1874" s="47"/>
      <c r="L1874" s="48"/>
    </row>
    <row r="1875" spans="1:12" s="49" customFormat="1" ht="14.15" customHeight="1">
      <c r="A1875" s="45"/>
      <c r="B1875" s="11"/>
      <c r="C1875" s="11" t="s">
        <v>18</v>
      </c>
      <c r="D1875" s="45" t="s">
        <v>16</v>
      </c>
      <c r="E1875" s="47"/>
      <c r="F1875" s="39" t="s">
        <v>1572</v>
      </c>
      <c r="G1875" s="13" t="s">
        <v>8675</v>
      </c>
      <c r="H1875" s="99" t="str">
        <f t="shared" si="96"/>
        <v>W272.0</v>
      </c>
      <c r="I1875" s="45"/>
      <c r="J1875" s="47"/>
      <c r="K1875" s="47"/>
      <c r="L1875" s="48"/>
    </row>
    <row r="1876" spans="1:12" s="49" customFormat="1" ht="14.15" customHeight="1">
      <c r="A1876" s="45"/>
      <c r="B1876" s="11"/>
      <c r="C1876" s="11" t="s">
        <v>18</v>
      </c>
      <c r="D1876" s="45" t="s">
        <v>16</v>
      </c>
      <c r="E1876" s="47"/>
      <c r="F1876" s="39" t="s">
        <v>1573</v>
      </c>
      <c r="G1876" s="13" t="s">
        <v>8676</v>
      </c>
      <c r="H1876" s="99" t="str">
        <f t="shared" si="96"/>
        <v>W272.1</v>
      </c>
      <c r="I1876" s="45"/>
      <c r="J1876" s="47"/>
      <c r="K1876" s="47"/>
      <c r="L1876" s="48"/>
    </row>
    <row r="1877" spans="1:12" s="49" customFormat="1" ht="14.15" customHeight="1">
      <c r="A1877" s="45"/>
      <c r="B1877" s="11"/>
      <c r="C1877" s="11" t="s">
        <v>18</v>
      </c>
      <c r="D1877" s="45" t="s">
        <v>16</v>
      </c>
      <c r="E1877" s="47"/>
      <c r="F1877" s="39" t="s">
        <v>1574</v>
      </c>
      <c r="G1877" s="13" t="s">
        <v>8677</v>
      </c>
      <c r="H1877" s="99" t="str">
        <f t="shared" si="96"/>
        <v>W272.2</v>
      </c>
      <c r="I1877" s="45"/>
      <c r="J1877" s="47"/>
      <c r="K1877" s="47"/>
      <c r="L1877" s="48"/>
    </row>
    <row r="1878" spans="1:12" s="49" customFormat="1" ht="14.15" customHeight="1">
      <c r="A1878" s="45"/>
      <c r="B1878" s="11"/>
      <c r="C1878" s="11" t="s">
        <v>18</v>
      </c>
      <c r="D1878" s="45" t="s">
        <v>16</v>
      </c>
      <c r="E1878" s="47"/>
      <c r="F1878" s="39" t="s">
        <v>1575</v>
      </c>
      <c r="G1878" s="13" t="s">
        <v>8678</v>
      </c>
      <c r="H1878" s="99" t="str">
        <f t="shared" si="96"/>
        <v>W272.3</v>
      </c>
      <c r="I1878" s="45"/>
      <c r="J1878" s="47"/>
      <c r="K1878" s="47"/>
      <c r="L1878" s="48"/>
    </row>
    <row r="1879" spans="1:12" s="49" customFormat="1" ht="14.15" customHeight="1">
      <c r="A1879" s="45"/>
      <c r="B1879" s="11"/>
      <c r="C1879" s="11" t="s">
        <v>18</v>
      </c>
      <c r="D1879" s="45" t="s">
        <v>16</v>
      </c>
      <c r="E1879" s="47"/>
      <c r="F1879" s="39" t="s">
        <v>1576</v>
      </c>
      <c r="G1879" s="13" t="s">
        <v>8679</v>
      </c>
      <c r="H1879" s="99" t="str">
        <f t="shared" si="96"/>
        <v>W272.4</v>
      </c>
      <c r="I1879" s="45"/>
      <c r="J1879" s="47"/>
      <c r="K1879" s="47"/>
      <c r="L1879" s="48"/>
    </row>
    <row r="1880" spans="1:12" s="49" customFormat="1" ht="14.15" customHeight="1">
      <c r="A1880" s="45"/>
      <c r="B1880" s="11"/>
      <c r="C1880" s="11" t="s">
        <v>18</v>
      </c>
      <c r="D1880" s="45" t="s">
        <v>16</v>
      </c>
      <c r="E1880" s="47"/>
      <c r="F1880" s="39" t="s">
        <v>1577</v>
      </c>
      <c r="G1880" s="13" t="s">
        <v>8680</v>
      </c>
      <c r="H1880" s="99" t="str">
        <f t="shared" si="96"/>
        <v>W272.5</v>
      </c>
      <c r="I1880" s="45"/>
      <c r="J1880" s="47"/>
      <c r="K1880" s="47"/>
      <c r="L1880" s="48"/>
    </row>
    <row r="1881" spans="1:12" s="49" customFormat="1" ht="14.15" customHeight="1">
      <c r="A1881" s="45"/>
      <c r="B1881" s="11"/>
      <c r="C1881" s="11" t="s">
        <v>18</v>
      </c>
      <c r="D1881" s="45" t="s">
        <v>16</v>
      </c>
      <c r="E1881" s="47"/>
      <c r="F1881" s="39" t="s">
        <v>1578</v>
      </c>
      <c r="G1881" s="13" t="s">
        <v>8681</v>
      </c>
      <c r="H1881" s="99" t="str">
        <f t="shared" si="96"/>
        <v>W272.6</v>
      </c>
      <c r="I1881" s="45"/>
      <c r="J1881" s="47"/>
      <c r="K1881" s="47"/>
      <c r="L1881" s="48"/>
    </row>
    <row r="1882" spans="1:12" s="49" customFormat="1" ht="14.15" customHeight="1">
      <c r="A1882" s="45"/>
      <c r="B1882" s="11"/>
      <c r="C1882" s="11" t="s">
        <v>18</v>
      </c>
      <c r="D1882" s="45" t="s">
        <v>16</v>
      </c>
      <c r="E1882" s="47"/>
      <c r="F1882" s="39" t="s">
        <v>1579</v>
      </c>
      <c r="G1882" s="13" t="s">
        <v>8682</v>
      </c>
      <c r="H1882" s="99" t="str">
        <f t="shared" si="96"/>
        <v>W272.7</v>
      </c>
      <c r="I1882" s="45"/>
      <c r="J1882" s="47"/>
      <c r="K1882" s="47"/>
      <c r="L1882" s="48"/>
    </row>
    <row r="1883" spans="1:12" s="49" customFormat="1" ht="14.15" customHeight="1">
      <c r="A1883" s="45"/>
      <c r="B1883" s="11"/>
      <c r="C1883" s="11" t="s">
        <v>18</v>
      </c>
      <c r="D1883" s="45" t="s">
        <v>16</v>
      </c>
      <c r="E1883" s="47"/>
      <c r="F1883" s="39" t="s">
        <v>1580</v>
      </c>
      <c r="G1883" s="13" t="s">
        <v>8683</v>
      </c>
      <c r="H1883" s="99" t="str">
        <f t="shared" si="96"/>
        <v>W272.8</v>
      </c>
      <c r="I1883" s="45"/>
      <c r="J1883" s="47"/>
      <c r="K1883" s="47"/>
      <c r="L1883" s="48"/>
    </row>
    <row r="1884" spans="1:12" s="49" customFormat="1" ht="14.15" customHeight="1">
      <c r="A1884" s="45"/>
      <c r="B1884" s="11"/>
      <c r="C1884" s="11" t="s">
        <v>18</v>
      </c>
      <c r="D1884" s="45" t="s">
        <v>16</v>
      </c>
      <c r="E1884" s="47"/>
      <c r="F1884" s="39" t="s">
        <v>1581</v>
      </c>
      <c r="G1884" s="13" t="s">
        <v>8684</v>
      </c>
      <c r="H1884" s="99" t="str">
        <f t="shared" si="96"/>
        <v>W272.9</v>
      </c>
      <c r="I1884" s="45"/>
      <c r="J1884" s="47"/>
      <c r="K1884" s="47"/>
      <c r="L1884" s="48"/>
    </row>
    <row r="1885" spans="1:12" s="49" customFormat="1" ht="14.15" customHeight="1">
      <c r="A1885" s="45"/>
      <c r="B1885" s="11"/>
      <c r="C1885" s="11" t="s">
        <v>18</v>
      </c>
      <c r="D1885" s="45" t="s">
        <v>16</v>
      </c>
      <c r="E1885" s="47"/>
      <c r="F1885" s="39" t="s">
        <v>1582</v>
      </c>
      <c r="G1885" s="13" t="s">
        <v>8685</v>
      </c>
      <c r="H1885" s="99" t="str">
        <f t="shared" si="96"/>
        <v>W272.A</v>
      </c>
      <c r="I1885" s="45"/>
      <c r="J1885" s="47"/>
      <c r="K1885" s="47"/>
      <c r="L1885" s="48"/>
    </row>
    <row r="1886" spans="1:12" s="49" customFormat="1" ht="14.15" customHeight="1">
      <c r="A1886" s="45"/>
      <c r="B1886" s="11"/>
      <c r="C1886" s="11" t="s">
        <v>18</v>
      </c>
      <c r="D1886" s="45" t="s">
        <v>16</v>
      </c>
      <c r="E1886" s="47"/>
      <c r="F1886" s="39" t="s">
        <v>1583</v>
      </c>
      <c r="G1886" s="13" t="s">
        <v>8686</v>
      </c>
      <c r="H1886" s="99" t="str">
        <f t="shared" si="96"/>
        <v>W272.B</v>
      </c>
      <c r="I1886" s="45"/>
      <c r="J1886" s="47"/>
      <c r="K1886" s="47"/>
      <c r="L1886" s="48"/>
    </row>
    <row r="1887" spans="1:12" s="49" customFormat="1" ht="14.15" customHeight="1">
      <c r="A1887" s="45"/>
      <c r="B1887" s="11"/>
      <c r="C1887" s="11" t="s">
        <v>18</v>
      </c>
      <c r="D1887" s="45" t="s">
        <v>16</v>
      </c>
      <c r="E1887" s="47"/>
      <c r="F1887" s="39" t="s">
        <v>1584</v>
      </c>
      <c r="G1887" s="13" t="s">
        <v>8687</v>
      </c>
      <c r="H1887" s="99" t="str">
        <f t="shared" si="96"/>
        <v>W272.C</v>
      </c>
      <c r="I1887" s="45"/>
      <c r="J1887" s="47"/>
      <c r="K1887" s="47"/>
      <c r="L1887" s="48"/>
    </row>
    <row r="1888" spans="1:12" s="49" customFormat="1" ht="14.15" customHeight="1">
      <c r="A1888" s="45"/>
      <c r="B1888" s="11"/>
      <c r="C1888" s="11" t="s">
        <v>18</v>
      </c>
      <c r="D1888" s="45" t="s">
        <v>16</v>
      </c>
      <c r="E1888" s="47"/>
      <c r="F1888" s="39" t="s">
        <v>1585</v>
      </c>
      <c r="G1888" s="13" t="s">
        <v>8688</v>
      </c>
      <c r="H1888" s="99" t="str">
        <f t="shared" si="96"/>
        <v>W272.D</v>
      </c>
      <c r="I1888" s="45"/>
      <c r="J1888" s="47"/>
      <c r="K1888" s="47"/>
      <c r="L1888" s="48"/>
    </row>
    <row r="1889" spans="1:12" s="49" customFormat="1" ht="14.15" customHeight="1">
      <c r="A1889" s="45"/>
      <c r="B1889" s="11"/>
      <c r="C1889" s="11" t="s">
        <v>18</v>
      </c>
      <c r="D1889" s="45" t="s">
        <v>16</v>
      </c>
      <c r="E1889" s="47"/>
      <c r="F1889" s="39" t="s">
        <v>1586</v>
      </c>
      <c r="G1889" s="13" t="s">
        <v>8689</v>
      </c>
      <c r="H1889" s="99" t="str">
        <f t="shared" si="96"/>
        <v>W272.E</v>
      </c>
      <c r="I1889" s="45"/>
      <c r="J1889" s="47"/>
      <c r="K1889" s="47"/>
      <c r="L1889" s="48"/>
    </row>
    <row r="1890" spans="1:12" s="49" customFormat="1" ht="14.15" customHeight="1">
      <c r="A1890" s="45"/>
      <c r="B1890" s="11"/>
      <c r="C1890" s="11" t="s">
        <v>18</v>
      </c>
      <c r="D1890" s="45" t="s">
        <v>16</v>
      </c>
      <c r="E1890" s="47"/>
      <c r="F1890" s="39" t="s">
        <v>1587</v>
      </c>
      <c r="G1890" s="13" t="s">
        <v>8690</v>
      </c>
      <c r="H1890" s="99" t="str">
        <f t="shared" si="96"/>
        <v>W272.F</v>
      </c>
      <c r="I1890" s="45"/>
      <c r="J1890" s="47"/>
      <c r="K1890" s="47"/>
      <c r="L1890" s="48"/>
    </row>
    <row r="1891" spans="1:12" s="49" customFormat="1" ht="14.15" customHeight="1">
      <c r="A1891" s="45"/>
      <c r="B1891" s="11"/>
      <c r="C1891" s="11" t="s">
        <v>18</v>
      </c>
      <c r="D1891" s="45" t="s">
        <v>16</v>
      </c>
      <c r="E1891" s="47"/>
      <c r="F1891" s="39" t="s">
        <v>1588</v>
      </c>
      <c r="G1891" s="13" t="s">
        <v>8691</v>
      </c>
      <c r="H1891" s="99" t="str">
        <f t="shared" si="96"/>
        <v>W273.0</v>
      </c>
      <c r="I1891" s="45"/>
      <c r="J1891" s="47"/>
      <c r="K1891" s="47"/>
      <c r="L1891" s="48"/>
    </row>
    <row r="1892" spans="1:12" s="49" customFormat="1" ht="14.15" customHeight="1">
      <c r="A1892" s="45"/>
      <c r="B1892" s="11"/>
      <c r="C1892" s="11" t="s">
        <v>18</v>
      </c>
      <c r="D1892" s="45" t="s">
        <v>16</v>
      </c>
      <c r="E1892" s="47"/>
      <c r="F1892" s="39" t="s">
        <v>1589</v>
      </c>
      <c r="G1892" s="13" t="s">
        <v>8692</v>
      </c>
      <c r="H1892" s="99" t="str">
        <f t="shared" si="96"/>
        <v>W273.1</v>
      </c>
      <c r="I1892" s="45"/>
      <c r="J1892" s="47"/>
      <c r="K1892" s="47"/>
      <c r="L1892" s="48"/>
    </row>
    <row r="1893" spans="1:12" s="49" customFormat="1" ht="14.15" customHeight="1">
      <c r="A1893" s="45"/>
      <c r="B1893" s="11"/>
      <c r="C1893" s="11" t="s">
        <v>18</v>
      </c>
      <c r="D1893" s="45" t="s">
        <v>16</v>
      </c>
      <c r="E1893" s="47"/>
      <c r="F1893" s="39" t="s">
        <v>1590</v>
      </c>
      <c r="G1893" s="13" t="s">
        <v>8693</v>
      </c>
      <c r="H1893" s="99" t="str">
        <f t="shared" si="96"/>
        <v>W273.2</v>
      </c>
      <c r="I1893" s="45"/>
      <c r="J1893" s="47"/>
      <c r="K1893" s="47"/>
      <c r="L1893" s="48"/>
    </row>
    <row r="1894" spans="1:12" s="49" customFormat="1" ht="14.15" customHeight="1">
      <c r="A1894" s="45"/>
      <c r="B1894" s="11"/>
      <c r="C1894" s="11" t="s">
        <v>18</v>
      </c>
      <c r="D1894" s="45" t="s">
        <v>16</v>
      </c>
      <c r="E1894" s="47"/>
      <c r="F1894" s="39" t="s">
        <v>1591</v>
      </c>
      <c r="G1894" s="13" t="s">
        <v>8694</v>
      </c>
      <c r="H1894" s="99" t="str">
        <f t="shared" si="96"/>
        <v>W273.3</v>
      </c>
      <c r="I1894" s="45"/>
      <c r="J1894" s="47"/>
      <c r="K1894" s="47"/>
      <c r="L1894" s="48"/>
    </row>
    <row r="1895" spans="1:12" s="49" customFormat="1" ht="14.15" customHeight="1">
      <c r="A1895" s="45"/>
      <c r="B1895" s="11"/>
      <c r="C1895" s="11" t="s">
        <v>18</v>
      </c>
      <c r="D1895" s="45" t="s">
        <v>16</v>
      </c>
      <c r="E1895" s="47"/>
      <c r="F1895" s="39" t="s">
        <v>1592</v>
      </c>
      <c r="G1895" s="13" t="s">
        <v>8695</v>
      </c>
      <c r="H1895" s="99" t="str">
        <f t="shared" si="96"/>
        <v>W273.4</v>
      </c>
      <c r="I1895" s="45"/>
      <c r="J1895" s="47"/>
      <c r="K1895" s="47"/>
      <c r="L1895" s="48"/>
    </row>
    <row r="1896" spans="1:12" s="49" customFormat="1" ht="14.15" customHeight="1">
      <c r="A1896" s="45"/>
      <c r="B1896" s="11"/>
      <c r="C1896" s="11" t="s">
        <v>18</v>
      </c>
      <c r="D1896" s="45" t="s">
        <v>16</v>
      </c>
      <c r="E1896" s="47"/>
      <c r="F1896" s="39" t="s">
        <v>1593</v>
      </c>
      <c r="G1896" s="13" t="s">
        <v>8696</v>
      </c>
      <c r="H1896" s="99" t="str">
        <f t="shared" si="96"/>
        <v>W273.5</v>
      </c>
      <c r="I1896" s="45"/>
      <c r="J1896" s="47"/>
      <c r="K1896" s="47"/>
      <c r="L1896" s="48"/>
    </row>
    <row r="1897" spans="1:12" s="49" customFormat="1" ht="14.15" customHeight="1">
      <c r="A1897" s="45"/>
      <c r="B1897" s="11"/>
      <c r="C1897" s="11" t="s">
        <v>18</v>
      </c>
      <c r="D1897" s="45" t="s">
        <v>16</v>
      </c>
      <c r="E1897" s="47"/>
      <c r="F1897" s="39" t="s">
        <v>1594</v>
      </c>
      <c r="G1897" s="13" t="s">
        <v>8697</v>
      </c>
      <c r="H1897" s="99" t="str">
        <f t="shared" si="96"/>
        <v>W273.6</v>
      </c>
      <c r="I1897" s="45"/>
      <c r="J1897" s="47"/>
      <c r="K1897" s="47"/>
      <c r="L1897" s="48"/>
    </row>
    <row r="1898" spans="1:12" s="49" customFormat="1" ht="14.15" customHeight="1">
      <c r="A1898" s="45"/>
      <c r="B1898" s="11"/>
      <c r="C1898" s="11" t="s">
        <v>18</v>
      </c>
      <c r="D1898" s="45" t="s">
        <v>16</v>
      </c>
      <c r="E1898" s="47"/>
      <c r="F1898" s="39" t="s">
        <v>1595</v>
      </c>
      <c r="G1898" s="13" t="s">
        <v>8698</v>
      </c>
      <c r="H1898" s="99" t="str">
        <f t="shared" si="96"/>
        <v>W273.7</v>
      </c>
      <c r="I1898" s="45"/>
      <c r="J1898" s="47"/>
      <c r="K1898" s="47"/>
      <c r="L1898" s="48"/>
    </row>
    <row r="1899" spans="1:12" s="49" customFormat="1" ht="14.15" customHeight="1">
      <c r="A1899" s="45"/>
      <c r="B1899" s="11"/>
      <c r="C1899" s="11" t="s">
        <v>18</v>
      </c>
      <c r="D1899" s="45" t="s">
        <v>16</v>
      </c>
      <c r="E1899" s="47"/>
      <c r="F1899" s="39" t="s">
        <v>1596</v>
      </c>
      <c r="G1899" s="13" t="s">
        <v>8699</v>
      </c>
      <c r="H1899" s="99" t="str">
        <f t="shared" si="96"/>
        <v>W273.8</v>
      </c>
      <c r="I1899" s="45"/>
      <c r="J1899" s="47"/>
      <c r="K1899" s="47"/>
      <c r="L1899" s="48"/>
    </row>
    <row r="1900" spans="1:12" s="49" customFormat="1" ht="14.15" customHeight="1">
      <c r="A1900" s="45"/>
      <c r="B1900" s="11"/>
      <c r="C1900" s="11" t="s">
        <v>18</v>
      </c>
      <c r="D1900" s="45" t="s">
        <v>16</v>
      </c>
      <c r="E1900" s="47"/>
      <c r="F1900" s="39" t="s">
        <v>1597</v>
      </c>
      <c r="G1900" s="13" t="s">
        <v>8700</v>
      </c>
      <c r="H1900" s="99" t="str">
        <f t="shared" si="96"/>
        <v>W273.9</v>
      </c>
      <c r="I1900" s="45"/>
      <c r="J1900" s="47"/>
      <c r="K1900" s="47"/>
      <c r="L1900" s="48"/>
    </row>
    <row r="1901" spans="1:12" s="49" customFormat="1" ht="14.15" customHeight="1">
      <c r="A1901" s="45"/>
      <c r="B1901" s="11"/>
      <c r="C1901" s="11" t="s">
        <v>18</v>
      </c>
      <c r="D1901" s="45" t="s">
        <v>16</v>
      </c>
      <c r="E1901" s="47"/>
      <c r="F1901" s="39" t="s">
        <v>1598</v>
      </c>
      <c r="G1901" s="13" t="s">
        <v>8701</v>
      </c>
      <c r="H1901" s="99" t="str">
        <f t="shared" si="96"/>
        <v>W273.A</v>
      </c>
      <c r="I1901" s="45"/>
      <c r="J1901" s="47"/>
      <c r="K1901" s="47"/>
      <c r="L1901" s="48"/>
    </row>
    <row r="1902" spans="1:12" s="49" customFormat="1" ht="14.15" customHeight="1">
      <c r="A1902" s="45"/>
      <c r="B1902" s="11"/>
      <c r="C1902" s="11" t="s">
        <v>18</v>
      </c>
      <c r="D1902" s="45" t="s">
        <v>16</v>
      </c>
      <c r="E1902" s="47"/>
      <c r="F1902" s="39" t="s">
        <v>1599</v>
      </c>
      <c r="G1902" s="13" t="s">
        <v>8702</v>
      </c>
      <c r="H1902" s="99" t="str">
        <f t="shared" si="96"/>
        <v>W273.B</v>
      </c>
      <c r="I1902" s="45"/>
      <c r="J1902" s="47"/>
      <c r="K1902" s="47"/>
      <c r="L1902" s="48"/>
    </row>
    <row r="1903" spans="1:12" s="49" customFormat="1" ht="14.15" customHeight="1">
      <c r="A1903" s="45"/>
      <c r="B1903" s="11"/>
      <c r="C1903" s="11" t="s">
        <v>18</v>
      </c>
      <c r="D1903" s="45" t="s">
        <v>16</v>
      </c>
      <c r="E1903" s="47"/>
      <c r="F1903" s="39" t="s">
        <v>1600</v>
      </c>
      <c r="G1903" s="13" t="s">
        <v>8703</v>
      </c>
      <c r="H1903" s="99" t="str">
        <f t="shared" si="96"/>
        <v>W273.C</v>
      </c>
      <c r="I1903" s="45"/>
      <c r="J1903" s="47"/>
      <c r="K1903" s="47"/>
      <c r="L1903" s="48"/>
    </row>
    <row r="1904" spans="1:12" s="49" customFormat="1" ht="14.15" customHeight="1">
      <c r="A1904" s="45"/>
      <c r="B1904" s="11"/>
      <c r="C1904" s="11" t="s">
        <v>18</v>
      </c>
      <c r="D1904" s="45" t="s">
        <v>16</v>
      </c>
      <c r="E1904" s="47"/>
      <c r="F1904" s="39" t="s">
        <v>1601</v>
      </c>
      <c r="G1904" s="13" t="s">
        <v>8704</v>
      </c>
      <c r="H1904" s="99" t="str">
        <f t="shared" si="96"/>
        <v>W273.D</v>
      </c>
      <c r="I1904" s="45"/>
      <c r="J1904" s="47"/>
      <c r="K1904" s="47"/>
      <c r="L1904" s="48"/>
    </row>
    <row r="1905" spans="1:12" s="49" customFormat="1" ht="14.15" customHeight="1">
      <c r="A1905" s="45"/>
      <c r="B1905" s="11"/>
      <c r="C1905" s="11" t="s">
        <v>18</v>
      </c>
      <c r="D1905" s="45" t="s">
        <v>16</v>
      </c>
      <c r="E1905" s="47"/>
      <c r="F1905" s="39" t="s">
        <v>1602</v>
      </c>
      <c r="G1905" s="13" t="s">
        <v>8705</v>
      </c>
      <c r="H1905" s="99" t="str">
        <f t="shared" si="96"/>
        <v>W273.E</v>
      </c>
      <c r="I1905" s="45"/>
      <c r="J1905" s="47"/>
      <c r="K1905" s="47"/>
      <c r="L1905" s="48"/>
    </row>
    <row r="1906" spans="1:12" s="49" customFormat="1" ht="14.15" customHeight="1">
      <c r="A1906" s="45"/>
      <c r="B1906" s="11"/>
      <c r="C1906" s="11" t="s">
        <v>18</v>
      </c>
      <c r="D1906" s="45" t="s">
        <v>16</v>
      </c>
      <c r="E1906" s="47"/>
      <c r="F1906" s="39" t="s">
        <v>1603</v>
      </c>
      <c r="G1906" s="13" t="s">
        <v>8706</v>
      </c>
      <c r="H1906" s="99" t="str">
        <f t="shared" si="96"/>
        <v>W273.F</v>
      </c>
      <c r="I1906" s="45"/>
      <c r="J1906" s="47"/>
      <c r="K1906" s="47"/>
      <c r="L1906" s="48"/>
    </row>
    <row r="1907" spans="1:12" s="49" customFormat="1" ht="14.15" customHeight="1">
      <c r="A1907" s="45"/>
      <c r="B1907" s="11"/>
      <c r="C1907" s="11" t="s">
        <v>18</v>
      </c>
      <c r="D1907" s="45" t="s">
        <v>16</v>
      </c>
      <c r="E1907" s="47"/>
      <c r="F1907" s="39" t="s">
        <v>1604</v>
      </c>
      <c r="G1907" s="13" t="s">
        <v>8707</v>
      </c>
      <c r="H1907" s="99" t="str">
        <f t="shared" si="96"/>
        <v>W274.0</v>
      </c>
      <c r="I1907" s="45"/>
      <c r="J1907" s="47"/>
      <c r="K1907" s="47"/>
      <c r="L1907" s="48"/>
    </row>
    <row r="1908" spans="1:12" s="49" customFormat="1" ht="14.15" customHeight="1">
      <c r="A1908" s="45"/>
      <c r="B1908" s="11"/>
      <c r="C1908" s="11" t="s">
        <v>18</v>
      </c>
      <c r="D1908" s="45" t="s">
        <v>16</v>
      </c>
      <c r="E1908" s="47"/>
      <c r="F1908" s="39" t="s">
        <v>1605</v>
      </c>
      <c r="G1908" s="13" t="s">
        <v>8708</v>
      </c>
      <c r="H1908" s="99" t="str">
        <f t="shared" ref="H1908:H1971" si="97">"W"&amp;DEC2HEX(512 + INT((ROW()-51)/16)) &amp; "." &amp; IF(MOD(ROW()-51,16)&lt;10,MOD(ROW()-51,16),CHAR(MOD(ROW()-51,16)+55))</f>
        <v>W274.1</v>
      </c>
      <c r="I1908" s="45"/>
      <c r="J1908" s="47"/>
      <c r="K1908" s="47"/>
      <c r="L1908" s="48"/>
    </row>
    <row r="1909" spans="1:12" s="49" customFormat="1" ht="14.15" customHeight="1">
      <c r="A1909" s="45"/>
      <c r="B1909" s="11"/>
      <c r="C1909" s="11" t="s">
        <v>18</v>
      </c>
      <c r="D1909" s="45" t="s">
        <v>16</v>
      </c>
      <c r="E1909" s="47"/>
      <c r="F1909" s="39" t="s">
        <v>1606</v>
      </c>
      <c r="G1909" s="13" t="s">
        <v>8709</v>
      </c>
      <c r="H1909" s="99" t="str">
        <f t="shared" si="97"/>
        <v>W274.2</v>
      </c>
      <c r="I1909" s="45"/>
      <c r="J1909" s="47"/>
      <c r="K1909" s="47"/>
      <c r="L1909" s="48"/>
    </row>
    <row r="1910" spans="1:12" s="49" customFormat="1" ht="14.15" customHeight="1">
      <c r="A1910" s="45"/>
      <c r="B1910" s="11"/>
      <c r="C1910" s="11" t="s">
        <v>18</v>
      </c>
      <c r="D1910" s="45" t="s">
        <v>16</v>
      </c>
      <c r="E1910" s="47"/>
      <c r="F1910" s="39" t="s">
        <v>1607</v>
      </c>
      <c r="G1910" s="13" t="s">
        <v>8710</v>
      </c>
      <c r="H1910" s="99" t="str">
        <f t="shared" si="97"/>
        <v>W274.3</v>
      </c>
      <c r="I1910" s="45"/>
      <c r="J1910" s="47"/>
      <c r="K1910" s="47"/>
      <c r="L1910" s="48"/>
    </row>
    <row r="1911" spans="1:12" s="49" customFormat="1" ht="14.15" customHeight="1">
      <c r="A1911" s="45"/>
      <c r="B1911" s="11"/>
      <c r="C1911" s="11" t="s">
        <v>18</v>
      </c>
      <c r="D1911" s="45" t="s">
        <v>16</v>
      </c>
      <c r="E1911" s="47"/>
      <c r="F1911" s="39" t="s">
        <v>1608</v>
      </c>
      <c r="G1911" s="13" t="s">
        <v>8711</v>
      </c>
      <c r="H1911" s="99" t="str">
        <f t="shared" si="97"/>
        <v>W274.4</v>
      </c>
      <c r="I1911" s="45"/>
      <c r="J1911" s="47"/>
      <c r="K1911" s="47"/>
      <c r="L1911" s="48"/>
    </row>
    <row r="1912" spans="1:12" s="49" customFormat="1" ht="14.15" customHeight="1">
      <c r="A1912" s="45"/>
      <c r="B1912" s="11"/>
      <c r="C1912" s="11" t="s">
        <v>18</v>
      </c>
      <c r="D1912" s="45" t="s">
        <v>16</v>
      </c>
      <c r="E1912" s="47"/>
      <c r="F1912" s="39" t="s">
        <v>1609</v>
      </c>
      <c r="G1912" s="13" t="s">
        <v>8712</v>
      </c>
      <c r="H1912" s="99" t="str">
        <f t="shared" si="97"/>
        <v>W274.5</v>
      </c>
      <c r="I1912" s="45"/>
      <c r="J1912" s="47"/>
      <c r="K1912" s="47"/>
      <c r="L1912" s="48"/>
    </row>
    <row r="1913" spans="1:12" s="49" customFormat="1" ht="14.15" customHeight="1">
      <c r="A1913" s="45"/>
      <c r="B1913" s="11"/>
      <c r="C1913" s="11" t="s">
        <v>18</v>
      </c>
      <c r="D1913" s="45" t="s">
        <v>16</v>
      </c>
      <c r="E1913" s="47"/>
      <c r="F1913" s="39" t="s">
        <v>1610</v>
      </c>
      <c r="G1913" s="13" t="s">
        <v>8713</v>
      </c>
      <c r="H1913" s="99" t="str">
        <f t="shared" si="97"/>
        <v>W274.6</v>
      </c>
      <c r="I1913" s="45"/>
      <c r="J1913" s="47"/>
      <c r="K1913" s="47"/>
      <c r="L1913" s="48"/>
    </row>
    <row r="1914" spans="1:12" s="49" customFormat="1" ht="14.15" customHeight="1">
      <c r="A1914" s="45"/>
      <c r="B1914" s="11"/>
      <c r="C1914" s="11" t="s">
        <v>18</v>
      </c>
      <c r="D1914" s="45" t="s">
        <v>16</v>
      </c>
      <c r="E1914" s="47"/>
      <c r="F1914" s="39" t="s">
        <v>1611</v>
      </c>
      <c r="G1914" s="13" t="s">
        <v>8714</v>
      </c>
      <c r="H1914" s="99" t="str">
        <f t="shared" si="97"/>
        <v>W274.7</v>
      </c>
      <c r="I1914" s="45"/>
      <c r="J1914" s="47"/>
      <c r="K1914" s="47"/>
      <c r="L1914" s="48"/>
    </row>
    <row r="1915" spans="1:12" s="49" customFormat="1" ht="14.15" customHeight="1">
      <c r="A1915" s="45"/>
      <c r="B1915" s="11"/>
      <c r="C1915" s="11" t="s">
        <v>18</v>
      </c>
      <c r="D1915" s="45" t="s">
        <v>16</v>
      </c>
      <c r="E1915" s="47"/>
      <c r="F1915" s="39" t="s">
        <v>1612</v>
      </c>
      <c r="G1915" s="13" t="s">
        <v>8715</v>
      </c>
      <c r="H1915" s="99" t="str">
        <f t="shared" si="97"/>
        <v>W274.8</v>
      </c>
      <c r="I1915" s="45"/>
      <c r="J1915" s="47"/>
      <c r="K1915" s="47"/>
      <c r="L1915" s="48"/>
    </row>
    <row r="1916" spans="1:12" s="49" customFormat="1" ht="14.15" customHeight="1">
      <c r="A1916" s="45"/>
      <c r="B1916" s="11"/>
      <c r="C1916" s="11" t="s">
        <v>18</v>
      </c>
      <c r="D1916" s="45" t="s">
        <v>16</v>
      </c>
      <c r="E1916" s="47"/>
      <c r="F1916" s="39" t="s">
        <v>1613</v>
      </c>
      <c r="G1916" s="13" t="s">
        <v>8716</v>
      </c>
      <c r="H1916" s="99" t="str">
        <f t="shared" si="97"/>
        <v>W274.9</v>
      </c>
      <c r="I1916" s="45"/>
      <c r="J1916" s="47"/>
      <c r="K1916" s="47"/>
      <c r="L1916" s="48"/>
    </row>
    <row r="1917" spans="1:12" s="49" customFormat="1" ht="14.15" customHeight="1">
      <c r="A1917" s="45"/>
      <c r="B1917" s="11"/>
      <c r="C1917" s="11" t="s">
        <v>18</v>
      </c>
      <c r="D1917" s="45" t="s">
        <v>16</v>
      </c>
      <c r="E1917" s="47"/>
      <c r="F1917" s="39" t="s">
        <v>1614</v>
      </c>
      <c r="G1917" s="13" t="s">
        <v>8717</v>
      </c>
      <c r="H1917" s="99" t="str">
        <f t="shared" si="97"/>
        <v>W274.A</v>
      </c>
      <c r="I1917" s="45"/>
      <c r="J1917" s="47"/>
      <c r="K1917" s="47"/>
      <c r="L1917" s="48"/>
    </row>
    <row r="1918" spans="1:12" s="49" customFormat="1" ht="14.15" customHeight="1">
      <c r="A1918" s="45"/>
      <c r="B1918" s="11"/>
      <c r="C1918" s="11" t="s">
        <v>18</v>
      </c>
      <c r="D1918" s="45" t="s">
        <v>16</v>
      </c>
      <c r="E1918" s="47"/>
      <c r="F1918" s="39" t="s">
        <v>1615</v>
      </c>
      <c r="G1918" s="13" t="s">
        <v>8718</v>
      </c>
      <c r="H1918" s="99" t="str">
        <f t="shared" si="97"/>
        <v>W274.B</v>
      </c>
      <c r="I1918" s="45"/>
      <c r="J1918" s="47"/>
      <c r="K1918" s="47"/>
      <c r="L1918" s="48"/>
    </row>
    <row r="1919" spans="1:12" s="49" customFormat="1" ht="14.15" customHeight="1">
      <c r="A1919" s="45"/>
      <c r="B1919" s="11"/>
      <c r="C1919" s="11" t="s">
        <v>18</v>
      </c>
      <c r="D1919" s="45" t="s">
        <v>16</v>
      </c>
      <c r="E1919" s="47"/>
      <c r="F1919" s="39" t="s">
        <v>1616</v>
      </c>
      <c r="G1919" s="13" t="s">
        <v>8719</v>
      </c>
      <c r="H1919" s="99" t="str">
        <f t="shared" si="97"/>
        <v>W274.C</v>
      </c>
      <c r="I1919" s="45"/>
      <c r="J1919" s="47"/>
      <c r="K1919" s="47"/>
      <c r="L1919" s="48"/>
    </row>
    <row r="1920" spans="1:12" s="49" customFormat="1" ht="14.15" customHeight="1">
      <c r="A1920" s="45"/>
      <c r="B1920" s="11"/>
      <c r="C1920" s="11" t="s">
        <v>18</v>
      </c>
      <c r="D1920" s="45" t="s">
        <v>16</v>
      </c>
      <c r="E1920" s="47"/>
      <c r="F1920" s="39" t="s">
        <v>1617</v>
      </c>
      <c r="G1920" s="13" t="s">
        <v>8720</v>
      </c>
      <c r="H1920" s="99" t="str">
        <f t="shared" si="97"/>
        <v>W274.D</v>
      </c>
      <c r="I1920" s="45"/>
      <c r="J1920" s="47"/>
      <c r="K1920" s="47"/>
      <c r="L1920" s="48"/>
    </row>
    <row r="1921" spans="1:12" s="49" customFormat="1" ht="14.15" customHeight="1">
      <c r="A1921" s="45"/>
      <c r="B1921" s="11"/>
      <c r="C1921" s="11" t="s">
        <v>18</v>
      </c>
      <c r="D1921" s="45" t="s">
        <v>16</v>
      </c>
      <c r="E1921" s="47"/>
      <c r="F1921" s="39" t="s">
        <v>1618</v>
      </c>
      <c r="G1921" s="13" t="s">
        <v>8721</v>
      </c>
      <c r="H1921" s="99" t="str">
        <f t="shared" si="97"/>
        <v>W274.E</v>
      </c>
      <c r="I1921" s="45"/>
      <c r="J1921" s="47"/>
      <c r="K1921" s="47"/>
      <c r="L1921" s="48"/>
    </row>
    <row r="1922" spans="1:12" s="49" customFormat="1" ht="14.15" customHeight="1">
      <c r="A1922" s="45"/>
      <c r="B1922" s="11"/>
      <c r="C1922" s="11" t="s">
        <v>18</v>
      </c>
      <c r="D1922" s="45" t="s">
        <v>16</v>
      </c>
      <c r="E1922" s="47"/>
      <c r="F1922" s="39" t="s">
        <v>1619</v>
      </c>
      <c r="G1922" s="13" t="s">
        <v>8722</v>
      </c>
      <c r="H1922" s="99" t="str">
        <f t="shared" si="97"/>
        <v>W274.F</v>
      </c>
      <c r="I1922" s="45"/>
      <c r="J1922" s="47"/>
      <c r="K1922" s="47"/>
      <c r="L1922" s="48"/>
    </row>
    <row r="1923" spans="1:12" s="49" customFormat="1" ht="14.15" customHeight="1">
      <c r="A1923" s="45"/>
      <c r="B1923" s="11"/>
      <c r="C1923" s="11" t="s">
        <v>18</v>
      </c>
      <c r="D1923" s="45" t="s">
        <v>16</v>
      </c>
      <c r="E1923" s="47"/>
      <c r="F1923" s="39" t="s">
        <v>1620</v>
      </c>
      <c r="G1923" s="13" t="s">
        <v>8723</v>
      </c>
      <c r="H1923" s="99" t="str">
        <f t="shared" si="97"/>
        <v>W275.0</v>
      </c>
      <c r="I1923" s="45"/>
      <c r="J1923" s="47"/>
      <c r="K1923" s="47"/>
      <c r="L1923" s="48"/>
    </row>
    <row r="1924" spans="1:12" s="49" customFormat="1" ht="14.15" customHeight="1">
      <c r="A1924" s="45"/>
      <c r="B1924" s="11"/>
      <c r="C1924" s="11" t="s">
        <v>18</v>
      </c>
      <c r="D1924" s="45" t="s">
        <v>16</v>
      </c>
      <c r="E1924" s="47"/>
      <c r="F1924" s="39" t="s">
        <v>1621</v>
      </c>
      <c r="G1924" s="13" t="s">
        <v>8724</v>
      </c>
      <c r="H1924" s="99" t="str">
        <f t="shared" si="97"/>
        <v>W275.1</v>
      </c>
      <c r="I1924" s="45"/>
      <c r="J1924" s="47"/>
      <c r="K1924" s="47"/>
      <c r="L1924" s="48"/>
    </row>
    <row r="1925" spans="1:12" s="49" customFormat="1" ht="14.15" customHeight="1">
      <c r="A1925" s="45"/>
      <c r="B1925" s="11"/>
      <c r="C1925" s="11" t="s">
        <v>18</v>
      </c>
      <c r="D1925" s="45" t="s">
        <v>16</v>
      </c>
      <c r="E1925" s="47"/>
      <c r="F1925" s="39" t="s">
        <v>1622</v>
      </c>
      <c r="G1925" s="13" t="s">
        <v>8725</v>
      </c>
      <c r="H1925" s="99" t="str">
        <f t="shared" si="97"/>
        <v>W275.2</v>
      </c>
      <c r="I1925" s="45"/>
      <c r="J1925" s="47"/>
      <c r="K1925" s="47"/>
      <c r="L1925" s="48"/>
    </row>
    <row r="1926" spans="1:12" s="49" customFormat="1" ht="14.15" customHeight="1">
      <c r="A1926" s="45"/>
      <c r="B1926" s="11"/>
      <c r="C1926" s="11" t="s">
        <v>18</v>
      </c>
      <c r="D1926" s="45" t="s">
        <v>16</v>
      </c>
      <c r="E1926" s="47"/>
      <c r="F1926" s="39" t="s">
        <v>1623</v>
      </c>
      <c r="G1926" s="13" t="s">
        <v>8726</v>
      </c>
      <c r="H1926" s="99" t="str">
        <f t="shared" si="97"/>
        <v>W275.3</v>
      </c>
      <c r="I1926" s="45"/>
      <c r="J1926" s="47"/>
      <c r="K1926" s="47"/>
      <c r="L1926" s="48"/>
    </row>
    <row r="1927" spans="1:12" s="49" customFormat="1" ht="14.15" customHeight="1">
      <c r="A1927" s="45"/>
      <c r="B1927" s="11"/>
      <c r="C1927" s="11" t="s">
        <v>18</v>
      </c>
      <c r="D1927" s="45" t="s">
        <v>16</v>
      </c>
      <c r="E1927" s="47"/>
      <c r="F1927" s="39" t="s">
        <v>1624</v>
      </c>
      <c r="G1927" s="13" t="s">
        <v>8727</v>
      </c>
      <c r="H1927" s="99" t="str">
        <f t="shared" si="97"/>
        <v>W275.4</v>
      </c>
      <c r="I1927" s="45"/>
      <c r="J1927" s="47"/>
      <c r="K1927" s="47"/>
      <c r="L1927" s="48"/>
    </row>
    <row r="1928" spans="1:12" s="49" customFormat="1" ht="14.15" customHeight="1">
      <c r="A1928" s="45"/>
      <c r="B1928" s="11"/>
      <c r="C1928" s="11" t="s">
        <v>18</v>
      </c>
      <c r="D1928" s="45" t="s">
        <v>16</v>
      </c>
      <c r="E1928" s="47"/>
      <c r="F1928" s="39" t="s">
        <v>1625</v>
      </c>
      <c r="G1928" s="13" t="s">
        <v>8728</v>
      </c>
      <c r="H1928" s="99" t="str">
        <f t="shared" si="97"/>
        <v>W275.5</v>
      </c>
      <c r="I1928" s="45"/>
      <c r="J1928" s="47"/>
      <c r="K1928" s="47"/>
      <c r="L1928" s="48"/>
    </row>
    <row r="1929" spans="1:12" s="49" customFormat="1" ht="14.15" customHeight="1">
      <c r="A1929" s="45"/>
      <c r="B1929" s="11"/>
      <c r="C1929" s="11" t="s">
        <v>18</v>
      </c>
      <c r="D1929" s="45" t="s">
        <v>16</v>
      </c>
      <c r="E1929" s="47"/>
      <c r="F1929" s="39" t="s">
        <v>1626</v>
      </c>
      <c r="G1929" s="13" t="s">
        <v>8729</v>
      </c>
      <c r="H1929" s="99" t="str">
        <f t="shared" si="97"/>
        <v>W275.6</v>
      </c>
      <c r="I1929" s="45"/>
      <c r="J1929" s="47"/>
      <c r="K1929" s="47"/>
      <c r="L1929" s="48"/>
    </row>
    <row r="1930" spans="1:12" s="49" customFormat="1" ht="14.15" customHeight="1">
      <c r="A1930" s="45"/>
      <c r="B1930" s="11"/>
      <c r="C1930" s="11" t="s">
        <v>18</v>
      </c>
      <c r="D1930" s="45" t="s">
        <v>16</v>
      </c>
      <c r="E1930" s="47"/>
      <c r="F1930" s="39" t="s">
        <v>1627</v>
      </c>
      <c r="G1930" s="13" t="s">
        <v>8730</v>
      </c>
      <c r="H1930" s="99" t="str">
        <f t="shared" si="97"/>
        <v>W275.7</v>
      </c>
      <c r="I1930" s="45"/>
      <c r="J1930" s="47"/>
      <c r="K1930" s="47"/>
      <c r="L1930" s="48"/>
    </row>
    <row r="1931" spans="1:12" s="49" customFormat="1" ht="14.15" customHeight="1">
      <c r="A1931" s="45"/>
      <c r="B1931" s="11"/>
      <c r="C1931" s="11" t="s">
        <v>18</v>
      </c>
      <c r="D1931" s="45" t="s">
        <v>16</v>
      </c>
      <c r="E1931" s="47"/>
      <c r="F1931" s="39" t="s">
        <v>1628</v>
      </c>
      <c r="G1931" s="13" t="s">
        <v>8731</v>
      </c>
      <c r="H1931" s="99" t="str">
        <f t="shared" si="97"/>
        <v>W275.8</v>
      </c>
      <c r="I1931" s="45"/>
      <c r="J1931" s="47"/>
      <c r="K1931" s="47"/>
      <c r="L1931" s="48"/>
    </row>
    <row r="1932" spans="1:12" s="49" customFormat="1" ht="14.15" customHeight="1">
      <c r="A1932" s="45"/>
      <c r="B1932" s="11"/>
      <c r="C1932" s="11" t="s">
        <v>18</v>
      </c>
      <c r="D1932" s="45" t="s">
        <v>16</v>
      </c>
      <c r="E1932" s="47"/>
      <c r="F1932" s="39" t="s">
        <v>1629</v>
      </c>
      <c r="G1932" s="13" t="s">
        <v>8732</v>
      </c>
      <c r="H1932" s="99" t="str">
        <f t="shared" si="97"/>
        <v>W275.9</v>
      </c>
      <c r="I1932" s="45"/>
      <c r="J1932" s="47"/>
      <c r="K1932" s="47"/>
      <c r="L1932" s="48"/>
    </row>
    <row r="1933" spans="1:12" s="49" customFormat="1" ht="14.15" customHeight="1">
      <c r="A1933" s="45"/>
      <c r="B1933" s="11"/>
      <c r="C1933" s="11" t="s">
        <v>18</v>
      </c>
      <c r="D1933" s="45" t="s">
        <v>16</v>
      </c>
      <c r="E1933" s="47"/>
      <c r="F1933" s="39" t="s">
        <v>1630</v>
      </c>
      <c r="G1933" s="13" t="s">
        <v>8733</v>
      </c>
      <c r="H1933" s="99" t="str">
        <f t="shared" si="97"/>
        <v>W275.A</v>
      </c>
      <c r="I1933" s="45"/>
      <c r="J1933" s="47"/>
      <c r="K1933" s="47"/>
      <c r="L1933" s="48"/>
    </row>
    <row r="1934" spans="1:12" s="49" customFormat="1" ht="14.15" customHeight="1">
      <c r="A1934" s="45"/>
      <c r="B1934" s="11"/>
      <c r="C1934" s="11" t="s">
        <v>18</v>
      </c>
      <c r="D1934" s="45" t="s">
        <v>16</v>
      </c>
      <c r="E1934" s="47"/>
      <c r="F1934" s="39" t="s">
        <v>1631</v>
      </c>
      <c r="G1934" s="13" t="s">
        <v>8734</v>
      </c>
      <c r="H1934" s="99" t="str">
        <f t="shared" si="97"/>
        <v>W275.B</v>
      </c>
      <c r="I1934" s="45"/>
      <c r="J1934" s="47"/>
      <c r="K1934" s="47"/>
      <c r="L1934" s="48"/>
    </row>
    <row r="1935" spans="1:12" s="49" customFormat="1" ht="14.15" customHeight="1">
      <c r="A1935" s="45"/>
      <c r="B1935" s="11"/>
      <c r="C1935" s="11" t="s">
        <v>18</v>
      </c>
      <c r="D1935" s="45" t="s">
        <v>16</v>
      </c>
      <c r="E1935" s="47"/>
      <c r="F1935" s="39" t="s">
        <v>1632</v>
      </c>
      <c r="G1935" s="13" t="s">
        <v>8735</v>
      </c>
      <c r="H1935" s="99" t="str">
        <f t="shared" si="97"/>
        <v>W275.C</v>
      </c>
      <c r="I1935" s="45"/>
      <c r="J1935" s="47"/>
      <c r="K1935" s="47"/>
      <c r="L1935" s="48"/>
    </row>
    <row r="1936" spans="1:12" s="49" customFormat="1" ht="14.15" customHeight="1">
      <c r="A1936" s="45"/>
      <c r="B1936" s="11"/>
      <c r="C1936" s="11" t="s">
        <v>18</v>
      </c>
      <c r="D1936" s="45" t="s">
        <v>16</v>
      </c>
      <c r="E1936" s="47"/>
      <c r="F1936" s="39" t="s">
        <v>1633</v>
      </c>
      <c r="G1936" s="13" t="s">
        <v>8736</v>
      </c>
      <c r="H1936" s="99" t="str">
        <f t="shared" si="97"/>
        <v>W275.D</v>
      </c>
      <c r="I1936" s="45"/>
      <c r="J1936" s="47"/>
      <c r="K1936" s="47"/>
      <c r="L1936" s="48"/>
    </row>
    <row r="1937" spans="1:12" s="49" customFormat="1" ht="14.15" customHeight="1">
      <c r="A1937" s="45"/>
      <c r="B1937" s="11"/>
      <c r="C1937" s="11" t="s">
        <v>18</v>
      </c>
      <c r="D1937" s="45" t="s">
        <v>16</v>
      </c>
      <c r="E1937" s="47"/>
      <c r="F1937" s="39" t="s">
        <v>1634</v>
      </c>
      <c r="G1937" s="13" t="s">
        <v>8737</v>
      </c>
      <c r="H1937" s="99" t="str">
        <f t="shared" si="97"/>
        <v>W275.E</v>
      </c>
      <c r="I1937" s="45"/>
      <c r="J1937" s="47"/>
      <c r="K1937" s="47"/>
      <c r="L1937" s="48"/>
    </row>
    <row r="1938" spans="1:12" s="49" customFormat="1" ht="14.15" customHeight="1">
      <c r="A1938" s="45"/>
      <c r="B1938" s="11"/>
      <c r="C1938" s="11" t="s">
        <v>18</v>
      </c>
      <c r="D1938" s="45" t="s">
        <v>16</v>
      </c>
      <c r="E1938" s="47"/>
      <c r="F1938" s="39" t="s">
        <v>1635</v>
      </c>
      <c r="G1938" s="13" t="s">
        <v>8738</v>
      </c>
      <c r="H1938" s="99" t="str">
        <f t="shared" si="97"/>
        <v>W275.F</v>
      </c>
      <c r="I1938" s="45"/>
      <c r="J1938" s="47"/>
      <c r="K1938" s="47"/>
      <c r="L1938" s="48"/>
    </row>
    <row r="1939" spans="1:12" s="49" customFormat="1" ht="14.15" customHeight="1">
      <c r="A1939" s="45"/>
      <c r="B1939" s="11"/>
      <c r="C1939" s="11" t="s">
        <v>18</v>
      </c>
      <c r="D1939" s="45" t="s">
        <v>16</v>
      </c>
      <c r="E1939" s="47"/>
      <c r="F1939" s="39" t="s">
        <v>1636</v>
      </c>
      <c r="G1939" s="13" t="s">
        <v>8739</v>
      </c>
      <c r="H1939" s="99" t="str">
        <f t="shared" si="97"/>
        <v>W276.0</v>
      </c>
      <c r="I1939" s="45"/>
      <c r="J1939" s="47"/>
      <c r="K1939" s="47"/>
      <c r="L1939" s="48"/>
    </row>
    <row r="1940" spans="1:12" s="49" customFormat="1" ht="14.15" customHeight="1">
      <c r="A1940" s="45"/>
      <c r="B1940" s="11"/>
      <c r="C1940" s="11" t="s">
        <v>18</v>
      </c>
      <c r="D1940" s="45" t="s">
        <v>16</v>
      </c>
      <c r="E1940" s="47"/>
      <c r="F1940" s="39" t="s">
        <v>1637</v>
      </c>
      <c r="G1940" s="13" t="s">
        <v>8740</v>
      </c>
      <c r="H1940" s="99" t="str">
        <f t="shared" si="97"/>
        <v>W276.1</v>
      </c>
      <c r="I1940" s="45"/>
      <c r="J1940" s="47"/>
      <c r="K1940" s="47"/>
      <c r="L1940" s="48"/>
    </row>
    <row r="1941" spans="1:12" s="49" customFormat="1" ht="14.15" customHeight="1">
      <c r="A1941" s="45"/>
      <c r="B1941" s="11"/>
      <c r="C1941" s="11" t="s">
        <v>18</v>
      </c>
      <c r="D1941" s="45" t="s">
        <v>16</v>
      </c>
      <c r="E1941" s="47"/>
      <c r="F1941" s="39" t="s">
        <v>1638</v>
      </c>
      <c r="G1941" s="13" t="s">
        <v>8741</v>
      </c>
      <c r="H1941" s="99" t="str">
        <f t="shared" si="97"/>
        <v>W276.2</v>
      </c>
      <c r="I1941" s="45"/>
      <c r="J1941" s="47"/>
      <c r="K1941" s="47"/>
      <c r="L1941" s="48"/>
    </row>
    <row r="1942" spans="1:12" s="49" customFormat="1" ht="14.15" customHeight="1">
      <c r="A1942" s="45"/>
      <c r="B1942" s="11"/>
      <c r="C1942" s="11" t="s">
        <v>18</v>
      </c>
      <c r="D1942" s="45" t="s">
        <v>16</v>
      </c>
      <c r="E1942" s="47"/>
      <c r="F1942" s="39" t="s">
        <v>1639</v>
      </c>
      <c r="G1942" s="13" t="s">
        <v>8742</v>
      </c>
      <c r="H1942" s="99" t="str">
        <f t="shared" si="97"/>
        <v>W276.3</v>
      </c>
      <c r="I1942" s="45"/>
      <c r="J1942" s="47"/>
      <c r="K1942" s="47"/>
      <c r="L1942" s="48"/>
    </row>
    <row r="1943" spans="1:12" s="49" customFormat="1" ht="14.15" customHeight="1">
      <c r="A1943" s="45"/>
      <c r="B1943" s="11"/>
      <c r="C1943" s="11" t="s">
        <v>18</v>
      </c>
      <c r="D1943" s="45" t="s">
        <v>16</v>
      </c>
      <c r="E1943" s="47"/>
      <c r="F1943" s="39" t="s">
        <v>1640</v>
      </c>
      <c r="G1943" s="13" t="s">
        <v>8743</v>
      </c>
      <c r="H1943" s="99" t="str">
        <f t="shared" si="97"/>
        <v>W276.4</v>
      </c>
      <c r="I1943" s="45"/>
      <c r="J1943" s="47"/>
      <c r="K1943" s="47"/>
      <c r="L1943" s="48"/>
    </row>
    <row r="1944" spans="1:12" s="49" customFormat="1" ht="14.15" customHeight="1">
      <c r="A1944" s="45"/>
      <c r="B1944" s="11"/>
      <c r="C1944" s="11" t="s">
        <v>18</v>
      </c>
      <c r="D1944" s="45" t="s">
        <v>16</v>
      </c>
      <c r="E1944" s="47"/>
      <c r="F1944" s="39" t="s">
        <v>1641</v>
      </c>
      <c r="G1944" s="13" t="s">
        <v>8744</v>
      </c>
      <c r="H1944" s="99" t="str">
        <f t="shared" si="97"/>
        <v>W276.5</v>
      </c>
      <c r="I1944" s="45"/>
      <c r="J1944" s="47"/>
      <c r="K1944" s="47"/>
      <c r="L1944" s="48"/>
    </row>
    <row r="1945" spans="1:12" s="49" customFormat="1" ht="14.15" customHeight="1">
      <c r="A1945" s="45"/>
      <c r="B1945" s="11"/>
      <c r="C1945" s="11" t="s">
        <v>18</v>
      </c>
      <c r="D1945" s="45" t="s">
        <v>16</v>
      </c>
      <c r="E1945" s="47"/>
      <c r="F1945" s="39" t="s">
        <v>1642</v>
      </c>
      <c r="G1945" s="13" t="s">
        <v>8745</v>
      </c>
      <c r="H1945" s="99" t="str">
        <f t="shared" si="97"/>
        <v>W276.6</v>
      </c>
      <c r="I1945" s="45"/>
      <c r="J1945" s="47"/>
      <c r="K1945" s="47"/>
      <c r="L1945" s="48"/>
    </row>
    <row r="1946" spans="1:12" s="49" customFormat="1" ht="14.15" customHeight="1">
      <c r="A1946" s="45"/>
      <c r="B1946" s="11"/>
      <c r="C1946" s="11" t="s">
        <v>18</v>
      </c>
      <c r="D1946" s="45" t="s">
        <v>16</v>
      </c>
      <c r="E1946" s="47"/>
      <c r="F1946" s="39" t="s">
        <v>1643</v>
      </c>
      <c r="G1946" s="13" t="s">
        <v>8746</v>
      </c>
      <c r="H1946" s="99" t="str">
        <f t="shared" si="97"/>
        <v>W276.7</v>
      </c>
      <c r="I1946" s="45"/>
      <c r="J1946" s="47"/>
      <c r="K1946" s="47"/>
      <c r="L1946" s="48"/>
    </row>
    <row r="1947" spans="1:12" s="49" customFormat="1" ht="14.15" customHeight="1">
      <c r="A1947" s="45"/>
      <c r="B1947" s="11"/>
      <c r="C1947" s="11" t="s">
        <v>18</v>
      </c>
      <c r="D1947" s="45" t="s">
        <v>16</v>
      </c>
      <c r="E1947" s="47"/>
      <c r="F1947" s="39" t="s">
        <v>1644</v>
      </c>
      <c r="G1947" s="13" t="s">
        <v>8747</v>
      </c>
      <c r="H1947" s="99" t="str">
        <f t="shared" si="97"/>
        <v>W276.8</v>
      </c>
      <c r="I1947" s="45"/>
      <c r="J1947" s="47"/>
      <c r="K1947" s="47"/>
      <c r="L1947" s="48"/>
    </row>
    <row r="1948" spans="1:12" s="49" customFormat="1" ht="14.15" customHeight="1">
      <c r="A1948" s="45"/>
      <c r="B1948" s="11"/>
      <c r="C1948" s="11" t="s">
        <v>18</v>
      </c>
      <c r="D1948" s="45" t="s">
        <v>16</v>
      </c>
      <c r="E1948" s="47"/>
      <c r="F1948" s="39" t="s">
        <v>1645</v>
      </c>
      <c r="G1948" s="13" t="s">
        <v>8748</v>
      </c>
      <c r="H1948" s="99" t="str">
        <f t="shared" si="97"/>
        <v>W276.9</v>
      </c>
      <c r="I1948" s="45"/>
      <c r="J1948" s="47"/>
      <c r="K1948" s="47"/>
      <c r="L1948" s="48"/>
    </row>
    <row r="1949" spans="1:12" s="49" customFormat="1" ht="14.15" customHeight="1">
      <c r="A1949" s="45"/>
      <c r="B1949" s="11"/>
      <c r="C1949" s="11" t="s">
        <v>18</v>
      </c>
      <c r="D1949" s="45" t="s">
        <v>16</v>
      </c>
      <c r="E1949" s="47"/>
      <c r="F1949" s="39" t="s">
        <v>1646</v>
      </c>
      <c r="G1949" s="13" t="s">
        <v>8749</v>
      </c>
      <c r="H1949" s="99" t="str">
        <f t="shared" si="97"/>
        <v>W276.A</v>
      </c>
      <c r="I1949" s="45"/>
      <c r="J1949" s="47"/>
      <c r="K1949" s="47"/>
      <c r="L1949" s="48"/>
    </row>
    <row r="1950" spans="1:12" s="49" customFormat="1" ht="14.15" customHeight="1">
      <c r="A1950" s="45" t="s">
        <v>3778</v>
      </c>
      <c r="B1950" s="11"/>
      <c r="C1950" s="11" t="s">
        <v>18</v>
      </c>
      <c r="D1950" s="45" t="s">
        <v>16</v>
      </c>
      <c r="E1950" s="47"/>
      <c r="F1950" s="39" t="s">
        <v>1647</v>
      </c>
      <c r="G1950" s="13" t="s">
        <v>8750</v>
      </c>
      <c r="H1950" s="99" t="str">
        <f t="shared" si="97"/>
        <v>W276.B</v>
      </c>
      <c r="I1950" s="45" t="s">
        <v>3668</v>
      </c>
      <c r="J1950" s="47"/>
      <c r="K1950" s="47"/>
      <c r="L1950" s="48"/>
    </row>
    <row r="1951" spans="1:12" s="49" customFormat="1" ht="14.15" customHeight="1">
      <c r="A1951" s="45" t="s">
        <v>3778</v>
      </c>
      <c r="B1951" s="11"/>
      <c r="C1951" s="11" t="s">
        <v>18</v>
      </c>
      <c r="D1951" s="45" t="s">
        <v>16</v>
      </c>
      <c r="E1951" s="47"/>
      <c r="F1951" s="39" t="s">
        <v>1648</v>
      </c>
      <c r="G1951" s="13" t="s">
        <v>8751</v>
      </c>
      <c r="H1951" s="99" t="str">
        <f t="shared" si="97"/>
        <v>W276.C</v>
      </c>
      <c r="I1951" s="45" t="s">
        <v>3668</v>
      </c>
      <c r="J1951" s="47"/>
      <c r="K1951" s="47"/>
      <c r="L1951" s="48"/>
    </row>
    <row r="1952" spans="1:12" s="49" customFormat="1" ht="14.15" customHeight="1">
      <c r="A1952" s="45" t="s">
        <v>3778</v>
      </c>
      <c r="B1952" s="11"/>
      <c r="C1952" s="11" t="s">
        <v>18</v>
      </c>
      <c r="D1952" s="45" t="s">
        <v>16</v>
      </c>
      <c r="E1952" s="47"/>
      <c r="F1952" s="39" t="s">
        <v>1649</v>
      </c>
      <c r="G1952" s="13" t="s">
        <v>8752</v>
      </c>
      <c r="H1952" s="99" t="str">
        <f t="shared" si="97"/>
        <v>W276.D</v>
      </c>
      <c r="I1952" s="45" t="s">
        <v>3668</v>
      </c>
      <c r="J1952" s="47"/>
      <c r="K1952" s="47"/>
      <c r="L1952" s="48"/>
    </row>
    <row r="1953" spans="1:12" s="49" customFormat="1" ht="14.15" customHeight="1">
      <c r="A1953" s="45" t="s">
        <v>3778</v>
      </c>
      <c r="B1953" s="11"/>
      <c r="C1953" s="11" t="s">
        <v>18</v>
      </c>
      <c r="D1953" s="45" t="s">
        <v>16</v>
      </c>
      <c r="E1953" s="47"/>
      <c r="F1953" s="39" t="s">
        <v>1650</v>
      </c>
      <c r="G1953" s="13" t="s">
        <v>8753</v>
      </c>
      <c r="H1953" s="99" t="str">
        <f t="shared" si="97"/>
        <v>W276.E</v>
      </c>
      <c r="I1953" s="45" t="s">
        <v>3668</v>
      </c>
      <c r="J1953" s="47"/>
      <c r="K1953" s="47"/>
      <c r="L1953" s="48"/>
    </row>
    <row r="1954" spans="1:12" s="49" customFormat="1" ht="14.15" customHeight="1">
      <c r="A1954" s="45" t="s">
        <v>3778</v>
      </c>
      <c r="B1954" s="11"/>
      <c r="C1954" s="11" t="s">
        <v>18</v>
      </c>
      <c r="D1954" s="45" t="s">
        <v>16</v>
      </c>
      <c r="E1954" s="47"/>
      <c r="F1954" s="39" t="s">
        <v>1651</v>
      </c>
      <c r="G1954" s="13" t="s">
        <v>8754</v>
      </c>
      <c r="H1954" s="99" t="str">
        <f t="shared" si="97"/>
        <v>W276.F</v>
      </c>
      <c r="I1954" s="45" t="s">
        <v>3668</v>
      </c>
      <c r="J1954" s="47"/>
      <c r="K1954" s="47"/>
      <c r="L1954" s="48"/>
    </row>
    <row r="1955" spans="1:12" s="49" customFormat="1" ht="14.15" customHeight="1">
      <c r="A1955" s="45" t="s">
        <v>3778</v>
      </c>
      <c r="B1955" s="11"/>
      <c r="C1955" s="11" t="s">
        <v>18</v>
      </c>
      <c r="D1955" s="45" t="s">
        <v>16</v>
      </c>
      <c r="E1955" s="47"/>
      <c r="F1955" s="39" t="s">
        <v>1652</v>
      </c>
      <c r="G1955" s="13" t="s">
        <v>8755</v>
      </c>
      <c r="H1955" s="99" t="str">
        <f t="shared" si="97"/>
        <v>W277.0</v>
      </c>
      <c r="I1955" s="45" t="s">
        <v>3668</v>
      </c>
      <c r="J1955" s="47"/>
      <c r="K1955" s="47"/>
      <c r="L1955" s="48"/>
    </row>
    <row r="1956" spans="1:12" s="49" customFormat="1" ht="14.15" customHeight="1">
      <c r="A1956" s="45" t="s">
        <v>3778</v>
      </c>
      <c r="B1956" s="11"/>
      <c r="C1956" s="11" t="s">
        <v>18</v>
      </c>
      <c r="D1956" s="45" t="s">
        <v>16</v>
      </c>
      <c r="E1956" s="47"/>
      <c r="F1956" s="39" t="s">
        <v>1653</v>
      </c>
      <c r="G1956" s="13" t="s">
        <v>8756</v>
      </c>
      <c r="H1956" s="99" t="str">
        <f t="shared" si="97"/>
        <v>W277.1</v>
      </c>
      <c r="I1956" s="45" t="s">
        <v>3668</v>
      </c>
      <c r="J1956" s="47"/>
      <c r="K1956" s="47"/>
      <c r="L1956" s="48"/>
    </row>
    <row r="1957" spans="1:12" s="49" customFormat="1" ht="14.15" customHeight="1">
      <c r="A1957" s="45" t="s">
        <v>3778</v>
      </c>
      <c r="B1957" s="11"/>
      <c r="C1957" s="11" t="s">
        <v>18</v>
      </c>
      <c r="D1957" s="45" t="s">
        <v>16</v>
      </c>
      <c r="E1957" s="47"/>
      <c r="F1957" s="39" t="s">
        <v>1654</v>
      </c>
      <c r="G1957" s="13" t="s">
        <v>8757</v>
      </c>
      <c r="H1957" s="99" t="str">
        <f t="shared" si="97"/>
        <v>W277.2</v>
      </c>
      <c r="I1957" s="45" t="s">
        <v>3668</v>
      </c>
      <c r="J1957" s="47"/>
      <c r="K1957" s="47"/>
      <c r="L1957" s="48"/>
    </row>
    <row r="1958" spans="1:12" s="49" customFormat="1" ht="14.15" customHeight="1">
      <c r="A1958" s="45" t="s">
        <v>3778</v>
      </c>
      <c r="B1958" s="11"/>
      <c r="C1958" s="11" t="s">
        <v>18</v>
      </c>
      <c r="D1958" s="45" t="s">
        <v>16</v>
      </c>
      <c r="E1958" s="47"/>
      <c r="F1958" s="39" t="s">
        <v>1655</v>
      </c>
      <c r="G1958" s="13" t="s">
        <v>8758</v>
      </c>
      <c r="H1958" s="99" t="str">
        <f t="shared" si="97"/>
        <v>W277.3</v>
      </c>
      <c r="I1958" s="45" t="s">
        <v>3668</v>
      </c>
      <c r="J1958" s="47"/>
      <c r="K1958" s="47"/>
      <c r="L1958" s="48"/>
    </row>
    <row r="1959" spans="1:12" s="49" customFormat="1" ht="14.15" customHeight="1">
      <c r="A1959" s="45" t="s">
        <v>3778</v>
      </c>
      <c r="B1959" s="11"/>
      <c r="C1959" s="11" t="s">
        <v>18</v>
      </c>
      <c r="D1959" s="45" t="s">
        <v>16</v>
      </c>
      <c r="E1959" s="47"/>
      <c r="F1959" s="39" t="s">
        <v>1656</v>
      </c>
      <c r="G1959" s="13" t="s">
        <v>8759</v>
      </c>
      <c r="H1959" s="99" t="str">
        <f t="shared" si="97"/>
        <v>W277.4</v>
      </c>
      <c r="I1959" s="45" t="s">
        <v>3668</v>
      </c>
      <c r="J1959" s="47"/>
      <c r="K1959" s="47"/>
      <c r="L1959" s="48"/>
    </row>
    <row r="1960" spans="1:12" s="49" customFormat="1" ht="14.15" customHeight="1">
      <c r="A1960" s="45" t="s">
        <v>3778</v>
      </c>
      <c r="B1960" s="11"/>
      <c r="C1960" s="11" t="s">
        <v>18</v>
      </c>
      <c r="D1960" s="45" t="s">
        <v>16</v>
      </c>
      <c r="E1960" s="47"/>
      <c r="F1960" s="39" t="s">
        <v>1657</v>
      </c>
      <c r="G1960" s="13" t="s">
        <v>8760</v>
      </c>
      <c r="H1960" s="99" t="str">
        <f t="shared" si="97"/>
        <v>W277.5</v>
      </c>
      <c r="I1960" s="45" t="s">
        <v>3668</v>
      </c>
      <c r="J1960" s="47"/>
      <c r="K1960" s="47"/>
      <c r="L1960" s="48"/>
    </row>
    <row r="1961" spans="1:12" s="49" customFormat="1" ht="14.15" customHeight="1">
      <c r="A1961" s="45" t="s">
        <v>3778</v>
      </c>
      <c r="B1961" s="11"/>
      <c r="C1961" s="11" t="s">
        <v>18</v>
      </c>
      <c r="D1961" s="45" t="s">
        <v>16</v>
      </c>
      <c r="E1961" s="47"/>
      <c r="F1961" s="39" t="s">
        <v>1658</v>
      </c>
      <c r="G1961" s="13" t="s">
        <v>8761</v>
      </c>
      <c r="H1961" s="99" t="str">
        <f t="shared" si="97"/>
        <v>W277.6</v>
      </c>
      <c r="I1961" s="45" t="s">
        <v>3668</v>
      </c>
      <c r="J1961" s="47"/>
      <c r="K1961" s="47"/>
      <c r="L1961" s="48"/>
    </row>
    <row r="1962" spans="1:12" s="49" customFormat="1" ht="14.15" customHeight="1">
      <c r="A1962" s="45" t="s">
        <v>3778</v>
      </c>
      <c r="B1962" s="11"/>
      <c r="C1962" s="11" t="s">
        <v>18</v>
      </c>
      <c r="D1962" s="45" t="s">
        <v>16</v>
      </c>
      <c r="E1962" s="47"/>
      <c r="F1962" s="39" t="s">
        <v>1659</v>
      </c>
      <c r="G1962" s="13" t="s">
        <v>8762</v>
      </c>
      <c r="H1962" s="99" t="str">
        <f t="shared" si="97"/>
        <v>W277.7</v>
      </c>
      <c r="I1962" s="45" t="s">
        <v>3668</v>
      </c>
      <c r="J1962" s="47"/>
      <c r="K1962" s="47"/>
      <c r="L1962" s="48"/>
    </row>
    <row r="1963" spans="1:12" s="49" customFormat="1" ht="14.15" customHeight="1">
      <c r="A1963" s="45" t="s">
        <v>3778</v>
      </c>
      <c r="B1963" s="11"/>
      <c r="C1963" s="11" t="s">
        <v>18</v>
      </c>
      <c r="D1963" s="45" t="s">
        <v>16</v>
      </c>
      <c r="E1963" s="47"/>
      <c r="F1963" s="39" t="s">
        <v>1660</v>
      </c>
      <c r="G1963" s="13" t="s">
        <v>8763</v>
      </c>
      <c r="H1963" s="99" t="str">
        <f t="shared" si="97"/>
        <v>W277.8</v>
      </c>
      <c r="I1963" s="45" t="s">
        <v>3668</v>
      </c>
      <c r="J1963" s="47"/>
      <c r="K1963" s="47"/>
      <c r="L1963" s="48"/>
    </row>
    <row r="1964" spans="1:12" s="49" customFormat="1" ht="14.15" customHeight="1">
      <c r="A1964" s="45" t="s">
        <v>3778</v>
      </c>
      <c r="B1964" s="11"/>
      <c r="C1964" s="11" t="s">
        <v>18</v>
      </c>
      <c r="D1964" s="45" t="s">
        <v>16</v>
      </c>
      <c r="E1964" s="47"/>
      <c r="F1964" s="39" t="s">
        <v>1661</v>
      </c>
      <c r="G1964" s="13" t="s">
        <v>8764</v>
      </c>
      <c r="H1964" s="99" t="str">
        <f t="shared" si="97"/>
        <v>W277.9</v>
      </c>
      <c r="I1964" s="45" t="s">
        <v>3668</v>
      </c>
      <c r="J1964" s="47"/>
      <c r="K1964" s="47"/>
      <c r="L1964" s="48"/>
    </row>
    <row r="1965" spans="1:12" s="49" customFormat="1" ht="14.15" customHeight="1">
      <c r="A1965" s="45" t="s">
        <v>3778</v>
      </c>
      <c r="B1965" s="11"/>
      <c r="C1965" s="11" t="s">
        <v>18</v>
      </c>
      <c r="D1965" s="45" t="s">
        <v>16</v>
      </c>
      <c r="E1965" s="47"/>
      <c r="F1965" s="39" t="s">
        <v>1662</v>
      </c>
      <c r="G1965" s="13" t="s">
        <v>8765</v>
      </c>
      <c r="H1965" s="99" t="str">
        <f t="shared" si="97"/>
        <v>W277.A</v>
      </c>
      <c r="I1965" s="45" t="s">
        <v>3668</v>
      </c>
      <c r="J1965" s="47"/>
      <c r="K1965" s="47"/>
      <c r="L1965" s="48"/>
    </row>
    <row r="1966" spans="1:12" s="49" customFormat="1" ht="14.15" customHeight="1">
      <c r="A1966" s="45"/>
      <c r="B1966" s="11"/>
      <c r="C1966" s="11" t="s">
        <v>18</v>
      </c>
      <c r="D1966" s="45" t="s">
        <v>16</v>
      </c>
      <c r="E1966" s="47"/>
      <c r="F1966" s="39" t="s">
        <v>1663</v>
      </c>
      <c r="G1966" s="13" t="s">
        <v>8766</v>
      </c>
      <c r="H1966" s="99" t="str">
        <f t="shared" si="97"/>
        <v>W277.B</v>
      </c>
      <c r="I1966" s="45"/>
      <c r="J1966" s="47"/>
      <c r="K1966" s="47"/>
      <c r="L1966" s="48"/>
    </row>
    <row r="1967" spans="1:12" s="49" customFormat="1" ht="14.15" customHeight="1">
      <c r="A1967" s="45"/>
      <c r="B1967" s="11"/>
      <c r="C1967" s="11" t="s">
        <v>18</v>
      </c>
      <c r="D1967" s="45" t="s">
        <v>16</v>
      </c>
      <c r="E1967" s="47"/>
      <c r="F1967" s="39" t="s">
        <v>1664</v>
      </c>
      <c r="G1967" s="13" t="s">
        <v>8767</v>
      </c>
      <c r="H1967" s="99" t="str">
        <f t="shared" si="97"/>
        <v>W277.C</v>
      </c>
      <c r="I1967" s="45"/>
      <c r="J1967" s="47"/>
      <c r="K1967" s="47"/>
      <c r="L1967" s="48"/>
    </row>
    <row r="1968" spans="1:12" s="49" customFormat="1" ht="14.15" customHeight="1">
      <c r="A1968" s="45"/>
      <c r="B1968" s="11"/>
      <c r="C1968" s="11" t="s">
        <v>18</v>
      </c>
      <c r="D1968" s="45" t="s">
        <v>16</v>
      </c>
      <c r="E1968" s="47"/>
      <c r="F1968" s="39" t="s">
        <v>1665</v>
      </c>
      <c r="G1968" s="13" t="s">
        <v>8768</v>
      </c>
      <c r="H1968" s="99" t="str">
        <f t="shared" si="97"/>
        <v>W277.D</v>
      </c>
      <c r="I1968" s="45"/>
      <c r="J1968" s="47"/>
      <c r="K1968" s="47"/>
      <c r="L1968" s="48"/>
    </row>
    <row r="1969" spans="1:12" s="49" customFormat="1" ht="14.15" customHeight="1">
      <c r="A1969" s="45"/>
      <c r="B1969" s="11"/>
      <c r="C1969" s="11" t="s">
        <v>18</v>
      </c>
      <c r="D1969" s="45" t="s">
        <v>16</v>
      </c>
      <c r="E1969" s="47"/>
      <c r="F1969" s="39" t="s">
        <v>1666</v>
      </c>
      <c r="G1969" s="13" t="s">
        <v>8769</v>
      </c>
      <c r="H1969" s="99" t="str">
        <f t="shared" si="97"/>
        <v>W277.E</v>
      </c>
      <c r="I1969" s="45"/>
      <c r="J1969" s="47"/>
      <c r="K1969" s="47"/>
      <c r="L1969" s="48"/>
    </row>
    <row r="1970" spans="1:12" s="49" customFormat="1" ht="14.15" customHeight="1">
      <c r="A1970" s="45"/>
      <c r="B1970" s="11"/>
      <c r="C1970" s="11" t="s">
        <v>18</v>
      </c>
      <c r="D1970" s="45" t="s">
        <v>16</v>
      </c>
      <c r="E1970" s="47"/>
      <c r="F1970" s="39" t="s">
        <v>1667</v>
      </c>
      <c r="G1970" s="13" t="s">
        <v>8770</v>
      </c>
      <c r="H1970" s="99" t="str">
        <f t="shared" si="97"/>
        <v>W277.F</v>
      </c>
      <c r="I1970" s="45"/>
      <c r="J1970" s="47"/>
      <c r="K1970" s="47"/>
      <c r="L1970" s="48"/>
    </row>
    <row r="1971" spans="1:12" s="49" customFormat="1" ht="14.15" customHeight="1">
      <c r="A1971" s="45"/>
      <c r="B1971" s="11"/>
      <c r="C1971" s="11" t="s">
        <v>18</v>
      </c>
      <c r="D1971" s="45" t="s">
        <v>16</v>
      </c>
      <c r="E1971" s="47"/>
      <c r="F1971" s="39" t="s">
        <v>1668</v>
      </c>
      <c r="G1971" s="13" t="s">
        <v>8771</v>
      </c>
      <c r="H1971" s="99" t="str">
        <f t="shared" si="97"/>
        <v>W278.0</v>
      </c>
      <c r="I1971" s="45"/>
      <c r="J1971" s="47"/>
      <c r="K1971" s="47"/>
      <c r="L1971" s="48"/>
    </row>
    <row r="1972" spans="1:12" s="49" customFormat="1" ht="14.15" customHeight="1">
      <c r="A1972" s="45"/>
      <c r="B1972" s="11"/>
      <c r="C1972" s="11" t="s">
        <v>18</v>
      </c>
      <c r="D1972" s="45" t="s">
        <v>16</v>
      </c>
      <c r="E1972" s="47"/>
      <c r="F1972" s="39" t="s">
        <v>1669</v>
      </c>
      <c r="G1972" s="13" t="s">
        <v>8772</v>
      </c>
      <c r="H1972" s="99" t="str">
        <f t="shared" ref="H1972:H2035" si="98">"W"&amp;DEC2HEX(512 + INT((ROW()-51)/16)) &amp; "." &amp; IF(MOD(ROW()-51,16)&lt;10,MOD(ROW()-51,16),CHAR(MOD(ROW()-51,16)+55))</f>
        <v>W278.1</v>
      </c>
      <c r="I1972" s="45"/>
      <c r="J1972" s="47"/>
      <c r="K1972" s="47"/>
      <c r="L1972" s="48"/>
    </row>
    <row r="1973" spans="1:12" s="49" customFormat="1" ht="14.15" customHeight="1">
      <c r="A1973" s="45"/>
      <c r="B1973" s="11"/>
      <c r="C1973" s="11" t="s">
        <v>18</v>
      </c>
      <c r="D1973" s="45" t="s">
        <v>16</v>
      </c>
      <c r="E1973" s="47"/>
      <c r="F1973" s="39" t="s">
        <v>1670</v>
      </c>
      <c r="G1973" s="13" t="s">
        <v>8773</v>
      </c>
      <c r="H1973" s="99" t="str">
        <f t="shared" si="98"/>
        <v>W278.2</v>
      </c>
      <c r="I1973" s="45"/>
      <c r="J1973" s="47"/>
      <c r="K1973" s="47"/>
      <c r="L1973" s="48"/>
    </row>
    <row r="1974" spans="1:12" s="49" customFormat="1" ht="14.15" customHeight="1">
      <c r="A1974" s="45"/>
      <c r="B1974" s="11"/>
      <c r="C1974" s="11" t="s">
        <v>18</v>
      </c>
      <c r="D1974" s="45" t="s">
        <v>16</v>
      </c>
      <c r="E1974" s="47"/>
      <c r="F1974" s="39" t="s">
        <v>1671</v>
      </c>
      <c r="G1974" s="13" t="s">
        <v>8774</v>
      </c>
      <c r="H1974" s="99" t="str">
        <f t="shared" si="98"/>
        <v>W278.3</v>
      </c>
      <c r="I1974" s="45"/>
      <c r="J1974" s="47"/>
      <c r="K1974" s="47"/>
      <c r="L1974" s="48"/>
    </row>
    <row r="1975" spans="1:12" s="49" customFormat="1" ht="14.15" customHeight="1">
      <c r="A1975" s="45"/>
      <c r="B1975" s="11"/>
      <c r="C1975" s="11" t="s">
        <v>18</v>
      </c>
      <c r="D1975" s="45" t="s">
        <v>16</v>
      </c>
      <c r="E1975" s="47"/>
      <c r="F1975" s="39" t="s">
        <v>1672</v>
      </c>
      <c r="G1975" s="13" t="s">
        <v>8775</v>
      </c>
      <c r="H1975" s="99" t="str">
        <f t="shared" si="98"/>
        <v>W278.4</v>
      </c>
      <c r="I1975" s="45"/>
      <c r="J1975" s="47"/>
      <c r="K1975" s="47"/>
      <c r="L1975" s="48"/>
    </row>
    <row r="1976" spans="1:12" s="49" customFormat="1" ht="14.15" customHeight="1">
      <c r="A1976" s="45"/>
      <c r="B1976" s="11"/>
      <c r="C1976" s="11" t="s">
        <v>18</v>
      </c>
      <c r="D1976" s="45" t="s">
        <v>16</v>
      </c>
      <c r="E1976" s="47"/>
      <c r="F1976" s="39" t="s">
        <v>1673</v>
      </c>
      <c r="G1976" s="13" t="s">
        <v>8776</v>
      </c>
      <c r="H1976" s="99" t="str">
        <f t="shared" si="98"/>
        <v>W278.5</v>
      </c>
      <c r="I1976" s="45"/>
      <c r="J1976" s="47"/>
      <c r="K1976" s="47"/>
      <c r="L1976" s="48"/>
    </row>
    <row r="1977" spans="1:12" s="49" customFormat="1" ht="14.15" customHeight="1">
      <c r="A1977" s="45"/>
      <c r="B1977" s="11"/>
      <c r="C1977" s="11" t="s">
        <v>18</v>
      </c>
      <c r="D1977" s="45" t="s">
        <v>16</v>
      </c>
      <c r="E1977" s="47"/>
      <c r="F1977" s="39" t="s">
        <v>1674</v>
      </c>
      <c r="G1977" s="13" t="s">
        <v>8777</v>
      </c>
      <c r="H1977" s="99" t="str">
        <f t="shared" si="98"/>
        <v>W278.6</v>
      </c>
      <c r="I1977" s="45"/>
      <c r="J1977" s="47"/>
      <c r="K1977" s="47"/>
      <c r="L1977" s="48"/>
    </row>
    <row r="1978" spans="1:12" s="49" customFormat="1" ht="14.15" customHeight="1">
      <c r="A1978" s="45"/>
      <c r="B1978" s="11"/>
      <c r="C1978" s="11" t="s">
        <v>18</v>
      </c>
      <c r="D1978" s="45" t="s">
        <v>16</v>
      </c>
      <c r="E1978" s="47"/>
      <c r="F1978" s="39" t="s">
        <v>1675</v>
      </c>
      <c r="G1978" s="13" t="s">
        <v>8778</v>
      </c>
      <c r="H1978" s="99" t="str">
        <f t="shared" si="98"/>
        <v>W278.7</v>
      </c>
      <c r="I1978" s="45"/>
      <c r="J1978" s="47"/>
      <c r="K1978" s="47"/>
      <c r="L1978" s="48"/>
    </row>
    <row r="1979" spans="1:12" s="49" customFormat="1" ht="14.15" customHeight="1">
      <c r="A1979" s="45"/>
      <c r="B1979" s="11"/>
      <c r="C1979" s="11" t="s">
        <v>18</v>
      </c>
      <c r="D1979" s="45" t="s">
        <v>16</v>
      </c>
      <c r="E1979" s="47"/>
      <c r="F1979" s="39" t="s">
        <v>1676</v>
      </c>
      <c r="G1979" s="13" t="s">
        <v>8779</v>
      </c>
      <c r="H1979" s="99" t="str">
        <f t="shared" si="98"/>
        <v>W278.8</v>
      </c>
      <c r="I1979" s="45"/>
      <c r="J1979" s="47"/>
      <c r="K1979" s="47"/>
      <c r="L1979" s="48"/>
    </row>
    <row r="1980" spans="1:12" s="49" customFormat="1" ht="14.15" customHeight="1">
      <c r="A1980" s="45" t="s">
        <v>2197</v>
      </c>
      <c r="B1980" s="11"/>
      <c r="C1980" s="11" t="s">
        <v>18</v>
      </c>
      <c r="D1980" s="45" t="s">
        <v>16</v>
      </c>
      <c r="E1980" s="47"/>
      <c r="F1980" s="39" t="s">
        <v>2140</v>
      </c>
      <c r="G1980" s="13" t="s">
        <v>8780</v>
      </c>
      <c r="H1980" s="99" t="str">
        <f t="shared" si="98"/>
        <v>W278.9</v>
      </c>
      <c r="I1980" s="45" t="s">
        <v>3668</v>
      </c>
      <c r="J1980" s="47"/>
      <c r="K1980" s="47"/>
      <c r="L1980" s="48"/>
    </row>
    <row r="1981" spans="1:12" s="49" customFormat="1" ht="14.15" customHeight="1">
      <c r="A1981" s="45"/>
      <c r="B1981" s="11"/>
      <c r="C1981" s="11" t="s">
        <v>18</v>
      </c>
      <c r="D1981" s="45" t="s">
        <v>16</v>
      </c>
      <c r="E1981" s="47"/>
      <c r="F1981" s="39" t="s">
        <v>1677</v>
      </c>
      <c r="G1981" s="13" t="s">
        <v>8781</v>
      </c>
      <c r="H1981" s="99" t="str">
        <f t="shared" si="98"/>
        <v>W278.A</v>
      </c>
      <c r="I1981" s="45"/>
      <c r="J1981" s="47"/>
      <c r="K1981" s="47"/>
      <c r="L1981" s="48"/>
    </row>
    <row r="1982" spans="1:12" s="49" customFormat="1" ht="14.15" customHeight="1">
      <c r="A1982" s="45"/>
      <c r="B1982" s="11"/>
      <c r="C1982" s="11" t="s">
        <v>18</v>
      </c>
      <c r="D1982" s="45" t="s">
        <v>16</v>
      </c>
      <c r="E1982" s="47"/>
      <c r="F1982" s="39" t="s">
        <v>1678</v>
      </c>
      <c r="G1982" s="13" t="s">
        <v>8782</v>
      </c>
      <c r="H1982" s="99" t="str">
        <f t="shared" si="98"/>
        <v>W278.B</v>
      </c>
      <c r="I1982" s="45"/>
      <c r="J1982" s="47"/>
      <c r="K1982" s="47"/>
      <c r="L1982" s="48"/>
    </row>
    <row r="1983" spans="1:12" s="49" customFormat="1" ht="14.15" customHeight="1">
      <c r="A1983" s="45"/>
      <c r="B1983" s="11"/>
      <c r="C1983" s="11" t="s">
        <v>18</v>
      </c>
      <c r="D1983" s="45" t="s">
        <v>16</v>
      </c>
      <c r="E1983" s="47"/>
      <c r="F1983" s="39" t="s">
        <v>1679</v>
      </c>
      <c r="G1983" s="13" t="s">
        <v>8783</v>
      </c>
      <c r="H1983" s="99" t="str">
        <f t="shared" si="98"/>
        <v>W278.C</v>
      </c>
      <c r="I1983" s="45"/>
      <c r="J1983" s="47"/>
      <c r="K1983" s="47"/>
      <c r="L1983" s="48"/>
    </row>
    <row r="1984" spans="1:12" s="49" customFormat="1" ht="14.15" customHeight="1">
      <c r="A1984" s="45"/>
      <c r="B1984" s="11"/>
      <c r="C1984" s="11" t="s">
        <v>18</v>
      </c>
      <c r="D1984" s="45" t="s">
        <v>16</v>
      </c>
      <c r="E1984" s="47"/>
      <c r="F1984" s="39" t="s">
        <v>1680</v>
      </c>
      <c r="G1984" s="13" t="s">
        <v>8784</v>
      </c>
      <c r="H1984" s="99" t="str">
        <f t="shared" si="98"/>
        <v>W278.D</v>
      </c>
      <c r="I1984" s="45"/>
      <c r="J1984" s="47"/>
      <c r="K1984" s="47"/>
      <c r="L1984" s="48"/>
    </row>
    <row r="1985" spans="1:12" s="49" customFormat="1" ht="14.15" customHeight="1">
      <c r="A1985" s="45"/>
      <c r="B1985" s="11"/>
      <c r="C1985" s="11" t="s">
        <v>18</v>
      </c>
      <c r="D1985" s="45" t="s">
        <v>16</v>
      </c>
      <c r="E1985" s="47"/>
      <c r="F1985" s="39" t="s">
        <v>1681</v>
      </c>
      <c r="G1985" s="13" t="s">
        <v>8785</v>
      </c>
      <c r="H1985" s="99" t="str">
        <f t="shared" si="98"/>
        <v>W278.E</v>
      </c>
      <c r="I1985" s="45"/>
      <c r="J1985" s="47"/>
      <c r="K1985" s="47"/>
      <c r="L1985" s="48"/>
    </row>
    <row r="1986" spans="1:12" s="49" customFormat="1" ht="14.15" customHeight="1">
      <c r="A1986" s="45"/>
      <c r="B1986" s="11"/>
      <c r="C1986" s="11" t="s">
        <v>18</v>
      </c>
      <c r="D1986" s="45" t="s">
        <v>16</v>
      </c>
      <c r="E1986" s="47"/>
      <c r="F1986" s="39" t="s">
        <v>1682</v>
      </c>
      <c r="G1986" s="13" t="s">
        <v>8786</v>
      </c>
      <c r="H1986" s="99" t="str">
        <f t="shared" si="98"/>
        <v>W278.F</v>
      </c>
      <c r="I1986" s="45"/>
      <c r="J1986" s="47"/>
      <c r="K1986" s="47"/>
      <c r="L1986" s="48"/>
    </row>
    <row r="1987" spans="1:12" s="49" customFormat="1" ht="14.15" customHeight="1">
      <c r="A1987" s="45"/>
      <c r="B1987" s="11"/>
      <c r="C1987" s="11" t="s">
        <v>18</v>
      </c>
      <c r="D1987" s="45" t="s">
        <v>16</v>
      </c>
      <c r="E1987" s="47"/>
      <c r="F1987" s="39" t="s">
        <v>1683</v>
      </c>
      <c r="G1987" s="13" t="s">
        <v>8787</v>
      </c>
      <c r="H1987" s="99" t="str">
        <f t="shared" si="98"/>
        <v>W279.0</v>
      </c>
      <c r="I1987" s="45"/>
      <c r="J1987" s="47"/>
      <c r="K1987" s="47"/>
      <c r="L1987" s="48"/>
    </row>
    <row r="1988" spans="1:12" s="49" customFormat="1" ht="14.15" customHeight="1">
      <c r="A1988" s="45"/>
      <c r="B1988" s="11"/>
      <c r="C1988" s="11" t="s">
        <v>18</v>
      </c>
      <c r="D1988" s="45" t="s">
        <v>16</v>
      </c>
      <c r="E1988" s="47"/>
      <c r="F1988" s="39" t="s">
        <v>1684</v>
      </c>
      <c r="G1988" s="13" t="s">
        <v>8788</v>
      </c>
      <c r="H1988" s="99" t="str">
        <f t="shared" si="98"/>
        <v>W279.1</v>
      </c>
      <c r="I1988" s="45"/>
      <c r="J1988" s="47"/>
      <c r="K1988" s="47"/>
      <c r="L1988" s="48"/>
    </row>
    <row r="1989" spans="1:12" s="49" customFormat="1" ht="14.15" customHeight="1">
      <c r="A1989" s="45"/>
      <c r="B1989" s="11"/>
      <c r="C1989" s="11" t="s">
        <v>18</v>
      </c>
      <c r="D1989" s="45" t="s">
        <v>16</v>
      </c>
      <c r="E1989" s="47"/>
      <c r="F1989" s="39" t="s">
        <v>1685</v>
      </c>
      <c r="G1989" s="13" t="s">
        <v>8789</v>
      </c>
      <c r="H1989" s="99" t="str">
        <f t="shared" si="98"/>
        <v>W279.2</v>
      </c>
      <c r="I1989" s="45"/>
      <c r="J1989" s="47"/>
      <c r="K1989" s="47"/>
      <c r="L1989" s="48"/>
    </row>
    <row r="1990" spans="1:12" s="49" customFormat="1" ht="14.15" customHeight="1">
      <c r="A1990" s="45"/>
      <c r="B1990" s="11"/>
      <c r="C1990" s="11" t="s">
        <v>18</v>
      </c>
      <c r="D1990" s="45" t="s">
        <v>16</v>
      </c>
      <c r="E1990" s="47"/>
      <c r="F1990" s="39" t="s">
        <v>1686</v>
      </c>
      <c r="G1990" s="13" t="s">
        <v>8790</v>
      </c>
      <c r="H1990" s="99" t="str">
        <f t="shared" si="98"/>
        <v>W279.3</v>
      </c>
      <c r="I1990" s="45"/>
      <c r="J1990" s="47"/>
      <c r="K1990" s="47"/>
      <c r="L1990" s="48"/>
    </row>
    <row r="1991" spans="1:12" s="49" customFormat="1" ht="14.15" customHeight="1">
      <c r="A1991" s="45"/>
      <c r="B1991" s="11"/>
      <c r="C1991" s="11" t="s">
        <v>18</v>
      </c>
      <c r="D1991" s="45" t="s">
        <v>16</v>
      </c>
      <c r="E1991" s="47"/>
      <c r="F1991" s="39" t="s">
        <v>1687</v>
      </c>
      <c r="G1991" s="13" t="s">
        <v>8791</v>
      </c>
      <c r="H1991" s="99" t="str">
        <f t="shared" si="98"/>
        <v>W279.4</v>
      </c>
      <c r="I1991" s="45"/>
      <c r="J1991" s="47"/>
      <c r="K1991" s="47"/>
      <c r="L1991" s="48"/>
    </row>
    <row r="1992" spans="1:12" s="49" customFormat="1" ht="14.15" customHeight="1">
      <c r="A1992" s="45"/>
      <c r="B1992" s="11"/>
      <c r="C1992" s="11" t="s">
        <v>18</v>
      </c>
      <c r="D1992" s="45" t="s">
        <v>16</v>
      </c>
      <c r="E1992" s="47"/>
      <c r="F1992" s="39" t="s">
        <v>1688</v>
      </c>
      <c r="G1992" s="13" t="s">
        <v>8792</v>
      </c>
      <c r="H1992" s="99" t="str">
        <f t="shared" si="98"/>
        <v>W279.5</v>
      </c>
      <c r="I1992" s="45"/>
      <c r="J1992" s="47"/>
      <c r="K1992" s="47"/>
      <c r="L1992" s="48"/>
    </row>
    <row r="1993" spans="1:12" s="49" customFormat="1" ht="14.15" customHeight="1">
      <c r="A1993" s="45"/>
      <c r="B1993" s="11"/>
      <c r="C1993" s="11" t="s">
        <v>18</v>
      </c>
      <c r="D1993" s="45" t="s">
        <v>16</v>
      </c>
      <c r="E1993" s="47"/>
      <c r="F1993" s="39" t="s">
        <v>1689</v>
      </c>
      <c r="G1993" s="13" t="s">
        <v>8793</v>
      </c>
      <c r="H1993" s="99" t="str">
        <f t="shared" si="98"/>
        <v>W279.6</v>
      </c>
      <c r="I1993" s="45"/>
      <c r="J1993" s="47"/>
      <c r="K1993" s="47"/>
      <c r="L1993" s="48"/>
    </row>
    <row r="1994" spans="1:12" s="49" customFormat="1" ht="14.15" customHeight="1">
      <c r="A1994" s="45"/>
      <c r="B1994" s="11"/>
      <c r="C1994" s="11" t="s">
        <v>18</v>
      </c>
      <c r="D1994" s="45" t="s">
        <v>16</v>
      </c>
      <c r="E1994" s="47"/>
      <c r="F1994" s="39" t="s">
        <v>1690</v>
      </c>
      <c r="G1994" s="13" t="s">
        <v>8794</v>
      </c>
      <c r="H1994" s="99" t="str">
        <f t="shared" si="98"/>
        <v>W279.7</v>
      </c>
      <c r="I1994" s="45"/>
      <c r="J1994" s="47"/>
      <c r="K1994" s="47"/>
      <c r="L1994" s="48"/>
    </row>
    <row r="1995" spans="1:12" s="49" customFormat="1" ht="14.15" customHeight="1">
      <c r="A1995" s="45"/>
      <c r="B1995" s="11"/>
      <c r="C1995" s="11" t="s">
        <v>18</v>
      </c>
      <c r="D1995" s="45" t="s">
        <v>16</v>
      </c>
      <c r="E1995" s="47"/>
      <c r="F1995" s="39" t="s">
        <v>1691</v>
      </c>
      <c r="G1995" s="13" t="s">
        <v>8795</v>
      </c>
      <c r="H1995" s="99" t="str">
        <f t="shared" si="98"/>
        <v>W279.8</v>
      </c>
      <c r="I1995" s="45"/>
      <c r="J1995" s="47"/>
      <c r="K1995" s="47"/>
      <c r="L1995" s="48"/>
    </row>
    <row r="1996" spans="1:12" s="49" customFormat="1" ht="14.15" customHeight="1">
      <c r="A1996" s="45"/>
      <c r="B1996" s="11"/>
      <c r="C1996" s="11" t="s">
        <v>18</v>
      </c>
      <c r="D1996" s="45" t="s">
        <v>16</v>
      </c>
      <c r="E1996" s="47"/>
      <c r="F1996" s="39" t="s">
        <v>1692</v>
      </c>
      <c r="G1996" s="13" t="s">
        <v>8796</v>
      </c>
      <c r="H1996" s="99" t="str">
        <f t="shared" si="98"/>
        <v>W279.9</v>
      </c>
      <c r="I1996" s="45"/>
      <c r="J1996" s="47"/>
      <c r="K1996" s="47"/>
      <c r="L1996" s="48"/>
    </row>
    <row r="1997" spans="1:12" s="49" customFormat="1" ht="14.15" customHeight="1">
      <c r="A1997" s="45"/>
      <c r="B1997" s="11"/>
      <c r="C1997" s="11" t="s">
        <v>18</v>
      </c>
      <c r="D1997" s="45" t="s">
        <v>16</v>
      </c>
      <c r="E1997" s="47"/>
      <c r="F1997" s="39" t="s">
        <v>1693</v>
      </c>
      <c r="G1997" s="13" t="s">
        <v>8797</v>
      </c>
      <c r="H1997" s="99" t="str">
        <f t="shared" si="98"/>
        <v>W279.A</v>
      </c>
      <c r="I1997" s="45"/>
      <c r="J1997" s="47"/>
      <c r="K1997" s="47"/>
      <c r="L1997" s="48"/>
    </row>
    <row r="1998" spans="1:12" s="49" customFormat="1" ht="14.15" customHeight="1">
      <c r="A1998" s="45"/>
      <c r="B1998" s="11"/>
      <c r="C1998" s="11" t="s">
        <v>18</v>
      </c>
      <c r="D1998" s="45" t="s">
        <v>16</v>
      </c>
      <c r="E1998" s="47"/>
      <c r="F1998" s="39" t="s">
        <v>1694</v>
      </c>
      <c r="G1998" s="13" t="s">
        <v>8798</v>
      </c>
      <c r="H1998" s="99" t="str">
        <f t="shared" si="98"/>
        <v>W279.B</v>
      </c>
      <c r="I1998" s="45"/>
      <c r="J1998" s="47"/>
      <c r="K1998" s="47"/>
      <c r="L1998" s="48"/>
    </row>
    <row r="1999" spans="1:12" s="49" customFormat="1" ht="14.15" customHeight="1">
      <c r="A1999" s="45"/>
      <c r="B1999" s="11"/>
      <c r="C1999" s="11" t="s">
        <v>18</v>
      </c>
      <c r="D1999" s="45" t="s">
        <v>16</v>
      </c>
      <c r="E1999" s="47"/>
      <c r="F1999" s="39" t="s">
        <v>1695</v>
      </c>
      <c r="G1999" s="13" t="s">
        <v>8799</v>
      </c>
      <c r="H1999" s="99" t="str">
        <f t="shared" si="98"/>
        <v>W279.C</v>
      </c>
      <c r="I1999" s="45"/>
      <c r="J1999" s="47"/>
      <c r="K1999" s="47"/>
      <c r="L1999" s="48"/>
    </row>
    <row r="2000" spans="1:12" s="49" customFormat="1" ht="14.15" customHeight="1">
      <c r="A2000" s="45"/>
      <c r="B2000" s="11"/>
      <c r="C2000" s="11" t="s">
        <v>18</v>
      </c>
      <c r="D2000" s="45" t="s">
        <v>16</v>
      </c>
      <c r="E2000" s="47"/>
      <c r="F2000" s="39" t="s">
        <v>1696</v>
      </c>
      <c r="G2000" s="13" t="s">
        <v>8800</v>
      </c>
      <c r="H2000" s="99" t="str">
        <f t="shared" si="98"/>
        <v>W279.D</v>
      </c>
      <c r="I2000" s="45"/>
      <c r="J2000" s="47"/>
      <c r="K2000" s="47"/>
      <c r="L2000" s="48"/>
    </row>
    <row r="2001" spans="1:12" s="49" customFormat="1" ht="14.15" customHeight="1">
      <c r="A2001" s="45"/>
      <c r="B2001" s="11"/>
      <c r="C2001" s="11" t="s">
        <v>18</v>
      </c>
      <c r="D2001" s="45" t="s">
        <v>16</v>
      </c>
      <c r="E2001" s="47"/>
      <c r="F2001" s="39" t="s">
        <v>1697</v>
      </c>
      <c r="G2001" s="13" t="s">
        <v>8801</v>
      </c>
      <c r="H2001" s="99" t="str">
        <f t="shared" si="98"/>
        <v>W279.E</v>
      </c>
      <c r="I2001" s="45"/>
      <c r="J2001" s="47"/>
      <c r="K2001" s="47"/>
      <c r="L2001" s="48"/>
    </row>
    <row r="2002" spans="1:12" s="49" customFormat="1" ht="14.15" customHeight="1">
      <c r="A2002" s="45"/>
      <c r="B2002" s="11"/>
      <c r="C2002" s="11" t="s">
        <v>18</v>
      </c>
      <c r="D2002" s="45" t="s">
        <v>16</v>
      </c>
      <c r="E2002" s="47"/>
      <c r="F2002" s="39" t="s">
        <v>1698</v>
      </c>
      <c r="G2002" s="13" t="s">
        <v>8802</v>
      </c>
      <c r="H2002" s="99" t="str">
        <f t="shared" si="98"/>
        <v>W279.F</v>
      </c>
      <c r="I2002" s="45"/>
      <c r="J2002" s="47"/>
      <c r="K2002" s="47"/>
      <c r="L2002" s="48"/>
    </row>
    <row r="2003" spans="1:12" s="49" customFormat="1" ht="14.15" customHeight="1">
      <c r="A2003" s="45"/>
      <c r="B2003" s="11"/>
      <c r="C2003" s="11" t="s">
        <v>18</v>
      </c>
      <c r="D2003" s="45" t="s">
        <v>16</v>
      </c>
      <c r="E2003" s="47"/>
      <c r="F2003" s="39" t="s">
        <v>1699</v>
      </c>
      <c r="G2003" s="13" t="s">
        <v>8803</v>
      </c>
      <c r="H2003" s="99" t="str">
        <f t="shared" si="98"/>
        <v>W27A.0</v>
      </c>
      <c r="I2003" s="45"/>
      <c r="J2003" s="47"/>
      <c r="K2003" s="47"/>
      <c r="L2003" s="48"/>
    </row>
    <row r="2004" spans="1:12" s="49" customFormat="1" ht="14.15" customHeight="1">
      <c r="A2004" s="45"/>
      <c r="B2004" s="11"/>
      <c r="C2004" s="11" t="s">
        <v>18</v>
      </c>
      <c r="D2004" s="45" t="s">
        <v>16</v>
      </c>
      <c r="E2004" s="47"/>
      <c r="F2004" s="39" t="s">
        <v>1700</v>
      </c>
      <c r="G2004" s="13" t="s">
        <v>8804</v>
      </c>
      <c r="H2004" s="99" t="str">
        <f t="shared" si="98"/>
        <v>W27A.1</v>
      </c>
      <c r="I2004" s="45"/>
      <c r="J2004" s="47"/>
      <c r="K2004" s="47"/>
      <c r="L2004" s="48"/>
    </row>
    <row r="2005" spans="1:12" s="49" customFormat="1" ht="14.15" customHeight="1">
      <c r="A2005" s="45"/>
      <c r="B2005" s="11"/>
      <c r="C2005" s="11" t="s">
        <v>18</v>
      </c>
      <c r="D2005" s="45" t="s">
        <v>16</v>
      </c>
      <c r="E2005" s="47"/>
      <c r="F2005" s="39" t="s">
        <v>1701</v>
      </c>
      <c r="G2005" s="13" t="s">
        <v>8805</v>
      </c>
      <c r="H2005" s="99" t="str">
        <f t="shared" si="98"/>
        <v>W27A.2</v>
      </c>
      <c r="I2005" s="45"/>
      <c r="J2005" s="47"/>
      <c r="K2005" s="47"/>
      <c r="L2005" s="48"/>
    </row>
    <row r="2006" spans="1:12" s="49" customFormat="1" ht="14.15" customHeight="1">
      <c r="A2006" s="45"/>
      <c r="B2006" s="11"/>
      <c r="C2006" s="11" t="s">
        <v>18</v>
      </c>
      <c r="D2006" s="45" t="s">
        <v>16</v>
      </c>
      <c r="E2006" s="47"/>
      <c r="F2006" s="39" t="s">
        <v>1702</v>
      </c>
      <c r="G2006" s="13" t="s">
        <v>8806</v>
      </c>
      <c r="H2006" s="99" t="str">
        <f t="shared" si="98"/>
        <v>W27A.3</v>
      </c>
      <c r="I2006" s="45"/>
      <c r="J2006" s="47"/>
      <c r="K2006" s="47"/>
      <c r="L2006" s="48"/>
    </row>
    <row r="2007" spans="1:12" s="49" customFormat="1" ht="14.15" customHeight="1">
      <c r="A2007" s="45"/>
      <c r="B2007" s="11"/>
      <c r="C2007" s="11" t="s">
        <v>18</v>
      </c>
      <c r="D2007" s="45" t="s">
        <v>16</v>
      </c>
      <c r="E2007" s="47"/>
      <c r="F2007" s="39" t="s">
        <v>1703</v>
      </c>
      <c r="G2007" s="13" t="s">
        <v>8807</v>
      </c>
      <c r="H2007" s="99" t="str">
        <f t="shared" si="98"/>
        <v>W27A.4</v>
      </c>
      <c r="I2007" s="45"/>
      <c r="J2007" s="47"/>
      <c r="K2007" s="47"/>
      <c r="L2007" s="48"/>
    </row>
    <row r="2008" spans="1:12" s="49" customFormat="1" ht="14.15" customHeight="1">
      <c r="A2008" s="45"/>
      <c r="B2008" s="11"/>
      <c r="C2008" s="11" t="s">
        <v>18</v>
      </c>
      <c r="D2008" s="45" t="s">
        <v>16</v>
      </c>
      <c r="E2008" s="47"/>
      <c r="F2008" s="39" t="s">
        <v>1704</v>
      </c>
      <c r="G2008" s="13" t="s">
        <v>8808</v>
      </c>
      <c r="H2008" s="99" t="str">
        <f t="shared" si="98"/>
        <v>W27A.5</v>
      </c>
      <c r="I2008" s="45"/>
      <c r="J2008" s="47"/>
      <c r="K2008" s="47"/>
      <c r="L2008" s="48"/>
    </row>
    <row r="2009" spans="1:12" s="49" customFormat="1" ht="14.15" customHeight="1">
      <c r="A2009" s="45"/>
      <c r="B2009" s="11"/>
      <c r="C2009" s="11" t="s">
        <v>18</v>
      </c>
      <c r="D2009" s="45" t="s">
        <v>16</v>
      </c>
      <c r="E2009" s="47"/>
      <c r="F2009" s="39" t="s">
        <v>1705</v>
      </c>
      <c r="G2009" s="13" t="s">
        <v>8809</v>
      </c>
      <c r="H2009" s="99" t="str">
        <f t="shared" si="98"/>
        <v>W27A.6</v>
      </c>
      <c r="I2009" s="45"/>
      <c r="J2009" s="47"/>
      <c r="K2009" s="47"/>
      <c r="L2009" s="48"/>
    </row>
    <row r="2010" spans="1:12" s="49" customFormat="1" ht="14.15" customHeight="1">
      <c r="A2010" s="45"/>
      <c r="B2010" s="11"/>
      <c r="C2010" s="11" t="s">
        <v>18</v>
      </c>
      <c r="D2010" s="45" t="s">
        <v>16</v>
      </c>
      <c r="E2010" s="47"/>
      <c r="F2010" s="39" t="s">
        <v>1706</v>
      </c>
      <c r="G2010" s="13" t="s">
        <v>8810</v>
      </c>
      <c r="H2010" s="99" t="str">
        <f t="shared" si="98"/>
        <v>W27A.7</v>
      </c>
      <c r="I2010" s="45"/>
      <c r="J2010" s="47"/>
      <c r="K2010" s="47"/>
      <c r="L2010" s="48"/>
    </row>
    <row r="2011" spans="1:12" s="49" customFormat="1" ht="14.15" customHeight="1">
      <c r="A2011" s="45"/>
      <c r="B2011" s="11"/>
      <c r="C2011" s="11" t="s">
        <v>18</v>
      </c>
      <c r="D2011" s="45" t="s">
        <v>16</v>
      </c>
      <c r="E2011" s="47"/>
      <c r="F2011" s="39" t="s">
        <v>1707</v>
      </c>
      <c r="G2011" s="13" t="s">
        <v>8811</v>
      </c>
      <c r="H2011" s="99" t="str">
        <f t="shared" si="98"/>
        <v>W27A.8</v>
      </c>
      <c r="I2011" s="45"/>
      <c r="J2011" s="47"/>
      <c r="K2011" s="47"/>
      <c r="L2011" s="48"/>
    </row>
    <row r="2012" spans="1:12" s="49" customFormat="1" ht="14.15" customHeight="1">
      <c r="A2012" s="45"/>
      <c r="B2012" s="11"/>
      <c r="C2012" s="11" t="s">
        <v>18</v>
      </c>
      <c r="D2012" s="45" t="s">
        <v>16</v>
      </c>
      <c r="E2012" s="47"/>
      <c r="F2012" s="39" t="s">
        <v>1708</v>
      </c>
      <c r="G2012" s="13" t="s">
        <v>8812</v>
      </c>
      <c r="H2012" s="99" t="str">
        <f t="shared" si="98"/>
        <v>W27A.9</v>
      </c>
      <c r="I2012" s="45"/>
      <c r="J2012" s="47"/>
      <c r="K2012" s="47"/>
      <c r="L2012" s="48"/>
    </row>
    <row r="2013" spans="1:12" s="49" customFormat="1" ht="14.15" customHeight="1">
      <c r="A2013" s="45"/>
      <c r="B2013" s="11"/>
      <c r="C2013" s="11" t="s">
        <v>18</v>
      </c>
      <c r="D2013" s="45" t="s">
        <v>16</v>
      </c>
      <c r="E2013" s="47"/>
      <c r="F2013" s="39" t="s">
        <v>1709</v>
      </c>
      <c r="G2013" s="13" t="s">
        <v>8813</v>
      </c>
      <c r="H2013" s="99" t="str">
        <f t="shared" si="98"/>
        <v>W27A.A</v>
      </c>
      <c r="I2013" s="45"/>
      <c r="J2013" s="47"/>
      <c r="K2013" s="47"/>
      <c r="L2013" s="48"/>
    </row>
    <row r="2014" spans="1:12" s="49" customFormat="1" ht="14.15" customHeight="1">
      <c r="A2014" s="45"/>
      <c r="B2014" s="11"/>
      <c r="C2014" s="11" t="s">
        <v>18</v>
      </c>
      <c r="D2014" s="45" t="s">
        <v>16</v>
      </c>
      <c r="E2014" s="47"/>
      <c r="F2014" s="39" t="s">
        <v>1710</v>
      </c>
      <c r="G2014" s="13" t="s">
        <v>8814</v>
      </c>
      <c r="H2014" s="99" t="str">
        <f t="shared" si="98"/>
        <v>W27A.B</v>
      </c>
      <c r="I2014" s="45"/>
      <c r="J2014" s="47"/>
      <c r="K2014" s="47"/>
      <c r="L2014" s="48"/>
    </row>
    <row r="2015" spans="1:12" s="49" customFormat="1" ht="14.15" customHeight="1">
      <c r="A2015" s="45"/>
      <c r="B2015" s="11"/>
      <c r="C2015" s="11" t="s">
        <v>18</v>
      </c>
      <c r="D2015" s="45" t="s">
        <v>16</v>
      </c>
      <c r="E2015" s="47"/>
      <c r="F2015" s="39" t="s">
        <v>1711</v>
      </c>
      <c r="G2015" s="13" t="s">
        <v>8815</v>
      </c>
      <c r="H2015" s="99" t="str">
        <f t="shared" si="98"/>
        <v>W27A.C</v>
      </c>
      <c r="I2015" s="45"/>
      <c r="J2015" s="47"/>
      <c r="K2015" s="47"/>
      <c r="L2015" s="48"/>
    </row>
    <row r="2016" spans="1:12" s="49" customFormat="1" ht="14.15" customHeight="1">
      <c r="A2016" s="45"/>
      <c r="B2016" s="11"/>
      <c r="C2016" s="11" t="s">
        <v>18</v>
      </c>
      <c r="D2016" s="45" t="s">
        <v>16</v>
      </c>
      <c r="E2016" s="47"/>
      <c r="F2016" s="39" t="s">
        <v>1712</v>
      </c>
      <c r="G2016" s="13" t="s">
        <v>8816</v>
      </c>
      <c r="H2016" s="99" t="str">
        <f t="shared" si="98"/>
        <v>W27A.D</v>
      </c>
      <c r="I2016" s="45"/>
      <c r="J2016" s="47"/>
      <c r="K2016" s="47"/>
      <c r="L2016" s="48"/>
    </row>
    <row r="2017" spans="1:12" s="49" customFormat="1" ht="14.15" customHeight="1">
      <c r="A2017" s="45"/>
      <c r="B2017" s="11"/>
      <c r="C2017" s="11" t="s">
        <v>18</v>
      </c>
      <c r="D2017" s="45" t="s">
        <v>16</v>
      </c>
      <c r="E2017" s="47"/>
      <c r="F2017" s="39" t="s">
        <v>1713</v>
      </c>
      <c r="G2017" s="13" t="s">
        <v>8817</v>
      </c>
      <c r="H2017" s="99" t="str">
        <f t="shared" si="98"/>
        <v>W27A.E</v>
      </c>
      <c r="I2017" s="45"/>
      <c r="J2017" s="47"/>
      <c r="K2017" s="47"/>
      <c r="L2017" s="48"/>
    </row>
    <row r="2018" spans="1:12" s="49" customFormat="1" ht="14.15" customHeight="1">
      <c r="A2018" s="45"/>
      <c r="B2018" s="11"/>
      <c r="C2018" s="11" t="s">
        <v>18</v>
      </c>
      <c r="D2018" s="45" t="s">
        <v>16</v>
      </c>
      <c r="E2018" s="47"/>
      <c r="F2018" s="39" t="s">
        <v>1714</v>
      </c>
      <c r="G2018" s="13" t="s">
        <v>8818</v>
      </c>
      <c r="H2018" s="99" t="str">
        <f t="shared" si="98"/>
        <v>W27A.F</v>
      </c>
      <c r="I2018" s="45"/>
      <c r="J2018" s="47"/>
      <c r="K2018" s="47"/>
      <c r="L2018" s="48"/>
    </row>
    <row r="2019" spans="1:12" s="49" customFormat="1" ht="14.15" customHeight="1">
      <c r="A2019" s="45"/>
      <c r="B2019" s="11"/>
      <c r="C2019" s="11" t="s">
        <v>18</v>
      </c>
      <c r="D2019" s="45" t="s">
        <v>16</v>
      </c>
      <c r="E2019" s="47"/>
      <c r="F2019" s="39" t="s">
        <v>1715</v>
      </c>
      <c r="G2019" s="13" t="s">
        <v>8819</v>
      </c>
      <c r="H2019" s="99" t="str">
        <f t="shared" si="98"/>
        <v>W27B.0</v>
      </c>
      <c r="I2019" s="45"/>
      <c r="J2019" s="47"/>
      <c r="K2019" s="47"/>
      <c r="L2019" s="48"/>
    </row>
    <row r="2020" spans="1:12" s="49" customFormat="1" ht="14.15" customHeight="1">
      <c r="A2020" s="45"/>
      <c r="B2020" s="11"/>
      <c r="C2020" s="11" t="s">
        <v>18</v>
      </c>
      <c r="D2020" s="45" t="s">
        <v>16</v>
      </c>
      <c r="E2020" s="47"/>
      <c r="F2020" s="39" t="s">
        <v>1716</v>
      </c>
      <c r="G2020" s="13" t="s">
        <v>8820</v>
      </c>
      <c r="H2020" s="99" t="str">
        <f t="shared" si="98"/>
        <v>W27B.1</v>
      </c>
      <c r="I2020" s="45"/>
      <c r="J2020" s="47"/>
      <c r="K2020" s="47"/>
      <c r="L2020" s="48"/>
    </row>
    <row r="2021" spans="1:12" s="49" customFormat="1" ht="14.15" customHeight="1">
      <c r="A2021" s="45"/>
      <c r="B2021" s="11"/>
      <c r="C2021" s="11" t="s">
        <v>18</v>
      </c>
      <c r="D2021" s="45" t="s">
        <v>16</v>
      </c>
      <c r="E2021" s="47"/>
      <c r="F2021" s="39" t="s">
        <v>1717</v>
      </c>
      <c r="G2021" s="13" t="s">
        <v>8821</v>
      </c>
      <c r="H2021" s="99" t="str">
        <f t="shared" si="98"/>
        <v>W27B.2</v>
      </c>
      <c r="I2021" s="45"/>
      <c r="J2021" s="47"/>
      <c r="K2021" s="47"/>
      <c r="L2021" s="48"/>
    </row>
    <row r="2022" spans="1:12" s="49" customFormat="1" ht="14.15" customHeight="1">
      <c r="A2022" s="45"/>
      <c r="B2022" s="11"/>
      <c r="C2022" s="11" t="s">
        <v>18</v>
      </c>
      <c r="D2022" s="45" t="s">
        <v>16</v>
      </c>
      <c r="E2022" s="47"/>
      <c r="F2022" s="39" t="s">
        <v>1718</v>
      </c>
      <c r="G2022" s="13" t="s">
        <v>8822</v>
      </c>
      <c r="H2022" s="99" t="str">
        <f t="shared" si="98"/>
        <v>W27B.3</v>
      </c>
      <c r="I2022" s="45"/>
      <c r="J2022" s="47"/>
      <c r="K2022" s="47"/>
      <c r="L2022" s="48"/>
    </row>
    <row r="2023" spans="1:12" s="49" customFormat="1" ht="14.15" customHeight="1">
      <c r="A2023" s="45"/>
      <c r="B2023" s="11"/>
      <c r="C2023" s="11" t="s">
        <v>18</v>
      </c>
      <c r="D2023" s="45" t="s">
        <v>16</v>
      </c>
      <c r="E2023" s="47"/>
      <c r="F2023" s="39" t="s">
        <v>1719</v>
      </c>
      <c r="G2023" s="13" t="s">
        <v>8823</v>
      </c>
      <c r="H2023" s="99" t="str">
        <f t="shared" si="98"/>
        <v>W27B.4</v>
      </c>
      <c r="I2023" s="45"/>
      <c r="J2023" s="47"/>
      <c r="K2023" s="47"/>
      <c r="L2023" s="48"/>
    </row>
    <row r="2024" spans="1:12" s="49" customFormat="1" ht="14.15" customHeight="1">
      <c r="A2024" s="45"/>
      <c r="B2024" s="11"/>
      <c r="C2024" s="11" t="s">
        <v>18</v>
      </c>
      <c r="D2024" s="45" t="s">
        <v>16</v>
      </c>
      <c r="E2024" s="47"/>
      <c r="F2024" s="39" t="s">
        <v>1720</v>
      </c>
      <c r="G2024" s="13" t="s">
        <v>8824</v>
      </c>
      <c r="H2024" s="99" t="str">
        <f t="shared" si="98"/>
        <v>W27B.5</v>
      </c>
      <c r="I2024" s="45"/>
      <c r="J2024" s="47"/>
      <c r="K2024" s="47"/>
      <c r="L2024" s="48"/>
    </row>
    <row r="2025" spans="1:12" s="49" customFormat="1" ht="14.15" customHeight="1">
      <c r="A2025" s="45"/>
      <c r="B2025" s="11"/>
      <c r="C2025" s="11" t="s">
        <v>18</v>
      </c>
      <c r="D2025" s="45" t="s">
        <v>16</v>
      </c>
      <c r="E2025" s="47"/>
      <c r="F2025" s="39" t="s">
        <v>1721</v>
      </c>
      <c r="G2025" s="13" t="s">
        <v>8825</v>
      </c>
      <c r="H2025" s="99" t="str">
        <f t="shared" si="98"/>
        <v>W27B.6</v>
      </c>
      <c r="I2025" s="45"/>
      <c r="J2025" s="47"/>
      <c r="K2025" s="47"/>
      <c r="L2025" s="48"/>
    </row>
    <row r="2026" spans="1:12" s="49" customFormat="1" ht="14.15" customHeight="1">
      <c r="A2026" s="45"/>
      <c r="B2026" s="11"/>
      <c r="C2026" s="11" t="s">
        <v>18</v>
      </c>
      <c r="D2026" s="45" t="s">
        <v>16</v>
      </c>
      <c r="E2026" s="47"/>
      <c r="F2026" s="39" t="s">
        <v>1722</v>
      </c>
      <c r="G2026" s="13" t="s">
        <v>8826</v>
      </c>
      <c r="H2026" s="99" t="str">
        <f t="shared" si="98"/>
        <v>W27B.7</v>
      </c>
      <c r="I2026" s="45"/>
      <c r="J2026" s="47"/>
      <c r="K2026" s="47"/>
      <c r="L2026" s="48"/>
    </row>
    <row r="2027" spans="1:12" s="49" customFormat="1" ht="14.15" customHeight="1">
      <c r="A2027" s="45"/>
      <c r="B2027" s="11"/>
      <c r="C2027" s="11" t="s">
        <v>18</v>
      </c>
      <c r="D2027" s="45" t="s">
        <v>16</v>
      </c>
      <c r="E2027" s="47"/>
      <c r="F2027" s="39" t="s">
        <v>1723</v>
      </c>
      <c r="G2027" s="13" t="s">
        <v>8827</v>
      </c>
      <c r="H2027" s="99" t="str">
        <f t="shared" si="98"/>
        <v>W27B.8</v>
      </c>
      <c r="I2027" s="45"/>
      <c r="J2027" s="47"/>
      <c r="K2027" s="47"/>
      <c r="L2027" s="48"/>
    </row>
    <row r="2028" spans="1:12" s="49" customFormat="1" ht="14.15" customHeight="1">
      <c r="A2028" s="45"/>
      <c r="B2028" s="11"/>
      <c r="C2028" s="11" t="s">
        <v>18</v>
      </c>
      <c r="D2028" s="45" t="s">
        <v>16</v>
      </c>
      <c r="E2028" s="47"/>
      <c r="F2028" s="39" t="s">
        <v>1724</v>
      </c>
      <c r="G2028" s="13" t="s">
        <v>8828</v>
      </c>
      <c r="H2028" s="99" t="str">
        <f t="shared" si="98"/>
        <v>W27B.9</v>
      </c>
      <c r="I2028" s="45"/>
      <c r="J2028" s="47"/>
      <c r="K2028" s="47"/>
      <c r="L2028" s="48"/>
    </row>
    <row r="2029" spans="1:12" s="49" customFormat="1" ht="14.15" customHeight="1">
      <c r="A2029" s="45"/>
      <c r="B2029" s="11"/>
      <c r="C2029" s="11" t="s">
        <v>18</v>
      </c>
      <c r="D2029" s="45" t="s">
        <v>16</v>
      </c>
      <c r="E2029" s="47"/>
      <c r="F2029" s="39" t="s">
        <v>1725</v>
      </c>
      <c r="G2029" s="13" t="s">
        <v>8829</v>
      </c>
      <c r="H2029" s="99" t="str">
        <f t="shared" si="98"/>
        <v>W27B.A</v>
      </c>
      <c r="I2029" s="45"/>
      <c r="J2029" s="47"/>
      <c r="K2029" s="47"/>
      <c r="L2029" s="48"/>
    </row>
    <row r="2030" spans="1:12" s="49" customFormat="1" ht="14.15" customHeight="1">
      <c r="A2030" s="45"/>
      <c r="B2030" s="11"/>
      <c r="C2030" s="11" t="s">
        <v>18</v>
      </c>
      <c r="D2030" s="45" t="s">
        <v>16</v>
      </c>
      <c r="E2030" s="47"/>
      <c r="F2030" s="39" t="s">
        <v>1726</v>
      </c>
      <c r="G2030" s="13" t="s">
        <v>8830</v>
      </c>
      <c r="H2030" s="99" t="str">
        <f t="shared" si="98"/>
        <v>W27B.B</v>
      </c>
      <c r="I2030" s="45"/>
      <c r="J2030" s="47"/>
      <c r="K2030" s="47"/>
      <c r="L2030" s="48"/>
    </row>
    <row r="2031" spans="1:12" s="49" customFormat="1" ht="14.15" customHeight="1">
      <c r="A2031" s="45"/>
      <c r="B2031" s="11"/>
      <c r="C2031" s="11" t="s">
        <v>18</v>
      </c>
      <c r="D2031" s="45" t="s">
        <v>16</v>
      </c>
      <c r="E2031" s="47"/>
      <c r="F2031" s="39" t="s">
        <v>1727</v>
      </c>
      <c r="G2031" s="13" t="s">
        <v>8831</v>
      </c>
      <c r="H2031" s="99" t="str">
        <f t="shared" si="98"/>
        <v>W27B.C</v>
      </c>
      <c r="I2031" s="45"/>
      <c r="J2031" s="47"/>
      <c r="K2031" s="47"/>
      <c r="L2031" s="48"/>
    </row>
    <row r="2032" spans="1:12" s="49" customFormat="1" ht="14.15" customHeight="1">
      <c r="A2032" s="45"/>
      <c r="B2032" s="11"/>
      <c r="C2032" s="11" t="s">
        <v>18</v>
      </c>
      <c r="D2032" s="45" t="s">
        <v>16</v>
      </c>
      <c r="E2032" s="47"/>
      <c r="F2032" s="39" t="s">
        <v>1728</v>
      </c>
      <c r="G2032" s="13" t="s">
        <v>8832</v>
      </c>
      <c r="H2032" s="99" t="str">
        <f t="shared" si="98"/>
        <v>W27B.D</v>
      </c>
      <c r="I2032" s="45"/>
      <c r="J2032" s="47"/>
      <c r="K2032" s="47"/>
      <c r="L2032" s="48"/>
    </row>
    <row r="2033" spans="1:12" s="49" customFormat="1" ht="14.15" customHeight="1">
      <c r="A2033" s="45"/>
      <c r="B2033" s="11"/>
      <c r="C2033" s="11" t="s">
        <v>18</v>
      </c>
      <c r="D2033" s="45" t="s">
        <v>16</v>
      </c>
      <c r="E2033" s="47"/>
      <c r="F2033" s="39" t="s">
        <v>1729</v>
      </c>
      <c r="G2033" s="13" t="s">
        <v>8833</v>
      </c>
      <c r="H2033" s="99" t="str">
        <f t="shared" si="98"/>
        <v>W27B.E</v>
      </c>
      <c r="I2033" s="45"/>
      <c r="J2033" s="47"/>
      <c r="K2033" s="47"/>
      <c r="L2033" s="48"/>
    </row>
    <row r="2034" spans="1:12" s="49" customFormat="1" ht="14.15" customHeight="1">
      <c r="A2034" s="45"/>
      <c r="B2034" s="11"/>
      <c r="C2034" s="11" t="s">
        <v>18</v>
      </c>
      <c r="D2034" s="45" t="s">
        <v>16</v>
      </c>
      <c r="E2034" s="47"/>
      <c r="F2034" s="39" t="s">
        <v>1730</v>
      </c>
      <c r="G2034" s="13" t="s">
        <v>8834</v>
      </c>
      <c r="H2034" s="99" t="str">
        <f t="shared" si="98"/>
        <v>W27B.F</v>
      </c>
      <c r="I2034" s="45"/>
      <c r="J2034" s="47"/>
      <c r="K2034" s="47"/>
      <c r="L2034" s="48"/>
    </row>
    <row r="2035" spans="1:12" s="49" customFormat="1" ht="14.15" customHeight="1">
      <c r="A2035" s="45"/>
      <c r="B2035" s="11"/>
      <c r="C2035" s="11" t="s">
        <v>18</v>
      </c>
      <c r="D2035" s="45" t="s">
        <v>16</v>
      </c>
      <c r="E2035" s="47"/>
      <c r="F2035" s="39" t="s">
        <v>1731</v>
      </c>
      <c r="G2035" s="13" t="s">
        <v>8835</v>
      </c>
      <c r="H2035" s="99" t="str">
        <f t="shared" si="98"/>
        <v>W27C.0</v>
      </c>
      <c r="I2035" s="45"/>
      <c r="J2035" s="47"/>
      <c r="K2035" s="47"/>
      <c r="L2035" s="48"/>
    </row>
    <row r="2036" spans="1:12" s="49" customFormat="1" ht="14.15" customHeight="1">
      <c r="A2036" s="45"/>
      <c r="B2036" s="11"/>
      <c r="C2036" s="11" t="s">
        <v>18</v>
      </c>
      <c r="D2036" s="45" t="s">
        <v>16</v>
      </c>
      <c r="E2036" s="47"/>
      <c r="F2036" s="39" t="s">
        <v>1732</v>
      </c>
      <c r="G2036" s="13" t="s">
        <v>8836</v>
      </c>
      <c r="H2036" s="99" t="str">
        <f t="shared" ref="H2036:H2050" si="99">"W"&amp;DEC2HEX(512 + INT((ROW()-51)/16)) &amp; "." &amp; IF(MOD(ROW()-51,16)&lt;10,MOD(ROW()-51,16),CHAR(MOD(ROW()-51,16)+55))</f>
        <v>W27C.1</v>
      </c>
      <c r="I2036" s="45"/>
      <c r="J2036" s="47"/>
      <c r="K2036" s="47"/>
      <c r="L2036" s="48"/>
    </row>
    <row r="2037" spans="1:12" s="49" customFormat="1" ht="14.15" customHeight="1">
      <c r="A2037" s="45"/>
      <c r="B2037" s="11"/>
      <c r="C2037" s="11" t="s">
        <v>18</v>
      </c>
      <c r="D2037" s="45" t="s">
        <v>16</v>
      </c>
      <c r="E2037" s="47"/>
      <c r="F2037" s="39" t="s">
        <v>1733</v>
      </c>
      <c r="G2037" s="13" t="s">
        <v>8837</v>
      </c>
      <c r="H2037" s="99" t="str">
        <f t="shared" si="99"/>
        <v>W27C.2</v>
      </c>
      <c r="I2037" s="45"/>
      <c r="J2037" s="47"/>
      <c r="K2037" s="47"/>
      <c r="L2037" s="48"/>
    </row>
    <row r="2038" spans="1:12" s="49" customFormat="1" ht="14.15" customHeight="1">
      <c r="A2038" s="45"/>
      <c r="B2038" s="11"/>
      <c r="C2038" s="11" t="s">
        <v>18</v>
      </c>
      <c r="D2038" s="45" t="s">
        <v>16</v>
      </c>
      <c r="E2038" s="47"/>
      <c r="F2038" s="39" t="s">
        <v>1734</v>
      </c>
      <c r="G2038" s="13" t="s">
        <v>8838</v>
      </c>
      <c r="H2038" s="99" t="str">
        <f t="shared" si="99"/>
        <v>W27C.3</v>
      </c>
      <c r="I2038" s="45"/>
      <c r="J2038" s="47"/>
      <c r="K2038" s="47"/>
      <c r="L2038" s="48"/>
    </row>
    <row r="2039" spans="1:12" s="49" customFormat="1" ht="14.15" customHeight="1">
      <c r="A2039" s="45"/>
      <c r="B2039" s="11"/>
      <c r="C2039" s="11" t="s">
        <v>18</v>
      </c>
      <c r="D2039" s="45" t="s">
        <v>16</v>
      </c>
      <c r="E2039" s="47"/>
      <c r="F2039" s="39" t="s">
        <v>1735</v>
      </c>
      <c r="G2039" s="13" t="s">
        <v>8839</v>
      </c>
      <c r="H2039" s="99" t="str">
        <f t="shared" si="99"/>
        <v>W27C.4</v>
      </c>
      <c r="I2039" s="45"/>
      <c r="J2039" s="47"/>
      <c r="K2039" s="47"/>
      <c r="L2039" s="48"/>
    </row>
    <row r="2040" spans="1:12" s="49" customFormat="1" ht="14.15" customHeight="1">
      <c r="A2040" s="45"/>
      <c r="B2040" s="11"/>
      <c r="C2040" s="11" t="s">
        <v>18</v>
      </c>
      <c r="D2040" s="45" t="s">
        <v>16</v>
      </c>
      <c r="E2040" s="47"/>
      <c r="F2040" s="39" t="s">
        <v>1736</v>
      </c>
      <c r="G2040" s="13" t="s">
        <v>8840</v>
      </c>
      <c r="H2040" s="99" t="str">
        <f t="shared" si="99"/>
        <v>W27C.5</v>
      </c>
      <c r="I2040" s="45"/>
      <c r="J2040" s="47"/>
      <c r="K2040" s="47"/>
      <c r="L2040" s="48"/>
    </row>
    <row r="2041" spans="1:12" s="49" customFormat="1" ht="14.15" customHeight="1">
      <c r="A2041" s="45"/>
      <c r="B2041" s="11"/>
      <c r="C2041" s="11" t="s">
        <v>18</v>
      </c>
      <c r="D2041" s="45" t="s">
        <v>16</v>
      </c>
      <c r="E2041" s="47"/>
      <c r="F2041" s="39" t="s">
        <v>1737</v>
      </c>
      <c r="G2041" s="13" t="s">
        <v>8841</v>
      </c>
      <c r="H2041" s="99" t="str">
        <f t="shared" si="99"/>
        <v>W27C.6</v>
      </c>
      <c r="I2041" s="45"/>
      <c r="J2041" s="47"/>
      <c r="K2041" s="47"/>
      <c r="L2041" s="48"/>
    </row>
    <row r="2042" spans="1:12" s="49" customFormat="1" ht="14.15" customHeight="1">
      <c r="A2042" s="45"/>
      <c r="B2042" s="11"/>
      <c r="C2042" s="11" t="s">
        <v>18</v>
      </c>
      <c r="D2042" s="45" t="s">
        <v>16</v>
      </c>
      <c r="E2042" s="47"/>
      <c r="F2042" s="39" t="s">
        <v>1738</v>
      </c>
      <c r="G2042" s="13" t="s">
        <v>8842</v>
      </c>
      <c r="H2042" s="99" t="str">
        <f t="shared" si="99"/>
        <v>W27C.7</v>
      </c>
      <c r="I2042" s="45"/>
      <c r="J2042" s="47"/>
      <c r="K2042" s="47"/>
      <c r="L2042" s="48"/>
    </row>
    <row r="2043" spans="1:12" s="49" customFormat="1" ht="14.15" customHeight="1">
      <c r="A2043" s="45"/>
      <c r="B2043" s="11"/>
      <c r="C2043" s="11" t="s">
        <v>18</v>
      </c>
      <c r="D2043" s="45" t="s">
        <v>16</v>
      </c>
      <c r="E2043" s="47"/>
      <c r="F2043" s="39" t="s">
        <v>1739</v>
      </c>
      <c r="G2043" s="13" t="s">
        <v>8843</v>
      </c>
      <c r="H2043" s="99" t="str">
        <f t="shared" si="99"/>
        <v>W27C.8</v>
      </c>
      <c r="I2043" s="45"/>
      <c r="J2043" s="47"/>
      <c r="K2043" s="47"/>
      <c r="L2043" s="48"/>
    </row>
    <row r="2044" spans="1:12" s="49" customFormat="1" ht="14.15" customHeight="1">
      <c r="A2044" s="45"/>
      <c r="B2044" s="11"/>
      <c r="C2044" s="11" t="s">
        <v>18</v>
      </c>
      <c r="D2044" s="45" t="s">
        <v>16</v>
      </c>
      <c r="E2044" s="47"/>
      <c r="F2044" s="39" t="s">
        <v>1740</v>
      </c>
      <c r="G2044" s="13" t="s">
        <v>8844</v>
      </c>
      <c r="H2044" s="99" t="str">
        <f t="shared" si="99"/>
        <v>W27C.9</v>
      </c>
      <c r="I2044" s="45"/>
      <c r="J2044" s="47"/>
      <c r="K2044" s="47"/>
      <c r="L2044" s="48"/>
    </row>
    <row r="2045" spans="1:12" s="49" customFormat="1" ht="14.15" customHeight="1">
      <c r="A2045" s="45"/>
      <c r="B2045" s="11"/>
      <c r="C2045" s="11" t="s">
        <v>18</v>
      </c>
      <c r="D2045" s="45" t="s">
        <v>16</v>
      </c>
      <c r="E2045" s="47"/>
      <c r="F2045" s="39" t="s">
        <v>1741</v>
      </c>
      <c r="G2045" s="13" t="s">
        <v>8845</v>
      </c>
      <c r="H2045" s="99" t="str">
        <f t="shared" si="99"/>
        <v>W27C.A</v>
      </c>
      <c r="I2045" s="45"/>
      <c r="J2045" s="47"/>
      <c r="K2045" s="47"/>
      <c r="L2045" s="48"/>
    </row>
    <row r="2046" spans="1:12" s="49" customFormat="1" ht="14.15" customHeight="1">
      <c r="A2046" s="45"/>
      <c r="B2046" s="11"/>
      <c r="C2046" s="11" t="s">
        <v>18</v>
      </c>
      <c r="D2046" s="45" t="s">
        <v>16</v>
      </c>
      <c r="E2046" s="47"/>
      <c r="F2046" s="39" t="s">
        <v>1742</v>
      </c>
      <c r="G2046" s="13" t="s">
        <v>8846</v>
      </c>
      <c r="H2046" s="99" t="str">
        <f t="shared" si="99"/>
        <v>W27C.B</v>
      </c>
      <c r="I2046" s="45"/>
      <c r="J2046" s="47"/>
      <c r="K2046" s="47"/>
      <c r="L2046" s="48"/>
    </row>
    <row r="2047" spans="1:12" s="49" customFormat="1" ht="14.15" customHeight="1">
      <c r="A2047" s="45"/>
      <c r="B2047" s="11"/>
      <c r="C2047" s="11" t="s">
        <v>18</v>
      </c>
      <c r="D2047" s="45" t="s">
        <v>16</v>
      </c>
      <c r="E2047" s="47"/>
      <c r="F2047" s="39" t="s">
        <v>1743</v>
      </c>
      <c r="G2047" s="13" t="s">
        <v>8847</v>
      </c>
      <c r="H2047" s="99" t="str">
        <f t="shared" si="99"/>
        <v>W27C.C</v>
      </c>
      <c r="I2047" s="45"/>
      <c r="J2047" s="47"/>
      <c r="K2047" s="47"/>
      <c r="L2047" s="48"/>
    </row>
    <row r="2048" spans="1:12" s="49" customFormat="1" ht="14.15" customHeight="1">
      <c r="A2048" s="45"/>
      <c r="B2048" s="11"/>
      <c r="C2048" s="11" t="s">
        <v>18</v>
      </c>
      <c r="D2048" s="45" t="s">
        <v>16</v>
      </c>
      <c r="E2048" s="47"/>
      <c r="F2048" s="39" t="s">
        <v>1744</v>
      </c>
      <c r="G2048" s="13" t="s">
        <v>8848</v>
      </c>
      <c r="H2048" s="99" t="str">
        <f t="shared" si="99"/>
        <v>W27C.D</v>
      </c>
      <c r="I2048" s="45"/>
      <c r="J2048" s="47"/>
      <c r="K2048" s="47"/>
      <c r="L2048" s="48"/>
    </row>
    <row r="2049" spans="1:12" s="49" customFormat="1" ht="14.15" customHeight="1">
      <c r="A2049" s="45"/>
      <c r="B2049" s="11"/>
      <c r="C2049" s="11" t="s">
        <v>18</v>
      </c>
      <c r="D2049" s="45" t="s">
        <v>16</v>
      </c>
      <c r="E2049" s="47"/>
      <c r="F2049" s="39" t="s">
        <v>1745</v>
      </c>
      <c r="G2049" s="13" t="s">
        <v>8849</v>
      </c>
      <c r="H2049" s="99" t="str">
        <f t="shared" si="99"/>
        <v>W27C.E</v>
      </c>
      <c r="I2049" s="45"/>
      <c r="J2049" s="47"/>
      <c r="K2049" s="47"/>
      <c r="L2049" s="48"/>
    </row>
    <row r="2050" spans="1:12" s="49" customFormat="1" ht="14.15" customHeight="1">
      <c r="A2050" s="45"/>
      <c r="B2050" s="11"/>
      <c r="C2050" s="11" t="s">
        <v>18</v>
      </c>
      <c r="D2050" s="45" t="s">
        <v>16</v>
      </c>
      <c r="E2050" s="47"/>
      <c r="F2050" s="39" t="s">
        <v>1746</v>
      </c>
      <c r="G2050" s="13" t="s">
        <v>8850</v>
      </c>
      <c r="H2050" s="99" t="str">
        <f t="shared" si="99"/>
        <v>W27C.F</v>
      </c>
      <c r="I2050" s="45"/>
      <c r="J2050" s="47"/>
      <c r="K2050" s="47"/>
      <c r="L2050" s="48"/>
    </row>
    <row r="2051" spans="1:12" ht="17">
      <c r="F2051" s="42"/>
      <c r="G2051" s="42"/>
      <c r="H2051" s="99"/>
    </row>
    <row r="2052" spans="1:12" ht="14">
      <c r="F2052" s="42"/>
      <c r="G2052" s="42"/>
    </row>
    <row r="2053" spans="1:12" ht="14">
      <c r="F2053" s="42"/>
      <c r="G2053" s="42"/>
    </row>
    <row r="2054" spans="1:12" ht="14">
      <c r="F2054" s="42"/>
      <c r="G2054" s="42"/>
    </row>
    <row r="2055" spans="1:12" ht="14">
      <c r="F2055" s="42"/>
      <c r="G2055" s="42"/>
    </row>
    <row r="2056" spans="1:12" ht="14">
      <c r="F2056" s="42"/>
      <c r="G2056" s="42"/>
    </row>
    <row r="2057" spans="1:12" ht="14">
      <c r="F2057" s="42"/>
      <c r="G2057" s="42"/>
    </row>
    <row r="2058" spans="1:12" ht="14">
      <c r="F2058" s="42"/>
      <c r="G2058" s="42"/>
    </row>
    <row r="2059" spans="1:12" ht="14">
      <c r="F2059" s="42"/>
      <c r="G2059" s="42"/>
    </row>
    <row r="2060" spans="1:12" ht="14">
      <c r="F2060" s="42"/>
      <c r="G2060" s="42"/>
    </row>
    <row r="2061" spans="1:12" ht="14">
      <c r="F2061" s="42"/>
      <c r="G2061" s="42"/>
    </row>
    <row r="2062" spans="1:12" ht="14">
      <c r="F2062" s="42"/>
      <c r="G2062" s="42"/>
    </row>
    <row r="2063" spans="1:12" ht="14">
      <c r="F2063" s="42"/>
      <c r="G2063" s="42"/>
    </row>
    <row r="2064" spans="1:12" ht="14">
      <c r="F2064" s="42"/>
      <c r="G2064" s="42"/>
    </row>
    <row r="2065" spans="6:7" ht="14">
      <c r="F2065" s="42"/>
      <c r="G2065" s="42"/>
    </row>
    <row r="2066" spans="6:7" ht="14">
      <c r="F2066" s="42"/>
      <c r="G2066" s="42"/>
    </row>
    <row r="2067" spans="6:7" ht="14">
      <c r="F2067" s="42"/>
      <c r="G2067" s="42"/>
    </row>
    <row r="2068" spans="6:7" ht="14">
      <c r="F2068" s="42"/>
      <c r="G2068" s="42"/>
    </row>
    <row r="2069" spans="6:7" ht="14">
      <c r="F2069" s="42"/>
      <c r="G2069" s="42"/>
    </row>
    <row r="2070" spans="6:7" ht="14">
      <c r="F2070" s="42"/>
      <c r="G2070" s="42"/>
    </row>
    <row r="2071" spans="6:7" ht="14">
      <c r="F2071" s="42"/>
      <c r="G2071" s="42"/>
    </row>
    <row r="2072" spans="6:7" ht="14">
      <c r="F2072" s="42"/>
      <c r="G2072" s="42"/>
    </row>
    <row r="2073" spans="6:7" ht="14">
      <c r="F2073" s="42"/>
      <c r="G2073" s="42"/>
    </row>
    <row r="2074" spans="6:7" ht="14">
      <c r="F2074" s="42"/>
      <c r="G2074" s="42"/>
    </row>
    <row r="2075" spans="6:7" ht="14">
      <c r="F2075" s="42"/>
      <c r="G2075" s="42"/>
    </row>
    <row r="2076" spans="6:7" ht="14">
      <c r="F2076" s="42"/>
      <c r="G2076" s="42"/>
    </row>
    <row r="2077" spans="6:7" ht="14">
      <c r="F2077" s="42"/>
      <c r="G2077" s="42"/>
    </row>
    <row r="2078" spans="6:7" ht="14">
      <c r="F2078" s="42"/>
      <c r="G2078" s="42"/>
    </row>
    <row r="2079" spans="6:7" ht="14">
      <c r="F2079" s="42"/>
      <c r="G2079" s="42"/>
    </row>
    <row r="2080" spans="6:7" ht="14">
      <c r="F2080" s="42"/>
      <c r="G2080" s="42"/>
    </row>
    <row r="2081" spans="6:7" ht="14">
      <c r="F2081" s="42"/>
      <c r="G2081" s="42"/>
    </row>
  </sheetData>
  <autoFilter ref="A3:O2050" xr:uid="{00000000-0009-0000-0000-000002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2:V2115"/>
  <sheetViews>
    <sheetView zoomScale="85" zoomScaleNormal="85" workbookViewId="0">
      <pane ySplit="3" topLeftCell="A2057" activePane="bottomLeft" state="frozen"/>
      <selection pane="bottomLeft" activeCell="M17" sqref="M17"/>
    </sheetView>
  </sheetViews>
  <sheetFormatPr defaultColWidth="9" defaultRowHeight="13"/>
  <cols>
    <col min="1" max="1" width="31.58203125" style="15" bestFit="1" customWidth="1"/>
    <col min="2" max="2" width="7.5" style="15" customWidth="1"/>
    <col min="3" max="3" width="20.83203125" style="15" customWidth="1"/>
    <col min="4" max="4" width="6.58203125" style="15" customWidth="1"/>
    <col min="5" max="5" width="13.83203125" style="15" hidden="1" customWidth="1"/>
    <col min="6" max="6" width="14.5" style="15" customWidth="1"/>
    <col min="7" max="7" width="8.5" style="15" customWidth="1"/>
    <col min="8" max="8" width="12.08203125" style="15" customWidth="1"/>
    <col min="9" max="9" width="90.83203125" style="5" hidden="1" customWidth="1"/>
    <col min="10" max="10" width="99.08203125" style="16" customWidth="1"/>
    <col min="11" max="11" width="11.83203125" style="16" customWidth="1"/>
    <col min="12" max="12" width="19.08203125" style="5" customWidth="1"/>
    <col min="13" max="13" width="25.25" style="15" bestFit="1" customWidth="1"/>
    <col min="14" max="14" width="9.33203125" style="5" bestFit="1" customWidth="1"/>
    <col min="15" max="15" width="26.33203125" style="5" customWidth="1"/>
    <col min="16" max="16" width="8.58203125" style="5" customWidth="1"/>
    <col min="17" max="18" width="8.25" style="15" customWidth="1"/>
    <col min="19" max="19" width="4.58203125" style="15" hidden="1" customWidth="1"/>
    <col min="20" max="20" width="0" style="5" hidden="1" customWidth="1"/>
    <col min="21" max="21" width="26" style="5" hidden="1" customWidth="1"/>
    <col min="22" max="22" width="29.58203125" style="5" hidden="1" customWidth="1"/>
    <col min="23" max="16384" width="9" style="5"/>
  </cols>
  <sheetData>
    <row r="2" spans="1:21" ht="65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1" t="s">
        <v>3</v>
      </c>
      <c r="G2" s="2" t="s">
        <v>2</v>
      </c>
      <c r="H2" s="1" t="s">
        <v>3</v>
      </c>
      <c r="I2" s="3" t="s">
        <v>0</v>
      </c>
      <c r="J2" s="3" t="s">
        <v>0</v>
      </c>
      <c r="K2" s="1" t="s">
        <v>0</v>
      </c>
      <c r="L2" s="1" t="s">
        <v>0</v>
      </c>
      <c r="M2" s="1" t="s">
        <v>0</v>
      </c>
      <c r="N2" s="1"/>
      <c r="O2" s="1"/>
      <c r="P2" s="4"/>
      <c r="Q2" s="35"/>
      <c r="R2" s="35"/>
      <c r="S2" s="36"/>
    </row>
    <row r="3" spans="1:21" ht="26">
      <c r="A3" s="6" t="s">
        <v>5</v>
      </c>
      <c r="B3" s="6" t="s">
        <v>6</v>
      </c>
      <c r="C3" s="6" t="s">
        <v>7</v>
      </c>
      <c r="D3" s="7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6" t="s">
        <v>13</v>
      </c>
      <c r="J3" s="8" t="s">
        <v>14</v>
      </c>
      <c r="K3" s="38" t="s">
        <v>6804</v>
      </c>
      <c r="L3" s="38" t="s">
        <v>6805</v>
      </c>
      <c r="M3" s="9" t="s">
        <v>156</v>
      </c>
      <c r="N3" s="9" t="s">
        <v>21</v>
      </c>
      <c r="O3" s="9" t="s">
        <v>152</v>
      </c>
      <c r="P3" s="9" t="s">
        <v>15</v>
      </c>
      <c r="Q3" s="9" t="s">
        <v>140</v>
      </c>
      <c r="R3" s="9" t="s">
        <v>141</v>
      </c>
      <c r="S3" s="37"/>
    </row>
    <row r="4" spans="1:21" s="49" customFormat="1" ht="14.15" customHeight="1">
      <c r="A4" s="43" t="s">
        <v>3670</v>
      </c>
      <c r="B4" s="44" t="s">
        <v>3677</v>
      </c>
      <c r="C4" s="32"/>
      <c r="D4" s="10" t="s">
        <v>29</v>
      </c>
      <c r="E4" s="11" t="s">
        <v>18</v>
      </c>
      <c r="F4" s="11" t="s">
        <v>3676</v>
      </c>
      <c r="G4" s="13"/>
      <c r="H4" s="45" t="s">
        <v>16</v>
      </c>
      <c r="I4" s="46"/>
      <c r="J4" s="62" t="s">
        <v>3681</v>
      </c>
      <c r="K4" s="13" t="s">
        <v>8853</v>
      </c>
      <c r="L4" s="99" t="str">
        <f>"W"&amp;DEC2HEX(6144 + INT((ROW()-4)/16)) &amp; "." &amp; IF(MOD(ROW()-4,16)&lt;10,MOD(ROW()-4,16),CHAR(MOD(ROW()-4,16)+55))</f>
        <v>W1800.0</v>
      </c>
      <c r="M4" s="13" t="s">
        <v>3678</v>
      </c>
      <c r="N4" s="13" t="s">
        <v>150</v>
      </c>
      <c r="O4" s="33" t="s">
        <v>115</v>
      </c>
      <c r="P4" s="64"/>
      <c r="Q4" s="65" t="s">
        <v>142</v>
      </c>
      <c r="R4" s="65" t="s">
        <v>143</v>
      </c>
      <c r="S4" s="48"/>
      <c r="U4" s="12"/>
    </row>
    <row r="5" spans="1:21" s="49" customFormat="1" ht="14.15" customHeight="1">
      <c r="A5" s="43" t="s">
        <v>3670</v>
      </c>
      <c r="B5" s="44" t="s">
        <v>3677</v>
      </c>
      <c r="C5" s="32"/>
      <c r="D5" s="10" t="s">
        <v>29</v>
      </c>
      <c r="E5" s="11"/>
      <c r="F5" s="11" t="s">
        <v>3676</v>
      </c>
      <c r="G5" s="13"/>
      <c r="H5" s="45" t="s">
        <v>16</v>
      </c>
      <c r="I5" s="46"/>
      <c r="J5" s="62" t="s">
        <v>3682</v>
      </c>
      <c r="K5" s="13" t="s">
        <v>8854</v>
      </c>
      <c r="L5" s="99" t="str">
        <f t="shared" ref="L5:L68" si="0">"W"&amp;DEC2HEX(6144 + INT((ROW()-4)/16)) &amp; "." &amp; IF(MOD(ROW()-4,16)&lt;10,MOD(ROW()-4,16),CHAR(MOD(ROW()-4,16)+55))</f>
        <v>W1800.1</v>
      </c>
      <c r="M5" s="13" t="s">
        <v>3678</v>
      </c>
      <c r="N5" s="13" t="s">
        <v>149</v>
      </c>
      <c r="O5" s="33" t="s">
        <v>121</v>
      </c>
      <c r="P5" s="64"/>
      <c r="Q5" s="65" t="s">
        <v>142</v>
      </c>
      <c r="R5" s="65" t="s">
        <v>143</v>
      </c>
      <c r="S5" s="48"/>
      <c r="U5" s="12"/>
    </row>
    <row r="6" spans="1:21" s="49" customFormat="1" ht="14.15" customHeight="1">
      <c r="A6" s="43" t="s">
        <v>3670</v>
      </c>
      <c r="B6" s="44" t="s">
        <v>3677</v>
      </c>
      <c r="C6" s="32"/>
      <c r="D6" s="10" t="s">
        <v>29</v>
      </c>
      <c r="E6" s="11"/>
      <c r="F6" s="11" t="s">
        <v>3676</v>
      </c>
      <c r="G6" s="13"/>
      <c r="H6" s="45" t="s">
        <v>16</v>
      </c>
      <c r="I6" s="46"/>
      <c r="J6" s="62" t="s">
        <v>3683</v>
      </c>
      <c r="K6" s="13" t="s">
        <v>8855</v>
      </c>
      <c r="L6" s="99" t="str">
        <f t="shared" si="0"/>
        <v>W1800.2</v>
      </c>
      <c r="M6" s="13" t="s">
        <v>3678</v>
      </c>
      <c r="N6" s="13" t="s">
        <v>119</v>
      </c>
      <c r="O6" s="33" t="s">
        <v>116</v>
      </c>
      <c r="P6" s="64"/>
      <c r="Q6" s="65" t="s">
        <v>142</v>
      </c>
      <c r="R6" s="65" t="s">
        <v>143</v>
      </c>
      <c r="S6" s="48"/>
      <c r="U6" s="12"/>
    </row>
    <row r="7" spans="1:21" s="49" customFormat="1" ht="14.15" customHeight="1">
      <c r="A7" s="43" t="s">
        <v>3670</v>
      </c>
      <c r="B7" s="44" t="s">
        <v>3677</v>
      </c>
      <c r="C7" s="32"/>
      <c r="D7" s="10" t="s">
        <v>29</v>
      </c>
      <c r="E7" s="11"/>
      <c r="F7" s="11" t="s">
        <v>3676</v>
      </c>
      <c r="G7" s="13"/>
      <c r="H7" s="45" t="s">
        <v>16</v>
      </c>
      <c r="I7" s="46"/>
      <c r="J7" s="66" t="s">
        <v>3684</v>
      </c>
      <c r="K7" s="13" t="s">
        <v>8856</v>
      </c>
      <c r="L7" s="99" t="str">
        <f t="shared" si="0"/>
        <v>W1800.3</v>
      </c>
      <c r="M7" s="13" t="s">
        <v>3678</v>
      </c>
      <c r="N7" s="13" t="s">
        <v>148</v>
      </c>
      <c r="O7" s="33" t="s">
        <v>122</v>
      </c>
      <c r="P7" s="64"/>
      <c r="Q7" s="65" t="s">
        <v>142</v>
      </c>
      <c r="R7" s="65" t="s">
        <v>143</v>
      </c>
      <c r="S7" s="48"/>
      <c r="U7" s="12"/>
    </row>
    <row r="8" spans="1:21" s="49" customFormat="1" ht="14.15" customHeight="1">
      <c r="A8" s="43" t="s">
        <v>3679</v>
      </c>
      <c r="B8" s="44" t="s">
        <v>3677</v>
      </c>
      <c r="C8" s="32"/>
      <c r="D8" s="10" t="s">
        <v>29</v>
      </c>
      <c r="E8" s="11"/>
      <c r="F8" s="11" t="s">
        <v>3676</v>
      </c>
      <c r="G8" s="13"/>
      <c r="H8" s="45" t="s">
        <v>16</v>
      </c>
      <c r="I8" s="46"/>
      <c r="J8" s="62" t="s">
        <v>3685</v>
      </c>
      <c r="K8" s="13" t="s">
        <v>8857</v>
      </c>
      <c r="L8" s="99" t="str">
        <f t="shared" si="0"/>
        <v>W1800.4</v>
      </c>
      <c r="M8" s="13" t="s">
        <v>3678</v>
      </c>
      <c r="N8" s="13" t="s">
        <v>150</v>
      </c>
      <c r="O8" s="33" t="s">
        <v>115</v>
      </c>
      <c r="P8" s="64"/>
      <c r="Q8" s="65" t="s">
        <v>142</v>
      </c>
      <c r="R8" s="65" t="s">
        <v>143</v>
      </c>
      <c r="S8" s="48"/>
      <c r="U8" s="12"/>
    </row>
    <row r="9" spans="1:21" s="49" customFormat="1" ht="14.15" customHeight="1">
      <c r="A9" s="43" t="s">
        <v>3679</v>
      </c>
      <c r="B9" s="44" t="s">
        <v>3677</v>
      </c>
      <c r="C9" s="32"/>
      <c r="D9" s="10" t="s">
        <v>29</v>
      </c>
      <c r="E9" s="11"/>
      <c r="F9" s="11" t="s">
        <v>3676</v>
      </c>
      <c r="G9" s="13"/>
      <c r="H9" s="45" t="s">
        <v>16</v>
      </c>
      <c r="I9" s="46"/>
      <c r="J9" s="62" t="s">
        <v>3686</v>
      </c>
      <c r="K9" s="13" t="s">
        <v>8858</v>
      </c>
      <c r="L9" s="99" t="str">
        <f t="shared" si="0"/>
        <v>W1800.5</v>
      </c>
      <c r="M9" s="13" t="s">
        <v>3678</v>
      </c>
      <c r="N9" s="13" t="s">
        <v>149</v>
      </c>
      <c r="O9" s="33" t="s">
        <v>121</v>
      </c>
      <c r="P9" s="64"/>
      <c r="Q9" s="65" t="s">
        <v>142</v>
      </c>
      <c r="R9" s="65" t="s">
        <v>143</v>
      </c>
      <c r="S9" s="48"/>
      <c r="U9" s="12"/>
    </row>
    <row r="10" spans="1:21" s="49" customFormat="1" ht="14.15" customHeight="1">
      <c r="A10" s="43" t="s">
        <v>3679</v>
      </c>
      <c r="B10" s="44" t="s">
        <v>3677</v>
      </c>
      <c r="C10" s="32"/>
      <c r="D10" s="10" t="s">
        <v>29</v>
      </c>
      <c r="E10" s="11"/>
      <c r="F10" s="11" t="s">
        <v>3676</v>
      </c>
      <c r="G10" s="13"/>
      <c r="H10" s="45" t="s">
        <v>16</v>
      </c>
      <c r="I10" s="46"/>
      <c r="J10" s="62" t="s">
        <v>3687</v>
      </c>
      <c r="K10" s="13" t="s">
        <v>8859</v>
      </c>
      <c r="L10" s="99" t="str">
        <f t="shared" si="0"/>
        <v>W1800.6</v>
      </c>
      <c r="M10" s="13" t="s">
        <v>3678</v>
      </c>
      <c r="N10" s="13" t="s">
        <v>119</v>
      </c>
      <c r="O10" s="33" t="s">
        <v>116</v>
      </c>
      <c r="P10" s="64"/>
      <c r="Q10" s="65" t="s">
        <v>142</v>
      </c>
      <c r="R10" s="65" t="s">
        <v>143</v>
      </c>
      <c r="S10" s="48"/>
      <c r="U10" s="12"/>
    </row>
    <row r="11" spans="1:21" s="49" customFormat="1" ht="14.15" customHeight="1">
      <c r="A11" s="43" t="s">
        <v>3679</v>
      </c>
      <c r="B11" s="44" t="s">
        <v>3677</v>
      </c>
      <c r="C11" s="32"/>
      <c r="D11" s="10" t="s">
        <v>29</v>
      </c>
      <c r="E11" s="11"/>
      <c r="F11" s="11" t="s">
        <v>3676</v>
      </c>
      <c r="G11" s="13"/>
      <c r="H11" s="45" t="s">
        <v>16</v>
      </c>
      <c r="I11" s="46"/>
      <c r="J11" s="66" t="s">
        <v>3688</v>
      </c>
      <c r="K11" s="13" t="s">
        <v>8860</v>
      </c>
      <c r="L11" s="99" t="str">
        <f t="shared" si="0"/>
        <v>W1800.7</v>
      </c>
      <c r="M11" s="13" t="s">
        <v>3678</v>
      </c>
      <c r="N11" s="13" t="s">
        <v>148</v>
      </c>
      <c r="O11" s="33" t="s">
        <v>122</v>
      </c>
      <c r="P11" s="64"/>
      <c r="Q11" s="65" t="s">
        <v>142</v>
      </c>
      <c r="R11" s="65" t="s">
        <v>143</v>
      </c>
      <c r="S11" s="48"/>
      <c r="U11" s="12"/>
    </row>
    <row r="12" spans="1:21" s="49" customFormat="1" ht="14.15" customHeight="1">
      <c r="A12" s="43" t="s">
        <v>3680</v>
      </c>
      <c r="B12" s="44" t="s">
        <v>3677</v>
      </c>
      <c r="C12" s="32"/>
      <c r="D12" s="10" t="s">
        <v>29</v>
      </c>
      <c r="E12" s="11"/>
      <c r="F12" s="11" t="s">
        <v>3676</v>
      </c>
      <c r="G12" s="13"/>
      <c r="H12" s="45" t="s">
        <v>16</v>
      </c>
      <c r="I12" s="46"/>
      <c r="J12" s="62" t="s">
        <v>3689</v>
      </c>
      <c r="K12" s="13" t="s">
        <v>8861</v>
      </c>
      <c r="L12" s="99" t="str">
        <f t="shared" si="0"/>
        <v>W1800.8</v>
      </c>
      <c r="M12" s="13" t="s">
        <v>3678</v>
      </c>
      <c r="N12" s="13" t="s">
        <v>150</v>
      </c>
      <c r="O12" s="33" t="s">
        <v>115</v>
      </c>
      <c r="P12" s="64"/>
      <c r="Q12" s="65" t="s">
        <v>142</v>
      </c>
      <c r="R12" s="65" t="s">
        <v>143</v>
      </c>
      <c r="S12" s="48"/>
      <c r="U12" s="12"/>
    </row>
    <row r="13" spans="1:21" s="49" customFormat="1" ht="14.15" customHeight="1">
      <c r="A13" s="43" t="s">
        <v>3680</v>
      </c>
      <c r="B13" s="44" t="s">
        <v>3677</v>
      </c>
      <c r="C13" s="32"/>
      <c r="D13" s="10" t="s">
        <v>29</v>
      </c>
      <c r="E13" s="11"/>
      <c r="F13" s="11" t="s">
        <v>3676</v>
      </c>
      <c r="G13" s="13"/>
      <c r="H13" s="45" t="s">
        <v>16</v>
      </c>
      <c r="I13" s="46"/>
      <c r="J13" s="62" t="s">
        <v>3690</v>
      </c>
      <c r="K13" s="13" t="s">
        <v>8862</v>
      </c>
      <c r="L13" s="99" t="str">
        <f t="shared" si="0"/>
        <v>W1800.9</v>
      </c>
      <c r="M13" s="13" t="s">
        <v>3678</v>
      </c>
      <c r="N13" s="13" t="s">
        <v>149</v>
      </c>
      <c r="O13" s="33" t="s">
        <v>121</v>
      </c>
      <c r="P13" s="64"/>
      <c r="Q13" s="65" t="s">
        <v>142</v>
      </c>
      <c r="R13" s="65" t="s">
        <v>143</v>
      </c>
      <c r="S13" s="48"/>
      <c r="U13" s="12"/>
    </row>
    <row r="14" spans="1:21" s="49" customFormat="1" ht="14.15" customHeight="1">
      <c r="A14" s="43" t="s">
        <v>3680</v>
      </c>
      <c r="B14" s="44" t="s">
        <v>3677</v>
      </c>
      <c r="C14" s="32"/>
      <c r="D14" s="10" t="s">
        <v>29</v>
      </c>
      <c r="E14" s="11"/>
      <c r="F14" s="11" t="s">
        <v>3676</v>
      </c>
      <c r="G14" s="13"/>
      <c r="H14" s="45" t="s">
        <v>16</v>
      </c>
      <c r="I14" s="46"/>
      <c r="J14" s="62" t="s">
        <v>3691</v>
      </c>
      <c r="K14" s="13" t="s">
        <v>8863</v>
      </c>
      <c r="L14" s="99" t="str">
        <f t="shared" si="0"/>
        <v>W1800.A</v>
      </c>
      <c r="M14" s="13" t="s">
        <v>3678</v>
      </c>
      <c r="N14" s="13" t="s">
        <v>119</v>
      </c>
      <c r="O14" s="33" t="s">
        <v>116</v>
      </c>
      <c r="P14" s="64"/>
      <c r="Q14" s="65" t="s">
        <v>142</v>
      </c>
      <c r="R14" s="65" t="s">
        <v>143</v>
      </c>
      <c r="S14" s="48"/>
      <c r="U14" s="12"/>
    </row>
    <row r="15" spans="1:21" s="49" customFormat="1" ht="14.15" customHeight="1">
      <c r="A15" s="43" t="s">
        <v>3680</v>
      </c>
      <c r="B15" s="44" t="s">
        <v>3677</v>
      </c>
      <c r="C15" s="32"/>
      <c r="D15" s="10" t="s">
        <v>29</v>
      </c>
      <c r="E15" s="11"/>
      <c r="F15" s="11" t="s">
        <v>3676</v>
      </c>
      <c r="G15" s="13"/>
      <c r="H15" s="45" t="s">
        <v>16</v>
      </c>
      <c r="I15" s="46"/>
      <c r="J15" s="66" t="s">
        <v>3692</v>
      </c>
      <c r="K15" s="13" t="s">
        <v>8864</v>
      </c>
      <c r="L15" s="99" t="str">
        <f t="shared" si="0"/>
        <v>W1800.B</v>
      </c>
      <c r="M15" s="13" t="s">
        <v>3678</v>
      </c>
      <c r="N15" s="13" t="s">
        <v>148</v>
      </c>
      <c r="O15" s="33" t="s">
        <v>122</v>
      </c>
      <c r="P15" s="64"/>
      <c r="Q15" s="65" t="s">
        <v>142</v>
      </c>
      <c r="R15" s="65" t="s">
        <v>143</v>
      </c>
      <c r="S15" s="48"/>
      <c r="U15" s="12"/>
    </row>
    <row r="16" spans="1:21" s="49" customFormat="1" ht="14.15" customHeight="1">
      <c r="A16" s="43" t="s">
        <v>3731</v>
      </c>
      <c r="B16" s="44" t="s">
        <v>3677</v>
      </c>
      <c r="C16" s="32"/>
      <c r="D16" s="10" t="s">
        <v>29</v>
      </c>
      <c r="E16" s="11"/>
      <c r="F16" s="11" t="s">
        <v>3676</v>
      </c>
      <c r="G16" s="13"/>
      <c r="H16" s="45" t="s">
        <v>16</v>
      </c>
      <c r="I16" s="46"/>
      <c r="J16" s="62" t="s">
        <v>3693</v>
      </c>
      <c r="K16" s="13" t="s">
        <v>8865</v>
      </c>
      <c r="L16" s="99" t="str">
        <f t="shared" si="0"/>
        <v>W1800.C</v>
      </c>
      <c r="M16" s="13" t="s">
        <v>3678</v>
      </c>
      <c r="N16" s="13" t="s">
        <v>150</v>
      </c>
      <c r="O16" s="33" t="s">
        <v>115</v>
      </c>
      <c r="P16" s="64"/>
      <c r="Q16" s="65" t="s">
        <v>142</v>
      </c>
      <c r="R16" s="65" t="s">
        <v>143</v>
      </c>
      <c r="S16" s="48"/>
      <c r="U16" s="12"/>
    </row>
    <row r="17" spans="1:21" s="49" customFormat="1" ht="14.15" customHeight="1">
      <c r="A17" s="43" t="s">
        <v>3731</v>
      </c>
      <c r="B17" s="44" t="s">
        <v>3677</v>
      </c>
      <c r="C17" s="32"/>
      <c r="D17" s="10" t="s">
        <v>29</v>
      </c>
      <c r="E17" s="11"/>
      <c r="F17" s="11" t="s">
        <v>3676</v>
      </c>
      <c r="G17" s="13"/>
      <c r="H17" s="45" t="s">
        <v>16</v>
      </c>
      <c r="I17" s="46"/>
      <c r="J17" s="62" t="s">
        <v>3694</v>
      </c>
      <c r="K17" s="13" t="s">
        <v>8866</v>
      </c>
      <c r="L17" s="99" t="str">
        <f t="shared" si="0"/>
        <v>W1800.D</v>
      </c>
      <c r="M17" s="13" t="s">
        <v>3678</v>
      </c>
      <c r="N17" s="13" t="s">
        <v>149</v>
      </c>
      <c r="O17" s="33" t="s">
        <v>121</v>
      </c>
      <c r="P17" s="64"/>
      <c r="Q17" s="65" t="s">
        <v>142</v>
      </c>
      <c r="R17" s="65" t="s">
        <v>143</v>
      </c>
      <c r="S17" s="48"/>
      <c r="U17" s="12"/>
    </row>
    <row r="18" spans="1:21" s="49" customFormat="1" ht="14.15" customHeight="1">
      <c r="A18" s="43" t="s">
        <v>3731</v>
      </c>
      <c r="B18" s="44" t="s">
        <v>3677</v>
      </c>
      <c r="C18" s="32"/>
      <c r="D18" s="10" t="s">
        <v>29</v>
      </c>
      <c r="E18" s="11"/>
      <c r="F18" s="11" t="s">
        <v>3676</v>
      </c>
      <c r="G18" s="13"/>
      <c r="H18" s="45" t="s">
        <v>16</v>
      </c>
      <c r="I18" s="46"/>
      <c r="J18" s="62" t="s">
        <v>3695</v>
      </c>
      <c r="K18" s="13" t="s">
        <v>8867</v>
      </c>
      <c r="L18" s="99" t="str">
        <f t="shared" si="0"/>
        <v>W1800.E</v>
      </c>
      <c r="M18" s="13" t="s">
        <v>3678</v>
      </c>
      <c r="N18" s="13" t="s">
        <v>119</v>
      </c>
      <c r="O18" s="33" t="s">
        <v>116</v>
      </c>
      <c r="P18" s="64"/>
      <c r="Q18" s="65" t="s">
        <v>142</v>
      </c>
      <c r="R18" s="65" t="s">
        <v>143</v>
      </c>
      <c r="S18" s="48"/>
      <c r="U18" s="12"/>
    </row>
    <row r="19" spans="1:21" s="49" customFormat="1" ht="14.15" customHeight="1">
      <c r="A19" s="43" t="s">
        <v>3731</v>
      </c>
      <c r="B19" s="44" t="s">
        <v>3677</v>
      </c>
      <c r="C19" s="32"/>
      <c r="D19" s="10" t="s">
        <v>29</v>
      </c>
      <c r="E19" s="11"/>
      <c r="F19" s="11" t="s">
        <v>3676</v>
      </c>
      <c r="G19" s="13"/>
      <c r="H19" s="45" t="s">
        <v>16</v>
      </c>
      <c r="I19" s="46"/>
      <c r="J19" s="66" t="s">
        <v>3696</v>
      </c>
      <c r="K19" s="13" t="s">
        <v>8868</v>
      </c>
      <c r="L19" s="99" t="str">
        <f t="shared" si="0"/>
        <v>W1800.F</v>
      </c>
      <c r="M19" s="13" t="s">
        <v>3678</v>
      </c>
      <c r="N19" s="13" t="s">
        <v>148</v>
      </c>
      <c r="O19" s="33" t="s">
        <v>122</v>
      </c>
      <c r="P19" s="64"/>
      <c r="Q19" s="65" t="s">
        <v>142</v>
      </c>
      <c r="R19" s="65" t="s">
        <v>143</v>
      </c>
      <c r="S19" s="48"/>
      <c r="U19" s="12"/>
    </row>
    <row r="20" spans="1:21" s="49" customFormat="1" ht="14.15" customHeight="1">
      <c r="A20" s="43" t="s">
        <v>3721</v>
      </c>
      <c r="B20" s="44" t="s">
        <v>3677</v>
      </c>
      <c r="C20" s="32"/>
      <c r="D20" s="10" t="s">
        <v>29</v>
      </c>
      <c r="E20" s="11"/>
      <c r="F20" s="11" t="s">
        <v>3676</v>
      </c>
      <c r="G20" s="13"/>
      <c r="H20" s="45" t="s">
        <v>16</v>
      </c>
      <c r="I20" s="46"/>
      <c r="J20" s="62" t="s">
        <v>3737</v>
      </c>
      <c r="K20" s="13" t="s">
        <v>8869</v>
      </c>
      <c r="L20" s="99" t="str">
        <f t="shared" si="0"/>
        <v>W1801.0</v>
      </c>
      <c r="M20" s="13" t="s">
        <v>3669</v>
      </c>
      <c r="N20" s="13" t="s">
        <v>3675</v>
      </c>
      <c r="O20" s="34" t="s">
        <v>117</v>
      </c>
      <c r="P20" s="47"/>
      <c r="Q20" s="45" t="s">
        <v>3672</v>
      </c>
      <c r="R20" s="45" t="s">
        <v>2147</v>
      </c>
      <c r="S20" s="48"/>
      <c r="U20" s="12"/>
    </row>
    <row r="21" spans="1:21" s="49" customFormat="1" ht="14.15" customHeight="1">
      <c r="A21" s="43" t="s">
        <v>3721</v>
      </c>
      <c r="B21" s="44" t="s">
        <v>3677</v>
      </c>
      <c r="C21" s="32"/>
      <c r="D21" s="10" t="s">
        <v>29</v>
      </c>
      <c r="E21" s="11"/>
      <c r="F21" s="11" t="s">
        <v>3676</v>
      </c>
      <c r="G21" s="13"/>
      <c r="H21" s="45" t="s">
        <v>16</v>
      </c>
      <c r="I21" s="46"/>
      <c r="J21" s="62" t="s">
        <v>3738</v>
      </c>
      <c r="K21" s="13" t="s">
        <v>6807</v>
      </c>
      <c r="L21" s="99" t="str">
        <f t="shared" si="0"/>
        <v>W1801.1</v>
      </c>
      <c r="M21" s="13" t="s">
        <v>3669</v>
      </c>
      <c r="N21" s="13" t="s">
        <v>3675</v>
      </c>
      <c r="O21" s="34" t="s">
        <v>118</v>
      </c>
      <c r="P21" s="47"/>
      <c r="Q21" s="45" t="s">
        <v>3672</v>
      </c>
      <c r="R21" s="45" t="s">
        <v>2147</v>
      </c>
      <c r="S21" s="48"/>
      <c r="U21" s="12"/>
    </row>
    <row r="22" spans="1:21" s="49" customFormat="1" ht="14.15" customHeight="1">
      <c r="A22" s="43" t="s">
        <v>3721</v>
      </c>
      <c r="B22" s="44" t="s">
        <v>3677</v>
      </c>
      <c r="C22" s="32"/>
      <c r="D22" s="10" t="s">
        <v>29</v>
      </c>
      <c r="E22" s="11"/>
      <c r="F22" s="11" t="s">
        <v>3676</v>
      </c>
      <c r="G22" s="13"/>
      <c r="H22" s="45" t="s">
        <v>16</v>
      </c>
      <c r="I22" s="46"/>
      <c r="J22" s="62" t="s">
        <v>3739</v>
      </c>
      <c r="K22" s="13" t="s">
        <v>6808</v>
      </c>
      <c r="L22" s="99" t="str">
        <f t="shared" si="0"/>
        <v>W1801.2</v>
      </c>
      <c r="M22" s="13" t="s">
        <v>3669</v>
      </c>
      <c r="N22" s="13" t="s">
        <v>3673</v>
      </c>
      <c r="O22" s="34" t="s">
        <v>110</v>
      </c>
      <c r="P22" s="47"/>
      <c r="Q22" s="45" t="s">
        <v>3672</v>
      </c>
      <c r="R22" s="45" t="s">
        <v>2147</v>
      </c>
      <c r="S22" s="48"/>
      <c r="U22" s="12"/>
    </row>
    <row r="23" spans="1:21" s="49" customFormat="1" ht="14.15" customHeight="1">
      <c r="A23" s="43" t="s">
        <v>3721</v>
      </c>
      <c r="B23" s="44" t="s">
        <v>3677</v>
      </c>
      <c r="C23" s="32"/>
      <c r="D23" s="10" t="s">
        <v>29</v>
      </c>
      <c r="E23" s="11"/>
      <c r="F23" s="11" t="s">
        <v>3676</v>
      </c>
      <c r="G23" s="13"/>
      <c r="H23" s="45" t="s">
        <v>16</v>
      </c>
      <c r="I23" s="46"/>
      <c r="J23" s="62" t="s">
        <v>3740</v>
      </c>
      <c r="K23" s="13" t="s">
        <v>6809</v>
      </c>
      <c r="L23" s="99" t="str">
        <f t="shared" si="0"/>
        <v>W1801.3</v>
      </c>
      <c r="M23" s="13" t="s">
        <v>3669</v>
      </c>
      <c r="N23" s="13" t="s">
        <v>3674</v>
      </c>
      <c r="O23" s="34" t="s">
        <v>119</v>
      </c>
      <c r="P23" s="47"/>
      <c r="Q23" s="45" t="s">
        <v>3672</v>
      </c>
      <c r="R23" s="45" t="s">
        <v>2147</v>
      </c>
      <c r="S23" s="48"/>
      <c r="U23" s="12"/>
    </row>
    <row r="24" spans="1:21" s="49" customFormat="1" ht="14.15" customHeight="1">
      <c r="A24" s="43" t="s">
        <v>3721</v>
      </c>
      <c r="B24" s="44" t="s">
        <v>3677</v>
      </c>
      <c r="C24" s="32"/>
      <c r="D24" s="10" t="s">
        <v>29</v>
      </c>
      <c r="E24" s="11"/>
      <c r="F24" s="11" t="s">
        <v>3676</v>
      </c>
      <c r="G24" s="13"/>
      <c r="H24" s="45" t="s">
        <v>16</v>
      </c>
      <c r="I24" s="46"/>
      <c r="J24" s="62" t="s">
        <v>3741</v>
      </c>
      <c r="K24" s="13" t="s">
        <v>6810</v>
      </c>
      <c r="L24" s="99" t="str">
        <f t="shared" si="0"/>
        <v>W1801.4</v>
      </c>
      <c r="M24" s="13" t="s">
        <v>3669</v>
      </c>
      <c r="N24" s="13" t="s">
        <v>3671</v>
      </c>
      <c r="O24" s="34" t="s">
        <v>120</v>
      </c>
      <c r="P24" s="47"/>
      <c r="Q24" s="45" t="s">
        <v>3672</v>
      </c>
      <c r="R24" s="45" t="s">
        <v>2147</v>
      </c>
      <c r="S24" s="48"/>
      <c r="U24" s="12"/>
    </row>
    <row r="25" spans="1:21" s="49" customFormat="1" ht="14.15" customHeight="1">
      <c r="A25" s="43" t="s">
        <v>3721</v>
      </c>
      <c r="B25" s="44" t="s">
        <v>3677</v>
      </c>
      <c r="C25" s="32"/>
      <c r="D25" s="10" t="s">
        <v>29</v>
      </c>
      <c r="E25" s="11"/>
      <c r="F25" s="11" t="s">
        <v>3676</v>
      </c>
      <c r="G25" s="13"/>
      <c r="H25" s="45" t="s">
        <v>16</v>
      </c>
      <c r="I25" s="46"/>
      <c r="J25" s="62" t="s">
        <v>3742</v>
      </c>
      <c r="K25" s="13" t="s">
        <v>6811</v>
      </c>
      <c r="L25" s="99" t="str">
        <f t="shared" si="0"/>
        <v>W1801.5</v>
      </c>
      <c r="M25" s="13" t="s">
        <v>3669</v>
      </c>
      <c r="N25" s="13" t="s">
        <v>3671</v>
      </c>
      <c r="O25" s="34" t="s">
        <v>111</v>
      </c>
      <c r="P25" s="47"/>
      <c r="Q25" s="45" t="s">
        <v>3672</v>
      </c>
      <c r="R25" s="45" t="s">
        <v>2147</v>
      </c>
      <c r="S25" s="48"/>
      <c r="U25" s="12"/>
    </row>
    <row r="26" spans="1:21" s="49" customFormat="1" ht="14.15" customHeight="1">
      <c r="A26" s="43" t="s">
        <v>3721</v>
      </c>
      <c r="B26" s="44" t="s">
        <v>3677</v>
      </c>
      <c r="C26" s="32"/>
      <c r="D26" s="10" t="s">
        <v>29</v>
      </c>
      <c r="E26" s="11"/>
      <c r="F26" s="11" t="s">
        <v>3676</v>
      </c>
      <c r="G26" s="13"/>
      <c r="H26" s="45" t="s">
        <v>16</v>
      </c>
      <c r="I26" s="46"/>
      <c r="J26" s="62" t="s">
        <v>3743</v>
      </c>
      <c r="K26" s="13" t="s">
        <v>6812</v>
      </c>
      <c r="L26" s="99" t="str">
        <f t="shared" si="0"/>
        <v>W1801.6</v>
      </c>
      <c r="M26" s="13" t="s">
        <v>3669</v>
      </c>
      <c r="N26" s="13" t="s">
        <v>3671</v>
      </c>
      <c r="O26" s="34" t="s">
        <v>112</v>
      </c>
      <c r="P26" s="47"/>
      <c r="Q26" s="45" t="s">
        <v>3672</v>
      </c>
      <c r="R26" s="45" t="s">
        <v>2147</v>
      </c>
      <c r="S26" s="48"/>
      <c r="U26" s="12"/>
    </row>
    <row r="27" spans="1:21" s="49" customFormat="1" ht="14.15" customHeight="1">
      <c r="A27" s="43" t="s">
        <v>3721</v>
      </c>
      <c r="B27" s="44" t="s">
        <v>3677</v>
      </c>
      <c r="C27" s="32"/>
      <c r="D27" s="10" t="s">
        <v>29</v>
      </c>
      <c r="E27" s="11"/>
      <c r="F27" s="11" t="s">
        <v>3676</v>
      </c>
      <c r="G27" s="13"/>
      <c r="H27" s="45" t="s">
        <v>16</v>
      </c>
      <c r="I27" s="46"/>
      <c r="J27" s="62" t="s">
        <v>3744</v>
      </c>
      <c r="K27" s="13" t="s">
        <v>6813</v>
      </c>
      <c r="L27" s="99" t="str">
        <f t="shared" si="0"/>
        <v>W1801.7</v>
      </c>
      <c r="M27" s="13" t="s">
        <v>3669</v>
      </c>
      <c r="N27" s="13" t="s">
        <v>3675</v>
      </c>
      <c r="O27" s="34" t="s">
        <v>113</v>
      </c>
      <c r="P27" s="47"/>
      <c r="Q27" s="45" t="s">
        <v>3672</v>
      </c>
      <c r="R27" s="45" t="s">
        <v>2147</v>
      </c>
      <c r="S27" s="48"/>
      <c r="U27" s="12"/>
    </row>
    <row r="28" spans="1:21" s="49" customFormat="1" ht="14.15" customHeight="1">
      <c r="A28" s="43" t="s">
        <v>3721</v>
      </c>
      <c r="B28" s="44" t="s">
        <v>3677</v>
      </c>
      <c r="C28" s="32"/>
      <c r="D28" s="10" t="s">
        <v>29</v>
      </c>
      <c r="E28" s="11"/>
      <c r="F28" s="11" t="s">
        <v>3676</v>
      </c>
      <c r="G28" s="13"/>
      <c r="H28" s="45" t="s">
        <v>16</v>
      </c>
      <c r="I28" s="46"/>
      <c r="J28" s="62" t="s">
        <v>3745</v>
      </c>
      <c r="K28" s="13" t="s">
        <v>8870</v>
      </c>
      <c r="L28" s="99" t="str">
        <f t="shared" si="0"/>
        <v>W1801.8</v>
      </c>
      <c r="M28" s="13" t="s">
        <v>3669</v>
      </c>
      <c r="N28" s="13" t="s">
        <v>3674</v>
      </c>
      <c r="O28" s="34" t="s">
        <v>114</v>
      </c>
      <c r="P28" s="47"/>
      <c r="Q28" s="45" t="s">
        <v>3672</v>
      </c>
      <c r="R28" s="45" t="s">
        <v>2147</v>
      </c>
      <c r="S28" s="48"/>
      <c r="U28" s="12"/>
    </row>
    <row r="29" spans="1:21" s="49" customFormat="1" ht="14.15" customHeight="1">
      <c r="A29" s="43" t="s">
        <v>3725</v>
      </c>
      <c r="B29" s="44" t="s">
        <v>3677</v>
      </c>
      <c r="C29" s="32"/>
      <c r="D29" s="10" t="s">
        <v>3726</v>
      </c>
      <c r="E29" s="11"/>
      <c r="F29" s="11" t="s">
        <v>3676</v>
      </c>
      <c r="G29" s="13"/>
      <c r="H29" s="45" t="s">
        <v>16</v>
      </c>
      <c r="I29" s="46"/>
      <c r="J29" s="62" t="s">
        <v>3727</v>
      </c>
      <c r="K29" s="13" t="s">
        <v>8871</v>
      </c>
      <c r="L29" s="99" t="str">
        <f t="shared" si="0"/>
        <v>W1801.9</v>
      </c>
      <c r="M29" s="13" t="s">
        <v>3678</v>
      </c>
      <c r="N29" s="13" t="s">
        <v>150</v>
      </c>
      <c r="O29" s="33" t="s">
        <v>115</v>
      </c>
      <c r="P29" s="47"/>
      <c r="Q29" s="45" t="s">
        <v>3672</v>
      </c>
      <c r="R29" s="45" t="s">
        <v>3724</v>
      </c>
      <c r="S29" s="48"/>
      <c r="U29" s="12"/>
    </row>
    <row r="30" spans="1:21" s="49" customFormat="1" ht="14.15" customHeight="1">
      <c r="A30" s="43" t="s">
        <v>3725</v>
      </c>
      <c r="B30" s="44" t="s">
        <v>3677</v>
      </c>
      <c r="C30" s="32"/>
      <c r="D30" s="10" t="s">
        <v>3726</v>
      </c>
      <c r="E30" s="11"/>
      <c r="F30" s="11" t="s">
        <v>3676</v>
      </c>
      <c r="G30" s="13"/>
      <c r="H30" s="45" t="s">
        <v>16</v>
      </c>
      <c r="I30" s="46"/>
      <c r="J30" s="62" t="s">
        <v>3728</v>
      </c>
      <c r="K30" s="13" t="s">
        <v>8872</v>
      </c>
      <c r="L30" s="99" t="str">
        <f t="shared" si="0"/>
        <v>W1801.A</v>
      </c>
      <c r="M30" s="13" t="s">
        <v>3678</v>
      </c>
      <c r="N30" s="13" t="s">
        <v>149</v>
      </c>
      <c r="O30" s="33" t="s">
        <v>121</v>
      </c>
      <c r="P30" s="47"/>
      <c r="Q30" s="45" t="s">
        <v>3672</v>
      </c>
      <c r="R30" s="45" t="s">
        <v>3724</v>
      </c>
      <c r="S30" s="48"/>
      <c r="U30" s="12"/>
    </row>
    <row r="31" spans="1:21" s="49" customFormat="1" ht="14.15" customHeight="1">
      <c r="A31" s="43" t="s">
        <v>3725</v>
      </c>
      <c r="B31" s="44" t="s">
        <v>3677</v>
      </c>
      <c r="C31" s="32"/>
      <c r="D31" s="10" t="s">
        <v>3726</v>
      </c>
      <c r="E31" s="11"/>
      <c r="F31" s="11" t="s">
        <v>3676</v>
      </c>
      <c r="G31" s="13"/>
      <c r="H31" s="45" t="s">
        <v>16</v>
      </c>
      <c r="I31" s="46"/>
      <c r="J31" s="62" t="s">
        <v>3729</v>
      </c>
      <c r="K31" s="13" t="s">
        <v>8873</v>
      </c>
      <c r="L31" s="99" t="str">
        <f t="shared" si="0"/>
        <v>W1801.B</v>
      </c>
      <c r="M31" s="13" t="s">
        <v>3678</v>
      </c>
      <c r="N31" s="13" t="s">
        <v>119</v>
      </c>
      <c r="O31" s="33" t="s">
        <v>116</v>
      </c>
      <c r="P31" s="47"/>
      <c r="Q31" s="45" t="s">
        <v>3672</v>
      </c>
      <c r="R31" s="45" t="s">
        <v>3724</v>
      </c>
      <c r="S31" s="48"/>
      <c r="U31" s="12"/>
    </row>
    <row r="32" spans="1:21" s="49" customFormat="1" ht="14.15" customHeight="1">
      <c r="A32" s="43" t="s">
        <v>3725</v>
      </c>
      <c r="B32" s="44" t="s">
        <v>3677</v>
      </c>
      <c r="C32" s="32"/>
      <c r="D32" s="10" t="s">
        <v>3726</v>
      </c>
      <c r="E32" s="11"/>
      <c r="F32" s="11" t="s">
        <v>3676</v>
      </c>
      <c r="G32" s="13"/>
      <c r="H32" s="45" t="s">
        <v>16</v>
      </c>
      <c r="I32" s="46"/>
      <c r="J32" s="66" t="s">
        <v>3730</v>
      </c>
      <c r="K32" s="13" t="s">
        <v>8874</v>
      </c>
      <c r="L32" s="99" t="str">
        <f t="shared" si="0"/>
        <v>W1801.C</v>
      </c>
      <c r="M32" s="13" t="s">
        <v>3678</v>
      </c>
      <c r="N32" s="13" t="s">
        <v>148</v>
      </c>
      <c r="O32" s="33" t="s">
        <v>122</v>
      </c>
      <c r="P32" s="47"/>
      <c r="Q32" s="45" t="s">
        <v>3672</v>
      </c>
      <c r="R32" s="45" t="s">
        <v>3724</v>
      </c>
      <c r="S32" s="48"/>
      <c r="U32" s="12"/>
    </row>
    <row r="33" spans="1:21" s="49" customFormat="1" ht="14.15" customHeight="1">
      <c r="A33" s="43" t="s">
        <v>3732</v>
      </c>
      <c r="B33" s="44" t="s">
        <v>3677</v>
      </c>
      <c r="C33" s="32"/>
      <c r="D33" s="10" t="s">
        <v>3726</v>
      </c>
      <c r="E33" s="11"/>
      <c r="F33" s="11" t="s">
        <v>3676</v>
      </c>
      <c r="G33" s="13"/>
      <c r="H33" s="45" t="s">
        <v>16</v>
      </c>
      <c r="I33" s="46"/>
      <c r="J33" s="62" t="s">
        <v>3733</v>
      </c>
      <c r="K33" s="13" t="s">
        <v>8875</v>
      </c>
      <c r="L33" s="99" t="str">
        <f t="shared" si="0"/>
        <v>W1801.D</v>
      </c>
      <c r="M33" s="13" t="s">
        <v>3678</v>
      </c>
      <c r="N33" s="13" t="s">
        <v>150</v>
      </c>
      <c r="O33" s="33" t="s">
        <v>115</v>
      </c>
      <c r="P33" s="47"/>
      <c r="Q33" s="45" t="s">
        <v>3672</v>
      </c>
      <c r="R33" s="45" t="s">
        <v>3724</v>
      </c>
      <c r="S33" s="48"/>
      <c r="U33" s="12"/>
    </row>
    <row r="34" spans="1:21" s="49" customFormat="1" ht="14.15" customHeight="1">
      <c r="A34" s="43" t="s">
        <v>3732</v>
      </c>
      <c r="B34" s="44" t="s">
        <v>3677</v>
      </c>
      <c r="C34" s="32"/>
      <c r="D34" s="10" t="s">
        <v>3726</v>
      </c>
      <c r="E34" s="11"/>
      <c r="F34" s="11" t="s">
        <v>3676</v>
      </c>
      <c r="G34" s="13"/>
      <c r="H34" s="45" t="s">
        <v>16</v>
      </c>
      <c r="I34" s="46"/>
      <c r="J34" s="62" t="s">
        <v>3734</v>
      </c>
      <c r="K34" s="13" t="s">
        <v>8876</v>
      </c>
      <c r="L34" s="99" t="str">
        <f t="shared" si="0"/>
        <v>W1801.E</v>
      </c>
      <c r="M34" s="13" t="s">
        <v>3678</v>
      </c>
      <c r="N34" s="13" t="s">
        <v>149</v>
      </c>
      <c r="O34" s="33" t="s">
        <v>121</v>
      </c>
      <c r="P34" s="47"/>
      <c r="Q34" s="45" t="s">
        <v>3672</v>
      </c>
      <c r="R34" s="45" t="s">
        <v>3724</v>
      </c>
      <c r="S34" s="48"/>
      <c r="U34" s="12"/>
    </row>
    <row r="35" spans="1:21" s="49" customFormat="1" ht="14.15" customHeight="1">
      <c r="A35" s="43" t="s">
        <v>3732</v>
      </c>
      <c r="B35" s="44" t="s">
        <v>3677</v>
      </c>
      <c r="C35" s="32"/>
      <c r="D35" s="10" t="s">
        <v>3726</v>
      </c>
      <c r="E35" s="11"/>
      <c r="F35" s="11" t="s">
        <v>3676</v>
      </c>
      <c r="G35" s="13"/>
      <c r="H35" s="45" t="s">
        <v>16</v>
      </c>
      <c r="I35" s="46"/>
      <c r="J35" s="62" t="s">
        <v>3735</v>
      </c>
      <c r="K35" s="13" t="s">
        <v>8877</v>
      </c>
      <c r="L35" s="99" t="str">
        <f t="shared" si="0"/>
        <v>W1801.F</v>
      </c>
      <c r="M35" s="13" t="s">
        <v>3678</v>
      </c>
      <c r="N35" s="13" t="s">
        <v>119</v>
      </c>
      <c r="O35" s="33" t="s">
        <v>116</v>
      </c>
      <c r="P35" s="47"/>
      <c r="Q35" s="45" t="s">
        <v>3672</v>
      </c>
      <c r="R35" s="45" t="s">
        <v>3724</v>
      </c>
      <c r="S35" s="48"/>
      <c r="U35" s="12"/>
    </row>
    <row r="36" spans="1:21" s="49" customFormat="1" ht="14.15" customHeight="1">
      <c r="A36" s="43" t="s">
        <v>3732</v>
      </c>
      <c r="B36" s="44" t="s">
        <v>3677</v>
      </c>
      <c r="C36" s="32"/>
      <c r="D36" s="10" t="s">
        <v>3726</v>
      </c>
      <c r="E36" s="11"/>
      <c r="F36" s="11" t="s">
        <v>3676</v>
      </c>
      <c r="G36" s="13"/>
      <c r="H36" s="45" t="s">
        <v>16</v>
      </c>
      <c r="I36" s="46"/>
      <c r="J36" s="66" t="s">
        <v>3736</v>
      </c>
      <c r="K36" s="13" t="s">
        <v>8878</v>
      </c>
      <c r="L36" s="99" t="str">
        <f t="shared" si="0"/>
        <v>W1802.0</v>
      </c>
      <c r="M36" s="13" t="s">
        <v>3678</v>
      </c>
      <c r="N36" s="13" t="s">
        <v>148</v>
      </c>
      <c r="O36" s="33" t="s">
        <v>122</v>
      </c>
      <c r="P36" s="47"/>
      <c r="Q36" s="45" t="s">
        <v>3672</v>
      </c>
      <c r="R36" s="45" t="s">
        <v>3724</v>
      </c>
      <c r="S36" s="48"/>
      <c r="U36" s="12"/>
    </row>
    <row r="37" spans="1:21" s="49" customFormat="1" ht="14.15" customHeight="1">
      <c r="A37" s="43" t="s">
        <v>3732</v>
      </c>
      <c r="B37" s="44" t="s">
        <v>3677</v>
      </c>
      <c r="C37" s="32"/>
      <c r="D37" s="10" t="s">
        <v>29</v>
      </c>
      <c r="E37" s="11"/>
      <c r="F37" s="11" t="s">
        <v>3676</v>
      </c>
      <c r="G37" s="13"/>
      <c r="H37" s="45" t="s">
        <v>16</v>
      </c>
      <c r="I37" s="46"/>
      <c r="J37" s="62" t="s">
        <v>3746</v>
      </c>
      <c r="K37" s="13" t="s">
        <v>6816</v>
      </c>
      <c r="L37" s="99" t="str">
        <f t="shared" si="0"/>
        <v>W1802.1</v>
      </c>
      <c r="M37" s="13" t="s">
        <v>3669</v>
      </c>
      <c r="N37" s="13" t="s">
        <v>3675</v>
      </c>
      <c r="O37" s="34" t="s">
        <v>117</v>
      </c>
      <c r="P37" s="47"/>
      <c r="Q37" s="45" t="s">
        <v>3672</v>
      </c>
      <c r="R37" s="45" t="s">
        <v>3724</v>
      </c>
      <c r="S37" s="48"/>
      <c r="U37" s="12"/>
    </row>
    <row r="38" spans="1:21" s="49" customFormat="1" ht="14.15" customHeight="1">
      <c r="A38" s="43" t="s">
        <v>3732</v>
      </c>
      <c r="B38" s="44" t="s">
        <v>3677</v>
      </c>
      <c r="C38" s="32"/>
      <c r="D38" s="10" t="s">
        <v>29</v>
      </c>
      <c r="E38" s="11"/>
      <c r="F38" s="11" t="s">
        <v>3676</v>
      </c>
      <c r="G38" s="13"/>
      <c r="H38" s="45" t="s">
        <v>16</v>
      </c>
      <c r="I38" s="46"/>
      <c r="J38" s="62" t="s">
        <v>3747</v>
      </c>
      <c r="K38" s="13" t="s">
        <v>6817</v>
      </c>
      <c r="L38" s="99" t="str">
        <f t="shared" si="0"/>
        <v>W1802.2</v>
      </c>
      <c r="M38" s="13" t="s">
        <v>3669</v>
      </c>
      <c r="N38" s="13" t="s">
        <v>3675</v>
      </c>
      <c r="O38" s="34" t="s">
        <v>118</v>
      </c>
      <c r="P38" s="47"/>
      <c r="Q38" s="45" t="s">
        <v>3672</v>
      </c>
      <c r="R38" s="45" t="s">
        <v>3724</v>
      </c>
      <c r="S38" s="48"/>
      <c r="U38" s="12"/>
    </row>
    <row r="39" spans="1:21" s="49" customFormat="1" ht="14.15" customHeight="1">
      <c r="A39" s="43" t="s">
        <v>3732</v>
      </c>
      <c r="B39" s="44" t="s">
        <v>3677</v>
      </c>
      <c r="C39" s="32"/>
      <c r="D39" s="10" t="s">
        <v>29</v>
      </c>
      <c r="E39" s="11"/>
      <c r="F39" s="11" t="s">
        <v>3676</v>
      </c>
      <c r="G39" s="13"/>
      <c r="H39" s="45" t="s">
        <v>16</v>
      </c>
      <c r="I39" s="46"/>
      <c r="J39" s="62" t="s">
        <v>3748</v>
      </c>
      <c r="K39" s="13" t="s">
        <v>6818</v>
      </c>
      <c r="L39" s="99" t="str">
        <f t="shared" si="0"/>
        <v>W1802.3</v>
      </c>
      <c r="M39" s="13" t="s">
        <v>3669</v>
      </c>
      <c r="N39" s="13" t="s">
        <v>3673</v>
      </c>
      <c r="O39" s="34" t="s">
        <v>110</v>
      </c>
      <c r="P39" s="47"/>
      <c r="Q39" s="45" t="s">
        <v>3672</v>
      </c>
      <c r="R39" s="45" t="s">
        <v>3724</v>
      </c>
      <c r="S39" s="48"/>
      <c r="U39" s="12"/>
    </row>
    <row r="40" spans="1:21" s="49" customFormat="1" ht="14.15" customHeight="1">
      <c r="A40" s="43" t="s">
        <v>3732</v>
      </c>
      <c r="B40" s="44" t="s">
        <v>3677</v>
      </c>
      <c r="C40" s="32"/>
      <c r="D40" s="10" t="s">
        <v>29</v>
      </c>
      <c r="E40" s="11"/>
      <c r="F40" s="11" t="s">
        <v>3676</v>
      </c>
      <c r="G40" s="13"/>
      <c r="H40" s="45" t="s">
        <v>16</v>
      </c>
      <c r="I40" s="46"/>
      <c r="J40" s="62" t="s">
        <v>3749</v>
      </c>
      <c r="K40" s="13" t="s">
        <v>6819</v>
      </c>
      <c r="L40" s="99" t="str">
        <f t="shared" si="0"/>
        <v>W1802.4</v>
      </c>
      <c r="M40" s="13" t="s">
        <v>3669</v>
      </c>
      <c r="N40" s="13" t="s">
        <v>3674</v>
      </c>
      <c r="O40" s="34" t="s">
        <v>119</v>
      </c>
      <c r="P40" s="47"/>
      <c r="Q40" s="45" t="s">
        <v>3672</v>
      </c>
      <c r="R40" s="45" t="s">
        <v>3724</v>
      </c>
      <c r="S40" s="48"/>
      <c r="U40" s="12"/>
    </row>
    <row r="41" spans="1:21" s="49" customFormat="1" ht="14.15" customHeight="1">
      <c r="A41" s="43" t="s">
        <v>3732</v>
      </c>
      <c r="B41" s="44" t="s">
        <v>3677</v>
      </c>
      <c r="C41" s="32"/>
      <c r="D41" s="10" t="s">
        <v>29</v>
      </c>
      <c r="E41" s="11"/>
      <c r="F41" s="11" t="s">
        <v>3676</v>
      </c>
      <c r="G41" s="13"/>
      <c r="H41" s="45" t="s">
        <v>16</v>
      </c>
      <c r="I41" s="46"/>
      <c r="J41" s="62" t="s">
        <v>3750</v>
      </c>
      <c r="K41" s="13" t="s">
        <v>6820</v>
      </c>
      <c r="L41" s="99" t="str">
        <f t="shared" si="0"/>
        <v>W1802.5</v>
      </c>
      <c r="M41" s="13" t="s">
        <v>3669</v>
      </c>
      <c r="N41" s="13" t="s">
        <v>3671</v>
      </c>
      <c r="O41" s="34" t="s">
        <v>120</v>
      </c>
      <c r="P41" s="47"/>
      <c r="Q41" s="45" t="s">
        <v>3672</v>
      </c>
      <c r="R41" s="45" t="s">
        <v>3724</v>
      </c>
      <c r="S41" s="48"/>
      <c r="U41" s="12"/>
    </row>
    <row r="42" spans="1:21" s="49" customFormat="1" ht="14.15" customHeight="1">
      <c r="A42" s="43" t="s">
        <v>3732</v>
      </c>
      <c r="B42" s="44" t="s">
        <v>3677</v>
      </c>
      <c r="C42" s="32"/>
      <c r="D42" s="10" t="s">
        <v>29</v>
      </c>
      <c r="E42" s="11"/>
      <c r="F42" s="11" t="s">
        <v>3676</v>
      </c>
      <c r="G42" s="13"/>
      <c r="H42" s="45" t="s">
        <v>16</v>
      </c>
      <c r="I42" s="46"/>
      <c r="J42" s="62" t="s">
        <v>3751</v>
      </c>
      <c r="K42" s="13" t="s">
        <v>6821</v>
      </c>
      <c r="L42" s="99" t="str">
        <f t="shared" si="0"/>
        <v>W1802.6</v>
      </c>
      <c r="M42" s="13" t="s">
        <v>3669</v>
      </c>
      <c r="N42" s="13" t="s">
        <v>3671</v>
      </c>
      <c r="O42" s="34" t="s">
        <v>111</v>
      </c>
      <c r="P42" s="47"/>
      <c r="Q42" s="45" t="s">
        <v>3672</v>
      </c>
      <c r="R42" s="45" t="s">
        <v>3724</v>
      </c>
      <c r="S42" s="48"/>
      <c r="U42" s="12"/>
    </row>
    <row r="43" spans="1:21" s="49" customFormat="1" ht="14.15" customHeight="1">
      <c r="A43" s="43" t="s">
        <v>3732</v>
      </c>
      <c r="B43" s="44" t="s">
        <v>3677</v>
      </c>
      <c r="C43" s="32"/>
      <c r="D43" s="10" t="s">
        <v>29</v>
      </c>
      <c r="E43" s="11"/>
      <c r="F43" s="11" t="s">
        <v>3676</v>
      </c>
      <c r="G43" s="13"/>
      <c r="H43" s="45" t="s">
        <v>16</v>
      </c>
      <c r="I43" s="46"/>
      <c r="J43" s="62" t="s">
        <v>3752</v>
      </c>
      <c r="K43" s="13" t="s">
        <v>8879</v>
      </c>
      <c r="L43" s="99" t="str">
        <f t="shared" si="0"/>
        <v>W1802.7</v>
      </c>
      <c r="M43" s="13" t="s">
        <v>3669</v>
      </c>
      <c r="N43" s="13" t="s">
        <v>3671</v>
      </c>
      <c r="O43" s="34" t="s">
        <v>112</v>
      </c>
      <c r="P43" s="47"/>
      <c r="Q43" s="45" t="s">
        <v>3672</v>
      </c>
      <c r="R43" s="45" t="s">
        <v>3724</v>
      </c>
      <c r="S43" s="48"/>
      <c r="U43" s="12"/>
    </row>
    <row r="44" spans="1:21" s="49" customFormat="1" ht="14.15" customHeight="1">
      <c r="A44" s="43" t="s">
        <v>3732</v>
      </c>
      <c r="B44" s="44" t="s">
        <v>3677</v>
      </c>
      <c r="C44" s="32"/>
      <c r="D44" s="10" t="s">
        <v>29</v>
      </c>
      <c r="E44" s="11"/>
      <c r="F44" s="11" t="s">
        <v>3676</v>
      </c>
      <c r="G44" s="13"/>
      <c r="H44" s="45" t="s">
        <v>16</v>
      </c>
      <c r="I44" s="46"/>
      <c r="J44" s="62" t="s">
        <v>3753</v>
      </c>
      <c r="K44" s="13" t="s">
        <v>8880</v>
      </c>
      <c r="L44" s="99" t="str">
        <f t="shared" si="0"/>
        <v>W1802.8</v>
      </c>
      <c r="M44" s="13" t="s">
        <v>3669</v>
      </c>
      <c r="N44" s="13" t="s">
        <v>3675</v>
      </c>
      <c r="O44" s="34" t="s">
        <v>113</v>
      </c>
      <c r="P44" s="47"/>
      <c r="Q44" s="45" t="s">
        <v>3672</v>
      </c>
      <c r="R44" s="45" t="s">
        <v>3724</v>
      </c>
      <c r="S44" s="48"/>
      <c r="U44" s="12"/>
    </row>
    <row r="45" spans="1:21" s="49" customFormat="1" ht="14.15" customHeight="1">
      <c r="A45" s="43" t="s">
        <v>3732</v>
      </c>
      <c r="B45" s="44" t="s">
        <v>3677</v>
      </c>
      <c r="C45" s="32"/>
      <c r="D45" s="10" t="s">
        <v>29</v>
      </c>
      <c r="E45" s="11"/>
      <c r="F45" s="11" t="s">
        <v>3676</v>
      </c>
      <c r="G45" s="13"/>
      <c r="H45" s="45" t="s">
        <v>16</v>
      </c>
      <c r="I45" s="46"/>
      <c r="J45" s="62" t="s">
        <v>3754</v>
      </c>
      <c r="K45" s="13" t="s">
        <v>8881</v>
      </c>
      <c r="L45" s="99" t="str">
        <f t="shared" si="0"/>
        <v>W1802.9</v>
      </c>
      <c r="M45" s="13" t="s">
        <v>3669</v>
      </c>
      <c r="N45" s="13" t="s">
        <v>3674</v>
      </c>
      <c r="O45" s="34" t="s">
        <v>114</v>
      </c>
      <c r="P45" s="47"/>
      <c r="Q45" s="45" t="s">
        <v>3672</v>
      </c>
      <c r="R45" s="45" t="s">
        <v>3724</v>
      </c>
      <c r="S45" s="48"/>
      <c r="U45" s="12"/>
    </row>
    <row r="46" spans="1:21" s="49" customFormat="1" ht="14.15" customHeight="1">
      <c r="A46" s="43" t="s">
        <v>3755</v>
      </c>
      <c r="B46" s="44" t="s">
        <v>3677</v>
      </c>
      <c r="C46" s="32"/>
      <c r="D46" s="10" t="s">
        <v>29</v>
      </c>
      <c r="E46" s="11"/>
      <c r="F46" s="11" t="s">
        <v>3676</v>
      </c>
      <c r="G46" s="13"/>
      <c r="H46" s="45" t="s">
        <v>16</v>
      </c>
      <c r="I46" s="46"/>
      <c r="J46" s="62" t="s">
        <v>3756</v>
      </c>
      <c r="K46" s="13" t="s">
        <v>8882</v>
      </c>
      <c r="L46" s="99" t="str">
        <f t="shared" si="0"/>
        <v>W1802.A</v>
      </c>
      <c r="M46" s="13" t="s">
        <v>3678</v>
      </c>
      <c r="N46" s="13" t="s">
        <v>150</v>
      </c>
      <c r="O46" s="33" t="s">
        <v>115</v>
      </c>
      <c r="P46" s="64"/>
      <c r="Q46" s="65" t="s">
        <v>142</v>
      </c>
      <c r="R46" s="45" t="s">
        <v>3760</v>
      </c>
      <c r="S46" s="48"/>
      <c r="U46" s="12"/>
    </row>
    <row r="47" spans="1:21" s="49" customFormat="1" ht="14.15" customHeight="1">
      <c r="A47" s="43" t="s">
        <v>3755</v>
      </c>
      <c r="B47" s="44" t="s">
        <v>3677</v>
      </c>
      <c r="C47" s="32"/>
      <c r="D47" s="10" t="s">
        <v>29</v>
      </c>
      <c r="E47" s="11"/>
      <c r="F47" s="11" t="s">
        <v>3676</v>
      </c>
      <c r="G47" s="13"/>
      <c r="H47" s="45" t="s">
        <v>16</v>
      </c>
      <c r="I47" s="46"/>
      <c r="J47" s="62" t="s">
        <v>3757</v>
      </c>
      <c r="K47" s="13" t="s">
        <v>8883</v>
      </c>
      <c r="L47" s="99" t="str">
        <f t="shared" si="0"/>
        <v>W1802.B</v>
      </c>
      <c r="M47" s="13" t="s">
        <v>3678</v>
      </c>
      <c r="N47" s="13" t="s">
        <v>149</v>
      </c>
      <c r="O47" s="33" t="s">
        <v>121</v>
      </c>
      <c r="P47" s="64"/>
      <c r="Q47" s="65" t="s">
        <v>142</v>
      </c>
      <c r="R47" s="45" t="s">
        <v>3760</v>
      </c>
      <c r="S47" s="48"/>
      <c r="U47" s="12"/>
    </row>
    <row r="48" spans="1:21" s="49" customFormat="1" ht="14.15" customHeight="1">
      <c r="A48" s="43" t="s">
        <v>3755</v>
      </c>
      <c r="B48" s="44" t="s">
        <v>3677</v>
      </c>
      <c r="C48" s="32"/>
      <c r="D48" s="10" t="s">
        <v>29</v>
      </c>
      <c r="E48" s="11"/>
      <c r="F48" s="11" t="s">
        <v>3676</v>
      </c>
      <c r="G48" s="13"/>
      <c r="H48" s="45" t="s">
        <v>16</v>
      </c>
      <c r="I48" s="46"/>
      <c r="J48" s="62" t="s">
        <v>3758</v>
      </c>
      <c r="K48" s="13" t="s">
        <v>8884</v>
      </c>
      <c r="L48" s="99" t="str">
        <f t="shared" si="0"/>
        <v>W1802.C</v>
      </c>
      <c r="M48" s="13" t="s">
        <v>3678</v>
      </c>
      <c r="N48" s="13" t="s">
        <v>119</v>
      </c>
      <c r="O48" s="33" t="s">
        <v>116</v>
      </c>
      <c r="P48" s="64"/>
      <c r="Q48" s="65" t="s">
        <v>142</v>
      </c>
      <c r="R48" s="45" t="s">
        <v>3760</v>
      </c>
      <c r="S48" s="48"/>
      <c r="U48" s="12"/>
    </row>
    <row r="49" spans="1:21" s="49" customFormat="1" ht="14.15" customHeight="1">
      <c r="A49" s="43" t="s">
        <v>3755</v>
      </c>
      <c r="B49" s="44" t="s">
        <v>3677</v>
      </c>
      <c r="C49" s="32"/>
      <c r="D49" s="10" t="s">
        <v>29</v>
      </c>
      <c r="E49" s="11"/>
      <c r="F49" s="11" t="s">
        <v>3676</v>
      </c>
      <c r="G49" s="13"/>
      <c r="H49" s="45" t="s">
        <v>16</v>
      </c>
      <c r="I49" s="46"/>
      <c r="J49" s="66" t="s">
        <v>3759</v>
      </c>
      <c r="K49" s="13" t="s">
        <v>8885</v>
      </c>
      <c r="L49" s="99" t="str">
        <f t="shared" si="0"/>
        <v>W1802.D</v>
      </c>
      <c r="M49" s="13" t="s">
        <v>3678</v>
      </c>
      <c r="N49" s="13" t="s">
        <v>148</v>
      </c>
      <c r="O49" s="33" t="s">
        <v>122</v>
      </c>
      <c r="P49" s="64"/>
      <c r="Q49" s="65" t="s">
        <v>142</v>
      </c>
      <c r="R49" s="45" t="s">
        <v>3760</v>
      </c>
      <c r="S49" s="48"/>
      <c r="U49" s="12"/>
    </row>
    <row r="50" spans="1:21" s="49" customFormat="1" ht="14.15" customHeight="1">
      <c r="A50" s="43" t="s">
        <v>3755</v>
      </c>
      <c r="B50" s="44" t="s">
        <v>3677</v>
      </c>
      <c r="C50" s="32"/>
      <c r="D50" s="10" t="s">
        <v>29</v>
      </c>
      <c r="E50" s="11"/>
      <c r="F50" s="11" t="s">
        <v>3676</v>
      </c>
      <c r="G50" s="13"/>
      <c r="H50" s="45" t="s">
        <v>16</v>
      </c>
      <c r="I50" s="46"/>
      <c r="J50" s="62" t="s">
        <v>2177</v>
      </c>
      <c r="K50" s="13" t="s">
        <v>8886</v>
      </c>
      <c r="L50" s="99" t="str">
        <f t="shared" si="0"/>
        <v>W1802.E</v>
      </c>
      <c r="M50" s="13" t="s">
        <v>3669</v>
      </c>
      <c r="N50" s="13" t="s">
        <v>3675</v>
      </c>
      <c r="O50" s="34" t="s">
        <v>117</v>
      </c>
      <c r="P50" s="47"/>
      <c r="Q50" s="45" t="s">
        <v>3672</v>
      </c>
      <c r="R50" s="45" t="s">
        <v>3760</v>
      </c>
      <c r="S50" s="48"/>
      <c r="U50" s="12"/>
    </row>
    <row r="51" spans="1:21" s="49" customFormat="1" ht="14.15" customHeight="1">
      <c r="A51" s="43" t="s">
        <v>3755</v>
      </c>
      <c r="B51" s="44" t="s">
        <v>3677</v>
      </c>
      <c r="C51" s="32"/>
      <c r="D51" s="10" t="s">
        <v>29</v>
      </c>
      <c r="E51" s="11"/>
      <c r="F51" s="11" t="s">
        <v>3676</v>
      </c>
      <c r="G51" s="13"/>
      <c r="H51" s="45" t="s">
        <v>16</v>
      </c>
      <c r="I51" s="46"/>
      <c r="J51" s="62" t="s">
        <v>2179</v>
      </c>
      <c r="K51" s="13" t="s">
        <v>6823</v>
      </c>
      <c r="L51" s="99" t="str">
        <f t="shared" si="0"/>
        <v>W1802.F</v>
      </c>
      <c r="M51" s="13" t="s">
        <v>3669</v>
      </c>
      <c r="N51" s="13" t="s">
        <v>3675</v>
      </c>
      <c r="O51" s="34" t="s">
        <v>118</v>
      </c>
      <c r="P51" s="47"/>
      <c r="Q51" s="45" t="s">
        <v>3672</v>
      </c>
      <c r="R51" s="45" t="s">
        <v>3760</v>
      </c>
      <c r="S51" s="48"/>
      <c r="U51" s="12"/>
    </row>
    <row r="52" spans="1:21" s="49" customFormat="1" ht="14.15" customHeight="1">
      <c r="A52" s="43" t="s">
        <v>3755</v>
      </c>
      <c r="B52" s="44" t="s">
        <v>3677</v>
      </c>
      <c r="C52" s="32"/>
      <c r="D52" s="10" t="s">
        <v>29</v>
      </c>
      <c r="E52" s="11"/>
      <c r="F52" s="11" t="s">
        <v>3676</v>
      </c>
      <c r="G52" s="13"/>
      <c r="H52" s="45" t="s">
        <v>16</v>
      </c>
      <c r="I52" s="46"/>
      <c r="J52" s="62" t="s">
        <v>2180</v>
      </c>
      <c r="K52" s="13" t="s">
        <v>6824</v>
      </c>
      <c r="L52" s="99" t="str">
        <f t="shared" si="0"/>
        <v>W1803.0</v>
      </c>
      <c r="M52" s="13" t="s">
        <v>3669</v>
      </c>
      <c r="N52" s="13" t="s">
        <v>3673</v>
      </c>
      <c r="O52" s="34" t="s">
        <v>110</v>
      </c>
      <c r="P52" s="47"/>
      <c r="Q52" s="45" t="s">
        <v>3672</v>
      </c>
      <c r="R52" s="45" t="s">
        <v>3760</v>
      </c>
      <c r="S52" s="48"/>
      <c r="U52" s="12"/>
    </row>
    <row r="53" spans="1:21" s="49" customFormat="1" ht="14.15" customHeight="1">
      <c r="A53" s="43" t="s">
        <v>3755</v>
      </c>
      <c r="B53" s="44" t="s">
        <v>3677</v>
      </c>
      <c r="C53" s="32"/>
      <c r="D53" s="10" t="s">
        <v>29</v>
      </c>
      <c r="E53" s="11"/>
      <c r="F53" s="11" t="s">
        <v>3676</v>
      </c>
      <c r="G53" s="13"/>
      <c r="H53" s="45" t="s">
        <v>16</v>
      </c>
      <c r="I53" s="46"/>
      <c r="J53" s="62" t="s">
        <v>2181</v>
      </c>
      <c r="K53" s="13" t="s">
        <v>6825</v>
      </c>
      <c r="L53" s="99" t="str">
        <f t="shared" si="0"/>
        <v>W1803.1</v>
      </c>
      <c r="M53" s="13" t="s">
        <v>3669</v>
      </c>
      <c r="N53" s="13" t="s">
        <v>3674</v>
      </c>
      <c r="O53" s="34" t="s">
        <v>119</v>
      </c>
      <c r="P53" s="47"/>
      <c r="Q53" s="45" t="s">
        <v>3672</v>
      </c>
      <c r="R53" s="45" t="s">
        <v>3760</v>
      </c>
      <c r="S53" s="48"/>
      <c r="U53" s="12"/>
    </row>
    <row r="54" spans="1:21" s="49" customFormat="1" ht="14.15" customHeight="1">
      <c r="A54" s="43" t="s">
        <v>3755</v>
      </c>
      <c r="B54" s="44" t="s">
        <v>3677</v>
      </c>
      <c r="C54" s="32"/>
      <c r="D54" s="10" t="s">
        <v>29</v>
      </c>
      <c r="E54" s="11"/>
      <c r="F54" s="11" t="s">
        <v>3676</v>
      </c>
      <c r="G54" s="13"/>
      <c r="H54" s="45" t="s">
        <v>16</v>
      </c>
      <c r="I54" s="46"/>
      <c r="J54" s="62" t="s">
        <v>2182</v>
      </c>
      <c r="K54" s="13" t="s">
        <v>6826</v>
      </c>
      <c r="L54" s="99" t="str">
        <f t="shared" si="0"/>
        <v>W1803.2</v>
      </c>
      <c r="M54" s="13" t="s">
        <v>3669</v>
      </c>
      <c r="N54" s="13" t="s">
        <v>3671</v>
      </c>
      <c r="O54" s="34" t="s">
        <v>120</v>
      </c>
      <c r="P54" s="47"/>
      <c r="Q54" s="45" t="s">
        <v>3672</v>
      </c>
      <c r="R54" s="45" t="s">
        <v>3760</v>
      </c>
      <c r="S54" s="48"/>
      <c r="U54" s="12"/>
    </row>
    <row r="55" spans="1:21" s="49" customFormat="1" ht="14.15" customHeight="1">
      <c r="A55" s="43" t="s">
        <v>3755</v>
      </c>
      <c r="B55" s="44" t="s">
        <v>3677</v>
      </c>
      <c r="C55" s="32"/>
      <c r="D55" s="10" t="s">
        <v>29</v>
      </c>
      <c r="E55" s="11"/>
      <c r="F55" s="11" t="s">
        <v>3676</v>
      </c>
      <c r="G55" s="13"/>
      <c r="H55" s="45" t="s">
        <v>16</v>
      </c>
      <c r="I55" s="46"/>
      <c r="J55" s="62" t="s">
        <v>2183</v>
      </c>
      <c r="K55" s="13" t="s">
        <v>6827</v>
      </c>
      <c r="L55" s="99" t="str">
        <f t="shared" si="0"/>
        <v>W1803.3</v>
      </c>
      <c r="M55" s="13" t="s">
        <v>3669</v>
      </c>
      <c r="N55" s="13" t="s">
        <v>3671</v>
      </c>
      <c r="O55" s="34" t="s">
        <v>111</v>
      </c>
      <c r="P55" s="47"/>
      <c r="Q55" s="45" t="s">
        <v>3672</v>
      </c>
      <c r="R55" s="45" t="s">
        <v>3760</v>
      </c>
      <c r="S55" s="48"/>
      <c r="U55" s="12"/>
    </row>
    <row r="56" spans="1:21" s="49" customFormat="1" ht="14.15" customHeight="1">
      <c r="A56" s="43" t="s">
        <v>3755</v>
      </c>
      <c r="B56" s="44" t="s">
        <v>3677</v>
      </c>
      <c r="C56" s="32"/>
      <c r="D56" s="10" t="s">
        <v>29</v>
      </c>
      <c r="E56" s="11"/>
      <c r="F56" s="11" t="s">
        <v>3676</v>
      </c>
      <c r="G56" s="13"/>
      <c r="H56" s="45" t="s">
        <v>16</v>
      </c>
      <c r="I56" s="46"/>
      <c r="J56" s="62" t="s">
        <v>2186</v>
      </c>
      <c r="K56" s="13" t="s">
        <v>6828</v>
      </c>
      <c r="L56" s="99" t="str">
        <f t="shared" si="0"/>
        <v>W1803.4</v>
      </c>
      <c r="M56" s="13" t="s">
        <v>3669</v>
      </c>
      <c r="N56" s="13" t="s">
        <v>3671</v>
      </c>
      <c r="O56" s="34" t="s">
        <v>112</v>
      </c>
      <c r="P56" s="47"/>
      <c r="Q56" s="45" t="s">
        <v>3672</v>
      </c>
      <c r="R56" s="45" t="s">
        <v>3760</v>
      </c>
      <c r="S56" s="48"/>
      <c r="U56" s="12"/>
    </row>
    <row r="57" spans="1:21" s="49" customFormat="1" ht="14.15" customHeight="1">
      <c r="A57" s="43" t="s">
        <v>3755</v>
      </c>
      <c r="B57" s="44" t="s">
        <v>3677</v>
      </c>
      <c r="C57" s="32"/>
      <c r="D57" s="10" t="s">
        <v>29</v>
      </c>
      <c r="E57" s="11"/>
      <c r="F57" s="11" t="s">
        <v>3676</v>
      </c>
      <c r="G57" s="13"/>
      <c r="H57" s="45" t="s">
        <v>16</v>
      </c>
      <c r="I57" s="46"/>
      <c r="J57" s="62" t="s">
        <v>2184</v>
      </c>
      <c r="K57" s="13" t="s">
        <v>6829</v>
      </c>
      <c r="L57" s="99" t="str">
        <f t="shared" si="0"/>
        <v>W1803.5</v>
      </c>
      <c r="M57" s="13" t="s">
        <v>3669</v>
      </c>
      <c r="N57" s="13" t="s">
        <v>3675</v>
      </c>
      <c r="O57" s="34" t="s">
        <v>113</v>
      </c>
      <c r="P57" s="47"/>
      <c r="Q57" s="45" t="s">
        <v>3672</v>
      </c>
      <c r="R57" s="45" t="s">
        <v>3760</v>
      </c>
      <c r="S57" s="48"/>
      <c r="U57" s="12"/>
    </row>
    <row r="58" spans="1:21" s="49" customFormat="1" ht="14.15" customHeight="1">
      <c r="A58" s="43" t="s">
        <v>3755</v>
      </c>
      <c r="B58" s="44" t="s">
        <v>3677</v>
      </c>
      <c r="C58" s="32"/>
      <c r="D58" s="10" t="s">
        <v>29</v>
      </c>
      <c r="E58" s="11"/>
      <c r="F58" s="11" t="s">
        <v>3676</v>
      </c>
      <c r="G58" s="13"/>
      <c r="H58" s="45" t="s">
        <v>16</v>
      </c>
      <c r="I58" s="46"/>
      <c r="J58" s="62" t="s">
        <v>2185</v>
      </c>
      <c r="K58" s="13" t="s">
        <v>6830</v>
      </c>
      <c r="L58" s="99" t="str">
        <f t="shared" si="0"/>
        <v>W1803.6</v>
      </c>
      <c r="M58" s="13" t="s">
        <v>3669</v>
      </c>
      <c r="N58" s="13" t="s">
        <v>3674</v>
      </c>
      <c r="O58" s="34" t="s">
        <v>114</v>
      </c>
      <c r="P58" s="47"/>
      <c r="Q58" s="45" t="s">
        <v>3672</v>
      </c>
      <c r="R58" s="45" t="s">
        <v>3760</v>
      </c>
      <c r="S58" s="48"/>
      <c r="U58" s="12"/>
    </row>
    <row r="59" spans="1:21" s="49" customFormat="1" ht="14.15" customHeight="1">
      <c r="A59" s="43" t="s">
        <v>3761</v>
      </c>
      <c r="B59" s="44" t="s">
        <v>3677</v>
      </c>
      <c r="C59" s="32"/>
      <c r="D59" s="10" t="s">
        <v>29</v>
      </c>
      <c r="E59" s="11"/>
      <c r="F59" s="11" t="s">
        <v>3676</v>
      </c>
      <c r="G59" s="13"/>
      <c r="H59" s="45" t="s">
        <v>16</v>
      </c>
      <c r="I59" s="46"/>
      <c r="J59" s="62" t="s">
        <v>3764</v>
      </c>
      <c r="K59" s="13" t="s">
        <v>8887</v>
      </c>
      <c r="L59" s="99" t="str">
        <f t="shared" si="0"/>
        <v>W1803.7</v>
      </c>
      <c r="M59" s="13" t="s">
        <v>3678</v>
      </c>
      <c r="N59" s="13" t="s">
        <v>150</v>
      </c>
      <c r="O59" s="33" t="s">
        <v>115</v>
      </c>
      <c r="P59" s="47"/>
      <c r="Q59" s="45" t="s">
        <v>3672</v>
      </c>
      <c r="R59" s="45" t="s">
        <v>3776</v>
      </c>
      <c r="S59" s="48"/>
      <c r="U59" s="12"/>
    </row>
    <row r="60" spans="1:21" s="49" customFormat="1" ht="14.15" customHeight="1">
      <c r="A60" s="43" t="s">
        <v>3761</v>
      </c>
      <c r="B60" s="44" t="s">
        <v>3677</v>
      </c>
      <c r="C60" s="32"/>
      <c r="D60" s="10" t="s">
        <v>29</v>
      </c>
      <c r="E60" s="11"/>
      <c r="F60" s="11" t="s">
        <v>3676</v>
      </c>
      <c r="G60" s="13"/>
      <c r="H60" s="45" t="s">
        <v>16</v>
      </c>
      <c r="I60" s="46"/>
      <c r="J60" s="62" t="s">
        <v>3765</v>
      </c>
      <c r="K60" s="13" t="s">
        <v>8888</v>
      </c>
      <c r="L60" s="99" t="str">
        <f t="shared" si="0"/>
        <v>W1803.8</v>
      </c>
      <c r="M60" s="13" t="s">
        <v>3678</v>
      </c>
      <c r="N60" s="13" t="s">
        <v>149</v>
      </c>
      <c r="O60" s="33" t="s">
        <v>121</v>
      </c>
      <c r="P60" s="47"/>
      <c r="Q60" s="45" t="s">
        <v>3672</v>
      </c>
      <c r="R60" s="45" t="s">
        <v>3776</v>
      </c>
      <c r="S60" s="48"/>
      <c r="U60" s="12"/>
    </row>
    <row r="61" spans="1:21" s="49" customFormat="1" ht="14.15" customHeight="1">
      <c r="A61" s="43" t="s">
        <v>3761</v>
      </c>
      <c r="B61" s="44" t="s">
        <v>3677</v>
      </c>
      <c r="C61" s="32"/>
      <c r="D61" s="10" t="s">
        <v>29</v>
      </c>
      <c r="E61" s="11"/>
      <c r="F61" s="11" t="s">
        <v>3676</v>
      </c>
      <c r="G61" s="13"/>
      <c r="H61" s="45" t="s">
        <v>16</v>
      </c>
      <c r="I61" s="46"/>
      <c r="J61" s="62" t="s">
        <v>3766</v>
      </c>
      <c r="K61" s="13" t="s">
        <v>8889</v>
      </c>
      <c r="L61" s="99" t="str">
        <f t="shared" si="0"/>
        <v>W1803.9</v>
      </c>
      <c r="M61" s="13" t="s">
        <v>3678</v>
      </c>
      <c r="N61" s="13" t="s">
        <v>119</v>
      </c>
      <c r="O61" s="33" t="s">
        <v>116</v>
      </c>
      <c r="P61" s="47"/>
      <c r="Q61" s="45" t="s">
        <v>3672</v>
      </c>
      <c r="R61" s="45" t="s">
        <v>3776</v>
      </c>
      <c r="S61" s="48"/>
      <c r="U61" s="12"/>
    </row>
    <row r="62" spans="1:21" s="49" customFormat="1" ht="14.15" customHeight="1">
      <c r="A62" s="43" t="s">
        <v>3761</v>
      </c>
      <c r="B62" s="44" t="s">
        <v>3677</v>
      </c>
      <c r="C62" s="32"/>
      <c r="D62" s="10" t="s">
        <v>29</v>
      </c>
      <c r="E62" s="11"/>
      <c r="F62" s="11" t="s">
        <v>3676</v>
      </c>
      <c r="G62" s="13"/>
      <c r="H62" s="45" t="s">
        <v>16</v>
      </c>
      <c r="I62" s="46"/>
      <c r="J62" s="66" t="s">
        <v>3767</v>
      </c>
      <c r="K62" s="13" t="s">
        <v>8890</v>
      </c>
      <c r="L62" s="99" t="str">
        <f t="shared" si="0"/>
        <v>W1803.A</v>
      </c>
      <c r="M62" s="13" t="s">
        <v>3678</v>
      </c>
      <c r="N62" s="13" t="s">
        <v>148</v>
      </c>
      <c r="O62" s="33" t="s">
        <v>122</v>
      </c>
      <c r="P62" s="47"/>
      <c r="Q62" s="45" t="s">
        <v>3672</v>
      </c>
      <c r="R62" s="45" t="s">
        <v>3776</v>
      </c>
      <c r="S62" s="48"/>
      <c r="U62" s="12"/>
    </row>
    <row r="63" spans="1:21" s="49" customFormat="1" ht="14.15" customHeight="1">
      <c r="A63" s="43" t="s">
        <v>3762</v>
      </c>
      <c r="B63" s="44" t="s">
        <v>3677</v>
      </c>
      <c r="C63" s="32"/>
      <c r="D63" s="10" t="s">
        <v>29</v>
      </c>
      <c r="E63" s="11"/>
      <c r="F63" s="11" t="s">
        <v>3676</v>
      </c>
      <c r="G63" s="13"/>
      <c r="H63" s="45" t="s">
        <v>16</v>
      </c>
      <c r="I63" s="46"/>
      <c r="J63" s="62" t="s">
        <v>3768</v>
      </c>
      <c r="K63" s="13" t="s">
        <v>8891</v>
      </c>
      <c r="L63" s="99" t="str">
        <f t="shared" si="0"/>
        <v>W1803.B</v>
      </c>
      <c r="M63" s="13" t="s">
        <v>3678</v>
      </c>
      <c r="N63" s="13" t="s">
        <v>150</v>
      </c>
      <c r="O63" s="33" t="s">
        <v>115</v>
      </c>
      <c r="P63" s="47"/>
      <c r="Q63" s="45" t="s">
        <v>3672</v>
      </c>
      <c r="R63" s="45" t="s">
        <v>3776</v>
      </c>
      <c r="S63" s="48"/>
      <c r="U63" s="12"/>
    </row>
    <row r="64" spans="1:21" s="49" customFormat="1" ht="14.15" customHeight="1">
      <c r="A64" s="43" t="s">
        <v>3762</v>
      </c>
      <c r="B64" s="44" t="s">
        <v>3677</v>
      </c>
      <c r="C64" s="32"/>
      <c r="D64" s="10" t="s">
        <v>29</v>
      </c>
      <c r="E64" s="11"/>
      <c r="F64" s="11" t="s">
        <v>3676</v>
      </c>
      <c r="G64" s="13"/>
      <c r="H64" s="45" t="s">
        <v>16</v>
      </c>
      <c r="I64" s="46"/>
      <c r="J64" s="62" t="s">
        <v>3769</v>
      </c>
      <c r="K64" s="13" t="s">
        <v>8892</v>
      </c>
      <c r="L64" s="99" t="str">
        <f t="shared" si="0"/>
        <v>W1803.C</v>
      </c>
      <c r="M64" s="13" t="s">
        <v>3678</v>
      </c>
      <c r="N64" s="13" t="s">
        <v>149</v>
      </c>
      <c r="O64" s="33" t="s">
        <v>121</v>
      </c>
      <c r="P64" s="47"/>
      <c r="Q64" s="45" t="s">
        <v>3672</v>
      </c>
      <c r="R64" s="45" t="s">
        <v>3776</v>
      </c>
      <c r="S64" s="48"/>
      <c r="U64" s="12"/>
    </row>
    <row r="65" spans="1:21" s="49" customFormat="1" ht="14.15" customHeight="1">
      <c r="A65" s="43" t="s">
        <v>3762</v>
      </c>
      <c r="B65" s="44" t="s">
        <v>3677</v>
      </c>
      <c r="C65" s="32"/>
      <c r="D65" s="10" t="s">
        <v>29</v>
      </c>
      <c r="E65" s="11"/>
      <c r="F65" s="11" t="s">
        <v>3676</v>
      </c>
      <c r="G65" s="13"/>
      <c r="H65" s="45" t="s">
        <v>16</v>
      </c>
      <c r="I65" s="46"/>
      <c r="J65" s="62" t="s">
        <v>3770</v>
      </c>
      <c r="K65" s="13" t="s">
        <v>8893</v>
      </c>
      <c r="L65" s="99" t="str">
        <f t="shared" si="0"/>
        <v>W1803.D</v>
      </c>
      <c r="M65" s="13" t="s">
        <v>3678</v>
      </c>
      <c r="N65" s="13" t="s">
        <v>119</v>
      </c>
      <c r="O65" s="33" t="s">
        <v>116</v>
      </c>
      <c r="P65" s="47"/>
      <c r="Q65" s="45" t="s">
        <v>3672</v>
      </c>
      <c r="R65" s="45" t="s">
        <v>3776</v>
      </c>
      <c r="S65" s="48"/>
      <c r="U65" s="12"/>
    </row>
    <row r="66" spans="1:21" s="49" customFormat="1" ht="14.15" customHeight="1">
      <c r="A66" s="43" t="s">
        <v>3762</v>
      </c>
      <c r="B66" s="44" t="s">
        <v>3677</v>
      </c>
      <c r="C66" s="32"/>
      <c r="D66" s="10" t="s">
        <v>29</v>
      </c>
      <c r="E66" s="11"/>
      <c r="F66" s="11" t="s">
        <v>3676</v>
      </c>
      <c r="G66" s="13"/>
      <c r="H66" s="45" t="s">
        <v>16</v>
      </c>
      <c r="I66" s="46"/>
      <c r="J66" s="66" t="s">
        <v>3771</v>
      </c>
      <c r="K66" s="13" t="s">
        <v>8894</v>
      </c>
      <c r="L66" s="99" t="str">
        <f t="shared" si="0"/>
        <v>W1803.E</v>
      </c>
      <c r="M66" s="13" t="s">
        <v>3678</v>
      </c>
      <c r="N66" s="13" t="s">
        <v>148</v>
      </c>
      <c r="O66" s="33" t="s">
        <v>122</v>
      </c>
      <c r="P66" s="47"/>
      <c r="Q66" s="45" t="s">
        <v>3672</v>
      </c>
      <c r="R66" s="45" t="s">
        <v>3776</v>
      </c>
      <c r="S66" s="48"/>
      <c r="U66" s="12"/>
    </row>
    <row r="67" spans="1:21" s="49" customFormat="1" ht="14.15" customHeight="1">
      <c r="A67" s="43" t="s">
        <v>3763</v>
      </c>
      <c r="B67" s="44" t="s">
        <v>3677</v>
      </c>
      <c r="C67" s="32"/>
      <c r="D67" s="10" t="s">
        <v>29</v>
      </c>
      <c r="E67" s="11"/>
      <c r="F67" s="11" t="s">
        <v>3676</v>
      </c>
      <c r="G67" s="13"/>
      <c r="H67" s="45" t="s">
        <v>16</v>
      </c>
      <c r="I67" s="46"/>
      <c r="J67" s="62" t="s">
        <v>3772</v>
      </c>
      <c r="K67" s="13" t="s">
        <v>8895</v>
      </c>
      <c r="L67" s="99" t="str">
        <f t="shared" si="0"/>
        <v>W1803.F</v>
      </c>
      <c r="M67" s="13" t="s">
        <v>3678</v>
      </c>
      <c r="N67" s="13" t="s">
        <v>150</v>
      </c>
      <c r="O67" s="33" t="s">
        <v>115</v>
      </c>
      <c r="P67" s="47"/>
      <c r="Q67" s="45" t="s">
        <v>3672</v>
      </c>
      <c r="R67" s="45" t="s">
        <v>3776</v>
      </c>
      <c r="S67" s="48"/>
      <c r="U67" s="12"/>
    </row>
    <row r="68" spans="1:21" s="49" customFormat="1" ht="14.15" customHeight="1">
      <c r="A68" s="43" t="s">
        <v>3763</v>
      </c>
      <c r="B68" s="44" t="s">
        <v>3677</v>
      </c>
      <c r="C68" s="32"/>
      <c r="D68" s="10" t="s">
        <v>29</v>
      </c>
      <c r="E68" s="11"/>
      <c r="F68" s="11" t="s">
        <v>3676</v>
      </c>
      <c r="G68" s="13"/>
      <c r="H68" s="45" t="s">
        <v>16</v>
      </c>
      <c r="I68" s="46"/>
      <c r="J68" s="62" t="s">
        <v>3773</v>
      </c>
      <c r="K68" s="13" t="s">
        <v>8896</v>
      </c>
      <c r="L68" s="99" t="str">
        <f t="shared" si="0"/>
        <v>W1804.0</v>
      </c>
      <c r="M68" s="13" t="s">
        <v>3678</v>
      </c>
      <c r="N68" s="13" t="s">
        <v>149</v>
      </c>
      <c r="O68" s="33" t="s">
        <v>121</v>
      </c>
      <c r="P68" s="47"/>
      <c r="Q68" s="45" t="s">
        <v>3672</v>
      </c>
      <c r="R68" s="45" t="s">
        <v>3776</v>
      </c>
      <c r="S68" s="48"/>
      <c r="U68" s="12"/>
    </row>
    <row r="69" spans="1:21" s="49" customFormat="1" ht="14.15" customHeight="1">
      <c r="A69" s="43" t="s">
        <v>3763</v>
      </c>
      <c r="B69" s="44" t="s">
        <v>3677</v>
      </c>
      <c r="C69" s="32"/>
      <c r="D69" s="10" t="s">
        <v>29</v>
      </c>
      <c r="E69" s="11"/>
      <c r="F69" s="11" t="s">
        <v>3676</v>
      </c>
      <c r="G69" s="13"/>
      <c r="H69" s="45" t="s">
        <v>16</v>
      </c>
      <c r="I69" s="46"/>
      <c r="J69" s="62" t="s">
        <v>3774</v>
      </c>
      <c r="K69" s="13" t="s">
        <v>8897</v>
      </c>
      <c r="L69" s="99" t="str">
        <f t="shared" ref="L69:L79" si="1">"W"&amp;DEC2HEX(6144 + INT((ROW()-4)/16)) &amp; "." &amp; IF(MOD(ROW()-4,16)&lt;10,MOD(ROW()-4,16),CHAR(MOD(ROW()-4,16)+55))</f>
        <v>W1804.1</v>
      </c>
      <c r="M69" s="13" t="s">
        <v>3678</v>
      </c>
      <c r="N69" s="13" t="s">
        <v>119</v>
      </c>
      <c r="O69" s="33" t="s">
        <v>116</v>
      </c>
      <c r="P69" s="47"/>
      <c r="Q69" s="45" t="s">
        <v>3672</v>
      </c>
      <c r="R69" s="45" t="s">
        <v>3776</v>
      </c>
      <c r="S69" s="48"/>
      <c r="U69" s="12"/>
    </row>
    <row r="70" spans="1:21" s="49" customFormat="1" ht="14.15" customHeight="1">
      <c r="A70" s="43" t="s">
        <v>3763</v>
      </c>
      <c r="B70" s="44" t="s">
        <v>3677</v>
      </c>
      <c r="C70" s="32"/>
      <c r="D70" s="10" t="s">
        <v>29</v>
      </c>
      <c r="E70" s="11"/>
      <c r="F70" s="11" t="s">
        <v>3676</v>
      </c>
      <c r="G70" s="13"/>
      <c r="H70" s="45" t="s">
        <v>16</v>
      </c>
      <c r="I70" s="46"/>
      <c r="J70" s="66" t="s">
        <v>3775</v>
      </c>
      <c r="K70" s="13" t="s">
        <v>8898</v>
      </c>
      <c r="L70" s="99" t="str">
        <f t="shared" si="1"/>
        <v>W1804.2</v>
      </c>
      <c r="M70" s="13" t="s">
        <v>3678</v>
      </c>
      <c r="N70" s="13" t="s">
        <v>148</v>
      </c>
      <c r="O70" s="33" t="s">
        <v>122</v>
      </c>
      <c r="P70" s="47"/>
      <c r="Q70" s="45" t="s">
        <v>3672</v>
      </c>
      <c r="R70" s="45" t="s">
        <v>3776</v>
      </c>
      <c r="S70" s="48"/>
      <c r="U70" s="12"/>
    </row>
    <row r="71" spans="1:21" s="49" customFormat="1" ht="14.15" customHeight="1">
      <c r="A71" s="43" t="s">
        <v>3777</v>
      </c>
      <c r="B71" s="44" t="s">
        <v>3677</v>
      </c>
      <c r="C71" s="32"/>
      <c r="D71" s="10" t="s">
        <v>29</v>
      </c>
      <c r="E71" s="11"/>
      <c r="F71" s="11" t="s">
        <v>3676</v>
      </c>
      <c r="G71" s="13"/>
      <c r="H71" s="45" t="s">
        <v>16</v>
      </c>
      <c r="I71" s="46"/>
      <c r="J71" s="62" t="s">
        <v>2188</v>
      </c>
      <c r="K71" s="13" t="s">
        <v>8899</v>
      </c>
      <c r="L71" s="99" t="str">
        <f t="shared" si="1"/>
        <v>W1804.3</v>
      </c>
      <c r="M71" s="13" t="s">
        <v>3669</v>
      </c>
      <c r="N71" s="13" t="s">
        <v>3675</v>
      </c>
      <c r="O71" s="34" t="s">
        <v>117</v>
      </c>
      <c r="P71" s="47"/>
      <c r="Q71" s="45" t="s">
        <v>3672</v>
      </c>
      <c r="R71" s="45" t="s">
        <v>3776</v>
      </c>
      <c r="S71" s="48"/>
      <c r="U71" s="12"/>
    </row>
    <row r="72" spans="1:21" s="49" customFormat="1" ht="14.15" customHeight="1">
      <c r="A72" s="43" t="s">
        <v>3777</v>
      </c>
      <c r="B72" s="44" t="s">
        <v>3677</v>
      </c>
      <c r="C72" s="32"/>
      <c r="D72" s="10" t="s">
        <v>29</v>
      </c>
      <c r="E72" s="11"/>
      <c r="F72" s="11" t="s">
        <v>3676</v>
      </c>
      <c r="G72" s="13"/>
      <c r="H72" s="45" t="s">
        <v>16</v>
      </c>
      <c r="I72" s="46"/>
      <c r="J72" s="62" t="s">
        <v>2189</v>
      </c>
      <c r="K72" s="13" t="s">
        <v>8900</v>
      </c>
      <c r="L72" s="99" t="str">
        <f t="shared" si="1"/>
        <v>W1804.4</v>
      </c>
      <c r="M72" s="13" t="s">
        <v>3669</v>
      </c>
      <c r="N72" s="13" t="s">
        <v>3675</v>
      </c>
      <c r="O72" s="34" t="s">
        <v>118</v>
      </c>
      <c r="P72" s="47"/>
      <c r="Q72" s="45" t="s">
        <v>3672</v>
      </c>
      <c r="R72" s="45" t="s">
        <v>3776</v>
      </c>
      <c r="S72" s="48"/>
      <c r="U72" s="12"/>
    </row>
    <row r="73" spans="1:21" s="49" customFormat="1" ht="14.15" customHeight="1">
      <c r="A73" s="43" t="s">
        <v>3777</v>
      </c>
      <c r="B73" s="44" t="s">
        <v>3677</v>
      </c>
      <c r="C73" s="32"/>
      <c r="D73" s="10" t="s">
        <v>29</v>
      </c>
      <c r="E73" s="11"/>
      <c r="F73" s="11" t="s">
        <v>3676</v>
      </c>
      <c r="G73" s="13"/>
      <c r="H73" s="45" t="s">
        <v>16</v>
      </c>
      <c r="I73" s="46"/>
      <c r="J73" s="62" t="s">
        <v>2190</v>
      </c>
      <c r="K73" s="13" t="s">
        <v>8901</v>
      </c>
      <c r="L73" s="99" t="str">
        <f t="shared" si="1"/>
        <v>W1804.5</v>
      </c>
      <c r="M73" s="13" t="s">
        <v>3669</v>
      </c>
      <c r="N73" s="13" t="s">
        <v>3673</v>
      </c>
      <c r="O73" s="34" t="s">
        <v>110</v>
      </c>
      <c r="P73" s="47"/>
      <c r="Q73" s="45" t="s">
        <v>3672</v>
      </c>
      <c r="R73" s="45" t="s">
        <v>3776</v>
      </c>
      <c r="S73" s="48"/>
      <c r="U73" s="12"/>
    </row>
    <row r="74" spans="1:21" s="49" customFormat="1" ht="14.15" customHeight="1">
      <c r="A74" s="43" t="s">
        <v>3777</v>
      </c>
      <c r="B74" s="44" t="s">
        <v>3677</v>
      </c>
      <c r="C74" s="32"/>
      <c r="D74" s="10" t="s">
        <v>29</v>
      </c>
      <c r="E74" s="11"/>
      <c r="F74" s="11" t="s">
        <v>3676</v>
      </c>
      <c r="G74" s="13"/>
      <c r="H74" s="45" t="s">
        <v>16</v>
      </c>
      <c r="I74" s="46"/>
      <c r="J74" s="62" t="s">
        <v>2191</v>
      </c>
      <c r="K74" s="13" t="s">
        <v>8902</v>
      </c>
      <c r="L74" s="99" t="str">
        <f t="shared" si="1"/>
        <v>W1804.6</v>
      </c>
      <c r="M74" s="13" t="s">
        <v>3669</v>
      </c>
      <c r="N74" s="13" t="s">
        <v>3674</v>
      </c>
      <c r="O74" s="34" t="s">
        <v>119</v>
      </c>
      <c r="P74" s="47"/>
      <c r="Q74" s="45" t="s">
        <v>3672</v>
      </c>
      <c r="R74" s="45" t="s">
        <v>3776</v>
      </c>
      <c r="S74" s="48"/>
      <c r="U74" s="12"/>
    </row>
    <row r="75" spans="1:21" s="49" customFormat="1" ht="14.15" customHeight="1">
      <c r="A75" s="43" t="s">
        <v>3777</v>
      </c>
      <c r="B75" s="44" t="s">
        <v>3677</v>
      </c>
      <c r="C75" s="32"/>
      <c r="D75" s="10" t="s">
        <v>29</v>
      </c>
      <c r="E75" s="11"/>
      <c r="F75" s="11" t="s">
        <v>3676</v>
      </c>
      <c r="G75" s="13"/>
      <c r="H75" s="45" t="s">
        <v>16</v>
      </c>
      <c r="I75" s="46"/>
      <c r="J75" s="62" t="s">
        <v>2192</v>
      </c>
      <c r="K75" s="13" t="s">
        <v>8903</v>
      </c>
      <c r="L75" s="99" t="str">
        <f t="shared" si="1"/>
        <v>W1804.7</v>
      </c>
      <c r="M75" s="13" t="s">
        <v>3669</v>
      </c>
      <c r="N75" s="13" t="s">
        <v>3671</v>
      </c>
      <c r="O75" s="34" t="s">
        <v>120</v>
      </c>
      <c r="P75" s="47"/>
      <c r="Q75" s="45" t="s">
        <v>3672</v>
      </c>
      <c r="R75" s="45" t="s">
        <v>3776</v>
      </c>
      <c r="S75" s="48"/>
      <c r="U75" s="12"/>
    </row>
    <row r="76" spans="1:21" s="49" customFormat="1" ht="14.15" customHeight="1">
      <c r="A76" s="43" t="s">
        <v>3777</v>
      </c>
      <c r="B76" s="44" t="s">
        <v>3677</v>
      </c>
      <c r="C76" s="32"/>
      <c r="D76" s="10" t="s">
        <v>29</v>
      </c>
      <c r="E76" s="11"/>
      <c r="F76" s="11" t="s">
        <v>3676</v>
      </c>
      <c r="G76" s="13"/>
      <c r="H76" s="45" t="s">
        <v>16</v>
      </c>
      <c r="I76" s="46"/>
      <c r="J76" s="62" t="s">
        <v>2193</v>
      </c>
      <c r="K76" s="13" t="s">
        <v>8904</v>
      </c>
      <c r="L76" s="99" t="str">
        <f t="shared" si="1"/>
        <v>W1804.8</v>
      </c>
      <c r="M76" s="13" t="s">
        <v>3669</v>
      </c>
      <c r="N76" s="13" t="s">
        <v>3671</v>
      </c>
      <c r="O76" s="34" t="s">
        <v>111</v>
      </c>
      <c r="P76" s="47"/>
      <c r="Q76" s="45" t="s">
        <v>3672</v>
      </c>
      <c r="R76" s="45" t="s">
        <v>3776</v>
      </c>
      <c r="S76" s="48"/>
      <c r="U76" s="12"/>
    </row>
    <row r="77" spans="1:21" s="49" customFormat="1" ht="14.15" customHeight="1">
      <c r="A77" s="43" t="s">
        <v>3777</v>
      </c>
      <c r="B77" s="44" t="s">
        <v>3677</v>
      </c>
      <c r="C77" s="32"/>
      <c r="D77" s="10" t="s">
        <v>29</v>
      </c>
      <c r="E77" s="11"/>
      <c r="F77" s="11" t="s">
        <v>3676</v>
      </c>
      <c r="G77" s="13"/>
      <c r="H77" s="45" t="s">
        <v>16</v>
      </c>
      <c r="I77" s="46"/>
      <c r="J77" s="62" t="s">
        <v>2194</v>
      </c>
      <c r="K77" s="13" t="s">
        <v>8905</v>
      </c>
      <c r="L77" s="99" t="str">
        <f t="shared" si="1"/>
        <v>W1804.9</v>
      </c>
      <c r="M77" s="13" t="s">
        <v>3669</v>
      </c>
      <c r="N77" s="13" t="s">
        <v>3671</v>
      </c>
      <c r="O77" s="34" t="s">
        <v>112</v>
      </c>
      <c r="P77" s="47"/>
      <c r="Q77" s="45" t="s">
        <v>3672</v>
      </c>
      <c r="R77" s="45" t="s">
        <v>3776</v>
      </c>
      <c r="S77" s="48"/>
      <c r="U77" s="12"/>
    </row>
    <row r="78" spans="1:21" s="49" customFormat="1" ht="14.15" customHeight="1">
      <c r="A78" s="43" t="s">
        <v>3777</v>
      </c>
      <c r="B78" s="44" t="s">
        <v>3677</v>
      </c>
      <c r="C78" s="32"/>
      <c r="D78" s="10" t="s">
        <v>29</v>
      </c>
      <c r="E78" s="11"/>
      <c r="F78" s="11" t="s">
        <v>3676</v>
      </c>
      <c r="G78" s="13"/>
      <c r="H78" s="45" t="s">
        <v>16</v>
      </c>
      <c r="I78" s="46"/>
      <c r="J78" s="62" t="s">
        <v>2195</v>
      </c>
      <c r="K78" s="13" t="s">
        <v>8906</v>
      </c>
      <c r="L78" s="99" t="str">
        <f t="shared" si="1"/>
        <v>W1804.A</v>
      </c>
      <c r="M78" s="13" t="s">
        <v>3669</v>
      </c>
      <c r="N78" s="13" t="s">
        <v>3675</v>
      </c>
      <c r="O78" s="34" t="s">
        <v>113</v>
      </c>
      <c r="P78" s="47"/>
      <c r="Q78" s="45" t="s">
        <v>3672</v>
      </c>
      <c r="R78" s="45" t="s">
        <v>3776</v>
      </c>
      <c r="S78" s="48"/>
      <c r="U78" s="12"/>
    </row>
    <row r="79" spans="1:21" s="49" customFormat="1" ht="14.15" customHeight="1">
      <c r="A79" s="43" t="s">
        <v>3777</v>
      </c>
      <c r="B79" s="44" t="s">
        <v>3677</v>
      </c>
      <c r="C79" s="32"/>
      <c r="D79" s="10" t="s">
        <v>29</v>
      </c>
      <c r="E79" s="11"/>
      <c r="F79" s="11" t="s">
        <v>3676</v>
      </c>
      <c r="G79" s="13"/>
      <c r="H79" s="45" t="s">
        <v>16</v>
      </c>
      <c r="I79" s="46"/>
      <c r="J79" s="62" t="s">
        <v>2196</v>
      </c>
      <c r="K79" s="13" t="s">
        <v>8907</v>
      </c>
      <c r="L79" s="99" t="str">
        <f t="shared" si="1"/>
        <v>W1804.B</v>
      </c>
      <c r="M79" s="13" t="s">
        <v>3669</v>
      </c>
      <c r="N79" s="13" t="s">
        <v>3674</v>
      </c>
      <c r="O79" s="34" t="s">
        <v>114</v>
      </c>
      <c r="P79" s="47"/>
      <c r="Q79" s="45" t="s">
        <v>3672</v>
      </c>
      <c r="R79" s="45" t="s">
        <v>3776</v>
      </c>
      <c r="S79" s="48"/>
      <c r="U79" s="12"/>
    </row>
    <row r="80" spans="1:21" s="49" customFormat="1" ht="14.15" customHeight="1">
      <c r="A80" s="43"/>
      <c r="B80" s="44"/>
      <c r="C80" s="32"/>
      <c r="D80" s="10"/>
      <c r="E80" s="11"/>
      <c r="F80" s="11"/>
      <c r="G80" s="13"/>
      <c r="H80" s="45"/>
      <c r="I80" s="46"/>
      <c r="J80" s="62"/>
      <c r="K80" s="101"/>
      <c r="L80" s="99"/>
      <c r="M80" s="13"/>
      <c r="N80" s="13"/>
      <c r="O80" s="34"/>
      <c r="P80" s="47"/>
      <c r="Q80" s="45"/>
      <c r="R80" s="45"/>
      <c r="S80" s="48"/>
      <c r="U80" s="12"/>
    </row>
    <row r="81" spans="1:22" s="49" customFormat="1" ht="14.15" customHeight="1">
      <c r="A81" s="43" t="s">
        <v>3778</v>
      </c>
      <c r="B81" s="44" t="s">
        <v>6637</v>
      </c>
      <c r="C81" s="32"/>
      <c r="D81" s="10" t="s">
        <v>29</v>
      </c>
      <c r="E81" s="11"/>
      <c r="F81" s="11" t="s">
        <v>18</v>
      </c>
      <c r="G81" s="13"/>
      <c r="H81" s="45" t="s">
        <v>16</v>
      </c>
      <c r="I81" s="46"/>
      <c r="J81" s="12" t="s">
        <v>158</v>
      </c>
      <c r="K81" s="13" t="s">
        <v>6852</v>
      </c>
      <c r="L81" s="99" t="str">
        <f>"W"&amp;DEC2HEX(4608 + INT((ROW()-81)/16)) &amp; "." &amp; IF(MOD(ROW()-81,16)&lt;10,MOD(ROW()-81,16),CHAR(MOD(ROW()-81,16)+55))</f>
        <v>W1200.0</v>
      </c>
      <c r="M81" s="13" t="s">
        <v>17</v>
      </c>
      <c r="N81" s="13"/>
      <c r="O81" s="13"/>
      <c r="P81" s="47"/>
      <c r="Q81" s="45"/>
      <c r="R81" s="45"/>
      <c r="S81" s="48"/>
      <c r="T81" s="49" t="str">
        <f t="shared" ref="T81:T112" si="2">"["&amp;L81&amp;"]"</f>
        <v>[W1200.0]</v>
      </c>
      <c r="U81" s="12" t="str">
        <f t="shared" ref="U81:U112" si="3">RIGHT(J81,LEN(J81)-7)</f>
        <v xml:space="preserve"> PLC 진단 에러 (SM0)</v>
      </c>
      <c r="V81" s="49" t="str">
        <f>T81&amp;U81</f>
        <v>[W1200.0] PLC 진단 에러 (SM0)</v>
      </c>
    </row>
    <row r="82" spans="1:22" s="49" customFormat="1" ht="14.15" customHeight="1">
      <c r="A82" s="43" t="s">
        <v>3778</v>
      </c>
      <c r="B82" s="44" t="s">
        <v>6637</v>
      </c>
      <c r="C82" s="32"/>
      <c r="D82" s="10" t="s">
        <v>29</v>
      </c>
      <c r="E82" s="11"/>
      <c r="F82" s="11" t="s">
        <v>18</v>
      </c>
      <c r="G82" s="13"/>
      <c r="H82" s="45" t="s">
        <v>16</v>
      </c>
      <c r="I82" s="46"/>
      <c r="J82" s="12" t="s">
        <v>159</v>
      </c>
      <c r="K82" s="13" t="s">
        <v>6853</v>
      </c>
      <c r="L82" s="99" t="str">
        <f t="shared" ref="L82:L145" si="4">"W"&amp;DEC2HEX(4608 + INT((ROW()-81)/16)) &amp; "." &amp; IF(MOD(ROW()-81,16)&lt;10,MOD(ROW()-81,16),CHAR(MOD(ROW()-81,16)+55))</f>
        <v>W1200.1</v>
      </c>
      <c r="M82" s="13" t="s">
        <v>17</v>
      </c>
      <c r="N82" s="13"/>
      <c r="O82" s="13"/>
      <c r="P82" s="47"/>
      <c r="Q82" s="45"/>
      <c r="R82" s="45"/>
      <c r="S82" s="48"/>
      <c r="T82" s="49" t="str">
        <f t="shared" si="2"/>
        <v>[W1200.1]</v>
      </c>
      <c r="U82" s="12" t="str">
        <f t="shared" si="3"/>
        <v xml:space="preserve"> PLC 자기 진단 에러 (SM1)</v>
      </c>
      <c r="V82" s="49" t="str">
        <f t="shared" ref="V82:V145" si="5">T82&amp;U82</f>
        <v>[W1200.1] PLC 자기 진단 에러 (SM1)</v>
      </c>
    </row>
    <row r="83" spans="1:22" s="49" customFormat="1" ht="14.15" customHeight="1">
      <c r="A83" s="43" t="s">
        <v>3778</v>
      </c>
      <c r="B83" s="44" t="s">
        <v>6637</v>
      </c>
      <c r="C83" s="32"/>
      <c r="D83" s="10" t="s">
        <v>29</v>
      </c>
      <c r="E83" s="11"/>
      <c r="F83" s="11" t="s">
        <v>18</v>
      </c>
      <c r="G83" s="13"/>
      <c r="H83" s="45" t="s">
        <v>16</v>
      </c>
      <c r="I83" s="46"/>
      <c r="J83" s="12" t="s">
        <v>160</v>
      </c>
      <c r="K83" s="13" t="s">
        <v>8852</v>
      </c>
      <c r="L83" s="99" t="str">
        <f t="shared" si="4"/>
        <v>W1200.2</v>
      </c>
      <c r="M83" s="13" t="s">
        <v>17</v>
      </c>
      <c r="N83" s="13"/>
      <c r="O83" s="13"/>
      <c r="P83" s="47"/>
      <c r="Q83" s="45"/>
      <c r="R83" s="45"/>
      <c r="S83" s="48"/>
      <c r="T83" s="49" t="str">
        <f t="shared" si="2"/>
        <v>[W1200.2]</v>
      </c>
      <c r="U83" s="12" t="str">
        <f t="shared" si="3"/>
        <v xml:space="preserve"> PLC 에러 공통 정보  (SM5)</v>
      </c>
      <c r="V83" s="49" t="str">
        <f t="shared" si="5"/>
        <v>[W1200.2] PLC 에러 공통 정보  (SM5)</v>
      </c>
    </row>
    <row r="84" spans="1:22" s="49" customFormat="1" ht="14.15" customHeight="1">
      <c r="A84" s="43" t="s">
        <v>3778</v>
      </c>
      <c r="B84" s="44" t="s">
        <v>6637</v>
      </c>
      <c r="C84" s="32"/>
      <c r="D84" s="10" t="s">
        <v>29</v>
      </c>
      <c r="E84" s="11"/>
      <c r="F84" s="11" t="s">
        <v>18</v>
      </c>
      <c r="G84" s="13"/>
      <c r="H84" s="45" t="s">
        <v>16</v>
      </c>
      <c r="I84" s="46"/>
      <c r="J84" s="12" t="s">
        <v>161</v>
      </c>
      <c r="K84" s="13" t="s">
        <v>6854</v>
      </c>
      <c r="L84" s="99" t="str">
        <f t="shared" si="4"/>
        <v>W1200.3</v>
      </c>
      <c r="M84" s="13" t="s">
        <v>17</v>
      </c>
      <c r="N84" s="13"/>
      <c r="O84" s="13"/>
      <c r="P84" s="47"/>
      <c r="Q84" s="45"/>
      <c r="R84" s="45"/>
      <c r="S84" s="48"/>
      <c r="T84" s="49" t="str">
        <f t="shared" si="2"/>
        <v>[W1200.3]</v>
      </c>
      <c r="U84" s="12" t="str">
        <f t="shared" si="3"/>
        <v xml:space="preserve"> PLC 베터리 저하 이상 (SM52)</v>
      </c>
      <c r="V84" s="49" t="str">
        <f t="shared" si="5"/>
        <v>[W1200.3] PLC 베터리 저하 이상 (SM52)</v>
      </c>
    </row>
    <row r="85" spans="1:22" s="49" customFormat="1" ht="14.15" customHeight="1">
      <c r="A85" s="43" t="s">
        <v>3778</v>
      </c>
      <c r="B85" s="44" t="s">
        <v>6637</v>
      </c>
      <c r="C85" s="32"/>
      <c r="D85" s="10" t="s">
        <v>29</v>
      </c>
      <c r="E85" s="11"/>
      <c r="F85" s="11" t="s">
        <v>18</v>
      </c>
      <c r="G85" s="13"/>
      <c r="H85" s="45" t="s">
        <v>16</v>
      </c>
      <c r="I85" s="46"/>
      <c r="J85" s="12" t="s">
        <v>162</v>
      </c>
      <c r="K85" s="13" t="s">
        <v>6855</v>
      </c>
      <c r="L85" s="99" t="str">
        <f t="shared" si="4"/>
        <v>W1200.4</v>
      </c>
      <c r="M85" s="13" t="s">
        <v>17</v>
      </c>
      <c r="N85" s="13"/>
      <c r="O85" s="13"/>
      <c r="P85" s="47"/>
      <c r="Q85" s="45"/>
      <c r="R85" s="45"/>
      <c r="S85" s="48"/>
      <c r="T85" s="49" t="str">
        <f t="shared" si="2"/>
        <v>[W1200.4]</v>
      </c>
      <c r="U85" s="12" t="str">
        <f t="shared" si="3"/>
        <v xml:space="preserve"> PLC 전원 이상 (SM53)</v>
      </c>
      <c r="V85" s="49" t="str">
        <f t="shared" si="5"/>
        <v>[W1200.4] PLC 전원 이상 (SM53)</v>
      </c>
    </row>
    <row r="86" spans="1:22" s="49" customFormat="1" ht="14.15" customHeight="1">
      <c r="A86" s="43" t="s">
        <v>3778</v>
      </c>
      <c r="B86" s="44" t="s">
        <v>6637</v>
      </c>
      <c r="C86" s="32"/>
      <c r="D86" s="10" t="s">
        <v>29</v>
      </c>
      <c r="E86" s="11"/>
      <c r="F86" s="11" t="s">
        <v>18</v>
      </c>
      <c r="G86" s="13"/>
      <c r="H86" s="45" t="s">
        <v>16</v>
      </c>
      <c r="I86" s="46"/>
      <c r="J86" s="12" t="s">
        <v>163</v>
      </c>
      <c r="K86" s="13" t="s">
        <v>6856</v>
      </c>
      <c r="L86" s="99" t="str">
        <f t="shared" si="4"/>
        <v>W1200.5</v>
      </c>
      <c r="M86" s="13" t="s">
        <v>17</v>
      </c>
      <c r="N86" s="13"/>
      <c r="O86" s="13"/>
      <c r="P86" s="47"/>
      <c r="Q86" s="45"/>
      <c r="R86" s="45"/>
      <c r="S86" s="48"/>
      <c r="T86" s="49" t="str">
        <f t="shared" si="2"/>
        <v>[W1200.5]</v>
      </c>
      <c r="U86" s="12" t="str">
        <f t="shared" si="3"/>
        <v xml:space="preserve"> PLC CC-Link 모듈 레디 이상</v>
      </c>
      <c r="V86" s="49" t="str">
        <f t="shared" si="5"/>
        <v>[W1200.5] PLC CC-Link 모듈 레디 이상</v>
      </c>
    </row>
    <row r="87" spans="1:22" s="49" customFormat="1" ht="14.15" customHeight="1">
      <c r="A87" s="43" t="s">
        <v>3778</v>
      </c>
      <c r="B87" s="44" t="s">
        <v>6637</v>
      </c>
      <c r="C87" s="32"/>
      <c r="D87" s="10" t="s">
        <v>29</v>
      </c>
      <c r="E87" s="11"/>
      <c r="F87" s="11" t="s">
        <v>18</v>
      </c>
      <c r="G87" s="13"/>
      <c r="H87" s="45" t="s">
        <v>16</v>
      </c>
      <c r="I87" s="46"/>
      <c r="J87" s="12" t="s">
        <v>164</v>
      </c>
      <c r="K87" s="13" t="s">
        <v>6857</v>
      </c>
      <c r="L87" s="99" t="str">
        <f t="shared" si="4"/>
        <v>W1200.6</v>
      </c>
      <c r="M87" s="13" t="s">
        <v>17</v>
      </c>
      <c r="N87" s="13"/>
      <c r="O87" s="13"/>
      <c r="P87" s="47"/>
      <c r="Q87" s="45"/>
      <c r="R87" s="45"/>
      <c r="S87" s="48"/>
      <c r="T87" s="49" t="str">
        <f t="shared" si="2"/>
        <v>[W1200.6]</v>
      </c>
      <c r="U87" s="12" t="str">
        <f t="shared" si="3"/>
        <v xml:space="preserve"> PLC CC-Link 링크 이상</v>
      </c>
      <c r="V87" s="49" t="str">
        <f t="shared" si="5"/>
        <v>[W1200.6] PLC CC-Link 링크 이상</v>
      </c>
    </row>
    <row r="88" spans="1:22" s="49" customFormat="1" ht="14.15" customHeight="1">
      <c r="A88" s="43"/>
      <c r="B88" s="44" t="s">
        <v>6637</v>
      </c>
      <c r="C88" s="32"/>
      <c r="D88" s="10" t="s">
        <v>29</v>
      </c>
      <c r="E88" s="11"/>
      <c r="F88" s="11" t="s">
        <v>18</v>
      </c>
      <c r="G88" s="13"/>
      <c r="H88" s="45" t="s">
        <v>16</v>
      </c>
      <c r="I88" s="46"/>
      <c r="J88" s="12" t="s">
        <v>165</v>
      </c>
      <c r="K88" s="13" t="s">
        <v>6858</v>
      </c>
      <c r="L88" s="99" t="str">
        <f t="shared" si="4"/>
        <v>W1200.7</v>
      </c>
      <c r="M88" s="13"/>
      <c r="N88" s="13"/>
      <c r="O88" s="13"/>
      <c r="P88" s="47"/>
      <c r="Q88" s="45"/>
      <c r="R88" s="45"/>
      <c r="S88" s="48"/>
      <c r="T88" s="49" t="str">
        <f t="shared" si="2"/>
        <v>[W1200.7]</v>
      </c>
      <c r="U88" s="12" t="str">
        <f t="shared" si="3"/>
        <v xml:space="preserve"> </v>
      </c>
      <c r="V88" s="49" t="str">
        <f t="shared" si="5"/>
        <v xml:space="preserve">[W1200.7] </v>
      </c>
    </row>
    <row r="89" spans="1:22" s="49" customFormat="1" ht="14.15" customHeight="1">
      <c r="A89" s="43"/>
      <c r="B89" s="44" t="s">
        <v>6637</v>
      </c>
      <c r="C89" s="32"/>
      <c r="D89" s="10" t="s">
        <v>29</v>
      </c>
      <c r="E89" s="11"/>
      <c r="F89" s="11" t="s">
        <v>18</v>
      </c>
      <c r="G89" s="13"/>
      <c r="H89" s="45" t="s">
        <v>16</v>
      </c>
      <c r="I89" s="46"/>
      <c r="J89" s="12" t="s">
        <v>166</v>
      </c>
      <c r="K89" s="13" t="s">
        <v>6859</v>
      </c>
      <c r="L89" s="99" t="str">
        <f t="shared" si="4"/>
        <v>W1200.8</v>
      </c>
      <c r="M89" s="13"/>
      <c r="N89" s="13"/>
      <c r="O89" s="13"/>
      <c r="P89" s="47"/>
      <c r="Q89" s="45"/>
      <c r="R89" s="45"/>
      <c r="S89" s="48"/>
      <c r="T89" s="49" t="str">
        <f t="shared" si="2"/>
        <v>[W1200.8]</v>
      </c>
      <c r="U89" s="12" t="str">
        <f t="shared" si="3"/>
        <v xml:space="preserve"> </v>
      </c>
      <c r="V89" s="49" t="str">
        <f t="shared" si="5"/>
        <v xml:space="preserve">[W1200.8] </v>
      </c>
    </row>
    <row r="90" spans="1:22" s="49" customFormat="1" ht="14.15" customHeight="1">
      <c r="A90" s="43"/>
      <c r="B90" s="44" t="s">
        <v>6637</v>
      </c>
      <c r="C90" s="32"/>
      <c r="D90" s="10" t="s">
        <v>29</v>
      </c>
      <c r="E90" s="11"/>
      <c r="F90" s="11" t="s">
        <v>18</v>
      </c>
      <c r="G90" s="13"/>
      <c r="H90" s="45" t="s">
        <v>16</v>
      </c>
      <c r="I90" s="46"/>
      <c r="J90" s="12" t="s">
        <v>2221</v>
      </c>
      <c r="K90" s="13" t="s">
        <v>6860</v>
      </c>
      <c r="L90" s="99" t="str">
        <f t="shared" si="4"/>
        <v>W1200.9</v>
      </c>
      <c r="M90" s="13"/>
      <c r="N90" s="13"/>
      <c r="O90" s="13"/>
      <c r="P90" s="47"/>
      <c r="Q90" s="45"/>
      <c r="R90" s="45"/>
      <c r="S90" s="48"/>
      <c r="T90" s="49" t="str">
        <f t="shared" si="2"/>
        <v>[W1200.9]</v>
      </c>
      <c r="U90" s="12" t="str">
        <f t="shared" si="3"/>
        <v xml:space="preserve"> </v>
      </c>
      <c r="V90" s="49" t="str">
        <f t="shared" si="5"/>
        <v xml:space="preserve">[W1200.9] </v>
      </c>
    </row>
    <row r="91" spans="1:22" s="49" customFormat="1" ht="14.15" customHeight="1">
      <c r="A91" s="43" t="s">
        <v>3778</v>
      </c>
      <c r="B91" s="44" t="s">
        <v>6637</v>
      </c>
      <c r="C91" s="32"/>
      <c r="D91" s="10" t="s">
        <v>29</v>
      </c>
      <c r="E91" s="11"/>
      <c r="F91" s="11" t="s">
        <v>18</v>
      </c>
      <c r="G91" s="13"/>
      <c r="H91" s="45" t="s">
        <v>16</v>
      </c>
      <c r="I91" s="46"/>
      <c r="J91" s="12" t="s">
        <v>2222</v>
      </c>
      <c r="K91" s="13" t="s">
        <v>6861</v>
      </c>
      <c r="L91" s="99" t="str">
        <f t="shared" si="4"/>
        <v>W1200.A</v>
      </c>
      <c r="M91" s="13" t="s">
        <v>3666</v>
      </c>
      <c r="N91" s="13"/>
      <c r="O91" s="13"/>
      <c r="P91" s="47"/>
      <c r="Q91" s="45"/>
      <c r="R91" s="45"/>
      <c r="S91" s="48"/>
      <c r="T91" s="49" t="str">
        <f t="shared" si="2"/>
        <v>[W1200.A]</v>
      </c>
      <c r="U91" s="12" t="str">
        <f t="shared" si="3"/>
        <v xml:space="preserve"> OP#1 비상 정지 이상 (X306)</v>
      </c>
      <c r="V91" s="49" t="str">
        <f t="shared" si="5"/>
        <v>[W1200.A] OP#1 비상 정지 이상 (X306)</v>
      </c>
    </row>
    <row r="92" spans="1:22" s="49" customFormat="1" ht="14.15" customHeight="1">
      <c r="A92" s="43" t="s">
        <v>3778</v>
      </c>
      <c r="B92" s="44" t="s">
        <v>6637</v>
      </c>
      <c r="C92" s="32"/>
      <c r="D92" s="10" t="s">
        <v>29</v>
      </c>
      <c r="E92" s="11"/>
      <c r="F92" s="11" t="s">
        <v>18</v>
      </c>
      <c r="G92" s="13"/>
      <c r="H92" s="45" t="s">
        <v>16</v>
      </c>
      <c r="I92" s="46"/>
      <c r="J92" s="12" t="s">
        <v>2223</v>
      </c>
      <c r="K92" s="13" t="s">
        <v>6862</v>
      </c>
      <c r="L92" s="99" t="str">
        <f t="shared" si="4"/>
        <v>W1200.B</v>
      </c>
      <c r="M92" s="13" t="s">
        <v>3666</v>
      </c>
      <c r="N92" s="13"/>
      <c r="O92" s="13"/>
      <c r="P92" s="47"/>
      <c r="Q92" s="45"/>
      <c r="R92" s="45"/>
      <c r="S92" s="48"/>
      <c r="T92" s="49" t="str">
        <f t="shared" si="2"/>
        <v>[W1200.B]</v>
      </c>
      <c r="U92" s="12" t="str">
        <f t="shared" si="3"/>
        <v xml:space="preserve"> OP#2 비상 정지 이상 (X586)</v>
      </c>
      <c r="V92" s="49" t="str">
        <f t="shared" si="5"/>
        <v>[W1200.B] OP#2 비상 정지 이상 (X586)</v>
      </c>
    </row>
    <row r="93" spans="1:22" s="49" customFormat="1" ht="14.15" customHeight="1">
      <c r="A93" s="43" t="s">
        <v>3778</v>
      </c>
      <c r="B93" s="44" t="s">
        <v>6637</v>
      </c>
      <c r="C93" s="32"/>
      <c r="D93" s="10" t="s">
        <v>29</v>
      </c>
      <c r="E93" s="11"/>
      <c r="F93" s="11" t="s">
        <v>18</v>
      </c>
      <c r="G93" s="13"/>
      <c r="H93" s="45" t="s">
        <v>16</v>
      </c>
      <c r="I93" s="46"/>
      <c r="J93" s="12" t="s">
        <v>2224</v>
      </c>
      <c r="K93" s="13" t="s">
        <v>6863</v>
      </c>
      <c r="L93" s="99" t="str">
        <f t="shared" si="4"/>
        <v>W1200.C</v>
      </c>
      <c r="M93" s="13" t="s">
        <v>3666</v>
      </c>
      <c r="N93" s="13"/>
      <c r="O93" s="13"/>
      <c r="P93" s="47"/>
      <c r="Q93" s="45"/>
      <c r="R93" s="45"/>
      <c r="S93" s="48"/>
      <c r="T93" s="49" t="str">
        <f t="shared" si="2"/>
        <v>[W1200.C]</v>
      </c>
      <c r="U93" s="12" t="str">
        <f t="shared" si="3"/>
        <v xml:space="preserve"> OP#3 비상 정지 이상 (X706)</v>
      </c>
      <c r="V93" s="49" t="str">
        <f t="shared" si="5"/>
        <v>[W1200.C] OP#3 비상 정지 이상 (X706)</v>
      </c>
    </row>
    <row r="94" spans="1:22" s="49" customFormat="1" ht="14.15" customHeight="1">
      <c r="A94" s="43" t="s">
        <v>3778</v>
      </c>
      <c r="B94" s="44" t="s">
        <v>6637</v>
      </c>
      <c r="C94" s="32"/>
      <c r="D94" s="10" t="s">
        <v>29</v>
      </c>
      <c r="E94" s="11"/>
      <c r="F94" s="11" t="s">
        <v>18</v>
      </c>
      <c r="G94" s="13"/>
      <c r="H94" s="45" t="s">
        <v>16</v>
      </c>
      <c r="I94" s="46"/>
      <c r="J94" s="12" t="s">
        <v>2225</v>
      </c>
      <c r="K94" s="13" t="s">
        <v>6864</v>
      </c>
      <c r="L94" s="99" t="str">
        <f t="shared" si="4"/>
        <v>W1200.D</v>
      </c>
      <c r="M94" s="13" t="s">
        <v>3666</v>
      </c>
      <c r="N94" s="13"/>
      <c r="O94" s="13"/>
      <c r="P94" s="47"/>
      <c r="Q94" s="45"/>
      <c r="R94" s="45"/>
      <c r="S94" s="48"/>
      <c r="T94" s="49" t="str">
        <f t="shared" si="2"/>
        <v>[W1200.D]</v>
      </c>
      <c r="U94" s="12" t="str">
        <f t="shared" si="3"/>
        <v xml:space="preserve"> OP#4 비상 정지 이상 (X786)</v>
      </c>
      <c r="V94" s="49" t="str">
        <f t="shared" si="5"/>
        <v>[W1200.D] OP#4 비상 정지 이상 (X786)</v>
      </c>
    </row>
    <row r="95" spans="1:22" s="49" customFormat="1" ht="14.15" customHeight="1">
      <c r="A95" s="43"/>
      <c r="B95" s="44" t="s">
        <v>6637</v>
      </c>
      <c r="C95" s="32"/>
      <c r="D95" s="10" t="s">
        <v>29</v>
      </c>
      <c r="E95" s="11"/>
      <c r="F95" s="11" t="s">
        <v>18</v>
      </c>
      <c r="G95" s="13"/>
      <c r="H95" s="45" t="s">
        <v>16</v>
      </c>
      <c r="I95" s="46"/>
      <c r="J95" s="12" t="s">
        <v>172</v>
      </c>
      <c r="K95" s="13" t="s">
        <v>6865</v>
      </c>
      <c r="L95" s="99" t="str">
        <f t="shared" si="4"/>
        <v>W1200.E</v>
      </c>
      <c r="M95" s="13"/>
      <c r="N95" s="13"/>
      <c r="O95" s="13"/>
      <c r="P95" s="47"/>
      <c r="Q95" s="45"/>
      <c r="R95" s="45"/>
      <c r="S95" s="48"/>
      <c r="T95" s="49" t="str">
        <f t="shared" si="2"/>
        <v>[W1200.E]</v>
      </c>
      <c r="U95" s="12" t="str">
        <f t="shared" si="3"/>
        <v xml:space="preserve"> </v>
      </c>
      <c r="V95" s="49" t="str">
        <f t="shared" si="5"/>
        <v xml:space="preserve">[W1200.E] </v>
      </c>
    </row>
    <row r="96" spans="1:22" s="49" customFormat="1" ht="14.15" customHeight="1">
      <c r="A96" s="43"/>
      <c r="B96" s="44" t="s">
        <v>6637</v>
      </c>
      <c r="C96" s="32"/>
      <c r="D96" s="10" t="s">
        <v>29</v>
      </c>
      <c r="E96" s="11"/>
      <c r="F96" s="11" t="s">
        <v>18</v>
      </c>
      <c r="G96" s="13"/>
      <c r="H96" s="45" t="s">
        <v>16</v>
      </c>
      <c r="I96" s="46"/>
      <c r="J96" s="12" t="s">
        <v>173</v>
      </c>
      <c r="K96" s="13" t="s">
        <v>6866</v>
      </c>
      <c r="L96" s="99" t="str">
        <f t="shared" si="4"/>
        <v>W1200.F</v>
      </c>
      <c r="M96" s="13"/>
      <c r="N96" s="13"/>
      <c r="O96" s="13"/>
      <c r="P96" s="47"/>
      <c r="Q96" s="45"/>
      <c r="R96" s="45"/>
      <c r="S96" s="48"/>
      <c r="T96" s="49" t="str">
        <f t="shared" si="2"/>
        <v>[W1200.F]</v>
      </c>
      <c r="U96" s="12" t="str">
        <f t="shared" si="3"/>
        <v xml:space="preserve"> </v>
      </c>
      <c r="V96" s="49" t="str">
        <f t="shared" si="5"/>
        <v xml:space="preserve">[W1200.F] </v>
      </c>
    </row>
    <row r="97" spans="1:22" s="49" customFormat="1" ht="14.15" customHeight="1">
      <c r="A97" s="43"/>
      <c r="B97" s="44" t="s">
        <v>6637</v>
      </c>
      <c r="C97" s="32"/>
      <c r="D97" s="10" t="s">
        <v>29</v>
      </c>
      <c r="E97" s="11"/>
      <c r="F97" s="11" t="s">
        <v>18</v>
      </c>
      <c r="G97" s="13"/>
      <c r="H97" s="45" t="s">
        <v>16</v>
      </c>
      <c r="I97" s="46"/>
      <c r="J97" s="12" t="s">
        <v>174</v>
      </c>
      <c r="K97" s="13" t="s">
        <v>6867</v>
      </c>
      <c r="L97" s="99" t="str">
        <f t="shared" si="4"/>
        <v>W1201.0</v>
      </c>
      <c r="M97" s="13"/>
      <c r="N97" s="13"/>
      <c r="O97" s="13"/>
      <c r="P97" s="47"/>
      <c r="Q97" s="45"/>
      <c r="R97" s="45"/>
      <c r="S97" s="48"/>
      <c r="T97" s="49" t="str">
        <f t="shared" si="2"/>
        <v>[W1201.0]</v>
      </c>
      <c r="U97" s="12" t="str">
        <f t="shared" si="3"/>
        <v xml:space="preserve"> </v>
      </c>
      <c r="V97" s="49" t="str">
        <f t="shared" si="5"/>
        <v xml:space="preserve">[W1201.0] </v>
      </c>
    </row>
    <row r="98" spans="1:22" s="49" customFormat="1" ht="14.15" customHeight="1">
      <c r="A98" s="43"/>
      <c r="B98" s="44" t="s">
        <v>6637</v>
      </c>
      <c r="C98" s="32"/>
      <c r="D98" s="10" t="s">
        <v>29</v>
      </c>
      <c r="E98" s="11"/>
      <c r="F98" s="11" t="s">
        <v>18</v>
      </c>
      <c r="G98" s="13"/>
      <c r="H98" s="45" t="s">
        <v>16</v>
      </c>
      <c r="I98" s="46"/>
      <c r="J98" s="12" t="s">
        <v>175</v>
      </c>
      <c r="K98" s="13" t="s">
        <v>6868</v>
      </c>
      <c r="L98" s="99" t="str">
        <f t="shared" si="4"/>
        <v>W1201.1</v>
      </c>
      <c r="M98" s="13"/>
      <c r="N98" s="13"/>
      <c r="O98" s="13"/>
      <c r="P98" s="47"/>
      <c r="Q98" s="45"/>
      <c r="R98" s="45"/>
      <c r="S98" s="48"/>
      <c r="T98" s="49" t="str">
        <f t="shared" si="2"/>
        <v>[W1201.1]</v>
      </c>
      <c r="U98" s="12" t="str">
        <f t="shared" si="3"/>
        <v xml:space="preserve"> </v>
      </c>
      <c r="V98" s="49" t="str">
        <f t="shared" si="5"/>
        <v xml:space="preserve">[W1201.1] </v>
      </c>
    </row>
    <row r="99" spans="1:22" s="49" customFormat="1" ht="14.15" customHeight="1">
      <c r="A99" s="43"/>
      <c r="B99" s="44" t="s">
        <v>6637</v>
      </c>
      <c r="C99" s="32"/>
      <c r="D99" s="10" t="s">
        <v>29</v>
      </c>
      <c r="E99" s="11"/>
      <c r="F99" s="11" t="s">
        <v>18</v>
      </c>
      <c r="G99" s="13"/>
      <c r="H99" s="45" t="s">
        <v>16</v>
      </c>
      <c r="I99" s="46"/>
      <c r="J99" s="12" t="s">
        <v>176</v>
      </c>
      <c r="K99" s="13" t="s">
        <v>6869</v>
      </c>
      <c r="L99" s="99" t="str">
        <f t="shared" si="4"/>
        <v>W1201.2</v>
      </c>
      <c r="M99" s="13"/>
      <c r="N99" s="13"/>
      <c r="O99" s="13"/>
      <c r="P99" s="47"/>
      <c r="Q99" s="45"/>
      <c r="R99" s="45"/>
      <c r="S99" s="48"/>
      <c r="T99" s="49" t="str">
        <f t="shared" si="2"/>
        <v>[W1201.2]</v>
      </c>
      <c r="U99" s="12" t="str">
        <f t="shared" si="3"/>
        <v xml:space="preserve"> </v>
      </c>
      <c r="V99" s="49" t="str">
        <f t="shared" si="5"/>
        <v xml:space="preserve">[W1201.2] </v>
      </c>
    </row>
    <row r="100" spans="1:22" s="49" customFormat="1" ht="14.15" customHeight="1">
      <c r="A100" s="43" t="s">
        <v>3778</v>
      </c>
      <c r="B100" s="44" t="s">
        <v>6637</v>
      </c>
      <c r="C100" s="32"/>
      <c r="D100" s="10" t="s">
        <v>29</v>
      </c>
      <c r="E100" s="11"/>
      <c r="F100" s="11" t="s">
        <v>18</v>
      </c>
      <c r="G100" s="13"/>
      <c r="H100" s="45" t="s">
        <v>16</v>
      </c>
      <c r="I100" s="46"/>
      <c r="J100" s="12" t="s">
        <v>2226</v>
      </c>
      <c r="K100" s="13" t="s">
        <v>6870</v>
      </c>
      <c r="L100" s="99" t="str">
        <f t="shared" si="4"/>
        <v>W1201.3</v>
      </c>
      <c r="M100" s="13" t="s">
        <v>3666</v>
      </c>
      <c r="N100" s="13"/>
      <c r="O100" s="13"/>
      <c r="P100" s="47"/>
      <c r="Q100" s="45"/>
      <c r="R100" s="45"/>
      <c r="S100" s="48"/>
      <c r="T100" s="49" t="str">
        <f t="shared" si="2"/>
        <v>[W1201.3]</v>
      </c>
      <c r="U100" s="12" t="str">
        <f t="shared" si="3"/>
        <v xml:space="preserve"> Door-21 열림 이상 (X320, X321)</v>
      </c>
      <c r="V100" s="49" t="str">
        <f t="shared" si="5"/>
        <v>[W1201.3] Door-21 열림 이상 (X320, X321)</v>
      </c>
    </row>
    <row r="101" spans="1:22" s="49" customFormat="1" ht="14.15" customHeight="1">
      <c r="A101" s="43" t="s">
        <v>3778</v>
      </c>
      <c r="B101" s="44" t="s">
        <v>6637</v>
      </c>
      <c r="C101" s="32"/>
      <c r="D101" s="10" t="s">
        <v>29</v>
      </c>
      <c r="E101" s="11"/>
      <c r="F101" s="11" t="s">
        <v>18</v>
      </c>
      <c r="G101" s="13"/>
      <c r="H101" s="45" t="s">
        <v>16</v>
      </c>
      <c r="I101" s="46"/>
      <c r="J101" s="12" t="s">
        <v>2227</v>
      </c>
      <c r="K101" s="13" t="s">
        <v>6871</v>
      </c>
      <c r="L101" s="99" t="str">
        <f t="shared" si="4"/>
        <v>W1201.4</v>
      </c>
      <c r="M101" s="13" t="s">
        <v>3666</v>
      </c>
      <c r="N101" s="13"/>
      <c r="O101" s="13"/>
      <c r="P101" s="47"/>
      <c r="Q101" s="45"/>
      <c r="R101" s="45"/>
      <c r="S101" s="48"/>
      <c r="T101" s="49" t="str">
        <f t="shared" si="2"/>
        <v>[W1201.4]</v>
      </c>
      <c r="U101" s="12" t="str">
        <f t="shared" si="3"/>
        <v xml:space="preserve"> Door-22 열림 이상 (X322, X323)</v>
      </c>
      <c r="V101" s="49" t="str">
        <f t="shared" si="5"/>
        <v>[W1201.4] Door-22 열림 이상 (X322, X323)</v>
      </c>
    </row>
    <row r="102" spans="1:22" s="49" customFormat="1" ht="14.15" customHeight="1">
      <c r="A102" s="43" t="s">
        <v>3778</v>
      </c>
      <c r="B102" s="44" t="s">
        <v>6637</v>
      </c>
      <c r="C102" s="32"/>
      <c r="D102" s="10" t="s">
        <v>29</v>
      </c>
      <c r="E102" s="11"/>
      <c r="F102" s="11" t="s">
        <v>18</v>
      </c>
      <c r="G102" s="13"/>
      <c r="H102" s="45" t="s">
        <v>16</v>
      </c>
      <c r="I102" s="46"/>
      <c r="J102" s="12" t="s">
        <v>2228</v>
      </c>
      <c r="K102" s="13" t="s">
        <v>6872</v>
      </c>
      <c r="L102" s="99" t="str">
        <f t="shared" si="4"/>
        <v>W1201.5</v>
      </c>
      <c r="M102" s="13" t="s">
        <v>3666</v>
      </c>
      <c r="N102" s="13"/>
      <c r="O102" s="13"/>
      <c r="P102" s="47"/>
      <c r="Q102" s="45"/>
      <c r="R102" s="45"/>
      <c r="S102" s="48"/>
      <c r="T102" s="49" t="str">
        <f t="shared" si="2"/>
        <v>[W1201.5]</v>
      </c>
      <c r="U102" s="12" t="str">
        <f t="shared" si="3"/>
        <v xml:space="preserve"> Door-23 열림 이상 (X324, X325)</v>
      </c>
      <c r="V102" s="49" t="str">
        <f t="shared" si="5"/>
        <v>[W1201.5] Door-23 열림 이상 (X324, X325)</v>
      </c>
    </row>
    <row r="103" spans="1:22" s="49" customFormat="1" ht="14.15" customHeight="1">
      <c r="A103" s="43" t="s">
        <v>3778</v>
      </c>
      <c r="B103" s="44" t="s">
        <v>6637</v>
      </c>
      <c r="C103" s="32"/>
      <c r="D103" s="10" t="s">
        <v>29</v>
      </c>
      <c r="E103" s="11"/>
      <c r="F103" s="11" t="s">
        <v>18</v>
      </c>
      <c r="G103" s="13"/>
      <c r="H103" s="45" t="s">
        <v>16</v>
      </c>
      <c r="I103" s="46"/>
      <c r="J103" s="12" t="s">
        <v>2762</v>
      </c>
      <c r="K103" s="13" t="s">
        <v>6873</v>
      </c>
      <c r="L103" s="99" t="str">
        <f t="shared" si="4"/>
        <v>W1201.6</v>
      </c>
      <c r="M103" s="13" t="s">
        <v>3666</v>
      </c>
      <c r="N103" s="13"/>
      <c r="O103" s="13"/>
      <c r="P103" s="47"/>
      <c r="Q103" s="45"/>
      <c r="R103" s="45"/>
      <c r="S103" s="48"/>
      <c r="T103" s="49" t="str">
        <f t="shared" si="2"/>
        <v>[W1201.6]</v>
      </c>
      <c r="U103" s="12" t="str">
        <f t="shared" si="3"/>
        <v xml:space="preserve"> Door-24 열림 이상 (X326, X327)</v>
      </c>
      <c r="V103" s="49" t="str">
        <f t="shared" si="5"/>
        <v>[W1201.6] Door-24 열림 이상 (X326, X327)</v>
      </c>
    </row>
    <row r="104" spans="1:22" s="49" customFormat="1" ht="14.15" customHeight="1">
      <c r="A104" s="43" t="s">
        <v>3778</v>
      </c>
      <c r="B104" s="44" t="s">
        <v>6637</v>
      </c>
      <c r="C104" s="32"/>
      <c r="D104" s="10" t="s">
        <v>29</v>
      </c>
      <c r="E104" s="11"/>
      <c r="F104" s="11" t="s">
        <v>18</v>
      </c>
      <c r="G104" s="13"/>
      <c r="H104" s="45" t="s">
        <v>16</v>
      </c>
      <c r="I104" s="46"/>
      <c r="J104" s="12" t="s">
        <v>2763</v>
      </c>
      <c r="K104" s="13" t="s">
        <v>6874</v>
      </c>
      <c r="L104" s="99" t="str">
        <f t="shared" si="4"/>
        <v>W1201.7</v>
      </c>
      <c r="M104" s="13" t="s">
        <v>3666</v>
      </c>
      <c r="N104" s="13"/>
      <c r="O104" s="13"/>
      <c r="P104" s="47"/>
      <c r="Q104" s="45"/>
      <c r="R104" s="45"/>
      <c r="S104" s="48"/>
      <c r="T104" s="49" t="str">
        <f t="shared" si="2"/>
        <v>[W1201.7]</v>
      </c>
      <c r="U104" s="12" t="str">
        <f t="shared" si="3"/>
        <v xml:space="preserve"> Door-25 열림 이상 (X328, X329)</v>
      </c>
      <c r="V104" s="49" t="str">
        <f t="shared" si="5"/>
        <v>[W1201.7] Door-25 열림 이상 (X328, X329)</v>
      </c>
    </row>
    <row r="105" spans="1:22" s="49" customFormat="1" ht="14.15" customHeight="1">
      <c r="A105" s="43" t="s">
        <v>3778</v>
      </c>
      <c r="B105" s="44" t="s">
        <v>6637</v>
      </c>
      <c r="C105" s="32"/>
      <c r="D105" s="10" t="s">
        <v>29</v>
      </c>
      <c r="E105" s="11"/>
      <c r="F105" s="11" t="s">
        <v>18</v>
      </c>
      <c r="G105" s="13"/>
      <c r="H105" s="45" t="s">
        <v>16</v>
      </c>
      <c r="I105" s="46"/>
      <c r="J105" s="12" t="s">
        <v>2764</v>
      </c>
      <c r="K105" s="13" t="s">
        <v>6875</v>
      </c>
      <c r="L105" s="99" t="str">
        <f t="shared" si="4"/>
        <v>W1201.8</v>
      </c>
      <c r="M105" s="13" t="s">
        <v>3666</v>
      </c>
      <c r="N105" s="13"/>
      <c r="O105" s="13"/>
      <c r="P105" s="47"/>
      <c r="Q105" s="45"/>
      <c r="R105" s="45"/>
      <c r="S105" s="48"/>
      <c r="T105" s="49" t="str">
        <f t="shared" si="2"/>
        <v>[W1201.8]</v>
      </c>
      <c r="U105" s="12" t="str">
        <f t="shared" si="3"/>
        <v xml:space="preserve"> Door-26 열림 이상 (X32A, X32B)</v>
      </c>
      <c r="V105" s="49" t="str">
        <f t="shared" si="5"/>
        <v>[W1201.8] Door-26 열림 이상 (X32A, X32B)</v>
      </c>
    </row>
    <row r="106" spans="1:22" s="49" customFormat="1" ht="14.15" customHeight="1">
      <c r="A106" s="43" t="s">
        <v>3778</v>
      </c>
      <c r="B106" s="44" t="s">
        <v>6637</v>
      </c>
      <c r="C106" s="32"/>
      <c r="D106" s="10" t="s">
        <v>29</v>
      </c>
      <c r="E106" s="11"/>
      <c r="F106" s="11" t="s">
        <v>18</v>
      </c>
      <c r="G106" s="13"/>
      <c r="H106" s="45" t="s">
        <v>16</v>
      </c>
      <c r="I106" s="46"/>
      <c r="J106" s="12" t="s">
        <v>2765</v>
      </c>
      <c r="K106" s="13" t="s">
        <v>6876</v>
      </c>
      <c r="L106" s="99" t="str">
        <f t="shared" si="4"/>
        <v>W1201.9</v>
      </c>
      <c r="M106" s="13" t="s">
        <v>3666</v>
      </c>
      <c r="N106" s="13"/>
      <c r="O106" s="13"/>
      <c r="P106" s="47"/>
      <c r="Q106" s="45"/>
      <c r="R106" s="45"/>
      <c r="S106" s="48"/>
      <c r="T106" s="49" t="str">
        <f t="shared" si="2"/>
        <v>[W1201.9]</v>
      </c>
      <c r="U106" s="12" t="str">
        <f t="shared" si="3"/>
        <v xml:space="preserve"> Door-27 열림 이상 (X32E, X32F)</v>
      </c>
      <c r="V106" s="49" t="str">
        <f t="shared" si="5"/>
        <v>[W1201.9] Door-27 열림 이상 (X32E, X32F)</v>
      </c>
    </row>
    <row r="107" spans="1:22" s="49" customFormat="1" ht="14.15" customHeight="1">
      <c r="A107" s="43" t="s">
        <v>3778</v>
      </c>
      <c r="B107" s="44" t="s">
        <v>6637</v>
      </c>
      <c r="C107" s="32"/>
      <c r="D107" s="10" t="s">
        <v>29</v>
      </c>
      <c r="E107" s="11"/>
      <c r="F107" s="11" t="s">
        <v>18</v>
      </c>
      <c r="G107" s="13"/>
      <c r="H107" s="45" t="s">
        <v>16</v>
      </c>
      <c r="I107" s="46"/>
      <c r="J107" s="12" t="s">
        <v>2766</v>
      </c>
      <c r="K107" s="13" t="s">
        <v>6877</v>
      </c>
      <c r="L107" s="99" t="str">
        <f t="shared" si="4"/>
        <v>W1201.A</v>
      </c>
      <c r="M107" s="13" t="s">
        <v>3666</v>
      </c>
      <c r="N107" s="13"/>
      <c r="O107" s="13"/>
      <c r="P107" s="47"/>
      <c r="Q107" s="45"/>
      <c r="R107" s="45"/>
      <c r="S107" s="48"/>
      <c r="T107" s="49" t="str">
        <f t="shared" si="2"/>
        <v>[W1201.A]</v>
      </c>
      <c r="U107" s="12" t="str">
        <f t="shared" si="3"/>
        <v xml:space="preserve"> Door-28 열림 이상</v>
      </c>
      <c r="V107" s="49" t="str">
        <f t="shared" si="5"/>
        <v>[W1201.A] Door-28 열림 이상</v>
      </c>
    </row>
    <row r="108" spans="1:22" s="49" customFormat="1" ht="14.15" customHeight="1">
      <c r="A108" s="43"/>
      <c r="B108" s="44" t="s">
        <v>6637</v>
      </c>
      <c r="C108" s="32"/>
      <c r="D108" s="10" t="s">
        <v>29</v>
      </c>
      <c r="E108" s="11"/>
      <c r="F108" s="11" t="s">
        <v>18</v>
      </c>
      <c r="G108" s="13"/>
      <c r="H108" s="45" t="s">
        <v>16</v>
      </c>
      <c r="I108" s="46"/>
      <c r="J108" s="12" t="s">
        <v>183</v>
      </c>
      <c r="K108" s="13" t="s">
        <v>6878</v>
      </c>
      <c r="L108" s="99" t="str">
        <f t="shared" si="4"/>
        <v>W1201.B</v>
      </c>
      <c r="M108" s="13"/>
      <c r="N108" s="13"/>
      <c r="O108" s="13"/>
      <c r="P108" s="47"/>
      <c r="Q108" s="45"/>
      <c r="R108" s="45"/>
      <c r="S108" s="48"/>
      <c r="T108" s="49" t="str">
        <f t="shared" si="2"/>
        <v>[W1201.B]</v>
      </c>
      <c r="U108" s="12" t="str">
        <f t="shared" si="3"/>
        <v xml:space="preserve"> </v>
      </c>
      <c r="V108" s="49" t="str">
        <f t="shared" si="5"/>
        <v xml:space="preserve">[W1201.B] </v>
      </c>
    </row>
    <row r="109" spans="1:22" s="49" customFormat="1" ht="14.15" customHeight="1">
      <c r="A109" s="43"/>
      <c r="B109" s="44" t="s">
        <v>6637</v>
      </c>
      <c r="C109" s="32"/>
      <c r="D109" s="10" t="s">
        <v>29</v>
      </c>
      <c r="E109" s="11"/>
      <c r="F109" s="11" t="s">
        <v>18</v>
      </c>
      <c r="G109" s="13"/>
      <c r="H109" s="45" t="s">
        <v>16</v>
      </c>
      <c r="I109" s="46"/>
      <c r="J109" s="12" t="s">
        <v>184</v>
      </c>
      <c r="K109" s="13" t="s">
        <v>6879</v>
      </c>
      <c r="L109" s="99" t="str">
        <f t="shared" si="4"/>
        <v>W1201.C</v>
      </c>
      <c r="M109" s="13"/>
      <c r="N109" s="13"/>
      <c r="O109" s="13"/>
      <c r="P109" s="47"/>
      <c r="Q109" s="45"/>
      <c r="R109" s="45"/>
      <c r="S109" s="48"/>
      <c r="T109" s="49" t="str">
        <f t="shared" si="2"/>
        <v>[W1201.C]</v>
      </c>
      <c r="U109" s="12" t="str">
        <f t="shared" si="3"/>
        <v xml:space="preserve"> </v>
      </c>
      <c r="V109" s="49" t="str">
        <f t="shared" si="5"/>
        <v xml:space="preserve">[W1201.C] </v>
      </c>
    </row>
    <row r="110" spans="1:22" s="49" customFormat="1" ht="14.15" customHeight="1">
      <c r="A110" s="43"/>
      <c r="B110" s="44" t="s">
        <v>6637</v>
      </c>
      <c r="C110" s="32"/>
      <c r="D110" s="10" t="s">
        <v>29</v>
      </c>
      <c r="E110" s="11"/>
      <c r="F110" s="11" t="s">
        <v>18</v>
      </c>
      <c r="G110" s="13"/>
      <c r="H110" s="45" t="s">
        <v>16</v>
      </c>
      <c r="I110" s="46"/>
      <c r="J110" s="12" t="s">
        <v>2229</v>
      </c>
      <c r="K110" s="13" t="s">
        <v>6880</v>
      </c>
      <c r="L110" s="99" t="str">
        <f t="shared" si="4"/>
        <v>W1201.D</v>
      </c>
      <c r="M110" s="13" t="s">
        <v>3667</v>
      </c>
      <c r="N110" s="13"/>
      <c r="O110" s="13"/>
      <c r="P110" s="47"/>
      <c r="Q110" s="45"/>
      <c r="R110" s="45"/>
      <c r="S110" s="48"/>
      <c r="T110" s="49" t="str">
        <f t="shared" si="2"/>
        <v>[W1201.D]</v>
      </c>
      <c r="U110" s="12" t="str">
        <f t="shared" si="3"/>
        <v xml:space="preserve"> 어퍼 커버 로딩  Light Curtain 감지 이상 (XA68)</v>
      </c>
      <c r="V110" s="49" t="str">
        <f t="shared" si="5"/>
        <v>[W1201.D] 어퍼 커버 로딩  Light Curtain 감지 이상 (XA68)</v>
      </c>
    </row>
    <row r="111" spans="1:22" s="49" customFormat="1" ht="14.15" customHeight="1">
      <c r="A111" s="43"/>
      <c r="B111" s="44" t="s">
        <v>6637</v>
      </c>
      <c r="C111" s="32"/>
      <c r="D111" s="10" t="s">
        <v>29</v>
      </c>
      <c r="E111" s="11"/>
      <c r="F111" s="11" t="s">
        <v>18</v>
      </c>
      <c r="G111" s="13"/>
      <c r="H111" s="45" t="s">
        <v>16</v>
      </c>
      <c r="I111" s="46"/>
      <c r="J111" s="12" t="s">
        <v>2230</v>
      </c>
      <c r="K111" s="13" t="s">
        <v>6881</v>
      </c>
      <c r="L111" s="99" t="str">
        <f t="shared" si="4"/>
        <v>W1201.E</v>
      </c>
      <c r="M111" s="13" t="s">
        <v>3667</v>
      </c>
      <c r="N111" s="13"/>
      <c r="O111" s="13"/>
      <c r="P111" s="47"/>
      <c r="Q111" s="45"/>
      <c r="R111" s="45"/>
      <c r="S111" s="48"/>
      <c r="T111" s="49" t="str">
        <f t="shared" si="2"/>
        <v>[W1201.E]</v>
      </c>
      <c r="U111" s="12" t="str">
        <f t="shared" si="3"/>
        <v xml:space="preserve"> 로우 커버 로딩  Light Curtain 감지 이상 (XA69)</v>
      </c>
      <c r="V111" s="49" t="str">
        <f t="shared" si="5"/>
        <v>[W1201.E] 로우 커버 로딩  Light Curtain 감지 이상 (XA69)</v>
      </c>
    </row>
    <row r="112" spans="1:22" s="49" customFormat="1" ht="14.15" customHeight="1">
      <c r="A112" s="43"/>
      <c r="B112" s="44" t="s">
        <v>6637</v>
      </c>
      <c r="C112" s="32"/>
      <c r="D112" s="10" t="s">
        <v>29</v>
      </c>
      <c r="E112" s="11"/>
      <c r="F112" s="11" t="s">
        <v>18</v>
      </c>
      <c r="G112" s="13"/>
      <c r="H112" s="45" t="s">
        <v>16</v>
      </c>
      <c r="I112" s="46"/>
      <c r="J112" s="12" t="s">
        <v>2767</v>
      </c>
      <c r="K112" s="13" t="s">
        <v>6882</v>
      </c>
      <c r="L112" s="99" t="str">
        <f t="shared" si="4"/>
        <v>W1201.F</v>
      </c>
      <c r="M112" s="13" t="s">
        <v>3667</v>
      </c>
      <c r="N112" s="13"/>
      <c r="O112" s="13"/>
      <c r="P112" s="47"/>
      <c r="Q112" s="45"/>
      <c r="R112" s="45"/>
      <c r="S112" s="48"/>
      <c r="T112" s="49" t="str">
        <f t="shared" si="2"/>
        <v>[W1201.F]</v>
      </c>
      <c r="U112" s="12" t="str">
        <f t="shared" si="3"/>
        <v xml:space="preserve"> 댐핑시트 공급 Light Curtain 감지 이상 (XA6A)</v>
      </c>
      <c r="V112" s="49" t="str">
        <f t="shared" si="5"/>
        <v>[W1201.F] 댐핑시트 공급 Light Curtain 감지 이상 (XA6A)</v>
      </c>
    </row>
    <row r="113" spans="1:22" s="49" customFormat="1" ht="14.15" customHeight="1">
      <c r="A113" s="43"/>
      <c r="B113" s="44" t="s">
        <v>6637</v>
      </c>
      <c r="C113" s="32"/>
      <c r="D113" s="10" t="s">
        <v>29</v>
      </c>
      <c r="E113" s="11"/>
      <c r="F113" s="11" t="s">
        <v>18</v>
      </c>
      <c r="G113" s="13"/>
      <c r="H113" s="45" t="s">
        <v>16</v>
      </c>
      <c r="I113" s="46"/>
      <c r="J113" s="12" t="s">
        <v>2768</v>
      </c>
      <c r="K113" s="13" t="s">
        <v>6883</v>
      </c>
      <c r="L113" s="99" t="str">
        <f t="shared" si="4"/>
        <v>W1202.0</v>
      </c>
      <c r="M113" s="13" t="s">
        <v>3667</v>
      </c>
      <c r="N113" s="13"/>
      <c r="O113" s="13"/>
      <c r="P113" s="47"/>
      <c r="Q113" s="45"/>
      <c r="R113" s="45"/>
      <c r="S113" s="48"/>
      <c r="T113" s="49" t="str">
        <f t="shared" ref="T113:T144" si="6">"["&amp;L113&amp;"]"</f>
        <v>[W1202.0]</v>
      </c>
      <c r="U113" s="12" t="str">
        <f t="shared" ref="U113:U144" si="7">RIGHT(J113,LEN(J113)-7)</f>
        <v xml:space="preserve"> 반전기 Light Curtain 감지 이상 (XA6B)</v>
      </c>
      <c r="V113" s="49" t="str">
        <f t="shared" si="5"/>
        <v>[W1202.0] 반전기 Light Curtain 감지 이상 (XA6B)</v>
      </c>
    </row>
    <row r="114" spans="1:22" s="49" customFormat="1" ht="14.15" customHeight="1">
      <c r="A114" s="43"/>
      <c r="B114" s="44" t="s">
        <v>6637</v>
      </c>
      <c r="C114" s="32"/>
      <c r="D114" s="10" t="s">
        <v>29</v>
      </c>
      <c r="E114" s="11"/>
      <c r="F114" s="11" t="s">
        <v>18</v>
      </c>
      <c r="G114" s="13"/>
      <c r="H114" s="45" t="s">
        <v>16</v>
      </c>
      <c r="I114" s="46"/>
      <c r="J114" s="12" t="s">
        <v>188</v>
      </c>
      <c r="K114" s="13" t="s">
        <v>6884</v>
      </c>
      <c r="L114" s="99" t="str">
        <f t="shared" si="4"/>
        <v>W1202.1</v>
      </c>
      <c r="M114" s="13"/>
      <c r="N114" s="13"/>
      <c r="O114" s="13"/>
      <c r="P114" s="47"/>
      <c r="Q114" s="45"/>
      <c r="R114" s="45"/>
      <c r="S114" s="48"/>
      <c r="T114" s="49" t="str">
        <f t="shared" si="6"/>
        <v>[W1202.1]</v>
      </c>
      <c r="U114" s="12" t="str">
        <f t="shared" si="7"/>
        <v xml:space="preserve"> </v>
      </c>
      <c r="V114" s="49" t="str">
        <f t="shared" si="5"/>
        <v xml:space="preserve">[W1202.1] </v>
      </c>
    </row>
    <row r="115" spans="1:22" s="49" customFormat="1" ht="14.15" customHeight="1">
      <c r="A115" s="43"/>
      <c r="B115" s="44" t="s">
        <v>6637</v>
      </c>
      <c r="C115" s="32"/>
      <c r="D115" s="10" t="s">
        <v>29</v>
      </c>
      <c r="E115" s="11"/>
      <c r="F115" s="11" t="s">
        <v>18</v>
      </c>
      <c r="G115" s="13"/>
      <c r="H115" s="45" t="s">
        <v>16</v>
      </c>
      <c r="I115" s="46"/>
      <c r="J115" s="12" t="s">
        <v>189</v>
      </c>
      <c r="K115" s="13" t="s">
        <v>6885</v>
      </c>
      <c r="L115" s="99" t="str">
        <f t="shared" si="4"/>
        <v>W1202.2</v>
      </c>
      <c r="M115" s="13"/>
      <c r="N115" s="13"/>
      <c r="O115" s="13"/>
      <c r="P115" s="47"/>
      <c r="Q115" s="45"/>
      <c r="R115" s="45"/>
      <c r="S115" s="48"/>
      <c r="T115" s="49" t="str">
        <f t="shared" si="6"/>
        <v>[W1202.2]</v>
      </c>
      <c r="U115" s="12" t="str">
        <f t="shared" si="7"/>
        <v xml:space="preserve"> </v>
      </c>
      <c r="V115" s="49" t="str">
        <f t="shared" si="5"/>
        <v xml:space="preserve">[W1202.2] </v>
      </c>
    </row>
    <row r="116" spans="1:22" s="49" customFormat="1" ht="14.15" customHeight="1">
      <c r="A116" s="43"/>
      <c r="B116" s="44" t="s">
        <v>6637</v>
      </c>
      <c r="C116" s="32"/>
      <c r="D116" s="10" t="s">
        <v>29</v>
      </c>
      <c r="E116" s="11"/>
      <c r="F116" s="11" t="s">
        <v>18</v>
      </c>
      <c r="G116" s="13"/>
      <c r="H116" s="45" t="s">
        <v>16</v>
      </c>
      <c r="I116" s="46"/>
      <c r="J116" s="12" t="s">
        <v>190</v>
      </c>
      <c r="K116" s="13" t="s">
        <v>6886</v>
      </c>
      <c r="L116" s="99" t="str">
        <f t="shared" si="4"/>
        <v>W1202.3</v>
      </c>
      <c r="M116" s="13"/>
      <c r="N116" s="13"/>
      <c r="O116" s="13"/>
      <c r="P116" s="47"/>
      <c r="Q116" s="45"/>
      <c r="R116" s="45"/>
      <c r="S116" s="48"/>
      <c r="T116" s="49" t="str">
        <f t="shared" si="6"/>
        <v>[W1202.3]</v>
      </c>
      <c r="U116" s="12" t="str">
        <f t="shared" si="7"/>
        <v xml:space="preserve"> </v>
      </c>
      <c r="V116" s="49" t="str">
        <f t="shared" si="5"/>
        <v xml:space="preserve">[W1202.3] </v>
      </c>
    </row>
    <row r="117" spans="1:22" s="49" customFormat="1" ht="14.15" customHeight="1">
      <c r="A117" s="43"/>
      <c r="B117" s="44" t="s">
        <v>6637</v>
      </c>
      <c r="C117" s="32"/>
      <c r="D117" s="10" t="s">
        <v>29</v>
      </c>
      <c r="E117" s="11"/>
      <c r="F117" s="11" t="s">
        <v>18</v>
      </c>
      <c r="G117" s="13"/>
      <c r="H117" s="45" t="s">
        <v>16</v>
      </c>
      <c r="I117" s="46"/>
      <c r="J117" s="12" t="s">
        <v>191</v>
      </c>
      <c r="K117" s="13" t="s">
        <v>6887</v>
      </c>
      <c r="L117" s="99" t="str">
        <f t="shared" si="4"/>
        <v>W1202.4</v>
      </c>
      <c r="M117" s="13"/>
      <c r="N117" s="13"/>
      <c r="O117" s="13"/>
      <c r="P117" s="47"/>
      <c r="Q117" s="45"/>
      <c r="R117" s="45"/>
      <c r="S117" s="48"/>
      <c r="T117" s="49" t="str">
        <f t="shared" si="6"/>
        <v>[W1202.4]</v>
      </c>
      <c r="U117" s="12" t="str">
        <f t="shared" si="7"/>
        <v xml:space="preserve"> </v>
      </c>
      <c r="V117" s="49" t="str">
        <f t="shared" si="5"/>
        <v xml:space="preserve">[W1202.4] </v>
      </c>
    </row>
    <row r="118" spans="1:22" s="49" customFormat="1" ht="14.15" customHeight="1">
      <c r="A118" s="43"/>
      <c r="B118" s="44" t="s">
        <v>6637</v>
      </c>
      <c r="C118" s="32"/>
      <c r="D118" s="10" t="s">
        <v>29</v>
      </c>
      <c r="E118" s="11"/>
      <c r="F118" s="11" t="s">
        <v>18</v>
      </c>
      <c r="G118" s="13"/>
      <c r="H118" s="45" t="s">
        <v>16</v>
      </c>
      <c r="I118" s="46"/>
      <c r="J118" s="12" t="s">
        <v>192</v>
      </c>
      <c r="K118" s="13" t="s">
        <v>6888</v>
      </c>
      <c r="L118" s="99" t="str">
        <f t="shared" si="4"/>
        <v>W1202.5</v>
      </c>
      <c r="M118" s="13"/>
      <c r="N118" s="13"/>
      <c r="O118" s="13"/>
      <c r="P118" s="47"/>
      <c r="Q118" s="45"/>
      <c r="R118" s="45"/>
      <c r="S118" s="48"/>
      <c r="T118" s="49" t="str">
        <f t="shared" si="6"/>
        <v>[W1202.5]</v>
      </c>
      <c r="U118" s="12" t="str">
        <f t="shared" si="7"/>
        <v xml:space="preserve"> </v>
      </c>
      <c r="V118" s="49" t="str">
        <f t="shared" si="5"/>
        <v xml:space="preserve">[W1202.5] </v>
      </c>
    </row>
    <row r="119" spans="1:22" s="49" customFormat="1" ht="14.15" customHeight="1">
      <c r="A119" s="43"/>
      <c r="B119" s="44" t="s">
        <v>6637</v>
      </c>
      <c r="C119" s="32"/>
      <c r="D119" s="10" t="s">
        <v>29</v>
      </c>
      <c r="E119" s="11"/>
      <c r="F119" s="11" t="s">
        <v>18</v>
      </c>
      <c r="G119" s="13"/>
      <c r="H119" s="45" t="s">
        <v>16</v>
      </c>
      <c r="I119" s="46"/>
      <c r="J119" s="12" t="s">
        <v>193</v>
      </c>
      <c r="K119" s="13" t="s">
        <v>6889</v>
      </c>
      <c r="L119" s="99" t="str">
        <f t="shared" si="4"/>
        <v>W1202.6</v>
      </c>
      <c r="M119" s="13"/>
      <c r="N119" s="13"/>
      <c r="O119" s="13"/>
      <c r="P119" s="47"/>
      <c r="Q119" s="45"/>
      <c r="R119" s="45"/>
      <c r="S119" s="48"/>
      <c r="T119" s="49" t="str">
        <f t="shared" si="6"/>
        <v>[W1202.6]</v>
      </c>
      <c r="U119" s="12" t="str">
        <f t="shared" si="7"/>
        <v xml:space="preserve"> </v>
      </c>
      <c r="V119" s="49" t="str">
        <f t="shared" si="5"/>
        <v xml:space="preserve">[W1202.6] </v>
      </c>
    </row>
    <row r="120" spans="1:22" s="49" customFormat="1" ht="14.15" customHeight="1">
      <c r="A120" s="43"/>
      <c r="B120" s="44" t="s">
        <v>6637</v>
      </c>
      <c r="C120" s="32"/>
      <c r="D120" s="10" t="s">
        <v>29</v>
      </c>
      <c r="E120" s="11"/>
      <c r="F120" s="11" t="s">
        <v>18</v>
      </c>
      <c r="G120" s="13"/>
      <c r="H120" s="45" t="s">
        <v>16</v>
      </c>
      <c r="I120" s="46"/>
      <c r="J120" s="12" t="s">
        <v>2231</v>
      </c>
      <c r="K120" s="13" t="s">
        <v>6890</v>
      </c>
      <c r="L120" s="99" t="str">
        <f t="shared" si="4"/>
        <v>W1202.7</v>
      </c>
      <c r="M120" s="13" t="s">
        <v>3667</v>
      </c>
      <c r="N120" s="13"/>
      <c r="O120" s="13"/>
      <c r="P120" s="47"/>
      <c r="Q120" s="45"/>
      <c r="R120" s="45"/>
      <c r="S120" s="48"/>
      <c r="T120" s="49" t="str">
        <f t="shared" si="6"/>
        <v>[W1202.7]</v>
      </c>
      <c r="U120" s="12" t="str">
        <f t="shared" si="7"/>
        <v xml:space="preserve"> 용접부 칠러 플로어 센서 에러</v>
      </c>
      <c r="V120" s="49" t="str">
        <f t="shared" si="5"/>
        <v>[W1202.7] 용접부 칠러 플로어 센서 에러</v>
      </c>
    </row>
    <row r="121" spans="1:22" s="49" customFormat="1" ht="14.15" customHeight="1">
      <c r="A121" s="43"/>
      <c r="B121" s="44" t="s">
        <v>6637</v>
      </c>
      <c r="C121" s="32"/>
      <c r="D121" s="10" t="s">
        <v>29</v>
      </c>
      <c r="E121" s="11"/>
      <c r="F121" s="11" t="s">
        <v>18</v>
      </c>
      <c r="G121" s="13"/>
      <c r="H121" s="45" t="s">
        <v>16</v>
      </c>
      <c r="I121" s="46"/>
      <c r="J121" s="12" t="s">
        <v>2232</v>
      </c>
      <c r="K121" s="13" t="s">
        <v>6891</v>
      </c>
      <c r="L121" s="99" t="str">
        <f t="shared" si="4"/>
        <v>W1202.8</v>
      </c>
      <c r="M121" s="13" t="s">
        <v>3667</v>
      </c>
      <c r="N121" s="13"/>
      <c r="O121" s="13"/>
      <c r="P121" s="47"/>
      <c r="Q121" s="45"/>
      <c r="R121" s="45"/>
      <c r="S121" s="48"/>
      <c r="T121" s="49" t="str">
        <f t="shared" si="6"/>
        <v>[W1202.8]</v>
      </c>
      <c r="U121" s="12" t="str">
        <f t="shared" si="7"/>
        <v xml:space="preserve"> 용접부 칠러 알람</v>
      </c>
      <c r="V121" s="49" t="str">
        <f t="shared" si="5"/>
        <v>[W1202.8] 용접부 칠러 알람</v>
      </c>
    </row>
    <row r="122" spans="1:22" s="49" customFormat="1" ht="14.15" customHeight="1">
      <c r="A122" s="43"/>
      <c r="B122" s="44" t="s">
        <v>6637</v>
      </c>
      <c r="C122" s="32"/>
      <c r="D122" s="10" t="s">
        <v>29</v>
      </c>
      <c r="E122" s="11"/>
      <c r="F122" s="11" t="s">
        <v>18</v>
      </c>
      <c r="G122" s="13"/>
      <c r="H122" s="45" t="s">
        <v>16</v>
      </c>
      <c r="I122" s="46"/>
      <c r="J122" s="12" t="s">
        <v>196</v>
      </c>
      <c r="K122" s="13" t="s">
        <v>6892</v>
      </c>
      <c r="L122" s="99" t="str">
        <f t="shared" si="4"/>
        <v>W1202.9</v>
      </c>
      <c r="M122" s="13"/>
      <c r="N122" s="13"/>
      <c r="O122" s="13"/>
      <c r="P122" s="47"/>
      <c r="Q122" s="45"/>
      <c r="R122" s="45"/>
      <c r="S122" s="48"/>
      <c r="T122" s="49" t="str">
        <f t="shared" si="6"/>
        <v>[W1202.9]</v>
      </c>
      <c r="U122" s="12" t="str">
        <f t="shared" si="7"/>
        <v xml:space="preserve"> </v>
      </c>
      <c r="V122" s="49" t="str">
        <f t="shared" si="5"/>
        <v xml:space="preserve">[W1202.9] </v>
      </c>
    </row>
    <row r="123" spans="1:22" s="49" customFormat="1" ht="14.15" customHeight="1">
      <c r="A123" s="43"/>
      <c r="B123" s="44" t="s">
        <v>6637</v>
      </c>
      <c r="C123" s="32"/>
      <c r="D123" s="10" t="s">
        <v>29</v>
      </c>
      <c r="E123" s="11"/>
      <c r="F123" s="11" t="s">
        <v>18</v>
      </c>
      <c r="G123" s="13"/>
      <c r="H123" s="45" t="s">
        <v>16</v>
      </c>
      <c r="I123" s="46"/>
      <c r="J123" s="12" t="s">
        <v>197</v>
      </c>
      <c r="K123" s="13" t="s">
        <v>6893</v>
      </c>
      <c r="L123" s="99" t="str">
        <f t="shared" si="4"/>
        <v>W1202.A</v>
      </c>
      <c r="M123" s="13"/>
      <c r="N123" s="13"/>
      <c r="O123" s="13"/>
      <c r="P123" s="47"/>
      <c r="Q123" s="45"/>
      <c r="R123" s="45"/>
      <c r="S123" s="48"/>
      <c r="T123" s="49" t="str">
        <f t="shared" si="6"/>
        <v>[W1202.A]</v>
      </c>
      <c r="U123" s="12" t="str">
        <f t="shared" si="7"/>
        <v xml:space="preserve"> </v>
      </c>
      <c r="V123" s="49" t="str">
        <f t="shared" si="5"/>
        <v xml:space="preserve">[W1202.A] </v>
      </c>
    </row>
    <row r="124" spans="1:22" s="49" customFormat="1" ht="14.15" customHeight="1">
      <c r="A124" s="43"/>
      <c r="B124" s="44" t="s">
        <v>6637</v>
      </c>
      <c r="C124" s="32"/>
      <c r="D124" s="10" t="s">
        <v>29</v>
      </c>
      <c r="E124" s="11"/>
      <c r="F124" s="11" t="s">
        <v>18</v>
      </c>
      <c r="G124" s="13"/>
      <c r="H124" s="45" t="s">
        <v>16</v>
      </c>
      <c r="I124" s="46"/>
      <c r="J124" s="12" t="s">
        <v>198</v>
      </c>
      <c r="K124" s="13" t="s">
        <v>6894</v>
      </c>
      <c r="L124" s="99" t="str">
        <f t="shared" si="4"/>
        <v>W1202.B</v>
      </c>
      <c r="M124" s="13"/>
      <c r="N124" s="13"/>
      <c r="O124" s="13"/>
      <c r="P124" s="47"/>
      <c r="Q124" s="45"/>
      <c r="R124" s="45"/>
      <c r="S124" s="48"/>
      <c r="T124" s="49" t="str">
        <f t="shared" si="6"/>
        <v>[W1202.B]</v>
      </c>
      <c r="U124" s="12" t="str">
        <f t="shared" si="7"/>
        <v xml:space="preserve"> </v>
      </c>
      <c r="V124" s="49" t="str">
        <f t="shared" si="5"/>
        <v xml:space="preserve">[W1202.B] </v>
      </c>
    </row>
    <row r="125" spans="1:22" s="49" customFormat="1" ht="14.15" customHeight="1">
      <c r="A125" s="43"/>
      <c r="B125" s="44" t="s">
        <v>6637</v>
      </c>
      <c r="C125" s="32"/>
      <c r="D125" s="10" t="s">
        <v>29</v>
      </c>
      <c r="E125" s="11"/>
      <c r="F125" s="11" t="s">
        <v>18</v>
      </c>
      <c r="G125" s="13"/>
      <c r="H125" s="45" t="s">
        <v>16</v>
      </c>
      <c r="I125" s="46"/>
      <c r="J125" s="12" t="s">
        <v>199</v>
      </c>
      <c r="K125" s="13" t="s">
        <v>6895</v>
      </c>
      <c r="L125" s="99" t="str">
        <f t="shared" si="4"/>
        <v>W1202.C</v>
      </c>
      <c r="M125" s="13"/>
      <c r="N125" s="13"/>
      <c r="O125" s="13"/>
      <c r="P125" s="47"/>
      <c r="Q125" s="45"/>
      <c r="R125" s="45"/>
      <c r="S125" s="48"/>
      <c r="T125" s="49" t="str">
        <f t="shared" si="6"/>
        <v>[W1202.C]</v>
      </c>
      <c r="U125" s="12" t="str">
        <f t="shared" si="7"/>
        <v xml:space="preserve"> </v>
      </c>
      <c r="V125" s="49" t="str">
        <f t="shared" si="5"/>
        <v xml:space="preserve">[W1202.C] </v>
      </c>
    </row>
    <row r="126" spans="1:22" s="49" customFormat="1" ht="14.15" customHeight="1">
      <c r="A126" s="43"/>
      <c r="B126" s="44" t="s">
        <v>6637</v>
      </c>
      <c r="C126" s="32"/>
      <c r="D126" s="10" t="s">
        <v>29</v>
      </c>
      <c r="E126" s="11"/>
      <c r="F126" s="11" t="s">
        <v>18</v>
      </c>
      <c r="G126" s="13"/>
      <c r="H126" s="45" t="s">
        <v>16</v>
      </c>
      <c r="I126" s="46"/>
      <c r="J126" s="12" t="s">
        <v>200</v>
      </c>
      <c r="K126" s="13" t="s">
        <v>6896</v>
      </c>
      <c r="L126" s="99" t="str">
        <f t="shared" si="4"/>
        <v>W1202.D</v>
      </c>
      <c r="M126" s="13"/>
      <c r="N126" s="13"/>
      <c r="O126" s="13"/>
      <c r="P126" s="47"/>
      <c r="Q126" s="45"/>
      <c r="R126" s="45"/>
      <c r="S126" s="48"/>
      <c r="T126" s="49" t="str">
        <f t="shared" si="6"/>
        <v>[W1202.D]</v>
      </c>
      <c r="U126" s="12" t="str">
        <f t="shared" si="7"/>
        <v xml:space="preserve"> </v>
      </c>
      <c r="V126" s="49" t="str">
        <f t="shared" si="5"/>
        <v xml:space="preserve">[W1202.D] </v>
      </c>
    </row>
    <row r="127" spans="1:22" s="49" customFormat="1" ht="14.15" customHeight="1">
      <c r="A127" s="43"/>
      <c r="B127" s="44" t="s">
        <v>6637</v>
      </c>
      <c r="C127" s="32"/>
      <c r="D127" s="10" t="s">
        <v>29</v>
      </c>
      <c r="E127" s="11"/>
      <c r="F127" s="11" t="s">
        <v>18</v>
      </c>
      <c r="G127" s="13"/>
      <c r="H127" s="45" t="s">
        <v>16</v>
      </c>
      <c r="I127" s="46"/>
      <c r="J127" s="12" t="s">
        <v>201</v>
      </c>
      <c r="K127" s="13" t="s">
        <v>6897</v>
      </c>
      <c r="L127" s="99" t="str">
        <f t="shared" si="4"/>
        <v>W1202.E</v>
      </c>
      <c r="M127" s="13"/>
      <c r="N127" s="13"/>
      <c r="O127" s="13"/>
      <c r="P127" s="47"/>
      <c r="Q127" s="45"/>
      <c r="R127" s="45"/>
      <c r="S127" s="48"/>
      <c r="T127" s="49" t="str">
        <f t="shared" si="6"/>
        <v>[W1202.E]</v>
      </c>
      <c r="U127" s="12" t="str">
        <f t="shared" si="7"/>
        <v xml:space="preserve"> </v>
      </c>
      <c r="V127" s="49" t="str">
        <f t="shared" si="5"/>
        <v xml:space="preserve">[W1202.E] </v>
      </c>
    </row>
    <row r="128" spans="1:22" s="49" customFormat="1" ht="14.15" customHeight="1">
      <c r="A128" s="43"/>
      <c r="B128" s="44" t="s">
        <v>6637</v>
      </c>
      <c r="C128" s="32"/>
      <c r="D128" s="10" t="s">
        <v>29</v>
      </c>
      <c r="E128" s="11"/>
      <c r="F128" s="11" t="s">
        <v>18</v>
      </c>
      <c r="G128" s="13"/>
      <c r="H128" s="45" t="s">
        <v>16</v>
      </c>
      <c r="I128" s="46"/>
      <c r="J128" s="12" t="s">
        <v>202</v>
      </c>
      <c r="K128" s="13" t="s">
        <v>6898</v>
      </c>
      <c r="L128" s="99" t="str">
        <f t="shared" si="4"/>
        <v>W1202.F</v>
      </c>
      <c r="M128" s="13"/>
      <c r="N128" s="13"/>
      <c r="O128" s="13"/>
      <c r="P128" s="47"/>
      <c r="Q128" s="45"/>
      <c r="R128" s="45"/>
      <c r="S128" s="48"/>
      <c r="T128" s="49" t="str">
        <f t="shared" si="6"/>
        <v>[W1202.F]</v>
      </c>
      <c r="U128" s="12" t="str">
        <f t="shared" si="7"/>
        <v xml:space="preserve"> </v>
      </c>
      <c r="V128" s="49" t="str">
        <f t="shared" si="5"/>
        <v xml:space="preserve">[W1202.F] </v>
      </c>
    </row>
    <row r="129" spans="1:22" s="49" customFormat="1" ht="14.15" customHeight="1">
      <c r="A129" s="43"/>
      <c r="B129" s="44" t="s">
        <v>6637</v>
      </c>
      <c r="C129" s="32"/>
      <c r="D129" s="10" t="s">
        <v>29</v>
      </c>
      <c r="E129" s="11"/>
      <c r="F129" s="11" t="s">
        <v>18</v>
      </c>
      <c r="G129" s="13"/>
      <c r="H129" s="45" t="s">
        <v>16</v>
      </c>
      <c r="I129" s="46"/>
      <c r="J129" s="12" t="s">
        <v>203</v>
      </c>
      <c r="K129" s="13" t="s">
        <v>6899</v>
      </c>
      <c r="L129" s="99" t="str">
        <f t="shared" si="4"/>
        <v>W1203.0</v>
      </c>
      <c r="M129" s="13"/>
      <c r="N129" s="13"/>
      <c r="O129" s="13"/>
      <c r="P129" s="47"/>
      <c r="Q129" s="45"/>
      <c r="R129" s="45"/>
      <c r="S129" s="48"/>
      <c r="T129" s="49" t="str">
        <f t="shared" si="6"/>
        <v>[W1203.0]</v>
      </c>
      <c r="U129" s="12" t="str">
        <f t="shared" si="7"/>
        <v xml:space="preserve"> </v>
      </c>
      <c r="V129" s="49" t="str">
        <f t="shared" si="5"/>
        <v xml:space="preserve">[W1203.0] </v>
      </c>
    </row>
    <row r="130" spans="1:22" s="49" customFormat="1" ht="14.15" customHeight="1">
      <c r="A130" s="43"/>
      <c r="B130" s="44" t="s">
        <v>6637</v>
      </c>
      <c r="C130" s="32"/>
      <c r="D130" s="10" t="s">
        <v>29</v>
      </c>
      <c r="E130" s="11"/>
      <c r="F130" s="11" t="s">
        <v>18</v>
      </c>
      <c r="G130" s="13"/>
      <c r="H130" s="45" t="s">
        <v>16</v>
      </c>
      <c r="I130" s="46"/>
      <c r="J130" s="12" t="s">
        <v>204</v>
      </c>
      <c r="K130" s="13" t="s">
        <v>6900</v>
      </c>
      <c r="L130" s="99" t="str">
        <f t="shared" si="4"/>
        <v>W1203.1</v>
      </c>
      <c r="M130" s="13"/>
      <c r="N130" s="13"/>
      <c r="O130" s="13"/>
      <c r="P130" s="47"/>
      <c r="Q130" s="45"/>
      <c r="R130" s="45"/>
      <c r="S130" s="48"/>
      <c r="T130" s="49" t="str">
        <f t="shared" si="6"/>
        <v>[W1203.1]</v>
      </c>
      <c r="U130" s="12" t="str">
        <f t="shared" si="7"/>
        <v xml:space="preserve"> </v>
      </c>
      <c r="V130" s="49" t="str">
        <f t="shared" si="5"/>
        <v xml:space="preserve">[W1203.1] </v>
      </c>
    </row>
    <row r="131" spans="1:22" s="49" customFormat="1" ht="14.15" customHeight="1">
      <c r="A131" s="43"/>
      <c r="B131" s="44" t="s">
        <v>6637</v>
      </c>
      <c r="C131" s="32"/>
      <c r="D131" s="10" t="s">
        <v>29</v>
      </c>
      <c r="E131" s="11"/>
      <c r="F131" s="11" t="s">
        <v>18</v>
      </c>
      <c r="G131" s="13"/>
      <c r="H131" s="45" t="s">
        <v>16</v>
      </c>
      <c r="I131" s="46"/>
      <c r="J131" s="12" t="s">
        <v>205</v>
      </c>
      <c r="K131" s="13" t="s">
        <v>6901</v>
      </c>
      <c r="L131" s="99" t="str">
        <f t="shared" si="4"/>
        <v>W1203.2</v>
      </c>
      <c r="M131" s="13"/>
      <c r="N131" s="13"/>
      <c r="O131" s="13"/>
      <c r="P131" s="47"/>
      <c r="Q131" s="45"/>
      <c r="R131" s="45"/>
      <c r="S131" s="48"/>
      <c r="T131" s="49" t="str">
        <f t="shared" si="6"/>
        <v>[W1203.2]</v>
      </c>
      <c r="U131" s="12" t="str">
        <f t="shared" si="7"/>
        <v xml:space="preserve"> </v>
      </c>
      <c r="V131" s="49" t="str">
        <f t="shared" si="5"/>
        <v xml:space="preserve">[W1203.2] </v>
      </c>
    </row>
    <row r="132" spans="1:22" s="49" customFormat="1" ht="14.15" customHeight="1">
      <c r="A132" s="43"/>
      <c r="B132" s="44" t="s">
        <v>6637</v>
      </c>
      <c r="C132" s="32"/>
      <c r="D132" s="10" t="s">
        <v>29</v>
      </c>
      <c r="E132" s="11"/>
      <c r="F132" s="11" t="s">
        <v>18</v>
      </c>
      <c r="G132" s="13"/>
      <c r="H132" s="45" t="s">
        <v>16</v>
      </c>
      <c r="I132" s="46"/>
      <c r="J132" s="12" t="s">
        <v>206</v>
      </c>
      <c r="K132" s="13" t="s">
        <v>6902</v>
      </c>
      <c r="L132" s="99" t="str">
        <f t="shared" si="4"/>
        <v>W1203.3</v>
      </c>
      <c r="M132" s="13"/>
      <c r="N132" s="13"/>
      <c r="O132" s="13"/>
      <c r="P132" s="47"/>
      <c r="Q132" s="45"/>
      <c r="R132" s="45"/>
      <c r="S132" s="48"/>
      <c r="T132" s="49" t="str">
        <f t="shared" si="6"/>
        <v>[W1203.3]</v>
      </c>
      <c r="U132" s="12" t="str">
        <f t="shared" si="7"/>
        <v xml:space="preserve"> </v>
      </c>
      <c r="V132" s="49" t="str">
        <f t="shared" si="5"/>
        <v xml:space="preserve">[W1203.3] </v>
      </c>
    </row>
    <row r="133" spans="1:22" s="49" customFormat="1" ht="14.15" customHeight="1">
      <c r="A133" s="43"/>
      <c r="B133" s="44" t="s">
        <v>6637</v>
      </c>
      <c r="C133" s="32"/>
      <c r="D133" s="10" t="s">
        <v>29</v>
      </c>
      <c r="E133" s="11"/>
      <c r="F133" s="11" t="s">
        <v>18</v>
      </c>
      <c r="G133" s="13"/>
      <c r="H133" s="45" t="s">
        <v>16</v>
      </c>
      <c r="I133" s="46"/>
      <c r="J133" s="12" t="s">
        <v>207</v>
      </c>
      <c r="K133" s="13" t="s">
        <v>6903</v>
      </c>
      <c r="L133" s="99" t="str">
        <f t="shared" si="4"/>
        <v>W1203.4</v>
      </c>
      <c r="M133" s="13"/>
      <c r="N133" s="13"/>
      <c r="O133" s="13"/>
      <c r="P133" s="47"/>
      <c r="Q133" s="45"/>
      <c r="R133" s="45"/>
      <c r="S133" s="48"/>
      <c r="T133" s="49" t="str">
        <f t="shared" si="6"/>
        <v>[W1203.4]</v>
      </c>
      <c r="U133" s="12" t="str">
        <f t="shared" si="7"/>
        <v xml:space="preserve"> </v>
      </c>
      <c r="V133" s="49" t="str">
        <f t="shared" si="5"/>
        <v xml:space="preserve">[W1203.4] </v>
      </c>
    </row>
    <row r="134" spans="1:22" s="49" customFormat="1" ht="14.15" customHeight="1">
      <c r="A134" s="43"/>
      <c r="B134" s="44" t="s">
        <v>6637</v>
      </c>
      <c r="C134" s="32"/>
      <c r="D134" s="10" t="s">
        <v>29</v>
      </c>
      <c r="E134" s="11"/>
      <c r="F134" s="11" t="s">
        <v>18</v>
      </c>
      <c r="G134" s="13"/>
      <c r="H134" s="45" t="s">
        <v>16</v>
      </c>
      <c r="I134" s="46"/>
      <c r="J134" s="12" t="s">
        <v>208</v>
      </c>
      <c r="K134" s="13" t="s">
        <v>6904</v>
      </c>
      <c r="L134" s="99" t="str">
        <f t="shared" si="4"/>
        <v>W1203.5</v>
      </c>
      <c r="M134" s="13"/>
      <c r="N134" s="13"/>
      <c r="O134" s="13"/>
      <c r="P134" s="47"/>
      <c r="Q134" s="45"/>
      <c r="R134" s="45"/>
      <c r="S134" s="48"/>
      <c r="T134" s="49" t="str">
        <f t="shared" si="6"/>
        <v>[W1203.5]</v>
      </c>
      <c r="U134" s="12" t="str">
        <f t="shared" si="7"/>
        <v xml:space="preserve"> </v>
      </c>
      <c r="V134" s="49" t="str">
        <f t="shared" si="5"/>
        <v xml:space="preserve">[W1203.5] </v>
      </c>
    </row>
    <row r="135" spans="1:22" s="49" customFormat="1" ht="14.15" customHeight="1">
      <c r="A135" s="43"/>
      <c r="B135" s="44" t="s">
        <v>6637</v>
      </c>
      <c r="C135" s="32"/>
      <c r="D135" s="10" t="s">
        <v>29</v>
      </c>
      <c r="E135" s="11"/>
      <c r="F135" s="11" t="s">
        <v>18</v>
      </c>
      <c r="G135" s="13"/>
      <c r="H135" s="45" t="s">
        <v>16</v>
      </c>
      <c r="I135" s="46"/>
      <c r="J135" s="12" t="s">
        <v>209</v>
      </c>
      <c r="K135" s="13" t="s">
        <v>6905</v>
      </c>
      <c r="L135" s="99" t="str">
        <f t="shared" si="4"/>
        <v>W1203.6</v>
      </c>
      <c r="M135" s="13"/>
      <c r="N135" s="13"/>
      <c r="O135" s="13"/>
      <c r="P135" s="47"/>
      <c r="Q135" s="45"/>
      <c r="R135" s="45"/>
      <c r="S135" s="48"/>
      <c r="T135" s="49" t="str">
        <f t="shared" si="6"/>
        <v>[W1203.6]</v>
      </c>
      <c r="U135" s="12" t="str">
        <f t="shared" si="7"/>
        <v xml:space="preserve"> </v>
      </c>
      <c r="V135" s="49" t="str">
        <f t="shared" si="5"/>
        <v xml:space="preserve">[W1203.6] </v>
      </c>
    </row>
    <row r="136" spans="1:22" s="49" customFormat="1" ht="14.15" customHeight="1">
      <c r="A136" s="43"/>
      <c r="B136" s="44" t="s">
        <v>6637</v>
      </c>
      <c r="C136" s="32"/>
      <c r="D136" s="10" t="s">
        <v>29</v>
      </c>
      <c r="E136" s="11"/>
      <c r="F136" s="11" t="s">
        <v>18</v>
      </c>
      <c r="G136" s="13"/>
      <c r="H136" s="45" t="s">
        <v>16</v>
      </c>
      <c r="I136" s="46"/>
      <c r="J136" s="12" t="s">
        <v>210</v>
      </c>
      <c r="K136" s="13" t="s">
        <v>6906</v>
      </c>
      <c r="L136" s="99" t="str">
        <f t="shared" si="4"/>
        <v>W1203.7</v>
      </c>
      <c r="M136" s="13"/>
      <c r="N136" s="13"/>
      <c r="O136" s="13"/>
      <c r="P136" s="47"/>
      <c r="Q136" s="45"/>
      <c r="R136" s="45"/>
      <c r="S136" s="48"/>
      <c r="T136" s="49" t="str">
        <f t="shared" si="6"/>
        <v>[W1203.7]</v>
      </c>
      <c r="U136" s="12" t="str">
        <f t="shared" si="7"/>
        <v xml:space="preserve"> </v>
      </c>
      <c r="V136" s="49" t="str">
        <f t="shared" si="5"/>
        <v xml:space="preserve">[W1203.7] </v>
      </c>
    </row>
    <row r="137" spans="1:22" s="49" customFormat="1" ht="14.15" customHeight="1">
      <c r="A137" s="43"/>
      <c r="B137" s="44" t="s">
        <v>6637</v>
      </c>
      <c r="C137" s="32"/>
      <c r="D137" s="10" t="s">
        <v>29</v>
      </c>
      <c r="E137" s="11"/>
      <c r="F137" s="11" t="s">
        <v>18</v>
      </c>
      <c r="G137" s="13"/>
      <c r="H137" s="45" t="s">
        <v>16</v>
      </c>
      <c r="I137" s="46"/>
      <c r="J137" s="12" t="s">
        <v>211</v>
      </c>
      <c r="K137" s="13" t="s">
        <v>6907</v>
      </c>
      <c r="L137" s="99" t="str">
        <f t="shared" si="4"/>
        <v>W1203.8</v>
      </c>
      <c r="M137" s="13"/>
      <c r="N137" s="13"/>
      <c r="O137" s="13"/>
      <c r="P137" s="47"/>
      <c r="Q137" s="45"/>
      <c r="R137" s="45"/>
      <c r="S137" s="48"/>
      <c r="T137" s="49" t="str">
        <f t="shared" si="6"/>
        <v>[W1203.8]</v>
      </c>
      <c r="U137" s="12" t="str">
        <f t="shared" si="7"/>
        <v xml:space="preserve"> </v>
      </c>
      <c r="V137" s="49" t="str">
        <f t="shared" si="5"/>
        <v xml:space="preserve">[W1203.8] </v>
      </c>
    </row>
    <row r="138" spans="1:22" s="49" customFormat="1" ht="14.15" customHeight="1">
      <c r="A138" s="43"/>
      <c r="B138" s="44" t="s">
        <v>6637</v>
      </c>
      <c r="C138" s="32"/>
      <c r="D138" s="10" t="s">
        <v>29</v>
      </c>
      <c r="E138" s="11"/>
      <c r="F138" s="11" t="s">
        <v>18</v>
      </c>
      <c r="G138" s="13"/>
      <c r="H138" s="45" t="s">
        <v>16</v>
      </c>
      <c r="I138" s="46"/>
      <c r="J138" s="12" t="s">
        <v>212</v>
      </c>
      <c r="K138" s="13" t="s">
        <v>6908</v>
      </c>
      <c r="L138" s="99" t="str">
        <f t="shared" si="4"/>
        <v>W1203.9</v>
      </c>
      <c r="M138" s="13"/>
      <c r="N138" s="13"/>
      <c r="O138" s="13"/>
      <c r="P138" s="47"/>
      <c r="Q138" s="45"/>
      <c r="R138" s="45"/>
      <c r="S138" s="48"/>
      <c r="T138" s="49" t="str">
        <f t="shared" si="6"/>
        <v>[W1203.9]</v>
      </c>
      <c r="U138" s="12" t="str">
        <f t="shared" si="7"/>
        <v xml:space="preserve"> </v>
      </c>
      <c r="V138" s="49" t="str">
        <f t="shared" si="5"/>
        <v xml:space="preserve">[W1203.9] </v>
      </c>
    </row>
    <row r="139" spans="1:22" s="49" customFormat="1" ht="14.15" customHeight="1">
      <c r="A139" s="43"/>
      <c r="B139" s="44" t="s">
        <v>6637</v>
      </c>
      <c r="C139" s="32"/>
      <c r="D139" s="10" t="s">
        <v>29</v>
      </c>
      <c r="E139" s="11"/>
      <c r="F139" s="11" t="s">
        <v>18</v>
      </c>
      <c r="G139" s="13"/>
      <c r="H139" s="45" t="s">
        <v>16</v>
      </c>
      <c r="I139" s="46"/>
      <c r="J139" s="12" t="s">
        <v>213</v>
      </c>
      <c r="K139" s="13" t="s">
        <v>6909</v>
      </c>
      <c r="L139" s="99" t="str">
        <f t="shared" si="4"/>
        <v>W1203.A</v>
      </c>
      <c r="M139" s="13"/>
      <c r="N139" s="13"/>
      <c r="O139" s="13"/>
      <c r="P139" s="47"/>
      <c r="Q139" s="45"/>
      <c r="R139" s="45"/>
      <c r="S139" s="48"/>
      <c r="T139" s="49" t="str">
        <f t="shared" si="6"/>
        <v>[W1203.A]</v>
      </c>
      <c r="U139" s="12" t="str">
        <f t="shared" si="7"/>
        <v xml:space="preserve"> </v>
      </c>
      <c r="V139" s="49" t="str">
        <f t="shared" si="5"/>
        <v xml:space="preserve">[W1203.A] </v>
      </c>
    </row>
    <row r="140" spans="1:22" s="49" customFormat="1" ht="14.15" customHeight="1">
      <c r="A140" s="43"/>
      <c r="B140" s="44" t="s">
        <v>6637</v>
      </c>
      <c r="C140" s="32"/>
      <c r="D140" s="10" t="s">
        <v>29</v>
      </c>
      <c r="E140" s="11"/>
      <c r="F140" s="11" t="s">
        <v>18</v>
      </c>
      <c r="G140" s="13"/>
      <c r="H140" s="45" t="s">
        <v>16</v>
      </c>
      <c r="I140" s="46"/>
      <c r="J140" s="12" t="s">
        <v>214</v>
      </c>
      <c r="K140" s="13" t="s">
        <v>6910</v>
      </c>
      <c r="L140" s="99" t="str">
        <f t="shared" si="4"/>
        <v>W1203.B</v>
      </c>
      <c r="M140" s="13"/>
      <c r="N140" s="13"/>
      <c r="O140" s="13"/>
      <c r="P140" s="47"/>
      <c r="Q140" s="45"/>
      <c r="R140" s="45"/>
      <c r="S140" s="48"/>
      <c r="T140" s="49" t="str">
        <f t="shared" si="6"/>
        <v>[W1203.B]</v>
      </c>
      <c r="U140" s="12" t="str">
        <f t="shared" si="7"/>
        <v xml:space="preserve"> </v>
      </c>
      <c r="V140" s="49" t="str">
        <f t="shared" si="5"/>
        <v xml:space="preserve">[W1203.B] </v>
      </c>
    </row>
    <row r="141" spans="1:22" s="49" customFormat="1" ht="14.15" customHeight="1">
      <c r="A141" s="43"/>
      <c r="B141" s="44" t="s">
        <v>6637</v>
      </c>
      <c r="C141" s="32"/>
      <c r="D141" s="10" t="s">
        <v>29</v>
      </c>
      <c r="E141" s="11"/>
      <c r="F141" s="11" t="s">
        <v>18</v>
      </c>
      <c r="G141" s="13"/>
      <c r="H141" s="45" t="s">
        <v>16</v>
      </c>
      <c r="I141" s="46"/>
      <c r="J141" s="12" t="s">
        <v>215</v>
      </c>
      <c r="K141" s="13" t="s">
        <v>6911</v>
      </c>
      <c r="L141" s="99" t="str">
        <f t="shared" si="4"/>
        <v>W1203.C</v>
      </c>
      <c r="M141" s="13"/>
      <c r="N141" s="13"/>
      <c r="O141" s="13"/>
      <c r="P141" s="47"/>
      <c r="Q141" s="45"/>
      <c r="R141" s="45"/>
      <c r="S141" s="48"/>
      <c r="T141" s="49" t="str">
        <f t="shared" si="6"/>
        <v>[W1203.C]</v>
      </c>
      <c r="U141" s="12" t="str">
        <f t="shared" si="7"/>
        <v xml:space="preserve"> </v>
      </c>
      <c r="V141" s="49" t="str">
        <f t="shared" si="5"/>
        <v xml:space="preserve">[W1203.C] </v>
      </c>
    </row>
    <row r="142" spans="1:22" s="49" customFormat="1" ht="14.15" customHeight="1">
      <c r="A142" s="43"/>
      <c r="B142" s="44" t="s">
        <v>6637</v>
      </c>
      <c r="C142" s="32"/>
      <c r="D142" s="10" t="s">
        <v>29</v>
      </c>
      <c r="E142" s="11"/>
      <c r="F142" s="11" t="s">
        <v>18</v>
      </c>
      <c r="G142" s="13"/>
      <c r="H142" s="45" t="s">
        <v>16</v>
      </c>
      <c r="I142" s="46"/>
      <c r="J142" s="12" t="s">
        <v>216</v>
      </c>
      <c r="K142" s="13" t="s">
        <v>6912</v>
      </c>
      <c r="L142" s="99" t="str">
        <f t="shared" si="4"/>
        <v>W1203.D</v>
      </c>
      <c r="M142" s="13"/>
      <c r="N142" s="13"/>
      <c r="O142" s="13"/>
      <c r="P142" s="47"/>
      <c r="Q142" s="45"/>
      <c r="R142" s="45"/>
      <c r="S142" s="48"/>
      <c r="T142" s="49" t="str">
        <f t="shared" si="6"/>
        <v>[W1203.D]</v>
      </c>
      <c r="U142" s="12" t="str">
        <f t="shared" si="7"/>
        <v xml:space="preserve"> </v>
      </c>
      <c r="V142" s="49" t="str">
        <f t="shared" si="5"/>
        <v xml:space="preserve">[W1203.D] </v>
      </c>
    </row>
    <row r="143" spans="1:22" s="49" customFormat="1" ht="14.15" customHeight="1">
      <c r="A143" s="43"/>
      <c r="B143" s="44" t="s">
        <v>6637</v>
      </c>
      <c r="C143" s="32"/>
      <c r="D143" s="10" t="s">
        <v>29</v>
      </c>
      <c r="E143" s="11"/>
      <c r="F143" s="11" t="s">
        <v>18</v>
      </c>
      <c r="G143" s="13"/>
      <c r="H143" s="45" t="s">
        <v>16</v>
      </c>
      <c r="I143" s="46"/>
      <c r="J143" s="12" t="s">
        <v>217</v>
      </c>
      <c r="K143" s="13" t="s">
        <v>6913</v>
      </c>
      <c r="L143" s="99" t="str">
        <f t="shared" si="4"/>
        <v>W1203.E</v>
      </c>
      <c r="M143" s="13"/>
      <c r="N143" s="13"/>
      <c r="O143" s="13"/>
      <c r="P143" s="47"/>
      <c r="Q143" s="45"/>
      <c r="R143" s="45"/>
      <c r="S143" s="48"/>
      <c r="T143" s="49" t="str">
        <f t="shared" si="6"/>
        <v>[W1203.E]</v>
      </c>
      <c r="U143" s="12" t="str">
        <f t="shared" si="7"/>
        <v xml:space="preserve"> </v>
      </c>
      <c r="V143" s="49" t="str">
        <f t="shared" si="5"/>
        <v xml:space="preserve">[W1203.E] </v>
      </c>
    </row>
    <row r="144" spans="1:22" s="49" customFormat="1" ht="14.15" customHeight="1">
      <c r="A144" s="43"/>
      <c r="B144" s="44" t="s">
        <v>6637</v>
      </c>
      <c r="C144" s="32"/>
      <c r="D144" s="10" t="s">
        <v>29</v>
      </c>
      <c r="E144" s="11"/>
      <c r="F144" s="11" t="s">
        <v>18</v>
      </c>
      <c r="G144" s="13"/>
      <c r="H144" s="45" t="s">
        <v>16</v>
      </c>
      <c r="I144" s="46"/>
      <c r="J144" s="12" t="s">
        <v>218</v>
      </c>
      <c r="K144" s="13" t="s">
        <v>6914</v>
      </c>
      <c r="L144" s="99" t="str">
        <f t="shared" si="4"/>
        <v>W1203.F</v>
      </c>
      <c r="M144" s="13"/>
      <c r="N144" s="13"/>
      <c r="O144" s="13"/>
      <c r="P144" s="47"/>
      <c r="Q144" s="45"/>
      <c r="R144" s="45"/>
      <c r="S144" s="48"/>
      <c r="T144" s="49" t="str">
        <f t="shared" si="6"/>
        <v>[W1203.F]</v>
      </c>
      <c r="U144" s="12" t="str">
        <f t="shared" si="7"/>
        <v xml:space="preserve"> </v>
      </c>
      <c r="V144" s="49" t="str">
        <f t="shared" si="5"/>
        <v xml:space="preserve">[W1203.F] </v>
      </c>
    </row>
    <row r="145" spans="1:22" s="49" customFormat="1" ht="14.15" customHeight="1">
      <c r="A145" s="43"/>
      <c r="B145" s="44" t="s">
        <v>6637</v>
      </c>
      <c r="C145" s="32"/>
      <c r="D145" s="10" t="s">
        <v>29</v>
      </c>
      <c r="E145" s="11"/>
      <c r="F145" s="11" t="s">
        <v>18</v>
      </c>
      <c r="G145" s="13"/>
      <c r="H145" s="45" t="s">
        <v>16</v>
      </c>
      <c r="I145" s="46"/>
      <c r="J145" s="12" t="s">
        <v>219</v>
      </c>
      <c r="K145" s="13" t="s">
        <v>6915</v>
      </c>
      <c r="L145" s="99" t="str">
        <f t="shared" si="4"/>
        <v>W1204.0</v>
      </c>
      <c r="M145" s="13"/>
      <c r="N145" s="13"/>
      <c r="O145" s="13"/>
      <c r="P145" s="47"/>
      <c r="Q145" s="45"/>
      <c r="R145" s="45"/>
      <c r="S145" s="48"/>
      <c r="T145" s="49" t="str">
        <f t="shared" ref="T145:T168" si="8">"["&amp;L145&amp;"]"</f>
        <v>[W1204.0]</v>
      </c>
      <c r="U145" s="12" t="str">
        <f t="shared" ref="U145:U168" si="9">RIGHT(J145,LEN(J145)-7)</f>
        <v xml:space="preserve"> </v>
      </c>
      <c r="V145" s="49" t="str">
        <f t="shared" si="5"/>
        <v xml:space="preserve">[W1204.0] </v>
      </c>
    </row>
    <row r="146" spans="1:22" s="49" customFormat="1" ht="14.15" customHeight="1">
      <c r="A146" s="43"/>
      <c r="B146" s="44" t="s">
        <v>6637</v>
      </c>
      <c r="C146" s="32"/>
      <c r="D146" s="10" t="s">
        <v>29</v>
      </c>
      <c r="E146" s="11"/>
      <c r="F146" s="11" t="s">
        <v>18</v>
      </c>
      <c r="G146" s="13"/>
      <c r="H146" s="45" t="s">
        <v>16</v>
      </c>
      <c r="I146" s="46"/>
      <c r="J146" s="12" t="s">
        <v>220</v>
      </c>
      <c r="K146" s="13" t="s">
        <v>6916</v>
      </c>
      <c r="L146" s="99" t="str">
        <f t="shared" ref="L146:L209" si="10">"W"&amp;DEC2HEX(4608 + INT((ROW()-81)/16)) &amp; "." &amp; IF(MOD(ROW()-81,16)&lt;10,MOD(ROW()-81,16),CHAR(MOD(ROW()-81,16)+55))</f>
        <v>W1204.1</v>
      </c>
      <c r="M146" s="13"/>
      <c r="N146" s="13"/>
      <c r="O146" s="13"/>
      <c r="P146" s="47"/>
      <c r="Q146" s="45"/>
      <c r="R146" s="45"/>
      <c r="S146" s="48"/>
      <c r="T146" s="49" t="str">
        <f t="shared" si="8"/>
        <v>[W1204.1]</v>
      </c>
      <c r="U146" s="12" t="str">
        <f t="shared" si="9"/>
        <v xml:space="preserve"> </v>
      </c>
      <c r="V146" s="49" t="str">
        <f t="shared" ref="V146:V209" si="11">T146&amp;U146</f>
        <v xml:space="preserve">[W1204.1] </v>
      </c>
    </row>
    <row r="147" spans="1:22" s="49" customFormat="1" ht="14.15" customHeight="1">
      <c r="A147" s="43"/>
      <c r="B147" s="44" t="s">
        <v>6637</v>
      </c>
      <c r="C147" s="32"/>
      <c r="D147" s="10" t="s">
        <v>29</v>
      </c>
      <c r="E147" s="11"/>
      <c r="F147" s="11" t="s">
        <v>18</v>
      </c>
      <c r="G147" s="13"/>
      <c r="H147" s="45" t="s">
        <v>16</v>
      </c>
      <c r="I147" s="46"/>
      <c r="J147" s="12" t="s">
        <v>221</v>
      </c>
      <c r="K147" s="13" t="s">
        <v>6917</v>
      </c>
      <c r="L147" s="99" t="str">
        <f t="shared" si="10"/>
        <v>W1204.2</v>
      </c>
      <c r="M147" s="13"/>
      <c r="N147" s="13"/>
      <c r="O147" s="13"/>
      <c r="P147" s="47"/>
      <c r="Q147" s="45"/>
      <c r="R147" s="45"/>
      <c r="S147" s="48"/>
      <c r="T147" s="49" t="str">
        <f t="shared" si="8"/>
        <v>[W1204.2]</v>
      </c>
      <c r="U147" s="12" t="str">
        <f t="shared" si="9"/>
        <v xml:space="preserve"> </v>
      </c>
      <c r="V147" s="49" t="str">
        <f t="shared" si="11"/>
        <v xml:space="preserve">[W1204.2] </v>
      </c>
    </row>
    <row r="148" spans="1:22" s="49" customFormat="1" ht="14.15" customHeight="1">
      <c r="A148" s="43"/>
      <c r="B148" s="44" t="s">
        <v>6637</v>
      </c>
      <c r="C148" s="32"/>
      <c r="D148" s="10" t="s">
        <v>29</v>
      </c>
      <c r="E148" s="11"/>
      <c r="F148" s="11" t="s">
        <v>18</v>
      </c>
      <c r="G148" s="13"/>
      <c r="H148" s="45" t="s">
        <v>16</v>
      </c>
      <c r="I148" s="46"/>
      <c r="J148" s="12" t="s">
        <v>222</v>
      </c>
      <c r="K148" s="13" t="s">
        <v>6918</v>
      </c>
      <c r="L148" s="99" t="str">
        <f t="shared" si="10"/>
        <v>W1204.3</v>
      </c>
      <c r="M148" s="13"/>
      <c r="N148" s="13"/>
      <c r="O148" s="13"/>
      <c r="P148" s="47"/>
      <c r="Q148" s="45"/>
      <c r="R148" s="45"/>
      <c r="S148" s="48"/>
      <c r="T148" s="49" t="str">
        <f t="shared" si="8"/>
        <v>[W1204.3]</v>
      </c>
      <c r="U148" s="12" t="str">
        <f t="shared" si="9"/>
        <v xml:space="preserve"> </v>
      </c>
      <c r="V148" s="49" t="str">
        <f t="shared" si="11"/>
        <v xml:space="preserve">[W1204.3] </v>
      </c>
    </row>
    <row r="149" spans="1:22" s="49" customFormat="1" ht="14.15" customHeight="1">
      <c r="A149" s="43"/>
      <c r="B149" s="44" t="s">
        <v>6637</v>
      </c>
      <c r="C149" s="32"/>
      <c r="D149" s="10" t="s">
        <v>29</v>
      </c>
      <c r="E149" s="11"/>
      <c r="F149" s="11" t="s">
        <v>18</v>
      </c>
      <c r="G149" s="13"/>
      <c r="H149" s="45" t="s">
        <v>16</v>
      </c>
      <c r="I149" s="46"/>
      <c r="J149" s="12" t="s">
        <v>223</v>
      </c>
      <c r="K149" s="13" t="s">
        <v>6919</v>
      </c>
      <c r="L149" s="99" t="str">
        <f t="shared" si="10"/>
        <v>W1204.4</v>
      </c>
      <c r="M149" s="13"/>
      <c r="N149" s="13"/>
      <c r="O149" s="13"/>
      <c r="P149" s="47"/>
      <c r="Q149" s="45"/>
      <c r="R149" s="45"/>
      <c r="S149" s="48"/>
      <c r="T149" s="49" t="str">
        <f t="shared" si="8"/>
        <v>[W1204.4]</v>
      </c>
      <c r="U149" s="12" t="str">
        <f t="shared" si="9"/>
        <v xml:space="preserve"> </v>
      </c>
      <c r="V149" s="49" t="str">
        <f t="shared" si="11"/>
        <v xml:space="preserve">[W1204.4] </v>
      </c>
    </row>
    <row r="150" spans="1:22" s="49" customFormat="1" ht="14.15" customHeight="1">
      <c r="A150" s="43"/>
      <c r="B150" s="44" t="s">
        <v>6637</v>
      </c>
      <c r="C150" s="32"/>
      <c r="D150" s="10" t="s">
        <v>29</v>
      </c>
      <c r="E150" s="11"/>
      <c r="F150" s="11" t="s">
        <v>18</v>
      </c>
      <c r="G150" s="13"/>
      <c r="H150" s="45" t="s">
        <v>16</v>
      </c>
      <c r="I150" s="46"/>
      <c r="J150" s="12" t="s">
        <v>224</v>
      </c>
      <c r="K150" s="13" t="s">
        <v>6920</v>
      </c>
      <c r="L150" s="99" t="str">
        <f t="shared" si="10"/>
        <v>W1204.5</v>
      </c>
      <c r="M150" s="13"/>
      <c r="N150" s="13"/>
      <c r="O150" s="13"/>
      <c r="P150" s="47"/>
      <c r="Q150" s="45"/>
      <c r="R150" s="45"/>
      <c r="S150" s="48"/>
      <c r="T150" s="49" t="str">
        <f t="shared" si="8"/>
        <v>[W1204.5]</v>
      </c>
      <c r="U150" s="12" t="str">
        <f t="shared" si="9"/>
        <v xml:space="preserve"> </v>
      </c>
      <c r="V150" s="49" t="str">
        <f t="shared" si="11"/>
        <v xml:space="preserve">[W1204.5] </v>
      </c>
    </row>
    <row r="151" spans="1:22" s="49" customFormat="1" ht="14.15" customHeight="1">
      <c r="A151" s="43"/>
      <c r="B151" s="44" t="s">
        <v>6637</v>
      </c>
      <c r="C151" s="32"/>
      <c r="D151" s="10" t="s">
        <v>29</v>
      </c>
      <c r="E151" s="11"/>
      <c r="F151" s="11" t="s">
        <v>18</v>
      </c>
      <c r="G151" s="13"/>
      <c r="H151" s="45" t="s">
        <v>16</v>
      </c>
      <c r="I151" s="46"/>
      <c r="J151" s="12" t="s">
        <v>225</v>
      </c>
      <c r="K151" s="13" t="s">
        <v>6921</v>
      </c>
      <c r="L151" s="99" t="str">
        <f t="shared" si="10"/>
        <v>W1204.6</v>
      </c>
      <c r="M151" s="13"/>
      <c r="N151" s="13"/>
      <c r="O151" s="13"/>
      <c r="P151" s="47"/>
      <c r="Q151" s="45"/>
      <c r="R151" s="45"/>
      <c r="S151" s="48"/>
      <c r="T151" s="49" t="str">
        <f t="shared" si="8"/>
        <v>[W1204.6]</v>
      </c>
      <c r="U151" s="12" t="str">
        <f t="shared" si="9"/>
        <v xml:space="preserve"> </v>
      </c>
      <c r="V151" s="49" t="str">
        <f t="shared" si="11"/>
        <v xml:space="preserve">[W1204.6] </v>
      </c>
    </row>
    <row r="152" spans="1:22" s="49" customFormat="1" ht="14.15" customHeight="1">
      <c r="A152" s="43"/>
      <c r="B152" s="44" t="s">
        <v>6637</v>
      </c>
      <c r="C152" s="32"/>
      <c r="D152" s="10" t="s">
        <v>29</v>
      </c>
      <c r="E152" s="11"/>
      <c r="F152" s="11" t="s">
        <v>18</v>
      </c>
      <c r="G152" s="13"/>
      <c r="H152" s="45" t="s">
        <v>16</v>
      </c>
      <c r="I152" s="46"/>
      <c r="J152" s="12" t="s">
        <v>226</v>
      </c>
      <c r="K152" s="13" t="s">
        <v>6922</v>
      </c>
      <c r="L152" s="99" t="str">
        <f t="shared" si="10"/>
        <v>W1204.7</v>
      </c>
      <c r="M152" s="13"/>
      <c r="N152" s="13"/>
      <c r="O152" s="13"/>
      <c r="P152" s="47"/>
      <c r="Q152" s="45"/>
      <c r="R152" s="45"/>
      <c r="S152" s="48"/>
      <c r="T152" s="49" t="str">
        <f t="shared" si="8"/>
        <v>[W1204.7]</v>
      </c>
      <c r="U152" s="12" t="str">
        <f t="shared" si="9"/>
        <v xml:space="preserve"> </v>
      </c>
      <c r="V152" s="49" t="str">
        <f t="shared" si="11"/>
        <v xml:space="preserve">[W1204.7] </v>
      </c>
    </row>
    <row r="153" spans="1:22" s="49" customFormat="1" ht="14.15" customHeight="1">
      <c r="A153" s="43"/>
      <c r="B153" s="44" t="s">
        <v>6637</v>
      </c>
      <c r="C153" s="32"/>
      <c r="D153" s="10" t="s">
        <v>29</v>
      </c>
      <c r="E153" s="11"/>
      <c r="F153" s="11" t="s">
        <v>18</v>
      </c>
      <c r="G153" s="13"/>
      <c r="H153" s="45" t="s">
        <v>16</v>
      </c>
      <c r="I153" s="46"/>
      <c r="J153" s="12" t="s">
        <v>227</v>
      </c>
      <c r="K153" s="13" t="s">
        <v>6923</v>
      </c>
      <c r="L153" s="99" t="str">
        <f t="shared" si="10"/>
        <v>W1204.8</v>
      </c>
      <c r="M153" s="13"/>
      <c r="N153" s="13"/>
      <c r="O153" s="13"/>
      <c r="P153" s="47"/>
      <c r="Q153" s="45"/>
      <c r="R153" s="45"/>
      <c r="S153" s="48"/>
      <c r="T153" s="49" t="str">
        <f t="shared" si="8"/>
        <v>[W1204.8]</v>
      </c>
      <c r="U153" s="12" t="str">
        <f t="shared" si="9"/>
        <v xml:space="preserve"> </v>
      </c>
      <c r="V153" s="49" t="str">
        <f t="shared" si="11"/>
        <v xml:space="preserve">[W1204.8] </v>
      </c>
    </row>
    <row r="154" spans="1:22" s="49" customFormat="1" ht="14.15" customHeight="1">
      <c r="A154" s="43"/>
      <c r="B154" s="44" t="s">
        <v>6637</v>
      </c>
      <c r="C154" s="32"/>
      <c r="D154" s="10" t="s">
        <v>29</v>
      </c>
      <c r="E154" s="11"/>
      <c r="F154" s="11" t="s">
        <v>18</v>
      </c>
      <c r="G154" s="13"/>
      <c r="H154" s="45" t="s">
        <v>16</v>
      </c>
      <c r="I154" s="46"/>
      <c r="J154" s="12" t="s">
        <v>228</v>
      </c>
      <c r="K154" s="13" t="s">
        <v>6924</v>
      </c>
      <c r="L154" s="99" t="str">
        <f t="shared" si="10"/>
        <v>W1204.9</v>
      </c>
      <c r="M154" s="13"/>
      <c r="N154" s="13"/>
      <c r="O154" s="13"/>
      <c r="P154" s="47"/>
      <c r="Q154" s="45"/>
      <c r="R154" s="45"/>
      <c r="S154" s="48"/>
      <c r="T154" s="49" t="str">
        <f t="shared" si="8"/>
        <v>[W1204.9]</v>
      </c>
      <c r="U154" s="12" t="str">
        <f t="shared" si="9"/>
        <v xml:space="preserve"> </v>
      </c>
      <c r="V154" s="49" t="str">
        <f t="shared" si="11"/>
        <v xml:space="preserve">[W1204.9] </v>
      </c>
    </row>
    <row r="155" spans="1:22" s="49" customFormat="1" ht="14.15" customHeight="1">
      <c r="A155" s="43"/>
      <c r="B155" s="44" t="s">
        <v>6637</v>
      </c>
      <c r="C155" s="32"/>
      <c r="D155" s="10" t="s">
        <v>29</v>
      </c>
      <c r="E155" s="11"/>
      <c r="F155" s="11" t="s">
        <v>18</v>
      </c>
      <c r="G155" s="13"/>
      <c r="H155" s="45" t="s">
        <v>16</v>
      </c>
      <c r="I155" s="46"/>
      <c r="J155" s="12" t="s">
        <v>229</v>
      </c>
      <c r="K155" s="13" t="s">
        <v>6925</v>
      </c>
      <c r="L155" s="99" t="str">
        <f t="shared" si="10"/>
        <v>W1204.A</v>
      </c>
      <c r="M155" s="13"/>
      <c r="N155" s="13"/>
      <c r="O155" s="13"/>
      <c r="P155" s="47"/>
      <c r="Q155" s="45"/>
      <c r="R155" s="45"/>
      <c r="S155" s="48"/>
      <c r="T155" s="49" t="str">
        <f t="shared" si="8"/>
        <v>[W1204.A]</v>
      </c>
      <c r="U155" s="12" t="str">
        <f t="shared" si="9"/>
        <v xml:space="preserve"> </v>
      </c>
      <c r="V155" s="49" t="str">
        <f t="shared" si="11"/>
        <v xml:space="preserve">[W1204.A] </v>
      </c>
    </row>
    <row r="156" spans="1:22" s="49" customFormat="1" ht="14.15" customHeight="1">
      <c r="A156" s="43"/>
      <c r="B156" s="44" t="s">
        <v>6637</v>
      </c>
      <c r="C156" s="32"/>
      <c r="D156" s="10" t="s">
        <v>29</v>
      </c>
      <c r="E156" s="11"/>
      <c r="F156" s="11" t="s">
        <v>18</v>
      </c>
      <c r="G156" s="13"/>
      <c r="H156" s="45" t="s">
        <v>16</v>
      </c>
      <c r="I156" s="46"/>
      <c r="J156" s="12" t="s">
        <v>230</v>
      </c>
      <c r="K156" s="13" t="s">
        <v>6926</v>
      </c>
      <c r="L156" s="99" t="str">
        <f t="shared" si="10"/>
        <v>W1204.B</v>
      </c>
      <c r="M156" s="13"/>
      <c r="N156" s="13"/>
      <c r="O156" s="13"/>
      <c r="P156" s="47"/>
      <c r="Q156" s="45"/>
      <c r="R156" s="45"/>
      <c r="S156" s="48"/>
      <c r="T156" s="49" t="str">
        <f t="shared" si="8"/>
        <v>[W1204.B]</v>
      </c>
      <c r="U156" s="12" t="str">
        <f t="shared" si="9"/>
        <v xml:space="preserve"> </v>
      </c>
      <c r="V156" s="49" t="str">
        <f t="shared" si="11"/>
        <v xml:space="preserve">[W1204.B] </v>
      </c>
    </row>
    <row r="157" spans="1:22" s="49" customFormat="1" ht="14.15" customHeight="1">
      <c r="A157" s="43"/>
      <c r="B157" s="44" t="s">
        <v>6637</v>
      </c>
      <c r="C157" s="32"/>
      <c r="D157" s="10" t="s">
        <v>29</v>
      </c>
      <c r="E157" s="11"/>
      <c r="F157" s="11" t="s">
        <v>18</v>
      </c>
      <c r="G157" s="13"/>
      <c r="H157" s="45" t="s">
        <v>16</v>
      </c>
      <c r="I157" s="46"/>
      <c r="J157" s="12" t="s">
        <v>231</v>
      </c>
      <c r="K157" s="13" t="s">
        <v>6927</v>
      </c>
      <c r="L157" s="99" t="str">
        <f t="shared" si="10"/>
        <v>W1204.C</v>
      </c>
      <c r="M157" s="13"/>
      <c r="N157" s="13"/>
      <c r="O157" s="13"/>
      <c r="P157" s="47"/>
      <c r="Q157" s="45"/>
      <c r="R157" s="45"/>
      <c r="S157" s="48"/>
      <c r="T157" s="49" t="str">
        <f t="shared" si="8"/>
        <v>[W1204.C]</v>
      </c>
      <c r="U157" s="12" t="str">
        <f t="shared" si="9"/>
        <v xml:space="preserve"> </v>
      </c>
      <c r="V157" s="49" t="str">
        <f t="shared" si="11"/>
        <v xml:space="preserve">[W1204.C] </v>
      </c>
    </row>
    <row r="158" spans="1:22" s="49" customFormat="1" ht="14.15" customHeight="1">
      <c r="A158" s="43"/>
      <c r="B158" s="44" t="s">
        <v>6637</v>
      </c>
      <c r="C158" s="32"/>
      <c r="D158" s="10" t="s">
        <v>29</v>
      </c>
      <c r="E158" s="11"/>
      <c r="F158" s="11" t="s">
        <v>18</v>
      </c>
      <c r="G158" s="13"/>
      <c r="H158" s="45" t="s">
        <v>16</v>
      </c>
      <c r="I158" s="46"/>
      <c r="J158" s="12" t="s">
        <v>232</v>
      </c>
      <c r="K158" s="13" t="s">
        <v>6928</v>
      </c>
      <c r="L158" s="99" t="str">
        <f t="shared" si="10"/>
        <v>W1204.D</v>
      </c>
      <c r="M158" s="13"/>
      <c r="N158" s="13"/>
      <c r="O158" s="13"/>
      <c r="P158" s="47"/>
      <c r="Q158" s="45"/>
      <c r="R158" s="45"/>
      <c r="S158" s="48"/>
      <c r="T158" s="49" t="str">
        <f t="shared" si="8"/>
        <v>[W1204.D]</v>
      </c>
      <c r="U158" s="12" t="str">
        <f t="shared" si="9"/>
        <v xml:space="preserve"> </v>
      </c>
      <c r="V158" s="49" t="str">
        <f t="shared" si="11"/>
        <v xml:space="preserve">[W1204.D] </v>
      </c>
    </row>
    <row r="159" spans="1:22" s="49" customFormat="1" ht="14.15" customHeight="1">
      <c r="A159" s="43"/>
      <c r="B159" s="44" t="s">
        <v>6637</v>
      </c>
      <c r="C159" s="32"/>
      <c r="D159" s="10" t="s">
        <v>29</v>
      </c>
      <c r="E159" s="11"/>
      <c r="F159" s="11" t="s">
        <v>18</v>
      </c>
      <c r="G159" s="13"/>
      <c r="H159" s="45" t="s">
        <v>16</v>
      </c>
      <c r="I159" s="46"/>
      <c r="J159" s="12" t="s">
        <v>233</v>
      </c>
      <c r="K159" s="13" t="s">
        <v>6929</v>
      </c>
      <c r="L159" s="99" t="str">
        <f t="shared" si="10"/>
        <v>W1204.E</v>
      </c>
      <c r="M159" s="13"/>
      <c r="N159" s="13"/>
      <c r="O159" s="13"/>
      <c r="P159" s="47"/>
      <c r="Q159" s="45"/>
      <c r="R159" s="45"/>
      <c r="S159" s="48"/>
      <c r="T159" s="49" t="str">
        <f t="shared" si="8"/>
        <v>[W1204.E]</v>
      </c>
      <c r="U159" s="12" t="str">
        <f t="shared" si="9"/>
        <v xml:space="preserve"> </v>
      </c>
      <c r="V159" s="49" t="str">
        <f t="shared" si="11"/>
        <v xml:space="preserve">[W1204.E] </v>
      </c>
    </row>
    <row r="160" spans="1:22" s="49" customFormat="1" ht="14.15" customHeight="1">
      <c r="A160" s="43"/>
      <c r="B160" s="44" t="s">
        <v>6637</v>
      </c>
      <c r="C160" s="32"/>
      <c r="D160" s="10" t="s">
        <v>29</v>
      </c>
      <c r="E160" s="11"/>
      <c r="F160" s="11" t="s">
        <v>18</v>
      </c>
      <c r="G160" s="13"/>
      <c r="H160" s="45" t="s">
        <v>16</v>
      </c>
      <c r="I160" s="46"/>
      <c r="J160" s="12" t="s">
        <v>234</v>
      </c>
      <c r="K160" s="13" t="s">
        <v>6930</v>
      </c>
      <c r="L160" s="99" t="str">
        <f t="shared" si="10"/>
        <v>W1204.F</v>
      </c>
      <c r="M160" s="13"/>
      <c r="N160" s="13"/>
      <c r="O160" s="13"/>
      <c r="P160" s="47"/>
      <c r="Q160" s="45"/>
      <c r="R160" s="45"/>
      <c r="S160" s="48"/>
      <c r="T160" s="49" t="str">
        <f t="shared" si="8"/>
        <v>[W1204.F]</v>
      </c>
      <c r="U160" s="12" t="str">
        <f t="shared" si="9"/>
        <v xml:space="preserve"> </v>
      </c>
      <c r="V160" s="49" t="str">
        <f t="shared" si="11"/>
        <v xml:space="preserve">[W1204.F] </v>
      </c>
    </row>
    <row r="161" spans="1:22" s="49" customFormat="1" ht="14.15" customHeight="1">
      <c r="A161" s="43"/>
      <c r="B161" s="44" t="s">
        <v>6637</v>
      </c>
      <c r="C161" s="32"/>
      <c r="D161" s="10" t="s">
        <v>29</v>
      </c>
      <c r="E161" s="11"/>
      <c r="F161" s="11" t="s">
        <v>18</v>
      </c>
      <c r="G161" s="13"/>
      <c r="H161" s="45" t="s">
        <v>16</v>
      </c>
      <c r="I161" s="46"/>
      <c r="J161" s="12" t="s">
        <v>205</v>
      </c>
      <c r="K161" s="13" t="s">
        <v>6931</v>
      </c>
      <c r="L161" s="99" t="str">
        <f t="shared" si="10"/>
        <v>W1205.0</v>
      </c>
      <c r="M161" s="13"/>
      <c r="N161" s="13"/>
      <c r="O161" s="13"/>
      <c r="P161" s="47"/>
      <c r="Q161" s="45"/>
      <c r="R161" s="45"/>
      <c r="S161" s="48"/>
      <c r="T161" s="49" t="str">
        <f t="shared" si="8"/>
        <v>[W1205.0]</v>
      </c>
      <c r="U161" s="12" t="str">
        <f t="shared" si="9"/>
        <v xml:space="preserve"> </v>
      </c>
      <c r="V161" s="49" t="str">
        <f t="shared" si="11"/>
        <v xml:space="preserve">[W1205.0] </v>
      </c>
    </row>
    <row r="162" spans="1:22" s="49" customFormat="1" ht="14.15" customHeight="1">
      <c r="A162" s="43"/>
      <c r="B162" s="44" t="s">
        <v>6637</v>
      </c>
      <c r="C162" s="32"/>
      <c r="D162" s="10" t="s">
        <v>29</v>
      </c>
      <c r="E162" s="11"/>
      <c r="F162" s="11" t="s">
        <v>18</v>
      </c>
      <c r="G162" s="13"/>
      <c r="H162" s="45" t="s">
        <v>16</v>
      </c>
      <c r="I162" s="46"/>
      <c r="J162" s="12" t="s">
        <v>236</v>
      </c>
      <c r="K162" s="13" t="s">
        <v>6932</v>
      </c>
      <c r="L162" s="99" t="str">
        <f t="shared" si="10"/>
        <v>W1205.1</v>
      </c>
      <c r="M162" s="13"/>
      <c r="N162" s="13"/>
      <c r="O162" s="13"/>
      <c r="P162" s="47"/>
      <c r="Q162" s="45"/>
      <c r="R162" s="45"/>
      <c r="S162" s="48"/>
      <c r="T162" s="49" t="str">
        <f t="shared" si="8"/>
        <v>[W1205.1]</v>
      </c>
      <c r="U162" s="12" t="str">
        <f t="shared" si="9"/>
        <v xml:space="preserve"> </v>
      </c>
      <c r="V162" s="49" t="str">
        <f t="shared" si="11"/>
        <v xml:space="preserve">[W1205.1] </v>
      </c>
    </row>
    <row r="163" spans="1:22" s="49" customFormat="1" ht="14.15" customHeight="1">
      <c r="A163" s="43"/>
      <c r="B163" s="44" t="s">
        <v>6637</v>
      </c>
      <c r="C163" s="32"/>
      <c r="D163" s="10" t="s">
        <v>29</v>
      </c>
      <c r="E163" s="11"/>
      <c r="F163" s="11" t="s">
        <v>18</v>
      </c>
      <c r="G163" s="13"/>
      <c r="H163" s="45" t="s">
        <v>16</v>
      </c>
      <c r="I163" s="46"/>
      <c r="J163" s="12" t="s">
        <v>237</v>
      </c>
      <c r="K163" s="13" t="s">
        <v>6933</v>
      </c>
      <c r="L163" s="99" t="str">
        <f t="shared" si="10"/>
        <v>W1205.2</v>
      </c>
      <c r="M163" s="13"/>
      <c r="N163" s="13"/>
      <c r="O163" s="13"/>
      <c r="P163" s="47"/>
      <c r="Q163" s="45"/>
      <c r="R163" s="45"/>
      <c r="S163" s="48"/>
      <c r="T163" s="49" t="str">
        <f t="shared" si="8"/>
        <v>[W1205.2]</v>
      </c>
      <c r="U163" s="12" t="str">
        <f t="shared" si="9"/>
        <v xml:space="preserve"> </v>
      </c>
      <c r="V163" s="49" t="str">
        <f t="shared" si="11"/>
        <v xml:space="preserve">[W1205.2] </v>
      </c>
    </row>
    <row r="164" spans="1:22" s="49" customFormat="1" ht="14.15" customHeight="1">
      <c r="A164" s="43"/>
      <c r="B164" s="44" t="s">
        <v>6637</v>
      </c>
      <c r="C164" s="32"/>
      <c r="D164" s="10" t="s">
        <v>29</v>
      </c>
      <c r="E164" s="11"/>
      <c r="F164" s="11" t="s">
        <v>18</v>
      </c>
      <c r="G164" s="13"/>
      <c r="H164" s="45" t="s">
        <v>16</v>
      </c>
      <c r="I164" s="46"/>
      <c r="J164" s="12" t="s">
        <v>238</v>
      </c>
      <c r="K164" s="13" t="s">
        <v>6934</v>
      </c>
      <c r="L164" s="99" t="str">
        <f t="shared" si="10"/>
        <v>W1205.3</v>
      </c>
      <c r="M164" s="13"/>
      <c r="N164" s="13"/>
      <c r="O164" s="13"/>
      <c r="P164" s="47"/>
      <c r="Q164" s="45"/>
      <c r="R164" s="45"/>
      <c r="S164" s="48"/>
      <c r="T164" s="49" t="str">
        <f t="shared" si="8"/>
        <v>[W1205.3]</v>
      </c>
      <c r="U164" s="12" t="str">
        <f t="shared" si="9"/>
        <v xml:space="preserve"> </v>
      </c>
      <c r="V164" s="49" t="str">
        <f t="shared" si="11"/>
        <v xml:space="preserve">[W1205.3] </v>
      </c>
    </row>
    <row r="165" spans="1:22" s="49" customFormat="1" ht="14.15" customHeight="1">
      <c r="A165" s="43"/>
      <c r="B165" s="44" t="s">
        <v>6637</v>
      </c>
      <c r="C165" s="32"/>
      <c r="D165" s="10" t="s">
        <v>29</v>
      </c>
      <c r="E165" s="11"/>
      <c r="F165" s="11" t="s">
        <v>18</v>
      </c>
      <c r="G165" s="13"/>
      <c r="H165" s="45" t="s">
        <v>16</v>
      </c>
      <c r="I165" s="46"/>
      <c r="J165" s="12" t="s">
        <v>239</v>
      </c>
      <c r="K165" s="13" t="s">
        <v>6935</v>
      </c>
      <c r="L165" s="99" t="str">
        <f t="shared" si="10"/>
        <v>W1205.4</v>
      </c>
      <c r="M165" s="13"/>
      <c r="N165" s="13"/>
      <c r="O165" s="13"/>
      <c r="P165" s="47"/>
      <c r="Q165" s="45"/>
      <c r="R165" s="45"/>
      <c r="S165" s="48"/>
      <c r="T165" s="49" t="str">
        <f t="shared" si="8"/>
        <v>[W1205.4]</v>
      </c>
      <c r="U165" s="12" t="str">
        <f t="shared" si="9"/>
        <v xml:space="preserve"> </v>
      </c>
      <c r="V165" s="49" t="str">
        <f t="shared" si="11"/>
        <v xml:space="preserve">[W1205.4] </v>
      </c>
    </row>
    <row r="166" spans="1:22" s="49" customFormat="1" ht="14.15" customHeight="1">
      <c r="A166" s="43"/>
      <c r="B166" s="44" t="s">
        <v>6637</v>
      </c>
      <c r="C166" s="32"/>
      <c r="D166" s="10" t="s">
        <v>29</v>
      </c>
      <c r="E166" s="11"/>
      <c r="F166" s="11" t="s">
        <v>18</v>
      </c>
      <c r="G166" s="13"/>
      <c r="H166" s="45" t="s">
        <v>16</v>
      </c>
      <c r="I166" s="46"/>
      <c r="J166" s="12" t="s">
        <v>240</v>
      </c>
      <c r="K166" s="13" t="s">
        <v>6936</v>
      </c>
      <c r="L166" s="99" t="str">
        <f t="shared" si="10"/>
        <v>W1205.5</v>
      </c>
      <c r="M166" s="13"/>
      <c r="N166" s="13"/>
      <c r="O166" s="13"/>
      <c r="P166" s="47"/>
      <c r="Q166" s="45"/>
      <c r="R166" s="45"/>
      <c r="S166" s="48"/>
      <c r="T166" s="49" t="str">
        <f t="shared" si="8"/>
        <v>[W1205.5]</v>
      </c>
      <c r="U166" s="12" t="str">
        <f t="shared" si="9"/>
        <v xml:space="preserve"> </v>
      </c>
      <c r="V166" s="49" t="str">
        <f t="shared" si="11"/>
        <v xml:space="preserve">[W1205.5] </v>
      </c>
    </row>
    <row r="167" spans="1:22" s="49" customFormat="1" ht="14.15" customHeight="1">
      <c r="A167" s="43"/>
      <c r="B167" s="44" t="s">
        <v>6637</v>
      </c>
      <c r="C167" s="32"/>
      <c r="D167" s="10" t="s">
        <v>29</v>
      </c>
      <c r="E167" s="11"/>
      <c r="F167" s="11" t="s">
        <v>18</v>
      </c>
      <c r="G167" s="13"/>
      <c r="H167" s="45" t="s">
        <v>16</v>
      </c>
      <c r="I167" s="46"/>
      <c r="J167" s="12" t="s">
        <v>241</v>
      </c>
      <c r="K167" s="13" t="s">
        <v>6937</v>
      </c>
      <c r="L167" s="99" t="str">
        <f t="shared" si="10"/>
        <v>W1205.6</v>
      </c>
      <c r="M167" s="13"/>
      <c r="N167" s="13"/>
      <c r="O167" s="13"/>
      <c r="P167" s="47"/>
      <c r="Q167" s="45"/>
      <c r="R167" s="45"/>
      <c r="S167" s="48"/>
      <c r="T167" s="49" t="str">
        <f t="shared" si="8"/>
        <v>[W1205.6]</v>
      </c>
      <c r="U167" s="12" t="str">
        <f t="shared" si="9"/>
        <v xml:space="preserve"> </v>
      </c>
      <c r="V167" s="49" t="str">
        <f t="shared" si="11"/>
        <v xml:space="preserve">[W1205.6] </v>
      </c>
    </row>
    <row r="168" spans="1:22" s="49" customFormat="1" ht="14.15" customHeight="1">
      <c r="A168" s="43"/>
      <c r="B168" s="44" t="s">
        <v>6637</v>
      </c>
      <c r="C168" s="32"/>
      <c r="D168" s="10" t="s">
        <v>29</v>
      </c>
      <c r="E168" s="11"/>
      <c r="F168" s="11" t="s">
        <v>18</v>
      </c>
      <c r="G168" s="13"/>
      <c r="H168" s="45" t="s">
        <v>16</v>
      </c>
      <c r="I168" s="46"/>
      <c r="J168" s="12" t="s">
        <v>242</v>
      </c>
      <c r="K168" s="13" t="s">
        <v>6938</v>
      </c>
      <c r="L168" s="99" t="str">
        <f t="shared" si="10"/>
        <v>W1205.7</v>
      </c>
      <c r="M168" s="13"/>
      <c r="N168" s="13"/>
      <c r="O168" s="13"/>
      <c r="P168" s="47"/>
      <c r="Q168" s="45"/>
      <c r="R168" s="45"/>
      <c r="S168" s="48"/>
      <c r="T168" s="49" t="str">
        <f t="shared" si="8"/>
        <v>[W1205.7]</v>
      </c>
      <c r="U168" s="12" t="str">
        <f t="shared" si="9"/>
        <v xml:space="preserve"> </v>
      </c>
      <c r="V168" s="49" t="str">
        <f t="shared" si="11"/>
        <v xml:space="preserve">[W1205.7] </v>
      </c>
    </row>
    <row r="169" spans="1:22" s="49" customFormat="1" ht="14.15" customHeight="1">
      <c r="A169" s="43"/>
      <c r="B169" s="44" t="s">
        <v>6637</v>
      </c>
      <c r="C169" s="32"/>
      <c r="D169" s="10" t="s">
        <v>29</v>
      </c>
      <c r="E169" s="11"/>
      <c r="F169" s="11" t="s">
        <v>18</v>
      </c>
      <c r="G169" s="13"/>
      <c r="H169" s="45" t="s">
        <v>16</v>
      </c>
      <c r="I169" s="46"/>
      <c r="J169" s="12" t="s">
        <v>243</v>
      </c>
      <c r="K169" s="13" t="s">
        <v>6939</v>
      </c>
      <c r="L169" s="99" t="str">
        <f t="shared" si="10"/>
        <v>W1205.8</v>
      </c>
      <c r="M169" s="13"/>
      <c r="N169" s="13"/>
      <c r="O169" s="13"/>
      <c r="P169" s="47"/>
      <c r="Q169" s="45"/>
      <c r="R169" s="45"/>
      <c r="S169" s="48"/>
      <c r="T169" s="49" t="str">
        <f>"["&amp;L139&amp;"]"</f>
        <v>[W1203.A]</v>
      </c>
      <c r="U169" s="12" t="str">
        <f>RIGHT(J139,LEN(J139)-7)</f>
        <v xml:space="preserve"> </v>
      </c>
      <c r="V169" s="49" t="str">
        <f>T139&amp;U139</f>
        <v xml:space="preserve">[W1203.A] </v>
      </c>
    </row>
    <row r="170" spans="1:22" s="49" customFormat="1" ht="14.15" customHeight="1">
      <c r="A170" s="43"/>
      <c r="B170" s="44" t="s">
        <v>6637</v>
      </c>
      <c r="C170" s="32"/>
      <c r="D170" s="10" t="s">
        <v>29</v>
      </c>
      <c r="E170" s="11"/>
      <c r="F170" s="11" t="s">
        <v>18</v>
      </c>
      <c r="G170" s="13"/>
      <c r="H170" s="45" t="s">
        <v>16</v>
      </c>
      <c r="I170" s="46"/>
      <c r="J170" s="12" t="s">
        <v>244</v>
      </c>
      <c r="K170" s="13" t="s">
        <v>6940</v>
      </c>
      <c r="L170" s="99" t="str">
        <f t="shared" si="10"/>
        <v>W1205.9</v>
      </c>
      <c r="M170" s="13"/>
      <c r="N170" s="13"/>
      <c r="O170" s="13"/>
      <c r="P170" s="47"/>
      <c r="Q170" s="45"/>
      <c r="R170" s="45"/>
      <c r="S170" s="48"/>
      <c r="T170" s="49" t="str">
        <f t="shared" ref="T170:T201" si="12">"["&amp;L170&amp;"]"</f>
        <v>[W1205.9]</v>
      </c>
      <c r="U170" s="12" t="str">
        <f t="shared" ref="U170:U201" si="13">RIGHT(J170,LEN(J170)-7)</f>
        <v xml:space="preserve"> </v>
      </c>
      <c r="V170" s="49" t="str">
        <f t="shared" si="11"/>
        <v xml:space="preserve">[W1205.9] </v>
      </c>
    </row>
    <row r="171" spans="1:22" s="49" customFormat="1" ht="14.15" customHeight="1">
      <c r="A171" s="43"/>
      <c r="B171" s="44" t="s">
        <v>6637</v>
      </c>
      <c r="C171" s="32"/>
      <c r="D171" s="10" t="s">
        <v>29</v>
      </c>
      <c r="E171" s="11"/>
      <c r="F171" s="11" t="s">
        <v>18</v>
      </c>
      <c r="G171" s="13"/>
      <c r="H171" s="45" t="s">
        <v>16</v>
      </c>
      <c r="I171" s="46"/>
      <c r="J171" s="12" t="s">
        <v>245</v>
      </c>
      <c r="K171" s="13" t="s">
        <v>6941</v>
      </c>
      <c r="L171" s="99" t="str">
        <f t="shared" si="10"/>
        <v>W1205.A</v>
      </c>
      <c r="M171" s="13"/>
      <c r="N171" s="13"/>
      <c r="O171" s="13"/>
      <c r="P171" s="47"/>
      <c r="Q171" s="45"/>
      <c r="R171" s="45"/>
      <c r="S171" s="48"/>
      <c r="T171" s="49" t="str">
        <f t="shared" si="12"/>
        <v>[W1205.A]</v>
      </c>
      <c r="U171" s="12" t="str">
        <f t="shared" si="13"/>
        <v xml:space="preserve"> </v>
      </c>
      <c r="V171" s="49" t="str">
        <f t="shared" si="11"/>
        <v xml:space="preserve">[W1205.A] </v>
      </c>
    </row>
    <row r="172" spans="1:22" s="49" customFormat="1" ht="14.15" customHeight="1">
      <c r="A172" s="43"/>
      <c r="B172" s="44" t="s">
        <v>6637</v>
      </c>
      <c r="C172" s="32"/>
      <c r="D172" s="10" t="s">
        <v>29</v>
      </c>
      <c r="E172" s="11"/>
      <c r="F172" s="11" t="s">
        <v>18</v>
      </c>
      <c r="G172" s="13"/>
      <c r="H172" s="45" t="s">
        <v>16</v>
      </c>
      <c r="I172" s="46"/>
      <c r="J172" s="12" t="s">
        <v>246</v>
      </c>
      <c r="K172" s="13" t="s">
        <v>6942</v>
      </c>
      <c r="L172" s="99" t="str">
        <f t="shared" si="10"/>
        <v>W1205.B</v>
      </c>
      <c r="M172" s="13"/>
      <c r="N172" s="13"/>
      <c r="O172" s="13"/>
      <c r="P172" s="47"/>
      <c r="Q172" s="45"/>
      <c r="R172" s="45"/>
      <c r="S172" s="48"/>
      <c r="T172" s="49" t="str">
        <f t="shared" si="12"/>
        <v>[W1205.B]</v>
      </c>
      <c r="U172" s="12" t="str">
        <f t="shared" si="13"/>
        <v xml:space="preserve"> </v>
      </c>
      <c r="V172" s="49" t="str">
        <f t="shared" si="11"/>
        <v xml:space="preserve">[W1205.B] </v>
      </c>
    </row>
    <row r="173" spans="1:22" s="49" customFormat="1" ht="14.15" customHeight="1">
      <c r="A173" s="43"/>
      <c r="B173" s="44" t="s">
        <v>6637</v>
      </c>
      <c r="C173" s="32"/>
      <c r="D173" s="10" t="s">
        <v>29</v>
      </c>
      <c r="E173" s="11"/>
      <c r="F173" s="11" t="s">
        <v>18</v>
      </c>
      <c r="G173" s="13"/>
      <c r="H173" s="45" t="s">
        <v>16</v>
      </c>
      <c r="I173" s="46"/>
      <c r="J173" s="12" t="s">
        <v>247</v>
      </c>
      <c r="K173" s="13" t="s">
        <v>6943</v>
      </c>
      <c r="L173" s="99" t="str">
        <f t="shared" si="10"/>
        <v>W1205.C</v>
      </c>
      <c r="M173" s="13"/>
      <c r="N173" s="13"/>
      <c r="O173" s="13"/>
      <c r="P173" s="47"/>
      <c r="Q173" s="45"/>
      <c r="R173" s="45"/>
      <c r="S173" s="48"/>
      <c r="T173" s="49" t="str">
        <f t="shared" si="12"/>
        <v>[W1205.C]</v>
      </c>
      <c r="U173" s="12" t="str">
        <f t="shared" si="13"/>
        <v xml:space="preserve"> </v>
      </c>
      <c r="V173" s="49" t="str">
        <f t="shared" si="11"/>
        <v xml:space="preserve">[W1205.C] </v>
      </c>
    </row>
    <row r="174" spans="1:22" s="49" customFormat="1" ht="14.15" customHeight="1">
      <c r="A174" s="43"/>
      <c r="B174" s="44" t="s">
        <v>6637</v>
      </c>
      <c r="C174" s="32"/>
      <c r="D174" s="10" t="s">
        <v>29</v>
      </c>
      <c r="E174" s="11"/>
      <c r="F174" s="11" t="s">
        <v>18</v>
      </c>
      <c r="G174" s="13"/>
      <c r="H174" s="45" t="s">
        <v>16</v>
      </c>
      <c r="I174" s="46"/>
      <c r="J174" s="12" t="s">
        <v>248</v>
      </c>
      <c r="K174" s="13" t="s">
        <v>6944</v>
      </c>
      <c r="L174" s="99" t="str">
        <f t="shared" si="10"/>
        <v>W1205.D</v>
      </c>
      <c r="M174" s="13"/>
      <c r="N174" s="13"/>
      <c r="O174" s="13"/>
      <c r="P174" s="47"/>
      <c r="Q174" s="45"/>
      <c r="R174" s="45"/>
      <c r="S174" s="48"/>
      <c r="T174" s="49" t="str">
        <f t="shared" si="12"/>
        <v>[W1205.D]</v>
      </c>
      <c r="U174" s="12" t="str">
        <f t="shared" si="13"/>
        <v xml:space="preserve"> </v>
      </c>
      <c r="V174" s="49" t="str">
        <f t="shared" si="11"/>
        <v xml:space="preserve">[W1205.D] </v>
      </c>
    </row>
    <row r="175" spans="1:22" s="49" customFormat="1" ht="14.15" customHeight="1">
      <c r="A175" s="43"/>
      <c r="B175" s="44" t="s">
        <v>6637</v>
      </c>
      <c r="C175" s="32"/>
      <c r="D175" s="10" t="s">
        <v>29</v>
      </c>
      <c r="E175" s="11"/>
      <c r="F175" s="11" t="s">
        <v>18</v>
      </c>
      <c r="G175" s="13"/>
      <c r="H175" s="45" t="s">
        <v>16</v>
      </c>
      <c r="I175" s="46"/>
      <c r="J175" s="12" t="s">
        <v>249</v>
      </c>
      <c r="K175" s="13" t="s">
        <v>6945</v>
      </c>
      <c r="L175" s="99" t="str">
        <f t="shared" si="10"/>
        <v>W1205.E</v>
      </c>
      <c r="M175" s="13"/>
      <c r="N175" s="13"/>
      <c r="O175" s="13"/>
      <c r="P175" s="47"/>
      <c r="Q175" s="45"/>
      <c r="R175" s="45"/>
      <c r="S175" s="48"/>
      <c r="T175" s="49" t="str">
        <f t="shared" si="12"/>
        <v>[W1205.E]</v>
      </c>
      <c r="U175" s="12" t="str">
        <f t="shared" si="13"/>
        <v xml:space="preserve"> </v>
      </c>
      <c r="V175" s="49" t="str">
        <f t="shared" si="11"/>
        <v xml:space="preserve">[W1205.E] </v>
      </c>
    </row>
    <row r="176" spans="1:22" s="49" customFormat="1" ht="14.15" customHeight="1">
      <c r="A176" s="43"/>
      <c r="B176" s="44" t="s">
        <v>6637</v>
      </c>
      <c r="C176" s="32"/>
      <c r="D176" s="10" t="s">
        <v>29</v>
      </c>
      <c r="E176" s="11"/>
      <c r="F176" s="11" t="s">
        <v>18</v>
      </c>
      <c r="G176" s="13"/>
      <c r="H176" s="45" t="s">
        <v>16</v>
      </c>
      <c r="I176" s="46"/>
      <c r="J176" s="12" t="s">
        <v>250</v>
      </c>
      <c r="K176" s="13" t="s">
        <v>6946</v>
      </c>
      <c r="L176" s="99" t="str">
        <f t="shared" si="10"/>
        <v>W1205.F</v>
      </c>
      <c r="M176" s="13"/>
      <c r="N176" s="13"/>
      <c r="O176" s="13"/>
      <c r="P176" s="47"/>
      <c r="Q176" s="45"/>
      <c r="R176" s="45"/>
      <c r="S176" s="48"/>
      <c r="T176" s="49" t="str">
        <f t="shared" si="12"/>
        <v>[W1205.F]</v>
      </c>
      <c r="U176" s="12" t="str">
        <f t="shared" si="13"/>
        <v xml:space="preserve"> </v>
      </c>
      <c r="V176" s="49" t="str">
        <f t="shared" si="11"/>
        <v xml:space="preserve">[W1205.F] </v>
      </c>
    </row>
    <row r="177" spans="1:22" s="49" customFormat="1" ht="14.15" customHeight="1">
      <c r="A177" s="43"/>
      <c r="B177" s="44" t="s">
        <v>6637</v>
      </c>
      <c r="C177" s="32"/>
      <c r="D177" s="10" t="s">
        <v>29</v>
      </c>
      <c r="E177" s="11"/>
      <c r="F177" s="11" t="s">
        <v>18</v>
      </c>
      <c r="G177" s="13"/>
      <c r="H177" s="45" t="s">
        <v>16</v>
      </c>
      <c r="I177" s="46"/>
      <c r="J177" s="12" t="s">
        <v>251</v>
      </c>
      <c r="K177" s="13" t="s">
        <v>6947</v>
      </c>
      <c r="L177" s="99" t="str">
        <f t="shared" si="10"/>
        <v>W1206.0</v>
      </c>
      <c r="M177" s="13"/>
      <c r="N177" s="13"/>
      <c r="O177" s="13"/>
      <c r="P177" s="47"/>
      <c r="Q177" s="45"/>
      <c r="R177" s="45"/>
      <c r="S177" s="48"/>
      <c r="T177" s="49" t="str">
        <f t="shared" si="12"/>
        <v>[W1206.0]</v>
      </c>
      <c r="U177" s="12" t="str">
        <f t="shared" si="13"/>
        <v xml:space="preserve"> </v>
      </c>
      <c r="V177" s="49" t="str">
        <f t="shared" si="11"/>
        <v xml:space="preserve">[W1206.0] </v>
      </c>
    </row>
    <row r="178" spans="1:22" s="49" customFormat="1" ht="14.15" customHeight="1">
      <c r="A178" s="43"/>
      <c r="B178" s="44" t="s">
        <v>6637</v>
      </c>
      <c r="C178" s="32"/>
      <c r="D178" s="10" t="s">
        <v>29</v>
      </c>
      <c r="E178" s="11"/>
      <c r="F178" s="11" t="s">
        <v>18</v>
      </c>
      <c r="G178" s="13"/>
      <c r="H178" s="45" t="s">
        <v>16</v>
      </c>
      <c r="I178" s="46"/>
      <c r="J178" s="12" t="s">
        <v>252</v>
      </c>
      <c r="K178" s="13" t="s">
        <v>6948</v>
      </c>
      <c r="L178" s="99" t="str">
        <f t="shared" si="10"/>
        <v>W1206.1</v>
      </c>
      <c r="M178" s="13"/>
      <c r="N178" s="13"/>
      <c r="O178" s="13"/>
      <c r="P178" s="47"/>
      <c r="Q178" s="45"/>
      <c r="R178" s="45"/>
      <c r="S178" s="48"/>
      <c r="T178" s="49" t="str">
        <f t="shared" si="12"/>
        <v>[W1206.1]</v>
      </c>
      <c r="U178" s="12" t="str">
        <f t="shared" si="13"/>
        <v xml:space="preserve"> </v>
      </c>
      <c r="V178" s="49" t="str">
        <f t="shared" si="11"/>
        <v xml:space="preserve">[W1206.1] </v>
      </c>
    </row>
    <row r="179" spans="1:22" s="49" customFormat="1" ht="14.15" customHeight="1">
      <c r="A179" s="43"/>
      <c r="B179" s="44" t="s">
        <v>6637</v>
      </c>
      <c r="C179" s="32"/>
      <c r="D179" s="10" t="s">
        <v>29</v>
      </c>
      <c r="E179" s="11"/>
      <c r="F179" s="11" t="s">
        <v>18</v>
      </c>
      <c r="G179" s="13"/>
      <c r="H179" s="45" t="s">
        <v>16</v>
      </c>
      <c r="I179" s="46"/>
      <c r="J179" s="12" t="s">
        <v>253</v>
      </c>
      <c r="K179" s="13" t="s">
        <v>6949</v>
      </c>
      <c r="L179" s="99" t="str">
        <f t="shared" si="10"/>
        <v>W1206.2</v>
      </c>
      <c r="M179" s="13"/>
      <c r="N179" s="13"/>
      <c r="O179" s="13"/>
      <c r="P179" s="47"/>
      <c r="Q179" s="45"/>
      <c r="R179" s="45"/>
      <c r="S179" s="48"/>
      <c r="T179" s="49" t="str">
        <f t="shared" si="12"/>
        <v>[W1206.2]</v>
      </c>
      <c r="U179" s="12" t="str">
        <f t="shared" si="13"/>
        <v xml:space="preserve"> </v>
      </c>
      <c r="V179" s="49" t="str">
        <f t="shared" si="11"/>
        <v xml:space="preserve">[W1206.2] </v>
      </c>
    </row>
    <row r="180" spans="1:22" s="49" customFormat="1" ht="14.15" customHeight="1">
      <c r="A180" s="43" t="s">
        <v>3731</v>
      </c>
      <c r="B180" s="44" t="s">
        <v>6637</v>
      </c>
      <c r="C180" s="32"/>
      <c r="D180" s="10" t="s">
        <v>29</v>
      </c>
      <c r="E180" s="11"/>
      <c r="F180" s="11" t="s">
        <v>18</v>
      </c>
      <c r="G180" s="13"/>
      <c r="H180" s="45" t="s">
        <v>16</v>
      </c>
      <c r="I180" s="46"/>
      <c r="J180" s="12" t="s">
        <v>2233</v>
      </c>
      <c r="K180" s="13" t="s">
        <v>6950</v>
      </c>
      <c r="L180" s="99" t="str">
        <f t="shared" si="10"/>
        <v>W1206.3</v>
      </c>
      <c r="M180" s="13" t="s">
        <v>3667</v>
      </c>
      <c r="N180" s="13"/>
      <c r="O180" s="13"/>
      <c r="P180" s="47"/>
      <c r="Q180" s="45"/>
      <c r="R180" s="45"/>
      <c r="S180" s="48"/>
      <c r="T180" s="49" t="str">
        <f t="shared" si="12"/>
        <v>[W1206.3]</v>
      </c>
      <c r="U180" s="12" t="str">
        <f t="shared" si="13"/>
        <v xml:space="preserve"> 어퍼 커버 로딩 셔틀#1(SD201) 운전중에 Ready가 Off 되었습니다.</v>
      </c>
      <c r="V180" s="49" t="str">
        <f t="shared" si="11"/>
        <v>[W1206.3] 어퍼 커버 로딩 셔틀#1(SD201) 운전중에 Ready가 Off 되었습니다.</v>
      </c>
    </row>
    <row r="181" spans="1:22" s="49" customFormat="1" ht="14.15" customHeight="1">
      <c r="A181" s="43" t="s">
        <v>3731</v>
      </c>
      <c r="B181" s="44" t="s">
        <v>6637</v>
      </c>
      <c r="C181" s="32"/>
      <c r="D181" s="10" t="s">
        <v>29</v>
      </c>
      <c r="E181" s="11"/>
      <c r="F181" s="11" t="s">
        <v>18</v>
      </c>
      <c r="G181" s="13"/>
      <c r="H181" s="45" t="s">
        <v>16</v>
      </c>
      <c r="I181" s="46"/>
      <c r="J181" s="12" t="s">
        <v>2234</v>
      </c>
      <c r="K181" s="13" t="s">
        <v>6951</v>
      </c>
      <c r="L181" s="99" t="str">
        <f t="shared" si="10"/>
        <v>W1206.4</v>
      </c>
      <c r="M181" s="13" t="s">
        <v>3667</v>
      </c>
      <c r="N181" s="13"/>
      <c r="O181" s="13"/>
      <c r="P181" s="47"/>
      <c r="Q181" s="45"/>
      <c r="R181" s="45"/>
      <c r="S181" s="48"/>
      <c r="T181" s="49" t="str">
        <f t="shared" si="12"/>
        <v>[W1206.4]</v>
      </c>
      <c r="U181" s="12" t="str">
        <f t="shared" si="13"/>
        <v xml:space="preserve"> 어퍼 커버 로딩 셔틀#1(SD201) FLS가 감지되었습니다.</v>
      </c>
      <c r="V181" s="49" t="str">
        <f t="shared" si="11"/>
        <v>[W1206.4] 어퍼 커버 로딩 셔틀#1(SD201) FLS가 감지되었습니다.</v>
      </c>
    </row>
    <row r="182" spans="1:22" s="49" customFormat="1" ht="14.15" customHeight="1">
      <c r="A182" s="43" t="s">
        <v>3731</v>
      </c>
      <c r="B182" s="44" t="s">
        <v>6637</v>
      </c>
      <c r="C182" s="32"/>
      <c r="D182" s="10" t="s">
        <v>29</v>
      </c>
      <c r="E182" s="11"/>
      <c r="F182" s="11" t="s">
        <v>18</v>
      </c>
      <c r="G182" s="13"/>
      <c r="H182" s="45" t="s">
        <v>16</v>
      </c>
      <c r="I182" s="46"/>
      <c r="J182" s="12" t="s">
        <v>2235</v>
      </c>
      <c r="K182" s="13" t="s">
        <v>6952</v>
      </c>
      <c r="L182" s="99" t="str">
        <f t="shared" si="10"/>
        <v>W1206.5</v>
      </c>
      <c r="M182" s="13" t="s">
        <v>3667</v>
      </c>
      <c r="N182" s="13"/>
      <c r="O182" s="13"/>
      <c r="P182" s="47"/>
      <c r="Q182" s="45"/>
      <c r="R182" s="45"/>
      <c r="S182" s="48"/>
      <c r="T182" s="49" t="str">
        <f t="shared" si="12"/>
        <v>[W1206.5]</v>
      </c>
      <c r="U182" s="12" t="str">
        <f t="shared" si="13"/>
        <v xml:space="preserve"> 어퍼 커버 로딩 셔틀#1(SD201) RLS가 감지되었습니다.</v>
      </c>
      <c r="V182" s="49" t="str">
        <f t="shared" si="11"/>
        <v>[W1206.5] 어퍼 커버 로딩 셔틀#1(SD201) RLS가 감지되었습니다.</v>
      </c>
    </row>
    <row r="183" spans="1:22" s="49" customFormat="1" ht="14.15" customHeight="1">
      <c r="A183" s="43" t="s">
        <v>3731</v>
      </c>
      <c r="B183" s="44" t="s">
        <v>6637</v>
      </c>
      <c r="C183" s="32"/>
      <c r="D183" s="10" t="s">
        <v>29</v>
      </c>
      <c r="E183" s="11"/>
      <c r="F183" s="11" t="s">
        <v>18</v>
      </c>
      <c r="G183" s="13"/>
      <c r="H183" s="45" t="s">
        <v>16</v>
      </c>
      <c r="I183" s="46"/>
      <c r="J183" s="12" t="s">
        <v>2236</v>
      </c>
      <c r="K183" s="13" t="s">
        <v>6953</v>
      </c>
      <c r="L183" s="99" t="str">
        <f t="shared" si="10"/>
        <v>W1206.6</v>
      </c>
      <c r="M183" s="13" t="s">
        <v>3667</v>
      </c>
      <c r="N183" s="13"/>
      <c r="O183" s="13"/>
      <c r="P183" s="47"/>
      <c r="Q183" s="45"/>
      <c r="R183" s="45"/>
      <c r="S183" s="48"/>
      <c r="T183" s="49" t="str">
        <f t="shared" si="12"/>
        <v>[W1206.6]</v>
      </c>
      <c r="U183" s="12" t="str">
        <f t="shared" si="13"/>
        <v xml:space="preserve"> 어퍼 커버 로딩 셔틀#1(SD201) Stop 명령이 On된 상태에서 기동을 시도했습니다.</v>
      </c>
      <c r="V183" s="49" t="str">
        <f t="shared" si="11"/>
        <v>[W1206.6] 어퍼 커버 로딩 셔틀#1(SD201) Stop 명령이 On된 상태에서 기동을 시도했습니다.</v>
      </c>
    </row>
    <row r="184" spans="1:22" s="49" customFormat="1" ht="14.15" customHeight="1">
      <c r="A184" s="43" t="s">
        <v>3731</v>
      </c>
      <c r="B184" s="44" t="s">
        <v>6637</v>
      </c>
      <c r="C184" s="32"/>
      <c r="D184" s="10" t="s">
        <v>29</v>
      </c>
      <c r="E184" s="11"/>
      <c r="F184" s="11" t="s">
        <v>18</v>
      </c>
      <c r="G184" s="13"/>
      <c r="H184" s="45" t="s">
        <v>16</v>
      </c>
      <c r="I184" s="46"/>
      <c r="J184" s="12" t="s">
        <v>2237</v>
      </c>
      <c r="K184" s="13" t="s">
        <v>6954</v>
      </c>
      <c r="L184" s="99" t="str">
        <f t="shared" si="10"/>
        <v>W1206.7</v>
      </c>
      <c r="M184" s="13" t="s">
        <v>3667</v>
      </c>
      <c r="N184" s="13"/>
      <c r="O184" s="13"/>
      <c r="P184" s="47"/>
      <c r="Q184" s="45"/>
      <c r="R184" s="45"/>
      <c r="S184" s="48"/>
      <c r="T184" s="49" t="str">
        <f t="shared" si="12"/>
        <v>[W1206.7]</v>
      </c>
      <c r="U184" s="12" t="str">
        <f t="shared" si="13"/>
        <v xml:space="preserve"> 어퍼 커버 로딩 셔틀#1(SD201) 가동 전원이 Off 되었습니다.</v>
      </c>
      <c r="V184" s="49" t="str">
        <f t="shared" si="11"/>
        <v>[W1206.7] 어퍼 커버 로딩 셔틀#1(SD201) 가동 전원이 Off 되었습니다.</v>
      </c>
    </row>
    <row r="185" spans="1:22" s="49" customFormat="1" ht="14.15" customHeight="1">
      <c r="A185" s="43" t="s">
        <v>3731</v>
      </c>
      <c r="B185" s="44" t="s">
        <v>6637</v>
      </c>
      <c r="C185" s="32"/>
      <c r="D185" s="10" t="s">
        <v>29</v>
      </c>
      <c r="E185" s="11"/>
      <c r="F185" s="11" t="s">
        <v>18</v>
      </c>
      <c r="G185" s="13"/>
      <c r="H185" s="45" t="s">
        <v>16</v>
      </c>
      <c r="I185" s="46"/>
      <c r="J185" s="12" t="s">
        <v>2238</v>
      </c>
      <c r="K185" s="13" t="s">
        <v>6955</v>
      </c>
      <c r="L185" s="99" t="str">
        <f t="shared" si="10"/>
        <v>W1206.8</v>
      </c>
      <c r="M185" s="13" t="s">
        <v>3667</v>
      </c>
      <c r="N185" s="13"/>
      <c r="O185" s="13"/>
      <c r="P185" s="47"/>
      <c r="Q185" s="45"/>
      <c r="R185" s="45"/>
      <c r="S185" s="48"/>
      <c r="T185" s="49" t="str">
        <f t="shared" si="12"/>
        <v>[W1206.8]</v>
      </c>
      <c r="U185" s="12" t="str">
        <f t="shared" si="13"/>
        <v xml:space="preserve"> 어퍼 커버 로딩 셔틀#1(SD201) 엔코더 이상이 검출되었습니다.</v>
      </c>
      <c r="V185" s="49" t="str">
        <f t="shared" si="11"/>
        <v>[W1206.8] 어퍼 커버 로딩 셔틀#1(SD201) 엔코더 이상이 검출되었습니다.</v>
      </c>
    </row>
    <row r="186" spans="1:22" s="49" customFormat="1" ht="14.15" customHeight="1">
      <c r="A186" s="43" t="s">
        <v>3731</v>
      </c>
      <c r="B186" s="44" t="s">
        <v>6637</v>
      </c>
      <c r="C186" s="32"/>
      <c r="D186" s="10" t="s">
        <v>29</v>
      </c>
      <c r="E186" s="11"/>
      <c r="F186" s="11" t="s">
        <v>18</v>
      </c>
      <c r="G186" s="13"/>
      <c r="H186" s="45" t="s">
        <v>16</v>
      </c>
      <c r="I186" s="46"/>
      <c r="J186" s="12" t="s">
        <v>2239</v>
      </c>
      <c r="K186" s="13" t="s">
        <v>6956</v>
      </c>
      <c r="L186" s="99" t="str">
        <f t="shared" si="10"/>
        <v>W1206.9</v>
      </c>
      <c r="M186" s="13" t="s">
        <v>3667</v>
      </c>
      <c r="N186" s="13"/>
      <c r="O186" s="13"/>
      <c r="P186" s="47"/>
      <c r="Q186" s="45"/>
      <c r="R186" s="45"/>
      <c r="S186" s="48"/>
      <c r="T186" s="49" t="str">
        <f t="shared" si="12"/>
        <v>[W1206.9]</v>
      </c>
      <c r="U186" s="12" t="str">
        <f t="shared" si="13"/>
        <v xml:space="preserve"> 어퍼 커버 로딩 셔틀#1(SD201) 과전류가 검출되었습니다.</v>
      </c>
      <c r="V186" s="49" t="str">
        <f t="shared" si="11"/>
        <v>[W1206.9] 어퍼 커버 로딩 셔틀#1(SD201) 과전류가 검출되었습니다.</v>
      </c>
    </row>
    <row r="187" spans="1:22" s="49" customFormat="1" ht="14.15" customHeight="1">
      <c r="A187" s="43" t="s">
        <v>3731</v>
      </c>
      <c r="B187" s="44" t="s">
        <v>6637</v>
      </c>
      <c r="C187" s="32"/>
      <c r="D187" s="10" t="s">
        <v>29</v>
      </c>
      <c r="E187" s="11"/>
      <c r="F187" s="11" t="s">
        <v>18</v>
      </c>
      <c r="G187" s="13"/>
      <c r="H187" s="45" t="s">
        <v>16</v>
      </c>
      <c r="I187" s="46"/>
      <c r="J187" s="12" t="s">
        <v>2240</v>
      </c>
      <c r="K187" s="13" t="s">
        <v>6957</v>
      </c>
      <c r="L187" s="99" t="str">
        <f t="shared" si="10"/>
        <v>W1206.A</v>
      </c>
      <c r="M187" s="13" t="s">
        <v>3667</v>
      </c>
      <c r="N187" s="13"/>
      <c r="O187" s="13"/>
      <c r="P187" s="47"/>
      <c r="Q187" s="45"/>
      <c r="R187" s="45"/>
      <c r="S187" s="48"/>
      <c r="T187" s="49" t="str">
        <f t="shared" si="12"/>
        <v>[W1206.A]</v>
      </c>
      <c r="U187" s="12" t="str">
        <f t="shared" si="13"/>
        <v xml:space="preserve"> 어퍼 커버 로딩 셔틀#1(SD201) 과부하가 검출되었습니다.</v>
      </c>
      <c r="V187" s="49" t="str">
        <f t="shared" si="11"/>
        <v>[W1206.A] 어퍼 커버 로딩 셔틀#1(SD201) 과부하가 검출되었습니다.</v>
      </c>
    </row>
    <row r="188" spans="1:22" s="49" customFormat="1" ht="14.15" customHeight="1">
      <c r="A188" s="43" t="s">
        <v>3731</v>
      </c>
      <c r="B188" s="44" t="s">
        <v>6637</v>
      </c>
      <c r="C188" s="32"/>
      <c r="D188" s="10" t="s">
        <v>29</v>
      </c>
      <c r="E188" s="11"/>
      <c r="F188" s="11" t="s">
        <v>18</v>
      </c>
      <c r="G188" s="13"/>
      <c r="H188" s="45" t="s">
        <v>16</v>
      </c>
      <c r="I188" s="46"/>
      <c r="J188" s="12" t="s">
        <v>2241</v>
      </c>
      <c r="K188" s="13" t="s">
        <v>6958</v>
      </c>
      <c r="L188" s="99" t="str">
        <f t="shared" si="10"/>
        <v>W1206.B</v>
      </c>
      <c r="M188" s="13" t="s">
        <v>3667</v>
      </c>
      <c r="N188" s="13"/>
      <c r="O188" s="13"/>
      <c r="P188" s="47"/>
      <c r="Q188" s="45"/>
      <c r="R188" s="45"/>
      <c r="S188" s="48"/>
      <c r="T188" s="49" t="str">
        <f t="shared" si="12"/>
        <v>[W1206.B]</v>
      </c>
      <c r="U188" s="12" t="str">
        <f t="shared" si="13"/>
        <v xml:space="preserve"> 어퍼 커버 로딩 셔틀#1(SD201)  </v>
      </c>
      <c r="V188" s="49" t="str">
        <f t="shared" si="11"/>
        <v xml:space="preserve">[W1206.B] 어퍼 커버 로딩 셔틀#1(SD201)  </v>
      </c>
    </row>
    <row r="189" spans="1:22" s="49" customFormat="1" ht="14.15" customHeight="1">
      <c r="A189" s="43" t="s">
        <v>3731</v>
      </c>
      <c r="B189" s="44" t="s">
        <v>6637</v>
      </c>
      <c r="C189" s="32"/>
      <c r="D189" s="10" t="s">
        <v>29</v>
      </c>
      <c r="E189" s="11"/>
      <c r="F189" s="11" t="s">
        <v>18</v>
      </c>
      <c r="G189" s="13"/>
      <c r="H189" s="45" t="s">
        <v>16</v>
      </c>
      <c r="I189" s="46"/>
      <c r="J189" s="12" t="s">
        <v>2242</v>
      </c>
      <c r="K189" s="13" t="s">
        <v>6959</v>
      </c>
      <c r="L189" s="99" t="str">
        <f t="shared" si="10"/>
        <v>W1206.C</v>
      </c>
      <c r="M189" s="13" t="s">
        <v>3667</v>
      </c>
      <c r="N189" s="13"/>
      <c r="O189" s="13"/>
      <c r="P189" s="47"/>
      <c r="Q189" s="45"/>
      <c r="R189" s="45"/>
      <c r="S189" s="48"/>
      <c r="T189" s="49" t="str">
        <f t="shared" si="12"/>
        <v>[W1206.C]</v>
      </c>
      <c r="U189" s="12" t="str">
        <f t="shared" si="13"/>
        <v xml:space="preserve"> 어퍼 커버 로딩 셔틀#1(SD201) 에러가 발생했습니다.</v>
      </c>
      <c r="V189" s="49" t="str">
        <f t="shared" si="11"/>
        <v>[W1206.C] 어퍼 커버 로딩 셔틀#1(SD201) 에러가 발생했습니다.</v>
      </c>
    </row>
    <row r="190" spans="1:22" s="49" customFormat="1" ht="14.15" customHeight="1">
      <c r="A190" s="43" t="s">
        <v>3731</v>
      </c>
      <c r="B190" s="44" t="s">
        <v>6637</v>
      </c>
      <c r="C190" s="32"/>
      <c r="D190" s="10" t="s">
        <v>29</v>
      </c>
      <c r="E190" s="11"/>
      <c r="F190" s="11" t="s">
        <v>18</v>
      </c>
      <c r="G190" s="13"/>
      <c r="H190" s="45" t="s">
        <v>16</v>
      </c>
      <c r="I190" s="46"/>
      <c r="J190" s="12" t="s">
        <v>2243</v>
      </c>
      <c r="K190" s="13" t="s">
        <v>6960</v>
      </c>
      <c r="L190" s="99" t="str">
        <f t="shared" si="10"/>
        <v>W1206.D</v>
      </c>
      <c r="M190" s="13" t="s">
        <v>3667</v>
      </c>
      <c r="N190" s="13"/>
      <c r="O190" s="13"/>
      <c r="P190" s="47"/>
      <c r="Q190" s="45"/>
      <c r="R190" s="45"/>
      <c r="S190" s="48"/>
      <c r="T190" s="49" t="str">
        <f t="shared" si="12"/>
        <v>[W1206.D]</v>
      </c>
      <c r="U190" s="12" t="str">
        <f t="shared" si="13"/>
        <v xml:space="preserve"> 어퍼 커버 로딩 셔틀#2(SD202) 운전중에 Ready가 Off 되었습니다.</v>
      </c>
      <c r="V190" s="49" t="str">
        <f t="shared" si="11"/>
        <v>[W1206.D] 어퍼 커버 로딩 셔틀#2(SD202) 운전중에 Ready가 Off 되었습니다.</v>
      </c>
    </row>
    <row r="191" spans="1:22" s="49" customFormat="1" ht="14.15" customHeight="1">
      <c r="A191" s="43" t="s">
        <v>3731</v>
      </c>
      <c r="B191" s="44" t="s">
        <v>6637</v>
      </c>
      <c r="C191" s="32"/>
      <c r="D191" s="10" t="s">
        <v>29</v>
      </c>
      <c r="E191" s="11"/>
      <c r="F191" s="11" t="s">
        <v>18</v>
      </c>
      <c r="G191" s="13"/>
      <c r="H191" s="45" t="s">
        <v>16</v>
      </c>
      <c r="I191" s="46"/>
      <c r="J191" s="12" t="s">
        <v>2244</v>
      </c>
      <c r="K191" s="13" t="s">
        <v>6961</v>
      </c>
      <c r="L191" s="99" t="str">
        <f t="shared" si="10"/>
        <v>W1206.E</v>
      </c>
      <c r="M191" s="13" t="s">
        <v>3667</v>
      </c>
      <c r="N191" s="13"/>
      <c r="O191" s="13"/>
      <c r="P191" s="47"/>
      <c r="Q191" s="45"/>
      <c r="R191" s="45"/>
      <c r="S191" s="48"/>
      <c r="T191" s="49" t="str">
        <f t="shared" si="12"/>
        <v>[W1206.E]</v>
      </c>
      <c r="U191" s="12" t="str">
        <f t="shared" si="13"/>
        <v xml:space="preserve"> 어퍼 커버 로딩 셔틀#2(SD202) FLS가 감지되었습니다.</v>
      </c>
      <c r="V191" s="49" t="str">
        <f t="shared" si="11"/>
        <v>[W1206.E] 어퍼 커버 로딩 셔틀#2(SD202) FLS가 감지되었습니다.</v>
      </c>
    </row>
    <row r="192" spans="1:22" s="49" customFormat="1" ht="14.15" customHeight="1">
      <c r="A192" s="43" t="s">
        <v>3731</v>
      </c>
      <c r="B192" s="44" t="s">
        <v>6637</v>
      </c>
      <c r="C192" s="32"/>
      <c r="D192" s="10" t="s">
        <v>29</v>
      </c>
      <c r="E192" s="11"/>
      <c r="F192" s="11" t="s">
        <v>18</v>
      </c>
      <c r="G192" s="13"/>
      <c r="H192" s="45" t="s">
        <v>16</v>
      </c>
      <c r="I192" s="46"/>
      <c r="J192" s="12" t="s">
        <v>2245</v>
      </c>
      <c r="K192" s="13" t="s">
        <v>6962</v>
      </c>
      <c r="L192" s="99" t="str">
        <f t="shared" si="10"/>
        <v>W1206.F</v>
      </c>
      <c r="M192" s="13" t="s">
        <v>3667</v>
      </c>
      <c r="N192" s="13"/>
      <c r="O192" s="13"/>
      <c r="P192" s="47"/>
      <c r="Q192" s="45"/>
      <c r="R192" s="45"/>
      <c r="S192" s="48"/>
      <c r="T192" s="49" t="str">
        <f t="shared" si="12"/>
        <v>[W1206.F]</v>
      </c>
      <c r="U192" s="12" t="str">
        <f t="shared" si="13"/>
        <v xml:space="preserve"> 어퍼 커버 로딩 셔틀#2(SD202) RLS가 감지되었습니다.</v>
      </c>
      <c r="V192" s="49" t="str">
        <f t="shared" si="11"/>
        <v>[W1206.F] 어퍼 커버 로딩 셔틀#2(SD202) RLS가 감지되었습니다.</v>
      </c>
    </row>
    <row r="193" spans="1:22" s="49" customFormat="1" ht="14.15" customHeight="1">
      <c r="A193" s="43" t="s">
        <v>3731</v>
      </c>
      <c r="B193" s="44" t="s">
        <v>6637</v>
      </c>
      <c r="C193" s="32"/>
      <c r="D193" s="10" t="s">
        <v>29</v>
      </c>
      <c r="E193" s="11"/>
      <c r="F193" s="11" t="s">
        <v>18</v>
      </c>
      <c r="G193" s="13"/>
      <c r="H193" s="45" t="s">
        <v>16</v>
      </c>
      <c r="I193" s="46"/>
      <c r="J193" s="12" t="s">
        <v>2246</v>
      </c>
      <c r="K193" s="13" t="s">
        <v>6963</v>
      </c>
      <c r="L193" s="99" t="str">
        <f t="shared" si="10"/>
        <v>W1207.0</v>
      </c>
      <c r="M193" s="13" t="s">
        <v>3667</v>
      </c>
      <c r="N193" s="13"/>
      <c r="O193" s="13"/>
      <c r="P193" s="47"/>
      <c r="Q193" s="45"/>
      <c r="R193" s="45"/>
      <c r="S193" s="48"/>
      <c r="T193" s="49" t="str">
        <f t="shared" si="12"/>
        <v>[W1207.0]</v>
      </c>
      <c r="U193" s="12" t="str">
        <f t="shared" si="13"/>
        <v xml:space="preserve"> 어퍼 커버 로딩 셔틀#2(SD202) Stop 명령이 On된 상태에서 기동을 시도했습니다.</v>
      </c>
      <c r="V193" s="49" t="str">
        <f t="shared" si="11"/>
        <v>[W1207.0] 어퍼 커버 로딩 셔틀#2(SD202) Stop 명령이 On된 상태에서 기동을 시도했습니다.</v>
      </c>
    </row>
    <row r="194" spans="1:22" s="49" customFormat="1" ht="14.15" customHeight="1">
      <c r="A194" s="43" t="s">
        <v>3731</v>
      </c>
      <c r="B194" s="44" t="s">
        <v>6637</v>
      </c>
      <c r="C194" s="32"/>
      <c r="D194" s="10" t="s">
        <v>29</v>
      </c>
      <c r="E194" s="11"/>
      <c r="F194" s="11" t="s">
        <v>18</v>
      </c>
      <c r="G194" s="13"/>
      <c r="H194" s="45" t="s">
        <v>16</v>
      </c>
      <c r="I194" s="46"/>
      <c r="J194" s="12" t="s">
        <v>2247</v>
      </c>
      <c r="K194" s="13" t="s">
        <v>6964</v>
      </c>
      <c r="L194" s="99" t="str">
        <f t="shared" si="10"/>
        <v>W1207.1</v>
      </c>
      <c r="M194" s="13" t="s">
        <v>3667</v>
      </c>
      <c r="N194" s="13"/>
      <c r="O194" s="13"/>
      <c r="P194" s="47"/>
      <c r="Q194" s="45"/>
      <c r="R194" s="45"/>
      <c r="S194" s="48"/>
      <c r="T194" s="49" t="str">
        <f t="shared" si="12"/>
        <v>[W1207.1]</v>
      </c>
      <c r="U194" s="12" t="str">
        <f t="shared" si="13"/>
        <v xml:space="preserve"> 어퍼 커버 로딩 셔틀#2(SD202) 가동 전원이 Off 되었습니다.</v>
      </c>
      <c r="V194" s="49" t="str">
        <f t="shared" si="11"/>
        <v>[W1207.1] 어퍼 커버 로딩 셔틀#2(SD202) 가동 전원이 Off 되었습니다.</v>
      </c>
    </row>
    <row r="195" spans="1:22" s="49" customFormat="1" ht="14.15" customHeight="1">
      <c r="A195" s="43" t="s">
        <v>3731</v>
      </c>
      <c r="B195" s="44" t="s">
        <v>6637</v>
      </c>
      <c r="C195" s="32"/>
      <c r="D195" s="10" t="s">
        <v>29</v>
      </c>
      <c r="E195" s="11"/>
      <c r="F195" s="11" t="s">
        <v>18</v>
      </c>
      <c r="G195" s="13"/>
      <c r="H195" s="45" t="s">
        <v>16</v>
      </c>
      <c r="I195" s="46"/>
      <c r="J195" s="12" t="s">
        <v>2248</v>
      </c>
      <c r="K195" s="13" t="s">
        <v>6965</v>
      </c>
      <c r="L195" s="99" t="str">
        <f t="shared" si="10"/>
        <v>W1207.2</v>
      </c>
      <c r="M195" s="13" t="s">
        <v>3667</v>
      </c>
      <c r="N195" s="13"/>
      <c r="O195" s="13"/>
      <c r="P195" s="47"/>
      <c r="Q195" s="45"/>
      <c r="R195" s="45"/>
      <c r="S195" s="48"/>
      <c r="T195" s="49" t="str">
        <f t="shared" si="12"/>
        <v>[W1207.2]</v>
      </c>
      <c r="U195" s="12" t="str">
        <f t="shared" si="13"/>
        <v xml:space="preserve"> 어퍼 커버 로딩 셔틀#2(SD202) 엔코더 이상이 검출되었습니다.</v>
      </c>
      <c r="V195" s="49" t="str">
        <f t="shared" si="11"/>
        <v>[W1207.2] 어퍼 커버 로딩 셔틀#2(SD202) 엔코더 이상이 검출되었습니다.</v>
      </c>
    </row>
    <row r="196" spans="1:22" s="49" customFormat="1" ht="14.15" customHeight="1">
      <c r="A196" s="43" t="s">
        <v>3731</v>
      </c>
      <c r="B196" s="44" t="s">
        <v>6637</v>
      </c>
      <c r="C196" s="32"/>
      <c r="D196" s="10" t="s">
        <v>29</v>
      </c>
      <c r="E196" s="11"/>
      <c r="F196" s="11" t="s">
        <v>18</v>
      </c>
      <c r="G196" s="13"/>
      <c r="H196" s="45" t="s">
        <v>16</v>
      </c>
      <c r="I196" s="46"/>
      <c r="J196" s="12" t="s">
        <v>2249</v>
      </c>
      <c r="K196" s="13" t="s">
        <v>6966</v>
      </c>
      <c r="L196" s="99" t="str">
        <f t="shared" si="10"/>
        <v>W1207.3</v>
      </c>
      <c r="M196" s="13" t="s">
        <v>3667</v>
      </c>
      <c r="N196" s="13"/>
      <c r="O196" s="13"/>
      <c r="P196" s="47"/>
      <c r="Q196" s="45"/>
      <c r="R196" s="45"/>
      <c r="S196" s="48"/>
      <c r="T196" s="49" t="str">
        <f t="shared" si="12"/>
        <v>[W1207.3]</v>
      </c>
      <c r="U196" s="12" t="str">
        <f t="shared" si="13"/>
        <v xml:space="preserve"> 어퍼 커버 로딩 셔틀#2(SD202) 과전류가 검출되었습니다.</v>
      </c>
      <c r="V196" s="49" t="str">
        <f t="shared" si="11"/>
        <v>[W1207.3] 어퍼 커버 로딩 셔틀#2(SD202) 과전류가 검출되었습니다.</v>
      </c>
    </row>
    <row r="197" spans="1:22" s="49" customFormat="1" ht="14.15" customHeight="1">
      <c r="A197" s="43" t="s">
        <v>3731</v>
      </c>
      <c r="B197" s="44" t="s">
        <v>6637</v>
      </c>
      <c r="C197" s="32"/>
      <c r="D197" s="10" t="s">
        <v>29</v>
      </c>
      <c r="E197" s="11"/>
      <c r="F197" s="11" t="s">
        <v>18</v>
      </c>
      <c r="G197" s="13"/>
      <c r="H197" s="45" t="s">
        <v>16</v>
      </c>
      <c r="I197" s="46"/>
      <c r="J197" s="12" t="s">
        <v>2250</v>
      </c>
      <c r="K197" s="13" t="s">
        <v>6967</v>
      </c>
      <c r="L197" s="99" t="str">
        <f t="shared" si="10"/>
        <v>W1207.4</v>
      </c>
      <c r="M197" s="13" t="s">
        <v>3667</v>
      </c>
      <c r="N197" s="13"/>
      <c r="O197" s="13"/>
      <c r="P197" s="47"/>
      <c r="Q197" s="45"/>
      <c r="R197" s="45"/>
      <c r="S197" s="48"/>
      <c r="T197" s="49" t="str">
        <f t="shared" si="12"/>
        <v>[W1207.4]</v>
      </c>
      <c r="U197" s="12" t="str">
        <f t="shared" si="13"/>
        <v xml:space="preserve"> 어퍼 커버 로딩 셔틀#2(SD202) 과부하가 검출되었습니다.</v>
      </c>
      <c r="V197" s="49" t="str">
        <f t="shared" si="11"/>
        <v>[W1207.4] 어퍼 커버 로딩 셔틀#2(SD202) 과부하가 검출되었습니다.</v>
      </c>
    </row>
    <row r="198" spans="1:22" s="49" customFormat="1" ht="14.15" customHeight="1">
      <c r="A198" s="43" t="s">
        <v>3731</v>
      </c>
      <c r="B198" s="44" t="s">
        <v>6637</v>
      </c>
      <c r="C198" s="32"/>
      <c r="D198" s="10" t="s">
        <v>29</v>
      </c>
      <c r="E198" s="11"/>
      <c r="F198" s="11" t="s">
        <v>18</v>
      </c>
      <c r="G198" s="13"/>
      <c r="H198" s="45" t="s">
        <v>16</v>
      </c>
      <c r="I198" s="46"/>
      <c r="J198" s="12" t="s">
        <v>2251</v>
      </c>
      <c r="K198" s="13" t="s">
        <v>6968</v>
      </c>
      <c r="L198" s="99" t="str">
        <f t="shared" si="10"/>
        <v>W1207.5</v>
      </c>
      <c r="M198" s="13" t="s">
        <v>3667</v>
      </c>
      <c r="N198" s="13"/>
      <c r="O198" s="13"/>
      <c r="P198" s="47"/>
      <c r="Q198" s="45"/>
      <c r="R198" s="45"/>
      <c r="S198" s="48"/>
      <c r="T198" s="49" t="str">
        <f t="shared" si="12"/>
        <v>[W1207.5]</v>
      </c>
      <c r="U198" s="12" t="str">
        <f t="shared" si="13"/>
        <v xml:space="preserve"> 어퍼 커버 로딩 셔틀#2(SD202)  </v>
      </c>
      <c r="V198" s="49" t="str">
        <f t="shared" si="11"/>
        <v xml:space="preserve">[W1207.5] 어퍼 커버 로딩 셔틀#2(SD202)  </v>
      </c>
    </row>
    <row r="199" spans="1:22" s="49" customFormat="1" ht="14.15" customHeight="1">
      <c r="A199" s="43" t="s">
        <v>3731</v>
      </c>
      <c r="B199" s="44" t="s">
        <v>6637</v>
      </c>
      <c r="C199" s="32"/>
      <c r="D199" s="10" t="s">
        <v>29</v>
      </c>
      <c r="E199" s="11"/>
      <c r="F199" s="11" t="s">
        <v>18</v>
      </c>
      <c r="G199" s="13"/>
      <c r="H199" s="45" t="s">
        <v>16</v>
      </c>
      <c r="I199" s="46"/>
      <c r="J199" s="12" t="s">
        <v>2252</v>
      </c>
      <c r="K199" s="13" t="s">
        <v>6969</v>
      </c>
      <c r="L199" s="99" t="str">
        <f t="shared" si="10"/>
        <v>W1207.6</v>
      </c>
      <c r="M199" s="13" t="s">
        <v>3667</v>
      </c>
      <c r="N199" s="13"/>
      <c r="O199" s="13"/>
      <c r="P199" s="47"/>
      <c r="Q199" s="45"/>
      <c r="R199" s="45"/>
      <c r="S199" s="48"/>
      <c r="T199" s="49" t="str">
        <f t="shared" si="12"/>
        <v>[W1207.6]</v>
      </c>
      <c r="U199" s="12" t="str">
        <f t="shared" si="13"/>
        <v xml:space="preserve"> 어퍼 커버 로딩 셔틀#2(SD202) 에러가 발생했습니다.</v>
      </c>
      <c r="V199" s="49" t="str">
        <f t="shared" si="11"/>
        <v>[W1207.6] 어퍼 커버 로딩 셔틀#2(SD202) 에러가 발생했습니다.</v>
      </c>
    </row>
    <row r="200" spans="1:22" s="49" customFormat="1" ht="14.15" customHeight="1">
      <c r="A200" s="43" t="s">
        <v>3731</v>
      </c>
      <c r="B200" s="44" t="s">
        <v>6637</v>
      </c>
      <c r="C200" s="32"/>
      <c r="D200" s="10" t="s">
        <v>29</v>
      </c>
      <c r="E200" s="11"/>
      <c r="F200" s="11" t="s">
        <v>18</v>
      </c>
      <c r="G200" s="13"/>
      <c r="H200" s="45" t="s">
        <v>16</v>
      </c>
      <c r="I200" s="46"/>
      <c r="J200" s="12" t="s">
        <v>2253</v>
      </c>
      <c r="K200" s="13" t="s">
        <v>6970</v>
      </c>
      <c r="L200" s="99" t="str">
        <f t="shared" si="10"/>
        <v>W1207.7</v>
      </c>
      <c r="M200" s="13" t="s">
        <v>3667</v>
      </c>
      <c r="N200" s="13"/>
      <c r="O200" s="13"/>
      <c r="P200" s="47"/>
      <c r="Q200" s="45"/>
      <c r="R200" s="45"/>
      <c r="S200" s="48"/>
      <c r="T200" s="49" t="str">
        <f t="shared" si="12"/>
        <v>[W1207.7]</v>
      </c>
      <c r="U200" s="12" t="str">
        <f t="shared" si="13"/>
        <v xml:space="preserve"> 어퍼 커버 로딩 셔틀#3(SD203) 운전중에 Ready가 Off 되었습니다.</v>
      </c>
      <c r="V200" s="49" t="str">
        <f t="shared" si="11"/>
        <v>[W1207.7] 어퍼 커버 로딩 셔틀#3(SD203) 운전중에 Ready가 Off 되었습니다.</v>
      </c>
    </row>
    <row r="201" spans="1:22" s="49" customFormat="1" ht="14.15" customHeight="1">
      <c r="A201" s="43" t="s">
        <v>3731</v>
      </c>
      <c r="B201" s="44" t="s">
        <v>6637</v>
      </c>
      <c r="C201" s="32"/>
      <c r="D201" s="10" t="s">
        <v>29</v>
      </c>
      <c r="E201" s="11"/>
      <c r="F201" s="11" t="s">
        <v>18</v>
      </c>
      <c r="G201" s="13"/>
      <c r="H201" s="45" t="s">
        <v>16</v>
      </c>
      <c r="I201" s="46"/>
      <c r="J201" s="12" t="s">
        <v>2254</v>
      </c>
      <c r="K201" s="13" t="s">
        <v>6971</v>
      </c>
      <c r="L201" s="99" t="str">
        <f t="shared" si="10"/>
        <v>W1207.8</v>
      </c>
      <c r="M201" s="13" t="s">
        <v>3667</v>
      </c>
      <c r="N201" s="13"/>
      <c r="O201" s="13"/>
      <c r="P201" s="47"/>
      <c r="Q201" s="45"/>
      <c r="R201" s="45"/>
      <c r="S201" s="48"/>
      <c r="T201" s="49" t="str">
        <f t="shared" si="12"/>
        <v>[W1207.8]</v>
      </c>
      <c r="U201" s="12" t="str">
        <f t="shared" si="13"/>
        <v xml:space="preserve"> 어퍼 커버 로딩 셔틀#3(SD203) FLS가 감지되었습니다.</v>
      </c>
      <c r="V201" s="49" t="str">
        <f t="shared" si="11"/>
        <v>[W1207.8] 어퍼 커버 로딩 셔틀#3(SD203) FLS가 감지되었습니다.</v>
      </c>
    </row>
    <row r="202" spans="1:22" s="49" customFormat="1" ht="14.15" customHeight="1">
      <c r="A202" s="43" t="s">
        <v>3731</v>
      </c>
      <c r="B202" s="44" t="s">
        <v>6637</v>
      </c>
      <c r="C202" s="32"/>
      <c r="D202" s="10" t="s">
        <v>29</v>
      </c>
      <c r="E202" s="11"/>
      <c r="F202" s="11" t="s">
        <v>18</v>
      </c>
      <c r="G202" s="13"/>
      <c r="H202" s="45" t="s">
        <v>16</v>
      </c>
      <c r="I202" s="46"/>
      <c r="J202" s="12" t="s">
        <v>2255</v>
      </c>
      <c r="K202" s="13" t="s">
        <v>6972</v>
      </c>
      <c r="L202" s="99" t="str">
        <f t="shared" si="10"/>
        <v>W1207.9</v>
      </c>
      <c r="M202" s="13" t="s">
        <v>3667</v>
      </c>
      <c r="N202" s="13"/>
      <c r="O202" s="13"/>
      <c r="P202" s="47"/>
      <c r="Q202" s="45"/>
      <c r="R202" s="45"/>
      <c r="S202" s="48"/>
      <c r="T202" s="49" t="str">
        <f t="shared" ref="T202:T233" si="14">"["&amp;L202&amp;"]"</f>
        <v>[W1207.9]</v>
      </c>
      <c r="U202" s="12" t="str">
        <f t="shared" ref="U202:U233" si="15">RIGHT(J202,LEN(J202)-7)</f>
        <v xml:space="preserve"> 어퍼 커버 로딩 셔틀#3(SD203) RLS가 감지되었습니다.</v>
      </c>
      <c r="V202" s="49" t="str">
        <f t="shared" si="11"/>
        <v>[W1207.9] 어퍼 커버 로딩 셔틀#3(SD203) RLS가 감지되었습니다.</v>
      </c>
    </row>
    <row r="203" spans="1:22" s="49" customFormat="1" ht="14.15" customHeight="1">
      <c r="A203" s="43" t="s">
        <v>3731</v>
      </c>
      <c r="B203" s="44" t="s">
        <v>6637</v>
      </c>
      <c r="C203" s="32"/>
      <c r="D203" s="10" t="s">
        <v>29</v>
      </c>
      <c r="E203" s="11"/>
      <c r="F203" s="11" t="s">
        <v>18</v>
      </c>
      <c r="G203" s="13"/>
      <c r="H203" s="45" t="s">
        <v>16</v>
      </c>
      <c r="I203" s="46"/>
      <c r="J203" s="12" t="s">
        <v>2256</v>
      </c>
      <c r="K203" s="13" t="s">
        <v>6973</v>
      </c>
      <c r="L203" s="99" t="str">
        <f t="shared" si="10"/>
        <v>W1207.A</v>
      </c>
      <c r="M203" s="13" t="s">
        <v>3667</v>
      </c>
      <c r="N203" s="13"/>
      <c r="O203" s="13"/>
      <c r="P203" s="47"/>
      <c r="Q203" s="45"/>
      <c r="R203" s="45"/>
      <c r="S203" s="48"/>
      <c r="T203" s="49" t="str">
        <f t="shared" si="14"/>
        <v>[W1207.A]</v>
      </c>
      <c r="U203" s="12" t="str">
        <f t="shared" si="15"/>
        <v xml:space="preserve"> 어퍼 커버 로딩 셔틀#3(SD203) Stop 명령이 On된 상태에서 기동을 시도했습니다.</v>
      </c>
      <c r="V203" s="49" t="str">
        <f t="shared" si="11"/>
        <v>[W1207.A] 어퍼 커버 로딩 셔틀#3(SD203) Stop 명령이 On된 상태에서 기동을 시도했습니다.</v>
      </c>
    </row>
    <row r="204" spans="1:22" s="49" customFormat="1" ht="14.15" customHeight="1">
      <c r="A204" s="43" t="s">
        <v>3731</v>
      </c>
      <c r="B204" s="44" t="s">
        <v>6637</v>
      </c>
      <c r="C204" s="32"/>
      <c r="D204" s="10" t="s">
        <v>29</v>
      </c>
      <c r="E204" s="11"/>
      <c r="F204" s="11" t="s">
        <v>18</v>
      </c>
      <c r="G204" s="13"/>
      <c r="H204" s="45" t="s">
        <v>16</v>
      </c>
      <c r="I204" s="46"/>
      <c r="J204" s="12" t="s">
        <v>2257</v>
      </c>
      <c r="K204" s="13" t="s">
        <v>6974</v>
      </c>
      <c r="L204" s="99" t="str">
        <f t="shared" si="10"/>
        <v>W1207.B</v>
      </c>
      <c r="M204" s="13" t="s">
        <v>3667</v>
      </c>
      <c r="N204" s="13"/>
      <c r="O204" s="13"/>
      <c r="P204" s="47"/>
      <c r="Q204" s="45"/>
      <c r="R204" s="45"/>
      <c r="S204" s="48"/>
      <c r="T204" s="49" t="str">
        <f t="shared" si="14"/>
        <v>[W1207.B]</v>
      </c>
      <c r="U204" s="12" t="str">
        <f t="shared" si="15"/>
        <v xml:space="preserve"> 어퍼 커버 로딩 셔틀#3(SD203) 가동 전원이 Off 되었습니다.</v>
      </c>
      <c r="V204" s="49" t="str">
        <f t="shared" si="11"/>
        <v>[W1207.B] 어퍼 커버 로딩 셔틀#3(SD203) 가동 전원이 Off 되었습니다.</v>
      </c>
    </row>
    <row r="205" spans="1:22" s="49" customFormat="1" ht="14.15" customHeight="1">
      <c r="A205" s="43" t="s">
        <v>3731</v>
      </c>
      <c r="B205" s="44" t="s">
        <v>6637</v>
      </c>
      <c r="C205" s="32"/>
      <c r="D205" s="10" t="s">
        <v>29</v>
      </c>
      <c r="E205" s="11"/>
      <c r="F205" s="11" t="s">
        <v>18</v>
      </c>
      <c r="G205" s="13"/>
      <c r="H205" s="45" t="s">
        <v>16</v>
      </c>
      <c r="I205" s="46"/>
      <c r="J205" s="12" t="s">
        <v>2258</v>
      </c>
      <c r="K205" s="13" t="s">
        <v>6975</v>
      </c>
      <c r="L205" s="99" t="str">
        <f t="shared" si="10"/>
        <v>W1207.C</v>
      </c>
      <c r="M205" s="13" t="s">
        <v>3667</v>
      </c>
      <c r="N205" s="13"/>
      <c r="O205" s="13"/>
      <c r="P205" s="47"/>
      <c r="Q205" s="45"/>
      <c r="R205" s="45"/>
      <c r="S205" s="48"/>
      <c r="T205" s="49" t="str">
        <f t="shared" si="14"/>
        <v>[W1207.C]</v>
      </c>
      <c r="U205" s="12" t="str">
        <f t="shared" si="15"/>
        <v xml:space="preserve"> 어퍼 커버 로딩 셔틀#3(SD203) 엔코더 이상이 검출되었습니다.</v>
      </c>
      <c r="V205" s="49" t="str">
        <f t="shared" si="11"/>
        <v>[W1207.C] 어퍼 커버 로딩 셔틀#3(SD203) 엔코더 이상이 검출되었습니다.</v>
      </c>
    </row>
    <row r="206" spans="1:22" s="49" customFormat="1" ht="14.15" customHeight="1">
      <c r="A206" s="43" t="s">
        <v>3731</v>
      </c>
      <c r="B206" s="44" t="s">
        <v>6637</v>
      </c>
      <c r="C206" s="32"/>
      <c r="D206" s="10" t="s">
        <v>29</v>
      </c>
      <c r="E206" s="11"/>
      <c r="F206" s="11" t="s">
        <v>18</v>
      </c>
      <c r="G206" s="13"/>
      <c r="H206" s="45" t="s">
        <v>16</v>
      </c>
      <c r="I206" s="46"/>
      <c r="J206" s="12" t="s">
        <v>2259</v>
      </c>
      <c r="K206" s="13" t="s">
        <v>6976</v>
      </c>
      <c r="L206" s="99" t="str">
        <f t="shared" si="10"/>
        <v>W1207.D</v>
      </c>
      <c r="M206" s="13" t="s">
        <v>3667</v>
      </c>
      <c r="N206" s="13"/>
      <c r="O206" s="13"/>
      <c r="P206" s="47"/>
      <c r="Q206" s="45"/>
      <c r="R206" s="45"/>
      <c r="S206" s="48"/>
      <c r="T206" s="49" t="str">
        <f t="shared" si="14"/>
        <v>[W1207.D]</v>
      </c>
      <c r="U206" s="12" t="str">
        <f t="shared" si="15"/>
        <v xml:space="preserve"> 어퍼 커버 로딩 셔틀#3(SD203) 과전류가 검출되었습니다.</v>
      </c>
      <c r="V206" s="49" t="str">
        <f t="shared" si="11"/>
        <v>[W1207.D] 어퍼 커버 로딩 셔틀#3(SD203) 과전류가 검출되었습니다.</v>
      </c>
    </row>
    <row r="207" spans="1:22" s="49" customFormat="1" ht="14.15" customHeight="1">
      <c r="A207" s="43" t="s">
        <v>3731</v>
      </c>
      <c r="B207" s="44" t="s">
        <v>6637</v>
      </c>
      <c r="C207" s="32"/>
      <c r="D207" s="10" t="s">
        <v>29</v>
      </c>
      <c r="E207" s="11"/>
      <c r="F207" s="11" t="s">
        <v>18</v>
      </c>
      <c r="G207" s="13"/>
      <c r="H207" s="45" t="s">
        <v>16</v>
      </c>
      <c r="I207" s="46"/>
      <c r="J207" s="12" t="s">
        <v>2260</v>
      </c>
      <c r="K207" s="13" t="s">
        <v>6977</v>
      </c>
      <c r="L207" s="99" t="str">
        <f t="shared" si="10"/>
        <v>W1207.E</v>
      </c>
      <c r="M207" s="13" t="s">
        <v>3667</v>
      </c>
      <c r="N207" s="13"/>
      <c r="O207" s="13"/>
      <c r="P207" s="47"/>
      <c r="Q207" s="45"/>
      <c r="R207" s="45"/>
      <c r="S207" s="48"/>
      <c r="T207" s="49" t="str">
        <f t="shared" si="14"/>
        <v>[W1207.E]</v>
      </c>
      <c r="U207" s="12" t="str">
        <f t="shared" si="15"/>
        <v xml:space="preserve"> 어퍼 커버 로딩 셔틀#3(SD203) 과부하가 검출되었습니다.</v>
      </c>
      <c r="V207" s="49" t="str">
        <f t="shared" si="11"/>
        <v>[W1207.E] 어퍼 커버 로딩 셔틀#3(SD203) 과부하가 검출되었습니다.</v>
      </c>
    </row>
    <row r="208" spans="1:22" s="49" customFormat="1" ht="14.15" customHeight="1">
      <c r="A208" s="43" t="s">
        <v>3731</v>
      </c>
      <c r="B208" s="44" t="s">
        <v>6637</v>
      </c>
      <c r="C208" s="32"/>
      <c r="D208" s="10" t="s">
        <v>29</v>
      </c>
      <c r="E208" s="11"/>
      <c r="F208" s="11" t="s">
        <v>18</v>
      </c>
      <c r="G208" s="13"/>
      <c r="H208" s="45" t="s">
        <v>16</v>
      </c>
      <c r="I208" s="46"/>
      <c r="J208" s="12" t="s">
        <v>2261</v>
      </c>
      <c r="K208" s="13" t="s">
        <v>6978</v>
      </c>
      <c r="L208" s="99" t="str">
        <f t="shared" si="10"/>
        <v>W1207.F</v>
      </c>
      <c r="M208" s="13" t="s">
        <v>3667</v>
      </c>
      <c r="N208" s="13"/>
      <c r="O208" s="13"/>
      <c r="P208" s="47"/>
      <c r="Q208" s="45"/>
      <c r="R208" s="45"/>
      <c r="S208" s="48"/>
      <c r="T208" s="49" t="str">
        <f t="shared" si="14"/>
        <v>[W1207.F]</v>
      </c>
      <c r="U208" s="12" t="str">
        <f t="shared" si="15"/>
        <v xml:space="preserve"> 어퍼 커버 로딩 셔틀#3(SD203)  </v>
      </c>
      <c r="V208" s="49" t="str">
        <f t="shared" si="11"/>
        <v xml:space="preserve">[W1207.F] 어퍼 커버 로딩 셔틀#3(SD203)  </v>
      </c>
    </row>
    <row r="209" spans="1:22" s="49" customFormat="1" ht="14.15" customHeight="1">
      <c r="A209" s="43" t="s">
        <v>3731</v>
      </c>
      <c r="B209" s="44" t="s">
        <v>6637</v>
      </c>
      <c r="C209" s="32"/>
      <c r="D209" s="10" t="s">
        <v>29</v>
      </c>
      <c r="E209" s="11"/>
      <c r="F209" s="11" t="s">
        <v>18</v>
      </c>
      <c r="G209" s="13"/>
      <c r="H209" s="45" t="s">
        <v>16</v>
      </c>
      <c r="I209" s="46"/>
      <c r="J209" s="12" t="s">
        <v>2262</v>
      </c>
      <c r="K209" s="13" t="s">
        <v>6979</v>
      </c>
      <c r="L209" s="99" t="str">
        <f t="shared" si="10"/>
        <v>W1208.0</v>
      </c>
      <c r="M209" s="13" t="s">
        <v>3667</v>
      </c>
      <c r="N209" s="13"/>
      <c r="O209" s="13"/>
      <c r="P209" s="47"/>
      <c r="Q209" s="45"/>
      <c r="R209" s="45"/>
      <c r="S209" s="48"/>
      <c r="T209" s="49" t="str">
        <f t="shared" si="14"/>
        <v>[W1208.0]</v>
      </c>
      <c r="U209" s="12" t="str">
        <f t="shared" si="15"/>
        <v xml:space="preserve"> 어퍼 커버 로딩 셔틀#3(SD203) 에러가 발생했습니다.</v>
      </c>
      <c r="V209" s="49" t="str">
        <f t="shared" si="11"/>
        <v>[W1208.0] 어퍼 커버 로딩 셔틀#3(SD203) 에러가 발생했습니다.</v>
      </c>
    </row>
    <row r="210" spans="1:22" s="49" customFormat="1" ht="14.15" customHeight="1">
      <c r="A210" s="43" t="s">
        <v>3731</v>
      </c>
      <c r="B210" s="44" t="s">
        <v>6637</v>
      </c>
      <c r="C210" s="32"/>
      <c r="D210" s="10" t="s">
        <v>29</v>
      </c>
      <c r="E210" s="11"/>
      <c r="F210" s="11" t="s">
        <v>18</v>
      </c>
      <c r="G210" s="13"/>
      <c r="H210" s="45" t="s">
        <v>16</v>
      </c>
      <c r="I210" s="46"/>
      <c r="J210" s="12" t="s">
        <v>2263</v>
      </c>
      <c r="K210" s="13" t="s">
        <v>6980</v>
      </c>
      <c r="L210" s="99" t="str">
        <f t="shared" ref="L210:L273" si="16">"W"&amp;DEC2HEX(4608 + INT((ROW()-81)/16)) &amp; "." &amp; IF(MOD(ROW()-81,16)&lt;10,MOD(ROW()-81,16),CHAR(MOD(ROW()-81,16)+55))</f>
        <v>W1208.1</v>
      </c>
      <c r="M210" s="13" t="s">
        <v>3667</v>
      </c>
      <c r="N210" s="13"/>
      <c r="O210" s="13"/>
      <c r="P210" s="47"/>
      <c r="Q210" s="45"/>
      <c r="R210" s="45"/>
      <c r="S210" s="48"/>
      <c r="T210" s="49" t="str">
        <f t="shared" si="14"/>
        <v>[W1208.1]</v>
      </c>
      <c r="U210" s="12" t="str">
        <f t="shared" si="15"/>
        <v xml:space="preserve"> 로우 커버 로딩 셔틀#1(SD204) 운전중에 Ready가 Off 되었습니다.</v>
      </c>
      <c r="V210" s="49" t="str">
        <f t="shared" ref="V210:V273" si="17">T210&amp;U210</f>
        <v>[W1208.1] 로우 커버 로딩 셔틀#1(SD204) 운전중에 Ready가 Off 되었습니다.</v>
      </c>
    </row>
    <row r="211" spans="1:22" s="49" customFormat="1" ht="14.15" customHeight="1">
      <c r="A211" s="43" t="s">
        <v>3731</v>
      </c>
      <c r="B211" s="44" t="s">
        <v>6637</v>
      </c>
      <c r="C211" s="32"/>
      <c r="D211" s="10" t="s">
        <v>29</v>
      </c>
      <c r="E211" s="11"/>
      <c r="F211" s="11" t="s">
        <v>18</v>
      </c>
      <c r="G211" s="13"/>
      <c r="H211" s="45" t="s">
        <v>16</v>
      </c>
      <c r="I211" s="46"/>
      <c r="J211" s="12" t="s">
        <v>2264</v>
      </c>
      <c r="K211" s="13" t="s">
        <v>6981</v>
      </c>
      <c r="L211" s="99" t="str">
        <f t="shared" si="16"/>
        <v>W1208.2</v>
      </c>
      <c r="M211" s="13" t="s">
        <v>3667</v>
      </c>
      <c r="N211" s="13"/>
      <c r="O211" s="13"/>
      <c r="P211" s="47"/>
      <c r="Q211" s="45"/>
      <c r="R211" s="45"/>
      <c r="S211" s="48"/>
      <c r="T211" s="49" t="str">
        <f t="shared" si="14"/>
        <v>[W1208.2]</v>
      </c>
      <c r="U211" s="12" t="str">
        <f t="shared" si="15"/>
        <v xml:space="preserve"> 로우 커버 로딩 셔틀#1(SD204) FLS가 감지되었습니다.</v>
      </c>
      <c r="V211" s="49" t="str">
        <f t="shared" si="17"/>
        <v>[W1208.2] 로우 커버 로딩 셔틀#1(SD204) FLS가 감지되었습니다.</v>
      </c>
    </row>
    <row r="212" spans="1:22" s="49" customFormat="1" ht="14.15" customHeight="1">
      <c r="A212" s="43" t="s">
        <v>3731</v>
      </c>
      <c r="B212" s="44" t="s">
        <v>6637</v>
      </c>
      <c r="C212" s="32"/>
      <c r="D212" s="10" t="s">
        <v>29</v>
      </c>
      <c r="E212" s="11"/>
      <c r="F212" s="11" t="s">
        <v>18</v>
      </c>
      <c r="G212" s="13"/>
      <c r="H212" s="45" t="s">
        <v>16</v>
      </c>
      <c r="I212" s="46"/>
      <c r="J212" s="12" t="s">
        <v>2265</v>
      </c>
      <c r="K212" s="13" t="s">
        <v>6982</v>
      </c>
      <c r="L212" s="99" t="str">
        <f t="shared" si="16"/>
        <v>W1208.3</v>
      </c>
      <c r="M212" s="13" t="s">
        <v>3667</v>
      </c>
      <c r="N212" s="13"/>
      <c r="O212" s="13"/>
      <c r="P212" s="47"/>
      <c r="Q212" s="45"/>
      <c r="R212" s="45"/>
      <c r="S212" s="48"/>
      <c r="T212" s="49" t="str">
        <f t="shared" si="14"/>
        <v>[W1208.3]</v>
      </c>
      <c r="U212" s="12" t="str">
        <f t="shared" si="15"/>
        <v xml:space="preserve"> 로우 커버 로딩 셔틀#1(SD204) RLS가 감지되었습니다.</v>
      </c>
      <c r="V212" s="49" t="str">
        <f t="shared" si="17"/>
        <v>[W1208.3] 로우 커버 로딩 셔틀#1(SD204) RLS가 감지되었습니다.</v>
      </c>
    </row>
    <row r="213" spans="1:22" s="49" customFormat="1" ht="14.15" customHeight="1">
      <c r="A213" s="43" t="s">
        <v>3731</v>
      </c>
      <c r="B213" s="44" t="s">
        <v>6637</v>
      </c>
      <c r="C213" s="32"/>
      <c r="D213" s="10" t="s">
        <v>29</v>
      </c>
      <c r="E213" s="11"/>
      <c r="F213" s="11" t="s">
        <v>18</v>
      </c>
      <c r="G213" s="13"/>
      <c r="H213" s="45" t="s">
        <v>16</v>
      </c>
      <c r="I213" s="46"/>
      <c r="J213" s="12" t="s">
        <v>2266</v>
      </c>
      <c r="K213" s="13" t="s">
        <v>6983</v>
      </c>
      <c r="L213" s="99" t="str">
        <f t="shared" si="16"/>
        <v>W1208.4</v>
      </c>
      <c r="M213" s="13" t="s">
        <v>3667</v>
      </c>
      <c r="N213" s="13"/>
      <c r="O213" s="13"/>
      <c r="P213" s="47"/>
      <c r="Q213" s="45"/>
      <c r="R213" s="45"/>
      <c r="S213" s="48"/>
      <c r="T213" s="49" t="str">
        <f t="shared" si="14"/>
        <v>[W1208.4]</v>
      </c>
      <c r="U213" s="12" t="str">
        <f t="shared" si="15"/>
        <v xml:space="preserve"> 로우 커버 로딩 셔틀#1(SD204) Stop 명령이 On된 상태에서 기동을 시도했습니다.</v>
      </c>
      <c r="V213" s="49" t="str">
        <f t="shared" si="17"/>
        <v>[W1208.4] 로우 커버 로딩 셔틀#1(SD204) Stop 명령이 On된 상태에서 기동을 시도했습니다.</v>
      </c>
    </row>
    <row r="214" spans="1:22" s="49" customFormat="1" ht="14.15" customHeight="1">
      <c r="A214" s="43" t="s">
        <v>3731</v>
      </c>
      <c r="B214" s="44" t="s">
        <v>6637</v>
      </c>
      <c r="C214" s="32"/>
      <c r="D214" s="10" t="s">
        <v>29</v>
      </c>
      <c r="E214" s="11"/>
      <c r="F214" s="11" t="s">
        <v>18</v>
      </c>
      <c r="G214" s="13"/>
      <c r="H214" s="45" t="s">
        <v>16</v>
      </c>
      <c r="I214" s="46"/>
      <c r="J214" s="12" t="s">
        <v>2267</v>
      </c>
      <c r="K214" s="13" t="s">
        <v>6984</v>
      </c>
      <c r="L214" s="99" t="str">
        <f t="shared" si="16"/>
        <v>W1208.5</v>
      </c>
      <c r="M214" s="13" t="s">
        <v>3667</v>
      </c>
      <c r="N214" s="13"/>
      <c r="O214" s="13"/>
      <c r="P214" s="47"/>
      <c r="Q214" s="45"/>
      <c r="R214" s="45"/>
      <c r="S214" s="48"/>
      <c r="T214" s="49" t="str">
        <f t="shared" si="14"/>
        <v>[W1208.5]</v>
      </c>
      <c r="U214" s="12" t="str">
        <f t="shared" si="15"/>
        <v xml:space="preserve"> 로우 커버 로딩 셔틀#1(SD204) 가동 전원이 Off 되었습니다.</v>
      </c>
      <c r="V214" s="49" t="str">
        <f t="shared" si="17"/>
        <v>[W1208.5] 로우 커버 로딩 셔틀#1(SD204) 가동 전원이 Off 되었습니다.</v>
      </c>
    </row>
    <row r="215" spans="1:22" s="49" customFormat="1" ht="14.15" customHeight="1">
      <c r="A215" s="43" t="s">
        <v>3731</v>
      </c>
      <c r="B215" s="44" t="s">
        <v>6637</v>
      </c>
      <c r="C215" s="32"/>
      <c r="D215" s="10" t="s">
        <v>29</v>
      </c>
      <c r="E215" s="11"/>
      <c r="F215" s="11" t="s">
        <v>18</v>
      </c>
      <c r="G215" s="13"/>
      <c r="H215" s="45" t="s">
        <v>16</v>
      </c>
      <c r="I215" s="46"/>
      <c r="J215" s="12" t="s">
        <v>2268</v>
      </c>
      <c r="K215" s="13" t="s">
        <v>6985</v>
      </c>
      <c r="L215" s="99" t="str">
        <f t="shared" si="16"/>
        <v>W1208.6</v>
      </c>
      <c r="M215" s="13" t="s">
        <v>3667</v>
      </c>
      <c r="N215" s="13"/>
      <c r="O215" s="13"/>
      <c r="P215" s="47"/>
      <c r="Q215" s="45"/>
      <c r="R215" s="45"/>
      <c r="S215" s="48"/>
      <c r="T215" s="49" t="str">
        <f t="shared" si="14"/>
        <v>[W1208.6]</v>
      </c>
      <c r="U215" s="12" t="str">
        <f t="shared" si="15"/>
        <v xml:space="preserve"> 로우 커버 로딩 셔틀#1(SD204) 엔코더 이상이 검출되었습니다.</v>
      </c>
      <c r="V215" s="49" t="str">
        <f t="shared" si="17"/>
        <v>[W1208.6] 로우 커버 로딩 셔틀#1(SD204) 엔코더 이상이 검출되었습니다.</v>
      </c>
    </row>
    <row r="216" spans="1:22" s="49" customFormat="1" ht="14.15" customHeight="1">
      <c r="A216" s="43" t="s">
        <v>3731</v>
      </c>
      <c r="B216" s="44" t="s">
        <v>6637</v>
      </c>
      <c r="C216" s="32"/>
      <c r="D216" s="10" t="s">
        <v>29</v>
      </c>
      <c r="E216" s="11"/>
      <c r="F216" s="11" t="s">
        <v>18</v>
      </c>
      <c r="G216" s="13"/>
      <c r="H216" s="45" t="s">
        <v>16</v>
      </c>
      <c r="I216" s="46"/>
      <c r="J216" s="12" t="s">
        <v>2269</v>
      </c>
      <c r="K216" s="13" t="s">
        <v>6986</v>
      </c>
      <c r="L216" s="99" t="str">
        <f t="shared" si="16"/>
        <v>W1208.7</v>
      </c>
      <c r="M216" s="13" t="s">
        <v>3667</v>
      </c>
      <c r="N216" s="13"/>
      <c r="O216" s="13"/>
      <c r="P216" s="47"/>
      <c r="Q216" s="45"/>
      <c r="R216" s="45"/>
      <c r="S216" s="48"/>
      <c r="T216" s="49" t="str">
        <f t="shared" si="14"/>
        <v>[W1208.7]</v>
      </c>
      <c r="U216" s="12" t="str">
        <f t="shared" si="15"/>
        <v xml:space="preserve"> 로우 커버 로딩 셔틀#1(SD204) 과전류가 검출되었습니다.</v>
      </c>
      <c r="V216" s="49" t="str">
        <f t="shared" si="17"/>
        <v>[W1208.7] 로우 커버 로딩 셔틀#1(SD204) 과전류가 검출되었습니다.</v>
      </c>
    </row>
    <row r="217" spans="1:22" s="49" customFormat="1" ht="14.15" customHeight="1">
      <c r="A217" s="43" t="s">
        <v>3731</v>
      </c>
      <c r="B217" s="44" t="s">
        <v>6637</v>
      </c>
      <c r="C217" s="32"/>
      <c r="D217" s="10" t="s">
        <v>29</v>
      </c>
      <c r="E217" s="11"/>
      <c r="F217" s="11" t="s">
        <v>18</v>
      </c>
      <c r="G217" s="13"/>
      <c r="H217" s="45" t="s">
        <v>16</v>
      </c>
      <c r="I217" s="46"/>
      <c r="J217" s="12" t="s">
        <v>2270</v>
      </c>
      <c r="K217" s="13" t="s">
        <v>6987</v>
      </c>
      <c r="L217" s="99" t="str">
        <f t="shared" si="16"/>
        <v>W1208.8</v>
      </c>
      <c r="M217" s="13" t="s">
        <v>3667</v>
      </c>
      <c r="N217" s="13"/>
      <c r="O217" s="13"/>
      <c r="P217" s="47"/>
      <c r="Q217" s="45"/>
      <c r="R217" s="45"/>
      <c r="S217" s="48"/>
      <c r="T217" s="49" t="str">
        <f t="shared" si="14"/>
        <v>[W1208.8]</v>
      </c>
      <c r="U217" s="12" t="str">
        <f t="shared" si="15"/>
        <v xml:space="preserve"> 로우 커버 로딩 셔틀#1(SD204) 과부하가 검출되었습니다.</v>
      </c>
      <c r="V217" s="49" t="str">
        <f t="shared" si="17"/>
        <v>[W1208.8] 로우 커버 로딩 셔틀#1(SD204) 과부하가 검출되었습니다.</v>
      </c>
    </row>
    <row r="218" spans="1:22" s="49" customFormat="1" ht="14.15" customHeight="1">
      <c r="A218" s="43" t="s">
        <v>3731</v>
      </c>
      <c r="B218" s="44" t="s">
        <v>6637</v>
      </c>
      <c r="C218" s="32"/>
      <c r="D218" s="10" t="s">
        <v>29</v>
      </c>
      <c r="E218" s="11"/>
      <c r="F218" s="11" t="s">
        <v>18</v>
      </c>
      <c r="G218" s="13"/>
      <c r="H218" s="45" t="s">
        <v>16</v>
      </c>
      <c r="I218" s="46"/>
      <c r="J218" s="12" t="s">
        <v>2271</v>
      </c>
      <c r="K218" s="13" t="s">
        <v>6988</v>
      </c>
      <c r="L218" s="99" t="str">
        <f t="shared" si="16"/>
        <v>W1208.9</v>
      </c>
      <c r="M218" s="13" t="s">
        <v>3667</v>
      </c>
      <c r="N218" s="13"/>
      <c r="O218" s="13"/>
      <c r="P218" s="47"/>
      <c r="Q218" s="45"/>
      <c r="R218" s="45"/>
      <c r="S218" s="48"/>
      <c r="T218" s="49" t="str">
        <f t="shared" si="14"/>
        <v>[W1208.9]</v>
      </c>
      <c r="U218" s="12" t="str">
        <f t="shared" si="15"/>
        <v xml:space="preserve"> 로우 커버 로딩 셔틀#1(SD204)  </v>
      </c>
      <c r="V218" s="49" t="str">
        <f t="shared" si="17"/>
        <v xml:space="preserve">[W1208.9] 로우 커버 로딩 셔틀#1(SD204)  </v>
      </c>
    </row>
    <row r="219" spans="1:22" s="49" customFormat="1" ht="14.15" customHeight="1">
      <c r="A219" s="43" t="s">
        <v>3731</v>
      </c>
      <c r="B219" s="44" t="s">
        <v>6637</v>
      </c>
      <c r="C219" s="32"/>
      <c r="D219" s="10" t="s">
        <v>29</v>
      </c>
      <c r="E219" s="11"/>
      <c r="F219" s="11" t="s">
        <v>18</v>
      </c>
      <c r="G219" s="13"/>
      <c r="H219" s="45" t="s">
        <v>16</v>
      </c>
      <c r="I219" s="46"/>
      <c r="J219" s="12" t="s">
        <v>2272</v>
      </c>
      <c r="K219" s="13" t="s">
        <v>6989</v>
      </c>
      <c r="L219" s="99" t="str">
        <f t="shared" si="16"/>
        <v>W1208.A</v>
      </c>
      <c r="M219" s="13" t="s">
        <v>3667</v>
      </c>
      <c r="N219" s="13"/>
      <c r="O219" s="13"/>
      <c r="P219" s="47"/>
      <c r="Q219" s="45"/>
      <c r="R219" s="45"/>
      <c r="S219" s="48"/>
      <c r="T219" s="49" t="str">
        <f t="shared" si="14"/>
        <v>[W1208.A]</v>
      </c>
      <c r="U219" s="12" t="str">
        <f t="shared" si="15"/>
        <v xml:space="preserve"> 로우 커버 로딩 셔틀#1(SD204) 에러가 발생했습니다.</v>
      </c>
      <c r="V219" s="49" t="str">
        <f t="shared" si="17"/>
        <v>[W1208.A] 로우 커버 로딩 셔틀#1(SD204) 에러가 발생했습니다.</v>
      </c>
    </row>
    <row r="220" spans="1:22" s="49" customFormat="1" ht="14.15" customHeight="1">
      <c r="A220" s="43" t="s">
        <v>3731</v>
      </c>
      <c r="B220" s="44" t="s">
        <v>6637</v>
      </c>
      <c r="C220" s="32"/>
      <c r="D220" s="10" t="s">
        <v>29</v>
      </c>
      <c r="E220" s="11"/>
      <c r="F220" s="11" t="s">
        <v>18</v>
      </c>
      <c r="G220" s="13"/>
      <c r="H220" s="45" t="s">
        <v>16</v>
      </c>
      <c r="I220" s="46"/>
      <c r="J220" s="12" t="s">
        <v>2273</v>
      </c>
      <c r="K220" s="13" t="s">
        <v>6990</v>
      </c>
      <c r="L220" s="99" t="str">
        <f t="shared" si="16"/>
        <v>W1208.B</v>
      </c>
      <c r="M220" s="13" t="s">
        <v>3667</v>
      </c>
      <c r="N220" s="13"/>
      <c r="O220" s="13"/>
      <c r="P220" s="47"/>
      <c r="Q220" s="45"/>
      <c r="R220" s="45"/>
      <c r="S220" s="48"/>
      <c r="T220" s="49" t="str">
        <f t="shared" si="14"/>
        <v>[W1208.B]</v>
      </c>
      <c r="U220" s="12" t="str">
        <f t="shared" si="15"/>
        <v xml:space="preserve"> 로우 커버 로딩 셔틀#2(SD205) 운전중에 Ready가 Off 되었습니다.</v>
      </c>
      <c r="V220" s="49" t="str">
        <f t="shared" si="17"/>
        <v>[W1208.B] 로우 커버 로딩 셔틀#2(SD205) 운전중에 Ready가 Off 되었습니다.</v>
      </c>
    </row>
    <row r="221" spans="1:22" s="49" customFormat="1" ht="14.15" customHeight="1">
      <c r="A221" s="43" t="s">
        <v>3731</v>
      </c>
      <c r="B221" s="44" t="s">
        <v>6637</v>
      </c>
      <c r="C221" s="32"/>
      <c r="D221" s="10" t="s">
        <v>29</v>
      </c>
      <c r="E221" s="11"/>
      <c r="F221" s="11" t="s">
        <v>18</v>
      </c>
      <c r="G221" s="13"/>
      <c r="H221" s="45" t="s">
        <v>16</v>
      </c>
      <c r="I221" s="46"/>
      <c r="J221" s="12" t="s">
        <v>2274</v>
      </c>
      <c r="K221" s="13" t="s">
        <v>6991</v>
      </c>
      <c r="L221" s="99" t="str">
        <f t="shared" si="16"/>
        <v>W1208.C</v>
      </c>
      <c r="M221" s="13" t="s">
        <v>3667</v>
      </c>
      <c r="N221" s="13"/>
      <c r="O221" s="13"/>
      <c r="P221" s="47"/>
      <c r="Q221" s="45"/>
      <c r="R221" s="45"/>
      <c r="S221" s="48"/>
      <c r="T221" s="49" t="str">
        <f t="shared" si="14"/>
        <v>[W1208.C]</v>
      </c>
      <c r="U221" s="12" t="str">
        <f t="shared" si="15"/>
        <v xml:space="preserve"> 로우 커버 로딩 셔틀#2(SD205) FLS가 감지되었습니다.</v>
      </c>
      <c r="V221" s="49" t="str">
        <f t="shared" si="17"/>
        <v>[W1208.C] 로우 커버 로딩 셔틀#2(SD205) FLS가 감지되었습니다.</v>
      </c>
    </row>
    <row r="222" spans="1:22" s="49" customFormat="1" ht="14.15" customHeight="1">
      <c r="A222" s="43" t="s">
        <v>3731</v>
      </c>
      <c r="B222" s="44" t="s">
        <v>6637</v>
      </c>
      <c r="C222" s="32"/>
      <c r="D222" s="10" t="s">
        <v>29</v>
      </c>
      <c r="E222" s="11"/>
      <c r="F222" s="11" t="s">
        <v>18</v>
      </c>
      <c r="G222" s="13"/>
      <c r="H222" s="45" t="s">
        <v>16</v>
      </c>
      <c r="I222" s="46"/>
      <c r="J222" s="12" t="s">
        <v>2275</v>
      </c>
      <c r="K222" s="13" t="s">
        <v>6992</v>
      </c>
      <c r="L222" s="99" t="str">
        <f t="shared" si="16"/>
        <v>W1208.D</v>
      </c>
      <c r="M222" s="13" t="s">
        <v>3667</v>
      </c>
      <c r="N222" s="13"/>
      <c r="O222" s="13"/>
      <c r="P222" s="47"/>
      <c r="Q222" s="45"/>
      <c r="R222" s="45"/>
      <c r="S222" s="48"/>
      <c r="T222" s="49" t="str">
        <f t="shared" si="14"/>
        <v>[W1208.D]</v>
      </c>
      <c r="U222" s="12" t="str">
        <f t="shared" si="15"/>
        <v xml:space="preserve"> 로우 커버 로딩 셔틀#2(SD205) RLS가 감지되었습니다.</v>
      </c>
      <c r="V222" s="49" t="str">
        <f t="shared" si="17"/>
        <v>[W1208.D] 로우 커버 로딩 셔틀#2(SD205) RLS가 감지되었습니다.</v>
      </c>
    </row>
    <row r="223" spans="1:22" s="49" customFormat="1" ht="14.15" customHeight="1">
      <c r="A223" s="43" t="s">
        <v>3731</v>
      </c>
      <c r="B223" s="44" t="s">
        <v>6637</v>
      </c>
      <c r="C223" s="32"/>
      <c r="D223" s="10" t="s">
        <v>29</v>
      </c>
      <c r="E223" s="11"/>
      <c r="F223" s="11" t="s">
        <v>18</v>
      </c>
      <c r="G223" s="13"/>
      <c r="H223" s="45" t="s">
        <v>16</v>
      </c>
      <c r="I223" s="46"/>
      <c r="J223" s="12" t="s">
        <v>2276</v>
      </c>
      <c r="K223" s="13" t="s">
        <v>6993</v>
      </c>
      <c r="L223" s="99" t="str">
        <f t="shared" si="16"/>
        <v>W1208.E</v>
      </c>
      <c r="M223" s="13" t="s">
        <v>3667</v>
      </c>
      <c r="N223" s="13"/>
      <c r="O223" s="13"/>
      <c r="P223" s="47"/>
      <c r="Q223" s="45"/>
      <c r="R223" s="45"/>
      <c r="S223" s="48"/>
      <c r="T223" s="49" t="str">
        <f t="shared" si="14"/>
        <v>[W1208.E]</v>
      </c>
      <c r="U223" s="12" t="str">
        <f t="shared" si="15"/>
        <v xml:space="preserve"> 로우 커버 로딩 셔틀#2(SD205) Stop 명령이 On된 상태에서 기동을 시도했습니다.</v>
      </c>
      <c r="V223" s="49" t="str">
        <f t="shared" si="17"/>
        <v>[W1208.E] 로우 커버 로딩 셔틀#2(SD205) Stop 명령이 On된 상태에서 기동을 시도했습니다.</v>
      </c>
    </row>
    <row r="224" spans="1:22" s="49" customFormat="1" ht="14.15" customHeight="1">
      <c r="A224" s="43" t="s">
        <v>3731</v>
      </c>
      <c r="B224" s="44" t="s">
        <v>6637</v>
      </c>
      <c r="C224" s="32"/>
      <c r="D224" s="10" t="s">
        <v>29</v>
      </c>
      <c r="E224" s="11"/>
      <c r="F224" s="11" t="s">
        <v>18</v>
      </c>
      <c r="G224" s="13"/>
      <c r="H224" s="45" t="s">
        <v>16</v>
      </c>
      <c r="I224" s="46"/>
      <c r="J224" s="12" t="s">
        <v>2277</v>
      </c>
      <c r="K224" s="13" t="s">
        <v>6994</v>
      </c>
      <c r="L224" s="99" t="str">
        <f t="shared" si="16"/>
        <v>W1208.F</v>
      </c>
      <c r="M224" s="13" t="s">
        <v>3667</v>
      </c>
      <c r="N224" s="13"/>
      <c r="O224" s="13"/>
      <c r="P224" s="47"/>
      <c r="Q224" s="45"/>
      <c r="R224" s="45"/>
      <c r="S224" s="48"/>
      <c r="T224" s="49" t="str">
        <f t="shared" si="14"/>
        <v>[W1208.F]</v>
      </c>
      <c r="U224" s="12" t="str">
        <f t="shared" si="15"/>
        <v xml:space="preserve"> 로우 커버 로딩 셔틀#2(SD205) 가동 전원이 Off 되었습니다.</v>
      </c>
      <c r="V224" s="49" t="str">
        <f t="shared" si="17"/>
        <v>[W1208.F] 로우 커버 로딩 셔틀#2(SD205) 가동 전원이 Off 되었습니다.</v>
      </c>
    </row>
    <row r="225" spans="1:22" s="49" customFormat="1" ht="14.15" customHeight="1">
      <c r="A225" s="43" t="s">
        <v>3731</v>
      </c>
      <c r="B225" s="44" t="s">
        <v>6637</v>
      </c>
      <c r="C225" s="32"/>
      <c r="D225" s="10" t="s">
        <v>29</v>
      </c>
      <c r="E225" s="11"/>
      <c r="F225" s="11" t="s">
        <v>18</v>
      </c>
      <c r="G225" s="13"/>
      <c r="H225" s="45" t="s">
        <v>16</v>
      </c>
      <c r="I225" s="46"/>
      <c r="J225" s="12" t="s">
        <v>2278</v>
      </c>
      <c r="K225" s="13" t="s">
        <v>6995</v>
      </c>
      <c r="L225" s="99" t="str">
        <f t="shared" si="16"/>
        <v>W1209.0</v>
      </c>
      <c r="M225" s="13" t="s">
        <v>3667</v>
      </c>
      <c r="N225" s="13"/>
      <c r="O225" s="13"/>
      <c r="P225" s="47"/>
      <c r="Q225" s="45"/>
      <c r="R225" s="45"/>
      <c r="S225" s="48"/>
      <c r="T225" s="49" t="str">
        <f t="shared" si="14"/>
        <v>[W1209.0]</v>
      </c>
      <c r="U225" s="12" t="str">
        <f t="shared" si="15"/>
        <v xml:space="preserve"> 로우 커버 로딩 셔틀#2(SD205) 엔코더 이상이 검출되었습니다.</v>
      </c>
      <c r="V225" s="49" t="str">
        <f t="shared" si="17"/>
        <v>[W1209.0] 로우 커버 로딩 셔틀#2(SD205) 엔코더 이상이 검출되었습니다.</v>
      </c>
    </row>
    <row r="226" spans="1:22" s="49" customFormat="1" ht="14.15" customHeight="1">
      <c r="A226" s="43" t="s">
        <v>3731</v>
      </c>
      <c r="B226" s="44" t="s">
        <v>6637</v>
      </c>
      <c r="C226" s="32"/>
      <c r="D226" s="10" t="s">
        <v>29</v>
      </c>
      <c r="E226" s="11"/>
      <c r="F226" s="11" t="s">
        <v>18</v>
      </c>
      <c r="G226" s="13"/>
      <c r="H226" s="45" t="s">
        <v>16</v>
      </c>
      <c r="I226" s="46"/>
      <c r="J226" s="12" t="s">
        <v>2279</v>
      </c>
      <c r="K226" s="13" t="s">
        <v>6996</v>
      </c>
      <c r="L226" s="99" t="str">
        <f t="shared" si="16"/>
        <v>W1209.1</v>
      </c>
      <c r="M226" s="13" t="s">
        <v>3667</v>
      </c>
      <c r="N226" s="13"/>
      <c r="O226" s="13"/>
      <c r="P226" s="47"/>
      <c r="Q226" s="45"/>
      <c r="R226" s="45"/>
      <c r="S226" s="48"/>
      <c r="T226" s="49" t="str">
        <f t="shared" si="14"/>
        <v>[W1209.1]</v>
      </c>
      <c r="U226" s="12" t="str">
        <f t="shared" si="15"/>
        <v xml:space="preserve"> 로우 커버 로딩 셔틀#2(SD205) 과전류가 검출되었습니다.</v>
      </c>
      <c r="V226" s="49" t="str">
        <f t="shared" si="17"/>
        <v>[W1209.1] 로우 커버 로딩 셔틀#2(SD205) 과전류가 검출되었습니다.</v>
      </c>
    </row>
    <row r="227" spans="1:22" s="49" customFormat="1" ht="14.15" customHeight="1">
      <c r="A227" s="43" t="s">
        <v>3731</v>
      </c>
      <c r="B227" s="44" t="s">
        <v>6637</v>
      </c>
      <c r="C227" s="32"/>
      <c r="D227" s="10" t="s">
        <v>29</v>
      </c>
      <c r="E227" s="11"/>
      <c r="F227" s="11" t="s">
        <v>18</v>
      </c>
      <c r="G227" s="13"/>
      <c r="H227" s="45" t="s">
        <v>16</v>
      </c>
      <c r="I227" s="46"/>
      <c r="J227" s="12" t="s">
        <v>2280</v>
      </c>
      <c r="K227" s="13" t="s">
        <v>6997</v>
      </c>
      <c r="L227" s="99" t="str">
        <f t="shared" si="16"/>
        <v>W1209.2</v>
      </c>
      <c r="M227" s="13" t="s">
        <v>3667</v>
      </c>
      <c r="N227" s="13"/>
      <c r="O227" s="13"/>
      <c r="P227" s="47"/>
      <c r="Q227" s="45"/>
      <c r="R227" s="45"/>
      <c r="S227" s="48"/>
      <c r="T227" s="49" t="str">
        <f t="shared" si="14"/>
        <v>[W1209.2]</v>
      </c>
      <c r="U227" s="12" t="str">
        <f t="shared" si="15"/>
        <v xml:space="preserve"> 로우 커버 로딩 셔틀#2(SD205) 과부하가 검출되었습니다.</v>
      </c>
      <c r="V227" s="49" t="str">
        <f t="shared" si="17"/>
        <v>[W1209.2] 로우 커버 로딩 셔틀#2(SD205) 과부하가 검출되었습니다.</v>
      </c>
    </row>
    <row r="228" spans="1:22" s="49" customFormat="1" ht="14.15" customHeight="1">
      <c r="A228" s="43" t="s">
        <v>3731</v>
      </c>
      <c r="B228" s="44" t="s">
        <v>6637</v>
      </c>
      <c r="C228" s="32"/>
      <c r="D228" s="10" t="s">
        <v>29</v>
      </c>
      <c r="E228" s="11"/>
      <c r="F228" s="11" t="s">
        <v>18</v>
      </c>
      <c r="G228" s="13"/>
      <c r="H228" s="45" t="s">
        <v>16</v>
      </c>
      <c r="I228" s="46"/>
      <c r="J228" s="12" t="s">
        <v>2281</v>
      </c>
      <c r="K228" s="13" t="s">
        <v>6998</v>
      </c>
      <c r="L228" s="99" t="str">
        <f t="shared" si="16"/>
        <v>W1209.3</v>
      </c>
      <c r="M228" s="13" t="s">
        <v>3667</v>
      </c>
      <c r="N228" s="13"/>
      <c r="O228" s="13"/>
      <c r="P228" s="47"/>
      <c r="Q228" s="45"/>
      <c r="R228" s="45"/>
      <c r="S228" s="48"/>
      <c r="T228" s="49" t="str">
        <f t="shared" si="14"/>
        <v>[W1209.3]</v>
      </c>
      <c r="U228" s="12" t="str">
        <f t="shared" si="15"/>
        <v xml:space="preserve"> 로우 커버 로딩 셔틀#2(SD205)  </v>
      </c>
      <c r="V228" s="49" t="str">
        <f t="shared" si="17"/>
        <v xml:space="preserve">[W1209.3] 로우 커버 로딩 셔틀#2(SD205)  </v>
      </c>
    </row>
    <row r="229" spans="1:22" s="49" customFormat="1" ht="14.15" customHeight="1">
      <c r="A229" s="43" t="s">
        <v>3731</v>
      </c>
      <c r="B229" s="44" t="s">
        <v>6637</v>
      </c>
      <c r="C229" s="32"/>
      <c r="D229" s="10" t="s">
        <v>29</v>
      </c>
      <c r="E229" s="11"/>
      <c r="F229" s="11" t="s">
        <v>18</v>
      </c>
      <c r="G229" s="13"/>
      <c r="H229" s="45" t="s">
        <v>16</v>
      </c>
      <c r="I229" s="46"/>
      <c r="J229" s="12" t="s">
        <v>2282</v>
      </c>
      <c r="K229" s="13" t="s">
        <v>6999</v>
      </c>
      <c r="L229" s="99" t="str">
        <f t="shared" si="16"/>
        <v>W1209.4</v>
      </c>
      <c r="M229" s="13" t="s">
        <v>3667</v>
      </c>
      <c r="N229" s="13"/>
      <c r="O229" s="13"/>
      <c r="P229" s="47"/>
      <c r="Q229" s="45"/>
      <c r="R229" s="45"/>
      <c r="S229" s="48"/>
      <c r="T229" s="49" t="str">
        <f t="shared" si="14"/>
        <v>[W1209.4]</v>
      </c>
      <c r="U229" s="12" t="str">
        <f t="shared" si="15"/>
        <v xml:space="preserve"> 로우 커버 로딩 셔틀#2(SD205) 에러가 발생했습니다.</v>
      </c>
      <c r="V229" s="49" t="str">
        <f t="shared" si="17"/>
        <v>[W1209.4] 로우 커버 로딩 셔틀#2(SD205) 에러가 발생했습니다.</v>
      </c>
    </row>
    <row r="230" spans="1:22" s="49" customFormat="1" ht="14.15" customHeight="1">
      <c r="A230" s="43" t="s">
        <v>3731</v>
      </c>
      <c r="B230" s="44" t="s">
        <v>6637</v>
      </c>
      <c r="C230" s="32"/>
      <c r="D230" s="10" t="s">
        <v>29</v>
      </c>
      <c r="E230" s="11"/>
      <c r="F230" s="11" t="s">
        <v>18</v>
      </c>
      <c r="G230" s="13"/>
      <c r="H230" s="45" t="s">
        <v>16</v>
      </c>
      <c r="I230" s="46"/>
      <c r="J230" s="12" t="s">
        <v>2283</v>
      </c>
      <c r="K230" s="13" t="s">
        <v>7000</v>
      </c>
      <c r="L230" s="99" t="str">
        <f t="shared" si="16"/>
        <v>W1209.5</v>
      </c>
      <c r="M230" s="13" t="s">
        <v>3667</v>
      </c>
      <c r="N230" s="13"/>
      <c r="O230" s="13"/>
      <c r="P230" s="47"/>
      <c r="Q230" s="45"/>
      <c r="R230" s="45"/>
      <c r="S230" s="48"/>
      <c r="T230" s="49" t="str">
        <f t="shared" si="14"/>
        <v>[W1209.5]</v>
      </c>
      <c r="U230" s="12" t="str">
        <f t="shared" si="15"/>
        <v xml:space="preserve"> 로우 커버 로딩 셔틀#3(SD206) 운전중에 Ready가 Off 되었습니다.</v>
      </c>
      <c r="V230" s="49" t="str">
        <f t="shared" si="17"/>
        <v>[W1209.5] 로우 커버 로딩 셔틀#3(SD206) 운전중에 Ready가 Off 되었습니다.</v>
      </c>
    </row>
    <row r="231" spans="1:22" s="49" customFormat="1" ht="14.15" customHeight="1">
      <c r="A231" s="43" t="s">
        <v>3731</v>
      </c>
      <c r="B231" s="44" t="s">
        <v>6637</v>
      </c>
      <c r="C231" s="32"/>
      <c r="D231" s="10" t="s">
        <v>29</v>
      </c>
      <c r="E231" s="11"/>
      <c r="F231" s="11" t="s">
        <v>18</v>
      </c>
      <c r="G231" s="13"/>
      <c r="H231" s="45" t="s">
        <v>16</v>
      </c>
      <c r="I231" s="46"/>
      <c r="J231" s="12" t="s">
        <v>2284</v>
      </c>
      <c r="K231" s="13" t="s">
        <v>7001</v>
      </c>
      <c r="L231" s="99" t="str">
        <f t="shared" si="16"/>
        <v>W1209.6</v>
      </c>
      <c r="M231" s="13" t="s">
        <v>3667</v>
      </c>
      <c r="N231" s="13"/>
      <c r="O231" s="13"/>
      <c r="P231" s="47"/>
      <c r="Q231" s="45"/>
      <c r="R231" s="45"/>
      <c r="S231" s="48"/>
      <c r="T231" s="49" t="str">
        <f t="shared" si="14"/>
        <v>[W1209.6]</v>
      </c>
      <c r="U231" s="12" t="str">
        <f t="shared" si="15"/>
        <v xml:space="preserve"> 로우 커버 로딩 셔틀#3(SD206) FLS가 감지되었습니다.</v>
      </c>
      <c r="V231" s="49" t="str">
        <f t="shared" si="17"/>
        <v>[W1209.6] 로우 커버 로딩 셔틀#3(SD206) FLS가 감지되었습니다.</v>
      </c>
    </row>
    <row r="232" spans="1:22" s="49" customFormat="1" ht="14.15" customHeight="1">
      <c r="A232" s="43" t="s">
        <v>3731</v>
      </c>
      <c r="B232" s="44" t="s">
        <v>6637</v>
      </c>
      <c r="C232" s="32"/>
      <c r="D232" s="10" t="s">
        <v>29</v>
      </c>
      <c r="E232" s="11"/>
      <c r="F232" s="11" t="s">
        <v>18</v>
      </c>
      <c r="G232" s="13"/>
      <c r="H232" s="45" t="s">
        <v>16</v>
      </c>
      <c r="I232" s="46"/>
      <c r="J232" s="12" t="s">
        <v>2285</v>
      </c>
      <c r="K232" s="13" t="s">
        <v>7002</v>
      </c>
      <c r="L232" s="99" t="str">
        <f t="shared" si="16"/>
        <v>W1209.7</v>
      </c>
      <c r="M232" s="13" t="s">
        <v>3667</v>
      </c>
      <c r="N232" s="13"/>
      <c r="O232" s="13"/>
      <c r="P232" s="47"/>
      <c r="Q232" s="45"/>
      <c r="R232" s="45"/>
      <c r="S232" s="48"/>
      <c r="T232" s="49" t="str">
        <f t="shared" si="14"/>
        <v>[W1209.7]</v>
      </c>
      <c r="U232" s="12" t="str">
        <f t="shared" si="15"/>
        <v xml:space="preserve"> 로우 커버 로딩 셔틀#3(SD206) RLS가 감지되었습니다.</v>
      </c>
      <c r="V232" s="49" t="str">
        <f t="shared" si="17"/>
        <v>[W1209.7] 로우 커버 로딩 셔틀#3(SD206) RLS가 감지되었습니다.</v>
      </c>
    </row>
    <row r="233" spans="1:22" s="49" customFormat="1" ht="14.15" customHeight="1">
      <c r="A233" s="43" t="s">
        <v>3731</v>
      </c>
      <c r="B233" s="44" t="s">
        <v>6637</v>
      </c>
      <c r="C233" s="32"/>
      <c r="D233" s="10" t="s">
        <v>29</v>
      </c>
      <c r="E233" s="11"/>
      <c r="F233" s="11" t="s">
        <v>18</v>
      </c>
      <c r="G233" s="13"/>
      <c r="H233" s="45" t="s">
        <v>16</v>
      </c>
      <c r="I233" s="46"/>
      <c r="J233" s="12" t="s">
        <v>2286</v>
      </c>
      <c r="K233" s="13" t="s">
        <v>7003</v>
      </c>
      <c r="L233" s="99" t="str">
        <f t="shared" si="16"/>
        <v>W1209.8</v>
      </c>
      <c r="M233" s="13" t="s">
        <v>3667</v>
      </c>
      <c r="N233" s="13"/>
      <c r="O233" s="13"/>
      <c r="P233" s="47"/>
      <c r="Q233" s="45"/>
      <c r="R233" s="45"/>
      <c r="S233" s="48"/>
      <c r="T233" s="49" t="str">
        <f t="shared" si="14"/>
        <v>[W1209.8]</v>
      </c>
      <c r="U233" s="12" t="str">
        <f t="shared" si="15"/>
        <v xml:space="preserve"> 로우 커버 로딩 셔틀#3(SD206) Stop 명령이 On된 상태에서 기동을 시도했습니다.</v>
      </c>
      <c r="V233" s="49" t="str">
        <f t="shared" si="17"/>
        <v>[W1209.8] 로우 커버 로딩 셔틀#3(SD206) Stop 명령이 On된 상태에서 기동을 시도했습니다.</v>
      </c>
    </row>
    <row r="234" spans="1:22" s="49" customFormat="1" ht="14.15" customHeight="1">
      <c r="A234" s="43" t="s">
        <v>3731</v>
      </c>
      <c r="B234" s="44" t="s">
        <v>6637</v>
      </c>
      <c r="C234" s="32"/>
      <c r="D234" s="10" t="s">
        <v>29</v>
      </c>
      <c r="E234" s="11"/>
      <c r="F234" s="11" t="s">
        <v>18</v>
      </c>
      <c r="G234" s="13"/>
      <c r="H234" s="45" t="s">
        <v>16</v>
      </c>
      <c r="I234" s="46"/>
      <c r="J234" s="12" t="s">
        <v>2287</v>
      </c>
      <c r="K234" s="13" t="s">
        <v>7004</v>
      </c>
      <c r="L234" s="99" t="str">
        <f t="shared" si="16"/>
        <v>W1209.9</v>
      </c>
      <c r="M234" s="13" t="s">
        <v>3667</v>
      </c>
      <c r="N234" s="13"/>
      <c r="O234" s="13"/>
      <c r="P234" s="47"/>
      <c r="Q234" s="45"/>
      <c r="R234" s="45"/>
      <c r="S234" s="48"/>
      <c r="T234" s="49" t="str">
        <f t="shared" ref="T234:T268" si="18">"["&amp;L234&amp;"]"</f>
        <v>[W1209.9]</v>
      </c>
      <c r="U234" s="12" t="str">
        <f t="shared" ref="U234:U268" si="19">RIGHT(J234,LEN(J234)-7)</f>
        <v xml:space="preserve"> 로우 커버 로딩 셔틀#3(SD206) 가동 전원이 Off 되었습니다.</v>
      </c>
      <c r="V234" s="49" t="str">
        <f t="shared" si="17"/>
        <v>[W1209.9] 로우 커버 로딩 셔틀#3(SD206) 가동 전원이 Off 되었습니다.</v>
      </c>
    </row>
    <row r="235" spans="1:22" s="49" customFormat="1" ht="14.15" customHeight="1">
      <c r="A235" s="43" t="s">
        <v>3731</v>
      </c>
      <c r="B235" s="44" t="s">
        <v>6637</v>
      </c>
      <c r="C235" s="32"/>
      <c r="D235" s="10" t="s">
        <v>29</v>
      </c>
      <c r="E235" s="11"/>
      <c r="F235" s="11" t="s">
        <v>18</v>
      </c>
      <c r="G235" s="13"/>
      <c r="H235" s="45" t="s">
        <v>16</v>
      </c>
      <c r="I235" s="46"/>
      <c r="J235" s="12" t="s">
        <v>2288</v>
      </c>
      <c r="K235" s="13" t="s">
        <v>7005</v>
      </c>
      <c r="L235" s="99" t="str">
        <f t="shared" si="16"/>
        <v>W1209.A</v>
      </c>
      <c r="M235" s="13" t="s">
        <v>3667</v>
      </c>
      <c r="N235" s="13"/>
      <c r="O235" s="13"/>
      <c r="P235" s="47"/>
      <c r="Q235" s="45"/>
      <c r="R235" s="45"/>
      <c r="S235" s="48"/>
      <c r="T235" s="49" t="str">
        <f t="shared" si="18"/>
        <v>[W1209.A]</v>
      </c>
      <c r="U235" s="12" t="str">
        <f t="shared" si="19"/>
        <v xml:space="preserve"> 로우 커버 로딩 셔틀#3(SD206) 엔코더 이상이 검출되었습니다.</v>
      </c>
      <c r="V235" s="49" t="str">
        <f t="shared" si="17"/>
        <v>[W1209.A] 로우 커버 로딩 셔틀#3(SD206) 엔코더 이상이 검출되었습니다.</v>
      </c>
    </row>
    <row r="236" spans="1:22" s="49" customFormat="1" ht="14.15" customHeight="1">
      <c r="A236" s="43" t="s">
        <v>3731</v>
      </c>
      <c r="B236" s="44" t="s">
        <v>6637</v>
      </c>
      <c r="C236" s="32"/>
      <c r="D236" s="10" t="s">
        <v>29</v>
      </c>
      <c r="E236" s="11"/>
      <c r="F236" s="11" t="s">
        <v>18</v>
      </c>
      <c r="G236" s="13"/>
      <c r="H236" s="45" t="s">
        <v>16</v>
      </c>
      <c r="I236" s="46"/>
      <c r="J236" s="12" t="s">
        <v>2289</v>
      </c>
      <c r="K236" s="13" t="s">
        <v>7006</v>
      </c>
      <c r="L236" s="99" t="str">
        <f t="shared" si="16"/>
        <v>W1209.B</v>
      </c>
      <c r="M236" s="13" t="s">
        <v>3667</v>
      </c>
      <c r="N236" s="13"/>
      <c r="O236" s="13"/>
      <c r="P236" s="47"/>
      <c r="Q236" s="45"/>
      <c r="R236" s="45"/>
      <c r="S236" s="48"/>
      <c r="T236" s="49" t="str">
        <f t="shared" si="18"/>
        <v>[W1209.B]</v>
      </c>
      <c r="U236" s="12" t="str">
        <f t="shared" si="19"/>
        <v xml:space="preserve"> 로우 커버 로딩 셔틀#3(SD206) 과전류가 검출되었습니다.</v>
      </c>
      <c r="V236" s="49" t="str">
        <f t="shared" si="17"/>
        <v>[W1209.B] 로우 커버 로딩 셔틀#3(SD206) 과전류가 검출되었습니다.</v>
      </c>
    </row>
    <row r="237" spans="1:22" s="49" customFormat="1" ht="14.15" customHeight="1">
      <c r="A237" s="43" t="s">
        <v>3731</v>
      </c>
      <c r="B237" s="44" t="s">
        <v>6637</v>
      </c>
      <c r="C237" s="32"/>
      <c r="D237" s="10" t="s">
        <v>29</v>
      </c>
      <c r="E237" s="11"/>
      <c r="F237" s="11" t="s">
        <v>18</v>
      </c>
      <c r="G237" s="13"/>
      <c r="H237" s="45" t="s">
        <v>16</v>
      </c>
      <c r="I237" s="46"/>
      <c r="J237" s="12" t="s">
        <v>2290</v>
      </c>
      <c r="K237" s="13" t="s">
        <v>7007</v>
      </c>
      <c r="L237" s="99" t="str">
        <f t="shared" si="16"/>
        <v>W1209.C</v>
      </c>
      <c r="M237" s="13" t="s">
        <v>3667</v>
      </c>
      <c r="N237" s="13"/>
      <c r="O237" s="13"/>
      <c r="P237" s="47"/>
      <c r="Q237" s="45"/>
      <c r="R237" s="45"/>
      <c r="S237" s="48"/>
      <c r="T237" s="49" t="str">
        <f t="shared" si="18"/>
        <v>[W1209.C]</v>
      </c>
      <c r="U237" s="12" t="str">
        <f t="shared" si="19"/>
        <v xml:space="preserve"> 로우 커버 로딩 셔틀#3(SD206) 과부하가 검출되었습니다.</v>
      </c>
      <c r="V237" s="49" t="str">
        <f t="shared" si="17"/>
        <v>[W1209.C] 로우 커버 로딩 셔틀#3(SD206) 과부하가 검출되었습니다.</v>
      </c>
    </row>
    <row r="238" spans="1:22" s="49" customFormat="1" ht="14.15" customHeight="1">
      <c r="A238" s="43" t="s">
        <v>3731</v>
      </c>
      <c r="B238" s="44" t="s">
        <v>6637</v>
      </c>
      <c r="C238" s="32"/>
      <c r="D238" s="10" t="s">
        <v>29</v>
      </c>
      <c r="E238" s="11"/>
      <c r="F238" s="11" t="s">
        <v>18</v>
      </c>
      <c r="G238" s="13"/>
      <c r="H238" s="45" t="s">
        <v>16</v>
      </c>
      <c r="I238" s="46"/>
      <c r="J238" s="12" t="s">
        <v>2291</v>
      </c>
      <c r="K238" s="13" t="s">
        <v>7008</v>
      </c>
      <c r="L238" s="99" t="str">
        <f t="shared" si="16"/>
        <v>W1209.D</v>
      </c>
      <c r="M238" s="13" t="s">
        <v>3667</v>
      </c>
      <c r="N238" s="13"/>
      <c r="O238" s="13"/>
      <c r="P238" s="47"/>
      <c r="Q238" s="45"/>
      <c r="R238" s="45"/>
      <c r="S238" s="48"/>
      <c r="T238" s="49" t="str">
        <f t="shared" si="18"/>
        <v>[W1209.D]</v>
      </c>
      <c r="U238" s="12" t="str">
        <f t="shared" si="19"/>
        <v xml:space="preserve"> 로우 커버 로딩 셔틀#3(SD206)  </v>
      </c>
      <c r="V238" s="49" t="str">
        <f t="shared" si="17"/>
        <v xml:space="preserve">[W1209.D] 로우 커버 로딩 셔틀#3(SD206)  </v>
      </c>
    </row>
    <row r="239" spans="1:22" s="49" customFormat="1" ht="14.15" customHeight="1">
      <c r="A239" s="43" t="s">
        <v>3731</v>
      </c>
      <c r="B239" s="44" t="s">
        <v>6637</v>
      </c>
      <c r="C239" s="32"/>
      <c r="D239" s="10" t="s">
        <v>29</v>
      </c>
      <c r="E239" s="11"/>
      <c r="F239" s="11" t="s">
        <v>18</v>
      </c>
      <c r="G239" s="13"/>
      <c r="H239" s="45" t="s">
        <v>16</v>
      </c>
      <c r="I239" s="46"/>
      <c r="J239" s="12" t="s">
        <v>2292</v>
      </c>
      <c r="K239" s="13" t="s">
        <v>7009</v>
      </c>
      <c r="L239" s="99" t="str">
        <f t="shared" si="16"/>
        <v>W1209.E</v>
      </c>
      <c r="M239" s="13" t="s">
        <v>3667</v>
      </c>
      <c r="N239" s="13"/>
      <c r="O239" s="13"/>
      <c r="P239" s="47"/>
      <c r="Q239" s="45"/>
      <c r="R239" s="45"/>
      <c r="S239" s="48"/>
      <c r="T239" s="49" t="str">
        <f t="shared" si="18"/>
        <v>[W1209.E]</v>
      </c>
      <c r="U239" s="12" t="str">
        <f t="shared" si="19"/>
        <v xml:space="preserve"> 로우 커버 로딩 셔틀#3(SD206) 에러가 발생했습니다.</v>
      </c>
      <c r="V239" s="49" t="str">
        <f t="shared" si="17"/>
        <v>[W1209.E] 로우 커버 로딩 셔틀#3(SD206) 에러가 발생했습니다.</v>
      </c>
    </row>
    <row r="240" spans="1:22" s="49" customFormat="1" ht="14.15" customHeight="1">
      <c r="A240" s="43" t="s">
        <v>3679</v>
      </c>
      <c r="B240" s="44" t="s">
        <v>6637</v>
      </c>
      <c r="C240" s="32"/>
      <c r="D240" s="10" t="s">
        <v>29</v>
      </c>
      <c r="E240" s="11"/>
      <c r="F240" s="11" t="s">
        <v>18</v>
      </c>
      <c r="G240" s="13"/>
      <c r="H240" s="45" t="s">
        <v>16</v>
      </c>
      <c r="I240" s="46"/>
      <c r="J240" s="12" t="s">
        <v>2293</v>
      </c>
      <c r="K240" s="13" t="s">
        <v>7010</v>
      </c>
      <c r="L240" s="99" t="str">
        <f t="shared" si="16"/>
        <v>W1209.F</v>
      </c>
      <c r="M240" s="13" t="s">
        <v>3667</v>
      </c>
      <c r="N240" s="13"/>
      <c r="O240" s="13"/>
      <c r="P240" s="47"/>
      <c r="Q240" s="45"/>
      <c r="R240" s="45"/>
      <c r="S240" s="48"/>
      <c r="T240" s="49" t="str">
        <f t="shared" si="18"/>
        <v>[W1209.F]</v>
      </c>
      <c r="U240" s="12" t="str">
        <f t="shared" si="19"/>
        <v xml:space="preserve"> 어퍼 커버 용접 X축(SD210) 운전중에 Ready가 Off 되었습니다.</v>
      </c>
      <c r="V240" s="49" t="str">
        <f t="shared" si="17"/>
        <v>[W1209.F] 어퍼 커버 용접 X축(SD210) 운전중에 Ready가 Off 되었습니다.</v>
      </c>
    </row>
    <row r="241" spans="1:22" s="49" customFormat="1" ht="14.15" customHeight="1">
      <c r="A241" s="43" t="s">
        <v>3679</v>
      </c>
      <c r="B241" s="44" t="s">
        <v>6637</v>
      </c>
      <c r="C241" s="32"/>
      <c r="D241" s="10" t="s">
        <v>29</v>
      </c>
      <c r="E241" s="11"/>
      <c r="F241" s="11" t="s">
        <v>18</v>
      </c>
      <c r="G241" s="13"/>
      <c r="H241" s="45" t="s">
        <v>16</v>
      </c>
      <c r="I241" s="46"/>
      <c r="J241" s="12" t="s">
        <v>2294</v>
      </c>
      <c r="K241" s="13" t="s">
        <v>7011</v>
      </c>
      <c r="L241" s="99" t="str">
        <f t="shared" si="16"/>
        <v>W120A.0</v>
      </c>
      <c r="M241" s="13" t="s">
        <v>3667</v>
      </c>
      <c r="N241" s="13"/>
      <c r="O241" s="13"/>
      <c r="P241" s="47"/>
      <c r="Q241" s="45"/>
      <c r="R241" s="45"/>
      <c r="S241" s="48"/>
      <c r="T241" s="49" t="str">
        <f t="shared" si="18"/>
        <v>[W120A.0]</v>
      </c>
      <c r="U241" s="12" t="str">
        <f t="shared" si="19"/>
        <v xml:space="preserve"> 어퍼 커버 용접 X축(SD210) FLS가 감지되었습니다.</v>
      </c>
      <c r="V241" s="49" t="str">
        <f t="shared" si="17"/>
        <v>[W120A.0] 어퍼 커버 용접 X축(SD210) FLS가 감지되었습니다.</v>
      </c>
    </row>
    <row r="242" spans="1:22" s="49" customFormat="1" ht="14.15" customHeight="1">
      <c r="A242" s="43" t="s">
        <v>3679</v>
      </c>
      <c r="B242" s="44" t="s">
        <v>6637</v>
      </c>
      <c r="C242" s="32"/>
      <c r="D242" s="10" t="s">
        <v>29</v>
      </c>
      <c r="E242" s="11"/>
      <c r="F242" s="11" t="s">
        <v>18</v>
      </c>
      <c r="G242" s="13"/>
      <c r="H242" s="45" t="s">
        <v>16</v>
      </c>
      <c r="I242" s="46"/>
      <c r="J242" s="12" t="s">
        <v>2295</v>
      </c>
      <c r="K242" s="13" t="s">
        <v>7012</v>
      </c>
      <c r="L242" s="99" t="str">
        <f t="shared" si="16"/>
        <v>W120A.1</v>
      </c>
      <c r="M242" s="13" t="s">
        <v>3667</v>
      </c>
      <c r="N242" s="13"/>
      <c r="O242" s="13"/>
      <c r="P242" s="47"/>
      <c r="Q242" s="45"/>
      <c r="R242" s="45"/>
      <c r="S242" s="48"/>
      <c r="T242" s="49" t="str">
        <f t="shared" si="18"/>
        <v>[W120A.1]</v>
      </c>
      <c r="U242" s="12" t="str">
        <f t="shared" si="19"/>
        <v xml:space="preserve"> 어퍼 커버 용접 X축(SD210) RLS가 감지되었습니다.</v>
      </c>
      <c r="V242" s="49" t="str">
        <f t="shared" si="17"/>
        <v>[W120A.1] 어퍼 커버 용접 X축(SD210) RLS가 감지되었습니다.</v>
      </c>
    </row>
    <row r="243" spans="1:22" s="49" customFormat="1" ht="14.15" customHeight="1">
      <c r="A243" s="43" t="s">
        <v>3679</v>
      </c>
      <c r="B243" s="44" t="s">
        <v>6637</v>
      </c>
      <c r="C243" s="32"/>
      <c r="D243" s="10" t="s">
        <v>29</v>
      </c>
      <c r="E243" s="11"/>
      <c r="F243" s="11" t="s">
        <v>18</v>
      </c>
      <c r="G243" s="13"/>
      <c r="H243" s="45" t="s">
        <v>16</v>
      </c>
      <c r="I243" s="46"/>
      <c r="J243" s="12" t="s">
        <v>2296</v>
      </c>
      <c r="K243" s="13" t="s">
        <v>7013</v>
      </c>
      <c r="L243" s="99" t="str">
        <f t="shared" si="16"/>
        <v>W120A.2</v>
      </c>
      <c r="M243" s="13" t="s">
        <v>3667</v>
      </c>
      <c r="N243" s="13"/>
      <c r="O243" s="13"/>
      <c r="P243" s="47"/>
      <c r="Q243" s="45"/>
      <c r="R243" s="45"/>
      <c r="S243" s="48"/>
      <c r="T243" s="49" t="str">
        <f t="shared" si="18"/>
        <v>[W120A.2]</v>
      </c>
      <c r="U243" s="12" t="str">
        <f t="shared" si="19"/>
        <v xml:space="preserve"> 어퍼 커버 용접 X축(SD210) Stop 명령이 On된 상태에서 기동을 시도했습니다.</v>
      </c>
      <c r="V243" s="49" t="str">
        <f t="shared" si="17"/>
        <v>[W120A.2] 어퍼 커버 용접 X축(SD210) Stop 명령이 On된 상태에서 기동을 시도했습니다.</v>
      </c>
    </row>
    <row r="244" spans="1:22" s="49" customFormat="1" ht="14.15" customHeight="1">
      <c r="A244" s="43" t="s">
        <v>3679</v>
      </c>
      <c r="B244" s="44" t="s">
        <v>6637</v>
      </c>
      <c r="C244" s="32"/>
      <c r="D244" s="10" t="s">
        <v>29</v>
      </c>
      <c r="E244" s="11"/>
      <c r="F244" s="11" t="s">
        <v>18</v>
      </c>
      <c r="G244" s="13"/>
      <c r="H244" s="45" t="s">
        <v>16</v>
      </c>
      <c r="I244" s="46"/>
      <c r="J244" s="12" t="s">
        <v>2297</v>
      </c>
      <c r="K244" s="13" t="s">
        <v>7014</v>
      </c>
      <c r="L244" s="99" t="str">
        <f t="shared" si="16"/>
        <v>W120A.3</v>
      </c>
      <c r="M244" s="13" t="s">
        <v>3667</v>
      </c>
      <c r="N244" s="13"/>
      <c r="O244" s="13"/>
      <c r="P244" s="47"/>
      <c r="Q244" s="45"/>
      <c r="R244" s="45"/>
      <c r="S244" s="48"/>
      <c r="T244" s="49" t="str">
        <f t="shared" si="18"/>
        <v>[W120A.3]</v>
      </c>
      <c r="U244" s="12" t="str">
        <f t="shared" si="19"/>
        <v xml:space="preserve"> 어퍼 커버 용접 X축(SD210) 가동 전원이 Off 되었습니다.</v>
      </c>
      <c r="V244" s="49" t="str">
        <f t="shared" si="17"/>
        <v>[W120A.3] 어퍼 커버 용접 X축(SD210) 가동 전원이 Off 되었습니다.</v>
      </c>
    </row>
    <row r="245" spans="1:22" s="49" customFormat="1" ht="14.15" customHeight="1">
      <c r="A245" s="43" t="s">
        <v>3679</v>
      </c>
      <c r="B245" s="44" t="s">
        <v>6637</v>
      </c>
      <c r="C245" s="32"/>
      <c r="D245" s="10" t="s">
        <v>29</v>
      </c>
      <c r="E245" s="11"/>
      <c r="F245" s="11" t="s">
        <v>18</v>
      </c>
      <c r="G245" s="13"/>
      <c r="H245" s="45" t="s">
        <v>16</v>
      </c>
      <c r="I245" s="46"/>
      <c r="J245" s="12" t="s">
        <v>2298</v>
      </c>
      <c r="K245" s="13" t="s">
        <v>7015</v>
      </c>
      <c r="L245" s="99" t="str">
        <f t="shared" si="16"/>
        <v>W120A.4</v>
      </c>
      <c r="M245" s="13" t="s">
        <v>3667</v>
      </c>
      <c r="N245" s="13"/>
      <c r="O245" s="13"/>
      <c r="P245" s="47"/>
      <c r="Q245" s="45"/>
      <c r="R245" s="45"/>
      <c r="S245" s="48"/>
      <c r="T245" s="49" t="str">
        <f t="shared" si="18"/>
        <v>[W120A.4]</v>
      </c>
      <c r="U245" s="12" t="str">
        <f t="shared" si="19"/>
        <v xml:space="preserve"> 어퍼 커버 용접 X축(SD210) 엔코더 이상이 검출되었습니다.</v>
      </c>
      <c r="V245" s="49" t="str">
        <f t="shared" si="17"/>
        <v>[W120A.4] 어퍼 커버 용접 X축(SD210) 엔코더 이상이 검출되었습니다.</v>
      </c>
    </row>
    <row r="246" spans="1:22" s="49" customFormat="1" ht="14.15" customHeight="1">
      <c r="A246" s="43" t="s">
        <v>3679</v>
      </c>
      <c r="B246" s="44" t="s">
        <v>6637</v>
      </c>
      <c r="C246" s="32"/>
      <c r="D246" s="10" t="s">
        <v>29</v>
      </c>
      <c r="E246" s="11"/>
      <c r="F246" s="11" t="s">
        <v>18</v>
      </c>
      <c r="G246" s="13"/>
      <c r="H246" s="45" t="s">
        <v>16</v>
      </c>
      <c r="I246" s="46"/>
      <c r="J246" s="12" t="s">
        <v>2299</v>
      </c>
      <c r="K246" s="13" t="s">
        <v>7016</v>
      </c>
      <c r="L246" s="99" t="str">
        <f t="shared" si="16"/>
        <v>W120A.5</v>
      </c>
      <c r="M246" s="13" t="s">
        <v>3667</v>
      </c>
      <c r="N246" s="13"/>
      <c r="O246" s="13"/>
      <c r="P246" s="47"/>
      <c r="Q246" s="45"/>
      <c r="R246" s="45"/>
      <c r="S246" s="48"/>
      <c r="T246" s="49" t="str">
        <f t="shared" si="18"/>
        <v>[W120A.5]</v>
      </c>
      <c r="U246" s="12" t="str">
        <f t="shared" si="19"/>
        <v xml:space="preserve"> 어퍼 커버 용접 X축(SD210) 과전류가 검출되었습니다.</v>
      </c>
      <c r="V246" s="49" t="str">
        <f t="shared" si="17"/>
        <v>[W120A.5] 어퍼 커버 용접 X축(SD210) 과전류가 검출되었습니다.</v>
      </c>
    </row>
    <row r="247" spans="1:22" s="49" customFormat="1" ht="14.15" customHeight="1">
      <c r="A247" s="43" t="s">
        <v>3679</v>
      </c>
      <c r="B247" s="44" t="s">
        <v>6637</v>
      </c>
      <c r="C247" s="32"/>
      <c r="D247" s="10" t="s">
        <v>29</v>
      </c>
      <c r="E247" s="11"/>
      <c r="F247" s="11" t="s">
        <v>18</v>
      </c>
      <c r="G247" s="13"/>
      <c r="H247" s="45" t="s">
        <v>16</v>
      </c>
      <c r="I247" s="46"/>
      <c r="J247" s="12" t="s">
        <v>2300</v>
      </c>
      <c r="K247" s="13" t="s">
        <v>7017</v>
      </c>
      <c r="L247" s="99" t="str">
        <f t="shared" si="16"/>
        <v>W120A.6</v>
      </c>
      <c r="M247" s="13" t="s">
        <v>3667</v>
      </c>
      <c r="N247" s="13"/>
      <c r="O247" s="13"/>
      <c r="P247" s="47"/>
      <c r="Q247" s="45"/>
      <c r="R247" s="45"/>
      <c r="S247" s="48"/>
      <c r="T247" s="49" t="str">
        <f t="shared" si="18"/>
        <v>[W120A.6]</v>
      </c>
      <c r="U247" s="12" t="str">
        <f t="shared" si="19"/>
        <v xml:space="preserve"> 어퍼 커버 용접 X축(SD210) 과부하가 검출되었습니다.</v>
      </c>
      <c r="V247" s="49" t="str">
        <f t="shared" si="17"/>
        <v>[W120A.6] 어퍼 커버 용접 X축(SD210) 과부하가 검출되었습니다.</v>
      </c>
    </row>
    <row r="248" spans="1:22" s="49" customFormat="1" ht="14.15" customHeight="1">
      <c r="A248" s="43" t="s">
        <v>3679</v>
      </c>
      <c r="B248" s="44" t="s">
        <v>6637</v>
      </c>
      <c r="C248" s="32"/>
      <c r="D248" s="10" t="s">
        <v>29</v>
      </c>
      <c r="E248" s="11"/>
      <c r="F248" s="11" t="s">
        <v>18</v>
      </c>
      <c r="G248" s="13"/>
      <c r="H248" s="45" t="s">
        <v>16</v>
      </c>
      <c r="I248" s="46"/>
      <c r="J248" s="12" t="s">
        <v>2301</v>
      </c>
      <c r="K248" s="13" t="s">
        <v>7018</v>
      </c>
      <c r="L248" s="99" t="str">
        <f t="shared" si="16"/>
        <v>W120A.7</v>
      </c>
      <c r="M248" s="13" t="s">
        <v>3667</v>
      </c>
      <c r="N248" s="13"/>
      <c r="O248" s="13"/>
      <c r="P248" s="47"/>
      <c r="Q248" s="45"/>
      <c r="R248" s="45"/>
      <c r="S248" s="48"/>
      <c r="T248" s="49" t="str">
        <f t="shared" si="18"/>
        <v>[W120A.7]</v>
      </c>
      <c r="U248" s="12" t="str">
        <f t="shared" si="19"/>
        <v xml:space="preserve"> 어퍼 커버 용접 X축(SD210)  </v>
      </c>
      <c r="V248" s="49" t="str">
        <f t="shared" si="17"/>
        <v xml:space="preserve">[W120A.7] 어퍼 커버 용접 X축(SD210)  </v>
      </c>
    </row>
    <row r="249" spans="1:22" s="49" customFormat="1" ht="14.15" customHeight="1">
      <c r="A249" s="43" t="s">
        <v>3679</v>
      </c>
      <c r="B249" s="44" t="s">
        <v>6637</v>
      </c>
      <c r="C249" s="32"/>
      <c r="D249" s="10" t="s">
        <v>29</v>
      </c>
      <c r="E249" s="11"/>
      <c r="F249" s="11" t="s">
        <v>18</v>
      </c>
      <c r="G249" s="13"/>
      <c r="H249" s="45" t="s">
        <v>16</v>
      </c>
      <c r="I249" s="46"/>
      <c r="J249" s="12" t="s">
        <v>2302</v>
      </c>
      <c r="K249" s="13" t="s">
        <v>7019</v>
      </c>
      <c r="L249" s="99" t="str">
        <f t="shared" si="16"/>
        <v>W120A.8</v>
      </c>
      <c r="M249" s="13" t="s">
        <v>3667</v>
      </c>
      <c r="N249" s="13"/>
      <c r="O249" s="13"/>
      <c r="P249" s="47"/>
      <c r="Q249" s="45"/>
      <c r="R249" s="45"/>
      <c r="S249" s="48"/>
      <c r="T249" s="49" t="str">
        <f t="shared" si="18"/>
        <v>[W120A.8]</v>
      </c>
      <c r="U249" s="12" t="str">
        <f t="shared" si="19"/>
        <v xml:space="preserve"> 어퍼 커버 용접 X축(SD210) 에러가 발생했습니다.</v>
      </c>
      <c r="V249" s="49" t="str">
        <f t="shared" si="17"/>
        <v>[W120A.8] 어퍼 커버 용접 X축(SD210) 에러가 발생했습니다.</v>
      </c>
    </row>
    <row r="250" spans="1:22" s="49" customFormat="1" ht="14.15" customHeight="1">
      <c r="A250" s="43" t="s">
        <v>3679</v>
      </c>
      <c r="B250" s="44" t="s">
        <v>6637</v>
      </c>
      <c r="C250" s="32"/>
      <c r="D250" s="10" t="s">
        <v>29</v>
      </c>
      <c r="E250" s="11"/>
      <c r="F250" s="11" t="s">
        <v>18</v>
      </c>
      <c r="G250" s="13"/>
      <c r="H250" s="45" t="s">
        <v>16</v>
      </c>
      <c r="I250" s="46"/>
      <c r="J250" s="12" t="s">
        <v>2303</v>
      </c>
      <c r="K250" s="13" t="s">
        <v>7020</v>
      </c>
      <c r="L250" s="99" t="str">
        <f t="shared" si="16"/>
        <v>W120A.9</v>
      </c>
      <c r="M250" s="13" t="s">
        <v>3667</v>
      </c>
      <c r="N250" s="13"/>
      <c r="O250" s="13"/>
      <c r="P250" s="47"/>
      <c r="Q250" s="45"/>
      <c r="R250" s="45"/>
      <c r="S250" s="48"/>
      <c r="T250" s="49" t="str">
        <f t="shared" si="18"/>
        <v>[W120A.9]</v>
      </c>
      <c r="U250" s="12" t="str">
        <f t="shared" si="19"/>
        <v xml:space="preserve"> 어퍼 커버 용접 Z축(SD212) 운전중에 Ready가 Off 되었습니다.</v>
      </c>
      <c r="V250" s="49" t="str">
        <f t="shared" si="17"/>
        <v>[W120A.9] 어퍼 커버 용접 Z축(SD212) 운전중에 Ready가 Off 되었습니다.</v>
      </c>
    </row>
    <row r="251" spans="1:22" s="49" customFormat="1" ht="14.15" customHeight="1">
      <c r="A251" s="43" t="s">
        <v>3679</v>
      </c>
      <c r="B251" s="44" t="s">
        <v>6637</v>
      </c>
      <c r="C251" s="32"/>
      <c r="D251" s="10" t="s">
        <v>29</v>
      </c>
      <c r="E251" s="11"/>
      <c r="F251" s="11" t="s">
        <v>18</v>
      </c>
      <c r="G251" s="13"/>
      <c r="H251" s="45" t="s">
        <v>16</v>
      </c>
      <c r="I251" s="46"/>
      <c r="J251" s="12" t="s">
        <v>2304</v>
      </c>
      <c r="K251" s="13" t="s">
        <v>7021</v>
      </c>
      <c r="L251" s="99" t="str">
        <f t="shared" si="16"/>
        <v>W120A.A</v>
      </c>
      <c r="M251" s="13" t="s">
        <v>3667</v>
      </c>
      <c r="N251" s="13"/>
      <c r="O251" s="13"/>
      <c r="P251" s="47"/>
      <c r="Q251" s="45"/>
      <c r="R251" s="45"/>
      <c r="S251" s="48"/>
      <c r="T251" s="49" t="str">
        <f t="shared" si="18"/>
        <v>[W120A.A]</v>
      </c>
      <c r="U251" s="12" t="str">
        <f t="shared" si="19"/>
        <v xml:space="preserve"> 어퍼 커버 용접 Z축(SD212) FLS가 감지되었습니다.</v>
      </c>
      <c r="V251" s="49" t="str">
        <f t="shared" si="17"/>
        <v>[W120A.A] 어퍼 커버 용접 Z축(SD212) FLS가 감지되었습니다.</v>
      </c>
    </row>
    <row r="252" spans="1:22" s="49" customFormat="1" ht="14.15" customHeight="1">
      <c r="A252" s="43" t="s">
        <v>3679</v>
      </c>
      <c r="B252" s="44" t="s">
        <v>6637</v>
      </c>
      <c r="C252" s="32"/>
      <c r="D252" s="10" t="s">
        <v>29</v>
      </c>
      <c r="E252" s="11"/>
      <c r="F252" s="11" t="s">
        <v>18</v>
      </c>
      <c r="G252" s="13"/>
      <c r="H252" s="45" t="s">
        <v>16</v>
      </c>
      <c r="I252" s="46"/>
      <c r="J252" s="12" t="s">
        <v>2305</v>
      </c>
      <c r="K252" s="13" t="s">
        <v>7022</v>
      </c>
      <c r="L252" s="99" t="str">
        <f t="shared" si="16"/>
        <v>W120A.B</v>
      </c>
      <c r="M252" s="13" t="s">
        <v>3667</v>
      </c>
      <c r="N252" s="13"/>
      <c r="O252" s="13"/>
      <c r="P252" s="47"/>
      <c r="Q252" s="45"/>
      <c r="R252" s="45"/>
      <c r="S252" s="48"/>
      <c r="T252" s="49" t="str">
        <f t="shared" si="18"/>
        <v>[W120A.B]</v>
      </c>
      <c r="U252" s="12" t="str">
        <f t="shared" si="19"/>
        <v xml:space="preserve"> 어퍼 커버 용접 Z축(SD212) RLS가 감지되었습니다.</v>
      </c>
      <c r="V252" s="49" t="str">
        <f t="shared" si="17"/>
        <v>[W120A.B] 어퍼 커버 용접 Z축(SD212) RLS가 감지되었습니다.</v>
      </c>
    </row>
    <row r="253" spans="1:22" s="49" customFormat="1" ht="14.15" customHeight="1">
      <c r="A253" s="43" t="s">
        <v>3679</v>
      </c>
      <c r="B253" s="44" t="s">
        <v>6637</v>
      </c>
      <c r="C253" s="32"/>
      <c r="D253" s="10" t="s">
        <v>29</v>
      </c>
      <c r="E253" s="11"/>
      <c r="F253" s="11" t="s">
        <v>18</v>
      </c>
      <c r="G253" s="13"/>
      <c r="H253" s="45" t="s">
        <v>16</v>
      </c>
      <c r="I253" s="46"/>
      <c r="J253" s="12" t="s">
        <v>2306</v>
      </c>
      <c r="K253" s="13" t="s">
        <v>7023</v>
      </c>
      <c r="L253" s="99" t="str">
        <f t="shared" si="16"/>
        <v>W120A.C</v>
      </c>
      <c r="M253" s="13" t="s">
        <v>3667</v>
      </c>
      <c r="N253" s="13"/>
      <c r="O253" s="13"/>
      <c r="P253" s="47"/>
      <c r="Q253" s="45"/>
      <c r="R253" s="45"/>
      <c r="S253" s="48"/>
      <c r="T253" s="49" t="str">
        <f t="shared" si="18"/>
        <v>[W120A.C]</v>
      </c>
      <c r="U253" s="12" t="str">
        <f t="shared" si="19"/>
        <v xml:space="preserve"> 어퍼 커버 용접 Z축(SD212) Stop 명령이 On된 상태에서 기동을 시도했습니다.</v>
      </c>
      <c r="V253" s="49" t="str">
        <f t="shared" si="17"/>
        <v>[W120A.C] 어퍼 커버 용접 Z축(SD212) Stop 명령이 On된 상태에서 기동을 시도했습니다.</v>
      </c>
    </row>
    <row r="254" spans="1:22" s="49" customFormat="1" ht="14.15" customHeight="1">
      <c r="A254" s="43" t="s">
        <v>3679</v>
      </c>
      <c r="B254" s="44" t="s">
        <v>6637</v>
      </c>
      <c r="C254" s="32"/>
      <c r="D254" s="10" t="s">
        <v>29</v>
      </c>
      <c r="E254" s="11"/>
      <c r="F254" s="11" t="s">
        <v>18</v>
      </c>
      <c r="G254" s="13"/>
      <c r="H254" s="45" t="s">
        <v>16</v>
      </c>
      <c r="I254" s="46"/>
      <c r="J254" s="12" t="s">
        <v>2307</v>
      </c>
      <c r="K254" s="13" t="s">
        <v>7024</v>
      </c>
      <c r="L254" s="99" t="str">
        <f t="shared" si="16"/>
        <v>W120A.D</v>
      </c>
      <c r="M254" s="13" t="s">
        <v>3667</v>
      </c>
      <c r="N254" s="13"/>
      <c r="O254" s="13"/>
      <c r="P254" s="47"/>
      <c r="Q254" s="45"/>
      <c r="R254" s="45"/>
      <c r="S254" s="48"/>
      <c r="T254" s="49" t="str">
        <f t="shared" si="18"/>
        <v>[W120A.D]</v>
      </c>
      <c r="U254" s="12" t="str">
        <f t="shared" si="19"/>
        <v xml:space="preserve"> 어퍼 커버 용접 Z축(SD212) 가동 전원이 Off 되었습니다.</v>
      </c>
      <c r="V254" s="49" t="str">
        <f t="shared" si="17"/>
        <v>[W120A.D] 어퍼 커버 용접 Z축(SD212) 가동 전원이 Off 되었습니다.</v>
      </c>
    </row>
    <row r="255" spans="1:22" s="49" customFormat="1" ht="14.15" customHeight="1">
      <c r="A255" s="43" t="s">
        <v>3679</v>
      </c>
      <c r="B255" s="44" t="s">
        <v>6637</v>
      </c>
      <c r="C255" s="32"/>
      <c r="D255" s="10" t="s">
        <v>29</v>
      </c>
      <c r="E255" s="11"/>
      <c r="F255" s="11" t="s">
        <v>18</v>
      </c>
      <c r="G255" s="13"/>
      <c r="H255" s="45" t="s">
        <v>16</v>
      </c>
      <c r="I255" s="46"/>
      <c r="J255" s="12" t="s">
        <v>2308</v>
      </c>
      <c r="K255" s="13" t="s">
        <v>7025</v>
      </c>
      <c r="L255" s="99" t="str">
        <f t="shared" si="16"/>
        <v>W120A.E</v>
      </c>
      <c r="M255" s="13" t="s">
        <v>3667</v>
      </c>
      <c r="N255" s="13"/>
      <c r="O255" s="13"/>
      <c r="P255" s="47"/>
      <c r="Q255" s="45"/>
      <c r="R255" s="45"/>
      <c r="S255" s="48"/>
      <c r="T255" s="49" t="str">
        <f t="shared" si="18"/>
        <v>[W120A.E]</v>
      </c>
      <c r="U255" s="12" t="str">
        <f t="shared" si="19"/>
        <v xml:space="preserve"> 어퍼 커버 용접 Z축(SD212) 엔코더 이상이 검출되었습니다.</v>
      </c>
      <c r="V255" s="49" t="str">
        <f t="shared" si="17"/>
        <v>[W120A.E] 어퍼 커버 용접 Z축(SD212) 엔코더 이상이 검출되었습니다.</v>
      </c>
    </row>
    <row r="256" spans="1:22" s="49" customFormat="1" ht="14.15" customHeight="1">
      <c r="A256" s="43" t="s">
        <v>3679</v>
      </c>
      <c r="B256" s="44" t="s">
        <v>6637</v>
      </c>
      <c r="C256" s="32"/>
      <c r="D256" s="10" t="s">
        <v>29</v>
      </c>
      <c r="E256" s="11"/>
      <c r="F256" s="11" t="s">
        <v>18</v>
      </c>
      <c r="G256" s="13"/>
      <c r="H256" s="45" t="s">
        <v>16</v>
      </c>
      <c r="I256" s="46"/>
      <c r="J256" s="12" t="s">
        <v>2309</v>
      </c>
      <c r="K256" s="13" t="s">
        <v>7026</v>
      </c>
      <c r="L256" s="99" t="str">
        <f t="shared" si="16"/>
        <v>W120A.F</v>
      </c>
      <c r="M256" s="13" t="s">
        <v>3667</v>
      </c>
      <c r="N256" s="13"/>
      <c r="O256" s="13"/>
      <c r="P256" s="47"/>
      <c r="Q256" s="45"/>
      <c r="R256" s="45"/>
      <c r="S256" s="48"/>
      <c r="T256" s="49" t="str">
        <f t="shared" si="18"/>
        <v>[W120A.F]</v>
      </c>
      <c r="U256" s="12" t="str">
        <f t="shared" si="19"/>
        <v xml:space="preserve"> 어퍼 커버 용접 Z축(SD212) 과전류가 검출되었습니다.</v>
      </c>
      <c r="V256" s="49" t="str">
        <f t="shared" si="17"/>
        <v>[W120A.F] 어퍼 커버 용접 Z축(SD212) 과전류가 검출되었습니다.</v>
      </c>
    </row>
    <row r="257" spans="1:22" s="49" customFormat="1" ht="14.15" customHeight="1">
      <c r="A257" s="43" t="s">
        <v>3679</v>
      </c>
      <c r="B257" s="44" t="s">
        <v>6637</v>
      </c>
      <c r="C257" s="32"/>
      <c r="D257" s="10" t="s">
        <v>29</v>
      </c>
      <c r="E257" s="11"/>
      <c r="F257" s="11" t="s">
        <v>18</v>
      </c>
      <c r="G257" s="13"/>
      <c r="H257" s="45" t="s">
        <v>16</v>
      </c>
      <c r="I257" s="46"/>
      <c r="J257" s="12" t="s">
        <v>2310</v>
      </c>
      <c r="K257" s="13" t="s">
        <v>7027</v>
      </c>
      <c r="L257" s="99" t="str">
        <f t="shared" si="16"/>
        <v>W120B.0</v>
      </c>
      <c r="M257" s="13" t="s">
        <v>3667</v>
      </c>
      <c r="N257" s="13"/>
      <c r="O257" s="13"/>
      <c r="P257" s="47"/>
      <c r="Q257" s="45"/>
      <c r="R257" s="45"/>
      <c r="S257" s="48"/>
      <c r="T257" s="49" t="str">
        <f t="shared" si="18"/>
        <v>[W120B.0]</v>
      </c>
      <c r="U257" s="12" t="str">
        <f t="shared" si="19"/>
        <v xml:space="preserve"> 어퍼 커버 용접 Z축(SD212) 과부하가 검출되었습니다.</v>
      </c>
      <c r="V257" s="49" t="str">
        <f t="shared" si="17"/>
        <v>[W120B.0] 어퍼 커버 용접 Z축(SD212) 과부하가 검출되었습니다.</v>
      </c>
    </row>
    <row r="258" spans="1:22" s="49" customFormat="1" ht="14.15" customHeight="1">
      <c r="A258" s="43" t="s">
        <v>3679</v>
      </c>
      <c r="B258" s="44" t="s">
        <v>6637</v>
      </c>
      <c r="C258" s="32"/>
      <c r="D258" s="10" t="s">
        <v>29</v>
      </c>
      <c r="E258" s="11"/>
      <c r="F258" s="11" t="s">
        <v>18</v>
      </c>
      <c r="G258" s="13"/>
      <c r="H258" s="45" t="s">
        <v>16</v>
      </c>
      <c r="I258" s="46"/>
      <c r="J258" s="12" t="s">
        <v>2311</v>
      </c>
      <c r="K258" s="13" t="s">
        <v>7028</v>
      </c>
      <c r="L258" s="99" t="str">
        <f t="shared" si="16"/>
        <v>W120B.1</v>
      </c>
      <c r="M258" s="13" t="s">
        <v>3667</v>
      </c>
      <c r="N258" s="13"/>
      <c r="O258" s="13"/>
      <c r="P258" s="47"/>
      <c r="Q258" s="45"/>
      <c r="R258" s="45"/>
      <c r="S258" s="48"/>
      <c r="T258" s="49" t="str">
        <f t="shared" si="18"/>
        <v>[W120B.1]</v>
      </c>
      <c r="U258" s="12" t="str">
        <f t="shared" si="19"/>
        <v xml:space="preserve"> 어퍼 커버 용접 Z축(SD212)  </v>
      </c>
      <c r="V258" s="49" t="str">
        <f t="shared" si="17"/>
        <v xml:space="preserve">[W120B.1] 어퍼 커버 용접 Z축(SD212)  </v>
      </c>
    </row>
    <row r="259" spans="1:22" s="49" customFormat="1" ht="14.15" customHeight="1">
      <c r="A259" s="43" t="s">
        <v>3679</v>
      </c>
      <c r="B259" s="44" t="s">
        <v>6637</v>
      </c>
      <c r="C259" s="32"/>
      <c r="D259" s="10" t="s">
        <v>29</v>
      </c>
      <c r="E259" s="11"/>
      <c r="F259" s="11" t="s">
        <v>18</v>
      </c>
      <c r="G259" s="13"/>
      <c r="H259" s="45" t="s">
        <v>16</v>
      </c>
      <c r="I259" s="46"/>
      <c r="J259" s="12" t="s">
        <v>2312</v>
      </c>
      <c r="K259" s="13" t="s">
        <v>7029</v>
      </c>
      <c r="L259" s="99" t="str">
        <f t="shared" si="16"/>
        <v>W120B.2</v>
      </c>
      <c r="M259" s="13" t="s">
        <v>3667</v>
      </c>
      <c r="N259" s="13"/>
      <c r="O259" s="13"/>
      <c r="P259" s="47"/>
      <c r="Q259" s="45"/>
      <c r="R259" s="45"/>
      <c r="S259" s="48"/>
      <c r="T259" s="49" t="str">
        <f t="shared" si="18"/>
        <v>[W120B.2]</v>
      </c>
      <c r="U259" s="12" t="str">
        <f t="shared" si="19"/>
        <v xml:space="preserve"> 어퍼 커버 용접 Z축(SD212) 에러가 발생했습니다.</v>
      </c>
      <c r="V259" s="49" t="str">
        <f t="shared" si="17"/>
        <v>[W120B.2] 어퍼 커버 용접 Z축(SD212) 에러가 발생했습니다.</v>
      </c>
    </row>
    <row r="260" spans="1:22" s="49" customFormat="1" ht="14.15" customHeight="1">
      <c r="A260" s="43" t="s">
        <v>3680</v>
      </c>
      <c r="B260" s="44" t="s">
        <v>6637</v>
      </c>
      <c r="C260" s="32"/>
      <c r="D260" s="10" t="s">
        <v>29</v>
      </c>
      <c r="E260" s="11"/>
      <c r="F260" s="11" t="s">
        <v>18</v>
      </c>
      <c r="G260" s="13"/>
      <c r="H260" s="45" t="s">
        <v>16</v>
      </c>
      <c r="I260" s="46"/>
      <c r="J260" s="12" t="s">
        <v>2313</v>
      </c>
      <c r="K260" s="13" t="s">
        <v>7030</v>
      </c>
      <c r="L260" s="99" t="str">
        <f t="shared" si="16"/>
        <v>W120B.3</v>
      </c>
      <c r="M260" s="13" t="s">
        <v>3667</v>
      </c>
      <c r="N260" s="13"/>
      <c r="O260" s="13"/>
      <c r="P260" s="47"/>
      <c r="Q260" s="45"/>
      <c r="R260" s="45"/>
      <c r="S260" s="48"/>
      <c r="T260" s="49" t="str">
        <f t="shared" si="18"/>
        <v>[W120B.3]</v>
      </c>
      <c r="U260" s="12" t="str">
        <f t="shared" si="19"/>
        <v xml:space="preserve"> 로우 커버 용접 X축(SD211) 운전중에 Ready가 Off 되었습니다.</v>
      </c>
      <c r="V260" s="49" t="str">
        <f t="shared" si="17"/>
        <v>[W120B.3] 로우 커버 용접 X축(SD211) 운전중에 Ready가 Off 되었습니다.</v>
      </c>
    </row>
    <row r="261" spans="1:22" s="49" customFormat="1" ht="14.15" customHeight="1">
      <c r="A261" s="43" t="s">
        <v>3680</v>
      </c>
      <c r="B261" s="44" t="s">
        <v>6637</v>
      </c>
      <c r="C261" s="32"/>
      <c r="D261" s="10" t="s">
        <v>29</v>
      </c>
      <c r="E261" s="11"/>
      <c r="F261" s="11" t="s">
        <v>18</v>
      </c>
      <c r="G261" s="13"/>
      <c r="H261" s="45" t="s">
        <v>16</v>
      </c>
      <c r="I261" s="46"/>
      <c r="J261" s="12" t="s">
        <v>3697</v>
      </c>
      <c r="K261" s="13" t="s">
        <v>7031</v>
      </c>
      <c r="L261" s="99" t="str">
        <f t="shared" si="16"/>
        <v>W120B.4</v>
      </c>
      <c r="M261" s="13" t="s">
        <v>3667</v>
      </c>
      <c r="N261" s="13"/>
      <c r="O261" s="13"/>
      <c r="P261" s="47"/>
      <c r="Q261" s="45"/>
      <c r="R261" s="45"/>
      <c r="S261" s="48"/>
      <c r="T261" s="49" t="str">
        <f t="shared" si="18"/>
        <v>[W120B.4]</v>
      </c>
      <c r="U261" s="12" t="str">
        <f t="shared" si="19"/>
        <v xml:space="preserve"> 로우 커버 용접 X축(SD211) FLS가 감지되었습니다.</v>
      </c>
      <c r="V261" s="49" t="str">
        <f t="shared" si="17"/>
        <v>[W120B.4] 로우 커버 용접 X축(SD211) FLS가 감지되었습니다.</v>
      </c>
    </row>
    <row r="262" spans="1:22" s="49" customFormat="1" ht="14.15" customHeight="1">
      <c r="A262" s="43" t="s">
        <v>3680</v>
      </c>
      <c r="B262" s="44" t="s">
        <v>6637</v>
      </c>
      <c r="C262" s="32"/>
      <c r="D262" s="10" t="s">
        <v>29</v>
      </c>
      <c r="E262" s="11"/>
      <c r="F262" s="11" t="s">
        <v>18</v>
      </c>
      <c r="G262" s="13"/>
      <c r="H262" s="45" t="s">
        <v>16</v>
      </c>
      <c r="I262" s="46"/>
      <c r="J262" s="12" t="s">
        <v>2314</v>
      </c>
      <c r="K262" s="13" t="s">
        <v>7032</v>
      </c>
      <c r="L262" s="99" t="str">
        <f t="shared" si="16"/>
        <v>W120B.5</v>
      </c>
      <c r="M262" s="13" t="s">
        <v>3667</v>
      </c>
      <c r="N262" s="13"/>
      <c r="O262" s="13"/>
      <c r="P262" s="47"/>
      <c r="Q262" s="45"/>
      <c r="R262" s="45"/>
      <c r="S262" s="48"/>
      <c r="T262" s="49" t="str">
        <f t="shared" si="18"/>
        <v>[W120B.5]</v>
      </c>
      <c r="U262" s="12" t="str">
        <f t="shared" si="19"/>
        <v xml:space="preserve"> 로우 커버 용접 X축(SD211) RLS가 감지되었습니다.</v>
      </c>
      <c r="V262" s="49" t="str">
        <f t="shared" si="17"/>
        <v>[W120B.5] 로우 커버 용접 X축(SD211) RLS가 감지되었습니다.</v>
      </c>
    </row>
    <row r="263" spans="1:22" s="49" customFormat="1" ht="14.15" customHeight="1">
      <c r="A263" s="43" t="s">
        <v>3680</v>
      </c>
      <c r="B263" s="44" t="s">
        <v>6637</v>
      </c>
      <c r="C263" s="32"/>
      <c r="D263" s="10" t="s">
        <v>29</v>
      </c>
      <c r="E263" s="11"/>
      <c r="F263" s="11" t="s">
        <v>18</v>
      </c>
      <c r="G263" s="13"/>
      <c r="H263" s="45" t="s">
        <v>16</v>
      </c>
      <c r="I263" s="46"/>
      <c r="J263" s="12" t="s">
        <v>2315</v>
      </c>
      <c r="K263" s="13" t="s">
        <v>7033</v>
      </c>
      <c r="L263" s="99" t="str">
        <f t="shared" si="16"/>
        <v>W120B.6</v>
      </c>
      <c r="M263" s="13" t="s">
        <v>3667</v>
      </c>
      <c r="N263" s="13"/>
      <c r="O263" s="13"/>
      <c r="P263" s="47"/>
      <c r="Q263" s="45"/>
      <c r="R263" s="45"/>
      <c r="S263" s="48"/>
      <c r="T263" s="49" t="str">
        <f t="shared" si="18"/>
        <v>[W120B.6]</v>
      </c>
      <c r="U263" s="12" t="str">
        <f t="shared" si="19"/>
        <v xml:space="preserve"> 로우 커버 용접 X축(SD211) Stop 명령이 On된 상태에서 기동을 시도했습니다.</v>
      </c>
      <c r="V263" s="49" t="str">
        <f t="shared" si="17"/>
        <v>[W120B.6] 로우 커버 용접 X축(SD211) Stop 명령이 On된 상태에서 기동을 시도했습니다.</v>
      </c>
    </row>
    <row r="264" spans="1:22" s="49" customFormat="1" ht="14.15" customHeight="1">
      <c r="A264" s="43" t="s">
        <v>3680</v>
      </c>
      <c r="B264" s="44" t="s">
        <v>6637</v>
      </c>
      <c r="C264" s="32"/>
      <c r="D264" s="10" t="s">
        <v>29</v>
      </c>
      <c r="E264" s="11"/>
      <c r="F264" s="11" t="s">
        <v>18</v>
      </c>
      <c r="G264" s="13"/>
      <c r="H264" s="45" t="s">
        <v>16</v>
      </c>
      <c r="I264" s="46"/>
      <c r="J264" s="12" t="s">
        <v>2316</v>
      </c>
      <c r="K264" s="13" t="s">
        <v>7034</v>
      </c>
      <c r="L264" s="99" t="str">
        <f t="shared" si="16"/>
        <v>W120B.7</v>
      </c>
      <c r="M264" s="13" t="s">
        <v>3667</v>
      </c>
      <c r="N264" s="13"/>
      <c r="O264" s="13"/>
      <c r="P264" s="47"/>
      <c r="Q264" s="45"/>
      <c r="R264" s="45"/>
      <c r="S264" s="48"/>
      <c r="T264" s="49" t="str">
        <f t="shared" si="18"/>
        <v>[W120B.7]</v>
      </c>
      <c r="U264" s="12" t="str">
        <f t="shared" si="19"/>
        <v xml:space="preserve"> 로우 커버 용접 X축(SD211) 가동 전원이 Off 되었습니다.</v>
      </c>
      <c r="V264" s="49" t="str">
        <f t="shared" si="17"/>
        <v>[W120B.7] 로우 커버 용접 X축(SD211) 가동 전원이 Off 되었습니다.</v>
      </c>
    </row>
    <row r="265" spans="1:22" s="49" customFormat="1" ht="14.15" customHeight="1">
      <c r="A265" s="43" t="s">
        <v>3680</v>
      </c>
      <c r="B265" s="44" t="s">
        <v>6637</v>
      </c>
      <c r="C265" s="32"/>
      <c r="D265" s="10" t="s">
        <v>29</v>
      </c>
      <c r="E265" s="11"/>
      <c r="F265" s="11" t="s">
        <v>18</v>
      </c>
      <c r="G265" s="13"/>
      <c r="H265" s="45" t="s">
        <v>16</v>
      </c>
      <c r="I265" s="46"/>
      <c r="J265" s="12" t="s">
        <v>2317</v>
      </c>
      <c r="K265" s="13" t="s">
        <v>7035</v>
      </c>
      <c r="L265" s="99" t="str">
        <f t="shared" si="16"/>
        <v>W120B.8</v>
      </c>
      <c r="M265" s="13" t="s">
        <v>3667</v>
      </c>
      <c r="N265" s="13"/>
      <c r="O265" s="13"/>
      <c r="P265" s="47"/>
      <c r="Q265" s="45"/>
      <c r="R265" s="45"/>
      <c r="S265" s="48"/>
      <c r="T265" s="49" t="str">
        <f t="shared" si="18"/>
        <v>[W120B.8]</v>
      </c>
      <c r="U265" s="12" t="str">
        <f t="shared" si="19"/>
        <v xml:space="preserve"> 로우 커버 용접 X축(SD211) 엔코더 이상이 검출되었습니다.</v>
      </c>
      <c r="V265" s="49" t="str">
        <f t="shared" si="17"/>
        <v>[W120B.8] 로우 커버 용접 X축(SD211) 엔코더 이상이 검출되었습니다.</v>
      </c>
    </row>
    <row r="266" spans="1:22" s="49" customFormat="1" ht="14.15" customHeight="1">
      <c r="A266" s="43" t="s">
        <v>3680</v>
      </c>
      <c r="B266" s="44" t="s">
        <v>6637</v>
      </c>
      <c r="C266" s="32"/>
      <c r="D266" s="10" t="s">
        <v>29</v>
      </c>
      <c r="E266" s="11"/>
      <c r="F266" s="11" t="s">
        <v>18</v>
      </c>
      <c r="G266" s="13"/>
      <c r="H266" s="45" t="s">
        <v>16</v>
      </c>
      <c r="I266" s="46"/>
      <c r="J266" s="12" t="s">
        <v>2318</v>
      </c>
      <c r="K266" s="13" t="s">
        <v>7036</v>
      </c>
      <c r="L266" s="99" t="str">
        <f t="shared" si="16"/>
        <v>W120B.9</v>
      </c>
      <c r="M266" s="13" t="s">
        <v>3667</v>
      </c>
      <c r="N266" s="13"/>
      <c r="O266" s="13"/>
      <c r="P266" s="47"/>
      <c r="Q266" s="45"/>
      <c r="R266" s="45"/>
      <c r="S266" s="48"/>
      <c r="T266" s="49" t="str">
        <f t="shared" si="18"/>
        <v>[W120B.9]</v>
      </c>
      <c r="U266" s="12" t="str">
        <f t="shared" si="19"/>
        <v xml:space="preserve"> 로우 커버 용접 X축(SD211) 과전류가 검출되었습니다.</v>
      </c>
      <c r="V266" s="49" t="str">
        <f t="shared" si="17"/>
        <v>[W120B.9] 로우 커버 용접 X축(SD211) 과전류가 검출되었습니다.</v>
      </c>
    </row>
    <row r="267" spans="1:22" s="49" customFormat="1" ht="14.15" customHeight="1">
      <c r="A267" s="43" t="s">
        <v>3680</v>
      </c>
      <c r="B267" s="44" t="s">
        <v>6637</v>
      </c>
      <c r="C267" s="32"/>
      <c r="D267" s="10" t="s">
        <v>29</v>
      </c>
      <c r="E267" s="11"/>
      <c r="F267" s="11" t="s">
        <v>18</v>
      </c>
      <c r="G267" s="13"/>
      <c r="H267" s="45" t="s">
        <v>16</v>
      </c>
      <c r="I267" s="46"/>
      <c r="J267" s="12" t="s">
        <v>2319</v>
      </c>
      <c r="K267" s="13" t="s">
        <v>7037</v>
      </c>
      <c r="L267" s="99" t="str">
        <f t="shared" si="16"/>
        <v>W120B.A</v>
      </c>
      <c r="M267" s="13" t="s">
        <v>3667</v>
      </c>
      <c r="N267" s="13"/>
      <c r="O267" s="13"/>
      <c r="P267" s="47"/>
      <c r="Q267" s="45"/>
      <c r="R267" s="45"/>
      <c r="S267" s="48"/>
      <c r="T267" s="49" t="str">
        <f t="shared" si="18"/>
        <v>[W120B.A]</v>
      </c>
      <c r="U267" s="12" t="str">
        <f t="shared" si="19"/>
        <v xml:space="preserve"> 로우 커버 용접 X축(SD211) 과부하가 검출되었습니다.</v>
      </c>
      <c r="V267" s="49" t="str">
        <f t="shared" si="17"/>
        <v>[W120B.A] 로우 커버 용접 X축(SD211) 과부하가 검출되었습니다.</v>
      </c>
    </row>
    <row r="268" spans="1:22" s="49" customFormat="1" ht="14.15" customHeight="1">
      <c r="A268" s="43" t="s">
        <v>3680</v>
      </c>
      <c r="B268" s="44" t="s">
        <v>6637</v>
      </c>
      <c r="C268" s="32"/>
      <c r="D268" s="10" t="s">
        <v>29</v>
      </c>
      <c r="E268" s="11"/>
      <c r="F268" s="11" t="s">
        <v>18</v>
      </c>
      <c r="G268" s="13"/>
      <c r="H268" s="45" t="s">
        <v>16</v>
      </c>
      <c r="I268" s="46"/>
      <c r="J268" s="12" t="s">
        <v>2320</v>
      </c>
      <c r="K268" s="13" t="s">
        <v>7038</v>
      </c>
      <c r="L268" s="99" t="str">
        <f t="shared" si="16"/>
        <v>W120B.B</v>
      </c>
      <c r="M268" s="13" t="s">
        <v>3667</v>
      </c>
      <c r="N268" s="13"/>
      <c r="O268" s="13"/>
      <c r="P268" s="47"/>
      <c r="Q268" s="45"/>
      <c r="R268" s="45"/>
      <c r="S268" s="48"/>
      <c r="T268" s="49" t="str">
        <f t="shared" si="18"/>
        <v>[W120B.B]</v>
      </c>
      <c r="U268" s="12" t="str">
        <f t="shared" si="19"/>
        <v xml:space="preserve"> 로우 커버 용접 X축(SD211)  </v>
      </c>
      <c r="V268" s="49" t="str">
        <f t="shared" si="17"/>
        <v xml:space="preserve">[W120B.B] 로우 커버 용접 X축(SD211)  </v>
      </c>
    </row>
    <row r="269" spans="1:22" s="49" customFormat="1" ht="14.15" customHeight="1">
      <c r="A269" s="43" t="s">
        <v>3680</v>
      </c>
      <c r="B269" s="44" t="s">
        <v>6637</v>
      </c>
      <c r="C269" s="32"/>
      <c r="D269" s="10" t="s">
        <v>29</v>
      </c>
      <c r="E269" s="11"/>
      <c r="F269" s="11" t="s">
        <v>18</v>
      </c>
      <c r="G269" s="13"/>
      <c r="H269" s="45" t="s">
        <v>16</v>
      </c>
      <c r="I269" s="46"/>
      <c r="J269" s="12" t="s">
        <v>2321</v>
      </c>
      <c r="K269" s="13" t="s">
        <v>7039</v>
      </c>
      <c r="L269" s="99" t="str">
        <f t="shared" si="16"/>
        <v>W120B.C</v>
      </c>
      <c r="M269" s="13" t="s">
        <v>3667</v>
      </c>
      <c r="N269" s="13"/>
      <c r="O269" s="13"/>
      <c r="P269" s="47"/>
      <c r="Q269" s="45"/>
      <c r="R269" s="45"/>
      <c r="S269" s="48"/>
      <c r="T269" s="49" t="str">
        <f>"["&amp;L239&amp;"]"</f>
        <v>[W1209.E]</v>
      </c>
      <c r="U269" s="12" t="str">
        <f>RIGHT(J239,LEN(J239)-7)</f>
        <v xml:space="preserve"> 로우 커버 로딩 셔틀#3(SD206) 에러가 발생했습니다.</v>
      </c>
      <c r="V269" s="49" t="str">
        <f>T239&amp;U239</f>
        <v>[W1209.E] 로우 커버 로딩 셔틀#3(SD206) 에러가 발생했습니다.</v>
      </c>
    </row>
    <row r="270" spans="1:22" s="49" customFormat="1" ht="14.15" customHeight="1">
      <c r="A270" s="43" t="s">
        <v>3680</v>
      </c>
      <c r="B270" s="44" t="s">
        <v>6637</v>
      </c>
      <c r="C270" s="32"/>
      <c r="D270" s="10" t="s">
        <v>29</v>
      </c>
      <c r="E270" s="11"/>
      <c r="F270" s="11" t="s">
        <v>18</v>
      </c>
      <c r="G270" s="13"/>
      <c r="H270" s="45" t="s">
        <v>16</v>
      </c>
      <c r="I270" s="46"/>
      <c r="J270" s="12" t="s">
        <v>2322</v>
      </c>
      <c r="K270" s="13" t="s">
        <v>7040</v>
      </c>
      <c r="L270" s="99" t="str">
        <f t="shared" si="16"/>
        <v>W120B.D</v>
      </c>
      <c r="M270" s="13" t="s">
        <v>3667</v>
      </c>
      <c r="N270" s="13"/>
      <c r="O270" s="13"/>
      <c r="P270" s="47"/>
      <c r="Q270" s="45"/>
      <c r="R270" s="45"/>
      <c r="S270" s="48"/>
      <c r="T270" s="49" t="str">
        <f t="shared" ref="T270:T301" si="20">"["&amp;L270&amp;"]"</f>
        <v>[W120B.D]</v>
      </c>
      <c r="U270" s="12" t="str">
        <f t="shared" ref="U270:U301" si="21">RIGHT(J270,LEN(J270)-7)</f>
        <v xml:space="preserve"> 로우 커버 용접 Z축(SD213) 운전중에 Ready가 Off 되었습니다.</v>
      </c>
      <c r="V270" s="49" t="str">
        <f t="shared" si="17"/>
        <v>[W120B.D] 로우 커버 용접 Z축(SD213) 운전중에 Ready가 Off 되었습니다.</v>
      </c>
    </row>
    <row r="271" spans="1:22" s="49" customFormat="1" ht="14.15" customHeight="1">
      <c r="A271" s="43" t="s">
        <v>3680</v>
      </c>
      <c r="B271" s="44" t="s">
        <v>6637</v>
      </c>
      <c r="C271" s="50"/>
      <c r="D271" s="10" t="s">
        <v>29</v>
      </c>
      <c r="E271" s="11"/>
      <c r="F271" s="11" t="s">
        <v>18</v>
      </c>
      <c r="G271" s="13"/>
      <c r="H271" s="45" t="s">
        <v>16</v>
      </c>
      <c r="I271" s="46"/>
      <c r="J271" s="14" t="s">
        <v>2323</v>
      </c>
      <c r="K271" s="13" t="s">
        <v>7041</v>
      </c>
      <c r="L271" s="99" t="str">
        <f t="shared" si="16"/>
        <v>W120B.E</v>
      </c>
      <c r="M271" s="13" t="s">
        <v>3667</v>
      </c>
      <c r="N271" s="13"/>
      <c r="O271" s="13"/>
      <c r="P271" s="47"/>
      <c r="Q271" s="45"/>
      <c r="R271" s="45"/>
      <c r="S271" s="48"/>
      <c r="T271" s="49" t="str">
        <f t="shared" si="20"/>
        <v>[W120B.E]</v>
      </c>
      <c r="U271" s="12" t="str">
        <f t="shared" si="21"/>
        <v xml:space="preserve"> 로우 커버 용접 Z축(SD213) FLS가 감지되었습니다.</v>
      </c>
      <c r="V271" s="49" t="str">
        <f t="shared" si="17"/>
        <v>[W120B.E] 로우 커버 용접 Z축(SD213) FLS가 감지되었습니다.</v>
      </c>
    </row>
    <row r="272" spans="1:22" s="49" customFormat="1" ht="14.15" customHeight="1">
      <c r="A272" s="43" t="s">
        <v>3680</v>
      </c>
      <c r="B272" s="44" t="s">
        <v>6637</v>
      </c>
      <c r="C272" s="50"/>
      <c r="D272" s="10" t="s">
        <v>29</v>
      </c>
      <c r="E272" s="11"/>
      <c r="F272" s="11" t="s">
        <v>18</v>
      </c>
      <c r="G272" s="13"/>
      <c r="H272" s="45" t="s">
        <v>16</v>
      </c>
      <c r="I272" s="46"/>
      <c r="J272" s="14" t="s">
        <v>2324</v>
      </c>
      <c r="K272" s="13" t="s">
        <v>7042</v>
      </c>
      <c r="L272" s="99" t="str">
        <f t="shared" si="16"/>
        <v>W120B.F</v>
      </c>
      <c r="M272" s="13" t="s">
        <v>3667</v>
      </c>
      <c r="N272" s="13"/>
      <c r="O272" s="13"/>
      <c r="P272" s="47"/>
      <c r="Q272" s="45"/>
      <c r="R272" s="45"/>
      <c r="S272" s="48"/>
      <c r="T272" s="49" t="str">
        <f t="shared" si="20"/>
        <v>[W120B.F]</v>
      </c>
      <c r="U272" s="12" t="str">
        <f t="shared" si="21"/>
        <v xml:space="preserve"> 로우 커버 용접 Z축(SD213) RLS가 감지되었습니다.</v>
      </c>
      <c r="V272" s="49" t="str">
        <f t="shared" si="17"/>
        <v>[W120B.F] 로우 커버 용접 Z축(SD213) RLS가 감지되었습니다.</v>
      </c>
    </row>
    <row r="273" spans="1:22" s="49" customFormat="1" ht="14.15" customHeight="1">
      <c r="A273" s="43" t="s">
        <v>3680</v>
      </c>
      <c r="B273" s="44" t="s">
        <v>6637</v>
      </c>
      <c r="C273" s="50"/>
      <c r="D273" s="10" t="s">
        <v>29</v>
      </c>
      <c r="E273" s="11"/>
      <c r="F273" s="11" t="s">
        <v>18</v>
      </c>
      <c r="G273" s="13"/>
      <c r="H273" s="45" t="s">
        <v>16</v>
      </c>
      <c r="I273" s="46"/>
      <c r="J273" s="14" t="s">
        <v>2325</v>
      </c>
      <c r="K273" s="13" t="s">
        <v>7043</v>
      </c>
      <c r="L273" s="99" t="str">
        <f t="shared" si="16"/>
        <v>W120C.0</v>
      </c>
      <c r="M273" s="13" t="s">
        <v>3667</v>
      </c>
      <c r="N273" s="13"/>
      <c r="O273" s="13"/>
      <c r="P273" s="47"/>
      <c r="Q273" s="45"/>
      <c r="R273" s="45"/>
      <c r="S273" s="48"/>
      <c r="T273" s="49" t="str">
        <f t="shared" si="20"/>
        <v>[W120C.0]</v>
      </c>
      <c r="U273" s="12" t="str">
        <f t="shared" si="21"/>
        <v xml:space="preserve"> 로우 커버 용접 Z축(SD213) Stop 명령이 On된 상태에서 기동을 시도했습니다.</v>
      </c>
      <c r="V273" s="49" t="str">
        <f t="shared" si="17"/>
        <v>[W120C.0] 로우 커버 용접 Z축(SD213) Stop 명령이 On된 상태에서 기동을 시도했습니다.</v>
      </c>
    </row>
    <row r="274" spans="1:22" s="49" customFormat="1" ht="14.15" customHeight="1">
      <c r="A274" s="43" t="s">
        <v>3680</v>
      </c>
      <c r="B274" s="44" t="s">
        <v>6637</v>
      </c>
      <c r="C274" s="50"/>
      <c r="D274" s="10" t="s">
        <v>29</v>
      </c>
      <c r="E274" s="11"/>
      <c r="F274" s="11" t="s">
        <v>18</v>
      </c>
      <c r="G274" s="13"/>
      <c r="H274" s="45" t="s">
        <v>16</v>
      </c>
      <c r="I274" s="46"/>
      <c r="J274" s="14" t="s">
        <v>2326</v>
      </c>
      <c r="K274" s="13" t="s">
        <v>7044</v>
      </c>
      <c r="L274" s="99" t="str">
        <f t="shared" ref="L274:L337" si="22">"W"&amp;DEC2HEX(4608 + INT((ROW()-81)/16)) &amp; "." &amp; IF(MOD(ROW()-81,16)&lt;10,MOD(ROW()-81,16),CHAR(MOD(ROW()-81,16)+55))</f>
        <v>W120C.1</v>
      </c>
      <c r="M274" s="13" t="s">
        <v>3667</v>
      </c>
      <c r="N274" s="13"/>
      <c r="O274" s="13"/>
      <c r="P274" s="47"/>
      <c r="Q274" s="45"/>
      <c r="R274" s="45"/>
      <c r="S274" s="48"/>
      <c r="T274" s="49" t="str">
        <f t="shared" si="20"/>
        <v>[W120C.1]</v>
      </c>
      <c r="U274" s="12" t="str">
        <f t="shared" si="21"/>
        <v xml:space="preserve"> 로우 커버 용접 Z축(SD213) 가동 전원이 Off 되었습니다.</v>
      </c>
      <c r="V274" s="49" t="str">
        <f t="shared" ref="V274:V337" si="23">T274&amp;U274</f>
        <v>[W120C.1] 로우 커버 용접 Z축(SD213) 가동 전원이 Off 되었습니다.</v>
      </c>
    </row>
    <row r="275" spans="1:22" s="49" customFormat="1" ht="14.15" customHeight="1">
      <c r="A275" s="43" t="s">
        <v>3680</v>
      </c>
      <c r="B275" s="44" t="s">
        <v>6637</v>
      </c>
      <c r="C275" s="50"/>
      <c r="D275" s="10" t="s">
        <v>29</v>
      </c>
      <c r="E275" s="11"/>
      <c r="F275" s="11" t="s">
        <v>18</v>
      </c>
      <c r="G275" s="13"/>
      <c r="H275" s="45" t="s">
        <v>16</v>
      </c>
      <c r="I275" s="46"/>
      <c r="J275" s="14" t="s">
        <v>2327</v>
      </c>
      <c r="K275" s="13" t="s">
        <v>7045</v>
      </c>
      <c r="L275" s="99" t="str">
        <f t="shared" si="22"/>
        <v>W120C.2</v>
      </c>
      <c r="M275" s="13" t="s">
        <v>3667</v>
      </c>
      <c r="N275" s="13"/>
      <c r="O275" s="13"/>
      <c r="P275" s="47"/>
      <c r="Q275" s="45"/>
      <c r="R275" s="45"/>
      <c r="S275" s="48"/>
      <c r="T275" s="49" t="str">
        <f t="shared" si="20"/>
        <v>[W120C.2]</v>
      </c>
      <c r="U275" s="12" t="str">
        <f t="shared" si="21"/>
        <v xml:space="preserve"> 로우 커버 용접 Z축(SD213) 엔코더 이상이 검출되었습니다.</v>
      </c>
      <c r="V275" s="49" t="str">
        <f t="shared" si="23"/>
        <v>[W120C.2] 로우 커버 용접 Z축(SD213) 엔코더 이상이 검출되었습니다.</v>
      </c>
    </row>
    <row r="276" spans="1:22" s="49" customFormat="1" ht="14.15" customHeight="1">
      <c r="A276" s="43" t="s">
        <v>3680</v>
      </c>
      <c r="B276" s="44" t="s">
        <v>6637</v>
      </c>
      <c r="C276" s="50"/>
      <c r="D276" s="10" t="s">
        <v>29</v>
      </c>
      <c r="E276" s="11"/>
      <c r="F276" s="11" t="s">
        <v>18</v>
      </c>
      <c r="G276" s="13"/>
      <c r="H276" s="45" t="s">
        <v>16</v>
      </c>
      <c r="I276" s="46"/>
      <c r="J276" s="14" t="s">
        <v>2328</v>
      </c>
      <c r="K276" s="13" t="s">
        <v>7046</v>
      </c>
      <c r="L276" s="99" t="str">
        <f t="shared" si="22"/>
        <v>W120C.3</v>
      </c>
      <c r="M276" s="13" t="s">
        <v>3667</v>
      </c>
      <c r="N276" s="13"/>
      <c r="O276" s="13"/>
      <c r="P276" s="47"/>
      <c r="Q276" s="45"/>
      <c r="R276" s="45"/>
      <c r="S276" s="48"/>
      <c r="T276" s="49" t="str">
        <f t="shared" si="20"/>
        <v>[W120C.3]</v>
      </c>
      <c r="U276" s="12" t="str">
        <f t="shared" si="21"/>
        <v xml:space="preserve"> 로우 커버 용접 Z축(SD213) 과전류가 검출되었습니다.</v>
      </c>
      <c r="V276" s="49" t="str">
        <f t="shared" si="23"/>
        <v>[W120C.3] 로우 커버 용접 Z축(SD213) 과전류가 검출되었습니다.</v>
      </c>
    </row>
    <row r="277" spans="1:22" s="49" customFormat="1" ht="14.15" customHeight="1">
      <c r="A277" s="43" t="s">
        <v>3680</v>
      </c>
      <c r="B277" s="44" t="s">
        <v>6637</v>
      </c>
      <c r="C277" s="50"/>
      <c r="D277" s="10" t="s">
        <v>29</v>
      </c>
      <c r="E277" s="11"/>
      <c r="F277" s="11" t="s">
        <v>18</v>
      </c>
      <c r="G277" s="13"/>
      <c r="H277" s="45" t="s">
        <v>16</v>
      </c>
      <c r="I277" s="46"/>
      <c r="J277" s="14" t="s">
        <v>2329</v>
      </c>
      <c r="K277" s="13" t="s">
        <v>7047</v>
      </c>
      <c r="L277" s="99" t="str">
        <f t="shared" si="22"/>
        <v>W120C.4</v>
      </c>
      <c r="M277" s="13" t="s">
        <v>3667</v>
      </c>
      <c r="N277" s="13"/>
      <c r="O277" s="13"/>
      <c r="P277" s="47"/>
      <c r="Q277" s="45"/>
      <c r="R277" s="45"/>
      <c r="S277" s="48"/>
      <c r="T277" s="49" t="str">
        <f t="shared" si="20"/>
        <v>[W120C.4]</v>
      </c>
      <c r="U277" s="12" t="str">
        <f t="shared" si="21"/>
        <v xml:space="preserve"> 로우 커버 용접 Z축(SD213) 과부하가 검출되었습니다.</v>
      </c>
      <c r="V277" s="49" t="str">
        <f t="shared" si="23"/>
        <v>[W120C.4] 로우 커버 용접 Z축(SD213) 과부하가 검출되었습니다.</v>
      </c>
    </row>
    <row r="278" spans="1:22" s="49" customFormat="1" ht="14.15" customHeight="1">
      <c r="A278" s="43" t="s">
        <v>3680</v>
      </c>
      <c r="B278" s="44" t="s">
        <v>6637</v>
      </c>
      <c r="C278" s="50"/>
      <c r="D278" s="10" t="s">
        <v>29</v>
      </c>
      <c r="E278" s="11"/>
      <c r="F278" s="11" t="s">
        <v>18</v>
      </c>
      <c r="G278" s="13"/>
      <c r="H278" s="45" t="s">
        <v>16</v>
      </c>
      <c r="I278" s="46"/>
      <c r="J278" s="14" t="s">
        <v>2330</v>
      </c>
      <c r="K278" s="13" t="s">
        <v>7048</v>
      </c>
      <c r="L278" s="99" t="str">
        <f t="shared" si="22"/>
        <v>W120C.5</v>
      </c>
      <c r="M278" s="13" t="s">
        <v>3667</v>
      </c>
      <c r="N278" s="13"/>
      <c r="O278" s="13"/>
      <c r="P278" s="47"/>
      <c r="Q278" s="45"/>
      <c r="R278" s="45"/>
      <c r="S278" s="48"/>
      <c r="T278" s="49" t="str">
        <f t="shared" si="20"/>
        <v>[W120C.5]</v>
      </c>
      <c r="U278" s="12" t="str">
        <f t="shared" si="21"/>
        <v xml:space="preserve"> 로우 커버 용접 Z축(SD213)  </v>
      </c>
      <c r="V278" s="49" t="str">
        <f t="shared" si="23"/>
        <v xml:space="preserve">[W120C.5] 로우 커버 용접 Z축(SD213)  </v>
      </c>
    </row>
    <row r="279" spans="1:22" s="49" customFormat="1" ht="14.15" customHeight="1">
      <c r="A279" s="43" t="s">
        <v>3680</v>
      </c>
      <c r="B279" s="44" t="s">
        <v>6637</v>
      </c>
      <c r="C279" s="50"/>
      <c r="D279" s="10" t="s">
        <v>29</v>
      </c>
      <c r="E279" s="11"/>
      <c r="F279" s="11" t="s">
        <v>18</v>
      </c>
      <c r="G279" s="13"/>
      <c r="H279" s="45" t="s">
        <v>16</v>
      </c>
      <c r="I279" s="46"/>
      <c r="J279" s="14" t="s">
        <v>2331</v>
      </c>
      <c r="K279" s="13" t="s">
        <v>7049</v>
      </c>
      <c r="L279" s="99" t="str">
        <f t="shared" si="22"/>
        <v>W120C.6</v>
      </c>
      <c r="M279" s="13" t="s">
        <v>3667</v>
      </c>
      <c r="N279" s="13"/>
      <c r="O279" s="13"/>
      <c r="P279" s="47"/>
      <c r="Q279" s="45"/>
      <c r="R279" s="45"/>
      <c r="S279" s="48"/>
      <c r="T279" s="49" t="str">
        <f t="shared" si="20"/>
        <v>[W120C.6]</v>
      </c>
      <c r="U279" s="12" t="str">
        <f t="shared" si="21"/>
        <v xml:space="preserve"> 로우 커버 용접 Z축(SD213) 에러가 발생했습니다.</v>
      </c>
      <c r="V279" s="49" t="str">
        <f t="shared" si="23"/>
        <v>[W120C.6] 로우 커버 용접 Z축(SD213) 에러가 발생했습니다.</v>
      </c>
    </row>
    <row r="280" spans="1:22" s="49" customFormat="1" ht="14.15" customHeight="1">
      <c r="A280" s="43" t="s">
        <v>3670</v>
      </c>
      <c r="B280" s="44" t="s">
        <v>6637</v>
      </c>
      <c r="C280" s="50"/>
      <c r="D280" s="10" t="s">
        <v>29</v>
      </c>
      <c r="E280" s="11"/>
      <c r="F280" s="11" t="s">
        <v>18</v>
      </c>
      <c r="G280" s="13"/>
      <c r="H280" s="45" t="s">
        <v>16</v>
      </c>
      <c r="I280" s="46"/>
      <c r="J280" s="14" t="s">
        <v>2332</v>
      </c>
      <c r="K280" s="13" t="s">
        <v>7050</v>
      </c>
      <c r="L280" s="99" t="str">
        <f t="shared" si="22"/>
        <v>W120C.7</v>
      </c>
      <c r="M280" s="13" t="s">
        <v>3667</v>
      </c>
      <c r="N280" s="13"/>
      <c r="O280" s="13"/>
      <c r="P280" s="47"/>
      <c r="Q280" s="45"/>
      <c r="R280" s="45"/>
      <c r="S280" s="48"/>
      <c r="T280" s="49" t="str">
        <f t="shared" si="20"/>
        <v>[W120C.7]</v>
      </c>
      <c r="U280" s="12" t="str">
        <f t="shared" si="21"/>
        <v xml:space="preserve"> 어퍼브라켓 클린칭 X축(SD207) 운전중에 Ready가 Off 되었습니다.</v>
      </c>
      <c r="V280" s="49" t="str">
        <f t="shared" si="23"/>
        <v>[W120C.7] 어퍼브라켓 클린칭 X축(SD207) 운전중에 Ready가 Off 되었습니다.</v>
      </c>
    </row>
    <row r="281" spans="1:22" s="49" customFormat="1" ht="14.15" customHeight="1">
      <c r="A281" s="43" t="s">
        <v>3670</v>
      </c>
      <c r="B281" s="44" t="s">
        <v>6637</v>
      </c>
      <c r="C281" s="50"/>
      <c r="D281" s="10" t="s">
        <v>29</v>
      </c>
      <c r="E281" s="11"/>
      <c r="F281" s="11" t="s">
        <v>18</v>
      </c>
      <c r="G281" s="13"/>
      <c r="H281" s="45" t="s">
        <v>16</v>
      </c>
      <c r="I281" s="46"/>
      <c r="J281" s="14" t="s">
        <v>2333</v>
      </c>
      <c r="K281" s="13" t="s">
        <v>7051</v>
      </c>
      <c r="L281" s="99" t="str">
        <f t="shared" si="22"/>
        <v>W120C.8</v>
      </c>
      <c r="M281" s="13" t="s">
        <v>3667</v>
      </c>
      <c r="N281" s="13"/>
      <c r="O281" s="13"/>
      <c r="P281" s="47"/>
      <c r="Q281" s="45"/>
      <c r="R281" s="45"/>
      <c r="S281" s="48"/>
      <c r="T281" s="49" t="str">
        <f t="shared" si="20"/>
        <v>[W120C.8]</v>
      </c>
      <c r="U281" s="12" t="str">
        <f t="shared" si="21"/>
        <v xml:space="preserve"> 어퍼브라켓 클린칭 X축(SD207) FLS가 감지되었습니다.</v>
      </c>
      <c r="V281" s="49" t="str">
        <f t="shared" si="23"/>
        <v>[W120C.8] 어퍼브라켓 클린칭 X축(SD207) FLS가 감지되었습니다.</v>
      </c>
    </row>
    <row r="282" spans="1:22" s="49" customFormat="1" ht="14.15" customHeight="1">
      <c r="A282" s="43" t="s">
        <v>3670</v>
      </c>
      <c r="B282" s="44" t="s">
        <v>6637</v>
      </c>
      <c r="C282" s="50"/>
      <c r="D282" s="10" t="s">
        <v>29</v>
      </c>
      <c r="E282" s="11"/>
      <c r="F282" s="11" t="s">
        <v>18</v>
      </c>
      <c r="G282" s="13"/>
      <c r="H282" s="45" t="s">
        <v>16</v>
      </c>
      <c r="I282" s="46"/>
      <c r="J282" s="14" t="s">
        <v>2334</v>
      </c>
      <c r="K282" s="13" t="s">
        <v>7052</v>
      </c>
      <c r="L282" s="99" t="str">
        <f t="shared" si="22"/>
        <v>W120C.9</v>
      </c>
      <c r="M282" s="13" t="s">
        <v>3667</v>
      </c>
      <c r="N282" s="13"/>
      <c r="O282" s="13"/>
      <c r="P282" s="47"/>
      <c r="Q282" s="45"/>
      <c r="R282" s="45"/>
      <c r="S282" s="48"/>
      <c r="T282" s="49" t="str">
        <f t="shared" si="20"/>
        <v>[W120C.9]</v>
      </c>
      <c r="U282" s="12" t="str">
        <f t="shared" si="21"/>
        <v xml:space="preserve"> 어퍼브라켓 클린칭 X축(SD207) RLS가 감지되었습니다.</v>
      </c>
      <c r="V282" s="49" t="str">
        <f t="shared" si="23"/>
        <v>[W120C.9] 어퍼브라켓 클린칭 X축(SD207) RLS가 감지되었습니다.</v>
      </c>
    </row>
    <row r="283" spans="1:22" s="49" customFormat="1" ht="14.15" customHeight="1">
      <c r="A283" s="43" t="s">
        <v>3670</v>
      </c>
      <c r="B283" s="44" t="s">
        <v>6637</v>
      </c>
      <c r="C283" s="50"/>
      <c r="D283" s="10" t="s">
        <v>29</v>
      </c>
      <c r="E283" s="11"/>
      <c r="F283" s="11" t="s">
        <v>18</v>
      </c>
      <c r="G283" s="13"/>
      <c r="H283" s="45" t="s">
        <v>16</v>
      </c>
      <c r="I283" s="46"/>
      <c r="J283" s="14" t="s">
        <v>2335</v>
      </c>
      <c r="K283" s="13" t="s">
        <v>7053</v>
      </c>
      <c r="L283" s="99" t="str">
        <f t="shared" si="22"/>
        <v>W120C.A</v>
      </c>
      <c r="M283" s="13" t="s">
        <v>3667</v>
      </c>
      <c r="N283" s="13"/>
      <c r="O283" s="13"/>
      <c r="P283" s="47"/>
      <c r="Q283" s="45"/>
      <c r="R283" s="45"/>
      <c r="S283" s="48"/>
      <c r="T283" s="49" t="str">
        <f t="shared" si="20"/>
        <v>[W120C.A]</v>
      </c>
      <c r="U283" s="12" t="str">
        <f t="shared" si="21"/>
        <v xml:space="preserve"> 어퍼브라켓 클린칭 X축(SD207) Stop 명령이 On된 상태에서 기동을 시도했습니다.</v>
      </c>
      <c r="V283" s="49" t="str">
        <f t="shared" si="23"/>
        <v>[W120C.A] 어퍼브라켓 클린칭 X축(SD207) Stop 명령이 On된 상태에서 기동을 시도했습니다.</v>
      </c>
    </row>
    <row r="284" spans="1:22" s="49" customFormat="1" ht="14.15" customHeight="1">
      <c r="A284" s="43" t="s">
        <v>3670</v>
      </c>
      <c r="B284" s="44" t="s">
        <v>6637</v>
      </c>
      <c r="C284" s="50"/>
      <c r="D284" s="10" t="s">
        <v>29</v>
      </c>
      <c r="E284" s="11"/>
      <c r="F284" s="11" t="s">
        <v>18</v>
      </c>
      <c r="G284" s="13"/>
      <c r="H284" s="45" t="s">
        <v>16</v>
      </c>
      <c r="I284" s="46"/>
      <c r="J284" s="14" t="s">
        <v>2336</v>
      </c>
      <c r="K284" s="13" t="s">
        <v>7054</v>
      </c>
      <c r="L284" s="99" t="str">
        <f t="shared" si="22"/>
        <v>W120C.B</v>
      </c>
      <c r="M284" s="13" t="s">
        <v>3667</v>
      </c>
      <c r="N284" s="13"/>
      <c r="O284" s="13"/>
      <c r="P284" s="47"/>
      <c r="Q284" s="45"/>
      <c r="R284" s="45"/>
      <c r="S284" s="48"/>
      <c r="T284" s="49" t="str">
        <f t="shared" si="20"/>
        <v>[W120C.B]</v>
      </c>
      <c r="U284" s="12" t="str">
        <f t="shared" si="21"/>
        <v xml:space="preserve"> 어퍼브라켓 클린칭 X축(SD207) 가동 전원이 Off 되었습니다.</v>
      </c>
      <c r="V284" s="49" t="str">
        <f t="shared" si="23"/>
        <v>[W120C.B] 어퍼브라켓 클린칭 X축(SD207) 가동 전원이 Off 되었습니다.</v>
      </c>
    </row>
    <row r="285" spans="1:22" s="49" customFormat="1" ht="14.15" customHeight="1">
      <c r="A285" s="43" t="s">
        <v>3670</v>
      </c>
      <c r="B285" s="44" t="s">
        <v>6637</v>
      </c>
      <c r="C285" s="50"/>
      <c r="D285" s="10" t="s">
        <v>29</v>
      </c>
      <c r="E285" s="11"/>
      <c r="F285" s="11" t="s">
        <v>18</v>
      </c>
      <c r="G285" s="13"/>
      <c r="H285" s="45" t="s">
        <v>16</v>
      </c>
      <c r="I285" s="46"/>
      <c r="J285" s="14" t="s">
        <v>2337</v>
      </c>
      <c r="K285" s="13" t="s">
        <v>7055</v>
      </c>
      <c r="L285" s="99" t="str">
        <f t="shared" si="22"/>
        <v>W120C.C</v>
      </c>
      <c r="M285" s="13" t="s">
        <v>3667</v>
      </c>
      <c r="N285" s="13"/>
      <c r="O285" s="13"/>
      <c r="P285" s="47"/>
      <c r="Q285" s="45"/>
      <c r="R285" s="45"/>
      <c r="S285" s="48"/>
      <c r="T285" s="49" t="str">
        <f t="shared" si="20"/>
        <v>[W120C.C]</v>
      </c>
      <c r="U285" s="12" t="str">
        <f t="shared" si="21"/>
        <v xml:space="preserve"> 어퍼브라켓 클린칭 X축(SD207) 엔코더 이상이 검출되었습니다.</v>
      </c>
      <c r="V285" s="49" t="str">
        <f t="shared" si="23"/>
        <v>[W120C.C] 어퍼브라켓 클린칭 X축(SD207) 엔코더 이상이 검출되었습니다.</v>
      </c>
    </row>
    <row r="286" spans="1:22" s="49" customFormat="1" ht="14.15" customHeight="1">
      <c r="A286" s="43" t="s">
        <v>3670</v>
      </c>
      <c r="B286" s="44" t="s">
        <v>6637</v>
      </c>
      <c r="C286" s="50"/>
      <c r="D286" s="10" t="s">
        <v>29</v>
      </c>
      <c r="E286" s="11"/>
      <c r="F286" s="11" t="s">
        <v>18</v>
      </c>
      <c r="G286" s="13"/>
      <c r="H286" s="45" t="s">
        <v>16</v>
      </c>
      <c r="I286" s="46"/>
      <c r="J286" s="14" t="s">
        <v>2338</v>
      </c>
      <c r="K286" s="13" t="s">
        <v>7056</v>
      </c>
      <c r="L286" s="99" t="str">
        <f t="shared" si="22"/>
        <v>W120C.D</v>
      </c>
      <c r="M286" s="13" t="s">
        <v>3667</v>
      </c>
      <c r="N286" s="13"/>
      <c r="O286" s="13"/>
      <c r="P286" s="47"/>
      <c r="Q286" s="45"/>
      <c r="R286" s="45"/>
      <c r="S286" s="48"/>
      <c r="T286" s="49" t="str">
        <f t="shared" si="20"/>
        <v>[W120C.D]</v>
      </c>
      <c r="U286" s="12" t="str">
        <f t="shared" si="21"/>
        <v xml:space="preserve"> 어퍼브라켓 클린칭 X축(SD207) 과전류가 검출되었습니다.</v>
      </c>
      <c r="V286" s="49" t="str">
        <f t="shared" si="23"/>
        <v>[W120C.D] 어퍼브라켓 클린칭 X축(SD207) 과전류가 검출되었습니다.</v>
      </c>
    </row>
    <row r="287" spans="1:22" s="49" customFormat="1" ht="14.15" customHeight="1">
      <c r="A287" s="43" t="s">
        <v>3670</v>
      </c>
      <c r="B287" s="44" t="s">
        <v>6637</v>
      </c>
      <c r="C287" s="50"/>
      <c r="D287" s="10" t="s">
        <v>29</v>
      </c>
      <c r="E287" s="11"/>
      <c r="F287" s="11" t="s">
        <v>18</v>
      </c>
      <c r="G287" s="13"/>
      <c r="H287" s="45" t="s">
        <v>16</v>
      </c>
      <c r="I287" s="46"/>
      <c r="J287" s="14" t="s">
        <v>2339</v>
      </c>
      <c r="K287" s="13" t="s">
        <v>7057</v>
      </c>
      <c r="L287" s="99" t="str">
        <f t="shared" si="22"/>
        <v>W120C.E</v>
      </c>
      <c r="M287" s="13" t="s">
        <v>3667</v>
      </c>
      <c r="N287" s="13"/>
      <c r="O287" s="13"/>
      <c r="P287" s="47"/>
      <c r="Q287" s="45"/>
      <c r="R287" s="45"/>
      <c r="S287" s="48"/>
      <c r="T287" s="49" t="str">
        <f t="shared" si="20"/>
        <v>[W120C.E]</v>
      </c>
      <c r="U287" s="12" t="str">
        <f t="shared" si="21"/>
        <v xml:space="preserve"> 어퍼브라켓 클린칭 X축(SD207) 과부하가 검출되었습니다.</v>
      </c>
      <c r="V287" s="49" t="str">
        <f t="shared" si="23"/>
        <v>[W120C.E] 어퍼브라켓 클린칭 X축(SD207) 과부하가 검출되었습니다.</v>
      </c>
    </row>
    <row r="288" spans="1:22" s="49" customFormat="1" ht="14.15" customHeight="1">
      <c r="A288" s="43" t="s">
        <v>3670</v>
      </c>
      <c r="B288" s="44" t="s">
        <v>6637</v>
      </c>
      <c r="C288" s="50"/>
      <c r="D288" s="10" t="s">
        <v>29</v>
      </c>
      <c r="E288" s="11"/>
      <c r="F288" s="11" t="s">
        <v>18</v>
      </c>
      <c r="G288" s="13"/>
      <c r="H288" s="45" t="s">
        <v>16</v>
      </c>
      <c r="I288" s="46"/>
      <c r="J288" s="14" t="s">
        <v>2340</v>
      </c>
      <c r="K288" s="13" t="s">
        <v>7058</v>
      </c>
      <c r="L288" s="99" t="str">
        <f t="shared" si="22"/>
        <v>W120C.F</v>
      </c>
      <c r="M288" s="13" t="s">
        <v>3667</v>
      </c>
      <c r="N288" s="13"/>
      <c r="O288" s="13"/>
      <c r="P288" s="47"/>
      <c r="Q288" s="45"/>
      <c r="R288" s="45"/>
      <c r="S288" s="48"/>
      <c r="T288" s="49" t="str">
        <f t="shared" si="20"/>
        <v>[W120C.F]</v>
      </c>
      <c r="U288" s="12" t="str">
        <f t="shared" si="21"/>
        <v xml:space="preserve"> 어퍼브라켓 클린칭 X축(SD207)  </v>
      </c>
      <c r="V288" s="49" t="str">
        <f t="shared" si="23"/>
        <v xml:space="preserve">[W120C.F] 어퍼브라켓 클린칭 X축(SD207)  </v>
      </c>
    </row>
    <row r="289" spans="1:22" s="49" customFormat="1" ht="14.15" customHeight="1">
      <c r="A289" s="43" t="s">
        <v>3670</v>
      </c>
      <c r="B289" s="44" t="s">
        <v>6637</v>
      </c>
      <c r="C289" s="50"/>
      <c r="D289" s="10" t="s">
        <v>29</v>
      </c>
      <c r="E289" s="11"/>
      <c r="F289" s="11" t="s">
        <v>18</v>
      </c>
      <c r="G289" s="13"/>
      <c r="H289" s="45" t="s">
        <v>16</v>
      </c>
      <c r="I289" s="46"/>
      <c r="J289" s="14" t="s">
        <v>2341</v>
      </c>
      <c r="K289" s="13" t="s">
        <v>7059</v>
      </c>
      <c r="L289" s="99" t="str">
        <f t="shared" si="22"/>
        <v>W120D.0</v>
      </c>
      <c r="M289" s="13" t="s">
        <v>3667</v>
      </c>
      <c r="N289" s="13"/>
      <c r="O289" s="13"/>
      <c r="P289" s="47"/>
      <c r="Q289" s="45"/>
      <c r="R289" s="45"/>
      <c r="S289" s="48"/>
      <c r="T289" s="49" t="str">
        <f t="shared" si="20"/>
        <v>[W120D.0]</v>
      </c>
      <c r="U289" s="12" t="str">
        <f t="shared" si="21"/>
        <v xml:space="preserve"> 어퍼브라켓 클린칭 X축(SD207) 에러가 발생했습니다.</v>
      </c>
      <c r="V289" s="49" t="str">
        <f t="shared" si="23"/>
        <v>[W120D.0] 어퍼브라켓 클린칭 X축(SD207) 에러가 발생했습니다.</v>
      </c>
    </row>
    <row r="290" spans="1:22" s="49" customFormat="1" ht="14.15" customHeight="1">
      <c r="A290" s="43" t="s">
        <v>3670</v>
      </c>
      <c r="B290" s="44" t="s">
        <v>6637</v>
      </c>
      <c r="C290" s="50"/>
      <c r="D290" s="10" t="s">
        <v>29</v>
      </c>
      <c r="E290" s="11"/>
      <c r="F290" s="11" t="s">
        <v>18</v>
      </c>
      <c r="G290" s="13"/>
      <c r="H290" s="45" t="s">
        <v>16</v>
      </c>
      <c r="I290" s="46"/>
      <c r="J290" s="14" t="s">
        <v>2342</v>
      </c>
      <c r="K290" s="13" t="s">
        <v>7060</v>
      </c>
      <c r="L290" s="99" t="str">
        <f t="shared" si="22"/>
        <v>W120D.1</v>
      </c>
      <c r="M290" s="13" t="s">
        <v>3667</v>
      </c>
      <c r="N290" s="13"/>
      <c r="O290" s="13"/>
      <c r="P290" s="47"/>
      <c r="Q290" s="45"/>
      <c r="R290" s="45"/>
      <c r="S290" s="48"/>
      <c r="T290" s="49" t="str">
        <f t="shared" si="20"/>
        <v>[W120D.1]</v>
      </c>
      <c r="U290" s="12" t="str">
        <f t="shared" si="21"/>
        <v xml:space="preserve"> 어퍼브라켓 클린칭 Z축(SD208) 운전중에 Ready가 Off 되었습니다.</v>
      </c>
      <c r="V290" s="49" t="str">
        <f t="shared" si="23"/>
        <v>[W120D.1] 어퍼브라켓 클린칭 Z축(SD208) 운전중에 Ready가 Off 되었습니다.</v>
      </c>
    </row>
    <row r="291" spans="1:22" s="49" customFormat="1" ht="14.15" customHeight="1">
      <c r="A291" s="43" t="s">
        <v>3670</v>
      </c>
      <c r="B291" s="44" t="s">
        <v>6637</v>
      </c>
      <c r="C291" s="50"/>
      <c r="D291" s="10" t="s">
        <v>29</v>
      </c>
      <c r="E291" s="11"/>
      <c r="F291" s="11" t="s">
        <v>18</v>
      </c>
      <c r="G291" s="13"/>
      <c r="H291" s="45" t="s">
        <v>16</v>
      </c>
      <c r="I291" s="46"/>
      <c r="J291" s="14" t="s">
        <v>2343</v>
      </c>
      <c r="K291" s="13" t="s">
        <v>7061</v>
      </c>
      <c r="L291" s="99" t="str">
        <f t="shared" si="22"/>
        <v>W120D.2</v>
      </c>
      <c r="M291" s="13" t="s">
        <v>3667</v>
      </c>
      <c r="N291" s="13"/>
      <c r="O291" s="13"/>
      <c r="P291" s="47"/>
      <c r="Q291" s="45"/>
      <c r="R291" s="45"/>
      <c r="S291" s="48"/>
      <c r="T291" s="49" t="str">
        <f t="shared" si="20"/>
        <v>[W120D.2]</v>
      </c>
      <c r="U291" s="12" t="str">
        <f t="shared" si="21"/>
        <v xml:space="preserve"> 어퍼브라켓 클린칭 Z축(SD208) FLS가 감지되었습니다.</v>
      </c>
      <c r="V291" s="49" t="str">
        <f t="shared" si="23"/>
        <v>[W120D.2] 어퍼브라켓 클린칭 Z축(SD208) FLS가 감지되었습니다.</v>
      </c>
    </row>
    <row r="292" spans="1:22" s="49" customFormat="1" ht="14.15" customHeight="1">
      <c r="A292" s="43" t="s">
        <v>3670</v>
      </c>
      <c r="B292" s="44" t="s">
        <v>6637</v>
      </c>
      <c r="C292" s="50"/>
      <c r="D292" s="10" t="s">
        <v>29</v>
      </c>
      <c r="E292" s="11"/>
      <c r="F292" s="11" t="s">
        <v>18</v>
      </c>
      <c r="G292" s="13"/>
      <c r="H292" s="45" t="s">
        <v>16</v>
      </c>
      <c r="I292" s="46"/>
      <c r="J292" s="14" t="s">
        <v>2344</v>
      </c>
      <c r="K292" s="13" t="s">
        <v>7062</v>
      </c>
      <c r="L292" s="99" t="str">
        <f t="shared" si="22"/>
        <v>W120D.3</v>
      </c>
      <c r="M292" s="13" t="s">
        <v>3667</v>
      </c>
      <c r="N292" s="13"/>
      <c r="O292" s="13"/>
      <c r="P292" s="47"/>
      <c r="Q292" s="45"/>
      <c r="R292" s="45"/>
      <c r="S292" s="48"/>
      <c r="T292" s="49" t="str">
        <f t="shared" si="20"/>
        <v>[W120D.3]</v>
      </c>
      <c r="U292" s="12" t="str">
        <f t="shared" si="21"/>
        <v xml:space="preserve"> 어퍼브라켓 클린칭 Z축(SD208) RLS가 감지되었습니다.</v>
      </c>
      <c r="V292" s="49" t="str">
        <f t="shared" si="23"/>
        <v>[W120D.3] 어퍼브라켓 클린칭 Z축(SD208) RLS가 감지되었습니다.</v>
      </c>
    </row>
    <row r="293" spans="1:22" s="49" customFormat="1" ht="14.15" customHeight="1">
      <c r="A293" s="43" t="s">
        <v>3670</v>
      </c>
      <c r="B293" s="44" t="s">
        <v>6637</v>
      </c>
      <c r="C293" s="50"/>
      <c r="D293" s="10" t="s">
        <v>29</v>
      </c>
      <c r="E293" s="11"/>
      <c r="F293" s="11" t="s">
        <v>18</v>
      </c>
      <c r="G293" s="13"/>
      <c r="H293" s="45" t="s">
        <v>16</v>
      </c>
      <c r="I293" s="46"/>
      <c r="J293" s="14" t="s">
        <v>2345</v>
      </c>
      <c r="K293" s="13" t="s">
        <v>7063</v>
      </c>
      <c r="L293" s="99" t="str">
        <f t="shared" si="22"/>
        <v>W120D.4</v>
      </c>
      <c r="M293" s="13" t="s">
        <v>3667</v>
      </c>
      <c r="N293" s="13"/>
      <c r="O293" s="13"/>
      <c r="P293" s="47"/>
      <c r="Q293" s="45"/>
      <c r="R293" s="45"/>
      <c r="S293" s="48"/>
      <c r="T293" s="49" t="str">
        <f t="shared" si="20"/>
        <v>[W120D.4]</v>
      </c>
      <c r="U293" s="12" t="str">
        <f t="shared" si="21"/>
        <v xml:space="preserve"> 어퍼브라켓 클린칭 Z축(SD208) Stop 명령이 On된 상태에서 기동을 시도했습니다.</v>
      </c>
      <c r="V293" s="49" t="str">
        <f t="shared" si="23"/>
        <v>[W120D.4] 어퍼브라켓 클린칭 Z축(SD208) Stop 명령이 On된 상태에서 기동을 시도했습니다.</v>
      </c>
    </row>
    <row r="294" spans="1:22" s="49" customFormat="1" ht="14.15" customHeight="1">
      <c r="A294" s="43" t="s">
        <v>3670</v>
      </c>
      <c r="B294" s="44" t="s">
        <v>6637</v>
      </c>
      <c r="C294" s="50"/>
      <c r="D294" s="10" t="s">
        <v>29</v>
      </c>
      <c r="E294" s="11"/>
      <c r="F294" s="11" t="s">
        <v>18</v>
      </c>
      <c r="G294" s="13"/>
      <c r="H294" s="45" t="s">
        <v>16</v>
      </c>
      <c r="I294" s="46"/>
      <c r="J294" s="14" t="s">
        <v>2346</v>
      </c>
      <c r="K294" s="13" t="s">
        <v>7064</v>
      </c>
      <c r="L294" s="99" t="str">
        <f t="shared" si="22"/>
        <v>W120D.5</v>
      </c>
      <c r="M294" s="13" t="s">
        <v>3667</v>
      </c>
      <c r="N294" s="13"/>
      <c r="O294" s="13"/>
      <c r="P294" s="47"/>
      <c r="Q294" s="45"/>
      <c r="R294" s="45"/>
      <c r="S294" s="48"/>
      <c r="T294" s="49" t="str">
        <f t="shared" si="20"/>
        <v>[W120D.5]</v>
      </c>
      <c r="U294" s="12" t="str">
        <f t="shared" si="21"/>
        <v xml:space="preserve"> 어퍼브라켓 클린칭 Z축(SD208) 가동 전원이 Off 되었습니다.</v>
      </c>
      <c r="V294" s="49" t="str">
        <f t="shared" si="23"/>
        <v>[W120D.5] 어퍼브라켓 클린칭 Z축(SD208) 가동 전원이 Off 되었습니다.</v>
      </c>
    </row>
    <row r="295" spans="1:22" s="49" customFormat="1" ht="14.15" customHeight="1">
      <c r="A295" s="43" t="s">
        <v>3670</v>
      </c>
      <c r="B295" s="44" t="s">
        <v>6637</v>
      </c>
      <c r="C295" s="50"/>
      <c r="D295" s="10" t="s">
        <v>29</v>
      </c>
      <c r="E295" s="11"/>
      <c r="F295" s="11" t="s">
        <v>18</v>
      </c>
      <c r="G295" s="13"/>
      <c r="H295" s="45" t="s">
        <v>16</v>
      </c>
      <c r="I295" s="46"/>
      <c r="J295" s="14" t="s">
        <v>2347</v>
      </c>
      <c r="K295" s="13" t="s">
        <v>7065</v>
      </c>
      <c r="L295" s="99" t="str">
        <f t="shared" si="22"/>
        <v>W120D.6</v>
      </c>
      <c r="M295" s="13" t="s">
        <v>3667</v>
      </c>
      <c r="N295" s="13"/>
      <c r="O295" s="13"/>
      <c r="P295" s="47"/>
      <c r="Q295" s="45"/>
      <c r="R295" s="45"/>
      <c r="S295" s="48"/>
      <c r="T295" s="49" t="str">
        <f t="shared" si="20"/>
        <v>[W120D.6]</v>
      </c>
      <c r="U295" s="12" t="str">
        <f t="shared" si="21"/>
        <v xml:space="preserve"> 어퍼브라켓 클린칭 Z축(SD208) 엔코더 이상이 검출되었습니다.</v>
      </c>
      <c r="V295" s="49" t="str">
        <f t="shared" si="23"/>
        <v>[W120D.6] 어퍼브라켓 클린칭 Z축(SD208) 엔코더 이상이 검출되었습니다.</v>
      </c>
    </row>
    <row r="296" spans="1:22" s="49" customFormat="1" ht="14.15" customHeight="1">
      <c r="A296" s="43" t="s">
        <v>3670</v>
      </c>
      <c r="B296" s="44" t="s">
        <v>6637</v>
      </c>
      <c r="C296" s="50"/>
      <c r="D296" s="10" t="s">
        <v>29</v>
      </c>
      <c r="E296" s="11"/>
      <c r="F296" s="11" t="s">
        <v>18</v>
      </c>
      <c r="G296" s="13"/>
      <c r="H296" s="45" t="s">
        <v>16</v>
      </c>
      <c r="I296" s="46"/>
      <c r="J296" s="14" t="s">
        <v>2348</v>
      </c>
      <c r="K296" s="13" t="s">
        <v>7066</v>
      </c>
      <c r="L296" s="99" t="str">
        <f t="shared" si="22"/>
        <v>W120D.7</v>
      </c>
      <c r="M296" s="13" t="s">
        <v>3667</v>
      </c>
      <c r="N296" s="13"/>
      <c r="O296" s="13"/>
      <c r="P296" s="47"/>
      <c r="Q296" s="45"/>
      <c r="R296" s="45"/>
      <c r="S296" s="48"/>
      <c r="T296" s="49" t="str">
        <f t="shared" si="20"/>
        <v>[W120D.7]</v>
      </c>
      <c r="U296" s="12" t="str">
        <f t="shared" si="21"/>
        <v xml:space="preserve"> 어퍼브라켓 클린칭 Z축(SD208) 과전류가 검출되었습니다.</v>
      </c>
      <c r="V296" s="49" t="str">
        <f t="shared" si="23"/>
        <v>[W120D.7] 어퍼브라켓 클린칭 Z축(SD208) 과전류가 검출되었습니다.</v>
      </c>
    </row>
    <row r="297" spans="1:22" s="49" customFormat="1" ht="14.15" customHeight="1">
      <c r="A297" s="43" t="s">
        <v>3670</v>
      </c>
      <c r="B297" s="44" t="s">
        <v>6637</v>
      </c>
      <c r="C297" s="50"/>
      <c r="D297" s="10" t="s">
        <v>29</v>
      </c>
      <c r="E297" s="11"/>
      <c r="F297" s="11" t="s">
        <v>18</v>
      </c>
      <c r="G297" s="13"/>
      <c r="H297" s="45" t="s">
        <v>16</v>
      </c>
      <c r="I297" s="47"/>
      <c r="J297" s="12" t="s">
        <v>2349</v>
      </c>
      <c r="K297" s="13" t="s">
        <v>7067</v>
      </c>
      <c r="L297" s="99" t="str">
        <f t="shared" si="22"/>
        <v>W120D.8</v>
      </c>
      <c r="M297" s="13" t="s">
        <v>3667</v>
      </c>
      <c r="N297" s="13"/>
      <c r="O297" s="13"/>
      <c r="P297" s="47"/>
      <c r="Q297" s="45"/>
      <c r="R297" s="45"/>
      <c r="S297" s="48"/>
      <c r="T297" s="49" t="str">
        <f t="shared" si="20"/>
        <v>[W120D.8]</v>
      </c>
      <c r="U297" s="12" t="str">
        <f t="shared" si="21"/>
        <v xml:space="preserve"> 어퍼브라켓 클린칭 Z축(SD208) 과부하가 검출되었습니다.</v>
      </c>
      <c r="V297" s="49" t="str">
        <f t="shared" si="23"/>
        <v>[W120D.8] 어퍼브라켓 클린칭 Z축(SD208) 과부하가 검출되었습니다.</v>
      </c>
    </row>
    <row r="298" spans="1:22" s="49" customFormat="1" ht="14.15" customHeight="1">
      <c r="A298" s="43" t="s">
        <v>3670</v>
      </c>
      <c r="B298" s="44" t="s">
        <v>6637</v>
      </c>
      <c r="C298" s="50"/>
      <c r="D298" s="10" t="s">
        <v>29</v>
      </c>
      <c r="E298" s="11"/>
      <c r="F298" s="11" t="s">
        <v>18</v>
      </c>
      <c r="G298" s="13"/>
      <c r="H298" s="45" t="s">
        <v>16</v>
      </c>
      <c r="I298" s="47"/>
      <c r="J298" s="12" t="s">
        <v>2350</v>
      </c>
      <c r="K298" s="13" t="s">
        <v>7068</v>
      </c>
      <c r="L298" s="99" t="str">
        <f t="shared" si="22"/>
        <v>W120D.9</v>
      </c>
      <c r="M298" s="13" t="s">
        <v>3667</v>
      </c>
      <c r="N298" s="13"/>
      <c r="O298" s="13"/>
      <c r="P298" s="47"/>
      <c r="Q298" s="45"/>
      <c r="R298" s="45"/>
      <c r="S298" s="48"/>
      <c r="T298" s="49" t="str">
        <f t="shared" si="20"/>
        <v>[W120D.9]</v>
      </c>
      <c r="U298" s="12" t="str">
        <f t="shared" si="21"/>
        <v xml:space="preserve"> 어퍼브라켓 클린칭 Z축(SD208)  </v>
      </c>
      <c r="V298" s="49" t="str">
        <f t="shared" si="23"/>
        <v xml:space="preserve">[W120D.9] 어퍼브라켓 클린칭 Z축(SD208)  </v>
      </c>
    </row>
    <row r="299" spans="1:22" s="49" customFormat="1" ht="14.15" customHeight="1">
      <c r="A299" s="43" t="s">
        <v>3670</v>
      </c>
      <c r="B299" s="44" t="s">
        <v>6637</v>
      </c>
      <c r="C299" s="50"/>
      <c r="D299" s="10" t="s">
        <v>29</v>
      </c>
      <c r="E299" s="11"/>
      <c r="F299" s="11" t="s">
        <v>18</v>
      </c>
      <c r="G299" s="13"/>
      <c r="H299" s="45" t="s">
        <v>16</v>
      </c>
      <c r="I299" s="47"/>
      <c r="J299" s="12" t="s">
        <v>2351</v>
      </c>
      <c r="K299" s="13" t="s">
        <v>7069</v>
      </c>
      <c r="L299" s="99" t="str">
        <f t="shared" si="22"/>
        <v>W120D.A</v>
      </c>
      <c r="M299" s="13" t="s">
        <v>3667</v>
      </c>
      <c r="N299" s="13"/>
      <c r="O299" s="13"/>
      <c r="P299" s="47"/>
      <c r="Q299" s="45"/>
      <c r="R299" s="45"/>
      <c r="S299" s="48"/>
      <c r="T299" s="49" t="str">
        <f t="shared" si="20"/>
        <v>[W120D.A]</v>
      </c>
      <c r="U299" s="12" t="str">
        <f t="shared" si="21"/>
        <v xml:space="preserve"> 어퍼브라켓 클린칭 Z축(SD208) 에러가 발생했습니다.</v>
      </c>
      <c r="V299" s="49" t="str">
        <f t="shared" si="23"/>
        <v>[W120D.A] 어퍼브라켓 클린칭 Z축(SD208) 에러가 발생했습니다.</v>
      </c>
    </row>
    <row r="300" spans="1:22" s="49" customFormat="1" ht="14.15" customHeight="1">
      <c r="A300" s="43" t="s">
        <v>3670</v>
      </c>
      <c r="B300" s="44" t="s">
        <v>6637</v>
      </c>
      <c r="C300" s="50"/>
      <c r="D300" s="10" t="s">
        <v>29</v>
      </c>
      <c r="E300" s="11"/>
      <c r="F300" s="11" t="s">
        <v>18</v>
      </c>
      <c r="G300" s="13"/>
      <c r="H300" s="45" t="s">
        <v>16</v>
      </c>
      <c r="I300" s="47"/>
      <c r="J300" s="12" t="s">
        <v>2352</v>
      </c>
      <c r="K300" s="13" t="s">
        <v>7070</v>
      </c>
      <c r="L300" s="99" t="str">
        <f t="shared" si="22"/>
        <v>W120D.B</v>
      </c>
      <c r="M300" s="13" t="s">
        <v>3667</v>
      </c>
      <c r="N300" s="13"/>
      <c r="O300" s="13"/>
      <c r="P300" s="47"/>
      <c r="Q300" s="45"/>
      <c r="R300" s="45"/>
      <c r="S300" s="48"/>
      <c r="T300" s="49" t="str">
        <f t="shared" si="20"/>
        <v>[W120D.B]</v>
      </c>
      <c r="U300" s="12" t="str">
        <f t="shared" si="21"/>
        <v xml:space="preserve"> 어퍼브라켓 클린칭 GUN(SD209) 운전중에 Ready가 Off 되었습니다.</v>
      </c>
      <c r="V300" s="49" t="str">
        <f t="shared" si="23"/>
        <v>[W120D.B] 어퍼브라켓 클린칭 GUN(SD209) 운전중에 Ready가 Off 되었습니다.</v>
      </c>
    </row>
    <row r="301" spans="1:22" s="49" customFormat="1" ht="14.15" customHeight="1">
      <c r="A301" s="43" t="s">
        <v>3670</v>
      </c>
      <c r="B301" s="44" t="s">
        <v>6637</v>
      </c>
      <c r="C301" s="50"/>
      <c r="D301" s="10" t="s">
        <v>29</v>
      </c>
      <c r="E301" s="11"/>
      <c r="F301" s="11" t="s">
        <v>18</v>
      </c>
      <c r="G301" s="13"/>
      <c r="H301" s="45" t="s">
        <v>16</v>
      </c>
      <c r="I301" s="47"/>
      <c r="J301" s="12" t="s">
        <v>2353</v>
      </c>
      <c r="K301" s="13" t="s">
        <v>7071</v>
      </c>
      <c r="L301" s="99" t="str">
        <f t="shared" si="22"/>
        <v>W120D.C</v>
      </c>
      <c r="M301" s="13" t="s">
        <v>3667</v>
      </c>
      <c r="N301" s="13"/>
      <c r="O301" s="13"/>
      <c r="P301" s="47"/>
      <c r="Q301" s="45"/>
      <c r="R301" s="45"/>
      <c r="S301" s="48"/>
      <c r="T301" s="49" t="str">
        <f t="shared" si="20"/>
        <v>[W120D.C]</v>
      </c>
      <c r="U301" s="12" t="str">
        <f t="shared" si="21"/>
        <v xml:space="preserve"> 어퍼브라켓 클린칭 GUN(SD209) FLS가 감지되었습니다.</v>
      </c>
      <c r="V301" s="49" t="str">
        <f t="shared" si="23"/>
        <v>[W120D.C] 어퍼브라켓 클린칭 GUN(SD209) FLS가 감지되었습니다.</v>
      </c>
    </row>
    <row r="302" spans="1:22" s="49" customFormat="1" ht="14.15" customHeight="1">
      <c r="A302" s="43" t="s">
        <v>3670</v>
      </c>
      <c r="B302" s="44" t="s">
        <v>6637</v>
      </c>
      <c r="C302" s="50"/>
      <c r="D302" s="10" t="s">
        <v>29</v>
      </c>
      <c r="E302" s="11"/>
      <c r="F302" s="11" t="s">
        <v>18</v>
      </c>
      <c r="G302" s="13"/>
      <c r="H302" s="45" t="s">
        <v>16</v>
      </c>
      <c r="I302" s="47"/>
      <c r="J302" s="12" t="s">
        <v>2354</v>
      </c>
      <c r="K302" s="13" t="s">
        <v>7072</v>
      </c>
      <c r="L302" s="99" t="str">
        <f t="shared" si="22"/>
        <v>W120D.D</v>
      </c>
      <c r="M302" s="13" t="s">
        <v>3667</v>
      </c>
      <c r="N302" s="13"/>
      <c r="O302" s="13"/>
      <c r="P302" s="47"/>
      <c r="Q302" s="45"/>
      <c r="R302" s="45"/>
      <c r="S302" s="48"/>
      <c r="T302" s="49" t="str">
        <f t="shared" ref="T302:T333" si="24">"["&amp;L302&amp;"]"</f>
        <v>[W120D.D]</v>
      </c>
      <c r="U302" s="12" t="str">
        <f t="shared" ref="U302:U333" si="25">RIGHT(J302,LEN(J302)-7)</f>
        <v xml:space="preserve"> 어퍼브라켓 클린칭 GUN(SD209) RLS가 감지되었습니다.</v>
      </c>
      <c r="V302" s="49" t="str">
        <f t="shared" si="23"/>
        <v>[W120D.D] 어퍼브라켓 클린칭 GUN(SD209) RLS가 감지되었습니다.</v>
      </c>
    </row>
    <row r="303" spans="1:22" s="49" customFormat="1" ht="14.15" customHeight="1">
      <c r="A303" s="43" t="s">
        <v>3670</v>
      </c>
      <c r="B303" s="44" t="s">
        <v>6637</v>
      </c>
      <c r="C303" s="50"/>
      <c r="D303" s="10" t="s">
        <v>29</v>
      </c>
      <c r="E303" s="11"/>
      <c r="F303" s="11" t="s">
        <v>18</v>
      </c>
      <c r="G303" s="13"/>
      <c r="H303" s="45" t="s">
        <v>16</v>
      </c>
      <c r="I303" s="47"/>
      <c r="J303" s="12" t="s">
        <v>2355</v>
      </c>
      <c r="K303" s="13" t="s">
        <v>7073</v>
      </c>
      <c r="L303" s="99" t="str">
        <f t="shared" si="22"/>
        <v>W120D.E</v>
      </c>
      <c r="M303" s="13" t="s">
        <v>3667</v>
      </c>
      <c r="N303" s="13"/>
      <c r="O303" s="13"/>
      <c r="P303" s="47"/>
      <c r="Q303" s="45"/>
      <c r="R303" s="45"/>
      <c r="S303" s="48"/>
      <c r="T303" s="49" t="str">
        <f t="shared" si="24"/>
        <v>[W120D.E]</v>
      </c>
      <c r="U303" s="12" t="str">
        <f t="shared" si="25"/>
        <v xml:space="preserve"> 어퍼브라켓 클린칭 GUN(SD209) Stop 명령이 On된 상태에서 기동을 시도했습니다.</v>
      </c>
      <c r="V303" s="49" t="str">
        <f t="shared" si="23"/>
        <v>[W120D.E] 어퍼브라켓 클린칭 GUN(SD209) Stop 명령이 On된 상태에서 기동을 시도했습니다.</v>
      </c>
    </row>
    <row r="304" spans="1:22" s="49" customFormat="1" ht="14.15" customHeight="1">
      <c r="A304" s="43" t="s">
        <v>3670</v>
      </c>
      <c r="B304" s="44" t="s">
        <v>6637</v>
      </c>
      <c r="C304" s="50"/>
      <c r="D304" s="10" t="s">
        <v>29</v>
      </c>
      <c r="E304" s="11"/>
      <c r="F304" s="11" t="s">
        <v>18</v>
      </c>
      <c r="G304" s="13"/>
      <c r="H304" s="45" t="s">
        <v>16</v>
      </c>
      <c r="I304" s="47"/>
      <c r="J304" s="12" t="s">
        <v>2356</v>
      </c>
      <c r="K304" s="13" t="s">
        <v>7074</v>
      </c>
      <c r="L304" s="99" t="str">
        <f t="shared" si="22"/>
        <v>W120D.F</v>
      </c>
      <c r="M304" s="13" t="s">
        <v>3667</v>
      </c>
      <c r="N304" s="13"/>
      <c r="O304" s="13"/>
      <c r="P304" s="47"/>
      <c r="Q304" s="45"/>
      <c r="R304" s="45"/>
      <c r="S304" s="48"/>
      <c r="T304" s="49" t="str">
        <f t="shared" si="24"/>
        <v>[W120D.F]</v>
      </c>
      <c r="U304" s="12" t="str">
        <f t="shared" si="25"/>
        <v xml:space="preserve"> 어퍼브라켓 클린칭 GUN(SD209) 가동 전원이 Off 되었습니다.</v>
      </c>
      <c r="V304" s="49" t="str">
        <f t="shared" si="23"/>
        <v>[W120D.F] 어퍼브라켓 클린칭 GUN(SD209) 가동 전원이 Off 되었습니다.</v>
      </c>
    </row>
    <row r="305" spans="1:22" s="49" customFormat="1" ht="14.15" customHeight="1">
      <c r="A305" s="43" t="s">
        <v>3670</v>
      </c>
      <c r="B305" s="44" t="s">
        <v>6637</v>
      </c>
      <c r="C305" s="50"/>
      <c r="D305" s="10" t="s">
        <v>29</v>
      </c>
      <c r="E305" s="11"/>
      <c r="F305" s="11" t="s">
        <v>18</v>
      </c>
      <c r="G305" s="13"/>
      <c r="H305" s="45" t="s">
        <v>16</v>
      </c>
      <c r="I305" s="47"/>
      <c r="J305" s="12" t="s">
        <v>2357</v>
      </c>
      <c r="K305" s="13" t="s">
        <v>7075</v>
      </c>
      <c r="L305" s="99" t="str">
        <f t="shared" si="22"/>
        <v>W120E.0</v>
      </c>
      <c r="M305" s="13" t="s">
        <v>3667</v>
      </c>
      <c r="N305" s="13"/>
      <c r="O305" s="13"/>
      <c r="P305" s="47"/>
      <c r="Q305" s="45"/>
      <c r="R305" s="45"/>
      <c r="S305" s="48"/>
      <c r="T305" s="49" t="str">
        <f t="shared" si="24"/>
        <v>[W120E.0]</v>
      </c>
      <c r="U305" s="12" t="str">
        <f t="shared" si="25"/>
        <v xml:space="preserve"> 어퍼브라켓 클린칭 GUN(SD209) 엔코더 이상이 검출되었습니다.</v>
      </c>
      <c r="V305" s="49" t="str">
        <f t="shared" si="23"/>
        <v>[W120E.0] 어퍼브라켓 클린칭 GUN(SD209) 엔코더 이상이 검출되었습니다.</v>
      </c>
    </row>
    <row r="306" spans="1:22" s="49" customFormat="1" ht="14.15" customHeight="1">
      <c r="A306" s="43" t="s">
        <v>3670</v>
      </c>
      <c r="B306" s="44" t="s">
        <v>6637</v>
      </c>
      <c r="C306" s="50"/>
      <c r="D306" s="10" t="s">
        <v>29</v>
      </c>
      <c r="E306" s="11"/>
      <c r="F306" s="11" t="s">
        <v>18</v>
      </c>
      <c r="G306" s="13"/>
      <c r="H306" s="45" t="s">
        <v>16</v>
      </c>
      <c r="I306" s="47"/>
      <c r="J306" s="12" t="s">
        <v>2358</v>
      </c>
      <c r="K306" s="13" t="s">
        <v>7076</v>
      </c>
      <c r="L306" s="99" t="str">
        <f t="shared" si="22"/>
        <v>W120E.1</v>
      </c>
      <c r="M306" s="13" t="s">
        <v>3667</v>
      </c>
      <c r="N306" s="13"/>
      <c r="O306" s="13"/>
      <c r="P306" s="47"/>
      <c r="Q306" s="45"/>
      <c r="R306" s="45"/>
      <c r="S306" s="48"/>
      <c r="T306" s="49" t="str">
        <f t="shared" si="24"/>
        <v>[W120E.1]</v>
      </c>
      <c r="U306" s="12" t="str">
        <f t="shared" si="25"/>
        <v xml:space="preserve"> 어퍼브라켓 클린칭 GUN(SD209) 과전류가 검출되었습니다.</v>
      </c>
      <c r="V306" s="49" t="str">
        <f t="shared" si="23"/>
        <v>[W120E.1] 어퍼브라켓 클린칭 GUN(SD209) 과전류가 검출되었습니다.</v>
      </c>
    </row>
    <row r="307" spans="1:22" s="49" customFormat="1" ht="14.15" customHeight="1">
      <c r="A307" s="43" t="s">
        <v>3670</v>
      </c>
      <c r="B307" s="44" t="s">
        <v>6637</v>
      </c>
      <c r="C307" s="50"/>
      <c r="D307" s="10" t="s">
        <v>29</v>
      </c>
      <c r="E307" s="11"/>
      <c r="F307" s="11" t="s">
        <v>18</v>
      </c>
      <c r="G307" s="13"/>
      <c r="H307" s="45" t="s">
        <v>16</v>
      </c>
      <c r="I307" s="47"/>
      <c r="J307" s="12" t="s">
        <v>2359</v>
      </c>
      <c r="K307" s="13" t="s">
        <v>7077</v>
      </c>
      <c r="L307" s="99" t="str">
        <f t="shared" si="22"/>
        <v>W120E.2</v>
      </c>
      <c r="M307" s="13" t="s">
        <v>3667</v>
      </c>
      <c r="N307" s="13"/>
      <c r="O307" s="13"/>
      <c r="P307" s="47"/>
      <c r="Q307" s="45"/>
      <c r="R307" s="45"/>
      <c r="S307" s="48"/>
      <c r="T307" s="49" t="str">
        <f t="shared" si="24"/>
        <v>[W120E.2]</v>
      </c>
      <c r="U307" s="12" t="str">
        <f t="shared" si="25"/>
        <v xml:space="preserve"> 어퍼브라켓 클린칭 GUN(SD209) 과부하가 검출되었습니다.</v>
      </c>
      <c r="V307" s="49" t="str">
        <f t="shared" si="23"/>
        <v>[W120E.2] 어퍼브라켓 클린칭 GUN(SD209) 과부하가 검출되었습니다.</v>
      </c>
    </row>
    <row r="308" spans="1:22" s="49" customFormat="1" ht="14.15" customHeight="1">
      <c r="A308" s="43" t="s">
        <v>3670</v>
      </c>
      <c r="B308" s="44" t="s">
        <v>6637</v>
      </c>
      <c r="C308" s="50"/>
      <c r="D308" s="10" t="s">
        <v>29</v>
      </c>
      <c r="E308" s="11"/>
      <c r="F308" s="11" t="s">
        <v>18</v>
      </c>
      <c r="G308" s="13"/>
      <c r="H308" s="45" t="s">
        <v>16</v>
      </c>
      <c r="I308" s="47"/>
      <c r="J308" s="12" t="s">
        <v>2360</v>
      </c>
      <c r="K308" s="13" t="s">
        <v>7078</v>
      </c>
      <c r="L308" s="99" t="str">
        <f t="shared" si="22"/>
        <v>W120E.3</v>
      </c>
      <c r="M308" s="13" t="s">
        <v>3667</v>
      </c>
      <c r="N308" s="13"/>
      <c r="O308" s="13"/>
      <c r="P308" s="47"/>
      <c r="Q308" s="45"/>
      <c r="R308" s="45"/>
      <c r="S308" s="48"/>
      <c r="T308" s="49" t="str">
        <f t="shared" si="24"/>
        <v>[W120E.3]</v>
      </c>
      <c r="U308" s="12" t="str">
        <f t="shared" si="25"/>
        <v xml:space="preserve"> 어퍼브라켓 클린칭 GUN(SD209)  </v>
      </c>
      <c r="V308" s="49" t="str">
        <f t="shared" si="23"/>
        <v xml:space="preserve">[W120E.3] 어퍼브라켓 클린칭 GUN(SD209)  </v>
      </c>
    </row>
    <row r="309" spans="1:22" s="49" customFormat="1" ht="14.15" customHeight="1">
      <c r="A309" s="43" t="s">
        <v>3670</v>
      </c>
      <c r="B309" s="44" t="s">
        <v>6637</v>
      </c>
      <c r="C309" s="50"/>
      <c r="D309" s="10" t="s">
        <v>29</v>
      </c>
      <c r="E309" s="11"/>
      <c r="F309" s="11" t="s">
        <v>18</v>
      </c>
      <c r="G309" s="13"/>
      <c r="H309" s="45" t="s">
        <v>16</v>
      </c>
      <c r="I309" s="47"/>
      <c r="J309" s="12" t="s">
        <v>2361</v>
      </c>
      <c r="K309" s="13" t="s">
        <v>7079</v>
      </c>
      <c r="L309" s="99" t="str">
        <f t="shared" si="22"/>
        <v>W120E.4</v>
      </c>
      <c r="M309" s="13" t="s">
        <v>3667</v>
      </c>
      <c r="N309" s="13"/>
      <c r="O309" s="13"/>
      <c r="P309" s="47"/>
      <c r="Q309" s="45"/>
      <c r="R309" s="45"/>
      <c r="S309" s="48"/>
      <c r="T309" s="49" t="str">
        <f t="shared" si="24"/>
        <v>[W120E.4]</v>
      </c>
      <c r="U309" s="12" t="str">
        <f t="shared" si="25"/>
        <v xml:space="preserve"> 어퍼브라켓 클린칭 GUN(SD209) 에러가 발생했습니다.</v>
      </c>
      <c r="V309" s="49" t="str">
        <f t="shared" si="23"/>
        <v>[W120E.4] 어퍼브라켓 클린칭 GUN(SD209) 에러가 발생했습니다.</v>
      </c>
    </row>
    <row r="310" spans="1:22" s="49" customFormat="1" ht="14.15" customHeight="1">
      <c r="A310" s="44"/>
      <c r="B310" s="44" t="s">
        <v>6637</v>
      </c>
      <c r="C310" s="50"/>
      <c r="D310" s="10" t="s">
        <v>29</v>
      </c>
      <c r="E310" s="11"/>
      <c r="F310" s="11" t="s">
        <v>18</v>
      </c>
      <c r="G310" s="13"/>
      <c r="H310" s="45" t="s">
        <v>16</v>
      </c>
      <c r="I310" s="47"/>
      <c r="J310" s="12" t="s">
        <v>2362</v>
      </c>
      <c r="K310" s="13" t="s">
        <v>7080</v>
      </c>
      <c r="L310" s="99" t="str">
        <f t="shared" si="22"/>
        <v>W120E.5</v>
      </c>
      <c r="M310" s="13"/>
      <c r="N310" s="13"/>
      <c r="O310" s="13"/>
      <c r="P310" s="47"/>
      <c r="Q310" s="45"/>
      <c r="R310" s="45"/>
      <c r="S310" s="48"/>
      <c r="T310" s="49" t="str">
        <f t="shared" si="24"/>
        <v>[W120E.5]</v>
      </c>
      <c r="U310" s="12" t="str">
        <f t="shared" si="25"/>
        <v xml:space="preserve"> </v>
      </c>
      <c r="V310" s="49" t="str">
        <f t="shared" si="23"/>
        <v xml:space="preserve">[W120E.5] </v>
      </c>
    </row>
    <row r="311" spans="1:22" s="49" customFormat="1" ht="14.15" customHeight="1">
      <c r="A311" s="44"/>
      <c r="B311" s="44" t="s">
        <v>6637</v>
      </c>
      <c r="C311" s="50"/>
      <c r="D311" s="10" t="s">
        <v>29</v>
      </c>
      <c r="E311" s="11"/>
      <c r="F311" s="11" t="s">
        <v>18</v>
      </c>
      <c r="G311" s="13"/>
      <c r="H311" s="45" t="s">
        <v>16</v>
      </c>
      <c r="I311" s="47"/>
      <c r="J311" s="12" t="s">
        <v>2363</v>
      </c>
      <c r="K311" s="13" t="s">
        <v>7081</v>
      </c>
      <c r="L311" s="99" t="str">
        <f t="shared" si="22"/>
        <v>W120E.6</v>
      </c>
      <c r="M311" s="13"/>
      <c r="N311" s="13"/>
      <c r="O311" s="13"/>
      <c r="P311" s="47"/>
      <c r="Q311" s="45"/>
      <c r="R311" s="45"/>
      <c r="S311" s="48"/>
      <c r="T311" s="49" t="str">
        <f t="shared" si="24"/>
        <v>[W120E.6]</v>
      </c>
      <c r="U311" s="12" t="str">
        <f t="shared" si="25"/>
        <v xml:space="preserve"> </v>
      </c>
      <c r="V311" s="49" t="str">
        <f t="shared" si="23"/>
        <v xml:space="preserve">[W120E.6] </v>
      </c>
    </row>
    <row r="312" spans="1:22" s="49" customFormat="1" ht="14.15" customHeight="1">
      <c r="A312" s="44"/>
      <c r="B312" s="44" t="s">
        <v>6637</v>
      </c>
      <c r="C312" s="50"/>
      <c r="D312" s="10" t="s">
        <v>29</v>
      </c>
      <c r="E312" s="11"/>
      <c r="F312" s="11" t="s">
        <v>18</v>
      </c>
      <c r="G312" s="13"/>
      <c r="H312" s="45" t="s">
        <v>16</v>
      </c>
      <c r="I312" s="47"/>
      <c r="J312" s="12" t="s">
        <v>2364</v>
      </c>
      <c r="K312" s="13" t="s">
        <v>7082</v>
      </c>
      <c r="L312" s="99" t="str">
        <f t="shared" si="22"/>
        <v>W120E.7</v>
      </c>
      <c r="M312" s="13"/>
      <c r="N312" s="13"/>
      <c r="O312" s="13"/>
      <c r="P312" s="47"/>
      <c r="Q312" s="45"/>
      <c r="R312" s="45"/>
      <c r="S312" s="48"/>
      <c r="T312" s="49" t="str">
        <f t="shared" si="24"/>
        <v>[W120E.7]</v>
      </c>
      <c r="U312" s="12" t="str">
        <f t="shared" si="25"/>
        <v xml:space="preserve"> </v>
      </c>
      <c r="V312" s="49" t="str">
        <f t="shared" si="23"/>
        <v xml:space="preserve">[W120E.7] </v>
      </c>
    </row>
    <row r="313" spans="1:22" s="49" customFormat="1" ht="14.15" customHeight="1">
      <c r="A313" s="44"/>
      <c r="B313" s="44" t="s">
        <v>6637</v>
      </c>
      <c r="C313" s="50"/>
      <c r="D313" s="10" t="s">
        <v>29</v>
      </c>
      <c r="E313" s="11"/>
      <c r="F313" s="11" t="s">
        <v>18</v>
      </c>
      <c r="G313" s="13"/>
      <c r="H313" s="45" t="s">
        <v>16</v>
      </c>
      <c r="I313" s="46"/>
      <c r="J313" s="14" t="s">
        <v>2365</v>
      </c>
      <c r="K313" s="13" t="s">
        <v>7083</v>
      </c>
      <c r="L313" s="99" t="str">
        <f t="shared" si="22"/>
        <v>W120E.8</v>
      </c>
      <c r="M313" s="13"/>
      <c r="N313" s="13"/>
      <c r="O313" s="13"/>
      <c r="P313" s="47"/>
      <c r="Q313" s="45"/>
      <c r="R313" s="45"/>
      <c r="S313" s="48"/>
      <c r="T313" s="49" t="str">
        <f t="shared" si="24"/>
        <v>[W120E.8]</v>
      </c>
      <c r="U313" s="12" t="str">
        <f t="shared" si="25"/>
        <v xml:space="preserve"> </v>
      </c>
      <c r="V313" s="49" t="str">
        <f t="shared" si="23"/>
        <v xml:space="preserve">[W120E.8] </v>
      </c>
    </row>
    <row r="314" spans="1:22" s="49" customFormat="1" ht="14.15" customHeight="1">
      <c r="A314" s="44"/>
      <c r="B314" s="44" t="s">
        <v>6637</v>
      </c>
      <c r="C314" s="50"/>
      <c r="D314" s="10" t="s">
        <v>29</v>
      </c>
      <c r="E314" s="11"/>
      <c r="F314" s="11" t="s">
        <v>18</v>
      </c>
      <c r="G314" s="13"/>
      <c r="H314" s="45" t="s">
        <v>16</v>
      </c>
      <c r="I314" s="46"/>
      <c r="J314" s="14" t="s">
        <v>2366</v>
      </c>
      <c r="K314" s="13" t="s">
        <v>7084</v>
      </c>
      <c r="L314" s="99" t="str">
        <f t="shared" si="22"/>
        <v>W120E.9</v>
      </c>
      <c r="M314" s="13"/>
      <c r="N314" s="13"/>
      <c r="O314" s="13"/>
      <c r="P314" s="47"/>
      <c r="Q314" s="45"/>
      <c r="R314" s="45"/>
      <c r="S314" s="48"/>
      <c r="T314" s="49" t="str">
        <f t="shared" si="24"/>
        <v>[W120E.9]</v>
      </c>
      <c r="U314" s="12" t="str">
        <f t="shared" si="25"/>
        <v xml:space="preserve"> </v>
      </c>
      <c r="V314" s="49" t="str">
        <f t="shared" si="23"/>
        <v xml:space="preserve">[W120E.9] </v>
      </c>
    </row>
    <row r="315" spans="1:22" s="49" customFormat="1" ht="14.15" customHeight="1">
      <c r="A315" s="44"/>
      <c r="B315" s="44" t="s">
        <v>6637</v>
      </c>
      <c r="C315" s="50"/>
      <c r="D315" s="10" t="s">
        <v>29</v>
      </c>
      <c r="E315" s="11"/>
      <c r="F315" s="11" t="s">
        <v>18</v>
      </c>
      <c r="G315" s="13"/>
      <c r="H315" s="45" t="s">
        <v>16</v>
      </c>
      <c r="I315" s="46"/>
      <c r="J315" s="14" t="s">
        <v>2367</v>
      </c>
      <c r="K315" s="13" t="s">
        <v>7085</v>
      </c>
      <c r="L315" s="99" t="str">
        <f t="shared" si="22"/>
        <v>W120E.A</v>
      </c>
      <c r="M315" s="13"/>
      <c r="N315" s="13"/>
      <c r="O315" s="13"/>
      <c r="P315" s="47"/>
      <c r="Q315" s="45"/>
      <c r="R315" s="45"/>
      <c r="S315" s="48"/>
      <c r="T315" s="49" t="str">
        <f t="shared" si="24"/>
        <v>[W120E.A]</v>
      </c>
      <c r="U315" s="12" t="str">
        <f t="shared" si="25"/>
        <v xml:space="preserve"> </v>
      </c>
      <c r="V315" s="49" t="str">
        <f t="shared" si="23"/>
        <v xml:space="preserve">[W120E.A] </v>
      </c>
    </row>
    <row r="316" spans="1:22" s="49" customFormat="1" ht="14.15" customHeight="1">
      <c r="A316" s="44"/>
      <c r="B316" s="44" t="s">
        <v>6637</v>
      </c>
      <c r="C316" s="50"/>
      <c r="D316" s="10" t="s">
        <v>29</v>
      </c>
      <c r="E316" s="11"/>
      <c r="F316" s="11" t="s">
        <v>18</v>
      </c>
      <c r="G316" s="13"/>
      <c r="H316" s="45" t="s">
        <v>16</v>
      </c>
      <c r="I316" s="46"/>
      <c r="J316" s="14" t="s">
        <v>2368</v>
      </c>
      <c r="K316" s="13" t="s">
        <v>7086</v>
      </c>
      <c r="L316" s="99" t="str">
        <f t="shared" si="22"/>
        <v>W120E.B</v>
      </c>
      <c r="M316" s="13"/>
      <c r="N316" s="13"/>
      <c r="O316" s="13"/>
      <c r="P316" s="47"/>
      <c r="Q316" s="45"/>
      <c r="R316" s="45"/>
      <c r="S316" s="48"/>
      <c r="T316" s="49" t="str">
        <f t="shared" si="24"/>
        <v>[W120E.B]</v>
      </c>
      <c r="U316" s="12" t="str">
        <f t="shared" si="25"/>
        <v xml:space="preserve"> </v>
      </c>
      <c r="V316" s="49" t="str">
        <f t="shared" si="23"/>
        <v xml:space="preserve">[W120E.B] </v>
      </c>
    </row>
    <row r="317" spans="1:22" s="49" customFormat="1" ht="14.15" customHeight="1">
      <c r="A317" s="44"/>
      <c r="B317" s="44" t="s">
        <v>6637</v>
      </c>
      <c r="C317" s="50"/>
      <c r="D317" s="10" t="s">
        <v>29</v>
      </c>
      <c r="E317" s="11"/>
      <c r="F317" s="11" t="s">
        <v>18</v>
      </c>
      <c r="G317" s="13"/>
      <c r="H317" s="45" t="s">
        <v>16</v>
      </c>
      <c r="I317" s="46"/>
      <c r="J317" s="14" t="s">
        <v>2369</v>
      </c>
      <c r="K317" s="13" t="s">
        <v>7087</v>
      </c>
      <c r="L317" s="99" t="str">
        <f t="shared" si="22"/>
        <v>W120E.C</v>
      </c>
      <c r="M317" s="13"/>
      <c r="N317" s="13"/>
      <c r="O317" s="13"/>
      <c r="P317" s="47"/>
      <c r="Q317" s="45"/>
      <c r="R317" s="45"/>
      <c r="S317" s="48"/>
      <c r="T317" s="49" t="str">
        <f t="shared" si="24"/>
        <v>[W120E.C]</v>
      </c>
      <c r="U317" s="12" t="str">
        <f t="shared" si="25"/>
        <v xml:space="preserve"> </v>
      </c>
      <c r="V317" s="49" t="str">
        <f t="shared" si="23"/>
        <v xml:space="preserve">[W120E.C] </v>
      </c>
    </row>
    <row r="318" spans="1:22" s="49" customFormat="1" ht="14.15" customHeight="1">
      <c r="A318" s="44"/>
      <c r="B318" s="44" t="s">
        <v>6637</v>
      </c>
      <c r="C318" s="50"/>
      <c r="D318" s="10" t="s">
        <v>29</v>
      </c>
      <c r="E318" s="11"/>
      <c r="F318" s="11" t="s">
        <v>18</v>
      </c>
      <c r="G318" s="13"/>
      <c r="H318" s="45" t="s">
        <v>16</v>
      </c>
      <c r="I318" s="47"/>
      <c r="J318" s="12" t="s">
        <v>2370</v>
      </c>
      <c r="K318" s="13" t="s">
        <v>7088</v>
      </c>
      <c r="L318" s="99" t="str">
        <f t="shared" si="22"/>
        <v>W120E.D</v>
      </c>
      <c r="M318" s="13"/>
      <c r="N318" s="13"/>
      <c r="O318" s="13"/>
      <c r="P318" s="47"/>
      <c r="Q318" s="45"/>
      <c r="R318" s="45"/>
      <c r="S318" s="48"/>
      <c r="T318" s="49" t="str">
        <f t="shared" si="24"/>
        <v>[W120E.D]</v>
      </c>
      <c r="U318" s="12" t="str">
        <f t="shared" si="25"/>
        <v xml:space="preserve"> </v>
      </c>
      <c r="V318" s="49" t="str">
        <f t="shared" si="23"/>
        <v xml:space="preserve">[W120E.D] </v>
      </c>
    </row>
    <row r="319" spans="1:22" s="49" customFormat="1" ht="14.15" customHeight="1">
      <c r="A319" s="44"/>
      <c r="B319" s="44" t="s">
        <v>6637</v>
      </c>
      <c r="C319" s="50"/>
      <c r="D319" s="10" t="s">
        <v>29</v>
      </c>
      <c r="E319" s="11"/>
      <c r="F319" s="11" t="s">
        <v>18</v>
      </c>
      <c r="G319" s="13"/>
      <c r="H319" s="45" t="s">
        <v>16</v>
      </c>
      <c r="I319" s="46"/>
      <c r="J319" s="14" t="s">
        <v>2371</v>
      </c>
      <c r="K319" s="13" t="s">
        <v>7089</v>
      </c>
      <c r="L319" s="99" t="str">
        <f t="shared" si="22"/>
        <v>W120E.E</v>
      </c>
      <c r="M319" s="13"/>
      <c r="N319" s="13"/>
      <c r="O319" s="13"/>
      <c r="P319" s="47"/>
      <c r="Q319" s="45"/>
      <c r="R319" s="45"/>
      <c r="S319" s="48"/>
      <c r="T319" s="49" t="str">
        <f t="shared" si="24"/>
        <v>[W120E.E]</v>
      </c>
      <c r="U319" s="12" t="str">
        <f t="shared" si="25"/>
        <v xml:space="preserve"> </v>
      </c>
      <c r="V319" s="49" t="str">
        <f t="shared" si="23"/>
        <v xml:space="preserve">[W120E.E] </v>
      </c>
    </row>
    <row r="320" spans="1:22" s="49" customFormat="1" ht="14.15" customHeight="1">
      <c r="A320" s="44"/>
      <c r="B320" s="44" t="s">
        <v>6637</v>
      </c>
      <c r="C320" s="50"/>
      <c r="D320" s="10" t="s">
        <v>29</v>
      </c>
      <c r="E320" s="11"/>
      <c r="F320" s="11" t="s">
        <v>18</v>
      </c>
      <c r="G320" s="13"/>
      <c r="H320" s="45" t="s">
        <v>16</v>
      </c>
      <c r="I320" s="46"/>
      <c r="J320" s="14" t="s">
        <v>2769</v>
      </c>
      <c r="K320" s="13" t="s">
        <v>7090</v>
      </c>
      <c r="L320" s="99" t="str">
        <f t="shared" si="22"/>
        <v>W120E.F</v>
      </c>
      <c r="M320" s="13" t="s">
        <v>3667</v>
      </c>
      <c r="N320" s="13"/>
      <c r="O320" s="13"/>
      <c r="P320" s="47"/>
      <c r="Q320" s="45"/>
      <c r="R320" s="45"/>
      <c r="S320" s="48"/>
      <c r="T320" s="49" t="str">
        <f t="shared" si="24"/>
        <v>[W120E.F]</v>
      </c>
      <c r="U320" s="12" t="str">
        <f t="shared" si="25"/>
        <v xml:space="preserve"> 슬레이트 컨베어(SD214) 운전중에 Ready가 Off 되었습니다.</v>
      </c>
      <c r="V320" s="49" t="str">
        <f t="shared" si="23"/>
        <v>[W120E.F] 슬레이트 컨베어(SD214) 운전중에 Ready가 Off 되었습니다.</v>
      </c>
    </row>
    <row r="321" spans="1:22" s="49" customFormat="1" ht="14.15" customHeight="1">
      <c r="A321" s="44"/>
      <c r="B321" s="44" t="s">
        <v>6637</v>
      </c>
      <c r="C321" s="50"/>
      <c r="D321" s="10" t="s">
        <v>29</v>
      </c>
      <c r="E321" s="11"/>
      <c r="F321" s="11" t="s">
        <v>18</v>
      </c>
      <c r="G321" s="13"/>
      <c r="H321" s="45" t="s">
        <v>16</v>
      </c>
      <c r="I321" s="46"/>
      <c r="J321" s="14" t="s">
        <v>2770</v>
      </c>
      <c r="K321" s="13" t="s">
        <v>7091</v>
      </c>
      <c r="L321" s="99" t="str">
        <f t="shared" si="22"/>
        <v>W120F.0</v>
      </c>
      <c r="M321" s="13" t="s">
        <v>3667</v>
      </c>
      <c r="N321" s="13"/>
      <c r="O321" s="13"/>
      <c r="P321" s="47"/>
      <c r="Q321" s="45"/>
      <c r="R321" s="45"/>
      <c r="S321" s="48"/>
      <c r="T321" s="49" t="str">
        <f t="shared" si="24"/>
        <v>[W120F.0]</v>
      </c>
      <c r="U321" s="12" t="str">
        <f t="shared" si="25"/>
        <v xml:space="preserve"> 슬레이트 컨베어(SD214) FLS가 감지되었습니다.</v>
      </c>
      <c r="V321" s="49" t="str">
        <f t="shared" si="23"/>
        <v>[W120F.0] 슬레이트 컨베어(SD214) FLS가 감지되었습니다.</v>
      </c>
    </row>
    <row r="322" spans="1:22" s="49" customFormat="1" ht="14.15" customHeight="1">
      <c r="A322" s="44"/>
      <c r="B322" s="44" t="s">
        <v>6637</v>
      </c>
      <c r="C322" s="50"/>
      <c r="D322" s="10" t="s">
        <v>29</v>
      </c>
      <c r="E322" s="11"/>
      <c r="F322" s="11" t="s">
        <v>18</v>
      </c>
      <c r="G322" s="13"/>
      <c r="H322" s="45" t="s">
        <v>16</v>
      </c>
      <c r="I322" s="46"/>
      <c r="J322" s="14" t="s">
        <v>2771</v>
      </c>
      <c r="K322" s="13" t="s">
        <v>7092</v>
      </c>
      <c r="L322" s="99" t="str">
        <f t="shared" si="22"/>
        <v>W120F.1</v>
      </c>
      <c r="M322" s="13" t="s">
        <v>3667</v>
      </c>
      <c r="N322" s="13"/>
      <c r="O322" s="13"/>
      <c r="P322" s="51"/>
      <c r="Q322" s="45"/>
      <c r="R322" s="45"/>
      <c r="S322" s="48"/>
      <c r="T322" s="49" t="str">
        <f t="shared" si="24"/>
        <v>[W120F.1]</v>
      </c>
      <c r="U322" s="12" t="str">
        <f t="shared" si="25"/>
        <v xml:space="preserve"> 슬레이트 컨베어(SD214) RLS가 감지되었습니다.</v>
      </c>
      <c r="V322" s="49" t="str">
        <f t="shared" si="23"/>
        <v>[W120F.1] 슬레이트 컨베어(SD214) RLS가 감지되었습니다.</v>
      </c>
    </row>
    <row r="323" spans="1:22" s="49" customFormat="1" ht="14.15" customHeight="1">
      <c r="A323" s="44"/>
      <c r="B323" s="44" t="s">
        <v>6637</v>
      </c>
      <c r="C323" s="50"/>
      <c r="D323" s="10" t="s">
        <v>29</v>
      </c>
      <c r="E323" s="11"/>
      <c r="F323" s="11" t="s">
        <v>18</v>
      </c>
      <c r="G323" s="13"/>
      <c r="H323" s="45" t="s">
        <v>16</v>
      </c>
      <c r="I323" s="46"/>
      <c r="J323" s="14" t="s">
        <v>2772</v>
      </c>
      <c r="K323" s="13" t="s">
        <v>7093</v>
      </c>
      <c r="L323" s="99" t="str">
        <f t="shared" si="22"/>
        <v>W120F.2</v>
      </c>
      <c r="M323" s="13" t="s">
        <v>3667</v>
      </c>
      <c r="N323" s="13"/>
      <c r="O323" s="13"/>
      <c r="P323" s="51"/>
      <c r="Q323" s="45"/>
      <c r="R323" s="45"/>
      <c r="S323" s="48"/>
      <c r="T323" s="49" t="str">
        <f t="shared" si="24"/>
        <v>[W120F.2]</v>
      </c>
      <c r="U323" s="12" t="str">
        <f t="shared" si="25"/>
        <v xml:space="preserve"> 슬레이트 컨베어(SD214) Stop 명령이 On된 상태에서 기동을 시도했습니다.</v>
      </c>
      <c r="V323" s="49" t="str">
        <f t="shared" si="23"/>
        <v>[W120F.2] 슬레이트 컨베어(SD214) Stop 명령이 On된 상태에서 기동을 시도했습니다.</v>
      </c>
    </row>
    <row r="324" spans="1:22" s="49" customFormat="1" ht="14.15" customHeight="1">
      <c r="A324" s="44"/>
      <c r="B324" s="44" t="s">
        <v>6637</v>
      </c>
      <c r="C324" s="50"/>
      <c r="D324" s="10" t="s">
        <v>29</v>
      </c>
      <c r="E324" s="11"/>
      <c r="F324" s="11" t="s">
        <v>18</v>
      </c>
      <c r="G324" s="13"/>
      <c r="H324" s="45" t="s">
        <v>16</v>
      </c>
      <c r="I324" s="46"/>
      <c r="J324" s="14" t="s">
        <v>2773</v>
      </c>
      <c r="K324" s="13" t="s">
        <v>7094</v>
      </c>
      <c r="L324" s="99" t="str">
        <f t="shared" si="22"/>
        <v>W120F.3</v>
      </c>
      <c r="M324" s="13" t="s">
        <v>3667</v>
      </c>
      <c r="N324" s="13"/>
      <c r="O324" s="13"/>
      <c r="P324" s="51"/>
      <c r="Q324" s="45"/>
      <c r="R324" s="45"/>
      <c r="S324" s="48"/>
      <c r="T324" s="49" t="str">
        <f t="shared" si="24"/>
        <v>[W120F.3]</v>
      </c>
      <c r="U324" s="12" t="str">
        <f t="shared" si="25"/>
        <v xml:space="preserve"> 슬레이트 컨베어(SD214) 가동 전원이 Off 되었습니다.</v>
      </c>
      <c r="V324" s="49" t="str">
        <f t="shared" si="23"/>
        <v>[W120F.3] 슬레이트 컨베어(SD214) 가동 전원이 Off 되었습니다.</v>
      </c>
    </row>
    <row r="325" spans="1:22" s="49" customFormat="1" ht="14.15" customHeight="1">
      <c r="A325" s="44"/>
      <c r="B325" s="44" t="s">
        <v>6637</v>
      </c>
      <c r="C325" s="50"/>
      <c r="D325" s="10" t="s">
        <v>29</v>
      </c>
      <c r="E325" s="11"/>
      <c r="F325" s="11" t="s">
        <v>18</v>
      </c>
      <c r="G325" s="13"/>
      <c r="H325" s="45" t="s">
        <v>16</v>
      </c>
      <c r="I325" s="46"/>
      <c r="J325" s="14" t="s">
        <v>2774</v>
      </c>
      <c r="K325" s="13" t="s">
        <v>7095</v>
      </c>
      <c r="L325" s="99" t="str">
        <f t="shared" si="22"/>
        <v>W120F.4</v>
      </c>
      <c r="M325" s="13" t="s">
        <v>3667</v>
      </c>
      <c r="N325" s="13"/>
      <c r="O325" s="13"/>
      <c r="P325" s="51"/>
      <c r="Q325" s="45"/>
      <c r="R325" s="45"/>
      <c r="S325" s="48"/>
      <c r="T325" s="49" t="str">
        <f t="shared" si="24"/>
        <v>[W120F.4]</v>
      </c>
      <c r="U325" s="12" t="str">
        <f t="shared" si="25"/>
        <v xml:space="preserve"> 슬레이트 컨베어(SD214) 엔코더 이상이 검출되었습니다.</v>
      </c>
      <c r="V325" s="49" t="str">
        <f t="shared" si="23"/>
        <v>[W120F.4] 슬레이트 컨베어(SD214) 엔코더 이상이 검출되었습니다.</v>
      </c>
    </row>
    <row r="326" spans="1:22" s="49" customFormat="1" ht="14.15" customHeight="1">
      <c r="A326" s="44"/>
      <c r="B326" s="44" t="s">
        <v>6637</v>
      </c>
      <c r="C326" s="50"/>
      <c r="D326" s="10" t="s">
        <v>29</v>
      </c>
      <c r="E326" s="11"/>
      <c r="F326" s="11" t="s">
        <v>18</v>
      </c>
      <c r="G326" s="13"/>
      <c r="H326" s="45" t="s">
        <v>16</v>
      </c>
      <c r="I326" s="46"/>
      <c r="J326" s="14" t="s">
        <v>2775</v>
      </c>
      <c r="K326" s="13" t="s">
        <v>7096</v>
      </c>
      <c r="L326" s="99" t="str">
        <f t="shared" si="22"/>
        <v>W120F.5</v>
      </c>
      <c r="M326" s="13" t="s">
        <v>3667</v>
      </c>
      <c r="N326" s="13"/>
      <c r="O326" s="13"/>
      <c r="P326" s="51"/>
      <c r="Q326" s="45"/>
      <c r="R326" s="45"/>
      <c r="S326" s="48"/>
      <c r="T326" s="49" t="str">
        <f t="shared" si="24"/>
        <v>[W120F.5]</v>
      </c>
      <c r="U326" s="12" t="str">
        <f t="shared" si="25"/>
        <v xml:space="preserve"> 슬레이트 컨베어(SD214) 과전류가 검출되었습니다.</v>
      </c>
      <c r="V326" s="49" t="str">
        <f t="shared" si="23"/>
        <v>[W120F.5] 슬레이트 컨베어(SD214) 과전류가 검출되었습니다.</v>
      </c>
    </row>
    <row r="327" spans="1:22" s="49" customFormat="1" ht="14.15" customHeight="1">
      <c r="A327" s="44"/>
      <c r="B327" s="44" t="s">
        <v>6637</v>
      </c>
      <c r="C327" s="50"/>
      <c r="D327" s="10" t="s">
        <v>29</v>
      </c>
      <c r="E327" s="11"/>
      <c r="F327" s="11" t="s">
        <v>18</v>
      </c>
      <c r="G327" s="13"/>
      <c r="H327" s="45" t="s">
        <v>16</v>
      </c>
      <c r="I327" s="46"/>
      <c r="J327" s="14" t="s">
        <v>2776</v>
      </c>
      <c r="K327" s="13" t="s">
        <v>7097</v>
      </c>
      <c r="L327" s="99" t="str">
        <f t="shared" si="22"/>
        <v>W120F.6</v>
      </c>
      <c r="M327" s="13" t="s">
        <v>3667</v>
      </c>
      <c r="N327" s="13"/>
      <c r="O327" s="13"/>
      <c r="P327" s="51"/>
      <c r="Q327" s="45"/>
      <c r="R327" s="45"/>
      <c r="S327" s="48"/>
      <c r="T327" s="49" t="str">
        <f t="shared" si="24"/>
        <v>[W120F.6]</v>
      </c>
      <c r="U327" s="12" t="str">
        <f t="shared" si="25"/>
        <v xml:space="preserve"> 슬레이트 컨베어(SD214) 과부하가 검출되었습니다.</v>
      </c>
      <c r="V327" s="49" t="str">
        <f t="shared" si="23"/>
        <v>[W120F.6] 슬레이트 컨베어(SD214) 과부하가 검출되었습니다.</v>
      </c>
    </row>
    <row r="328" spans="1:22" s="49" customFormat="1" ht="14.15" customHeight="1">
      <c r="A328" s="44"/>
      <c r="B328" s="44" t="s">
        <v>6637</v>
      </c>
      <c r="C328" s="50"/>
      <c r="D328" s="10" t="s">
        <v>29</v>
      </c>
      <c r="E328" s="11"/>
      <c r="F328" s="11" t="s">
        <v>18</v>
      </c>
      <c r="G328" s="13"/>
      <c r="H328" s="45" t="s">
        <v>16</v>
      </c>
      <c r="I328" s="46"/>
      <c r="J328" s="14" t="s">
        <v>2777</v>
      </c>
      <c r="K328" s="13" t="s">
        <v>7098</v>
      </c>
      <c r="L328" s="99" t="str">
        <f t="shared" si="22"/>
        <v>W120F.7</v>
      </c>
      <c r="M328" s="13" t="s">
        <v>3667</v>
      </c>
      <c r="N328" s="13"/>
      <c r="O328" s="13"/>
      <c r="P328" s="51"/>
      <c r="Q328" s="45"/>
      <c r="R328" s="45"/>
      <c r="S328" s="48"/>
      <c r="T328" s="49" t="str">
        <f t="shared" si="24"/>
        <v>[W120F.7]</v>
      </c>
      <c r="U328" s="12" t="str">
        <f t="shared" si="25"/>
        <v xml:space="preserve"> 슬레이트 컨베어(SD214)  </v>
      </c>
      <c r="V328" s="49" t="str">
        <f t="shared" si="23"/>
        <v xml:space="preserve">[W120F.7] 슬레이트 컨베어(SD214)  </v>
      </c>
    </row>
    <row r="329" spans="1:22" s="49" customFormat="1" ht="14.15" customHeight="1">
      <c r="A329" s="44"/>
      <c r="B329" s="44" t="s">
        <v>6637</v>
      </c>
      <c r="C329" s="50"/>
      <c r="D329" s="10" t="s">
        <v>29</v>
      </c>
      <c r="E329" s="11"/>
      <c r="F329" s="11" t="s">
        <v>18</v>
      </c>
      <c r="G329" s="13"/>
      <c r="H329" s="45" t="s">
        <v>16</v>
      </c>
      <c r="I329" s="46"/>
      <c r="J329" s="14" t="s">
        <v>2778</v>
      </c>
      <c r="K329" s="13" t="s">
        <v>7099</v>
      </c>
      <c r="L329" s="99" t="str">
        <f t="shared" si="22"/>
        <v>W120F.8</v>
      </c>
      <c r="M329" s="13" t="s">
        <v>3667</v>
      </c>
      <c r="N329" s="13"/>
      <c r="O329" s="13"/>
      <c r="P329" s="51"/>
      <c r="Q329" s="45"/>
      <c r="R329" s="45"/>
      <c r="S329" s="48"/>
      <c r="T329" s="49" t="str">
        <f t="shared" si="24"/>
        <v>[W120F.8]</v>
      </c>
      <c r="U329" s="12" t="str">
        <f t="shared" si="25"/>
        <v xml:space="preserve"> 슬레이트 컨베어(SD214) 에러가 발생했습니다.</v>
      </c>
      <c r="V329" s="49" t="str">
        <f t="shared" si="23"/>
        <v>[W120F.8] 슬레이트 컨베어(SD214) 에러가 발생했습니다.</v>
      </c>
    </row>
    <row r="330" spans="1:22" s="49" customFormat="1" ht="14.15" customHeight="1">
      <c r="A330" s="44"/>
      <c r="B330" s="44" t="s">
        <v>6637</v>
      </c>
      <c r="C330" s="50"/>
      <c r="D330" s="10" t="s">
        <v>29</v>
      </c>
      <c r="E330" s="11"/>
      <c r="F330" s="11" t="s">
        <v>18</v>
      </c>
      <c r="G330" s="13"/>
      <c r="H330" s="45" t="s">
        <v>16</v>
      </c>
      <c r="I330" s="46"/>
      <c r="J330" s="14" t="s">
        <v>399</v>
      </c>
      <c r="K330" s="13" t="s">
        <v>7100</v>
      </c>
      <c r="L330" s="99" t="str">
        <f t="shared" si="22"/>
        <v>W120F.9</v>
      </c>
      <c r="M330" s="13"/>
      <c r="N330" s="13"/>
      <c r="O330" s="13"/>
      <c r="P330" s="51"/>
      <c r="Q330" s="45"/>
      <c r="R330" s="45"/>
      <c r="S330" s="48"/>
      <c r="T330" s="49" t="str">
        <f t="shared" si="24"/>
        <v>[W120F.9]</v>
      </c>
      <c r="U330" s="12" t="str">
        <f t="shared" si="25"/>
        <v xml:space="preserve"> </v>
      </c>
      <c r="V330" s="49" t="str">
        <f t="shared" si="23"/>
        <v xml:space="preserve">[W120F.9] </v>
      </c>
    </row>
    <row r="331" spans="1:22" s="49" customFormat="1" ht="14.15" customHeight="1">
      <c r="A331" s="44"/>
      <c r="B331" s="44" t="s">
        <v>6637</v>
      </c>
      <c r="C331" s="50"/>
      <c r="D331" s="10" t="s">
        <v>29</v>
      </c>
      <c r="E331" s="11"/>
      <c r="F331" s="11" t="s">
        <v>18</v>
      </c>
      <c r="G331" s="13"/>
      <c r="H331" s="45" t="s">
        <v>16</v>
      </c>
      <c r="I331" s="46"/>
      <c r="J331" s="14" t="s">
        <v>400</v>
      </c>
      <c r="K331" s="13" t="s">
        <v>7101</v>
      </c>
      <c r="L331" s="99" t="str">
        <f t="shared" si="22"/>
        <v>W120F.A</v>
      </c>
      <c r="M331" s="13"/>
      <c r="N331" s="13"/>
      <c r="O331" s="13"/>
      <c r="P331" s="51"/>
      <c r="Q331" s="45"/>
      <c r="R331" s="45"/>
      <c r="S331" s="48"/>
      <c r="T331" s="49" t="str">
        <f t="shared" si="24"/>
        <v>[W120F.A]</v>
      </c>
      <c r="U331" s="12" t="str">
        <f t="shared" si="25"/>
        <v xml:space="preserve"> </v>
      </c>
      <c r="V331" s="49" t="str">
        <f t="shared" si="23"/>
        <v xml:space="preserve">[W120F.A] </v>
      </c>
    </row>
    <row r="332" spans="1:22" s="49" customFormat="1" ht="14.15" customHeight="1">
      <c r="A332" s="44"/>
      <c r="B332" s="44" t="s">
        <v>6637</v>
      </c>
      <c r="C332" s="50"/>
      <c r="D332" s="10" t="s">
        <v>29</v>
      </c>
      <c r="E332" s="11"/>
      <c r="F332" s="11" t="s">
        <v>18</v>
      </c>
      <c r="G332" s="13"/>
      <c r="H332" s="45" t="s">
        <v>16</v>
      </c>
      <c r="I332" s="46"/>
      <c r="J332" s="14" t="s">
        <v>401</v>
      </c>
      <c r="K332" s="13" t="s">
        <v>7102</v>
      </c>
      <c r="L332" s="99" t="str">
        <f t="shared" si="22"/>
        <v>W120F.B</v>
      </c>
      <c r="M332" s="13"/>
      <c r="N332" s="13"/>
      <c r="O332" s="13"/>
      <c r="P332" s="51"/>
      <c r="Q332" s="45"/>
      <c r="R332" s="45"/>
      <c r="S332" s="48"/>
      <c r="T332" s="49" t="str">
        <f t="shared" si="24"/>
        <v>[W120F.B]</v>
      </c>
      <c r="U332" s="12" t="str">
        <f t="shared" si="25"/>
        <v xml:space="preserve"> </v>
      </c>
      <c r="V332" s="49" t="str">
        <f t="shared" si="23"/>
        <v xml:space="preserve">[W120F.B] </v>
      </c>
    </row>
    <row r="333" spans="1:22" s="49" customFormat="1" ht="14.15" customHeight="1">
      <c r="A333" s="44"/>
      <c r="B333" s="44" t="s">
        <v>6637</v>
      </c>
      <c r="C333" s="50"/>
      <c r="D333" s="10" t="s">
        <v>29</v>
      </c>
      <c r="E333" s="11"/>
      <c r="F333" s="11" t="s">
        <v>18</v>
      </c>
      <c r="G333" s="13"/>
      <c r="H333" s="45" t="s">
        <v>16</v>
      </c>
      <c r="I333" s="46"/>
      <c r="J333" s="14" t="s">
        <v>402</v>
      </c>
      <c r="K333" s="13" t="s">
        <v>7103</v>
      </c>
      <c r="L333" s="99" t="str">
        <f t="shared" si="22"/>
        <v>W120F.C</v>
      </c>
      <c r="M333" s="13"/>
      <c r="N333" s="13"/>
      <c r="O333" s="13"/>
      <c r="P333" s="51"/>
      <c r="Q333" s="45"/>
      <c r="R333" s="45"/>
      <c r="S333" s="48"/>
      <c r="T333" s="49" t="str">
        <f t="shared" si="24"/>
        <v>[W120F.C]</v>
      </c>
      <c r="U333" s="12" t="str">
        <f t="shared" si="25"/>
        <v xml:space="preserve"> </v>
      </c>
      <c r="V333" s="49" t="str">
        <f t="shared" si="23"/>
        <v xml:space="preserve">[W120F.C] </v>
      </c>
    </row>
    <row r="334" spans="1:22" s="49" customFormat="1" ht="14.15" customHeight="1">
      <c r="A334" s="44"/>
      <c r="B334" s="44" t="s">
        <v>6637</v>
      </c>
      <c r="C334" s="50"/>
      <c r="D334" s="10" t="s">
        <v>29</v>
      </c>
      <c r="E334" s="11"/>
      <c r="F334" s="11" t="s">
        <v>18</v>
      </c>
      <c r="G334" s="13"/>
      <c r="H334" s="45" t="s">
        <v>16</v>
      </c>
      <c r="I334" s="46"/>
      <c r="J334" s="14" t="s">
        <v>403</v>
      </c>
      <c r="K334" s="13" t="s">
        <v>7104</v>
      </c>
      <c r="L334" s="99" t="str">
        <f t="shared" si="22"/>
        <v>W120F.D</v>
      </c>
      <c r="M334" s="13"/>
      <c r="N334" s="13"/>
      <c r="O334" s="13"/>
      <c r="P334" s="51"/>
      <c r="Q334" s="45"/>
      <c r="R334" s="45"/>
      <c r="S334" s="48"/>
      <c r="T334" s="49" t="str">
        <f t="shared" ref="T334:T368" si="26">"["&amp;L334&amp;"]"</f>
        <v>[W120F.D]</v>
      </c>
      <c r="U334" s="12" t="str">
        <f t="shared" ref="U334:U368" si="27">RIGHT(J334,LEN(J334)-7)</f>
        <v xml:space="preserve"> </v>
      </c>
      <c r="V334" s="49" t="str">
        <f t="shared" si="23"/>
        <v xml:space="preserve">[W120F.D] </v>
      </c>
    </row>
    <row r="335" spans="1:22" s="49" customFormat="1" ht="14.15" customHeight="1">
      <c r="A335" s="44"/>
      <c r="B335" s="44" t="s">
        <v>6637</v>
      </c>
      <c r="C335" s="50"/>
      <c r="D335" s="10" t="s">
        <v>29</v>
      </c>
      <c r="E335" s="11"/>
      <c r="F335" s="11" t="s">
        <v>18</v>
      </c>
      <c r="G335" s="13"/>
      <c r="H335" s="45" t="s">
        <v>16</v>
      </c>
      <c r="I335" s="46"/>
      <c r="J335" s="14" t="s">
        <v>404</v>
      </c>
      <c r="K335" s="13" t="s">
        <v>7105</v>
      </c>
      <c r="L335" s="99" t="str">
        <f t="shared" si="22"/>
        <v>W120F.E</v>
      </c>
      <c r="M335" s="13"/>
      <c r="N335" s="13"/>
      <c r="O335" s="13"/>
      <c r="P335" s="51"/>
      <c r="Q335" s="45"/>
      <c r="R335" s="45"/>
      <c r="S335" s="48"/>
      <c r="T335" s="49" t="str">
        <f t="shared" si="26"/>
        <v>[W120F.E]</v>
      </c>
      <c r="U335" s="12" t="str">
        <f t="shared" si="27"/>
        <v xml:space="preserve"> </v>
      </c>
      <c r="V335" s="49" t="str">
        <f t="shared" si="23"/>
        <v xml:space="preserve">[W120F.E] </v>
      </c>
    </row>
    <row r="336" spans="1:22" s="49" customFormat="1" ht="14.15" customHeight="1">
      <c r="A336" s="44"/>
      <c r="B336" s="44" t="s">
        <v>6637</v>
      </c>
      <c r="C336" s="50"/>
      <c r="D336" s="10" t="s">
        <v>29</v>
      </c>
      <c r="E336" s="11"/>
      <c r="F336" s="11" t="s">
        <v>18</v>
      </c>
      <c r="G336" s="13"/>
      <c r="H336" s="45" t="s">
        <v>16</v>
      </c>
      <c r="I336" s="46"/>
      <c r="J336" s="14" t="s">
        <v>405</v>
      </c>
      <c r="K336" s="13" t="s">
        <v>7106</v>
      </c>
      <c r="L336" s="99" t="str">
        <f t="shared" si="22"/>
        <v>W120F.F</v>
      </c>
      <c r="M336" s="13"/>
      <c r="N336" s="13"/>
      <c r="O336" s="13"/>
      <c r="P336" s="47"/>
      <c r="Q336" s="45"/>
      <c r="R336" s="45"/>
      <c r="S336" s="48"/>
      <c r="T336" s="49" t="str">
        <f t="shared" si="26"/>
        <v>[W120F.F]</v>
      </c>
      <c r="U336" s="12" t="str">
        <f t="shared" si="27"/>
        <v xml:space="preserve"> </v>
      </c>
      <c r="V336" s="49" t="str">
        <f t="shared" si="23"/>
        <v xml:space="preserve">[W120F.F] </v>
      </c>
    </row>
    <row r="337" spans="1:22" s="49" customFormat="1" ht="14.15" customHeight="1">
      <c r="A337" s="44"/>
      <c r="B337" s="44" t="s">
        <v>6637</v>
      </c>
      <c r="C337" s="50"/>
      <c r="D337" s="10" t="s">
        <v>29</v>
      </c>
      <c r="E337" s="11"/>
      <c r="F337" s="11" t="s">
        <v>18</v>
      </c>
      <c r="G337" s="13"/>
      <c r="H337" s="45" t="s">
        <v>16</v>
      </c>
      <c r="I337" s="46"/>
      <c r="J337" s="14" t="s">
        <v>406</v>
      </c>
      <c r="K337" s="13" t="s">
        <v>7107</v>
      </c>
      <c r="L337" s="99" t="str">
        <f t="shared" si="22"/>
        <v>W1210.0</v>
      </c>
      <c r="M337" s="13"/>
      <c r="N337" s="13"/>
      <c r="O337" s="13"/>
      <c r="P337" s="47"/>
      <c r="Q337" s="45"/>
      <c r="R337" s="45"/>
      <c r="S337" s="48"/>
      <c r="T337" s="49" t="str">
        <f t="shared" si="26"/>
        <v>[W1210.0]</v>
      </c>
      <c r="U337" s="12" t="str">
        <f t="shared" si="27"/>
        <v xml:space="preserve"> </v>
      </c>
      <c r="V337" s="49" t="str">
        <f t="shared" si="23"/>
        <v xml:space="preserve">[W1210.0] </v>
      </c>
    </row>
    <row r="338" spans="1:22" s="49" customFormat="1" ht="14.15" customHeight="1">
      <c r="A338" s="44"/>
      <c r="B338" s="44" t="s">
        <v>6637</v>
      </c>
      <c r="C338" s="50"/>
      <c r="D338" s="10" t="s">
        <v>29</v>
      </c>
      <c r="E338" s="11"/>
      <c r="F338" s="11" t="s">
        <v>18</v>
      </c>
      <c r="G338" s="13"/>
      <c r="H338" s="45" t="s">
        <v>16</v>
      </c>
      <c r="I338" s="47"/>
      <c r="J338" s="12" t="s">
        <v>407</v>
      </c>
      <c r="K338" s="13" t="s">
        <v>7108</v>
      </c>
      <c r="L338" s="99" t="str">
        <f t="shared" ref="L338:L401" si="28">"W"&amp;DEC2HEX(4608 + INT((ROW()-81)/16)) &amp; "." &amp; IF(MOD(ROW()-81,16)&lt;10,MOD(ROW()-81,16),CHAR(MOD(ROW()-81,16)+55))</f>
        <v>W1210.1</v>
      </c>
      <c r="M338" s="13"/>
      <c r="N338" s="13"/>
      <c r="O338" s="13"/>
      <c r="P338" s="47"/>
      <c r="Q338" s="45"/>
      <c r="R338" s="45"/>
      <c r="S338" s="48"/>
      <c r="T338" s="49" t="str">
        <f t="shared" si="26"/>
        <v>[W1210.1]</v>
      </c>
      <c r="U338" s="12" t="str">
        <f t="shared" si="27"/>
        <v xml:space="preserve"> </v>
      </c>
      <c r="V338" s="49" t="str">
        <f t="shared" ref="V338:V401" si="29">T338&amp;U338</f>
        <v xml:space="preserve">[W1210.1] </v>
      </c>
    </row>
    <row r="339" spans="1:22" s="49" customFormat="1" ht="14.15" customHeight="1">
      <c r="A339" s="44"/>
      <c r="B339" s="44" t="s">
        <v>6637</v>
      </c>
      <c r="C339" s="50"/>
      <c r="D339" s="10" t="s">
        <v>29</v>
      </c>
      <c r="E339" s="11"/>
      <c r="F339" s="11" t="s">
        <v>18</v>
      </c>
      <c r="G339" s="13"/>
      <c r="H339" s="45" t="s">
        <v>16</v>
      </c>
      <c r="I339" s="47"/>
      <c r="J339" s="12" t="s">
        <v>408</v>
      </c>
      <c r="K339" s="13" t="s">
        <v>7109</v>
      </c>
      <c r="L339" s="99" t="str">
        <f t="shared" si="28"/>
        <v>W1210.2</v>
      </c>
      <c r="M339" s="13"/>
      <c r="N339" s="13"/>
      <c r="O339" s="13"/>
      <c r="P339" s="47"/>
      <c r="Q339" s="45"/>
      <c r="R339" s="45"/>
      <c r="S339" s="48"/>
      <c r="T339" s="49" t="str">
        <f t="shared" si="26"/>
        <v>[W1210.2]</v>
      </c>
      <c r="U339" s="12" t="str">
        <f t="shared" si="27"/>
        <v xml:space="preserve"> </v>
      </c>
      <c r="V339" s="49" t="str">
        <f t="shared" si="29"/>
        <v xml:space="preserve">[W1210.2] </v>
      </c>
    </row>
    <row r="340" spans="1:22" s="49" customFormat="1" ht="14.15" customHeight="1">
      <c r="A340" s="43" t="s">
        <v>3761</v>
      </c>
      <c r="B340" s="44" t="s">
        <v>6637</v>
      </c>
      <c r="C340" s="50"/>
      <c r="D340" s="10" t="s">
        <v>29</v>
      </c>
      <c r="E340" s="11"/>
      <c r="F340" s="11" t="s">
        <v>18</v>
      </c>
      <c r="G340" s="13"/>
      <c r="H340" s="45" t="s">
        <v>16</v>
      </c>
      <c r="I340" s="47"/>
      <c r="J340" s="12" t="s">
        <v>2779</v>
      </c>
      <c r="K340" s="13" t="s">
        <v>7110</v>
      </c>
      <c r="L340" s="99" t="str">
        <f t="shared" si="28"/>
        <v>W1210.3</v>
      </c>
      <c r="M340" s="13" t="s">
        <v>3667</v>
      </c>
      <c r="N340" s="13"/>
      <c r="O340" s="13"/>
      <c r="P340" s="47"/>
      <c r="Q340" s="45"/>
      <c r="R340" s="45"/>
      <c r="S340" s="48"/>
      <c r="T340" s="49" t="str">
        <f t="shared" si="26"/>
        <v>[W1210.3]</v>
      </c>
      <c r="U340" s="12" t="str">
        <f t="shared" si="27"/>
        <v xml:space="preserve"> 어퍼/로우 커버 이재기 X축(SD219) 운전중에 Ready가 Off 되었습니다.</v>
      </c>
      <c r="V340" s="49" t="str">
        <f t="shared" si="29"/>
        <v>[W1210.3] 어퍼/로우 커버 이재기 X축(SD219) 운전중에 Ready가 Off 되었습니다.</v>
      </c>
    </row>
    <row r="341" spans="1:22" s="49" customFormat="1" ht="14.15" customHeight="1">
      <c r="A341" s="43" t="s">
        <v>3761</v>
      </c>
      <c r="B341" s="44" t="s">
        <v>6637</v>
      </c>
      <c r="C341" s="50"/>
      <c r="D341" s="10" t="s">
        <v>29</v>
      </c>
      <c r="E341" s="11"/>
      <c r="F341" s="11" t="s">
        <v>18</v>
      </c>
      <c r="G341" s="13"/>
      <c r="H341" s="45" t="s">
        <v>16</v>
      </c>
      <c r="I341" s="47"/>
      <c r="J341" s="12" t="s">
        <v>2780</v>
      </c>
      <c r="K341" s="13" t="s">
        <v>7111</v>
      </c>
      <c r="L341" s="99" t="str">
        <f t="shared" si="28"/>
        <v>W1210.4</v>
      </c>
      <c r="M341" s="13" t="s">
        <v>3667</v>
      </c>
      <c r="N341" s="13"/>
      <c r="O341" s="13"/>
      <c r="P341" s="47"/>
      <c r="Q341" s="45"/>
      <c r="R341" s="45"/>
      <c r="S341" s="48"/>
      <c r="T341" s="49" t="str">
        <f t="shared" si="26"/>
        <v>[W1210.4]</v>
      </c>
      <c r="U341" s="12" t="str">
        <f t="shared" si="27"/>
        <v xml:space="preserve"> 어퍼/로우 커버 이재기 X축(SD219) FLS가 감지되었습니다.</v>
      </c>
      <c r="V341" s="49" t="str">
        <f t="shared" si="29"/>
        <v>[W1210.4] 어퍼/로우 커버 이재기 X축(SD219) FLS가 감지되었습니다.</v>
      </c>
    </row>
    <row r="342" spans="1:22" s="49" customFormat="1" ht="14.15" customHeight="1">
      <c r="A342" s="43" t="s">
        <v>3761</v>
      </c>
      <c r="B342" s="44" t="s">
        <v>6637</v>
      </c>
      <c r="C342" s="50"/>
      <c r="D342" s="10" t="s">
        <v>29</v>
      </c>
      <c r="E342" s="11"/>
      <c r="F342" s="11" t="s">
        <v>18</v>
      </c>
      <c r="G342" s="13"/>
      <c r="H342" s="45" t="s">
        <v>16</v>
      </c>
      <c r="I342" s="47"/>
      <c r="J342" s="12" t="s">
        <v>2781</v>
      </c>
      <c r="K342" s="13" t="s">
        <v>7112</v>
      </c>
      <c r="L342" s="99" t="str">
        <f t="shared" si="28"/>
        <v>W1210.5</v>
      </c>
      <c r="M342" s="13" t="s">
        <v>3667</v>
      </c>
      <c r="N342" s="13"/>
      <c r="O342" s="13"/>
      <c r="P342" s="47"/>
      <c r="Q342" s="45"/>
      <c r="R342" s="45"/>
      <c r="S342" s="48"/>
      <c r="T342" s="49" t="str">
        <f t="shared" si="26"/>
        <v>[W1210.5]</v>
      </c>
      <c r="U342" s="12" t="str">
        <f t="shared" si="27"/>
        <v xml:space="preserve"> 어퍼/로우 커버 이재기 X축(SD219) RLS가 감지되었습니다.</v>
      </c>
      <c r="V342" s="49" t="str">
        <f t="shared" si="29"/>
        <v>[W1210.5] 어퍼/로우 커버 이재기 X축(SD219) RLS가 감지되었습니다.</v>
      </c>
    </row>
    <row r="343" spans="1:22" s="49" customFormat="1" ht="14.15" customHeight="1">
      <c r="A343" s="43" t="s">
        <v>3761</v>
      </c>
      <c r="B343" s="44" t="s">
        <v>6637</v>
      </c>
      <c r="C343" s="50"/>
      <c r="D343" s="10" t="s">
        <v>29</v>
      </c>
      <c r="E343" s="11"/>
      <c r="F343" s="11" t="s">
        <v>18</v>
      </c>
      <c r="G343" s="13"/>
      <c r="H343" s="45" t="s">
        <v>16</v>
      </c>
      <c r="I343" s="47"/>
      <c r="J343" s="12" t="s">
        <v>2782</v>
      </c>
      <c r="K343" s="13" t="s">
        <v>7113</v>
      </c>
      <c r="L343" s="99" t="str">
        <f t="shared" si="28"/>
        <v>W1210.6</v>
      </c>
      <c r="M343" s="13" t="s">
        <v>3667</v>
      </c>
      <c r="N343" s="13"/>
      <c r="O343" s="13"/>
      <c r="P343" s="47"/>
      <c r="Q343" s="45"/>
      <c r="R343" s="45"/>
      <c r="S343" s="48"/>
      <c r="T343" s="49" t="str">
        <f t="shared" si="26"/>
        <v>[W1210.6]</v>
      </c>
      <c r="U343" s="12" t="str">
        <f t="shared" si="27"/>
        <v xml:space="preserve"> 어퍼/로우 커버 이재기 X축(SD219) Stop 명령이 On된 상태에서 기동을 시도했습니다.</v>
      </c>
      <c r="V343" s="49" t="str">
        <f t="shared" si="29"/>
        <v>[W1210.6] 어퍼/로우 커버 이재기 X축(SD219) Stop 명령이 On된 상태에서 기동을 시도했습니다.</v>
      </c>
    </row>
    <row r="344" spans="1:22" s="49" customFormat="1" ht="14.15" customHeight="1">
      <c r="A344" s="43" t="s">
        <v>3761</v>
      </c>
      <c r="B344" s="44" t="s">
        <v>6637</v>
      </c>
      <c r="C344" s="50"/>
      <c r="D344" s="10" t="s">
        <v>29</v>
      </c>
      <c r="E344" s="11"/>
      <c r="F344" s="11" t="s">
        <v>18</v>
      </c>
      <c r="G344" s="13"/>
      <c r="H344" s="45" t="s">
        <v>16</v>
      </c>
      <c r="I344" s="47"/>
      <c r="J344" s="12" t="s">
        <v>2783</v>
      </c>
      <c r="K344" s="13" t="s">
        <v>7114</v>
      </c>
      <c r="L344" s="99" t="str">
        <f t="shared" si="28"/>
        <v>W1210.7</v>
      </c>
      <c r="M344" s="13" t="s">
        <v>3667</v>
      </c>
      <c r="N344" s="13"/>
      <c r="O344" s="13"/>
      <c r="P344" s="47"/>
      <c r="Q344" s="45"/>
      <c r="R344" s="45"/>
      <c r="S344" s="48"/>
      <c r="T344" s="49" t="str">
        <f t="shared" si="26"/>
        <v>[W1210.7]</v>
      </c>
      <c r="U344" s="12" t="str">
        <f t="shared" si="27"/>
        <v xml:space="preserve"> 어퍼/로우 커버 이재기 X축(SD219) 가동 전원이 Off 되었습니다.</v>
      </c>
      <c r="V344" s="49" t="str">
        <f t="shared" si="29"/>
        <v>[W1210.7] 어퍼/로우 커버 이재기 X축(SD219) 가동 전원이 Off 되었습니다.</v>
      </c>
    </row>
    <row r="345" spans="1:22" s="49" customFormat="1" ht="14.15" customHeight="1">
      <c r="A345" s="43" t="s">
        <v>3761</v>
      </c>
      <c r="B345" s="44" t="s">
        <v>6637</v>
      </c>
      <c r="C345" s="50"/>
      <c r="D345" s="10" t="s">
        <v>29</v>
      </c>
      <c r="E345" s="11"/>
      <c r="F345" s="11" t="s">
        <v>18</v>
      </c>
      <c r="G345" s="13"/>
      <c r="H345" s="45" t="s">
        <v>16</v>
      </c>
      <c r="I345" s="47"/>
      <c r="J345" s="12" t="s">
        <v>2784</v>
      </c>
      <c r="K345" s="13" t="s">
        <v>7115</v>
      </c>
      <c r="L345" s="99" t="str">
        <f t="shared" si="28"/>
        <v>W1210.8</v>
      </c>
      <c r="M345" s="13" t="s">
        <v>3667</v>
      </c>
      <c r="N345" s="13"/>
      <c r="O345" s="13"/>
      <c r="P345" s="47"/>
      <c r="Q345" s="45"/>
      <c r="R345" s="45"/>
      <c r="S345" s="48"/>
      <c r="T345" s="49" t="str">
        <f t="shared" si="26"/>
        <v>[W1210.8]</v>
      </c>
      <c r="U345" s="12" t="str">
        <f t="shared" si="27"/>
        <v xml:space="preserve"> 어퍼/로우 커버 이재기 X축(SD219) 엔코더 이상이 검출되었습니다.</v>
      </c>
      <c r="V345" s="49" t="str">
        <f t="shared" si="29"/>
        <v>[W1210.8] 어퍼/로우 커버 이재기 X축(SD219) 엔코더 이상이 검출되었습니다.</v>
      </c>
    </row>
    <row r="346" spans="1:22" s="49" customFormat="1" ht="14.15" customHeight="1">
      <c r="A346" s="43" t="s">
        <v>3761</v>
      </c>
      <c r="B346" s="44" t="s">
        <v>6637</v>
      </c>
      <c r="C346" s="50"/>
      <c r="D346" s="10" t="s">
        <v>29</v>
      </c>
      <c r="E346" s="11"/>
      <c r="F346" s="11" t="s">
        <v>18</v>
      </c>
      <c r="G346" s="13"/>
      <c r="H346" s="45" t="s">
        <v>16</v>
      </c>
      <c r="I346" s="47"/>
      <c r="J346" s="12" t="s">
        <v>2785</v>
      </c>
      <c r="K346" s="13" t="s">
        <v>7116</v>
      </c>
      <c r="L346" s="99" t="str">
        <f t="shared" si="28"/>
        <v>W1210.9</v>
      </c>
      <c r="M346" s="13" t="s">
        <v>3667</v>
      </c>
      <c r="N346" s="13"/>
      <c r="O346" s="13"/>
      <c r="P346" s="47"/>
      <c r="Q346" s="45"/>
      <c r="R346" s="45"/>
      <c r="S346" s="48"/>
      <c r="T346" s="49" t="str">
        <f t="shared" si="26"/>
        <v>[W1210.9]</v>
      </c>
      <c r="U346" s="12" t="str">
        <f t="shared" si="27"/>
        <v xml:space="preserve"> 어퍼/로우 커버 이재기 X축(SD219) 과전류가 검출되었습니다.</v>
      </c>
      <c r="V346" s="49" t="str">
        <f t="shared" si="29"/>
        <v>[W1210.9] 어퍼/로우 커버 이재기 X축(SD219) 과전류가 검출되었습니다.</v>
      </c>
    </row>
    <row r="347" spans="1:22" s="49" customFormat="1" ht="14.15" customHeight="1">
      <c r="A347" s="43" t="s">
        <v>3761</v>
      </c>
      <c r="B347" s="44" t="s">
        <v>6637</v>
      </c>
      <c r="C347" s="50"/>
      <c r="D347" s="10" t="s">
        <v>29</v>
      </c>
      <c r="E347" s="11"/>
      <c r="F347" s="11" t="s">
        <v>18</v>
      </c>
      <c r="G347" s="13"/>
      <c r="H347" s="45" t="s">
        <v>16</v>
      </c>
      <c r="I347" s="47"/>
      <c r="J347" s="12" t="s">
        <v>2786</v>
      </c>
      <c r="K347" s="13" t="s">
        <v>7117</v>
      </c>
      <c r="L347" s="99" t="str">
        <f t="shared" si="28"/>
        <v>W1210.A</v>
      </c>
      <c r="M347" s="13" t="s">
        <v>3667</v>
      </c>
      <c r="N347" s="13"/>
      <c r="O347" s="13"/>
      <c r="P347" s="47"/>
      <c r="Q347" s="45"/>
      <c r="R347" s="45"/>
      <c r="S347" s="48"/>
      <c r="T347" s="49" t="str">
        <f t="shared" si="26"/>
        <v>[W1210.A]</v>
      </c>
      <c r="U347" s="12" t="str">
        <f t="shared" si="27"/>
        <v xml:space="preserve"> 어퍼/로우 커버 이재기 X축(SD219) 과부하가 검출되었습니다.</v>
      </c>
      <c r="V347" s="49" t="str">
        <f t="shared" si="29"/>
        <v>[W1210.A] 어퍼/로우 커버 이재기 X축(SD219) 과부하가 검출되었습니다.</v>
      </c>
    </row>
    <row r="348" spans="1:22" s="49" customFormat="1" ht="14.15" customHeight="1">
      <c r="A348" s="43" t="s">
        <v>3761</v>
      </c>
      <c r="B348" s="44" t="s">
        <v>6637</v>
      </c>
      <c r="C348" s="50"/>
      <c r="D348" s="10" t="s">
        <v>29</v>
      </c>
      <c r="E348" s="11"/>
      <c r="F348" s="11" t="s">
        <v>18</v>
      </c>
      <c r="G348" s="13"/>
      <c r="H348" s="45" t="s">
        <v>16</v>
      </c>
      <c r="I348" s="47"/>
      <c r="J348" s="12" t="s">
        <v>2787</v>
      </c>
      <c r="K348" s="13" t="s">
        <v>7118</v>
      </c>
      <c r="L348" s="99" t="str">
        <f t="shared" si="28"/>
        <v>W1210.B</v>
      </c>
      <c r="M348" s="13" t="s">
        <v>3667</v>
      </c>
      <c r="N348" s="13"/>
      <c r="O348" s="13"/>
      <c r="P348" s="47"/>
      <c r="Q348" s="45"/>
      <c r="R348" s="45"/>
      <c r="S348" s="48"/>
      <c r="T348" s="49" t="str">
        <f t="shared" si="26"/>
        <v>[W1210.B]</v>
      </c>
      <c r="U348" s="12" t="str">
        <f t="shared" si="27"/>
        <v xml:space="preserve"> 어퍼/로우 커버 이재기 X축(SD219)  </v>
      </c>
      <c r="V348" s="49" t="str">
        <f t="shared" si="29"/>
        <v xml:space="preserve">[W1210.B] 어퍼/로우 커버 이재기 X축(SD219)  </v>
      </c>
    </row>
    <row r="349" spans="1:22" s="49" customFormat="1" ht="14.15" customHeight="1">
      <c r="A349" s="43" t="s">
        <v>3761</v>
      </c>
      <c r="B349" s="44" t="s">
        <v>6637</v>
      </c>
      <c r="C349" s="50"/>
      <c r="D349" s="10" t="s">
        <v>29</v>
      </c>
      <c r="E349" s="11"/>
      <c r="F349" s="11" t="s">
        <v>18</v>
      </c>
      <c r="G349" s="13"/>
      <c r="H349" s="45" t="s">
        <v>16</v>
      </c>
      <c r="I349" s="47"/>
      <c r="J349" s="12" t="s">
        <v>2788</v>
      </c>
      <c r="K349" s="13" t="s">
        <v>7119</v>
      </c>
      <c r="L349" s="99" t="str">
        <f t="shared" si="28"/>
        <v>W1210.C</v>
      </c>
      <c r="M349" s="13" t="s">
        <v>3667</v>
      </c>
      <c r="N349" s="13"/>
      <c r="O349" s="13"/>
      <c r="P349" s="47"/>
      <c r="Q349" s="45"/>
      <c r="R349" s="45"/>
      <c r="S349" s="48"/>
      <c r="T349" s="49" t="str">
        <f t="shared" si="26"/>
        <v>[W1210.C]</v>
      </c>
      <c r="U349" s="12" t="str">
        <f t="shared" si="27"/>
        <v xml:space="preserve"> 어퍼/로우 커버 이재기 X축(SD219) 에러가 발생했습니다.</v>
      </c>
      <c r="V349" s="49" t="str">
        <f t="shared" si="29"/>
        <v>[W1210.C] 어퍼/로우 커버 이재기 X축(SD219) 에러가 발생했습니다.</v>
      </c>
    </row>
    <row r="350" spans="1:22" s="49" customFormat="1" ht="14.15" customHeight="1">
      <c r="A350" s="43" t="s">
        <v>3761</v>
      </c>
      <c r="B350" s="44" t="s">
        <v>6637</v>
      </c>
      <c r="C350" s="50"/>
      <c r="D350" s="10" t="s">
        <v>29</v>
      </c>
      <c r="E350" s="11"/>
      <c r="F350" s="11" t="s">
        <v>18</v>
      </c>
      <c r="G350" s="13"/>
      <c r="H350" s="45" t="s">
        <v>16</v>
      </c>
      <c r="I350" s="47"/>
      <c r="J350" s="12" t="s">
        <v>2789</v>
      </c>
      <c r="K350" s="13" t="s">
        <v>7120</v>
      </c>
      <c r="L350" s="99" t="str">
        <f t="shared" si="28"/>
        <v>W1210.D</v>
      </c>
      <c r="M350" s="13" t="s">
        <v>3667</v>
      </c>
      <c r="N350" s="13"/>
      <c r="O350" s="13"/>
      <c r="P350" s="47"/>
      <c r="Q350" s="45"/>
      <c r="R350" s="45"/>
      <c r="S350" s="48"/>
      <c r="T350" s="49" t="str">
        <f t="shared" si="26"/>
        <v>[W1210.D]</v>
      </c>
      <c r="U350" s="12" t="str">
        <f t="shared" si="27"/>
        <v xml:space="preserve"> 어퍼/로우 커버 이재기 Z축(SD220) 운전중에 Ready가 Off 되었습니다.</v>
      </c>
      <c r="V350" s="49" t="str">
        <f t="shared" si="29"/>
        <v>[W1210.D] 어퍼/로우 커버 이재기 Z축(SD220) 운전중에 Ready가 Off 되었습니다.</v>
      </c>
    </row>
    <row r="351" spans="1:22" s="49" customFormat="1" ht="14.15" customHeight="1">
      <c r="A351" s="43" t="s">
        <v>3761</v>
      </c>
      <c r="B351" s="44" t="s">
        <v>6637</v>
      </c>
      <c r="C351" s="50"/>
      <c r="D351" s="10" t="s">
        <v>29</v>
      </c>
      <c r="E351" s="11"/>
      <c r="F351" s="11" t="s">
        <v>18</v>
      </c>
      <c r="G351" s="13"/>
      <c r="H351" s="45" t="s">
        <v>16</v>
      </c>
      <c r="I351" s="47"/>
      <c r="J351" s="12" t="s">
        <v>2790</v>
      </c>
      <c r="K351" s="13" t="s">
        <v>7121</v>
      </c>
      <c r="L351" s="99" t="str">
        <f t="shared" si="28"/>
        <v>W1210.E</v>
      </c>
      <c r="M351" s="13" t="s">
        <v>3667</v>
      </c>
      <c r="N351" s="13"/>
      <c r="O351" s="13"/>
      <c r="P351" s="47"/>
      <c r="Q351" s="45"/>
      <c r="R351" s="45"/>
      <c r="S351" s="48"/>
      <c r="T351" s="49" t="str">
        <f t="shared" si="26"/>
        <v>[W1210.E]</v>
      </c>
      <c r="U351" s="12" t="str">
        <f t="shared" si="27"/>
        <v xml:space="preserve"> 어퍼/로우 커버 이재기 Z축(SD220) FLS가 감지되었습니다.</v>
      </c>
      <c r="V351" s="49" t="str">
        <f t="shared" si="29"/>
        <v>[W1210.E] 어퍼/로우 커버 이재기 Z축(SD220) FLS가 감지되었습니다.</v>
      </c>
    </row>
    <row r="352" spans="1:22" s="49" customFormat="1" ht="14.15" customHeight="1">
      <c r="A352" s="43" t="s">
        <v>3761</v>
      </c>
      <c r="B352" s="44" t="s">
        <v>6637</v>
      </c>
      <c r="C352" s="50"/>
      <c r="D352" s="10" t="s">
        <v>29</v>
      </c>
      <c r="E352" s="11"/>
      <c r="F352" s="11" t="s">
        <v>18</v>
      </c>
      <c r="G352" s="13"/>
      <c r="H352" s="45" t="s">
        <v>16</v>
      </c>
      <c r="I352" s="47"/>
      <c r="J352" s="12" t="s">
        <v>2791</v>
      </c>
      <c r="K352" s="13" t="s">
        <v>7122</v>
      </c>
      <c r="L352" s="99" t="str">
        <f t="shared" si="28"/>
        <v>W1210.F</v>
      </c>
      <c r="M352" s="13" t="s">
        <v>3667</v>
      </c>
      <c r="N352" s="13"/>
      <c r="O352" s="13"/>
      <c r="P352" s="47"/>
      <c r="Q352" s="45"/>
      <c r="R352" s="45"/>
      <c r="S352" s="48"/>
      <c r="T352" s="49" t="str">
        <f t="shared" si="26"/>
        <v>[W1210.F]</v>
      </c>
      <c r="U352" s="12" t="str">
        <f t="shared" si="27"/>
        <v xml:space="preserve"> 어퍼/로우 커버 이재기 Z축(SD220) RLS가 감지되었습니다.</v>
      </c>
      <c r="V352" s="49" t="str">
        <f t="shared" si="29"/>
        <v>[W1210.F] 어퍼/로우 커버 이재기 Z축(SD220) RLS가 감지되었습니다.</v>
      </c>
    </row>
    <row r="353" spans="1:22" s="49" customFormat="1" ht="14.15" customHeight="1">
      <c r="A353" s="43" t="s">
        <v>3761</v>
      </c>
      <c r="B353" s="44" t="s">
        <v>6637</v>
      </c>
      <c r="C353" s="50"/>
      <c r="D353" s="10" t="s">
        <v>29</v>
      </c>
      <c r="E353" s="11"/>
      <c r="F353" s="11" t="s">
        <v>18</v>
      </c>
      <c r="G353" s="13"/>
      <c r="H353" s="45" t="s">
        <v>16</v>
      </c>
      <c r="I353" s="47"/>
      <c r="J353" s="12" t="s">
        <v>2792</v>
      </c>
      <c r="K353" s="13" t="s">
        <v>7123</v>
      </c>
      <c r="L353" s="99" t="str">
        <f t="shared" si="28"/>
        <v>W1211.0</v>
      </c>
      <c r="M353" s="13" t="s">
        <v>3667</v>
      </c>
      <c r="N353" s="13"/>
      <c r="O353" s="13"/>
      <c r="P353" s="47"/>
      <c r="Q353" s="45"/>
      <c r="R353" s="45"/>
      <c r="S353" s="48"/>
      <c r="T353" s="49" t="str">
        <f t="shared" si="26"/>
        <v>[W1211.0]</v>
      </c>
      <c r="U353" s="12" t="str">
        <f t="shared" si="27"/>
        <v xml:space="preserve"> 어퍼/로우 커버 이재기 Z축(SD220) Stop 명령이 On된 상태에서 기동을 시도했습니다.</v>
      </c>
      <c r="V353" s="49" t="str">
        <f t="shared" si="29"/>
        <v>[W1211.0] 어퍼/로우 커버 이재기 Z축(SD220) Stop 명령이 On된 상태에서 기동을 시도했습니다.</v>
      </c>
    </row>
    <row r="354" spans="1:22" s="49" customFormat="1" ht="14.15" customHeight="1">
      <c r="A354" s="43" t="s">
        <v>3761</v>
      </c>
      <c r="B354" s="44" t="s">
        <v>6637</v>
      </c>
      <c r="C354" s="50"/>
      <c r="D354" s="10" t="s">
        <v>29</v>
      </c>
      <c r="E354" s="11"/>
      <c r="F354" s="11" t="s">
        <v>18</v>
      </c>
      <c r="G354" s="13"/>
      <c r="H354" s="45" t="s">
        <v>16</v>
      </c>
      <c r="I354" s="46"/>
      <c r="J354" s="14" t="s">
        <v>2793</v>
      </c>
      <c r="K354" s="13" t="s">
        <v>7124</v>
      </c>
      <c r="L354" s="99" t="str">
        <f t="shared" si="28"/>
        <v>W1211.1</v>
      </c>
      <c r="M354" s="13" t="s">
        <v>3667</v>
      </c>
      <c r="N354" s="13"/>
      <c r="O354" s="13"/>
      <c r="P354" s="47"/>
      <c r="Q354" s="45"/>
      <c r="R354" s="45"/>
      <c r="S354" s="48"/>
      <c r="T354" s="49" t="str">
        <f t="shared" si="26"/>
        <v>[W1211.1]</v>
      </c>
      <c r="U354" s="12" t="str">
        <f t="shared" si="27"/>
        <v xml:space="preserve"> 어퍼/로우 커버 이재기 Z축(SD220) 가동 전원이 Off 되었습니다.</v>
      </c>
      <c r="V354" s="49" t="str">
        <f t="shared" si="29"/>
        <v>[W1211.1] 어퍼/로우 커버 이재기 Z축(SD220) 가동 전원이 Off 되었습니다.</v>
      </c>
    </row>
    <row r="355" spans="1:22" s="49" customFormat="1" ht="14.15" customHeight="1">
      <c r="A355" s="43" t="s">
        <v>3761</v>
      </c>
      <c r="B355" s="44" t="s">
        <v>6637</v>
      </c>
      <c r="C355" s="50"/>
      <c r="D355" s="10" t="s">
        <v>29</v>
      </c>
      <c r="E355" s="11"/>
      <c r="F355" s="11" t="s">
        <v>18</v>
      </c>
      <c r="G355" s="13"/>
      <c r="H355" s="45" t="s">
        <v>16</v>
      </c>
      <c r="I355" s="46"/>
      <c r="J355" s="14" t="s">
        <v>2794</v>
      </c>
      <c r="K355" s="13" t="s">
        <v>7125</v>
      </c>
      <c r="L355" s="99" t="str">
        <f t="shared" si="28"/>
        <v>W1211.2</v>
      </c>
      <c r="M355" s="13" t="s">
        <v>3667</v>
      </c>
      <c r="N355" s="13"/>
      <c r="O355" s="13"/>
      <c r="P355" s="47"/>
      <c r="Q355" s="45"/>
      <c r="R355" s="45"/>
      <c r="S355" s="48"/>
      <c r="T355" s="49" t="str">
        <f t="shared" si="26"/>
        <v>[W1211.2]</v>
      </c>
      <c r="U355" s="12" t="str">
        <f t="shared" si="27"/>
        <v xml:space="preserve"> 어퍼/로우 커버 이재기 Z축(SD220) 엔코더 이상이 검출되었습니다.</v>
      </c>
      <c r="V355" s="49" t="str">
        <f t="shared" si="29"/>
        <v>[W1211.2] 어퍼/로우 커버 이재기 Z축(SD220) 엔코더 이상이 검출되었습니다.</v>
      </c>
    </row>
    <row r="356" spans="1:22" s="49" customFormat="1" ht="14.15" customHeight="1">
      <c r="A356" s="43" t="s">
        <v>3761</v>
      </c>
      <c r="B356" s="44" t="s">
        <v>6637</v>
      </c>
      <c r="C356" s="50"/>
      <c r="D356" s="10" t="s">
        <v>29</v>
      </c>
      <c r="E356" s="11"/>
      <c r="F356" s="11" t="s">
        <v>18</v>
      </c>
      <c r="G356" s="13"/>
      <c r="H356" s="45" t="s">
        <v>16</v>
      </c>
      <c r="I356" s="46"/>
      <c r="J356" s="14" t="s">
        <v>2795</v>
      </c>
      <c r="K356" s="13" t="s">
        <v>7126</v>
      </c>
      <c r="L356" s="99" t="str">
        <f t="shared" si="28"/>
        <v>W1211.3</v>
      </c>
      <c r="M356" s="13" t="s">
        <v>3667</v>
      </c>
      <c r="N356" s="13"/>
      <c r="O356" s="13"/>
      <c r="P356" s="47"/>
      <c r="Q356" s="45"/>
      <c r="R356" s="45"/>
      <c r="S356" s="48"/>
      <c r="T356" s="49" t="str">
        <f t="shared" si="26"/>
        <v>[W1211.3]</v>
      </c>
      <c r="U356" s="12" t="str">
        <f t="shared" si="27"/>
        <v xml:space="preserve"> 어퍼/로우 커버 이재기 Z축(SD220) 과전류가 검출되었습니다.</v>
      </c>
      <c r="V356" s="49" t="str">
        <f t="shared" si="29"/>
        <v>[W1211.3] 어퍼/로우 커버 이재기 Z축(SD220) 과전류가 검출되었습니다.</v>
      </c>
    </row>
    <row r="357" spans="1:22" s="49" customFormat="1" ht="14.15" customHeight="1">
      <c r="A357" s="43" t="s">
        <v>3761</v>
      </c>
      <c r="B357" s="44" t="s">
        <v>6637</v>
      </c>
      <c r="C357" s="50"/>
      <c r="D357" s="10" t="s">
        <v>29</v>
      </c>
      <c r="E357" s="11"/>
      <c r="F357" s="11" t="s">
        <v>18</v>
      </c>
      <c r="G357" s="13"/>
      <c r="H357" s="45" t="s">
        <v>16</v>
      </c>
      <c r="I357" s="46"/>
      <c r="J357" s="14" t="s">
        <v>2796</v>
      </c>
      <c r="K357" s="13" t="s">
        <v>7127</v>
      </c>
      <c r="L357" s="99" t="str">
        <f t="shared" si="28"/>
        <v>W1211.4</v>
      </c>
      <c r="M357" s="13" t="s">
        <v>3667</v>
      </c>
      <c r="N357" s="13"/>
      <c r="O357" s="13"/>
      <c r="P357" s="47"/>
      <c r="Q357" s="45"/>
      <c r="R357" s="45"/>
      <c r="S357" s="48"/>
      <c r="T357" s="49" t="str">
        <f t="shared" si="26"/>
        <v>[W1211.4]</v>
      </c>
      <c r="U357" s="12" t="str">
        <f t="shared" si="27"/>
        <v xml:space="preserve"> 어퍼/로우 커버 이재기 Z축(SD220) 과부하가 검출되었습니다.</v>
      </c>
      <c r="V357" s="49" t="str">
        <f t="shared" si="29"/>
        <v>[W1211.4] 어퍼/로우 커버 이재기 Z축(SD220) 과부하가 검출되었습니다.</v>
      </c>
    </row>
    <row r="358" spans="1:22" s="49" customFormat="1" ht="14.15" customHeight="1">
      <c r="A358" s="43" t="s">
        <v>3761</v>
      </c>
      <c r="B358" s="44" t="s">
        <v>6637</v>
      </c>
      <c r="C358" s="50"/>
      <c r="D358" s="10" t="s">
        <v>29</v>
      </c>
      <c r="E358" s="11"/>
      <c r="F358" s="11" t="s">
        <v>18</v>
      </c>
      <c r="G358" s="13"/>
      <c r="H358" s="45" t="s">
        <v>16</v>
      </c>
      <c r="I358" s="46"/>
      <c r="J358" s="14" t="s">
        <v>2797</v>
      </c>
      <c r="K358" s="13" t="s">
        <v>7128</v>
      </c>
      <c r="L358" s="99" t="str">
        <f t="shared" si="28"/>
        <v>W1211.5</v>
      </c>
      <c r="M358" s="13" t="s">
        <v>3667</v>
      </c>
      <c r="N358" s="13"/>
      <c r="O358" s="13"/>
      <c r="P358" s="47"/>
      <c r="Q358" s="45"/>
      <c r="R358" s="45"/>
      <c r="S358" s="48"/>
      <c r="T358" s="49" t="str">
        <f t="shared" si="26"/>
        <v>[W1211.5]</v>
      </c>
      <c r="U358" s="12" t="str">
        <f t="shared" si="27"/>
        <v xml:space="preserve"> 어퍼/로우 커버 이재기 Z축(SD220)  </v>
      </c>
      <c r="V358" s="49" t="str">
        <f t="shared" si="29"/>
        <v xml:space="preserve">[W1211.5] 어퍼/로우 커버 이재기 Z축(SD220)  </v>
      </c>
    </row>
    <row r="359" spans="1:22" s="49" customFormat="1" ht="14.15" customHeight="1">
      <c r="A359" s="43" t="s">
        <v>3761</v>
      </c>
      <c r="B359" s="44" t="s">
        <v>6637</v>
      </c>
      <c r="C359" s="50"/>
      <c r="D359" s="10" t="s">
        <v>29</v>
      </c>
      <c r="E359" s="11"/>
      <c r="F359" s="11" t="s">
        <v>18</v>
      </c>
      <c r="G359" s="13"/>
      <c r="H359" s="45" t="s">
        <v>16</v>
      </c>
      <c r="I359" s="47"/>
      <c r="J359" s="12" t="s">
        <v>2798</v>
      </c>
      <c r="K359" s="13" t="s">
        <v>7129</v>
      </c>
      <c r="L359" s="99" t="str">
        <f t="shared" si="28"/>
        <v>W1211.6</v>
      </c>
      <c r="M359" s="13" t="s">
        <v>3667</v>
      </c>
      <c r="N359" s="13"/>
      <c r="O359" s="13"/>
      <c r="P359" s="47"/>
      <c r="Q359" s="45"/>
      <c r="R359" s="45"/>
      <c r="S359" s="48"/>
      <c r="T359" s="49" t="str">
        <f t="shared" si="26"/>
        <v>[W1211.6]</v>
      </c>
      <c r="U359" s="12" t="str">
        <f t="shared" si="27"/>
        <v xml:space="preserve"> 어퍼/로우 커버 이재기 Z축(SD220) 에러가 발생했습니다.</v>
      </c>
      <c r="V359" s="49" t="str">
        <f t="shared" si="29"/>
        <v>[W1211.6] 어퍼/로우 커버 이재기 Z축(SD220) 에러가 발생했습니다.</v>
      </c>
    </row>
    <row r="360" spans="1:22" s="49" customFormat="1" ht="14.15" customHeight="1">
      <c r="A360" s="43" t="s">
        <v>3755</v>
      </c>
      <c r="B360" s="44" t="s">
        <v>6637</v>
      </c>
      <c r="C360" s="50"/>
      <c r="D360" s="10" t="s">
        <v>29</v>
      </c>
      <c r="E360" s="11"/>
      <c r="F360" s="11" t="s">
        <v>18</v>
      </c>
      <c r="G360" s="13"/>
      <c r="H360" s="45" t="s">
        <v>16</v>
      </c>
      <c r="I360" s="47"/>
      <c r="J360" s="12" t="s">
        <v>2799</v>
      </c>
      <c r="K360" s="13" t="s">
        <v>7130</v>
      </c>
      <c r="L360" s="99" t="str">
        <f t="shared" si="28"/>
        <v>W1211.7</v>
      </c>
      <c r="M360" s="13" t="s">
        <v>3667</v>
      </c>
      <c r="N360" s="13"/>
      <c r="O360" s="13"/>
      <c r="P360" s="47"/>
      <c r="Q360" s="45"/>
      <c r="R360" s="45"/>
      <c r="S360" s="48"/>
      <c r="T360" s="49" t="str">
        <f t="shared" si="26"/>
        <v>[W1211.7]</v>
      </c>
      <c r="U360" s="12" t="str">
        <f t="shared" si="27"/>
        <v xml:space="preserve"> 댐핑시트 공급 테이블#1(SD217) 운전중에 Ready가 Off 되었습니다.</v>
      </c>
      <c r="V360" s="49" t="str">
        <f t="shared" si="29"/>
        <v>[W1211.7] 댐핑시트 공급 테이블#1(SD217) 운전중에 Ready가 Off 되었습니다.</v>
      </c>
    </row>
    <row r="361" spans="1:22" s="49" customFormat="1" ht="14.15" customHeight="1">
      <c r="A361" s="43" t="s">
        <v>3755</v>
      </c>
      <c r="B361" s="44" t="s">
        <v>6637</v>
      </c>
      <c r="C361" s="50"/>
      <c r="D361" s="10" t="s">
        <v>29</v>
      </c>
      <c r="E361" s="11"/>
      <c r="F361" s="11" t="s">
        <v>18</v>
      </c>
      <c r="G361" s="13"/>
      <c r="H361" s="45" t="s">
        <v>16</v>
      </c>
      <c r="I361" s="47"/>
      <c r="J361" s="12" t="s">
        <v>3698</v>
      </c>
      <c r="K361" s="13" t="s">
        <v>7131</v>
      </c>
      <c r="L361" s="99" t="str">
        <f t="shared" si="28"/>
        <v>W1211.8</v>
      </c>
      <c r="M361" s="13" t="s">
        <v>3667</v>
      </c>
      <c r="N361" s="13"/>
      <c r="O361" s="13"/>
      <c r="P361" s="47"/>
      <c r="Q361" s="45"/>
      <c r="R361" s="45"/>
      <c r="S361" s="48"/>
      <c r="T361" s="49" t="str">
        <f t="shared" si="26"/>
        <v>[W1211.8]</v>
      </c>
      <c r="U361" s="12" t="str">
        <f t="shared" si="27"/>
        <v xml:space="preserve"> 댐핑시트 공급 테이블#1(SD217) FLS가 감지되었습니다.</v>
      </c>
      <c r="V361" s="49" t="str">
        <f t="shared" si="29"/>
        <v>[W1211.8] 댐핑시트 공급 테이블#1(SD217) FLS가 감지되었습니다.</v>
      </c>
    </row>
    <row r="362" spans="1:22" s="49" customFormat="1" ht="14.15" customHeight="1">
      <c r="A362" s="43" t="s">
        <v>3755</v>
      </c>
      <c r="B362" s="44" t="s">
        <v>6637</v>
      </c>
      <c r="C362" s="50"/>
      <c r="D362" s="10" t="s">
        <v>29</v>
      </c>
      <c r="E362" s="11"/>
      <c r="F362" s="11" t="s">
        <v>18</v>
      </c>
      <c r="G362" s="13"/>
      <c r="H362" s="45" t="s">
        <v>16</v>
      </c>
      <c r="I362" s="47"/>
      <c r="J362" s="12" t="s">
        <v>2800</v>
      </c>
      <c r="K362" s="13" t="s">
        <v>7132</v>
      </c>
      <c r="L362" s="99" t="str">
        <f t="shared" si="28"/>
        <v>W1211.9</v>
      </c>
      <c r="M362" s="13" t="s">
        <v>3667</v>
      </c>
      <c r="N362" s="13"/>
      <c r="O362" s="13"/>
      <c r="P362" s="47"/>
      <c r="Q362" s="45"/>
      <c r="R362" s="45"/>
      <c r="S362" s="48"/>
      <c r="T362" s="49" t="str">
        <f t="shared" si="26"/>
        <v>[W1211.9]</v>
      </c>
      <c r="U362" s="12" t="str">
        <f t="shared" si="27"/>
        <v xml:space="preserve"> 댐핑시트 공급 테이블#1(SD217) RLS가 감지되었습니다.</v>
      </c>
      <c r="V362" s="49" t="str">
        <f t="shared" si="29"/>
        <v>[W1211.9] 댐핑시트 공급 테이블#1(SD217) RLS가 감지되었습니다.</v>
      </c>
    </row>
    <row r="363" spans="1:22" s="49" customFormat="1" ht="14.15" customHeight="1">
      <c r="A363" s="43" t="s">
        <v>3755</v>
      </c>
      <c r="B363" s="44" t="s">
        <v>6637</v>
      </c>
      <c r="C363" s="50"/>
      <c r="D363" s="10" t="s">
        <v>29</v>
      </c>
      <c r="E363" s="11"/>
      <c r="F363" s="11" t="s">
        <v>18</v>
      </c>
      <c r="G363" s="13"/>
      <c r="H363" s="45" t="s">
        <v>16</v>
      </c>
      <c r="I363" s="47"/>
      <c r="J363" s="12" t="s">
        <v>2801</v>
      </c>
      <c r="K363" s="13" t="s">
        <v>7133</v>
      </c>
      <c r="L363" s="99" t="str">
        <f t="shared" si="28"/>
        <v>W1211.A</v>
      </c>
      <c r="M363" s="13" t="s">
        <v>3667</v>
      </c>
      <c r="N363" s="13"/>
      <c r="O363" s="13"/>
      <c r="P363" s="47"/>
      <c r="Q363" s="45"/>
      <c r="R363" s="45"/>
      <c r="S363" s="48"/>
      <c r="T363" s="49" t="str">
        <f t="shared" si="26"/>
        <v>[W1211.A]</v>
      </c>
      <c r="U363" s="12" t="str">
        <f t="shared" si="27"/>
        <v xml:space="preserve"> 댐핑시트 공급 테이블#1(SD217) Stop 명령이 On된 상태에서 기동을 시도했습니다.</v>
      </c>
      <c r="V363" s="49" t="str">
        <f t="shared" si="29"/>
        <v>[W1211.A] 댐핑시트 공급 테이블#1(SD217) Stop 명령이 On된 상태에서 기동을 시도했습니다.</v>
      </c>
    </row>
    <row r="364" spans="1:22" s="49" customFormat="1" ht="14.15" customHeight="1">
      <c r="A364" s="43" t="s">
        <v>3755</v>
      </c>
      <c r="B364" s="44" t="s">
        <v>6637</v>
      </c>
      <c r="C364" s="50"/>
      <c r="D364" s="10" t="s">
        <v>29</v>
      </c>
      <c r="E364" s="11"/>
      <c r="F364" s="11" t="s">
        <v>18</v>
      </c>
      <c r="G364" s="13"/>
      <c r="H364" s="45" t="s">
        <v>16</v>
      </c>
      <c r="I364" s="47"/>
      <c r="J364" s="12" t="s">
        <v>2802</v>
      </c>
      <c r="K364" s="13" t="s">
        <v>7134</v>
      </c>
      <c r="L364" s="99" t="str">
        <f t="shared" si="28"/>
        <v>W1211.B</v>
      </c>
      <c r="M364" s="13" t="s">
        <v>3667</v>
      </c>
      <c r="N364" s="13"/>
      <c r="O364" s="13"/>
      <c r="P364" s="47"/>
      <c r="Q364" s="45"/>
      <c r="R364" s="45"/>
      <c r="S364" s="48"/>
      <c r="T364" s="49" t="str">
        <f t="shared" si="26"/>
        <v>[W1211.B]</v>
      </c>
      <c r="U364" s="12" t="str">
        <f t="shared" si="27"/>
        <v xml:space="preserve"> 댐핑시트 공급 테이블#1(SD217) 가동 전원이 Off 되었습니다.</v>
      </c>
      <c r="V364" s="49" t="str">
        <f t="shared" si="29"/>
        <v>[W1211.B] 댐핑시트 공급 테이블#1(SD217) 가동 전원이 Off 되었습니다.</v>
      </c>
    </row>
    <row r="365" spans="1:22" s="49" customFormat="1" ht="14.15" customHeight="1">
      <c r="A365" s="43" t="s">
        <v>3755</v>
      </c>
      <c r="B365" s="44" t="s">
        <v>6637</v>
      </c>
      <c r="C365" s="50"/>
      <c r="D365" s="10" t="s">
        <v>29</v>
      </c>
      <c r="E365" s="11"/>
      <c r="F365" s="11" t="s">
        <v>18</v>
      </c>
      <c r="G365" s="13"/>
      <c r="H365" s="45" t="s">
        <v>16</v>
      </c>
      <c r="I365" s="47"/>
      <c r="J365" s="12" t="s">
        <v>2803</v>
      </c>
      <c r="K365" s="13" t="s">
        <v>7135</v>
      </c>
      <c r="L365" s="99" t="str">
        <f t="shared" si="28"/>
        <v>W1211.C</v>
      </c>
      <c r="M365" s="13" t="s">
        <v>3667</v>
      </c>
      <c r="N365" s="13"/>
      <c r="O365" s="13"/>
      <c r="P365" s="47"/>
      <c r="Q365" s="45"/>
      <c r="R365" s="45"/>
      <c r="S365" s="48"/>
      <c r="T365" s="49" t="str">
        <f t="shared" si="26"/>
        <v>[W1211.C]</v>
      </c>
      <c r="U365" s="12" t="str">
        <f t="shared" si="27"/>
        <v xml:space="preserve"> 댐핑시트 공급 테이블#1(SD217) 엔코더 이상이 검출되었습니다.</v>
      </c>
      <c r="V365" s="49" t="str">
        <f t="shared" si="29"/>
        <v>[W1211.C] 댐핑시트 공급 테이블#1(SD217) 엔코더 이상이 검출되었습니다.</v>
      </c>
    </row>
    <row r="366" spans="1:22" s="49" customFormat="1" ht="14.15" customHeight="1">
      <c r="A366" s="43" t="s">
        <v>3755</v>
      </c>
      <c r="B366" s="44" t="s">
        <v>6637</v>
      </c>
      <c r="C366" s="50"/>
      <c r="D366" s="10" t="s">
        <v>29</v>
      </c>
      <c r="E366" s="11"/>
      <c r="F366" s="11" t="s">
        <v>18</v>
      </c>
      <c r="G366" s="13"/>
      <c r="H366" s="45" t="s">
        <v>16</v>
      </c>
      <c r="I366" s="47"/>
      <c r="J366" s="12" t="s">
        <v>2804</v>
      </c>
      <c r="K366" s="13" t="s">
        <v>7136</v>
      </c>
      <c r="L366" s="99" t="str">
        <f t="shared" si="28"/>
        <v>W1211.D</v>
      </c>
      <c r="M366" s="13" t="s">
        <v>3667</v>
      </c>
      <c r="N366" s="13"/>
      <c r="O366" s="13"/>
      <c r="P366" s="47"/>
      <c r="Q366" s="45"/>
      <c r="R366" s="45"/>
      <c r="S366" s="48"/>
      <c r="T366" s="49" t="str">
        <f t="shared" si="26"/>
        <v>[W1211.D]</v>
      </c>
      <c r="U366" s="12" t="str">
        <f t="shared" si="27"/>
        <v xml:space="preserve"> 댐핑시트 공급 테이블#1(SD217) 과전류가 검출되었습니다.</v>
      </c>
      <c r="V366" s="49" t="str">
        <f t="shared" si="29"/>
        <v>[W1211.D] 댐핑시트 공급 테이블#1(SD217) 과전류가 검출되었습니다.</v>
      </c>
    </row>
    <row r="367" spans="1:22" s="49" customFormat="1" ht="14.15" customHeight="1">
      <c r="A367" s="43" t="s">
        <v>3755</v>
      </c>
      <c r="B367" s="44" t="s">
        <v>6637</v>
      </c>
      <c r="C367" s="50"/>
      <c r="D367" s="10" t="s">
        <v>29</v>
      </c>
      <c r="E367" s="11"/>
      <c r="F367" s="11" t="s">
        <v>18</v>
      </c>
      <c r="G367" s="13"/>
      <c r="H367" s="45" t="s">
        <v>16</v>
      </c>
      <c r="I367" s="46"/>
      <c r="J367" s="14" t="s">
        <v>2805</v>
      </c>
      <c r="K367" s="13" t="s">
        <v>7137</v>
      </c>
      <c r="L367" s="99" t="str">
        <f t="shared" si="28"/>
        <v>W1211.E</v>
      </c>
      <c r="M367" s="13" t="s">
        <v>3667</v>
      </c>
      <c r="N367" s="13"/>
      <c r="O367" s="13"/>
      <c r="P367" s="47"/>
      <c r="Q367" s="45"/>
      <c r="R367" s="45"/>
      <c r="S367" s="48"/>
      <c r="T367" s="49" t="str">
        <f t="shared" si="26"/>
        <v>[W1211.E]</v>
      </c>
      <c r="U367" s="12" t="str">
        <f t="shared" si="27"/>
        <v xml:space="preserve"> 댐핑시트 공급 테이블#1(SD217) 과부하가 검출되었습니다.</v>
      </c>
      <c r="V367" s="49" t="str">
        <f t="shared" si="29"/>
        <v>[W1211.E] 댐핑시트 공급 테이블#1(SD217) 과부하가 검출되었습니다.</v>
      </c>
    </row>
    <row r="368" spans="1:22" s="49" customFormat="1" ht="14.15" customHeight="1">
      <c r="A368" s="43" t="s">
        <v>3755</v>
      </c>
      <c r="B368" s="44" t="s">
        <v>6637</v>
      </c>
      <c r="C368" s="50"/>
      <c r="D368" s="10" t="s">
        <v>29</v>
      </c>
      <c r="E368" s="11"/>
      <c r="F368" s="11" t="s">
        <v>18</v>
      </c>
      <c r="G368" s="13"/>
      <c r="H368" s="45" t="s">
        <v>16</v>
      </c>
      <c r="I368" s="47"/>
      <c r="J368" s="12" t="s">
        <v>2806</v>
      </c>
      <c r="K368" s="13" t="s">
        <v>7138</v>
      </c>
      <c r="L368" s="99" t="str">
        <f t="shared" si="28"/>
        <v>W1211.F</v>
      </c>
      <c r="M368" s="13" t="s">
        <v>3667</v>
      </c>
      <c r="N368" s="13"/>
      <c r="O368" s="13"/>
      <c r="P368" s="47"/>
      <c r="Q368" s="45"/>
      <c r="R368" s="45"/>
      <c r="S368" s="48"/>
      <c r="T368" s="49" t="str">
        <f t="shared" si="26"/>
        <v>[W1211.F]</v>
      </c>
      <c r="U368" s="12" t="str">
        <f t="shared" si="27"/>
        <v xml:space="preserve"> 댐핑시트 공급 테이블#1(SD217)  </v>
      </c>
      <c r="V368" s="49" t="str">
        <f t="shared" si="29"/>
        <v xml:space="preserve">[W1211.F] 댐핑시트 공급 테이블#1(SD217)  </v>
      </c>
    </row>
    <row r="369" spans="1:22" s="49" customFormat="1" ht="14.15" customHeight="1">
      <c r="A369" s="43" t="s">
        <v>3755</v>
      </c>
      <c r="B369" s="44" t="s">
        <v>6637</v>
      </c>
      <c r="C369" s="50"/>
      <c r="D369" s="10" t="s">
        <v>29</v>
      </c>
      <c r="E369" s="11"/>
      <c r="F369" s="11" t="s">
        <v>18</v>
      </c>
      <c r="G369" s="13"/>
      <c r="H369" s="45" t="s">
        <v>16</v>
      </c>
      <c r="I369" s="47"/>
      <c r="J369" s="12" t="s">
        <v>2807</v>
      </c>
      <c r="K369" s="13" t="s">
        <v>7139</v>
      </c>
      <c r="L369" s="99" t="str">
        <f t="shared" si="28"/>
        <v>W1212.0</v>
      </c>
      <c r="M369" s="13" t="s">
        <v>3667</v>
      </c>
      <c r="N369" s="13"/>
      <c r="O369" s="13"/>
      <c r="P369" s="47"/>
      <c r="Q369" s="45"/>
      <c r="R369" s="45"/>
      <c r="S369" s="48"/>
      <c r="T369" s="49" t="str">
        <f>"["&amp;L339&amp;"]"</f>
        <v>[W1210.2]</v>
      </c>
      <c r="U369" s="12" t="str">
        <f>RIGHT(J339,LEN(J339)-7)</f>
        <v xml:space="preserve"> </v>
      </c>
      <c r="V369" s="49" t="str">
        <f>T339&amp;U339</f>
        <v xml:space="preserve">[W1210.2] </v>
      </c>
    </row>
    <row r="370" spans="1:22" s="49" customFormat="1" ht="14.15" customHeight="1">
      <c r="A370" s="43" t="s">
        <v>3755</v>
      </c>
      <c r="B370" s="44" t="s">
        <v>6637</v>
      </c>
      <c r="C370" s="50"/>
      <c r="D370" s="10" t="s">
        <v>29</v>
      </c>
      <c r="E370" s="11"/>
      <c r="F370" s="11" t="s">
        <v>18</v>
      </c>
      <c r="G370" s="13"/>
      <c r="H370" s="45" t="s">
        <v>16</v>
      </c>
      <c r="I370" s="47"/>
      <c r="J370" s="12" t="s">
        <v>2808</v>
      </c>
      <c r="K370" s="13" t="s">
        <v>7140</v>
      </c>
      <c r="L370" s="99" t="str">
        <f t="shared" si="28"/>
        <v>W1212.1</v>
      </c>
      <c r="M370" s="13" t="s">
        <v>3667</v>
      </c>
      <c r="N370" s="13"/>
      <c r="O370" s="13"/>
      <c r="P370" s="47"/>
      <c r="Q370" s="45"/>
      <c r="R370" s="45"/>
      <c r="S370" s="48"/>
      <c r="T370" s="49" t="str">
        <f t="shared" ref="T370:T401" si="30">"["&amp;L370&amp;"]"</f>
        <v>[W1212.1]</v>
      </c>
      <c r="U370" s="12" t="str">
        <f t="shared" ref="U370:U401" si="31">RIGHT(J370,LEN(J370)-7)</f>
        <v xml:space="preserve"> 댐핑시트 공급 테이블#2(SD218) 운전중에 Ready가 Off 되었습니다.</v>
      </c>
      <c r="V370" s="49" t="str">
        <f t="shared" si="29"/>
        <v>[W1212.1] 댐핑시트 공급 테이블#2(SD218) 운전중에 Ready가 Off 되었습니다.</v>
      </c>
    </row>
    <row r="371" spans="1:22" s="49" customFormat="1" ht="14.15" customHeight="1">
      <c r="A371" s="43" t="s">
        <v>3755</v>
      </c>
      <c r="B371" s="44" t="s">
        <v>6637</v>
      </c>
      <c r="C371" s="50"/>
      <c r="D371" s="10" t="s">
        <v>29</v>
      </c>
      <c r="E371" s="11"/>
      <c r="F371" s="11" t="s">
        <v>18</v>
      </c>
      <c r="G371" s="13"/>
      <c r="H371" s="45" t="s">
        <v>16</v>
      </c>
      <c r="I371" s="47"/>
      <c r="J371" s="12" t="s">
        <v>2809</v>
      </c>
      <c r="K371" s="13" t="s">
        <v>7141</v>
      </c>
      <c r="L371" s="99" t="str">
        <f t="shared" si="28"/>
        <v>W1212.2</v>
      </c>
      <c r="M371" s="13" t="s">
        <v>3667</v>
      </c>
      <c r="N371" s="13"/>
      <c r="O371" s="13"/>
      <c r="P371" s="47"/>
      <c r="Q371" s="45"/>
      <c r="R371" s="45"/>
      <c r="S371" s="48"/>
      <c r="T371" s="49" t="str">
        <f t="shared" si="30"/>
        <v>[W1212.2]</v>
      </c>
      <c r="U371" s="12" t="str">
        <f t="shared" si="31"/>
        <v xml:space="preserve"> 댐핑시트 공급 테이블#2(SD218) FLS가 감지되었습니다.</v>
      </c>
      <c r="V371" s="49" t="str">
        <f t="shared" si="29"/>
        <v>[W1212.2] 댐핑시트 공급 테이블#2(SD218) FLS가 감지되었습니다.</v>
      </c>
    </row>
    <row r="372" spans="1:22" s="49" customFormat="1" ht="14.15" customHeight="1">
      <c r="A372" s="43" t="s">
        <v>3755</v>
      </c>
      <c r="B372" s="44" t="s">
        <v>6637</v>
      </c>
      <c r="C372" s="50"/>
      <c r="D372" s="10" t="s">
        <v>29</v>
      </c>
      <c r="E372" s="11"/>
      <c r="F372" s="11" t="s">
        <v>18</v>
      </c>
      <c r="G372" s="13"/>
      <c r="H372" s="45" t="s">
        <v>16</v>
      </c>
      <c r="I372" s="47"/>
      <c r="J372" s="12" t="s">
        <v>2810</v>
      </c>
      <c r="K372" s="13" t="s">
        <v>7142</v>
      </c>
      <c r="L372" s="99" t="str">
        <f t="shared" si="28"/>
        <v>W1212.3</v>
      </c>
      <c r="M372" s="13" t="s">
        <v>3667</v>
      </c>
      <c r="N372" s="13"/>
      <c r="O372" s="13"/>
      <c r="P372" s="47"/>
      <c r="Q372" s="45"/>
      <c r="R372" s="45"/>
      <c r="S372" s="48"/>
      <c r="T372" s="49" t="str">
        <f t="shared" si="30"/>
        <v>[W1212.3]</v>
      </c>
      <c r="U372" s="12" t="str">
        <f t="shared" si="31"/>
        <v xml:space="preserve"> 댐핑시트 공급 테이블#2(SD218) RLS가 감지되었습니다.</v>
      </c>
      <c r="V372" s="49" t="str">
        <f t="shared" si="29"/>
        <v>[W1212.3] 댐핑시트 공급 테이블#2(SD218) RLS가 감지되었습니다.</v>
      </c>
    </row>
    <row r="373" spans="1:22" s="49" customFormat="1" ht="14.15" customHeight="1">
      <c r="A373" s="43" t="s">
        <v>3755</v>
      </c>
      <c r="B373" s="44" t="s">
        <v>6637</v>
      </c>
      <c r="C373" s="50"/>
      <c r="D373" s="10" t="s">
        <v>29</v>
      </c>
      <c r="E373" s="11"/>
      <c r="F373" s="11" t="s">
        <v>18</v>
      </c>
      <c r="G373" s="13"/>
      <c r="H373" s="45" t="s">
        <v>16</v>
      </c>
      <c r="I373" s="47"/>
      <c r="J373" s="12" t="s">
        <v>2811</v>
      </c>
      <c r="K373" s="13" t="s">
        <v>7143</v>
      </c>
      <c r="L373" s="99" t="str">
        <f t="shared" si="28"/>
        <v>W1212.4</v>
      </c>
      <c r="M373" s="13" t="s">
        <v>3667</v>
      </c>
      <c r="N373" s="13"/>
      <c r="O373" s="13"/>
      <c r="P373" s="47"/>
      <c r="Q373" s="45"/>
      <c r="R373" s="45"/>
      <c r="S373" s="48"/>
      <c r="T373" s="49" t="str">
        <f t="shared" si="30"/>
        <v>[W1212.4]</v>
      </c>
      <c r="U373" s="12" t="str">
        <f t="shared" si="31"/>
        <v xml:space="preserve"> 댐핑시트 공급 테이블#2(SD218) Stop 명령이 On된 상태에서 기동을 시도했습니다.</v>
      </c>
      <c r="V373" s="49" t="str">
        <f t="shared" si="29"/>
        <v>[W1212.4] 댐핑시트 공급 테이블#2(SD218) Stop 명령이 On된 상태에서 기동을 시도했습니다.</v>
      </c>
    </row>
    <row r="374" spans="1:22" s="49" customFormat="1" ht="14.15" customHeight="1">
      <c r="A374" s="43" t="s">
        <v>3755</v>
      </c>
      <c r="B374" s="44" t="s">
        <v>6637</v>
      </c>
      <c r="C374" s="50"/>
      <c r="D374" s="10" t="s">
        <v>29</v>
      </c>
      <c r="E374" s="11"/>
      <c r="F374" s="11" t="s">
        <v>18</v>
      </c>
      <c r="G374" s="13"/>
      <c r="H374" s="45" t="s">
        <v>16</v>
      </c>
      <c r="I374" s="47"/>
      <c r="J374" s="12" t="s">
        <v>2812</v>
      </c>
      <c r="K374" s="13" t="s">
        <v>7144</v>
      </c>
      <c r="L374" s="99" t="str">
        <f t="shared" si="28"/>
        <v>W1212.5</v>
      </c>
      <c r="M374" s="13" t="s">
        <v>3667</v>
      </c>
      <c r="N374" s="13"/>
      <c r="O374" s="13"/>
      <c r="P374" s="47"/>
      <c r="Q374" s="45"/>
      <c r="R374" s="45"/>
      <c r="S374" s="48"/>
      <c r="T374" s="49" t="str">
        <f t="shared" si="30"/>
        <v>[W1212.5]</v>
      </c>
      <c r="U374" s="12" t="str">
        <f t="shared" si="31"/>
        <v xml:space="preserve"> 댐핑시트 공급 테이블#2(SD218) 가동 전원이 Off 되었습니다.</v>
      </c>
      <c r="V374" s="49" t="str">
        <f t="shared" si="29"/>
        <v>[W1212.5] 댐핑시트 공급 테이블#2(SD218) 가동 전원이 Off 되었습니다.</v>
      </c>
    </row>
    <row r="375" spans="1:22" s="49" customFormat="1" ht="14.15" customHeight="1">
      <c r="A375" s="43" t="s">
        <v>3755</v>
      </c>
      <c r="B375" s="44" t="s">
        <v>6637</v>
      </c>
      <c r="C375" s="50"/>
      <c r="D375" s="10" t="s">
        <v>29</v>
      </c>
      <c r="E375" s="11"/>
      <c r="F375" s="11" t="s">
        <v>18</v>
      </c>
      <c r="G375" s="13"/>
      <c r="H375" s="45" t="s">
        <v>16</v>
      </c>
      <c r="I375" s="47"/>
      <c r="J375" s="12" t="s">
        <v>2813</v>
      </c>
      <c r="K375" s="13" t="s">
        <v>7145</v>
      </c>
      <c r="L375" s="99" t="str">
        <f t="shared" si="28"/>
        <v>W1212.6</v>
      </c>
      <c r="M375" s="13" t="s">
        <v>3667</v>
      </c>
      <c r="N375" s="13"/>
      <c r="O375" s="13"/>
      <c r="P375" s="47"/>
      <c r="Q375" s="45"/>
      <c r="R375" s="45"/>
      <c r="S375" s="48"/>
      <c r="T375" s="49" t="str">
        <f t="shared" si="30"/>
        <v>[W1212.6]</v>
      </c>
      <c r="U375" s="12" t="str">
        <f t="shared" si="31"/>
        <v xml:space="preserve"> 댐핑시트 공급 테이블#2(SD218) 엔코더 이상이 검출되었습니다.</v>
      </c>
      <c r="V375" s="49" t="str">
        <f t="shared" si="29"/>
        <v>[W1212.6] 댐핑시트 공급 테이블#2(SD218) 엔코더 이상이 검출되었습니다.</v>
      </c>
    </row>
    <row r="376" spans="1:22" s="49" customFormat="1" ht="14.15" customHeight="1">
      <c r="A376" s="43" t="s">
        <v>3755</v>
      </c>
      <c r="B376" s="44" t="s">
        <v>6637</v>
      </c>
      <c r="C376" s="50"/>
      <c r="D376" s="10" t="s">
        <v>29</v>
      </c>
      <c r="E376" s="11"/>
      <c r="F376" s="11" t="s">
        <v>18</v>
      </c>
      <c r="G376" s="13"/>
      <c r="H376" s="45" t="s">
        <v>16</v>
      </c>
      <c r="I376" s="47"/>
      <c r="J376" s="12" t="s">
        <v>2814</v>
      </c>
      <c r="K376" s="13" t="s">
        <v>7146</v>
      </c>
      <c r="L376" s="99" t="str">
        <f t="shared" si="28"/>
        <v>W1212.7</v>
      </c>
      <c r="M376" s="13" t="s">
        <v>3667</v>
      </c>
      <c r="N376" s="13"/>
      <c r="O376" s="13"/>
      <c r="P376" s="47"/>
      <c r="Q376" s="45"/>
      <c r="R376" s="45"/>
      <c r="S376" s="48"/>
      <c r="T376" s="49" t="str">
        <f t="shared" si="30"/>
        <v>[W1212.7]</v>
      </c>
      <c r="U376" s="12" t="str">
        <f t="shared" si="31"/>
        <v xml:space="preserve"> 댐핑시트 공급 테이블#2(SD218) 과전류가 검출되었습니다.</v>
      </c>
      <c r="V376" s="49" t="str">
        <f t="shared" si="29"/>
        <v>[W1212.7] 댐핑시트 공급 테이블#2(SD218) 과전류가 검출되었습니다.</v>
      </c>
    </row>
    <row r="377" spans="1:22" s="49" customFormat="1" ht="14.15" customHeight="1">
      <c r="A377" s="43" t="s">
        <v>3755</v>
      </c>
      <c r="B377" s="44" t="s">
        <v>6637</v>
      </c>
      <c r="C377" s="50"/>
      <c r="D377" s="10" t="s">
        <v>29</v>
      </c>
      <c r="E377" s="11"/>
      <c r="F377" s="11" t="s">
        <v>18</v>
      </c>
      <c r="G377" s="13"/>
      <c r="H377" s="45" t="s">
        <v>16</v>
      </c>
      <c r="I377" s="46"/>
      <c r="J377" s="14" t="s">
        <v>2815</v>
      </c>
      <c r="K377" s="13" t="s">
        <v>7147</v>
      </c>
      <c r="L377" s="99" t="str">
        <f t="shared" si="28"/>
        <v>W1212.8</v>
      </c>
      <c r="M377" s="13" t="s">
        <v>3667</v>
      </c>
      <c r="N377" s="13"/>
      <c r="O377" s="13"/>
      <c r="P377" s="47"/>
      <c r="Q377" s="45"/>
      <c r="R377" s="45"/>
      <c r="S377" s="48"/>
      <c r="T377" s="49" t="str">
        <f t="shared" si="30"/>
        <v>[W1212.8]</v>
      </c>
      <c r="U377" s="12" t="str">
        <f t="shared" si="31"/>
        <v xml:space="preserve"> 댐핑시트 공급 테이블#2(SD218) 과부하가 검출되었습니다.</v>
      </c>
      <c r="V377" s="49" t="str">
        <f t="shared" si="29"/>
        <v>[W1212.8] 댐핑시트 공급 테이블#2(SD218) 과부하가 검출되었습니다.</v>
      </c>
    </row>
    <row r="378" spans="1:22" s="49" customFormat="1" ht="14.15" customHeight="1">
      <c r="A378" s="43" t="s">
        <v>3755</v>
      </c>
      <c r="B378" s="44" t="s">
        <v>6637</v>
      </c>
      <c r="C378" s="50"/>
      <c r="D378" s="10" t="s">
        <v>29</v>
      </c>
      <c r="E378" s="11"/>
      <c r="F378" s="11" t="s">
        <v>18</v>
      </c>
      <c r="G378" s="13"/>
      <c r="H378" s="45" t="s">
        <v>16</v>
      </c>
      <c r="I378" s="46"/>
      <c r="J378" s="14" t="s">
        <v>2816</v>
      </c>
      <c r="K378" s="13" t="s">
        <v>7148</v>
      </c>
      <c r="L378" s="99" t="str">
        <f t="shared" si="28"/>
        <v>W1212.9</v>
      </c>
      <c r="M378" s="13" t="s">
        <v>3667</v>
      </c>
      <c r="N378" s="13"/>
      <c r="O378" s="13"/>
      <c r="P378" s="47"/>
      <c r="Q378" s="45"/>
      <c r="R378" s="45"/>
      <c r="S378" s="48"/>
      <c r="T378" s="49" t="str">
        <f t="shared" si="30"/>
        <v>[W1212.9]</v>
      </c>
      <c r="U378" s="12" t="str">
        <f t="shared" si="31"/>
        <v xml:space="preserve"> 댐핑시트 공급 테이블#2(SD218)  </v>
      </c>
      <c r="V378" s="49" t="str">
        <f t="shared" si="29"/>
        <v xml:space="preserve">[W1212.9] 댐핑시트 공급 테이블#2(SD218)  </v>
      </c>
    </row>
    <row r="379" spans="1:22" s="49" customFormat="1" ht="14.15" customHeight="1">
      <c r="A379" s="43" t="s">
        <v>3755</v>
      </c>
      <c r="B379" s="44" t="s">
        <v>6637</v>
      </c>
      <c r="C379" s="50"/>
      <c r="D379" s="10" t="s">
        <v>29</v>
      </c>
      <c r="E379" s="11"/>
      <c r="F379" s="11" t="s">
        <v>18</v>
      </c>
      <c r="G379" s="13"/>
      <c r="H379" s="45" t="s">
        <v>16</v>
      </c>
      <c r="I379" s="46"/>
      <c r="J379" s="14" t="s">
        <v>2817</v>
      </c>
      <c r="K379" s="13" t="s">
        <v>7149</v>
      </c>
      <c r="L379" s="99" t="str">
        <f t="shared" si="28"/>
        <v>W1212.A</v>
      </c>
      <c r="M379" s="13" t="s">
        <v>3667</v>
      </c>
      <c r="N379" s="13"/>
      <c r="O379" s="13"/>
      <c r="P379" s="47"/>
      <c r="Q379" s="45"/>
      <c r="R379" s="45"/>
      <c r="S379" s="48"/>
      <c r="T379" s="49" t="str">
        <f t="shared" si="30"/>
        <v>[W1212.A]</v>
      </c>
      <c r="U379" s="12" t="str">
        <f t="shared" si="31"/>
        <v xml:space="preserve"> 댐핑시트 공급 테이블#2(SD218) 에러가 발생했습니다.</v>
      </c>
      <c r="V379" s="49" t="str">
        <f t="shared" si="29"/>
        <v>[W1212.A] 댐핑시트 공급 테이블#2(SD218) 에러가 발생했습니다.</v>
      </c>
    </row>
    <row r="380" spans="1:22" s="49" customFormat="1" ht="14.15" customHeight="1">
      <c r="A380" s="43" t="s">
        <v>3755</v>
      </c>
      <c r="B380" s="44" t="s">
        <v>6637</v>
      </c>
      <c r="C380" s="50"/>
      <c r="D380" s="10" t="s">
        <v>29</v>
      </c>
      <c r="E380" s="11"/>
      <c r="F380" s="11" t="s">
        <v>18</v>
      </c>
      <c r="G380" s="13"/>
      <c r="H380" s="45" t="s">
        <v>16</v>
      </c>
      <c r="I380" s="46"/>
      <c r="J380" s="14" t="s">
        <v>2818</v>
      </c>
      <c r="K380" s="13" t="s">
        <v>7150</v>
      </c>
      <c r="L380" s="99" t="str">
        <f t="shared" si="28"/>
        <v>W1212.B</v>
      </c>
      <c r="M380" s="13" t="s">
        <v>3667</v>
      </c>
      <c r="N380" s="13"/>
      <c r="O380" s="13"/>
      <c r="P380" s="47"/>
      <c r="Q380" s="45"/>
      <c r="R380" s="45"/>
      <c r="S380" s="48"/>
      <c r="T380" s="49" t="str">
        <f t="shared" si="30"/>
        <v>[W1212.B]</v>
      </c>
      <c r="U380" s="12" t="str">
        <f t="shared" si="31"/>
        <v xml:space="preserve"> 댐핑시트 공급 이재기X축(SD215) 운전중에 Ready가 Off 되었습니다.</v>
      </c>
      <c r="V380" s="49" t="str">
        <f t="shared" si="29"/>
        <v>[W1212.B] 댐핑시트 공급 이재기X축(SD215) 운전중에 Ready가 Off 되었습니다.</v>
      </c>
    </row>
    <row r="381" spans="1:22" s="49" customFormat="1" ht="14.15" customHeight="1">
      <c r="A381" s="43" t="s">
        <v>3755</v>
      </c>
      <c r="B381" s="44" t="s">
        <v>6637</v>
      </c>
      <c r="C381" s="50"/>
      <c r="D381" s="10" t="s">
        <v>29</v>
      </c>
      <c r="E381" s="11"/>
      <c r="F381" s="11" t="s">
        <v>18</v>
      </c>
      <c r="G381" s="13"/>
      <c r="H381" s="45" t="s">
        <v>16</v>
      </c>
      <c r="I381" s="46"/>
      <c r="J381" s="14" t="s">
        <v>2819</v>
      </c>
      <c r="K381" s="13" t="s">
        <v>7151</v>
      </c>
      <c r="L381" s="99" t="str">
        <f t="shared" si="28"/>
        <v>W1212.C</v>
      </c>
      <c r="M381" s="13" t="s">
        <v>3667</v>
      </c>
      <c r="N381" s="13"/>
      <c r="O381" s="13"/>
      <c r="P381" s="47"/>
      <c r="Q381" s="45"/>
      <c r="R381" s="45"/>
      <c r="S381" s="48"/>
      <c r="T381" s="49" t="str">
        <f t="shared" si="30"/>
        <v>[W1212.C]</v>
      </c>
      <c r="U381" s="12" t="str">
        <f t="shared" si="31"/>
        <v xml:space="preserve"> 댐핑시트 공급 이재기X축(SD215) FLS가 감지되었습니다.</v>
      </c>
      <c r="V381" s="49" t="str">
        <f t="shared" si="29"/>
        <v>[W1212.C] 댐핑시트 공급 이재기X축(SD215) FLS가 감지되었습니다.</v>
      </c>
    </row>
    <row r="382" spans="1:22" s="49" customFormat="1" ht="14.15" customHeight="1">
      <c r="A382" s="43" t="s">
        <v>3755</v>
      </c>
      <c r="B382" s="44" t="s">
        <v>6637</v>
      </c>
      <c r="C382" s="50"/>
      <c r="D382" s="10" t="s">
        <v>29</v>
      </c>
      <c r="E382" s="11"/>
      <c r="F382" s="11" t="s">
        <v>18</v>
      </c>
      <c r="G382" s="13"/>
      <c r="H382" s="45" t="s">
        <v>16</v>
      </c>
      <c r="I382" s="46"/>
      <c r="J382" s="14" t="s">
        <v>2820</v>
      </c>
      <c r="K382" s="13" t="s">
        <v>7152</v>
      </c>
      <c r="L382" s="99" t="str">
        <f t="shared" si="28"/>
        <v>W1212.D</v>
      </c>
      <c r="M382" s="13" t="s">
        <v>3667</v>
      </c>
      <c r="N382" s="13"/>
      <c r="O382" s="13"/>
      <c r="P382" s="47"/>
      <c r="Q382" s="45"/>
      <c r="R382" s="45"/>
      <c r="S382" s="48"/>
      <c r="T382" s="49" t="str">
        <f t="shared" si="30"/>
        <v>[W1212.D]</v>
      </c>
      <c r="U382" s="12" t="str">
        <f t="shared" si="31"/>
        <v xml:space="preserve"> 댐핑시트 공급 이재기X축(SD215) RLS가 감지되었습니다.</v>
      </c>
      <c r="V382" s="49" t="str">
        <f t="shared" si="29"/>
        <v>[W1212.D] 댐핑시트 공급 이재기X축(SD215) RLS가 감지되었습니다.</v>
      </c>
    </row>
    <row r="383" spans="1:22" s="49" customFormat="1" ht="14.15" customHeight="1">
      <c r="A383" s="43" t="s">
        <v>3755</v>
      </c>
      <c r="B383" s="44" t="s">
        <v>6637</v>
      </c>
      <c r="C383" s="50"/>
      <c r="D383" s="10" t="s">
        <v>29</v>
      </c>
      <c r="E383" s="11"/>
      <c r="F383" s="11" t="s">
        <v>18</v>
      </c>
      <c r="G383" s="13"/>
      <c r="H383" s="45" t="s">
        <v>16</v>
      </c>
      <c r="I383" s="46"/>
      <c r="J383" s="14" t="s">
        <v>2821</v>
      </c>
      <c r="K383" s="13" t="s">
        <v>7153</v>
      </c>
      <c r="L383" s="99" t="str">
        <f t="shared" si="28"/>
        <v>W1212.E</v>
      </c>
      <c r="M383" s="13" t="s">
        <v>3667</v>
      </c>
      <c r="N383" s="13"/>
      <c r="O383" s="13"/>
      <c r="P383" s="47"/>
      <c r="Q383" s="45"/>
      <c r="R383" s="45"/>
      <c r="S383" s="48"/>
      <c r="T383" s="49" t="str">
        <f t="shared" si="30"/>
        <v>[W1212.E]</v>
      </c>
      <c r="U383" s="12" t="str">
        <f t="shared" si="31"/>
        <v xml:space="preserve"> 댐핑시트 공급 이재기X축(SD215) Stop 명령이 On된 상태에서 기동을 시도했습니다.</v>
      </c>
      <c r="V383" s="49" t="str">
        <f t="shared" si="29"/>
        <v>[W1212.E] 댐핑시트 공급 이재기X축(SD215) Stop 명령이 On된 상태에서 기동을 시도했습니다.</v>
      </c>
    </row>
    <row r="384" spans="1:22" s="49" customFormat="1" ht="14.15" customHeight="1">
      <c r="A384" s="43" t="s">
        <v>3755</v>
      </c>
      <c r="B384" s="44" t="s">
        <v>6637</v>
      </c>
      <c r="C384" s="50"/>
      <c r="D384" s="10" t="s">
        <v>29</v>
      </c>
      <c r="E384" s="11"/>
      <c r="F384" s="11" t="s">
        <v>18</v>
      </c>
      <c r="G384" s="13"/>
      <c r="H384" s="45" t="s">
        <v>16</v>
      </c>
      <c r="I384" s="46"/>
      <c r="J384" s="14" t="s">
        <v>2822</v>
      </c>
      <c r="K384" s="13" t="s">
        <v>7154</v>
      </c>
      <c r="L384" s="99" t="str">
        <f t="shared" si="28"/>
        <v>W1212.F</v>
      </c>
      <c r="M384" s="13" t="s">
        <v>3667</v>
      </c>
      <c r="N384" s="13"/>
      <c r="O384" s="13"/>
      <c r="P384" s="47"/>
      <c r="Q384" s="45"/>
      <c r="R384" s="45"/>
      <c r="S384" s="48"/>
      <c r="T384" s="49" t="str">
        <f t="shared" si="30"/>
        <v>[W1212.F]</v>
      </c>
      <c r="U384" s="12" t="str">
        <f t="shared" si="31"/>
        <v xml:space="preserve"> 댐핑시트 공급 이재기X축(SD215) 가동 전원이 Off 되었습니다.</v>
      </c>
      <c r="V384" s="49" t="str">
        <f t="shared" si="29"/>
        <v>[W1212.F] 댐핑시트 공급 이재기X축(SD215) 가동 전원이 Off 되었습니다.</v>
      </c>
    </row>
    <row r="385" spans="1:22" s="49" customFormat="1" ht="14.15" customHeight="1">
      <c r="A385" s="43" t="s">
        <v>3755</v>
      </c>
      <c r="B385" s="44" t="s">
        <v>6637</v>
      </c>
      <c r="C385" s="50"/>
      <c r="D385" s="10" t="s">
        <v>29</v>
      </c>
      <c r="E385" s="11"/>
      <c r="F385" s="11" t="s">
        <v>18</v>
      </c>
      <c r="G385" s="13"/>
      <c r="H385" s="45" t="s">
        <v>16</v>
      </c>
      <c r="I385" s="46"/>
      <c r="J385" s="14" t="s">
        <v>2823</v>
      </c>
      <c r="K385" s="13" t="s">
        <v>7155</v>
      </c>
      <c r="L385" s="99" t="str">
        <f t="shared" si="28"/>
        <v>W1213.0</v>
      </c>
      <c r="M385" s="13" t="s">
        <v>3667</v>
      </c>
      <c r="N385" s="13"/>
      <c r="O385" s="13"/>
      <c r="P385" s="47"/>
      <c r="Q385" s="45"/>
      <c r="R385" s="45"/>
      <c r="S385" s="48"/>
      <c r="T385" s="49" t="str">
        <f t="shared" si="30"/>
        <v>[W1213.0]</v>
      </c>
      <c r="U385" s="12" t="str">
        <f t="shared" si="31"/>
        <v xml:space="preserve"> 댐핑시트 공급 이재기X축(SD215) 엔코더 이상이 검출되었습니다.</v>
      </c>
      <c r="V385" s="49" t="str">
        <f t="shared" si="29"/>
        <v>[W1213.0] 댐핑시트 공급 이재기X축(SD215) 엔코더 이상이 검출되었습니다.</v>
      </c>
    </row>
    <row r="386" spans="1:22" s="49" customFormat="1" ht="14.15" customHeight="1">
      <c r="A386" s="43" t="s">
        <v>3755</v>
      </c>
      <c r="B386" s="44" t="s">
        <v>6637</v>
      </c>
      <c r="C386" s="50"/>
      <c r="D386" s="10" t="s">
        <v>29</v>
      </c>
      <c r="E386" s="11"/>
      <c r="F386" s="11" t="s">
        <v>18</v>
      </c>
      <c r="G386" s="13"/>
      <c r="H386" s="45" t="s">
        <v>16</v>
      </c>
      <c r="I386" s="46"/>
      <c r="J386" s="14" t="s">
        <v>2824</v>
      </c>
      <c r="K386" s="13" t="s">
        <v>7156</v>
      </c>
      <c r="L386" s="99" t="str">
        <f t="shared" si="28"/>
        <v>W1213.1</v>
      </c>
      <c r="M386" s="13" t="s">
        <v>3667</v>
      </c>
      <c r="N386" s="13"/>
      <c r="O386" s="13"/>
      <c r="P386" s="47"/>
      <c r="Q386" s="45"/>
      <c r="R386" s="45"/>
      <c r="S386" s="48"/>
      <c r="T386" s="49" t="str">
        <f t="shared" si="30"/>
        <v>[W1213.1]</v>
      </c>
      <c r="U386" s="12" t="str">
        <f t="shared" si="31"/>
        <v xml:space="preserve"> 댐핑시트 공급 이재기X축(SD215) 과전류가 검출되었습니다.</v>
      </c>
      <c r="V386" s="49" t="str">
        <f t="shared" si="29"/>
        <v>[W1213.1] 댐핑시트 공급 이재기X축(SD215) 과전류가 검출되었습니다.</v>
      </c>
    </row>
    <row r="387" spans="1:22" s="49" customFormat="1" ht="14.15" customHeight="1">
      <c r="A387" s="43" t="s">
        <v>3755</v>
      </c>
      <c r="B387" s="44" t="s">
        <v>6637</v>
      </c>
      <c r="C387" s="50"/>
      <c r="D387" s="10" t="s">
        <v>29</v>
      </c>
      <c r="E387" s="11"/>
      <c r="F387" s="11" t="s">
        <v>18</v>
      </c>
      <c r="G387" s="13"/>
      <c r="H387" s="45" t="s">
        <v>16</v>
      </c>
      <c r="I387" s="46"/>
      <c r="J387" s="14" t="s">
        <v>2825</v>
      </c>
      <c r="K387" s="13" t="s">
        <v>7157</v>
      </c>
      <c r="L387" s="99" t="str">
        <f t="shared" si="28"/>
        <v>W1213.2</v>
      </c>
      <c r="M387" s="13" t="s">
        <v>3667</v>
      </c>
      <c r="N387" s="13"/>
      <c r="O387" s="13"/>
      <c r="P387" s="47"/>
      <c r="Q387" s="45"/>
      <c r="R387" s="45"/>
      <c r="S387" s="48"/>
      <c r="T387" s="49" t="str">
        <f t="shared" si="30"/>
        <v>[W1213.2]</v>
      </c>
      <c r="U387" s="12" t="str">
        <f t="shared" si="31"/>
        <v xml:space="preserve"> 댐핑시트 공급 이재기X축(SD215) 과부하가 검출되었습니다.</v>
      </c>
      <c r="V387" s="49" t="str">
        <f t="shared" si="29"/>
        <v>[W1213.2] 댐핑시트 공급 이재기X축(SD215) 과부하가 검출되었습니다.</v>
      </c>
    </row>
    <row r="388" spans="1:22" s="49" customFormat="1" ht="14.15" customHeight="1">
      <c r="A388" s="43" t="s">
        <v>3755</v>
      </c>
      <c r="B388" s="44" t="s">
        <v>6637</v>
      </c>
      <c r="C388" s="50"/>
      <c r="D388" s="10" t="s">
        <v>29</v>
      </c>
      <c r="E388" s="11"/>
      <c r="F388" s="11" t="s">
        <v>18</v>
      </c>
      <c r="G388" s="13"/>
      <c r="H388" s="45" t="s">
        <v>16</v>
      </c>
      <c r="I388" s="46"/>
      <c r="J388" s="14" t="s">
        <v>2826</v>
      </c>
      <c r="K388" s="13" t="s">
        <v>7158</v>
      </c>
      <c r="L388" s="99" t="str">
        <f t="shared" si="28"/>
        <v>W1213.3</v>
      </c>
      <c r="M388" s="13" t="s">
        <v>3667</v>
      </c>
      <c r="N388" s="13"/>
      <c r="O388" s="13"/>
      <c r="P388" s="47"/>
      <c r="Q388" s="45"/>
      <c r="R388" s="45"/>
      <c r="S388" s="48"/>
      <c r="T388" s="49" t="str">
        <f t="shared" si="30"/>
        <v>[W1213.3]</v>
      </c>
      <c r="U388" s="12" t="str">
        <f t="shared" si="31"/>
        <v xml:space="preserve"> 댐핑시트 공급 이재기X축(SD215)  </v>
      </c>
      <c r="V388" s="49" t="str">
        <f t="shared" si="29"/>
        <v xml:space="preserve">[W1213.3] 댐핑시트 공급 이재기X축(SD215)  </v>
      </c>
    </row>
    <row r="389" spans="1:22" s="49" customFormat="1" ht="14.15" customHeight="1">
      <c r="A389" s="43" t="s">
        <v>3755</v>
      </c>
      <c r="B389" s="44" t="s">
        <v>6637</v>
      </c>
      <c r="C389" s="50"/>
      <c r="D389" s="10" t="s">
        <v>29</v>
      </c>
      <c r="E389" s="11"/>
      <c r="F389" s="11" t="s">
        <v>18</v>
      </c>
      <c r="G389" s="13"/>
      <c r="H389" s="45" t="s">
        <v>16</v>
      </c>
      <c r="I389" s="46"/>
      <c r="J389" s="14" t="s">
        <v>2827</v>
      </c>
      <c r="K389" s="13" t="s">
        <v>7159</v>
      </c>
      <c r="L389" s="99" t="str">
        <f t="shared" si="28"/>
        <v>W1213.4</v>
      </c>
      <c r="M389" s="13" t="s">
        <v>3667</v>
      </c>
      <c r="N389" s="13"/>
      <c r="O389" s="13"/>
      <c r="P389" s="47"/>
      <c r="Q389" s="45"/>
      <c r="R389" s="45"/>
      <c r="S389" s="48"/>
      <c r="T389" s="49" t="str">
        <f t="shared" si="30"/>
        <v>[W1213.4]</v>
      </c>
      <c r="U389" s="12" t="str">
        <f t="shared" si="31"/>
        <v xml:space="preserve"> 댐핑시트 공급 이재기X축(SD215) 에러가 발생했습니다.</v>
      </c>
      <c r="V389" s="49" t="str">
        <f t="shared" si="29"/>
        <v>[W1213.4] 댐핑시트 공급 이재기X축(SD215) 에러가 발생했습니다.</v>
      </c>
    </row>
    <row r="390" spans="1:22" s="49" customFormat="1" ht="14.15" customHeight="1">
      <c r="A390" s="43" t="s">
        <v>3755</v>
      </c>
      <c r="B390" s="44" t="s">
        <v>6637</v>
      </c>
      <c r="C390" s="50"/>
      <c r="D390" s="10" t="s">
        <v>29</v>
      </c>
      <c r="E390" s="11"/>
      <c r="F390" s="11" t="s">
        <v>18</v>
      </c>
      <c r="G390" s="13"/>
      <c r="H390" s="45" t="s">
        <v>16</v>
      </c>
      <c r="I390" s="46"/>
      <c r="J390" s="14" t="s">
        <v>2828</v>
      </c>
      <c r="K390" s="13" t="s">
        <v>7160</v>
      </c>
      <c r="L390" s="99" t="str">
        <f t="shared" si="28"/>
        <v>W1213.5</v>
      </c>
      <c r="M390" s="13" t="s">
        <v>3667</v>
      </c>
      <c r="N390" s="13"/>
      <c r="O390" s="13"/>
      <c r="P390" s="47"/>
      <c r="Q390" s="45"/>
      <c r="R390" s="45"/>
      <c r="S390" s="48"/>
      <c r="T390" s="49" t="str">
        <f t="shared" si="30"/>
        <v>[W1213.5]</v>
      </c>
      <c r="U390" s="12" t="str">
        <f t="shared" si="31"/>
        <v xml:space="preserve"> 댐핑시트 공급 이재기Z축(SD216) 운전중에 Ready가 Off 되었습니다.</v>
      </c>
      <c r="V390" s="49" t="str">
        <f t="shared" si="29"/>
        <v>[W1213.5] 댐핑시트 공급 이재기Z축(SD216) 운전중에 Ready가 Off 되었습니다.</v>
      </c>
    </row>
    <row r="391" spans="1:22" s="49" customFormat="1" ht="14.15" customHeight="1">
      <c r="A391" s="43" t="s">
        <v>3755</v>
      </c>
      <c r="B391" s="44" t="s">
        <v>6637</v>
      </c>
      <c r="C391" s="50"/>
      <c r="D391" s="10" t="s">
        <v>29</v>
      </c>
      <c r="E391" s="11"/>
      <c r="F391" s="11" t="s">
        <v>18</v>
      </c>
      <c r="G391" s="13"/>
      <c r="H391" s="45" t="s">
        <v>16</v>
      </c>
      <c r="I391" s="46"/>
      <c r="J391" s="14" t="s">
        <v>2829</v>
      </c>
      <c r="K391" s="13" t="s">
        <v>7161</v>
      </c>
      <c r="L391" s="99" t="str">
        <f t="shared" si="28"/>
        <v>W1213.6</v>
      </c>
      <c r="M391" s="13" t="s">
        <v>3667</v>
      </c>
      <c r="N391" s="13"/>
      <c r="O391" s="13"/>
      <c r="P391" s="47"/>
      <c r="Q391" s="45"/>
      <c r="R391" s="45"/>
      <c r="S391" s="48"/>
      <c r="T391" s="49" t="str">
        <f t="shared" si="30"/>
        <v>[W1213.6]</v>
      </c>
      <c r="U391" s="12" t="str">
        <f t="shared" si="31"/>
        <v xml:space="preserve"> 댐핑시트 공급 이재기Z축(SD216) FLS가 감지되었습니다.</v>
      </c>
      <c r="V391" s="49" t="str">
        <f t="shared" si="29"/>
        <v>[W1213.6] 댐핑시트 공급 이재기Z축(SD216) FLS가 감지되었습니다.</v>
      </c>
    </row>
    <row r="392" spans="1:22" s="49" customFormat="1" ht="14.15" customHeight="1">
      <c r="A392" s="43" t="s">
        <v>3755</v>
      </c>
      <c r="B392" s="44" t="s">
        <v>6637</v>
      </c>
      <c r="C392" s="50"/>
      <c r="D392" s="10" t="s">
        <v>29</v>
      </c>
      <c r="E392" s="11"/>
      <c r="F392" s="11" t="s">
        <v>18</v>
      </c>
      <c r="G392" s="13"/>
      <c r="H392" s="45" t="s">
        <v>16</v>
      </c>
      <c r="I392" s="46"/>
      <c r="J392" s="14" t="s">
        <v>2830</v>
      </c>
      <c r="K392" s="13" t="s">
        <v>7162</v>
      </c>
      <c r="L392" s="99" t="str">
        <f t="shared" si="28"/>
        <v>W1213.7</v>
      </c>
      <c r="M392" s="13" t="s">
        <v>3667</v>
      </c>
      <c r="N392" s="13"/>
      <c r="O392" s="13"/>
      <c r="P392" s="47"/>
      <c r="Q392" s="45"/>
      <c r="R392" s="45"/>
      <c r="S392" s="48"/>
      <c r="T392" s="49" t="str">
        <f t="shared" si="30"/>
        <v>[W1213.7]</v>
      </c>
      <c r="U392" s="12" t="str">
        <f t="shared" si="31"/>
        <v xml:space="preserve"> 댐핑시트 공급 이재기Z축(SD216) RLS가 감지되었습니다.</v>
      </c>
      <c r="V392" s="49" t="str">
        <f t="shared" si="29"/>
        <v>[W1213.7] 댐핑시트 공급 이재기Z축(SD216) RLS가 감지되었습니다.</v>
      </c>
    </row>
    <row r="393" spans="1:22" s="49" customFormat="1" ht="14.15" customHeight="1">
      <c r="A393" s="43" t="s">
        <v>3755</v>
      </c>
      <c r="B393" s="44" t="s">
        <v>6637</v>
      </c>
      <c r="C393" s="50"/>
      <c r="D393" s="10" t="s">
        <v>29</v>
      </c>
      <c r="E393" s="11"/>
      <c r="F393" s="11" t="s">
        <v>18</v>
      </c>
      <c r="G393" s="13"/>
      <c r="H393" s="45" t="s">
        <v>16</v>
      </c>
      <c r="I393" s="46"/>
      <c r="J393" s="14" t="s">
        <v>2831</v>
      </c>
      <c r="K393" s="13" t="s">
        <v>7163</v>
      </c>
      <c r="L393" s="99" t="str">
        <f t="shared" si="28"/>
        <v>W1213.8</v>
      </c>
      <c r="M393" s="13" t="s">
        <v>3667</v>
      </c>
      <c r="N393" s="13"/>
      <c r="O393" s="13"/>
      <c r="P393" s="47"/>
      <c r="Q393" s="45"/>
      <c r="R393" s="45"/>
      <c r="S393" s="48"/>
      <c r="T393" s="49" t="str">
        <f t="shared" si="30"/>
        <v>[W1213.8]</v>
      </c>
      <c r="U393" s="12" t="str">
        <f t="shared" si="31"/>
        <v xml:space="preserve"> 댐핑시트 공급 이재기Z축(SD216) Stop 명령이 On된 상태에서 기동을 시도했습니다.</v>
      </c>
      <c r="V393" s="49" t="str">
        <f t="shared" si="29"/>
        <v>[W1213.8] 댐핑시트 공급 이재기Z축(SD216) Stop 명령이 On된 상태에서 기동을 시도했습니다.</v>
      </c>
    </row>
    <row r="394" spans="1:22" s="49" customFormat="1" ht="14.15" customHeight="1">
      <c r="A394" s="43" t="s">
        <v>3755</v>
      </c>
      <c r="B394" s="44" t="s">
        <v>6637</v>
      </c>
      <c r="C394" s="50"/>
      <c r="D394" s="10" t="s">
        <v>29</v>
      </c>
      <c r="E394" s="11"/>
      <c r="F394" s="11" t="s">
        <v>18</v>
      </c>
      <c r="G394" s="13"/>
      <c r="H394" s="45" t="s">
        <v>16</v>
      </c>
      <c r="I394" s="46"/>
      <c r="J394" s="14" t="s">
        <v>2832</v>
      </c>
      <c r="K394" s="13" t="s">
        <v>7164</v>
      </c>
      <c r="L394" s="99" t="str">
        <f t="shared" si="28"/>
        <v>W1213.9</v>
      </c>
      <c r="M394" s="13" t="s">
        <v>3667</v>
      </c>
      <c r="N394" s="13"/>
      <c r="O394" s="13"/>
      <c r="P394" s="47"/>
      <c r="Q394" s="45"/>
      <c r="R394" s="45"/>
      <c r="S394" s="48"/>
      <c r="T394" s="49" t="str">
        <f t="shared" si="30"/>
        <v>[W1213.9]</v>
      </c>
      <c r="U394" s="12" t="str">
        <f t="shared" si="31"/>
        <v xml:space="preserve"> 댐핑시트 공급 이재기Z축(SD216) 가동 전원이 Off 되었습니다.</v>
      </c>
      <c r="V394" s="49" t="str">
        <f t="shared" si="29"/>
        <v>[W1213.9] 댐핑시트 공급 이재기Z축(SD216) 가동 전원이 Off 되었습니다.</v>
      </c>
    </row>
    <row r="395" spans="1:22" s="49" customFormat="1" ht="14.15" customHeight="1">
      <c r="A395" s="43" t="s">
        <v>3755</v>
      </c>
      <c r="B395" s="44" t="s">
        <v>6637</v>
      </c>
      <c r="C395" s="50"/>
      <c r="D395" s="10" t="s">
        <v>29</v>
      </c>
      <c r="E395" s="11"/>
      <c r="F395" s="11" t="s">
        <v>18</v>
      </c>
      <c r="G395" s="13"/>
      <c r="H395" s="45" t="s">
        <v>16</v>
      </c>
      <c r="I395" s="46"/>
      <c r="J395" s="14" t="s">
        <v>2833</v>
      </c>
      <c r="K395" s="13" t="s">
        <v>7165</v>
      </c>
      <c r="L395" s="99" t="str">
        <f t="shared" si="28"/>
        <v>W1213.A</v>
      </c>
      <c r="M395" s="13" t="s">
        <v>3667</v>
      </c>
      <c r="N395" s="13"/>
      <c r="O395" s="13"/>
      <c r="P395" s="47"/>
      <c r="Q395" s="45"/>
      <c r="R395" s="45"/>
      <c r="S395" s="48"/>
      <c r="T395" s="49" t="str">
        <f t="shared" si="30"/>
        <v>[W1213.A]</v>
      </c>
      <c r="U395" s="12" t="str">
        <f t="shared" si="31"/>
        <v xml:space="preserve"> 댐핑시트 공급 이재기Z축(SD216) 엔코더 이상이 검출되었습니다.</v>
      </c>
      <c r="V395" s="49" t="str">
        <f t="shared" si="29"/>
        <v>[W1213.A] 댐핑시트 공급 이재기Z축(SD216) 엔코더 이상이 검출되었습니다.</v>
      </c>
    </row>
    <row r="396" spans="1:22" s="49" customFormat="1" ht="14.15" customHeight="1">
      <c r="A396" s="43" t="s">
        <v>3755</v>
      </c>
      <c r="B396" s="44" t="s">
        <v>6637</v>
      </c>
      <c r="C396" s="50"/>
      <c r="D396" s="10" t="s">
        <v>29</v>
      </c>
      <c r="E396" s="11"/>
      <c r="F396" s="11" t="s">
        <v>18</v>
      </c>
      <c r="G396" s="13"/>
      <c r="H396" s="45" t="s">
        <v>16</v>
      </c>
      <c r="I396" s="46"/>
      <c r="J396" s="14" t="s">
        <v>2834</v>
      </c>
      <c r="K396" s="13" t="s">
        <v>7166</v>
      </c>
      <c r="L396" s="99" t="str">
        <f t="shared" si="28"/>
        <v>W1213.B</v>
      </c>
      <c r="M396" s="13" t="s">
        <v>3667</v>
      </c>
      <c r="N396" s="13"/>
      <c r="O396" s="13"/>
      <c r="P396" s="47"/>
      <c r="Q396" s="45"/>
      <c r="R396" s="45"/>
      <c r="S396" s="48"/>
      <c r="T396" s="49" t="str">
        <f t="shared" si="30"/>
        <v>[W1213.B]</v>
      </c>
      <c r="U396" s="12" t="str">
        <f t="shared" si="31"/>
        <v xml:space="preserve"> 댐핑시트 공급 이재기Z축(SD216) 과전류가 검출되었습니다.</v>
      </c>
      <c r="V396" s="49" t="str">
        <f t="shared" si="29"/>
        <v>[W1213.B] 댐핑시트 공급 이재기Z축(SD216) 과전류가 검출되었습니다.</v>
      </c>
    </row>
    <row r="397" spans="1:22" s="49" customFormat="1" ht="14.15" customHeight="1">
      <c r="A397" s="43" t="s">
        <v>3755</v>
      </c>
      <c r="B397" s="44" t="s">
        <v>6637</v>
      </c>
      <c r="C397" s="50"/>
      <c r="D397" s="10" t="s">
        <v>29</v>
      </c>
      <c r="E397" s="11"/>
      <c r="F397" s="11" t="s">
        <v>18</v>
      </c>
      <c r="G397" s="13"/>
      <c r="H397" s="45" t="s">
        <v>16</v>
      </c>
      <c r="I397" s="46"/>
      <c r="J397" s="14" t="s">
        <v>2835</v>
      </c>
      <c r="K397" s="13" t="s">
        <v>7167</v>
      </c>
      <c r="L397" s="99" t="str">
        <f t="shared" si="28"/>
        <v>W1213.C</v>
      </c>
      <c r="M397" s="13" t="s">
        <v>3667</v>
      </c>
      <c r="N397" s="13"/>
      <c r="O397" s="13"/>
      <c r="P397" s="47"/>
      <c r="Q397" s="45"/>
      <c r="R397" s="45"/>
      <c r="S397" s="48"/>
      <c r="T397" s="49" t="str">
        <f t="shared" si="30"/>
        <v>[W1213.C]</v>
      </c>
      <c r="U397" s="12" t="str">
        <f t="shared" si="31"/>
        <v xml:space="preserve"> 댐핑시트 공급 이재기Z축(SD216) 과부하가 검출되었습니다.</v>
      </c>
      <c r="V397" s="49" t="str">
        <f t="shared" si="29"/>
        <v>[W1213.C] 댐핑시트 공급 이재기Z축(SD216) 과부하가 검출되었습니다.</v>
      </c>
    </row>
    <row r="398" spans="1:22" s="49" customFormat="1" ht="14.15" customHeight="1">
      <c r="A398" s="43" t="s">
        <v>3755</v>
      </c>
      <c r="B398" s="44" t="s">
        <v>6637</v>
      </c>
      <c r="C398" s="50"/>
      <c r="D398" s="10" t="s">
        <v>29</v>
      </c>
      <c r="E398" s="11"/>
      <c r="F398" s="11" t="s">
        <v>18</v>
      </c>
      <c r="G398" s="13"/>
      <c r="H398" s="45" t="s">
        <v>16</v>
      </c>
      <c r="I398" s="46"/>
      <c r="J398" s="14" t="s">
        <v>2836</v>
      </c>
      <c r="K398" s="13" t="s">
        <v>7168</v>
      </c>
      <c r="L398" s="99" t="str">
        <f t="shared" si="28"/>
        <v>W1213.D</v>
      </c>
      <c r="M398" s="13" t="s">
        <v>3667</v>
      </c>
      <c r="N398" s="13"/>
      <c r="O398" s="13"/>
      <c r="P398" s="47"/>
      <c r="Q398" s="45"/>
      <c r="R398" s="45"/>
      <c r="S398" s="48"/>
      <c r="T398" s="49" t="str">
        <f t="shared" si="30"/>
        <v>[W1213.D]</v>
      </c>
      <c r="U398" s="12" t="str">
        <f t="shared" si="31"/>
        <v xml:space="preserve"> 댐핑시트 공급 이재기Z축(SD216)  </v>
      </c>
      <c r="V398" s="49" t="str">
        <f t="shared" si="29"/>
        <v xml:space="preserve">[W1213.D] 댐핑시트 공급 이재기Z축(SD216)  </v>
      </c>
    </row>
    <row r="399" spans="1:22" s="49" customFormat="1" ht="14.15" customHeight="1">
      <c r="A399" s="43" t="s">
        <v>3755</v>
      </c>
      <c r="B399" s="44" t="s">
        <v>6637</v>
      </c>
      <c r="C399" s="50"/>
      <c r="D399" s="10" t="s">
        <v>29</v>
      </c>
      <c r="E399" s="11"/>
      <c r="F399" s="11" t="s">
        <v>18</v>
      </c>
      <c r="G399" s="13"/>
      <c r="H399" s="45" t="s">
        <v>16</v>
      </c>
      <c r="I399" s="46"/>
      <c r="J399" s="14" t="s">
        <v>2837</v>
      </c>
      <c r="K399" s="13" t="s">
        <v>7169</v>
      </c>
      <c r="L399" s="99" t="str">
        <f t="shared" si="28"/>
        <v>W1213.E</v>
      </c>
      <c r="M399" s="13" t="s">
        <v>3667</v>
      </c>
      <c r="N399" s="13"/>
      <c r="O399" s="13"/>
      <c r="P399" s="47"/>
      <c r="Q399" s="45"/>
      <c r="R399" s="45"/>
      <c r="S399" s="48"/>
      <c r="T399" s="49" t="str">
        <f t="shared" si="30"/>
        <v>[W1213.E]</v>
      </c>
      <c r="U399" s="12" t="str">
        <f t="shared" si="31"/>
        <v xml:space="preserve"> 댐핑시트 공급 이재기Z축(SD216) 에러가 발생했습니다.</v>
      </c>
      <c r="V399" s="49" t="str">
        <f t="shared" si="29"/>
        <v>[W1213.E] 댐핑시트 공급 이재기Z축(SD216) 에러가 발생했습니다.</v>
      </c>
    </row>
    <row r="400" spans="1:22" s="49" customFormat="1" ht="14.15" customHeight="1">
      <c r="A400" s="43" t="s">
        <v>3763</v>
      </c>
      <c r="B400" s="44" t="s">
        <v>6637</v>
      </c>
      <c r="C400" s="50"/>
      <c r="D400" s="10" t="s">
        <v>29</v>
      </c>
      <c r="E400" s="11"/>
      <c r="F400" s="11" t="s">
        <v>18</v>
      </c>
      <c r="G400" s="13"/>
      <c r="H400" s="45" t="s">
        <v>16</v>
      </c>
      <c r="I400" s="46"/>
      <c r="J400" s="14" t="s">
        <v>2838</v>
      </c>
      <c r="K400" s="13" t="s">
        <v>7170</v>
      </c>
      <c r="L400" s="99" t="str">
        <f t="shared" si="28"/>
        <v>W1213.F</v>
      </c>
      <c r="M400" s="13" t="s">
        <v>3667</v>
      </c>
      <c r="N400" s="13"/>
      <c r="O400" s="13"/>
      <c r="P400" s="47"/>
      <c r="Q400" s="45"/>
      <c r="R400" s="45"/>
      <c r="S400" s="48"/>
      <c r="T400" s="49" t="str">
        <f t="shared" si="30"/>
        <v>[W1213.F]</v>
      </c>
      <c r="U400" s="12" t="str">
        <f t="shared" si="31"/>
        <v xml:space="preserve"> 쿨링 공급 캐비티#1(SD221) 운전중에 Ready가 Off 되었습니다.</v>
      </c>
      <c r="V400" s="49" t="str">
        <f t="shared" si="29"/>
        <v>[W1213.F] 쿨링 공급 캐비티#1(SD221) 운전중에 Ready가 Off 되었습니다.</v>
      </c>
    </row>
    <row r="401" spans="1:22" s="49" customFormat="1" ht="14.15" customHeight="1">
      <c r="A401" s="43" t="s">
        <v>3763</v>
      </c>
      <c r="B401" s="44" t="s">
        <v>6637</v>
      </c>
      <c r="C401" s="50"/>
      <c r="D401" s="10" t="s">
        <v>29</v>
      </c>
      <c r="E401" s="11"/>
      <c r="F401" s="11" t="s">
        <v>18</v>
      </c>
      <c r="G401" s="13"/>
      <c r="H401" s="45" t="s">
        <v>16</v>
      </c>
      <c r="I401" s="45"/>
      <c r="J401" s="12" t="s">
        <v>2839</v>
      </c>
      <c r="K401" s="13" t="s">
        <v>7171</v>
      </c>
      <c r="L401" s="99" t="str">
        <f t="shared" si="28"/>
        <v>W1214.0</v>
      </c>
      <c r="M401" s="13" t="s">
        <v>3667</v>
      </c>
      <c r="N401" s="13"/>
      <c r="O401" s="13"/>
      <c r="P401" s="52"/>
      <c r="Q401" s="45"/>
      <c r="R401" s="45"/>
      <c r="S401" s="48"/>
      <c r="T401" s="49" t="str">
        <f t="shared" si="30"/>
        <v>[W1214.0]</v>
      </c>
      <c r="U401" s="12" t="str">
        <f t="shared" si="31"/>
        <v xml:space="preserve"> 쿨링 공급 캐비티#1(SD221) FLS가 감지되었습니다.</v>
      </c>
      <c r="V401" s="49" t="str">
        <f t="shared" si="29"/>
        <v>[W1214.0] 쿨링 공급 캐비티#1(SD221) FLS가 감지되었습니다.</v>
      </c>
    </row>
    <row r="402" spans="1:22" s="49" customFormat="1" ht="14.15" customHeight="1">
      <c r="A402" s="43" t="s">
        <v>3763</v>
      </c>
      <c r="B402" s="44" t="s">
        <v>6637</v>
      </c>
      <c r="C402" s="50"/>
      <c r="D402" s="10" t="s">
        <v>29</v>
      </c>
      <c r="E402" s="11"/>
      <c r="F402" s="11" t="s">
        <v>18</v>
      </c>
      <c r="G402" s="13"/>
      <c r="H402" s="45" t="s">
        <v>16</v>
      </c>
      <c r="I402" s="45"/>
      <c r="J402" s="12" t="s">
        <v>2840</v>
      </c>
      <c r="K402" s="13" t="s">
        <v>7172</v>
      </c>
      <c r="L402" s="99" t="str">
        <f t="shared" ref="L402:L465" si="32">"W"&amp;DEC2HEX(4608 + INT((ROW()-81)/16)) &amp; "." &amp; IF(MOD(ROW()-81,16)&lt;10,MOD(ROW()-81,16),CHAR(MOD(ROW()-81,16)+55))</f>
        <v>W1214.1</v>
      </c>
      <c r="M402" s="13" t="s">
        <v>3667</v>
      </c>
      <c r="N402" s="13"/>
      <c r="O402" s="13"/>
      <c r="P402" s="52"/>
      <c r="Q402" s="45"/>
      <c r="R402" s="45"/>
      <c r="S402" s="48"/>
      <c r="T402" s="49" t="str">
        <f t="shared" ref="T402:T433" si="33">"["&amp;L402&amp;"]"</f>
        <v>[W1214.1]</v>
      </c>
      <c r="U402" s="12" t="str">
        <f t="shared" ref="U402:U433" si="34">RIGHT(J402,LEN(J402)-7)</f>
        <v xml:space="preserve"> 쿨링 공급 캐비티#1(SD221) RLS가 감지되었습니다.</v>
      </c>
      <c r="V402" s="49" t="str">
        <f t="shared" ref="V402:V465" si="35">T402&amp;U402</f>
        <v>[W1214.1] 쿨링 공급 캐비티#1(SD221) RLS가 감지되었습니다.</v>
      </c>
    </row>
    <row r="403" spans="1:22" s="49" customFormat="1" ht="14.15" customHeight="1">
      <c r="A403" s="43" t="s">
        <v>3763</v>
      </c>
      <c r="B403" s="44" t="s">
        <v>6637</v>
      </c>
      <c r="C403" s="50"/>
      <c r="D403" s="10" t="s">
        <v>29</v>
      </c>
      <c r="E403" s="11"/>
      <c r="F403" s="11" t="s">
        <v>18</v>
      </c>
      <c r="G403" s="13"/>
      <c r="H403" s="45" t="s">
        <v>16</v>
      </c>
      <c r="I403" s="45"/>
      <c r="J403" s="12" t="s">
        <v>2841</v>
      </c>
      <c r="K403" s="13" t="s">
        <v>7173</v>
      </c>
      <c r="L403" s="99" t="str">
        <f t="shared" si="32"/>
        <v>W1214.2</v>
      </c>
      <c r="M403" s="13" t="s">
        <v>3667</v>
      </c>
      <c r="N403" s="13"/>
      <c r="O403" s="13"/>
      <c r="P403" s="52"/>
      <c r="Q403" s="45"/>
      <c r="R403" s="45"/>
      <c r="S403" s="48"/>
      <c r="T403" s="49" t="str">
        <f t="shared" si="33"/>
        <v>[W1214.2]</v>
      </c>
      <c r="U403" s="12" t="str">
        <f t="shared" si="34"/>
        <v xml:space="preserve"> 쿨링 공급 캐비티#1(SD221) Stop 명령이 On된 상태에서 기동을 시도했습니다.</v>
      </c>
      <c r="V403" s="49" t="str">
        <f t="shared" si="35"/>
        <v>[W1214.2] 쿨링 공급 캐비티#1(SD221) Stop 명령이 On된 상태에서 기동을 시도했습니다.</v>
      </c>
    </row>
    <row r="404" spans="1:22" s="49" customFormat="1" ht="14.15" customHeight="1">
      <c r="A404" s="43" t="s">
        <v>3763</v>
      </c>
      <c r="B404" s="44" t="s">
        <v>6637</v>
      </c>
      <c r="C404" s="50"/>
      <c r="D404" s="10" t="s">
        <v>29</v>
      </c>
      <c r="E404" s="11"/>
      <c r="F404" s="11" t="s">
        <v>18</v>
      </c>
      <c r="G404" s="13"/>
      <c r="H404" s="45" t="s">
        <v>16</v>
      </c>
      <c r="I404" s="45"/>
      <c r="J404" s="12" t="s">
        <v>2842</v>
      </c>
      <c r="K404" s="13" t="s">
        <v>7174</v>
      </c>
      <c r="L404" s="99" t="str">
        <f t="shared" si="32"/>
        <v>W1214.3</v>
      </c>
      <c r="M404" s="13" t="s">
        <v>3667</v>
      </c>
      <c r="N404" s="13"/>
      <c r="O404" s="13"/>
      <c r="P404" s="52"/>
      <c r="Q404" s="45"/>
      <c r="R404" s="45"/>
      <c r="S404" s="48"/>
      <c r="T404" s="49" t="str">
        <f t="shared" si="33"/>
        <v>[W1214.3]</v>
      </c>
      <c r="U404" s="12" t="str">
        <f t="shared" si="34"/>
        <v xml:space="preserve"> 쿨링 공급 캐비티#1(SD221) 가동 전원이 Off 되었습니다.</v>
      </c>
      <c r="V404" s="49" t="str">
        <f t="shared" si="35"/>
        <v>[W1214.3] 쿨링 공급 캐비티#1(SD221) 가동 전원이 Off 되었습니다.</v>
      </c>
    </row>
    <row r="405" spans="1:22" s="49" customFormat="1" ht="14.15" customHeight="1">
      <c r="A405" s="43" t="s">
        <v>3763</v>
      </c>
      <c r="B405" s="44" t="s">
        <v>6637</v>
      </c>
      <c r="C405" s="50"/>
      <c r="D405" s="10" t="s">
        <v>29</v>
      </c>
      <c r="E405" s="11"/>
      <c r="F405" s="11" t="s">
        <v>18</v>
      </c>
      <c r="G405" s="13"/>
      <c r="H405" s="45" t="s">
        <v>16</v>
      </c>
      <c r="I405" s="45"/>
      <c r="J405" s="12" t="s">
        <v>2843</v>
      </c>
      <c r="K405" s="13" t="s">
        <v>7175</v>
      </c>
      <c r="L405" s="99" t="str">
        <f t="shared" si="32"/>
        <v>W1214.4</v>
      </c>
      <c r="M405" s="13" t="s">
        <v>3667</v>
      </c>
      <c r="N405" s="13"/>
      <c r="O405" s="13"/>
      <c r="P405" s="52"/>
      <c r="Q405" s="45"/>
      <c r="R405" s="45"/>
      <c r="S405" s="48"/>
      <c r="T405" s="49" t="str">
        <f t="shared" si="33"/>
        <v>[W1214.4]</v>
      </c>
      <c r="U405" s="12" t="str">
        <f t="shared" si="34"/>
        <v xml:space="preserve"> 쿨링 공급 캐비티#1(SD221) 엔코더 이상이 검출되었습니다.</v>
      </c>
      <c r="V405" s="49" t="str">
        <f t="shared" si="35"/>
        <v>[W1214.4] 쿨링 공급 캐비티#1(SD221) 엔코더 이상이 검출되었습니다.</v>
      </c>
    </row>
    <row r="406" spans="1:22" s="49" customFormat="1" ht="14.15" customHeight="1">
      <c r="A406" s="43" t="s">
        <v>3763</v>
      </c>
      <c r="B406" s="44" t="s">
        <v>6637</v>
      </c>
      <c r="C406" s="50"/>
      <c r="D406" s="10" t="s">
        <v>29</v>
      </c>
      <c r="E406" s="11"/>
      <c r="F406" s="11" t="s">
        <v>18</v>
      </c>
      <c r="G406" s="13"/>
      <c r="H406" s="45" t="s">
        <v>16</v>
      </c>
      <c r="I406" s="45"/>
      <c r="J406" s="12" t="s">
        <v>2844</v>
      </c>
      <c r="K406" s="13" t="s">
        <v>7176</v>
      </c>
      <c r="L406" s="99" t="str">
        <f t="shared" si="32"/>
        <v>W1214.5</v>
      </c>
      <c r="M406" s="13" t="s">
        <v>3667</v>
      </c>
      <c r="N406" s="13"/>
      <c r="O406" s="13"/>
      <c r="P406" s="52"/>
      <c r="Q406" s="45"/>
      <c r="R406" s="45"/>
      <c r="S406" s="48"/>
      <c r="T406" s="49" t="str">
        <f t="shared" si="33"/>
        <v>[W1214.5]</v>
      </c>
      <c r="U406" s="12" t="str">
        <f t="shared" si="34"/>
        <v xml:space="preserve"> 쿨링 공급 캐비티#1(SD221) 과전류가 검출되었습니다.</v>
      </c>
      <c r="V406" s="49" t="str">
        <f t="shared" si="35"/>
        <v>[W1214.5] 쿨링 공급 캐비티#1(SD221) 과전류가 검출되었습니다.</v>
      </c>
    </row>
    <row r="407" spans="1:22" s="49" customFormat="1" ht="14.15" customHeight="1">
      <c r="A407" s="43" t="s">
        <v>3763</v>
      </c>
      <c r="B407" s="44" t="s">
        <v>6637</v>
      </c>
      <c r="C407" s="50"/>
      <c r="D407" s="10" t="s">
        <v>29</v>
      </c>
      <c r="E407" s="11"/>
      <c r="F407" s="11" t="s">
        <v>18</v>
      </c>
      <c r="G407" s="13"/>
      <c r="H407" s="45" t="s">
        <v>16</v>
      </c>
      <c r="I407" s="45"/>
      <c r="J407" s="12" t="s">
        <v>2845</v>
      </c>
      <c r="K407" s="13" t="s">
        <v>7177</v>
      </c>
      <c r="L407" s="99" t="str">
        <f t="shared" si="32"/>
        <v>W1214.6</v>
      </c>
      <c r="M407" s="13" t="s">
        <v>3667</v>
      </c>
      <c r="N407" s="13"/>
      <c r="O407" s="13"/>
      <c r="P407" s="52"/>
      <c r="Q407" s="45"/>
      <c r="R407" s="45"/>
      <c r="S407" s="48"/>
      <c r="T407" s="49" t="str">
        <f t="shared" si="33"/>
        <v>[W1214.6]</v>
      </c>
      <c r="U407" s="12" t="str">
        <f t="shared" si="34"/>
        <v xml:space="preserve"> 쿨링 공급 캐비티#1(SD221) 과부하가 검출되었습니다.</v>
      </c>
      <c r="V407" s="49" t="str">
        <f t="shared" si="35"/>
        <v>[W1214.6] 쿨링 공급 캐비티#1(SD221) 과부하가 검출되었습니다.</v>
      </c>
    </row>
    <row r="408" spans="1:22" s="49" customFormat="1" ht="14.15" customHeight="1">
      <c r="A408" s="43" t="s">
        <v>3763</v>
      </c>
      <c r="B408" s="44" t="s">
        <v>6637</v>
      </c>
      <c r="C408" s="50"/>
      <c r="D408" s="10" t="s">
        <v>29</v>
      </c>
      <c r="E408" s="11"/>
      <c r="F408" s="11" t="s">
        <v>18</v>
      </c>
      <c r="G408" s="13"/>
      <c r="H408" s="45" t="s">
        <v>16</v>
      </c>
      <c r="I408" s="45"/>
      <c r="J408" s="12" t="s">
        <v>2846</v>
      </c>
      <c r="K408" s="13" t="s">
        <v>7178</v>
      </c>
      <c r="L408" s="99" t="str">
        <f t="shared" si="32"/>
        <v>W1214.7</v>
      </c>
      <c r="M408" s="13" t="s">
        <v>3667</v>
      </c>
      <c r="N408" s="13"/>
      <c r="O408" s="13"/>
      <c r="P408" s="52"/>
      <c r="Q408" s="45"/>
      <c r="R408" s="45"/>
      <c r="S408" s="48"/>
      <c r="T408" s="49" t="str">
        <f t="shared" si="33"/>
        <v>[W1214.7]</v>
      </c>
      <c r="U408" s="12" t="str">
        <f t="shared" si="34"/>
        <v xml:space="preserve"> 쿨링 공급 캐비티#1(SD221)  </v>
      </c>
      <c r="V408" s="49" t="str">
        <f t="shared" si="35"/>
        <v xml:space="preserve">[W1214.7] 쿨링 공급 캐비티#1(SD221)  </v>
      </c>
    </row>
    <row r="409" spans="1:22" s="49" customFormat="1" ht="14.15" customHeight="1">
      <c r="A409" s="43" t="s">
        <v>3763</v>
      </c>
      <c r="B409" s="44" t="s">
        <v>6637</v>
      </c>
      <c r="C409" s="50"/>
      <c r="D409" s="10" t="s">
        <v>29</v>
      </c>
      <c r="E409" s="11"/>
      <c r="F409" s="11" t="s">
        <v>18</v>
      </c>
      <c r="G409" s="13"/>
      <c r="H409" s="45" t="s">
        <v>16</v>
      </c>
      <c r="I409" s="45"/>
      <c r="J409" s="12" t="s">
        <v>2847</v>
      </c>
      <c r="K409" s="13" t="s">
        <v>7179</v>
      </c>
      <c r="L409" s="99" t="str">
        <f t="shared" si="32"/>
        <v>W1214.8</v>
      </c>
      <c r="M409" s="13" t="s">
        <v>3667</v>
      </c>
      <c r="N409" s="13"/>
      <c r="O409" s="13"/>
      <c r="P409" s="52"/>
      <c r="Q409" s="45"/>
      <c r="R409" s="45"/>
      <c r="S409" s="48"/>
      <c r="T409" s="49" t="str">
        <f t="shared" si="33"/>
        <v>[W1214.8]</v>
      </c>
      <c r="U409" s="12" t="str">
        <f t="shared" si="34"/>
        <v xml:space="preserve"> 쿨링 공급 캐비티#1(SD221) 에러가 발생했습니다.</v>
      </c>
      <c r="V409" s="49" t="str">
        <f t="shared" si="35"/>
        <v>[W1214.8] 쿨링 공급 캐비티#1(SD221) 에러가 발생했습니다.</v>
      </c>
    </row>
    <row r="410" spans="1:22" s="49" customFormat="1" ht="14.15" customHeight="1">
      <c r="A410" s="43" t="s">
        <v>3763</v>
      </c>
      <c r="B410" s="44" t="s">
        <v>6637</v>
      </c>
      <c r="C410" s="50"/>
      <c r="D410" s="10" t="s">
        <v>29</v>
      </c>
      <c r="E410" s="11"/>
      <c r="F410" s="11" t="s">
        <v>18</v>
      </c>
      <c r="G410" s="13"/>
      <c r="H410" s="45" t="s">
        <v>16</v>
      </c>
      <c r="I410" s="45"/>
      <c r="J410" s="12" t="s">
        <v>2848</v>
      </c>
      <c r="K410" s="13" t="s">
        <v>7180</v>
      </c>
      <c r="L410" s="99" t="str">
        <f t="shared" si="32"/>
        <v>W1214.9</v>
      </c>
      <c r="M410" s="13" t="s">
        <v>3667</v>
      </c>
      <c r="N410" s="13"/>
      <c r="O410" s="13"/>
      <c r="P410" s="52"/>
      <c r="Q410" s="45"/>
      <c r="R410" s="45"/>
      <c r="S410" s="48"/>
      <c r="T410" s="49" t="str">
        <f t="shared" si="33"/>
        <v>[W1214.9]</v>
      </c>
      <c r="U410" s="12" t="str">
        <f t="shared" si="34"/>
        <v xml:space="preserve"> 쿨링 공급 캐비티#2(SD222) 운전중에 Ready가 Off 되었습니다.</v>
      </c>
      <c r="V410" s="49" t="str">
        <f t="shared" si="35"/>
        <v>[W1214.9] 쿨링 공급 캐비티#2(SD222) 운전중에 Ready가 Off 되었습니다.</v>
      </c>
    </row>
    <row r="411" spans="1:22" s="49" customFormat="1" ht="14.15" customHeight="1">
      <c r="A411" s="43" t="s">
        <v>3763</v>
      </c>
      <c r="B411" s="44" t="s">
        <v>6637</v>
      </c>
      <c r="C411" s="50"/>
      <c r="D411" s="10" t="s">
        <v>29</v>
      </c>
      <c r="E411" s="11"/>
      <c r="F411" s="11" t="s">
        <v>18</v>
      </c>
      <c r="G411" s="13"/>
      <c r="H411" s="45" t="s">
        <v>16</v>
      </c>
      <c r="I411" s="45"/>
      <c r="J411" s="12" t="s">
        <v>2849</v>
      </c>
      <c r="K411" s="13" t="s">
        <v>7181</v>
      </c>
      <c r="L411" s="99" t="str">
        <f t="shared" si="32"/>
        <v>W1214.A</v>
      </c>
      <c r="M411" s="13" t="s">
        <v>3667</v>
      </c>
      <c r="N411" s="13"/>
      <c r="O411" s="13"/>
      <c r="P411" s="52"/>
      <c r="Q411" s="45"/>
      <c r="R411" s="45"/>
      <c r="S411" s="48"/>
      <c r="T411" s="49" t="str">
        <f t="shared" si="33"/>
        <v>[W1214.A]</v>
      </c>
      <c r="U411" s="12" t="str">
        <f t="shared" si="34"/>
        <v xml:space="preserve"> 쿨링 공급 캐비티#2(SD222) FLS가 감지되었습니다.</v>
      </c>
      <c r="V411" s="49" t="str">
        <f t="shared" si="35"/>
        <v>[W1214.A] 쿨링 공급 캐비티#2(SD222) FLS가 감지되었습니다.</v>
      </c>
    </row>
    <row r="412" spans="1:22" s="49" customFormat="1" ht="14.15" customHeight="1">
      <c r="A412" s="43" t="s">
        <v>3763</v>
      </c>
      <c r="B412" s="44" t="s">
        <v>6637</v>
      </c>
      <c r="C412" s="50"/>
      <c r="D412" s="10" t="s">
        <v>29</v>
      </c>
      <c r="E412" s="11"/>
      <c r="F412" s="11" t="s">
        <v>18</v>
      </c>
      <c r="G412" s="13"/>
      <c r="H412" s="45" t="s">
        <v>16</v>
      </c>
      <c r="I412" s="45"/>
      <c r="J412" s="12" t="s">
        <v>2850</v>
      </c>
      <c r="K412" s="13" t="s">
        <v>7182</v>
      </c>
      <c r="L412" s="99" t="str">
        <f t="shared" si="32"/>
        <v>W1214.B</v>
      </c>
      <c r="M412" s="13" t="s">
        <v>3667</v>
      </c>
      <c r="N412" s="13"/>
      <c r="O412" s="13"/>
      <c r="P412" s="52"/>
      <c r="Q412" s="45"/>
      <c r="R412" s="45"/>
      <c r="S412" s="48"/>
      <c r="T412" s="49" t="str">
        <f t="shared" si="33"/>
        <v>[W1214.B]</v>
      </c>
      <c r="U412" s="12" t="str">
        <f t="shared" si="34"/>
        <v xml:space="preserve"> 쿨링 공급 캐비티#2(SD222) RLS가 감지되었습니다.</v>
      </c>
      <c r="V412" s="49" t="str">
        <f t="shared" si="35"/>
        <v>[W1214.B] 쿨링 공급 캐비티#2(SD222) RLS가 감지되었습니다.</v>
      </c>
    </row>
    <row r="413" spans="1:22" s="49" customFormat="1" ht="14.15" customHeight="1">
      <c r="A413" s="43" t="s">
        <v>3763</v>
      </c>
      <c r="B413" s="44" t="s">
        <v>6637</v>
      </c>
      <c r="C413" s="50"/>
      <c r="D413" s="10" t="s">
        <v>29</v>
      </c>
      <c r="E413" s="11"/>
      <c r="F413" s="11" t="s">
        <v>18</v>
      </c>
      <c r="G413" s="13"/>
      <c r="H413" s="45" t="s">
        <v>16</v>
      </c>
      <c r="I413" s="45"/>
      <c r="J413" s="12" t="s">
        <v>2851</v>
      </c>
      <c r="K413" s="13" t="s">
        <v>7183</v>
      </c>
      <c r="L413" s="99" t="str">
        <f t="shared" si="32"/>
        <v>W1214.C</v>
      </c>
      <c r="M413" s="13" t="s">
        <v>3667</v>
      </c>
      <c r="N413" s="13"/>
      <c r="O413" s="13"/>
      <c r="P413" s="52"/>
      <c r="Q413" s="45"/>
      <c r="R413" s="45"/>
      <c r="S413" s="48"/>
      <c r="T413" s="49" t="str">
        <f t="shared" si="33"/>
        <v>[W1214.C]</v>
      </c>
      <c r="U413" s="12" t="str">
        <f t="shared" si="34"/>
        <v xml:space="preserve"> 쿨링 공급 캐비티#2(SD222) Stop 명령이 On된 상태에서 기동을 시도했습니다.</v>
      </c>
      <c r="V413" s="49" t="str">
        <f t="shared" si="35"/>
        <v>[W1214.C] 쿨링 공급 캐비티#2(SD222) Stop 명령이 On된 상태에서 기동을 시도했습니다.</v>
      </c>
    </row>
    <row r="414" spans="1:22" s="49" customFormat="1" ht="14.15" customHeight="1">
      <c r="A414" s="43" t="s">
        <v>3763</v>
      </c>
      <c r="B414" s="44" t="s">
        <v>6637</v>
      </c>
      <c r="C414" s="50"/>
      <c r="D414" s="10" t="s">
        <v>29</v>
      </c>
      <c r="E414" s="11"/>
      <c r="F414" s="11" t="s">
        <v>18</v>
      </c>
      <c r="G414" s="13"/>
      <c r="H414" s="45" t="s">
        <v>16</v>
      </c>
      <c r="I414" s="45"/>
      <c r="J414" s="12" t="s">
        <v>2852</v>
      </c>
      <c r="K414" s="13" t="s">
        <v>7184</v>
      </c>
      <c r="L414" s="99" t="str">
        <f t="shared" si="32"/>
        <v>W1214.D</v>
      </c>
      <c r="M414" s="13" t="s">
        <v>3667</v>
      </c>
      <c r="N414" s="13"/>
      <c r="O414" s="13"/>
      <c r="P414" s="52"/>
      <c r="Q414" s="45"/>
      <c r="R414" s="45"/>
      <c r="S414" s="48"/>
      <c r="T414" s="49" t="str">
        <f t="shared" si="33"/>
        <v>[W1214.D]</v>
      </c>
      <c r="U414" s="12" t="str">
        <f t="shared" si="34"/>
        <v xml:space="preserve"> 쿨링 공급 캐비티#2(SD222) 가동 전원이 Off 되었습니다.</v>
      </c>
      <c r="V414" s="49" t="str">
        <f t="shared" si="35"/>
        <v>[W1214.D] 쿨링 공급 캐비티#2(SD222) 가동 전원이 Off 되었습니다.</v>
      </c>
    </row>
    <row r="415" spans="1:22" s="49" customFormat="1" ht="14.15" customHeight="1">
      <c r="A415" s="43" t="s">
        <v>3763</v>
      </c>
      <c r="B415" s="44" t="s">
        <v>6637</v>
      </c>
      <c r="C415" s="50"/>
      <c r="D415" s="10" t="s">
        <v>29</v>
      </c>
      <c r="E415" s="11"/>
      <c r="F415" s="11" t="s">
        <v>18</v>
      </c>
      <c r="G415" s="13"/>
      <c r="H415" s="45" t="s">
        <v>16</v>
      </c>
      <c r="I415" s="45"/>
      <c r="J415" s="12" t="s">
        <v>2853</v>
      </c>
      <c r="K415" s="13" t="s">
        <v>7185</v>
      </c>
      <c r="L415" s="99" t="str">
        <f t="shared" si="32"/>
        <v>W1214.E</v>
      </c>
      <c r="M415" s="13" t="s">
        <v>3667</v>
      </c>
      <c r="N415" s="13"/>
      <c r="O415" s="13"/>
      <c r="P415" s="52"/>
      <c r="Q415" s="45"/>
      <c r="R415" s="45"/>
      <c r="S415" s="48"/>
      <c r="T415" s="49" t="str">
        <f t="shared" si="33"/>
        <v>[W1214.E]</v>
      </c>
      <c r="U415" s="12" t="str">
        <f t="shared" si="34"/>
        <v xml:space="preserve"> 쿨링 공급 캐비티#2(SD222) 엔코더 이상이 검출되었습니다.</v>
      </c>
      <c r="V415" s="49" t="str">
        <f t="shared" si="35"/>
        <v>[W1214.E] 쿨링 공급 캐비티#2(SD222) 엔코더 이상이 검출되었습니다.</v>
      </c>
    </row>
    <row r="416" spans="1:22" s="49" customFormat="1" ht="14.15" customHeight="1">
      <c r="A416" s="43" t="s">
        <v>3763</v>
      </c>
      <c r="B416" s="44" t="s">
        <v>6637</v>
      </c>
      <c r="C416" s="50"/>
      <c r="D416" s="10" t="s">
        <v>29</v>
      </c>
      <c r="E416" s="11"/>
      <c r="F416" s="11" t="s">
        <v>18</v>
      </c>
      <c r="G416" s="13"/>
      <c r="H416" s="45" t="s">
        <v>16</v>
      </c>
      <c r="I416" s="45"/>
      <c r="J416" s="12" t="s">
        <v>2854</v>
      </c>
      <c r="K416" s="13" t="s">
        <v>7186</v>
      </c>
      <c r="L416" s="99" t="str">
        <f t="shared" si="32"/>
        <v>W1214.F</v>
      </c>
      <c r="M416" s="13" t="s">
        <v>3667</v>
      </c>
      <c r="N416" s="13"/>
      <c r="O416" s="13"/>
      <c r="P416" s="52"/>
      <c r="Q416" s="45"/>
      <c r="R416" s="45"/>
      <c r="S416" s="48"/>
      <c r="T416" s="49" t="str">
        <f t="shared" si="33"/>
        <v>[W1214.F]</v>
      </c>
      <c r="U416" s="12" t="str">
        <f t="shared" si="34"/>
        <v xml:space="preserve"> 쿨링 공급 캐비티#2(SD222) 과전류가 검출되었습니다.</v>
      </c>
      <c r="V416" s="49" t="str">
        <f t="shared" si="35"/>
        <v>[W1214.F] 쿨링 공급 캐비티#2(SD222) 과전류가 검출되었습니다.</v>
      </c>
    </row>
    <row r="417" spans="1:22" s="49" customFormat="1" ht="14.15" customHeight="1">
      <c r="A417" s="43" t="s">
        <v>3763</v>
      </c>
      <c r="B417" s="44" t="s">
        <v>6637</v>
      </c>
      <c r="C417" s="50"/>
      <c r="D417" s="10" t="s">
        <v>29</v>
      </c>
      <c r="E417" s="11"/>
      <c r="F417" s="11" t="s">
        <v>18</v>
      </c>
      <c r="G417" s="13"/>
      <c r="H417" s="45" t="s">
        <v>16</v>
      </c>
      <c r="I417" s="46"/>
      <c r="J417" s="14" t="s">
        <v>2855</v>
      </c>
      <c r="K417" s="13" t="s">
        <v>7187</v>
      </c>
      <c r="L417" s="99" t="str">
        <f t="shared" si="32"/>
        <v>W1215.0</v>
      </c>
      <c r="M417" s="13" t="s">
        <v>3667</v>
      </c>
      <c r="N417" s="13"/>
      <c r="O417" s="13"/>
      <c r="P417" s="52"/>
      <c r="Q417" s="45"/>
      <c r="R417" s="45"/>
      <c r="S417" s="48"/>
      <c r="T417" s="49" t="str">
        <f t="shared" si="33"/>
        <v>[W1215.0]</v>
      </c>
      <c r="U417" s="12" t="str">
        <f t="shared" si="34"/>
        <v xml:space="preserve"> 쿨링 공급 캐비티#2(SD222) 과부하가 검출되었습니다.</v>
      </c>
      <c r="V417" s="49" t="str">
        <f t="shared" si="35"/>
        <v>[W1215.0] 쿨링 공급 캐비티#2(SD222) 과부하가 검출되었습니다.</v>
      </c>
    </row>
    <row r="418" spans="1:22" s="49" customFormat="1" ht="14.15" customHeight="1">
      <c r="A418" s="43" t="s">
        <v>3763</v>
      </c>
      <c r="B418" s="44" t="s">
        <v>6637</v>
      </c>
      <c r="C418" s="50"/>
      <c r="D418" s="10" t="s">
        <v>29</v>
      </c>
      <c r="E418" s="11"/>
      <c r="F418" s="11" t="s">
        <v>18</v>
      </c>
      <c r="G418" s="13"/>
      <c r="H418" s="45" t="s">
        <v>16</v>
      </c>
      <c r="I418" s="46"/>
      <c r="J418" s="14" t="s">
        <v>2856</v>
      </c>
      <c r="K418" s="13" t="s">
        <v>7188</v>
      </c>
      <c r="L418" s="99" t="str">
        <f t="shared" si="32"/>
        <v>W1215.1</v>
      </c>
      <c r="M418" s="13" t="s">
        <v>3667</v>
      </c>
      <c r="N418" s="13"/>
      <c r="O418" s="13"/>
      <c r="P418" s="52"/>
      <c r="Q418" s="45"/>
      <c r="R418" s="45"/>
      <c r="S418" s="48"/>
      <c r="T418" s="49" t="str">
        <f t="shared" si="33"/>
        <v>[W1215.1]</v>
      </c>
      <c r="U418" s="12" t="str">
        <f t="shared" si="34"/>
        <v xml:space="preserve"> 쿨링 공급 캐비티#2(SD222)  </v>
      </c>
      <c r="V418" s="49" t="str">
        <f t="shared" si="35"/>
        <v xml:space="preserve">[W1215.1] 쿨링 공급 캐비티#2(SD222)  </v>
      </c>
    </row>
    <row r="419" spans="1:22" s="49" customFormat="1" ht="14.15" customHeight="1">
      <c r="A419" s="43" t="s">
        <v>3763</v>
      </c>
      <c r="B419" s="44" t="s">
        <v>6637</v>
      </c>
      <c r="C419" s="50"/>
      <c r="D419" s="10" t="s">
        <v>29</v>
      </c>
      <c r="E419" s="11"/>
      <c r="F419" s="11" t="s">
        <v>18</v>
      </c>
      <c r="G419" s="13"/>
      <c r="H419" s="45" t="s">
        <v>16</v>
      </c>
      <c r="I419" s="46"/>
      <c r="J419" s="14" t="s">
        <v>2857</v>
      </c>
      <c r="K419" s="13" t="s">
        <v>7189</v>
      </c>
      <c r="L419" s="99" t="str">
        <f t="shared" si="32"/>
        <v>W1215.2</v>
      </c>
      <c r="M419" s="13" t="s">
        <v>3667</v>
      </c>
      <c r="N419" s="13"/>
      <c r="O419" s="13"/>
      <c r="P419" s="52"/>
      <c r="Q419" s="45"/>
      <c r="R419" s="45"/>
      <c r="S419" s="48"/>
      <c r="T419" s="49" t="str">
        <f t="shared" si="33"/>
        <v>[W1215.2]</v>
      </c>
      <c r="U419" s="12" t="str">
        <f t="shared" si="34"/>
        <v xml:space="preserve"> 쿨링 공급 캐비티#2(SD222) 에러가 발생했습니다.</v>
      </c>
      <c r="V419" s="49" t="str">
        <f t="shared" si="35"/>
        <v>[W1215.2] 쿨링 공급 캐비티#2(SD222) 에러가 발생했습니다.</v>
      </c>
    </row>
    <row r="420" spans="1:22" s="49" customFormat="1" ht="14.15" customHeight="1">
      <c r="A420" s="43" t="s">
        <v>3763</v>
      </c>
      <c r="B420" s="44" t="s">
        <v>6637</v>
      </c>
      <c r="C420" s="50"/>
      <c r="D420" s="10" t="s">
        <v>29</v>
      </c>
      <c r="E420" s="11"/>
      <c r="F420" s="11" t="s">
        <v>18</v>
      </c>
      <c r="G420" s="13"/>
      <c r="H420" s="45" t="s">
        <v>16</v>
      </c>
      <c r="I420" s="46"/>
      <c r="J420" s="14" t="s">
        <v>2858</v>
      </c>
      <c r="K420" s="13" t="s">
        <v>7190</v>
      </c>
      <c r="L420" s="99" t="str">
        <f t="shared" si="32"/>
        <v>W1215.3</v>
      </c>
      <c r="M420" s="13" t="s">
        <v>3667</v>
      </c>
      <c r="N420" s="13"/>
      <c r="O420" s="13"/>
      <c r="P420" s="52"/>
      <c r="Q420" s="45"/>
      <c r="R420" s="45"/>
      <c r="S420" s="48"/>
      <c r="T420" s="49" t="str">
        <f t="shared" si="33"/>
        <v>[W1215.3]</v>
      </c>
      <c r="U420" s="12" t="str">
        <f t="shared" si="34"/>
        <v xml:space="preserve"> 쿨링 배출 캐비티#1(SD223) 운전중에 Ready가 Off 되었습니다.</v>
      </c>
      <c r="V420" s="49" t="str">
        <f t="shared" si="35"/>
        <v>[W1215.3] 쿨링 배출 캐비티#1(SD223) 운전중에 Ready가 Off 되었습니다.</v>
      </c>
    </row>
    <row r="421" spans="1:22" s="49" customFormat="1" ht="14.15" customHeight="1">
      <c r="A421" s="43" t="s">
        <v>3763</v>
      </c>
      <c r="B421" s="44" t="s">
        <v>6637</v>
      </c>
      <c r="C421" s="50"/>
      <c r="D421" s="10" t="s">
        <v>29</v>
      </c>
      <c r="E421" s="11"/>
      <c r="F421" s="11" t="s">
        <v>18</v>
      </c>
      <c r="G421" s="13"/>
      <c r="H421" s="45" t="s">
        <v>16</v>
      </c>
      <c r="I421" s="46"/>
      <c r="J421" s="14" t="s">
        <v>2859</v>
      </c>
      <c r="K421" s="13" t="s">
        <v>7191</v>
      </c>
      <c r="L421" s="99" t="str">
        <f t="shared" si="32"/>
        <v>W1215.4</v>
      </c>
      <c r="M421" s="13" t="s">
        <v>3667</v>
      </c>
      <c r="N421" s="13"/>
      <c r="O421" s="13"/>
      <c r="P421" s="52"/>
      <c r="Q421" s="45"/>
      <c r="R421" s="45"/>
      <c r="S421" s="48"/>
      <c r="T421" s="49" t="str">
        <f t="shared" si="33"/>
        <v>[W1215.4]</v>
      </c>
      <c r="U421" s="12" t="str">
        <f t="shared" si="34"/>
        <v xml:space="preserve"> 쿨링 배출 캐비티#1(SD223) FLS가 감지되었습니다.</v>
      </c>
      <c r="V421" s="49" t="str">
        <f t="shared" si="35"/>
        <v>[W1215.4] 쿨링 배출 캐비티#1(SD223) FLS가 감지되었습니다.</v>
      </c>
    </row>
    <row r="422" spans="1:22" s="49" customFormat="1" ht="14.15" customHeight="1">
      <c r="A422" s="43" t="s">
        <v>3763</v>
      </c>
      <c r="B422" s="44" t="s">
        <v>6637</v>
      </c>
      <c r="C422" s="50"/>
      <c r="D422" s="10" t="s">
        <v>29</v>
      </c>
      <c r="E422" s="11"/>
      <c r="F422" s="11" t="s">
        <v>18</v>
      </c>
      <c r="G422" s="13"/>
      <c r="H422" s="45" t="s">
        <v>16</v>
      </c>
      <c r="I422" s="46"/>
      <c r="J422" s="14" t="s">
        <v>2860</v>
      </c>
      <c r="K422" s="13" t="s">
        <v>7192</v>
      </c>
      <c r="L422" s="99" t="str">
        <f t="shared" si="32"/>
        <v>W1215.5</v>
      </c>
      <c r="M422" s="13" t="s">
        <v>3667</v>
      </c>
      <c r="N422" s="13"/>
      <c r="O422" s="13"/>
      <c r="P422" s="52"/>
      <c r="Q422" s="45"/>
      <c r="R422" s="45"/>
      <c r="S422" s="48"/>
      <c r="T422" s="49" t="str">
        <f t="shared" si="33"/>
        <v>[W1215.5]</v>
      </c>
      <c r="U422" s="12" t="str">
        <f t="shared" si="34"/>
        <v xml:space="preserve"> 쿨링 배출 캐비티#1(SD223) RLS가 감지되었습니다.</v>
      </c>
      <c r="V422" s="49" t="str">
        <f t="shared" si="35"/>
        <v>[W1215.5] 쿨링 배출 캐비티#1(SD223) RLS가 감지되었습니다.</v>
      </c>
    </row>
    <row r="423" spans="1:22" s="49" customFormat="1" ht="14.15" customHeight="1">
      <c r="A423" s="43" t="s">
        <v>3763</v>
      </c>
      <c r="B423" s="44" t="s">
        <v>6637</v>
      </c>
      <c r="C423" s="50"/>
      <c r="D423" s="10" t="s">
        <v>29</v>
      </c>
      <c r="E423" s="11"/>
      <c r="F423" s="11" t="s">
        <v>18</v>
      </c>
      <c r="G423" s="13"/>
      <c r="H423" s="45" t="s">
        <v>16</v>
      </c>
      <c r="I423" s="46"/>
      <c r="J423" s="14" t="s">
        <v>2861</v>
      </c>
      <c r="K423" s="13" t="s">
        <v>7193</v>
      </c>
      <c r="L423" s="99" t="str">
        <f t="shared" si="32"/>
        <v>W1215.6</v>
      </c>
      <c r="M423" s="13" t="s">
        <v>3667</v>
      </c>
      <c r="N423" s="13"/>
      <c r="O423" s="13"/>
      <c r="P423" s="52"/>
      <c r="Q423" s="45"/>
      <c r="R423" s="45"/>
      <c r="S423" s="48"/>
      <c r="T423" s="49" t="str">
        <f t="shared" si="33"/>
        <v>[W1215.6]</v>
      </c>
      <c r="U423" s="12" t="str">
        <f t="shared" si="34"/>
        <v xml:space="preserve"> 쿨링 배출 캐비티#1(SD223) Stop 명령이 On된 상태에서 기동을 시도했습니다.</v>
      </c>
      <c r="V423" s="49" t="str">
        <f t="shared" si="35"/>
        <v>[W1215.6] 쿨링 배출 캐비티#1(SD223) Stop 명령이 On된 상태에서 기동을 시도했습니다.</v>
      </c>
    </row>
    <row r="424" spans="1:22" s="49" customFormat="1" ht="14.15" customHeight="1">
      <c r="A424" s="43" t="s">
        <v>3763</v>
      </c>
      <c r="B424" s="44" t="s">
        <v>6637</v>
      </c>
      <c r="C424" s="50"/>
      <c r="D424" s="10" t="s">
        <v>29</v>
      </c>
      <c r="E424" s="11"/>
      <c r="F424" s="11" t="s">
        <v>18</v>
      </c>
      <c r="G424" s="13"/>
      <c r="H424" s="45" t="s">
        <v>16</v>
      </c>
      <c r="I424" s="46"/>
      <c r="J424" s="14" t="s">
        <v>2862</v>
      </c>
      <c r="K424" s="13" t="s">
        <v>7194</v>
      </c>
      <c r="L424" s="99" t="str">
        <f t="shared" si="32"/>
        <v>W1215.7</v>
      </c>
      <c r="M424" s="13" t="s">
        <v>3667</v>
      </c>
      <c r="N424" s="13"/>
      <c r="O424" s="13"/>
      <c r="P424" s="52"/>
      <c r="Q424" s="45"/>
      <c r="R424" s="45"/>
      <c r="S424" s="48"/>
      <c r="T424" s="49" t="str">
        <f t="shared" si="33"/>
        <v>[W1215.7]</v>
      </c>
      <c r="U424" s="12" t="str">
        <f t="shared" si="34"/>
        <v xml:space="preserve"> 쿨링 배출 캐비티#1(SD223) 가동 전원이 Off 되었습니다.</v>
      </c>
      <c r="V424" s="49" t="str">
        <f t="shared" si="35"/>
        <v>[W1215.7] 쿨링 배출 캐비티#1(SD223) 가동 전원이 Off 되었습니다.</v>
      </c>
    </row>
    <row r="425" spans="1:22" s="49" customFormat="1" ht="14.15" customHeight="1">
      <c r="A425" s="43" t="s">
        <v>3763</v>
      </c>
      <c r="B425" s="44" t="s">
        <v>6637</v>
      </c>
      <c r="C425" s="50"/>
      <c r="D425" s="10" t="s">
        <v>29</v>
      </c>
      <c r="E425" s="11"/>
      <c r="F425" s="11" t="s">
        <v>18</v>
      </c>
      <c r="G425" s="13"/>
      <c r="H425" s="45" t="s">
        <v>16</v>
      </c>
      <c r="I425" s="46"/>
      <c r="J425" s="14" t="s">
        <v>2863</v>
      </c>
      <c r="K425" s="13" t="s">
        <v>7195</v>
      </c>
      <c r="L425" s="99" t="str">
        <f t="shared" si="32"/>
        <v>W1215.8</v>
      </c>
      <c r="M425" s="13" t="s">
        <v>3667</v>
      </c>
      <c r="N425" s="13"/>
      <c r="O425" s="13"/>
      <c r="P425" s="52"/>
      <c r="Q425" s="45"/>
      <c r="R425" s="45"/>
      <c r="S425" s="48"/>
      <c r="T425" s="49" t="str">
        <f t="shared" si="33"/>
        <v>[W1215.8]</v>
      </c>
      <c r="U425" s="12" t="str">
        <f t="shared" si="34"/>
        <v xml:space="preserve"> 쿨링 배출 캐비티#1(SD223) 엔코더 이상이 검출되었습니다.</v>
      </c>
      <c r="V425" s="49" t="str">
        <f t="shared" si="35"/>
        <v>[W1215.8] 쿨링 배출 캐비티#1(SD223) 엔코더 이상이 검출되었습니다.</v>
      </c>
    </row>
    <row r="426" spans="1:22" s="49" customFormat="1" ht="14.15" customHeight="1">
      <c r="A426" s="43" t="s">
        <v>3763</v>
      </c>
      <c r="B426" s="44" t="s">
        <v>6637</v>
      </c>
      <c r="C426" s="50"/>
      <c r="D426" s="10" t="s">
        <v>29</v>
      </c>
      <c r="E426" s="11"/>
      <c r="F426" s="11" t="s">
        <v>18</v>
      </c>
      <c r="G426" s="13"/>
      <c r="H426" s="45" t="s">
        <v>16</v>
      </c>
      <c r="I426" s="46"/>
      <c r="J426" s="14" t="s">
        <v>2864</v>
      </c>
      <c r="K426" s="13" t="s">
        <v>7196</v>
      </c>
      <c r="L426" s="99" t="str">
        <f t="shared" si="32"/>
        <v>W1215.9</v>
      </c>
      <c r="M426" s="13" t="s">
        <v>3667</v>
      </c>
      <c r="N426" s="13"/>
      <c r="O426" s="13"/>
      <c r="P426" s="52"/>
      <c r="Q426" s="45"/>
      <c r="R426" s="45"/>
      <c r="S426" s="48"/>
      <c r="T426" s="49" t="str">
        <f t="shared" si="33"/>
        <v>[W1215.9]</v>
      </c>
      <c r="U426" s="12" t="str">
        <f t="shared" si="34"/>
        <v xml:space="preserve"> 쿨링 배출 캐비티#1(SD223) 과전류가 검출되었습니다.</v>
      </c>
      <c r="V426" s="49" t="str">
        <f t="shared" si="35"/>
        <v>[W1215.9] 쿨링 배출 캐비티#1(SD223) 과전류가 검출되었습니다.</v>
      </c>
    </row>
    <row r="427" spans="1:22" s="49" customFormat="1" ht="14.15" customHeight="1">
      <c r="A427" s="43" t="s">
        <v>3763</v>
      </c>
      <c r="B427" s="44" t="s">
        <v>6637</v>
      </c>
      <c r="C427" s="50"/>
      <c r="D427" s="10" t="s">
        <v>29</v>
      </c>
      <c r="E427" s="11"/>
      <c r="F427" s="11" t="s">
        <v>18</v>
      </c>
      <c r="G427" s="13"/>
      <c r="H427" s="45" t="s">
        <v>16</v>
      </c>
      <c r="I427" s="46"/>
      <c r="J427" s="14" t="s">
        <v>2865</v>
      </c>
      <c r="K427" s="13" t="s">
        <v>7197</v>
      </c>
      <c r="L427" s="99" t="str">
        <f t="shared" si="32"/>
        <v>W1215.A</v>
      </c>
      <c r="M427" s="13" t="s">
        <v>3667</v>
      </c>
      <c r="N427" s="13"/>
      <c r="O427" s="13"/>
      <c r="P427" s="52"/>
      <c r="Q427" s="45"/>
      <c r="R427" s="45"/>
      <c r="S427" s="48"/>
      <c r="T427" s="49" t="str">
        <f t="shared" si="33"/>
        <v>[W1215.A]</v>
      </c>
      <c r="U427" s="12" t="str">
        <f t="shared" si="34"/>
        <v xml:space="preserve"> 쿨링 배출 캐비티#1(SD223) 과부하가 검출되었습니다.</v>
      </c>
      <c r="V427" s="49" t="str">
        <f t="shared" si="35"/>
        <v>[W1215.A] 쿨링 배출 캐비티#1(SD223) 과부하가 검출되었습니다.</v>
      </c>
    </row>
    <row r="428" spans="1:22" s="49" customFormat="1" ht="14.15" customHeight="1">
      <c r="A428" s="43" t="s">
        <v>3763</v>
      </c>
      <c r="B428" s="44" t="s">
        <v>6637</v>
      </c>
      <c r="C428" s="50"/>
      <c r="D428" s="10" t="s">
        <v>29</v>
      </c>
      <c r="E428" s="11"/>
      <c r="F428" s="11" t="s">
        <v>18</v>
      </c>
      <c r="G428" s="13"/>
      <c r="H428" s="45" t="s">
        <v>16</v>
      </c>
      <c r="I428" s="46"/>
      <c r="J428" s="14" t="s">
        <v>2866</v>
      </c>
      <c r="K428" s="13" t="s">
        <v>7198</v>
      </c>
      <c r="L428" s="99" t="str">
        <f t="shared" si="32"/>
        <v>W1215.B</v>
      </c>
      <c r="M428" s="13" t="s">
        <v>3667</v>
      </c>
      <c r="N428" s="13"/>
      <c r="O428" s="13"/>
      <c r="P428" s="52"/>
      <c r="Q428" s="45"/>
      <c r="R428" s="45"/>
      <c r="S428" s="48"/>
      <c r="T428" s="49" t="str">
        <f t="shared" si="33"/>
        <v>[W1215.B]</v>
      </c>
      <c r="U428" s="12" t="str">
        <f t="shared" si="34"/>
        <v xml:space="preserve"> 쿨링 배출 캐비티#1(SD223)  </v>
      </c>
      <c r="V428" s="49" t="str">
        <f t="shared" si="35"/>
        <v xml:space="preserve">[W1215.B] 쿨링 배출 캐비티#1(SD223)  </v>
      </c>
    </row>
    <row r="429" spans="1:22" s="49" customFormat="1" ht="14.15" customHeight="1">
      <c r="A429" s="43" t="s">
        <v>3763</v>
      </c>
      <c r="B429" s="44" t="s">
        <v>6637</v>
      </c>
      <c r="C429" s="50"/>
      <c r="D429" s="10" t="s">
        <v>29</v>
      </c>
      <c r="E429" s="11"/>
      <c r="F429" s="11" t="s">
        <v>18</v>
      </c>
      <c r="G429" s="13"/>
      <c r="H429" s="45" t="s">
        <v>16</v>
      </c>
      <c r="I429" s="46"/>
      <c r="J429" s="14" t="s">
        <v>2867</v>
      </c>
      <c r="K429" s="13" t="s">
        <v>7199</v>
      </c>
      <c r="L429" s="99" t="str">
        <f t="shared" si="32"/>
        <v>W1215.C</v>
      </c>
      <c r="M429" s="13" t="s">
        <v>3667</v>
      </c>
      <c r="N429" s="13"/>
      <c r="O429" s="13"/>
      <c r="P429" s="52"/>
      <c r="Q429" s="45"/>
      <c r="R429" s="45"/>
      <c r="S429" s="48"/>
      <c r="T429" s="49" t="str">
        <f t="shared" si="33"/>
        <v>[W1215.C]</v>
      </c>
      <c r="U429" s="12" t="str">
        <f t="shared" si="34"/>
        <v xml:space="preserve"> 쿨링 배출 캐비티#1(SD223) 에러가 발생했습니다.</v>
      </c>
      <c r="V429" s="49" t="str">
        <f t="shared" si="35"/>
        <v>[W1215.C] 쿨링 배출 캐비티#1(SD223) 에러가 발생했습니다.</v>
      </c>
    </row>
    <row r="430" spans="1:22" s="49" customFormat="1" ht="14.15" customHeight="1">
      <c r="A430" s="43" t="s">
        <v>3763</v>
      </c>
      <c r="B430" s="44" t="s">
        <v>6637</v>
      </c>
      <c r="C430" s="50"/>
      <c r="D430" s="10" t="s">
        <v>29</v>
      </c>
      <c r="E430" s="11"/>
      <c r="F430" s="11" t="s">
        <v>18</v>
      </c>
      <c r="G430" s="13"/>
      <c r="H430" s="45" t="s">
        <v>16</v>
      </c>
      <c r="I430" s="46"/>
      <c r="J430" s="14" t="s">
        <v>2868</v>
      </c>
      <c r="K430" s="13" t="s">
        <v>7200</v>
      </c>
      <c r="L430" s="99" t="str">
        <f t="shared" si="32"/>
        <v>W1215.D</v>
      </c>
      <c r="M430" s="13" t="s">
        <v>3667</v>
      </c>
      <c r="N430" s="13"/>
      <c r="O430" s="13"/>
      <c r="P430" s="52"/>
      <c r="Q430" s="45"/>
      <c r="R430" s="45"/>
      <c r="S430" s="48"/>
      <c r="T430" s="49" t="str">
        <f t="shared" si="33"/>
        <v>[W1215.D]</v>
      </c>
      <c r="U430" s="12" t="str">
        <f t="shared" si="34"/>
        <v xml:space="preserve"> 쿨링 배출 캐비티#2(SD224) 운전중에 Ready가 Off 되었습니다.</v>
      </c>
      <c r="V430" s="49" t="str">
        <f t="shared" si="35"/>
        <v>[W1215.D] 쿨링 배출 캐비티#2(SD224) 운전중에 Ready가 Off 되었습니다.</v>
      </c>
    </row>
    <row r="431" spans="1:22" s="49" customFormat="1" ht="14.15" customHeight="1">
      <c r="A431" s="43" t="s">
        <v>3763</v>
      </c>
      <c r="B431" s="44" t="s">
        <v>6637</v>
      </c>
      <c r="C431" s="50"/>
      <c r="D431" s="10" t="s">
        <v>29</v>
      </c>
      <c r="E431" s="11"/>
      <c r="F431" s="11" t="s">
        <v>18</v>
      </c>
      <c r="G431" s="13"/>
      <c r="H431" s="45" t="s">
        <v>16</v>
      </c>
      <c r="I431" s="46"/>
      <c r="J431" s="14" t="s">
        <v>2869</v>
      </c>
      <c r="K431" s="13" t="s">
        <v>7201</v>
      </c>
      <c r="L431" s="99" t="str">
        <f t="shared" si="32"/>
        <v>W1215.E</v>
      </c>
      <c r="M431" s="13" t="s">
        <v>3667</v>
      </c>
      <c r="N431" s="13"/>
      <c r="O431" s="13"/>
      <c r="P431" s="52"/>
      <c r="Q431" s="45"/>
      <c r="R431" s="45"/>
      <c r="S431" s="48"/>
      <c r="T431" s="49" t="str">
        <f t="shared" si="33"/>
        <v>[W1215.E]</v>
      </c>
      <c r="U431" s="12" t="str">
        <f t="shared" si="34"/>
        <v xml:space="preserve"> 쿨링 배출 캐비티#2(SD224) FLS가 감지되었습니다.</v>
      </c>
      <c r="V431" s="49" t="str">
        <f t="shared" si="35"/>
        <v>[W1215.E] 쿨링 배출 캐비티#2(SD224) FLS가 감지되었습니다.</v>
      </c>
    </row>
    <row r="432" spans="1:22" s="49" customFormat="1" ht="14.15" customHeight="1">
      <c r="A432" s="43" t="s">
        <v>3763</v>
      </c>
      <c r="B432" s="44" t="s">
        <v>6637</v>
      </c>
      <c r="C432" s="50"/>
      <c r="D432" s="10" t="s">
        <v>29</v>
      </c>
      <c r="E432" s="11"/>
      <c r="F432" s="11" t="s">
        <v>18</v>
      </c>
      <c r="G432" s="13"/>
      <c r="H432" s="45" t="s">
        <v>16</v>
      </c>
      <c r="I432" s="46"/>
      <c r="J432" s="14" t="s">
        <v>2870</v>
      </c>
      <c r="K432" s="13" t="s">
        <v>7202</v>
      </c>
      <c r="L432" s="99" t="str">
        <f t="shared" si="32"/>
        <v>W1215.F</v>
      </c>
      <c r="M432" s="13" t="s">
        <v>3667</v>
      </c>
      <c r="N432" s="13"/>
      <c r="O432" s="13"/>
      <c r="P432" s="52"/>
      <c r="Q432" s="45"/>
      <c r="R432" s="45"/>
      <c r="S432" s="48"/>
      <c r="T432" s="49" t="str">
        <f t="shared" si="33"/>
        <v>[W1215.F]</v>
      </c>
      <c r="U432" s="12" t="str">
        <f t="shared" si="34"/>
        <v xml:space="preserve"> 쿨링 배출 캐비티#2(SD224) RLS가 감지되었습니다.</v>
      </c>
      <c r="V432" s="49" t="str">
        <f t="shared" si="35"/>
        <v>[W1215.F] 쿨링 배출 캐비티#2(SD224) RLS가 감지되었습니다.</v>
      </c>
    </row>
    <row r="433" spans="1:22" s="49" customFormat="1" ht="14.15" customHeight="1">
      <c r="A433" s="43" t="s">
        <v>3763</v>
      </c>
      <c r="B433" s="44" t="s">
        <v>6637</v>
      </c>
      <c r="C433" s="50"/>
      <c r="D433" s="10" t="s">
        <v>29</v>
      </c>
      <c r="E433" s="11"/>
      <c r="F433" s="11" t="s">
        <v>18</v>
      </c>
      <c r="G433" s="13"/>
      <c r="H433" s="45" t="s">
        <v>16</v>
      </c>
      <c r="I433" s="46"/>
      <c r="J433" s="14" t="s">
        <v>2871</v>
      </c>
      <c r="K433" s="13" t="s">
        <v>7203</v>
      </c>
      <c r="L433" s="99" t="str">
        <f t="shared" si="32"/>
        <v>W1216.0</v>
      </c>
      <c r="M433" s="13" t="s">
        <v>3667</v>
      </c>
      <c r="N433" s="13"/>
      <c r="O433" s="13"/>
      <c r="P433" s="52"/>
      <c r="Q433" s="45"/>
      <c r="R433" s="45"/>
      <c r="S433" s="48"/>
      <c r="T433" s="49" t="str">
        <f t="shared" si="33"/>
        <v>[W1216.0]</v>
      </c>
      <c r="U433" s="12" t="str">
        <f t="shared" si="34"/>
        <v xml:space="preserve"> 쿨링 배출 캐비티#2(SD224) Stop 명령이 On된 상태에서 기동을 시도했습니다.</v>
      </c>
      <c r="V433" s="49" t="str">
        <f t="shared" si="35"/>
        <v>[W1216.0] 쿨링 배출 캐비티#2(SD224) Stop 명령이 On된 상태에서 기동을 시도했습니다.</v>
      </c>
    </row>
    <row r="434" spans="1:22" s="49" customFormat="1" ht="14.15" customHeight="1">
      <c r="A434" s="43" t="s">
        <v>3763</v>
      </c>
      <c r="B434" s="44" t="s">
        <v>6637</v>
      </c>
      <c r="C434" s="50"/>
      <c r="D434" s="10" t="s">
        <v>29</v>
      </c>
      <c r="E434" s="11"/>
      <c r="F434" s="11" t="s">
        <v>18</v>
      </c>
      <c r="G434" s="13"/>
      <c r="H434" s="45" t="s">
        <v>16</v>
      </c>
      <c r="I434" s="46"/>
      <c r="J434" s="14" t="s">
        <v>2872</v>
      </c>
      <c r="K434" s="13" t="s">
        <v>7204</v>
      </c>
      <c r="L434" s="99" t="str">
        <f t="shared" si="32"/>
        <v>W1216.1</v>
      </c>
      <c r="M434" s="13" t="s">
        <v>3667</v>
      </c>
      <c r="N434" s="13"/>
      <c r="O434" s="13"/>
      <c r="P434" s="52"/>
      <c r="Q434" s="45"/>
      <c r="R434" s="45"/>
      <c r="S434" s="48"/>
      <c r="T434" s="49" t="str">
        <f t="shared" ref="T434:T468" si="36">"["&amp;L434&amp;"]"</f>
        <v>[W1216.1]</v>
      </c>
      <c r="U434" s="12" t="str">
        <f t="shared" ref="U434:U468" si="37">RIGHT(J434,LEN(J434)-7)</f>
        <v xml:space="preserve"> 쿨링 배출 캐비티#2(SD224) 가동 전원이 Off 되었습니다.</v>
      </c>
      <c r="V434" s="49" t="str">
        <f t="shared" si="35"/>
        <v>[W1216.1] 쿨링 배출 캐비티#2(SD224) 가동 전원이 Off 되었습니다.</v>
      </c>
    </row>
    <row r="435" spans="1:22" s="49" customFormat="1" ht="14.15" customHeight="1">
      <c r="A435" s="43" t="s">
        <v>3763</v>
      </c>
      <c r="B435" s="44" t="s">
        <v>6637</v>
      </c>
      <c r="C435" s="50"/>
      <c r="D435" s="10" t="s">
        <v>29</v>
      </c>
      <c r="E435" s="11"/>
      <c r="F435" s="11" t="s">
        <v>18</v>
      </c>
      <c r="G435" s="13"/>
      <c r="H435" s="45" t="s">
        <v>16</v>
      </c>
      <c r="I435" s="46"/>
      <c r="J435" s="14" t="s">
        <v>2873</v>
      </c>
      <c r="K435" s="13" t="s">
        <v>7205</v>
      </c>
      <c r="L435" s="99" t="str">
        <f t="shared" si="32"/>
        <v>W1216.2</v>
      </c>
      <c r="M435" s="13" t="s">
        <v>3667</v>
      </c>
      <c r="N435" s="13"/>
      <c r="O435" s="13"/>
      <c r="P435" s="47"/>
      <c r="Q435" s="45"/>
      <c r="R435" s="45"/>
      <c r="S435" s="48"/>
      <c r="T435" s="49" t="str">
        <f t="shared" si="36"/>
        <v>[W1216.2]</v>
      </c>
      <c r="U435" s="12" t="str">
        <f t="shared" si="37"/>
        <v xml:space="preserve"> 쿨링 배출 캐비티#2(SD224) 엔코더 이상이 검출되었습니다.</v>
      </c>
      <c r="V435" s="49" t="str">
        <f t="shared" si="35"/>
        <v>[W1216.2] 쿨링 배출 캐비티#2(SD224) 엔코더 이상이 검출되었습니다.</v>
      </c>
    </row>
    <row r="436" spans="1:22" s="49" customFormat="1" ht="14.15" customHeight="1">
      <c r="A436" s="43" t="s">
        <v>3763</v>
      </c>
      <c r="B436" s="44" t="s">
        <v>6637</v>
      </c>
      <c r="C436" s="50"/>
      <c r="D436" s="10" t="s">
        <v>29</v>
      </c>
      <c r="E436" s="11"/>
      <c r="F436" s="11" t="s">
        <v>18</v>
      </c>
      <c r="G436" s="13"/>
      <c r="H436" s="45" t="s">
        <v>16</v>
      </c>
      <c r="I436" s="46"/>
      <c r="J436" s="14" t="s">
        <v>2874</v>
      </c>
      <c r="K436" s="13" t="s">
        <v>7206</v>
      </c>
      <c r="L436" s="99" t="str">
        <f t="shared" si="32"/>
        <v>W1216.3</v>
      </c>
      <c r="M436" s="13" t="s">
        <v>3667</v>
      </c>
      <c r="N436" s="13"/>
      <c r="O436" s="13"/>
      <c r="P436" s="47"/>
      <c r="Q436" s="45"/>
      <c r="R436" s="45"/>
      <c r="S436" s="48"/>
      <c r="T436" s="49" t="str">
        <f t="shared" si="36"/>
        <v>[W1216.3]</v>
      </c>
      <c r="U436" s="12" t="str">
        <f t="shared" si="37"/>
        <v xml:space="preserve"> 쿨링 배출 캐비티#2(SD224) 과전류가 검출되었습니다.</v>
      </c>
      <c r="V436" s="49" t="str">
        <f t="shared" si="35"/>
        <v>[W1216.3] 쿨링 배출 캐비티#2(SD224) 과전류가 검출되었습니다.</v>
      </c>
    </row>
    <row r="437" spans="1:22" s="49" customFormat="1" ht="14.15" customHeight="1">
      <c r="A437" s="43" t="s">
        <v>3763</v>
      </c>
      <c r="B437" s="44" t="s">
        <v>6637</v>
      </c>
      <c r="C437" s="50"/>
      <c r="D437" s="10" t="s">
        <v>29</v>
      </c>
      <c r="E437" s="11"/>
      <c r="F437" s="11" t="s">
        <v>18</v>
      </c>
      <c r="G437" s="13"/>
      <c r="H437" s="45" t="s">
        <v>16</v>
      </c>
      <c r="I437" s="46"/>
      <c r="J437" s="14" t="s">
        <v>2875</v>
      </c>
      <c r="K437" s="13" t="s">
        <v>7207</v>
      </c>
      <c r="L437" s="99" t="str">
        <f t="shared" si="32"/>
        <v>W1216.4</v>
      </c>
      <c r="M437" s="13" t="s">
        <v>3667</v>
      </c>
      <c r="N437" s="13"/>
      <c r="O437" s="13"/>
      <c r="P437" s="47"/>
      <c r="Q437" s="45"/>
      <c r="R437" s="45"/>
      <c r="S437" s="48"/>
      <c r="T437" s="49" t="str">
        <f t="shared" si="36"/>
        <v>[W1216.4]</v>
      </c>
      <c r="U437" s="12" t="str">
        <f t="shared" si="37"/>
        <v xml:space="preserve"> 쿨링 배출 캐비티#2(SD224) 과부하가 검출되었습니다.</v>
      </c>
      <c r="V437" s="49" t="str">
        <f t="shared" si="35"/>
        <v>[W1216.4] 쿨링 배출 캐비티#2(SD224) 과부하가 검출되었습니다.</v>
      </c>
    </row>
    <row r="438" spans="1:22" s="49" customFormat="1" ht="14.15" customHeight="1">
      <c r="A438" s="43" t="s">
        <v>3763</v>
      </c>
      <c r="B438" s="44" t="s">
        <v>6637</v>
      </c>
      <c r="C438" s="50"/>
      <c r="D438" s="10" t="s">
        <v>29</v>
      </c>
      <c r="E438" s="11"/>
      <c r="F438" s="11" t="s">
        <v>18</v>
      </c>
      <c r="G438" s="13"/>
      <c r="H438" s="45" t="s">
        <v>16</v>
      </c>
      <c r="I438" s="46"/>
      <c r="J438" s="14" t="s">
        <v>2876</v>
      </c>
      <c r="K438" s="13" t="s">
        <v>7208</v>
      </c>
      <c r="L438" s="99" t="str">
        <f t="shared" si="32"/>
        <v>W1216.5</v>
      </c>
      <c r="M438" s="13" t="s">
        <v>3667</v>
      </c>
      <c r="N438" s="13"/>
      <c r="O438" s="13"/>
      <c r="P438" s="47"/>
      <c r="Q438" s="45"/>
      <c r="R438" s="45"/>
      <c r="S438" s="48"/>
      <c r="T438" s="49" t="str">
        <f t="shared" si="36"/>
        <v>[W1216.5]</v>
      </c>
      <c r="U438" s="12" t="str">
        <f t="shared" si="37"/>
        <v xml:space="preserve"> 쿨링 배출 캐비티#2(SD224)  </v>
      </c>
      <c r="V438" s="49" t="str">
        <f t="shared" si="35"/>
        <v xml:space="preserve">[W1216.5] 쿨링 배출 캐비티#2(SD224)  </v>
      </c>
    </row>
    <row r="439" spans="1:22" s="49" customFormat="1" ht="14.15" customHeight="1">
      <c r="A439" s="43" t="s">
        <v>3763</v>
      </c>
      <c r="B439" s="44" t="s">
        <v>6637</v>
      </c>
      <c r="C439" s="50"/>
      <c r="D439" s="10" t="s">
        <v>29</v>
      </c>
      <c r="E439" s="11"/>
      <c r="F439" s="11" t="s">
        <v>18</v>
      </c>
      <c r="G439" s="13"/>
      <c r="H439" s="45" t="s">
        <v>16</v>
      </c>
      <c r="I439" s="46"/>
      <c r="J439" s="14" t="s">
        <v>2877</v>
      </c>
      <c r="K439" s="13" t="s">
        <v>7209</v>
      </c>
      <c r="L439" s="99" t="str">
        <f t="shared" si="32"/>
        <v>W1216.6</v>
      </c>
      <c r="M439" s="13" t="s">
        <v>3667</v>
      </c>
      <c r="N439" s="13"/>
      <c r="O439" s="13"/>
      <c r="P439" s="47"/>
      <c r="Q439" s="45"/>
      <c r="R439" s="45"/>
      <c r="S439" s="48"/>
      <c r="T439" s="49" t="str">
        <f t="shared" si="36"/>
        <v>[W1216.6]</v>
      </c>
      <c r="U439" s="12" t="str">
        <f t="shared" si="37"/>
        <v xml:space="preserve"> 쿨링 배출 캐비티#2(SD224) 에러가 발생했습니다.</v>
      </c>
      <c r="V439" s="49" t="str">
        <f t="shared" si="35"/>
        <v>[W1216.6] 쿨링 배출 캐비티#2(SD224) 에러가 발생했습니다.</v>
      </c>
    </row>
    <row r="440" spans="1:22" s="49" customFormat="1" ht="14.15" customHeight="1">
      <c r="A440" s="43" t="s">
        <v>3763</v>
      </c>
      <c r="B440" s="44" t="s">
        <v>6637</v>
      </c>
      <c r="C440" s="50"/>
      <c r="D440" s="10" t="s">
        <v>29</v>
      </c>
      <c r="E440" s="11"/>
      <c r="F440" s="11" t="s">
        <v>18</v>
      </c>
      <c r="G440" s="13"/>
      <c r="H440" s="45" t="s">
        <v>16</v>
      </c>
      <c r="I440" s="46"/>
      <c r="J440" s="14" t="s">
        <v>2878</v>
      </c>
      <c r="K440" s="13" t="s">
        <v>7210</v>
      </c>
      <c r="L440" s="99" t="str">
        <f t="shared" si="32"/>
        <v>W1216.7</v>
      </c>
      <c r="M440" s="13" t="s">
        <v>3667</v>
      </c>
      <c r="N440" s="13"/>
      <c r="O440" s="13"/>
      <c r="P440" s="47"/>
      <c r="Q440" s="45"/>
      <c r="R440" s="45"/>
      <c r="S440" s="48"/>
      <c r="T440" s="49" t="str">
        <f t="shared" si="36"/>
        <v>[W1216.7]</v>
      </c>
      <c r="U440" s="12" t="str">
        <f t="shared" si="37"/>
        <v xml:space="preserve"> 쿨링 공급 Z축(SD225) 운전중에 Ready가 Off 되었습니다.</v>
      </c>
      <c r="V440" s="49" t="str">
        <f t="shared" si="35"/>
        <v>[W1216.7] 쿨링 공급 Z축(SD225) 운전중에 Ready가 Off 되었습니다.</v>
      </c>
    </row>
    <row r="441" spans="1:22" s="49" customFormat="1" ht="14.15" customHeight="1">
      <c r="A441" s="43" t="s">
        <v>3763</v>
      </c>
      <c r="B441" s="44" t="s">
        <v>6637</v>
      </c>
      <c r="C441" s="50"/>
      <c r="D441" s="10" t="s">
        <v>29</v>
      </c>
      <c r="E441" s="11"/>
      <c r="F441" s="11" t="s">
        <v>18</v>
      </c>
      <c r="G441" s="13"/>
      <c r="H441" s="45" t="s">
        <v>16</v>
      </c>
      <c r="I441" s="46"/>
      <c r="J441" s="14" t="s">
        <v>2879</v>
      </c>
      <c r="K441" s="13" t="s">
        <v>7211</v>
      </c>
      <c r="L441" s="99" t="str">
        <f t="shared" si="32"/>
        <v>W1216.8</v>
      </c>
      <c r="M441" s="13" t="s">
        <v>3667</v>
      </c>
      <c r="N441" s="13"/>
      <c r="O441" s="13"/>
      <c r="P441" s="52"/>
      <c r="Q441" s="45"/>
      <c r="R441" s="45"/>
      <c r="S441" s="48"/>
      <c r="T441" s="49" t="str">
        <f t="shared" si="36"/>
        <v>[W1216.8]</v>
      </c>
      <c r="U441" s="12" t="str">
        <f t="shared" si="37"/>
        <v xml:space="preserve"> 쿨링 공급 Z축(SD225) FLS가 감지되었습니다.</v>
      </c>
      <c r="V441" s="49" t="str">
        <f t="shared" si="35"/>
        <v>[W1216.8] 쿨링 공급 Z축(SD225) FLS가 감지되었습니다.</v>
      </c>
    </row>
    <row r="442" spans="1:22" s="49" customFormat="1" ht="14.15" customHeight="1">
      <c r="A442" s="43" t="s">
        <v>3763</v>
      </c>
      <c r="B442" s="44" t="s">
        <v>6637</v>
      </c>
      <c r="C442" s="50"/>
      <c r="D442" s="10" t="s">
        <v>29</v>
      </c>
      <c r="E442" s="11"/>
      <c r="F442" s="11" t="s">
        <v>18</v>
      </c>
      <c r="G442" s="13"/>
      <c r="H442" s="45" t="s">
        <v>16</v>
      </c>
      <c r="I442" s="46"/>
      <c r="J442" s="14" t="s">
        <v>2880</v>
      </c>
      <c r="K442" s="13" t="s">
        <v>7212</v>
      </c>
      <c r="L442" s="99" t="str">
        <f t="shared" si="32"/>
        <v>W1216.9</v>
      </c>
      <c r="M442" s="13" t="s">
        <v>3667</v>
      </c>
      <c r="N442" s="13"/>
      <c r="O442" s="13"/>
      <c r="P442" s="52"/>
      <c r="Q442" s="45"/>
      <c r="R442" s="45"/>
      <c r="S442" s="48"/>
      <c r="T442" s="49" t="str">
        <f t="shared" si="36"/>
        <v>[W1216.9]</v>
      </c>
      <c r="U442" s="12" t="str">
        <f t="shared" si="37"/>
        <v xml:space="preserve"> 쿨링 공급 Z축(SD225) RLS가 감지되었습니다.</v>
      </c>
      <c r="V442" s="49" t="str">
        <f t="shared" si="35"/>
        <v>[W1216.9] 쿨링 공급 Z축(SD225) RLS가 감지되었습니다.</v>
      </c>
    </row>
    <row r="443" spans="1:22" s="49" customFormat="1" ht="14.15" customHeight="1">
      <c r="A443" s="43" t="s">
        <v>3763</v>
      </c>
      <c r="B443" s="44" t="s">
        <v>6637</v>
      </c>
      <c r="C443" s="50"/>
      <c r="D443" s="10" t="s">
        <v>29</v>
      </c>
      <c r="E443" s="11"/>
      <c r="F443" s="11" t="s">
        <v>18</v>
      </c>
      <c r="G443" s="13"/>
      <c r="H443" s="45" t="s">
        <v>16</v>
      </c>
      <c r="I443" s="46"/>
      <c r="J443" s="14" t="s">
        <v>2881</v>
      </c>
      <c r="K443" s="13" t="s">
        <v>7213</v>
      </c>
      <c r="L443" s="99" t="str">
        <f t="shared" si="32"/>
        <v>W1216.A</v>
      </c>
      <c r="M443" s="13" t="s">
        <v>3667</v>
      </c>
      <c r="N443" s="13"/>
      <c r="O443" s="13"/>
      <c r="P443" s="52"/>
      <c r="Q443" s="45"/>
      <c r="R443" s="45"/>
      <c r="S443" s="48"/>
      <c r="T443" s="49" t="str">
        <f t="shared" si="36"/>
        <v>[W1216.A]</v>
      </c>
      <c r="U443" s="12" t="str">
        <f t="shared" si="37"/>
        <v xml:space="preserve"> 쿨링 공급 Z축(SD225) Stop 명령이 On된 상태에서 기동을 시도했습니다.</v>
      </c>
      <c r="V443" s="49" t="str">
        <f t="shared" si="35"/>
        <v>[W1216.A] 쿨링 공급 Z축(SD225) Stop 명령이 On된 상태에서 기동을 시도했습니다.</v>
      </c>
    </row>
    <row r="444" spans="1:22" s="49" customFormat="1" ht="14.15" customHeight="1">
      <c r="A444" s="43" t="s">
        <v>3763</v>
      </c>
      <c r="B444" s="44" t="s">
        <v>6637</v>
      </c>
      <c r="C444" s="50"/>
      <c r="D444" s="10" t="s">
        <v>29</v>
      </c>
      <c r="E444" s="11"/>
      <c r="F444" s="11" t="s">
        <v>18</v>
      </c>
      <c r="G444" s="13"/>
      <c r="H444" s="45" t="s">
        <v>16</v>
      </c>
      <c r="I444" s="46"/>
      <c r="J444" s="14" t="s">
        <v>2882</v>
      </c>
      <c r="K444" s="13" t="s">
        <v>7214</v>
      </c>
      <c r="L444" s="99" t="str">
        <f t="shared" si="32"/>
        <v>W1216.B</v>
      </c>
      <c r="M444" s="13" t="s">
        <v>3667</v>
      </c>
      <c r="N444" s="13"/>
      <c r="O444" s="13"/>
      <c r="P444" s="52"/>
      <c r="Q444" s="45"/>
      <c r="R444" s="45"/>
      <c r="S444" s="48"/>
      <c r="T444" s="49" t="str">
        <f t="shared" si="36"/>
        <v>[W1216.B]</v>
      </c>
      <c r="U444" s="12" t="str">
        <f t="shared" si="37"/>
        <v xml:space="preserve"> 쿨링 공급 Z축(SD225) 가동 전원이 Off 되었습니다.</v>
      </c>
      <c r="V444" s="49" t="str">
        <f t="shared" si="35"/>
        <v>[W1216.B] 쿨링 공급 Z축(SD225) 가동 전원이 Off 되었습니다.</v>
      </c>
    </row>
    <row r="445" spans="1:22" s="49" customFormat="1" ht="14.15" customHeight="1">
      <c r="A445" s="43" t="s">
        <v>3763</v>
      </c>
      <c r="B445" s="44" t="s">
        <v>6637</v>
      </c>
      <c r="C445" s="50"/>
      <c r="D445" s="10" t="s">
        <v>29</v>
      </c>
      <c r="E445" s="11"/>
      <c r="F445" s="11" t="s">
        <v>18</v>
      </c>
      <c r="G445" s="13"/>
      <c r="H445" s="45" t="s">
        <v>16</v>
      </c>
      <c r="I445" s="46"/>
      <c r="J445" s="14" t="s">
        <v>2883</v>
      </c>
      <c r="K445" s="13" t="s">
        <v>7215</v>
      </c>
      <c r="L445" s="99" t="str">
        <f t="shared" si="32"/>
        <v>W1216.C</v>
      </c>
      <c r="M445" s="13" t="s">
        <v>3667</v>
      </c>
      <c r="N445" s="13"/>
      <c r="O445" s="13"/>
      <c r="P445" s="52"/>
      <c r="Q445" s="45"/>
      <c r="R445" s="45"/>
      <c r="S445" s="48"/>
      <c r="T445" s="49" t="str">
        <f t="shared" si="36"/>
        <v>[W1216.C]</v>
      </c>
      <c r="U445" s="12" t="str">
        <f t="shared" si="37"/>
        <v xml:space="preserve"> 쿨링 공급 Z축(SD225) 엔코더 이상이 검출되었습니다.</v>
      </c>
      <c r="V445" s="49" t="str">
        <f t="shared" si="35"/>
        <v>[W1216.C] 쿨링 공급 Z축(SD225) 엔코더 이상이 검출되었습니다.</v>
      </c>
    </row>
    <row r="446" spans="1:22" s="49" customFormat="1" ht="14.15" customHeight="1">
      <c r="A446" s="43" t="s">
        <v>3763</v>
      </c>
      <c r="B446" s="44" t="s">
        <v>6637</v>
      </c>
      <c r="C446" s="50"/>
      <c r="D446" s="10" t="s">
        <v>29</v>
      </c>
      <c r="E446" s="11"/>
      <c r="F446" s="11" t="s">
        <v>18</v>
      </c>
      <c r="G446" s="13"/>
      <c r="H446" s="45" t="s">
        <v>16</v>
      </c>
      <c r="I446" s="46"/>
      <c r="J446" s="14" t="s">
        <v>2884</v>
      </c>
      <c r="K446" s="13" t="s">
        <v>7216</v>
      </c>
      <c r="L446" s="99" t="str">
        <f t="shared" si="32"/>
        <v>W1216.D</v>
      </c>
      <c r="M446" s="13" t="s">
        <v>3667</v>
      </c>
      <c r="N446" s="13"/>
      <c r="O446" s="13"/>
      <c r="P446" s="52"/>
      <c r="Q446" s="45"/>
      <c r="R446" s="45"/>
      <c r="S446" s="48"/>
      <c r="T446" s="49" t="str">
        <f t="shared" si="36"/>
        <v>[W1216.D]</v>
      </c>
      <c r="U446" s="12" t="str">
        <f t="shared" si="37"/>
        <v xml:space="preserve"> 쿨링 공급 Z축(SD225) 과전류가 검출되었습니다.</v>
      </c>
      <c r="V446" s="49" t="str">
        <f t="shared" si="35"/>
        <v>[W1216.D] 쿨링 공급 Z축(SD225) 과전류가 검출되었습니다.</v>
      </c>
    </row>
    <row r="447" spans="1:22" s="49" customFormat="1" ht="14.15" customHeight="1">
      <c r="A447" s="43" t="s">
        <v>3763</v>
      </c>
      <c r="B447" s="44" t="s">
        <v>6637</v>
      </c>
      <c r="C447" s="50"/>
      <c r="D447" s="10" t="s">
        <v>29</v>
      </c>
      <c r="E447" s="11"/>
      <c r="F447" s="11" t="s">
        <v>18</v>
      </c>
      <c r="G447" s="13"/>
      <c r="H447" s="45" t="s">
        <v>16</v>
      </c>
      <c r="I447" s="46"/>
      <c r="J447" s="14" t="s">
        <v>2885</v>
      </c>
      <c r="K447" s="13" t="s">
        <v>7217</v>
      </c>
      <c r="L447" s="99" t="str">
        <f t="shared" si="32"/>
        <v>W1216.E</v>
      </c>
      <c r="M447" s="13" t="s">
        <v>3667</v>
      </c>
      <c r="N447" s="13"/>
      <c r="O447" s="13"/>
      <c r="P447" s="52"/>
      <c r="Q447" s="45"/>
      <c r="R447" s="45"/>
      <c r="S447" s="48"/>
      <c r="T447" s="49" t="str">
        <f t="shared" si="36"/>
        <v>[W1216.E]</v>
      </c>
      <c r="U447" s="12" t="str">
        <f t="shared" si="37"/>
        <v xml:space="preserve"> 쿨링 공급 Z축(SD225) 과부하가 검출되었습니다.</v>
      </c>
      <c r="V447" s="49" t="str">
        <f t="shared" si="35"/>
        <v>[W1216.E] 쿨링 공급 Z축(SD225) 과부하가 검출되었습니다.</v>
      </c>
    </row>
    <row r="448" spans="1:22" s="49" customFormat="1" ht="14.15" customHeight="1">
      <c r="A448" s="43" t="s">
        <v>3763</v>
      </c>
      <c r="B448" s="44" t="s">
        <v>6637</v>
      </c>
      <c r="C448" s="50"/>
      <c r="D448" s="10" t="s">
        <v>29</v>
      </c>
      <c r="E448" s="11"/>
      <c r="F448" s="11" t="s">
        <v>18</v>
      </c>
      <c r="G448" s="13"/>
      <c r="H448" s="45" t="s">
        <v>16</v>
      </c>
      <c r="I448" s="46"/>
      <c r="J448" s="14" t="s">
        <v>2886</v>
      </c>
      <c r="K448" s="13" t="s">
        <v>7218</v>
      </c>
      <c r="L448" s="99" t="str">
        <f t="shared" si="32"/>
        <v>W1216.F</v>
      </c>
      <c r="M448" s="13" t="s">
        <v>3667</v>
      </c>
      <c r="N448" s="13"/>
      <c r="O448" s="13"/>
      <c r="P448" s="52"/>
      <c r="Q448" s="45"/>
      <c r="R448" s="45"/>
      <c r="S448" s="48"/>
      <c r="T448" s="49" t="str">
        <f t="shared" si="36"/>
        <v>[W1216.F]</v>
      </c>
      <c r="U448" s="12" t="str">
        <f t="shared" si="37"/>
        <v xml:space="preserve"> 쿨링 공급 Z축(SD225)  </v>
      </c>
      <c r="V448" s="49" t="str">
        <f t="shared" si="35"/>
        <v xml:space="preserve">[W1216.F] 쿨링 공급 Z축(SD225)  </v>
      </c>
    </row>
    <row r="449" spans="1:22" s="49" customFormat="1" ht="14.15" customHeight="1">
      <c r="A449" s="43" t="s">
        <v>3763</v>
      </c>
      <c r="B449" s="44" t="s">
        <v>6637</v>
      </c>
      <c r="C449" s="50"/>
      <c r="D449" s="10" t="s">
        <v>29</v>
      </c>
      <c r="E449" s="11"/>
      <c r="F449" s="11" t="s">
        <v>18</v>
      </c>
      <c r="G449" s="13"/>
      <c r="H449" s="45" t="s">
        <v>16</v>
      </c>
      <c r="I449" s="46"/>
      <c r="J449" s="14" t="s">
        <v>2887</v>
      </c>
      <c r="K449" s="13" t="s">
        <v>7219</v>
      </c>
      <c r="L449" s="99" t="str">
        <f t="shared" si="32"/>
        <v>W1217.0</v>
      </c>
      <c r="M449" s="13" t="s">
        <v>3667</v>
      </c>
      <c r="N449" s="13"/>
      <c r="O449" s="13"/>
      <c r="P449" s="52"/>
      <c r="Q449" s="45"/>
      <c r="R449" s="45"/>
      <c r="S449" s="48"/>
      <c r="T449" s="49" t="str">
        <f t="shared" si="36"/>
        <v>[W1217.0]</v>
      </c>
      <c r="U449" s="12" t="str">
        <f t="shared" si="37"/>
        <v xml:space="preserve"> 쿨링 공급 Z축(SD225) 에러가 발생했습니다.</v>
      </c>
      <c r="V449" s="49" t="str">
        <f t="shared" si="35"/>
        <v>[W1217.0] 쿨링 공급 Z축(SD225) 에러가 발생했습니다.</v>
      </c>
    </row>
    <row r="450" spans="1:22" s="49" customFormat="1" ht="14.15" customHeight="1">
      <c r="A450" s="43" t="s">
        <v>3763</v>
      </c>
      <c r="B450" s="44" t="s">
        <v>6637</v>
      </c>
      <c r="C450" s="50"/>
      <c r="D450" s="10" t="s">
        <v>29</v>
      </c>
      <c r="E450" s="11"/>
      <c r="F450" s="11" t="s">
        <v>18</v>
      </c>
      <c r="G450" s="13"/>
      <c r="H450" s="45" t="s">
        <v>16</v>
      </c>
      <c r="I450" s="46"/>
      <c r="J450" s="14" t="s">
        <v>2888</v>
      </c>
      <c r="K450" s="13" t="s">
        <v>7220</v>
      </c>
      <c r="L450" s="99" t="str">
        <f t="shared" si="32"/>
        <v>W1217.1</v>
      </c>
      <c r="M450" s="13" t="s">
        <v>3667</v>
      </c>
      <c r="N450" s="13"/>
      <c r="O450" s="13"/>
      <c r="P450" s="52"/>
      <c r="Q450" s="45"/>
      <c r="R450" s="45"/>
      <c r="S450" s="48"/>
      <c r="T450" s="49" t="str">
        <f t="shared" si="36"/>
        <v>[W1217.1]</v>
      </c>
      <c r="U450" s="12" t="str">
        <f t="shared" si="37"/>
        <v xml:space="preserve"> 쿨링 배출 Z축(SD226) 운전중에 Ready가 Off 되었습니다.</v>
      </c>
      <c r="V450" s="49" t="str">
        <f t="shared" si="35"/>
        <v>[W1217.1] 쿨링 배출 Z축(SD226) 운전중에 Ready가 Off 되었습니다.</v>
      </c>
    </row>
    <row r="451" spans="1:22" s="49" customFormat="1" ht="14.15" customHeight="1">
      <c r="A451" s="43" t="s">
        <v>3763</v>
      </c>
      <c r="B451" s="44" t="s">
        <v>6637</v>
      </c>
      <c r="C451" s="50"/>
      <c r="D451" s="10" t="s">
        <v>29</v>
      </c>
      <c r="E451" s="11"/>
      <c r="F451" s="11" t="s">
        <v>18</v>
      </c>
      <c r="G451" s="13"/>
      <c r="H451" s="45" t="s">
        <v>16</v>
      </c>
      <c r="I451" s="46"/>
      <c r="J451" s="14" t="s">
        <v>2889</v>
      </c>
      <c r="K451" s="13" t="s">
        <v>7221</v>
      </c>
      <c r="L451" s="99" t="str">
        <f t="shared" si="32"/>
        <v>W1217.2</v>
      </c>
      <c r="M451" s="13" t="s">
        <v>3667</v>
      </c>
      <c r="N451" s="13"/>
      <c r="O451" s="13"/>
      <c r="P451" s="52"/>
      <c r="Q451" s="45"/>
      <c r="R451" s="45"/>
      <c r="S451" s="48"/>
      <c r="T451" s="49" t="str">
        <f t="shared" si="36"/>
        <v>[W1217.2]</v>
      </c>
      <c r="U451" s="12" t="str">
        <f t="shared" si="37"/>
        <v xml:space="preserve"> 쿨링 배출 Z축(SD226) FLS가 감지되었습니다.</v>
      </c>
      <c r="V451" s="49" t="str">
        <f t="shared" si="35"/>
        <v>[W1217.2] 쿨링 배출 Z축(SD226) FLS가 감지되었습니다.</v>
      </c>
    </row>
    <row r="452" spans="1:22" s="49" customFormat="1" ht="14.15" customHeight="1">
      <c r="A452" s="43" t="s">
        <v>3763</v>
      </c>
      <c r="B452" s="44" t="s">
        <v>6637</v>
      </c>
      <c r="C452" s="50"/>
      <c r="D452" s="10" t="s">
        <v>29</v>
      </c>
      <c r="E452" s="11"/>
      <c r="F452" s="11" t="s">
        <v>18</v>
      </c>
      <c r="G452" s="13"/>
      <c r="H452" s="45" t="s">
        <v>16</v>
      </c>
      <c r="I452" s="46"/>
      <c r="J452" s="14" t="s">
        <v>2890</v>
      </c>
      <c r="K452" s="13" t="s">
        <v>7222</v>
      </c>
      <c r="L452" s="99" t="str">
        <f t="shared" si="32"/>
        <v>W1217.3</v>
      </c>
      <c r="M452" s="13" t="s">
        <v>3667</v>
      </c>
      <c r="N452" s="13"/>
      <c r="O452" s="13"/>
      <c r="P452" s="52"/>
      <c r="Q452" s="45"/>
      <c r="R452" s="45"/>
      <c r="S452" s="48"/>
      <c r="T452" s="49" t="str">
        <f t="shared" si="36"/>
        <v>[W1217.3]</v>
      </c>
      <c r="U452" s="12" t="str">
        <f t="shared" si="37"/>
        <v xml:space="preserve"> 쿨링 배출 Z축(SD226) RLS가 감지되었습니다.</v>
      </c>
      <c r="V452" s="49" t="str">
        <f t="shared" si="35"/>
        <v>[W1217.3] 쿨링 배출 Z축(SD226) RLS가 감지되었습니다.</v>
      </c>
    </row>
    <row r="453" spans="1:22" s="49" customFormat="1" ht="14.15" customHeight="1">
      <c r="A453" s="43" t="s">
        <v>3763</v>
      </c>
      <c r="B453" s="44" t="s">
        <v>6637</v>
      </c>
      <c r="C453" s="50"/>
      <c r="D453" s="10" t="s">
        <v>29</v>
      </c>
      <c r="E453" s="11"/>
      <c r="F453" s="11" t="s">
        <v>18</v>
      </c>
      <c r="G453" s="13"/>
      <c r="H453" s="45" t="s">
        <v>16</v>
      </c>
      <c r="I453" s="46"/>
      <c r="J453" s="14" t="s">
        <v>2891</v>
      </c>
      <c r="K453" s="13" t="s">
        <v>7223</v>
      </c>
      <c r="L453" s="99" t="str">
        <f t="shared" si="32"/>
        <v>W1217.4</v>
      </c>
      <c r="M453" s="13" t="s">
        <v>3667</v>
      </c>
      <c r="N453" s="13"/>
      <c r="O453" s="13"/>
      <c r="P453" s="52"/>
      <c r="Q453" s="45"/>
      <c r="R453" s="45"/>
      <c r="S453" s="48"/>
      <c r="T453" s="49" t="str">
        <f t="shared" si="36"/>
        <v>[W1217.4]</v>
      </c>
      <c r="U453" s="12" t="str">
        <f t="shared" si="37"/>
        <v xml:space="preserve"> 쿨링 배출 Z축(SD226) Stop 명령이 On된 상태에서 기동을 시도했습니다.</v>
      </c>
      <c r="V453" s="49" t="str">
        <f t="shared" si="35"/>
        <v>[W1217.4] 쿨링 배출 Z축(SD226) Stop 명령이 On된 상태에서 기동을 시도했습니다.</v>
      </c>
    </row>
    <row r="454" spans="1:22" s="49" customFormat="1" ht="14.15" customHeight="1">
      <c r="A454" s="43" t="s">
        <v>3763</v>
      </c>
      <c r="B454" s="44" t="s">
        <v>6637</v>
      </c>
      <c r="C454" s="50"/>
      <c r="D454" s="10" t="s">
        <v>29</v>
      </c>
      <c r="E454" s="11"/>
      <c r="F454" s="11" t="s">
        <v>18</v>
      </c>
      <c r="G454" s="13"/>
      <c r="H454" s="45" t="s">
        <v>16</v>
      </c>
      <c r="I454" s="46"/>
      <c r="J454" s="14" t="s">
        <v>2892</v>
      </c>
      <c r="K454" s="13" t="s">
        <v>7224</v>
      </c>
      <c r="L454" s="99" t="str">
        <f t="shared" si="32"/>
        <v>W1217.5</v>
      </c>
      <c r="M454" s="13" t="s">
        <v>3667</v>
      </c>
      <c r="N454" s="13"/>
      <c r="O454" s="13"/>
      <c r="P454" s="52"/>
      <c r="Q454" s="45"/>
      <c r="R454" s="45"/>
      <c r="S454" s="48"/>
      <c r="T454" s="49" t="str">
        <f t="shared" si="36"/>
        <v>[W1217.5]</v>
      </c>
      <c r="U454" s="12" t="str">
        <f t="shared" si="37"/>
        <v xml:space="preserve"> 쿨링 배출 Z축(SD226) 가동 전원이 Off 되었습니다.</v>
      </c>
      <c r="V454" s="49" t="str">
        <f t="shared" si="35"/>
        <v>[W1217.5] 쿨링 배출 Z축(SD226) 가동 전원이 Off 되었습니다.</v>
      </c>
    </row>
    <row r="455" spans="1:22" s="49" customFormat="1" ht="14.15" customHeight="1">
      <c r="A455" s="43" t="s">
        <v>3763</v>
      </c>
      <c r="B455" s="44" t="s">
        <v>6637</v>
      </c>
      <c r="C455" s="50"/>
      <c r="D455" s="10" t="s">
        <v>29</v>
      </c>
      <c r="E455" s="11"/>
      <c r="F455" s="11" t="s">
        <v>18</v>
      </c>
      <c r="G455" s="13"/>
      <c r="H455" s="45" t="s">
        <v>16</v>
      </c>
      <c r="I455" s="46"/>
      <c r="J455" s="14" t="s">
        <v>2893</v>
      </c>
      <c r="K455" s="13" t="s">
        <v>7225</v>
      </c>
      <c r="L455" s="99" t="str">
        <f t="shared" si="32"/>
        <v>W1217.6</v>
      </c>
      <c r="M455" s="13" t="s">
        <v>3667</v>
      </c>
      <c r="N455" s="13"/>
      <c r="O455" s="13"/>
      <c r="P455" s="52"/>
      <c r="Q455" s="45"/>
      <c r="R455" s="45"/>
      <c r="S455" s="48"/>
      <c r="T455" s="49" t="str">
        <f t="shared" si="36"/>
        <v>[W1217.6]</v>
      </c>
      <c r="U455" s="12" t="str">
        <f t="shared" si="37"/>
        <v xml:space="preserve"> 쿨링 배출 Z축(SD226) 엔코더 이상이 검출되었습니다.</v>
      </c>
      <c r="V455" s="49" t="str">
        <f t="shared" si="35"/>
        <v>[W1217.6] 쿨링 배출 Z축(SD226) 엔코더 이상이 검출되었습니다.</v>
      </c>
    </row>
    <row r="456" spans="1:22" s="49" customFormat="1" ht="14.15" customHeight="1">
      <c r="A456" s="43" t="s">
        <v>3763</v>
      </c>
      <c r="B456" s="44" t="s">
        <v>6637</v>
      </c>
      <c r="C456" s="50"/>
      <c r="D456" s="10" t="s">
        <v>29</v>
      </c>
      <c r="E456" s="11"/>
      <c r="F456" s="11" t="s">
        <v>18</v>
      </c>
      <c r="G456" s="13"/>
      <c r="H456" s="45" t="s">
        <v>16</v>
      </c>
      <c r="I456" s="46"/>
      <c r="J456" s="14" t="s">
        <v>2894</v>
      </c>
      <c r="K456" s="13" t="s">
        <v>7226</v>
      </c>
      <c r="L456" s="99" t="str">
        <f t="shared" si="32"/>
        <v>W1217.7</v>
      </c>
      <c r="M456" s="13" t="s">
        <v>3667</v>
      </c>
      <c r="N456" s="13"/>
      <c r="O456" s="13"/>
      <c r="P456" s="52"/>
      <c r="Q456" s="45"/>
      <c r="R456" s="45"/>
      <c r="S456" s="48"/>
      <c r="T456" s="49" t="str">
        <f t="shared" si="36"/>
        <v>[W1217.7]</v>
      </c>
      <c r="U456" s="12" t="str">
        <f t="shared" si="37"/>
        <v xml:space="preserve"> 쿨링 배출 Z축(SD226) 과전류가 검출되었습니다.</v>
      </c>
      <c r="V456" s="49" t="str">
        <f t="shared" si="35"/>
        <v>[W1217.7] 쿨링 배출 Z축(SD226) 과전류가 검출되었습니다.</v>
      </c>
    </row>
    <row r="457" spans="1:22" s="49" customFormat="1" ht="14.15" customHeight="1">
      <c r="A457" s="43" t="s">
        <v>3763</v>
      </c>
      <c r="B457" s="44" t="s">
        <v>6637</v>
      </c>
      <c r="C457" s="50"/>
      <c r="D457" s="10" t="s">
        <v>29</v>
      </c>
      <c r="E457" s="11"/>
      <c r="F457" s="11" t="s">
        <v>18</v>
      </c>
      <c r="G457" s="13"/>
      <c r="H457" s="45" t="s">
        <v>16</v>
      </c>
      <c r="I457" s="46"/>
      <c r="J457" s="14" t="s">
        <v>2895</v>
      </c>
      <c r="K457" s="13" t="s">
        <v>7227</v>
      </c>
      <c r="L457" s="99" t="str">
        <f t="shared" si="32"/>
        <v>W1217.8</v>
      </c>
      <c r="M457" s="13" t="s">
        <v>3667</v>
      </c>
      <c r="N457" s="13"/>
      <c r="O457" s="13"/>
      <c r="P457" s="52"/>
      <c r="Q457" s="45"/>
      <c r="R457" s="45"/>
      <c r="S457" s="48"/>
      <c r="T457" s="49" t="str">
        <f t="shared" si="36"/>
        <v>[W1217.8]</v>
      </c>
      <c r="U457" s="12" t="str">
        <f t="shared" si="37"/>
        <v xml:space="preserve"> 쿨링 배출 Z축(SD226) 과부하가 검출되었습니다.</v>
      </c>
      <c r="V457" s="49" t="str">
        <f t="shared" si="35"/>
        <v>[W1217.8] 쿨링 배출 Z축(SD226) 과부하가 검출되었습니다.</v>
      </c>
    </row>
    <row r="458" spans="1:22" s="49" customFormat="1" ht="14.15" customHeight="1">
      <c r="A458" s="43" t="s">
        <v>3763</v>
      </c>
      <c r="B458" s="44" t="s">
        <v>6637</v>
      </c>
      <c r="C458" s="50"/>
      <c r="D458" s="10" t="s">
        <v>29</v>
      </c>
      <c r="E458" s="11"/>
      <c r="F458" s="11" t="s">
        <v>18</v>
      </c>
      <c r="G458" s="13"/>
      <c r="H458" s="45" t="s">
        <v>16</v>
      </c>
      <c r="I458" s="46"/>
      <c r="J458" s="14" t="s">
        <v>2896</v>
      </c>
      <c r="K458" s="13" t="s">
        <v>7228</v>
      </c>
      <c r="L458" s="99" t="str">
        <f t="shared" si="32"/>
        <v>W1217.9</v>
      </c>
      <c r="M458" s="13" t="s">
        <v>3667</v>
      </c>
      <c r="N458" s="13"/>
      <c r="O458" s="13"/>
      <c r="P458" s="52"/>
      <c r="Q458" s="45"/>
      <c r="R458" s="45"/>
      <c r="S458" s="48"/>
      <c r="T458" s="49" t="str">
        <f t="shared" si="36"/>
        <v>[W1217.9]</v>
      </c>
      <c r="U458" s="12" t="str">
        <f t="shared" si="37"/>
        <v xml:space="preserve"> 쿨링 배출 Z축(SD226)  </v>
      </c>
      <c r="V458" s="49" t="str">
        <f t="shared" si="35"/>
        <v xml:space="preserve">[W1217.9] 쿨링 배출 Z축(SD226)  </v>
      </c>
    </row>
    <row r="459" spans="1:22" s="49" customFormat="1" ht="14.15" customHeight="1">
      <c r="A459" s="43" t="s">
        <v>3763</v>
      </c>
      <c r="B459" s="44" t="s">
        <v>6637</v>
      </c>
      <c r="C459" s="50"/>
      <c r="D459" s="10" t="s">
        <v>29</v>
      </c>
      <c r="E459" s="11"/>
      <c r="F459" s="11" t="s">
        <v>18</v>
      </c>
      <c r="G459" s="13"/>
      <c r="H459" s="45" t="s">
        <v>16</v>
      </c>
      <c r="I459" s="46"/>
      <c r="J459" s="14" t="s">
        <v>2897</v>
      </c>
      <c r="K459" s="13" t="s">
        <v>7229</v>
      </c>
      <c r="L459" s="99" t="str">
        <f t="shared" si="32"/>
        <v>W1217.A</v>
      </c>
      <c r="M459" s="13" t="s">
        <v>3667</v>
      </c>
      <c r="N459" s="13"/>
      <c r="O459" s="13"/>
      <c r="P459" s="52"/>
      <c r="Q459" s="45"/>
      <c r="R459" s="45"/>
      <c r="S459" s="48"/>
      <c r="T459" s="49" t="str">
        <f t="shared" si="36"/>
        <v>[W1217.A]</v>
      </c>
      <c r="U459" s="12" t="str">
        <f t="shared" si="37"/>
        <v xml:space="preserve"> 쿨링 배출 Z축(SD226) 에러가 발생했습니다.</v>
      </c>
      <c r="V459" s="49" t="str">
        <f t="shared" si="35"/>
        <v>[W1217.A] 쿨링 배출 Z축(SD226) 에러가 발생했습니다.</v>
      </c>
    </row>
    <row r="460" spans="1:22" s="49" customFormat="1" ht="14.15" customHeight="1">
      <c r="A460" s="43" t="s">
        <v>3763</v>
      </c>
      <c r="B460" s="44" t="s">
        <v>6637</v>
      </c>
      <c r="C460" s="50"/>
      <c r="D460" s="10" t="s">
        <v>29</v>
      </c>
      <c r="E460" s="11"/>
      <c r="F460" s="11" t="s">
        <v>18</v>
      </c>
      <c r="G460" s="13"/>
      <c r="H460" s="45" t="s">
        <v>16</v>
      </c>
      <c r="I460" s="47"/>
      <c r="J460" s="12" t="s">
        <v>2898</v>
      </c>
      <c r="K460" s="13" t="s">
        <v>7230</v>
      </c>
      <c r="L460" s="99" t="str">
        <f t="shared" si="32"/>
        <v>W1217.B</v>
      </c>
      <c r="M460" s="13" t="s">
        <v>3667</v>
      </c>
      <c r="N460" s="13"/>
      <c r="O460" s="13"/>
      <c r="P460" s="47"/>
      <c r="Q460" s="45"/>
      <c r="R460" s="45"/>
      <c r="S460" s="48"/>
      <c r="T460" s="49" t="str">
        <f t="shared" si="36"/>
        <v>[W1217.B]</v>
      </c>
      <c r="U460" s="12" t="str">
        <f t="shared" si="37"/>
        <v xml:space="preserve"> 쿨링 이재기 X축(SD227) 운전중에 Ready가 Off 되었습니다.</v>
      </c>
      <c r="V460" s="49" t="str">
        <f t="shared" si="35"/>
        <v>[W1217.B] 쿨링 이재기 X축(SD227) 운전중에 Ready가 Off 되었습니다.</v>
      </c>
    </row>
    <row r="461" spans="1:22" s="49" customFormat="1" ht="14.15" customHeight="1">
      <c r="A461" s="43" t="s">
        <v>3763</v>
      </c>
      <c r="B461" s="44" t="s">
        <v>6637</v>
      </c>
      <c r="C461" s="50"/>
      <c r="D461" s="10" t="s">
        <v>29</v>
      </c>
      <c r="E461" s="11"/>
      <c r="F461" s="11" t="s">
        <v>18</v>
      </c>
      <c r="G461" s="13"/>
      <c r="H461" s="45" t="s">
        <v>16</v>
      </c>
      <c r="I461" s="47"/>
      <c r="J461" s="12" t="s">
        <v>5610</v>
      </c>
      <c r="K461" s="13" t="s">
        <v>7231</v>
      </c>
      <c r="L461" s="99" t="str">
        <f t="shared" si="32"/>
        <v>W1217.C</v>
      </c>
      <c r="M461" s="13" t="s">
        <v>3667</v>
      </c>
      <c r="N461" s="13"/>
      <c r="O461" s="13"/>
      <c r="P461" s="47"/>
      <c r="Q461" s="45"/>
      <c r="R461" s="45"/>
      <c r="S461" s="48"/>
      <c r="T461" s="49" t="str">
        <f t="shared" si="36"/>
        <v>[W1217.C]</v>
      </c>
      <c r="U461" s="12" t="str">
        <f t="shared" si="37"/>
        <v xml:space="preserve"> 쿨링 이재기 X축(SD227) FLS가 감지되었습니다.</v>
      </c>
      <c r="V461" s="49" t="str">
        <f t="shared" si="35"/>
        <v>[W1217.C] 쿨링 이재기 X축(SD227) FLS가 감지되었습니다.</v>
      </c>
    </row>
    <row r="462" spans="1:22" s="49" customFormat="1" ht="14.15" customHeight="1">
      <c r="A462" s="43" t="s">
        <v>3763</v>
      </c>
      <c r="B462" s="44" t="s">
        <v>6637</v>
      </c>
      <c r="C462" s="50"/>
      <c r="D462" s="10" t="s">
        <v>29</v>
      </c>
      <c r="E462" s="11"/>
      <c r="F462" s="11" t="s">
        <v>18</v>
      </c>
      <c r="G462" s="13"/>
      <c r="H462" s="45" t="s">
        <v>16</v>
      </c>
      <c r="I462" s="47"/>
      <c r="J462" s="12" t="s">
        <v>2899</v>
      </c>
      <c r="K462" s="13" t="s">
        <v>7232</v>
      </c>
      <c r="L462" s="99" t="str">
        <f t="shared" si="32"/>
        <v>W1217.D</v>
      </c>
      <c r="M462" s="13" t="s">
        <v>3667</v>
      </c>
      <c r="N462" s="13"/>
      <c r="O462" s="13"/>
      <c r="P462" s="47"/>
      <c r="Q462" s="45"/>
      <c r="R462" s="45"/>
      <c r="S462" s="48"/>
      <c r="T462" s="49" t="str">
        <f t="shared" si="36"/>
        <v>[W1217.D]</v>
      </c>
      <c r="U462" s="12" t="str">
        <f t="shared" si="37"/>
        <v xml:space="preserve"> 쿨링 이재기 X축(SD227) RLS가 감지되었습니다.</v>
      </c>
      <c r="V462" s="49" t="str">
        <f t="shared" si="35"/>
        <v>[W1217.D] 쿨링 이재기 X축(SD227) RLS가 감지되었습니다.</v>
      </c>
    </row>
    <row r="463" spans="1:22" s="49" customFormat="1" ht="14.15" customHeight="1">
      <c r="A463" s="43" t="s">
        <v>3763</v>
      </c>
      <c r="B463" s="44" t="s">
        <v>6637</v>
      </c>
      <c r="C463" s="50"/>
      <c r="D463" s="10" t="s">
        <v>29</v>
      </c>
      <c r="E463" s="11"/>
      <c r="F463" s="11" t="s">
        <v>18</v>
      </c>
      <c r="G463" s="13"/>
      <c r="H463" s="45" t="s">
        <v>16</v>
      </c>
      <c r="I463" s="47"/>
      <c r="J463" s="12" t="s">
        <v>2900</v>
      </c>
      <c r="K463" s="13" t="s">
        <v>7233</v>
      </c>
      <c r="L463" s="99" t="str">
        <f t="shared" si="32"/>
        <v>W1217.E</v>
      </c>
      <c r="M463" s="13" t="s">
        <v>3667</v>
      </c>
      <c r="N463" s="13"/>
      <c r="O463" s="13"/>
      <c r="P463" s="47"/>
      <c r="Q463" s="45"/>
      <c r="R463" s="45"/>
      <c r="S463" s="48"/>
      <c r="T463" s="49" t="str">
        <f t="shared" si="36"/>
        <v>[W1217.E]</v>
      </c>
      <c r="U463" s="12" t="str">
        <f t="shared" si="37"/>
        <v xml:space="preserve"> 쿨링 이재기 X축(SD227) Stop 명령이 On된 상태에서 기동을 시도했습니다.</v>
      </c>
      <c r="V463" s="49" t="str">
        <f t="shared" si="35"/>
        <v>[W1217.E] 쿨링 이재기 X축(SD227) Stop 명령이 On된 상태에서 기동을 시도했습니다.</v>
      </c>
    </row>
    <row r="464" spans="1:22" s="49" customFormat="1" ht="14.15" customHeight="1">
      <c r="A464" s="43" t="s">
        <v>3763</v>
      </c>
      <c r="B464" s="44" t="s">
        <v>6637</v>
      </c>
      <c r="C464" s="50"/>
      <c r="D464" s="10" t="s">
        <v>29</v>
      </c>
      <c r="E464" s="11"/>
      <c r="F464" s="11" t="s">
        <v>18</v>
      </c>
      <c r="G464" s="13"/>
      <c r="H464" s="45" t="s">
        <v>16</v>
      </c>
      <c r="I464" s="47"/>
      <c r="J464" s="12" t="s">
        <v>2901</v>
      </c>
      <c r="K464" s="13" t="s">
        <v>7234</v>
      </c>
      <c r="L464" s="99" t="str">
        <f t="shared" si="32"/>
        <v>W1217.F</v>
      </c>
      <c r="M464" s="13" t="s">
        <v>3667</v>
      </c>
      <c r="N464" s="13"/>
      <c r="O464" s="13"/>
      <c r="P464" s="47"/>
      <c r="Q464" s="45"/>
      <c r="R464" s="45"/>
      <c r="S464" s="48"/>
      <c r="T464" s="49" t="str">
        <f t="shared" si="36"/>
        <v>[W1217.F]</v>
      </c>
      <c r="U464" s="12" t="str">
        <f t="shared" si="37"/>
        <v xml:space="preserve"> 쿨링 이재기 X축(SD227) 가동 전원이 Off 되었습니다.</v>
      </c>
      <c r="V464" s="49" t="str">
        <f t="shared" si="35"/>
        <v>[W1217.F] 쿨링 이재기 X축(SD227) 가동 전원이 Off 되었습니다.</v>
      </c>
    </row>
    <row r="465" spans="1:22" s="49" customFormat="1" ht="14.15" customHeight="1">
      <c r="A465" s="43" t="s">
        <v>3763</v>
      </c>
      <c r="B465" s="44" t="s">
        <v>6637</v>
      </c>
      <c r="C465" s="50"/>
      <c r="D465" s="10" t="s">
        <v>29</v>
      </c>
      <c r="E465" s="11"/>
      <c r="F465" s="11" t="s">
        <v>18</v>
      </c>
      <c r="G465" s="13"/>
      <c r="H465" s="45" t="s">
        <v>16</v>
      </c>
      <c r="I465" s="47"/>
      <c r="J465" s="12" t="s">
        <v>2902</v>
      </c>
      <c r="K465" s="13" t="s">
        <v>7235</v>
      </c>
      <c r="L465" s="99" t="str">
        <f t="shared" si="32"/>
        <v>W1218.0</v>
      </c>
      <c r="M465" s="13" t="s">
        <v>3667</v>
      </c>
      <c r="N465" s="13"/>
      <c r="O465" s="13"/>
      <c r="P465" s="47"/>
      <c r="Q465" s="45"/>
      <c r="R465" s="45"/>
      <c r="S465" s="48"/>
      <c r="T465" s="49" t="str">
        <f t="shared" si="36"/>
        <v>[W1218.0]</v>
      </c>
      <c r="U465" s="12" t="str">
        <f t="shared" si="37"/>
        <v xml:space="preserve"> 쿨링 이재기 X축(SD227) 엔코더 이상이 검출되었습니다.</v>
      </c>
      <c r="V465" s="49" t="str">
        <f t="shared" si="35"/>
        <v>[W1218.0] 쿨링 이재기 X축(SD227) 엔코더 이상이 검출되었습니다.</v>
      </c>
    </row>
    <row r="466" spans="1:22" s="49" customFormat="1" ht="14.15" customHeight="1">
      <c r="A466" s="43" t="s">
        <v>3763</v>
      </c>
      <c r="B466" s="44" t="s">
        <v>6637</v>
      </c>
      <c r="C466" s="50"/>
      <c r="D466" s="10" t="s">
        <v>29</v>
      </c>
      <c r="E466" s="11"/>
      <c r="F466" s="11" t="s">
        <v>18</v>
      </c>
      <c r="G466" s="13"/>
      <c r="H466" s="45" t="s">
        <v>16</v>
      </c>
      <c r="I466" s="47"/>
      <c r="J466" s="12" t="s">
        <v>2903</v>
      </c>
      <c r="K466" s="13" t="s">
        <v>7236</v>
      </c>
      <c r="L466" s="99" t="str">
        <f t="shared" ref="L466:L529" si="38">"W"&amp;DEC2HEX(4608 + INT((ROW()-81)/16)) &amp; "." &amp; IF(MOD(ROW()-81,16)&lt;10,MOD(ROW()-81,16),CHAR(MOD(ROW()-81,16)+55))</f>
        <v>W1218.1</v>
      </c>
      <c r="M466" s="13" t="s">
        <v>3667</v>
      </c>
      <c r="N466" s="13"/>
      <c r="O466" s="13"/>
      <c r="P466" s="47"/>
      <c r="Q466" s="45"/>
      <c r="R466" s="45"/>
      <c r="S466" s="48"/>
      <c r="T466" s="49" t="str">
        <f t="shared" si="36"/>
        <v>[W1218.1]</v>
      </c>
      <c r="U466" s="12" t="str">
        <f t="shared" si="37"/>
        <v xml:space="preserve"> 쿨링 이재기 X축(SD227) 과전류가 검출되었습니다.</v>
      </c>
      <c r="V466" s="49" t="str">
        <f t="shared" ref="V466:V529" si="39">T466&amp;U466</f>
        <v>[W1218.1] 쿨링 이재기 X축(SD227) 과전류가 검출되었습니다.</v>
      </c>
    </row>
    <row r="467" spans="1:22" s="49" customFormat="1" ht="14.15" customHeight="1">
      <c r="A467" s="43" t="s">
        <v>3763</v>
      </c>
      <c r="B467" s="44" t="s">
        <v>6637</v>
      </c>
      <c r="C467" s="50"/>
      <c r="D467" s="10" t="s">
        <v>29</v>
      </c>
      <c r="E467" s="11"/>
      <c r="F467" s="11" t="s">
        <v>18</v>
      </c>
      <c r="G467" s="13"/>
      <c r="H467" s="45" t="s">
        <v>16</v>
      </c>
      <c r="I467" s="47"/>
      <c r="J467" s="12" t="s">
        <v>2904</v>
      </c>
      <c r="K467" s="13" t="s">
        <v>7237</v>
      </c>
      <c r="L467" s="99" t="str">
        <f t="shared" si="38"/>
        <v>W1218.2</v>
      </c>
      <c r="M467" s="13" t="s">
        <v>3667</v>
      </c>
      <c r="N467" s="13"/>
      <c r="O467" s="13"/>
      <c r="P467" s="47"/>
      <c r="Q467" s="45"/>
      <c r="R467" s="45"/>
      <c r="S467" s="48"/>
      <c r="T467" s="49" t="str">
        <f t="shared" si="36"/>
        <v>[W1218.2]</v>
      </c>
      <c r="U467" s="12" t="str">
        <f t="shared" si="37"/>
        <v xml:space="preserve"> 쿨링 이재기 X축(SD227) 과부하가 검출되었습니다.</v>
      </c>
      <c r="V467" s="49" t="str">
        <f t="shared" si="39"/>
        <v>[W1218.2] 쿨링 이재기 X축(SD227) 과부하가 검출되었습니다.</v>
      </c>
    </row>
    <row r="468" spans="1:22" s="49" customFormat="1" ht="14.15" customHeight="1">
      <c r="A468" s="43" t="s">
        <v>3763</v>
      </c>
      <c r="B468" s="44" t="s">
        <v>6637</v>
      </c>
      <c r="C468" s="50"/>
      <c r="D468" s="10" t="s">
        <v>29</v>
      </c>
      <c r="E468" s="11"/>
      <c r="F468" s="11" t="s">
        <v>18</v>
      </c>
      <c r="G468" s="13"/>
      <c r="H468" s="45" t="s">
        <v>16</v>
      </c>
      <c r="I468" s="47"/>
      <c r="J468" s="12" t="s">
        <v>2905</v>
      </c>
      <c r="K468" s="13" t="s">
        <v>7238</v>
      </c>
      <c r="L468" s="99" t="str">
        <f t="shared" si="38"/>
        <v>W1218.3</v>
      </c>
      <c r="M468" s="13" t="s">
        <v>3667</v>
      </c>
      <c r="N468" s="13"/>
      <c r="O468" s="13"/>
      <c r="P468" s="47"/>
      <c r="Q468" s="45"/>
      <c r="R468" s="45"/>
      <c r="S468" s="48"/>
      <c r="T468" s="49" t="str">
        <f t="shared" si="36"/>
        <v>[W1218.3]</v>
      </c>
      <c r="U468" s="12" t="str">
        <f t="shared" si="37"/>
        <v xml:space="preserve"> 쿨링 이재기 X축(SD227)  </v>
      </c>
      <c r="V468" s="49" t="str">
        <f t="shared" si="39"/>
        <v xml:space="preserve">[W1218.3] 쿨링 이재기 X축(SD227)  </v>
      </c>
    </row>
    <row r="469" spans="1:22" s="49" customFormat="1" ht="14.15" customHeight="1">
      <c r="A469" s="43" t="s">
        <v>3763</v>
      </c>
      <c r="B469" s="44" t="s">
        <v>6637</v>
      </c>
      <c r="C469" s="50"/>
      <c r="D469" s="10" t="s">
        <v>29</v>
      </c>
      <c r="E469" s="11"/>
      <c r="F469" s="11" t="s">
        <v>18</v>
      </c>
      <c r="G469" s="13"/>
      <c r="H469" s="45" t="s">
        <v>16</v>
      </c>
      <c r="I469" s="47"/>
      <c r="J469" s="12" t="s">
        <v>2906</v>
      </c>
      <c r="K469" s="13" t="s">
        <v>7239</v>
      </c>
      <c r="L469" s="99" t="str">
        <f t="shared" si="38"/>
        <v>W1218.4</v>
      </c>
      <c r="M469" s="13" t="s">
        <v>3667</v>
      </c>
      <c r="N469" s="13"/>
      <c r="O469" s="13"/>
      <c r="P469" s="47"/>
      <c r="Q469" s="45"/>
      <c r="R469" s="45"/>
      <c r="S469" s="48"/>
      <c r="T469" s="49" t="str">
        <f>"["&amp;L439&amp;"]"</f>
        <v>[W1216.6]</v>
      </c>
      <c r="U469" s="12" t="str">
        <f>RIGHT(J439,LEN(J439)-7)</f>
        <v xml:space="preserve"> 쿨링 배출 캐비티#2(SD224) 에러가 발생했습니다.</v>
      </c>
      <c r="V469" s="49" t="str">
        <f>T439&amp;U439</f>
        <v>[W1216.6] 쿨링 배출 캐비티#2(SD224) 에러가 발생했습니다.</v>
      </c>
    </row>
    <row r="470" spans="1:22" s="49" customFormat="1" ht="14.15" customHeight="1">
      <c r="A470" s="43" t="s">
        <v>3763</v>
      </c>
      <c r="B470" s="44" t="s">
        <v>6637</v>
      </c>
      <c r="C470" s="50"/>
      <c r="D470" s="10" t="s">
        <v>29</v>
      </c>
      <c r="E470" s="11"/>
      <c r="F470" s="11" t="s">
        <v>18</v>
      </c>
      <c r="G470" s="13"/>
      <c r="H470" s="45" t="s">
        <v>16</v>
      </c>
      <c r="I470" s="47"/>
      <c r="J470" s="12" t="s">
        <v>2907</v>
      </c>
      <c r="K470" s="13" t="s">
        <v>7240</v>
      </c>
      <c r="L470" s="99" t="str">
        <f t="shared" si="38"/>
        <v>W1218.5</v>
      </c>
      <c r="M470" s="13" t="s">
        <v>3667</v>
      </c>
      <c r="N470" s="13"/>
      <c r="O470" s="13"/>
      <c r="P470" s="47"/>
      <c r="Q470" s="45"/>
      <c r="R470" s="45"/>
      <c r="S470" s="48"/>
      <c r="T470" s="49" t="str">
        <f t="shared" ref="T470:T501" si="40">"["&amp;L470&amp;"]"</f>
        <v>[W1218.5]</v>
      </c>
      <c r="U470" s="12" t="str">
        <f t="shared" ref="U470:U501" si="41">RIGHT(J470,LEN(J470)-7)</f>
        <v xml:space="preserve"> 쿨링 이재기 Z축(SD228) 운전중에 Ready가 Off 되었습니다.</v>
      </c>
      <c r="V470" s="49" t="str">
        <f t="shared" si="39"/>
        <v>[W1218.5] 쿨링 이재기 Z축(SD228) 운전중에 Ready가 Off 되었습니다.</v>
      </c>
    </row>
    <row r="471" spans="1:22" s="49" customFormat="1" ht="14.15" customHeight="1">
      <c r="A471" s="43" t="s">
        <v>3763</v>
      </c>
      <c r="B471" s="44" t="s">
        <v>6637</v>
      </c>
      <c r="C471" s="50"/>
      <c r="D471" s="10" t="s">
        <v>29</v>
      </c>
      <c r="E471" s="11"/>
      <c r="F471" s="11" t="s">
        <v>18</v>
      </c>
      <c r="G471" s="13"/>
      <c r="H471" s="45" t="s">
        <v>16</v>
      </c>
      <c r="I471" s="47"/>
      <c r="J471" s="12" t="s">
        <v>2908</v>
      </c>
      <c r="K471" s="13" t="s">
        <v>7241</v>
      </c>
      <c r="L471" s="99" t="str">
        <f t="shared" si="38"/>
        <v>W1218.6</v>
      </c>
      <c r="M471" s="13" t="s">
        <v>3667</v>
      </c>
      <c r="N471" s="13"/>
      <c r="O471" s="13"/>
      <c r="P471" s="47"/>
      <c r="Q471" s="45"/>
      <c r="R471" s="45"/>
      <c r="S471" s="48"/>
      <c r="T471" s="49" t="str">
        <f t="shared" si="40"/>
        <v>[W1218.6]</v>
      </c>
      <c r="U471" s="12" t="str">
        <f t="shared" si="41"/>
        <v xml:space="preserve"> 쿨링 이재기 Z축(SD228) FLS가 감지되었습니다.</v>
      </c>
      <c r="V471" s="49" t="str">
        <f t="shared" si="39"/>
        <v>[W1218.6] 쿨링 이재기 Z축(SD228) FLS가 감지되었습니다.</v>
      </c>
    </row>
    <row r="472" spans="1:22" s="49" customFormat="1" ht="14.15" customHeight="1">
      <c r="A472" s="43" t="s">
        <v>3763</v>
      </c>
      <c r="B472" s="44" t="s">
        <v>6637</v>
      </c>
      <c r="C472" s="50"/>
      <c r="D472" s="10" t="s">
        <v>29</v>
      </c>
      <c r="E472" s="11"/>
      <c r="F472" s="11" t="s">
        <v>18</v>
      </c>
      <c r="G472" s="13"/>
      <c r="H472" s="45" t="s">
        <v>16</v>
      </c>
      <c r="I472" s="47"/>
      <c r="J472" s="12" t="s">
        <v>2909</v>
      </c>
      <c r="K472" s="13" t="s">
        <v>7242</v>
      </c>
      <c r="L472" s="99" t="str">
        <f t="shared" si="38"/>
        <v>W1218.7</v>
      </c>
      <c r="M472" s="13" t="s">
        <v>3667</v>
      </c>
      <c r="N472" s="13"/>
      <c r="O472" s="13"/>
      <c r="P472" s="47"/>
      <c r="Q472" s="45"/>
      <c r="R472" s="45"/>
      <c r="S472" s="48"/>
      <c r="T472" s="49" t="str">
        <f t="shared" si="40"/>
        <v>[W1218.7]</v>
      </c>
      <c r="U472" s="12" t="str">
        <f t="shared" si="41"/>
        <v xml:space="preserve"> 쿨링 이재기 Z축(SD228) RLS가 감지되었습니다.</v>
      </c>
      <c r="V472" s="49" t="str">
        <f t="shared" si="39"/>
        <v>[W1218.7] 쿨링 이재기 Z축(SD228) RLS가 감지되었습니다.</v>
      </c>
    </row>
    <row r="473" spans="1:22" s="49" customFormat="1" ht="14.15" customHeight="1">
      <c r="A473" s="43" t="s">
        <v>3763</v>
      </c>
      <c r="B473" s="44" t="s">
        <v>6637</v>
      </c>
      <c r="C473" s="50"/>
      <c r="D473" s="10" t="s">
        <v>29</v>
      </c>
      <c r="E473" s="11"/>
      <c r="F473" s="11" t="s">
        <v>18</v>
      </c>
      <c r="G473" s="13"/>
      <c r="H473" s="45" t="s">
        <v>16</v>
      </c>
      <c r="I473" s="47"/>
      <c r="J473" s="12" t="s">
        <v>2910</v>
      </c>
      <c r="K473" s="13" t="s">
        <v>7243</v>
      </c>
      <c r="L473" s="99" t="str">
        <f t="shared" si="38"/>
        <v>W1218.8</v>
      </c>
      <c r="M473" s="13" t="s">
        <v>3667</v>
      </c>
      <c r="N473" s="13"/>
      <c r="O473" s="13"/>
      <c r="P473" s="47"/>
      <c r="Q473" s="45"/>
      <c r="R473" s="45"/>
      <c r="S473" s="48"/>
      <c r="T473" s="49" t="str">
        <f t="shared" si="40"/>
        <v>[W1218.8]</v>
      </c>
      <c r="U473" s="12" t="str">
        <f t="shared" si="41"/>
        <v xml:space="preserve"> 쿨링 이재기 Z축(SD228) Stop 명령이 On된 상태에서 기동을 시도했습니다.</v>
      </c>
      <c r="V473" s="49" t="str">
        <f t="shared" si="39"/>
        <v>[W1218.8] 쿨링 이재기 Z축(SD228) Stop 명령이 On된 상태에서 기동을 시도했습니다.</v>
      </c>
    </row>
    <row r="474" spans="1:22" s="49" customFormat="1" ht="14.15" customHeight="1">
      <c r="A474" s="43" t="s">
        <v>3763</v>
      </c>
      <c r="B474" s="44" t="s">
        <v>6637</v>
      </c>
      <c r="C474" s="50"/>
      <c r="D474" s="10" t="s">
        <v>29</v>
      </c>
      <c r="E474" s="11"/>
      <c r="F474" s="11" t="s">
        <v>18</v>
      </c>
      <c r="G474" s="13"/>
      <c r="H474" s="45" t="s">
        <v>16</v>
      </c>
      <c r="I474" s="47"/>
      <c r="J474" s="12" t="s">
        <v>2911</v>
      </c>
      <c r="K474" s="13" t="s">
        <v>7244</v>
      </c>
      <c r="L474" s="99" t="str">
        <f t="shared" si="38"/>
        <v>W1218.9</v>
      </c>
      <c r="M474" s="13" t="s">
        <v>3667</v>
      </c>
      <c r="N474" s="13"/>
      <c r="O474" s="13"/>
      <c r="P474" s="47"/>
      <c r="Q474" s="45"/>
      <c r="R474" s="45"/>
      <c r="S474" s="48"/>
      <c r="T474" s="49" t="str">
        <f t="shared" si="40"/>
        <v>[W1218.9]</v>
      </c>
      <c r="U474" s="12" t="str">
        <f t="shared" si="41"/>
        <v xml:space="preserve"> 쿨링 이재기 Z축(SD228) 가동 전원이 Off 되었습니다.</v>
      </c>
      <c r="V474" s="49" t="str">
        <f t="shared" si="39"/>
        <v>[W1218.9] 쿨링 이재기 Z축(SD228) 가동 전원이 Off 되었습니다.</v>
      </c>
    </row>
    <row r="475" spans="1:22" s="49" customFormat="1" ht="14.15" customHeight="1">
      <c r="A475" s="43" t="s">
        <v>3763</v>
      </c>
      <c r="B475" s="44" t="s">
        <v>6637</v>
      </c>
      <c r="C475" s="50"/>
      <c r="D475" s="10" t="s">
        <v>29</v>
      </c>
      <c r="E475" s="11"/>
      <c r="F475" s="11" t="s">
        <v>18</v>
      </c>
      <c r="G475" s="13"/>
      <c r="H475" s="45" t="s">
        <v>16</v>
      </c>
      <c r="I475" s="47"/>
      <c r="J475" s="12" t="s">
        <v>2912</v>
      </c>
      <c r="K475" s="13" t="s">
        <v>7245</v>
      </c>
      <c r="L475" s="99" t="str">
        <f t="shared" si="38"/>
        <v>W1218.A</v>
      </c>
      <c r="M475" s="13" t="s">
        <v>3667</v>
      </c>
      <c r="N475" s="13"/>
      <c r="O475" s="13"/>
      <c r="P475" s="47"/>
      <c r="Q475" s="45"/>
      <c r="R475" s="45"/>
      <c r="S475" s="48"/>
      <c r="T475" s="49" t="str">
        <f t="shared" si="40"/>
        <v>[W1218.A]</v>
      </c>
      <c r="U475" s="12" t="str">
        <f t="shared" si="41"/>
        <v xml:space="preserve"> 쿨링 이재기 Z축(SD228) 엔코더 이상이 검출되었습니다.</v>
      </c>
      <c r="V475" s="49" t="str">
        <f t="shared" si="39"/>
        <v>[W1218.A] 쿨링 이재기 Z축(SD228) 엔코더 이상이 검출되었습니다.</v>
      </c>
    </row>
    <row r="476" spans="1:22" s="49" customFormat="1" ht="14.15" customHeight="1">
      <c r="A476" s="43" t="s">
        <v>3763</v>
      </c>
      <c r="B476" s="44" t="s">
        <v>6637</v>
      </c>
      <c r="C476" s="50"/>
      <c r="D476" s="10" t="s">
        <v>29</v>
      </c>
      <c r="E476" s="11"/>
      <c r="F476" s="11" t="s">
        <v>18</v>
      </c>
      <c r="G476" s="13"/>
      <c r="H476" s="45" t="s">
        <v>16</v>
      </c>
      <c r="I476" s="46"/>
      <c r="J476" s="14" t="s">
        <v>2913</v>
      </c>
      <c r="K476" s="13" t="s">
        <v>7246</v>
      </c>
      <c r="L476" s="99" t="str">
        <f t="shared" si="38"/>
        <v>W1218.B</v>
      </c>
      <c r="M476" s="13" t="s">
        <v>3667</v>
      </c>
      <c r="N476" s="13"/>
      <c r="O476" s="13"/>
      <c r="P476" s="47"/>
      <c r="Q476" s="45"/>
      <c r="R476" s="45"/>
      <c r="S476" s="48"/>
      <c r="T476" s="49" t="str">
        <f t="shared" si="40"/>
        <v>[W1218.B]</v>
      </c>
      <c r="U476" s="12" t="str">
        <f t="shared" si="41"/>
        <v xml:space="preserve"> 쿨링 이재기 Z축(SD228) 과전류가 검출되었습니다.</v>
      </c>
      <c r="V476" s="49" t="str">
        <f t="shared" si="39"/>
        <v>[W1218.B] 쿨링 이재기 Z축(SD228) 과전류가 검출되었습니다.</v>
      </c>
    </row>
    <row r="477" spans="1:22" s="49" customFormat="1" ht="14.15" customHeight="1">
      <c r="A477" s="43" t="s">
        <v>3763</v>
      </c>
      <c r="B477" s="44" t="s">
        <v>6637</v>
      </c>
      <c r="C477" s="50"/>
      <c r="D477" s="10" t="s">
        <v>29</v>
      </c>
      <c r="E477" s="11"/>
      <c r="F477" s="11" t="s">
        <v>18</v>
      </c>
      <c r="G477" s="13"/>
      <c r="H477" s="45" t="s">
        <v>16</v>
      </c>
      <c r="I477" s="46"/>
      <c r="J477" s="14" t="s">
        <v>2914</v>
      </c>
      <c r="K477" s="13" t="s">
        <v>7247</v>
      </c>
      <c r="L477" s="99" t="str">
        <f t="shared" si="38"/>
        <v>W1218.C</v>
      </c>
      <c r="M477" s="13" t="s">
        <v>3667</v>
      </c>
      <c r="N477" s="13"/>
      <c r="O477" s="13"/>
      <c r="P477" s="47"/>
      <c r="Q477" s="45"/>
      <c r="R477" s="45"/>
      <c r="S477" s="48"/>
      <c r="T477" s="49" t="str">
        <f t="shared" si="40"/>
        <v>[W1218.C]</v>
      </c>
      <c r="U477" s="12" t="str">
        <f t="shared" si="41"/>
        <v xml:space="preserve"> 쿨링 이재기 Z축(SD228) 과부하가 검출되었습니다.</v>
      </c>
      <c r="V477" s="49" t="str">
        <f t="shared" si="39"/>
        <v>[W1218.C] 쿨링 이재기 Z축(SD228) 과부하가 검출되었습니다.</v>
      </c>
    </row>
    <row r="478" spans="1:22" s="49" customFormat="1" ht="14.15" customHeight="1">
      <c r="A478" s="43" t="s">
        <v>3763</v>
      </c>
      <c r="B478" s="44" t="s">
        <v>6637</v>
      </c>
      <c r="C478" s="50"/>
      <c r="D478" s="10" t="s">
        <v>29</v>
      </c>
      <c r="E478" s="11"/>
      <c r="F478" s="11" t="s">
        <v>18</v>
      </c>
      <c r="G478" s="13"/>
      <c r="H478" s="45" t="s">
        <v>16</v>
      </c>
      <c r="I478" s="46"/>
      <c r="J478" s="14" t="s">
        <v>2915</v>
      </c>
      <c r="K478" s="13" t="s">
        <v>7248</v>
      </c>
      <c r="L478" s="99" t="str">
        <f t="shared" si="38"/>
        <v>W1218.D</v>
      </c>
      <c r="M478" s="13" t="s">
        <v>3667</v>
      </c>
      <c r="N478" s="13"/>
      <c r="O478" s="13"/>
      <c r="P478" s="47"/>
      <c r="Q478" s="45"/>
      <c r="R478" s="45"/>
      <c r="S478" s="48"/>
      <c r="T478" s="49" t="str">
        <f t="shared" si="40"/>
        <v>[W1218.D]</v>
      </c>
      <c r="U478" s="12" t="str">
        <f t="shared" si="41"/>
        <v xml:space="preserve"> 쿨링 이재기 Z축(SD228)  </v>
      </c>
      <c r="V478" s="49" t="str">
        <f t="shared" si="39"/>
        <v xml:space="preserve">[W1218.D] 쿨링 이재기 Z축(SD228)  </v>
      </c>
    </row>
    <row r="479" spans="1:22" s="49" customFormat="1" ht="14.15" customHeight="1">
      <c r="A479" s="43" t="s">
        <v>3763</v>
      </c>
      <c r="B479" s="44" t="s">
        <v>6637</v>
      </c>
      <c r="C479" s="50"/>
      <c r="D479" s="10" t="s">
        <v>29</v>
      </c>
      <c r="E479" s="11"/>
      <c r="F479" s="11" t="s">
        <v>18</v>
      </c>
      <c r="G479" s="13"/>
      <c r="H479" s="45" t="s">
        <v>16</v>
      </c>
      <c r="I479" s="46"/>
      <c r="J479" s="14" t="s">
        <v>2916</v>
      </c>
      <c r="K479" s="13" t="s">
        <v>7249</v>
      </c>
      <c r="L479" s="99" t="str">
        <f t="shared" si="38"/>
        <v>W1218.E</v>
      </c>
      <c r="M479" s="13" t="s">
        <v>3667</v>
      </c>
      <c r="N479" s="13"/>
      <c r="O479" s="13"/>
      <c r="P479" s="47"/>
      <c r="Q479" s="45"/>
      <c r="R479" s="45"/>
      <c r="S479" s="48"/>
      <c r="T479" s="49" t="str">
        <f t="shared" si="40"/>
        <v>[W1218.E]</v>
      </c>
      <c r="U479" s="12" t="str">
        <f t="shared" si="41"/>
        <v xml:space="preserve"> 쿨링 이재기 Z축(SD228) 에러가 발생했습니다.</v>
      </c>
      <c r="V479" s="49" t="str">
        <f t="shared" si="39"/>
        <v>[W1218.E] 쿨링 이재기 Z축(SD228) 에러가 발생했습니다.</v>
      </c>
    </row>
    <row r="480" spans="1:22" s="49" customFormat="1" ht="14.15" customHeight="1">
      <c r="A480" s="43" t="s">
        <v>3725</v>
      </c>
      <c r="B480" s="44" t="s">
        <v>6637</v>
      </c>
      <c r="C480" s="50"/>
      <c r="D480" s="10" t="s">
        <v>29</v>
      </c>
      <c r="E480" s="11"/>
      <c r="F480" s="11" t="s">
        <v>18</v>
      </c>
      <c r="G480" s="13"/>
      <c r="H480" s="45" t="s">
        <v>16</v>
      </c>
      <c r="I480" s="46"/>
      <c r="J480" s="14" t="s">
        <v>2917</v>
      </c>
      <c r="K480" s="13" t="s">
        <v>7250</v>
      </c>
      <c r="L480" s="99" t="str">
        <f t="shared" si="38"/>
        <v>W1218.F</v>
      </c>
      <c r="M480" s="13" t="s">
        <v>3667</v>
      </c>
      <c r="N480" s="13"/>
      <c r="O480" s="13"/>
      <c r="P480" s="47"/>
      <c r="Q480" s="45"/>
      <c r="R480" s="45"/>
      <c r="S480" s="48"/>
      <c r="T480" s="49" t="str">
        <f t="shared" si="40"/>
        <v>[W1218.F]</v>
      </c>
      <c r="U480" s="12" t="str">
        <f t="shared" si="41"/>
        <v xml:space="preserve"> 컨베어 언로더 이재기 X축(SD229) 운전중에 Ready가 Off 되었습니다.</v>
      </c>
      <c r="V480" s="49" t="str">
        <f t="shared" si="39"/>
        <v>[W1218.F] 컨베어 언로더 이재기 X축(SD229) 운전중에 Ready가 Off 되었습니다.</v>
      </c>
    </row>
    <row r="481" spans="1:22" s="49" customFormat="1" ht="14.15" customHeight="1">
      <c r="A481" s="43" t="s">
        <v>3725</v>
      </c>
      <c r="B481" s="44" t="s">
        <v>6637</v>
      </c>
      <c r="C481" s="50"/>
      <c r="D481" s="10" t="s">
        <v>29</v>
      </c>
      <c r="E481" s="11"/>
      <c r="F481" s="11" t="s">
        <v>18</v>
      </c>
      <c r="G481" s="13"/>
      <c r="H481" s="45" t="s">
        <v>16</v>
      </c>
      <c r="I481" s="47"/>
      <c r="J481" s="12" t="s">
        <v>2918</v>
      </c>
      <c r="K481" s="13" t="s">
        <v>7251</v>
      </c>
      <c r="L481" s="99" t="str">
        <f t="shared" si="38"/>
        <v>W1219.0</v>
      </c>
      <c r="M481" s="13" t="s">
        <v>3667</v>
      </c>
      <c r="N481" s="13"/>
      <c r="O481" s="13"/>
      <c r="P481" s="47"/>
      <c r="Q481" s="45"/>
      <c r="R481" s="45"/>
      <c r="S481" s="48"/>
      <c r="T481" s="49" t="str">
        <f t="shared" si="40"/>
        <v>[W1219.0]</v>
      </c>
      <c r="U481" s="12" t="str">
        <f t="shared" si="41"/>
        <v xml:space="preserve"> 컨베어 언로더 이재기 X축(SD229) FLS가 감지되었습니다.</v>
      </c>
      <c r="V481" s="49" t="str">
        <f t="shared" si="39"/>
        <v>[W1219.0] 컨베어 언로더 이재기 X축(SD229) FLS가 감지되었습니다.</v>
      </c>
    </row>
    <row r="482" spans="1:22" s="49" customFormat="1" ht="14.15" customHeight="1">
      <c r="A482" s="43" t="s">
        <v>3725</v>
      </c>
      <c r="B482" s="44" t="s">
        <v>6637</v>
      </c>
      <c r="C482" s="50"/>
      <c r="D482" s="10" t="s">
        <v>29</v>
      </c>
      <c r="E482" s="11"/>
      <c r="F482" s="11" t="s">
        <v>18</v>
      </c>
      <c r="G482" s="13"/>
      <c r="H482" s="45" t="s">
        <v>16</v>
      </c>
      <c r="I482" s="47"/>
      <c r="J482" s="12" t="s">
        <v>2919</v>
      </c>
      <c r="K482" s="13" t="s">
        <v>7252</v>
      </c>
      <c r="L482" s="99" t="str">
        <f t="shared" si="38"/>
        <v>W1219.1</v>
      </c>
      <c r="M482" s="13" t="s">
        <v>3667</v>
      </c>
      <c r="N482" s="13"/>
      <c r="O482" s="13"/>
      <c r="P482" s="47"/>
      <c r="Q482" s="45"/>
      <c r="R482" s="45"/>
      <c r="S482" s="48"/>
      <c r="T482" s="49" t="str">
        <f t="shared" si="40"/>
        <v>[W1219.1]</v>
      </c>
      <c r="U482" s="12" t="str">
        <f t="shared" si="41"/>
        <v xml:space="preserve"> 컨베어 언로더 이재기 X축(SD229) RLS가 감지되었습니다.</v>
      </c>
      <c r="V482" s="49" t="str">
        <f t="shared" si="39"/>
        <v>[W1219.1] 컨베어 언로더 이재기 X축(SD229) RLS가 감지되었습니다.</v>
      </c>
    </row>
    <row r="483" spans="1:22" s="49" customFormat="1" ht="14.15" customHeight="1">
      <c r="A483" s="43" t="s">
        <v>3725</v>
      </c>
      <c r="B483" s="44" t="s">
        <v>6637</v>
      </c>
      <c r="C483" s="50"/>
      <c r="D483" s="10" t="s">
        <v>29</v>
      </c>
      <c r="E483" s="11"/>
      <c r="F483" s="11" t="s">
        <v>18</v>
      </c>
      <c r="G483" s="13"/>
      <c r="H483" s="45" t="s">
        <v>16</v>
      </c>
      <c r="I483" s="47"/>
      <c r="J483" s="12" t="s">
        <v>2920</v>
      </c>
      <c r="K483" s="13" t="s">
        <v>7253</v>
      </c>
      <c r="L483" s="99" t="str">
        <f t="shared" si="38"/>
        <v>W1219.2</v>
      </c>
      <c r="M483" s="13" t="s">
        <v>3667</v>
      </c>
      <c r="N483" s="13"/>
      <c r="O483" s="13"/>
      <c r="P483" s="47"/>
      <c r="Q483" s="45"/>
      <c r="R483" s="45"/>
      <c r="S483" s="48"/>
      <c r="T483" s="49" t="str">
        <f t="shared" si="40"/>
        <v>[W1219.2]</v>
      </c>
      <c r="U483" s="12" t="str">
        <f t="shared" si="41"/>
        <v xml:space="preserve"> 컨베어 언로더 이재기 X축(SD229) Stop 명령이 On된 상태에서 기동을 시도했습니다.</v>
      </c>
      <c r="V483" s="49" t="str">
        <f t="shared" si="39"/>
        <v>[W1219.2] 컨베어 언로더 이재기 X축(SD229) Stop 명령이 On된 상태에서 기동을 시도했습니다.</v>
      </c>
    </row>
    <row r="484" spans="1:22" s="49" customFormat="1" ht="14.15" customHeight="1">
      <c r="A484" s="43" t="s">
        <v>3725</v>
      </c>
      <c r="B484" s="44" t="s">
        <v>6637</v>
      </c>
      <c r="C484" s="50"/>
      <c r="D484" s="10" t="s">
        <v>29</v>
      </c>
      <c r="E484" s="11"/>
      <c r="F484" s="11" t="s">
        <v>18</v>
      </c>
      <c r="G484" s="13"/>
      <c r="H484" s="45" t="s">
        <v>16</v>
      </c>
      <c r="I484" s="47"/>
      <c r="J484" s="12" t="s">
        <v>2921</v>
      </c>
      <c r="K484" s="13" t="s">
        <v>7254</v>
      </c>
      <c r="L484" s="99" t="str">
        <f t="shared" si="38"/>
        <v>W1219.3</v>
      </c>
      <c r="M484" s="13" t="s">
        <v>3667</v>
      </c>
      <c r="N484" s="13"/>
      <c r="O484" s="13"/>
      <c r="P484" s="47"/>
      <c r="Q484" s="45"/>
      <c r="R484" s="45"/>
      <c r="S484" s="48"/>
      <c r="T484" s="49" t="str">
        <f t="shared" si="40"/>
        <v>[W1219.3]</v>
      </c>
      <c r="U484" s="12" t="str">
        <f t="shared" si="41"/>
        <v xml:space="preserve"> 컨베어 언로더 이재기 X축(SD229) 가동 전원이 Off 되었습니다.</v>
      </c>
      <c r="V484" s="49" t="str">
        <f t="shared" si="39"/>
        <v>[W1219.3] 컨베어 언로더 이재기 X축(SD229) 가동 전원이 Off 되었습니다.</v>
      </c>
    </row>
    <row r="485" spans="1:22" s="49" customFormat="1" ht="14.15" customHeight="1">
      <c r="A485" s="43" t="s">
        <v>3725</v>
      </c>
      <c r="B485" s="44" t="s">
        <v>6637</v>
      </c>
      <c r="C485" s="50"/>
      <c r="D485" s="10" t="s">
        <v>29</v>
      </c>
      <c r="E485" s="11"/>
      <c r="F485" s="11" t="s">
        <v>18</v>
      </c>
      <c r="G485" s="13"/>
      <c r="H485" s="45" t="s">
        <v>16</v>
      </c>
      <c r="I485" s="47"/>
      <c r="J485" s="12" t="s">
        <v>2922</v>
      </c>
      <c r="K485" s="13" t="s">
        <v>7255</v>
      </c>
      <c r="L485" s="99" t="str">
        <f t="shared" si="38"/>
        <v>W1219.4</v>
      </c>
      <c r="M485" s="13" t="s">
        <v>3667</v>
      </c>
      <c r="N485" s="13"/>
      <c r="O485" s="13"/>
      <c r="P485" s="47"/>
      <c r="Q485" s="45"/>
      <c r="R485" s="45"/>
      <c r="S485" s="48"/>
      <c r="T485" s="49" t="str">
        <f t="shared" si="40"/>
        <v>[W1219.4]</v>
      </c>
      <c r="U485" s="12" t="str">
        <f t="shared" si="41"/>
        <v xml:space="preserve"> 컨베어 언로더 이재기 X축(SD229) 엔코더 이상이 검출되었습니다.</v>
      </c>
      <c r="V485" s="49" t="str">
        <f t="shared" si="39"/>
        <v>[W1219.4] 컨베어 언로더 이재기 X축(SD229) 엔코더 이상이 검출되었습니다.</v>
      </c>
    </row>
    <row r="486" spans="1:22" s="49" customFormat="1" ht="14.15" customHeight="1">
      <c r="A486" s="43" t="s">
        <v>3725</v>
      </c>
      <c r="B486" s="44" t="s">
        <v>6637</v>
      </c>
      <c r="C486" s="50"/>
      <c r="D486" s="10" t="s">
        <v>29</v>
      </c>
      <c r="E486" s="11"/>
      <c r="F486" s="11" t="s">
        <v>18</v>
      </c>
      <c r="G486" s="13"/>
      <c r="H486" s="45" t="s">
        <v>16</v>
      </c>
      <c r="I486" s="47"/>
      <c r="J486" s="12" t="s">
        <v>2923</v>
      </c>
      <c r="K486" s="13" t="s">
        <v>7256</v>
      </c>
      <c r="L486" s="99" t="str">
        <f t="shared" si="38"/>
        <v>W1219.5</v>
      </c>
      <c r="M486" s="13" t="s">
        <v>3667</v>
      </c>
      <c r="N486" s="13"/>
      <c r="O486" s="13"/>
      <c r="P486" s="47"/>
      <c r="Q486" s="45"/>
      <c r="R486" s="45"/>
      <c r="S486" s="48"/>
      <c r="T486" s="49" t="str">
        <f t="shared" si="40"/>
        <v>[W1219.5]</v>
      </c>
      <c r="U486" s="12" t="str">
        <f t="shared" si="41"/>
        <v xml:space="preserve"> 컨베어 언로더 이재기 X축(SD229) 과전류가 검출되었습니다.</v>
      </c>
      <c r="V486" s="49" t="str">
        <f t="shared" si="39"/>
        <v>[W1219.5] 컨베어 언로더 이재기 X축(SD229) 과전류가 검출되었습니다.</v>
      </c>
    </row>
    <row r="487" spans="1:22" s="49" customFormat="1" ht="14.15" customHeight="1">
      <c r="A487" s="43" t="s">
        <v>3725</v>
      </c>
      <c r="B487" s="44" t="s">
        <v>6637</v>
      </c>
      <c r="C487" s="50"/>
      <c r="D487" s="10" t="s">
        <v>29</v>
      </c>
      <c r="E487" s="11"/>
      <c r="F487" s="11" t="s">
        <v>18</v>
      </c>
      <c r="G487" s="13"/>
      <c r="H487" s="45" t="s">
        <v>16</v>
      </c>
      <c r="I487" s="47"/>
      <c r="J487" s="12" t="s">
        <v>2924</v>
      </c>
      <c r="K487" s="13" t="s">
        <v>7257</v>
      </c>
      <c r="L487" s="99" t="str">
        <f t="shared" si="38"/>
        <v>W1219.6</v>
      </c>
      <c r="M487" s="13" t="s">
        <v>3667</v>
      </c>
      <c r="N487" s="13"/>
      <c r="O487" s="13"/>
      <c r="P487" s="47"/>
      <c r="Q487" s="45"/>
      <c r="R487" s="45"/>
      <c r="S487" s="48"/>
      <c r="T487" s="49" t="str">
        <f t="shared" si="40"/>
        <v>[W1219.6]</v>
      </c>
      <c r="U487" s="12" t="str">
        <f t="shared" si="41"/>
        <v xml:space="preserve"> 컨베어 언로더 이재기 X축(SD229) 과부하가 검출되었습니다.</v>
      </c>
      <c r="V487" s="49" t="str">
        <f t="shared" si="39"/>
        <v>[W1219.6] 컨베어 언로더 이재기 X축(SD229) 과부하가 검출되었습니다.</v>
      </c>
    </row>
    <row r="488" spans="1:22" s="49" customFormat="1" ht="14.15" customHeight="1">
      <c r="A488" s="43" t="s">
        <v>3725</v>
      </c>
      <c r="B488" s="44" t="s">
        <v>6637</v>
      </c>
      <c r="C488" s="50"/>
      <c r="D488" s="10" t="s">
        <v>29</v>
      </c>
      <c r="E488" s="11"/>
      <c r="F488" s="11" t="s">
        <v>18</v>
      </c>
      <c r="G488" s="13"/>
      <c r="H488" s="45" t="s">
        <v>16</v>
      </c>
      <c r="I488" s="47"/>
      <c r="J488" s="12" t="s">
        <v>2925</v>
      </c>
      <c r="K488" s="13" t="s">
        <v>7258</v>
      </c>
      <c r="L488" s="99" t="str">
        <f t="shared" si="38"/>
        <v>W1219.7</v>
      </c>
      <c r="M488" s="13" t="s">
        <v>3667</v>
      </c>
      <c r="N488" s="13"/>
      <c r="O488" s="13"/>
      <c r="P488" s="47"/>
      <c r="Q488" s="45"/>
      <c r="R488" s="45"/>
      <c r="S488" s="48"/>
      <c r="T488" s="49" t="str">
        <f t="shared" si="40"/>
        <v>[W1219.7]</v>
      </c>
      <c r="U488" s="12" t="str">
        <f t="shared" si="41"/>
        <v xml:space="preserve"> 컨베어 언로더 이재기 X축(SD229)  </v>
      </c>
      <c r="V488" s="49" t="str">
        <f t="shared" si="39"/>
        <v xml:space="preserve">[W1219.7] 컨베어 언로더 이재기 X축(SD229)  </v>
      </c>
    </row>
    <row r="489" spans="1:22" s="49" customFormat="1" ht="14.15" customHeight="1">
      <c r="A489" s="43" t="s">
        <v>3725</v>
      </c>
      <c r="B489" s="44" t="s">
        <v>6637</v>
      </c>
      <c r="C489" s="50"/>
      <c r="D489" s="10" t="s">
        <v>29</v>
      </c>
      <c r="E489" s="11"/>
      <c r="F489" s="11" t="s">
        <v>18</v>
      </c>
      <c r="G489" s="13"/>
      <c r="H489" s="45" t="s">
        <v>16</v>
      </c>
      <c r="I489" s="47"/>
      <c r="J489" s="12" t="s">
        <v>2926</v>
      </c>
      <c r="K489" s="13" t="s">
        <v>7259</v>
      </c>
      <c r="L489" s="99" t="str">
        <f t="shared" si="38"/>
        <v>W1219.8</v>
      </c>
      <c r="M489" s="13" t="s">
        <v>3667</v>
      </c>
      <c r="N489" s="13"/>
      <c r="O489" s="13"/>
      <c r="P489" s="47"/>
      <c r="Q489" s="45"/>
      <c r="R489" s="45"/>
      <c r="S489" s="48"/>
      <c r="T489" s="49" t="str">
        <f t="shared" si="40"/>
        <v>[W1219.8]</v>
      </c>
      <c r="U489" s="12" t="str">
        <f t="shared" si="41"/>
        <v xml:space="preserve"> 컨베어 언로더 이재기 X축(SD229) 에러가 발생했습니다.</v>
      </c>
      <c r="V489" s="49" t="str">
        <f t="shared" si="39"/>
        <v>[W1219.8] 컨베어 언로더 이재기 X축(SD229) 에러가 발생했습니다.</v>
      </c>
    </row>
    <row r="490" spans="1:22" s="49" customFormat="1" ht="14.15" customHeight="1">
      <c r="A490" s="43" t="s">
        <v>3725</v>
      </c>
      <c r="B490" s="44" t="s">
        <v>6637</v>
      </c>
      <c r="C490" s="50"/>
      <c r="D490" s="10" t="s">
        <v>29</v>
      </c>
      <c r="E490" s="11"/>
      <c r="F490" s="11" t="s">
        <v>18</v>
      </c>
      <c r="G490" s="13"/>
      <c r="H490" s="45" t="s">
        <v>16</v>
      </c>
      <c r="I490" s="47"/>
      <c r="J490" s="12" t="s">
        <v>2927</v>
      </c>
      <c r="K490" s="13" t="s">
        <v>7260</v>
      </c>
      <c r="L490" s="99" t="str">
        <f t="shared" si="38"/>
        <v>W1219.9</v>
      </c>
      <c r="M490" s="13" t="s">
        <v>3667</v>
      </c>
      <c r="N490" s="13"/>
      <c r="O490" s="13"/>
      <c r="P490" s="47"/>
      <c r="Q490" s="45"/>
      <c r="R490" s="45"/>
      <c r="S490" s="48"/>
      <c r="T490" s="49" t="str">
        <f t="shared" si="40"/>
        <v>[W1219.9]</v>
      </c>
      <c r="U490" s="12" t="str">
        <f t="shared" si="41"/>
        <v xml:space="preserve"> 컨베어 언로더 이재기 Z축(SD230) 운전중에 Ready가 Off 되었습니다.</v>
      </c>
      <c r="V490" s="49" t="str">
        <f t="shared" si="39"/>
        <v>[W1219.9] 컨베어 언로더 이재기 Z축(SD230) 운전중에 Ready가 Off 되었습니다.</v>
      </c>
    </row>
    <row r="491" spans="1:22" s="49" customFormat="1" ht="14.15" customHeight="1">
      <c r="A491" s="43" t="s">
        <v>3725</v>
      </c>
      <c r="B491" s="44" t="s">
        <v>6637</v>
      </c>
      <c r="C491" s="50"/>
      <c r="D491" s="10" t="s">
        <v>29</v>
      </c>
      <c r="E491" s="11"/>
      <c r="F491" s="11" t="s">
        <v>18</v>
      </c>
      <c r="G491" s="13"/>
      <c r="H491" s="45" t="s">
        <v>16</v>
      </c>
      <c r="I491" s="47"/>
      <c r="J491" s="12" t="s">
        <v>2928</v>
      </c>
      <c r="K491" s="13" t="s">
        <v>7261</v>
      </c>
      <c r="L491" s="99" t="str">
        <f t="shared" si="38"/>
        <v>W1219.A</v>
      </c>
      <c r="M491" s="13" t="s">
        <v>3667</v>
      </c>
      <c r="N491" s="13"/>
      <c r="O491" s="13"/>
      <c r="P491" s="47"/>
      <c r="Q491" s="45"/>
      <c r="R491" s="45"/>
      <c r="S491" s="48"/>
      <c r="T491" s="49" t="str">
        <f t="shared" si="40"/>
        <v>[W1219.A]</v>
      </c>
      <c r="U491" s="12" t="str">
        <f t="shared" si="41"/>
        <v xml:space="preserve"> 컨베어 언로더 이재기 Z축(SD230) FLS가 감지되었습니다.</v>
      </c>
      <c r="V491" s="49" t="str">
        <f t="shared" si="39"/>
        <v>[W1219.A] 컨베어 언로더 이재기 Z축(SD230) FLS가 감지되었습니다.</v>
      </c>
    </row>
    <row r="492" spans="1:22" s="49" customFormat="1" ht="14.15" customHeight="1">
      <c r="A492" s="43" t="s">
        <v>3725</v>
      </c>
      <c r="B492" s="44" t="s">
        <v>6637</v>
      </c>
      <c r="C492" s="50"/>
      <c r="D492" s="10" t="s">
        <v>29</v>
      </c>
      <c r="E492" s="11"/>
      <c r="F492" s="11" t="s">
        <v>18</v>
      </c>
      <c r="G492" s="13"/>
      <c r="H492" s="45" t="s">
        <v>16</v>
      </c>
      <c r="I492" s="47"/>
      <c r="J492" s="12" t="s">
        <v>2929</v>
      </c>
      <c r="K492" s="13" t="s">
        <v>7262</v>
      </c>
      <c r="L492" s="99" t="str">
        <f t="shared" si="38"/>
        <v>W1219.B</v>
      </c>
      <c r="M492" s="13" t="s">
        <v>3667</v>
      </c>
      <c r="N492" s="13"/>
      <c r="O492" s="13"/>
      <c r="P492" s="47"/>
      <c r="Q492" s="45"/>
      <c r="R492" s="45"/>
      <c r="S492" s="48"/>
      <c r="T492" s="49" t="str">
        <f t="shared" si="40"/>
        <v>[W1219.B]</v>
      </c>
      <c r="U492" s="12" t="str">
        <f t="shared" si="41"/>
        <v xml:space="preserve"> 컨베어 언로더 이재기 Z축(SD230) RLS가 감지되었습니다.</v>
      </c>
      <c r="V492" s="49" t="str">
        <f t="shared" si="39"/>
        <v>[W1219.B] 컨베어 언로더 이재기 Z축(SD230) RLS가 감지되었습니다.</v>
      </c>
    </row>
    <row r="493" spans="1:22" s="49" customFormat="1" ht="14.15" customHeight="1">
      <c r="A493" s="43" t="s">
        <v>3725</v>
      </c>
      <c r="B493" s="44" t="s">
        <v>6637</v>
      </c>
      <c r="C493" s="50"/>
      <c r="D493" s="10" t="s">
        <v>29</v>
      </c>
      <c r="E493" s="11"/>
      <c r="F493" s="11" t="s">
        <v>18</v>
      </c>
      <c r="G493" s="13"/>
      <c r="H493" s="45" t="s">
        <v>16</v>
      </c>
      <c r="I493" s="47"/>
      <c r="J493" s="12" t="s">
        <v>2930</v>
      </c>
      <c r="K493" s="13" t="s">
        <v>7263</v>
      </c>
      <c r="L493" s="99" t="str">
        <f t="shared" si="38"/>
        <v>W1219.C</v>
      </c>
      <c r="M493" s="13" t="s">
        <v>3667</v>
      </c>
      <c r="N493" s="13"/>
      <c r="O493" s="13"/>
      <c r="P493" s="47"/>
      <c r="Q493" s="45"/>
      <c r="R493" s="45"/>
      <c r="S493" s="48"/>
      <c r="T493" s="49" t="str">
        <f t="shared" si="40"/>
        <v>[W1219.C]</v>
      </c>
      <c r="U493" s="12" t="str">
        <f t="shared" si="41"/>
        <v xml:space="preserve"> 컨베어 언로더 이재기 Z축(SD230) Stop 명령이 On된 상태에서 기동을 시도했습니다.</v>
      </c>
      <c r="V493" s="49" t="str">
        <f t="shared" si="39"/>
        <v>[W1219.C] 컨베어 언로더 이재기 Z축(SD230) Stop 명령이 On된 상태에서 기동을 시도했습니다.</v>
      </c>
    </row>
    <row r="494" spans="1:22" s="49" customFormat="1" ht="14.15" customHeight="1">
      <c r="A494" s="43" t="s">
        <v>3725</v>
      </c>
      <c r="B494" s="44" t="s">
        <v>6637</v>
      </c>
      <c r="C494" s="50"/>
      <c r="D494" s="10" t="s">
        <v>29</v>
      </c>
      <c r="E494" s="11"/>
      <c r="F494" s="11" t="s">
        <v>18</v>
      </c>
      <c r="G494" s="13"/>
      <c r="H494" s="45" t="s">
        <v>16</v>
      </c>
      <c r="I494" s="47"/>
      <c r="J494" s="12" t="s">
        <v>2931</v>
      </c>
      <c r="K494" s="13" t="s">
        <v>7264</v>
      </c>
      <c r="L494" s="99" t="str">
        <f t="shared" si="38"/>
        <v>W1219.D</v>
      </c>
      <c r="M494" s="13" t="s">
        <v>3667</v>
      </c>
      <c r="N494" s="13"/>
      <c r="O494" s="13"/>
      <c r="P494" s="47"/>
      <c r="Q494" s="45"/>
      <c r="R494" s="45"/>
      <c r="S494" s="48"/>
      <c r="T494" s="49" t="str">
        <f t="shared" si="40"/>
        <v>[W1219.D]</v>
      </c>
      <c r="U494" s="12" t="str">
        <f t="shared" si="41"/>
        <v xml:space="preserve"> 컨베어 언로더 이재기 Z축(SD230) 가동 전원이 Off 되었습니다.</v>
      </c>
      <c r="V494" s="49" t="str">
        <f t="shared" si="39"/>
        <v>[W1219.D] 컨베어 언로더 이재기 Z축(SD230) 가동 전원이 Off 되었습니다.</v>
      </c>
    </row>
    <row r="495" spans="1:22" s="49" customFormat="1" ht="14.15" customHeight="1">
      <c r="A495" s="43" t="s">
        <v>3725</v>
      </c>
      <c r="B495" s="44" t="s">
        <v>6637</v>
      </c>
      <c r="C495" s="50"/>
      <c r="D495" s="10" t="s">
        <v>29</v>
      </c>
      <c r="E495" s="11"/>
      <c r="F495" s="11" t="s">
        <v>18</v>
      </c>
      <c r="G495" s="13"/>
      <c r="H495" s="45" t="s">
        <v>16</v>
      </c>
      <c r="I495" s="47"/>
      <c r="J495" s="12" t="s">
        <v>2932</v>
      </c>
      <c r="K495" s="13" t="s">
        <v>7265</v>
      </c>
      <c r="L495" s="99" t="str">
        <f t="shared" si="38"/>
        <v>W1219.E</v>
      </c>
      <c r="M495" s="13" t="s">
        <v>3667</v>
      </c>
      <c r="N495" s="13"/>
      <c r="O495" s="13"/>
      <c r="P495" s="47"/>
      <c r="Q495" s="45"/>
      <c r="R495" s="45"/>
      <c r="S495" s="48"/>
      <c r="T495" s="49" t="str">
        <f t="shared" si="40"/>
        <v>[W1219.E]</v>
      </c>
      <c r="U495" s="12" t="str">
        <f t="shared" si="41"/>
        <v xml:space="preserve"> 컨베어 언로더 이재기 Z축(SD230) 엔코더 이상이 검출되었습니다.</v>
      </c>
      <c r="V495" s="49" t="str">
        <f t="shared" si="39"/>
        <v>[W1219.E] 컨베어 언로더 이재기 Z축(SD230) 엔코더 이상이 검출되었습니다.</v>
      </c>
    </row>
    <row r="496" spans="1:22" s="49" customFormat="1" ht="14.15" customHeight="1">
      <c r="A496" s="43" t="s">
        <v>3725</v>
      </c>
      <c r="B496" s="44" t="s">
        <v>6637</v>
      </c>
      <c r="C496" s="50"/>
      <c r="D496" s="10" t="s">
        <v>29</v>
      </c>
      <c r="E496" s="11"/>
      <c r="F496" s="11" t="s">
        <v>18</v>
      </c>
      <c r="G496" s="13"/>
      <c r="H496" s="45" t="s">
        <v>16</v>
      </c>
      <c r="I496" s="47"/>
      <c r="J496" s="12" t="s">
        <v>2933</v>
      </c>
      <c r="K496" s="13" t="s">
        <v>7266</v>
      </c>
      <c r="L496" s="99" t="str">
        <f t="shared" si="38"/>
        <v>W1219.F</v>
      </c>
      <c r="M496" s="13" t="s">
        <v>3667</v>
      </c>
      <c r="N496" s="13"/>
      <c r="O496" s="13"/>
      <c r="P496" s="47"/>
      <c r="Q496" s="45"/>
      <c r="R496" s="45"/>
      <c r="S496" s="48"/>
      <c r="T496" s="49" t="str">
        <f t="shared" si="40"/>
        <v>[W1219.F]</v>
      </c>
      <c r="U496" s="12" t="str">
        <f t="shared" si="41"/>
        <v xml:space="preserve"> 컨베어 언로더 이재기 Z축(SD230) 과전류가 검출되었습니다.</v>
      </c>
      <c r="V496" s="49" t="str">
        <f t="shared" si="39"/>
        <v>[W1219.F] 컨베어 언로더 이재기 Z축(SD230) 과전류가 검출되었습니다.</v>
      </c>
    </row>
    <row r="497" spans="1:22" s="49" customFormat="1" ht="14.15" customHeight="1">
      <c r="A497" s="43" t="s">
        <v>3725</v>
      </c>
      <c r="B497" s="44" t="s">
        <v>6637</v>
      </c>
      <c r="C497" s="50"/>
      <c r="D497" s="10" t="s">
        <v>29</v>
      </c>
      <c r="E497" s="11"/>
      <c r="F497" s="11" t="s">
        <v>18</v>
      </c>
      <c r="G497" s="13"/>
      <c r="H497" s="45" t="s">
        <v>16</v>
      </c>
      <c r="I497" s="47"/>
      <c r="J497" s="12" t="s">
        <v>2934</v>
      </c>
      <c r="K497" s="13" t="s">
        <v>7267</v>
      </c>
      <c r="L497" s="99" t="str">
        <f t="shared" si="38"/>
        <v>W121A.0</v>
      </c>
      <c r="M497" s="13" t="s">
        <v>3667</v>
      </c>
      <c r="N497" s="13"/>
      <c r="O497" s="13"/>
      <c r="P497" s="47"/>
      <c r="Q497" s="45"/>
      <c r="R497" s="45"/>
      <c r="S497" s="48"/>
      <c r="T497" s="49" t="str">
        <f t="shared" si="40"/>
        <v>[W121A.0]</v>
      </c>
      <c r="U497" s="12" t="str">
        <f t="shared" si="41"/>
        <v xml:space="preserve"> 컨베어 언로더 이재기 Z축(SD230) 과부하가 검출되었습니다.</v>
      </c>
      <c r="V497" s="49" t="str">
        <f t="shared" si="39"/>
        <v>[W121A.0] 컨베어 언로더 이재기 Z축(SD230) 과부하가 검출되었습니다.</v>
      </c>
    </row>
    <row r="498" spans="1:22" s="49" customFormat="1" ht="14.15" customHeight="1">
      <c r="A498" s="43" t="s">
        <v>3725</v>
      </c>
      <c r="B498" s="44" t="s">
        <v>6637</v>
      </c>
      <c r="C498" s="50"/>
      <c r="D498" s="10" t="s">
        <v>29</v>
      </c>
      <c r="E498" s="11"/>
      <c r="F498" s="11" t="s">
        <v>18</v>
      </c>
      <c r="G498" s="13"/>
      <c r="H498" s="45" t="s">
        <v>16</v>
      </c>
      <c r="I498" s="47"/>
      <c r="J498" s="12" t="s">
        <v>2935</v>
      </c>
      <c r="K498" s="13" t="s">
        <v>7268</v>
      </c>
      <c r="L498" s="99" t="str">
        <f t="shared" si="38"/>
        <v>W121A.1</v>
      </c>
      <c r="M498" s="13" t="s">
        <v>3667</v>
      </c>
      <c r="N498" s="13"/>
      <c r="O498" s="13"/>
      <c r="P498" s="47"/>
      <c r="Q498" s="45"/>
      <c r="R498" s="45"/>
      <c r="S498" s="48"/>
      <c r="T498" s="49" t="str">
        <f t="shared" si="40"/>
        <v>[W121A.1]</v>
      </c>
      <c r="U498" s="12" t="str">
        <f t="shared" si="41"/>
        <v xml:space="preserve"> 컨베어 언로더 이재기 Z축(SD230)  </v>
      </c>
      <c r="V498" s="49" t="str">
        <f t="shared" si="39"/>
        <v xml:space="preserve">[W121A.1] 컨베어 언로더 이재기 Z축(SD230)  </v>
      </c>
    </row>
    <row r="499" spans="1:22" s="49" customFormat="1" ht="14.15" customHeight="1">
      <c r="A499" s="43" t="s">
        <v>3725</v>
      </c>
      <c r="B499" s="44" t="s">
        <v>6637</v>
      </c>
      <c r="C499" s="50"/>
      <c r="D499" s="10" t="s">
        <v>29</v>
      </c>
      <c r="E499" s="11"/>
      <c r="F499" s="11" t="s">
        <v>18</v>
      </c>
      <c r="G499" s="13"/>
      <c r="H499" s="45" t="s">
        <v>16</v>
      </c>
      <c r="I499" s="47"/>
      <c r="J499" s="12" t="s">
        <v>2936</v>
      </c>
      <c r="K499" s="13" t="s">
        <v>7269</v>
      </c>
      <c r="L499" s="99" t="str">
        <f t="shared" si="38"/>
        <v>W121A.2</v>
      </c>
      <c r="M499" s="13" t="s">
        <v>3667</v>
      </c>
      <c r="N499" s="13"/>
      <c r="O499" s="13"/>
      <c r="P499" s="47"/>
      <c r="Q499" s="45"/>
      <c r="R499" s="45"/>
      <c r="S499" s="48"/>
      <c r="T499" s="49" t="str">
        <f t="shared" si="40"/>
        <v>[W121A.2]</v>
      </c>
      <c r="U499" s="12" t="str">
        <f t="shared" si="41"/>
        <v xml:space="preserve"> 컨베어 언로더 이재기 Z축(SD230) 에러가 발생했습니다.</v>
      </c>
      <c r="V499" s="49" t="str">
        <f t="shared" si="39"/>
        <v>[W121A.2] 컨베어 언로더 이재기 Z축(SD230) 에러가 발생했습니다.</v>
      </c>
    </row>
    <row r="500" spans="1:22" s="49" customFormat="1" ht="14.15" customHeight="1">
      <c r="A500" s="43" t="s">
        <v>3725</v>
      </c>
      <c r="B500" s="44" t="s">
        <v>6637</v>
      </c>
      <c r="C500" s="50"/>
      <c r="D500" s="10" t="s">
        <v>29</v>
      </c>
      <c r="E500" s="11"/>
      <c r="F500" s="11" t="s">
        <v>18</v>
      </c>
      <c r="G500" s="13"/>
      <c r="H500" s="45" t="s">
        <v>16</v>
      </c>
      <c r="I500" s="47"/>
      <c r="J500" s="12" t="s">
        <v>2937</v>
      </c>
      <c r="K500" s="13" t="s">
        <v>7270</v>
      </c>
      <c r="L500" s="99" t="str">
        <f t="shared" si="38"/>
        <v>W121A.3</v>
      </c>
      <c r="M500" s="13" t="s">
        <v>3667</v>
      </c>
      <c r="N500" s="13"/>
      <c r="O500" s="13"/>
      <c r="P500" s="47"/>
      <c r="Q500" s="45"/>
      <c r="R500" s="45"/>
      <c r="S500" s="48"/>
      <c r="T500" s="49" t="str">
        <f t="shared" si="40"/>
        <v>[W121A.3]</v>
      </c>
      <c r="U500" s="12" t="str">
        <f t="shared" si="41"/>
        <v xml:space="preserve"> 턴 오버 T축(SD231) 운전중에 Ready가 Off 되었습니다.</v>
      </c>
      <c r="V500" s="49" t="str">
        <f t="shared" si="39"/>
        <v>[W121A.3] 턴 오버 T축(SD231) 운전중에 Ready가 Off 되었습니다.</v>
      </c>
    </row>
    <row r="501" spans="1:22" s="49" customFormat="1" ht="14.15" customHeight="1">
      <c r="A501" s="43" t="s">
        <v>3725</v>
      </c>
      <c r="B501" s="44" t="s">
        <v>6637</v>
      </c>
      <c r="C501" s="50"/>
      <c r="D501" s="10" t="s">
        <v>29</v>
      </c>
      <c r="E501" s="11"/>
      <c r="F501" s="11" t="s">
        <v>18</v>
      </c>
      <c r="G501" s="13"/>
      <c r="H501" s="45" t="s">
        <v>16</v>
      </c>
      <c r="I501" s="47"/>
      <c r="J501" s="12" t="s">
        <v>2938</v>
      </c>
      <c r="K501" s="13" t="s">
        <v>7271</v>
      </c>
      <c r="L501" s="99" t="str">
        <f t="shared" si="38"/>
        <v>W121A.4</v>
      </c>
      <c r="M501" s="13" t="s">
        <v>3667</v>
      </c>
      <c r="N501" s="13"/>
      <c r="O501" s="13"/>
      <c r="P501" s="47"/>
      <c r="Q501" s="45"/>
      <c r="R501" s="45"/>
      <c r="S501" s="48"/>
      <c r="T501" s="49" t="str">
        <f t="shared" si="40"/>
        <v>[W121A.4]</v>
      </c>
      <c r="U501" s="12" t="str">
        <f t="shared" si="41"/>
        <v xml:space="preserve"> 턴 오버 T축(SD231) FLS가 감지되었습니다.</v>
      </c>
      <c r="V501" s="49" t="str">
        <f t="shared" si="39"/>
        <v>[W121A.4] 턴 오버 T축(SD231) FLS가 감지되었습니다.</v>
      </c>
    </row>
    <row r="502" spans="1:22" s="49" customFormat="1" ht="14.15" customHeight="1">
      <c r="A502" s="43" t="s">
        <v>3725</v>
      </c>
      <c r="B502" s="44" t="s">
        <v>6637</v>
      </c>
      <c r="C502" s="50"/>
      <c r="D502" s="10" t="s">
        <v>29</v>
      </c>
      <c r="E502" s="11"/>
      <c r="F502" s="11" t="s">
        <v>18</v>
      </c>
      <c r="G502" s="13"/>
      <c r="H502" s="45" t="s">
        <v>16</v>
      </c>
      <c r="I502" s="47"/>
      <c r="J502" s="12" t="s">
        <v>2939</v>
      </c>
      <c r="K502" s="13" t="s">
        <v>7272</v>
      </c>
      <c r="L502" s="99" t="str">
        <f t="shared" si="38"/>
        <v>W121A.5</v>
      </c>
      <c r="M502" s="13" t="s">
        <v>3667</v>
      </c>
      <c r="N502" s="13"/>
      <c r="O502" s="13"/>
      <c r="P502" s="47"/>
      <c r="Q502" s="45"/>
      <c r="R502" s="45"/>
      <c r="S502" s="48"/>
      <c r="T502" s="49" t="str">
        <f t="shared" ref="T502:T533" si="42">"["&amp;L502&amp;"]"</f>
        <v>[W121A.5]</v>
      </c>
      <c r="U502" s="12" t="str">
        <f t="shared" ref="U502:U533" si="43">RIGHT(J502,LEN(J502)-7)</f>
        <v xml:space="preserve"> 턴 오버 T축(SD231) RLS가 감지되었습니다.</v>
      </c>
      <c r="V502" s="49" t="str">
        <f t="shared" si="39"/>
        <v>[W121A.5] 턴 오버 T축(SD231) RLS가 감지되었습니다.</v>
      </c>
    </row>
    <row r="503" spans="1:22" s="49" customFormat="1" ht="14.15" customHeight="1">
      <c r="A503" s="43" t="s">
        <v>3725</v>
      </c>
      <c r="B503" s="44" t="s">
        <v>6637</v>
      </c>
      <c r="C503" s="50"/>
      <c r="D503" s="10" t="s">
        <v>29</v>
      </c>
      <c r="E503" s="11"/>
      <c r="F503" s="11" t="s">
        <v>18</v>
      </c>
      <c r="G503" s="13"/>
      <c r="H503" s="45" t="s">
        <v>16</v>
      </c>
      <c r="I503" s="47"/>
      <c r="J503" s="12" t="s">
        <v>2940</v>
      </c>
      <c r="K503" s="13" t="s">
        <v>7273</v>
      </c>
      <c r="L503" s="99" t="str">
        <f t="shared" si="38"/>
        <v>W121A.6</v>
      </c>
      <c r="M503" s="13" t="s">
        <v>3667</v>
      </c>
      <c r="N503" s="13"/>
      <c r="O503" s="13"/>
      <c r="P503" s="47"/>
      <c r="Q503" s="45"/>
      <c r="R503" s="45"/>
      <c r="S503" s="48"/>
      <c r="T503" s="49" t="str">
        <f t="shared" si="42"/>
        <v>[W121A.6]</v>
      </c>
      <c r="U503" s="12" t="str">
        <f t="shared" si="43"/>
        <v xml:space="preserve"> 턴 오버 T축(SD231) Stop 명령이 On된 상태에서 기동을 시도했습니다.</v>
      </c>
      <c r="V503" s="49" t="str">
        <f t="shared" si="39"/>
        <v>[W121A.6] 턴 오버 T축(SD231) Stop 명령이 On된 상태에서 기동을 시도했습니다.</v>
      </c>
    </row>
    <row r="504" spans="1:22" s="49" customFormat="1" ht="14.15" customHeight="1">
      <c r="A504" s="43" t="s">
        <v>3725</v>
      </c>
      <c r="B504" s="44" t="s">
        <v>6637</v>
      </c>
      <c r="C504" s="50"/>
      <c r="D504" s="10" t="s">
        <v>29</v>
      </c>
      <c r="E504" s="11"/>
      <c r="F504" s="11" t="s">
        <v>18</v>
      </c>
      <c r="G504" s="13"/>
      <c r="H504" s="45" t="s">
        <v>16</v>
      </c>
      <c r="I504" s="47"/>
      <c r="J504" s="12" t="s">
        <v>2941</v>
      </c>
      <c r="K504" s="13" t="s">
        <v>7274</v>
      </c>
      <c r="L504" s="99" t="str">
        <f t="shared" si="38"/>
        <v>W121A.7</v>
      </c>
      <c r="M504" s="13" t="s">
        <v>3667</v>
      </c>
      <c r="N504" s="13"/>
      <c r="O504" s="13"/>
      <c r="P504" s="47"/>
      <c r="Q504" s="45"/>
      <c r="R504" s="45"/>
      <c r="S504" s="48"/>
      <c r="T504" s="49" t="str">
        <f t="shared" si="42"/>
        <v>[W121A.7]</v>
      </c>
      <c r="U504" s="12" t="str">
        <f t="shared" si="43"/>
        <v xml:space="preserve"> 턴 오버 T축(SD231) 가동 전원이 Off 되었습니다.</v>
      </c>
      <c r="V504" s="49" t="str">
        <f t="shared" si="39"/>
        <v>[W121A.7] 턴 오버 T축(SD231) 가동 전원이 Off 되었습니다.</v>
      </c>
    </row>
    <row r="505" spans="1:22" s="49" customFormat="1" ht="14.15" customHeight="1">
      <c r="A505" s="43" t="s">
        <v>3725</v>
      </c>
      <c r="B505" s="44" t="s">
        <v>6637</v>
      </c>
      <c r="C505" s="50"/>
      <c r="D505" s="10" t="s">
        <v>29</v>
      </c>
      <c r="E505" s="11"/>
      <c r="F505" s="11" t="s">
        <v>18</v>
      </c>
      <c r="G505" s="13"/>
      <c r="H505" s="45" t="s">
        <v>16</v>
      </c>
      <c r="I505" s="47"/>
      <c r="J505" s="12" t="s">
        <v>2942</v>
      </c>
      <c r="K505" s="13" t="s">
        <v>7275</v>
      </c>
      <c r="L505" s="99" t="str">
        <f t="shared" si="38"/>
        <v>W121A.8</v>
      </c>
      <c r="M505" s="13" t="s">
        <v>3667</v>
      </c>
      <c r="N505" s="13"/>
      <c r="O505" s="13"/>
      <c r="P505" s="47"/>
      <c r="Q505" s="45"/>
      <c r="R505" s="45"/>
      <c r="S505" s="48"/>
      <c r="T505" s="49" t="str">
        <f t="shared" si="42"/>
        <v>[W121A.8]</v>
      </c>
      <c r="U505" s="12" t="str">
        <f t="shared" si="43"/>
        <v xml:space="preserve"> 턴 오버 T축(SD231) 엔코더 이상이 검출되었습니다.</v>
      </c>
      <c r="V505" s="49" t="str">
        <f t="shared" si="39"/>
        <v>[W121A.8] 턴 오버 T축(SD231) 엔코더 이상이 검출되었습니다.</v>
      </c>
    </row>
    <row r="506" spans="1:22" s="49" customFormat="1" ht="14.15" customHeight="1">
      <c r="A506" s="43" t="s">
        <v>3725</v>
      </c>
      <c r="B506" s="44" t="s">
        <v>6637</v>
      </c>
      <c r="C506" s="50"/>
      <c r="D506" s="10" t="s">
        <v>29</v>
      </c>
      <c r="E506" s="11"/>
      <c r="F506" s="11" t="s">
        <v>18</v>
      </c>
      <c r="G506" s="13"/>
      <c r="H506" s="45" t="s">
        <v>16</v>
      </c>
      <c r="I506" s="47"/>
      <c r="J506" s="12" t="s">
        <v>2943</v>
      </c>
      <c r="K506" s="13" t="s">
        <v>7276</v>
      </c>
      <c r="L506" s="99" t="str">
        <f t="shared" si="38"/>
        <v>W121A.9</v>
      </c>
      <c r="M506" s="13" t="s">
        <v>3667</v>
      </c>
      <c r="N506" s="13"/>
      <c r="O506" s="13"/>
      <c r="P506" s="47"/>
      <c r="Q506" s="45"/>
      <c r="R506" s="45"/>
      <c r="S506" s="48"/>
      <c r="T506" s="49" t="str">
        <f t="shared" si="42"/>
        <v>[W121A.9]</v>
      </c>
      <c r="U506" s="12" t="str">
        <f t="shared" si="43"/>
        <v xml:space="preserve"> 턴 오버 T축(SD231) 과전류가 검출되었습니다.</v>
      </c>
      <c r="V506" s="49" t="str">
        <f t="shared" si="39"/>
        <v>[W121A.9] 턴 오버 T축(SD231) 과전류가 검출되었습니다.</v>
      </c>
    </row>
    <row r="507" spans="1:22" s="49" customFormat="1" ht="14.15" customHeight="1">
      <c r="A507" s="43" t="s">
        <v>3725</v>
      </c>
      <c r="B507" s="44" t="s">
        <v>6637</v>
      </c>
      <c r="C507" s="50"/>
      <c r="D507" s="10" t="s">
        <v>29</v>
      </c>
      <c r="E507" s="11"/>
      <c r="F507" s="11" t="s">
        <v>18</v>
      </c>
      <c r="G507" s="13"/>
      <c r="H507" s="45" t="s">
        <v>16</v>
      </c>
      <c r="I507" s="47"/>
      <c r="J507" s="12" t="s">
        <v>2944</v>
      </c>
      <c r="K507" s="13" t="s">
        <v>7277</v>
      </c>
      <c r="L507" s="99" t="str">
        <f t="shared" si="38"/>
        <v>W121A.A</v>
      </c>
      <c r="M507" s="13" t="s">
        <v>3667</v>
      </c>
      <c r="N507" s="13"/>
      <c r="O507" s="13"/>
      <c r="P507" s="47"/>
      <c r="Q507" s="45"/>
      <c r="R507" s="45"/>
      <c r="S507" s="48"/>
      <c r="T507" s="49" t="str">
        <f t="shared" si="42"/>
        <v>[W121A.A]</v>
      </c>
      <c r="U507" s="12" t="str">
        <f t="shared" si="43"/>
        <v xml:space="preserve"> 턴 오버 T축(SD231) 과부하가 검출되었습니다.</v>
      </c>
      <c r="V507" s="49" t="str">
        <f t="shared" si="39"/>
        <v>[W121A.A] 턴 오버 T축(SD231) 과부하가 검출되었습니다.</v>
      </c>
    </row>
    <row r="508" spans="1:22" s="49" customFormat="1" ht="14.15" customHeight="1">
      <c r="A508" s="43" t="s">
        <v>3725</v>
      </c>
      <c r="B508" s="44" t="s">
        <v>6637</v>
      </c>
      <c r="C508" s="50"/>
      <c r="D508" s="10" t="s">
        <v>29</v>
      </c>
      <c r="E508" s="11"/>
      <c r="F508" s="11" t="s">
        <v>18</v>
      </c>
      <c r="G508" s="13"/>
      <c r="H508" s="45" t="s">
        <v>16</v>
      </c>
      <c r="I508" s="47"/>
      <c r="J508" s="12" t="s">
        <v>2945</v>
      </c>
      <c r="K508" s="13" t="s">
        <v>7278</v>
      </c>
      <c r="L508" s="99" t="str">
        <f t="shared" si="38"/>
        <v>W121A.B</v>
      </c>
      <c r="M508" s="13" t="s">
        <v>3667</v>
      </c>
      <c r="N508" s="13"/>
      <c r="O508" s="13"/>
      <c r="P508" s="47"/>
      <c r="Q508" s="45"/>
      <c r="R508" s="45"/>
      <c r="S508" s="48"/>
      <c r="T508" s="49" t="str">
        <f t="shared" si="42"/>
        <v>[W121A.B]</v>
      </c>
      <c r="U508" s="12" t="str">
        <f t="shared" si="43"/>
        <v xml:space="preserve"> 턴 오버 T축(SD231)  </v>
      </c>
      <c r="V508" s="49" t="str">
        <f t="shared" si="39"/>
        <v xml:space="preserve">[W121A.B] 턴 오버 T축(SD231)  </v>
      </c>
    </row>
    <row r="509" spans="1:22" s="49" customFormat="1" ht="14.15" customHeight="1">
      <c r="A509" s="43" t="s">
        <v>3725</v>
      </c>
      <c r="B509" s="44" t="s">
        <v>6637</v>
      </c>
      <c r="C509" s="50"/>
      <c r="D509" s="10" t="s">
        <v>29</v>
      </c>
      <c r="E509" s="11"/>
      <c r="F509" s="11" t="s">
        <v>18</v>
      </c>
      <c r="G509" s="13"/>
      <c r="H509" s="45" t="s">
        <v>16</v>
      </c>
      <c r="I509" s="47"/>
      <c r="J509" s="12" t="s">
        <v>2946</v>
      </c>
      <c r="K509" s="13" t="s">
        <v>7279</v>
      </c>
      <c r="L509" s="99" t="str">
        <f t="shared" si="38"/>
        <v>W121A.C</v>
      </c>
      <c r="M509" s="13" t="s">
        <v>3667</v>
      </c>
      <c r="N509" s="13"/>
      <c r="O509" s="13"/>
      <c r="P509" s="47"/>
      <c r="Q509" s="45"/>
      <c r="R509" s="45"/>
      <c r="S509" s="48"/>
      <c r="T509" s="49" t="str">
        <f t="shared" si="42"/>
        <v>[W121A.C]</v>
      </c>
      <c r="U509" s="12" t="str">
        <f t="shared" si="43"/>
        <v xml:space="preserve"> 턴 오버 T축(SD231) 에러가 발생했습니다.</v>
      </c>
      <c r="V509" s="49" t="str">
        <f t="shared" si="39"/>
        <v>[W121A.C] 턴 오버 T축(SD231) 에러가 발생했습니다.</v>
      </c>
    </row>
    <row r="510" spans="1:22" s="49" customFormat="1" ht="14.15" customHeight="1">
      <c r="A510" s="43" t="s">
        <v>3732</v>
      </c>
      <c r="B510" s="44" t="s">
        <v>6637</v>
      </c>
      <c r="C510" s="50"/>
      <c r="D510" s="10" t="s">
        <v>29</v>
      </c>
      <c r="E510" s="11"/>
      <c r="F510" s="11" t="s">
        <v>18</v>
      </c>
      <c r="G510" s="13"/>
      <c r="H510" s="45" t="s">
        <v>16</v>
      </c>
      <c r="I510" s="47"/>
      <c r="J510" s="12" t="s">
        <v>2947</v>
      </c>
      <c r="K510" s="13" t="s">
        <v>7280</v>
      </c>
      <c r="L510" s="99" t="str">
        <f t="shared" si="38"/>
        <v>W121A.D</v>
      </c>
      <c r="M510" s="13" t="s">
        <v>3667</v>
      </c>
      <c r="N510" s="13"/>
      <c r="O510" s="13"/>
      <c r="P510" s="47"/>
      <c r="Q510" s="45"/>
      <c r="R510" s="45"/>
      <c r="S510" s="48"/>
      <c r="T510" s="49" t="str">
        <f t="shared" si="42"/>
        <v>[W121A.D]</v>
      </c>
      <c r="U510" s="12" t="str">
        <f t="shared" si="43"/>
        <v xml:space="preserve"> 2헤드 셔틀#1(SD232) 운전중에 Ready가 Off 되었습니다.</v>
      </c>
      <c r="V510" s="49" t="str">
        <f t="shared" si="39"/>
        <v>[W121A.D] 2헤드 셔틀#1(SD232) 운전중에 Ready가 Off 되었습니다.</v>
      </c>
    </row>
    <row r="511" spans="1:22" s="49" customFormat="1" ht="14.15" customHeight="1">
      <c r="A511" s="43" t="s">
        <v>3732</v>
      </c>
      <c r="B511" s="44" t="s">
        <v>6637</v>
      </c>
      <c r="C511" s="50"/>
      <c r="D511" s="10" t="s">
        <v>29</v>
      </c>
      <c r="E511" s="11"/>
      <c r="F511" s="11" t="s">
        <v>18</v>
      </c>
      <c r="G511" s="13"/>
      <c r="H511" s="45" t="s">
        <v>16</v>
      </c>
      <c r="I511" s="47"/>
      <c r="J511" s="12" t="s">
        <v>2948</v>
      </c>
      <c r="K511" s="13" t="s">
        <v>7281</v>
      </c>
      <c r="L511" s="99" t="str">
        <f t="shared" si="38"/>
        <v>W121A.E</v>
      </c>
      <c r="M511" s="13" t="s">
        <v>3667</v>
      </c>
      <c r="N511" s="13"/>
      <c r="O511" s="13"/>
      <c r="P511" s="47"/>
      <c r="Q511" s="45"/>
      <c r="R511" s="45"/>
      <c r="S511" s="48"/>
      <c r="T511" s="49" t="str">
        <f t="shared" si="42"/>
        <v>[W121A.E]</v>
      </c>
      <c r="U511" s="12" t="str">
        <f t="shared" si="43"/>
        <v xml:space="preserve"> 2헤드 셔틀#1(SD232) FLS가 감지되었습니다.</v>
      </c>
      <c r="V511" s="49" t="str">
        <f t="shared" si="39"/>
        <v>[W121A.E] 2헤드 셔틀#1(SD232) FLS가 감지되었습니다.</v>
      </c>
    </row>
    <row r="512" spans="1:22" s="49" customFormat="1" ht="14.15" customHeight="1">
      <c r="A512" s="43" t="s">
        <v>3732</v>
      </c>
      <c r="B512" s="44" t="s">
        <v>6637</v>
      </c>
      <c r="C512" s="50"/>
      <c r="D512" s="10" t="s">
        <v>29</v>
      </c>
      <c r="E512" s="11"/>
      <c r="F512" s="11" t="s">
        <v>18</v>
      </c>
      <c r="G512" s="13"/>
      <c r="H512" s="45" t="s">
        <v>16</v>
      </c>
      <c r="I512" s="47"/>
      <c r="J512" s="12" t="s">
        <v>2949</v>
      </c>
      <c r="K512" s="13" t="s">
        <v>7282</v>
      </c>
      <c r="L512" s="99" t="str">
        <f t="shared" si="38"/>
        <v>W121A.F</v>
      </c>
      <c r="M512" s="13" t="s">
        <v>3667</v>
      </c>
      <c r="N512" s="13"/>
      <c r="O512" s="13"/>
      <c r="P512" s="47"/>
      <c r="Q512" s="45"/>
      <c r="R512" s="45"/>
      <c r="S512" s="48"/>
      <c r="T512" s="49" t="str">
        <f t="shared" si="42"/>
        <v>[W121A.F]</v>
      </c>
      <c r="U512" s="12" t="str">
        <f t="shared" si="43"/>
        <v xml:space="preserve"> 2헤드 셔틀#1(SD232) RLS가 감지되었습니다.</v>
      </c>
      <c r="V512" s="49" t="str">
        <f t="shared" si="39"/>
        <v>[W121A.F] 2헤드 셔틀#1(SD232) RLS가 감지되었습니다.</v>
      </c>
    </row>
    <row r="513" spans="1:22" s="49" customFormat="1" ht="14.15" customHeight="1">
      <c r="A513" s="43" t="s">
        <v>3732</v>
      </c>
      <c r="B513" s="44" t="s">
        <v>6637</v>
      </c>
      <c r="C513" s="50"/>
      <c r="D513" s="10" t="s">
        <v>29</v>
      </c>
      <c r="E513" s="11"/>
      <c r="F513" s="11" t="s">
        <v>18</v>
      </c>
      <c r="G513" s="13"/>
      <c r="H513" s="45" t="s">
        <v>16</v>
      </c>
      <c r="I513" s="47"/>
      <c r="J513" s="12" t="s">
        <v>2950</v>
      </c>
      <c r="K513" s="13" t="s">
        <v>7283</v>
      </c>
      <c r="L513" s="99" t="str">
        <f t="shared" si="38"/>
        <v>W121B.0</v>
      </c>
      <c r="M513" s="13" t="s">
        <v>3667</v>
      </c>
      <c r="N513" s="13"/>
      <c r="O513" s="13"/>
      <c r="P513" s="47"/>
      <c r="Q513" s="45"/>
      <c r="R513" s="45"/>
      <c r="S513" s="48"/>
      <c r="T513" s="49" t="str">
        <f t="shared" si="42"/>
        <v>[W121B.0]</v>
      </c>
      <c r="U513" s="12" t="str">
        <f t="shared" si="43"/>
        <v xml:space="preserve"> 2헤드 셔틀#1(SD232) Stop 명령이 On된 상태에서 기동을 시도했습니다.</v>
      </c>
      <c r="V513" s="49" t="str">
        <f t="shared" si="39"/>
        <v>[W121B.0] 2헤드 셔틀#1(SD232) Stop 명령이 On된 상태에서 기동을 시도했습니다.</v>
      </c>
    </row>
    <row r="514" spans="1:22" s="49" customFormat="1" ht="14.15" customHeight="1">
      <c r="A514" s="43" t="s">
        <v>3732</v>
      </c>
      <c r="B514" s="44" t="s">
        <v>6637</v>
      </c>
      <c r="C514" s="50"/>
      <c r="D514" s="10" t="s">
        <v>29</v>
      </c>
      <c r="E514" s="11"/>
      <c r="F514" s="11" t="s">
        <v>18</v>
      </c>
      <c r="G514" s="13"/>
      <c r="H514" s="45" t="s">
        <v>16</v>
      </c>
      <c r="I514" s="46"/>
      <c r="J514" s="14" t="s">
        <v>2951</v>
      </c>
      <c r="K514" s="13" t="s">
        <v>7284</v>
      </c>
      <c r="L514" s="99" t="str">
        <f t="shared" si="38"/>
        <v>W121B.1</v>
      </c>
      <c r="M514" s="13" t="s">
        <v>3667</v>
      </c>
      <c r="N514" s="13"/>
      <c r="O514" s="13"/>
      <c r="P514" s="47"/>
      <c r="Q514" s="45"/>
      <c r="R514" s="45"/>
      <c r="S514" s="48"/>
      <c r="T514" s="49" t="str">
        <f t="shared" si="42"/>
        <v>[W121B.1]</v>
      </c>
      <c r="U514" s="12" t="str">
        <f t="shared" si="43"/>
        <v xml:space="preserve"> 2헤드 셔틀#1(SD232) 가동 전원이 Off 되었습니다.</v>
      </c>
      <c r="V514" s="49" t="str">
        <f t="shared" si="39"/>
        <v>[W121B.1] 2헤드 셔틀#1(SD232) 가동 전원이 Off 되었습니다.</v>
      </c>
    </row>
    <row r="515" spans="1:22" s="49" customFormat="1" ht="14.15" customHeight="1">
      <c r="A515" s="43" t="s">
        <v>3732</v>
      </c>
      <c r="B515" s="44" t="s">
        <v>6637</v>
      </c>
      <c r="C515" s="50"/>
      <c r="D515" s="10" t="s">
        <v>29</v>
      </c>
      <c r="E515" s="11"/>
      <c r="F515" s="11" t="s">
        <v>18</v>
      </c>
      <c r="G515" s="13"/>
      <c r="H515" s="45" t="s">
        <v>16</v>
      </c>
      <c r="I515" s="46"/>
      <c r="J515" s="14" t="s">
        <v>2952</v>
      </c>
      <c r="K515" s="13" t="s">
        <v>7285</v>
      </c>
      <c r="L515" s="99" t="str">
        <f t="shared" si="38"/>
        <v>W121B.2</v>
      </c>
      <c r="M515" s="13" t="s">
        <v>3667</v>
      </c>
      <c r="N515" s="13"/>
      <c r="O515" s="13"/>
      <c r="P515" s="47"/>
      <c r="Q515" s="45"/>
      <c r="R515" s="45"/>
      <c r="S515" s="48"/>
      <c r="T515" s="49" t="str">
        <f t="shared" si="42"/>
        <v>[W121B.2]</v>
      </c>
      <c r="U515" s="12" t="str">
        <f t="shared" si="43"/>
        <v xml:space="preserve"> 2헤드 셔틀#1(SD232) 엔코더 이상이 검출되었습니다.</v>
      </c>
      <c r="V515" s="49" t="str">
        <f t="shared" si="39"/>
        <v>[W121B.2] 2헤드 셔틀#1(SD232) 엔코더 이상이 검출되었습니다.</v>
      </c>
    </row>
    <row r="516" spans="1:22" s="49" customFormat="1" ht="14.15" customHeight="1">
      <c r="A516" s="43" t="s">
        <v>3732</v>
      </c>
      <c r="B516" s="44" t="s">
        <v>6637</v>
      </c>
      <c r="C516" s="50"/>
      <c r="D516" s="10" t="s">
        <v>29</v>
      </c>
      <c r="E516" s="11"/>
      <c r="F516" s="11" t="s">
        <v>18</v>
      </c>
      <c r="G516" s="13"/>
      <c r="H516" s="45" t="s">
        <v>16</v>
      </c>
      <c r="I516" s="46"/>
      <c r="J516" s="14" t="s">
        <v>2953</v>
      </c>
      <c r="K516" s="13" t="s">
        <v>7286</v>
      </c>
      <c r="L516" s="99" t="str">
        <f t="shared" si="38"/>
        <v>W121B.3</v>
      </c>
      <c r="M516" s="13" t="s">
        <v>3667</v>
      </c>
      <c r="N516" s="13"/>
      <c r="O516" s="13"/>
      <c r="P516" s="47"/>
      <c r="Q516" s="45"/>
      <c r="R516" s="45"/>
      <c r="S516" s="48"/>
      <c r="T516" s="49" t="str">
        <f t="shared" si="42"/>
        <v>[W121B.3]</v>
      </c>
      <c r="U516" s="12" t="str">
        <f t="shared" si="43"/>
        <v xml:space="preserve"> 2헤드 셔틀#1(SD232) 과전류가 검출되었습니다.</v>
      </c>
      <c r="V516" s="49" t="str">
        <f t="shared" si="39"/>
        <v>[W121B.3] 2헤드 셔틀#1(SD232) 과전류가 검출되었습니다.</v>
      </c>
    </row>
    <row r="517" spans="1:22" s="49" customFormat="1" ht="14.15" customHeight="1">
      <c r="A517" s="43" t="s">
        <v>3732</v>
      </c>
      <c r="B517" s="44" t="s">
        <v>6637</v>
      </c>
      <c r="C517" s="50"/>
      <c r="D517" s="10" t="s">
        <v>29</v>
      </c>
      <c r="E517" s="11"/>
      <c r="F517" s="11" t="s">
        <v>18</v>
      </c>
      <c r="G517" s="13"/>
      <c r="H517" s="45" t="s">
        <v>16</v>
      </c>
      <c r="I517" s="46"/>
      <c r="J517" s="14" t="s">
        <v>2954</v>
      </c>
      <c r="K517" s="13" t="s">
        <v>7287</v>
      </c>
      <c r="L517" s="99" t="str">
        <f t="shared" si="38"/>
        <v>W121B.4</v>
      </c>
      <c r="M517" s="13" t="s">
        <v>3667</v>
      </c>
      <c r="N517" s="13"/>
      <c r="O517" s="13"/>
      <c r="P517" s="47"/>
      <c r="Q517" s="45"/>
      <c r="R517" s="45"/>
      <c r="S517" s="48"/>
      <c r="T517" s="49" t="str">
        <f t="shared" si="42"/>
        <v>[W121B.4]</v>
      </c>
      <c r="U517" s="12" t="str">
        <f t="shared" si="43"/>
        <v xml:space="preserve"> 2헤드 셔틀#1(SD232) 과부하가 검출되었습니다.</v>
      </c>
      <c r="V517" s="49" t="str">
        <f t="shared" si="39"/>
        <v>[W121B.4] 2헤드 셔틀#1(SD232) 과부하가 검출되었습니다.</v>
      </c>
    </row>
    <row r="518" spans="1:22" s="49" customFormat="1" ht="14.15" customHeight="1">
      <c r="A518" s="43" t="s">
        <v>3732</v>
      </c>
      <c r="B518" s="44" t="s">
        <v>6637</v>
      </c>
      <c r="C518" s="50"/>
      <c r="D518" s="10" t="s">
        <v>29</v>
      </c>
      <c r="E518" s="11"/>
      <c r="F518" s="11" t="s">
        <v>18</v>
      </c>
      <c r="G518" s="13"/>
      <c r="H518" s="45" t="s">
        <v>16</v>
      </c>
      <c r="I518" s="46"/>
      <c r="J518" s="14" t="s">
        <v>2955</v>
      </c>
      <c r="K518" s="13" t="s">
        <v>7288</v>
      </c>
      <c r="L518" s="99" t="str">
        <f t="shared" si="38"/>
        <v>W121B.5</v>
      </c>
      <c r="M518" s="13" t="s">
        <v>3667</v>
      </c>
      <c r="N518" s="13"/>
      <c r="O518" s="13"/>
      <c r="P518" s="47"/>
      <c r="Q518" s="45"/>
      <c r="R518" s="45"/>
      <c r="S518" s="48"/>
      <c r="T518" s="49" t="str">
        <f t="shared" si="42"/>
        <v>[W121B.5]</v>
      </c>
      <c r="U518" s="12" t="str">
        <f t="shared" si="43"/>
        <v xml:space="preserve"> 2헤드 셔틀#1(SD232)  </v>
      </c>
      <c r="V518" s="49" t="str">
        <f t="shared" si="39"/>
        <v xml:space="preserve">[W121B.5] 2헤드 셔틀#1(SD232)  </v>
      </c>
    </row>
    <row r="519" spans="1:22" s="49" customFormat="1" ht="14.15" customHeight="1">
      <c r="A519" s="43" t="s">
        <v>3732</v>
      </c>
      <c r="B519" s="44" t="s">
        <v>6637</v>
      </c>
      <c r="C519" s="50"/>
      <c r="D519" s="10" t="s">
        <v>29</v>
      </c>
      <c r="E519" s="11"/>
      <c r="F519" s="11" t="s">
        <v>18</v>
      </c>
      <c r="G519" s="13"/>
      <c r="H519" s="45" t="s">
        <v>16</v>
      </c>
      <c r="I519" s="47"/>
      <c r="J519" s="12" t="s">
        <v>2956</v>
      </c>
      <c r="K519" s="13" t="s">
        <v>7289</v>
      </c>
      <c r="L519" s="99" t="str">
        <f t="shared" si="38"/>
        <v>W121B.6</v>
      </c>
      <c r="M519" s="13" t="s">
        <v>3667</v>
      </c>
      <c r="N519" s="13"/>
      <c r="O519" s="13"/>
      <c r="P519" s="47"/>
      <c r="Q519" s="45"/>
      <c r="R519" s="45"/>
      <c r="S519" s="48"/>
      <c r="T519" s="49" t="str">
        <f t="shared" si="42"/>
        <v>[W121B.6]</v>
      </c>
      <c r="U519" s="12" t="str">
        <f t="shared" si="43"/>
        <v xml:space="preserve"> 2헤드 셔틀#1(SD232) 에러가 발생했습니다.</v>
      </c>
      <c r="V519" s="49" t="str">
        <f t="shared" si="39"/>
        <v>[W121B.6] 2헤드 셔틀#1(SD232) 에러가 발생했습니다.</v>
      </c>
    </row>
    <row r="520" spans="1:22" s="49" customFormat="1" ht="14.15" customHeight="1">
      <c r="A520" s="43" t="s">
        <v>3732</v>
      </c>
      <c r="B520" s="44" t="s">
        <v>6637</v>
      </c>
      <c r="C520" s="50"/>
      <c r="D520" s="10" t="s">
        <v>29</v>
      </c>
      <c r="E520" s="11"/>
      <c r="F520" s="11" t="s">
        <v>18</v>
      </c>
      <c r="G520" s="13"/>
      <c r="H520" s="45" t="s">
        <v>16</v>
      </c>
      <c r="I520" s="47"/>
      <c r="J520" s="12" t="s">
        <v>2957</v>
      </c>
      <c r="K520" s="13" t="s">
        <v>7290</v>
      </c>
      <c r="L520" s="99" t="str">
        <f t="shared" si="38"/>
        <v>W121B.7</v>
      </c>
      <c r="M520" s="13" t="s">
        <v>3667</v>
      </c>
      <c r="N520" s="13"/>
      <c r="O520" s="13"/>
      <c r="P520" s="47"/>
      <c r="Q520" s="45"/>
      <c r="R520" s="45"/>
      <c r="S520" s="48"/>
      <c r="T520" s="49" t="str">
        <f t="shared" si="42"/>
        <v>[W121B.7]</v>
      </c>
      <c r="U520" s="12" t="str">
        <f t="shared" si="43"/>
        <v xml:space="preserve"> 2헤드 셔틀#2(SD233) 운전중에 Ready가 Off 되었습니다.</v>
      </c>
      <c r="V520" s="49" t="str">
        <f t="shared" si="39"/>
        <v>[W121B.7] 2헤드 셔틀#2(SD233) 운전중에 Ready가 Off 되었습니다.</v>
      </c>
    </row>
    <row r="521" spans="1:22" s="49" customFormat="1" ht="14.15" customHeight="1">
      <c r="A521" s="43" t="s">
        <v>3732</v>
      </c>
      <c r="B521" s="44" t="s">
        <v>6637</v>
      </c>
      <c r="C521" s="50"/>
      <c r="D521" s="10" t="s">
        <v>29</v>
      </c>
      <c r="E521" s="11"/>
      <c r="F521" s="11" t="s">
        <v>18</v>
      </c>
      <c r="G521" s="13"/>
      <c r="H521" s="45" t="s">
        <v>16</v>
      </c>
      <c r="I521" s="47"/>
      <c r="J521" s="12" t="s">
        <v>2958</v>
      </c>
      <c r="K521" s="13" t="s">
        <v>7291</v>
      </c>
      <c r="L521" s="99" t="str">
        <f t="shared" si="38"/>
        <v>W121B.8</v>
      </c>
      <c r="M521" s="13" t="s">
        <v>3667</v>
      </c>
      <c r="N521" s="13"/>
      <c r="O521" s="13"/>
      <c r="P521" s="47"/>
      <c r="Q521" s="45"/>
      <c r="R521" s="45"/>
      <c r="S521" s="48"/>
      <c r="T521" s="49" t="str">
        <f t="shared" si="42"/>
        <v>[W121B.8]</v>
      </c>
      <c r="U521" s="12" t="str">
        <f t="shared" si="43"/>
        <v xml:space="preserve"> 2헤드 셔틀#2(SD233) FLS가 감지되었습니다.</v>
      </c>
      <c r="V521" s="49" t="str">
        <f t="shared" si="39"/>
        <v>[W121B.8] 2헤드 셔틀#2(SD233) FLS가 감지되었습니다.</v>
      </c>
    </row>
    <row r="522" spans="1:22" s="49" customFormat="1" ht="14.15" customHeight="1">
      <c r="A522" s="43" t="s">
        <v>3732</v>
      </c>
      <c r="B522" s="44" t="s">
        <v>6637</v>
      </c>
      <c r="C522" s="50"/>
      <c r="D522" s="10" t="s">
        <v>29</v>
      </c>
      <c r="E522" s="11"/>
      <c r="F522" s="11" t="s">
        <v>18</v>
      </c>
      <c r="G522" s="13"/>
      <c r="H522" s="45" t="s">
        <v>16</v>
      </c>
      <c r="I522" s="47"/>
      <c r="J522" s="12" t="s">
        <v>2959</v>
      </c>
      <c r="K522" s="13" t="s">
        <v>7292</v>
      </c>
      <c r="L522" s="99" t="str">
        <f t="shared" si="38"/>
        <v>W121B.9</v>
      </c>
      <c r="M522" s="13" t="s">
        <v>3667</v>
      </c>
      <c r="N522" s="13"/>
      <c r="O522" s="13"/>
      <c r="P522" s="47"/>
      <c r="Q522" s="45"/>
      <c r="R522" s="45"/>
      <c r="S522" s="48"/>
      <c r="T522" s="49" t="str">
        <f t="shared" si="42"/>
        <v>[W121B.9]</v>
      </c>
      <c r="U522" s="12" t="str">
        <f t="shared" si="43"/>
        <v xml:space="preserve"> 2헤드 셔틀#2(SD233) RLS가 감지되었습니다.</v>
      </c>
      <c r="V522" s="49" t="str">
        <f t="shared" si="39"/>
        <v>[W121B.9] 2헤드 셔틀#2(SD233) RLS가 감지되었습니다.</v>
      </c>
    </row>
    <row r="523" spans="1:22" s="49" customFormat="1" ht="14.15" customHeight="1">
      <c r="A523" s="43" t="s">
        <v>3732</v>
      </c>
      <c r="B523" s="44" t="s">
        <v>6637</v>
      </c>
      <c r="C523" s="50"/>
      <c r="D523" s="10" t="s">
        <v>29</v>
      </c>
      <c r="E523" s="11"/>
      <c r="F523" s="11" t="s">
        <v>18</v>
      </c>
      <c r="G523" s="13"/>
      <c r="H523" s="45" t="s">
        <v>16</v>
      </c>
      <c r="I523" s="47"/>
      <c r="J523" s="12" t="s">
        <v>2960</v>
      </c>
      <c r="K523" s="13" t="s">
        <v>7293</v>
      </c>
      <c r="L523" s="99" t="str">
        <f t="shared" si="38"/>
        <v>W121B.A</v>
      </c>
      <c r="M523" s="13" t="s">
        <v>3667</v>
      </c>
      <c r="N523" s="13"/>
      <c r="O523" s="13"/>
      <c r="P523" s="47"/>
      <c r="Q523" s="45"/>
      <c r="R523" s="45"/>
      <c r="S523" s="48"/>
      <c r="T523" s="49" t="str">
        <f t="shared" si="42"/>
        <v>[W121B.A]</v>
      </c>
      <c r="U523" s="12" t="str">
        <f t="shared" si="43"/>
        <v xml:space="preserve"> 2헤드 셔틀#2(SD233) Stop 명령이 On된 상태에서 기동을 시도했습니다.</v>
      </c>
      <c r="V523" s="49" t="str">
        <f t="shared" si="39"/>
        <v>[W121B.A] 2헤드 셔틀#2(SD233) Stop 명령이 On된 상태에서 기동을 시도했습니다.</v>
      </c>
    </row>
    <row r="524" spans="1:22" s="49" customFormat="1" ht="14.15" customHeight="1">
      <c r="A524" s="43" t="s">
        <v>3732</v>
      </c>
      <c r="B524" s="44" t="s">
        <v>6637</v>
      </c>
      <c r="C524" s="50"/>
      <c r="D524" s="10" t="s">
        <v>29</v>
      </c>
      <c r="E524" s="11"/>
      <c r="F524" s="11" t="s">
        <v>18</v>
      </c>
      <c r="G524" s="13"/>
      <c r="H524" s="45" t="s">
        <v>16</v>
      </c>
      <c r="I524" s="47"/>
      <c r="J524" s="12" t="s">
        <v>2961</v>
      </c>
      <c r="K524" s="13" t="s">
        <v>7294</v>
      </c>
      <c r="L524" s="99" t="str">
        <f t="shared" si="38"/>
        <v>W121B.B</v>
      </c>
      <c r="M524" s="13" t="s">
        <v>3667</v>
      </c>
      <c r="N524" s="13"/>
      <c r="O524" s="13"/>
      <c r="P524" s="47"/>
      <c r="Q524" s="45"/>
      <c r="R524" s="45"/>
      <c r="S524" s="48"/>
      <c r="T524" s="49" t="str">
        <f t="shared" si="42"/>
        <v>[W121B.B]</v>
      </c>
      <c r="U524" s="12" t="str">
        <f t="shared" si="43"/>
        <v xml:space="preserve"> 2헤드 셔틀#2(SD233) 가동 전원이 Off 되었습니다.</v>
      </c>
      <c r="V524" s="49" t="str">
        <f t="shared" si="39"/>
        <v>[W121B.B] 2헤드 셔틀#2(SD233) 가동 전원이 Off 되었습니다.</v>
      </c>
    </row>
    <row r="525" spans="1:22" s="49" customFormat="1" ht="14.15" customHeight="1">
      <c r="A525" s="43" t="s">
        <v>3732</v>
      </c>
      <c r="B525" s="44" t="s">
        <v>6637</v>
      </c>
      <c r="C525" s="50"/>
      <c r="D525" s="10" t="s">
        <v>29</v>
      </c>
      <c r="E525" s="11"/>
      <c r="F525" s="11" t="s">
        <v>18</v>
      </c>
      <c r="G525" s="13"/>
      <c r="H525" s="45" t="s">
        <v>16</v>
      </c>
      <c r="I525" s="47"/>
      <c r="J525" s="12" t="s">
        <v>2962</v>
      </c>
      <c r="K525" s="13" t="s">
        <v>7295</v>
      </c>
      <c r="L525" s="99" t="str">
        <f t="shared" si="38"/>
        <v>W121B.C</v>
      </c>
      <c r="M525" s="13" t="s">
        <v>3667</v>
      </c>
      <c r="N525" s="13"/>
      <c r="O525" s="13"/>
      <c r="P525" s="47"/>
      <c r="Q525" s="45"/>
      <c r="R525" s="45"/>
      <c r="S525" s="48"/>
      <c r="T525" s="49" t="str">
        <f t="shared" si="42"/>
        <v>[W121B.C]</v>
      </c>
      <c r="U525" s="12" t="str">
        <f t="shared" si="43"/>
        <v xml:space="preserve"> 2헤드 셔틀#2(SD233) 엔코더 이상이 검출되었습니다.</v>
      </c>
      <c r="V525" s="49" t="str">
        <f t="shared" si="39"/>
        <v>[W121B.C] 2헤드 셔틀#2(SD233) 엔코더 이상이 검출되었습니다.</v>
      </c>
    </row>
    <row r="526" spans="1:22" s="49" customFormat="1" ht="14.15" customHeight="1">
      <c r="A526" s="43" t="s">
        <v>3732</v>
      </c>
      <c r="B526" s="44" t="s">
        <v>6637</v>
      </c>
      <c r="C526" s="50"/>
      <c r="D526" s="10" t="s">
        <v>29</v>
      </c>
      <c r="E526" s="11"/>
      <c r="F526" s="11" t="s">
        <v>18</v>
      </c>
      <c r="G526" s="13"/>
      <c r="H526" s="45" t="s">
        <v>16</v>
      </c>
      <c r="I526" s="47"/>
      <c r="J526" s="12" t="s">
        <v>2963</v>
      </c>
      <c r="K526" s="13" t="s">
        <v>7296</v>
      </c>
      <c r="L526" s="99" t="str">
        <f t="shared" si="38"/>
        <v>W121B.D</v>
      </c>
      <c r="M526" s="13" t="s">
        <v>3667</v>
      </c>
      <c r="N526" s="13"/>
      <c r="O526" s="13"/>
      <c r="P526" s="47"/>
      <c r="Q526" s="45"/>
      <c r="R526" s="45"/>
      <c r="S526" s="48"/>
      <c r="T526" s="49" t="str">
        <f t="shared" si="42"/>
        <v>[W121B.D]</v>
      </c>
      <c r="U526" s="12" t="str">
        <f t="shared" si="43"/>
        <v xml:space="preserve"> 2헤드 셔틀#2(SD233) 과전류가 검출되었습니다.</v>
      </c>
      <c r="V526" s="49" t="str">
        <f t="shared" si="39"/>
        <v>[W121B.D] 2헤드 셔틀#2(SD233) 과전류가 검출되었습니다.</v>
      </c>
    </row>
    <row r="527" spans="1:22" s="49" customFormat="1" ht="14.15" customHeight="1">
      <c r="A527" s="43" t="s">
        <v>3732</v>
      </c>
      <c r="B527" s="44" t="s">
        <v>6637</v>
      </c>
      <c r="C527" s="50"/>
      <c r="D527" s="10" t="s">
        <v>29</v>
      </c>
      <c r="E527" s="11"/>
      <c r="F527" s="11" t="s">
        <v>18</v>
      </c>
      <c r="G527" s="13"/>
      <c r="H527" s="45" t="s">
        <v>16</v>
      </c>
      <c r="I527" s="47"/>
      <c r="J527" s="12" t="s">
        <v>2964</v>
      </c>
      <c r="K527" s="13" t="s">
        <v>7297</v>
      </c>
      <c r="L527" s="99" t="str">
        <f t="shared" si="38"/>
        <v>W121B.E</v>
      </c>
      <c r="M527" s="13" t="s">
        <v>3667</v>
      </c>
      <c r="N527" s="13"/>
      <c r="O527" s="13"/>
      <c r="P527" s="47"/>
      <c r="Q527" s="45"/>
      <c r="R527" s="45"/>
      <c r="S527" s="48"/>
      <c r="T527" s="49" t="str">
        <f t="shared" si="42"/>
        <v>[W121B.E]</v>
      </c>
      <c r="U527" s="12" t="str">
        <f t="shared" si="43"/>
        <v xml:space="preserve"> 2헤드 셔틀#2(SD233) 과부하가 검출되었습니다.</v>
      </c>
      <c r="V527" s="49" t="str">
        <f t="shared" si="39"/>
        <v>[W121B.E] 2헤드 셔틀#2(SD233) 과부하가 검출되었습니다.</v>
      </c>
    </row>
    <row r="528" spans="1:22" s="49" customFormat="1" ht="14.15" customHeight="1">
      <c r="A528" s="43" t="s">
        <v>3732</v>
      </c>
      <c r="B528" s="44" t="s">
        <v>6637</v>
      </c>
      <c r="C528" s="50"/>
      <c r="D528" s="10" t="s">
        <v>29</v>
      </c>
      <c r="E528" s="11"/>
      <c r="F528" s="11" t="s">
        <v>18</v>
      </c>
      <c r="G528" s="13"/>
      <c r="H528" s="45" t="s">
        <v>16</v>
      </c>
      <c r="I528" s="47"/>
      <c r="J528" s="12" t="s">
        <v>2965</v>
      </c>
      <c r="K528" s="13" t="s">
        <v>7298</v>
      </c>
      <c r="L528" s="99" t="str">
        <f t="shared" si="38"/>
        <v>W121B.F</v>
      </c>
      <c r="M528" s="13" t="s">
        <v>3667</v>
      </c>
      <c r="N528" s="13"/>
      <c r="O528" s="13"/>
      <c r="P528" s="47"/>
      <c r="Q528" s="45"/>
      <c r="R528" s="45"/>
      <c r="S528" s="48"/>
      <c r="T528" s="49" t="str">
        <f t="shared" si="42"/>
        <v>[W121B.F]</v>
      </c>
      <c r="U528" s="12" t="str">
        <f t="shared" si="43"/>
        <v xml:space="preserve"> 2헤드 셔틀#2(SD233)  </v>
      </c>
      <c r="V528" s="49" t="str">
        <f t="shared" si="39"/>
        <v xml:space="preserve">[W121B.F] 2헤드 셔틀#2(SD233)  </v>
      </c>
    </row>
    <row r="529" spans="1:22" s="49" customFormat="1" ht="14.15" customHeight="1">
      <c r="A529" s="43" t="s">
        <v>3732</v>
      </c>
      <c r="B529" s="44" t="s">
        <v>6637</v>
      </c>
      <c r="C529" s="50"/>
      <c r="D529" s="10" t="s">
        <v>29</v>
      </c>
      <c r="E529" s="11"/>
      <c r="F529" s="11" t="s">
        <v>18</v>
      </c>
      <c r="G529" s="13"/>
      <c r="H529" s="45" t="s">
        <v>16</v>
      </c>
      <c r="I529" s="47"/>
      <c r="J529" s="12" t="s">
        <v>2966</v>
      </c>
      <c r="K529" s="13" t="s">
        <v>7299</v>
      </c>
      <c r="L529" s="99" t="str">
        <f t="shared" si="38"/>
        <v>W121C.0</v>
      </c>
      <c r="M529" s="13" t="s">
        <v>3667</v>
      </c>
      <c r="N529" s="13"/>
      <c r="O529" s="13"/>
      <c r="P529" s="47"/>
      <c r="Q529" s="45"/>
      <c r="R529" s="45"/>
      <c r="S529" s="48"/>
      <c r="T529" s="49" t="str">
        <f t="shared" si="42"/>
        <v>[W121C.0]</v>
      </c>
      <c r="U529" s="12" t="str">
        <f t="shared" si="43"/>
        <v xml:space="preserve"> 2헤드 셔틀#2(SD233) 에러가 발생했습니다.</v>
      </c>
      <c r="V529" s="49" t="str">
        <f t="shared" si="39"/>
        <v>[W121C.0] 2헤드 셔틀#2(SD233) 에러가 발생했습니다.</v>
      </c>
    </row>
    <row r="530" spans="1:22" s="49" customFormat="1" ht="14.15" customHeight="1">
      <c r="A530" s="43" t="s">
        <v>3732</v>
      </c>
      <c r="B530" s="44" t="s">
        <v>6637</v>
      </c>
      <c r="C530" s="50"/>
      <c r="D530" s="10" t="s">
        <v>29</v>
      </c>
      <c r="E530" s="11"/>
      <c r="F530" s="11" t="s">
        <v>18</v>
      </c>
      <c r="G530" s="13"/>
      <c r="H530" s="45" t="s">
        <v>16</v>
      </c>
      <c r="I530" s="47"/>
      <c r="J530" s="12" t="s">
        <v>2967</v>
      </c>
      <c r="K530" s="13" t="s">
        <v>7300</v>
      </c>
      <c r="L530" s="99" t="str">
        <f t="shared" ref="L530:L593" si="44">"W"&amp;DEC2HEX(4608 + INT((ROW()-81)/16)) &amp; "." &amp; IF(MOD(ROW()-81,16)&lt;10,MOD(ROW()-81,16),CHAR(MOD(ROW()-81,16)+55))</f>
        <v>W121C.1</v>
      </c>
      <c r="M530" s="13" t="s">
        <v>3667</v>
      </c>
      <c r="N530" s="13"/>
      <c r="O530" s="13"/>
      <c r="P530" s="47"/>
      <c r="Q530" s="45"/>
      <c r="R530" s="45"/>
      <c r="S530" s="48"/>
      <c r="T530" s="49" t="str">
        <f t="shared" si="42"/>
        <v>[W121C.1]</v>
      </c>
      <c r="U530" s="12" t="str">
        <f t="shared" si="43"/>
        <v xml:space="preserve"> 2헤드 셔틀#3(SD234) 운전중에 Ready가 Off 되었습니다.</v>
      </c>
      <c r="V530" s="49" t="str">
        <f t="shared" ref="V530:V593" si="45">T530&amp;U530</f>
        <v>[W121C.1] 2헤드 셔틀#3(SD234) 운전중에 Ready가 Off 되었습니다.</v>
      </c>
    </row>
    <row r="531" spans="1:22" s="49" customFormat="1" ht="14.15" customHeight="1">
      <c r="A531" s="43" t="s">
        <v>3732</v>
      </c>
      <c r="B531" s="44" t="s">
        <v>6637</v>
      </c>
      <c r="C531" s="50"/>
      <c r="D531" s="10" t="s">
        <v>29</v>
      </c>
      <c r="E531" s="11"/>
      <c r="F531" s="11" t="s">
        <v>18</v>
      </c>
      <c r="G531" s="13"/>
      <c r="H531" s="45" t="s">
        <v>16</v>
      </c>
      <c r="I531" s="47"/>
      <c r="J531" s="12" t="s">
        <v>2968</v>
      </c>
      <c r="K531" s="13" t="s">
        <v>7301</v>
      </c>
      <c r="L531" s="99" t="str">
        <f t="shared" si="44"/>
        <v>W121C.2</v>
      </c>
      <c r="M531" s="13" t="s">
        <v>3667</v>
      </c>
      <c r="N531" s="13"/>
      <c r="O531" s="13"/>
      <c r="P531" s="47"/>
      <c r="Q531" s="45"/>
      <c r="R531" s="45"/>
      <c r="S531" s="48"/>
      <c r="T531" s="49" t="str">
        <f t="shared" si="42"/>
        <v>[W121C.2]</v>
      </c>
      <c r="U531" s="12" t="str">
        <f t="shared" si="43"/>
        <v xml:space="preserve"> 2헤드 셔틀#3(SD234) FLS가 감지되었습니다.</v>
      </c>
      <c r="V531" s="49" t="str">
        <f t="shared" si="45"/>
        <v>[W121C.2] 2헤드 셔틀#3(SD234) FLS가 감지되었습니다.</v>
      </c>
    </row>
    <row r="532" spans="1:22" s="49" customFormat="1" ht="14.15" customHeight="1">
      <c r="A532" s="43" t="s">
        <v>3732</v>
      </c>
      <c r="B532" s="44" t="s">
        <v>6637</v>
      </c>
      <c r="C532" s="50"/>
      <c r="D532" s="10" t="s">
        <v>29</v>
      </c>
      <c r="E532" s="11"/>
      <c r="F532" s="11" t="s">
        <v>18</v>
      </c>
      <c r="G532" s="13"/>
      <c r="H532" s="45" t="s">
        <v>16</v>
      </c>
      <c r="I532" s="47"/>
      <c r="J532" s="12" t="s">
        <v>2969</v>
      </c>
      <c r="K532" s="13" t="s">
        <v>7302</v>
      </c>
      <c r="L532" s="99" t="str">
        <f t="shared" si="44"/>
        <v>W121C.3</v>
      </c>
      <c r="M532" s="13" t="s">
        <v>3667</v>
      </c>
      <c r="N532" s="13"/>
      <c r="O532" s="13"/>
      <c r="P532" s="47"/>
      <c r="Q532" s="45"/>
      <c r="R532" s="45"/>
      <c r="S532" s="48"/>
      <c r="T532" s="49" t="str">
        <f t="shared" si="42"/>
        <v>[W121C.3]</v>
      </c>
      <c r="U532" s="12" t="str">
        <f t="shared" si="43"/>
        <v xml:space="preserve"> 2헤드 셔틀#3(SD234) RLS가 감지되었습니다.</v>
      </c>
      <c r="V532" s="49" t="str">
        <f t="shared" si="45"/>
        <v>[W121C.3] 2헤드 셔틀#3(SD234) RLS가 감지되었습니다.</v>
      </c>
    </row>
    <row r="533" spans="1:22" s="49" customFormat="1" ht="14.15" customHeight="1">
      <c r="A533" s="43" t="s">
        <v>3732</v>
      </c>
      <c r="B533" s="44" t="s">
        <v>6637</v>
      </c>
      <c r="C533" s="50"/>
      <c r="D533" s="10" t="s">
        <v>29</v>
      </c>
      <c r="E533" s="11"/>
      <c r="F533" s="11" t="s">
        <v>18</v>
      </c>
      <c r="G533" s="13"/>
      <c r="H533" s="45" t="s">
        <v>16</v>
      </c>
      <c r="I533" s="47"/>
      <c r="J533" s="12" t="s">
        <v>2970</v>
      </c>
      <c r="K533" s="13" t="s">
        <v>7303</v>
      </c>
      <c r="L533" s="99" t="str">
        <f t="shared" si="44"/>
        <v>W121C.4</v>
      </c>
      <c r="M533" s="13" t="s">
        <v>3667</v>
      </c>
      <c r="N533" s="13"/>
      <c r="O533" s="13"/>
      <c r="P533" s="47"/>
      <c r="Q533" s="45"/>
      <c r="R533" s="45"/>
      <c r="S533" s="48"/>
      <c r="T533" s="49" t="str">
        <f t="shared" si="42"/>
        <v>[W121C.4]</v>
      </c>
      <c r="U533" s="12" t="str">
        <f t="shared" si="43"/>
        <v xml:space="preserve"> 2헤드 셔틀#3(SD234) Stop 명령이 On된 상태에서 기동을 시도했습니다.</v>
      </c>
      <c r="V533" s="49" t="str">
        <f t="shared" si="45"/>
        <v>[W121C.4] 2헤드 셔틀#3(SD234) Stop 명령이 On된 상태에서 기동을 시도했습니다.</v>
      </c>
    </row>
    <row r="534" spans="1:22" s="49" customFormat="1" ht="14.15" customHeight="1">
      <c r="A534" s="43" t="s">
        <v>3732</v>
      </c>
      <c r="B534" s="44" t="s">
        <v>6637</v>
      </c>
      <c r="C534" s="50"/>
      <c r="D534" s="10" t="s">
        <v>29</v>
      </c>
      <c r="E534" s="11"/>
      <c r="F534" s="11" t="s">
        <v>18</v>
      </c>
      <c r="G534" s="13"/>
      <c r="H534" s="45" t="s">
        <v>16</v>
      </c>
      <c r="I534" s="47"/>
      <c r="J534" s="12" t="s">
        <v>2971</v>
      </c>
      <c r="K534" s="13" t="s">
        <v>7304</v>
      </c>
      <c r="L534" s="99" t="str">
        <f t="shared" si="44"/>
        <v>W121C.5</v>
      </c>
      <c r="M534" s="13" t="s">
        <v>3667</v>
      </c>
      <c r="N534" s="13"/>
      <c r="O534" s="13"/>
      <c r="P534" s="47"/>
      <c r="Q534" s="45"/>
      <c r="R534" s="45"/>
      <c r="S534" s="48"/>
      <c r="T534" s="49" t="str">
        <f t="shared" ref="T534:T568" si="46">"["&amp;L534&amp;"]"</f>
        <v>[W121C.5]</v>
      </c>
      <c r="U534" s="12" t="str">
        <f t="shared" ref="U534:U568" si="47">RIGHT(J534,LEN(J534)-7)</f>
        <v xml:space="preserve"> 2헤드 셔틀#3(SD234) 가동 전원이 Off 되었습니다.</v>
      </c>
      <c r="V534" s="49" t="str">
        <f t="shared" si="45"/>
        <v>[W121C.5] 2헤드 셔틀#3(SD234) 가동 전원이 Off 되었습니다.</v>
      </c>
    </row>
    <row r="535" spans="1:22" s="49" customFormat="1" ht="14.15" customHeight="1">
      <c r="A535" s="43" t="s">
        <v>3732</v>
      </c>
      <c r="B535" s="44" t="s">
        <v>6637</v>
      </c>
      <c r="C535" s="50"/>
      <c r="D535" s="10" t="s">
        <v>29</v>
      </c>
      <c r="E535" s="11"/>
      <c r="F535" s="11" t="s">
        <v>18</v>
      </c>
      <c r="G535" s="13"/>
      <c r="H535" s="45" t="s">
        <v>16</v>
      </c>
      <c r="I535" s="47"/>
      <c r="J535" s="12" t="s">
        <v>2972</v>
      </c>
      <c r="K535" s="13" t="s">
        <v>7305</v>
      </c>
      <c r="L535" s="99" t="str">
        <f t="shared" si="44"/>
        <v>W121C.6</v>
      </c>
      <c r="M535" s="13" t="s">
        <v>3667</v>
      </c>
      <c r="N535" s="13"/>
      <c r="O535" s="13"/>
      <c r="P535" s="47"/>
      <c r="Q535" s="45"/>
      <c r="R535" s="45"/>
      <c r="S535" s="48"/>
      <c r="T535" s="49" t="str">
        <f t="shared" si="46"/>
        <v>[W121C.6]</v>
      </c>
      <c r="U535" s="12" t="str">
        <f t="shared" si="47"/>
        <v xml:space="preserve"> 2헤드 셔틀#3(SD234) 엔코더 이상이 검출되었습니다.</v>
      </c>
      <c r="V535" s="49" t="str">
        <f t="shared" si="45"/>
        <v>[W121C.6] 2헤드 셔틀#3(SD234) 엔코더 이상이 검출되었습니다.</v>
      </c>
    </row>
    <row r="536" spans="1:22" s="49" customFormat="1" ht="14.15" customHeight="1">
      <c r="A536" s="43" t="s">
        <v>3732</v>
      </c>
      <c r="B536" s="44" t="s">
        <v>6637</v>
      </c>
      <c r="C536" s="50"/>
      <c r="D536" s="10" t="s">
        <v>29</v>
      </c>
      <c r="E536" s="11"/>
      <c r="F536" s="11" t="s">
        <v>18</v>
      </c>
      <c r="G536" s="13"/>
      <c r="H536" s="45" t="s">
        <v>16</v>
      </c>
      <c r="I536" s="47"/>
      <c r="J536" s="12" t="s">
        <v>2973</v>
      </c>
      <c r="K536" s="13" t="s">
        <v>7306</v>
      </c>
      <c r="L536" s="99" t="str">
        <f t="shared" si="44"/>
        <v>W121C.7</v>
      </c>
      <c r="M536" s="13" t="s">
        <v>3667</v>
      </c>
      <c r="N536" s="13"/>
      <c r="O536" s="13"/>
      <c r="P536" s="47"/>
      <c r="Q536" s="45"/>
      <c r="R536" s="45"/>
      <c r="S536" s="48"/>
      <c r="T536" s="49" t="str">
        <f t="shared" si="46"/>
        <v>[W121C.7]</v>
      </c>
      <c r="U536" s="12" t="str">
        <f t="shared" si="47"/>
        <v xml:space="preserve"> 2헤드 셔틀#3(SD234) 과전류가 검출되었습니다.</v>
      </c>
      <c r="V536" s="49" t="str">
        <f t="shared" si="45"/>
        <v>[W121C.7] 2헤드 셔틀#3(SD234) 과전류가 검출되었습니다.</v>
      </c>
    </row>
    <row r="537" spans="1:22" s="49" customFormat="1" ht="14.15" customHeight="1">
      <c r="A537" s="43" t="s">
        <v>3732</v>
      </c>
      <c r="B537" s="44" t="s">
        <v>6637</v>
      </c>
      <c r="C537" s="50"/>
      <c r="D537" s="10" t="s">
        <v>29</v>
      </c>
      <c r="E537" s="11"/>
      <c r="F537" s="11" t="s">
        <v>18</v>
      </c>
      <c r="G537" s="13"/>
      <c r="H537" s="45" t="s">
        <v>16</v>
      </c>
      <c r="I537" s="47"/>
      <c r="J537" s="12" t="s">
        <v>2974</v>
      </c>
      <c r="K537" s="13" t="s">
        <v>7307</v>
      </c>
      <c r="L537" s="99" t="str">
        <f t="shared" si="44"/>
        <v>W121C.8</v>
      </c>
      <c r="M537" s="13" t="s">
        <v>3667</v>
      </c>
      <c r="N537" s="13"/>
      <c r="O537" s="13"/>
      <c r="P537" s="47"/>
      <c r="Q537" s="45"/>
      <c r="R537" s="45"/>
      <c r="S537" s="48"/>
      <c r="T537" s="49" t="str">
        <f t="shared" si="46"/>
        <v>[W121C.8]</v>
      </c>
      <c r="U537" s="12" t="str">
        <f t="shared" si="47"/>
        <v xml:space="preserve"> 2헤드 셔틀#3(SD234) 과부하가 검출되었습니다.</v>
      </c>
      <c r="V537" s="49" t="str">
        <f t="shared" si="45"/>
        <v>[W121C.8] 2헤드 셔틀#3(SD234) 과부하가 검출되었습니다.</v>
      </c>
    </row>
    <row r="538" spans="1:22" s="49" customFormat="1" ht="14.15" customHeight="1">
      <c r="A538" s="43" t="s">
        <v>3732</v>
      </c>
      <c r="B538" s="44" t="s">
        <v>6637</v>
      </c>
      <c r="C538" s="50"/>
      <c r="D538" s="10" t="s">
        <v>29</v>
      </c>
      <c r="E538" s="11"/>
      <c r="F538" s="11" t="s">
        <v>18</v>
      </c>
      <c r="G538" s="13"/>
      <c r="H538" s="45" t="s">
        <v>16</v>
      </c>
      <c r="I538" s="47"/>
      <c r="J538" s="12" t="s">
        <v>2975</v>
      </c>
      <c r="K538" s="13" t="s">
        <v>7308</v>
      </c>
      <c r="L538" s="99" t="str">
        <f t="shared" si="44"/>
        <v>W121C.9</v>
      </c>
      <c r="M538" s="13" t="s">
        <v>3667</v>
      </c>
      <c r="N538" s="13"/>
      <c r="O538" s="13"/>
      <c r="P538" s="47"/>
      <c r="Q538" s="45"/>
      <c r="R538" s="45"/>
      <c r="S538" s="48"/>
      <c r="T538" s="49" t="str">
        <f t="shared" si="46"/>
        <v>[W121C.9]</v>
      </c>
      <c r="U538" s="12" t="str">
        <f t="shared" si="47"/>
        <v xml:space="preserve"> 2헤드 셔틀#3(SD234)  </v>
      </c>
      <c r="V538" s="49" t="str">
        <f t="shared" si="45"/>
        <v xml:space="preserve">[W121C.9] 2헤드 셔틀#3(SD234)  </v>
      </c>
    </row>
    <row r="539" spans="1:22" s="49" customFormat="1" ht="14.15" customHeight="1">
      <c r="A539" s="43" t="s">
        <v>3732</v>
      </c>
      <c r="B539" s="44" t="s">
        <v>6637</v>
      </c>
      <c r="C539" s="50"/>
      <c r="D539" s="10" t="s">
        <v>29</v>
      </c>
      <c r="E539" s="11"/>
      <c r="F539" s="11" t="s">
        <v>18</v>
      </c>
      <c r="G539" s="13"/>
      <c r="H539" s="45" t="s">
        <v>16</v>
      </c>
      <c r="I539" s="47"/>
      <c r="J539" s="12" t="s">
        <v>2976</v>
      </c>
      <c r="K539" s="13" t="s">
        <v>7309</v>
      </c>
      <c r="L539" s="99" t="str">
        <f t="shared" si="44"/>
        <v>W121C.A</v>
      </c>
      <c r="M539" s="13" t="s">
        <v>3667</v>
      </c>
      <c r="N539" s="13"/>
      <c r="O539" s="13"/>
      <c r="P539" s="47"/>
      <c r="Q539" s="45"/>
      <c r="R539" s="45"/>
      <c r="S539" s="48"/>
      <c r="T539" s="49" t="str">
        <f t="shared" si="46"/>
        <v>[W121C.A]</v>
      </c>
      <c r="U539" s="12" t="str">
        <f t="shared" si="47"/>
        <v xml:space="preserve"> 2헤드 셔틀#3(SD234) 에러가 발생했습니다.</v>
      </c>
      <c r="V539" s="49" t="str">
        <f t="shared" si="45"/>
        <v>[W121C.A] 2헤드 셔틀#3(SD234) 에러가 발생했습니다.</v>
      </c>
    </row>
    <row r="540" spans="1:22" s="49" customFormat="1" ht="14.15" customHeight="1">
      <c r="A540" s="44"/>
      <c r="B540" s="44" t="s">
        <v>6637</v>
      </c>
      <c r="C540" s="50"/>
      <c r="D540" s="10" t="s">
        <v>29</v>
      </c>
      <c r="E540" s="11"/>
      <c r="F540" s="11" t="s">
        <v>18</v>
      </c>
      <c r="G540" s="13"/>
      <c r="H540" s="45" t="s">
        <v>16</v>
      </c>
      <c r="I540" s="47"/>
      <c r="J540" s="12" t="s">
        <v>2977</v>
      </c>
      <c r="K540" s="13" t="s">
        <v>7310</v>
      </c>
      <c r="L540" s="99" t="str">
        <f t="shared" si="44"/>
        <v>W121C.B</v>
      </c>
      <c r="M540" s="13" t="s">
        <v>3667</v>
      </c>
      <c r="N540" s="13"/>
      <c r="O540" s="13"/>
      <c r="P540" s="47"/>
      <c r="Q540" s="45"/>
      <c r="R540" s="45"/>
      <c r="S540" s="48"/>
      <c r="T540" s="49" t="str">
        <f t="shared" si="46"/>
        <v>[W121C.B]</v>
      </c>
      <c r="U540" s="12" t="str">
        <f t="shared" si="47"/>
        <v xml:space="preserve"> 결합 T-1축(SD235) 운전중에 Ready가 Off 되었습니다.</v>
      </c>
      <c r="V540" s="49" t="str">
        <f t="shared" si="45"/>
        <v>[W121C.B] 결합 T-1축(SD235) 운전중에 Ready가 Off 되었습니다.</v>
      </c>
    </row>
    <row r="541" spans="1:22" s="49" customFormat="1" ht="14.15" customHeight="1">
      <c r="A541" s="44"/>
      <c r="B541" s="44" t="s">
        <v>6637</v>
      </c>
      <c r="C541" s="50"/>
      <c r="D541" s="10" t="s">
        <v>29</v>
      </c>
      <c r="E541" s="11"/>
      <c r="F541" s="11" t="s">
        <v>18</v>
      </c>
      <c r="G541" s="13"/>
      <c r="H541" s="45" t="s">
        <v>16</v>
      </c>
      <c r="I541" s="47"/>
      <c r="J541" s="12" t="s">
        <v>2978</v>
      </c>
      <c r="K541" s="13" t="s">
        <v>7311</v>
      </c>
      <c r="L541" s="99" t="str">
        <f t="shared" si="44"/>
        <v>W121C.C</v>
      </c>
      <c r="M541" s="13" t="s">
        <v>3667</v>
      </c>
      <c r="N541" s="13"/>
      <c r="O541" s="13"/>
      <c r="P541" s="47"/>
      <c r="Q541" s="45"/>
      <c r="R541" s="45"/>
      <c r="S541" s="48"/>
      <c r="T541" s="49" t="str">
        <f t="shared" si="46"/>
        <v>[W121C.C]</v>
      </c>
      <c r="U541" s="12" t="str">
        <f t="shared" si="47"/>
        <v xml:space="preserve"> 결합 T-1축(SD235) FLS가 감지되었습니다.</v>
      </c>
      <c r="V541" s="49" t="str">
        <f t="shared" si="45"/>
        <v>[W121C.C] 결합 T-1축(SD235) FLS가 감지되었습니다.</v>
      </c>
    </row>
    <row r="542" spans="1:22" s="49" customFormat="1" ht="14.15" customHeight="1">
      <c r="A542" s="44"/>
      <c r="B542" s="44" t="s">
        <v>6637</v>
      </c>
      <c r="C542" s="50"/>
      <c r="D542" s="10" t="s">
        <v>29</v>
      </c>
      <c r="E542" s="11"/>
      <c r="F542" s="11" t="s">
        <v>18</v>
      </c>
      <c r="G542" s="13"/>
      <c r="H542" s="45" t="s">
        <v>16</v>
      </c>
      <c r="I542" s="47"/>
      <c r="J542" s="12" t="s">
        <v>2979</v>
      </c>
      <c r="K542" s="13" t="s">
        <v>7312</v>
      </c>
      <c r="L542" s="99" t="str">
        <f t="shared" si="44"/>
        <v>W121C.D</v>
      </c>
      <c r="M542" s="13" t="s">
        <v>3667</v>
      </c>
      <c r="N542" s="13"/>
      <c r="O542" s="13"/>
      <c r="P542" s="47"/>
      <c r="Q542" s="45"/>
      <c r="R542" s="45"/>
      <c r="S542" s="48"/>
      <c r="T542" s="49" t="str">
        <f t="shared" si="46"/>
        <v>[W121C.D]</v>
      </c>
      <c r="U542" s="12" t="str">
        <f t="shared" si="47"/>
        <v xml:space="preserve"> 결합 T-1축(SD235) RLS가 감지되었습니다.</v>
      </c>
      <c r="V542" s="49" t="str">
        <f t="shared" si="45"/>
        <v>[W121C.D] 결합 T-1축(SD235) RLS가 감지되었습니다.</v>
      </c>
    </row>
    <row r="543" spans="1:22" s="49" customFormat="1" ht="14.15" customHeight="1">
      <c r="A543" s="44"/>
      <c r="B543" s="44" t="s">
        <v>6637</v>
      </c>
      <c r="C543" s="50"/>
      <c r="D543" s="10" t="s">
        <v>29</v>
      </c>
      <c r="E543" s="11"/>
      <c r="F543" s="11" t="s">
        <v>18</v>
      </c>
      <c r="G543" s="13"/>
      <c r="H543" s="45" t="s">
        <v>16</v>
      </c>
      <c r="I543" s="47"/>
      <c r="J543" s="12" t="s">
        <v>2980</v>
      </c>
      <c r="K543" s="13" t="s">
        <v>7313</v>
      </c>
      <c r="L543" s="99" t="str">
        <f t="shared" si="44"/>
        <v>W121C.E</v>
      </c>
      <c r="M543" s="13" t="s">
        <v>3667</v>
      </c>
      <c r="N543" s="13"/>
      <c r="O543" s="13"/>
      <c r="P543" s="47"/>
      <c r="Q543" s="45"/>
      <c r="R543" s="45"/>
      <c r="S543" s="48"/>
      <c r="T543" s="49" t="str">
        <f t="shared" si="46"/>
        <v>[W121C.E]</v>
      </c>
      <c r="U543" s="12" t="str">
        <f t="shared" si="47"/>
        <v xml:space="preserve"> 결합 T-1축(SD235) Stop 명령이 On된 상태에서 기동을 시도했습니다.</v>
      </c>
      <c r="V543" s="49" t="str">
        <f t="shared" si="45"/>
        <v>[W121C.E] 결합 T-1축(SD235) Stop 명령이 On된 상태에서 기동을 시도했습니다.</v>
      </c>
    </row>
    <row r="544" spans="1:22" s="49" customFormat="1" ht="14.15" customHeight="1">
      <c r="A544" s="44"/>
      <c r="B544" s="44" t="s">
        <v>6637</v>
      </c>
      <c r="C544" s="50"/>
      <c r="D544" s="10" t="s">
        <v>29</v>
      </c>
      <c r="E544" s="11"/>
      <c r="F544" s="11" t="s">
        <v>18</v>
      </c>
      <c r="G544" s="13"/>
      <c r="H544" s="45" t="s">
        <v>16</v>
      </c>
      <c r="I544" s="47"/>
      <c r="J544" s="12" t="s">
        <v>2981</v>
      </c>
      <c r="K544" s="13" t="s">
        <v>7314</v>
      </c>
      <c r="L544" s="99" t="str">
        <f t="shared" si="44"/>
        <v>W121C.F</v>
      </c>
      <c r="M544" s="13" t="s">
        <v>3667</v>
      </c>
      <c r="N544" s="13"/>
      <c r="O544" s="13"/>
      <c r="P544" s="47"/>
      <c r="Q544" s="45"/>
      <c r="R544" s="45"/>
      <c r="S544" s="48"/>
      <c r="T544" s="49" t="str">
        <f t="shared" si="46"/>
        <v>[W121C.F]</v>
      </c>
      <c r="U544" s="12" t="str">
        <f t="shared" si="47"/>
        <v xml:space="preserve"> 결합 T-1축(SD235) 가동 전원이 Off 되었습니다.</v>
      </c>
      <c r="V544" s="49" t="str">
        <f t="shared" si="45"/>
        <v>[W121C.F] 결합 T-1축(SD235) 가동 전원이 Off 되었습니다.</v>
      </c>
    </row>
    <row r="545" spans="1:22" s="49" customFormat="1" ht="14.15" customHeight="1">
      <c r="A545" s="44"/>
      <c r="B545" s="44" t="s">
        <v>6637</v>
      </c>
      <c r="C545" s="50"/>
      <c r="D545" s="10" t="s">
        <v>29</v>
      </c>
      <c r="E545" s="11"/>
      <c r="F545" s="11" t="s">
        <v>18</v>
      </c>
      <c r="G545" s="13"/>
      <c r="H545" s="45" t="s">
        <v>16</v>
      </c>
      <c r="I545" s="47"/>
      <c r="J545" s="12" t="s">
        <v>2982</v>
      </c>
      <c r="K545" s="13" t="s">
        <v>7315</v>
      </c>
      <c r="L545" s="99" t="str">
        <f t="shared" si="44"/>
        <v>W121D.0</v>
      </c>
      <c r="M545" s="13" t="s">
        <v>3667</v>
      </c>
      <c r="N545" s="13"/>
      <c r="O545" s="13"/>
      <c r="P545" s="47"/>
      <c r="Q545" s="45"/>
      <c r="R545" s="45"/>
      <c r="S545" s="48"/>
      <c r="T545" s="49" t="str">
        <f t="shared" si="46"/>
        <v>[W121D.0]</v>
      </c>
      <c r="U545" s="12" t="str">
        <f t="shared" si="47"/>
        <v xml:space="preserve"> 결합 T-1축(SD235) 엔코더 이상이 검출되었습니다.</v>
      </c>
      <c r="V545" s="49" t="str">
        <f t="shared" si="45"/>
        <v>[W121D.0] 결합 T-1축(SD235) 엔코더 이상이 검출되었습니다.</v>
      </c>
    </row>
    <row r="546" spans="1:22" s="49" customFormat="1" ht="14.15" customHeight="1">
      <c r="A546" s="44"/>
      <c r="B546" s="44" t="s">
        <v>6637</v>
      </c>
      <c r="C546" s="50"/>
      <c r="D546" s="10" t="s">
        <v>29</v>
      </c>
      <c r="E546" s="11"/>
      <c r="F546" s="11" t="s">
        <v>18</v>
      </c>
      <c r="G546" s="13"/>
      <c r="H546" s="45" t="s">
        <v>16</v>
      </c>
      <c r="I546" s="47"/>
      <c r="J546" s="12" t="s">
        <v>2983</v>
      </c>
      <c r="K546" s="13" t="s">
        <v>7316</v>
      </c>
      <c r="L546" s="99" t="str">
        <f t="shared" si="44"/>
        <v>W121D.1</v>
      </c>
      <c r="M546" s="13" t="s">
        <v>3667</v>
      </c>
      <c r="N546" s="13"/>
      <c r="O546" s="13"/>
      <c r="P546" s="47"/>
      <c r="Q546" s="45"/>
      <c r="R546" s="45"/>
      <c r="S546" s="48"/>
      <c r="T546" s="49" t="str">
        <f t="shared" si="46"/>
        <v>[W121D.1]</v>
      </c>
      <c r="U546" s="12" t="str">
        <f t="shared" si="47"/>
        <v xml:space="preserve"> 결합 T-1축(SD235) 과전류가 검출되었습니다.</v>
      </c>
      <c r="V546" s="49" t="str">
        <f t="shared" si="45"/>
        <v>[W121D.1] 결합 T-1축(SD235) 과전류가 검출되었습니다.</v>
      </c>
    </row>
    <row r="547" spans="1:22" s="49" customFormat="1" ht="14.15" customHeight="1">
      <c r="A547" s="44"/>
      <c r="B547" s="44" t="s">
        <v>6637</v>
      </c>
      <c r="C547" s="50"/>
      <c r="D547" s="10" t="s">
        <v>29</v>
      </c>
      <c r="E547" s="11"/>
      <c r="F547" s="11" t="s">
        <v>18</v>
      </c>
      <c r="G547" s="13"/>
      <c r="H547" s="45" t="s">
        <v>16</v>
      </c>
      <c r="I547" s="47"/>
      <c r="J547" s="12" t="s">
        <v>2984</v>
      </c>
      <c r="K547" s="13" t="s">
        <v>7317</v>
      </c>
      <c r="L547" s="99" t="str">
        <f t="shared" si="44"/>
        <v>W121D.2</v>
      </c>
      <c r="M547" s="13" t="s">
        <v>3667</v>
      </c>
      <c r="N547" s="13"/>
      <c r="O547" s="13"/>
      <c r="P547" s="47"/>
      <c r="Q547" s="45"/>
      <c r="R547" s="45"/>
      <c r="S547" s="48"/>
      <c r="T547" s="49" t="str">
        <f t="shared" si="46"/>
        <v>[W121D.2]</v>
      </c>
      <c r="U547" s="12" t="str">
        <f t="shared" si="47"/>
        <v xml:space="preserve"> 결합 T-1축(SD235) 과부하가 검출되었습니다.</v>
      </c>
      <c r="V547" s="49" t="str">
        <f t="shared" si="45"/>
        <v>[W121D.2] 결합 T-1축(SD235) 과부하가 검출되었습니다.</v>
      </c>
    </row>
    <row r="548" spans="1:22" s="49" customFormat="1" ht="14.15" customHeight="1">
      <c r="A548" s="44"/>
      <c r="B548" s="44" t="s">
        <v>6637</v>
      </c>
      <c r="C548" s="50"/>
      <c r="D548" s="10" t="s">
        <v>29</v>
      </c>
      <c r="E548" s="11"/>
      <c r="F548" s="11" t="s">
        <v>18</v>
      </c>
      <c r="G548" s="13"/>
      <c r="H548" s="45" t="s">
        <v>16</v>
      </c>
      <c r="I548" s="47"/>
      <c r="J548" s="12" t="s">
        <v>2985</v>
      </c>
      <c r="K548" s="13" t="s">
        <v>7318</v>
      </c>
      <c r="L548" s="99" t="str">
        <f t="shared" si="44"/>
        <v>W121D.3</v>
      </c>
      <c r="M548" s="13" t="s">
        <v>3667</v>
      </c>
      <c r="N548" s="13"/>
      <c r="O548" s="13"/>
      <c r="P548" s="47"/>
      <c r="Q548" s="45"/>
      <c r="R548" s="45"/>
      <c r="S548" s="48"/>
      <c r="T548" s="49" t="str">
        <f t="shared" si="46"/>
        <v>[W121D.3]</v>
      </c>
      <c r="U548" s="12" t="str">
        <f t="shared" si="47"/>
        <v xml:space="preserve"> 결합 T-1축(SD235)  </v>
      </c>
      <c r="V548" s="49" t="str">
        <f t="shared" si="45"/>
        <v xml:space="preserve">[W121D.3] 결합 T-1축(SD235)  </v>
      </c>
    </row>
    <row r="549" spans="1:22" s="49" customFormat="1" ht="14.15" customHeight="1">
      <c r="A549" s="44"/>
      <c r="B549" s="44" t="s">
        <v>6637</v>
      </c>
      <c r="C549" s="50"/>
      <c r="D549" s="10" t="s">
        <v>29</v>
      </c>
      <c r="E549" s="11"/>
      <c r="F549" s="11" t="s">
        <v>18</v>
      </c>
      <c r="G549" s="13"/>
      <c r="H549" s="45" t="s">
        <v>16</v>
      </c>
      <c r="I549" s="47"/>
      <c r="J549" s="12" t="s">
        <v>2986</v>
      </c>
      <c r="K549" s="13" t="s">
        <v>7319</v>
      </c>
      <c r="L549" s="99" t="str">
        <f t="shared" si="44"/>
        <v>W121D.4</v>
      </c>
      <c r="M549" s="13" t="s">
        <v>3667</v>
      </c>
      <c r="N549" s="13"/>
      <c r="O549" s="13"/>
      <c r="P549" s="47"/>
      <c r="Q549" s="45"/>
      <c r="R549" s="45"/>
      <c r="S549" s="48"/>
      <c r="T549" s="49" t="str">
        <f t="shared" si="46"/>
        <v>[W121D.4]</v>
      </c>
      <c r="U549" s="12" t="str">
        <f t="shared" si="47"/>
        <v xml:space="preserve"> 결합 T-1축(SD235) 에러가 발생했습니다.</v>
      </c>
      <c r="V549" s="49" t="str">
        <f t="shared" si="45"/>
        <v>[W121D.4] 결합 T-1축(SD235) 에러가 발생했습니다.</v>
      </c>
    </row>
    <row r="550" spans="1:22" s="49" customFormat="1" ht="14.15" customHeight="1">
      <c r="A550" s="44"/>
      <c r="B550" s="44" t="s">
        <v>6637</v>
      </c>
      <c r="C550" s="50"/>
      <c r="D550" s="10" t="s">
        <v>29</v>
      </c>
      <c r="E550" s="11"/>
      <c r="F550" s="11" t="s">
        <v>18</v>
      </c>
      <c r="G550" s="13"/>
      <c r="H550" s="45" t="s">
        <v>16</v>
      </c>
      <c r="I550" s="47"/>
      <c r="J550" s="12" t="s">
        <v>2987</v>
      </c>
      <c r="K550" s="13" t="s">
        <v>7320</v>
      </c>
      <c r="L550" s="99" t="str">
        <f t="shared" si="44"/>
        <v>W121D.5</v>
      </c>
      <c r="M550" s="13" t="s">
        <v>3667</v>
      </c>
      <c r="N550" s="13"/>
      <c r="O550" s="13"/>
      <c r="P550" s="47"/>
      <c r="Q550" s="45"/>
      <c r="R550" s="45"/>
      <c r="S550" s="48"/>
      <c r="T550" s="49" t="str">
        <f t="shared" si="46"/>
        <v>[W121D.5]</v>
      </c>
      <c r="U550" s="12" t="str">
        <f t="shared" si="47"/>
        <v xml:space="preserve"> 결합 T-2축(SD236) 운전중에 Ready가 Off 되었습니다.</v>
      </c>
      <c r="V550" s="49" t="str">
        <f t="shared" si="45"/>
        <v>[W121D.5] 결합 T-2축(SD236) 운전중에 Ready가 Off 되었습니다.</v>
      </c>
    </row>
    <row r="551" spans="1:22" s="49" customFormat="1" ht="14.15" customHeight="1">
      <c r="A551" s="44"/>
      <c r="B551" s="44" t="s">
        <v>6637</v>
      </c>
      <c r="C551" s="50"/>
      <c r="D551" s="10" t="s">
        <v>29</v>
      </c>
      <c r="E551" s="11"/>
      <c r="F551" s="11" t="s">
        <v>18</v>
      </c>
      <c r="G551" s="13"/>
      <c r="H551" s="45" t="s">
        <v>16</v>
      </c>
      <c r="I551" s="47"/>
      <c r="J551" s="12" t="s">
        <v>2988</v>
      </c>
      <c r="K551" s="13" t="s">
        <v>7321</v>
      </c>
      <c r="L551" s="99" t="str">
        <f t="shared" si="44"/>
        <v>W121D.6</v>
      </c>
      <c r="M551" s="13" t="s">
        <v>3667</v>
      </c>
      <c r="N551" s="13"/>
      <c r="O551" s="13"/>
      <c r="P551" s="47"/>
      <c r="Q551" s="45"/>
      <c r="R551" s="45"/>
      <c r="S551" s="48"/>
      <c r="T551" s="49" t="str">
        <f t="shared" si="46"/>
        <v>[W121D.6]</v>
      </c>
      <c r="U551" s="12" t="str">
        <f t="shared" si="47"/>
        <v xml:space="preserve"> 결합 T-2축(SD236) FLS가 감지되었습니다.</v>
      </c>
      <c r="V551" s="49" t="str">
        <f t="shared" si="45"/>
        <v>[W121D.6] 결합 T-2축(SD236) FLS가 감지되었습니다.</v>
      </c>
    </row>
    <row r="552" spans="1:22" s="49" customFormat="1" ht="14.15" customHeight="1">
      <c r="A552" s="44"/>
      <c r="B552" s="44" t="s">
        <v>6637</v>
      </c>
      <c r="C552" s="50"/>
      <c r="D552" s="10" t="s">
        <v>29</v>
      </c>
      <c r="E552" s="11"/>
      <c r="F552" s="11" t="s">
        <v>18</v>
      </c>
      <c r="G552" s="13"/>
      <c r="H552" s="45" t="s">
        <v>16</v>
      </c>
      <c r="I552" s="47"/>
      <c r="J552" s="12" t="s">
        <v>2989</v>
      </c>
      <c r="K552" s="13" t="s">
        <v>7322</v>
      </c>
      <c r="L552" s="99" t="str">
        <f t="shared" si="44"/>
        <v>W121D.7</v>
      </c>
      <c r="M552" s="13" t="s">
        <v>3667</v>
      </c>
      <c r="N552" s="13"/>
      <c r="O552" s="13"/>
      <c r="P552" s="47"/>
      <c r="Q552" s="45"/>
      <c r="R552" s="45"/>
      <c r="S552" s="48"/>
      <c r="T552" s="49" t="str">
        <f t="shared" si="46"/>
        <v>[W121D.7]</v>
      </c>
      <c r="U552" s="12" t="str">
        <f t="shared" si="47"/>
        <v xml:space="preserve"> 결합 T-2축(SD236) RLS가 감지되었습니다.</v>
      </c>
      <c r="V552" s="49" t="str">
        <f t="shared" si="45"/>
        <v>[W121D.7] 결합 T-2축(SD236) RLS가 감지되었습니다.</v>
      </c>
    </row>
    <row r="553" spans="1:22" s="49" customFormat="1" ht="14.15" customHeight="1">
      <c r="A553" s="44"/>
      <c r="B553" s="44" t="s">
        <v>6637</v>
      </c>
      <c r="C553" s="50"/>
      <c r="D553" s="10" t="s">
        <v>29</v>
      </c>
      <c r="E553" s="11"/>
      <c r="F553" s="11" t="s">
        <v>18</v>
      </c>
      <c r="G553" s="13"/>
      <c r="H553" s="45" t="s">
        <v>16</v>
      </c>
      <c r="I553" s="47"/>
      <c r="J553" s="12" t="s">
        <v>2990</v>
      </c>
      <c r="K553" s="13" t="s">
        <v>7323</v>
      </c>
      <c r="L553" s="99" t="str">
        <f t="shared" si="44"/>
        <v>W121D.8</v>
      </c>
      <c r="M553" s="13" t="s">
        <v>3667</v>
      </c>
      <c r="N553" s="13"/>
      <c r="O553" s="13"/>
      <c r="P553" s="47"/>
      <c r="Q553" s="45"/>
      <c r="R553" s="45"/>
      <c r="S553" s="48"/>
      <c r="T553" s="49" t="str">
        <f t="shared" si="46"/>
        <v>[W121D.8]</v>
      </c>
      <c r="U553" s="12" t="str">
        <f t="shared" si="47"/>
        <v xml:space="preserve"> 결합 T-2축(SD236) Stop 명령이 On된 상태에서 기동을 시도했습니다.</v>
      </c>
      <c r="V553" s="49" t="str">
        <f t="shared" si="45"/>
        <v>[W121D.8] 결합 T-2축(SD236) Stop 명령이 On된 상태에서 기동을 시도했습니다.</v>
      </c>
    </row>
    <row r="554" spans="1:22" s="49" customFormat="1" ht="14.15" customHeight="1">
      <c r="A554" s="44"/>
      <c r="B554" s="44" t="s">
        <v>6637</v>
      </c>
      <c r="C554" s="50"/>
      <c r="D554" s="10" t="s">
        <v>29</v>
      </c>
      <c r="E554" s="11"/>
      <c r="F554" s="11" t="s">
        <v>18</v>
      </c>
      <c r="G554" s="13"/>
      <c r="H554" s="45" t="s">
        <v>16</v>
      </c>
      <c r="I554" s="47"/>
      <c r="J554" s="12" t="s">
        <v>2991</v>
      </c>
      <c r="K554" s="13" t="s">
        <v>7324</v>
      </c>
      <c r="L554" s="99" t="str">
        <f t="shared" si="44"/>
        <v>W121D.9</v>
      </c>
      <c r="M554" s="13" t="s">
        <v>3667</v>
      </c>
      <c r="N554" s="13"/>
      <c r="O554" s="13"/>
      <c r="P554" s="47"/>
      <c r="Q554" s="45"/>
      <c r="R554" s="45"/>
      <c r="S554" s="48"/>
      <c r="T554" s="49" t="str">
        <f t="shared" si="46"/>
        <v>[W121D.9]</v>
      </c>
      <c r="U554" s="12" t="str">
        <f t="shared" si="47"/>
        <v xml:space="preserve"> 결합 T-2축(SD236) 가동 전원이 Off 되었습니다.</v>
      </c>
      <c r="V554" s="49" t="str">
        <f t="shared" si="45"/>
        <v>[W121D.9] 결합 T-2축(SD236) 가동 전원이 Off 되었습니다.</v>
      </c>
    </row>
    <row r="555" spans="1:22" s="49" customFormat="1" ht="14.15" customHeight="1">
      <c r="A555" s="44"/>
      <c r="B555" s="44" t="s">
        <v>6637</v>
      </c>
      <c r="C555" s="50"/>
      <c r="D555" s="10" t="s">
        <v>29</v>
      </c>
      <c r="E555" s="11"/>
      <c r="F555" s="11" t="s">
        <v>18</v>
      </c>
      <c r="G555" s="13"/>
      <c r="H555" s="45" t="s">
        <v>16</v>
      </c>
      <c r="I555" s="46"/>
      <c r="J555" s="14" t="s">
        <v>2992</v>
      </c>
      <c r="K555" s="13" t="s">
        <v>7325</v>
      </c>
      <c r="L555" s="99" t="str">
        <f t="shared" si="44"/>
        <v>W121D.A</v>
      </c>
      <c r="M555" s="13" t="s">
        <v>3667</v>
      </c>
      <c r="N555" s="13"/>
      <c r="O555" s="13"/>
      <c r="P555" s="47"/>
      <c r="Q555" s="45"/>
      <c r="R555" s="45"/>
      <c r="S555" s="48"/>
      <c r="T555" s="49" t="str">
        <f t="shared" si="46"/>
        <v>[W121D.A]</v>
      </c>
      <c r="U555" s="12" t="str">
        <f t="shared" si="47"/>
        <v xml:space="preserve"> 결합 T-2축(SD236) 엔코더 이상이 검출되었습니다.</v>
      </c>
      <c r="V555" s="49" t="str">
        <f t="shared" si="45"/>
        <v>[W121D.A] 결합 T-2축(SD236) 엔코더 이상이 검출되었습니다.</v>
      </c>
    </row>
    <row r="556" spans="1:22" s="49" customFormat="1" ht="14.15" customHeight="1">
      <c r="A556" s="44"/>
      <c r="B556" s="44" t="s">
        <v>6637</v>
      </c>
      <c r="C556" s="50"/>
      <c r="D556" s="10" t="s">
        <v>29</v>
      </c>
      <c r="E556" s="11"/>
      <c r="F556" s="11" t="s">
        <v>18</v>
      </c>
      <c r="G556" s="13"/>
      <c r="H556" s="45" t="s">
        <v>16</v>
      </c>
      <c r="I556" s="46"/>
      <c r="J556" s="14" t="s">
        <v>2993</v>
      </c>
      <c r="K556" s="13" t="s">
        <v>7326</v>
      </c>
      <c r="L556" s="99" t="str">
        <f t="shared" si="44"/>
        <v>W121D.B</v>
      </c>
      <c r="M556" s="13" t="s">
        <v>3667</v>
      </c>
      <c r="N556" s="13"/>
      <c r="O556" s="13"/>
      <c r="P556" s="47"/>
      <c r="Q556" s="45"/>
      <c r="R556" s="45"/>
      <c r="S556" s="48"/>
      <c r="T556" s="49" t="str">
        <f t="shared" si="46"/>
        <v>[W121D.B]</v>
      </c>
      <c r="U556" s="12" t="str">
        <f t="shared" si="47"/>
        <v xml:space="preserve"> 결합 T-2축(SD236) 과전류가 검출되었습니다.</v>
      </c>
      <c r="V556" s="49" t="str">
        <f t="shared" si="45"/>
        <v>[W121D.B] 결합 T-2축(SD236) 과전류가 검출되었습니다.</v>
      </c>
    </row>
    <row r="557" spans="1:22" s="49" customFormat="1" ht="14.15" customHeight="1">
      <c r="A557" s="44"/>
      <c r="B557" s="44" t="s">
        <v>6637</v>
      </c>
      <c r="C557" s="50"/>
      <c r="D557" s="10" t="s">
        <v>29</v>
      </c>
      <c r="E557" s="11"/>
      <c r="F557" s="11" t="s">
        <v>18</v>
      </c>
      <c r="G557" s="13"/>
      <c r="H557" s="45" t="s">
        <v>16</v>
      </c>
      <c r="I557" s="46"/>
      <c r="J557" s="14" t="s">
        <v>2994</v>
      </c>
      <c r="K557" s="13" t="s">
        <v>7327</v>
      </c>
      <c r="L557" s="99" t="str">
        <f t="shared" si="44"/>
        <v>W121D.C</v>
      </c>
      <c r="M557" s="13" t="s">
        <v>3667</v>
      </c>
      <c r="N557" s="13"/>
      <c r="O557" s="13"/>
      <c r="P557" s="47"/>
      <c r="Q557" s="45"/>
      <c r="R557" s="45"/>
      <c r="S557" s="48"/>
      <c r="T557" s="49" t="str">
        <f t="shared" si="46"/>
        <v>[W121D.C]</v>
      </c>
      <c r="U557" s="12" t="str">
        <f t="shared" si="47"/>
        <v xml:space="preserve"> 결합 T-2축(SD236) 과부하가 검출되었습니다.</v>
      </c>
      <c r="V557" s="49" t="str">
        <f t="shared" si="45"/>
        <v>[W121D.C] 결합 T-2축(SD236) 과부하가 검출되었습니다.</v>
      </c>
    </row>
    <row r="558" spans="1:22" s="49" customFormat="1" ht="14.15" customHeight="1">
      <c r="A558" s="44"/>
      <c r="B558" s="44" t="s">
        <v>6637</v>
      </c>
      <c r="C558" s="50"/>
      <c r="D558" s="10" t="s">
        <v>29</v>
      </c>
      <c r="E558" s="11"/>
      <c r="F558" s="11" t="s">
        <v>18</v>
      </c>
      <c r="G558" s="13"/>
      <c r="H558" s="45" t="s">
        <v>16</v>
      </c>
      <c r="I558" s="46"/>
      <c r="J558" s="14" t="s">
        <v>2995</v>
      </c>
      <c r="K558" s="13" t="s">
        <v>7328</v>
      </c>
      <c r="L558" s="99" t="str">
        <f t="shared" si="44"/>
        <v>W121D.D</v>
      </c>
      <c r="M558" s="13" t="s">
        <v>3667</v>
      </c>
      <c r="N558" s="13"/>
      <c r="O558" s="13"/>
      <c r="P558" s="47"/>
      <c r="Q558" s="45"/>
      <c r="R558" s="45"/>
      <c r="S558" s="48"/>
      <c r="T558" s="49" t="str">
        <f t="shared" si="46"/>
        <v>[W121D.D]</v>
      </c>
      <c r="U558" s="12" t="str">
        <f t="shared" si="47"/>
        <v xml:space="preserve"> 결합 T-2축(SD236)  </v>
      </c>
      <c r="V558" s="49" t="str">
        <f t="shared" si="45"/>
        <v xml:space="preserve">[W121D.D] 결합 T-2축(SD236)  </v>
      </c>
    </row>
    <row r="559" spans="1:22" s="49" customFormat="1" ht="14.15" customHeight="1">
      <c r="A559" s="44"/>
      <c r="B559" s="44" t="s">
        <v>6637</v>
      </c>
      <c r="C559" s="50"/>
      <c r="D559" s="10" t="s">
        <v>29</v>
      </c>
      <c r="E559" s="11"/>
      <c r="F559" s="11" t="s">
        <v>18</v>
      </c>
      <c r="G559" s="13"/>
      <c r="H559" s="45" t="s">
        <v>16</v>
      </c>
      <c r="I559" s="46"/>
      <c r="J559" s="14" t="s">
        <v>2996</v>
      </c>
      <c r="K559" s="13" t="s">
        <v>7329</v>
      </c>
      <c r="L559" s="99" t="str">
        <f t="shared" si="44"/>
        <v>W121D.E</v>
      </c>
      <c r="M559" s="13" t="s">
        <v>3667</v>
      </c>
      <c r="N559" s="13"/>
      <c r="O559" s="13"/>
      <c r="P559" s="47"/>
      <c r="Q559" s="45"/>
      <c r="R559" s="45"/>
      <c r="S559" s="48"/>
      <c r="T559" s="49" t="str">
        <f t="shared" si="46"/>
        <v>[W121D.E]</v>
      </c>
      <c r="U559" s="12" t="str">
        <f t="shared" si="47"/>
        <v xml:space="preserve"> 결합 T-2축(SD236) 에러가 발생했습니다.</v>
      </c>
      <c r="V559" s="49" t="str">
        <f t="shared" si="45"/>
        <v>[W121D.E] 결합 T-2축(SD236) 에러가 발생했습니다.</v>
      </c>
    </row>
    <row r="560" spans="1:22" s="49" customFormat="1" ht="14.15" customHeight="1">
      <c r="A560" s="44"/>
      <c r="B560" s="44" t="s">
        <v>6637</v>
      </c>
      <c r="C560" s="50"/>
      <c r="D560" s="10" t="s">
        <v>29</v>
      </c>
      <c r="E560" s="11"/>
      <c r="F560" s="11" t="s">
        <v>18</v>
      </c>
      <c r="G560" s="13"/>
      <c r="H560" s="45" t="s">
        <v>16</v>
      </c>
      <c r="I560" s="47"/>
      <c r="J560" s="12" t="s">
        <v>2372</v>
      </c>
      <c r="K560" s="13" t="s">
        <v>7330</v>
      </c>
      <c r="L560" s="99" t="str">
        <f t="shared" si="44"/>
        <v>W121D.F</v>
      </c>
      <c r="M560" s="13"/>
      <c r="N560" s="13"/>
      <c r="O560" s="13"/>
      <c r="P560" s="47"/>
      <c r="Q560" s="45"/>
      <c r="R560" s="45"/>
      <c r="S560" s="48"/>
      <c r="T560" s="49" t="str">
        <f t="shared" si="46"/>
        <v>[W121D.F]</v>
      </c>
      <c r="U560" s="12" t="str">
        <f t="shared" si="47"/>
        <v xml:space="preserve"> </v>
      </c>
      <c r="V560" s="49" t="str">
        <f t="shared" si="45"/>
        <v xml:space="preserve">[W121D.F] </v>
      </c>
    </row>
    <row r="561" spans="1:22" s="49" customFormat="1" ht="14.15" customHeight="1">
      <c r="A561" s="44"/>
      <c r="B561" s="44" t="s">
        <v>6637</v>
      </c>
      <c r="C561" s="50"/>
      <c r="D561" s="10" t="s">
        <v>29</v>
      </c>
      <c r="E561" s="11"/>
      <c r="F561" s="11" t="s">
        <v>18</v>
      </c>
      <c r="G561" s="13"/>
      <c r="H561" s="45" t="s">
        <v>16</v>
      </c>
      <c r="I561" s="47"/>
      <c r="J561" s="12" t="s">
        <v>3699</v>
      </c>
      <c r="K561" s="13" t="s">
        <v>7331</v>
      </c>
      <c r="L561" s="99" t="str">
        <f t="shared" si="44"/>
        <v>W121E.0</v>
      </c>
      <c r="M561" s="13"/>
      <c r="N561" s="13"/>
      <c r="O561" s="13"/>
      <c r="P561" s="47"/>
      <c r="Q561" s="45"/>
      <c r="R561" s="45"/>
      <c r="S561" s="48"/>
      <c r="T561" s="49" t="str">
        <f t="shared" si="46"/>
        <v>[W121E.0]</v>
      </c>
      <c r="U561" s="12" t="str">
        <f t="shared" si="47"/>
        <v xml:space="preserve"> </v>
      </c>
      <c r="V561" s="49" t="str">
        <f t="shared" si="45"/>
        <v xml:space="preserve">[W121E.0] </v>
      </c>
    </row>
    <row r="562" spans="1:22" s="49" customFormat="1" ht="14.15" customHeight="1">
      <c r="A562" s="44"/>
      <c r="B562" s="44" t="s">
        <v>6637</v>
      </c>
      <c r="C562" s="50"/>
      <c r="D562" s="10" t="s">
        <v>29</v>
      </c>
      <c r="E562" s="11"/>
      <c r="F562" s="11" t="s">
        <v>18</v>
      </c>
      <c r="G562" s="13"/>
      <c r="H562" s="45" t="s">
        <v>16</v>
      </c>
      <c r="I562" s="47"/>
      <c r="J562" s="12" t="s">
        <v>2373</v>
      </c>
      <c r="K562" s="13" t="s">
        <v>7332</v>
      </c>
      <c r="L562" s="99" t="str">
        <f t="shared" si="44"/>
        <v>W121E.1</v>
      </c>
      <c r="M562" s="13"/>
      <c r="N562" s="13"/>
      <c r="O562" s="13"/>
      <c r="P562" s="47"/>
      <c r="Q562" s="45"/>
      <c r="R562" s="45"/>
      <c r="S562" s="48"/>
      <c r="T562" s="49" t="str">
        <f t="shared" si="46"/>
        <v>[W121E.1]</v>
      </c>
      <c r="U562" s="12" t="str">
        <f t="shared" si="47"/>
        <v xml:space="preserve"> </v>
      </c>
      <c r="V562" s="49" t="str">
        <f t="shared" si="45"/>
        <v xml:space="preserve">[W121E.1] </v>
      </c>
    </row>
    <row r="563" spans="1:22" s="49" customFormat="1" ht="14.15" customHeight="1">
      <c r="A563" s="44"/>
      <c r="B563" s="44" t="s">
        <v>6637</v>
      </c>
      <c r="C563" s="50"/>
      <c r="D563" s="10" t="s">
        <v>29</v>
      </c>
      <c r="E563" s="11"/>
      <c r="F563" s="11" t="s">
        <v>18</v>
      </c>
      <c r="G563" s="13"/>
      <c r="H563" s="45" t="s">
        <v>16</v>
      </c>
      <c r="I563" s="47"/>
      <c r="J563" s="12" t="s">
        <v>2374</v>
      </c>
      <c r="K563" s="13" t="s">
        <v>7333</v>
      </c>
      <c r="L563" s="99" t="str">
        <f t="shared" si="44"/>
        <v>W121E.2</v>
      </c>
      <c r="M563" s="13"/>
      <c r="N563" s="13"/>
      <c r="O563" s="13"/>
      <c r="P563" s="47"/>
      <c r="Q563" s="45"/>
      <c r="R563" s="45"/>
      <c r="S563" s="48"/>
      <c r="T563" s="49" t="str">
        <f t="shared" si="46"/>
        <v>[W121E.2]</v>
      </c>
      <c r="U563" s="12" t="str">
        <f t="shared" si="47"/>
        <v xml:space="preserve"> </v>
      </c>
      <c r="V563" s="49" t="str">
        <f t="shared" si="45"/>
        <v xml:space="preserve">[W121E.2] </v>
      </c>
    </row>
    <row r="564" spans="1:22" s="49" customFormat="1" ht="14.15" customHeight="1">
      <c r="A564" s="44"/>
      <c r="B564" s="44" t="s">
        <v>6637</v>
      </c>
      <c r="C564" s="50"/>
      <c r="D564" s="10" t="s">
        <v>29</v>
      </c>
      <c r="E564" s="11"/>
      <c r="F564" s="11" t="s">
        <v>18</v>
      </c>
      <c r="G564" s="13"/>
      <c r="H564" s="45" t="s">
        <v>16</v>
      </c>
      <c r="I564" s="47"/>
      <c r="J564" s="12" t="s">
        <v>2375</v>
      </c>
      <c r="K564" s="13" t="s">
        <v>7334</v>
      </c>
      <c r="L564" s="99" t="str">
        <f t="shared" si="44"/>
        <v>W121E.3</v>
      </c>
      <c r="M564" s="13"/>
      <c r="N564" s="13"/>
      <c r="O564" s="13"/>
      <c r="P564" s="47"/>
      <c r="Q564" s="45"/>
      <c r="R564" s="45"/>
      <c r="S564" s="48"/>
      <c r="T564" s="49" t="str">
        <f t="shared" si="46"/>
        <v>[W121E.3]</v>
      </c>
      <c r="U564" s="12" t="str">
        <f t="shared" si="47"/>
        <v xml:space="preserve"> </v>
      </c>
      <c r="V564" s="49" t="str">
        <f t="shared" si="45"/>
        <v xml:space="preserve">[W121E.3] </v>
      </c>
    </row>
    <row r="565" spans="1:22" s="49" customFormat="1" ht="14.15" customHeight="1">
      <c r="A565" s="44"/>
      <c r="B565" s="44" t="s">
        <v>6637</v>
      </c>
      <c r="C565" s="50"/>
      <c r="D565" s="10" t="s">
        <v>29</v>
      </c>
      <c r="E565" s="11"/>
      <c r="F565" s="11" t="s">
        <v>18</v>
      </c>
      <c r="G565" s="13"/>
      <c r="H565" s="45" t="s">
        <v>16</v>
      </c>
      <c r="I565" s="47"/>
      <c r="J565" s="12" t="s">
        <v>2376</v>
      </c>
      <c r="K565" s="13" t="s">
        <v>7335</v>
      </c>
      <c r="L565" s="99" t="str">
        <f t="shared" si="44"/>
        <v>W121E.4</v>
      </c>
      <c r="M565" s="13"/>
      <c r="N565" s="13"/>
      <c r="O565" s="13"/>
      <c r="P565" s="47"/>
      <c r="Q565" s="45"/>
      <c r="R565" s="45"/>
      <c r="S565" s="48"/>
      <c r="T565" s="49" t="str">
        <f t="shared" si="46"/>
        <v>[W121E.4]</v>
      </c>
      <c r="U565" s="12" t="str">
        <f t="shared" si="47"/>
        <v xml:space="preserve"> </v>
      </c>
      <c r="V565" s="49" t="str">
        <f t="shared" si="45"/>
        <v xml:space="preserve">[W121E.4] </v>
      </c>
    </row>
    <row r="566" spans="1:22" s="49" customFormat="1" ht="14.15" customHeight="1">
      <c r="A566" s="44"/>
      <c r="B566" s="44" t="s">
        <v>6637</v>
      </c>
      <c r="C566" s="50"/>
      <c r="D566" s="10" t="s">
        <v>29</v>
      </c>
      <c r="E566" s="11"/>
      <c r="F566" s="11" t="s">
        <v>18</v>
      </c>
      <c r="G566" s="13"/>
      <c r="H566" s="45" t="s">
        <v>16</v>
      </c>
      <c r="I566" s="47"/>
      <c r="J566" s="12" t="s">
        <v>2377</v>
      </c>
      <c r="K566" s="13" t="s">
        <v>7336</v>
      </c>
      <c r="L566" s="99" t="str">
        <f t="shared" si="44"/>
        <v>W121E.5</v>
      </c>
      <c r="M566" s="13"/>
      <c r="N566" s="13"/>
      <c r="O566" s="13"/>
      <c r="P566" s="47"/>
      <c r="Q566" s="45"/>
      <c r="R566" s="45"/>
      <c r="S566" s="48"/>
      <c r="T566" s="49" t="str">
        <f t="shared" si="46"/>
        <v>[W121E.5]</v>
      </c>
      <c r="U566" s="12" t="str">
        <f t="shared" si="47"/>
        <v xml:space="preserve"> </v>
      </c>
      <c r="V566" s="49" t="str">
        <f t="shared" si="45"/>
        <v xml:space="preserve">[W121E.5] </v>
      </c>
    </row>
    <row r="567" spans="1:22" s="49" customFormat="1" ht="14.15" customHeight="1">
      <c r="A567" s="44"/>
      <c r="B567" s="44" t="s">
        <v>6637</v>
      </c>
      <c r="C567" s="50"/>
      <c r="D567" s="10" t="s">
        <v>29</v>
      </c>
      <c r="E567" s="11"/>
      <c r="F567" s="11" t="s">
        <v>18</v>
      </c>
      <c r="G567" s="13"/>
      <c r="H567" s="45" t="s">
        <v>16</v>
      </c>
      <c r="I567" s="47"/>
      <c r="J567" s="12" t="s">
        <v>2378</v>
      </c>
      <c r="K567" s="13" t="s">
        <v>7337</v>
      </c>
      <c r="L567" s="99" t="str">
        <f t="shared" si="44"/>
        <v>W121E.6</v>
      </c>
      <c r="M567" s="13"/>
      <c r="N567" s="13"/>
      <c r="O567" s="13"/>
      <c r="P567" s="47"/>
      <c r="Q567" s="45"/>
      <c r="R567" s="45"/>
      <c r="S567" s="48"/>
      <c r="T567" s="49" t="str">
        <f t="shared" si="46"/>
        <v>[W121E.6]</v>
      </c>
      <c r="U567" s="12" t="str">
        <f t="shared" si="47"/>
        <v xml:space="preserve"> </v>
      </c>
      <c r="V567" s="49" t="str">
        <f t="shared" si="45"/>
        <v xml:space="preserve">[W121E.6] </v>
      </c>
    </row>
    <row r="568" spans="1:22" s="49" customFormat="1" ht="14.15" customHeight="1">
      <c r="A568" s="44"/>
      <c r="B568" s="44" t="s">
        <v>6637</v>
      </c>
      <c r="C568" s="50"/>
      <c r="D568" s="10" t="s">
        <v>29</v>
      </c>
      <c r="E568" s="11"/>
      <c r="F568" s="11" t="s">
        <v>18</v>
      </c>
      <c r="G568" s="13"/>
      <c r="H568" s="45" t="s">
        <v>16</v>
      </c>
      <c r="I568" s="47"/>
      <c r="J568" s="12" t="s">
        <v>2379</v>
      </c>
      <c r="K568" s="13" t="s">
        <v>7338</v>
      </c>
      <c r="L568" s="99" t="str">
        <f t="shared" si="44"/>
        <v>W121E.7</v>
      </c>
      <c r="M568" s="13"/>
      <c r="N568" s="13"/>
      <c r="O568" s="13"/>
      <c r="P568" s="47"/>
      <c r="Q568" s="45"/>
      <c r="R568" s="45"/>
      <c r="S568" s="48"/>
      <c r="T568" s="49" t="str">
        <f t="shared" si="46"/>
        <v>[W121E.7]</v>
      </c>
      <c r="U568" s="12" t="str">
        <f t="shared" si="47"/>
        <v xml:space="preserve"> </v>
      </c>
      <c r="V568" s="49" t="str">
        <f t="shared" si="45"/>
        <v xml:space="preserve">[W121E.7] </v>
      </c>
    </row>
    <row r="569" spans="1:22" s="49" customFormat="1" ht="14.15" customHeight="1">
      <c r="A569" s="44"/>
      <c r="B569" s="44" t="s">
        <v>6637</v>
      </c>
      <c r="C569" s="50"/>
      <c r="D569" s="10" t="s">
        <v>29</v>
      </c>
      <c r="E569" s="11"/>
      <c r="F569" s="11" t="s">
        <v>18</v>
      </c>
      <c r="G569" s="13"/>
      <c r="H569" s="45" t="s">
        <v>16</v>
      </c>
      <c r="I569" s="47"/>
      <c r="J569" s="12" t="s">
        <v>2380</v>
      </c>
      <c r="K569" s="13" t="s">
        <v>7339</v>
      </c>
      <c r="L569" s="99" t="str">
        <f t="shared" si="44"/>
        <v>W121E.8</v>
      </c>
      <c r="M569" s="13"/>
      <c r="N569" s="13"/>
      <c r="O569" s="13"/>
      <c r="P569" s="47"/>
      <c r="Q569" s="45"/>
      <c r="R569" s="45"/>
      <c r="S569" s="48"/>
      <c r="T569" s="49" t="str">
        <f>"["&amp;L539&amp;"]"</f>
        <v>[W121C.A]</v>
      </c>
      <c r="U569" s="12" t="str">
        <f>RIGHT(J539,LEN(J539)-7)</f>
        <v xml:space="preserve"> 2헤드 셔틀#3(SD234) 에러가 발생했습니다.</v>
      </c>
      <c r="V569" s="49" t="str">
        <f>T539&amp;U539</f>
        <v>[W121C.A] 2헤드 셔틀#3(SD234) 에러가 발생했습니다.</v>
      </c>
    </row>
    <row r="570" spans="1:22" s="49" customFormat="1" ht="14.15" customHeight="1">
      <c r="A570" s="44"/>
      <c r="B570" s="44" t="s">
        <v>6637</v>
      </c>
      <c r="C570" s="50"/>
      <c r="D570" s="10" t="s">
        <v>29</v>
      </c>
      <c r="E570" s="11"/>
      <c r="F570" s="11" t="s">
        <v>18</v>
      </c>
      <c r="G570" s="13"/>
      <c r="H570" s="45" t="s">
        <v>16</v>
      </c>
      <c r="I570" s="47"/>
      <c r="J570" s="12" t="s">
        <v>2381</v>
      </c>
      <c r="K570" s="13" t="s">
        <v>7340</v>
      </c>
      <c r="L570" s="99" t="str">
        <f t="shared" si="44"/>
        <v>W121E.9</v>
      </c>
      <c r="M570" s="13"/>
      <c r="N570" s="13"/>
      <c r="O570" s="13"/>
      <c r="P570" s="47"/>
      <c r="Q570" s="45"/>
      <c r="R570" s="45"/>
      <c r="S570" s="48"/>
      <c r="T570" s="49" t="str">
        <f t="shared" ref="T570:T601" si="48">"["&amp;L570&amp;"]"</f>
        <v>[W121E.9]</v>
      </c>
      <c r="U570" s="12" t="str">
        <f t="shared" ref="U570:U601" si="49">RIGHT(J570,LEN(J570)-7)</f>
        <v xml:space="preserve"> </v>
      </c>
      <c r="V570" s="49" t="str">
        <f t="shared" si="45"/>
        <v xml:space="preserve">[W121E.9] </v>
      </c>
    </row>
    <row r="571" spans="1:22" s="49" customFormat="1" ht="14.15" customHeight="1">
      <c r="A571" s="44"/>
      <c r="B571" s="44" t="s">
        <v>6637</v>
      </c>
      <c r="C571" s="50"/>
      <c r="D571" s="10" t="s">
        <v>29</v>
      </c>
      <c r="E571" s="11"/>
      <c r="F571" s="11" t="s">
        <v>18</v>
      </c>
      <c r="G571" s="13"/>
      <c r="H571" s="45" t="s">
        <v>16</v>
      </c>
      <c r="I571" s="47"/>
      <c r="J571" s="12" t="s">
        <v>2382</v>
      </c>
      <c r="K571" s="13" t="s">
        <v>7341</v>
      </c>
      <c r="L571" s="99" t="str">
        <f t="shared" si="44"/>
        <v>W121E.A</v>
      </c>
      <c r="M571" s="13"/>
      <c r="N571" s="13"/>
      <c r="O571" s="13"/>
      <c r="P571" s="47"/>
      <c r="Q571" s="45"/>
      <c r="R571" s="45"/>
      <c r="S571" s="48"/>
      <c r="T571" s="49" t="str">
        <f t="shared" si="48"/>
        <v>[W121E.A]</v>
      </c>
      <c r="U571" s="12" t="str">
        <f t="shared" si="49"/>
        <v xml:space="preserve"> </v>
      </c>
      <c r="V571" s="49" t="str">
        <f t="shared" si="45"/>
        <v xml:space="preserve">[W121E.A] </v>
      </c>
    </row>
    <row r="572" spans="1:22" s="49" customFormat="1" ht="14.15" customHeight="1">
      <c r="A572" s="44"/>
      <c r="B572" s="44" t="s">
        <v>6637</v>
      </c>
      <c r="C572" s="50"/>
      <c r="D572" s="10" t="s">
        <v>29</v>
      </c>
      <c r="E572" s="11"/>
      <c r="F572" s="11" t="s">
        <v>18</v>
      </c>
      <c r="G572" s="13"/>
      <c r="H572" s="45" t="s">
        <v>16</v>
      </c>
      <c r="I572" s="47"/>
      <c r="J572" s="12" t="s">
        <v>2383</v>
      </c>
      <c r="K572" s="13" t="s">
        <v>7342</v>
      </c>
      <c r="L572" s="99" t="str">
        <f t="shared" si="44"/>
        <v>W121E.B</v>
      </c>
      <c r="M572" s="13"/>
      <c r="N572" s="13"/>
      <c r="O572" s="13"/>
      <c r="P572" s="47"/>
      <c r="Q572" s="45"/>
      <c r="R572" s="45"/>
      <c r="S572" s="48"/>
      <c r="T572" s="49" t="str">
        <f t="shared" si="48"/>
        <v>[W121E.B]</v>
      </c>
      <c r="U572" s="12" t="str">
        <f t="shared" si="49"/>
        <v xml:space="preserve"> </v>
      </c>
      <c r="V572" s="49" t="str">
        <f t="shared" si="45"/>
        <v xml:space="preserve">[W121E.B] </v>
      </c>
    </row>
    <row r="573" spans="1:22" s="49" customFormat="1" ht="14.15" customHeight="1">
      <c r="A573" s="44"/>
      <c r="B573" s="44" t="s">
        <v>6637</v>
      </c>
      <c r="C573" s="50"/>
      <c r="D573" s="10" t="s">
        <v>29</v>
      </c>
      <c r="E573" s="11"/>
      <c r="F573" s="11" t="s">
        <v>18</v>
      </c>
      <c r="G573" s="13"/>
      <c r="H573" s="45" t="s">
        <v>16</v>
      </c>
      <c r="I573" s="47"/>
      <c r="J573" s="12" t="s">
        <v>2384</v>
      </c>
      <c r="K573" s="13" t="s">
        <v>7343</v>
      </c>
      <c r="L573" s="99" t="str">
        <f t="shared" si="44"/>
        <v>W121E.C</v>
      </c>
      <c r="M573" s="13"/>
      <c r="N573" s="13"/>
      <c r="O573" s="13"/>
      <c r="P573" s="47"/>
      <c r="Q573" s="45"/>
      <c r="R573" s="45"/>
      <c r="S573" s="48"/>
      <c r="T573" s="49" t="str">
        <f t="shared" si="48"/>
        <v>[W121E.C]</v>
      </c>
      <c r="U573" s="12" t="str">
        <f t="shared" si="49"/>
        <v xml:space="preserve"> </v>
      </c>
      <c r="V573" s="49" t="str">
        <f t="shared" si="45"/>
        <v xml:space="preserve">[W121E.C] </v>
      </c>
    </row>
    <row r="574" spans="1:22" s="49" customFormat="1" ht="14.15" customHeight="1">
      <c r="A574" s="44"/>
      <c r="B574" s="44" t="s">
        <v>6637</v>
      </c>
      <c r="C574" s="50"/>
      <c r="D574" s="10" t="s">
        <v>29</v>
      </c>
      <c r="E574" s="11"/>
      <c r="F574" s="11" t="s">
        <v>18</v>
      </c>
      <c r="G574" s="13"/>
      <c r="H574" s="45" t="s">
        <v>16</v>
      </c>
      <c r="I574" s="47"/>
      <c r="J574" s="12" t="s">
        <v>2385</v>
      </c>
      <c r="K574" s="13" t="s">
        <v>7344</v>
      </c>
      <c r="L574" s="99" t="str">
        <f t="shared" si="44"/>
        <v>W121E.D</v>
      </c>
      <c r="M574" s="13"/>
      <c r="N574" s="13"/>
      <c r="O574" s="13"/>
      <c r="P574" s="47"/>
      <c r="Q574" s="45"/>
      <c r="R574" s="45"/>
      <c r="S574" s="48"/>
      <c r="T574" s="49" t="str">
        <f t="shared" si="48"/>
        <v>[W121E.D]</v>
      </c>
      <c r="U574" s="12" t="str">
        <f t="shared" si="49"/>
        <v xml:space="preserve"> </v>
      </c>
      <c r="V574" s="49" t="str">
        <f t="shared" si="45"/>
        <v xml:space="preserve">[W121E.D] </v>
      </c>
    </row>
    <row r="575" spans="1:22" s="49" customFormat="1" ht="14.15" customHeight="1">
      <c r="A575" s="44"/>
      <c r="B575" s="44" t="s">
        <v>6637</v>
      </c>
      <c r="C575" s="50"/>
      <c r="D575" s="10" t="s">
        <v>29</v>
      </c>
      <c r="E575" s="11"/>
      <c r="F575" s="11" t="s">
        <v>18</v>
      </c>
      <c r="G575" s="13"/>
      <c r="H575" s="45" t="s">
        <v>16</v>
      </c>
      <c r="I575" s="47"/>
      <c r="J575" s="12" t="s">
        <v>2997</v>
      </c>
      <c r="K575" s="13" t="s">
        <v>7345</v>
      </c>
      <c r="L575" s="99" t="str">
        <f t="shared" si="44"/>
        <v>W121E.E</v>
      </c>
      <c r="M575" s="13"/>
      <c r="N575" s="13"/>
      <c r="O575" s="13"/>
      <c r="P575" s="47"/>
      <c r="Q575" s="45"/>
      <c r="R575" s="45"/>
      <c r="S575" s="48"/>
      <c r="T575" s="49" t="str">
        <f t="shared" si="48"/>
        <v>[W121E.E]</v>
      </c>
      <c r="U575" s="12" t="str">
        <f t="shared" si="49"/>
        <v/>
      </c>
      <c r="V575" s="49" t="str">
        <f t="shared" si="45"/>
        <v>[W121E.E]</v>
      </c>
    </row>
    <row r="576" spans="1:22" s="49" customFormat="1" ht="14.15" customHeight="1">
      <c r="A576" s="44"/>
      <c r="B576" s="44" t="s">
        <v>6637</v>
      </c>
      <c r="C576" s="50"/>
      <c r="D576" s="10" t="s">
        <v>29</v>
      </c>
      <c r="E576" s="11"/>
      <c r="F576" s="11" t="s">
        <v>18</v>
      </c>
      <c r="G576" s="13"/>
      <c r="H576" s="45" t="s">
        <v>16</v>
      </c>
      <c r="I576" s="47"/>
      <c r="J576" s="12" t="s">
        <v>2998</v>
      </c>
      <c r="K576" s="13" t="s">
        <v>7346</v>
      </c>
      <c r="L576" s="99" t="str">
        <f t="shared" si="44"/>
        <v>W121E.F</v>
      </c>
      <c r="M576" s="13"/>
      <c r="N576" s="13"/>
      <c r="O576" s="13"/>
      <c r="P576" s="47"/>
      <c r="Q576" s="45"/>
      <c r="R576" s="45"/>
      <c r="S576" s="48"/>
      <c r="T576" s="49" t="str">
        <f t="shared" si="48"/>
        <v>[W121E.F]</v>
      </c>
      <c r="U576" s="12" t="str">
        <f t="shared" si="49"/>
        <v/>
      </c>
      <c r="V576" s="49" t="str">
        <f t="shared" si="45"/>
        <v>[W121E.F]</v>
      </c>
    </row>
    <row r="577" spans="1:22" s="49" customFormat="1" ht="14.15" customHeight="1">
      <c r="A577" s="44"/>
      <c r="B577" s="44" t="s">
        <v>6637</v>
      </c>
      <c r="C577" s="50"/>
      <c r="D577" s="10" t="s">
        <v>29</v>
      </c>
      <c r="E577" s="11"/>
      <c r="F577" s="11" t="s">
        <v>18</v>
      </c>
      <c r="G577" s="13"/>
      <c r="H577" s="45" t="s">
        <v>16</v>
      </c>
      <c r="I577" s="47"/>
      <c r="J577" s="12" t="s">
        <v>2999</v>
      </c>
      <c r="K577" s="13" t="s">
        <v>7347</v>
      </c>
      <c r="L577" s="99" t="str">
        <f t="shared" si="44"/>
        <v>W121F.0</v>
      </c>
      <c r="M577" s="13"/>
      <c r="N577" s="13"/>
      <c r="O577" s="13"/>
      <c r="P577" s="47"/>
      <c r="Q577" s="45"/>
      <c r="R577" s="45"/>
      <c r="S577" s="48"/>
      <c r="T577" s="49" t="str">
        <f t="shared" si="48"/>
        <v>[W121F.0]</v>
      </c>
      <c r="U577" s="12" t="str">
        <f t="shared" si="49"/>
        <v/>
      </c>
      <c r="V577" s="49" t="str">
        <f t="shared" si="45"/>
        <v>[W121F.0]</v>
      </c>
    </row>
    <row r="578" spans="1:22" s="49" customFormat="1" ht="14.15" customHeight="1">
      <c r="A578" s="44"/>
      <c r="B578" s="44" t="s">
        <v>6637</v>
      </c>
      <c r="C578" s="50"/>
      <c r="D578" s="10" t="s">
        <v>29</v>
      </c>
      <c r="E578" s="11"/>
      <c r="F578" s="11" t="s">
        <v>18</v>
      </c>
      <c r="G578" s="13"/>
      <c r="H578" s="45" t="s">
        <v>16</v>
      </c>
      <c r="I578" s="47"/>
      <c r="J578" s="12" t="s">
        <v>3000</v>
      </c>
      <c r="K578" s="13" t="s">
        <v>7348</v>
      </c>
      <c r="L578" s="99" t="str">
        <f t="shared" si="44"/>
        <v>W121F.1</v>
      </c>
      <c r="M578" s="13"/>
      <c r="N578" s="13"/>
      <c r="O578" s="13"/>
      <c r="P578" s="47"/>
      <c r="Q578" s="45"/>
      <c r="R578" s="45"/>
      <c r="S578" s="48"/>
      <c r="T578" s="49" t="str">
        <f t="shared" si="48"/>
        <v>[W121F.1]</v>
      </c>
      <c r="U578" s="12" t="str">
        <f t="shared" si="49"/>
        <v/>
      </c>
      <c r="V578" s="49" t="str">
        <f t="shared" si="45"/>
        <v>[W121F.1]</v>
      </c>
    </row>
    <row r="579" spans="1:22" s="49" customFormat="1" ht="14.15" customHeight="1">
      <c r="A579" s="44"/>
      <c r="B579" s="44" t="s">
        <v>6637</v>
      </c>
      <c r="C579" s="50"/>
      <c r="D579" s="10" t="s">
        <v>29</v>
      </c>
      <c r="E579" s="11"/>
      <c r="F579" s="11" t="s">
        <v>18</v>
      </c>
      <c r="G579" s="13"/>
      <c r="H579" s="45" t="s">
        <v>16</v>
      </c>
      <c r="I579" s="47"/>
      <c r="J579" s="12" t="s">
        <v>3001</v>
      </c>
      <c r="K579" s="13" t="s">
        <v>7349</v>
      </c>
      <c r="L579" s="99" t="str">
        <f t="shared" si="44"/>
        <v>W121F.2</v>
      </c>
      <c r="M579" s="13"/>
      <c r="N579" s="13"/>
      <c r="O579" s="13"/>
      <c r="P579" s="47"/>
      <c r="Q579" s="45"/>
      <c r="R579" s="45"/>
      <c r="S579" s="48"/>
      <c r="T579" s="49" t="str">
        <f t="shared" si="48"/>
        <v>[W121F.2]</v>
      </c>
      <c r="U579" s="12" t="str">
        <f t="shared" si="49"/>
        <v/>
      </c>
      <c r="V579" s="49" t="str">
        <f t="shared" si="45"/>
        <v>[W121F.2]</v>
      </c>
    </row>
    <row r="580" spans="1:22" s="49" customFormat="1" ht="14.15" customHeight="1">
      <c r="A580" s="44"/>
      <c r="B580" s="44" t="s">
        <v>6637</v>
      </c>
      <c r="C580" s="50"/>
      <c r="D580" s="10" t="s">
        <v>29</v>
      </c>
      <c r="E580" s="11"/>
      <c r="F580" s="11" t="s">
        <v>18</v>
      </c>
      <c r="G580" s="13"/>
      <c r="H580" s="45" t="s">
        <v>16</v>
      </c>
      <c r="I580" s="47"/>
      <c r="J580" s="12" t="s">
        <v>3002</v>
      </c>
      <c r="K580" s="13" t="s">
        <v>7350</v>
      </c>
      <c r="L580" s="99" t="str">
        <f t="shared" si="44"/>
        <v>W121F.3</v>
      </c>
      <c r="M580" s="13"/>
      <c r="N580" s="13"/>
      <c r="O580" s="13"/>
      <c r="P580" s="47"/>
      <c r="Q580" s="45"/>
      <c r="R580" s="45"/>
      <c r="S580" s="48"/>
      <c r="T580" s="49" t="str">
        <f t="shared" si="48"/>
        <v>[W121F.3]</v>
      </c>
      <c r="U580" s="12" t="str">
        <f t="shared" si="49"/>
        <v/>
      </c>
      <c r="V580" s="49" t="str">
        <f t="shared" si="45"/>
        <v>[W121F.3]</v>
      </c>
    </row>
    <row r="581" spans="1:22" s="49" customFormat="1" ht="14.15" customHeight="1">
      <c r="A581" s="44"/>
      <c r="B581" s="44" t="s">
        <v>6637</v>
      </c>
      <c r="C581" s="50"/>
      <c r="D581" s="10" t="s">
        <v>29</v>
      </c>
      <c r="E581" s="11"/>
      <c r="F581" s="11" t="s">
        <v>18</v>
      </c>
      <c r="G581" s="13"/>
      <c r="H581" s="45" t="s">
        <v>16</v>
      </c>
      <c r="I581" s="47"/>
      <c r="J581" s="12" t="s">
        <v>3003</v>
      </c>
      <c r="K581" s="13" t="s">
        <v>7351</v>
      </c>
      <c r="L581" s="99" t="str">
        <f t="shared" si="44"/>
        <v>W121F.4</v>
      </c>
      <c r="M581" s="13"/>
      <c r="N581" s="13"/>
      <c r="O581" s="13"/>
      <c r="P581" s="47"/>
      <c r="Q581" s="45"/>
      <c r="R581" s="45"/>
      <c r="S581" s="48"/>
      <c r="T581" s="49" t="str">
        <f t="shared" si="48"/>
        <v>[W121F.4]</v>
      </c>
      <c r="U581" s="12" t="str">
        <f t="shared" si="49"/>
        <v/>
      </c>
      <c r="V581" s="49" t="str">
        <f t="shared" si="45"/>
        <v>[W121F.4]</v>
      </c>
    </row>
    <row r="582" spans="1:22" s="49" customFormat="1" ht="14.15" customHeight="1">
      <c r="A582" s="44"/>
      <c r="B582" s="44" t="s">
        <v>6637</v>
      </c>
      <c r="C582" s="50"/>
      <c r="D582" s="10" t="s">
        <v>29</v>
      </c>
      <c r="E582" s="11"/>
      <c r="F582" s="11" t="s">
        <v>18</v>
      </c>
      <c r="G582" s="13"/>
      <c r="H582" s="45" t="s">
        <v>16</v>
      </c>
      <c r="I582" s="47"/>
      <c r="J582" s="12" t="s">
        <v>3004</v>
      </c>
      <c r="K582" s="13" t="s">
        <v>7352</v>
      </c>
      <c r="L582" s="99" t="str">
        <f t="shared" si="44"/>
        <v>W121F.5</v>
      </c>
      <c r="M582" s="13"/>
      <c r="N582" s="13"/>
      <c r="O582" s="13"/>
      <c r="P582" s="47"/>
      <c r="Q582" s="45"/>
      <c r="R582" s="45"/>
      <c r="S582" s="48"/>
      <c r="T582" s="49" t="str">
        <f t="shared" si="48"/>
        <v>[W121F.5]</v>
      </c>
      <c r="U582" s="12" t="str">
        <f t="shared" si="49"/>
        <v/>
      </c>
      <c r="V582" s="49" t="str">
        <f t="shared" si="45"/>
        <v>[W121F.5]</v>
      </c>
    </row>
    <row r="583" spans="1:22" s="49" customFormat="1" ht="14.15" customHeight="1">
      <c r="A583" s="44"/>
      <c r="B583" s="44" t="s">
        <v>6637</v>
      </c>
      <c r="C583" s="50"/>
      <c r="D583" s="10" t="s">
        <v>29</v>
      </c>
      <c r="E583" s="11"/>
      <c r="F583" s="11" t="s">
        <v>18</v>
      </c>
      <c r="G583" s="13"/>
      <c r="H583" s="45" t="s">
        <v>16</v>
      </c>
      <c r="I583" s="47"/>
      <c r="J583" s="12" t="s">
        <v>3005</v>
      </c>
      <c r="K583" s="13" t="s">
        <v>7353</v>
      </c>
      <c r="L583" s="99" t="str">
        <f t="shared" si="44"/>
        <v>W121F.6</v>
      </c>
      <c r="M583" s="13"/>
      <c r="N583" s="13"/>
      <c r="O583" s="13"/>
      <c r="P583" s="47"/>
      <c r="Q583" s="45"/>
      <c r="R583" s="45"/>
      <c r="S583" s="48"/>
      <c r="T583" s="49" t="str">
        <f t="shared" si="48"/>
        <v>[W121F.6]</v>
      </c>
      <c r="U583" s="12" t="str">
        <f t="shared" si="49"/>
        <v/>
      </c>
      <c r="V583" s="49" t="str">
        <f t="shared" si="45"/>
        <v>[W121F.6]</v>
      </c>
    </row>
    <row r="584" spans="1:22" s="49" customFormat="1" ht="14.15" customHeight="1">
      <c r="A584" s="44"/>
      <c r="B584" s="44" t="s">
        <v>6637</v>
      </c>
      <c r="C584" s="50"/>
      <c r="D584" s="10" t="s">
        <v>29</v>
      </c>
      <c r="E584" s="11"/>
      <c r="F584" s="11" t="s">
        <v>18</v>
      </c>
      <c r="G584" s="13"/>
      <c r="H584" s="45" t="s">
        <v>16</v>
      </c>
      <c r="I584" s="47"/>
      <c r="J584" s="12" t="s">
        <v>3006</v>
      </c>
      <c r="K584" s="13" t="s">
        <v>7354</v>
      </c>
      <c r="L584" s="99" t="str">
        <f t="shared" si="44"/>
        <v>W121F.7</v>
      </c>
      <c r="M584" s="13"/>
      <c r="N584" s="13"/>
      <c r="O584" s="13"/>
      <c r="P584" s="47"/>
      <c r="Q584" s="45"/>
      <c r="R584" s="45"/>
      <c r="S584" s="48"/>
      <c r="T584" s="49" t="str">
        <f t="shared" si="48"/>
        <v>[W121F.7]</v>
      </c>
      <c r="U584" s="12" t="str">
        <f t="shared" si="49"/>
        <v/>
      </c>
      <c r="V584" s="49" t="str">
        <f t="shared" si="45"/>
        <v>[W121F.7]</v>
      </c>
    </row>
    <row r="585" spans="1:22" s="49" customFormat="1" ht="14.15" customHeight="1">
      <c r="A585" s="44"/>
      <c r="B585" s="44" t="s">
        <v>6637</v>
      </c>
      <c r="C585" s="50"/>
      <c r="D585" s="10" t="s">
        <v>29</v>
      </c>
      <c r="E585" s="11"/>
      <c r="F585" s="11" t="s">
        <v>18</v>
      </c>
      <c r="G585" s="13"/>
      <c r="H585" s="45" t="s">
        <v>16</v>
      </c>
      <c r="I585" s="47"/>
      <c r="J585" s="12" t="s">
        <v>3007</v>
      </c>
      <c r="K585" s="13" t="s">
        <v>7355</v>
      </c>
      <c r="L585" s="99" t="str">
        <f t="shared" si="44"/>
        <v>W121F.8</v>
      </c>
      <c r="M585" s="13"/>
      <c r="N585" s="13"/>
      <c r="O585" s="13"/>
      <c r="P585" s="47"/>
      <c r="Q585" s="45"/>
      <c r="R585" s="45"/>
      <c r="S585" s="48"/>
      <c r="T585" s="49" t="str">
        <f t="shared" si="48"/>
        <v>[W121F.8]</v>
      </c>
      <c r="U585" s="12" t="str">
        <f t="shared" si="49"/>
        <v/>
      </c>
      <c r="V585" s="49" t="str">
        <f t="shared" si="45"/>
        <v>[W121F.8]</v>
      </c>
    </row>
    <row r="586" spans="1:22" s="49" customFormat="1" ht="14.15" customHeight="1">
      <c r="A586" s="44"/>
      <c r="B586" s="44" t="s">
        <v>6637</v>
      </c>
      <c r="C586" s="50"/>
      <c r="D586" s="10" t="s">
        <v>29</v>
      </c>
      <c r="E586" s="11"/>
      <c r="F586" s="11" t="s">
        <v>18</v>
      </c>
      <c r="G586" s="13"/>
      <c r="H586" s="45" t="s">
        <v>16</v>
      </c>
      <c r="I586" s="47"/>
      <c r="J586" s="12" t="s">
        <v>3008</v>
      </c>
      <c r="K586" s="13" t="s">
        <v>7356</v>
      </c>
      <c r="L586" s="99" t="str">
        <f t="shared" si="44"/>
        <v>W121F.9</v>
      </c>
      <c r="M586" s="13"/>
      <c r="N586" s="13"/>
      <c r="O586" s="13"/>
      <c r="P586" s="47"/>
      <c r="Q586" s="45"/>
      <c r="R586" s="45"/>
      <c r="S586" s="48"/>
      <c r="T586" s="49" t="str">
        <f t="shared" si="48"/>
        <v>[W121F.9]</v>
      </c>
      <c r="U586" s="12" t="str">
        <f t="shared" si="49"/>
        <v/>
      </c>
      <c r="V586" s="49" t="str">
        <f t="shared" si="45"/>
        <v>[W121F.9]</v>
      </c>
    </row>
    <row r="587" spans="1:22" s="49" customFormat="1" ht="14.15" customHeight="1">
      <c r="A587" s="44"/>
      <c r="B587" s="44" t="s">
        <v>6637</v>
      </c>
      <c r="C587" s="50"/>
      <c r="D587" s="10" t="s">
        <v>29</v>
      </c>
      <c r="E587" s="11"/>
      <c r="F587" s="11" t="s">
        <v>18</v>
      </c>
      <c r="G587" s="13"/>
      <c r="H587" s="45" t="s">
        <v>16</v>
      </c>
      <c r="I587" s="47"/>
      <c r="J587" s="12" t="s">
        <v>3009</v>
      </c>
      <c r="K587" s="13" t="s">
        <v>7357</v>
      </c>
      <c r="L587" s="99" t="str">
        <f t="shared" si="44"/>
        <v>W121F.A</v>
      </c>
      <c r="M587" s="13"/>
      <c r="N587" s="13"/>
      <c r="O587" s="13"/>
      <c r="P587" s="47"/>
      <c r="Q587" s="45"/>
      <c r="R587" s="45"/>
      <c r="S587" s="48"/>
      <c r="T587" s="49" t="str">
        <f t="shared" si="48"/>
        <v>[W121F.A]</v>
      </c>
      <c r="U587" s="12" t="str">
        <f t="shared" si="49"/>
        <v/>
      </c>
      <c r="V587" s="49" t="str">
        <f t="shared" si="45"/>
        <v>[W121F.A]</v>
      </c>
    </row>
    <row r="588" spans="1:22" s="49" customFormat="1" ht="14.15" customHeight="1">
      <c r="A588" s="44"/>
      <c r="B588" s="44" t="s">
        <v>6637</v>
      </c>
      <c r="C588" s="50"/>
      <c r="D588" s="10" t="s">
        <v>29</v>
      </c>
      <c r="E588" s="11"/>
      <c r="F588" s="11" t="s">
        <v>18</v>
      </c>
      <c r="G588" s="13"/>
      <c r="H588" s="45" t="s">
        <v>16</v>
      </c>
      <c r="I588" s="47"/>
      <c r="J588" s="12" t="s">
        <v>3010</v>
      </c>
      <c r="K588" s="13" t="s">
        <v>7358</v>
      </c>
      <c r="L588" s="99" t="str">
        <f t="shared" si="44"/>
        <v>W121F.B</v>
      </c>
      <c r="M588" s="13"/>
      <c r="N588" s="13"/>
      <c r="O588" s="13"/>
      <c r="P588" s="47"/>
      <c r="Q588" s="45"/>
      <c r="R588" s="45"/>
      <c r="S588" s="48"/>
      <c r="T588" s="49" t="str">
        <f t="shared" si="48"/>
        <v>[W121F.B]</v>
      </c>
      <c r="U588" s="12" t="str">
        <f t="shared" si="49"/>
        <v/>
      </c>
      <c r="V588" s="49" t="str">
        <f t="shared" si="45"/>
        <v>[W121F.B]</v>
      </c>
    </row>
    <row r="589" spans="1:22" s="49" customFormat="1" ht="14.15" customHeight="1">
      <c r="A589" s="44"/>
      <c r="B589" s="44" t="s">
        <v>6637</v>
      </c>
      <c r="C589" s="50"/>
      <c r="D589" s="10" t="s">
        <v>29</v>
      </c>
      <c r="E589" s="11"/>
      <c r="F589" s="11" t="s">
        <v>18</v>
      </c>
      <c r="G589" s="13"/>
      <c r="H589" s="45" t="s">
        <v>16</v>
      </c>
      <c r="I589" s="47"/>
      <c r="J589" s="12" t="s">
        <v>3011</v>
      </c>
      <c r="K589" s="13" t="s">
        <v>7359</v>
      </c>
      <c r="L589" s="99" t="str">
        <f t="shared" si="44"/>
        <v>W121F.C</v>
      </c>
      <c r="M589" s="13"/>
      <c r="N589" s="13"/>
      <c r="O589" s="13"/>
      <c r="P589" s="47"/>
      <c r="Q589" s="45"/>
      <c r="R589" s="45"/>
      <c r="S589" s="48"/>
      <c r="T589" s="49" t="str">
        <f t="shared" si="48"/>
        <v>[W121F.C]</v>
      </c>
      <c r="U589" s="12" t="str">
        <f t="shared" si="49"/>
        <v/>
      </c>
      <c r="V589" s="49" t="str">
        <f t="shared" si="45"/>
        <v>[W121F.C]</v>
      </c>
    </row>
    <row r="590" spans="1:22" s="49" customFormat="1" ht="14.15" customHeight="1">
      <c r="A590" s="44"/>
      <c r="B590" s="44" t="s">
        <v>6637</v>
      </c>
      <c r="C590" s="50"/>
      <c r="D590" s="10" t="s">
        <v>29</v>
      </c>
      <c r="E590" s="11"/>
      <c r="F590" s="11" t="s">
        <v>18</v>
      </c>
      <c r="G590" s="13"/>
      <c r="H590" s="45" t="s">
        <v>16</v>
      </c>
      <c r="I590" s="47"/>
      <c r="J590" s="12" t="s">
        <v>3012</v>
      </c>
      <c r="K590" s="13" t="s">
        <v>7360</v>
      </c>
      <c r="L590" s="99" t="str">
        <f t="shared" si="44"/>
        <v>W121F.D</v>
      </c>
      <c r="M590" s="13"/>
      <c r="N590" s="13"/>
      <c r="O590" s="13"/>
      <c r="P590" s="47"/>
      <c r="Q590" s="45"/>
      <c r="R590" s="45"/>
      <c r="S590" s="48"/>
      <c r="T590" s="49" t="str">
        <f t="shared" si="48"/>
        <v>[W121F.D]</v>
      </c>
      <c r="U590" s="12" t="str">
        <f t="shared" si="49"/>
        <v/>
      </c>
      <c r="V590" s="49" t="str">
        <f t="shared" si="45"/>
        <v>[W121F.D]</v>
      </c>
    </row>
    <row r="591" spans="1:22" s="49" customFormat="1" ht="14.15" customHeight="1">
      <c r="A591" s="44"/>
      <c r="B591" s="44" t="s">
        <v>6637</v>
      </c>
      <c r="C591" s="50"/>
      <c r="D591" s="10" t="s">
        <v>29</v>
      </c>
      <c r="E591" s="11"/>
      <c r="F591" s="11" t="s">
        <v>18</v>
      </c>
      <c r="G591" s="13"/>
      <c r="H591" s="45" t="s">
        <v>16</v>
      </c>
      <c r="I591" s="47"/>
      <c r="J591" s="12" t="s">
        <v>3013</v>
      </c>
      <c r="K591" s="13" t="s">
        <v>7361</v>
      </c>
      <c r="L591" s="99" t="str">
        <f t="shared" si="44"/>
        <v>W121F.E</v>
      </c>
      <c r="M591" s="13"/>
      <c r="N591" s="13"/>
      <c r="O591" s="13"/>
      <c r="P591" s="47"/>
      <c r="Q591" s="45"/>
      <c r="R591" s="45"/>
      <c r="S591" s="48"/>
      <c r="T591" s="49" t="str">
        <f t="shared" si="48"/>
        <v>[W121F.E]</v>
      </c>
      <c r="U591" s="12" t="str">
        <f t="shared" si="49"/>
        <v/>
      </c>
      <c r="V591" s="49" t="str">
        <f t="shared" si="45"/>
        <v>[W121F.E]</v>
      </c>
    </row>
    <row r="592" spans="1:22" s="49" customFormat="1" ht="14.15" customHeight="1">
      <c r="A592" s="44"/>
      <c r="B592" s="44" t="s">
        <v>6637</v>
      </c>
      <c r="C592" s="50"/>
      <c r="D592" s="10" t="s">
        <v>29</v>
      </c>
      <c r="E592" s="11"/>
      <c r="F592" s="11" t="s">
        <v>18</v>
      </c>
      <c r="G592" s="13"/>
      <c r="H592" s="45" t="s">
        <v>16</v>
      </c>
      <c r="I592" s="47"/>
      <c r="J592" s="12" t="s">
        <v>3014</v>
      </c>
      <c r="K592" s="13" t="s">
        <v>7362</v>
      </c>
      <c r="L592" s="99" t="str">
        <f t="shared" si="44"/>
        <v>W121F.F</v>
      </c>
      <c r="M592" s="13"/>
      <c r="N592" s="13"/>
      <c r="O592" s="13"/>
      <c r="P592" s="47"/>
      <c r="Q592" s="45"/>
      <c r="R592" s="45"/>
      <c r="S592" s="48"/>
      <c r="T592" s="49" t="str">
        <f t="shared" si="48"/>
        <v>[W121F.F]</v>
      </c>
      <c r="U592" s="12" t="str">
        <f t="shared" si="49"/>
        <v/>
      </c>
      <c r="V592" s="49" t="str">
        <f t="shared" si="45"/>
        <v>[W121F.F]</v>
      </c>
    </row>
    <row r="593" spans="1:22" s="49" customFormat="1" ht="14.15" customHeight="1">
      <c r="A593" s="44"/>
      <c r="B593" s="44" t="s">
        <v>6637</v>
      </c>
      <c r="C593" s="50"/>
      <c r="D593" s="10" t="s">
        <v>29</v>
      </c>
      <c r="E593" s="11"/>
      <c r="F593" s="11" t="s">
        <v>18</v>
      </c>
      <c r="G593" s="13"/>
      <c r="H593" s="45" t="s">
        <v>16</v>
      </c>
      <c r="I593" s="47"/>
      <c r="J593" s="12" t="s">
        <v>3015</v>
      </c>
      <c r="K593" s="13" t="s">
        <v>7363</v>
      </c>
      <c r="L593" s="99" t="str">
        <f t="shared" si="44"/>
        <v>W1220.0</v>
      </c>
      <c r="M593" s="13"/>
      <c r="N593" s="13"/>
      <c r="O593" s="13"/>
      <c r="P593" s="47"/>
      <c r="Q593" s="45"/>
      <c r="R593" s="45"/>
      <c r="S593" s="48"/>
      <c r="T593" s="49" t="str">
        <f t="shared" si="48"/>
        <v>[W1220.0]</v>
      </c>
      <c r="U593" s="12" t="str">
        <f t="shared" si="49"/>
        <v/>
      </c>
      <c r="V593" s="49" t="str">
        <f t="shared" si="45"/>
        <v>[W1220.0]</v>
      </c>
    </row>
    <row r="594" spans="1:22" s="49" customFormat="1" ht="14.15" customHeight="1">
      <c r="A594" s="44"/>
      <c r="B594" s="44" t="s">
        <v>6637</v>
      </c>
      <c r="C594" s="50"/>
      <c r="D594" s="10" t="s">
        <v>29</v>
      </c>
      <c r="E594" s="11"/>
      <c r="F594" s="11" t="s">
        <v>18</v>
      </c>
      <c r="G594" s="13"/>
      <c r="H594" s="45" t="s">
        <v>16</v>
      </c>
      <c r="I594" s="47"/>
      <c r="J594" s="12" t="s">
        <v>3016</v>
      </c>
      <c r="K594" s="13" t="s">
        <v>7364</v>
      </c>
      <c r="L594" s="99" t="str">
        <f t="shared" ref="L594:L657" si="50">"W"&amp;DEC2HEX(4608 + INT((ROW()-81)/16)) &amp; "." &amp; IF(MOD(ROW()-81,16)&lt;10,MOD(ROW()-81,16),CHAR(MOD(ROW()-81,16)+55))</f>
        <v>W1220.1</v>
      </c>
      <c r="M594" s="13"/>
      <c r="N594" s="13"/>
      <c r="O594" s="13"/>
      <c r="P594" s="47"/>
      <c r="Q594" s="45"/>
      <c r="R594" s="45"/>
      <c r="S594" s="48"/>
      <c r="T594" s="49" t="str">
        <f t="shared" si="48"/>
        <v>[W1220.1]</v>
      </c>
      <c r="U594" s="12" t="str">
        <f t="shared" si="49"/>
        <v/>
      </c>
      <c r="V594" s="49" t="str">
        <f t="shared" ref="V594:V657" si="51">T594&amp;U594</f>
        <v>[W1220.1]</v>
      </c>
    </row>
    <row r="595" spans="1:22" s="49" customFormat="1" ht="14.15" customHeight="1">
      <c r="A595" s="44"/>
      <c r="B595" s="44" t="s">
        <v>6637</v>
      </c>
      <c r="C595" s="50"/>
      <c r="D595" s="10" t="s">
        <v>29</v>
      </c>
      <c r="E595" s="11"/>
      <c r="F595" s="11" t="s">
        <v>18</v>
      </c>
      <c r="G595" s="13"/>
      <c r="H595" s="45" t="s">
        <v>16</v>
      </c>
      <c r="I595" s="46"/>
      <c r="J595" s="12" t="s">
        <v>3017</v>
      </c>
      <c r="K595" s="13" t="s">
        <v>7365</v>
      </c>
      <c r="L595" s="99" t="str">
        <f t="shared" si="50"/>
        <v>W1220.2</v>
      </c>
      <c r="M595" s="13"/>
      <c r="N595" s="13"/>
      <c r="O595" s="13"/>
      <c r="P595" s="47"/>
      <c r="Q595" s="45"/>
      <c r="R595" s="45"/>
      <c r="S595" s="48"/>
      <c r="T595" s="49" t="str">
        <f t="shared" si="48"/>
        <v>[W1220.2]</v>
      </c>
      <c r="U595" s="12" t="str">
        <f t="shared" si="49"/>
        <v/>
      </c>
      <c r="V595" s="49" t="str">
        <f t="shared" si="51"/>
        <v>[W1220.2]</v>
      </c>
    </row>
    <row r="596" spans="1:22" s="49" customFormat="1" ht="14.15" customHeight="1">
      <c r="A596" s="44"/>
      <c r="B596" s="44" t="s">
        <v>6637</v>
      </c>
      <c r="C596" s="50"/>
      <c r="D596" s="10" t="s">
        <v>29</v>
      </c>
      <c r="E596" s="11"/>
      <c r="F596" s="11" t="s">
        <v>18</v>
      </c>
      <c r="G596" s="13"/>
      <c r="H596" s="45" t="s">
        <v>16</v>
      </c>
      <c r="I596" s="46"/>
      <c r="J596" s="12" t="s">
        <v>3018</v>
      </c>
      <c r="K596" s="13" t="s">
        <v>7366</v>
      </c>
      <c r="L596" s="99" t="str">
        <f t="shared" si="50"/>
        <v>W1220.3</v>
      </c>
      <c r="M596" s="13"/>
      <c r="N596" s="13"/>
      <c r="O596" s="13"/>
      <c r="P596" s="47"/>
      <c r="Q596" s="45"/>
      <c r="R596" s="45"/>
      <c r="S596" s="48"/>
      <c r="T596" s="49" t="str">
        <f t="shared" si="48"/>
        <v>[W1220.3]</v>
      </c>
      <c r="U596" s="12" t="str">
        <f t="shared" si="49"/>
        <v/>
      </c>
      <c r="V596" s="49" t="str">
        <f t="shared" si="51"/>
        <v>[W1220.3]</v>
      </c>
    </row>
    <row r="597" spans="1:22" s="49" customFormat="1" ht="14.15" customHeight="1">
      <c r="A597" s="44"/>
      <c r="B597" s="44" t="s">
        <v>6637</v>
      </c>
      <c r="C597" s="50"/>
      <c r="D597" s="10" t="s">
        <v>29</v>
      </c>
      <c r="E597" s="11"/>
      <c r="F597" s="11" t="s">
        <v>18</v>
      </c>
      <c r="G597" s="13"/>
      <c r="H597" s="45" t="s">
        <v>16</v>
      </c>
      <c r="I597" s="46"/>
      <c r="J597" s="12" t="s">
        <v>3019</v>
      </c>
      <c r="K597" s="13" t="s">
        <v>7367</v>
      </c>
      <c r="L597" s="99" t="str">
        <f t="shared" si="50"/>
        <v>W1220.4</v>
      </c>
      <c r="M597" s="13"/>
      <c r="N597" s="13"/>
      <c r="O597" s="13"/>
      <c r="P597" s="47"/>
      <c r="Q597" s="45"/>
      <c r="R597" s="45"/>
      <c r="S597" s="48"/>
      <c r="T597" s="49" t="str">
        <f t="shared" si="48"/>
        <v>[W1220.4]</v>
      </c>
      <c r="U597" s="12" t="str">
        <f t="shared" si="49"/>
        <v/>
      </c>
      <c r="V597" s="49" t="str">
        <f t="shared" si="51"/>
        <v>[W1220.4]</v>
      </c>
    </row>
    <row r="598" spans="1:22" s="49" customFormat="1" ht="14.15" customHeight="1">
      <c r="A598" s="44"/>
      <c r="B598" s="44" t="s">
        <v>6637</v>
      </c>
      <c r="C598" s="50"/>
      <c r="D598" s="10" t="s">
        <v>29</v>
      </c>
      <c r="E598" s="11"/>
      <c r="F598" s="11" t="s">
        <v>18</v>
      </c>
      <c r="G598" s="13"/>
      <c r="H598" s="45" t="s">
        <v>16</v>
      </c>
      <c r="I598" s="46"/>
      <c r="J598" s="12" t="s">
        <v>3020</v>
      </c>
      <c r="K598" s="13" t="s">
        <v>7368</v>
      </c>
      <c r="L598" s="99" t="str">
        <f t="shared" si="50"/>
        <v>W1220.5</v>
      </c>
      <c r="M598" s="13"/>
      <c r="N598" s="13"/>
      <c r="O598" s="13"/>
      <c r="P598" s="47"/>
      <c r="Q598" s="45"/>
      <c r="R598" s="45"/>
      <c r="S598" s="48"/>
      <c r="T598" s="49" t="str">
        <f t="shared" si="48"/>
        <v>[W1220.5]</v>
      </c>
      <c r="U598" s="12" t="str">
        <f t="shared" si="49"/>
        <v/>
      </c>
      <c r="V598" s="49" t="str">
        <f t="shared" si="51"/>
        <v>[W1220.5]</v>
      </c>
    </row>
    <row r="599" spans="1:22" s="49" customFormat="1" ht="14.15" customHeight="1">
      <c r="A599" s="44"/>
      <c r="B599" s="44" t="s">
        <v>6637</v>
      </c>
      <c r="C599" s="50"/>
      <c r="D599" s="10" t="s">
        <v>29</v>
      </c>
      <c r="E599" s="11"/>
      <c r="F599" s="11" t="s">
        <v>18</v>
      </c>
      <c r="G599" s="13"/>
      <c r="H599" s="45" t="s">
        <v>16</v>
      </c>
      <c r="I599" s="46"/>
      <c r="J599" s="12" t="s">
        <v>3021</v>
      </c>
      <c r="K599" s="13" t="s">
        <v>7369</v>
      </c>
      <c r="L599" s="99" t="str">
        <f t="shared" si="50"/>
        <v>W1220.6</v>
      </c>
      <c r="M599" s="13"/>
      <c r="N599" s="13"/>
      <c r="O599" s="13"/>
      <c r="P599" s="47"/>
      <c r="Q599" s="45"/>
      <c r="R599" s="45"/>
      <c r="S599" s="48"/>
      <c r="T599" s="49" t="str">
        <f t="shared" si="48"/>
        <v>[W1220.6]</v>
      </c>
      <c r="U599" s="12" t="str">
        <f t="shared" si="49"/>
        <v/>
      </c>
      <c r="V599" s="49" t="str">
        <f t="shared" si="51"/>
        <v>[W1220.6]</v>
      </c>
    </row>
    <row r="600" spans="1:22" s="49" customFormat="1" ht="14.15" customHeight="1">
      <c r="A600" s="44"/>
      <c r="B600" s="44" t="s">
        <v>6637</v>
      </c>
      <c r="C600" s="50"/>
      <c r="D600" s="10" t="s">
        <v>29</v>
      </c>
      <c r="E600" s="11"/>
      <c r="F600" s="11" t="s">
        <v>18</v>
      </c>
      <c r="G600" s="13"/>
      <c r="H600" s="45" t="s">
        <v>16</v>
      </c>
      <c r="I600" s="46"/>
      <c r="J600" s="12" t="s">
        <v>3022</v>
      </c>
      <c r="K600" s="13" t="s">
        <v>7370</v>
      </c>
      <c r="L600" s="99" t="str">
        <f t="shared" si="50"/>
        <v>W1220.7</v>
      </c>
      <c r="M600" s="13"/>
      <c r="N600" s="13"/>
      <c r="O600" s="13"/>
      <c r="P600" s="47"/>
      <c r="Q600" s="45"/>
      <c r="R600" s="45"/>
      <c r="S600" s="48"/>
      <c r="T600" s="49" t="str">
        <f t="shared" si="48"/>
        <v>[W1220.7]</v>
      </c>
      <c r="U600" s="12" t="str">
        <f t="shared" si="49"/>
        <v/>
      </c>
      <c r="V600" s="49" t="str">
        <f t="shared" si="51"/>
        <v>[W1220.7]</v>
      </c>
    </row>
    <row r="601" spans="1:22" s="49" customFormat="1" ht="14.15" customHeight="1">
      <c r="A601" s="44"/>
      <c r="B601" s="44" t="s">
        <v>6637</v>
      </c>
      <c r="C601" s="50"/>
      <c r="D601" s="10" t="s">
        <v>29</v>
      </c>
      <c r="E601" s="11"/>
      <c r="F601" s="11" t="s">
        <v>18</v>
      </c>
      <c r="G601" s="13"/>
      <c r="H601" s="45" t="s">
        <v>16</v>
      </c>
      <c r="I601" s="47"/>
      <c r="J601" s="12" t="s">
        <v>3023</v>
      </c>
      <c r="K601" s="13" t="s">
        <v>7371</v>
      </c>
      <c r="L601" s="99" t="str">
        <f t="shared" si="50"/>
        <v>W1220.8</v>
      </c>
      <c r="M601" s="13"/>
      <c r="N601" s="13"/>
      <c r="O601" s="13"/>
      <c r="P601" s="47"/>
      <c r="Q601" s="45"/>
      <c r="R601" s="45"/>
      <c r="S601" s="48"/>
      <c r="T601" s="49" t="str">
        <f t="shared" si="48"/>
        <v>[W1220.8]</v>
      </c>
      <c r="U601" s="12" t="str">
        <f t="shared" si="49"/>
        <v/>
      </c>
      <c r="V601" s="49" t="str">
        <f t="shared" si="51"/>
        <v>[W1220.8]</v>
      </c>
    </row>
    <row r="602" spans="1:22" s="49" customFormat="1" ht="14.15" customHeight="1">
      <c r="A602" s="44"/>
      <c r="B602" s="44" t="s">
        <v>6637</v>
      </c>
      <c r="C602" s="50"/>
      <c r="D602" s="10" t="s">
        <v>29</v>
      </c>
      <c r="E602" s="11"/>
      <c r="F602" s="11" t="s">
        <v>18</v>
      </c>
      <c r="G602" s="13"/>
      <c r="H602" s="45" t="s">
        <v>16</v>
      </c>
      <c r="I602" s="47"/>
      <c r="J602" s="12" t="s">
        <v>3024</v>
      </c>
      <c r="K602" s="13" t="s">
        <v>7372</v>
      </c>
      <c r="L602" s="99" t="str">
        <f t="shared" si="50"/>
        <v>W1220.9</v>
      </c>
      <c r="M602" s="13"/>
      <c r="N602" s="13"/>
      <c r="O602" s="13"/>
      <c r="P602" s="47"/>
      <c r="Q602" s="45"/>
      <c r="R602" s="45"/>
      <c r="S602" s="48"/>
      <c r="T602" s="49" t="str">
        <f t="shared" ref="T602:T633" si="52">"["&amp;L602&amp;"]"</f>
        <v>[W1220.9]</v>
      </c>
      <c r="U602" s="12" t="str">
        <f t="shared" ref="U602:U633" si="53">RIGHT(J602,LEN(J602)-7)</f>
        <v/>
      </c>
      <c r="V602" s="49" t="str">
        <f t="shared" si="51"/>
        <v>[W1220.9]</v>
      </c>
    </row>
    <row r="603" spans="1:22" s="49" customFormat="1" ht="14.15" customHeight="1">
      <c r="A603" s="44"/>
      <c r="B603" s="44" t="s">
        <v>6637</v>
      </c>
      <c r="C603" s="50"/>
      <c r="D603" s="10" t="s">
        <v>29</v>
      </c>
      <c r="E603" s="11"/>
      <c r="F603" s="11" t="s">
        <v>18</v>
      </c>
      <c r="G603" s="13"/>
      <c r="H603" s="45" t="s">
        <v>16</v>
      </c>
      <c r="I603" s="47"/>
      <c r="J603" s="12" t="s">
        <v>3025</v>
      </c>
      <c r="K603" s="13" t="s">
        <v>7373</v>
      </c>
      <c r="L603" s="99" t="str">
        <f t="shared" si="50"/>
        <v>W1220.A</v>
      </c>
      <c r="M603" s="13"/>
      <c r="N603" s="13"/>
      <c r="O603" s="13"/>
      <c r="P603" s="47"/>
      <c r="Q603" s="45"/>
      <c r="R603" s="45"/>
      <c r="S603" s="48"/>
      <c r="T603" s="49" t="str">
        <f t="shared" si="52"/>
        <v>[W1220.A]</v>
      </c>
      <c r="U603" s="12" t="str">
        <f t="shared" si="53"/>
        <v/>
      </c>
      <c r="V603" s="49" t="str">
        <f t="shared" si="51"/>
        <v>[W1220.A]</v>
      </c>
    </row>
    <row r="604" spans="1:22" s="49" customFormat="1" ht="14.15" customHeight="1">
      <c r="A604" s="44"/>
      <c r="B604" s="44" t="s">
        <v>6637</v>
      </c>
      <c r="C604" s="50"/>
      <c r="D604" s="10" t="s">
        <v>29</v>
      </c>
      <c r="E604" s="11"/>
      <c r="F604" s="11" t="s">
        <v>18</v>
      </c>
      <c r="G604" s="13"/>
      <c r="H604" s="45" t="s">
        <v>16</v>
      </c>
      <c r="I604" s="47"/>
      <c r="J604" s="12" t="s">
        <v>3026</v>
      </c>
      <c r="K604" s="13" t="s">
        <v>7374</v>
      </c>
      <c r="L604" s="99" t="str">
        <f t="shared" si="50"/>
        <v>W1220.B</v>
      </c>
      <c r="M604" s="13"/>
      <c r="N604" s="13"/>
      <c r="O604" s="13"/>
      <c r="P604" s="47"/>
      <c r="Q604" s="45"/>
      <c r="R604" s="45"/>
      <c r="S604" s="48"/>
      <c r="T604" s="49" t="str">
        <f t="shared" si="52"/>
        <v>[W1220.B]</v>
      </c>
      <c r="U604" s="12" t="str">
        <f t="shared" si="53"/>
        <v/>
      </c>
      <c r="V604" s="49" t="str">
        <f t="shared" si="51"/>
        <v>[W1220.B]</v>
      </c>
    </row>
    <row r="605" spans="1:22" s="49" customFormat="1" ht="14.15" customHeight="1">
      <c r="A605" s="44"/>
      <c r="B605" s="44" t="s">
        <v>6637</v>
      </c>
      <c r="C605" s="50"/>
      <c r="D605" s="10" t="s">
        <v>29</v>
      </c>
      <c r="E605" s="11"/>
      <c r="F605" s="11" t="s">
        <v>18</v>
      </c>
      <c r="G605" s="13"/>
      <c r="H605" s="45" t="s">
        <v>16</v>
      </c>
      <c r="I605" s="47"/>
      <c r="J605" s="12" t="s">
        <v>3027</v>
      </c>
      <c r="K605" s="13" t="s">
        <v>7375</v>
      </c>
      <c r="L605" s="99" t="str">
        <f t="shared" si="50"/>
        <v>W1220.C</v>
      </c>
      <c r="M605" s="13"/>
      <c r="N605" s="13"/>
      <c r="O605" s="13"/>
      <c r="P605" s="47"/>
      <c r="Q605" s="45"/>
      <c r="R605" s="45"/>
      <c r="S605" s="48"/>
      <c r="T605" s="49" t="str">
        <f t="shared" si="52"/>
        <v>[W1220.C]</v>
      </c>
      <c r="U605" s="12" t="str">
        <f t="shared" si="53"/>
        <v/>
      </c>
      <c r="V605" s="49" t="str">
        <f t="shared" si="51"/>
        <v>[W1220.C]</v>
      </c>
    </row>
    <row r="606" spans="1:22" s="49" customFormat="1" ht="14.15" customHeight="1">
      <c r="A606" s="44"/>
      <c r="B606" s="44" t="s">
        <v>6637</v>
      </c>
      <c r="C606" s="50"/>
      <c r="D606" s="10" t="s">
        <v>29</v>
      </c>
      <c r="E606" s="11"/>
      <c r="F606" s="11" t="s">
        <v>18</v>
      </c>
      <c r="G606" s="13"/>
      <c r="H606" s="45" t="s">
        <v>16</v>
      </c>
      <c r="I606" s="47"/>
      <c r="J606" s="12" t="s">
        <v>3028</v>
      </c>
      <c r="K606" s="13" t="s">
        <v>7376</v>
      </c>
      <c r="L606" s="99" t="str">
        <f t="shared" si="50"/>
        <v>W1220.D</v>
      </c>
      <c r="M606" s="13"/>
      <c r="N606" s="13"/>
      <c r="O606" s="13"/>
      <c r="P606" s="47"/>
      <c r="Q606" s="45"/>
      <c r="R606" s="45"/>
      <c r="S606" s="48"/>
      <c r="T606" s="49" t="str">
        <f t="shared" si="52"/>
        <v>[W1220.D]</v>
      </c>
      <c r="U606" s="12" t="str">
        <f t="shared" si="53"/>
        <v/>
      </c>
      <c r="V606" s="49" t="str">
        <f t="shared" si="51"/>
        <v>[W1220.D]</v>
      </c>
    </row>
    <row r="607" spans="1:22" s="49" customFormat="1" ht="14.15" customHeight="1">
      <c r="A607" s="44"/>
      <c r="B607" s="44" t="s">
        <v>6637</v>
      </c>
      <c r="C607" s="50"/>
      <c r="D607" s="10" t="s">
        <v>29</v>
      </c>
      <c r="E607" s="11"/>
      <c r="F607" s="11" t="s">
        <v>18</v>
      </c>
      <c r="G607" s="13"/>
      <c r="H607" s="45" t="s">
        <v>16</v>
      </c>
      <c r="I607" s="47"/>
      <c r="J607" s="12" t="s">
        <v>3029</v>
      </c>
      <c r="K607" s="13" t="s">
        <v>7377</v>
      </c>
      <c r="L607" s="99" t="str">
        <f t="shared" si="50"/>
        <v>W1220.E</v>
      </c>
      <c r="M607" s="13"/>
      <c r="N607" s="13"/>
      <c r="O607" s="13"/>
      <c r="P607" s="47"/>
      <c r="Q607" s="45"/>
      <c r="R607" s="45"/>
      <c r="S607" s="48"/>
      <c r="T607" s="49" t="str">
        <f t="shared" si="52"/>
        <v>[W1220.E]</v>
      </c>
      <c r="U607" s="12" t="str">
        <f t="shared" si="53"/>
        <v/>
      </c>
      <c r="V607" s="49" t="str">
        <f t="shared" si="51"/>
        <v>[W1220.E]</v>
      </c>
    </row>
    <row r="608" spans="1:22" s="49" customFormat="1" ht="14.15" customHeight="1">
      <c r="A608" s="44"/>
      <c r="B608" s="44" t="s">
        <v>6637</v>
      </c>
      <c r="C608" s="50"/>
      <c r="D608" s="10" t="s">
        <v>29</v>
      </c>
      <c r="E608" s="11"/>
      <c r="F608" s="11" t="s">
        <v>18</v>
      </c>
      <c r="G608" s="13"/>
      <c r="H608" s="45" t="s">
        <v>16</v>
      </c>
      <c r="I608" s="47"/>
      <c r="J608" s="12" t="s">
        <v>3030</v>
      </c>
      <c r="K608" s="13" t="s">
        <v>7378</v>
      </c>
      <c r="L608" s="99" t="str">
        <f t="shared" si="50"/>
        <v>W1220.F</v>
      </c>
      <c r="M608" s="13"/>
      <c r="N608" s="13"/>
      <c r="O608" s="13"/>
      <c r="P608" s="47"/>
      <c r="Q608" s="45"/>
      <c r="R608" s="45"/>
      <c r="S608" s="48"/>
      <c r="T608" s="49" t="str">
        <f t="shared" si="52"/>
        <v>[W1220.F]</v>
      </c>
      <c r="U608" s="12" t="str">
        <f t="shared" si="53"/>
        <v/>
      </c>
      <c r="V608" s="49" t="str">
        <f t="shared" si="51"/>
        <v>[W1220.F]</v>
      </c>
    </row>
    <row r="609" spans="1:22" s="49" customFormat="1" ht="14.15" customHeight="1">
      <c r="A609" s="44"/>
      <c r="B609" s="44" t="s">
        <v>6637</v>
      </c>
      <c r="C609" s="50"/>
      <c r="D609" s="10" t="s">
        <v>29</v>
      </c>
      <c r="E609" s="11"/>
      <c r="F609" s="11" t="s">
        <v>18</v>
      </c>
      <c r="G609" s="13"/>
      <c r="H609" s="45" t="s">
        <v>16</v>
      </c>
      <c r="I609" s="47"/>
      <c r="J609" s="12" t="s">
        <v>3031</v>
      </c>
      <c r="K609" s="13" t="s">
        <v>7379</v>
      </c>
      <c r="L609" s="99" t="str">
        <f t="shared" si="50"/>
        <v>W1221.0</v>
      </c>
      <c r="M609" s="13"/>
      <c r="N609" s="13"/>
      <c r="O609" s="13"/>
      <c r="P609" s="47"/>
      <c r="Q609" s="45"/>
      <c r="R609" s="45"/>
      <c r="S609" s="48"/>
      <c r="T609" s="49" t="str">
        <f t="shared" si="52"/>
        <v>[W1221.0]</v>
      </c>
      <c r="U609" s="12" t="str">
        <f t="shared" si="53"/>
        <v/>
      </c>
      <c r="V609" s="49" t="str">
        <f t="shared" si="51"/>
        <v>[W1221.0]</v>
      </c>
    </row>
    <row r="610" spans="1:22" s="49" customFormat="1" ht="14.15" customHeight="1">
      <c r="A610" s="44"/>
      <c r="B610" s="44" t="s">
        <v>6637</v>
      </c>
      <c r="C610" s="50"/>
      <c r="D610" s="10" t="s">
        <v>29</v>
      </c>
      <c r="E610" s="11"/>
      <c r="F610" s="11" t="s">
        <v>18</v>
      </c>
      <c r="G610" s="13"/>
      <c r="H610" s="45" t="s">
        <v>16</v>
      </c>
      <c r="I610" s="47"/>
      <c r="J610" s="12" t="s">
        <v>3032</v>
      </c>
      <c r="K610" s="13" t="s">
        <v>7380</v>
      </c>
      <c r="L610" s="99" t="str">
        <f t="shared" si="50"/>
        <v>W1221.1</v>
      </c>
      <c r="M610" s="13"/>
      <c r="N610" s="13"/>
      <c r="O610" s="13"/>
      <c r="P610" s="47"/>
      <c r="Q610" s="45"/>
      <c r="R610" s="45"/>
      <c r="S610" s="48"/>
      <c r="T610" s="49" t="str">
        <f t="shared" si="52"/>
        <v>[W1221.1]</v>
      </c>
      <c r="U610" s="12" t="str">
        <f t="shared" si="53"/>
        <v/>
      </c>
      <c r="V610" s="49" t="str">
        <f t="shared" si="51"/>
        <v>[W1221.1]</v>
      </c>
    </row>
    <row r="611" spans="1:22" s="49" customFormat="1" ht="14.15" customHeight="1">
      <c r="A611" s="44"/>
      <c r="B611" s="44" t="s">
        <v>6637</v>
      </c>
      <c r="C611" s="50"/>
      <c r="D611" s="10" t="s">
        <v>29</v>
      </c>
      <c r="E611" s="11"/>
      <c r="F611" s="11" t="s">
        <v>18</v>
      </c>
      <c r="G611" s="13"/>
      <c r="H611" s="45" t="s">
        <v>16</v>
      </c>
      <c r="I611" s="47"/>
      <c r="J611" s="12" t="s">
        <v>3033</v>
      </c>
      <c r="K611" s="13" t="s">
        <v>7381</v>
      </c>
      <c r="L611" s="99" t="str">
        <f t="shared" si="50"/>
        <v>W1221.2</v>
      </c>
      <c r="M611" s="13"/>
      <c r="N611" s="13"/>
      <c r="O611" s="13"/>
      <c r="P611" s="47"/>
      <c r="Q611" s="45"/>
      <c r="R611" s="45"/>
      <c r="S611" s="48"/>
      <c r="T611" s="49" t="str">
        <f t="shared" si="52"/>
        <v>[W1221.2]</v>
      </c>
      <c r="U611" s="12" t="str">
        <f t="shared" si="53"/>
        <v/>
      </c>
      <c r="V611" s="49" t="str">
        <f t="shared" si="51"/>
        <v>[W1221.2]</v>
      </c>
    </row>
    <row r="612" spans="1:22" s="49" customFormat="1" ht="14.15" customHeight="1">
      <c r="A612" s="44"/>
      <c r="B612" s="44" t="s">
        <v>6637</v>
      </c>
      <c r="C612" s="50"/>
      <c r="D612" s="10" t="s">
        <v>29</v>
      </c>
      <c r="E612" s="11"/>
      <c r="F612" s="11" t="s">
        <v>18</v>
      </c>
      <c r="G612" s="13"/>
      <c r="H612" s="45" t="s">
        <v>16</v>
      </c>
      <c r="I612" s="47"/>
      <c r="J612" s="12" t="s">
        <v>3034</v>
      </c>
      <c r="K612" s="13" t="s">
        <v>7382</v>
      </c>
      <c r="L612" s="99" t="str">
        <f t="shared" si="50"/>
        <v>W1221.3</v>
      </c>
      <c r="M612" s="13"/>
      <c r="N612" s="13"/>
      <c r="O612" s="13"/>
      <c r="P612" s="47"/>
      <c r="Q612" s="45"/>
      <c r="R612" s="45"/>
      <c r="S612" s="48"/>
      <c r="T612" s="49" t="str">
        <f t="shared" si="52"/>
        <v>[W1221.3]</v>
      </c>
      <c r="U612" s="12" t="str">
        <f t="shared" si="53"/>
        <v/>
      </c>
      <c r="V612" s="49" t="str">
        <f t="shared" si="51"/>
        <v>[W1221.3]</v>
      </c>
    </row>
    <row r="613" spans="1:22" s="49" customFormat="1" ht="14.15" customHeight="1">
      <c r="A613" s="44"/>
      <c r="B613" s="44" t="s">
        <v>6637</v>
      </c>
      <c r="C613" s="50"/>
      <c r="D613" s="10" t="s">
        <v>29</v>
      </c>
      <c r="E613" s="11"/>
      <c r="F613" s="11" t="s">
        <v>18</v>
      </c>
      <c r="G613" s="13"/>
      <c r="H613" s="45" t="s">
        <v>16</v>
      </c>
      <c r="I613" s="47"/>
      <c r="J613" s="12" t="s">
        <v>3035</v>
      </c>
      <c r="K613" s="13" t="s">
        <v>7383</v>
      </c>
      <c r="L613" s="99" t="str">
        <f t="shared" si="50"/>
        <v>W1221.4</v>
      </c>
      <c r="M613" s="13"/>
      <c r="N613" s="13"/>
      <c r="O613" s="13"/>
      <c r="P613" s="47"/>
      <c r="Q613" s="45"/>
      <c r="R613" s="45"/>
      <c r="S613" s="48"/>
      <c r="T613" s="49" t="str">
        <f t="shared" si="52"/>
        <v>[W1221.4]</v>
      </c>
      <c r="U613" s="12" t="str">
        <f t="shared" si="53"/>
        <v/>
      </c>
      <c r="V613" s="49" t="str">
        <f t="shared" si="51"/>
        <v>[W1221.4]</v>
      </c>
    </row>
    <row r="614" spans="1:22" s="49" customFormat="1" ht="14.15" customHeight="1">
      <c r="A614" s="44"/>
      <c r="B614" s="44" t="s">
        <v>6637</v>
      </c>
      <c r="C614" s="50"/>
      <c r="D614" s="10" t="s">
        <v>29</v>
      </c>
      <c r="E614" s="11"/>
      <c r="F614" s="11" t="s">
        <v>18</v>
      </c>
      <c r="G614" s="13"/>
      <c r="H614" s="45" t="s">
        <v>16</v>
      </c>
      <c r="I614" s="47"/>
      <c r="J614" s="12" t="s">
        <v>3036</v>
      </c>
      <c r="K614" s="13" t="s">
        <v>7384</v>
      </c>
      <c r="L614" s="99" t="str">
        <f t="shared" si="50"/>
        <v>W1221.5</v>
      </c>
      <c r="M614" s="13"/>
      <c r="N614" s="13"/>
      <c r="O614" s="13"/>
      <c r="P614" s="47"/>
      <c r="Q614" s="45"/>
      <c r="R614" s="45"/>
      <c r="S614" s="48"/>
      <c r="T614" s="49" t="str">
        <f t="shared" si="52"/>
        <v>[W1221.5]</v>
      </c>
      <c r="U614" s="12" t="str">
        <f t="shared" si="53"/>
        <v/>
      </c>
      <c r="V614" s="49" t="str">
        <f t="shared" si="51"/>
        <v>[W1221.5]</v>
      </c>
    </row>
    <row r="615" spans="1:22" s="49" customFormat="1" ht="14.15" customHeight="1">
      <c r="A615" s="44"/>
      <c r="B615" s="44" t="s">
        <v>6637</v>
      </c>
      <c r="C615" s="50"/>
      <c r="D615" s="10" t="s">
        <v>29</v>
      </c>
      <c r="E615" s="11"/>
      <c r="F615" s="11" t="s">
        <v>18</v>
      </c>
      <c r="G615" s="13"/>
      <c r="H615" s="45" t="s">
        <v>16</v>
      </c>
      <c r="I615" s="47"/>
      <c r="J615" s="12" t="s">
        <v>3037</v>
      </c>
      <c r="K615" s="13" t="s">
        <v>7385</v>
      </c>
      <c r="L615" s="99" t="str">
        <f t="shared" si="50"/>
        <v>W1221.6</v>
      </c>
      <c r="M615" s="13"/>
      <c r="N615" s="13"/>
      <c r="O615" s="13"/>
      <c r="P615" s="47"/>
      <c r="Q615" s="45"/>
      <c r="R615" s="45"/>
      <c r="S615" s="48"/>
      <c r="T615" s="49" t="str">
        <f t="shared" si="52"/>
        <v>[W1221.6]</v>
      </c>
      <c r="U615" s="12" t="str">
        <f t="shared" si="53"/>
        <v/>
      </c>
      <c r="V615" s="49" t="str">
        <f t="shared" si="51"/>
        <v>[W1221.6]</v>
      </c>
    </row>
    <row r="616" spans="1:22" s="49" customFormat="1" ht="14.15" customHeight="1">
      <c r="A616" s="44"/>
      <c r="B616" s="44" t="s">
        <v>6637</v>
      </c>
      <c r="C616" s="50"/>
      <c r="D616" s="10" t="s">
        <v>29</v>
      </c>
      <c r="E616" s="11"/>
      <c r="F616" s="11" t="s">
        <v>18</v>
      </c>
      <c r="G616" s="13"/>
      <c r="H616" s="45" t="s">
        <v>16</v>
      </c>
      <c r="I616" s="47"/>
      <c r="J616" s="12" t="s">
        <v>3038</v>
      </c>
      <c r="K616" s="13" t="s">
        <v>7386</v>
      </c>
      <c r="L616" s="99" t="str">
        <f t="shared" si="50"/>
        <v>W1221.7</v>
      </c>
      <c r="M616" s="13"/>
      <c r="N616" s="13"/>
      <c r="O616" s="13"/>
      <c r="P616" s="47"/>
      <c r="Q616" s="45"/>
      <c r="R616" s="45"/>
      <c r="S616" s="48"/>
      <c r="T616" s="49" t="str">
        <f t="shared" si="52"/>
        <v>[W1221.7]</v>
      </c>
      <c r="U616" s="12" t="str">
        <f t="shared" si="53"/>
        <v/>
      </c>
      <c r="V616" s="49" t="str">
        <f t="shared" si="51"/>
        <v>[W1221.7]</v>
      </c>
    </row>
    <row r="617" spans="1:22" s="49" customFormat="1" ht="14.15" customHeight="1">
      <c r="A617" s="44"/>
      <c r="B617" s="44" t="s">
        <v>6637</v>
      </c>
      <c r="C617" s="50"/>
      <c r="D617" s="10" t="s">
        <v>29</v>
      </c>
      <c r="E617" s="11"/>
      <c r="F617" s="11" t="s">
        <v>18</v>
      </c>
      <c r="G617" s="13"/>
      <c r="H617" s="45" t="s">
        <v>16</v>
      </c>
      <c r="I617" s="47"/>
      <c r="J617" s="12" t="s">
        <v>3039</v>
      </c>
      <c r="K617" s="13" t="s">
        <v>7387</v>
      </c>
      <c r="L617" s="99" t="str">
        <f t="shared" si="50"/>
        <v>W1221.8</v>
      </c>
      <c r="M617" s="13"/>
      <c r="N617" s="13"/>
      <c r="O617" s="13"/>
      <c r="P617" s="47"/>
      <c r="Q617" s="45"/>
      <c r="R617" s="45"/>
      <c r="S617" s="48"/>
      <c r="T617" s="49" t="str">
        <f t="shared" si="52"/>
        <v>[W1221.8]</v>
      </c>
      <c r="U617" s="12" t="str">
        <f t="shared" si="53"/>
        <v/>
      </c>
      <c r="V617" s="49" t="str">
        <f t="shared" si="51"/>
        <v>[W1221.8]</v>
      </c>
    </row>
    <row r="618" spans="1:22" s="49" customFormat="1" ht="14.15" customHeight="1">
      <c r="A618" s="44"/>
      <c r="B618" s="44" t="s">
        <v>6637</v>
      </c>
      <c r="C618" s="50"/>
      <c r="D618" s="10" t="s">
        <v>29</v>
      </c>
      <c r="E618" s="11"/>
      <c r="F618" s="11" t="s">
        <v>18</v>
      </c>
      <c r="G618" s="13"/>
      <c r="H618" s="45" t="s">
        <v>16</v>
      </c>
      <c r="I618" s="47"/>
      <c r="J618" s="12" t="s">
        <v>3040</v>
      </c>
      <c r="K618" s="13" t="s">
        <v>7388</v>
      </c>
      <c r="L618" s="99" t="str">
        <f t="shared" si="50"/>
        <v>W1221.9</v>
      </c>
      <c r="M618" s="13"/>
      <c r="N618" s="13"/>
      <c r="O618" s="13"/>
      <c r="P618" s="47"/>
      <c r="Q618" s="45"/>
      <c r="R618" s="45"/>
      <c r="S618" s="48"/>
      <c r="T618" s="49" t="str">
        <f t="shared" si="52"/>
        <v>[W1221.9]</v>
      </c>
      <c r="U618" s="12" t="str">
        <f t="shared" si="53"/>
        <v/>
      </c>
      <c r="V618" s="49" t="str">
        <f t="shared" si="51"/>
        <v>[W1221.9]</v>
      </c>
    </row>
    <row r="619" spans="1:22" s="49" customFormat="1" ht="14.15" customHeight="1">
      <c r="A619" s="44"/>
      <c r="B619" s="44" t="s">
        <v>6637</v>
      </c>
      <c r="C619" s="50"/>
      <c r="D619" s="10" t="s">
        <v>29</v>
      </c>
      <c r="E619" s="11"/>
      <c r="F619" s="11" t="s">
        <v>18</v>
      </c>
      <c r="G619" s="13"/>
      <c r="H619" s="45" t="s">
        <v>16</v>
      </c>
      <c r="I619" s="47"/>
      <c r="J619" s="12" t="s">
        <v>3041</v>
      </c>
      <c r="K619" s="13" t="s">
        <v>7389</v>
      </c>
      <c r="L619" s="99" t="str">
        <f t="shared" si="50"/>
        <v>W1221.A</v>
      </c>
      <c r="M619" s="13"/>
      <c r="N619" s="13"/>
      <c r="O619" s="13"/>
      <c r="P619" s="47"/>
      <c r="Q619" s="45"/>
      <c r="R619" s="45"/>
      <c r="S619" s="48"/>
      <c r="T619" s="49" t="str">
        <f t="shared" si="52"/>
        <v>[W1221.A]</v>
      </c>
      <c r="U619" s="12" t="str">
        <f t="shared" si="53"/>
        <v/>
      </c>
      <c r="V619" s="49" t="str">
        <f t="shared" si="51"/>
        <v>[W1221.A]</v>
      </c>
    </row>
    <row r="620" spans="1:22" s="49" customFormat="1" ht="14.15" customHeight="1">
      <c r="A620" s="44"/>
      <c r="B620" s="44" t="s">
        <v>6637</v>
      </c>
      <c r="C620" s="50"/>
      <c r="D620" s="10" t="s">
        <v>29</v>
      </c>
      <c r="E620" s="11"/>
      <c r="F620" s="11" t="s">
        <v>18</v>
      </c>
      <c r="G620" s="13"/>
      <c r="H620" s="45" t="s">
        <v>16</v>
      </c>
      <c r="I620" s="47"/>
      <c r="J620" s="12" t="s">
        <v>3042</v>
      </c>
      <c r="K620" s="13" t="s">
        <v>7390</v>
      </c>
      <c r="L620" s="99" t="str">
        <f t="shared" si="50"/>
        <v>W1221.B</v>
      </c>
      <c r="M620" s="13"/>
      <c r="N620" s="13"/>
      <c r="O620" s="13"/>
      <c r="P620" s="47"/>
      <c r="Q620" s="45"/>
      <c r="R620" s="45"/>
      <c r="S620" s="48"/>
      <c r="T620" s="49" t="str">
        <f t="shared" si="52"/>
        <v>[W1221.B]</v>
      </c>
      <c r="U620" s="12" t="str">
        <f t="shared" si="53"/>
        <v/>
      </c>
      <c r="V620" s="49" t="str">
        <f t="shared" si="51"/>
        <v>[W1221.B]</v>
      </c>
    </row>
    <row r="621" spans="1:22" s="49" customFormat="1" ht="14.15" customHeight="1">
      <c r="A621" s="44"/>
      <c r="B621" s="44" t="s">
        <v>6637</v>
      </c>
      <c r="C621" s="50"/>
      <c r="D621" s="10" t="s">
        <v>29</v>
      </c>
      <c r="E621" s="11"/>
      <c r="F621" s="11" t="s">
        <v>18</v>
      </c>
      <c r="G621" s="13"/>
      <c r="H621" s="45" t="s">
        <v>16</v>
      </c>
      <c r="I621" s="47"/>
      <c r="J621" s="12" t="s">
        <v>3043</v>
      </c>
      <c r="K621" s="13" t="s">
        <v>7391</v>
      </c>
      <c r="L621" s="99" t="str">
        <f t="shared" si="50"/>
        <v>W1221.C</v>
      </c>
      <c r="M621" s="13"/>
      <c r="N621" s="13"/>
      <c r="O621" s="13"/>
      <c r="P621" s="47"/>
      <c r="Q621" s="45"/>
      <c r="R621" s="45"/>
      <c r="S621" s="48"/>
      <c r="T621" s="49" t="str">
        <f t="shared" si="52"/>
        <v>[W1221.C]</v>
      </c>
      <c r="U621" s="12" t="str">
        <f t="shared" si="53"/>
        <v/>
      </c>
      <c r="V621" s="49" t="str">
        <f t="shared" si="51"/>
        <v>[W1221.C]</v>
      </c>
    </row>
    <row r="622" spans="1:22" s="49" customFormat="1" ht="14.15" customHeight="1">
      <c r="A622" s="44"/>
      <c r="B622" s="44" t="s">
        <v>6637</v>
      </c>
      <c r="C622" s="50"/>
      <c r="D622" s="10" t="s">
        <v>29</v>
      </c>
      <c r="E622" s="11"/>
      <c r="F622" s="11" t="s">
        <v>18</v>
      </c>
      <c r="G622" s="13"/>
      <c r="H622" s="45" t="s">
        <v>16</v>
      </c>
      <c r="I622" s="47"/>
      <c r="J622" s="12" t="s">
        <v>3044</v>
      </c>
      <c r="K622" s="13" t="s">
        <v>7392</v>
      </c>
      <c r="L622" s="99" t="str">
        <f t="shared" si="50"/>
        <v>W1221.D</v>
      </c>
      <c r="M622" s="13"/>
      <c r="N622" s="13"/>
      <c r="O622" s="13"/>
      <c r="P622" s="47"/>
      <c r="Q622" s="45"/>
      <c r="R622" s="45"/>
      <c r="S622" s="48"/>
      <c r="T622" s="49" t="str">
        <f t="shared" si="52"/>
        <v>[W1221.D]</v>
      </c>
      <c r="U622" s="12" t="str">
        <f t="shared" si="53"/>
        <v/>
      </c>
      <c r="V622" s="49" t="str">
        <f t="shared" si="51"/>
        <v>[W1221.D]</v>
      </c>
    </row>
    <row r="623" spans="1:22" s="49" customFormat="1" ht="14.15" customHeight="1">
      <c r="A623" s="44"/>
      <c r="B623" s="44" t="s">
        <v>6637</v>
      </c>
      <c r="C623" s="50"/>
      <c r="D623" s="10" t="s">
        <v>29</v>
      </c>
      <c r="E623" s="11"/>
      <c r="F623" s="11" t="s">
        <v>18</v>
      </c>
      <c r="G623" s="13"/>
      <c r="H623" s="45" t="s">
        <v>16</v>
      </c>
      <c r="I623" s="47"/>
      <c r="J623" s="12" t="s">
        <v>3045</v>
      </c>
      <c r="K623" s="13" t="s">
        <v>7393</v>
      </c>
      <c r="L623" s="99" t="str">
        <f t="shared" si="50"/>
        <v>W1221.E</v>
      </c>
      <c r="M623" s="13"/>
      <c r="N623" s="13"/>
      <c r="O623" s="13"/>
      <c r="P623" s="47"/>
      <c r="Q623" s="45"/>
      <c r="R623" s="45"/>
      <c r="S623" s="48"/>
      <c r="T623" s="49" t="str">
        <f t="shared" si="52"/>
        <v>[W1221.E]</v>
      </c>
      <c r="U623" s="12" t="str">
        <f t="shared" si="53"/>
        <v/>
      </c>
      <c r="V623" s="49" t="str">
        <f t="shared" si="51"/>
        <v>[W1221.E]</v>
      </c>
    </row>
    <row r="624" spans="1:22" s="49" customFormat="1" ht="14.15" customHeight="1">
      <c r="A624" s="44"/>
      <c r="B624" s="44" t="s">
        <v>6637</v>
      </c>
      <c r="C624" s="50"/>
      <c r="D624" s="10" t="s">
        <v>29</v>
      </c>
      <c r="E624" s="11"/>
      <c r="F624" s="11" t="s">
        <v>18</v>
      </c>
      <c r="G624" s="13"/>
      <c r="H624" s="45" t="s">
        <v>16</v>
      </c>
      <c r="I624" s="47"/>
      <c r="J624" s="12" t="s">
        <v>3046</v>
      </c>
      <c r="K624" s="13" t="s">
        <v>7394</v>
      </c>
      <c r="L624" s="99" t="str">
        <f t="shared" si="50"/>
        <v>W1221.F</v>
      </c>
      <c r="M624" s="13"/>
      <c r="N624" s="13"/>
      <c r="O624" s="13"/>
      <c r="P624" s="47"/>
      <c r="Q624" s="45"/>
      <c r="R624" s="45"/>
      <c r="S624" s="48"/>
      <c r="T624" s="49" t="str">
        <f t="shared" si="52"/>
        <v>[W1221.F]</v>
      </c>
      <c r="U624" s="12" t="str">
        <f t="shared" si="53"/>
        <v/>
      </c>
      <c r="V624" s="49" t="str">
        <f t="shared" si="51"/>
        <v>[W1221.F]</v>
      </c>
    </row>
    <row r="625" spans="1:22" s="49" customFormat="1" ht="14.15" customHeight="1">
      <c r="A625" s="44"/>
      <c r="B625" s="44" t="s">
        <v>6637</v>
      </c>
      <c r="C625" s="50"/>
      <c r="D625" s="10" t="s">
        <v>29</v>
      </c>
      <c r="E625" s="11"/>
      <c r="F625" s="11" t="s">
        <v>18</v>
      </c>
      <c r="G625" s="13"/>
      <c r="H625" s="45" t="s">
        <v>16</v>
      </c>
      <c r="I625" s="46"/>
      <c r="J625" s="12" t="s">
        <v>3047</v>
      </c>
      <c r="K625" s="13" t="s">
        <v>7395</v>
      </c>
      <c r="L625" s="99" t="str">
        <f t="shared" si="50"/>
        <v>W1222.0</v>
      </c>
      <c r="M625" s="13"/>
      <c r="N625" s="13"/>
      <c r="O625" s="13"/>
      <c r="P625" s="47"/>
      <c r="Q625" s="45"/>
      <c r="R625" s="45"/>
      <c r="S625" s="48"/>
      <c r="T625" s="49" t="str">
        <f t="shared" si="52"/>
        <v>[W1222.0]</v>
      </c>
      <c r="U625" s="12" t="str">
        <f t="shared" si="53"/>
        <v/>
      </c>
      <c r="V625" s="49" t="str">
        <f t="shared" si="51"/>
        <v>[W1222.0]</v>
      </c>
    </row>
    <row r="626" spans="1:22" s="49" customFormat="1" ht="14.15" customHeight="1">
      <c r="A626" s="44"/>
      <c r="B626" s="44" t="s">
        <v>6637</v>
      </c>
      <c r="C626" s="50"/>
      <c r="D626" s="10" t="s">
        <v>29</v>
      </c>
      <c r="E626" s="11"/>
      <c r="F626" s="11" t="s">
        <v>18</v>
      </c>
      <c r="G626" s="13"/>
      <c r="H626" s="45" t="s">
        <v>16</v>
      </c>
      <c r="I626" s="47"/>
      <c r="J626" s="12" t="s">
        <v>3048</v>
      </c>
      <c r="K626" s="13" t="s">
        <v>7396</v>
      </c>
      <c r="L626" s="99" t="str">
        <f t="shared" si="50"/>
        <v>W1222.1</v>
      </c>
      <c r="M626" s="13"/>
      <c r="N626" s="13"/>
      <c r="O626" s="13"/>
      <c r="P626" s="47"/>
      <c r="Q626" s="45"/>
      <c r="R626" s="45"/>
      <c r="S626" s="48"/>
      <c r="T626" s="49" t="str">
        <f t="shared" si="52"/>
        <v>[W1222.1]</v>
      </c>
      <c r="U626" s="12" t="str">
        <f t="shared" si="53"/>
        <v/>
      </c>
      <c r="V626" s="49" t="str">
        <f t="shared" si="51"/>
        <v>[W1222.1]</v>
      </c>
    </row>
    <row r="627" spans="1:22" s="49" customFormat="1" ht="14.15" customHeight="1">
      <c r="A627" s="44"/>
      <c r="B627" s="44" t="s">
        <v>6637</v>
      </c>
      <c r="C627" s="50"/>
      <c r="D627" s="10" t="s">
        <v>29</v>
      </c>
      <c r="E627" s="11"/>
      <c r="F627" s="11" t="s">
        <v>18</v>
      </c>
      <c r="G627" s="13"/>
      <c r="H627" s="45" t="s">
        <v>16</v>
      </c>
      <c r="I627" s="46"/>
      <c r="J627" s="12" t="s">
        <v>3049</v>
      </c>
      <c r="K627" s="13" t="s">
        <v>7397</v>
      </c>
      <c r="L627" s="99" t="str">
        <f t="shared" si="50"/>
        <v>W1222.2</v>
      </c>
      <c r="M627" s="13"/>
      <c r="N627" s="13"/>
      <c r="O627" s="13"/>
      <c r="P627" s="47"/>
      <c r="Q627" s="45"/>
      <c r="R627" s="45"/>
      <c r="S627" s="48"/>
      <c r="T627" s="49" t="str">
        <f t="shared" si="52"/>
        <v>[W1222.2]</v>
      </c>
      <c r="U627" s="12" t="str">
        <f t="shared" si="53"/>
        <v/>
      </c>
      <c r="V627" s="49" t="str">
        <f t="shared" si="51"/>
        <v>[W1222.2]</v>
      </c>
    </row>
    <row r="628" spans="1:22" s="49" customFormat="1" ht="14.15" customHeight="1">
      <c r="A628" s="44"/>
      <c r="B628" s="44" t="s">
        <v>6637</v>
      </c>
      <c r="C628" s="50"/>
      <c r="D628" s="10" t="s">
        <v>29</v>
      </c>
      <c r="E628" s="11"/>
      <c r="F628" s="11" t="s">
        <v>18</v>
      </c>
      <c r="G628" s="13"/>
      <c r="H628" s="45" t="s">
        <v>16</v>
      </c>
      <c r="I628" s="46"/>
      <c r="J628" s="12" t="s">
        <v>3050</v>
      </c>
      <c r="K628" s="13" t="s">
        <v>7398</v>
      </c>
      <c r="L628" s="99" t="str">
        <f t="shared" si="50"/>
        <v>W1222.3</v>
      </c>
      <c r="M628" s="13"/>
      <c r="N628" s="13"/>
      <c r="O628" s="13"/>
      <c r="P628" s="47"/>
      <c r="Q628" s="45"/>
      <c r="R628" s="45"/>
      <c r="S628" s="48"/>
      <c r="T628" s="49" t="str">
        <f t="shared" si="52"/>
        <v>[W1222.3]</v>
      </c>
      <c r="U628" s="12" t="str">
        <f t="shared" si="53"/>
        <v/>
      </c>
      <c r="V628" s="49" t="str">
        <f t="shared" si="51"/>
        <v>[W1222.3]</v>
      </c>
    </row>
    <row r="629" spans="1:22" s="49" customFormat="1" ht="14.15" customHeight="1">
      <c r="A629" s="44"/>
      <c r="B629" s="44" t="s">
        <v>6637</v>
      </c>
      <c r="C629" s="50"/>
      <c r="D629" s="10" t="s">
        <v>29</v>
      </c>
      <c r="E629" s="11"/>
      <c r="F629" s="11" t="s">
        <v>18</v>
      </c>
      <c r="G629" s="13"/>
      <c r="H629" s="45" t="s">
        <v>16</v>
      </c>
      <c r="I629" s="46"/>
      <c r="J629" s="12" t="s">
        <v>3051</v>
      </c>
      <c r="K629" s="13" t="s">
        <v>7399</v>
      </c>
      <c r="L629" s="99" t="str">
        <f t="shared" si="50"/>
        <v>W1222.4</v>
      </c>
      <c r="M629" s="13"/>
      <c r="N629" s="13"/>
      <c r="O629" s="13"/>
      <c r="P629" s="47"/>
      <c r="Q629" s="45"/>
      <c r="R629" s="45"/>
      <c r="S629" s="48"/>
      <c r="T629" s="49" t="str">
        <f t="shared" si="52"/>
        <v>[W1222.4]</v>
      </c>
      <c r="U629" s="12" t="str">
        <f t="shared" si="53"/>
        <v/>
      </c>
      <c r="V629" s="49" t="str">
        <f t="shared" si="51"/>
        <v>[W1222.4]</v>
      </c>
    </row>
    <row r="630" spans="1:22" s="49" customFormat="1" ht="14.15" customHeight="1">
      <c r="A630" s="44"/>
      <c r="B630" s="44" t="s">
        <v>6637</v>
      </c>
      <c r="C630" s="50"/>
      <c r="D630" s="10" t="s">
        <v>29</v>
      </c>
      <c r="E630" s="11"/>
      <c r="F630" s="11" t="s">
        <v>18</v>
      </c>
      <c r="G630" s="13"/>
      <c r="H630" s="45" t="s">
        <v>16</v>
      </c>
      <c r="I630" s="46"/>
      <c r="J630" s="12" t="s">
        <v>3052</v>
      </c>
      <c r="K630" s="13" t="s">
        <v>7400</v>
      </c>
      <c r="L630" s="99" t="str">
        <f t="shared" si="50"/>
        <v>W1222.5</v>
      </c>
      <c r="M630" s="13"/>
      <c r="N630" s="13"/>
      <c r="O630" s="13"/>
      <c r="P630" s="47"/>
      <c r="Q630" s="45"/>
      <c r="R630" s="45"/>
      <c r="S630" s="48"/>
      <c r="T630" s="49" t="str">
        <f t="shared" si="52"/>
        <v>[W1222.5]</v>
      </c>
      <c r="U630" s="12" t="str">
        <f t="shared" si="53"/>
        <v/>
      </c>
      <c r="V630" s="49" t="str">
        <f t="shared" si="51"/>
        <v>[W1222.5]</v>
      </c>
    </row>
    <row r="631" spans="1:22" s="49" customFormat="1" ht="14.15" customHeight="1">
      <c r="A631" s="44"/>
      <c r="B631" s="44" t="s">
        <v>6637</v>
      </c>
      <c r="C631" s="50"/>
      <c r="D631" s="10" t="s">
        <v>29</v>
      </c>
      <c r="E631" s="11"/>
      <c r="F631" s="11" t="s">
        <v>18</v>
      </c>
      <c r="G631" s="13"/>
      <c r="H631" s="45" t="s">
        <v>16</v>
      </c>
      <c r="I631" s="46"/>
      <c r="J631" s="12" t="s">
        <v>3053</v>
      </c>
      <c r="K631" s="13" t="s">
        <v>7401</v>
      </c>
      <c r="L631" s="99" t="str">
        <f t="shared" si="50"/>
        <v>W1222.6</v>
      </c>
      <c r="M631" s="13"/>
      <c r="N631" s="13"/>
      <c r="O631" s="13"/>
      <c r="P631" s="47"/>
      <c r="Q631" s="45"/>
      <c r="R631" s="45"/>
      <c r="S631" s="48"/>
      <c r="T631" s="49" t="str">
        <f t="shared" si="52"/>
        <v>[W1222.6]</v>
      </c>
      <c r="U631" s="12" t="str">
        <f t="shared" si="53"/>
        <v/>
      </c>
      <c r="V631" s="49" t="str">
        <f t="shared" si="51"/>
        <v>[W1222.6]</v>
      </c>
    </row>
    <row r="632" spans="1:22" s="49" customFormat="1" ht="14.15" customHeight="1">
      <c r="A632" s="44"/>
      <c r="B632" s="44" t="s">
        <v>6637</v>
      </c>
      <c r="C632" s="50"/>
      <c r="D632" s="10" t="s">
        <v>29</v>
      </c>
      <c r="E632" s="11"/>
      <c r="F632" s="11" t="s">
        <v>18</v>
      </c>
      <c r="G632" s="13"/>
      <c r="H632" s="45" t="s">
        <v>16</v>
      </c>
      <c r="I632" s="46"/>
      <c r="J632" s="12" t="s">
        <v>3054</v>
      </c>
      <c r="K632" s="13" t="s">
        <v>7402</v>
      </c>
      <c r="L632" s="99" t="str">
        <f t="shared" si="50"/>
        <v>W1222.7</v>
      </c>
      <c r="M632" s="13"/>
      <c r="N632" s="13"/>
      <c r="O632" s="13"/>
      <c r="P632" s="47"/>
      <c r="Q632" s="45"/>
      <c r="R632" s="45"/>
      <c r="S632" s="48"/>
      <c r="T632" s="49" t="str">
        <f t="shared" si="52"/>
        <v>[W1222.7]</v>
      </c>
      <c r="U632" s="12" t="str">
        <f t="shared" si="53"/>
        <v/>
      </c>
      <c r="V632" s="49" t="str">
        <f t="shared" si="51"/>
        <v>[W1222.7]</v>
      </c>
    </row>
    <row r="633" spans="1:22" s="49" customFormat="1" ht="14.15" customHeight="1">
      <c r="A633" s="44"/>
      <c r="B633" s="44" t="s">
        <v>6637</v>
      </c>
      <c r="C633" s="50"/>
      <c r="D633" s="10" t="s">
        <v>29</v>
      </c>
      <c r="E633" s="11"/>
      <c r="F633" s="11" t="s">
        <v>18</v>
      </c>
      <c r="G633" s="13"/>
      <c r="H633" s="45" t="s">
        <v>16</v>
      </c>
      <c r="I633" s="46"/>
      <c r="J633" s="12" t="s">
        <v>3055</v>
      </c>
      <c r="K633" s="13" t="s">
        <v>7403</v>
      </c>
      <c r="L633" s="99" t="str">
        <f t="shared" si="50"/>
        <v>W1222.8</v>
      </c>
      <c r="M633" s="13"/>
      <c r="N633" s="13"/>
      <c r="O633" s="13"/>
      <c r="P633" s="47"/>
      <c r="Q633" s="45"/>
      <c r="R633" s="45"/>
      <c r="S633" s="48"/>
      <c r="T633" s="49" t="str">
        <f t="shared" si="52"/>
        <v>[W1222.8]</v>
      </c>
      <c r="U633" s="12" t="str">
        <f t="shared" si="53"/>
        <v/>
      </c>
      <c r="V633" s="49" t="str">
        <f t="shared" si="51"/>
        <v>[W1222.8]</v>
      </c>
    </row>
    <row r="634" spans="1:22" s="49" customFormat="1" ht="14.15" customHeight="1">
      <c r="A634" s="44"/>
      <c r="B634" s="44" t="s">
        <v>6637</v>
      </c>
      <c r="C634" s="50"/>
      <c r="D634" s="10" t="s">
        <v>29</v>
      </c>
      <c r="E634" s="11"/>
      <c r="F634" s="11" t="s">
        <v>18</v>
      </c>
      <c r="G634" s="13"/>
      <c r="H634" s="45" t="s">
        <v>16</v>
      </c>
      <c r="I634" s="46"/>
      <c r="J634" s="12" t="s">
        <v>3056</v>
      </c>
      <c r="K634" s="13" t="s">
        <v>7404</v>
      </c>
      <c r="L634" s="99" t="str">
        <f t="shared" si="50"/>
        <v>W1222.9</v>
      </c>
      <c r="M634" s="13"/>
      <c r="N634" s="13"/>
      <c r="O634" s="13"/>
      <c r="P634" s="47"/>
      <c r="Q634" s="45"/>
      <c r="R634" s="45"/>
      <c r="S634" s="48"/>
      <c r="T634" s="49" t="str">
        <f t="shared" ref="T634:T668" si="54">"["&amp;L634&amp;"]"</f>
        <v>[W1222.9]</v>
      </c>
      <c r="U634" s="12" t="str">
        <f t="shared" ref="U634:U668" si="55">RIGHT(J634,LEN(J634)-7)</f>
        <v/>
      </c>
      <c r="V634" s="49" t="str">
        <f t="shared" si="51"/>
        <v>[W1222.9]</v>
      </c>
    </row>
    <row r="635" spans="1:22" s="49" customFormat="1" ht="14.15" customHeight="1">
      <c r="A635" s="44"/>
      <c r="B635" s="44" t="s">
        <v>6637</v>
      </c>
      <c r="C635" s="50"/>
      <c r="D635" s="10" t="s">
        <v>29</v>
      </c>
      <c r="E635" s="11"/>
      <c r="F635" s="11" t="s">
        <v>18</v>
      </c>
      <c r="G635" s="13"/>
      <c r="H635" s="45" t="s">
        <v>16</v>
      </c>
      <c r="I635" s="46"/>
      <c r="J635" s="12" t="s">
        <v>3057</v>
      </c>
      <c r="K635" s="13" t="s">
        <v>7405</v>
      </c>
      <c r="L635" s="99" t="str">
        <f t="shared" si="50"/>
        <v>W1222.A</v>
      </c>
      <c r="M635" s="13"/>
      <c r="N635" s="13"/>
      <c r="O635" s="13"/>
      <c r="P635" s="47"/>
      <c r="Q635" s="45"/>
      <c r="R635" s="45"/>
      <c r="S635" s="48"/>
      <c r="T635" s="49" t="str">
        <f t="shared" si="54"/>
        <v>[W1222.A]</v>
      </c>
      <c r="U635" s="12" t="str">
        <f t="shared" si="55"/>
        <v/>
      </c>
      <c r="V635" s="49" t="str">
        <f t="shared" si="51"/>
        <v>[W1222.A]</v>
      </c>
    </row>
    <row r="636" spans="1:22" s="49" customFormat="1" ht="14.15" customHeight="1">
      <c r="A636" s="44"/>
      <c r="B636" s="44" t="s">
        <v>6637</v>
      </c>
      <c r="C636" s="50"/>
      <c r="D636" s="10" t="s">
        <v>29</v>
      </c>
      <c r="E636" s="11"/>
      <c r="F636" s="11" t="s">
        <v>18</v>
      </c>
      <c r="G636" s="13"/>
      <c r="H636" s="45" t="s">
        <v>16</v>
      </c>
      <c r="I636" s="46"/>
      <c r="J636" s="12" t="s">
        <v>3058</v>
      </c>
      <c r="K636" s="13" t="s">
        <v>7406</v>
      </c>
      <c r="L636" s="99" t="str">
        <f t="shared" si="50"/>
        <v>W1222.B</v>
      </c>
      <c r="M636" s="13"/>
      <c r="N636" s="13"/>
      <c r="O636" s="13"/>
      <c r="P636" s="47"/>
      <c r="Q636" s="45"/>
      <c r="R636" s="45"/>
      <c r="S636" s="48"/>
      <c r="T636" s="49" t="str">
        <f t="shared" si="54"/>
        <v>[W1222.B]</v>
      </c>
      <c r="U636" s="12" t="str">
        <f t="shared" si="55"/>
        <v/>
      </c>
      <c r="V636" s="49" t="str">
        <f t="shared" si="51"/>
        <v>[W1222.B]</v>
      </c>
    </row>
    <row r="637" spans="1:22" s="49" customFormat="1" ht="14.15" customHeight="1">
      <c r="A637" s="44"/>
      <c r="B637" s="44" t="s">
        <v>6637</v>
      </c>
      <c r="C637" s="50"/>
      <c r="D637" s="10" t="s">
        <v>29</v>
      </c>
      <c r="E637" s="11"/>
      <c r="F637" s="11" t="s">
        <v>18</v>
      </c>
      <c r="G637" s="13"/>
      <c r="H637" s="45" t="s">
        <v>16</v>
      </c>
      <c r="I637" s="46"/>
      <c r="J637" s="12" t="s">
        <v>3059</v>
      </c>
      <c r="K637" s="13" t="s">
        <v>7407</v>
      </c>
      <c r="L637" s="99" t="str">
        <f t="shared" si="50"/>
        <v>W1222.C</v>
      </c>
      <c r="M637" s="13"/>
      <c r="N637" s="13"/>
      <c r="O637" s="13"/>
      <c r="P637" s="47"/>
      <c r="Q637" s="45"/>
      <c r="R637" s="45"/>
      <c r="S637" s="48"/>
      <c r="T637" s="49" t="str">
        <f t="shared" si="54"/>
        <v>[W1222.C]</v>
      </c>
      <c r="U637" s="12" t="str">
        <f t="shared" si="55"/>
        <v/>
      </c>
      <c r="V637" s="49" t="str">
        <f t="shared" si="51"/>
        <v>[W1222.C]</v>
      </c>
    </row>
    <row r="638" spans="1:22" s="49" customFormat="1" ht="14.15" customHeight="1">
      <c r="A638" s="44"/>
      <c r="B638" s="44" t="s">
        <v>6637</v>
      </c>
      <c r="C638" s="50"/>
      <c r="D638" s="10" t="s">
        <v>29</v>
      </c>
      <c r="E638" s="11"/>
      <c r="F638" s="11" t="s">
        <v>18</v>
      </c>
      <c r="G638" s="13"/>
      <c r="H638" s="45" t="s">
        <v>16</v>
      </c>
      <c r="I638" s="46"/>
      <c r="J638" s="12" t="s">
        <v>3060</v>
      </c>
      <c r="K638" s="13" t="s">
        <v>7408</v>
      </c>
      <c r="L638" s="99" t="str">
        <f t="shared" si="50"/>
        <v>W1222.D</v>
      </c>
      <c r="M638" s="13"/>
      <c r="N638" s="13"/>
      <c r="O638" s="13"/>
      <c r="P638" s="47"/>
      <c r="Q638" s="45"/>
      <c r="R638" s="45"/>
      <c r="S638" s="48"/>
      <c r="T638" s="49" t="str">
        <f t="shared" si="54"/>
        <v>[W1222.D]</v>
      </c>
      <c r="U638" s="12" t="str">
        <f t="shared" si="55"/>
        <v/>
      </c>
      <c r="V638" s="49" t="str">
        <f t="shared" si="51"/>
        <v>[W1222.D]</v>
      </c>
    </row>
    <row r="639" spans="1:22" s="49" customFormat="1" ht="14.15" customHeight="1">
      <c r="A639" s="44"/>
      <c r="B639" s="44" t="s">
        <v>6637</v>
      </c>
      <c r="C639" s="50"/>
      <c r="D639" s="10" t="s">
        <v>29</v>
      </c>
      <c r="E639" s="11"/>
      <c r="F639" s="11" t="s">
        <v>18</v>
      </c>
      <c r="G639" s="13"/>
      <c r="H639" s="45" t="s">
        <v>16</v>
      </c>
      <c r="I639" s="46"/>
      <c r="J639" s="12" t="s">
        <v>3061</v>
      </c>
      <c r="K639" s="13" t="s">
        <v>7409</v>
      </c>
      <c r="L639" s="99" t="str">
        <f t="shared" si="50"/>
        <v>W1222.E</v>
      </c>
      <c r="M639" s="13"/>
      <c r="N639" s="13"/>
      <c r="O639" s="13"/>
      <c r="P639" s="47"/>
      <c r="Q639" s="45"/>
      <c r="R639" s="45"/>
      <c r="S639" s="48"/>
      <c r="T639" s="49" t="str">
        <f t="shared" si="54"/>
        <v>[W1222.E]</v>
      </c>
      <c r="U639" s="12" t="str">
        <f t="shared" si="55"/>
        <v/>
      </c>
      <c r="V639" s="49" t="str">
        <f t="shared" si="51"/>
        <v>[W1222.E]</v>
      </c>
    </row>
    <row r="640" spans="1:22" s="49" customFormat="1" ht="14.15" customHeight="1">
      <c r="A640" s="44"/>
      <c r="B640" s="44" t="s">
        <v>6637</v>
      </c>
      <c r="C640" s="50"/>
      <c r="D640" s="10" t="s">
        <v>29</v>
      </c>
      <c r="E640" s="11"/>
      <c r="F640" s="11" t="s">
        <v>18</v>
      </c>
      <c r="G640" s="13"/>
      <c r="H640" s="45" t="s">
        <v>16</v>
      </c>
      <c r="I640" s="46"/>
      <c r="J640" s="12" t="s">
        <v>3062</v>
      </c>
      <c r="K640" s="13" t="s">
        <v>7410</v>
      </c>
      <c r="L640" s="99" t="str">
        <f t="shared" si="50"/>
        <v>W1222.F</v>
      </c>
      <c r="M640" s="13"/>
      <c r="N640" s="13"/>
      <c r="O640" s="13"/>
      <c r="P640" s="47"/>
      <c r="Q640" s="45"/>
      <c r="R640" s="45"/>
      <c r="S640" s="48"/>
      <c r="T640" s="49" t="str">
        <f t="shared" si="54"/>
        <v>[W1222.F]</v>
      </c>
      <c r="U640" s="12" t="str">
        <f t="shared" si="55"/>
        <v/>
      </c>
      <c r="V640" s="49" t="str">
        <f t="shared" si="51"/>
        <v>[W1222.F]</v>
      </c>
    </row>
    <row r="641" spans="1:22" s="49" customFormat="1" ht="14.15" customHeight="1">
      <c r="A641" s="44"/>
      <c r="B641" s="44" t="s">
        <v>6637</v>
      </c>
      <c r="C641" s="50"/>
      <c r="D641" s="10" t="s">
        <v>29</v>
      </c>
      <c r="E641" s="11"/>
      <c r="F641" s="11" t="s">
        <v>18</v>
      </c>
      <c r="G641" s="13"/>
      <c r="H641" s="45" t="s">
        <v>16</v>
      </c>
      <c r="I641" s="46"/>
      <c r="J641" s="12" t="s">
        <v>3063</v>
      </c>
      <c r="K641" s="13" t="s">
        <v>7411</v>
      </c>
      <c r="L641" s="99" t="str">
        <f t="shared" si="50"/>
        <v>W1223.0</v>
      </c>
      <c r="M641" s="13"/>
      <c r="N641" s="13"/>
      <c r="O641" s="13"/>
      <c r="P641" s="47"/>
      <c r="Q641" s="45"/>
      <c r="R641" s="45"/>
      <c r="S641" s="48"/>
      <c r="T641" s="49" t="str">
        <f t="shared" si="54"/>
        <v>[W1223.0]</v>
      </c>
      <c r="U641" s="12" t="str">
        <f t="shared" si="55"/>
        <v/>
      </c>
      <c r="V641" s="49" t="str">
        <f t="shared" si="51"/>
        <v>[W1223.0]</v>
      </c>
    </row>
    <row r="642" spans="1:22" s="49" customFormat="1" ht="14.15" customHeight="1">
      <c r="A642" s="44"/>
      <c r="B642" s="44" t="s">
        <v>6637</v>
      </c>
      <c r="C642" s="50"/>
      <c r="D642" s="10" t="s">
        <v>29</v>
      </c>
      <c r="E642" s="11"/>
      <c r="F642" s="11" t="s">
        <v>18</v>
      </c>
      <c r="G642" s="13"/>
      <c r="H642" s="45" t="s">
        <v>16</v>
      </c>
      <c r="I642" s="46"/>
      <c r="J642" s="12" t="s">
        <v>3064</v>
      </c>
      <c r="K642" s="13" t="s">
        <v>7412</v>
      </c>
      <c r="L642" s="99" t="str">
        <f t="shared" si="50"/>
        <v>W1223.1</v>
      </c>
      <c r="M642" s="13"/>
      <c r="N642" s="13"/>
      <c r="O642" s="13"/>
      <c r="P642" s="47"/>
      <c r="Q642" s="45"/>
      <c r="R642" s="45"/>
      <c r="S642" s="48"/>
      <c r="T642" s="49" t="str">
        <f t="shared" si="54"/>
        <v>[W1223.1]</v>
      </c>
      <c r="U642" s="12" t="str">
        <f t="shared" si="55"/>
        <v/>
      </c>
      <c r="V642" s="49" t="str">
        <f t="shared" si="51"/>
        <v>[W1223.1]</v>
      </c>
    </row>
    <row r="643" spans="1:22" s="49" customFormat="1" ht="14.15" customHeight="1">
      <c r="A643" s="44"/>
      <c r="B643" s="44" t="s">
        <v>6637</v>
      </c>
      <c r="C643" s="50"/>
      <c r="D643" s="10" t="s">
        <v>29</v>
      </c>
      <c r="E643" s="11"/>
      <c r="F643" s="11" t="s">
        <v>18</v>
      </c>
      <c r="G643" s="13"/>
      <c r="H643" s="45" t="s">
        <v>16</v>
      </c>
      <c r="I643" s="46"/>
      <c r="J643" s="12" t="s">
        <v>3065</v>
      </c>
      <c r="K643" s="13" t="s">
        <v>7413</v>
      </c>
      <c r="L643" s="99" t="str">
        <f t="shared" si="50"/>
        <v>W1223.2</v>
      </c>
      <c r="M643" s="13"/>
      <c r="N643" s="13"/>
      <c r="O643" s="13"/>
      <c r="P643" s="47"/>
      <c r="Q643" s="45"/>
      <c r="R643" s="45"/>
      <c r="S643" s="48"/>
      <c r="T643" s="49" t="str">
        <f t="shared" si="54"/>
        <v>[W1223.2]</v>
      </c>
      <c r="U643" s="12" t="str">
        <f t="shared" si="55"/>
        <v/>
      </c>
      <c r="V643" s="49" t="str">
        <f t="shared" si="51"/>
        <v>[W1223.2]</v>
      </c>
    </row>
    <row r="644" spans="1:22" s="49" customFormat="1" ht="14.15" customHeight="1">
      <c r="A644" s="44"/>
      <c r="B644" s="44" t="s">
        <v>6637</v>
      </c>
      <c r="C644" s="50"/>
      <c r="D644" s="10" t="s">
        <v>29</v>
      </c>
      <c r="E644" s="11"/>
      <c r="F644" s="11" t="s">
        <v>18</v>
      </c>
      <c r="G644" s="13"/>
      <c r="H644" s="45" t="s">
        <v>16</v>
      </c>
      <c r="I644" s="46"/>
      <c r="J644" s="12" t="s">
        <v>3066</v>
      </c>
      <c r="K644" s="13" t="s">
        <v>7414</v>
      </c>
      <c r="L644" s="99" t="str">
        <f t="shared" si="50"/>
        <v>W1223.3</v>
      </c>
      <c r="M644" s="13"/>
      <c r="N644" s="13"/>
      <c r="O644" s="13"/>
      <c r="P644" s="47"/>
      <c r="Q644" s="45"/>
      <c r="R644" s="45"/>
      <c r="S644" s="48"/>
      <c r="T644" s="49" t="str">
        <f t="shared" si="54"/>
        <v>[W1223.3]</v>
      </c>
      <c r="U644" s="12" t="str">
        <f t="shared" si="55"/>
        <v/>
      </c>
      <c r="V644" s="49" t="str">
        <f t="shared" si="51"/>
        <v>[W1223.3]</v>
      </c>
    </row>
    <row r="645" spans="1:22" s="49" customFormat="1" ht="14.15" customHeight="1">
      <c r="A645" s="44"/>
      <c r="B645" s="44" t="s">
        <v>6637</v>
      </c>
      <c r="C645" s="50"/>
      <c r="D645" s="10" t="s">
        <v>29</v>
      </c>
      <c r="E645" s="11"/>
      <c r="F645" s="11" t="s">
        <v>18</v>
      </c>
      <c r="G645" s="13"/>
      <c r="H645" s="45" t="s">
        <v>16</v>
      </c>
      <c r="I645" s="46"/>
      <c r="J645" s="12" t="s">
        <v>3067</v>
      </c>
      <c r="K645" s="13" t="s">
        <v>7415</v>
      </c>
      <c r="L645" s="99" t="str">
        <f t="shared" si="50"/>
        <v>W1223.4</v>
      </c>
      <c r="M645" s="13"/>
      <c r="N645" s="13"/>
      <c r="O645" s="13"/>
      <c r="P645" s="47"/>
      <c r="Q645" s="45"/>
      <c r="R645" s="45"/>
      <c r="S645" s="48"/>
      <c r="T645" s="49" t="str">
        <f t="shared" si="54"/>
        <v>[W1223.4]</v>
      </c>
      <c r="U645" s="12" t="str">
        <f t="shared" si="55"/>
        <v/>
      </c>
      <c r="V645" s="49" t="str">
        <f t="shared" si="51"/>
        <v>[W1223.4]</v>
      </c>
    </row>
    <row r="646" spans="1:22" s="49" customFormat="1" ht="14.15" customHeight="1">
      <c r="A646" s="44"/>
      <c r="B646" s="44" t="s">
        <v>6637</v>
      </c>
      <c r="C646" s="50"/>
      <c r="D646" s="10" t="s">
        <v>29</v>
      </c>
      <c r="E646" s="11"/>
      <c r="F646" s="11" t="s">
        <v>18</v>
      </c>
      <c r="G646" s="13"/>
      <c r="H646" s="45" t="s">
        <v>16</v>
      </c>
      <c r="I646" s="46"/>
      <c r="J646" s="12" t="s">
        <v>3068</v>
      </c>
      <c r="K646" s="13" t="s">
        <v>7416</v>
      </c>
      <c r="L646" s="99" t="str">
        <f t="shared" si="50"/>
        <v>W1223.5</v>
      </c>
      <c r="M646" s="13"/>
      <c r="N646" s="13"/>
      <c r="O646" s="13"/>
      <c r="P646" s="47"/>
      <c r="Q646" s="45"/>
      <c r="R646" s="45"/>
      <c r="S646" s="48"/>
      <c r="T646" s="49" t="str">
        <f t="shared" si="54"/>
        <v>[W1223.5]</v>
      </c>
      <c r="U646" s="12" t="str">
        <f t="shared" si="55"/>
        <v/>
      </c>
      <c r="V646" s="49" t="str">
        <f t="shared" si="51"/>
        <v>[W1223.5]</v>
      </c>
    </row>
    <row r="647" spans="1:22" s="49" customFormat="1" ht="14.15" customHeight="1">
      <c r="A647" s="44"/>
      <c r="B647" s="44" t="s">
        <v>6637</v>
      </c>
      <c r="C647" s="50"/>
      <c r="D647" s="10" t="s">
        <v>29</v>
      </c>
      <c r="E647" s="11"/>
      <c r="F647" s="11" t="s">
        <v>18</v>
      </c>
      <c r="G647" s="13"/>
      <c r="H647" s="45" t="s">
        <v>16</v>
      </c>
      <c r="I647" s="46"/>
      <c r="J647" s="12" t="s">
        <v>3069</v>
      </c>
      <c r="K647" s="13" t="s">
        <v>7417</v>
      </c>
      <c r="L647" s="99" t="str">
        <f t="shared" si="50"/>
        <v>W1223.6</v>
      </c>
      <c r="M647" s="13"/>
      <c r="N647" s="13"/>
      <c r="O647" s="13"/>
      <c r="P647" s="47"/>
      <c r="Q647" s="45"/>
      <c r="R647" s="45"/>
      <c r="S647" s="48"/>
      <c r="T647" s="49" t="str">
        <f t="shared" si="54"/>
        <v>[W1223.6]</v>
      </c>
      <c r="U647" s="12" t="str">
        <f t="shared" si="55"/>
        <v/>
      </c>
      <c r="V647" s="49" t="str">
        <f t="shared" si="51"/>
        <v>[W1223.6]</v>
      </c>
    </row>
    <row r="648" spans="1:22" s="49" customFormat="1" ht="14.15" customHeight="1">
      <c r="A648" s="44"/>
      <c r="B648" s="44" t="s">
        <v>6637</v>
      </c>
      <c r="C648" s="50"/>
      <c r="D648" s="10" t="s">
        <v>29</v>
      </c>
      <c r="E648" s="11"/>
      <c r="F648" s="11" t="s">
        <v>18</v>
      </c>
      <c r="G648" s="13"/>
      <c r="H648" s="45" t="s">
        <v>16</v>
      </c>
      <c r="I648" s="46"/>
      <c r="J648" s="12" t="s">
        <v>3070</v>
      </c>
      <c r="K648" s="13" t="s">
        <v>7418</v>
      </c>
      <c r="L648" s="99" t="str">
        <f t="shared" si="50"/>
        <v>W1223.7</v>
      </c>
      <c r="M648" s="13"/>
      <c r="N648" s="13"/>
      <c r="O648" s="13"/>
      <c r="P648" s="47"/>
      <c r="Q648" s="45"/>
      <c r="R648" s="45"/>
      <c r="S648" s="48"/>
      <c r="T648" s="49" t="str">
        <f t="shared" si="54"/>
        <v>[W1223.7]</v>
      </c>
      <c r="U648" s="12" t="str">
        <f t="shared" si="55"/>
        <v/>
      </c>
      <c r="V648" s="49" t="str">
        <f t="shared" si="51"/>
        <v>[W1223.7]</v>
      </c>
    </row>
    <row r="649" spans="1:22" s="49" customFormat="1" ht="14.15" customHeight="1">
      <c r="A649" s="44"/>
      <c r="B649" s="44" t="s">
        <v>6637</v>
      </c>
      <c r="C649" s="50"/>
      <c r="D649" s="10" t="s">
        <v>29</v>
      </c>
      <c r="E649" s="11"/>
      <c r="F649" s="11" t="s">
        <v>18</v>
      </c>
      <c r="G649" s="13"/>
      <c r="H649" s="45" t="s">
        <v>16</v>
      </c>
      <c r="I649" s="46"/>
      <c r="J649" s="12" t="s">
        <v>3071</v>
      </c>
      <c r="K649" s="13" t="s">
        <v>7419</v>
      </c>
      <c r="L649" s="99" t="str">
        <f t="shared" si="50"/>
        <v>W1223.8</v>
      </c>
      <c r="M649" s="13"/>
      <c r="N649" s="13"/>
      <c r="O649" s="13"/>
      <c r="P649" s="47"/>
      <c r="Q649" s="45"/>
      <c r="R649" s="45"/>
      <c r="S649" s="48"/>
      <c r="T649" s="49" t="str">
        <f t="shared" si="54"/>
        <v>[W1223.8]</v>
      </c>
      <c r="U649" s="12" t="str">
        <f t="shared" si="55"/>
        <v/>
      </c>
      <c r="V649" s="49" t="str">
        <f t="shared" si="51"/>
        <v>[W1223.8]</v>
      </c>
    </row>
    <row r="650" spans="1:22" s="49" customFormat="1" ht="14.15" customHeight="1">
      <c r="A650" s="44"/>
      <c r="B650" s="44" t="s">
        <v>6637</v>
      </c>
      <c r="C650" s="50"/>
      <c r="D650" s="10" t="s">
        <v>29</v>
      </c>
      <c r="E650" s="11"/>
      <c r="F650" s="11" t="s">
        <v>18</v>
      </c>
      <c r="G650" s="13"/>
      <c r="H650" s="45" t="s">
        <v>16</v>
      </c>
      <c r="I650" s="47"/>
      <c r="J650" s="12" t="s">
        <v>3072</v>
      </c>
      <c r="K650" s="13" t="s">
        <v>7420</v>
      </c>
      <c r="L650" s="99" t="str">
        <f t="shared" si="50"/>
        <v>W1223.9</v>
      </c>
      <c r="M650" s="13"/>
      <c r="N650" s="13"/>
      <c r="O650" s="13"/>
      <c r="P650" s="47"/>
      <c r="Q650" s="45"/>
      <c r="R650" s="45"/>
      <c r="S650" s="48"/>
      <c r="T650" s="49" t="str">
        <f t="shared" si="54"/>
        <v>[W1223.9]</v>
      </c>
      <c r="U650" s="12" t="str">
        <f t="shared" si="55"/>
        <v/>
      </c>
      <c r="V650" s="49" t="str">
        <f t="shared" si="51"/>
        <v>[W1223.9]</v>
      </c>
    </row>
    <row r="651" spans="1:22" s="49" customFormat="1" ht="14.15" customHeight="1">
      <c r="A651" s="44"/>
      <c r="B651" s="44" t="s">
        <v>6637</v>
      </c>
      <c r="C651" s="50"/>
      <c r="D651" s="10" t="s">
        <v>29</v>
      </c>
      <c r="E651" s="11"/>
      <c r="F651" s="11" t="s">
        <v>18</v>
      </c>
      <c r="G651" s="13"/>
      <c r="H651" s="45" t="s">
        <v>16</v>
      </c>
      <c r="I651" s="47"/>
      <c r="J651" s="12" t="s">
        <v>3073</v>
      </c>
      <c r="K651" s="13" t="s">
        <v>7421</v>
      </c>
      <c r="L651" s="99" t="str">
        <f t="shared" si="50"/>
        <v>W1223.A</v>
      </c>
      <c r="M651" s="13"/>
      <c r="N651" s="13"/>
      <c r="O651" s="13"/>
      <c r="P651" s="47"/>
      <c r="Q651" s="45"/>
      <c r="R651" s="45"/>
      <c r="S651" s="48"/>
      <c r="T651" s="49" t="str">
        <f t="shared" si="54"/>
        <v>[W1223.A]</v>
      </c>
      <c r="U651" s="12" t="str">
        <f t="shared" si="55"/>
        <v/>
      </c>
      <c r="V651" s="49" t="str">
        <f t="shared" si="51"/>
        <v>[W1223.A]</v>
      </c>
    </row>
    <row r="652" spans="1:22" s="49" customFormat="1" ht="14.15" customHeight="1">
      <c r="A652" s="44"/>
      <c r="B652" s="44" t="s">
        <v>6637</v>
      </c>
      <c r="C652" s="50"/>
      <c r="D652" s="10" t="s">
        <v>29</v>
      </c>
      <c r="E652" s="11"/>
      <c r="F652" s="11" t="s">
        <v>18</v>
      </c>
      <c r="G652" s="13"/>
      <c r="H652" s="45" t="s">
        <v>16</v>
      </c>
      <c r="I652" s="47"/>
      <c r="J652" s="12" t="s">
        <v>3074</v>
      </c>
      <c r="K652" s="13" t="s">
        <v>7422</v>
      </c>
      <c r="L652" s="99" t="str">
        <f t="shared" si="50"/>
        <v>W1223.B</v>
      </c>
      <c r="M652" s="13"/>
      <c r="N652" s="13"/>
      <c r="O652" s="13"/>
      <c r="P652" s="47"/>
      <c r="Q652" s="45"/>
      <c r="R652" s="45"/>
      <c r="S652" s="48"/>
      <c r="T652" s="49" t="str">
        <f t="shared" si="54"/>
        <v>[W1223.B]</v>
      </c>
      <c r="U652" s="12" t="str">
        <f t="shared" si="55"/>
        <v/>
      </c>
      <c r="V652" s="49" t="str">
        <f t="shared" si="51"/>
        <v>[W1223.B]</v>
      </c>
    </row>
    <row r="653" spans="1:22" s="49" customFormat="1" ht="14.15" customHeight="1">
      <c r="A653" s="44"/>
      <c r="B653" s="44" t="s">
        <v>6637</v>
      </c>
      <c r="C653" s="50"/>
      <c r="D653" s="10" t="s">
        <v>29</v>
      </c>
      <c r="E653" s="11"/>
      <c r="F653" s="11" t="s">
        <v>18</v>
      </c>
      <c r="G653" s="13"/>
      <c r="H653" s="45" t="s">
        <v>16</v>
      </c>
      <c r="I653" s="47"/>
      <c r="J653" s="12" t="s">
        <v>3075</v>
      </c>
      <c r="K653" s="13" t="s">
        <v>7423</v>
      </c>
      <c r="L653" s="99" t="str">
        <f t="shared" si="50"/>
        <v>W1223.C</v>
      </c>
      <c r="M653" s="13"/>
      <c r="N653" s="13"/>
      <c r="O653" s="13"/>
      <c r="P653" s="47"/>
      <c r="Q653" s="45"/>
      <c r="R653" s="45"/>
      <c r="S653" s="48"/>
      <c r="T653" s="49" t="str">
        <f t="shared" si="54"/>
        <v>[W1223.C]</v>
      </c>
      <c r="U653" s="12" t="str">
        <f t="shared" si="55"/>
        <v/>
      </c>
      <c r="V653" s="49" t="str">
        <f t="shared" si="51"/>
        <v>[W1223.C]</v>
      </c>
    </row>
    <row r="654" spans="1:22" s="49" customFormat="1" ht="14.15" customHeight="1">
      <c r="A654" s="44"/>
      <c r="B654" s="44" t="s">
        <v>6637</v>
      </c>
      <c r="C654" s="50"/>
      <c r="D654" s="10" t="s">
        <v>29</v>
      </c>
      <c r="E654" s="11"/>
      <c r="F654" s="11" t="s">
        <v>18</v>
      </c>
      <c r="G654" s="13"/>
      <c r="H654" s="45" t="s">
        <v>16</v>
      </c>
      <c r="I654" s="47"/>
      <c r="J654" s="12" t="s">
        <v>3076</v>
      </c>
      <c r="K654" s="13" t="s">
        <v>7424</v>
      </c>
      <c r="L654" s="99" t="str">
        <f t="shared" si="50"/>
        <v>W1223.D</v>
      </c>
      <c r="M654" s="13"/>
      <c r="N654" s="13"/>
      <c r="O654" s="13"/>
      <c r="P654" s="47"/>
      <c r="Q654" s="45"/>
      <c r="R654" s="45"/>
      <c r="S654" s="48"/>
      <c r="T654" s="49" t="str">
        <f t="shared" si="54"/>
        <v>[W1223.D]</v>
      </c>
      <c r="U654" s="12" t="str">
        <f t="shared" si="55"/>
        <v/>
      </c>
      <c r="V654" s="49" t="str">
        <f t="shared" si="51"/>
        <v>[W1223.D]</v>
      </c>
    </row>
    <row r="655" spans="1:22" s="49" customFormat="1" ht="14.15" customHeight="1">
      <c r="A655" s="44"/>
      <c r="B655" s="44" t="s">
        <v>6637</v>
      </c>
      <c r="C655" s="50"/>
      <c r="D655" s="10" t="s">
        <v>29</v>
      </c>
      <c r="E655" s="11"/>
      <c r="F655" s="11" t="s">
        <v>18</v>
      </c>
      <c r="G655" s="13"/>
      <c r="H655" s="45" t="s">
        <v>16</v>
      </c>
      <c r="I655" s="47"/>
      <c r="J655" s="12" t="s">
        <v>3077</v>
      </c>
      <c r="K655" s="13" t="s">
        <v>7425</v>
      </c>
      <c r="L655" s="99" t="str">
        <f t="shared" si="50"/>
        <v>W1223.E</v>
      </c>
      <c r="M655" s="13"/>
      <c r="N655" s="13"/>
      <c r="O655" s="13"/>
      <c r="P655" s="47"/>
      <c r="Q655" s="45"/>
      <c r="R655" s="45"/>
      <c r="S655" s="48"/>
      <c r="T655" s="49" t="str">
        <f t="shared" si="54"/>
        <v>[W1223.E]</v>
      </c>
      <c r="U655" s="12" t="str">
        <f t="shared" si="55"/>
        <v/>
      </c>
      <c r="V655" s="49" t="str">
        <f t="shared" si="51"/>
        <v>[W1223.E]</v>
      </c>
    </row>
    <row r="656" spans="1:22" s="49" customFormat="1" ht="14.15" customHeight="1">
      <c r="A656" s="44"/>
      <c r="B656" s="44" t="s">
        <v>6637</v>
      </c>
      <c r="C656" s="50"/>
      <c r="D656" s="10" t="s">
        <v>29</v>
      </c>
      <c r="E656" s="11"/>
      <c r="F656" s="11" t="s">
        <v>18</v>
      </c>
      <c r="G656" s="13"/>
      <c r="H656" s="45" t="s">
        <v>16</v>
      </c>
      <c r="I656" s="47"/>
      <c r="J656" s="12" t="s">
        <v>3078</v>
      </c>
      <c r="K656" s="13" t="s">
        <v>7426</v>
      </c>
      <c r="L656" s="99" t="str">
        <f t="shared" si="50"/>
        <v>W1223.F</v>
      </c>
      <c r="M656" s="13"/>
      <c r="N656" s="13"/>
      <c r="O656" s="13"/>
      <c r="P656" s="47"/>
      <c r="Q656" s="45"/>
      <c r="R656" s="45"/>
      <c r="S656" s="48"/>
      <c r="T656" s="49" t="str">
        <f t="shared" si="54"/>
        <v>[W1223.F]</v>
      </c>
      <c r="U656" s="12" t="str">
        <f t="shared" si="55"/>
        <v/>
      </c>
      <c r="V656" s="49" t="str">
        <f t="shared" si="51"/>
        <v>[W1223.F]</v>
      </c>
    </row>
    <row r="657" spans="1:22" s="49" customFormat="1" ht="14.15" customHeight="1">
      <c r="A657" s="44"/>
      <c r="B657" s="44" t="s">
        <v>6637</v>
      </c>
      <c r="C657" s="50"/>
      <c r="D657" s="10" t="s">
        <v>29</v>
      </c>
      <c r="E657" s="11"/>
      <c r="F657" s="11" t="s">
        <v>18</v>
      </c>
      <c r="G657" s="13"/>
      <c r="H657" s="45" t="s">
        <v>16</v>
      </c>
      <c r="I657" s="47"/>
      <c r="J657" s="12" t="s">
        <v>3079</v>
      </c>
      <c r="K657" s="13" t="s">
        <v>7427</v>
      </c>
      <c r="L657" s="99" t="str">
        <f t="shared" si="50"/>
        <v>W1224.0</v>
      </c>
      <c r="M657" s="13"/>
      <c r="N657" s="13"/>
      <c r="O657" s="13"/>
      <c r="P657" s="47"/>
      <c r="Q657" s="45"/>
      <c r="R657" s="45"/>
      <c r="S657" s="48"/>
      <c r="T657" s="49" t="str">
        <f t="shared" si="54"/>
        <v>[W1224.0]</v>
      </c>
      <c r="U657" s="12" t="str">
        <f t="shared" si="55"/>
        <v/>
      </c>
      <c r="V657" s="49" t="str">
        <f t="shared" si="51"/>
        <v>[W1224.0]</v>
      </c>
    </row>
    <row r="658" spans="1:22" s="49" customFormat="1" ht="14.15" customHeight="1">
      <c r="A658" s="44"/>
      <c r="B658" s="44" t="s">
        <v>6637</v>
      </c>
      <c r="C658" s="50"/>
      <c r="D658" s="10" t="s">
        <v>29</v>
      </c>
      <c r="E658" s="11"/>
      <c r="F658" s="11" t="s">
        <v>18</v>
      </c>
      <c r="G658" s="13"/>
      <c r="H658" s="45" t="s">
        <v>16</v>
      </c>
      <c r="I658" s="47"/>
      <c r="J658" s="12" t="s">
        <v>3080</v>
      </c>
      <c r="K658" s="13" t="s">
        <v>7428</v>
      </c>
      <c r="L658" s="99" t="str">
        <f t="shared" ref="L658:L721" si="56">"W"&amp;DEC2HEX(4608 + INT((ROW()-81)/16)) &amp; "." &amp; IF(MOD(ROW()-81,16)&lt;10,MOD(ROW()-81,16),CHAR(MOD(ROW()-81,16)+55))</f>
        <v>W1224.1</v>
      </c>
      <c r="M658" s="13"/>
      <c r="N658" s="13"/>
      <c r="O658" s="13"/>
      <c r="P658" s="47"/>
      <c r="Q658" s="45"/>
      <c r="R658" s="45"/>
      <c r="S658" s="48"/>
      <c r="T658" s="49" t="str">
        <f t="shared" si="54"/>
        <v>[W1224.1]</v>
      </c>
      <c r="U658" s="12" t="str">
        <f t="shared" si="55"/>
        <v/>
      </c>
      <c r="V658" s="49" t="str">
        <f t="shared" ref="V658:V721" si="57">T658&amp;U658</f>
        <v>[W1224.1]</v>
      </c>
    </row>
    <row r="659" spans="1:22" s="49" customFormat="1" ht="14.15" customHeight="1">
      <c r="A659" s="44"/>
      <c r="B659" s="44" t="s">
        <v>6637</v>
      </c>
      <c r="C659" s="50"/>
      <c r="D659" s="10" t="s">
        <v>29</v>
      </c>
      <c r="E659" s="11"/>
      <c r="F659" s="11" t="s">
        <v>18</v>
      </c>
      <c r="G659" s="13"/>
      <c r="H659" s="45" t="s">
        <v>16</v>
      </c>
      <c r="I659" s="47"/>
      <c r="J659" s="12" t="s">
        <v>3081</v>
      </c>
      <c r="K659" s="13" t="s">
        <v>7429</v>
      </c>
      <c r="L659" s="99" t="str">
        <f t="shared" si="56"/>
        <v>W1224.2</v>
      </c>
      <c r="M659" s="13"/>
      <c r="N659" s="13"/>
      <c r="O659" s="13"/>
      <c r="P659" s="53"/>
      <c r="Q659" s="45"/>
      <c r="R659" s="45"/>
      <c r="S659" s="48"/>
      <c r="T659" s="49" t="str">
        <f t="shared" si="54"/>
        <v>[W1224.2]</v>
      </c>
      <c r="U659" s="12" t="str">
        <f t="shared" si="55"/>
        <v/>
      </c>
      <c r="V659" s="49" t="str">
        <f t="shared" si="57"/>
        <v>[W1224.2]</v>
      </c>
    </row>
    <row r="660" spans="1:22" s="49" customFormat="1" ht="14.15" customHeight="1">
      <c r="A660" s="44"/>
      <c r="B660" s="44" t="s">
        <v>6637</v>
      </c>
      <c r="C660" s="50"/>
      <c r="D660" s="10" t="s">
        <v>29</v>
      </c>
      <c r="E660" s="11"/>
      <c r="F660" s="11" t="s">
        <v>18</v>
      </c>
      <c r="G660" s="13"/>
      <c r="H660" s="45" t="s">
        <v>16</v>
      </c>
      <c r="I660" s="47"/>
      <c r="J660" s="12" t="s">
        <v>3082</v>
      </c>
      <c r="K660" s="13" t="s">
        <v>7430</v>
      </c>
      <c r="L660" s="99" t="str">
        <f t="shared" si="56"/>
        <v>W1224.3</v>
      </c>
      <c r="M660" s="13"/>
      <c r="N660" s="13"/>
      <c r="O660" s="13"/>
      <c r="P660" s="47"/>
      <c r="Q660" s="45"/>
      <c r="R660" s="45"/>
      <c r="S660" s="48"/>
      <c r="T660" s="49" t="str">
        <f t="shared" si="54"/>
        <v>[W1224.3]</v>
      </c>
      <c r="U660" s="12" t="str">
        <f t="shared" si="55"/>
        <v/>
      </c>
      <c r="V660" s="49" t="str">
        <f t="shared" si="57"/>
        <v>[W1224.3]</v>
      </c>
    </row>
    <row r="661" spans="1:22" s="49" customFormat="1" ht="14.15" customHeight="1">
      <c r="A661" s="44"/>
      <c r="B661" s="44" t="s">
        <v>6637</v>
      </c>
      <c r="C661" s="50"/>
      <c r="D661" s="10" t="s">
        <v>29</v>
      </c>
      <c r="E661" s="11"/>
      <c r="F661" s="11" t="s">
        <v>18</v>
      </c>
      <c r="G661" s="13"/>
      <c r="H661" s="45" t="s">
        <v>16</v>
      </c>
      <c r="I661" s="47"/>
      <c r="J661" s="12" t="s">
        <v>3053</v>
      </c>
      <c r="K661" s="13" t="s">
        <v>7431</v>
      </c>
      <c r="L661" s="99" t="str">
        <f t="shared" si="56"/>
        <v>W1224.4</v>
      </c>
      <c r="M661" s="13"/>
      <c r="N661" s="13"/>
      <c r="O661" s="13"/>
      <c r="P661" s="47"/>
      <c r="Q661" s="45"/>
      <c r="R661" s="45"/>
      <c r="S661" s="48"/>
      <c r="T661" s="49" t="str">
        <f t="shared" si="54"/>
        <v>[W1224.4]</v>
      </c>
      <c r="U661" s="12" t="str">
        <f t="shared" si="55"/>
        <v/>
      </c>
      <c r="V661" s="49" t="str">
        <f t="shared" si="57"/>
        <v>[W1224.4]</v>
      </c>
    </row>
    <row r="662" spans="1:22" s="49" customFormat="1" ht="14.15" customHeight="1">
      <c r="A662" s="44"/>
      <c r="B662" s="44" t="s">
        <v>6637</v>
      </c>
      <c r="C662" s="50"/>
      <c r="D662" s="10" t="s">
        <v>29</v>
      </c>
      <c r="E662" s="11"/>
      <c r="F662" s="11" t="s">
        <v>18</v>
      </c>
      <c r="G662" s="13"/>
      <c r="H662" s="45" t="s">
        <v>16</v>
      </c>
      <c r="I662" s="47"/>
      <c r="J662" s="12" t="s">
        <v>3083</v>
      </c>
      <c r="K662" s="13" t="s">
        <v>7432</v>
      </c>
      <c r="L662" s="99" t="str">
        <f t="shared" si="56"/>
        <v>W1224.5</v>
      </c>
      <c r="M662" s="13"/>
      <c r="N662" s="13"/>
      <c r="O662" s="13"/>
      <c r="P662" s="47"/>
      <c r="Q662" s="45"/>
      <c r="R662" s="45"/>
      <c r="S662" s="48"/>
      <c r="T662" s="49" t="str">
        <f t="shared" si="54"/>
        <v>[W1224.5]</v>
      </c>
      <c r="U662" s="12" t="str">
        <f t="shared" si="55"/>
        <v/>
      </c>
      <c r="V662" s="49" t="str">
        <f t="shared" si="57"/>
        <v>[W1224.5]</v>
      </c>
    </row>
    <row r="663" spans="1:22" s="49" customFormat="1" ht="14.15" customHeight="1">
      <c r="A663" s="44"/>
      <c r="B663" s="44" t="s">
        <v>6637</v>
      </c>
      <c r="C663" s="50"/>
      <c r="D663" s="10" t="s">
        <v>29</v>
      </c>
      <c r="E663" s="11"/>
      <c r="F663" s="11" t="s">
        <v>18</v>
      </c>
      <c r="G663" s="13"/>
      <c r="H663" s="45" t="s">
        <v>16</v>
      </c>
      <c r="I663" s="47"/>
      <c r="J663" s="12" t="s">
        <v>3084</v>
      </c>
      <c r="K663" s="13" t="s">
        <v>7433</v>
      </c>
      <c r="L663" s="99" t="str">
        <f t="shared" si="56"/>
        <v>W1224.6</v>
      </c>
      <c r="M663" s="13"/>
      <c r="N663" s="13"/>
      <c r="O663" s="13"/>
      <c r="P663" s="47"/>
      <c r="Q663" s="45"/>
      <c r="R663" s="45"/>
      <c r="S663" s="48"/>
      <c r="T663" s="49" t="str">
        <f t="shared" si="54"/>
        <v>[W1224.6]</v>
      </c>
      <c r="U663" s="12" t="str">
        <f t="shared" si="55"/>
        <v/>
      </c>
      <c r="V663" s="49" t="str">
        <f t="shared" si="57"/>
        <v>[W1224.6]</v>
      </c>
    </row>
    <row r="664" spans="1:22" s="49" customFormat="1" ht="14.15" customHeight="1">
      <c r="A664" s="44"/>
      <c r="B664" s="44" t="s">
        <v>6637</v>
      </c>
      <c r="C664" s="50"/>
      <c r="D664" s="10" t="s">
        <v>29</v>
      </c>
      <c r="E664" s="11"/>
      <c r="F664" s="11" t="s">
        <v>18</v>
      </c>
      <c r="G664" s="13"/>
      <c r="H664" s="45" t="s">
        <v>16</v>
      </c>
      <c r="I664" s="47"/>
      <c r="J664" s="12" t="s">
        <v>3085</v>
      </c>
      <c r="K664" s="13" t="s">
        <v>7434</v>
      </c>
      <c r="L664" s="99" t="str">
        <f t="shared" si="56"/>
        <v>W1224.7</v>
      </c>
      <c r="M664" s="13"/>
      <c r="N664" s="13"/>
      <c r="O664" s="13"/>
      <c r="P664" s="47"/>
      <c r="Q664" s="45"/>
      <c r="R664" s="45"/>
      <c r="S664" s="48"/>
      <c r="T664" s="49" t="str">
        <f t="shared" si="54"/>
        <v>[W1224.7]</v>
      </c>
      <c r="U664" s="12" t="str">
        <f t="shared" si="55"/>
        <v/>
      </c>
      <c r="V664" s="49" t="str">
        <f t="shared" si="57"/>
        <v>[W1224.7]</v>
      </c>
    </row>
    <row r="665" spans="1:22" s="49" customFormat="1" ht="14.15" customHeight="1">
      <c r="A665" s="44"/>
      <c r="B665" s="44" t="s">
        <v>6637</v>
      </c>
      <c r="C665" s="50"/>
      <c r="D665" s="10" t="s">
        <v>29</v>
      </c>
      <c r="E665" s="11"/>
      <c r="F665" s="11" t="s">
        <v>18</v>
      </c>
      <c r="G665" s="13"/>
      <c r="H665" s="45" t="s">
        <v>16</v>
      </c>
      <c r="I665" s="47"/>
      <c r="J665" s="12" t="s">
        <v>3086</v>
      </c>
      <c r="K665" s="13" t="s">
        <v>7435</v>
      </c>
      <c r="L665" s="99" t="str">
        <f t="shared" si="56"/>
        <v>W1224.8</v>
      </c>
      <c r="M665" s="13"/>
      <c r="N665" s="13"/>
      <c r="O665" s="13"/>
      <c r="P665" s="47"/>
      <c r="Q665" s="45"/>
      <c r="R665" s="45"/>
      <c r="S665" s="48"/>
      <c r="T665" s="49" t="str">
        <f t="shared" si="54"/>
        <v>[W1224.8]</v>
      </c>
      <c r="U665" s="12" t="str">
        <f t="shared" si="55"/>
        <v/>
      </c>
      <c r="V665" s="49" t="str">
        <f t="shared" si="57"/>
        <v>[W1224.8]</v>
      </c>
    </row>
    <row r="666" spans="1:22" s="49" customFormat="1" ht="14.15" customHeight="1">
      <c r="A666" s="44"/>
      <c r="B666" s="44" t="s">
        <v>6637</v>
      </c>
      <c r="C666" s="50"/>
      <c r="D666" s="10" t="s">
        <v>29</v>
      </c>
      <c r="E666" s="11"/>
      <c r="F666" s="11" t="s">
        <v>18</v>
      </c>
      <c r="G666" s="13"/>
      <c r="H666" s="45" t="s">
        <v>16</v>
      </c>
      <c r="I666" s="47"/>
      <c r="J666" s="12" t="s">
        <v>3087</v>
      </c>
      <c r="K666" s="13" t="s">
        <v>7436</v>
      </c>
      <c r="L666" s="99" t="str">
        <f t="shared" si="56"/>
        <v>W1224.9</v>
      </c>
      <c r="M666" s="13"/>
      <c r="N666" s="13"/>
      <c r="O666" s="13"/>
      <c r="P666" s="47"/>
      <c r="Q666" s="45"/>
      <c r="R666" s="45"/>
      <c r="S666" s="48"/>
      <c r="T666" s="49" t="str">
        <f t="shared" si="54"/>
        <v>[W1224.9]</v>
      </c>
      <c r="U666" s="12" t="str">
        <f t="shared" si="55"/>
        <v/>
      </c>
      <c r="V666" s="49" t="str">
        <f t="shared" si="57"/>
        <v>[W1224.9]</v>
      </c>
    </row>
    <row r="667" spans="1:22" s="49" customFormat="1" ht="14.15" customHeight="1">
      <c r="A667" s="44"/>
      <c r="B667" s="44" t="s">
        <v>6637</v>
      </c>
      <c r="C667" s="50"/>
      <c r="D667" s="10" t="s">
        <v>29</v>
      </c>
      <c r="E667" s="11"/>
      <c r="F667" s="11" t="s">
        <v>18</v>
      </c>
      <c r="G667" s="13"/>
      <c r="H667" s="45" t="s">
        <v>16</v>
      </c>
      <c r="I667" s="47"/>
      <c r="J667" s="12" t="s">
        <v>3088</v>
      </c>
      <c r="K667" s="13" t="s">
        <v>7437</v>
      </c>
      <c r="L667" s="99" t="str">
        <f t="shared" si="56"/>
        <v>W1224.A</v>
      </c>
      <c r="M667" s="13"/>
      <c r="N667" s="13"/>
      <c r="O667" s="13"/>
      <c r="P667" s="47"/>
      <c r="Q667" s="45"/>
      <c r="R667" s="45"/>
      <c r="S667" s="48"/>
      <c r="T667" s="49" t="str">
        <f t="shared" si="54"/>
        <v>[W1224.A]</v>
      </c>
      <c r="U667" s="12" t="str">
        <f t="shared" si="55"/>
        <v/>
      </c>
      <c r="V667" s="49" t="str">
        <f t="shared" si="57"/>
        <v>[W1224.A]</v>
      </c>
    </row>
    <row r="668" spans="1:22" s="49" customFormat="1" ht="14.15" customHeight="1">
      <c r="A668" s="44"/>
      <c r="B668" s="44" t="s">
        <v>6637</v>
      </c>
      <c r="C668" s="50"/>
      <c r="D668" s="10" t="s">
        <v>29</v>
      </c>
      <c r="E668" s="11"/>
      <c r="F668" s="11" t="s">
        <v>18</v>
      </c>
      <c r="G668" s="13"/>
      <c r="H668" s="45" t="s">
        <v>16</v>
      </c>
      <c r="I668" s="47"/>
      <c r="J668" s="12" t="s">
        <v>3089</v>
      </c>
      <c r="K668" s="13" t="s">
        <v>7438</v>
      </c>
      <c r="L668" s="99" t="str">
        <f t="shared" si="56"/>
        <v>W1224.B</v>
      </c>
      <c r="M668" s="13"/>
      <c r="N668" s="13"/>
      <c r="O668" s="13"/>
      <c r="P668" s="47"/>
      <c r="Q668" s="45"/>
      <c r="R668" s="45"/>
      <c r="S668" s="48"/>
      <c r="T668" s="49" t="str">
        <f t="shared" si="54"/>
        <v>[W1224.B]</v>
      </c>
      <c r="U668" s="12" t="str">
        <f t="shared" si="55"/>
        <v/>
      </c>
      <c r="V668" s="49" t="str">
        <f t="shared" si="57"/>
        <v>[W1224.B]</v>
      </c>
    </row>
    <row r="669" spans="1:22" s="49" customFormat="1" ht="14.15" customHeight="1">
      <c r="A669" s="44"/>
      <c r="B669" s="44" t="s">
        <v>6637</v>
      </c>
      <c r="C669" s="50"/>
      <c r="D669" s="10" t="s">
        <v>29</v>
      </c>
      <c r="E669" s="11"/>
      <c r="F669" s="11" t="s">
        <v>18</v>
      </c>
      <c r="G669" s="13"/>
      <c r="H669" s="45" t="s">
        <v>16</v>
      </c>
      <c r="I669" s="47"/>
      <c r="J669" s="12" t="s">
        <v>3090</v>
      </c>
      <c r="K669" s="13" t="s">
        <v>7439</v>
      </c>
      <c r="L669" s="99" t="str">
        <f t="shared" si="56"/>
        <v>W1224.C</v>
      </c>
      <c r="M669" s="13"/>
      <c r="N669" s="13"/>
      <c r="O669" s="13"/>
      <c r="P669" s="47"/>
      <c r="Q669" s="45"/>
      <c r="R669" s="45"/>
      <c r="S669" s="48"/>
      <c r="T669" s="49" t="str">
        <f>"["&amp;L639&amp;"]"</f>
        <v>[W1222.E]</v>
      </c>
      <c r="U669" s="12" t="str">
        <f>RIGHT(J639,LEN(J639)-7)</f>
        <v/>
      </c>
      <c r="V669" s="49" t="str">
        <f>T639&amp;U639</f>
        <v>[W1222.E]</v>
      </c>
    </row>
    <row r="670" spans="1:22" s="49" customFormat="1" ht="14.15" customHeight="1">
      <c r="A670" s="44"/>
      <c r="B670" s="44" t="s">
        <v>6637</v>
      </c>
      <c r="C670" s="50"/>
      <c r="D670" s="10" t="s">
        <v>29</v>
      </c>
      <c r="E670" s="11"/>
      <c r="F670" s="11" t="s">
        <v>18</v>
      </c>
      <c r="G670" s="13"/>
      <c r="H670" s="45" t="s">
        <v>16</v>
      </c>
      <c r="I670" s="47"/>
      <c r="J670" s="12" t="s">
        <v>3091</v>
      </c>
      <c r="K670" s="13" t="s">
        <v>7440</v>
      </c>
      <c r="L670" s="99" t="str">
        <f t="shared" si="56"/>
        <v>W1224.D</v>
      </c>
      <c r="M670" s="13"/>
      <c r="N670" s="13"/>
      <c r="O670" s="13"/>
      <c r="P670" s="47"/>
      <c r="Q670" s="45"/>
      <c r="R670" s="45"/>
      <c r="S670" s="48"/>
      <c r="T670" s="49" t="str">
        <f t="shared" ref="T670:T701" si="58">"["&amp;L670&amp;"]"</f>
        <v>[W1224.D]</v>
      </c>
      <c r="U670" s="12" t="str">
        <f t="shared" ref="U670:U701" si="59">RIGHT(J670,LEN(J670)-7)</f>
        <v/>
      </c>
      <c r="V670" s="49" t="str">
        <f t="shared" si="57"/>
        <v>[W1224.D]</v>
      </c>
    </row>
    <row r="671" spans="1:22" s="49" customFormat="1" ht="14.15" customHeight="1">
      <c r="A671" s="44"/>
      <c r="B671" s="44" t="s">
        <v>6637</v>
      </c>
      <c r="C671" s="50"/>
      <c r="D671" s="10" t="s">
        <v>29</v>
      </c>
      <c r="E671" s="11"/>
      <c r="F671" s="11" t="s">
        <v>18</v>
      </c>
      <c r="G671" s="13"/>
      <c r="H671" s="45" t="s">
        <v>16</v>
      </c>
      <c r="I671" s="47"/>
      <c r="J671" s="12" t="s">
        <v>3092</v>
      </c>
      <c r="K671" s="13" t="s">
        <v>7441</v>
      </c>
      <c r="L671" s="99" t="str">
        <f t="shared" si="56"/>
        <v>W1224.E</v>
      </c>
      <c r="M671" s="13"/>
      <c r="N671" s="13"/>
      <c r="O671" s="13"/>
      <c r="P671" s="47"/>
      <c r="Q671" s="45"/>
      <c r="R671" s="45"/>
      <c r="S671" s="48"/>
      <c r="T671" s="49" t="str">
        <f t="shared" si="58"/>
        <v>[W1224.E]</v>
      </c>
      <c r="U671" s="12" t="str">
        <f t="shared" si="59"/>
        <v/>
      </c>
      <c r="V671" s="49" t="str">
        <f t="shared" si="57"/>
        <v>[W1224.E]</v>
      </c>
    </row>
    <row r="672" spans="1:22" s="49" customFormat="1" ht="14.15" customHeight="1">
      <c r="A672" s="44"/>
      <c r="B672" s="44" t="s">
        <v>6637</v>
      </c>
      <c r="C672" s="50"/>
      <c r="D672" s="10" t="s">
        <v>29</v>
      </c>
      <c r="E672" s="11"/>
      <c r="F672" s="11" t="s">
        <v>18</v>
      </c>
      <c r="G672" s="13"/>
      <c r="H672" s="45" t="s">
        <v>16</v>
      </c>
      <c r="I672" s="47"/>
      <c r="J672" s="12" t="s">
        <v>3093</v>
      </c>
      <c r="K672" s="13" t="s">
        <v>7442</v>
      </c>
      <c r="L672" s="99" t="str">
        <f t="shared" si="56"/>
        <v>W1224.F</v>
      </c>
      <c r="M672" s="13"/>
      <c r="N672" s="13"/>
      <c r="O672" s="13"/>
      <c r="P672" s="47"/>
      <c r="Q672" s="45"/>
      <c r="R672" s="45"/>
      <c r="S672" s="48"/>
      <c r="T672" s="49" t="str">
        <f t="shared" si="58"/>
        <v>[W1224.F]</v>
      </c>
      <c r="U672" s="12" t="str">
        <f t="shared" si="59"/>
        <v/>
      </c>
      <c r="V672" s="49" t="str">
        <f t="shared" si="57"/>
        <v>[W1224.F]</v>
      </c>
    </row>
    <row r="673" spans="1:22" s="49" customFormat="1" ht="14.15" customHeight="1">
      <c r="A673" s="44"/>
      <c r="B673" s="44" t="s">
        <v>6637</v>
      </c>
      <c r="C673" s="50"/>
      <c r="D673" s="10" t="s">
        <v>29</v>
      </c>
      <c r="E673" s="11"/>
      <c r="F673" s="11" t="s">
        <v>18</v>
      </c>
      <c r="G673" s="13"/>
      <c r="H673" s="45" t="s">
        <v>16</v>
      </c>
      <c r="I673" s="47"/>
      <c r="J673" s="12" t="s">
        <v>3094</v>
      </c>
      <c r="K673" s="13" t="s">
        <v>7443</v>
      </c>
      <c r="L673" s="99" t="str">
        <f t="shared" si="56"/>
        <v>W1225.0</v>
      </c>
      <c r="M673" s="13"/>
      <c r="N673" s="13"/>
      <c r="O673" s="13"/>
      <c r="P673" s="47"/>
      <c r="Q673" s="45"/>
      <c r="R673" s="45"/>
      <c r="S673" s="48"/>
      <c r="T673" s="49" t="str">
        <f t="shared" si="58"/>
        <v>[W1225.0]</v>
      </c>
      <c r="U673" s="12" t="str">
        <f t="shared" si="59"/>
        <v/>
      </c>
      <c r="V673" s="49" t="str">
        <f t="shared" si="57"/>
        <v>[W1225.0]</v>
      </c>
    </row>
    <row r="674" spans="1:22" s="49" customFormat="1" ht="14.15" customHeight="1">
      <c r="A674" s="44"/>
      <c r="B674" s="44" t="s">
        <v>6637</v>
      </c>
      <c r="C674" s="50"/>
      <c r="D674" s="10" t="s">
        <v>29</v>
      </c>
      <c r="E674" s="11"/>
      <c r="F674" s="11" t="s">
        <v>18</v>
      </c>
      <c r="G674" s="13"/>
      <c r="H674" s="45" t="s">
        <v>16</v>
      </c>
      <c r="I674" s="47"/>
      <c r="J674" s="12" t="s">
        <v>3095</v>
      </c>
      <c r="K674" s="13" t="s">
        <v>7444</v>
      </c>
      <c r="L674" s="99" t="str">
        <f t="shared" si="56"/>
        <v>W1225.1</v>
      </c>
      <c r="M674" s="13"/>
      <c r="N674" s="13"/>
      <c r="O674" s="13"/>
      <c r="P674" s="47"/>
      <c r="Q674" s="45"/>
      <c r="R674" s="45"/>
      <c r="S674" s="48"/>
      <c r="T674" s="49" t="str">
        <f t="shared" si="58"/>
        <v>[W1225.1]</v>
      </c>
      <c r="U674" s="12" t="str">
        <f t="shared" si="59"/>
        <v/>
      </c>
      <c r="V674" s="49" t="str">
        <f t="shared" si="57"/>
        <v>[W1225.1]</v>
      </c>
    </row>
    <row r="675" spans="1:22" s="49" customFormat="1" ht="14.15" customHeight="1">
      <c r="A675" s="44"/>
      <c r="B675" s="44" t="s">
        <v>6637</v>
      </c>
      <c r="C675" s="50"/>
      <c r="D675" s="10" t="s">
        <v>29</v>
      </c>
      <c r="E675" s="11"/>
      <c r="F675" s="11" t="s">
        <v>18</v>
      </c>
      <c r="G675" s="13"/>
      <c r="H675" s="45" t="s">
        <v>16</v>
      </c>
      <c r="I675" s="47"/>
      <c r="J675" s="12" t="s">
        <v>3096</v>
      </c>
      <c r="K675" s="13" t="s">
        <v>7445</v>
      </c>
      <c r="L675" s="99" t="str">
        <f t="shared" si="56"/>
        <v>W1225.2</v>
      </c>
      <c r="M675" s="13"/>
      <c r="N675" s="13"/>
      <c r="O675" s="13"/>
      <c r="P675" s="47"/>
      <c r="Q675" s="45"/>
      <c r="R675" s="45"/>
      <c r="S675" s="48"/>
      <c r="T675" s="49" t="str">
        <f t="shared" si="58"/>
        <v>[W1225.2]</v>
      </c>
      <c r="U675" s="12" t="str">
        <f t="shared" si="59"/>
        <v/>
      </c>
      <c r="V675" s="49" t="str">
        <f t="shared" si="57"/>
        <v>[W1225.2]</v>
      </c>
    </row>
    <row r="676" spans="1:22" s="49" customFormat="1" ht="14.15" customHeight="1">
      <c r="A676" s="44"/>
      <c r="B676" s="44" t="s">
        <v>6637</v>
      </c>
      <c r="C676" s="50"/>
      <c r="D676" s="10" t="s">
        <v>29</v>
      </c>
      <c r="E676" s="11"/>
      <c r="F676" s="11" t="s">
        <v>18</v>
      </c>
      <c r="G676" s="13"/>
      <c r="H676" s="45" t="s">
        <v>16</v>
      </c>
      <c r="I676" s="47"/>
      <c r="J676" s="12" t="s">
        <v>3097</v>
      </c>
      <c r="K676" s="13" t="s">
        <v>7446</v>
      </c>
      <c r="L676" s="99" t="str">
        <f t="shared" si="56"/>
        <v>W1225.3</v>
      </c>
      <c r="M676" s="13"/>
      <c r="N676" s="13"/>
      <c r="O676" s="13"/>
      <c r="P676" s="47"/>
      <c r="Q676" s="45"/>
      <c r="R676" s="45"/>
      <c r="S676" s="48"/>
      <c r="T676" s="49" t="str">
        <f t="shared" si="58"/>
        <v>[W1225.3]</v>
      </c>
      <c r="U676" s="12" t="str">
        <f t="shared" si="59"/>
        <v/>
      </c>
      <c r="V676" s="49" t="str">
        <f t="shared" si="57"/>
        <v>[W1225.3]</v>
      </c>
    </row>
    <row r="677" spans="1:22" s="49" customFormat="1" ht="14.15" customHeight="1">
      <c r="A677" s="44"/>
      <c r="B677" s="44" t="s">
        <v>6637</v>
      </c>
      <c r="C677" s="50"/>
      <c r="D677" s="10" t="s">
        <v>29</v>
      </c>
      <c r="E677" s="11"/>
      <c r="F677" s="11" t="s">
        <v>18</v>
      </c>
      <c r="G677" s="13"/>
      <c r="H677" s="45" t="s">
        <v>16</v>
      </c>
      <c r="I677" s="47"/>
      <c r="J677" s="12" t="s">
        <v>3098</v>
      </c>
      <c r="K677" s="13" t="s">
        <v>7447</v>
      </c>
      <c r="L677" s="99" t="str">
        <f t="shared" si="56"/>
        <v>W1225.4</v>
      </c>
      <c r="M677" s="13"/>
      <c r="N677" s="13"/>
      <c r="O677" s="13"/>
      <c r="P677" s="47"/>
      <c r="Q677" s="45"/>
      <c r="R677" s="45"/>
      <c r="S677" s="48"/>
      <c r="T677" s="49" t="str">
        <f t="shared" si="58"/>
        <v>[W1225.4]</v>
      </c>
      <c r="U677" s="12" t="str">
        <f t="shared" si="59"/>
        <v/>
      </c>
      <c r="V677" s="49" t="str">
        <f t="shared" si="57"/>
        <v>[W1225.4]</v>
      </c>
    </row>
    <row r="678" spans="1:22" s="49" customFormat="1" ht="14.15" customHeight="1">
      <c r="A678" s="44"/>
      <c r="B678" s="44" t="s">
        <v>6637</v>
      </c>
      <c r="C678" s="50"/>
      <c r="D678" s="10" t="s">
        <v>29</v>
      </c>
      <c r="E678" s="11"/>
      <c r="F678" s="11" t="s">
        <v>18</v>
      </c>
      <c r="G678" s="13"/>
      <c r="H678" s="45" t="s">
        <v>16</v>
      </c>
      <c r="I678" s="47"/>
      <c r="J678" s="12" t="s">
        <v>3099</v>
      </c>
      <c r="K678" s="13" t="s">
        <v>7448</v>
      </c>
      <c r="L678" s="99" t="str">
        <f t="shared" si="56"/>
        <v>W1225.5</v>
      </c>
      <c r="M678" s="13"/>
      <c r="N678" s="13"/>
      <c r="O678" s="13"/>
      <c r="P678" s="47"/>
      <c r="Q678" s="45"/>
      <c r="R678" s="45"/>
      <c r="S678" s="48"/>
      <c r="T678" s="49" t="str">
        <f t="shared" si="58"/>
        <v>[W1225.5]</v>
      </c>
      <c r="U678" s="12" t="str">
        <f t="shared" si="59"/>
        <v/>
      </c>
      <c r="V678" s="49" t="str">
        <f t="shared" si="57"/>
        <v>[W1225.5]</v>
      </c>
    </row>
    <row r="679" spans="1:22" s="49" customFormat="1" ht="14.15" customHeight="1">
      <c r="A679" s="44"/>
      <c r="B679" s="44" t="s">
        <v>6637</v>
      </c>
      <c r="C679" s="50"/>
      <c r="D679" s="10" t="s">
        <v>29</v>
      </c>
      <c r="E679" s="11"/>
      <c r="F679" s="11" t="s">
        <v>18</v>
      </c>
      <c r="G679" s="13"/>
      <c r="H679" s="45" t="s">
        <v>16</v>
      </c>
      <c r="I679" s="47"/>
      <c r="J679" s="12" t="s">
        <v>3100</v>
      </c>
      <c r="K679" s="13" t="s">
        <v>7449</v>
      </c>
      <c r="L679" s="99" t="str">
        <f t="shared" si="56"/>
        <v>W1225.6</v>
      </c>
      <c r="M679" s="13"/>
      <c r="N679" s="13"/>
      <c r="O679" s="13"/>
      <c r="P679" s="47"/>
      <c r="Q679" s="45"/>
      <c r="R679" s="45"/>
      <c r="S679" s="48"/>
      <c r="T679" s="49" t="str">
        <f t="shared" si="58"/>
        <v>[W1225.6]</v>
      </c>
      <c r="U679" s="12" t="str">
        <f t="shared" si="59"/>
        <v/>
      </c>
      <c r="V679" s="49" t="str">
        <f t="shared" si="57"/>
        <v>[W1225.6]</v>
      </c>
    </row>
    <row r="680" spans="1:22" s="49" customFormat="1" ht="14.15" customHeight="1">
      <c r="A680" s="44"/>
      <c r="B680" s="44" t="s">
        <v>6637</v>
      </c>
      <c r="C680" s="50"/>
      <c r="D680" s="10" t="s">
        <v>29</v>
      </c>
      <c r="E680" s="11"/>
      <c r="F680" s="11" t="s">
        <v>18</v>
      </c>
      <c r="G680" s="13"/>
      <c r="H680" s="45" t="s">
        <v>16</v>
      </c>
      <c r="I680" s="47"/>
      <c r="J680" s="12" t="s">
        <v>3101</v>
      </c>
      <c r="K680" s="13" t="s">
        <v>7450</v>
      </c>
      <c r="L680" s="99" t="str">
        <f t="shared" si="56"/>
        <v>W1225.7</v>
      </c>
      <c r="M680" s="13"/>
      <c r="N680" s="13"/>
      <c r="O680" s="13"/>
      <c r="P680" s="47"/>
      <c r="Q680" s="45"/>
      <c r="R680" s="45"/>
      <c r="S680" s="48"/>
      <c r="T680" s="49" t="str">
        <f t="shared" si="58"/>
        <v>[W1225.7]</v>
      </c>
      <c r="U680" s="12" t="str">
        <f t="shared" si="59"/>
        <v/>
      </c>
      <c r="V680" s="49" t="str">
        <f t="shared" si="57"/>
        <v>[W1225.7]</v>
      </c>
    </row>
    <row r="681" spans="1:22" s="49" customFormat="1" ht="14.15" customHeight="1">
      <c r="A681" s="44"/>
      <c r="B681" s="44" t="s">
        <v>6637</v>
      </c>
      <c r="C681" s="50"/>
      <c r="D681" s="10" t="s">
        <v>29</v>
      </c>
      <c r="E681" s="11"/>
      <c r="F681" s="11" t="s">
        <v>18</v>
      </c>
      <c r="G681" s="13"/>
      <c r="H681" s="45" t="s">
        <v>16</v>
      </c>
      <c r="I681" s="47"/>
      <c r="J681" s="12" t="s">
        <v>3102</v>
      </c>
      <c r="K681" s="13" t="s">
        <v>7451</v>
      </c>
      <c r="L681" s="99" t="str">
        <f t="shared" si="56"/>
        <v>W1225.8</v>
      </c>
      <c r="M681" s="13"/>
      <c r="N681" s="13"/>
      <c r="O681" s="13"/>
      <c r="P681" s="47"/>
      <c r="Q681" s="45"/>
      <c r="R681" s="45"/>
      <c r="S681" s="48"/>
      <c r="T681" s="49" t="str">
        <f t="shared" si="58"/>
        <v>[W1225.8]</v>
      </c>
      <c r="U681" s="12" t="str">
        <f t="shared" si="59"/>
        <v/>
      </c>
      <c r="V681" s="49" t="str">
        <f t="shared" si="57"/>
        <v>[W1225.8]</v>
      </c>
    </row>
    <row r="682" spans="1:22" s="49" customFormat="1" ht="14.15" customHeight="1">
      <c r="A682" s="44"/>
      <c r="B682" s="44" t="s">
        <v>6637</v>
      </c>
      <c r="C682" s="50"/>
      <c r="D682" s="10" t="s">
        <v>29</v>
      </c>
      <c r="E682" s="11"/>
      <c r="F682" s="11" t="s">
        <v>18</v>
      </c>
      <c r="G682" s="13"/>
      <c r="H682" s="45" t="s">
        <v>16</v>
      </c>
      <c r="I682" s="47"/>
      <c r="J682" s="12" t="s">
        <v>3103</v>
      </c>
      <c r="K682" s="13" t="s">
        <v>7452</v>
      </c>
      <c r="L682" s="99" t="str">
        <f t="shared" si="56"/>
        <v>W1225.9</v>
      </c>
      <c r="M682" s="13"/>
      <c r="N682" s="13"/>
      <c r="O682" s="13"/>
      <c r="P682" s="47"/>
      <c r="Q682" s="45"/>
      <c r="R682" s="45"/>
      <c r="S682" s="48"/>
      <c r="T682" s="49" t="str">
        <f t="shared" si="58"/>
        <v>[W1225.9]</v>
      </c>
      <c r="U682" s="12" t="str">
        <f t="shared" si="59"/>
        <v/>
      </c>
      <c r="V682" s="49" t="str">
        <f t="shared" si="57"/>
        <v>[W1225.9]</v>
      </c>
    </row>
    <row r="683" spans="1:22" s="49" customFormat="1" ht="14.15" customHeight="1">
      <c r="A683" s="44"/>
      <c r="B683" s="44" t="s">
        <v>6637</v>
      </c>
      <c r="C683" s="50"/>
      <c r="D683" s="10" t="s">
        <v>29</v>
      </c>
      <c r="E683" s="11"/>
      <c r="F683" s="11" t="s">
        <v>18</v>
      </c>
      <c r="G683" s="13"/>
      <c r="H683" s="45" t="s">
        <v>16</v>
      </c>
      <c r="I683" s="47"/>
      <c r="J683" s="12" t="s">
        <v>3104</v>
      </c>
      <c r="K683" s="13" t="s">
        <v>7453</v>
      </c>
      <c r="L683" s="99" t="str">
        <f t="shared" si="56"/>
        <v>W1225.A</v>
      </c>
      <c r="M683" s="13"/>
      <c r="N683" s="13"/>
      <c r="O683" s="13"/>
      <c r="P683" s="47"/>
      <c r="Q683" s="45"/>
      <c r="R683" s="45"/>
      <c r="S683" s="48"/>
      <c r="T683" s="49" t="str">
        <f t="shared" si="58"/>
        <v>[W1225.A]</v>
      </c>
      <c r="U683" s="12" t="str">
        <f t="shared" si="59"/>
        <v/>
      </c>
      <c r="V683" s="49" t="str">
        <f t="shared" si="57"/>
        <v>[W1225.A]</v>
      </c>
    </row>
    <row r="684" spans="1:22" s="49" customFormat="1" ht="14.15" customHeight="1">
      <c r="A684" s="44"/>
      <c r="B684" s="44" t="s">
        <v>6637</v>
      </c>
      <c r="C684" s="50"/>
      <c r="D684" s="10" t="s">
        <v>29</v>
      </c>
      <c r="E684" s="11"/>
      <c r="F684" s="11" t="s">
        <v>18</v>
      </c>
      <c r="G684" s="13"/>
      <c r="H684" s="45" t="s">
        <v>16</v>
      </c>
      <c r="I684" s="47"/>
      <c r="J684" s="12" t="s">
        <v>3105</v>
      </c>
      <c r="K684" s="13" t="s">
        <v>7454</v>
      </c>
      <c r="L684" s="99" t="str">
        <f t="shared" si="56"/>
        <v>W1225.B</v>
      </c>
      <c r="M684" s="13"/>
      <c r="N684" s="13"/>
      <c r="O684" s="13"/>
      <c r="P684" s="47"/>
      <c r="Q684" s="45"/>
      <c r="R684" s="45"/>
      <c r="S684" s="48"/>
      <c r="T684" s="49" t="str">
        <f t="shared" si="58"/>
        <v>[W1225.B]</v>
      </c>
      <c r="U684" s="12" t="str">
        <f t="shared" si="59"/>
        <v/>
      </c>
      <c r="V684" s="49" t="str">
        <f t="shared" si="57"/>
        <v>[W1225.B]</v>
      </c>
    </row>
    <row r="685" spans="1:22" s="49" customFormat="1" ht="14.15" customHeight="1">
      <c r="A685" s="44"/>
      <c r="B685" s="44" t="s">
        <v>6637</v>
      </c>
      <c r="C685" s="50"/>
      <c r="D685" s="10" t="s">
        <v>29</v>
      </c>
      <c r="E685" s="11"/>
      <c r="F685" s="11" t="s">
        <v>18</v>
      </c>
      <c r="G685" s="13"/>
      <c r="H685" s="45" t="s">
        <v>16</v>
      </c>
      <c r="I685" s="47"/>
      <c r="J685" s="12" t="s">
        <v>3106</v>
      </c>
      <c r="K685" s="13" t="s">
        <v>7455</v>
      </c>
      <c r="L685" s="99" t="str">
        <f t="shared" si="56"/>
        <v>W1225.C</v>
      </c>
      <c r="M685" s="13"/>
      <c r="N685" s="13"/>
      <c r="O685" s="13"/>
      <c r="P685" s="47"/>
      <c r="Q685" s="45"/>
      <c r="R685" s="45"/>
      <c r="S685" s="48"/>
      <c r="T685" s="49" t="str">
        <f t="shared" si="58"/>
        <v>[W1225.C]</v>
      </c>
      <c r="U685" s="12" t="str">
        <f t="shared" si="59"/>
        <v/>
      </c>
      <c r="V685" s="49" t="str">
        <f t="shared" si="57"/>
        <v>[W1225.C]</v>
      </c>
    </row>
    <row r="686" spans="1:22" s="49" customFormat="1" ht="14.15" customHeight="1">
      <c r="A686" s="44"/>
      <c r="B686" s="44" t="s">
        <v>6637</v>
      </c>
      <c r="C686" s="50"/>
      <c r="D686" s="10" t="s">
        <v>29</v>
      </c>
      <c r="E686" s="11"/>
      <c r="F686" s="11" t="s">
        <v>18</v>
      </c>
      <c r="G686" s="13"/>
      <c r="H686" s="45" t="s">
        <v>16</v>
      </c>
      <c r="I686" s="47"/>
      <c r="J686" s="12" t="s">
        <v>3107</v>
      </c>
      <c r="K686" s="13" t="s">
        <v>7456</v>
      </c>
      <c r="L686" s="99" t="str">
        <f t="shared" si="56"/>
        <v>W1225.D</v>
      </c>
      <c r="M686" s="13"/>
      <c r="N686" s="13"/>
      <c r="O686" s="13"/>
      <c r="P686" s="47"/>
      <c r="Q686" s="45"/>
      <c r="R686" s="45"/>
      <c r="S686" s="48"/>
      <c r="T686" s="49" t="str">
        <f t="shared" si="58"/>
        <v>[W1225.D]</v>
      </c>
      <c r="U686" s="12" t="str">
        <f t="shared" si="59"/>
        <v/>
      </c>
      <c r="V686" s="49" t="str">
        <f t="shared" si="57"/>
        <v>[W1225.D]</v>
      </c>
    </row>
    <row r="687" spans="1:22" s="49" customFormat="1" ht="14.15" customHeight="1">
      <c r="A687" s="44"/>
      <c r="B687" s="44" t="s">
        <v>6637</v>
      </c>
      <c r="C687" s="50"/>
      <c r="D687" s="10" t="s">
        <v>29</v>
      </c>
      <c r="E687" s="11"/>
      <c r="F687" s="11" t="s">
        <v>18</v>
      </c>
      <c r="G687" s="13"/>
      <c r="H687" s="45" t="s">
        <v>16</v>
      </c>
      <c r="I687" s="47"/>
      <c r="J687" s="12" t="s">
        <v>3108</v>
      </c>
      <c r="K687" s="13" t="s">
        <v>7457</v>
      </c>
      <c r="L687" s="99" t="str">
        <f t="shared" si="56"/>
        <v>W1225.E</v>
      </c>
      <c r="M687" s="13"/>
      <c r="N687" s="13"/>
      <c r="O687" s="13"/>
      <c r="P687" s="47"/>
      <c r="Q687" s="45"/>
      <c r="R687" s="45"/>
      <c r="S687" s="48"/>
      <c r="T687" s="49" t="str">
        <f t="shared" si="58"/>
        <v>[W1225.E]</v>
      </c>
      <c r="U687" s="12" t="str">
        <f t="shared" si="59"/>
        <v/>
      </c>
      <c r="V687" s="49" t="str">
        <f t="shared" si="57"/>
        <v>[W1225.E]</v>
      </c>
    </row>
    <row r="688" spans="1:22" s="49" customFormat="1" ht="14.15" customHeight="1">
      <c r="A688" s="44"/>
      <c r="B688" s="44" t="s">
        <v>6637</v>
      </c>
      <c r="C688" s="50"/>
      <c r="D688" s="10" t="s">
        <v>29</v>
      </c>
      <c r="E688" s="11"/>
      <c r="F688" s="11" t="s">
        <v>18</v>
      </c>
      <c r="G688" s="13"/>
      <c r="H688" s="45" t="s">
        <v>16</v>
      </c>
      <c r="I688" s="47"/>
      <c r="J688" s="12" t="s">
        <v>3109</v>
      </c>
      <c r="K688" s="13" t="s">
        <v>7458</v>
      </c>
      <c r="L688" s="99" t="str">
        <f t="shared" si="56"/>
        <v>W1225.F</v>
      </c>
      <c r="M688" s="13"/>
      <c r="N688" s="13"/>
      <c r="O688" s="13"/>
      <c r="P688" s="47"/>
      <c r="Q688" s="45"/>
      <c r="R688" s="45"/>
      <c r="S688" s="48"/>
      <c r="T688" s="49" t="str">
        <f t="shared" si="58"/>
        <v>[W1225.F]</v>
      </c>
      <c r="U688" s="12" t="str">
        <f t="shared" si="59"/>
        <v/>
      </c>
      <c r="V688" s="49" t="str">
        <f t="shared" si="57"/>
        <v>[W1225.F]</v>
      </c>
    </row>
    <row r="689" spans="1:22" s="49" customFormat="1" ht="14.15" customHeight="1">
      <c r="A689" s="44"/>
      <c r="B689" s="44" t="s">
        <v>6637</v>
      </c>
      <c r="C689" s="50"/>
      <c r="D689" s="10" t="s">
        <v>29</v>
      </c>
      <c r="E689" s="11"/>
      <c r="F689" s="11" t="s">
        <v>18</v>
      </c>
      <c r="G689" s="13"/>
      <c r="H689" s="45" t="s">
        <v>16</v>
      </c>
      <c r="I689" s="47"/>
      <c r="J689" s="12" t="s">
        <v>3110</v>
      </c>
      <c r="K689" s="13" t="s">
        <v>7459</v>
      </c>
      <c r="L689" s="99" t="str">
        <f t="shared" si="56"/>
        <v>W1226.0</v>
      </c>
      <c r="M689" s="13"/>
      <c r="N689" s="13"/>
      <c r="O689" s="13"/>
      <c r="P689" s="47"/>
      <c r="Q689" s="45"/>
      <c r="R689" s="45"/>
      <c r="S689" s="48"/>
      <c r="T689" s="49" t="str">
        <f t="shared" si="58"/>
        <v>[W1226.0]</v>
      </c>
      <c r="U689" s="12" t="str">
        <f t="shared" si="59"/>
        <v/>
      </c>
      <c r="V689" s="49" t="str">
        <f t="shared" si="57"/>
        <v>[W1226.0]</v>
      </c>
    </row>
    <row r="690" spans="1:22" s="49" customFormat="1" ht="14.15" customHeight="1">
      <c r="A690" s="44"/>
      <c r="B690" s="44" t="s">
        <v>6637</v>
      </c>
      <c r="C690" s="50"/>
      <c r="D690" s="10" t="s">
        <v>29</v>
      </c>
      <c r="E690" s="11"/>
      <c r="F690" s="11" t="s">
        <v>18</v>
      </c>
      <c r="G690" s="13"/>
      <c r="H690" s="45" t="s">
        <v>16</v>
      </c>
      <c r="I690" s="47"/>
      <c r="J690" s="12" t="s">
        <v>3111</v>
      </c>
      <c r="K690" s="13" t="s">
        <v>7460</v>
      </c>
      <c r="L690" s="99" t="str">
        <f t="shared" si="56"/>
        <v>W1226.1</v>
      </c>
      <c r="M690" s="13"/>
      <c r="N690" s="13"/>
      <c r="O690" s="13"/>
      <c r="P690" s="47"/>
      <c r="Q690" s="45"/>
      <c r="R690" s="45"/>
      <c r="S690" s="48"/>
      <c r="T690" s="49" t="str">
        <f t="shared" si="58"/>
        <v>[W1226.1]</v>
      </c>
      <c r="U690" s="12" t="str">
        <f t="shared" si="59"/>
        <v/>
      </c>
      <c r="V690" s="49" t="str">
        <f t="shared" si="57"/>
        <v>[W1226.1]</v>
      </c>
    </row>
    <row r="691" spans="1:22" s="49" customFormat="1" ht="14.15" customHeight="1">
      <c r="A691" s="43"/>
      <c r="B691" s="44" t="s">
        <v>6637</v>
      </c>
      <c r="C691" s="54"/>
      <c r="D691" s="10" t="s">
        <v>29</v>
      </c>
      <c r="E691" s="11"/>
      <c r="F691" s="11" t="s">
        <v>18</v>
      </c>
      <c r="G691" s="13"/>
      <c r="H691" s="45" t="s">
        <v>16</v>
      </c>
      <c r="I691" s="47"/>
      <c r="J691" s="12" t="s">
        <v>3112</v>
      </c>
      <c r="K691" s="13" t="s">
        <v>7461</v>
      </c>
      <c r="L691" s="99" t="str">
        <f t="shared" si="56"/>
        <v>W1226.2</v>
      </c>
      <c r="M691" s="13"/>
      <c r="N691" s="13"/>
      <c r="O691" s="13"/>
      <c r="P691" s="47"/>
      <c r="Q691" s="45"/>
      <c r="R691" s="45"/>
      <c r="S691" s="48"/>
      <c r="T691" s="49" t="str">
        <f t="shared" si="58"/>
        <v>[W1226.2]</v>
      </c>
      <c r="U691" s="12" t="str">
        <f t="shared" si="59"/>
        <v/>
      </c>
      <c r="V691" s="49" t="str">
        <f t="shared" si="57"/>
        <v>[W1226.2]</v>
      </c>
    </row>
    <row r="692" spans="1:22" s="49" customFormat="1" ht="14.15" customHeight="1">
      <c r="A692" s="43"/>
      <c r="B692" s="44" t="s">
        <v>6637</v>
      </c>
      <c r="C692" s="54"/>
      <c r="D692" s="10" t="s">
        <v>29</v>
      </c>
      <c r="E692" s="11"/>
      <c r="F692" s="11" t="s">
        <v>18</v>
      </c>
      <c r="G692" s="13"/>
      <c r="H692" s="45" t="s">
        <v>16</v>
      </c>
      <c r="I692" s="47"/>
      <c r="J692" s="12" t="s">
        <v>3113</v>
      </c>
      <c r="K692" s="13" t="s">
        <v>7462</v>
      </c>
      <c r="L692" s="99" t="str">
        <f t="shared" si="56"/>
        <v>W1226.3</v>
      </c>
      <c r="M692" s="13"/>
      <c r="N692" s="13"/>
      <c r="O692" s="13"/>
      <c r="P692" s="47"/>
      <c r="Q692" s="45"/>
      <c r="R692" s="45"/>
      <c r="S692" s="48"/>
      <c r="T692" s="49" t="str">
        <f t="shared" si="58"/>
        <v>[W1226.3]</v>
      </c>
      <c r="U692" s="12" t="str">
        <f t="shared" si="59"/>
        <v/>
      </c>
      <c r="V692" s="49" t="str">
        <f t="shared" si="57"/>
        <v>[W1226.3]</v>
      </c>
    </row>
    <row r="693" spans="1:22" s="49" customFormat="1" ht="14.15" customHeight="1">
      <c r="A693" s="43"/>
      <c r="B693" s="44" t="s">
        <v>6637</v>
      </c>
      <c r="C693" s="54"/>
      <c r="D693" s="10" t="s">
        <v>29</v>
      </c>
      <c r="E693" s="11"/>
      <c r="F693" s="11" t="s">
        <v>18</v>
      </c>
      <c r="G693" s="13"/>
      <c r="H693" s="45" t="s">
        <v>16</v>
      </c>
      <c r="I693" s="47"/>
      <c r="J693" s="12" t="s">
        <v>3114</v>
      </c>
      <c r="K693" s="13" t="s">
        <v>7463</v>
      </c>
      <c r="L693" s="99" t="str">
        <f t="shared" si="56"/>
        <v>W1226.4</v>
      </c>
      <c r="M693" s="13"/>
      <c r="N693" s="13"/>
      <c r="O693" s="13"/>
      <c r="P693" s="47"/>
      <c r="Q693" s="45"/>
      <c r="R693" s="45"/>
      <c r="S693" s="48"/>
      <c r="T693" s="49" t="str">
        <f t="shared" si="58"/>
        <v>[W1226.4]</v>
      </c>
      <c r="U693" s="12" t="str">
        <f t="shared" si="59"/>
        <v/>
      </c>
      <c r="V693" s="49" t="str">
        <f t="shared" si="57"/>
        <v>[W1226.4]</v>
      </c>
    </row>
    <row r="694" spans="1:22" s="49" customFormat="1" ht="14.15" customHeight="1">
      <c r="A694" s="43"/>
      <c r="B694" s="44" t="s">
        <v>6637</v>
      </c>
      <c r="C694" s="54"/>
      <c r="D694" s="10" t="s">
        <v>29</v>
      </c>
      <c r="E694" s="11"/>
      <c r="F694" s="11" t="s">
        <v>18</v>
      </c>
      <c r="G694" s="13"/>
      <c r="H694" s="45" t="s">
        <v>16</v>
      </c>
      <c r="I694" s="47"/>
      <c r="J694" s="12" t="s">
        <v>3115</v>
      </c>
      <c r="K694" s="13" t="s">
        <v>7464</v>
      </c>
      <c r="L694" s="99" t="str">
        <f t="shared" si="56"/>
        <v>W1226.5</v>
      </c>
      <c r="M694" s="13"/>
      <c r="N694" s="13"/>
      <c r="O694" s="13"/>
      <c r="P694" s="47"/>
      <c r="Q694" s="45"/>
      <c r="R694" s="45"/>
      <c r="S694" s="48"/>
      <c r="T694" s="49" t="str">
        <f t="shared" si="58"/>
        <v>[W1226.5]</v>
      </c>
      <c r="U694" s="12" t="str">
        <f t="shared" si="59"/>
        <v/>
      </c>
      <c r="V694" s="49" t="str">
        <f t="shared" si="57"/>
        <v>[W1226.5]</v>
      </c>
    </row>
    <row r="695" spans="1:22" s="49" customFormat="1" ht="14.15" customHeight="1">
      <c r="A695" s="43"/>
      <c r="B695" s="44" t="s">
        <v>6637</v>
      </c>
      <c r="C695" s="54"/>
      <c r="D695" s="10" t="s">
        <v>29</v>
      </c>
      <c r="E695" s="11"/>
      <c r="F695" s="11" t="s">
        <v>18</v>
      </c>
      <c r="G695" s="13"/>
      <c r="H695" s="45" t="s">
        <v>16</v>
      </c>
      <c r="I695" s="47"/>
      <c r="J695" s="12" t="s">
        <v>3116</v>
      </c>
      <c r="K695" s="13" t="s">
        <v>7465</v>
      </c>
      <c r="L695" s="99" t="str">
        <f t="shared" si="56"/>
        <v>W1226.6</v>
      </c>
      <c r="M695" s="13"/>
      <c r="N695" s="13"/>
      <c r="O695" s="13"/>
      <c r="P695" s="47"/>
      <c r="Q695" s="45"/>
      <c r="R695" s="45"/>
      <c r="S695" s="48"/>
      <c r="T695" s="49" t="str">
        <f t="shared" si="58"/>
        <v>[W1226.6]</v>
      </c>
      <c r="U695" s="12" t="str">
        <f t="shared" si="59"/>
        <v/>
      </c>
      <c r="V695" s="49" t="str">
        <f t="shared" si="57"/>
        <v>[W1226.6]</v>
      </c>
    </row>
    <row r="696" spans="1:22" s="49" customFormat="1" ht="14.15" customHeight="1">
      <c r="A696" s="43"/>
      <c r="B696" s="44" t="s">
        <v>6637</v>
      </c>
      <c r="C696" s="54"/>
      <c r="D696" s="10" t="s">
        <v>29</v>
      </c>
      <c r="E696" s="11"/>
      <c r="F696" s="11" t="s">
        <v>18</v>
      </c>
      <c r="G696" s="13"/>
      <c r="H696" s="45" t="s">
        <v>16</v>
      </c>
      <c r="I696" s="47"/>
      <c r="J696" s="12" t="s">
        <v>3117</v>
      </c>
      <c r="K696" s="13" t="s">
        <v>7466</v>
      </c>
      <c r="L696" s="99" t="str">
        <f t="shared" si="56"/>
        <v>W1226.7</v>
      </c>
      <c r="M696" s="13"/>
      <c r="N696" s="13"/>
      <c r="O696" s="13"/>
      <c r="P696" s="47"/>
      <c r="Q696" s="45"/>
      <c r="R696" s="45"/>
      <c r="S696" s="48"/>
      <c r="T696" s="49" t="str">
        <f t="shared" si="58"/>
        <v>[W1226.7]</v>
      </c>
      <c r="U696" s="12" t="str">
        <f t="shared" si="59"/>
        <v/>
      </c>
      <c r="V696" s="49" t="str">
        <f t="shared" si="57"/>
        <v>[W1226.7]</v>
      </c>
    </row>
    <row r="697" spans="1:22" s="49" customFormat="1" ht="14.15" customHeight="1">
      <c r="A697" s="43"/>
      <c r="B697" s="44" t="s">
        <v>6637</v>
      </c>
      <c r="C697" s="54"/>
      <c r="D697" s="10" t="s">
        <v>29</v>
      </c>
      <c r="E697" s="11"/>
      <c r="F697" s="11" t="s">
        <v>18</v>
      </c>
      <c r="G697" s="13"/>
      <c r="H697" s="45" t="s">
        <v>16</v>
      </c>
      <c r="I697" s="47"/>
      <c r="J697" s="12" t="s">
        <v>3118</v>
      </c>
      <c r="K697" s="13" t="s">
        <v>7467</v>
      </c>
      <c r="L697" s="99" t="str">
        <f t="shared" si="56"/>
        <v>W1226.8</v>
      </c>
      <c r="M697" s="13"/>
      <c r="N697" s="13"/>
      <c r="O697" s="13"/>
      <c r="P697" s="47"/>
      <c r="Q697" s="45"/>
      <c r="R697" s="45"/>
      <c r="S697" s="48"/>
      <c r="T697" s="49" t="str">
        <f t="shared" si="58"/>
        <v>[W1226.8]</v>
      </c>
      <c r="U697" s="12" t="str">
        <f t="shared" si="59"/>
        <v/>
      </c>
      <c r="V697" s="49" t="str">
        <f t="shared" si="57"/>
        <v>[W1226.8]</v>
      </c>
    </row>
    <row r="698" spans="1:22" s="49" customFormat="1" ht="14.15" customHeight="1">
      <c r="A698" s="43"/>
      <c r="B698" s="44" t="s">
        <v>6637</v>
      </c>
      <c r="C698" s="54"/>
      <c r="D698" s="10" t="s">
        <v>29</v>
      </c>
      <c r="E698" s="11"/>
      <c r="F698" s="11" t="s">
        <v>18</v>
      </c>
      <c r="G698" s="13"/>
      <c r="H698" s="45" t="s">
        <v>16</v>
      </c>
      <c r="I698" s="47"/>
      <c r="J698" s="12" t="s">
        <v>3119</v>
      </c>
      <c r="K698" s="13" t="s">
        <v>7468</v>
      </c>
      <c r="L698" s="99" t="str">
        <f t="shared" si="56"/>
        <v>W1226.9</v>
      </c>
      <c r="M698" s="13"/>
      <c r="N698" s="13"/>
      <c r="O698" s="13"/>
      <c r="P698" s="47"/>
      <c r="Q698" s="45"/>
      <c r="R698" s="45"/>
      <c r="S698" s="48"/>
      <c r="T698" s="49" t="str">
        <f t="shared" si="58"/>
        <v>[W1226.9]</v>
      </c>
      <c r="U698" s="12" t="str">
        <f t="shared" si="59"/>
        <v/>
      </c>
      <c r="V698" s="49" t="str">
        <f t="shared" si="57"/>
        <v>[W1226.9]</v>
      </c>
    </row>
    <row r="699" spans="1:22" s="49" customFormat="1" ht="14.15" customHeight="1">
      <c r="A699" s="43"/>
      <c r="B699" s="44" t="s">
        <v>6637</v>
      </c>
      <c r="C699" s="54"/>
      <c r="D699" s="10" t="s">
        <v>29</v>
      </c>
      <c r="E699" s="11"/>
      <c r="F699" s="11" t="s">
        <v>18</v>
      </c>
      <c r="G699" s="13"/>
      <c r="H699" s="45" t="s">
        <v>16</v>
      </c>
      <c r="I699" s="47"/>
      <c r="J699" s="12" t="s">
        <v>3120</v>
      </c>
      <c r="K699" s="13" t="s">
        <v>7469</v>
      </c>
      <c r="L699" s="99" t="str">
        <f t="shared" si="56"/>
        <v>W1226.A</v>
      </c>
      <c r="M699" s="13"/>
      <c r="N699" s="13"/>
      <c r="O699" s="13"/>
      <c r="P699" s="47"/>
      <c r="Q699" s="45"/>
      <c r="R699" s="45"/>
      <c r="S699" s="48"/>
      <c r="T699" s="49" t="str">
        <f t="shared" si="58"/>
        <v>[W1226.A]</v>
      </c>
      <c r="U699" s="12" t="str">
        <f t="shared" si="59"/>
        <v/>
      </c>
      <c r="V699" s="49" t="str">
        <f t="shared" si="57"/>
        <v>[W1226.A]</v>
      </c>
    </row>
    <row r="700" spans="1:22" s="49" customFormat="1" ht="14.15" customHeight="1">
      <c r="A700" s="43"/>
      <c r="B700" s="44" t="s">
        <v>6637</v>
      </c>
      <c r="C700" s="54"/>
      <c r="D700" s="10" t="s">
        <v>29</v>
      </c>
      <c r="E700" s="11"/>
      <c r="F700" s="11" t="s">
        <v>18</v>
      </c>
      <c r="G700" s="13"/>
      <c r="H700" s="45" t="s">
        <v>16</v>
      </c>
      <c r="I700" s="47"/>
      <c r="J700" s="12" t="s">
        <v>3121</v>
      </c>
      <c r="K700" s="13" t="s">
        <v>7470</v>
      </c>
      <c r="L700" s="99" t="str">
        <f t="shared" si="56"/>
        <v>W1226.B</v>
      </c>
      <c r="M700" s="13"/>
      <c r="N700" s="13"/>
      <c r="O700" s="13"/>
      <c r="P700" s="47"/>
      <c r="Q700" s="45"/>
      <c r="R700" s="45"/>
      <c r="S700" s="48"/>
      <c r="T700" s="49" t="str">
        <f t="shared" si="58"/>
        <v>[W1226.B]</v>
      </c>
      <c r="U700" s="12" t="str">
        <f t="shared" si="59"/>
        <v/>
      </c>
      <c r="V700" s="49" t="str">
        <f t="shared" si="57"/>
        <v>[W1226.B]</v>
      </c>
    </row>
    <row r="701" spans="1:22" s="49" customFormat="1" ht="14.15" customHeight="1">
      <c r="A701" s="43"/>
      <c r="B701" s="44" t="s">
        <v>6637</v>
      </c>
      <c r="C701" s="54"/>
      <c r="D701" s="10" t="s">
        <v>29</v>
      </c>
      <c r="E701" s="11"/>
      <c r="F701" s="11" t="s">
        <v>18</v>
      </c>
      <c r="G701" s="13"/>
      <c r="H701" s="45" t="s">
        <v>16</v>
      </c>
      <c r="I701" s="47"/>
      <c r="J701" s="12" t="s">
        <v>3122</v>
      </c>
      <c r="K701" s="13" t="s">
        <v>7471</v>
      </c>
      <c r="L701" s="99" t="str">
        <f t="shared" si="56"/>
        <v>W1226.C</v>
      </c>
      <c r="M701" s="13"/>
      <c r="N701" s="13"/>
      <c r="O701" s="13"/>
      <c r="P701" s="47"/>
      <c r="Q701" s="45"/>
      <c r="R701" s="45"/>
      <c r="S701" s="48"/>
      <c r="T701" s="49" t="str">
        <f t="shared" si="58"/>
        <v>[W1226.C]</v>
      </c>
      <c r="U701" s="12" t="str">
        <f t="shared" si="59"/>
        <v/>
      </c>
      <c r="V701" s="49" t="str">
        <f t="shared" si="57"/>
        <v>[W1226.C]</v>
      </c>
    </row>
    <row r="702" spans="1:22" s="49" customFormat="1" ht="14.15" customHeight="1">
      <c r="A702" s="43"/>
      <c r="B702" s="44" t="s">
        <v>6637</v>
      </c>
      <c r="C702" s="54"/>
      <c r="D702" s="10" t="s">
        <v>29</v>
      </c>
      <c r="E702" s="11"/>
      <c r="F702" s="11" t="s">
        <v>18</v>
      </c>
      <c r="G702" s="13"/>
      <c r="H702" s="45" t="s">
        <v>16</v>
      </c>
      <c r="I702" s="47"/>
      <c r="J702" s="12" t="s">
        <v>3123</v>
      </c>
      <c r="K702" s="13" t="s">
        <v>7472</v>
      </c>
      <c r="L702" s="99" t="str">
        <f t="shared" si="56"/>
        <v>W1226.D</v>
      </c>
      <c r="M702" s="13"/>
      <c r="N702" s="13"/>
      <c r="O702" s="13"/>
      <c r="P702" s="47"/>
      <c r="Q702" s="45"/>
      <c r="R702" s="45"/>
      <c r="S702" s="48"/>
      <c r="T702" s="49" t="str">
        <f t="shared" ref="T702:T733" si="60">"["&amp;L702&amp;"]"</f>
        <v>[W1226.D]</v>
      </c>
      <c r="U702" s="12" t="str">
        <f t="shared" ref="U702:U733" si="61">RIGHT(J702,LEN(J702)-7)</f>
        <v/>
      </c>
      <c r="V702" s="49" t="str">
        <f t="shared" si="57"/>
        <v>[W1226.D]</v>
      </c>
    </row>
    <row r="703" spans="1:22" s="49" customFormat="1" ht="14.15" customHeight="1">
      <c r="A703" s="43"/>
      <c r="B703" s="44" t="s">
        <v>6637</v>
      </c>
      <c r="C703" s="54"/>
      <c r="D703" s="10" t="s">
        <v>29</v>
      </c>
      <c r="E703" s="11"/>
      <c r="F703" s="11" t="s">
        <v>18</v>
      </c>
      <c r="G703" s="13"/>
      <c r="H703" s="45" t="s">
        <v>16</v>
      </c>
      <c r="I703" s="47"/>
      <c r="J703" s="12" t="s">
        <v>3124</v>
      </c>
      <c r="K703" s="13" t="s">
        <v>7473</v>
      </c>
      <c r="L703" s="99" t="str">
        <f t="shared" si="56"/>
        <v>W1226.E</v>
      </c>
      <c r="M703" s="13"/>
      <c r="N703" s="13"/>
      <c r="O703" s="13"/>
      <c r="P703" s="47"/>
      <c r="Q703" s="45"/>
      <c r="R703" s="45"/>
      <c r="S703" s="48"/>
      <c r="T703" s="49" t="str">
        <f t="shared" si="60"/>
        <v>[W1226.E]</v>
      </c>
      <c r="U703" s="12" t="str">
        <f t="shared" si="61"/>
        <v/>
      </c>
      <c r="V703" s="49" t="str">
        <f t="shared" si="57"/>
        <v>[W1226.E]</v>
      </c>
    </row>
    <row r="704" spans="1:22" s="49" customFormat="1" ht="14.15" customHeight="1">
      <c r="A704" s="43"/>
      <c r="B704" s="44" t="s">
        <v>6637</v>
      </c>
      <c r="C704" s="54"/>
      <c r="D704" s="10" t="s">
        <v>29</v>
      </c>
      <c r="E704" s="11"/>
      <c r="F704" s="11" t="s">
        <v>18</v>
      </c>
      <c r="G704" s="13"/>
      <c r="H704" s="45" t="s">
        <v>16</v>
      </c>
      <c r="I704" s="47"/>
      <c r="J704" s="12" t="s">
        <v>3125</v>
      </c>
      <c r="K704" s="13" t="s">
        <v>7474</v>
      </c>
      <c r="L704" s="99" t="str">
        <f t="shared" si="56"/>
        <v>W1226.F</v>
      </c>
      <c r="M704" s="13"/>
      <c r="N704" s="13"/>
      <c r="O704" s="13"/>
      <c r="P704" s="47"/>
      <c r="Q704" s="45"/>
      <c r="R704" s="45"/>
      <c r="S704" s="48"/>
      <c r="T704" s="49" t="str">
        <f t="shared" si="60"/>
        <v>[W1226.F]</v>
      </c>
      <c r="U704" s="12" t="str">
        <f t="shared" si="61"/>
        <v/>
      </c>
      <c r="V704" s="49" t="str">
        <f t="shared" si="57"/>
        <v>[W1226.F]</v>
      </c>
    </row>
    <row r="705" spans="1:22" s="49" customFormat="1" ht="14.15" customHeight="1">
      <c r="A705" s="43"/>
      <c r="B705" s="44" t="s">
        <v>6637</v>
      </c>
      <c r="C705" s="54"/>
      <c r="D705" s="10" t="s">
        <v>29</v>
      </c>
      <c r="E705" s="11"/>
      <c r="F705" s="11" t="s">
        <v>18</v>
      </c>
      <c r="G705" s="13"/>
      <c r="H705" s="45" t="s">
        <v>16</v>
      </c>
      <c r="I705" s="47"/>
      <c r="J705" s="12" t="s">
        <v>3126</v>
      </c>
      <c r="K705" s="13" t="s">
        <v>7475</v>
      </c>
      <c r="L705" s="99" t="str">
        <f t="shared" si="56"/>
        <v>W1227.0</v>
      </c>
      <c r="M705" s="13"/>
      <c r="N705" s="13"/>
      <c r="O705" s="13"/>
      <c r="P705" s="47"/>
      <c r="Q705" s="45"/>
      <c r="R705" s="45"/>
      <c r="S705" s="48"/>
      <c r="T705" s="49" t="str">
        <f t="shared" si="60"/>
        <v>[W1227.0]</v>
      </c>
      <c r="U705" s="12" t="str">
        <f t="shared" si="61"/>
        <v/>
      </c>
      <c r="V705" s="49" t="str">
        <f t="shared" si="57"/>
        <v>[W1227.0]</v>
      </c>
    </row>
    <row r="706" spans="1:22" s="49" customFormat="1" ht="14.15" customHeight="1">
      <c r="A706" s="43"/>
      <c r="B706" s="44" t="s">
        <v>6637</v>
      </c>
      <c r="C706" s="54"/>
      <c r="D706" s="10" t="s">
        <v>29</v>
      </c>
      <c r="E706" s="11"/>
      <c r="F706" s="11" t="s">
        <v>18</v>
      </c>
      <c r="G706" s="13"/>
      <c r="H706" s="45" t="s">
        <v>16</v>
      </c>
      <c r="I706" s="47"/>
      <c r="J706" s="12" t="s">
        <v>3127</v>
      </c>
      <c r="K706" s="13" t="s">
        <v>7476</v>
      </c>
      <c r="L706" s="99" t="str">
        <f t="shared" si="56"/>
        <v>W1227.1</v>
      </c>
      <c r="M706" s="13"/>
      <c r="N706" s="13"/>
      <c r="O706" s="13"/>
      <c r="P706" s="47"/>
      <c r="Q706" s="45"/>
      <c r="R706" s="45"/>
      <c r="S706" s="48"/>
      <c r="T706" s="49" t="str">
        <f t="shared" si="60"/>
        <v>[W1227.1]</v>
      </c>
      <c r="U706" s="12" t="str">
        <f t="shared" si="61"/>
        <v/>
      </c>
      <c r="V706" s="49" t="str">
        <f t="shared" si="57"/>
        <v>[W1227.1]</v>
      </c>
    </row>
    <row r="707" spans="1:22" s="49" customFormat="1" ht="14.15" customHeight="1">
      <c r="A707" s="43"/>
      <c r="B707" s="44" t="s">
        <v>6637</v>
      </c>
      <c r="C707" s="54"/>
      <c r="D707" s="10" t="s">
        <v>29</v>
      </c>
      <c r="E707" s="11"/>
      <c r="F707" s="11" t="s">
        <v>18</v>
      </c>
      <c r="G707" s="13"/>
      <c r="H707" s="45" t="s">
        <v>16</v>
      </c>
      <c r="I707" s="47"/>
      <c r="J707" s="12" t="s">
        <v>3128</v>
      </c>
      <c r="K707" s="13" t="s">
        <v>7477</v>
      </c>
      <c r="L707" s="99" t="str">
        <f t="shared" si="56"/>
        <v>W1227.2</v>
      </c>
      <c r="M707" s="13"/>
      <c r="N707" s="13"/>
      <c r="O707" s="13"/>
      <c r="P707" s="47"/>
      <c r="Q707" s="45"/>
      <c r="R707" s="45"/>
      <c r="S707" s="48"/>
      <c r="T707" s="49" t="str">
        <f t="shared" si="60"/>
        <v>[W1227.2]</v>
      </c>
      <c r="U707" s="12" t="str">
        <f t="shared" si="61"/>
        <v/>
      </c>
      <c r="V707" s="49" t="str">
        <f t="shared" si="57"/>
        <v>[W1227.2]</v>
      </c>
    </row>
    <row r="708" spans="1:22" s="49" customFormat="1" ht="14.15" customHeight="1">
      <c r="A708" s="43"/>
      <c r="B708" s="44" t="s">
        <v>6637</v>
      </c>
      <c r="C708" s="54"/>
      <c r="D708" s="10" t="s">
        <v>29</v>
      </c>
      <c r="E708" s="11"/>
      <c r="F708" s="11" t="s">
        <v>18</v>
      </c>
      <c r="G708" s="13"/>
      <c r="H708" s="45" t="s">
        <v>16</v>
      </c>
      <c r="I708" s="47"/>
      <c r="J708" s="12" t="s">
        <v>3129</v>
      </c>
      <c r="K708" s="13" t="s">
        <v>7478</v>
      </c>
      <c r="L708" s="99" t="str">
        <f t="shared" si="56"/>
        <v>W1227.3</v>
      </c>
      <c r="M708" s="13"/>
      <c r="N708" s="13"/>
      <c r="O708" s="13"/>
      <c r="P708" s="47"/>
      <c r="Q708" s="45"/>
      <c r="R708" s="45"/>
      <c r="S708" s="48"/>
      <c r="T708" s="49" t="str">
        <f t="shared" si="60"/>
        <v>[W1227.3]</v>
      </c>
      <c r="U708" s="12" t="str">
        <f t="shared" si="61"/>
        <v/>
      </c>
      <c r="V708" s="49" t="str">
        <f t="shared" si="57"/>
        <v>[W1227.3]</v>
      </c>
    </row>
    <row r="709" spans="1:22" s="49" customFormat="1" ht="14.15" customHeight="1">
      <c r="A709" s="43"/>
      <c r="B709" s="44" t="s">
        <v>6637</v>
      </c>
      <c r="C709" s="54"/>
      <c r="D709" s="10" t="s">
        <v>29</v>
      </c>
      <c r="E709" s="11"/>
      <c r="F709" s="11" t="s">
        <v>18</v>
      </c>
      <c r="G709" s="13"/>
      <c r="H709" s="45" t="s">
        <v>16</v>
      </c>
      <c r="I709" s="47"/>
      <c r="J709" s="12" t="s">
        <v>3130</v>
      </c>
      <c r="K709" s="13" t="s">
        <v>7479</v>
      </c>
      <c r="L709" s="99" t="str">
        <f t="shared" si="56"/>
        <v>W1227.4</v>
      </c>
      <c r="M709" s="13"/>
      <c r="N709" s="13"/>
      <c r="O709" s="13"/>
      <c r="P709" s="47"/>
      <c r="Q709" s="45"/>
      <c r="R709" s="45"/>
      <c r="S709" s="48"/>
      <c r="T709" s="49" t="str">
        <f t="shared" si="60"/>
        <v>[W1227.4]</v>
      </c>
      <c r="U709" s="12" t="str">
        <f t="shared" si="61"/>
        <v/>
      </c>
      <c r="V709" s="49" t="str">
        <f t="shared" si="57"/>
        <v>[W1227.4]</v>
      </c>
    </row>
    <row r="710" spans="1:22" s="49" customFormat="1" ht="14.15" customHeight="1">
      <c r="A710" s="43"/>
      <c r="B710" s="44" t="s">
        <v>6637</v>
      </c>
      <c r="C710" s="54"/>
      <c r="D710" s="10" t="s">
        <v>29</v>
      </c>
      <c r="E710" s="11"/>
      <c r="F710" s="11" t="s">
        <v>18</v>
      </c>
      <c r="G710" s="13"/>
      <c r="H710" s="45" t="s">
        <v>16</v>
      </c>
      <c r="I710" s="47"/>
      <c r="J710" s="12" t="s">
        <v>3131</v>
      </c>
      <c r="K710" s="13" t="s">
        <v>7480</v>
      </c>
      <c r="L710" s="99" t="str">
        <f t="shared" si="56"/>
        <v>W1227.5</v>
      </c>
      <c r="M710" s="13"/>
      <c r="N710" s="13"/>
      <c r="O710" s="13"/>
      <c r="P710" s="47"/>
      <c r="Q710" s="45"/>
      <c r="R710" s="45"/>
      <c r="S710" s="48"/>
      <c r="T710" s="49" t="str">
        <f t="shared" si="60"/>
        <v>[W1227.5]</v>
      </c>
      <c r="U710" s="12" t="str">
        <f t="shared" si="61"/>
        <v/>
      </c>
      <c r="V710" s="49" t="str">
        <f t="shared" si="57"/>
        <v>[W1227.5]</v>
      </c>
    </row>
    <row r="711" spans="1:22" s="49" customFormat="1" ht="14.15" customHeight="1">
      <c r="A711" s="43"/>
      <c r="B711" s="44" t="s">
        <v>6637</v>
      </c>
      <c r="C711" s="54"/>
      <c r="D711" s="10" t="s">
        <v>29</v>
      </c>
      <c r="E711" s="11"/>
      <c r="F711" s="11" t="s">
        <v>18</v>
      </c>
      <c r="G711" s="13"/>
      <c r="H711" s="45" t="s">
        <v>16</v>
      </c>
      <c r="I711" s="47"/>
      <c r="J711" s="12" t="s">
        <v>3132</v>
      </c>
      <c r="K711" s="13" t="s">
        <v>7481</v>
      </c>
      <c r="L711" s="99" t="str">
        <f t="shared" si="56"/>
        <v>W1227.6</v>
      </c>
      <c r="M711" s="13"/>
      <c r="N711" s="13"/>
      <c r="O711" s="13"/>
      <c r="P711" s="47"/>
      <c r="Q711" s="45"/>
      <c r="R711" s="45"/>
      <c r="S711" s="48"/>
      <c r="T711" s="49" t="str">
        <f t="shared" si="60"/>
        <v>[W1227.6]</v>
      </c>
      <c r="U711" s="12" t="str">
        <f t="shared" si="61"/>
        <v/>
      </c>
      <c r="V711" s="49" t="str">
        <f t="shared" si="57"/>
        <v>[W1227.6]</v>
      </c>
    </row>
    <row r="712" spans="1:22" s="49" customFormat="1" ht="14.15" customHeight="1">
      <c r="A712" s="43"/>
      <c r="B712" s="44" t="s">
        <v>6637</v>
      </c>
      <c r="C712" s="54"/>
      <c r="D712" s="10" t="s">
        <v>29</v>
      </c>
      <c r="E712" s="11"/>
      <c r="F712" s="11" t="s">
        <v>18</v>
      </c>
      <c r="G712" s="13"/>
      <c r="H712" s="45" t="s">
        <v>16</v>
      </c>
      <c r="I712" s="47"/>
      <c r="J712" s="12" t="s">
        <v>3133</v>
      </c>
      <c r="K712" s="13" t="s">
        <v>7482</v>
      </c>
      <c r="L712" s="99" t="str">
        <f t="shared" si="56"/>
        <v>W1227.7</v>
      </c>
      <c r="M712" s="13"/>
      <c r="N712" s="13"/>
      <c r="O712" s="13"/>
      <c r="P712" s="47"/>
      <c r="Q712" s="45"/>
      <c r="R712" s="45"/>
      <c r="S712" s="48"/>
      <c r="T712" s="49" t="str">
        <f t="shared" si="60"/>
        <v>[W1227.7]</v>
      </c>
      <c r="U712" s="12" t="str">
        <f t="shared" si="61"/>
        <v/>
      </c>
      <c r="V712" s="49" t="str">
        <f t="shared" si="57"/>
        <v>[W1227.7]</v>
      </c>
    </row>
    <row r="713" spans="1:22" s="49" customFormat="1" ht="14.15" customHeight="1">
      <c r="A713" s="43"/>
      <c r="B713" s="44" t="s">
        <v>6637</v>
      </c>
      <c r="C713" s="54"/>
      <c r="D713" s="10" t="s">
        <v>29</v>
      </c>
      <c r="E713" s="11"/>
      <c r="F713" s="11" t="s">
        <v>18</v>
      </c>
      <c r="G713" s="13"/>
      <c r="H713" s="45" t="s">
        <v>16</v>
      </c>
      <c r="I713" s="47"/>
      <c r="J713" s="12" t="s">
        <v>3134</v>
      </c>
      <c r="K713" s="13" t="s">
        <v>7483</v>
      </c>
      <c r="L713" s="99" t="str">
        <f t="shared" si="56"/>
        <v>W1227.8</v>
      </c>
      <c r="M713" s="13"/>
      <c r="N713" s="13"/>
      <c r="O713" s="13"/>
      <c r="P713" s="47"/>
      <c r="Q713" s="45"/>
      <c r="R713" s="45"/>
      <c r="S713" s="48"/>
      <c r="T713" s="49" t="str">
        <f t="shared" si="60"/>
        <v>[W1227.8]</v>
      </c>
      <c r="U713" s="12" t="str">
        <f t="shared" si="61"/>
        <v/>
      </c>
      <c r="V713" s="49" t="str">
        <f t="shared" si="57"/>
        <v>[W1227.8]</v>
      </c>
    </row>
    <row r="714" spans="1:22" s="49" customFormat="1" ht="14.15" customHeight="1">
      <c r="A714" s="43"/>
      <c r="B714" s="44" t="s">
        <v>6637</v>
      </c>
      <c r="C714" s="54"/>
      <c r="D714" s="10" t="s">
        <v>29</v>
      </c>
      <c r="E714" s="11"/>
      <c r="F714" s="11" t="s">
        <v>18</v>
      </c>
      <c r="G714" s="13"/>
      <c r="H714" s="45" t="s">
        <v>16</v>
      </c>
      <c r="I714" s="47"/>
      <c r="J714" s="12" t="s">
        <v>3135</v>
      </c>
      <c r="K714" s="13" t="s">
        <v>7484</v>
      </c>
      <c r="L714" s="99" t="str">
        <f t="shared" si="56"/>
        <v>W1227.9</v>
      </c>
      <c r="M714" s="13"/>
      <c r="N714" s="13"/>
      <c r="O714" s="13"/>
      <c r="P714" s="47"/>
      <c r="Q714" s="45"/>
      <c r="R714" s="45"/>
      <c r="S714" s="48"/>
      <c r="T714" s="49" t="str">
        <f t="shared" si="60"/>
        <v>[W1227.9]</v>
      </c>
      <c r="U714" s="12" t="str">
        <f t="shared" si="61"/>
        <v/>
      </c>
      <c r="V714" s="49" t="str">
        <f t="shared" si="57"/>
        <v>[W1227.9]</v>
      </c>
    </row>
    <row r="715" spans="1:22" s="49" customFormat="1" ht="14.15" customHeight="1">
      <c r="A715" s="43"/>
      <c r="B715" s="44" t="s">
        <v>6637</v>
      </c>
      <c r="C715" s="54"/>
      <c r="D715" s="10" t="s">
        <v>29</v>
      </c>
      <c r="E715" s="11"/>
      <c r="F715" s="11" t="s">
        <v>18</v>
      </c>
      <c r="G715" s="13"/>
      <c r="H715" s="45" t="s">
        <v>16</v>
      </c>
      <c r="I715" s="47"/>
      <c r="J715" s="12" t="s">
        <v>3136</v>
      </c>
      <c r="K715" s="13" t="s">
        <v>7485</v>
      </c>
      <c r="L715" s="99" t="str">
        <f t="shared" si="56"/>
        <v>W1227.A</v>
      </c>
      <c r="M715" s="13"/>
      <c r="N715" s="13"/>
      <c r="O715" s="13"/>
      <c r="P715" s="47"/>
      <c r="Q715" s="45"/>
      <c r="R715" s="45"/>
      <c r="S715" s="48"/>
      <c r="T715" s="49" t="str">
        <f t="shared" si="60"/>
        <v>[W1227.A]</v>
      </c>
      <c r="U715" s="12" t="str">
        <f t="shared" si="61"/>
        <v/>
      </c>
      <c r="V715" s="49" t="str">
        <f t="shared" si="57"/>
        <v>[W1227.A]</v>
      </c>
    </row>
    <row r="716" spans="1:22" s="49" customFormat="1" ht="14.15" customHeight="1">
      <c r="A716" s="43"/>
      <c r="B716" s="44" t="s">
        <v>6637</v>
      </c>
      <c r="C716" s="54"/>
      <c r="D716" s="10" t="s">
        <v>29</v>
      </c>
      <c r="E716" s="11"/>
      <c r="F716" s="11" t="s">
        <v>18</v>
      </c>
      <c r="G716" s="13"/>
      <c r="H716" s="45" t="s">
        <v>16</v>
      </c>
      <c r="I716" s="47"/>
      <c r="J716" s="12" t="s">
        <v>3137</v>
      </c>
      <c r="K716" s="13" t="s">
        <v>7486</v>
      </c>
      <c r="L716" s="99" t="str">
        <f t="shared" si="56"/>
        <v>W1227.B</v>
      </c>
      <c r="M716" s="13"/>
      <c r="N716" s="13"/>
      <c r="O716" s="13"/>
      <c r="P716" s="47"/>
      <c r="Q716" s="45"/>
      <c r="R716" s="45"/>
      <c r="S716" s="48"/>
      <c r="T716" s="49" t="str">
        <f t="shared" si="60"/>
        <v>[W1227.B]</v>
      </c>
      <c r="U716" s="12" t="str">
        <f t="shared" si="61"/>
        <v/>
      </c>
      <c r="V716" s="49" t="str">
        <f t="shared" si="57"/>
        <v>[W1227.B]</v>
      </c>
    </row>
    <row r="717" spans="1:22" s="49" customFormat="1" ht="14.15" customHeight="1">
      <c r="A717" s="43"/>
      <c r="B717" s="44" t="s">
        <v>6637</v>
      </c>
      <c r="C717" s="54"/>
      <c r="D717" s="10" t="s">
        <v>29</v>
      </c>
      <c r="E717" s="11"/>
      <c r="F717" s="11" t="s">
        <v>18</v>
      </c>
      <c r="G717" s="13"/>
      <c r="H717" s="45" t="s">
        <v>16</v>
      </c>
      <c r="I717" s="47"/>
      <c r="J717" s="12" t="s">
        <v>3138</v>
      </c>
      <c r="K717" s="13" t="s">
        <v>7487</v>
      </c>
      <c r="L717" s="99" t="str">
        <f t="shared" si="56"/>
        <v>W1227.C</v>
      </c>
      <c r="M717" s="13"/>
      <c r="N717" s="13"/>
      <c r="O717" s="13"/>
      <c r="P717" s="47"/>
      <c r="Q717" s="45"/>
      <c r="R717" s="45"/>
      <c r="S717" s="48"/>
      <c r="T717" s="49" t="str">
        <f t="shared" si="60"/>
        <v>[W1227.C]</v>
      </c>
      <c r="U717" s="12" t="str">
        <f t="shared" si="61"/>
        <v/>
      </c>
      <c r="V717" s="49" t="str">
        <f t="shared" si="57"/>
        <v>[W1227.C]</v>
      </c>
    </row>
    <row r="718" spans="1:22" s="49" customFormat="1" ht="14.15" customHeight="1">
      <c r="A718" s="43"/>
      <c r="B718" s="44" t="s">
        <v>6637</v>
      </c>
      <c r="C718" s="54"/>
      <c r="D718" s="10" t="s">
        <v>29</v>
      </c>
      <c r="E718" s="11"/>
      <c r="F718" s="11" t="s">
        <v>18</v>
      </c>
      <c r="G718" s="13"/>
      <c r="H718" s="45" t="s">
        <v>16</v>
      </c>
      <c r="I718" s="47"/>
      <c r="J718" s="12" t="s">
        <v>3139</v>
      </c>
      <c r="K718" s="13" t="s">
        <v>7488</v>
      </c>
      <c r="L718" s="99" t="str">
        <f t="shared" si="56"/>
        <v>W1227.D</v>
      </c>
      <c r="M718" s="13"/>
      <c r="N718" s="13"/>
      <c r="O718" s="13"/>
      <c r="P718" s="47"/>
      <c r="Q718" s="45"/>
      <c r="R718" s="45"/>
      <c r="S718" s="48"/>
      <c r="T718" s="49" t="str">
        <f t="shared" si="60"/>
        <v>[W1227.D]</v>
      </c>
      <c r="U718" s="12" t="str">
        <f t="shared" si="61"/>
        <v/>
      </c>
      <c r="V718" s="49" t="str">
        <f t="shared" si="57"/>
        <v>[W1227.D]</v>
      </c>
    </row>
    <row r="719" spans="1:22" s="49" customFormat="1" ht="14.15" customHeight="1">
      <c r="A719" s="43"/>
      <c r="B719" s="44" t="s">
        <v>6637</v>
      </c>
      <c r="C719" s="54"/>
      <c r="D719" s="10" t="s">
        <v>29</v>
      </c>
      <c r="E719" s="11"/>
      <c r="F719" s="11" t="s">
        <v>18</v>
      </c>
      <c r="G719" s="13"/>
      <c r="H719" s="45" t="s">
        <v>16</v>
      </c>
      <c r="I719" s="47"/>
      <c r="J719" s="12" t="s">
        <v>3140</v>
      </c>
      <c r="K719" s="13" t="s">
        <v>7489</v>
      </c>
      <c r="L719" s="99" t="str">
        <f t="shared" si="56"/>
        <v>W1227.E</v>
      </c>
      <c r="M719" s="13"/>
      <c r="N719" s="13"/>
      <c r="O719" s="13"/>
      <c r="P719" s="47"/>
      <c r="Q719" s="45"/>
      <c r="R719" s="45"/>
      <c r="S719" s="48"/>
      <c r="T719" s="49" t="str">
        <f t="shared" si="60"/>
        <v>[W1227.E]</v>
      </c>
      <c r="U719" s="12" t="str">
        <f t="shared" si="61"/>
        <v/>
      </c>
      <c r="V719" s="49" t="str">
        <f t="shared" si="57"/>
        <v>[W1227.E]</v>
      </c>
    </row>
    <row r="720" spans="1:22" s="49" customFormat="1" ht="14.15" customHeight="1">
      <c r="A720" s="43"/>
      <c r="B720" s="44" t="s">
        <v>6637</v>
      </c>
      <c r="C720" s="54"/>
      <c r="D720" s="10" t="s">
        <v>29</v>
      </c>
      <c r="E720" s="11"/>
      <c r="F720" s="11" t="s">
        <v>18</v>
      </c>
      <c r="G720" s="13"/>
      <c r="H720" s="45" t="s">
        <v>16</v>
      </c>
      <c r="I720" s="47"/>
      <c r="J720" s="12" t="s">
        <v>3141</v>
      </c>
      <c r="K720" s="13" t="s">
        <v>7490</v>
      </c>
      <c r="L720" s="99" t="str">
        <f t="shared" si="56"/>
        <v>W1227.F</v>
      </c>
      <c r="M720" s="13"/>
      <c r="N720" s="13"/>
      <c r="O720" s="13"/>
      <c r="P720" s="47"/>
      <c r="Q720" s="45"/>
      <c r="R720" s="45"/>
      <c r="S720" s="48"/>
      <c r="T720" s="49" t="str">
        <f t="shared" si="60"/>
        <v>[W1227.F]</v>
      </c>
      <c r="U720" s="12" t="str">
        <f t="shared" si="61"/>
        <v/>
      </c>
      <c r="V720" s="49" t="str">
        <f t="shared" si="57"/>
        <v>[W1227.F]</v>
      </c>
    </row>
    <row r="721" spans="1:22" s="49" customFormat="1" ht="14.15" customHeight="1">
      <c r="A721" s="43"/>
      <c r="B721" s="44" t="s">
        <v>6637</v>
      </c>
      <c r="C721" s="54"/>
      <c r="D721" s="10" t="s">
        <v>29</v>
      </c>
      <c r="E721" s="11"/>
      <c r="F721" s="11" t="s">
        <v>18</v>
      </c>
      <c r="G721" s="13"/>
      <c r="H721" s="45" t="s">
        <v>16</v>
      </c>
      <c r="I721" s="47"/>
      <c r="J721" s="12" t="s">
        <v>3142</v>
      </c>
      <c r="K721" s="13" t="s">
        <v>7491</v>
      </c>
      <c r="L721" s="99" t="str">
        <f t="shared" si="56"/>
        <v>W1228.0</v>
      </c>
      <c r="M721" s="13"/>
      <c r="N721" s="13"/>
      <c r="O721" s="13"/>
      <c r="P721" s="47"/>
      <c r="Q721" s="45"/>
      <c r="R721" s="45"/>
      <c r="S721" s="48"/>
      <c r="T721" s="49" t="str">
        <f t="shared" si="60"/>
        <v>[W1228.0]</v>
      </c>
      <c r="U721" s="12" t="str">
        <f t="shared" si="61"/>
        <v/>
      </c>
      <c r="V721" s="49" t="str">
        <f t="shared" si="57"/>
        <v>[W1228.0]</v>
      </c>
    </row>
    <row r="722" spans="1:22" s="49" customFormat="1" ht="14.15" customHeight="1">
      <c r="A722" s="43"/>
      <c r="B722" s="44" t="s">
        <v>6637</v>
      </c>
      <c r="C722" s="54"/>
      <c r="D722" s="10" t="s">
        <v>29</v>
      </c>
      <c r="E722" s="11"/>
      <c r="F722" s="11" t="s">
        <v>18</v>
      </c>
      <c r="G722" s="13"/>
      <c r="H722" s="45" t="s">
        <v>16</v>
      </c>
      <c r="I722" s="47"/>
      <c r="J722" s="12" t="s">
        <v>3143</v>
      </c>
      <c r="K722" s="13" t="s">
        <v>7492</v>
      </c>
      <c r="L722" s="99" t="str">
        <f t="shared" ref="L722:L785" si="62">"W"&amp;DEC2HEX(4608 + INT((ROW()-81)/16)) &amp; "." &amp; IF(MOD(ROW()-81,16)&lt;10,MOD(ROW()-81,16),CHAR(MOD(ROW()-81,16)+55))</f>
        <v>W1228.1</v>
      </c>
      <c r="M722" s="13"/>
      <c r="N722" s="13"/>
      <c r="O722" s="13"/>
      <c r="P722" s="47"/>
      <c r="Q722" s="45"/>
      <c r="R722" s="45"/>
      <c r="S722" s="48"/>
      <c r="T722" s="49" t="str">
        <f t="shared" si="60"/>
        <v>[W1228.1]</v>
      </c>
      <c r="U722" s="12" t="str">
        <f t="shared" si="61"/>
        <v/>
      </c>
      <c r="V722" s="49" t="str">
        <f t="shared" ref="V722:V785" si="63">T722&amp;U722</f>
        <v>[W1228.1]</v>
      </c>
    </row>
    <row r="723" spans="1:22" s="49" customFormat="1" ht="14.15" customHeight="1">
      <c r="A723" s="43"/>
      <c r="B723" s="44" t="s">
        <v>6637</v>
      </c>
      <c r="C723" s="54"/>
      <c r="D723" s="10" t="s">
        <v>29</v>
      </c>
      <c r="E723" s="11"/>
      <c r="F723" s="11" t="s">
        <v>18</v>
      </c>
      <c r="G723" s="13"/>
      <c r="H723" s="45" t="s">
        <v>16</v>
      </c>
      <c r="I723" s="47"/>
      <c r="J723" s="12" t="s">
        <v>3144</v>
      </c>
      <c r="K723" s="13" t="s">
        <v>7493</v>
      </c>
      <c r="L723" s="99" t="str">
        <f t="shared" si="62"/>
        <v>W1228.2</v>
      </c>
      <c r="M723" s="13"/>
      <c r="N723" s="13"/>
      <c r="O723" s="13"/>
      <c r="P723" s="47"/>
      <c r="Q723" s="45"/>
      <c r="R723" s="45"/>
      <c r="S723" s="48"/>
      <c r="T723" s="49" t="str">
        <f t="shared" si="60"/>
        <v>[W1228.2]</v>
      </c>
      <c r="U723" s="12" t="str">
        <f t="shared" si="61"/>
        <v/>
      </c>
      <c r="V723" s="49" t="str">
        <f t="shared" si="63"/>
        <v>[W1228.2]</v>
      </c>
    </row>
    <row r="724" spans="1:22" s="49" customFormat="1" ht="14.15" customHeight="1">
      <c r="A724" s="43"/>
      <c r="B724" s="44" t="s">
        <v>6637</v>
      </c>
      <c r="C724" s="54"/>
      <c r="D724" s="10" t="s">
        <v>29</v>
      </c>
      <c r="E724" s="11"/>
      <c r="F724" s="11" t="s">
        <v>18</v>
      </c>
      <c r="G724" s="13"/>
      <c r="H724" s="45" t="s">
        <v>16</v>
      </c>
      <c r="I724" s="47"/>
      <c r="J724" s="12" t="s">
        <v>3145</v>
      </c>
      <c r="K724" s="13" t="s">
        <v>7494</v>
      </c>
      <c r="L724" s="99" t="str">
        <f t="shared" si="62"/>
        <v>W1228.3</v>
      </c>
      <c r="M724" s="13"/>
      <c r="N724" s="13"/>
      <c r="O724" s="13"/>
      <c r="P724" s="47"/>
      <c r="Q724" s="45"/>
      <c r="R724" s="45"/>
      <c r="S724" s="48"/>
      <c r="T724" s="49" t="str">
        <f t="shared" si="60"/>
        <v>[W1228.3]</v>
      </c>
      <c r="U724" s="12" t="str">
        <f t="shared" si="61"/>
        <v/>
      </c>
      <c r="V724" s="49" t="str">
        <f t="shared" si="63"/>
        <v>[W1228.3]</v>
      </c>
    </row>
    <row r="725" spans="1:22" s="49" customFormat="1" ht="14.15" customHeight="1">
      <c r="A725" s="43"/>
      <c r="B725" s="44" t="s">
        <v>6637</v>
      </c>
      <c r="C725" s="54"/>
      <c r="D725" s="10" t="s">
        <v>29</v>
      </c>
      <c r="E725" s="11"/>
      <c r="F725" s="11" t="s">
        <v>18</v>
      </c>
      <c r="G725" s="13"/>
      <c r="H725" s="45" t="s">
        <v>16</v>
      </c>
      <c r="I725" s="47"/>
      <c r="J725" s="12" t="s">
        <v>3146</v>
      </c>
      <c r="K725" s="13" t="s">
        <v>7495</v>
      </c>
      <c r="L725" s="99" t="str">
        <f t="shared" si="62"/>
        <v>W1228.4</v>
      </c>
      <c r="M725" s="13"/>
      <c r="N725" s="13"/>
      <c r="O725" s="13"/>
      <c r="P725" s="47"/>
      <c r="Q725" s="45"/>
      <c r="R725" s="45"/>
      <c r="S725" s="48"/>
      <c r="T725" s="49" t="str">
        <f t="shared" si="60"/>
        <v>[W1228.4]</v>
      </c>
      <c r="U725" s="12" t="str">
        <f t="shared" si="61"/>
        <v/>
      </c>
      <c r="V725" s="49" t="str">
        <f t="shared" si="63"/>
        <v>[W1228.4]</v>
      </c>
    </row>
    <row r="726" spans="1:22" s="49" customFormat="1" ht="14.15" customHeight="1">
      <c r="A726" s="43"/>
      <c r="B726" s="44" t="s">
        <v>6637</v>
      </c>
      <c r="C726" s="54"/>
      <c r="D726" s="10" t="s">
        <v>29</v>
      </c>
      <c r="E726" s="11"/>
      <c r="F726" s="11" t="s">
        <v>18</v>
      </c>
      <c r="G726" s="13"/>
      <c r="H726" s="45" t="s">
        <v>16</v>
      </c>
      <c r="I726" s="47"/>
      <c r="J726" s="12" t="s">
        <v>3147</v>
      </c>
      <c r="K726" s="13" t="s">
        <v>7496</v>
      </c>
      <c r="L726" s="99" t="str">
        <f t="shared" si="62"/>
        <v>W1228.5</v>
      </c>
      <c r="M726" s="13"/>
      <c r="N726" s="13"/>
      <c r="O726" s="13"/>
      <c r="P726" s="47"/>
      <c r="Q726" s="45"/>
      <c r="R726" s="45"/>
      <c r="S726" s="48"/>
      <c r="T726" s="49" t="str">
        <f t="shared" si="60"/>
        <v>[W1228.5]</v>
      </c>
      <c r="U726" s="12" t="str">
        <f t="shared" si="61"/>
        <v/>
      </c>
      <c r="V726" s="49" t="str">
        <f t="shared" si="63"/>
        <v>[W1228.5]</v>
      </c>
    </row>
    <row r="727" spans="1:22" s="49" customFormat="1" ht="14.15" customHeight="1">
      <c r="A727" s="43"/>
      <c r="B727" s="44" t="s">
        <v>6637</v>
      </c>
      <c r="C727" s="54"/>
      <c r="D727" s="10" t="s">
        <v>29</v>
      </c>
      <c r="E727" s="11"/>
      <c r="F727" s="11" t="s">
        <v>18</v>
      </c>
      <c r="G727" s="13"/>
      <c r="H727" s="45" t="s">
        <v>16</v>
      </c>
      <c r="I727" s="47"/>
      <c r="J727" s="12" t="s">
        <v>3148</v>
      </c>
      <c r="K727" s="13" t="s">
        <v>7497</v>
      </c>
      <c r="L727" s="99" t="str">
        <f t="shared" si="62"/>
        <v>W1228.6</v>
      </c>
      <c r="M727" s="13"/>
      <c r="N727" s="13"/>
      <c r="O727" s="13"/>
      <c r="P727" s="47"/>
      <c r="Q727" s="45"/>
      <c r="R727" s="45"/>
      <c r="S727" s="48"/>
      <c r="T727" s="49" t="str">
        <f t="shared" si="60"/>
        <v>[W1228.6]</v>
      </c>
      <c r="U727" s="12" t="str">
        <f t="shared" si="61"/>
        <v/>
      </c>
      <c r="V727" s="49" t="str">
        <f t="shared" si="63"/>
        <v>[W1228.6]</v>
      </c>
    </row>
    <row r="728" spans="1:22" s="49" customFormat="1" ht="14.15" customHeight="1">
      <c r="A728" s="43"/>
      <c r="B728" s="44" t="s">
        <v>6637</v>
      </c>
      <c r="C728" s="54"/>
      <c r="D728" s="10" t="s">
        <v>29</v>
      </c>
      <c r="E728" s="11"/>
      <c r="F728" s="11" t="s">
        <v>18</v>
      </c>
      <c r="G728" s="13"/>
      <c r="H728" s="45" t="s">
        <v>16</v>
      </c>
      <c r="I728" s="47"/>
      <c r="J728" s="12" t="s">
        <v>3149</v>
      </c>
      <c r="K728" s="13" t="s">
        <v>7498</v>
      </c>
      <c r="L728" s="99" t="str">
        <f t="shared" si="62"/>
        <v>W1228.7</v>
      </c>
      <c r="M728" s="13"/>
      <c r="N728" s="13"/>
      <c r="O728" s="13"/>
      <c r="P728" s="47"/>
      <c r="Q728" s="45"/>
      <c r="R728" s="45"/>
      <c r="S728" s="48"/>
      <c r="T728" s="49" t="str">
        <f t="shared" si="60"/>
        <v>[W1228.7]</v>
      </c>
      <c r="U728" s="12" t="str">
        <f t="shared" si="61"/>
        <v/>
      </c>
      <c r="V728" s="49" t="str">
        <f t="shared" si="63"/>
        <v>[W1228.7]</v>
      </c>
    </row>
    <row r="729" spans="1:22" s="49" customFormat="1" ht="14.15" customHeight="1">
      <c r="A729" s="43"/>
      <c r="B729" s="44" t="s">
        <v>6637</v>
      </c>
      <c r="C729" s="54"/>
      <c r="D729" s="10" t="s">
        <v>29</v>
      </c>
      <c r="E729" s="11"/>
      <c r="F729" s="11" t="s">
        <v>18</v>
      </c>
      <c r="G729" s="13"/>
      <c r="H729" s="45" t="s">
        <v>16</v>
      </c>
      <c r="I729" s="47"/>
      <c r="J729" s="12" t="s">
        <v>3150</v>
      </c>
      <c r="K729" s="13" t="s">
        <v>7499</v>
      </c>
      <c r="L729" s="99" t="str">
        <f t="shared" si="62"/>
        <v>W1228.8</v>
      </c>
      <c r="M729" s="13"/>
      <c r="N729" s="13"/>
      <c r="O729" s="13"/>
      <c r="P729" s="47"/>
      <c r="Q729" s="45"/>
      <c r="R729" s="45"/>
      <c r="S729" s="48"/>
      <c r="T729" s="49" t="str">
        <f t="shared" si="60"/>
        <v>[W1228.8]</v>
      </c>
      <c r="U729" s="12" t="str">
        <f t="shared" si="61"/>
        <v/>
      </c>
      <c r="V729" s="49" t="str">
        <f t="shared" si="63"/>
        <v>[W1228.8]</v>
      </c>
    </row>
    <row r="730" spans="1:22" s="49" customFormat="1" ht="14.15" customHeight="1">
      <c r="A730" s="43"/>
      <c r="B730" s="44" t="s">
        <v>6637</v>
      </c>
      <c r="C730" s="54"/>
      <c r="D730" s="10" t="s">
        <v>29</v>
      </c>
      <c r="E730" s="11"/>
      <c r="F730" s="11" t="s">
        <v>18</v>
      </c>
      <c r="G730" s="13"/>
      <c r="H730" s="45" t="s">
        <v>16</v>
      </c>
      <c r="I730" s="47"/>
      <c r="J730" s="12" t="s">
        <v>3151</v>
      </c>
      <c r="K730" s="13" t="s">
        <v>7500</v>
      </c>
      <c r="L730" s="99" t="str">
        <f t="shared" si="62"/>
        <v>W1228.9</v>
      </c>
      <c r="M730" s="13"/>
      <c r="N730" s="13"/>
      <c r="O730" s="13"/>
      <c r="P730" s="47"/>
      <c r="Q730" s="45"/>
      <c r="R730" s="45"/>
      <c r="S730" s="48"/>
      <c r="T730" s="49" t="str">
        <f t="shared" si="60"/>
        <v>[W1228.9]</v>
      </c>
      <c r="U730" s="12" t="str">
        <f t="shared" si="61"/>
        <v/>
      </c>
      <c r="V730" s="49" t="str">
        <f t="shared" si="63"/>
        <v>[W1228.9]</v>
      </c>
    </row>
    <row r="731" spans="1:22" s="49" customFormat="1" ht="14.15" customHeight="1">
      <c r="A731" s="43"/>
      <c r="B731" s="44" t="s">
        <v>6637</v>
      </c>
      <c r="C731" s="54"/>
      <c r="D731" s="10" t="s">
        <v>29</v>
      </c>
      <c r="E731" s="11"/>
      <c r="F731" s="11" t="s">
        <v>18</v>
      </c>
      <c r="G731" s="13"/>
      <c r="H731" s="45" t="s">
        <v>16</v>
      </c>
      <c r="I731" s="47"/>
      <c r="J731" s="12" t="s">
        <v>3152</v>
      </c>
      <c r="K731" s="13" t="s">
        <v>7501</v>
      </c>
      <c r="L731" s="99" t="str">
        <f t="shared" si="62"/>
        <v>W1228.A</v>
      </c>
      <c r="M731" s="13"/>
      <c r="N731" s="13"/>
      <c r="O731" s="13"/>
      <c r="P731" s="47"/>
      <c r="Q731" s="45"/>
      <c r="R731" s="45"/>
      <c r="S731" s="48"/>
      <c r="T731" s="49" t="str">
        <f t="shared" si="60"/>
        <v>[W1228.A]</v>
      </c>
      <c r="U731" s="12" t="str">
        <f t="shared" si="61"/>
        <v/>
      </c>
      <c r="V731" s="49" t="str">
        <f t="shared" si="63"/>
        <v>[W1228.A]</v>
      </c>
    </row>
    <row r="732" spans="1:22" s="49" customFormat="1" ht="14.15" customHeight="1">
      <c r="A732" s="43"/>
      <c r="B732" s="44" t="s">
        <v>6637</v>
      </c>
      <c r="C732" s="54"/>
      <c r="D732" s="10" t="s">
        <v>29</v>
      </c>
      <c r="E732" s="11"/>
      <c r="F732" s="11" t="s">
        <v>18</v>
      </c>
      <c r="G732" s="13"/>
      <c r="H732" s="45" t="s">
        <v>16</v>
      </c>
      <c r="I732" s="47"/>
      <c r="J732" s="12" t="s">
        <v>3153</v>
      </c>
      <c r="K732" s="13" t="s">
        <v>7502</v>
      </c>
      <c r="L732" s="99" t="str">
        <f t="shared" si="62"/>
        <v>W1228.B</v>
      </c>
      <c r="M732" s="13"/>
      <c r="N732" s="13"/>
      <c r="O732" s="13"/>
      <c r="P732" s="47"/>
      <c r="Q732" s="45"/>
      <c r="R732" s="45"/>
      <c r="S732" s="48"/>
      <c r="T732" s="49" t="str">
        <f t="shared" si="60"/>
        <v>[W1228.B]</v>
      </c>
      <c r="U732" s="12" t="str">
        <f t="shared" si="61"/>
        <v/>
      </c>
      <c r="V732" s="49" t="str">
        <f t="shared" si="63"/>
        <v>[W1228.B]</v>
      </c>
    </row>
    <row r="733" spans="1:22" s="49" customFormat="1" ht="14.15" customHeight="1">
      <c r="A733" s="43"/>
      <c r="B733" s="44" t="s">
        <v>6637</v>
      </c>
      <c r="C733" s="54"/>
      <c r="D733" s="10" t="s">
        <v>29</v>
      </c>
      <c r="E733" s="11"/>
      <c r="F733" s="11" t="s">
        <v>18</v>
      </c>
      <c r="G733" s="13"/>
      <c r="H733" s="45" t="s">
        <v>16</v>
      </c>
      <c r="I733" s="47"/>
      <c r="J733" s="12" t="s">
        <v>3154</v>
      </c>
      <c r="K733" s="13" t="s">
        <v>7503</v>
      </c>
      <c r="L733" s="99" t="str">
        <f t="shared" si="62"/>
        <v>W1228.C</v>
      </c>
      <c r="M733" s="13"/>
      <c r="N733" s="13"/>
      <c r="O733" s="13"/>
      <c r="P733" s="47"/>
      <c r="Q733" s="45"/>
      <c r="R733" s="45"/>
      <c r="S733" s="48"/>
      <c r="T733" s="49" t="str">
        <f t="shared" si="60"/>
        <v>[W1228.C]</v>
      </c>
      <c r="U733" s="12" t="str">
        <f t="shared" si="61"/>
        <v/>
      </c>
      <c r="V733" s="49" t="str">
        <f t="shared" si="63"/>
        <v>[W1228.C]</v>
      </c>
    </row>
    <row r="734" spans="1:22" s="49" customFormat="1" ht="14.15" customHeight="1">
      <c r="A734" s="43"/>
      <c r="B734" s="44" t="s">
        <v>6637</v>
      </c>
      <c r="C734" s="54"/>
      <c r="D734" s="10" t="s">
        <v>29</v>
      </c>
      <c r="E734" s="11"/>
      <c r="F734" s="11" t="s">
        <v>18</v>
      </c>
      <c r="G734" s="13"/>
      <c r="H734" s="45" t="s">
        <v>16</v>
      </c>
      <c r="I734" s="47"/>
      <c r="J734" s="12" t="s">
        <v>3155</v>
      </c>
      <c r="K734" s="13" t="s">
        <v>7504</v>
      </c>
      <c r="L734" s="99" t="str">
        <f t="shared" si="62"/>
        <v>W1228.D</v>
      </c>
      <c r="M734" s="13"/>
      <c r="N734" s="13"/>
      <c r="O734" s="13"/>
      <c r="P734" s="47"/>
      <c r="Q734" s="45"/>
      <c r="R734" s="45"/>
      <c r="S734" s="48"/>
      <c r="T734" s="49" t="str">
        <f t="shared" ref="T734:T768" si="64">"["&amp;L734&amp;"]"</f>
        <v>[W1228.D]</v>
      </c>
      <c r="U734" s="12" t="str">
        <f t="shared" ref="U734:U768" si="65">RIGHT(J734,LEN(J734)-7)</f>
        <v/>
      </c>
      <c r="V734" s="49" t="str">
        <f t="shared" si="63"/>
        <v>[W1228.D]</v>
      </c>
    </row>
    <row r="735" spans="1:22" s="49" customFormat="1" ht="14.15" customHeight="1">
      <c r="A735" s="43"/>
      <c r="B735" s="44" t="s">
        <v>6637</v>
      </c>
      <c r="C735" s="54"/>
      <c r="D735" s="10" t="s">
        <v>29</v>
      </c>
      <c r="E735" s="11"/>
      <c r="F735" s="11" t="s">
        <v>18</v>
      </c>
      <c r="G735" s="13"/>
      <c r="H735" s="45" t="s">
        <v>16</v>
      </c>
      <c r="I735" s="47"/>
      <c r="J735" s="12" t="s">
        <v>3156</v>
      </c>
      <c r="K735" s="13" t="s">
        <v>7505</v>
      </c>
      <c r="L735" s="99" t="str">
        <f t="shared" si="62"/>
        <v>W1228.E</v>
      </c>
      <c r="M735" s="13"/>
      <c r="N735" s="13"/>
      <c r="O735" s="13"/>
      <c r="P735" s="47"/>
      <c r="Q735" s="45"/>
      <c r="R735" s="45"/>
      <c r="S735" s="48"/>
      <c r="T735" s="49" t="str">
        <f t="shared" si="64"/>
        <v>[W1228.E]</v>
      </c>
      <c r="U735" s="12" t="str">
        <f t="shared" si="65"/>
        <v/>
      </c>
      <c r="V735" s="49" t="str">
        <f t="shared" si="63"/>
        <v>[W1228.E]</v>
      </c>
    </row>
    <row r="736" spans="1:22" s="49" customFormat="1" ht="14.15" customHeight="1">
      <c r="A736" s="43"/>
      <c r="B736" s="44" t="s">
        <v>6637</v>
      </c>
      <c r="C736" s="54"/>
      <c r="D736" s="10" t="s">
        <v>29</v>
      </c>
      <c r="E736" s="11"/>
      <c r="F736" s="11" t="s">
        <v>18</v>
      </c>
      <c r="G736" s="13"/>
      <c r="H736" s="45" t="s">
        <v>16</v>
      </c>
      <c r="I736" s="47"/>
      <c r="J736" s="12" t="s">
        <v>3157</v>
      </c>
      <c r="K736" s="13" t="s">
        <v>7506</v>
      </c>
      <c r="L736" s="99" t="str">
        <f t="shared" si="62"/>
        <v>W1228.F</v>
      </c>
      <c r="M736" s="13"/>
      <c r="N736" s="13"/>
      <c r="O736" s="13"/>
      <c r="P736" s="47"/>
      <c r="Q736" s="45"/>
      <c r="R736" s="45"/>
      <c r="S736" s="48"/>
      <c r="T736" s="49" t="str">
        <f t="shared" si="64"/>
        <v>[W1228.F]</v>
      </c>
      <c r="U736" s="12" t="str">
        <f t="shared" si="65"/>
        <v/>
      </c>
      <c r="V736" s="49" t="str">
        <f t="shared" si="63"/>
        <v>[W1228.F]</v>
      </c>
    </row>
    <row r="737" spans="1:22" s="49" customFormat="1" ht="14.15" customHeight="1">
      <c r="A737" s="43"/>
      <c r="B737" s="44" t="s">
        <v>6637</v>
      </c>
      <c r="C737" s="54"/>
      <c r="D737" s="10" t="s">
        <v>29</v>
      </c>
      <c r="E737" s="11"/>
      <c r="F737" s="11" t="s">
        <v>18</v>
      </c>
      <c r="G737" s="13"/>
      <c r="H737" s="45" t="s">
        <v>16</v>
      </c>
      <c r="I737" s="47"/>
      <c r="J737" s="12" t="s">
        <v>3158</v>
      </c>
      <c r="K737" s="13" t="s">
        <v>7507</v>
      </c>
      <c r="L737" s="99" t="str">
        <f t="shared" si="62"/>
        <v>W1229.0</v>
      </c>
      <c r="M737" s="13"/>
      <c r="N737" s="13"/>
      <c r="O737" s="13"/>
      <c r="P737" s="47"/>
      <c r="Q737" s="45"/>
      <c r="R737" s="45"/>
      <c r="S737" s="48"/>
      <c r="T737" s="49" t="str">
        <f t="shared" si="64"/>
        <v>[W1229.0]</v>
      </c>
      <c r="U737" s="12" t="str">
        <f t="shared" si="65"/>
        <v/>
      </c>
      <c r="V737" s="49" t="str">
        <f t="shared" si="63"/>
        <v>[W1229.0]</v>
      </c>
    </row>
    <row r="738" spans="1:22" s="49" customFormat="1" ht="14.15" customHeight="1">
      <c r="A738" s="43"/>
      <c r="B738" s="44" t="s">
        <v>6637</v>
      </c>
      <c r="C738" s="54"/>
      <c r="D738" s="10" t="s">
        <v>29</v>
      </c>
      <c r="E738" s="11"/>
      <c r="F738" s="11" t="s">
        <v>18</v>
      </c>
      <c r="G738" s="13"/>
      <c r="H738" s="45" t="s">
        <v>16</v>
      </c>
      <c r="I738" s="47"/>
      <c r="J738" s="12" t="s">
        <v>3159</v>
      </c>
      <c r="K738" s="13" t="s">
        <v>7508</v>
      </c>
      <c r="L738" s="99" t="str">
        <f t="shared" si="62"/>
        <v>W1229.1</v>
      </c>
      <c r="M738" s="13"/>
      <c r="N738" s="13"/>
      <c r="O738" s="13"/>
      <c r="P738" s="47"/>
      <c r="Q738" s="45"/>
      <c r="R738" s="45"/>
      <c r="S738" s="48"/>
      <c r="T738" s="49" t="str">
        <f t="shared" si="64"/>
        <v>[W1229.1]</v>
      </c>
      <c r="U738" s="12" t="str">
        <f t="shared" si="65"/>
        <v/>
      </c>
      <c r="V738" s="49" t="str">
        <f t="shared" si="63"/>
        <v>[W1229.1]</v>
      </c>
    </row>
    <row r="739" spans="1:22" s="49" customFormat="1" ht="14.15" customHeight="1">
      <c r="A739" s="43"/>
      <c r="B739" s="44" t="s">
        <v>6637</v>
      </c>
      <c r="C739" s="54"/>
      <c r="D739" s="10" t="s">
        <v>29</v>
      </c>
      <c r="E739" s="11"/>
      <c r="F739" s="11" t="s">
        <v>18</v>
      </c>
      <c r="G739" s="13"/>
      <c r="H739" s="45" t="s">
        <v>16</v>
      </c>
      <c r="I739" s="47"/>
      <c r="J739" s="12" t="s">
        <v>3160</v>
      </c>
      <c r="K739" s="13" t="s">
        <v>7509</v>
      </c>
      <c r="L739" s="99" t="str">
        <f t="shared" si="62"/>
        <v>W1229.2</v>
      </c>
      <c r="M739" s="13"/>
      <c r="N739" s="13"/>
      <c r="O739" s="13"/>
      <c r="P739" s="47"/>
      <c r="Q739" s="45"/>
      <c r="R739" s="45"/>
      <c r="S739" s="48"/>
      <c r="T739" s="49" t="str">
        <f t="shared" si="64"/>
        <v>[W1229.2]</v>
      </c>
      <c r="U739" s="12" t="str">
        <f t="shared" si="65"/>
        <v/>
      </c>
      <c r="V739" s="49" t="str">
        <f t="shared" si="63"/>
        <v>[W1229.2]</v>
      </c>
    </row>
    <row r="740" spans="1:22" s="49" customFormat="1" ht="14.15" customHeight="1">
      <c r="A740" s="43"/>
      <c r="B740" s="44" t="s">
        <v>6637</v>
      </c>
      <c r="C740" s="54"/>
      <c r="D740" s="10" t="s">
        <v>29</v>
      </c>
      <c r="E740" s="11"/>
      <c r="F740" s="11" t="s">
        <v>18</v>
      </c>
      <c r="G740" s="13"/>
      <c r="H740" s="45" t="s">
        <v>16</v>
      </c>
      <c r="I740" s="47"/>
      <c r="J740" s="12" t="s">
        <v>3161</v>
      </c>
      <c r="K740" s="13" t="s">
        <v>7510</v>
      </c>
      <c r="L740" s="99" t="str">
        <f t="shared" si="62"/>
        <v>W1229.3</v>
      </c>
      <c r="M740" s="13"/>
      <c r="N740" s="13"/>
      <c r="O740" s="13"/>
      <c r="P740" s="47"/>
      <c r="Q740" s="45"/>
      <c r="R740" s="45"/>
      <c r="S740" s="48"/>
      <c r="T740" s="49" t="str">
        <f t="shared" si="64"/>
        <v>[W1229.3]</v>
      </c>
      <c r="U740" s="12" t="str">
        <f t="shared" si="65"/>
        <v/>
      </c>
      <c r="V740" s="49" t="str">
        <f t="shared" si="63"/>
        <v>[W1229.3]</v>
      </c>
    </row>
    <row r="741" spans="1:22" s="49" customFormat="1" ht="14.15" customHeight="1">
      <c r="A741" s="43"/>
      <c r="B741" s="44" t="s">
        <v>6637</v>
      </c>
      <c r="C741" s="54"/>
      <c r="D741" s="10" t="s">
        <v>29</v>
      </c>
      <c r="E741" s="11"/>
      <c r="F741" s="11" t="s">
        <v>18</v>
      </c>
      <c r="G741" s="13"/>
      <c r="H741" s="45" t="s">
        <v>16</v>
      </c>
      <c r="I741" s="47"/>
      <c r="J741" s="12" t="s">
        <v>3162</v>
      </c>
      <c r="K741" s="13" t="s">
        <v>7511</v>
      </c>
      <c r="L741" s="99" t="str">
        <f t="shared" si="62"/>
        <v>W1229.4</v>
      </c>
      <c r="M741" s="13"/>
      <c r="N741" s="13"/>
      <c r="O741" s="13"/>
      <c r="P741" s="47"/>
      <c r="Q741" s="45"/>
      <c r="R741" s="45"/>
      <c r="S741" s="48"/>
      <c r="T741" s="49" t="str">
        <f t="shared" si="64"/>
        <v>[W1229.4]</v>
      </c>
      <c r="U741" s="12" t="str">
        <f t="shared" si="65"/>
        <v/>
      </c>
      <c r="V741" s="49" t="str">
        <f t="shared" si="63"/>
        <v>[W1229.4]</v>
      </c>
    </row>
    <row r="742" spans="1:22" s="49" customFormat="1" ht="14.15" customHeight="1">
      <c r="A742" s="43"/>
      <c r="B742" s="44" t="s">
        <v>6637</v>
      </c>
      <c r="C742" s="54"/>
      <c r="D742" s="10" t="s">
        <v>29</v>
      </c>
      <c r="E742" s="11"/>
      <c r="F742" s="11" t="s">
        <v>18</v>
      </c>
      <c r="G742" s="13"/>
      <c r="H742" s="45" t="s">
        <v>16</v>
      </c>
      <c r="I742" s="47"/>
      <c r="J742" s="12" t="s">
        <v>3163</v>
      </c>
      <c r="K742" s="13" t="s">
        <v>7512</v>
      </c>
      <c r="L742" s="99" t="str">
        <f t="shared" si="62"/>
        <v>W1229.5</v>
      </c>
      <c r="M742" s="13"/>
      <c r="N742" s="13"/>
      <c r="O742" s="13"/>
      <c r="P742" s="47"/>
      <c r="Q742" s="45"/>
      <c r="R742" s="45"/>
      <c r="S742" s="48"/>
      <c r="T742" s="49" t="str">
        <f t="shared" si="64"/>
        <v>[W1229.5]</v>
      </c>
      <c r="U742" s="12" t="str">
        <f t="shared" si="65"/>
        <v/>
      </c>
      <c r="V742" s="49" t="str">
        <f t="shared" si="63"/>
        <v>[W1229.5]</v>
      </c>
    </row>
    <row r="743" spans="1:22" s="49" customFormat="1" ht="14.15" customHeight="1">
      <c r="A743" s="43"/>
      <c r="B743" s="44" t="s">
        <v>6637</v>
      </c>
      <c r="C743" s="54"/>
      <c r="D743" s="10" t="s">
        <v>29</v>
      </c>
      <c r="E743" s="11"/>
      <c r="F743" s="11" t="s">
        <v>18</v>
      </c>
      <c r="G743" s="13"/>
      <c r="H743" s="45" t="s">
        <v>16</v>
      </c>
      <c r="I743" s="47"/>
      <c r="J743" s="12" t="s">
        <v>3164</v>
      </c>
      <c r="K743" s="13" t="s">
        <v>7513</v>
      </c>
      <c r="L743" s="99" t="str">
        <f t="shared" si="62"/>
        <v>W1229.6</v>
      </c>
      <c r="M743" s="13"/>
      <c r="N743" s="13"/>
      <c r="O743" s="13"/>
      <c r="P743" s="47"/>
      <c r="Q743" s="45"/>
      <c r="R743" s="45"/>
      <c r="S743" s="48"/>
      <c r="T743" s="49" t="str">
        <f t="shared" si="64"/>
        <v>[W1229.6]</v>
      </c>
      <c r="U743" s="12" t="str">
        <f t="shared" si="65"/>
        <v/>
      </c>
      <c r="V743" s="49" t="str">
        <f t="shared" si="63"/>
        <v>[W1229.6]</v>
      </c>
    </row>
    <row r="744" spans="1:22" s="49" customFormat="1" ht="14.15" customHeight="1">
      <c r="A744" s="43"/>
      <c r="B744" s="44" t="s">
        <v>6637</v>
      </c>
      <c r="C744" s="54"/>
      <c r="D744" s="10" t="s">
        <v>29</v>
      </c>
      <c r="E744" s="11"/>
      <c r="F744" s="11" t="s">
        <v>18</v>
      </c>
      <c r="G744" s="13"/>
      <c r="H744" s="45" t="s">
        <v>16</v>
      </c>
      <c r="I744" s="47"/>
      <c r="J744" s="12" t="s">
        <v>3165</v>
      </c>
      <c r="K744" s="13" t="s">
        <v>7514</v>
      </c>
      <c r="L744" s="99" t="str">
        <f t="shared" si="62"/>
        <v>W1229.7</v>
      </c>
      <c r="M744" s="13"/>
      <c r="N744" s="13"/>
      <c r="O744" s="13"/>
      <c r="P744" s="47"/>
      <c r="Q744" s="45"/>
      <c r="R744" s="45"/>
      <c r="S744" s="48"/>
      <c r="T744" s="49" t="str">
        <f t="shared" si="64"/>
        <v>[W1229.7]</v>
      </c>
      <c r="U744" s="12" t="str">
        <f t="shared" si="65"/>
        <v/>
      </c>
      <c r="V744" s="49" t="str">
        <f t="shared" si="63"/>
        <v>[W1229.7]</v>
      </c>
    </row>
    <row r="745" spans="1:22" s="49" customFormat="1" ht="14.15" customHeight="1">
      <c r="A745" s="43"/>
      <c r="B745" s="44" t="s">
        <v>6637</v>
      </c>
      <c r="C745" s="54"/>
      <c r="D745" s="10" t="s">
        <v>29</v>
      </c>
      <c r="E745" s="11"/>
      <c r="F745" s="11" t="s">
        <v>18</v>
      </c>
      <c r="G745" s="13"/>
      <c r="H745" s="45" t="s">
        <v>16</v>
      </c>
      <c r="I745" s="47"/>
      <c r="J745" s="12" t="s">
        <v>3166</v>
      </c>
      <c r="K745" s="13" t="s">
        <v>7515</v>
      </c>
      <c r="L745" s="99" t="str">
        <f t="shared" si="62"/>
        <v>W1229.8</v>
      </c>
      <c r="M745" s="13"/>
      <c r="N745" s="13"/>
      <c r="O745" s="13"/>
      <c r="P745" s="47"/>
      <c r="Q745" s="45"/>
      <c r="R745" s="45"/>
      <c r="S745" s="48"/>
      <c r="T745" s="49" t="str">
        <f t="shared" si="64"/>
        <v>[W1229.8]</v>
      </c>
      <c r="U745" s="12" t="str">
        <f t="shared" si="65"/>
        <v/>
      </c>
      <c r="V745" s="49" t="str">
        <f t="shared" si="63"/>
        <v>[W1229.8]</v>
      </c>
    </row>
    <row r="746" spans="1:22" s="49" customFormat="1" ht="14.15" customHeight="1">
      <c r="A746" s="43"/>
      <c r="B746" s="44" t="s">
        <v>6637</v>
      </c>
      <c r="C746" s="54"/>
      <c r="D746" s="10" t="s">
        <v>29</v>
      </c>
      <c r="E746" s="11"/>
      <c r="F746" s="11" t="s">
        <v>18</v>
      </c>
      <c r="G746" s="13"/>
      <c r="H746" s="45" t="s">
        <v>16</v>
      </c>
      <c r="I746" s="47"/>
      <c r="J746" s="12" t="s">
        <v>3167</v>
      </c>
      <c r="K746" s="13" t="s">
        <v>7516</v>
      </c>
      <c r="L746" s="99" t="str">
        <f t="shared" si="62"/>
        <v>W1229.9</v>
      </c>
      <c r="M746" s="13"/>
      <c r="N746" s="13"/>
      <c r="O746" s="13"/>
      <c r="P746" s="47"/>
      <c r="Q746" s="45"/>
      <c r="R746" s="45"/>
      <c r="S746" s="48"/>
      <c r="T746" s="49" t="str">
        <f t="shared" si="64"/>
        <v>[W1229.9]</v>
      </c>
      <c r="U746" s="12" t="str">
        <f t="shared" si="65"/>
        <v/>
      </c>
      <c r="V746" s="49" t="str">
        <f t="shared" si="63"/>
        <v>[W1229.9]</v>
      </c>
    </row>
    <row r="747" spans="1:22" s="49" customFormat="1" ht="14.15" customHeight="1">
      <c r="A747" s="43"/>
      <c r="B747" s="44" t="s">
        <v>6637</v>
      </c>
      <c r="C747" s="54"/>
      <c r="D747" s="10" t="s">
        <v>29</v>
      </c>
      <c r="E747" s="11"/>
      <c r="F747" s="11" t="s">
        <v>18</v>
      </c>
      <c r="G747" s="13"/>
      <c r="H747" s="45" t="s">
        <v>16</v>
      </c>
      <c r="I747" s="47"/>
      <c r="J747" s="12" t="s">
        <v>3168</v>
      </c>
      <c r="K747" s="13" t="s">
        <v>7517</v>
      </c>
      <c r="L747" s="99" t="str">
        <f t="shared" si="62"/>
        <v>W1229.A</v>
      </c>
      <c r="M747" s="13"/>
      <c r="N747" s="13"/>
      <c r="O747" s="13"/>
      <c r="P747" s="47"/>
      <c r="Q747" s="45"/>
      <c r="R747" s="45"/>
      <c r="S747" s="48"/>
      <c r="T747" s="49" t="str">
        <f t="shared" si="64"/>
        <v>[W1229.A]</v>
      </c>
      <c r="U747" s="12" t="str">
        <f t="shared" si="65"/>
        <v/>
      </c>
      <c r="V747" s="49" t="str">
        <f t="shared" si="63"/>
        <v>[W1229.A]</v>
      </c>
    </row>
    <row r="748" spans="1:22" s="49" customFormat="1" ht="14.15" customHeight="1">
      <c r="A748" s="43"/>
      <c r="B748" s="44" t="s">
        <v>6637</v>
      </c>
      <c r="C748" s="54"/>
      <c r="D748" s="10" t="s">
        <v>29</v>
      </c>
      <c r="E748" s="11"/>
      <c r="F748" s="11" t="s">
        <v>18</v>
      </c>
      <c r="G748" s="13"/>
      <c r="H748" s="45" t="s">
        <v>16</v>
      </c>
      <c r="I748" s="47"/>
      <c r="J748" s="12" t="s">
        <v>3169</v>
      </c>
      <c r="K748" s="13" t="s">
        <v>7518</v>
      </c>
      <c r="L748" s="99" t="str">
        <f t="shared" si="62"/>
        <v>W1229.B</v>
      </c>
      <c r="M748" s="13"/>
      <c r="N748" s="13"/>
      <c r="O748" s="13"/>
      <c r="P748" s="47"/>
      <c r="Q748" s="45"/>
      <c r="R748" s="45"/>
      <c r="S748" s="48"/>
      <c r="T748" s="49" t="str">
        <f t="shared" si="64"/>
        <v>[W1229.B]</v>
      </c>
      <c r="U748" s="12" t="str">
        <f t="shared" si="65"/>
        <v/>
      </c>
      <c r="V748" s="49" t="str">
        <f t="shared" si="63"/>
        <v>[W1229.B]</v>
      </c>
    </row>
    <row r="749" spans="1:22" s="49" customFormat="1" ht="14.15" customHeight="1">
      <c r="A749" s="43"/>
      <c r="B749" s="44" t="s">
        <v>6637</v>
      </c>
      <c r="C749" s="54"/>
      <c r="D749" s="10" t="s">
        <v>29</v>
      </c>
      <c r="E749" s="11"/>
      <c r="F749" s="11" t="s">
        <v>18</v>
      </c>
      <c r="G749" s="13"/>
      <c r="H749" s="45" t="s">
        <v>16</v>
      </c>
      <c r="I749" s="47"/>
      <c r="J749" s="12" t="s">
        <v>3170</v>
      </c>
      <c r="K749" s="13" t="s">
        <v>7519</v>
      </c>
      <c r="L749" s="99" t="str">
        <f t="shared" si="62"/>
        <v>W1229.C</v>
      </c>
      <c r="M749" s="13"/>
      <c r="N749" s="13"/>
      <c r="O749" s="13"/>
      <c r="P749" s="47"/>
      <c r="Q749" s="45"/>
      <c r="R749" s="45"/>
      <c r="S749" s="48"/>
      <c r="T749" s="49" t="str">
        <f t="shared" si="64"/>
        <v>[W1229.C]</v>
      </c>
      <c r="U749" s="12" t="str">
        <f t="shared" si="65"/>
        <v/>
      </c>
      <c r="V749" s="49" t="str">
        <f t="shared" si="63"/>
        <v>[W1229.C]</v>
      </c>
    </row>
    <row r="750" spans="1:22" s="49" customFormat="1" ht="14.15" customHeight="1">
      <c r="A750" s="43"/>
      <c r="B750" s="44" t="s">
        <v>6637</v>
      </c>
      <c r="C750" s="54"/>
      <c r="D750" s="10" t="s">
        <v>29</v>
      </c>
      <c r="E750" s="11"/>
      <c r="F750" s="11" t="s">
        <v>18</v>
      </c>
      <c r="G750" s="13"/>
      <c r="H750" s="45" t="s">
        <v>16</v>
      </c>
      <c r="I750" s="47"/>
      <c r="J750" s="12" t="s">
        <v>3171</v>
      </c>
      <c r="K750" s="13" t="s">
        <v>7520</v>
      </c>
      <c r="L750" s="99" t="str">
        <f t="shared" si="62"/>
        <v>W1229.D</v>
      </c>
      <c r="M750" s="13"/>
      <c r="N750" s="13"/>
      <c r="O750" s="13"/>
      <c r="P750" s="47"/>
      <c r="Q750" s="45"/>
      <c r="R750" s="45"/>
      <c r="S750" s="48"/>
      <c r="T750" s="49" t="str">
        <f t="shared" si="64"/>
        <v>[W1229.D]</v>
      </c>
      <c r="U750" s="12" t="str">
        <f t="shared" si="65"/>
        <v/>
      </c>
      <c r="V750" s="49" t="str">
        <f t="shared" si="63"/>
        <v>[W1229.D]</v>
      </c>
    </row>
    <row r="751" spans="1:22" s="49" customFormat="1" ht="14.15" customHeight="1">
      <c r="A751" s="43"/>
      <c r="B751" s="44" t="s">
        <v>6637</v>
      </c>
      <c r="C751" s="54"/>
      <c r="D751" s="10" t="s">
        <v>29</v>
      </c>
      <c r="E751" s="11"/>
      <c r="F751" s="11" t="s">
        <v>18</v>
      </c>
      <c r="G751" s="13"/>
      <c r="H751" s="45" t="s">
        <v>16</v>
      </c>
      <c r="I751" s="47"/>
      <c r="J751" s="12" t="s">
        <v>3172</v>
      </c>
      <c r="K751" s="13" t="s">
        <v>7521</v>
      </c>
      <c r="L751" s="99" t="str">
        <f t="shared" si="62"/>
        <v>W1229.E</v>
      </c>
      <c r="M751" s="13"/>
      <c r="N751" s="13"/>
      <c r="O751" s="13"/>
      <c r="P751" s="47"/>
      <c r="Q751" s="45"/>
      <c r="R751" s="45"/>
      <c r="S751" s="48"/>
      <c r="T751" s="49" t="str">
        <f t="shared" si="64"/>
        <v>[W1229.E]</v>
      </c>
      <c r="U751" s="12" t="str">
        <f t="shared" si="65"/>
        <v/>
      </c>
      <c r="V751" s="49" t="str">
        <f t="shared" si="63"/>
        <v>[W1229.E]</v>
      </c>
    </row>
    <row r="752" spans="1:22" s="49" customFormat="1" ht="14.15" customHeight="1">
      <c r="A752" s="43"/>
      <c r="B752" s="44" t="s">
        <v>6637</v>
      </c>
      <c r="C752" s="54"/>
      <c r="D752" s="10" t="s">
        <v>29</v>
      </c>
      <c r="E752" s="11"/>
      <c r="F752" s="11" t="s">
        <v>18</v>
      </c>
      <c r="G752" s="13"/>
      <c r="H752" s="45" t="s">
        <v>16</v>
      </c>
      <c r="I752" s="47"/>
      <c r="J752" s="12" t="s">
        <v>3173</v>
      </c>
      <c r="K752" s="13" t="s">
        <v>7522</v>
      </c>
      <c r="L752" s="99" t="str">
        <f t="shared" si="62"/>
        <v>W1229.F</v>
      </c>
      <c r="M752" s="13"/>
      <c r="N752" s="13"/>
      <c r="O752" s="13"/>
      <c r="P752" s="47"/>
      <c r="Q752" s="45"/>
      <c r="R752" s="45"/>
      <c r="S752" s="48"/>
      <c r="T752" s="49" t="str">
        <f t="shared" si="64"/>
        <v>[W1229.F]</v>
      </c>
      <c r="U752" s="12" t="str">
        <f t="shared" si="65"/>
        <v/>
      </c>
      <c r="V752" s="49" t="str">
        <f t="shared" si="63"/>
        <v>[W1229.F]</v>
      </c>
    </row>
    <row r="753" spans="1:22" s="49" customFormat="1" ht="14.15" customHeight="1">
      <c r="A753" s="43"/>
      <c r="B753" s="44" t="s">
        <v>6637</v>
      </c>
      <c r="C753" s="54"/>
      <c r="D753" s="10" t="s">
        <v>29</v>
      </c>
      <c r="E753" s="11"/>
      <c r="F753" s="11" t="s">
        <v>18</v>
      </c>
      <c r="G753" s="13"/>
      <c r="H753" s="45" t="s">
        <v>16</v>
      </c>
      <c r="I753" s="47"/>
      <c r="J753" s="12" t="s">
        <v>3174</v>
      </c>
      <c r="K753" s="13" t="s">
        <v>7523</v>
      </c>
      <c r="L753" s="99" t="str">
        <f t="shared" si="62"/>
        <v>W122A.0</v>
      </c>
      <c r="M753" s="13"/>
      <c r="N753" s="13"/>
      <c r="O753" s="13"/>
      <c r="P753" s="47"/>
      <c r="Q753" s="45"/>
      <c r="R753" s="45"/>
      <c r="S753" s="48"/>
      <c r="T753" s="49" t="str">
        <f t="shared" si="64"/>
        <v>[W122A.0]</v>
      </c>
      <c r="U753" s="12" t="str">
        <f t="shared" si="65"/>
        <v/>
      </c>
      <c r="V753" s="49" t="str">
        <f t="shared" si="63"/>
        <v>[W122A.0]</v>
      </c>
    </row>
    <row r="754" spans="1:22" s="49" customFormat="1" ht="14.15" customHeight="1">
      <c r="A754" s="43"/>
      <c r="B754" s="44" t="s">
        <v>6637</v>
      </c>
      <c r="C754" s="54"/>
      <c r="D754" s="10" t="s">
        <v>29</v>
      </c>
      <c r="E754" s="11"/>
      <c r="F754" s="11" t="s">
        <v>18</v>
      </c>
      <c r="G754" s="13"/>
      <c r="H754" s="45" t="s">
        <v>16</v>
      </c>
      <c r="I754" s="47"/>
      <c r="J754" s="12" t="s">
        <v>3175</v>
      </c>
      <c r="K754" s="13" t="s">
        <v>7524</v>
      </c>
      <c r="L754" s="99" t="str">
        <f t="shared" si="62"/>
        <v>W122A.1</v>
      </c>
      <c r="M754" s="13"/>
      <c r="N754" s="13"/>
      <c r="O754" s="13"/>
      <c r="P754" s="47"/>
      <c r="Q754" s="45"/>
      <c r="R754" s="45"/>
      <c r="S754" s="48"/>
      <c r="T754" s="49" t="str">
        <f t="shared" si="64"/>
        <v>[W122A.1]</v>
      </c>
      <c r="U754" s="12" t="str">
        <f t="shared" si="65"/>
        <v/>
      </c>
      <c r="V754" s="49" t="str">
        <f t="shared" si="63"/>
        <v>[W122A.1]</v>
      </c>
    </row>
    <row r="755" spans="1:22" s="49" customFormat="1" ht="14.15" customHeight="1">
      <c r="A755" s="43"/>
      <c r="B755" s="44" t="s">
        <v>6637</v>
      </c>
      <c r="C755" s="54"/>
      <c r="D755" s="10" t="s">
        <v>29</v>
      </c>
      <c r="E755" s="11"/>
      <c r="F755" s="11" t="s">
        <v>18</v>
      </c>
      <c r="G755" s="13"/>
      <c r="H755" s="45" t="s">
        <v>16</v>
      </c>
      <c r="I755" s="47"/>
      <c r="J755" s="12" t="s">
        <v>3176</v>
      </c>
      <c r="K755" s="13" t="s">
        <v>7525</v>
      </c>
      <c r="L755" s="99" t="str">
        <f t="shared" si="62"/>
        <v>W122A.2</v>
      </c>
      <c r="M755" s="13"/>
      <c r="N755" s="13"/>
      <c r="O755" s="13"/>
      <c r="P755" s="47"/>
      <c r="Q755" s="45"/>
      <c r="R755" s="45"/>
      <c r="S755" s="48"/>
      <c r="T755" s="49" t="str">
        <f t="shared" si="64"/>
        <v>[W122A.2]</v>
      </c>
      <c r="U755" s="12" t="str">
        <f t="shared" si="65"/>
        <v/>
      </c>
      <c r="V755" s="49" t="str">
        <f t="shared" si="63"/>
        <v>[W122A.2]</v>
      </c>
    </row>
    <row r="756" spans="1:22" s="49" customFormat="1" ht="14.15" customHeight="1">
      <c r="A756" s="43"/>
      <c r="B756" s="44" t="s">
        <v>6637</v>
      </c>
      <c r="C756" s="54"/>
      <c r="D756" s="10" t="s">
        <v>29</v>
      </c>
      <c r="E756" s="11"/>
      <c r="F756" s="11" t="s">
        <v>18</v>
      </c>
      <c r="G756" s="13"/>
      <c r="H756" s="45" t="s">
        <v>16</v>
      </c>
      <c r="I756" s="47"/>
      <c r="J756" s="12" t="s">
        <v>3177</v>
      </c>
      <c r="K756" s="13" t="s">
        <v>7526</v>
      </c>
      <c r="L756" s="99" t="str">
        <f t="shared" si="62"/>
        <v>W122A.3</v>
      </c>
      <c r="M756" s="13"/>
      <c r="N756" s="13"/>
      <c r="O756" s="13"/>
      <c r="P756" s="47"/>
      <c r="Q756" s="45"/>
      <c r="R756" s="45"/>
      <c r="S756" s="48"/>
      <c r="T756" s="49" t="str">
        <f t="shared" si="64"/>
        <v>[W122A.3]</v>
      </c>
      <c r="U756" s="12" t="str">
        <f t="shared" si="65"/>
        <v/>
      </c>
      <c r="V756" s="49" t="str">
        <f t="shared" si="63"/>
        <v>[W122A.3]</v>
      </c>
    </row>
    <row r="757" spans="1:22" s="49" customFormat="1" ht="14.15" customHeight="1">
      <c r="A757" s="43"/>
      <c r="B757" s="44" t="s">
        <v>6637</v>
      </c>
      <c r="C757" s="54"/>
      <c r="D757" s="10" t="s">
        <v>29</v>
      </c>
      <c r="E757" s="11"/>
      <c r="F757" s="11" t="s">
        <v>18</v>
      </c>
      <c r="G757" s="13"/>
      <c r="H757" s="45" t="s">
        <v>16</v>
      </c>
      <c r="I757" s="47"/>
      <c r="J757" s="12" t="s">
        <v>3178</v>
      </c>
      <c r="K757" s="13" t="s">
        <v>7527</v>
      </c>
      <c r="L757" s="99" t="str">
        <f t="shared" si="62"/>
        <v>W122A.4</v>
      </c>
      <c r="M757" s="13"/>
      <c r="N757" s="13"/>
      <c r="O757" s="13"/>
      <c r="P757" s="47"/>
      <c r="Q757" s="45"/>
      <c r="R757" s="45"/>
      <c r="S757" s="48"/>
      <c r="T757" s="49" t="str">
        <f t="shared" si="64"/>
        <v>[W122A.4]</v>
      </c>
      <c r="U757" s="12" t="str">
        <f t="shared" si="65"/>
        <v/>
      </c>
      <c r="V757" s="49" t="str">
        <f t="shared" si="63"/>
        <v>[W122A.4]</v>
      </c>
    </row>
    <row r="758" spans="1:22" s="49" customFormat="1" ht="14.15" customHeight="1">
      <c r="A758" s="43"/>
      <c r="B758" s="44" t="s">
        <v>6637</v>
      </c>
      <c r="C758" s="54"/>
      <c r="D758" s="10" t="s">
        <v>29</v>
      </c>
      <c r="E758" s="11"/>
      <c r="F758" s="11" t="s">
        <v>18</v>
      </c>
      <c r="G758" s="13"/>
      <c r="H758" s="45" t="s">
        <v>16</v>
      </c>
      <c r="I758" s="47"/>
      <c r="J758" s="12" t="s">
        <v>3179</v>
      </c>
      <c r="K758" s="13" t="s">
        <v>7528</v>
      </c>
      <c r="L758" s="99" t="str">
        <f t="shared" si="62"/>
        <v>W122A.5</v>
      </c>
      <c r="M758" s="13"/>
      <c r="N758" s="13"/>
      <c r="O758" s="13"/>
      <c r="P758" s="47"/>
      <c r="Q758" s="45"/>
      <c r="R758" s="45"/>
      <c r="S758" s="48"/>
      <c r="T758" s="49" t="str">
        <f t="shared" si="64"/>
        <v>[W122A.5]</v>
      </c>
      <c r="U758" s="12" t="str">
        <f t="shared" si="65"/>
        <v/>
      </c>
      <c r="V758" s="49" t="str">
        <f t="shared" si="63"/>
        <v>[W122A.5]</v>
      </c>
    </row>
    <row r="759" spans="1:22" s="49" customFormat="1" ht="14.15" customHeight="1">
      <c r="A759" s="43"/>
      <c r="B759" s="44" t="s">
        <v>6637</v>
      </c>
      <c r="C759" s="54"/>
      <c r="D759" s="10" t="s">
        <v>29</v>
      </c>
      <c r="E759" s="11"/>
      <c r="F759" s="11" t="s">
        <v>18</v>
      </c>
      <c r="G759" s="13"/>
      <c r="H759" s="45" t="s">
        <v>16</v>
      </c>
      <c r="I759" s="47"/>
      <c r="J759" s="12" t="s">
        <v>3180</v>
      </c>
      <c r="K759" s="13" t="s">
        <v>7529</v>
      </c>
      <c r="L759" s="99" t="str">
        <f t="shared" si="62"/>
        <v>W122A.6</v>
      </c>
      <c r="M759" s="13"/>
      <c r="N759" s="13"/>
      <c r="O759" s="13"/>
      <c r="P759" s="47"/>
      <c r="Q759" s="45"/>
      <c r="R759" s="45"/>
      <c r="S759" s="48"/>
      <c r="T759" s="49" t="str">
        <f t="shared" si="64"/>
        <v>[W122A.6]</v>
      </c>
      <c r="U759" s="12" t="str">
        <f t="shared" si="65"/>
        <v/>
      </c>
      <c r="V759" s="49" t="str">
        <f t="shared" si="63"/>
        <v>[W122A.6]</v>
      </c>
    </row>
    <row r="760" spans="1:22" s="49" customFormat="1" ht="14.15" customHeight="1">
      <c r="A760" s="43"/>
      <c r="B760" s="44" t="s">
        <v>6637</v>
      </c>
      <c r="C760" s="54"/>
      <c r="D760" s="10" t="s">
        <v>29</v>
      </c>
      <c r="E760" s="11"/>
      <c r="F760" s="11" t="s">
        <v>18</v>
      </c>
      <c r="G760" s="13"/>
      <c r="H760" s="45" t="s">
        <v>16</v>
      </c>
      <c r="I760" s="47"/>
      <c r="J760" s="12" t="s">
        <v>3181</v>
      </c>
      <c r="K760" s="13" t="s">
        <v>7530</v>
      </c>
      <c r="L760" s="99" t="str">
        <f t="shared" si="62"/>
        <v>W122A.7</v>
      </c>
      <c r="M760" s="13"/>
      <c r="N760" s="13"/>
      <c r="O760" s="13"/>
      <c r="P760" s="47"/>
      <c r="Q760" s="45"/>
      <c r="R760" s="45"/>
      <c r="S760" s="48"/>
      <c r="T760" s="49" t="str">
        <f t="shared" si="64"/>
        <v>[W122A.7]</v>
      </c>
      <c r="U760" s="12" t="str">
        <f t="shared" si="65"/>
        <v/>
      </c>
      <c r="V760" s="49" t="str">
        <f t="shared" si="63"/>
        <v>[W122A.7]</v>
      </c>
    </row>
    <row r="761" spans="1:22" s="49" customFormat="1" ht="14.15" customHeight="1">
      <c r="A761" s="43"/>
      <c r="B761" s="44" t="s">
        <v>6637</v>
      </c>
      <c r="C761" s="54"/>
      <c r="D761" s="10" t="s">
        <v>29</v>
      </c>
      <c r="E761" s="11"/>
      <c r="F761" s="11" t="s">
        <v>18</v>
      </c>
      <c r="G761" s="13"/>
      <c r="H761" s="45" t="s">
        <v>16</v>
      </c>
      <c r="I761" s="47"/>
      <c r="J761" s="12" t="s">
        <v>3152</v>
      </c>
      <c r="K761" s="13" t="s">
        <v>7531</v>
      </c>
      <c r="L761" s="99" t="str">
        <f t="shared" si="62"/>
        <v>W122A.8</v>
      </c>
      <c r="M761" s="13"/>
      <c r="N761" s="13"/>
      <c r="O761" s="13"/>
      <c r="P761" s="47"/>
      <c r="Q761" s="45"/>
      <c r="R761" s="45"/>
      <c r="S761" s="48"/>
      <c r="T761" s="49" t="str">
        <f t="shared" si="64"/>
        <v>[W122A.8]</v>
      </c>
      <c r="U761" s="12" t="str">
        <f t="shared" si="65"/>
        <v/>
      </c>
      <c r="V761" s="49" t="str">
        <f t="shared" si="63"/>
        <v>[W122A.8]</v>
      </c>
    </row>
    <row r="762" spans="1:22" s="49" customFormat="1" ht="14.15" customHeight="1">
      <c r="A762" s="43"/>
      <c r="B762" s="44" t="s">
        <v>6637</v>
      </c>
      <c r="C762" s="54"/>
      <c r="D762" s="10" t="s">
        <v>29</v>
      </c>
      <c r="E762" s="11"/>
      <c r="F762" s="11" t="s">
        <v>18</v>
      </c>
      <c r="G762" s="13"/>
      <c r="H762" s="45" t="s">
        <v>16</v>
      </c>
      <c r="I762" s="47"/>
      <c r="J762" s="12" t="s">
        <v>3182</v>
      </c>
      <c r="K762" s="13" t="s">
        <v>7532</v>
      </c>
      <c r="L762" s="99" t="str">
        <f t="shared" si="62"/>
        <v>W122A.9</v>
      </c>
      <c r="M762" s="13"/>
      <c r="N762" s="13"/>
      <c r="O762" s="13"/>
      <c r="P762" s="47"/>
      <c r="Q762" s="45"/>
      <c r="R762" s="45"/>
      <c r="S762" s="48"/>
      <c r="T762" s="49" t="str">
        <f t="shared" si="64"/>
        <v>[W122A.9]</v>
      </c>
      <c r="U762" s="12" t="str">
        <f t="shared" si="65"/>
        <v/>
      </c>
      <c r="V762" s="49" t="str">
        <f t="shared" si="63"/>
        <v>[W122A.9]</v>
      </c>
    </row>
    <row r="763" spans="1:22" s="49" customFormat="1" ht="14.15" customHeight="1">
      <c r="A763" s="43"/>
      <c r="B763" s="44" t="s">
        <v>6637</v>
      </c>
      <c r="C763" s="54"/>
      <c r="D763" s="10" t="s">
        <v>29</v>
      </c>
      <c r="E763" s="11"/>
      <c r="F763" s="11" t="s">
        <v>18</v>
      </c>
      <c r="G763" s="13"/>
      <c r="H763" s="45" t="s">
        <v>16</v>
      </c>
      <c r="I763" s="47"/>
      <c r="J763" s="12" t="s">
        <v>3183</v>
      </c>
      <c r="K763" s="13" t="s">
        <v>7533</v>
      </c>
      <c r="L763" s="99" t="str">
        <f t="shared" si="62"/>
        <v>W122A.A</v>
      </c>
      <c r="M763" s="13"/>
      <c r="N763" s="13"/>
      <c r="O763" s="13"/>
      <c r="P763" s="47"/>
      <c r="Q763" s="45"/>
      <c r="R763" s="45"/>
      <c r="S763" s="48"/>
      <c r="T763" s="49" t="str">
        <f t="shared" si="64"/>
        <v>[W122A.A]</v>
      </c>
      <c r="U763" s="12" t="str">
        <f t="shared" si="65"/>
        <v/>
      </c>
      <c r="V763" s="49" t="str">
        <f t="shared" si="63"/>
        <v>[W122A.A]</v>
      </c>
    </row>
    <row r="764" spans="1:22" s="49" customFormat="1" ht="14.15" customHeight="1">
      <c r="A764" s="43"/>
      <c r="B764" s="44" t="s">
        <v>6637</v>
      </c>
      <c r="C764" s="54"/>
      <c r="D764" s="10" t="s">
        <v>29</v>
      </c>
      <c r="E764" s="11"/>
      <c r="F764" s="11" t="s">
        <v>18</v>
      </c>
      <c r="G764" s="13"/>
      <c r="H764" s="45" t="s">
        <v>16</v>
      </c>
      <c r="I764" s="47"/>
      <c r="J764" s="12" t="s">
        <v>3184</v>
      </c>
      <c r="K764" s="13" t="s">
        <v>7534</v>
      </c>
      <c r="L764" s="99" t="str">
        <f t="shared" si="62"/>
        <v>W122A.B</v>
      </c>
      <c r="M764" s="13"/>
      <c r="N764" s="13"/>
      <c r="O764" s="13"/>
      <c r="P764" s="47"/>
      <c r="Q764" s="45"/>
      <c r="R764" s="45"/>
      <c r="S764" s="48"/>
      <c r="T764" s="49" t="str">
        <f t="shared" si="64"/>
        <v>[W122A.B]</v>
      </c>
      <c r="U764" s="12" t="str">
        <f t="shared" si="65"/>
        <v/>
      </c>
      <c r="V764" s="49" t="str">
        <f t="shared" si="63"/>
        <v>[W122A.B]</v>
      </c>
    </row>
    <row r="765" spans="1:22" s="49" customFormat="1" ht="14.15" customHeight="1">
      <c r="A765" s="43"/>
      <c r="B765" s="44" t="s">
        <v>6637</v>
      </c>
      <c r="C765" s="54"/>
      <c r="D765" s="10" t="s">
        <v>29</v>
      </c>
      <c r="E765" s="11"/>
      <c r="F765" s="11" t="s">
        <v>18</v>
      </c>
      <c r="G765" s="13"/>
      <c r="H765" s="45" t="s">
        <v>16</v>
      </c>
      <c r="I765" s="47"/>
      <c r="J765" s="12" t="s">
        <v>3185</v>
      </c>
      <c r="K765" s="13" t="s">
        <v>7535</v>
      </c>
      <c r="L765" s="99" t="str">
        <f t="shared" si="62"/>
        <v>W122A.C</v>
      </c>
      <c r="M765" s="13"/>
      <c r="N765" s="13"/>
      <c r="O765" s="13"/>
      <c r="P765" s="47"/>
      <c r="Q765" s="45"/>
      <c r="R765" s="45"/>
      <c r="S765" s="48"/>
      <c r="T765" s="49" t="str">
        <f t="shared" si="64"/>
        <v>[W122A.C]</v>
      </c>
      <c r="U765" s="12" t="str">
        <f t="shared" si="65"/>
        <v/>
      </c>
      <c r="V765" s="49" t="str">
        <f t="shared" si="63"/>
        <v>[W122A.C]</v>
      </c>
    </row>
    <row r="766" spans="1:22" s="49" customFormat="1" ht="14.15" customHeight="1">
      <c r="A766" s="43"/>
      <c r="B766" s="44" t="s">
        <v>6637</v>
      </c>
      <c r="C766" s="54"/>
      <c r="D766" s="10" t="s">
        <v>29</v>
      </c>
      <c r="E766" s="11"/>
      <c r="F766" s="11" t="s">
        <v>18</v>
      </c>
      <c r="G766" s="13"/>
      <c r="H766" s="45" t="s">
        <v>16</v>
      </c>
      <c r="I766" s="47"/>
      <c r="J766" s="12" t="s">
        <v>3186</v>
      </c>
      <c r="K766" s="13" t="s">
        <v>7536</v>
      </c>
      <c r="L766" s="99" t="str">
        <f t="shared" si="62"/>
        <v>W122A.D</v>
      </c>
      <c r="M766" s="13"/>
      <c r="N766" s="13"/>
      <c r="O766" s="13"/>
      <c r="P766" s="47"/>
      <c r="Q766" s="45"/>
      <c r="R766" s="45"/>
      <c r="S766" s="48"/>
      <c r="T766" s="49" t="str">
        <f t="shared" si="64"/>
        <v>[W122A.D]</v>
      </c>
      <c r="U766" s="12" t="str">
        <f t="shared" si="65"/>
        <v/>
      </c>
      <c r="V766" s="49" t="str">
        <f t="shared" si="63"/>
        <v>[W122A.D]</v>
      </c>
    </row>
    <row r="767" spans="1:22" s="49" customFormat="1" ht="14.15" customHeight="1">
      <c r="A767" s="43"/>
      <c r="B767" s="44" t="s">
        <v>6637</v>
      </c>
      <c r="C767" s="54"/>
      <c r="D767" s="10" t="s">
        <v>29</v>
      </c>
      <c r="E767" s="11"/>
      <c r="F767" s="11" t="s">
        <v>18</v>
      </c>
      <c r="G767" s="13"/>
      <c r="H767" s="45" t="s">
        <v>16</v>
      </c>
      <c r="I767" s="47"/>
      <c r="J767" s="12" t="s">
        <v>3187</v>
      </c>
      <c r="K767" s="13" t="s">
        <v>7537</v>
      </c>
      <c r="L767" s="99" t="str">
        <f t="shared" si="62"/>
        <v>W122A.E</v>
      </c>
      <c r="M767" s="13"/>
      <c r="N767" s="13"/>
      <c r="O767" s="13"/>
      <c r="P767" s="47"/>
      <c r="Q767" s="45"/>
      <c r="R767" s="45"/>
      <c r="S767" s="48"/>
      <c r="T767" s="49" t="str">
        <f t="shared" si="64"/>
        <v>[W122A.E]</v>
      </c>
      <c r="U767" s="12" t="str">
        <f t="shared" si="65"/>
        <v/>
      </c>
      <c r="V767" s="49" t="str">
        <f t="shared" si="63"/>
        <v>[W122A.E]</v>
      </c>
    </row>
    <row r="768" spans="1:22" s="49" customFormat="1" ht="14.15" customHeight="1">
      <c r="A768" s="43"/>
      <c r="B768" s="44" t="s">
        <v>6637</v>
      </c>
      <c r="C768" s="54"/>
      <c r="D768" s="10" t="s">
        <v>29</v>
      </c>
      <c r="E768" s="11"/>
      <c r="F768" s="11" t="s">
        <v>18</v>
      </c>
      <c r="G768" s="13"/>
      <c r="H768" s="45" t="s">
        <v>16</v>
      </c>
      <c r="I768" s="47"/>
      <c r="J768" s="12" t="s">
        <v>3188</v>
      </c>
      <c r="K768" s="13" t="s">
        <v>7538</v>
      </c>
      <c r="L768" s="99" t="str">
        <f t="shared" si="62"/>
        <v>W122A.F</v>
      </c>
      <c r="M768" s="13"/>
      <c r="N768" s="13"/>
      <c r="O768" s="13"/>
      <c r="P768" s="47"/>
      <c r="Q768" s="45"/>
      <c r="R768" s="45"/>
      <c r="S768" s="48"/>
      <c r="T768" s="49" t="str">
        <f t="shared" si="64"/>
        <v>[W122A.F]</v>
      </c>
      <c r="U768" s="12" t="str">
        <f t="shared" si="65"/>
        <v/>
      </c>
      <c r="V768" s="49" t="str">
        <f t="shared" si="63"/>
        <v>[W122A.F]</v>
      </c>
    </row>
    <row r="769" spans="1:22" s="49" customFormat="1" ht="14.15" customHeight="1">
      <c r="A769" s="43"/>
      <c r="B769" s="44" t="s">
        <v>6637</v>
      </c>
      <c r="C769" s="54"/>
      <c r="D769" s="10" t="s">
        <v>29</v>
      </c>
      <c r="E769" s="11"/>
      <c r="F769" s="11" t="s">
        <v>18</v>
      </c>
      <c r="G769" s="13"/>
      <c r="H769" s="45" t="s">
        <v>16</v>
      </c>
      <c r="I769" s="47"/>
      <c r="J769" s="12" t="s">
        <v>3189</v>
      </c>
      <c r="K769" s="13" t="s">
        <v>7539</v>
      </c>
      <c r="L769" s="99" t="str">
        <f t="shared" si="62"/>
        <v>W122B.0</v>
      </c>
      <c r="M769" s="13"/>
      <c r="N769" s="13"/>
      <c r="O769" s="13"/>
      <c r="P769" s="47"/>
      <c r="Q769" s="45"/>
      <c r="R769" s="45"/>
      <c r="S769" s="48"/>
      <c r="T769" s="49" t="str">
        <f>"["&amp;L739&amp;"]"</f>
        <v>[W1229.2]</v>
      </c>
      <c r="U769" s="12" t="str">
        <f>RIGHT(J739,LEN(J739)-7)</f>
        <v/>
      </c>
      <c r="V769" s="49" t="str">
        <f>T739&amp;U739</f>
        <v>[W1229.2]</v>
      </c>
    </row>
    <row r="770" spans="1:22" s="49" customFormat="1" ht="14.15" customHeight="1">
      <c r="A770" s="43"/>
      <c r="B770" s="44" t="s">
        <v>6637</v>
      </c>
      <c r="C770" s="54"/>
      <c r="D770" s="10" t="s">
        <v>29</v>
      </c>
      <c r="E770" s="11"/>
      <c r="F770" s="11" t="s">
        <v>18</v>
      </c>
      <c r="G770" s="13"/>
      <c r="H770" s="45" t="s">
        <v>16</v>
      </c>
      <c r="I770" s="47"/>
      <c r="J770" s="12" t="s">
        <v>3190</v>
      </c>
      <c r="K770" s="13" t="s">
        <v>7540</v>
      </c>
      <c r="L770" s="99" t="str">
        <f t="shared" si="62"/>
        <v>W122B.1</v>
      </c>
      <c r="M770" s="13"/>
      <c r="N770" s="13"/>
      <c r="O770" s="13"/>
      <c r="P770" s="47"/>
      <c r="Q770" s="45"/>
      <c r="R770" s="45"/>
      <c r="S770" s="48"/>
      <c r="T770" s="49" t="str">
        <f t="shared" ref="T770:T797" si="66">"["&amp;L770&amp;"]"</f>
        <v>[W122B.1]</v>
      </c>
      <c r="U770" s="12" t="str">
        <f t="shared" ref="U770:U797" si="67">RIGHT(J770,LEN(J770)-7)</f>
        <v/>
      </c>
      <c r="V770" s="49" t="str">
        <f t="shared" si="63"/>
        <v>[W122B.1]</v>
      </c>
    </row>
    <row r="771" spans="1:22" s="49" customFormat="1" ht="14.15" customHeight="1">
      <c r="A771" s="43"/>
      <c r="B771" s="44" t="s">
        <v>6637</v>
      </c>
      <c r="C771" s="54"/>
      <c r="D771" s="10" t="s">
        <v>29</v>
      </c>
      <c r="E771" s="11"/>
      <c r="F771" s="11" t="s">
        <v>18</v>
      </c>
      <c r="G771" s="13"/>
      <c r="H771" s="45" t="s">
        <v>16</v>
      </c>
      <c r="I771" s="47"/>
      <c r="J771" s="12" t="s">
        <v>3191</v>
      </c>
      <c r="K771" s="13" t="s">
        <v>7541</v>
      </c>
      <c r="L771" s="99" t="str">
        <f t="shared" si="62"/>
        <v>W122B.2</v>
      </c>
      <c r="M771" s="13"/>
      <c r="N771" s="13"/>
      <c r="O771" s="13"/>
      <c r="P771" s="47"/>
      <c r="Q771" s="45"/>
      <c r="R771" s="45"/>
      <c r="S771" s="48"/>
      <c r="T771" s="49" t="str">
        <f t="shared" si="66"/>
        <v>[W122B.2]</v>
      </c>
      <c r="U771" s="12" t="str">
        <f t="shared" si="67"/>
        <v/>
      </c>
      <c r="V771" s="49" t="str">
        <f t="shared" si="63"/>
        <v>[W122B.2]</v>
      </c>
    </row>
    <row r="772" spans="1:22" s="49" customFormat="1" ht="14.15" customHeight="1">
      <c r="A772" s="43"/>
      <c r="B772" s="44" t="s">
        <v>6637</v>
      </c>
      <c r="C772" s="54"/>
      <c r="D772" s="10" t="s">
        <v>29</v>
      </c>
      <c r="E772" s="11"/>
      <c r="F772" s="11" t="s">
        <v>18</v>
      </c>
      <c r="G772" s="13"/>
      <c r="H772" s="45" t="s">
        <v>16</v>
      </c>
      <c r="I772" s="47"/>
      <c r="J772" s="12" t="s">
        <v>3192</v>
      </c>
      <c r="K772" s="13" t="s">
        <v>7542</v>
      </c>
      <c r="L772" s="99" t="str">
        <f t="shared" si="62"/>
        <v>W122B.3</v>
      </c>
      <c r="M772" s="13"/>
      <c r="N772" s="13"/>
      <c r="O772" s="13"/>
      <c r="P772" s="47"/>
      <c r="Q772" s="45"/>
      <c r="R772" s="45"/>
      <c r="S772" s="48"/>
      <c r="T772" s="49" t="str">
        <f t="shared" si="66"/>
        <v>[W122B.3]</v>
      </c>
      <c r="U772" s="12" t="str">
        <f t="shared" si="67"/>
        <v/>
      </c>
      <c r="V772" s="49" t="str">
        <f t="shared" si="63"/>
        <v>[W122B.3]</v>
      </c>
    </row>
    <row r="773" spans="1:22" s="49" customFormat="1" ht="14.15" customHeight="1">
      <c r="A773" s="43"/>
      <c r="B773" s="44" t="s">
        <v>6637</v>
      </c>
      <c r="C773" s="54"/>
      <c r="D773" s="10" t="s">
        <v>29</v>
      </c>
      <c r="E773" s="11"/>
      <c r="F773" s="11" t="s">
        <v>18</v>
      </c>
      <c r="G773" s="13"/>
      <c r="H773" s="45" t="s">
        <v>16</v>
      </c>
      <c r="I773" s="47"/>
      <c r="J773" s="12" t="s">
        <v>3193</v>
      </c>
      <c r="K773" s="13" t="s">
        <v>7543</v>
      </c>
      <c r="L773" s="99" t="str">
        <f t="shared" si="62"/>
        <v>W122B.4</v>
      </c>
      <c r="M773" s="13"/>
      <c r="N773" s="13"/>
      <c r="O773" s="13"/>
      <c r="P773" s="47"/>
      <c r="Q773" s="45"/>
      <c r="R773" s="45"/>
      <c r="S773" s="48"/>
      <c r="T773" s="49" t="str">
        <f t="shared" si="66"/>
        <v>[W122B.4]</v>
      </c>
      <c r="U773" s="12" t="str">
        <f t="shared" si="67"/>
        <v/>
      </c>
      <c r="V773" s="49" t="str">
        <f t="shared" si="63"/>
        <v>[W122B.4]</v>
      </c>
    </row>
    <row r="774" spans="1:22" s="49" customFormat="1" ht="14.15" customHeight="1">
      <c r="A774" s="43"/>
      <c r="B774" s="44" t="s">
        <v>6637</v>
      </c>
      <c r="C774" s="54"/>
      <c r="D774" s="10" t="s">
        <v>29</v>
      </c>
      <c r="E774" s="11"/>
      <c r="F774" s="11" t="s">
        <v>18</v>
      </c>
      <c r="G774" s="13"/>
      <c r="H774" s="45" t="s">
        <v>16</v>
      </c>
      <c r="I774" s="47"/>
      <c r="J774" s="12" t="s">
        <v>3194</v>
      </c>
      <c r="K774" s="13" t="s">
        <v>7544</v>
      </c>
      <c r="L774" s="99" t="str">
        <f t="shared" si="62"/>
        <v>W122B.5</v>
      </c>
      <c r="M774" s="13"/>
      <c r="N774" s="13"/>
      <c r="O774" s="13"/>
      <c r="P774" s="47"/>
      <c r="Q774" s="45"/>
      <c r="R774" s="45"/>
      <c r="S774" s="48"/>
      <c r="T774" s="49" t="str">
        <f t="shared" si="66"/>
        <v>[W122B.5]</v>
      </c>
      <c r="U774" s="12" t="str">
        <f t="shared" si="67"/>
        <v/>
      </c>
      <c r="V774" s="49" t="str">
        <f t="shared" si="63"/>
        <v>[W122B.5]</v>
      </c>
    </row>
    <row r="775" spans="1:22" s="49" customFormat="1" ht="14.15" customHeight="1">
      <c r="A775" s="43"/>
      <c r="B775" s="44" t="s">
        <v>6637</v>
      </c>
      <c r="C775" s="54"/>
      <c r="D775" s="10" t="s">
        <v>29</v>
      </c>
      <c r="E775" s="11"/>
      <c r="F775" s="11" t="s">
        <v>18</v>
      </c>
      <c r="G775" s="13"/>
      <c r="H775" s="45" t="s">
        <v>16</v>
      </c>
      <c r="I775" s="47"/>
      <c r="J775" s="12" t="s">
        <v>3195</v>
      </c>
      <c r="K775" s="13" t="s">
        <v>7545</v>
      </c>
      <c r="L775" s="99" t="str">
        <f t="shared" si="62"/>
        <v>W122B.6</v>
      </c>
      <c r="M775" s="13"/>
      <c r="N775" s="13"/>
      <c r="O775" s="13"/>
      <c r="P775" s="47"/>
      <c r="Q775" s="45"/>
      <c r="R775" s="45"/>
      <c r="S775" s="48"/>
      <c r="T775" s="49" t="str">
        <f t="shared" si="66"/>
        <v>[W122B.6]</v>
      </c>
      <c r="U775" s="12" t="str">
        <f t="shared" si="67"/>
        <v/>
      </c>
      <c r="V775" s="49" t="str">
        <f t="shared" si="63"/>
        <v>[W122B.6]</v>
      </c>
    </row>
    <row r="776" spans="1:22" s="49" customFormat="1" ht="14.15" customHeight="1">
      <c r="A776" s="43"/>
      <c r="B776" s="44" t="s">
        <v>6637</v>
      </c>
      <c r="C776" s="54"/>
      <c r="D776" s="10" t="s">
        <v>29</v>
      </c>
      <c r="E776" s="11"/>
      <c r="F776" s="11" t="s">
        <v>18</v>
      </c>
      <c r="G776" s="13"/>
      <c r="H776" s="45" t="s">
        <v>16</v>
      </c>
      <c r="I776" s="47"/>
      <c r="J776" s="12" t="s">
        <v>3196</v>
      </c>
      <c r="K776" s="13" t="s">
        <v>7546</v>
      </c>
      <c r="L776" s="99" t="str">
        <f t="shared" si="62"/>
        <v>W122B.7</v>
      </c>
      <c r="M776" s="13"/>
      <c r="N776" s="13"/>
      <c r="O776" s="13"/>
      <c r="P776" s="47"/>
      <c r="Q776" s="45"/>
      <c r="R776" s="45"/>
      <c r="S776" s="48"/>
      <c r="T776" s="49" t="str">
        <f t="shared" si="66"/>
        <v>[W122B.7]</v>
      </c>
      <c r="U776" s="12" t="str">
        <f t="shared" si="67"/>
        <v/>
      </c>
      <c r="V776" s="49" t="str">
        <f t="shared" si="63"/>
        <v>[W122B.7]</v>
      </c>
    </row>
    <row r="777" spans="1:22" s="49" customFormat="1" ht="14.15" customHeight="1">
      <c r="A777" s="43"/>
      <c r="B777" s="44" t="s">
        <v>6637</v>
      </c>
      <c r="C777" s="54"/>
      <c r="D777" s="10" t="s">
        <v>29</v>
      </c>
      <c r="E777" s="11"/>
      <c r="F777" s="11" t="s">
        <v>18</v>
      </c>
      <c r="G777" s="13"/>
      <c r="H777" s="45" t="s">
        <v>16</v>
      </c>
      <c r="I777" s="47"/>
      <c r="J777" s="12" t="s">
        <v>3197</v>
      </c>
      <c r="K777" s="13" t="s">
        <v>7547</v>
      </c>
      <c r="L777" s="99" t="str">
        <f t="shared" si="62"/>
        <v>W122B.8</v>
      </c>
      <c r="M777" s="13"/>
      <c r="N777" s="13"/>
      <c r="O777" s="13"/>
      <c r="P777" s="47"/>
      <c r="Q777" s="45"/>
      <c r="R777" s="45"/>
      <c r="S777" s="48"/>
      <c r="T777" s="49" t="str">
        <f t="shared" si="66"/>
        <v>[W122B.8]</v>
      </c>
      <c r="U777" s="12" t="str">
        <f t="shared" si="67"/>
        <v/>
      </c>
      <c r="V777" s="49" t="str">
        <f t="shared" si="63"/>
        <v>[W122B.8]</v>
      </c>
    </row>
    <row r="778" spans="1:22" s="49" customFormat="1" ht="14.15" customHeight="1">
      <c r="A778" s="43"/>
      <c r="B778" s="44" t="s">
        <v>6637</v>
      </c>
      <c r="C778" s="54"/>
      <c r="D778" s="10" t="s">
        <v>29</v>
      </c>
      <c r="E778" s="11"/>
      <c r="F778" s="11" t="s">
        <v>18</v>
      </c>
      <c r="G778" s="13"/>
      <c r="H778" s="45" t="s">
        <v>16</v>
      </c>
      <c r="I778" s="47"/>
      <c r="J778" s="12" t="s">
        <v>3198</v>
      </c>
      <c r="K778" s="13" t="s">
        <v>7548</v>
      </c>
      <c r="L778" s="99" t="str">
        <f t="shared" si="62"/>
        <v>W122B.9</v>
      </c>
      <c r="M778" s="13"/>
      <c r="N778" s="13"/>
      <c r="O778" s="13"/>
      <c r="P778" s="47"/>
      <c r="Q778" s="45"/>
      <c r="R778" s="45"/>
      <c r="S778" s="48"/>
      <c r="T778" s="49" t="str">
        <f t="shared" si="66"/>
        <v>[W122B.9]</v>
      </c>
      <c r="U778" s="12" t="str">
        <f t="shared" si="67"/>
        <v/>
      </c>
      <c r="V778" s="49" t="str">
        <f t="shared" si="63"/>
        <v>[W122B.9]</v>
      </c>
    </row>
    <row r="779" spans="1:22" s="49" customFormat="1" ht="14.15" customHeight="1">
      <c r="A779" s="43"/>
      <c r="B779" s="44" t="s">
        <v>6637</v>
      </c>
      <c r="C779" s="54"/>
      <c r="D779" s="10" t="s">
        <v>29</v>
      </c>
      <c r="E779" s="11"/>
      <c r="F779" s="11" t="s">
        <v>18</v>
      </c>
      <c r="G779" s="13"/>
      <c r="H779" s="45" t="s">
        <v>16</v>
      </c>
      <c r="I779" s="47"/>
      <c r="J779" s="12" t="s">
        <v>3199</v>
      </c>
      <c r="K779" s="13" t="s">
        <v>7549</v>
      </c>
      <c r="L779" s="99" t="str">
        <f t="shared" si="62"/>
        <v>W122B.A</v>
      </c>
      <c r="M779" s="13"/>
      <c r="N779" s="13"/>
      <c r="O779" s="13"/>
      <c r="P779" s="47"/>
      <c r="Q779" s="45"/>
      <c r="R779" s="45"/>
      <c r="S779" s="48"/>
      <c r="T779" s="49" t="str">
        <f t="shared" si="66"/>
        <v>[W122B.A]</v>
      </c>
      <c r="U779" s="12" t="str">
        <f t="shared" si="67"/>
        <v/>
      </c>
      <c r="V779" s="49" t="str">
        <f t="shared" si="63"/>
        <v>[W122B.A]</v>
      </c>
    </row>
    <row r="780" spans="1:22" s="49" customFormat="1" ht="14.15" customHeight="1">
      <c r="A780" s="43"/>
      <c r="B780" s="44" t="s">
        <v>6637</v>
      </c>
      <c r="C780" s="54"/>
      <c r="D780" s="10" t="s">
        <v>29</v>
      </c>
      <c r="E780" s="11"/>
      <c r="F780" s="11" t="s">
        <v>18</v>
      </c>
      <c r="G780" s="13"/>
      <c r="H780" s="45" t="s">
        <v>16</v>
      </c>
      <c r="I780" s="47"/>
      <c r="J780" s="12" t="s">
        <v>3200</v>
      </c>
      <c r="K780" s="13" t="s">
        <v>7550</v>
      </c>
      <c r="L780" s="99" t="str">
        <f t="shared" si="62"/>
        <v>W122B.B</v>
      </c>
      <c r="M780" s="13"/>
      <c r="N780" s="13"/>
      <c r="O780" s="13"/>
      <c r="P780" s="47"/>
      <c r="Q780" s="45"/>
      <c r="R780" s="45"/>
      <c r="S780" s="48"/>
      <c r="T780" s="49" t="str">
        <f t="shared" si="66"/>
        <v>[W122B.B]</v>
      </c>
      <c r="U780" s="12" t="str">
        <f t="shared" si="67"/>
        <v/>
      </c>
      <c r="V780" s="49" t="str">
        <f t="shared" si="63"/>
        <v>[W122B.B]</v>
      </c>
    </row>
    <row r="781" spans="1:22" s="49" customFormat="1" ht="14.15" customHeight="1">
      <c r="A781" s="43"/>
      <c r="B781" s="44" t="s">
        <v>6637</v>
      </c>
      <c r="C781" s="54"/>
      <c r="D781" s="10" t="s">
        <v>29</v>
      </c>
      <c r="E781" s="11"/>
      <c r="F781" s="11" t="s">
        <v>18</v>
      </c>
      <c r="G781" s="13"/>
      <c r="H781" s="45" t="s">
        <v>16</v>
      </c>
      <c r="I781" s="47"/>
      <c r="J781" s="12" t="s">
        <v>3201</v>
      </c>
      <c r="K781" s="13" t="s">
        <v>7551</v>
      </c>
      <c r="L781" s="99" t="str">
        <f t="shared" si="62"/>
        <v>W122B.C</v>
      </c>
      <c r="M781" s="13"/>
      <c r="N781" s="13"/>
      <c r="O781" s="13"/>
      <c r="P781" s="47"/>
      <c r="Q781" s="45"/>
      <c r="R781" s="45"/>
      <c r="S781" s="48"/>
      <c r="T781" s="49" t="str">
        <f t="shared" si="66"/>
        <v>[W122B.C]</v>
      </c>
      <c r="U781" s="12" t="str">
        <f t="shared" si="67"/>
        <v/>
      </c>
      <c r="V781" s="49" t="str">
        <f t="shared" si="63"/>
        <v>[W122B.C]</v>
      </c>
    </row>
    <row r="782" spans="1:22" s="49" customFormat="1" ht="14.15" customHeight="1">
      <c r="A782" s="43"/>
      <c r="B782" s="44" t="s">
        <v>6637</v>
      </c>
      <c r="C782" s="54"/>
      <c r="D782" s="10" t="s">
        <v>29</v>
      </c>
      <c r="E782" s="11"/>
      <c r="F782" s="11" t="s">
        <v>18</v>
      </c>
      <c r="G782" s="13"/>
      <c r="H782" s="45" t="s">
        <v>16</v>
      </c>
      <c r="I782" s="47"/>
      <c r="J782" s="12" t="s">
        <v>3202</v>
      </c>
      <c r="K782" s="13" t="s">
        <v>7552</v>
      </c>
      <c r="L782" s="99" t="str">
        <f t="shared" si="62"/>
        <v>W122B.D</v>
      </c>
      <c r="M782" s="13"/>
      <c r="N782" s="13"/>
      <c r="O782" s="13"/>
      <c r="P782" s="47"/>
      <c r="Q782" s="45"/>
      <c r="R782" s="45"/>
      <c r="S782" s="48"/>
      <c r="T782" s="49" t="str">
        <f t="shared" si="66"/>
        <v>[W122B.D]</v>
      </c>
      <c r="U782" s="12" t="str">
        <f t="shared" si="67"/>
        <v/>
      </c>
      <c r="V782" s="49" t="str">
        <f t="shared" si="63"/>
        <v>[W122B.D]</v>
      </c>
    </row>
    <row r="783" spans="1:22" s="49" customFormat="1" ht="14.15" customHeight="1">
      <c r="A783" s="43"/>
      <c r="B783" s="44" t="s">
        <v>6637</v>
      </c>
      <c r="C783" s="54"/>
      <c r="D783" s="10" t="s">
        <v>29</v>
      </c>
      <c r="E783" s="11"/>
      <c r="F783" s="11" t="s">
        <v>18</v>
      </c>
      <c r="G783" s="13"/>
      <c r="H783" s="45" t="s">
        <v>16</v>
      </c>
      <c r="I783" s="47"/>
      <c r="J783" s="12" t="s">
        <v>3203</v>
      </c>
      <c r="K783" s="13" t="s">
        <v>7553</v>
      </c>
      <c r="L783" s="99" t="str">
        <f t="shared" si="62"/>
        <v>W122B.E</v>
      </c>
      <c r="M783" s="13"/>
      <c r="N783" s="13"/>
      <c r="O783" s="13"/>
      <c r="P783" s="47"/>
      <c r="Q783" s="45"/>
      <c r="R783" s="45"/>
      <c r="S783" s="48"/>
      <c r="T783" s="49" t="str">
        <f t="shared" si="66"/>
        <v>[W122B.E]</v>
      </c>
      <c r="U783" s="12" t="str">
        <f t="shared" si="67"/>
        <v/>
      </c>
      <c r="V783" s="49" t="str">
        <f t="shared" si="63"/>
        <v>[W122B.E]</v>
      </c>
    </row>
    <row r="784" spans="1:22" s="49" customFormat="1" ht="14.15" customHeight="1">
      <c r="A784" s="43"/>
      <c r="B784" s="44" t="s">
        <v>6637</v>
      </c>
      <c r="C784" s="54"/>
      <c r="D784" s="10" t="s">
        <v>29</v>
      </c>
      <c r="E784" s="11"/>
      <c r="F784" s="11" t="s">
        <v>18</v>
      </c>
      <c r="G784" s="13"/>
      <c r="H784" s="45" t="s">
        <v>16</v>
      </c>
      <c r="I784" s="47"/>
      <c r="J784" s="12" t="s">
        <v>3204</v>
      </c>
      <c r="K784" s="13" t="s">
        <v>7554</v>
      </c>
      <c r="L784" s="99" t="str">
        <f t="shared" si="62"/>
        <v>W122B.F</v>
      </c>
      <c r="M784" s="13"/>
      <c r="N784" s="13"/>
      <c r="O784" s="13"/>
      <c r="P784" s="47"/>
      <c r="Q784" s="45"/>
      <c r="R784" s="45"/>
      <c r="S784" s="48"/>
      <c r="T784" s="49" t="str">
        <f t="shared" si="66"/>
        <v>[W122B.F]</v>
      </c>
      <c r="U784" s="12" t="str">
        <f t="shared" si="67"/>
        <v/>
      </c>
      <c r="V784" s="49" t="str">
        <f t="shared" si="63"/>
        <v>[W122B.F]</v>
      </c>
    </row>
    <row r="785" spans="1:22" s="49" customFormat="1" ht="14.15" customHeight="1">
      <c r="A785" s="43"/>
      <c r="B785" s="44" t="s">
        <v>6637</v>
      </c>
      <c r="C785" s="54"/>
      <c r="D785" s="10" t="s">
        <v>29</v>
      </c>
      <c r="E785" s="11"/>
      <c r="F785" s="11" t="s">
        <v>18</v>
      </c>
      <c r="G785" s="13"/>
      <c r="H785" s="45" t="s">
        <v>16</v>
      </c>
      <c r="I785" s="47"/>
      <c r="J785" s="12" t="s">
        <v>3205</v>
      </c>
      <c r="K785" s="13" t="s">
        <v>7555</v>
      </c>
      <c r="L785" s="99" t="str">
        <f t="shared" si="62"/>
        <v>W122C.0</v>
      </c>
      <c r="M785" s="13"/>
      <c r="N785" s="13"/>
      <c r="O785" s="13"/>
      <c r="P785" s="47"/>
      <c r="Q785" s="45"/>
      <c r="R785" s="45"/>
      <c r="S785" s="48"/>
      <c r="T785" s="49" t="str">
        <f t="shared" si="66"/>
        <v>[W122C.0]</v>
      </c>
      <c r="U785" s="12" t="str">
        <f t="shared" si="67"/>
        <v/>
      </c>
      <c r="V785" s="49" t="str">
        <f t="shared" si="63"/>
        <v>[W122C.0]</v>
      </c>
    </row>
    <row r="786" spans="1:22" s="49" customFormat="1" ht="14.15" customHeight="1">
      <c r="A786" s="43"/>
      <c r="B786" s="44" t="s">
        <v>6637</v>
      </c>
      <c r="C786" s="54"/>
      <c r="D786" s="10" t="s">
        <v>29</v>
      </c>
      <c r="E786" s="11"/>
      <c r="F786" s="11" t="s">
        <v>18</v>
      </c>
      <c r="G786" s="13"/>
      <c r="H786" s="45" t="s">
        <v>16</v>
      </c>
      <c r="I786" s="47"/>
      <c r="J786" s="12" t="s">
        <v>3206</v>
      </c>
      <c r="K786" s="13" t="s">
        <v>7556</v>
      </c>
      <c r="L786" s="99" t="str">
        <f t="shared" ref="L786:L849" si="68">"W"&amp;DEC2HEX(4608 + INT((ROW()-81)/16)) &amp; "." &amp; IF(MOD(ROW()-81,16)&lt;10,MOD(ROW()-81,16),CHAR(MOD(ROW()-81,16)+55))</f>
        <v>W122C.1</v>
      </c>
      <c r="M786" s="13"/>
      <c r="N786" s="13"/>
      <c r="O786" s="13"/>
      <c r="P786" s="47"/>
      <c r="Q786" s="45"/>
      <c r="R786" s="45"/>
      <c r="S786" s="48"/>
      <c r="T786" s="49" t="str">
        <f t="shared" si="66"/>
        <v>[W122C.1]</v>
      </c>
      <c r="U786" s="12" t="str">
        <f t="shared" si="67"/>
        <v/>
      </c>
      <c r="V786" s="49" t="str">
        <f t="shared" ref="V786:V849" si="69">T786&amp;U786</f>
        <v>[W122C.1]</v>
      </c>
    </row>
    <row r="787" spans="1:22" s="49" customFormat="1" ht="14.15" customHeight="1">
      <c r="A787" s="43"/>
      <c r="B787" s="44" t="s">
        <v>6637</v>
      </c>
      <c r="C787" s="54"/>
      <c r="D787" s="10" t="s">
        <v>29</v>
      </c>
      <c r="E787" s="11"/>
      <c r="F787" s="11" t="s">
        <v>18</v>
      </c>
      <c r="G787" s="13"/>
      <c r="H787" s="45" t="s">
        <v>16</v>
      </c>
      <c r="I787" s="47"/>
      <c r="J787" s="12" t="s">
        <v>3207</v>
      </c>
      <c r="K787" s="13" t="s">
        <v>7557</v>
      </c>
      <c r="L787" s="99" t="str">
        <f t="shared" si="68"/>
        <v>W122C.2</v>
      </c>
      <c r="M787" s="13"/>
      <c r="N787" s="13"/>
      <c r="O787" s="13"/>
      <c r="P787" s="47"/>
      <c r="Q787" s="45"/>
      <c r="R787" s="45"/>
      <c r="S787" s="48"/>
      <c r="T787" s="49" t="str">
        <f t="shared" si="66"/>
        <v>[W122C.2]</v>
      </c>
      <c r="U787" s="12" t="str">
        <f t="shared" si="67"/>
        <v/>
      </c>
      <c r="V787" s="49" t="str">
        <f t="shared" si="69"/>
        <v>[W122C.2]</v>
      </c>
    </row>
    <row r="788" spans="1:22" s="49" customFormat="1" ht="14.15" customHeight="1">
      <c r="A788" s="43"/>
      <c r="B788" s="44" t="s">
        <v>6637</v>
      </c>
      <c r="C788" s="54"/>
      <c r="D788" s="10" t="s">
        <v>29</v>
      </c>
      <c r="E788" s="11"/>
      <c r="F788" s="11" t="s">
        <v>18</v>
      </c>
      <c r="G788" s="13"/>
      <c r="H788" s="45" t="s">
        <v>16</v>
      </c>
      <c r="I788" s="47"/>
      <c r="J788" s="12" t="s">
        <v>3208</v>
      </c>
      <c r="K788" s="13" t="s">
        <v>7558</v>
      </c>
      <c r="L788" s="99" t="str">
        <f t="shared" si="68"/>
        <v>W122C.3</v>
      </c>
      <c r="M788" s="13"/>
      <c r="N788" s="13"/>
      <c r="O788" s="13"/>
      <c r="P788" s="47"/>
      <c r="Q788" s="45"/>
      <c r="R788" s="45"/>
      <c r="S788" s="48"/>
      <c r="T788" s="49" t="str">
        <f t="shared" si="66"/>
        <v>[W122C.3]</v>
      </c>
      <c r="U788" s="12" t="str">
        <f t="shared" si="67"/>
        <v/>
      </c>
      <c r="V788" s="49" t="str">
        <f t="shared" si="69"/>
        <v>[W122C.3]</v>
      </c>
    </row>
    <row r="789" spans="1:22" s="49" customFormat="1" ht="14.15" customHeight="1">
      <c r="A789" s="43"/>
      <c r="B789" s="44" t="s">
        <v>6637</v>
      </c>
      <c r="C789" s="54"/>
      <c r="D789" s="10" t="s">
        <v>29</v>
      </c>
      <c r="E789" s="11"/>
      <c r="F789" s="11" t="s">
        <v>18</v>
      </c>
      <c r="G789" s="13"/>
      <c r="H789" s="45" t="s">
        <v>16</v>
      </c>
      <c r="I789" s="47"/>
      <c r="J789" s="12" t="s">
        <v>3209</v>
      </c>
      <c r="K789" s="13" t="s">
        <v>7559</v>
      </c>
      <c r="L789" s="99" t="str">
        <f t="shared" si="68"/>
        <v>W122C.4</v>
      </c>
      <c r="M789" s="13"/>
      <c r="N789" s="13"/>
      <c r="O789" s="13"/>
      <c r="P789" s="47"/>
      <c r="Q789" s="45"/>
      <c r="R789" s="45"/>
      <c r="S789" s="48"/>
      <c r="T789" s="49" t="str">
        <f t="shared" si="66"/>
        <v>[W122C.4]</v>
      </c>
      <c r="U789" s="12" t="str">
        <f t="shared" si="67"/>
        <v/>
      </c>
      <c r="V789" s="49" t="str">
        <f t="shared" si="69"/>
        <v>[W122C.4]</v>
      </c>
    </row>
    <row r="790" spans="1:22" s="49" customFormat="1" ht="14.15" customHeight="1">
      <c r="A790" s="43"/>
      <c r="B790" s="44" t="s">
        <v>6637</v>
      </c>
      <c r="C790" s="54"/>
      <c r="D790" s="10" t="s">
        <v>29</v>
      </c>
      <c r="E790" s="11"/>
      <c r="F790" s="11" t="s">
        <v>18</v>
      </c>
      <c r="G790" s="13"/>
      <c r="H790" s="45" t="s">
        <v>16</v>
      </c>
      <c r="I790" s="47"/>
      <c r="J790" s="12" t="s">
        <v>3210</v>
      </c>
      <c r="K790" s="13" t="s">
        <v>7560</v>
      </c>
      <c r="L790" s="99" t="str">
        <f t="shared" si="68"/>
        <v>W122C.5</v>
      </c>
      <c r="M790" s="13"/>
      <c r="N790" s="13"/>
      <c r="O790" s="13"/>
      <c r="P790" s="47"/>
      <c r="Q790" s="45"/>
      <c r="R790" s="45"/>
      <c r="S790" s="48"/>
      <c r="T790" s="49" t="str">
        <f t="shared" si="66"/>
        <v>[W122C.5]</v>
      </c>
      <c r="U790" s="12" t="str">
        <f t="shared" si="67"/>
        <v/>
      </c>
      <c r="V790" s="49" t="str">
        <f t="shared" si="69"/>
        <v>[W122C.5]</v>
      </c>
    </row>
    <row r="791" spans="1:22" s="49" customFormat="1" ht="14.15" customHeight="1">
      <c r="A791" s="43"/>
      <c r="B791" s="44" t="s">
        <v>6637</v>
      </c>
      <c r="C791" s="54"/>
      <c r="D791" s="10" t="s">
        <v>29</v>
      </c>
      <c r="E791" s="11"/>
      <c r="F791" s="11" t="s">
        <v>18</v>
      </c>
      <c r="G791" s="13"/>
      <c r="H791" s="45" t="s">
        <v>16</v>
      </c>
      <c r="I791" s="47"/>
      <c r="J791" s="12" t="s">
        <v>3211</v>
      </c>
      <c r="K791" s="13" t="s">
        <v>7561</v>
      </c>
      <c r="L791" s="99" t="str">
        <f t="shared" si="68"/>
        <v>W122C.6</v>
      </c>
      <c r="M791" s="13"/>
      <c r="N791" s="13"/>
      <c r="O791" s="13"/>
      <c r="P791" s="47"/>
      <c r="Q791" s="45"/>
      <c r="R791" s="45"/>
      <c r="S791" s="48"/>
      <c r="T791" s="49" t="str">
        <f t="shared" si="66"/>
        <v>[W122C.6]</v>
      </c>
      <c r="U791" s="12" t="str">
        <f t="shared" si="67"/>
        <v/>
      </c>
      <c r="V791" s="49" t="str">
        <f t="shared" si="69"/>
        <v>[W122C.6]</v>
      </c>
    </row>
    <row r="792" spans="1:22" s="49" customFormat="1" ht="14.15" customHeight="1">
      <c r="A792" s="43"/>
      <c r="B792" s="44" t="s">
        <v>6637</v>
      </c>
      <c r="C792" s="54"/>
      <c r="D792" s="10" t="s">
        <v>29</v>
      </c>
      <c r="E792" s="11"/>
      <c r="F792" s="11" t="s">
        <v>18</v>
      </c>
      <c r="G792" s="13"/>
      <c r="H792" s="45" t="s">
        <v>16</v>
      </c>
      <c r="I792" s="47"/>
      <c r="J792" s="12" t="s">
        <v>3212</v>
      </c>
      <c r="K792" s="13" t="s">
        <v>7562</v>
      </c>
      <c r="L792" s="99" t="str">
        <f t="shared" si="68"/>
        <v>W122C.7</v>
      </c>
      <c r="M792" s="13"/>
      <c r="N792" s="13"/>
      <c r="O792" s="13"/>
      <c r="P792" s="47"/>
      <c r="Q792" s="45"/>
      <c r="R792" s="45"/>
      <c r="S792" s="48"/>
      <c r="T792" s="49" t="str">
        <f t="shared" si="66"/>
        <v>[W122C.7]</v>
      </c>
      <c r="U792" s="12" t="str">
        <f t="shared" si="67"/>
        <v/>
      </c>
      <c r="V792" s="49" t="str">
        <f t="shared" si="69"/>
        <v>[W122C.7]</v>
      </c>
    </row>
    <row r="793" spans="1:22" s="49" customFormat="1" ht="14.15" customHeight="1">
      <c r="A793" s="43"/>
      <c r="B793" s="44" t="s">
        <v>6637</v>
      </c>
      <c r="C793" s="54"/>
      <c r="D793" s="10" t="s">
        <v>29</v>
      </c>
      <c r="E793" s="11"/>
      <c r="F793" s="11" t="s">
        <v>18</v>
      </c>
      <c r="G793" s="13"/>
      <c r="H793" s="45" t="s">
        <v>16</v>
      </c>
      <c r="I793" s="47"/>
      <c r="J793" s="12" t="s">
        <v>3213</v>
      </c>
      <c r="K793" s="13" t="s">
        <v>7563</v>
      </c>
      <c r="L793" s="99" t="str">
        <f t="shared" si="68"/>
        <v>W122C.8</v>
      </c>
      <c r="M793" s="13"/>
      <c r="N793" s="13"/>
      <c r="O793" s="13"/>
      <c r="P793" s="47"/>
      <c r="Q793" s="45"/>
      <c r="R793" s="45"/>
      <c r="S793" s="48"/>
      <c r="T793" s="49" t="str">
        <f t="shared" si="66"/>
        <v>[W122C.8]</v>
      </c>
      <c r="U793" s="12" t="str">
        <f t="shared" si="67"/>
        <v/>
      </c>
      <c r="V793" s="49" t="str">
        <f t="shared" si="69"/>
        <v>[W122C.8]</v>
      </c>
    </row>
    <row r="794" spans="1:22" s="49" customFormat="1" ht="14.15" customHeight="1">
      <c r="A794" s="43"/>
      <c r="B794" s="44" t="s">
        <v>6637</v>
      </c>
      <c r="C794" s="54"/>
      <c r="D794" s="10" t="s">
        <v>29</v>
      </c>
      <c r="E794" s="11"/>
      <c r="F794" s="11" t="s">
        <v>18</v>
      </c>
      <c r="G794" s="13"/>
      <c r="H794" s="45" t="s">
        <v>16</v>
      </c>
      <c r="I794" s="47"/>
      <c r="J794" s="12" t="s">
        <v>3214</v>
      </c>
      <c r="K794" s="13" t="s">
        <v>7564</v>
      </c>
      <c r="L794" s="99" t="str">
        <f t="shared" si="68"/>
        <v>W122C.9</v>
      </c>
      <c r="M794" s="13"/>
      <c r="N794" s="13"/>
      <c r="O794" s="13"/>
      <c r="P794" s="47"/>
      <c r="Q794" s="45"/>
      <c r="R794" s="45"/>
      <c r="S794" s="48"/>
      <c r="T794" s="49" t="str">
        <f t="shared" si="66"/>
        <v>[W122C.9]</v>
      </c>
      <c r="U794" s="12" t="str">
        <f t="shared" si="67"/>
        <v/>
      </c>
      <c r="V794" s="49" t="str">
        <f t="shared" si="69"/>
        <v>[W122C.9]</v>
      </c>
    </row>
    <row r="795" spans="1:22" s="49" customFormat="1" ht="14.15" customHeight="1">
      <c r="A795" s="43"/>
      <c r="B795" s="44" t="s">
        <v>6637</v>
      </c>
      <c r="C795" s="54"/>
      <c r="D795" s="10" t="s">
        <v>29</v>
      </c>
      <c r="E795" s="11"/>
      <c r="F795" s="11" t="s">
        <v>18</v>
      </c>
      <c r="G795" s="13"/>
      <c r="H795" s="45" t="s">
        <v>16</v>
      </c>
      <c r="I795" s="47"/>
      <c r="J795" s="12" t="s">
        <v>3215</v>
      </c>
      <c r="K795" s="13" t="s">
        <v>7565</v>
      </c>
      <c r="L795" s="99" t="str">
        <f t="shared" si="68"/>
        <v>W122C.A</v>
      </c>
      <c r="M795" s="13"/>
      <c r="N795" s="13"/>
      <c r="O795" s="13"/>
      <c r="P795" s="47"/>
      <c r="Q795" s="45"/>
      <c r="R795" s="45"/>
      <c r="S795" s="48"/>
      <c r="T795" s="49" t="str">
        <f t="shared" si="66"/>
        <v>[W122C.A]</v>
      </c>
      <c r="U795" s="12" t="str">
        <f t="shared" si="67"/>
        <v/>
      </c>
      <c r="V795" s="49" t="str">
        <f t="shared" si="69"/>
        <v>[W122C.A]</v>
      </c>
    </row>
    <row r="796" spans="1:22" s="49" customFormat="1" ht="14.15" customHeight="1">
      <c r="A796" s="43"/>
      <c r="B796" s="44" t="s">
        <v>6637</v>
      </c>
      <c r="C796" s="54"/>
      <c r="D796" s="10" t="s">
        <v>29</v>
      </c>
      <c r="E796" s="11"/>
      <c r="F796" s="11" t="s">
        <v>18</v>
      </c>
      <c r="G796" s="13"/>
      <c r="H796" s="45" t="s">
        <v>16</v>
      </c>
      <c r="I796" s="47"/>
      <c r="J796" s="12" t="s">
        <v>3216</v>
      </c>
      <c r="K796" s="13" t="s">
        <v>7566</v>
      </c>
      <c r="L796" s="99" t="str">
        <f t="shared" si="68"/>
        <v>W122C.B</v>
      </c>
      <c r="M796" s="13"/>
      <c r="N796" s="13"/>
      <c r="O796" s="13"/>
      <c r="P796" s="47"/>
      <c r="Q796" s="45"/>
      <c r="R796" s="45"/>
      <c r="S796" s="48"/>
      <c r="T796" s="49" t="str">
        <f t="shared" si="66"/>
        <v>[W122C.B]</v>
      </c>
      <c r="U796" s="12" t="str">
        <f t="shared" si="67"/>
        <v/>
      </c>
      <c r="V796" s="49" t="str">
        <f t="shared" si="69"/>
        <v>[W122C.B]</v>
      </c>
    </row>
    <row r="797" spans="1:22" s="49" customFormat="1" ht="14.15" customHeight="1">
      <c r="A797" s="43"/>
      <c r="B797" s="44" t="s">
        <v>6637</v>
      </c>
      <c r="C797" s="54"/>
      <c r="D797" s="10" t="s">
        <v>29</v>
      </c>
      <c r="E797" s="11"/>
      <c r="F797" s="11" t="s">
        <v>18</v>
      </c>
      <c r="G797" s="13"/>
      <c r="H797" s="45" t="s">
        <v>16</v>
      </c>
      <c r="I797" s="47"/>
      <c r="J797" s="12" t="s">
        <v>3217</v>
      </c>
      <c r="K797" s="13" t="s">
        <v>7567</v>
      </c>
      <c r="L797" s="99" t="str">
        <f t="shared" si="68"/>
        <v>W122C.C</v>
      </c>
      <c r="M797" s="13"/>
      <c r="N797" s="13"/>
      <c r="O797" s="13"/>
      <c r="P797" s="47"/>
      <c r="Q797" s="45"/>
      <c r="R797" s="45"/>
      <c r="S797" s="48"/>
      <c r="T797" s="49" t="str">
        <f t="shared" si="66"/>
        <v>[W122C.C]</v>
      </c>
      <c r="U797" s="12" t="str">
        <f t="shared" si="67"/>
        <v/>
      </c>
      <c r="V797" s="49" t="str">
        <f t="shared" si="69"/>
        <v>[W122C.C]</v>
      </c>
    </row>
    <row r="798" spans="1:22" s="49" customFormat="1" ht="14.15" customHeight="1">
      <c r="A798" s="43"/>
      <c r="B798" s="44" t="s">
        <v>6637</v>
      </c>
      <c r="C798" s="54"/>
      <c r="D798" s="10" t="s">
        <v>29</v>
      </c>
      <c r="E798" s="11"/>
      <c r="F798" s="11" t="s">
        <v>18</v>
      </c>
      <c r="G798" s="13"/>
      <c r="H798" s="45" t="s">
        <v>16</v>
      </c>
      <c r="I798" s="47"/>
      <c r="J798" s="12" t="s">
        <v>3218</v>
      </c>
      <c r="K798" s="13" t="s">
        <v>7568</v>
      </c>
      <c r="L798" s="99" t="str">
        <f t="shared" si="68"/>
        <v>W122C.D</v>
      </c>
      <c r="M798" s="13"/>
      <c r="N798" s="13"/>
      <c r="O798" s="13"/>
      <c r="P798" s="47"/>
      <c r="Q798" s="45"/>
      <c r="R798" s="45"/>
      <c r="S798" s="48"/>
      <c r="T798" s="49" t="str">
        <f t="shared" ref="T798:T807" si="70">"["&amp;L498&amp;"]"</f>
        <v>[W121A.1]</v>
      </c>
      <c r="U798" s="12" t="str">
        <f t="shared" ref="U798:U807" si="71">RIGHT(J498,LEN(J498)-7)</f>
        <v xml:space="preserve"> 컨베어 언로더 이재기 Z축(SD230)  </v>
      </c>
      <c r="V798" s="49" t="str">
        <f t="shared" ref="V798:V807" si="72">T498&amp;U498</f>
        <v xml:space="preserve">[W121A.1] 컨베어 언로더 이재기 Z축(SD230)  </v>
      </c>
    </row>
    <row r="799" spans="1:22" s="49" customFormat="1" ht="14.15" customHeight="1">
      <c r="A799" s="43"/>
      <c r="B799" s="44" t="s">
        <v>6637</v>
      </c>
      <c r="C799" s="54"/>
      <c r="D799" s="10" t="s">
        <v>29</v>
      </c>
      <c r="E799" s="11"/>
      <c r="F799" s="11" t="s">
        <v>18</v>
      </c>
      <c r="G799" s="13"/>
      <c r="H799" s="45" t="s">
        <v>16</v>
      </c>
      <c r="I799" s="47"/>
      <c r="J799" s="12" t="s">
        <v>3219</v>
      </c>
      <c r="K799" s="13" t="s">
        <v>7569</v>
      </c>
      <c r="L799" s="99" t="str">
        <f t="shared" si="68"/>
        <v>W122C.E</v>
      </c>
      <c r="M799" s="13"/>
      <c r="N799" s="13"/>
      <c r="O799" s="13"/>
      <c r="P799" s="47"/>
      <c r="Q799" s="45"/>
      <c r="R799" s="45"/>
      <c r="S799" s="48"/>
      <c r="T799" s="49" t="str">
        <f t="shared" si="70"/>
        <v>[W121A.2]</v>
      </c>
      <c r="U799" s="12" t="str">
        <f t="shared" si="71"/>
        <v xml:space="preserve"> 컨베어 언로더 이재기 Z축(SD230) 에러가 발생했습니다.</v>
      </c>
      <c r="V799" s="49" t="str">
        <f t="shared" si="72"/>
        <v>[W121A.2] 컨베어 언로더 이재기 Z축(SD230) 에러가 발생했습니다.</v>
      </c>
    </row>
    <row r="800" spans="1:22" s="49" customFormat="1" ht="14.15" customHeight="1">
      <c r="A800" s="43"/>
      <c r="B800" s="44" t="s">
        <v>6637</v>
      </c>
      <c r="C800" s="54"/>
      <c r="D800" s="10" t="s">
        <v>29</v>
      </c>
      <c r="E800" s="11"/>
      <c r="F800" s="11" t="s">
        <v>18</v>
      </c>
      <c r="G800" s="13"/>
      <c r="H800" s="45" t="s">
        <v>16</v>
      </c>
      <c r="I800" s="47"/>
      <c r="J800" s="12" t="s">
        <v>3220</v>
      </c>
      <c r="K800" s="13" t="s">
        <v>7570</v>
      </c>
      <c r="L800" s="99" t="str">
        <f t="shared" si="68"/>
        <v>W122C.F</v>
      </c>
      <c r="M800" s="13"/>
      <c r="N800" s="13"/>
      <c r="O800" s="13"/>
      <c r="P800" s="47"/>
      <c r="Q800" s="45"/>
      <c r="R800" s="45"/>
      <c r="S800" s="48"/>
      <c r="T800" s="49" t="str">
        <f t="shared" si="70"/>
        <v>[W121A.3]</v>
      </c>
      <c r="U800" s="12" t="str">
        <f t="shared" si="71"/>
        <v xml:space="preserve"> 턴 오버 T축(SD231) 운전중에 Ready가 Off 되었습니다.</v>
      </c>
      <c r="V800" s="49" t="str">
        <f t="shared" si="72"/>
        <v>[W121A.3] 턴 오버 T축(SD231) 운전중에 Ready가 Off 되었습니다.</v>
      </c>
    </row>
    <row r="801" spans="1:22" s="49" customFormat="1" ht="14.15" customHeight="1">
      <c r="A801" s="43"/>
      <c r="B801" s="44" t="s">
        <v>6637</v>
      </c>
      <c r="C801" s="54"/>
      <c r="D801" s="10" t="s">
        <v>29</v>
      </c>
      <c r="E801" s="11"/>
      <c r="F801" s="11" t="s">
        <v>18</v>
      </c>
      <c r="G801" s="13"/>
      <c r="H801" s="45" t="s">
        <v>16</v>
      </c>
      <c r="I801" s="47"/>
      <c r="J801" s="12" t="s">
        <v>3221</v>
      </c>
      <c r="K801" s="13" t="s">
        <v>7571</v>
      </c>
      <c r="L801" s="99" t="str">
        <f t="shared" si="68"/>
        <v>W122D.0</v>
      </c>
      <c r="M801" s="13"/>
      <c r="N801" s="13"/>
      <c r="O801" s="13"/>
      <c r="P801" s="47"/>
      <c r="Q801" s="45"/>
      <c r="R801" s="45"/>
      <c r="S801" s="48"/>
      <c r="T801" s="49" t="str">
        <f t="shared" si="70"/>
        <v>[W121A.4]</v>
      </c>
      <c r="U801" s="12" t="str">
        <f t="shared" si="71"/>
        <v xml:space="preserve"> 턴 오버 T축(SD231) FLS가 감지되었습니다.</v>
      </c>
      <c r="V801" s="49" t="str">
        <f t="shared" si="72"/>
        <v>[W121A.4] 턴 오버 T축(SD231) FLS가 감지되었습니다.</v>
      </c>
    </row>
    <row r="802" spans="1:22" s="49" customFormat="1" ht="14.15" customHeight="1">
      <c r="A802" s="43"/>
      <c r="B802" s="44" t="s">
        <v>6637</v>
      </c>
      <c r="C802" s="54"/>
      <c r="D802" s="10" t="s">
        <v>29</v>
      </c>
      <c r="E802" s="11"/>
      <c r="F802" s="11" t="s">
        <v>18</v>
      </c>
      <c r="G802" s="13"/>
      <c r="H802" s="45" t="s">
        <v>16</v>
      </c>
      <c r="I802" s="47"/>
      <c r="J802" s="12" t="s">
        <v>3222</v>
      </c>
      <c r="K802" s="13" t="s">
        <v>7572</v>
      </c>
      <c r="L802" s="99" t="str">
        <f t="shared" si="68"/>
        <v>W122D.1</v>
      </c>
      <c r="M802" s="13"/>
      <c r="N802" s="13"/>
      <c r="O802" s="13"/>
      <c r="P802" s="47"/>
      <c r="Q802" s="45"/>
      <c r="R802" s="45"/>
      <c r="S802" s="48"/>
      <c r="T802" s="49" t="str">
        <f t="shared" si="70"/>
        <v>[W121A.5]</v>
      </c>
      <c r="U802" s="12" t="str">
        <f t="shared" si="71"/>
        <v xml:space="preserve"> 턴 오버 T축(SD231) RLS가 감지되었습니다.</v>
      </c>
      <c r="V802" s="49" t="str">
        <f t="shared" si="72"/>
        <v>[W121A.5] 턴 오버 T축(SD231) RLS가 감지되었습니다.</v>
      </c>
    </row>
    <row r="803" spans="1:22" s="49" customFormat="1" ht="14.15" customHeight="1">
      <c r="A803" s="43"/>
      <c r="B803" s="44" t="s">
        <v>6637</v>
      </c>
      <c r="C803" s="54"/>
      <c r="D803" s="10" t="s">
        <v>29</v>
      </c>
      <c r="E803" s="11"/>
      <c r="F803" s="11" t="s">
        <v>18</v>
      </c>
      <c r="G803" s="13"/>
      <c r="H803" s="45" t="s">
        <v>16</v>
      </c>
      <c r="I803" s="47"/>
      <c r="J803" s="12" t="s">
        <v>3223</v>
      </c>
      <c r="K803" s="13" t="s">
        <v>7573</v>
      </c>
      <c r="L803" s="99" t="str">
        <f t="shared" si="68"/>
        <v>W122D.2</v>
      </c>
      <c r="M803" s="13"/>
      <c r="N803" s="13"/>
      <c r="O803" s="13"/>
      <c r="P803" s="47"/>
      <c r="Q803" s="45"/>
      <c r="R803" s="45"/>
      <c r="S803" s="48"/>
      <c r="T803" s="49" t="str">
        <f t="shared" si="70"/>
        <v>[W121A.6]</v>
      </c>
      <c r="U803" s="12" t="str">
        <f t="shared" si="71"/>
        <v xml:space="preserve"> 턴 오버 T축(SD231) Stop 명령이 On된 상태에서 기동을 시도했습니다.</v>
      </c>
      <c r="V803" s="49" t="str">
        <f t="shared" si="72"/>
        <v>[W121A.6] 턴 오버 T축(SD231) Stop 명령이 On된 상태에서 기동을 시도했습니다.</v>
      </c>
    </row>
    <row r="804" spans="1:22" s="49" customFormat="1" ht="14.15" customHeight="1">
      <c r="A804" s="43"/>
      <c r="B804" s="44" t="s">
        <v>6637</v>
      </c>
      <c r="C804" s="54"/>
      <c r="D804" s="10" t="s">
        <v>29</v>
      </c>
      <c r="E804" s="11"/>
      <c r="F804" s="11" t="s">
        <v>18</v>
      </c>
      <c r="G804" s="13"/>
      <c r="H804" s="45" t="s">
        <v>16</v>
      </c>
      <c r="I804" s="47"/>
      <c r="J804" s="12" t="s">
        <v>3224</v>
      </c>
      <c r="K804" s="13" t="s">
        <v>7574</v>
      </c>
      <c r="L804" s="99" t="str">
        <f t="shared" si="68"/>
        <v>W122D.3</v>
      </c>
      <c r="M804" s="13"/>
      <c r="N804" s="13"/>
      <c r="O804" s="13"/>
      <c r="P804" s="47"/>
      <c r="Q804" s="45"/>
      <c r="R804" s="45"/>
      <c r="S804" s="48"/>
      <c r="T804" s="49" t="str">
        <f t="shared" si="70"/>
        <v>[W121A.7]</v>
      </c>
      <c r="U804" s="12" t="str">
        <f t="shared" si="71"/>
        <v xml:space="preserve"> 턴 오버 T축(SD231) 가동 전원이 Off 되었습니다.</v>
      </c>
      <c r="V804" s="49" t="str">
        <f t="shared" si="72"/>
        <v>[W121A.7] 턴 오버 T축(SD231) 가동 전원이 Off 되었습니다.</v>
      </c>
    </row>
    <row r="805" spans="1:22" s="49" customFormat="1" ht="14.15" customHeight="1">
      <c r="A805" s="43"/>
      <c r="B805" s="44" t="s">
        <v>6637</v>
      </c>
      <c r="C805" s="54"/>
      <c r="D805" s="10" t="s">
        <v>29</v>
      </c>
      <c r="E805" s="11"/>
      <c r="F805" s="11" t="s">
        <v>18</v>
      </c>
      <c r="G805" s="13"/>
      <c r="H805" s="45" t="s">
        <v>16</v>
      </c>
      <c r="I805" s="47"/>
      <c r="J805" s="12" t="s">
        <v>3225</v>
      </c>
      <c r="K805" s="13" t="s">
        <v>7575</v>
      </c>
      <c r="L805" s="99" t="str">
        <f t="shared" si="68"/>
        <v>W122D.4</v>
      </c>
      <c r="M805" s="13"/>
      <c r="N805" s="13"/>
      <c r="O805" s="13"/>
      <c r="P805" s="47"/>
      <c r="Q805" s="45"/>
      <c r="R805" s="45"/>
      <c r="S805" s="48"/>
      <c r="T805" s="49" t="str">
        <f t="shared" si="70"/>
        <v>[W121A.8]</v>
      </c>
      <c r="U805" s="12" t="str">
        <f t="shared" si="71"/>
        <v xml:space="preserve"> 턴 오버 T축(SD231) 엔코더 이상이 검출되었습니다.</v>
      </c>
      <c r="V805" s="49" t="str">
        <f t="shared" si="72"/>
        <v>[W121A.8] 턴 오버 T축(SD231) 엔코더 이상이 검출되었습니다.</v>
      </c>
    </row>
    <row r="806" spans="1:22" s="49" customFormat="1" ht="14.15" customHeight="1">
      <c r="A806" s="43"/>
      <c r="B806" s="44" t="s">
        <v>6637</v>
      </c>
      <c r="C806" s="54"/>
      <c r="D806" s="10" t="s">
        <v>29</v>
      </c>
      <c r="E806" s="11"/>
      <c r="F806" s="11" t="s">
        <v>18</v>
      </c>
      <c r="G806" s="13"/>
      <c r="H806" s="45" t="s">
        <v>16</v>
      </c>
      <c r="I806" s="47"/>
      <c r="J806" s="12" t="s">
        <v>3226</v>
      </c>
      <c r="K806" s="13" t="s">
        <v>7576</v>
      </c>
      <c r="L806" s="99" t="str">
        <f t="shared" si="68"/>
        <v>W122D.5</v>
      </c>
      <c r="M806" s="13"/>
      <c r="N806" s="13"/>
      <c r="O806" s="13"/>
      <c r="P806" s="47"/>
      <c r="Q806" s="45"/>
      <c r="R806" s="45"/>
      <c r="S806" s="48"/>
      <c r="T806" s="49" t="str">
        <f t="shared" si="70"/>
        <v>[W121A.9]</v>
      </c>
      <c r="U806" s="12" t="str">
        <f t="shared" si="71"/>
        <v xml:space="preserve"> 턴 오버 T축(SD231) 과전류가 검출되었습니다.</v>
      </c>
      <c r="V806" s="49" t="str">
        <f t="shared" si="72"/>
        <v>[W121A.9] 턴 오버 T축(SD231) 과전류가 검출되었습니다.</v>
      </c>
    </row>
    <row r="807" spans="1:22" s="49" customFormat="1" ht="14.15" customHeight="1">
      <c r="A807" s="43"/>
      <c r="B807" s="44" t="s">
        <v>6637</v>
      </c>
      <c r="C807" s="54"/>
      <c r="D807" s="10" t="s">
        <v>29</v>
      </c>
      <c r="E807" s="11"/>
      <c r="F807" s="11" t="s">
        <v>18</v>
      </c>
      <c r="G807" s="13"/>
      <c r="H807" s="45" t="s">
        <v>16</v>
      </c>
      <c r="I807" s="47"/>
      <c r="J807" s="12" t="s">
        <v>3227</v>
      </c>
      <c r="K807" s="13" t="s">
        <v>7577</v>
      </c>
      <c r="L807" s="99" t="str">
        <f t="shared" si="68"/>
        <v>W122D.6</v>
      </c>
      <c r="M807" s="13"/>
      <c r="N807" s="13"/>
      <c r="O807" s="13"/>
      <c r="P807" s="47"/>
      <c r="Q807" s="45"/>
      <c r="R807" s="45"/>
      <c r="S807" s="48"/>
      <c r="T807" s="49" t="str">
        <f t="shared" si="70"/>
        <v>[W121A.A]</v>
      </c>
      <c r="U807" s="12" t="str">
        <f t="shared" si="71"/>
        <v xml:space="preserve"> 턴 오버 T축(SD231) 과부하가 검출되었습니다.</v>
      </c>
      <c r="V807" s="49" t="str">
        <f t="shared" si="72"/>
        <v>[W121A.A] 턴 오버 T축(SD231) 과부하가 검출되었습니다.</v>
      </c>
    </row>
    <row r="808" spans="1:22" s="49" customFormat="1" ht="14.15" customHeight="1">
      <c r="A808" s="43"/>
      <c r="B808" s="44" t="s">
        <v>6637</v>
      </c>
      <c r="C808" s="54"/>
      <c r="D808" s="10" t="s">
        <v>29</v>
      </c>
      <c r="E808" s="11"/>
      <c r="F808" s="11" t="s">
        <v>18</v>
      </c>
      <c r="G808" s="13"/>
      <c r="H808" s="45" t="s">
        <v>16</v>
      </c>
      <c r="I808" s="47"/>
      <c r="J808" s="12" t="s">
        <v>3228</v>
      </c>
      <c r="K808" s="13" t="s">
        <v>7578</v>
      </c>
      <c r="L808" s="99" t="str">
        <f t="shared" si="68"/>
        <v>W122D.7</v>
      </c>
      <c r="M808" s="13"/>
      <c r="N808" s="13"/>
      <c r="O808" s="13"/>
      <c r="P808" s="47"/>
      <c r="Q808" s="45"/>
      <c r="R808" s="45"/>
      <c r="S808" s="48"/>
      <c r="T808" s="49" t="str">
        <f t="shared" ref="T808:T839" si="73">"["&amp;L808&amp;"]"</f>
        <v>[W122D.7]</v>
      </c>
      <c r="U808" s="12" t="str">
        <f t="shared" ref="U808:U839" si="74">RIGHT(J808,LEN(J808)-7)</f>
        <v/>
      </c>
      <c r="V808" s="49" t="str">
        <f t="shared" si="69"/>
        <v>[W122D.7]</v>
      </c>
    </row>
    <row r="809" spans="1:22" s="49" customFormat="1" ht="14.15" customHeight="1">
      <c r="A809" s="43"/>
      <c r="B809" s="44" t="s">
        <v>6637</v>
      </c>
      <c r="C809" s="54"/>
      <c r="D809" s="10" t="s">
        <v>29</v>
      </c>
      <c r="E809" s="11"/>
      <c r="F809" s="11" t="s">
        <v>18</v>
      </c>
      <c r="G809" s="13"/>
      <c r="H809" s="45" t="s">
        <v>16</v>
      </c>
      <c r="I809" s="47"/>
      <c r="J809" s="12" t="s">
        <v>3229</v>
      </c>
      <c r="K809" s="13" t="s">
        <v>7579</v>
      </c>
      <c r="L809" s="99" t="str">
        <f t="shared" si="68"/>
        <v>W122D.8</v>
      </c>
      <c r="M809" s="13"/>
      <c r="N809" s="13"/>
      <c r="O809" s="13"/>
      <c r="P809" s="47"/>
      <c r="Q809" s="45"/>
      <c r="R809" s="45"/>
      <c r="S809" s="48"/>
      <c r="T809" s="49" t="str">
        <f t="shared" si="73"/>
        <v>[W122D.8]</v>
      </c>
      <c r="U809" s="12" t="str">
        <f t="shared" si="74"/>
        <v/>
      </c>
      <c r="V809" s="49" t="str">
        <f t="shared" si="69"/>
        <v>[W122D.8]</v>
      </c>
    </row>
    <row r="810" spans="1:22" s="49" customFormat="1" ht="14.15" customHeight="1">
      <c r="A810" s="43"/>
      <c r="B810" s="44" t="s">
        <v>6637</v>
      </c>
      <c r="C810" s="54"/>
      <c r="D810" s="10" t="s">
        <v>29</v>
      </c>
      <c r="E810" s="11"/>
      <c r="F810" s="11" t="s">
        <v>18</v>
      </c>
      <c r="G810" s="13"/>
      <c r="H810" s="45" t="s">
        <v>16</v>
      </c>
      <c r="I810" s="47"/>
      <c r="J810" s="12" t="s">
        <v>3230</v>
      </c>
      <c r="K810" s="13" t="s">
        <v>7580</v>
      </c>
      <c r="L810" s="99" t="str">
        <f t="shared" si="68"/>
        <v>W122D.9</v>
      </c>
      <c r="M810" s="13"/>
      <c r="N810" s="13"/>
      <c r="O810" s="13"/>
      <c r="P810" s="47"/>
      <c r="Q810" s="45"/>
      <c r="R810" s="45"/>
      <c r="S810" s="48"/>
      <c r="T810" s="49" t="str">
        <f t="shared" si="73"/>
        <v>[W122D.9]</v>
      </c>
      <c r="U810" s="12" t="str">
        <f t="shared" si="74"/>
        <v/>
      </c>
      <c r="V810" s="49" t="str">
        <f t="shared" si="69"/>
        <v>[W122D.9]</v>
      </c>
    </row>
    <row r="811" spans="1:22" s="49" customFormat="1" ht="14.15" customHeight="1">
      <c r="A811" s="43"/>
      <c r="B811" s="44" t="s">
        <v>6637</v>
      </c>
      <c r="C811" s="54"/>
      <c r="D811" s="10" t="s">
        <v>29</v>
      </c>
      <c r="E811" s="11"/>
      <c r="F811" s="11" t="s">
        <v>18</v>
      </c>
      <c r="G811" s="13"/>
      <c r="H811" s="45" t="s">
        <v>16</v>
      </c>
      <c r="I811" s="47"/>
      <c r="J811" s="12" t="s">
        <v>3231</v>
      </c>
      <c r="K811" s="13" t="s">
        <v>7581</v>
      </c>
      <c r="L811" s="99" t="str">
        <f t="shared" si="68"/>
        <v>W122D.A</v>
      </c>
      <c r="M811" s="13"/>
      <c r="N811" s="13"/>
      <c r="O811" s="13"/>
      <c r="P811" s="47"/>
      <c r="Q811" s="45"/>
      <c r="R811" s="45"/>
      <c r="S811" s="48"/>
      <c r="T811" s="49" t="str">
        <f t="shared" si="73"/>
        <v>[W122D.A]</v>
      </c>
      <c r="U811" s="12" t="str">
        <f t="shared" si="74"/>
        <v/>
      </c>
      <c r="V811" s="49" t="str">
        <f t="shared" si="69"/>
        <v>[W122D.A]</v>
      </c>
    </row>
    <row r="812" spans="1:22" s="49" customFormat="1" ht="14.15" customHeight="1">
      <c r="A812" s="43"/>
      <c r="B812" s="44" t="s">
        <v>6637</v>
      </c>
      <c r="C812" s="54"/>
      <c r="D812" s="10" t="s">
        <v>29</v>
      </c>
      <c r="E812" s="11"/>
      <c r="F812" s="11" t="s">
        <v>18</v>
      </c>
      <c r="G812" s="13"/>
      <c r="H812" s="45" t="s">
        <v>16</v>
      </c>
      <c r="I812" s="47"/>
      <c r="J812" s="12" t="s">
        <v>3232</v>
      </c>
      <c r="K812" s="13" t="s">
        <v>7582</v>
      </c>
      <c r="L812" s="99" t="str">
        <f t="shared" si="68"/>
        <v>W122D.B</v>
      </c>
      <c r="M812" s="13"/>
      <c r="N812" s="13"/>
      <c r="O812" s="13"/>
      <c r="P812" s="47"/>
      <c r="Q812" s="45"/>
      <c r="R812" s="45"/>
      <c r="S812" s="48"/>
      <c r="T812" s="49" t="str">
        <f t="shared" si="73"/>
        <v>[W122D.B]</v>
      </c>
      <c r="U812" s="12" t="str">
        <f t="shared" si="74"/>
        <v/>
      </c>
      <c r="V812" s="49" t="str">
        <f t="shared" si="69"/>
        <v>[W122D.B]</v>
      </c>
    </row>
    <row r="813" spans="1:22" s="49" customFormat="1" ht="14.15" customHeight="1">
      <c r="A813" s="43"/>
      <c r="B813" s="44" t="s">
        <v>6637</v>
      </c>
      <c r="C813" s="54"/>
      <c r="D813" s="10" t="s">
        <v>29</v>
      </c>
      <c r="E813" s="11"/>
      <c r="F813" s="11" t="s">
        <v>18</v>
      </c>
      <c r="G813" s="13"/>
      <c r="H813" s="45" t="s">
        <v>16</v>
      </c>
      <c r="I813" s="47"/>
      <c r="J813" s="12" t="s">
        <v>3233</v>
      </c>
      <c r="K813" s="13" t="s">
        <v>7583</v>
      </c>
      <c r="L813" s="99" t="str">
        <f t="shared" si="68"/>
        <v>W122D.C</v>
      </c>
      <c r="M813" s="13"/>
      <c r="N813" s="13"/>
      <c r="O813" s="13"/>
      <c r="P813" s="47"/>
      <c r="Q813" s="45"/>
      <c r="R813" s="45"/>
      <c r="S813" s="48"/>
      <c r="T813" s="49" t="str">
        <f t="shared" si="73"/>
        <v>[W122D.C]</v>
      </c>
      <c r="U813" s="12" t="str">
        <f t="shared" si="74"/>
        <v/>
      </c>
      <c r="V813" s="49" t="str">
        <f t="shared" si="69"/>
        <v>[W122D.C]</v>
      </c>
    </row>
    <row r="814" spans="1:22" s="49" customFormat="1" ht="14.15" customHeight="1">
      <c r="A814" s="43"/>
      <c r="B814" s="44" t="s">
        <v>6637</v>
      </c>
      <c r="C814" s="54"/>
      <c r="D814" s="10" t="s">
        <v>29</v>
      </c>
      <c r="E814" s="11"/>
      <c r="F814" s="11" t="s">
        <v>18</v>
      </c>
      <c r="G814" s="13"/>
      <c r="H814" s="45" t="s">
        <v>16</v>
      </c>
      <c r="I814" s="47"/>
      <c r="J814" s="12" t="s">
        <v>3234</v>
      </c>
      <c r="K814" s="13" t="s">
        <v>7584</v>
      </c>
      <c r="L814" s="99" t="str">
        <f t="shared" si="68"/>
        <v>W122D.D</v>
      </c>
      <c r="M814" s="13"/>
      <c r="N814" s="13"/>
      <c r="O814" s="13"/>
      <c r="P814" s="47"/>
      <c r="Q814" s="45"/>
      <c r="R814" s="45"/>
      <c r="S814" s="48"/>
      <c r="T814" s="49" t="str">
        <f t="shared" si="73"/>
        <v>[W122D.D]</v>
      </c>
      <c r="U814" s="12" t="str">
        <f t="shared" si="74"/>
        <v/>
      </c>
      <c r="V814" s="49" t="str">
        <f t="shared" si="69"/>
        <v>[W122D.D]</v>
      </c>
    </row>
    <row r="815" spans="1:22" s="49" customFormat="1" ht="14.15" customHeight="1">
      <c r="A815" s="43"/>
      <c r="B815" s="44" t="s">
        <v>6637</v>
      </c>
      <c r="C815" s="54"/>
      <c r="D815" s="10" t="s">
        <v>29</v>
      </c>
      <c r="E815" s="11"/>
      <c r="F815" s="11" t="s">
        <v>18</v>
      </c>
      <c r="G815" s="13"/>
      <c r="H815" s="45" t="s">
        <v>16</v>
      </c>
      <c r="I815" s="47"/>
      <c r="J815" s="12" t="s">
        <v>3235</v>
      </c>
      <c r="K815" s="13" t="s">
        <v>7585</v>
      </c>
      <c r="L815" s="99" t="str">
        <f t="shared" si="68"/>
        <v>W122D.E</v>
      </c>
      <c r="M815" s="13"/>
      <c r="N815" s="13"/>
      <c r="O815" s="13"/>
      <c r="P815" s="47"/>
      <c r="Q815" s="45"/>
      <c r="R815" s="45"/>
      <c r="S815" s="48"/>
      <c r="T815" s="49" t="str">
        <f t="shared" si="73"/>
        <v>[W122D.E]</v>
      </c>
      <c r="U815" s="12" t="str">
        <f t="shared" si="74"/>
        <v/>
      </c>
      <c r="V815" s="49" t="str">
        <f t="shared" si="69"/>
        <v>[W122D.E]</v>
      </c>
    </row>
    <row r="816" spans="1:22" s="49" customFormat="1" ht="14.15" customHeight="1">
      <c r="A816" s="43"/>
      <c r="B816" s="44" t="s">
        <v>6637</v>
      </c>
      <c r="C816" s="54"/>
      <c r="D816" s="10" t="s">
        <v>29</v>
      </c>
      <c r="E816" s="11"/>
      <c r="F816" s="11" t="s">
        <v>18</v>
      </c>
      <c r="G816" s="13"/>
      <c r="H816" s="45" t="s">
        <v>16</v>
      </c>
      <c r="I816" s="47"/>
      <c r="J816" s="12" t="s">
        <v>3236</v>
      </c>
      <c r="K816" s="13" t="s">
        <v>7586</v>
      </c>
      <c r="L816" s="99" t="str">
        <f t="shared" si="68"/>
        <v>W122D.F</v>
      </c>
      <c r="M816" s="13"/>
      <c r="N816" s="13"/>
      <c r="O816" s="13"/>
      <c r="P816" s="47"/>
      <c r="Q816" s="45"/>
      <c r="R816" s="45"/>
      <c r="S816" s="48"/>
      <c r="T816" s="49" t="str">
        <f t="shared" si="73"/>
        <v>[W122D.F]</v>
      </c>
      <c r="U816" s="12" t="str">
        <f t="shared" si="74"/>
        <v/>
      </c>
      <c r="V816" s="49" t="str">
        <f t="shared" si="69"/>
        <v>[W122D.F]</v>
      </c>
    </row>
    <row r="817" spans="1:22" s="49" customFormat="1" ht="14.15" customHeight="1">
      <c r="A817" s="43"/>
      <c r="B817" s="44" t="s">
        <v>6637</v>
      </c>
      <c r="C817" s="54"/>
      <c r="D817" s="10" t="s">
        <v>29</v>
      </c>
      <c r="E817" s="11"/>
      <c r="F817" s="11" t="s">
        <v>18</v>
      </c>
      <c r="G817" s="13"/>
      <c r="H817" s="45" t="s">
        <v>16</v>
      </c>
      <c r="I817" s="47"/>
      <c r="J817" s="12" t="s">
        <v>3237</v>
      </c>
      <c r="K817" s="13" t="s">
        <v>7587</v>
      </c>
      <c r="L817" s="99" t="str">
        <f t="shared" si="68"/>
        <v>W122E.0</v>
      </c>
      <c r="M817" s="13"/>
      <c r="N817" s="13"/>
      <c r="O817" s="13"/>
      <c r="P817" s="47"/>
      <c r="Q817" s="45"/>
      <c r="R817" s="45"/>
      <c r="S817" s="48"/>
      <c r="T817" s="49" t="str">
        <f t="shared" si="73"/>
        <v>[W122E.0]</v>
      </c>
      <c r="U817" s="12" t="str">
        <f t="shared" si="74"/>
        <v/>
      </c>
      <c r="V817" s="49" t="str">
        <f t="shared" si="69"/>
        <v>[W122E.0]</v>
      </c>
    </row>
    <row r="818" spans="1:22" s="49" customFormat="1" ht="14.15" customHeight="1">
      <c r="A818" s="43"/>
      <c r="B818" s="44" t="s">
        <v>6637</v>
      </c>
      <c r="C818" s="54"/>
      <c r="D818" s="10" t="s">
        <v>29</v>
      </c>
      <c r="E818" s="11"/>
      <c r="F818" s="11" t="s">
        <v>18</v>
      </c>
      <c r="G818" s="13"/>
      <c r="H818" s="45" t="s">
        <v>16</v>
      </c>
      <c r="I818" s="47"/>
      <c r="J818" s="12" t="s">
        <v>3238</v>
      </c>
      <c r="K818" s="13" t="s">
        <v>7588</v>
      </c>
      <c r="L818" s="99" t="str">
        <f t="shared" si="68"/>
        <v>W122E.1</v>
      </c>
      <c r="M818" s="13"/>
      <c r="N818" s="13"/>
      <c r="O818" s="13"/>
      <c r="P818" s="47"/>
      <c r="Q818" s="45"/>
      <c r="R818" s="45"/>
      <c r="S818" s="48"/>
      <c r="T818" s="49" t="str">
        <f t="shared" si="73"/>
        <v>[W122E.1]</v>
      </c>
      <c r="U818" s="12" t="str">
        <f t="shared" si="74"/>
        <v/>
      </c>
      <c r="V818" s="49" t="str">
        <f t="shared" si="69"/>
        <v>[W122E.1]</v>
      </c>
    </row>
    <row r="819" spans="1:22" s="49" customFormat="1" ht="14.15" customHeight="1">
      <c r="A819" s="43"/>
      <c r="B819" s="44" t="s">
        <v>6637</v>
      </c>
      <c r="C819" s="54"/>
      <c r="D819" s="10" t="s">
        <v>29</v>
      </c>
      <c r="E819" s="11"/>
      <c r="F819" s="11" t="s">
        <v>18</v>
      </c>
      <c r="G819" s="13"/>
      <c r="H819" s="45" t="s">
        <v>16</v>
      </c>
      <c r="I819" s="47"/>
      <c r="J819" s="12" t="s">
        <v>3239</v>
      </c>
      <c r="K819" s="13" t="s">
        <v>7589</v>
      </c>
      <c r="L819" s="99" t="str">
        <f t="shared" si="68"/>
        <v>W122E.2</v>
      </c>
      <c r="M819" s="13"/>
      <c r="N819" s="13"/>
      <c r="O819" s="13"/>
      <c r="P819" s="47"/>
      <c r="Q819" s="45"/>
      <c r="R819" s="45"/>
      <c r="S819" s="48"/>
      <c r="T819" s="49" t="str">
        <f t="shared" si="73"/>
        <v>[W122E.2]</v>
      </c>
      <c r="U819" s="12" t="str">
        <f t="shared" si="74"/>
        <v/>
      </c>
      <c r="V819" s="49" t="str">
        <f t="shared" si="69"/>
        <v>[W122E.2]</v>
      </c>
    </row>
    <row r="820" spans="1:22" s="49" customFormat="1" ht="14.15" customHeight="1">
      <c r="A820" s="43"/>
      <c r="B820" s="44" t="s">
        <v>6637</v>
      </c>
      <c r="C820" s="54"/>
      <c r="D820" s="10" t="s">
        <v>29</v>
      </c>
      <c r="E820" s="11"/>
      <c r="F820" s="11" t="s">
        <v>18</v>
      </c>
      <c r="G820" s="13"/>
      <c r="H820" s="45" t="s">
        <v>16</v>
      </c>
      <c r="I820" s="47"/>
      <c r="J820" s="12" t="s">
        <v>3240</v>
      </c>
      <c r="K820" s="13" t="s">
        <v>7590</v>
      </c>
      <c r="L820" s="99" t="str">
        <f t="shared" si="68"/>
        <v>W122E.3</v>
      </c>
      <c r="M820" s="13"/>
      <c r="N820" s="13"/>
      <c r="O820" s="13"/>
      <c r="P820" s="47"/>
      <c r="Q820" s="45"/>
      <c r="R820" s="45"/>
      <c r="S820" s="48"/>
      <c r="T820" s="49" t="str">
        <f t="shared" si="73"/>
        <v>[W122E.3]</v>
      </c>
      <c r="U820" s="12" t="str">
        <f t="shared" si="74"/>
        <v/>
      </c>
      <c r="V820" s="49" t="str">
        <f t="shared" si="69"/>
        <v>[W122E.3]</v>
      </c>
    </row>
    <row r="821" spans="1:22" s="49" customFormat="1" ht="14.15" customHeight="1">
      <c r="A821" s="43"/>
      <c r="B821" s="44" t="s">
        <v>6637</v>
      </c>
      <c r="C821" s="54"/>
      <c r="D821" s="10" t="s">
        <v>29</v>
      </c>
      <c r="E821" s="11"/>
      <c r="F821" s="11" t="s">
        <v>18</v>
      </c>
      <c r="G821" s="13"/>
      <c r="H821" s="45" t="s">
        <v>16</v>
      </c>
      <c r="I821" s="47"/>
      <c r="J821" s="12" t="s">
        <v>3241</v>
      </c>
      <c r="K821" s="13" t="s">
        <v>7591</v>
      </c>
      <c r="L821" s="99" t="str">
        <f t="shared" si="68"/>
        <v>W122E.4</v>
      </c>
      <c r="M821" s="13"/>
      <c r="N821" s="13"/>
      <c r="O821" s="13"/>
      <c r="P821" s="47"/>
      <c r="Q821" s="45"/>
      <c r="R821" s="45"/>
      <c r="S821" s="48"/>
      <c r="T821" s="49" t="str">
        <f t="shared" si="73"/>
        <v>[W122E.4]</v>
      </c>
      <c r="U821" s="12" t="str">
        <f t="shared" si="74"/>
        <v/>
      </c>
      <c r="V821" s="49" t="str">
        <f t="shared" si="69"/>
        <v>[W122E.4]</v>
      </c>
    </row>
    <row r="822" spans="1:22" s="49" customFormat="1" ht="14.15" customHeight="1">
      <c r="A822" s="43"/>
      <c r="B822" s="44" t="s">
        <v>6637</v>
      </c>
      <c r="C822" s="54"/>
      <c r="D822" s="10" t="s">
        <v>29</v>
      </c>
      <c r="E822" s="11"/>
      <c r="F822" s="11" t="s">
        <v>18</v>
      </c>
      <c r="G822" s="13"/>
      <c r="H822" s="45" t="s">
        <v>16</v>
      </c>
      <c r="I822" s="47"/>
      <c r="J822" s="12" t="s">
        <v>3242</v>
      </c>
      <c r="K822" s="13" t="s">
        <v>7592</v>
      </c>
      <c r="L822" s="99" t="str">
        <f t="shared" si="68"/>
        <v>W122E.5</v>
      </c>
      <c r="M822" s="13"/>
      <c r="N822" s="13"/>
      <c r="O822" s="13"/>
      <c r="P822" s="47"/>
      <c r="Q822" s="45"/>
      <c r="R822" s="45"/>
      <c r="S822" s="48"/>
      <c r="T822" s="49" t="str">
        <f t="shared" si="73"/>
        <v>[W122E.5]</v>
      </c>
      <c r="U822" s="12" t="str">
        <f t="shared" si="74"/>
        <v/>
      </c>
      <c r="V822" s="49" t="str">
        <f t="shared" si="69"/>
        <v>[W122E.5]</v>
      </c>
    </row>
    <row r="823" spans="1:22" s="49" customFormat="1" ht="14.15" customHeight="1">
      <c r="A823" s="43"/>
      <c r="B823" s="44" t="s">
        <v>6637</v>
      </c>
      <c r="C823" s="54"/>
      <c r="D823" s="10" t="s">
        <v>29</v>
      </c>
      <c r="E823" s="11"/>
      <c r="F823" s="11" t="s">
        <v>18</v>
      </c>
      <c r="G823" s="13"/>
      <c r="H823" s="45" t="s">
        <v>16</v>
      </c>
      <c r="I823" s="47"/>
      <c r="J823" s="12" t="s">
        <v>3243</v>
      </c>
      <c r="K823" s="13" t="s">
        <v>7593</v>
      </c>
      <c r="L823" s="99" t="str">
        <f t="shared" si="68"/>
        <v>W122E.6</v>
      </c>
      <c r="M823" s="13"/>
      <c r="N823" s="13"/>
      <c r="O823" s="13"/>
      <c r="P823" s="47"/>
      <c r="Q823" s="45"/>
      <c r="R823" s="45"/>
      <c r="S823" s="48"/>
      <c r="T823" s="49" t="str">
        <f t="shared" si="73"/>
        <v>[W122E.6]</v>
      </c>
      <c r="U823" s="12" t="str">
        <f t="shared" si="74"/>
        <v/>
      </c>
      <c r="V823" s="49" t="str">
        <f t="shared" si="69"/>
        <v>[W122E.6]</v>
      </c>
    </row>
    <row r="824" spans="1:22" s="49" customFormat="1" ht="14.15" customHeight="1">
      <c r="A824" s="43"/>
      <c r="B824" s="44" t="s">
        <v>6637</v>
      </c>
      <c r="C824" s="54"/>
      <c r="D824" s="10" t="s">
        <v>29</v>
      </c>
      <c r="E824" s="11"/>
      <c r="F824" s="11" t="s">
        <v>18</v>
      </c>
      <c r="G824" s="13"/>
      <c r="H824" s="45" t="s">
        <v>16</v>
      </c>
      <c r="I824" s="47"/>
      <c r="J824" s="12" t="s">
        <v>3244</v>
      </c>
      <c r="K824" s="13" t="s">
        <v>7594</v>
      </c>
      <c r="L824" s="99" t="str">
        <f t="shared" si="68"/>
        <v>W122E.7</v>
      </c>
      <c r="M824" s="13"/>
      <c r="N824" s="13"/>
      <c r="O824" s="13"/>
      <c r="P824" s="47"/>
      <c r="Q824" s="45"/>
      <c r="R824" s="45"/>
      <c r="S824" s="48"/>
      <c r="T824" s="49" t="str">
        <f t="shared" si="73"/>
        <v>[W122E.7]</v>
      </c>
      <c r="U824" s="12" t="str">
        <f t="shared" si="74"/>
        <v/>
      </c>
      <c r="V824" s="49" t="str">
        <f t="shared" si="69"/>
        <v>[W122E.7]</v>
      </c>
    </row>
    <row r="825" spans="1:22" s="49" customFormat="1" ht="14.15" customHeight="1">
      <c r="A825" s="43"/>
      <c r="B825" s="44" t="s">
        <v>6637</v>
      </c>
      <c r="C825" s="54"/>
      <c r="D825" s="10" t="s">
        <v>29</v>
      </c>
      <c r="E825" s="11"/>
      <c r="F825" s="11" t="s">
        <v>18</v>
      </c>
      <c r="G825" s="13"/>
      <c r="H825" s="45" t="s">
        <v>16</v>
      </c>
      <c r="I825" s="47"/>
      <c r="J825" s="12" t="s">
        <v>3245</v>
      </c>
      <c r="K825" s="13" t="s">
        <v>7595</v>
      </c>
      <c r="L825" s="99" t="str">
        <f t="shared" si="68"/>
        <v>W122E.8</v>
      </c>
      <c r="M825" s="13"/>
      <c r="N825" s="13"/>
      <c r="O825" s="13"/>
      <c r="P825" s="47"/>
      <c r="Q825" s="45"/>
      <c r="R825" s="45"/>
      <c r="S825" s="48"/>
      <c r="T825" s="49" t="str">
        <f t="shared" si="73"/>
        <v>[W122E.8]</v>
      </c>
      <c r="U825" s="12" t="str">
        <f t="shared" si="74"/>
        <v/>
      </c>
      <c r="V825" s="49" t="str">
        <f t="shared" si="69"/>
        <v>[W122E.8]</v>
      </c>
    </row>
    <row r="826" spans="1:22" s="49" customFormat="1" ht="14.15" customHeight="1">
      <c r="A826" s="43"/>
      <c r="B826" s="44" t="s">
        <v>6637</v>
      </c>
      <c r="C826" s="54"/>
      <c r="D826" s="10" t="s">
        <v>29</v>
      </c>
      <c r="E826" s="11"/>
      <c r="F826" s="11" t="s">
        <v>18</v>
      </c>
      <c r="G826" s="13"/>
      <c r="H826" s="45" t="s">
        <v>16</v>
      </c>
      <c r="I826" s="47"/>
      <c r="J826" s="12" t="s">
        <v>3246</v>
      </c>
      <c r="K826" s="13" t="s">
        <v>7596</v>
      </c>
      <c r="L826" s="99" t="str">
        <f t="shared" si="68"/>
        <v>W122E.9</v>
      </c>
      <c r="M826" s="13"/>
      <c r="N826" s="13"/>
      <c r="O826" s="13"/>
      <c r="P826" s="47"/>
      <c r="Q826" s="45"/>
      <c r="R826" s="45"/>
      <c r="S826" s="48"/>
      <c r="T826" s="49" t="str">
        <f t="shared" si="73"/>
        <v>[W122E.9]</v>
      </c>
      <c r="U826" s="12" t="str">
        <f t="shared" si="74"/>
        <v/>
      </c>
      <c r="V826" s="49" t="str">
        <f t="shared" si="69"/>
        <v>[W122E.9]</v>
      </c>
    </row>
    <row r="827" spans="1:22" s="49" customFormat="1" ht="14.15" customHeight="1">
      <c r="A827" s="43"/>
      <c r="B827" s="44" t="s">
        <v>6637</v>
      </c>
      <c r="C827" s="54"/>
      <c r="D827" s="10" t="s">
        <v>29</v>
      </c>
      <c r="E827" s="11"/>
      <c r="F827" s="11" t="s">
        <v>18</v>
      </c>
      <c r="G827" s="13"/>
      <c r="H827" s="45" t="s">
        <v>16</v>
      </c>
      <c r="I827" s="47"/>
      <c r="J827" s="12" t="s">
        <v>3247</v>
      </c>
      <c r="K827" s="13" t="s">
        <v>7597</v>
      </c>
      <c r="L827" s="99" t="str">
        <f t="shared" si="68"/>
        <v>W122E.A</v>
      </c>
      <c r="M827" s="13"/>
      <c r="N827" s="13"/>
      <c r="O827" s="13"/>
      <c r="P827" s="47"/>
      <c r="Q827" s="45"/>
      <c r="R827" s="45"/>
      <c r="S827" s="48"/>
      <c r="T827" s="49" t="str">
        <f t="shared" si="73"/>
        <v>[W122E.A]</v>
      </c>
      <c r="U827" s="12" t="str">
        <f t="shared" si="74"/>
        <v/>
      </c>
      <c r="V827" s="49" t="str">
        <f t="shared" si="69"/>
        <v>[W122E.A]</v>
      </c>
    </row>
    <row r="828" spans="1:22" s="49" customFormat="1" ht="14.15" customHeight="1">
      <c r="A828" s="43"/>
      <c r="B828" s="44" t="s">
        <v>6637</v>
      </c>
      <c r="C828" s="54"/>
      <c r="D828" s="10" t="s">
        <v>29</v>
      </c>
      <c r="E828" s="11"/>
      <c r="F828" s="11" t="s">
        <v>18</v>
      </c>
      <c r="G828" s="13"/>
      <c r="H828" s="45" t="s">
        <v>16</v>
      </c>
      <c r="I828" s="47"/>
      <c r="J828" s="12" t="s">
        <v>3248</v>
      </c>
      <c r="K828" s="13" t="s">
        <v>7598</v>
      </c>
      <c r="L828" s="99" t="str">
        <f t="shared" si="68"/>
        <v>W122E.B</v>
      </c>
      <c r="M828" s="13"/>
      <c r="N828" s="13"/>
      <c r="O828" s="13"/>
      <c r="P828" s="47"/>
      <c r="Q828" s="45"/>
      <c r="R828" s="45"/>
      <c r="S828" s="48"/>
      <c r="T828" s="49" t="str">
        <f t="shared" si="73"/>
        <v>[W122E.B]</v>
      </c>
      <c r="U828" s="12" t="str">
        <f t="shared" si="74"/>
        <v/>
      </c>
      <c r="V828" s="49" t="str">
        <f t="shared" si="69"/>
        <v>[W122E.B]</v>
      </c>
    </row>
    <row r="829" spans="1:22" s="49" customFormat="1" ht="14.15" customHeight="1">
      <c r="A829" s="43"/>
      <c r="B829" s="44" t="s">
        <v>6637</v>
      </c>
      <c r="C829" s="54"/>
      <c r="D829" s="10" t="s">
        <v>29</v>
      </c>
      <c r="E829" s="11"/>
      <c r="F829" s="11" t="s">
        <v>18</v>
      </c>
      <c r="G829" s="13"/>
      <c r="H829" s="45" t="s">
        <v>16</v>
      </c>
      <c r="I829" s="47"/>
      <c r="J829" s="12" t="s">
        <v>3249</v>
      </c>
      <c r="K829" s="13" t="s">
        <v>7599</v>
      </c>
      <c r="L829" s="99" t="str">
        <f t="shared" si="68"/>
        <v>W122E.C</v>
      </c>
      <c r="M829" s="13"/>
      <c r="N829" s="13"/>
      <c r="O829" s="13"/>
      <c r="P829" s="47"/>
      <c r="Q829" s="45"/>
      <c r="R829" s="45"/>
      <c r="S829" s="48"/>
      <c r="T829" s="49" t="str">
        <f t="shared" si="73"/>
        <v>[W122E.C]</v>
      </c>
      <c r="U829" s="12" t="str">
        <f t="shared" si="74"/>
        <v/>
      </c>
      <c r="V829" s="49" t="str">
        <f t="shared" si="69"/>
        <v>[W122E.C]</v>
      </c>
    </row>
    <row r="830" spans="1:22" s="49" customFormat="1" ht="14.15" customHeight="1">
      <c r="A830" s="43"/>
      <c r="B830" s="44" t="s">
        <v>6637</v>
      </c>
      <c r="C830" s="54"/>
      <c r="D830" s="10" t="s">
        <v>29</v>
      </c>
      <c r="E830" s="11"/>
      <c r="F830" s="11" t="s">
        <v>18</v>
      </c>
      <c r="G830" s="13"/>
      <c r="H830" s="45" t="s">
        <v>16</v>
      </c>
      <c r="I830" s="47"/>
      <c r="J830" s="12" t="s">
        <v>3250</v>
      </c>
      <c r="K830" s="13" t="s">
        <v>7600</v>
      </c>
      <c r="L830" s="99" t="str">
        <f t="shared" si="68"/>
        <v>W122E.D</v>
      </c>
      <c r="M830" s="13"/>
      <c r="N830" s="13"/>
      <c r="O830" s="13"/>
      <c r="P830" s="47"/>
      <c r="Q830" s="45"/>
      <c r="R830" s="45"/>
      <c r="S830" s="48"/>
      <c r="T830" s="49" t="str">
        <f t="shared" si="73"/>
        <v>[W122E.D]</v>
      </c>
      <c r="U830" s="12" t="str">
        <f t="shared" si="74"/>
        <v/>
      </c>
      <c r="V830" s="49" t="str">
        <f t="shared" si="69"/>
        <v>[W122E.D]</v>
      </c>
    </row>
    <row r="831" spans="1:22" s="49" customFormat="1" ht="14.15" customHeight="1">
      <c r="A831" s="43"/>
      <c r="B831" s="44" t="s">
        <v>6637</v>
      </c>
      <c r="C831" s="54"/>
      <c r="D831" s="10" t="s">
        <v>29</v>
      </c>
      <c r="E831" s="11"/>
      <c r="F831" s="11" t="s">
        <v>18</v>
      </c>
      <c r="G831" s="13"/>
      <c r="H831" s="45" t="s">
        <v>16</v>
      </c>
      <c r="I831" s="47"/>
      <c r="J831" s="12" t="s">
        <v>3251</v>
      </c>
      <c r="K831" s="13" t="s">
        <v>7601</v>
      </c>
      <c r="L831" s="99" t="str">
        <f t="shared" si="68"/>
        <v>W122E.E</v>
      </c>
      <c r="M831" s="13"/>
      <c r="N831" s="13"/>
      <c r="O831" s="13"/>
      <c r="P831" s="47"/>
      <c r="Q831" s="45"/>
      <c r="R831" s="45"/>
      <c r="S831" s="48"/>
      <c r="T831" s="49" t="str">
        <f t="shared" si="73"/>
        <v>[W122E.E]</v>
      </c>
      <c r="U831" s="12" t="str">
        <f t="shared" si="74"/>
        <v/>
      </c>
      <c r="V831" s="49" t="str">
        <f t="shared" si="69"/>
        <v>[W122E.E]</v>
      </c>
    </row>
    <row r="832" spans="1:22" s="49" customFormat="1" ht="14.15" customHeight="1">
      <c r="A832" s="43"/>
      <c r="B832" s="44" t="s">
        <v>6637</v>
      </c>
      <c r="C832" s="54"/>
      <c r="D832" s="10" t="s">
        <v>29</v>
      </c>
      <c r="E832" s="11"/>
      <c r="F832" s="11" t="s">
        <v>18</v>
      </c>
      <c r="G832" s="13"/>
      <c r="H832" s="45" t="s">
        <v>16</v>
      </c>
      <c r="I832" s="47"/>
      <c r="J832" s="12" t="s">
        <v>3252</v>
      </c>
      <c r="K832" s="13" t="s">
        <v>7602</v>
      </c>
      <c r="L832" s="99" t="str">
        <f t="shared" si="68"/>
        <v>W122E.F</v>
      </c>
      <c r="M832" s="13"/>
      <c r="N832" s="13"/>
      <c r="O832" s="13"/>
      <c r="P832" s="47"/>
      <c r="Q832" s="45"/>
      <c r="R832" s="45"/>
      <c r="S832" s="48"/>
      <c r="T832" s="49" t="str">
        <f t="shared" si="73"/>
        <v>[W122E.F]</v>
      </c>
      <c r="U832" s="12" t="str">
        <f t="shared" si="74"/>
        <v/>
      </c>
      <c r="V832" s="49" t="str">
        <f t="shared" si="69"/>
        <v>[W122E.F]</v>
      </c>
    </row>
    <row r="833" spans="1:22" s="49" customFormat="1" ht="14.15" customHeight="1">
      <c r="A833" s="43"/>
      <c r="B833" s="44" t="s">
        <v>6637</v>
      </c>
      <c r="C833" s="54"/>
      <c r="D833" s="10" t="s">
        <v>29</v>
      </c>
      <c r="E833" s="11"/>
      <c r="F833" s="11" t="s">
        <v>18</v>
      </c>
      <c r="G833" s="13"/>
      <c r="H833" s="45" t="s">
        <v>16</v>
      </c>
      <c r="I833" s="47"/>
      <c r="J833" s="12" t="s">
        <v>3253</v>
      </c>
      <c r="K833" s="13" t="s">
        <v>7603</v>
      </c>
      <c r="L833" s="99" t="str">
        <f t="shared" si="68"/>
        <v>W122F.0</v>
      </c>
      <c r="M833" s="13"/>
      <c r="N833" s="13"/>
      <c r="O833" s="13"/>
      <c r="P833" s="47"/>
      <c r="Q833" s="45"/>
      <c r="R833" s="45"/>
      <c r="S833" s="48"/>
      <c r="T833" s="49" t="str">
        <f t="shared" si="73"/>
        <v>[W122F.0]</v>
      </c>
      <c r="U833" s="12" t="str">
        <f t="shared" si="74"/>
        <v/>
      </c>
      <c r="V833" s="49" t="str">
        <f t="shared" si="69"/>
        <v>[W122F.0]</v>
      </c>
    </row>
    <row r="834" spans="1:22" s="49" customFormat="1" ht="14.15" customHeight="1">
      <c r="A834" s="43"/>
      <c r="B834" s="44" t="s">
        <v>6637</v>
      </c>
      <c r="C834" s="54"/>
      <c r="D834" s="10" t="s">
        <v>29</v>
      </c>
      <c r="E834" s="11"/>
      <c r="F834" s="11" t="s">
        <v>18</v>
      </c>
      <c r="G834" s="13"/>
      <c r="H834" s="45" t="s">
        <v>16</v>
      </c>
      <c r="I834" s="47"/>
      <c r="J834" s="12" t="s">
        <v>3254</v>
      </c>
      <c r="K834" s="13" t="s">
        <v>7604</v>
      </c>
      <c r="L834" s="99" t="str">
        <f t="shared" si="68"/>
        <v>W122F.1</v>
      </c>
      <c r="M834" s="13"/>
      <c r="N834" s="13"/>
      <c r="O834" s="13"/>
      <c r="P834" s="47"/>
      <c r="Q834" s="45"/>
      <c r="R834" s="45"/>
      <c r="S834" s="48"/>
      <c r="T834" s="49" t="str">
        <f t="shared" si="73"/>
        <v>[W122F.1]</v>
      </c>
      <c r="U834" s="12" t="str">
        <f t="shared" si="74"/>
        <v/>
      </c>
      <c r="V834" s="49" t="str">
        <f t="shared" si="69"/>
        <v>[W122F.1]</v>
      </c>
    </row>
    <row r="835" spans="1:22" s="49" customFormat="1" ht="14.15" customHeight="1">
      <c r="A835" s="43"/>
      <c r="B835" s="44" t="s">
        <v>6637</v>
      </c>
      <c r="C835" s="54"/>
      <c r="D835" s="10" t="s">
        <v>29</v>
      </c>
      <c r="E835" s="11"/>
      <c r="F835" s="11" t="s">
        <v>18</v>
      </c>
      <c r="G835" s="13"/>
      <c r="H835" s="45" t="s">
        <v>16</v>
      </c>
      <c r="I835" s="47"/>
      <c r="J835" s="12" t="s">
        <v>3255</v>
      </c>
      <c r="K835" s="13" t="s">
        <v>7605</v>
      </c>
      <c r="L835" s="99" t="str">
        <f t="shared" si="68"/>
        <v>W122F.2</v>
      </c>
      <c r="M835" s="13"/>
      <c r="N835" s="13"/>
      <c r="O835" s="13"/>
      <c r="P835" s="47"/>
      <c r="Q835" s="45"/>
      <c r="R835" s="45"/>
      <c r="S835" s="48"/>
      <c r="T835" s="49" t="str">
        <f t="shared" si="73"/>
        <v>[W122F.2]</v>
      </c>
      <c r="U835" s="12" t="str">
        <f t="shared" si="74"/>
        <v/>
      </c>
      <c r="V835" s="49" t="str">
        <f t="shared" si="69"/>
        <v>[W122F.2]</v>
      </c>
    </row>
    <row r="836" spans="1:22" s="49" customFormat="1" ht="14.15" customHeight="1">
      <c r="A836" s="43"/>
      <c r="B836" s="44" t="s">
        <v>6637</v>
      </c>
      <c r="C836" s="54"/>
      <c r="D836" s="10" t="s">
        <v>29</v>
      </c>
      <c r="E836" s="11"/>
      <c r="F836" s="11" t="s">
        <v>18</v>
      </c>
      <c r="G836" s="13"/>
      <c r="H836" s="45" t="s">
        <v>16</v>
      </c>
      <c r="I836" s="47"/>
      <c r="J836" s="12" t="s">
        <v>3256</v>
      </c>
      <c r="K836" s="13" t="s">
        <v>7606</v>
      </c>
      <c r="L836" s="99" t="str">
        <f t="shared" si="68"/>
        <v>W122F.3</v>
      </c>
      <c r="M836" s="13"/>
      <c r="N836" s="13"/>
      <c r="O836" s="13"/>
      <c r="P836" s="47"/>
      <c r="Q836" s="45"/>
      <c r="R836" s="45"/>
      <c r="S836" s="48"/>
      <c r="T836" s="49" t="str">
        <f t="shared" si="73"/>
        <v>[W122F.3]</v>
      </c>
      <c r="U836" s="12" t="str">
        <f t="shared" si="74"/>
        <v/>
      </c>
      <c r="V836" s="49" t="str">
        <f t="shared" si="69"/>
        <v>[W122F.3]</v>
      </c>
    </row>
    <row r="837" spans="1:22" s="49" customFormat="1" ht="14.15" customHeight="1">
      <c r="A837" s="43"/>
      <c r="B837" s="44" t="s">
        <v>6637</v>
      </c>
      <c r="C837" s="54"/>
      <c r="D837" s="10" t="s">
        <v>29</v>
      </c>
      <c r="E837" s="11"/>
      <c r="F837" s="11" t="s">
        <v>18</v>
      </c>
      <c r="G837" s="13"/>
      <c r="H837" s="45" t="s">
        <v>16</v>
      </c>
      <c r="I837" s="47"/>
      <c r="J837" s="12" t="s">
        <v>3257</v>
      </c>
      <c r="K837" s="13" t="s">
        <v>7607</v>
      </c>
      <c r="L837" s="99" t="str">
        <f t="shared" si="68"/>
        <v>W122F.4</v>
      </c>
      <c r="M837" s="13"/>
      <c r="N837" s="13"/>
      <c r="O837" s="13"/>
      <c r="P837" s="47"/>
      <c r="Q837" s="45"/>
      <c r="R837" s="45"/>
      <c r="S837" s="48"/>
      <c r="T837" s="49" t="str">
        <f t="shared" si="73"/>
        <v>[W122F.4]</v>
      </c>
      <c r="U837" s="12" t="str">
        <f t="shared" si="74"/>
        <v/>
      </c>
      <c r="V837" s="49" t="str">
        <f t="shared" si="69"/>
        <v>[W122F.4]</v>
      </c>
    </row>
    <row r="838" spans="1:22" s="49" customFormat="1" ht="14.15" customHeight="1">
      <c r="A838" s="43"/>
      <c r="B838" s="44" t="s">
        <v>6637</v>
      </c>
      <c r="C838" s="54"/>
      <c r="D838" s="10" t="s">
        <v>29</v>
      </c>
      <c r="E838" s="11"/>
      <c r="F838" s="11" t="s">
        <v>18</v>
      </c>
      <c r="G838" s="13"/>
      <c r="H838" s="45" t="s">
        <v>16</v>
      </c>
      <c r="I838" s="47"/>
      <c r="J838" s="12" t="s">
        <v>3258</v>
      </c>
      <c r="K838" s="13" t="s">
        <v>7608</v>
      </c>
      <c r="L838" s="99" t="str">
        <f t="shared" si="68"/>
        <v>W122F.5</v>
      </c>
      <c r="M838" s="13"/>
      <c r="N838" s="13"/>
      <c r="O838" s="13"/>
      <c r="P838" s="47"/>
      <c r="Q838" s="45"/>
      <c r="R838" s="45"/>
      <c r="S838" s="48"/>
      <c r="T838" s="49" t="str">
        <f t="shared" si="73"/>
        <v>[W122F.5]</v>
      </c>
      <c r="U838" s="12" t="str">
        <f t="shared" si="74"/>
        <v/>
      </c>
      <c r="V838" s="49" t="str">
        <f t="shared" si="69"/>
        <v>[W122F.5]</v>
      </c>
    </row>
    <row r="839" spans="1:22" s="49" customFormat="1" ht="14.15" customHeight="1">
      <c r="A839" s="43"/>
      <c r="B839" s="44" t="s">
        <v>6637</v>
      </c>
      <c r="C839" s="54"/>
      <c r="D839" s="10" t="s">
        <v>29</v>
      </c>
      <c r="E839" s="11"/>
      <c r="F839" s="11" t="s">
        <v>18</v>
      </c>
      <c r="G839" s="13"/>
      <c r="H839" s="45" t="s">
        <v>16</v>
      </c>
      <c r="I839" s="47"/>
      <c r="J839" s="12" t="s">
        <v>3259</v>
      </c>
      <c r="K839" s="13" t="s">
        <v>7609</v>
      </c>
      <c r="L839" s="99" t="str">
        <f t="shared" si="68"/>
        <v>W122F.6</v>
      </c>
      <c r="M839" s="13"/>
      <c r="N839" s="13"/>
      <c r="O839" s="13"/>
      <c r="P839" s="47"/>
      <c r="Q839" s="45"/>
      <c r="R839" s="45"/>
      <c r="S839" s="48"/>
      <c r="T839" s="49" t="str">
        <f t="shared" si="73"/>
        <v>[W122F.6]</v>
      </c>
      <c r="U839" s="12" t="str">
        <f t="shared" si="74"/>
        <v/>
      </c>
      <c r="V839" s="49" t="str">
        <f t="shared" si="69"/>
        <v>[W122F.6]</v>
      </c>
    </row>
    <row r="840" spans="1:22" s="49" customFormat="1" ht="14.15" customHeight="1">
      <c r="A840" s="43"/>
      <c r="B840" s="44" t="s">
        <v>6637</v>
      </c>
      <c r="C840" s="54"/>
      <c r="D840" s="10" t="s">
        <v>29</v>
      </c>
      <c r="E840" s="11"/>
      <c r="F840" s="11" t="s">
        <v>18</v>
      </c>
      <c r="G840" s="13"/>
      <c r="H840" s="45" t="s">
        <v>16</v>
      </c>
      <c r="I840" s="47"/>
      <c r="J840" s="12" t="s">
        <v>3260</v>
      </c>
      <c r="K840" s="13" t="s">
        <v>7610</v>
      </c>
      <c r="L840" s="99" t="str">
        <f t="shared" si="68"/>
        <v>W122F.7</v>
      </c>
      <c r="M840" s="13"/>
      <c r="N840" s="13"/>
      <c r="O840" s="13"/>
      <c r="P840" s="47"/>
      <c r="Q840" s="45"/>
      <c r="R840" s="45"/>
      <c r="S840" s="48"/>
      <c r="T840" s="49" t="str">
        <f t="shared" ref="T840:T868" si="75">"["&amp;L840&amp;"]"</f>
        <v>[W122F.7]</v>
      </c>
      <c r="U840" s="12" t="str">
        <f t="shared" ref="U840:U868" si="76">RIGHT(J840,LEN(J840)-7)</f>
        <v/>
      </c>
      <c r="V840" s="49" t="str">
        <f t="shared" si="69"/>
        <v>[W122F.7]</v>
      </c>
    </row>
    <row r="841" spans="1:22" s="49" customFormat="1" ht="14.15" customHeight="1">
      <c r="A841" s="43"/>
      <c r="B841" s="44" t="s">
        <v>6637</v>
      </c>
      <c r="C841" s="54"/>
      <c r="D841" s="10" t="s">
        <v>29</v>
      </c>
      <c r="E841" s="11"/>
      <c r="F841" s="11" t="s">
        <v>18</v>
      </c>
      <c r="G841" s="13"/>
      <c r="H841" s="45" t="s">
        <v>16</v>
      </c>
      <c r="I841" s="47"/>
      <c r="J841" s="12" t="s">
        <v>3261</v>
      </c>
      <c r="K841" s="13" t="s">
        <v>7611</v>
      </c>
      <c r="L841" s="99" t="str">
        <f t="shared" si="68"/>
        <v>W122F.8</v>
      </c>
      <c r="M841" s="13"/>
      <c r="N841" s="13"/>
      <c r="O841" s="13"/>
      <c r="P841" s="47"/>
      <c r="Q841" s="45"/>
      <c r="R841" s="45"/>
      <c r="S841" s="48"/>
      <c r="T841" s="49" t="str">
        <f t="shared" si="75"/>
        <v>[W122F.8]</v>
      </c>
      <c r="U841" s="12" t="str">
        <f t="shared" si="76"/>
        <v/>
      </c>
      <c r="V841" s="49" t="str">
        <f t="shared" si="69"/>
        <v>[W122F.8]</v>
      </c>
    </row>
    <row r="842" spans="1:22" s="49" customFormat="1" ht="14.15" customHeight="1">
      <c r="A842" s="43"/>
      <c r="B842" s="44" t="s">
        <v>6637</v>
      </c>
      <c r="C842" s="54"/>
      <c r="D842" s="10" t="s">
        <v>29</v>
      </c>
      <c r="E842" s="11"/>
      <c r="F842" s="11" t="s">
        <v>18</v>
      </c>
      <c r="G842" s="13"/>
      <c r="H842" s="45" t="s">
        <v>16</v>
      </c>
      <c r="I842" s="47"/>
      <c r="J842" s="12" t="s">
        <v>3262</v>
      </c>
      <c r="K842" s="13" t="s">
        <v>7612</v>
      </c>
      <c r="L842" s="99" t="str">
        <f t="shared" si="68"/>
        <v>W122F.9</v>
      </c>
      <c r="M842" s="13"/>
      <c r="N842" s="13"/>
      <c r="O842" s="13"/>
      <c r="P842" s="47"/>
      <c r="Q842" s="45"/>
      <c r="R842" s="45"/>
      <c r="S842" s="48"/>
      <c r="T842" s="49" t="str">
        <f t="shared" si="75"/>
        <v>[W122F.9]</v>
      </c>
      <c r="U842" s="12" t="str">
        <f t="shared" si="76"/>
        <v/>
      </c>
      <c r="V842" s="49" t="str">
        <f t="shared" si="69"/>
        <v>[W122F.9]</v>
      </c>
    </row>
    <row r="843" spans="1:22" s="49" customFormat="1" ht="14.15" customHeight="1">
      <c r="A843" s="43"/>
      <c r="B843" s="44" t="s">
        <v>6637</v>
      </c>
      <c r="C843" s="54"/>
      <c r="D843" s="10" t="s">
        <v>29</v>
      </c>
      <c r="E843" s="11"/>
      <c r="F843" s="11" t="s">
        <v>18</v>
      </c>
      <c r="G843" s="13"/>
      <c r="H843" s="45" t="s">
        <v>16</v>
      </c>
      <c r="I843" s="47"/>
      <c r="J843" s="12" t="s">
        <v>3263</v>
      </c>
      <c r="K843" s="13" t="s">
        <v>7613</v>
      </c>
      <c r="L843" s="99" t="str">
        <f t="shared" si="68"/>
        <v>W122F.A</v>
      </c>
      <c r="M843" s="13"/>
      <c r="N843" s="13"/>
      <c r="O843" s="13"/>
      <c r="P843" s="47"/>
      <c r="Q843" s="45"/>
      <c r="R843" s="45"/>
      <c r="S843" s="48"/>
      <c r="T843" s="49" t="str">
        <f t="shared" si="75"/>
        <v>[W122F.A]</v>
      </c>
      <c r="U843" s="12" t="str">
        <f t="shared" si="76"/>
        <v/>
      </c>
      <c r="V843" s="49" t="str">
        <f t="shared" si="69"/>
        <v>[W122F.A]</v>
      </c>
    </row>
    <row r="844" spans="1:22" s="49" customFormat="1" ht="14.15" customHeight="1">
      <c r="A844" s="43"/>
      <c r="B844" s="44" t="s">
        <v>6637</v>
      </c>
      <c r="C844" s="54"/>
      <c r="D844" s="10" t="s">
        <v>29</v>
      </c>
      <c r="E844" s="11"/>
      <c r="F844" s="11" t="s">
        <v>18</v>
      </c>
      <c r="G844" s="13"/>
      <c r="H844" s="45" t="s">
        <v>16</v>
      </c>
      <c r="I844" s="47"/>
      <c r="J844" s="12" t="s">
        <v>3264</v>
      </c>
      <c r="K844" s="13" t="s">
        <v>7614</v>
      </c>
      <c r="L844" s="99" t="str">
        <f t="shared" si="68"/>
        <v>W122F.B</v>
      </c>
      <c r="M844" s="13"/>
      <c r="N844" s="13"/>
      <c r="O844" s="13"/>
      <c r="P844" s="47"/>
      <c r="Q844" s="45"/>
      <c r="R844" s="45"/>
      <c r="S844" s="48"/>
      <c r="T844" s="49" t="str">
        <f t="shared" si="75"/>
        <v>[W122F.B]</v>
      </c>
      <c r="U844" s="12" t="str">
        <f t="shared" si="76"/>
        <v/>
      </c>
      <c r="V844" s="49" t="str">
        <f t="shared" si="69"/>
        <v>[W122F.B]</v>
      </c>
    </row>
    <row r="845" spans="1:22" s="49" customFormat="1" ht="14.15" customHeight="1">
      <c r="A845" s="43"/>
      <c r="B845" s="44" t="s">
        <v>6637</v>
      </c>
      <c r="C845" s="54"/>
      <c r="D845" s="10" t="s">
        <v>29</v>
      </c>
      <c r="E845" s="11"/>
      <c r="F845" s="11" t="s">
        <v>18</v>
      </c>
      <c r="G845" s="13"/>
      <c r="H845" s="45" t="s">
        <v>16</v>
      </c>
      <c r="I845" s="47"/>
      <c r="J845" s="12" t="s">
        <v>3265</v>
      </c>
      <c r="K845" s="13" t="s">
        <v>7615</v>
      </c>
      <c r="L845" s="99" t="str">
        <f t="shared" si="68"/>
        <v>W122F.C</v>
      </c>
      <c r="M845" s="13"/>
      <c r="N845" s="13"/>
      <c r="O845" s="13"/>
      <c r="P845" s="47"/>
      <c r="Q845" s="45"/>
      <c r="R845" s="45"/>
      <c r="S845" s="48"/>
      <c r="T845" s="49" t="str">
        <f t="shared" si="75"/>
        <v>[W122F.C]</v>
      </c>
      <c r="U845" s="12" t="str">
        <f t="shared" si="76"/>
        <v/>
      </c>
      <c r="V845" s="49" t="str">
        <f t="shared" si="69"/>
        <v>[W122F.C]</v>
      </c>
    </row>
    <row r="846" spans="1:22" s="49" customFormat="1" ht="14.15" customHeight="1">
      <c r="A846" s="43"/>
      <c r="B846" s="44" t="s">
        <v>6637</v>
      </c>
      <c r="C846" s="54"/>
      <c r="D846" s="10" t="s">
        <v>29</v>
      </c>
      <c r="E846" s="11"/>
      <c r="F846" s="11" t="s">
        <v>18</v>
      </c>
      <c r="G846" s="13"/>
      <c r="H846" s="45" t="s">
        <v>16</v>
      </c>
      <c r="I846" s="47"/>
      <c r="J846" s="12" t="s">
        <v>3266</v>
      </c>
      <c r="K846" s="13" t="s">
        <v>7616</v>
      </c>
      <c r="L846" s="99" t="str">
        <f t="shared" si="68"/>
        <v>W122F.D</v>
      </c>
      <c r="M846" s="13"/>
      <c r="N846" s="13"/>
      <c r="O846" s="13"/>
      <c r="P846" s="47"/>
      <c r="Q846" s="45"/>
      <c r="R846" s="45"/>
      <c r="S846" s="48"/>
      <c r="T846" s="49" t="str">
        <f t="shared" si="75"/>
        <v>[W122F.D]</v>
      </c>
      <c r="U846" s="12" t="str">
        <f t="shared" si="76"/>
        <v/>
      </c>
      <c r="V846" s="49" t="str">
        <f t="shared" si="69"/>
        <v>[W122F.D]</v>
      </c>
    </row>
    <row r="847" spans="1:22" s="49" customFormat="1" ht="14.15" customHeight="1">
      <c r="A847" s="44"/>
      <c r="B847" s="44" t="s">
        <v>6637</v>
      </c>
      <c r="C847" s="50"/>
      <c r="D847" s="10" t="s">
        <v>29</v>
      </c>
      <c r="E847" s="11"/>
      <c r="F847" s="11" t="s">
        <v>18</v>
      </c>
      <c r="G847" s="13"/>
      <c r="H847" s="45" t="s">
        <v>16</v>
      </c>
      <c r="I847" s="47"/>
      <c r="J847" s="12" t="s">
        <v>3267</v>
      </c>
      <c r="K847" s="13" t="s">
        <v>7617</v>
      </c>
      <c r="L847" s="99" t="str">
        <f t="shared" si="68"/>
        <v>W122F.E</v>
      </c>
      <c r="M847" s="13"/>
      <c r="N847" s="13"/>
      <c r="O847" s="13"/>
      <c r="P847" s="47"/>
      <c r="Q847" s="45"/>
      <c r="R847" s="45"/>
      <c r="S847" s="48"/>
      <c r="T847" s="49" t="str">
        <f t="shared" si="75"/>
        <v>[W122F.E]</v>
      </c>
      <c r="U847" s="12" t="str">
        <f t="shared" si="76"/>
        <v/>
      </c>
      <c r="V847" s="49" t="str">
        <f t="shared" si="69"/>
        <v>[W122F.E]</v>
      </c>
    </row>
    <row r="848" spans="1:22" s="49" customFormat="1" ht="14.15" customHeight="1">
      <c r="A848" s="44"/>
      <c r="B848" s="44" t="s">
        <v>6637</v>
      </c>
      <c r="C848" s="50"/>
      <c r="D848" s="10" t="s">
        <v>29</v>
      </c>
      <c r="E848" s="11"/>
      <c r="F848" s="11" t="s">
        <v>18</v>
      </c>
      <c r="G848" s="13"/>
      <c r="H848" s="45" t="s">
        <v>16</v>
      </c>
      <c r="I848" s="47"/>
      <c r="J848" s="12" t="s">
        <v>3268</v>
      </c>
      <c r="K848" s="13" t="s">
        <v>7618</v>
      </c>
      <c r="L848" s="99" t="str">
        <f t="shared" si="68"/>
        <v>W122F.F</v>
      </c>
      <c r="M848" s="13"/>
      <c r="N848" s="13"/>
      <c r="O848" s="13"/>
      <c r="P848" s="47"/>
      <c r="Q848" s="45"/>
      <c r="R848" s="45"/>
      <c r="S848" s="48"/>
      <c r="T848" s="49" t="str">
        <f t="shared" si="75"/>
        <v>[W122F.F]</v>
      </c>
      <c r="U848" s="12" t="str">
        <f t="shared" si="76"/>
        <v/>
      </c>
      <c r="V848" s="49" t="str">
        <f t="shared" si="69"/>
        <v>[W122F.F]</v>
      </c>
    </row>
    <row r="849" spans="1:22" s="49" customFormat="1" ht="14.15" customHeight="1">
      <c r="A849" s="44"/>
      <c r="B849" s="44" t="s">
        <v>6637</v>
      </c>
      <c r="C849" s="50"/>
      <c r="D849" s="10" t="s">
        <v>29</v>
      </c>
      <c r="E849" s="11"/>
      <c r="F849" s="11" t="s">
        <v>18</v>
      </c>
      <c r="G849" s="13"/>
      <c r="H849" s="45" t="s">
        <v>16</v>
      </c>
      <c r="I849" s="47"/>
      <c r="J849" s="12" t="s">
        <v>3269</v>
      </c>
      <c r="K849" s="13" t="s">
        <v>7619</v>
      </c>
      <c r="L849" s="99" t="str">
        <f t="shared" si="68"/>
        <v>W1230.0</v>
      </c>
      <c r="M849" s="13"/>
      <c r="N849" s="13"/>
      <c r="O849" s="13"/>
      <c r="P849" s="47"/>
      <c r="Q849" s="45"/>
      <c r="R849" s="45"/>
      <c r="S849" s="48"/>
      <c r="T849" s="49" t="str">
        <f t="shared" si="75"/>
        <v>[W1230.0]</v>
      </c>
      <c r="U849" s="12" t="str">
        <f t="shared" si="76"/>
        <v/>
      </c>
      <c r="V849" s="49" t="str">
        <f t="shared" si="69"/>
        <v>[W1230.0]</v>
      </c>
    </row>
    <row r="850" spans="1:22" s="49" customFormat="1" ht="14.15" customHeight="1">
      <c r="A850" s="44"/>
      <c r="B850" s="44" t="s">
        <v>6637</v>
      </c>
      <c r="C850" s="50"/>
      <c r="D850" s="10" t="s">
        <v>29</v>
      </c>
      <c r="E850" s="11"/>
      <c r="F850" s="11" t="s">
        <v>18</v>
      </c>
      <c r="G850" s="13"/>
      <c r="H850" s="45" t="s">
        <v>16</v>
      </c>
      <c r="I850" s="47"/>
      <c r="J850" s="12" t="s">
        <v>3270</v>
      </c>
      <c r="K850" s="13" t="s">
        <v>7620</v>
      </c>
      <c r="L850" s="99" t="str">
        <f t="shared" ref="L850:L913" si="77">"W"&amp;DEC2HEX(4608 + INT((ROW()-81)/16)) &amp; "." &amp; IF(MOD(ROW()-81,16)&lt;10,MOD(ROW()-81,16),CHAR(MOD(ROW()-81,16)+55))</f>
        <v>W1230.1</v>
      </c>
      <c r="M850" s="13"/>
      <c r="N850" s="13"/>
      <c r="O850" s="13"/>
      <c r="P850" s="47"/>
      <c r="Q850" s="45"/>
      <c r="R850" s="45"/>
      <c r="S850" s="48"/>
      <c r="T850" s="49" t="str">
        <f t="shared" si="75"/>
        <v>[W1230.1]</v>
      </c>
      <c r="U850" s="12" t="str">
        <f t="shared" si="76"/>
        <v/>
      </c>
      <c r="V850" s="49" t="str">
        <f t="shared" ref="V850:V913" si="78">T850&amp;U850</f>
        <v>[W1230.1]</v>
      </c>
    </row>
    <row r="851" spans="1:22" s="49" customFormat="1" ht="14.15" customHeight="1">
      <c r="A851" s="44"/>
      <c r="B851" s="44" t="s">
        <v>6637</v>
      </c>
      <c r="C851" s="50"/>
      <c r="D851" s="10" t="s">
        <v>29</v>
      </c>
      <c r="E851" s="11"/>
      <c r="F851" s="11" t="s">
        <v>18</v>
      </c>
      <c r="G851" s="13"/>
      <c r="H851" s="45" t="s">
        <v>16</v>
      </c>
      <c r="I851" s="47"/>
      <c r="J851" s="12" t="s">
        <v>3271</v>
      </c>
      <c r="K851" s="13" t="s">
        <v>7621</v>
      </c>
      <c r="L851" s="99" t="str">
        <f t="shared" si="77"/>
        <v>W1230.2</v>
      </c>
      <c r="M851" s="13"/>
      <c r="N851" s="13"/>
      <c r="O851" s="13"/>
      <c r="P851" s="47"/>
      <c r="Q851" s="45"/>
      <c r="R851" s="45"/>
      <c r="S851" s="48"/>
      <c r="T851" s="49" t="str">
        <f t="shared" si="75"/>
        <v>[W1230.2]</v>
      </c>
      <c r="U851" s="12" t="str">
        <f t="shared" si="76"/>
        <v/>
      </c>
      <c r="V851" s="49" t="str">
        <f t="shared" si="78"/>
        <v>[W1230.2]</v>
      </c>
    </row>
    <row r="852" spans="1:22" s="49" customFormat="1" ht="14.15" customHeight="1">
      <c r="A852" s="44"/>
      <c r="B852" s="44" t="s">
        <v>6637</v>
      </c>
      <c r="C852" s="50"/>
      <c r="D852" s="10" t="s">
        <v>29</v>
      </c>
      <c r="E852" s="11"/>
      <c r="F852" s="11" t="s">
        <v>18</v>
      </c>
      <c r="G852" s="13"/>
      <c r="H852" s="45" t="s">
        <v>16</v>
      </c>
      <c r="I852" s="47"/>
      <c r="J852" s="12" t="s">
        <v>3272</v>
      </c>
      <c r="K852" s="13" t="s">
        <v>7622</v>
      </c>
      <c r="L852" s="99" t="str">
        <f t="shared" si="77"/>
        <v>W1230.3</v>
      </c>
      <c r="M852" s="13"/>
      <c r="N852" s="13"/>
      <c r="O852" s="13"/>
      <c r="P852" s="47"/>
      <c r="Q852" s="45"/>
      <c r="R852" s="45"/>
      <c r="S852" s="48"/>
      <c r="T852" s="49" t="str">
        <f t="shared" si="75"/>
        <v>[W1230.3]</v>
      </c>
      <c r="U852" s="12" t="str">
        <f t="shared" si="76"/>
        <v/>
      </c>
      <c r="V852" s="49" t="str">
        <f t="shared" si="78"/>
        <v>[W1230.3]</v>
      </c>
    </row>
    <row r="853" spans="1:22" s="49" customFormat="1" ht="14.15" customHeight="1">
      <c r="A853" s="44"/>
      <c r="B853" s="44" t="s">
        <v>6637</v>
      </c>
      <c r="C853" s="50"/>
      <c r="D853" s="10" t="s">
        <v>29</v>
      </c>
      <c r="E853" s="11"/>
      <c r="F853" s="11" t="s">
        <v>18</v>
      </c>
      <c r="G853" s="13"/>
      <c r="H853" s="45" t="s">
        <v>16</v>
      </c>
      <c r="I853" s="47"/>
      <c r="J853" s="12" t="s">
        <v>3273</v>
      </c>
      <c r="K853" s="13" t="s">
        <v>7623</v>
      </c>
      <c r="L853" s="99" t="str">
        <f t="shared" si="77"/>
        <v>W1230.4</v>
      </c>
      <c r="M853" s="13"/>
      <c r="N853" s="13"/>
      <c r="O853" s="13"/>
      <c r="P853" s="47"/>
      <c r="Q853" s="45"/>
      <c r="R853" s="45"/>
      <c r="S853" s="48"/>
      <c r="T853" s="49" t="str">
        <f t="shared" si="75"/>
        <v>[W1230.4]</v>
      </c>
      <c r="U853" s="12" t="str">
        <f t="shared" si="76"/>
        <v/>
      </c>
      <c r="V853" s="49" t="str">
        <f t="shared" si="78"/>
        <v>[W1230.4]</v>
      </c>
    </row>
    <row r="854" spans="1:22" s="49" customFormat="1" ht="14.15" customHeight="1">
      <c r="A854" s="44"/>
      <c r="B854" s="44" t="s">
        <v>6637</v>
      </c>
      <c r="C854" s="50"/>
      <c r="D854" s="10" t="s">
        <v>29</v>
      </c>
      <c r="E854" s="11"/>
      <c r="F854" s="11" t="s">
        <v>18</v>
      </c>
      <c r="G854" s="13"/>
      <c r="H854" s="45" t="s">
        <v>16</v>
      </c>
      <c r="I854" s="47"/>
      <c r="J854" s="12" t="s">
        <v>3274</v>
      </c>
      <c r="K854" s="13" t="s">
        <v>7624</v>
      </c>
      <c r="L854" s="99" t="str">
        <f t="shared" si="77"/>
        <v>W1230.5</v>
      </c>
      <c r="M854" s="13"/>
      <c r="N854" s="13"/>
      <c r="O854" s="13"/>
      <c r="P854" s="47"/>
      <c r="Q854" s="45"/>
      <c r="R854" s="45"/>
      <c r="S854" s="48"/>
      <c r="T854" s="49" t="str">
        <f t="shared" si="75"/>
        <v>[W1230.5]</v>
      </c>
      <c r="U854" s="12" t="str">
        <f t="shared" si="76"/>
        <v/>
      </c>
      <c r="V854" s="49" t="str">
        <f t="shared" si="78"/>
        <v>[W1230.5]</v>
      </c>
    </row>
    <row r="855" spans="1:22" s="49" customFormat="1" ht="14.15" customHeight="1">
      <c r="A855" s="44"/>
      <c r="B855" s="44" t="s">
        <v>6637</v>
      </c>
      <c r="C855" s="50"/>
      <c r="D855" s="10" t="s">
        <v>29</v>
      </c>
      <c r="E855" s="11"/>
      <c r="F855" s="11" t="s">
        <v>18</v>
      </c>
      <c r="G855" s="13"/>
      <c r="H855" s="45" t="s">
        <v>16</v>
      </c>
      <c r="I855" s="47"/>
      <c r="J855" s="12" t="s">
        <v>3275</v>
      </c>
      <c r="K855" s="13" t="s">
        <v>7625</v>
      </c>
      <c r="L855" s="99" t="str">
        <f t="shared" si="77"/>
        <v>W1230.6</v>
      </c>
      <c r="M855" s="13"/>
      <c r="N855" s="13"/>
      <c r="O855" s="13"/>
      <c r="P855" s="47"/>
      <c r="Q855" s="45"/>
      <c r="R855" s="45"/>
      <c r="S855" s="48"/>
      <c r="T855" s="49" t="str">
        <f t="shared" si="75"/>
        <v>[W1230.6]</v>
      </c>
      <c r="U855" s="12" t="str">
        <f t="shared" si="76"/>
        <v/>
      </c>
      <c r="V855" s="49" t="str">
        <f t="shared" si="78"/>
        <v>[W1230.6]</v>
      </c>
    </row>
    <row r="856" spans="1:22" s="49" customFormat="1" ht="14.15" customHeight="1">
      <c r="A856" s="44"/>
      <c r="B856" s="44" t="s">
        <v>6637</v>
      </c>
      <c r="C856" s="50"/>
      <c r="D856" s="10" t="s">
        <v>29</v>
      </c>
      <c r="E856" s="11"/>
      <c r="F856" s="11" t="s">
        <v>18</v>
      </c>
      <c r="G856" s="13"/>
      <c r="H856" s="45" t="s">
        <v>16</v>
      </c>
      <c r="I856" s="47"/>
      <c r="J856" s="12" t="s">
        <v>3276</v>
      </c>
      <c r="K856" s="13" t="s">
        <v>7626</v>
      </c>
      <c r="L856" s="99" t="str">
        <f t="shared" si="77"/>
        <v>W1230.7</v>
      </c>
      <c r="M856" s="13"/>
      <c r="N856" s="13"/>
      <c r="O856" s="13"/>
      <c r="P856" s="47"/>
      <c r="Q856" s="45"/>
      <c r="R856" s="45"/>
      <c r="S856" s="48"/>
      <c r="T856" s="49" t="str">
        <f t="shared" si="75"/>
        <v>[W1230.7]</v>
      </c>
      <c r="U856" s="12" t="str">
        <f t="shared" si="76"/>
        <v/>
      </c>
      <c r="V856" s="49" t="str">
        <f t="shared" si="78"/>
        <v>[W1230.7]</v>
      </c>
    </row>
    <row r="857" spans="1:22" s="49" customFormat="1" ht="14.15" customHeight="1">
      <c r="A857" s="44"/>
      <c r="B857" s="44" t="s">
        <v>6637</v>
      </c>
      <c r="C857" s="50"/>
      <c r="D857" s="10" t="s">
        <v>29</v>
      </c>
      <c r="E857" s="11"/>
      <c r="F857" s="11" t="s">
        <v>18</v>
      </c>
      <c r="G857" s="13"/>
      <c r="H857" s="45" t="s">
        <v>16</v>
      </c>
      <c r="I857" s="47"/>
      <c r="J857" s="12" t="s">
        <v>3277</v>
      </c>
      <c r="K857" s="13" t="s">
        <v>7627</v>
      </c>
      <c r="L857" s="99" t="str">
        <f t="shared" si="77"/>
        <v>W1230.8</v>
      </c>
      <c r="M857" s="13"/>
      <c r="N857" s="13"/>
      <c r="O857" s="13"/>
      <c r="P857" s="47"/>
      <c r="Q857" s="45"/>
      <c r="R857" s="45"/>
      <c r="S857" s="48"/>
      <c r="T857" s="49" t="str">
        <f t="shared" si="75"/>
        <v>[W1230.8]</v>
      </c>
      <c r="U857" s="12" t="str">
        <f t="shared" si="76"/>
        <v/>
      </c>
      <c r="V857" s="49" t="str">
        <f t="shared" si="78"/>
        <v>[W1230.8]</v>
      </c>
    </row>
    <row r="858" spans="1:22" s="49" customFormat="1" ht="14.15" customHeight="1">
      <c r="A858" s="44"/>
      <c r="B858" s="44" t="s">
        <v>6637</v>
      </c>
      <c r="C858" s="50"/>
      <c r="D858" s="10" t="s">
        <v>29</v>
      </c>
      <c r="E858" s="11"/>
      <c r="F858" s="11" t="s">
        <v>18</v>
      </c>
      <c r="G858" s="13"/>
      <c r="H858" s="45" t="s">
        <v>16</v>
      </c>
      <c r="I858" s="47"/>
      <c r="J858" s="12" t="s">
        <v>3278</v>
      </c>
      <c r="K858" s="13" t="s">
        <v>7628</v>
      </c>
      <c r="L858" s="99" t="str">
        <f t="shared" si="77"/>
        <v>W1230.9</v>
      </c>
      <c r="M858" s="13"/>
      <c r="N858" s="13"/>
      <c r="O858" s="13"/>
      <c r="P858" s="47"/>
      <c r="Q858" s="45"/>
      <c r="R858" s="45"/>
      <c r="S858" s="48"/>
      <c r="T858" s="49" t="str">
        <f t="shared" si="75"/>
        <v>[W1230.9]</v>
      </c>
      <c r="U858" s="12" t="str">
        <f t="shared" si="76"/>
        <v/>
      </c>
      <c r="V858" s="49" t="str">
        <f t="shared" si="78"/>
        <v>[W1230.9]</v>
      </c>
    </row>
    <row r="859" spans="1:22" s="49" customFormat="1" ht="14.15" customHeight="1">
      <c r="A859" s="44"/>
      <c r="B859" s="44" t="s">
        <v>6637</v>
      </c>
      <c r="C859" s="50"/>
      <c r="D859" s="10" t="s">
        <v>29</v>
      </c>
      <c r="E859" s="11"/>
      <c r="F859" s="11" t="s">
        <v>18</v>
      </c>
      <c r="G859" s="13"/>
      <c r="H859" s="45" t="s">
        <v>16</v>
      </c>
      <c r="I859" s="47"/>
      <c r="J859" s="12" t="s">
        <v>3279</v>
      </c>
      <c r="K859" s="13" t="s">
        <v>7629</v>
      </c>
      <c r="L859" s="99" t="str">
        <f t="shared" si="77"/>
        <v>W1230.A</v>
      </c>
      <c r="M859" s="13"/>
      <c r="N859" s="13"/>
      <c r="O859" s="13"/>
      <c r="P859" s="47"/>
      <c r="Q859" s="45"/>
      <c r="R859" s="45"/>
      <c r="S859" s="48"/>
      <c r="T859" s="49" t="str">
        <f t="shared" si="75"/>
        <v>[W1230.A]</v>
      </c>
      <c r="U859" s="12" t="str">
        <f t="shared" si="76"/>
        <v/>
      </c>
      <c r="V859" s="49" t="str">
        <f t="shared" si="78"/>
        <v>[W1230.A]</v>
      </c>
    </row>
    <row r="860" spans="1:22" s="49" customFormat="1" ht="14.15" customHeight="1">
      <c r="A860" s="44"/>
      <c r="B860" s="44" t="s">
        <v>6637</v>
      </c>
      <c r="C860" s="50"/>
      <c r="D860" s="10" t="s">
        <v>29</v>
      </c>
      <c r="E860" s="11"/>
      <c r="F860" s="11" t="s">
        <v>18</v>
      </c>
      <c r="G860" s="13"/>
      <c r="H860" s="45" t="s">
        <v>16</v>
      </c>
      <c r="I860" s="47"/>
      <c r="J860" s="12" t="s">
        <v>3280</v>
      </c>
      <c r="K860" s="13" t="s">
        <v>7630</v>
      </c>
      <c r="L860" s="99" t="str">
        <f t="shared" si="77"/>
        <v>W1230.B</v>
      </c>
      <c r="M860" s="13"/>
      <c r="N860" s="13"/>
      <c r="O860" s="13"/>
      <c r="P860" s="47"/>
      <c r="Q860" s="45"/>
      <c r="R860" s="45"/>
      <c r="S860" s="48"/>
      <c r="T860" s="49" t="str">
        <f t="shared" si="75"/>
        <v>[W1230.B]</v>
      </c>
      <c r="U860" s="12" t="str">
        <f t="shared" si="76"/>
        <v/>
      </c>
      <c r="V860" s="49" t="str">
        <f t="shared" si="78"/>
        <v>[W1230.B]</v>
      </c>
    </row>
    <row r="861" spans="1:22" s="49" customFormat="1" ht="14.15" customHeight="1">
      <c r="A861" s="44"/>
      <c r="B861" s="44" t="s">
        <v>6637</v>
      </c>
      <c r="C861" s="50"/>
      <c r="D861" s="10" t="s">
        <v>29</v>
      </c>
      <c r="E861" s="11"/>
      <c r="F861" s="11" t="s">
        <v>18</v>
      </c>
      <c r="G861" s="13"/>
      <c r="H861" s="45" t="s">
        <v>16</v>
      </c>
      <c r="I861" s="47"/>
      <c r="J861" s="12" t="s">
        <v>3251</v>
      </c>
      <c r="K861" s="13" t="s">
        <v>7631</v>
      </c>
      <c r="L861" s="99" t="str">
        <f t="shared" si="77"/>
        <v>W1230.C</v>
      </c>
      <c r="M861" s="13"/>
      <c r="N861" s="13"/>
      <c r="O861" s="13"/>
      <c r="P861" s="47"/>
      <c r="Q861" s="45"/>
      <c r="R861" s="45"/>
      <c r="S861" s="48"/>
      <c r="T861" s="49" t="str">
        <f t="shared" si="75"/>
        <v>[W1230.C]</v>
      </c>
      <c r="U861" s="12" t="str">
        <f t="shared" si="76"/>
        <v/>
      </c>
      <c r="V861" s="49" t="str">
        <f t="shared" si="78"/>
        <v>[W1230.C]</v>
      </c>
    </row>
    <row r="862" spans="1:22" s="49" customFormat="1" ht="14.15" customHeight="1">
      <c r="A862" s="44"/>
      <c r="B862" s="44" t="s">
        <v>6637</v>
      </c>
      <c r="C862" s="50"/>
      <c r="D862" s="10" t="s">
        <v>29</v>
      </c>
      <c r="E862" s="11"/>
      <c r="F862" s="11" t="s">
        <v>18</v>
      </c>
      <c r="G862" s="13"/>
      <c r="H862" s="45" t="s">
        <v>16</v>
      </c>
      <c r="I862" s="47"/>
      <c r="J862" s="12" t="s">
        <v>3281</v>
      </c>
      <c r="K862" s="13" t="s">
        <v>7632</v>
      </c>
      <c r="L862" s="99" t="str">
        <f t="shared" si="77"/>
        <v>W1230.D</v>
      </c>
      <c r="M862" s="13"/>
      <c r="N862" s="13"/>
      <c r="O862" s="13"/>
      <c r="P862" s="47"/>
      <c r="Q862" s="45"/>
      <c r="R862" s="45"/>
      <c r="S862" s="48"/>
      <c r="T862" s="49" t="str">
        <f t="shared" si="75"/>
        <v>[W1230.D]</v>
      </c>
      <c r="U862" s="12" t="str">
        <f t="shared" si="76"/>
        <v/>
      </c>
      <c r="V862" s="49" t="str">
        <f t="shared" si="78"/>
        <v>[W1230.D]</v>
      </c>
    </row>
    <row r="863" spans="1:22" s="49" customFormat="1" ht="14.15" customHeight="1">
      <c r="A863" s="44"/>
      <c r="B863" s="44" t="s">
        <v>6637</v>
      </c>
      <c r="C863" s="50"/>
      <c r="D863" s="10" t="s">
        <v>29</v>
      </c>
      <c r="E863" s="11"/>
      <c r="F863" s="11" t="s">
        <v>18</v>
      </c>
      <c r="G863" s="13"/>
      <c r="H863" s="45" t="s">
        <v>16</v>
      </c>
      <c r="I863" s="47"/>
      <c r="J863" s="12" t="s">
        <v>3282</v>
      </c>
      <c r="K863" s="13" t="s">
        <v>7633</v>
      </c>
      <c r="L863" s="99" t="str">
        <f t="shared" si="77"/>
        <v>W1230.E</v>
      </c>
      <c r="M863" s="13"/>
      <c r="N863" s="13"/>
      <c r="O863" s="13"/>
      <c r="P863" s="47"/>
      <c r="Q863" s="45"/>
      <c r="R863" s="45"/>
      <c r="S863" s="48"/>
      <c r="T863" s="49" t="str">
        <f t="shared" si="75"/>
        <v>[W1230.E]</v>
      </c>
      <c r="U863" s="12" t="str">
        <f t="shared" si="76"/>
        <v/>
      </c>
      <c r="V863" s="49" t="str">
        <f t="shared" si="78"/>
        <v>[W1230.E]</v>
      </c>
    </row>
    <row r="864" spans="1:22" s="49" customFormat="1" ht="14.15" customHeight="1">
      <c r="A864" s="44"/>
      <c r="B864" s="44" t="s">
        <v>6637</v>
      </c>
      <c r="C864" s="50"/>
      <c r="D864" s="10" t="s">
        <v>29</v>
      </c>
      <c r="E864" s="11"/>
      <c r="F864" s="11" t="s">
        <v>18</v>
      </c>
      <c r="G864" s="13"/>
      <c r="H864" s="45" t="s">
        <v>16</v>
      </c>
      <c r="I864" s="47"/>
      <c r="J864" s="12" t="s">
        <v>3283</v>
      </c>
      <c r="K864" s="13" t="s">
        <v>7634</v>
      </c>
      <c r="L864" s="99" t="str">
        <f t="shared" si="77"/>
        <v>W1230.F</v>
      </c>
      <c r="M864" s="13"/>
      <c r="N864" s="13"/>
      <c r="O864" s="13"/>
      <c r="P864" s="47"/>
      <c r="Q864" s="45"/>
      <c r="R864" s="45"/>
      <c r="S864" s="48"/>
      <c r="T864" s="49" t="str">
        <f t="shared" si="75"/>
        <v>[W1230.F]</v>
      </c>
      <c r="U864" s="12" t="str">
        <f t="shared" si="76"/>
        <v/>
      </c>
      <c r="V864" s="49" t="str">
        <f t="shared" si="78"/>
        <v>[W1230.F]</v>
      </c>
    </row>
    <row r="865" spans="1:22" s="49" customFormat="1" ht="14.15" customHeight="1">
      <c r="A865" s="44"/>
      <c r="B865" s="44" t="s">
        <v>6637</v>
      </c>
      <c r="C865" s="50"/>
      <c r="D865" s="10" t="s">
        <v>29</v>
      </c>
      <c r="E865" s="11"/>
      <c r="F865" s="11" t="s">
        <v>18</v>
      </c>
      <c r="G865" s="13"/>
      <c r="H865" s="45" t="s">
        <v>16</v>
      </c>
      <c r="I865" s="47"/>
      <c r="J865" s="12" t="s">
        <v>3284</v>
      </c>
      <c r="K865" s="13" t="s">
        <v>7635</v>
      </c>
      <c r="L865" s="99" t="str">
        <f t="shared" si="77"/>
        <v>W1231.0</v>
      </c>
      <c r="M865" s="13"/>
      <c r="N865" s="13"/>
      <c r="O865" s="13"/>
      <c r="P865" s="47"/>
      <c r="Q865" s="45"/>
      <c r="R865" s="45"/>
      <c r="S865" s="48"/>
      <c r="T865" s="49" t="str">
        <f t="shared" si="75"/>
        <v>[W1231.0]</v>
      </c>
      <c r="U865" s="12" t="str">
        <f t="shared" si="76"/>
        <v/>
      </c>
      <c r="V865" s="49" t="str">
        <f t="shared" si="78"/>
        <v>[W1231.0]</v>
      </c>
    </row>
    <row r="866" spans="1:22" s="49" customFormat="1" ht="14.15" customHeight="1">
      <c r="A866" s="44"/>
      <c r="B866" s="44" t="s">
        <v>6637</v>
      </c>
      <c r="C866" s="50"/>
      <c r="D866" s="10" t="s">
        <v>29</v>
      </c>
      <c r="E866" s="11"/>
      <c r="F866" s="11" t="s">
        <v>18</v>
      </c>
      <c r="G866" s="13"/>
      <c r="H866" s="45" t="s">
        <v>16</v>
      </c>
      <c r="I866" s="47"/>
      <c r="J866" s="12" t="s">
        <v>3285</v>
      </c>
      <c r="K866" s="13" t="s">
        <v>7636</v>
      </c>
      <c r="L866" s="99" t="str">
        <f t="shared" si="77"/>
        <v>W1231.1</v>
      </c>
      <c r="M866" s="13"/>
      <c r="N866" s="13"/>
      <c r="O866" s="13"/>
      <c r="P866" s="47"/>
      <c r="Q866" s="45"/>
      <c r="R866" s="45"/>
      <c r="S866" s="48"/>
      <c r="T866" s="49" t="str">
        <f t="shared" si="75"/>
        <v>[W1231.1]</v>
      </c>
      <c r="U866" s="12" t="str">
        <f t="shared" si="76"/>
        <v/>
      </c>
      <c r="V866" s="49" t="str">
        <f t="shared" si="78"/>
        <v>[W1231.1]</v>
      </c>
    </row>
    <row r="867" spans="1:22" s="49" customFormat="1" ht="14.15" customHeight="1">
      <c r="A867" s="44"/>
      <c r="B867" s="44" t="s">
        <v>6637</v>
      </c>
      <c r="C867" s="50"/>
      <c r="D867" s="10" t="s">
        <v>29</v>
      </c>
      <c r="E867" s="11"/>
      <c r="F867" s="11" t="s">
        <v>18</v>
      </c>
      <c r="G867" s="13"/>
      <c r="H867" s="45" t="s">
        <v>16</v>
      </c>
      <c r="I867" s="47"/>
      <c r="J867" s="12" t="s">
        <v>3286</v>
      </c>
      <c r="K867" s="13" t="s">
        <v>7637</v>
      </c>
      <c r="L867" s="99" t="str">
        <f t="shared" si="77"/>
        <v>W1231.2</v>
      </c>
      <c r="M867" s="13"/>
      <c r="N867" s="13"/>
      <c r="O867" s="13"/>
      <c r="P867" s="47"/>
      <c r="Q867" s="45"/>
      <c r="R867" s="45"/>
      <c r="S867" s="48"/>
      <c r="T867" s="49" t="str">
        <f t="shared" si="75"/>
        <v>[W1231.2]</v>
      </c>
      <c r="U867" s="12" t="str">
        <f t="shared" si="76"/>
        <v/>
      </c>
      <c r="V867" s="49" t="str">
        <f t="shared" si="78"/>
        <v>[W1231.2]</v>
      </c>
    </row>
    <row r="868" spans="1:22" s="49" customFormat="1" ht="14.15" customHeight="1">
      <c r="A868" s="44"/>
      <c r="B868" s="44" t="s">
        <v>6637</v>
      </c>
      <c r="C868" s="50"/>
      <c r="D868" s="10" t="s">
        <v>29</v>
      </c>
      <c r="E868" s="11"/>
      <c r="F868" s="11" t="s">
        <v>18</v>
      </c>
      <c r="G868" s="13"/>
      <c r="H868" s="45" t="s">
        <v>16</v>
      </c>
      <c r="I868" s="47"/>
      <c r="J868" s="12" t="s">
        <v>3287</v>
      </c>
      <c r="K868" s="13" t="s">
        <v>7638</v>
      </c>
      <c r="L868" s="99" t="str">
        <f t="shared" si="77"/>
        <v>W1231.3</v>
      </c>
      <c r="M868" s="13"/>
      <c r="N868" s="13"/>
      <c r="O868" s="13"/>
      <c r="P868" s="47"/>
      <c r="Q868" s="45"/>
      <c r="R868" s="45"/>
      <c r="S868" s="48"/>
      <c r="T868" s="49" t="str">
        <f t="shared" si="75"/>
        <v>[W1231.3]</v>
      </c>
      <c r="U868" s="12" t="str">
        <f t="shared" si="76"/>
        <v/>
      </c>
      <c r="V868" s="49" t="str">
        <f t="shared" si="78"/>
        <v>[W1231.3]</v>
      </c>
    </row>
    <row r="869" spans="1:22" s="49" customFormat="1" ht="14.15" customHeight="1">
      <c r="A869" s="44"/>
      <c r="B869" s="44" t="s">
        <v>6637</v>
      </c>
      <c r="C869" s="50"/>
      <c r="D869" s="10" t="s">
        <v>29</v>
      </c>
      <c r="E869" s="11"/>
      <c r="F869" s="11" t="s">
        <v>18</v>
      </c>
      <c r="G869" s="13"/>
      <c r="H869" s="45" t="s">
        <v>16</v>
      </c>
      <c r="I869" s="47"/>
      <c r="J869" s="12" t="s">
        <v>3288</v>
      </c>
      <c r="K869" s="13" t="s">
        <v>7639</v>
      </c>
      <c r="L869" s="99" t="str">
        <f t="shared" si="77"/>
        <v>W1231.4</v>
      </c>
      <c r="M869" s="13"/>
      <c r="N869" s="13"/>
      <c r="O869" s="13"/>
      <c r="P869" s="47"/>
      <c r="Q869" s="45"/>
      <c r="R869" s="45"/>
      <c r="S869" s="48"/>
      <c r="T869" s="49" t="str">
        <f>"["&amp;L839&amp;"]"</f>
        <v>[W122F.6]</v>
      </c>
      <c r="U869" s="12" t="str">
        <f>RIGHT(J839,LEN(J839)-7)</f>
        <v/>
      </c>
      <c r="V869" s="49" t="str">
        <f>T839&amp;U839</f>
        <v>[W122F.6]</v>
      </c>
    </row>
    <row r="870" spans="1:22" s="49" customFormat="1" ht="14.15" customHeight="1">
      <c r="A870" s="44"/>
      <c r="B870" s="44" t="s">
        <v>6637</v>
      </c>
      <c r="C870" s="50"/>
      <c r="D870" s="10" t="s">
        <v>29</v>
      </c>
      <c r="E870" s="11"/>
      <c r="F870" s="11" t="s">
        <v>18</v>
      </c>
      <c r="G870" s="13"/>
      <c r="H870" s="45" t="s">
        <v>16</v>
      </c>
      <c r="I870" s="47"/>
      <c r="J870" s="12" t="s">
        <v>698</v>
      </c>
      <c r="K870" s="13" t="s">
        <v>7640</v>
      </c>
      <c r="L870" s="99" t="str">
        <f t="shared" si="77"/>
        <v>W1231.5</v>
      </c>
      <c r="M870" s="13" t="s">
        <v>3666</v>
      </c>
      <c r="N870" s="13"/>
      <c r="O870" s="13"/>
      <c r="P870" s="47"/>
      <c r="Q870" s="45"/>
      <c r="R870" s="45"/>
      <c r="S870" s="48"/>
      <c r="T870" s="49" t="str">
        <f t="shared" ref="T870:T901" si="79">"["&amp;L870&amp;"]"</f>
        <v>[W1231.5]</v>
      </c>
      <c r="U870" s="12" t="str">
        <f t="shared" ref="U870:U901" si="80">RIGHT(J870,LEN(J870)-7)</f>
        <v xml:space="preserve"> OP#1 서보 비상정지 알람</v>
      </c>
      <c r="V870" s="49" t="str">
        <f t="shared" si="78"/>
        <v>[W1231.5] OP#1 서보 비상정지 알람</v>
      </c>
    </row>
    <row r="871" spans="1:22" s="49" customFormat="1" ht="14.15" customHeight="1">
      <c r="A871" s="44"/>
      <c r="B871" s="44" t="s">
        <v>6637</v>
      </c>
      <c r="C871" s="50"/>
      <c r="D871" s="10" t="s">
        <v>29</v>
      </c>
      <c r="E871" s="11"/>
      <c r="F871" s="11" t="s">
        <v>18</v>
      </c>
      <c r="G871" s="13"/>
      <c r="H871" s="45" t="s">
        <v>16</v>
      </c>
      <c r="I871" s="47"/>
      <c r="J871" s="12" t="s">
        <v>699</v>
      </c>
      <c r="K871" s="13" t="s">
        <v>7641</v>
      </c>
      <c r="L871" s="99" t="str">
        <f t="shared" si="77"/>
        <v>W1231.6</v>
      </c>
      <c r="M871" s="13" t="s">
        <v>3666</v>
      </c>
      <c r="N871" s="13"/>
      <c r="O871" s="13"/>
      <c r="P871" s="47"/>
      <c r="Q871" s="45"/>
      <c r="R871" s="45"/>
      <c r="S871" s="48"/>
      <c r="T871" s="49" t="str">
        <f t="shared" si="79"/>
        <v>[W1231.6]</v>
      </c>
      <c r="U871" s="12" t="str">
        <f t="shared" si="80"/>
        <v xml:space="preserve"> OP#2 서보 비상정지 알람</v>
      </c>
      <c r="V871" s="49" t="str">
        <f t="shared" si="78"/>
        <v>[W1231.6] OP#2 서보 비상정지 알람</v>
      </c>
    </row>
    <row r="872" spans="1:22" s="49" customFormat="1" ht="14.15" customHeight="1">
      <c r="A872" s="44"/>
      <c r="B872" s="44" t="s">
        <v>6637</v>
      </c>
      <c r="C872" s="50"/>
      <c r="D872" s="10" t="s">
        <v>29</v>
      </c>
      <c r="E872" s="11"/>
      <c r="F872" s="11" t="s">
        <v>18</v>
      </c>
      <c r="G872" s="13"/>
      <c r="H872" s="45" t="s">
        <v>16</v>
      </c>
      <c r="I872" s="47"/>
      <c r="J872" s="12" t="s">
        <v>2386</v>
      </c>
      <c r="K872" s="13" t="s">
        <v>7642</v>
      </c>
      <c r="L872" s="99" t="str">
        <f t="shared" si="77"/>
        <v>W1231.7</v>
      </c>
      <c r="M872" s="13" t="s">
        <v>3666</v>
      </c>
      <c r="N872" s="13"/>
      <c r="O872" s="13"/>
      <c r="P872" s="47"/>
      <c r="Q872" s="45"/>
      <c r="R872" s="45"/>
      <c r="S872" s="48"/>
      <c r="T872" s="49" t="str">
        <f t="shared" si="79"/>
        <v>[W1231.7]</v>
      </c>
      <c r="U872" s="12" t="str">
        <f t="shared" si="80"/>
        <v xml:space="preserve"> OP#3 서보 비상정지 알람</v>
      </c>
      <c r="V872" s="49" t="str">
        <f t="shared" si="78"/>
        <v>[W1231.7] OP#3 서보 비상정지 알람</v>
      </c>
    </row>
    <row r="873" spans="1:22" s="49" customFormat="1" ht="14.15" customHeight="1">
      <c r="A873" s="44"/>
      <c r="B873" s="44" t="s">
        <v>6637</v>
      </c>
      <c r="C873" s="50"/>
      <c r="D873" s="10" t="s">
        <v>29</v>
      </c>
      <c r="E873" s="11"/>
      <c r="F873" s="11" t="s">
        <v>18</v>
      </c>
      <c r="G873" s="13"/>
      <c r="H873" s="45" t="s">
        <v>16</v>
      </c>
      <c r="I873" s="47"/>
      <c r="J873" s="12" t="s">
        <v>2387</v>
      </c>
      <c r="K873" s="13" t="s">
        <v>7643</v>
      </c>
      <c r="L873" s="99" t="str">
        <f t="shared" si="77"/>
        <v>W1231.8</v>
      </c>
      <c r="M873" s="13" t="s">
        <v>3666</v>
      </c>
      <c r="N873" s="13"/>
      <c r="O873" s="13"/>
      <c r="P873" s="47"/>
      <c r="Q873" s="45"/>
      <c r="R873" s="45"/>
      <c r="S873" s="48"/>
      <c r="T873" s="49" t="str">
        <f t="shared" si="79"/>
        <v>[W1231.8]</v>
      </c>
      <c r="U873" s="12" t="str">
        <f t="shared" si="80"/>
        <v xml:space="preserve"> OP#4 서보 비상정지 알람</v>
      </c>
      <c r="V873" s="49" t="str">
        <f t="shared" si="78"/>
        <v>[W1231.8] OP#4 서보 비상정지 알람</v>
      </c>
    </row>
    <row r="874" spans="1:22" s="49" customFormat="1" ht="14.15" customHeight="1">
      <c r="A874" s="44"/>
      <c r="B874" s="44" t="s">
        <v>6637</v>
      </c>
      <c r="C874" s="50"/>
      <c r="D874" s="10" t="s">
        <v>29</v>
      </c>
      <c r="E874" s="11"/>
      <c r="F874" s="11" t="s">
        <v>18</v>
      </c>
      <c r="G874" s="13"/>
      <c r="H874" s="45" t="s">
        <v>16</v>
      </c>
      <c r="I874" s="47"/>
      <c r="J874" s="12" t="s">
        <v>3289</v>
      </c>
      <c r="K874" s="13" t="s">
        <v>7644</v>
      </c>
      <c r="L874" s="99" t="str">
        <f t="shared" si="77"/>
        <v>W1231.9</v>
      </c>
      <c r="M874" s="13"/>
      <c r="N874" s="13"/>
      <c r="O874" s="13"/>
      <c r="P874" s="47"/>
      <c r="Q874" s="45"/>
      <c r="R874" s="45"/>
      <c r="S874" s="48"/>
      <c r="T874" s="49" t="str">
        <f t="shared" si="79"/>
        <v>[W1231.9]</v>
      </c>
      <c r="U874" s="12" t="str">
        <f t="shared" si="80"/>
        <v/>
      </c>
      <c r="V874" s="49" t="str">
        <f t="shared" si="78"/>
        <v>[W1231.9]</v>
      </c>
    </row>
    <row r="875" spans="1:22" s="49" customFormat="1" ht="14.15" customHeight="1">
      <c r="A875" s="44"/>
      <c r="B875" s="44" t="s">
        <v>6637</v>
      </c>
      <c r="C875" s="50"/>
      <c r="D875" s="10" t="s">
        <v>29</v>
      </c>
      <c r="E875" s="11"/>
      <c r="F875" s="11" t="s">
        <v>18</v>
      </c>
      <c r="G875" s="13"/>
      <c r="H875" s="45" t="s">
        <v>16</v>
      </c>
      <c r="I875" s="47"/>
      <c r="J875" s="12" t="s">
        <v>3290</v>
      </c>
      <c r="K875" s="13" t="s">
        <v>7645</v>
      </c>
      <c r="L875" s="99" t="str">
        <f t="shared" si="77"/>
        <v>W1231.A</v>
      </c>
      <c r="M875" s="13"/>
      <c r="N875" s="13"/>
      <c r="O875" s="13"/>
      <c r="P875" s="47"/>
      <c r="Q875" s="45"/>
      <c r="R875" s="45"/>
      <c r="S875" s="48"/>
      <c r="T875" s="49" t="str">
        <f t="shared" si="79"/>
        <v>[W1231.A]</v>
      </c>
      <c r="U875" s="12" t="str">
        <f t="shared" si="80"/>
        <v/>
      </c>
      <c r="V875" s="49" t="str">
        <f t="shared" si="78"/>
        <v>[W1231.A]</v>
      </c>
    </row>
    <row r="876" spans="1:22" s="49" customFormat="1" ht="14.15" customHeight="1">
      <c r="A876" s="44"/>
      <c r="B876" s="44" t="s">
        <v>6637</v>
      </c>
      <c r="C876" s="50"/>
      <c r="D876" s="10" t="s">
        <v>29</v>
      </c>
      <c r="E876" s="11"/>
      <c r="F876" s="11" t="s">
        <v>18</v>
      </c>
      <c r="G876" s="13"/>
      <c r="H876" s="45" t="s">
        <v>16</v>
      </c>
      <c r="I876" s="47"/>
      <c r="J876" s="12" t="s">
        <v>3291</v>
      </c>
      <c r="K876" s="13" t="s">
        <v>7646</v>
      </c>
      <c r="L876" s="99" t="str">
        <f t="shared" si="77"/>
        <v>W1231.B</v>
      </c>
      <c r="M876" s="13"/>
      <c r="N876" s="13"/>
      <c r="O876" s="13"/>
      <c r="P876" s="47"/>
      <c r="Q876" s="45"/>
      <c r="R876" s="45"/>
      <c r="S876" s="48"/>
      <c r="T876" s="49" t="str">
        <f t="shared" si="79"/>
        <v>[W1231.B]</v>
      </c>
      <c r="U876" s="12" t="str">
        <f t="shared" si="80"/>
        <v/>
      </c>
      <c r="V876" s="49" t="str">
        <f t="shared" si="78"/>
        <v>[W1231.B]</v>
      </c>
    </row>
    <row r="877" spans="1:22" s="49" customFormat="1" ht="14.15" customHeight="1">
      <c r="A877" s="44"/>
      <c r="B877" s="44" t="s">
        <v>6637</v>
      </c>
      <c r="C877" s="50"/>
      <c r="D877" s="10" t="s">
        <v>29</v>
      </c>
      <c r="E877" s="11"/>
      <c r="F877" s="11" t="s">
        <v>18</v>
      </c>
      <c r="G877" s="13"/>
      <c r="H877" s="45" t="s">
        <v>16</v>
      </c>
      <c r="I877" s="47"/>
      <c r="J877" s="12" t="s">
        <v>3292</v>
      </c>
      <c r="K877" s="13" t="s">
        <v>7647</v>
      </c>
      <c r="L877" s="99" t="str">
        <f t="shared" si="77"/>
        <v>W1231.C</v>
      </c>
      <c r="M877" s="13"/>
      <c r="N877" s="13"/>
      <c r="O877" s="13"/>
      <c r="P877" s="47"/>
      <c r="Q877" s="45"/>
      <c r="R877" s="45"/>
      <c r="S877" s="48"/>
      <c r="T877" s="49" t="str">
        <f t="shared" si="79"/>
        <v>[W1231.C]</v>
      </c>
      <c r="U877" s="12" t="str">
        <f t="shared" si="80"/>
        <v/>
      </c>
      <c r="V877" s="49" t="str">
        <f t="shared" si="78"/>
        <v>[W1231.C]</v>
      </c>
    </row>
    <row r="878" spans="1:22" s="49" customFormat="1" ht="14.15" customHeight="1">
      <c r="A878" s="44"/>
      <c r="B878" s="44" t="s">
        <v>6637</v>
      </c>
      <c r="C878" s="50"/>
      <c r="D878" s="10" t="s">
        <v>29</v>
      </c>
      <c r="E878" s="11"/>
      <c r="F878" s="11" t="s">
        <v>18</v>
      </c>
      <c r="G878" s="13"/>
      <c r="H878" s="45" t="s">
        <v>16</v>
      </c>
      <c r="I878" s="47"/>
      <c r="J878" s="12" t="s">
        <v>3293</v>
      </c>
      <c r="K878" s="13" t="s">
        <v>7648</v>
      </c>
      <c r="L878" s="99" t="str">
        <f t="shared" si="77"/>
        <v>W1231.D</v>
      </c>
      <c r="M878" s="13"/>
      <c r="N878" s="13"/>
      <c r="O878" s="13"/>
      <c r="P878" s="47"/>
      <c r="Q878" s="45"/>
      <c r="R878" s="45"/>
      <c r="S878" s="48"/>
      <c r="T878" s="49" t="str">
        <f t="shared" si="79"/>
        <v>[W1231.D]</v>
      </c>
      <c r="U878" s="12" t="str">
        <f t="shared" si="80"/>
        <v/>
      </c>
      <c r="V878" s="49" t="str">
        <f t="shared" si="78"/>
        <v>[W1231.D]</v>
      </c>
    </row>
    <row r="879" spans="1:22" s="49" customFormat="1" ht="14.15" customHeight="1">
      <c r="A879" s="44"/>
      <c r="B879" s="44" t="s">
        <v>6637</v>
      </c>
      <c r="C879" s="50"/>
      <c r="D879" s="10" t="s">
        <v>29</v>
      </c>
      <c r="E879" s="11"/>
      <c r="F879" s="11" t="s">
        <v>18</v>
      </c>
      <c r="G879" s="13"/>
      <c r="H879" s="45" t="s">
        <v>16</v>
      </c>
      <c r="I879" s="47"/>
      <c r="J879" s="12" t="s">
        <v>3294</v>
      </c>
      <c r="K879" s="13" t="s">
        <v>7649</v>
      </c>
      <c r="L879" s="99" t="str">
        <f t="shared" si="77"/>
        <v>W1231.E</v>
      </c>
      <c r="M879" s="13"/>
      <c r="N879" s="13"/>
      <c r="O879" s="13"/>
      <c r="P879" s="47"/>
      <c r="Q879" s="45"/>
      <c r="R879" s="45"/>
      <c r="S879" s="48"/>
      <c r="T879" s="49" t="str">
        <f t="shared" si="79"/>
        <v>[W1231.E]</v>
      </c>
      <c r="U879" s="12" t="str">
        <f t="shared" si="80"/>
        <v/>
      </c>
      <c r="V879" s="49" t="str">
        <f t="shared" si="78"/>
        <v>[W1231.E]</v>
      </c>
    </row>
    <row r="880" spans="1:22" s="49" customFormat="1" ht="14.15" customHeight="1">
      <c r="A880" s="44"/>
      <c r="B880" s="44" t="s">
        <v>6637</v>
      </c>
      <c r="C880" s="50"/>
      <c r="D880" s="10" t="s">
        <v>29</v>
      </c>
      <c r="E880" s="11"/>
      <c r="F880" s="11" t="s">
        <v>18</v>
      </c>
      <c r="G880" s="13"/>
      <c r="H880" s="45" t="s">
        <v>16</v>
      </c>
      <c r="I880" s="47"/>
      <c r="J880" s="12" t="s">
        <v>3295</v>
      </c>
      <c r="K880" s="13" t="s">
        <v>7650</v>
      </c>
      <c r="L880" s="99" t="str">
        <f t="shared" si="77"/>
        <v>W1231.F</v>
      </c>
      <c r="M880" s="13"/>
      <c r="N880" s="13"/>
      <c r="O880" s="13"/>
      <c r="P880" s="47"/>
      <c r="Q880" s="45"/>
      <c r="R880" s="45"/>
      <c r="S880" s="48"/>
      <c r="T880" s="49" t="str">
        <f t="shared" si="79"/>
        <v>[W1231.F]</v>
      </c>
      <c r="U880" s="12" t="str">
        <f t="shared" si="80"/>
        <v/>
      </c>
      <c r="V880" s="49" t="str">
        <f t="shared" si="78"/>
        <v>[W1231.F]</v>
      </c>
    </row>
    <row r="881" spans="1:22" s="49" customFormat="1" ht="14.15" customHeight="1">
      <c r="A881" s="44"/>
      <c r="B881" s="44" t="s">
        <v>6637</v>
      </c>
      <c r="C881" s="50"/>
      <c r="D881" s="10" t="s">
        <v>29</v>
      </c>
      <c r="E881" s="11"/>
      <c r="F881" s="11" t="s">
        <v>18</v>
      </c>
      <c r="G881" s="13"/>
      <c r="H881" s="45" t="s">
        <v>16</v>
      </c>
      <c r="I881" s="47"/>
      <c r="J881" s="12" t="s">
        <v>3296</v>
      </c>
      <c r="K881" s="13" t="s">
        <v>7651</v>
      </c>
      <c r="L881" s="99" t="str">
        <f t="shared" si="77"/>
        <v>W1232.0</v>
      </c>
      <c r="M881" s="13"/>
      <c r="N881" s="13"/>
      <c r="O881" s="13"/>
      <c r="P881" s="47"/>
      <c r="Q881" s="45"/>
      <c r="R881" s="45"/>
      <c r="S881" s="48"/>
      <c r="T881" s="49" t="str">
        <f t="shared" si="79"/>
        <v>[W1232.0]</v>
      </c>
      <c r="U881" s="12" t="str">
        <f t="shared" si="80"/>
        <v/>
      </c>
      <c r="V881" s="49" t="str">
        <f t="shared" si="78"/>
        <v>[W1232.0]</v>
      </c>
    </row>
    <row r="882" spans="1:22" s="49" customFormat="1" ht="14.15" customHeight="1">
      <c r="A882" s="44"/>
      <c r="B882" s="44" t="s">
        <v>6637</v>
      </c>
      <c r="C882" s="50"/>
      <c r="D882" s="10" t="s">
        <v>29</v>
      </c>
      <c r="E882" s="11"/>
      <c r="F882" s="11" t="s">
        <v>18</v>
      </c>
      <c r="G882" s="13"/>
      <c r="H882" s="45" t="s">
        <v>16</v>
      </c>
      <c r="I882" s="47"/>
      <c r="J882" s="12" t="s">
        <v>3297</v>
      </c>
      <c r="K882" s="13" t="s">
        <v>7652</v>
      </c>
      <c r="L882" s="99" t="str">
        <f t="shared" si="77"/>
        <v>W1232.1</v>
      </c>
      <c r="M882" s="13"/>
      <c r="N882" s="13"/>
      <c r="O882" s="13"/>
      <c r="P882" s="47"/>
      <c r="Q882" s="45"/>
      <c r="R882" s="45"/>
      <c r="S882" s="48"/>
      <c r="T882" s="49" t="str">
        <f t="shared" si="79"/>
        <v>[W1232.1]</v>
      </c>
      <c r="U882" s="12" t="str">
        <f t="shared" si="80"/>
        <v/>
      </c>
      <c r="V882" s="49" t="str">
        <f t="shared" si="78"/>
        <v>[W1232.1]</v>
      </c>
    </row>
    <row r="883" spans="1:22" s="49" customFormat="1" ht="14.15" customHeight="1">
      <c r="A883" s="44"/>
      <c r="B883" s="44" t="s">
        <v>6637</v>
      </c>
      <c r="C883" s="50"/>
      <c r="D883" s="10" t="s">
        <v>29</v>
      </c>
      <c r="E883" s="11"/>
      <c r="F883" s="11" t="s">
        <v>18</v>
      </c>
      <c r="G883" s="13"/>
      <c r="H883" s="45" t="s">
        <v>16</v>
      </c>
      <c r="I883" s="47"/>
      <c r="J883" s="12" t="s">
        <v>3298</v>
      </c>
      <c r="K883" s="13" t="s">
        <v>7653</v>
      </c>
      <c r="L883" s="99" t="str">
        <f t="shared" si="77"/>
        <v>W1232.2</v>
      </c>
      <c r="M883" s="13"/>
      <c r="N883" s="13"/>
      <c r="O883" s="13"/>
      <c r="P883" s="47"/>
      <c r="Q883" s="45"/>
      <c r="R883" s="45"/>
      <c r="S883" s="48"/>
      <c r="T883" s="49" t="str">
        <f t="shared" si="79"/>
        <v>[W1232.2]</v>
      </c>
      <c r="U883" s="12" t="str">
        <f t="shared" si="80"/>
        <v/>
      </c>
      <c r="V883" s="49" t="str">
        <f t="shared" si="78"/>
        <v>[W1232.2]</v>
      </c>
    </row>
    <row r="884" spans="1:22" s="49" customFormat="1" ht="14.15" customHeight="1">
      <c r="A884" s="44"/>
      <c r="B884" s="44" t="s">
        <v>6637</v>
      </c>
      <c r="C884" s="50"/>
      <c r="D884" s="10" t="s">
        <v>29</v>
      </c>
      <c r="E884" s="11"/>
      <c r="F884" s="11" t="s">
        <v>18</v>
      </c>
      <c r="G884" s="13"/>
      <c r="H884" s="45" t="s">
        <v>16</v>
      </c>
      <c r="I884" s="47"/>
      <c r="J884" s="12" t="s">
        <v>3299</v>
      </c>
      <c r="K884" s="13" t="s">
        <v>7654</v>
      </c>
      <c r="L884" s="99" t="str">
        <f t="shared" si="77"/>
        <v>W1232.3</v>
      </c>
      <c r="M884" s="13"/>
      <c r="N884" s="13"/>
      <c r="O884" s="13"/>
      <c r="P884" s="47"/>
      <c r="Q884" s="45"/>
      <c r="R884" s="45"/>
      <c r="S884" s="48"/>
      <c r="T884" s="49" t="str">
        <f t="shared" si="79"/>
        <v>[W1232.3]</v>
      </c>
      <c r="U884" s="12" t="str">
        <f t="shared" si="80"/>
        <v/>
      </c>
      <c r="V884" s="49" t="str">
        <f t="shared" si="78"/>
        <v>[W1232.3]</v>
      </c>
    </row>
    <row r="885" spans="1:22" s="49" customFormat="1" ht="14.15" customHeight="1">
      <c r="A885" s="44"/>
      <c r="B885" s="44" t="s">
        <v>6637</v>
      </c>
      <c r="C885" s="50"/>
      <c r="D885" s="10" t="s">
        <v>29</v>
      </c>
      <c r="E885" s="11"/>
      <c r="F885" s="11" t="s">
        <v>18</v>
      </c>
      <c r="G885" s="13"/>
      <c r="H885" s="45" t="s">
        <v>16</v>
      </c>
      <c r="I885" s="47"/>
      <c r="J885" s="12" t="s">
        <v>3300</v>
      </c>
      <c r="K885" s="13" t="s">
        <v>7655</v>
      </c>
      <c r="L885" s="99" t="str">
        <f t="shared" si="77"/>
        <v>W1232.4</v>
      </c>
      <c r="M885" s="13"/>
      <c r="N885" s="13"/>
      <c r="O885" s="13"/>
      <c r="P885" s="47"/>
      <c r="Q885" s="45"/>
      <c r="R885" s="45"/>
      <c r="S885" s="48"/>
      <c r="T885" s="49" t="str">
        <f t="shared" si="79"/>
        <v>[W1232.4]</v>
      </c>
      <c r="U885" s="12" t="str">
        <f t="shared" si="80"/>
        <v/>
      </c>
      <c r="V885" s="49" t="str">
        <f t="shared" si="78"/>
        <v>[W1232.4]</v>
      </c>
    </row>
    <row r="886" spans="1:22" s="49" customFormat="1" ht="14.15" customHeight="1">
      <c r="A886" s="44"/>
      <c r="B886" s="44" t="s">
        <v>6637</v>
      </c>
      <c r="C886" s="50"/>
      <c r="D886" s="10" t="s">
        <v>29</v>
      </c>
      <c r="E886" s="11"/>
      <c r="F886" s="11" t="s">
        <v>18</v>
      </c>
      <c r="G886" s="13"/>
      <c r="H886" s="45" t="s">
        <v>16</v>
      </c>
      <c r="I886" s="47"/>
      <c r="J886" s="12" t="s">
        <v>3301</v>
      </c>
      <c r="K886" s="13" t="s">
        <v>7656</v>
      </c>
      <c r="L886" s="99" t="str">
        <f t="shared" si="77"/>
        <v>W1232.5</v>
      </c>
      <c r="M886" s="13"/>
      <c r="N886" s="13"/>
      <c r="O886" s="13"/>
      <c r="P886" s="47"/>
      <c r="Q886" s="45"/>
      <c r="R886" s="45"/>
      <c r="S886" s="48"/>
      <c r="T886" s="49" t="str">
        <f t="shared" si="79"/>
        <v>[W1232.5]</v>
      </c>
      <c r="U886" s="12" t="str">
        <f t="shared" si="80"/>
        <v/>
      </c>
      <c r="V886" s="49" t="str">
        <f t="shared" si="78"/>
        <v>[W1232.5]</v>
      </c>
    </row>
    <row r="887" spans="1:22" s="49" customFormat="1" ht="14.15" customHeight="1">
      <c r="A887" s="44"/>
      <c r="B887" s="44" t="s">
        <v>6637</v>
      </c>
      <c r="C887" s="50"/>
      <c r="D887" s="10" t="s">
        <v>29</v>
      </c>
      <c r="E887" s="11"/>
      <c r="F887" s="11" t="s">
        <v>18</v>
      </c>
      <c r="G887" s="13"/>
      <c r="H887" s="45" t="s">
        <v>16</v>
      </c>
      <c r="I887" s="47"/>
      <c r="J887" s="12" t="s">
        <v>3302</v>
      </c>
      <c r="K887" s="13" t="s">
        <v>7657</v>
      </c>
      <c r="L887" s="99" t="str">
        <f t="shared" si="77"/>
        <v>W1232.6</v>
      </c>
      <c r="M887" s="13"/>
      <c r="N887" s="13"/>
      <c r="O887" s="13"/>
      <c r="P887" s="47"/>
      <c r="Q887" s="45"/>
      <c r="R887" s="45"/>
      <c r="S887" s="48"/>
      <c r="T887" s="49" t="str">
        <f t="shared" si="79"/>
        <v>[W1232.6]</v>
      </c>
      <c r="U887" s="12" t="str">
        <f t="shared" si="80"/>
        <v/>
      </c>
      <c r="V887" s="49" t="str">
        <f t="shared" si="78"/>
        <v>[W1232.6]</v>
      </c>
    </row>
    <row r="888" spans="1:22" s="49" customFormat="1" ht="14.15" customHeight="1">
      <c r="A888" s="44"/>
      <c r="B888" s="44" t="s">
        <v>6637</v>
      </c>
      <c r="C888" s="50"/>
      <c r="D888" s="10" t="s">
        <v>29</v>
      </c>
      <c r="E888" s="11"/>
      <c r="F888" s="11" t="s">
        <v>18</v>
      </c>
      <c r="G888" s="13"/>
      <c r="H888" s="45" t="s">
        <v>16</v>
      </c>
      <c r="I888" s="47"/>
      <c r="J888" s="12" t="s">
        <v>3303</v>
      </c>
      <c r="K888" s="13" t="s">
        <v>7658</v>
      </c>
      <c r="L888" s="99" t="str">
        <f t="shared" si="77"/>
        <v>W1232.7</v>
      </c>
      <c r="M888" s="13"/>
      <c r="N888" s="13"/>
      <c r="O888" s="13"/>
      <c r="P888" s="47"/>
      <c r="Q888" s="45"/>
      <c r="R888" s="45"/>
      <c r="S888" s="48"/>
      <c r="T888" s="49" t="str">
        <f t="shared" si="79"/>
        <v>[W1232.7]</v>
      </c>
      <c r="U888" s="12" t="str">
        <f t="shared" si="80"/>
        <v/>
      </c>
      <c r="V888" s="49" t="str">
        <f t="shared" si="78"/>
        <v>[W1232.7]</v>
      </c>
    </row>
    <row r="889" spans="1:22" s="49" customFormat="1" ht="14.15" customHeight="1">
      <c r="A889" s="44"/>
      <c r="B889" s="44" t="s">
        <v>6637</v>
      </c>
      <c r="C889" s="50"/>
      <c r="D889" s="10" t="s">
        <v>29</v>
      </c>
      <c r="E889" s="11"/>
      <c r="F889" s="11" t="s">
        <v>18</v>
      </c>
      <c r="G889" s="13"/>
      <c r="H889" s="45" t="s">
        <v>16</v>
      </c>
      <c r="I889" s="47"/>
      <c r="J889" s="12" t="s">
        <v>3304</v>
      </c>
      <c r="K889" s="13" t="s">
        <v>7659</v>
      </c>
      <c r="L889" s="99" t="str">
        <f t="shared" si="77"/>
        <v>W1232.8</v>
      </c>
      <c r="M889" s="13"/>
      <c r="N889" s="13"/>
      <c r="O889" s="13"/>
      <c r="P889" s="47"/>
      <c r="Q889" s="45"/>
      <c r="R889" s="45"/>
      <c r="S889" s="48"/>
      <c r="T889" s="49" t="str">
        <f t="shared" si="79"/>
        <v>[W1232.8]</v>
      </c>
      <c r="U889" s="12" t="str">
        <f t="shared" si="80"/>
        <v/>
      </c>
      <c r="V889" s="49" t="str">
        <f t="shared" si="78"/>
        <v>[W1232.8]</v>
      </c>
    </row>
    <row r="890" spans="1:22" s="49" customFormat="1" ht="14.15" customHeight="1">
      <c r="A890" s="43" t="s">
        <v>3731</v>
      </c>
      <c r="B890" s="44" t="s">
        <v>6637</v>
      </c>
      <c r="C890" s="50"/>
      <c r="D890" s="10" t="s">
        <v>29</v>
      </c>
      <c r="E890" s="11"/>
      <c r="F890" s="11" t="s">
        <v>18</v>
      </c>
      <c r="G890" s="13"/>
      <c r="H890" s="45" t="s">
        <v>16</v>
      </c>
      <c r="I890" s="47"/>
      <c r="J890" s="12" t="s">
        <v>2388</v>
      </c>
      <c r="K890" s="13" t="s">
        <v>7660</v>
      </c>
      <c r="L890" s="99" t="str">
        <f t="shared" si="77"/>
        <v>W1232.9</v>
      </c>
      <c r="M890" s="13" t="s">
        <v>3667</v>
      </c>
      <c r="N890" s="13"/>
      <c r="O890" s="13"/>
      <c r="P890" s="47"/>
      <c r="Q890" s="45"/>
      <c r="R890" s="45"/>
      <c r="S890" s="48"/>
      <c r="T890" s="49" t="str">
        <f t="shared" si="79"/>
        <v>[W1232.9]</v>
      </c>
      <c r="U890" s="12" t="str">
        <f t="shared" si="80"/>
        <v xml:space="preserve"> 어퍼 스테이지#1 제품 배출 시간초과</v>
      </c>
      <c r="V890" s="49" t="str">
        <f t="shared" si="78"/>
        <v>[W1232.9] 어퍼 스테이지#1 제품 배출 시간초과</v>
      </c>
    </row>
    <row r="891" spans="1:22" s="49" customFormat="1" ht="14.15" customHeight="1">
      <c r="A891" s="44"/>
      <c r="B891" s="44" t="s">
        <v>6637</v>
      </c>
      <c r="C891" s="50"/>
      <c r="D891" s="10" t="s">
        <v>29</v>
      </c>
      <c r="E891" s="11"/>
      <c r="F891" s="11" t="s">
        <v>18</v>
      </c>
      <c r="G891" s="13"/>
      <c r="H891" s="45" t="s">
        <v>16</v>
      </c>
      <c r="I891" s="47"/>
      <c r="J891" s="12" t="s">
        <v>719</v>
      </c>
      <c r="K891" s="13" t="s">
        <v>7661</v>
      </c>
      <c r="L891" s="99" t="str">
        <f t="shared" si="77"/>
        <v>W1232.A</v>
      </c>
      <c r="M891" s="13"/>
      <c r="N891" s="13"/>
      <c r="O891" s="13"/>
      <c r="P891" s="47"/>
      <c r="Q891" s="45"/>
      <c r="R891" s="45"/>
      <c r="S891" s="48"/>
      <c r="T891" s="49" t="str">
        <f t="shared" si="79"/>
        <v>[W1232.A]</v>
      </c>
      <c r="U891" s="12" t="str">
        <f t="shared" si="80"/>
        <v xml:space="preserve"> </v>
      </c>
      <c r="V891" s="49" t="str">
        <f t="shared" si="78"/>
        <v xml:space="preserve">[W1232.A] </v>
      </c>
    </row>
    <row r="892" spans="1:22" s="49" customFormat="1" ht="14.15" customHeight="1">
      <c r="A892" s="44"/>
      <c r="B892" s="44" t="s">
        <v>6637</v>
      </c>
      <c r="C892" s="50"/>
      <c r="D892" s="10" t="s">
        <v>29</v>
      </c>
      <c r="E892" s="11"/>
      <c r="F892" s="11" t="s">
        <v>18</v>
      </c>
      <c r="G892" s="13"/>
      <c r="H892" s="45" t="s">
        <v>16</v>
      </c>
      <c r="I892" s="47"/>
      <c r="J892" s="12" t="s">
        <v>720</v>
      </c>
      <c r="K892" s="13" t="s">
        <v>7662</v>
      </c>
      <c r="L892" s="99" t="str">
        <f t="shared" si="77"/>
        <v>W1232.B</v>
      </c>
      <c r="M892" s="13"/>
      <c r="N892" s="13"/>
      <c r="O892" s="13"/>
      <c r="P892" s="47"/>
      <c r="Q892" s="45"/>
      <c r="R892" s="45"/>
      <c r="S892" s="48"/>
      <c r="T892" s="49" t="str">
        <f t="shared" si="79"/>
        <v>[W1232.B]</v>
      </c>
      <c r="U892" s="12" t="str">
        <f t="shared" si="80"/>
        <v xml:space="preserve"> </v>
      </c>
      <c r="V892" s="49" t="str">
        <f t="shared" si="78"/>
        <v xml:space="preserve">[W1232.B] </v>
      </c>
    </row>
    <row r="893" spans="1:22" s="49" customFormat="1" ht="14.15" customHeight="1">
      <c r="A893" s="44"/>
      <c r="B893" s="44" t="s">
        <v>6637</v>
      </c>
      <c r="C893" s="50"/>
      <c r="D893" s="10" t="s">
        <v>29</v>
      </c>
      <c r="E893" s="11"/>
      <c r="F893" s="11" t="s">
        <v>18</v>
      </c>
      <c r="G893" s="13"/>
      <c r="H893" s="45" t="s">
        <v>16</v>
      </c>
      <c r="I893" s="47"/>
      <c r="J893" s="12" t="s">
        <v>721</v>
      </c>
      <c r="K893" s="13" t="s">
        <v>7663</v>
      </c>
      <c r="L893" s="99" t="str">
        <f t="shared" si="77"/>
        <v>W1232.C</v>
      </c>
      <c r="M893" s="13" t="s">
        <v>3667</v>
      </c>
      <c r="N893" s="13"/>
      <c r="O893" s="13"/>
      <c r="P893" s="47"/>
      <c r="Q893" s="45"/>
      <c r="R893" s="45"/>
      <c r="S893" s="48"/>
      <c r="T893" s="49" t="str">
        <f t="shared" si="79"/>
        <v>[W1232.C]</v>
      </c>
      <c r="U893" s="12" t="str">
        <f t="shared" si="80"/>
        <v xml:space="preserve"> </v>
      </c>
      <c r="V893" s="49" t="str">
        <f t="shared" si="78"/>
        <v xml:space="preserve">[W1232.C] </v>
      </c>
    </row>
    <row r="894" spans="1:22" s="49" customFormat="1" ht="14.15" customHeight="1">
      <c r="A894" s="43" t="s">
        <v>3731</v>
      </c>
      <c r="B894" s="44" t="s">
        <v>6637</v>
      </c>
      <c r="C894" s="50"/>
      <c r="D894" s="10" t="s">
        <v>29</v>
      </c>
      <c r="E894" s="11"/>
      <c r="F894" s="11" t="s">
        <v>18</v>
      </c>
      <c r="G894" s="13"/>
      <c r="H894" s="45" t="s">
        <v>16</v>
      </c>
      <c r="I894" s="47"/>
      <c r="J894" s="12" t="s">
        <v>2389</v>
      </c>
      <c r="K894" s="13" t="s">
        <v>7664</v>
      </c>
      <c r="L894" s="99" t="str">
        <f t="shared" si="77"/>
        <v>W1232.D</v>
      </c>
      <c r="M894" s="13"/>
      <c r="N894" s="13"/>
      <c r="O894" s="13"/>
      <c r="P894" s="47"/>
      <c r="Q894" s="45"/>
      <c r="R894" s="45"/>
      <c r="S894" s="48"/>
      <c r="T894" s="49" t="str">
        <f t="shared" si="79"/>
        <v>[W1232.D]</v>
      </c>
      <c r="U894" s="12" t="str">
        <f t="shared" si="80"/>
        <v xml:space="preserve"> 어퍼 스테이지#1 제품 베츨 시퀀스 이상</v>
      </c>
      <c r="V894" s="49" t="str">
        <f t="shared" si="78"/>
        <v>[W1232.D] 어퍼 스테이지#1 제품 베츨 시퀀스 이상</v>
      </c>
    </row>
    <row r="895" spans="1:22" s="49" customFormat="1" ht="14.15" customHeight="1">
      <c r="A895" s="44"/>
      <c r="B895" s="44" t="s">
        <v>6637</v>
      </c>
      <c r="C895" s="50"/>
      <c r="D895" s="10" t="s">
        <v>29</v>
      </c>
      <c r="E895" s="11"/>
      <c r="F895" s="11" t="s">
        <v>18</v>
      </c>
      <c r="G895" s="13"/>
      <c r="H895" s="45" t="s">
        <v>16</v>
      </c>
      <c r="I895" s="47"/>
      <c r="J895" s="12" t="s">
        <v>723</v>
      </c>
      <c r="K895" s="13" t="s">
        <v>7665</v>
      </c>
      <c r="L895" s="99" t="str">
        <f t="shared" si="77"/>
        <v>W1232.E</v>
      </c>
      <c r="M895" s="13"/>
      <c r="N895" s="13"/>
      <c r="O895" s="13"/>
      <c r="P895" s="47"/>
      <c r="Q895" s="45"/>
      <c r="R895" s="45"/>
      <c r="S895" s="48"/>
      <c r="T895" s="49" t="str">
        <f t="shared" si="79"/>
        <v>[W1232.E]</v>
      </c>
      <c r="U895" s="12" t="str">
        <f t="shared" si="80"/>
        <v xml:space="preserve"> </v>
      </c>
      <c r="V895" s="49" t="str">
        <f t="shared" si="78"/>
        <v xml:space="preserve">[W1232.E] </v>
      </c>
    </row>
    <row r="896" spans="1:22" s="49" customFormat="1" ht="14.15" customHeight="1">
      <c r="A896" s="44"/>
      <c r="B896" s="44" t="s">
        <v>6637</v>
      </c>
      <c r="C896" s="50"/>
      <c r="D896" s="10" t="s">
        <v>29</v>
      </c>
      <c r="E896" s="11"/>
      <c r="F896" s="11" t="s">
        <v>18</v>
      </c>
      <c r="G896" s="13"/>
      <c r="H896" s="45" t="s">
        <v>16</v>
      </c>
      <c r="I896" s="47"/>
      <c r="J896" s="12" t="s">
        <v>724</v>
      </c>
      <c r="K896" s="13" t="s">
        <v>7666</v>
      </c>
      <c r="L896" s="99" t="str">
        <f t="shared" si="77"/>
        <v>W1232.F</v>
      </c>
      <c r="M896" s="13"/>
      <c r="N896" s="13"/>
      <c r="O896" s="13"/>
      <c r="P896" s="47"/>
      <c r="Q896" s="45"/>
      <c r="R896" s="45"/>
      <c r="S896" s="48"/>
      <c r="T896" s="49" t="str">
        <f t="shared" si="79"/>
        <v>[W1232.F]</v>
      </c>
      <c r="U896" s="12" t="str">
        <f t="shared" si="80"/>
        <v xml:space="preserve"> </v>
      </c>
      <c r="V896" s="49" t="str">
        <f t="shared" si="78"/>
        <v xml:space="preserve">[W1232.F] </v>
      </c>
    </row>
    <row r="897" spans="1:22" s="49" customFormat="1" ht="14.15" customHeight="1">
      <c r="A897" s="44"/>
      <c r="B897" s="44" t="s">
        <v>6637</v>
      </c>
      <c r="C897" s="50"/>
      <c r="D897" s="10" t="s">
        <v>29</v>
      </c>
      <c r="E897" s="11"/>
      <c r="F897" s="11" t="s">
        <v>18</v>
      </c>
      <c r="G897" s="13"/>
      <c r="H897" s="45" t="s">
        <v>16</v>
      </c>
      <c r="I897" s="47"/>
      <c r="J897" s="12" t="s">
        <v>725</v>
      </c>
      <c r="K897" s="13" t="s">
        <v>7667</v>
      </c>
      <c r="L897" s="99" t="str">
        <f t="shared" si="77"/>
        <v>W1233.0</v>
      </c>
      <c r="M897" s="13"/>
      <c r="N897" s="13"/>
      <c r="O897" s="13"/>
      <c r="P897" s="47"/>
      <c r="Q897" s="45"/>
      <c r="R897" s="45"/>
      <c r="S897" s="48"/>
      <c r="T897" s="49" t="str">
        <f t="shared" si="79"/>
        <v>[W1233.0]</v>
      </c>
      <c r="U897" s="12" t="str">
        <f t="shared" si="80"/>
        <v xml:space="preserve"> </v>
      </c>
      <c r="V897" s="49" t="str">
        <f t="shared" si="78"/>
        <v xml:space="preserve">[W1233.0] </v>
      </c>
    </row>
    <row r="898" spans="1:22" s="49" customFormat="1" ht="14.15" customHeight="1">
      <c r="A898" s="44"/>
      <c r="B898" s="44" t="s">
        <v>6637</v>
      </c>
      <c r="C898" s="50"/>
      <c r="D898" s="10" t="s">
        <v>29</v>
      </c>
      <c r="E898" s="11"/>
      <c r="F898" s="11" t="s">
        <v>18</v>
      </c>
      <c r="G898" s="13"/>
      <c r="H898" s="45" t="s">
        <v>16</v>
      </c>
      <c r="I898" s="47"/>
      <c r="J898" s="12" t="s">
        <v>726</v>
      </c>
      <c r="K898" s="13" t="s">
        <v>7668</v>
      </c>
      <c r="L898" s="99" t="str">
        <f t="shared" si="77"/>
        <v>W1233.1</v>
      </c>
      <c r="M898" s="13"/>
      <c r="N898" s="13"/>
      <c r="O898" s="13"/>
      <c r="P898" s="47"/>
      <c r="Q898" s="45"/>
      <c r="R898" s="45"/>
      <c r="S898" s="48"/>
      <c r="T898" s="49" t="str">
        <f t="shared" si="79"/>
        <v>[W1233.1]</v>
      </c>
      <c r="U898" s="12" t="str">
        <f t="shared" si="80"/>
        <v xml:space="preserve"> </v>
      </c>
      <c r="V898" s="49" t="str">
        <f t="shared" si="78"/>
        <v xml:space="preserve">[W1233.1] </v>
      </c>
    </row>
    <row r="899" spans="1:22" s="49" customFormat="1" ht="14.15" customHeight="1">
      <c r="A899" s="43" t="s">
        <v>3731</v>
      </c>
      <c r="B899" s="44" t="s">
        <v>6637</v>
      </c>
      <c r="C899" s="50"/>
      <c r="D899" s="10" t="s">
        <v>29</v>
      </c>
      <c r="E899" s="11"/>
      <c r="F899" s="11" t="s">
        <v>18</v>
      </c>
      <c r="G899" s="13"/>
      <c r="H899" s="45" t="s">
        <v>16</v>
      </c>
      <c r="I899" s="47"/>
      <c r="J899" s="12" t="s">
        <v>2390</v>
      </c>
      <c r="K899" s="13" t="s">
        <v>7669</v>
      </c>
      <c r="L899" s="99" t="str">
        <f t="shared" si="77"/>
        <v>W1233.2</v>
      </c>
      <c r="M899" s="13" t="s">
        <v>3667</v>
      </c>
      <c r="N899" s="13"/>
      <c r="O899" s="13"/>
      <c r="P899" s="47"/>
      <c r="Q899" s="45"/>
      <c r="R899" s="45"/>
      <c r="S899" s="48"/>
      <c r="T899" s="49" t="str">
        <f t="shared" si="79"/>
        <v>[W1233.2]</v>
      </c>
      <c r="U899" s="12" t="str">
        <f t="shared" si="80"/>
        <v xml:space="preserve"> 어퍼 스테이지#1 제품 데이터 불일치 이상 (X400)</v>
      </c>
      <c r="V899" s="49" t="str">
        <f t="shared" si="78"/>
        <v>[W1233.2] 어퍼 스테이지#1 제품 데이터 불일치 이상 (X400)</v>
      </c>
    </row>
    <row r="900" spans="1:22" s="49" customFormat="1" ht="14.15" customHeight="1">
      <c r="A900" s="43" t="s">
        <v>3731</v>
      </c>
      <c r="B900" s="44" t="s">
        <v>6637</v>
      </c>
      <c r="C900" s="50"/>
      <c r="D900" s="10" t="s">
        <v>29</v>
      </c>
      <c r="E900" s="11"/>
      <c r="F900" s="11" t="s">
        <v>18</v>
      </c>
      <c r="G900" s="13"/>
      <c r="H900" s="45" t="s">
        <v>16</v>
      </c>
      <c r="I900" s="47"/>
      <c r="J900" s="12" t="s">
        <v>2391</v>
      </c>
      <c r="K900" s="13" t="s">
        <v>7670</v>
      </c>
      <c r="L900" s="99" t="str">
        <f t="shared" si="77"/>
        <v>W1233.3</v>
      </c>
      <c r="M900" s="13" t="s">
        <v>3667</v>
      </c>
      <c r="N900" s="13"/>
      <c r="O900" s="13"/>
      <c r="P900" s="47"/>
      <c r="Q900" s="45"/>
      <c r="R900" s="45"/>
      <c r="S900" s="48"/>
      <c r="T900" s="49" t="str">
        <f t="shared" si="79"/>
        <v>[W1233.3]</v>
      </c>
      <c r="U900" s="12" t="str">
        <f t="shared" si="80"/>
        <v xml:space="preserve"> 어퍼 스테이지#2 클린칭 지그 클램프 상승 시간초과 (Y420, X402)</v>
      </c>
      <c r="V900" s="49" t="str">
        <f t="shared" si="78"/>
        <v>[W1233.3] 어퍼 스테이지#2 클린칭 지그 클램프 상승 시간초과 (Y420, X402)</v>
      </c>
    </row>
    <row r="901" spans="1:22" s="49" customFormat="1" ht="14.15" customHeight="1">
      <c r="A901" s="43" t="s">
        <v>3731</v>
      </c>
      <c r="B901" s="44" t="s">
        <v>6637</v>
      </c>
      <c r="C901" s="50"/>
      <c r="D901" s="10" t="s">
        <v>29</v>
      </c>
      <c r="E901" s="11"/>
      <c r="F901" s="11" t="s">
        <v>18</v>
      </c>
      <c r="G901" s="13"/>
      <c r="H901" s="45" t="s">
        <v>16</v>
      </c>
      <c r="I901" s="47"/>
      <c r="J901" s="12" t="s">
        <v>2392</v>
      </c>
      <c r="K901" s="13" t="s">
        <v>7671</v>
      </c>
      <c r="L901" s="99" t="str">
        <f t="shared" si="77"/>
        <v>W1233.4</v>
      </c>
      <c r="M901" s="13" t="s">
        <v>3667</v>
      </c>
      <c r="N901" s="13"/>
      <c r="O901" s="13"/>
      <c r="P901" s="47"/>
      <c r="Q901" s="45"/>
      <c r="R901" s="45"/>
      <c r="S901" s="48"/>
      <c r="T901" s="49" t="str">
        <f t="shared" si="79"/>
        <v>[W1233.4]</v>
      </c>
      <c r="U901" s="12" t="str">
        <f t="shared" si="80"/>
        <v xml:space="preserve"> 어퍼 스테이지#2 클린칭 지그 클램프 하강 시간초과 (Y421, X403)</v>
      </c>
      <c r="V901" s="49" t="str">
        <f t="shared" si="78"/>
        <v>[W1233.4] 어퍼 스테이지#2 클린칭 지그 클램프 하강 시간초과 (Y421, X403)</v>
      </c>
    </row>
    <row r="902" spans="1:22" s="49" customFormat="1" ht="14.15" customHeight="1">
      <c r="A902" s="43" t="s">
        <v>3731</v>
      </c>
      <c r="B902" s="44" t="s">
        <v>6637</v>
      </c>
      <c r="C902" s="50"/>
      <c r="D902" s="10" t="s">
        <v>29</v>
      </c>
      <c r="E902" s="11"/>
      <c r="F902" s="11" t="s">
        <v>18</v>
      </c>
      <c r="G902" s="13"/>
      <c r="H902" s="45" t="s">
        <v>16</v>
      </c>
      <c r="I902" s="47"/>
      <c r="J902" s="12" t="s">
        <v>2393</v>
      </c>
      <c r="K902" s="13" t="s">
        <v>7672</v>
      </c>
      <c r="L902" s="99" t="str">
        <f t="shared" si="77"/>
        <v>W1233.5</v>
      </c>
      <c r="M902" s="13" t="s">
        <v>3667</v>
      </c>
      <c r="N902" s="13"/>
      <c r="O902" s="13"/>
      <c r="P902" s="47"/>
      <c r="Q902" s="45"/>
      <c r="R902" s="45"/>
      <c r="S902" s="48"/>
      <c r="T902" s="49" t="str">
        <f t="shared" ref="T902:T933" si="81">"["&amp;L902&amp;"]"</f>
        <v>[W1233.5]</v>
      </c>
      <c r="U902" s="12" t="str">
        <f t="shared" ref="U902:U933" si="82">RIGHT(J902,LEN(J902)-7)</f>
        <v xml:space="preserve"> 어퍼 스테이지#2 클램프 상승/하강 센서 이상 (X402, X403)</v>
      </c>
      <c r="V902" s="49" t="str">
        <f t="shared" si="78"/>
        <v>[W1233.5] 어퍼 스테이지#2 클램프 상승/하강 센서 이상 (X402, X403)</v>
      </c>
    </row>
    <row r="903" spans="1:22" s="49" customFormat="1" ht="14.15" customHeight="1">
      <c r="A903" s="44"/>
      <c r="B903" s="44" t="s">
        <v>6637</v>
      </c>
      <c r="C903" s="50"/>
      <c r="D903" s="10" t="s">
        <v>29</v>
      </c>
      <c r="E903" s="11"/>
      <c r="F903" s="11" t="s">
        <v>18</v>
      </c>
      <c r="G903" s="13"/>
      <c r="H903" s="45" t="s">
        <v>16</v>
      </c>
      <c r="I903" s="47"/>
      <c r="J903" s="12" t="s">
        <v>731</v>
      </c>
      <c r="K903" s="13" t="s">
        <v>7673</v>
      </c>
      <c r="L903" s="99" t="str">
        <f t="shared" si="77"/>
        <v>W1233.6</v>
      </c>
      <c r="M903" s="13"/>
      <c r="N903" s="13"/>
      <c r="O903" s="13"/>
      <c r="P903" s="47"/>
      <c r="Q903" s="45"/>
      <c r="R903" s="45"/>
      <c r="S903" s="48"/>
      <c r="T903" s="49" t="str">
        <f t="shared" si="81"/>
        <v>[W1233.6]</v>
      </c>
      <c r="U903" s="12" t="str">
        <f t="shared" si="82"/>
        <v xml:space="preserve"> </v>
      </c>
      <c r="V903" s="49" t="str">
        <f t="shared" si="78"/>
        <v xml:space="preserve">[W1233.6] </v>
      </c>
    </row>
    <row r="904" spans="1:22" s="49" customFormat="1" ht="14.15" customHeight="1">
      <c r="A904" s="44"/>
      <c r="B904" s="44" t="s">
        <v>6637</v>
      </c>
      <c r="C904" s="50"/>
      <c r="D904" s="10" t="s">
        <v>29</v>
      </c>
      <c r="E904" s="11"/>
      <c r="F904" s="11" t="s">
        <v>18</v>
      </c>
      <c r="G904" s="13"/>
      <c r="H904" s="45" t="s">
        <v>16</v>
      </c>
      <c r="I904" s="47"/>
      <c r="J904" s="12" t="s">
        <v>732</v>
      </c>
      <c r="K904" s="13" t="s">
        <v>7674</v>
      </c>
      <c r="L904" s="99" t="str">
        <f t="shared" si="77"/>
        <v>W1233.7</v>
      </c>
      <c r="M904" s="13"/>
      <c r="N904" s="13"/>
      <c r="O904" s="13"/>
      <c r="P904" s="47"/>
      <c r="Q904" s="45"/>
      <c r="R904" s="45"/>
      <c r="S904" s="48"/>
      <c r="T904" s="49" t="str">
        <f t="shared" si="81"/>
        <v>[W1233.7]</v>
      </c>
      <c r="U904" s="12" t="str">
        <f t="shared" si="82"/>
        <v xml:space="preserve"> </v>
      </c>
      <c r="V904" s="49" t="str">
        <f t="shared" si="78"/>
        <v xml:space="preserve">[W1233.7] </v>
      </c>
    </row>
    <row r="905" spans="1:22" s="49" customFormat="1" ht="14.15" customHeight="1">
      <c r="A905" s="44"/>
      <c r="B905" s="44" t="s">
        <v>6637</v>
      </c>
      <c r="C905" s="50"/>
      <c r="D905" s="10" t="s">
        <v>29</v>
      </c>
      <c r="E905" s="11"/>
      <c r="F905" s="11" t="s">
        <v>18</v>
      </c>
      <c r="G905" s="13"/>
      <c r="H905" s="45" t="s">
        <v>16</v>
      </c>
      <c r="I905" s="47"/>
      <c r="J905" s="12" t="s">
        <v>733</v>
      </c>
      <c r="K905" s="13" t="s">
        <v>7675</v>
      </c>
      <c r="L905" s="99" t="str">
        <f t="shared" si="77"/>
        <v>W1233.8</v>
      </c>
      <c r="M905" s="13"/>
      <c r="N905" s="13"/>
      <c r="O905" s="13"/>
      <c r="P905" s="47"/>
      <c r="Q905" s="45"/>
      <c r="R905" s="45"/>
      <c r="S905" s="48"/>
      <c r="T905" s="49" t="str">
        <f t="shared" si="81"/>
        <v>[W1233.8]</v>
      </c>
      <c r="U905" s="12" t="str">
        <f t="shared" si="82"/>
        <v xml:space="preserve"> </v>
      </c>
      <c r="V905" s="49" t="str">
        <f t="shared" si="78"/>
        <v xml:space="preserve">[W1233.8] </v>
      </c>
    </row>
    <row r="906" spans="1:22" s="49" customFormat="1" ht="14.15" customHeight="1">
      <c r="A906" s="44"/>
      <c r="B906" s="44" t="s">
        <v>6637</v>
      </c>
      <c r="C906" s="50"/>
      <c r="D906" s="10" t="s">
        <v>29</v>
      </c>
      <c r="E906" s="11"/>
      <c r="F906" s="11" t="s">
        <v>18</v>
      </c>
      <c r="G906" s="13"/>
      <c r="H906" s="45" t="s">
        <v>16</v>
      </c>
      <c r="I906" s="47"/>
      <c r="J906" s="12" t="s">
        <v>734</v>
      </c>
      <c r="K906" s="13" t="s">
        <v>7676</v>
      </c>
      <c r="L906" s="99" t="str">
        <f t="shared" si="77"/>
        <v>W1233.9</v>
      </c>
      <c r="M906" s="13"/>
      <c r="N906" s="13"/>
      <c r="O906" s="13"/>
      <c r="P906" s="47"/>
      <c r="Q906" s="45"/>
      <c r="R906" s="45"/>
      <c r="S906" s="48"/>
      <c r="T906" s="49" t="str">
        <f t="shared" si="81"/>
        <v>[W1233.9]</v>
      </c>
      <c r="U906" s="12" t="str">
        <f t="shared" si="82"/>
        <v xml:space="preserve"> </v>
      </c>
      <c r="V906" s="49" t="str">
        <f t="shared" si="78"/>
        <v xml:space="preserve">[W1233.9] </v>
      </c>
    </row>
    <row r="907" spans="1:22" s="49" customFormat="1" ht="14.15" customHeight="1">
      <c r="A907" s="44"/>
      <c r="B907" s="44" t="s">
        <v>6637</v>
      </c>
      <c r="C907" s="50"/>
      <c r="D907" s="10" t="s">
        <v>29</v>
      </c>
      <c r="E907" s="11"/>
      <c r="F907" s="11" t="s">
        <v>18</v>
      </c>
      <c r="G907" s="13"/>
      <c r="H907" s="45" t="s">
        <v>16</v>
      </c>
      <c r="I907" s="47"/>
      <c r="J907" s="12" t="s">
        <v>735</v>
      </c>
      <c r="K907" s="13" t="s">
        <v>7677</v>
      </c>
      <c r="L907" s="99" t="str">
        <f t="shared" si="77"/>
        <v>W1233.A</v>
      </c>
      <c r="M907" s="13"/>
      <c r="N907" s="13"/>
      <c r="O907" s="13"/>
      <c r="P907" s="47"/>
      <c r="Q907" s="45"/>
      <c r="R907" s="45"/>
      <c r="S907" s="48"/>
      <c r="T907" s="49" t="str">
        <f t="shared" si="81"/>
        <v>[W1233.A]</v>
      </c>
      <c r="U907" s="12" t="str">
        <f t="shared" si="82"/>
        <v xml:space="preserve"> </v>
      </c>
      <c r="V907" s="49" t="str">
        <f t="shared" si="78"/>
        <v xml:space="preserve">[W1233.A] </v>
      </c>
    </row>
    <row r="908" spans="1:22" s="49" customFormat="1" ht="14.15" customHeight="1">
      <c r="A908" s="44"/>
      <c r="B908" s="44" t="s">
        <v>6637</v>
      </c>
      <c r="C908" s="50"/>
      <c r="D908" s="10" t="s">
        <v>29</v>
      </c>
      <c r="E908" s="11"/>
      <c r="F908" s="11" t="s">
        <v>18</v>
      </c>
      <c r="G908" s="13"/>
      <c r="H908" s="45" t="s">
        <v>16</v>
      </c>
      <c r="I908" s="47"/>
      <c r="J908" s="12" t="s">
        <v>736</v>
      </c>
      <c r="K908" s="13" t="s">
        <v>7678</v>
      </c>
      <c r="L908" s="99" t="str">
        <f t="shared" si="77"/>
        <v>W1233.B</v>
      </c>
      <c r="M908" s="13"/>
      <c r="N908" s="13"/>
      <c r="O908" s="13"/>
      <c r="P908" s="47"/>
      <c r="Q908" s="45"/>
      <c r="R908" s="45"/>
      <c r="S908" s="48"/>
      <c r="T908" s="49" t="str">
        <f t="shared" si="81"/>
        <v>[W1233.B]</v>
      </c>
      <c r="U908" s="12" t="str">
        <f t="shared" si="82"/>
        <v xml:space="preserve"> </v>
      </c>
      <c r="V908" s="49" t="str">
        <f t="shared" si="78"/>
        <v xml:space="preserve">[W1233.B] </v>
      </c>
    </row>
    <row r="909" spans="1:22" s="49" customFormat="1" ht="14.15" customHeight="1">
      <c r="A909" s="44"/>
      <c r="B909" s="44" t="s">
        <v>6637</v>
      </c>
      <c r="C909" s="50"/>
      <c r="D909" s="10" t="s">
        <v>29</v>
      </c>
      <c r="E909" s="11"/>
      <c r="F909" s="11" t="s">
        <v>18</v>
      </c>
      <c r="G909" s="13"/>
      <c r="H909" s="45" t="s">
        <v>16</v>
      </c>
      <c r="I909" s="47"/>
      <c r="J909" s="12" t="s">
        <v>737</v>
      </c>
      <c r="K909" s="13" t="s">
        <v>7679</v>
      </c>
      <c r="L909" s="99" t="str">
        <f t="shared" si="77"/>
        <v>W1233.C</v>
      </c>
      <c r="M909" s="13"/>
      <c r="N909" s="13"/>
      <c r="O909" s="13"/>
      <c r="P909" s="47"/>
      <c r="Q909" s="45"/>
      <c r="R909" s="45"/>
      <c r="S909" s="48"/>
      <c r="T909" s="49" t="str">
        <f t="shared" si="81"/>
        <v>[W1233.C]</v>
      </c>
      <c r="U909" s="12" t="str">
        <f t="shared" si="82"/>
        <v xml:space="preserve"> </v>
      </c>
      <c r="V909" s="49" t="str">
        <f t="shared" si="78"/>
        <v xml:space="preserve">[W1233.C] </v>
      </c>
    </row>
    <row r="910" spans="1:22" s="49" customFormat="1" ht="14.15" customHeight="1">
      <c r="A910" s="43" t="s">
        <v>3731</v>
      </c>
      <c r="B910" s="44" t="s">
        <v>6637</v>
      </c>
      <c r="C910" s="50"/>
      <c r="D910" s="10" t="s">
        <v>29</v>
      </c>
      <c r="E910" s="11"/>
      <c r="F910" s="11" t="s">
        <v>18</v>
      </c>
      <c r="G910" s="13"/>
      <c r="H910" s="45" t="s">
        <v>16</v>
      </c>
      <c r="I910" s="47"/>
      <c r="J910" s="12" t="s">
        <v>2394</v>
      </c>
      <c r="K910" s="13" t="s">
        <v>7680</v>
      </c>
      <c r="L910" s="99" t="str">
        <f t="shared" si="77"/>
        <v>W1233.D</v>
      </c>
      <c r="M910" s="13" t="s">
        <v>3667</v>
      </c>
      <c r="N910" s="13"/>
      <c r="O910" s="13"/>
      <c r="P910" s="47"/>
      <c r="Q910" s="45"/>
      <c r="R910" s="45"/>
      <c r="S910" s="48"/>
      <c r="T910" s="49" t="str">
        <f t="shared" si="81"/>
        <v>[W1233.D]</v>
      </c>
      <c r="U910" s="12" t="str">
        <f t="shared" si="82"/>
        <v xml:space="preserve"> 어퍼 스테이지#2 제품 수취 시간초과</v>
      </c>
      <c r="V910" s="49" t="str">
        <f t="shared" si="78"/>
        <v>[W1233.D] 어퍼 스테이지#2 제품 수취 시간초과</v>
      </c>
    </row>
    <row r="911" spans="1:22" s="49" customFormat="1" ht="14.15" customHeight="1">
      <c r="A911" s="43" t="s">
        <v>3731</v>
      </c>
      <c r="B911" s="44" t="s">
        <v>6637</v>
      </c>
      <c r="C911" s="50"/>
      <c r="D911" s="10" t="s">
        <v>29</v>
      </c>
      <c r="E911" s="11"/>
      <c r="F911" s="11" t="s">
        <v>18</v>
      </c>
      <c r="G911" s="13"/>
      <c r="H911" s="45" t="s">
        <v>16</v>
      </c>
      <c r="I911" s="47"/>
      <c r="J911" s="12" t="s">
        <v>2395</v>
      </c>
      <c r="K911" s="13" t="s">
        <v>7681</v>
      </c>
      <c r="L911" s="99" t="str">
        <f t="shared" si="77"/>
        <v>W1233.E</v>
      </c>
      <c r="M911" s="13" t="s">
        <v>3667</v>
      </c>
      <c r="N911" s="13"/>
      <c r="O911" s="13"/>
      <c r="P911" s="47"/>
      <c r="Q911" s="45"/>
      <c r="R911" s="45"/>
      <c r="S911" s="48"/>
      <c r="T911" s="49" t="str">
        <f t="shared" si="81"/>
        <v>[W1233.E]</v>
      </c>
      <c r="U911" s="12" t="str">
        <f t="shared" si="82"/>
        <v xml:space="preserve"> 어퍼 스테이지#2 제품 배출 시간초과</v>
      </c>
      <c r="V911" s="49" t="str">
        <f t="shared" si="78"/>
        <v>[W1233.E] 어퍼 스테이지#2 제품 배출 시간초과</v>
      </c>
    </row>
    <row r="912" spans="1:22" s="49" customFormat="1" ht="14.15" customHeight="1">
      <c r="A912" s="43" t="s">
        <v>3731</v>
      </c>
      <c r="B912" s="44" t="s">
        <v>6637</v>
      </c>
      <c r="C912" s="50"/>
      <c r="D912" s="10" t="s">
        <v>29</v>
      </c>
      <c r="E912" s="11"/>
      <c r="F912" s="11" t="s">
        <v>18</v>
      </c>
      <c r="G912" s="13"/>
      <c r="H912" s="45" t="s">
        <v>16</v>
      </c>
      <c r="I912" s="47"/>
      <c r="J912" s="12" t="s">
        <v>2396</v>
      </c>
      <c r="K912" s="13" t="s">
        <v>7682</v>
      </c>
      <c r="L912" s="99" t="str">
        <f t="shared" si="77"/>
        <v>W1233.F</v>
      </c>
      <c r="M912" s="13" t="s">
        <v>3667</v>
      </c>
      <c r="N912" s="13"/>
      <c r="O912" s="13"/>
      <c r="P912" s="47"/>
      <c r="Q912" s="45"/>
      <c r="R912" s="45"/>
      <c r="S912" s="48"/>
      <c r="T912" s="49" t="str">
        <f t="shared" si="81"/>
        <v>[W1233.F]</v>
      </c>
      <c r="U912" s="12" t="str">
        <f t="shared" si="82"/>
        <v xml:space="preserve"> 어퍼 스테이지#2 제품 수취 시퀀스 이상</v>
      </c>
      <c r="V912" s="49" t="str">
        <f t="shared" si="78"/>
        <v>[W1233.F] 어퍼 스테이지#2 제품 수취 시퀀스 이상</v>
      </c>
    </row>
    <row r="913" spans="1:22" s="49" customFormat="1" ht="14.15" customHeight="1">
      <c r="A913" s="44"/>
      <c r="B913" s="44" t="s">
        <v>6637</v>
      </c>
      <c r="C913" s="50"/>
      <c r="D913" s="10" t="s">
        <v>29</v>
      </c>
      <c r="E913" s="11"/>
      <c r="F913" s="11" t="s">
        <v>18</v>
      </c>
      <c r="G913" s="13"/>
      <c r="H913" s="45" t="s">
        <v>16</v>
      </c>
      <c r="I913" s="47"/>
      <c r="J913" s="12" t="s">
        <v>741</v>
      </c>
      <c r="K913" s="13" t="s">
        <v>7683</v>
      </c>
      <c r="L913" s="99" t="str">
        <f t="shared" si="77"/>
        <v>W1234.0</v>
      </c>
      <c r="M913" s="13"/>
      <c r="N913" s="13"/>
      <c r="O913" s="13"/>
      <c r="P913" s="47"/>
      <c r="Q913" s="45"/>
      <c r="R913" s="45"/>
      <c r="S913" s="48"/>
      <c r="T913" s="49" t="str">
        <f t="shared" si="81"/>
        <v>[W1234.0]</v>
      </c>
      <c r="U913" s="12" t="str">
        <f t="shared" si="82"/>
        <v xml:space="preserve"> </v>
      </c>
      <c r="V913" s="49" t="str">
        <f t="shared" si="78"/>
        <v xml:space="preserve">[W1234.0] </v>
      </c>
    </row>
    <row r="914" spans="1:22" s="49" customFormat="1" ht="14.15" customHeight="1">
      <c r="A914" s="43" t="s">
        <v>3731</v>
      </c>
      <c r="B914" s="44" t="s">
        <v>6637</v>
      </c>
      <c r="C914" s="50"/>
      <c r="D914" s="10" t="s">
        <v>29</v>
      </c>
      <c r="E914" s="11"/>
      <c r="F914" s="11" t="s">
        <v>18</v>
      </c>
      <c r="G914" s="13"/>
      <c r="H914" s="45" t="s">
        <v>16</v>
      </c>
      <c r="I914" s="47"/>
      <c r="J914" s="12" t="s">
        <v>2397</v>
      </c>
      <c r="K914" s="13" t="s">
        <v>7684</v>
      </c>
      <c r="L914" s="99" t="str">
        <f t="shared" ref="L914:L977" si="83">"W"&amp;DEC2HEX(4608 + INT((ROW()-81)/16)) &amp; "." &amp; IF(MOD(ROW()-81,16)&lt;10,MOD(ROW()-81,16),CHAR(MOD(ROW()-81,16)+55))</f>
        <v>W1234.1</v>
      </c>
      <c r="M914" s="13" t="s">
        <v>3667</v>
      </c>
      <c r="N914" s="13"/>
      <c r="O914" s="13"/>
      <c r="P914" s="47"/>
      <c r="Q914" s="45"/>
      <c r="R914" s="45"/>
      <c r="S914" s="48"/>
      <c r="T914" s="49" t="str">
        <f t="shared" si="81"/>
        <v>[W1234.1]</v>
      </c>
      <c r="U914" s="12" t="str">
        <f t="shared" si="82"/>
        <v xml:space="preserve"> 어퍼 스테이지#2 제품 베츨 시퀀스 이상</v>
      </c>
      <c r="V914" s="49" t="str">
        <f t="shared" ref="V914:V977" si="84">T914&amp;U914</f>
        <v>[W1234.1] 어퍼 스테이지#2 제품 베츨 시퀀스 이상</v>
      </c>
    </row>
    <row r="915" spans="1:22" s="49" customFormat="1" ht="14.15" customHeight="1">
      <c r="A915" s="44"/>
      <c r="B915" s="44" t="s">
        <v>6637</v>
      </c>
      <c r="C915" s="50"/>
      <c r="D915" s="10" t="s">
        <v>29</v>
      </c>
      <c r="E915" s="11"/>
      <c r="F915" s="11" t="s">
        <v>18</v>
      </c>
      <c r="G915" s="13"/>
      <c r="H915" s="45" t="s">
        <v>16</v>
      </c>
      <c r="I915" s="47"/>
      <c r="J915" s="12" t="s">
        <v>743</v>
      </c>
      <c r="K915" s="13" t="s">
        <v>7685</v>
      </c>
      <c r="L915" s="99" t="str">
        <f t="shared" si="83"/>
        <v>W1234.2</v>
      </c>
      <c r="M915" s="13"/>
      <c r="N915" s="13"/>
      <c r="O915" s="13"/>
      <c r="P915" s="47"/>
      <c r="Q915" s="45"/>
      <c r="R915" s="45"/>
      <c r="S915" s="48"/>
      <c r="T915" s="49" t="str">
        <f t="shared" si="81"/>
        <v>[W1234.2]</v>
      </c>
      <c r="U915" s="12" t="str">
        <f t="shared" si="82"/>
        <v xml:space="preserve"> </v>
      </c>
      <c r="V915" s="49" t="str">
        <f t="shared" si="84"/>
        <v xml:space="preserve">[W1234.2] </v>
      </c>
    </row>
    <row r="916" spans="1:22" s="49" customFormat="1" ht="14.15" customHeight="1">
      <c r="A916" s="44"/>
      <c r="B916" s="44" t="s">
        <v>6637</v>
      </c>
      <c r="C916" s="50"/>
      <c r="D916" s="10" t="s">
        <v>29</v>
      </c>
      <c r="E916" s="11"/>
      <c r="F916" s="11" t="s">
        <v>18</v>
      </c>
      <c r="G916" s="13"/>
      <c r="H916" s="45" t="s">
        <v>16</v>
      </c>
      <c r="I916" s="47"/>
      <c r="J916" s="12" t="s">
        <v>744</v>
      </c>
      <c r="K916" s="13" t="s">
        <v>7686</v>
      </c>
      <c r="L916" s="99" t="str">
        <f t="shared" si="83"/>
        <v>W1234.3</v>
      </c>
      <c r="M916" s="13"/>
      <c r="N916" s="13"/>
      <c r="O916" s="13"/>
      <c r="P916" s="47"/>
      <c r="Q916" s="45"/>
      <c r="R916" s="45"/>
      <c r="S916" s="48"/>
      <c r="T916" s="49" t="str">
        <f t="shared" si="81"/>
        <v>[W1234.3]</v>
      </c>
      <c r="U916" s="12" t="str">
        <f t="shared" si="82"/>
        <v xml:space="preserve"> </v>
      </c>
      <c r="V916" s="49" t="str">
        <f t="shared" si="84"/>
        <v xml:space="preserve">[W1234.3] </v>
      </c>
    </row>
    <row r="917" spans="1:22" s="49" customFormat="1" ht="14.15" customHeight="1">
      <c r="A917" s="44"/>
      <c r="B917" s="44" t="s">
        <v>6637</v>
      </c>
      <c r="C917" s="50"/>
      <c r="D917" s="10" t="s">
        <v>29</v>
      </c>
      <c r="E917" s="11"/>
      <c r="F917" s="11" t="s">
        <v>18</v>
      </c>
      <c r="G917" s="13"/>
      <c r="H917" s="45" t="s">
        <v>16</v>
      </c>
      <c r="I917" s="47"/>
      <c r="J917" s="12" t="s">
        <v>745</v>
      </c>
      <c r="K917" s="13" t="s">
        <v>7687</v>
      </c>
      <c r="L917" s="99" t="str">
        <f t="shared" si="83"/>
        <v>W1234.4</v>
      </c>
      <c r="M917" s="13"/>
      <c r="N917" s="13"/>
      <c r="O917" s="13"/>
      <c r="P917" s="47"/>
      <c r="Q917" s="45"/>
      <c r="R917" s="45"/>
      <c r="S917" s="48"/>
      <c r="T917" s="49" t="str">
        <f t="shared" si="81"/>
        <v>[W1234.4]</v>
      </c>
      <c r="U917" s="12" t="str">
        <f t="shared" si="82"/>
        <v xml:space="preserve"> </v>
      </c>
      <c r="V917" s="49" t="str">
        <f t="shared" si="84"/>
        <v xml:space="preserve">[W1234.4] </v>
      </c>
    </row>
    <row r="918" spans="1:22" s="49" customFormat="1" ht="14.15" customHeight="1">
      <c r="A918" s="44"/>
      <c r="B918" s="44" t="s">
        <v>6637</v>
      </c>
      <c r="C918" s="50"/>
      <c r="D918" s="10" t="s">
        <v>29</v>
      </c>
      <c r="E918" s="11"/>
      <c r="F918" s="11" t="s">
        <v>18</v>
      </c>
      <c r="G918" s="13"/>
      <c r="H918" s="45" t="s">
        <v>16</v>
      </c>
      <c r="I918" s="47"/>
      <c r="J918" s="12" t="s">
        <v>746</v>
      </c>
      <c r="K918" s="13" t="s">
        <v>7688</v>
      </c>
      <c r="L918" s="99" t="str">
        <f t="shared" si="83"/>
        <v>W1234.5</v>
      </c>
      <c r="M918" s="13"/>
      <c r="N918" s="13"/>
      <c r="O918" s="13"/>
      <c r="P918" s="47"/>
      <c r="Q918" s="45"/>
      <c r="R918" s="45"/>
      <c r="S918" s="48"/>
      <c r="T918" s="49" t="str">
        <f t="shared" si="81"/>
        <v>[W1234.5]</v>
      </c>
      <c r="U918" s="12" t="str">
        <f t="shared" si="82"/>
        <v xml:space="preserve"> </v>
      </c>
      <c r="V918" s="49" t="str">
        <f t="shared" si="84"/>
        <v xml:space="preserve">[W1234.5] </v>
      </c>
    </row>
    <row r="919" spans="1:22" s="49" customFormat="1" ht="14.15" customHeight="1">
      <c r="A919" s="43" t="s">
        <v>3731</v>
      </c>
      <c r="B919" s="44" t="s">
        <v>6637</v>
      </c>
      <c r="C919" s="50"/>
      <c r="D919" s="10" t="s">
        <v>29</v>
      </c>
      <c r="E919" s="11"/>
      <c r="F919" s="11" t="s">
        <v>18</v>
      </c>
      <c r="G919" s="13"/>
      <c r="H919" s="45" t="s">
        <v>16</v>
      </c>
      <c r="I919" s="47"/>
      <c r="J919" s="12" t="s">
        <v>2398</v>
      </c>
      <c r="K919" s="13" t="s">
        <v>7689</v>
      </c>
      <c r="L919" s="99" t="str">
        <f t="shared" si="83"/>
        <v>W1234.6</v>
      </c>
      <c r="M919" s="13" t="s">
        <v>3667</v>
      </c>
      <c r="N919" s="13"/>
      <c r="O919" s="13"/>
      <c r="P919" s="47"/>
      <c r="Q919" s="45"/>
      <c r="R919" s="45"/>
      <c r="S919" s="48"/>
      <c r="T919" s="49" t="str">
        <f t="shared" si="81"/>
        <v>[W1234.6]</v>
      </c>
      <c r="U919" s="12" t="str">
        <f t="shared" si="82"/>
        <v xml:space="preserve"> 어퍼 스테이지#2 제품 데이터 불일치 이상 (X401)</v>
      </c>
      <c r="V919" s="49" t="str">
        <f t="shared" si="84"/>
        <v>[W1234.6] 어퍼 스테이지#2 제품 데이터 불일치 이상 (X401)</v>
      </c>
    </row>
    <row r="920" spans="1:22" s="49" customFormat="1" ht="14.15" customHeight="1">
      <c r="A920" s="43" t="s">
        <v>3731</v>
      </c>
      <c r="B920" s="44" t="s">
        <v>6637</v>
      </c>
      <c r="C920" s="50"/>
      <c r="D920" s="10" t="s">
        <v>29</v>
      </c>
      <c r="E920" s="11"/>
      <c r="F920" s="11" t="s">
        <v>18</v>
      </c>
      <c r="G920" s="13"/>
      <c r="H920" s="45" t="s">
        <v>16</v>
      </c>
      <c r="I920" s="47"/>
      <c r="J920" s="12" t="s">
        <v>2399</v>
      </c>
      <c r="K920" s="13" t="s">
        <v>7690</v>
      </c>
      <c r="L920" s="99" t="str">
        <f t="shared" si="83"/>
        <v>W1234.7</v>
      </c>
      <c r="M920" s="13" t="s">
        <v>3667</v>
      </c>
      <c r="N920" s="13"/>
      <c r="O920" s="13"/>
      <c r="P920" s="47"/>
      <c r="Q920" s="45"/>
      <c r="R920" s="45"/>
      <c r="S920" s="48"/>
      <c r="T920" s="49" t="str">
        <f t="shared" si="81"/>
        <v>[W1234.7]</v>
      </c>
      <c r="U920" s="12" t="str">
        <f t="shared" si="82"/>
        <v xml:space="preserve"> 어퍼 스테이지#3 용접 지그 클램프 하강 시간초과 (Y424, X405)</v>
      </c>
      <c r="V920" s="49" t="str">
        <f t="shared" si="84"/>
        <v>[W1234.7] 어퍼 스테이지#3 용접 지그 클램프 하강 시간초과 (Y424, X405)</v>
      </c>
    </row>
    <row r="921" spans="1:22" s="49" customFormat="1" ht="14.15" customHeight="1">
      <c r="A921" s="43" t="s">
        <v>3731</v>
      </c>
      <c r="B921" s="44" t="s">
        <v>6637</v>
      </c>
      <c r="C921" s="50"/>
      <c r="D921" s="10" t="s">
        <v>29</v>
      </c>
      <c r="E921" s="11"/>
      <c r="F921" s="11" t="s">
        <v>18</v>
      </c>
      <c r="G921" s="13"/>
      <c r="H921" s="45" t="s">
        <v>16</v>
      </c>
      <c r="I921" s="47"/>
      <c r="J921" s="12" t="s">
        <v>2400</v>
      </c>
      <c r="K921" s="13" t="s">
        <v>7691</v>
      </c>
      <c r="L921" s="99" t="str">
        <f t="shared" si="83"/>
        <v>W1234.8</v>
      </c>
      <c r="M921" s="13" t="s">
        <v>3667</v>
      </c>
      <c r="N921" s="13"/>
      <c r="O921" s="13"/>
      <c r="P921" s="47"/>
      <c r="Q921" s="45"/>
      <c r="R921" s="45"/>
      <c r="S921" s="48"/>
      <c r="T921" s="49" t="str">
        <f t="shared" si="81"/>
        <v>[W1234.8]</v>
      </c>
      <c r="U921" s="12" t="str">
        <f t="shared" si="82"/>
        <v xml:space="preserve"> 어퍼 스테이지#3 용접 지그 클램프 상승 시간초과 (Y425, X406)</v>
      </c>
      <c r="V921" s="49" t="str">
        <f t="shared" si="84"/>
        <v>[W1234.8] 어퍼 스테이지#3 용접 지그 클램프 상승 시간초과 (Y425, X406)</v>
      </c>
    </row>
    <row r="922" spans="1:22" s="49" customFormat="1" ht="14.15" customHeight="1">
      <c r="A922" s="43" t="s">
        <v>3731</v>
      </c>
      <c r="B922" s="44" t="s">
        <v>6637</v>
      </c>
      <c r="C922" s="50"/>
      <c r="D922" s="10" t="s">
        <v>29</v>
      </c>
      <c r="E922" s="11"/>
      <c r="F922" s="11" t="s">
        <v>18</v>
      </c>
      <c r="G922" s="13"/>
      <c r="H922" s="45" t="s">
        <v>16</v>
      </c>
      <c r="I922" s="47"/>
      <c r="J922" s="12" t="s">
        <v>2401</v>
      </c>
      <c r="K922" s="13" t="s">
        <v>7692</v>
      </c>
      <c r="L922" s="99" t="str">
        <f t="shared" si="83"/>
        <v>W1234.9</v>
      </c>
      <c r="M922" s="13" t="s">
        <v>3667</v>
      </c>
      <c r="N922" s="13"/>
      <c r="O922" s="13"/>
      <c r="P922" s="47"/>
      <c r="Q922" s="45"/>
      <c r="R922" s="45"/>
      <c r="S922" s="48"/>
      <c r="T922" s="49" t="str">
        <f t="shared" si="81"/>
        <v>[W1234.9]</v>
      </c>
      <c r="U922" s="12" t="str">
        <f t="shared" si="82"/>
        <v xml:space="preserve"> 어퍼 스테이지#3 용접 지그 클램프 하강/상승 센서 이상 (X405, X406)</v>
      </c>
      <c r="V922" s="49" t="str">
        <f t="shared" si="84"/>
        <v>[W1234.9] 어퍼 스테이지#3 용접 지그 클램프 하강/상승 센서 이상 (X405, X406)</v>
      </c>
    </row>
    <row r="923" spans="1:22" s="49" customFormat="1" ht="14.15" customHeight="1">
      <c r="A923" s="44"/>
      <c r="B923" s="44" t="s">
        <v>6637</v>
      </c>
      <c r="C923" s="50"/>
      <c r="D923" s="10" t="s">
        <v>29</v>
      </c>
      <c r="E923" s="11"/>
      <c r="F923" s="11" t="s">
        <v>18</v>
      </c>
      <c r="G923" s="13"/>
      <c r="H923" s="45" t="s">
        <v>16</v>
      </c>
      <c r="I923" s="47"/>
      <c r="J923" s="12" t="s">
        <v>2402</v>
      </c>
      <c r="K923" s="13" t="s">
        <v>7693</v>
      </c>
      <c r="L923" s="99" t="str">
        <f t="shared" si="83"/>
        <v>W1234.A</v>
      </c>
      <c r="M923" s="13"/>
      <c r="N923" s="13"/>
      <c r="O923" s="13"/>
      <c r="P923" s="47"/>
      <c r="Q923" s="45"/>
      <c r="R923" s="45"/>
      <c r="S923" s="48"/>
      <c r="T923" s="49" t="str">
        <f t="shared" si="81"/>
        <v>[W1234.A]</v>
      </c>
      <c r="U923" s="12" t="str">
        <f t="shared" si="82"/>
        <v xml:space="preserve"> </v>
      </c>
      <c r="V923" s="49" t="str">
        <f t="shared" si="84"/>
        <v xml:space="preserve">[W1234.A] </v>
      </c>
    </row>
    <row r="924" spans="1:22" s="49" customFormat="1" ht="14.15" customHeight="1">
      <c r="A924" s="44"/>
      <c r="B924" s="44" t="s">
        <v>6637</v>
      </c>
      <c r="C924" s="50"/>
      <c r="D924" s="10" t="s">
        <v>29</v>
      </c>
      <c r="E924" s="11"/>
      <c r="F924" s="11" t="s">
        <v>18</v>
      </c>
      <c r="G924" s="13"/>
      <c r="H924" s="45" t="s">
        <v>16</v>
      </c>
      <c r="I924" s="47"/>
      <c r="J924" s="12" t="s">
        <v>2403</v>
      </c>
      <c r="K924" s="13" t="s">
        <v>7694</v>
      </c>
      <c r="L924" s="99" t="str">
        <f t="shared" si="83"/>
        <v>W1234.B</v>
      </c>
      <c r="M924" s="13"/>
      <c r="N924" s="13"/>
      <c r="O924" s="13"/>
      <c r="P924" s="47"/>
      <c r="Q924" s="45"/>
      <c r="R924" s="45"/>
      <c r="S924" s="48"/>
      <c r="T924" s="49" t="str">
        <f t="shared" si="81"/>
        <v>[W1234.B]</v>
      </c>
      <c r="U924" s="12" t="str">
        <f t="shared" si="82"/>
        <v xml:space="preserve"> </v>
      </c>
      <c r="V924" s="49" t="str">
        <f t="shared" si="84"/>
        <v xml:space="preserve">[W1234.B] </v>
      </c>
    </row>
    <row r="925" spans="1:22" s="49" customFormat="1" ht="14.15" customHeight="1">
      <c r="A925" s="44"/>
      <c r="B925" s="44" t="s">
        <v>6637</v>
      </c>
      <c r="C925" s="50"/>
      <c r="D925" s="10" t="s">
        <v>29</v>
      </c>
      <c r="E925" s="11"/>
      <c r="F925" s="11" t="s">
        <v>18</v>
      </c>
      <c r="G925" s="13"/>
      <c r="H925" s="45" t="s">
        <v>16</v>
      </c>
      <c r="I925" s="47"/>
      <c r="J925" s="12" t="s">
        <v>2404</v>
      </c>
      <c r="K925" s="13" t="s">
        <v>7695</v>
      </c>
      <c r="L925" s="99" t="str">
        <f t="shared" si="83"/>
        <v>W1234.C</v>
      </c>
      <c r="M925" s="13"/>
      <c r="N925" s="13"/>
      <c r="O925" s="13"/>
      <c r="P925" s="47"/>
      <c r="Q925" s="45"/>
      <c r="R925" s="45"/>
      <c r="S925" s="48"/>
      <c r="T925" s="49" t="str">
        <f t="shared" si="81"/>
        <v>[W1234.C]</v>
      </c>
      <c r="U925" s="12" t="str">
        <f t="shared" si="82"/>
        <v xml:space="preserve"> </v>
      </c>
      <c r="V925" s="49" t="str">
        <f t="shared" si="84"/>
        <v xml:space="preserve">[W1234.C] </v>
      </c>
    </row>
    <row r="926" spans="1:22" s="49" customFormat="1" ht="14.15" customHeight="1">
      <c r="A926" s="44"/>
      <c r="B926" s="44" t="s">
        <v>6637</v>
      </c>
      <c r="C926" s="50"/>
      <c r="D926" s="10" t="s">
        <v>29</v>
      </c>
      <c r="E926" s="11"/>
      <c r="F926" s="11" t="s">
        <v>18</v>
      </c>
      <c r="G926" s="13"/>
      <c r="H926" s="45" t="s">
        <v>16</v>
      </c>
      <c r="I926" s="47"/>
      <c r="J926" s="12" t="s">
        <v>2405</v>
      </c>
      <c r="K926" s="13" t="s">
        <v>7696</v>
      </c>
      <c r="L926" s="99" t="str">
        <f t="shared" si="83"/>
        <v>W1234.D</v>
      </c>
      <c r="M926" s="13"/>
      <c r="N926" s="13"/>
      <c r="O926" s="13"/>
      <c r="P926" s="47"/>
      <c r="Q926" s="45"/>
      <c r="R926" s="45"/>
      <c r="S926" s="48"/>
      <c r="T926" s="49" t="str">
        <f t="shared" si="81"/>
        <v>[W1234.D]</v>
      </c>
      <c r="U926" s="12" t="str">
        <f t="shared" si="82"/>
        <v xml:space="preserve"> </v>
      </c>
      <c r="V926" s="49" t="str">
        <f t="shared" si="84"/>
        <v xml:space="preserve">[W1234.D] </v>
      </c>
    </row>
    <row r="927" spans="1:22" s="49" customFormat="1" ht="14.15" customHeight="1">
      <c r="A927" s="44"/>
      <c r="B927" s="44" t="s">
        <v>6637</v>
      </c>
      <c r="C927" s="50"/>
      <c r="D927" s="10" t="s">
        <v>29</v>
      </c>
      <c r="E927" s="11"/>
      <c r="F927" s="11" t="s">
        <v>18</v>
      </c>
      <c r="G927" s="13"/>
      <c r="H927" s="45" t="s">
        <v>16</v>
      </c>
      <c r="I927" s="47"/>
      <c r="J927" s="12" t="s">
        <v>2406</v>
      </c>
      <c r="K927" s="13" t="s">
        <v>7697</v>
      </c>
      <c r="L927" s="99" t="str">
        <f t="shared" si="83"/>
        <v>W1234.E</v>
      </c>
      <c r="M927" s="13"/>
      <c r="N927" s="13"/>
      <c r="O927" s="13"/>
      <c r="P927" s="47"/>
      <c r="Q927" s="45"/>
      <c r="R927" s="45"/>
      <c r="S927" s="48"/>
      <c r="T927" s="49" t="str">
        <f t="shared" si="81"/>
        <v>[W1234.E]</v>
      </c>
      <c r="U927" s="12" t="str">
        <f t="shared" si="82"/>
        <v xml:space="preserve"> </v>
      </c>
      <c r="V927" s="49" t="str">
        <f t="shared" si="84"/>
        <v xml:space="preserve">[W1234.E] </v>
      </c>
    </row>
    <row r="928" spans="1:22" s="49" customFormat="1" ht="14.15" customHeight="1">
      <c r="A928" s="44"/>
      <c r="B928" s="44" t="s">
        <v>6637</v>
      </c>
      <c r="C928" s="50"/>
      <c r="D928" s="10" t="s">
        <v>29</v>
      </c>
      <c r="E928" s="11"/>
      <c r="F928" s="11" t="s">
        <v>18</v>
      </c>
      <c r="G928" s="13"/>
      <c r="H928" s="45" t="s">
        <v>16</v>
      </c>
      <c r="I928" s="47"/>
      <c r="J928" s="12" t="s">
        <v>756</v>
      </c>
      <c r="K928" s="13" t="s">
        <v>7698</v>
      </c>
      <c r="L928" s="99" t="str">
        <f t="shared" si="83"/>
        <v>W1234.F</v>
      </c>
      <c r="M928" s="13"/>
      <c r="N928" s="13"/>
      <c r="O928" s="13"/>
      <c r="P928" s="47"/>
      <c r="Q928" s="45"/>
      <c r="R928" s="45"/>
      <c r="S928" s="48"/>
      <c r="T928" s="49" t="str">
        <f t="shared" si="81"/>
        <v>[W1234.F]</v>
      </c>
      <c r="U928" s="12" t="str">
        <f t="shared" si="82"/>
        <v xml:space="preserve"> </v>
      </c>
      <c r="V928" s="49" t="str">
        <f t="shared" si="84"/>
        <v xml:space="preserve">[W1234.F] </v>
      </c>
    </row>
    <row r="929" spans="1:22" s="49" customFormat="1" ht="14.15" customHeight="1">
      <c r="A929" s="44"/>
      <c r="B929" s="44" t="s">
        <v>6637</v>
      </c>
      <c r="C929" s="50"/>
      <c r="D929" s="10" t="s">
        <v>29</v>
      </c>
      <c r="E929" s="11"/>
      <c r="F929" s="11" t="s">
        <v>18</v>
      </c>
      <c r="G929" s="13"/>
      <c r="H929" s="45" t="s">
        <v>16</v>
      </c>
      <c r="I929" s="47"/>
      <c r="J929" s="12" t="s">
        <v>757</v>
      </c>
      <c r="K929" s="13" t="s">
        <v>7699</v>
      </c>
      <c r="L929" s="99" t="str">
        <f t="shared" si="83"/>
        <v>W1235.0</v>
      </c>
      <c r="M929" s="13"/>
      <c r="N929" s="13"/>
      <c r="O929" s="13"/>
      <c r="P929" s="47"/>
      <c r="Q929" s="45"/>
      <c r="R929" s="45"/>
      <c r="S929" s="48"/>
      <c r="T929" s="49" t="str">
        <f t="shared" si="81"/>
        <v>[W1235.0]</v>
      </c>
      <c r="U929" s="12" t="str">
        <f t="shared" si="82"/>
        <v xml:space="preserve"> </v>
      </c>
      <c r="V929" s="49" t="str">
        <f t="shared" si="84"/>
        <v xml:space="preserve">[W1235.0] </v>
      </c>
    </row>
    <row r="930" spans="1:22" s="49" customFormat="1" ht="14.15" customHeight="1">
      <c r="A930" s="43" t="s">
        <v>3731</v>
      </c>
      <c r="B930" s="44" t="s">
        <v>6637</v>
      </c>
      <c r="C930" s="50"/>
      <c r="D930" s="10" t="s">
        <v>29</v>
      </c>
      <c r="E930" s="11"/>
      <c r="F930" s="11" t="s">
        <v>18</v>
      </c>
      <c r="G930" s="13"/>
      <c r="H930" s="45" t="s">
        <v>16</v>
      </c>
      <c r="I930" s="47"/>
      <c r="J930" s="12" t="s">
        <v>2407</v>
      </c>
      <c r="K930" s="13" t="s">
        <v>7700</v>
      </c>
      <c r="L930" s="99" t="str">
        <f t="shared" si="83"/>
        <v>W1235.1</v>
      </c>
      <c r="M930" s="13" t="s">
        <v>3667</v>
      </c>
      <c r="N930" s="13"/>
      <c r="O930" s="13"/>
      <c r="P930" s="47"/>
      <c r="Q930" s="45"/>
      <c r="R930" s="45"/>
      <c r="S930" s="48"/>
      <c r="T930" s="49" t="str">
        <f t="shared" si="81"/>
        <v>[W1235.1]</v>
      </c>
      <c r="U930" s="12" t="str">
        <f t="shared" si="82"/>
        <v xml:space="preserve"> 어퍼 스테이지#3 제품 수취 시간초과</v>
      </c>
      <c r="V930" s="49" t="str">
        <f t="shared" si="84"/>
        <v>[W1235.1] 어퍼 스테이지#3 제품 수취 시간초과</v>
      </c>
    </row>
    <row r="931" spans="1:22" s="49" customFormat="1" ht="14.15" customHeight="1">
      <c r="A931" s="43" t="s">
        <v>3731</v>
      </c>
      <c r="B931" s="44" t="s">
        <v>6637</v>
      </c>
      <c r="C931" s="50"/>
      <c r="D931" s="10" t="s">
        <v>29</v>
      </c>
      <c r="E931" s="11"/>
      <c r="F931" s="11" t="s">
        <v>18</v>
      </c>
      <c r="G931" s="13"/>
      <c r="H931" s="45" t="s">
        <v>16</v>
      </c>
      <c r="I931" s="47"/>
      <c r="J931" s="12" t="s">
        <v>2408</v>
      </c>
      <c r="K931" s="13" t="s">
        <v>7701</v>
      </c>
      <c r="L931" s="99" t="str">
        <f t="shared" si="83"/>
        <v>W1235.2</v>
      </c>
      <c r="M931" s="13" t="s">
        <v>3667</v>
      </c>
      <c r="N931" s="13"/>
      <c r="O931" s="13"/>
      <c r="P931" s="47"/>
      <c r="Q931" s="45"/>
      <c r="R931" s="45"/>
      <c r="S931" s="48"/>
      <c r="T931" s="49" t="str">
        <f t="shared" si="81"/>
        <v>[W1235.2]</v>
      </c>
      <c r="U931" s="12" t="str">
        <f t="shared" si="82"/>
        <v xml:space="preserve"> 어퍼 스테이지#3 제품 배출 시간초과</v>
      </c>
      <c r="V931" s="49" t="str">
        <f t="shared" si="84"/>
        <v>[W1235.2] 어퍼 스테이지#3 제품 배출 시간초과</v>
      </c>
    </row>
    <row r="932" spans="1:22" s="49" customFormat="1" ht="14.15" customHeight="1">
      <c r="A932" s="43" t="s">
        <v>3731</v>
      </c>
      <c r="B932" s="44" t="s">
        <v>6637</v>
      </c>
      <c r="C932" s="50"/>
      <c r="D932" s="10" t="s">
        <v>29</v>
      </c>
      <c r="E932" s="11"/>
      <c r="F932" s="11" t="s">
        <v>18</v>
      </c>
      <c r="G932" s="13"/>
      <c r="H932" s="45" t="s">
        <v>16</v>
      </c>
      <c r="I932" s="47"/>
      <c r="J932" s="12" t="s">
        <v>2409</v>
      </c>
      <c r="K932" s="13" t="s">
        <v>7702</v>
      </c>
      <c r="L932" s="99" t="str">
        <f t="shared" si="83"/>
        <v>W1235.3</v>
      </c>
      <c r="M932" s="13" t="s">
        <v>3667</v>
      </c>
      <c r="N932" s="13"/>
      <c r="O932" s="13"/>
      <c r="P932" s="47"/>
      <c r="Q932" s="45"/>
      <c r="R932" s="45"/>
      <c r="S932" s="48"/>
      <c r="T932" s="49" t="str">
        <f t="shared" si="81"/>
        <v>[W1235.3]</v>
      </c>
      <c r="U932" s="12" t="str">
        <f t="shared" si="82"/>
        <v xml:space="preserve"> 어퍼 스테이지#3 제품 수취 시퀀스 이상</v>
      </c>
      <c r="V932" s="49" t="str">
        <f t="shared" si="84"/>
        <v>[W1235.3] 어퍼 스테이지#3 제품 수취 시퀀스 이상</v>
      </c>
    </row>
    <row r="933" spans="1:22" s="49" customFormat="1" ht="14.15" customHeight="1">
      <c r="A933" s="44"/>
      <c r="B933" s="44" t="s">
        <v>6637</v>
      </c>
      <c r="C933" s="50"/>
      <c r="D933" s="10" t="s">
        <v>29</v>
      </c>
      <c r="E933" s="11"/>
      <c r="F933" s="11" t="s">
        <v>18</v>
      </c>
      <c r="G933" s="13"/>
      <c r="H933" s="45" t="s">
        <v>16</v>
      </c>
      <c r="I933" s="47"/>
      <c r="J933" s="12" t="s">
        <v>2410</v>
      </c>
      <c r="K933" s="13" t="s">
        <v>7703</v>
      </c>
      <c r="L933" s="99" t="str">
        <f t="shared" si="83"/>
        <v>W1235.4</v>
      </c>
      <c r="M933" s="13"/>
      <c r="N933" s="13"/>
      <c r="O933" s="13"/>
      <c r="P933" s="47"/>
      <c r="Q933" s="45"/>
      <c r="R933" s="45"/>
      <c r="S933" s="48"/>
      <c r="T933" s="49" t="str">
        <f t="shared" si="81"/>
        <v>[W1235.4]</v>
      </c>
      <c r="U933" s="12" t="str">
        <f t="shared" si="82"/>
        <v xml:space="preserve"> </v>
      </c>
      <c r="V933" s="49" t="str">
        <f t="shared" si="84"/>
        <v xml:space="preserve">[W1235.4] </v>
      </c>
    </row>
    <row r="934" spans="1:22" s="49" customFormat="1" ht="14.15" customHeight="1">
      <c r="A934" s="43" t="s">
        <v>3731</v>
      </c>
      <c r="B934" s="44" t="s">
        <v>6637</v>
      </c>
      <c r="C934" s="50"/>
      <c r="D934" s="10" t="s">
        <v>29</v>
      </c>
      <c r="E934" s="11"/>
      <c r="F934" s="11" t="s">
        <v>18</v>
      </c>
      <c r="G934" s="13"/>
      <c r="H934" s="45" t="s">
        <v>16</v>
      </c>
      <c r="I934" s="47"/>
      <c r="J934" s="12" t="s">
        <v>2411</v>
      </c>
      <c r="K934" s="13" t="s">
        <v>7704</v>
      </c>
      <c r="L934" s="99" t="str">
        <f t="shared" si="83"/>
        <v>W1235.5</v>
      </c>
      <c r="M934" s="13" t="s">
        <v>3667</v>
      </c>
      <c r="N934" s="13"/>
      <c r="O934" s="13"/>
      <c r="P934" s="47"/>
      <c r="Q934" s="45"/>
      <c r="R934" s="45"/>
      <c r="S934" s="48"/>
      <c r="T934" s="49" t="str">
        <f t="shared" ref="T934:T968" si="85">"["&amp;L934&amp;"]"</f>
        <v>[W1235.5]</v>
      </c>
      <c r="U934" s="12" t="str">
        <f t="shared" ref="U934:U968" si="86">RIGHT(J934,LEN(J934)-7)</f>
        <v xml:space="preserve"> 어퍼 스테이지#3 제품 베츨 시퀀스 이상</v>
      </c>
      <c r="V934" s="49" t="str">
        <f t="shared" si="84"/>
        <v>[W1235.5] 어퍼 스테이지#3 제품 베츨 시퀀스 이상</v>
      </c>
    </row>
    <row r="935" spans="1:22" s="49" customFormat="1" ht="14.15" customHeight="1">
      <c r="A935" s="44"/>
      <c r="B935" s="44" t="s">
        <v>6637</v>
      </c>
      <c r="C935" s="50"/>
      <c r="D935" s="10" t="s">
        <v>29</v>
      </c>
      <c r="E935" s="11"/>
      <c r="F935" s="11" t="s">
        <v>18</v>
      </c>
      <c r="G935" s="13"/>
      <c r="H935" s="45" t="s">
        <v>16</v>
      </c>
      <c r="I935" s="47"/>
      <c r="J935" s="12" t="s">
        <v>763</v>
      </c>
      <c r="K935" s="13" t="s">
        <v>7705</v>
      </c>
      <c r="L935" s="99" t="str">
        <f t="shared" si="83"/>
        <v>W1235.6</v>
      </c>
      <c r="M935" s="13"/>
      <c r="N935" s="13"/>
      <c r="O935" s="13"/>
      <c r="P935" s="47"/>
      <c r="Q935" s="45"/>
      <c r="R935" s="45"/>
      <c r="S935" s="48"/>
      <c r="T935" s="49" t="str">
        <f t="shared" si="85"/>
        <v>[W1235.6]</v>
      </c>
      <c r="U935" s="12" t="str">
        <f t="shared" si="86"/>
        <v xml:space="preserve"> </v>
      </c>
      <c r="V935" s="49" t="str">
        <f t="shared" si="84"/>
        <v xml:space="preserve">[W1235.6] </v>
      </c>
    </row>
    <row r="936" spans="1:22" s="49" customFormat="1" ht="14.15" customHeight="1">
      <c r="A936" s="44"/>
      <c r="B936" s="44" t="s">
        <v>6637</v>
      </c>
      <c r="C936" s="50"/>
      <c r="D936" s="10" t="s">
        <v>29</v>
      </c>
      <c r="E936" s="11"/>
      <c r="F936" s="11" t="s">
        <v>18</v>
      </c>
      <c r="G936" s="13"/>
      <c r="H936" s="45" t="s">
        <v>16</v>
      </c>
      <c r="I936" s="47"/>
      <c r="J936" s="12" t="s">
        <v>764</v>
      </c>
      <c r="K936" s="13" t="s">
        <v>7706</v>
      </c>
      <c r="L936" s="99" t="str">
        <f t="shared" si="83"/>
        <v>W1235.7</v>
      </c>
      <c r="M936" s="13"/>
      <c r="N936" s="13"/>
      <c r="O936" s="13"/>
      <c r="P936" s="47"/>
      <c r="Q936" s="45"/>
      <c r="R936" s="45"/>
      <c r="S936" s="48"/>
      <c r="T936" s="49" t="str">
        <f t="shared" si="85"/>
        <v>[W1235.7]</v>
      </c>
      <c r="U936" s="12" t="str">
        <f t="shared" si="86"/>
        <v xml:space="preserve"> </v>
      </c>
      <c r="V936" s="49" t="str">
        <f t="shared" si="84"/>
        <v xml:space="preserve">[W1235.7] </v>
      </c>
    </row>
    <row r="937" spans="1:22" s="49" customFormat="1" ht="14.15" customHeight="1">
      <c r="A937" s="44"/>
      <c r="B937" s="44" t="s">
        <v>6637</v>
      </c>
      <c r="C937" s="50"/>
      <c r="D937" s="10" t="s">
        <v>29</v>
      </c>
      <c r="E937" s="11"/>
      <c r="F937" s="11" t="s">
        <v>18</v>
      </c>
      <c r="G937" s="13"/>
      <c r="H937" s="45" t="s">
        <v>16</v>
      </c>
      <c r="I937" s="47"/>
      <c r="J937" s="12" t="s">
        <v>765</v>
      </c>
      <c r="K937" s="13" t="s">
        <v>7707</v>
      </c>
      <c r="L937" s="99" t="str">
        <f t="shared" si="83"/>
        <v>W1235.8</v>
      </c>
      <c r="M937" s="13"/>
      <c r="N937" s="13"/>
      <c r="O937" s="13"/>
      <c r="P937" s="47"/>
      <c r="Q937" s="45"/>
      <c r="R937" s="45"/>
      <c r="S937" s="48"/>
      <c r="T937" s="49" t="str">
        <f t="shared" si="85"/>
        <v>[W1235.8]</v>
      </c>
      <c r="U937" s="12" t="str">
        <f t="shared" si="86"/>
        <v xml:space="preserve"> </v>
      </c>
      <c r="V937" s="49" t="str">
        <f t="shared" si="84"/>
        <v xml:space="preserve">[W1235.8] </v>
      </c>
    </row>
    <row r="938" spans="1:22" s="49" customFormat="1" ht="14.15" customHeight="1">
      <c r="A938" s="44"/>
      <c r="B938" s="44" t="s">
        <v>6637</v>
      </c>
      <c r="C938" s="50"/>
      <c r="D938" s="10" t="s">
        <v>29</v>
      </c>
      <c r="E938" s="11"/>
      <c r="F938" s="11" t="s">
        <v>18</v>
      </c>
      <c r="G938" s="13"/>
      <c r="H938" s="45" t="s">
        <v>16</v>
      </c>
      <c r="I938" s="47"/>
      <c r="J938" s="12" t="s">
        <v>766</v>
      </c>
      <c r="K938" s="13" t="s">
        <v>7708</v>
      </c>
      <c r="L938" s="99" t="str">
        <f t="shared" si="83"/>
        <v>W1235.9</v>
      </c>
      <c r="M938" s="13"/>
      <c r="N938" s="13"/>
      <c r="O938" s="13"/>
      <c r="P938" s="47"/>
      <c r="Q938" s="45"/>
      <c r="R938" s="45"/>
      <c r="S938" s="48"/>
      <c r="T938" s="49" t="str">
        <f t="shared" si="85"/>
        <v>[W1235.9]</v>
      </c>
      <c r="U938" s="12" t="str">
        <f t="shared" si="86"/>
        <v xml:space="preserve"> </v>
      </c>
      <c r="V938" s="49" t="str">
        <f t="shared" si="84"/>
        <v xml:space="preserve">[W1235.9] </v>
      </c>
    </row>
    <row r="939" spans="1:22" s="49" customFormat="1" ht="14.15" customHeight="1">
      <c r="A939" s="43" t="s">
        <v>3731</v>
      </c>
      <c r="B939" s="44" t="s">
        <v>6637</v>
      </c>
      <c r="C939" s="50"/>
      <c r="D939" s="10" t="s">
        <v>29</v>
      </c>
      <c r="E939" s="11"/>
      <c r="F939" s="11" t="s">
        <v>18</v>
      </c>
      <c r="G939" s="13"/>
      <c r="H939" s="45" t="s">
        <v>16</v>
      </c>
      <c r="I939" s="47"/>
      <c r="J939" s="12" t="s">
        <v>2412</v>
      </c>
      <c r="K939" s="13" t="s">
        <v>7709</v>
      </c>
      <c r="L939" s="99" t="str">
        <f t="shared" si="83"/>
        <v>W1235.A</v>
      </c>
      <c r="M939" s="13" t="s">
        <v>3667</v>
      </c>
      <c r="N939" s="13"/>
      <c r="O939" s="13"/>
      <c r="P939" s="47"/>
      <c r="Q939" s="45"/>
      <c r="R939" s="45"/>
      <c r="S939" s="48"/>
      <c r="T939" s="49" t="str">
        <f t="shared" si="85"/>
        <v>[W1235.A]</v>
      </c>
      <c r="U939" s="12" t="str">
        <f t="shared" si="86"/>
        <v xml:space="preserve"> 어퍼 스테이지#3 제품 데이터 불일치 이상 (X404)</v>
      </c>
      <c r="V939" s="49" t="str">
        <f t="shared" si="84"/>
        <v>[W1235.A] 어퍼 스테이지#3 제품 데이터 불일치 이상 (X404)</v>
      </c>
    </row>
    <row r="940" spans="1:22" s="49" customFormat="1" ht="14.15" customHeight="1">
      <c r="A940" s="44"/>
      <c r="B940" s="44" t="s">
        <v>6637</v>
      </c>
      <c r="C940" s="50"/>
      <c r="D940" s="10" t="s">
        <v>29</v>
      </c>
      <c r="E940" s="11"/>
      <c r="F940" s="11" t="s">
        <v>18</v>
      </c>
      <c r="G940" s="13"/>
      <c r="H940" s="45" t="s">
        <v>16</v>
      </c>
      <c r="I940" s="47"/>
      <c r="J940" s="12" t="s">
        <v>2413</v>
      </c>
      <c r="K940" s="13" t="s">
        <v>7710</v>
      </c>
      <c r="L940" s="99" t="str">
        <f t="shared" si="83"/>
        <v>W1235.B</v>
      </c>
      <c r="M940" s="13"/>
      <c r="N940" s="13"/>
      <c r="O940" s="13"/>
      <c r="P940" s="47"/>
      <c r="Q940" s="45"/>
      <c r="R940" s="45"/>
      <c r="S940" s="48"/>
      <c r="T940" s="49" t="str">
        <f t="shared" si="85"/>
        <v>[W1235.B]</v>
      </c>
      <c r="U940" s="12" t="str">
        <f t="shared" si="86"/>
        <v xml:space="preserve"> </v>
      </c>
      <c r="V940" s="49" t="str">
        <f t="shared" si="84"/>
        <v xml:space="preserve">[W1235.B] </v>
      </c>
    </row>
    <row r="941" spans="1:22" s="49" customFormat="1" ht="14.15" customHeight="1">
      <c r="A941" s="44"/>
      <c r="B941" s="44" t="s">
        <v>6637</v>
      </c>
      <c r="C941" s="50"/>
      <c r="D941" s="10" t="s">
        <v>29</v>
      </c>
      <c r="E941" s="11"/>
      <c r="F941" s="11" t="s">
        <v>18</v>
      </c>
      <c r="G941" s="13"/>
      <c r="H941" s="45" t="s">
        <v>16</v>
      </c>
      <c r="I941" s="47"/>
      <c r="J941" s="12" t="s">
        <v>2414</v>
      </c>
      <c r="K941" s="13" t="s">
        <v>7711</v>
      </c>
      <c r="L941" s="99" t="str">
        <f t="shared" si="83"/>
        <v>W1235.C</v>
      </c>
      <c r="M941" s="13"/>
      <c r="N941" s="13"/>
      <c r="O941" s="13"/>
      <c r="P941" s="47"/>
      <c r="Q941" s="45"/>
      <c r="R941" s="45"/>
      <c r="S941" s="48"/>
      <c r="T941" s="49" t="str">
        <f t="shared" si="85"/>
        <v>[W1235.C]</v>
      </c>
      <c r="U941" s="12" t="str">
        <f t="shared" si="86"/>
        <v xml:space="preserve"> </v>
      </c>
      <c r="V941" s="49" t="str">
        <f t="shared" si="84"/>
        <v xml:space="preserve">[W1235.C] </v>
      </c>
    </row>
    <row r="942" spans="1:22" s="49" customFormat="1" ht="14.15" customHeight="1">
      <c r="A942" s="44"/>
      <c r="B942" s="44" t="s">
        <v>6637</v>
      </c>
      <c r="C942" s="50"/>
      <c r="D942" s="10" t="s">
        <v>29</v>
      </c>
      <c r="E942" s="11"/>
      <c r="F942" s="11" t="s">
        <v>18</v>
      </c>
      <c r="G942" s="13"/>
      <c r="H942" s="45" t="s">
        <v>16</v>
      </c>
      <c r="I942" s="47"/>
      <c r="J942" s="12" t="s">
        <v>2415</v>
      </c>
      <c r="K942" s="13" t="s">
        <v>7712</v>
      </c>
      <c r="L942" s="99" t="str">
        <f t="shared" si="83"/>
        <v>W1235.D</v>
      </c>
      <c r="M942" s="13"/>
      <c r="N942" s="13"/>
      <c r="O942" s="13"/>
      <c r="P942" s="47"/>
      <c r="Q942" s="45"/>
      <c r="R942" s="45"/>
      <c r="S942" s="48"/>
      <c r="T942" s="49" t="str">
        <f t="shared" si="85"/>
        <v>[W1235.D]</v>
      </c>
      <c r="U942" s="12" t="str">
        <f t="shared" si="86"/>
        <v xml:space="preserve"> </v>
      </c>
      <c r="V942" s="49" t="str">
        <f t="shared" si="84"/>
        <v xml:space="preserve">[W1235.D] </v>
      </c>
    </row>
    <row r="943" spans="1:22" s="49" customFormat="1" ht="14.15" customHeight="1">
      <c r="A943" s="44"/>
      <c r="B943" s="44" t="s">
        <v>6637</v>
      </c>
      <c r="C943" s="50"/>
      <c r="D943" s="10" t="s">
        <v>29</v>
      </c>
      <c r="E943" s="11"/>
      <c r="F943" s="11" t="s">
        <v>18</v>
      </c>
      <c r="G943" s="13"/>
      <c r="H943" s="45" t="s">
        <v>16</v>
      </c>
      <c r="I943" s="47"/>
      <c r="J943" s="12" t="s">
        <v>2416</v>
      </c>
      <c r="K943" s="13" t="s">
        <v>7713</v>
      </c>
      <c r="L943" s="99" t="str">
        <f t="shared" si="83"/>
        <v>W1235.E</v>
      </c>
      <c r="M943" s="13"/>
      <c r="N943" s="13"/>
      <c r="O943" s="13"/>
      <c r="P943" s="47"/>
      <c r="Q943" s="45"/>
      <c r="R943" s="45"/>
      <c r="S943" s="48"/>
      <c r="T943" s="49" t="str">
        <f t="shared" si="85"/>
        <v>[W1235.E]</v>
      </c>
      <c r="U943" s="12" t="str">
        <f t="shared" si="86"/>
        <v xml:space="preserve"> </v>
      </c>
      <c r="V943" s="49" t="str">
        <f t="shared" si="84"/>
        <v xml:space="preserve">[W1235.E] </v>
      </c>
    </row>
    <row r="944" spans="1:22" s="49" customFormat="1" ht="14.15" customHeight="1">
      <c r="A944" s="44"/>
      <c r="B944" s="44" t="s">
        <v>6637</v>
      </c>
      <c r="C944" s="50"/>
      <c r="D944" s="10" t="s">
        <v>29</v>
      </c>
      <c r="E944" s="11"/>
      <c r="F944" s="11" t="s">
        <v>18</v>
      </c>
      <c r="G944" s="13"/>
      <c r="H944" s="45" t="s">
        <v>16</v>
      </c>
      <c r="I944" s="47"/>
      <c r="J944" s="12" t="s">
        <v>2417</v>
      </c>
      <c r="K944" s="13" t="s">
        <v>7714</v>
      </c>
      <c r="L944" s="99" t="str">
        <f t="shared" si="83"/>
        <v>W1235.F</v>
      </c>
      <c r="M944" s="13"/>
      <c r="N944" s="13"/>
      <c r="O944" s="13"/>
      <c r="P944" s="47"/>
      <c r="Q944" s="45"/>
      <c r="R944" s="45"/>
      <c r="S944" s="48"/>
      <c r="T944" s="49" t="str">
        <f t="shared" si="85"/>
        <v>[W1235.F]</v>
      </c>
      <c r="U944" s="12" t="str">
        <f t="shared" si="86"/>
        <v xml:space="preserve"> </v>
      </c>
      <c r="V944" s="49" t="str">
        <f t="shared" si="84"/>
        <v xml:space="preserve">[W1235.F] </v>
      </c>
    </row>
    <row r="945" spans="1:22" s="49" customFormat="1" ht="14.15" customHeight="1">
      <c r="A945" s="44"/>
      <c r="B945" s="44" t="s">
        <v>6637</v>
      </c>
      <c r="C945" s="50"/>
      <c r="D945" s="10" t="s">
        <v>29</v>
      </c>
      <c r="E945" s="11"/>
      <c r="F945" s="11" t="s">
        <v>18</v>
      </c>
      <c r="G945" s="13"/>
      <c r="H945" s="45" t="s">
        <v>16</v>
      </c>
      <c r="I945" s="47"/>
      <c r="J945" s="12" t="s">
        <v>2418</v>
      </c>
      <c r="K945" s="13" t="s">
        <v>7715</v>
      </c>
      <c r="L945" s="99" t="str">
        <f t="shared" si="83"/>
        <v>W1236.0</v>
      </c>
      <c r="M945" s="13"/>
      <c r="N945" s="13"/>
      <c r="O945" s="13"/>
      <c r="P945" s="47"/>
      <c r="Q945" s="45"/>
      <c r="R945" s="45"/>
      <c r="S945" s="48"/>
      <c r="T945" s="49" t="str">
        <f t="shared" si="85"/>
        <v>[W1236.0]</v>
      </c>
      <c r="U945" s="12" t="str">
        <f t="shared" si="86"/>
        <v xml:space="preserve"> </v>
      </c>
      <c r="V945" s="49" t="str">
        <f t="shared" si="84"/>
        <v xml:space="preserve">[W1236.0] </v>
      </c>
    </row>
    <row r="946" spans="1:22" s="49" customFormat="1" ht="14.15" customHeight="1">
      <c r="A946" s="44"/>
      <c r="B946" s="44" t="s">
        <v>6637</v>
      </c>
      <c r="C946" s="50"/>
      <c r="D946" s="10" t="s">
        <v>29</v>
      </c>
      <c r="E946" s="11"/>
      <c r="F946" s="11" t="s">
        <v>18</v>
      </c>
      <c r="G946" s="13"/>
      <c r="H946" s="45" t="s">
        <v>16</v>
      </c>
      <c r="I946" s="47"/>
      <c r="J946" s="12" t="s">
        <v>2419</v>
      </c>
      <c r="K946" s="13" t="s">
        <v>7716</v>
      </c>
      <c r="L946" s="99" t="str">
        <f t="shared" si="83"/>
        <v>W1236.1</v>
      </c>
      <c r="M946" s="13"/>
      <c r="N946" s="13"/>
      <c r="O946" s="13"/>
      <c r="P946" s="47"/>
      <c r="Q946" s="45"/>
      <c r="R946" s="45"/>
      <c r="S946" s="48"/>
      <c r="T946" s="49" t="str">
        <f t="shared" si="85"/>
        <v>[W1236.1]</v>
      </c>
      <c r="U946" s="12" t="str">
        <f t="shared" si="86"/>
        <v xml:space="preserve"> </v>
      </c>
      <c r="V946" s="49" t="str">
        <f t="shared" si="84"/>
        <v xml:space="preserve">[W1236.1] </v>
      </c>
    </row>
    <row r="947" spans="1:22" s="49" customFormat="1" ht="14.15" customHeight="1">
      <c r="A947" s="44"/>
      <c r="B947" s="44" t="s">
        <v>6637</v>
      </c>
      <c r="C947" s="50"/>
      <c r="D947" s="10" t="s">
        <v>29</v>
      </c>
      <c r="E947" s="11"/>
      <c r="F947" s="11" t="s">
        <v>18</v>
      </c>
      <c r="G947" s="13"/>
      <c r="H947" s="45" t="s">
        <v>16</v>
      </c>
      <c r="I947" s="47"/>
      <c r="J947" s="12" t="s">
        <v>2420</v>
      </c>
      <c r="K947" s="13" t="s">
        <v>7717</v>
      </c>
      <c r="L947" s="99" t="str">
        <f t="shared" si="83"/>
        <v>W1236.2</v>
      </c>
      <c r="M947" s="13"/>
      <c r="N947" s="13"/>
      <c r="O947" s="13"/>
      <c r="P947" s="47"/>
      <c r="Q947" s="45"/>
      <c r="R947" s="45"/>
      <c r="S947" s="48"/>
      <c r="T947" s="49" t="str">
        <f t="shared" si="85"/>
        <v>[W1236.2]</v>
      </c>
      <c r="U947" s="12" t="str">
        <f t="shared" si="86"/>
        <v xml:space="preserve"> </v>
      </c>
      <c r="V947" s="49" t="str">
        <f t="shared" si="84"/>
        <v xml:space="preserve">[W1236.2] </v>
      </c>
    </row>
    <row r="948" spans="1:22" s="49" customFormat="1" ht="14.15" customHeight="1">
      <c r="A948" s="44"/>
      <c r="B948" s="44" t="s">
        <v>6637</v>
      </c>
      <c r="C948" s="50"/>
      <c r="D948" s="10" t="s">
        <v>29</v>
      </c>
      <c r="E948" s="11"/>
      <c r="F948" s="11" t="s">
        <v>18</v>
      </c>
      <c r="G948" s="13"/>
      <c r="H948" s="45" t="s">
        <v>16</v>
      </c>
      <c r="I948" s="47"/>
      <c r="J948" s="12" t="s">
        <v>2421</v>
      </c>
      <c r="K948" s="13" t="s">
        <v>7718</v>
      </c>
      <c r="L948" s="99" t="str">
        <f t="shared" si="83"/>
        <v>W1236.3</v>
      </c>
      <c r="M948" s="13"/>
      <c r="N948" s="13"/>
      <c r="O948" s="13"/>
      <c r="P948" s="47"/>
      <c r="Q948" s="45"/>
      <c r="R948" s="45"/>
      <c r="S948" s="48"/>
      <c r="T948" s="49" t="str">
        <f t="shared" si="85"/>
        <v>[W1236.3]</v>
      </c>
      <c r="U948" s="12" t="str">
        <f t="shared" si="86"/>
        <v xml:space="preserve"> </v>
      </c>
      <c r="V948" s="49" t="str">
        <f t="shared" si="84"/>
        <v xml:space="preserve">[W1236.3] </v>
      </c>
    </row>
    <row r="949" spans="1:22" s="49" customFormat="1" ht="14.15" customHeight="1">
      <c r="A949" s="44"/>
      <c r="B949" s="44" t="s">
        <v>6637</v>
      </c>
      <c r="C949" s="50"/>
      <c r="D949" s="10" t="s">
        <v>29</v>
      </c>
      <c r="E949" s="11"/>
      <c r="F949" s="11" t="s">
        <v>18</v>
      </c>
      <c r="G949" s="13"/>
      <c r="H949" s="45" t="s">
        <v>16</v>
      </c>
      <c r="I949" s="47"/>
      <c r="J949" s="12" t="s">
        <v>2422</v>
      </c>
      <c r="K949" s="13" t="s">
        <v>7719</v>
      </c>
      <c r="L949" s="99" t="str">
        <f t="shared" si="83"/>
        <v>W1236.4</v>
      </c>
      <c r="M949" s="13"/>
      <c r="N949" s="13"/>
      <c r="O949" s="13"/>
      <c r="P949" s="47"/>
      <c r="Q949" s="45"/>
      <c r="R949" s="45"/>
      <c r="S949" s="48"/>
      <c r="T949" s="49" t="str">
        <f t="shared" si="85"/>
        <v>[W1236.4]</v>
      </c>
      <c r="U949" s="12" t="str">
        <f t="shared" si="86"/>
        <v xml:space="preserve"> </v>
      </c>
      <c r="V949" s="49" t="str">
        <f t="shared" si="84"/>
        <v xml:space="preserve">[W1236.4] </v>
      </c>
    </row>
    <row r="950" spans="1:22" s="49" customFormat="1" ht="14.15" customHeight="1">
      <c r="A950" s="43" t="s">
        <v>3731</v>
      </c>
      <c r="B950" s="44" t="s">
        <v>6637</v>
      </c>
      <c r="C950" s="50"/>
      <c r="D950" s="10" t="s">
        <v>29</v>
      </c>
      <c r="E950" s="11"/>
      <c r="F950" s="11" t="s">
        <v>18</v>
      </c>
      <c r="G950" s="13"/>
      <c r="H950" s="45" t="s">
        <v>16</v>
      </c>
      <c r="I950" s="47"/>
      <c r="J950" s="12" t="s">
        <v>2423</v>
      </c>
      <c r="K950" s="13" t="s">
        <v>7720</v>
      </c>
      <c r="L950" s="99" t="str">
        <f t="shared" si="83"/>
        <v>W1236.5</v>
      </c>
      <c r="M950" s="13" t="s">
        <v>3667</v>
      </c>
      <c r="N950" s="13"/>
      <c r="O950" s="13"/>
      <c r="P950" s="47"/>
      <c r="Q950" s="45"/>
      <c r="R950" s="45"/>
      <c r="S950" s="48"/>
      <c r="T950" s="49" t="str">
        <f t="shared" si="85"/>
        <v>[W1236.5]</v>
      </c>
      <c r="U950" s="12" t="str">
        <f t="shared" si="86"/>
        <v xml:space="preserve"> 어퍼 스테이지#4 제품 수취 시간초과</v>
      </c>
      <c r="V950" s="49" t="str">
        <f t="shared" si="84"/>
        <v>[W1236.5] 어퍼 스테이지#4 제품 수취 시간초과</v>
      </c>
    </row>
    <row r="951" spans="1:22" s="49" customFormat="1" ht="14.15" customHeight="1">
      <c r="A951" s="43" t="s">
        <v>3731</v>
      </c>
      <c r="B951" s="44" t="s">
        <v>6637</v>
      </c>
      <c r="C951" s="50"/>
      <c r="D951" s="10" t="s">
        <v>29</v>
      </c>
      <c r="E951" s="11"/>
      <c r="F951" s="11" t="s">
        <v>18</v>
      </c>
      <c r="G951" s="13"/>
      <c r="H951" s="45" t="s">
        <v>16</v>
      </c>
      <c r="I951" s="47"/>
      <c r="J951" s="12" t="s">
        <v>2424</v>
      </c>
      <c r="K951" s="13" t="s">
        <v>7721</v>
      </c>
      <c r="L951" s="99" t="str">
        <f t="shared" si="83"/>
        <v>W1236.6</v>
      </c>
      <c r="M951" s="13" t="s">
        <v>3667</v>
      </c>
      <c r="N951" s="13"/>
      <c r="O951" s="13"/>
      <c r="P951" s="47"/>
      <c r="Q951" s="45"/>
      <c r="R951" s="45"/>
      <c r="S951" s="48"/>
      <c r="T951" s="49" t="str">
        <f t="shared" si="85"/>
        <v>[W1236.6]</v>
      </c>
      <c r="U951" s="12" t="str">
        <f t="shared" si="86"/>
        <v xml:space="preserve"> 어퍼 스테이지#4 제품 배출 시간초과</v>
      </c>
      <c r="V951" s="49" t="str">
        <f t="shared" si="84"/>
        <v>[W1236.6] 어퍼 스테이지#4 제품 배출 시간초과</v>
      </c>
    </row>
    <row r="952" spans="1:22" s="49" customFormat="1" ht="14.15" customHeight="1">
      <c r="A952" s="43" t="s">
        <v>3731</v>
      </c>
      <c r="B952" s="44" t="s">
        <v>6637</v>
      </c>
      <c r="C952" s="50"/>
      <c r="D952" s="10" t="s">
        <v>29</v>
      </c>
      <c r="E952" s="11"/>
      <c r="F952" s="11" t="s">
        <v>18</v>
      </c>
      <c r="G952" s="13"/>
      <c r="H952" s="45" t="s">
        <v>16</v>
      </c>
      <c r="I952" s="47"/>
      <c r="J952" s="12" t="s">
        <v>2425</v>
      </c>
      <c r="K952" s="13" t="s">
        <v>7722</v>
      </c>
      <c r="L952" s="99" t="str">
        <f t="shared" si="83"/>
        <v>W1236.7</v>
      </c>
      <c r="M952" s="13" t="s">
        <v>3667</v>
      </c>
      <c r="N952" s="13"/>
      <c r="O952" s="13"/>
      <c r="P952" s="47"/>
      <c r="Q952" s="45"/>
      <c r="R952" s="45"/>
      <c r="S952" s="48"/>
      <c r="T952" s="49" t="str">
        <f t="shared" si="85"/>
        <v>[W1236.7]</v>
      </c>
      <c r="U952" s="12" t="str">
        <f t="shared" si="86"/>
        <v xml:space="preserve"> 어퍼 스테이지#4 제품 수취 시퀀스 이상</v>
      </c>
      <c r="V952" s="49" t="str">
        <f t="shared" si="84"/>
        <v>[W1236.7] 어퍼 스테이지#4 제품 수취 시퀀스 이상</v>
      </c>
    </row>
    <row r="953" spans="1:22" s="49" customFormat="1" ht="14.15" customHeight="1">
      <c r="A953" s="44"/>
      <c r="B953" s="44" t="s">
        <v>6637</v>
      </c>
      <c r="C953" s="50"/>
      <c r="D953" s="10" t="s">
        <v>29</v>
      </c>
      <c r="E953" s="11"/>
      <c r="F953" s="11" t="s">
        <v>18</v>
      </c>
      <c r="G953" s="13"/>
      <c r="H953" s="45" t="s">
        <v>16</v>
      </c>
      <c r="I953" s="47"/>
      <c r="J953" s="12" t="s">
        <v>781</v>
      </c>
      <c r="K953" s="13" t="s">
        <v>7723</v>
      </c>
      <c r="L953" s="99" t="str">
        <f t="shared" si="83"/>
        <v>W1236.8</v>
      </c>
      <c r="M953" s="13"/>
      <c r="N953" s="13"/>
      <c r="O953" s="13"/>
      <c r="P953" s="47"/>
      <c r="Q953" s="45"/>
      <c r="R953" s="45"/>
      <c r="S953" s="48"/>
      <c r="T953" s="49" t="str">
        <f t="shared" si="85"/>
        <v>[W1236.8]</v>
      </c>
      <c r="U953" s="12" t="str">
        <f t="shared" si="86"/>
        <v xml:space="preserve"> </v>
      </c>
      <c r="V953" s="49" t="str">
        <f t="shared" si="84"/>
        <v xml:space="preserve">[W1236.8] </v>
      </c>
    </row>
    <row r="954" spans="1:22" s="49" customFormat="1" ht="14.15" customHeight="1">
      <c r="A954" s="43" t="s">
        <v>3731</v>
      </c>
      <c r="B954" s="44" t="s">
        <v>6637</v>
      </c>
      <c r="C954" s="50"/>
      <c r="D954" s="10" t="s">
        <v>29</v>
      </c>
      <c r="E954" s="11"/>
      <c r="F954" s="11" t="s">
        <v>18</v>
      </c>
      <c r="G954" s="13"/>
      <c r="H954" s="45" t="s">
        <v>16</v>
      </c>
      <c r="I954" s="47"/>
      <c r="J954" s="12" t="s">
        <v>2426</v>
      </c>
      <c r="K954" s="13" t="s">
        <v>7724</v>
      </c>
      <c r="L954" s="99" t="str">
        <f t="shared" si="83"/>
        <v>W1236.9</v>
      </c>
      <c r="M954" s="13"/>
      <c r="N954" s="13"/>
      <c r="O954" s="13"/>
      <c r="P954" s="47"/>
      <c r="Q954" s="45"/>
      <c r="R954" s="45"/>
      <c r="S954" s="48"/>
      <c r="T954" s="49" t="str">
        <f t="shared" si="85"/>
        <v>[W1236.9]</v>
      </c>
      <c r="U954" s="12" t="str">
        <f t="shared" si="86"/>
        <v xml:space="preserve"> 어퍼 스테이지#4 제품 베츨 시퀀스 이상</v>
      </c>
      <c r="V954" s="49" t="str">
        <f t="shared" si="84"/>
        <v>[W1236.9] 어퍼 스테이지#4 제품 베츨 시퀀스 이상</v>
      </c>
    </row>
    <row r="955" spans="1:22" s="49" customFormat="1" ht="14.15" customHeight="1">
      <c r="A955" s="44"/>
      <c r="B955" s="44" t="s">
        <v>6637</v>
      </c>
      <c r="C955" s="50"/>
      <c r="D955" s="10" t="s">
        <v>29</v>
      </c>
      <c r="E955" s="11"/>
      <c r="F955" s="11" t="s">
        <v>18</v>
      </c>
      <c r="G955" s="13"/>
      <c r="H955" s="45" t="s">
        <v>16</v>
      </c>
      <c r="I955" s="47"/>
      <c r="J955" s="12" t="s">
        <v>2427</v>
      </c>
      <c r="K955" s="13" t="s">
        <v>7725</v>
      </c>
      <c r="L955" s="99" t="str">
        <f t="shared" si="83"/>
        <v>W1236.A</v>
      </c>
      <c r="M955" s="13"/>
      <c r="N955" s="13"/>
      <c r="O955" s="13"/>
      <c r="P955" s="47"/>
      <c r="Q955" s="45"/>
      <c r="R955" s="45"/>
      <c r="S955" s="48"/>
      <c r="T955" s="49" t="str">
        <f t="shared" si="85"/>
        <v>[W1236.A]</v>
      </c>
      <c r="U955" s="12" t="str">
        <f t="shared" si="86"/>
        <v xml:space="preserve"> </v>
      </c>
      <c r="V955" s="49" t="str">
        <f t="shared" si="84"/>
        <v xml:space="preserve">[W1236.A] </v>
      </c>
    </row>
    <row r="956" spans="1:22" s="49" customFormat="1" ht="14.15" customHeight="1">
      <c r="A956" s="44"/>
      <c r="B956" s="44" t="s">
        <v>6637</v>
      </c>
      <c r="C956" s="50"/>
      <c r="D956" s="10" t="s">
        <v>29</v>
      </c>
      <c r="E956" s="11"/>
      <c r="F956" s="11" t="s">
        <v>18</v>
      </c>
      <c r="G956" s="13"/>
      <c r="H956" s="45" t="s">
        <v>16</v>
      </c>
      <c r="I956" s="47"/>
      <c r="J956" s="12" t="s">
        <v>2428</v>
      </c>
      <c r="K956" s="13" t="s">
        <v>7726</v>
      </c>
      <c r="L956" s="99" t="str">
        <f t="shared" si="83"/>
        <v>W1236.B</v>
      </c>
      <c r="M956" s="13"/>
      <c r="N956" s="13"/>
      <c r="O956" s="13"/>
      <c r="P956" s="47"/>
      <c r="Q956" s="45"/>
      <c r="R956" s="45"/>
      <c r="S956" s="48"/>
      <c r="T956" s="49" t="str">
        <f t="shared" si="85"/>
        <v>[W1236.B]</v>
      </c>
      <c r="U956" s="12" t="str">
        <f t="shared" si="86"/>
        <v xml:space="preserve"> </v>
      </c>
      <c r="V956" s="49" t="str">
        <f t="shared" si="84"/>
        <v xml:space="preserve">[W1236.B] </v>
      </c>
    </row>
    <row r="957" spans="1:22" s="49" customFormat="1" ht="14.15" customHeight="1">
      <c r="A957" s="44"/>
      <c r="B957" s="44" t="s">
        <v>6637</v>
      </c>
      <c r="C957" s="50"/>
      <c r="D957" s="10" t="s">
        <v>29</v>
      </c>
      <c r="E957" s="11"/>
      <c r="F957" s="11" t="s">
        <v>18</v>
      </c>
      <c r="G957" s="13"/>
      <c r="H957" s="45" t="s">
        <v>16</v>
      </c>
      <c r="I957" s="47"/>
      <c r="J957" s="12" t="s">
        <v>2429</v>
      </c>
      <c r="K957" s="13" t="s">
        <v>7727</v>
      </c>
      <c r="L957" s="99" t="str">
        <f t="shared" si="83"/>
        <v>W1236.C</v>
      </c>
      <c r="M957" s="13"/>
      <c r="N957" s="13"/>
      <c r="O957" s="13"/>
      <c r="P957" s="47"/>
      <c r="Q957" s="45"/>
      <c r="R957" s="45"/>
      <c r="S957" s="48"/>
      <c r="T957" s="49" t="str">
        <f t="shared" si="85"/>
        <v>[W1236.C]</v>
      </c>
      <c r="U957" s="12" t="str">
        <f t="shared" si="86"/>
        <v xml:space="preserve"> </v>
      </c>
      <c r="V957" s="49" t="str">
        <f t="shared" si="84"/>
        <v xml:space="preserve">[W1236.C] </v>
      </c>
    </row>
    <row r="958" spans="1:22" s="49" customFormat="1" ht="14.15" customHeight="1">
      <c r="A958" s="44"/>
      <c r="B958" s="44" t="s">
        <v>6637</v>
      </c>
      <c r="C958" s="50"/>
      <c r="D958" s="10" t="s">
        <v>29</v>
      </c>
      <c r="E958" s="11"/>
      <c r="F958" s="11" t="s">
        <v>18</v>
      </c>
      <c r="G958" s="13"/>
      <c r="H958" s="45" t="s">
        <v>16</v>
      </c>
      <c r="I958" s="47"/>
      <c r="J958" s="12" t="s">
        <v>2430</v>
      </c>
      <c r="K958" s="13" t="s">
        <v>7728</v>
      </c>
      <c r="L958" s="99" t="str">
        <f t="shared" si="83"/>
        <v>W1236.D</v>
      </c>
      <c r="M958" s="13"/>
      <c r="N958" s="13"/>
      <c r="O958" s="13"/>
      <c r="P958" s="47"/>
      <c r="Q958" s="45"/>
      <c r="R958" s="45"/>
      <c r="S958" s="48"/>
      <c r="T958" s="49" t="str">
        <f t="shared" si="85"/>
        <v>[W1236.D]</v>
      </c>
      <c r="U958" s="12" t="str">
        <f t="shared" si="86"/>
        <v xml:space="preserve"> </v>
      </c>
      <c r="V958" s="49" t="str">
        <f t="shared" si="84"/>
        <v xml:space="preserve">[W1236.D] </v>
      </c>
    </row>
    <row r="959" spans="1:22" s="49" customFormat="1" ht="14.15" customHeight="1">
      <c r="A959" s="44"/>
      <c r="B959" s="44" t="s">
        <v>6637</v>
      </c>
      <c r="C959" s="50"/>
      <c r="D959" s="10" t="s">
        <v>29</v>
      </c>
      <c r="E959" s="11"/>
      <c r="F959" s="11" t="s">
        <v>18</v>
      </c>
      <c r="G959" s="13"/>
      <c r="H959" s="45" t="s">
        <v>16</v>
      </c>
      <c r="I959" s="47"/>
      <c r="J959" s="12" t="s">
        <v>2431</v>
      </c>
      <c r="K959" s="13" t="s">
        <v>7729</v>
      </c>
      <c r="L959" s="99" t="str">
        <f t="shared" si="83"/>
        <v>W1236.E</v>
      </c>
      <c r="M959" s="13" t="s">
        <v>3667</v>
      </c>
      <c r="N959" s="13"/>
      <c r="O959" s="13"/>
      <c r="P959" s="47"/>
      <c r="Q959" s="45"/>
      <c r="R959" s="45"/>
      <c r="S959" s="48"/>
      <c r="T959" s="49" t="str">
        <f t="shared" si="85"/>
        <v>[W1236.E]</v>
      </c>
      <c r="U959" s="12" t="str">
        <f t="shared" si="86"/>
        <v xml:space="preserve"> 어퍼 스테이지#4 제품 데이터 불일치 이상 (X407)</v>
      </c>
      <c r="V959" s="49" t="str">
        <f t="shared" si="84"/>
        <v>[W1236.E] 어퍼 스테이지#4 제품 데이터 불일치 이상 (X407)</v>
      </c>
    </row>
    <row r="960" spans="1:22" s="49" customFormat="1" ht="14.15" customHeight="1">
      <c r="A960" s="43" t="s">
        <v>3731</v>
      </c>
      <c r="B960" s="44" t="s">
        <v>6637</v>
      </c>
      <c r="C960" s="50"/>
      <c r="D960" s="10" t="s">
        <v>29</v>
      </c>
      <c r="E960" s="11"/>
      <c r="F960" s="11" t="s">
        <v>18</v>
      </c>
      <c r="G960" s="13"/>
      <c r="H960" s="45" t="s">
        <v>16</v>
      </c>
      <c r="I960" s="47"/>
      <c r="J960" s="12" t="s">
        <v>2432</v>
      </c>
      <c r="K960" s="13" t="s">
        <v>7730</v>
      </c>
      <c r="L960" s="99" t="str">
        <f t="shared" si="83"/>
        <v>W1236.F</v>
      </c>
      <c r="M960" s="13" t="s">
        <v>3667</v>
      </c>
      <c r="N960" s="13"/>
      <c r="O960" s="13"/>
      <c r="P960" s="47"/>
      <c r="Q960" s="45"/>
      <c r="R960" s="45"/>
      <c r="S960" s="48"/>
      <c r="T960" s="49" t="str">
        <f t="shared" si="85"/>
        <v>[W1236.F]</v>
      </c>
      <c r="U960" s="12" t="str">
        <f t="shared" si="86"/>
        <v xml:space="preserve"> 어퍼 셔틀#1 셔틀 상승 시간초과 (Y426, X3C2, X3C3)</v>
      </c>
      <c r="V960" s="49" t="str">
        <f t="shared" si="84"/>
        <v>[W1236.F] 어퍼 셔틀#1 셔틀 상승 시간초과 (Y426, X3C2, X3C3)</v>
      </c>
    </row>
    <row r="961" spans="1:22" s="49" customFormat="1" ht="14.15" customHeight="1">
      <c r="A961" s="43" t="s">
        <v>3731</v>
      </c>
      <c r="B961" s="44" t="s">
        <v>6637</v>
      </c>
      <c r="C961" s="50"/>
      <c r="D961" s="10" t="s">
        <v>29</v>
      </c>
      <c r="E961" s="11"/>
      <c r="F961" s="11" t="s">
        <v>18</v>
      </c>
      <c r="G961" s="13"/>
      <c r="H961" s="45" t="s">
        <v>16</v>
      </c>
      <c r="I961" s="47"/>
      <c r="J961" s="12" t="s">
        <v>3700</v>
      </c>
      <c r="K961" s="13" t="s">
        <v>7731</v>
      </c>
      <c r="L961" s="99" t="str">
        <f t="shared" si="83"/>
        <v>W1237.0</v>
      </c>
      <c r="M961" s="13" t="s">
        <v>3667</v>
      </c>
      <c r="N961" s="13"/>
      <c r="O961" s="13"/>
      <c r="P961" s="47"/>
      <c r="Q961" s="45"/>
      <c r="R961" s="45"/>
      <c r="S961" s="48"/>
      <c r="T961" s="49" t="str">
        <f t="shared" si="85"/>
        <v>[W1237.0]</v>
      </c>
      <c r="U961" s="12" t="str">
        <f t="shared" si="86"/>
        <v xml:space="preserve"> 어퍼 셔틀#1 셔틀 하강 시간초과 (Y427, X3C1)</v>
      </c>
      <c r="V961" s="49" t="str">
        <f t="shared" si="84"/>
        <v>[W1237.0] 어퍼 셔틀#1 셔틀 하강 시간초과 (Y427, X3C1)</v>
      </c>
    </row>
    <row r="962" spans="1:22" s="49" customFormat="1" ht="14.15" customHeight="1">
      <c r="A962" s="43" t="s">
        <v>3731</v>
      </c>
      <c r="B962" s="44" t="s">
        <v>6637</v>
      </c>
      <c r="C962" s="50"/>
      <c r="D962" s="10" t="s">
        <v>29</v>
      </c>
      <c r="E962" s="11"/>
      <c r="F962" s="11" t="s">
        <v>18</v>
      </c>
      <c r="G962" s="13"/>
      <c r="H962" s="45" t="s">
        <v>16</v>
      </c>
      <c r="I962" s="47"/>
      <c r="J962" s="12" t="s">
        <v>2433</v>
      </c>
      <c r="K962" s="13" t="s">
        <v>7732</v>
      </c>
      <c r="L962" s="99" t="str">
        <f t="shared" si="83"/>
        <v>W1237.1</v>
      </c>
      <c r="M962" s="13" t="s">
        <v>3667</v>
      </c>
      <c r="N962" s="13"/>
      <c r="O962" s="13"/>
      <c r="P962" s="47"/>
      <c r="Q962" s="45"/>
      <c r="R962" s="45"/>
      <c r="S962" s="48"/>
      <c r="T962" s="49" t="str">
        <f t="shared" si="85"/>
        <v>[W1237.1]</v>
      </c>
      <c r="U962" s="12" t="str">
        <f t="shared" si="86"/>
        <v xml:space="preserve"> 어퍼 셔틀#1 셔틀 상승/하강 센서 이상 (X3C2, X3C3, X3C1)</v>
      </c>
      <c r="V962" s="49" t="str">
        <f t="shared" si="84"/>
        <v>[W1237.1] 어퍼 셔틀#1 셔틀 상승/하강 센서 이상 (X3C2, X3C3, X3C1)</v>
      </c>
    </row>
    <row r="963" spans="1:22" s="49" customFormat="1" ht="14.15" customHeight="1">
      <c r="A963" s="43" t="s">
        <v>3731</v>
      </c>
      <c r="B963" s="44" t="s">
        <v>6637</v>
      </c>
      <c r="C963" s="50"/>
      <c r="D963" s="10" t="s">
        <v>29</v>
      </c>
      <c r="E963" s="11"/>
      <c r="F963" s="11" t="s">
        <v>18</v>
      </c>
      <c r="G963" s="13"/>
      <c r="H963" s="45" t="s">
        <v>16</v>
      </c>
      <c r="I963" s="47"/>
      <c r="J963" s="12" t="s">
        <v>2434</v>
      </c>
      <c r="K963" s="13" t="s">
        <v>7733</v>
      </c>
      <c r="L963" s="99" t="str">
        <f t="shared" si="83"/>
        <v>W1237.2</v>
      </c>
      <c r="M963" s="13" t="s">
        <v>3667</v>
      </c>
      <c r="N963" s="13"/>
      <c r="O963" s="13"/>
      <c r="P963" s="47"/>
      <c r="Q963" s="45"/>
      <c r="R963" s="45"/>
      <c r="S963" s="48"/>
      <c r="T963" s="49" t="str">
        <f t="shared" si="85"/>
        <v>[W1237.2]</v>
      </c>
      <c r="U963" s="12" t="str">
        <f t="shared" si="86"/>
        <v xml:space="preserve"> 어퍼 셔틀#1 &amp;셔틀#2 기동 지령 오류 이상</v>
      </c>
      <c r="V963" s="49" t="str">
        <f t="shared" si="84"/>
        <v>[W1237.2] 어퍼 셔틀#1 &amp;셔틀#2 기동 지령 오류 이상</v>
      </c>
    </row>
    <row r="964" spans="1:22" s="49" customFormat="1" ht="14.15" customHeight="1">
      <c r="A964" s="43" t="s">
        <v>3731</v>
      </c>
      <c r="B964" s="44" t="s">
        <v>6637</v>
      </c>
      <c r="C964" s="50"/>
      <c r="D964" s="10" t="s">
        <v>29</v>
      </c>
      <c r="E964" s="11"/>
      <c r="F964" s="11" t="s">
        <v>18</v>
      </c>
      <c r="G964" s="13"/>
      <c r="H964" s="45" t="s">
        <v>16</v>
      </c>
      <c r="I964" s="47"/>
      <c r="J964" s="12" t="s">
        <v>2435</v>
      </c>
      <c r="K964" s="13" t="s">
        <v>7734</v>
      </c>
      <c r="L964" s="99" t="str">
        <f t="shared" si="83"/>
        <v>W1237.3</v>
      </c>
      <c r="M964" s="13" t="s">
        <v>3667</v>
      </c>
      <c r="N964" s="13"/>
      <c r="O964" s="13"/>
      <c r="P964" s="47"/>
      <c r="Q964" s="45"/>
      <c r="R964" s="45"/>
      <c r="S964" s="48"/>
      <c r="T964" s="49" t="str">
        <f t="shared" si="85"/>
        <v>[W1237.3]</v>
      </c>
      <c r="U964" s="12" t="str">
        <f t="shared" si="86"/>
        <v xml:space="preserve"> 어퍼 셔틀#1 &amp;셔틀#2 구동 방향 오류 이상</v>
      </c>
      <c r="V964" s="49" t="str">
        <f t="shared" si="84"/>
        <v>[W1237.3] 어퍼 셔틀#1 &amp;셔틀#2 구동 방향 오류 이상</v>
      </c>
    </row>
    <row r="965" spans="1:22" s="49" customFormat="1" ht="14.15" customHeight="1">
      <c r="A965" s="43" t="s">
        <v>3731</v>
      </c>
      <c r="B965" s="44" t="s">
        <v>6637</v>
      </c>
      <c r="C965" s="50"/>
      <c r="D965" s="10" t="s">
        <v>29</v>
      </c>
      <c r="E965" s="11"/>
      <c r="F965" s="11" t="s">
        <v>18</v>
      </c>
      <c r="G965" s="13"/>
      <c r="H965" s="45" t="s">
        <v>16</v>
      </c>
      <c r="I965" s="47"/>
      <c r="J965" s="12" t="s">
        <v>2436</v>
      </c>
      <c r="K965" s="13" t="s">
        <v>7735</v>
      </c>
      <c r="L965" s="99" t="str">
        <f t="shared" si="83"/>
        <v>W1237.4</v>
      </c>
      <c r="M965" s="13" t="s">
        <v>3667</v>
      </c>
      <c r="N965" s="13"/>
      <c r="O965" s="13"/>
      <c r="P965" s="47"/>
      <c r="Q965" s="45"/>
      <c r="R965" s="45"/>
      <c r="S965" s="48"/>
      <c r="T965" s="49" t="str">
        <f t="shared" si="85"/>
        <v>[W1237.4]</v>
      </c>
      <c r="U965" s="12" t="str">
        <f t="shared" si="86"/>
        <v xml:space="preserve"> 어퍼 셔틀#1 &amp;셔틀#2 간격 이상</v>
      </c>
      <c r="V965" s="49" t="str">
        <f t="shared" si="84"/>
        <v>[W1237.4] 어퍼 셔틀#1 &amp;셔틀#2 간격 이상</v>
      </c>
    </row>
    <row r="966" spans="1:22" s="49" customFormat="1" ht="14.15" customHeight="1">
      <c r="A966" s="44"/>
      <c r="B966" s="44" t="s">
        <v>6637</v>
      </c>
      <c r="C966" s="50"/>
      <c r="D966" s="10" t="s">
        <v>29</v>
      </c>
      <c r="E966" s="11"/>
      <c r="F966" s="11" t="s">
        <v>18</v>
      </c>
      <c r="G966" s="13"/>
      <c r="H966" s="45" t="s">
        <v>16</v>
      </c>
      <c r="I966" s="47"/>
      <c r="J966" s="12" t="s">
        <v>794</v>
      </c>
      <c r="K966" s="13" t="s">
        <v>7736</v>
      </c>
      <c r="L966" s="99" t="str">
        <f t="shared" si="83"/>
        <v>W1237.5</v>
      </c>
      <c r="M966" s="13"/>
      <c r="N966" s="13"/>
      <c r="O966" s="13"/>
      <c r="P966" s="47"/>
      <c r="Q966" s="45"/>
      <c r="R966" s="45"/>
      <c r="S966" s="48"/>
      <c r="T966" s="49" t="str">
        <f t="shared" si="85"/>
        <v>[W1237.5]</v>
      </c>
      <c r="U966" s="12" t="str">
        <f t="shared" si="86"/>
        <v xml:space="preserve"> </v>
      </c>
      <c r="V966" s="49" t="str">
        <f t="shared" si="84"/>
        <v xml:space="preserve">[W1237.5] </v>
      </c>
    </row>
    <row r="967" spans="1:22" s="49" customFormat="1" ht="14.15" customHeight="1">
      <c r="A967" s="44"/>
      <c r="B967" s="44" t="s">
        <v>6637</v>
      </c>
      <c r="C967" s="50"/>
      <c r="D967" s="10" t="s">
        <v>29</v>
      </c>
      <c r="E967" s="11"/>
      <c r="F967" s="11" t="s">
        <v>18</v>
      </c>
      <c r="G967" s="13"/>
      <c r="H967" s="45" t="s">
        <v>16</v>
      </c>
      <c r="I967" s="47"/>
      <c r="J967" s="12" t="s">
        <v>795</v>
      </c>
      <c r="K967" s="13" t="s">
        <v>7737</v>
      </c>
      <c r="L967" s="99" t="str">
        <f t="shared" si="83"/>
        <v>W1237.6</v>
      </c>
      <c r="M967" s="13"/>
      <c r="N967" s="13"/>
      <c r="O967" s="13"/>
      <c r="P967" s="47"/>
      <c r="Q967" s="45"/>
      <c r="R967" s="45"/>
      <c r="S967" s="48"/>
      <c r="T967" s="49" t="str">
        <f t="shared" si="85"/>
        <v>[W1237.6]</v>
      </c>
      <c r="U967" s="12" t="str">
        <f t="shared" si="86"/>
        <v xml:space="preserve"> </v>
      </c>
      <c r="V967" s="49" t="str">
        <f t="shared" si="84"/>
        <v xml:space="preserve">[W1237.6] </v>
      </c>
    </row>
    <row r="968" spans="1:22" s="49" customFormat="1" ht="14.15" customHeight="1">
      <c r="A968" s="44"/>
      <c r="B968" s="44" t="s">
        <v>6637</v>
      </c>
      <c r="C968" s="50"/>
      <c r="D968" s="10" t="s">
        <v>29</v>
      </c>
      <c r="E968" s="11"/>
      <c r="F968" s="11" t="s">
        <v>18</v>
      </c>
      <c r="G968" s="13"/>
      <c r="H968" s="45" t="s">
        <v>16</v>
      </c>
      <c r="I968" s="47"/>
      <c r="J968" s="12" t="s">
        <v>796</v>
      </c>
      <c r="K968" s="13" t="s">
        <v>7738</v>
      </c>
      <c r="L968" s="99" t="str">
        <f t="shared" si="83"/>
        <v>W1237.7</v>
      </c>
      <c r="M968" s="13"/>
      <c r="N968" s="13"/>
      <c r="O968" s="13"/>
      <c r="P968" s="47"/>
      <c r="Q968" s="45"/>
      <c r="R968" s="45"/>
      <c r="S968" s="48"/>
      <c r="T968" s="49" t="str">
        <f t="shared" si="85"/>
        <v>[W1237.7]</v>
      </c>
      <c r="U968" s="12" t="str">
        <f t="shared" si="86"/>
        <v xml:space="preserve"> </v>
      </c>
      <c r="V968" s="49" t="str">
        <f t="shared" si="84"/>
        <v xml:space="preserve">[W1237.7] </v>
      </c>
    </row>
    <row r="969" spans="1:22" s="49" customFormat="1" ht="14.15" customHeight="1">
      <c r="A969" s="44"/>
      <c r="B969" s="44" t="s">
        <v>6637</v>
      </c>
      <c r="C969" s="50"/>
      <c r="D969" s="10" t="s">
        <v>29</v>
      </c>
      <c r="E969" s="11"/>
      <c r="F969" s="11" t="s">
        <v>18</v>
      </c>
      <c r="G969" s="13"/>
      <c r="H969" s="45" t="s">
        <v>16</v>
      </c>
      <c r="I969" s="47"/>
      <c r="J969" s="12" t="s">
        <v>797</v>
      </c>
      <c r="K969" s="13" t="s">
        <v>7739</v>
      </c>
      <c r="L969" s="99" t="str">
        <f t="shared" si="83"/>
        <v>W1237.8</v>
      </c>
      <c r="M969" s="13"/>
      <c r="N969" s="13"/>
      <c r="O969" s="13"/>
      <c r="P969" s="47"/>
      <c r="Q969" s="45"/>
      <c r="R969" s="45"/>
      <c r="S969" s="48"/>
      <c r="T969" s="49" t="str">
        <f>"["&amp;L939&amp;"]"</f>
        <v>[W1235.A]</v>
      </c>
      <c r="U969" s="12" t="str">
        <f>RIGHT(J939,LEN(J939)-7)</f>
        <v xml:space="preserve"> 어퍼 스테이지#3 제품 데이터 불일치 이상 (X404)</v>
      </c>
      <c r="V969" s="49" t="str">
        <f>T939&amp;U939</f>
        <v>[W1235.A] 어퍼 스테이지#3 제품 데이터 불일치 이상 (X404)</v>
      </c>
    </row>
    <row r="970" spans="1:22" s="49" customFormat="1" ht="14.15" customHeight="1">
      <c r="A970" s="43" t="s">
        <v>3731</v>
      </c>
      <c r="B970" s="44" t="s">
        <v>6637</v>
      </c>
      <c r="C970" s="50"/>
      <c r="D970" s="10" t="s">
        <v>29</v>
      </c>
      <c r="E970" s="11"/>
      <c r="F970" s="11" t="s">
        <v>18</v>
      </c>
      <c r="G970" s="13"/>
      <c r="H970" s="45" t="s">
        <v>16</v>
      </c>
      <c r="I970" s="47"/>
      <c r="J970" s="12" t="s">
        <v>2437</v>
      </c>
      <c r="K970" s="13" t="s">
        <v>7740</v>
      </c>
      <c r="L970" s="99" t="str">
        <f t="shared" si="83"/>
        <v>W1237.9</v>
      </c>
      <c r="M970" s="13" t="s">
        <v>3667</v>
      </c>
      <c r="N970" s="13"/>
      <c r="O970" s="13"/>
      <c r="P970" s="47"/>
      <c r="Q970" s="45"/>
      <c r="R970" s="45"/>
      <c r="S970" s="48"/>
      <c r="T970" s="49" t="str">
        <f t="shared" ref="T970:T1001" si="87">"["&amp;L970&amp;"]"</f>
        <v>[W1237.9]</v>
      </c>
      <c r="U970" s="12" t="str">
        <f t="shared" ref="U970:U1001" si="88">RIGHT(J970,LEN(J970)-7)</f>
        <v xml:space="preserve"> 어퍼 셔틀#1 제품 수취 시간초과</v>
      </c>
      <c r="V970" s="49" t="str">
        <f t="shared" si="84"/>
        <v>[W1237.9] 어퍼 셔틀#1 제품 수취 시간초과</v>
      </c>
    </row>
    <row r="971" spans="1:22" s="49" customFormat="1" ht="14.15" customHeight="1">
      <c r="A971" s="43" t="s">
        <v>3731</v>
      </c>
      <c r="B971" s="44" t="s">
        <v>6637</v>
      </c>
      <c r="C971" s="50"/>
      <c r="D971" s="10" t="s">
        <v>29</v>
      </c>
      <c r="E971" s="11"/>
      <c r="F971" s="11" t="s">
        <v>18</v>
      </c>
      <c r="G971" s="13"/>
      <c r="H971" s="45" t="s">
        <v>16</v>
      </c>
      <c r="I971" s="47"/>
      <c r="J971" s="12" t="s">
        <v>2438</v>
      </c>
      <c r="K971" s="13" t="s">
        <v>7741</v>
      </c>
      <c r="L971" s="99" t="str">
        <f t="shared" si="83"/>
        <v>W1237.A</v>
      </c>
      <c r="M971" s="13" t="s">
        <v>3667</v>
      </c>
      <c r="N971" s="13"/>
      <c r="O971" s="13"/>
      <c r="P971" s="47"/>
      <c r="Q971" s="45"/>
      <c r="R971" s="45"/>
      <c r="S971" s="48"/>
      <c r="T971" s="49" t="str">
        <f t="shared" si="87"/>
        <v>[W1237.A]</v>
      </c>
      <c r="U971" s="12" t="str">
        <f t="shared" si="88"/>
        <v xml:space="preserve"> 어퍼 셔틀#1 제품 배출 시간초과</v>
      </c>
      <c r="V971" s="49" t="str">
        <f t="shared" si="84"/>
        <v>[W1237.A] 어퍼 셔틀#1 제품 배출 시간초과</v>
      </c>
    </row>
    <row r="972" spans="1:22" s="49" customFormat="1" ht="14.15" customHeight="1">
      <c r="A972" s="43" t="s">
        <v>3731</v>
      </c>
      <c r="B972" s="44" t="s">
        <v>6637</v>
      </c>
      <c r="C972" s="50"/>
      <c r="D972" s="10" t="s">
        <v>29</v>
      </c>
      <c r="E972" s="11"/>
      <c r="F972" s="11" t="s">
        <v>18</v>
      </c>
      <c r="G972" s="13"/>
      <c r="H972" s="45" t="s">
        <v>16</v>
      </c>
      <c r="I972" s="47"/>
      <c r="J972" s="12" t="s">
        <v>2439</v>
      </c>
      <c r="K972" s="13" t="s">
        <v>7742</v>
      </c>
      <c r="L972" s="99" t="str">
        <f t="shared" si="83"/>
        <v>W1237.B</v>
      </c>
      <c r="M972" s="13" t="s">
        <v>3667</v>
      </c>
      <c r="N972" s="13"/>
      <c r="O972" s="13"/>
      <c r="P972" s="47"/>
      <c r="Q972" s="45"/>
      <c r="R972" s="45"/>
      <c r="S972" s="48"/>
      <c r="T972" s="49" t="str">
        <f t="shared" si="87"/>
        <v>[W1237.B]</v>
      </c>
      <c r="U972" s="12" t="str">
        <f t="shared" si="88"/>
        <v xml:space="preserve"> 어퍼 셔틀#1 제품 수취 시퀀스 이상</v>
      </c>
      <c r="V972" s="49" t="str">
        <f t="shared" si="84"/>
        <v>[W1237.B] 어퍼 셔틀#1 제품 수취 시퀀스 이상</v>
      </c>
    </row>
    <row r="973" spans="1:22" s="49" customFormat="1" ht="14.15" customHeight="1">
      <c r="A973" s="44"/>
      <c r="B973" s="44" t="s">
        <v>6637</v>
      </c>
      <c r="C973" s="50"/>
      <c r="D973" s="10" t="s">
        <v>29</v>
      </c>
      <c r="E973" s="11"/>
      <c r="F973" s="11" t="s">
        <v>18</v>
      </c>
      <c r="G973" s="13"/>
      <c r="H973" s="45" t="s">
        <v>16</v>
      </c>
      <c r="I973" s="47"/>
      <c r="J973" s="12" t="s">
        <v>801</v>
      </c>
      <c r="K973" s="13" t="s">
        <v>7743</v>
      </c>
      <c r="L973" s="99" t="str">
        <f t="shared" si="83"/>
        <v>W1237.C</v>
      </c>
      <c r="M973" s="13"/>
      <c r="N973" s="13"/>
      <c r="O973" s="13"/>
      <c r="P973" s="47"/>
      <c r="Q973" s="45"/>
      <c r="R973" s="45"/>
      <c r="S973" s="48"/>
      <c r="T973" s="49" t="str">
        <f t="shared" si="87"/>
        <v>[W1237.C]</v>
      </c>
      <c r="U973" s="12" t="str">
        <f t="shared" si="88"/>
        <v xml:space="preserve"> </v>
      </c>
      <c r="V973" s="49" t="str">
        <f t="shared" si="84"/>
        <v xml:space="preserve">[W1237.C] </v>
      </c>
    </row>
    <row r="974" spans="1:22" s="49" customFormat="1" ht="14.15" customHeight="1">
      <c r="A974" s="43" t="s">
        <v>3731</v>
      </c>
      <c r="B974" s="44" t="s">
        <v>6637</v>
      </c>
      <c r="C974" s="50"/>
      <c r="D974" s="10" t="s">
        <v>29</v>
      </c>
      <c r="E974" s="11"/>
      <c r="F974" s="11" t="s">
        <v>18</v>
      </c>
      <c r="G974" s="13"/>
      <c r="H974" s="45" t="s">
        <v>16</v>
      </c>
      <c r="I974" s="47"/>
      <c r="J974" s="12" t="s">
        <v>2440</v>
      </c>
      <c r="K974" s="13" t="s">
        <v>7744</v>
      </c>
      <c r="L974" s="99" t="str">
        <f t="shared" si="83"/>
        <v>W1237.D</v>
      </c>
      <c r="M974" s="13" t="s">
        <v>3667</v>
      </c>
      <c r="N974" s="13"/>
      <c r="O974" s="13"/>
      <c r="P974" s="47"/>
      <c r="Q974" s="45"/>
      <c r="R974" s="45"/>
      <c r="S974" s="48"/>
      <c r="T974" s="49" t="str">
        <f t="shared" si="87"/>
        <v>[W1237.D]</v>
      </c>
      <c r="U974" s="12" t="str">
        <f t="shared" si="88"/>
        <v xml:space="preserve"> 어퍼 셔틀#1 제품 베츨 시퀀스 이상</v>
      </c>
      <c r="V974" s="49" t="str">
        <f t="shared" si="84"/>
        <v>[W1237.D] 어퍼 셔틀#1 제품 베츨 시퀀스 이상</v>
      </c>
    </row>
    <row r="975" spans="1:22" s="49" customFormat="1" ht="14.15" customHeight="1">
      <c r="A975" s="44"/>
      <c r="B975" s="44" t="s">
        <v>6637</v>
      </c>
      <c r="C975" s="50"/>
      <c r="D975" s="10" t="s">
        <v>29</v>
      </c>
      <c r="E975" s="11"/>
      <c r="F975" s="11" t="s">
        <v>18</v>
      </c>
      <c r="G975" s="13"/>
      <c r="H975" s="45" t="s">
        <v>16</v>
      </c>
      <c r="I975" s="47"/>
      <c r="J975" s="12" t="s">
        <v>803</v>
      </c>
      <c r="K975" s="13" t="s">
        <v>7745</v>
      </c>
      <c r="L975" s="99" t="str">
        <f t="shared" si="83"/>
        <v>W1237.E</v>
      </c>
      <c r="M975" s="13"/>
      <c r="N975" s="13"/>
      <c r="O975" s="13"/>
      <c r="P975" s="47"/>
      <c r="Q975" s="45"/>
      <c r="R975" s="45"/>
      <c r="S975" s="48"/>
      <c r="T975" s="49" t="str">
        <f t="shared" si="87"/>
        <v>[W1237.E]</v>
      </c>
      <c r="U975" s="12" t="str">
        <f t="shared" si="88"/>
        <v xml:space="preserve"> </v>
      </c>
      <c r="V975" s="49" t="str">
        <f t="shared" si="84"/>
        <v xml:space="preserve">[W1237.E] </v>
      </c>
    </row>
    <row r="976" spans="1:22" s="49" customFormat="1" ht="14.15" customHeight="1">
      <c r="A976" s="44"/>
      <c r="B976" s="44" t="s">
        <v>6637</v>
      </c>
      <c r="C976" s="50"/>
      <c r="D976" s="10" t="s">
        <v>29</v>
      </c>
      <c r="E976" s="11"/>
      <c r="F976" s="11" t="s">
        <v>18</v>
      </c>
      <c r="G976" s="13"/>
      <c r="H976" s="45" t="s">
        <v>16</v>
      </c>
      <c r="I976" s="47"/>
      <c r="J976" s="12" t="s">
        <v>804</v>
      </c>
      <c r="K976" s="13" t="s">
        <v>7746</v>
      </c>
      <c r="L976" s="99" t="str">
        <f t="shared" si="83"/>
        <v>W1237.F</v>
      </c>
      <c r="M976" s="13"/>
      <c r="N976" s="13"/>
      <c r="O976" s="13"/>
      <c r="P976" s="47"/>
      <c r="Q976" s="45"/>
      <c r="R976" s="45"/>
      <c r="S976" s="48"/>
      <c r="T976" s="49" t="str">
        <f t="shared" si="87"/>
        <v>[W1237.F]</v>
      </c>
      <c r="U976" s="12" t="str">
        <f t="shared" si="88"/>
        <v xml:space="preserve"> </v>
      </c>
      <c r="V976" s="49" t="str">
        <f t="shared" si="84"/>
        <v xml:space="preserve">[W1237.F] </v>
      </c>
    </row>
    <row r="977" spans="1:22" s="49" customFormat="1" ht="14.15" customHeight="1">
      <c r="A977" s="44"/>
      <c r="B977" s="44" t="s">
        <v>6637</v>
      </c>
      <c r="C977" s="50"/>
      <c r="D977" s="10" t="s">
        <v>29</v>
      </c>
      <c r="E977" s="11"/>
      <c r="F977" s="11" t="s">
        <v>18</v>
      </c>
      <c r="G977" s="13"/>
      <c r="H977" s="45" t="s">
        <v>16</v>
      </c>
      <c r="I977" s="47"/>
      <c r="J977" s="12" t="s">
        <v>805</v>
      </c>
      <c r="K977" s="13" t="s">
        <v>7747</v>
      </c>
      <c r="L977" s="99" t="str">
        <f t="shared" si="83"/>
        <v>W1238.0</v>
      </c>
      <c r="M977" s="13"/>
      <c r="N977" s="13"/>
      <c r="O977" s="13"/>
      <c r="P977" s="47"/>
      <c r="Q977" s="45"/>
      <c r="R977" s="45"/>
      <c r="S977" s="48"/>
      <c r="T977" s="49" t="str">
        <f t="shared" si="87"/>
        <v>[W1238.0]</v>
      </c>
      <c r="U977" s="12" t="str">
        <f t="shared" si="88"/>
        <v xml:space="preserve"> </v>
      </c>
      <c r="V977" s="49" t="str">
        <f t="shared" si="84"/>
        <v xml:space="preserve">[W1238.0] </v>
      </c>
    </row>
    <row r="978" spans="1:22" s="49" customFormat="1" ht="14.15" customHeight="1">
      <c r="A978" s="44"/>
      <c r="B978" s="44" t="s">
        <v>6637</v>
      </c>
      <c r="C978" s="50"/>
      <c r="D978" s="10" t="s">
        <v>29</v>
      </c>
      <c r="E978" s="11"/>
      <c r="F978" s="11" t="s">
        <v>18</v>
      </c>
      <c r="G978" s="13"/>
      <c r="H978" s="45" t="s">
        <v>16</v>
      </c>
      <c r="I978" s="47"/>
      <c r="J978" s="12" t="s">
        <v>806</v>
      </c>
      <c r="K978" s="13" t="s">
        <v>7748</v>
      </c>
      <c r="L978" s="99" t="str">
        <f t="shared" ref="L978:L1041" si="89">"W"&amp;DEC2HEX(4608 + INT((ROW()-81)/16)) &amp; "." &amp; IF(MOD(ROW()-81,16)&lt;10,MOD(ROW()-81,16),CHAR(MOD(ROW()-81,16)+55))</f>
        <v>W1238.1</v>
      </c>
      <c r="M978" s="13"/>
      <c r="N978" s="13"/>
      <c r="O978" s="13"/>
      <c r="P978" s="47"/>
      <c r="Q978" s="45"/>
      <c r="R978" s="45"/>
      <c r="S978" s="48"/>
      <c r="T978" s="49" t="str">
        <f t="shared" si="87"/>
        <v>[W1238.1]</v>
      </c>
      <c r="U978" s="12" t="str">
        <f t="shared" si="88"/>
        <v xml:space="preserve"> </v>
      </c>
      <c r="V978" s="49" t="str">
        <f t="shared" ref="V978:V1041" si="90">T978&amp;U978</f>
        <v xml:space="preserve">[W1238.1] </v>
      </c>
    </row>
    <row r="979" spans="1:22" s="49" customFormat="1" ht="14.15" customHeight="1">
      <c r="A979" s="43" t="s">
        <v>3731</v>
      </c>
      <c r="B979" s="44" t="s">
        <v>6637</v>
      </c>
      <c r="C979" s="50"/>
      <c r="D979" s="10" t="s">
        <v>29</v>
      </c>
      <c r="E979" s="11"/>
      <c r="F979" s="11" t="s">
        <v>18</v>
      </c>
      <c r="G979" s="13"/>
      <c r="H979" s="45" t="s">
        <v>16</v>
      </c>
      <c r="I979" s="47"/>
      <c r="J979" s="12" t="s">
        <v>2441</v>
      </c>
      <c r="K979" s="13" t="s">
        <v>7749</v>
      </c>
      <c r="L979" s="99" t="str">
        <f t="shared" si="89"/>
        <v>W1238.2</v>
      </c>
      <c r="M979" s="13" t="s">
        <v>3667</v>
      </c>
      <c r="N979" s="13"/>
      <c r="O979" s="13"/>
      <c r="P979" s="47"/>
      <c r="Q979" s="45"/>
      <c r="R979" s="45"/>
      <c r="S979" s="48"/>
      <c r="T979" s="49" t="str">
        <f t="shared" si="87"/>
        <v>[W1238.2]</v>
      </c>
      <c r="U979" s="12" t="str">
        <f t="shared" si="88"/>
        <v xml:space="preserve"> 어퍼 셔틀#1 제품 데이터 불일치 이상 (X3C0)</v>
      </c>
      <c r="V979" s="49" t="str">
        <f t="shared" si="90"/>
        <v>[W1238.2] 어퍼 셔틀#1 제품 데이터 불일치 이상 (X3C0)</v>
      </c>
    </row>
    <row r="980" spans="1:22" s="49" customFormat="1" ht="14.15" customHeight="1">
      <c r="A980" s="43" t="s">
        <v>3731</v>
      </c>
      <c r="B980" s="44" t="s">
        <v>6637</v>
      </c>
      <c r="C980" s="50"/>
      <c r="D980" s="10" t="s">
        <v>29</v>
      </c>
      <c r="E980" s="11"/>
      <c r="F980" s="11" t="s">
        <v>18</v>
      </c>
      <c r="G980" s="13"/>
      <c r="H980" s="45" t="s">
        <v>16</v>
      </c>
      <c r="I980" s="47"/>
      <c r="J980" s="12" t="s">
        <v>2442</v>
      </c>
      <c r="K980" s="13" t="s">
        <v>7750</v>
      </c>
      <c r="L980" s="99" t="str">
        <f t="shared" si="89"/>
        <v>W1238.3</v>
      </c>
      <c r="M980" s="13" t="s">
        <v>3667</v>
      </c>
      <c r="N980" s="13"/>
      <c r="O980" s="13"/>
      <c r="P980" s="47"/>
      <c r="Q980" s="45"/>
      <c r="R980" s="45"/>
      <c r="S980" s="48"/>
      <c r="T980" s="49" t="str">
        <f t="shared" si="87"/>
        <v>[W1238.3]</v>
      </c>
      <c r="U980" s="12" t="str">
        <f t="shared" si="88"/>
        <v xml:space="preserve"> 어퍼 셔틀#2 셔틀 상승 시간초과 (Y428, X3C6, X3C7)</v>
      </c>
      <c r="V980" s="49" t="str">
        <f t="shared" si="90"/>
        <v>[W1238.3] 어퍼 셔틀#2 셔틀 상승 시간초과 (Y428, X3C6, X3C7)</v>
      </c>
    </row>
    <row r="981" spans="1:22" s="49" customFormat="1" ht="14.15" customHeight="1">
      <c r="A981" s="43" t="s">
        <v>3731</v>
      </c>
      <c r="B981" s="44" t="s">
        <v>6637</v>
      </c>
      <c r="C981" s="50"/>
      <c r="D981" s="10" t="s">
        <v>29</v>
      </c>
      <c r="E981" s="11"/>
      <c r="F981" s="11" t="s">
        <v>18</v>
      </c>
      <c r="G981" s="13"/>
      <c r="H981" s="45" t="s">
        <v>16</v>
      </c>
      <c r="I981" s="47"/>
      <c r="J981" s="12" t="s">
        <v>2443</v>
      </c>
      <c r="K981" s="13" t="s">
        <v>7751</v>
      </c>
      <c r="L981" s="99" t="str">
        <f t="shared" si="89"/>
        <v>W1238.4</v>
      </c>
      <c r="M981" s="13" t="s">
        <v>3667</v>
      </c>
      <c r="N981" s="13"/>
      <c r="O981" s="13"/>
      <c r="P981" s="47"/>
      <c r="Q981" s="45"/>
      <c r="R981" s="45"/>
      <c r="S981" s="48"/>
      <c r="T981" s="49" t="str">
        <f t="shared" si="87"/>
        <v>[W1238.4]</v>
      </c>
      <c r="U981" s="12" t="str">
        <f t="shared" si="88"/>
        <v xml:space="preserve"> 어퍼 셔틀#2 셔틀 하강 시간초과 (Y429, X3C5)</v>
      </c>
      <c r="V981" s="49" t="str">
        <f t="shared" si="90"/>
        <v>[W1238.4] 어퍼 셔틀#2 셔틀 하강 시간초과 (Y429, X3C5)</v>
      </c>
    </row>
    <row r="982" spans="1:22" s="49" customFormat="1" ht="14.15" customHeight="1">
      <c r="A982" s="43" t="s">
        <v>3731</v>
      </c>
      <c r="B982" s="44" t="s">
        <v>6637</v>
      </c>
      <c r="C982" s="50"/>
      <c r="D982" s="10" t="s">
        <v>29</v>
      </c>
      <c r="E982" s="11"/>
      <c r="F982" s="11" t="s">
        <v>18</v>
      </c>
      <c r="G982" s="13"/>
      <c r="H982" s="45" t="s">
        <v>16</v>
      </c>
      <c r="I982" s="47"/>
      <c r="J982" s="12" t="s">
        <v>2444</v>
      </c>
      <c r="K982" s="13" t="s">
        <v>7752</v>
      </c>
      <c r="L982" s="99" t="str">
        <f t="shared" si="89"/>
        <v>W1238.5</v>
      </c>
      <c r="M982" s="13" t="s">
        <v>3667</v>
      </c>
      <c r="N982" s="13"/>
      <c r="O982" s="13"/>
      <c r="P982" s="47"/>
      <c r="Q982" s="45"/>
      <c r="R982" s="45"/>
      <c r="S982" s="48"/>
      <c r="T982" s="49" t="str">
        <f t="shared" si="87"/>
        <v>[W1238.5]</v>
      </c>
      <c r="U982" s="12" t="str">
        <f t="shared" si="88"/>
        <v xml:space="preserve"> 어퍼 셔틀#2 셔틀 상승/하강 센서 이상 (X3C6, X3C7, X3C5)</v>
      </c>
      <c r="V982" s="49" t="str">
        <f t="shared" si="90"/>
        <v>[W1238.5] 어퍼 셔틀#2 셔틀 상승/하강 센서 이상 (X3C6, X3C7, X3C5)</v>
      </c>
    </row>
    <row r="983" spans="1:22" s="49" customFormat="1" ht="14.15" customHeight="1">
      <c r="A983" s="43" t="s">
        <v>3731</v>
      </c>
      <c r="B983" s="44" t="s">
        <v>6637</v>
      </c>
      <c r="C983" s="50"/>
      <c r="D983" s="10" t="s">
        <v>29</v>
      </c>
      <c r="E983" s="11"/>
      <c r="F983" s="11" t="s">
        <v>18</v>
      </c>
      <c r="G983" s="13"/>
      <c r="H983" s="45" t="s">
        <v>16</v>
      </c>
      <c r="I983" s="47"/>
      <c r="J983" s="12" t="s">
        <v>2445</v>
      </c>
      <c r="K983" s="13" t="s">
        <v>7753</v>
      </c>
      <c r="L983" s="99" t="str">
        <f t="shared" si="89"/>
        <v>W1238.6</v>
      </c>
      <c r="M983" s="13" t="s">
        <v>3667</v>
      </c>
      <c r="N983" s="13"/>
      <c r="O983" s="13"/>
      <c r="P983" s="47"/>
      <c r="Q983" s="45"/>
      <c r="R983" s="45"/>
      <c r="S983" s="48"/>
      <c r="T983" s="49" t="str">
        <f t="shared" si="87"/>
        <v>[W1238.6]</v>
      </c>
      <c r="U983" s="12" t="str">
        <f t="shared" si="88"/>
        <v xml:space="preserve"> 어퍼 셔틀#2 &amp;셔틀#1 기동 지령 오류 이상</v>
      </c>
      <c r="V983" s="49" t="str">
        <f t="shared" si="90"/>
        <v>[W1238.6] 어퍼 셔틀#2 &amp;셔틀#1 기동 지령 오류 이상</v>
      </c>
    </row>
    <row r="984" spans="1:22" s="49" customFormat="1" ht="14.15" customHeight="1">
      <c r="A984" s="43" t="s">
        <v>3731</v>
      </c>
      <c r="B984" s="44" t="s">
        <v>6637</v>
      </c>
      <c r="C984" s="50"/>
      <c r="D984" s="10" t="s">
        <v>29</v>
      </c>
      <c r="E984" s="11"/>
      <c r="F984" s="11" t="s">
        <v>18</v>
      </c>
      <c r="G984" s="13"/>
      <c r="H984" s="45" t="s">
        <v>16</v>
      </c>
      <c r="I984" s="47"/>
      <c r="J984" s="12" t="s">
        <v>2446</v>
      </c>
      <c r="K984" s="13" t="s">
        <v>7754</v>
      </c>
      <c r="L984" s="99" t="str">
        <f t="shared" si="89"/>
        <v>W1238.7</v>
      </c>
      <c r="M984" s="13" t="s">
        <v>3667</v>
      </c>
      <c r="N984" s="13"/>
      <c r="O984" s="13"/>
      <c r="P984" s="47"/>
      <c r="Q984" s="45"/>
      <c r="R984" s="45"/>
      <c r="S984" s="48"/>
      <c r="T984" s="49" t="str">
        <f t="shared" si="87"/>
        <v>[W1238.7]</v>
      </c>
      <c r="U984" s="12" t="str">
        <f t="shared" si="88"/>
        <v xml:space="preserve"> 어퍼 셔틀#2 &amp;셔틀#3 기동 지령 오류 이상</v>
      </c>
      <c r="V984" s="49" t="str">
        <f t="shared" si="90"/>
        <v>[W1238.7] 어퍼 셔틀#2 &amp;셔틀#3 기동 지령 오류 이상</v>
      </c>
    </row>
    <row r="985" spans="1:22" s="49" customFormat="1" ht="14.15" customHeight="1">
      <c r="A985" s="43" t="s">
        <v>3731</v>
      </c>
      <c r="B985" s="44" t="s">
        <v>6637</v>
      </c>
      <c r="C985" s="50"/>
      <c r="D985" s="10" t="s">
        <v>29</v>
      </c>
      <c r="E985" s="11"/>
      <c r="F985" s="11" t="s">
        <v>18</v>
      </c>
      <c r="G985" s="13"/>
      <c r="H985" s="45" t="s">
        <v>16</v>
      </c>
      <c r="I985" s="47"/>
      <c r="J985" s="12" t="s">
        <v>2447</v>
      </c>
      <c r="K985" s="13" t="s">
        <v>7755</v>
      </c>
      <c r="L985" s="99" t="str">
        <f t="shared" si="89"/>
        <v>W1238.8</v>
      </c>
      <c r="M985" s="13" t="s">
        <v>3667</v>
      </c>
      <c r="N985" s="13"/>
      <c r="O985" s="13"/>
      <c r="P985" s="47"/>
      <c r="Q985" s="45"/>
      <c r="R985" s="45"/>
      <c r="S985" s="48"/>
      <c r="T985" s="49" t="str">
        <f t="shared" si="87"/>
        <v>[W1238.8]</v>
      </c>
      <c r="U985" s="12" t="str">
        <f t="shared" si="88"/>
        <v xml:space="preserve"> 어퍼 셔틀#2 &amp;셔틀#1 구동 방향 오류 이상</v>
      </c>
      <c r="V985" s="49" t="str">
        <f t="shared" si="90"/>
        <v>[W1238.8] 어퍼 셔틀#2 &amp;셔틀#1 구동 방향 오류 이상</v>
      </c>
    </row>
    <row r="986" spans="1:22" s="49" customFormat="1" ht="14.15" customHeight="1">
      <c r="A986" s="43" t="s">
        <v>3731</v>
      </c>
      <c r="B986" s="44" t="s">
        <v>6637</v>
      </c>
      <c r="C986" s="50"/>
      <c r="D986" s="10" t="s">
        <v>29</v>
      </c>
      <c r="E986" s="11"/>
      <c r="F986" s="11" t="s">
        <v>18</v>
      </c>
      <c r="G986" s="13"/>
      <c r="H986" s="45" t="s">
        <v>16</v>
      </c>
      <c r="I986" s="47"/>
      <c r="J986" s="12" t="s">
        <v>2448</v>
      </c>
      <c r="K986" s="13" t="s">
        <v>7756</v>
      </c>
      <c r="L986" s="99" t="str">
        <f t="shared" si="89"/>
        <v>W1238.9</v>
      </c>
      <c r="M986" s="13" t="s">
        <v>3667</v>
      </c>
      <c r="N986" s="13"/>
      <c r="O986" s="13"/>
      <c r="P986" s="47"/>
      <c r="Q986" s="45"/>
      <c r="R986" s="45"/>
      <c r="S986" s="48"/>
      <c r="T986" s="49" t="str">
        <f t="shared" si="87"/>
        <v>[W1238.9]</v>
      </c>
      <c r="U986" s="12" t="str">
        <f t="shared" si="88"/>
        <v xml:space="preserve"> 어퍼 셔틀#2 &amp;셔틀#3 구동 방향 오류 이상</v>
      </c>
      <c r="V986" s="49" t="str">
        <f t="shared" si="90"/>
        <v>[W1238.9] 어퍼 셔틀#2 &amp;셔틀#3 구동 방향 오류 이상</v>
      </c>
    </row>
    <row r="987" spans="1:22" s="49" customFormat="1" ht="14.15" customHeight="1">
      <c r="A987" s="43" t="s">
        <v>3731</v>
      </c>
      <c r="B987" s="44" t="s">
        <v>6637</v>
      </c>
      <c r="C987" s="50"/>
      <c r="D987" s="10" t="s">
        <v>29</v>
      </c>
      <c r="E987" s="11"/>
      <c r="F987" s="11" t="s">
        <v>18</v>
      </c>
      <c r="G987" s="13"/>
      <c r="H987" s="45" t="s">
        <v>16</v>
      </c>
      <c r="I987" s="47"/>
      <c r="J987" s="12" t="s">
        <v>2449</v>
      </c>
      <c r="K987" s="13" t="s">
        <v>7757</v>
      </c>
      <c r="L987" s="99" t="str">
        <f t="shared" si="89"/>
        <v>W1238.A</v>
      </c>
      <c r="M987" s="13" t="s">
        <v>3667</v>
      </c>
      <c r="N987" s="13"/>
      <c r="O987" s="13"/>
      <c r="P987" s="47"/>
      <c r="Q987" s="45"/>
      <c r="R987" s="45"/>
      <c r="S987" s="48"/>
      <c r="T987" s="49" t="str">
        <f t="shared" si="87"/>
        <v>[W1238.A]</v>
      </c>
      <c r="U987" s="12" t="str">
        <f t="shared" si="88"/>
        <v xml:space="preserve"> 어퍼 셔틀#2 &amp;셔틀#1 간격 이상</v>
      </c>
      <c r="V987" s="49" t="str">
        <f t="shared" si="90"/>
        <v>[W1238.A] 어퍼 셔틀#2 &amp;셔틀#1 간격 이상</v>
      </c>
    </row>
    <row r="988" spans="1:22" s="49" customFormat="1" ht="14.15" customHeight="1">
      <c r="A988" s="43" t="s">
        <v>3731</v>
      </c>
      <c r="B988" s="44" t="s">
        <v>6637</v>
      </c>
      <c r="C988" s="50"/>
      <c r="D988" s="10" t="s">
        <v>29</v>
      </c>
      <c r="E988" s="11"/>
      <c r="F988" s="11" t="s">
        <v>18</v>
      </c>
      <c r="G988" s="13"/>
      <c r="H988" s="45" t="s">
        <v>16</v>
      </c>
      <c r="I988" s="47"/>
      <c r="J988" s="12" t="s">
        <v>2450</v>
      </c>
      <c r="K988" s="13" t="s">
        <v>7758</v>
      </c>
      <c r="L988" s="99" t="str">
        <f t="shared" si="89"/>
        <v>W1238.B</v>
      </c>
      <c r="M988" s="13" t="s">
        <v>3667</v>
      </c>
      <c r="N988" s="13"/>
      <c r="O988" s="13"/>
      <c r="P988" s="47"/>
      <c r="Q988" s="45"/>
      <c r="R988" s="45"/>
      <c r="S988" s="48"/>
      <c r="T988" s="49" t="str">
        <f t="shared" si="87"/>
        <v>[W1238.B]</v>
      </c>
      <c r="U988" s="12" t="str">
        <f t="shared" si="88"/>
        <v xml:space="preserve"> 어퍼 셔틀#2 &amp;셔틀#3 간격 이상</v>
      </c>
      <c r="V988" s="49" t="str">
        <f t="shared" si="90"/>
        <v>[W1238.B] 어퍼 셔틀#2 &amp;셔틀#3 간격 이상</v>
      </c>
    </row>
    <row r="989" spans="1:22" s="49" customFormat="1" ht="14.15" customHeight="1">
      <c r="A989" s="44"/>
      <c r="B989" s="44" t="s">
        <v>6637</v>
      </c>
      <c r="C989" s="50"/>
      <c r="D989" s="10" t="s">
        <v>29</v>
      </c>
      <c r="E989" s="11"/>
      <c r="F989" s="11" t="s">
        <v>18</v>
      </c>
      <c r="G989" s="13"/>
      <c r="H989" s="45" t="s">
        <v>16</v>
      </c>
      <c r="I989" s="47"/>
      <c r="J989" s="12" t="s">
        <v>817</v>
      </c>
      <c r="K989" s="13" t="s">
        <v>7759</v>
      </c>
      <c r="L989" s="99" t="str">
        <f t="shared" si="89"/>
        <v>W1238.C</v>
      </c>
      <c r="M989" s="13"/>
      <c r="N989" s="13"/>
      <c r="O989" s="13"/>
      <c r="P989" s="47"/>
      <c r="Q989" s="45"/>
      <c r="R989" s="45"/>
      <c r="S989" s="48"/>
      <c r="T989" s="49" t="str">
        <f t="shared" si="87"/>
        <v>[W1238.C]</v>
      </c>
      <c r="U989" s="12" t="str">
        <f t="shared" si="88"/>
        <v xml:space="preserve"> </v>
      </c>
      <c r="V989" s="49" t="str">
        <f t="shared" si="90"/>
        <v xml:space="preserve">[W1238.C] </v>
      </c>
    </row>
    <row r="990" spans="1:22" s="49" customFormat="1" ht="14.15" customHeight="1">
      <c r="A990" s="43" t="s">
        <v>3731</v>
      </c>
      <c r="B990" s="44" t="s">
        <v>6637</v>
      </c>
      <c r="C990" s="50"/>
      <c r="D990" s="10" t="s">
        <v>29</v>
      </c>
      <c r="E990" s="11"/>
      <c r="F990" s="11" t="s">
        <v>18</v>
      </c>
      <c r="G990" s="13"/>
      <c r="H990" s="45" t="s">
        <v>16</v>
      </c>
      <c r="I990" s="47"/>
      <c r="J990" s="12" t="s">
        <v>2451</v>
      </c>
      <c r="K990" s="13" t="s">
        <v>7760</v>
      </c>
      <c r="L990" s="99" t="str">
        <f t="shared" si="89"/>
        <v>W1238.D</v>
      </c>
      <c r="M990" s="13" t="s">
        <v>3667</v>
      </c>
      <c r="N990" s="13"/>
      <c r="O990" s="13"/>
      <c r="P990" s="47"/>
      <c r="Q990" s="45"/>
      <c r="R990" s="45"/>
      <c r="S990" s="48"/>
      <c r="T990" s="49" t="str">
        <f t="shared" si="87"/>
        <v>[W1238.D]</v>
      </c>
      <c r="U990" s="12" t="str">
        <f t="shared" si="88"/>
        <v xml:space="preserve"> 어퍼 셔틀#2 제품 수취 시간초과</v>
      </c>
      <c r="V990" s="49" t="str">
        <f t="shared" si="90"/>
        <v>[W1238.D] 어퍼 셔틀#2 제품 수취 시간초과</v>
      </c>
    </row>
    <row r="991" spans="1:22" s="49" customFormat="1" ht="14.15" customHeight="1">
      <c r="A991" s="43" t="s">
        <v>3731</v>
      </c>
      <c r="B991" s="44" t="s">
        <v>6637</v>
      </c>
      <c r="C991" s="50"/>
      <c r="D991" s="10" t="s">
        <v>29</v>
      </c>
      <c r="E991" s="11"/>
      <c r="F991" s="11" t="s">
        <v>18</v>
      </c>
      <c r="G991" s="13"/>
      <c r="H991" s="45" t="s">
        <v>16</v>
      </c>
      <c r="I991" s="47"/>
      <c r="J991" s="12" t="s">
        <v>2452</v>
      </c>
      <c r="K991" s="13" t="s">
        <v>7761</v>
      </c>
      <c r="L991" s="99" t="str">
        <f t="shared" si="89"/>
        <v>W1238.E</v>
      </c>
      <c r="M991" s="13" t="s">
        <v>3667</v>
      </c>
      <c r="N991" s="13"/>
      <c r="O991" s="13"/>
      <c r="P991" s="47"/>
      <c r="Q991" s="45"/>
      <c r="R991" s="45"/>
      <c r="S991" s="48"/>
      <c r="T991" s="49" t="str">
        <f t="shared" si="87"/>
        <v>[W1238.E]</v>
      </c>
      <c r="U991" s="12" t="str">
        <f t="shared" si="88"/>
        <v xml:space="preserve"> 어퍼 셔틀#2 제품 배출 시간초과</v>
      </c>
      <c r="V991" s="49" t="str">
        <f t="shared" si="90"/>
        <v>[W1238.E] 어퍼 셔틀#2 제품 배출 시간초과</v>
      </c>
    </row>
    <row r="992" spans="1:22" s="49" customFormat="1" ht="14.15" customHeight="1">
      <c r="A992" s="43" t="s">
        <v>3731</v>
      </c>
      <c r="B992" s="44" t="s">
        <v>6637</v>
      </c>
      <c r="C992" s="50"/>
      <c r="D992" s="10" t="s">
        <v>29</v>
      </c>
      <c r="E992" s="11"/>
      <c r="F992" s="11" t="s">
        <v>18</v>
      </c>
      <c r="G992" s="13"/>
      <c r="H992" s="45" t="s">
        <v>16</v>
      </c>
      <c r="I992" s="47"/>
      <c r="J992" s="12" t="s">
        <v>2453</v>
      </c>
      <c r="K992" s="13" t="s">
        <v>7762</v>
      </c>
      <c r="L992" s="99" t="str">
        <f t="shared" si="89"/>
        <v>W1238.F</v>
      </c>
      <c r="M992" s="13" t="s">
        <v>3667</v>
      </c>
      <c r="N992" s="13"/>
      <c r="O992" s="13"/>
      <c r="P992" s="47"/>
      <c r="Q992" s="45"/>
      <c r="R992" s="45"/>
      <c r="S992" s="48"/>
      <c r="T992" s="49" t="str">
        <f t="shared" si="87"/>
        <v>[W1238.F]</v>
      </c>
      <c r="U992" s="12" t="str">
        <f t="shared" si="88"/>
        <v xml:space="preserve"> 어퍼 셔틀#2 제품 수취 시퀀스 이상</v>
      </c>
      <c r="V992" s="49" t="str">
        <f t="shared" si="90"/>
        <v>[W1238.F] 어퍼 셔틀#2 제품 수취 시퀀스 이상</v>
      </c>
    </row>
    <row r="993" spans="1:22" s="49" customFormat="1" ht="14.15" customHeight="1">
      <c r="A993" s="44"/>
      <c r="B993" s="44" t="s">
        <v>6637</v>
      </c>
      <c r="C993" s="50"/>
      <c r="D993" s="10" t="s">
        <v>29</v>
      </c>
      <c r="E993" s="11"/>
      <c r="F993" s="11" t="s">
        <v>18</v>
      </c>
      <c r="G993" s="13"/>
      <c r="H993" s="45" t="s">
        <v>16</v>
      </c>
      <c r="I993" s="47"/>
      <c r="J993" s="12" t="s">
        <v>821</v>
      </c>
      <c r="K993" s="13" t="s">
        <v>7763</v>
      </c>
      <c r="L993" s="99" t="str">
        <f t="shared" si="89"/>
        <v>W1239.0</v>
      </c>
      <c r="M993" s="13"/>
      <c r="N993" s="13"/>
      <c r="O993" s="13"/>
      <c r="P993" s="47"/>
      <c r="Q993" s="45"/>
      <c r="R993" s="45"/>
      <c r="S993" s="48"/>
      <c r="T993" s="49" t="str">
        <f t="shared" si="87"/>
        <v>[W1239.0]</v>
      </c>
      <c r="U993" s="12" t="str">
        <f t="shared" si="88"/>
        <v xml:space="preserve"> </v>
      </c>
      <c r="V993" s="49" t="str">
        <f t="shared" si="90"/>
        <v xml:space="preserve">[W1239.0] </v>
      </c>
    </row>
    <row r="994" spans="1:22" s="49" customFormat="1" ht="14.15" customHeight="1">
      <c r="A994" s="43" t="s">
        <v>3731</v>
      </c>
      <c r="B994" s="44" t="s">
        <v>6637</v>
      </c>
      <c r="C994" s="50"/>
      <c r="D994" s="10" t="s">
        <v>29</v>
      </c>
      <c r="E994" s="11"/>
      <c r="F994" s="11" t="s">
        <v>18</v>
      </c>
      <c r="G994" s="13"/>
      <c r="H994" s="45" t="s">
        <v>16</v>
      </c>
      <c r="I994" s="47"/>
      <c r="J994" s="12" t="s">
        <v>2454</v>
      </c>
      <c r="K994" s="13" t="s">
        <v>7764</v>
      </c>
      <c r="L994" s="99" t="str">
        <f t="shared" si="89"/>
        <v>W1239.1</v>
      </c>
      <c r="M994" s="13" t="s">
        <v>3667</v>
      </c>
      <c r="N994" s="13"/>
      <c r="O994" s="13"/>
      <c r="P994" s="47"/>
      <c r="Q994" s="45"/>
      <c r="R994" s="45"/>
      <c r="S994" s="48"/>
      <c r="T994" s="49" t="str">
        <f t="shared" si="87"/>
        <v>[W1239.1]</v>
      </c>
      <c r="U994" s="12" t="str">
        <f t="shared" si="88"/>
        <v xml:space="preserve"> 어퍼 셔틀#2 제품 베츨 시퀀스 이상</v>
      </c>
      <c r="V994" s="49" t="str">
        <f t="shared" si="90"/>
        <v>[W1239.1] 어퍼 셔틀#2 제품 베츨 시퀀스 이상</v>
      </c>
    </row>
    <row r="995" spans="1:22" s="49" customFormat="1" ht="14.15" customHeight="1">
      <c r="A995" s="44"/>
      <c r="B995" s="44" t="s">
        <v>6637</v>
      </c>
      <c r="C995" s="50"/>
      <c r="D995" s="10" t="s">
        <v>29</v>
      </c>
      <c r="E995" s="11"/>
      <c r="F995" s="11" t="s">
        <v>18</v>
      </c>
      <c r="G995" s="13"/>
      <c r="H995" s="45" t="s">
        <v>16</v>
      </c>
      <c r="I995" s="47"/>
      <c r="J995" s="12" t="s">
        <v>823</v>
      </c>
      <c r="K995" s="13" t="s">
        <v>7765</v>
      </c>
      <c r="L995" s="99" t="str">
        <f t="shared" si="89"/>
        <v>W1239.2</v>
      </c>
      <c r="M995" s="13"/>
      <c r="N995" s="13"/>
      <c r="O995" s="13"/>
      <c r="P995" s="47"/>
      <c r="Q995" s="45"/>
      <c r="R995" s="45"/>
      <c r="S995" s="48"/>
      <c r="T995" s="49" t="str">
        <f t="shared" si="87"/>
        <v>[W1239.2]</v>
      </c>
      <c r="U995" s="12" t="str">
        <f t="shared" si="88"/>
        <v xml:space="preserve"> </v>
      </c>
      <c r="V995" s="49" t="str">
        <f t="shared" si="90"/>
        <v xml:space="preserve">[W1239.2] </v>
      </c>
    </row>
    <row r="996" spans="1:22" s="49" customFormat="1" ht="14.15" customHeight="1">
      <c r="A996" s="44"/>
      <c r="B996" s="44" t="s">
        <v>6637</v>
      </c>
      <c r="C996" s="50"/>
      <c r="D996" s="10" t="s">
        <v>29</v>
      </c>
      <c r="E996" s="11"/>
      <c r="F996" s="11" t="s">
        <v>18</v>
      </c>
      <c r="G996" s="13"/>
      <c r="H996" s="45" t="s">
        <v>16</v>
      </c>
      <c r="I996" s="47"/>
      <c r="J996" s="12" t="s">
        <v>824</v>
      </c>
      <c r="K996" s="13" t="s">
        <v>7766</v>
      </c>
      <c r="L996" s="99" t="str">
        <f t="shared" si="89"/>
        <v>W1239.3</v>
      </c>
      <c r="M996" s="13"/>
      <c r="N996" s="13"/>
      <c r="O996" s="13"/>
      <c r="P996" s="47"/>
      <c r="Q996" s="45"/>
      <c r="R996" s="45"/>
      <c r="S996" s="48"/>
      <c r="T996" s="49" t="str">
        <f t="shared" si="87"/>
        <v>[W1239.3]</v>
      </c>
      <c r="U996" s="12" t="str">
        <f t="shared" si="88"/>
        <v xml:space="preserve"> </v>
      </c>
      <c r="V996" s="49" t="str">
        <f t="shared" si="90"/>
        <v xml:space="preserve">[W1239.3] </v>
      </c>
    </row>
    <row r="997" spans="1:22" s="49" customFormat="1" ht="14.15" customHeight="1">
      <c r="A997" s="44"/>
      <c r="B997" s="44" t="s">
        <v>6637</v>
      </c>
      <c r="C997" s="50"/>
      <c r="D997" s="10" t="s">
        <v>29</v>
      </c>
      <c r="E997" s="11"/>
      <c r="F997" s="11" t="s">
        <v>18</v>
      </c>
      <c r="G997" s="13"/>
      <c r="H997" s="45" t="s">
        <v>16</v>
      </c>
      <c r="I997" s="47"/>
      <c r="J997" s="12" t="s">
        <v>825</v>
      </c>
      <c r="K997" s="13" t="s">
        <v>7767</v>
      </c>
      <c r="L997" s="99" t="str">
        <f t="shared" si="89"/>
        <v>W1239.4</v>
      </c>
      <c r="M997" s="13"/>
      <c r="N997" s="13"/>
      <c r="O997" s="13"/>
      <c r="P997" s="47"/>
      <c r="Q997" s="45"/>
      <c r="R997" s="45"/>
      <c r="S997" s="48"/>
      <c r="T997" s="49" t="str">
        <f t="shared" si="87"/>
        <v>[W1239.4]</v>
      </c>
      <c r="U997" s="12" t="str">
        <f t="shared" si="88"/>
        <v xml:space="preserve"> </v>
      </c>
      <c r="V997" s="49" t="str">
        <f t="shared" si="90"/>
        <v xml:space="preserve">[W1239.4] </v>
      </c>
    </row>
    <row r="998" spans="1:22" s="49" customFormat="1" ht="14.15" customHeight="1">
      <c r="A998" s="44"/>
      <c r="B998" s="44" t="s">
        <v>6637</v>
      </c>
      <c r="C998" s="50"/>
      <c r="D998" s="10" t="s">
        <v>29</v>
      </c>
      <c r="E998" s="11"/>
      <c r="F998" s="11" t="s">
        <v>18</v>
      </c>
      <c r="G998" s="13"/>
      <c r="H998" s="45" t="s">
        <v>16</v>
      </c>
      <c r="I998" s="47"/>
      <c r="J998" s="12" t="s">
        <v>826</v>
      </c>
      <c r="K998" s="13" t="s">
        <v>7768</v>
      </c>
      <c r="L998" s="99" t="str">
        <f t="shared" si="89"/>
        <v>W1239.5</v>
      </c>
      <c r="M998" s="13"/>
      <c r="N998" s="13"/>
      <c r="O998" s="13"/>
      <c r="P998" s="47"/>
      <c r="Q998" s="45"/>
      <c r="R998" s="45"/>
      <c r="S998" s="48"/>
      <c r="T998" s="49" t="str">
        <f t="shared" si="87"/>
        <v>[W1239.5]</v>
      </c>
      <c r="U998" s="12" t="str">
        <f t="shared" si="88"/>
        <v xml:space="preserve"> </v>
      </c>
      <c r="V998" s="49" t="str">
        <f t="shared" si="90"/>
        <v xml:space="preserve">[W1239.5] </v>
      </c>
    </row>
    <row r="999" spans="1:22" s="49" customFormat="1" ht="14.15" customHeight="1">
      <c r="A999" s="43" t="s">
        <v>3731</v>
      </c>
      <c r="B999" s="44" t="s">
        <v>6637</v>
      </c>
      <c r="C999" s="50"/>
      <c r="D999" s="10" t="s">
        <v>29</v>
      </c>
      <c r="E999" s="11"/>
      <c r="F999" s="11" t="s">
        <v>18</v>
      </c>
      <c r="G999" s="13"/>
      <c r="H999" s="45" t="s">
        <v>16</v>
      </c>
      <c r="I999" s="47"/>
      <c r="J999" s="12" t="s">
        <v>2455</v>
      </c>
      <c r="K999" s="13" t="s">
        <v>7769</v>
      </c>
      <c r="L999" s="99" t="str">
        <f t="shared" si="89"/>
        <v>W1239.6</v>
      </c>
      <c r="M999" s="13" t="s">
        <v>3667</v>
      </c>
      <c r="N999" s="13"/>
      <c r="O999" s="13"/>
      <c r="P999" s="47"/>
      <c r="Q999" s="45"/>
      <c r="R999" s="45"/>
      <c r="S999" s="48"/>
      <c r="T999" s="49" t="str">
        <f t="shared" si="87"/>
        <v>[W1239.6]</v>
      </c>
      <c r="U999" s="12" t="str">
        <f t="shared" si="88"/>
        <v xml:space="preserve"> 어퍼 셔틀#2 제품 데이터 불일치 이상 (X3C4)</v>
      </c>
      <c r="V999" s="49" t="str">
        <f t="shared" si="90"/>
        <v>[W1239.6] 어퍼 셔틀#2 제품 데이터 불일치 이상 (X3C4)</v>
      </c>
    </row>
    <row r="1000" spans="1:22" s="49" customFormat="1" ht="14.15" customHeight="1">
      <c r="A1000" s="43" t="s">
        <v>3731</v>
      </c>
      <c r="B1000" s="44" t="s">
        <v>6637</v>
      </c>
      <c r="C1000" s="50"/>
      <c r="D1000" s="10" t="s">
        <v>29</v>
      </c>
      <c r="E1000" s="11"/>
      <c r="F1000" s="11" t="s">
        <v>18</v>
      </c>
      <c r="G1000" s="13"/>
      <c r="H1000" s="45" t="s">
        <v>16</v>
      </c>
      <c r="I1000" s="47"/>
      <c r="J1000" s="12" t="s">
        <v>2456</v>
      </c>
      <c r="K1000" s="13" t="s">
        <v>7770</v>
      </c>
      <c r="L1000" s="99" t="str">
        <f t="shared" si="89"/>
        <v>W1239.7</v>
      </c>
      <c r="M1000" s="13" t="s">
        <v>3667</v>
      </c>
      <c r="N1000" s="13"/>
      <c r="O1000" s="13"/>
      <c r="P1000" s="47"/>
      <c r="Q1000" s="45"/>
      <c r="R1000" s="45"/>
      <c r="S1000" s="48"/>
      <c r="T1000" s="49" t="str">
        <f t="shared" si="87"/>
        <v>[W1239.7]</v>
      </c>
      <c r="U1000" s="12" t="str">
        <f t="shared" si="88"/>
        <v xml:space="preserve"> 어퍼 셔틀#3 셔틀 상승 시간초과 (Y42A, X3CA, X3CB)</v>
      </c>
      <c r="V1000" s="49" t="str">
        <f t="shared" si="90"/>
        <v>[W1239.7] 어퍼 셔틀#3 셔틀 상승 시간초과 (Y42A, X3CA, X3CB)</v>
      </c>
    </row>
    <row r="1001" spans="1:22" s="49" customFormat="1" ht="14.15" customHeight="1">
      <c r="A1001" s="43" t="s">
        <v>3731</v>
      </c>
      <c r="B1001" s="44" t="s">
        <v>6637</v>
      </c>
      <c r="C1001" s="50"/>
      <c r="D1001" s="10" t="s">
        <v>29</v>
      </c>
      <c r="E1001" s="11"/>
      <c r="F1001" s="11" t="s">
        <v>18</v>
      </c>
      <c r="G1001" s="13"/>
      <c r="H1001" s="45" t="s">
        <v>16</v>
      </c>
      <c r="I1001" s="47"/>
      <c r="J1001" s="12" t="s">
        <v>2457</v>
      </c>
      <c r="K1001" s="13" t="s">
        <v>7771</v>
      </c>
      <c r="L1001" s="99" t="str">
        <f t="shared" si="89"/>
        <v>W1239.8</v>
      </c>
      <c r="M1001" s="13" t="s">
        <v>3667</v>
      </c>
      <c r="N1001" s="13"/>
      <c r="O1001" s="13"/>
      <c r="P1001" s="47"/>
      <c r="Q1001" s="45"/>
      <c r="R1001" s="45"/>
      <c r="S1001" s="48"/>
      <c r="T1001" s="49" t="str">
        <f t="shared" si="87"/>
        <v>[W1239.8]</v>
      </c>
      <c r="U1001" s="12" t="str">
        <f t="shared" si="88"/>
        <v xml:space="preserve"> 어퍼 셔틀#3 셔틀 하강 시간초과 (Y42B, X3C9)</v>
      </c>
      <c r="V1001" s="49" t="str">
        <f t="shared" si="90"/>
        <v>[W1239.8] 어퍼 셔틀#3 셔틀 하강 시간초과 (Y42B, X3C9)</v>
      </c>
    </row>
    <row r="1002" spans="1:22" s="49" customFormat="1" ht="14.15" customHeight="1">
      <c r="A1002" s="43" t="s">
        <v>3731</v>
      </c>
      <c r="B1002" s="44" t="s">
        <v>6637</v>
      </c>
      <c r="C1002" s="50"/>
      <c r="D1002" s="10" t="s">
        <v>29</v>
      </c>
      <c r="E1002" s="11"/>
      <c r="F1002" s="11" t="s">
        <v>18</v>
      </c>
      <c r="G1002" s="13"/>
      <c r="H1002" s="45" t="s">
        <v>16</v>
      </c>
      <c r="I1002" s="47"/>
      <c r="J1002" s="12" t="s">
        <v>2458</v>
      </c>
      <c r="K1002" s="13" t="s">
        <v>7772</v>
      </c>
      <c r="L1002" s="99" t="str">
        <f t="shared" si="89"/>
        <v>W1239.9</v>
      </c>
      <c r="M1002" s="13" t="s">
        <v>3667</v>
      </c>
      <c r="N1002" s="13"/>
      <c r="O1002" s="13"/>
      <c r="P1002" s="47"/>
      <c r="Q1002" s="45"/>
      <c r="R1002" s="45"/>
      <c r="S1002" s="48"/>
      <c r="T1002" s="49" t="str">
        <f t="shared" ref="T1002:T1033" si="91">"["&amp;L1002&amp;"]"</f>
        <v>[W1239.9]</v>
      </c>
      <c r="U1002" s="12" t="str">
        <f t="shared" ref="U1002:U1033" si="92">RIGHT(J1002,LEN(J1002)-7)</f>
        <v xml:space="preserve"> 어퍼 셔틀#3 셔틀 상승/하강 센서 이상 (X3CA, X3CB, X3C9)</v>
      </c>
      <c r="V1002" s="49" t="str">
        <f t="shared" si="90"/>
        <v>[W1239.9] 어퍼 셔틀#3 셔틀 상승/하강 센서 이상 (X3CA, X3CB, X3C9)</v>
      </c>
    </row>
    <row r="1003" spans="1:22" s="49" customFormat="1" ht="14.15" customHeight="1">
      <c r="A1003" s="43" t="s">
        <v>3731</v>
      </c>
      <c r="B1003" s="44" t="s">
        <v>6637</v>
      </c>
      <c r="C1003" s="50"/>
      <c r="D1003" s="10" t="s">
        <v>29</v>
      </c>
      <c r="E1003" s="11"/>
      <c r="F1003" s="11" t="s">
        <v>18</v>
      </c>
      <c r="G1003" s="13"/>
      <c r="H1003" s="45" t="s">
        <v>16</v>
      </c>
      <c r="I1003" s="47"/>
      <c r="J1003" s="12" t="s">
        <v>2459</v>
      </c>
      <c r="K1003" s="13" t="s">
        <v>7773</v>
      </c>
      <c r="L1003" s="99" t="str">
        <f t="shared" si="89"/>
        <v>W1239.A</v>
      </c>
      <c r="M1003" s="13" t="s">
        <v>3667</v>
      </c>
      <c r="N1003" s="13"/>
      <c r="O1003" s="13"/>
      <c r="P1003" s="47"/>
      <c r="Q1003" s="45"/>
      <c r="R1003" s="45"/>
      <c r="S1003" s="48"/>
      <c r="T1003" s="49" t="str">
        <f t="shared" si="91"/>
        <v>[W1239.A]</v>
      </c>
      <c r="U1003" s="12" t="str">
        <f t="shared" si="92"/>
        <v xml:space="preserve"> 어퍼 셔틀#3 &amp;셔틀#2 기동 지령 오류 이상</v>
      </c>
      <c r="V1003" s="49" t="str">
        <f t="shared" si="90"/>
        <v>[W1239.A] 어퍼 셔틀#3 &amp;셔틀#2 기동 지령 오류 이상</v>
      </c>
    </row>
    <row r="1004" spans="1:22" s="49" customFormat="1" ht="14.15" customHeight="1">
      <c r="A1004" s="43" t="s">
        <v>3731</v>
      </c>
      <c r="B1004" s="44" t="s">
        <v>6637</v>
      </c>
      <c r="C1004" s="50"/>
      <c r="D1004" s="10" t="s">
        <v>29</v>
      </c>
      <c r="E1004" s="11"/>
      <c r="F1004" s="11" t="s">
        <v>18</v>
      </c>
      <c r="G1004" s="13"/>
      <c r="H1004" s="45" t="s">
        <v>16</v>
      </c>
      <c r="I1004" s="47"/>
      <c r="J1004" s="12" t="s">
        <v>2460</v>
      </c>
      <c r="K1004" s="13" t="s">
        <v>7774</v>
      </c>
      <c r="L1004" s="99" t="str">
        <f t="shared" si="89"/>
        <v>W1239.B</v>
      </c>
      <c r="M1004" s="13" t="s">
        <v>3667</v>
      </c>
      <c r="N1004" s="13"/>
      <c r="O1004" s="13"/>
      <c r="P1004" s="47"/>
      <c r="Q1004" s="45"/>
      <c r="R1004" s="45"/>
      <c r="S1004" s="48"/>
      <c r="T1004" s="49" t="str">
        <f t="shared" si="91"/>
        <v>[W1239.B]</v>
      </c>
      <c r="U1004" s="12" t="str">
        <f t="shared" si="92"/>
        <v xml:space="preserve"> 어퍼 셔틀#3 &amp;셔틀#2 구동 방향 오류 이상</v>
      </c>
      <c r="V1004" s="49" t="str">
        <f t="shared" si="90"/>
        <v>[W1239.B] 어퍼 셔틀#3 &amp;셔틀#2 구동 방향 오류 이상</v>
      </c>
    </row>
    <row r="1005" spans="1:22" s="49" customFormat="1" ht="14.15" customHeight="1">
      <c r="A1005" s="43" t="s">
        <v>3731</v>
      </c>
      <c r="B1005" s="44" t="s">
        <v>6637</v>
      </c>
      <c r="C1005" s="50"/>
      <c r="D1005" s="10" t="s">
        <v>29</v>
      </c>
      <c r="E1005" s="11"/>
      <c r="F1005" s="11" t="s">
        <v>18</v>
      </c>
      <c r="G1005" s="13"/>
      <c r="H1005" s="45" t="s">
        <v>16</v>
      </c>
      <c r="I1005" s="47"/>
      <c r="J1005" s="12" t="s">
        <v>2461</v>
      </c>
      <c r="K1005" s="13" t="s">
        <v>7775</v>
      </c>
      <c r="L1005" s="99" t="str">
        <f t="shared" si="89"/>
        <v>W1239.C</v>
      </c>
      <c r="M1005" s="13" t="s">
        <v>3667</v>
      </c>
      <c r="N1005" s="13"/>
      <c r="O1005" s="13"/>
      <c r="P1005" s="47"/>
      <c r="Q1005" s="45"/>
      <c r="R1005" s="45"/>
      <c r="S1005" s="48"/>
      <c r="T1005" s="49" t="str">
        <f t="shared" si="91"/>
        <v>[W1239.C]</v>
      </c>
      <c r="U1005" s="12" t="str">
        <f t="shared" si="92"/>
        <v xml:space="preserve"> 어퍼 셔틀#3 &amp;셔틀#2 간격 이상</v>
      </c>
      <c r="V1005" s="49" t="str">
        <f t="shared" si="90"/>
        <v>[W1239.C] 어퍼 셔틀#3 &amp;셔틀#2 간격 이상</v>
      </c>
    </row>
    <row r="1006" spans="1:22" s="49" customFormat="1" ht="14.15" customHeight="1">
      <c r="A1006" s="44"/>
      <c r="B1006" s="44" t="s">
        <v>6637</v>
      </c>
      <c r="C1006" s="50"/>
      <c r="D1006" s="10" t="s">
        <v>29</v>
      </c>
      <c r="E1006" s="11"/>
      <c r="F1006" s="11" t="s">
        <v>18</v>
      </c>
      <c r="G1006" s="13"/>
      <c r="H1006" s="45" t="s">
        <v>16</v>
      </c>
      <c r="I1006" s="47"/>
      <c r="J1006" s="12" t="s">
        <v>834</v>
      </c>
      <c r="K1006" s="13" t="s">
        <v>7776</v>
      </c>
      <c r="L1006" s="99" t="str">
        <f t="shared" si="89"/>
        <v>W1239.D</v>
      </c>
      <c r="M1006" s="13"/>
      <c r="N1006" s="13"/>
      <c r="O1006" s="13"/>
      <c r="P1006" s="47"/>
      <c r="Q1006" s="45"/>
      <c r="R1006" s="45"/>
      <c r="S1006" s="48"/>
      <c r="T1006" s="49" t="str">
        <f t="shared" si="91"/>
        <v>[W1239.D]</v>
      </c>
      <c r="U1006" s="12" t="str">
        <f t="shared" si="92"/>
        <v xml:space="preserve"> </v>
      </c>
      <c r="V1006" s="49" t="str">
        <f t="shared" si="90"/>
        <v xml:space="preserve">[W1239.D] </v>
      </c>
    </row>
    <row r="1007" spans="1:22" s="49" customFormat="1" ht="14.15" customHeight="1">
      <c r="A1007" s="44"/>
      <c r="B1007" s="44" t="s">
        <v>6637</v>
      </c>
      <c r="C1007" s="50"/>
      <c r="D1007" s="10" t="s">
        <v>29</v>
      </c>
      <c r="E1007" s="11"/>
      <c r="F1007" s="11" t="s">
        <v>18</v>
      </c>
      <c r="G1007" s="13"/>
      <c r="H1007" s="45" t="s">
        <v>16</v>
      </c>
      <c r="I1007" s="47"/>
      <c r="J1007" s="12" t="s">
        <v>835</v>
      </c>
      <c r="K1007" s="13" t="s">
        <v>7777</v>
      </c>
      <c r="L1007" s="99" t="str">
        <f t="shared" si="89"/>
        <v>W1239.E</v>
      </c>
      <c r="M1007" s="13"/>
      <c r="N1007" s="13"/>
      <c r="O1007" s="13"/>
      <c r="P1007" s="47"/>
      <c r="Q1007" s="45"/>
      <c r="R1007" s="45"/>
      <c r="S1007" s="48"/>
      <c r="T1007" s="49" t="str">
        <f t="shared" si="91"/>
        <v>[W1239.E]</v>
      </c>
      <c r="U1007" s="12" t="str">
        <f t="shared" si="92"/>
        <v xml:space="preserve"> </v>
      </c>
      <c r="V1007" s="49" t="str">
        <f t="shared" si="90"/>
        <v xml:space="preserve">[W1239.E] </v>
      </c>
    </row>
    <row r="1008" spans="1:22" s="49" customFormat="1" ht="14.15" customHeight="1">
      <c r="A1008" s="44"/>
      <c r="B1008" s="44" t="s">
        <v>6637</v>
      </c>
      <c r="C1008" s="50"/>
      <c r="D1008" s="10" t="s">
        <v>29</v>
      </c>
      <c r="E1008" s="11"/>
      <c r="F1008" s="11" t="s">
        <v>18</v>
      </c>
      <c r="G1008" s="13"/>
      <c r="H1008" s="45" t="s">
        <v>16</v>
      </c>
      <c r="I1008" s="47"/>
      <c r="J1008" s="12" t="s">
        <v>836</v>
      </c>
      <c r="K1008" s="13" t="s">
        <v>7778</v>
      </c>
      <c r="L1008" s="99" t="str">
        <f t="shared" si="89"/>
        <v>W1239.F</v>
      </c>
      <c r="M1008" s="13"/>
      <c r="N1008" s="13"/>
      <c r="O1008" s="13"/>
      <c r="P1008" s="47"/>
      <c r="Q1008" s="45"/>
      <c r="R1008" s="45"/>
      <c r="S1008" s="48"/>
      <c r="T1008" s="49" t="str">
        <f t="shared" si="91"/>
        <v>[W1239.F]</v>
      </c>
      <c r="U1008" s="12" t="str">
        <f t="shared" si="92"/>
        <v xml:space="preserve"> </v>
      </c>
      <c r="V1008" s="49" t="str">
        <f t="shared" si="90"/>
        <v xml:space="preserve">[W1239.F] </v>
      </c>
    </row>
    <row r="1009" spans="1:22" s="49" customFormat="1" ht="14.15" customHeight="1">
      <c r="A1009" s="44"/>
      <c r="B1009" s="44" t="s">
        <v>6637</v>
      </c>
      <c r="C1009" s="50"/>
      <c r="D1009" s="10" t="s">
        <v>29</v>
      </c>
      <c r="E1009" s="11"/>
      <c r="F1009" s="11" t="s">
        <v>18</v>
      </c>
      <c r="G1009" s="13"/>
      <c r="H1009" s="45" t="s">
        <v>16</v>
      </c>
      <c r="I1009" s="47"/>
      <c r="J1009" s="12" t="s">
        <v>837</v>
      </c>
      <c r="K1009" s="13" t="s">
        <v>7779</v>
      </c>
      <c r="L1009" s="99" t="str">
        <f t="shared" si="89"/>
        <v>W123A.0</v>
      </c>
      <c r="M1009" s="13"/>
      <c r="N1009" s="13"/>
      <c r="O1009" s="13"/>
      <c r="P1009" s="47"/>
      <c r="Q1009" s="45"/>
      <c r="R1009" s="45"/>
      <c r="S1009" s="48"/>
      <c r="T1009" s="49" t="str">
        <f t="shared" si="91"/>
        <v>[W123A.0]</v>
      </c>
      <c r="U1009" s="12" t="str">
        <f t="shared" si="92"/>
        <v xml:space="preserve"> </v>
      </c>
      <c r="V1009" s="49" t="str">
        <f t="shared" si="90"/>
        <v xml:space="preserve">[W123A.0] </v>
      </c>
    </row>
    <row r="1010" spans="1:22" s="49" customFormat="1" ht="14.15" customHeight="1">
      <c r="A1010" s="43" t="s">
        <v>3731</v>
      </c>
      <c r="B1010" s="44" t="s">
        <v>6637</v>
      </c>
      <c r="C1010" s="50"/>
      <c r="D1010" s="10" t="s">
        <v>29</v>
      </c>
      <c r="E1010" s="11"/>
      <c r="F1010" s="11" t="s">
        <v>18</v>
      </c>
      <c r="G1010" s="13"/>
      <c r="H1010" s="45" t="s">
        <v>16</v>
      </c>
      <c r="I1010" s="47"/>
      <c r="J1010" s="12" t="s">
        <v>2462</v>
      </c>
      <c r="K1010" s="13" t="s">
        <v>7780</v>
      </c>
      <c r="L1010" s="99" t="str">
        <f t="shared" si="89"/>
        <v>W123A.1</v>
      </c>
      <c r="M1010" s="13" t="s">
        <v>3667</v>
      </c>
      <c r="N1010" s="13"/>
      <c r="O1010" s="13"/>
      <c r="P1010" s="47"/>
      <c r="Q1010" s="45"/>
      <c r="R1010" s="45"/>
      <c r="S1010" s="48"/>
      <c r="T1010" s="49" t="str">
        <f t="shared" si="91"/>
        <v>[W123A.1]</v>
      </c>
      <c r="U1010" s="12" t="str">
        <f t="shared" si="92"/>
        <v xml:space="preserve"> 어퍼 셔틀#3 제품 수취 시간초과</v>
      </c>
      <c r="V1010" s="49" t="str">
        <f t="shared" si="90"/>
        <v>[W123A.1] 어퍼 셔틀#3 제품 수취 시간초과</v>
      </c>
    </row>
    <row r="1011" spans="1:22" s="49" customFormat="1" ht="14.15" customHeight="1">
      <c r="A1011" s="43" t="s">
        <v>3731</v>
      </c>
      <c r="B1011" s="44" t="s">
        <v>6637</v>
      </c>
      <c r="C1011" s="50"/>
      <c r="D1011" s="10" t="s">
        <v>29</v>
      </c>
      <c r="E1011" s="11"/>
      <c r="F1011" s="11" t="s">
        <v>18</v>
      </c>
      <c r="G1011" s="13"/>
      <c r="H1011" s="45" t="s">
        <v>16</v>
      </c>
      <c r="I1011" s="47"/>
      <c r="J1011" s="12" t="s">
        <v>2463</v>
      </c>
      <c r="K1011" s="13" t="s">
        <v>7781</v>
      </c>
      <c r="L1011" s="99" t="str">
        <f t="shared" si="89"/>
        <v>W123A.2</v>
      </c>
      <c r="M1011" s="13" t="s">
        <v>3667</v>
      </c>
      <c r="N1011" s="13"/>
      <c r="O1011" s="13"/>
      <c r="P1011" s="47"/>
      <c r="Q1011" s="45"/>
      <c r="R1011" s="45"/>
      <c r="S1011" s="48"/>
      <c r="T1011" s="49" t="str">
        <f t="shared" si="91"/>
        <v>[W123A.2]</v>
      </c>
      <c r="U1011" s="12" t="str">
        <f t="shared" si="92"/>
        <v xml:space="preserve"> 어퍼 셔틀#3 제품 배출 시간초과</v>
      </c>
      <c r="V1011" s="49" t="str">
        <f t="shared" si="90"/>
        <v>[W123A.2] 어퍼 셔틀#3 제품 배출 시간초과</v>
      </c>
    </row>
    <row r="1012" spans="1:22" s="49" customFormat="1" ht="14.15" customHeight="1">
      <c r="A1012" s="43" t="s">
        <v>3731</v>
      </c>
      <c r="B1012" s="44" t="s">
        <v>6637</v>
      </c>
      <c r="C1012" s="50"/>
      <c r="D1012" s="10" t="s">
        <v>29</v>
      </c>
      <c r="E1012" s="11"/>
      <c r="F1012" s="11" t="s">
        <v>18</v>
      </c>
      <c r="G1012" s="13"/>
      <c r="H1012" s="45" t="s">
        <v>16</v>
      </c>
      <c r="I1012" s="47"/>
      <c r="J1012" s="12" t="s">
        <v>2464</v>
      </c>
      <c r="K1012" s="13" t="s">
        <v>7782</v>
      </c>
      <c r="L1012" s="99" t="str">
        <f t="shared" si="89"/>
        <v>W123A.3</v>
      </c>
      <c r="M1012" s="13" t="s">
        <v>3667</v>
      </c>
      <c r="N1012" s="13"/>
      <c r="O1012" s="13"/>
      <c r="P1012" s="47"/>
      <c r="Q1012" s="45"/>
      <c r="R1012" s="45"/>
      <c r="S1012" s="48"/>
      <c r="T1012" s="49" t="str">
        <f t="shared" si="91"/>
        <v>[W123A.3]</v>
      </c>
      <c r="U1012" s="12" t="str">
        <f t="shared" si="92"/>
        <v xml:space="preserve"> 어퍼 셔틀#3 제품 수취 시퀀스 이상</v>
      </c>
      <c r="V1012" s="49" t="str">
        <f t="shared" si="90"/>
        <v>[W123A.3] 어퍼 셔틀#3 제품 수취 시퀀스 이상</v>
      </c>
    </row>
    <row r="1013" spans="1:22" s="49" customFormat="1" ht="14.15" customHeight="1">
      <c r="A1013" s="44"/>
      <c r="B1013" s="44" t="s">
        <v>6637</v>
      </c>
      <c r="C1013" s="50"/>
      <c r="D1013" s="10" t="s">
        <v>29</v>
      </c>
      <c r="E1013" s="11"/>
      <c r="F1013" s="11" t="s">
        <v>18</v>
      </c>
      <c r="G1013" s="13"/>
      <c r="H1013" s="45" t="s">
        <v>16</v>
      </c>
      <c r="I1013" s="47"/>
      <c r="J1013" s="12" t="s">
        <v>841</v>
      </c>
      <c r="K1013" s="13" t="s">
        <v>7783</v>
      </c>
      <c r="L1013" s="99" t="str">
        <f t="shared" si="89"/>
        <v>W123A.4</v>
      </c>
      <c r="M1013" s="13"/>
      <c r="N1013" s="13"/>
      <c r="O1013" s="13"/>
      <c r="P1013" s="47"/>
      <c r="Q1013" s="45"/>
      <c r="R1013" s="45"/>
      <c r="S1013" s="48"/>
      <c r="T1013" s="49" t="str">
        <f t="shared" si="91"/>
        <v>[W123A.4]</v>
      </c>
      <c r="U1013" s="12" t="str">
        <f t="shared" si="92"/>
        <v xml:space="preserve"> </v>
      </c>
      <c r="V1013" s="49" t="str">
        <f t="shared" si="90"/>
        <v xml:space="preserve">[W123A.4] </v>
      </c>
    </row>
    <row r="1014" spans="1:22" s="49" customFormat="1" ht="14.15" customHeight="1">
      <c r="A1014" s="43" t="s">
        <v>3731</v>
      </c>
      <c r="B1014" s="44" t="s">
        <v>6637</v>
      </c>
      <c r="C1014" s="50"/>
      <c r="D1014" s="10" t="s">
        <v>29</v>
      </c>
      <c r="E1014" s="11"/>
      <c r="F1014" s="11" t="s">
        <v>18</v>
      </c>
      <c r="G1014" s="13"/>
      <c r="H1014" s="45" t="s">
        <v>16</v>
      </c>
      <c r="I1014" s="47"/>
      <c r="J1014" s="12" t="s">
        <v>2465</v>
      </c>
      <c r="K1014" s="13" t="s">
        <v>7784</v>
      </c>
      <c r="L1014" s="99" t="str">
        <f t="shared" si="89"/>
        <v>W123A.5</v>
      </c>
      <c r="M1014" s="13" t="s">
        <v>3667</v>
      </c>
      <c r="N1014" s="13"/>
      <c r="O1014" s="13"/>
      <c r="P1014" s="47"/>
      <c r="Q1014" s="45"/>
      <c r="R1014" s="45"/>
      <c r="S1014" s="48"/>
      <c r="T1014" s="49" t="str">
        <f t="shared" si="91"/>
        <v>[W123A.5]</v>
      </c>
      <c r="U1014" s="12" t="str">
        <f t="shared" si="92"/>
        <v xml:space="preserve"> 어퍼 셔틀#3 제품 베츨 시퀀스 이상</v>
      </c>
      <c r="V1014" s="49" t="str">
        <f t="shared" si="90"/>
        <v>[W123A.5] 어퍼 셔틀#3 제품 베츨 시퀀스 이상</v>
      </c>
    </row>
    <row r="1015" spans="1:22" s="49" customFormat="1" ht="14.15" customHeight="1">
      <c r="A1015" s="44"/>
      <c r="B1015" s="44" t="s">
        <v>6637</v>
      </c>
      <c r="C1015" s="50"/>
      <c r="D1015" s="10" t="s">
        <v>29</v>
      </c>
      <c r="E1015" s="11"/>
      <c r="F1015" s="11" t="s">
        <v>18</v>
      </c>
      <c r="G1015" s="13"/>
      <c r="H1015" s="45" t="s">
        <v>16</v>
      </c>
      <c r="I1015" s="47"/>
      <c r="J1015" s="12" t="s">
        <v>843</v>
      </c>
      <c r="K1015" s="13" t="s">
        <v>7785</v>
      </c>
      <c r="L1015" s="99" t="str">
        <f t="shared" si="89"/>
        <v>W123A.6</v>
      </c>
      <c r="M1015" s="13"/>
      <c r="N1015" s="13"/>
      <c r="O1015" s="13"/>
      <c r="P1015" s="47"/>
      <c r="Q1015" s="45"/>
      <c r="R1015" s="45"/>
      <c r="S1015" s="48"/>
      <c r="T1015" s="49" t="str">
        <f t="shared" si="91"/>
        <v>[W123A.6]</v>
      </c>
      <c r="U1015" s="12" t="str">
        <f t="shared" si="92"/>
        <v xml:space="preserve"> </v>
      </c>
      <c r="V1015" s="49" t="str">
        <f t="shared" si="90"/>
        <v xml:space="preserve">[W123A.6] </v>
      </c>
    </row>
    <row r="1016" spans="1:22" s="49" customFormat="1" ht="14.15" customHeight="1">
      <c r="A1016" s="44"/>
      <c r="B1016" s="44" t="s">
        <v>6637</v>
      </c>
      <c r="C1016" s="50"/>
      <c r="D1016" s="10" t="s">
        <v>29</v>
      </c>
      <c r="E1016" s="11"/>
      <c r="F1016" s="11" t="s">
        <v>18</v>
      </c>
      <c r="G1016" s="13"/>
      <c r="H1016" s="45" t="s">
        <v>16</v>
      </c>
      <c r="I1016" s="47"/>
      <c r="J1016" s="12" t="s">
        <v>844</v>
      </c>
      <c r="K1016" s="13" t="s">
        <v>7786</v>
      </c>
      <c r="L1016" s="99" t="str">
        <f t="shared" si="89"/>
        <v>W123A.7</v>
      </c>
      <c r="M1016" s="13"/>
      <c r="N1016" s="13"/>
      <c r="O1016" s="13"/>
      <c r="P1016" s="47"/>
      <c r="Q1016" s="45"/>
      <c r="R1016" s="45"/>
      <c r="S1016" s="48"/>
      <c r="T1016" s="49" t="str">
        <f t="shared" si="91"/>
        <v>[W123A.7]</v>
      </c>
      <c r="U1016" s="12" t="str">
        <f t="shared" si="92"/>
        <v xml:space="preserve"> </v>
      </c>
      <c r="V1016" s="49" t="str">
        <f t="shared" si="90"/>
        <v xml:space="preserve">[W123A.7] </v>
      </c>
    </row>
    <row r="1017" spans="1:22" s="49" customFormat="1" ht="14.15" customHeight="1">
      <c r="A1017" s="44"/>
      <c r="B1017" s="44" t="s">
        <v>6637</v>
      </c>
      <c r="C1017" s="50"/>
      <c r="D1017" s="10" t="s">
        <v>29</v>
      </c>
      <c r="E1017" s="11"/>
      <c r="F1017" s="11" t="s">
        <v>18</v>
      </c>
      <c r="G1017" s="13"/>
      <c r="H1017" s="45" t="s">
        <v>16</v>
      </c>
      <c r="I1017" s="47"/>
      <c r="J1017" s="12" t="s">
        <v>845</v>
      </c>
      <c r="K1017" s="13" t="s">
        <v>7787</v>
      </c>
      <c r="L1017" s="99" t="str">
        <f t="shared" si="89"/>
        <v>W123A.8</v>
      </c>
      <c r="M1017" s="13"/>
      <c r="N1017" s="13"/>
      <c r="O1017" s="13"/>
      <c r="P1017" s="47"/>
      <c r="Q1017" s="45"/>
      <c r="R1017" s="45"/>
      <c r="S1017" s="48"/>
      <c r="T1017" s="49" t="str">
        <f t="shared" si="91"/>
        <v>[W123A.8]</v>
      </c>
      <c r="U1017" s="12" t="str">
        <f t="shared" si="92"/>
        <v xml:space="preserve"> </v>
      </c>
      <c r="V1017" s="49" t="str">
        <f t="shared" si="90"/>
        <v xml:space="preserve">[W123A.8] </v>
      </c>
    </row>
    <row r="1018" spans="1:22" s="49" customFormat="1" ht="14.15" customHeight="1">
      <c r="A1018" s="44"/>
      <c r="B1018" s="44" t="s">
        <v>6637</v>
      </c>
      <c r="C1018" s="50"/>
      <c r="D1018" s="10" t="s">
        <v>29</v>
      </c>
      <c r="E1018" s="11"/>
      <c r="F1018" s="11" t="s">
        <v>18</v>
      </c>
      <c r="G1018" s="13"/>
      <c r="H1018" s="45" t="s">
        <v>16</v>
      </c>
      <c r="I1018" s="47"/>
      <c r="J1018" s="12" t="s">
        <v>846</v>
      </c>
      <c r="K1018" s="13" t="s">
        <v>7788</v>
      </c>
      <c r="L1018" s="99" t="str">
        <f t="shared" si="89"/>
        <v>W123A.9</v>
      </c>
      <c r="M1018" s="13"/>
      <c r="N1018" s="13"/>
      <c r="O1018" s="13"/>
      <c r="P1018" s="47"/>
      <c r="Q1018" s="45"/>
      <c r="R1018" s="45"/>
      <c r="S1018" s="48"/>
      <c r="T1018" s="49" t="str">
        <f t="shared" si="91"/>
        <v>[W123A.9]</v>
      </c>
      <c r="U1018" s="12" t="str">
        <f t="shared" si="92"/>
        <v xml:space="preserve"> </v>
      </c>
      <c r="V1018" s="49" t="str">
        <f t="shared" si="90"/>
        <v xml:space="preserve">[W123A.9] </v>
      </c>
    </row>
    <row r="1019" spans="1:22" s="49" customFormat="1" ht="14.15" customHeight="1">
      <c r="A1019" s="43" t="s">
        <v>3731</v>
      </c>
      <c r="B1019" s="44" t="s">
        <v>6637</v>
      </c>
      <c r="C1019" s="50"/>
      <c r="D1019" s="10" t="s">
        <v>29</v>
      </c>
      <c r="E1019" s="11"/>
      <c r="F1019" s="11" t="s">
        <v>18</v>
      </c>
      <c r="G1019" s="13"/>
      <c r="H1019" s="45" t="s">
        <v>16</v>
      </c>
      <c r="I1019" s="47"/>
      <c r="J1019" s="12" t="s">
        <v>2466</v>
      </c>
      <c r="K1019" s="13" t="s">
        <v>7789</v>
      </c>
      <c r="L1019" s="99" t="str">
        <f t="shared" si="89"/>
        <v>W123A.A</v>
      </c>
      <c r="M1019" s="13" t="s">
        <v>3667</v>
      </c>
      <c r="N1019" s="13"/>
      <c r="O1019" s="13"/>
      <c r="P1019" s="47"/>
      <c r="Q1019" s="45"/>
      <c r="R1019" s="45"/>
      <c r="S1019" s="48"/>
      <c r="T1019" s="49" t="str">
        <f t="shared" si="91"/>
        <v>[W123A.A]</v>
      </c>
      <c r="U1019" s="12" t="str">
        <f t="shared" si="92"/>
        <v xml:space="preserve"> 어퍼 셔틀#3 제품 데이터 불일치 이상 (X3C8)</v>
      </c>
      <c r="V1019" s="49" t="str">
        <f t="shared" si="90"/>
        <v>[W123A.A] 어퍼 셔틀#3 제품 데이터 불일치 이상 (X3C8)</v>
      </c>
    </row>
    <row r="1020" spans="1:22" s="49" customFormat="1" ht="14.15" customHeight="1">
      <c r="A1020" s="44"/>
      <c r="B1020" s="44" t="s">
        <v>6637</v>
      </c>
      <c r="C1020" s="50"/>
      <c r="D1020" s="10" t="s">
        <v>29</v>
      </c>
      <c r="E1020" s="11"/>
      <c r="F1020" s="11" t="s">
        <v>18</v>
      </c>
      <c r="G1020" s="13"/>
      <c r="H1020" s="45" t="s">
        <v>16</v>
      </c>
      <c r="I1020" s="47"/>
      <c r="J1020" s="12" t="s">
        <v>2467</v>
      </c>
      <c r="K1020" s="13" t="s">
        <v>7790</v>
      </c>
      <c r="L1020" s="99" t="str">
        <f t="shared" si="89"/>
        <v>W123A.B</v>
      </c>
      <c r="M1020" s="13"/>
      <c r="N1020" s="13"/>
      <c r="O1020" s="13"/>
      <c r="P1020" s="47"/>
      <c r="Q1020" s="45"/>
      <c r="R1020" s="45"/>
      <c r="S1020" s="48"/>
      <c r="T1020" s="49" t="str">
        <f t="shared" si="91"/>
        <v>[W123A.B]</v>
      </c>
      <c r="U1020" s="12" t="str">
        <f t="shared" si="92"/>
        <v xml:space="preserve"> </v>
      </c>
      <c r="V1020" s="49" t="str">
        <f t="shared" si="90"/>
        <v xml:space="preserve">[W123A.B] </v>
      </c>
    </row>
    <row r="1021" spans="1:22" s="49" customFormat="1" ht="14.15" customHeight="1">
      <c r="A1021" s="44"/>
      <c r="B1021" s="44" t="s">
        <v>6637</v>
      </c>
      <c r="C1021" s="50"/>
      <c r="D1021" s="10" t="s">
        <v>29</v>
      </c>
      <c r="E1021" s="11"/>
      <c r="F1021" s="11" t="s">
        <v>18</v>
      </c>
      <c r="G1021" s="13"/>
      <c r="H1021" s="45" t="s">
        <v>16</v>
      </c>
      <c r="I1021" s="47"/>
      <c r="J1021" s="12" t="s">
        <v>2468</v>
      </c>
      <c r="K1021" s="13" t="s">
        <v>7791</v>
      </c>
      <c r="L1021" s="99" t="str">
        <f t="shared" si="89"/>
        <v>W123A.C</v>
      </c>
      <c r="M1021" s="13"/>
      <c r="N1021" s="13"/>
      <c r="O1021" s="13"/>
      <c r="P1021" s="47"/>
      <c r="Q1021" s="45"/>
      <c r="R1021" s="45"/>
      <c r="S1021" s="48"/>
      <c r="T1021" s="49" t="str">
        <f t="shared" si="91"/>
        <v>[W123A.C]</v>
      </c>
      <c r="U1021" s="12" t="str">
        <f t="shared" si="92"/>
        <v xml:space="preserve"> </v>
      </c>
      <c r="V1021" s="49" t="str">
        <f t="shared" si="90"/>
        <v xml:space="preserve">[W123A.C] </v>
      </c>
    </row>
    <row r="1022" spans="1:22" s="49" customFormat="1" ht="14.15" customHeight="1">
      <c r="A1022" s="44"/>
      <c r="B1022" s="44" t="s">
        <v>6637</v>
      </c>
      <c r="C1022" s="50"/>
      <c r="D1022" s="10" t="s">
        <v>29</v>
      </c>
      <c r="E1022" s="11"/>
      <c r="F1022" s="11" t="s">
        <v>18</v>
      </c>
      <c r="G1022" s="13"/>
      <c r="H1022" s="45" t="s">
        <v>16</v>
      </c>
      <c r="I1022" s="47"/>
      <c r="J1022" s="12" t="s">
        <v>850</v>
      </c>
      <c r="K1022" s="13" t="s">
        <v>7792</v>
      </c>
      <c r="L1022" s="99" t="str">
        <f t="shared" si="89"/>
        <v>W123A.D</v>
      </c>
      <c r="M1022" s="13"/>
      <c r="N1022" s="13"/>
      <c r="O1022" s="13"/>
      <c r="P1022" s="47"/>
      <c r="Q1022" s="45"/>
      <c r="R1022" s="45"/>
      <c r="S1022" s="48"/>
      <c r="T1022" s="49" t="str">
        <f t="shared" si="91"/>
        <v>[W123A.D]</v>
      </c>
      <c r="U1022" s="12" t="str">
        <f t="shared" si="92"/>
        <v xml:space="preserve"> </v>
      </c>
      <c r="V1022" s="49" t="str">
        <f t="shared" si="90"/>
        <v xml:space="preserve">[W123A.D] </v>
      </c>
    </row>
    <row r="1023" spans="1:22" s="49" customFormat="1" ht="14.15" customHeight="1">
      <c r="A1023" s="44"/>
      <c r="B1023" s="44" t="s">
        <v>6637</v>
      </c>
      <c r="C1023" s="50"/>
      <c r="D1023" s="10" t="s">
        <v>29</v>
      </c>
      <c r="E1023" s="11"/>
      <c r="F1023" s="11" t="s">
        <v>18</v>
      </c>
      <c r="G1023" s="13"/>
      <c r="H1023" s="45" t="s">
        <v>16</v>
      </c>
      <c r="I1023" s="47"/>
      <c r="J1023" s="12" t="s">
        <v>851</v>
      </c>
      <c r="K1023" s="13" t="s">
        <v>7793</v>
      </c>
      <c r="L1023" s="99" t="str">
        <f t="shared" si="89"/>
        <v>W123A.E</v>
      </c>
      <c r="M1023" s="13"/>
      <c r="N1023" s="13"/>
      <c r="O1023" s="13"/>
      <c r="P1023" s="47"/>
      <c r="Q1023" s="45"/>
      <c r="R1023" s="45"/>
      <c r="S1023" s="48"/>
      <c r="T1023" s="49" t="str">
        <f t="shared" si="91"/>
        <v>[W123A.E]</v>
      </c>
      <c r="U1023" s="12" t="str">
        <f t="shared" si="92"/>
        <v xml:space="preserve"> </v>
      </c>
      <c r="V1023" s="49" t="str">
        <f t="shared" si="90"/>
        <v xml:space="preserve">[W123A.E] </v>
      </c>
    </row>
    <row r="1024" spans="1:22" s="49" customFormat="1" ht="14.15" customHeight="1">
      <c r="A1024" s="44"/>
      <c r="B1024" s="44" t="s">
        <v>6637</v>
      </c>
      <c r="C1024" s="50"/>
      <c r="D1024" s="10" t="s">
        <v>29</v>
      </c>
      <c r="E1024" s="11"/>
      <c r="F1024" s="11" t="s">
        <v>18</v>
      </c>
      <c r="G1024" s="13"/>
      <c r="H1024" s="45" t="s">
        <v>16</v>
      </c>
      <c r="I1024" s="47"/>
      <c r="J1024" s="12" t="s">
        <v>852</v>
      </c>
      <c r="K1024" s="13" t="s">
        <v>7794</v>
      </c>
      <c r="L1024" s="99" t="str">
        <f t="shared" si="89"/>
        <v>W123A.F</v>
      </c>
      <c r="M1024" s="13"/>
      <c r="N1024" s="13"/>
      <c r="O1024" s="13"/>
      <c r="P1024" s="47"/>
      <c r="Q1024" s="45"/>
      <c r="R1024" s="45"/>
      <c r="S1024" s="48"/>
      <c r="T1024" s="49" t="str">
        <f t="shared" si="91"/>
        <v>[W123A.F]</v>
      </c>
      <c r="U1024" s="12" t="str">
        <f t="shared" si="92"/>
        <v xml:space="preserve"> </v>
      </c>
      <c r="V1024" s="49" t="str">
        <f t="shared" si="90"/>
        <v xml:space="preserve">[W123A.F] </v>
      </c>
    </row>
    <row r="1025" spans="1:22" s="49" customFormat="1" ht="14.15" customHeight="1">
      <c r="A1025" s="44"/>
      <c r="B1025" s="44" t="s">
        <v>6637</v>
      </c>
      <c r="C1025" s="50"/>
      <c r="D1025" s="10" t="s">
        <v>29</v>
      </c>
      <c r="E1025" s="11"/>
      <c r="F1025" s="11" t="s">
        <v>18</v>
      </c>
      <c r="G1025" s="13"/>
      <c r="H1025" s="45" t="s">
        <v>16</v>
      </c>
      <c r="I1025" s="47"/>
      <c r="J1025" s="12" t="s">
        <v>853</v>
      </c>
      <c r="K1025" s="13" t="s">
        <v>7795</v>
      </c>
      <c r="L1025" s="99" t="str">
        <f t="shared" si="89"/>
        <v>W123B.0</v>
      </c>
      <c r="M1025" s="13"/>
      <c r="N1025" s="13"/>
      <c r="O1025" s="13"/>
      <c r="P1025" s="47"/>
      <c r="Q1025" s="45"/>
      <c r="R1025" s="45"/>
      <c r="S1025" s="48"/>
      <c r="T1025" s="49" t="str">
        <f t="shared" si="91"/>
        <v>[W123B.0]</v>
      </c>
      <c r="U1025" s="12" t="str">
        <f t="shared" si="92"/>
        <v xml:space="preserve"> </v>
      </c>
      <c r="V1025" s="49" t="str">
        <f t="shared" si="90"/>
        <v xml:space="preserve">[W123B.0] </v>
      </c>
    </row>
    <row r="1026" spans="1:22" s="49" customFormat="1" ht="14.15" customHeight="1">
      <c r="A1026" s="44"/>
      <c r="B1026" s="44" t="s">
        <v>6637</v>
      </c>
      <c r="C1026" s="50"/>
      <c r="D1026" s="10" t="s">
        <v>29</v>
      </c>
      <c r="E1026" s="11"/>
      <c r="F1026" s="11" t="s">
        <v>18</v>
      </c>
      <c r="G1026" s="13"/>
      <c r="H1026" s="45" t="s">
        <v>16</v>
      </c>
      <c r="I1026" s="47"/>
      <c r="J1026" s="12" t="s">
        <v>854</v>
      </c>
      <c r="K1026" s="13" t="s">
        <v>7796</v>
      </c>
      <c r="L1026" s="99" t="str">
        <f t="shared" si="89"/>
        <v>W123B.1</v>
      </c>
      <c r="M1026" s="13"/>
      <c r="N1026" s="13"/>
      <c r="O1026" s="13"/>
      <c r="P1026" s="47"/>
      <c r="Q1026" s="45"/>
      <c r="R1026" s="45"/>
      <c r="S1026" s="48"/>
      <c r="T1026" s="49" t="str">
        <f t="shared" si="91"/>
        <v>[W123B.1]</v>
      </c>
      <c r="U1026" s="12" t="str">
        <f t="shared" si="92"/>
        <v xml:space="preserve"> </v>
      </c>
      <c r="V1026" s="49" t="str">
        <f t="shared" si="90"/>
        <v xml:space="preserve">[W123B.1] </v>
      </c>
    </row>
    <row r="1027" spans="1:22" s="49" customFormat="1" ht="14.15" customHeight="1">
      <c r="A1027" s="44"/>
      <c r="B1027" s="44" t="s">
        <v>6637</v>
      </c>
      <c r="C1027" s="50"/>
      <c r="D1027" s="10" t="s">
        <v>29</v>
      </c>
      <c r="E1027" s="11"/>
      <c r="F1027" s="11" t="s">
        <v>18</v>
      </c>
      <c r="G1027" s="13"/>
      <c r="H1027" s="45" t="s">
        <v>16</v>
      </c>
      <c r="I1027" s="47"/>
      <c r="J1027" s="12" t="s">
        <v>855</v>
      </c>
      <c r="K1027" s="13" t="s">
        <v>7797</v>
      </c>
      <c r="L1027" s="99" t="str">
        <f t="shared" si="89"/>
        <v>W123B.2</v>
      </c>
      <c r="M1027" s="13"/>
      <c r="N1027" s="13"/>
      <c r="O1027" s="13"/>
      <c r="P1027" s="47"/>
      <c r="Q1027" s="45"/>
      <c r="R1027" s="45"/>
      <c r="S1027" s="48"/>
      <c r="T1027" s="49" t="str">
        <f t="shared" si="91"/>
        <v>[W123B.2]</v>
      </c>
      <c r="U1027" s="12" t="str">
        <f t="shared" si="92"/>
        <v xml:space="preserve"> </v>
      </c>
      <c r="V1027" s="49" t="str">
        <f t="shared" si="90"/>
        <v xml:space="preserve">[W123B.2] </v>
      </c>
    </row>
    <row r="1028" spans="1:22" s="49" customFormat="1" ht="14.15" customHeight="1">
      <c r="A1028" s="44"/>
      <c r="B1028" s="44" t="s">
        <v>6637</v>
      </c>
      <c r="C1028" s="50"/>
      <c r="D1028" s="10" t="s">
        <v>29</v>
      </c>
      <c r="E1028" s="11"/>
      <c r="F1028" s="11" t="s">
        <v>18</v>
      </c>
      <c r="G1028" s="13"/>
      <c r="H1028" s="45" t="s">
        <v>16</v>
      </c>
      <c r="I1028" s="47"/>
      <c r="J1028" s="12" t="s">
        <v>856</v>
      </c>
      <c r="K1028" s="13" t="s">
        <v>7798</v>
      </c>
      <c r="L1028" s="99" t="str">
        <f t="shared" si="89"/>
        <v>W123B.3</v>
      </c>
      <c r="M1028" s="13"/>
      <c r="N1028" s="13"/>
      <c r="O1028" s="13"/>
      <c r="P1028" s="47"/>
      <c r="Q1028" s="45"/>
      <c r="R1028" s="45"/>
      <c r="S1028" s="48"/>
      <c r="T1028" s="49" t="str">
        <f t="shared" si="91"/>
        <v>[W123B.3]</v>
      </c>
      <c r="U1028" s="12" t="str">
        <f t="shared" si="92"/>
        <v xml:space="preserve"> </v>
      </c>
      <c r="V1028" s="49" t="str">
        <f t="shared" si="90"/>
        <v xml:space="preserve">[W123B.3] </v>
      </c>
    </row>
    <row r="1029" spans="1:22" s="49" customFormat="1" ht="14.15" customHeight="1">
      <c r="A1029" s="44"/>
      <c r="B1029" s="44" t="s">
        <v>6637</v>
      </c>
      <c r="C1029" s="50"/>
      <c r="D1029" s="10" t="s">
        <v>29</v>
      </c>
      <c r="E1029" s="11"/>
      <c r="F1029" s="11" t="s">
        <v>18</v>
      </c>
      <c r="G1029" s="13"/>
      <c r="H1029" s="45" t="s">
        <v>16</v>
      </c>
      <c r="I1029" s="47"/>
      <c r="J1029" s="12" t="s">
        <v>857</v>
      </c>
      <c r="K1029" s="13" t="s">
        <v>7799</v>
      </c>
      <c r="L1029" s="99" t="str">
        <f t="shared" si="89"/>
        <v>W123B.4</v>
      </c>
      <c r="M1029" s="13"/>
      <c r="N1029" s="13"/>
      <c r="O1029" s="13"/>
      <c r="P1029" s="47"/>
      <c r="Q1029" s="45"/>
      <c r="R1029" s="45"/>
      <c r="S1029" s="48"/>
      <c r="T1029" s="49" t="str">
        <f t="shared" si="91"/>
        <v>[W123B.4]</v>
      </c>
      <c r="U1029" s="12" t="str">
        <f t="shared" si="92"/>
        <v xml:space="preserve"> </v>
      </c>
      <c r="V1029" s="49" t="str">
        <f t="shared" si="90"/>
        <v xml:space="preserve">[W123B.4] </v>
      </c>
    </row>
    <row r="1030" spans="1:22" s="49" customFormat="1" ht="14.15" customHeight="1">
      <c r="A1030" s="44"/>
      <c r="B1030" s="44" t="s">
        <v>6637</v>
      </c>
      <c r="C1030" s="50"/>
      <c r="D1030" s="10" t="s">
        <v>29</v>
      </c>
      <c r="E1030" s="11"/>
      <c r="F1030" s="11" t="s">
        <v>18</v>
      </c>
      <c r="G1030" s="13"/>
      <c r="H1030" s="45" t="s">
        <v>16</v>
      </c>
      <c r="I1030" s="47"/>
      <c r="J1030" s="12" t="s">
        <v>2469</v>
      </c>
      <c r="K1030" s="13" t="s">
        <v>7800</v>
      </c>
      <c r="L1030" s="99" t="str">
        <f t="shared" si="89"/>
        <v>W123B.5</v>
      </c>
      <c r="M1030" s="13"/>
      <c r="N1030" s="13"/>
      <c r="O1030" s="13"/>
      <c r="P1030" s="47"/>
      <c r="Q1030" s="45"/>
      <c r="R1030" s="45"/>
      <c r="S1030" s="48"/>
      <c r="T1030" s="49" t="str">
        <f t="shared" si="91"/>
        <v>[W123B.5]</v>
      </c>
      <c r="U1030" s="12" t="str">
        <f t="shared" si="92"/>
        <v xml:space="preserve"> </v>
      </c>
      <c r="V1030" s="49" t="str">
        <f t="shared" si="90"/>
        <v xml:space="preserve">[W123B.5] </v>
      </c>
    </row>
    <row r="1031" spans="1:22" s="49" customFormat="1" ht="14.15" customHeight="1">
      <c r="A1031" s="43" t="s">
        <v>3731</v>
      </c>
      <c r="B1031" s="44" t="s">
        <v>6637</v>
      </c>
      <c r="C1031" s="50"/>
      <c r="D1031" s="10" t="s">
        <v>29</v>
      </c>
      <c r="E1031" s="11"/>
      <c r="F1031" s="11" t="s">
        <v>18</v>
      </c>
      <c r="G1031" s="13"/>
      <c r="H1031" s="45" t="s">
        <v>16</v>
      </c>
      <c r="I1031" s="47"/>
      <c r="J1031" s="12" t="s">
        <v>2470</v>
      </c>
      <c r="K1031" s="13" t="s">
        <v>7801</v>
      </c>
      <c r="L1031" s="99" t="str">
        <f t="shared" si="89"/>
        <v>W123B.6</v>
      </c>
      <c r="M1031" s="13" t="s">
        <v>3667</v>
      </c>
      <c r="N1031" s="13"/>
      <c r="O1031" s="13"/>
      <c r="P1031" s="47"/>
      <c r="Q1031" s="45"/>
      <c r="R1031" s="45"/>
      <c r="S1031" s="48"/>
      <c r="T1031" s="49" t="str">
        <f t="shared" si="91"/>
        <v>[W123B.6]</v>
      </c>
      <c r="U1031" s="12" t="str">
        <f t="shared" si="92"/>
        <v xml:space="preserve"> 로우 스테이지#1 제품 배출 시간초과</v>
      </c>
      <c r="V1031" s="49" t="str">
        <f t="shared" si="90"/>
        <v>[W123B.6] 로우 스테이지#1 제품 배출 시간초과</v>
      </c>
    </row>
    <row r="1032" spans="1:22" s="49" customFormat="1" ht="14.15" customHeight="1">
      <c r="A1032" s="44"/>
      <c r="B1032" s="44" t="s">
        <v>6637</v>
      </c>
      <c r="C1032" s="50"/>
      <c r="D1032" s="10" t="s">
        <v>29</v>
      </c>
      <c r="E1032" s="11"/>
      <c r="F1032" s="11" t="s">
        <v>18</v>
      </c>
      <c r="G1032" s="13"/>
      <c r="H1032" s="45" t="s">
        <v>16</v>
      </c>
      <c r="I1032" s="47"/>
      <c r="J1032" s="12" t="s">
        <v>860</v>
      </c>
      <c r="K1032" s="13" t="s">
        <v>7802</v>
      </c>
      <c r="L1032" s="99" t="str">
        <f t="shared" si="89"/>
        <v>W123B.7</v>
      </c>
      <c r="M1032" s="13"/>
      <c r="N1032" s="13"/>
      <c r="O1032" s="13"/>
      <c r="P1032" s="47"/>
      <c r="Q1032" s="45"/>
      <c r="R1032" s="45"/>
      <c r="S1032" s="48"/>
      <c r="T1032" s="49" t="str">
        <f t="shared" si="91"/>
        <v>[W123B.7]</v>
      </c>
      <c r="U1032" s="12" t="str">
        <f t="shared" si="92"/>
        <v xml:space="preserve"> </v>
      </c>
      <c r="V1032" s="49" t="str">
        <f t="shared" si="90"/>
        <v xml:space="preserve">[W123B.7] </v>
      </c>
    </row>
    <row r="1033" spans="1:22" s="49" customFormat="1" ht="14.15" customHeight="1">
      <c r="A1033" s="44"/>
      <c r="B1033" s="44" t="s">
        <v>6637</v>
      </c>
      <c r="C1033" s="50"/>
      <c r="D1033" s="10" t="s">
        <v>29</v>
      </c>
      <c r="E1033" s="11"/>
      <c r="F1033" s="11" t="s">
        <v>18</v>
      </c>
      <c r="G1033" s="13"/>
      <c r="H1033" s="45" t="s">
        <v>16</v>
      </c>
      <c r="I1033" s="47"/>
      <c r="J1033" s="12" t="s">
        <v>861</v>
      </c>
      <c r="K1033" s="13" t="s">
        <v>7803</v>
      </c>
      <c r="L1033" s="99" t="str">
        <f t="shared" si="89"/>
        <v>W123B.8</v>
      </c>
      <c r="M1033" s="13"/>
      <c r="N1033" s="13"/>
      <c r="O1033" s="13"/>
      <c r="P1033" s="47"/>
      <c r="Q1033" s="45"/>
      <c r="R1033" s="45"/>
      <c r="S1033" s="48"/>
      <c r="T1033" s="49" t="str">
        <f t="shared" si="91"/>
        <v>[W123B.8]</v>
      </c>
      <c r="U1033" s="12" t="str">
        <f t="shared" si="92"/>
        <v xml:space="preserve"> </v>
      </c>
      <c r="V1033" s="49" t="str">
        <f t="shared" si="90"/>
        <v xml:space="preserve">[W123B.8] </v>
      </c>
    </row>
    <row r="1034" spans="1:22" s="49" customFormat="1" ht="14.15" customHeight="1">
      <c r="A1034" s="43" t="s">
        <v>3731</v>
      </c>
      <c r="B1034" s="44" t="s">
        <v>6637</v>
      </c>
      <c r="C1034" s="50"/>
      <c r="D1034" s="10" t="s">
        <v>29</v>
      </c>
      <c r="E1034" s="11"/>
      <c r="F1034" s="11" t="s">
        <v>18</v>
      </c>
      <c r="G1034" s="13"/>
      <c r="H1034" s="45" t="s">
        <v>16</v>
      </c>
      <c r="I1034" s="47"/>
      <c r="J1034" s="12" t="s">
        <v>2471</v>
      </c>
      <c r="K1034" s="13" t="s">
        <v>7804</v>
      </c>
      <c r="L1034" s="99" t="str">
        <f t="shared" si="89"/>
        <v>W123B.9</v>
      </c>
      <c r="M1034" s="13" t="s">
        <v>3667</v>
      </c>
      <c r="N1034" s="13"/>
      <c r="O1034" s="13"/>
      <c r="P1034" s="47"/>
      <c r="Q1034" s="45"/>
      <c r="R1034" s="45"/>
      <c r="S1034" s="48"/>
      <c r="T1034" s="49" t="str">
        <f t="shared" ref="T1034:T1068" si="93">"["&amp;L1034&amp;"]"</f>
        <v>[W123B.9]</v>
      </c>
      <c r="U1034" s="12" t="str">
        <f t="shared" ref="U1034:U1068" si="94">RIGHT(J1034,LEN(J1034)-7)</f>
        <v xml:space="preserve"> 로우 스테이지#1 제품 베츨 시퀀스 이상</v>
      </c>
      <c r="V1034" s="49" t="str">
        <f t="shared" si="90"/>
        <v>[W123B.9] 로우 스테이지#1 제품 베츨 시퀀스 이상</v>
      </c>
    </row>
    <row r="1035" spans="1:22" s="49" customFormat="1" ht="14.15" customHeight="1">
      <c r="A1035" s="44"/>
      <c r="B1035" s="44" t="s">
        <v>6637</v>
      </c>
      <c r="C1035" s="50"/>
      <c r="D1035" s="10" t="s">
        <v>29</v>
      </c>
      <c r="E1035" s="11"/>
      <c r="F1035" s="11" t="s">
        <v>18</v>
      </c>
      <c r="G1035" s="13"/>
      <c r="H1035" s="45" t="s">
        <v>16</v>
      </c>
      <c r="I1035" s="47"/>
      <c r="J1035" s="12" t="s">
        <v>863</v>
      </c>
      <c r="K1035" s="13" t="s">
        <v>7805</v>
      </c>
      <c r="L1035" s="99" t="str">
        <f t="shared" si="89"/>
        <v>W123B.A</v>
      </c>
      <c r="M1035" s="13"/>
      <c r="N1035" s="13"/>
      <c r="O1035" s="13"/>
      <c r="P1035" s="47"/>
      <c r="Q1035" s="45"/>
      <c r="R1035" s="45"/>
      <c r="S1035" s="48"/>
      <c r="T1035" s="49" t="str">
        <f t="shared" si="93"/>
        <v>[W123B.A]</v>
      </c>
      <c r="U1035" s="12" t="str">
        <f t="shared" si="94"/>
        <v xml:space="preserve"> </v>
      </c>
      <c r="V1035" s="49" t="str">
        <f t="shared" si="90"/>
        <v xml:space="preserve">[W123B.A] </v>
      </c>
    </row>
    <row r="1036" spans="1:22" s="49" customFormat="1" ht="14.15" customHeight="1">
      <c r="A1036" s="44"/>
      <c r="B1036" s="44" t="s">
        <v>6637</v>
      </c>
      <c r="C1036" s="50"/>
      <c r="D1036" s="10" t="s">
        <v>29</v>
      </c>
      <c r="E1036" s="11"/>
      <c r="F1036" s="11" t="s">
        <v>18</v>
      </c>
      <c r="G1036" s="13"/>
      <c r="H1036" s="45" t="s">
        <v>16</v>
      </c>
      <c r="I1036" s="47"/>
      <c r="J1036" s="12" t="s">
        <v>864</v>
      </c>
      <c r="K1036" s="13" t="s">
        <v>7806</v>
      </c>
      <c r="L1036" s="99" t="str">
        <f t="shared" si="89"/>
        <v>W123B.B</v>
      </c>
      <c r="M1036" s="13"/>
      <c r="N1036" s="13"/>
      <c r="O1036" s="13"/>
      <c r="P1036" s="47"/>
      <c r="Q1036" s="45"/>
      <c r="R1036" s="45"/>
      <c r="S1036" s="48"/>
      <c r="T1036" s="49" t="str">
        <f t="shared" si="93"/>
        <v>[W123B.B]</v>
      </c>
      <c r="U1036" s="12" t="str">
        <f t="shared" si="94"/>
        <v xml:space="preserve"> </v>
      </c>
      <c r="V1036" s="49" t="str">
        <f t="shared" si="90"/>
        <v xml:space="preserve">[W123B.B] </v>
      </c>
    </row>
    <row r="1037" spans="1:22" s="49" customFormat="1" ht="14.15" customHeight="1">
      <c r="A1037" s="44"/>
      <c r="B1037" s="44" t="s">
        <v>6637</v>
      </c>
      <c r="C1037" s="50"/>
      <c r="D1037" s="10" t="s">
        <v>29</v>
      </c>
      <c r="E1037" s="11"/>
      <c r="F1037" s="11" t="s">
        <v>18</v>
      </c>
      <c r="G1037" s="13"/>
      <c r="H1037" s="45" t="s">
        <v>16</v>
      </c>
      <c r="I1037" s="47"/>
      <c r="J1037" s="12" t="s">
        <v>865</v>
      </c>
      <c r="K1037" s="13" t="s">
        <v>7807</v>
      </c>
      <c r="L1037" s="99" t="str">
        <f t="shared" si="89"/>
        <v>W123B.C</v>
      </c>
      <c r="M1037" s="13"/>
      <c r="N1037" s="13"/>
      <c r="O1037" s="13"/>
      <c r="P1037" s="47"/>
      <c r="Q1037" s="45"/>
      <c r="R1037" s="45"/>
      <c r="S1037" s="48"/>
      <c r="T1037" s="49" t="str">
        <f t="shared" si="93"/>
        <v>[W123B.C]</v>
      </c>
      <c r="U1037" s="12" t="str">
        <f t="shared" si="94"/>
        <v xml:space="preserve"> </v>
      </c>
      <c r="V1037" s="49" t="str">
        <f t="shared" si="90"/>
        <v xml:space="preserve">[W123B.C] </v>
      </c>
    </row>
    <row r="1038" spans="1:22" s="49" customFormat="1" ht="14.15" customHeight="1">
      <c r="A1038" s="44"/>
      <c r="B1038" s="44" t="s">
        <v>6637</v>
      </c>
      <c r="C1038" s="50"/>
      <c r="D1038" s="10" t="s">
        <v>29</v>
      </c>
      <c r="E1038" s="11"/>
      <c r="F1038" s="11" t="s">
        <v>18</v>
      </c>
      <c r="G1038" s="13"/>
      <c r="H1038" s="45" t="s">
        <v>16</v>
      </c>
      <c r="I1038" s="47"/>
      <c r="J1038" s="12" t="s">
        <v>2472</v>
      </c>
      <c r="K1038" s="13" t="s">
        <v>7808</v>
      </c>
      <c r="L1038" s="99" t="str">
        <f t="shared" si="89"/>
        <v>W123B.D</v>
      </c>
      <c r="M1038" s="13"/>
      <c r="N1038" s="13"/>
      <c r="O1038" s="13"/>
      <c r="P1038" s="47"/>
      <c r="Q1038" s="45"/>
      <c r="R1038" s="45"/>
      <c r="S1038" s="48"/>
      <c r="T1038" s="49" t="str">
        <f t="shared" si="93"/>
        <v>[W123B.D]</v>
      </c>
      <c r="U1038" s="12" t="str">
        <f t="shared" si="94"/>
        <v xml:space="preserve"> </v>
      </c>
      <c r="V1038" s="49" t="str">
        <f t="shared" si="90"/>
        <v xml:space="preserve">[W123B.D] </v>
      </c>
    </row>
    <row r="1039" spans="1:22" s="49" customFormat="1" ht="14.15" customHeight="1">
      <c r="A1039" s="43" t="s">
        <v>3731</v>
      </c>
      <c r="B1039" s="44" t="s">
        <v>6637</v>
      </c>
      <c r="C1039" s="50"/>
      <c r="D1039" s="10" t="s">
        <v>29</v>
      </c>
      <c r="E1039" s="11"/>
      <c r="F1039" s="11" t="s">
        <v>18</v>
      </c>
      <c r="G1039" s="13"/>
      <c r="H1039" s="45" t="s">
        <v>16</v>
      </c>
      <c r="I1039" s="47"/>
      <c r="J1039" s="12" t="s">
        <v>2473</v>
      </c>
      <c r="K1039" s="13" t="s">
        <v>7809</v>
      </c>
      <c r="L1039" s="99" t="str">
        <f t="shared" si="89"/>
        <v>W123B.E</v>
      </c>
      <c r="M1039" s="13" t="s">
        <v>3667</v>
      </c>
      <c r="N1039" s="13"/>
      <c r="O1039" s="13"/>
      <c r="P1039" s="47"/>
      <c r="Q1039" s="45"/>
      <c r="R1039" s="45"/>
      <c r="S1039" s="48"/>
      <c r="T1039" s="49" t="str">
        <f t="shared" si="93"/>
        <v>[W123B.E]</v>
      </c>
      <c r="U1039" s="12" t="str">
        <f t="shared" si="94"/>
        <v xml:space="preserve"> 로우 스테이지#1 제품 데이터 불일치 이상 (X408)</v>
      </c>
      <c r="V1039" s="49" t="str">
        <f t="shared" si="90"/>
        <v>[W123B.E] 로우 스테이지#1 제품 데이터 불일치 이상 (X408)</v>
      </c>
    </row>
    <row r="1040" spans="1:22" s="49" customFormat="1" ht="14.15" customHeight="1">
      <c r="A1040" s="43" t="s">
        <v>3731</v>
      </c>
      <c r="B1040" s="44" t="s">
        <v>6637</v>
      </c>
      <c r="C1040" s="50"/>
      <c r="D1040" s="10" t="s">
        <v>29</v>
      </c>
      <c r="E1040" s="11"/>
      <c r="F1040" s="11" t="s">
        <v>18</v>
      </c>
      <c r="G1040" s="13"/>
      <c r="H1040" s="45" t="s">
        <v>16</v>
      </c>
      <c r="I1040" s="47"/>
      <c r="J1040" s="12" t="s">
        <v>2474</v>
      </c>
      <c r="K1040" s="13" t="s">
        <v>7810</v>
      </c>
      <c r="L1040" s="99" t="str">
        <f t="shared" si="89"/>
        <v>W123B.F</v>
      </c>
      <c r="M1040" s="13" t="s">
        <v>3667</v>
      </c>
      <c r="N1040" s="13"/>
      <c r="O1040" s="13"/>
      <c r="P1040" s="47"/>
      <c r="Q1040" s="45"/>
      <c r="R1040" s="45"/>
      <c r="S1040" s="48"/>
      <c r="T1040" s="49" t="str">
        <f t="shared" si="93"/>
        <v>[W123B.F]</v>
      </c>
      <c r="U1040" s="12" t="str">
        <f t="shared" si="94"/>
        <v xml:space="preserve"> 로우 스테이지#2 용접 지그 클램프 하강 시간초과 (Y422, X40A)</v>
      </c>
      <c r="V1040" s="49" t="str">
        <f t="shared" si="90"/>
        <v>[W123B.F] 로우 스테이지#2 용접 지그 클램프 하강 시간초과 (Y422, X40A)</v>
      </c>
    </row>
    <row r="1041" spans="1:22" s="49" customFormat="1" ht="14.15" customHeight="1">
      <c r="A1041" s="43" t="s">
        <v>3731</v>
      </c>
      <c r="B1041" s="44" t="s">
        <v>6637</v>
      </c>
      <c r="C1041" s="50"/>
      <c r="D1041" s="10" t="s">
        <v>29</v>
      </c>
      <c r="E1041" s="11"/>
      <c r="F1041" s="11" t="s">
        <v>18</v>
      </c>
      <c r="G1041" s="13"/>
      <c r="H1041" s="45" t="s">
        <v>16</v>
      </c>
      <c r="I1041" s="47"/>
      <c r="J1041" s="12" t="s">
        <v>2475</v>
      </c>
      <c r="K1041" s="13" t="s">
        <v>7811</v>
      </c>
      <c r="L1041" s="99" t="str">
        <f t="shared" si="89"/>
        <v>W123C.0</v>
      </c>
      <c r="M1041" s="13" t="s">
        <v>3667</v>
      </c>
      <c r="N1041" s="13"/>
      <c r="O1041" s="13"/>
      <c r="P1041" s="47"/>
      <c r="Q1041" s="45"/>
      <c r="R1041" s="45"/>
      <c r="S1041" s="48"/>
      <c r="T1041" s="49" t="str">
        <f t="shared" si="93"/>
        <v>[W123C.0]</v>
      </c>
      <c r="U1041" s="12" t="str">
        <f t="shared" si="94"/>
        <v xml:space="preserve"> 로우 스테이지#2 용접 지그 클램프 상승 시간초과 (Y423, X40B)</v>
      </c>
      <c r="V1041" s="49" t="str">
        <f t="shared" si="90"/>
        <v>[W123C.0] 로우 스테이지#2 용접 지그 클램프 상승 시간초과 (Y423, X40B)</v>
      </c>
    </row>
    <row r="1042" spans="1:22" s="49" customFormat="1" ht="14.15" customHeight="1">
      <c r="A1042" s="43" t="s">
        <v>3731</v>
      </c>
      <c r="B1042" s="44" t="s">
        <v>6637</v>
      </c>
      <c r="C1042" s="50"/>
      <c r="D1042" s="10" t="s">
        <v>29</v>
      </c>
      <c r="E1042" s="11"/>
      <c r="F1042" s="11" t="s">
        <v>18</v>
      </c>
      <c r="G1042" s="13"/>
      <c r="H1042" s="45" t="s">
        <v>16</v>
      </c>
      <c r="I1042" s="47"/>
      <c r="J1042" s="12" t="s">
        <v>2476</v>
      </c>
      <c r="K1042" s="13" t="s">
        <v>7812</v>
      </c>
      <c r="L1042" s="99" t="str">
        <f t="shared" ref="L1042:L1105" si="95">"W"&amp;DEC2HEX(4608 + INT((ROW()-81)/16)) &amp; "." &amp; IF(MOD(ROW()-81,16)&lt;10,MOD(ROW()-81,16),CHAR(MOD(ROW()-81,16)+55))</f>
        <v>W123C.1</v>
      </c>
      <c r="M1042" s="13" t="s">
        <v>3667</v>
      </c>
      <c r="N1042" s="13"/>
      <c r="O1042" s="13"/>
      <c r="P1042" s="47"/>
      <c r="Q1042" s="45"/>
      <c r="R1042" s="45"/>
      <c r="S1042" s="48"/>
      <c r="T1042" s="49" t="str">
        <f t="shared" si="93"/>
        <v>[W123C.1]</v>
      </c>
      <c r="U1042" s="12" t="str">
        <f t="shared" si="94"/>
        <v xml:space="preserve"> 로우 스테이지#2 용접 지그 클램프 하강/상승 센서 이상 (X40A, X40B)</v>
      </c>
      <c r="V1042" s="49" t="str">
        <f t="shared" ref="V1042:V1105" si="96">T1042&amp;U1042</f>
        <v>[W123C.1] 로우 스테이지#2 용접 지그 클램프 하강/상승 센서 이상 (X40A, X40B)</v>
      </c>
    </row>
    <row r="1043" spans="1:22" s="49" customFormat="1" ht="14.15" customHeight="1">
      <c r="A1043" s="44"/>
      <c r="B1043" s="44" t="s">
        <v>6637</v>
      </c>
      <c r="C1043" s="50"/>
      <c r="D1043" s="10" t="s">
        <v>29</v>
      </c>
      <c r="E1043" s="11"/>
      <c r="F1043" s="11" t="s">
        <v>18</v>
      </c>
      <c r="G1043" s="13"/>
      <c r="H1043" s="45" t="s">
        <v>16</v>
      </c>
      <c r="I1043" s="47"/>
      <c r="J1043" s="12" t="s">
        <v>871</v>
      </c>
      <c r="K1043" s="13" t="s">
        <v>7813</v>
      </c>
      <c r="L1043" s="99" t="str">
        <f t="shared" si="95"/>
        <v>W123C.2</v>
      </c>
      <c r="M1043" s="13"/>
      <c r="N1043" s="13"/>
      <c r="O1043" s="13"/>
      <c r="P1043" s="47"/>
      <c r="Q1043" s="45"/>
      <c r="R1043" s="45"/>
      <c r="S1043" s="48"/>
      <c r="T1043" s="49" t="str">
        <f t="shared" si="93"/>
        <v>[W123C.2]</v>
      </c>
      <c r="U1043" s="12" t="str">
        <f t="shared" si="94"/>
        <v xml:space="preserve"> </v>
      </c>
      <c r="V1043" s="49" t="str">
        <f t="shared" si="96"/>
        <v xml:space="preserve">[W123C.2] </v>
      </c>
    </row>
    <row r="1044" spans="1:22" s="49" customFormat="1" ht="14.15" customHeight="1">
      <c r="A1044" s="44"/>
      <c r="B1044" s="44" t="s">
        <v>6637</v>
      </c>
      <c r="C1044" s="50"/>
      <c r="D1044" s="10" t="s">
        <v>29</v>
      </c>
      <c r="E1044" s="11"/>
      <c r="F1044" s="11" t="s">
        <v>18</v>
      </c>
      <c r="G1044" s="13"/>
      <c r="H1044" s="45" t="s">
        <v>16</v>
      </c>
      <c r="I1044" s="47"/>
      <c r="J1044" s="12" t="s">
        <v>2477</v>
      </c>
      <c r="K1044" s="13" t="s">
        <v>7814</v>
      </c>
      <c r="L1044" s="99" t="str">
        <f t="shared" si="95"/>
        <v>W123C.3</v>
      </c>
      <c r="M1044" s="13"/>
      <c r="N1044" s="13"/>
      <c r="O1044" s="13"/>
      <c r="P1044" s="47"/>
      <c r="Q1044" s="45"/>
      <c r="R1044" s="45"/>
      <c r="S1044" s="48"/>
      <c r="T1044" s="49" t="str">
        <f t="shared" si="93"/>
        <v>[W123C.3]</v>
      </c>
      <c r="U1044" s="12" t="str">
        <f t="shared" si="94"/>
        <v xml:space="preserve"> </v>
      </c>
      <c r="V1044" s="49" t="str">
        <f t="shared" si="96"/>
        <v xml:space="preserve">[W123C.3] </v>
      </c>
    </row>
    <row r="1045" spans="1:22" s="49" customFormat="1" ht="14.15" customHeight="1">
      <c r="A1045" s="44"/>
      <c r="B1045" s="44" t="s">
        <v>6637</v>
      </c>
      <c r="C1045" s="50"/>
      <c r="D1045" s="10" t="s">
        <v>29</v>
      </c>
      <c r="E1045" s="11"/>
      <c r="F1045" s="11" t="s">
        <v>18</v>
      </c>
      <c r="G1045" s="13"/>
      <c r="H1045" s="45" t="s">
        <v>16</v>
      </c>
      <c r="I1045" s="47"/>
      <c r="J1045" s="12" t="s">
        <v>873</v>
      </c>
      <c r="K1045" s="13" t="s">
        <v>7815</v>
      </c>
      <c r="L1045" s="99" t="str">
        <f t="shared" si="95"/>
        <v>W123C.4</v>
      </c>
      <c r="M1045" s="13"/>
      <c r="N1045" s="13"/>
      <c r="O1045" s="13"/>
      <c r="P1045" s="47"/>
      <c r="Q1045" s="45"/>
      <c r="R1045" s="45"/>
      <c r="S1045" s="48"/>
      <c r="T1045" s="49" t="str">
        <f t="shared" si="93"/>
        <v>[W123C.4]</v>
      </c>
      <c r="U1045" s="12" t="str">
        <f t="shared" si="94"/>
        <v xml:space="preserve"> </v>
      </c>
      <c r="V1045" s="49" t="str">
        <f t="shared" si="96"/>
        <v xml:space="preserve">[W123C.4] </v>
      </c>
    </row>
    <row r="1046" spans="1:22" s="49" customFormat="1" ht="14.15" customHeight="1">
      <c r="A1046" s="44"/>
      <c r="B1046" s="44" t="s">
        <v>6637</v>
      </c>
      <c r="C1046" s="50"/>
      <c r="D1046" s="10" t="s">
        <v>29</v>
      </c>
      <c r="E1046" s="11"/>
      <c r="F1046" s="11" t="s">
        <v>18</v>
      </c>
      <c r="G1046" s="13"/>
      <c r="H1046" s="45" t="s">
        <v>16</v>
      </c>
      <c r="I1046" s="47"/>
      <c r="J1046" s="12" t="s">
        <v>874</v>
      </c>
      <c r="K1046" s="13" t="s">
        <v>7816</v>
      </c>
      <c r="L1046" s="99" t="str">
        <f t="shared" si="95"/>
        <v>W123C.5</v>
      </c>
      <c r="M1046" s="13"/>
      <c r="N1046" s="13"/>
      <c r="O1046" s="13"/>
      <c r="P1046" s="47"/>
      <c r="Q1046" s="45"/>
      <c r="R1046" s="45"/>
      <c r="S1046" s="48"/>
      <c r="T1046" s="49" t="str">
        <f t="shared" si="93"/>
        <v>[W123C.5]</v>
      </c>
      <c r="U1046" s="12" t="str">
        <f t="shared" si="94"/>
        <v xml:space="preserve"> </v>
      </c>
      <c r="V1046" s="49" t="str">
        <f t="shared" si="96"/>
        <v xml:space="preserve">[W123C.5] </v>
      </c>
    </row>
    <row r="1047" spans="1:22" s="49" customFormat="1" ht="14.15" customHeight="1">
      <c r="A1047" s="44"/>
      <c r="B1047" s="44" t="s">
        <v>6637</v>
      </c>
      <c r="C1047" s="50"/>
      <c r="D1047" s="10" t="s">
        <v>29</v>
      </c>
      <c r="E1047" s="11"/>
      <c r="F1047" s="11" t="s">
        <v>18</v>
      </c>
      <c r="G1047" s="13"/>
      <c r="H1047" s="45" t="s">
        <v>16</v>
      </c>
      <c r="I1047" s="47"/>
      <c r="J1047" s="12" t="s">
        <v>875</v>
      </c>
      <c r="K1047" s="13" t="s">
        <v>7817</v>
      </c>
      <c r="L1047" s="99" t="str">
        <f t="shared" si="95"/>
        <v>W123C.6</v>
      </c>
      <c r="M1047" s="13"/>
      <c r="N1047" s="13"/>
      <c r="O1047" s="13"/>
      <c r="P1047" s="47"/>
      <c r="Q1047" s="45"/>
      <c r="R1047" s="45"/>
      <c r="S1047" s="48"/>
      <c r="T1047" s="49" t="str">
        <f t="shared" si="93"/>
        <v>[W123C.6]</v>
      </c>
      <c r="U1047" s="12" t="str">
        <f t="shared" si="94"/>
        <v xml:space="preserve"> </v>
      </c>
      <c r="V1047" s="49" t="str">
        <f t="shared" si="96"/>
        <v xml:space="preserve">[W123C.6] </v>
      </c>
    </row>
    <row r="1048" spans="1:22" s="49" customFormat="1" ht="14.15" customHeight="1">
      <c r="A1048" s="44"/>
      <c r="B1048" s="44" t="s">
        <v>6637</v>
      </c>
      <c r="C1048" s="50"/>
      <c r="D1048" s="10" t="s">
        <v>29</v>
      </c>
      <c r="E1048" s="11"/>
      <c r="F1048" s="11" t="s">
        <v>18</v>
      </c>
      <c r="G1048" s="13"/>
      <c r="H1048" s="45" t="s">
        <v>16</v>
      </c>
      <c r="I1048" s="47"/>
      <c r="J1048" s="12" t="s">
        <v>876</v>
      </c>
      <c r="K1048" s="13" t="s">
        <v>7818</v>
      </c>
      <c r="L1048" s="99" t="str">
        <f t="shared" si="95"/>
        <v>W123C.7</v>
      </c>
      <c r="M1048" s="13"/>
      <c r="N1048" s="13"/>
      <c r="O1048" s="13"/>
      <c r="P1048" s="47"/>
      <c r="Q1048" s="45"/>
      <c r="R1048" s="45"/>
      <c r="S1048" s="48"/>
      <c r="T1048" s="49" t="str">
        <f t="shared" si="93"/>
        <v>[W123C.7]</v>
      </c>
      <c r="U1048" s="12" t="str">
        <f t="shared" si="94"/>
        <v xml:space="preserve"> </v>
      </c>
      <c r="V1048" s="49" t="str">
        <f t="shared" si="96"/>
        <v xml:space="preserve">[W123C.7] </v>
      </c>
    </row>
    <row r="1049" spans="1:22" s="49" customFormat="1" ht="14.15" customHeight="1">
      <c r="A1049" s="44"/>
      <c r="B1049" s="44" t="s">
        <v>6637</v>
      </c>
      <c r="C1049" s="50"/>
      <c r="D1049" s="10" t="s">
        <v>29</v>
      </c>
      <c r="E1049" s="11"/>
      <c r="F1049" s="11" t="s">
        <v>18</v>
      </c>
      <c r="G1049" s="13"/>
      <c r="H1049" s="45" t="s">
        <v>16</v>
      </c>
      <c r="I1049" s="47"/>
      <c r="J1049" s="12" t="s">
        <v>877</v>
      </c>
      <c r="K1049" s="13" t="s">
        <v>7819</v>
      </c>
      <c r="L1049" s="99" t="str">
        <f t="shared" si="95"/>
        <v>W123C.8</v>
      </c>
      <c r="M1049" s="13"/>
      <c r="N1049" s="13"/>
      <c r="O1049" s="13"/>
      <c r="P1049" s="47"/>
      <c r="Q1049" s="45"/>
      <c r="R1049" s="45"/>
      <c r="S1049" s="48"/>
      <c r="T1049" s="49" t="str">
        <f t="shared" si="93"/>
        <v>[W123C.8]</v>
      </c>
      <c r="U1049" s="12" t="str">
        <f t="shared" si="94"/>
        <v xml:space="preserve"> </v>
      </c>
      <c r="V1049" s="49" t="str">
        <f t="shared" si="96"/>
        <v xml:space="preserve">[W123C.8] </v>
      </c>
    </row>
    <row r="1050" spans="1:22" s="49" customFormat="1" ht="14.15" customHeight="1">
      <c r="A1050" s="43" t="s">
        <v>3731</v>
      </c>
      <c r="B1050" s="44" t="s">
        <v>6637</v>
      </c>
      <c r="C1050" s="50"/>
      <c r="D1050" s="10" t="s">
        <v>29</v>
      </c>
      <c r="E1050" s="11"/>
      <c r="F1050" s="11" t="s">
        <v>18</v>
      </c>
      <c r="G1050" s="13"/>
      <c r="H1050" s="45" t="s">
        <v>16</v>
      </c>
      <c r="I1050" s="47"/>
      <c r="J1050" s="12" t="s">
        <v>2478</v>
      </c>
      <c r="K1050" s="13" t="s">
        <v>7820</v>
      </c>
      <c r="L1050" s="99" t="str">
        <f t="shared" si="95"/>
        <v>W123C.9</v>
      </c>
      <c r="M1050" s="13" t="s">
        <v>3667</v>
      </c>
      <c r="N1050" s="13"/>
      <c r="O1050" s="13"/>
      <c r="P1050" s="47"/>
      <c r="Q1050" s="45"/>
      <c r="R1050" s="45"/>
      <c r="S1050" s="48"/>
      <c r="T1050" s="49" t="str">
        <f t="shared" si="93"/>
        <v>[W123C.9]</v>
      </c>
      <c r="U1050" s="12" t="str">
        <f t="shared" si="94"/>
        <v xml:space="preserve"> 로우 스테이지#2 제품 수취 시간초과</v>
      </c>
      <c r="V1050" s="49" t="str">
        <f t="shared" si="96"/>
        <v>[W123C.9] 로우 스테이지#2 제품 수취 시간초과</v>
      </c>
    </row>
    <row r="1051" spans="1:22" s="49" customFormat="1" ht="14.15" customHeight="1">
      <c r="A1051" s="43" t="s">
        <v>3731</v>
      </c>
      <c r="B1051" s="44" t="s">
        <v>6637</v>
      </c>
      <c r="C1051" s="50"/>
      <c r="D1051" s="10" t="s">
        <v>29</v>
      </c>
      <c r="E1051" s="11"/>
      <c r="F1051" s="11" t="s">
        <v>18</v>
      </c>
      <c r="G1051" s="13"/>
      <c r="H1051" s="45" t="s">
        <v>16</v>
      </c>
      <c r="I1051" s="47"/>
      <c r="J1051" s="12" t="s">
        <v>2479</v>
      </c>
      <c r="K1051" s="13" t="s">
        <v>7821</v>
      </c>
      <c r="L1051" s="99" t="str">
        <f t="shared" si="95"/>
        <v>W123C.A</v>
      </c>
      <c r="M1051" s="13" t="s">
        <v>3667</v>
      </c>
      <c r="N1051" s="13"/>
      <c r="O1051" s="13"/>
      <c r="P1051" s="47"/>
      <c r="Q1051" s="45"/>
      <c r="R1051" s="45"/>
      <c r="S1051" s="48"/>
      <c r="T1051" s="49" t="str">
        <f t="shared" si="93"/>
        <v>[W123C.A]</v>
      </c>
      <c r="U1051" s="12" t="str">
        <f t="shared" si="94"/>
        <v xml:space="preserve"> 로우 스테이지#2 제품 배출 시간초과</v>
      </c>
      <c r="V1051" s="49" t="str">
        <f t="shared" si="96"/>
        <v>[W123C.A] 로우 스테이지#2 제품 배출 시간초과</v>
      </c>
    </row>
    <row r="1052" spans="1:22" s="49" customFormat="1" ht="14.15" customHeight="1">
      <c r="A1052" s="43" t="s">
        <v>3731</v>
      </c>
      <c r="B1052" s="44" t="s">
        <v>6637</v>
      </c>
      <c r="C1052" s="50"/>
      <c r="D1052" s="10" t="s">
        <v>29</v>
      </c>
      <c r="E1052" s="11"/>
      <c r="F1052" s="11" t="s">
        <v>18</v>
      </c>
      <c r="G1052" s="13"/>
      <c r="H1052" s="45" t="s">
        <v>16</v>
      </c>
      <c r="I1052" s="47"/>
      <c r="J1052" s="12" t="s">
        <v>2480</v>
      </c>
      <c r="K1052" s="13" t="s">
        <v>7822</v>
      </c>
      <c r="L1052" s="99" t="str">
        <f t="shared" si="95"/>
        <v>W123C.B</v>
      </c>
      <c r="M1052" s="13" t="s">
        <v>3667</v>
      </c>
      <c r="N1052" s="13"/>
      <c r="O1052" s="13"/>
      <c r="P1052" s="47"/>
      <c r="Q1052" s="45"/>
      <c r="R1052" s="45"/>
      <c r="S1052" s="48"/>
      <c r="T1052" s="49" t="str">
        <f t="shared" si="93"/>
        <v>[W123C.B]</v>
      </c>
      <c r="U1052" s="12" t="str">
        <f t="shared" si="94"/>
        <v xml:space="preserve"> 로우 스테이지#2 제품 수취 시퀀스 이상</v>
      </c>
      <c r="V1052" s="49" t="str">
        <f t="shared" si="96"/>
        <v>[W123C.B] 로우 스테이지#2 제품 수취 시퀀스 이상</v>
      </c>
    </row>
    <row r="1053" spans="1:22" s="49" customFormat="1" ht="14.15" customHeight="1">
      <c r="A1053" s="44"/>
      <c r="B1053" s="44" t="s">
        <v>6637</v>
      </c>
      <c r="C1053" s="50"/>
      <c r="D1053" s="10" t="s">
        <v>29</v>
      </c>
      <c r="E1053" s="11"/>
      <c r="F1053" s="11" t="s">
        <v>18</v>
      </c>
      <c r="G1053" s="13"/>
      <c r="H1053" s="45" t="s">
        <v>16</v>
      </c>
      <c r="I1053" s="47"/>
      <c r="J1053" s="12" t="s">
        <v>881</v>
      </c>
      <c r="K1053" s="13" t="s">
        <v>7823</v>
      </c>
      <c r="L1053" s="99" t="str">
        <f t="shared" si="95"/>
        <v>W123C.C</v>
      </c>
      <c r="M1053" s="13"/>
      <c r="N1053" s="13"/>
      <c r="O1053" s="13"/>
      <c r="P1053" s="47"/>
      <c r="Q1053" s="45"/>
      <c r="R1053" s="45"/>
      <c r="S1053" s="48"/>
      <c r="T1053" s="49" t="str">
        <f t="shared" si="93"/>
        <v>[W123C.C]</v>
      </c>
      <c r="U1053" s="12" t="str">
        <f t="shared" si="94"/>
        <v xml:space="preserve"> </v>
      </c>
      <c r="V1053" s="49" t="str">
        <f t="shared" si="96"/>
        <v xml:space="preserve">[W123C.C] </v>
      </c>
    </row>
    <row r="1054" spans="1:22" s="49" customFormat="1" ht="14.15" customHeight="1">
      <c r="A1054" s="43" t="s">
        <v>3731</v>
      </c>
      <c r="B1054" s="44" t="s">
        <v>6637</v>
      </c>
      <c r="C1054" s="50"/>
      <c r="D1054" s="10" t="s">
        <v>29</v>
      </c>
      <c r="E1054" s="11"/>
      <c r="F1054" s="11" t="s">
        <v>18</v>
      </c>
      <c r="G1054" s="13"/>
      <c r="H1054" s="45" t="s">
        <v>16</v>
      </c>
      <c r="I1054" s="47"/>
      <c r="J1054" s="12" t="s">
        <v>2481</v>
      </c>
      <c r="K1054" s="13" t="s">
        <v>7824</v>
      </c>
      <c r="L1054" s="99" t="str">
        <f t="shared" si="95"/>
        <v>W123C.D</v>
      </c>
      <c r="M1054" s="13" t="s">
        <v>3667</v>
      </c>
      <c r="N1054" s="13"/>
      <c r="O1054" s="13"/>
      <c r="P1054" s="47"/>
      <c r="Q1054" s="45"/>
      <c r="R1054" s="45"/>
      <c r="S1054" s="48"/>
      <c r="T1054" s="49" t="str">
        <f t="shared" si="93"/>
        <v>[W123C.D]</v>
      </c>
      <c r="U1054" s="12" t="str">
        <f t="shared" si="94"/>
        <v xml:space="preserve"> 로우 스테이지#2 제품 베츨 시퀀스 이상</v>
      </c>
      <c r="V1054" s="49" t="str">
        <f t="shared" si="96"/>
        <v>[W123C.D] 로우 스테이지#2 제품 베츨 시퀀스 이상</v>
      </c>
    </row>
    <row r="1055" spans="1:22" s="49" customFormat="1" ht="14.15" customHeight="1">
      <c r="A1055" s="44"/>
      <c r="B1055" s="44" t="s">
        <v>6637</v>
      </c>
      <c r="C1055" s="50"/>
      <c r="D1055" s="10" t="s">
        <v>29</v>
      </c>
      <c r="E1055" s="11"/>
      <c r="F1055" s="11" t="s">
        <v>18</v>
      </c>
      <c r="G1055" s="13"/>
      <c r="H1055" s="45" t="s">
        <v>16</v>
      </c>
      <c r="I1055" s="47"/>
      <c r="J1055" s="12" t="s">
        <v>883</v>
      </c>
      <c r="K1055" s="13" t="s">
        <v>7825</v>
      </c>
      <c r="L1055" s="99" t="str">
        <f t="shared" si="95"/>
        <v>W123C.E</v>
      </c>
      <c r="M1055" s="13"/>
      <c r="N1055" s="13"/>
      <c r="O1055" s="13"/>
      <c r="P1055" s="47"/>
      <c r="Q1055" s="45"/>
      <c r="R1055" s="45"/>
      <c r="S1055" s="48"/>
      <c r="T1055" s="49" t="str">
        <f t="shared" si="93"/>
        <v>[W123C.E]</v>
      </c>
      <c r="U1055" s="12" t="str">
        <f t="shared" si="94"/>
        <v xml:space="preserve"> </v>
      </c>
      <c r="V1055" s="49" t="str">
        <f t="shared" si="96"/>
        <v xml:space="preserve">[W123C.E] </v>
      </c>
    </row>
    <row r="1056" spans="1:22" s="49" customFormat="1" ht="14.15" customHeight="1">
      <c r="A1056" s="44"/>
      <c r="B1056" s="44" t="s">
        <v>6637</v>
      </c>
      <c r="C1056" s="50"/>
      <c r="D1056" s="10" t="s">
        <v>29</v>
      </c>
      <c r="E1056" s="11"/>
      <c r="F1056" s="11" t="s">
        <v>18</v>
      </c>
      <c r="G1056" s="13"/>
      <c r="H1056" s="45" t="s">
        <v>16</v>
      </c>
      <c r="I1056" s="47"/>
      <c r="J1056" s="12" t="s">
        <v>884</v>
      </c>
      <c r="K1056" s="13" t="s">
        <v>7826</v>
      </c>
      <c r="L1056" s="99" t="str">
        <f t="shared" si="95"/>
        <v>W123C.F</v>
      </c>
      <c r="M1056" s="13"/>
      <c r="N1056" s="13"/>
      <c r="O1056" s="13"/>
      <c r="P1056" s="47"/>
      <c r="Q1056" s="45"/>
      <c r="R1056" s="45"/>
      <c r="S1056" s="48"/>
      <c r="T1056" s="49" t="str">
        <f t="shared" si="93"/>
        <v>[W123C.F]</v>
      </c>
      <c r="U1056" s="12" t="str">
        <f t="shared" si="94"/>
        <v xml:space="preserve"> </v>
      </c>
      <c r="V1056" s="49" t="str">
        <f t="shared" si="96"/>
        <v xml:space="preserve">[W123C.F] </v>
      </c>
    </row>
    <row r="1057" spans="1:22" s="49" customFormat="1" ht="14.15" customHeight="1">
      <c r="A1057" s="44"/>
      <c r="B1057" s="44" t="s">
        <v>6637</v>
      </c>
      <c r="C1057" s="50"/>
      <c r="D1057" s="10" t="s">
        <v>29</v>
      </c>
      <c r="E1057" s="11"/>
      <c r="F1057" s="11" t="s">
        <v>18</v>
      </c>
      <c r="G1057" s="13"/>
      <c r="H1057" s="45" t="s">
        <v>16</v>
      </c>
      <c r="I1057" s="47"/>
      <c r="J1057" s="12" t="s">
        <v>885</v>
      </c>
      <c r="K1057" s="13" t="s">
        <v>7827</v>
      </c>
      <c r="L1057" s="99" t="str">
        <f t="shared" si="95"/>
        <v>W123D.0</v>
      </c>
      <c r="M1057" s="13"/>
      <c r="N1057" s="13"/>
      <c r="O1057" s="13"/>
      <c r="P1057" s="47"/>
      <c r="Q1057" s="45"/>
      <c r="R1057" s="45"/>
      <c r="S1057" s="48"/>
      <c r="T1057" s="49" t="str">
        <f t="shared" si="93"/>
        <v>[W123D.0]</v>
      </c>
      <c r="U1057" s="12" t="str">
        <f t="shared" si="94"/>
        <v xml:space="preserve"> </v>
      </c>
      <c r="V1057" s="49" t="str">
        <f t="shared" si="96"/>
        <v xml:space="preserve">[W123D.0] </v>
      </c>
    </row>
    <row r="1058" spans="1:22" s="49" customFormat="1" ht="14.15" customHeight="1">
      <c r="A1058" s="44"/>
      <c r="B1058" s="44" t="s">
        <v>6637</v>
      </c>
      <c r="C1058" s="50"/>
      <c r="D1058" s="10" t="s">
        <v>29</v>
      </c>
      <c r="E1058" s="11"/>
      <c r="F1058" s="11" t="s">
        <v>18</v>
      </c>
      <c r="G1058" s="13"/>
      <c r="H1058" s="45" t="s">
        <v>16</v>
      </c>
      <c r="I1058" s="47"/>
      <c r="J1058" s="12" t="s">
        <v>886</v>
      </c>
      <c r="K1058" s="13" t="s">
        <v>7828</v>
      </c>
      <c r="L1058" s="99" t="str">
        <f t="shared" si="95"/>
        <v>W123D.1</v>
      </c>
      <c r="M1058" s="13"/>
      <c r="N1058" s="13"/>
      <c r="O1058" s="13"/>
      <c r="P1058" s="47"/>
      <c r="Q1058" s="45"/>
      <c r="R1058" s="45"/>
      <c r="S1058" s="48"/>
      <c r="T1058" s="49" t="str">
        <f t="shared" si="93"/>
        <v>[W123D.1]</v>
      </c>
      <c r="U1058" s="12" t="str">
        <f t="shared" si="94"/>
        <v xml:space="preserve"> </v>
      </c>
      <c r="V1058" s="49" t="str">
        <f t="shared" si="96"/>
        <v xml:space="preserve">[W123D.1] </v>
      </c>
    </row>
    <row r="1059" spans="1:22" s="49" customFormat="1" ht="14.15" customHeight="1">
      <c r="A1059" s="43" t="s">
        <v>3731</v>
      </c>
      <c r="B1059" s="44" t="s">
        <v>6637</v>
      </c>
      <c r="C1059" s="50"/>
      <c r="D1059" s="10" t="s">
        <v>29</v>
      </c>
      <c r="E1059" s="11"/>
      <c r="F1059" s="11" t="s">
        <v>18</v>
      </c>
      <c r="G1059" s="13"/>
      <c r="H1059" s="45" t="s">
        <v>16</v>
      </c>
      <c r="I1059" s="47"/>
      <c r="J1059" s="12" t="s">
        <v>2482</v>
      </c>
      <c r="K1059" s="13" t="s">
        <v>7829</v>
      </c>
      <c r="L1059" s="99" t="str">
        <f t="shared" si="95"/>
        <v>W123D.2</v>
      </c>
      <c r="M1059" s="13" t="s">
        <v>3667</v>
      </c>
      <c r="N1059" s="13"/>
      <c r="O1059" s="13"/>
      <c r="P1059" s="47"/>
      <c r="Q1059" s="45"/>
      <c r="R1059" s="45"/>
      <c r="S1059" s="48"/>
      <c r="T1059" s="49" t="str">
        <f t="shared" si="93"/>
        <v>[W123D.2]</v>
      </c>
      <c r="U1059" s="12" t="str">
        <f t="shared" si="94"/>
        <v xml:space="preserve"> 로우 스테이지#2 제품 데이터 불일치 이상 (X409)</v>
      </c>
      <c r="V1059" s="49" t="str">
        <f t="shared" si="96"/>
        <v>[W123D.2] 로우 스테이지#2 제품 데이터 불일치 이상 (X409)</v>
      </c>
    </row>
    <row r="1060" spans="1:22" s="49" customFormat="1" ht="14.15" customHeight="1">
      <c r="A1060" s="44"/>
      <c r="B1060" s="44" t="s">
        <v>6637</v>
      </c>
      <c r="C1060" s="50"/>
      <c r="D1060" s="10" t="s">
        <v>29</v>
      </c>
      <c r="E1060" s="11"/>
      <c r="F1060" s="11" t="s">
        <v>18</v>
      </c>
      <c r="G1060" s="13"/>
      <c r="H1060" s="45" t="s">
        <v>16</v>
      </c>
      <c r="I1060" s="47"/>
      <c r="J1060" s="12" t="s">
        <v>2483</v>
      </c>
      <c r="K1060" s="13" t="s">
        <v>7830</v>
      </c>
      <c r="L1060" s="99" t="str">
        <f t="shared" si="95"/>
        <v>W123D.3</v>
      </c>
      <c r="M1060" s="13"/>
      <c r="N1060" s="13"/>
      <c r="O1060" s="13"/>
      <c r="P1060" s="47"/>
      <c r="Q1060" s="45"/>
      <c r="R1060" s="45"/>
      <c r="S1060" s="48"/>
      <c r="T1060" s="49" t="str">
        <f t="shared" si="93"/>
        <v>[W123D.3]</v>
      </c>
      <c r="U1060" s="12" t="str">
        <f t="shared" si="94"/>
        <v xml:space="preserve"> </v>
      </c>
      <c r="V1060" s="49" t="str">
        <f t="shared" si="96"/>
        <v xml:space="preserve">[W123D.3] </v>
      </c>
    </row>
    <row r="1061" spans="1:22" s="49" customFormat="1" ht="14.15" customHeight="1">
      <c r="A1061" s="44"/>
      <c r="B1061" s="44" t="s">
        <v>6637</v>
      </c>
      <c r="C1061" s="50"/>
      <c r="D1061" s="10" t="s">
        <v>29</v>
      </c>
      <c r="E1061" s="11"/>
      <c r="F1061" s="11" t="s">
        <v>18</v>
      </c>
      <c r="G1061" s="13"/>
      <c r="H1061" s="45" t="s">
        <v>16</v>
      </c>
      <c r="I1061" s="47"/>
      <c r="J1061" s="12" t="s">
        <v>3701</v>
      </c>
      <c r="K1061" s="13" t="s">
        <v>7831</v>
      </c>
      <c r="L1061" s="99" t="str">
        <f t="shared" si="95"/>
        <v>W123D.4</v>
      </c>
      <c r="M1061" s="13"/>
      <c r="N1061" s="13"/>
      <c r="O1061" s="13"/>
      <c r="P1061" s="47"/>
      <c r="Q1061" s="45"/>
      <c r="R1061" s="45"/>
      <c r="S1061" s="48"/>
      <c r="T1061" s="49" t="str">
        <f t="shared" si="93"/>
        <v>[W123D.4]</v>
      </c>
      <c r="U1061" s="12" t="str">
        <f t="shared" si="94"/>
        <v xml:space="preserve"> </v>
      </c>
      <c r="V1061" s="49" t="str">
        <f t="shared" si="96"/>
        <v xml:space="preserve">[W123D.4] </v>
      </c>
    </row>
    <row r="1062" spans="1:22" s="49" customFormat="1" ht="14.15" customHeight="1">
      <c r="A1062" s="44"/>
      <c r="B1062" s="44" t="s">
        <v>6637</v>
      </c>
      <c r="C1062" s="50"/>
      <c r="D1062" s="10" t="s">
        <v>29</v>
      </c>
      <c r="E1062" s="11"/>
      <c r="F1062" s="11" t="s">
        <v>18</v>
      </c>
      <c r="G1062" s="13"/>
      <c r="H1062" s="45" t="s">
        <v>16</v>
      </c>
      <c r="I1062" s="47"/>
      <c r="J1062" s="12" t="s">
        <v>2484</v>
      </c>
      <c r="K1062" s="13" t="s">
        <v>7832</v>
      </c>
      <c r="L1062" s="99" t="str">
        <f t="shared" si="95"/>
        <v>W123D.5</v>
      </c>
      <c r="M1062" s="13"/>
      <c r="N1062" s="13"/>
      <c r="O1062" s="13"/>
      <c r="P1062" s="47"/>
      <c r="Q1062" s="45"/>
      <c r="R1062" s="45"/>
      <c r="S1062" s="48"/>
      <c r="T1062" s="49" t="str">
        <f t="shared" si="93"/>
        <v>[W123D.5]</v>
      </c>
      <c r="U1062" s="12" t="str">
        <f t="shared" si="94"/>
        <v xml:space="preserve"> </v>
      </c>
      <c r="V1062" s="49" t="str">
        <f t="shared" si="96"/>
        <v xml:space="preserve">[W123D.5] </v>
      </c>
    </row>
    <row r="1063" spans="1:22" s="49" customFormat="1" ht="14.15" customHeight="1">
      <c r="A1063" s="44"/>
      <c r="B1063" s="44" t="s">
        <v>6637</v>
      </c>
      <c r="C1063" s="50"/>
      <c r="D1063" s="10" t="s">
        <v>29</v>
      </c>
      <c r="E1063" s="11"/>
      <c r="F1063" s="11" t="s">
        <v>18</v>
      </c>
      <c r="G1063" s="13"/>
      <c r="H1063" s="45" t="s">
        <v>16</v>
      </c>
      <c r="I1063" s="47"/>
      <c r="J1063" s="12" t="s">
        <v>2485</v>
      </c>
      <c r="K1063" s="13" t="s">
        <v>7833</v>
      </c>
      <c r="L1063" s="99" t="str">
        <f t="shared" si="95"/>
        <v>W123D.6</v>
      </c>
      <c r="M1063" s="13"/>
      <c r="N1063" s="13"/>
      <c r="O1063" s="13"/>
      <c r="P1063" s="47"/>
      <c r="Q1063" s="45"/>
      <c r="R1063" s="45"/>
      <c r="S1063" s="48"/>
      <c r="T1063" s="49" t="str">
        <f t="shared" si="93"/>
        <v>[W123D.6]</v>
      </c>
      <c r="U1063" s="12" t="str">
        <f t="shared" si="94"/>
        <v xml:space="preserve"> </v>
      </c>
      <c r="V1063" s="49" t="str">
        <f t="shared" si="96"/>
        <v xml:space="preserve">[W123D.6] </v>
      </c>
    </row>
    <row r="1064" spans="1:22" s="49" customFormat="1" ht="14.15" customHeight="1">
      <c r="A1064" s="44"/>
      <c r="B1064" s="44" t="s">
        <v>6637</v>
      </c>
      <c r="C1064" s="50"/>
      <c r="D1064" s="10" t="s">
        <v>29</v>
      </c>
      <c r="E1064" s="11"/>
      <c r="F1064" s="11" t="s">
        <v>18</v>
      </c>
      <c r="G1064" s="13"/>
      <c r="H1064" s="45" t="s">
        <v>16</v>
      </c>
      <c r="I1064" s="47"/>
      <c r="J1064" s="12" t="s">
        <v>2486</v>
      </c>
      <c r="K1064" s="13" t="s">
        <v>7834</v>
      </c>
      <c r="L1064" s="99" t="str">
        <f t="shared" si="95"/>
        <v>W123D.7</v>
      </c>
      <c r="M1064" s="13"/>
      <c r="N1064" s="13"/>
      <c r="O1064" s="13"/>
      <c r="P1064" s="47"/>
      <c r="Q1064" s="45"/>
      <c r="R1064" s="45"/>
      <c r="S1064" s="48"/>
      <c r="T1064" s="49" t="str">
        <f t="shared" si="93"/>
        <v>[W123D.7]</v>
      </c>
      <c r="U1064" s="12" t="str">
        <f t="shared" si="94"/>
        <v xml:space="preserve"> </v>
      </c>
      <c r="V1064" s="49" t="str">
        <f t="shared" si="96"/>
        <v xml:space="preserve">[W123D.7] </v>
      </c>
    </row>
    <row r="1065" spans="1:22" s="49" customFormat="1" ht="14.15" customHeight="1">
      <c r="A1065" s="44"/>
      <c r="B1065" s="44" t="s">
        <v>6637</v>
      </c>
      <c r="C1065" s="50"/>
      <c r="D1065" s="10" t="s">
        <v>29</v>
      </c>
      <c r="E1065" s="11"/>
      <c r="F1065" s="11" t="s">
        <v>18</v>
      </c>
      <c r="G1065" s="13"/>
      <c r="H1065" s="45" t="s">
        <v>16</v>
      </c>
      <c r="I1065" s="47"/>
      <c r="J1065" s="12" t="s">
        <v>2487</v>
      </c>
      <c r="K1065" s="13" t="s">
        <v>7835</v>
      </c>
      <c r="L1065" s="99" t="str">
        <f t="shared" si="95"/>
        <v>W123D.8</v>
      </c>
      <c r="M1065" s="13"/>
      <c r="N1065" s="13"/>
      <c r="O1065" s="13"/>
      <c r="P1065" s="47"/>
      <c r="Q1065" s="45"/>
      <c r="R1065" s="45"/>
      <c r="S1065" s="48"/>
      <c r="T1065" s="49" t="str">
        <f t="shared" si="93"/>
        <v>[W123D.8]</v>
      </c>
      <c r="U1065" s="12" t="str">
        <f t="shared" si="94"/>
        <v xml:space="preserve"> </v>
      </c>
      <c r="V1065" s="49" t="str">
        <f t="shared" si="96"/>
        <v xml:space="preserve">[W123D.8] </v>
      </c>
    </row>
    <row r="1066" spans="1:22" s="49" customFormat="1" ht="14.15" customHeight="1">
      <c r="A1066" s="44"/>
      <c r="B1066" s="44" t="s">
        <v>6637</v>
      </c>
      <c r="C1066" s="50"/>
      <c r="D1066" s="10" t="s">
        <v>29</v>
      </c>
      <c r="E1066" s="11"/>
      <c r="F1066" s="11" t="s">
        <v>18</v>
      </c>
      <c r="G1066" s="13"/>
      <c r="H1066" s="45" t="s">
        <v>16</v>
      </c>
      <c r="I1066" s="47"/>
      <c r="J1066" s="12" t="s">
        <v>894</v>
      </c>
      <c r="K1066" s="13" t="s">
        <v>7836</v>
      </c>
      <c r="L1066" s="99" t="str">
        <f t="shared" si="95"/>
        <v>W123D.9</v>
      </c>
      <c r="M1066" s="13"/>
      <c r="N1066" s="13"/>
      <c r="O1066" s="13"/>
      <c r="P1066" s="47"/>
      <c r="Q1066" s="45"/>
      <c r="R1066" s="45"/>
      <c r="S1066" s="48"/>
      <c r="T1066" s="49" t="str">
        <f t="shared" si="93"/>
        <v>[W123D.9]</v>
      </c>
      <c r="U1066" s="12" t="str">
        <f t="shared" si="94"/>
        <v xml:space="preserve"> </v>
      </c>
      <c r="V1066" s="49" t="str">
        <f t="shared" si="96"/>
        <v xml:space="preserve">[W123D.9] </v>
      </c>
    </row>
    <row r="1067" spans="1:22" s="49" customFormat="1" ht="14.15" customHeight="1">
      <c r="A1067" s="44"/>
      <c r="B1067" s="44" t="s">
        <v>6637</v>
      </c>
      <c r="C1067" s="50"/>
      <c r="D1067" s="10" t="s">
        <v>29</v>
      </c>
      <c r="E1067" s="11"/>
      <c r="F1067" s="11" t="s">
        <v>18</v>
      </c>
      <c r="G1067" s="13"/>
      <c r="H1067" s="45" t="s">
        <v>16</v>
      </c>
      <c r="I1067" s="47"/>
      <c r="J1067" s="12" t="s">
        <v>895</v>
      </c>
      <c r="K1067" s="13" t="s">
        <v>7837</v>
      </c>
      <c r="L1067" s="99" t="str">
        <f t="shared" si="95"/>
        <v>W123D.A</v>
      </c>
      <c r="M1067" s="13"/>
      <c r="N1067" s="13"/>
      <c r="O1067" s="13"/>
      <c r="P1067" s="47"/>
      <c r="Q1067" s="45"/>
      <c r="R1067" s="45"/>
      <c r="S1067" s="48"/>
      <c r="T1067" s="49" t="str">
        <f t="shared" si="93"/>
        <v>[W123D.A]</v>
      </c>
      <c r="U1067" s="12" t="str">
        <f t="shared" si="94"/>
        <v xml:space="preserve"> </v>
      </c>
      <c r="V1067" s="49" t="str">
        <f t="shared" si="96"/>
        <v xml:space="preserve">[W123D.A] </v>
      </c>
    </row>
    <row r="1068" spans="1:22" s="49" customFormat="1" ht="14.15" customHeight="1">
      <c r="A1068" s="44"/>
      <c r="B1068" s="44" t="s">
        <v>6637</v>
      </c>
      <c r="C1068" s="50"/>
      <c r="D1068" s="10" t="s">
        <v>29</v>
      </c>
      <c r="E1068" s="11"/>
      <c r="F1068" s="11" t="s">
        <v>18</v>
      </c>
      <c r="G1068" s="13"/>
      <c r="H1068" s="45" t="s">
        <v>16</v>
      </c>
      <c r="I1068" s="47"/>
      <c r="J1068" s="12" t="s">
        <v>896</v>
      </c>
      <c r="K1068" s="13" t="s">
        <v>7838</v>
      </c>
      <c r="L1068" s="99" t="str">
        <f t="shared" si="95"/>
        <v>W123D.B</v>
      </c>
      <c r="M1068" s="13"/>
      <c r="N1068" s="13"/>
      <c r="O1068" s="13"/>
      <c r="P1068" s="47"/>
      <c r="Q1068" s="45"/>
      <c r="R1068" s="45"/>
      <c r="S1068" s="48"/>
      <c r="T1068" s="49" t="str">
        <f t="shared" si="93"/>
        <v>[W123D.B]</v>
      </c>
      <c r="U1068" s="12" t="str">
        <f t="shared" si="94"/>
        <v xml:space="preserve"> </v>
      </c>
      <c r="V1068" s="49" t="str">
        <f t="shared" si="96"/>
        <v xml:space="preserve">[W123D.B] </v>
      </c>
    </row>
    <row r="1069" spans="1:22" s="49" customFormat="1" ht="14.15" customHeight="1">
      <c r="A1069" s="44"/>
      <c r="B1069" s="44" t="s">
        <v>6637</v>
      </c>
      <c r="C1069" s="50"/>
      <c r="D1069" s="10" t="s">
        <v>29</v>
      </c>
      <c r="E1069" s="11"/>
      <c r="F1069" s="11" t="s">
        <v>18</v>
      </c>
      <c r="G1069" s="13"/>
      <c r="H1069" s="45" t="s">
        <v>16</v>
      </c>
      <c r="I1069" s="47"/>
      <c r="J1069" s="12" t="s">
        <v>897</v>
      </c>
      <c r="K1069" s="13" t="s">
        <v>7839</v>
      </c>
      <c r="L1069" s="99" t="str">
        <f t="shared" si="95"/>
        <v>W123D.C</v>
      </c>
      <c r="M1069" s="13"/>
      <c r="N1069" s="13"/>
      <c r="O1069" s="13"/>
      <c r="P1069" s="47"/>
      <c r="Q1069" s="45"/>
      <c r="R1069" s="45"/>
      <c r="S1069" s="48"/>
      <c r="T1069" s="49" t="str">
        <f>"["&amp;L1039&amp;"]"</f>
        <v>[W123B.E]</v>
      </c>
      <c r="U1069" s="12" t="str">
        <f>RIGHT(J1039,LEN(J1039)-7)</f>
        <v xml:space="preserve"> 로우 스테이지#1 제품 데이터 불일치 이상 (X408)</v>
      </c>
      <c r="V1069" s="49" t="str">
        <f>T1039&amp;U1039</f>
        <v>[W123B.E] 로우 스테이지#1 제품 데이터 불일치 이상 (X408)</v>
      </c>
    </row>
    <row r="1070" spans="1:22" s="49" customFormat="1" ht="14.15" customHeight="1">
      <c r="A1070" s="43" t="s">
        <v>3731</v>
      </c>
      <c r="B1070" s="44" t="s">
        <v>6637</v>
      </c>
      <c r="C1070" s="50"/>
      <c r="D1070" s="10" t="s">
        <v>29</v>
      </c>
      <c r="E1070" s="11"/>
      <c r="F1070" s="11" t="s">
        <v>18</v>
      </c>
      <c r="G1070" s="13"/>
      <c r="H1070" s="45" t="s">
        <v>16</v>
      </c>
      <c r="I1070" s="47"/>
      <c r="J1070" s="12" t="s">
        <v>2488</v>
      </c>
      <c r="K1070" s="13" t="s">
        <v>7840</v>
      </c>
      <c r="L1070" s="99" t="str">
        <f t="shared" si="95"/>
        <v>W123D.D</v>
      </c>
      <c r="M1070" s="13" t="s">
        <v>3667</v>
      </c>
      <c r="N1070" s="13"/>
      <c r="O1070" s="13"/>
      <c r="P1070" s="47"/>
      <c r="Q1070" s="45"/>
      <c r="R1070" s="45"/>
      <c r="S1070" s="48"/>
      <c r="T1070" s="49" t="str">
        <f t="shared" ref="T1070:T1101" si="97">"["&amp;L1070&amp;"]"</f>
        <v>[W123D.D]</v>
      </c>
      <c r="U1070" s="12" t="str">
        <f t="shared" ref="U1070:U1101" si="98">RIGHT(J1070,LEN(J1070)-7)</f>
        <v xml:space="preserve"> 로우 스테이지#3 제품 수취 시간초과</v>
      </c>
      <c r="V1070" s="49" t="str">
        <f t="shared" si="96"/>
        <v>[W123D.D] 로우 스테이지#3 제품 수취 시간초과</v>
      </c>
    </row>
    <row r="1071" spans="1:22" s="49" customFormat="1" ht="14.15" customHeight="1">
      <c r="A1071" s="43" t="s">
        <v>3731</v>
      </c>
      <c r="B1071" s="44" t="s">
        <v>6637</v>
      </c>
      <c r="C1071" s="50"/>
      <c r="D1071" s="10" t="s">
        <v>29</v>
      </c>
      <c r="E1071" s="11"/>
      <c r="F1071" s="11" t="s">
        <v>18</v>
      </c>
      <c r="G1071" s="13"/>
      <c r="H1071" s="45" t="s">
        <v>16</v>
      </c>
      <c r="I1071" s="47"/>
      <c r="J1071" s="12" t="s">
        <v>2489</v>
      </c>
      <c r="K1071" s="13" t="s">
        <v>7841</v>
      </c>
      <c r="L1071" s="99" t="str">
        <f t="shared" si="95"/>
        <v>W123D.E</v>
      </c>
      <c r="M1071" s="13" t="s">
        <v>3667</v>
      </c>
      <c r="N1071" s="13"/>
      <c r="O1071" s="13"/>
      <c r="P1071" s="47"/>
      <c r="Q1071" s="45"/>
      <c r="R1071" s="45"/>
      <c r="S1071" s="48"/>
      <c r="T1071" s="49" t="str">
        <f t="shared" si="97"/>
        <v>[W123D.E]</v>
      </c>
      <c r="U1071" s="12" t="str">
        <f t="shared" si="98"/>
        <v xml:space="preserve"> 로우 스테이지#3 제품 배출 시간초과</v>
      </c>
      <c r="V1071" s="49" t="str">
        <f t="shared" si="96"/>
        <v>[W123D.E] 로우 스테이지#3 제품 배출 시간초과</v>
      </c>
    </row>
    <row r="1072" spans="1:22" s="49" customFormat="1" ht="14.15" customHeight="1">
      <c r="A1072" s="43" t="s">
        <v>3731</v>
      </c>
      <c r="B1072" s="44" t="s">
        <v>6637</v>
      </c>
      <c r="C1072" s="50"/>
      <c r="D1072" s="10" t="s">
        <v>29</v>
      </c>
      <c r="E1072" s="11"/>
      <c r="F1072" s="11" t="s">
        <v>18</v>
      </c>
      <c r="G1072" s="13"/>
      <c r="H1072" s="45" t="s">
        <v>16</v>
      </c>
      <c r="I1072" s="47"/>
      <c r="J1072" s="12" t="s">
        <v>2490</v>
      </c>
      <c r="K1072" s="13" t="s">
        <v>7842</v>
      </c>
      <c r="L1072" s="99" t="str">
        <f t="shared" si="95"/>
        <v>W123D.F</v>
      </c>
      <c r="M1072" s="13" t="s">
        <v>3667</v>
      </c>
      <c r="N1072" s="13"/>
      <c r="O1072" s="13"/>
      <c r="P1072" s="47"/>
      <c r="Q1072" s="45"/>
      <c r="R1072" s="45"/>
      <c r="S1072" s="48"/>
      <c r="T1072" s="49" t="str">
        <f t="shared" si="97"/>
        <v>[W123D.F]</v>
      </c>
      <c r="U1072" s="12" t="str">
        <f t="shared" si="98"/>
        <v xml:space="preserve"> 로우 스테이지#3 제품 수취 시퀀스 이상</v>
      </c>
      <c r="V1072" s="49" t="str">
        <f t="shared" si="96"/>
        <v>[W123D.F] 로우 스테이지#3 제품 수취 시퀀스 이상</v>
      </c>
    </row>
    <row r="1073" spans="1:22" s="49" customFormat="1" ht="14.15" customHeight="1">
      <c r="A1073" s="44"/>
      <c r="B1073" s="44" t="s">
        <v>6637</v>
      </c>
      <c r="C1073" s="50"/>
      <c r="D1073" s="10" t="s">
        <v>29</v>
      </c>
      <c r="E1073" s="11"/>
      <c r="F1073" s="11" t="s">
        <v>18</v>
      </c>
      <c r="G1073" s="13"/>
      <c r="H1073" s="45" t="s">
        <v>16</v>
      </c>
      <c r="I1073" s="47"/>
      <c r="J1073" s="12" t="s">
        <v>901</v>
      </c>
      <c r="K1073" s="13" t="s">
        <v>7843</v>
      </c>
      <c r="L1073" s="99" t="str">
        <f t="shared" si="95"/>
        <v>W123E.0</v>
      </c>
      <c r="M1073" s="13"/>
      <c r="N1073" s="13"/>
      <c r="O1073" s="13"/>
      <c r="P1073" s="47"/>
      <c r="Q1073" s="45"/>
      <c r="R1073" s="45"/>
      <c r="S1073" s="48"/>
      <c r="T1073" s="49" t="str">
        <f t="shared" si="97"/>
        <v>[W123E.0]</v>
      </c>
      <c r="U1073" s="12" t="str">
        <f t="shared" si="98"/>
        <v xml:space="preserve"> </v>
      </c>
      <c r="V1073" s="49" t="str">
        <f t="shared" si="96"/>
        <v xml:space="preserve">[W123E.0] </v>
      </c>
    </row>
    <row r="1074" spans="1:22" s="49" customFormat="1" ht="14.15" customHeight="1">
      <c r="A1074" s="43" t="s">
        <v>3731</v>
      </c>
      <c r="B1074" s="44" t="s">
        <v>6637</v>
      </c>
      <c r="C1074" s="50"/>
      <c r="D1074" s="10" t="s">
        <v>29</v>
      </c>
      <c r="E1074" s="11"/>
      <c r="F1074" s="11" t="s">
        <v>18</v>
      </c>
      <c r="G1074" s="13"/>
      <c r="H1074" s="45" t="s">
        <v>16</v>
      </c>
      <c r="I1074" s="47"/>
      <c r="J1074" s="12" t="s">
        <v>2491</v>
      </c>
      <c r="K1074" s="13" t="s">
        <v>7844</v>
      </c>
      <c r="L1074" s="99" t="str">
        <f t="shared" si="95"/>
        <v>W123E.1</v>
      </c>
      <c r="M1074" s="13" t="s">
        <v>3667</v>
      </c>
      <c r="N1074" s="13"/>
      <c r="O1074" s="13"/>
      <c r="P1074" s="47"/>
      <c r="Q1074" s="45"/>
      <c r="R1074" s="45"/>
      <c r="S1074" s="48"/>
      <c r="T1074" s="49" t="str">
        <f t="shared" si="97"/>
        <v>[W123E.1]</v>
      </c>
      <c r="U1074" s="12" t="str">
        <f t="shared" si="98"/>
        <v xml:space="preserve"> 로우 스테이지#3 제품 베츨 시퀀스 이상</v>
      </c>
      <c r="V1074" s="49" t="str">
        <f t="shared" si="96"/>
        <v>[W123E.1] 로우 스테이지#3 제품 베츨 시퀀스 이상</v>
      </c>
    </row>
    <row r="1075" spans="1:22" s="49" customFormat="1" ht="14.15" customHeight="1">
      <c r="A1075" s="44"/>
      <c r="B1075" s="44" t="s">
        <v>6637</v>
      </c>
      <c r="C1075" s="50"/>
      <c r="D1075" s="10" t="s">
        <v>29</v>
      </c>
      <c r="E1075" s="11"/>
      <c r="F1075" s="11" t="s">
        <v>18</v>
      </c>
      <c r="G1075" s="13"/>
      <c r="H1075" s="45" t="s">
        <v>16</v>
      </c>
      <c r="I1075" s="47"/>
      <c r="J1075" s="12" t="s">
        <v>903</v>
      </c>
      <c r="K1075" s="13" t="s">
        <v>7845</v>
      </c>
      <c r="L1075" s="99" t="str">
        <f t="shared" si="95"/>
        <v>W123E.2</v>
      </c>
      <c r="M1075" s="13"/>
      <c r="N1075" s="13"/>
      <c r="O1075" s="13"/>
      <c r="P1075" s="47"/>
      <c r="Q1075" s="45"/>
      <c r="R1075" s="45"/>
      <c r="S1075" s="48"/>
      <c r="T1075" s="49" t="str">
        <f t="shared" si="97"/>
        <v>[W123E.2]</v>
      </c>
      <c r="U1075" s="12" t="str">
        <f t="shared" si="98"/>
        <v xml:space="preserve"> </v>
      </c>
      <c r="V1075" s="49" t="str">
        <f t="shared" si="96"/>
        <v xml:space="preserve">[W123E.2] </v>
      </c>
    </row>
    <row r="1076" spans="1:22" s="49" customFormat="1" ht="14.15" customHeight="1">
      <c r="A1076" s="44"/>
      <c r="B1076" s="44" t="s">
        <v>6637</v>
      </c>
      <c r="C1076" s="50"/>
      <c r="D1076" s="10" t="s">
        <v>29</v>
      </c>
      <c r="E1076" s="11"/>
      <c r="F1076" s="11" t="s">
        <v>18</v>
      </c>
      <c r="G1076" s="13"/>
      <c r="H1076" s="45" t="s">
        <v>16</v>
      </c>
      <c r="I1076" s="47"/>
      <c r="J1076" s="12" t="s">
        <v>904</v>
      </c>
      <c r="K1076" s="13" t="s">
        <v>7846</v>
      </c>
      <c r="L1076" s="99" t="str">
        <f t="shared" si="95"/>
        <v>W123E.3</v>
      </c>
      <c r="M1076" s="13"/>
      <c r="N1076" s="13"/>
      <c r="O1076" s="13"/>
      <c r="P1076" s="47"/>
      <c r="Q1076" s="45"/>
      <c r="R1076" s="45"/>
      <c r="S1076" s="48"/>
      <c r="T1076" s="49" t="str">
        <f t="shared" si="97"/>
        <v>[W123E.3]</v>
      </c>
      <c r="U1076" s="12" t="str">
        <f t="shared" si="98"/>
        <v xml:space="preserve"> </v>
      </c>
      <c r="V1076" s="49" t="str">
        <f t="shared" si="96"/>
        <v xml:space="preserve">[W123E.3] </v>
      </c>
    </row>
    <row r="1077" spans="1:22" s="49" customFormat="1" ht="14.15" customHeight="1">
      <c r="A1077" s="44"/>
      <c r="B1077" s="44" t="s">
        <v>6637</v>
      </c>
      <c r="C1077" s="50"/>
      <c r="D1077" s="10" t="s">
        <v>29</v>
      </c>
      <c r="E1077" s="11"/>
      <c r="F1077" s="11" t="s">
        <v>18</v>
      </c>
      <c r="G1077" s="13"/>
      <c r="H1077" s="45" t="s">
        <v>16</v>
      </c>
      <c r="I1077" s="47"/>
      <c r="J1077" s="12" t="s">
        <v>905</v>
      </c>
      <c r="K1077" s="13" t="s">
        <v>7847</v>
      </c>
      <c r="L1077" s="99" t="str">
        <f t="shared" si="95"/>
        <v>W123E.4</v>
      </c>
      <c r="M1077" s="13"/>
      <c r="N1077" s="13"/>
      <c r="O1077" s="13"/>
      <c r="P1077" s="47"/>
      <c r="Q1077" s="45"/>
      <c r="R1077" s="45"/>
      <c r="S1077" s="48"/>
      <c r="T1077" s="49" t="str">
        <f t="shared" si="97"/>
        <v>[W123E.4]</v>
      </c>
      <c r="U1077" s="12" t="str">
        <f t="shared" si="98"/>
        <v xml:space="preserve"> </v>
      </c>
      <c r="V1077" s="49" t="str">
        <f t="shared" si="96"/>
        <v xml:space="preserve">[W123E.4] </v>
      </c>
    </row>
    <row r="1078" spans="1:22" s="49" customFormat="1" ht="14.15" customHeight="1">
      <c r="A1078" s="44"/>
      <c r="B1078" s="44" t="s">
        <v>6637</v>
      </c>
      <c r="C1078" s="50"/>
      <c r="D1078" s="10" t="s">
        <v>29</v>
      </c>
      <c r="E1078" s="11"/>
      <c r="F1078" s="11" t="s">
        <v>18</v>
      </c>
      <c r="G1078" s="13"/>
      <c r="H1078" s="45" t="s">
        <v>16</v>
      </c>
      <c r="I1078" s="47"/>
      <c r="J1078" s="12" t="s">
        <v>906</v>
      </c>
      <c r="K1078" s="13" t="s">
        <v>7848</v>
      </c>
      <c r="L1078" s="99" t="str">
        <f t="shared" si="95"/>
        <v>W123E.5</v>
      </c>
      <c r="M1078" s="13"/>
      <c r="N1078" s="13"/>
      <c r="O1078" s="13"/>
      <c r="P1078" s="47"/>
      <c r="Q1078" s="45"/>
      <c r="R1078" s="45"/>
      <c r="S1078" s="48"/>
      <c r="T1078" s="49" t="str">
        <f t="shared" si="97"/>
        <v>[W123E.5]</v>
      </c>
      <c r="U1078" s="12" t="str">
        <f t="shared" si="98"/>
        <v xml:space="preserve"> </v>
      </c>
      <c r="V1078" s="49" t="str">
        <f t="shared" si="96"/>
        <v xml:space="preserve">[W123E.5] </v>
      </c>
    </row>
    <row r="1079" spans="1:22" s="49" customFormat="1" ht="14.15" customHeight="1">
      <c r="A1079" s="43" t="s">
        <v>3731</v>
      </c>
      <c r="B1079" s="44" t="s">
        <v>6637</v>
      </c>
      <c r="C1079" s="50"/>
      <c r="D1079" s="10" t="s">
        <v>29</v>
      </c>
      <c r="E1079" s="11"/>
      <c r="F1079" s="11" t="s">
        <v>18</v>
      </c>
      <c r="G1079" s="13"/>
      <c r="H1079" s="45" t="s">
        <v>16</v>
      </c>
      <c r="I1079" s="47"/>
      <c r="J1079" s="12" t="s">
        <v>2492</v>
      </c>
      <c r="K1079" s="13" t="s">
        <v>7849</v>
      </c>
      <c r="L1079" s="99" t="str">
        <f t="shared" si="95"/>
        <v>W123E.6</v>
      </c>
      <c r="M1079" s="13" t="s">
        <v>3667</v>
      </c>
      <c r="N1079" s="13"/>
      <c r="O1079" s="13"/>
      <c r="P1079" s="47"/>
      <c r="Q1079" s="45"/>
      <c r="R1079" s="45"/>
      <c r="S1079" s="48"/>
      <c r="T1079" s="49" t="str">
        <f t="shared" si="97"/>
        <v>[W123E.6]</v>
      </c>
      <c r="U1079" s="12" t="str">
        <f t="shared" si="98"/>
        <v xml:space="preserve"> 로우 스테이지#3 제품 데이터 불일치 이상 (X40C)</v>
      </c>
      <c r="V1079" s="49" t="str">
        <f t="shared" si="96"/>
        <v>[W123E.6] 로우 스테이지#3 제품 데이터 불일치 이상 (X40C)</v>
      </c>
    </row>
    <row r="1080" spans="1:22" s="49" customFormat="1" ht="14.15" customHeight="1">
      <c r="A1080" s="44"/>
      <c r="B1080" s="44" t="s">
        <v>6637</v>
      </c>
      <c r="C1080" s="50"/>
      <c r="D1080" s="10" t="s">
        <v>29</v>
      </c>
      <c r="E1080" s="11"/>
      <c r="F1080" s="11" t="s">
        <v>18</v>
      </c>
      <c r="G1080" s="13"/>
      <c r="H1080" s="45" t="s">
        <v>16</v>
      </c>
      <c r="I1080" s="47"/>
      <c r="J1080" s="12" t="s">
        <v>2493</v>
      </c>
      <c r="K1080" s="13" t="s">
        <v>7850</v>
      </c>
      <c r="L1080" s="99" t="str">
        <f t="shared" si="95"/>
        <v>W123E.7</v>
      </c>
      <c r="M1080" s="13"/>
      <c r="N1080" s="13"/>
      <c r="O1080" s="13"/>
      <c r="P1080" s="47"/>
      <c r="Q1080" s="45"/>
      <c r="R1080" s="45"/>
      <c r="S1080" s="48"/>
      <c r="T1080" s="49" t="str">
        <f t="shared" si="97"/>
        <v>[W123E.7]</v>
      </c>
      <c r="U1080" s="12" t="str">
        <f t="shared" si="98"/>
        <v xml:space="preserve"> </v>
      </c>
      <c r="V1080" s="49" t="str">
        <f t="shared" si="96"/>
        <v xml:space="preserve">[W123E.7] </v>
      </c>
    </row>
    <row r="1081" spans="1:22" s="49" customFormat="1" ht="14.15" customHeight="1">
      <c r="A1081" s="44"/>
      <c r="B1081" s="44" t="s">
        <v>6637</v>
      </c>
      <c r="C1081" s="50"/>
      <c r="D1081" s="10" t="s">
        <v>29</v>
      </c>
      <c r="E1081" s="11"/>
      <c r="F1081" s="11" t="s">
        <v>18</v>
      </c>
      <c r="G1081" s="13"/>
      <c r="H1081" s="45" t="s">
        <v>16</v>
      </c>
      <c r="I1081" s="47"/>
      <c r="J1081" s="12" t="s">
        <v>2494</v>
      </c>
      <c r="K1081" s="13" t="s">
        <v>7851</v>
      </c>
      <c r="L1081" s="99" t="str">
        <f t="shared" si="95"/>
        <v>W123E.8</v>
      </c>
      <c r="M1081" s="13"/>
      <c r="N1081" s="13"/>
      <c r="O1081" s="13"/>
      <c r="P1081" s="47"/>
      <c r="Q1081" s="45"/>
      <c r="R1081" s="45"/>
      <c r="S1081" s="48"/>
      <c r="T1081" s="49" t="str">
        <f t="shared" si="97"/>
        <v>[W123E.8]</v>
      </c>
      <c r="U1081" s="12" t="str">
        <f t="shared" si="98"/>
        <v xml:space="preserve"> </v>
      </c>
      <c r="V1081" s="49" t="str">
        <f t="shared" si="96"/>
        <v xml:space="preserve">[W123E.8] </v>
      </c>
    </row>
    <row r="1082" spans="1:22" s="49" customFormat="1" ht="14.15" customHeight="1">
      <c r="A1082" s="44"/>
      <c r="B1082" s="44" t="s">
        <v>6637</v>
      </c>
      <c r="C1082" s="50"/>
      <c r="D1082" s="10" t="s">
        <v>29</v>
      </c>
      <c r="E1082" s="11"/>
      <c r="F1082" s="11" t="s">
        <v>18</v>
      </c>
      <c r="G1082" s="13"/>
      <c r="H1082" s="45" t="s">
        <v>16</v>
      </c>
      <c r="I1082" s="47"/>
      <c r="J1082" s="12" t="s">
        <v>2495</v>
      </c>
      <c r="K1082" s="13" t="s">
        <v>7852</v>
      </c>
      <c r="L1082" s="99" t="str">
        <f t="shared" si="95"/>
        <v>W123E.9</v>
      </c>
      <c r="M1082" s="13"/>
      <c r="N1082" s="13"/>
      <c r="O1082" s="13"/>
      <c r="P1082" s="47"/>
      <c r="Q1082" s="45"/>
      <c r="R1082" s="45"/>
      <c r="S1082" s="48"/>
      <c r="T1082" s="49" t="str">
        <f t="shared" si="97"/>
        <v>[W123E.9]</v>
      </c>
      <c r="U1082" s="12" t="str">
        <f t="shared" si="98"/>
        <v xml:space="preserve"> </v>
      </c>
      <c r="V1082" s="49" t="str">
        <f t="shared" si="96"/>
        <v xml:space="preserve">[W123E.9] </v>
      </c>
    </row>
    <row r="1083" spans="1:22" s="49" customFormat="1" ht="14.15" customHeight="1">
      <c r="A1083" s="44"/>
      <c r="B1083" s="44" t="s">
        <v>6637</v>
      </c>
      <c r="C1083" s="50"/>
      <c r="D1083" s="10" t="s">
        <v>29</v>
      </c>
      <c r="E1083" s="11"/>
      <c r="F1083" s="11" t="s">
        <v>18</v>
      </c>
      <c r="G1083" s="13"/>
      <c r="H1083" s="45" t="s">
        <v>16</v>
      </c>
      <c r="I1083" s="47"/>
      <c r="J1083" s="12" t="s">
        <v>2496</v>
      </c>
      <c r="K1083" s="13" t="s">
        <v>7853</v>
      </c>
      <c r="L1083" s="99" t="str">
        <f t="shared" si="95"/>
        <v>W123E.A</v>
      </c>
      <c r="M1083" s="13"/>
      <c r="N1083" s="13"/>
      <c r="O1083" s="13"/>
      <c r="P1083" s="47"/>
      <c r="Q1083" s="45"/>
      <c r="R1083" s="45"/>
      <c r="S1083" s="48"/>
      <c r="T1083" s="49" t="str">
        <f t="shared" si="97"/>
        <v>[W123E.A]</v>
      </c>
      <c r="U1083" s="12" t="str">
        <f t="shared" si="98"/>
        <v xml:space="preserve"> </v>
      </c>
      <c r="V1083" s="49" t="str">
        <f t="shared" si="96"/>
        <v xml:space="preserve">[W123E.A] </v>
      </c>
    </row>
    <row r="1084" spans="1:22" s="49" customFormat="1" ht="14.15" customHeight="1">
      <c r="A1084" s="44"/>
      <c r="B1084" s="44" t="s">
        <v>6637</v>
      </c>
      <c r="C1084" s="50"/>
      <c r="D1084" s="10" t="s">
        <v>29</v>
      </c>
      <c r="E1084" s="11"/>
      <c r="F1084" s="11" t="s">
        <v>18</v>
      </c>
      <c r="G1084" s="13"/>
      <c r="H1084" s="45" t="s">
        <v>16</v>
      </c>
      <c r="I1084" s="47"/>
      <c r="J1084" s="12" t="s">
        <v>2497</v>
      </c>
      <c r="K1084" s="13" t="s">
        <v>7854</v>
      </c>
      <c r="L1084" s="99" t="str">
        <f t="shared" si="95"/>
        <v>W123E.B</v>
      </c>
      <c r="M1084" s="13"/>
      <c r="N1084" s="13"/>
      <c r="O1084" s="13"/>
      <c r="P1084" s="47"/>
      <c r="Q1084" s="45"/>
      <c r="R1084" s="45"/>
      <c r="S1084" s="48"/>
      <c r="T1084" s="49" t="str">
        <f t="shared" si="97"/>
        <v>[W123E.B]</v>
      </c>
      <c r="U1084" s="12" t="str">
        <f t="shared" si="98"/>
        <v xml:space="preserve"> </v>
      </c>
      <c r="V1084" s="49" t="str">
        <f t="shared" si="96"/>
        <v xml:space="preserve">[W123E.B] </v>
      </c>
    </row>
    <row r="1085" spans="1:22" s="49" customFormat="1" ht="14.15" customHeight="1">
      <c r="A1085" s="44"/>
      <c r="B1085" s="44" t="s">
        <v>6637</v>
      </c>
      <c r="C1085" s="50"/>
      <c r="D1085" s="10" t="s">
        <v>29</v>
      </c>
      <c r="E1085" s="11"/>
      <c r="F1085" s="11" t="s">
        <v>18</v>
      </c>
      <c r="G1085" s="13"/>
      <c r="H1085" s="45" t="s">
        <v>16</v>
      </c>
      <c r="I1085" s="47"/>
      <c r="J1085" s="12" t="s">
        <v>2498</v>
      </c>
      <c r="K1085" s="13" t="s">
        <v>7855</v>
      </c>
      <c r="L1085" s="99" t="str">
        <f t="shared" si="95"/>
        <v>W123E.C</v>
      </c>
      <c r="M1085" s="13"/>
      <c r="N1085" s="13"/>
      <c r="O1085" s="13"/>
      <c r="P1085" s="47"/>
      <c r="Q1085" s="45"/>
      <c r="R1085" s="45"/>
      <c r="S1085" s="48"/>
      <c r="T1085" s="49" t="str">
        <f t="shared" si="97"/>
        <v>[W123E.C]</v>
      </c>
      <c r="U1085" s="12" t="str">
        <f t="shared" si="98"/>
        <v xml:space="preserve"> </v>
      </c>
      <c r="V1085" s="49" t="str">
        <f t="shared" si="96"/>
        <v xml:space="preserve">[W123E.C] </v>
      </c>
    </row>
    <row r="1086" spans="1:22" s="49" customFormat="1" ht="14.15" customHeight="1">
      <c r="A1086" s="44"/>
      <c r="B1086" s="44" t="s">
        <v>6637</v>
      </c>
      <c r="C1086" s="50"/>
      <c r="D1086" s="10" t="s">
        <v>29</v>
      </c>
      <c r="E1086" s="11"/>
      <c r="F1086" s="11" t="s">
        <v>18</v>
      </c>
      <c r="G1086" s="13"/>
      <c r="H1086" s="45" t="s">
        <v>16</v>
      </c>
      <c r="I1086" s="47"/>
      <c r="J1086" s="12" t="s">
        <v>2499</v>
      </c>
      <c r="K1086" s="13" t="s">
        <v>7856</v>
      </c>
      <c r="L1086" s="99" t="str">
        <f t="shared" si="95"/>
        <v>W123E.D</v>
      </c>
      <c r="M1086" s="13"/>
      <c r="N1086" s="13"/>
      <c r="O1086" s="13"/>
      <c r="P1086" s="47"/>
      <c r="Q1086" s="45"/>
      <c r="R1086" s="45"/>
      <c r="S1086" s="48"/>
      <c r="T1086" s="49" t="str">
        <f t="shared" si="97"/>
        <v>[W123E.D]</v>
      </c>
      <c r="U1086" s="12" t="str">
        <f t="shared" si="98"/>
        <v xml:space="preserve"> </v>
      </c>
      <c r="V1086" s="49" t="str">
        <f t="shared" si="96"/>
        <v xml:space="preserve">[W123E.D] </v>
      </c>
    </row>
    <row r="1087" spans="1:22" s="49" customFormat="1" ht="14.15" customHeight="1">
      <c r="A1087" s="44"/>
      <c r="B1087" s="44" t="s">
        <v>6637</v>
      </c>
      <c r="C1087" s="50"/>
      <c r="D1087" s="10" t="s">
        <v>29</v>
      </c>
      <c r="E1087" s="11"/>
      <c r="F1087" s="11" t="s">
        <v>18</v>
      </c>
      <c r="G1087" s="13"/>
      <c r="H1087" s="45" t="s">
        <v>16</v>
      </c>
      <c r="I1087" s="47"/>
      <c r="J1087" s="12" t="s">
        <v>2500</v>
      </c>
      <c r="K1087" s="13" t="s">
        <v>7857</v>
      </c>
      <c r="L1087" s="99" t="str">
        <f t="shared" si="95"/>
        <v>W123E.E</v>
      </c>
      <c r="M1087" s="13"/>
      <c r="N1087" s="13"/>
      <c r="O1087" s="13"/>
      <c r="P1087" s="47"/>
      <c r="Q1087" s="45"/>
      <c r="R1087" s="45"/>
      <c r="S1087" s="48"/>
      <c r="T1087" s="49" t="str">
        <f t="shared" si="97"/>
        <v>[W123E.E]</v>
      </c>
      <c r="U1087" s="12" t="str">
        <f t="shared" si="98"/>
        <v xml:space="preserve"> </v>
      </c>
      <c r="V1087" s="49" t="str">
        <f t="shared" si="96"/>
        <v xml:space="preserve">[W123E.E] </v>
      </c>
    </row>
    <row r="1088" spans="1:22" s="49" customFormat="1" ht="14.15" customHeight="1">
      <c r="A1088" s="44"/>
      <c r="B1088" s="44" t="s">
        <v>6637</v>
      </c>
      <c r="C1088" s="50"/>
      <c r="D1088" s="10" t="s">
        <v>29</v>
      </c>
      <c r="E1088" s="11"/>
      <c r="F1088" s="11" t="s">
        <v>18</v>
      </c>
      <c r="G1088" s="13"/>
      <c r="H1088" s="45" t="s">
        <v>16</v>
      </c>
      <c r="I1088" s="47"/>
      <c r="J1088" s="12" t="s">
        <v>2501</v>
      </c>
      <c r="K1088" s="13" t="s">
        <v>7858</v>
      </c>
      <c r="L1088" s="99" t="str">
        <f t="shared" si="95"/>
        <v>W123E.F</v>
      </c>
      <c r="M1088" s="13"/>
      <c r="N1088" s="13"/>
      <c r="O1088" s="13"/>
      <c r="P1088" s="47"/>
      <c r="Q1088" s="45"/>
      <c r="R1088" s="45"/>
      <c r="S1088" s="48"/>
      <c r="T1088" s="49" t="str">
        <f t="shared" si="97"/>
        <v>[W123E.F]</v>
      </c>
      <c r="U1088" s="12" t="str">
        <f t="shared" si="98"/>
        <v xml:space="preserve"> </v>
      </c>
      <c r="V1088" s="49" t="str">
        <f t="shared" si="96"/>
        <v xml:space="preserve">[W123E.F] </v>
      </c>
    </row>
    <row r="1089" spans="1:22" s="49" customFormat="1" ht="14.15" customHeight="1">
      <c r="A1089" s="44"/>
      <c r="B1089" s="44" t="s">
        <v>6637</v>
      </c>
      <c r="C1089" s="50"/>
      <c r="D1089" s="10" t="s">
        <v>29</v>
      </c>
      <c r="E1089" s="11"/>
      <c r="F1089" s="11" t="s">
        <v>18</v>
      </c>
      <c r="G1089" s="13"/>
      <c r="H1089" s="45" t="s">
        <v>16</v>
      </c>
      <c r="I1089" s="47"/>
      <c r="J1089" s="12" t="s">
        <v>2502</v>
      </c>
      <c r="K1089" s="13" t="s">
        <v>7859</v>
      </c>
      <c r="L1089" s="99" t="str">
        <f t="shared" si="95"/>
        <v>W123F.0</v>
      </c>
      <c r="M1089" s="13"/>
      <c r="N1089" s="13"/>
      <c r="O1089" s="13"/>
      <c r="P1089" s="47"/>
      <c r="Q1089" s="45"/>
      <c r="R1089" s="45"/>
      <c r="S1089" s="48"/>
      <c r="T1089" s="49" t="str">
        <f t="shared" si="97"/>
        <v>[W123F.0]</v>
      </c>
      <c r="U1089" s="12" t="str">
        <f t="shared" si="98"/>
        <v xml:space="preserve"> </v>
      </c>
      <c r="V1089" s="49" t="str">
        <f t="shared" si="96"/>
        <v xml:space="preserve">[W123F.0] </v>
      </c>
    </row>
    <row r="1090" spans="1:22" s="49" customFormat="1" ht="14.15" customHeight="1">
      <c r="A1090" s="43" t="s">
        <v>3731</v>
      </c>
      <c r="B1090" s="44" t="s">
        <v>6637</v>
      </c>
      <c r="C1090" s="50"/>
      <c r="D1090" s="10" t="s">
        <v>29</v>
      </c>
      <c r="E1090" s="11"/>
      <c r="F1090" s="11" t="s">
        <v>18</v>
      </c>
      <c r="G1090" s="13"/>
      <c r="H1090" s="45" t="s">
        <v>16</v>
      </c>
      <c r="I1090" s="47"/>
      <c r="J1090" s="12" t="s">
        <v>2503</v>
      </c>
      <c r="K1090" s="13" t="s">
        <v>7860</v>
      </c>
      <c r="L1090" s="99" t="str">
        <f t="shared" si="95"/>
        <v>W123F.1</v>
      </c>
      <c r="M1090" s="13" t="s">
        <v>3667</v>
      </c>
      <c r="N1090" s="13"/>
      <c r="O1090" s="13"/>
      <c r="P1090" s="47"/>
      <c r="Q1090" s="45"/>
      <c r="R1090" s="45"/>
      <c r="S1090" s="48"/>
      <c r="T1090" s="49" t="str">
        <f t="shared" si="97"/>
        <v>[W123F.1]</v>
      </c>
      <c r="U1090" s="12" t="str">
        <f t="shared" si="98"/>
        <v xml:space="preserve"> 로우 스테이지#4 제품 수취 시간초과</v>
      </c>
      <c r="V1090" s="49" t="str">
        <f t="shared" si="96"/>
        <v>[W123F.1] 로우 스테이지#4 제품 수취 시간초과</v>
      </c>
    </row>
    <row r="1091" spans="1:22" s="49" customFormat="1" ht="14.15" customHeight="1">
      <c r="A1091" s="43" t="s">
        <v>3731</v>
      </c>
      <c r="B1091" s="44" t="s">
        <v>6637</v>
      </c>
      <c r="C1091" s="50"/>
      <c r="D1091" s="10" t="s">
        <v>29</v>
      </c>
      <c r="E1091" s="11"/>
      <c r="F1091" s="11" t="s">
        <v>18</v>
      </c>
      <c r="G1091" s="13"/>
      <c r="H1091" s="45" t="s">
        <v>16</v>
      </c>
      <c r="I1091" s="47"/>
      <c r="J1091" s="12" t="s">
        <v>2504</v>
      </c>
      <c r="K1091" s="13" t="s">
        <v>7861</v>
      </c>
      <c r="L1091" s="99" t="str">
        <f t="shared" si="95"/>
        <v>W123F.2</v>
      </c>
      <c r="M1091" s="13" t="s">
        <v>3667</v>
      </c>
      <c r="N1091" s="13"/>
      <c r="O1091" s="13"/>
      <c r="P1091" s="47"/>
      <c r="Q1091" s="45"/>
      <c r="R1091" s="45"/>
      <c r="S1091" s="48"/>
      <c r="T1091" s="49" t="str">
        <f t="shared" si="97"/>
        <v>[W123F.2]</v>
      </c>
      <c r="U1091" s="12" t="str">
        <f t="shared" si="98"/>
        <v xml:space="preserve"> 로우 스테이지#4 제품 배출 시간초과</v>
      </c>
      <c r="V1091" s="49" t="str">
        <f t="shared" si="96"/>
        <v>[W123F.2] 로우 스테이지#4 제품 배출 시간초과</v>
      </c>
    </row>
    <row r="1092" spans="1:22" s="49" customFormat="1" ht="14.15" customHeight="1">
      <c r="A1092" s="43" t="s">
        <v>3731</v>
      </c>
      <c r="B1092" s="44" t="s">
        <v>6637</v>
      </c>
      <c r="C1092" s="50"/>
      <c r="D1092" s="10" t="s">
        <v>29</v>
      </c>
      <c r="E1092" s="11"/>
      <c r="F1092" s="11" t="s">
        <v>18</v>
      </c>
      <c r="G1092" s="13"/>
      <c r="H1092" s="45" t="s">
        <v>16</v>
      </c>
      <c r="I1092" s="47"/>
      <c r="J1092" s="12" t="s">
        <v>2505</v>
      </c>
      <c r="K1092" s="13" t="s">
        <v>7862</v>
      </c>
      <c r="L1092" s="99" t="str">
        <f t="shared" si="95"/>
        <v>W123F.3</v>
      </c>
      <c r="M1092" s="13" t="s">
        <v>3667</v>
      </c>
      <c r="N1092" s="13"/>
      <c r="O1092" s="13"/>
      <c r="P1092" s="47"/>
      <c r="Q1092" s="45"/>
      <c r="R1092" s="45"/>
      <c r="S1092" s="48"/>
      <c r="T1092" s="49" t="str">
        <f t="shared" si="97"/>
        <v>[W123F.3]</v>
      </c>
      <c r="U1092" s="12" t="str">
        <f t="shared" si="98"/>
        <v xml:space="preserve"> 로우 스테이지#4 제품 수취 시퀀스 이상</v>
      </c>
      <c r="V1092" s="49" t="str">
        <f t="shared" si="96"/>
        <v>[W123F.3] 로우 스테이지#4 제품 수취 시퀀스 이상</v>
      </c>
    </row>
    <row r="1093" spans="1:22" s="49" customFormat="1" ht="14.15" customHeight="1">
      <c r="A1093" s="44"/>
      <c r="B1093" s="44" t="s">
        <v>6637</v>
      </c>
      <c r="C1093" s="50"/>
      <c r="D1093" s="10" t="s">
        <v>29</v>
      </c>
      <c r="E1093" s="11"/>
      <c r="F1093" s="11" t="s">
        <v>18</v>
      </c>
      <c r="G1093" s="13"/>
      <c r="H1093" s="45" t="s">
        <v>16</v>
      </c>
      <c r="I1093" s="47"/>
      <c r="J1093" s="12" t="s">
        <v>2506</v>
      </c>
      <c r="K1093" s="13" t="s">
        <v>7863</v>
      </c>
      <c r="L1093" s="99" t="str">
        <f t="shared" si="95"/>
        <v>W123F.4</v>
      </c>
      <c r="M1093" s="13"/>
      <c r="N1093" s="13"/>
      <c r="O1093" s="13"/>
      <c r="P1093" s="47"/>
      <c r="Q1093" s="45"/>
      <c r="R1093" s="45"/>
      <c r="S1093" s="48"/>
      <c r="T1093" s="49" t="str">
        <f t="shared" si="97"/>
        <v>[W123F.4]</v>
      </c>
      <c r="U1093" s="12" t="str">
        <f t="shared" si="98"/>
        <v xml:space="preserve"> </v>
      </c>
      <c r="V1093" s="49" t="str">
        <f t="shared" si="96"/>
        <v xml:space="preserve">[W123F.4] </v>
      </c>
    </row>
    <row r="1094" spans="1:22" s="49" customFormat="1" ht="14.15" customHeight="1">
      <c r="A1094" s="43" t="s">
        <v>3731</v>
      </c>
      <c r="B1094" s="44" t="s">
        <v>6637</v>
      </c>
      <c r="C1094" s="50"/>
      <c r="D1094" s="10" t="s">
        <v>29</v>
      </c>
      <c r="E1094" s="11"/>
      <c r="F1094" s="11" t="s">
        <v>18</v>
      </c>
      <c r="G1094" s="13"/>
      <c r="H1094" s="45" t="s">
        <v>16</v>
      </c>
      <c r="I1094" s="47"/>
      <c r="J1094" s="12" t="s">
        <v>2507</v>
      </c>
      <c r="K1094" s="13" t="s">
        <v>7864</v>
      </c>
      <c r="L1094" s="99" t="str">
        <f t="shared" si="95"/>
        <v>W123F.5</v>
      </c>
      <c r="M1094" s="13" t="s">
        <v>3667</v>
      </c>
      <c r="N1094" s="13"/>
      <c r="O1094" s="13"/>
      <c r="P1094" s="47"/>
      <c r="Q1094" s="45"/>
      <c r="R1094" s="45"/>
      <c r="S1094" s="48"/>
      <c r="T1094" s="49" t="str">
        <f t="shared" si="97"/>
        <v>[W123F.5]</v>
      </c>
      <c r="U1094" s="12" t="str">
        <f t="shared" si="98"/>
        <v xml:space="preserve"> 로우 스테이지#4 제품 베츨 시퀀스 이상</v>
      </c>
      <c r="V1094" s="49" t="str">
        <f t="shared" si="96"/>
        <v>[W123F.5] 로우 스테이지#4 제품 베츨 시퀀스 이상</v>
      </c>
    </row>
    <row r="1095" spans="1:22" s="49" customFormat="1" ht="14.15" customHeight="1">
      <c r="A1095" s="44"/>
      <c r="B1095" s="44" t="s">
        <v>6637</v>
      </c>
      <c r="C1095" s="50"/>
      <c r="D1095" s="10" t="s">
        <v>29</v>
      </c>
      <c r="E1095" s="11"/>
      <c r="F1095" s="11" t="s">
        <v>18</v>
      </c>
      <c r="G1095" s="13"/>
      <c r="H1095" s="45" t="s">
        <v>16</v>
      </c>
      <c r="I1095" s="47"/>
      <c r="J1095" s="12" t="s">
        <v>2508</v>
      </c>
      <c r="K1095" s="13" t="s">
        <v>7865</v>
      </c>
      <c r="L1095" s="99" t="str">
        <f t="shared" si="95"/>
        <v>W123F.6</v>
      </c>
      <c r="M1095" s="13"/>
      <c r="N1095" s="13"/>
      <c r="O1095" s="13"/>
      <c r="P1095" s="47"/>
      <c r="Q1095" s="45"/>
      <c r="R1095" s="45"/>
      <c r="S1095" s="48"/>
      <c r="T1095" s="49" t="str">
        <f t="shared" si="97"/>
        <v>[W123F.6]</v>
      </c>
      <c r="U1095" s="12" t="str">
        <f t="shared" si="98"/>
        <v xml:space="preserve"> </v>
      </c>
      <c r="V1095" s="49" t="str">
        <f t="shared" si="96"/>
        <v xml:space="preserve">[W123F.6] </v>
      </c>
    </row>
    <row r="1096" spans="1:22" s="49" customFormat="1" ht="14.15" customHeight="1">
      <c r="A1096" s="44"/>
      <c r="B1096" s="44" t="s">
        <v>6637</v>
      </c>
      <c r="C1096" s="50"/>
      <c r="D1096" s="10" t="s">
        <v>29</v>
      </c>
      <c r="E1096" s="11"/>
      <c r="F1096" s="11" t="s">
        <v>18</v>
      </c>
      <c r="G1096" s="13"/>
      <c r="H1096" s="45" t="s">
        <v>16</v>
      </c>
      <c r="I1096" s="47"/>
      <c r="J1096" s="12" t="s">
        <v>2509</v>
      </c>
      <c r="K1096" s="13" t="s">
        <v>7866</v>
      </c>
      <c r="L1096" s="99" t="str">
        <f t="shared" si="95"/>
        <v>W123F.7</v>
      </c>
      <c r="M1096" s="13"/>
      <c r="N1096" s="13"/>
      <c r="O1096" s="13"/>
      <c r="P1096" s="47"/>
      <c r="Q1096" s="45"/>
      <c r="R1096" s="45"/>
      <c r="S1096" s="48"/>
      <c r="T1096" s="49" t="str">
        <f t="shared" si="97"/>
        <v>[W123F.7]</v>
      </c>
      <c r="U1096" s="12" t="str">
        <f t="shared" si="98"/>
        <v xml:space="preserve"> </v>
      </c>
      <c r="V1096" s="49" t="str">
        <f t="shared" si="96"/>
        <v xml:space="preserve">[W123F.7] </v>
      </c>
    </row>
    <row r="1097" spans="1:22" s="49" customFormat="1" ht="14.15" customHeight="1">
      <c r="A1097" s="44"/>
      <c r="B1097" s="44" t="s">
        <v>6637</v>
      </c>
      <c r="C1097" s="50"/>
      <c r="D1097" s="10" t="s">
        <v>29</v>
      </c>
      <c r="E1097" s="11"/>
      <c r="F1097" s="11" t="s">
        <v>18</v>
      </c>
      <c r="G1097" s="13"/>
      <c r="H1097" s="45" t="s">
        <v>16</v>
      </c>
      <c r="I1097" s="47"/>
      <c r="J1097" s="12" t="s">
        <v>2510</v>
      </c>
      <c r="K1097" s="13" t="s">
        <v>7867</v>
      </c>
      <c r="L1097" s="99" t="str">
        <f t="shared" si="95"/>
        <v>W123F.8</v>
      </c>
      <c r="M1097" s="13"/>
      <c r="N1097" s="13"/>
      <c r="O1097" s="13"/>
      <c r="P1097" s="47"/>
      <c r="Q1097" s="45"/>
      <c r="R1097" s="45"/>
      <c r="S1097" s="48"/>
      <c r="T1097" s="49" t="str">
        <f t="shared" si="97"/>
        <v>[W123F.8]</v>
      </c>
      <c r="U1097" s="12" t="str">
        <f t="shared" si="98"/>
        <v xml:space="preserve"> </v>
      </c>
      <c r="V1097" s="49" t="str">
        <f t="shared" si="96"/>
        <v xml:space="preserve">[W123F.8] </v>
      </c>
    </row>
    <row r="1098" spans="1:22" s="49" customFormat="1" ht="14.15" customHeight="1">
      <c r="A1098" s="44"/>
      <c r="B1098" s="44" t="s">
        <v>6637</v>
      </c>
      <c r="C1098" s="50"/>
      <c r="D1098" s="10" t="s">
        <v>29</v>
      </c>
      <c r="E1098" s="11"/>
      <c r="F1098" s="11" t="s">
        <v>18</v>
      </c>
      <c r="G1098" s="13"/>
      <c r="H1098" s="45" t="s">
        <v>16</v>
      </c>
      <c r="I1098" s="47"/>
      <c r="J1098" s="12" t="s">
        <v>2511</v>
      </c>
      <c r="K1098" s="13" t="s">
        <v>7868</v>
      </c>
      <c r="L1098" s="99" t="str">
        <f t="shared" si="95"/>
        <v>W123F.9</v>
      </c>
      <c r="M1098" s="13"/>
      <c r="N1098" s="13"/>
      <c r="O1098" s="13"/>
      <c r="P1098" s="47"/>
      <c r="Q1098" s="45"/>
      <c r="R1098" s="45"/>
      <c r="S1098" s="48"/>
      <c r="T1098" s="49" t="str">
        <f t="shared" si="97"/>
        <v>[W123F.9]</v>
      </c>
      <c r="U1098" s="12" t="str">
        <f t="shared" si="98"/>
        <v xml:space="preserve"> </v>
      </c>
      <c r="V1098" s="49" t="str">
        <f t="shared" si="96"/>
        <v xml:space="preserve">[W123F.9] </v>
      </c>
    </row>
    <row r="1099" spans="1:22" s="49" customFormat="1" ht="14.15" customHeight="1">
      <c r="A1099" s="43" t="s">
        <v>3731</v>
      </c>
      <c r="B1099" s="44" t="s">
        <v>6637</v>
      </c>
      <c r="C1099" s="50"/>
      <c r="D1099" s="10" t="s">
        <v>29</v>
      </c>
      <c r="E1099" s="11"/>
      <c r="F1099" s="11" t="s">
        <v>18</v>
      </c>
      <c r="G1099" s="13"/>
      <c r="H1099" s="45" t="s">
        <v>16</v>
      </c>
      <c r="I1099" s="47"/>
      <c r="J1099" s="12" t="s">
        <v>2512</v>
      </c>
      <c r="K1099" s="13" t="s">
        <v>7869</v>
      </c>
      <c r="L1099" s="99" t="str">
        <f t="shared" si="95"/>
        <v>W123F.A</v>
      </c>
      <c r="M1099" s="13" t="s">
        <v>3667</v>
      </c>
      <c r="N1099" s="13"/>
      <c r="O1099" s="13"/>
      <c r="P1099" s="47"/>
      <c r="Q1099" s="45"/>
      <c r="R1099" s="45"/>
      <c r="S1099" s="48"/>
      <c r="T1099" s="49" t="str">
        <f t="shared" si="97"/>
        <v>[W123F.A]</v>
      </c>
      <c r="U1099" s="12" t="str">
        <f t="shared" si="98"/>
        <v xml:space="preserve"> 로우 스테이지#4 제품 데이터 불일치 이상 (X40D)</v>
      </c>
      <c r="V1099" s="49" t="str">
        <f t="shared" si="96"/>
        <v>[W123F.A] 로우 스테이지#4 제품 데이터 불일치 이상 (X40D)</v>
      </c>
    </row>
    <row r="1100" spans="1:22" s="49" customFormat="1" ht="14.15" customHeight="1">
      <c r="A1100" s="43" t="s">
        <v>3731</v>
      </c>
      <c r="B1100" s="44" t="s">
        <v>6637</v>
      </c>
      <c r="C1100" s="50"/>
      <c r="D1100" s="10" t="s">
        <v>29</v>
      </c>
      <c r="E1100" s="11"/>
      <c r="F1100" s="11" t="s">
        <v>18</v>
      </c>
      <c r="G1100" s="13"/>
      <c r="H1100" s="45" t="s">
        <v>16</v>
      </c>
      <c r="I1100" s="47"/>
      <c r="J1100" s="12" t="s">
        <v>2513</v>
      </c>
      <c r="K1100" s="13" t="s">
        <v>7870</v>
      </c>
      <c r="L1100" s="99" t="str">
        <f t="shared" si="95"/>
        <v>W123F.B</v>
      </c>
      <c r="M1100" s="13" t="s">
        <v>3667</v>
      </c>
      <c r="N1100" s="13"/>
      <c r="O1100" s="13"/>
      <c r="P1100" s="47"/>
      <c r="Q1100" s="45"/>
      <c r="R1100" s="45"/>
      <c r="S1100" s="48"/>
      <c r="T1100" s="49" t="str">
        <f t="shared" si="97"/>
        <v>[W123F.B]</v>
      </c>
      <c r="U1100" s="12" t="str">
        <f t="shared" si="98"/>
        <v xml:space="preserve"> 로우 셔틀#1 셔틀 상승 시간초과 (Y436, X3D3)</v>
      </c>
      <c r="V1100" s="49" t="str">
        <f t="shared" si="96"/>
        <v>[W123F.B] 로우 셔틀#1 셔틀 상승 시간초과 (Y436, X3D3)</v>
      </c>
    </row>
    <row r="1101" spans="1:22" s="49" customFormat="1" ht="14.15" customHeight="1">
      <c r="A1101" s="43" t="s">
        <v>3731</v>
      </c>
      <c r="B1101" s="44" t="s">
        <v>6637</v>
      </c>
      <c r="C1101" s="50"/>
      <c r="D1101" s="10" t="s">
        <v>29</v>
      </c>
      <c r="E1101" s="11"/>
      <c r="F1101" s="11" t="s">
        <v>18</v>
      </c>
      <c r="G1101" s="13"/>
      <c r="H1101" s="45" t="s">
        <v>16</v>
      </c>
      <c r="I1101" s="47"/>
      <c r="J1101" s="12" t="s">
        <v>2514</v>
      </c>
      <c r="K1101" s="13" t="s">
        <v>7871</v>
      </c>
      <c r="L1101" s="99" t="str">
        <f t="shared" si="95"/>
        <v>W123F.C</v>
      </c>
      <c r="M1101" s="13" t="s">
        <v>3667</v>
      </c>
      <c r="N1101" s="13"/>
      <c r="O1101" s="13"/>
      <c r="P1101" s="47"/>
      <c r="Q1101" s="45"/>
      <c r="R1101" s="45"/>
      <c r="S1101" s="48"/>
      <c r="T1101" s="49" t="str">
        <f t="shared" si="97"/>
        <v>[W123F.C]</v>
      </c>
      <c r="U1101" s="12" t="str">
        <f t="shared" si="98"/>
        <v xml:space="preserve"> 로우 셔틀#1 셔틀 하강 시간초과 (Y437, X3D1)</v>
      </c>
      <c r="V1101" s="49" t="str">
        <f t="shared" si="96"/>
        <v>[W123F.C] 로우 셔틀#1 셔틀 하강 시간초과 (Y437, X3D1)</v>
      </c>
    </row>
    <row r="1102" spans="1:22" s="49" customFormat="1" ht="14.15" customHeight="1">
      <c r="A1102" s="43" t="s">
        <v>3731</v>
      </c>
      <c r="B1102" s="44" t="s">
        <v>6637</v>
      </c>
      <c r="C1102" s="50"/>
      <c r="D1102" s="10" t="s">
        <v>29</v>
      </c>
      <c r="E1102" s="11"/>
      <c r="F1102" s="11" t="s">
        <v>18</v>
      </c>
      <c r="G1102" s="13"/>
      <c r="H1102" s="45" t="s">
        <v>16</v>
      </c>
      <c r="I1102" s="47"/>
      <c r="J1102" s="12" t="s">
        <v>2515</v>
      </c>
      <c r="K1102" s="13" t="s">
        <v>7872</v>
      </c>
      <c r="L1102" s="99" t="str">
        <f t="shared" si="95"/>
        <v>W123F.D</v>
      </c>
      <c r="M1102" s="13" t="s">
        <v>3667</v>
      </c>
      <c r="N1102" s="13"/>
      <c r="O1102" s="13"/>
      <c r="P1102" s="47"/>
      <c r="Q1102" s="45"/>
      <c r="R1102" s="45"/>
      <c r="S1102" s="48"/>
      <c r="T1102" s="49" t="str">
        <f t="shared" ref="T1102:T1133" si="99">"["&amp;L1102&amp;"]"</f>
        <v>[W123F.D]</v>
      </c>
      <c r="U1102" s="12" t="str">
        <f t="shared" ref="U1102:U1133" si="100">RIGHT(J1102,LEN(J1102)-7)</f>
        <v xml:space="preserve"> 로우 셔틀#1 셔틀 상승/하강 센서 이상 (X3D3, X3D1)</v>
      </c>
      <c r="V1102" s="49" t="str">
        <f t="shared" si="96"/>
        <v>[W123F.D] 로우 셔틀#1 셔틀 상승/하강 센서 이상 (X3D3, X3D1)</v>
      </c>
    </row>
    <row r="1103" spans="1:22" s="49" customFormat="1" ht="14.15" customHeight="1">
      <c r="A1103" s="43" t="s">
        <v>3731</v>
      </c>
      <c r="B1103" s="44" t="s">
        <v>6637</v>
      </c>
      <c r="C1103" s="50"/>
      <c r="D1103" s="10" t="s">
        <v>29</v>
      </c>
      <c r="E1103" s="11"/>
      <c r="F1103" s="11" t="s">
        <v>18</v>
      </c>
      <c r="G1103" s="13"/>
      <c r="H1103" s="45" t="s">
        <v>16</v>
      </c>
      <c r="I1103" s="47"/>
      <c r="J1103" s="12" t="s">
        <v>2516</v>
      </c>
      <c r="K1103" s="13" t="s">
        <v>7873</v>
      </c>
      <c r="L1103" s="99" t="str">
        <f t="shared" si="95"/>
        <v>W123F.E</v>
      </c>
      <c r="M1103" s="13" t="s">
        <v>3667</v>
      </c>
      <c r="N1103" s="13"/>
      <c r="O1103" s="13"/>
      <c r="P1103" s="47"/>
      <c r="Q1103" s="45"/>
      <c r="R1103" s="45"/>
      <c r="S1103" s="48"/>
      <c r="T1103" s="49" t="str">
        <f t="shared" si="99"/>
        <v>[W123F.E]</v>
      </c>
      <c r="U1103" s="12" t="str">
        <f t="shared" si="100"/>
        <v xml:space="preserve"> 로우 셔틀#1 &amp;셔틀#2 기동 지령 오류 이상</v>
      </c>
      <c r="V1103" s="49" t="str">
        <f t="shared" si="96"/>
        <v>[W123F.E] 로우 셔틀#1 &amp;셔틀#2 기동 지령 오류 이상</v>
      </c>
    </row>
    <row r="1104" spans="1:22" s="49" customFormat="1" ht="14.15" customHeight="1">
      <c r="A1104" s="43" t="s">
        <v>3731</v>
      </c>
      <c r="B1104" s="44" t="s">
        <v>6637</v>
      </c>
      <c r="C1104" s="50"/>
      <c r="D1104" s="10" t="s">
        <v>29</v>
      </c>
      <c r="E1104" s="11"/>
      <c r="F1104" s="11" t="s">
        <v>18</v>
      </c>
      <c r="G1104" s="13"/>
      <c r="H1104" s="45" t="s">
        <v>16</v>
      </c>
      <c r="I1104" s="47"/>
      <c r="J1104" s="12" t="s">
        <v>2517</v>
      </c>
      <c r="K1104" s="13" t="s">
        <v>7874</v>
      </c>
      <c r="L1104" s="99" t="str">
        <f t="shared" si="95"/>
        <v>W123F.F</v>
      </c>
      <c r="M1104" s="13" t="s">
        <v>3667</v>
      </c>
      <c r="N1104" s="13"/>
      <c r="O1104" s="13"/>
      <c r="P1104" s="47"/>
      <c r="Q1104" s="45"/>
      <c r="R1104" s="45"/>
      <c r="S1104" s="48"/>
      <c r="T1104" s="49" t="str">
        <f t="shared" si="99"/>
        <v>[W123F.F]</v>
      </c>
      <c r="U1104" s="12" t="str">
        <f t="shared" si="100"/>
        <v xml:space="preserve"> 로우 셔틀#1 &amp;셔틀#2 구동 방향 오류 이상</v>
      </c>
      <c r="V1104" s="49" t="str">
        <f t="shared" si="96"/>
        <v>[W123F.F] 로우 셔틀#1 &amp;셔틀#2 구동 방향 오류 이상</v>
      </c>
    </row>
    <row r="1105" spans="1:22" s="49" customFormat="1" ht="14.15" customHeight="1">
      <c r="A1105" s="43" t="s">
        <v>3731</v>
      </c>
      <c r="B1105" s="44" t="s">
        <v>6637</v>
      </c>
      <c r="C1105" s="50"/>
      <c r="D1105" s="10" t="s">
        <v>29</v>
      </c>
      <c r="E1105" s="11"/>
      <c r="F1105" s="11" t="s">
        <v>18</v>
      </c>
      <c r="G1105" s="13"/>
      <c r="H1105" s="45" t="s">
        <v>16</v>
      </c>
      <c r="I1105" s="47"/>
      <c r="J1105" s="12" t="s">
        <v>2518</v>
      </c>
      <c r="K1105" s="13" t="s">
        <v>7875</v>
      </c>
      <c r="L1105" s="99" t="str">
        <f t="shared" si="95"/>
        <v>W1240.0</v>
      </c>
      <c r="M1105" s="13" t="s">
        <v>3667</v>
      </c>
      <c r="N1105" s="13"/>
      <c r="O1105" s="13"/>
      <c r="P1105" s="47"/>
      <c r="Q1105" s="45"/>
      <c r="R1105" s="45"/>
      <c r="S1105" s="48"/>
      <c r="T1105" s="49" t="str">
        <f t="shared" si="99"/>
        <v>[W1240.0]</v>
      </c>
      <c r="U1105" s="12" t="str">
        <f t="shared" si="100"/>
        <v xml:space="preserve"> 로우 셔틀#1 &amp;셔틀#2 간격 이상</v>
      </c>
      <c r="V1105" s="49" t="str">
        <f t="shared" si="96"/>
        <v>[W1240.0] 로우 셔틀#1 &amp;셔틀#2 간격 이상</v>
      </c>
    </row>
    <row r="1106" spans="1:22" s="49" customFormat="1" ht="14.15" customHeight="1">
      <c r="A1106" s="44"/>
      <c r="B1106" s="44" t="s">
        <v>6637</v>
      </c>
      <c r="C1106" s="50"/>
      <c r="D1106" s="10" t="s">
        <v>29</v>
      </c>
      <c r="E1106" s="11"/>
      <c r="F1106" s="11" t="s">
        <v>18</v>
      </c>
      <c r="G1106" s="13"/>
      <c r="H1106" s="45" t="s">
        <v>16</v>
      </c>
      <c r="I1106" s="47"/>
      <c r="J1106" s="12" t="s">
        <v>914</v>
      </c>
      <c r="K1106" s="13" t="s">
        <v>7876</v>
      </c>
      <c r="L1106" s="99" t="str">
        <f t="shared" ref="L1106:L1169" si="101">"W"&amp;DEC2HEX(4608 + INT((ROW()-81)/16)) &amp; "." &amp; IF(MOD(ROW()-81,16)&lt;10,MOD(ROW()-81,16),CHAR(MOD(ROW()-81,16)+55))</f>
        <v>W1240.1</v>
      </c>
      <c r="M1106" s="13"/>
      <c r="N1106" s="13"/>
      <c r="O1106" s="13"/>
      <c r="P1106" s="47"/>
      <c r="Q1106" s="45"/>
      <c r="R1106" s="45"/>
      <c r="S1106" s="48"/>
      <c r="T1106" s="49" t="str">
        <f t="shared" si="99"/>
        <v>[W1240.1]</v>
      </c>
      <c r="U1106" s="12" t="str">
        <f t="shared" si="100"/>
        <v xml:space="preserve"> </v>
      </c>
      <c r="V1106" s="49" t="str">
        <f t="shared" ref="V1106:V1168" si="102">T1106&amp;U1106</f>
        <v xml:space="preserve">[W1240.1] </v>
      </c>
    </row>
    <row r="1107" spans="1:22" s="49" customFormat="1" ht="14.15" customHeight="1">
      <c r="A1107" s="44"/>
      <c r="B1107" s="44" t="s">
        <v>6637</v>
      </c>
      <c r="C1107" s="50"/>
      <c r="D1107" s="10" t="s">
        <v>29</v>
      </c>
      <c r="E1107" s="11"/>
      <c r="F1107" s="11" t="s">
        <v>18</v>
      </c>
      <c r="G1107" s="13"/>
      <c r="H1107" s="45" t="s">
        <v>16</v>
      </c>
      <c r="I1107" s="47"/>
      <c r="J1107" s="12" t="s">
        <v>915</v>
      </c>
      <c r="K1107" s="13" t="s">
        <v>7877</v>
      </c>
      <c r="L1107" s="99" t="str">
        <f t="shared" si="101"/>
        <v>W1240.2</v>
      </c>
      <c r="M1107" s="13"/>
      <c r="N1107" s="13"/>
      <c r="O1107" s="13"/>
      <c r="P1107" s="47"/>
      <c r="Q1107" s="45"/>
      <c r="R1107" s="45"/>
      <c r="S1107" s="48"/>
      <c r="T1107" s="49" t="str">
        <f t="shared" si="99"/>
        <v>[W1240.2]</v>
      </c>
      <c r="U1107" s="12" t="str">
        <f t="shared" si="100"/>
        <v xml:space="preserve"> </v>
      </c>
      <c r="V1107" s="49" t="str">
        <f t="shared" si="102"/>
        <v xml:space="preserve">[W1240.2] </v>
      </c>
    </row>
    <row r="1108" spans="1:22" s="49" customFormat="1" ht="14.15" customHeight="1">
      <c r="A1108" s="44"/>
      <c r="B1108" s="44" t="s">
        <v>6637</v>
      </c>
      <c r="C1108" s="50"/>
      <c r="D1108" s="10" t="s">
        <v>29</v>
      </c>
      <c r="E1108" s="11"/>
      <c r="F1108" s="11" t="s">
        <v>18</v>
      </c>
      <c r="G1108" s="13"/>
      <c r="H1108" s="45" t="s">
        <v>16</v>
      </c>
      <c r="I1108" s="47"/>
      <c r="J1108" s="12" t="s">
        <v>916</v>
      </c>
      <c r="K1108" s="13" t="s">
        <v>7878</v>
      </c>
      <c r="L1108" s="99" t="str">
        <f t="shared" si="101"/>
        <v>W1240.3</v>
      </c>
      <c r="M1108" s="13"/>
      <c r="N1108" s="13"/>
      <c r="O1108" s="13"/>
      <c r="P1108" s="47"/>
      <c r="Q1108" s="45"/>
      <c r="R1108" s="45"/>
      <c r="S1108" s="48"/>
      <c r="T1108" s="49" t="str">
        <f t="shared" si="99"/>
        <v>[W1240.3]</v>
      </c>
      <c r="U1108" s="12" t="str">
        <f t="shared" si="100"/>
        <v xml:space="preserve"> </v>
      </c>
      <c r="V1108" s="49" t="str">
        <f t="shared" si="102"/>
        <v xml:space="preserve">[W1240.3] </v>
      </c>
    </row>
    <row r="1109" spans="1:22" s="49" customFormat="1" ht="14.15" customHeight="1">
      <c r="A1109" s="44"/>
      <c r="B1109" s="44" t="s">
        <v>6637</v>
      </c>
      <c r="C1109" s="50"/>
      <c r="D1109" s="10" t="s">
        <v>29</v>
      </c>
      <c r="E1109" s="11"/>
      <c r="F1109" s="11" t="s">
        <v>18</v>
      </c>
      <c r="G1109" s="13"/>
      <c r="H1109" s="45" t="s">
        <v>16</v>
      </c>
      <c r="I1109" s="47"/>
      <c r="J1109" s="12" t="s">
        <v>917</v>
      </c>
      <c r="K1109" s="13" t="s">
        <v>7879</v>
      </c>
      <c r="L1109" s="99" t="str">
        <f t="shared" si="101"/>
        <v>W1240.4</v>
      </c>
      <c r="M1109" s="13"/>
      <c r="N1109" s="13"/>
      <c r="O1109" s="13"/>
      <c r="P1109" s="47"/>
      <c r="Q1109" s="45"/>
      <c r="R1109" s="45"/>
      <c r="S1109" s="48"/>
      <c r="T1109" s="49" t="str">
        <f t="shared" si="99"/>
        <v>[W1240.4]</v>
      </c>
      <c r="U1109" s="12" t="str">
        <f t="shared" si="100"/>
        <v xml:space="preserve"> </v>
      </c>
      <c r="V1109" s="49" t="str">
        <f t="shared" si="102"/>
        <v xml:space="preserve">[W1240.4] </v>
      </c>
    </row>
    <row r="1110" spans="1:22" s="49" customFormat="1" ht="14.15" customHeight="1">
      <c r="A1110" s="43" t="s">
        <v>3731</v>
      </c>
      <c r="B1110" s="44" t="s">
        <v>6637</v>
      </c>
      <c r="C1110" s="50"/>
      <c r="D1110" s="10" t="s">
        <v>29</v>
      </c>
      <c r="E1110" s="11"/>
      <c r="F1110" s="11" t="s">
        <v>18</v>
      </c>
      <c r="G1110" s="13"/>
      <c r="H1110" s="45" t="s">
        <v>16</v>
      </c>
      <c r="I1110" s="47"/>
      <c r="J1110" s="12" t="s">
        <v>2519</v>
      </c>
      <c r="K1110" s="13" t="s">
        <v>7880</v>
      </c>
      <c r="L1110" s="99" t="str">
        <f t="shared" si="101"/>
        <v>W1240.5</v>
      </c>
      <c r="M1110" s="13" t="s">
        <v>3667</v>
      </c>
      <c r="N1110" s="13"/>
      <c r="O1110" s="13"/>
      <c r="P1110" s="47"/>
      <c r="Q1110" s="45"/>
      <c r="R1110" s="45"/>
      <c r="S1110" s="48"/>
      <c r="T1110" s="49" t="str">
        <f t="shared" si="99"/>
        <v>[W1240.5]</v>
      </c>
      <c r="U1110" s="12" t="str">
        <f t="shared" si="100"/>
        <v xml:space="preserve"> 로우 셔틀#1 제품 수취 시간초과</v>
      </c>
      <c r="V1110" s="49" t="str">
        <f t="shared" si="102"/>
        <v>[W1240.5] 로우 셔틀#1 제품 수취 시간초과</v>
      </c>
    </row>
    <row r="1111" spans="1:22" s="49" customFormat="1" ht="14.15" customHeight="1">
      <c r="A1111" s="43" t="s">
        <v>3731</v>
      </c>
      <c r="B1111" s="44" t="s">
        <v>6637</v>
      </c>
      <c r="C1111" s="50"/>
      <c r="D1111" s="10" t="s">
        <v>29</v>
      </c>
      <c r="E1111" s="11"/>
      <c r="F1111" s="11" t="s">
        <v>18</v>
      </c>
      <c r="G1111" s="13"/>
      <c r="H1111" s="45" t="s">
        <v>16</v>
      </c>
      <c r="I1111" s="47"/>
      <c r="J1111" s="12" t="s">
        <v>2520</v>
      </c>
      <c r="K1111" s="13" t="s">
        <v>7881</v>
      </c>
      <c r="L1111" s="99" t="str">
        <f t="shared" si="101"/>
        <v>W1240.6</v>
      </c>
      <c r="M1111" s="13" t="s">
        <v>3667</v>
      </c>
      <c r="N1111" s="13"/>
      <c r="O1111" s="13"/>
      <c r="P1111" s="47"/>
      <c r="Q1111" s="45"/>
      <c r="R1111" s="45"/>
      <c r="S1111" s="48"/>
      <c r="T1111" s="49" t="str">
        <f t="shared" si="99"/>
        <v>[W1240.6]</v>
      </c>
      <c r="U1111" s="12" t="str">
        <f t="shared" si="100"/>
        <v xml:space="preserve"> 로우 셔틀#1 제품 배출 시간초과</v>
      </c>
      <c r="V1111" s="49" t="str">
        <f t="shared" si="102"/>
        <v>[W1240.6] 로우 셔틀#1 제품 배출 시간초과</v>
      </c>
    </row>
    <row r="1112" spans="1:22" s="49" customFormat="1" ht="14.15" customHeight="1">
      <c r="A1112" s="43" t="s">
        <v>3731</v>
      </c>
      <c r="B1112" s="44" t="s">
        <v>6637</v>
      </c>
      <c r="C1112" s="50"/>
      <c r="D1112" s="10" t="s">
        <v>29</v>
      </c>
      <c r="E1112" s="11"/>
      <c r="F1112" s="11" t="s">
        <v>18</v>
      </c>
      <c r="G1112" s="13"/>
      <c r="H1112" s="45" t="s">
        <v>16</v>
      </c>
      <c r="I1112" s="47"/>
      <c r="J1112" s="12" t="s">
        <v>2521</v>
      </c>
      <c r="K1112" s="13" t="s">
        <v>7882</v>
      </c>
      <c r="L1112" s="99" t="str">
        <f t="shared" si="101"/>
        <v>W1240.7</v>
      </c>
      <c r="M1112" s="13" t="s">
        <v>3667</v>
      </c>
      <c r="N1112" s="13"/>
      <c r="O1112" s="13"/>
      <c r="P1112" s="47"/>
      <c r="Q1112" s="45"/>
      <c r="R1112" s="45"/>
      <c r="S1112" s="48"/>
      <c r="T1112" s="49" t="str">
        <f t="shared" si="99"/>
        <v>[W1240.7]</v>
      </c>
      <c r="U1112" s="12" t="str">
        <f t="shared" si="100"/>
        <v xml:space="preserve"> 로우 셔틀#1 제품 수취 시퀀스 이상</v>
      </c>
      <c r="V1112" s="49" t="str">
        <f t="shared" si="102"/>
        <v>[W1240.7] 로우 셔틀#1 제품 수취 시퀀스 이상</v>
      </c>
    </row>
    <row r="1113" spans="1:22" s="49" customFormat="1" ht="14.15" customHeight="1">
      <c r="A1113" s="44"/>
      <c r="B1113" s="44" t="s">
        <v>6637</v>
      </c>
      <c r="C1113" s="50"/>
      <c r="D1113" s="10" t="s">
        <v>29</v>
      </c>
      <c r="E1113" s="11"/>
      <c r="F1113" s="11" t="s">
        <v>18</v>
      </c>
      <c r="G1113" s="13"/>
      <c r="H1113" s="45" t="s">
        <v>16</v>
      </c>
      <c r="I1113" s="47"/>
      <c r="J1113" s="12" t="s">
        <v>2522</v>
      </c>
      <c r="K1113" s="13" t="s">
        <v>7883</v>
      </c>
      <c r="L1113" s="99" t="str">
        <f t="shared" si="101"/>
        <v>W1240.8</v>
      </c>
      <c r="M1113" s="13"/>
      <c r="N1113" s="13"/>
      <c r="O1113" s="13"/>
      <c r="P1113" s="47"/>
      <c r="Q1113" s="45"/>
      <c r="R1113" s="45"/>
      <c r="S1113" s="48"/>
      <c r="T1113" s="49" t="str">
        <f t="shared" si="99"/>
        <v>[W1240.8]</v>
      </c>
      <c r="U1113" s="12" t="str">
        <f t="shared" si="100"/>
        <v xml:space="preserve"> </v>
      </c>
      <c r="V1113" s="49" t="str">
        <f t="shared" si="102"/>
        <v xml:space="preserve">[W1240.8] </v>
      </c>
    </row>
    <row r="1114" spans="1:22" s="49" customFormat="1" ht="14.15" customHeight="1">
      <c r="A1114" s="43" t="s">
        <v>3731</v>
      </c>
      <c r="B1114" s="44" t="s">
        <v>6637</v>
      </c>
      <c r="C1114" s="50"/>
      <c r="D1114" s="10" t="s">
        <v>29</v>
      </c>
      <c r="E1114" s="11"/>
      <c r="F1114" s="11" t="s">
        <v>18</v>
      </c>
      <c r="G1114" s="13"/>
      <c r="H1114" s="45" t="s">
        <v>16</v>
      </c>
      <c r="I1114" s="47"/>
      <c r="J1114" s="12" t="s">
        <v>2523</v>
      </c>
      <c r="K1114" s="13" t="s">
        <v>7884</v>
      </c>
      <c r="L1114" s="99" t="str">
        <f t="shared" si="101"/>
        <v>W1240.9</v>
      </c>
      <c r="M1114" s="13" t="s">
        <v>3667</v>
      </c>
      <c r="N1114" s="13"/>
      <c r="O1114" s="13"/>
      <c r="P1114" s="47"/>
      <c r="Q1114" s="45"/>
      <c r="R1114" s="45"/>
      <c r="S1114" s="48"/>
      <c r="T1114" s="49" t="str">
        <f t="shared" si="99"/>
        <v>[W1240.9]</v>
      </c>
      <c r="U1114" s="12" t="str">
        <f t="shared" si="100"/>
        <v xml:space="preserve"> 로우 셔틀#1 제품 베츨 시퀀스 이상</v>
      </c>
      <c r="V1114" s="49" t="str">
        <f t="shared" si="102"/>
        <v>[W1240.9] 로우 셔틀#1 제품 베츨 시퀀스 이상</v>
      </c>
    </row>
    <row r="1115" spans="1:22" s="49" customFormat="1" ht="14.15" customHeight="1">
      <c r="A1115" s="44"/>
      <c r="B1115" s="44" t="s">
        <v>6637</v>
      </c>
      <c r="C1115" s="50"/>
      <c r="D1115" s="10" t="s">
        <v>29</v>
      </c>
      <c r="E1115" s="11"/>
      <c r="F1115" s="11" t="s">
        <v>18</v>
      </c>
      <c r="G1115" s="13"/>
      <c r="H1115" s="45" t="s">
        <v>16</v>
      </c>
      <c r="I1115" s="47"/>
      <c r="J1115" s="12" t="s">
        <v>918</v>
      </c>
      <c r="K1115" s="13" t="s">
        <v>7885</v>
      </c>
      <c r="L1115" s="99" t="str">
        <f t="shared" si="101"/>
        <v>W1240.A</v>
      </c>
      <c r="M1115" s="13"/>
      <c r="N1115" s="13"/>
      <c r="O1115" s="13"/>
      <c r="P1115" s="47"/>
      <c r="Q1115" s="45"/>
      <c r="R1115" s="45"/>
      <c r="S1115" s="48"/>
      <c r="T1115" s="49" t="str">
        <f t="shared" si="99"/>
        <v>[W1240.A]</v>
      </c>
      <c r="U1115" s="12" t="str">
        <f t="shared" si="100"/>
        <v xml:space="preserve"> </v>
      </c>
      <c r="V1115" s="49" t="str">
        <f t="shared" si="102"/>
        <v xml:space="preserve">[W1240.A] </v>
      </c>
    </row>
    <row r="1116" spans="1:22" s="49" customFormat="1" ht="14.15" customHeight="1">
      <c r="A1116" s="44"/>
      <c r="B1116" s="44" t="s">
        <v>6637</v>
      </c>
      <c r="C1116" s="50"/>
      <c r="D1116" s="10" t="s">
        <v>29</v>
      </c>
      <c r="E1116" s="11"/>
      <c r="F1116" s="11" t="s">
        <v>18</v>
      </c>
      <c r="G1116" s="13"/>
      <c r="H1116" s="45" t="s">
        <v>16</v>
      </c>
      <c r="I1116" s="47"/>
      <c r="J1116" s="12" t="s">
        <v>2524</v>
      </c>
      <c r="K1116" s="13" t="s">
        <v>7886</v>
      </c>
      <c r="L1116" s="99" t="str">
        <f t="shared" si="101"/>
        <v>W1240.B</v>
      </c>
      <c r="M1116" s="13"/>
      <c r="N1116" s="13"/>
      <c r="O1116" s="13"/>
      <c r="P1116" s="47"/>
      <c r="Q1116" s="45"/>
      <c r="R1116" s="45"/>
      <c r="S1116" s="48"/>
      <c r="T1116" s="49" t="str">
        <f t="shared" si="99"/>
        <v>[W1240.B]</v>
      </c>
      <c r="U1116" s="12" t="str">
        <f t="shared" si="100"/>
        <v xml:space="preserve"> </v>
      </c>
      <c r="V1116" s="49" t="str">
        <f t="shared" si="102"/>
        <v xml:space="preserve">[W1240.B] </v>
      </c>
    </row>
    <row r="1117" spans="1:22" s="49" customFormat="1" ht="14.15" customHeight="1">
      <c r="A1117" s="44"/>
      <c r="B1117" s="44" t="s">
        <v>6637</v>
      </c>
      <c r="C1117" s="50"/>
      <c r="D1117" s="10" t="s">
        <v>29</v>
      </c>
      <c r="E1117" s="11"/>
      <c r="F1117" s="11" t="s">
        <v>18</v>
      </c>
      <c r="G1117" s="13"/>
      <c r="H1117" s="45" t="s">
        <v>16</v>
      </c>
      <c r="I1117" s="47"/>
      <c r="J1117" s="12" t="s">
        <v>2525</v>
      </c>
      <c r="K1117" s="13" t="s">
        <v>7887</v>
      </c>
      <c r="L1117" s="99" t="str">
        <f t="shared" si="101"/>
        <v>W1240.C</v>
      </c>
      <c r="M1117" s="13"/>
      <c r="N1117" s="13"/>
      <c r="O1117" s="13"/>
      <c r="P1117" s="47"/>
      <c r="Q1117" s="45"/>
      <c r="R1117" s="45"/>
      <c r="S1117" s="48"/>
      <c r="T1117" s="49" t="str">
        <f t="shared" si="99"/>
        <v>[W1240.C]</v>
      </c>
      <c r="U1117" s="12" t="str">
        <f t="shared" si="100"/>
        <v xml:space="preserve"> </v>
      </c>
      <c r="V1117" s="49" t="str">
        <f t="shared" si="102"/>
        <v xml:space="preserve">[W1240.C] </v>
      </c>
    </row>
    <row r="1118" spans="1:22" s="49" customFormat="1" ht="14.15" customHeight="1">
      <c r="A1118" s="44"/>
      <c r="B1118" s="44" t="s">
        <v>6637</v>
      </c>
      <c r="C1118" s="50"/>
      <c r="D1118" s="10" t="s">
        <v>29</v>
      </c>
      <c r="E1118" s="11"/>
      <c r="F1118" s="11" t="s">
        <v>18</v>
      </c>
      <c r="G1118" s="13"/>
      <c r="H1118" s="45" t="s">
        <v>16</v>
      </c>
      <c r="I1118" s="47"/>
      <c r="J1118" s="12" t="s">
        <v>2526</v>
      </c>
      <c r="K1118" s="13" t="s">
        <v>7888</v>
      </c>
      <c r="L1118" s="99" t="str">
        <f t="shared" si="101"/>
        <v>W1240.D</v>
      </c>
      <c r="M1118" s="13"/>
      <c r="N1118" s="13"/>
      <c r="O1118" s="13"/>
      <c r="P1118" s="47"/>
      <c r="Q1118" s="45"/>
      <c r="R1118" s="45"/>
      <c r="S1118" s="48"/>
      <c r="T1118" s="49" t="str">
        <f t="shared" si="99"/>
        <v>[W1240.D]</v>
      </c>
      <c r="U1118" s="12" t="str">
        <f t="shared" si="100"/>
        <v xml:space="preserve"> </v>
      </c>
      <c r="V1118" s="49" t="str">
        <f t="shared" si="102"/>
        <v xml:space="preserve">[W1240.D] </v>
      </c>
    </row>
    <row r="1119" spans="1:22" s="49" customFormat="1" ht="14.15" customHeight="1">
      <c r="A1119" s="43" t="s">
        <v>3731</v>
      </c>
      <c r="B1119" s="44" t="s">
        <v>6637</v>
      </c>
      <c r="C1119" s="50"/>
      <c r="D1119" s="10" t="s">
        <v>29</v>
      </c>
      <c r="E1119" s="11"/>
      <c r="F1119" s="11" t="s">
        <v>18</v>
      </c>
      <c r="G1119" s="13"/>
      <c r="H1119" s="45" t="s">
        <v>16</v>
      </c>
      <c r="I1119" s="47"/>
      <c r="J1119" s="12" t="s">
        <v>2527</v>
      </c>
      <c r="K1119" s="13" t="s">
        <v>7889</v>
      </c>
      <c r="L1119" s="99" t="str">
        <f t="shared" si="101"/>
        <v>W1240.E</v>
      </c>
      <c r="M1119" s="13" t="s">
        <v>3667</v>
      </c>
      <c r="N1119" s="13"/>
      <c r="O1119" s="13"/>
      <c r="P1119" s="47"/>
      <c r="Q1119" s="45"/>
      <c r="R1119" s="45"/>
      <c r="S1119" s="48"/>
      <c r="T1119" s="49" t="str">
        <f t="shared" si="99"/>
        <v>[W1240.E]</v>
      </c>
      <c r="U1119" s="12" t="str">
        <f t="shared" si="100"/>
        <v xml:space="preserve"> 로우 셔틀#1 제품 데이터 불일치 이상 (X3D0)</v>
      </c>
      <c r="V1119" s="49" t="str">
        <f t="shared" si="102"/>
        <v>[W1240.E] 로우 셔틀#1 제품 데이터 불일치 이상 (X3D0)</v>
      </c>
    </row>
    <row r="1120" spans="1:22" s="49" customFormat="1" ht="14.15" customHeight="1">
      <c r="A1120" s="43" t="s">
        <v>3731</v>
      </c>
      <c r="B1120" s="44" t="s">
        <v>6637</v>
      </c>
      <c r="C1120" s="50"/>
      <c r="D1120" s="10" t="s">
        <v>29</v>
      </c>
      <c r="E1120" s="11"/>
      <c r="F1120" s="11" t="s">
        <v>18</v>
      </c>
      <c r="G1120" s="13"/>
      <c r="H1120" s="45" t="s">
        <v>16</v>
      </c>
      <c r="I1120" s="47"/>
      <c r="J1120" s="12" t="s">
        <v>2528</v>
      </c>
      <c r="K1120" s="13" t="s">
        <v>7890</v>
      </c>
      <c r="L1120" s="99" t="str">
        <f t="shared" si="101"/>
        <v>W1240.F</v>
      </c>
      <c r="M1120" s="13" t="s">
        <v>3667</v>
      </c>
      <c r="N1120" s="13"/>
      <c r="O1120" s="13"/>
      <c r="P1120" s="47"/>
      <c r="Q1120" s="45"/>
      <c r="R1120" s="45"/>
      <c r="S1120" s="48"/>
      <c r="T1120" s="49" t="str">
        <f t="shared" si="99"/>
        <v>[W1240.F]</v>
      </c>
      <c r="U1120" s="12" t="str">
        <f t="shared" si="100"/>
        <v xml:space="preserve"> 로우 셔틀#2 셔틀 상승 시간초과 (Y438, X3D7)</v>
      </c>
      <c r="V1120" s="49" t="str">
        <f t="shared" si="102"/>
        <v>[W1240.F] 로우 셔틀#2 셔틀 상승 시간초과 (Y438, X3D7)</v>
      </c>
    </row>
    <row r="1121" spans="1:22" s="49" customFormat="1" ht="14.15" customHeight="1">
      <c r="A1121" s="43" t="s">
        <v>3731</v>
      </c>
      <c r="B1121" s="44" t="s">
        <v>6637</v>
      </c>
      <c r="C1121" s="50"/>
      <c r="D1121" s="10" t="s">
        <v>29</v>
      </c>
      <c r="E1121" s="11"/>
      <c r="F1121" s="11" t="s">
        <v>18</v>
      </c>
      <c r="G1121" s="13"/>
      <c r="H1121" s="45" t="s">
        <v>16</v>
      </c>
      <c r="I1121" s="47"/>
      <c r="J1121" s="12" t="s">
        <v>2529</v>
      </c>
      <c r="K1121" s="13" t="s">
        <v>7891</v>
      </c>
      <c r="L1121" s="99" t="str">
        <f t="shared" si="101"/>
        <v>W1241.0</v>
      </c>
      <c r="M1121" s="13" t="s">
        <v>3667</v>
      </c>
      <c r="N1121" s="13"/>
      <c r="O1121" s="13"/>
      <c r="P1121" s="47"/>
      <c r="Q1121" s="45"/>
      <c r="R1121" s="45"/>
      <c r="S1121" s="48"/>
      <c r="T1121" s="49" t="str">
        <f t="shared" si="99"/>
        <v>[W1241.0]</v>
      </c>
      <c r="U1121" s="12" t="str">
        <f t="shared" si="100"/>
        <v xml:space="preserve"> 로우 셔틀#2 셔틀 하강 시간초과 (Y439, X3D5)</v>
      </c>
      <c r="V1121" s="49" t="str">
        <f t="shared" si="102"/>
        <v>[W1241.0] 로우 셔틀#2 셔틀 하강 시간초과 (Y439, X3D5)</v>
      </c>
    </row>
    <row r="1122" spans="1:22" s="49" customFormat="1" ht="14.15" customHeight="1">
      <c r="A1122" s="43" t="s">
        <v>3731</v>
      </c>
      <c r="B1122" s="44" t="s">
        <v>6637</v>
      </c>
      <c r="C1122" s="50"/>
      <c r="D1122" s="10" t="s">
        <v>29</v>
      </c>
      <c r="E1122" s="11"/>
      <c r="F1122" s="11" t="s">
        <v>18</v>
      </c>
      <c r="G1122" s="13"/>
      <c r="H1122" s="45" t="s">
        <v>16</v>
      </c>
      <c r="I1122" s="47"/>
      <c r="J1122" s="12" t="s">
        <v>2530</v>
      </c>
      <c r="K1122" s="13" t="s">
        <v>7892</v>
      </c>
      <c r="L1122" s="99" t="str">
        <f t="shared" si="101"/>
        <v>W1241.1</v>
      </c>
      <c r="M1122" s="13" t="s">
        <v>3667</v>
      </c>
      <c r="N1122" s="13"/>
      <c r="O1122" s="13"/>
      <c r="P1122" s="47"/>
      <c r="Q1122" s="45"/>
      <c r="R1122" s="45"/>
      <c r="S1122" s="48"/>
      <c r="T1122" s="49" t="str">
        <f t="shared" si="99"/>
        <v>[W1241.1]</v>
      </c>
      <c r="U1122" s="12" t="str">
        <f t="shared" si="100"/>
        <v xml:space="preserve"> 로우 셔틀#2 셔틀 상승/하강 센서 이상 (X3D7, X3D5)</v>
      </c>
      <c r="V1122" s="49" t="str">
        <f t="shared" si="102"/>
        <v>[W1241.1] 로우 셔틀#2 셔틀 상승/하강 센서 이상 (X3D7, X3D5)</v>
      </c>
    </row>
    <row r="1123" spans="1:22" s="49" customFormat="1" ht="14.15" customHeight="1">
      <c r="A1123" s="43" t="s">
        <v>3731</v>
      </c>
      <c r="B1123" s="44" t="s">
        <v>6637</v>
      </c>
      <c r="C1123" s="50"/>
      <c r="D1123" s="10" t="s">
        <v>29</v>
      </c>
      <c r="E1123" s="11"/>
      <c r="F1123" s="11" t="s">
        <v>18</v>
      </c>
      <c r="G1123" s="13"/>
      <c r="H1123" s="45" t="s">
        <v>16</v>
      </c>
      <c r="I1123" s="47"/>
      <c r="J1123" s="12" t="s">
        <v>2531</v>
      </c>
      <c r="K1123" s="13" t="s">
        <v>7893</v>
      </c>
      <c r="L1123" s="99" t="str">
        <f t="shared" si="101"/>
        <v>W1241.2</v>
      </c>
      <c r="M1123" s="13" t="s">
        <v>3667</v>
      </c>
      <c r="N1123" s="13"/>
      <c r="O1123" s="13"/>
      <c r="P1123" s="47"/>
      <c r="Q1123" s="45"/>
      <c r="R1123" s="45"/>
      <c r="S1123" s="48"/>
      <c r="T1123" s="49" t="str">
        <f t="shared" si="99"/>
        <v>[W1241.2]</v>
      </c>
      <c r="U1123" s="12" t="str">
        <f t="shared" si="100"/>
        <v xml:space="preserve"> 로우 셔틀#2 &amp;셔틀#1 기동 지령 오류 이상</v>
      </c>
      <c r="V1123" s="49" t="str">
        <f t="shared" si="102"/>
        <v>[W1241.2] 로우 셔틀#2 &amp;셔틀#1 기동 지령 오류 이상</v>
      </c>
    </row>
    <row r="1124" spans="1:22" s="49" customFormat="1" ht="14.15" customHeight="1">
      <c r="A1124" s="43" t="s">
        <v>3731</v>
      </c>
      <c r="B1124" s="44" t="s">
        <v>6637</v>
      </c>
      <c r="C1124" s="50"/>
      <c r="D1124" s="10" t="s">
        <v>29</v>
      </c>
      <c r="E1124" s="11"/>
      <c r="F1124" s="11" t="s">
        <v>18</v>
      </c>
      <c r="G1124" s="13"/>
      <c r="H1124" s="45" t="s">
        <v>16</v>
      </c>
      <c r="I1124" s="47"/>
      <c r="J1124" s="12" t="s">
        <v>2532</v>
      </c>
      <c r="K1124" s="13" t="s">
        <v>7894</v>
      </c>
      <c r="L1124" s="99" t="str">
        <f t="shared" si="101"/>
        <v>W1241.3</v>
      </c>
      <c r="M1124" s="13" t="s">
        <v>3667</v>
      </c>
      <c r="N1124" s="13"/>
      <c r="O1124" s="13"/>
      <c r="P1124" s="47"/>
      <c r="Q1124" s="45"/>
      <c r="R1124" s="45"/>
      <c r="S1124" s="48"/>
      <c r="T1124" s="49" t="str">
        <f t="shared" si="99"/>
        <v>[W1241.3]</v>
      </c>
      <c r="U1124" s="12" t="str">
        <f t="shared" si="100"/>
        <v xml:space="preserve"> 로우 셔틀#2 &amp;셔틀#3 기동 지령 오류 이상</v>
      </c>
      <c r="V1124" s="49" t="str">
        <f t="shared" si="102"/>
        <v>[W1241.3] 로우 셔틀#2 &amp;셔틀#3 기동 지령 오류 이상</v>
      </c>
    </row>
    <row r="1125" spans="1:22" s="49" customFormat="1" ht="14.15" customHeight="1">
      <c r="A1125" s="43" t="s">
        <v>3731</v>
      </c>
      <c r="B1125" s="44" t="s">
        <v>6637</v>
      </c>
      <c r="C1125" s="50"/>
      <c r="D1125" s="10" t="s">
        <v>29</v>
      </c>
      <c r="E1125" s="11"/>
      <c r="F1125" s="11" t="s">
        <v>18</v>
      </c>
      <c r="G1125" s="13"/>
      <c r="H1125" s="45" t="s">
        <v>16</v>
      </c>
      <c r="I1125" s="47"/>
      <c r="J1125" s="12" t="s">
        <v>2533</v>
      </c>
      <c r="K1125" s="13" t="s">
        <v>7895</v>
      </c>
      <c r="L1125" s="99" t="str">
        <f t="shared" si="101"/>
        <v>W1241.4</v>
      </c>
      <c r="M1125" s="13" t="s">
        <v>3667</v>
      </c>
      <c r="N1125" s="13"/>
      <c r="O1125" s="13"/>
      <c r="P1125" s="47"/>
      <c r="Q1125" s="45"/>
      <c r="R1125" s="45"/>
      <c r="S1125" s="48"/>
      <c r="T1125" s="49" t="str">
        <f t="shared" si="99"/>
        <v>[W1241.4]</v>
      </c>
      <c r="U1125" s="12" t="str">
        <f t="shared" si="100"/>
        <v xml:space="preserve"> 로우 셔틀#2 &amp;셔틀#1 구동 방향 오류 이상</v>
      </c>
      <c r="V1125" s="49" t="str">
        <f t="shared" si="102"/>
        <v>[W1241.4] 로우 셔틀#2 &amp;셔틀#1 구동 방향 오류 이상</v>
      </c>
    </row>
    <row r="1126" spans="1:22" s="49" customFormat="1" ht="14.15" customHeight="1">
      <c r="A1126" s="43" t="s">
        <v>3731</v>
      </c>
      <c r="B1126" s="44" t="s">
        <v>6637</v>
      </c>
      <c r="C1126" s="50"/>
      <c r="D1126" s="10" t="s">
        <v>29</v>
      </c>
      <c r="E1126" s="11"/>
      <c r="F1126" s="11" t="s">
        <v>18</v>
      </c>
      <c r="G1126" s="13"/>
      <c r="H1126" s="45" t="s">
        <v>16</v>
      </c>
      <c r="I1126" s="47"/>
      <c r="J1126" s="12" t="s">
        <v>2534</v>
      </c>
      <c r="K1126" s="13" t="s">
        <v>7896</v>
      </c>
      <c r="L1126" s="99" t="str">
        <f t="shared" si="101"/>
        <v>W1241.5</v>
      </c>
      <c r="M1126" s="13" t="s">
        <v>3667</v>
      </c>
      <c r="N1126" s="13"/>
      <c r="O1126" s="13"/>
      <c r="P1126" s="47"/>
      <c r="Q1126" s="45"/>
      <c r="R1126" s="45"/>
      <c r="S1126" s="48"/>
      <c r="T1126" s="49" t="str">
        <f t="shared" si="99"/>
        <v>[W1241.5]</v>
      </c>
      <c r="U1126" s="12" t="str">
        <f t="shared" si="100"/>
        <v xml:space="preserve"> 로우 셔틀#2 &amp;셔틀#3 구동 방향 오류 이상</v>
      </c>
      <c r="V1126" s="49" t="str">
        <f t="shared" si="102"/>
        <v>[W1241.5] 로우 셔틀#2 &amp;셔틀#3 구동 방향 오류 이상</v>
      </c>
    </row>
    <row r="1127" spans="1:22" s="49" customFormat="1" ht="14.15" customHeight="1">
      <c r="A1127" s="43" t="s">
        <v>3731</v>
      </c>
      <c r="B1127" s="44" t="s">
        <v>6637</v>
      </c>
      <c r="C1127" s="50"/>
      <c r="D1127" s="10" t="s">
        <v>29</v>
      </c>
      <c r="E1127" s="11"/>
      <c r="F1127" s="11" t="s">
        <v>18</v>
      </c>
      <c r="G1127" s="13"/>
      <c r="H1127" s="45" t="s">
        <v>16</v>
      </c>
      <c r="I1127" s="47"/>
      <c r="J1127" s="12" t="s">
        <v>2535</v>
      </c>
      <c r="K1127" s="13" t="s">
        <v>7897</v>
      </c>
      <c r="L1127" s="99" t="str">
        <f t="shared" si="101"/>
        <v>W1241.6</v>
      </c>
      <c r="M1127" s="13" t="s">
        <v>3667</v>
      </c>
      <c r="N1127" s="13"/>
      <c r="O1127" s="13"/>
      <c r="P1127" s="47"/>
      <c r="Q1127" s="45"/>
      <c r="R1127" s="45"/>
      <c r="S1127" s="48"/>
      <c r="T1127" s="49" t="str">
        <f t="shared" si="99"/>
        <v>[W1241.6]</v>
      </c>
      <c r="U1127" s="12" t="str">
        <f t="shared" si="100"/>
        <v xml:space="preserve"> 로우 셔틀#2 &amp;셔틀#1 간격 이상</v>
      </c>
      <c r="V1127" s="49" t="str">
        <f t="shared" si="102"/>
        <v>[W1241.6] 로우 셔틀#2 &amp;셔틀#1 간격 이상</v>
      </c>
    </row>
    <row r="1128" spans="1:22" s="49" customFormat="1" ht="14.15" customHeight="1">
      <c r="A1128" s="43" t="s">
        <v>3731</v>
      </c>
      <c r="B1128" s="44" t="s">
        <v>6637</v>
      </c>
      <c r="C1128" s="50"/>
      <c r="D1128" s="10" t="s">
        <v>29</v>
      </c>
      <c r="E1128" s="11"/>
      <c r="F1128" s="11" t="s">
        <v>18</v>
      </c>
      <c r="G1128" s="13"/>
      <c r="H1128" s="45" t="s">
        <v>16</v>
      </c>
      <c r="I1128" s="47"/>
      <c r="J1128" s="12" t="s">
        <v>2536</v>
      </c>
      <c r="K1128" s="13" t="s">
        <v>7898</v>
      </c>
      <c r="L1128" s="99" t="str">
        <f t="shared" si="101"/>
        <v>W1241.7</v>
      </c>
      <c r="M1128" s="13" t="s">
        <v>3667</v>
      </c>
      <c r="N1128" s="13"/>
      <c r="O1128" s="13"/>
      <c r="P1128" s="47"/>
      <c r="Q1128" s="45"/>
      <c r="R1128" s="45"/>
      <c r="S1128" s="48"/>
      <c r="T1128" s="49" t="str">
        <f t="shared" si="99"/>
        <v>[W1241.7]</v>
      </c>
      <c r="U1128" s="12" t="str">
        <f t="shared" si="100"/>
        <v xml:space="preserve"> 로우 셔틀#2 &amp;셔틀#3 간격 이상</v>
      </c>
      <c r="V1128" s="49" t="str">
        <f t="shared" si="102"/>
        <v>[W1241.7] 로우 셔틀#2 &amp;셔틀#3 간격 이상</v>
      </c>
    </row>
    <row r="1129" spans="1:22" s="49" customFormat="1" ht="14.15" customHeight="1">
      <c r="A1129" s="44"/>
      <c r="B1129" s="44" t="s">
        <v>6637</v>
      </c>
      <c r="C1129" s="50"/>
      <c r="D1129" s="10" t="s">
        <v>29</v>
      </c>
      <c r="E1129" s="11"/>
      <c r="F1129" s="11" t="s">
        <v>18</v>
      </c>
      <c r="G1129" s="13"/>
      <c r="H1129" s="45" t="s">
        <v>16</v>
      </c>
      <c r="I1129" s="47"/>
      <c r="J1129" s="12" t="s">
        <v>2537</v>
      </c>
      <c r="K1129" s="13" t="s">
        <v>7899</v>
      </c>
      <c r="L1129" s="99" t="str">
        <f t="shared" si="101"/>
        <v>W1241.8</v>
      </c>
      <c r="M1129" s="13"/>
      <c r="N1129" s="13"/>
      <c r="O1129" s="13"/>
      <c r="P1129" s="47"/>
      <c r="Q1129" s="45"/>
      <c r="R1129" s="45"/>
      <c r="S1129" s="48"/>
      <c r="T1129" s="49" t="str">
        <f t="shared" si="99"/>
        <v>[W1241.8]</v>
      </c>
      <c r="U1129" s="12" t="str">
        <f t="shared" si="100"/>
        <v xml:space="preserve"> </v>
      </c>
      <c r="V1129" s="49" t="str">
        <f t="shared" si="102"/>
        <v xml:space="preserve">[W1241.8] </v>
      </c>
    </row>
    <row r="1130" spans="1:22" s="49" customFormat="1" ht="14.15" customHeight="1">
      <c r="A1130" s="43" t="s">
        <v>3731</v>
      </c>
      <c r="B1130" s="44" t="s">
        <v>6637</v>
      </c>
      <c r="C1130" s="50"/>
      <c r="D1130" s="10" t="s">
        <v>29</v>
      </c>
      <c r="E1130" s="11"/>
      <c r="F1130" s="11" t="s">
        <v>18</v>
      </c>
      <c r="G1130" s="13"/>
      <c r="H1130" s="45" t="s">
        <v>16</v>
      </c>
      <c r="I1130" s="47"/>
      <c r="J1130" s="12" t="s">
        <v>2538</v>
      </c>
      <c r="K1130" s="13" t="s">
        <v>7900</v>
      </c>
      <c r="L1130" s="99" t="str">
        <f t="shared" si="101"/>
        <v>W1241.9</v>
      </c>
      <c r="M1130" s="13" t="s">
        <v>3667</v>
      </c>
      <c r="N1130" s="13"/>
      <c r="O1130" s="13"/>
      <c r="P1130" s="47"/>
      <c r="Q1130" s="45"/>
      <c r="R1130" s="45"/>
      <c r="S1130" s="48"/>
      <c r="T1130" s="49" t="str">
        <f t="shared" si="99"/>
        <v>[W1241.9]</v>
      </c>
      <c r="U1130" s="12" t="str">
        <f t="shared" si="100"/>
        <v xml:space="preserve"> 로우 셔틀#2 제품 수취 시간초과</v>
      </c>
      <c r="V1130" s="49" t="str">
        <f t="shared" si="102"/>
        <v>[W1241.9] 로우 셔틀#2 제품 수취 시간초과</v>
      </c>
    </row>
    <row r="1131" spans="1:22" s="49" customFormat="1" ht="14.15" customHeight="1">
      <c r="A1131" s="43" t="s">
        <v>3731</v>
      </c>
      <c r="B1131" s="44" t="s">
        <v>6637</v>
      </c>
      <c r="C1131" s="50"/>
      <c r="D1131" s="10" t="s">
        <v>29</v>
      </c>
      <c r="E1131" s="11"/>
      <c r="F1131" s="11" t="s">
        <v>18</v>
      </c>
      <c r="G1131" s="13"/>
      <c r="H1131" s="45" t="s">
        <v>16</v>
      </c>
      <c r="I1131" s="47"/>
      <c r="J1131" s="12" t="s">
        <v>2539</v>
      </c>
      <c r="K1131" s="13" t="s">
        <v>7901</v>
      </c>
      <c r="L1131" s="99" t="str">
        <f t="shared" si="101"/>
        <v>W1241.A</v>
      </c>
      <c r="M1131" s="13" t="s">
        <v>3667</v>
      </c>
      <c r="N1131" s="13"/>
      <c r="O1131" s="13"/>
      <c r="P1131" s="47"/>
      <c r="Q1131" s="45"/>
      <c r="R1131" s="45"/>
      <c r="S1131" s="48"/>
      <c r="T1131" s="49" t="str">
        <f t="shared" si="99"/>
        <v>[W1241.A]</v>
      </c>
      <c r="U1131" s="12" t="str">
        <f t="shared" si="100"/>
        <v xml:space="preserve"> 로우 셔틀#2 제품 배출 시간초과</v>
      </c>
      <c r="V1131" s="49" t="str">
        <f t="shared" si="102"/>
        <v>[W1241.A] 로우 셔틀#2 제품 배출 시간초과</v>
      </c>
    </row>
    <row r="1132" spans="1:22" s="49" customFormat="1" ht="14.15" customHeight="1">
      <c r="A1132" s="43" t="s">
        <v>3731</v>
      </c>
      <c r="B1132" s="44" t="s">
        <v>6637</v>
      </c>
      <c r="C1132" s="50"/>
      <c r="D1132" s="10" t="s">
        <v>29</v>
      </c>
      <c r="E1132" s="11"/>
      <c r="F1132" s="11" t="s">
        <v>56</v>
      </c>
      <c r="G1132" s="13"/>
      <c r="H1132" s="45" t="s">
        <v>16</v>
      </c>
      <c r="I1132" s="47"/>
      <c r="J1132" s="12" t="s">
        <v>2540</v>
      </c>
      <c r="K1132" s="13" t="s">
        <v>7902</v>
      </c>
      <c r="L1132" s="99" t="str">
        <f t="shared" si="101"/>
        <v>W1241.B</v>
      </c>
      <c r="M1132" s="13" t="s">
        <v>3667</v>
      </c>
      <c r="N1132" s="13"/>
      <c r="O1132" s="13"/>
      <c r="P1132" s="47"/>
      <c r="Q1132" s="45"/>
      <c r="R1132" s="45"/>
      <c r="S1132" s="48"/>
      <c r="T1132" s="49" t="str">
        <f t="shared" si="99"/>
        <v>[W1241.B]</v>
      </c>
      <c r="U1132" s="12" t="str">
        <f t="shared" si="100"/>
        <v xml:space="preserve"> 로우 셔틀#2 제품 수취 시퀀스 이상</v>
      </c>
      <c r="V1132" s="49" t="str">
        <f t="shared" si="102"/>
        <v>[W1241.B] 로우 셔틀#2 제품 수취 시퀀스 이상</v>
      </c>
    </row>
    <row r="1133" spans="1:22" s="49" customFormat="1" ht="14.15" customHeight="1">
      <c r="A1133" s="44"/>
      <c r="B1133" s="44" t="s">
        <v>6637</v>
      </c>
      <c r="C1133" s="50"/>
      <c r="D1133" s="10" t="s">
        <v>29</v>
      </c>
      <c r="E1133" s="11"/>
      <c r="F1133" s="11" t="s">
        <v>18</v>
      </c>
      <c r="G1133" s="13"/>
      <c r="H1133" s="45" t="s">
        <v>16</v>
      </c>
      <c r="I1133" s="47"/>
      <c r="J1133" s="12" t="s">
        <v>2541</v>
      </c>
      <c r="K1133" s="13" t="s">
        <v>7903</v>
      </c>
      <c r="L1133" s="99" t="str">
        <f t="shared" si="101"/>
        <v>W1241.C</v>
      </c>
      <c r="M1133" s="13"/>
      <c r="N1133" s="13"/>
      <c r="O1133" s="13"/>
      <c r="P1133" s="47"/>
      <c r="Q1133" s="45"/>
      <c r="R1133" s="45"/>
      <c r="S1133" s="48"/>
      <c r="T1133" s="49" t="str">
        <f t="shared" si="99"/>
        <v>[W1241.C]</v>
      </c>
      <c r="U1133" s="12" t="str">
        <f t="shared" si="100"/>
        <v xml:space="preserve"> </v>
      </c>
      <c r="V1133" s="49" t="str">
        <f t="shared" si="102"/>
        <v xml:space="preserve">[W1241.C] </v>
      </c>
    </row>
    <row r="1134" spans="1:22" s="49" customFormat="1" ht="14.15" customHeight="1">
      <c r="A1134" s="43" t="s">
        <v>3731</v>
      </c>
      <c r="B1134" s="44" t="s">
        <v>6637</v>
      </c>
      <c r="C1134" s="50"/>
      <c r="D1134" s="10" t="s">
        <v>29</v>
      </c>
      <c r="E1134" s="11"/>
      <c r="F1134" s="11" t="s">
        <v>18</v>
      </c>
      <c r="G1134" s="13"/>
      <c r="H1134" s="45" t="s">
        <v>16</v>
      </c>
      <c r="I1134" s="47"/>
      <c r="J1134" s="12" t="s">
        <v>2542</v>
      </c>
      <c r="K1134" s="13" t="s">
        <v>7904</v>
      </c>
      <c r="L1134" s="99" t="str">
        <f t="shared" si="101"/>
        <v>W1241.D</v>
      </c>
      <c r="M1134" s="13" t="s">
        <v>3667</v>
      </c>
      <c r="N1134" s="13"/>
      <c r="O1134" s="13"/>
      <c r="P1134" s="47"/>
      <c r="Q1134" s="45"/>
      <c r="R1134" s="45"/>
      <c r="S1134" s="48"/>
      <c r="T1134" s="49" t="str">
        <f t="shared" ref="T1134:T1168" si="103">"["&amp;L1134&amp;"]"</f>
        <v>[W1241.D]</v>
      </c>
      <c r="U1134" s="12" t="str">
        <f t="shared" ref="U1134:U1168" si="104">RIGHT(J1134,LEN(J1134)-7)</f>
        <v xml:space="preserve"> 로우 셔틀#2 제품 베츨 시퀀스 이상</v>
      </c>
      <c r="V1134" s="49" t="str">
        <f t="shared" si="102"/>
        <v>[W1241.D] 로우 셔틀#2 제품 베츨 시퀀스 이상</v>
      </c>
    </row>
    <row r="1135" spans="1:22" s="49" customFormat="1" ht="14.15" customHeight="1">
      <c r="A1135" s="44"/>
      <c r="B1135" s="44" t="s">
        <v>6637</v>
      </c>
      <c r="C1135" s="50"/>
      <c r="D1135" s="10" t="s">
        <v>29</v>
      </c>
      <c r="E1135" s="11"/>
      <c r="F1135" s="11" t="s">
        <v>18</v>
      </c>
      <c r="G1135" s="13"/>
      <c r="H1135" s="45" t="s">
        <v>16</v>
      </c>
      <c r="I1135" s="47"/>
      <c r="J1135" s="12" t="s">
        <v>919</v>
      </c>
      <c r="K1135" s="13" t="s">
        <v>7905</v>
      </c>
      <c r="L1135" s="99" t="str">
        <f t="shared" si="101"/>
        <v>W1241.E</v>
      </c>
      <c r="M1135" s="13"/>
      <c r="N1135" s="13"/>
      <c r="O1135" s="13"/>
      <c r="P1135" s="47"/>
      <c r="Q1135" s="45"/>
      <c r="R1135" s="45"/>
      <c r="S1135" s="48"/>
      <c r="T1135" s="49" t="str">
        <f t="shared" si="103"/>
        <v>[W1241.E]</v>
      </c>
      <c r="U1135" s="12" t="str">
        <f t="shared" si="104"/>
        <v xml:space="preserve"> </v>
      </c>
      <c r="V1135" s="49" t="str">
        <f t="shared" si="102"/>
        <v xml:space="preserve">[W1241.E] </v>
      </c>
    </row>
    <row r="1136" spans="1:22" s="49" customFormat="1" ht="14.15" customHeight="1">
      <c r="A1136" s="44"/>
      <c r="B1136" s="44" t="s">
        <v>6637</v>
      </c>
      <c r="C1136" s="50"/>
      <c r="D1136" s="10" t="s">
        <v>29</v>
      </c>
      <c r="E1136" s="11"/>
      <c r="F1136" s="11" t="s">
        <v>18</v>
      </c>
      <c r="G1136" s="13"/>
      <c r="H1136" s="45" t="s">
        <v>16</v>
      </c>
      <c r="I1136" s="47"/>
      <c r="J1136" s="12" t="s">
        <v>920</v>
      </c>
      <c r="K1136" s="13" t="s">
        <v>7906</v>
      </c>
      <c r="L1136" s="99" t="str">
        <f t="shared" si="101"/>
        <v>W1241.F</v>
      </c>
      <c r="M1136" s="13"/>
      <c r="N1136" s="13"/>
      <c r="O1136" s="13"/>
      <c r="P1136" s="47"/>
      <c r="Q1136" s="45"/>
      <c r="R1136" s="45"/>
      <c r="S1136" s="48"/>
      <c r="T1136" s="49" t="str">
        <f t="shared" si="103"/>
        <v>[W1241.F]</v>
      </c>
      <c r="U1136" s="12" t="str">
        <f t="shared" si="104"/>
        <v xml:space="preserve"> </v>
      </c>
      <c r="V1136" s="49" t="str">
        <f t="shared" si="102"/>
        <v xml:space="preserve">[W1241.F] </v>
      </c>
    </row>
    <row r="1137" spans="1:22" s="49" customFormat="1" ht="14.15" customHeight="1">
      <c r="A1137" s="44"/>
      <c r="B1137" s="44" t="s">
        <v>6637</v>
      </c>
      <c r="C1137" s="50"/>
      <c r="D1137" s="10" t="s">
        <v>29</v>
      </c>
      <c r="E1137" s="11"/>
      <c r="F1137" s="11" t="s">
        <v>18</v>
      </c>
      <c r="G1137" s="13"/>
      <c r="H1137" s="45" t="s">
        <v>16</v>
      </c>
      <c r="I1137" s="47"/>
      <c r="J1137" s="12" t="s">
        <v>921</v>
      </c>
      <c r="K1137" s="13" t="s">
        <v>7907</v>
      </c>
      <c r="L1137" s="99" t="str">
        <f t="shared" si="101"/>
        <v>W1242.0</v>
      </c>
      <c r="M1137" s="13"/>
      <c r="N1137" s="13"/>
      <c r="O1137" s="13"/>
      <c r="P1137" s="47"/>
      <c r="Q1137" s="45"/>
      <c r="R1137" s="45"/>
      <c r="S1137" s="48"/>
      <c r="T1137" s="49" t="str">
        <f t="shared" si="103"/>
        <v>[W1242.0]</v>
      </c>
      <c r="U1137" s="12" t="str">
        <f t="shared" si="104"/>
        <v xml:space="preserve"> </v>
      </c>
      <c r="V1137" s="49" t="str">
        <f t="shared" si="102"/>
        <v xml:space="preserve">[W1242.0] </v>
      </c>
    </row>
    <row r="1138" spans="1:22" s="49" customFormat="1" ht="14.15" customHeight="1">
      <c r="A1138" s="44"/>
      <c r="B1138" s="44" t="s">
        <v>6637</v>
      </c>
      <c r="C1138" s="50"/>
      <c r="D1138" s="10" t="s">
        <v>29</v>
      </c>
      <c r="E1138" s="11"/>
      <c r="F1138" s="11" t="s">
        <v>18</v>
      </c>
      <c r="G1138" s="13"/>
      <c r="H1138" s="45" t="s">
        <v>16</v>
      </c>
      <c r="I1138" s="47"/>
      <c r="J1138" s="12" t="s">
        <v>922</v>
      </c>
      <c r="K1138" s="13" t="s">
        <v>7908</v>
      </c>
      <c r="L1138" s="99" t="str">
        <f t="shared" si="101"/>
        <v>W1242.1</v>
      </c>
      <c r="M1138" s="13"/>
      <c r="N1138" s="13"/>
      <c r="O1138" s="13"/>
      <c r="P1138" s="47"/>
      <c r="Q1138" s="45"/>
      <c r="R1138" s="45"/>
      <c r="S1138" s="48"/>
      <c r="T1138" s="49" t="str">
        <f t="shared" si="103"/>
        <v>[W1242.1]</v>
      </c>
      <c r="U1138" s="12" t="str">
        <f t="shared" si="104"/>
        <v xml:space="preserve"> </v>
      </c>
      <c r="V1138" s="49" t="str">
        <f t="shared" si="102"/>
        <v xml:space="preserve">[W1242.1] </v>
      </c>
    </row>
    <row r="1139" spans="1:22" s="49" customFormat="1" ht="14.15" customHeight="1">
      <c r="A1139" s="43" t="s">
        <v>3731</v>
      </c>
      <c r="B1139" s="44" t="s">
        <v>6637</v>
      </c>
      <c r="C1139" s="50"/>
      <c r="D1139" s="10" t="s">
        <v>29</v>
      </c>
      <c r="E1139" s="11"/>
      <c r="F1139" s="11" t="s">
        <v>18</v>
      </c>
      <c r="G1139" s="13"/>
      <c r="H1139" s="45" t="s">
        <v>16</v>
      </c>
      <c r="I1139" s="47"/>
      <c r="J1139" s="12" t="s">
        <v>2543</v>
      </c>
      <c r="K1139" s="13" t="s">
        <v>7909</v>
      </c>
      <c r="L1139" s="99" t="str">
        <f t="shared" si="101"/>
        <v>W1242.2</v>
      </c>
      <c r="M1139" s="13" t="s">
        <v>3667</v>
      </c>
      <c r="N1139" s="13"/>
      <c r="O1139" s="13"/>
      <c r="P1139" s="47"/>
      <c r="Q1139" s="45"/>
      <c r="R1139" s="45"/>
      <c r="S1139" s="48"/>
      <c r="T1139" s="49" t="str">
        <f t="shared" si="103"/>
        <v>[W1242.2]</v>
      </c>
      <c r="U1139" s="12" t="str">
        <f t="shared" si="104"/>
        <v xml:space="preserve"> 로우 셔틀#2 제품 데이터 불일치 이상 (X3D4)</v>
      </c>
      <c r="V1139" s="49" t="str">
        <f t="shared" si="102"/>
        <v>[W1242.2] 로우 셔틀#2 제품 데이터 불일치 이상 (X3D4)</v>
      </c>
    </row>
    <row r="1140" spans="1:22" s="49" customFormat="1" ht="14.15" customHeight="1">
      <c r="A1140" s="43" t="s">
        <v>3731</v>
      </c>
      <c r="B1140" s="44" t="s">
        <v>6637</v>
      </c>
      <c r="C1140" s="50"/>
      <c r="D1140" s="10" t="s">
        <v>29</v>
      </c>
      <c r="E1140" s="11"/>
      <c r="F1140" s="11" t="s">
        <v>18</v>
      </c>
      <c r="G1140" s="13"/>
      <c r="H1140" s="45" t="s">
        <v>16</v>
      </c>
      <c r="I1140" s="47"/>
      <c r="J1140" s="12" t="s">
        <v>2544</v>
      </c>
      <c r="K1140" s="13" t="s">
        <v>7910</v>
      </c>
      <c r="L1140" s="99" t="str">
        <f t="shared" si="101"/>
        <v>W1242.3</v>
      </c>
      <c r="M1140" s="13" t="s">
        <v>3667</v>
      </c>
      <c r="N1140" s="13"/>
      <c r="O1140" s="13"/>
      <c r="P1140" s="47"/>
      <c r="Q1140" s="45"/>
      <c r="R1140" s="45"/>
      <c r="S1140" s="48"/>
      <c r="T1140" s="49" t="str">
        <f t="shared" si="103"/>
        <v>[W1242.3]</v>
      </c>
      <c r="U1140" s="12" t="str">
        <f t="shared" si="104"/>
        <v xml:space="preserve"> 로우 셔틀#3 셔틀 상승 시간초과 (Y43A, X3DB)</v>
      </c>
      <c r="V1140" s="49" t="str">
        <f t="shared" si="102"/>
        <v>[W1242.3] 로우 셔틀#3 셔틀 상승 시간초과 (Y43A, X3DB)</v>
      </c>
    </row>
    <row r="1141" spans="1:22" s="49" customFormat="1" ht="14.15" customHeight="1">
      <c r="A1141" s="43" t="s">
        <v>3731</v>
      </c>
      <c r="B1141" s="44" t="s">
        <v>6637</v>
      </c>
      <c r="C1141" s="50"/>
      <c r="D1141" s="10" t="s">
        <v>29</v>
      </c>
      <c r="E1141" s="11"/>
      <c r="F1141" s="11" t="s">
        <v>18</v>
      </c>
      <c r="G1141" s="13"/>
      <c r="H1141" s="45" t="s">
        <v>16</v>
      </c>
      <c r="I1141" s="47"/>
      <c r="J1141" s="12" t="s">
        <v>2545</v>
      </c>
      <c r="K1141" s="13" t="s">
        <v>7911</v>
      </c>
      <c r="L1141" s="99" t="str">
        <f t="shared" si="101"/>
        <v>W1242.4</v>
      </c>
      <c r="M1141" s="13" t="s">
        <v>3667</v>
      </c>
      <c r="N1141" s="13"/>
      <c r="O1141" s="13"/>
      <c r="P1141" s="47"/>
      <c r="Q1141" s="45"/>
      <c r="R1141" s="45"/>
      <c r="S1141" s="48"/>
      <c r="T1141" s="49" t="str">
        <f t="shared" si="103"/>
        <v>[W1242.4]</v>
      </c>
      <c r="U1141" s="12" t="str">
        <f t="shared" si="104"/>
        <v xml:space="preserve"> 로우 셔틀#3 셔틀 하강 시간초과 (Y43B, X3D9)</v>
      </c>
      <c r="V1141" s="49" t="str">
        <f t="shared" si="102"/>
        <v>[W1242.4] 로우 셔틀#3 셔틀 하강 시간초과 (Y43B, X3D9)</v>
      </c>
    </row>
    <row r="1142" spans="1:22" s="49" customFormat="1" ht="14.15" customHeight="1">
      <c r="A1142" s="43" t="s">
        <v>3731</v>
      </c>
      <c r="B1142" s="44" t="s">
        <v>6637</v>
      </c>
      <c r="C1142" s="50"/>
      <c r="D1142" s="10" t="s">
        <v>29</v>
      </c>
      <c r="E1142" s="11"/>
      <c r="F1142" s="11" t="s">
        <v>18</v>
      </c>
      <c r="G1142" s="13"/>
      <c r="H1142" s="45" t="s">
        <v>16</v>
      </c>
      <c r="I1142" s="47"/>
      <c r="J1142" s="12" t="s">
        <v>2546</v>
      </c>
      <c r="K1142" s="13" t="s">
        <v>7912</v>
      </c>
      <c r="L1142" s="99" t="str">
        <f t="shared" si="101"/>
        <v>W1242.5</v>
      </c>
      <c r="M1142" s="13" t="s">
        <v>3667</v>
      </c>
      <c r="N1142" s="13"/>
      <c r="O1142" s="13"/>
      <c r="P1142" s="47"/>
      <c r="Q1142" s="45"/>
      <c r="R1142" s="45"/>
      <c r="S1142" s="48"/>
      <c r="T1142" s="49" t="str">
        <f t="shared" si="103"/>
        <v>[W1242.5]</v>
      </c>
      <c r="U1142" s="12" t="str">
        <f t="shared" si="104"/>
        <v xml:space="preserve"> 로우 셔틀#3 셔틀 상승/하강 센서 이상 (X3DB, X3D9)</v>
      </c>
      <c r="V1142" s="49" t="str">
        <f t="shared" si="102"/>
        <v>[W1242.5] 로우 셔틀#3 셔틀 상승/하강 센서 이상 (X3DB, X3D9)</v>
      </c>
    </row>
    <row r="1143" spans="1:22" s="49" customFormat="1" ht="14.15" customHeight="1">
      <c r="A1143" s="43" t="s">
        <v>3731</v>
      </c>
      <c r="B1143" s="44" t="s">
        <v>6637</v>
      </c>
      <c r="C1143" s="50"/>
      <c r="D1143" s="10" t="s">
        <v>29</v>
      </c>
      <c r="E1143" s="11"/>
      <c r="F1143" s="11" t="s">
        <v>18</v>
      </c>
      <c r="G1143" s="13"/>
      <c r="H1143" s="45" t="s">
        <v>16</v>
      </c>
      <c r="I1143" s="47"/>
      <c r="J1143" s="12" t="s">
        <v>2547</v>
      </c>
      <c r="K1143" s="13" t="s">
        <v>7913</v>
      </c>
      <c r="L1143" s="99" t="str">
        <f t="shared" si="101"/>
        <v>W1242.6</v>
      </c>
      <c r="M1143" s="13" t="s">
        <v>3667</v>
      </c>
      <c r="N1143" s="13"/>
      <c r="O1143" s="13"/>
      <c r="P1143" s="47"/>
      <c r="Q1143" s="45"/>
      <c r="R1143" s="45"/>
      <c r="S1143" s="48"/>
      <c r="T1143" s="49" t="str">
        <f t="shared" si="103"/>
        <v>[W1242.6]</v>
      </c>
      <c r="U1143" s="12" t="str">
        <f t="shared" si="104"/>
        <v xml:space="preserve"> 로우 셔틀#3 &amp;셔틀#2 기동 지령 오류 이상</v>
      </c>
      <c r="V1143" s="49" t="str">
        <f t="shared" si="102"/>
        <v>[W1242.6] 로우 셔틀#3 &amp;셔틀#2 기동 지령 오류 이상</v>
      </c>
    </row>
    <row r="1144" spans="1:22" s="49" customFormat="1" ht="14.15" customHeight="1">
      <c r="A1144" s="43" t="s">
        <v>3731</v>
      </c>
      <c r="B1144" s="44" t="s">
        <v>6637</v>
      </c>
      <c r="C1144" s="50"/>
      <c r="D1144" s="10" t="s">
        <v>29</v>
      </c>
      <c r="E1144" s="11"/>
      <c r="F1144" s="11" t="s">
        <v>18</v>
      </c>
      <c r="G1144" s="13"/>
      <c r="H1144" s="45" t="s">
        <v>16</v>
      </c>
      <c r="I1144" s="47"/>
      <c r="J1144" s="12" t="s">
        <v>2548</v>
      </c>
      <c r="K1144" s="13" t="s">
        <v>7914</v>
      </c>
      <c r="L1144" s="99" t="str">
        <f t="shared" si="101"/>
        <v>W1242.7</v>
      </c>
      <c r="M1144" s="13" t="s">
        <v>3667</v>
      </c>
      <c r="N1144" s="13"/>
      <c r="O1144" s="13"/>
      <c r="P1144" s="47"/>
      <c r="Q1144" s="45"/>
      <c r="R1144" s="45"/>
      <c r="S1144" s="48"/>
      <c r="T1144" s="49" t="str">
        <f t="shared" si="103"/>
        <v>[W1242.7]</v>
      </c>
      <c r="U1144" s="12" t="str">
        <f t="shared" si="104"/>
        <v xml:space="preserve"> 로우 셔틀#3 &amp;셔틀#2 구동 방향 오류 이상</v>
      </c>
      <c r="V1144" s="49" t="str">
        <f t="shared" si="102"/>
        <v>[W1242.7] 로우 셔틀#3 &amp;셔틀#2 구동 방향 오류 이상</v>
      </c>
    </row>
    <row r="1145" spans="1:22" s="49" customFormat="1" ht="14.15" customHeight="1">
      <c r="A1145" s="43" t="s">
        <v>3731</v>
      </c>
      <c r="B1145" s="44" t="s">
        <v>6637</v>
      </c>
      <c r="C1145" s="50"/>
      <c r="D1145" s="10" t="s">
        <v>29</v>
      </c>
      <c r="E1145" s="11"/>
      <c r="F1145" s="11" t="s">
        <v>18</v>
      </c>
      <c r="G1145" s="13"/>
      <c r="H1145" s="45" t="s">
        <v>16</v>
      </c>
      <c r="I1145" s="47"/>
      <c r="J1145" s="12" t="s">
        <v>2549</v>
      </c>
      <c r="K1145" s="13" t="s">
        <v>7915</v>
      </c>
      <c r="L1145" s="99" t="str">
        <f t="shared" si="101"/>
        <v>W1242.8</v>
      </c>
      <c r="M1145" s="13" t="s">
        <v>3667</v>
      </c>
      <c r="N1145" s="13"/>
      <c r="O1145" s="13"/>
      <c r="P1145" s="47"/>
      <c r="Q1145" s="45"/>
      <c r="R1145" s="45"/>
      <c r="S1145" s="48"/>
      <c r="T1145" s="49" t="str">
        <f t="shared" si="103"/>
        <v>[W1242.8]</v>
      </c>
      <c r="U1145" s="12" t="str">
        <f t="shared" si="104"/>
        <v xml:space="preserve"> 로우 셔틀#3 &amp;셔틀#2 간격 이상</v>
      </c>
      <c r="V1145" s="49" t="str">
        <f t="shared" si="102"/>
        <v>[W1242.8] 로우 셔틀#3 &amp;셔틀#2 간격 이상</v>
      </c>
    </row>
    <row r="1146" spans="1:22" s="49" customFormat="1" ht="14.15" customHeight="1">
      <c r="A1146" s="44"/>
      <c r="B1146" s="44" t="s">
        <v>6637</v>
      </c>
      <c r="C1146" s="50"/>
      <c r="D1146" s="10" t="s">
        <v>29</v>
      </c>
      <c r="E1146" s="11"/>
      <c r="F1146" s="11" t="s">
        <v>18</v>
      </c>
      <c r="G1146" s="13"/>
      <c r="H1146" s="45" t="s">
        <v>16</v>
      </c>
      <c r="I1146" s="47"/>
      <c r="J1146" s="12" t="s">
        <v>930</v>
      </c>
      <c r="K1146" s="13" t="s">
        <v>7916</v>
      </c>
      <c r="L1146" s="99" t="str">
        <f t="shared" si="101"/>
        <v>W1242.9</v>
      </c>
      <c r="M1146" s="13"/>
      <c r="N1146" s="13"/>
      <c r="O1146" s="13"/>
      <c r="P1146" s="47"/>
      <c r="Q1146" s="45"/>
      <c r="R1146" s="45"/>
      <c r="S1146" s="48"/>
      <c r="T1146" s="49" t="str">
        <f t="shared" si="103"/>
        <v>[W1242.9]</v>
      </c>
      <c r="U1146" s="12" t="str">
        <f t="shared" si="104"/>
        <v xml:space="preserve"> </v>
      </c>
      <c r="V1146" s="49" t="str">
        <f t="shared" si="102"/>
        <v xml:space="preserve">[W1242.9] </v>
      </c>
    </row>
    <row r="1147" spans="1:22" s="49" customFormat="1" ht="14.15" customHeight="1">
      <c r="A1147" s="44"/>
      <c r="B1147" s="44" t="s">
        <v>6637</v>
      </c>
      <c r="C1147" s="50"/>
      <c r="D1147" s="10" t="s">
        <v>29</v>
      </c>
      <c r="E1147" s="11"/>
      <c r="F1147" s="11" t="s">
        <v>18</v>
      </c>
      <c r="G1147" s="13"/>
      <c r="H1147" s="45" t="s">
        <v>16</v>
      </c>
      <c r="I1147" s="47"/>
      <c r="J1147" s="12" t="s">
        <v>931</v>
      </c>
      <c r="K1147" s="13" t="s">
        <v>7917</v>
      </c>
      <c r="L1147" s="99" t="str">
        <f t="shared" si="101"/>
        <v>W1242.A</v>
      </c>
      <c r="M1147" s="13"/>
      <c r="N1147" s="13"/>
      <c r="O1147" s="13"/>
      <c r="P1147" s="47"/>
      <c r="Q1147" s="45"/>
      <c r="R1147" s="45"/>
      <c r="S1147" s="48"/>
      <c r="T1147" s="49" t="str">
        <f t="shared" si="103"/>
        <v>[W1242.A]</v>
      </c>
      <c r="U1147" s="12" t="str">
        <f t="shared" si="104"/>
        <v xml:space="preserve"> </v>
      </c>
      <c r="V1147" s="49" t="str">
        <f t="shared" si="102"/>
        <v xml:space="preserve">[W1242.A] </v>
      </c>
    </row>
    <row r="1148" spans="1:22" s="49" customFormat="1" ht="14.15" customHeight="1">
      <c r="A1148" s="44"/>
      <c r="B1148" s="44" t="s">
        <v>6637</v>
      </c>
      <c r="C1148" s="50"/>
      <c r="D1148" s="10" t="s">
        <v>29</v>
      </c>
      <c r="E1148" s="11"/>
      <c r="F1148" s="11" t="s">
        <v>18</v>
      </c>
      <c r="G1148" s="13"/>
      <c r="H1148" s="45" t="s">
        <v>16</v>
      </c>
      <c r="I1148" s="47"/>
      <c r="J1148" s="12" t="s">
        <v>932</v>
      </c>
      <c r="K1148" s="13" t="s">
        <v>7918</v>
      </c>
      <c r="L1148" s="99" t="str">
        <f t="shared" si="101"/>
        <v>W1242.B</v>
      </c>
      <c r="M1148" s="13"/>
      <c r="N1148" s="13"/>
      <c r="O1148" s="13"/>
      <c r="P1148" s="47"/>
      <c r="Q1148" s="45"/>
      <c r="R1148" s="45"/>
      <c r="S1148" s="48"/>
      <c r="T1148" s="49" t="str">
        <f t="shared" si="103"/>
        <v>[W1242.B]</v>
      </c>
      <c r="U1148" s="12" t="str">
        <f t="shared" si="104"/>
        <v xml:space="preserve"> </v>
      </c>
      <c r="V1148" s="49" t="str">
        <f t="shared" si="102"/>
        <v xml:space="preserve">[W1242.B] </v>
      </c>
    </row>
    <row r="1149" spans="1:22" s="49" customFormat="1" ht="14.15" customHeight="1">
      <c r="A1149" s="44"/>
      <c r="B1149" s="44" t="s">
        <v>6637</v>
      </c>
      <c r="C1149" s="50"/>
      <c r="D1149" s="10" t="s">
        <v>29</v>
      </c>
      <c r="E1149" s="11"/>
      <c r="F1149" s="11" t="s">
        <v>18</v>
      </c>
      <c r="G1149" s="13"/>
      <c r="H1149" s="45" t="s">
        <v>16</v>
      </c>
      <c r="I1149" s="47"/>
      <c r="J1149" s="12" t="s">
        <v>933</v>
      </c>
      <c r="K1149" s="13" t="s">
        <v>7919</v>
      </c>
      <c r="L1149" s="99" t="str">
        <f t="shared" si="101"/>
        <v>W1242.C</v>
      </c>
      <c r="M1149" s="13"/>
      <c r="N1149" s="13"/>
      <c r="O1149" s="13"/>
      <c r="P1149" s="47"/>
      <c r="Q1149" s="45"/>
      <c r="R1149" s="45"/>
      <c r="S1149" s="48"/>
      <c r="T1149" s="49" t="str">
        <f t="shared" si="103"/>
        <v>[W1242.C]</v>
      </c>
      <c r="U1149" s="12" t="str">
        <f t="shared" si="104"/>
        <v xml:space="preserve"> </v>
      </c>
      <c r="V1149" s="49" t="str">
        <f t="shared" si="102"/>
        <v xml:space="preserve">[W1242.C] </v>
      </c>
    </row>
    <row r="1150" spans="1:22" s="49" customFormat="1" ht="14.15" customHeight="1">
      <c r="A1150" s="43" t="s">
        <v>3731</v>
      </c>
      <c r="B1150" s="44" t="s">
        <v>6637</v>
      </c>
      <c r="C1150" s="50"/>
      <c r="D1150" s="10" t="s">
        <v>29</v>
      </c>
      <c r="E1150" s="11"/>
      <c r="F1150" s="11" t="s">
        <v>18</v>
      </c>
      <c r="G1150" s="13"/>
      <c r="H1150" s="45" t="s">
        <v>16</v>
      </c>
      <c r="I1150" s="47"/>
      <c r="J1150" s="12" t="s">
        <v>2550</v>
      </c>
      <c r="K1150" s="13" t="s">
        <v>7920</v>
      </c>
      <c r="L1150" s="99" t="str">
        <f t="shared" si="101"/>
        <v>W1242.D</v>
      </c>
      <c r="M1150" s="13" t="s">
        <v>3667</v>
      </c>
      <c r="N1150" s="13"/>
      <c r="O1150" s="13"/>
      <c r="P1150" s="47"/>
      <c r="Q1150" s="45"/>
      <c r="R1150" s="45"/>
      <c r="S1150" s="48"/>
      <c r="T1150" s="49" t="str">
        <f t="shared" si="103"/>
        <v>[W1242.D]</v>
      </c>
      <c r="U1150" s="12" t="str">
        <f t="shared" si="104"/>
        <v xml:space="preserve"> 로우 셔틀#3 제품 수취 시간초과</v>
      </c>
      <c r="V1150" s="49" t="str">
        <f t="shared" si="102"/>
        <v>[W1242.D] 로우 셔틀#3 제품 수취 시간초과</v>
      </c>
    </row>
    <row r="1151" spans="1:22" s="49" customFormat="1" ht="14.15" customHeight="1">
      <c r="A1151" s="43" t="s">
        <v>3731</v>
      </c>
      <c r="B1151" s="44" t="s">
        <v>6637</v>
      </c>
      <c r="C1151" s="50"/>
      <c r="D1151" s="10" t="s">
        <v>29</v>
      </c>
      <c r="E1151" s="11"/>
      <c r="F1151" s="11" t="s">
        <v>18</v>
      </c>
      <c r="G1151" s="13"/>
      <c r="H1151" s="45" t="s">
        <v>16</v>
      </c>
      <c r="I1151" s="47"/>
      <c r="J1151" s="12" t="s">
        <v>2551</v>
      </c>
      <c r="K1151" s="13" t="s">
        <v>7921</v>
      </c>
      <c r="L1151" s="99" t="str">
        <f t="shared" si="101"/>
        <v>W1242.E</v>
      </c>
      <c r="M1151" s="13" t="s">
        <v>3667</v>
      </c>
      <c r="N1151" s="13"/>
      <c r="O1151" s="13"/>
      <c r="P1151" s="47"/>
      <c r="Q1151" s="45"/>
      <c r="R1151" s="45"/>
      <c r="S1151" s="48"/>
      <c r="T1151" s="49" t="str">
        <f t="shared" si="103"/>
        <v>[W1242.E]</v>
      </c>
      <c r="U1151" s="12" t="str">
        <f t="shared" si="104"/>
        <v xml:space="preserve"> 로우 셔틀#3 제품 배출 시간초과</v>
      </c>
      <c r="V1151" s="49" t="str">
        <f t="shared" si="102"/>
        <v>[W1242.E] 로우 셔틀#3 제품 배출 시간초과</v>
      </c>
    </row>
    <row r="1152" spans="1:22" s="49" customFormat="1" ht="14.15" customHeight="1">
      <c r="A1152" s="43" t="s">
        <v>3731</v>
      </c>
      <c r="B1152" s="44" t="s">
        <v>6637</v>
      </c>
      <c r="C1152" s="50"/>
      <c r="D1152" s="10" t="s">
        <v>29</v>
      </c>
      <c r="E1152" s="11"/>
      <c r="F1152" s="11" t="s">
        <v>18</v>
      </c>
      <c r="G1152" s="13"/>
      <c r="H1152" s="45" t="s">
        <v>16</v>
      </c>
      <c r="I1152" s="47"/>
      <c r="J1152" s="12" t="s">
        <v>2552</v>
      </c>
      <c r="K1152" s="13" t="s">
        <v>7922</v>
      </c>
      <c r="L1152" s="99" t="str">
        <f t="shared" si="101"/>
        <v>W1242.F</v>
      </c>
      <c r="M1152" s="13" t="s">
        <v>3667</v>
      </c>
      <c r="N1152" s="13"/>
      <c r="O1152" s="13"/>
      <c r="P1152" s="47"/>
      <c r="Q1152" s="45"/>
      <c r="R1152" s="45"/>
      <c r="S1152" s="48"/>
      <c r="T1152" s="49" t="str">
        <f t="shared" si="103"/>
        <v>[W1242.F]</v>
      </c>
      <c r="U1152" s="12" t="str">
        <f t="shared" si="104"/>
        <v xml:space="preserve"> 로우 셔틀#3 제품 수취 시퀀스 이상</v>
      </c>
      <c r="V1152" s="49" t="str">
        <f t="shared" si="102"/>
        <v>[W1242.F] 로우 셔틀#3 제품 수취 시퀀스 이상</v>
      </c>
    </row>
    <row r="1153" spans="1:22" s="49" customFormat="1" ht="14.15" customHeight="1">
      <c r="A1153" s="44"/>
      <c r="B1153" s="44" t="s">
        <v>6637</v>
      </c>
      <c r="C1153" s="50"/>
      <c r="D1153" s="10" t="s">
        <v>29</v>
      </c>
      <c r="E1153" s="11"/>
      <c r="F1153" s="11" t="s">
        <v>18</v>
      </c>
      <c r="G1153" s="13"/>
      <c r="H1153" s="45" t="s">
        <v>16</v>
      </c>
      <c r="I1153" s="47"/>
      <c r="J1153" s="12" t="s">
        <v>2553</v>
      </c>
      <c r="K1153" s="13" t="s">
        <v>7923</v>
      </c>
      <c r="L1153" s="99" t="str">
        <f t="shared" si="101"/>
        <v>W1243.0</v>
      </c>
      <c r="M1153" s="13"/>
      <c r="N1153" s="13"/>
      <c r="O1153" s="13"/>
      <c r="P1153" s="47"/>
      <c r="Q1153" s="45"/>
      <c r="R1153" s="45"/>
      <c r="S1153" s="48"/>
      <c r="T1153" s="49" t="str">
        <f t="shared" si="103"/>
        <v>[W1243.0]</v>
      </c>
      <c r="U1153" s="12" t="str">
        <f t="shared" si="104"/>
        <v xml:space="preserve"> </v>
      </c>
      <c r="V1153" s="49" t="str">
        <f t="shared" si="102"/>
        <v xml:space="preserve">[W1243.0] </v>
      </c>
    </row>
    <row r="1154" spans="1:22" s="49" customFormat="1" ht="14.15" customHeight="1">
      <c r="A1154" s="43" t="s">
        <v>3731</v>
      </c>
      <c r="B1154" s="44" t="s">
        <v>6637</v>
      </c>
      <c r="C1154" s="50"/>
      <c r="D1154" s="10" t="s">
        <v>29</v>
      </c>
      <c r="E1154" s="11"/>
      <c r="F1154" s="11" t="s">
        <v>18</v>
      </c>
      <c r="G1154" s="13"/>
      <c r="H1154" s="45" t="s">
        <v>16</v>
      </c>
      <c r="I1154" s="47"/>
      <c r="J1154" s="12" t="s">
        <v>2554</v>
      </c>
      <c r="K1154" s="13" t="s">
        <v>7924</v>
      </c>
      <c r="L1154" s="99" t="str">
        <f t="shared" si="101"/>
        <v>W1243.1</v>
      </c>
      <c r="M1154" s="13" t="s">
        <v>3667</v>
      </c>
      <c r="N1154" s="13"/>
      <c r="O1154" s="13"/>
      <c r="P1154" s="47"/>
      <c r="Q1154" s="45"/>
      <c r="R1154" s="45"/>
      <c r="S1154" s="48"/>
      <c r="T1154" s="49" t="str">
        <f t="shared" si="103"/>
        <v>[W1243.1]</v>
      </c>
      <c r="U1154" s="12" t="str">
        <f t="shared" si="104"/>
        <v xml:space="preserve"> 로우 셔틀#3 제품 베츨 시퀀스 이상</v>
      </c>
      <c r="V1154" s="49" t="str">
        <f t="shared" si="102"/>
        <v>[W1243.1] 로우 셔틀#3 제품 베츨 시퀀스 이상</v>
      </c>
    </row>
    <row r="1155" spans="1:22" s="49" customFormat="1" ht="14.15" customHeight="1">
      <c r="A1155" s="44"/>
      <c r="B1155" s="44" t="s">
        <v>6637</v>
      </c>
      <c r="C1155" s="50"/>
      <c r="D1155" s="10" t="s">
        <v>29</v>
      </c>
      <c r="E1155" s="11"/>
      <c r="F1155" s="11" t="s">
        <v>18</v>
      </c>
      <c r="G1155" s="13"/>
      <c r="H1155" s="45" t="s">
        <v>16</v>
      </c>
      <c r="I1155" s="47"/>
      <c r="J1155" s="12" t="s">
        <v>934</v>
      </c>
      <c r="K1155" s="13" t="s">
        <v>7925</v>
      </c>
      <c r="L1155" s="99" t="str">
        <f t="shared" si="101"/>
        <v>W1243.2</v>
      </c>
      <c r="M1155" s="13"/>
      <c r="N1155" s="13"/>
      <c r="O1155" s="13"/>
      <c r="P1155" s="47"/>
      <c r="Q1155" s="45"/>
      <c r="R1155" s="45"/>
      <c r="S1155" s="48"/>
      <c r="T1155" s="49" t="str">
        <f t="shared" si="103"/>
        <v>[W1243.2]</v>
      </c>
      <c r="U1155" s="12" t="str">
        <f t="shared" si="104"/>
        <v xml:space="preserve"> </v>
      </c>
      <c r="V1155" s="49" t="str">
        <f t="shared" si="102"/>
        <v xml:space="preserve">[W1243.2] </v>
      </c>
    </row>
    <row r="1156" spans="1:22" s="49" customFormat="1" ht="14.15" customHeight="1">
      <c r="A1156" s="44"/>
      <c r="B1156" s="44" t="s">
        <v>6637</v>
      </c>
      <c r="C1156" s="50"/>
      <c r="D1156" s="10" t="s">
        <v>29</v>
      </c>
      <c r="E1156" s="11"/>
      <c r="F1156" s="11" t="s">
        <v>18</v>
      </c>
      <c r="G1156" s="13"/>
      <c r="H1156" s="45" t="s">
        <v>16</v>
      </c>
      <c r="I1156" s="47"/>
      <c r="J1156" s="12" t="s">
        <v>935</v>
      </c>
      <c r="K1156" s="13" t="s">
        <v>7926</v>
      </c>
      <c r="L1156" s="99" t="str">
        <f t="shared" si="101"/>
        <v>W1243.3</v>
      </c>
      <c r="M1156" s="13"/>
      <c r="N1156" s="13"/>
      <c r="O1156" s="13"/>
      <c r="P1156" s="47"/>
      <c r="Q1156" s="45"/>
      <c r="R1156" s="45"/>
      <c r="S1156" s="48"/>
      <c r="T1156" s="49" t="str">
        <f t="shared" si="103"/>
        <v>[W1243.3]</v>
      </c>
      <c r="U1156" s="12" t="str">
        <f t="shared" si="104"/>
        <v xml:space="preserve"> </v>
      </c>
      <c r="V1156" s="49" t="str">
        <f t="shared" si="102"/>
        <v xml:space="preserve">[W1243.3] </v>
      </c>
    </row>
    <row r="1157" spans="1:22" s="49" customFormat="1" ht="14.15" customHeight="1">
      <c r="A1157" s="44"/>
      <c r="B1157" s="44" t="s">
        <v>6637</v>
      </c>
      <c r="C1157" s="50"/>
      <c r="D1157" s="10" t="s">
        <v>29</v>
      </c>
      <c r="E1157" s="11"/>
      <c r="F1157" s="11" t="s">
        <v>18</v>
      </c>
      <c r="G1157" s="13"/>
      <c r="H1157" s="45" t="s">
        <v>16</v>
      </c>
      <c r="I1157" s="47"/>
      <c r="J1157" s="12" t="s">
        <v>936</v>
      </c>
      <c r="K1157" s="13" t="s">
        <v>7927</v>
      </c>
      <c r="L1157" s="99" t="str">
        <f t="shared" si="101"/>
        <v>W1243.4</v>
      </c>
      <c r="M1157" s="13"/>
      <c r="N1157" s="13"/>
      <c r="O1157" s="13"/>
      <c r="P1157" s="47"/>
      <c r="Q1157" s="45"/>
      <c r="R1157" s="45"/>
      <c r="S1157" s="48"/>
      <c r="T1157" s="49" t="str">
        <f t="shared" si="103"/>
        <v>[W1243.4]</v>
      </c>
      <c r="U1157" s="12" t="str">
        <f t="shared" si="104"/>
        <v xml:space="preserve"> </v>
      </c>
      <c r="V1157" s="49" t="str">
        <f t="shared" si="102"/>
        <v xml:space="preserve">[W1243.4] </v>
      </c>
    </row>
    <row r="1158" spans="1:22" s="49" customFormat="1" ht="14.15" customHeight="1">
      <c r="A1158" s="44"/>
      <c r="B1158" s="44" t="s">
        <v>6637</v>
      </c>
      <c r="C1158" s="50"/>
      <c r="D1158" s="10" t="s">
        <v>29</v>
      </c>
      <c r="E1158" s="11"/>
      <c r="F1158" s="11" t="s">
        <v>18</v>
      </c>
      <c r="G1158" s="13"/>
      <c r="H1158" s="45" t="s">
        <v>16</v>
      </c>
      <c r="I1158" s="47"/>
      <c r="J1158" s="12" t="s">
        <v>937</v>
      </c>
      <c r="K1158" s="13" t="s">
        <v>7928</v>
      </c>
      <c r="L1158" s="99" t="str">
        <f t="shared" si="101"/>
        <v>W1243.5</v>
      </c>
      <c r="M1158" s="13"/>
      <c r="N1158" s="13"/>
      <c r="O1158" s="13"/>
      <c r="P1158" s="47"/>
      <c r="Q1158" s="45"/>
      <c r="R1158" s="45"/>
      <c r="S1158" s="48"/>
      <c r="T1158" s="49" t="str">
        <f t="shared" si="103"/>
        <v>[W1243.5]</v>
      </c>
      <c r="U1158" s="12" t="str">
        <f t="shared" si="104"/>
        <v xml:space="preserve"> </v>
      </c>
      <c r="V1158" s="49" t="str">
        <f t="shared" si="102"/>
        <v xml:space="preserve">[W1243.5] </v>
      </c>
    </row>
    <row r="1159" spans="1:22" s="49" customFormat="1" ht="14.15" customHeight="1">
      <c r="A1159" s="43" t="s">
        <v>3731</v>
      </c>
      <c r="B1159" s="44" t="s">
        <v>6637</v>
      </c>
      <c r="C1159" s="50"/>
      <c r="D1159" s="10" t="s">
        <v>29</v>
      </c>
      <c r="E1159" s="11"/>
      <c r="F1159" s="11" t="s">
        <v>18</v>
      </c>
      <c r="G1159" s="13"/>
      <c r="H1159" s="45" t="s">
        <v>16</v>
      </c>
      <c r="I1159" s="47"/>
      <c r="J1159" s="12" t="s">
        <v>2555</v>
      </c>
      <c r="K1159" s="13" t="s">
        <v>7929</v>
      </c>
      <c r="L1159" s="99" t="str">
        <f t="shared" si="101"/>
        <v>W1243.6</v>
      </c>
      <c r="M1159" s="13" t="s">
        <v>3667</v>
      </c>
      <c r="N1159" s="13"/>
      <c r="O1159" s="13"/>
      <c r="P1159" s="47"/>
      <c r="Q1159" s="45"/>
      <c r="R1159" s="45"/>
      <c r="S1159" s="48"/>
      <c r="T1159" s="49" t="str">
        <f t="shared" si="103"/>
        <v>[W1243.6]</v>
      </c>
      <c r="U1159" s="12" t="str">
        <f t="shared" si="104"/>
        <v xml:space="preserve"> 로우 셔틀#3 제품 데이터 불일치 이상 (X3D8)</v>
      </c>
      <c r="V1159" s="49" t="str">
        <f t="shared" si="102"/>
        <v>[W1243.6] 로우 셔틀#3 제품 데이터 불일치 이상 (X3D8)</v>
      </c>
    </row>
    <row r="1160" spans="1:22" s="49" customFormat="1" ht="14.15" customHeight="1">
      <c r="A1160" s="44"/>
      <c r="B1160" s="44" t="s">
        <v>6637</v>
      </c>
      <c r="C1160" s="50"/>
      <c r="D1160" s="10" t="s">
        <v>29</v>
      </c>
      <c r="E1160" s="11"/>
      <c r="F1160" s="11" t="s">
        <v>18</v>
      </c>
      <c r="G1160" s="13"/>
      <c r="H1160" s="45" t="s">
        <v>16</v>
      </c>
      <c r="I1160" s="47"/>
      <c r="J1160" s="12" t="s">
        <v>2556</v>
      </c>
      <c r="K1160" s="13" t="s">
        <v>7930</v>
      </c>
      <c r="L1160" s="99" t="str">
        <f t="shared" si="101"/>
        <v>W1243.7</v>
      </c>
      <c r="M1160" s="13"/>
      <c r="N1160" s="13"/>
      <c r="O1160" s="13"/>
      <c r="P1160" s="47"/>
      <c r="Q1160" s="45"/>
      <c r="R1160" s="45"/>
      <c r="S1160" s="48"/>
      <c r="T1160" s="49" t="str">
        <f t="shared" si="103"/>
        <v>[W1243.7]</v>
      </c>
      <c r="U1160" s="12" t="str">
        <f t="shared" si="104"/>
        <v xml:space="preserve"> </v>
      </c>
      <c r="V1160" s="49" t="str">
        <f t="shared" si="102"/>
        <v xml:space="preserve">[W1243.7] </v>
      </c>
    </row>
    <row r="1161" spans="1:22" s="49" customFormat="1" ht="14.15" customHeight="1">
      <c r="A1161" s="44"/>
      <c r="B1161" s="44" t="s">
        <v>6637</v>
      </c>
      <c r="C1161" s="50"/>
      <c r="D1161" s="10" t="s">
        <v>29</v>
      </c>
      <c r="E1161" s="11"/>
      <c r="F1161" s="11" t="s">
        <v>18</v>
      </c>
      <c r="G1161" s="13"/>
      <c r="H1161" s="45" t="s">
        <v>16</v>
      </c>
      <c r="I1161" s="47"/>
      <c r="J1161" s="12" t="s">
        <v>3702</v>
      </c>
      <c r="K1161" s="13" t="s">
        <v>7931</v>
      </c>
      <c r="L1161" s="99" t="str">
        <f t="shared" si="101"/>
        <v>W1243.8</v>
      </c>
      <c r="M1161" s="13"/>
      <c r="N1161" s="13"/>
      <c r="O1161" s="13"/>
      <c r="P1161" s="47"/>
      <c r="Q1161" s="45"/>
      <c r="R1161" s="45"/>
      <c r="S1161" s="48"/>
      <c r="T1161" s="49" t="str">
        <f t="shared" si="103"/>
        <v>[W1243.8]</v>
      </c>
      <c r="U1161" s="12" t="str">
        <f t="shared" si="104"/>
        <v xml:space="preserve"> </v>
      </c>
      <c r="V1161" s="49" t="str">
        <f t="shared" si="102"/>
        <v xml:space="preserve">[W1243.8] </v>
      </c>
    </row>
    <row r="1162" spans="1:22" s="49" customFormat="1" ht="14.15" customHeight="1">
      <c r="A1162" s="44"/>
      <c r="B1162" s="44" t="s">
        <v>6637</v>
      </c>
      <c r="C1162" s="50"/>
      <c r="D1162" s="10" t="s">
        <v>29</v>
      </c>
      <c r="E1162" s="11"/>
      <c r="F1162" s="11" t="s">
        <v>18</v>
      </c>
      <c r="G1162" s="13"/>
      <c r="H1162" s="45" t="s">
        <v>16</v>
      </c>
      <c r="I1162" s="47"/>
      <c r="J1162" s="12" t="s">
        <v>2557</v>
      </c>
      <c r="K1162" s="13" t="s">
        <v>7932</v>
      </c>
      <c r="L1162" s="99" t="str">
        <f t="shared" si="101"/>
        <v>W1243.9</v>
      </c>
      <c r="M1162" s="13"/>
      <c r="N1162" s="13"/>
      <c r="O1162" s="13"/>
      <c r="P1162" s="47"/>
      <c r="Q1162" s="45"/>
      <c r="R1162" s="45"/>
      <c r="S1162" s="48"/>
      <c r="T1162" s="49" t="str">
        <f t="shared" si="103"/>
        <v>[W1243.9]</v>
      </c>
      <c r="U1162" s="12" t="str">
        <f t="shared" si="104"/>
        <v xml:space="preserve"> </v>
      </c>
      <c r="V1162" s="49" t="str">
        <f t="shared" si="102"/>
        <v xml:space="preserve">[W1243.9] </v>
      </c>
    </row>
    <row r="1163" spans="1:22" s="49" customFormat="1" ht="14.15" customHeight="1">
      <c r="A1163" s="44"/>
      <c r="B1163" s="44" t="s">
        <v>6637</v>
      </c>
      <c r="C1163" s="50"/>
      <c r="D1163" s="10" t="s">
        <v>29</v>
      </c>
      <c r="E1163" s="11"/>
      <c r="F1163" s="11" t="s">
        <v>18</v>
      </c>
      <c r="G1163" s="13"/>
      <c r="H1163" s="45" t="s">
        <v>16</v>
      </c>
      <c r="I1163" s="47"/>
      <c r="J1163" s="12" t="s">
        <v>938</v>
      </c>
      <c r="K1163" s="13" t="s">
        <v>7933</v>
      </c>
      <c r="L1163" s="99" t="str">
        <f t="shared" si="101"/>
        <v>W1243.A</v>
      </c>
      <c r="M1163" s="13"/>
      <c r="N1163" s="13"/>
      <c r="O1163" s="13"/>
      <c r="P1163" s="47"/>
      <c r="Q1163" s="45"/>
      <c r="R1163" s="45"/>
      <c r="S1163" s="48"/>
      <c r="T1163" s="49" t="str">
        <f t="shared" si="103"/>
        <v>[W1243.A]</v>
      </c>
      <c r="U1163" s="12" t="str">
        <f t="shared" si="104"/>
        <v xml:space="preserve"> </v>
      </c>
      <c r="V1163" s="49" t="str">
        <f t="shared" si="102"/>
        <v xml:space="preserve">[W1243.A] </v>
      </c>
    </row>
    <row r="1164" spans="1:22" s="49" customFormat="1" ht="14.15" customHeight="1">
      <c r="A1164" s="44"/>
      <c r="B1164" s="44" t="s">
        <v>6637</v>
      </c>
      <c r="C1164" s="50"/>
      <c r="D1164" s="10" t="s">
        <v>29</v>
      </c>
      <c r="E1164" s="11"/>
      <c r="F1164" s="11" t="s">
        <v>18</v>
      </c>
      <c r="G1164" s="13"/>
      <c r="H1164" s="45" t="s">
        <v>16</v>
      </c>
      <c r="I1164" s="47"/>
      <c r="J1164" s="12" t="s">
        <v>939</v>
      </c>
      <c r="K1164" s="13" t="s">
        <v>7934</v>
      </c>
      <c r="L1164" s="99" t="str">
        <f t="shared" si="101"/>
        <v>W1243.B</v>
      </c>
      <c r="M1164" s="13"/>
      <c r="N1164" s="13"/>
      <c r="O1164" s="13"/>
      <c r="P1164" s="47"/>
      <c r="Q1164" s="45"/>
      <c r="R1164" s="45"/>
      <c r="S1164" s="48"/>
      <c r="T1164" s="49" t="str">
        <f t="shared" si="103"/>
        <v>[W1243.B]</v>
      </c>
      <c r="U1164" s="12" t="str">
        <f t="shared" si="104"/>
        <v xml:space="preserve"> </v>
      </c>
      <c r="V1164" s="49" t="str">
        <f t="shared" si="102"/>
        <v xml:space="preserve">[W1243.B] </v>
      </c>
    </row>
    <row r="1165" spans="1:22" s="49" customFormat="1" ht="14.15" customHeight="1">
      <c r="A1165" s="44"/>
      <c r="B1165" s="44" t="s">
        <v>6637</v>
      </c>
      <c r="C1165" s="50"/>
      <c r="D1165" s="10" t="s">
        <v>29</v>
      </c>
      <c r="E1165" s="11"/>
      <c r="F1165" s="11" t="s">
        <v>18</v>
      </c>
      <c r="G1165" s="13"/>
      <c r="H1165" s="45" t="s">
        <v>16</v>
      </c>
      <c r="I1165" s="47"/>
      <c r="J1165" s="12" t="s">
        <v>2558</v>
      </c>
      <c r="K1165" s="13" t="s">
        <v>7935</v>
      </c>
      <c r="L1165" s="99" t="str">
        <f t="shared" si="101"/>
        <v>W1243.C</v>
      </c>
      <c r="M1165" s="13"/>
      <c r="N1165" s="13"/>
      <c r="O1165" s="13"/>
      <c r="P1165" s="47"/>
      <c r="Q1165" s="45"/>
      <c r="R1165" s="45"/>
      <c r="S1165" s="48"/>
      <c r="T1165" s="49" t="str">
        <f t="shared" si="103"/>
        <v>[W1243.C]</v>
      </c>
      <c r="U1165" s="12" t="str">
        <f t="shared" si="104"/>
        <v xml:space="preserve"> </v>
      </c>
      <c r="V1165" s="49" t="str">
        <f t="shared" si="102"/>
        <v xml:space="preserve">[W1243.C] </v>
      </c>
    </row>
    <row r="1166" spans="1:22" s="49" customFormat="1" ht="14.15" customHeight="1">
      <c r="A1166" s="43" t="s">
        <v>3679</v>
      </c>
      <c r="B1166" s="44" t="s">
        <v>6637</v>
      </c>
      <c r="C1166" s="50"/>
      <c r="D1166" s="10" t="s">
        <v>29</v>
      </c>
      <c r="E1166" s="11"/>
      <c r="F1166" s="11" t="s">
        <v>18</v>
      </c>
      <c r="G1166" s="13"/>
      <c r="H1166" s="45" t="s">
        <v>16</v>
      </c>
      <c r="I1166" s="47"/>
      <c r="J1166" s="12" t="s">
        <v>2559</v>
      </c>
      <c r="K1166" s="13" t="s">
        <v>7936</v>
      </c>
      <c r="L1166" s="99" t="str">
        <f t="shared" si="101"/>
        <v>W1243.D</v>
      </c>
      <c r="M1166" s="13" t="s">
        <v>3667</v>
      </c>
      <c r="N1166" s="13"/>
      <c r="O1166" s="13"/>
      <c r="P1166" s="47"/>
      <c r="Q1166" s="45"/>
      <c r="R1166" s="45"/>
      <c r="S1166" s="48"/>
      <c r="T1166" s="49" t="str">
        <f t="shared" si="103"/>
        <v>[W1243.D]</v>
      </c>
      <c r="U1166" s="12" t="str">
        <f t="shared" si="104"/>
        <v xml:space="preserve"> 어퍼 커버 용접 용접 건 하강 시간초과 (Y48A, X44E, X46E)</v>
      </c>
      <c r="V1166" s="49" t="str">
        <f t="shared" si="102"/>
        <v>[W1243.D] 어퍼 커버 용접 용접 건 하강 시간초과 (Y48A, X44E, X46E)</v>
      </c>
    </row>
    <row r="1167" spans="1:22" s="49" customFormat="1" ht="14.15" customHeight="1">
      <c r="A1167" s="43" t="s">
        <v>3679</v>
      </c>
      <c r="B1167" s="44" t="s">
        <v>6637</v>
      </c>
      <c r="C1167" s="50"/>
      <c r="D1167" s="10" t="s">
        <v>29</v>
      </c>
      <c r="E1167" s="11"/>
      <c r="F1167" s="11" t="s">
        <v>18</v>
      </c>
      <c r="G1167" s="13"/>
      <c r="H1167" s="45" t="s">
        <v>16</v>
      </c>
      <c r="I1167" s="47"/>
      <c r="J1167" s="12" t="s">
        <v>2560</v>
      </c>
      <c r="K1167" s="13" t="s">
        <v>7937</v>
      </c>
      <c r="L1167" s="99" t="str">
        <f t="shared" si="101"/>
        <v>W1243.E</v>
      </c>
      <c r="M1167" s="13" t="s">
        <v>3667</v>
      </c>
      <c r="N1167" s="13"/>
      <c r="O1167" s="13"/>
      <c r="P1167" s="47"/>
      <c r="Q1167" s="45"/>
      <c r="R1167" s="45"/>
      <c r="S1167" s="48"/>
      <c r="T1167" s="49" t="str">
        <f t="shared" si="103"/>
        <v>[W1243.E]</v>
      </c>
      <c r="U1167" s="12" t="str">
        <f t="shared" si="104"/>
        <v xml:space="preserve"> 어퍼 커버 용접 용접 건 상승 시간초과 (Y48B, X44D, X46D)</v>
      </c>
      <c r="V1167" s="49" t="str">
        <f t="shared" si="102"/>
        <v>[W1243.E] 어퍼 커버 용접 용접 건 상승 시간초과 (Y48B, X44D, X46D)</v>
      </c>
    </row>
    <row r="1168" spans="1:22" s="49" customFormat="1" ht="14.15" customHeight="1">
      <c r="A1168" s="43" t="s">
        <v>3679</v>
      </c>
      <c r="B1168" s="44" t="s">
        <v>6637</v>
      </c>
      <c r="C1168" s="50"/>
      <c r="D1168" s="10" t="s">
        <v>29</v>
      </c>
      <c r="E1168" s="11"/>
      <c r="F1168" s="11" t="s">
        <v>18</v>
      </c>
      <c r="G1168" s="13"/>
      <c r="H1168" s="45" t="s">
        <v>16</v>
      </c>
      <c r="I1168" s="47"/>
      <c r="J1168" s="12" t="s">
        <v>2561</v>
      </c>
      <c r="K1168" s="13" t="s">
        <v>7938</v>
      </c>
      <c r="L1168" s="99" t="str">
        <f t="shared" si="101"/>
        <v>W1243.F</v>
      </c>
      <c r="M1168" s="13" t="s">
        <v>3667</v>
      </c>
      <c r="N1168" s="13"/>
      <c r="O1168" s="13"/>
      <c r="P1168" s="47"/>
      <c r="Q1168" s="45"/>
      <c r="R1168" s="45"/>
      <c r="S1168" s="48"/>
      <c r="T1168" s="49" t="str">
        <f t="shared" si="103"/>
        <v>[W1243.F]</v>
      </c>
      <c r="U1168" s="12" t="str">
        <f t="shared" si="104"/>
        <v xml:space="preserve"> 어퍼 커버 용접 용접 건 상승/하강 센서 이상 (X44D, X44E, X46D, X46E)</v>
      </c>
      <c r="V1168" s="49" t="str">
        <f t="shared" si="102"/>
        <v>[W1243.F] 어퍼 커버 용접 용접 건 상승/하강 센서 이상 (X44D, X44E, X46D, X46E)</v>
      </c>
    </row>
    <row r="1169" spans="1:22" s="49" customFormat="1" ht="14.15" customHeight="1">
      <c r="A1169" s="44"/>
      <c r="B1169" s="44" t="s">
        <v>6637</v>
      </c>
      <c r="C1169" s="50"/>
      <c r="D1169" s="10" t="s">
        <v>29</v>
      </c>
      <c r="E1169" s="11"/>
      <c r="F1169" s="11" t="s">
        <v>18</v>
      </c>
      <c r="G1169" s="13"/>
      <c r="H1169" s="45" t="s">
        <v>16</v>
      </c>
      <c r="I1169" s="47"/>
      <c r="J1169" s="12" t="s">
        <v>942</v>
      </c>
      <c r="K1169" s="13" t="s">
        <v>7939</v>
      </c>
      <c r="L1169" s="99" t="str">
        <f t="shared" si="101"/>
        <v>W1244.0</v>
      </c>
      <c r="M1169" s="13"/>
      <c r="N1169" s="13"/>
      <c r="O1169" s="13"/>
      <c r="P1169" s="47"/>
      <c r="Q1169" s="45"/>
      <c r="R1169" s="45"/>
      <c r="S1169" s="48"/>
      <c r="T1169" s="49" t="str">
        <f>"["&amp;L1139&amp;"]"</f>
        <v>[W1242.2]</v>
      </c>
      <c r="U1169" s="12" t="str">
        <f>RIGHT(J1139,LEN(J1139)-7)</f>
        <v xml:space="preserve"> 로우 셔틀#2 제품 데이터 불일치 이상 (X3D4)</v>
      </c>
      <c r="V1169" s="49" t="str">
        <f>T1139&amp;U1139</f>
        <v>[W1242.2] 로우 셔틀#2 제품 데이터 불일치 이상 (X3D4)</v>
      </c>
    </row>
    <row r="1170" spans="1:22" s="49" customFormat="1" ht="14.15" customHeight="1">
      <c r="A1170" s="44"/>
      <c r="B1170" s="44" t="s">
        <v>6637</v>
      </c>
      <c r="C1170" s="50"/>
      <c r="D1170" s="10" t="s">
        <v>29</v>
      </c>
      <c r="E1170" s="11"/>
      <c r="F1170" s="11" t="s">
        <v>18</v>
      </c>
      <c r="G1170" s="13"/>
      <c r="H1170" s="45" t="s">
        <v>16</v>
      </c>
      <c r="I1170" s="47"/>
      <c r="J1170" s="12" t="s">
        <v>2562</v>
      </c>
      <c r="K1170" s="13" t="s">
        <v>7940</v>
      </c>
      <c r="L1170" s="99" t="str">
        <f t="shared" ref="L1170:L1233" si="105">"W"&amp;DEC2HEX(4608 + INT((ROW()-81)/16)) &amp; "." &amp; IF(MOD(ROW()-81,16)&lt;10,MOD(ROW()-81,16),CHAR(MOD(ROW()-81,16)+55))</f>
        <v>W1244.1</v>
      </c>
      <c r="M1170" s="13"/>
      <c r="N1170" s="13"/>
      <c r="O1170" s="13"/>
      <c r="P1170" s="47"/>
      <c r="Q1170" s="45"/>
      <c r="R1170" s="45"/>
      <c r="S1170" s="48"/>
      <c r="T1170" s="49" t="str">
        <f t="shared" ref="T1170:T1201" si="106">"["&amp;L1170&amp;"]"</f>
        <v>[W1244.1]</v>
      </c>
      <c r="U1170" s="12" t="str">
        <f t="shared" ref="U1170:U1201" si="107">RIGHT(J1170,LEN(J1170)-7)</f>
        <v xml:space="preserve"> </v>
      </c>
      <c r="V1170" s="49" t="str">
        <f t="shared" ref="V1170:V1233" si="108">T1170&amp;U1170</f>
        <v xml:space="preserve">[W1244.1] </v>
      </c>
    </row>
    <row r="1171" spans="1:22" s="49" customFormat="1" ht="14.15" customHeight="1">
      <c r="A1171" s="44"/>
      <c r="B1171" s="44" t="s">
        <v>6637</v>
      </c>
      <c r="C1171" s="50"/>
      <c r="D1171" s="10" t="s">
        <v>29</v>
      </c>
      <c r="E1171" s="11"/>
      <c r="F1171" s="11" t="s">
        <v>18</v>
      </c>
      <c r="G1171" s="13"/>
      <c r="H1171" s="45" t="s">
        <v>16</v>
      </c>
      <c r="I1171" s="47"/>
      <c r="J1171" s="12" t="s">
        <v>2563</v>
      </c>
      <c r="K1171" s="13" t="s">
        <v>7941</v>
      </c>
      <c r="L1171" s="99" t="str">
        <f t="shared" si="105"/>
        <v>W1244.2</v>
      </c>
      <c r="M1171" s="13"/>
      <c r="N1171" s="13"/>
      <c r="O1171" s="13"/>
      <c r="P1171" s="47"/>
      <c r="Q1171" s="45"/>
      <c r="R1171" s="45"/>
      <c r="S1171" s="48"/>
      <c r="T1171" s="49" t="str">
        <f t="shared" si="106"/>
        <v>[W1244.2]</v>
      </c>
      <c r="U1171" s="12" t="str">
        <f t="shared" si="107"/>
        <v xml:space="preserve"> </v>
      </c>
      <c r="V1171" s="49" t="str">
        <f t="shared" si="108"/>
        <v xml:space="preserve">[W1244.2] </v>
      </c>
    </row>
    <row r="1172" spans="1:22" s="49" customFormat="1" ht="14.15" customHeight="1">
      <c r="A1172" s="44"/>
      <c r="B1172" s="44" t="s">
        <v>6637</v>
      </c>
      <c r="C1172" s="50"/>
      <c r="D1172" s="10" t="s">
        <v>29</v>
      </c>
      <c r="E1172" s="11"/>
      <c r="F1172" s="11" t="s">
        <v>18</v>
      </c>
      <c r="G1172" s="13"/>
      <c r="H1172" s="45" t="s">
        <v>16</v>
      </c>
      <c r="I1172" s="47"/>
      <c r="J1172" s="12" t="s">
        <v>2564</v>
      </c>
      <c r="K1172" s="13" t="s">
        <v>7942</v>
      </c>
      <c r="L1172" s="99" t="str">
        <f t="shared" si="105"/>
        <v>W1244.3</v>
      </c>
      <c r="M1172" s="13"/>
      <c r="N1172" s="13"/>
      <c r="O1172" s="13"/>
      <c r="P1172" s="47"/>
      <c r="Q1172" s="45"/>
      <c r="R1172" s="45"/>
      <c r="S1172" s="48"/>
      <c r="T1172" s="49" t="str">
        <f t="shared" si="106"/>
        <v>[W1244.3]</v>
      </c>
      <c r="U1172" s="12" t="str">
        <f t="shared" si="107"/>
        <v xml:space="preserve"> </v>
      </c>
      <c r="V1172" s="49" t="str">
        <f t="shared" si="108"/>
        <v xml:space="preserve">[W1244.3] </v>
      </c>
    </row>
    <row r="1173" spans="1:22" s="49" customFormat="1" ht="14.15" customHeight="1">
      <c r="A1173" s="44"/>
      <c r="B1173" s="44" t="s">
        <v>6637</v>
      </c>
      <c r="C1173" s="50"/>
      <c r="D1173" s="10" t="s">
        <v>29</v>
      </c>
      <c r="E1173" s="11"/>
      <c r="F1173" s="11" t="s">
        <v>18</v>
      </c>
      <c r="G1173" s="13"/>
      <c r="H1173" s="45" t="s">
        <v>16</v>
      </c>
      <c r="I1173" s="47"/>
      <c r="J1173" s="12" t="s">
        <v>943</v>
      </c>
      <c r="K1173" s="13" t="s">
        <v>7943</v>
      </c>
      <c r="L1173" s="99" t="str">
        <f t="shared" si="105"/>
        <v>W1244.4</v>
      </c>
      <c r="M1173" s="13"/>
      <c r="N1173" s="13"/>
      <c r="O1173" s="13"/>
      <c r="P1173" s="47"/>
      <c r="Q1173" s="45"/>
      <c r="R1173" s="45"/>
      <c r="S1173" s="48"/>
      <c r="T1173" s="49" t="str">
        <f t="shared" si="106"/>
        <v>[W1244.4]</v>
      </c>
      <c r="U1173" s="12" t="str">
        <f t="shared" si="107"/>
        <v xml:space="preserve"> </v>
      </c>
      <c r="V1173" s="49" t="str">
        <f t="shared" si="108"/>
        <v xml:space="preserve">[W1244.4] </v>
      </c>
    </row>
    <row r="1174" spans="1:22" s="49" customFormat="1" ht="14.15" customHeight="1">
      <c r="A1174" s="44"/>
      <c r="B1174" s="44" t="s">
        <v>6637</v>
      </c>
      <c r="C1174" s="50"/>
      <c r="D1174" s="10" t="s">
        <v>29</v>
      </c>
      <c r="E1174" s="11"/>
      <c r="F1174" s="11" t="s">
        <v>18</v>
      </c>
      <c r="G1174" s="13"/>
      <c r="H1174" s="45" t="s">
        <v>16</v>
      </c>
      <c r="I1174" s="47"/>
      <c r="J1174" s="12" t="s">
        <v>2565</v>
      </c>
      <c r="K1174" s="13" t="s">
        <v>7944</v>
      </c>
      <c r="L1174" s="99" t="str">
        <f t="shared" si="105"/>
        <v>W1244.5</v>
      </c>
      <c r="M1174" s="13"/>
      <c r="N1174" s="13"/>
      <c r="O1174" s="13"/>
      <c r="P1174" s="47"/>
      <c r="Q1174" s="45"/>
      <c r="R1174" s="45"/>
      <c r="S1174" s="48"/>
      <c r="T1174" s="49" t="str">
        <f t="shared" si="106"/>
        <v>[W1244.5]</v>
      </c>
      <c r="U1174" s="12" t="str">
        <f t="shared" si="107"/>
        <v xml:space="preserve"> </v>
      </c>
      <c r="V1174" s="49" t="str">
        <f t="shared" si="108"/>
        <v xml:space="preserve">[W1244.5] </v>
      </c>
    </row>
    <row r="1175" spans="1:22" s="49" customFormat="1" ht="14.15" customHeight="1">
      <c r="A1175" s="44"/>
      <c r="B1175" s="44" t="s">
        <v>6637</v>
      </c>
      <c r="C1175" s="50"/>
      <c r="D1175" s="10" t="s">
        <v>29</v>
      </c>
      <c r="E1175" s="11"/>
      <c r="F1175" s="11" t="s">
        <v>18</v>
      </c>
      <c r="G1175" s="13"/>
      <c r="H1175" s="45" t="s">
        <v>16</v>
      </c>
      <c r="I1175" s="47"/>
      <c r="J1175" s="12" t="s">
        <v>944</v>
      </c>
      <c r="K1175" s="13" t="s">
        <v>7945</v>
      </c>
      <c r="L1175" s="99" t="str">
        <f t="shared" si="105"/>
        <v>W1244.6</v>
      </c>
      <c r="M1175" s="13"/>
      <c r="N1175" s="13"/>
      <c r="O1175" s="13"/>
      <c r="P1175" s="47"/>
      <c r="Q1175" s="45"/>
      <c r="R1175" s="45"/>
      <c r="S1175" s="48"/>
      <c r="T1175" s="49" t="str">
        <f t="shared" si="106"/>
        <v>[W1244.6]</v>
      </c>
      <c r="U1175" s="12" t="str">
        <f t="shared" si="107"/>
        <v xml:space="preserve"> </v>
      </c>
      <c r="V1175" s="49" t="str">
        <f t="shared" si="108"/>
        <v xml:space="preserve">[W1244.6] </v>
      </c>
    </row>
    <row r="1176" spans="1:22" s="49" customFormat="1" ht="14.15" customHeight="1">
      <c r="A1176" s="44"/>
      <c r="B1176" s="44" t="s">
        <v>6637</v>
      </c>
      <c r="C1176" s="50"/>
      <c r="D1176" s="10" t="s">
        <v>29</v>
      </c>
      <c r="E1176" s="11"/>
      <c r="F1176" s="11" t="s">
        <v>18</v>
      </c>
      <c r="G1176" s="13"/>
      <c r="H1176" s="45" t="s">
        <v>16</v>
      </c>
      <c r="I1176" s="47"/>
      <c r="J1176" s="12" t="s">
        <v>945</v>
      </c>
      <c r="K1176" s="13" t="s">
        <v>7946</v>
      </c>
      <c r="L1176" s="99" t="str">
        <f t="shared" si="105"/>
        <v>W1244.7</v>
      </c>
      <c r="M1176" s="13"/>
      <c r="N1176" s="13"/>
      <c r="O1176" s="13"/>
      <c r="P1176" s="47"/>
      <c r="Q1176" s="45"/>
      <c r="R1176" s="45"/>
      <c r="S1176" s="48"/>
      <c r="T1176" s="49" t="str">
        <f t="shared" si="106"/>
        <v>[W1244.7]</v>
      </c>
      <c r="U1176" s="12" t="str">
        <f t="shared" si="107"/>
        <v xml:space="preserve"> </v>
      </c>
      <c r="V1176" s="49" t="str">
        <f t="shared" si="108"/>
        <v xml:space="preserve">[W1244.7] </v>
      </c>
    </row>
    <row r="1177" spans="1:22" s="49" customFormat="1" ht="14.15" customHeight="1">
      <c r="A1177" s="44"/>
      <c r="B1177" s="44" t="s">
        <v>6637</v>
      </c>
      <c r="C1177" s="50"/>
      <c r="D1177" s="10" t="s">
        <v>29</v>
      </c>
      <c r="E1177" s="11"/>
      <c r="F1177" s="11" t="s">
        <v>18</v>
      </c>
      <c r="G1177" s="13"/>
      <c r="H1177" s="45" t="s">
        <v>16</v>
      </c>
      <c r="I1177" s="47"/>
      <c r="J1177" s="12" t="s">
        <v>946</v>
      </c>
      <c r="K1177" s="13" t="s">
        <v>7947</v>
      </c>
      <c r="L1177" s="99" t="str">
        <f t="shared" si="105"/>
        <v>W1244.8</v>
      </c>
      <c r="M1177" s="13"/>
      <c r="N1177" s="13"/>
      <c r="O1177" s="13"/>
      <c r="P1177" s="47"/>
      <c r="Q1177" s="45"/>
      <c r="R1177" s="45"/>
      <c r="S1177" s="48"/>
      <c r="T1177" s="49" t="str">
        <f t="shared" si="106"/>
        <v>[W1244.8]</v>
      </c>
      <c r="U1177" s="12" t="str">
        <f t="shared" si="107"/>
        <v xml:space="preserve"> </v>
      </c>
      <c r="V1177" s="49" t="str">
        <f t="shared" si="108"/>
        <v xml:space="preserve">[W1244.8] </v>
      </c>
    </row>
    <row r="1178" spans="1:22" s="49" customFormat="1" ht="14.15" customHeight="1">
      <c r="A1178" s="44"/>
      <c r="B1178" s="44" t="s">
        <v>6637</v>
      </c>
      <c r="C1178" s="50"/>
      <c r="D1178" s="10" t="s">
        <v>29</v>
      </c>
      <c r="E1178" s="11"/>
      <c r="F1178" s="11" t="s">
        <v>18</v>
      </c>
      <c r="G1178" s="13"/>
      <c r="H1178" s="45" t="s">
        <v>16</v>
      </c>
      <c r="I1178" s="47"/>
      <c r="J1178" s="12" t="s">
        <v>947</v>
      </c>
      <c r="K1178" s="13" t="s">
        <v>7948</v>
      </c>
      <c r="L1178" s="99" t="str">
        <f t="shared" si="105"/>
        <v>W1244.9</v>
      </c>
      <c r="M1178" s="13"/>
      <c r="N1178" s="13"/>
      <c r="O1178" s="13"/>
      <c r="P1178" s="47"/>
      <c r="Q1178" s="45"/>
      <c r="R1178" s="45"/>
      <c r="S1178" s="48"/>
      <c r="T1178" s="49" t="str">
        <f t="shared" si="106"/>
        <v>[W1244.9]</v>
      </c>
      <c r="U1178" s="12" t="str">
        <f t="shared" si="107"/>
        <v xml:space="preserve"> </v>
      </c>
      <c r="V1178" s="49" t="str">
        <f t="shared" si="108"/>
        <v xml:space="preserve">[W1244.9] </v>
      </c>
    </row>
    <row r="1179" spans="1:22" s="49" customFormat="1" ht="14.15" customHeight="1">
      <c r="A1179" s="44"/>
      <c r="B1179" s="44" t="s">
        <v>6637</v>
      </c>
      <c r="C1179" s="50"/>
      <c r="D1179" s="10" t="s">
        <v>29</v>
      </c>
      <c r="E1179" s="11"/>
      <c r="F1179" s="11" t="s">
        <v>18</v>
      </c>
      <c r="G1179" s="13"/>
      <c r="H1179" s="45" t="s">
        <v>16</v>
      </c>
      <c r="I1179" s="47"/>
      <c r="J1179" s="12" t="s">
        <v>2566</v>
      </c>
      <c r="K1179" s="13" t="s">
        <v>7949</v>
      </c>
      <c r="L1179" s="99" t="str">
        <f t="shared" si="105"/>
        <v>W1244.A</v>
      </c>
      <c r="M1179" s="13"/>
      <c r="N1179" s="13"/>
      <c r="O1179" s="13"/>
      <c r="P1179" s="47"/>
      <c r="Q1179" s="45"/>
      <c r="R1179" s="45"/>
      <c r="S1179" s="48"/>
      <c r="T1179" s="49" t="str">
        <f t="shared" si="106"/>
        <v>[W1244.A]</v>
      </c>
      <c r="U1179" s="12" t="str">
        <f t="shared" si="107"/>
        <v xml:space="preserve"> </v>
      </c>
      <c r="V1179" s="49" t="str">
        <f t="shared" si="108"/>
        <v xml:space="preserve">[W1244.A] </v>
      </c>
    </row>
    <row r="1180" spans="1:22" s="49" customFormat="1" ht="14.15" customHeight="1">
      <c r="A1180" s="44"/>
      <c r="B1180" s="44" t="s">
        <v>6637</v>
      </c>
      <c r="C1180" s="50"/>
      <c r="D1180" s="10" t="s">
        <v>29</v>
      </c>
      <c r="E1180" s="11"/>
      <c r="F1180" s="11" t="s">
        <v>18</v>
      </c>
      <c r="G1180" s="13"/>
      <c r="H1180" s="45" t="s">
        <v>16</v>
      </c>
      <c r="I1180" s="47"/>
      <c r="J1180" s="12" t="s">
        <v>2567</v>
      </c>
      <c r="K1180" s="13" t="s">
        <v>7950</v>
      </c>
      <c r="L1180" s="99" t="str">
        <f t="shared" si="105"/>
        <v>W1244.B</v>
      </c>
      <c r="M1180" s="13"/>
      <c r="N1180" s="13"/>
      <c r="O1180" s="13"/>
      <c r="P1180" s="47"/>
      <c r="Q1180" s="45"/>
      <c r="R1180" s="45"/>
      <c r="S1180" s="48"/>
      <c r="T1180" s="49" t="str">
        <f t="shared" si="106"/>
        <v>[W1244.B]</v>
      </c>
      <c r="U1180" s="12" t="str">
        <f t="shared" si="107"/>
        <v xml:space="preserve"> </v>
      </c>
      <c r="V1180" s="49" t="str">
        <f t="shared" si="108"/>
        <v xml:space="preserve">[W1244.B] </v>
      </c>
    </row>
    <row r="1181" spans="1:22" s="49" customFormat="1" ht="14.15" customHeight="1">
      <c r="A1181" s="44"/>
      <c r="B1181" s="44" t="s">
        <v>6637</v>
      </c>
      <c r="C1181" s="50"/>
      <c r="D1181" s="10" t="s">
        <v>29</v>
      </c>
      <c r="E1181" s="11"/>
      <c r="F1181" s="11" t="s">
        <v>18</v>
      </c>
      <c r="G1181" s="13"/>
      <c r="H1181" s="45" t="s">
        <v>16</v>
      </c>
      <c r="I1181" s="47"/>
      <c r="J1181" s="12" t="s">
        <v>2568</v>
      </c>
      <c r="K1181" s="13" t="s">
        <v>7951</v>
      </c>
      <c r="L1181" s="99" t="str">
        <f t="shared" si="105"/>
        <v>W1244.C</v>
      </c>
      <c r="M1181" s="13"/>
      <c r="N1181" s="13"/>
      <c r="O1181" s="13"/>
      <c r="P1181" s="47"/>
      <c r="Q1181" s="45"/>
      <c r="R1181" s="45"/>
      <c r="S1181" s="48"/>
      <c r="T1181" s="49" t="str">
        <f t="shared" si="106"/>
        <v>[W1244.C]</v>
      </c>
      <c r="U1181" s="12" t="str">
        <f t="shared" si="107"/>
        <v xml:space="preserve"> </v>
      </c>
      <c r="V1181" s="49" t="str">
        <f t="shared" si="108"/>
        <v xml:space="preserve">[W1244.C] </v>
      </c>
    </row>
    <row r="1182" spans="1:22" s="49" customFormat="1" ht="14.15" customHeight="1">
      <c r="A1182" s="44"/>
      <c r="B1182" s="44" t="s">
        <v>6637</v>
      </c>
      <c r="C1182" s="50"/>
      <c r="D1182" s="10" t="s">
        <v>29</v>
      </c>
      <c r="E1182" s="11"/>
      <c r="F1182" s="11" t="s">
        <v>18</v>
      </c>
      <c r="G1182" s="13"/>
      <c r="H1182" s="45" t="s">
        <v>16</v>
      </c>
      <c r="I1182" s="47"/>
      <c r="J1182" s="12" t="s">
        <v>2569</v>
      </c>
      <c r="K1182" s="13" t="s">
        <v>7952</v>
      </c>
      <c r="L1182" s="99" t="str">
        <f t="shared" si="105"/>
        <v>W1244.D</v>
      </c>
      <c r="M1182" s="13"/>
      <c r="N1182" s="13"/>
      <c r="O1182" s="13"/>
      <c r="P1182" s="47"/>
      <c r="Q1182" s="45"/>
      <c r="R1182" s="45"/>
      <c r="S1182" s="48"/>
      <c r="T1182" s="49" t="str">
        <f t="shared" si="106"/>
        <v>[W1244.D]</v>
      </c>
      <c r="U1182" s="12" t="str">
        <f t="shared" si="107"/>
        <v xml:space="preserve"> </v>
      </c>
      <c r="V1182" s="49" t="str">
        <f t="shared" si="108"/>
        <v xml:space="preserve">[W1244.D] </v>
      </c>
    </row>
    <row r="1183" spans="1:22" s="49" customFormat="1" ht="14.15" customHeight="1">
      <c r="A1183" s="44"/>
      <c r="B1183" s="44" t="s">
        <v>6637</v>
      </c>
      <c r="C1183" s="50"/>
      <c r="D1183" s="10" t="s">
        <v>29</v>
      </c>
      <c r="E1183" s="11"/>
      <c r="F1183" s="11" t="s">
        <v>18</v>
      </c>
      <c r="G1183" s="13"/>
      <c r="H1183" s="45" t="s">
        <v>16</v>
      </c>
      <c r="I1183" s="47"/>
      <c r="J1183" s="12" t="s">
        <v>2570</v>
      </c>
      <c r="K1183" s="13" t="s">
        <v>7953</v>
      </c>
      <c r="L1183" s="99" t="str">
        <f t="shared" si="105"/>
        <v>W1244.E</v>
      </c>
      <c r="M1183" s="13"/>
      <c r="N1183" s="13"/>
      <c r="O1183" s="13"/>
      <c r="P1183" s="47"/>
      <c r="Q1183" s="45"/>
      <c r="R1183" s="45"/>
      <c r="S1183" s="48"/>
      <c r="T1183" s="49" t="str">
        <f t="shared" si="106"/>
        <v>[W1244.E]</v>
      </c>
      <c r="U1183" s="12" t="str">
        <f t="shared" si="107"/>
        <v xml:space="preserve"> </v>
      </c>
      <c r="V1183" s="49" t="str">
        <f t="shared" si="108"/>
        <v xml:space="preserve">[W1244.E] </v>
      </c>
    </row>
    <row r="1184" spans="1:22" s="49" customFormat="1" ht="14.15" customHeight="1">
      <c r="A1184" s="44"/>
      <c r="B1184" s="44" t="s">
        <v>6637</v>
      </c>
      <c r="C1184" s="50"/>
      <c r="D1184" s="10" t="s">
        <v>29</v>
      </c>
      <c r="E1184" s="11"/>
      <c r="F1184" s="11" t="s">
        <v>18</v>
      </c>
      <c r="G1184" s="13"/>
      <c r="H1184" s="45" t="s">
        <v>16</v>
      </c>
      <c r="I1184" s="47"/>
      <c r="J1184" s="12" t="s">
        <v>2571</v>
      </c>
      <c r="K1184" s="13" t="s">
        <v>7954</v>
      </c>
      <c r="L1184" s="99" t="str">
        <f t="shared" si="105"/>
        <v>W1244.F</v>
      </c>
      <c r="M1184" s="13"/>
      <c r="N1184" s="13"/>
      <c r="O1184" s="13"/>
      <c r="P1184" s="47"/>
      <c r="Q1184" s="45"/>
      <c r="R1184" s="45"/>
      <c r="S1184" s="48"/>
      <c r="T1184" s="49" t="str">
        <f t="shared" si="106"/>
        <v>[W1244.F]</v>
      </c>
      <c r="U1184" s="12" t="str">
        <f t="shared" si="107"/>
        <v xml:space="preserve"> </v>
      </c>
      <c r="V1184" s="49" t="str">
        <f t="shared" si="108"/>
        <v xml:space="preserve">[W1244.F] </v>
      </c>
    </row>
    <row r="1185" spans="1:22" s="49" customFormat="1" ht="14.15" customHeight="1">
      <c r="A1185" s="44"/>
      <c r="B1185" s="44" t="s">
        <v>6637</v>
      </c>
      <c r="C1185" s="50"/>
      <c r="D1185" s="10" t="s">
        <v>29</v>
      </c>
      <c r="E1185" s="11"/>
      <c r="F1185" s="11" t="s">
        <v>18</v>
      </c>
      <c r="G1185" s="13"/>
      <c r="H1185" s="45" t="s">
        <v>16</v>
      </c>
      <c r="I1185" s="47"/>
      <c r="J1185" s="12" t="s">
        <v>2572</v>
      </c>
      <c r="K1185" s="13" t="s">
        <v>7955</v>
      </c>
      <c r="L1185" s="99" t="str">
        <f t="shared" si="105"/>
        <v>W1245.0</v>
      </c>
      <c r="M1185" s="13"/>
      <c r="N1185" s="13"/>
      <c r="O1185" s="13"/>
      <c r="P1185" s="47"/>
      <c r="Q1185" s="45"/>
      <c r="R1185" s="45"/>
      <c r="S1185" s="48"/>
      <c r="T1185" s="49" t="str">
        <f t="shared" si="106"/>
        <v>[W1245.0]</v>
      </c>
      <c r="U1185" s="12" t="str">
        <f t="shared" si="107"/>
        <v xml:space="preserve"> </v>
      </c>
      <c r="V1185" s="49" t="str">
        <f t="shared" si="108"/>
        <v xml:space="preserve">[W1245.0] </v>
      </c>
    </row>
    <row r="1186" spans="1:22" s="49" customFormat="1" ht="14.15" customHeight="1">
      <c r="A1186" s="44"/>
      <c r="B1186" s="44" t="s">
        <v>6637</v>
      </c>
      <c r="C1186" s="50"/>
      <c r="D1186" s="10" t="s">
        <v>29</v>
      </c>
      <c r="E1186" s="11"/>
      <c r="F1186" s="11" t="s">
        <v>18</v>
      </c>
      <c r="G1186" s="13"/>
      <c r="H1186" s="45" t="s">
        <v>16</v>
      </c>
      <c r="I1186" s="47"/>
      <c r="J1186" s="12" t="s">
        <v>2573</v>
      </c>
      <c r="K1186" s="13" t="s">
        <v>7956</v>
      </c>
      <c r="L1186" s="99" t="str">
        <f t="shared" si="105"/>
        <v>W1245.1</v>
      </c>
      <c r="M1186" s="13"/>
      <c r="N1186" s="13"/>
      <c r="O1186" s="13"/>
      <c r="P1186" s="47"/>
      <c r="Q1186" s="45"/>
      <c r="R1186" s="45"/>
      <c r="S1186" s="48"/>
      <c r="T1186" s="49" t="str">
        <f t="shared" si="106"/>
        <v>[W1245.1]</v>
      </c>
      <c r="U1186" s="12" t="str">
        <f t="shared" si="107"/>
        <v xml:space="preserve"> </v>
      </c>
      <c r="V1186" s="49" t="str">
        <f t="shared" si="108"/>
        <v xml:space="preserve">[W1245.1] </v>
      </c>
    </row>
    <row r="1187" spans="1:22" s="49" customFormat="1" ht="14.15" customHeight="1">
      <c r="A1187" s="43" t="s">
        <v>3679</v>
      </c>
      <c r="B1187" s="44" t="s">
        <v>6637</v>
      </c>
      <c r="C1187" s="50"/>
      <c r="D1187" s="10" t="s">
        <v>29</v>
      </c>
      <c r="E1187" s="11"/>
      <c r="F1187" s="11" t="s">
        <v>18</v>
      </c>
      <c r="G1187" s="13"/>
      <c r="H1187" s="45" t="s">
        <v>16</v>
      </c>
      <c r="I1187" s="47"/>
      <c r="J1187" s="12" t="s">
        <v>2574</v>
      </c>
      <c r="K1187" s="13" t="s">
        <v>7957</v>
      </c>
      <c r="L1187" s="99" t="str">
        <f t="shared" si="105"/>
        <v>W1245.2</v>
      </c>
      <c r="M1187" s="13" t="s">
        <v>3667</v>
      </c>
      <c r="N1187" s="13"/>
      <c r="O1187" s="13"/>
      <c r="P1187" s="47"/>
      <c r="Q1187" s="45"/>
      <c r="R1187" s="45"/>
      <c r="S1187" s="48"/>
      <c r="T1187" s="49" t="str">
        <f t="shared" si="106"/>
        <v>[W1245.2]</v>
      </c>
      <c r="U1187" s="12" t="str">
        <f t="shared" si="107"/>
        <v xml:space="preserve"> 어퍼 커버 용접-1 품질 이상 에러</v>
      </c>
      <c r="V1187" s="49" t="str">
        <f t="shared" si="108"/>
        <v>[W1245.2] 어퍼 커버 용접-1 품질 이상 에러</v>
      </c>
    </row>
    <row r="1188" spans="1:22" s="49" customFormat="1" ht="14.15" customHeight="1">
      <c r="A1188" s="43" t="s">
        <v>3679</v>
      </c>
      <c r="B1188" s="44" t="s">
        <v>6637</v>
      </c>
      <c r="C1188" s="50"/>
      <c r="D1188" s="10" t="s">
        <v>29</v>
      </c>
      <c r="E1188" s="11"/>
      <c r="F1188" s="11" t="s">
        <v>18</v>
      </c>
      <c r="G1188" s="13"/>
      <c r="H1188" s="45" t="s">
        <v>16</v>
      </c>
      <c r="I1188" s="47"/>
      <c r="J1188" s="12" t="s">
        <v>2575</v>
      </c>
      <c r="K1188" s="13" t="s">
        <v>7958</v>
      </c>
      <c r="L1188" s="99" t="str">
        <f t="shared" si="105"/>
        <v>W1245.3</v>
      </c>
      <c r="M1188" s="13" t="s">
        <v>3667</v>
      </c>
      <c r="N1188" s="13"/>
      <c r="O1188" s="13"/>
      <c r="P1188" s="47"/>
      <c r="Q1188" s="45"/>
      <c r="R1188" s="45"/>
      <c r="S1188" s="48"/>
      <c r="T1188" s="49" t="str">
        <f t="shared" si="106"/>
        <v>[W1245.3]</v>
      </c>
      <c r="U1188" s="12" t="str">
        <f t="shared" si="107"/>
        <v xml:space="preserve"> 어퍼 커버 용접-2 품질 이상 에러</v>
      </c>
      <c r="V1188" s="49" t="str">
        <f t="shared" si="108"/>
        <v>[W1245.3] 어퍼 커버 용접-2 품질 이상 에러</v>
      </c>
    </row>
    <row r="1189" spans="1:22" s="49" customFormat="1" ht="14.15" customHeight="1">
      <c r="A1189" s="43" t="s">
        <v>3679</v>
      </c>
      <c r="B1189" s="44" t="s">
        <v>6637</v>
      </c>
      <c r="C1189" s="50"/>
      <c r="D1189" s="10" t="s">
        <v>29</v>
      </c>
      <c r="E1189" s="11"/>
      <c r="F1189" s="11" t="s">
        <v>18</v>
      </c>
      <c r="G1189" s="13"/>
      <c r="H1189" s="45" t="s">
        <v>16</v>
      </c>
      <c r="I1189" s="47"/>
      <c r="J1189" s="12" t="s">
        <v>2576</v>
      </c>
      <c r="K1189" s="13" t="s">
        <v>7959</v>
      </c>
      <c r="L1189" s="99" t="str">
        <f t="shared" si="105"/>
        <v>W1245.4</v>
      </c>
      <c r="M1189" s="13" t="s">
        <v>3667</v>
      </c>
      <c r="N1189" s="13"/>
      <c r="O1189" s="13"/>
      <c r="P1189" s="47"/>
      <c r="Q1189" s="45"/>
      <c r="R1189" s="45"/>
      <c r="S1189" s="48"/>
      <c r="T1189" s="49" t="str">
        <f t="shared" si="106"/>
        <v>[W1245.4]</v>
      </c>
      <c r="U1189" s="12" t="str">
        <f t="shared" si="107"/>
        <v xml:space="preserve"> 에퍼 커버 용접기 에러</v>
      </c>
      <c r="V1189" s="49" t="str">
        <f t="shared" si="108"/>
        <v>[W1245.4] 에퍼 커버 용접기 에러</v>
      </c>
    </row>
    <row r="1190" spans="1:22" s="49" customFormat="1" ht="14.15" customHeight="1">
      <c r="A1190" s="43" t="s">
        <v>3679</v>
      </c>
      <c r="B1190" s="44" t="s">
        <v>6637</v>
      </c>
      <c r="C1190" s="50"/>
      <c r="D1190" s="10" t="s">
        <v>29</v>
      </c>
      <c r="E1190" s="11"/>
      <c r="F1190" s="11" t="s">
        <v>18</v>
      </c>
      <c r="G1190" s="13"/>
      <c r="H1190" s="45" t="s">
        <v>16</v>
      </c>
      <c r="I1190" s="47"/>
      <c r="J1190" s="12" t="s">
        <v>2577</v>
      </c>
      <c r="K1190" s="13" t="s">
        <v>7960</v>
      </c>
      <c r="L1190" s="99" t="str">
        <f t="shared" si="105"/>
        <v>W1245.5</v>
      </c>
      <c r="M1190" s="13" t="s">
        <v>3667</v>
      </c>
      <c r="N1190" s="13"/>
      <c r="O1190" s="13"/>
      <c r="P1190" s="47"/>
      <c r="Q1190" s="45"/>
      <c r="R1190" s="45"/>
      <c r="S1190" s="48"/>
      <c r="T1190" s="49" t="str">
        <f t="shared" si="106"/>
        <v>[W1245.5]</v>
      </c>
      <c r="U1190" s="12" t="str">
        <f t="shared" si="107"/>
        <v xml:space="preserve"> 어퍼 커버 용접 제품 수취 시간초과</v>
      </c>
      <c r="V1190" s="49" t="str">
        <f t="shared" si="108"/>
        <v>[W1245.5] 어퍼 커버 용접 제품 수취 시간초과</v>
      </c>
    </row>
    <row r="1191" spans="1:22" s="49" customFormat="1" ht="14.15" customHeight="1">
      <c r="A1191" s="43" t="s">
        <v>3679</v>
      </c>
      <c r="B1191" s="44" t="s">
        <v>6637</v>
      </c>
      <c r="C1191" s="50"/>
      <c r="D1191" s="10" t="s">
        <v>29</v>
      </c>
      <c r="E1191" s="11"/>
      <c r="F1191" s="11" t="s">
        <v>18</v>
      </c>
      <c r="G1191" s="13"/>
      <c r="H1191" s="45" t="s">
        <v>16</v>
      </c>
      <c r="I1191" s="47"/>
      <c r="J1191" s="12" t="s">
        <v>2578</v>
      </c>
      <c r="K1191" s="13" t="s">
        <v>7961</v>
      </c>
      <c r="L1191" s="99" t="str">
        <f t="shared" si="105"/>
        <v>W1245.6</v>
      </c>
      <c r="M1191" s="13" t="s">
        <v>3667</v>
      </c>
      <c r="N1191" s="13"/>
      <c r="O1191" s="13"/>
      <c r="P1191" s="47"/>
      <c r="Q1191" s="45"/>
      <c r="R1191" s="45"/>
      <c r="S1191" s="48"/>
      <c r="T1191" s="49" t="str">
        <f t="shared" si="106"/>
        <v>[W1245.6]</v>
      </c>
      <c r="U1191" s="12" t="str">
        <f t="shared" si="107"/>
        <v xml:space="preserve"> 어퍼 커버 용접 제품 배출 시간초과</v>
      </c>
      <c r="V1191" s="49" t="str">
        <f t="shared" si="108"/>
        <v>[W1245.6] 어퍼 커버 용접 제품 배출 시간초과</v>
      </c>
    </row>
    <row r="1192" spans="1:22" s="49" customFormat="1" ht="14.15" customHeight="1">
      <c r="A1192" s="43" t="s">
        <v>3679</v>
      </c>
      <c r="B1192" s="44" t="s">
        <v>6637</v>
      </c>
      <c r="C1192" s="50"/>
      <c r="D1192" s="10" t="s">
        <v>29</v>
      </c>
      <c r="E1192" s="11"/>
      <c r="F1192" s="11" t="s">
        <v>18</v>
      </c>
      <c r="G1192" s="13"/>
      <c r="H1192" s="45" t="s">
        <v>16</v>
      </c>
      <c r="I1192" s="47"/>
      <c r="J1192" s="12" t="s">
        <v>2579</v>
      </c>
      <c r="K1192" s="13" t="s">
        <v>7962</v>
      </c>
      <c r="L1192" s="99" t="str">
        <f t="shared" si="105"/>
        <v>W1245.7</v>
      </c>
      <c r="M1192" s="13" t="s">
        <v>3667</v>
      </c>
      <c r="N1192" s="13"/>
      <c r="O1192" s="13"/>
      <c r="P1192" s="47"/>
      <c r="Q1192" s="45"/>
      <c r="R1192" s="45"/>
      <c r="S1192" s="48"/>
      <c r="T1192" s="49" t="str">
        <f t="shared" si="106"/>
        <v>[W1245.7]</v>
      </c>
      <c r="U1192" s="12" t="str">
        <f t="shared" si="107"/>
        <v xml:space="preserve"> 어퍼 커버 용접 제품 수취 시퀀스 이상</v>
      </c>
      <c r="V1192" s="49" t="str">
        <f t="shared" si="108"/>
        <v>[W1245.7] 어퍼 커버 용접 제품 수취 시퀀스 이상</v>
      </c>
    </row>
    <row r="1193" spans="1:22" s="49" customFormat="1" ht="14.15" customHeight="1">
      <c r="A1193" s="43" t="s">
        <v>3679</v>
      </c>
      <c r="B1193" s="44" t="s">
        <v>6637</v>
      </c>
      <c r="C1193" s="50"/>
      <c r="D1193" s="10" t="s">
        <v>29</v>
      </c>
      <c r="E1193" s="11"/>
      <c r="F1193" s="11" t="s">
        <v>18</v>
      </c>
      <c r="G1193" s="13"/>
      <c r="H1193" s="45" t="s">
        <v>16</v>
      </c>
      <c r="I1193" s="47"/>
      <c r="J1193" s="12" t="s">
        <v>2580</v>
      </c>
      <c r="K1193" s="13" t="s">
        <v>7963</v>
      </c>
      <c r="L1193" s="99" t="str">
        <f t="shared" si="105"/>
        <v>W1245.8</v>
      </c>
      <c r="M1193" s="13" t="s">
        <v>3667</v>
      </c>
      <c r="N1193" s="13"/>
      <c r="O1193" s="13"/>
      <c r="P1193" s="47"/>
      <c r="Q1193" s="45"/>
      <c r="R1193" s="45"/>
      <c r="S1193" s="48"/>
      <c r="T1193" s="49" t="str">
        <f t="shared" si="106"/>
        <v>[W1245.8]</v>
      </c>
      <c r="U1193" s="12" t="str">
        <f t="shared" si="107"/>
        <v xml:space="preserve"> 어퍼 커버 용접 제품 공정 시퀀스 이상</v>
      </c>
      <c r="V1193" s="49" t="str">
        <f t="shared" si="108"/>
        <v>[W1245.8] 어퍼 커버 용접 제품 공정 시퀀스 이상</v>
      </c>
    </row>
    <row r="1194" spans="1:22" s="49" customFormat="1" ht="14.15" customHeight="1">
      <c r="A1194" s="43" t="s">
        <v>3679</v>
      </c>
      <c r="B1194" s="44" t="s">
        <v>6637</v>
      </c>
      <c r="C1194" s="50"/>
      <c r="D1194" s="10" t="s">
        <v>29</v>
      </c>
      <c r="E1194" s="11"/>
      <c r="F1194" s="11" t="s">
        <v>18</v>
      </c>
      <c r="G1194" s="13"/>
      <c r="H1194" s="45" t="s">
        <v>16</v>
      </c>
      <c r="I1194" s="47"/>
      <c r="J1194" s="12" t="s">
        <v>2581</v>
      </c>
      <c r="K1194" s="13" t="s">
        <v>7964</v>
      </c>
      <c r="L1194" s="99" t="str">
        <f t="shared" si="105"/>
        <v>W1245.9</v>
      </c>
      <c r="M1194" s="13" t="s">
        <v>3667</v>
      </c>
      <c r="N1194" s="13"/>
      <c r="O1194" s="13"/>
      <c r="P1194" s="47"/>
      <c r="Q1194" s="45"/>
      <c r="R1194" s="45"/>
      <c r="S1194" s="48"/>
      <c r="T1194" s="49" t="str">
        <f t="shared" si="106"/>
        <v>[W1245.9]</v>
      </c>
      <c r="U1194" s="12" t="str">
        <f t="shared" si="107"/>
        <v xml:space="preserve"> 어퍼 커버 용접 제품 베츨 시퀀스 이상</v>
      </c>
      <c r="V1194" s="49" t="str">
        <f t="shared" si="108"/>
        <v>[W1245.9] 어퍼 커버 용접 제품 베츨 시퀀스 이상</v>
      </c>
    </row>
    <row r="1195" spans="1:22" s="49" customFormat="1" ht="14.15" customHeight="1">
      <c r="A1195" s="44"/>
      <c r="B1195" s="44" t="s">
        <v>6637</v>
      </c>
      <c r="C1195" s="50"/>
      <c r="D1195" s="10" t="s">
        <v>29</v>
      </c>
      <c r="E1195" s="11"/>
      <c r="F1195" s="11" t="s">
        <v>18</v>
      </c>
      <c r="G1195" s="13"/>
      <c r="H1195" s="45" t="s">
        <v>16</v>
      </c>
      <c r="I1195" s="47"/>
      <c r="J1195" s="12" t="s">
        <v>950</v>
      </c>
      <c r="K1195" s="13" t="s">
        <v>7965</v>
      </c>
      <c r="L1195" s="99" t="str">
        <f t="shared" si="105"/>
        <v>W1245.A</v>
      </c>
      <c r="M1195" s="13"/>
      <c r="N1195" s="13"/>
      <c r="O1195" s="13"/>
      <c r="P1195" s="47"/>
      <c r="Q1195" s="45"/>
      <c r="R1195" s="45"/>
      <c r="S1195" s="48"/>
      <c r="T1195" s="49" t="str">
        <f t="shared" si="106"/>
        <v>[W1245.A]</v>
      </c>
      <c r="U1195" s="12" t="str">
        <f t="shared" si="107"/>
        <v xml:space="preserve"> </v>
      </c>
      <c r="V1195" s="49" t="str">
        <f t="shared" si="108"/>
        <v xml:space="preserve">[W1245.A] </v>
      </c>
    </row>
    <row r="1196" spans="1:22" s="49" customFormat="1" ht="14.15" customHeight="1">
      <c r="A1196" s="44"/>
      <c r="B1196" s="44" t="s">
        <v>6637</v>
      </c>
      <c r="C1196" s="50"/>
      <c r="D1196" s="10" t="s">
        <v>29</v>
      </c>
      <c r="E1196" s="11"/>
      <c r="F1196" s="11" t="s">
        <v>18</v>
      </c>
      <c r="G1196" s="13"/>
      <c r="H1196" s="45" t="s">
        <v>16</v>
      </c>
      <c r="I1196" s="47"/>
      <c r="J1196" s="12" t="s">
        <v>951</v>
      </c>
      <c r="K1196" s="13" t="s">
        <v>7966</v>
      </c>
      <c r="L1196" s="99" t="str">
        <f t="shared" si="105"/>
        <v>W1245.B</v>
      </c>
      <c r="M1196" s="13"/>
      <c r="N1196" s="13"/>
      <c r="O1196" s="13"/>
      <c r="P1196" s="47"/>
      <c r="Q1196" s="45"/>
      <c r="R1196" s="45"/>
      <c r="S1196" s="48"/>
      <c r="T1196" s="49" t="str">
        <f t="shared" si="106"/>
        <v>[W1245.B]</v>
      </c>
      <c r="U1196" s="12" t="str">
        <f t="shared" si="107"/>
        <v xml:space="preserve"> </v>
      </c>
      <c r="V1196" s="49" t="str">
        <f t="shared" si="108"/>
        <v xml:space="preserve">[W1245.B] </v>
      </c>
    </row>
    <row r="1197" spans="1:22" s="49" customFormat="1" ht="14.15" customHeight="1">
      <c r="A1197" s="44"/>
      <c r="B1197" s="44" t="s">
        <v>6637</v>
      </c>
      <c r="C1197" s="50"/>
      <c r="D1197" s="10" t="s">
        <v>29</v>
      </c>
      <c r="E1197" s="11"/>
      <c r="F1197" s="11" t="s">
        <v>18</v>
      </c>
      <c r="G1197" s="13"/>
      <c r="H1197" s="45" t="s">
        <v>16</v>
      </c>
      <c r="I1197" s="47"/>
      <c r="J1197" s="12" t="s">
        <v>952</v>
      </c>
      <c r="K1197" s="13" t="s">
        <v>7967</v>
      </c>
      <c r="L1197" s="99" t="str">
        <f t="shared" si="105"/>
        <v>W1245.C</v>
      </c>
      <c r="M1197" s="13"/>
      <c r="N1197" s="13"/>
      <c r="O1197" s="13"/>
      <c r="P1197" s="47"/>
      <c r="Q1197" s="45"/>
      <c r="R1197" s="45"/>
      <c r="S1197" s="48"/>
      <c r="T1197" s="49" t="str">
        <f t="shared" si="106"/>
        <v>[W1245.C]</v>
      </c>
      <c r="U1197" s="12" t="str">
        <f t="shared" si="107"/>
        <v xml:space="preserve"> </v>
      </c>
      <c r="V1197" s="49" t="str">
        <f t="shared" si="108"/>
        <v xml:space="preserve">[W1245.C] </v>
      </c>
    </row>
    <row r="1198" spans="1:22" s="49" customFormat="1" ht="14.15" customHeight="1">
      <c r="A1198" s="44"/>
      <c r="B1198" s="44" t="s">
        <v>6637</v>
      </c>
      <c r="C1198" s="50"/>
      <c r="D1198" s="10" t="s">
        <v>29</v>
      </c>
      <c r="E1198" s="11"/>
      <c r="F1198" s="11" t="s">
        <v>18</v>
      </c>
      <c r="G1198" s="13"/>
      <c r="H1198" s="45" t="s">
        <v>16</v>
      </c>
      <c r="I1198" s="47"/>
      <c r="J1198" s="12" t="s">
        <v>953</v>
      </c>
      <c r="K1198" s="13" t="s">
        <v>7968</v>
      </c>
      <c r="L1198" s="99" t="str">
        <f t="shared" si="105"/>
        <v>W1245.D</v>
      </c>
      <c r="M1198" s="13"/>
      <c r="N1198" s="13"/>
      <c r="O1198" s="13"/>
      <c r="P1198" s="47"/>
      <c r="Q1198" s="45"/>
      <c r="R1198" s="45"/>
      <c r="S1198" s="48"/>
      <c r="T1198" s="49" t="str">
        <f t="shared" si="106"/>
        <v>[W1245.D]</v>
      </c>
      <c r="U1198" s="12" t="str">
        <f t="shared" si="107"/>
        <v xml:space="preserve"> </v>
      </c>
      <c r="V1198" s="49" t="str">
        <f t="shared" si="108"/>
        <v xml:space="preserve">[W1245.D] </v>
      </c>
    </row>
    <row r="1199" spans="1:22" s="49" customFormat="1" ht="14.15" customHeight="1">
      <c r="A1199" s="43" t="s">
        <v>3679</v>
      </c>
      <c r="B1199" s="44" t="s">
        <v>6637</v>
      </c>
      <c r="C1199" s="50"/>
      <c r="D1199" s="10" t="s">
        <v>29</v>
      </c>
      <c r="E1199" s="11"/>
      <c r="F1199" s="11" t="s">
        <v>18</v>
      </c>
      <c r="G1199" s="13"/>
      <c r="H1199" s="45" t="s">
        <v>16</v>
      </c>
      <c r="I1199" s="47"/>
      <c r="J1199" s="12" t="s">
        <v>2582</v>
      </c>
      <c r="K1199" s="13" t="s">
        <v>7969</v>
      </c>
      <c r="L1199" s="99" t="str">
        <f t="shared" si="105"/>
        <v>W1245.E</v>
      </c>
      <c r="M1199" s="13" t="s">
        <v>3667</v>
      </c>
      <c r="N1199" s="13"/>
      <c r="O1199" s="13"/>
      <c r="P1199" s="47"/>
      <c r="Q1199" s="45"/>
      <c r="R1199" s="45"/>
      <c r="S1199" s="48"/>
      <c r="T1199" s="49" t="str">
        <f t="shared" si="106"/>
        <v>[W1245.E]</v>
      </c>
      <c r="U1199" s="12" t="str">
        <f t="shared" si="107"/>
        <v xml:space="preserve"> 어퍼 커버 용접 제품 데이터 불일치 이상 (X44F, X46F)</v>
      </c>
      <c r="V1199" s="49" t="str">
        <f t="shared" si="108"/>
        <v>[W1245.E] 어퍼 커버 용접 제품 데이터 불일치 이상 (X44F, X46F)</v>
      </c>
    </row>
    <row r="1200" spans="1:22" s="49" customFormat="1" ht="14.15" customHeight="1">
      <c r="A1200" s="43" t="s">
        <v>3670</v>
      </c>
      <c r="B1200" s="44" t="s">
        <v>6637</v>
      </c>
      <c r="C1200" s="50"/>
      <c r="D1200" s="10" t="s">
        <v>29</v>
      </c>
      <c r="E1200" s="11"/>
      <c r="F1200" s="11" t="s">
        <v>18</v>
      </c>
      <c r="G1200" s="13"/>
      <c r="H1200" s="45" t="s">
        <v>16</v>
      </c>
      <c r="I1200" s="47"/>
      <c r="J1200" s="12" t="s">
        <v>2583</v>
      </c>
      <c r="K1200" s="13" t="s">
        <v>7970</v>
      </c>
      <c r="L1200" s="99" t="str">
        <f t="shared" si="105"/>
        <v>W1245.F</v>
      </c>
      <c r="M1200" s="13" t="s">
        <v>3667</v>
      </c>
      <c r="N1200" s="13"/>
      <c r="O1200" s="13"/>
      <c r="P1200" s="47"/>
      <c r="Q1200" s="45"/>
      <c r="R1200" s="45"/>
      <c r="S1200" s="48"/>
      <c r="T1200" s="49" t="str">
        <f t="shared" si="106"/>
        <v>[W1245.F]</v>
      </c>
      <c r="U1200" s="12" t="str">
        <f t="shared" si="107"/>
        <v xml:space="preserve"> 어퍼 커버 공급 로봇L 클램프 전진 시간초과 (Y4DA, X4BA)</v>
      </c>
      <c r="V1200" s="49" t="str">
        <f t="shared" si="108"/>
        <v>[W1245.F] 어퍼 커버 공급 로봇L 클램프 전진 시간초과 (Y4DA, X4BA)</v>
      </c>
    </row>
    <row r="1201" spans="1:22" s="49" customFormat="1" ht="14.15" customHeight="1">
      <c r="A1201" s="43" t="s">
        <v>3670</v>
      </c>
      <c r="B1201" s="44" t="s">
        <v>6637</v>
      </c>
      <c r="C1201" s="50"/>
      <c r="D1201" s="10" t="s">
        <v>29</v>
      </c>
      <c r="E1201" s="11"/>
      <c r="F1201" s="11" t="s">
        <v>18</v>
      </c>
      <c r="G1201" s="13"/>
      <c r="H1201" s="45" t="s">
        <v>16</v>
      </c>
      <c r="I1201" s="47"/>
      <c r="J1201" s="12" t="s">
        <v>2584</v>
      </c>
      <c r="K1201" s="13" t="s">
        <v>7971</v>
      </c>
      <c r="L1201" s="99" t="str">
        <f t="shared" si="105"/>
        <v>W1246.0</v>
      </c>
      <c r="M1201" s="13" t="s">
        <v>3667</v>
      </c>
      <c r="N1201" s="13"/>
      <c r="O1201" s="13"/>
      <c r="P1201" s="47"/>
      <c r="Q1201" s="45"/>
      <c r="R1201" s="45"/>
      <c r="S1201" s="48"/>
      <c r="T1201" s="49" t="str">
        <f t="shared" si="106"/>
        <v>[W1246.0]</v>
      </c>
      <c r="U1201" s="12" t="str">
        <f t="shared" si="107"/>
        <v xml:space="preserve"> 어퍼 커버 공급 로봇L 클램프 후진 시간초과 (Y4DB)</v>
      </c>
      <c r="V1201" s="49" t="str">
        <f t="shared" si="108"/>
        <v>[W1246.0] 어퍼 커버 공급 로봇L 클램프 후진 시간초과 (Y4DB)</v>
      </c>
    </row>
    <row r="1202" spans="1:22" s="49" customFormat="1" ht="14.15" customHeight="1">
      <c r="A1202" s="43" t="s">
        <v>3670</v>
      </c>
      <c r="B1202" s="44" t="s">
        <v>6637</v>
      </c>
      <c r="C1202" s="50"/>
      <c r="D1202" s="10" t="s">
        <v>29</v>
      </c>
      <c r="E1202" s="11"/>
      <c r="F1202" s="11" t="s">
        <v>18</v>
      </c>
      <c r="G1202" s="13"/>
      <c r="H1202" s="45" t="s">
        <v>16</v>
      </c>
      <c r="I1202" s="47"/>
      <c r="J1202" s="12" t="s">
        <v>2585</v>
      </c>
      <c r="K1202" s="13" t="s">
        <v>7972</v>
      </c>
      <c r="L1202" s="99" t="str">
        <f t="shared" si="105"/>
        <v>W1246.1</v>
      </c>
      <c r="M1202" s="13" t="s">
        <v>3667</v>
      </c>
      <c r="N1202" s="13"/>
      <c r="O1202" s="13"/>
      <c r="P1202" s="47"/>
      <c r="Q1202" s="45"/>
      <c r="R1202" s="45"/>
      <c r="S1202" s="48"/>
      <c r="T1202" s="49" t="str">
        <f t="shared" ref="T1202:T1233" si="109">"["&amp;L1202&amp;"]"</f>
        <v>[W1246.1]</v>
      </c>
      <c r="U1202" s="12" t="str">
        <f t="shared" ref="U1202:U1233" si="110">RIGHT(J1202,LEN(J1202)-7)</f>
        <v xml:space="preserve"> 어퍼 커버 공급 로봇L 커버 픽업 상승 시간초과 (Y486, X469)</v>
      </c>
      <c r="V1202" s="49" t="str">
        <f t="shared" si="108"/>
        <v>[W1246.1] 어퍼 커버 공급 로봇L 커버 픽업 상승 시간초과 (Y486, X469)</v>
      </c>
    </row>
    <row r="1203" spans="1:22" s="49" customFormat="1" ht="14.15" customHeight="1">
      <c r="A1203" s="43" t="s">
        <v>3670</v>
      </c>
      <c r="B1203" s="44" t="s">
        <v>6637</v>
      </c>
      <c r="C1203" s="50"/>
      <c r="D1203" s="10" t="s">
        <v>29</v>
      </c>
      <c r="E1203" s="11"/>
      <c r="F1203" s="11" t="s">
        <v>18</v>
      </c>
      <c r="G1203" s="13"/>
      <c r="H1203" s="45" t="s">
        <v>16</v>
      </c>
      <c r="I1203" s="47"/>
      <c r="J1203" s="12" t="s">
        <v>2586</v>
      </c>
      <c r="K1203" s="13" t="s">
        <v>7973</v>
      </c>
      <c r="L1203" s="99" t="str">
        <f t="shared" si="105"/>
        <v>W1246.2</v>
      </c>
      <c r="M1203" s="13" t="s">
        <v>3667</v>
      </c>
      <c r="N1203" s="13"/>
      <c r="O1203" s="13"/>
      <c r="P1203" s="47"/>
      <c r="Q1203" s="45"/>
      <c r="R1203" s="45"/>
      <c r="S1203" s="48"/>
      <c r="T1203" s="49" t="str">
        <f t="shared" si="109"/>
        <v>[W1246.2]</v>
      </c>
      <c r="U1203" s="12" t="str">
        <f t="shared" si="110"/>
        <v xml:space="preserve"> 어퍼 커버 공급 로봇L 커버 픽업 하강 시간초과 (Y487, X46A)</v>
      </c>
      <c r="V1203" s="49" t="str">
        <f t="shared" si="108"/>
        <v>[W1246.2] 어퍼 커버 공급 로봇L 커버 픽업 하강 시간초과 (Y487, X46A)</v>
      </c>
    </row>
    <row r="1204" spans="1:22" s="49" customFormat="1" ht="14.15" customHeight="1">
      <c r="A1204" s="43" t="s">
        <v>3670</v>
      </c>
      <c r="B1204" s="44" t="s">
        <v>6637</v>
      </c>
      <c r="C1204" s="50"/>
      <c r="D1204" s="10" t="s">
        <v>29</v>
      </c>
      <c r="E1204" s="11"/>
      <c r="F1204" s="11" t="s">
        <v>18</v>
      </c>
      <c r="G1204" s="13"/>
      <c r="H1204" s="45" t="s">
        <v>16</v>
      </c>
      <c r="I1204" s="47"/>
      <c r="J1204" s="12" t="s">
        <v>2587</v>
      </c>
      <c r="K1204" s="13" t="s">
        <v>7974</v>
      </c>
      <c r="L1204" s="99" t="str">
        <f t="shared" si="105"/>
        <v>W1246.3</v>
      </c>
      <c r="M1204" s="13" t="s">
        <v>3667</v>
      </c>
      <c r="N1204" s="13"/>
      <c r="O1204" s="13"/>
      <c r="P1204" s="47"/>
      <c r="Q1204" s="45"/>
      <c r="R1204" s="45"/>
      <c r="S1204" s="48"/>
      <c r="T1204" s="49" t="str">
        <f t="shared" si="109"/>
        <v>[W1246.3]</v>
      </c>
      <c r="U1204" s="12" t="str">
        <f t="shared" si="110"/>
        <v xml:space="preserve"> 어퍼 커버 공급 로봇L 커버 픽업 상승/하강 센서 이상 (X469, X46A)</v>
      </c>
      <c r="V1204" s="49" t="str">
        <f t="shared" si="108"/>
        <v>[W1246.3] 어퍼 커버 공급 로봇L 커버 픽업 상승/하강 센서 이상 (X469, X46A)</v>
      </c>
    </row>
    <row r="1205" spans="1:22" s="49" customFormat="1" ht="14.15" customHeight="1">
      <c r="A1205" s="43" t="s">
        <v>3670</v>
      </c>
      <c r="B1205" s="44" t="s">
        <v>6637</v>
      </c>
      <c r="C1205" s="50"/>
      <c r="D1205" s="10" t="s">
        <v>29</v>
      </c>
      <c r="E1205" s="11"/>
      <c r="F1205" s="11" t="s">
        <v>18</v>
      </c>
      <c r="G1205" s="13"/>
      <c r="H1205" s="45" t="s">
        <v>16</v>
      </c>
      <c r="I1205" s="47"/>
      <c r="J1205" s="12" t="s">
        <v>2588</v>
      </c>
      <c r="K1205" s="13" t="s">
        <v>7975</v>
      </c>
      <c r="L1205" s="99" t="str">
        <f t="shared" si="105"/>
        <v>W1246.4</v>
      </c>
      <c r="M1205" s="13" t="s">
        <v>3667</v>
      </c>
      <c r="N1205" s="13"/>
      <c r="O1205" s="13"/>
      <c r="P1205" s="47"/>
      <c r="Q1205" s="45"/>
      <c r="R1205" s="45"/>
      <c r="S1205" s="48"/>
      <c r="T1205" s="49" t="str">
        <f t="shared" si="109"/>
        <v>[W1246.4]</v>
      </c>
      <c r="U1205" s="12" t="str">
        <f t="shared" si="110"/>
        <v xml:space="preserve"> 어퍼 커버 공급 로봇L 커버 픽업 시프트 전진 시간초과 (Y488, X467)</v>
      </c>
      <c r="V1205" s="49" t="str">
        <f t="shared" si="108"/>
        <v>[W1246.4] 어퍼 커버 공급 로봇L 커버 픽업 시프트 전진 시간초과 (Y488, X467)</v>
      </c>
    </row>
    <row r="1206" spans="1:22" s="49" customFormat="1" ht="14.15" customHeight="1">
      <c r="A1206" s="43" t="s">
        <v>3670</v>
      </c>
      <c r="B1206" s="44" t="s">
        <v>6637</v>
      </c>
      <c r="C1206" s="50"/>
      <c r="D1206" s="10" t="s">
        <v>29</v>
      </c>
      <c r="E1206" s="11"/>
      <c r="F1206" s="11" t="s">
        <v>18</v>
      </c>
      <c r="G1206" s="13"/>
      <c r="H1206" s="45" t="s">
        <v>16</v>
      </c>
      <c r="I1206" s="47"/>
      <c r="J1206" s="12" t="s">
        <v>2589</v>
      </c>
      <c r="K1206" s="13" t="s">
        <v>7976</v>
      </c>
      <c r="L1206" s="99" t="str">
        <f t="shared" si="105"/>
        <v>W1246.5</v>
      </c>
      <c r="M1206" s="13" t="s">
        <v>3667</v>
      </c>
      <c r="N1206" s="13"/>
      <c r="O1206" s="13"/>
      <c r="P1206" s="47"/>
      <c r="Q1206" s="45"/>
      <c r="R1206" s="45"/>
      <c r="S1206" s="48"/>
      <c r="T1206" s="49" t="str">
        <f t="shared" si="109"/>
        <v>[W1246.5]</v>
      </c>
      <c r="U1206" s="12" t="str">
        <f t="shared" si="110"/>
        <v xml:space="preserve"> 어퍼 커버 공급 로봇L 커버 픽업 시프트 후진 시간초과 (Y489, X468)</v>
      </c>
      <c r="V1206" s="49" t="str">
        <f t="shared" si="108"/>
        <v>[W1246.5] 어퍼 커버 공급 로봇L 커버 픽업 시프트 후진 시간초과 (Y489, X468)</v>
      </c>
    </row>
    <row r="1207" spans="1:22" s="49" customFormat="1" ht="14.15" customHeight="1">
      <c r="A1207" s="43" t="s">
        <v>3670</v>
      </c>
      <c r="B1207" s="44" t="s">
        <v>6637</v>
      </c>
      <c r="C1207" s="50"/>
      <c r="D1207" s="10" t="s">
        <v>29</v>
      </c>
      <c r="E1207" s="11"/>
      <c r="F1207" s="11" t="s">
        <v>18</v>
      </c>
      <c r="G1207" s="13"/>
      <c r="H1207" s="45" t="s">
        <v>16</v>
      </c>
      <c r="I1207" s="47"/>
      <c r="J1207" s="12" t="s">
        <v>2590</v>
      </c>
      <c r="K1207" s="13" t="s">
        <v>7977</v>
      </c>
      <c r="L1207" s="99" t="str">
        <f t="shared" si="105"/>
        <v>W1246.6</v>
      </c>
      <c r="M1207" s="13" t="s">
        <v>3667</v>
      </c>
      <c r="N1207" s="13"/>
      <c r="O1207" s="13"/>
      <c r="P1207" s="47"/>
      <c r="Q1207" s="45"/>
      <c r="R1207" s="45"/>
      <c r="S1207" s="48"/>
      <c r="T1207" s="49" t="str">
        <f t="shared" si="109"/>
        <v>[W1246.6]</v>
      </c>
      <c r="U1207" s="12" t="str">
        <f t="shared" si="110"/>
        <v xml:space="preserve"> 어퍼 커버 공급 로봇L 커버 픽업 시프트 전진/후진 센서 이상 (X467, X468)</v>
      </c>
      <c r="V1207" s="49" t="str">
        <f t="shared" si="108"/>
        <v>[W1246.6] 어퍼 커버 공급 로봇L 커버 픽업 시프트 전진/후진 센서 이상 (X467, X468)</v>
      </c>
    </row>
    <row r="1208" spans="1:22" s="49" customFormat="1" ht="14.15" customHeight="1">
      <c r="A1208" s="43" t="s">
        <v>3670</v>
      </c>
      <c r="B1208" s="44" t="s">
        <v>6637</v>
      </c>
      <c r="C1208" s="50"/>
      <c r="D1208" s="10" t="s">
        <v>29</v>
      </c>
      <c r="E1208" s="11"/>
      <c r="F1208" s="11" t="s">
        <v>18</v>
      </c>
      <c r="G1208" s="13"/>
      <c r="H1208" s="45" t="s">
        <v>16</v>
      </c>
      <c r="I1208" s="47"/>
      <c r="J1208" s="12" t="s">
        <v>2591</v>
      </c>
      <c r="K1208" s="13" t="s">
        <v>7978</v>
      </c>
      <c r="L1208" s="99" t="str">
        <f t="shared" si="105"/>
        <v>W1246.7</v>
      </c>
      <c r="M1208" s="13" t="s">
        <v>3667</v>
      </c>
      <c r="N1208" s="13"/>
      <c r="O1208" s="13"/>
      <c r="P1208" s="47"/>
      <c r="Q1208" s="45"/>
      <c r="R1208" s="45"/>
      <c r="S1208" s="48"/>
      <c r="T1208" s="49" t="str">
        <f t="shared" si="109"/>
        <v>[W1246.7]</v>
      </c>
      <c r="U1208" s="12" t="str">
        <f t="shared" si="110"/>
        <v xml:space="preserve"> 어퍼 커버 공급 로봇L 커버 픽업 회전 시간초과 (Y4D0, X464)</v>
      </c>
      <c r="V1208" s="49" t="str">
        <f t="shared" si="108"/>
        <v>[W1246.7] 어퍼 커버 공급 로봇L 커버 픽업 회전 시간초과 (Y4D0, X464)</v>
      </c>
    </row>
    <row r="1209" spans="1:22" s="49" customFormat="1" ht="14.15" customHeight="1">
      <c r="A1209" s="43" t="s">
        <v>3670</v>
      </c>
      <c r="B1209" s="44" t="s">
        <v>6637</v>
      </c>
      <c r="C1209" s="50"/>
      <c r="D1209" s="10" t="s">
        <v>29</v>
      </c>
      <c r="E1209" s="11"/>
      <c r="F1209" s="11" t="s">
        <v>18</v>
      </c>
      <c r="G1209" s="13"/>
      <c r="H1209" s="45" t="s">
        <v>16</v>
      </c>
      <c r="I1209" s="47"/>
      <c r="J1209" s="12" t="s">
        <v>2592</v>
      </c>
      <c r="K1209" s="13" t="s">
        <v>7979</v>
      </c>
      <c r="L1209" s="99" t="str">
        <f t="shared" si="105"/>
        <v>W1246.8</v>
      </c>
      <c r="M1209" s="13" t="s">
        <v>3667</v>
      </c>
      <c r="N1209" s="13"/>
      <c r="O1209" s="13"/>
      <c r="P1209" s="47"/>
      <c r="Q1209" s="45"/>
      <c r="R1209" s="45"/>
      <c r="S1209" s="48"/>
      <c r="T1209" s="49" t="str">
        <f t="shared" si="109"/>
        <v>[W1246.8]</v>
      </c>
      <c r="U1209" s="12" t="str">
        <f t="shared" si="110"/>
        <v xml:space="preserve"> 어퍼 커버 공급 로봇L 커버 픽업 회전 복귀 시간초과 (Y4D1, X465)</v>
      </c>
      <c r="V1209" s="49" t="str">
        <f t="shared" si="108"/>
        <v>[W1246.8] 어퍼 커버 공급 로봇L 커버 픽업 회전 복귀 시간초과 (Y4D1, X465)</v>
      </c>
    </row>
    <row r="1210" spans="1:22" s="49" customFormat="1" ht="14.15" customHeight="1">
      <c r="A1210" s="43" t="s">
        <v>3670</v>
      </c>
      <c r="B1210" s="44" t="s">
        <v>6637</v>
      </c>
      <c r="C1210" s="50"/>
      <c r="D1210" s="10" t="s">
        <v>29</v>
      </c>
      <c r="E1210" s="11"/>
      <c r="F1210" s="11" t="s">
        <v>18</v>
      </c>
      <c r="G1210" s="13"/>
      <c r="H1210" s="45" t="s">
        <v>16</v>
      </c>
      <c r="I1210" s="47"/>
      <c r="J1210" s="12" t="s">
        <v>2593</v>
      </c>
      <c r="K1210" s="13" t="s">
        <v>7980</v>
      </c>
      <c r="L1210" s="99" t="str">
        <f t="shared" si="105"/>
        <v>W1246.9</v>
      </c>
      <c r="M1210" s="13" t="s">
        <v>3667</v>
      </c>
      <c r="N1210" s="13"/>
      <c r="O1210" s="13"/>
      <c r="P1210" s="47"/>
      <c r="Q1210" s="45"/>
      <c r="R1210" s="45"/>
      <c r="S1210" s="48"/>
      <c r="T1210" s="49" t="str">
        <f t="shared" si="109"/>
        <v>[W1246.9]</v>
      </c>
      <c r="U1210" s="12" t="str">
        <f t="shared" si="110"/>
        <v xml:space="preserve"> 어퍼 커버 공급 로봇L 커버 픽업 회전/복귀 센서 이상 (X464, X465)</v>
      </c>
      <c r="V1210" s="49" t="str">
        <f t="shared" si="108"/>
        <v>[W1246.9] 어퍼 커버 공급 로봇L 커버 픽업 회전/복귀 센서 이상 (X464, X465)</v>
      </c>
    </row>
    <row r="1211" spans="1:22" s="49" customFormat="1" ht="14.15" customHeight="1">
      <c r="A1211" s="43" t="s">
        <v>3670</v>
      </c>
      <c r="B1211" s="44" t="s">
        <v>6637</v>
      </c>
      <c r="C1211" s="50"/>
      <c r="D1211" s="10" t="s">
        <v>29</v>
      </c>
      <c r="E1211" s="11"/>
      <c r="F1211" s="11" t="s">
        <v>18</v>
      </c>
      <c r="G1211" s="13"/>
      <c r="H1211" s="45" t="s">
        <v>16</v>
      </c>
      <c r="I1211" s="47"/>
      <c r="J1211" s="12" t="s">
        <v>2594</v>
      </c>
      <c r="K1211" s="13" t="s">
        <v>7981</v>
      </c>
      <c r="L1211" s="99" t="str">
        <f t="shared" si="105"/>
        <v>W1246.A</v>
      </c>
      <c r="M1211" s="13" t="s">
        <v>3667</v>
      </c>
      <c r="N1211" s="13"/>
      <c r="O1211" s="13"/>
      <c r="P1211" s="47"/>
      <c r="Q1211" s="45"/>
      <c r="R1211" s="45"/>
      <c r="S1211" s="48"/>
      <c r="T1211" s="49" t="str">
        <f t="shared" si="109"/>
        <v>[W1246.A]</v>
      </c>
      <c r="U1211" s="12" t="str">
        <f t="shared" si="110"/>
        <v xml:space="preserve"> 어퍼 커버 공급 로봇L 제품 수취 시간초과</v>
      </c>
      <c r="V1211" s="49" t="str">
        <f t="shared" si="108"/>
        <v>[W1246.A] 어퍼 커버 공급 로봇L 제품 수취 시간초과</v>
      </c>
    </row>
    <row r="1212" spans="1:22" s="49" customFormat="1" ht="14.15" customHeight="1">
      <c r="A1212" s="43" t="s">
        <v>3670</v>
      </c>
      <c r="B1212" s="44" t="s">
        <v>6637</v>
      </c>
      <c r="C1212" s="50"/>
      <c r="D1212" s="10" t="s">
        <v>29</v>
      </c>
      <c r="E1212" s="11"/>
      <c r="F1212" s="11" t="s">
        <v>18</v>
      </c>
      <c r="G1212" s="13"/>
      <c r="H1212" s="45" t="s">
        <v>16</v>
      </c>
      <c r="I1212" s="47"/>
      <c r="J1212" s="12" t="s">
        <v>2595</v>
      </c>
      <c r="K1212" s="13" t="s">
        <v>7982</v>
      </c>
      <c r="L1212" s="99" t="str">
        <f t="shared" si="105"/>
        <v>W1246.B</v>
      </c>
      <c r="M1212" s="13" t="s">
        <v>3667</v>
      </c>
      <c r="N1212" s="13"/>
      <c r="O1212" s="13"/>
      <c r="P1212" s="47"/>
      <c r="Q1212" s="45"/>
      <c r="R1212" s="45"/>
      <c r="S1212" s="48"/>
      <c r="T1212" s="49" t="str">
        <f t="shared" si="109"/>
        <v>[W1246.B]</v>
      </c>
      <c r="U1212" s="12" t="str">
        <f t="shared" si="110"/>
        <v xml:space="preserve"> 어퍼 커버 공급 로봇L 제품 배출 시간초과</v>
      </c>
      <c r="V1212" s="49" t="str">
        <f t="shared" si="108"/>
        <v>[W1246.B] 어퍼 커버 공급 로봇L 제품 배출 시간초과</v>
      </c>
    </row>
    <row r="1213" spans="1:22" s="49" customFormat="1" ht="14.15" customHeight="1">
      <c r="A1213" s="43" t="s">
        <v>3670</v>
      </c>
      <c r="B1213" s="44" t="s">
        <v>6637</v>
      </c>
      <c r="C1213" s="50"/>
      <c r="D1213" s="10" t="s">
        <v>29</v>
      </c>
      <c r="E1213" s="11"/>
      <c r="F1213" s="11" t="s">
        <v>18</v>
      </c>
      <c r="G1213" s="13"/>
      <c r="H1213" s="45" t="s">
        <v>16</v>
      </c>
      <c r="I1213" s="47"/>
      <c r="J1213" s="12" t="s">
        <v>2596</v>
      </c>
      <c r="K1213" s="13" t="s">
        <v>7983</v>
      </c>
      <c r="L1213" s="99" t="str">
        <f t="shared" si="105"/>
        <v>W1246.C</v>
      </c>
      <c r="M1213" s="13" t="s">
        <v>3667</v>
      </c>
      <c r="N1213" s="13"/>
      <c r="O1213" s="13"/>
      <c r="P1213" s="47"/>
      <c r="Q1213" s="45"/>
      <c r="R1213" s="45"/>
      <c r="S1213" s="48"/>
      <c r="T1213" s="49" t="str">
        <f t="shared" si="109"/>
        <v>[W1246.C]</v>
      </c>
      <c r="U1213" s="12" t="str">
        <f t="shared" si="110"/>
        <v xml:space="preserve"> 어퍼 커버 공급 로봇L 제품 수취 시퀀스 이상</v>
      </c>
      <c r="V1213" s="49" t="str">
        <f t="shared" si="108"/>
        <v>[W1246.C] 어퍼 커버 공급 로봇L 제품 수취 시퀀스 이상</v>
      </c>
    </row>
    <row r="1214" spans="1:22" s="49" customFormat="1" ht="14.15" customHeight="1">
      <c r="A1214" s="43" t="s">
        <v>3670</v>
      </c>
      <c r="B1214" s="44" t="s">
        <v>6637</v>
      </c>
      <c r="C1214" s="50"/>
      <c r="D1214" s="10" t="s">
        <v>29</v>
      </c>
      <c r="E1214" s="11"/>
      <c r="F1214" s="11" t="s">
        <v>18</v>
      </c>
      <c r="G1214" s="13"/>
      <c r="H1214" s="45" t="s">
        <v>16</v>
      </c>
      <c r="I1214" s="47"/>
      <c r="J1214" s="12" t="s">
        <v>2597</v>
      </c>
      <c r="K1214" s="13" t="s">
        <v>7984</v>
      </c>
      <c r="L1214" s="99" t="str">
        <f t="shared" si="105"/>
        <v>W1246.D</v>
      </c>
      <c r="M1214" s="13" t="s">
        <v>3667</v>
      </c>
      <c r="N1214" s="13"/>
      <c r="O1214" s="13"/>
      <c r="P1214" s="47"/>
      <c r="Q1214" s="45"/>
      <c r="R1214" s="45"/>
      <c r="S1214" s="48"/>
      <c r="T1214" s="49" t="str">
        <f t="shared" si="109"/>
        <v>[W1246.D]</v>
      </c>
      <c r="U1214" s="12" t="str">
        <f t="shared" si="110"/>
        <v xml:space="preserve"> 어퍼 커버 공급 로봇L 제품 베츨 시퀀스 이상</v>
      </c>
      <c r="V1214" s="49" t="str">
        <f t="shared" si="108"/>
        <v>[W1246.D] 어퍼 커버 공급 로봇L 제품 베츨 시퀀스 이상</v>
      </c>
    </row>
    <row r="1215" spans="1:22" s="49" customFormat="1" ht="14.15" customHeight="1">
      <c r="A1215" s="43" t="s">
        <v>3670</v>
      </c>
      <c r="B1215" s="44" t="s">
        <v>6637</v>
      </c>
      <c r="C1215" s="50"/>
      <c r="D1215" s="10" t="s">
        <v>29</v>
      </c>
      <c r="E1215" s="11"/>
      <c r="F1215" s="11" t="s">
        <v>18</v>
      </c>
      <c r="G1215" s="13"/>
      <c r="H1215" s="45" t="s">
        <v>16</v>
      </c>
      <c r="I1215" s="47"/>
      <c r="J1215" s="12" t="s">
        <v>2598</v>
      </c>
      <c r="K1215" s="13" t="s">
        <v>7985</v>
      </c>
      <c r="L1215" s="99" t="str">
        <f t="shared" si="105"/>
        <v>W1246.E</v>
      </c>
      <c r="M1215" s="13" t="s">
        <v>3667</v>
      </c>
      <c r="N1215" s="13"/>
      <c r="O1215" s="13"/>
      <c r="P1215" s="47"/>
      <c r="Q1215" s="45"/>
      <c r="R1215" s="45"/>
      <c r="S1215" s="48"/>
      <c r="T1215" s="49" t="str">
        <f t="shared" si="109"/>
        <v>[W1246.E]</v>
      </c>
      <c r="U1215" s="12" t="str">
        <f t="shared" si="110"/>
        <v xml:space="preserve"> 어퍼 커버 공급 로봇L 리모트 모드 상태 이상</v>
      </c>
      <c r="V1215" s="49" t="str">
        <f t="shared" si="108"/>
        <v>[W1246.E] 어퍼 커버 공급 로봇L 리모트 모드 상태 이상</v>
      </c>
    </row>
    <row r="1216" spans="1:22" s="49" customFormat="1" ht="14.15" customHeight="1">
      <c r="A1216" s="43" t="s">
        <v>3670</v>
      </c>
      <c r="B1216" s="44" t="s">
        <v>6637</v>
      </c>
      <c r="C1216" s="50"/>
      <c r="D1216" s="10" t="s">
        <v>29</v>
      </c>
      <c r="E1216" s="11"/>
      <c r="F1216" s="11" t="s">
        <v>18</v>
      </c>
      <c r="G1216" s="13"/>
      <c r="H1216" s="45" t="s">
        <v>16</v>
      </c>
      <c r="I1216" s="47"/>
      <c r="J1216" s="12" t="s">
        <v>2599</v>
      </c>
      <c r="K1216" s="13" t="s">
        <v>7986</v>
      </c>
      <c r="L1216" s="99" t="str">
        <f t="shared" si="105"/>
        <v>W1246.F</v>
      </c>
      <c r="M1216" s="13" t="s">
        <v>3667</v>
      </c>
      <c r="N1216" s="13"/>
      <c r="O1216" s="13"/>
      <c r="P1216" s="47"/>
      <c r="Q1216" s="45"/>
      <c r="R1216" s="45"/>
      <c r="S1216" s="48"/>
      <c r="T1216" s="49" t="str">
        <f t="shared" si="109"/>
        <v>[W1246.F]</v>
      </c>
      <c r="U1216" s="12" t="str">
        <f t="shared" si="110"/>
        <v xml:space="preserve"> 어퍼 커버 공급 로봇L 서보 온 상태 이상</v>
      </c>
      <c r="V1216" s="49" t="str">
        <f t="shared" si="108"/>
        <v>[W1246.F] 어퍼 커버 공급 로봇L 서보 온 상태 이상</v>
      </c>
    </row>
    <row r="1217" spans="1:22" s="49" customFormat="1" ht="14.15" customHeight="1">
      <c r="A1217" s="43" t="s">
        <v>3670</v>
      </c>
      <c r="B1217" s="44" t="s">
        <v>6637</v>
      </c>
      <c r="C1217" s="50"/>
      <c r="D1217" s="10" t="s">
        <v>29</v>
      </c>
      <c r="E1217" s="11"/>
      <c r="F1217" s="11" t="s">
        <v>18</v>
      </c>
      <c r="G1217" s="13"/>
      <c r="H1217" s="45" t="s">
        <v>16</v>
      </c>
      <c r="I1217" s="47"/>
      <c r="J1217" s="12" t="s">
        <v>2600</v>
      </c>
      <c r="K1217" s="13" t="s">
        <v>7987</v>
      </c>
      <c r="L1217" s="99" t="str">
        <f t="shared" si="105"/>
        <v>W1247.0</v>
      </c>
      <c r="M1217" s="13" t="s">
        <v>3667</v>
      </c>
      <c r="N1217" s="13"/>
      <c r="O1217" s="13"/>
      <c r="P1217" s="47"/>
      <c r="Q1217" s="45"/>
      <c r="R1217" s="45"/>
      <c r="S1217" s="48"/>
      <c r="T1217" s="49" t="str">
        <f t="shared" si="109"/>
        <v>[W1247.0]</v>
      </c>
      <c r="U1217" s="12" t="str">
        <f t="shared" si="110"/>
        <v xml:space="preserve"> 어퍼 커버 공급 로봇L 초기화 필요</v>
      </c>
      <c r="V1217" s="49" t="str">
        <f t="shared" si="108"/>
        <v>[W1247.0] 어퍼 커버 공급 로봇L 초기화 필요</v>
      </c>
    </row>
    <row r="1218" spans="1:22" s="49" customFormat="1" ht="14.15" customHeight="1">
      <c r="A1218" s="43" t="s">
        <v>3670</v>
      </c>
      <c r="B1218" s="44" t="s">
        <v>6637</v>
      </c>
      <c r="C1218" s="50"/>
      <c r="D1218" s="10" t="s">
        <v>29</v>
      </c>
      <c r="E1218" s="11"/>
      <c r="F1218" s="11" t="s">
        <v>18</v>
      </c>
      <c r="G1218" s="13"/>
      <c r="H1218" s="45" t="s">
        <v>16</v>
      </c>
      <c r="I1218" s="47"/>
      <c r="J1218" s="12" t="s">
        <v>2601</v>
      </c>
      <c r="K1218" s="13" t="s">
        <v>7988</v>
      </c>
      <c r="L1218" s="99" t="str">
        <f t="shared" si="105"/>
        <v>W1247.1</v>
      </c>
      <c r="M1218" s="13" t="s">
        <v>3667</v>
      </c>
      <c r="N1218" s="13"/>
      <c r="O1218" s="13"/>
      <c r="P1218" s="47"/>
      <c r="Q1218" s="45"/>
      <c r="R1218" s="45"/>
      <c r="S1218" s="48"/>
      <c r="T1218" s="49" t="str">
        <f t="shared" si="109"/>
        <v>[W1247.1]</v>
      </c>
      <c r="U1218" s="12" t="str">
        <f t="shared" si="110"/>
        <v xml:space="preserve"> 어퍼 커버 공급 로봇L 팬던트 비상 정지 이상 (XB0D)</v>
      </c>
      <c r="V1218" s="49" t="str">
        <f t="shared" si="108"/>
        <v>[W1247.1] 어퍼 커버 공급 로봇L 팬던트 비상 정지 이상 (XB0D)</v>
      </c>
    </row>
    <row r="1219" spans="1:22" s="49" customFormat="1" ht="14.15" customHeight="1">
      <c r="A1219" s="43" t="s">
        <v>3670</v>
      </c>
      <c r="B1219" s="44" t="s">
        <v>6637</v>
      </c>
      <c r="C1219" s="50"/>
      <c r="D1219" s="10" t="s">
        <v>29</v>
      </c>
      <c r="E1219" s="11"/>
      <c r="F1219" s="11" t="s">
        <v>18</v>
      </c>
      <c r="G1219" s="13"/>
      <c r="H1219" s="45" t="s">
        <v>16</v>
      </c>
      <c r="I1219" s="47"/>
      <c r="J1219" s="12" t="s">
        <v>2602</v>
      </c>
      <c r="K1219" s="13" t="s">
        <v>7989</v>
      </c>
      <c r="L1219" s="99" t="str">
        <f t="shared" si="105"/>
        <v>W1247.2</v>
      </c>
      <c r="M1219" s="13" t="s">
        <v>3667</v>
      </c>
      <c r="N1219" s="13"/>
      <c r="O1219" s="13"/>
      <c r="P1219" s="47"/>
      <c r="Q1219" s="45"/>
      <c r="R1219" s="45"/>
      <c r="S1219" s="48"/>
      <c r="T1219" s="49" t="str">
        <f t="shared" si="109"/>
        <v>[W1247.2]</v>
      </c>
      <c r="U1219" s="12" t="str">
        <f t="shared" si="110"/>
        <v xml:space="preserve"> 어퍼 커버 공급 로봇L 콘트롤러 비상 정지 이상 (XB0E)</v>
      </c>
      <c r="V1219" s="49" t="str">
        <f t="shared" si="108"/>
        <v>[W1247.2] 어퍼 커버 공급 로봇L 콘트롤러 비상 정지 이상 (XB0E)</v>
      </c>
    </row>
    <row r="1220" spans="1:22" s="49" customFormat="1" ht="14.15" customHeight="1">
      <c r="A1220" s="43" t="s">
        <v>3670</v>
      </c>
      <c r="B1220" s="44" t="s">
        <v>6637</v>
      </c>
      <c r="C1220" s="50"/>
      <c r="D1220" s="10" t="s">
        <v>29</v>
      </c>
      <c r="E1220" s="11"/>
      <c r="F1220" s="11" t="s">
        <v>18</v>
      </c>
      <c r="G1220" s="13"/>
      <c r="H1220" s="45" t="s">
        <v>16</v>
      </c>
      <c r="I1220" s="47"/>
      <c r="J1220" s="12" t="s">
        <v>2603</v>
      </c>
      <c r="K1220" s="13" t="s">
        <v>7990</v>
      </c>
      <c r="L1220" s="99" t="str">
        <f t="shared" si="105"/>
        <v>W1247.3</v>
      </c>
      <c r="M1220" s="13" t="s">
        <v>3667</v>
      </c>
      <c r="N1220" s="13"/>
      <c r="O1220" s="13"/>
      <c r="P1220" s="47"/>
      <c r="Q1220" s="45"/>
      <c r="R1220" s="45"/>
      <c r="S1220" s="48"/>
      <c r="T1220" s="49" t="str">
        <f t="shared" si="109"/>
        <v>[W1247.3]</v>
      </c>
      <c r="U1220" s="12" t="str">
        <f t="shared" si="110"/>
        <v xml:space="preserve"> 어퍼 커버 공급 로봇R 클램프 전진 시간초과 (Y4DC, X4BB)</v>
      </c>
      <c r="V1220" s="49" t="str">
        <f t="shared" si="108"/>
        <v>[W1247.3] 어퍼 커버 공급 로봇R 클램프 전진 시간초과 (Y4DC, X4BB)</v>
      </c>
    </row>
    <row r="1221" spans="1:22" s="49" customFormat="1" ht="14.15" customHeight="1">
      <c r="A1221" s="43" t="s">
        <v>3670</v>
      </c>
      <c r="B1221" s="44" t="s">
        <v>6637</v>
      </c>
      <c r="C1221" s="50"/>
      <c r="D1221" s="10" t="s">
        <v>29</v>
      </c>
      <c r="E1221" s="11"/>
      <c r="F1221" s="11" t="s">
        <v>18</v>
      </c>
      <c r="G1221" s="13"/>
      <c r="H1221" s="45" t="s">
        <v>16</v>
      </c>
      <c r="I1221" s="47"/>
      <c r="J1221" s="12" t="s">
        <v>2604</v>
      </c>
      <c r="K1221" s="13" t="s">
        <v>7991</v>
      </c>
      <c r="L1221" s="99" t="str">
        <f t="shared" si="105"/>
        <v>W1247.4</v>
      </c>
      <c r="M1221" s="13" t="s">
        <v>3667</v>
      </c>
      <c r="N1221" s="13"/>
      <c r="O1221" s="13"/>
      <c r="P1221" s="47"/>
      <c r="Q1221" s="45"/>
      <c r="R1221" s="45"/>
      <c r="S1221" s="48"/>
      <c r="T1221" s="49" t="str">
        <f t="shared" si="109"/>
        <v>[W1247.4]</v>
      </c>
      <c r="U1221" s="12" t="str">
        <f t="shared" si="110"/>
        <v xml:space="preserve"> 어퍼 커버 공급 로봇R 클램프 후진 시간초과 (Y4DD)</v>
      </c>
      <c r="V1221" s="49" t="str">
        <f t="shared" si="108"/>
        <v>[W1247.4] 어퍼 커버 공급 로봇R 클램프 후진 시간초과 (Y4DD)</v>
      </c>
    </row>
    <row r="1222" spans="1:22" s="49" customFormat="1" ht="14.15" customHeight="1">
      <c r="A1222" s="43" t="s">
        <v>3670</v>
      </c>
      <c r="B1222" s="44" t="s">
        <v>6637</v>
      </c>
      <c r="C1222" s="50"/>
      <c r="D1222" s="10" t="s">
        <v>29</v>
      </c>
      <c r="E1222" s="11"/>
      <c r="F1222" s="11" t="s">
        <v>18</v>
      </c>
      <c r="G1222" s="13"/>
      <c r="H1222" s="45" t="s">
        <v>16</v>
      </c>
      <c r="I1222" s="47"/>
      <c r="J1222" s="12" t="s">
        <v>2605</v>
      </c>
      <c r="K1222" s="13" t="s">
        <v>7992</v>
      </c>
      <c r="L1222" s="99" t="str">
        <f t="shared" si="105"/>
        <v>W1247.5</v>
      </c>
      <c r="M1222" s="13" t="s">
        <v>3667</v>
      </c>
      <c r="N1222" s="13"/>
      <c r="O1222" s="13"/>
      <c r="P1222" s="47"/>
      <c r="Q1222" s="45"/>
      <c r="R1222" s="45"/>
      <c r="S1222" s="48"/>
      <c r="T1222" s="49" t="str">
        <f t="shared" si="109"/>
        <v>[W1247.5]</v>
      </c>
      <c r="U1222" s="12" t="str">
        <f t="shared" si="110"/>
        <v xml:space="preserve"> 어퍼 커버 공급 로봇R 커버 픽업 상승 시간초과 (Y496, X4A9)</v>
      </c>
      <c r="V1222" s="49" t="str">
        <f t="shared" si="108"/>
        <v>[W1247.5] 어퍼 커버 공급 로봇R 커버 픽업 상승 시간초과 (Y496, X4A9)</v>
      </c>
    </row>
    <row r="1223" spans="1:22" s="49" customFormat="1" ht="14.15" customHeight="1">
      <c r="A1223" s="43" t="s">
        <v>3670</v>
      </c>
      <c r="B1223" s="44" t="s">
        <v>6637</v>
      </c>
      <c r="C1223" s="50"/>
      <c r="D1223" s="10" t="s">
        <v>29</v>
      </c>
      <c r="E1223" s="11"/>
      <c r="F1223" s="11" t="s">
        <v>18</v>
      </c>
      <c r="G1223" s="13"/>
      <c r="H1223" s="45" t="s">
        <v>16</v>
      </c>
      <c r="I1223" s="47"/>
      <c r="J1223" s="12" t="s">
        <v>2606</v>
      </c>
      <c r="K1223" s="13" t="s">
        <v>7993</v>
      </c>
      <c r="L1223" s="99" t="str">
        <f t="shared" si="105"/>
        <v>W1247.6</v>
      </c>
      <c r="M1223" s="13" t="s">
        <v>3667</v>
      </c>
      <c r="N1223" s="13"/>
      <c r="O1223" s="13"/>
      <c r="P1223" s="47"/>
      <c r="Q1223" s="45"/>
      <c r="R1223" s="45"/>
      <c r="S1223" s="48"/>
      <c r="T1223" s="49" t="str">
        <f t="shared" si="109"/>
        <v>[W1247.6]</v>
      </c>
      <c r="U1223" s="12" t="str">
        <f t="shared" si="110"/>
        <v xml:space="preserve"> 어퍼 커버 공급 로봇R 커버 픽업 하강 시간초과 (Y497, X4AA)</v>
      </c>
      <c r="V1223" s="49" t="str">
        <f t="shared" si="108"/>
        <v>[W1247.6] 어퍼 커버 공급 로봇R 커버 픽업 하강 시간초과 (Y497, X4AA)</v>
      </c>
    </row>
    <row r="1224" spans="1:22" s="49" customFormat="1" ht="14.15" customHeight="1">
      <c r="A1224" s="43" t="s">
        <v>3670</v>
      </c>
      <c r="B1224" s="44" t="s">
        <v>6637</v>
      </c>
      <c r="C1224" s="50"/>
      <c r="D1224" s="10" t="s">
        <v>29</v>
      </c>
      <c r="E1224" s="11"/>
      <c r="F1224" s="11" t="s">
        <v>18</v>
      </c>
      <c r="G1224" s="13"/>
      <c r="H1224" s="45" t="s">
        <v>16</v>
      </c>
      <c r="I1224" s="47"/>
      <c r="J1224" s="12" t="s">
        <v>2607</v>
      </c>
      <c r="K1224" s="13" t="s">
        <v>7994</v>
      </c>
      <c r="L1224" s="99" t="str">
        <f t="shared" si="105"/>
        <v>W1247.7</v>
      </c>
      <c r="M1224" s="13" t="s">
        <v>3667</v>
      </c>
      <c r="N1224" s="13"/>
      <c r="O1224" s="13"/>
      <c r="P1224" s="47"/>
      <c r="Q1224" s="45"/>
      <c r="R1224" s="45"/>
      <c r="S1224" s="48"/>
      <c r="T1224" s="49" t="str">
        <f t="shared" si="109"/>
        <v>[W1247.7]</v>
      </c>
      <c r="U1224" s="12" t="str">
        <f t="shared" si="110"/>
        <v xml:space="preserve"> 어퍼 커버 공급 로봇R 커버 픽업 상승/하강 센서 이상 (X4A9, X4AA)</v>
      </c>
      <c r="V1224" s="49" t="str">
        <f t="shared" si="108"/>
        <v>[W1247.7] 어퍼 커버 공급 로봇R 커버 픽업 상승/하강 센서 이상 (X4A9, X4AA)</v>
      </c>
    </row>
    <row r="1225" spans="1:22" s="49" customFormat="1" ht="14.15" customHeight="1">
      <c r="A1225" s="43" t="s">
        <v>3670</v>
      </c>
      <c r="B1225" s="44" t="s">
        <v>6637</v>
      </c>
      <c r="C1225" s="50"/>
      <c r="D1225" s="10" t="s">
        <v>29</v>
      </c>
      <c r="E1225" s="11"/>
      <c r="F1225" s="11" t="s">
        <v>18</v>
      </c>
      <c r="G1225" s="13"/>
      <c r="H1225" s="45" t="s">
        <v>16</v>
      </c>
      <c r="I1225" s="47"/>
      <c r="J1225" s="12" t="s">
        <v>2608</v>
      </c>
      <c r="K1225" s="13" t="s">
        <v>7995</v>
      </c>
      <c r="L1225" s="99" t="str">
        <f t="shared" si="105"/>
        <v>W1247.8</v>
      </c>
      <c r="M1225" s="13" t="s">
        <v>3667</v>
      </c>
      <c r="N1225" s="13"/>
      <c r="O1225" s="13"/>
      <c r="P1225" s="47"/>
      <c r="Q1225" s="45"/>
      <c r="R1225" s="45"/>
      <c r="S1225" s="48"/>
      <c r="T1225" s="49" t="str">
        <f t="shared" si="109"/>
        <v>[W1247.8]</v>
      </c>
      <c r="U1225" s="12" t="str">
        <f t="shared" si="110"/>
        <v xml:space="preserve"> 어퍼 커버 공급 로봇R 커버 픽업 시프트 전진 시간초과 (Y498, X4A7)</v>
      </c>
      <c r="V1225" s="49" t="str">
        <f t="shared" si="108"/>
        <v>[W1247.8] 어퍼 커버 공급 로봇R 커버 픽업 시프트 전진 시간초과 (Y498, X4A7)</v>
      </c>
    </row>
    <row r="1226" spans="1:22" s="49" customFormat="1" ht="14.15" customHeight="1">
      <c r="A1226" s="43" t="s">
        <v>3670</v>
      </c>
      <c r="B1226" s="44" t="s">
        <v>6637</v>
      </c>
      <c r="C1226" s="50"/>
      <c r="D1226" s="10" t="s">
        <v>29</v>
      </c>
      <c r="E1226" s="11"/>
      <c r="F1226" s="11" t="s">
        <v>18</v>
      </c>
      <c r="G1226" s="13"/>
      <c r="H1226" s="45" t="s">
        <v>16</v>
      </c>
      <c r="I1226" s="47"/>
      <c r="J1226" s="12" t="s">
        <v>2609</v>
      </c>
      <c r="K1226" s="13" t="s">
        <v>7996</v>
      </c>
      <c r="L1226" s="99" t="str">
        <f t="shared" si="105"/>
        <v>W1247.9</v>
      </c>
      <c r="M1226" s="13" t="s">
        <v>3667</v>
      </c>
      <c r="N1226" s="13"/>
      <c r="O1226" s="13"/>
      <c r="P1226" s="47"/>
      <c r="Q1226" s="45"/>
      <c r="R1226" s="45"/>
      <c r="S1226" s="48"/>
      <c r="T1226" s="49" t="str">
        <f t="shared" si="109"/>
        <v>[W1247.9]</v>
      </c>
      <c r="U1226" s="12" t="str">
        <f t="shared" si="110"/>
        <v xml:space="preserve"> 어퍼 커버 공급 로봇R 커버 픽업 시프트 후진 시간초과 (Y499, X4A8)</v>
      </c>
      <c r="V1226" s="49" t="str">
        <f t="shared" si="108"/>
        <v>[W1247.9] 어퍼 커버 공급 로봇R 커버 픽업 시프트 후진 시간초과 (Y499, X4A8)</v>
      </c>
    </row>
    <row r="1227" spans="1:22" s="49" customFormat="1" ht="14.15" customHeight="1">
      <c r="A1227" s="43" t="s">
        <v>3670</v>
      </c>
      <c r="B1227" s="44" t="s">
        <v>6637</v>
      </c>
      <c r="C1227" s="50"/>
      <c r="D1227" s="10" t="s">
        <v>29</v>
      </c>
      <c r="E1227" s="11"/>
      <c r="F1227" s="11" t="s">
        <v>18</v>
      </c>
      <c r="G1227" s="13"/>
      <c r="H1227" s="45" t="s">
        <v>16</v>
      </c>
      <c r="I1227" s="47"/>
      <c r="J1227" s="12" t="s">
        <v>2610</v>
      </c>
      <c r="K1227" s="13" t="s">
        <v>7997</v>
      </c>
      <c r="L1227" s="99" t="str">
        <f t="shared" si="105"/>
        <v>W1247.A</v>
      </c>
      <c r="M1227" s="13" t="s">
        <v>3667</v>
      </c>
      <c r="N1227" s="13"/>
      <c r="O1227" s="13"/>
      <c r="P1227" s="47"/>
      <c r="Q1227" s="45"/>
      <c r="R1227" s="45"/>
      <c r="S1227" s="48"/>
      <c r="T1227" s="49" t="str">
        <f t="shared" si="109"/>
        <v>[W1247.A]</v>
      </c>
      <c r="U1227" s="12" t="str">
        <f t="shared" si="110"/>
        <v xml:space="preserve"> 어퍼 커버 공급 로봇R 커버 픽업 시프트 전진/후진 센서 이상 (X4A7, X4A8)</v>
      </c>
      <c r="V1227" s="49" t="str">
        <f t="shared" si="108"/>
        <v>[W1247.A] 어퍼 커버 공급 로봇R 커버 픽업 시프트 전진/후진 센서 이상 (X4A7, X4A8)</v>
      </c>
    </row>
    <row r="1228" spans="1:22" s="49" customFormat="1" ht="14.15" customHeight="1">
      <c r="A1228" s="43" t="s">
        <v>3670</v>
      </c>
      <c r="B1228" s="44" t="s">
        <v>6637</v>
      </c>
      <c r="C1228" s="50"/>
      <c r="D1228" s="10" t="s">
        <v>29</v>
      </c>
      <c r="E1228" s="11"/>
      <c r="F1228" s="11" t="s">
        <v>18</v>
      </c>
      <c r="G1228" s="13"/>
      <c r="H1228" s="45" t="s">
        <v>16</v>
      </c>
      <c r="I1228" s="47"/>
      <c r="J1228" s="12" t="s">
        <v>2611</v>
      </c>
      <c r="K1228" s="13" t="s">
        <v>7998</v>
      </c>
      <c r="L1228" s="99" t="str">
        <f t="shared" si="105"/>
        <v>W1247.B</v>
      </c>
      <c r="M1228" s="13" t="s">
        <v>3667</v>
      </c>
      <c r="N1228" s="13"/>
      <c r="O1228" s="13"/>
      <c r="P1228" s="47"/>
      <c r="Q1228" s="45"/>
      <c r="R1228" s="45"/>
      <c r="S1228" s="48"/>
      <c r="T1228" s="49" t="str">
        <f t="shared" si="109"/>
        <v>[W1247.B]</v>
      </c>
      <c r="U1228" s="12" t="str">
        <f t="shared" si="110"/>
        <v xml:space="preserve"> 어퍼 커버 공급 로봇R 커버 픽업 회전 시간초과 (Y4D2, X4A4)</v>
      </c>
      <c r="V1228" s="49" t="str">
        <f t="shared" si="108"/>
        <v>[W1247.B] 어퍼 커버 공급 로봇R 커버 픽업 회전 시간초과 (Y4D2, X4A4)</v>
      </c>
    </row>
    <row r="1229" spans="1:22" s="49" customFormat="1" ht="14.15" customHeight="1">
      <c r="A1229" s="43" t="s">
        <v>3670</v>
      </c>
      <c r="B1229" s="44" t="s">
        <v>6637</v>
      </c>
      <c r="C1229" s="50"/>
      <c r="D1229" s="10" t="s">
        <v>29</v>
      </c>
      <c r="E1229" s="11"/>
      <c r="F1229" s="11" t="s">
        <v>18</v>
      </c>
      <c r="G1229" s="13"/>
      <c r="H1229" s="45" t="s">
        <v>16</v>
      </c>
      <c r="I1229" s="47"/>
      <c r="J1229" s="12" t="s">
        <v>2612</v>
      </c>
      <c r="K1229" s="13" t="s">
        <v>7999</v>
      </c>
      <c r="L1229" s="99" t="str">
        <f t="shared" si="105"/>
        <v>W1247.C</v>
      </c>
      <c r="M1229" s="13" t="s">
        <v>3667</v>
      </c>
      <c r="N1229" s="13"/>
      <c r="O1229" s="13"/>
      <c r="P1229" s="47"/>
      <c r="Q1229" s="45"/>
      <c r="R1229" s="45"/>
      <c r="S1229" s="48"/>
      <c r="T1229" s="49" t="str">
        <f t="shared" si="109"/>
        <v>[W1247.C]</v>
      </c>
      <c r="U1229" s="12" t="str">
        <f t="shared" si="110"/>
        <v xml:space="preserve"> 어퍼 커버 공급 로봇R 커버 픽업 회전 복귀 시간초과 (Y4D3, X4A5)</v>
      </c>
      <c r="V1229" s="49" t="str">
        <f t="shared" si="108"/>
        <v>[W1247.C] 어퍼 커버 공급 로봇R 커버 픽업 회전 복귀 시간초과 (Y4D3, X4A5)</v>
      </c>
    </row>
    <row r="1230" spans="1:22" s="49" customFormat="1" ht="14.15" customHeight="1">
      <c r="A1230" s="43" t="s">
        <v>3670</v>
      </c>
      <c r="B1230" s="44" t="s">
        <v>6637</v>
      </c>
      <c r="C1230" s="50"/>
      <c r="D1230" s="10" t="s">
        <v>29</v>
      </c>
      <c r="E1230" s="11"/>
      <c r="F1230" s="11" t="s">
        <v>18</v>
      </c>
      <c r="G1230" s="13"/>
      <c r="H1230" s="45" t="s">
        <v>16</v>
      </c>
      <c r="I1230" s="47"/>
      <c r="J1230" s="12" t="s">
        <v>2613</v>
      </c>
      <c r="K1230" s="13" t="s">
        <v>8000</v>
      </c>
      <c r="L1230" s="99" t="str">
        <f t="shared" si="105"/>
        <v>W1247.D</v>
      </c>
      <c r="M1230" s="13" t="s">
        <v>3667</v>
      </c>
      <c r="N1230" s="13"/>
      <c r="O1230" s="13"/>
      <c r="P1230" s="47"/>
      <c r="Q1230" s="45"/>
      <c r="R1230" s="45"/>
      <c r="S1230" s="48"/>
      <c r="T1230" s="49" t="str">
        <f t="shared" si="109"/>
        <v>[W1247.D]</v>
      </c>
      <c r="U1230" s="12" t="str">
        <f t="shared" si="110"/>
        <v xml:space="preserve"> 어퍼 커버 공급 로봇R 커버 픽업 회전/복귀 센서 이상 (X4A4, X4A5)</v>
      </c>
      <c r="V1230" s="49" t="str">
        <f t="shared" si="108"/>
        <v>[W1247.D] 어퍼 커버 공급 로봇R 커버 픽업 회전/복귀 센서 이상 (X4A4, X4A5)</v>
      </c>
    </row>
    <row r="1231" spans="1:22" s="49" customFormat="1" ht="14.15" customHeight="1">
      <c r="A1231" s="43" t="s">
        <v>3670</v>
      </c>
      <c r="B1231" s="44" t="s">
        <v>6637</v>
      </c>
      <c r="C1231" s="50"/>
      <c r="D1231" s="10" t="s">
        <v>29</v>
      </c>
      <c r="E1231" s="11"/>
      <c r="F1231" s="11" t="s">
        <v>18</v>
      </c>
      <c r="G1231" s="13"/>
      <c r="H1231" s="45" t="s">
        <v>16</v>
      </c>
      <c r="I1231" s="47"/>
      <c r="J1231" s="12" t="s">
        <v>2614</v>
      </c>
      <c r="K1231" s="13" t="s">
        <v>8001</v>
      </c>
      <c r="L1231" s="99" t="str">
        <f t="shared" si="105"/>
        <v>W1247.E</v>
      </c>
      <c r="M1231" s="13" t="s">
        <v>3667</v>
      </c>
      <c r="N1231" s="13"/>
      <c r="O1231" s="13"/>
      <c r="P1231" s="47"/>
      <c r="Q1231" s="45"/>
      <c r="R1231" s="45"/>
      <c r="S1231" s="48"/>
      <c r="T1231" s="49" t="str">
        <f t="shared" si="109"/>
        <v>[W1247.E]</v>
      </c>
      <c r="U1231" s="12" t="str">
        <f t="shared" si="110"/>
        <v xml:space="preserve"> 어퍼 커버 공급 로봇R 제품 수취 시간초과</v>
      </c>
      <c r="V1231" s="49" t="str">
        <f t="shared" si="108"/>
        <v>[W1247.E] 어퍼 커버 공급 로봇R 제품 수취 시간초과</v>
      </c>
    </row>
    <row r="1232" spans="1:22" s="49" customFormat="1" ht="14.15" customHeight="1">
      <c r="A1232" s="43" t="s">
        <v>3670</v>
      </c>
      <c r="B1232" s="44" t="s">
        <v>6637</v>
      </c>
      <c r="C1232" s="50"/>
      <c r="D1232" s="10" t="s">
        <v>29</v>
      </c>
      <c r="E1232" s="11"/>
      <c r="F1232" s="11" t="s">
        <v>18</v>
      </c>
      <c r="G1232" s="13"/>
      <c r="H1232" s="45" t="s">
        <v>16</v>
      </c>
      <c r="I1232" s="47"/>
      <c r="J1232" s="12" t="s">
        <v>2615</v>
      </c>
      <c r="K1232" s="13" t="s">
        <v>8002</v>
      </c>
      <c r="L1232" s="99" t="str">
        <f t="shared" si="105"/>
        <v>W1247.F</v>
      </c>
      <c r="M1232" s="13" t="s">
        <v>3667</v>
      </c>
      <c r="N1232" s="13"/>
      <c r="O1232" s="13"/>
      <c r="P1232" s="47"/>
      <c r="Q1232" s="45"/>
      <c r="R1232" s="45"/>
      <c r="S1232" s="48"/>
      <c r="T1232" s="49" t="str">
        <f t="shared" si="109"/>
        <v>[W1247.F]</v>
      </c>
      <c r="U1232" s="12" t="str">
        <f t="shared" si="110"/>
        <v xml:space="preserve"> 어퍼 커버 공급 로봇R 제품 배출 시간초과</v>
      </c>
      <c r="V1232" s="49" t="str">
        <f t="shared" si="108"/>
        <v>[W1247.F] 어퍼 커버 공급 로봇R 제품 배출 시간초과</v>
      </c>
    </row>
    <row r="1233" spans="1:22" s="49" customFormat="1" ht="14.15" customHeight="1">
      <c r="A1233" s="43" t="s">
        <v>3670</v>
      </c>
      <c r="B1233" s="44" t="s">
        <v>6637</v>
      </c>
      <c r="C1233" s="50"/>
      <c r="D1233" s="10" t="s">
        <v>29</v>
      </c>
      <c r="E1233" s="11"/>
      <c r="F1233" s="11" t="s">
        <v>18</v>
      </c>
      <c r="G1233" s="13"/>
      <c r="H1233" s="45" t="s">
        <v>16</v>
      </c>
      <c r="I1233" s="47"/>
      <c r="J1233" s="12" t="s">
        <v>2616</v>
      </c>
      <c r="K1233" s="13" t="s">
        <v>8003</v>
      </c>
      <c r="L1233" s="99" t="str">
        <f t="shared" si="105"/>
        <v>W1248.0</v>
      </c>
      <c r="M1233" s="13" t="s">
        <v>3667</v>
      </c>
      <c r="N1233" s="13"/>
      <c r="O1233" s="13"/>
      <c r="P1233" s="47"/>
      <c r="Q1233" s="45"/>
      <c r="R1233" s="45"/>
      <c r="S1233" s="48"/>
      <c r="T1233" s="49" t="str">
        <f t="shared" si="109"/>
        <v>[W1248.0]</v>
      </c>
      <c r="U1233" s="12" t="str">
        <f t="shared" si="110"/>
        <v xml:space="preserve"> 어퍼 커버 공급 로봇R 제품 수취 시퀀스 이상</v>
      </c>
      <c r="V1233" s="49" t="str">
        <f t="shared" si="108"/>
        <v>[W1248.0] 어퍼 커버 공급 로봇R 제품 수취 시퀀스 이상</v>
      </c>
    </row>
    <row r="1234" spans="1:22" s="49" customFormat="1" ht="14.15" customHeight="1">
      <c r="A1234" s="43" t="s">
        <v>3670</v>
      </c>
      <c r="B1234" s="44" t="s">
        <v>6637</v>
      </c>
      <c r="C1234" s="50"/>
      <c r="D1234" s="10" t="s">
        <v>29</v>
      </c>
      <c r="E1234" s="11"/>
      <c r="F1234" s="11" t="s">
        <v>18</v>
      </c>
      <c r="G1234" s="13"/>
      <c r="H1234" s="45" t="s">
        <v>16</v>
      </c>
      <c r="I1234" s="47"/>
      <c r="J1234" s="12" t="s">
        <v>2617</v>
      </c>
      <c r="K1234" s="13" t="s">
        <v>8004</v>
      </c>
      <c r="L1234" s="99" t="str">
        <f t="shared" ref="L1234:L1297" si="111">"W"&amp;DEC2HEX(4608 + INT((ROW()-81)/16)) &amp; "." &amp; IF(MOD(ROW()-81,16)&lt;10,MOD(ROW()-81,16),CHAR(MOD(ROW()-81,16)+55))</f>
        <v>W1248.1</v>
      </c>
      <c r="M1234" s="13" t="s">
        <v>3667</v>
      </c>
      <c r="N1234" s="13"/>
      <c r="O1234" s="13"/>
      <c r="P1234" s="47"/>
      <c r="Q1234" s="45"/>
      <c r="R1234" s="45"/>
      <c r="S1234" s="48"/>
      <c r="T1234" s="49" t="str">
        <f t="shared" ref="T1234:T1268" si="112">"["&amp;L1234&amp;"]"</f>
        <v>[W1248.1]</v>
      </c>
      <c r="U1234" s="12" t="str">
        <f t="shared" ref="U1234:U1268" si="113">RIGHT(J1234,LEN(J1234)-7)</f>
        <v xml:space="preserve"> 어퍼 커버 공급 로봇R 제품 베츨 시퀀스 이상</v>
      </c>
      <c r="V1234" s="49" t="str">
        <f t="shared" ref="V1234:V1297" si="114">T1234&amp;U1234</f>
        <v>[W1248.1] 어퍼 커버 공급 로봇R 제품 베츨 시퀀스 이상</v>
      </c>
    </row>
    <row r="1235" spans="1:22" s="49" customFormat="1" ht="14.15" customHeight="1">
      <c r="A1235" s="43" t="s">
        <v>3670</v>
      </c>
      <c r="B1235" s="44" t="s">
        <v>6637</v>
      </c>
      <c r="C1235" s="50"/>
      <c r="D1235" s="10" t="s">
        <v>29</v>
      </c>
      <c r="E1235" s="11"/>
      <c r="F1235" s="11" t="s">
        <v>18</v>
      </c>
      <c r="G1235" s="13"/>
      <c r="H1235" s="45" t="s">
        <v>16</v>
      </c>
      <c r="I1235" s="47"/>
      <c r="J1235" s="12" t="s">
        <v>2618</v>
      </c>
      <c r="K1235" s="13" t="s">
        <v>8005</v>
      </c>
      <c r="L1235" s="99" t="str">
        <f t="shared" si="111"/>
        <v>W1248.2</v>
      </c>
      <c r="M1235" s="13" t="s">
        <v>3667</v>
      </c>
      <c r="N1235" s="13"/>
      <c r="O1235" s="13"/>
      <c r="P1235" s="47"/>
      <c r="Q1235" s="45"/>
      <c r="R1235" s="45"/>
      <c r="S1235" s="48"/>
      <c r="T1235" s="49" t="str">
        <f t="shared" si="112"/>
        <v>[W1248.2]</v>
      </c>
      <c r="U1235" s="12" t="str">
        <f t="shared" si="113"/>
        <v xml:space="preserve"> 어퍼 커버 공급 로봇R 리모트 모드 상태 이상</v>
      </c>
      <c r="V1235" s="49" t="str">
        <f t="shared" si="114"/>
        <v>[W1248.2] 어퍼 커버 공급 로봇R 리모트 모드 상태 이상</v>
      </c>
    </row>
    <row r="1236" spans="1:22" s="49" customFormat="1" ht="14.15" customHeight="1">
      <c r="A1236" s="43" t="s">
        <v>3670</v>
      </c>
      <c r="B1236" s="44" t="s">
        <v>6637</v>
      </c>
      <c r="C1236" s="50"/>
      <c r="D1236" s="10" t="s">
        <v>29</v>
      </c>
      <c r="E1236" s="11"/>
      <c r="F1236" s="11" t="s">
        <v>18</v>
      </c>
      <c r="G1236" s="13"/>
      <c r="H1236" s="45" t="s">
        <v>16</v>
      </c>
      <c r="I1236" s="47"/>
      <c r="J1236" s="12" t="s">
        <v>2619</v>
      </c>
      <c r="K1236" s="13" t="s">
        <v>8006</v>
      </c>
      <c r="L1236" s="99" t="str">
        <f t="shared" si="111"/>
        <v>W1248.3</v>
      </c>
      <c r="M1236" s="13" t="s">
        <v>3667</v>
      </c>
      <c r="N1236" s="13"/>
      <c r="O1236" s="13"/>
      <c r="P1236" s="47"/>
      <c r="Q1236" s="45"/>
      <c r="R1236" s="45"/>
      <c r="S1236" s="48"/>
      <c r="T1236" s="49" t="str">
        <f t="shared" si="112"/>
        <v>[W1248.3]</v>
      </c>
      <c r="U1236" s="12" t="str">
        <f t="shared" si="113"/>
        <v xml:space="preserve"> 어퍼 커버 공급 로봇R 서보 온 상태 이상</v>
      </c>
      <c r="V1236" s="49" t="str">
        <f t="shared" si="114"/>
        <v>[W1248.3] 어퍼 커버 공급 로봇R 서보 온 상태 이상</v>
      </c>
    </row>
    <row r="1237" spans="1:22" s="49" customFormat="1" ht="14.15" customHeight="1">
      <c r="A1237" s="43" t="s">
        <v>3670</v>
      </c>
      <c r="B1237" s="44" t="s">
        <v>6637</v>
      </c>
      <c r="C1237" s="50"/>
      <c r="D1237" s="10" t="s">
        <v>29</v>
      </c>
      <c r="E1237" s="11"/>
      <c r="F1237" s="11" t="s">
        <v>18</v>
      </c>
      <c r="G1237" s="13"/>
      <c r="H1237" s="45" t="s">
        <v>16</v>
      </c>
      <c r="I1237" s="47"/>
      <c r="J1237" s="12" t="s">
        <v>2620</v>
      </c>
      <c r="K1237" s="13" t="s">
        <v>8007</v>
      </c>
      <c r="L1237" s="99" t="str">
        <f t="shared" si="111"/>
        <v>W1248.4</v>
      </c>
      <c r="M1237" s="13" t="s">
        <v>3667</v>
      </c>
      <c r="N1237" s="13"/>
      <c r="O1237" s="13"/>
      <c r="P1237" s="47"/>
      <c r="Q1237" s="45"/>
      <c r="R1237" s="45"/>
      <c r="S1237" s="48"/>
      <c r="T1237" s="49" t="str">
        <f t="shared" si="112"/>
        <v>[W1248.4]</v>
      </c>
      <c r="U1237" s="12" t="str">
        <f t="shared" si="113"/>
        <v xml:space="preserve"> 어퍼 커버 공급 로봇R 초기화 필요</v>
      </c>
      <c r="V1237" s="49" t="str">
        <f t="shared" si="114"/>
        <v>[W1248.4] 어퍼 커버 공급 로봇R 초기화 필요</v>
      </c>
    </row>
    <row r="1238" spans="1:22" s="49" customFormat="1" ht="14.15" customHeight="1">
      <c r="A1238" s="43" t="s">
        <v>3670</v>
      </c>
      <c r="B1238" s="44" t="s">
        <v>6637</v>
      </c>
      <c r="C1238" s="50"/>
      <c r="D1238" s="10" t="s">
        <v>29</v>
      </c>
      <c r="E1238" s="11"/>
      <c r="F1238" s="11" t="s">
        <v>18</v>
      </c>
      <c r="G1238" s="13"/>
      <c r="H1238" s="45" t="s">
        <v>16</v>
      </c>
      <c r="I1238" s="47"/>
      <c r="J1238" s="12" t="s">
        <v>2621</v>
      </c>
      <c r="K1238" s="13" t="s">
        <v>8008</v>
      </c>
      <c r="L1238" s="99" t="str">
        <f t="shared" si="111"/>
        <v>W1248.5</v>
      </c>
      <c r="M1238" s="13" t="s">
        <v>3667</v>
      </c>
      <c r="N1238" s="13"/>
      <c r="O1238" s="13"/>
      <c r="P1238" s="47"/>
      <c r="Q1238" s="45"/>
      <c r="R1238" s="45"/>
      <c r="S1238" s="48"/>
      <c r="T1238" s="49" t="str">
        <f t="shared" si="112"/>
        <v>[W1248.5]</v>
      </c>
      <c r="U1238" s="12" t="str">
        <f t="shared" si="113"/>
        <v xml:space="preserve"> 어퍼 커버 공급 로봇R 팬던트 비상 정지 이상 (XB8D)</v>
      </c>
      <c r="V1238" s="49" t="str">
        <f t="shared" si="114"/>
        <v>[W1248.5] 어퍼 커버 공급 로봇R 팬던트 비상 정지 이상 (XB8D)</v>
      </c>
    </row>
    <row r="1239" spans="1:22" s="49" customFormat="1" ht="14.15" customHeight="1">
      <c r="A1239" s="43" t="s">
        <v>3670</v>
      </c>
      <c r="B1239" s="44" t="s">
        <v>6637</v>
      </c>
      <c r="C1239" s="50"/>
      <c r="D1239" s="10" t="s">
        <v>29</v>
      </c>
      <c r="E1239" s="11"/>
      <c r="F1239" s="11" t="s">
        <v>18</v>
      </c>
      <c r="G1239" s="13"/>
      <c r="H1239" s="45" t="s">
        <v>16</v>
      </c>
      <c r="I1239" s="47"/>
      <c r="J1239" s="12" t="s">
        <v>2622</v>
      </c>
      <c r="K1239" s="13" t="s">
        <v>8009</v>
      </c>
      <c r="L1239" s="99" t="str">
        <f t="shared" si="111"/>
        <v>W1248.6</v>
      </c>
      <c r="M1239" s="13" t="s">
        <v>3667</v>
      </c>
      <c r="N1239" s="13"/>
      <c r="O1239" s="13"/>
      <c r="P1239" s="47"/>
      <c r="Q1239" s="45"/>
      <c r="R1239" s="45"/>
      <c r="S1239" s="48"/>
      <c r="T1239" s="49" t="str">
        <f t="shared" si="112"/>
        <v>[W1248.6]</v>
      </c>
      <c r="U1239" s="12" t="str">
        <f t="shared" si="113"/>
        <v xml:space="preserve"> 어퍼 커버 공급 로봇R 콘트롤러 비상 정지 이상 (XB8E)</v>
      </c>
      <c r="V1239" s="49" t="str">
        <f t="shared" si="114"/>
        <v>[W1248.6] 어퍼 커버 공급 로봇R 콘트롤러 비상 정지 이상 (XB8E)</v>
      </c>
    </row>
    <row r="1240" spans="1:22" s="49" customFormat="1" ht="14.15" customHeight="1">
      <c r="A1240" s="44"/>
      <c r="B1240" s="44" t="s">
        <v>6637</v>
      </c>
      <c r="C1240" s="50"/>
      <c r="D1240" s="10" t="s">
        <v>29</v>
      </c>
      <c r="E1240" s="11"/>
      <c r="F1240" s="11" t="s">
        <v>18</v>
      </c>
      <c r="G1240" s="13"/>
      <c r="H1240" s="45" t="s">
        <v>16</v>
      </c>
      <c r="I1240" s="47"/>
      <c r="J1240" s="12" t="s">
        <v>2623</v>
      </c>
      <c r="K1240" s="13" t="s">
        <v>8010</v>
      </c>
      <c r="L1240" s="99" t="str">
        <f t="shared" si="111"/>
        <v>W1248.7</v>
      </c>
      <c r="M1240" s="13"/>
      <c r="N1240" s="13"/>
      <c r="O1240" s="13"/>
      <c r="P1240" s="47"/>
      <c r="Q1240" s="45"/>
      <c r="R1240" s="45"/>
      <c r="S1240" s="48"/>
      <c r="T1240" s="49" t="str">
        <f t="shared" si="112"/>
        <v>[W1248.7]</v>
      </c>
      <c r="U1240" s="12" t="str">
        <f t="shared" si="113"/>
        <v xml:space="preserve"> </v>
      </c>
      <c r="V1240" s="49" t="str">
        <f t="shared" si="114"/>
        <v xml:space="preserve">[W1248.7] </v>
      </c>
    </row>
    <row r="1241" spans="1:22" s="49" customFormat="1" ht="14.15" customHeight="1">
      <c r="A1241" s="44"/>
      <c r="B1241" s="44" t="s">
        <v>6637</v>
      </c>
      <c r="C1241" s="50"/>
      <c r="D1241" s="10" t="s">
        <v>29</v>
      </c>
      <c r="E1241" s="11"/>
      <c r="F1241" s="11" t="s">
        <v>18</v>
      </c>
      <c r="G1241" s="13"/>
      <c r="H1241" s="45" t="s">
        <v>16</v>
      </c>
      <c r="I1241" s="47"/>
      <c r="J1241" s="12" t="s">
        <v>2624</v>
      </c>
      <c r="K1241" s="13" t="s">
        <v>8011</v>
      </c>
      <c r="L1241" s="99" t="str">
        <f t="shared" si="111"/>
        <v>W1248.8</v>
      </c>
      <c r="M1241" s="13"/>
      <c r="N1241" s="13"/>
      <c r="O1241" s="13"/>
      <c r="P1241" s="47"/>
      <c r="Q1241" s="45"/>
      <c r="R1241" s="45"/>
      <c r="S1241" s="48"/>
      <c r="T1241" s="49" t="str">
        <f t="shared" si="112"/>
        <v>[W1248.8]</v>
      </c>
      <c r="U1241" s="12" t="str">
        <f t="shared" si="113"/>
        <v xml:space="preserve"> </v>
      </c>
      <c r="V1241" s="49" t="str">
        <f t="shared" si="114"/>
        <v xml:space="preserve">[W1248.8] </v>
      </c>
    </row>
    <row r="1242" spans="1:22" s="49" customFormat="1" ht="14.15" customHeight="1">
      <c r="A1242" s="44"/>
      <c r="B1242" s="44" t="s">
        <v>6637</v>
      </c>
      <c r="C1242" s="50"/>
      <c r="D1242" s="10" t="s">
        <v>29</v>
      </c>
      <c r="E1242" s="11"/>
      <c r="F1242" s="11" t="s">
        <v>18</v>
      </c>
      <c r="G1242" s="13"/>
      <c r="H1242" s="45" t="s">
        <v>16</v>
      </c>
      <c r="I1242" s="47"/>
      <c r="J1242" s="12" t="s">
        <v>2625</v>
      </c>
      <c r="K1242" s="13" t="s">
        <v>8012</v>
      </c>
      <c r="L1242" s="99" t="str">
        <f t="shared" si="111"/>
        <v>W1248.9</v>
      </c>
      <c r="M1242" s="13"/>
      <c r="N1242" s="13"/>
      <c r="O1242" s="13"/>
      <c r="P1242" s="47"/>
      <c r="Q1242" s="45"/>
      <c r="R1242" s="45"/>
      <c r="S1242" s="48"/>
      <c r="T1242" s="49" t="str">
        <f t="shared" si="112"/>
        <v>[W1248.9]</v>
      </c>
      <c r="U1242" s="12" t="str">
        <f t="shared" si="113"/>
        <v xml:space="preserve"> </v>
      </c>
      <c r="V1242" s="49" t="str">
        <f t="shared" si="114"/>
        <v xml:space="preserve">[W1248.9] </v>
      </c>
    </row>
    <row r="1243" spans="1:22" s="49" customFormat="1" ht="14.15" customHeight="1">
      <c r="A1243" s="44"/>
      <c r="B1243" s="44" t="s">
        <v>6637</v>
      </c>
      <c r="C1243" s="50"/>
      <c r="D1243" s="10" t="s">
        <v>29</v>
      </c>
      <c r="E1243" s="11"/>
      <c r="F1243" s="11" t="s">
        <v>18</v>
      </c>
      <c r="G1243" s="13"/>
      <c r="H1243" s="45" t="s">
        <v>16</v>
      </c>
      <c r="I1243" s="47"/>
      <c r="J1243" s="12" t="s">
        <v>2626</v>
      </c>
      <c r="K1243" s="13" t="s">
        <v>8013</v>
      </c>
      <c r="L1243" s="99" t="str">
        <f t="shared" si="111"/>
        <v>W1248.A</v>
      </c>
      <c r="M1243" s="13"/>
      <c r="N1243" s="13"/>
      <c r="O1243" s="13"/>
      <c r="P1243" s="47"/>
      <c r="Q1243" s="45"/>
      <c r="R1243" s="45"/>
      <c r="S1243" s="48"/>
      <c r="T1243" s="49" t="str">
        <f t="shared" si="112"/>
        <v>[W1248.A]</v>
      </c>
      <c r="U1243" s="12" t="str">
        <f t="shared" si="113"/>
        <v xml:space="preserve"> </v>
      </c>
      <c r="V1243" s="49" t="str">
        <f t="shared" si="114"/>
        <v xml:space="preserve">[W1248.A] </v>
      </c>
    </row>
    <row r="1244" spans="1:22" s="49" customFormat="1" ht="14.15" customHeight="1">
      <c r="A1244" s="44"/>
      <c r="B1244" s="44" t="s">
        <v>6637</v>
      </c>
      <c r="C1244" s="50"/>
      <c r="D1244" s="10" t="s">
        <v>29</v>
      </c>
      <c r="E1244" s="11"/>
      <c r="F1244" s="11" t="s">
        <v>18</v>
      </c>
      <c r="G1244" s="13"/>
      <c r="H1244" s="45" t="s">
        <v>16</v>
      </c>
      <c r="I1244" s="47"/>
      <c r="J1244" s="12" t="s">
        <v>2627</v>
      </c>
      <c r="K1244" s="13" t="s">
        <v>8014</v>
      </c>
      <c r="L1244" s="99" t="str">
        <f t="shared" si="111"/>
        <v>W1248.B</v>
      </c>
      <c r="M1244" s="13"/>
      <c r="N1244" s="13"/>
      <c r="O1244" s="13"/>
      <c r="P1244" s="47"/>
      <c r="Q1244" s="45"/>
      <c r="R1244" s="45"/>
      <c r="S1244" s="48"/>
      <c r="T1244" s="49" t="str">
        <f t="shared" si="112"/>
        <v>[W1248.B]</v>
      </c>
      <c r="U1244" s="12" t="str">
        <f t="shared" si="113"/>
        <v xml:space="preserve"> </v>
      </c>
      <c r="V1244" s="49" t="str">
        <f t="shared" si="114"/>
        <v xml:space="preserve">[W1248.B] </v>
      </c>
    </row>
    <row r="1245" spans="1:22" s="49" customFormat="1" ht="14.15" customHeight="1">
      <c r="A1245" s="44"/>
      <c r="B1245" s="44" t="s">
        <v>6637</v>
      </c>
      <c r="C1245" s="50"/>
      <c r="D1245" s="10" t="s">
        <v>29</v>
      </c>
      <c r="E1245" s="11"/>
      <c r="F1245" s="11" t="s">
        <v>18</v>
      </c>
      <c r="G1245" s="13"/>
      <c r="H1245" s="45" t="s">
        <v>16</v>
      </c>
      <c r="I1245" s="47"/>
      <c r="J1245" s="12" t="s">
        <v>2628</v>
      </c>
      <c r="K1245" s="13" t="s">
        <v>8015</v>
      </c>
      <c r="L1245" s="99" t="str">
        <f t="shared" si="111"/>
        <v>W1248.C</v>
      </c>
      <c r="M1245" s="13"/>
      <c r="N1245" s="13"/>
      <c r="O1245" s="13"/>
      <c r="P1245" s="47"/>
      <c r="Q1245" s="45"/>
      <c r="R1245" s="45"/>
      <c r="S1245" s="48"/>
      <c r="T1245" s="49" t="str">
        <f t="shared" si="112"/>
        <v>[W1248.C]</v>
      </c>
      <c r="U1245" s="12" t="str">
        <f t="shared" si="113"/>
        <v xml:space="preserve"> </v>
      </c>
      <c r="V1245" s="49" t="str">
        <f t="shared" si="114"/>
        <v xml:space="preserve">[W1248.C] </v>
      </c>
    </row>
    <row r="1246" spans="1:22" s="49" customFormat="1" ht="14.15" customHeight="1">
      <c r="A1246" s="44"/>
      <c r="B1246" s="44" t="s">
        <v>6637</v>
      </c>
      <c r="C1246" s="50"/>
      <c r="D1246" s="10" t="s">
        <v>29</v>
      </c>
      <c r="E1246" s="11"/>
      <c r="F1246" s="11" t="s">
        <v>18</v>
      </c>
      <c r="G1246" s="13"/>
      <c r="H1246" s="45" t="s">
        <v>16</v>
      </c>
      <c r="I1246" s="47"/>
      <c r="J1246" s="12" t="s">
        <v>974</v>
      </c>
      <c r="K1246" s="13" t="s">
        <v>8016</v>
      </c>
      <c r="L1246" s="99" t="str">
        <f t="shared" si="111"/>
        <v>W1248.D</v>
      </c>
      <c r="M1246" s="13"/>
      <c r="N1246" s="13"/>
      <c r="O1246" s="13"/>
      <c r="P1246" s="47"/>
      <c r="Q1246" s="45"/>
      <c r="R1246" s="45"/>
      <c r="S1246" s="48"/>
      <c r="T1246" s="49" t="str">
        <f t="shared" si="112"/>
        <v>[W1248.D]</v>
      </c>
      <c r="U1246" s="12" t="str">
        <f t="shared" si="113"/>
        <v xml:space="preserve"> </v>
      </c>
      <c r="V1246" s="49" t="str">
        <f t="shared" si="114"/>
        <v xml:space="preserve">[W1248.D] </v>
      </c>
    </row>
    <row r="1247" spans="1:22" s="49" customFormat="1" ht="14.15" customHeight="1">
      <c r="A1247" s="44"/>
      <c r="B1247" s="44" t="s">
        <v>6637</v>
      </c>
      <c r="C1247" s="50"/>
      <c r="D1247" s="10" t="s">
        <v>29</v>
      </c>
      <c r="E1247" s="11"/>
      <c r="F1247" s="11" t="s">
        <v>18</v>
      </c>
      <c r="G1247" s="13"/>
      <c r="H1247" s="45" t="s">
        <v>16</v>
      </c>
      <c r="I1247" s="47"/>
      <c r="J1247" s="12" t="s">
        <v>975</v>
      </c>
      <c r="K1247" s="13" t="s">
        <v>8017</v>
      </c>
      <c r="L1247" s="99" t="str">
        <f t="shared" si="111"/>
        <v>W1248.E</v>
      </c>
      <c r="M1247" s="13"/>
      <c r="N1247" s="13"/>
      <c r="O1247" s="13"/>
      <c r="P1247" s="47"/>
      <c r="Q1247" s="45"/>
      <c r="R1247" s="45"/>
      <c r="S1247" s="48"/>
      <c r="T1247" s="49" t="str">
        <f t="shared" si="112"/>
        <v>[W1248.E]</v>
      </c>
      <c r="U1247" s="12" t="str">
        <f t="shared" si="113"/>
        <v xml:space="preserve"> </v>
      </c>
      <c r="V1247" s="49" t="str">
        <f t="shared" si="114"/>
        <v xml:space="preserve">[W1248.E] </v>
      </c>
    </row>
    <row r="1248" spans="1:22" s="49" customFormat="1" ht="14.15" customHeight="1">
      <c r="A1248" s="44"/>
      <c r="B1248" s="44" t="s">
        <v>6637</v>
      </c>
      <c r="C1248" s="50"/>
      <c r="D1248" s="10" t="s">
        <v>29</v>
      </c>
      <c r="E1248" s="11"/>
      <c r="F1248" s="11" t="s">
        <v>18</v>
      </c>
      <c r="G1248" s="13"/>
      <c r="H1248" s="45" t="s">
        <v>16</v>
      </c>
      <c r="I1248" s="47"/>
      <c r="J1248" s="12" t="s">
        <v>976</v>
      </c>
      <c r="K1248" s="13" t="s">
        <v>8018</v>
      </c>
      <c r="L1248" s="99" t="str">
        <f t="shared" si="111"/>
        <v>W1248.F</v>
      </c>
      <c r="M1248" s="13"/>
      <c r="N1248" s="13"/>
      <c r="O1248" s="13"/>
      <c r="P1248" s="47"/>
      <c r="Q1248" s="45"/>
      <c r="R1248" s="45"/>
      <c r="S1248" s="48"/>
      <c r="T1248" s="49" t="str">
        <f t="shared" si="112"/>
        <v>[W1248.F]</v>
      </c>
      <c r="U1248" s="12" t="str">
        <f t="shared" si="113"/>
        <v xml:space="preserve"> </v>
      </c>
      <c r="V1248" s="49" t="str">
        <f t="shared" si="114"/>
        <v xml:space="preserve">[W1248.F] </v>
      </c>
    </row>
    <row r="1249" spans="1:22" s="49" customFormat="1" ht="14.15" customHeight="1">
      <c r="A1249" s="44"/>
      <c r="B1249" s="44" t="s">
        <v>6637</v>
      </c>
      <c r="C1249" s="50"/>
      <c r="D1249" s="10" t="s">
        <v>29</v>
      </c>
      <c r="E1249" s="11"/>
      <c r="F1249" s="11" t="s">
        <v>18</v>
      </c>
      <c r="G1249" s="13"/>
      <c r="H1249" s="45" t="s">
        <v>16</v>
      </c>
      <c r="I1249" s="47"/>
      <c r="J1249" s="12" t="s">
        <v>2629</v>
      </c>
      <c r="K1249" s="13" t="s">
        <v>8019</v>
      </c>
      <c r="L1249" s="99" t="str">
        <f t="shared" si="111"/>
        <v>W1249.0</v>
      </c>
      <c r="M1249" s="13" t="s">
        <v>3667</v>
      </c>
      <c r="N1249" s="13"/>
      <c r="O1249" s="13"/>
      <c r="P1249" s="47"/>
      <c r="Q1249" s="45"/>
      <c r="R1249" s="45"/>
      <c r="S1249" s="48"/>
      <c r="T1249" s="49" t="str">
        <f t="shared" si="112"/>
        <v>[W1249.0]</v>
      </c>
      <c r="U1249" s="12" t="str">
        <f t="shared" si="113"/>
        <v xml:space="preserve"> 로우 커버 용접 용접 건 하강 시간초과 (Y52B, X4EE, X50E)</v>
      </c>
      <c r="V1249" s="49" t="str">
        <f t="shared" si="114"/>
        <v>[W1249.0] 로우 커버 용접 용접 건 하강 시간초과 (Y52B, X4EE, X50E)</v>
      </c>
    </row>
    <row r="1250" spans="1:22" s="49" customFormat="1" ht="14.15" customHeight="1">
      <c r="A1250" s="44"/>
      <c r="B1250" s="44" t="s">
        <v>6637</v>
      </c>
      <c r="C1250" s="50"/>
      <c r="D1250" s="10" t="s">
        <v>29</v>
      </c>
      <c r="E1250" s="11"/>
      <c r="F1250" s="11" t="s">
        <v>18</v>
      </c>
      <c r="G1250" s="13"/>
      <c r="H1250" s="45" t="s">
        <v>16</v>
      </c>
      <c r="I1250" s="47"/>
      <c r="J1250" s="12" t="s">
        <v>2630</v>
      </c>
      <c r="K1250" s="13" t="s">
        <v>8020</v>
      </c>
      <c r="L1250" s="99" t="str">
        <f t="shared" si="111"/>
        <v>W1249.1</v>
      </c>
      <c r="M1250" s="13" t="s">
        <v>3667</v>
      </c>
      <c r="N1250" s="13"/>
      <c r="O1250" s="13"/>
      <c r="P1250" s="47"/>
      <c r="Q1250" s="45"/>
      <c r="R1250" s="45"/>
      <c r="S1250" s="48"/>
      <c r="T1250" s="49" t="str">
        <f t="shared" si="112"/>
        <v>[W1249.1]</v>
      </c>
      <c r="U1250" s="12" t="str">
        <f t="shared" si="113"/>
        <v xml:space="preserve"> 로우 커버 용접 용접 건 상승 시간초과 (Y52A, X4ED, X50D)</v>
      </c>
      <c r="V1250" s="49" t="str">
        <f t="shared" si="114"/>
        <v>[W1249.1] 로우 커버 용접 용접 건 상승 시간초과 (Y52A, X4ED, X50D)</v>
      </c>
    </row>
    <row r="1251" spans="1:22" s="49" customFormat="1" ht="14.15" customHeight="1">
      <c r="A1251" s="44"/>
      <c r="B1251" s="44" t="s">
        <v>6637</v>
      </c>
      <c r="C1251" s="50"/>
      <c r="D1251" s="10" t="s">
        <v>29</v>
      </c>
      <c r="E1251" s="11"/>
      <c r="F1251" s="11" t="s">
        <v>18</v>
      </c>
      <c r="G1251" s="13"/>
      <c r="H1251" s="45" t="s">
        <v>16</v>
      </c>
      <c r="I1251" s="47"/>
      <c r="J1251" s="12" t="s">
        <v>2631</v>
      </c>
      <c r="K1251" s="13" t="s">
        <v>8021</v>
      </c>
      <c r="L1251" s="99" t="str">
        <f t="shared" si="111"/>
        <v>W1249.2</v>
      </c>
      <c r="M1251" s="13" t="s">
        <v>3667</v>
      </c>
      <c r="N1251" s="13"/>
      <c r="O1251" s="13"/>
      <c r="P1251" s="47"/>
      <c r="Q1251" s="45"/>
      <c r="R1251" s="45"/>
      <c r="S1251" s="48"/>
      <c r="T1251" s="49" t="str">
        <f t="shared" si="112"/>
        <v>[W1249.2]</v>
      </c>
      <c r="U1251" s="12" t="str">
        <f t="shared" si="113"/>
        <v xml:space="preserve"> 로우 커버 용접 용접 건 상승/하강 센서 이상 (X4EE, X50E, X4ED, X50D)</v>
      </c>
      <c r="V1251" s="49" t="str">
        <f t="shared" si="114"/>
        <v>[W1249.2] 로우 커버 용접 용접 건 상승/하강 센서 이상 (X4EE, X50E, X4ED, X50D)</v>
      </c>
    </row>
    <row r="1252" spans="1:22" s="49" customFormat="1" ht="14.15" customHeight="1">
      <c r="A1252" s="44"/>
      <c r="B1252" s="44" t="s">
        <v>6637</v>
      </c>
      <c r="C1252" s="50"/>
      <c r="D1252" s="10" t="s">
        <v>29</v>
      </c>
      <c r="E1252" s="11"/>
      <c r="F1252" s="11" t="s">
        <v>18</v>
      </c>
      <c r="G1252" s="13"/>
      <c r="H1252" s="45" t="s">
        <v>16</v>
      </c>
      <c r="I1252" s="47"/>
      <c r="J1252" s="12" t="s">
        <v>2632</v>
      </c>
      <c r="K1252" s="13" t="s">
        <v>8022</v>
      </c>
      <c r="L1252" s="99" t="str">
        <f t="shared" si="111"/>
        <v>W1249.3</v>
      </c>
      <c r="M1252" s="13"/>
      <c r="N1252" s="13"/>
      <c r="O1252" s="13"/>
      <c r="P1252" s="47"/>
      <c r="Q1252" s="45"/>
      <c r="R1252" s="45"/>
      <c r="S1252" s="48"/>
      <c r="T1252" s="49" t="str">
        <f t="shared" si="112"/>
        <v>[W1249.3]</v>
      </c>
      <c r="U1252" s="12" t="str">
        <f t="shared" si="113"/>
        <v xml:space="preserve"> </v>
      </c>
      <c r="V1252" s="49" t="str">
        <f t="shared" si="114"/>
        <v xml:space="preserve">[W1249.3] </v>
      </c>
    </row>
    <row r="1253" spans="1:22" s="49" customFormat="1" ht="14.15" customHeight="1">
      <c r="A1253" s="44"/>
      <c r="B1253" s="44" t="s">
        <v>6637</v>
      </c>
      <c r="C1253" s="50"/>
      <c r="D1253" s="10" t="s">
        <v>29</v>
      </c>
      <c r="E1253" s="11"/>
      <c r="F1253" s="11" t="s">
        <v>18</v>
      </c>
      <c r="G1253" s="13"/>
      <c r="H1253" s="45" t="s">
        <v>16</v>
      </c>
      <c r="I1253" s="47"/>
      <c r="J1253" s="12" t="s">
        <v>3491</v>
      </c>
      <c r="K1253" s="13" t="s">
        <v>8023</v>
      </c>
      <c r="L1253" s="99" t="str">
        <f t="shared" si="111"/>
        <v>W1249.4</v>
      </c>
      <c r="M1253" s="13" t="s">
        <v>3667</v>
      </c>
      <c r="N1253" s="13"/>
      <c r="O1253" s="13"/>
      <c r="P1253" s="47"/>
      <c r="Q1253" s="45"/>
      <c r="R1253" s="45"/>
      <c r="S1253" s="48"/>
      <c r="T1253" s="49" t="str">
        <f t="shared" si="112"/>
        <v>[W1249.4]</v>
      </c>
      <c r="U1253" s="12" t="str">
        <f t="shared" si="113"/>
        <v xml:space="preserve"> 탑 커버 공급 로보트 제품 정보 불일치</v>
      </c>
      <c r="V1253" s="49" t="str">
        <f t="shared" si="114"/>
        <v>[W1249.4] 탑 커버 공급 로보트 제품 정보 불일치</v>
      </c>
    </row>
    <row r="1254" spans="1:22" s="49" customFormat="1" ht="14.15" customHeight="1">
      <c r="A1254" s="44"/>
      <c r="B1254" s="44" t="s">
        <v>6637</v>
      </c>
      <c r="C1254" s="50"/>
      <c r="D1254" s="10" t="s">
        <v>29</v>
      </c>
      <c r="E1254" s="11"/>
      <c r="F1254" s="11" t="s">
        <v>18</v>
      </c>
      <c r="G1254" s="13"/>
      <c r="H1254" s="45" t="s">
        <v>16</v>
      </c>
      <c r="I1254" s="47"/>
      <c r="J1254" s="12" t="s">
        <v>2633</v>
      </c>
      <c r="K1254" s="13" t="s">
        <v>8024</v>
      </c>
      <c r="L1254" s="99" t="str">
        <f t="shared" si="111"/>
        <v>W1249.5</v>
      </c>
      <c r="M1254" s="13"/>
      <c r="N1254" s="13"/>
      <c r="O1254" s="13"/>
      <c r="P1254" s="47"/>
      <c r="Q1254" s="45"/>
      <c r="R1254" s="45"/>
      <c r="S1254" s="48"/>
      <c r="T1254" s="49" t="str">
        <f t="shared" si="112"/>
        <v>[W1249.5]</v>
      </c>
      <c r="U1254" s="12" t="str">
        <f t="shared" si="113"/>
        <v xml:space="preserve"> </v>
      </c>
      <c r="V1254" s="49" t="str">
        <f t="shared" si="114"/>
        <v xml:space="preserve">[W1249.5] </v>
      </c>
    </row>
    <row r="1255" spans="1:22" s="49" customFormat="1" ht="14.15" customHeight="1">
      <c r="A1255" s="44"/>
      <c r="B1255" s="44" t="s">
        <v>6637</v>
      </c>
      <c r="C1255" s="50"/>
      <c r="D1255" s="10" t="s">
        <v>29</v>
      </c>
      <c r="E1255" s="11"/>
      <c r="F1255" s="11" t="s">
        <v>18</v>
      </c>
      <c r="G1255" s="13"/>
      <c r="H1255" s="45" t="s">
        <v>16</v>
      </c>
      <c r="I1255" s="47"/>
      <c r="J1255" s="12" t="s">
        <v>2634</v>
      </c>
      <c r="K1255" s="13" t="s">
        <v>8025</v>
      </c>
      <c r="L1255" s="99" t="str">
        <f t="shared" si="111"/>
        <v>W1249.6</v>
      </c>
      <c r="M1255" s="13"/>
      <c r="N1255" s="13"/>
      <c r="O1255" s="13"/>
      <c r="P1255" s="47"/>
      <c r="Q1255" s="45"/>
      <c r="R1255" s="45"/>
      <c r="S1255" s="48"/>
      <c r="T1255" s="49" t="str">
        <f t="shared" si="112"/>
        <v>[W1249.6]</v>
      </c>
      <c r="U1255" s="12" t="str">
        <f t="shared" si="113"/>
        <v xml:space="preserve"> </v>
      </c>
      <c r="V1255" s="49" t="str">
        <f t="shared" si="114"/>
        <v xml:space="preserve">[W1249.6] </v>
      </c>
    </row>
    <row r="1256" spans="1:22" s="49" customFormat="1" ht="14.15" customHeight="1">
      <c r="A1256" s="44"/>
      <c r="B1256" s="44" t="s">
        <v>6637</v>
      </c>
      <c r="C1256" s="50"/>
      <c r="D1256" s="10" t="s">
        <v>29</v>
      </c>
      <c r="E1256" s="11"/>
      <c r="F1256" s="11" t="s">
        <v>18</v>
      </c>
      <c r="G1256" s="13"/>
      <c r="H1256" s="45" t="s">
        <v>16</v>
      </c>
      <c r="I1256" s="47"/>
      <c r="J1256" s="12" t="s">
        <v>2635</v>
      </c>
      <c r="K1256" s="13" t="s">
        <v>8026</v>
      </c>
      <c r="L1256" s="99" t="str">
        <f t="shared" si="111"/>
        <v>W1249.7</v>
      </c>
      <c r="M1256" s="13"/>
      <c r="N1256" s="13"/>
      <c r="O1256" s="13"/>
      <c r="P1256" s="47"/>
      <c r="Q1256" s="45"/>
      <c r="R1256" s="45"/>
      <c r="S1256" s="48"/>
      <c r="T1256" s="49" t="str">
        <f t="shared" si="112"/>
        <v>[W1249.7]</v>
      </c>
      <c r="U1256" s="12" t="str">
        <f t="shared" si="113"/>
        <v xml:space="preserve"> </v>
      </c>
      <c r="V1256" s="49" t="str">
        <f t="shared" si="114"/>
        <v xml:space="preserve">[W1249.7] </v>
      </c>
    </row>
    <row r="1257" spans="1:22" s="49" customFormat="1" ht="14.15" customHeight="1">
      <c r="A1257" s="44"/>
      <c r="B1257" s="44" t="s">
        <v>6637</v>
      </c>
      <c r="C1257" s="50"/>
      <c r="D1257" s="10" t="s">
        <v>29</v>
      </c>
      <c r="E1257" s="11"/>
      <c r="F1257" s="11" t="s">
        <v>18</v>
      </c>
      <c r="G1257" s="13"/>
      <c r="H1257" s="45" t="s">
        <v>16</v>
      </c>
      <c r="I1257" s="47"/>
      <c r="J1257" s="12" t="s">
        <v>2636</v>
      </c>
      <c r="K1257" s="13" t="s">
        <v>8027</v>
      </c>
      <c r="L1257" s="99" t="str">
        <f t="shared" si="111"/>
        <v>W1249.8</v>
      </c>
      <c r="M1257" s="13"/>
      <c r="N1257" s="13"/>
      <c r="O1257" s="13"/>
      <c r="P1257" s="47"/>
      <c r="Q1257" s="45"/>
      <c r="R1257" s="45"/>
      <c r="S1257" s="48"/>
      <c r="T1257" s="49" t="str">
        <f t="shared" si="112"/>
        <v>[W1249.8]</v>
      </c>
      <c r="U1257" s="12" t="str">
        <f t="shared" si="113"/>
        <v xml:space="preserve"> </v>
      </c>
      <c r="V1257" s="49" t="str">
        <f t="shared" si="114"/>
        <v xml:space="preserve">[W1249.8] </v>
      </c>
    </row>
    <row r="1258" spans="1:22" s="49" customFormat="1" ht="14.15" customHeight="1">
      <c r="A1258" s="44"/>
      <c r="B1258" s="44" t="s">
        <v>6637</v>
      </c>
      <c r="C1258" s="50"/>
      <c r="D1258" s="10" t="s">
        <v>29</v>
      </c>
      <c r="E1258" s="11"/>
      <c r="F1258" s="11" t="s">
        <v>18</v>
      </c>
      <c r="G1258" s="13"/>
      <c r="H1258" s="45" t="s">
        <v>16</v>
      </c>
      <c r="I1258" s="47"/>
      <c r="J1258" s="12" t="s">
        <v>2637</v>
      </c>
      <c r="K1258" s="13" t="s">
        <v>8028</v>
      </c>
      <c r="L1258" s="99" t="str">
        <f t="shared" si="111"/>
        <v>W1249.9</v>
      </c>
      <c r="M1258" s="13"/>
      <c r="N1258" s="13"/>
      <c r="O1258" s="13"/>
      <c r="P1258" s="47"/>
      <c r="Q1258" s="45"/>
      <c r="R1258" s="45"/>
      <c r="S1258" s="48"/>
      <c r="T1258" s="49" t="str">
        <f t="shared" si="112"/>
        <v>[W1249.9]</v>
      </c>
      <c r="U1258" s="12" t="str">
        <f t="shared" si="113"/>
        <v xml:space="preserve"> </v>
      </c>
      <c r="V1258" s="49" t="str">
        <f t="shared" si="114"/>
        <v xml:space="preserve">[W1249.9] </v>
      </c>
    </row>
    <row r="1259" spans="1:22" s="49" customFormat="1" ht="14.15" customHeight="1">
      <c r="A1259" s="44"/>
      <c r="B1259" s="44" t="s">
        <v>6637</v>
      </c>
      <c r="C1259" s="50"/>
      <c r="D1259" s="10" t="s">
        <v>29</v>
      </c>
      <c r="E1259" s="11"/>
      <c r="F1259" s="11" t="s">
        <v>18</v>
      </c>
      <c r="G1259" s="13"/>
      <c r="H1259" s="45" t="s">
        <v>16</v>
      </c>
      <c r="I1259" s="47"/>
      <c r="J1259" s="12" t="s">
        <v>2638</v>
      </c>
      <c r="K1259" s="13" t="s">
        <v>8029</v>
      </c>
      <c r="L1259" s="99" t="str">
        <f t="shared" si="111"/>
        <v>W1249.A</v>
      </c>
      <c r="M1259" s="13"/>
      <c r="N1259" s="13"/>
      <c r="O1259" s="13"/>
      <c r="P1259" s="47"/>
      <c r="Q1259" s="45"/>
      <c r="R1259" s="45"/>
      <c r="S1259" s="48"/>
      <c r="T1259" s="49" t="str">
        <f t="shared" si="112"/>
        <v>[W1249.A]</v>
      </c>
      <c r="U1259" s="12" t="str">
        <f t="shared" si="113"/>
        <v xml:space="preserve"> </v>
      </c>
      <c r="V1259" s="49" t="str">
        <f t="shared" si="114"/>
        <v xml:space="preserve">[W1249.A] </v>
      </c>
    </row>
    <row r="1260" spans="1:22" s="49" customFormat="1" ht="14.15" customHeight="1">
      <c r="A1260" s="44"/>
      <c r="B1260" s="44" t="s">
        <v>6637</v>
      </c>
      <c r="C1260" s="50"/>
      <c r="D1260" s="10" t="s">
        <v>29</v>
      </c>
      <c r="E1260" s="11"/>
      <c r="F1260" s="11" t="s">
        <v>18</v>
      </c>
      <c r="G1260" s="13"/>
      <c r="H1260" s="45" t="s">
        <v>16</v>
      </c>
      <c r="I1260" s="47"/>
      <c r="J1260" s="12" t="s">
        <v>2639</v>
      </c>
      <c r="K1260" s="13" t="s">
        <v>8030</v>
      </c>
      <c r="L1260" s="99" t="str">
        <f t="shared" si="111"/>
        <v>W1249.B</v>
      </c>
      <c r="M1260" s="13"/>
      <c r="N1260" s="13"/>
      <c r="O1260" s="13"/>
      <c r="P1260" s="47"/>
      <c r="Q1260" s="45"/>
      <c r="R1260" s="45"/>
      <c r="S1260" s="48"/>
      <c r="T1260" s="49" t="str">
        <f t="shared" si="112"/>
        <v>[W1249.B]</v>
      </c>
      <c r="U1260" s="12" t="str">
        <f t="shared" si="113"/>
        <v xml:space="preserve"> </v>
      </c>
      <c r="V1260" s="49" t="str">
        <f t="shared" si="114"/>
        <v xml:space="preserve">[W1249.B] </v>
      </c>
    </row>
    <row r="1261" spans="1:22" s="49" customFormat="1" ht="14.15" customHeight="1">
      <c r="A1261" s="44"/>
      <c r="B1261" s="44" t="s">
        <v>6637</v>
      </c>
      <c r="C1261" s="50"/>
      <c r="D1261" s="10" t="s">
        <v>29</v>
      </c>
      <c r="E1261" s="11"/>
      <c r="F1261" s="11" t="s">
        <v>18</v>
      </c>
      <c r="G1261" s="13"/>
      <c r="H1261" s="45" t="s">
        <v>16</v>
      </c>
      <c r="I1261" s="47"/>
      <c r="J1261" s="12" t="s">
        <v>967</v>
      </c>
      <c r="K1261" s="13" t="s">
        <v>8031</v>
      </c>
      <c r="L1261" s="99" t="str">
        <f t="shared" si="111"/>
        <v>W1249.C</v>
      </c>
      <c r="M1261" s="13"/>
      <c r="N1261" s="13"/>
      <c r="O1261" s="13"/>
      <c r="P1261" s="47"/>
      <c r="Q1261" s="45"/>
      <c r="R1261" s="45"/>
      <c r="S1261" s="48"/>
      <c r="T1261" s="49" t="str">
        <f t="shared" si="112"/>
        <v>[W1249.C]</v>
      </c>
      <c r="U1261" s="12" t="str">
        <f t="shared" si="113"/>
        <v xml:space="preserve"> </v>
      </c>
      <c r="V1261" s="49" t="str">
        <f t="shared" si="114"/>
        <v xml:space="preserve">[W1249.C] </v>
      </c>
    </row>
    <row r="1262" spans="1:22" s="49" customFormat="1" ht="14.15" customHeight="1">
      <c r="A1262" s="44"/>
      <c r="B1262" s="44" t="s">
        <v>6637</v>
      </c>
      <c r="C1262" s="50"/>
      <c r="D1262" s="10" t="s">
        <v>29</v>
      </c>
      <c r="E1262" s="11"/>
      <c r="F1262" s="11" t="s">
        <v>18</v>
      </c>
      <c r="G1262" s="13"/>
      <c r="H1262" s="45" t="s">
        <v>16</v>
      </c>
      <c r="I1262" s="47"/>
      <c r="J1262" s="12" t="s">
        <v>2640</v>
      </c>
      <c r="K1262" s="13" t="s">
        <v>8032</v>
      </c>
      <c r="L1262" s="99" t="str">
        <f t="shared" si="111"/>
        <v>W1249.D</v>
      </c>
      <c r="M1262" s="13"/>
      <c r="N1262" s="13"/>
      <c r="O1262" s="13"/>
      <c r="P1262" s="47"/>
      <c r="Q1262" s="45"/>
      <c r="R1262" s="45"/>
      <c r="S1262" s="48"/>
      <c r="T1262" s="49" t="str">
        <f t="shared" si="112"/>
        <v>[W1249.D]</v>
      </c>
      <c r="U1262" s="12" t="str">
        <f t="shared" si="113"/>
        <v xml:space="preserve"> </v>
      </c>
      <c r="V1262" s="49" t="str">
        <f t="shared" si="114"/>
        <v xml:space="preserve">[W1249.D] </v>
      </c>
    </row>
    <row r="1263" spans="1:22" s="49" customFormat="1" ht="14.15" customHeight="1">
      <c r="A1263" s="44"/>
      <c r="B1263" s="44" t="s">
        <v>6637</v>
      </c>
      <c r="C1263" s="50"/>
      <c r="D1263" s="10" t="s">
        <v>29</v>
      </c>
      <c r="E1263" s="11"/>
      <c r="F1263" s="11" t="s">
        <v>18</v>
      </c>
      <c r="G1263" s="13"/>
      <c r="H1263" s="45" t="s">
        <v>16</v>
      </c>
      <c r="I1263" s="47"/>
      <c r="J1263" s="12" t="s">
        <v>2641</v>
      </c>
      <c r="K1263" s="13" t="s">
        <v>8033</v>
      </c>
      <c r="L1263" s="99" t="str">
        <f t="shared" si="111"/>
        <v>W1249.E</v>
      </c>
      <c r="M1263" s="13"/>
      <c r="N1263" s="13"/>
      <c r="O1263" s="13"/>
      <c r="P1263" s="47"/>
      <c r="Q1263" s="45"/>
      <c r="R1263" s="45"/>
      <c r="S1263" s="48"/>
      <c r="T1263" s="49" t="str">
        <f t="shared" si="112"/>
        <v>[W1249.E]</v>
      </c>
      <c r="U1263" s="12" t="str">
        <f t="shared" si="113"/>
        <v xml:space="preserve"> </v>
      </c>
      <c r="V1263" s="49" t="str">
        <f t="shared" si="114"/>
        <v xml:space="preserve">[W1249.E] </v>
      </c>
    </row>
    <row r="1264" spans="1:22" s="49" customFormat="1" ht="14.15" customHeight="1">
      <c r="A1264" s="44"/>
      <c r="B1264" s="44" t="s">
        <v>6637</v>
      </c>
      <c r="C1264" s="50"/>
      <c r="D1264" s="10" t="s">
        <v>29</v>
      </c>
      <c r="E1264" s="11"/>
      <c r="F1264" s="11" t="s">
        <v>18</v>
      </c>
      <c r="G1264" s="13"/>
      <c r="H1264" s="45" t="s">
        <v>16</v>
      </c>
      <c r="I1264" s="47"/>
      <c r="J1264" s="12" t="s">
        <v>2642</v>
      </c>
      <c r="K1264" s="13" t="s">
        <v>8034</v>
      </c>
      <c r="L1264" s="99" t="str">
        <f t="shared" si="111"/>
        <v>W1249.F</v>
      </c>
      <c r="M1264" s="13"/>
      <c r="N1264" s="13"/>
      <c r="O1264" s="13"/>
      <c r="P1264" s="47"/>
      <c r="Q1264" s="45"/>
      <c r="R1264" s="45"/>
      <c r="S1264" s="48"/>
      <c r="T1264" s="49" t="str">
        <f t="shared" si="112"/>
        <v>[W1249.F]</v>
      </c>
      <c r="U1264" s="12" t="str">
        <f t="shared" si="113"/>
        <v xml:space="preserve"> </v>
      </c>
      <c r="V1264" s="49" t="str">
        <f t="shared" si="114"/>
        <v xml:space="preserve">[W1249.F] </v>
      </c>
    </row>
    <row r="1265" spans="1:22" s="49" customFormat="1" ht="14.15" customHeight="1">
      <c r="A1265" s="44"/>
      <c r="B1265" s="44" t="s">
        <v>6637</v>
      </c>
      <c r="C1265" s="50"/>
      <c r="D1265" s="10" t="s">
        <v>29</v>
      </c>
      <c r="E1265" s="11"/>
      <c r="F1265" s="11" t="s">
        <v>18</v>
      </c>
      <c r="G1265" s="13"/>
      <c r="H1265" s="45" t="s">
        <v>16</v>
      </c>
      <c r="I1265" s="47"/>
      <c r="J1265" s="12" t="s">
        <v>2643</v>
      </c>
      <c r="K1265" s="13" t="s">
        <v>8035</v>
      </c>
      <c r="L1265" s="99" t="str">
        <f t="shared" si="111"/>
        <v>W124A.0</v>
      </c>
      <c r="M1265" s="13"/>
      <c r="N1265" s="13"/>
      <c r="O1265" s="13"/>
      <c r="P1265" s="47"/>
      <c r="Q1265" s="45"/>
      <c r="R1265" s="45"/>
      <c r="S1265" s="48"/>
      <c r="T1265" s="49" t="str">
        <f t="shared" si="112"/>
        <v>[W124A.0]</v>
      </c>
      <c r="U1265" s="12" t="str">
        <f t="shared" si="113"/>
        <v xml:space="preserve"> </v>
      </c>
      <c r="V1265" s="49" t="str">
        <f t="shared" si="114"/>
        <v xml:space="preserve">[W124A.0] </v>
      </c>
    </row>
    <row r="1266" spans="1:22" s="49" customFormat="1" ht="14.15" customHeight="1">
      <c r="A1266" s="44"/>
      <c r="B1266" s="44" t="s">
        <v>6637</v>
      </c>
      <c r="C1266" s="50"/>
      <c r="D1266" s="10" t="s">
        <v>29</v>
      </c>
      <c r="E1266" s="11"/>
      <c r="F1266" s="11" t="s">
        <v>18</v>
      </c>
      <c r="G1266" s="13"/>
      <c r="H1266" s="45" t="s">
        <v>16</v>
      </c>
      <c r="I1266" s="47"/>
      <c r="J1266" s="12" t="s">
        <v>979</v>
      </c>
      <c r="K1266" s="13" t="s">
        <v>8036</v>
      </c>
      <c r="L1266" s="99" t="str">
        <f t="shared" si="111"/>
        <v>W124A.1</v>
      </c>
      <c r="M1266" s="13"/>
      <c r="N1266" s="13"/>
      <c r="O1266" s="13"/>
      <c r="P1266" s="47"/>
      <c r="Q1266" s="45"/>
      <c r="R1266" s="45"/>
      <c r="S1266" s="48"/>
      <c r="T1266" s="49" t="str">
        <f t="shared" si="112"/>
        <v>[W124A.1]</v>
      </c>
      <c r="U1266" s="12" t="str">
        <f t="shared" si="113"/>
        <v xml:space="preserve"> </v>
      </c>
      <c r="V1266" s="49" t="str">
        <f t="shared" si="114"/>
        <v xml:space="preserve">[W124A.1] </v>
      </c>
    </row>
    <row r="1267" spans="1:22" s="49" customFormat="1" ht="14.15" customHeight="1">
      <c r="A1267" s="43" t="s">
        <v>3680</v>
      </c>
      <c r="B1267" s="44" t="s">
        <v>6637</v>
      </c>
      <c r="C1267" s="50"/>
      <c r="D1267" s="10" t="s">
        <v>29</v>
      </c>
      <c r="E1267" s="11"/>
      <c r="F1267" s="11" t="s">
        <v>18</v>
      </c>
      <c r="G1267" s="13"/>
      <c r="H1267" s="45" t="s">
        <v>16</v>
      </c>
      <c r="I1267" s="47"/>
      <c r="J1267" s="12" t="s">
        <v>2644</v>
      </c>
      <c r="K1267" s="13" t="s">
        <v>8037</v>
      </c>
      <c r="L1267" s="99" t="str">
        <f t="shared" si="111"/>
        <v>W124A.2</v>
      </c>
      <c r="M1267" s="13" t="s">
        <v>3667</v>
      </c>
      <c r="N1267" s="13"/>
      <c r="O1267" s="13"/>
      <c r="P1267" s="47"/>
      <c r="Q1267" s="45"/>
      <c r="R1267" s="45"/>
      <c r="S1267" s="48"/>
      <c r="T1267" s="49" t="str">
        <f t="shared" si="112"/>
        <v>[W124A.2]</v>
      </c>
      <c r="U1267" s="12" t="str">
        <f t="shared" si="113"/>
        <v xml:space="preserve"> 로우 커버 용접-1 품질 이상 에러</v>
      </c>
      <c r="V1267" s="49" t="str">
        <f t="shared" si="114"/>
        <v>[W124A.2] 로우 커버 용접-1 품질 이상 에러</v>
      </c>
    </row>
    <row r="1268" spans="1:22" s="49" customFormat="1" ht="14.15" customHeight="1">
      <c r="A1268" s="43" t="s">
        <v>3680</v>
      </c>
      <c r="B1268" s="44" t="s">
        <v>6637</v>
      </c>
      <c r="C1268" s="50"/>
      <c r="D1268" s="10" t="s">
        <v>29</v>
      </c>
      <c r="E1268" s="11"/>
      <c r="F1268" s="11" t="s">
        <v>18</v>
      </c>
      <c r="G1268" s="13"/>
      <c r="H1268" s="45" t="s">
        <v>16</v>
      </c>
      <c r="I1268" s="47"/>
      <c r="J1268" s="12" t="s">
        <v>2645</v>
      </c>
      <c r="K1268" s="13" t="s">
        <v>8038</v>
      </c>
      <c r="L1268" s="99" t="str">
        <f t="shared" si="111"/>
        <v>W124A.3</v>
      </c>
      <c r="M1268" s="13" t="s">
        <v>3667</v>
      </c>
      <c r="N1268" s="13"/>
      <c r="O1268" s="13"/>
      <c r="P1268" s="47"/>
      <c r="Q1268" s="45"/>
      <c r="R1268" s="45"/>
      <c r="S1268" s="48"/>
      <c r="T1268" s="49" t="str">
        <f t="shared" si="112"/>
        <v>[W124A.3]</v>
      </c>
      <c r="U1268" s="12" t="str">
        <f t="shared" si="113"/>
        <v xml:space="preserve"> 로우 커버 용접-2 품질 이상 에러</v>
      </c>
      <c r="V1268" s="49" t="str">
        <f t="shared" si="114"/>
        <v>[W124A.3] 로우 커버 용접-2 품질 이상 에러</v>
      </c>
    </row>
    <row r="1269" spans="1:22" s="49" customFormat="1" ht="14.15" customHeight="1">
      <c r="A1269" s="43" t="s">
        <v>3680</v>
      </c>
      <c r="B1269" s="44" t="s">
        <v>6637</v>
      </c>
      <c r="C1269" s="50"/>
      <c r="D1269" s="10" t="s">
        <v>29</v>
      </c>
      <c r="E1269" s="11"/>
      <c r="F1269" s="11" t="s">
        <v>18</v>
      </c>
      <c r="G1269" s="13"/>
      <c r="H1269" s="45" t="s">
        <v>16</v>
      </c>
      <c r="I1269" s="47"/>
      <c r="J1269" s="12" t="s">
        <v>2646</v>
      </c>
      <c r="K1269" s="13" t="s">
        <v>8039</v>
      </c>
      <c r="L1269" s="99" t="str">
        <f t="shared" si="111"/>
        <v>W124A.4</v>
      </c>
      <c r="M1269" s="13" t="s">
        <v>3667</v>
      </c>
      <c r="N1269" s="13"/>
      <c r="O1269" s="13"/>
      <c r="P1269" s="47"/>
      <c r="Q1269" s="45"/>
      <c r="R1269" s="45"/>
      <c r="S1269" s="48"/>
      <c r="T1269" s="49" t="str">
        <f>"["&amp;L1239&amp;"]"</f>
        <v>[W1248.6]</v>
      </c>
      <c r="U1269" s="12" t="str">
        <f>RIGHT(J1239,LEN(J1239)-7)</f>
        <v xml:space="preserve"> 어퍼 커버 공급 로봇R 콘트롤러 비상 정지 이상 (XB8E)</v>
      </c>
      <c r="V1269" s="49" t="str">
        <f>T1239&amp;U1239</f>
        <v>[W1248.6] 어퍼 커버 공급 로봇R 콘트롤러 비상 정지 이상 (XB8E)</v>
      </c>
    </row>
    <row r="1270" spans="1:22" s="49" customFormat="1" ht="14.15" customHeight="1">
      <c r="A1270" s="43" t="s">
        <v>3680</v>
      </c>
      <c r="B1270" s="44" t="s">
        <v>6637</v>
      </c>
      <c r="C1270" s="50"/>
      <c r="D1270" s="10" t="s">
        <v>29</v>
      </c>
      <c r="E1270" s="11"/>
      <c r="F1270" s="11" t="s">
        <v>18</v>
      </c>
      <c r="G1270" s="13"/>
      <c r="H1270" s="45" t="s">
        <v>16</v>
      </c>
      <c r="I1270" s="47"/>
      <c r="J1270" s="12" t="s">
        <v>2647</v>
      </c>
      <c r="K1270" s="13" t="s">
        <v>8040</v>
      </c>
      <c r="L1270" s="99" t="str">
        <f t="shared" si="111"/>
        <v>W124A.5</v>
      </c>
      <c r="M1270" s="13" t="s">
        <v>3667</v>
      </c>
      <c r="N1270" s="13"/>
      <c r="O1270" s="13"/>
      <c r="P1270" s="47"/>
      <c r="Q1270" s="45"/>
      <c r="R1270" s="45"/>
      <c r="S1270" s="48"/>
      <c r="T1270" s="49" t="str">
        <f t="shared" ref="T1270:T1301" si="115">"["&amp;L1270&amp;"]"</f>
        <v>[W124A.5]</v>
      </c>
      <c r="U1270" s="12" t="str">
        <f t="shared" ref="U1270:U1312" si="116">RIGHT(J1270,LEN(J1270)-7)</f>
        <v xml:space="preserve"> 로우 커버 용접 제품 수취 시간초과</v>
      </c>
      <c r="V1270" s="49" t="str">
        <f t="shared" si="114"/>
        <v>[W124A.5] 로우 커버 용접 제품 수취 시간초과</v>
      </c>
    </row>
    <row r="1271" spans="1:22" s="49" customFormat="1" ht="14.15" customHeight="1">
      <c r="A1271" s="43" t="s">
        <v>3680</v>
      </c>
      <c r="B1271" s="44" t="s">
        <v>6637</v>
      </c>
      <c r="C1271" s="50"/>
      <c r="D1271" s="10" t="s">
        <v>29</v>
      </c>
      <c r="E1271" s="11"/>
      <c r="F1271" s="11" t="s">
        <v>18</v>
      </c>
      <c r="G1271" s="13"/>
      <c r="H1271" s="45" t="s">
        <v>16</v>
      </c>
      <c r="I1271" s="47"/>
      <c r="J1271" s="12" t="s">
        <v>2648</v>
      </c>
      <c r="K1271" s="13" t="s">
        <v>8041</v>
      </c>
      <c r="L1271" s="99" t="str">
        <f t="shared" si="111"/>
        <v>W124A.6</v>
      </c>
      <c r="M1271" s="13" t="s">
        <v>3667</v>
      </c>
      <c r="N1271" s="13"/>
      <c r="O1271" s="13"/>
      <c r="P1271" s="47"/>
      <c r="Q1271" s="45"/>
      <c r="R1271" s="45"/>
      <c r="S1271" s="48"/>
      <c r="T1271" s="49" t="str">
        <f t="shared" si="115"/>
        <v>[W124A.6]</v>
      </c>
      <c r="U1271" s="12" t="str">
        <f t="shared" si="116"/>
        <v xml:space="preserve"> 로우 커버 용접 제품 배출 시간초과</v>
      </c>
      <c r="V1271" s="49" t="str">
        <f t="shared" si="114"/>
        <v>[W124A.6] 로우 커버 용접 제품 배출 시간초과</v>
      </c>
    </row>
    <row r="1272" spans="1:22" s="49" customFormat="1" ht="14.15" customHeight="1">
      <c r="A1272" s="43" t="s">
        <v>3680</v>
      </c>
      <c r="B1272" s="44" t="s">
        <v>6637</v>
      </c>
      <c r="C1272" s="50"/>
      <c r="D1272" s="10" t="s">
        <v>29</v>
      </c>
      <c r="E1272" s="11"/>
      <c r="F1272" s="11" t="s">
        <v>18</v>
      </c>
      <c r="G1272" s="13"/>
      <c r="H1272" s="45" t="s">
        <v>16</v>
      </c>
      <c r="I1272" s="47"/>
      <c r="J1272" s="12" t="s">
        <v>2649</v>
      </c>
      <c r="K1272" s="13" t="s">
        <v>8042</v>
      </c>
      <c r="L1272" s="99" t="str">
        <f t="shared" si="111"/>
        <v>W124A.7</v>
      </c>
      <c r="M1272" s="13" t="s">
        <v>3667</v>
      </c>
      <c r="N1272" s="13"/>
      <c r="O1272" s="13"/>
      <c r="P1272" s="47"/>
      <c r="Q1272" s="45"/>
      <c r="R1272" s="45"/>
      <c r="S1272" s="48"/>
      <c r="T1272" s="49" t="str">
        <f t="shared" si="115"/>
        <v>[W124A.7]</v>
      </c>
      <c r="U1272" s="12" t="str">
        <f t="shared" si="116"/>
        <v xml:space="preserve"> 로우 커버 용접 제품 수취 시퀀스 이상</v>
      </c>
      <c r="V1272" s="49" t="str">
        <f t="shared" si="114"/>
        <v>[W124A.7] 로우 커버 용접 제품 수취 시퀀스 이상</v>
      </c>
    </row>
    <row r="1273" spans="1:22" s="49" customFormat="1" ht="14.15" customHeight="1">
      <c r="A1273" s="43" t="s">
        <v>3680</v>
      </c>
      <c r="B1273" s="44" t="s">
        <v>6637</v>
      </c>
      <c r="C1273" s="50"/>
      <c r="D1273" s="10" t="s">
        <v>29</v>
      </c>
      <c r="E1273" s="11"/>
      <c r="F1273" s="11" t="s">
        <v>18</v>
      </c>
      <c r="G1273" s="13"/>
      <c r="H1273" s="45" t="s">
        <v>16</v>
      </c>
      <c r="I1273" s="47"/>
      <c r="J1273" s="12" t="s">
        <v>2650</v>
      </c>
      <c r="K1273" s="13" t="s">
        <v>8043</v>
      </c>
      <c r="L1273" s="99" t="str">
        <f t="shared" si="111"/>
        <v>W124A.8</v>
      </c>
      <c r="M1273" s="13" t="s">
        <v>3667</v>
      </c>
      <c r="N1273" s="13"/>
      <c r="O1273" s="13"/>
      <c r="P1273" s="47"/>
      <c r="Q1273" s="45"/>
      <c r="R1273" s="45"/>
      <c r="S1273" s="48"/>
      <c r="T1273" s="49" t="str">
        <f t="shared" si="115"/>
        <v>[W124A.8]</v>
      </c>
      <c r="U1273" s="12" t="str">
        <f t="shared" si="116"/>
        <v xml:space="preserve"> 로우 커버 용접 제품 공정 시퀀스 이상</v>
      </c>
      <c r="V1273" s="49" t="str">
        <f t="shared" si="114"/>
        <v>[W124A.8] 로우 커버 용접 제품 공정 시퀀스 이상</v>
      </c>
    </row>
    <row r="1274" spans="1:22" s="49" customFormat="1" ht="14.15" customHeight="1">
      <c r="A1274" s="43" t="s">
        <v>3680</v>
      </c>
      <c r="B1274" s="44" t="s">
        <v>6637</v>
      </c>
      <c r="C1274" s="50"/>
      <c r="D1274" s="10" t="s">
        <v>29</v>
      </c>
      <c r="E1274" s="11"/>
      <c r="F1274" s="11" t="s">
        <v>18</v>
      </c>
      <c r="G1274" s="13"/>
      <c r="H1274" s="45" t="s">
        <v>16</v>
      </c>
      <c r="I1274" s="47"/>
      <c r="J1274" s="12" t="s">
        <v>2651</v>
      </c>
      <c r="K1274" s="13" t="s">
        <v>8044</v>
      </c>
      <c r="L1274" s="99" t="str">
        <f t="shared" si="111"/>
        <v>W124A.9</v>
      </c>
      <c r="M1274" s="13" t="s">
        <v>3667</v>
      </c>
      <c r="N1274" s="13"/>
      <c r="O1274" s="13"/>
      <c r="P1274" s="47"/>
      <c r="Q1274" s="45"/>
      <c r="R1274" s="45"/>
      <c r="S1274" s="48"/>
      <c r="T1274" s="49" t="str">
        <f t="shared" si="115"/>
        <v>[W124A.9]</v>
      </c>
      <c r="U1274" s="12" t="str">
        <f t="shared" si="116"/>
        <v xml:space="preserve"> 로우 커버 용접 제품 베츨 시퀀스 이상</v>
      </c>
      <c r="V1274" s="49" t="str">
        <f t="shared" si="114"/>
        <v>[W124A.9] 로우 커버 용접 제품 베츨 시퀀스 이상</v>
      </c>
    </row>
    <row r="1275" spans="1:22" s="49" customFormat="1" ht="14.15" customHeight="1">
      <c r="A1275" s="44"/>
      <c r="B1275" s="44" t="s">
        <v>6637</v>
      </c>
      <c r="C1275" s="50"/>
      <c r="D1275" s="10" t="s">
        <v>29</v>
      </c>
      <c r="E1275" s="11"/>
      <c r="F1275" s="11" t="s">
        <v>18</v>
      </c>
      <c r="G1275" s="13"/>
      <c r="H1275" s="45" t="s">
        <v>16</v>
      </c>
      <c r="I1275" s="47"/>
      <c r="J1275" s="12" t="s">
        <v>984</v>
      </c>
      <c r="K1275" s="13" t="s">
        <v>8045</v>
      </c>
      <c r="L1275" s="99" t="str">
        <f t="shared" si="111"/>
        <v>W124A.A</v>
      </c>
      <c r="M1275" s="13"/>
      <c r="N1275" s="13"/>
      <c r="O1275" s="13"/>
      <c r="P1275" s="47"/>
      <c r="Q1275" s="45"/>
      <c r="R1275" s="45"/>
      <c r="S1275" s="48"/>
      <c r="T1275" s="49" t="str">
        <f t="shared" si="115"/>
        <v>[W124A.A]</v>
      </c>
      <c r="U1275" s="12" t="str">
        <f t="shared" si="116"/>
        <v xml:space="preserve"> </v>
      </c>
      <c r="V1275" s="49" t="str">
        <f t="shared" si="114"/>
        <v xml:space="preserve">[W124A.A] </v>
      </c>
    </row>
    <row r="1276" spans="1:22" s="49" customFormat="1" ht="14.15" customHeight="1">
      <c r="A1276" s="44"/>
      <c r="B1276" s="44" t="s">
        <v>6637</v>
      </c>
      <c r="C1276" s="50"/>
      <c r="D1276" s="10" t="s">
        <v>29</v>
      </c>
      <c r="E1276" s="11"/>
      <c r="F1276" s="11" t="s">
        <v>18</v>
      </c>
      <c r="G1276" s="13"/>
      <c r="H1276" s="45" t="s">
        <v>16</v>
      </c>
      <c r="I1276" s="47"/>
      <c r="J1276" s="12" t="s">
        <v>985</v>
      </c>
      <c r="K1276" s="13" t="s">
        <v>8046</v>
      </c>
      <c r="L1276" s="99" t="str">
        <f t="shared" si="111"/>
        <v>W124A.B</v>
      </c>
      <c r="M1276" s="13"/>
      <c r="N1276" s="13"/>
      <c r="O1276" s="13"/>
      <c r="P1276" s="47"/>
      <c r="Q1276" s="45"/>
      <c r="R1276" s="45"/>
      <c r="S1276" s="48"/>
      <c r="T1276" s="49" t="str">
        <f t="shared" si="115"/>
        <v>[W124A.B]</v>
      </c>
      <c r="U1276" s="12" t="str">
        <f t="shared" si="116"/>
        <v xml:space="preserve"> </v>
      </c>
      <c r="V1276" s="49" t="str">
        <f t="shared" si="114"/>
        <v xml:space="preserve">[W124A.B] </v>
      </c>
    </row>
    <row r="1277" spans="1:22" s="49" customFormat="1" ht="14.15" customHeight="1">
      <c r="A1277" s="44"/>
      <c r="B1277" s="44" t="s">
        <v>6637</v>
      </c>
      <c r="C1277" s="50"/>
      <c r="D1277" s="10" t="s">
        <v>29</v>
      </c>
      <c r="E1277" s="11"/>
      <c r="F1277" s="11" t="s">
        <v>18</v>
      </c>
      <c r="G1277" s="13"/>
      <c r="H1277" s="45" t="s">
        <v>16</v>
      </c>
      <c r="I1277" s="47"/>
      <c r="J1277" s="12" t="s">
        <v>986</v>
      </c>
      <c r="K1277" s="13" t="s">
        <v>8047</v>
      </c>
      <c r="L1277" s="99" t="str">
        <f t="shared" si="111"/>
        <v>W124A.C</v>
      </c>
      <c r="M1277" s="13"/>
      <c r="N1277" s="13"/>
      <c r="O1277" s="13"/>
      <c r="P1277" s="47"/>
      <c r="Q1277" s="45"/>
      <c r="R1277" s="45"/>
      <c r="S1277" s="48"/>
      <c r="T1277" s="49" t="str">
        <f t="shared" si="115"/>
        <v>[W124A.C]</v>
      </c>
      <c r="U1277" s="12" t="str">
        <f t="shared" si="116"/>
        <v xml:space="preserve"> </v>
      </c>
      <c r="V1277" s="49" t="str">
        <f t="shared" si="114"/>
        <v xml:space="preserve">[W124A.C] </v>
      </c>
    </row>
    <row r="1278" spans="1:22" s="49" customFormat="1" ht="14.15" customHeight="1">
      <c r="A1278" s="44"/>
      <c r="B1278" s="44" t="s">
        <v>6637</v>
      </c>
      <c r="C1278" s="50"/>
      <c r="D1278" s="10" t="s">
        <v>29</v>
      </c>
      <c r="E1278" s="11"/>
      <c r="F1278" s="11" t="s">
        <v>18</v>
      </c>
      <c r="G1278" s="13"/>
      <c r="H1278" s="45" t="s">
        <v>16</v>
      </c>
      <c r="I1278" s="47"/>
      <c r="J1278" s="12" t="s">
        <v>987</v>
      </c>
      <c r="K1278" s="13" t="s">
        <v>8048</v>
      </c>
      <c r="L1278" s="99" t="str">
        <f t="shared" si="111"/>
        <v>W124A.D</v>
      </c>
      <c r="M1278" s="13"/>
      <c r="N1278" s="13"/>
      <c r="O1278" s="13"/>
      <c r="P1278" s="47"/>
      <c r="Q1278" s="45"/>
      <c r="R1278" s="45"/>
      <c r="S1278" s="48"/>
      <c r="T1278" s="49" t="str">
        <f t="shared" si="115"/>
        <v>[W124A.D]</v>
      </c>
      <c r="U1278" s="12" t="str">
        <f t="shared" si="116"/>
        <v xml:space="preserve"> </v>
      </c>
      <c r="V1278" s="49" t="str">
        <f t="shared" si="114"/>
        <v xml:space="preserve">[W124A.D] </v>
      </c>
    </row>
    <row r="1279" spans="1:22" s="49" customFormat="1" ht="14.15" customHeight="1">
      <c r="A1279" s="43" t="s">
        <v>3680</v>
      </c>
      <c r="B1279" s="44" t="s">
        <v>6637</v>
      </c>
      <c r="C1279" s="50"/>
      <c r="D1279" s="10" t="s">
        <v>29</v>
      </c>
      <c r="E1279" s="11"/>
      <c r="F1279" s="11" t="s">
        <v>18</v>
      </c>
      <c r="G1279" s="13"/>
      <c r="H1279" s="45" t="s">
        <v>16</v>
      </c>
      <c r="I1279" s="47"/>
      <c r="J1279" s="12" t="s">
        <v>2652</v>
      </c>
      <c r="K1279" s="13" t="s">
        <v>8049</v>
      </c>
      <c r="L1279" s="99" t="str">
        <f t="shared" si="111"/>
        <v>W124A.E</v>
      </c>
      <c r="M1279" s="13" t="s">
        <v>3667</v>
      </c>
      <c r="N1279" s="13"/>
      <c r="O1279" s="13"/>
      <c r="P1279" s="47"/>
      <c r="Q1279" s="45"/>
      <c r="R1279" s="45"/>
      <c r="S1279" s="48"/>
      <c r="T1279" s="49" t="str">
        <f t="shared" si="115"/>
        <v>[W124A.E]</v>
      </c>
      <c r="U1279" s="12" t="str">
        <f t="shared" si="116"/>
        <v xml:space="preserve"> 로우 커버 용접 제품 데이터 불일치 이상 (X4EF, X50F)</v>
      </c>
      <c r="V1279" s="49" t="str">
        <f t="shared" si="114"/>
        <v>[W124A.E] 로우 커버 용접 제품 데이터 불일치 이상 (X4EF, X50F)</v>
      </c>
    </row>
    <row r="1280" spans="1:22" s="49" customFormat="1" ht="14.15" customHeight="1">
      <c r="A1280" s="43" t="s">
        <v>3680</v>
      </c>
      <c r="B1280" s="44" t="s">
        <v>6637</v>
      </c>
      <c r="C1280" s="50"/>
      <c r="D1280" s="10" t="s">
        <v>29</v>
      </c>
      <c r="E1280" s="11"/>
      <c r="F1280" s="11" t="s">
        <v>18</v>
      </c>
      <c r="G1280" s="13"/>
      <c r="H1280" s="45" t="s">
        <v>16</v>
      </c>
      <c r="I1280" s="47"/>
      <c r="J1280" s="12" t="s">
        <v>2653</v>
      </c>
      <c r="K1280" s="13" t="s">
        <v>8050</v>
      </c>
      <c r="L1280" s="99" t="str">
        <f t="shared" si="111"/>
        <v>W124A.F</v>
      </c>
      <c r="M1280" s="13" t="s">
        <v>3667</v>
      </c>
      <c r="N1280" s="13"/>
      <c r="O1280" s="13"/>
      <c r="P1280" s="47"/>
      <c r="Q1280" s="45"/>
      <c r="R1280" s="45"/>
      <c r="S1280" s="48"/>
      <c r="T1280" s="49" t="str">
        <f t="shared" si="115"/>
        <v>[W124A.F]</v>
      </c>
      <c r="U1280" s="12" t="str">
        <f t="shared" si="116"/>
        <v xml:space="preserve"> 로우 커버 공급 로봇L 클램프 전진 시간초과 (Y527, X4FC)</v>
      </c>
      <c r="V1280" s="49" t="str">
        <f t="shared" si="114"/>
        <v>[W124A.F] 로우 커버 공급 로봇L 클램프 전진 시간초과 (Y527, X4FC)</v>
      </c>
    </row>
    <row r="1281" spans="1:22" s="49" customFormat="1" ht="14.15" customHeight="1">
      <c r="A1281" s="43" t="s">
        <v>3680</v>
      </c>
      <c r="B1281" s="44" t="s">
        <v>6637</v>
      </c>
      <c r="C1281" s="50"/>
      <c r="D1281" s="10" t="s">
        <v>29</v>
      </c>
      <c r="E1281" s="11"/>
      <c r="F1281" s="11" t="s">
        <v>18</v>
      </c>
      <c r="G1281" s="13"/>
      <c r="H1281" s="45" t="s">
        <v>16</v>
      </c>
      <c r="I1281" s="47"/>
      <c r="J1281" s="12" t="s">
        <v>2654</v>
      </c>
      <c r="K1281" s="13" t="s">
        <v>8051</v>
      </c>
      <c r="L1281" s="99" t="str">
        <f t="shared" si="111"/>
        <v>W124B.0</v>
      </c>
      <c r="M1281" s="13" t="s">
        <v>3667</v>
      </c>
      <c r="N1281" s="13"/>
      <c r="O1281" s="13"/>
      <c r="P1281" s="47"/>
      <c r="Q1281" s="45"/>
      <c r="R1281" s="45"/>
      <c r="S1281" s="48"/>
      <c r="T1281" s="49" t="str">
        <f t="shared" si="115"/>
        <v>[W124B.0]</v>
      </c>
      <c r="U1281" s="12" t="str">
        <f t="shared" si="116"/>
        <v xml:space="preserve"> 로우 커버 공급 로봇L 클램프 후진 시간초과 (Y526)</v>
      </c>
      <c r="V1281" s="49" t="str">
        <f t="shared" si="114"/>
        <v>[W124B.0] 로우 커버 공급 로봇L 클램프 후진 시간초과 (Y526)</v>
      </c>
    </row>
    <row r="1282" spans="1:22" s="49" customFormat="1" ht="14.15" customHeight="1">
      <c r="A1282" s="43" t="s">
        <v>3680</v>
      </c>
      <c r="B1282" s="44" t="s">
        <v>6637</v>
      </c>
      <c r="C1282" s="50"/>
      <c r="D1282" s="10" t="s">
        <v>29</v>
      </c>
      <c r="E1282" s="11"/>
      <c r="F1282" s="11" t="s">
        <v>18</v>
      </c>
      <c r="G1282" s="13"/>
      <c r="H1282" s="45" t="s">
        <v>16</v>
      </c>
      <c r="I1282" s="47"/>
      <c r="J1282" s="12" t="s">
        <v>2655</v>
      </c>
      <c r="K1282" s="13" t="s">
        <v>8052</v>
      </c>
      <c r="L1282" s="99" t="str">
        <f t="shared" si="111"/>
        <v>W124B.1</v>
      </c>
      <c r="M1282" s="13" t="s">
        <v>3667</v>
      </c>
      <c r="N1282" s="13"/>
      <c r="O1282" s="13"/>
      <c r="P1282" s="47"/>
      <c r="Q1282" s="45"/>
      <c r="R1282" s="45"/>
      <c r="S1282" s="48"/>
      <c r="T1282" s="49" t="str">
        <f t="shared" si="115"/>
        <v>[W124B.1]</v>
      </c>
      <c r="U1282" s="12" t="str">
        <f t="shared" si="116"/>
        <v xml:space="preserve"> 로우 커버 공급 로봇L 커버 픽업 상승 시간초과 (Y524, X4E9)</v>
      </c>
      <c r="V1282" s="49" t="str">
        <f t="shared" si="114"/>
        <v>[W124B.1] 로우 커버 공급 로봇L 커버 픽업 상승 시간초과 (Y524, X4E9)</v>
      </c>
    </row>
    <row r="1283" spans="1:22" s="49" customFormat="1" ht="14.15" customHeight="1">
      <c r="A1283" s="43" t="s">
        <v>3680</v>
      </c>
      <c r="B1283" s="44" t="s">
        <v>6637</v>
      </c>
      <c r="C1283" s="50"/>
      <c r="D1283" s="10" t="s">
        <v>29</v>
      </c>
      <c r="E1283" s="11"/>
      <c r="F1283" s="11" t="s">
        <v>18</v>
      </c>
      <c r="G1283" s="13"/>
      <c r="H1283" s="45" t="s">
        <v>16</v>
      </c>
      <c r="I1283" s="47"/>
      <c r="J1283" s="12" t="s">
        <v>2656</v>
      </c>
      <c r="K1283" s="13" t="s">
        <v>8053</v>
      </c>
      <c r="L1283" s="99" t="str">
        <f t="shared" si="111"/>
        <v>W124B.2</v>
      </c>
      <c r="M1283" s="13" t="s">
        <v>3667</v>
      </c>
      <c r="N1283" s="13"/>
      <c r="O1283" s="13"/>
      <c r="P1283" s="47"/>
      <c r="Q1283" s="45"/>
      <c r="R1283" s="45"/>
      <c r="S1283" s="48"/>
      <c r="T1283" s="49" t="str">
        <f t="shared" si="115"/>
        <v>[W124B.2]</v>
      </c>
      <c r="U1283" s="12" t="str">
        <f t="shared" si="116"/>
        <v xml:space="preserve"> 로우 커버 공급 로봇L 커버 픽업 하강 시간초과 (Y525, X4EA)</v>
      </c>
      <c r="V1283" s="49" t="str">
        <f t="shared" si="114"/>
        <v>[W124B.2] 로우 커버 공급 로봇L 커버 픽업 하강 시간초과 (Y525, X4EA)</v>
      </c>
    </row>
    <row r="1284" spans="1:22" s="49" customFormat="1" ht="14.15" customHeight="1">
      <c r="A1284" s="43" t="s">
        <v>3680</v>
      </c>
      <c r="B1284" s="44" t="s">
        <v>6637</v>
      </c>
      <c r="C1284" s="50"/>
      <c r="D1284" s="10" t="s">
        <v>29</v>
      </c>
      <c r="E1284" s="11"/>
      <c r="F1284" s="11" t="s">
        <v>18</v>
      </c>
      <c r="G1284" s="13"/>
      <c r="H1284" s="45" t="s">
        <v>16</v>
      </c>
      <c r="I1284" s="47"/>
      <c r="J1284" s="12" t="s">
        <v>2657</v>
      </c>
      <c r="K1284" s="13" t="s">
        <v>8054</v>
      </c>
      <c r="L1284" s="99" t="str">
        <f t="shared" si="111"/>
        <v>W124B.3</v>
      </c>
      <c r="M1284" s="13" t="s">
        <v>3667</v>
      </c>
      <c r="N1284" s="13"/>
      <c r="O1284" s="13"/>
      <c r="P1284" s="47"/>
      <c r="Q1284" s="45"/>
      <c r="R1284" s="45"/>
      <c r="S1284" s="48"/>
      <c r="T1284" s="49" t="str">
        <f t="shared" si="115"/>
        <v>[W124B.3]</v>
      </c>
      <c r="U1284" s="12" t="str">
        <f t="shared" si="116"/>
        <v xml:space="preserve"> 로우 커버 공급 로봇L 커버 픽업 상승/하강 센서 이상 (X4E9, X4EA)</v>
      </c>
      <c r="V1284" s="49" t="str">
        <f t="shared" si="114"/>
        <v>[W124B.3] 로우 커버 공급 로봇L 커버 픽업 상승/하강 센서 이상 (X4E9, X4EA)</v>
      </c>
    </row>
    <row r="1285" spans="1:22" s="49" customFormat="1" ht="14.15" customHeight="1">
      <c r="A1285" s="43" t="s">
        <v>3680</v>
      </c>
      <c r="B1285" s="44" t="s">
        <v>6637</v>
      </c>
      <c r="C1285" s="50"/>
      <c r="D1285" s="10" t="s">
        <v>29</v>
      </c>
      <c r="E1285" s="11"/>
      <c r="F1285" s="11" t="s">
        <v>18</v>
      </c>
      <c r="G1285" s="13"/>
      <c r="H1285" s="45" t="s">
        <v>16</v>
      </c>
      <c r="I1285" s="47"/>
      <c r="J1285" s="12" t="s">
        <v>2658</v>
      </c>
      <c r="K1285" s="13" t="s">
        <v>8055</v>
      </c>
      <c r="L1285" s="99" t="str">
        <f t="shared" si="111"/>
        <v>W124B.4</v>
      </c>
      <c r="M1285" s="13" t="s">
        <v>3667</v>
      </c>
      <c r="N1285" s="13"/>
      <c r="O1285" s="13"/>
      <c r="P1285" s="47"/>
      <c r="Q1285" s="45"/>
      <c r="R1285" s="45"/>
      <c r="S1285" s="48"/>
      <c r="T1285" s="49" t="str">
        <f t="shared" si="115"/>
        <v>[W124B.4]</v>
      </c>
      <c r="U1285" s="12" t="str">
        <f t="shared" si="116"/>
        <v xml:space="preserve"> 로우 커버 공급 로봇L 커버 픽업 시프트 전진 시간초과 (Y528, X4E7)</v>
      </c>
      <c r="V1285" s="49" t="str">
        <f t="shared" si="114"/>
        <v>[W124B.4] 로우 커버 공급 로봇L 커버 픽업 시프트 전진 시간초과 (Y528, X4E7)</v>
      </c>
    </row>
    <row r="1286" spans="1:22" s="49" customFormat="1" ht="14.15" customHeight="1">
      <c r="A1286" s="43" t="s">
        <v>3680</v>
      </c>
      <c r="B1286" s="44" t="s">
        <v>6637</v>
      </c>
      <c r="C1286" s="50"/>
      <c r="D1286" s="10" t="s">
        <v>29</v>
      </c>
      <c r="E1286" s="11"/>
      <c r="F1286" s="11" t="s">
        <v>18</v>
      </c>
      <c r="G1286" s="13"/>
      <c r="H1286" s="45" t="s">
        <v>16</v>
      </c>
      <c r="I1286" s="47"/>
      <c r="J1286" s="12" t="s">
        <v>2659</v>
      </c>
      <c r="K1286" s="13" t="s">
        <v>8056</v>
      </c>
      <c r="L1286" s="99" t="str">
        <f t="shared" si="111"/>
        <v>W124B.5</v>
      </c>
      <c r="M1286" s="13" t="s">
        <v>3667</v>
      </c>
      <c r="N1286" s="13"/>
      <c r="O1286" s="13"/>
      <c r="P1286" s="47"/>
      <c r="Q1286" s="45"/>
      <c r="R1286" s="45"/>
      <c r="S1286" s="48"/>
      <c r="T1286" s="49" t="str">
        <f t="shared" si="115"/>
        <v>[W124B.5]</v>
      </c>
      <c r="U1286" s="12" t="str">
        <f t="shared" si="116"/>
        <v xml:space="preserve"> 로우 커버 공급 로봇L 커버 픽업 시프트 후진 시간초과 (Y529, X4E8)</v>
      </c>
      <c r="V1286" s="49" t="str">
        <f t="shared" si="114"/>
        <v>[W124B.5] 로우 커버 공급 로봇L 커버 픽업 시프트 후진 시간초과 (Y529, X4E8)</v>
      </c>
    </row>
    <row r="1287" spans="1:22" s="49" customFormat="1" ht="14.15" customHeight="1">
      <c r="A1287" s="43" t="s">
        <v>3680</v>
      </c>
      <c r="B1287" s="44" t="s">
        <v>6637</v>
      </c>
      <c r="C1287" s="50"/>
      <c r="D1287" s="10" t="s">
        <v>29</v>
      </c>
      <c r="E1287" s="11"/>
      <c r="F1287" s="11" t="s">
        <v>18</v>
      </c>
      <c r="G1287" s="13"/>
      <c r="H1287" s="45" t="s">
        <v>16</v>
      </c>
      <c r="I1287" s="47"/>
      <c r="J1287" s="12" t="s">
        <v>2660</v>
      </c>
      <c r="K1287" s="13" t="s">
        <v>8057</v>
      </c>
      <c r="L1287" s="99" t="str">
        <f t="shared" si="111"/>
        <v>W124B.6</v>
      </c>
      <c r="M1287" s="13" t="s">
        <v>3667</v>
      </c>
      <c r="N1287" s="13"/>
      <c r="O1287" s="13"/>
      <c r="P1287" s="47"/>
      <c r="Q1287" s="45"/>
      <c r="R1287" s="45"/>
      <c r="S1287" s="48"/>
      <c r="T1287" s="49" t="str">
        <f t="shared" si="115"/>
        <v>[W124B.6]</v>
      </c>
      <c r="U1287" s="12" t="str">
        <f t="shared" si="116"/>
        <v xml:space="preserve"> 로우 커버 공급 로봇L 커버 픽업 시프트 전진/후진 센서 이상 (X4E7, X4E8)</v>
      </c>
      <c r="V1287" s="49" t="str">
        <f t="shared" si="114"/>
        <v>[W124B.6] 로우 커버 공급 로봇L 커버 픽업 시프트 전진/후진 센서 이상 (X4E7, X4E8)</v>
      </c>
    </row>
    <row r="1288" spans="1:22" s="49" customFormat="1" ht="14.15" customHeight="1">
      <c r="A1288" s="43" t="s">
        <v>3680</v>
      </c>
      <c r="B1288" s="44" t="s">
        <v>6637</v>
      </c>
      <c r="C1288" s="50"/>
      <c r="D1288" s="10" t="s">
        <v>29</v>
      </c>
      <c r="E1288" s="11"/>
      <c r="F1288" s="11" t="s">
        <v>18</v>
      </c>
      <c r="G1288" s="13"/>
      <c r="H1288" s="45" t="s">
        <v>16</v>
      </c>
      <c r="I1288" s="47"/>
      <c r="J1288" s="12" t="s">
        <v>2661</v>
      </c>
      <c r="K1288" s="13" t="s">
        <v>8058</v>
      </c>
      <c r="L1288" s="99" t="str">
        <f t="shared" si="111"/>
        <v>W124B.7</v>
      </c>
      <c r="M1288" s="13" t="s">
        <v>3667</v>
      </c>
      <c r="N1288" s="13"/>
      <c r="O1288" s="13"/>
      <c r="P1288" s="47"/>
      <c r="Q1288" s="45"/>
      <c r="R1288" s="45"/>
      <c r="S1288" s="48"/>
      <c r="T1288" s="49" t="str">
        <f t="shared" si="115"/>
        <v>[W124B.7]</v>
      </c>
      <c r="U1288" s="12" t="str">
        <f t="shared" si="116"/>
        <v xml:space="preserve"> 로우 커버 공급 로봇L 커버 픽업 회전 시간초과 (Y52C, X4E4)</v>
      </c>
      <c r="V1288" s="49" t="str">
        <f t="shared" si="114"/>
        <v>[W124B.7] 로우 커버 공급 로봇L 커버 픽업 회전 시간초과 (Y52C, X4E4)</v>
      </c>
    </row>
    <row r="1289" spans="1:22" s="49" customFormat="1" ht="14.15" customHeight="1">
      <c r="A1289" s="43" t="s">
        <v>3680</v>
      </c>
      <c r="B1289" s="44" t="s">
        <v>6637</v>
      </c>
      <c r="C1289" s="50"/>
      <c r="D1289" s="10" t="s">
        <v>29</v>
      </c>
      <c r="E1289" s="11"/>
      <c r="F1289" s="11" t="s">
        <v>18</v>
      </c>
      <c r="G1289" s="13"/>
      <c r="H1289" s="45" t="s">
        <v>16</v>
      </c>
      <c r="I1289" s="47"/>
      <c r="J1289" s="12" t="s">
        <v>2662</v>
      </c>
      <c r="K1289" s="13" t="s">
        <v>8059</v>
      </c>
      <c r="L1289" s="99" t="str">
        <f t="shared" si="111"/>
        <v>W124B.8</v>
      </c>
      <c r="M1289" s="13" t="s">
        <v>3667</v>
      </c>
      <c r="N1289" s="13"/>
      <c r="O1289" s="13"/>
      <c r="P1289" s="47"/>
      <c r="Q1289" s="45"/>
      <c r="R1289" s="45"/>
      <c r="S1289" s="48"/>
      <c r="T1289" s="49" t="str">
        <f t="shared" si="115"/>
        <v>[W124B.8]</v>
      </c>
      <c r="U1289" s="12" t="str">
        <f t="shared" si="116"/>
        <v xml:space="preserve"> 로우 커버 공급 로봇L 커버 픽업 회전 복귀 시간초과 (Y52D, X4E5)</v>
      </c>
      <c r="V1289" s="49" t="str">
        <f t="shared" si="114"/>
        <v>[W124B.8] 로우 커버 공급 로봇L 커버 픽업 회전 복귀 시간초과 (Y52D, X4E5)</v>
      </c>
    </row>
    <row r="1290" spans="1:22" s="49" customFormat="1" ht="14.15" customHeight="1">
      <c r="A1290" s="43" t="s">
        <v>3680</v>
      </c>
      <c r="B1290" s="44" t="s">
        <v>6637</v>
      </c>
      <c r="C1290" s="50"/>
      <c r="D1290" s="10" t="s">
        <v>29</v>
      </c>
      <c r="E1290" s="11"/>
      <c r="F1290" s="11" t="s">
        <v>18</v>
      </c>
      <c r="G1290" s="13"/>
      <c r="H1290" s="45" t="s">
        <v>16</v>
      </c>
      <c r="I1290" s="47"/>
      <c r="J1290" s="12" t="s">
        <v>2663</v>
      </c>
      <c r="K1290" s="13" t="s">
        <v>8060</v>
      </c>
      <c r="L1290" s="99" t="str">
        <f t="shared" si="111"/>
        <v>W124B.9</v>
      </c>
      <c r="M1290" s="13" t="s">
        <v>3667</v>
      </c>
      <c r="N1290" s="13"/>
      <c r="O1290" s="13"/>
      <c r="P1290" s="47"/>
      <c r="Q1290" s="45"/>
      <c r="R1290" s="45"/>
      <c r="S1290" s="48"/>
      <c r="T1290" s="49" t="str">
        <f t="shared" si="115"/>
        <v>[W124B.9]</v>
      </c>
      <c r="U1290" s="12" t="str">
        <f t="shared" si="116"/>
        <v xml:space="preserve"> 로우 커버 공급 로봇L 커버 픽업 회전/복귀 센서 이상 (X4E4, X4E5)</v>
      </c>
      <c r="V1290" s="49" t="str">
        <f t="shared" si="114"/>
        <v>[W124B.9] 로우 커버 공급 로봇L 커버 픽업 회전/복귀 센서 이상 (X4E4, X4E5)</v>
      </c>
    </row>
    <row r="1291" spans="1:22" s="49" customFormat="1" ht="14.15" customHeight="1">
      <c r="A1291" s="43" t="s">
        <v>3680</v>
      </c>
      <c r="B1291" s="44" t="s">
        <v>6637</v>
      </c>
      <c r="C1291" s="50"/>
      <c r="D1291" s="10" t="s">
        <v>29</v>
      </c>
      <c r="E1291" s="11"/>
      <c r="F1291" s="11" t="s">
        <v>18</v>
      </c>
      <c r="G1291" s="13"/>
      <c r="H1291" s="45" t="s">
        <v>16</v>
      </c>
      <c r="I1291" s="47"/>
      <c r="J1291" s="12" t="s">
        <v>2664</v>
      </c>
      <c r="K1291" s="13" t="s">
        <v>8061</v>
      </c>
      <c r="L1291" s="99" t="str">
        <f t="shared" si="111"/>
        <v>W124B.A</v>
      </c>
      <c r="M1291" s="13" t="s">
        <v>3667</v>
      </c>
      <c r="N1291" s="13"/>
      <c r="O1291" s="13"/>
      <c r="P1291" s="47"/>
      <c r="Q1291" s="45"/>
      <c r="R1291" s="45"/>
      <c r="S1291" s="48"/>
      <c r="T1291" s="49" t="str">
        <f t="shared" si="115"/>
        <v>[W124B.A]</v>
      </c>
      <c r="U1291" s="12" t="str">
        <f t="shared" si="116"/>
        <v xml:space="preserve"> 로우 커버 공급 로봇L 제품 수취 시간초과</v>
      </c>
      <c r="V1291" s="49" t="str">
        <f t="shared" si="114"/>
        <v>[W124B.A] 로우 커버 공급 로봇L 제품 수취 시간초과</v>
      </c>
    </row>
    <row r="1292" spans="1:22" s="49" customFormat="1" ht="14.15" customHeight="1">
      <c r="A1292" s="43" t="s">
        <v>3680</v>
      </c>
      <c r="B1292" s="44" t="s">
        <v>6637</v>
      </c>
      <c r="C1292" s="50"/>
      <c r="D1292" s="10" t="s">
        <v>29</v>
      </c>
      <c r="E1292" s="11"/>
      <c r="F1292" s="11" t="s">
        <v>18</v>
      </c>
      <c r="G1292" s="13"/>
      <c r="H1292" s="45" t="s">
        <v>16</v>
      </c>
      <c r="I1292" s="47"/>
      <c r="J1292" s="12" t="s">
        <v>2665</v>
      </c>
      <c r="K1292" s="13" t="s">
        <v>8062</v>
      </c>
      <c r="L1292" s="99" t="str">
        <f t="shared" si="111"/>
        <v>W124B.B</v>
      </c>
      <c r="M1292" s="13" t="s">
        <v>3667</v>
      </c>
      <c r="N1292" s="13"/>
      <c r="O1292" s="13"/>
      <c r="P1292" s="47"/>
      <c r="Q1292" s="45"/>
      <c r="R1292" s="45"/>
      <c r="S1292" s="48"/>
      <c r="T1292" s="49" t="str">
        <f t="shared" si="115"/>
        <v>[W124B.B]</v>
      </c>
      <c r="U1292" s="12" t="str">
        <f t="shared" si="116"/>
        <v xml:space="preserve"> 로우 커버 공급 로봇L 제품 배출 시간초과</v>
      </c>
      <c r="V1292" s="49" t="str">
        <f t="shared" si="114"/>
        <v>[W124B.B] 로우 커버 공급 로봇L 제품 배출 시간초과</v>
      </c>
    </row>
    <row r="1293" spans="1:22" s="49" customFormat="1" ht="14.15" customHeight="1">
      <c r="A1293" s="43" t="s">
        <v>3680</v>
      </c>
      <c r="B1293" s="44" t="s">
        <v>6637</v>
      </c>
      <c r="C1293" s="50"/>
      <c r="D1293" s="10" t="s">
        <v>29</v>
      </c>
      <c r="E1293" s="11"/>
      <c r="F1293" s="11" t="s">
        <v>18</v>
      </c>
      <c r="G1293" s="13"/>
      <c r="H1293" s="45" t="s">
        <v>16</v>
      </c>
      <c r="I1293" s="47"/>
      <c r="J1293" s="12" t="s">
        <v>2666</v>
      </c>
      <c r="K1293" s="13" t="s">
        <v>8063</v>
      </c>
      <c r="L1293" s="99" t="str">
        <f t="shared" si="111"/>
        <v>W124B.C</v>
      </c>
      <c r="M1293" s="13" t="s">
        <v>3667</v>
      </c>
      <c r="N1293" s="13"/>
      <c r="O1293" s="13"/>
      <c r="P1293" s="47"/>
      <c r="Q1293" s="45"/>
      <c r="R1293" s="45"/>
      <c r="S1293" s="48"/>
      <c r="T1293" s="49" t="str">
        <f t="shared" si="115"/>
        <v>[W124B.C]</v>
      </c>
      <c r="U1293" s="12" t="str">
        <f t="shared" si="116"/>
        <v xml:space="preserve"> 로우 커버 공급 로봇L 제품 수취 시퀀스 이상</v>
      </c>
      <c r="V1293" s="49" t="str">
        <f t="shared" si="114"/>
        <v>[W124B.C] 로우 커버 공급 로봇L 제품 수취 시퀀스 이상</v>
      </c>
    </row>
    <row r="1294" spans="1:22" s="49" customFormat="1" ht="14.15" customHeight="1">
      <c r="A1294" s="43" t="s">
        <v>3680</v>
      </c>
      <c r="B1294" s="44" t="s">
        <v>6637</v>
      </c>
      <c r="C1294" s="50"/>
      <c r="D1294" s="10" t="s">
        <v>29</v>
      </c>
      <c r="E1294" s="11"/>
      <c r="F1294" s="11" t="s">
        <v>18</v>
      </c>
      <c r="G1294" s="13"/>
      <c r="H1294" s="45" t="s">
        <v>16</v>
      </c>
      <c r="I1294" s="47"/>
      <c r="J1294" s="12" t="s">
        <v>2667</v>
      </c>
      <c r="K1294" s="13" t="s">
        <v>8064</v>
      </c>
      <c r="L1294" s="99" t="str">
        <f t="shared" si="111"/>
        <v>W124B.D</v>
      </c>
      <c r="M1294" s="13" t="s">
        <v>3667</v>
      </c>
      <c r="N1294" s="13"/>
      <c r="O1294" s="13"/>
      <c r="P1294" s="47"/>
      <c r="Q1294" s="45"/>
      <c r="R1294" s="45"/>
      <c r="S1294" s="48"/>
      <c r="T1294" s="49" t="str">
        <f t="shared" si="115"/>
        <v>[W124B.D]</v>
      </c>
      <c r="U1294" s="12" t="str">
        <f t="shared" si="116"/>
        <v xml:space="preserve"> 로우 커버 공급 로봇L 제품 베츨 시퀀스 이상</v>
      </c>
      <c r="V1294" s="49" t="str">
        <f t="shared" si="114"/>
        <v>[W124B.D] 로우 커버 공급 로봇L 제품 베츨 시퀀스 이상</v>
      </c>
    </row>
    <row r="1295" spans="1:22" s="49" customFormat="1" ht="14.15" customHeight="1">
      <c r="A1295" s="43" t="s">
        <v>3680</v>
      </c>
      <c r="B1295" s="44" t="s">
        <v>6637</v>
      </c>
      <c r="C1295" s="50"/>
      <c r="D1295" s="10" t="s">
        <v>29</v>
      </c>
      <c r="E1295" s="11"/>
      <c r="F1295" s="11" t="s">
        <v>18</v>
      </c>
      <c r="G1295" s="13"/>
      <c r="H1295" s="45" t="s">
        <v>16</v>
      </c>
      <c r="I1295" s="47"/>
      <c r="J1295" s="12" t="s">
        <v>2668</v>
      </c>
      <c r="K1295" s="13" t="s">
        <v>8065</v>
      </c>
      <c r="L1295" s="99" t="str">
        <f t="shared" si="111"/>
        <v>W124B.E</v>
      </c>
      <c r="M1295" s="13" t="s">
        <v>3667</v>
      </c>
      <c r="N1295" s="13"/>
      <c r="O1295" s="13"/>
      <c r="P1295" s="47"/>
      <c r="Q1295" s="45"/>
      <c r="R1295" s="45"/>
      <c r="S1295" s="48"/>
      <c r="T1295" s="49" t="str">
        <f t="shared" si="115"/>
        <v>[W124B.E]</v>
      </c>
      <c r="U1295" s="12" t="str">
        <f t="shared" si="116"/>
        <v xml:space="preserve"> 로우 커버 공급 로봇L 리모트 모드 상태 이상</v>
      </c>
      <c r="V1295" s="49" t="str">
        <f t="shared" si="114"/>
        <v>[W124B.E] 로우 커버 공급 로봇L 리모트 모드 상태 이상</v>
      </c>
    </row>
    <row r="1296" spans="1:22" s="49" customFormat="1" ht="14.15" customHeight="1">
      <c r="A1296" s="43" t="s">
        <v>3680</v>
      </c>
      <c r="B1296" s="44" t="s">
        <v>6637</v>
      </c>
      <c r="C1296" s="50"/>
      <c r="D1296" s="10" t="s">
        <v>29</v>
      </c>
      <c r="E1296" s="11"/>
      <c r="F1296" s="11" t="s">
        <v>18</v>
      </c>
      <c r="G1296" s="13"/>
      <c r="H1296" s="45" t="s">
        <v>16</v>
      </c>
      <c r="I1296" s="47"/>
      <c r="J1296" s="12" t="s">
        <v>2669</v>
      </c>
      <c r="K1296" s="13" t="s">
        <v>8066</v>
      </c>
      <c r="L1296" s="99" t="str">
        <f t="shared" si="111"/>
        <v>W124B.F</v>
      </c>
      <c r="M1296" s="13" t="s">
        <v>3667</v>
      </c>
      <c r="N1296" s="13"/>
      <c r="O1296" s="13"/>
      <c r="P1296" s="47"/>
      <c r="Q1296" s="45"/>
      <c r="R1296" s="45"/>
      <c r="S1296" s="48"/>
      <c r="T1296" s="49" t="str">
        <f t="shared" si="115"/>
        <v>[W124B.F]</v>
      </c>
      <c r="U1296" s="12" t="str">
        <f t="shared" si="116"/>
        <v xml:space="preserve"> 로우 커버 공급 로봇L 서보 온 상태 이상</v>
      </c>
      <c r="V1296" s="49" t="str">
        <f t="shared" si="114"/>
        <v>[W124B.F] 로우 커버 공급 로봇L 서보 온 상태 이상</v>
      </c>
    </row>
    <row r="1297" spans="1:22" s="49" customFormat="1" ht="14.15" customHeight="1">
      <c r="A1297" s="43" t="s">
        <v>3680</v>
      </c>
      <c r="B1297" s="44" t="s">
        <v>6637</v>
      </c>
      <c r="C1297" s="50"/>
      <c r="D1297" s="10" t="s">
        <v>29</v>
      </c>
      <c r="E1297" s="11"/>
      <c r="F1297" s="11" t="s">
        <v>18</v>
      </c>
      <c r="G1297" s="13"/>
      <c r="H1297" s="45" t="s">
        <v>16</v>
      </c>
      <c r="I1297" s="47"/>
      <c r="J1297" s="12" t="s">
        <v>2670</v>
      </c>
      <c r="K1297" s="13" t="s">
        <v>8067</v>
      </c>
      <c r="L1297" s="99" t="str">
        <f t="shared" si="111"/>
        <v>W124C.0</v>
      </c>
      <c r="M1297" s="13" t="s">
        <v>3667</v>
      </c>
      <c r="N1297" s="13"/>
      <c r="O1297" s="13"/>
      <c r="P1297" s="47"/>
      <c r="Q1297" s="45"/>
      <c r="R1297" s="45"/>
      <c r="S1297" s="48"/>
      <c r="T1297" s="49" t="str">
        <f t="shared" si="115"/>
        <v>[W124C.0]</v>
      </c>
      <c r="U1297" s="12" t="str">
        <f t="shared" si="116"/>
        <v xml:space="preserve"> 로우 커버 공급 로봇L 초기화 필요</v>
      </c>
      <c r="V1297" s="49" t="str">
        <f t="shared" si="114"/>
        <v>[W124C.0] 로우 커버 공급 로봇L 초기화 필요</v>
      </c>
    </row>
    <row r="1298" spans="1:22" s="49" customFormat="1" ht="14.15" customHeight="1">
      <c r="A1298" s="43" t="s">
        <v>3680</v>
      </c>
      <c r="B1298" s="44" t="s">
        <v>6637</v>
      </c>
      <c r="C1298" s="50"/>
      <c r="D1298" s="10" t="s">
        <v>29</v>
      </c>
      <c r="E1298" s="11"/>
      <c r="F1298" s="11" t="s">
        <v>18</v>
      </c>
      <c r="G1298" s="13"/>
      <c r="H1298" s="45" t="s">
        <v>16</v>
      </c>
      <c r="I1298" s="47"/>
      <c r="J1298" s="12" t="s">
        <v>2671</v>
      </c>
      <c r="K1298" s="13" t="s">
        <v>8068</v>
      </c>
      <c r="L1298" s="99" t="str">
        <f t="shared" ref="L1298:L1361" si="117">"W"&amp;DEC2HEX(4608 + INT((ROW()-81)/16)) &amp; "." &amp; IF(MOD(ROW()-81,16)&lt;10,MOD(ROW()-81,16),CHAR(MOD(ROW()-81,16)+55))</f>
        <v>W124C.1</v>
      </c>
      <c r="M1298" s="13" t="s">
        <v>3667</v>
      </c>
      <c r="N1298" s="13"/>
      <c r="O1298" s="13"/>
      <c r="P1298" s="47"/>
      <c r="Q1298" s="45"/>
      <c r="R1298" s="45"/>
      <c r="S1298" s="48"/>
      <c r="T1298" s="49" t="str">
        <f t="shared" si="115"/>
        <v>[W124C.1]</v>
      </c>
      <c r="U1298" s="12" t="str">
        <f t="shared" si="116"/>
        <v xml:space="preserve"> 로우 커버 공급 로봇L 팬던트 비상 정지 이상 (XC0D)</v>
      </c>
      <c r="V1298" s="49" t="str">
        <f t="shared" ref="V1298:V1361" si="118">T1298&amp;U1298</f>
        <v>[W124C.1] 로우 커버 공급 로봇L 팬던트 비상 정지 이상 (XC0D)</v>
      </c>
    </row>
    <row r="1299" spans="1:22" s="49" customFormat="1" ht="14.15" customHeight="1">
      <c r="A1299" s="43" t="s">
        <v>3680</v>
      </c>
      <c r="B1299" s="44" t="s">
        <v>6637</v>
      </c>
      <c r="C1299" s="50"/>
      <c r="D1299" s="10" t="s">
        <v>29</v>
      </c>
      <c r="E1299" s="11"/>
      <c r="F1299" s="11" t="s">
        <v>18</v>
      </c>
      <c r="G1299" s="13"/>
      <c r="H1299" s="45" t="s">
        <v>16</v>
      </c>
      <c r="I1299" s="47"/>
      <c r="J1299" s="12" t="s">
        <v>2672</v>
      </c>
      <c r="K1299" s="13" t="s">
        <v>8069</v>
      </c>
      <c r="L1299" s="99" t="str">
        <f t="shared" si="117"/>
        <v>W124C.2</v>
      </c>
      <c r="M1299" s="13" t="s">
        <v>3667</v>
      </c>
      <c r="N1299" s="13"/>
      <c r="O1299" s="13"/>
      <c r="P1299" s="47"/>
      <c r="Q1299" s="45"/>
      <c r="R1299" s="45"/>
      <c r="S1299" s="48"/>
      <c r="T1299" s="49" t="str">
        <f t="shared" si="115"/>
        <v>[W124C.2]</v>
      </c>
      <c r="U1299" s="12" t="str">
        <f t="shared" si="116"/>
        <v xml:space="preserve"> 로우 커버 공급 로봇L 콘트롤러 비상 정지 이상 (XC0E)</v>
      </c>
      <c r="V1299" s="49" t="str">
        <f t="shared" si="118"/>
        <v>[W124C.2] 로우 커버 공급 로봇L 콘트롤러 비상 정지 이상 (XC0E)</v>
      </c>
    </row>
    <row r="1300" spans="1:22" s="49" customFormat="1" ht="14.15" customHeight="1">
      <c r="A1300" s="43" t="s">
        <v>3680</v>
      </c>
      <c r="B1300" s="44" t="s">
        <v>6637</v>
      </c>
      <c r="C1300" s="50"/>
      <c r="D1300" s="10" t="s">
        <v>29</v>
      </c>
      <c r="E1300" s="11"/>
      <c r="F1300" s="11" t="s">
        <v>18</v>
      </c>
      <c r="G1300" s="13"/>
      <c r="H1300" s="45" t="s">
        <v>16</v>
      </c>
      <c r="I1300" s="47"/>
      <c r="J1300" s="12" t="s">
        <v>2673</v>
      </c>
      <c r="K1300" s="13" t="s">
        <v>8070</v>
      </c>
      <c r="L1300" s="99" t="str">
        <f t="shared" si="117"/>
        <v>W124C.3</v>
      </c>
      <c r="M1300" s="13" t="s">
        <v>3667</v>
      </c>
      <c r="N1300" s="13"/>
      <c r="O1300" s="13"/>
      <c r="P1300" s="47"/>
      <c r="Q1300" s="45"/>
      <c r="R1300" s="45"/>
      <c r="S1300" s="48"/>
      <c r="T1300" s="49" t="str">
        <f t="shared" si="115"/>
        <v>[W124C.3]</v>
      </c>
      <c r="U1300" s="12" t="str">
        <f t="shared" si="116"/>
        <v xml:space="preserve"> 로우 커버 공급 로봇R 클램프 전진 시간초과 (Y533, X4FC)</v>
      </c>
      <c r="V1300" s="49" t="str">
        <f t="shared" si="118"/>
        <v>[W124C.3] 로우 커버 공급 로봇R 클램프 전진 시간초과 (Y533, X4FC)</v>
      </c>
    </row>
    <row r="1301" spans="1:22" s="49" customFormat="1" ht="14.15" customHeight="1">
      <c r="A1301" s="43" t="s">
        <v>3680</v>
      </c>
      <c r="B1301" s="44" t="s">
        <v>6637</v>
      </c>
      <c r="C1301" s="50"/>
      <c r="D1301" s="10" t="s">
        <v>29</v>
      </c>
      <c r="E1301" s="11"/>
      <c r="F1301" s="11" t="s">
        <v>18</v>
      </c>
      <c r="G1301" s="13"/>
      <c r="H1301" s="45" t="s">
        <v>16</v>
      </c>
      <c r="I1301" s="47"/>
      <c r="J1301" s="12" t="s">
        <v>2674</v>
      </c>
      <c r="K1301" s="13" t="s">
        <v>8071</v>
      </c>
      <c r="L1301" s="99" t="str">
        <f t="shared" si="117"/>
        <v>W124C.4</v>
      </c>
      <c r="M1301" s="13" t="s">
        <v>3667</v>
      </c>
      <c r="N1301" s="13"/>
      <c r="O1301" s="13"/>
      <c r="P1301" s="47"/>
      <c r="Q1301" s="45"/>
      <c r="R1301" s="45"/>
      <c r="S1301" s="48"/>
      <c r="T1301" s="49" t="str">
        <f t="shared" si="115"/>
        <v>[W124C.4]</v>
      </c>
      <c r="U1301" s="12" t="str">
        <f t="shared" si="116"/>
        <v xml:space="preserve"> 로우 커버 공급 로봇R 클램프 후진 시간초과 (Y52F)</v>
      </c>
      <c r="V1301" s="49" t="str">
        <f t="shared" si="118"/>
        <v>[W124C.4] 로우 커버 공급 로봇R 클램프 후진 시간초과 (Y52F)</v>
      </c>
    </row>
    <row r="1302" spans="1:22" s="49" customFormat="1" ht="14.15" customHeight="1">
      <c r="A1302" s="43" t="s">
        <v>3680</v>
      </c>
      <c r="B1302" s="44" t="s">
        <v>6637</v>
      </c>
      <c r="C1302" s="50"/>
      <c r="D1302" s="10" t="s">
        <v>29</v>
      </c>
      <c r="E1302" s="11"/>
      <c r="F1302" s="11" t="s">
        <v>18</v>
      </c>
      <c r="G1302" s="13"/>
      <c r="H1302" s="45" t="s">
        <v>16</v>
      </c>
      <c r="I1302" s="47"/>
      <c r="J1302" s="12" t="s">
        <v>2675</v>
      </c>
      <c r="K1302" s="13" t="s">
        <v>8072</v>
      </c>
      <c r="L1302" s="99" t="str">
        <f t="shared" si="117"/>
        <v>W124C.5</v>
      </c>
      <c r="M1302" s="13" t="s">
        <v>3667</v>
      </c>
      <c r="N1302" s="13"/>
      <c r="O1302" s="13"/>
      <c r="P1302" s="47"/>
      <c r="Q1302" s="45"/>
      <c r="R1302" s="45"/>
      <c r="S1302" s="48"/>
      <c r="T1302" s="49" t="str">
        <f t="shared" ref="T1302:T1325" si="119">"["&amp;L1302&amp;"]"</f>
        <v>[W124C.5]</v>
      </c>
      <c r="U1302" s="12" t="str">
        <f t="shared" si="116"/>
        <v xml:space="preserve"> 로우 커버 공급 로봇R 커버 픽업 상승 시간초과 (Y534, X509)</v>
      </c>
      <c r="V1302" s="49" t="str">
        <f t="shared" si="118"/>
        <v>[W124C.5] 로우 커버 공급 로봇R 커버 픽업 상승 시간초과 (Y534, X509)</v>
      </c>
    </row>
    <row r="1303" spans="1:22" s="49" customFormat="1" ht="14.15" customHeight="1">
      <c r="A1303" s="43" t="s">
        <v>3680</v>
      </c>
      <c r="B1303" s="44" t="s">
        <v>6637</v>
      </c>
      <c r="C1303" s="50"/>
      <c r="D1303" s="10" t="s">
        <v>29</v>
      </c>
      <c r="E1303" s="11"/>
      <c r="F1303" s="11" t="s">
        <v>18</v>
      </c>
      <c r="G1303" s="13"/>
      <c r="H1303" s="45" t="s">
        <v>16</v>
      </c>
      <c r="I1303" s="47"/>
      <c r="J1303" s="12" t="s">
        <v>2676</v>
      </c>
      <c r="K1303" s="13" t="s">
        <v>8073</v>
      </c>
      <c r="L1303" s="99" t="str">
        <f t="shared" si="117"/>
        <v>W124C.6</v>
      </c>
      <c r="M1303" s="13" t="s">
        <v>3667</v>
      </c>
      <c r="N1303" s="13"/>
      <c r="O1303" s="13"/>
      <c r="P1303" s="47"/>
      <c r="Q1303" s="45"/>
      <c r="R1303" s="45"/>
      <c r="S1303" s="48"/>
      <c r="T1303" s="49" t="str">
        <f t="shared" si="119"/>
        <v>[W124C.6]</v>
      </c>
      <c r="U1303" s="12" t="str">
        <f t="shared" si="116"/>
        <v xml:space="preserve"> 로우 커버 공급 로봇R 커버 픽업 하강 시간초과 (Y535, X50A)</v>
      </c>
      <c r="V1303" s="49" t="str">
        <f t="shared" si="118"/>
        <v>[W124C.6] 로우 커버 공급 로봇R 커버 픽업 하강 시간초과 (Y535, X50A)</v>
      </c>
    </row>
    <row r="1304" spans="1:22" s="49" customFormat="1" ht="14.15" customHeight="1">
      <c r="A1304" s="43" t="s">
        <v>3680</v>
      </c>
      <c r="B1304" s="44" t="s">
        <v>6637</v>
      </c>
      <c r="C1304" s="50"/>
      <c r="D1304" s="10" t="s">
        <v>29</v>
      </c>
      <c r="E1304" s="11"/>
      <c r="F1304" s="11" t="s">
        <v>18</v>
      </c>
      <c r="G1304" s="13"/>
      <c r="H1304" s="45" t="s">
        <v>16</v>
      </c>
      <c r="I1304" s="47"/>
      <c r="J1304" s="12" t="s">
        <v>2677</v>
      </c>
      <c r="K1304" s="13" t="s">
        <v>8074</v>
      </c>
      <c r="L1304" s="99" t="str">
        <f t="shared" si="117"/>
        <v>W124C.7</v>
      </c>
      <c r="M1304" s="13" t="s">
        <v>3667</v>
      </c>
      <c r="N1304" s="13"/>
      <c r="O1304" s="13"/>
      <c r="P1304" s="47"/>
      <c r="Q1304" s="45"/>
      <c r="R1304" s="45"/>
      <c r="S1304" s="48"/>
      <c r="T1304" s="49" t="str">
        <f t="shared" si="119"/>
        <v>[W124C.7]</v>
      </c>
      <c r="U1304" s="12" t="str">
        <f t="shared" si="116"/>
        <v xml:space="preserve"> 로우 커버 공급 로봇R 커버 픽업 상승/하강 센서 이상 (X509, X50A)</v>
      </c>
      <c r="V1304" s="49" t="str">
        <f t="shared" si="118"/>
        <v>[W124C.7] 로우 커버 공급 로봇R 커버 픽업 상승/하강 센서 이상 (X509, X50A)</v>
      </c>
    </row>
    <row r="1305" spans="1:22" s="49" customFormat="1" ht="14.15" customHeight="1">
      <c r="A1305" s="43" t="s">
        <v>3680</v>
      </c>
      <c r="B1305" s="44" t="s">
        <v>6637</v>
      </c>
      <c r="C1305" s="50"/>
      <c r="D1305" s="10" t="s">
        <v>29</v>
      </c>
      <c r="E1305" s="11"/>
      <c r="F1305" s="11" t="s">
        <v>18</v>
      </c>
      <c r="G1305" s="13"/>
      <c r="H1305" s="45" t="s">
        <v>16</v>
      </c>
      <c r="I1305" s="47"/>
      <c r="J1305" s="12" t="s">
        <v>2678</v>
      </c>
      <c r="K1305" s="13" t="s">
        <v>8075</v>
      </c>
      <c r="L1305" s="99" t="str">
        <f t="shared" si="117"/>
        <v>W124C.8</v>
      </c>
      <c r="M1305" s="13" t="s">
        <v>3667</v>
      </c>
      <c r="N1305" s="13"/>
      <c r="O1305" s="13"/>
      <c r="P1305" s="47"/>
      <c r="Q1305" s="45"/>
      <c r="R1305" s="45"/>
      <c r="S1305" s="48"/>
      <c r="T1305" s="49" t="str">
        <f t="shared" si="119"/>
        <v>[W124C.8]</v>
      </c>
      <c r="U1305" s="12" t="str">
        <f t="shared" si="116"/>
        <v xml:space="preserve"> 로우 커버 공급 로봇R 커버 픽업 시프트 전진 시간초과 (Y538, X507)</v>
      </c>
      <c r="V1305" s="49" t="str">
        <f t="shared" si="118"/>
        <v>[W124C.8] 로우 커버 공급 로봇R 커버 픽업 시프트 전진 시간초과 (Y538, X507)</v>
      </c>
    </row>
    <row r="1306" spans="1:22" s="49" customFormat="1" ht="14.15" customHeight="1">
      <c r="A1306" s="43" t="s">
        <v>3680</v>
      </c>
      <c r="B1306" s="44" t="s">
        <v>6637</v>
      </c>
      <c r="C1306" s="50"/>
      <c r="D1306" s="10" t="s">
        <v>29</v>
      </c>
      <c r="E1306" s="11"/>
      <c r="F1306" s="11" t="s">
        <v>18</v>
      </c>
      <c r="G1306" s="13"/>
      <c r="H1306" s="45" t="s">
        <v>16</v>
      </c>
      <c r="I1306" s="47"/>
      <c r="J1306" s="12" t="s">
        <v>2679</v>
      </c>
      <c r="K1306" s="13" t="s">
        <v>8076</v>
      </c>
      <c r="L1306" s="99" t="str">
        <f t="shared" si="117"/>
        <v>W124C.9</v>
      </c>
      <c r="M1306" s="13" t="s">
        <v>3667</v>
      </c>
      <c r="N1306" s="13"/>
      <c r="O1306" s="13"/>
      <c r="P1306" s="47"/>
      <c r="Q1306" s="45"/>
      <c r="R1306" s="45"/>
      <c r="S1306" s="48"/>
      <c r="T1306" s="49" t="str">
        <f t="shared" si="119"/>
        <v>[W124C.9]</v>
      </c>
      <c r="U1306" s="12" t="str">
        <f t="shared" si="116"/>
        <v xml:space="preserve"> 로우 커버 공급 로봇R 커버 픽업 시프트 후진 시간초과 (Y539, X508)</v>
      </c>
      <c r="V1306" s="49" t="str">
        <f t="shared" si="118"/>
        <v>[W124C.9] 로우 커버 공급 로봇R 커버 픽업 시프트 후진 시간초과 (Y539, X508)</v>
      </c>
    </row>
    <row r="1307" spans="1:22" s="49" customFormat="1" ht="14.15" customHeight="1">
      <c r="A1307" s="43" t="s">
        <v>3680</v>
      </c>
      <c r="B1307" s="44" t="s">
        <v>6637</v>
      </c>
      <c r="C1307" s="50"/>
      <c r="D1307" s="10" t="s">
        <v>29</v>
      </c>
      <c r="E1307" s="11"/>
      <c r="F1307" s="11" t="s">
        <v>18</v>
      </c>
      <c r="G1307" s="13"/>
      <c r="H1307" s="45" t="s">
        <v>16</v>
      </c>
      <c r="I1307" s="47"/>
      <c r="J1307" s="12" t="s">
        <v>2680</v>
      </c>
      <c r="K1307" s="13" t="s">
        <v>8077</v>
      </c>
      <c r="L1307" s="99" t="str">
        <f t="shared" si="117"/>
        <v>W124C.A</v>
      </c>
      <c r="M1307" s="13" t="s">
        <v>3667</v>
      </c>
      <c r="N1307" s="13"/>
      <c r="O1307" s="13"/>
      <c r="P1307" s="47"/>
      <c r="Q1307" s="45"/>
      <c r="R1307" s="45"/>
      <c r="S1307" s="48"/>
      <c r="T1307" s="49" t="str">
        <f t="shared" si="119"/>
        <v>[W124C.A]</v>
      </c>
      <c r="U1307" s="12" t="str">
        <f t="shared" si="116"/>
        <v xml:space="preserve"> 로우 커버 공급 로봇R 커버 픽업 시프트 전진/후진 센서 이상 (X507, X508)</v>
      </c>
      <c r="V1307" s="49" t="str">
        <f t="shared" si="118"/>
        <v>[W124C.A] 로우 커버 공급 로봇R 커버 픽업 시프트 전진/후진 센서 이상 (X507, X508)</v>
      </c>
    </row>
    <row r="1308" spans="1:22" s="49" customFormat="1" ht="14.15" customHeight="1">
      <c r="A1308" s="43" t="s">
        <v>3680</v>
      </c>
      <c r="B1308" s="44" t="s">
        <v>6637</v>
      </c>
      <c r="C1308" s="50"/>
      <c r="D1308" s="10" t="s">
        <v>29</v>
      </c>
      <c r="E1308" s="11"/>
      <c r="F1308" s="11" t="s">
        <v>18</v>
      </c>
      <c r="G1308" s="13"/>
      <c r="H1308" s="45" t="s">
        <v>16</v>
      </c>
      <c r="I1308" s="47"/>
      <c r="J1308" s="12" t="s">
        <v>2681</v>
      </c>
      <c r="K1308" s="13" t="s">
        <v>8078</v>
      </c>
      <c r="L1308" s="99" t="str">
        <f t="shared" si="117"/>
        <v>W124C.B</v>
      </c>
      <c r="M1308" s="13" t="s">
        <v>3667</v>
      </c>
      <c r="N1308" s="13"/>
      <c r="O1308" s="13"/>
      <c r="P1308" s="47"/>
      <c r="Q1308" s="45"/>
      <c r="R1308" s="45"/>
      <c r="S1308" s="48"/>
      <c r="T1308" s="49" t="str">
        <f t="shared" si="119"/>
        <v>[W124C.B]</v>
      </c>
      <c r="U1308" s="12" t="str">
        <f t="shared" si="116"/>
        <v xml:space="preserve"> 로우 커버 공급 로봇R 커버 픽업 회전 시간초과 (Y53C, X50B)</v>
      </c>
      <c r="V1308" s="49" t="str">
        <f t="shared" si="118"/>
        <v>[W124C.B] 로우 커버 공급 로봇R 커버 픽업 회전 시간초과 (Y53C, X50B)</v>
      </c>
    </row>
    <row r="1309" spans="1:22" s="49" customFormat="1" ht="14.15" customHeight="1">
      <c r="A1309" s="43" t="s">
        <v>3680</v>
      </c>
      <c r="B1309" s="44" t="s">
        <v>6637</v>
      </c>
      <c r="C1309" s="50"/>
      <c r="D1309" s="10" t="s">
        <v>29</v>
      </c>
      <c r="E1309" s="11"/>
      <c r="F1309" s="11" t="s">
        <v>18</v>
      </c>
      <c r="G1309" s="13"/>
      <c r="H1309" s="45" t="s">
        <v>16</v>
      </c>
      <c r="I1309" s="47"/>
      <c r="J1309" s="12" t="s">
        <v>2682</v>
      </c>
      <c r="K1309" s="13" t="s">
        <v>8079</v>
      </c>
      <c r="L1309" s="99" t="str">
        <f t="shared" si="117"/>
        <v>W124C.C</v>
      </c>
      <c r="M1309" s="13" t="s">
        <v>3667</v>
      </c>
      <c r="N1309" s="13"/>
      <c r="O1309" s="13"/>
      <c r="P1309" s="47"/>
      <c r="Q1309" s="45"/>
      <c r="R1309" s="45"/>
      <c r="S1309" s="48"/>
      <c r="T1309" s="49" t="str">
        <f t="shared" si="119"/>
        <v>[W124C.C]</v>
      </c>
      <c r="U1309" s="12" t="str">
        <f t="shared" si="116"/>
        <v xml:space="preserve"> 로우 커버 공급 로봇R 커버 픽업 회전 복귀 시간초과 (Y53D, X504)</v>
      </c>
      <c r="V1309" s="49" t="str">
        <f t="shared" si="118"/>
        <v>[W124C.C] 로우 커버 공급 로봇R 커버 픽업 회전 복귀 시간초과 (Y53D, X504)</v>
      </c>
    </row>
    <row r="1310" spans="1:22" s="49" customFormat="1" ht="14.15" customHeight="1">
      <c r="A1310" s="43" t="s">
        <v>3680</v>
      </c>
      <c r="B1310" s="44" t="s">
        <v>6637</v>
      </c>
      <c r="C1310" s="50"/>
      <c r="D1310" s="10" t="s">
        <v>29</v>
      </c>
      <c r="E1310" s="11"/>
      <c r="F1310" s="11" t="s">
        <v>18</v>
      </c>
      <c r="G1310" s="13"/>
      <c r="H1310" s="45" t="s">
        <v>16</v>
      </c>
      <c r="I1310" s="47"/>
      <c r="J1310" s="12" t="s">
        <v>2683</v>
      </c>
      <c r="K1310" s="13" t="s">
        <v>8080</v>
      </c>
      <c r="L1310" s="99" t="str">
        <f t="shared" si="117"/>
        <v>W124C.D</v>
      </c>
      <c r="M1310" s="13" t="s">
        <v>3667</v>
      </c>
      <c r="N1310" s="13"/>
      <c r="O1310" s="13"/>
      <c r="P1310" s="47"/>
      <c r="Q1310" s="45"/>
      <c r="R1310" s="45"/>
      <c r="S1310" s="48"/>
      <c r="T1310" s="49" t="str">
        <f t="shared" si="119"/>
        <v>[W124C.D]</v>
      </c>
      <c r="U1310" s="12" t="str">
        <f t="shared" si="116"/>
        <v xml:space="preserve"> 로우 커버 공급 로봇R 커버 픽업 회전/복귀 센서 이상 (X50B, X504)</v>
      </c>
      <c r="V1310" s="49" t="str">
        <f t="shared" si="118"/>
        <v>[W124C.D] 로우 커버 공급 로봇R 커버 픽업 회전/복귀 센서 이상 (X50B, X504)</v>
      </c>
    </row>
    <row r="1311" spans="1:22" s="49" customFormat="1" ht="14.15" customHeight="1">
      <c r="A1311" s="43" t="s">
        <v>3680</v>
      </c>
      <c r="B1311" s="44" t="s">
        <v>6637</v>
      </c>
      <c r="C1311" s="50"/>
      <c r="D1311" s="10" t="s">
        <v>29</v>
      </c>
      <c r="E1311" s="11"/>
      <c r="F1311" s="11" t="s">
        <v>18</v>
      </c>
      <c r="G1311" s="13"/>
      <c r="H1311" s="45" t="s">
        <v>16</v>
      </c>
      <c r="I1311" s="47"/>
      <c r="J1311" s="12" t="s">
        <v>2684</v>
      </c>
      <c r="K1311" s="13" t="s">
        <v>8081</v>
      </c>
      <c r="L1311" s="99" t="str">
        <f t="shared" si="117"/>
        <v>W124C.E</v>
      </c>
      <c r="M1311" s="13" t="s">
        <v>3667</v>
      </c>
      <c r="N1311" s="13"/>
      <c r="O1311" s="13"/>
      <c r="P1311" s="47"/>
      <c r="Q1311" s="45"/>
      <c r="R1311" s="45"/>
      <c r="S1311" s="48"/>
      <c r="T1311" s="49" t="str">
        <f t="shared" si="119"/>
        <v>[W124C.E]</v>
      </c>
      <c r="U1311" s="12" t="str">
        <f t="shared" si="116"/>
        <v xml:space="preserve"> 로우 커버 공급 로봇R 제품 수취 시간초과</v>
      </c>
      <c r="V1311" s="49" t="str">
        <f t="shared" si="118"/>
        <v>[W124C.E] 로우 커버 공급 로봇R 제품 수취 시간초과</v>
      </c>
    </row>
    <row r="1312" spans="1:22" s="49" customFormat="1" ht="14.15" customHeight="1">
      <c r="A1312" s="43" t="s">
        <v>3680</v>
      </c>
      <c r="B1312" s="44" t="s">
        <v>6637</v>
      </c>
      <c r="C1312" s="50"/>
      <c r="D1312" s="10" t="s">
        <v>29</v>
      </c>
      <c r="E1312" s="11"/>
      <c r="F1312" s="11" t="s">
        <v>18</v>
      </c>
      <c r="G1312" s="13"/>
      <c r="H1312" s="45" t="s">
        <v>16</v>
      </c>
      <c r="I1312" s="47"/>
      <c r="J1312" s="12" t="s">
        <v>2685</v>
      </c>
      <c r="K1312" s="13" t="s">
        <v>8082</v>
      </c>
      <c r="L1312" s="99" t="str">
        <f t="shared" si="117"/>
        <v>W124C.F</v>
      </c>
      <c r="M1312" s="13" t="s">
        <v>3667</v>
      </c>
      <c r="N1312" s="13"/>
      <c r="O1312" s="13"/>
      <c r="P1312" s="47"/>
      <c r="Q1312" s="45"/>
      <c r="R1312" s="45"/>
      <c r="S1312" s="48"/>
      <c r="T1312" s="49" t="str">
        <f t="shared" si="119"/>
        <v>[W124C.F]</v>
      </c>
      <c r="U1312" s="12" t="str">
        <f t="shared" si="116"/>
        <v xml:space="preserve"> 로우 커버 공급 로봇R 제품 배출 시간초과</v>
      </c>
      <c r="V1312" s="49" t="str">
        <f t="shared" si="118"/>
        <v>[W124C.F] 로우 커버 공급 로봇R 제품 배출 시간초과</v>
      </c>
    </row>
    <row r="1313" spans="1:22" s="49" customFormat="1" ht="14.15" customHeight="1">
      <c r="A1313" s="43" t="s">
        <v>3680</v>
      </c>
      <c r="B1313" s="44" t="s">
        <v>6637</v>
      </c>
      <c r="C1313" s="50"/>
      <c r="D1313" s="10" t="s">
        <v>29</v>
      </c>
      <c r="E1313" s="11"/>
      <c r="F1313" s="11" t="s">
        <v>18</v>
      </c>
      <c r="G1313" s="13"/>
      <c r="H1313" s="45" t="s">
        <v>16</v>
      </c>
      <c r="I1313" s="47"/>
      <c r="J1313" s="12" t="s">
        <v>2686</v>
      </c>
      <c r="K1313" s="13" t="s">
        <v>8083</v>
      </c>
      <c r="L1313" s="99" t="str">
        <f t="shared" si="117"/>
        <v>W124D.0</v>
      </c>
      <c r="M1313" s="13" t="s">
        <v>3667</v>
      </c>
      <c r="N1313" s="13"/>
      <c r="O1313" s="56"/>
      <c r="P1313" s="47"/>
      <c r="Q1313" s="45" t="s">
        <v>142</v>
      </c>
      <c r="R1313" s="45" t="s">
        <v>144</v>
      </c>
      <c r="S1313" s="48"/>
      <c r="T1313" s="49" t="str">
        <f t="shared" si="119"/>
        <v>[W124D.0]</v>
      </c>
      <c r="U1313" s="12" t="str">
        <f t="shared" ref="U1313:U1325" si="120">RIGHT(J1313,LEN(J1313)-6)</f>
        <v>] 로우 커버 공급 로봇R 제품 수취 시퀀스 이상</v>
      </c>
      <c r="V1313" s="49" t="str">
        <f t="shared" si="118"/>
        <v>[W124D.0]] 로우 커버 공급 로봇R 제품 수취 시퀀스 이상</v>
      </c>
    </row>
    <row r="1314" spans="1:22" s="49" customFormat="1" ht="14.15" customHeight="1">
      <c r="A1314" s="43" t="s">
        <v>3680</v>
      </c>
      <c r="B1314" s="44" t="s">
        <v>6637</v>
      </c>
      <c r="C1314" s="50"/>
      <c r="D1314" s="10" t="s">
        <v>29</v>
      </c>
      <c r="E1314" s="11"/>
      <c r="F1314" s="11" t="s">
        <v>18</v>
      </c>
      <c r="G1314" s="13"/>
      <c r="H1314" s="45" t="s">
        <v>16</v>
      </c>
      <c r="I1314" s="47"/>
      <c r="J1314" s="12" t="s">
        <v>2687</v>
      </c>
      <c r="K1314" s="13" t="s">
        <v>8084</v>
      </c>
      <c r="L1314" s="99" t="str">
        <f t="shared" si="117"/>
        <v>W124D.1</v>
      </c>
      <c r="M1314" s="13" t="s">
        <v>3667</v>
      </c>
      <c r="N1314" s="13"/>
      <c r="O1314" s="56"/>
      <c r="P1314" s="47"/>
      <c r="Q1314" s="45" t="s">
        <v>142</v>
      </c>
      <c r="R1314" s="45" t="s">
        <v>144</v>
      </c>
      <c r="S1314" s="48"/>
      <c r="T1314" s="49" t="str">
        <f t="shared" si="119"/>
        <v>[W124D.1]</v>
      </c>
      <c r="U1314" s="12" t="str">
        <f t="shared" si="120"/>
        <v>] 로우 커버 공급 로봇R 제품 베츨 시퀀스 이상</v>
      </c>
      <c r="V1314" s="49" t="str">
        <f t="shared" si="118"/>
        <v>[W124D.1]] 로우 커버 공급 로봇R 제품 베츨 시퀀스 이상</v>
      </c>
    </row>
    <row r="1315" spans="1:22" s="49" customFormat="1" ht="14.15" customHeight="1">
      <c r="A1315" s="43" t="s">
        <v>3680</v>
      </c>
      <c r="B1315" s="44" t="s">
        <v>6637</v>
      </c>
      <c r="C1315" s="50"/>
      <c r="D1315" s="10" t="s">
        <v>29</v>
      </c>
      <c r="E1315" s="11"/>
      <c r="F1315" s="11" t="s">
        <v>18</v>
      </c>
      <c r="G1315" s="13"/>
      <c r="H1315" s="45" t="s">
        <v>16</v>
      </c>
      <c r="I1315" s="47"/>
      <c r="J1315" s="12" t="s">
        <v>2688</v>
      </c>
      <c r="K1315" s="13" t="s">
        <v>8085</v>
      </c>
      <c r="L1315" s="99" t="str">
        <f t="shared" si="117"/>
        <v>W124D.2</v>
      </c>
      <c r="M1315" s="13" t="s">
        <v>3667</v>
      </c>
      <c r="N1315" s="13"/>
      <c r="O1315" s="56"/>
      <c r="P1315" s="47"/>
      <c r="Q1315" s="45" t="s">
        <v>142</v>
      </c>
      <c r="R1315" s="45" t="s">
        <v>144</v>
      </c>
      <c r="S1315" s="48"/>
      <c r="T1315" s="49" t="str">
        <f t="shared" si="119"/>
        <v>[W124D.2]</v>
      </c>
      <c r="U1315" s="12" t="str">
        <f t="shared" si="120"/>
        <v>] 로우 커버 공급 로봇R 리모트 모드 상태 이상</v>
      </c>
      <c r="V1315" s="49" t="str">
        <f t="shared" si="118"/>
        <v>[W124D.2]] 로우 커버 공급 로봇R 리모트 모드 상태 이상</v>
      </c>
    </row>
    <row r="1316" spans="1:22" s="49" customFormat="1" ht="14.15" customHeight="1">
      <c r="A1316" s="43" t="s">
        <v>3680</v>
      </c>
      <c r="B1316" s="44" t="s">
        <v>6637</v>
      </c>
      <c r="C1316" s="50"/>
      <c r="D1316" s="10" t="s">
        <v>29</v>
      </c>
      <c r="E1316" s="11"/>
      <c r="F1316" s="11" t="s">
        <v>18</v>
      </c>
      <c r="G1316" s="13"/>
      <c r="H1316" s="45" t="s">
        <v>16</v>
      </c>
      <c r="I1316" s="47"/>
      <c r="J1316" s="12" t="s">
        <v>2689</v>
      </c>
      <c r="K1316" s="13" t="s">
        <v>8086</v>
      </c>
      <c r="L1316" s="99" t="str">
        <f t="shared" si="117"/>
        <v>W124D.3</v>
      </c>
      <c r="M1316" s="13" t="s">
        <v>3667</v>
      </c>
      <c r="N1316" s="13"/>
      <c r="O1316" s="56"/>
      <c r="P1316" s="47"/>
      <c r="Q1316" s="45" t="s">
        <v>142</v>
      </c>
      <c r="R1316" s="45" t="s">
        <v>144</v>
      </c>
      <c r="S1316" s="48"/>
      <c r="T1316" s="49" t="str">
        <f t="shared" si="119"/>
        <v>[W124D.3]</v>
      </c>
      <c r="U1316" s="12" t="str">
        <f t="shared" si="120"/>
        <v>] 로우 커버 공급 로봇R 서보 온 상태 이상</v>
      </c>
      <c r="V1316" s="49" t="str">
        <f t="shared" si="118"/>
        <v>[W124D.3]] 로우 커버 공급 로봇R 서보 온 상태 이상</v>
      </c>
    </row>
    <row r="1317" spans="1:22" s="49" customFormat="1" ht="14.15" customHeight="1">
      <c r="A1317" s="43" t="s">
        <v>3680</v>
      </c>
      <c r="B1317" s="44" t="s">
        <v>6637</v>
      </c>
      <c r="C1317" s="50"/>
      <c r="D1317" s="10" t="s">
        <v>29</v>
      </c>
      <c r="E1317" s="11"/>
      <c r="F1317" s="11" t="s">
        <v>18</v>
      </c>
      <c r="G1317" s="13"/>
      <c r="H1317" s="45" t="s">
        <v>16</v>
      </c>
      <c r="I1317" s="47"/>
      <c r="J1317" s="12" t="s">
        <v>2690</v>
      </c>
      <c r="K1317" s="13" t="s">
        <v>8087</v>
      </c>
      <c r="L1317" s="99" t="str">
        <f t="shared" si="117"/>
        <v>W124D.4</v>
      </c>
      <c r="M1317" s="13" t="s">
        <v>3667</v>
      </c>
      <c r="N1317" s="13"/>
      <c r="O1317" s="56"/>
      <c r="P1317" s="47"/>
      <c r="Q1317" s="45" t="s">
        <v>142</v>
      </c>
      <c r="R1317" s="45" t="s">
        <v>144</v>
      </c>
      <c r="S1317" s="48"/>
      <c r="T1317" s="49" t="str">
        <f t="shared" si="119"/>
        <v>[W124D.4]</v>
      </c>
      <c r="U1317" s="12" t="str">
        <f t="shared" si="120"/>
        <v>] 로우 커버 공급 로봇R 초기화 필요</v>
      </c>
      <c r="V1317" s="49" t="str">
        <f t="shared" si="118"/>
        <v>[W124D.4]] 로우 커버 공급 로봇R 초기화 필요</v>
      </c>
    </row>
    <row r="1318" spans="1:22" s="49" customFormat="1" ht="14.15" customHeight="1">
      <c r="A1318" s="43" t="s">
        <v>3680</v>
      </c>
      <c r="B1318" s="44" t="s">
        <v>6637</v>
      </c>
      <c r="C1318" s="50"/>
      <c r="D1318" s="10" t="s">
        <v>29</v>
      </c>
      <c r="E1318" s="11"/>
      <c r="F1318" s="11" t="s">
        <v>18</v>
      </c>
      <c r="G1318" s="13"/>
      <c r="H1318" s="45" t="s">
        <v>16</v>
      </c>
      <c r="I1318" s="47"/>
      <c r="J1318" s="12" t="s">
        <v>2691</v>
      </c>
      <c r="K1318" s="13" t="s">
        <v>8088</v>
      </c>
      <c r="L1318" s="99" t="str">
        <f t="shared" si="117"/>
        <v>W124D.5</v>
      </c>
      <c r="M1318" s="13" t="s">
        <v>3667</v>
      </c>
      <c r="N1318" s="13"/>
      <c r="O1318" s="56"/>
      <c r="P1318" s="47"/>
      <c r="Q1318" s="45" t="s">
        <v>142</v>
      </c>
      <c r="R1318" s="45" t="s">
        <v>144</v>
      </c>
      <c r="S1318" s="48"/>
      <c r="T1318" s="49" t="str">
        <f t="shared" si="119"/>
        <v>[W124D.5]</v>
      </c>
      <c r="U1318" s="12" t="str">
        <f t="shared" si="120"/>
        <v>] 로우 커버 공급 로봇R 팬던트 비상 정지 이상 (XC8D)</v>
      </c>
      <c r="V1318" s="49" t="str">
        <f t="shared" si="118"/>
        <v>[W124D.5]] 로우 커버 공급 로봇R 팬던트 비상 정지 이상 (XC8D)</v>
      </c>
    </row>
    <row r="1319" spans="1:22" s="49" customFormat="1" ht="14.15" customHeight="1">
      <c r="A1319" s="43" t="s">
        <v>3680</v>
      </c>
      <c r="B1319" s="44" t="s">
        <v>6637</v>
      </c>
      <c r="C1319" s="50"/>
      <c r="D1319" s="10" t="s">
        <v>29</v>
      </c>
      <c r="E1319" s="11"/>
      <c r="F1319" s="11" t="s">
        <v>18</v>
      </c>
      <c r="G1319" s="13"/>
      <c r="H1319" s="45" t="s">
        <v>16</v>
      </c>
      <c r="I1319" s="47"/>
      <c r="J1319" s="12" t="s">
        <v>2692</v>
      </c>
      <c r="K1319" s="13" t="s">
        <v>8089</v>
      </c>
      <c r="L1319" s="99" t="str">
        <f t="shared" si="117"/>
        <v>W124D.6</v>
      </c>
      <c r="M1319" s="13" t="s">
        <v>3667</v>
      </c>
      <c r="N1319" s="13"/>
      <c r="O1319" s="56"/>
      <c r="P1319" s="47"/>
      <c r="Q1319" s="45" t="s">
        <v>142</v>
      </c>
      <c r="R1319" s="45" t="s">
        <v>144</v>
      </c>
      <c r="S1319" s="48"/>
      <c r="T1319" s="49" t="str">
        <f t="shared" si="119"/>
        <v>[W124D.6]</v>
      </c>
      <c r="U1319" s="12" t="str">
        <f t="shared" si="120"/>
        <v>] 로우 커버 공급 로봇R 콘트롤러 비상 정지 이상 (XC8E)</v>
      </c>
      <c r="V1319" s="49" t="str">
        <f t="shared" si="118"/>
        <v>[W124D.6]] 로우 커버 공급 로봇R 콘트롤러 비상 정지 이상 (XC8E)</v>
      </c>
    </row>
    <row r="1320" spans="1:22" s="49" customFormat="1" ht="14.15" customHeight="1">
      <c r="A1320" s="43" t="s">
        <v>3670</v>
      </c>
      <c r="B1320" s="44" t="s">
        <v>6637</v>
      </c>
      <c r="C1320" s="50"/>
      <c r="D1320" s="10" t="s">
        <v>29</v>
      </c>
      <c r="E1320" s="11"/>
      <c r="F1320" s="11" t="s">
        <v>18</v>
      </c>
      <c r="G1320" s="13"/>
      <c r="H1320" s="45" t="s">
        <v>16</v>
      </c>
      <c r="I1320" s="47"/>
      <c r="J1320" s="12" t="s">
        <v>2693</v>
      </c>
      <c r="K1320" s="13" t="s">
        <v>8090</v>
      </c>
      <c r="L1320" s="99" t="str">
        <f t="shared" si="117"/>
        <v>W124D.7</v>
      </c>
      <c r="M1320" s="13" t="s">
        <v>3667</v>
      </c>
      <c r="N1320" s="13"/>
      <c r="O1320" s="56"/>
      <c r="P1320" s="47"/>
      <c r="Q1320" s="45" t="s">
        <v>142</v>
      </c>
      <c r="R1320" s="45" t="s">
        <v>144</v>
      </c>
      <c r="S1320" s="48"/>
      <c r="T1320" s="49" t="str">
        <f t="shared" si="119"/>
        <v>[W124D.7]</v>
      </c>
      <c r="U1320" s="12" t="str">
        <f t="shared" si="120"/>
        <v>] 어퍼 브라켓 클린칭 오일 탱크 A 선택 시간 초과 (Y49E, X47A)</v>
      </c>
      <c r="V1320" s="49" t="str">
        <f t="shared" si="118"/>
        <v>[W124D.7]] 어퍼 브라켓 클린칭 오일 탱크 A 선택 시간 초과 (Y49E, X47A)</v>
      </c>
    </row>
    <row r="1321" spans="1:22" s="49" customFormat="1" ht="14.15" customHeight="1">
      <c r="A1321" s="43" t="s">
        <v>3670</v>
      </c>
      <c r="B1321" s="44" t="s">
        <v>6637</v>
      </c>
      <c r="C1321" s="50"/>
      <c r="D1321" s="10" t="s">
        <v>29</v>
      </c>
      <c r="E1321" s="11"/>
      <c r="F1321" s="11" t="s">
        <v>18</v>
      </c>
      <c r="G1321" s="13"/>
      <c r="H1321" s="45" t="s">
        <v>16</v>
      </c>
      <c r="I1321" s="47"/>
      <c r="J1321" s="12" t="s">
        <v>2694</v>
      </c>
      <c r="K1321" s="13" t="s">
        <v>8091</v>
      </c>
      <c r="L1321" s="99" t="str">
        <f t="shared" si="117"/>
        <v>W124D.8</v>
      </c>
      <c r="M1321" s="13" t="s">
        <v>3667</v>
      </c>
      <c r="N1321" s="13"/>
      <c r="O1321" s="56"/>
      <c r="P1321" s="47"/>
      <c r="Q1321" s="45" t="s">
        <v>142</v>
      </c>
      <c r="R1321" s="45" t="s">
        <v>144</v>
      </c>
      <c r="S1321" s="48"/>
      <c r="T1321" s="49" t="str">
        <f t="shared" si="119"/>
        <v>[W124D.8]</v>
      </c>
      <c r="U1321" s="12" t="str">
        <f t="shared" si="120"/>
        <v>] 어퍼 브라켓 클린칭 오일 탱크 B 선택 시간 초과 (Y49F, X47B)</v>
      </c>
      <c r="V1321" s="49" t="str">
        <f t="shared" si="118"/>
        <v>[W124D.8]] 어퍼 브라켓 클린칭 오일 탱크 B 선택 시간 초과 (Y49F, X47B)</v>
      </c>
    </row>
    <row r="1322" spans="1:22" s="49" customFormat="1" ht="14.15" customHeight="1">
      <c r="A1322" s="43" t="s">
        <v>3670</v>
      </c>
      <c r="B1322" s="44" t="s">
        <v>6637</v>
      </c>
      <c r="C1322" s="50"/>
      <c r="D1322" s="10" t="s">
        <v>29</v>
      </c>
      <c r="E1322" s="11"/>
      <c r="F1322" s="11" t="s">
        <v>18</v>
      </c>
      <c r="G1322" s="13"/>
      <c r="H1322" s="45" t="s">
        <v>16</v>
      </c>
      <c r="I1322" s="47"/>
      <c r="J1322" s="12" t="s">
        <v>2695</v>
      </c>
      <c r="K1322" s="13" t="s">
        <v>8092</v>
      </c>
      <c r="L1322" s="99" t="str">
        <f t="shared" si="117"/>
        <v>W124D.9</v>
      </c>
      <c r="M1322" s="13" t="s">
        <v>3667</v>
      </c>
      <c r="N1322" s="13"/>
      <c r="O1322" s="57"/>
      <c r="P1322" s="47"/>
      <c r="Q1322" s="45" t="s">
        <v>142</v>
      </c>
      <c r="R1322" s="45" t="s">
        <v>144</v>
      </c>
      <c r="S1322" s="48"/>
      <c r="T1322" s="49" t="str">
        <f t="shared" si="119"/>
        <v>[W124D.9]</v>
      </c>
      <c r="U1322" s="12" t="str">
        <f t="shared" si="120"/>
        <v>] 어퍼 브라켓 클린칭 오일 탱크 선택 센서 이상 (X47A, X47B)</v>
      </c>
      <c r="V1322" s="49" t="str">
        <f t="shared" si="118"/>
        <v>[W124D.9]] 어퍼 브라켓 클린칭 오일 탱크 선택 센서 이상 (X47A, X47B)</v>
      </c>
    </row>
    <row r="1323" spans="1:22" s="49" customFormat="1" ht="14.15" customHeight="1">
      <c r="A1323" s="55"/>
      <c r="B1323" s="44" t="s">
        <v>6637</v>
      </c>
      <c r="C1323" s="50"/>
      <c r="D1323" s="10" t="s">
        <v>29</v>
      </c>
      <c r="E1323" s="11"/>
      <c r="F1323" s="11" t="s">
        <v>18</v>
      </c>
      <c r="G1323" s="13"/>
      <c r="H1323" s="45" t="s">
        <v>16</v>
      </c>
      <c r="I1323" s="46"/>
      <c r="J1323" s="12" t="s">
        <v>1005</v>
      </c>
      <c r="K1323" s="13" t="s">
        <v>8093</v>
      </c>
      <c r="L1323" s="99" t="str">
        <f t="shared" si="117"/>
        <v>W124D.A</v>
      </c>
      <c r="M1323" s="13"/>
      <c r="N1323" s="13"/>
      <c r="O1323" s="57"/>
      <c r="P1323" s="47"/>
      <c r="Q1323" s="45" t="s">
        <v>142</v>
      </c>
      <c r="R1323" s="45" t="s">
        <v>144</v>
      </c>
      <c r="S1323" s="48"/>
      <c r="T1323" s="49" t="str">
        <f t="shared" si="119"/>
        <v>[W124D.A]</v>
      </c>
      <c r="U1323" s="12" t="str">
        <f t="shared" si="120"/>
        <v xml:space="preserve">] </v>
      </c>
      <c r="V1323" s="49" t="str">
        <f t="shared" si="118"/>
        <v xml:space="preserve">[W124D.A]] </v>
      </c>
    </row>
    <row r="1324" spans="1:22" s="49" customFormat="1" ht="14.15" customHeight="1">
      <c r="A1324" s="55"/>
      <c r="B1324" s="44" t="s">
        <v>6637</v>
      </c>
      <c r="C1324" s="50"/>
      <c r="D1324" s="10" t="s">
        <v>29</v>
      </c>
      <c r="E1324" s="11"/>
      <c r="F1324" s="11" t="s">
        <v>18</v>
      </c>
      <c r="G1324" s="13"/>
      <c r="H1324" s="45" t="s">
        <v>16</v>
      </c>
      <c r="I1324" s="47"/>
      <c r="J1324" s="12" t="s">
        <v>1006</v>
      </c>
      <c r="K1324" s="13" t="s">
        <v>8094</v>
      </c>
      <c r="L1324" s="99" t="str">
        <f t="shared" si="117"/>
        <v>W124D.B</v>
      </c>
      <c r="M1324" s="13"/>
      <c r="N1324" s="13"/>
      <c r="O1324" s="57"/>
      <c r="P1324" s="47"/>
      <c r="Q1324" s="45" t="s">
        <v>142</v>
      </c>
      <c r="R1324" s="45" t="s">
        <v>144</v>
      </c>
      <c r="S1324" s="48"/>
      <c r="T1324" s="49" t="str">
        <f t="shared" si="119"/>
        <v>[W124D.B]</v>
      </c>
      <c r="U1324" s="12" t="str">
        <f t="shared" si="120"/>
        <v xml:space="preserve">] </v>
      </c>
      <c r="V1324" s="49" t="str">
        <f t="shared" si="118"/>
        <v xml:space="preserve">[W124D.B]] </v>
      </c>
    </row>
    <row r="1325" spans="1:22" s="49" customFormat="1" ht="14.15" customHeight="1">
      <c r="A1325" s="55"/>
      <c r="B1325" s="44" t="s">
        <v>6637</v>
      </c>
      <c r="C1325" s="50"/>
      <c r="D1325" s="10" t="s">
        <v>29</v>
      </c>
      <c r="E1325" s="11"/>
      <c r="F1325" s="11" t="s">
        <v>18</v>
      </c>
      <c r="G1325" s="13"/>
      <c r="H1325" s="45" t="s">
        <v>16</v>
      </c>
      <c r="I1325" s="46"/>
      <c r="J1325" s="12" t="s">
        <v>1007</v>
      </c>
      <c r="K1325" s="13" t="s">
        <v>8095</v>
      </c>
      <c r="L1325" s="99" t="str">
        <f t="shared" si="117"/>
        <v>W124D.C</v>
      </c>
      <c r="M1325" s="13"/>
      <c r="N1325" s="13"/>
      <c r="O1325" s="57"/>
      <c r="P1325" s="47"/>
      <c r="Q1325" s="45" t="s">
        <v>142</v>
      </c>
      <c r="R1325" s="45" t="s">
        <v>144</v>
      </c>
      <c r="S1325" s="48"/>
      <c r="T1325" s="49" t="str">
        <f t="shared" si="119"/>
        <v>[W124D.C]</v>
      </c>
      <c r="U1325" s="12" t="str">
        <f t="shared" si="120"/>
        <v xml:space="preserve">] </v>
      </c>
      <c r="V1325" s="49" t="str">
        <f t="shared" si="118"/>
        <v xml:space="preserve">[W124D.C]] </v>
      </c>
    </row>
    <row r="1326" spans="1:22" s="49" customFormat="1" ht="14.15" customHeight="1">
      <c r="A1326" s="55"/>
      <c r="B1326" s="44" t="s">
        <v>6637</v>
      </c>
      <c r="C1326" s="50"/>
      <c r="D1326" s="10" t="s">
        <v>29</v>
      </c>
      <c r="E1326" s="11"/>
      <c r="F1326" s="11" t="s">
        <v>18</v>
      </c>
      <c r="G1326" s="13"/>
      <c r="H1326" s="45" t="s">
        <v>16</v>
      </c>
      <c r="I1326" s="47"/>
      <c r="J1326" s="12" t="s">
        <v>1008</v>
      </c>
      <c r="K1326" s="13" t="s">
        <v>8096</v>
      </c>
      <c r="L1326" s="99" t="str">
        <f t="shared" si="117"/>
        <v>W124D.D</v>
      </c>
      <c r="M1326" s="13"/>
      <c r="N1326" s="13"/>
      <c r="O1326" s="13"/>
      <c r="P1326" s="47"/>
      <c r="Q1326" s="45"/>
      <c r="R1326" s="45" t="s">
        <v>144</v>
      </c>
      <c r="S1326" s="48"/>
      <c r="U1326" s="12"/>
    </row>
    <row r="1327" spans="1:22" s="49" customFormat="1" ht="14.15" customHeight="1">
      <c r="A1327" s="55"/>
      <c r="B1327" s="44" t="s">
        <v>6637</v>
      </c>
      <c r="C1327" s="50"/>
      <c r="D1327" s="10" t="s">
        <v>29</v>
      </c>
      <c r="E1327" s="11"/>
      <c r="F1327" s="11" t="s">
        <v>18</v>
      </c>
      <c r="G1327" s="13"/>
      <c r="H1327" s="45" t="s">
        <v>16</v>
      </c>
      <c r="I1327" s="47"/>
      <c r="J1327" s="12" t="s">
        <v>1009</v>
      </c>
      <c r="K1327" s="13" t="s">
        <v>8097</v>
      </c>
      <c r="L1327" s="99" t="str">
        <f t="shared" si="117"/>
        <v>W124D.E</v>
      </c>
      <c r="M1327" s="13"/>
      <c r="N1327" s="13"/>
      <c r="O1327" s="13"/>
      <c r="P1327" s="47"/>
      <c r="Q1327" s="45"/>
      <c r="R1327" s="45" t="s">
        <v>144</v>
      </c>
      <c r="S1327" s="48"/>
      <c r="U1327" s="12"/>
    </row>
    <row r="1328" spans="1:22" s="49" customFormat="1" ht="14.15" customHeight="1">
      <c r="A1328" s="55"/>
      <c r="B1328" s="44" t="s">
        <v>6637</v>
      </c>
      <c r="C1328" s="50"/>
      <c r="D1328" s="10" t="s">
        <v>29</v>
      </c>
      <c r="E1328" s="11"/>
      <c r="F1328" s="11" t="s">
        <v>18</v>
      </c>
      <c r="G1328" s="13"/>
      <c r="H1328" s="45" t="s">
        <v>16</v>
      </c>
      <c r="I1328" s="47"/>
      <c r="J1328" s="12" t="s">
        <v>1010</v>
      </c>
      <c r="K1328" s="13" t="s">
        <v>8098</v>
      </c>
      <c r="L1328" s="99" t="str">
        <f t="shared" si="117"/>
        <v>W124D.F</v>
      </c>
      <c r="M1328" s="13"/>
      <c r="N1328" s="13"/>
      <c r="O1328" s="13"/>
      <c r="P1328" s="47"/>
      <c r="Q1328" s="45"/>
      <c r="R1328" s="45" t="s">
        <v>144</v>
      </c>
      <c r="S1328" s="48"/>
      <c r="U1328" s="12"/>
    </row>
    <row r="1329" spans="1:22" s="49" customFormat="1" ht="14.15" customHeight="1">
      <c r="A1329" s="55"/>
      <c r="B1329" s="44" t="s">
        <v>6637</v>
      </c>
      <c r="C1329" s="50"/>
      <c r="D1329" s="10" t="s">
        <v>29</v>
      </c>
      <c r="E1329" s="11"/>
      <c r="F1329" s="11" t="s">
        <v>18</v>
      </c>
      <c r="G1329" s="13"/>
      <c r="H1329" s="45" t="s">
        <v>16</v>
      </c>
      <c r="I1329" s="47"/>
      <c r="J1329" s="12" t="s">
        <v>1011</v>
      </c>
      <c r="K1329" s="13" t="s">
        <v>8099</v>
      </c>
      <c r="L1329" s="99" t="str">
        <f t="shared" si="117"/>
        <v>W124E.0</v>
      </c>
      <c r="M1329" s="13"/>
      <c r="N1329" s="13"/>
      <c r="O1329" s="13"/>
      <c r="P1329" s="47"/>
      <c r="Q1329" s="45"/>
      <c r="R1329" s="45" t="s">
        <v>144</v>
      </c>
      <c r="S1329" s="48"/>
      <c r="U1329" s="12"/>
    </row>
    <row r="1330" spans="1:22" s="49" customFormat="1" ht="14.15" customHeight="1">
      <c r="A1330" s="55"/>
      <c r="B1330" s="44" t="s">
        <v>6637</v>
      </c>
      <c r="C1330" s="50"/>
      <c r="D1330" s="10" t="s">
        <v>29</v>
      </c>
      <c r="E1330" s="11"/>
      <c r="F1330" s="11" t="s">
        <v>18</v>
      </c>
      <c r="G1330" s="13"/>
      <c r="H1330" s="45" t="s">
        <v>16</v>
      </c>
      <c r="I1330" s="47"/>
      <c r="J1330" s="12" t="s">
        <v>1012</v>
      </c>
      <c r="K1330" s="13" t="s">
        <v>8100</v>
      </c>
      <c r="L1330" s="99" t="str">
        <f t="shared" si="117"/>
        <v>W124E.1</v>
      </c>
      <c r="M1330" s="13"/>
      <c r="N1330" s="13"/>
      <c r="O1330" s="13"/>
      <c r="P1330" s="47"/>
      <c r="Q1330" s="45"/>
      <c r="R1330" s="45" t="s">
        <v>144</v>
      </c>
      <c r="S1330" s="48"/>
      <c r="U1330" s="12"/>
    </row>
    <row r="1331" spans="1:22" s="49" customFormat="1" ht="14.15" customHeight="1">
      <c r="A1331" s="55"/>
      <c r="B1331" s="44" t="s">
        <v>6637</v>
      </c>
      <c r="C1331" s="50"/>
      <c r="D1331" s="10" t="s">
        <v>29</v>
      </c>
      <c r="E1331" s="11"/>
      <c r="F1331" s="11" t="s">
        <v>18</v>
      </c>
      <c r="G1331" s="13"/>
      <c r="H1331" s="45" t="s">
        <v>16</v>
      </c>
      <c r="I1331" s="47"/>
      <c r="J1331" s="12" t="s">
        <v>1013</v>
      </c>
      <c r="K1331" s="13" t="s">
        <v>8101</v>
      </c>
      <c r="L1331" s="99" t="str">
        <f t="shared" si="117"/>
        <v>W124E.2</v>
      </c>
      <c r="M1331" s="13"/>
      <c r="N1331" s="13"/>
      <c r="O1331" s="13"/>
      <c r="P1331" s="47"/>
      <c r="Q1331" s="45"/>
      <c r="R1331" s="45" t="s">
        <v>144</v>
      </c>
      <c r="S1331" s="48"/>
      <c r="U1331" s="12"/>
    </row>
    <row r="1332" spans="1:22" s="49" customFormat="1" ht="14.15" customHeight="1">
      <c r="A1332" s="55"/>
      <c r="B1332" s="44" t="s">
        <v>6637</v>
      </c>
      <c r="C1332" s="50"/>
      <c r="D1332" s="10" t="s">
        <v>29</v>
      </c>
      <c r="E1332" s="11"/>
      <c r="F1332" s="11" t="s">
        <v>18</v>
      </c>
      <c r="G1332" s="13"/>
      <c r="H1332" s="45" t="s">
        <v>16</v>
      </c>
      <c r="I1332" s="47"/>
      <c r="J1332" s="12" t="s">
        <v>1014</v>
      </c>
      <c r="K1332" s="13" t="s">
        <v>8102</v>
      </c>
      <c r="L1332" s="99" t="str">
        <f t="shared" si="117"/>
        <v>W124E.3</v>
      </c>
      <c r="M1332" s="13"/>
      <c r="N1332" s="13"/>
      <c r="O1332" s="13"/>
      <c r="P1332" s="47"/>
      <c r="Q1332" s="45"/>
      <c r="R1332" s="45" t="s">
        <v>144</v>
      </c>
      <c r="S1332" s="48"/>
      <c r="U1332" s="12"/>
    </row>
    <row r="1333" spans="1:22" s="49" customFormat="1" ht="14.15" customHeight="1">
      <c r="A1333" s="43" t="s">
        <v>3670</v>
      </c>
      <c r="B1333" s="44" t="s">
        <v>6637</v>
      </c>
      <c r="C1333" s="50"/>
      <c r="D1333" s="10" t="s">
        <v>29</v>
      </c>
      <c r="E1333" s="11"/>
      <c r="F1333" s="11" t="s">
        <v>18</v>
      </c>
      <c r="G1333" s="13"/>
      <c r="H1333" s="45" t="s">
        <v>16</v>
      </c>
      <c r="I1333" s="47"/>
      <c r="J1333" s="12" t="s">
        <v>2696</v>
      </c>
      <c r="K1333" s="13" t="s">
        <v>8103</v>
      </c>
      <c r="L1333" s="99" t="str">
        <f t="shared" si="117"/>
        <v>W124E.4</v>
      </c>
      <c r="M1333" s="13" t="s">
        <v>3667</v>
      </c>
      <c r="N1333" s="13"/>
      <c r="O1333" s="13"/>
      <c r="P1333" s="47"/>
      <c r="Q1333" s="45"/>
      <c r="R1333" s="45" t="s">
        <v>144</v>
      </c>
      <c r="S1333" s="48"/>
      <c r="U1333" s="12"/>
    </row>
    <row r="1334" spans="1:22" s="49" customFormat="1" ht="14.15" customHeight="1">
      <c r="A1334" s="55"/>
      <c r="B1334" s="44" t="s">
        <v>6637</v>
      </c>
      <c r="C1334" s="50"/>
      <c r="D1334" s="10" t="s">
        <v>29</v>
      </c>
      <c r="E1334" s="11"/>
      <c r="F1334" s="11" t="s">
        <v>18</v>
      </c>
      <c r="G1334" s="13"/>
      <c r="H1334" s="45" t="s">
        <v>16</v>
      </c>
      <c r="I1334" s="47"/>
      <c r="J1334" s="12" t="s">
        <v>1016</v>
      </c>
      <c r="K1334" s="13" t="s">
        <v>8104</v>
      </c>
      <c r="L1334" s="99" t="str">
        <f t="shared" si="117"/>
        <v>W124E.5</v>
      </c>
      <c r="M1334" s="13"/>
      <c r="N1334" s="13"/>
      <c r="O1334" s="13"/>
      <c r="P1334" s="47"/>
      <c r="Q1334" s="45"/>
      <c r="R1334" s="45" t="s">
        <v>144</v>
      </c>
      <c r="S1334" s="48"/>
      <c r="U1334" s="12"/>
    </row>
    <row r="1335" spans="1:22" s="49" customFormat="1" ht="14.15" customHeight="1">
      <c r="A1335" s="55"/>
      <c r="B1335" s="44" t="s">
        <v>6637</v>
      </c>
      <c r="C1335" s="50"/>
      <c r="D1335" s="10" t="s">
        <v>29</v>
      </c>
      <c r="E1335" s="11"/>
      <c r="F1335" s="11" t="s">
        <v>18</v>
      </c>
      <c r="G1335" s="13"/>
      <c r="H1335" s="45" t="s">
        <v>16</v>
      </c>
      <c r="I1335" s="47"/>
      <c r="J1335" s="12" t="s">
        <v>1017</v>
      </c>
      <c r="K1335" s="13" t="s">
        <v>8105</v>
      </c>
      <c r="L1335" s="99" t="str">
        <f t="shared" si="117"/>
        <v>W124E.6</v>
      </c>
      <c r="M1335" s="13"/>
      <c r="N1335" s="13"/>
      <c r="O1335" s="57"/>
      <c r="P1335" s="47"/>
      <c r="Q1335" s="45" t="s">
        <v>142</v>
      </c>
      <c r="R1335" s="45" t="s">
        <v>144</v>
      </c>
      <c r="S1335" s="48"/>
      <c r="T1335" s="49" t="str">
        <f>"["&amp;L1335&amp;"]"</f>
        <v>[W124E.6]</v>
      </c>
      <c r="U1335" s="12" t="str">
        <f>RIGHT(J1335,LEN(J1335)-6)</f>
        <v xml:space="preserve">] </v>
      </c>
      <c r="V1335" s="49" t="str">
        <f t="shared" si="118"/>
        <v xml:space="preserve">[W124E.6]] </v>
      </c>
    </row>
    <row r="1336" spans="1:22" s="49" customFormat="1" ht="14.15" customHeight="1">
      <c r="A1336" s="55"/>
      <c r="B1336" s="44" t="s">
        <v>6637</v>
      </c>
      <c r="C1336" s="50"/>
      <c r="D1336" s="10" t="s">
        <v>29</v>
      </c>
      <c r="E1336" s="11"/>
      <c r="F1336" s="11" t="s">
        <v>18</v>
      </c>
      <c r="G1336" s="13"/>
      <c r="H1336" s="45" t="s">
        <v>16</v>
      </c>
      <c r="I1336" s="46"/>
      <c r="J1336" s="12" t="s">
        <v>1018</v>
      </c>
      <c r="K1336" s="13" t="s">
        <v>8106</v>
      </c>
      <c r="L1336" s="99" t="str">
        <f t="shared" si="117"/>
        <v>W124E.7</v>
      </c>
      <c r="M1336" s="13"/>
      <c r="N1336" s="13"/>
      <c r="O1336" s="57"/>
      <c r="P1336" s="47"/>
      <c r="Q1336" s="45" t="s">
        <v>142</v>
      </c>
      <c r="R1336" s="45" t="s">
        <v>144</v>
      </c>
      <c r="S1336" s="48"/>
      <c r="T1336" s="49" t="str">
        <f>"["&amp;L1336&amp;"]"</f>
        <v>[W124E.7]</v>
      </c>
      <c r="U1336" s="12" t="str">
        <f>RIGHT(J1336,LEN(J1336)-6)</f>
        <v xml:space="preserve">] </v>
      </c>
      <c r="V1336" s="49" t="str">
        <f t="shared" si="118"/>
        <v xml:space="preserve">[W124E.7]] </v>
      </c>
    </row>
    <row r="1337" spans="1:22" s="49" customFormat="1" ht="14.15" customHeight="1">
      <c r="A1337" s="55"/>
      <c r="B1337" s="44" t="s">
        <v>6637</v>
      </c>
      <c r="C1337" s="50"/>
      <c r="D1337" s="10" t="s">
        <v>29</v>
      </c>
      <c r="E1337" s="11"/>
      <c r="F1337" s="11" t="s">
        <v>18</v>
      </c>
      <c r="G1337" s="13"/>
      <c r="H1337" s="45" t="s">
        <v>16</v>
      </c>
      <c r="I1337" s="47"/>
      <c r="J1337" s="12" t="s">
        <v>1019</v>
      </c>
      <c r="K1337" s="13" t="s">
        <v>8107</v>
      </c>
      <c r="L1337" s="99" t="str">
        <f t="shared" si="117"/>
        <v>W124E.8</v>
      </c>
      <c r="M1337" s="13"/>
      <c r="N1337" s="13"/>
      <c r="O1337" s="57"/>
      <c r="P1337" s="47"/>
      <c r="Q1337" s="45" t="s">
        <v>142</v>
      </c>
      <c r="R1337" s="45" t="s">
        <v>144</v>
      </c>
      <c r="S1337" s="48"/>
      <c r="T1337" s="49" t="str">
        <f>"["&amp;L1337&amp;"]"</f>
        <v>[W124E.8]</v>
      </c>
      <c r="U1337" s="12" t="str">
        <f>RIGHT(J1337,LEN(J1337)-6)</f>
        <v xml:space="preserve">] </v>
      </c>
      <c r="V1337" s="49" t="str">
        <f t="shared" si="118"/>
        <v xml:space="preserve">[W124E.8]] </v>
      </c>
    </row>
    <row r="1338" spans="1:22" s="49" customFormat="1" ht="14.15" customHeight="1">
      <c r="A1338" s="55"/>
      <c r="B1338" s="44" t="s">
        <v>6637</v>
      </c>
      <c r="C1338" s="50"/>
      <c r="D1338" s="10" t="s">
        <v>29</v>
      </c>
      <c r="E1338" s="11"/>
      <c r="F1338" s="11" t="s">
        <v>18</v>
      </c>
      <c r="G1338" s="13"/>
      <c r="H1338" s="45" t="s">
        <v>16</v>
      </c>
      <c r="I1338" s="46"/>
      <c r="J1338" s="12" t="s">
        <v>1020</v>
      </c>
      <c r="K1338" s="13" t="s">
        <v>8108</v>
      </c>
      <c r="L1338" s="99" t="str">
        <f t="shared" si="117"/>
        <v>W124E.9</v>
      </c>
      <c r="M1338" s="13"/>
      <c r="N1338" s="13"/>
      <c r="O1338" s="57"/>
      <c r="P1338" s="47"/>
      <c r="Q1338" s="45" t="s">
        <v>142</v>
      </c>
      <c r="R1338" s="45" t="s">
        <v>144</v>
      </c>
      <c r="S1338" s="48"/>
      <c r="T1338" s="49" t="str">
        <f>"["&amp;L1338&amp;"]"</f>
        <v>[W124E.9]</v>
      </c>
      <c r="U1338" s="12" t="str">
        <f>RIGHT(J1338,LEN(J1338)-6)</f>
        <v xml:space="preserve">] </v>
      </c>
      <c r="V1338" s="49" t="str">
        <f t="shared" si="118"/>
        <v xml:space="preserve">[W124E.9]] </v>
      </c>
    </row>
    <row r="1339" spans="1:22" s="49" customFormat="1" ht="14.15" customHeight="1">
      <c r="A1339" s="43" t="s">
        <v>3670</v>
      </c>
      <c r="B1339" s="44" t="s">
        <v>6637</v>
      </c>
      <c r="C1339" s="50"/>
      <c r="D1339" s="10" t="s">
        <v>29</v>
      </c>
      <c r="E1339" s="11"/>
      <c r="F1339" s="11" t="s">
        <v>18</v>
      </c>
      <c r="G1339" s="13"/>
      <c r="H1339" s="45" t="s">
        <v>16</v>
      </c>
      <c r="I1339" s="47"/>
      <c r="J1339" s="12" t="s">
        <v>2697</v>
      </c>
      <c r="K1339" s="13" t="s">
        <v>8109</v>
      </c>
      <c r="L1339" s="99" t="str">
        <f t="shared" si="117"/>
        <v>W124E.A</v>
      </c>
      <c r="M1339" s="13" t="s">
        <v>3667</v>
      </c>
      <c r="N1339" s="13"/>
      <c r="O1339" s="13"/>
      <c r="P1339" s="47"/>
      <c r="Q1339" s="45"/>
      <c r="R1339" s="45" t="s">
        <v>144</v>
      </c>
      <c r="S1339" s="48"/>
      <c r="U1339" s="12"/>
    </row>
    <row r="1340" spans="1:22" s="49" customFormat="1" ht="14.15" customHeight="1">
      <c r="A1340" s="43" t="s">
        <v>3670</v>
      </c>
      <c r="B1340" s="44" t="s">
        <v>6637</v>
      </c>
      <c r="C1340" s="50"/>
      <c r="D1340" s="10" t="s">
        <v>29</v>
      </c>
      <c r="E1340" s="11"/>
      <c r="F1340" s="11" t="s">
        <v>18</v>
      </c>
      <c r="G1340" s="13"/>
      <c r="H1340" s="45" t="s">
        <v>16</v>
      </c>
      <c r="I1340" s="47"/>
      <c r="J1340" s="12" t="s">
        <v>2698</v>
      </c>
      <c r="K1340" s="13" t="s">
        <v>8110</v>
      </c>
      <c r="L1340" s="99" t="str">
        <f t="shared" si="117"/>
        <v>W124E.B</v>
      </c>
      <c r="M1340" s="13" t="s">
        <v>3667</v>
      </c>
      <c r="N1340" s="13"/>
      <c r="O1340" s="13"/>
      <c r="P1340" s="47"/>
      <c r="Q1340" s="45"/>
      <c r="R1340" s="45" t="s">
        <v>144</v>
      </c>
      <c r="S1340" s="48"/>
      <c r="U1340" s="12"/>
    </row>
    <row r="1341" spans="1:22" s="49" customFormat="1" ht="14.15" customHeight="1">
      <c r="A1341" s="43" t="s">
        <v>3670</v>
      </c>
      <c r="B1341" s="44" t="s">
        <v>6637</v>
      </c>
      <c r="C1341" s="50"/>
      <c r="D1341" s="10" t="s">
        <v>29</v>
      </c>
      <c r="E1341" s="11"/>
      <c r="F1341" s="11" t="s">
        <v>18</v>
      </c>
      <c r="G1341" s="13"/>
      <c r="H1341" s="45" t="s">
        <v>16</v>
      </c>
      <c r="I1341" s="47"/>
      <c r="J1341" s="12" t="s">
        <v>2699</v>
      </c>
      <c r="K1341" s="13" t="s">
        <v>8111</v>
      </c>
      <c r="L1341" s="99" t="str">
        <f t="shared" si="117"/>
        <v>W124E.C</v>
      </c>
      <c r="M1341" s="13" t="s">
        <v>3667</v>
      </c>
      <c r="N1341" s="13"/>
      <c r="O1341" s="13"/>
      <c r="P1341" s="47"/>
      <c r="Q1341" s="45"/>
      <c r="R1341" s="45" t="s">
        <v>144</v>
      </c>
      <c r="S1341" s="48"/>
      <c r="U1341" s="12"/>
    </row>
    <row r="1342" spans="1:22" s="49" customFormat="1" ht="14.15" customHeight="1">
      <c r="A1342" s="43" t="s">
        <v>3670</v>
      </c>
      <c r="B1342" s="44" t="s">
        <v>6637</v>
      </c>
      <c r="C1342" s="50"/>
      <c r="D1342" s="10" t="s">
        <v>29</v>
      </c>
      <c r="E1342" s="11"/>
      <c r="F1342" s="11" t="s">
        <v>18</v>
      </c>
      <c r="G1342" s="13"/>
      <c r="H1342" s="45" t="s">
        <v>16</v>
      </c>
      <c r="I1342" s="47"/>
      <c r="J1342" s="12" t="s">
        <v>2700</v>
      </c>
      <c r="K1342" s="13" t="s">
        <v>8112</v>
      </c>
      <c r="L1342" s="99" t="str">
        <f t="shared" si="117"/>
        <v>W124E.D</v>
      </c>
      <c r="M1342" s="13" t="s">
        <v>3667</v>
      </c>
      <c r="N1342" s="13"/>
      <c r="O1342" s="13"/>
      <c r="P1342" s="47"/>
      <c r="Q1342" s="45"/>
      <c r="R1342" s="45" t="s">
        <v>144</v>
      </c>
      <c r="S1342" s="48"/>
      <c r="U1342" s="12"/>
    </row>
    <row r="1343" spans="1:22" s="49" customFormat="1" ht="14.15" customHeight="1">
      <c r="A1343" s="43" t="s">
        <v>3670</v>
      </c>
      <c r="B1343" s="44" t="s">
        <v>6637</v>
      </c>
      <c r="C1343" s="50"/>
      <c r="D1343" s="10" t="s">
        <v>29</v>
      </c>
      <c r="E1343" s="11"/>
      <c r="F1343" s="11" t="s">
        <v>18</v>
      </c>
      <c r="G1343" s="13"/>
      <c r="H1343" s="45" t="s">
        <v>16</v>
      </c>
      <c r="I1343" s="47"/>
      <c r="J1343" s="12" t="s">
        <v>2701</v>
      </c>
      <c r="K1343" s="13" t="s">
        <v>8113</v>
      </c>
      <c r="L1343" s="99" t="str">
        <f t="shared" si="117"/>
        <v>W124E.E</v>
      </c>
      <c r="M1343" s="13" t="s">
        <v>3667</v>
      </c>
      <c r="N1343" s="13"/>
      <c r="O1343" s="13"/>
      <c r="P1343" s="47"/>
      <c r="Q1343" s="45"/>
      <c r="R1343" s="45" t="s">
        <v>144</v>
      </c>
      <c r="S1343" s="48"/>
      <c r="U1343" s="12"/>
    </row>
    <row r="1344" spans="1:22" s="49" customFormat="1" ht="14.15" customHeight="1">
      <c r="A1344" s="43" t="s">
        <v>3670</v>
      </c>
      <c r="B1344" s="44" t="s">
        <v>6637</v>
      </c>
      <c r="C1344" s="50"/>
      <c r="D1344" s="10" t="s">
        <v>29</v>
      </c>
      <c r="E1344" s="11"/>
      <c r="F1344" s="11" t="s">
        <v>18</v>
      </c>
      <c r="G1344" s="13"/>
      <c r="H1344" s="45" t="s">
        <v>16</v>
      </c>
      <c r="I1344" s="47"/>
      <c r="J1344" s="12" t="s">
        <v>2702</v>
      </c>
      <c r="K1344" s="13" t="s">
        <v>8114</v>
      </c>
      <c r="L1344" s="99" t="str">
        <f t="shared" si="117"/>
        <v>W124E.F</v>
      </c>
      <c r="M1344" s="13" t="s">
        <v>3667</v>
      </c>
      <c r="N1344" s="13"/>
      <c r="O1344" s="13"/>
      <c r="P1344" s="47"/>
      <c r="Q1344" s="45"/>
      <c r="R1344" s="45" t="s">
        <v>144</v>
      </c>
      <c r="S1344" s="48"/>
      <c r="U1344" s="12"/>
    </row>
    <row r="1345" spans="1:22" s="49" customFormat="1" ht="14.15" customHeight="1">
      <c r="A1345" s="43" t="s">
        <v>3670</v>
      </c>
      <c r="B1345" s="44" t="s">
        <v>6637</v>
      </c>
      <c r="C1345" s="50"/>
      <c r="D1345" s="10" t="s">
        <v>29</v>
      </c>
      <c r="E1345" s="11"/>
      <c r="F1345" s="11" t="s">
        <v>18</v>
      </c>
      <c r="G1345" s="13"/>
      <c r="H1345" s="45" t="s">
        <v>16</v>
      </c>
      <c r="I1345" s="47"/>
      <c r="J1345" s="12" t="s">
        <v>2703</v>
      </c>
      <c r="K1345" s="13" t="s">
        <v>8115</v>
      </c>
      <c r="L1345" s="99" t="str">
        <f t="shared" si="117"/>
        <v>W124F.0</v>
      </c>
      <c r="M1345" s="13" t="s">
        <v>3667</v>
      </c>
      <c r="N1345" s="13"/>
      <c r="O1345" s="13"/>
      <c r="P1345" s="47"/>
      <c r="Q1345" s="45"/>
      <c r="R1345" s="45" t="s">
        <v>144</v>
      </c>
      <c r="S1345" s="48"/>
      <c r="U1345" s="12"/>
    </row>
    <row r="1346" spans="1:22" s="49" customFormat="1" ht="14.15" customHeight="1">
      <c r="A1346" s="43" t="s">
        <v>3670</v>
      </c>
      <c r="B1346" s="44" t="s">
        <v>6637</v>
      </c>
      <c r="C1346" s="50"/>
      <c r="D1346" s="10" t="s">
        <v>29</v>
      </c>
      <c r="E1346" s="11"/>
      <c r="F1346" s="11" t="s">
        <v>18</v>
      </c>
      <c r="G1346" s="13"/>
      <c r="H1346" s="45" t="s">
        <v>16</v>
      </c>
      <c r="I1346" s="47"/>
      <c r="J1346" s="12" t="s">
        <v>2704</v>
      </c>
      <c r="K1346" s="13" t="s">
        <v>8116</v>
      </c>
      <c r="L1346" s="99" t="str">
        <f t="shared" si="117"/>
        <v>W124F.1</v>
      </c>
      <c r="M1346" s="13" t="s">
        <v>2146</v>
      </c>
      <c r="N1346" s="13"/>
      <c r="O1346" s="13"/>
      <c r="P1346" s="47"/>
      <c r="Q1346" s="45"/>
      <c r="R1346" s="45" t="s">
        <v>144</v>
      </c>
      <c r="S1346" s="48"/>
      <c r="U1346" s="12"/>
    </row>
    <row r="1347" spans="1:22" s="49" customFormat="1" ht="14.15" customHeight="1">
      <c r="A1347" s="43" t="s">
        <v>3670</v>
      </c>
      <c r="B1347" s="44" t="s">
        <v>6637</v>
      </c>
      <c r="C1347" s="50"/>
      <c r="D1347" s="10" t="s">
        <v>29</v>
      </c>
      <c r="E1347" s="11"/>
      <c r="F1347" s="11" t="s">
        <v>18</v>
      </c>
      <c r="G1347" s="13"/>
      <c r="H1347" s="45" t="s">
        <v>16</v>
      </c>
      <c r="I1347" s="47"/>
      <c r="J1347" s="12" t="s">
        <v>2705</v>
      </c>
      <c r="K1347" s="13" t="s">
        <v>8117</v>
      </c>
      <c r="L1347" s="99" t="str">
        <f t="shared" si="117"/>
        <v>W124F.2</v>
      </c>
      <c r="M1347" s="13" t="s">
        <v>3667</v>
      </c>
      <c r="N1347" s="13"/>
      <c r="O1347" s="13"/>
      <c r="P1347" s="47"/>
      <c r="Q1347" s="45"/>
      <c r="R1347" s="45" t="s">
        <v>144</v>
      </c>
      <c r="S1347" s="48"/>
      <c r="U1347" s="12"/>
    </row>
    <row r="1348" spans="1:22" s="49" customFormat="1" ht="14.15" customHeight="1">
      <c r="A1348" s="55"/>
      <c r="B1348" s="44" t="s">
        <v>6637</v>
      </c>
      <c r="C1348" s="50"/>
      <c r="D1348" s="10" t="s">
        <v>29</v>
      </c>
      <c r="E1348" s="11"/>
      <c r="F1348" s="11" t="s">
        <v>18</v>
      </c>
      <c r="G1348" s="13"/>
      <c r="H1348" s="45" t="s">
        <v>16</v>
      </c>
      <c r="I1348" s="47"/>
      <c r="J1348" s="12" t="s">
        <v>2706</v>
      </c>
      <c r="K1348" s="13" t="s">
        <v>8118</v>
      </c>
      <c r="L1348" s="99" t="str">
        <f t="shared" si="117"/>
        <v>W124F.3</v>
      </c>
      <c r="M1348" s="13"/>
      <c r="N1348" s="13"/>
      <c r="O1348" s="57"/>
      <c r="P1348" s="47"/>
      <c r="Q1348" s="45" t="s">
        <v>142</v>
      </c>
      <c r="R1348" s="45" t="s">
        <v>144</v>
      </c>
      <c r="S1348" s="48"/>
      <c r="T1348" s="49" t="str">
        <f t="shared" ref="T1348:T1368" si="121">"["&amp;L1348&amp;"]"</f>
        <v>[W124F.3]</v>
      </c>
      <c r="U1348" s="12" t="str">
        <f t="shared" ref="U1348:U1368" si="122">RIGHT(J1348,LEN(J1348)-6)</f>
        <v xml:space="preserve">] </v>
      </c>
      <c r="V1348" s="49" t="str">
        <f t="shared" si="118"/>
        <v xml:space="preserve">[W124F.3]] </v>
      </c>
    </row>
    <row r="1349" spans="1:22" s="49" customFormat="1" ht="14.15" customHeight="1">
      <c r="A1349" s="55"/>
      <c r="B1349" s="44" t="s">
        <v>6637</v>
      </c>
      <c r="C1349" s="50"/>
      <c r="D1349" s="10" t="s">
        <v>29</v>
      </c>
      <c r="E1349" s="11"/>
      <c r="F1349" s="11" t="s">
        <v>18</v>
      </c>
      <c r="G1349" s="13"/>
      <c r="H1349" s="45" t="s">
        <v>16</v>
      </c>
      <c r="I1349" s="46"/>
      <c r="J1349" s="12" t="s">
        <v>2707</v>
      </c>
      <c r="K1349" s="13" t="s">
        <v>8119</v>
      </c>
      <c r="L1349" s="99" t="str">
        <f t="shared" si="117"/>
        <v>W124F.4</v>
      </c>
      <c r="M1349" s="13"/>
      <c r="N1349" s="13"/>
      <c r="O1349" s="57"/>
      <c r="P1349" s="47"/>
      <c r="Q1349" s="45" t="s">
        <v>142</v>
      </c>
      <c r="R1349" s="45" t="s">
        <v>144</v>
      </c>
      <c r="S1349" s="48"/>
      <c r="T1349" s="49" t="str">
        <f t="shared" si="121"/>
        <v>[W124F.4]</v>
      </c>
      <c r="U1349" s="12" t="str">
        <f t="shared" si="122"/>
        <v xml:space="preserve">] </v>
      </c>
      <c r="V1349" s="49" t="str">
        <f t="shared" si="118"/>
        <v xml:space="preserve">[W124F.4]] </v>
      </c>
    </row>
    <row r="1350" spans="1:22" s="49" customFormat="1" ht="14.15" customHeight="1">
      <c r="A1350" s="43" t="s">
        <v>3670</v>
      </c>
      <c r="B1350" s="44" t="s">
        <v>6637</v>
      </c>
      <c r="C1350" s="50"/>
      <c r="D1350" s="10" t="s">
        <v>29</v>
      </c>
      <c r="E1350" s="11"/>
      <c r="F1350" s="11" t="s">
        <v>18</v>
      </c>
      <c r="G1350" s="13"/>
      <c r="H1350" s="45" t="s">
        <v>16</v>
      </c>
      <c r="I1350" s="47"/>
      <c r="J1350" s="12" t="s">
        <v>2708</v>
      </c>
      <c r="K1350" s="13" t="s">
        <v>8120</v>
      </c>
      <c r="L1350" s="99" t="str">
        <f t="shared" si="117"/>
        <v>W124F.5</v>
      </c>
      <c r="M1350" s="13" t="s">
        <v>3667</v>
      </c>
      <c r="N1350" s="13"/>
      <c r="O1350" s="57"/>
      <c r="P1350" s="47"/>
      <c r="Q1350" s="45" t="s">
        <v>142</v>
      </c>
      <c r="R1350" s="45" t="s">
        <v>144</v>
      </c>
      <c r="S1350" s="48"/>
      <c r="T1350" s="49" t="str">
        <f t="shared" si="121"/>
        <v>[W124F.5]</v>
      </c>
      <c r="U1350" s="12" t="str">
        <f t="shared" si="122"/>
        <v>] 어퍼 브라켓 공급 로봇 제품 수취 시간초과</v>
      </c>
      <c r="V1350" s="49" t="str">
        <f t="shared" si="118"/>
        <v>[W124F.5]] 어퍼 브라켓 공급 로봇 제품 수취 시간초과</v>
      </c>
    </row>
    <row r="1351" spans="1:22" s="49" customFormat="1" ht="14.15" customHeight="1">
      <c r="A1351" s="43" t="s">
        <v>3670</v>
      </c>
      <c r="B1351" s="44" t="s">
        <v>6637</v>
      </c>
      <c r="C1351" s="50"/>
      <c r="D1351" s="10" t="s">
        <v>29</v>
      </c>
      <c r="E1351" s="11"/>
      <c r="F1351" s="11" t="s">
        <v>18</v>
      </c>
      <c r="G1351" s="13"/>
      <c r="H1351" s="45" t="s">
        <v>16</v>
      </c>
      <c r="I1351" s="46"/>
      <c r="J1351" s="12" t="s">
        <v>2709</v>
      </c>
      <c r="K1351" s="13" t="s">
        <v>8121</v>
      </c>
      <c r="L1351" s="99" t="str">
        <f t="shared" si="117"/>
        <v>W124F.6</v>
      </c>
      <c r="M1351" s="13" t="s">
        <v>3667</v>
      </c>
      <c r="N1351" s="13"/>
      <c r="O1351" s="57"/>
      <c r="P1351" s="47"/>
      <c r="Q1351" s="45" t="s">
        <v>142</v>
      </c>
      <c r="R1351" s="45" t="s">
        <v>144</v>
      </c>
      <c r="S1351" s="48"/>
      <c r="T1351" s="49" t="str">
        <f t="shared" si="121"/>
        <v>[W124F.6]</v>
      </c>
      <c r="U1351" s="12" t="str">
        <f t="shared" si="122"/>
        <v>] 어퍼 브라켓 공급 로봇 제품 배출 시간초과</v>
      </c>
      <c r="V1351" s="49" t="str">
        <f t="shared" si="118"/>
        <v>[W124F.6]] 어퍼 브라켓 공급 로봇 제품 배출 시간초과</v>
      </c>
    </row>
    <row r="1352" spans="1:22" s="49" customFormat="1" ht="14.15" customHeight="1">
      <c r="A1352" s="43" t="s">
        <v>3670</v>
      </c>
      <c r="B1352" s="44" t="s">
        <v>6637</v>
      </c>
      <c r="C1352" s="50"/>
      <c r="D1352" s="10" t="s">
        <v>29</v>
      </c>
      <c r="E1352" s="11"/>
      <c r="F1352" s="11" t="s">
        <v>18</v>
      </c>
      <c r="G1352" s="13"/>
      <c r="H1352" s="45" t="s">
        <v>16</v>
      </c>
      <c r="I1352" s="47"/>
      <c r="J1352" s="12" t="s">
        <v>2710</v>
      </c>
      <c r="K1352" s="13" t="s">
        <v>8122</v>
      </c>
      <c r="L1352" s="99" t="str">
        <f t="shared" si="117"/>
        <v>W124F.7</v>
      </c>
      <c r="M1352" s="13" t="s">
        <v>3667</v>
      </c>
      <c r="N1352" s="13"/>
      <c r="O1352" s="56"/>
      <c r="P1352" s="47"/>
      <c r="Q1352" s="45" t="s">
        <v>142</v>
      </c>
      <c r="R1352" s="45" t="s">
        <v>143</v>
      </c>
      <c r="S1352" s="48"/>
      <c r="T1352" s="49" t="str">
        <f t="shared" si="121"/>
        <v>[W124F.7]</v>
      </c>
      <c r="U1352" s="12" t="str">
        <f t="shared" si="122"/>
        <v>] 어퍼 브라켓 공급 로봇 제품 수취 시퀀스 이상</v>
      </c>
      <c r="V1352" s="49" t="str">
        <f t="shared" si="118"/>
        <v>[W124F.7]] 어퍼 브라켓 공급 로봇 제품 수취 시퀀스 이상</v>
      </c>
    </row>
    <row r="1353" spans="1:22" s="49" customFormat="1" ht="14.15" customHeight="1">
      <c r="A1353" s="43" t="s">
        <v>3670</v>
      </c>
      <c r="B1353" s="44" t="s">
        <v>6637</v>
      </c>
      <c r="C1353" s="50"/>
      <c r="D1353" s="10" t="s">
        <v>29</v>
      </c>
      <c r="E1353" s="11"/>
      <c r="F1353" s="11" t="s">
        <v>18</v>
      </c>
      <c r="G1353" s="13"/>
      <c r="H1353" s="45" t="s">
        <v>16</v>
      </c>
      <c r="I1353" s="47"/>
      <c r="J1353" s="12" t="s">
        <v>2711</v>
      </c>
      <c r="K1353" s="13" t="s">
        <v>8123</v>
      </c>
      <c r="L1353" s="99" t="str">
        <f t="shared" si="117"/>
        <v>W124F.8</v>
      </c>
      <c r="M1353" s="13" t="s">
        <v>3667</v>
      </c>
      <c r="N1353" s="13"/>
      <c r="O1353" s="56"/>
      <c r="P1353" s="47"/>
      <c r="Q1353" s="45" t="s">
        <v>142</v>
      </c>
      <c r="R1353" s="45" t="s">
        <v>143</v>
      </c>
      <c r="S1353" s="48"/>
      <c r="T1353" s="49" t="str">
        <f t="shared" si="121"/>
        <v>[W124F.8]</v>
      </c>
      <c r="U1353" s="12" t="str">
        <f t="shared" si="122"/>
        <v>] 어퍼 브라켓 공급 로봇 제품 데이터 불일치 이상</v>
      </c>
      <c r="V1353" s="49" t="str">
        <f t="shared" si="118"/>
        <v>[W124F.8]] 어퍼 브라켓 공급 로봇 제품 데이터 불일치 이상</v>
      </c>
    </row>
    <row r="1354" spans="1:22" s="49" customFormat="1" ht="14.15" customHeight="1">
      <c r="A1354" s="43" t="s">
        <v>3670</v>
      </c>
      <c r="B1354" s="44" t="s">
        <v>6637</v>
      </c>
      <c r="C1354" s="50"/>
      <c r="D1354" s="10" t="s">
        <v>29</v>
      </c>
      <c r="E1354" s="11"/>
      <c r="F1354" s="11" t="s">
        <v>18</v>
      </c>
      <c r="G1354" s="13"/>
      <c r="H1354" s="45" t="s">
        <v>16</v>
      </c>
      <c r="I1354" s="47"/>
      <c r="J1354" s="12" t="s">
        <v>2712</v>
      </c>
      <c r="K1354" s="13" t="s">
        <v>8124</v>
      </c>
      <c r="L1354" s="99" t="str">
        <f t="shared" si="117"/>
        <v>W124F.9</v>
      </c>
      <c r="M1354" s="13" t="s">
        <v>3667</v>
      </c>
      <c r="N1354" s="13"/>
      <c r="O1354" s="56"/>
      <c r="P1354" s="47"/>
      <c r="Q1354" s="45" t="s">
        <v>142</v>
      </c>
      <c r="R1354" s="45" t="s">
        <v>143</v>
      </c>
      <c r="S1354" s="48"/>
      <c r="T1354" s="49" t="str">
        <f t="shared" si="121"/>
        <v>[W124F.9]</v>
      </c>
      <c r="U1354" s="12" t="str">
        <f t="shared" si="122"/>
        <v>] 어퍼 브라켓 공급 로봇 제품 베츨 시퀀스 이상</v>
      </c>
      <c r="V1354" s="49" t="str">
        <f t="shared" si="118"/>
        <v>[W124F.9]] 어퍼 브라켓 공급 로봇 제품 베츨 시퀀스 이상</v>
      </c>
    </row>
    <row r="1355" spans="1:22" s="49" customFormat="1" ht="14.15" customHeight="1">
      <c r="A1355" s="43" t="s">
        <v>3670</v>
      </c>
      <c r="B1355" s="44" t="s">
        <v>6637</v>
      </c>
      <c r="C1355" s="50"/>
      <c r="D1355" s="10" t="s">
        <v>29</v>
      </c>
      <c r="E1355" s="11"/>
      <c r="F1355" s="11" t="s">
        <v>18</v>
      </c>
      <c r="G1355" s="13"/>
      <c r="H1355" s="45" t="s">
        <v>16</v>
      </c>
      <c r="I1355" s="47"/>
      <c r="J1355" s="12" t="s">
        <v>2713</v>
      </c>
      <c r="K1355" s="13" t="s">
        <v>8125</v>
      </c>
      <c r="L1355" s="99" t="str">
        <f t="shared" si="117"/>
        <v>W124F.A</v>
      </c>
      <c r="M1355" s="13" t="s">
        <v>3667</v>
      </c>
      <c r="N1355" s="13"/>
      <c r="O1355" s="56"/>
      <c r="P1355" s="47"/>
      <c r="Q1355" s="45" t="s">
        <v>142</v>
      </c>
      <c r="R1355" s="45" t="s">
        <v>143</v>
      </c>
      <c r="S1355" s="48"/>
      <c r="T1355" s="49" t="str">
        <f t="shared" si="121"/>
        <v>[W124F.A]</v>
      </c>
      <c r="U1355" s="12" t="str">
        <f t="shared" si="122"/>
        <v>] 어퍼 브라켓 공급 로봇 리모트 모드 상태 이상</v>
      </c>
      <c r="V1355" s="49" t="str">
        <f t="shared" si="118"/>
        <v>[W124F.A]] 어퍼 브라켓 공급 로봇 리모트 모드 상태 이상</v>
      </c>
    </row>
    <row r="1356" spans="1:22" s="49" customFormat="1" ht="14.15" customHeight="1">
      <c r="A1356" s="43" t="s">
        <v>3670</v>
      </c>
      <c r="B1356" s="44" t="s">
        <v>6637</v>
      </c>
      <c r="C1356" s="50"/>
      <c r="D1356" s="10" t="s">
        <v>29</v>
      </c>
      <c r="E1356" s="11"/>
      <c r="F1356" s="11" t="s">
        <v>18</v>
      </c>
      <c r="G1356" s="13"/>
      <c r="H1356" s="45" t="s">
        <v>16</v>
      </c>
      <c r="I1356" s="47"/>
      <c r="J1356" s="12" t="s">
        <v>2714</v>
      </c>
      <c r="K1356" s="13" t="s">
        <v>8126</v>
      </c>
      <c r="L1356" s="99" t="str">
        <f t="shared" si="117"/>
        <v>W124F.B</v>
      </c>
      <c r="M1356" s="13" t="s">
        <v>3667</v>
      </c>
      <c r="N1356" s="13"/>
      <c r="O1356" s="56"/>
      <c r="P1356" s="47"/>
      <c r="Q1356" s="45" t="s">
        <v>142</v>
      </c>
      <c r="R1356" s="45" t="s">
        <v>143</v>
      </c>
      <c r="S1356" s="48"/>
      <c r="T1356" s="49" t="str">
        <f t="shared" si="121"/>
        <v>[W124F.B]</v>
      </c>
      <c r="U1356" s="12" t="str">
        <f t="shared" si="122"/>
        <v>] 어퍼 브라켓 공급 로봇 서보 온 상태 이상</v>
      </c>
      <c r="V1356" s="49" t="str">
        <f t="shared" si="118"/>
        <v>[W124F.B]] 어퍼 브라켓 공급 로봇 서보 온 상태 이상</v>
      </c>
    </row>
    <row r="1357" spans="1:22" s="49" customFormat="1" ht="14.15" customHeight="1">
      <c r="A1357" s="43" t="s">
        <v>3670</v>
      </c>
      <c r="B1357" s="44" t="s">
        <v>6637</v>
      </c>
      <c r="C1357" s="50"/>
      <c r="D1357" s="10" t="s">
        <v>29</v>
      </c>
      <c r="E1357" s="11"/>
      <c r="F1357" s="11" t="s">
        <v>18</v>
      </c>
      <c r="G1357" s="13"/>
      <c r="H1357" s="45" t="s">
        <v>16</v>
      </c>
      <c r="I1357" s="47"/>
      <c r="J1357" s="12" t="s">
        <v>2715</v>
      </c>
      <c r="K1357" s="13" t="s">
        <v>8127</v>
      </c>
      <c r="L1357" s="99" t="str">
        <f t="shared" si="117"/>
        <v>W124F.C</v>
      </c>
      <c r="M1357" s="13" t="s">
        <v>3667</v>
      </c>
      <c r="N1357" s="13"/>
      <c r="O1357" s="56"/>
      <c r="P1357" s="47"/>
      <c r="Q1357" s="45" t="s">
        <v>142</v>
      </c>
      <c r="R1357" s="45" t="s">
        <v>143</v>
      </c>
      <c r="S1357" s="48"/>
      <c r="T1357" s="49" t="str">
        <f t="shared" si="121"/>
        <v>[W124F.C]</v>
      </c>
      <c r="U1357" s="12" t="str">
        <f t="shared" si="122"/>
        <v>] 어퍼 브라켓 공급 로봇 초기화 필요</v>
      </c>
      <c r="V1357" s="49" t="str">
        <f t="shared" si="118"/>
        <v>[W124F.C]] 어퍼 브라켓 공급 로봇 초기화 필요</v>
      </c>
    </row>
    <row r="1358" spans="1:22" s="49" customFormat="1" ht="14.15" customHeight="1">
      <c r="A1358" s="43" t="s">
        <v>3670</v>
      </c>
      <c r="B1358" s="44" t="s">
        <v>6637</v>
      </c>
      <c r="C1358" s="50"/>
      <c r="D1358" s="10" t="s">
        <v>29</v>
      </c>
      <c r="E1358" s="11"/>
      <c r="F1358" s="11" t="s">
        <v>18</v>
      </c>
      <c r="G1358" s="13"/>
      <c r="H1358" s="45" t="s">
        <v>16</v>
      </c>
      <c r="I1358" s="47"/>
      <c r="J1358" s="12" t="s">
        <v>2716</v>
      </c>
      <c r="K1358" s="13" t="s">
        <v>8128</v>
      </c>
      <c r="L1358" s="99" t="str">
        <f t="shared" si="117"/>
        <v>W124F.D</v>
      </c>
      <c r="M1358" s="13" t="s">
        <v>3667</v>
      </c>
      <c r="N1358" s="13"/>
      <c r="O1358" s="56"/>
      <c r="P1358" s="47"/>
      <c r="Q1358" s="45" t="s">
        <v>142</v>
      </c>
      <c r="R1358" s="45" t="s">
        <v>143</v>
      </c>
      <c r="S1358" s="48"/>
      <c r="T1358" s="49" t="str">
        <f t="shared" si="121"/>
        <v>[W124F.D]</v>
      </c>
      <c r="U1358" s="12" t="str">
        <f t="shared" si="122"/>
        <v>] 어퍼 브라켓 공급 로봇 팬던트 비상 정지 이상 (XD0D)</v>
      </c>
      <c r="V1358" s="49" t="str">
        <f t="shared" si="118"/>
        <v>[W124F.D]] 어퍼 브라켓 공급 로봇 팬던트 비상 정지 이상 (XD0D)</v>
      </c>
    </row>
    <row r="1359" spans="1:22" s="49" customFormat="1" ht="14.15" customHeight="1">
      <c r="A1359" s="43" t="s">
        <v>3670</v>
      </c>
      <c r="B1359" s="44" t="s">
        <v>6637</v>
      </c>
      <c r="C1359" s="50"/>
      <c r="D1359" s="10" t="s">
        <v>29</v>
      </c>
      <c r="E1359" s="11"/>
      <c r="F1359" s="11" t="s">
        <v>18</v>
      </c>
      <c r="G1359" s="13"/>
      <c r="H1359" s="45" t="s">
        <v>16</v>
      </c>
      <c r="I1359" s="47"/>
      <c r="J1359" s="12" t="s">
        <v>2717</v>
      </c>
      <c r="K1359" s="13" t="s">
        <v>8129</v>
      </c>
      <c r="L1359" s="99" t="str">
        <f t="shared" si="117"/>
        <v>W124F.E</v>
      </c>
      <c r="M1359" s="13" t="s">
        <v>3667</v>
      </c>
      <c r="N1359" s="13"/>
      <c r="O1359" s="56"/>
      <c r="P1359" s="47"/>
      <c r="Q1359" s="45" t="s">
        <v>142</v>
      </c>
      <c r="R1359" s="45" t="s">
        <v>143</v>
      </c>
      <c r="S1359" s="48"/>
      <c r="T1359" s="49" t="str">
        <f t="shared" si="121"/>
        <v>[W124F.E]</v>
      </c>
      <c r="U1359" s="12" t="str">
        <f t="shared" si="122"/>
        <v>] 어퍼 브라켓 공급 로봇 콘트롤러 비상 정지 이상 (XD0E)</v>
      </c>
      <c r="V1359" s="49" t="str">
        <f t="shared" si="118"/>
        <v>[W124F.E]] 어퍼 브라켓 공급 로봇 콘트롤러 비상 정지 이상 (XD0E)</v>
      </c>
    </row>
    <row r="1360" spans="1:22" s="49" customFormat="1" ht="14.15" customHeight="1">
      <c r="A1360" s="43" t="s">
        <v>3761</v>
      </c>
      <c r="B1360" s="44" t="s">
        <v>6637</v>
      </c>
      <c r="C1360" s="50"/>
      <c r="D1360" s="10" t="s">
        <v>29</v>
      </c>
      <c r="E1360" s="11"/>
      <c r="F1360" s="11" t="s">
        <v>18</v>
      </c>
      <c r="G1360" s="13"/>
      <c r="H1360" s="45" t="s">
        <v>16</v>
      </c>
      <c r="I1360" s="47"/>
      <c r="J1360" s="12" t="s">
        <v>2718</v>
      </c>
      <c r="K1360" s="13" t="s">
        <v>8130</v>
      </c>
      <c r="L1360" s="99" t="str">
        <f t="shared" si="117"/>
        <v>W124F.F</v>
      </c>
      <c r="M1360" s="13" t="s">
        <v>3667</v>
      </c>
      <c r="N1360" s="13"/>
      <c r="O1360" s="56"/>
      <c r="P1360" s="47"/>
      <c r="Q1360" s="45" t="s">
        <v>142</v>
      </c>
      <c r="R1360" s="45" t="s">
        <v>143</v>
      </c>
      <c r="S1360" s="48"/>
      <c r="T1360" s="49" t="str">
        <f t="shared" si="121"/>
        <v>[W124F.F]</v>
      </c>
      <c r="U1360" s="12" t="str">
        <f t="shared" si="122"/>
        <v>] 커버 이송 이재기 어퍼 진공 On 시간초과 (Y630, X611, X612)</v>
      </c>
      <c r="V1360" s="49" t="str">
        <f t="shared" si="118"/>
        <v>[W124F.F]] 커버 이송 이재기 어퍼 진공 On 시간초과 (Y630, X611, X612)</v>
      </c>
    </row>
    <row r="1361" spans="1:22" s="49" customFormat="1" ht="14.15" customHeight="1">
      <c r="A1361" s="43" t="s">
        <v>3761</v>
      </c>
      <c r="B1361" s="44" t="s">
        <v>6637</v>
      </c>
      <c r="C1361" s="50"/>
      <c r="D1361" s="10" t="s">
        <v>29</v>
      </c>
      <c r="E1361" s="11"/>
      <c r="F1361" s="11" t="s">
        <v>18</v>
      </c>
      <c r="G1361" s="13"/>
      <c r="H1361" s="45" t="s">
        <v>16</v>
      </c>
      <c r="I1361" s="47"/>
      <c r="J1361" s="12" t="s">
        <v>3703</v>
      </c>
      <c r="K1361" s="13" t="s">
        <v>8131</v>
      </c>
      <c r="L1361" s="99" t="str">
        <f t="shared" si="117"/>
        <v>W1250.0</v>
      </c>
      <c r="M1361" s="13" t="s">
        <v>3667</v>
      </c>
      <c r="N1361" s="13"/>
      <c r="O1361" s="57"/>
      <c r="P1361" s="47"/>
      <c r="Q1361" s="45" t="s">
        <v>142</v>
      </c>
      <c r="R1361" s="45" t="s">
        <v>143</v>
      </c>
      <c r="S1361" s="48"/>
      <c r="T1361" s="49" t="str">
        <f t="shared" si="121"/>
        <v>[W1250.0]</v>
      </c>
      <c r="U1361" s="12" t="str">
        <f t="shared" si="122"/>
        <v>] 커버 이송 이재기 어퍼 진공 Off 시간초과 (Y631)</v>
      </c>
      <c r="V1361" s="49" t="str">
        <f t="shared" si="118"/>
        <v>[W1250.0]] 커버 이송 이재기 어퍼 진공 Off 시간초과 (Y631)</v>
      </c>
    </row>
    <row r="1362" spans="1:22" s="49" customFormat="1" ht="14.15" customHeight="1">
      <c r="A1362" s="43" t="s">
        <v>3761</v>
      </c>
      <c r="B1362" s="44" t="s">
        <v>6637</v>
      </c>
      <c r="C1362" s="50"/>
      <c r="D1362" s="10" t="s">
        <v>29</v>
      </c>
      <c r="E1362" s="11"/>
      <c r="F1362" s="11" t="s">
        <v>18</v>
      </c>
      <c r="G1362" s="13"/>
      <c r="H1362" s="45" t="s">
        <v>16</v>
      </c>
      <c r="I1362" s="46"/>
      <c r="J1362" s="12" t="s">
        <v>2719</v>
      </c>
      <c r="K1362" s="13" t="s">
        <v>8132</v>
      </c>
      <c r="L1362" s="99" t="str">
        <f t="shared" ref="L1362:L1425" si="123">"W"&amp;DEC2HEX(4608 + INT((ROW()-81)/16)) &amp; "." &amp; IF(MOD(ROW()-81,16)&lt;10,MOD(ROW()-81,16),CHAR(MOD(ROW()-81,16)+55))</f>
        <v>W1250.1</v>
      </c>
      <c r="M1362" s="13" t="s">
        <v>3667</v>
      </c>
      <c r="N1362" s="13"/>
      <c r="O1362" s="57"/>
      <c r="P1362" s="47"/>
      <c r="Q1362" s="45" t="s">
        <v>142</v>
      </c>
      <c r="R1362" s="45" t="s">
        <v>143</v>
      </c>
      <c r="S1362" s="48"/>
      <c r="T1362" s="49" t="str">
        <f t="shared" si="121"/>
        <v>[W1250.1]</v>
      </c>
      <c r="U1362" s="12" t="str">
        <f t="shared" si="122"/>
        <v>] 커버 이송 이재기 로우 진공 On 시간초과 (Y633, X615, X616)</v>
      </c>
      <c r="V1362" s="49" t="str">
        <f t="shared" ref="V1362:V1377" si="124">T1362&amp;U1362</f>
        <v>[W1250.1]] 커버 이송 이재기 로우 진공 On 시간초과 (Y633, X615, X616)</v>
      </c>
    </row>
    <row r="1363" spans="1:22" s="49" customFormat="1" ht="14.15" customHeight="1">
      <c r="A1363" s="43" t="s">
        <v>3761</v>
      </c>
      <c r="B1363" s="44" t="s">
        <v>6637</v>
      </c>
      <c r="C1363" s="50"/>
      <c r="D1363" s="10" t="s">
        <v>29</v>
      </c>
      <c r="E1363" s="11"/>
      <c r="F1363" s="11" t="s">
        <v>18</v>
      </c>
      <c r="G1363" s="13"/>
      <c r="H1363" s="45" t="s">
        <v>16</v>
      </c>
      <c r="I1363" s="47"/>
      <c r="J1363" s="12" t="s">
        <v>2720</v>
      </c>
      <c r="K1363" s="13" t="s">
        <v>8133</v>
      </c>
      <c r="L1363" s="99" t="str">
        <f t="shared" si="123"/>
        <v>W1250.2</v>
      </c>
      <c r="M1363" s="13" t="s">
        <v>3667</v>
      </c>
      <c r="N1363" s="13"/>
      <c r="O1363" s="57"/>
      <c r="P1363" s="47"/>
      <c r="Q1363" s="45" t="s">
        <v>142</v>
      </c>
      <c r="R1363" s="45" t="s">
        <v>143</v>
      </c>
      <c r="S1363" s="48"/>
      <c r="T1363" s="49" t="str">
        <f t="shared" si="121"/>
        <v>[W1250.2]</v>
      </c>
      <c r="U1363" s="12" t="str">
        <f t="shared" si="122"/>
        <v>] 커버 이송 이재기 로우 진공 Off 시간초과 (Y634)</v>
      </c>
      <c r="V1363" s="49" t="str">
        <f t="shared" si="124"/>
        <v>[W1250.2]] 커버 이송 이재기 로우 진공 Off 시간초과 (Y634)</v>
      </c>
    </row>
    <row r="1364" spans="1:22" s="49" customFormat="1" ht="14.15" customHeight="1">
      <c r="A1364" s="55"/>
      <c r="B1364" s="44" t="s">
        <v>6637</v>
      </c>
      <c r="C1364" s="50"/>
      <c r="D1364" s="10" t="s">
        <v>29</v>
      </c>
      <c r="E1364" s="11"/>
      <c r="F1364" s="11" t="s">
        <v>18</v>
      </c>
      <c r="G1364" s="13"/>
      <c r="H1364" s="45" t="s">
        <v>16</v>
      </c>
      <c r="I1364" s="46"/>
      <c r="J1364" s="12" t="s">
        <v>1033</v>
      </c>
      <c r="K1364" s="13" t="s">
        <v>8134</v>
      </c>
      <c r="L1364" s="99" t="str">
        <f t="shared" si="123"/>
        <v>W1250.3</v>
      </c>
      <c r="M1364" s="13"/>
      <c r="N1364" s="13"/>
      <c r="O1364" s="57"/>
      <c r="P1364" s="47"/>
      <c r="Q1364" s="45" t="s">
        <v>142</v>
      </c>
      <c r="R1364" s="45" t="s">
        <v>143</v>
      </c>
      <c r="S1364" s="48"/>
      <c r="T1364" s="49" t="str">
        <f t="shared" si="121"/>
        <v>[W1250.3]</v>
      </c>
      <c r="U1364" s="12" t="str">
        <f t="shared" si="122"/>
        <v xml:space="preserve">] </v>
      </c>
      <c r="V1364" s="49" t="str">
        <f t="shared" si="124"/>
        <v xml:space="preserve">[W1250.3]] </v>
      </c>
    </row>
    <row r="1365" spans="1:22" s="49" customFormat="1" ht="14.15" customHeight="1">
      <c r="A1365" s="55"/>
      <c r="B1365" s="44" t="s">
        <v>6637</v>
      </c>
      <c r="C1365" s="50"/>
      <c r="D1365" s="10" t="s">
        <v>29</v>
      </c>
      <c r="E1365" s="11"/>
      <c r="F1365" s="11" t="s">
        <v>18</v>
      </c>
      <c r="G1365" s="13"/>
      <c r="H1365" s="45" t="s">
        <v>16</v>
      </c>
      <c r="I1365" s="47"/>
      <c r="J1365" s="12" t="s">
        <v>1034</v>
      </c>
      <c r="K1365" s="13" t="s">
        <v>8135</v>
      </c>
      <c r="L1365" s="99" t="str">
        <f t="shared" si="123"/>
        <v>W1250.4</v>
      </c>
      <c r="M1365" s="13"/>
      <c r="N1365" s="13"/>
      <c r="O1365" s="56"/>
      <c r="P1365" s="47"/>
      <c r="Q1365" s="45" t="s">
        <v>142</v>
      </c>
      <c r="R1365" s="45" t="s">
        <v>146</v>
      </c>
      <c r="S1365" s="48"/>
      <c r="T1365" s="49" t="str">
        <f t="shared" si="121"/>
        <v>[W1250.4]</v>
      </c>
      <c r="U1365" s="12" t="str">
        <f t="shared" si="122"/>
        <v xml:space="preserve">] </v>
      </c>
      <c r="V1365" s="49" t="str">
        <f t="shared" si="124"/>
        <v xml:space="preserve">[W1250.4]] </v>
      </c>
    </row>
    <row r="1366" spans="1:22" s="49" customFormat="1" ht="14.15" customHeight="1">
      <c r="A1366" s="55"/>
      <c r="B1366" s="44" t="s">
        <v>6637</v>
      </c>
      <c r="C1366" s="50"/>
      <c r="D1366" s="10" t="s">
        <v>29</v>
      </c>
      <c r="E1366" s="11"/>
      <c r="F1366" s="11" t="s">
        <v>18</v>
      </c>
      <c r="G1366" s="13"/>
      <c r="H1366" s="45" t="s">
        <v>16</v>
      </c>
      <c r="I1366" s="47"/>
      <c r="J1366" s="12" t="s">
        <v>1035</v>
      </c>
      <c r="K1366" s="13" t="s">
        <v>8136</v>
      </c>
      <c r="L1366" s="99" t="str">
        <f t="shared" si="123"/>
        <v>W1250.5</v>
      </c>
      <c r="M1366" s="13"/>
      <c r="N1366" s="13"/>
      <c r="O1366" s="56"/>
      <c r="P1366" s="47"/>
      <c r="Q1366" s="45" t="s">
        <v>142</v>
      </c>
      <c r="R1366" s="45" t="s">
        <v>146</v>
      </c>
      <c r="S1366" s="48"/>
      <c r="T1366" s="49" t="str">
        <f t="shared" si="121"/>
        <v>[W1250.5]</v>
      </c>
      <c r="U1366" s="12" t="str">
        <f t="shared" si="122"/>
        <v xml:space="preserve">] </v>
      </c>
      <c r="V1366" s="49" t="str">
        <f t="shared" si="124"/>
        <v xml:space="preserve">[W1250.5]] </v>
      </c>
    </row>
    <row r="1367" spans="1:22" s="49" customFormat="1" ht="14.15" customHeight="1">
      <c r="A1367" s="55"/>
      <c r="B1367" s="44" t="s">
        <v>6637</v>
      </c>
      <c r="C1367" s="50"/>
      <c r="D1367" s="10" t="s">
        <v>29</v>
      </c>
      <c r="E1367" s="11"/>
      <c r="F1367" s="11" t="s">
        <v>18</v>
      </c>
      <c r="G1367" s="13"/>
      <c r="H1367" s="45" t="s">
        <v>16</v>
      </c>
      <c r="I1367" s="47"/>
      <c r="J1367" s="12" t="s">
        <v>1036</v>
      </c>
      <c r="K1367" s="13" t="s">
        <v>8137</v>
      </c>
      <c r="L1367" s="99" t="str">
        <f t="shared" si="123"/>
        <v>W1250.6</v>
      </c>
      <c r="M1367" s="13"/>
      <c r="N1367" s="13"/>
      <c r="O1367" s="56"/>
      <c r="P1367" s="47"/>
      <c r="Q1367" s="45" t="s">
        <v>142</v>
      </c>
      <c r="R1367" s="45" t="s">
        <v>146</v>
      </c>
      <c r="S1367" s="48"/>
      <c r="T1367" s="49" t="str">
        <f t="shared" si="121"/>
        <v>[W1250.6]</v>
      </c>
      <c r="U1367" s="12" t="str">
        <f t="shared" si="122"/>
        <v xml:space="preserve">] </v>
      </c>
      <c r="V1367" s="49" t="str">
        <f t="shared" si="124"/>
        <v xml:space="preserve">[W1250.6]] </v>
      </c>
    </row>
    <row r="1368" spans="1:22" s="49" customFormat="1" ht="14.15" customHeight="1">
      <c r="A1368" s="55"/>
      <c r="B1368" s="44" t="s">
        <v>6637</v>
      </c>
      <c r="C1368" s="50"/>
      <c r="D1368" s="10" t="s">
        <v>29</v>
      </c>
      <c r="E1368" s="11"/>
      <c r="F1368" s="11" t="s">
        <v>18</v>
      </c>
      <c r="G1368" s="13"/>
      <c r="H1368" s="45" t="s">
        <v>16</v>
      </c>
      <c r="I1368" s="47"/>
      <c r="J1368" s="12" t="s">
        <v>1037</v>
      </c>
      <c r="K1368" s="13" t="s">
        <v>8138</v>
      </c>
      <c r="L1368" s="99" t="str">
        <f t="shared" si="123"/>
        <v>W1250.7</v>
      </c>
      <c r="M1368" s="13"/>
      <c r="N1368" s="13"/>
      <c r="O1368" s="56"/>
      <c r="P1368" s="47"/>
      <c r="Q1368" s="45" t="s">
        <v>142</v>
      </c>
      <c r="R1368" s="45" t="s">
        <v>146</v>
      </c>
      <c r="S1368" s="48"/>
      <c r="T1368" s="49" t="str">
        <f t="shared" si="121"/>
        <v>[W1250.7]</v>
      </c>
      <c r="U1368" s="12" t="str">
        <f t="shared" si="122"/>
        <v xml:space="preserve">] </v>
      </c>
      <c r="V1368" s="49" t="str">
        <f t="shared" si="124"/>
        <v xml:space="preserve">[W1250.7]] </v>
      </c>
    </row>
    <row r="1369" spans="1:22" s="49" customFormat="1" ht="14.15" customHeight="1">
      <c r="A1369" s="55"/>
      <c r="B1369" s="44" t="s">
        <v>6637</v>
      </c>
      <c r="C1369" s="50"/>
      <c r="D1369" s="10" t="s">
        <v>29</v>
      </c>
      <c r="E1369" s="11"/>
      <c r="F1369" s="11" t="s">
        <v>18</v>
      </c>
      <c r="G1369" s="13"/>
      <c r="H1369" s="45" t="s">
        <v>16</v>
      </c>
      <c r="I1369" s="47"/>
      <c r="J1369" s="12" t="s">
        <v>1038</v>
      </c>
      <c r="K1369" s="13" t="s">
        <v>8139</v>
      </c>
      <c r="L1369" s="99" t="str">
        <f t="shared" si="123"/>
        <v>W1250.8</v>
      </c>
      <c r="M1369" s="13"/>
      <c r="N1369" s="13"/>
      <c r="O1369" s="56"/>
      <c r="P1369" s="47"/>
      <c r="Q1369" s="45" t="s">
        <v>142</v>
      </c>
      <c r="R1369" s="45" t="s">
        <v>146</v>
      </c>
      <c r="S1369" s="48"/>
      <c r="T1369" s="49" t="str">
        <f>"["&amp;L1339&amp;"]"</f>
        <v>[W124E.A]</v>
      </c>
      <c r="U1369" s="12" t="str">
        <f>RIGHT(J1339,LEN(J1339)-6)</f>
        <v>] 어퍼 브라켓 클린칭 제품 데이터 불일치 이상 (X45D)</v>
      </c>
      <c r="V1369" s="49" t="str">
        <f>T1339&amp;U1339</f>
        <v/>
      </c>
    </row>
    <row r="1370" spans="1:22" s="49" customFormat="1" ht="14.15" customHeight="1">
      <c r="A1370" s="43" t="s">
        <v>3761</v>
      </c>
      <c r="B1370" s="44" t="s">
        <v>6637</v>
      </c>
      <c r="C1370" s="50"/>
      <c r="D1370" s="10" t="s">
        <v>29</v>
      </c>
      <c r="E1370" s="11"/>
      <c r="F1370" s="11" t="s">
        <v>18</v>
      </c>
      <c r="G1370" s="13"/>
      <c r="H1370" s="45" t="s">
        <v>16</v>
      </c>
      <c r="I1370" s="47"/>
      <c r="J1370" s="12" t="s">
        <v>2721</v>
      </c>
      <c r="K1370" s="13" t="s">
        <v>8140</v>
      </c>
      <c r="L1370" s="99" t="str">
        <f t="shared" si="123"/>
        <v>W1250.9</v>
      </c>
      <c r="M1370" s="13" t="s">
        <v>3667</v>
      </c>
      <c r="N1370" s="13"/>
      <c r="O1370" s="56"/>
      <c r="P1370" s="47"/>
      <c r="Q1370" s="45" t="s">
        <v>142</v>
      </c>
      <c r="R1370" s="45" t="s">
        <v>146</v>
      </c>
      <c r="S1370" s="48"/>
      <c r="T1370" s="49" t="str">
        <f t="shared" ref="T1370:T1377" si="125">"["&amp;L1370&amp;"]"</f>
        <v>[W1250.9]</v>
      </c>
      <c r="U1370" s="12" t="str">
        <f t="shared" ref="U1370:U1377" si="126">RIGHT(J1370,LEN(J1370)-6)</f>
        <v>] 커버 이송 이재기 제품 수취 시간초과</v>
      </c>
      <c r="V1370" s="49" t="str">
        <f t="shared" si="124"/>
        <v>[W1250.9]] 커버 이송 이재기 제품 수취 시간초과</v>
      </c>
    </row>
    <row r="1371" spans="1:22" s="49" customFormat="1" ht="14.15" customHeight="1">
      <c r="A1371" s="43" t="s">
        <v>3761</v>
      </c>
      <c r="B1371" s="44" t="s">
        <v>6637</v>
      </c>
      <c r="C1371" s="50"/>
      <c r="D1371" s="10" t="s">
        <v>29</v>
      </c>
      <c r="E1371" s="11"/>
      <c r="F1371" s="11" t="s">
        <v>18</v>
      </c>
      <c r="G1371" s="13"/>
      <c r="H1371" s="45" t="s">
        <v>16</v>
      </c>
      <c r="I1371" s="47"/>
      <c r="J1371" s="12" t="s">
        <v>2722</v>
      </c>
      <c r="K1371" s="13" t="s">
        <v>8141</v>
      </c>
      <c r="L1371" s="99" t="str">
        <f t="shared" si="123"/>
        <v>W1250.A</v>
      </c>
      <c r="M1371" s="13" t="s">
        <v>3667</v>
      </c>
      <c r="N1371" s="13"/>
      <c r="O1371" s="56"/>
      <c r="P1371" s="47"/>
      <c r="Q1371" s="45" t="s">
        <v>142</v>
      </c>
      <c r="R1371" s="45" t="s">
        <v>146</v>
      </c>
      <c r="S1371" s="48"/>
      <c r="T1371" s="49" t="str">
        <f t="shared" si="125"/>
        <v>[W1250.A]</v>
      </c>
      <c r="U1371" s="12" t="str">
        <f t="shared" si="126"/>
        <v>] 커버 이송 이재기 제품 배출 시간초과</v>
      </c>
      <c r="V1371" s="49" t="str">
        <f t="shared" si="124"/>
        <v>[W1250.A]] 커버 이송 이재기 제품 배출 시간초과</v>
      </c>
    </row>
    <row r="1372" spans="1:22" s="49" customFormat="1" ht="14.15" customHeight="1">
      <c r="A1372" s="43" t="s">
        <v>3761</v>
      </c>
      <c r="B1372" s="44" t="s">
        <v>6637</v>
      </c>
      <c r="C1372" s="50"/>
      <c r="D1372" s="10" t="s">
        <v>29</v>
      </c>
      <c r="E1372" s="11"/>
      <c r="F1372" s="11" t="s">
        <v>18</v>
      </c>
      <c r="G1372" s="13"/>
      <c r="H1372" s="45" t="s">
        <v>16</v>
      </c>
      <c r="I1372" s="47"/>
      <c r="J1372" s="12" t="s">
        <v>2723</v>
      </c>
      <c r="K1372" s="13" t="s">
        <v>8142</v>
      </c>
      <c r="L1372" s="99" t="str">
        <f t="shared" si="123"/>
        <v>W1250.B</v>
      </c>
      <c r="M1372" s="13" t="s">
        <v>3667</v>
      </c>
      <c r="N1372" s="13"/>
      <c r="O1372" s="56"/>
      <c r="P1372" s="47"/>
      <c r="Q1372" s="45" t="s">
        <v>142</v>
      </c>
      <c r="R1372" s="45" t="s">
        <v>146</v>
      </c>
      <c r="S1372" s="48"/>
      <c r="T1372" s="49" t="str">
        <f t="shared" si="125"/>
        <v>[W1250.B]</v>
      </c>
      <c r="U1372" s="12" t="str">
        <f t="shared" si="126"/>
        <v>] 커버 이송 이재기 제품 수취 시퀀스 이상</v>
      </c>
      <c r="V1372" s="49" t="str">
        <f t="shared" si="124"/>
        <v>[W1250.B]] 커버 이송 이재기 제품 수취 시퀀스 이상</v>
      </c>
    </row>
    <row r="1373" spans="1:22" s="49" customFormat="1" ht="14.15" customHeight="1">
      <c r="A1373" s="55"/>
      <c r="B1373" s="44" t="s">
        <v>6637</v>
      </c>
      <c r="C1373" s="50"/>
      <c r="D1373" s="10" t="s">
        <v>29</v>
      </c>
      <c r="E1373" s="11"/>
      <c r="F1373" s="11" t="s">
        <v>18</v>
      </c>
      <c r="G1373" s="13"/>
      <c r="H1373" s="45" t="s">
        <v>16</v>
      </c>
      <c r="I1373" s="47"/>
      <c r="J1373" s="12" t="s">
        <v>1042</v>
      </c>
      <c r="K1373" s="13" t="s">
        <v>8143</v>
      </c>
      <c r="L1373" s="99" t="str">
        <f t="shared" si="123"/>
        <v>W1250.C</v>
      </c>
      <c r="M1373" s="13"/>
      <c r="N1373" s="13"/>
      <c r="O1373" s="56"/>
      <c r="P1373" s="47"/>
      <c r="Q1373" s="45" t="s">
        <v>142</v>
      </c>
      <c r="R1373" s="45" t="s">
        <v>146</v>
      </c>
      <c r="S1373" s="48"/>
      <c r="T1373" s="49" t="str">
        <f t="shared" si="125"/>
        <v>[W1250.C]</v>
      </c>
      <c r="U1373" s="12" t="str">
        <f t="shared" si="126"/>
        <v xml:space="preserve">] </v>
      </c>
      <c r="V1373" s="49" t="str">
        <f t="shared" si="124"/>
        <v xml:space="preserve">[W1250.C]] </v>
      </c>
    </row>
    <row r="1374" spans="1:22" s="49" customFormat="1" ht="14.15" customHeight="1">
      <c r="A1374" s="43" t="s">
        <v>3761</v>
      </c>
      <c r="B1374" s="44" t="s">
        <v>6637</v>
      </c>
      <c r="C1374" s="50"/>
      <c r="D1374" s="10" t="s">
        <v>29</v>
      </c>
      <c r="E1374" s="11"/>
      <c r="F1374" s="11" t="s">
        <v>18</v>
      </c>
      <c r="G1374" s="13"/>
      <c r="H1374" s="45" t="s">
        <v>16</v>
      </c>
      <c r="I1374" s="47"/>
      <c r="J1374" s="12" t="s">
        <v>2724</v>
      </c>
      <c r="K1374" s="13" t="s">
        <v>8144</v>
      </c>
      <c r="L1374" s="99" t="str">
        <f t="shared" si="123"/>
        <v>W1250.D</v>
      </c>
      <c r="M1374" s="13" t="s">
        <v>3667</v>
      </c>
      <c r="N1374" s="13"/>
      <c r="O1374" s="57"/>
      <c r="P1374" s="47"/>
      <c r="Q1374" s="45" t="s">
        <v>142</v>
      </c>
      <c r="R1374" s="45" t="s">
        <v>146</v>
      </c>
      <c r="S1374" s="48"/>
      <c r="T1374" s="49" t="str">
        <f t="shared" si="125"/>
        <v>[W1250.D]</v>
      </c>
      <c r="U1374" s="12" t="str">
        <f t="shared" si="126"/>
        <v>] 커버 이송 이재기 제품 베츨 시퀀스 이상</v>
      </c>
      <c r="V1374" s="49" t="str">
        <f t="shared" si="124"/>
        <v>[W1250.D]] 커버 이송 이재기 제품 베츨 시퀀스 이상</v>
      </c>
    </row>
    <row r="1375" spans="1:22" s="49" customFormat="1" ht="14.15" customHeight="1">
      <c r="A1375" s="55"/>
      <c r="B1375" s="44" t="s">
        <v>6637</v>
      </c>
      <c r="C1375" s="50"/>
      <c r="D1375" s="10" t="s">
        <v>29</v>
      </c>
      <c r="E1375" s="11"/>
      <c r="F1375" s="11" t="s">
        <v>18</v>
      </c>
      <c r="G1375" s="13"/>
      <c r="H1375" s="45" t="s">
        <v>16</v>
      </c>
      <c r="I1375" s="46"/>
      <c r="J1375" s="12" t="s">
        <v>1044</v>
      </c>
      <c r="K1375" s="13" t="s">
        <v>8145</v>
      </c>
      <c r="L1375" s="99" t="str">
        <f t="shared" si="123"/>
        <v>W1250.E</v>
      </c>
      <c r="M1375" s="13"/>
      <c r="N1375" s="13"/>
      <c r="O1375" s="57"/>
      <c r="P1375" s="47"/>
      <c r="Q1375" s="45" t="s">
        <v>142</v>
      </c>
      <c r="R1375" s="45" t="s">
        <v>146</v>
      </c>
      <c r="S1375" s="48"/>
      <c r="T1375" s="49" t="str">
        <f t="shared" si="125"/>
        <v>[W1250.E]</v>
      </c>
      <c r="U1375" s="12" t="str">
        <f t="shared" si="126"/>
        <v xml:space="preserve">] </v>
      </c>
      <c r="V1375" s="49" t="str">
        <f t="shared" si="124"/>
        <v xml:space="preserve">[W1250.E]] </v>
      </c>
    </row>
    <row r="1376" spans="1:22" s="49" customFormat="1" ht="14.15" customHeight="1">
      <c r="A1376" s="55"/>
      <c r="B1376" s="44" t="s">
        <v>6637</v>
      </c>
      <c r="C1376" s="50"/>
      <c r="D1376" s="10" t="s">
        <v>29</v>
      </c>
      <c r="E1376" s="11"/>
      <c r="F1376" s="11" t="s">
        <v>18</v>
      </c>
      <c r="G1376" s="13"/>
      <c r="H1376" s="45" t="s">
        <v>16</v>
      </c>
      <c r="I1376" s="47"/>
      <c r="J1376" s="12" t="s">
        <v>1045</v>
      </c>
      <c r="K1376" s="13" t="s">
        <v>8146</v>
      </c>
      <c r="L1376" s="99" t="str">
        <f t="shared" si="123"/>
        <v>W1250.F</v>
      </c>
      <c r="M1376" s="13"/>
      <c r="N1376" s="13"/>
      <c r="O1376" s="57"/>
      <c r="P1376" s="47"/>
      <c r="Q1376" s="45" t="s">
        <v>142</v>
      </c>
      <c r="R1376" s="45" t="s">
        <v>146</v>
      </c>
      <c r="S1376" s="48"/>
      <c r="T1376" s="49" t="str">
        <f t="shared" si="125"/>
        <v>[W1250.F]</v>
      </c>
      <c r="U1376" s="12" t="str">
        <f t="shared" si="126"/>
        <v xml:space="preserve">] </v>
      </c>
      <c r="V1376" s="49" t="str">
        <f t="shared" si="124"/>
        <v xml:space="preserve">[W1250.F]] </v>
      </c>
    </row>
    <row r="1377" spans="1:22" s="49" customFormat="1" ht="14.15" customHeight="1">
      <c r="A1377" s="55"/>
      <c r="B1377" s="44" t="s">
        <v>6637</v>
      </c>
      <c r="C1377" s="50"/>
      <c r="D1377" s="10" t="s">
        <v>29</v>
      </c>
      <c r="E1377" s="11"/>
      <c r="F1377" s="11" t="s">
        <v>18</v>
      </c>
      <c r="G1377" s="13"/>
      <c r="H1377" s="45" t="s">
        <v>16</v>
      </c>
      <c r="I1377" s="46"/>
      <c r="J1377" s="12" t="s">
        <v>1046</v>
      </c>
      <c r="K1377" s="13" t="s">
        <v>8147</v>
      </c>
      <c r="L1377" s="99" t="str">
        <f t="shared" si="123"/>
        <v>W1251.0</v>
      </c>
      <c r="M1377" s="13"/>
      <c r="N1377" s="13"/>
      <c r="O1377" s="57"/>
      <c r="P1377" s="47"/>
      <c r="Q1377" s="45" t="s">
        <v>142</v>
      </c>
      <c r="R1377" s="45" t="s">
        <v>146</v>
      </c>
      <c r="S1377" s="48"/>
      <c r="T1377" s="49" t="str">
        <f t="shared" si="125"/>
        <v>[W1251.0]</v>
      </c>
      <c r="U1377" s="12" t="str">
        <f t="shared" si="126"/>
        <v xml:space="preserve">] </v>
      </c>
      <c r="V1377" s="49" t="str">
        <f t="shared" si="124"/>
        <v xml:space="preserve">[W1251.0]] </v>
      </c>
    </row>
    <row r="1378" spans="1:22" s="49" customFormat="1" ht="14.15" customHeight="1">
      <c r="A1378" s="55"/>
      <c r="B1378" s="44" t="s">
        <v>6637</v>
      </c>
      <c r="C1378" s="50"/>
      <c r="D1378" s="10" t="s">
        <v>29</v>
      </c>
      <c r="E1378" s="11"/>
      <c r="F1378" s="11" t="s">
        <v>18</v>
      </c>
      <c r="G1378" s="13"/>
      <c r="H1378" s="45" t="s">
        <v>16</v>
      </c>
      <c r="I1378" s="47"/>
      <c r="J1378" s="12" t="s">
        <v>1047</v>
      </c>
      <c r="K1378" s="13" t="s">
        <v>8148</v>
      </c>
      <c r="L1378" s="99" t="str">
        <f t="shared" si="123"/>
        <v>W1251.1</v>
      </c>
      <c r="M1378" s="13"/>
      <c r="N1378" s="13"/>
      <c r="O1378" s="13"/>
      <c r="P1378" s="47"/>
      <c r="Q1378" s="45"/>
      <c r="R1378" s="45" t="s">
        <v>143</v>
      </c>
      <c r="S1378" s="48"/>
      <c r="U1378" s="12"/>
    </row>
    <row r="1379" spans="1:22" s="49" customFormat="1" ht="14.15" customHeight="1">
      <c r="A1379" s="55"/>
      <c r="B1379" s="44" t="s">
        <v>6637</v>
      </c>
      <c r="C1379" s="50"/>
      <c r="D1379" s="10" t="s">
        <v>29</v>
      </c>
      <c r="E1379" s="11"/>
      <c r="F1379" s="11" t="s">
        <v>18</v>
      </c>
      <c r="G1379" s="13"/>
      <c r="H1379" s="45" t="s">
        <v>16</v>
      </c>
      <c r="I1379" s="47"/>
      <c r="J1379" s="12" t="s">
        <v>2725</v>
      </c>
      <c r="K1379" s="13" t="s">
        <v>8149</v>
      </c>
      <c r="L1379" s="99" t="str">
        <f t="shared" si="123"/>
        <v>W1251.2</v>
      </c>
      <c r="M1379" s="13" t="s">
        <v>3667</v>
      </c>
      <c r="N1379" s="13"/>
      <c r="O1379" s="13"/>
      <c r="P1379" s="47"/>
      <c r="Q1379" s="45"/>
      <c r="R1379" s="45" t="s">
        <v>143</v>
      </c>
      <c r="S1379" s="48"/>
      <c r="U1379" s="12"/>
    </row>
    <row r="1380" spans="1:22" s="49" customFormat="1" ht="14.15" customHeight="1">
      <c r="A1380" s="43" t="s">
        <v>3762</v>
      </c>
      <c r="B1380" s="44" t="s">
        <v>6637</v>
      </c>
      <c r="C1380" s="50"/>
      <c r="D1380" s="10" t="s">
        <v>29</v>
      </c>
      <c r="E1380" s="11"/>
      <c r="F1380" s="11" t="s">
        <v>18</v>
      </c>
      <c r="G1380" s="13"/>
      <c r="H1380" s="45" t="s">
        <v>16</v>
      </c>
      <c r="I1380" s="47"/>
      <c r="J1380" s="12" t="s">
        <v>3648</v>
      </c>
      <c r="K1380" s="13" t="s">
        <v>8150</v>
      </c>
      <c r="L1380" s="99" t="str">
        <f t="shared" si="123"/>
        <v>W1251.3</v>
      </c>
      <c r="M1380" s="13" t="s">
        <v>3667</v>
      </c>
      <c r="N1380" s="13"/>
      <c r="O1380" s="13"/>
      <c r="P1380" s="47"/>
      <c r="Q1380" s="45"/>
      <c r="R1380" s="45" t="s">
        <v>143</v>
      </c>
      <c r="S1380" s="48"/>
      <c r="U1380" s="12"/>
    </row>
    <row r="1381" spans="1:22" s="49" customFormat="1" ht="14.15" customHeight="1">
      <c r="A1381" s="43" t="s">
        <v>3762</v>
      </c>
      <c r="B1381" s="44" t="s">
        <v>6637</v>
      </c>
      <c r="C1381" s="50"/>
      <c r="D1381" s="10" t="s">
        <v>29</v>
      </c>
      <c r="E1381" s="11"/>
      <c r="F1381" s="11" t="s">
        <v>18</v>
      </c>
      <c r="G1381" s="13"/>
      <c r="H1381" s="45" t="s">
        <v>16</v>
      </c>
      <c r="I1381" s="47"/>
      <c r="J1381" s="12" t="s">
        <v>3649</v>
      </c>
      <c r="K1381" s="13" t="s">
        <v>8151</v>
      </c>
      <c r="L1381" s="99" t="str">
        <f t="shared" si="123"/>
        <v>W1251.4</v>
      </c>
      <c r="M1381" s="13" t="s">
        <v>3667</v>
      </c>
      <c r="N1381" s="13"/>
      <c r="O1381" s="13"/>
      <c r="P1381" s="47"/>
      <c r="Q1381" s="45"/>
      <c r="R1381" s="45" t="s">
        <v>143</v>
      </c>
      <c r="S1381" s="48"/>
      <c r="U1381" s="12"/>
    </row>
    <row r="1382" spans="1:22" s="49" customFormat="1" ht="14.15" customHeight="1">
      <c r="A1382" s="43" t="s">
        <v>3762</v>
      </c>
      <c r="B1382" s="44" t="s">
        <v>6637</v>
      </c>
      <c r="C1382" s="50"/>
      <c r="D1382" s="10" t="s">
        <v>29</v>
      </c>
      <c r="E1382" s="11"/>
      <c r="F1382" s="11" t="s">
        <v>18</v>
      </c>
      <c r="G1382" s="13"/>
      <c r="H1382" s="45" t="s">
        <v>16</v>
      </c>
      <c r="I1382" s="47"/>
      <c r="J1382" s="12" t="s">
        <v>3650</v>
      </c>
      <c r="K1382" s="13" t="s">
        <v>8152</v>
      </c>
      <c r="L1382" s="99" t="str">
        <f t="shared" si="123"/>
        <v>W1251.5</v>
      </c>
      <c r="M1382" s="13" t="s">
        <v>3667</v>
      </c>
      <c r="N1382" s="13"/>
      <c r="O1382" s="13"/>
      <c r="P1382" s="47"/>
      <c r="Q1382" s="45"/>
      <c r="R1382" s="45" t="s">
        <v>143</v>
      </c>
      <c r="S1382" s="48"/>
      <c r="U1382" s="12"/>
    </row>
    <row r="1383" spans="1:22" s="49" customFormat="1" ht="14.15" customHeight="1">
      <c r="A1383" s="43" t="s">
        <v>3762</v>
      </c>
      <c r="B1383" s="44" t="s">
        <v>6637</v>
      </c>
      <c r="C1383" s="50"/>
      <c r="D1383" s="10" t="s">
        <v>29</v>
      </c>
      <c r="E1383" s="11"/>
      <c r="F1383" s="11" t="s">
        <v>18</v>
      </c>
      <c r="G1383" s="13"/>
      <c r="H1383" s="45" t="s">
        <v>16</v>
      </c>
      <c r="I1383" s="47"/>
      <c r="J1383" s="12" t="s">
        <v>3651</v>
      </c>
      <c r="K1383" s="13" t="s">
        <v>8153</v>
      </c>
      <c r="L1383" s="99" t="str">
        <f t="shared" si="123"/>
        <v>W1251.6</v>
      </c>
      <c r="M1383" s="13" t="s">
        <v>3667</v>
      </c>
      <c r="N1383" s="13"/>
      <c r="O1383" s="13"/>
      <c r="P1383" s="47"/>
      <c r="Q1383" s="45"/>
      <c r="R1383" s="45" t="s">
        <v>143</v>
      </c>
      <c r="S1383" s="48"/>
      <c r="U1383" s="12"/>
    </row>
    <row r="1384" spans="1:22" s="49" customFormat="1" ht="14.15" customHeight="1">
      <c r="A1384" s="43" t="s">
        <v>3762</v>
      </c>
      <c r="B1384" s="44" t="s">
        <v>6637</v>
      </c>
      <c r="C1384" s="50"/>
      <c r="D1384" s="10" t="s">
        <v>29</v>
      </c>
      <c r="E1384" s="11"/>
      <c r="F1384" s="11" t="s">
        <v>18</v>
      </c>
      <c r="G1384" s="13"/>
      <c r="H1384" s="45" t="s">
        <v>16</v>
      </c>
      <c r="I1384" s="47"/>
      <c r="J1384" s="12" t="s">
        <v>3652</v>
      </c>
      <c r="K1384" s="13" t="s">
        <v>8154</v>
      </c>
      <c r="L1384" s="99" t="str">
        <f t="shared" si="123"/>
        <v>W1251.7</v>
      </c>
      <c r="M1384" s="13" t="s">
        <v>3667</v>
      </c>
      <c r="N1384" s="13"/>
      <c r="O1384" s="13"/>
      <c r="P1384" s="47"/>
      <c r="Q1384" s="45"/>
      <c r="R1384" s="45" t="s">
        <v>143</v>
      </c>
      <c r="S1384" s="48"/>
      <c r="U1384" s="12"/>
    </row>
    <row r="1385" spans="1:22" s="49" customFormat="1" ht="14.15" customHeight="1">
      <c r="A1385" s="43" t="s">
        <v>3762</v>
      </c>
      <c r="B1385" s="44" t="s">
        <v>6637</v>
      </c>
      <c r="C1385" s="50"/>
      <c r="D1385" s="10" t="s">
        <v>29</v>
      </c>
      <c r="E1385" s="11"/>
      <c r="F1385" s="11" t="s">
        <v>18</v>
      </c>
      <c r="G1385" s="13"/>
      <c r="H1385" s="45" t="s">
        <v>16</v>
      </c>
      <c r="I1385" s="47"/>
      <c r="J1385" s="12" t="s">
        <v>3653</v>
      </c>
      <c r="K1385" s="13" t="s">
        <v>8155</v>
      </c>
      <c r="L1385" s="99" t="str">
        <f t="shared" si="123"/>
        <v>W1251.8</v>
      </c>
      <c r="M1385" s="13" t="s">
        <v>3667</v>
      </c>
      <c r="N1385" s="13"/>
      <c r="O1385" s="13"/>
      <c r="P1385" s="47"/>
      <c r="Q1385" s="45"/>
      <c r="R1385" s="45" t="s">
        <v>143</v>
      </c>
      <c r="S1385" s="48"/>
      <c r="U1385" s="12"/>
    </row>
    <row r="1386" spans="1:22" s="49" customFormat="1" ht="14.15" customHeight="1">
      <c r="A1386" s="43" t="s">
        <v>3762</v>
      </c>
      <c r="B1386" s="44" t="s">
        <v>6637</v>
      </c>
      <c r="C1386" s="50"/>
      <c r="D1386" s="10" t="s">
        <v>29</v>
      </c>
      <c r="E1386" s="11"/>
      <c r="F1386" s="11" t="s">
        <v>18</v>
      </c>
      <c r="G1386" s="13"/>
      <c r="H1386" s="45" t="s">
        <v>16</v>
      </c>
      <c r="I1386" s="47"/>
      <c r="J1386" s="12" t="s">
        <v>3654</v>
      </c>
      <c r="K1386" s="13" t="s">
        <v>8156</v>
      </c>
      <c r="L1386" s="99" t="str">
        <f t="shared" si="123"/>
        <v>W1251.9</v>
      </c>
      <c r="M1386" s="13" t="s">
        <v>3667</v>
      </c>
      <c r="N1386" s="13"/>
      <c r="O1386" s="13"/>
      <c r="P1386" s="47"/>
      <c r="Q1386" s="45"/>
      <c r="R1386" s="45" t="s">
        <v>143</v>
      </c>
      <c r="S1386" s="48"/>
      <c r="U1386" s="12"/>
    </row>
    <row r="1387" spans="1:22" s="49" customFormat="1" ht="14.15" customHeight="1">
      <c r="A1387" s="43" t="s">
        <v>3762</v>
      </c>
      <c r="B1387" s="44" t="s">
        <v>6637</v>
      </c>
      <c r="C1387" s="50"/>
      <c r="D1387" s="10" t="s">
        <v>29</v>
      </c>
      <c r="E1387" s="11"/>
      <c r="F1387" s="11" t="s">
        <v>18</v>
      </c>
      <c r="G1387" s="13"/>
      <c r="H1387" s="45" t="s">
        <v>16</v>
      </c>
      <c r="I1387" s="47"/>
      <c r="J1387" s="12" t="s">
        <v>3655</v>
      </c>
      <c r="K1387" s="13" t="s">
        <v>8157</v>
      </c>
      <c r="L1387" s="99" t="str">
        <f t="shared" si="123"/>
        <v>W1251.A</v>
      </c>
      <c r="M1387" s="13" t="s">
        <v>3667</v>
      </c>
      <c r="N1387" s="13"/>
      <c r="O1387" s="57"/>
      <c r="P1387" s="47"/>
      <c r="Q1387" s="45" t="s">
        <v>142</v>
      </c>
      <c r="R1387" s="45" t="s">
        <v>143</v>
      </c>
      <c r="S1387" s="48"/>
      <c r="T1387" s="49" t="str">
        <f>"["&amp;L1387&amp;"]"</f>
        <v>[W1251.A]</v>
      </c>
      <c r="U1387" s="12" t="str">
        <f>RIGHT(J1387,LEN(J1387)-6)</f>
        <v>] Slat_C/V 어퍼#4 SCR#7 이상 Alarm</v>
      </c>
      <c r="V1387" s="49" t="str">
        <f t="shared" ref="V1387:V1442" si="127">T1387&amp;U1387</f>
        <v>[W1251.A]] Slat_C/V 어퍼#4 SCR#7 이상 Alarm</v>
      </c>
    </row>
    <row r="1388" spans="1:22" s="49" customFormat="1" ht="14.15" customHeight="1">
      <c r="A1388" s="43" t="s">
        <v>3762</v>
      </c>
      <c r="B1388" s="44" t="s">
        <v>6637</v>
      </c>
      <c r="C1388" s="50"/>
      <c r="D1388" s="10" t="s">
        <v>29</v>
      </c>
      <c r="E1388" s="11"/>
      <c r="F1388" s="11" t="s">
        <v>18</v>
      </c>
      <c r="G1388" s="13"/>
      <c r="H1388" s="45" t="s">
        <v>16</v>
      </c>
      <c r="I1388" s="46"/>
      <c r="J1388" s="12" t="s">
        <v>3656</v>
      </c>
      <c r="K1388" s="13" t="s">
        <v>8158</v>
      </c>
      <c r="L1388" s="99" t="str">
        <f t="shared" si="123"/>
        <v>W1251.B</v>
      </c>
      <c r="M1388" s="13" t="s">
        <v>3667</v>
      </c>
      <c r="N1388" s="13"/>
      <c r="O1388" s="57"/>
      <c r="P1388" s="47"/>
      <c r="Q1388" s="45" t="s">
        <v>142</v>
      </c>
      <c r="R1388" s="45" t="s">
        <v>143</v>
      </c>
      <c r="S1388" s="48"/>
      <c r="T1388" s="49" t="str">
        <f>"["&amp;L1388&amp;"]"</f>
        <v>[W1251.B]</v>
      </c>
      <c r="U1388" s="12" t="str">
        <f>RIGHT(J1388,LEN(J1388)-6)</f>
        <v>] Slat_C/V 로우#4 SCR#8 이상 Alarm</v>
      </c>
      <c r="V1388" s="49" t="str">
        <f t="shared" si="127"/>
        <v>[W1251.B]] Slat_C/V 로우#4 SCR#8 이상 Alarm</v>
      </c>
    </row>
    <row r="1389" spans="1:22" s="49" customFormat="1" ht="14.15" customHeight="1">
      <c r="A1389" s="43" t="s">
        <v>3762</v>
      </c>
      <c r="B1389" s="44" t="s">
        <v>6637</v>
      </c>
      <c r="C1389" s="50"/>
      <c r="D1389" s="10" t="s">
        <v>29</v>
      </c>
      <c r="E1389" s="11"/>
      <c r="F1389" s="11" t="s">
        <v>18</v>
      </c>
      <c r="G1389" s="13"/>
      <c r="H1389" s="45" t="s">
        <v>16</v>
      </c>
      <c r="I1389" s="47"/>
      <c r="J1389" s="12" t="s">
        <v>3657</v>
      </c>
      <c r="K1389" s="13" t="s">
        <v>8159</v>
      </c>
      <c r="L1389" s="99" t="str">
        <f t="shared" si="123"/>
        <v>W1251.C</v>
      </c>
      <c r="M1389" s="13" t="s">
        <v>3667</v>
      </c>
      <c r="N1389" s="13"/>
      <c r="O1389" s="57"/>
      <c r="P1389" s="47"/>
      <c r="Q1389" s="45" t="s">
        <v>142</v>
      </c>
      <c r="R1389" s="45" t="s">
        <v>143</v>
      </c>
      <c r="S1389" s="48"/>
      <c r="T1389" s="49" t="str">
        <f>"["&amp;L1389&amp;"]"</f>
        <v>[W1251.C]</v>
      </c>
      <c r="U1389" s="12" t="str">
        <f>RIGHT(J1389,LEN(J1389)-6)</f>
        <v>] Slat_C/V 어퍼#5 SCR#9 이상 Alarm</v>
      </c>
      <c r="V1389" s="49" t="str">
        <f t="shared" si="127"/>
        <v>[W1251.C]] Slat_C/V 어퍼#5 SCR#9 이상 Alarm</v>
      </c>
    </row>
    <row r="1390" spans="1:22" s="49" customFormat="1" ht="14.15" customHeight="1">
      <c r="A1390" s="43" t="s">
        <v>3762</v>
      </c>
      <c r="B1390" s="44" t="s">
        <v>6637</v>
      </c>
      <c r="C1390" s="50"/>
      <c r="D1390" s="10" t="s">
        <v>29</v>
      </c>
      <c r="E1390" s="11"/>
      <c r="F1390" s="11" t="s">
        <v>18</v>
      </c>
      <c r="G1390" s="13"/>
      <c r="H1390" s="45" t="s">
        <v>16</v>
      </c>
      <c r="I1390" s="46"/>
      <c r="J1390" s="12" t="s">
        <v>3658</v>
      </c>
      <c r="K1390" s="13" t="s">
        <v>8160</v>
      </c>
      <c r="L1390" s="99" t="str">
        <f t="shared" si="123"/>
        <v>W1251.D</v>
      </c>
      <c r="M1390" s="13" t="s">
        <v>3667</v>
      </c>
      <c r="N1390" s="13"/>
      <c r="O1390" s="57"/>
      <c r="P1390" s="47"/>
      <c r="Q1390" s="45" t="s">
        <v>142</v>
      </c>
      <c r="R1390" s="45" t="s">
        <v>143</v>
      </c>
      <c r="S1390" s="48"/>
      <c r="T1390" s="49" t="str">
        <f>"["&amp;L1390&amp;"]"</f>
        <v>[W1251.D]</v>
      </c>
      <c r="U1390" s="12" t="str">
        <f>RIGHT(J1390,LEN(J1390)-6)</f>
        <v>] Slat_C/V 로우#5 SCR#10 이상 Alarm</v>
      </c>
      <c r="V1390" s="49" t="str">
        <f t="shared" si="127"/>
        <v>[W1251.D]] Slat_C/V 로우#5 SCR#10 이상 Alarm</v>
      </c>
    </row>
    <row r="1391" spans="1:22" s="49" customFormat="1" ht="14.15" customHeight="1">
      <c r="A1391" s="43" t="s">
        <v>3762</v>
      </c>
      <c r="B1391" s="44" t="s">
        <v>6637</v>
      </c>
      <c r="C1391" s="50"/>
      <c r="D1391" s="10" t="s">
        <v>29</v>
      </c>
      <c r="E1391" s="11"/>
      <c r="F1391" s="11" t="s">
        <v>18</v>
      </c>
      <c r="G1391" s="13"/>
      <c r="H1391" s="45" t="s">
        <v>16</v>
      </c>
      <c r="I1391" s="47"/>
      <c r="J1391" s="12" t="s">
        <v>3659</v>
      </c>
      <c r="K1391" s="13" t="s">
        <v>8161</v>
      </c>
      <c r="L1391" s="99" t="str">
        <f t="shared" si="123"/>
        <v>W1251.E</v>
      </c>
      <c r="M1391" s="13" t="s">
        <v>3667</v>
      </c>
      <c r="N1391" s="13"/>
      <c r="O1391" s="13"/>
      <c r="P1391" s="47"/>
      <c r="Q1391" s="45"/>
      <c r="R1391" s="45" t="s">
        <v>143</v>
      </c>
      <c r="S1391" s="48"/>
      <c r="U1391" s="12"/>
    </row>
    <row r="1392" spans="1:22" s="49" customFormat="1" ht="14.15" customHeight="1">
      <c r="A1392" s="43" t="s">
        <v>3762</v>
      </c>
      <c r="B1392" s="44" t="s">
        <v>6637</v>
      </c>
      <c r="C1392" s="50"/>
      <c r="D1392" s="10" t="s">
        <v>29</v>
      </c>
      <c r="E1392" s="11"/>
      <c r="F1392" s="11" t="s">
        <v>18</v>
      </c>
      <c r="G1392" s="13"/>
      <c r="H1392" s="45" t="s">
        <v>16</v>
      </c>
      <c r="I1392" s="47"/>
      <c r="J1392" s="12" t="s">
        <v>3660</v>
      </c>
      <c r="K1392" s="13" t="s">
        <v>8162</v>
      </c>
      <c r="L1392" s="99" t="str">
        <f t="shared" si="123"/>
        <v>W1251.F</v>
      </c>
      <c r="M1392" s="13" t="s">
        <v>3667</v>
      </c>
      <c r="N1392" s="13"/>
      <c r="O1392" s="13"/>
      <c r="P1392" s="47"/>
      <c r="Q1392" s="45"/>
      <c r="R1392" s="45" t="s">
        <v>143</v>
      </c>
      <c r="S1392" s="48"/>
      <c r="U1392" s="12"/>
    </row>
    <row r="1393" spans="1:22" s="49" customFormat="1" ht="14.15" customHeight="1">
      <c r="A1393" s="58"/>
      <c r="B1393" s="44" t="s">
        <v>6637</v>
      </c>
      <c r="C1393" s="50"/>
      <c r="D1393" s="10" t="s">
        <v>29</v>
      </c>
      <c r="E1393" s="11"/>
      <c r="F1393" s="11" t="s">
        <v>18</v>
      </c>
      <c r="G1393" s="13"/>
      <c r="H1393" s="45" t="s">
        <v>16</v>
      </c>
      <c r="I1393" s="47"/>
      <c r="J1393" s="12" t="s">
        <v>1062</v>
      </c>
      <c r="K1393" s="13" t="s">
        <v>8163</v>
      </c>
      <c r="L1393" s="99" t="str">
        <f t="shared" si="123"/>
        <v>W1252.0</v>
      </c>
      <c r="M1393" s="13"/>
      <c r="N1393" s="13"/>
      <c r="O1393" s="13"/>
      <c r="P1393" s="47"/>
      <c r="Q1393" s="45"/>
      <c r="R1393" s="45" t="s">
        <v>143</v>
      </c>
      <c r="S1393" s="48"/>
      <c r="U1393" s="12"/>
    </row>
    <row r="1394" spans="1:22" s="49" customFormat="1" ht="14.15" customHeight="1">
      <c r="A1394" s="58"/>
      <c r="B1394" s="44" t="s">
        <v>6637</v>
      </c>
      <c r="C1394" s="50"/>
      <c r="D1394" s="10" t="s">
        <v>29</v>
      </c>
      <c r="E1394" s="11"/>
      <c r="F1394" s="11" t="s">
        <v>18</v>
      </c>
      <c r="G1394" s="13"/>
      <c r="H1394" s="45" t="s">
        <v>16</v>
      </c>
      <c r="I1394" s="47"/>
      <c r="J1394" s="12" t="s">
        <v>1063</v>
      </c>
      <c r="K1394" s="13" t="s">
        <v>8164</v>
      </c>
      <c r="L1394" s="99" t="str">
        <f t="shared" si="123"/>
        <v>W1252.1</v>
      </c>
      <c r="M1394" s="13"/>
      <c r="N1394" s="13"/>
      <c r="O1394" s="13"/>
      <c r="P1394" s="47"/>
      <c r="Q1394" s="45"/>
      <c r="R1394" s="45" t="s">
        <v>143</v>
      </c>
      <c r="S1394" s="48"/>
      <c r="U1394" s="12"/>
    </row>
    <row r="1395" spans="1:22" s="49" customFormat="1" ht="14.15" customHeight="1">
      <c r="A1395" s="43" t="s">
        <v>3762</v>
      </c>
      <c r="B1395" s="44" t="s">
        <v>6637</v>
      </c>
      <c r="C1395" s="50"/>
      <c r="D1395" s="10" t="s">
        <v>29</v>
      </c>
      <c r="E1395" s="11"/>
      <c r="F1395" s="11" t="s">
        <v>18</v>
      </c>
      <c r="G1395" s="13"/>
      <c r="H1395" s="45" t="s">
        <v>16</v>
      </c>
      <c r="I1395" s="47"/>
      <c r="J1395" s="12" t="s">
        <v>3661</v>
      </c>
      <c r="K1395" s="13" t="s">
        <v>8165</v>
      </c>
      <c r="L1395" s="99" t="str">
        <f t="shared" si="123"/>
        <v>W1252.2</v>
      </c>
      <c r="M1395" s="13" t="s">
        <v>3667</v>
      </c>
      <c r="N1395" s="13"/>
      <c r="O1395" s="13"/>
      <c r="P1395" s="47"/>
      <c r="Q1395" s="45"/>
      <c r="R1395" s="45" t="s">
        <v>143</v>
      </c>
      <c r="S1395" s="48"/>
      <c r="U1395" s="12"/>
    </row>
    <row r="1396" spans="1:22" s="49" customFormat="1" ht="14.15" customHeight="1">
      <c r="A1396" s="43" t="s">
        <v>3762</v>
      </c>
      <c r="B1396" s="44" t="s">
        <v>6637</v>
      </c>
      <c r="C1396" s="50"/>
      <c r="D1396" s="10" t="s">
        <v>29</v>
      </c>
      <c r="E1396" s="11"/>
      <c r="F1396" s="11" t="s">
        <v>18</v>
      </c>
      <c r="G1396" s="13"/>
      <c r="H1396" s="45" t="s">
        <v>16</v>
      </c>
      <c r="I1396" s="47"/>
      <c r="J1396" s="12" t="s">
        <v>3662</v>
      </c>
      <c r="K1396" s="13" t="s">
        <v>8166</v>
      </c>
      <c r="L1396" s="99" t="str">
        <f t="shared" si="123"/>
        <v>W1252.3</v>
      </c>
      <c r="M1396" s="13" t="s">
        <v>3667</v>
      </c>
      <c r="N1396" s="13"/>
      <c r="O1396" s="13"/>
      <c r="P1396" s="47"/>
      <c r="Q1396" s="45"/>
      <c r="R1396" s="45" t="s">
        <v>143</v>
      </c>
      <c r="S1396" s="48"/>
      <c r="U1396" s="12"/>
    </row>
    <row r="1397" spans="1:22" s="49" customFormat="1" ht="14.15" customHeight="1">
      <c r="A1397" s="43" t="s">
        <v>3762</v>
      </c>
      <c r="B1397" s="44" t="s">
        <v>6637</v>
      </c>
      <c r="C1397" s="50"/>
      <c r="D1397" s="10" t="s">
        <v>29</v>
      </c>
      <c r="E1397" s="11"/>
      <c r="F1397" s="11" t="s">
        <v>18</v>
      </c>
      <c r="G1397" s="13"/>
      <c r="H1397" s="45" t="s">
        <v>16</v>
      </c>
      <c r="I1397" s="47"/>
      <c r="J1397" s="12" t="s">
        <v>3663</v>
      </c>
      <c r="K1397" s="13" t="s">
        <v>8167</v>
      </c>
      <c r="L1397" s="99" t="str">
        <f t="shared" si="123"/>
        <v>W1252.4</v>
      </c>
      <c r="M1397" s="13" t="s">
        <v>3667</v>
      </c>
      <c r="N1397" s="13"/>
      <c r="O1397" s="13"/>
      <c r="P1397" s="47"/>
      <c r="Q1397" s="45"/>
      <c r="R1397" s="45" t="s">
        <v>143</v>
      </c>
      <c r="S1397" s="48"/>
      <c r="U1397" s="12"/>
    </row>
    <row r="1398" spans="1:22" s="49" customFormat="1" ht="14.15" customHeight="1">
      <c r="A1398" s="43" t="s">
        <v>3762</v>
      </c>
      <c r="B1398" s="44" t="s">
        <v>6637</v>
      </c>
      <c r="C1398" s="50"/>
      <c r="D1398" s="10" t="s">
        <v>29</v>
      </c>
      <c r="E1398" s="11"/>
      <c r="F1398" s="11" t="s">
        <v>18</v>
      </c>
      <c r="G1398" s="13"/>
      <c r="H1398" s="45" t="s">
        <v>16</v>
      </c>
      <c r="I1398" s="47"/>
      <c r="J1398" s="12" t="s">
        <v>3664</v>
      </c>
      <c r="K1398" s="13" t="s">
        <v>8168</v>
      </c>
      <c r="L1398" s="99" t="str">
        <f t="shared" si="123"/>
        <v>W1252.5</v>
      </c>
      <c r="M1398" s="13" t="s">
        <v>3667</v>
      </c>
      <c r="N1398" s="13"/>
      <c r="O1398" s="13"/>
      <c r="P1398" s="47"/>
      <c r="Q1398" s="45"/>
      <c r="R1398" s="45" t="s">
        <v>143</v>
      </c>
      <c r="S1398" s="48"/>
      <c r="U1398" s="12"/>
    </row>
    <row r="1399" spans="1:22" s="49" customFormat="1" ht="14.15" customHeight="1">
      <c r="A1399" s="43" t="s">
        <v>3762</v>
      </c>
      <c r="B1399" s="44" t="s">
        <v>6637</v>
      </c>
      <c r="C1399" s="50"/>
      <c r="D1399" s="10" t="s">
        <v>29</v>
      </c>
      <c r="E1399" s="11"/>
      <c r="F1399" s="11" t="s">
        <v>18</v>
      </c>
      <c r="G1399" s="13"/>
      <c r="H1399" s="45" t="s">
        <v>16</v>
      </c>
      <c r="I1399" s="47"/>
      <c r="J1399" s="12" t="s">
        <v>3665</v>
      </c>
      <c r="K1399" s="13" t="s">
        <v>8169</v>
      </c>
      <c r="L1399" s="99" t="str">
        <f t="shared" si="123"/>
        <v>W1252.6</v>
      </c>
      <c r="M1399" s="13" t="s">
        <v>3667</v>
      </c>
      <c r="N1399" s="13"/>
      <c r="O1399" s="13"/>
      <c r="P1399" s="47"/>
      <c r="Q1399" s="45"/>
      <c r="R1399" s="45" t="s">
        <v>143</v>
      </c>
      <c r="S1399" s="48"/>
      <c r="U1399" s="12"/>
    </row>
    <row r="1400" spans="1:22" s="49" customFormat="1" ht="14.15" customHeight="1">
      <c r="A1400" s="58"/>
      <c r="B1400" s="44" t="s">
        <v>6637</v>
      </c>
      <c r="C1400" s="50"/>
      <c r="D1400" s="10" t="s">
        <v>29</v>
      </c>
      <c r="E1400" s="11"/>
      <c r="F1400" s="11" t="s">
        <v>18</v>
      </c>
      <c r="G1400" s="13"/>
      <c r="H1400" s="45" t="s">
        <v>16</v>
      </c>
      <c r="I1400" s="47"/>
      <c r="J1400" s="12" t="s">
        <v>3305</v>
      </c>
      <c r="K1400" s="13" t="s">
        <v>8170</v>
      </c>
      <c r="L1400" s="99" t="str">
        <f t="shared" si="123"/>
        <v>W1252.7</v>
      </c>
      <c r="M1400" s="13"/>
      <c r="N1400" s="13"/>
      <c r="O1400" s="57"/>
      <c r="P1400" s="47"/>
      <c r="Q1400" s="45" t="s">
        <v>142</v>
      </c>
      <c r="R1400" s="45" t="s">
        <v>143</v>
      </c>
      <c r="S1400" s="48"/>
      <c r="T1400" s="49" t="str">
        <f>"["&amp;L1400&amp;"]"</f>
        <v>[W1252.7]</v>
      </c>
      <c r="U1400" s="12" t="str">
        <f>RIGHT(J1400,LEN(J1400)-6)</f>
        <v>]</v>
      </c>
      <c r="V1400" s="49" t="str">
        <f t="shared" si="127"/>
        <v>[W1252.7]]</v>
      </c>
    </row>
    <row r="1401" spans="1:22" s="49" customFormat="1" ht="14.15" customHeight="1">
      <c r="A1401" s="58"/>
      <c r="B1401" s="44" t="s">
        <v>6637</v>
      </c>
      <c r="C1401" s="50"/>
      <c r="D1401" s="10" t="s">
        <v>29</v>
      </c>
      <c r="E1401" s="11"/>
      <c r="F1401" s="11" t="s">
        <v>18</v>
      </c>
      <c r="G1401" s="13"/>
      <c r="H1401" s="45" t="s">
        <v>16</v>
      </c>
      <c r="I1401" s="46"/>
      <c r="J1401" s="12" t="s">
        <v>3306</v>
      </c>
      <c r="K1401" s="13" t="s">
        <v>8171</v>
      </c>
      <c r="L1401" s="99" t="str">
        <f t="shared" si="123"/>
        <v>W1252.8</v>
      </c>
      <c r="M1401" s="13"/>
      <c r="N1401" s="13"/>
      <c r="O1401" s="57"/>
      <c r="P1401" s="47"/>
      <c r="Q1401" s="45" t="s">
        <v>142</v>
      </c>
      <c r="R1401" s="45" t="s">
        <v>143</v>
      </c>
      <c r="S1401" s="48"/>
      <c r="T1401" s="49" t="str">
        <f>"["&amp;L1401&amp;"]"</f>
        <v>[W1252.8]</v>
      </c>
      <c r="U1401" s="12" t="str">
        <f>RIGHT(J1401,LEN(J1401)-6)</f>
        <v>]</v>
      </c>
      <c r="V1401" s="49" t="str">
        <f t="shared" si="127"/>
        <v>[W1252.8]]</v>
      </c>
    </row>
    <row r="1402" spans="1:22" s="49" customFormat="1" ht="14.15" customHeight="1">
      <c r="A1402" s="58"/>
      <c r="B1402" s="44" t="s">
        <v>6637</v>
      </c>
      <c r="C1402" s="50"/>
      <c r="D1402" s="10" t="s">
        <v>29</v>
      </c>
      <c r="E1402" s="11"/>
      <c r="F1402" s="11" t="s">
        <v>18</v>
      </c>
      <c r="G1402" s="13"/>
      <c r="H1402" s="45" t="s">
        <v>16</v>
      </c>
      <c r="I1402" s="47"/>
      <c r="J1402" s="12" t="s">
        <v>3307</v>
      </c>
      <c r="K1402" s="13" t="s">
        <v>8172</v>
      </c>
      <c r="L1402" s="99" t="str">
        <f t="shared" si="123"/>
        <v>W1252.9</v>
      </c>
      <c r="M1402" s="13"/>
      <c r="N1402" s="13"/>
      <c r="O1402" s="57"/>
      <c r="P1402" s="47"/>
      <c r="Q1402" s="45" t="s">
        <v>142</v>
      </c>
      <c r="R1402" s="45" t="s">
        <v>143</v>
      </c>
      <c r="S1402" s="48"/>
      <c r="T1402" s="49" t="str">
        <f>"["&amp;L1402&amp;"]"</f>
        <v>[W1252.9]</v>
      </c>
      <c r="U1402" s="12" t="str">
        <f>RIGHT(J1402,LEN(J1402)-6)</f>
        <v>]</v>
      </c>
      <c r="V1402" s="49" t="str">
        <f t="shared" si="127"/>
        <v>[W1252.9]]</v>
      </c>
    </row>
    <row r="1403" spans="1:22" s="49" customFormat="1" ht="14.15" customHeight="1">
      <c r="A1403" s="58"/>
      <c r="B1403" s="44" t="s">
        <v>6637</v>
      </c>
      <c r="C1403" s="50"/>
      <c r="D1403" s="10" t="s">
        <v>29</v>
      </c>
      <c r="E1403" s="11"/>
      <c r="F1403" s="11" t="s">
        <v>18</v>
      </c>
      <c r="G1403" s="13"/>
      <c r="H1403" s="45" t="s">
        <v>16</v>
      </c>
      <c r="I1403" s="46"/>
      <c r="J1403" s="12" t="s">
        <v>3308</v>
      </c>
      <c r="K1403" s="13" t="s">
        <v>8173</v>
      </c>
      <c r="L1403" s="99" t="str">
        <f t="shared" si="123"/>
        <v>W1252.A</v>
      </c>
      <c r="M1403" s="13"/>
      <c r="N1403" s="13"/>
      <c r="O1403" s="57"/>
      <c r="P1403" s="47"/>
      <c r="Q1403" s="45" t="s">
        <v>142</v>
      </c>
      <c r="R1403" s="45" t="s">
        <v>143</v>
      </c>
      <c r="S1403" s="48"/>
      <c r="T1403" s="49" t="str">
        <f>"["&amp;L1403&amp;"]"</f>
        <v>[W1252.A]</v>
      </c>
      <c r="U1403" s="12" t="str">
        <f>RIGHT(J1403,LEN(J1403)-6)</f>
        <v>]</v>
      </c>
      <c r="V1403" s="49" t="str">
        <f t="shared" si="127"/>
        <v>[W1252.A]]</v>
      </c>
    </row>
    <row r="1404" spans="1:22" s="49" customFormat="1" ht="14.15" customHeight="1">
      <c r="A1404" s="58"/>
      <c r="B1404" s="44" t="s">
        <v>6637</v>
      </c>
      <c r="C1404" s="50"/>
      <c r="D1404" s="10" t="s">
        <v>29</v>
      </c>
      <c r="E1404" s="11"/>
      <c r="F1404" s="11" t="s">
        <v>18</v>
      </c>
      <c r="G1404" s="13"/>
      <c r="H1404" s="45" t="s">
        <v>16</v>
      </c>
      <c r="I1404" s="47"/>
      <c r="J1404" s="12" t="s">
        <v>3309</v>
      </c>
      <c r="K1404" s="13" t="s">
        <v>8174</v>
      </c>
      <c r="L1404" s="99" t="str">
        <f t="shared" si="123"/>
        <v>W1252.B</v>
      </c>
      <c r="M1404" s="13"/>
      <c r="N1404" s="13"/>
      <c r="O1404" s="13"/>
      <c r="P1404" s="47"/>
      <c r="Q1404" s="45"/>
      <c r="R1404" s="45" t="s">
        <v>146</v>
      </c>
      <c r="S1404" s="48"/>
      <c r="U1404" s="12"/>
    </row>
    <row r="1405" spans="1:22" s="49" customFormat="1" ht="14.15" customHeight="1">
      <c r="A1405" s="58"/>
      <c r="B1405" s="44" t="s">
        <v>6637</v>
      </c>
      <c r="C1405" s="50"/>
      <c r="D1405" s="10" t="s">
        <v>29</v>
      </c>
      <c r="E1405" s="11"/>
      <c r="F1405" s="11" t="s">
        <v>18</v>
      </c>
      <c r="G1405" s="13"/>
      <c r="H1405" s="45" t="s">
        <v>16</v>
      </c>
      <c r="I1405" s="47"/>
      <c r="J1405" s="12" t="s">
        <v>3310</v>
      </c>
      <c r="K1405" s="13" t="s">
        <v>8175</v>
      </c>
      <c r="L1405" s="99" t="str">
        <f t="shared" si="123"/>
        <v>W1252.C</v>
      </c>
      <c r="M1405" s="13"/>
      <c r="N1405" s="13"/>
      <c r="O1405" s="13"/>
      <c r="P1405" s="47"/>
      <c r="Q1405" s="45"/>
      <c r="R1405" s="45" t="s">
        <v>146</v>
      </c>
      <c r="S1405" s="48"/>
      <c r="U1405" s="12"/>
    </row>
    <row r="1406" spans="1:22" s="49" customFormat="1" ht="14.15" customHeight="1">
      <c r="A1406" s="58"/>
      <c r="B1406" s="44" t="s">
        <v>6637</v>
      </c>
      <c r="C1406" s="50"/>
      <c r="D1406" s="10" t="s">
        <v>29</v>
      </c>
      <c r="E1406" s="11"/>
      <c r="F1406" s="11" t="s">
        <v>18</v>
      </c>
      <c r="G1406" s="13"/>
      <c r="H1406" s="45" t="s">
        <v>16</v>
      </c>
      <c r="I1406" s="47"/>
      <c r="J1406" s="12" t="s">
        <v>3311</v>
      </c>
      <c r="K1406" s="13" t="s">
        <v>8176</v>
      </c>
      <c r="L1406" s="99" t="str">
        <f t="shared" si="123"/>
        <v>W1252.D</v>
      </c>
      <c r="M1406" s="13"/>
      <c r="N1406" s="13"/>
      <c r="O1406" s="13"/>
      <c r="P1406" s="47"/>
      <c r="Q1406" s="45"/>
      <c r="R1406" s="45" t="s">
        <v>146</v>
      </c>
      <c r="S1406" s="48"/>
      <c r="U1406" s="12"/>
    </row>
    <row r="1407" spans="1:22" s="49" customFormat="1" ht="14.15" customHeight="1">
      <c r="A1407" s="58"/>
      <c r="B1407" s="44" t="s">
        <v>6637</v>
      </c>
      <c r="C1407" s="50"/>
      <c r="D1407" s="10" t="s">
        <v>29</v>
      </c>
      <c r="E1407" s="11"/>
      <c r="F1407" s="11" t="s">
        <v>18</v>
      </c>
      <c r="G1407" s="13"/>
      <c r="H1407" s="45" t="s">
        <v>16</v>
      </c>
      <c r="I1407" s="47"/>
      <c r="J1407" s="12" t="s">
        <v>3312</v>
      </c>
      <c r="K1407" s="13" t="s">
        <v>8177</v>
      </c>
      <c r="L1407" s="99" t="str">
        <f t="shared" si="123"/>
        <v>W1252.E</v>
      </c>
      <c r="M1407" s="13"/>
      <c r="N1407" s="13"/>
      <c r="O1407" s="13"/>
      <c r="P1407" s="47"/>
      <c r="Q1407" s="45"/>
      <c r="R1407" s="45" t="s">
        <v>146</v>
      </c>
      <c r="S1407" s="48"/>
      <c r="U1407" s="12"/>
    </row>
    <row r="1408" spans="1:22" s="49" customFormat="1" ht="14.15" customHeight="1">
      <c r="A1408" s="58"/>
      <c r="B1408" s="44" t="s">
        <v>6637</v>
      </c>
      <c r="C1408" s="50"/>
      <c r="D1408" s="10" t="s">
        <v>29</v>
      </c>
      <c r="E1408" s="11"/>
      <c r="F1408" s="11" t="s">
        <v>18</v>
      </c>
      <c r="G1408" s="13"/>
      <c r="H1408" s="45" t="s">
        <v>16</v>
      </c>
      <c r="I1408" s="47"/>
      <c r="J1408" s="12" t="s">
        <v>3313</v>
      </c>
      <c r="K1408" s="13" t="s">
        <v>8178</v>
      </c>
      <c r="L1408" s="99" t="str">
        <f t="shared" si="123"/>
        <v>W1252.F</v>
      </c>
      <c r="M1408" s="13"/>
      <c r="N1408" s="13"/>
      <c r="O1408" s="13"/>
      <c r="P1408" s="47"/>
      <c r="Q1408" s="45"/>
      <c r="R1408" s="45" t="s">
        <v>146</v>
      </c>
      <c r="S1408" s="48"/>
      <c r="U1408" s="12"/>
    </row>
    <row r="1409" spans="1:22" s="49" customFormat="1" ht="14.15" customHeight="1">
      <c r="A1409" s="58"/>
      <c r="B1409" s="44" t="s">
        <v>6637</v>
      </c>
      <c r="C1409" s="50"/>
      <c r="D1409" s="10" t="s">
        <v>29</v>
      </c>
      <c r="E1409" s="11"/>
      <c r="F1409" s="11" t="s">
        <v>18</v>
      </c>
      <c r="G1409" s="13"/>
      <c r="H1409" s="45" t="s">
        <v>16</v>
      </c>
      <c r="I1409" s="47"/>
      <c r="J1409" s="12" t="s">
        <v>3314</v>
      </c>
      <c r="K1409" s="13" t="s">
        <v>8179</v>
      </c>
      <c r="L1409" s="99" t="str">
        <f t="shared" si="123"/>
        <v>W1253.0</v>
      </c>
      <c r="M1409" s="13"/>
      <c r="N1409" s="13"/>
      <c r="O1409" s="13"/>
      <c r="P1409" s="47"/>
      <c r="Q1409" s="45"/>
      <c r="R1409" s="45" t="s">
        <v>146</v>
      </c>
      <c r="S1409" s="48"/>
      <c r="U1409" s="12"/>
    </row>
    <row r="1410" spans="1:22" s="49" customFormat="1" ht="14.15" customHeight="1">
      <c r="A1410" s="58"/>
      <c r="B1410" s="44" t="s">
        <v>6637</v>
      </c>
      <c r="C1410" s="50"/>
      <c r="D1410" s="10" t="s">
        <v>29</v>
      </c>
      <c r="E1410" s="11"/>
      <c r="F1410" s="11" t="s">
        <v>18</v>
      </c>
      <c r="G1410" s="13"/>
      <c r="H1410" s="45" t="s">
        <v>16</v>
      </c>
      <c r="I1410" s="47"/>
      <c r="J1410" s="12" t="s">
        <v>3315</v>
      </c>
      <c r="K1410" s="13" t="s">
        <v>8180</v>
      </c>
      <c r="L1410" s="99" t="str">
        <f t="shared" si="123"/>
        <v>W1253.1</v>
      </c>
      <c r="M1410" s="13"/>
      <c r="N1410" s="13"/>
      <c r="O1410" s="13"/>
      <c r="P1410" s="47"/>
      <c r="Q1410" s="45"/>
      <c r="R1410" s="45" t="s">
        <v>146</v>
      </c>
      <c r="S1410" s="48"/>
      <c r="U1410" s="12"/>
    </row>
    <row r="1411" spans="1:22" s="49" customFormat="1" ht="14.15" customHeight="1">
      <c r="A1411" s="58"/>
      <c r="B1411" s="44" t="s">
        <v>6637</v>
      </c>
      <c r="C1411" s="50"/>
      <c r="D1411" s="10" t="s">
        <v>29</v>
      </c>
      <c r="E1411" s="11"/>
      <c r="F1411" s="11" t="s">
        <v>18</v>
      </c>
      <c r="G1411" s="13"/>
      <c r="H1411" s="45" t="s">
        <v>16</v>
      </c>
      <c r="I1411" s="47"/>
      <c r="J1411" s="12" t="s">
        <v>3316</v>
      </c>
      <c r="K1411" s="13" t="s">
        <v>8181</v>
      </c>
      <c r="L1411" s="99" t="str">
        <f t="shared" si="123"/>
        <v>W1253.2</v>
      </c>
      <c r="M1411" s="13"/>
      <c r="N1411" s="13"/>
      <c r="O1411" s="13"/>
      <c r="P1411" s="47"/>
      <c r="Q1411" s="45"/>
      <c r="R1411" s="45" t="s">
        <v>146</v>
      </c>
      <c r="S1411" s="48"/>
      <c r="U1411" s="12"/>
    </row>
    <row r="1412" spans="1:22" s="49" customFormat="1" ht="14.15" customHeight="1">
      <c r="A1412" s="58"/>
      <c r="B1412" s="44" t="s">
        <v>6637</v>
      </c>
      <c r="C1412" s="50"/>
      <c r="D1412" s="10" t="s">
        <v>29</v>
      </c>
      <c r="E1412" s="11"/>
      <c r="F1412" s="11" t="s">
        <v>18</v>
      </c>
      <c r="G1412" s="13"/>
      <c r="H1412" s="45" t="s">
        <v>16</v>
      </c>
      <c r="I1412" s="47"/>
      <c r="J1412" s="12" t="s">
        <v>3317</v>
      </c>
      <c r="K1412" s="13" t="s">
        <v>8182</v>
      </c>
      <c r="L1412" s="99" t="str">
        <f t="shared" si="123"/>
        <v>W1253.3</v>
      </c>
      <c r="M1412" s="13"/>
      <c r="N1412" s="13"/>
      <c r="O1412" s="13"/>
      <c r="P1412" s="47"/>
      <c r="Q1412" s="45"/>
      <c r="R1412" s="45" t="s">
        <v>146</v>
      </c>
      <c r="S1412" s="48"/>
      <c r="U1412" s="12"/>
    </row>
    <row r="1413" spans="1:22" s="49" customFormat="1" ht="14.15" customHeight="1">
      <c r="A1413" s="58"/>
      <c r="B1413" s="44" t="s">
        <v>6637</v>
      </c>
      <c r="C1413" s="50"/>
      <c r="D1413" s="10" t="s">
        <v>29</v>
      </c>
      <c r="E1413" s="11"/>
      <c r="F1413" s="11" t="s">
        <v>18</v>
      </c>
      <c r="G1413" s="13"/>
      <c r="H1413" s="45" t="s">
        <v>16</v>
      </c>
      <c r="I1413" s="47"/>
      <c r="J1413" s="12" t="s">
        <v>3318</v>
      </c>
      <c r="K1413" s="13" t="s">
        <v>8183</v>
      </c>
      <c r="L1413" s="99" t="str">
        <f t="shared" si="123"/>
        <v>W1253.4</v>
      </c>
      <c r="M1413" s="13"/>
      <c r="N1413" s="13"/>
      <c r="O1413" s="57"/>
      <c r="P1413" s="47"/>
      <c r="Q1413" s="45" t="s">
        <v>142</v>
      </c>
      <c r="R1413" s="45" t="s">
        <v>146</v>
      </c>
      <c r="S1413" s="48"/>
      <c r="T1413" s="49" t="str">
        <f>"["&amp;L1413&amp;"]"</f>
        <v>[W1253.4]</v>
      </c>
      <c r="U1413" s="12" t="str">
        <f>RIGHT(J1413,LEN(J1413)-6)</f>
        <v>]</v>
      </c>
      <c r="V1413" s="49" t="str">
        <f t="shared" si="127"/>
        <v>[W1253.4]]</v>
      </c>
    </row>
    <row r="1414" spans="1:22" s="49" customFormat="1" ht="14.15" customHeight="1">
      <c r="A1414" s="58"/>
      <c r="B1414" s="44" t="s">
        <v>6637</v>
      </c>
      <c r="C1414" s="50"/>
      <c r="D1414" s="10" t="s">
        <v>29</v>
      </c>
      <c r="E1414" s="11"/>
      <c r="F1414" s="11" t="s">
        <v>18</v>
      </c>
      <c r="G1414" s="13"/>
      <c r="H1414" s="45" t="s">
        <v>16</v>
      </c>
      <c r="I1414" s="46"/>
      <c r="J1414" s="12" t="s">
        <v>3319</v>
      </c>
      <c r="K1414" s="13" t="s">
        <v>8184</v>
      </c>
      <c r="L1414" s="99" t="str">
        <f t="shared" si="123"/>
        <v>W1253.5</v>
      </c>
      <c r="M1414" s="13"/>
      <c r="N1414" s="13"/>
      <c r="O1414" s="57"/>
      <c r="P1414" s="47"/>
      <c r="Q1414" s="45" t="s">
        <v>142</v>
      </c>
      <c r="R1414" s="45" t="s">
        <v>146</v>
      </c>
      <c r="S1414" s="48"/>
      <c r="T1414" s="49" t="str">
        <f>"["&amp;L1414&amp;"]"</f>
        <v>[W1253.5]</v>
      </c>
      <c r="U1414" s="12" t="str">
        <f>RIGHT(J1414,LEN(J1414)-6)</f>
        <v>]</v>
      </c>
      <c r="V1414" s="49" t="str">
        <f t="shared" si="127"/>
        <v>[W1253.5]]</v>
      </c>
    </row>
    <row r="1415" spans="1:22" s="49" customFormat="1" ht="14.15" customHeight="1">
      <c r="A1415" s="58"/>
      <c r="B1415" s="44" t="s">
        <v>6637</v>
      </c>
      <c r="C1415" s="50"/>
      <c r="D1415" s="10" t="s">
        <v>29</v>
      </c>
      <c r="E1415" s="11"/>
      <c r="F1415" s="11" t="s">
        <v>18</v>
      </c>
      <c r="G1415" s="13"/>
      <c r="H1415" s="45" t="s">
        <v>16</v>
      </c>
      <c r="I1415" s="47"/>
      <c r="J1415" s="12" t="s">
        <v>3320</v>
      </c>
      <c r="K1415" s="13" t="s">
        <v>8185</v>
      </c>
      <c r="L1415" s="99" t="str">
        <f t="shared" si="123"/>
        <v>W1253.6</v>
      </c>
      <c r="M1415" s="13"/>
      <c r="N1415" s="13"/>
      <c r="O1415" s="57"/>
      <c r="P1415" s="47"/>
      <c r="Q1415" s="45" t="s">
        <v>142</v>
      </c>
      <c r="R1415" s="45" t="s">
        <v>146</v>
      </c>
      <c r="S1415" s="48"/>
      <c r="T1415" s="49" t="str">
        <f>"["&amp;L1415&amp;"]"</f>
        <v>[W1253.6]</v>
      </c>
      <c r="U1415" s="12" t="str">
        <f>RIGHT(J1415,LEN(J1415)-6)</f>
        <v>]</v>
      </c>
      <c r="V1415" s="49" t="str">
        <f t="shared" si="127"/>
        <v>[W1253.6]]</v>
      </c>
    </row>
    <row r="1416" spans="1:22" s="49" customFormat="1" ht="14.15" customHeight="1">
      <c r="A1416" s="58"/>
      <c r="B1416" s="44" t="s">
        <v>6637</v>
      </c>
      <c r="C1416" s="50"/>
      <c r="D1416" s="10" t="s">
        <v>29</v>
      </c>
      <c r="E1416" s="11"/>
      <c r="F1416" s="11" t="s">
        <v>18</v>
      </c>
      <c r="G1416" s="13"/>
      <c r="H1416" s="45" t="s">
        <v>16</v>
      </c>
      <c r="I1416" s="46"/>
      <c r="J1416" s="12" t="s">
        <v>3321</v>
      </c>
      <c r="K1416" s="13" t="s">
        <v>8186</v>
      </c>
      <c r="L1416" s="99" t="str">
        <f t="shared" si="123"/>
        <v>W1253.7</v>
      </c>
      <c r="M1416" s="13"/>
      <c r="N1416" s="13"/>
      <c r="O1416" s="57"/>
      <c r="P1416" s="47"/>
      <c r="Q1416" s="45" t="s">
        <v>142</v>
      </c>
      <c r="R1416" s="45" t="s">
        <v>146</v>
      </c>
      <c r="S1416" s="48"/>
      <c r="T1416" s="49" t="str">
        <f>"["&amp;L1416&amp;"]"</f>
        <v>[W1253.7]</v>
      </c>
      <c r="U1416" s="12" t="str">
        <f>RIGHT(J1416,LEN(J1416)-6)</f>
        <v>]</v>
      </c>
      <c r="V1416" s="49" t="str">
        <f t="shared" si="127"/>
        <v>[W1253.7]]</v>
      </c>
    </row>
    <row r="1417" spans="1:22" s="49" customFormat="1" ht="14.15" customHeight="1">
      <c r="A1417" s="59"/>
      <c r="B1417" s="44" t="s">
        <v>6637</v>
      </c>
      <c r="C1417" s="50"/>
      <c r="D1417" s="10" t="s">
        <v>29</v>
      </c>
      <c r="E1417" s="11"/>
      <c r="F1417" s="11" t="s">
        <v>18</v>
      </c>
      <c r="G1417" s="13"/>
      <c r="H1417" s="45" t="s">
        <v>16</v>
      </c>
      <c r="I1417" s="46"/>
      <c r="J1417" s="12" t="s">
        <v>3322</v>
      </c>
      <c r="K1417" s="13" t="s">
        <v>8187</v>
      </c>
      <c r="L1417" s="99" t="str">
        <f t="shared" si="123"/>
        <v>W1253.8</v>
      </c>
      <c r="M1417" s="13"/>
      <c r="N1417" s="13"/>
      <c r="O1417" s="13"/>
      <c r="P1417" s="47"/>
      <c r="Q1417" s="45"/>
      <c r="R1417" s="45" t="s">
        <v>143</v>
      </c>
      <c r="S1417" s="48"/>
      <c r="U1417" s="12"/>
    </row>
    <row r="1418" spans="1:22" s="49" customFormat="1" ht="14.15" customHeight="1">
      <c r="A1418" s="59"/>
      <c r="B1418" s="44" t="s">
        <v>6637</v>
      </c>
      <c r="C1418" s="50"/>
      <c r="D1418" s="10" t="s">
        <v>29</v>
      </c>
      <c r="E1418" s="11"/>
      <c r="F1418" s="11" t="s">
        <v>18</v>
      </c>
      <c r="G1418" s="13"/>
      <c r="H1418" s="45" t="s">
        <v>16</v>
      </c>
      <c r="I1418" s="46"/>
      <c r="J1418" s="12" t="s">
        <v>3323</v>
      </c>
      <c r="K1418" s="13" t="s">
        <v>8188</v>
      </c>
      <c r="L1418" s="99" t="str">
        <f t="shared" si="123"/>
        <v>W1253.9</v>
      </c>
      <c r="M1418" s="13"/>
      <c r="N1418" s="13"/>
      <c r="O1418" s="13"/>
      <c r="P1418" s="47"/>
      <c r="Q1418" s="45"/>
      <c r="R1418" s="45" t="s">
        <v>143</v>
      </c>
      <c r="S1418" s="48"/>
      <c r="U1418" s="12"/>
    </row>
    <row r="1419" spans="1:22" s="49" customFormat="1" ht="14.15" customHeight="1">
      <c r="A1419" s="43" t="s">
        <v>3755</v>
      </c>
      <c r="B1419" s="44" t="s">
        <v>6637</v>
      </c>
      <c r="C1419" s="50"/>
      <c r="D1419" s="10" t="s">
        <v>29</v>
      </c>
      <c r="E1419" s="11"/>
      <c r="F1419" s="11" t="s">
        <v>18</v>
      </c>
      <c r="G1419" s="13"/>
      <c r="H1419" s="45" t="s">
        <v>16</v>
      </c>
      <c r="I1419" s="46"/>
      <c r="J1419" s="12" t="s">
        <v>3636</v>
      </c>
      <c r="K1419" s="13" t="s">
        <v>8189</v>
      </c>
      <c r="L1419" s="99" t="str">
        <f t="shared" si="123"/>
        <v>W1253.A</v>
      </c>
      <c r="M1419" s="13" t="s">
        <v>3667</v>
      </c>
      <c r="N1419" s="13"/>
      <c r="O1419" s="13"/>
      <c r="P1419" s="47"/>
      <c r="Q1419" s="45"/>
      <c r="R1419" s="45" t="s">
        <v>143</v>
      </c>
      <c r="S1419" s="48"/>
      <c r="U1419" s="12"/>
    </row>
    <row r="1420" spans="1:22" s="49" customFormat="1" ht="14.15" customHeight="1">
      <c r="A1420" s="59"/>
      <c r="B1420" s="44" t="s">
        <v>6637</v>
      </c>
      <c r="C1420" s="50"/>
      <c r="D1420" s="10" t="s">
        <v>29</v>
      </c>
      <c r="E1420" s="11"/>
      <c r="F1420" s="11" t="s">
        <v>18</v>
      </c>
      <c r="G1420" s="13"/>
      <c r="H1420" s="45" t="s">
        <v>16</v>
      </c>
      <c r="I1420" s="46"/>
      <c r="J1420" s="12" t="s">
        <v>1089</v>
      </c>
      <c r="K1420" s="13" t="s">
        <v>8190</v>
      </c>
      <c r="L1420" s="99" t="str">
        <f t="shared" si="123"/>
        <v>W1253.B</v>
      </c>
      <c r="M1420" s="13"/>
      <c r="N1420" s="13"/>
      <c r="O1420" s="13"/>
      <c r="P1420" s="47"/>
      <c r="Q1420" s="45"/>
      <c r="R1420" s="45" t="s">
        <v>143</v>
      </c>
      <c r="S1420" s="48"/>
      <c r="U1420" s="12"/>
    </row>
    <row r="1421" spans="1:22" s="49" customFormat="1" ht="14.15" customHeight="1">
      <c r="A1421" s="59"/>
      <c r="B1421" s="44" t="s">
        <v>6637</v>
      </c>
      <c r="C1421" s="50"/>
      <c r="D1421" s="10" t="s">
        <v>29</v>
      </c>
      <c r="E1421" s="11"/>
      <c r="F1421" s="11" t="s">
        <v>18</v>
      </c>
      <c r="G1421" s="13"/>
      <c r="H1421" s="45" t="s">
        <v>16</v>
      </c>
      <c r="I1421" s="46"/>
      <c r="J1421" s="12" t="s">
        <v>1090</v>
      </c>
      <c r="K1421" s="13" t="s">
        <v>8191</v>
      </c>
      <c r="L1421" s="99" t="str">
        <f t="shared" si="123"/>
        <v>W1253.C</v>
      </c>
      <c r="M1421" s="13"/>
      <c r="N1421" s="13"/>
      <c r="O1421" s="13"/>
      <c r="P1421" s="47"/>
      <c r="Q1421" s="45"/>
      <c r="R1421" s="45" t="s">
        <v>143</v>
      </c>
      <c r="S1421" s="48"/>
      <c r="U1421" s="12"/>
    </row>
    <row r="1422" spans="1:22" s="49" customFormat="1" ht="14.15" customHeight="1">
      <c r="A1422" s="59"/>
      <c r="B1422" s="44" t="s">
        <v>6637</v>
      </c>
      <c r="C1422" s="50"/>
      <c r="D1422" s="10" t="s">
        <v>29</v>
      </c>
      <c r="E1422" s="11"/>
      <c r="F1422" s="11" t="s">
        <v>18</v>
      </c>
      <c r="G1422" s="13"/>
      <c r="H1422" s="45" t="s">
        <v>16</v>
      </c>
      <c r="I1422" s="46"/>
      <c r="J1422" s="12" t="s">
        <v>1091</v>
      </c>
      <c r="K1422" s="13" t="s">
        <v>8192</v>
      </c>
      <c r="L1422" s="99" t="str">
        <f t="shared" si="123"/>
        <v>W1253.D</v>
      </c>
      <c r="M1422" s="13"/>
      <c r="N1422" s="13"/>
      <c r="O1422" s="13"/>
      <c r="P1422" s="47"/>
      <c r="Q1422" s="45"/>
      <c r="R1422" s="45" t="s">
        <v>143</v>
      </c>
      <c r="S1422" s="48"/>
      <c r="U1422" s="12"/>
    </row>
    <row r="1423" spans="1:22" s="49" customFormat="1" ht="14.15" customHeight="1">
      <c r="A1423" s="59"/>
      <c r="B1423" s="44" t="s">
        <v>6637</v>
      </c>
      <c r="C1423" s="50"/>
      <c r="D1423" s="10" t="s">
        <v>29</v>
      </c>
      <c r="E1423" s="11"/>
      <c r="F1423" s="11" t="s">
        <v>18</v>
      </c>
      <c r="G1423" s="13"/>
      <c r="H1423" s="45" t="s">
        <v>16</v>
      </c>
      <c r="I1423" s="46"/>
      <c r="J1423" s="12" t="s">
        <v>1092</v>
      </c>
      <c r="K1423" s="13" t="s">
        <v>8193</v>
      </c>
      <c r="L1423" s="99" t="str">
        <f t="shared" si="123"/>
        <v>W1253.E</v>
      </c>
      <c r="M1423" s="13"/>
      <c r="N1423" s="13"/>
      <c r="O1423" s="13"/>
      <c r="P1423" s="47"/>
      <c r="Q1423" s="45"/>
      <c r="R1423" s="45" t="s">
        <v>143</v>
      </c>
      <c r="S1423" s="48"/>
      <c r="U1423" s="12"/>
    </row>
    <row r="1424" spans="1:22" s="49" customFormat="1" ht="14.15" customHeight="1">
      <c r="A1424" s="59"/>
      <c r="B1424" s="44" t="s">
        <v>6637</v>
      </c>
      <c r="C1424" s="50"/>
      <c r="D1424" s="10" t="s">
        <v>29</v>
      </c>
      <c r="E1424" s="11"/>
      <c r="F1424" s="11" t="s">
        <v>18</v>
      </c>
      <c r="G1424" s="13"/>
      <c r="H1424" s="45" t="s">
        <v>16</v>
      </c>
      <c r="I1424" s="46"/>
      <c r="J1424" s="12" t="s">
        <v>1093</v>
      </c>
      <c r="K1424" s="13" t="s">
        <v>8194</v>
      </c>
      <c r="L1424" s="99" t="str">
        <f t="shared" si="123"/>
        <v>W1253.F</v>
      </c>
      <c r="M1424" s="13"/>
      <c r="N1424" s="13"/>
      <c r="O1424" s="13"/>
      <c r="P1424" s="47"/>
      <c r="Q1424" s="45"/>
      <c r="R1424" s="45" t="s">
        <v>143</v>
      </c>
      <c r="S1424" s="48"/>
      <c r="U1424" s="12"/>
    </row>
    <row r="1425" spans="1:22" s="49" customFormat="1" ht="14.15" customHeight="1">
      <c r="A1425" s="59"/>
      <c r="B1425" s="44" t="s">
        <v>6637</v>
      </c>
      <c r="C1425" s="50"/>
      <c r="D1425" s="10" t="s">
        <v>29</v>
      </c>
      <c r="E1425" s="11"/>
      <c r="F1425" s="11" t="s">
        <v>18</v>
      </c>
      <c r="G1425" s="13"/>
      <c r="H1425" s="45" t="s">
        <v>16</v>
      </c>
      <c r="I1425" s="46"/>
      <c r="J1425" s="12" t="s">
        <v>1094</v>
      </c>
      <c r="K1425" s="13" t="s">
        <v>8195</v>
      </c>
      <c r="L1425" s="99" t="str">
        <f t="shared" si="123"/>
        <v>W1254.0</v>
      </c>
      <c r="M1425" s="13"/>
      <c r="N1425" s="13"/>
      <c r="O1425" s="13"/>
      <c r="P1425" s="47"/>
      <c r="Q1425" s="45"/>
      <c r="R1425" s="45" t="s">
        <v>143</v>
      </c>
      <c r="S1425" s="48"/>
      <c r="U1425" s="12"/>
    </row>
    <row r="1426" spans="1:22" s="49" customFormat="1" ht="14.15" customHeight="1">
      <c r="A1426" s="59"/>
      <c r="B1426" s="44" t="s">
        <v>6637</v>
      </c>
      <c r="C1426" s="50"/>
      <c r="D1426" s="10" t="s">
        <v>29</v>
      </c>
      <c r="E1426" s="11"/>
      <c r="F1426" s="11" t="s">
        <v>18</v>
      </c>
      <c r="G1426" s="13"/>
      <c r="H1426" s="45" t="s">
        <v>16</v>
      </c>
      <c r="I1426" s="46"/>
      <c r="J1426" s="12" t="s">
        <v>1095</v>
      </c>
      <c r="K1426" s="13" t="s">
        <v>8196</v>
      </c>
      <c r="L1426" s="99" t="str">
        <f t="shared" ref="L1426:L1489" si="128">"W"&amp;DEC2HEX(4608 + INT((ROW()-81)/16)) &amp; "." &amp; IF(MOD(ROW()-81,16)&lt;10,MOD(ROW()-81,16),CHAR(MOD(ROW()-81,16)+55))</f>
        <v>W1254.1</v>
      </c>
      <c r="M1426" s="13"/>
      <c r="N1426" s="13"/>
      <c r="O1426" s="57"/>
      <c r="P1426" s="47"/>
      <c r="Q1426" s="45" t="s">
        <v>147</v>
      </c>
      <c r="R1426" s="45" t="s">
        <v>143</v>
      </c>
      <c r="S1426" s="48"/>
      <c r="T1426" s="49" t="str">
        <f t="shared" ref="T1426:T1442" si="129">"["&amp;L1426&amp;"]"</f>
        <v>[W1254.1]</v>
      </c>
      <c r="U1426" s="12" t="str">
        <f t="shared" ref="U1426:U1442" si="130">RIGHT(J1426,LEN(J1426)-6)</f>
        <v xml:space="preserve">] </v>
      </c>
      <c r="V1426" s="49" t="str">
        <f t="shared" si="127"/>
        <v xml:space="preserve">[W1254.1]] </v>
      </c>
    </row>
    <row r="1427" spans="1:22" s="49" customFormat="1" ht="14.15" customHeight="1">
      <c r="A1427" s="59"/>
      <c r="B1427" s="44" t="s">
        <v>6637</v>
      </c>
      <c r="C1427" s="50"/>
      <c r="D1427" s="10" t="s">
        <v>29</v>
      </c>
      <c r="E1427" s="11"/>
      <c r="F1427" s="11" t="s">
        <v>18</v>
      </c>
      <c r="G1427" s="13"/>
      <c r="H1427" s="45" t="s">
        <v>16</v>
      </c>
      <c r="I1427" s="46"/>
      <c r="J1427" s="12" t="s">
        <v>1096</v>
      </c>
      <c r="K1427" s="13" t="s">
        <v>8197</v>
      </c>
      <c r="L1427" s="99" t="str">
        <f t="shared" si="128"/>
        <v>W1254.2</v>
      </c>
      <c r="M1427" s="13"/>
      <c r="N1427" s="13"/>
      <c r="O1427" s="57"/>
      <c r="P1427" s="47"/>
      <c r="Q1427" s="45" t="s">
        <v>142</v>
      </c>
      <c r="R1427" s="45" t="s">
        <v>143</v>
      </c>
      <c r="S1427" s="48"/>
      <c r="T1427" s="49" t="str">
        <f t="shared" si="129"/>
        <v>[W1254.2]</v>
      </c>
      <c r="U1427" s="12" t="str">
        <f t="shared" si="130"/>
        <v xml:space="preserve">] </v>
      </c>
      <c r="V1427" s="49" t="str">
        <f t="shared" si="127"/>
        <v xml:space="preserve">[W1254.2]] </v>
      </c>
    </row>
    <row r="1428" spans="1:22" s="49" customFormat="1" ht="14.15" customHeight="1">
      <c r="A1428" s="59"/>
      <c r="B1428" s="44" t="s">
        <v>6637</v>
      </c>
      <c r="C1428" s="50"/>
      <c r="D1428" s="10" t="s">
        <v>29</v>
      </c>
      <c r="E1428" s="11"/>
      <c r="F1428" s="11" t="s">
        <v>18</v>
      </c>
      <c r="G1428" s="13"/>
      <c r="H1428" s="45" t="s">
        <v>16</v>
      </c>
      <c r="I1428" s="46"/>
      <c r="J1428" s="12" t="s">
        <v>1097</v>
      </c>
      <c r="K1428" s="13" t="s">
        <v>8198</v>
      </c>
      <c r="L1428" s="99" t="str">
        <f t="shared" si="128"/>
        <v>W1254.3</v>
      </c>
      <c r="M1428" s="13"/>
      <c r="N1428" s="13"/>
      <c r="O1428" s="57"/>
      <c r="P1428" s="47"/>
      <c r="Q1428" s="45" t="s">
        <v>142</v>
      </c>
      <c r="R1428" s="45" t="s">
        <v>143</v>
      </c>
      <c r="S1428" s="48"/>
      <c r="T1428" s="49" t="str">
        <f t="shared" si="129"/>
        <v>[W1254.3]</v>
      </c>
      <c r="U1428" s="12" t="str">
        <f t="shared" si="130"/>
        <v xml:space="preserve">] </v>
      </c>
      <c r="V1428" s="49" t="str">
        <f t="shared" si="127"/>
        <v xml:space="preserve">[W1254.3]] </v>
      </c>
    </row>
    <row r="1429" spans="1:22" s="49" customFormat="1" ht="14.15" customHeight="1">
      <c r="A1429" s="59"/>
      <c r="B1429" s="44" t="s">
        <v>6637</v>
      </c>
      <c r="C1429" s="50"/>
      <c r="D1429" s="10" t="s">
        <v>29</v>
      </c>
      <c r="E1429" s="11"/>
      <c r="F1429" s="11" t="s">
        <v>18</v>
      </c>
      <c r="G1429" s="13"/>
      <c r="H1429" s="45" t="s">
        <v>16</v>
      </c>
      <c r="I1429" s="46"/>
      <c r="J1429" s="12" t="s">
        <v>1098</v>
      </c>
      <c r="K1429" s="13" t="s">
        <v>8199</v>
      </c>
      <c r="L1429" s="99" t="str">
        <f t="shared" si="128"/>
        <v>W1254.4</v>
      </c>
      <c r="M1429" s="13"/>
      <c r="N1429" s="13"/>
      <c r="O1429" s="57"/>
      <c r="P1429" s="47"/>
      <c r="Q1429" s="45" t="s">
        <v>142</v>
      </c>
      <c r="R1429" s="45" t="s">
        <v>143</v>
      </c>
      <c r="S1429" s="48"/>
      <c r="T1429" s="49" t="str">
        <f t="shared" si="129"/>
        <v>[W1254.4]</v>
      </c>
      <c r="U1429" s="12" t="str">
        <f t="shared" si="130"/>
        <v xml:space="preserve">] </v>
      </c>
      <c r="V1429" s="49" t="str">
        <f t="shared" si="127"/>
        <v xml:space="preserve">[W1254.4]] </v>
      </c>
    </row>
    <row r="1430" spans="1:22" s="49" customFormat="1" ht="14.15" customHeight="1">
      <c r="A1430" s="60"/>
      <c r="B1430" s="44" t="s">
        <v>6637</v>
      </c>
      <c r="C1430" s="50"/>
      <c r="D1430" s="10" t="s">
        <v>29</v>
      </c>
      <c r="E1430" s="11"/>
      <c r="F1430" s="11" t="s">
        <v>18</v>
      </c>
      <c r="G1430" s="13"/>
      <c r="H1430" s="45" t="s">
        <v>16</v>
      </c>
      <c r="I1430" s="47"/>
      <c r="J1430" s="12" t="s">
        <v>1099</v>
      </c>
      <c r="K1430" s="13" t="s">
        <v>8200</v>
      </c>
      <c r="L1430" s="99" t="str">
        <f t="shared" si="128"/>
        <v>W1254.5</v>
      </c>
      <c r="M1430" s="13"/>
      <c r="N1430" s="13"/>
      <c r="O1430" s="56"/>
      <c r="P1430" s="53"/>
      <c r="Q1430" s="45" t="s">
        <v>142</v>
      </c>
      <c r="R1430" s="45" t="s">
        <v>145</v>
      </c>
      <c r="S1430" s="48"/>
      <c r="T1430" s="49" t="str">
        <f t="shared" si="129"/>
        <v>[W1254.5]</v>
      </c>
      <c r="U1430" s="12" t="str">
        <f t="shared" si="130"/>
        <v xml:space="preserve">] </v>
      </c>
      <c r="V1430" s="49" t="str">
        <f t="shared" si="127"/>
        <v xml:space="preserve">[W1254.5]] </v>
      </c>
    </row>
    <row r="1431" spans="1:22" s="49" customFormat="1" ht="14.15" customHeight="1">
      <c r="A1431" s="60"/>
      <c r="B1431" s="44" t="s">
        <v>6637</v>
      </c>
      <c r="C1431" s="50"/>
      <c r="D1431" s="10" t="s">
        <v>29</v>
      </c>
      <c r="E1431" s="11"/>
      <c r="F1431" s="11" t="s">
        <v>18</v>
      </c>
      <c r="G1431" s="13"/>
      <c r="H1431" s="45" t="s">
        <v>16</v>
      </c>
      <c r="I1431" s="47"/>
      <c r="J1431" s="12" t="s">
        <v>1100</v>
      </c>
      <c r="K1431" s="13" t="s">
        <v>8201</v>
      </c>
      <c r="L1431" s="99" t="str">
        <f t="shared" si="128"/>
        <v>W1254.6</v>
      </c>
      <c r="M1431" s="13"/>
      <c r="N1431" s="13"/>
      <c r="O1431" s="56"/>
      <c r="P1431" s="53"/>
      <c r="Q1431" s="45" t="s">
        <v>142</v>
      </c>
      <c r="R1431" s="45" t="s">
        <v>145</v>
      </c>
      <c r="S1431" s="48"/>
      <c r="T1431" s="49" t="str">
        <f t="shared" si="129"/>
        <v>[W1254.6]</v>
      </c>
      <c r="U1431" s="12" t="str">
        <f t="shared" si="130"/>
        <v xml:space="preserve">] </v>
      </c>
      <c r="V1431" s="49" t="str">
        <f t="shared" si="127"/>
        <v xml:space="preserve">[W1254.6]] </v>
      </c>
    </row>
    <row r="1432" spans="1:22" s="49" customFormat="1" ht="14.15" customHeight="1">
      <c r="A1432" s="60"/>
      <c r="B1432" s="44" t="s">
        <v>6637</v>
      </c>
      <c r="C1432" s="50"/>
      <c r="D1432" s="10" t="s">
        <v>29</v>
      </c>
      <c r="E1432" s="11"/>
      <c r="F1432" s="11" t="s">
        <v>18</v>
      </c>
      <c r="G1432" s="13"/>
      <c r="H1432" s="45" t="s">
        <v>16</v>
      </c>
      <c r="I1432" s="47"/>
      <c r="J1432" s="12" t="s">
        <v>1101</v>
      </c>
      <c r="K1432" s="13" t="s">
        <v>8202</v>
      </c>
      <c r="L1432" s="99" t="str">
        <f t="shared" si="128"/>
        <v>W1254.7</v>
      </c>
      <c r="M1432" s="13"/>
      <c r="N1432" s="13"/>
      <c r="O1432" s="56"/>
      <c r="P1432" s="53"/>
      <c r="Q1432" s="45" t="s">
        <v>142</v>
      </c>
      <c r="R1432" s="45" t="s">
        <v>145</v>
      </c>
      <c r="S1432" s="48"/>
      <c r="T1432" s="49" t="str">
        <f t="shared" si="129"/>
        <v>[W1254.7]</v>
      </c>
      <c r="U1432" s="12" t="str">
        <f t="shared" si="130"/>
        <v xml:space="preserve">] </v>
      </c>
      <c r="V1432" s="49" t="str">
        <f t="shared" si="127"/>
        <v xml:space="preserve">[W1254.7]] </v>
      </c>
    </row>
    <row r="1433" spans="1:22" s="49" customFormat="1" ht="14.15" customHeight="1">
      <c r="A1433" s="60"/>
      <c r="B1433" s="44" t="s">
        <v>6637</v>
      </c>
      <c r="C1433" s="50"/>
      <c r="D1433" s="10" t="s">
        <v>29</v>
      </c>
      <c r="E1433" s="11"/>
      <c r="F1433" s="11" t="s">
        <v>18</v>
      </c>
      <c r="G1433" s="13"/>
      <c r="H1433" s="45" t="s">
        <v>16</v>
      </c>
      <c r="I1433" s="47"/>
      <c r="J1433" s="12" t="s">
        <v>1102</v>
      </c>
      <c r="K1433" s="13" t="s">
        <v>8203</v>
      </c>
      <c r="L1433" s="99" t="str">
        <f t="shared" si="128"/>
        <v>W1254.8</v>
      </c>
      <c r="M1433" s="13"/>
      <c r="N1433" s="13"/>
      <c r="O1433" s="56"/>
      <c r="P1433" s="53"/>
      <c r="Q1433" s="45" t="s">
        <v>142</v>
      </c>
      <c r="R1433" s="45" t="s">
        <v>145</v>
      </c>
      <c r="S1433" s="48"/>
      <c r="T1433" s="49" t="str">
        <f t="shared" si="129"/>
        <v>[W1254.8]</v>
      </c>
      <c r="U1433" s="12" t="str">
        <f t="shared" si="130"/>
        <v xml:space="preserve">] </v>
      </c>
      <c r="V1433" s="49" t="str">
        <f t="shared" si="127"/>
        <v xml:space="preserve">[W1254.8]] </v>
      </c>
    </row>
    <row r="1434" spans="1:22" s="49" customFormat="1" ht="14.15" customHeight="1">
      <c r="A1434" s="60"/>
      <c r="B1434" s="44" t="s">
        <v>6637</v>
      </c>
      <c r="C1434" s="50"/>
      <c r="D1434" s="10" t="s">
        <v>29</v>
      </c>
      <c r="E1434" s="11"/>
      <c r="F1434" s="11" t="s">
        <v>18</v>
      </c>
      <c r="G1434" s="13"/>
      <c r="H1434" s="45" t="s">
        <v>16</v>
      </c>
      <c r="I1434" s="47"/>
      <c r="J1434" s="12" t="s">
        <v>1103</v>
      </c>
      <c r="K1434" s="13" t="s">
        <v>8204</v>
      </c>
      <c r="L1434" s="99" t="str">
        <f t="shared" si="128"/>
        <v>W1254.9</v>
      </c>
      <c r="M1434" s="13"/>
      <c r="N1434" s="13"/>
      <c r="O1434" s="56"/>
      <c r="P1434" s="53"/>
      <c r="Q1434" s="45" t="s">
        <v>142</v>
      </c>
      <c r="R1434" s="45" t="s">
        <v>145</v>
      </c>
      <c r="S1434" s="48"/>
      <c r="T1434" s="49" t="str">
        <f t="shared" si="129"/>
        <v>[W1254.9]</v>
      </c>
      <c r="U1434" s="12" t="str">
        <f t="shared" si="130"/>
        <v xml:space="preserve">] </v>
      </c>
      <c r="V1434" s="49" t="str">
        <f t="shared" si="127"/>
        <v xml:space="preserve">[W1254.9]] </v>
      </c>
    </row>
    <row r="1435" spans="1:22" s="49" customFormat="1" ht="14.15" customHeight="1">
      <c r="A1435" s="60"/>
      <c r="B1435" s="44" t="s">
        <v>6637</v>
      </c>
      <c r="C1435" s="50"/>
      <c r="D1435" s="10" t="s">
        <v>29</v>
      </c>
      <c r="E1435" s="11"/>
      <c r="F1435" s="11" t="s">
        <v>18</v>
      </c>
      <c r="G1435" s="13"/>
      <c r="H1435" s="45" t="s">
        <v>16</v>
      </c>
      <c r="I1435" s="47"/>
      <c r="J1435" s="12" t="s">
        <v>1104</v>
      </c>
      <c r="K1435" s="13" t="s">
        <v>8205</v>
      </c>
      <c r="L1435" s="99" t="str">
        <f t="shared" si="128"/>
        <v>W1254.A</v>
      </c>
      <c r="M1435" s="13"/>
      <c r="N1435" s="13"/>
      <c r="O1435" s="56"/>
      <c r="P1435" s="53"/>
      <c r="Q1435" s="45" t="s">
        <v>142</v>
      </c>
      <c r="R1435" s="45" t="s">
        <v>145</v>
      </c>
      <c r="S1435" s="48"/>
      <c r="T1435" s="49" t="str">
        <f t="shared" si="129"/>
        <v>[W1254.A]</v>
      </c>
      <c r="U1435" s="12" t="str">
        <f t="shared" si="130"/>
        <v xml:space="preserve">] </v>
      </c>
      <c r="V1435" s="49" t="str">
        <f t="shared" si="127"/>
        <v xml:space="preserve">[W1254.A]] </v>
      </c>
    </row>
    <row r="1436" spans="1:22" s="49" customFormat="1" ht="14.15" customHeight="1">
      <c r="A1436" s="60"/>
      <c r="B1436" s="44" t="s">
        <v>6637</v>
      </c>
      <c r="C1436" s="50"/>
      <c r="D1436" s="10" t="s">
        <v>29</v>
      </c>
      <c r="E1436" s="11"/>
      <c r="F1436" s="11" t="s">
        <v>18</v>
      </c>
      <c r="G1436" s="13"/>
      <c r="H1436" s="45" t="s">
        <v>16</v>
      </c>
      <c r="I1436" s="47"/>
      <c r="J1436" s="12" t="s">
        <v>1105</v>
      </c>
      <c r="K1436" s="13" t="s">
        <v>8206</v>
      </c>
      <c r="L1436" s="99" t="str">
        <f t="shared" si="128"/>
        <v>W1254.B</v>
      </c>
      <c r="M1436" s="13"/>
      <c r="N1436" s="13"/>
      <c r="O1436" s="56"/>
      <c r="P1436" s="53"/>
      <c r="Q1436" s="45" t="s">
        <v>142</v>
      </c>
      <c r="R1436" s="45" t="s">
        <v>145</v>
      </c>
      <c r="S1436" s="48"/>
      <c r="T1436" s="49" t="str">
        <f t="shared" si="129"/>
        <v>[W1254.B]</v>
      </c>
      <c r="U1436" s="12" t="str">
        <f t="shared" si="130"/>
        <v xml:space="preserve">] </v>
      </c>
      <c r="V1436" s="49" t="str">
        <f t="shared" si="127"/>
        <v xml:space="preserve">[W1254.B]] </v>
      </c>
    </row>
    <row r="1437" spans="1:22" s="49" customFormat="1" ht="14.15" customHeight="1">
      <c r="A1437" s="60"/>
      <c r="B1437" s="44" t="s">
        <v>6637</v>
      </c>
      <c r="C1437" s="50"/>
      <c r="D1437" s="10" t="s">
        <v>29</v>
      </c>
      <c r="E1437" s="11"/>
      <c r="F1437" s="11" t="s">
        <v>18</v>
      </c>
      <c r="G1437" s="13"/>
      <c r="H1437" s="45" t="s">
        <v>16</v>
      </c>
      <c r="I1437" s="47"/>
      <c r="J1437" s="12" t="s">
        <v>1106</v>
      </c>
      <c r="K1437" s="13" t="s">
        <v>8207</v>
      </c>
      <c r="L1437" s="99" t="str">
        <f t="shared" si="128"/>
        <v>W1254.C</v>
      </c>
      <c r="M1437" s="13"/>
      <c r="N1437" s="13"/>
      <c r="O1437" s="56"/>
      <c r="P1437" s="53"/>
      <c r="Q1437" s="45" t="s">
        <v>142</v>
      </c>
      <c r="R1437" s="45" t="s">
        <v>145</v>
      </c>
      <c r="S1437" s="48"/>
      <c r="T1437" s="49" t="str">
        <f t="shared" si="129"/>
        <v>[W1254.C]</v>
      </c>
      <c r="U1437" s="12" t="str">
        <f t="shared" si="130"/>
        <v xml:space="preserve">] </v>
      </c>
      <c r="V1437" s="49" t="str">
        <f t="shared" si="127"/>
        <v xml:space="preserve">[W1254.C]] </v>
      </c>
    </row>
    <row r="1438" spans="1:22" s="49" customFormat="1" ht="14.15" customHeight="1">
      <c r="A1438" s="60"/>
      <c r="B1438" s="44" t="s">
        <v>6637</v>
      </c>
      <c r="C1438" s="50"/>
      <c r="D1438" s="10" t="s">
        <v>29</v>
      </c>
      <c r="E1438" s="11"/>
      <c r="F1438" s="11" t="s">
        <v>18</v>
      </c>
      <c r="G1438" s="13"/>
      <c r="H1438" s="45" t="s">
        <v>16</v>
      </c>
      <c r="I1438" s="47"/>
      <c r="J1438" s="12" t="s">
        <v>1107</v>
      </c>
      <c r="K1438" s="13" t="s">
        <v>8208</v>
      </c>
      <c r="L1438" s="99" t="str">
        <f t="shared" si="128"/>
        <v>W1254.D</v>
      </c>
      <c r="M1438" s="13"/>
      <c r="N1438" s="13"/>
      <c r="O1438" s="56"/>
      <c r="P1438" s="53"/>
      <c r="Q1438" s="45" t="s">
        <v>142</v>
      </c>
      <c r="R1438" s="45" t="s">
        <v>145</v>
      </c>
      <c r="S1438" s="48"/>
      <c r="T1438" s="49" t="str">
        <f t="shared" si="129"/>
        <v>[W1254.D]</v>
      </c>
      <c r="U1438" s="12" t="str">
        <f t="shared" si="130"/>
        <v xml:space="preserve">] </v>
      </c>
      <c r="V1438" s="49" t="str">
        <f t="shared" si="127"/>
        <v xml:space="preserve">[W1254.D]] </v>
      </c>
    </row>
    <row r="1439" spans="1:22" s="49" customFormat="1" ht="14.15" customHeight="1">
      <c r="A1439" s="43" t="s">
        <v>3755</v>
      </c>
      <c r="B1439" s="44" t="s">
        <v>6637</v>
      </c>
      <c r="C1439" s="50"/>
      <c r="D1439" s="10" t="s">
        <v>29</v>
      </c>
      <c r="E1439" s="11"/>
      <c r="F1439" s="11" t="s">
        <v>18</v>
      </c>
      <c r="G1439" s="13"/>
      <c r="H1439" s="45" t="s">
        <v>16</v>
      </c>
      <c r="I1439" s="47"/>
      <c r="J1439" s="12" t="s">
        <v>3637</v>
      </c>
      <c r="K1439" s="13" t="s">
        <v>8209</v>
      </c>
      <c r="L1439" s="99" t="str">
        <f t="shared" si="128"/>
        <v>W1254.E</v>
      </c>
      <c r="M1439" s="13" t="s">
        <v>3667</v>
      </c>
      <c r="N1439" s="13"/>
      <c r="O1439" s="57"/>
      <c r="P1439" s="53"/>
      <c r="Q1439" s="45" t="s">
        <v>142</v>
      </c>
      <c r="R1439" s="45" t="s">
        <v>145</v>
      </c>
      <c r="S1439" s="48"/>
      <c r="T1439" s="49" t="str">
        <f t="shared" si="129"/>
        <v>[W1254.E]</v>
      </c>
      <c r="U1439" s="12" t="str">
        <f t="shared" si="130"/>
        <v>] 댐핑시트 공급 테이블#2 제품 데이터 불일치 이상 (X660, X662)</v>
      </c>
      <c r="V1439" s="49" t="str">
        <f t="shared" si="127"/>
        <v>[W1254.E]] 댐핑시트 공급 테이블#2 제품 데이터 불일치 이상 (X660, X662)</v>
      </c>
    </row>
    <row r="1440" spans="1:22" s="49" customFormat="1" ht="14.15" customHeight="1">
      <c r="A1440" s="43" t="s">
        <v>3755</v>
      </c>
      <c r="B1440" s="44" t="s">
        <v>6637</v>
      </c>
      <c r="C1440" s="50"/>
      <c r="D1440" s="10" t="s">
        <v>29</v>
      </c>
      <c r="E1440" s="11"/>
      <c r="F1440" s="11" t="s">
        <v>18</v>
      </c>
      <c r="G1440" s="13"/>
      <c r="H1440" s="45" t="s">
        <v>16</v>
      </c>
      <c r="I1440" s="46"/>
      <c r="J1440" s="12" t="s">
        <v>3638</v>
      </c>
      <c r="K1440" s="13" t="s">
        <v>8210</v>
      </c>
      <c r="L1440" s="99" t="str">
        <f t="shared" si="128"/>
        <v>W1254.F</v>
      </c>
      <c r="M1440" s="13" t="s">
        <v>3667</v>
      </c>
      <c r="N1440" s="13"/>
      <c r="O1440" s="57"/>
      <c r="P1440" s="53"/>
      <c r="Q1440" s="45" t="s">
        <v>142</v>
      </c>
      <c r="R1440" s="45" t="s">
        <v>145</v>
      </c>
      <c r="S1440" s="48"/>
      <c r="T1440" s="49" t="str">
        <f t="shared" si="129"/>
        <v>[W1254.F]</v>
      </c>
      <c r="U1440" s="12" t="str">
        <f t="shared" si="130"/>
        <v>] 댐핑시트 공급 이재기 어퍼 진공 On 시간초과 (Y620, X601, X602)</v>
      </c>
      <c r="V1440" s="49" t="str">
        <f t="shared" si="127"/>
        <v>[W1254.F]] 댐핑시트 공급 이재기 어퍼 진공 On 시간초과 (Y620, X601, X602)</v>
      </c>
    </row>
    <row r="1441" spans="1:22" s="49" customFormat="1" ht="14.15" customHeight="1">
      <c r="A1441" s="43" t="s">
        <v>3755</v>
      </c>
      <c r="B1441" s="44" t="s">
        <v>6637</v>
      </c>
      <c r="C1441" s="50"/>
      <c r="D1441" s="10" t="s">
        <v>29</v>
      </c>
      <c r="E1441" s="11"/>
      <c r="F1441" s="11" t="s">
        <v>18</v>
      </c>
      <c r="G1441" s="13"/>
      <c r="H1441" s="45" t="s">
        <v>16</v>
      </c>
      <c r="I1441" s="47"/>
      <c r="J1441" s="12" t="s">
        <v>3639</v>
      </c>
      <c r="K1441" s="13" t="s">
        <v>8211</v>
      </c>
      <c r="L1441" s="99" t="str">
        <f t="shared" si="128"/>
        <v>W1255.0</v>
      </c>
      <c r="M1441" s="13" t="s">
        <v>3667</v>
      </c>
      <c r="N1441" s="13"/>
      <c r="O1441" s="57"/>
      <c r="P1441" s="53"/>
      <c r="Q1441" s="45" t="s">
        <v>142</v>
      </c>
      <c r="R1441" s="45" t="s">
        <v>145</v>
      </c>
      <c r="S1441" s="48"/>
      <c r="T1441" s="49" t="str">
        <f t="shared" si="129"/>
        <v>[W1255.0]</v>
      </c>
      <c r="U1441" s="12" t="str">
        <f t="shared" si="130"/>
        <v>] 댐핑시트 공급 이재기 어퍼 진공 Off 시간초과 (Y621)</v>
      </c>
      <c r="V1441" s="49" t="str">
        <f t="shared" si="127"/>
        <v>[W1255.0]] 댐핑시트 공급 이재기 어퍼 진공 Off 시간초과 (Y621)</v>
      </c>
    </row>
    <row r="1442" spans="1:22" s="49" customFormat="1" ht="14.15" customHeight="1">
      <c r="A1442" s="60"/>
      <c r="B1442" s="44" t="s">
        <v>6637</v>
      </c>
      <c r="C1442" s="50"/>
      <c r="D1442" s="10" t="s">
        <v>29</v>
      </c>
      <c r="E1442" s="11"/>
      <c r="F1442" s="11" t="s">
        <v>18</v>
      </c>
      <c r="G1442" s="13"/>
      <c r="H1442" s="45" t="s">
        <v>16</v>
      </c>
      <c r="I1442" s="46"/>
      <c r="J1442" s="12" t="s">
        <v>1111</v>
      </c>
      <c r="K1442" s="13" t="s">
        <v>8212</v>
      </c>
      <c r="L1442" s="99" t="str">
        <f t="shared" si="128"/>
        <v>W1255.1</v>
      </c>
      <c r="M1442" s="13"/>
      <c r="N1442" s="13"/>
      <c r="O1442" s="57"/>
      <c r="P1442" s="53"/>
      <c r="Q1442" s="45" t="s">
        <v>142</v>
      </c>
      <c r="R1442" s="45" t="s">
        <v>145</v>
      </c>
      <c r="S1442" s="48"/>
      <c r="T1442" s="49" t="str">
        <f t="shared" si="129"/>
        <v>[W1255.1]</v>
      </c>
      <c r="U1442" s="12" t="str">
        <f t="shared" si="130"/>
        <v xml:space="preserve">] </v>
      </c>
      <c r="V1442" s="49" t="str">
        <f t="shared" si="127"/>
        <v xml:space="preserve">[W1255.1]] </v>
      </c>
    </row>
    <row r="1443" spans="1:22" s="49" customFormat="1" ht="14.15" customHeight="1">
      <c r="A1443" s="45"/>
      <c r="B1443" s="44" t="s">
        <v>6637</v>
      </c>
      <c r="C1443" s="50"/>
      <c r="D1443" s="10" t="s">
        <v>29</v>
      </c>
      <c r="E1443" s="11"/>
      <c r="F1443" s="11" t="s">
        <v>18</v>
      </c>
      <c r="G1443" s="13"/>
      <c r="H1443" s="45" t="s">
        <v>16</v>
      </c>
      <c r="I1443" s="47"/>
      <c r="J1443" s="12" t="s">
        <v>1112</v>
      </c>
      <c r="K1443" s="13" t="s">
        <v>8213</v>
      </c>
      <c r="L1443" s="99" t="str">
        <f t="shared" si="128"/>
        <v>W1255.2</v>
      </c>
      <c r="M1443" s="45"/>
      <c r="N1443" s="47"/>
      <c r="O1443" s="47"/>
      <c r="P1443" s="47"/>
      <c r="Q1443" s="45"/>
      <c r="R1443" s="45"/>
      <c r="S1443" s="48"/>
    </row>
    <row r="1444" spans="1:22" s="49" customFormat="1" ht="14.15" customHeight="1">
      <c r="A1444" s="43" t="s">
        <v>3755</v>
      </c>
      <c r="B1444" s="44" t="s">
        <v>6637</v>
      </c>
      <c r="C1444" s="50"/>
      <c r="D1444" s="10" t="s">
        <v>29</v>
      </c>
      <c r="E1444" s="11"/>
      <c r="F1444" s="11" t="s">
        <v>18</v>
      </c>
      <c r="G1444" s="13"/>
      <c r="H1444" s="45" t="s">
        <v>16</v>
      </c>
      <c r="I1444" s="47"/>
      <c r="J1444" s="12" t="s">
        <v>3640</v>
      </c>
      <c r="K1444" s="13" t="s">
        <v>8214</v>
      </c>
      <c r="L1444" s="99" t="str">
        <f t="shared" si="128"/>
        <v>W1255.3</v>
      </c>
      <c r="M1444" s="13" t="s">
        <v>3667</v>
      </c>
      <c r="N1444" s="47"/>
      <c r="O1444" s="47"/>
      <c r="P1444" s="47"/>
      <c r="Q1444" s="45"/>
      <c r="R1444" s="45"/>
      <c r="S1444" s="48"/>
    </row>
    <row r="1445" spans="1:22" s="49" customFormat="1" ht="14.15" customHeight="1">
      <c r="A1445" s="43" t="s">
        <v>3755</v>
      </c>
      <c r="B1445" s="44" t="s">
        <v>6637</v>
      </c>
      <c r="C1445" s="50"/>
      <c r="D1445" s="10" t="s">
        <v>29</v>
      </c>
      <c r="E1445" s="11"/>
      <c r="F1445" s="11" t="s">
        <v>18</v>
      </c>
      <c r="G1445" s="13"/>
      <c r="H1445" s="45" t="s">
        <v>16</v>
      </c>
      <c r="I1445" s="47"/>
      <c r="J1445" s="12" t="s">
        <v>3641</v>
      </c>
      <c r="K1445" s="13" t="s">
        <v>8215</v>
      </c>
      <c r="L1445" s="99" t="str">
        <f t="shared" si="128"/>
        <v>W1255.4</v>
      </c>
      <c r="M1445" s="13" t="s">
        <v>3667</v>
      </c>
      <c r="N1445" s="47"/>
      <c r="O1445" s="47"/>
      <c r="P1445" s="47"/>
      <c r="Q1445" s="45"/>
      <c r="R1445" s="45"/>
      <c r="S1445" s="48"/>
    </row>
    <row r="1446" spans="1:22" s="49" customFormat="1" ht="14.15" customHeight="1">
      <c r="A1446" s="45"/>
      <c r="B1446" s="44" t="s">
        <v>6637</v>
      </c>
      <c r="C1446" s="50"/>
      <c r="D1446" s="10" t="s">
        <v>29</v>
      </c>
      <c r="E1446" s="11"/>
      <c r="F1446" s="11" t="s">
        <v>18</v>
      </c>
      <c r="G1446" s="13"/>
      <c r="H1446" s="45" t="s">
        <v>16</v>
      </c>
      <c r="I1446" s="47"/>
      <c r="J1446" s="12" t="s">
        <v>1115</v>
      </c>
      <c r="K1446" s="13" t="s">
        <v>8216</v>
      </c>
      <c r="L1446" s="99" t="str">
        <f t="shared" si="128"/>
        <v>W1255.5</v>
      </c>
      <c r="M1446" s="45"/>
      <c r="N1446" s="47"/>
      <c r="O1446" s="47"/>
      <c r="P1446" s="47"/>
      <c r="Q1446" s="45"/>
      <c r="R1446" s="45"/>
      <c r="S1446" s="48"/>
    </row>
    <row r="1447" spans="1:22" s="49" customFormat="1" ht="14.15" customHeight="1">
      <c r="A1447" s="45"/>
      <c r="B1447" s="44" t="s">
        <v>6637</v>
      </c>
      <c r="C1447" s="50"/>
      <c r="D1447" s="10" t="s">
        <v>29</v>
      </c>
      <c r="E1447" s="11"/>
      <c r="F1447" s="11" t="s">
        <v>18</v>
      </c>
      <c r="G1447" s="13"/>
      <c r="H1447" s="45" t="s">
        <v>16</v>
      </c>
      <c r="I1447" s="47"/>
      <c r="J1447" s="12" t="s">
        <v>1116</v>
      </c>
      <c r="K1447" s="13" t="s">
        <v>8217</v>
      </c>
      <c r="L1447" s="99" t="str">
        <f t="shared" si="128"/>
        <v>W1255.6</v>
      </c>
      <c r="M1447" s="45"/>
      <c r="N1447" s="47"/>
      <c r="O1447" s="47"/>
      <c r="P1447" s="47"/>
      <c r="Q1447" s="45"/>
      <c r="R1447" s="45"/>
      <c r="S1447" s="48"/>
    </row>
    <row r="1448" spans="1:22" s="49" customFormat="1" ht="14.15" customHeight="1">
      <c r="A1448" s="45"/>
      <c r="B1448" s="44" t="s">
        <v>6637</v>
      </c>
      <c r="C1448" s="50"/>
      <c r="D1448" s="10" t="s">
        <v>29</v>
      </c>
      <c r="E1448" s="11"/>
      <c r="F1448" s="11" t="s">
        <v>18</v>
      </c>
      <c r="G1448" s="13"/>
      <c r="H1448" s="45" t="s">
        <v>16</v>
      </c>
      <c r="I1448" s="47"/>
      <c r="J1448" s="12" t="s">
        <v>1117</v>
      </c>
      <c r="K1448" s="13" t="s">
        <v>8218</v>
      </c>
      <c r="L1448" s="99" t="str">
        <f t="shared" si="128"/>
        <v>W1255.7</v>
      </c>
      <c r="M1448" s="45"/>
      <c r="N1448" s="47"/>
      <c r="O1448" s="47"/>
      <c r="P1448" s="47"/>
      <c r="Q1448" s="45"/>
      <c r="R1448" s="45"/>
      <c r="S1448" s="48"/>
    </row>
    <row r="1449" spans="1:22" s="49" customFormat="1" ht="14.15" customHeight="1">
      <c r="A1449" s="45"/>
      <c r="B1449" s="44" t="s">
        <v>6637</v>
      </c>
      <c r="C1449" s="50"/>
      <c r="D1449" s="10" t="s">
        <v>29</v>
      </c>
      <c r="E1449" s="11"/>
      <c r="F1449" s="11" t="s">
        <v>18</v>
      </c>
      <c r="G1449" s="13"/>
      <c r="H1449" s="45" t="s">
        <v>16</v>
      </c>
      <c r="I1449" s="47"/>
      <c r="J1449" s="12" t="s">
        <v>1118</v>
      </c>
      <c r="K1449" s="13" t="s">
        <v>8219</v>
      </c>
      <c r="L1449" s="99" t="str">
        <f t="shared" si="128"/>
        <v>W1255.8</v>
      </c>
      <c r="M1449" s="45"/>
      <c r="N1449" s="47"/>
      <c r="O1449" s="47"/>
      <c r="P1449" s="47"/>
      <c r="Q1449" s="45"/>
      <c r="R1449" s="45"/>
      <c r="S1449" s="48"/>
    </row>
    <row r="1450" spans="1:22" s="49" customFormat="1" ht="14.15" customHeight="1">
      <c r="A1450" s="43" t="s">
        <v>3755</v>
      </c>
      <c r="B1450" s="44" t="s">
        <v>6637</v>
      </c>
      <c r="C1450" s="50"/>
      <c r="D1450" s="10" t="s">
        <v>29</v>
      </c>
      <c r="E1450" s="11"/>
      <c r="F1450" s="11" t="s">
        <v>18</v>
      </c>
      <c r="G1450" s="13"/>
      <c r="H1450" s="45" t="s">
        <v>16</v>
      </c>
      <c r="I1450" s="47"/>
      <c r="J1450" s="12" t="s">
        <v>3642</v>
      </c>
      <c r="K1450" s="13" t="s">
        <v>8220</v>
      </c>
      <c r="L1450" s="99" t="str">
        <f t="shared" si="128"/>
        <v>W1255.9</v>
      </c>
      <c r="M1450" s="13" t="s">
        <v>3667</v>
      </c>
      <c r="N1450" s="47"/>
      <c r="O1450" s="47"/>
      <c r="P1450" s="47"/>
      <c r="Q1450" s="45"/>
      <c r="R1450" s="45"/>
      <c r="S1450" s="48"/>
    </row>
    <row r="1451" spans="1:22" s="49" customFormat="1" ht="14.15" customHeight="1">
      <c r="A1451" s="43" t="s">
        <v>3755</v>
      </c>
      <c r="B1451" s="44" t="s">
        <v>6637</v>
      </c>
      <c r="C1451" s="50"/>
      <c r="D1451" s="10" t="s">
        <v>29</v>
      </c>
      <c r="E1451" s="11"/>
      <c r="F1451" s="11" t="s">
        <v>18</v>
      </c>
      <c r="G1451" s="13"/>
      <c r="H1451" s="45" t="s">
        <v>16</v>
      </c>
      <c r="I1451" s="47"/>
      <c r="J1451" s="12" t="s">
        <v>3643</v>
      </c>
      <c r="K1451" s="13" t="s">
        <v>8221</v>
      </c>
      <c r="L1451" s="99" t="str">
        <f t="shared" si="128"/>
        <v>W1255.A</v>
      </c>
      <c r="M1451" s="13" t="s">
        <v>3667</v>
      </c>
      <c r="N1451" s="47"/>
      <c r="O1451" s="47"/>
      <c r="P1451" s="47"/>
      <c r="Q1451" s="45"/>
      <c r="R1451" s="45"/>
      <c r="S1451" s="48"/>
    </row>
    <row r="1452" spans="1:22" s="49" customFormat="1" ht="14.15" customHeight="1">
      <c r="A1452" s="43" t="s">
        <v>3755</v>
      </c>
      <c r="B1452" s="44" t="s">
        <v>6637</v>
      </c>
      <c r="C1452" s="50"/>
      <c r="D1452" s="10" t="s">
        <v>29</v>
      </c>
      <c r="E1452" s="11"/>
      <c r="F1452" s="11" t="s">
        <v>18</v>
      </c>
      <c r="G1452" s="13"/>
      <c r="H1452" s="45" t="s">
        <v>16</v>
      </c>
      <c r="I1452" s="47"/>
      <c r="J1452" s="12" t="s">
        <v>3644</v>
      </c>
      <c r="K1452" s="13" t="s">
        <v>8222</v>
      </c>
      <c r="L1452" s="99" t="str">
        <f t="shared" si="128"/>
        <v>W1255.B</v>
      </c>
      <c r="M1452" s="13" t="s">
        <v>3667</v>
      </c>
      <c r="N1452" s="47"/>
      <c r="O1452" s="47"/>
      <c r="P1452" s="47"/>
      <c r="Q1452" s="45"/>
      <c r="R1452" s="45"/>
      <c r="S1452" s="48"/>
    </row>
    <row r="1453" spans="1:22" s="49" customFormat="1" ht="14.15" customHeight="1">
      <c r="A1453" s="45"/>
      <c r="B1453" s="44" t="s">
        <v>6637</v>
      </c>
      <c r="C1453" s="50"/>
      <c r="D1453" s="10" t="s">
        <v>29</v>
      </c>
      <c r="E1453" s="11"/>
      <c r="F1453" s="11" t="s">
        <v>18</v>
      </c>
      <c r="G1453" s="13"/>
      <c r="H1453" s="45" t="s">
        <v>16</v>
      </c>
      <c r="I1453" s="47"/>
      <c r="J1453" s="12" t="s">
        <v>1122</v>
      </c>
      <c r="K1453" s="13" t="s">
        <v>8223</v>
      </c>
      <c r="L1453" s="99" t="str">
        <f t="shared" si="128"/>
        <v>W1255.C</v>
      </c>
      <c r="M1453" s="45"/>
      <c r="N1453" s="47"/>
      <c r="O1453" s="47"/>
      <c r="P1453" s="47"/>
      <c r="Q1453" s="45"/>
      <c r="R1453" s="45"/>
      <c r="S1453" s="48"/>
    </row>
    <row r="1454" spans="1:22" s="49" customFormat="1" ht="14.15" customHeight="1">
      <c r="A1454" s="43" t="s">
        <v>3755</v>
      </c>
      <c r="B1454" s="44" t="s">
        <v>6637</v>
      </c>
      <c r="C1454" s="50"/>
      <c r="D1454" s="10" t="s">
        <v>29</v>
      </c>
      <c r="E1454" s="11"/>
      <c r="F1454" s="11" t="s">
        <v>18</v>
      </c>
      <c r="G1454" s="13"/>
      <c r="H1454" s="45" t="s">
        <v>16</v>
      </c>
      <c r="I1454" s="47"/>
      <c r="J1454" s="12" t="s">
        <v>3645</v>
      </c>
      <c r="K1454" s="13" t="s">
        <v>8224</v>
      </c>
      <c r="L1454" s="99" t="str">
        <f t="shared" si="128"/>
        <v>W1255.D</v>
      </c>
      <c r="M1454" s="13" t="s">
        <v>3667</v>
      </c>
      <c r="N1454" s="47"/>
      <c r="O1454" s="47"/>
      <c r="P1454" s="47"/>
      <c r="Q1454" s="45"/>
      <c r="R1454" s="45"/>
      <c r="S1454" s="48"/>
    </row>
    <row r="1455" spans="1:22" s="49" customFormat="1" ht="14.15" customHeight="1">
      <c r="A1455" s="45"/>
      <c r="B1455" s="44" t="s">
        <v>6637</v>
      </c>
      <c r="C1455" s="50"/>
      <c r="D1455" s="10" t="s">
        <v>29</v>
      </c>
      <c r="E1455" s="11"/>
      <c r="F1455" s="11" t="s">
        <v>18</v>
      </c>
      <c r="G1455" s="13"/>
      <c r="H1455" s="45" t="s">
        <v>16</v>
      </c>
      <c r="I1455" s="47"/>
      <c r="J1455" s="12" t="s">
        <v>1124</v>
      </c>
      <c r="K1455" s="13" t="s">
        <v>8225</v>
      </c>
      <c r="L1455" s="99" t="str">
        <f t="shared" si="128"/>
        <v>W1255.E</v>
      </c>
      <c r="M1455" s="45"/>
      <c r="N1455" s="47"/>
      <c r="O1455" s="47"/>
      <c r="P1455" s="47"/>
      <c r="Q1455" s="45"/>
      <c r="R1455" s="45"/>
      <c r="S1455" s="48"/>
    </row>
    <row r="1456" spans="1:22" s="49" customFormat="1" ht="14.15" customHeight="1">
      <c r="A1456" s="45"/>
      <c r="B1456" s="44" t="s">
        <v>6637</v>
      </c>
      <c r="C1456" s="50"/>
      <c r="D1456" s="10" t="s">
        <v>29</v>
      </c>
      <c r="E1456" s="11"/>
      <c r="F1456" s="11" t="s">
        <v>18</v>
      </c>
      <c r="G1456" s="13"/>
      <c r="H1456" s="45" t="s">
        <v>16</v>
      </c>
      <c r="I1456" s="47"/>
      <c r="J1456" s="12" t="s">
        <v>1125</v>
      </c>
      <c r="K1456" s="13" t="s">
        <v>8226</v>
      </c>
      <c r="L1456" s="99" t="str">
        <f t="shared" si="128"/>
        <v>W1255.F</v>
      </c>
      <c r="M1456" s="45"/>
      <c r="N1456" s="47"/>
      <c r="O1456" s="47"/>
      <c r="P1456" s="47"/>
      <c r="Q1456" s="45"/>
      <c r="R1456" s="45"/>
      <c r="S1456" s="48"/>
    </row>
    <row r="1457" spans="1:19" s="49" customFormat="1" ht="14.15" customHeight="1">
      <c r="A1457" s="45"/>
      <c r="B1457" s="44" t="s">
        <v>6637</v>
      </c>
      <c r="C1457" s="50"/>
      <c r="D1457" s="10" t="s">
        <v>29</v>
      </c>
      <c r="E1457" s="11"/>
      <c r="F1457" s="11" t="s">
        <v>18</v>
      </c>
      <c r="G1457" s="13"/>
      <c r="H1457" s="45" t="s">
        <v>16</v>
      </c>
      <c r="I1457" s="47"/>
      <c r="J1457" s="12" t="s">
        <v>1126</v>
      </c>
      <c r="K1457" s="13" t="s">
        <v>8227</v>
      </c>
      <c r="L1457" s="99" t="str">
        <f t="shared" si="128"/>
        <v>W1256.0</v>
      </c>
      <c r="M1457" s="45"/>
      <c r="N1457" s="47"/>
      <c r="O1457" s="47"/>
      <c r="P1457" s="47"/>
      <c r="Q1457" s="45"/>
      <c r="R1457" s="45"/>
      <c r="S1457" s="48"/>
    </row>
    <row r="1458" spans="1:19" s="49" customFormat="1" ht="14.15" customHeight="1">
      <c r="A1458" s="45"/>
      <c r="B1458" s="44" t="s">
        <v>6637</v>
      </c>
      <c r="C1458" s="50"/>
      <c r="D1458" s="10" t="s">
        <v>29</v>
      </c>
      <c r="E1458" s="11"/>
      <c r="F1458" s="11" t="s">
        <v>18</v>
      </c>
      <c r="G1458" s="13"/>
      <c r="H1458" s="45" t="s">
        <v>16</v>
      </c>
      <c r="I1458" s="47"/>
      <c r="J1458" s="12" t="s">
        <v>1127</v>
      </c>
      <c r="K1458" s="13" t="s">
        <v>8228</v>
      </c>
      <c r="L1458" s="99" t="str">
        <f t="shared" si="128"/>
        <v>W1256.1</v>
      </c>
      <c r="M1458" s="45"/>
      <c r="N1458" s="47"/>
      <c r="O1458" s="47"/>
      <c r="P1458" s="47"/>
      <c r="Q1458" s="45"/>
      <c r="R1458" s="45"/>
      <c r="S1458" s="48"/>
    </row>
    <row r="1459" spans="1:19" s="49" customFormat="1" ht="14.15" customHeight="1">
      <c r="A1459" s="43" t="s">
        <v>3755</v>
      </c>
      <c r="B1459" s="44" t="s">
        <v>6637</v>
      </c>
      <c r="C1459" s="50"/>
      <c r="D1459" s="10" t="s">
        <v>29</v>
      </c>
      <c r="E1459" s="11"/>
      <c r="F1459" s="11" t="s">
        <v>18</v>
      </c>
      <c r="G1459" s="13"/>
      <c r="H1459" s="45" t="s">
        <v>16</v>
      </c>
      <c r="I1459" s="47"/>
      <c r="J1459" s="12" t="s">
        <v>3646</v>
      </c>
      <c r="K1459" s="13" t="s">
        <v>8229</v>
      </c>
      <c r="L1459" s="99" t="str">
        <f t="shared" si="128"/>
        <v>W1256.2</v>
      </c>
      <c r="M1459" s="13" t="s">
        <v>3667</v>
      </c>
      <c r="N1459" s="47"/>
      <c r="O1459" s="47"/>
      <c r="P1459" s="47"/>
      <c r="Q1459" s="45"/>
      <c r="R1459" s="45"/>
      <c r="S1459" s="48"/>
    </row>
    <row r="1460" spans="1:19" s="49" customFormat="1" ht="14.15" customHeight="1">
      <c r="A1460" s="45"/>
      <c r="B1460" s="44" t="s">
        <v>6637</v>
      </c>
      <c r="C1460" s="50"/>
      <c r="D1460" s="10" t="s">
        <v>29</v>
      </c>
      <c r="E1460" s="11"/>
      <c r="F1460" s="11" t="s">
        <v>18</v>
      </c>
      <c r="G1460" s="13"/>
      <c r="H1460" s="45" t="s">
        <v>16</v>
      </c>
      <c r="I1460" s="47"/>
      <c r="J1460" s="12" t="s">
        <v>3325</v>
      </c>
      <c r="K1460" s="13" t="s">
        <v>8230</v>
      </c>
      <c r="L1460" s="99" t="str">
        <f t="shared" si="128"/>
        <v>W1256.3</v>
      </c>
      <c r="M1460" s="45"/>
      <c r="N1460" s="47"/>
      <c r="O1460" s="47"/>
      <c r="P1460" s="47"/>
      <c r="Q1460" s="45"/>
      <c r="R1460" s="45"/>
      <c r="S1460" s="48"/>
    </row>
    <row r="1461" spans="1:19" s="49" customFormat="1" ht="14.15" customHeight="1">
      <c r="A1461" s="45"/>
      <c r="B1461" s="44" t="s">
        <v>6637</v>
      </c>
      <c r="C1461" s="50"/>
      <c r="D1461" s="10" t="s">
        <v>29</v>
      </c>
      <c r="E1461" s="11"/>
      <c r="F1461" s="11" t="s">
        <v>18</v>
      </c>
      <c r="G1461" s="13"/>
      <c r="H1461" s="45" t="s">
        <v>16</v>
      </c>
      <c r="I1461" s="47"/>
      <c r="J1461" s="12" t="s">
        <v>3324</v>
      </c>
      <c r="K1461" s="13" t="s">
        <v>8231</v>
      </c>
      <c r="L1461" s="99" t="str">
        <f t="shared" si="128"/>
        <v>W1256.4</v>
      </c>
      <c r="M1461" s="45"/>
      <c r="N1461" s="47"/>
      <c r="O1461" s="47"/>
      <c r="P1461" s="47"/>
      <c r="Q1461" s="45"/>
      <c r="R1461" s="45"/>
      <c r="S1461" s="48"/>
    </row>
    <row r="1462" spans="1:19" s="49" customFormat="1" ht="14.15" customHeight="1">
      <c r="A1462" s="45"/>
      <c r="B1462" s="44" t="s">
        <v>6637</v>
      </c>
      <c r="C1462" s="50"/>
      <c r="D1462" s="10" t="s">
        <v>29</v>
      </c>
      <c r="E1462" s="11"/>
      <c r="F1462" s="11" t="s">
        <v>18</v>
      </c>
      <c r="G1462" s="13"/>
      <c r="H1462" s="45" t="s">
        <v>16</v>
      </c>
      <c r="I1462" s="47"/>
      <c r="J1462" s="12" t="s">
        <v>3326</v>
      </c>
      <c r="K1462" s="13" t="s">
        <v>8232</v>
      </c>
      <c r="L1462" s="99" t="str">
        <f t="shared" si="128"/>
        <v>W1256.5</v>
      </c>
      <c r="M1462" s="45"/>
      <c r="N1462" s="47"/>
      <c r="O1462" s="47"/>
      <c r="P1462" s="47"/>
      <c r="Q1462" s="45"/>
      <c r="R1462" s="45"/>
      <c r="S1462" s="48"/>
    </row>
    <row r="1463" spans="1:19" s="49" customFormat="1" ht="14.15" customHeight="1">
      <c r="A1463" s="45"/>
      <c r="B1463" s="44" t="s">
        <v>6637</v>
      </c>
      <c r="C1463" s="50"/>
      <c r="D1463" s="10" t="s">
        <v>29</v>
      </c>
      <c r="E1463" s="11"/>
      <c r="F1463" s="11" t="s">
        <v>18</v>
      </c>
      <c r="G1463" s="13"/>
      <c r="H1463" s="45" t="s">
        <v>16</v>
      </c>
      <c r="I1463" s="47"/>
      <c r="J1463" s="12" t="s">
        <v>3327</v>
      </c>
      <c r="K1463" s="13" t="s">
        <v>8233</v>
      </c>
      <c r="L1463" s="99" t="str">
        <f t="shared" si="128"/>
        <v>W1256.6</v>
      </c>
      <c r="M1463" s="45"/>
      <c r="N1463" s="47"/>
      <c r="O1463" s="47"/>
      <c r="P1463" s="47"/>
      <c r="Q1463" s="45"/>
      <c r="R1463" s="45"/>
      <c r="S1463" s="48"/>
    </row>
    <row r="1464" spans="1:19" s="49" customFormat="1" ht="14.15" customHeight="1">
      <c r="A1464" s="45"/>
      <c r="B1464" s="44" t="s">
        <v>6637</v>
      </c>
      <c r="C1464" s="50"/>
      <c r="D1464" s="10" t="s">
        <v>29</v>
      </c>
      <c r="E1464" s="11"/>
      <c r="F1464" s="11" t="s">
        <v>18</v>
      </c>
      <c r="G1464" s="13"/>
      <c r="H1464" s="45" t="s">
        <v>16</v>
      </c>
      <c r="I1464" s="47"/>
      <c r="J1464" s="12" t="s">
        <v>3328</v>
      </c>
      <c r="K1464" s="13" t="s">
        <v>8234</v>
      </c>
      <c r="L1464" s="99" t="str">
        <f t="shared" si="128"/>
        <v>W1256.7</v>
      </c>
      <c r="M1464" s="45"/>
      <c r="N1464" s="47"/>
      <c r="O1464" s="47"/>
      <c r="P1464" s="47"/>
      <c r="Q1464" s="45"/>
      <c r="R1464" s="45"/>
      <c r="S1464" s="48"/>
    </row>
    <row r="1465" spans="1:19" s="49" customFormat="1" ht="14.15" customHeight="1">
      <c r="A1465" s="45"/>
      <c r="B1465" s="44" t="s">
        <v>6637</v>
      </c>
      <c r="C1465" s="50"/>
      <c r="D1465" s="10" t="s">
        <v>29</v>
      </c>
      <c r="E1465" s="11"/>
      <c r="F1465" s="11" t="s">
        <v>18</v>
      </c>
      <c r="G1465" s="13"/>
      <c r="H1465" s="45" t="s">
        <v>16</v>
      </c>
      <c r="I1465" s="47"/>
      <c r="J1465" s="12" t="s">
        <v>3329</v>
      </c>
      <c r="K1465" s="13" t="s">
        <v>8235</v>
      </c>
      <c r="L1465" s="99" t="str">
        <f t="shared" si="128"/>
        <v>W1256.8</v>
      </c>
      <c r="M1465" s="45"/>
      <c r="N1465" s="47"/>
      <c r="O1465" s="47"/>
      <c r="P1465" s="47"/>
      <c r="Q1465" s="45"/>
      <c r="R1465" s="45"/>
      <c r="S1465" s="48"/>
    </row>
    <row r="1466" spans="1:19" s="49" customFormat="1" ht="14.15" customHeight="1">
      <c r="A1466" s="45"/>
      <c r="B1466" s="44" t="s">
        <v>6637</v>
      </c>
      <c r="C1466" s="50"/>
      <c r="D1466" s="10" t="s">
        <v>29</v>
      </c>
      <c r="E1466" s="11"/>
      <c r="F1466" s="11" t="s">
        <v>18</v>
      </c>
      <c r="G1466" s="13"/>
      <c r="H1466" s="45" t="s">
        <v>16</v>
      </c>
      <c r="I1466" s="47"/>
      <c r="J1466" s="12" t="s">
        <v>3330</v>
      </c>
      <c r="K1466" s="13" t="s">
        <v>8236</v>
      </c>
      <c r="L1466" s="99" t="str">
        <f t="shared" si="128"/>
        <v>W1256.9</v>
      </c>
      <c r="M1466" s="45"/>
      <c r="N1466" s="47"/>
      <c r="O1466" s="47"/>
      <c r="P1466" s="47"/>
      <c r="Q1466" s="45"/>
      <c r="R1466" s="45"/>
      <c r="S1466" s="48"/>
    </row>
    <row r="1467" spans="1:19" s="49" customFormat="1" ht="14.15" customHeight="1">
      <c r="A1467" s="45"/>
      <c r="B1467" s="44" t="s">
        <v>6637</v>
      </c>
      <c r="C1467" s="50"/>
      <c r="D1467" s="10" t="s">
        <v>29</v>
      </c>
      <c r="E1467" s="11"/>
      <c r="F1467" s="11" t="s">
        <v>18</v>
      </c>
      <c r="G1467" s="13"/>
      <c r="H1467" s="45" t="s">
        <v>16</v>
      </c>
      <c r="I1467" s="47"/>
      <c r="J1467" s="12" t="s">
        <v>3331</v>
      </c>
      <c r="K1467" s="13" t="s">
        <v>8237</v>
      </c>
      <c r="L1467" s="99" t="str">
        <f t="shared" si="128"/>
        <v>W1256.A</v>
      </c>
      <c r="M1467" s="45"/>
      <c r="N1467" s="47"/>
      <c r="O1467" s="47"/>
      <c r="P1467" s="47"/>
      <c r="Q1467" s="45"/>
      <c r="R1467" s="45"/>
      <c r="S1467" s="48"/>
    </row>
    <row r="1468" spans="1:19" s="49" customFormat="1" ht="14.15" customHeight="1">
      <c r="A1468" s="45"/>
      <c r="B1468" s="44" t="s">
        <v>6637</v>
      </c>
      <c r="C1468" s="50"/>
      <c r="D1468" s="10" t="s">
        <v>29</v>
      </c>
      <c r="E1468" s="11"/>
      <c r="F1468" s="11" t="s">
        <v>18</v>
      </c>
      <c r="G1468" s="13"/>
      <c r="H1468" s="45" t="s">
        <v>16</v>
      </c>
      <c r="I1468" s="47"/>
      <c r="J1468" s="12" t="s">
        <v>3332</v>
      </c>
      <c r="K1468" s="13" t="s">
        <v>8238</v>
      </c>
      <c r="L1468" s="99" t="str">
        <f t="shared" si="128"/>
        <v>W1256.B</v>
      </c>
      <c r="M1468" s="45"/>
      <c r="N1468" s="47"/>
      <c r="O1468" s="47"/>
      <c r="P1468" s="47"/>
      <c r="Q1468" s="45"/>
      <c r="R1468" s="45"/>
      <c r="S1468" s="48"/>
    </row>
    <row r="1469" spans="1:19" s="49" customFormat="1" ht="14.15" customHeight="1">
      <c r="A1469" s="45"/>
      <c r="B1469" s="44" t="s">
        <v>6637</v>
      </c>
      <c r="C1469" s="50"/>
      <c r="D1469" s="10" t="s">
        <v>29</v>
      </c>
      <c r="E1469" s="11"/>
      <c r="F1469" s="11" t="s">
        <v>18</v>
      </c>
      <c r="G1469" s="13"/>
      <c r="H1469" s="45" t="s">
        <v>16</v>
      </c>
      <c r="I1469" s="47"/>
      <c r="J1469" s="12" t="s">
        <v>3333</v>
      </c>
      <c r="K1469" s="13" t="s">
        <v>8239</v>
      </c>
      <c r="L1469" s="99" t="str">
        <f t="shared" si="128"/>
        <v>W1256.C</v>
      </c>
      <c r="M1469" s="45"/>
      <c r="N1469" s="47"/>
      <c r="O1469" s="47"/>
      <c r="P1469" s="47"/>
      <c r="Q1469" s="45"/>
      <c r="R1469" s="45"/>
      <c r="S1469" s="48"/>
    </row>
    <row r="1470" spans="1:19" s="49" customFormat="1" ht="14.15" customHeight="1">
      <c r="A1470" s="43" t="s">
        <v>3763</v>
      </c>
      <c r="B1470" s="44" t="s">
        <v>6637</v>
      </c>
      <c r="C1470" s="50"/>
      <c r="D1470" s="10" t="s">
        <v>29</v>
      </c>
      <c r="E1470" s="11"/>
      <c r="F1470" s="11" t="s">
        <v>18</v>
      </c>
      <c r="G1470" s="13"/>
      <c r="H1470" s="45" t="s">
        <v>16</v>
      </c>
      <c r="I1470" s="47"/>
      <c r="J1470" s="12" t="s">
        <v>3492</v>
      </c>
      <c r="K1470" s="13" t="s">
        <v>8240</v>
      </c>
      <c r="L1470" s="99" t="str">
        <f t="shared" si="128"/>
        <v>W1256.D</v>
      </c>
      <c r="M1470" s="13" t="s">
        <v>3667</v>
      </c>
      <c r="N1470" s="47"/>
      <c r="O1470" s="47"/>
      <c r="P1470" s="47"/>
      <c r="Q1470" s="45"/>
      <c r="R1470" s="45"/>
      <c r="S1470" s="48"/>
    </row>
    <row r="1471" spans="1:19" s="49" customFormat="1" ht="14.15" customHeight="1">
      <c r="A1471" s="43" t="s">
        <v>3763</v>
      </c>
      <c r="B1471" s="44" t="s">
        <v>6637</v>
      </c>
      <c r="C1471" s="50"/>
      <c r="D1471" s="10" t="s">
        <v>29</v>
      </c>
      <c r="E1471" s="11"/>
      <c r="F1471" s="11" t="s">
        <v>18</v>
      </c>
      <c r="G1471" s="13"/>
      <c r="H1471" s="45" t="s">
        <v>16</v>
      </c>
      <c r="I1471" s="47"/>
      <c r="J1471" s="12" t="s">
        <v>3493</v>
      </c>
      <c r="K1471" s="13" t="s">
        <v>8241</v>
      </c>
      <c r="L1471" s="99" t="str">
        <f t="shared" si="128"/>
        <v>W1256.E</v>
      </c>
      <c r="M1471" s="13" t="s">
        <v>3667</v>
      </c>
      <c r="N1471" s="47"/>
      <c r="O1471" s="47"/>
      <c r="P1471" s="47"/>
      <c r="Q1471" s="45"/>
      <c r="R1471" s="45"/>
      <c r="S1471" s="48"/>
    </row>
    <row r="1472" spans="1:19" s="49" customFormat="1" ht="14.15" customHeight="1">
      <c r="A1472" s="43" t="s">
        <v>3763</v>
      </c>
      <c r="B1472" s="44" t="s">
        <v>6637</v>
      </c>
      <c r="C1472" s="50"/>
      <c r="D1472" s="10" t="s">
        <v>29</v>
      </c>
      <c r="E1472" s="11"/>
      <c r="F1472" s="11" t="s">
        <v>18</v>
      </c>
      <c r="G1472" s="13"/>
      <c r="H1472" s="45" t="s">
        <v>16</v>
      </c>
      <c r="I1472" s="47"/>
      <c r="J1472" s="12" t="s">
        <v>3494</v>
      </c>
      <c r="K1472" s="13" t="s">
        <v>8242</v>
      </c>
      <c r="L1472" s="99" t="str">
        <f t="shared" si="128"/>
        <v>W1256.F</v>
      </c>
      <c r="M1472" s="13" t="s">
        <v>3667</v>
      </c>
      <c r="N1472" s="47"/>
      <c r="O1472" s="47"/>
      <c r="P1472" s="47"/>
      <c r="Q1472" s="45"/>
      <c r="R1472" s="45"/>
      <c r="S1472" s="48"/>
    </row>
    <row r="1473" spans="1:19" s="49" customFormat="1" ht="14.15" customHeight="1">
      <c r="A1473" s="45"/>
      <c r="B1473" s="44" t="s">
        <v>6637</v>
      </c>
      <c r="C1473" s="50"/>
      <c r="D1473" s="10" t="s">
        <v>29</v>
      </c>
      <c r="E1473" s="11"/>
      <c r="F1473" s="11" t="s">
        <v>18</v>
      </c>
      <c r="G1473" s="13"/>
      <c r="H1473" s="45" t="s">
        <v>16</v>
      </c>
      <c r="I1473" s="47"/>
      <c r="J1473" s="12" t="s">
        <v>1142</v>
      </c>
      <c r="K1473" s="13" t="s">
        <v>8243</v>
      </c>
      <c r="L1473" s="99" t="str">
        <f t="shared" si="128"/>
        <v>W1257.0</v>
      </c>
      <c r="M1473" s="45"/>
      <c r="N1473" s="47"/>
      <c r="O1473" s="47"/>
      <c r="P1473" s="47"/>
      <c r="Q1473" s="45"/>
      <c r="R1473" s="45"/>
      <c r="S1473" s="48"/>
    </row>
    <row r="1474" spans="1:19" s="49" customFormat="1" ht="14.15" customHeight="1">
      <c r="A1474" s="43" t="s">
        <v>3763</v>
      </c>
      <c r="B1474" s="44" t="s">
        <v>6637</v>
      </c>
      <c r="C1474" s="50"/>
      <c r="D1474" s="10" t="s">
        <v>29</v>
      </c>
      <c r="E1474" s="11"/>
      <c r="F1474" s="11" t="s">
        <v>18</v>
      </c>
      <c r="G1474" s="13"/>
      <c r="H1474" s="45" t="s">
        <v>16</v>
      </c>
      <c r="I1474" s="47"/>
      <c r="J1474" s="12" t="s">
        <v>3495</v>
      </c>
      <c r="K1474" s="13" t="s">
        <v>8244</v>
      </c>
      <c r="L1474" s="99" t="str">
        <f t="shared" si="128"/>
        <v>W1257.1</v>
      </c>
      <c r="M1474" s="13" t="s">
        <v>3667</v>
      </c>
      <c r="N1474" s="47"/>
      <c r="O1474" s="47"/>
      <c r="P1474" s="47"/>
      <c r="Q1474" s="45"/>
      <c r="R1474" s="45"/>
      <c r="S1474" s="48"/>
    </row>
    <row r="1475" spans="1:19" s="49" customFormat="1" ht="14.15" customHeight="1">
      <c r="A1475" s="45"/>
      <c r="B1475" s="44" t="s">
        <v>6637</v>
      </c>
      <c r="C1475" s="50"/>
      <c r="D1475" s="10" t="s">
        <v>29</v>
      </c>
      <c r="E1475" s="11"/>
      <c r="F1475" s="11" t="s">
        <v>18</v>
      </c>
      <c r="G1475" s="13"/>
      <c r="H1475" s="45" t="s">
        <v>16</v>
      </c>
      <c r="I1475" s="47"/>
      <c r="J1475" s="12" t="s">
        <v>1144</v>
      </c>
      <c r="K1475" s="13" t="s">
        <v>8245</v>
      </c>
      <c r="L1475" s="99" t="str">
        <f t="shared" si="128"/>
        <v>W1257.2</v>
      </c>
      <c r="M1475" s="45"/>
      <c r="N1475" s="47"/>
      <c r="O1475" s="47"/>
      <c r="P1475" s="47"/>
      <c r="Q1475" s="45"/>
      <c r="R1475" s="45"/>
      <c r="S1475" s="48"/>
    </row>
    <row r="1476" spans="1:19" s="49" customFormat="1" ht="14.15" customHeight="1">
      <c r="A1476" s="45"/>
      <c r="B1476" s="44" t="s">
        <v>6637</v>
      </c>
      <c r="C1476" s="50"/>
      <c r="D1476" s="10" t="s">
        <v>29</v>
      </c>
      <c r="E1476" s="11"/>
      <c r="F1476" s="11" t="s">
        <v>18</v>
      </c>
      <c r="G1476" s="13"/>
      <c r="H1476" s="45" t="s">
        <v>16</v>
      </c>
      <c r="I1476" s="47"/>
      <c r="J1476" s="12" t="s">
        <v>1145</v>
      </c>
      <c r="K1476" s="13" t="s">
        <v>8246</v>
      </c>
      <c r="L1476" s="99" t="str">
        <f t="shared" si="128"/>
        <v>W1257.3</v>
      </c>
      <c r="M1476" s="45"/>
      <c r="N1476" s="47"/>
      <c r="O1476" s="47"/>
      <c r="P1476" s="47"/>
      <c r="Q1476" s="45"/>
      <c r="R1476" s="45"/>
      <c r="S1476" s="48"/>
    </row>
    <row r="1477" spans="1:19" s="49" customFormat="1" ht="14.15" customHeight="1">
      <c r="A1477" s="45"/>
      <c r="B1477" s="44" t="s">
        <v>6637</v>
      </c>
      <c r="C1477" s="50"/>
      <c r="D1477" s="10" t="s">
        <v>29</v>
      </c>
      <c r="E1477" s="11"/>
      <c r="F1477" s="11" t="s">
        <v>18</v>
      </c>
      <c r="G1477" s="13"/>
      <c r="H1477" s="45" t="s">
        <v>16</v>
      </c>
      <c r="I1477" s="47"/>
      <c r="J1477" s="12" t="s">
        <v>1146</v>
      </c>
      <c r="K1477" s="13" t="s">
        <v>8247</v>
      </c>
      <c r="L1477" s="99" t="str">
        <f t="shared" si="128"/>
        <v>W1257.4</v>
      </c>
      <c r="M1477" s="45"/>
      <c r="N1477" s="47"/>
      <c r="O1477" s="47"/>
      <c r="P1477" s="47"/>
      <c r="Q1477" s="45"/>
      <c r="R1477" s="45"/>
      <c r="S1477" s="48"/>
    </row>
    <row r="1478" spans="1:19" s="49" customFormat="1" ht="14.15" customHeight="1">
      <c r="A1478" s="45"/>
      <c r="B1478" s="44" t="s">
        <v>6637</v>
      </c>
      <c r="C1478" s="50"/>
      <c r="D1478" s="10" t="s">
        <v>29</v>
      </c>
      <c r="E1478" s="11"/>
      <c r="F1478" s="11" t="s">
        <v>18</v>
      </c>
      <c r="G1478" s="13"/>
      <c r="H1478" s="45" t="s">
        <v>16</v>
      </c>
      <c r="I1478" s="47"/>
      <c r="J1478" s="12" t="s">
        <v>1147</v>
      </c>
      <c r="K1478" s="13" t="s">
        <v>8248</v>
      </c>
      <c r="L1478" s="99" t="str">
        <f t="shared" si="128"/>
        <v>W1257.5</v>
      </c>
      <c r="M1478" s="45"/>
      <c r="N1478" s="47"/>
      <c r="O1478" s="47"/>
      <c r="P1478" s="47"/>
      <c r="Q1478" s="45"/>
      <c r="R1478" s="45"/>
      <c r="S1478" s="48"/>
    </row>
    <row r="1479" spans="1:19" s="49" customFormat="1" ht="14.15" customHeight="1">
      <c r="A1479" s="43" t="s">
        <v>3763</v>
      </c>
      <c r="B1479" s="44" t="s">
        <v>6637</v>
      </c>
      <c r="C1479" s="50"/>
      <c r="D1479" s="10" t="s">
        <v>29</v>
      </c>
      <c r="E1479" s="11"/>
      <c r="F1479" s="11" t="s">
        <v>18</v>
      </c>
      <c r="G1479" s="13"/>
      <c r="H1479" s="45" t="s">
        <v>16</v>
      </c>
      <c r="I1479" s="47"/>
      <c r="J1479" s="12" t="s">
        <v>1148</v>
      </c>
      <c r="K1479" s="13" t="s">
        <v>8249</v>
      </c>
      <c r="L1479" s="99" t="str">
        <f t="shared" si="128"/>
        <v>W1257.6</v>
      </c>
      <c r="M1479" s="45"/>
      <c r="N1479" s="47"/>
      <c r="O1479" s="47"/>
      <c r="P1479" s="47"/>
      <c r="Q1479" s="45"/>
      <c r="R1479" s="45"/>
      <c r="S1479" s="48"/>
    </row>
    <row r="1480" spans="1:19" s="49" customFormat="1" ht="14.15" customHeight="1">
      <c r="A1480" s="43" t="s">
        <v>3763</v>
      </c>
      <c r="B1480" s="44" t="s">
        <v>6637</v>
      </c>
      <c r="C1480" s="50"/>
      <c r="D1480" s="10" t="s">
        <v>29</v>
      </c>
      <c r="E1480" s="11"/>
      <c r="F1480" s="11" t="s">
        <v>18</v>
      </c>
      <c r="G1480" s="13"/>
      <c r="H1480" s="45" t="s">
        <v>16</v>
      </c>
      <c r="I1480" s="47"/>
      <c r="J1480" s="12" t="s">
        <v>3496</v>
      </c>
      <c r="K1480" s="13" t="s">
        <v>8250</v>
      </c>
      <c r="L1480" s="99" t="str">
        <f t="shared" si="128"/>
        <v>W1257.7</v>
      </c>
      <c r="M1480" s="13" t="s">
        <v>3667</v>
      </c>
      <c r="N1480" s="47"/>
      <c r="O1480" s="47"/>
      <c r="P1480" s="47"/>
      <c r="Q1480" s="45"/>
      <c r="R1480" s="45"/>
      <c r="S1480" s="48"/>
    </row>
    <row r="1481" spans="1:19" s="49" customFormat="1" ht="14.15" customHeight="1">
      <c r="A1481" s="43"/>
      <c r="B1481" s="44" t="s">
        <v>6637</v>
      </c>
      <c r="C1481" s="50"/>
      <c r="D1481" s="10" t="s">
        <v>29</v>
      </c>
      <c r="E1481" s="11"/>
      <c r="F1481" s="11" t="s">
        <v>18</v>
      </c>
      <c r="G1481" s="13"/>
      <c r="H1481" s="45" t="s">
        <v>16</v>
      </c>
      <c r="I1481" s="47"/>
      <c r="J1481" s="12" t="s">
        <v>3497</v>
      </c>
      <c r="K1481" s="13" t="s">
        <v>8251</v>
      </c>
      <c r="L1481" s="99" t="str">
        <f t="shared" si="128"/>
        <v>W1257.8</v>
      </c>
      <c r="M1481" s="13" t="s">
        <v>3667</v>
      </c>
      <c r="N1481" s="47"/>
      <c r="O1481" s="47"/>
      <c r="P1481" s="47"/>
      <c r="Q1481" s="45"/>
      <c r="R1481" s="45"/>
      <c r="S1481" s="48"/>
    </row>
    <row r="1482" spans="1:19" s="49" customFormat="1" ht="14.15" customHeight="1">
      <c r="A1482" s="45"/>
      <c r="B1482" s="44" t="s">
        <v>6637</v>
      </c>
      <c r="C1482" s="50"/>
      <c r="D1482" s="10" t="s">
        <v>29</v>
      </c>
      <c r="E1482" s="11"/>
      <c r="F1482" s="11" t="s">
        <v>18</v>
      </c>
      <c r="G1482" s="13"/>
      <c r="H1482" s="45" t="s">
        <v>16</v>
      </c>
      <c r="I1482" s="47"/>
      <c r="J1482" s="12" t="s">
        <v>1151</v>
      </c>
      <c r="K1482" s="13" t="s">
        <v>8252</v>
      </c>
      <c r="L1482" s="99" t="str">
        <f t="shared" si="128"/>
        <v>W1257.9</v>
      </c>
      <c r="M1482" s="45"/>
      <c r="N1482" s="47"/>
      <c r="O1482" s="47"/>
      <c r="P1482" s="47"/>
      <c r="Q1482" s="45"/>
      <c r="R1482" s="45"/>
      <c r="S1482" s="48"/>
    </row>
    <row r="1483" spans="1:19" s="49" customFormat="1" ht="14.15" customHeight="1">
      <c r="A1483" s="45"/>
      <c r="B1483" s="44" t="s">
        <v>6637</v>
      </c>
      <c r="C1483" s="50"/>
      <c r="D1483" s="10" t="s">
        <v>29</v>
      </c>
      <c r="E1483" s="11"/>
      <c r="F1483" s="11" t="s">
        <v>18</v>
      </c>
      <c r="G1483" s="13"/>
      <c r="H1483" s="45" t="s">
        <v>16</v>
      </c>
      <c r="I1483" s="47"/>
      <c r="J1483" s="12" t="s">
        <v>1152</v>
      </c>
      <c r="K1483" s="13" t="s">
        <v>8253</v>
      </c>
      <c r="L1483" s="99" t="str">
        <f t="shared" si="128"/>
        <v>W1257.A</v>
      </c>
      <c r="M1483" s="45"/>
      <c r="N1483" s="47"/>
      <c r="O1483" s="47"/>
      <c r="P1483" s="47"/>
      <c r="Q1483" s="45"/>
      <c r="R1483" s="45"/>
      <c r="S1483" s="48"/>
    </row>
    <row r="1484" spans="1:19" s="49" customFormat="1" ht="14.15" customHeight="1">
      <c r="A1484" s="45"/>
      <c r="B1484" s="44" t="s">
        <v>6637</v>
      </c>
      <c r="C1484" s="50"/>
      <c r="D1484" s="10" t="s">
        <v>29</v>
      </c>
      <c r="E1484" s="11"/>
      <c r="F1484" s="11" t="s">
        <v>18</v>
      </c>
      <c r="G1484" s="13"/>
      <c r="H1484" s="45" t="s">
        <v>16</v>
      </c>
      <c r="I1484" s="47"/>
      <c r="J1484" s="12" t="s">
        <v>1153</v>
      </c>
      <c r="K1484" s="13" t="s">
        <v>8254</v>
      </c>
      <c r="L1484" s="99" t="str">
        <f t="shared" si="128"/>
        <v>W1257.B</v>
      </c>
      <c r="M1484" s="45"/>
      <c r="N1484" s="47"/>
      <c r="O1484" s="47"/>
      <c r="P1484" s="47"/>
      <c r="Q1484" s="45"/>
      <c r="R1484" s="45"/>
      <c r="S1484" s="48"/>
    </row>
    <row r="1485" spans="1:19" s="49" customFormat="1" ht="14.15" customHeight="1">
      <c r="A1485" s="45"/>
      <c r="B1485" s="44" t="s">
        <v>6637</v>
      </c>
      <c r="C1485" s="50"/>
      <c r="D1485" s="10" t="s">
        <v>29</v>
      </c>
      <c r="E1485" s="11"/>
      <c r="F1485" s="11" t="s">
        <v>18</v>
      </c>
      <c r="G1485" s="13"/>
      <c r="H1485" s="45" t="s">
        <v>16</v>
      </c>
      <c r="I1485" s="47"/>
      <c r="J1485" s="12" t="s">
        <v>1154</v>
      </c>
      <c r="K1485" s="13" t="s">
        <v>8255</v>
      </c>
      <c r="L1485" s="99" t="str">
        <f t="shared" si="128"/>
        <v>W1257.C</v>
      </c>
      <c r="M1485" s="45"/>
      <c r="N1485" s="47"/>
      <c r="O1485" s="47"/>
      <c r="P1485" s="47"/>
      <c r="Q1485" s="45"/>
      <c r="R1485" s="45"/>
      <c r="S1485" s="48"/>
    </row>
    <row r="1486" spans="1:19" s="49" customFormat="1" ht="14.15" customHeight="1">
      <c r="A1486" s="45"/>
      <c r="B1486" s="44" t="s">
        <v>6637</v>
      </c>
      <c r="C1486" s="50"/>
      <c r="D1486" s="10" t="s">
        <v>29</v>
      </c>
      <c r="E1486" s="11"/>
      <c r="F1486" s="11" t="s">
        <v>18</v>
      </c>
      <c r="G1486" s="13"/>
      <c r="H1486" s="45" t="s">
        <v>16</v>
      </c>
      <c r="I1486" s="47"/>
      <c r="J1486" s="12" t="s">
        <v>1155</v>
      </c>
      <c r="K1486" s="13" t="s">
        <v>8256</v>
      </c>
      <c r="L1486" s="99" t="str">
        <f t="shared" si="128"/>
        <v>W1257.D</v>
      </c>
      <c r="M1486" s="45"/>
      <c r="N1486" s="47"/>
      <c r="O1486" s="47"/>
      <c r="P1486" s="47"/>
      <c r="Q1486" s="45"/>
      <c r="R1486" s="45"/>
      <c r="S1486" s="48"/>
    </row>
    <row r="1487" spans="1:19" s="49" customFormat="1" ht="14.15" customHeight="1">
      <c r="A1487" s="45"/>
      <c r="B1487" s="44" t="s">
        <v>6637</v>
      </c>
      <c r="C1487" s="50"/>
      <c r="D1487" s="10" t="s">
        <v>29</v>
      </c>
      <c r="E1487" s="11"/>
      <c r="F1487" s="11" t="s">
        <v>18</v>
      </c>
      <c r="G1487" s="13"/>
      <c r="H1487" s="45" t="s">
        <v>16</v>
      </c>
      <c r="I1487" s="47"/>
      <c r="J1487" s="12" t="s">
        <v>1156</v>
      </c>
      <c r="K1487" s="13" t="s">
        <v>8257</v>
      </c>
      <c r="L1487" s="99" t="str">
        <f t="shared" si="128"/>
        <v>W1257.E</v>
      </c>
      <c r="M1487" s="45"/>
      <c r="N1487" s="47"/>
      <c r="O1487" s="47"/>
      <c r="P1487" s="47"/>
      <c r="Q1487" s="45"/>
      <c r="R1487" s="45"/>
      <c r="S1487" s="48"/>
    </row>
    <row r="1488" spans="1:19" s="49" customFormat="1" ht="14.15" customHeight="1">
      <c r="A1488" s="45"/>
      <c r="B1488" s="44" t="s">
        <v>6637</v>
      </c>
      <c r="C1488" s="50"/>
      <c r="D1488" s="10" t="s">
        <v>29</v>
      </c>
      <c r="E1488" s="11"/>
      <c r="F1488" s="11" t="s">
        <v>18</v>
      </c>
      <c r="G1488" s="13"/>
      <c r="H1488" s="45" t="s">
        <v>16</v>
      </c>
      <c r="I1488" s="47"/>
      <c r="J1488" s="12" t="s">
        <v>1157</v>
      </c>
      <c r="K1488" s="13" t="s">
        <v>8258</v>
      </c>
      <c r="L1488" s="99" t="str">
        <f t="shared" si="128"/>
        <v>W1257.F</v>
      </c>
      <c r="M1488" s="45"/>
      <c r="N1488" s="47"/>
      <c r="O1488" s="47"/>
      <c r="P1488" s="47"/>
      <c r="Q1488" s="45"/>
      <c r="R1488" s="45"/>
      <c r="S1488" s="48"/>
    </row>
    <row r="1489" spans="1:19" s="49" customFormat="1" ht="14.15" customHeight="1">
      <c r="A1489" s="45"/>
      <c r="B1489" s="44" t="s">
        <v>6637</v>
      </c>
      <c r="C1489" s="50"/>
      <c r="D1489" s="10" t="s">
        <v>29</v>
      </c>
      <c r="E1489" s="11"/>
      <c r="F1489" s="11" t="s">
        <v>18</v>
      </c>
      <c r="G1489" s="13"/>
      <c r="H1489" s="45" t="s">
        <v>16</v>
      </c>
      <c r="I1489" s="47"/>
      <c r="J1489" s="12" t="s">
        <v>1158</v>
      </c>
      <c r="K1489" s="13" t="s">
        <v>8259</v>
      </c>
      <c r="L1489" s="99" t="str">
        <f t="shared" si="128"/>
        <v>W1258.0</v>
      </c>
      <c r="M1489" s="45"/>
      <c r="N1489" s="47"/>
      <c r="O1489" s="47"/>
      <c r="P1489" s="47"/>
      <c r="Q1489" s="45"/>
      <c r="R1489" s="45"/>
      <c r="S1489" s="48"/>
    </row>
    <row r="1490" spans="1:19" s="49" customFormat="1" ht="14.15" customHeight="1">
      <c r="A1490" s="43" t="s">
        <v>3763</v>
      </c>
      <c r="B1490" s="44" t="s">
        <v>6637</v>
      </c>
      <c r="C1490" s="50"/>
      <c r="D1490" s="10" t="s">
        <v>29</v>
      </c>
      <c r="E1490" s="11"/>
      <c r="F1490" s="11" t="s">
        <v>18</v>
      </c>
      <c r="G1490" s="13"/>
      <c r="H1490" s="45" t="s">
        <v>16</v>
      </c>
      <c r="I1490" s="47"/>
      <c r="J1490" s="12" t="s">
        <v>3498</v>
      </c>
      <c r="K1490" s="13" t="s">
        <v>8260</v>
      </c>
      <c r="L1490" s="99" t="str">
        <f t="shared" ref="L1490:L1553" si="131">"W"&amp;DEC2HEX(4608 + INT((ROW()-81)/16)) &amp; "." &amp; IF(MOD(ROW()-81,16)&lt;10,MOD(ROW()-81,16),CHAR(MOD(ROW()-81,16)+55))</f>
        <v>W1258.1</v>
      </c>
      <c r="M1490" s="13" t="s">
        <v>3667</v>
      </c>
      <c r="N1490" s="47"/>
      <c r="O1490" s="47"/>
      <c r="P1490" s="47"/>
      <c r="Q1490" s="45"/>
      <c r="R1490" s="45"/>
      <c r="S1490" s="48"/>
    </row>
    <row r="1491" spans="1:19" s="49" customFormat="1" ht="14.15" customHeight="1">
      <c r="A1491" s="43" t="s">
        <v>3763</v>
      </c>
      <c r="B1491" s="44" t="s">
        <v>6637</v>
      </c>
      <c r="C1491" s="50"/>
      <c r="D1491" s="10" t="s">
        <v>29</v>
      </c>
      <c r="E1491" s="11"/>
      <c r="F1491" s="11" t="s">
        <v>18</v>
      </c>
      <c r="G1491" s="13"/>
      <c r="H1491" s="45" t="s">
        <v>16</v>
      </c>
      <c r="I1491" s="47"/>
      <c r="J1491" s="12" t="s">
        <v>3499</v>
      </c>
      <c r="K1491" s="13" t="s">
        <v>8261</v>
      </c>
      <c r="L1491" s="99" t="str">
        <f t="shared" si="131"/>
        <v>W1258.2</v>
      </c>
      <c r="M1491" s="13" t="s">
        <v>3667</v>
      </c>
      <c r="N1491" s="47"/>
      <c r="O1491" s="47"/>
      <c r="P1491" s="47"/>
      <c r="Q1491" s="45"/>
      <c r="R1491" s="45"/>
      <c r="S1491" s="48"/>
    </row>
    <row r="1492" spans="1:19" s="49" customFormat="1" ht="14.15" customHeight="1">
      <c r="A1492" s="45"/>
      <c r="B1492" s="44" t="s">
        <v>6637</v>
      </c>
      <c r="C1492" s="50"/>
      <c r="D1492" s="10" t="s">
        <v>29</v>
      </c>
      <c r="E1492" s="11"/>
      <c r="F1492" s="11" t="s">
        <v>18</v>
      </c>
      <c r="G1492" s="13"/>
      <c r="H1492" s="45" t="s">
        <v>16</v>
      </c>
      <c r="I1492" s="47"/>
      <c r="J1492" s="12" t="s">
        <v>1161</v>
      </c>
      <c r="K1492" s="13" t="s">
        <v>8262</v>
      </c>
      <c r="L1492" s="99" t="str">
        <f t="shared" si="131"/>
        <v>W1258.3</v>
      </c>
      <c r="M1492" s="45"/>
      <c r="N1492" s="47"/>
      <c r="O1492" s="47"/>
      <c r="P1492" s="47"/>
      <c r="Q1492" s="45"/>
      <c r="R1492" s="45"/>
      <c r="S1492" s="48"/>
    </row>
    <row r="1493" spans="1:19" s="49" customFormat="1" ht="14.15" customHeight="1">
      <c r="A1493" s="45"/>
      <c r="B1493" s="44" t="s">
        <v>6637</v>
      </c>
      <c r="C1493" s="50"/>
      <c r="D1493" s="10" t="s">
        <v>29</v>
      </c>
      <c r="E1493" s="11"/>
      <c r="F1493" s="11" t="s">
        <v>18</v>
      </c>
      <c r="G1493" s="13"/>
      <c r="H1493" s="45" t="s">
        <v>16</v>
      </c>
      <c r="I1493" s="47"/>
      <c r="J1493" s="12" t="s">
        <v>1162</v>
      </c>
      <c r="K1493" s="13" t="s">
        <v>8263</v>
      </c>
      <c r="L1493" s="99" t="str">
        <f t="shared" si="131"/>
        <v>W1258.4</v>
      </c>
      <c r="M1493" s="45"/>
      <c r="N1493" s="47"/>
      <c r="O1493" s="47"/>
      <c r="P1493" s="47"/>
      <c r="Q1493" s="45"/>
      <c r="R1493" s="45"/>
      <c r="S1493" s="48"/>
    </row>
    <row r="1494" spans="1:19" s="49" customFormat="1" ht="14.15" customHeight="1">
      <c r="A1494" s="45"/>
      <c r="B1494" s="44" t="s">
        <v>6637</v>
      </c>
      <c r="C1494" s="50"/>
      <c r="D1494" s="10" t="s">
        <v>29</v>
      </c>
      <c r="E1494" s="11"/>
      <c r="F1494" s="11" t="s">
        <v>18</v>
      </c>
      <c r="G1494" s="13"/>
      <c r="H1494" s="45" t="s">
        <v>16</v>
      </c>
      <c r="I1494" s="47"/>
      <c r="J1494" s="12" t="s">
        <v>1163</v>
      </c>
      <c r="K1494" s="13" t="s">
        <v>8264</v>
      </c>
      <c r="L1494" s="99" t="str">
        <f t="shared" si="131"/>
        <v>W1258.5</v>
      </c>
      <c r="M1494" s="45"/>
      <c r="N1494" s="47"/>
      <c r="O1494" s="47"/>
      <c r="P1494" s="47"/>
      <c r="Q1494" s="45"/>
      <c r="R1494" s="45"/>
      <c r="S1494" s="48"/>
    </row>
    <row r="1495" spans="1:19" s="49" customFormat="1" ht="14.15" customHeight="1">
      <c r="A1495" s="45"/>
      <c r="B1495" s="44" t="s">
        <v>6637</v>
      </c>
      <c r="C1495" s="50"/>
      <c r="D1495" s="10" t="s">
        <v>29</v>
      </c>
      <c r="E1495" s="11"/>
      <c r="F1495" s="11" t="s">
        <v>18</v>
      </c>
      <c r="G1495" s="13"/>
      <c r="H1495" s="45" t="s">
        <v>16</v>
      </c>
      <c r="I1495" s="47"/>
      <c r="J1495" s="12" t="s">
        <v>1164</v>
      </c>
      <c r="K1495" s="13" t="s">
        <v>8265</v>
      </c>
      <c r="L1495" s="99" t="str">
        <f t="shared" si="131"/>
        <v>W1258.6</v>
      </c>
      <c r="M1495" s="45"/>
      <c r="N1495" s="47"/>
      <c r="O1495" s="47"/>
      <c r="P1495" s="47"/>
      <c r="Q1495" s="45"/>
      <c r="R1495" s="45"/>
      <c r="S1495" s="48"/>
    </row>
    <row r="1496" spans="1:19" s="49" customFormat="1" ht="14.15" customHeight="1">
      <c r="A1496" s="45"/>
      <c r="B1496" s="44" t="s">
        <v>6637</v>
      </c>
      <c r="C1496" s="50"/>
      <c r="D1496" s="10" t="s">
        <v>29</v>
      </c>
      <c r="E1496" s="11"/>
      <c r="F1496" s="11" t="s">
        <v>18</v>
      </c>
      <c r="G1496" s="13"/>
      <c r="H1496" s="45" t="s">
        <v>16</v>
      </c>
      <c r="I1496" s="47"/>
      <c r="J1496" s="12" t="s">
        <v>1165</v>
      </c>
      <c r="K1496" s="13" t="s">
        <v>8266</v>
      </c>
      <c r="L1496" s="99" t="str">
        <f t="shared" si="131"/>
        <v>W1258.7</v>
      </c>
      <c r="M1496" s="45"/>
      <c r="N1496" s="47"/>
      <c r="O1496" s="47"/>
      <c r="P1496" s="47"/>
      <c r="Q1496" s="45"/>
      <c r="R1496" s="45"/>
      <c r="S1496" s="48"/>
    </row>
    <row r="1497" spans="1:19" s="49" customFormat="1" ht="14.15" customHeight="1">
      <c r="A1497" s="45"/>
      <c r="B1497" s="44" t="s">
        <v>6637</v>
      </c>
      <c r="C1497" s="50"/>
      <c r="D1497" s="10" t="s">
        <v>29</v>
      </c>
      <c r="E1497" s="11"/>
      <c r="F1497" s="11" t="s">
        <v>18</v>
      </c>
      <c r="G1497" s="13"/>
      <c r="H1497" s="45" t="s">
        <v>16</v>
      </c>
      <c r="I1497" s="47"/>
      <c r="J1497" s="12" t="s">
        <v>1166</v>
      </c>
      <c r="K1497" s="13" t="s">
        <v>8267</v>
      </c>
      <c r="L1497" s="99" t="str">
        <f t="shared" si="131"/>
        <v>W1258.8</v>
      </c>
      <c r="M1497" s="45"/>
      <c r="N1497" s="47"/>
      <c r="O1497" s="47"/>
      <c r="P1497" s="47"/>
      <c r="Q1497" s="45"/>
      <c r="R1497" s="45"/>
      <c r="S1497" s="48"/>
    </row>
    <row r="1498" spans="1:19" s="49" customFormat="1" ht="14.15" customHeight="1">
      <c r="A1498" s="45"/>
      <c r="B1498" s="44" t="s">
        <v>6637</v>
      </c>
      <c r="C1498" s="50"/>
      <c r="D1498" s="10" t="s">
        <v>29</v>
      </c>
      <c r="E1498" s="11"/>
      <c r="F1498" s="11" t="s">
        <v>18</v>
      </c>
      <c r="G1498" s="13"/>
      <c r="H1498" s="45" t="s">
        <v>16</v>
      </c>
      <c r="I1498" s="47"/>
      <c r="J1498" s="12" t="s">
        <v>1167</v>
      </c>
      <c r="K1498" s="13" t="s">
        <v>8268</v>
      </c>
      <c r="L1498" s="99" t="str">
        <f t="shared" si="131"/>
        <v>W1258.9</v>
      </c>
      <c r="M1498" s="45"/>
      <c r="N1498" s="47"/>
      <c r="O1498" s="47"/>
      <c r="P1498" s="47"/>
      <c r="Q1498" s="45"/>
      <c r="R1498" s="45"/>
      <c r="S1498" s="48"/>
    </row>
    <row r="1499" spans="1:19" s="49" customFormat="1" ht="14.15" customHeight="1">
      <c r="A1499" s="43" t="s">
        <v>3763</v>
      </c>
      <c r="B1499" s="44" t="s">
        <v>6637</v>
      </c>
      <c r="C1499" s="50"/>
      <c r="D1499" s="10" t="s">
        <v>29</v>
      </c>
      <c r="E1499" s="11"/>
      <c r="F1499" s="11" t="s">
        <v>18</v>
      </c>
      <c r="G1499" s="13"/>
      <c r="H1499" s="45" t="s">
        <v>16</v>
      </c>
      <c r="I1499" s="47"/>
      <c r="J1499" s="12" t="s">
        <v>3500</v>
      </c>
      <c r="K1499" s="13" t="s">
        <v>8269</v>
      </c>
      <c r="L1499" s="99" t="str">
        <f t="shared" si="131"/>
        <v>W1258.A</v>
      </c>
      <c r="M1499" s="13" t="s">
        <v>3667</v>
      </c>
      <c r="N1499" s="47"/>
      <c r="O1499" s="47"/>
      <c r="P1499" s="47"/>
      <c r="Q1499" s="45"/>
      <c r="R1499" s="45"/>
      <c r="S1499" s="48"/>
    </row>
    <row r="1500" spans="1:19" s="49" customFormat="1" ht="14.15" customHeight="1">
      <c r="A1500" s="43" t="s">
        <v>3763</v>
      </c>
      <c r="B1500" s="44" t="s">
        <v>6637</v>
      </c>
      <c r="C1500" s="50"/>
      <c r="D1500" s="10" t="s">
        <v>29</v>
      </c>
      <c r="E1500" s="11"/>
      <c r="F1500" s="11" t="s">
        <v>18</v>
      </c>
      <c r="G1500" s="13"/>
      <c r="H1500" s="45" t="s">
        <v>16</v>
      </c>
      <c r="I1500" s="47"/>
      <c r="J1500" s="12" t="s">
        <v>3501</v>
      </c>
      <c r="K1500" s="13" t="s">
        <v>8270</v>
      </c>
      <c r="L1500" s="99" t="str">
        <f t="shared" si="131"/>
        <v>W1258.B</v>
      </c>
      <c r="M1500" s="13" t="s">
        <v>3667</v>
      </c>
      <c r="N1500" s="47"/>
      <c r="O1500" s="47"/>
      <c r="P1500" s="47"/>
      <c r="Q1500" s="45"/>
      <c r="R1500" s="45"/>
      <c r="S1500" s="48"/>
    </row>
    <row r="1501" spans="1:19" s="49" customFormat="1" ht="14.15" customHeight="1">
      <c r="A1501" s="43" t="s">
        <v>3763</v>
      </c>
      <c r="B1501" s="44" t="s">
        <v>6637</v>
      </c>
      <c r="C1501" s="50"/>
      <c r="D1501" s="10" t="s">
        <v>29</v>
      </c>
      <c r="E1501" s="11"/>
      <c r="F1501" s="11" t="s">
        <v>18</v>
      </c>
      <c r="G1501" s="13"/>
      <c r="H1501" s="45" t="s">
        <v>16</v>
      </c>
      <c r="I1501" s="47"/>
      <c r="J1501" s="12" t="s">
        <v>3502</v>
      </c>
      <c r="K1501" s="13" t="s">
        <v>8271</v>
      </c>
      <c r="L1501" s="99" t="str">
        <f t="shared" si="131"/>
        <v>W1258.C</v>
      </c>
      <c r="M1501" s="13" t="s">
        <v>3667</v>
      </c>
      <c r="N1501" s="47"/>
      <c r="O1501" s="47"/>
      <c r="P1501" s="47"/>
      <c r="Q1501" s="45"/>
      <c r="R1501" s="45"/>
      <c r="S1501" s="48"/>
    </row>
    <row r="1502" spans="1:19" s="49" customFormat="1" ht="14.15" customHeight="1">
      <c r="A1502" s="43" t="s">
        <v>3763</v>
      </c>
      <c r="B1502" s="44" t="s">
        <v>6637</v>
      </c>
      <c r="C1502" s="50"/>
      <c r="D1502" s="10" t="s">
        <v>29</v>
      </c>
      <c r="E1502" s="11"/>
      <c r="F1502" s="11" t="s">
        <v>18</v>
      </c>
      <c r="G1502" s="13"/>
      <c r="H1502" s="45" t="s">
        <v>16</v>
      </c>
      <c r="I1502" s="47"/>
      <c r="J1502" s="12" t="s">
        <v>3503</v>
      </c>
      <c r="K1502" s="13" t="s">
        <v>8272</v>
      </c>
      <c r="L1502" s="99" t="str">
        <f t="shared" si="131"/>
        <v>W1258.D</v>
      </c>
      <c r="M1502" s="13" t="s">
        <v>3667</v>
      </c>
      <c r="N1502" s="47"/>
      <c r="O1502" s="47"/>
      <c r="P1502" s="47"/>
      <c r="Q1502" s="45"/>
      <c r="R1502" s="45"/>
      <c r="S1502" s="48"/>
    </row>
    <row r="1503" spans="1:19" s="49" customFormat="1" ht="14.15" customHeight="1">
      <c r="A1503" s="43" t="s">
        <v>3763</v>
      </c>
      <c r="B1503" s="44" t="s">
        <v>6637</v>
      </c>
      <c r="C1503" s="50"/>
      <c r="D1503" s="10" t="s">
        <v>29</v>
      </c>
      <c r="E1503" s="11"/>
      <c r="F1503" s="11" t="s">
        <v>18</v>
      </c>
      <c r="G1503" s="13"/>
      <c r="H1503" s="45" t="s">
        <v>16</v>
      </c>
      <c r="I1503" s="47"/>
      <c r="J1503" s="12" t="s">
        <v>3504</v>
      </c>
      <c r="K1503" s="13" t="s">
        <v>8273</v>
      </c>
      <c r="L1503" s="99" t="str">
        <f t="shared" si="131"/>
        <v>W1258.E</v>
      </c>
      <c r="M1503" s="13" t="s">
        <v>3667</v>
      </c>
      <c r="N1503" s="47"/>
      <c r="O1503" s="47"/>
      <c r="P1503" s="47"/>
      <c r="Q1503" s="45"/>
      <c r="R1503" s="45"/>
      <c r="S1503" s="48"/>
    </row>
    <row r="1504" spans="1:19" s="49" customFormat="1" ht="14.15" customHeight="1">
      <c r="A1504" s="43" t="s">
        <v>3763</v>
      </c>
      <c r="B1504" s="44" t="s">
        <v>6637</v>
      </c>
      <c r="C1504" s="50"/>
      <c r="D1504" s="10" t="s">
        <v>29</v>
      </c>
      <c r="E1504" s="11"/>
      <c r="F1504" s="11" t="s">
        <v>18</v>
      </c>
      <c r="G1504" s="13"/>
      <c r="H1504" s="45" t="s">
        <v>16</v>
      </c>
      <c r="I1504" s="47"/>
      <c r="J1504" s="12" t="s">
        <v>3505</v>
      </c>
      <c r="K1504" s="13" t="s">
        <v>8274</v>
      </c>
      <c r="L1504" s="99" t="str">
        <f t="shared" si="131"/>
        <v>W1258.F</v>
      </c>
      <c r="M1504" s="13" t="s">
        <v>3667</v>
      </c>
      <c r="N1504" s="47"/>
      <c r="O1504" s="47"/>
      <c r="P1504" s="47"/>
      <c r="Q1504" s="45"/>
      <c r="R1504" s="45"/>
      <c r="S1504" s="48"/>
    </row>
    <row r="1505" spans="1:19" s="49" customFormat="1" ht="14.15" customHeight="1">
      <c r="A1505" s="43" t="s">
        <v>3763</v>
      </c>
      <c r="B1505" s="44" t="s">
        <v>6637</v>
      </c>
      <c r="C1505" s="50"/>
      <c r="D1505" s="10" t="s">
        <v>29</v>
      </c>
      <c r="E1505" s="11"/>
      <c r="F1505" s="11" t="s">
        <v>18</v>
      </c>
      <c r="G1505" s="13"/>
      <c r="H1505" s="45" t="s">
        <v>16</v>
      </c>
      <c r="I1505" s="47"/>
      <c r="J1505" s="12" t="s">
        <v>3506</v>
      </c>
      <c r="K1505" s="13" t="s">
        <v>8275</v>
      </c>
      <c r="L1505" s="99" t="str">
        <f t="shared" si="131"/>
        <v>W1259.0</v>
      </c>
      <c r="M1505" s="13" t="s">
        <v>3667</v>
      </c>
      <c r="N1505" s="47"/>
      <c r="O1505" s="47"/>
      <c r="P1505" s="47"/>
      <c r="Q1505" s="45"/>
      <c r="R1505" s="45"/>
      <c r="S1505" s="48"/>
    </row>
    <row r="1506" spans="1:19" s="49" customFormat="1" ht="14.15" customHeight="1">
      <c r="A1506" s="45"/>
      <c r="B1506" s="44" t="s">
        <v>6637</v>
      </c>
      <c r="C1506" s="50"/>
      <c r="D1506" s="10" t="s">
        <v>29</v>
      </c>
      <c r="E1506" s="11"/>
      <c r="F1506" s="11" t="s">
        <v>18</v>
      </c>
      <c r="G1506" s="13"/>
      <c r="H1506" s="45" t="s">
        <v>16</v>
      </c>
      <c r="I1506" s="47"/>
      <c r="J1506" s="12" t="s">
        <v>1175</v>
      </c>
      <c r="K1506" s="13" t="s">
        <v>8276</v>
      </c>
      <c r="L1506" s="99" t="str">
        <f t="shared" si="131"/>
        <v>W1259.1</v>
      </c>
      <c r="M1506" s="45"/>
      <c r="N1506" s="47"/>
      <c r="O1506" s="47"/>
      <c r="P1506" s="47"/>
      <c r="Q1506" s="45"/>
      <c r="R1506" s="45"/>
      <c r="S1506" s="48"/>
    </row>
    <row r="1507" spans="1:19" s="49" customFormat="1" ht="14.15" customHeight="1">
      <c r="A1507" s="45"/>
      <c r="B1507" s="44" t="s">
        <v>6637</v>
      </c>
      <c r="C1507" s="50"/>
      <c r="D1507" s="10" t="s">
        <v>29</v>
      </c>
      <c r="E1507" s="11"/>
      <c r="F1507" s="11" t="s">
        <v>18</v>
      </c>
      <c r="G1507" s="13"/>
      <c r="H1507" s="45" t="s">
        <v>16</v>
      </c>
      <c r="I1507" s="47"/>
      <c r="J1507" s="12" t="s">
        <v>1176</v>
      </c>
      <c r="K1507" s="13" t="s">
        <v>8277</v>
      </c>
      <c r="L1507" s="99" t="str">
        <f t="shared" si="131"/>
        <v>W1259.2</v>
      </c>
      <c r="M1507" s="45"/>
      <c r="N1507" s="47"/>
      <c r="O1507" s="47"/>
      <c r="P1507" s="47"/>
      <c r="Q1507" s="45"/>
      <c r="R1507" s="45"/>
      <c r="S1507" s="48"/>
    </row>
    <row r="1508" spans="1:19" s="49" customFormat="1" ht="14.15" customHeight="1">
      <c r="A1508" s="45"/>
      <c r="B1508" s="44" t="s">
        <v>6637</v>
      </c>
      <c r="C1508" s="50"/>
      <c r="D1508" s="10" t="s">
        <v>29</v>
      </c>
      <c r="E1508" s="11"/>
      <c r="F1508" s="11" t="s">
        <v>18</v>
      </c>
      <c r="G1508" s="13"/>
      <c r="H1508" s="45" t="s">
        <v>16</v>
      </c>
      <c r="I1508" s="47"/>
      <c r="J1508" s="12" t="s">
        <v>1177</v>
      </c>
      <c r="K1508" s="13" t="s">
        <v>8278</v>
      </c>
      <c r="L1508" s="99" t="str">
        <f t="shared" si="131"/>
        <v>W1259.3</v>
      </c>
      <c r="M1508" s="45"/>
      <c r="N1508" s="47"/>
      <c r="O1508" s="47"/>
      <c r="P1508" s="47"/>
      <c r="Q1508" s="45"/>
      <c r="R1508" s="45"/>
      <c r="S1508" s="48"/>
    </row>
    <row r="1509" spans="1:19" s="49" customFormat="1" ht="14.15" customHeight="1">
      <c r="A1509" s="45"/>
      <c r="B1509" s="44" t="s">
        <v>6637</v>
      </c>
      <c r="C1509" s="50"/>
      <c r="D1509" s="10" t="s">
        <v>29</v>
      </c>
      <c r="E1509" s="11"/>
      <c r="F1509" s="11" t="s">
        <v>18</v>
      </c>
      <c r="G1509" s="13"/>
      <c r="H1509" s="45" t="s">
        <v>16</v>
      </c>
      <c r="I1509" s="47"/>
      <c r="J1509" s="12" t="s">
        <v>1178</v>
      </c>
      <c r="K1509" s="13" t="s">
        <v>8279</v>
      </c>
      <c r="L1509" s="99" t="str">
        <f t="shared" si="131"/>
        <v>W1259.4</v>
      </c>
      <c r="M1509" s="45"/>
      <c r="N1509" s="47"/>
      <c r="O1509" s="47"/>
      <c r="P1509" s="47"/>
      <c r="Q1509" s="45"/>
      <c r="R1509" s="45"/>
      <c r="S1509" s="48"/>
    </row>
    <row r="1510" spans="1:19" s="49" customFormat="1" ht="14.15" customHeight="1">
      <c r="A1510" s="43" t="s">
        <v>3763</v>
      </c>
      <c r="B1510" s="44" t="s">
        <v>6637</v>
      </c>
      <c r="C1510" s="50"/>
      <c r="D1510" s="10" t="s">
        <v>29</v>
      </c>
      <c r="E1510" s="11"/>
      <c r="F1510" s="11" t="s">
        <v>18</v>
      </c>
      <c r="G1510" s="13"/>
      <c r="H1510" s="45" t="s">
        <v>16</v>
      </c>
      <c r="I1510" s="47"/>
      <c r="J1510" s="12" t="s">
        <v>3507</v>
      </c>
      <c r="K1510" s="13" t="s">
        <v>8280</v>
      </c>
      <c r="L1510" s="99" t="str">
        <f t="shared" si="131"/>
        <v>W1259.5</v>
      </c>
      <c r="M1510" s="13" t="s">
        <v>3667</v>
      </c>
      <c r="N1510" s="47"/>
      <c r="O1510" s="47"/>
      <c r="P1510" s="47"/>
      <c r="Q1510" s="45"/>
      <c r="R1510" s="45"/>
      <c r="S1510" s="48"/>
    </row>
    <row r="1511" spans="1:19" s="49" customFormat="1" ht="14.15" customHeight="1">
      <c r="A1511" s="43" t="s">
        <v>3763</v>
      </c>
      <c r="B1511" s="44" t="s">
        <v>6637</v>
      </c>
      <c r="C1511" s="50"/>
      <c r="D1511" s="10" t="s">
        <v>29</v>
      </c>
      <c r="E1511" s="11"/>
      <c r="F1511" s="11" t="s">
        <v>18</v>
      </c>
      <c r="G1511" s="13"/>
      <c r="H1511" s="45" t="s">
        <v>16</v>
      </c>
      <c r="I1511" s="47"/>
      <c r="J1511" s="12" t="s">
        <v>3508</v>
      </c>
      <c r="K1511" s="13" t="s">
        <v>8281</v>
      </c>
      <c r="L1511" s="99" t="str">
        <f t="shared" si="131"/>
        <v>W1259.6</v>
      </c>
      <c r="M1511" s="13" t="s">
        <v>3667</v>
      </c>
      <c r="N1511" s="47"/>
      <c r="O1511" s="47"/>
      <c r="P1511" s="47"/>
      <c r="Q1511" s="45"/>
      <c r="R1511" s="45"/>
      <c r="S1511" s="48"/>
    </row>
    <row r="1512" spans="1:19" s="49" customFormat="1" ht="14.15" customHeight="1">
      <c r="A1512" s="43" t="s">
        <v>3763</v>
      </c>
      <c r="B1512" s="44" t="s">
        <v>6637</v>
      </c>
      <c r="C1512" s="50"/>
      <c r="D1512" s="10" t="s">
        <v>29</v>
      </c>
      <c r="E1512" s="11"/>
      <c r="F1512" s="11" t="s">
        <v>18</v>
      </c>
      <c r="G1512" s="13"/>
      <c r="H1512" s="45" t="s">
        <v>16</v>
      </c>
      <c r="I1512" s="47"/>
      <c r="J1512" s="12" t="s">
        <v>3509</v>
      </c>
      <c r="K1512" s="13" t="s">
        <v>8282</v>
      </c>
      <c r="L1512" s="99" t="str">
        <f t="shared" si="131"/>
        <v>W1259.7</v>
      </c>
      <c r="M1512" s="13" t="s">
        <v>3667</v>
      </c>
      <c r="N1512" s="47"/>
      <c r="O1512" s="47"/>
      <c r="P1512" s="47"/>
      <c r="Q1512" s="45"/>
      <c r="R1512" s="45"/>
      <c r="S1512" s="48"/>
    </row>
    <row r="1513" spans="1:19" s="49" customFormat="1" ht="14.15" customHeight="1">
      <c r="A1513" s="45"/>
      <c r="B1513" s="44" t="s">
        <v>6637</v>
      </c>
      <c r="C1513" s="50"/>
      <c r="D1513" s="10" t="s">
        <v>29</v>
      </c>
      <c r="E1513" s="11"/>
      <c r="F1513" s="11" t="s">
        <v>18</v>
      </c>
      <c r="G1513" s="13"/>
      <c r="H1513" s="45" t="s">
        <v>16</v>
      </c>
      <c r="I1513" s="47"/>
      <c r="J1513" s="12" t="s">
        <v>1182</v>
      </c>
      <c r="K1513" s="13" t="s">
        <v>8283</v>
      </c>
      <c r="L1513" s="99" t="str">
        <f t="shared" si="131"/>
        <v>W1259.8</v>
      </c>
      <c r="M1513" s="45"/>
      <c r="N1513" s="47"/>
      <c r="O1513" s="47"/>
      <c r="P1513" s="47"/>
      <c r="Q1513" s="45"/>
      <c r="R1513" s="45"/>
      <c r="S1513" s="48"/>
    </row>
    <row r="1514" spans="1:19" s="49" customFormat="1" ht="14.15" customHeight="1">
      <c r="A1514" s="43" t="s">
        <v>3763</v>
      </c>
      <c r="B1514" s="44" t="s">
        <v>6637</v>
      </c>
      <c r="C1514" s="50"/>
      <c r="D1514" s="10" t="s">
        <v>29</v>
      </c>
      <c r="E1514" s="11"/>
      <c r="F1514" s="11" t="s">
        <v>18</v>
      </c>
      <c r="G1514" s="13"/>
      <c r="H1514" s="45" t="s">
        <v>16</v>
      </c>
      <c r="I1514" s="47"/>
      <c r="J1514" s="12" t="s">
        <v>3510</v>
      </c>
      <c r="K1514" s="13" t="s">
        <v>8284</v>
      </c>
      <c r="L1514" s="99" t="str">
        <f t="shared" si="131"/>
        <v>W1259.9</v>
      </c>
      <c r="M1514" s="13" t="s">
        <v>3667</v>
      </c>
      <c r="N1514" s="47"/>
      <c r="O1514" s="47"/>
      <c r="P1514" s="47"/>
      <c r="Q1514" s="45"/>
      <c r="R1514" s="45"/>
      <c r="S1514" s="48"/>
    </row>
    <row r="1515" spans="1:19" s="49" customFormat="1" ht="14.15" customHeight="1">
      <c r="A1515" s="45"/>
      <c r="B1515" s="44" t="s">
        <v>6637</v>
      </c>
      <c r="C1515" s="50"/>
      <c r="D1515" s="10" t="s">
        <v>29</v>
      </c>
      <c r="E1515" s="11"/>
      <c r="F1515" s="11" t="s">
        <v>18</v>
      </c>
      <c r="G1515" s="13"/>
      <c r="H1515" s="45" t="s">
        <v>16</v>
      </c>
      <c r="I1515" s="47"/>
      <c r="J1515" s="12" t="s">
        <v>1184</v>
      </c>
      <c r="K1515" s="13" t="s">
        <v>8285</v>
      </c>
      <c r="L1515" s="99" t="str">
        <f t="shared" si="131"/>
        <v>W1259.A</v>
      </c>
      <c r="M1515" s="45"/>
      <c r="N1515" s="47"/>
      <c r="O1515" s="47"/>
      <c r="P1515" s="47"/>
      <c r="Q1515" s="45"/>
      <c r="R1515" s="45"/>
      <c r="S1515" s="48"/>
    </row>
    <row r="1516" spans="1:19" s="49" customFormat="1" ht="14.15" customHeight="1">
      <c r="A1516" s="45"/>
      <c r="B1516" s="44" t="s">
        <v>6637</v>
      </c>
      <c r="C1516" s="50"/>
      <c r="D1516" s="10" t="s">
        <v>29</v>
      </c>
      <c r="E1516" s="11"/>
      <c r="F1516" s="11" t="s">
        <v>18</v>
      </c>
      <c r="G1516" s="13"/>
      <c r="H1516" s="45" t="s">
        <v>16</v>
      </c>
      <c r="I1516" s="47"/>
      <c r="J1516" s="12" t="s">
        <v>1185</v>
      </c>
      <c r="K1516" s="13" t="s">
        <v>8286</v>
      </c>
      <c r="L1516" s="99" t="str">
        <f t="shared" si="131"/>
        <v>W1259.B</v>
      </c>
      <c r="M1516" s="45"/>
      <c r="N1516" s="47"/>
      <c r="O1516" s="47"/>
      <c r="P1516" s="47"/>
      <c r="Q1516" s="45"/>
      <c r="R1516" s="45"/>
      <c r="S1516" s="48"/>
    </row>
    <row r="1517" spans="1:19" s="49" customFormat="1" ht="14.15" customHeight="1">
      <c r="A1517" s="45"/>
      <c r="B1517" s="44" t="s">
        <v>6637</v>
      </c>
      <c r="C1517" s="50"/>
      <c r="D1517" s="10" t="s">
        <v>29</v>
      </c>
      <c r="E1517" s="11"/>
      <c r="F1517" s="11" t="s">
        <v>18</v>
      </c>
      <c r="G1517" s="13"/>
      <c r="H1517" s="45" t="s">
        <v>16</v>
      </c>
      <c r="I1517" s="47"/>
      <c r="J1517" s="12" t="s">
        <v>1186</v>
      </c>
      <c r="K1517" s="13" t="s">
        <v>8287</v>
      </c>
      <c r="L1517" s="99" t="str">
        <f t="shared" si="131"/>
        <v>W1259.C</v>
      </c>
      <c r="M1517" s="45"/>
      <c r="N1517" s="47"/>
      <c r="O1517" s="47"/>
      <c r="P1517" s="47"/>
      <c r="Q1517" s="45"/>
      <c r="R1517" s="45"/>
      <c r="S1517" s="48"/>
    </row>
    <row r="1518" spans="1:19" s="49" customFormat="1" ht="14.15" customHeight="1">
      <c r="A1518" s="45"/>
      <c r="B1518" s="44" t="s">
        <v>6637</v>
      </c>
      <c r="C1518" s="50"/>
      <c r="D1518" s="10" t="s">
        <v>29</v>
      </c>
      <c r="E1518" s="11"/>
      <c r="F1518" s="11" t="s">
        <v>18</v>
      </c>
      <c r="G1518" s="13"/>
      <c r="H1518" s="45" t="s">
        <v>16</v>
      </c>
      <c r="I1518" s="47"/>
      <c r="J1518" s="12" t="s">
        <v>1187</v>
      </c>
      <c r="K1518" s="13" t="s">
        <v>8288</v>
      </c>
      <c r="L1518" s="99" t="str">
        <f t="shared" si="131"/>
        <v>W1259.D</v>
      </c>
      <c r="M1518" s="45"/>
      <c r="N1518" s="47"/>
      <c r="O1518" s="47"/>
      <c r="P1518" s="47"/>
      <c r="Q1518" s="45"/>
      <c r="R1518" s="45"/>
      <c r="S1518" s="48"/>
    </row>
    <row r="1519" spans="1:19" s="49" customFormat="1" ht="14.15" customHeight="1">
      <c r="A1519" s="43" t="s">
        <v>3763</v>
      </c>
      <c r="B1519" s="44" t="s">
        <v>6637</v>
      </c>
      <c r="C1519" s="50"/>
      <c r="D1519" s="10" t="s">
        <v>29</v>
      </c>
      <c r="E1519" s="11"/>
      <c r="F1519" s="11" t="s">
        <v>18</v>
      </c>
      <c r="G1519" s="13"/>
      <c r="H1519" s="45" t="s">
        <v>16</v>
      </c>
      <c r="I1519" s="47"/>
      <c r="J1519" s="12" t="s">
        <v>3511</v>
      </c>
      <c r="K1519" s="13" t="s">
        <v>8289</v>
      </c>
      <c r="L1519" s="99" t="str">
        <f t="shared" si="131"/>
        <v>W1259.E</v>
      </c>
      <c r="M1519" s="13" t="s">
        <v>3667</v>
      </c>
      <c r="N1519" s="47"/>
      <c r="O1519" s="47"/>
      <c r="P1519" s="47"/>
      <c r="Q1519" s="45"/>
      <c r="R1519" s="45"/>
      <c r="S1519" s="48"/>
    </row>
    <row r="1520" spans="1:19" s="49" customFormat="1" ht="14.15" customHeight="1">
      <c r="A1520" s="43" t="s">
        <v>3763</v>
      </c>
      <c r="B1520" s="44" t="s">
        <v>6637</v>
      </c>
      <c r="C1520" s="50"/>
      <c r="D1520" s="10" t="s">
        <v>29</v>
      </c>
      <c r="E1520" s="11"/>
      <c r="F1520" s="11" t="s">
        <v>18</v>
      </c>
      <c r="G1520" s="13"/>
      <c r="H1520" s="45" t="s">
        <v>16</v>
      </c>
      <c r="I1520" s="47"/>
      <c r="J1520" s="12" t="s">
        <v>3512</v>
      </c>
      <c r="K1520" s="13" t="s">
        <v>8290</v>
      </c>
      <c r="L1520" s="99" t="str">
        <f t="shared" si="131"/>
        <v>W1259.F</v>
      </c>
      <c r="M1520" s="13" t="s">
        <v>3667</v>
      </c>
      <c r="N1520" s="47"/>
      <c r="O1520" s="47"/>
      <c r="P1520" s="47"/>
      <c r="Q1520" s="45"/>
      <c r="R1520" s="45"/>
      <c r="S1520" s="48"/>
    </row>
    <row r="1521" spans="1:19" s="49" customFormat="1" ht="14.15" customHeight="1">
      <c r="A1521" s="43" t="s">
        <v>3763</v>
      </c>
      <c r="B1521" s="44" t="s">
        <v>6637</v>
      </c>
      <c r="C1521" s="50"/>
      <c r="D1521" s="10" t="s">
        <v>29</v>
      </c>
      <c r="E1521" s="11"/>
      <c r="F1521" s="11" t="s">
        <v>18</v>
      </c>
      <c r="G1521" s="13"/>
      <c r="H1521" s="45" t="s">
        <v>16</v>
      </c>
      <c r="I1521" s="47"/>
      <c r="J1521" s="12" t="s">
        <v>3513</v>
      </c>
      <c r="K1521" s="13" t="s">
        <v>8291</v>
      </c>
      <c r="L1521" s="99" t="str">
        <f t="shared" si="131"/>
        <v>W125A.0</v>
      </c>
      <c r="M1521" s="13" t="s">
        <v>3667</v>
      </c>
      <c r="N1521" s="47"/>
      <c r="O1521" s="47"/>
      <c r="P1521" s="47"/>
      <c r="Q1521" s="45"/>
      <c r="R1521" s="45"/>
      <c r="S1521" s="48"/>
    </row>
    <row r="1522" spans="1:19" s="49" customFormat="1" ht="14.15" customHeight="1">
      <c r="A1522" s="45"/>
      <c r="B1522" s="44" t="s">
        <v>6637</v>
      </c>
      <c r="C1522" s="50"/>
      <c r="D1522" s="10" t="s">
        <v>29</v>
      </c>
      <c r="E1522" s="11"/>
      <c r="F1522" s="11" t="s">
        <v>18</v>
      </c>
      <c r="G1522" s="13"/>
      <c r="H1522" s="45" t="s">
        <v>16</v>
      </c>
      <c r="I1522" s="47"/>
      <c r="J1522" s="12" t="s">
        <v>1191</v>
      </c>
      <c r="K1522" s="13" t="s">
        <v>8292</v>
      </c>
      <c r="L1522" s="99" t="str">
        <f t="shared" si="131"/>
        <v>W125A.1</v>
      </c>
      <c r="M1522" s="45"/>
      <c r="N1522" s="47"/>
      <c r="O1522" s="47"/>
      <c r="P1522" s="47"/>
      <c r="Q1522" s="45"/>
      <c r="R1522" s="45"/>
      <c r="S1522" s="48"/>
    </row>
    <row r="1523" spans="1:19" s="49" customFormat="1" ht="14.15" customHeight="1">
      <c r="A1523" s="45"/>
      <c r="B1523" s="44" t="s">
        <v>6637</v>
      </c>
      <c r="C1523" s="50"/>
      <c r="D1523" s="10" t="s">
        <v>29</v>
      </c>
      <c r="E1523" s="11"/>
      <c r="F1523" s="11" t="s">
        <v>18</v>
      </c>
      <c r="G1523" s="13"/>
      <c r="H1523" s="45" t="s">
        <v>16</v>
      </c>
      <c r="I1523" s="47"/>
      <c r="J1523" s="12" t="s">
        <v>1192</v>
      </c>
      <c r="K1523" s="13" t="s">
        <v>8293</v>
      </c>
      <c r="L1523" s="99" t="str">
        <f t="shared" si="131"/>
        <v>W125A.2</v>
      </c>
      <c r="M1523" s="45"/>
      <c r="N1523" s="47"/>
      <c r="O1523" s="47"/>
      <c r="P1523" s="47"/>
      <c r="Q1523" s="45"/>
      <c r="R1523" s="45"/>
      <c r="S1523" s="48"/>
    </row>
    <row r="1524" spans="1:19" s="49" customFormat="1" ht="14.15" customHeight="1">
      <c r="A1524" s="45"/>
      <c r="B1524" s="44" t="s">
        <v>6637</v>
      </c>
      <c r="C1524" s="50"/>
      <c r="D1524" s="10" t="s">
        <v>29</v>
      </c>
      <c r="E1524" s="11"/>
      <c r="F1524" s="11" t="s">
        <v>18</v>
      </c>
      <c r="G1524" s="13"/>
      <c r="H1524" s="45" t="s">
        <v>16</v>
      </c>
      <c r="I1524" s="47"/>
      <c r="J1524" s="12" t="s">
        <v>1193</v>
      </c>
      <c r="K1524" s="13" t="s">
        <v>8294</v>
      </c>
      <c r="L1524" s="99" t="str">
        <f t="shared" si="131"/>
        <v>W125A.3</v>
      </c>
      <c r="M1524" s="45"/>
      <c r="N1524" s="47"/>
      <c r="O1524" s="47"/>
      <c r="P1524" s="47"/>
      <c r="Q1524" s="45"/>
      <c r="R1524" s="45"/>
      <c r="S1524" s="48"/>
    </row>
    <row r="1525" spans="1:19" s="49" customFormat="1" ht="14.15" customHeight="1">
      <c r="A1525" s="45"/>
      <c r="B1525" s="44" t="s">
        <v>6637</v>
      </c>
      <c r="C1525" s="50"/>
      <c r="D1525" s="10" t="s">
        <v>29</v>
      </c>
      <c r="E1525" s="11"/>
      <c r="F1525" s="11" t="s">
        <v>18</v>
      </c>
      <c r="G1525" s="13"/>
      <c r="H1525" s="45" t="s">
        <v>16</v>
      </c>
      <c r="I1525" s="47"/>
      <c r="J1525" s="12" t="s">
        <v>1194</v>
      </c>
      <c r="K1525" s="13" t="s">
        <v>8295</v>
      </c>
      <c r="L1525" s="99" t="str">
        <f t="shared" si="131"/>
        <v>W125A.4</v>
      </c>
      <c r="M1525" s="45"/>
      <c r="N1525" s="47"/>
      <c r="O1525" s="47"/>
      <c r="P1525" s="47"/>
      <c r="Q1525" s="45"/>
      <c r="R1525" s="45"/>
      <c r="S1525" s="48"/>
    </row>
    <row r="1526" spans="1:19" s="49" customFormat="1" ht="14.15" customHeight="1">
      <c r="A1526" s="45"/>
      <c r="B1526" s="44" t="s">
        <v>6637</v>
      </c>
      <c r="C1526" s="50"/>
      <c r="D1526" s="10" t="s">
        <v>29</v>
      </c>
      <c r="E1526" s="11"/>
      <c r="F1526" s="11" t="s">
        <v>18</v>
      </c>
      <c r="G1526" s="13"/>
      <c r="H1526" s="45" t="s">
        <v>16</v>
      </c>
      <c r="I1526" s="47"/>
      <c r="J1526" s="12" t="s">
        <v>1195</v>
      </c>
      <c r="K1526" s="13" t="s">
        <v>8296</v>
      </c>
      <c r="L1526" s="99" t="str">
        <f t="shared" si="131"/>
        <v>W125A.5</v>
      </c>
      <c r="M1526" s="45"/>
      <c r="N1526" s="47"/>
      <c r="O1526" s="47"/>
      <c r="P1526" s="47"/>
      <c r="Q1526" s="45"/>
      <c r="R1526" s="45"/>
      <c r="S1526" s="48"/>
    </row>
    <row r="1527" spans="1:19" s="49" customFormat="1" ht="14.15" customHeight="1">
      <c r="A1527" s="45"/>
      <c r="B1527" s="44" t="s">
        <v>6637</v>
      </c>
      <c r="C1527" s="50"/>
      <c r="D1527" s="10" t="s">
        <v>29</v>
      </c>
      <c r="E1527" s="11"/>
      <c r="F1527" s="11" t="s">
        <v>18</v>
      </c>
      <c r="G1527" s="13"/>
      <c r="H1527" s="45" t="s">
        <v>16</v>
      </c>
      <c r="I1527" s="47"/>
      <c r="J1527" s="12" t="s">
        <v>1196</v>
      </c>
      <c r="K1527" s="13" t="s">
        <v>8297</v>
      </c>
      <c r="L1527" s="99" t="str">
        <f t="shared" si="131"/>
        <v>W125A.6</v>
      </c>
      <c r="M1527" s="45"/>
      <c r="N1527" s="47"/>
      <c r="O1527" s="47"/>
      <c r="P1527" s="47"/>
      <c r="Q1527" s="45"/>
      <c r="R1527" s="45"/>
      <c r="S1527" s="48"/>
    </row>
    <row r="1528" spans="1:19" s="49" customFormat="1" ht="14.15" customHeight="1">
      <c r="A1528" s="45"/>
      <c r="B1528" s="44" t="s">
        <v>6637</v>
      </c>
      <c r="C1528" s="50"/>
      <c r="D1528" s="10" t="s">
        <v>29</v>
      </c>
      <c r="E1528" s="11"/>
      <c r="F1528" s="11" t="s">
        <v>18</v>
      </c>
      <c r="G1528" s="13"/>
      <c r="H1528" s="45" t="s">
        <v>16</v>
      </c>
      <c r="I1528" s="47"/>
      <c r="J1528" s="12" t="s">
        <v>1197</v>
      </c>
      <c r="K1528" s="13" t="s">
        <v>8298</v>
      </c>
      <c r="L1528" s="99" t="str">
        <f t="shared" si="131"/>
        <v>W125A.7</v>
      </c>
      <c r="M1528" s="45"/>
      <c r="N1528" s="47"/>
      <c r="O1528" s="47"/>
      <c r="P1528" s="47"/>
      <c r="Q1528" s="45"/>
      <c r="R1528" s="45"/>
      <c r="S1528" s="48"/>
    </row>
    <row r="1529" spans="1:19" s="49" customFormat="1" ht="14.15" customHeight="1">
      <c r="A1529" s="45"/>
      <c r="B1529" s="44" t="s">
        <v>6637</v>
      </c>
      <c r="C1529" s="50"/>
      <c r="D1529" s="10" t="s">
        <v>29</v>
      </c>
      <c r="E1529" s="11"/>
      <c r="F1529" s="11" t="s">
        <v>18</v>
      </c>
      <c r="G1529" s="13"/>
      <c r="H1529" s="45" t="s">
        <v>16</v>
      </c>
      <c r="I1529" s="47"/>
      <c r="J1529" s="12" t="s">
        <v>1198</v>
      </c>
      <c r="K1529" s="13" t="s">
        <v>8299</v>
      </c>
      <c r="L1529" s="99" t="str">
        <f t="shared" si="131"/>
        <v>W125A.8</v>
      </c>
      <c r="M1529" s="45"/>
      <c r="N1529" s="47"/>
      <c r="O1529" s="47"/>
      <c r="P1529" s="47"/>
      <c r="Q1529" s="45"/>
      <c r="R1529" s="45"/>
      <c r="S1529" s="48"/>
    </row>
    <row r="1530" spans="1:19" s="49" customFormat="1" ht="14.15" customHeight="1">
      <c r="A1530" s="43" t="s">
        <v>3763</v>
      </c>
      <c r="B1530" s="44" t="s">
        <v>6637</v>
      </c>
      <c r="C1530" s="50"/>
      <c r="D1530" s="10" t="s">
        <v>29</v>
      </c>
      <c r="E1530" s="11"/>
      <c r="F1530" s="11" t="s">
        <v>18</v>
      </c>
      <c r="G1530" s="13"/>
      <c r="H1530" s="45" t="s">
        <v>16</v>
      </c>
      <c r="I1530" s="47"/>
      <c r="J1530" s="12" t="s">
        <v>3514</v>
      </c>
      <c r="K1530" s="13" t="s">
        <v>8300</v>
      </c>
      <c r="L1530" s="99" t="str">
        <f t="shared" si="131"/>
        <v>W125A.9</v>
      </c>
      <c r="M1530" s="13" t="s">
        <v>3667</v>
      </c>
      <c r="N1530" s="47"/>
      <c r="O1530" s="47"/>
      <c r="P1530" s="47"/>
      <c r="Q1530" s="45"/>
      <c r="R1530" s="45"/>
      <c r="S1530" s="48"/>
    </row>
    <row r="1531" spans="1:19" s="49" customFormat="1" ht="14.15" customHeight="1">
      <c r="A1531" s="43" t="s">
        <v>3763</v>
      </c>
      <c r="B1531" s="44" t="s">
        <v>6637</v>
      </c>
      <c r="C1531" s="50"/>
      <c r="D1531" s="10" t="s">
        <v>29</v>
      </c>
      <c r="E1531" s="11"/>
      <c r="F1531" s="11" t="s">
        <v>18</v>
      </c>
      <c r="G1531" s="13"/>
      <c r="H1531" s="45" t="s">
        <v>16</v>
      </c>
      <c r="I1531" s="47"/>
      <c r="J1531" s="12" t="s">
        <v>3515</v>
      </c>
      <c r="K1531" s="13" t="s">
        <v>8301</v>
      </c>
      <c r="L1531" s="99" t="str">
        <f t="shared" si="131"/>
        <v>W125A.A</v>
      </c>
      <c r="M1531" s="13" t="s">
        <v>3667</v>
      </c>
      <c r="N1531" s="47"/>
      <c r="O1531" s="47"/>
      <c r="P1531" s="47"/>
      <c r="Q1531" s="45"/>
      <c r="R1531" s="45"/>
      <c r="S1531" s="48"/>
    </row>
    <row r="1532" spans="1:19" s="49" customFormat="1" ht="14.15" customHeight="1">
      <c r="A1532" s="45"/>
      <c r="B1532" s="44" t="s">
        <v>6637</v>
      </c>
      <c r="C1532" s="50"/>
      <c r="D1532" s="10" t="s">
        <v>29</v>
      </c>
      <c r="E1532" s="11"/>
      <c r="F1532" s="11" t="s">
        <v>18</v>
      </c>
      <c r="G1532" s="13"/>
      <c r="H1532" s="45" t="s">
        <v>16</v>
      </c>
      <c r="I1532" s="47"/>
      <c r="J1532" s="12" t="s">
        <v>1201</v>
      </c>
      <c r="K1532" s="13" t="s">
        <v>8302</v>
      </c>
      <c r="L1532" s="99" t="str">
        <f t="shared" si="131"/>
        <v>W125A.B</v>
      </c>
      <c r="M1532" s="45"/>
      <c r="N1532" s="47"/>
      <c r="O1532" s="47"/>
      <c r="P1532" s="47"/>
      <c r="Q1532" s="45"/>
      <c r="R1532" s="45"/>
      <c r="S1532" s="48"/>
    </row>
    <row r="1533" spans="1:19" s="49" customFormat="1" ht="14.15" customHeight="1">
      <c r="A1533" s="45"/>
      <c r="B1533" s="44" t="s">
        <v>6637</v>
      </c>
      <c r="C1533" s="50"/>
      <c r="D1533" s="10" t="s">
        <v>29</v>
      </c>
      <c r="E1533" s="11"/>
      <c r="F1533" s="11" t="s">
        <v>18</v>
      </c>
      <c r="G1533" s="13"/>
      <c r="H1533" s="45" t="s">
        <v>16</v>
      </c>
      <c r="I1533" s="47"/>
      <c r="J1533" s="12" t="s">
        <v>1202</v>
      </c>
      <c r="K1533" s="13" t="s">
        <v>8303</v>
      </c>
      <c r="L1533" s="99" t="str">
        <f t="shared" si="131"/>
        <v>W125A.C</v>
      </c>
      <c r="M1533" s="45"/>
      <c r="N1533" s="47"/>
      <c r="O1533" s="47"/>
      <c r="P1533" s="47"/>
      <c r="Q1533" s="45"/>
      <c r="R1533" s="45"/>
      <c r="S1533" s="48"/>
    </row>
    <row r="1534" spans="1:19" s="49" customFormat="1" ht="14.15" customHeight="1">
      <c r="A1534" s="45"/>
      <c r="B1534" s="44" t="s">
        <v>6637</v>
      </c>
      <c r="C1534" s="50"/>
      <c r="D1534" s="10" t="s">
        <v>29</v>
      </c>
      <c r="E1534" s="11"/>
      <c r="F1534" s="11" t="s">
        <v>18</v>
      </c>
      <c r="G1534" s="13"/>
      <c r="H1534" s="45" t="s">
        <v>16</v>
      </c>
      <c r="I1534" s="47"/>
      <c r="J1534" s="12" t="s">
        <v>1203</v>
      </c>
      <c r="K1534" s="13" t="s">
        <v>8304</v>
      </c>
      <c r="L1534" s="99" t="str">
        <f t="shared" si="131"/>
        <v>W125A.D</v>
      </c>
      <c r="M1534" s="45"/>
      <c r="N1534" s="47"/>
      <c r="O1534" s="47"/>
      <c r="P1534" s="47"/>
      <c r="Q1534" s="45"/>
      <c r="R1534" s="45"/>
      <c r="S1534" s="48"/>
    </row>
    <row r="1535" spans="1:19" s="49" customFormat="1" ht="14.15" customHeight="1">
      <c r="A1535" s="45"/>
      <c r="B1535" s="44" t="s">
        <v>6637</v>
      </c>
      <c r="C1535" s="50"/>
      <c r="D1535" s="10" t="s">
        <v>29</v>
      </c>
      <c r="E1535" s="11"/>
      <c r="F1535" s="11" t="s">
        <v>18</v>
      </c>
      <c r="G1535" s="13"/>
      <c r="H1535" s="45" t="s">
        <v>16</v>
      </c>
      <c r="I1535" s="47"/>
      <c r="J1535" s="12" t="s">
        <v>1204</v>
      </c>
      <c r="K1535" s="13" t="s">
        <v>8305</v>
      </c>
      <c r="L1535" s="99" t="str">
        <f t="shared" si="131"/>
        <v>W125A.E</v>
      </c>
      <c r="M1535" s="45"/>
      <c r="N1535" s="47"/>
      <c r="O1535" s="47"/>
      <c r="P1535" s="47"/>
      <c r="Q1535" s="45"/>
      <c r="R1535" s="45"/>
      <c r="S1535" s="48"/>
    </row>
    <row r="1536" spans="1:19" s="49" customFormat="1" ht="14.15" customHeight="1">
      <c r="A1536" s="45"/>
      <c r="B1536" s="44" t="s">
        <v>6637</v>
      </c>
      <c r="C1536" s="50"/>
      <c r="D1536" s="10" t="s">
        <v>29</v>
      </c>
      <c r="E1536" s="11"/>
      <c r="F1536" s="11" t="s">
        <v>18</v>
      </c>
      <c r="G1536" s="13"/>
      <c r="H1536" s="45" t="s">
        <v>16</v>
      </c>
      <c r="I1536" s="47"/>
      <c r="J1536" s="12" t="s">
        <v>1205</v>
      </c>
      <c r="K1536" s="13" t="s">
        <v>8306</v>
      </c>
      <c r="L1536" s="99" t="str">
        <f t="shared" si="131"/>
        <v>W125A.F</v>
      </c>
      <c r="M1536" s="45"/>
      <c r="N1536" s="47"/>
      <c r="O1536" s="47"/>
      <c r="P1536" s="47"/>
      <c r="Q1536" s="45"/>
      <c r="R1536" s="45"/>
      <c r="S1536" s="48"/>
    </row>
    <row r="1537" spans="1:19" s="49" customFormat="1" ht="14.15" customHeight="1">
      <c r="A1537" s="45"/>
      <c r="B1537" s="44" t="s">
        <v>6637</v>
      </c>
      <c r="C1537" s="50"/>
      <c r="D1537" s="10" t="s">
        <v>29</v>
      </c>
      <c r="E1537" s="11"/>
      <c r="F1537" s="11" t="s">
        <v>18</v>
      </c>
      <c r="G1537" s="13"/>
      <c r="H1537" s="45" t="s">
        <v>16</v>
      </c>
      <c r="I1537" s="47"/>
      <c r="J1537" s="12" t="s">
        <v>1206</v>
      </c>
      <c r="K1537" s="13" t="s">
        <v>8307</v>
      </c>
      <c r="L1537" s="99" t="str">
        <f t="shared" si="131"/>
        <v>W125B.0</v>
      </c>
      <c r="M1537" s="45"/>
      <c r="N1537" s="47"/>
      <c r="O1537" s="47"/>
      <c r="P1537" s="47"/>
      <c r="Q1537" s="45"/>
      <c r="R1537" s="45"/>
      <c r="S1537" s="48"/>
    </row>
    <row r="1538" spans="1:19" s="49" customFormat="1" ht="14.15" customHeight="1">
      <c r="A1538" s="43" t="s">
        <v>3763</v>
      </c>
      <c r="B1538" s="44" t="s">
        <v>6637</v>
      </c>
      <c r="C1538" s="50"/>
      <c r="D1538" s="10" t="s">
        <v>29</v>
      </c>
      <c r="E1538" s="11"/>
      <c r="F1538" s="11" t="s">
        <v>18</v>
      </c>
      <c r="G1538" s="13"/>
      <c r="H1538" s="45" t="s">
        <v>16</v>
      </c>
      <c r="I1538" s="47"/>
      <c r="J1538" s="12" t="s">
        <v>3516</v>
      </c>
      <c r="K1538" s="13" t="s">
        <v>8308</v>
      </c>
      <c r="L1538" s="99" t="str">
        <f t="shared" si="131"/>
        <v>W125B.1</v>
      </c>
      <c r="M1538" s="13" t="s">
        <v>3667</v>
      </c>
      <c r="N1538" s="47"/>
      <c r="O1538" s="47"/>
      <c r="P1538" s="47"/>
      <c r="Q1538" s="45"/>
      <c r="R1538" s="45"/>
      <c r="S1538" s="48"/>
    </row>
    <row r="1539" spans="1:19" s="49" customFormat="1" ht="14.15" customHeight="1">
      <c r="A1539" s="43" t="s">
        <v>3763</v>
      </c>
      <c r="B1539" s="44" t="s">
        <v>6637</v>
      </c>
      <c r="C1539" s="50"/>
      <c r="D1539" s="10" t="s">
        <v>29</v>
      </c>
      <c r="E1539" s="11"/>
      <c r="F1539" s="11" t="s">
        <v>18</v>
      </c>
      <c r="G1539" s="13"/>
      <c r="H1539" s="45" t="s">
        <v>16</v>
      </c>
      <c r="I1539" s="47"/>
      <c r="J1539" s="12" t="s">
        <v>3517</v>
      </c>
      <c r="K1539" s="13" t="s">
        <v>8309</v>
      </c>
      <c r="L1539" s="99" t="str">
        <f t="shared" si="131"/>
        <v>W125B.2</v>
      </c>
      <c r="M1539" s="13" t="s">
        <v>3667</v>
      </c>
      <c r="N1539" s="47"/>
      <c r="O1539" s="47"/>
      <c r="P1539" s="47"/>
      <c r="Q1539" s="45"/>
      <c r="R1539" s="45"/>
      <c r="S1539" s="48"/>
    </row>
    <row r="1540" spans="1:19" s="49" customFormat="1" ht="14.15" customHeight="1">
      <c r="A1540" s="45"/>
      <c r="B1540" s="44" t="s">
        <v>6637</v>
      </c>
      <c r="C1540" s="50"/>
      <c r="D1540" s="10" t="s">
        <v>29</v>
      </c>
      <c r="E1540" s="11"/>
      <c r="F1540" s="11" t="s">
        <v>18</v>
      </c>
      <c r="G1540" s="13"/>
      <c r="H1540" s="45" t="s">
        <v>16</v>
      </c>
      <c r="I1540" s="47"/>
      <c r="J1540" s="12" t="s">
        <v>1209</v>
      </c>
      <c r="K1540" s="13" t="s">
        <v>8310</v>
      </c>
      <c r="L1540" s="99" t="str">
        <f t="shared" si="131"/>
        <v>W125B.3</v>
      </c>
      <c r="M1540" s="45"/>
      <c r="N1540" s="47"/>
      <c r="O1540" s="47"/>
      <c r="P1540" s="47"/>
      <c r="Q1540" s="45"/>
      <c r="R1540" s="45"/>
      <c r="S1540" s="48"/>
    </row>
    <row r="1541" spans="1:19" s="49" customFormat="1" ht="14.15" customHeight="1">
      <c r="A1541" s="45"/>
      <c r="B1541" s="44" t="s">
        <v>6637</v>
      </c>
      <c r="C1541" s="50"/>
      <c r="D1541" s="10" t="s">
        <v>29</v>
      </c>
      <c r="E1541" s="11"/>
      <c r="F1541" s="11" t="s">
        <v>18</v>
      </c>
      <c r="G1541" s="13"/>
      <c r="H1541" s="45" t="s">
        <v>16</v>
      </c>
      <c r="I1541" s="47"/>
      <c r="J1541" s="12" t="s">
        <v>1210</v>
      </c>
      <c r="K1541" s="13" t="s">
        <v>8311</v>
      </c>
      <c r="L1541" s="99" t="str">
        <f t="shared" si="131"/>
        <v>W125B.4</v>
      </c>
      <c r="M1541" s="45"/>
      <c r="N1541" s="47"/>
      <c r="O1541" s="47"/>
      <c r="P1541" s="47"/>
      <c r="Q1541" s="45"/>
      <c r="R1541" s="45"/>
      <c r="S1541" s="48"/>
    </row>
    <row r="1542" spans="1:19" s="49" customFormat="1" ht="14.15" customHeight="1">
      <c r="A1542" s="45"/>
      <c r="B1542" s="44" t="s">
        <v>6637</v>
      </c>
      <c r="C1542" s="50"/>
      <c r="D1542" s="10" t="s">
        <v>29</v>
      </c>
      <c r="E1542" s="11"/>
      <c r="F1542" s="11" t="s">
        <v>18</v>
      </c>
      <c r="G1542" s="13"/>
      <c r="H1542" s="45" t="s">
        <v>16</v>
      </c>
      <c r="I1542" s="47"/>
      <c r="J1542" s="12" t="s">
        <v>1211</v>
      </c>
      <c r="K1542" s="13" t="s">
        <v>8312</v>
      </c>
      <c r="L1542" s="99" t="str">
        <f t="shared" si="131"/>
        <v>W125B.5</v>
      </c>
      <c r="M1542" s="45"/>
      <c r="N1542" s="47"/>
      <c r="O1542" s="47"/>
      <c r="P1542" s="47"/>
      <c r="Q1542" s="45"/>
      <c r="R1542" s="45"/>
      <c r="S1542" s="48"/>
    </row>
    <row r="1543" spans="1:19" s="49" customFormat="1" ht="14.15" customHeight="1">
      <c r="A1543" s="45"/>
      <c r="B1543" s="44" t="s">
        <v>6637</v>
      </c>
      <c r="C1543" s="50"/>
      <c r="D1543" s="10" t="s">
        <v>29</v>
      </c>
      <c r="E1543" s="11"/>
      <c r="F1543" s="11" t="s">
        <v>18</v>
      </c>
      <c r="G1543" s="13"/>
      <c r="H1543" s="45" t="s">
        <v>16</v>
      </c>
      <c r="I1543" s="47"/>
      <c r="J1543" s="12" t="s">
        <v>1212</v>
      </c>
      <c r="K1543" s="13" t="s">
        <v>8313</v>
      </c>
      <c r="L1543" s="99" t="str">
        <f t="shared" si="131"/>
        <v>W125B.6</v>
      </c>
      <c r="M1543" s="45"/>
      <c r="N1543" s="47"/>
      <c r="O1543" s="47"/>
      <c r="P1543" s="47"/>
      <c r="Q1543" s="45"/>
      <c r="R1543" s="45"/>
      <c r="S1543" s="48"/>
    </row>
    <row r="1544" spans="1:19" s="49" customFormat="1" ht="14.15" customHeight="1">
      <c r="A1544" s="45"/>
      <c r="B1544" s="44" t="s">
        <v>6637</v>
      </c>
      <c r="C1544" s="50"/>
      <c r="D1544" s="10" t="s">
        <v>29</v>
      </c>
      <c r="E1544" s="11"/>
      <c r="F1544" s="11" t="s">
        <v>18</v>
      </c>
      <c r="G1544" s="13"/>
      <c r="H1544" s="45" t="s">
        <v>16</v>
      </c>
      <c r="I1544" s="47"/>
      <c r="J1544" s="12" t="s">
        <v>1213</v>
      </c>
      <c r="K1544" s="13" t="s">
        <v>8314</v>
      </c>
      <c r="L1544" s="99" t="str">
        <f t="shared" si="131"/>
        <v>W125B.7</v>
      </c>
      <c r="M1544" s="45"/>
      <c r="N1544" s="47"/>
      <c r="O1544" s="47"/>
      <c r="P1544" s="47"/>
      <c r="Q1544" s="45"/>
      <c r="R1544" s="45"/>
      <c r="S1544" s="48"/>
    </row>
    <row r="1545" spans="1:19" s="49" customFormat="1" ht="14.15" customHeight="1">
      <c r="A1545" s="45"/>
      <c r="B1545" s="44" t="s">
        <v>6637</v>
      </c>
      <c r="C1545" s="50"/>
      <c r="D1545" s="10" t="s">
        <v>29</v>
      </c>
      <c r="E1545" s="11"/>
      <c r="F1545" s="11" t="s">
        <v>18</v>
      </c>
      <c r="G1545" s="13"/>
      <c r="H1545" s="45" t="s">
        <v>16</v>
      </c>
      <c r="I1545" s="47"/>
      <c r="J1545" s="12" t="s">
        <v>1214</v>
      </c>
      <c r="K1545" s="13" t="s">
        <v>8315</v>
      </c>
      <c r="L1545" s="99" t="str">
        <f t="shared" si="131"/>
        <v>W125B.8</v>
      </c>
      <c r="M1545" s="45"/>
      <c r="N1545" s="47"/>
      <c r="O1545" s="47"/>
      <c r="P1545" s="47"/>
      <c r="Q1545" s="45"/>
      <c r="R1545" s="45"/>
      <c r="S1545" s="48"/>
    </row>
    <row r="1546" spans="1:19" s="49" customFormat="1" ht="14.15" customHeight="1">
      <c r="A1546" s="45"/>
      <c r="B1546" s="44" t="s">
        <v>6637</v>
      </c>
      <c r="C1546" s="50"/>
      <c r="D1546" s="10" t="s">
        <v>29</v>
      </c>
      <c r="E1546" s="11"/>
      <c r="F1546" s="11" t="s">
        <v>18</v>
      </c>
      <c r="G1546" s="13"/>
      <c r="H1546" s="45" t="s">
        <v>16</v>
      </c>
      <c r="I1546" s="47"/>
      <c r="J1546" s="12" t="s">
        <v>1215</v>
      </c>
      <c r="K1546" s="13" t="s">
        <v>8316</v>
      </c>
      <c r="L1546" s="99" t="str">
        <f t="shared" si="131"/>
        <v>W125B.9</v>
      </c>
      <c r="M1546" s="45"/>
      <c r="N1546" s="47"/>
      <c r="O1546" s="47"/>
      <c r="P1546" s="47"/>
      <c r="Q1546" s="45"/>
      <c r="R1546" s="45"/>
      <c r="S1546" s="48"/>
    </row>
    <row r="1547" spans="1:19" s="49" customFormat="1" ht="14.15" customHeight="1">
      <c r="A1547" s="45"/>
      <c r="B1547" s="44" t="s">
        <v>6637</v>
      </c>
      <c r="C1547" s="50"/>
      <c r="D1547" s="10" t="s">
        <v>29</v>
      </c>
      <c r="E1547" s="11"/>
      <c r="F1547" s="11" t="s">
        <v>18</v>
      </c>
      <c r="G1547" s="13"/>
      <c r="H1547" s="45" t="s">
        <v>16</v>
      </c>
      <c r="I1547" s="47"/>
      <c r="J1547" s="12" t="s">
        <v>1216</v>
      </c>
      <c r="K1547" s="13" t="s">
        <v>8317</v>
      </c>
      <c r="L1547" s="99" t="str">
        <f t="shared" si="131"/>
        <v>W125B.A</v>
      </c>
      <c r="M1547" s="45"/>
      <c r="N1547" s="47"/>
      <c r="O1547" s="47"/>
      <c r="P1547" s="47"/>
      <c r="Q1547" s="45"/>
      <c r="R1547" s="45"/>
      <c r="S1547" s="48"/>
    </row>
    <row r="1548" spans="1:19" s="49" customFormat="1" ht="14.15" customHeight="1">
      <c r="A1548" s="45"/>
      <c r="B1548" s="44" t="s">
        <v>6637</v>
      </c>
      <c r="C1548" s="50"/>
      <c r="D1548" s="10" t="s">
        <v>29</v>
      </c>
      <c r="E1548" s="11"/>
      <c r="F1548" s="11" t="s">
        <v>18</v>
      </c>
      <c r="G1548" s="13"/>
      <c r="H1548" s="45" t="s">
        <v>16</v>
      </c>
      <c r="I1548" s="47"/>
      <c r="J1548" s="12" t="s">
        <v>1217</v>
      </c>
      <c r="K1548" s="13" t="s">
        <v>8318</v>
      </c>
      <c r="L1548" s="99" t="str">
        <f t="shared" si="131"/>
        <v>W125B.B</v>
      </c>
      <c r="M1548" s="45"/>
      <c r="N1548" s="47"/>
      <c r="O1548" s="47"/>
      <c r="P1548" s="47"/>
      <c r="Q1548" s="45"/>
      <c r="R1548" s="45"/>
      <c r="S1548" s="48"/>
    </row>
    <row r="1549" spans="1:19" s="49" customFormat="1" ht="14.15" customHeight="1">
      <c r="A1549" s="45"/>
      <c r="B1549" s="44" t="s">
        <v>6637</v>
      </c>
      <c r="C1549" s="50"/>
      <c r="D1549" s="10" t="s">
        <v>29</v>
      </c>
      <c r="E1549" s="11"/>
      <c r="F1549" s="11" t="s">
        <v>18</v>
      </c>
      <c r="G1549" s="13"/>
      <c r="H1549" s="45" t="s">
        <v>16</v>
      </c>
      <c r="I1549" s="47"/>
      <c r="J1549" s="12" t="s">
        <v>1218</v>
      </c>
      <c r="K1549" s="13" t="s">
        <v>8319</v>
      </c>
      <c r="L1549" s="99" t="str">
        <f t="shared" si="131"/>
        <v>W125B.C</v>
      </c>
      <c r="M1549" s="45"/>
      <c r="N1549" s="47"/>
      <c r="O1549" s="47"/>
      <c r="P1549" s="47"/>
      <c r="Q1549" s="45"/>
      <c r="R1549" s="45"/>
      <c r="S1549" s="48"/>
    </row>
    <row r="1550" spans="1:19" s="49" customFormat="1" ht="14.15" customHeight="1">
      <c r="A1550" s="43" t="s">
        <v>3725</v>
      </c>
      <c r="B1550" s="44" t="s">
        <v>6637</v>
      </c>
      <c r="C1550" s="50"/>
      <c r="D1550" s="10" t="s">
        <v>29</v>
      </c>
      <c r="E1550" s="11"/>
      <c r="F1550" s="11" t="s">
        <v>18</v>
      </c>
      <c r="G1550" s="13"/>
      <c r="H1550" s="45" t="s">
        <v>16</v>
      </c>
      <c r="I1550" s="47"/>
      <c r="J1550" s="12" t="s">
        <v>3518</v>
      </c>
      <c r="K1550" s="13" t="s">
        <v>8320</v>
      </c>
      <c r="L1550" s="99" t="str">
        <f t="shared" si="131"/>
        <v>W125B.D</v>
      </c>
      <c r="M1550" s="13" t="s">
        <v>3667</v>
      </c>
      <c r="N1550" s="47"/>
      <c r="O1550" s="47"/>
      <c r="P1550" s="47"/>
      <c r="Q1550" s="45"/>
      <c r="R1550" s="45"/>
      <c r="S1550" s="48"/>
    </row>
    <row r="1551" spans="1:19" s="49" customFormat="1" ht="14.15" customHeight="1">
      <c r="A1551" s="43" t="s">
        <v>3725</v>
      </c>
      <c r="B1551" s="44" t="s">
        <v>6637</v>
      </c>
      <c r="C1551" s="50"/>
      <c r="D1551" s="10" t="s">
        <v>29</v>
      </c>
      <c r="E1551" s="11"/>
      <c r="F1551" s="11" t="s">
        <v>18</v>
      </c>
      <c r="G1551" s="13"/>
      <c r="H1551" s="45" t="s">
        <v>16</v>
      </c>
      <c r="I1551" s="47"/>
      <c r="J1551" s="12" t="s">
        <v>3519</v>
      </c>
      <c r="K1551" s="13" t="s">
        <v>8321</v>
      </c>
      <c r="L1551" s="99" t="str">
        <f t="shared" si="131"/>
        <v>W125B.E</v>
      </c>
      <c r="M1551" s="13" t="s">
        <v>3667</v>
      </c>
      <c r="N1551" s="47"/>
      <c r="O1551" s="47"/>
      <c r="P1551" s="47"/>
      <c r="Q1551" s="45"/>
      <c r="R1551" s="45"/>
      <c r="S1551" s="48"/>
    </row>
    <row r="1552" spans="1:19" s="49" customFormat="1" ht="14.15" customHeight="1">
      <c r="A1552" s="43" t="s">
        <v>3725</v>
      </c>
      <c r="B1552" s="44" t="s">
        <v>6637</v>
      </c>
      <c r="C1552" s="50"/>
      <c r="D1552" s="10" t="s">
        <v>29</v>
      </c>
      <c r="E1552" s="11"/>
      <c r="F1552" s="11" t="s">
        <v>18</v>
      </c>
      <c r="G1552" s="13"/>
      <c r="H1552" s="45" t="s">
        <v>16</v>
      </c>
      <c r="I1552" s="47"/>
      <c r="J1552" s="12" t="s">
        <v>3520</v>
      </c>
      <c r="K1552" s="13" t="s">
        <v>8322</v>
      </c>
      <c r="L1552" s="99" t="str">
        <f t="shared" si="131"/>
        <v>W125B.F</v>
      </c>
      <c r="M1552" s="13" t="s">
        <v>3667</v>
      </c>
      <c r="N1552" s="47"/>
      <c r="O1552" s="47"/>
      <c r="P1552" s="47"/>
      <c r="Q1552" s="45"/>
      <c r="R1552" s="45"/>
      <c r="S1552" s="48"/>
    </row>
    <row r="1553" spans="1:19" s="49" customFormat="1" ht="14.15" customHeight="1">
      <c r="A1553" s="45"/>
      <c r="B1553" s="44" t="s">
        <v>6637</v>
      </c>
      <c r="C1553" s="50"/>
      <c r="D1553" s="10" t="s">
        <v>29</v>
      </c>
      <c r="E1553" s="11"/>
      <c r="F1553" s="11" t="s">
        <v>18</v>
      </c>
      <c r="G1553" s="13"/>
      <c r="H1553" s="45" t="s">
        <v>16</v>
      </c>
      <c r="I1553" s="47"/>
      <c r="J1553" s="12" t="s">
        <v>1222</v>
      </c>
      <c r="K1553" s="13" t="s">
        <v>8323</v>
      </c>
      <c r="L1553" s="99" t="str">
        <f t="shared" si="131"/>
        <v>W125C.0</v>
      </c>
      <c r="M1553" s="45"/>
      <c r="N1553" s="47"/>
      <c r="O1553" s="47"/>
      <c r="P1553" s="47"/>
      <c r="Q1553" s="45"/>
      <c r="R1553" s="45"/>
      <c r="S1553" s="48"/>
    </row>
    <row r="1554" spans="1:19" s="49" customFormat="1" ht="14.15" customHeight="1">
      <c r="A1554" s="43" t="s">
        <v>3725</v>
      </c>
      <c r="B1554" s="44" t="s">
        <v>6637</v>
      </c>
      <c r="C1554" s="50"/>
      <c r="D1554" s="10" t="s">
        <v>29</v>
      </c>
      <c r="E1554" s="11"/>
      <c r="F1554" s="11" t="s">
        <v>18</v>
      </c>
      <c r="G1554" s="13"/>
      <c r="H1554" s="45" t="s">
        <v>16</v>
      </c>
      <c r="I1554" s="47"/>
      <c r="J1554" s="12" t="s">
        <v>3521</v>
      </c>
      <c r="K1554" s="13" t="s">
        <v>8324</v>
      </c>
      <c r="L1554" s="99" t="str">
        <f t="shared" ref="L1554:L1617" si="132">"W"&amp;DEC2HEX(4608 + INT((ROW()-81)/16)) &amp; "." &amp; IF(MOD(ROW()-81,16)&lt;10,MOD(ROW()-81,16),CHAR(MOD(ROW()-81,16)+55))</f>
        <v>W125C.1</v>
      </c>
      <c r="M1554" s="13" t="s">
        <v>3667</v>
      </c>
      <c r="N1554" s="47"/>
      <c r="O1554" s="47"/>
      <c r="P1554" s="47"/>
      <c r="Q1554" s="45"/>
      <c r="R1554" s="45"/>
      <c r="S1554" s="48"/>
    </row>
    <row r="1555" spans="1:19" s="49" customFormat="1" ht="14.15" customHeight="1">
      <c r="A1555" s="45"/>
      <c r="B1555" s="44" t="s">
        <v>6637</v>
      </c>
      <c r="C1555" s="50"/>
      <c r="D1555" s="10" t="s">
        <v>29</v>
      </c>
      <c r="E1555" s="11"/>
      <c r="F1555" s="11" t="s">
        <v>18</v>
      </c>
      <c r="G1555" s="13"/>
      <c r="H1555" s="45" t="s">
        <v>16</v>
      </c>
      <c r="I1555" s="47"/>
      <c r="J1555" s="12" t="s">
        <v>1224</v>
      </c>
      <c r="K1555" s="13" t="s">
        <v>8325</v>
      </c>
      <c r="L1555" s="99" t="str">
        <f t="shared" si="132"/>
        <v>W125C.2</v>
      </c>
      <c r="M1555" s="45"/>
      <c r="N1555" s="47"/>
      <c r="O1555" s="47"/>
      <c r="P1555" s="47"/>
      <c r="Q1555" s="45"/>
      <c r="R1555" s="45"/>
      <c r="S1555" s="48"/>
    </row>
    <row r="1556" spans="1:19" s="49" customFormat="1" ht="14.15" customHeight="1">
      <c r="A1556" s="45"/>
      <c r="B1556" s="44" t="s">
        <v>6637</v>
      </c>
      <c r="C1556" s="50"/>
      <c r="D1556" s="10" t="s">
        <v>29</v>
      </c>
      <c r="E1556" s="11"/>
      <c r="F1556" s="11" t="s">
        <v>18</v>
      </c>
      <c r="G1556" s="13"/>
      <c r="H1556" s="45" t="s">
        <v>16</v>
      </c>
      <c r="I1556" s="47"/>
      <c r="J1556" s="12" t="s">
        <v>1225</v>
      </c>
      <c r="K1556" s="13" t="s">
        <v>8326</v>
      </c>
      <c r="L1556" s="99" t="str">
        <f t="shared" si="132"/>
        <v>W125C.3</v>
      </c>
      <c r="M1556" s="45"/>
      <c r="N1556" s="47"/>
      <c r="O1556" s="47"/>
      <c r="P1556" s="47"/>
      <c r="Q1556" s="45"/>
      <c r="R1556" s="45"/>
      <c r="S1556" s="48"/>
    </row>
    <row r="1557" spans="1:19" s="49" customFormat="1" ht="14.15" customHeight="1">
      <c r="A1557" s="45"/>
      <c r="B1557" s="44" t="s">
        <v>6637</v>
      </c>
      <c r="C1557" s="50"/>
      <c r="D1557" s="10" t="s">
        <v>29</v>
      </c>
      <c r="E1557" s="11"/>
      <c r="F1557" s="11" t="s">
        <v>18</v>
      </c>
      <c r="G1557" s="13"/>
      <c r="H1557" s="45" t="s">
        <v>16</v>
      </c>
      <c r="I1557" s="47"/>
      <c r="J1557" s="12" t="s">
        <v>1226</v>
      </c>
      <c r="K1557" s="13" t="s">
        <v>8327</v>
      </c>
      <c r="L1557" s="99" t="str">
        <f t="shared" si="132"/>
        <v>W125C.4</v>
      </c>
      <c r="M1557" s="45"/>
      <c r="N1557" s="47"/>
      <c r="O1557" s="47"/>
      <c r="P1557" s="47"/>
      <c r="Q1557" s="45"/>
      <c r="R1557" s="45"/>
      <c r="S1557" s="48"/>
    </row>
    <row r="1558" spans="1:19" s="49" customFormat="1" ht="14.15" customHeight="1">
      <c r="A1558" s="45"/>
      <c r="B1558" s="44" t="s">
        <v>6637</v>
      </c>
      <c r="C1558" s="50"/>
      <c r="D1558" s="10" t="s">
        <v>29</v>
      </c>
      <c r="E1558" s="11"/>
      <c r="F1558" s="11" t="s">
        <v>18</v>
      </c>
      <c r="G1558" s="13"/>
      <c r="H1558" s="45" t="s">
        <v>16</v>
      </c>
      <c r="I1558" s="47"/>
      <c r="J1558" s="12" t="s">
        <v>1227</v>
      </c>
      <c r="K1558" s="13" t="s">
        <v>8328</v>
      </c>
      <c r="L1558" s="99" t="str">
        <f t="shared" si="132"/>
        <v>W125C.5</v>
      </c>
      <c r="M1558" s="45"/>
      <c r="N1558" s="47"/>
      <c r="O1558" s="47"/>
      <c r="P1558" s="47"/>
      <c r="Q1558" s="45"/>
      <c r="R1558" s="45"/>
      <c r="S1558" s="48"/>
    </row>
    <row r="1559" spans="1:19" s="49" customFormat="1" ht="14.15" customHeight="1">
      <c r="A1559" s="45"/>
      <c r="B1559" s="44" t="s">
        <v>6637</v>
      </c>
      <c r="C1559" s="50"/>
      <c r="D1559" s="10" t="s">
        <v>29</v>
      </c>
      <c r="E1559" s="11"/>
      <c r="F1559" s="11" t="s">
        <v>18</v>
      </c>
      <c r="G1559" s="13"/>
      <c r="H1559" s="45" t="s">
        <v>16</v>
      </c>
      <c r="I1559" s="47"/>
      <c r="J1559" s="12" t="s">
        <v>1228</v>
      </c>
      <c r="K1559" s="13" t="s">
        <v>8329</v>
      </c>
      <c r="L1559" s="99" t="str">
        <f t="shared" si="132"/>
        <v>W125C.6</v>
      </c>
      <c r="M1559" s="45"/>
      <c r="N1559" s="47"/>
      <c r="O1559" s="47"/>
      <c r="P1559" s="47"/>
      <c r="Q1559" s="45"/>
      <c r="R1559" s="45"/>
      <c r="S1559" s="48"/>
    </row>
    <row r="1560" spans="1:19" s="49" customFormat="1" ht="14.15" customHeight="1">
      <c r="A1560" s="43" t="s">
        <v>3725</v>
      </c>
      <c r="B1560" s="44" t="s">
        <v>6637</v>
      </c>
      <c r="C1560" s="50"/>
      <c r="D1560" s="10" t="s">
        <v>29</v>
      </c>
      <c r="E1560" s="11"/>
      <c r="F1560" s="11" t="s">
        <v>18</v>
      </c>
      <c r="G1560" s="13"/>
      <c r="H1560" s="45" t="s">
        <v>16</v>
      </c>
      <c r="I1560" s="47"/>
      <c r="J1560" s="12" t="s">
        <v>3522</v>
      </c>
      <c r="K1560" s="13" t="s">
        <v>8330</v>
      </c>
      <c r="L1560" s="99" t="str">
        <f t="shared" si="132"/>
        <v>W125C.7</v>
      </c>
      <c r="M1560" s="13" t="s">
        <v>3667</v>
      </c>
      <c r="N1560" s="47"/>
      <c r="O1560" s="47"/>
      <c r="P1560" s="47"/>
      <c r="Q1560" s="45"/>
      <c r="R1560" s="45"/>
      <c r="S1560" s="48"/>
    </row>
    <row r="1561" spans="1:19" s="49" customFormat="1" ht="14.15" customHeight="1">
      <c r="A1561" s="43" t="s">
        <v>3725</v>
      </c>
      <c r="B1561" s="44" t="s">
        <v>6637</v>
      </c>
      <c r="C1561" s="50"/>
      <c r="D1561" s="10" t="s">
        <v>29</v>
      </c>
      <c r="E1561" s="11"/>
      <c r="F1561" s="11" t="s">
        <v>18</v>
      </c>
      <c r="G1561" s="13"/>
      <c r="H1561" s="45" t="s">
        <v>16</v>
      </c>
      <c r="I1561" s="47"/>
      <c r="J1561" s="12" t="s">
        <v>3704</v>
      </c>
      <c r="K1561" s="13" t="s">
        <v>8331</v>
      </c>
      <c r="L1561" s="99" t="str">
        <f t="shared" si="132"/>
        <v>W125C.8</v>
      </c>
      <c r="M1561" s="13" t="s">
        <v>3667</v>
      </c>
      <c r="N1561" s="47"/>
      <c r="O1561" s="47"/>
      <c r="P1561" s="47"/>
      <c r="Q1561" s="45"/>
      <c r="R1561" s="45"/>
      <c r="S1561" s="48"/>
    </row>
    <row r="1562" spans="1:19" s="49" customFormat="1" ht="14.15" customHeight="1">
      <c r="A1562" s="43" t="s">
        <v>3725</v>
      </c>
      <c r="B1562" s="44" t="s">
        <v>6637</v>
      </c>
      <c r="C1562" s="50"/>
      <c r="D1562" s="10" t="s">
        <v>29</v>
      </c>
      <c r="E1562" s="11"/>
      <c r="F1562" s="11" t="s">
        <v>18</v>
      </c>
      <c r="G1562" s="13"/>
      <c r="H1562" s="45" t="s">
        <v>16</v>
      </c>
      <c r="I1562" s="47"/>
      <c r="J1562" s="12" t="s">
        <v>3523</v>
      </c>
      <c r="K1562" s="13" t="s">
        <v>8332</v>
      </c>
      <c r="L1562" s="99" t="str">
        <f t="shared" si="132"/>
        <v>W125C.9</v>
      </c>
      <c r="M1562" s="13" t="s">
        <v>3667</v>
      </c>
      <c r="N1562" s="47"/>
      <c r="O1562" s="47"/>
      <c r="P1562" s="47"/>
      <c r="Q1562" s="45"/>
      <c r="R1562" s="45"/>
      <c r="S1562" s="48"/>
    </row>
    <row r="1563" spans="1:19" s="49" customFormat="1" ht="14.15" customHeight="1">
      <c r="A1563" s="43" t="s">
        <v>3725</v>
      </c>
      <c r="B1563" s="44" t="s">
        <v>6637</v>
      </c>
      <c r="C1563" s="50"/>
      <c r="D1563" s="10" t="s">
        <v>29</v>
      </c>
      <c r="E1563" s="11"/>
      <c r="F1563" s="11" t="s">
        <v>18</v>
      </c>
      <c r="G1563" s="13"/>
      <c r="H1563" s="45" t="s">
        <v>16</v>
      </c>
      <c r="I1563" s="47"/>
      <c r="J1563" s="12" t="s">
        <v>3524</v>
      </c>
      <c r="K1563" s="13" t="s">
        <v>8333</v>
      </c>
      <c r="L1563" s="99" t="str">
        <f t="shared" si="132"/>
        <v>W125C.A</v>
      </c>
      <c r="M1563" s="13" t="s">
        <v>3667</v>
      </c>
      <c r="N1563" s="47"/>
      <c r="O1563" s="47"/>
      <c r="P1563" s="47"/>
      <c r="Q1563" s="45"/>
      <c r="R1563" s="45"/>
      <c r="S1563" s="48"/>
    </row>
    <row r="1564" spans="1:19" s="49" customFormat="1" ht="14.15" customHeight="1">
      <c r="A1564" s="43" t="s">
        <v>3725</v>
      </c>
      <c r="B1564" s="44" t="s">
        <v>6637</v>
      </c>
      <c r="C1564" s="50"/>
      <c r="D1564" s="10" t="s">
        <v>29</v>
      </c>
      <c r="E1564" s="11"/>
      <c r="F1564" s="11" t="s">
        <v>18</v>
      </c>
      <c r="G1564" s="13"/>
      <c r="H1564" s="45" t="s">
        <v>16</v>
      </c>
      <c r="I1564" s="47"/>
      <c r="J1564" s="12" t="s">
        <v>3525</v>
      </c>
      <c r="K1564" s="13" t="s">
        <v>8334</v>
      </c>
      <c r="L1564" s="99" t="str">
        <f t="shared" si="132"/>
        <v>W125C.B</v>
      </c>
      <c r="M1564" s="13" t="s">
        <v>3667</v>
      </c>
      <c r="N1564" s="47"/>
      <c r="O1564" s="47"/>
      <c r="P1564" s="47"/>
      <c r="Q1564" s="45"/>
      <c r="R1564" s="45"/>
      <c r="S1564" s="48"/>
    </row>
    <row r="1565" spans="1:19" s="49" customFormat="1" ht="14.15" customHeight="1">
      <c r="A1565" s="43" t="s">
        <v>3725</v>
      </c>
      <c r="B1565" s="44" t="s">
        <v>6637</v>
      </c>
      <c r="C1565" s="50"/>
      <c r="D1565" s="10" t="s">
        <v>29</v>
      </c>
      <c r="E1565" s="11"/>
      <c r="F1565" s="11" t="s">
        <v>18</v>
      </c>
      <c r="G1565" s="13"/>
      <c r="H1565" s="45" t="s">
        <v>16</v>
      </c>
      <c r="I1565" s="47"/>
      <c r="J1565" s="12" t="s">
        <v>3526</v>
      </c>
      <c r="K1565" s="13" t="s">
        <v>8335</v>
      </c>
      <c r="L1565" s="99" t="str">
        <f t="shared" si="132"/>
        <v>W125C.C</v>
      </c>
      <c r="M1565" s="13" t="s">
        <v>3667</v>
      </c>
      <c r="N1565" s="47"/>
      <c r="O1565" s="47"/>
      <c r="P1565" s="47"/>
      <c r="Q1565" s="45"/>
      <c r="R1565" s="45"/>
      <c r="S1565" s="48"/>
    </row>
    <row r="1566" spans="1:19" s="49" customFormat="1" ht="14.15" customHeight="1">
      <c r="A1566" s="45"/>
      <c r="B1566" s="44" t="s">
        <v>6637</v>
      </c>
      <c r="C1566" s="50"/>
      <c r="D1566" s="10" t="s">
        <v>29</v>
      </c>
      <c r="E1566" s="11"/>
      <c r="F1566" s="11" t="s">
        <v>18</v>
      </c>
      <c r="G1566" s="13"/>
      <c r="H1566" s="45" t="s">
        <v>16</v>
      </c>
      <c r="I1566" s="47"/>
      <c r="J1566" s="12" t="s">
        <v>1235</v>
      </c>
      <c r="K1566" s="13" t="s">
        <v>8336</v>
      </c>
      <c r="L1566" s="99" t="str">
        <f t="shared" si="132"/>
        <v>W125C.D</v>
      </c>
      <c r="M1566" s="45"/>
      <c r="N1566" s="47"/>
      <c r="O1566" s="47"/>
      <c r="P1566" s="47"/>
      <c r="Q1566" s="45"/>
      <c r="R1566" s="45"/>
      <c r="S1566" s="48"/>
    </row>
    <row r="1567" spans="1:19" s="49" customFormat="1" ht="14.15" customHeight="1">
      <c r="A1567" s="45"/>
      <c r="B1567" s="44" t="s">
        <v>6637</v>
      </c>
      <c r="C1567" s="50"/>
      <c r="D1567" s="10" t="s">
        <v>29</v>
      </c>
      <c r="E1567" s="11"/>
      <c r="F1567" s="11" t="s">
        <v>18</v>
      </c>
      <c r="G1567" s="13"/>
      <c r="H1567" s="45" t="s">
        <v>16</v>
      </c>
      <c r="I1567" s="47"/>
      <c r="J1567" s="12" t="s">
        <v>1236</v>
      </c>
      <c r="K1567" s="13" t="s">
        <v>8337</v>
      </c>
      <c r="L1567" s="99" t="str">
        <f t="shared" si="132"/>
        <v>W125C.E</v>
      </c>
      <c r="M1567" s="45"/>
      <c r="N1567" s="47"/>
      <c r="O1567" s="47"/>
      <c r="P1567" s="47"/>
      <c r="Q1567" s="45"/>
      <c r="R1567" s="45"/>
      <c r="S1567" s="48"/>
    </row>
    <row r="1568" spans="1:19" s="49" customFormat="1" ht="14.15" customHeight="1">
      <c r="A1568" s="45"/>
      <c r="B1568" s="44" t="s">
        <v>6637</v>
      </c>
      <c r="C1568" s="50"/>
      <c r="D1568" s="10" t="s">
        <v>29</v>
      </c>
      <c r="E1568" s="11"/>
      <c r="F1568" s="11" t="s">
        <v>18</v>
      </c>
      <c r="G1568" s="13"/>
      <c r="H1568" s="45" t="s">
        <v>16</v>
      </c>
      <c r="I1568" s="47"/>
      <c r="J1568" s="12" t="s">
        <v>1237</v>
      </c>
      <c r="K1568" s="13" t="s">
        <v>8338</v>
      </c>
      <c r="L1568" s="99" t="str">
        <f t="shared" si="132"/>
        <v>W125C.F</v>
      </c>
      <c r="M1568" s="45"/>
      <c r="N1568" s="47"/>
      <c r="O1568" s="47"/>
      <c r="P1568" s="47"/>
      <c r="Q1568" s="45"/>
      <c r="R1568" s="45"/>
      <c r="S1568" s="48"/>
    </row>
    <row r="1569" spans="1:19" s="49" customFormat="1" ht="14.15" customHeight="1">
      <c r="A1569" s="45"/>
      <c r="B1569" s="44" t="s">
        <v>6637</v>
      </c>
      <c r="C1569" s="50"/>
      <c r="D1569" s="10" t="s">
        <v>29</v>
      </c>
      <c r="E1569" s="11"/>
      <c r="F1569" s="11" t="s">
        <v>18</v>
      </c>
      <c r="G1569" s="13"/>
      <c r="H1569" s="45" t="s">
        <v>16</v>
      </c>
      <c r="I1569" s="47"/>
      <c r="J1569" s="12" t="s">
        <v>1238</v>
      </c>
      <c r="K1569" s="13" t="s">
        <v>8339</v>
      </c>
      <c r="L1569" s="99" t="str">
        <f t="shared" si="132"/>
        <v>W125D.0</v>
      </c>
      <c r="M1569" s="45"/>
      <c r="N1569" s="47"/>
      <c r="O1569" s="47"/>
      <c r="P1569" s="47"/>
      <c r="Q1569" s="45"/>
      <c r="R1569" s="45"/>
      <c r="S1569" s="48"/>
    </row>
    <row r="1570" spans="1:19" s="49" customFormat="1" ht="14.15" customHeight="1">
      <c r="A1570" s="43" t="s">
        <v>3725</v>
      </c>
      <c r="B1570" s="44" t="s">
        <v>6637</v>
      </c>
      <c r="C1570" s="50"/>
      <c r="D1570" s="10" t="s">
        <v>29</v>
      </c>
      <c r="E1570" s="11"/>
      <c r="F1570" s="11" t="s">
        <v>18</v>
      </c>
      <c r="G1570" s="13"/>
      <c r="H1570" s="45" t="s">
        <v>16</v>
      </c>
      <c r="I1570" s="47"/>
      <c r="J1570" s="12" t="s">
        <v>3527</v>
      </c>
      <c r="K1570" s="13" t="s">
        <v>8340</v>
      </c>
      <c r="L1570" s="99" t="str">
        <f t="shared" si="132"/>
        <v>W125D.1</v>
      </c>
      <c r="M1570" s="13" t="s">
        <v>3667</v>
      </c>
      <c r="N1570" s="47"/>
      <c r="O1570" s="47"/>
      <c r="P1570" s="47"/>
      <c r="Q1570" s="45"/>
      <c r="R1570" s="45"/>
      <c r="S1570" s="48"/>
    </row>
    <row r="1571" spans="1:19" s="49" customFormat="1" ht="14.15" customHeight="1">
      <c r="A1571" s="43" t="s">
        <v>3725</v>
      </c>
      <c r="B1571" s="44" t="s">
        <v>6637</v>
      </c>
      <c r="C1571" s="50"/>
      <c r="D1571" s="10" t="s">
        <v>29</v>
      </c>
      <c r="E1571" s="11"/>
      <c r="F1571" s="11" t="s">
        <v>18</v>
      </c>
      <c r="G1571" s="13"/>
      <c r="H1571" s="45" t="s">
        <v>16</v>
      </c>
      <c r="I1571" s="47"/>
      <c r="J1571" s="12" t="s">
        <v>3528</v>
      </c>
      <c r="K1571" s="13" t="s">
        <v>8341</v>
      </c>
      <c r="L1571" s="99" t="str">
        <f t="shared" si="132"/>
        <v>W125D.2</v>
      </c>
      <c r="M1571" s="13" t="s">
        <v>3667</v>
      </c>
      <c r="N1571" s="47"/>
      <c r="O1571" s="47"/>
      <c r="P1571" s="47"/>
      <c r="Q1571" s="45"/>
      <c r="R1571" s="45"/>
      <c r="S1571" s="48"/>
    </row>
    <row r="1572" spans="1:19" s="49" customFormat="1" ht="14.15" customHeight="1">
      <c r="A1572" s="43" t="s">
        <v>3725</v>
      </c>
      <c r="B1572" s="44" t="s">
        <v>6637</v>
      </c>
      <c r="C1572" s="50"/>
      <c r="D1572" s="10" t="s">
        <v>29</v>
      </c>
      <c r="E1572" s="11"/>
      <c r="F1572" s="11" t="s">
        <v>18</v>
      </c>
      <c r="G1572" s="13"/>
      <c r="H1572" s="45" t="s">
        <v>16</v>
      </c>
      <c r="I1572" s="47"/>
      <c r="J1572" s="12" t="s">
        <v>3529</v>
      </c>
      <c r="K1572" s="13" t="s">
        <v>8342</v>
      </c>
      <c r="L1572" s="99" t="str">
        <f t="shared" si="132"/>
        <v>W125D.3</v>
      </c>
      <c r="M1572" s="13" t="s">
        <v>3667</v>
      </c>
      <c r="N1572" s="47"/>
      <c r="O1572" s="47"/>
      <c r="P1572" s="47"/>
      <c r="Q1572" s="45"/>
      <c r="R1572" s="45"/>
      <c r="S1572" s="48"/>
    </row>
    <row r="1573" spans="1:19" s="49" customFormat="1" ht="14.15" customHeight="1">
      <c r="A1573" s="45"/>
      <c r="B1573" s="44" t="s">
        <v>6637</v>
      </c>
      <c r="C1573" s="50"/>
      <c r="D1573" s="10" t="s">
        <v>29</v>
      </c>
      <c r="E1573" s="11"/>
      <c r="F1573" s="11" t="s">
        <v>18</v>
      </c>
      <c r="G1573" s="13"/>
      <c r="H1573" s="45" t="s">
        <v>16</v>
      </c>
      <c r="I1573" s="47"/>
      <c r="J1573" s="12" t="s">
        <v>1242</v>
      </c>
      <c r="K1573" s="13" t="s">
        <v>8343</v>
      </c>
      <c r="L1573" s="99" t="str">
        <f t="shared" si="132"/>
        <v>W125D.4</v>
      </c>
      <c r="M1573" s="45"/>
      <c r="N1573" s="47"/>
      <c r="O1573" s="47"/>
      <c r="P1573" s="47"/>
      <c r="Q1573" s="45"/>
      <c r="R1573" s="45"/>
      <c r="S1573" s="48"/>
    </row>
    <row r="1574" spans="1:19" s="49" customFormat="1" ht="14.15" customHeight="1">
      <c r="A1574" s="43" t="s">
        <v>3725</v>
      </c>
      <c r="B1574" s="44" t="s">
        <v>6637</v>
      </c>
      <c r="C1574" s="50"/>
      <c r="D1574" s="10" t="s">
        <v>29</v>
      </c>
      <c r="E1574" s="11"/>
      <c r="F1574" s="11" t="s">
        <v>18</v>
      </c>
      <c r="G1574" s="13"/>
      <c r="H1574" s="45" t="s">
        <v>16</v>
      </c>
      <c r="I1574" s="47"/>
      <c r="J1574" s="12" t="s">
        <v>3530</v>
      </c>
      <c r="K1574" s="13" t="s">
        <v>8344</v>
      </c>
      <c r="L1574" s="99" t="str">
        <f t="shared" si="132"/>
        <v>W125D.5</v>
      </c>
      <c r="M1574" s="13" t="s">
        <v>3667</v>
      </c>
      <c r="N1574" s="47"/>
      <c r="O1574" s="47"/>
      <c r="P1574" s="47"/>
      <c r="Q1574" s="45"/>
      <c r="R1574" s="45"/>
      <c r="S1574" s="48"/>
    </row>
    <row r="1575" spans="1:19" s="49" customFormat="1" ht="14.15" customHeight="1">
      <c r="A1575" s="45"/>
      <c r="B1575" s="44" t="s">
        <v>6637</v>
      </c>
      <c r="C1575" s="50"/>
      <c r="D1575" s="10" t="s">
        <v>29</v>
      </c>
      <c r="E1575" s="11"/>
      <c r="F1575" s="11" t="s">
        <v>18</v>
      </c>
      <c r="G1575" s="13"/>
      <c r="H1575" s="45" t="s">
        <v>16</v>
      </c>
      <c r="I1575" s="47"/>
      <c r="J1575" s="12" t="s">
        <v>1244</v>
      </c>
      <c r="K1575" s="13" t="s">
        <v>8345</v>
      </c>
      <c r="L1575" s="99" t="str">
        <f t="shared" si="132"/>
        <v>W125D.6</v>
      </c>
      <c r="M1575" s="45"/>
      <c r="N1575" s="47"/>
      <c r="O1575" s="47"/>
      <c r="P1575" s="47"/>
      <c r="Q1575" s="45"/>
      <c r="R1575" s="45"/>
      <c r="S1575" s="48"/>
    </row>
    <row r="1576" spans="1:19" s="49" customFormat="1" ht="14.15" customHeight="1">
      <c r="A1576" s="45"/>
      <c r="B1576" s="44" t="s">
        <v>6637</v>
      </c>
      <c r="C1576" s="50"/>
      <c r="D1576" s="10" t="s">
        <v>29</v>
      </c>
      <c r="E1576" s="11"/>
      <c r="F1576" s="11" t="s">
        <v>18</v>
      </c>
      <c r="G1576" s="13"/>
      <c r="H1576" s="45" t="s">
        <v>16</v>
      </c>
      <c r="I1576" s="47"/>
      <c r="J1576" s="12" t="s">
        <v>1245</v>
      </c>
      <c r="K1576" s="13" t="s">
        <v>8346</v>
      </c>
      <c r="L1576" s="99" t="str">
        <f t="shared" si="132"/>
        <v>W125D.7</v>
      </c>
      <c r="M1576" s="45"/>
      <c r="N1576" s="47"/>
      <c r="O1576" s="47"/>
      <c r="P1576" s="47"/>
      <c r="Q1576" s="45"/>
      <c r="R1576" s="45"/>
      <c r="S1576" s="48"/>
    </row>
    <row r="1577" spans="1:19" s="49" customFormat="1" ht="14.15" customHeight="1">
      <c r="A1577" s="45"/>
      <c r="B1577" s="44" t="s">
        <v>6637</v>
      </c>
      <c r="C1577" s="50"/>
      <c r="D1577" s="10" t="s">
        <v>29</v>
      </c>
      <c r="E1577" s="11"/>
      <c r="F1577" s="11" t="s">
        <v>18</v>
      </c>
      <c r="G1577" s="13"/>
      <c r="H1577" s="45" t="s">
        <v>16</v>
      </c>
      <c r="I1577" s="47"/>
      <c r="J1577" s="12" t="s">
        <v>1246</v>
      </c>
      <c r="K1577" s="13" t="s">
        <v>8347</v>
      </c>
      <c r="L1577" s="99" t="str">
        <f t="shared" si="132"/>
        <v>W125D.8</v>
      </c>
      <c r="M1577" s="45"/>
      <c r="N1577" s="47"/>
      <c r="O1577" s="47"/>
      <c r="P1577" s="47"/>
      <c r="Q1577" s="45"/>
      <c r="R1577" s="45"/>
      <c r="S1577" s="48"/>
    </row>
    <row r="1578" spans="1:19" s="49" customFormat="1" ht="14.15" customHeight="1">
      <c r="A1578" s="45"/>
      <c r="B1578" s="44" t="s">
        <v>6637</v>
      </c>
      <c r="C1578" s="50"/>
      <c r="D1578" s="10" t="s">
        <v>29</v>
      </c>
      <c r="E1578" s="11"/>
      <c r="F1578" s="11" t="s">
        <v>18</v>
      </c>
      <c r="G1578" s="13"/>
      <c r="H1578" s="45" t="s">
        <v>16</v>
      </c>
      <c r="I1578" s="47"/>
      <c r="J1578" s="12" t="s">
        <v>1247</v>
      </c>
      <c r="K1578" s="13" t="s">
        <v>8348</v>
      </c>
      <c r="L1578" s="99" t="str">
        <f t="shared" si="132"/>
        <v>W125D.9</v>
      </c>
      <c r="M1578" s="45"/>
      <c r="N1578" s="47"/>
      <c r="O1578" s="47"/>
      <c r="P1578" s="47"/>
      <c r="Q1578" s="45"/>
      <c r="R1578" s="45"/>
      <c r="S1578" s="48"/>
    </row>
    <row r="1579" spans="1:19" s="49" customFormat="1" ht="14.15" customHeight="1">
      <c r="A1579" s="43" t="s">
        <v>3725</v>
      </c>
      <c r="B1579" s="44" t="s">
        <v>6637</v>
      </c>
      <c r="C1579" s="50"/>
      <c r="D1579" s="10" t="s">
        <v>29</v>
      </c>
      <c r="E1579" s="11"/>
      <c r="F1579" s="11" t="s">
        <v>18</v>
      </c>
      <c r="G1579" s="13"/>
      <c r="H1579" s="45" t="s">
        <v>16</v>
      </c>
      <c r="I1579" s="47"/>
      <c r="J1579" s="12" t="s">
        <v>3531</v>
      </c>
      <c r="K1579" s="13" t="s">
        <v>8349</v>
      </c>
      <c r="L1579" s="99" t="str">
        <f t="shared" si="132"/>
        <v>W125D.A</v>
      </c>
      <c r="M1579" s="13" t="s">
        <v>3667</v>
      </c>
      <c r="N1579" s="47"/>
      <c r="O1579" s="47"/>
      <c r="P1579" s="47"/>
      <c r="Q1579" s="45"/>
      <c r="R1579" s="45"/>
      <c r="S1579" s="48"/>
    </row>
    <row r="1580" spans="1:19" s="49" customFormat="1" ht="14.15" customHeight="1">
      <c r="A1580" s="43" t="s">
        <v>3725</v>
      </c>
      <c r="B1580" s="44" t="s">
        <v>6637</v>
      </c>
      <c r="C1580" s="50"/>
      <c r="D1580" s="10" t="s">
        <v>29</v>
      </c>
      <c r="E1580" s="11"/>
      <c r="F1580" s="11" t="s">
        <v>18</v>
      </c>
      <c r="G1580" s="13"/>
      <c r="H1580" s="45" t="s">
        <v>16</v>
      </c>
      <c r="I1580" s="47"/>
      <c r="J1580" s="12" t="s">
        <v>3532</v>
      </c>
      <c r="K1580" s="13" t="s">
        <v>8350</v>
      </c>
      <c r="L1580" s="99" t="str">
        <f t="shared" si="132"/>
        <v>W125D.B</v>
      </c>
      <c r="M1580" s="13" t="s">
        <v>3667</v>
      </c>
      <c r="N1580" s="47"/>
      <c r="O1580" s="47"/>
      <c r="P1580" s="47"/>
      <c r="Q1580" s="45"/>
      <c r="R1580" s="45"/>
      <c r="S1580" s="48"/>
    </row>
    <row r="1581" spans="1:19" s="49" customFormat="1" ht="14.15" customHeight="1">
      <c r="A1581" s="43" t="s">
        <v>3725</v>
      </c>
      <c r="B1581" s="44" t="s">
        <v>6637</v>
      </c>
      <c r="C1581" s="50"/>
      <c r="D1581" s="10" t="s">
        <v>29</v>
      </c>
      <c r="E1581" s="11"/>
      <c r="F1581" s="11" t="s">
        <v>18</v>
      </c>
      <c r="G1581" s="13"/>
      <c r="H1581" s="45" t="s">
        <v>16</v>
      </c>
      <c r="I1581" s="47"/>
      <c r="J1581" s="12" t="s">
        <v>3533</v>
      </c>
      <c r="K1581" s="13" t="s">
        <v>8351</v>
      </c>
      <c r="L1581" s="99" t="str">
        <f t="shared" si="132"/>
        <v>W125D.C</v>
      </c>
      <c r="M1581" s="13" t="s">
        <v>3667</v>
      </c>
      <c r="N1581" s="47"/>
      <c r="O1581" s="47"/>
      <c r="P1581" s="47"/>
      <c r="Q1581" s="45"/>
      <c r="R1581" s="45"/>
      <c r="S1581" s="48"/>
    </row>
    <row r="1582" spans="1:19" s="49" customFormat="1" ht="14.15" customHeight="1">
      <c r="A1582" s="43" t="s">
        <v>3725</v>
      </c>
      <c r="B1582" s="44" t="s">
        <v>6637</v>
      </c>
      <c r="C1582" s="50"/>
      <c r="D1582" s="10" t="s">
        <v>29</v>
      </c>
      <c r="E1582" s="11"/>
      <c r="F1582" s="11" t="s">
        <v>18</v>
      </c>
      <c r="G1582" s="13"/>
      <c r="H1582" s="45" t="s">
        <v>16</v>
      </c>
      <c r="I1582" s="47"/>
      <c r="J1582" s="12" t="s">
        <v>3534</v>
      </c>
      <c r="K1582" s="13" t="s">
        <v>8352</v>
      </c>
      <c r="L1582" s="99" t="str">
        <f t="shared" si="132"/>
        <v>W125D.D</v>
      </c>
      <c r="M1582" s="13" t="s">
        <v>3667</v>
      </c>
      <c r="N1582" s="47"/>
      <c r="O1582" s="47"/>
      <c r="P1582" s="47"/>
      <c r="Q1582" s="45"/>
      <c r="R1582" s="45"/>
      <c r="S1582" s="48"/>
    </row>
    <row r="1583" spans="1:19" s="49" customFormat="1" ht="14.15" customHeight="1">
      <c r="A1583" s="45"/>
      <c r="B1583" s="44" t="s">
        <v>6637</v>
      </c>
      <c r="C1583" s="50"/>
      <c r="D1583" s="10" t="s">
        <v>29</v>
      </c>
      <c r="E1583" s="11"/>
      <c r="F1583" s="11" t="s">
        <v>18</v>
      </c>
      <c r="G1583" s="13"/>
      <c r="H1583" s="45" t="s">
        <v>16</v>
      </c>
      <c r="I1583" s="47"/>
      <c r="J1583" s="12" t="s">
        <v>1252</v>
      </c>
      <c r="K1583" s="13" t="s">
        <v>8353</v>
      </c>
      <c r="L1583" s="99" t="str">
        <f t="shared" si="132"/>
        <v>W125D.E</v>
      </c>
      <c r="M1583" s="45"/>
      <c r="N1583" s="47"/>
      <c r="O1583" s="47"/>
      <c r="P1583" s="47"/>
      <c r="Q1583" s="45"/>
      <c r="R1583" s="45"/>
      <c r="S1583" s="48"/>
    </row>
    <row r="1584" spans="1:19" s="49" customFormat="1" ht="14.15" customHeight="1">
      <c r="A1584" s="45"/>
      <c r="B1584" s="44" t="s">
        <v>6637</v>
      </c>
      <c r="C1584" s="50"/>
      <c r="D1584" s="10" t="s">
        <v>29</v>
      </c>
      <c r="E1584" s="11"/>
      <c r="F1584" s="11" t="s">
        <v>18</v>
      </c>
      <c r="G1584" s="13"/>
      <c r="H1584" s="45" t="s">
        <v>16</v>
      </c>
      <c r="I1584" s="47"/>
      <c r="J1584" s="12" t="s">
        <v>1253</v>
      </c>
      <c r="K1584" s="13" t="s">
        <v>8354</v>
      </c>
      <c r="L1584" s="99" t="str">
        <f t="shared" si="132"/>
        <v>W125D.F</v>
      </c>
      <c r="M1584" s="45"/>
      <c r="N1584" s="47"/>
      <c r="O1584" s="47"/>
      <c r="P1584" s="47"/>
      <c r="Q1584" s="45"/>
      <c r="R1584" s="45"/>
      <c r="S1584" s="48"/>
    </row>
    <row r="1585" spans="1:19" s="49" customFormat="1" ht="14.15" customHeight="1">
      <c r="A1585" s="43" t="s">
        <v>3725</v>
      </c>
      <c r="B1585" s="44" t="s">
        <v>6637</v>
      </c>
      <c r="C1585" s="50"/>
      <c r="D1585" s="10" t="s">
        <v>29</v>
      </c>
      <c r="E1585" s="11"/>
      <c r="F1585" s="11" t="s">
        <v>18</v>
      </c>
      <c r="G1585" s="13"/>
      <c r="H1585" s="45" t="s">
        <v>16</v>
      </c>
      <c r="I1585" s="47"/>
      <c r="J1585" s="12" t="s">
        <v>3535</v>
      </c>
      <c r="K1585" s="13" t="s">
        <v>8355</v>
      </c>
      <c r="L1585" s="99" t="str">
        <f t="shared" si="132"/>
        <v>W125E.0</v>
      </c>
      <c r="M1585" s="13" t="s">
        <v>3667</v>
      </c>
      <c r="N1585" s="47"/>
      <c r="O1585" s="47"/>
      <c r="P1585" s="47"/>
      <c r="Q1585" s="45"/>
      <c r="R1585" s="45"/>
      <c r="S1585" s="48"/>
    </row>
    <row r="1586" spans="1:19" s="49" customFormat="1" ht="14.15" customHeight="1">
      <c r="A1586" s="43" t="s">
        <v>3725</v>
      </c>
      <c r="B1586" s="44" t="s">
        <v>6637</v>
      </c>
      <c r="C1586" s="50"/>
      <c r="D1586" s="10" t="s">
        <v>29</v>
      </c>
      <c r="E1586" s="11"/>
      <c r="F1586" s="11" t="s">
        <v>18</v>
      </c>
      <c r="G1586" s="13"/>
      <c r="H1586" s="45" t="s">
        <v>16</v>
      </c>
      <c r="I1586" s="47"/>
      <c r="J1586" s="12" t="s">
        <v>3536</v>
      </c>
      <c r="K1586" s="13" t="s">
        <v>8356</v>
      </c>
      <c r="L1586" s="99" t="str">
        <f t="shared" si="132"/>
        <v>W125E.1</v>
      </c>
      <c r="M1586" s="13" t="s">
        <v>3667</v>
      </c>
      <c r="N1586" s="47"/>
      <c r="O1586" s="47"/>
      <c r="P1586" s="47"/>
      <c r="Q1586" s="45"/>
      <c r="R1586" s="45"/>
      <c r="S1586" s="48"/>
    </row>
    <row r="1587" spans="1:19" s="49" customFormat="1" ht="14.15" customHeight="1">
      <c r="A1587" s="43" t="s">
        <v>3725</v>
      </c>
      <c r="B1587" s="44" t="s">
        <v>6637</v>
      </c>
      <c r="C1587" s="50"/>
      <c r="D1587" s="10" t="s">
        <v>29</v>
      </c>
      <c r="E1587" s="11"/>
      <c r="F1587" s="11" t="s">
        <v>18</v>
      </c>
      <c r="G1587" s="13"/>
      <c r="H1587" s="45" t="s">
        <v>16</v>
      </c>
      <c r="I1587" s="47"/>
      <c r="J1587" s="12" t="s">
        <v>3537</v>
      </c>
      <c r="K1587" s="13" t="s">
        <v>8357</v>
      </c>
      <c r="L1587" s="99" t="str">
        <f t="shared" si="132"/>
        <v>W125E.2</v>
      </c>
      <c r="M1587" s="13" t="s">
        <v>3667</v>
      </c>
      <c r="N1587" s="47"/>
      <c r="O1587" s="47"/>
      <c r="P1587" s="47"/>
      <c r="Q1587" s="45"/>
      <c r="R1587" s="45"/>
      <c r="S1587" s="48"/>
    </row>
    <row r="1588" spans="1:19" s="49" customFormat="1" ht="14.15" customHeight="1">
      <c r="A1588" s="43" t="s">
        <v>3725</v>
      </c>
      <c r="B1588" s="44" t="s">
        <v>6637</v>
      </c>
      <c r="C1588" s="50"/>
      <c r="D1588" s="10" t="s">
        <v>29</v>
      </c>
      <c r="E1588" s="11"/>
      <c r="F1588" s="11" t="s">
        <v>18</v>
      </c>
      <c r="G1588" s="13"/>
      <c r="H1588" s="45" t="s">
        <v>16</v>
      </c>
      <c r="I1588" s="47"/>
      <c r="J1588" s="12" t="s">
        <v>3538</v>
      </c>
      <c r="K1588" s="13" t="s">
        <v>8358</v>
      </c>
      <c r="L1588" s="99" t="str">
        <f t="shared" si="132"/>
        <v>W125E.3</v>
      </c>
      <c r="M1588" s="13" t="s">
        <v>3667</v>
      </c>
      <c r="N1588" s="47"/>
      <c r="O1588" s="47"/>
      <c r="P1588" s="47"/>
      <c r="Q1588" s="45"/>
      <c r="R1588" s="45"/>
      <c r="S1588" s="48"/>
    </row>
    <row r="1589" spans="1:19" s="49" customFormat="1" ht="14.15" customHeight="1">
      <c r="A1589" s="45"/>
      <c r="B1589" s="44" t="s">
        <v>6637</v>
      </c>
      <c r="C1589" s="50"/>
      <c r="D1589" s="10" t="s">
        <v>29</v>
      </c>
      <c r="E1589" s="11"/>
      <c r="F1589" s="11" t="s">
        <v>18</v>
      </c>
      <c r="G1589" s="13"/>
      <c r="H1589" s="45" t="s">
        <v>16</v>
      </c>
      <c r="I1589" s="47"/>
      <c r="J1589" s="12" t="s">
        <v>1258</v>
      </c>
      <c r="K1589" s="13" t="s">
        <v>8359</v>
      </c>
      <c r="L1589" s="99" t="str">
        <f t="shared" si="132"/>
        <v>W125E.4</v>
      </c>
      <c r="M1589" s="45"/>
      <c r="N1589" s="47"/>
      <c r="O1589" s="47"/>
      <c r="P1589" s="47"/>
      <c r="Q1589" s="45"/>
      <c r="R1589" s="45"/>
      <c r="S1589" s="48"/>
    </row>
    <row r="1590" spans="1:19" s="49" customFormat="1" ht="14.15" customHeight="1">
      <c r="A1590" s="43" t="s">
        <v>3725</v>
      </c>
      <c r="B1590" s="44" t="s">
        <v>6637</v>
      </c>
      <c r="C1590" s="50"/>
      <c r="D1590" s="10" t="s">
        <v>29</v>
      </c>
      <c r="E1590" s="11"/>
      <c r="F1590" s="11" t="s">
        <v>18</v>
      </c>
      <c r="G1590" s="13"/>
      <c r="H1590" s="45" t="s">
        <v>16</v>
      </c>
      <c r="I1590" s="47"/>
      <c r="J1590" s="12" t="s">
        <v>3539</v>
      </c>
      <c r="K1590" s="13" t="s">
        <v>8360</v>
      </c>
      <c r="L1590" s="99" t="str">
        <f t="shared" si="132"/>
        <v>W125E.5</v>
      </c>
      <c r="M1590" s="13" t="s">
        <v>3667</v>
      </c>
      <c r="N1590" s="47"/>
      <c r="O1590" s="47"/>
      <c r="P1590" s="47"/>
      <c r="Q1590" s="45"/>
      <c r="R1590" s="45"/>
      <c r="S1590" s="48"/>
    </row>
    <row r="1591" spans="1:19" s="49" customFormat="1" ht="14.15" customHeight="1">
      <c r="A1591" s="43" t="s">
        <v>3725</v>
      </c>
      <c r="B1591" s="44" t="s">
        <v>6637</v>
      </c>
      <c r="C1591" s="50"/>
      <c r="D1591" s="10" t="s">
        <v>29</v>
      </c>
      <c r="E1591" s="11"/>
      <c r="F1591" s="11" t="s">
        <v>18</v>
      </c>
      <c r="G1591" s="13"/>
      <c r="H1591" s="45" t="s">
        <v>16</v>
      </c>
      <c r="I1591" s="47"/>
      <c r="J1591" s="12" t="s">
        <v>3540</v>
      </c>
      <c r="K1591" s="13" t="s">
        <v>8361</v>
      </c>
      <c r="L1591" s="99" t="str">
        <f t="shared" si="132"/>
        <v>W125E.6</v>
      </c>
      <c r="M1591" s="13" t="s">
        <v>3667</v>
      </c>
      <c r="N1591" s="47"/>
      <c r="O1591" s="47"/>
      <c r="P1591" s="47"/>
      <c r="Q1591" s="45"/>
      <c r="R1591" s="45"/>
      <c r="S1591" s="48"/>
    </row>
    <row r="1592" spans="1:19" s="49" customFormat="1" ht="14.15" customHeight="1">
      <c r="A1592" s="43" t="s">
        <v>3725</v>
      </c>
      <c r="B1592" s="44" t="s">
        <v>6637</v>
      </c>
      <c r="C1592" s="50"/>
      <c r="D1592" s="10" t="s">
        <v>29</v>
      </c>
      <c r="E1592" s="11"/>
      <c r="F1592" s="11" t="s">
        <v>18</v>
      </c>
      <c r="G1592" s="13"/>
      <c r="H1592" s="45" t="s">
        <v>16</v>
      </c>
      <c r="I1592" s="47"/>
      <c r="J1592" s="12" t="s">
        <v>3541</v>
      </c>
      <c r="K1592" s="13" t="s">
        <v>8362</v>
      </c>
      <c r="L1592" s="99" t="str">
        <f t="shared" si="132"/>
        <v>W125E.7</v>
      </c>
      <c r="M1592" s="13" t="s">
        <v>3667</v>
      </c>
      <c r="N1592" s="47"/>
      <c r="O1592" s="47"/>
      <c r="P1592" s="47"/>
      <c r="Q1592" s="45"/>
      <c r="R1592" s="45"/>
      <c r="S1592" s="48"/>
    </row>
    <row r="1593" spans="1:19" s="49" customFormat="1" ht="14.15" customHeight="1">
      <c r="A1593" s="45"/>
      <c r="B1593" s="44" t="s">
        <v>6637</v>
      </c>
      <c r="C1593" s="50"/>
      <c r="D1593" s="10" t="s">
        <v>29</v>
      </c>
      <c r="E1593" s="11"/>
      <c r="F1593" s="11" t="s">
        <v>18</v>
      </c>
      <c r="G1593" s="13"/>
      <c r="H1593" s="45" t="s">
        <v>16</v>
      </c>
      <c r="I1593" s="47"/>
      <c r="J1593" s="12" t="s">
        <v>1262</v>
      </c>
      <c r="K1593" s="13" t="s">
        <v>8363</v>
      </c>
      <c r="L1593" s="99" t="str">
        <f t="shared" si="132"/>
        <v>W125E.8</v>
      </c>
      <c r="M1593" s="45"/>
      <c r="N1593" s="47"/>
      <c r="O1593" s="47"/>
      <c r="P1593" s="47"/>
      <c r="Q1593" s="45"/>
      <c r="R1593" s="45"/>
      <c r="S1593" s="48"/>
    </row>
    <row r="1594" spans="1:19" s="49" customFormat="1" ht="14.15" customHeight="1">
      <c r="A1594" s="43" t="s">
        <v>3725</v>
      </c>
      <c r="B1594" s="44" t="s">
        <v>6637</v>
      </c>
      <c r="C1594" s="50"/>
      <c r="D1594" s="10" t="s">
        <v>29</v>
      </c>
      <c r="E1594" s="11"/>
      <c r="F1594" s="11" t="s">
        <v>18</v>
      </c>
      <c r="G1594" s="13"/>
      <c r="H1594" s="45" t="s">
        <v>16</v>
      </c>
      <c r="I1594" s="47"/>
      <c r="J1594" s="12" t="s">
        <v>3542</v>
      </c>
      <c r="K1594" s="13" t="s">
        <v>8364</v>
      </c>
      <c r="L1594" s="99" t="str">
        <f t="shared" si="132"/>
        <v>W125E.9</v>
      </c>
      <c r="M1594" s="13" t="s">
        <v>3667</v>
      </c>
      <c r="N1594" s="47"/>
      <c r="O1594" s="47"/>
      <c r="P1594" s="47"/>
      <c r="Q1594" s="45"/>
      <c r="R1594" s="45"/>
      <c r="S1594" s="48"/>
    </row>
    <row r="1595" spans="1:19" s="49" customFormat="1" ht="14.15" customHeight="1">
      <c r="A1595" s="45"/>
      <c r="B1595" s="44" t="s">
        <v>6637</v>
      </c>
      <c r="C1595" s="50"/>
      <c r="D1595" s="10" t="s">
        <v>29</v>
      </c>
      <c r="E1595" s="11"/>
      <c r="F1595" s="11" t="s">
        <v>18</v>
      </c>
      <c r="G1595" s="13"/>
      <c r="H1595" s="45" t="s">
        <v>16</v>
      </c>
      <c r="I1595" s="47"/>
      <c r="J1595" s="12" t="s">
        <v>1264</v>
      </c>
      <c r="K1595" s="13" t="s">
        <v>8365</v>
      </c>
      <c r="L1595" s="99" t="str">
        <f t="shared" si="132"/>
        <v>W125E.A</v>
      </c>
      <c r="M1595" s="45"/>
      <c r="N1595" s="47"/>
      <c r="O1595" s="47"/>
      <c r="P1595" s="47"/>
      <c r="Q1595" s="45"/>
      <c r="R1595" s="45"/>
      <c r="S1595" s="48"/>
    </row>
    <row r="1596" spans="1:19" s="49" customFormat="1" ht="14.15" customHeight="1">
      <c r="A1596" s="45"/>
      <c r="B1596" s="44" t="s">
        <v>6637</v>
      </c>
      <c r="C1596" s="50"/>
      <c r="D1596" s="10" t="s">
        <v>29</v>
      </c>
      <c r="E1596" s="11"/>
      <c r="F1596" s="11" t="s">
        <v>18</v>
      </c>
      <c r="G1596" s="13"/>
      <c r="H1596" s="45" t="s">
        <v>16</v>
      </c>
      <c r="I1596" s="47"/>
      <c r="J1596" s="12" t="s">
        <v>1265</v>
      </c>
      <c r="K1596" s="13" t="s">
        <v>8366</v>
      </c>
      <c r="L1596" s="99" t="str">
        <f t="shared" si="132"/>
        <v>W125E.B</v>
      </c>
      <c r="M1596" s="45"/>
      <c r="N1596" s="47"/>
      <c r="O1596" s="47"/>
      <c r="P1596" s="47"/>
      <c r="Q1596" s="45"/>
      <c r="R1596" s="45"/>
      <c r="S1596" s="48"/>
    </row>
    <row r="1597" spans="1:19" s="49" customFormat="1" ht="14.15" customHeight="1">
      <c r="A1597" s="45"/>
      <c r="B1597" s="44" t="s">
        <v>6637</v>
      </c>
      <c r="C1597" s="50"/>
      <c r="D1597" s="10" t="s">
        <v>29</v>
      </c>
      <c r="E1597" s="11"/>
      <c r="F1597" s="11" t="s">
        <v>18</v>
      </c>
      <c r="G1597" s="13"/>
      <c r="H1597" s="45" t="s">
        <v>16</v>
      </c>
      <c r="I1597" s="47"/>
      <c r="J1597" s="12" t="s">
        <v>1266</v>
      </c>
      <c r="K1597" s="13" t="s">
        <v>8367</v>
      </c>
      <c r="L1597" s="99" t="str">
        <f t="shared" si="132"/>
        <v>W125E.C</v>
      </c>
      <c r="M1597" s="45"/>
      <c r="N1597" s="47"/>
      <c r="O1597" s="47"/>
      <c r="P1597" s="47"/>
      <c r="Q1597" s="45"/>
      <c r="R1597" s="45"/>
      <c r="S1597" s="48"/>
    </row>
    <row r="1598" spans="1:19" s="49" customFormat="1" ht="14.15" customHeight="1">
      <c r="A1598" s="45"/>
      <c r="B1598" s="44" t="s">
        <v>6637</v>
      </c>
      <c r="C1598" s="50"/>
      <c r="D1598" s="10" t="s">
        <v>29</v>
      </c>
      <c r="E1598" s="11"/>
      <c r="F1598" s="11" t="s">
        <v>18</v>
      </c>
      <c r="G1598" s="13"/>
      <c r="H1598" s="45" t="s">
        <v>16</v>
      </c>
      <c r="I1598" s="47"/>
      <c r="J1598" s="12" t="s">
        <v>1267</v>
      </c>
      <c r="K1598" s="13" t="s">
        <v>8368</v>
      </c>
      <c r="L1598" s="99" t="str">
        <f t="shared" si="132"/>
        <v>W125E.D</v>
      </c>
      <c r="M1598" s="45"/>
      <c r="N1598" s="47"/>
      <c r="O1598" s="47"/>
      <c r="P1598" s="47"/>
      <c r="Q1598" s="45"/>
      <c r="R1598" s="45"/>
      <c r="S1598" s="48"/>
    </row>
    <row r="1599" spans="1:19" s="49" customFormat="1" ht="14.15" customHeight="1">
      <c r="A1599" s="43" t="s">
        <v>3725</v>
      </c>
      <c r="B1599" s="44" t="s">
        <v>6637</v>
      </c>
      <c r="C1599" s="50"/>
      <c r="D1599" s="10" t="s">
        <v>29</v>
      </c>
      <c r="E1599" s="11"/>
      <c r="F1599" s="11" t="s">
        <v>18</v>
      </c>
      <c r="G1599" s="13"/>
      <c r="H1599" s="45" t="s">
        <v>16</v>
      </c>
      <c r="I1599" s="47"/>
      <c r="J1599" s="12" t="s">
        <v>3543</v>
      </c>
      <c r="K1599" s="13" t="s">
        <v>8369</v>
      </c>
      <c r="L1599" s="99" t="str">
        <f t="shared" si="132"/>
        <v>W125E.E</v>
      </c>
      <c r="M1599" s="13" t="s">
        <v>3667</v>
      </c>
      <c r="N1599" s="47"/>
      <c r="O1599" s="47"/>
      <c r="P1599" s="47"/>
      <c r="Q1599" s="45"/>
      <c r="R1599" s="45"/>
      <c r="S1599" s="48"/>
    </row>
    <row r="1600" spans="1:19" s="49" customFormat="1" ht="14.15" customHeight="1">
      <c r="A1600" s="43" t="s">
        <v>3732</v>
      </c>
      <c r="B1600" s="44" t="s">
        <v>6637</v>
      </c>
      <c r="C1600" s="50"/>
      <c r="D1600" s="10" t="s">
        <v>29</v>
      </c>
      <c r="E1600" s="11"/>
      <c r="F1600" s="11" t="s">
        <v>18</v>
      </c>
      <c r="G1600" s="13"/>
      <c r="H1600" s="45" t="s">
        <v>16</v>
      </c>
      <c r="I1600" s="47"/>
      <c r="J1600" s="12" t="s">
        <v>3544</v>
      </c>
      <c r="K1600" s="13" t="s">
        <v>8370</v>
      </c>
      <c r="L1600" s="99" t="str">
        <f t="shared" si="132"/>
        <v>W125E.F</v>
      </c>
      <c r="M1600" s="13" t="s">
        <v>3667</v>
      </c>
      <c r="N1600" s="47"/>
      <c r="O1600" s="47"/>
      <c r="P1600" s="47"/>
      <c r="Q1600" s="45"/>
      <c r="R1600" s="45"/>
      <c r="S1600" s="48"/>
    </row>
    <row r="1601" spans="1:19" s="49" customFormat="1" ht="14.15" customHeight="1">
      <c r="A1601" s="43" t="s">
        <v>3732</v>
      </c>
      <c r="B1601" s="44" t="s">
        <v>6637</v>
      </c>
      <c r="C1601" s="50"/>
      <c r="D1601" s="10" t="s">
        <v>29</v>
      </c>
      <c r="E1601" s="11"/>
      <c r="F1601" s="11" t="s">
        <v>18</v>
      </c>
      <c r="G1601" s="13"/>
      <c r="H1601" s="45" t="s">
        <v>16</v>
      </c>
      <c r="I1601" s="47"/>
      <c r="J1601" s="12" t="s">
        <v>3545</v>
      </c>
      <c r="K1601" s="13" t="s">
        <v>8371</v>
      </c>
      <c r="L1601" s="99" t="str">
        <f t="shared" si="132"/>
        <v>W125F.0</v>
      </c>
      <c r="M1601" s="13" t="s">
        <v>3667</v>
      </c>
      <c r="N1601" s="47"/>
      <c r="O1601" s="47"/>
      <c r="P1601" s="47"/>
      <c r="Q1601" s="45"/>
      <c r="R1601" s="45"/>
      <c r="S1601" s="48"/>
    </row>
    <row r="1602" spans="1:19" s="49" customFormat="1" ht="14.15" customHeight="1">
      <c r="A1602" s="43" t="s">
        <v>3732</v>
      </c>
      <c r="B1602" s="44" t="s">
        <v>6637</v>
      </c>
      <c r="C1602" s="50"/>
      <c r="D1602" s="10" t="s">
        <v>29</v>
      </c>
      <c r="E1602" s="11"/>
      <c r="F1602" s="11" t="s">
        <v>18</v>
      </c>
      <c r="G1602" s="13"/>
      <c r="H1602" s="45" t="s">
        <v>16</v>
      </c>
      <c r="I1602" s="47"/>
      <c r="J1602" s="12" t="s">
        <v>3546</v>
      </c>
      <c r="K1602" s="13" t="s">
        <v>8372</v>
      </c>
      <c r="L1602" s="99" t="str">
        <f t="shared" si="132"/>
        <v>W125F.1</v>
      </c>
      <c r="M1602" s="13" t="s">
        <v>3667</v>
      </c>
      <c r="N1602" s="47"/>
      <c r="O1602" s="47"/>
      <c r="P1602" s="47"/>
      <c r="Q1602" s="45"/>
      <c r="R1602" s="45"/>
      <c r="S1602" s="48"/>
    </row>
    <row r="1603" spans="1:19" s="49" customFormat="1" ht="14.15" customHeight="1">
      <c r="A1603" s="45"/>
      <c r="B1603" s="44" t="s">
        <v>6637</v>
      </c>
      <c r="C1603" s="50"/>
      <c r="D1603" s="10" t="s">
        <v>29</v>
      </c>
      <c r="E1603" s="11"/>
      <c r="F1603" s="11" t="s">
        <v>18</v>
      </c>
      <c r="G1603" s="13"/>
      <c r="H1603" s="45" t="s">
        <v>16</v>
      </c>
      <c r="I1603" s="47"/>
      <c r="J1603" s="12" t="s">
        <v>1272</v>
      </c>
      <c r="K1603" s="13" t="s">
        <v>8373</v>
      </c>
      <c r="L1603" s="99" t="str">
        <f t="shared" si="132"/>
        <v>W125F.2</v>
      </c>
      <c r="M1603" s="45"/>
      <c r="N1603" s="47"/>
      <c r="O1603" s="47"/>
      <c r="P1603" s="47"/>
      <c r="Q1603" s="45"/>
      <c r="R1603" s="45"/>
      <c r="S1603" s="48"/>
    </row>
    <row r="1604" spans="1:19" s="49" customFormat="1" ht="14.15" customHeight="1">
      <c r="A1604" s="45"/>
      <c r="B1604" s="44" t="s">
        <v>6637</v>
      </c>
      <c r="C1604" s="50"/>
      <c r="D1604" s="10" t="s">
        <v>29</v>
      </c>
      <c r="E1604" s="11"/>
      <c r="F1604" s="11" t="s">
        <v>18</v>
      </c>
      <c r="G1604" s="13"/>
      <c r="H1604" s="45" t="s">
        <v>16</v>
      </c>
      <c r="I1604" s="47"/>
      <c r="J1604" s="12" t="s">
        <v>1273</v>
      </c>
      <c r="K1604" s="13" t="s">
        <v>8374</v>
      </c>
      <c r="L1604" s="99" t="str">
        <f t="shared" si="132"/>
        <v>W125F.3</v>
      </c>
      <c r="M1604" s="45"/>
      <c r="N1604" s="47"/>
      <c r="O1604" s="47"/>
      <c r="P1604" s="47"/>
      <c r="Q1604" s="45"/>
      <c r="R1604" s="45"/>
      <c r="S1604" s="48"/>
    </row>
    <row r="1605" spans="1:19" s="49" customFormat="1" ht="14.15" customHeight="1">
      <c r="A1605" s="45"/>
      <c r="B1605" s="44" t="s">
        <v>6637</v>
      </c>
      <c r="C1605" s="50"/>
      <c r="D1605" s="10" t="s">
        <v>29</v>
      </c>
      <c r="E1605" s="11"/>
      <c r="F1605" s="11" t="s">
        <v>18</v>
      </c>
      <c r="G1605" s="13"/>
      <c r="H1605" s="45" t="s">
        <v>16</v>
      </c>
      <c r="I1605" s="47"/>
      <c r="J1605" s="12" t="s">
        <v>1274</v>
      </c>
      <c r="K1605" s="13" t="s">
        <v>8375</v>
      </c>
      <c r="L1605" s="99" t="str">
        <f t="shared" si="132"/>
        <v>W125F.4</v>
      </c>
      <c r="M1605" s="45"/>
      <c r="N1605" s="47"/>
      <c r="O1605" s="47"/>
      <c r="P1605" s="47"/>
      <c r="Q1605" s="45"/>
      <c r="R1605" s="45"/>
      <c r="S1605" s="48"/>
    </row>
    <row r="1606" spans="1:19" s="49" customFormat="1" ht="14.15" customHeight="1">
      <c r="A1606" s="45"/>
      <c r="B1606" s="44" t="s">
        <v>6637</v>
      </c>
      <c r="C1606" s="50"/>
      <c r="D1606" s="10" t="s">
        <v>29</v>
      </c>
      <c r="E1606" s="11"/>
      <c r="F1606" s="11" t="s">
        <v>18</v>
      </c>
      <c r="G1606" s="13"/>
      <c r="H1606" s="45" t="s">
        <v>16</v>
      </c>
      <c r="I1606" s="47"/>
      <c r="J1606" s="12" t="s">
        <v>1275</v>
      </c>
      <c r="K1606" s="13" t="s">
        <v>8376</v>
      </c>
      <c r="L1606" s="99" t="str">
        <f t="shared" si="132"/>
        <v>W125F.5</v>
      </c>
      <c r="M1606" s="45"/>
      <c r="N1606" s="47"/>
      <c r="O1606" s="47"/>
      <c r="P1606" s="47"/>
      <c r="Q1606" s="45"/>
      <c r="R1606" s="45"/>
      <c r="S1606" s="48"/>
    </row>
    <row r="1607" spans="1:19" s="49" customFormat="1" ht="14.15" customHeight="1">
      <c r="A1607" s="45"/>
      <c r="B1607" s="44" t="s">
        <v>6637</v>
      </c>
      <c r="C1607" s="50"/>
      <c r="D1607" s="10" t="s">
        <v>29</v>
      </c>
      <c r="E1607" s="11"/>
      <c r="F1607" s="11" t="s">
        <v>18</v>
      </c>
      <c r="G1607" s="13"/>
      <c r="H1607" s="45" t="s">
        <v>16</v>
      </c>
      <c r="I1607" s="47"/>
      <c r="J1607" s="12" t="s">
        <v>1276</v>
      </c>
      <c r="K1607" s="13" t="s">
        <v>8377</v>
      </c>
      <c r="L1607" s="99" t="str">
        <f t="shared" si="132"/>
        <v>W125F.6</v>
      </c>
      <c r="M1607" s="45"/>
      <c r="N1607" s="47"/>
      <c r="O1607" s="47"/>
      <c r="P1607" s="47"/>
      <c r="Q1607" s="45"/>
      <c r="R1607" s="45"/>
      <c r="S1607" s="48"/>
    </row>
    <row r="1608" spans="1:19" s="49" customFormat="1" ht="14.15" customHeight="1">
      <c r="A1608" s="45"/>
      <c r="B1608" s="44" t="s">
        <v>6637</v>
      </c>
      <c r="C1608" s="50"/>
      <c r="D1608" s="10" t="s">
        <v>29</v>
      </c>
      <c r="E1608" s="11"/>
      <c r="F1608" s="11" t="s">
        <v>18</v>
      </c>
      <c r="G1608" s="13"/>
      <c r="H1608" s="45" t="s">
        <v>16</v>
      </c>
      <c r="I1608" s="47"/>
      <c r="J1608" s="12" t="s">
        <v>1277</v>
      </c>
      <c r="K1608" s="13" t="s">
        <v>8378</v>
      </c>
      <c r="L1608" s="99" t="str">
        <f t="shared" si="132"/>
        <v>W125F.7</v>
      </c>
      <c r="M1608" s="45"/>
      <c r="N1608" s="47"/>
      <c r="O1608" s="47"/>
      <c r="P1608" s="47"/>
      <c r="Q1608" s="45"/>
      <c r="R1608" s="45"/>
      <c r="S1608" s="48"/>
    </row>
    <row r="1609" spans="1:19" s="49" customFormat="1" ht="14.15" customHeight="1">
      <c r="A1609" s="45"/>
      <c r="B1609" s="44" t="s">
        <v>6637</v>
      </c>
      <c r="C1609" s="50"/>
      <c r="D1609" s="10" t="s">
        <v>29</v>
      </c>
      <c r="E1609" s="11"/>
      <c r="F1609" s="11" t="s">
        <v>18</v>
      </c>
      <c r="G1609" s="13"/>
      <c r="H1609" s="45" t="s">
        <v>16</v>
      </c>
      <c r="I1609" s="47"/>
      <c r="J1609" s="12" t="s">
        <v>1278</v>
      </c>
      <c r="K1609" s="13" t="s">
        <v>8379</v>
      </c>
      <c r="L1609" s="99" t="str">
        <f t="shared" si="132"/>
        <v>W125F.8</v>
      </c>
      <c r="M1609" s="45"/>
      <c r="N1609" s="47"/>
      <c r="O1609" s="47"/>
      <c r="P1609" s="47"/>
      <c r="Q1609" s="45"/>
      <c r="R1609" s="45"/>
      <c r="S1609" s="48"/>
    </row>
    <row r="1610" spans="1:19" s="49" customFormat="1" ht="14.15" customHeight="1">
      <c r="A1610" s="43" t="s">
        <v>3732</v>
      </c>
      <c r="B1610" s="44" t="s">
        <v>6637</v>
      </c>
      <c r="C1610" s="50"/>
      <c r="D1610" s="10" t="s">
        <v>29</v>
      </c>
      <c r="E1610" s="11"/>
      <c r="F1610" s="11" t="s">
        <v>18</v>
      </c>
      <c r="G1610" s="13"/>
      <c r="H1610" s="45" t="s">
        <v>16</v>
      </c>
      <c r="I1610" s="47"/>
      <c r="J1610" s="12" t="s">
        <v>3547</v>
      </c>
      <c r="K1610" s="13" t="s">
        <v>8380</v>
      </c>
      <c r="L1610" s="99" t="str">
        <f t="shared" si="132"/>
        <v>W125F.9</v>
      </c>
      <c r="M1610" s="13" t="s">
        <v>3667</v>
      </c>
      <c r="N1610" s="47"/>
      <c r="O1610" s="47"/>
      <c r="P1610" s="47"/>
      <c r="Q1610" s="45"/>
      <c r="R1610" s="45"/>
      <c r="S1610" s="48"/>
    </row>
    <row r="1611" spans="1:19" s="49" customFormat="1" ht="14.15" customHeight="1">
      <c r="A1611" s="43" t="s">
        <v>3732</v>
      </c>
      <c r="B1611" s="44" t="s">
        <v>6637</v>
      </c>
      <c r="C1611" s="50"/>
      <c r="D1611" s="10" t="s">
        <v>29</v>
      </c>
      <c r="E1611" s="11"/>
      <c r="F1611" s="11" t="s">
        <v>18</v>
      </c>
      <c r="G1611" s="13"/>
      <c r="H1611" s="45" t="s">
        <v>16</v>
      </c>
      <c r="I1611" s="47"/>
      <c r="J1611" s="12" t="s">
        <v>3548</v>
      </c>
      <c r="K1611" s="13" t="s">
        <v>8381</v>
      </c>
      <c r="L1611" s="99" t="str">
        <f t="shared" si="132"/>
        <v>W125F.A</v>
      </c>
      <c r="M1611" s="13" t="s">
        <v>3667</v>
      </c>
      <c r="N1611" s="47"/>
      <c r="O1611" s="47"/>
      <c r="P1611" s="47"/>
      <c r="Q1611" s="45"/>
      <c r="R1611" s="45"/>
      <c r="S1611" s="48"/>
    </row>
    <row r="1612" spans="1:19" s="49" customFormat="1" ht="14.15" customHeight="1">
      <c r="A1612" s="43" t="s">
        <v>3732</v>
      </c>
      <c r="B1612" s="44" t="s">
        <v>6637</v>
      </c>
      <c r="C1612" s="50"/>
      <c r="D1612" s="10" t="s">
        <v>29</v>
      </c>
      <c r="E1612" s="11"/>
      <c r="F1612" s="11" t="s">
        <v>18</v>
      </c>
      <c r="G1612" s="13"/>
      <c r="H1612" s="45" t="s">
        <v>16</v>
      </c>
      <c r="I1612" s="47"/>
      <c r="J1612" s="12" t="s">
        <v>3549</v>
      </c>
      <c r="K1612" s="13" t="s">
        <v>8382</v>
      </c>
      <c r="L1612" s="99" t="str">
        <f t="shared" si="132"/>
        <v>W125F.B</v>
      </c>
      <c r="M1612" s="13" t="s">
        <v>3667</v>
      </c>
      <c r="N1612" s="47"/>
      <c r="O1612" s="47"/>
      <c r="P1612" s="47"/>
      <c r="Q1612" s="45"/>
      <c r="R1612" s="45"/>
      <c r="S1612" s="48"/>
    </row>
    <row r="1613" spans="1:19" s="49" customFormat="1" ht="14.15" customHeight="1">
      <c r="A1613" s="45"/>
      <c r="B1613" s="44" t="s">
        <v>6637</v>
      </c>
      <c r="C1613" s="50"/>
      <c r="D1613" s="10" t="s">
        <v>29</v>
      </c>
      <c r="E1613" s="11"/>
      <c r="F1613" s="11" t="s">
        <v>18</v>
      </c>
      <c r="G1613" s="13"/>
      <c r="H1613" s="45" t="s">
        <v>16</v>
      </c>
      <c r="I1613" s="47"/>
      <c r="J1613" s="12" t="s">
        <v>1282</v>
      </c>
      <c r="K1613" s="13" t="s">
        <v>8383</v>
      </c>
      <c r="L1613" s="99" t="str">
        <f t="shared" si="132"/>
        <v>W125F.C</v>
      </c>
      <c r="M1613" s="45"/>
      <c r="N1613" s="47"/>
      <c r="O1613" s="47"/>
      <c r="P1613" s="47"/>
      <c r="Q1613" s="45"/>
      <c r="R1613" s="45"/>
      <c r="S1613" s="48"/>
    </row>
    <row r="1614" spans="1:19" s="49" customFormat="1" ht="14.15" customHeight="1">
      <c r="A1614" s="43" t="s">
        <v>3732</v>
      </c>
      <c r="B1614" s="44" t="s">
        <v>6637</v>
      </c>
      <c r="C1614" s="50"/>
      <c r="D1614" s="10" t="s">
        <v>29</v>
      </c>
      <c r="E1614" s="11"/>
      <c r="F1614" s="11" t="s">
        <v>18</v>
      </c>
      <c r="G1614" s="13"/>
      <c r="H1614" s="45" t="s">
        <v>16</v>
      </c>
      <c r="I1614" s="47"/>
      <c r="J1614" s="12" t="s">
        <v>3550</v>
      </c>
      <c r="K1614" s="13" t="s">
        <v>8384</v>
      </c>
      <c r="L1614" s="99" t="str">
        <f t="shared" si="132"/>
        <v>W125F.D</v>
      </c>
      <c r="M1614" s="13" t="s">
        <v>3667</v>
      </c>
      <c r="N1614" s="47"/>
      <c r="O1614" s="47"/>
      <c r="P1614" s="47"/>
      <c r="Q1614" s="45"/>
      <c r="R1614" s="45"/>
      <c r="S1614" s="48"/>
    </row>
    <row r="1615" spans="1:19" s="49" customFormat="1" ht="14.15" customHeight="1">
      <c r="A1615" s="45"/>
      <c r="B1615" s="44" t="s">
        <v>6637</v>
      </c>
      <c r="C1615" s="50"/>
      <c r="D1615" s="10" t="s">
        <v>29</v>
      </c>
      <c r="E1615" s="11"/>
      <c r="F1615" s="11" t="s">
        <v>18</v>
      </c>
      <c r="G1615" s="13"/>
      <c r="H1615" s="45" t="s">
        <v>16</v>
      </c>
      <c r="I1615" s="47"/>
      <c r="J1615" s="12" t="s">
        <v>1284</v>
      </c>
      <c r="K1615" s="13" t="s">
        <v>8385</v>
      </c>
      <c r="L1615" s="99" t="str">
        <f t="shared" si="132"/>
        <v>W125F.E</v>
      </c>
      <c r="M1615" s="45"/>
      <c r="N1615" s="47"/>
      <c r="O1615" s="47"/>
      <c r="P1615" s="47"/>
      <c r="Q1615" s="45"/>
      <c r="R1615" s="45"/>
      <c r="S1615" s="48"/>
    </row>
    <row r="1616" spans="1:19" s="49" customFormat="1" ht="14.15" customHeight="1">
      <c r="A1616" s="45"/>
      <c r="B1616" s="44" t="s">
        <v>6637</v>
      </c>
      <c r="C1616" s="50"/>
      <c r="D1616" s="10" t="s">
        <v>29</v>
      </c>
      <c r="E1616" s="11"/>
      <c r="F1616" s="11" t="s">
        <v>18</v>
      </c>
      <c r="G1616" s="13"/>
      <c r="H1616" s="45" t="s">
        <v>16</v>
      </c>
      <c r="I1616" s="47"/>
      <c r="J1616" s="12" t="s">
        <v>1285</v>
      </c>
      <c r="K1616" s="13" t="s">
        <v>8386</v>
      </c>
      <c r="L1616" s="99" t="str">
        <f t="shared" si="132"/>
        <v>W125F.F</v>
      </c>
      <c r="M1616" s="45"/>
      <c r="N1616" s="47"/>
      <c r="O1616" s="47"/>
      <c r="P1616" s="47"/>
      <c r="Q1616" s="45"/>
      <c r="R1616" s="45"/>
      <c r="S1616" s="48"/>
    </row>
    <row r="1617" spans="1:19" s="49" customFormat="1" ht="14.15" customHeight="1">
      <c r="A1617" s="45"/>
      <c r="B1617" s="44" t="s">
        <v>6637</v>
      </c>
      <c r="C1617" s="50"/>
      <c r="D1617" s="10" t="s">
        <v>29</v>
      </c>
      <c r="E1617" s="11"/>
      <c r="F1617" s="11" t="s">
        <v>18</v>
      </c>
      <c r="G1617" s="13"/>
      <c r="H1617" s="45" t="s">
        <v>16</v>
      </c>
      <c r="I1617" s="47"/>
      <c r="J1617" s="12" t="s">
        <v>1286</v>
      </c>
      <c r="K1617" s="13" t="s">
        <v>8387</v>
      </c>
      <c r="L1617" s="99" t="str">
        <f t="shared" si="132"/>
        <v>W1260.0</v>
      </c>
      <c r="M1617" s="45"/>
      <c r="N1617" s="47"/>
      <c r="O1617" s="47"/>
      <c r="P1617" s="47"/>
      <c r="Q1617" s="45"/>
      <c r="R1617" s="45"/>
      <c r="S1617" s="48"/>
    </row>
    <row r="1618" spans="1:19" s="49" customFormat="1" ht="14.15" customHeight="1">
      <c r="A1618" s="45"/>
      <c r="B1618" s="44" t="s">
        <v>6637</v>
      </c>
      <c r="C1618" s="50"/>
      <c r="D1618" s="10" t="s">
        <v>29</v>
      </c>
      <c r="E1618" s="11"/>
      <c r="F1618" s="11" t="s">
        <v>18</v>
      </c>
      <c r="G1618" s="13"/>
      <c r="H1618" s="45" t="s">
        <v>16</v>
      </c>
      <c r="I1618" s="47"/>
      <c r="J1618" s="12" t="s">
        <v>1287</v>
      </c>
      <c r="K1618" s="13" t="s">
        <v>8388</v>
      </c>
      <c r="L1618" s="99" t="str">
        <f t="shared" ref="L1618:L1681" si="133">"W"&amp;DEC2HEX(4608 + INT((ROW()-81)/16)) &amp; "." &amp; IF(MOD(ROW()-81,16)&lt;10,MOD(ROW()-81,16),CHAR(MOD(ROW()-81,16)+55))</f>
        <v>W1260.1</v>
      </c>
      <c r="M1618" s="45"/>
      <c r="N1618" s="47"/>
      <c r="O1618" s="47"/>
      <c r="P1618" s="47"/>
      <c r="Q1618" s="45"/>
      <c r="R1618" s="45"/>
      <c r="S1618" s="48"/>
    </row>
    <row r="1619" spans="1:19" s="49" customFormat="1" ht="14.15" customHeight="1">
      <c r="A1619" s="43" t="s">
        <v>3732</v>
      </c>
      <c r="B1619" s="44" t="s">
        <v>6637</v>
      </c>
      <c r="C1619" s="50"/>
      <c r="D1619" s="10" t="s">
        <v>29</v>
      </c>
      <c r="E1619" s="11"/>
      <c r="F1619" s="11" t="s">
        <v>18</v>
      </c>
      <c r="G1619" s="13"/>
      <c r="H1619" s="45" t="s">
        <v>16</v>
      </c>
      <c r="I1619" s="47"/>
      <c r="J1619" s="12" t="s">
        <v>3551</v>
      </c>
      <c r="K1619" s="13" t="s">
        <v>8389</v>
      </c>
      <c r="L1619" s="99" t="str">
        <f t="shared" si="133"/>
        <v>W1260.2</v>
      </c>
      <c r="M1619" s="13" t="s">
        <v>3667</v>
      </c>
      <c r="N1619" s="47"/>
      <c r="O1619" s="47"/>
      <c r="P1619" s="47"/>
      <c r="Q1619" s="45"/>
      <c r="R1619" s="45"/>
      <c r="S1619" s="48"/>
    </row>
    <row r="1620" spans="1:19" s="49" customFormat="1" ht="14.15" customHeight="1">
      <c r="A1620" s="43" t="s">
        <v>3732</v>
      </c>
      <c r="B1620" s="44" t="s">
        <v>6637</v>
      </c>
      <c r="C1620" s="50"/>
      <c r="D1620" s="10" t="s">
        <v>29</v>
      </c>
      <c r="E1620" s="11"/>
      <c r="F1620" s="11" t="s">
        <v>18</v>
      </c>
      <c r="G1620" s="13"/>
      <c r="H1620" s="45" t="s">
        <v>16</v>
      </c>
      <c r="I1620" s="47"/>
      <c r="J1620" s="12" t="s">
        <v>3552</v>
      </c>
      <c r="K1620" s="13" t="s">
        <v>8390</v>
      </c>
      <c r="L1620" s="99" t="str">
        <f t="shared" si="133"/>
        <v>W1260.3</v>
      </c>
      <c r="M1620" s="13" t="s">
        <v>3667</v>
      </c>
      <c r="N1620" s="47"/>
      <c r="O1620" s="47"/>
      <c r="P1620" s="47"/>
      <c r="Q1620" s="45"/>
      <c r="R1620" s="45"/>
      <c r="S1620" s="48"/>
    </row>
    <row r="1621" spans="1:19" s="49" customFormat="1" ht="14.15" customHeight="1">
      <c r="A1621" s="43" t="s">
        <v>3732</v>
      </c>
      <c r="B1621" s="44" t="s">
        <v>6637</v>
      </c>
      <c r="C1621" s="50"/>
      <c r="D1621" s="10" t="s">
        <v>29</v>
      </c>
      <c r="E1621" s="11"/>
      <c r="F1621" s="11" t="s">
        <v>18</v>
      </c>
      <c r="G1621" s="13"/>
      <c r="H1621" s="45" t="s">
        <v>16</v>
      </c>
      <c r="I1621" s="47"/>
      <c r="J1621" s="12" t="s">
        <v>3553</v>
      </c>
      <c r="K1621" s="13" t="s">
        <v>8391</v>
      </c>
      <c r="L1621" s="99" t="str">
        <f t="shared" si="133"/>
        <v>W1260.4</v>
      </c>
      <c r="M1621" s="13" t="s">
        <v>3667</v>
      </c>
      <c r="N1621" s="47"/>
      <c r="O1621" s="47"/>
      <c r="P1621" s="47"/>
      <c r="Q1621" s="45"/>
      <c r="R1621" s="45"/>
      <c r="S1621" s="48"/>
    </row>
    <row r="1622" spans="1:19" s="49" customFormat="1" ht="14.15" customHeight="1">
      <c r="A1622" s="43" t="s">
        <v>3732</v>
      </c>
      <c r="B1622" s="44" t="s">
        <v>6637</v>
      </c>
      <c r="C1622" s="50"/>
      <c r="D1622" s="10" t="s">
        <v>29</v>
      </c>
      <c r="E1622" s="11"/>
      <c r="F1622" s="11" t="s">
        <v>18</v>
      </c>
      <c r="G1622" s="13"/>
      <c r="H1622" s="45" t="s">
        <v>16</v>
      </c>
      <c r="I1622" s="47"/>
      <c r="J1622" s="12" t="s">
        <v>3554</v>
      </c>
      <c r="K1622" s="13" t="s">
        <v>8392</v>
      </c>
      <c r="L1622" s="99" t="str">
        <f t="shared" si="133"/>
        <v>W1260.5</v>
      </c>
      <c r="M1622" s="13" t="s">
        <v>3667</v>
      </c>
      <c r="N1622" s="47"/>
      <c r="O1622" s="47"/>
      <c r="P1622" s="47"/>
      <c r="Q1622" s="45"/>
      <c r="R1622" s="45"/>
      <c r="S1622" s="48"/>
    </row>
    <row r="1623" spans="1:19" s="49" customFormat="1" ht="14.15" customHeight="1">
      <c r="A1623" s="43" t="s">
        <v>3732</v>
      </c>
      <c r="B1623" s="44" t="s">
        <v>6637</v>
      </c>
      <c r="C1623" s="50"/>
      <c r="D1623" s="10" t="s">
        <v>29</v>
      </c>
      <c r="E1623" s="11"/>
      <c r="F1623" s="11" t="s">
        <v>18</v>
      </c>
      <c r="G1623" s="13"/>
      <c r="H1623" s="45" t="s">
        <v>16</v>
      </c>
      <c r="I1623" s="47"/>
      <c r="J1623" s="12" t="s">
        <v>3555</v>
      </c>
      <c r="K1623" s="13" t="s">
        <v>8393</v>
      </c>
      <c r="L1623" s="99" t="str">
        <f t="shared" si="133"/>
        <v>W1260.6</v>
      </c>
      <c r="M1623" s="13" t="s">
        <v>3667</v>
      </c>
      <c r="N1623" s="47"/>
      <c r="O1623" s="47"/>
      <c r="P1623" s="47"/>
      <c r="Q1623" s="45"/>
      <c r="R1623" s="45"/>
      <c r="S1623" s="48"/>
    </row>
    <row r="1624" spans="1:19" s="49" customFormat="1" ht="14.15" customHeight="1">
      <c r="A1624" s="43" t="s">
        <v>3732</v>
      </c>
      <c r="B1624" s="44" t="s">
        <v>6637</v>
      </c>
      <c r="C1624" s="50"/>
      <c r="D1624" s="10" t="s">
        <v>29</v>
      </c>
      <c r="E1624" s="11"/>
      <c r="F1624" s="11" t="s">
        <v>18</v>
      </c>
      <c r="G1624" s="13"/>
      <c r="H1624" s="45" t="s">
        <v>16</v>
      </c>
      <c r="I1624" s="47"/>
      <c r="J1624" s="12" t="s">
        <v>3556</v>
      </c>
      <c r="K1624" s="13" t="s">
        <v>8394</v>
      </c>
      <c r="L1624" s="99" t="str">
        <f t="shared" si="133"/>
        <v>W1260.7</v>
      </c>
      <c r="M1624" s="13" t="s">
        <v>3667</v>
      </c>
      <c r="N1624" s="47"/>
      <c r="O1624" s="47"/>
      <c r="P1624" s="47"/>
      <c r="Q1624" s="45"/>
      <c r="R1624" s="45"/>
      <c r="S1624" s="48"/>
    </row>
    <row r="1625" spans="1:19" s="49" customFormat="1" ht="14.15" customHeight="1">
      <c r="A1625" s="43" t="s">
        <v>3732</v>
      </c>
      <c r="B1625" s="44" t="s">
        <v>6637</v>
      </c>
      <c r="C1625" s="50"/>
      <c r="D1625" s="10" t="s">
        <v>29</v>
      </c>
      <c r="E1625" s="11"/>
      <c r="F1625" s="11" t="s">
        <v>18</v>
      </c>
      <c r="G1625" s="13"/>
      <c r="H1625" s="45" t="s">
        <v>16</v>
      </c>
      <c r="I1625" s="47"/>
      <c r="J1625" s="12" t="s">
        <v>3557</v>
      </c>
      <c r="K1625" s="13" t="s">
        <v>8395</v>
      </c>
      <c r="L1625" s="99" t="str">
        <f t="shared" si="133"/>
        <v>W1260.8</v>
      </c>
      <c r="M1625" s="13" t="s">
        <v>3667</v>
      </c>
      <c r="N1625" s="47"/>
      <c r="O1625" s="47"/>
      <c r="P1625" s="47"/>
      <c r="Q1625" s="45"/>
      <c r="R1625" s="45"/>
      <c r="S1625" s="48"/>
    </row>
    <row r="1626" spans="1:19" s="49" customFormat="1" ht="14.15" customHeight="1">
      <c r="A1626" s="43"/>
      <c r="B1626" s="44" t="s">
        <v>6637</v>
      </c>
      <c r="C1626" s="50"/>
      <c r="D1626" s="10" t="s">
        <v>29</v>
      </c>
      <c r="E1626" s="11"/>
      <c r="F1626" s="11" t="s">
        <v>18</v>
      </c>
      <c r="G1626" s="13"/>
      <c r="H1626" s="45" t="s">
        <v>16</v>
      </c>
      <c r="I1626" s="47"/>
      <c r="J1626" s="12" t="s">
        <v>1295</v>
      </c>
      <c r="K1626" s="13" t="s">
        <v>8396</v>
      </c>
      <c r="L1626" s="99" t="str">
        <f t="shared" si="133"/>
        <v>W1260.9</v>
      </c>
      <c r="M1626" s="45"/>
      <c r="N1626" s="47"/>
      <c r="O1626" s="47"/>
      <c r="P1626" s="47"/>
      <c r="Q1626" s="45"/>
      <c r="R1626" s="45"/>
      <c r="S1626" s="48"/>
    </row>
    <row r="1627" spans="1:19" s="49" customFormat="1" ht="14.15" customHeight="1">
      <c r="A1627" s="45"/>
      <c r="B1627" s="44" t="s">
        <v>6637</v>
      </c>
      <c r="C1627" s="50"/>
      <c r="D1627" s="10" t="s">
        <v>29</v>
      </c>
      <c r="E1627" s="11"/>
      <c r="F1627" s="11" t="s">
        <v>18</v>
      </c>
      <c r="G1627" s="13"/>
      <c r="H1627" s="45" t="s">
        <v>16</v>
      </c>
      <c r="I1627" s="47"/>
      <c r="J1627" s="12" t="s">
        <v>1296</v>
      </c>
      <c r="K1627" s="13" t="s">
        <v>8397</v>
      </c>
      <c r="L1627" s="99" t="str">
        <f t="shared" si="133"/>
        <v>W1260.A</v>
      </c>
      <c r="M1627" s="45"/>
      <c r="N1627" s="47"/>
      <c r="O1627" s="47"/>
      <c r="P1627" s="47"/>
      <c r="Q1627" s="45"/>
      <c r="R1627" s="45"/>
      <c r="S1627" s="48"/>
    </row>
    <row r="1628" spans="1:19" s="49" customFormat="1" ht="14.15" customHeight="1">
      <c r="A1628" s="45"/>
      <c r="B1628" s="44" t="s">
        <v>6637</v>
      </c>
      <c r="C1628" s="50"/>
      <c r="D1628" s="10" t="s">
        <v>29</v>
      </c>
      <c r="E1628" s="11"/>
      <c r="F1628" s="11" t="s">
        <v>18</v>
      </c>
      <c r="G1628" s="13"/>
      <c r="H1628" s="45" t="s">
        <v>16</v>
      </c>
      <c r="I1628" s="47"/>
      <c r="J1628" s="12" t="s">
        <v>1297</v>
      </c>
      <c r="K1628" s="13" t="s">
        <v>8398</v>
      </c>
      <c r="L1628" s="99" t="str">
        <f t="shared" si="133"/>
        <v>W1260.B</v>
      </c>
      <c r="M1628" s="45"/>
      <c r="N1628" s="47"/>
      <c r="O1628" s="47"/>
      <c r="P1628" s="47"/>
      <c r="Q1628" s="45"/>
      <c r="R1628" s="45"/>
      <c r="S1628" s="48"/>
    </row>
    <row r="1629" spans="1:19" s="49" customFormat="1" ht="14.15" customHeight="1">
      <c r="A1629" s="45"/>
      <c r="B1629" s="44" t="s">
        <v>6637</v>
      </c>
      <c r="C1629" s="50"/>
      <c r="D1629" s="10" t="s">
        <v>29</v>
      </c>
      <c r="E1629" s="11"/>
      <c r="F1629" s="11" t="s">
        <v>18</v>
      </c>
      <c r="G1629" s="13"/>
      <c r="H1629" s="45" t="s">
        <v>16</v>
      </c>
      <c r="I1629" s="47"/>
      <c r="J1629" s="12" t="s">
        <v>1298</v>
      </c>
      <c r="K1629" s="13" t="s">
        <v>8399</v>
      </c>
      <c r="L1629" s="99" t="str">
        <f t="shared" si="133"/>
        <v>W1260.C</v>
      </c>
      <c r="M1629" s="45"/>
      <c r="N1629" s="47"/>
      <c r="O1629" s="47"/>
      <c r="P1629" s="47"/>
      <c r="Q1629" s="45"/>
      <c r="R1629" s="45"/>
      <c r="S1629" s="48"/>
    </row>
    <row r="1630" spans="1:19" s="49" customFormat="1" ht="14.15" customHeight="1">
      <c r="A1630" s="43" t="s">
        <v>3732</v>
      </c>
      <c r="B1630" s="44" t="s">
        <v>6637</v>
      </c>
      <c r="C1630" s="50"/>
      <c r="D1630" s="10" t="s">
        <v>29</v>
      </c>
      <c r="E1630" s="11"/>
      <c r="F1630" s="11" t="s">
        <v>18</v>
      </c>
      <c r="G1630" s="13"/>
      <c r="H1630" s="45" t="s">
        <v>16</v>
      </c>
      <c r="I1630" s="47"/>
      <c r="J1630" s="12" t="s">
        <v>3558</v>
      </c>
      <c r="K1630" s="13" t="s">
        <v>8400</v>
      </c>
      <c r="L1630" s="99" t="str">
        <f t="shared" si="133"/>
        <v>W1260.D</v>
      </c>
      <c r="M1630" s="13" t="s">
        <v>3667</v>
      </c>
      <c r="N1630" s="47"/>
      <c r="O1630" s="47"/>
      <c r="P1630" s="47"/>
      <c r="Q1630" s="45"/>
      <c r="R1630" s="45"/>
      <c r="S1630" s="48"/>
    </row>
    <row r="1631" spans="1:19" s="49" customFormat="1" ht="14.15" customHeight="1">
      <c r="A1631" s="43" t="s">
        <v>3732</v>
      </c>
      <c r="B1631" s="44" t="s">
        <v>6637</v>
      </c>
      <c r="C1631" s="50"/>
      <c r="D1631" s="10" t="s">
        <v>29</v>
      </c>
      <c r="E1631" s="11"/>
      <c r="F1631" s="11" t="s">
        <v>18</v>
      </c>
      <c r="G1631" s="13"/>
      <c r="H1631" s="45" t="s">
        <v>16</v>
      </c>
      <c r="I1631" s="47"/>
      <c r="J1631" s="12" t="s">
        <v>3559</v>
      </c>
      <c r="K1631" s="13" t="s">
        <v>8401</v>
      </c>
      <c r="L1631" s="99" t="str">
        <f t="shared" si="133"/>
        <v>W1260.E</v>
      </c>
      <c r="M1631" s="13" t="s">
        <v>3667</v>
      </c>
      <c r="N1631" s="47"/>
      <c r="O1631" s="47"/>
      <c r="P1631" s="47"/>
      <c r="Q1631" s="45"/>
      <c r="R1631" s="45"/>
      <c r="S1631" s="48"/>
    </row>
    <row r="1632" spans="1:19" s="49" customFormat="1" ht="14.15" customHeight="1">
      <c r="A1632" s="43" t="s">
        <v>3732</v>
      </c>
      <c r="B1632" s="44" t="s">
        <v>6637</v>
      </c>
      <c r="C1632" s="50"/>
      <c r="D1632" s="10" t="s">
        <v>29</v>
      </c>
      <c r="E1632" s="11"/>
      <c r="F1632" s="11" t="s">
        <v>18</v>
      </c>
      <c r="G1632" s="13"/>
      <c r="H1632" s="45" t="s">
        <v>16</v>
      </c>
      <c r="I1632" s="47"/>
      <c r="J1632" s="12" t="s">
        <v>3560</v>
      </c>
      <c r="K1632" s="13" t="s">
        <v>8402</v>
      </c>
      <c r="L1632" s="99" t="str">
        <f t="shared" si="133"/>
        <v>W1260.F</v>
      </c>
      <c r="M1632" s="13" t="s">
        <v>3667</v>
      </c>
      <c r="N1632" s="47"/>
      <c r="O1632" s="47"/>
      <c r="P1632" s="47"/>
      <c r="Q1632" s="45"/>
      <c r="R1632" s="45"/>
      <c r="S1632" s="48"/>
    </row>
    <row r="1633" spans="1:19" s="49" customFormat="1" ht="14.15" customHeight="1">
      <c r="A1633" s="45"/>
      <c r="B1633" s="44" t="s">
        <v>6637</v>
      </c>
      <c r="C1633" s="50"/>
      <c r="D1633" s="10" t="s">
        <v>29</v>
      </c>
      <c r="E1633" s="11"/>
      <c r="F1633" s="11" t="s">
        <v>18</v>
      </c>
      <c r="G1633" s="13"/>
      <c r="H1633" s="45" t="s">
        <v>16</v>
      </c>
      <c r="I1633" s="47"/>
      <c r="J1633" s="12" t="s">
        <v>1302</v>
      </c>
      <c r="K1633" s="13" t="s">
        <v>8403</v>
      </c>
      <c r="L1633" s="99" t="str">
        <f t="shared" si="133"/>
        <v>W1261.0</v>
      </c>
      <c r="M1633" s="45"/>
      <c r="N1633" s="47"/>
      <c r="O1633" s="47"/>
      <c r="P1633" s="47"/>
      <c r="Q1633" s="45"/>
      <c r="R1633" s="45"/>
      <c r="S1633" s="48"/>
    </row>
    <row r="1634" spans="1:19" s="49" customFormat="1" ht="14.15" customHeight="1">
      <c r="A1634" s="43" t="s">
        <v>3732</v>
      </c>
      <c r="B1634" s="44" t="s">
        <v>6637</v>
      </c>
      <c r="C1634" s="50"/>
      <c r="D1634" s="10" t="s">
        <v>29</v>
      </c>
      <c r="E1634" s="11"/>
      <c r="F1634" s="11" t="s">
        <v>18</v>
      </c>
      <c r="G1634" s="13"/>
      <c r="H1634" s="45" t="s">
        <v>16</v>
      </c>
      <c r="I1634" s="47"/>
      <c r="J1634" s="12" t="s">
        <v>3561</v>
      </c>
      <c r="K1634" s="13" t="s">
        <v>8404</v>
      </c>
      <c r="L1634" s="99" t="str">
        <f t="shared" si="133"/>
        <v>W1261.1</v>
      </c>
      <c r="M1634" s="13" t="s">
        <v>3667</v>
      </c>
      <c r="N1634" s="47"/>
      <c r="O1634" s="47"/>
      <c r="P1634" s="47"/>
      <c r="Q1634" s="45"/>
      <c r="R1634" s="45"/>
      <c r="S1634" s="48"/>
    </row>
    <row r="1635" spans="1:19" s="49" customFormat="1" ht="14.15" customHeight="1">
      <c r="A1635" s="45"/>
      <c r="B1635" s="44" t="s">
        <v>6637</v>
      </c>
      <c r="C1635" s="50"/>
      <c r="D1635" s="10" t="s">
        <v>29</v>
      </c>
      <c r="E1635" s="11"/>
      <c r="F1635" s="11" t="s">
        <v>18</v>
      </c>
      <c r="G1635" s="13"/>
      <c r="H1635" s="45" t="s">
        <v>16</v>
      </c>
      <c r="I1635" s="47"/>
      <c r="J1635" s="12" t="s">
        <v>1304</v>
      </c>
      <c r="K1635" s="13" t="s">
        <v>8405</v>
      </c>
      <c r="L1635" s="99" t="str">
        <f t="shared" si="133"/>
        <v>W1261.2</v>
      </c>
      <c r="M1635" s="45"/>
      <c r="N1635" s="47"/>
      <c r="O1635" s="47"/>
      <c r="P1635" s="47"/>
      <c r="Q1635" s="45"/>
      <c r="R1635" s="45"/>
      <c r="S1635" s="48"/>
    </row>
    <row r="1636" spans="1:19" s="49" customFormat="1" ht="14.15" customHeight="1">
      <c r="A1636" s="45"/>
      <c r="B1636" s="44" t="s">
        <v>6637</v>
      </c>
      <c r="C1636" s="50"/>
      <c r="D1636" s="10" t="s">
        <v>29</v>
      </c>
      <c r="E1636" s="11"/>
      <c r="F1636" s="11" t="s">
        <v>18</v>
      </c>
      <c r="G1636" s="13"/>
      <c r="H1636" s="45" t="s">
        <v>16</v>
      </c>
      <c r="I1636" s="47"/>
      <c r="J1636" s="12" t="s">
        <v>1305</v>
      </c>
      <c r="K1636" s="13" t="s">
        <v>8406</v>
      </c>
      <c r="L1636" s="99" t="str">
        <f t="shared" si="133"/>
        <v>W1261.3</v>
      </c>
      <c r="M1636" s="45"/>
      <c r="N1636" s="47"/>
      <c r="O1636" s="47"/>
      <c r="P1636" s="47"/>
      <c r="Q1636" s="45"/>
      <c r="R1636" s="45"/>
      <c r="S1636" s="48"/>
    </row>
    <row r="1637" spans="1:19" s="49" customFormat="1" ht="14.15" customHeight="1">
      <c r="A1637" s="45"/>
      <c r="B1637" s="44" t="s">
        <v>6637</v>
      </c>
      <c r="C1637" s="50"/>
      <c r="D1637" s="10" t="s">
        <v>29</v>
      </c>
      <c r="E1637" s="11"/>
      <c r="F1637" s="11" t="s">
        <v>18</v>
      </c>
      <c r="G1637" s="13"/>
      <c r="H1637" s="45" t="s">
        <v>16</v>
      </c>
      <c r="I1637" s="47"/>
      <c r="J1637" s="12" t="s">
        <v>1306</v>
      </c>
      <c r="K1637" s="13" t="s">
        <v>8407</v>
      </c>
      <c r="L1637" s="99" t="str">
        <f t="shared" si="133"/>
        <v>W1261.4</v>
      </c>
      <c r="M1637" s="45"/>
      <c r="N1637" s="47"/>
      <c r="O1637" s="47"/>
      <c r="P1637" s="47"/>
      <c r="Q1637" s="45"/>
      <c r="R1637" s="45"/>
      <c r="S1637" s="48"/>
    </row>
    <row r="1638" spans="1:19" s="49" customFormat="1" ht="14.15" customHeight="1">
      <c r="A1638" s="45"/>
      <c r="B1638" s="44" t="s">
        <v>6637</v>
      </c>
      <c r="C1638" s="50"/>
      <c r="D1638" s="10" t="s">
        <v>29</v>
      </c>
      <c r="E1638" s="11"/>
      <c r="F1638" s="11" t="s">
        <v>18</v>
      </c>
      <c r="G1638" s="13"/>
      <c r="H1638" s="45" t="s">
        <v>16</v>
      </c>
      <c r="I1638" s="47"/>
      <c r="J1638" s="12" t="s">
        <v>1307</v>
      </c>
      <c r="K1638" s="13" t="s">
        <v>8408</v>
      </c>
      <c r="L1638" s="99" t="str">
        <f t="shared" si="133"/>
        <v>W1261.5</v>
      </c>
      <c r="M1638" s="45"/>
      <c r="N1638" s="47"/>
      <c r="O1638" s="47"/>
      <c r="P1638" s="47"/>
      <c r="Q1638" s="45"/>
      <c r="R1638" s="45"/>
      <c r="S1638" s="48"/>
    </row>
    <row r="1639" spans="1:19" s="49" customFormat="1" ht="14.15" customHeight="1">
      <c r="A1639" s="43" t="s">
        <v>3732</v>
      </c>
      <c r="B1639" s="44" t="s">
        <v>6637</v>
      </c>
      <c r="C1639" s="50"/>
      <c r="D1639" s="10" t="s">
        <v>29</v>
      </c>
      <c r="E1639" s="11"/>
      <c r="F1639" s="11" t="s">
        <v>18</v>
      </c>
      <c r="G1639" s="13"/>
      <c r="H1639" s="45" t="s">
        <v>16</v>
      </c>
      <c r="I1639" s="47"/>
      <c r="J1639" s="12" t="s">
        <v>3562</v>
      </c>
      <c r="K1639" s="13" t="s">
        <v>8409</v>
      </c>
      <c r="L1639" s="99" t="str">
        <f t="shared" si="133"/>
        <v>W1261.6</v>
      </c>
      <c r="M1639" s="13" t="s">
        <v>3667</v>
      </c>
      <c r="N1639" s="47"/>
      <c r="O1639" s="47"/>
      <c r="P1639" s="47"/>
      <c r="Q1639" s="45"/>
      <c r="R1639" s="45"/>
      <c r="S1639" s="48"/>
    </row>
    <row r="1640" spans="1:19" s="49" customFormat="1" ht="14.15" customHeight="1">
      <c r="A1640" s="43" t="s">
        <v>3732</v>
      </c>
      <c r="B1640" s="44" t="s">
        <v>6637</v>
      </c>
      <c r="C1640" s="50"/>
      <c r="D1640" s="10" t="s">
        <v>29</v>
      </c>
      <c r="E1640" s="11"/>
      <c r="F1640" s="11" t="s">
        <v>18</v>
      </c>
      <c r="G1640" s="13"/>
      <c r="H1640" s="45" t="s">
        <v>16</v>
      </c>
      <c r="I1640" s="47"/>
      <c r="J1640" s="12" t="s">
        <v>3563</v>
      </c>
      <c r="K1640" s="13" t="s">
        <v>8410</v>
      </c>
      <c r="L1640" s="99" t="str">
        <f t="shared" si="133"/>
        <v>W1261.7</v>
      </c>
      <c r="M1640" s="13" t="s">
        <v>3667</v>
      </c>
      <c r="N1640" s="47"/>
      <c r="O1640" s="47"/>
      <c r="P1640" s="47"/>
      <c r="Q1640" s="45"/>
      <c r="R1640" s="45"/>
      <c r="S1640" s="48"/>
    </row>
    <row r="1641" spans="1:19" s="49" customFormat="1" ht="14.15" customHeight="1">
      <c r="A1641" s="43" t="s">
        <v>3732</v>
      </c>
      <c r="B1641" s="44" t="s">
        <v>6637</v>
      </c>
      <c r="C1641" s="50"/>
      <c r="D1641" s="10" t="s">
        <v>29</v>
      </c>
      <c r="E1641" s="11"/>
      <c r="F1641" s="11" t="s">
        <v>18</v>
      </c>
      <c r="G1641" s="13"/>
      <c r="H1641" s="45" t="s">
        <v>16</v>
      </c>
      <c r="I1641" s="47"/>
      <c r="J1641" s="12" t="s">
        <v>3564</v>
      </c>
      <c r="K1641" s="13" t="s">
        <v>8411</v>
      </c>
      <c r="L1641" s="99" t="str">
        <f t="shared" si="133"/>
        <v>W1261.8</v>
      </c>
      <c r="M1641" s="13" t="s">
        <v>3667</v>
      </c>
      <c r="N1641" s="47"/>
      <c r="O1641" s="47"/>
      <c r="P1641" s="47"/>
      <c r="Q1641" s="45"/>
      <c r="R1641" s="45"/>
      <c r="S1641" s="48"/>
    </row>
    <row r="1642" spans="1:19" s="49" customFormat="1" ht="14.15" customHeight="1">
      <c r="A1642" s="43" t="s">
        <v>3732</v>
      </c>
      <c r="B1642" s="44" t="s">
        <v>6637</v>
      </c>
      <c r="C1642" s="50"/>
      <c r="D1642" s="10" t="s">
        <v>29</v>
      </c>
      <c r="E1642" s="11"/>
      <c r="F1642" s="11" t="s">
        <v>18</v>
      </c>
      <c r="G1642" s="13"/>
      <c r="H1642" s="45" t="s">
        <v>16</v>
      </c>
      <c r="I1642" s="47"/>
      <c r="J1642" s="12" t="s">
        <v>3565</v>
      </c>
      <c r="K1642" s="13" t="s">
        <v>8412</v>
      </c>
      <c r="L1642" s="99" t="str">
        <f t="shared" si="133"/>
        <v>W1261.9</v>
      </c>
      <c r="M1642" s="13" t="s">
        <v>3667</v>
      </c>
      <c r="N1642" s="47"/>
      <c r="O1642" s="47"/>
      <c r="P1642" s="47"/>
      <c r="Q1642" s="45"/>
      <c r="R1642" s="45"/>
      <c r="S1642" s="48"/>
    </row>
    <row r="1643" spans="1:19" s="49" customFormat="1" ht="14.15" customHeight="1">
      <c r="A1643" s="45"/>
      <c r="B1643" s="44" t="s">
        <v>6637</v>
      </c>
      <c r="C1643" s="50"/>
      <c r="D1643" s="10" t="s">
        <v>29</v>
      </c>
      <c r="E1643" s="11"/>
      <c r="F1643" s="11" t="s">
        <v>18</v>
      </c>
      <c r="G1643" s="13"/>
      <c r="H1643" s="45" t="s">
        <v>16</v>
      </c>
      <c r="I1643" s="47"/>
      <c r="J1643" s="12" t="s">
        <v>1312</v>
      </c>
      <c r="K1643" s="13" t="s">
        <v>8413</v>
      </c>
      <c r="L1643" s="99" t="str">
        <f t="shared" si="133"/>
        <v>W1261.A</v>
      </c>
      <c r="M1643" s="45"/>
      <c r="N1643" s="47"/>
      <c r="O1643" s="47"/>
      <c r="P1643" s="47"/>
      <c r="Q1643" s="45"/>
      <c r="R1643" s="45"/>
      <c r="S1643" s="48"/>
    </row>
    <row r="1644" spans="1:19" s="49" customFormat="1" ht="14.15" customHeight="1">
      <c r="A1644" s="45"/>
      <c r="B1644" s="44" t="s">
        <v>6637</v>
      </c>
      <c r="C1644" s="50"/>
      <c r="D1644" s="10" t="s">
        <v>29</v>
      </c>
      <c r="E1644" s="11"/>
      <c r="F1644" s="11" t="s">
        <v>18</v>
      </c>
      <c r="G1644" s="13"/>
      <c r="H1644" s="45" t="s">
        <v>16</v>
      </c>
      <c r="I1644" s="47"/>
      <c r="J1644" s="12" t="s">
        <v>1313</v>
      </c>
      <c r="K1644" s="13" t="s">
        <v>8414</v>
      </c>
      <c r="L1644" s="99" t="str">
        <f t="shared" si="133"/>
        <v>W1261.B</v>
      </c>
      <c r="M1644" s="45"/>
      <c r="N1644" s="47"/>
      <c r="O1644" s="47"/>
      <c r="P1644" s="47"/>
      <c r="Q1644" s="45"/>
      <c r="R1644" s="45"/>
      <c r="S1644" s="48"/>
    </row>
    <row r="1645" spans="1:19" s="49" customFormat="1" ht="14.15" customHeight="1">
      <c r="A1645" s="45"/>
      <c r="B1645" s="44" t="s">
        <v>6637</v>
      </c>
      <c r="C1645" s="50"/>
      <c r="D1645" s="10" t="s">
        <v>29</v>
      </c>
      <c r="E1645" s="11"/>
      <c r="F1645" s="11" t="s">
        <v>18</v>
      </c>
      <c r="G1645" s="13"/>
      <c r="H1645" s="45" t="s">
        <v>16</v>
      </c>
      <c r="I1645" s="47"/>
      <c r="J1645" s="12" t="s">
        <v>1314</v>
      </c>
      <c r="K1645" s="13" t="s">
        <v>8415</v>
      </c>
      <c r="L1645" s="99" t="str">
        <f t="shared" si="133"/>
        <v>W1261.C</v>
      </c>
      <c r="M1645" s="45"/>
      <c r="N1645" s="47"/>
      <c r="O1645" s="47"/>
      <c r="P1645" s="47"/>
      <c r="Q1645" s="45"/>
      <c r="R1645" s="45"/>
      <c r="S1645" s="48"/>
    </row>
    <row r="1646" spans="1:19" s="49" customFormat="1" ht="14.15" customHeight="1">
      <c r="A1646" s="45"/>
      <c r="B1646" s="44" t="s">
        <v>6637</v>
      </c>
      <c r="C1646" s="50"/>
      <c r="D1646" s="10" t="s">
        <v>29</v>
      </c>
      <c r="E1646" s="11"/>
      <c r="F1646" s="11" t="s">
        <v>18</v>
      </c>
      <c r="G1646" s="13"/>
      <c r="H1646" s="45" t="s">
        <v>16</v>
      </c>
      <c r="I1646" s="47"/>
      <c r="J1646" s="12" t="s">
        <v>1315</v>
      </c>
      <c r="K1646" s="13" t="s">
        <v>8416</v>
      </c>
      <c r="L1646" s="99" t="str">
        <f t="shared" si="133"/>
        <v>W1261.D</v>
      </c>
      <c r="M1646" s="45"/>
      <c r="N1646" s="47"/>
      <c r="O1646" s="47"/>
      <c r="P1646" s="47"/>
      <c r="Q1646" s="45"/>
      <c r="R1646" s="45"/>
      <c r="S1646" s="48"/>
    </row>
    <row r="1647" spans="1:19" s="49" customFormat="1" ht="14.15" customHeight="1">
      <c r="A1647" s="45"/>
      <c r="B1647" s="44" t="s">
        <v>6637</v>
      </c>
      <c r="C1647" s="50"/>
      <c r="D1647" s="10" t="s">
        <v>29</v>
      </c>
      <c r="E1647" s="11"/>
      <c r="F1647" s="11" t="s">
        <v>18</v>
      </c>
      <c r="G1647" s="13"/>
      <c r="H1647" s="45" t="s">
        <v>16</v>
      </c>
      <c r="I1647" s="47"/>
      <c r="J1647" s="12" t="s">
        <v>1316</v>
      </c>
      <c r="K1647" s="13" t="s">
        <v>8417</v>
      </c>
      <c r="L1647" s="99" t="str">
        <f t="shared" si="133"/>
        <v>W1261.E</v>
      </c>
      <c r="M1647" s="45"/>
      <c r="N1647" s="47"/>
      <c r="O1647" s="47"/>
      <c r="P1647" s="47"/>
      <c r="Q1647" s="45"/>
      <c r="R1647" s="45"/>
      <c r="S1647" s="48"/>
    </row>
    <row r="1648" spans="1:19" s="49" customFormat="1" ht="14.15" customHeight="1">
      <c r="A1648" s="45"/>
      <c r="B1648" s="44" t="s">
        <v>6637</v>
      </c>
      <c r="C1648" s="50"/>
      <c r="D1648" s="10" t="s">
        <v>29</v>
      </c>
      <c r="E1648" s="11"/>
      <c r="F1648" s="11" t="s">
        <v>18</v>
      </c>
      <c r="G1648" s="13"/>
      <c r="H1648" s="45" t="s">
        <v>16</v>
      </c>
      <c r="I1648" s="47"/>
      <c r="J1648" s="12" t="s">
        <v>1317</v>
      </c>
      <c r="K1648" s="13" t="s">
        <v>8418</v>
      </c>
      <c r="L1648" s="99" t="str">
        <f t="shared" si="133"/>
        <v>W1261.F</v>
      </c>
      <c r="M1648" s="45"/>
      <c r="N1648" s="47"/>
      <c r="O1648" s="47"/>
      <c r="P1648" s="47"/>
      <c r="Q1648" s="45"/>
      <c r="R1648" s="45"/>
      <c r="S1648" s="48"/>
    </row>
    <row r="1649" spans="1:19" s="49" customFormat="1" ht="14.15" customHeight="1">
      <c r="A1649" s="45"/>
      <c r="B1649" s="44" t="s">
        <v>6637</v>
      </c>
      <c r="C1649" s="50"/>
      <c r="D1649" s="10" t="s">
        <v>29</v>
      </c>
      <c r="E1649" s="11"/>
      <c r="F1649" s="11" t="s">
        <v>18</v>
      </c>
      <c r="G1649" s="13"/>
      <c r="H1649" s="45" t="s">
        <v>16</v>
      </c>
      <c r="I1649" s="47"/>
      <c r="J1649" s="12" t="s">
        <v>1318</v>
      </c>
      <c r="K1649" s="13" t="s">
        <v>8419</v>
      </c>
      <c r="L1649" s="99" t="str">
        <f t="shared" si="133"/>
        <v>W1262.0</v>
      </c>
      <c r="M1649" s="45"/>
      <c r="N1649" s="47"/>
      <c r="O1649" s="47"/>
      <c r="P1649" s="47"/>
      <c r="Q1649" s="45"/>
      <c r="R1649" s="45"/>
      <c r="S1649" s="48"/>
    </row>
    <row r="1650" spans="1:19" s="49" customFormat="1" ht="14.15" customHeight="1">
      <c r="A1650" s="43" t="s">
        <v>3732</v>
      </c>
      <c r="B1650" s="44" t="s">
        <v>6637</v>
      </c>
      <c r="C1650" s="50"/>
      <c r="D1650" s="10" t="s">
        <v>29</v>
      </c>
      <c r="E1650" s="11"/>
      <c r="F1650" s="11" t="s">
        <v>18</v>
      </c>
      <c r="G1650" s="13"/>
      <c r="H1650" s="45" t="s">
        <v>16</v>
      </c>
      <c r="I1650" s="47"/>
      <c r="J1650" s="12" t="s">
        <v>3566</v>
      </c>
      <c r="K1650" s="13" t="s">
        <v>8420</v>
      </c>
      <c r="L1650" s="99" t="str">
        <f t="shared" si="133"/>
        <v>W1262.1</v>
      </c>
      <c r="M1650" s="13" t="s">
        <v>3667</v>
      </c>
      <c r="N1650" s="47"/>
      <c r="O1650" s="47"/>
      <c r="P1650" s="47"/>
      <c r="Q1650" s="45"/>
      <c r="R1650" s="45"/>
      <c r="S1650" s="48"/>
    </row>
    <row r="1651" spans="1:19" s="49" customFormat="1" ht="14.15" customHeight="1">
      <c r="A1651" s="43" t="s">
        <v>3732</v>
      </c>
      <c r="B1651" s="44" t="s">
        <v>6637</v>
      </c>
      <c r="C1651" s="50"/>
      <c r="D1651" s="10" t="s">
        <v>29</v>
      </c>
      <c r="E1651" s="11"/>
      <c r="F1651" s="11" t="s">
        <v>18</v>
      </c>
      <c r="G1651" s="13"/>
      <c r="H1651" s="45" t="s">
        <v>16</v>
      </c>
      <c r="I1651" s="47"/>
      <c r="J1651" s="12" t="s">
        <v>3567</v>
      </c>
      <c r="K1651" s="13" t="s">
        <v>8421</v>
      </c>
      <c r="L1651" s="99" t="str">
        <f t="shared" si="133"/>
        <v>W1262.2</v>
      </c>
      <c r="M1651" s="13" t="s">
        <v>3667</v>
      </c>
      <c r="N1651" s="47"/>
      <c r="O1651" s="47"/>
      <c r="P1651" s="47"/>
      <c r="Q1651" s="45"/>
      <c r="R1651" s="45"/>
      <c r="S1651" s="48"/>
    </row>
    <row r="1652" spans="1:19" s="49" customFormat="1" ht="14.15" customHeight="1">
      <c r="A1652" s="43" t="s">
        <v>3732</v>
      </c>
      <c r="B1652" s="44" t="s">
        <v>6637</v>
      </c>
      <c r="C1652" s="50"/>
      <c r="D1652" s="10" t="s">
        <v>29</v>
      </c>
      <c r="E1652" s="11"/>
      <c r="F1652" s="11" t="s">
        <v>18</v>
      </c>
      <c r="G1652" s="13"/>
      <c r="H1652" s="45" t="s">
        <v>16</v>
      </c>
      <c r="I1652" s="47"/>
      <c r="J1652" s="12" t="s">
        <v>3568</v>
      </c>
      <c r="K1652" s="13" t="s">
        <v>8422</v>
      </c>
      <c r="L1652" s="99" t="str">
        <f t="shared" si="133"/>
        <v>W1262.3</v>
      </c>
      <c r="M1652" s="13" t="s">
        <v>3667</v>
      </c>
      <c r="N1652" s="47"/>
      <c r="O1652" s="47"/>
      <c r="P1652" s="47"/>
      <c r="Q1652" s="45"/>
      <c r="R1652" s="45"/>
      <c r="S1652" s="48"/>
    </row>
    <row r="1653" spans="1:19" s="49" customFormat="1" ht="14.15" customHeight="1">
      <c r="A1653" s="45"/>
      <c r="B1653" s="44" t="s">
        <v>6637</v>
      </c>
      <c r="C1653" s="50"/>
      <c r="D1653" s="10" t="s">
        <v>29</v>
      </c>
      <c r="E1653" s="11"/>
      <c r="F1653" s="11" t="s">
        <v>18</v>
      </c>
      <c r="G1653" s="13"/>
      <c r="H1653" s="45" t="s">
        <v>16</v>
      </c>
      <c r="I1653" s="47"/>
      <c r="J1653" s="12" t="s">
        <v>1322</v>
      </c>
      <c r="K1653" s="13" t="s">
        <v>8423</v>
      </c>
      <c r="L1653" s="99" t="str">
        <f t="shared" si="133"/>
        <v>W1262.4</v>
      </c>
      <c r="M1653" s="45"/>
      <c r="N1653" s="47"/>
      <c r="O1653" s="47"/>
      <c r="P1653" s="47"/>
      <c r="Q1653" s="45"/>
      <c r="R1653" s="45"/>
      <c r="S1653" s="48"/>
    </row>
    <row r="1654" spans="1:19" s="49" customFormat="1" ht="14.15" customHeight="1">
      <c r="A1654" s="43" t="s">
        <v>3732</v>
      </c>
      <c r="B1654" s="44" t="s">
        <v>6637</v>
      </c>
      <c r="C1654" s="50"/>
      <c r="D1654" s="10" t="s">
        <v>29</v>
      </c>
      <c r="E1654" s="11"/>
      <c r="F1654" s="11" t="s">
        <v>18</v>
      </c>
      <c r="G1654" s="13"/>
      <c r="H1654" s="45" t="s">
        <v>16</v>
      </c>
      <c r="I1654" s="47"/>
      <c r="J1654" s="12" t="s">
        <v>3569</v>
      </c>
      <c r="K1654" s="13" t="s">
        <v>8424</v>
      </c>
      <c r="L1654" s="99" t="str">
        <f t="shared" si="133"/>
        <v>W1262.5</v>
      </c>
      <c r="M1654" s="13" t="s">
        <v>3667</v>
      </c>
      <c r="N1654" s="47"/>
      <c r="O1654" s="47"/>
      <c r="P1654" s="47"/>
      <c r="Q1654" s="45"/>
      <c r="R1654" s="45"/>
      <c r="S1654" s="48"/>
    </row>
    <row r="1655" spans="1:19" s="49" customFormat="1" ht="14.15" customHeight="1">
      <c r="A1655" s="45"/>
      <c r="B1655" s="44" t="s">
        <v>6637</v>
      </c>
      <c r="C1655" s="50"/>
      <c r="D1655" s="10" t="s">
        <v>29</v>
      </c>
      <c r="E1655" s="11"/>
      <c r="F1655" s="11" t="s">
        <v>18</v>
      </c>
      <c r="G1655" s="13"/>
      <c r="H1655" s="45" t="s">
        <v>16</v>
      </c>
      <c r="I1655" s="47"/>
      <c r="J1655" s="12" t="s">
        <v>1324</v>
      </c>
      <c r="K1655" s="13" t="s">
        <v>8425</v>
      </c>
      <c r="L1655" s="99" t="str">
        <f t="shared" si="133"/>
        <v>W1262.6</v>
      </c>
      <c r="M1655" s="45"/>
      <c r="N1655" s="47"/>
      <c r="O1655" s="47"/>
      <c r="P1655" s="47"/>
      <c r="Q1655" s="45"/>
      <c r="R1655" s="45"/>
      <c r="S1655" s="48"/>
    </row>
    <row r="1656" spans="1:19" s="49" customFormat="1" ht="14.15" customHeight="1">
      <c r="A1656" s="45"/>
      <c r="B1656" s="44" t="s">
        <v>6637</v>
      </c>
      <c r="C1656" s="50"/>
      <c r="D1656" s="10" t="s">
        <v>29</v>
      </c>
      <c r="E1656" s="11"/>
      <c r="F1656" s="11" t="s">
        <v>18</v>
      </c>
      <c r="G1656" s="13"/>
      <c r="H1656" s="45" t="s">
        <v>16</v>
      </c>
      <c r="I1656" s="47"/>
      <c r="J1656" s="12" t="s">
        <v>1325</v>
      </c>
      <c r="K1656" s="13" t="s">
        <v>8426</v>
      </c>
      <c r="L1656" s="99" t="str">
        <f t="shared" si="133"/>
        <v>W1262.7</v>
      </c>
      <c r="M1656" s="45"/>
      <c r="N1656" s="47"/>
      <c r="O1656" s="47"/>
      <c r="P1656" s="47"/>
      <c r="Q1656" s="45"/>
      <c r="R1656" s="45"/>
      <c r="S1656" s="48"/>
    </row>
    <row r="1657" spans="1:19" s="49" customFormat="1" ht="14.15" customHeight="1">
      <c r="A1657" s="45"/>
      <c r="B1657" s="44" t="s">
        <v>6637</v>
      </c>
      <c r="C1657" s="50"/>
      <c r="D1657" s="10" t="s">
        <v>29</v>
      </c>
      <c r="E1657" s="11"/>
      <c r="F1657" s="11" t="s">
        <v>18</v>
      </c>
      <c r="G1657" s="13"/>
      <c r="H1657" s="45" t="s">
        <v>16</v>
      </c>
      <c r="I1657" s="47"/>
      <c r="J1657" s="12" t="s">
        <v>1326</v>
      </c>
      <c r="K1657" s="13" t="s">
        <v>8427</v>
      </c>
      <c r="L1657" s="99" t="str">
        <f t="shared" si="133"/>
        <v>W1262.8</v>
      </c>
      <c r="M1657" s="45"/>
      <c r="N1657" s="47"/>
      <c r="O1657" s="47"/>
      <c r="P1657" s="47"/>
      <c r="Q1657" s="45"/>
      <c r="R1657" s="45"/>
      <c r="S1657" s="48"/>
    </row>
    <row r="1658" spans="1:19" s="49" customFormat="1" ht="14.15" customHeight="1">
      <c r="A1658" s="45"/>
      <c r="B1658" s="44" t="s">
        <v>6637</v>
      </c>
      <c r="C1658" s="50"/>
      <c r="D1658" s="10" t="s">
        <v>29</v>
      </c>
      <c r="E1658" s="11"/>
      <c r="F1658" s="11" t="s">
        <v>18</v>
      </c>
      <c r="G1658" s="13"/>
      <c r="H1658" s="45" t="s">
        <v>16</v>
      </c>
      <c r="I1658" s="47"/>
      <c r="J1658" s="12" t="s">
        <v>1327</v>
      </c>
      <c r="K1658" s="13" t="s">
        <v>8428</v>
      </c>
      <c r="L1658" s="99" t="str">
        <f t="shared" si="133"/>
        <v>W1262.9</v>
      </c>
      <c r="M1658" s="45"/>
      <c r="N1658" s="47"/>
      <c r="O1658" s="47"/>
      <c r="P1658" s="47"/>
      <c r="Q1658" s="45"/>
      <c r="R1658" s="45"/>
      <c r="S1658" s="48"/>
    </row>
    <row r="1659" spans="1:19" s="49" customFormat="1" ht="14.15" customHeight="1">
      <c r="A1659" s="43" t="s">
        <v>3732</v>
      </c>
      <c r="B1659" s="44" t="s">
        <v>6637</v>
      </c>
      <c r="C1659" s="50"/>
      <c r="D1659" s="10" t="s">
        <v>29</v>
      </c>
      <c r="E1659" s="11"/>
      <c r="F1659" s="11" t="s">
        <v>18</v>
      </c>
      <c r="G1659" s="13"/>
      <c r="H1659" s="45" t="s">
        <v>16</v>
      </c>
      <c r="I1659" s="47"/>
      <c r="J1659" s="12" t="s">
        <v>3570</v>
      </c>
      <c r="K1659" s="13" t="s">
        <v>8429</v>
      </c>
      <c r="L1659" s="99" t="str">
        <f t="shared" si="133"/>
        <v>W1262.A</v>
      </c>
      <c r="M1659" s="13" t="s">
        <v>3667</v>
      </c>
      <c r="N1659" s="47"/>
      <c r="O1659" s="47"/>
      <c r="P1659" s="47"/>
      <c r="Q1659" s="45"/>
      <c r="R1659" s="45"/>
      <c r="S1659" s="48"/>
    </row>
    <row r="1660" spans="1:19" s="49" customFormat="1" ht="14.15" customHeight="1">
      <c r="A1660" s="43" t="s">
        <v>3732</v>
      </c>
      <c r="B1660" s="44" t="s">
        <v>6637</v>
      </c>
      <c r="C1660" s="50"/>
      <c r="D1660" s="10" t="s">
        <v>29</v>
      </c>
      <c r="E1660" s="11"/>
      <c r="F1660" s="11" t="s">
        <v>18</v>
      </c>
      <c r="G1660" s="13"/>
      <c r="H1660" s="45" t="s">
        <v>16</v>
      </c>
      <c r="I1660" s="47"/>
      <c r="J1660" s="12" t="s">
        <v>3571</v>
      </c>
      <c r="K1660" s="13" t="s">
        <v>8430</v>
      </c>
      <c r="L1660" s="99" t="str">
        <f t="shared" si="133"/>
        <v>W1262.B</v>
      </c>
      <c r="M1660" s="13" t="s">
        <v>3667</v>
      </c>
      <c r="N1660" s="47"/>
      <c r="O1660" s="47"/>
      <c r="P1660" s="47"/>
      <c r="Q1660" s="45"/>
      <c r="R1660" s="45"/>
      <c r="S1660" s="48"/>
    </row>
    <row r="1661" spans="1:19" s="49" customFormat="1" ht="14.15" customHeight="1">
      <c r="A1661" s="43" t="s">
        <v>3732</v>
      </c>
      <c r="B1661" s="44" t="s">
        <v>6637</v>
      </c>
      <c r="C1661" s="50"/>
      <c r="D1661" s="10" t="s">
        <v>29</v>
      </c>
      <c r="E1661" s="11"/>
      <c r="F1661" s="11" t="s">
        <v>18</v>
      </c>
      <c r="G1661" s="13"/>
      <c r="H1661" s="45" t="s">
        <v>16</v>
      </c>
      <c r="I1661" s="47"/>
      <c r="J1661" s="12" t="s">
        <v>3705</v>
      </c>
      <c r="K1661" s="13" t="s">
        <v>8431</v>
      </c>
      <c r="L1661" s="99" t="str">
        <f t="shared" si="133"/>
        <v>W1262.C</v>
      </c>
      <c r="M1661" s="13" t="s">
        <v>3667</v>
      </c>
      <c r="N1661" s="47"/>
      <c r="O1661" s="47"/>
      <c r="P1661" s="47"/>
      <c r="Q1661" s="45"/>
      <c r="R1661" s="45"/>
      <c r="S1661" s="48"/>
    </row>
    <row r="1662" spans="1:19" s="49" customFormat="1" ht="14.15" customHeight="1">
      <c r="A1662" s="43" t="s">
        <v>3732</v>
      </c>
      <c r="B1662" s="44" t="s">
        <v>6637</v>
      </c>
      <c r="C1662" s="50"/>
      <c r="D1662" s="10" t="s">
        <v>29</v>
      </c>
      <c r="E1662" s="11"/>
      <c r="F1662" s="11" t="s">
        <v>18</v>
      </c>
      <c r="G1662" s="13"/>
      <c r="H1662" s="45" t="s">
        <v>16</v>
      </c>
      <c r="I1662" s="47"/>
      <c r="J1662" s="12" t="s">
        <v>3572</v>
      </c>
      <c r="K1662" s="13" t="s">
        <v>8432</v>
      </c>
      <c r="L1662" s="99" t="str">
        <f t="shared" si="133"/>
        <v>W1262.D</v>
      </c>
      <c r="M1662" s="13" t="s">
        <v>3667</v>
      </c>
      <c r="N1662" s="47"/>
      <c r="O1662" s="47"/>
      <c r="P1662" s="47"/>
      <c r="Q1662" s="45"/>
      <c r="R1662" s="45"/>
      <c r="S1662" s="48"/>
    </row>
    <row r="1663" spans="1:19" s="49" customFormat="1" ht="14.15" customHeight="1">
      <c r="A1663" s="43" t="s">
        <v>3732</v>
      </c>
      <c r="B1663" s="44" t="s">
        <v>6637</v>
      </c>
      <c r="C1663" s="50"/>
      <c r="D1663" s="10" t="s">
        <v>29</v>
      </c>
      <c r="E1663" s="11"/>
      <c r="F1663" s="11" t="s">
        <v>18</v>
      </c>
      <c r="G1663" s="13"/>
      <c r="H1663" s="45" t="s">
        <v>16</v>
      </c>
      <c r="I1663" s="47"/>
      <c r="J1663" s="12" t="s">
        <v>3573</v>
      </c>
      <c r="K1663" s="13" t="s">
        <v>8433</v>
      </c>
      <c r="L1663" s="99" t="str">
        <f t="shared" si="133"/>
        <v>W1262.E</v>
      </c>
      <c r="M1663" s="13" t="s">
        <v>3667</v>
      </c>
      <c r="N1663" s="47"/>
      <c r="O1663" s="47"/>
      <c r="P1663" s="47"/>
      <c r="Q1663" s="45"/>
      <c r="R1663" s="45"/>
      <c r="S1663" s="48"/>
    </row>
    <row r="1664" spans="1:19" s="49" customFormat="1" ht="14.15" customHeight="1">
      <c r="A1664" s="43" t="s">
        <v>3732</v>
      </c>
      <c r="B1664" s="44" t="s">
        <v>6637</v>
      </c>
      <c r="C1664" s="50"/>
      <c r="D1664" s="10" t="s">
        <v>29</v>
      </c>
      <c r="E1664" s="11"/>
      <c r="F1664" s="11" t="s">
        <v>18</v>
      </c>
      <c r="G1664" s="13"/>
      <c r="H1664" s="45" t="s">
        <v>16</v>
      </c>
      <c r="I1664" s="47"/>
      <c r="J1664" s="12" t="s">
        <v>3574</v>
      </c>
      <c r="K1664" s="13" t="s">
        <v>8434</v>
      </c>
      <c r="L1664" s="99" t="str">
        <f t="shared" si="133"/>
        <v>W1262.F</v>
      </c>
      <c r="M1664" s="13" t="s">
        <v>3667</v>
      </c>
      <c r="N1664" s="47"/>
      <c r="O1664" s="47"/>
      <c r="P1664" s="47"/>
      <c r="Q1664" s="45"/>
      <c r="R1664" s="45"/>
      <c r="S1664" s="48"/>
    </row>
    <row r="1665" spans="1:19" s="49" customFormat="1" ht="14.15" customHeight="1">
      <c r="A1665" s="43" t="s">
        <v>3732</v>
      </c>
      <c r="B1665" s="44" t="s">
        <v>6637</v>
      </c>
      <c r="C1665" s="50"/>
      <c r="D1665" s="10" t="s">
        <v>29</v>
      </c>
      <c r="E1665" s="11"/>
      <c r="F1665" s="11" t="s">
        <v>18</v>
      </c>
      <c r="G1665" s="13"/>
      <c r="H1665" s="45" t="s">
        <v>16</v>
      </c>
      <c r="I1665" s="47"/>
      <c r="J1665" s="12" t="s">
        <v>3575</v>
      </c>
      <c r="K1665" s="13" t="s">
        <v>8435</v>
      </c>
      <c r="L1665" s="99" t="str">
        <f t="shared" si="133"/>
        <v>W1263.0</v>
      </c>
      <c r="M1665" s="13" t="s">
        <v>3667</v>
      </c>
      <c r="N1665" s="47"/>
      <c r="O1665" s="47"/>
      <c r="P1665" s="47"/>
      <c r="Q1665" s="45"/>
      <c r="R1665" s="45"/>
      <c r="S1665" s="48"/>
    </row>
    <row r="1666" spans="1:19" s="49" customFormat="1" ht="14.15" customHeight="1">
      <c r="A1666" s="43" t="s">
        <v>3732</v>
      </c>
      <c r="B1666" s="44" t="s">
        <v>6637</v>
      </c>
      <c r="C1666" s="50"/>
      <c r="D1666" s="10" t="s">
        <v>29</v>
      </c>
      <c r="E1666" s="11"/>
      <c r="F1666" s="11" t="s">
        <v>18</v>
      </c>
      <c r="G1666" s="13"/>
      <c r="H1666" s="45" t="s">
        <v>16</v>
      </c>
      <c r="I1666" s="47"/>
      <c r="J1666" s="12" t="s">
        <v>3576</v>
      </c>
      <c r="K1666" s="13" t="s">
        <v>8436</v>
      </c>
      <c r="L1666" s="99" t="str">
        <f t="shared" si="133"/>
        <v>W1263.1</v>
      </c>
      <c r="M1666" s="13" t="s">
        <v>3667</v>
      </c>
      <c r="N1666" s="47"/>
      <c r="O1666" s="47"/>
      <c r="P1666" s="47"/>
      <c r="Q1666" s="45"/>
      <c r="R1666" s="45"/>
      <c r="S1666" s="48"/>
    </row>
    <row r="1667" spans="1:19" s="49" customFormat="1" ht="14.15" customHeight="1">
      <c r="A1667" s="43" t="s">
        <v>3732</v>
      </c>
      <c r="B1667" s="44" t="s">
        <v>6637</v>
      </c>
      <c r="C1667" s="50"/>
      <c r="D1667" s="10" t="s">
        <v>29</v>
      </c>
      <c r="E1667" s="11"/>
      <c r="F1667" s="11" t="s">
        <v>18</v>
      </c>
      <c r="G1667" s="13"/>
      <c r="H1667" s="45" t="s">
        <v>16</v>
      </c>
      <c r="I1667" s="47"/>
      <c r="J1667" s="12" t="s">
        <v>3577</v>
      </c>
      <c r="K1667" s="13" t="s">
        <v>8437</v>
      </c>
      <c r="L1667" s="99" t="str">
        <f t="shared" si="133"/>
        <v>W1263.2</v>
      </c>
      <c r="M1667" s="13" t="s">
        <v>3667</v>
      </c>
      <c r="N1667" s="47"/>
      <c r="O1667" s="47"/>
      <c r="P1667" s="47"/>
      <c r="Q1667" s="45"/>
      <c r="R1667" s="45"/>
      <c r="S1667" s="48"/>
    </row>
    <row r="1668" spans="1:19" s="49" customFormat="1" ht="14.15" customHeight="1">
      <c r="A1668" s="43" t="s">
        <v>3732</v>
      </c>
      <c r="B1668" s="44" t="s">
        <v>6637</v>
      </c>
      <c r="C1668" s="50"/>
      <c r="D1668" s="10" t="s">
        <v>29</v>
      </c>
      <c r="E1668" s="11"/>
      <c r="F1668" s="11" t="s">
        <v>18</v>
      </c>
      <c r="G1668" s="13"/>
      <c r="H1668" s="45" t="s">
        <v>16</v>
      </c>
      <c r="I1668" s="47"/>
      <c r="J1668" s="12" t="s">
        <v>3578</v>
      </c>
      <c r="K1668" s="13" t="s">
        <v>8438</v>
      </c>
      <c r="L1668" s="99" t="str">
        <f t="shared" si="133"/>
        <v>W1263.3</v>
      </c>
      <c r="M1668" s="13" t="s">
        <v>3667</v>
      </c>
      <c r="N1668" s="47"/>
      <c r="O1668" s="47"/>
      <c r="P1668" s="47"/>
      <c r="Q1668" s="45"/>
      <c r="R1668" s="45"/>
      <c r="S1668" s="48"/>
    </row>
    <row r="1669" spans="1:19" s="49" customFormat="1" ht="14.15" customHeight="1">
      <c r="A1669" s="45"/>
      <c r="B1669" s="44" t="s">
        <v>6637</v>
      </c>
      <c r="C1669" s="50"/>
      <c r="D1669" s="10" t="s">
        <v>29</v>
      </c>
      <c r="E1669" s="11"/>
      <c r="F1669" s="11" t="s">
        <v>18</v>
      </c>
      <c r="G1669" s="13"/>
      <c r="H1669" s="45" t="s">
        <v>16</v>
      </c>
      <c r="I1669" s="47"/>
      <c r="J1669" s="12" t="s">
        <v>1338</v>
      </c>
      <c r="K1669" s="13" t="s">
        <v>8439</v>
      </c>
      <c r="L1669" s="99" t="str">
        <f t="shared" si="133"/>
        <v>W1263.4</v>
      </c>
      <c r="M1669" s="45"/>
      <c r="N1669" s="47"/>
      <c r="O1669" s="47"/>
      <c r="P1669" s="47"/>
      <c r="Q1669" s="45"/>
      <c r="R1669" s="45"/>
      <c r="S1669" s="48"/>
    </row>
    <row r="1670" spans="1:19" s="49" customFormat="1" ht="14.15" customHeight="1">
      <c r="A1670" s="43" t="s">
        <v>3732</v>
      </c>
      <c r="B1670" s="44" t="s">
        <v>6637</v>
      </c>
      <c r="C1670" s="50"/>
      <c r="D1670" s="10" t="s">
        <v>29</v>
      </c>
      <c r="E1670" s="11"/>
      <c r="F1670" s="11" t="s">
        <v>18</v>
      </c>
      <c r="G1670" s="13"/>
      <c r="H1670" s="45" t="s">
        <v>16</v>
      </c>
      <c r="I1670" s="47"/>
      <c r="J1670" s="12" t="s">
        <v>3579</v>
      </c>
      <c r="K1670" s="13" t="s">
        <v>8440</v>
      </c>
      <c r="L1670" s="99" t="str">
        <f t="shared" si="133"/>
        <v>W1263.5</v>
      </c>
      <c r="M1670" s="13" t="s">
        <v>3667</v>
      </c>
      <c r="N1670" s="47"/>
      <c r="O1670" s="47"/>
      <c r="P1670" s="47"/>
      <c r="Q1670" s="45"/>
      <c r="R1670" s="45"/>
      <c r="S1670" s="48"/>
    </row>
    <row r="1671" spans="1:19" s="49" customFormat="1" ht="14.15" customHeight="1">
      <c r="A1671" s="43" t="s">
        <v>3732</v>
      </c>
      <c r="B1671" s="44" t="s">
        <v>6637</v>
      </c>
      <c r="C1671" s="50"/>
      <c r="D1671" s="10" t="s">
        <v>29</v>
      </c>
      <c r="E1671" s="11"/>
      <c r="F1671" s="11" t="s">
        <v>18</v>
      </c>
      <c r="G1671" s="13"/>
      <c r="H1671" s="45" t="s">
        <v>16</v>
      </c>
      <c r="I1671" s="47"/>
      <c r="J1671" s="12" t="s">
        <v>3580</v>
      </c>
      <c r="K1671" s="13" t="s">
        <v>8441</v>
      </c>
      <c r="L1671" s="99" t="str">
        <f t="shared" si="133"/>
        <v>W1263.6</v>
      </c>
      <c r="M1671" s="13" t="s">
        <v>3667</v>
      </c>
      <c r="N1671" s="47"/>
      <c r="O1671" s="47"/>
      <c r="P1671" s="47"/>
      <c r="Q1671" s="45"/>
      <c r="R1671" s="45"/>
      <c r="S1671" s="48"/>
    </row>
    <row r="1672" spans="1:19" s="49" customFormat="1" ht="14.15" customHeight="1">
      <c r="A1672" s="43" t="s">
        <v>3732</v>
      </c>
      <c r="B1672" s="44" t="s">
        <v>6637</v>
      </c>
      <c r="C1672" s="50"/>
      <c r="D1672" s="10" t="s">
        <v>29</v>
      </c>
      <c r="E1672" s="11"/>
      <c r="F1672" s="11" t="s">
        <v>18</v>
      </c>
      <c r="G1672" s="13"/>
      <c r="H1672" s="45" t="s">
        <v>16</v>
      </c>
      <c r="I1672" s="47"/>
      <c r="J1672" s="12" t="s">
        <v>3581</v>
      </c>
      <c r="K1672" s="13" t="s">
        <v>8442</v>
      </c>
      <c r="L1672" s="99" t="str">
        <f t="shared" si="133"/>
        <v>W1263.7</v>
      </c>
      <c r="M1672" s="13" t="s">
        <v>3667</v>
      </c>
      <c r="N1672" s="47"/>
      <c r="O1672" s="47"/>
      <c r="P1672" s="47"/>
      <c r="Q1672" s="45"/>
      <c r="R1672" s="45"/>
      <c r="S1672" s="48"/>
    </row>
    <row r="1673" spans="1:19" s="49" customFormat="1" ht="14.15" customHeight="1">
      <c r="A1673" s="45"/>
      <c r="B1673" s="44" t="s">
        <v>6637</v>
      </c>
      <c r="C1673" s="50"/>
      <c r="D1673" s="10" t="s">
        <v>29</v>
      </c>
      <c r="E1673" s="11"/>
      <c r="F1673" s="11" t="s">
        <v>18</v>
      </c>
      <c r="G1673" s="13"/>
      <c r="H1673" s="45" t="s">
        <v>16</v>
      </c>
      <c r="I1673" s="47"/>
      <c r="J1673" s="12" t="s">
        <v>1342</v>
      </c>
      <c r="K1673" s="13" t="s">
        <v>8443</v>
      </c>
      <c r="L1673" s="99" t="str">
        <f t="shared" si="133"/>
        <v>W1263.8</v>
      </c>
      <c r="M1673" s="45"/>
      <c r="N1673" s="47"/>
      <c r="O1673" s="47"/>
      <c r="P1673" s="47"/>
      <c r="Q1673" s="45"/>
      <c r="R1673" s="45"/>
      <c r="S1673" s="48"/>
    </row>
    <row r="1674" spans="1:19" s="49" customFormat="1" ht="14.15" customHeight="1">
      <c r="A1674" s="43" t="s">
        <v>3732</v>
      </c>
      <c r="B1674" s="44" t="s">
        <v>6637</v>
      </c>
      <c r="C1674" s="50"/>
      <c r="D1674" s="10" t="s">
        <v>29</v>
      </c>
      <c r="E1674" s="11"/>
      <c r="F1674" s="11" t="s">
        <v>18</v>
      </c>
      <c r="G1674" s="13"/>
      <c r="H1674" s="45" t="s">
        <v>16</v>
      </c>
      <c r="I1674" s="47"/>
      <c r="J1674" s="12" t="s">
        <v>3582</v>
      </c>
      <c r="K1674" s="13" t="s">
        <v>8444</v>
      </c>
      <c r="L1674" s="99" t="str">
        <f t="shared" si="133"/>
        <v>W1263.9</v>
      </c>
      <c r="M1674" s="13" t="s">
        <v>3667</v>
      </c>
      <c r="N1674" s="47"/>
      <c r="O1674" s="47"/>
      <c r="P1674" s="47"/>
      <c r="Q1674" s="45"/>
      <c r="R1674" s="45"/>
      <c r="S1674" s="48"/>
    </row>
    <row r="1675" spans="1:19" s="49" customFormat="1" ht="14.15" customHeight="1">
      <c r="A1675" s="45"/>
      <c r="B1675" s="44" t="s">
        <v>6637</v>
      </c>
      <c r="C1675" s="50"/>
      <c r="D1675" s="10" t="s">
        <v>29</v>
      </c>
      <c r="E1675" s="11"/>
      <c r="F1675" s="11" t="s">
        <v>18</v>
      </c>
      <c r="G1675" s="13"/>
      <c r="H1675" s="45" t="s">
        <v>16</v>
      </c>
      <c r="I1675" s="47"/>
      <c r="J1675" s="12" t="s">
        <v>1344</v>
      </c>
      <c r="K1675" s="13" t="s">
        <v>8445</v>
      </c>
      <c r="L1675" s="99" t="str">
        <f t="shared" si="133"/>
        <v>W1263.A</v>
      </c>
      <c r="M1675" s="45"/>
      <c r="N1675" s="47"/>
      <c r="O1675" s="47"/>
      <c r="P1675" s="47"/>
      <c r="Q1675" s="45"/>
      <c r="R1675" s="45"/>
      <c r="S1675" s="48"/>
    </row>
    <row r="1676" spans="1:19" s="49" customFormat="1" ht="14.15" customHeight="1">
      <c r="A1676" s="45"/>
      <c r="B1676" s="44" t="s">
        <v>6637</v>
      </c>
      <c r="C1676" s="50"/>
      <c r="D1676" s="10" t="s">
        <v>29</v>
      </c>
      <c r="E1676" s="11"/>
      <c r="F1676" s="11" t="s">
        <v>18</v>
      </c>
      <c r="G1676" s="13"/>
      <c r="H1676" s="45" t="s">
        <v>16</v>
      </c>
      <c r="I1676" s="47"/>
      <c r="J1676" s="12" t="s">
        <v>1345</v>
      </c>
      <c r="K1676" s="13" t="s">
        <v>8446</v>
      </c>
      <c r="L1676" s="99" t="str">
        <f t="shared" si="133"/>
        <v>W1263.B</v>
      </c>
      <c r="M1676" s="45"/>
      <c r="N1676" s="47"/>
      <c r="O1676" s="47"/>
      <c r="P1676" s="47"/>
      <c r="Q1676" s="45"/>
      <c r="R1676" s="45"/>
      <c r="S1676" s="48"/>
    </row>
    <row r="1677" spans="1:19" s="49" customFormat="1" ht="14.15" customHeight="1">
      <c r="A1677" s="45"/>
      <c r="B1677" s="44" t="s">
        <v>6637</v>
      </c>
      <c r="C1677" s="50"/>
      <c r="D1677" s="10" t="s">
        <v>29</v>
      </c>
      <c r="E1677" s="11"/>
      <c r="F1677" s="11" t="s">
        <v>18</v>
      </c>
      <c r="G1677" s="13"/>
      <c r="H1677" s="45" t="s">
        <v>16</v>
      </c>
      <c r="I1677" s="47"/>
      <c r="J1677" s="12" t="s">
        <v>1346</v>
      </c>
      <c r="K1677" s="13" t="s">
        <v>8447</v>
      </c>
      <c r="L1677" s="99" t="str">
        <f t="shared" si="133"/>
        <v>W1263.C</v>
      </c>
      <c r="M1677" s="45"/>
      <c r="N1677" s="47"/>
      <c r="O1677" s="47"/>
      <c r="P1677" s="47"/>
      <c r="Q1677" s="45"/>
      <c r="R1677" s="45"/>
      <c r="S1677" s="48"/>
    </row>
    <row r="1678" spans="1:19" s="49" customFormat="1" ht="14.15" customHeight="1">
      <c r="A1678" s="45"/>
      <c r="B1678" s="44" t="s">
        <v>6637</v>
      </c>
      <c r="C1678" s="50"/>
      <c r="D1678" s="10" t="s">
        <v>29</v>
      </c>
      <c r="E1678" s="11"/>
      <c r="F1678" s="11" t="s">
        <v>18</v>
      </c>
      <c r="G1678" s="13"/>
      <c r="H1678" s="45" t="s">
        <v>16</v>
      </c>
      <c r="I1678" s="47"/>
      <c r="J1678" s="12" t="s">
        <v>1347</v>
      </c>
      <c r="K1678" s="13" t="s">
        <v>8448</v>
      </c>
      <c r="L1678" s="99" t="str">
        <f t="shared" si="133"/>
        <v>W1263.D</v>
      </c>
      <c r="M1678" s="45"/>
      <c r="N1678" s="47"/>
      <c r="O1678" s="47"/>
      <c r="P1678" s="47"/>
      <c r="Q1678" s="45"/>
      <c r="R1678" s="45"/>
      <c r="S1678" s="48"/>
    </row>
    <row r="1679" spans="1:19" s="49" customFormat="1" ht="14.15" customHeight="1">
      <c r="A1679" s="43" t="s">
        <v>3732</v>
      </c>
      <c r="B1679" s="44" t="s">
        <v>6637</v>
      </c>
      <c r="C1679" s="50"/>
      <c r="D1679" s="10" t="s">
        <v>29</v>
      </c>
      <c r="E1679" s="11"/>
      <c r="F1679" s="11" t="s">
        <v>18</v>
      </c>
      <c r="G1679" s="13"/>
      <c r="H1679" s="45" t="s">
        <v>16</v>
      </c>
      <c r="I1679" s="47"/>
      <c r="J1679" s="12" t="s">
        <v>3583</v>
      </c>
      <c r="K1679" s="13" t="s">
        <v>8449</v>
      </c>
      <c r="L1679" s="99" t="str">
        <f t="shared" si="133"/>
        <v>W1263.E</v>
      </c>
      <c r="M1679" s="13" t="s">
        <v>3667</v>
      </c>
      <c r="N1679" s="47"/>
      <c r="O1679" s="47"/>
      <c r="P1679" s="47"/>
      <c r="Q1679" s="45"/>
      <c r="R1679" s="45"/>
      <c r="S1679" s="48"/>
    </row>
    <row r="1680" spans="1:19" s="49" customFormat="1" ht="14.15" customHeight="1">
      <c r="A1680" s="43" t="s">
        <v>3732</v>
      </c>
      <c r="B1680" s="44" t="s">
        <v>6637</v>
      </c>
      <c r="C1680" s="50"/>
      <c r="D1680" s="10" t="s">
        <v>29</v>
      </c>
      <c r="E1680" s="11"/>
      <c r="F1680" s="11" t="s">
        <v>18</v>
      </c>
      <c r="G1680" s="13"/>
      <c r="H1680" s="45" t="s">
        <v>16</v>
      </c>
      <c r="I1680" s="47"/>
      <c r="J1680" s="12" t="s">
        <v>3706</v>
      </c>
      <c r="K1680" s="13" t="s">
        <v>8450</v>
      </c>
      <c r="L1680" s="99" t="str">
        <f t="shared" si="133"/>
        <v>W1263.F</v>
      </c>
      <c r="M1680" s="13" t="s">
        <v>3667</v>
      </c>
      <c r="N1680" s="47"/>
      <c r="O1680" s="47"/>
      <c r="P1680" s="47"/>
      <c r="Q1680" s="45"/>
      <c r="R1680" s="45"/>
      <c r="S1680" s="48"/>
    </row>
    <row r="1681" spans="1:19" s="49" customFormat="1" ht="14.15" customHeight="1">
      <c r="A1681" s="43" t="s">
        <v>3732</v>
      </c>
      <c r="B1681" s="44" t="s">
        <v>6637</v>
      </c>
      <c r="C1681" s="50"/>
      <c r="D1681" s="10" t="s">
        <v>29</v>
      </c>
      <c r="E1681" s="11"/>
      <c r="F1681" s="11" t="s">
        <v>18</v>
      </c>
      <c r="G1681" s="13"/>
      <c r="H1681" s="45" t="s">
        <v>16</v>
      </c>
      <c r="I1681" s="47"/>
      <c r="J1681" s="12" t="s">
        <v>3707</v>
      </c>
      <c r="K1681" s="13" t="s">
        <v>8451</v>
      </c>
      <c r="L1681" s="99" t="str">
        <f t="shared" si="133"/>
        <v>W1264.0</v>
      </c>
      <c r="M1681" s="13" t="s">
        <v>3667</v>
      </c>
      <c r="N1681" s="47"/>
      <c r="O1681" s="47"/>
      <c r="P1681" s="47"/>
      <c r="Q1681" s="45"/>
      <c r="R1681" s="45"/>
      <c r="S1681" s="48"/>
    </row>
    <row r="1682" spans="1:19" s="49" customFormat="1" ht="14.15" customHeight="1">
      <c r="A1682" s="43" t="s">
        <v>3732</v>
      </c>
      <c r="B1682" s="44" t="s">
        <v>6637</v>
      </c>
      <c r="C1682" s="50"/>
      <c r="D1682" s="10" t="s">
        <v>29</v>
      </c>
      <c r="E1682" s="11"/>
      <c r="F1682" s="11" t="s">
        <v>18</v>
      </c>
      <c r="G1682" s="13"/>
      <c r="H1682" s="45" t="s">
        <v>16</v>
      </c>
      <c r="I1682" s="47"/>
      <c r="J1682" s="12" t="s">
        <v>3708</v>
      </c>
      <c r="K1682" s="13" t="s">
        <v>8452</v>
      </c>
      <c r="L1682" s="99" t="str">
        <f t="shared" ref="L1682:L1745" si="134">"W"&amp;DEC2HEX(4608 + INT((ROW()-81)/16)) &amp; "." &amp; IF(MOD(ROW()-81,16)&lt;10,MOD(ROW()-81,16),CHAR(MOD(ROW()-81,16)+55))</f>
        <v>W1264.1</v>
      </c>
      <c r="M1682" s="13" t="s">
        <v>3667</v>
      </c>
      <c r="N1682" s="47"/>
      <c r="O1682" s="47"/>
      <c r="P1682" s="47"/>
      <c r="Q1682" s="45"/>
      <c r="R1682" s="45"/>
      <c r="S1682" s="48"/>
    </row>
    <row r="1683" spans="1:19" s="49" customFormat="1" ht="14.15" customHeight="1">
      <c r="A1683" s="43" t="s">
        <v>3732</v>
      </c>
      <c r="B1683" s="44" t="s">
        <v>6637</v>
      </c>
      <c r="C1683" s="50"/>
      <c r="D1683" s="10" t="s">
        <v>29</v>
      </c>
      <c r="E1683" s="11"/>
      <c r="F1683" s="11" t="s">
        <v>18</v>
      </c>
      <c r="G1683" s="13"/>
      <c r="H1683" s="45" t="s">
        <v>16</v>
      </c>
      <c r="I1683" s="47"/>
      <c r="J1683" s="12" t="s">
        <v>3709</v>
      </c>
      <c r="K1683" s="13" t="s">
        <v>8453</v>
      </c>
      <c r="L1683" s="99" t="str">
        <f t="shared" si="134"/>
        <v>W1264.2</v>
      </c>
      <c r="M1683" s="13" t="s">
        <v>3667</v>
      </c>
      <c r="N1683" s="47"/>
      <c r="O1683" s="47"/>
      <c r="P1683" s="47"/>
      <c r="Q1683" s="45"/>
      <c r="R1683" s="45"/>
      <c r="S1683" s="48"/>
    </row>
    <row r="1684" spans="1:19" s="49" customFormat="1" ht="14.15" customHeight="1">
      <c r="A1684" s="43" t="s">
        <v>3732</v>
      </c>
      <c r="B1684" s="44" t="s">
        <v>6637</v>
      </c>
      <c r="C1684" s="50"/>
      <c r="D1684" s="10" t="s">
        <v>29</v>
      </c>
      <c r="E1684" s="11"/>
      <c r="F1684" s="11" t="s">
        <v>18</v>
      </c>
      <c r="G1684" s="13"/>
      <c r="H1684" s="45" t="s">
        <v>16</v>
      </c>
      <c r="I1684" s="47"/>
      <c r="J1684" s="12" t="s">
        <v>3710</v>
      </c>
      <c r="K1684" s="13" t="s">
        <v>8454</v>
      </c>
      <c r="L1684" s="99" t="str">
        <f t="shared" si="134"/>
        <v>W1264.3</v>
      </c>
      <c r="M1684" s="13" t="s">
        <v>3667</v>
      </c>
      <c r="N1684" s="47"/>
      <c r="O1684" s="47"/>
      <c r="P1684" s="47"/>
      <c r="Q1684" s="45"/>
      <c r="R1684" s="45"/>
      <c r="S1684" s="48"/>
    </row>
    <row r="1685" spans="1:19" s="49" customFormat="1" ht="14.15" customHeight="1">
      <c r="A1685" s="43" t="s">
        <v>3732</v>
      </c>
      <c r="B1685" s="44" t="s">
        <v>6637</v>
      </c>
      <c r="C1685" s="50"/>
      <c r="D1685" s="10" t="s">
        <v>29</v>
      </c>
      <c r="E1685" s="11"/>
      <c r="F1685" s="11" t="s">
        <v>18</v>
      </c>
      <c r="G1685" s="13"/>
      <c r="H1685" s="45" t="s">
        <v>16</v>
      </c>
      <c r="I1685" s="47"/>
      <c r="J1685" s="12" t="s">
        <v>3711</v>
      </c>
      <c r="K1685" s="13" t="s">
        <v>8455</v>
      </c>
      <c r="L1685" s="99" t="str">
        <f t="shared" si="134"/>
        <v>W1264.4</v>
      </c>
      <c r="M1685" s="13" t="s">
        <v>3667</v>
      </c>
      <c r="N1685" s="47"/>
      <c r="O1685" s="47"/>
      <c r="P1685" s="47"/>
      <c r="Q1685" s="45"/>
      <c r="R1685" s="45"/>
      <c r="S1685" s="48"/>
    </row>
    <row r="1686" spans="1:19" s="49" customFormat="1" ht="14.15" customHeight="1">
      <c r="A1686" s="45"/>
      <c r="B1686" s="44" t="s">
        <v>6637</v>
      </c>
      <c r="C1686" s="50"/>
      <c r="D1686" s="10" t="s">
        <v>29</v>
      </c>
      <c r="E1686" s="11"/>
      <c r="F1686" s="11" t="s">
        <v>18</v>
      </c>
      <c r="G1686" s="13"/>
      <c r="H1686" s="45" t="s">
        <v>16</v>
      </c>
      <c r="I1686" s="47"/>
      <c r="J1686" s="12" t="s">
        <v>1355</v>
      </c>
      <c r="K1686" s="13" t="s">
        <v>8456</v>
      </c>
      <c r="L1686" s="99" t="str">
        <f t="shared" si="134"/>
        <v>W1264.5</v>
      </c>
      <c r="M1686" s="45"/>
      <c r="N1686" s="47"/>
      <c r="O1686" s="47"/>
      <c r="P1686" s="47"/>
      <c r="Q1686" s="45"/>
      <c r="R1686" s="45"/>
      <c r="S1686" s="48"/>
    </row>
    <row r="1687" spans="1:19" s="49" customFormat="1" ht="14.15" customHeight="1">
      <c r="A1687" s="45"/>
      <c r="B1687" s="44" t="s">
        <v>6637</v>
      </c>
      <c r="C1687" s="50"/>
      <c r="D1687" s="10" t="s">
        <v>29</v>
      </c>
      <c r="E1687" s="11"/>
      <c r="F1687" s="11" t="s">
        <v>18</v>
      </c>
      <c r="G1687" s="13"/>
      <c r="H1687" s="45" t="s">
        <v>16</v>
      </c>
      <c r="I1687" s="47"/>
      <c r="J1687" s="12" t="s">
        <v>1356</v>
      </c>
      <c r="K1687" s="13" t="s">
        <v>8457</v>
      </c>
      <c r="L1687" s="99" t="str">
        <f t="shared" si="134"/>
        <v>W1264.6</v>
      </c>
      <c r="M1687" s="45"/>
      <c r="N1687" s="47"/>
      <c r="O1687" s="47"/>
      <c r="P1687" s="47"/>
      <c r="Q1687" s="45"/>
      <c r="R1687" s="45"/>
      <c r="S1687" s="48"/>
    </row>
    <row r="1688" spans="1:19" s="49" customFormat="1" ht="14.15" customHeight="1">
      <c r="A1688" s="45"/>
      <c r="B1688" s="44" t="s">
        <v>6637</v>
      </c>
      <c r="C1688" s="50"/>
      <c r="D1688" s="10" t="s">
        <v>29</v>
      </c>
      <c r="E1688" s="11"/>
      <c r="F1688" s="11" t="s">
        <v>18</v>
      </c>
      <c r="G1688" s="13"/>
      <c r="H1688" s="45" t="s">
        <v>16</v>
      </c>
      <c r="I1688" s="47"/>
      <c r="J1688" s="12" t="s">
        <v>1357</v>
      </c>
      <c r="K1688" s="13" t="s">
        <v>8458</v>
      </c>
      <c r="L1688" s="99" t="str">
        <f t="shared" si="134"/>
        <v>W1264.7</v>
      </c>
      <c r="M1688" s="45"/>
      <c r="N1688" s="47"/>
      <c r="O1688" s="47"/>
      <c r="P1688" s="47"/>
      <c r="Q1688" s="45"/>
      <c r="R1688" s="45"/>
      <c r="S1688" s="48"/>
    </row>
    <row r="1689" spans="1:19" s="49" customFormat="1" ht="14.15" customHeight="1">
      <c r="A1689" s="45"/>
      <c r="B1689" s="44" t="s">
        <v>6637</v>
      </c>
      <c r="C1689" s="50"/>
      <c r="D1689" s="10" t="s">
        <v>29</v>
      </c>
      <c r="E1689" s="11"/>
      <c r="F1689" s="11" t="s">
        <v>18</v>
      </c>
      <c r="G1689" s="13"/>
      <c r="H1689" s="45" t="s">
        <v>16</v>
      </c>
      <c r="I1689" s="47"/>
      <c r="J1689" s="12" t="s">
        <v>1358</v>
      </c>
      <c r="K1689" s="13" t="s">
        <v>8459</v>
      </c>
      <c r="L1689" s="99" t="str">
        <f t="shared" si="134"/>
        <v>W1264.8</v>
      </c>
      <c r="M1689" s="45"/>
      <c r="N1689" s="47"/>
      <c r="O1689" s="47"/>
      <c r="P1689" s="47"/>
      <c r="Q1689" s="45"/>
      <c r="R1689" s="45"/>
      <c r="S1689" s="48"/>
    </row>
    <row r="1690" spans="1:19" s="49" customFormat="1" ht="14.15" customHeight="1">
      <c r="A1690" s="43" t="s">
        <v>3732</v>
      </c>
      <c r="B1690" s="44" t="s">
        <v>6637</v>
      </c>
      <c r="C1690" s="50"/>
      <c r="D1690" s="10" t="s">
        <v>29</v>
      </c>
      <c r="E1690" s="11"/>
      <c r="F1690" s="11" t="s">
        <v>18</v>
      </c>
      <c r="G1690" s="13"/>
      <c r="H1690" s="45" t="s">
        <v>16</v>
      </c>
      <c r="I1690" s="47"/>
      <c r="J1690" s="12" t="s">
        <v>3584</v>
      </c>
      <c r="K1690" s="13" t="s">
        <v>8460</v>
      </c>
      <c r="L1690" s="99" t="str">
        <f t="shared" si="134"/>
        <v>W1264.9</v>
      </c>
      <c r="M1690" s="13" t="s">
        <v>3667</v>
      </c>
      <c r="N1690" s="47"/>
      <c r="O1690" s="47"/>
      <c r="P1690" s="47"/>
      <c r="Q1690" s="45"/>
      <c r="R1690" s="45"/>
      <c r="S1690" s="48"/>
    </row>
    <row r="1691" spans="1:19" s="49" customFormat="1" ht="14.15" customHeight="1">
      <c r="A1691" s="43" t="s">
        <v>3732</v>
      </c>
      <c r="B1691" s="44" t="s">
        <v>6637</v>
      </c>
      <c r="C1691" s="50"/>
      <c r="D1691" s="10" t="s">
        <v>29</v>
      </c>
      <c r="E1691" s="11"/>
      <c r="F1691" s="11" t="s">
        <v>18</v>
      </c>
      <c r="G1691" s="13"/>
      <c r="H1691" s="45" t="s">
        <v>16</v>
      </c>
      <c r="I1691" s="47"/>
      <c r="J1691" s="12" t="s">
        <v>3585</v>
      </c>
      <c r="K1691" s="13" t="s">
        <v>8461</v>
      </c>
      <c r="L1691" s="99" t="str">
        <f t="shared" si="134"/>
        <v>W1264.A</v>
      </c>
      <c r="M1691" s="13" t="s">
        <v>3667</v>
      </c>
      <c r="N1691" s="47"/>
      <c r="O1691" s="47"/>
      <c r="P1691" s="47"/>
      <c r="Q1691" s="45"/>
      <c r="R1691" s="45"/>
      <c r="S1691" s="48"/>
    </row>
    <row r="1692" spans="1:19" s="49" customFormat="1" ht="14.15" customHeight="1">
      <c r="A1692" s="43" t="s">
        <v>3732</v>
      </c>
      <c r="B1692" s="44" t="s">
        <v>6637</v>
      </c>
      <c r="C1692" s="50"/>
      <c r="D1692" s="10" t="s">
        <v>29</v>
      </c>
      <c r="E1692" s="11"/>
      <c r="F1692" s="11" t="s">
        <v>18</v>
      </c>
      <c r="G1692" s="13"/>
      <c r="H1692" s="45" t="s">
        <v>16</v>
      </c>
      <c r="I1692" s="47"/>
      <c r="J1692" s="12" t="s">
        <v>3586</v>
      </c>
      <c r="K1692" s="13" t="s">
        <v>8462</v>
      </c>
      <c r="L1692" s="99" t="str">
        <f t="shared" si="134"/>
        <v>W1264.B</v>
      </c>
      <c r="M1692" s="13" t="s">
        <v>3667</v>
      </c>
      <c r="N1692" s="47"/>
      <c r="O1692" s="47"/>
      <c r="P1692" s="47"/>
      <c r="Q1692" s="45"/>
      <c r="R1692" s="45"/>
      <c r="S1692" s="48"/>
    </row>
    <row r="1693" spans="1:19" s="49" customFormat="1" ht="14.15" customHeight="1">
      <c r="A1693" s="45"/>
      <c r="B1693" s="44" t="s">
        <v>6637</v>
      </c>
      <c r="C1693" s="50"/>
      <c r="D1693" s="10" t="s">
        <v>29</v>
      </c>
      <c r="E1693" s="11"/>
      <c r="F1693" s="11" t="s">
        <v>18</v>
      </c>
      <c r="G1693" s="13"/>
      <c r="H1693" s="45" t="s">
        <v>16</v>
      </c>
      <c r="I1693" s="47"/>
      <c r="J1693" s="12" t="s">
        <v>1362</v>
      </c>
      <c r="K1693" s="13" t="s">
        <v>8463</v>
      </c>
      <c r="L1693" s="99" t="str">
        <f t="shared" si="134"/>
        <v>W1264.C</v>
      </c>
      <c r="M1693" s="45"/>
      <c r="N1693" s="47"/>
      <c r="O1693" s="47"/>
      <c r="P1693" s="47"/>
      <c r="Q1693" s="45"/>
      <c r="R1693" s="45"/>
      <c r="S1693" s="48"/>
    </row>
    <row r="1694" spans="1:19" s="49" customFormat="1" ht="14.15" customHeight="1">
      <c r="A1694" s="43" t="s">
        <v>3732</v>
      </c>
      <c r="B1694" s="44" t="s">
        <v>6637</v>
      </c>
      <c r="C1694" s="50"/>
      <c r="D1694" s="10" t="s">
        <v>29</v>
      </c>
      <c r="E1694" s="11"/>
      <c r="F1694" s="11" t="s">
        <v>18</v>
      </c>
      <c r="G1694" s="13"/>
      <c r="H1694" s="45" t="s">
        <v>16</v>
      </c>
      <c r="I1694" s="47"/>
      <c r="J1694" s="12" t="s">
        <v>3587</v>
      </c>
      <c r="K1694" s="13" t="s">
        <v>8464</v>
      </c>
      <c r="L1694" s="99" t="str">
        <f t="shared" si="134"/>
        <v>W1264.D</v>
      </c>
      <c r="M1694" s="13" t="s">
        <v>3667</v>
      </c>
      <c r="N1694" s="47"/>
      <c r="O1694" s="47"/>
      <c r="P1694" s="47"/>
      <c r="Q1694" s="45"/>
      <c r="R1694" s="45"/>
      <c r="S1694" s="48"/>
    </row>
    <row r="1695" spans="1:19" s="49" customFormat="1" ht="14.15" customHeight="1">
      <c r="A1695" s="45"/>
      <c r="B1695" s="44" t="s">
        <v>6637</v>
      </c>
      <c r="C1695" s="50"/>
      <c r="D1695" s="10" t="s">
        <v>29</v>
      </c>
      <c r="E1695" s="11"/>
      <c r="F1695" s="11" t="s">
        <v>18</v>
      </c>
      <c r="G1695" s="13"/>
      <c r="H1695" s="45" t="s">
        <v>16</v>
      </c>
      <c r="I1695" s="47"/>
      <c r="J1695" s="12" t="s">
        <v>1364</v>
      </c>
      <c r="K1695" s="13" t="s">
        <v>8465</v>
      </c>
      <c r="L1695" s="99" t="str">
        <f t="shared" si="134"/>
        <v>W1264.E</v>
      </c>
      <c r="M1695" s="45"/>
      <c r="N1695" s="47"/>
      <c r="O1695" s="47"/>
      <c r="P1695" s="47"/>
      <c r="Q1695" s="45"/>
      <c r="R1695" s="45"/>
      <c r="S1695" s="48"/>
    </row>
    <row r="1696" spans="1:19" s="49" customFormat="1" ht="14.15" customHeight="1">
      <c r="A1696" s="45"/>
      <c r="B1696" s="44" t="s">
        <v>6637</v>
      </c>
      <c r="C1696" s="50"/>
      <c r="D1696" s="10" t="s">
        <v>29</v>
      </c>
      <c r="E1696" s="11"/>
      <c r="F1696" s="11" t="s">
        <v>18</v>
      </c>
      <c r="G1696" s="13"/>
      <c r="H1696" s="45" t="s">
        <v>16</v>
      </c>
      <c r="I1696" s="47"/>
      <c r="J1696" s="12" t="s">
        <v>1365</v>
      </c>
      <c r="K1696" s="13" t="s">
        <v>8466</v>
      </c>
      <c r="L1696" s="99" t="str">
        <f t="shared" si="134"/>
        <v>W1264.F</v>
      </c>
      <c r="M1696" s="45"/>
      <c r="N1696" s="47"/>
      <c r="O1696" s="47"/>
      <c r="P1696" s="47"/>
      <c r="Q1696" s="45"/>
      <c r="R1696" s="45"/>
      <c r="S1696" s="48"/>
    </row>
    <row r="1697" spans="1:19" s="49" customFormat="1" ht="14.15" customHeight="1">
      <c r="A1697" s="45"/>
      <c r="B1697" s="44" t="s">
        <v>6637</v>
      </c>
      <c r="C1697" s="50"/>
      <c r="D1697" s="10" t="s">
        <v>29</v>
      </c>
      <c r="E1697" s="11"/>
      <c r="F1697" s="11" t="s">
        <v>18</v>
      </c>
      <c r="G1697" s="13"/>
      <c r="H1697" s="45" t="s">
        <v>16</v>
      </c>
      <c r="I1697" s="47"/>
      <c r="J1697" s="12" t="s">
        <v>1366</v>
      </c>
      <c r="K1697" s="13" t="s">
        <v>8467</v>
      </c>
      <c r="L1697" s="99" t="str">
        <f t="shared" si="134"/>
        <v>W1265.0</v>
      </c>
      <c r="M1697" s="45"/>
      <c r="N1697" s="47"/>
      <c r="O1697" s="47"/>
      <c r="P1697" s="47"/>
      <c r="Q1697" s="45"/>
      <c r="R1697" s="45"/>
      <c r="S1697" s="48"/>
    </row>
    <row r="1698" spans="1:19" s="49" customFormat="1" ht="14.15" customHeight="1">
      <c r="A1698" s="45"/>
      <c r="B1698" s="44" t="s">
        <v>6637</v>
      </c>
      <c r="C1698" s="50"/>
      <c r="D1698" s="10" t="s">
        <v>29</v>
      </c>
      <c r="E1698" s="11"/>
      <c r="F1698" s="11" t="s">
        <v>18</v>
      </c>
      <c r="G1698" s="13"/>
      <c r="H1698" s="45" t="s">
        <v>16</v>
      </c>
      <c r="I1698" s="47"/>
      <c r="J1698" s="12" t="s">
        <v>1367</v>
      </c>
      <c r="K1698" s="13" t="s">
        <v>8468</v>
      </c>
      <c r="L1698" s="99" t="str">
        <f t="shared" si="134"/>
        <v>W1265.1</v>
      </c>
      <c r="M1698" s="45"/>
      <c r="N1698" s="47"/>
      <c r="O1698" s="47"/>
      <c r="P1698" s="47"/>
      <c r="Q1698" s="45"/>
      <c r="R1698" s="45"/>
      <c r="S1698" s="48"/>
    </row>
    <row r="1699" spans="1:19" s="49" customFormat="1" ht="14.15" customHeight="1">
      <c r="A1699" s="43" t="s">
        <v>3732</v>
      </c>
      <c r="B1699" s="44" t="s">
        <v>6637</v>
      </c>
      <c r="C1699" s="50"/>
      <c r="D1699" s="10" t="s">
        <v>29</v>
      </c>
      <c r="E1699" s="11"/>
      <c r="F1699" s="11" t="s">
        <v>18</v>
      </c>
      <c r="G1699" s="13"/>
      <c r="H1699" s="45" t="s">
        <v>16</v>
      </c>
      <c r="I1699" s="47"/>
      <c r="J1699" s="12" t="s">
        <v>3712</v>
      </c>
      <c r="K1699" s="13" t="s">
        <v>8469</v>
      </c>
      <c r="L1699" s="99" t="str">
        <f t="shared" si="134"/>
        <v>W1265.2</v>
      </c>
      <c r="M1699" s="13" t="s">
        <v>3667</v>
      </c>
      <c r="N1699" s="47"/>
      <c r="O1699" s="47"/>
      <c r="P1699" s="47"/>
      <c r="Q1699" s="45"/>
      <c r="R1699" s="45"/>
      <c r="S1699" s="48"/>
    </row>
    <row r="1700" spans="1:19" s="49" customFormat="1" ht="14.15" customHeight="1">
      <c r="A1700" s="43" t="s">
        <v>3732</v>
      </c>
      <c r="B1700" s="44" t="s">
        <v>6637</v>
      </c>
      <c r="C1700" s="50"/>
      <c r="D1700" s="10" t="s">
        <v>29</v>
      </c>
      <c r="E1700" s="11"/>
      <c r="F1700" s="11" t="s">
        <v>18</v>
      </c>
      <c r="G1700" s="13"/>
      <c r="H1700" s="45" t="s">
        <v>16</v>
      </c>
      <c r="I1700" s="47"/>
      <c r="J1700" s="12" t="s">
        <v>3713</v>
      </c>
      <c r="K1700" s="13" t="s">
        <v>8470</v>
      </c>
      <c r="L1700" s="99" t="str">
        <f t="shared" si="134"/>
        <v>W1265.3</v>
      </c>
      <c r="M1700" s="13" t="s">
        <v>3667</v>
      </c>
      <c r="N1700" s="47"/>
      <c r="O1700" s="47"/>
      <c r="P1700" s="47"/>
      <c r="Q1700" s="45"/>
      <c r="R1700" s="45"/>
      <c r="S1700" s="48"/>
    </row>
    <row r="1701" spans="1:19" s="49" customFormat="1" ht="14.15" customHeight="1">
      <c r="A1701" s="43" t="s">
        <v>3732</v>
      </c>
      <c r="B1701" s="44" t="s">
        <v>6637</v>
      </c>
      <c r="C1701" s="50"/>
      <c r="D1701" s="10" t="s">
        <v>29</v>
      </c>
      <c r="E1701" s="11"/>
      <c r="F1701" s="11" t="s">
        <v>18</v>
      </c>
      <c r="G1701" s="13"/>
      <c r="H1701" s="45" t="s">
        <v>16</v>
      </c>
      <c r="I1701" s="47"/>
      <c r="J1701" s="12" t="s">
        <v>3714</v>
      </c>
      <c r="K1701" s="13" t="s">
        <v>8471</v>
      </c>
      <c r="L1701" s="99" t="str">
        <f t="shared" si="134"/>
        <v>W1265.4</v>
      </c>
      <c r="M1701" s="13" t="s">
        <v>3667</v>
      </c>
      <c r="N1701" s="47"/>
      <c r="O1701" s="47"/>
      <c r="P1701" s="47"/>
      <c r="Q1701" s="45"/>
      <c r="R1701" s="45"/>
      <c r="S1701" s="48"/>
    </row>
    <row r="1702" spans="1:19" s="49" customFormat="1" ht="14.15" customHeight="1">
      <c r="A1702" s="43" t="s">
        <v>3732</v>
      </c>
      <c r="B1702" s="44" t="s">
        <v>6637</v>
      </c>
      <c r="C1702" s="50"/>
      <c r="D1702" s="10" t="s">
        <v>29</v>
      </c>
      <c r="E1702" s="11"/>
      <c r="F1702" s="11" t="s">
        <v>18</v>
      </c>
      <c r="G1702" s="13"/>
      <c r="H1702" s="45" t="s">
        <v>16</v>
      </c>
      <c r="I1702" s="47"/>
      <c r="J1702" s="12" t="s">
        <v>3715</v>
      </c>
      <c r="K1702" s="13" t="s">
        <v>8472</v>
      </c>
      <c r="L1702" s="99" t="str">
        <f t="shared" si="134"/>
        <v>W1265.5</v>
      </c>
      <c r="M1702" s="13" t="s">
        <v>3667</v>
      </c>
      <c r="N1702" s="47"/>
      <c r="O1702" s="47"/>
      <c r="P1702" s="47"/>
      <c r="Q1702" s="45"/>
      <c r="R1702" s="45"/>
      <c r="S1702" s="48"/>
    </row>
    <row r="1703" spans="1:19" s="49" customFormat="1" ht="14.15" customHeight="1">
      <c r="A1703" s="43" t="s">
        <v>3732</v>
      </c>
      <c r="B1703" s="44" t="s">
        <v>6637</v>
      </c>
      <c r="C1703" s="50"/>
      <c r="D1703" s="10" t="s">
        <v>29</v>
      </c>
      <c r="E1703" s="11"/>
      <c r="F1703" s="11" t="s">
        <v>18</v>
      </c>
      <c r="G1703" s="13"/>
      <c r="H1703" s="45" t="s">
        <v>16</v>
      </c>
      <c r="I1703" s="47"/>
      <c r="J1703" s="12" t="s">
        <v>3716</v>
      </c>
      <c r="K1703" s="13" t="s">
        <v>8473</v>
      </c>
      <c r="L1703" s="99" t="str">
        <f t="shared" si="134"/>
        <v>W1265.6</v>
      </c>
      <c r="M1703" s="13" t="s">
        <v>3667</v>
      </c>
      <c r="N1703" s="47"/>
      <c r="O1703" s="47"/>
      <c r="P1703" s="47"/>
      <c r="Q1703" s="45"/>
      <c r="R1703" s="45"/>
      <c r="S1703" s="48"/>
    </row>
    <row r="1704" spans="1:19" s="49" customFormat="1" ht="14.15" customHeight="1">
      <c r="A1704" s="43" t="s">
        <v>3732</v>
      </c>
      <c r="B1704" s="44" t="s">
        <v>6637</v>
      </c>
      <c r="C1704" s="50"/>
      <c r="D1704" s="10" t="s">
        <v>29</v>
      </c>
      <c r="E1704" s="11"/>
      <c r="F1704" s="11" t="s">
        <v>18</v>
      </c>
      <c r="G1704" s="13"/>
      <c r="H1704" s="45" t="s">
        <v>16</v>
      </c>
      <c r="I1704" s="47"/>
      <c r="J1704" s="12" t="s">
        <v>3717</v>
      </c>
      <c r="K1704" s="13" t="s">
        <v>8474</v>
      </c>
      <c r="L1704" s="99" t="str">
        <f t="shared" si="134"/>
        <v>W1265.7</v>
      </c>
      <c r="M1704" s="13" t="s">
        <v>3667</v>
      </c>
      <c r="N1704" s="47"/>
      <c r="O1704" s="47"/>
      <c r="P1704" s="47"/>
      <c r="Q1704" s="45"/>
      <c r="R1704" s="45"/>
      <c r="S1704" s="48"/>
    </row>
    <row r="1705" spans="1:19" s="49" customFormat="1" ht="14.15" customHeight="1">
      <c r="A1705" s="43" t="s">
        <v>3732</v>
      </c>
      <c r="B1705" s="44" t="s">
        <v>6637</v>
      </c>
      <c r="C1705" s="50"/>
      <c r="D1705" s="10" t="s">
        <v>29</v>
      </c>
      <c r="E1705" s="11"/>
      <c r="F1705" s="11" t="s">
        <v>18</v>
      </c>
      <c r="G1705" s="13"/>
      <c r="H1705" s="45" t="s">
        <v>16</v>
      </c>
      <c r="I1705" s="47"/>
      <c r="J1705" s="12" t="s">
        <v>3718</v>
      </c>
      <c r="K1705" s="13" t="s">
        <v>8475</v>
      </c>
      <c r="L1705" s="99" t="str">
        <f t="shared" si="134"/>
        <v>W1265.8</v>
      </c>
      <c r="M1705" s="13" t="s">
        <v>3667</v>
      </c>
      <c r="N1705" s="47"/>
      <c r="O1705" s="47"/>
      <c r="P1705" s="47"/>
      <c r="Q1705" s="45"/>
      <c r="R1705" s="45"/>
      <c r="S1705" s="48"/>
    </row>
    <row r="1706" spans="1:19" s="49" customFormat="1" ht="14.15" customHeight="1">
      <c r="A1706" s="45"/>
      <c r="B1706" s="44" t="s">
        <v>6637</v>
      </c>
      <c r="C1706" s="50"/>
      <c r="D1706" s="10" t="s">
        <v>29</v>
      </c>
      <c r="E1706" s="11"/>
      <c r="F1706" s="11" t="s">
        <v>18</v>
      </c>
      <c r="G1706" s="13"/>
      <c r="H1706" s="45" t="s">
        <v>16</v>
      </c>
      <c r="I1706" s="47"/>
      <c r="J1706" s="12" t="s">
        <v>1375</v>
      </c>
      <c r="K1706" s="13" t="s">
        <v>8476</v>
      </c>
      <c r="L1706" s="99" t="str">
        <f t="shared" si="134"/>
        <v>W1265.9</v>
      </c>
      <c r="M1706" s="45"/>
      <c r="N1706" s="47"/>
      <c r="O1706" s="47"/>
      <c r="P1706" s="47"/>
      <c r="Q1706" s="45"/>
      <c r="R1706" s="45"/>
      <c r="S1706" s="48"/>
    </row>
    <row r="1707" spans="1:19" s="49" customFormat="1" ht="14.15" customHeight="1">
      <c r="A1707" s="45"/>
      <c r="B1707" s="44" t="s">
        <v>6637</v>
      </c>
      <c r="C1707" s="50"/>
      <c r="D1707" s="10" t="s">
        <v>29</v>
      </c>
      <c r="E1707" s="11"/>
      <c r="F1707" s="11" t="s">
        <v>18</v>
      </c>
      <c r="G1707" s="13"/>
      <c r="H1707" s="45" t="s">
        <v>16</v>
      </c>
      <c r="I1707" s="47"/>
      <c r="J1707" s="12" t="s">
        <v>1376</v>
      </c>
      <c r="K1707" s="13" t="s">
        <v>8477</v>
      </c>
      <c r="L1707" s="99" t="str">
        <f t="shared" si="134"/>
        <v>W1265.A</v>
      </c>
      <c r="M1707" s="45"/>
      <c r="N1707" s="47"/>
      <c r="O1707" s="47"/>
      <c r="P1707" s="47"/>
      <c r="Q1707" s="45"/>
      <c r="R1707" s="45"/>
      <c r="S1707" s="48"/>
    </row>
    <row r="1708" spans="1:19" s="49" customFormat="1" ht="14.15" customHeight="1">
      <c r="A1708" s="45"/>
      <c r="B1708" s="44" t="s">
        <v>6637</v>
      </c>
      <c r="C1708" s="50"/>
      <c r="D1708" s="10" t="s">
        <v>29</v>
      </c>
      <c r="E1708" s="11"/>
      <c r="F1708" s="11" t="s">
        <v>18</v>
      </c>
      <c r="G1708" s="13"/>
      <c r="H1708" s="45" t="s">
        <v>16</v>
      </c>
      <c r="I1708" s="47"/>
      <c r="J1708" s="12" t="s">
        <v>1377</v>
      </c>
      <c r="K1708" s="13" t="s">
        <v>8478</v>
      </c>
      <c r="L1708" s="99" t="str">
        <f t="shared" si="134"/>
        <v>W1265.B</v>
      </c>
      <c r="M1708" s="45"/>
      <c r="N1708" s="47"/>
      <c r="O1708" s="47"/>
      <c r="P1708" s="47"/>
      <c r="Q1708" s="45"/>
      <c r="R1708" s="45"/>
      <c r="S1708" s="48"/>
    </row>
    <row r="1709" spans="1:19" s="49" customFormat="1" ht="14.15" customHeight="1">
      <c r="A1709" s="45"/>
      <c r="B1709" s="44" t="s">
        <v>6637</v>
      </c>
      <c r="C1709" s="50"/>
      <c r="D1709" s="10" t="s">
        <v>29</v>
      </c>
      <c r="E1709" s="11"/>
      <c r="F1709" s="11" t="s">
        <v>18</v>
      </c>
      <c r="G1709" s="13"/>
      <c r="H1709" s="45" t="s">
        <v>16</v>
      </c>
      <c r="I1709" s="47"/>
      <c r="J1709" s="12" t="s">
        <v>1378</v>
      </c>
      <c r="K1709" s="13" t="s">
        <v>8479</v>
      </c>
      <c r="L1709" s="99" t="str">
        <f t="shared" si="134"/>
        <v>W1265.C</v>
      </c>
      <c r="M1709" s="45"/>
      <c r="N1709" s="47"/>
      <c r="O1709" s="47"/>
      <c r="P1709" s="47"/>
      <c r="Q1709" s="45"/>
      <c r="R1709" s="45"/>
      <c r="S1709" s="48"/>
    </row>
    <row r="1710" spans="1:19" s="49" customFormat="1" ht="14.15" customHeight="1">
      <c r="A1710" s="43" t="s">
        <v>3732</v>
      </c>
      <c r="B1710" s="44" t="s">
        <v>6637</v>
      </c>
      <c r="C1710" s="50"/>
      <c r="D1710" s="10" t="s">
        <v>29</v>
      </c>
      <c r="E1710" s="11"/>
      <c r="F1710" s="11" t="s">
        <v>18</v>
      </c>
      <c r="G1710" s="13"/>
      <c r="H1710" s="45" t="s">
        <v>16</v>
      </c>
      <c r="I1710" s="47"/>
      <c r="J1710" s="12" t="s">
        <v>3588</v>
      </c>
      <c r="K1710" s="13" t="s">
        <v>8480</v>
      </c>
      <c r="L1710" s="99" t="str">
        <f t="shared" si="134"/>
        <v>W1265.D</v>
      </c>
      <c r="M1710" s="13" t="s">
        <v>3667</v>
      </c>
      <c r="N1710" s="47"/>
      <c r="O1710" s="47"/>
      <c r="P1710" s="47"/>
      <c r="Q1710" s="45"/>
      <c r="R1710" s="45"/>
      <c r="S1710" s="48"/>
    </row>
    <row r="1711" spans="1:19" s="49" customFormat="1" ht="14.15" customHeight="1">
      <c r="A1711" s="43" t="s">
        <v>3732</v>
      </c>
      <c r="B1711" s="44" t="s">
        <v>6637</v>
      </c>
      <c r="C1711" s="50"/>
      <c r="D1711" s="10" t="s">
        <v>29</v>
      </c>
      <c r="E1711" s="11"/>
      <c r="F1711" s="11" t="s">
        <v>18</v>
      </c>
      <c r="G1711" s="13"/>
      <c r="H1711" s="45" t="s">
        <v>16</v>
      </c>
      <c r="I1711" s="47"/>
      <c r="J1711" s="12" t="s">
        <v>3589</v>
      </c>
      <c r="K1711" s="13" t="s">
        <v>8481</v>
      </c>
      <c r="L1711" s="99" t="str">
        <f t="shared" si="134"/>
        <v>W1265.E</v>
      </c>
      <c r="M1711" s="13" t="s">
        <v>3667</v>
      </c>
      <c r="N1711" s="47"/>
      <c r="O1711" s="47"/>
      <c r="P1711" s="47"/>
      <c r="Q1711" s="45"/>
      <c r="R1711" s="45"/>
      <c r="S1711" s="48"/>
    </row>
    <row r="1712" spans="1:19" s="49" customFormat="1" ht="14.15" customHeight="1">
      <c r="A1712" s="43" t="s">
        <v>3732</v>
      </c>
      <c r="B1712" s="44" t="s">
        <v>6637</v>
      </c>
      <c r="C1712" s="50"/>
      <c r="D1712" s="10" t="s">
        <v>29</v>
      </c>
      <c r="E1712" s="11"/>
      <c r="F1712" s="11" t="s">
        <v>18</v>
      </c>
      <c r="G1712" s="13"/>
      <c r="H1712" s="45" t="s">
        <v>16</v>
      </c>
      <c r="I1712" s="47"/>
      <c r="J1712" s="12" t="s">
        <v>3590</v>
      </c>
      <c r="K1712" s="13" t="s">
        <v>8482</v>
      </c>
      <c r="L1712" s="99" t="str">
        <f t="shared" si="134"/>
        <v>W1265.F</v>
      </c>
      <c r="M1712" s="13" t="s">
        <v>3667</v>
      </c>
      <c r="N1712" s="47"/>
      <c r="O1712" s="47"/>
      <c r="P1712" s="47"/>
      <c r="Q1712" s="45"/>
      <c r="R1712" s="45"/>
      <c r="S1712" s="48"/>
    </row>
    <row r="1713" spans="1:19" s="49" customFormat="1" ht="14.15" customHeight="1">
      <c r="A1713" s="45"/>
      <c r="B1713" s="44" t="s">
        <v>6637</v>
      </c>
      <c r="C1713" s="50"/>
      <c r="D1713" s="10" t="s">
        <v>29</v>
      </c>
      <c r="E1713" s="11"/>
      <c r="F1713" s="11" t="s">
        <v>18</v>
      </c>
      <c r="G1713" s="13"/>
      <c r="H1713" s="45" t="s">
        <v>16</v>
      </c>
      <c r="I1713" s="47"/>
      <c r="J1713" s="12" t="s">
        <v>1382</v>
      </c>
      <c r="K1713" s="13" t="s">
        <v>8483</v>
      </c>
      <c r="L1713" s="99" t="str">
        <f t="shared" si="134"/>
        <v>W1266.0</v>
      </c>
      <c r="M1713" s="45"/>
      <c r="N1713" s="47"/>
      <c r="O1713" s="47"/>
      <c r="P1713" s="47"/>
      <c r="Q1713" s="45"/>
      <c r="R1713" s="45"/>
      <c r="S1713" s="48"/>
    </row>
    <row r="1714" spans="1:19" s="49" customFormat="1" ht="14.15" customHeight="1">
      <c r="A1714" s="43" t="s">
        <v>3732</v>
      </c>
      <c r="B1714" s="44" t="s">
        <v>6637</v>
      </c>
      <c r="C1714" s="50"/>
      <c r="D1714" s="10" t="s">
        <v>29</v>
      </c>
      <c r="E1714" s="11"/>
      <c r="F1714" s="11" t="s">
        <v>18</v>
      </c>
      <c r="G1714" s="13"/>
      <c r="H1714" s="45" t="s">
        <v>16</v>
      </c>
      <c r="I1714" s="47"/>
      <c r="J1714" s="12" t="s">
        <v>3591</v>
      </c>
      <c r="K1714" s="13" t="s">
        <v>8484</v>
      </c>
      <c r="L1714" s="99" t="str">
        <f t="shared" si="134"/>
        <v>W1266.1</v>
      </c>
      <c r="M1714" s="13" t="s">
        <v>3667</v>
      </c>
      <c r="N1714" s="47"/>
      <c r="O1714" s="47"/>
      <c r="P1714" s="47"/>
      <c r="Q1714" s="45"/>
      <c r="R1714" s="45"/>
      <c r="S1714" s="48"/>
    </row>
    <row r="1715" spans="1:19" s="49" customFormat="1" ht="14.15" customHeight="1">
      <c r="A1715" s="45"/>
      <c r="B1715" s="44" t="s">
        <v>6637</v>
      </c>
      <c r="C1715" s="50"/>
      <c r="D1715" s="10" t="s">
        <v>29</v>
      </c>
      <c r="E1715" s="11"/>
      <c r="F1715" s="11" t="s">
        <v>18</v>
      </c>
      <c r="G1715" s="13"/>
      <c r="H1715" s="45" t="s">
        <v>16</v>
      </c>
      <c r="I1715" s="47"/>
      <c r="J1715" s="12" t="s">
        <v>1384</v>
      </c>
      <c r="K1715" s="13" t="s">
        <v>8485</v>
      </c>
      <c r="L1715" s="99" t="str">
        <f t="shared" si="134"/>
        <v>W1266.2</v>
      </c>
      <c r="M1715" s="45"/>
      <c r="N1715" s="47"/>
      <c r="O1715" s="47"/>
      <c r="P1715" s="47"/>
      <c r="Q1715" s="45"/>
      <c r="R1715" s="45"/>
      <c r="S1715" s="48"/>
    </row>
    <row r="1716" spans="1:19" s="49" customFormat="1" ht="14.15" customHeight="1">
      <c r="A1716" s="45"/>
      <c r="B1716" s="44" t="s">
        <v>6637</v>
      </c>
      <c r="C1716" s="50"/>
      <c r="D1716" s="10" t="s">
        <v>29</v>
      </c>
      <c r="E1716" s="11"/>
      <c r="F1716" s="11" t="s">
        <v>18</v>
      </c>
      <c r="G1716" s="13"/>
      <c r="H1716" s="45" t="s">
        <v>16</v>
      </c>
      <c r="I1716" s="47"/>
      <c r="J1716" s="12" t="s">
        <v>1385</v>
      </c>
      <c r="K1716" s="13" t="s">
        <v>8486</v>
      </c>
      <c r="L1716" s="99" t="str">
        <f t="shared" si="134"/>
        <v>W1266.3</v>
      </c>
      <c r="M1716" s="45"/>
      <c r="N1716" s="47"/>
      <c r="O1716" s="47"/>
      <c r="P1716" s="47"/>
      <c r="Q1716" s="45"/>
      <c r="R1716" s="45"/>
      <c r="S1716" s="48"/>
    </row>
    <row r="1717" spans="1:19" s="49" customFormat="1" ht="14.15" customHeight="1">
      <c r="A1717" s="45"/>
      <c r="B1717" s="44" t="s">
        <v>6637</v>
      </c>
      <c r="C1717" s="50"/>
      <c r="D1717" s="10" t="s">
        <v>29</v>
      </c>
      <c r="E1717" s="11"/>
      <c r="F1717" s="11" t="s">
        <v>18</v>
      </c>
      <c r="G1717" s="13"/>
      <c r="H1717" s="45" t="s">
        <v>16</v>
      </c>
      <c r="I1717" s="47"/>
      <c r="J1717" s="12" t="s">
        <v>1386</v>
      </c>
      <c r="K1717" s="13" t="s">
        <v>8487</v>
      </c>
      <c r="L1717" s="99" t="str">
        <f t="shared" si="134"/>
        <v>W1266.4</v>
      </c>
      <c r="M1717" s="45"/>
      <c r="N1717" s="47"/>
      <c r="O1717" s="47"/>
      <c r="P1717" s="47"/>
      <c r="Q1717" s="45"/>
      <c r="R1717" s="45"/>
      <c r="S1717" s="48"/>
    </row>
    <row r="1718" spans="1:19" s="49" customFormat="1" ht="14.15" customHeight="1">
      <c r="A1718" s="45"/>
      <c r="B1718" s="44" t="s">
        <v>6637</v>
      </c>
      <c r="C1718" s="50"/>
      <c r="D1718" s="10" t="s">
        <v>29</v>
      </c>
      <c r="E1718" s="11"/>
      <c r="F1718" s="11" t="s">
        <v>18</v>
      </c>
      <c r="G1718" s="13"/>
      <c r="H1718" s="45" t="s">
        <v>16</v>
      </c>
      <c r="I1718" s="47"/>
      <c r="J1718" s="12" t="s">
        <v>1387</v>
      </c>
      <c r="K1718" s="13" t="s">
        <v>8488</v>
      </c>
      <c r="L1718" s="99" t="str">
        <f t="shared" si="134"/>
        <v>W1266.5</v>
      </c>
      <c r="M1718" s="45"/>
      <c r="N1718" s="47"/>
      <c r="O1718" s="47"/>
      <c r="P1718" s="47"/>
      <c r="Q1718" s="45"/>
      <c r="R1718" s="45"/>
      <c r="S1718" s="48"/>
    </row>
    <row r="1719" spans="1:19" s="49" customFormat="1" ht="14.15" customHeight="1">
      <c r="A1719" s="43" t="s">
        <v>3732</v>
      </c>
      <c r="B1719" s="44" t="s">
        <v>6637</v>
      </c>
      <c r="C1719" s="50"/>
      <c r="D1719" s="10" t="s">
        <v>29</v>
      </c>
      <c r="E1719" s="11"/>
      <c r="F1719" s="11" t="s">
        <v>18</v>
      </c>
      <c r="G1719" s="13"/>
      <c r="H1719" s="45" t="s">
        <v>16</v>
      </c>
      <c r="I1719" s="47"/>
      <c r="J1719" s="12" t="s">
        <v>3719</v>
      </c>
      <c r="K1719" s="13" t="s">
        <v>8489</v>
      </c>
      <c r="L1719" s="99" t="str">
        <f t="shared" si="134"/>
        <v>W1266.6</v>
      </c>
      <c r="M1719" s="13" t="s">
        <v>3667</v>
      </c>
      <c r="N1719" s="47"/>
      <c r="O1719" s="47"/>
      <c r="P1719" s="47"/>
      <c r="Q1719" s="45"/>
      <c r="R1719" s="45"/>
      <c r="S1719" s="48"/>
    </row>
    <row r="1720" spans="1:19" s="49" customFormat="1" ht="14.15" customHeight="1">
      <c r="A1720" s="45"/>
      <c r="B1720" s="44" t="s">
        <v>6637</v>
      </c>
      <c r="C1720" s="50"/>
      <c r="D1720" s="10" t="s">
        <v>29</v>
      </c>
      <c r="E1720" s="11"/>
      <c r="F1720" s="11" t="s">
        <v>18</v>
      </c>
      <c r="G1720" s="13"/>
      <c r="H1720" s="45" t="s">
        <v>16</v>
      </c>
      <c r="I1720" s="47"/>
      <c r="J1720" s="12" t="s">
        <v>1389</v>
      </c>
      <c r="K1720" s="13" t="s">
        <v>8490</v>
      </c>
      <c r="L1720" s="99" t="str">
        <f t="shared" si="134"/>
        <v>W1266.7</v>
      </c>
      <c r="M1720" s="45"/>
      <c r="N1720" s="47"/>
      <c r="O1720" s="47"/>
      <c r="P1720" s="47"/>
      <c r="Q1720" s="45"/>
      <c r="R1720" s="45"/>
      <c r="S1720" s="48"/>
    </row>
    <row r="1721" spans="1:19" s="49" customFormat="1" ht="14.15" customHeight="1">
      <c r="A1721" s="45"/>
      <c r="B1721" s="44" t="s">
        <v>6637</v>
      </c>
      <c r="C1721" s="50"/>
      <c r="D1721" s="10" t="s">
        <v>29</v>
      </c>
      <c r="E1721" s="11"/>
      <c r="F1721" s="11" t="s">
        <v>18</v>
      </c>
      <c r="G1721" s="13"/>
      <c r="H1721" s="45" t="s">
        <v>16</v>
      </c>
      <c r="I1721" s="47"/>
      <c r="J1721" s="12" t="s">
        <v>1390</v>
      </c>
      <c r="K1721" s="13" t="s">
        <v>8491</v>
      </c>
      <c r="L1721" s="99" t="str">
        <f t="shared" si="134"/>
        <v>W1266.8</v>
      </c>
      <c r="M1721" s="45"/>
      <c r="N1721" s="47"/>
      <c r="O1721" s="47"/>
      <c r="P1721" s="47"/>
      <c r="Q1721" s="45"/>
      <c r="R1721" s="45"/>
      <c r="S1721" s="48"/>
    </row>
    <row r="1722" spans="1:19" s="49" customFormat="1" ht="14.15" customHeight="1">
      <c r="A1722" s="45"/>
      <c r="B1722" s="44" t="s">
        <v>6637</v>
      </c>
      <c r="C1722" s="50"/>
      <c r="D1722" s="10" t="s">
        <v>29</v>
      </c>
      <c r="E1722" s="11"/>
      <c r="F1722" s="11" t="s">
        <v>18</v>
      </c>
      <c r="G1722" s="13"/>
      <c r="H1722" s="45" t="s">
        <v>16</v>
      </c>
      <c r="I1722" s="47"/>
      <c r="J1722" s="12" t="s">
        <v>1391</v>
      </c>
      <c r="K1722" s="13" t="s">
        <v>8492</v>
      </c>
      <c r="L1722" s="99" t="str">
        <f t="shared" si="134"/>
        <v>W1266.9</v>
      </c>
      <c r="M1722" s="45"/>
      <c r="N1722" s="47"/>
      <c r="O1722" s="47"/>
      <c r="P1722" s="47"/>
      <c r="Q1722" s="45"/>
      <c r="R1722" s="45"/>
      <c r="S1722" s="48"/>
    </row>
    <row r="1723" spans="1:19" s="49" customFormat="1" ht="14.15" customHeight="1">
      <c r="A1723" s="45"/>
      <c r="B1723" s="44" t="s">
        <v>6637</v>
      </c>
      <c r="C1723" s="50"/>
      <c r="D1723" s="10" t="s">
        <v>29</v>
      </c>
      <c r="E1723" s="11"/>
      <c r="F1723" s="11" t="s">
        <v>18</v>
      </c>
      <c r="G1723" s="13"/>
      <c r="H1723" s="45" t="s">
        <v>16</v>
      </c>
      <c r="I1723" s="47"/>
      <c r="J1723" s="12" t="s">
        <v>1392</v>
      </c>
      <c r="K1723" s="13" t="s">
        <v>8493</v>
      </c>
      <c r="L1723" s="99" t="str">
        <f t="shared" si="134"/>
        <v>W1266.A</v>
      </c>
      <c r="M1723" s="45"/>
      <c r="N1723" s="47"/>
      <c r="O1723" s="47"/>
      <c r="P1723" s="47"/>
      <c r="Q1723" s="45"/>
      <c r="R1723" s="45"/>
      <c r="S1723" s="48"/>
    </row>
    <row r="1724" spans="1:19" s="49" customFormat="1" ht="14.15" customHeight="1">
      <c r="A1724" s="45"/>
      <c r="B1724" s="44" t="s">
        <v>6637</v>
      </c>
      <c r="C1724" s="50"/>
      <c r="D1724" s="10" t="s">
        <v>29</v>
      </c>
      <c r="E1724" s="11"/>
      <c r="F1724" s="11" t="s">
        <v>18</v>
      </c>
      <c r="G1724" s="13"/>
      <c r="H1724" s="45" t="s">
        <v>16</v>
      </c>
      <c r="I1724" s="47"/>
      <c r="J1724" s="12" t="s">
        <v>1393</v>
      </c>
      <c r="K1724" s="13" t="s">
        <v>8494</v>
      </c>
      <c r="L1724" s="99" t="str">
        <f t="shared" si="134"/>
        <v>W1266.B</v>
      </c>
      <c r="M1724" s="45"/>
      <c r="N1724" s="47"/>
      <c r="O1724" s="47"/>
      <c r="P1724" s="47"/>
      <c r="Q1724" s="45"/>
      <c r="R1724" s="45"/>
      <c r="S1724" s="48"/>
    </row>
    <row r="1725" spans="1:19" s="49" customFormat="1" ht="14.15" customHeight="1">
      <c r="A1725" s="45"/>
      <c r="B1725" s="44" t="s">
        <v>6637</v>
      </c>
      <c r="C1725" s="50"/>
      <c r="D1725" s="10" t="s">
        <v>29</v>
      </c>
      <c r="E1725" s="11"/>
      <c r="F1725" s="11" t="s">
        <v>18</v>
      </c>
      <c r="G1725" s="13"/>
      <c r="H1725" s="45" t="s">
        <v>16</v>
      </c>
      <c r="I1725" s="47"/>
      <c r="J1725" s="12" t="s">
        <v>1394</v>
      </c>
      <c r="K1725" s="13" t="s">
        <v>8495</v>
      </c>
      <c r="L1725" s="99" t="str">
        <f t="shared" si="134"/>
        <v>W1266.C</v>
      </c>
      <c r="M1725" s="45"/>
      <c r="N1725" s="47"/>
      <c r="O1725" s="47"/>
      <c r="P1725" s="47"/>
      <c r="Q1725" s="45"/>
      <c r="R1725" s="45"/>
      <c r="S1725" s="48"/>
    </row>
    <row r="1726" spans="1:19" s="49" customFormat="1" ht="14.15" customHeight="1">
      <c r="A1726" s="45"/>
      <c r="B1726" s="44" t="s">
        <v>6637</v>
      </c>
      <c r="C1726" s="50"/>
      <c r="D1726" s="10" t="s">
        <v>29</v>
      </c>
      <c r="E1726" s="11"/>
      <c r="F1726" s="11" t="s">
        <v>18</v>
      </c>
      <c r="G1726" s="13"/>
      <c r="H1726" s="45" t="s">
        <v>16</v>
      </c>
      <c r="I1726" s="47"/>
      <c r="J1726" s="12" t="s">
        <v>1395</v>
      </c>
      <c r="K1726" s="13" t="s">
        <v>8496</v>
      </c>
      <c r="L1726" s="99" t="str">
        <f t="shared" si="134"/>
        <v>W1266.D</v>
      </c>
      <c r="M1726" s="45"/>
      <c r="N1726" s="47"/>
      <c r="O1726" s="47"/>
      <c r="P1726" s="47"/>
      <c r="Q1726" s="45"/>
      <c r="R1726" s="45"/>
      <c r="S1726" s="48"/>
    </row>
    <row r="1727" spans="1:19" s="49" customFormat="1" ht="14.15" customHeight="1">
      <c r="A1727" s="45"/>
      <c r="B1727" s="44" t="s">
        <v>6637</v>
      </c>
      <c r="C1727" s="50"/>
      <c r="D1727" s="10" t="s">
        <v>29</v>
      </c>
      <c r="E1727" s="11"/>
      <c r="F1727" s="11" t="s">
        <v>18</v>
      </c>
      <c r="G1727" s="13"/>
      <c r="H1727" s="45" t="s">
        <v>16</v>
      </c>
      <c r="I1727" s="47"/>
      <c r="J1727" s="12" t="s">
        <v>1396</v>
      </c>
      <c r="K1727" s="13" t="s">
        <v>8497</v>
      </c>
      <c r="L1727" s="99" t="str">
        <f t="shared" si="134"/>
        <v>W1266.E</v>
      </c>
      <c r="M1727" s="45"/>
      <c r="N1727" s="47"/>
      <c r="O1727" s="47"/>
      <c r="P1727" s="47"/>
      <c r="Q1727" s="45"/>
      <c r="R1727" s="45"/>
      <c r="S1727" s="48"/>
    </row>
    <row r="1728" spans="1:19" s="49" customFormat="1" ht="14.15" customHeight="1">
      <c r="A1728" s="45"/>
      <c r="B1728" s="44" t="s">
        <v>6637</v>
      </c>
      <c r="C1728" s="50"/>
      <c r="D1728" s="10" t="s">
        <v>29</v>
      </c>
      <c r="E1728" s="11"/>
      <c r="F1728" s="11" t="s">
        <v>18</v>
      </c>
      <c r="G1728" s="13"/>
      <c r="H1728" s="45" t="s">
        <v>16</v>
      </c>
      <c r="I1728" s="47"/>
      <c r="J1728" s="12" t="s">
        <v>1397</v>
      </c>
      <c r="K1728" s="13" t="s">
        <v>8498</v>
      </c>
      <c r="L1728" s="99" t="str">
        <f t="shared" si="134"/>
        <v>W1266.F</v>
      </c>
      <c r="M1728" s="45"/>
      <c r="N1728" s="47"/>
      <c r="O1728" s="47"/>
      <c r="P1728" s="47"/>
      <c r="Q1728" s="45"/>
      <c r="R1728" s="45"/>
      <c r="S1728" s="48"/>
    </row>
    <row r="1729" spans="1:19" s="49" customFormat="1" ht="14.15" customHeight="1">
      <c r="A1729" s="45"/>
      <c r="B1729" s="44" t="s">
        <v>6637</v>
      </c>
      <c r="C1729" s="50"/>
      <c r="D1729" s="10" t="s">
        <v>29</v>
      </c>
      <c r="E1729" s="11"/>
      <c r="F1729" s="11" t="s">
        <v>18</v>
      </c>
      <c r="G1729" s="13"/>
      <c r="H1729" s="45" t="s">
        <v>16</v>
      </c>
      <c r="I1729" s="47"/>
      <c r="J1729" s="12" t="s">
        <v>1398</v>
      </c>
      <c r="K1729" s="13" t="s">
        <v>8499</v>
      </c>
      <c r="L1729" s="99" t="str">
        <f t="shared" si="134"/>
        <v>W1267.0</v>
      </c>
      <c r="M1729" s="45"/>
      <c r="N1729" s="47"/>
      <c r="O1729" s="47"/>
      <c r="P1729" s="47"/>
      <c r="Q1729" s="45"/>
      <c r="R1729" s="45"/>
      <c r="S1729" s="48"/>
    </row>
    <row r="1730" spans="1:19" s="49" customFormat="1" ht="14.15" customHeight="1">
      <c r="A1730" s="45"/>
      <c r="B1730" s="44" t="s">
        <v>6637</v>
      </c>
      <c r="C1730" s="50"/>
      <c r="D1730" s="10" t="s">
        <v>29</v>
      </c>
      <c r="E1730" s="11"/>
      <c r="F1730" s="11" t="s">
        <v>18</v>
      </c>
      <c r="G1730" s="13"/>
      <c r="H1730" s="45" t="s">
        <v>16</v>
      </c>
      <c r="I1730" s="47"/>
      <c r="J1730" s="12" t="s">
        <v>1399</v>
      </c>
      <c r="K1730" s="13" t="s">
        <v>8500</v>
      </c>
      <c r="L1730" s="99" t="str">
        <f t="shared" si="134"/>
        <v>W1267.1</v>
      </c>
      <c r="M1730" s="45"/>
      <c r="N1730" s="47"/>
      <c r="O1730" s="47"/>
      <c r="P1730" s="47"/>
      <c r="Q1730" s="45"/>
      <c r="R1730" s="45"/>
      <c r="S1730" s="48"/>
    </row>
    <row r="1731" spans="1:19" s="49" customFormat="1" ht="14.15" customHeight="1">
      <c r="A1731" s="45"/>
      <c r="B1731" s="44" t="s">
        <v>6637</v>
      </c>
      <c r="C1731" s="50"/>
      <c r="D1731" s="10" t="s">
        <v>29</v>
      </c>
      <c r="E1731" s="11"/>
      <c r="F1731" s="11" t="s">
        <v>18</v>
      </c>
      <c r="G1731" s="13"/>
      <c r="H1731" s="45" t="s">
        <v>16</v>
      </c>
      <c r="I1731" s="47"/>
      <c r="J1731" s="12" t="s">
        <v>1400</v>
      </c>
      <c r="K1731" s="13" t="s">
        <v>8501</v>
      </c>
      <c r="L1731" s="99" t="str">
        <f t="shared" si="134"/>
        <v>W1267.2</v>
      </c>
      <c r="M1731" s="45"/>
      <c r="N1731" s="47"/>
      <c r="O1731" s="47"/>
      <c r="P1731" s="47"/>
      <c r="Q1731" s="45"/>
      <c r="R1731" s="45"/>
      <c r="S1731" s="48"/>
    </row>
    <row r="1732" spans="1:19" s="49" customFormat="1" ht="14.15" customHeight="1">
      <c r="A1732" s="45"/>
      <c r="B1732" s="44" t="s">
        <v>6637</v>
      </c>
      <c r="C1732" s="50"/>
      <c r="D1732" s="10" t="s">
        <v>29</v>
      </c>
      <c r="E1732" s="11"/>
      <c r="F1732" s="11" t="s">
        <v>18</v>
      </c>
      <c r="G1732" s="13"/>
      <c r="H1732" s="45" t="s">
        <v>16</v>
      </c>
      <c r="I1732" s="47"/>
      <c r="J1732" s="12" t="s">
        <v>1401</v>
      </c>
      <c r="K1732" s="13" t="s">
        <v>8502</v>
      </c>
      <c r="L1732" s="99" t="str">
        <f t="shared" si="134"/>
        <v>W1267.3</v>
      </c>
      <c r="M1732" s="45"/>
      <c r="N1732" s="47"/>
      <c r="O1732" s="47"/>
      <c r="P1732" s="47"/>
      <c r="Q1732" s="45"/>
      <c r="R1732" s="45"/>
      <c r="S1732" s="48"/>
    </row>
    <row r="1733" spans="1:19" s="49" customFormat="1" ht="14.15" customHeight="1">
      <c r="A1733" s="45"/>
      <c r="B1733" s="44" t="s">
        <v>6637</v>
      </c>
      <c r="C1733" s="50"/>
      <c r="D1733" s="10" t="s">
        <v>29</v>
      </c>
      <c r="E1733" s="11"/>
      <c r="F1733" s="11" t="s">
        <v>18</v>
      </c>
      <c r="G1733" s="13"/>
      <c r="H1733" s="45" t="s">
        <v>16</v>
      </c>
      <c r="I1733" s="47"/>
      <c r="J1733" s="12" t="s">
        <v>1402</v>
      </c>
      <c r="K1733" s="13" t="s">
        <v>8503</v>
      </c>
      <c r="L1733" s="99" t="str">
        <f t="shared" si="134"/>
        <v>W1267.4</v>
      </c>
      <c r="M1733" s="45"/>
      <c r="N1733" s="47"/>
      <c r="O1733" s="47"/>
      <c r="P1733" s="47"/>
      <c r="Q1733" s="45"/>
      <c r="R1733" s="45"/>
      <c r="S1733" s="48"/>
    </row>
    <row r="1734" spans="1:19" s="49" customFormat="1" ht="14.15" customHeight="1">
      <c r="A1734" s="45"/>
      <c r="B1734" s="44" t="s">
        <v>6637</v>
      </c>
      <c r="C1734" s="50"/>
      <c r="D1734" s="10" t="s">
        <v>29</v>
      </c>
      <c r="E1734" s="11"/>
      <c r="F1734" s="11" t="s">
        <v>18</v>
      </c>
      <c r="G1734" s="13"/>
      <c r="H1734" s="45" t="s">
        <v>16</v>
      </c>
      <c r="I1734" s="47"/>
      <c r="J1734" s="12" t="s">
        <v>1403</v>
      </c>
      <c r="K1734" s="13" t="s">
        <v>8504</v>
      </c>
      <c r="L1734" s="99" t="str">
        <f t="shared" si="134"/>
        <v>W1267.5</v>
      </c>
      <c r="M1734" s="45"/>
      <c r="N1734" s="47"/>
      <c r="O1734" s="47"/>
      <c r="P1734" s="47"/>
      <c r="Q1734" s="45"/>
      <c r="R1734" s="45"/>
      <c r="S1734" s="48"/>
    </row>
    <row r="1735" spans="1:19" s="49" customFormat="1" ht="14.15" customHeight="1">
      <c r="A1735" s="45"/>
      <c r="B1735" s="44" t="s">
        <v>6637</v>
      </c>
      <c r="C1735" s="50"/>
      <c r="D1735" s="10" t="s">
        <v>29</v>
      </c>
      <c r="E1735" s="11"/>
      <c r="F1735" s="11" t="s">
        <v>18</v>
      </c>
      <c r="G1735" s="13"/>
      <c r="H1735" s="45" t="s">
        <v>16</v>
      </c>
      <c r="I1735" s="47"/>
      <c r="J1735" s="12" t="s">
        <v>1404</v>
      </c>
      <c r="K1735" s="13" t="s">
        <v>8505</v>
      </c>
      <c r="L1735" s="99" t="str">
        <f t="shared" si="134"/>
        <v>W1267.6</v>
      </c>
      <c r="M1735" s="45"/>
      <c r="N1735" s="47"/>
      <c r="O1735" s="47"/>
      <c r="P1735" s="47"/>
      <c r="Q1735" s="45"/>
      <c r="R1735" s="45"/>
      <c r="S1735" s="48"/>
    </row>
    <row r="1736" spans="1:19" s="49" customFormat="1" ht="14.15" customHeight="1">
      <c r="A1736" s="45"/>
      <c r="B1736" s="44" t="s">
        <v>6637</v>
      </c>
      <c r="C1736" s="50"/>
      <c r="D1736" s="10" t="s">
        <v>29</v>
      </c>
      <c r="E1736" s="11"/>
      <c r="F1736" s="11" t="s">
        <v>18</v>
      </c>
      <c r="G1736" s="13"/>
      <c r="H1736" s="45" t="s">
        <v>16</v>
      </c>
      <c r="I1736" s="47"/>
      <c r="J1736" s="12" t="s">
        <v>1405</v>
      </c>
      <c r="K1736" s="13" t="s">
        <v>8506</v>
      </c>
      <c r="L1736" s="99" t="str">
        <f t="shared" si="134"/>
        <v>W1267.7</v>
      </c>
      <c r="M1736" s="45"/>
      <c r="N1736" s="47"/>
      <c r="O1736" s="47"/>
      <c r="P1736" s="47"/>
      <c r="Q1736" s="45"/>
      <c r="R1736" s="45"/>
      <c r="S1736" s="48"/>
    </row>
    <row r="1737" spans="1:19" s="49" customFormat="1" ht="14.15" customHeight="1">
      <c r="A1737" s="45"/>
      <c r="B1737" s="44" t="s">
        <v>6637</v>
      </c>
      <c r="C1737" s="50"/>
      <c r="D1737" s="10" t="s">
        <v>29</v>
      </c>
      <c r="E1737" s="11"/>
      <c r="F1737" s="11" t="s">
        <v>18</v>
      </c>
      <c r="G1737" s="13"/>
      <c r="H1737" s="45" t="s">
        <v>16</v>
      </c>
      <c r="I1737" s="47"/>
      <c r="J1737" s="12" t="s">
        <v>1406</v>
      </c>
      <c r="K1737" s="13" t="s">
        <v>8507</v>
      </c>
      <c r="L1737" s="99" t="str">
        <f t="shared" si="134"/>
        <v>W1267.8</v>
      </c>
      <c r="M1737" s="45"/>
      <c r="N1737" s="47"/>
      <c r="O1737" s="47"/>
      <c r="P1737" s="47"/>
      <c r="Q1737" s="45"/>
      <c r="R1737" s="45"/>
      <c r="S1737" s="48"/>
    </row>
    <row r="1738" spans="1:19" s="49" customFormat="1" ht="14.15" customHeight="1">
      <c r="A1738" s="45"/>
      <c r="B1738" s="44" t="s">
        <v>6637</v>
      </c>
      <c r="C1738" s="50"/>
      <c r="D1738" s="10" t="s">
        <v>29</v>
      </c>
      <c r="E1738" s="11"/>
      <c r="F1738" s="11" t="s">
        <v>18</v>
      </c>
      <c r="G1738" s="13"/>
      <c r="H1738" s="45" t="s">
        <v>16</v>
      </c>
      <c r="I1738" s="47"/>
      <c r="J1738" s="12" t="s">
        <v>1407</v>
      </c>
      <c r="K1738" s="13" t="s">
        <v>8508</v>
      </c>
      <c r="L1738" s="99" t="str">
        <f t="shared" si="134"/>
        <v>W1267.9</v>
      </c>
      <c r="M1738" s="45"/>
      <c r="N1738" s="47"/>
      <c r="O1738" s="47"/>
      <c r="P1738" s="47"/>
      <c r="Q1738" s="45"/>
      <c r="R1738" s="45"/>
      <c r="S1738" s="48"/>
    </row>
    <row r="1739" spans="1:19" s="49" customFormat="1" ht="14.15" customHeight="1">
      <c r="A1739" s="45"/>
      <c r="B1739" s="44" t="s">
        <v>6637</v>
      </c>
      <c r="C1739" s="50"/>
      <c r="D1739" s="10" t="s">
        <v>29</v>
      </c>
      <c r="E1739" s="11"/>
      <c r="F1739" s="11" t="s">
        <v>18</v>
      </c>
      <c r="G1739" s="13"/>
      <c r="H1739" s="45" t="s">
        <v>16</v>
      </c>
      <c r="I1739" s="47"/>
      <c r="J1739" s="12" t="s">
        <v>1408</v>
      </c>
      <c r="K1739" s="13" t="s">
        <v>8509</v>
      </c>
      <c r="L1739" s="99" t="str">
        <f t="shared" si="134"/>
        <v>W1267.A</v>
      </c>
      <c r="M1739" s="45"/>
      <c r="N1739" s="47"/>
      <c r="O1739" s="47"/>
      <c r="P1739" s="47"/>
      <c r="Q1739" s="45"/>
      <c r="R1739" s="45"/>
      <c r="S1739" s="48"/>
    </row>
    <row r="1740" spans="1:19" s="49" customFormat="1" ht="14.15" customHeight="1">
      <c r="A1740" s="43" t="s">
        <v>3732</v>
      </c>
      <c r="B1740" s="44" t="s">
        <v>6637</v>
      </c>
      <c r="C1740" s="50"/>
      <c r="D1740" s="10" t="s">
        <v>29</v>
      </c>
      <c r="E1740" s="11"/>
      <c r="F1740" s="11" t="s">
        <v>18</v>
      </c>
      <c r="G1740" s="13"/>
      <c r="H1740" s="45" t="s">
        <v>16</v>
      </c>
      <c r="I1740" s="47"/>
      <c r="J1740" s="12" t="s">
        <v>3592</v>
      </c>
      <c r="K1740" s="13" t="s">
        <v>8510</v>
      </c>
      <c r="L1740" s="99" t="str">
        <f t="shared" si="134"/>
        <v>W1267.B</v>
      </c>
      <c r="M1740" s="13" t="s">
        <v>3667</v>
      </c>
      <c r="N1740" s="47"/>
      <c r="O1740" s="47"/>
      <c r="P1740" s="47"/>
      <c r="Q1740" s="45"/>
      <c r="R1740" s="45"/>
      <c r="S1740" s="48"/>
    </row>
    <row r="1741" spans="1:19" s="49" customFormat="1" ht="14.15" customHeight="1">
      <c r="A1741" s="43" t="s">
        <v>3732</v>
      </c>
      <c r="B1741" s="44" t="s">
        <v>6637</v>
      </c>
      <c r="C1741" s="50"/>
      <c r="D1741" s="10" t="s">
        <v>29</v>
      </c>
      <c r="E1741" s="11"/>
      <c r="F1741" s="11" t="s">
        <v>18</v>
      </c>
      <c r="G1741" s="13"/>
      <c r="H1741" s="45" t="s">
        <v>16</v>
      </c>
      <c r="I1741" s="47"/>
      <c r="J1741" s="12" t="s">
        <v>3593</v>
      </c>
      <c r="K1741" s="13" t="s">
        <v>8511</v>
      </c>
      <c r="L1741" s="99" t="str">
        <f t="shared" si="134"/>
        <v>W1267.C</v>
      </c>
      <c r="M1741" s="13" t="s">
        <v>3667</v>
      </c>
      <c r="N1741" s="47"/>
      <c r="O1741" s="47"/>
      <c r="P1741" s="47"/>
      <c r="Q1741" s="45"/>
      <c r="R1741" s="45"/>
      <c r="S1741" s="48"/>
    </row>
    <row r="1742" spans="1:19" s="49" customFormat="1" ht="14.15" customHeight="1">
      <c r="A1742" s="43" t="s">
        <v>3732</v>
      </c>
      <c r="B1742" s="44" t="s">
        <v>6637</v>
      </c>
      <c r="C1742" s="50"/>
      <c r="D1742" s="10" t="s">
        <v>29</v>
      </c>
      <c r="E1742" s="11"/>
      <c r="F1742" s="11" t="s">
        <v>18</v>
      </c>
      <c r="G1742" s="13"/>
      <c r="H1742" s="45" t="s">
        <v>16</v>
      </c>
      <c r="I1742" s="47"/>
      <c r="J1742" s="12" t="s">
        <v>3594</v>
      </c>
      <c r="K1742" s="13" t="s">
        <v>8512</v>
      </c>
      <c r="L1742" s="99" t="str">
        <f t="shared" si="134"/>
        <v>W1267.D</v>
      </c>
      <c r="M1742" s="13" t="s">
        <v>3667</v>
      </c>
      <c r="N1742" s="47"/>
      <c r="O1742" s="47"/>
      <c r="P1742" s="47"/>
      <c r="Q1742" s="45"/>
      <c r="R1742" s="45"/>
      <c r="S1742" s="48"/>
    </row>
    <row r="1743" spans="1:19" s="49" customFormat="1" ht="14.15" customHeight="1">
      <c r="A1743" s="43" t="s">
        <v>3732</v>
      </c>
      <c r="B1743" s="44" t="s">
        <v>6637</v>
      </c>
      <c r="C1743" s="50"/>
      <c r="D1743" s="10" t="s">
        <v>29</v>
      </c>
      <c r="E1743" s="11"/>
      <c r="F1743" s="11" t="s">
        <v>18</v>
      </c>
      <c r="G1743" s="13"/>
      <c r="H1743" s="45" t="s">
        <v>16</v>
      </c>
      <c r="I1743" s="47"/>
      <c r="J1743" s="12" t="s">
        <v>3595</v>
      </c>
      <c r="K1743" s="13" t="s">
        <v>8513</v>
      </c>
      <c r="L1743" s="99" t="str">
        <f t="shared" si="134"/>
        <v>W1267.E</v>
      </c>
      <c r="M1743" s="13" t="s">
        <v>3667</v>
      </c>
      <c r="N1743" s="47"/>
      <c r="O1743" s="47"/>
      <c r="P1743" s="47"/>
      <c r="Q1743" s="45"/>
      <c r="R1743" s="45"/>
      <c r="S1743" s="48"/>
    </row>
    <row r="1744" spans="1:19" s="49" customFormat="1" ht="14.15" customHeight="1">
      <c r="A1744" s="43" t="s">
        <v>3732</v>
      </c>
      <c r="B1744" s="44" t="s">
        <v>6637</v>
      </c>
      <c r="C1744" s="50"/>
      <c r="D1744" s="10" t="s">
        <v>29</v>
      </c>
      <c r="E1744" s="11"/>
      <c r="F1744" s="11" t="s">
        <v>18</v>
      </c>
      <c r="G1744" s="13"/>
      <c r="H1744" s="45" t="s">
        <v>16</v>
      </c>
      <c r="I1744" s="47"/>
      <c r="J1744" s="12" t="s">
        <v>3596</v>
      </c>
      <c r="K1744" s="13" t="s">
        <v>8514</v>
      </c>
      <c r="L1744" s="99" t="str">
        <f t="shared" si="134"/>
        <v>W1267.F</v>
      </c>
      <c r="M1744" s="13" t="s">
        <v>3667</v>
      </c>
      <c r="N1744" s="47"/>
      <c r="O1744" s="47"/>
      <c r="P1744" s="47"/>
      <c r="Q1744" s="45"/>
      <c r="R1744" s="45"/>
      <c r="S1744" s="48"/>
    </row>
    <row r="1745" spans="1:19" s="49" customFormat="1" ht="14.15" customHeight="1">
      <c r="A1745" s="43" t="s">
        <v>3732</v>
      </c>
      <c r="B1745" s="44" t="s">
        <v>6637</v>
      </c>
      <c r="C1745" s="50"/>
      <c r="D1745" s="10" t="s">
        <v>29</v>
      </c>
      <c r="E1745" s="11"/>
      <c r="F1745" s="11" t="s">
        <v>18</v>
      </c>
      <c r="G1745" s="13"/>
      <c r="H1745" s="45" t="s">
        <v>16</v>
      </c>
      <c r="I1745" s="47"/>
      <c r="J1745" s="12" t="s">
        <v>3597</v>
      </c>
      <c r="K1745" s="13" t="s">
        <v>8515</v>
      </c>
      <c r="L1745" s="99" t="str">
        <f t="shared" si="134"/>
        <v>W1268.0</v>
      </c>
      <c r="M1745" s="13" t="s">
        <v>3667</v>
      </c>
      <c r="N1745" s="47"/>
      <c r="O1745" s="47"/>
      <c r="P1745" s="47"/>
      <c r="Q1745" s="45"/>
      <c r="R1745" s="45"/>
      <c r="S1745" s="48"/>
    </row>
    <row r="1746" spans="1:19" s="49" customFormat="1" ht="14.15" customHeight="1">
      <c r="A1746" s="43" t="s">
        <v>3732</v>
      </c>
      <c r="B1746" s="44" t="s">
        <v>6637</v>
      </c>
      <c r="C1746" s="50"/>
      <c r="D1746" s="10" t="s">
        <v>29</v>
      </c>
      <c r="E1746" s="11"/>
      <c r="F1746" s="11" t="s">
        <v>18</v>
      </c>
      <c r="G1746" s="13"/>
      <c r="H1746" s="45" t="s">
        <v>16</v>
      </c>
      <c r="I1746" s="47"/>
      <c r="J1746" s="12" t="s">
        <v>3598</v>
      </c>
      <c r="K1746" s="13" t="s">
        <v>8516</v>
      </c>
      <c r="L1746" s="99" t="str">
        <f t="shared" ref="L1746:L1809" si="135">"W"&amp;DEC2HEX(4608 + INT((ROW()-81)/16)) &amp; "." &amp; IF(MOD(ROW()-81,16)&lt;10,MOD(ROW()-81,16),CHAR(MOD(ROW()-81,16)+55))</f>
        <v>W1268.1</v>
      </c>
      <c r="M1746" s="13" t="s">
        <v>3667</v>
      </c>
      <c r="N1746" s="47"/>
      <c r="O1746" s="47"/>
      <c r="P1746" s="47"/>
      <c r="Q1746" s="45"/>
      <c r="R1746" s="45"/>
      <c r="S1746" s="48"/>
    </row>
    <row r="1747" spans="1:19" s="49" customFormat="1" ht="14.15" customHeight="1">
      <c r="A1747" s="43" t="s">
        <v>3732</v>
      </c>
      <c r="B1747" s="44" t="s">
        <v>6637</v>
      </c>
      <c r="C1747" s="50"/>
      <c r="D1747" s="10" t="s">
        <v>29</v>
      </c>
      <c r="E1747" s="11"/>
      <c r="F1747" s="11" t="s">
        <v>18</v>
      </c>
      <c r="G1747" s="13"/>
      <c r="H1747" s="45" t="s">
        <v>16</v>
      </c>
      <c r="I1747" s="47"/>
      <c r="J1747" s="12" t="s">
        <v>3599</v>
      </c>
      <c r="K1747" s="13" t="s">
        <v>8517</v>
      </c>
      <c r="L1747" s="99" t="str">
        <f t="shared" si="135"/>
        <v>W1268.2</v>
      </c>
      <c r="M1747" s="13" t="s">
        <v>3667</v>
      </c>
      <c r="N1747" s="47"/>
      <c r="O1747" s="47"/>
      <c r="P1747" s="47"/>
      <c r="Q1747" s="45"/>
      <c r="R1747" s="45"/>
      <c r="S1747" s="48"/>
    </row>
    <row r="1748" spans="1:19" s="49" customFormat="1" ht="14.15" customHeight="1">
      <c r="A1748" s="43" t="s">
        <v>3732</v>
      </c>
      <c r="B1748" s="44" t="s">
        <v>6637</v>
      </c>
      <c r="C1748" s="50"/>
      <c r="D1748" s="10" t="s">
        <v>29</v>
      </c>
      <c r="E1748" s="11"/>
      <c r="F1748" s="11" t="s">
        <v>18</v>
      </c>
      <c r="G1748" s="13"/>
      <c r="H1748" s="45" t="s">
        <v>16</v>
      </c>
      <c r="I1748" s="47"/>
      <c r="J1748" s="12" t="s">
        <v>3600</v>
      </c>
      <c r="K1748" s="13" t="s">
        <v>8518</v>
      </c>
      <c r="L1748" s="99" t="str">
        <f t="shared" si="135"/>
        <v>W1268.3</v>
      </c>
      <c r="M1748" s="13" t="s">
        <v>3667</v>
      </c>
      <c r="N1748" s="47"/>
      <c r="O1748" s="47"/>
      <c r="P1748" s="47"/>
      <c r="Q1748" s="45"/>
      <c r="R1748" s="45"/>
      <c r="S1748" s="48"/>
    </row>
    <row r="1749" spans="1:19" s="49" customFormat="1" ht="14.15" customHeight="1">
      <c r="A1749" s="45"/>
      <c r="B1749" s="44" t="s">
        <v>6637</v>
      </c>
      <c r="C1749" s="50"/>
      <c r="D1749" s="10" t="s">
        <v>29</v>
      </c>
      <c r="E1749" s="11"/>
      <c r="F1749" s="11" t="s">
        <v>18</v>
      </c>
      <c r="G1749" s="13"/>
      <c r="H1749" s="45" t="s">
        <v>16</v>
      </c>
      <c r="I1749" s="47"/>
      <c r="J1749" s="12" t="s">
        <v>1418</v>
      </c>
      <c r="K1749" s="13" t="s">
        <v>8519</v>
      </c>
      <c r="L1749" s="99" t="str">
        <f t="shared" si="135"/>
        <v>W1268.4</v>
      </c>
      <c r="M1749" s="45"/>
      <c r="N1749" s="47"/>
      <c r="O1749" s="47"/>
      <c r="P1749" s="47"/>
      <c r="Q1749" s="45"/>
      <c r="R1749" s="45"/>
      <c r="S1749" s="48"/>
    </row>
    <row r="1750" spans="1:19" s="49" customFormat="1" ht="14.15" customHeight="1">
      <c r="A1750" s="45"/>
      <c r="B1750" s="44" t="s">
        <v>6637</v>
      </c>
      <c r="C1750" s="50"/>
      <c r="D1750" s="10" t="s">
        <v>29</v>
      </c>
      <c r="E1750" s="11"/>
      <c r="F1750" s="11" t="s">
        <v>18</v>
      </c>
      <c r="G1750" s="13"/>
      <c r="H1750" s="45" t="s">
        <v>16</v>
      </c>
      <c r="I1750" s="47"/>
      <c r="J1750" s="12" t="s">
        <v>1419</v>
      </c>
      <c r="K1750" s="13" t="s">
        <v>8520</v>
      </c>
      <c r="L1750" s="99" t="str">
        <f t="shared" si="135"/>
        <v>W1268.5</v>
      </c>
      <c r="M1750" s="45"/>
      <c r="N1750" s="47"/>
      <c r="O1750" s="47"/>
      <c r="P1750" s="47"/>
      <c r="Q1750" s="45"/>
      <c r="R1750" s="45"/>
      <c r="S1750" s="48"/>
    </row>
    <row r="1751" spans="1:19" s="49" customFormat="1" ht="14.15" customHeight="1">
      <c r="A1751" s="45"/>
      <c r="B1751" s="44" t="s">
        <v>6637</v>
      </c>
      <c r="C1751" s="50"/>
      <c r="D1751" s="10" t="s">
        <v>29</v>
      </c>
      <c r="E1751" s="11"/>
      <c r="F1751" s="11" t="s">
        <v>18</v>
      </c>
      <c r="G1751" s="13"/>
      <c r="H1751" s="45" t="s">
        <v>16</v>
      </c>
      <c r="I1751" s="47"/>
      <c r="J1751" s="12" t="s">
        <v>1420</v>
      </c>
      <c r="K1751" s="13" t="s">
        <v>8521</v>
      </c>
      <c r="L1751" s="99" t="str">
        <f t="shared" si="135"/>
        <v>W1268.6</v>
      </c>
      <c r="M1751" s="45"/>
      <c r="N1751" s="47"/>
      <c r="O1751" s="47"/>
      <c r="P1751" s="47"/>
      <c r="Q1751" s="45"/>
      <c r="R1751" s="45"/>
      <c r="S1751" s="48"/>
    </row>
    <row r="1752" spans="1:19" s="49" customFormat="1" ht="14.15" customHeight="1">
      <c r="A1752" s="45"/>
      <c r="B1752" s="44" t="s">
        <v>6637</v>
      </c>
      <c r="C1752" s="50"/>
      <c r="D1752" s="10" t="s">
        <v>29</v>
      </c>
      <c r="E1752" s="11"/>
      <c r="F1752" s="11" t="s">
        <v>18</v>
      </c>
      <c r="G1752" s="13"/>
      <c r="H1752" s="45" t="s">
        <v>16</v>
      </c>
      <c r="I1752" s="47"/>
      <c r="J1752" s="12" t="s">
        <v>1421</v>
      </c>
      <c r="K1752" s="13" t="s">
        <v>8522</v>
      </c>
      <c r="L1752" s="99" t="str">
        <f t="shared" si="135"/>
        <v>W1268.7</v>
      </c>
      <c r="M1752" s="45"/>
      <c r="N1752" s="47"/>
      <c r="O1752" s="47"/>
      <c r="P1752" s="47"/>
      <c r="Q1752" s="45"/>
      <c r="R1752" s="45"/>
      <c r="S1752" s="48"/>
    </row>
    <row r="1753" spans="1:19" s="49" customFormat="1" ht="14.15" customHeight="1">
      <c r="A1753" s="45"/>
      <c r="B1753" s="44" t="s">
        <v>6637</v>
      </c>
      <c r="C1753" s="50"/>
      <c r="D1753" s="10" t="s">
        <v>29</v>
      </c>
      <c r="E1753" s="11"/>
      <c r="F1753" s="11" t="s">
        <v>18</v>
      </c>
      <c r="G1753" s="13"/>
      <c r="H1753" s="45" t="s">
        <v>16</v>
      </c>
      <c r="I1753" s="47"/>
      <c r="J1753" s="12" t="s">
        <v>1422</v>
      </c>
      <c r="K1753" s="13" t="s">
        <v>8523</v>
      </c>
      <c r="L1753" s="99" t="str">
        <f t="shared" si="135"/>
        <v>W1268.8</v>
      </c>
      <c r="M1753" s="45"/>
      <c r="N1753" s="47"/>
      <c r="O1753" s="47"/>
      <c r="P1753" s="47"/>
      <c r="Q1753" s="45"/>
      <c r="R1753" s="45"/>
      <c r="S1753" s="48"/>
    </row>
    <row r="1754" spans="1:19" s="49" customFormat="1" ht="14.15" customHeight="1">
      <c r="A1754" s="45"/>
      <c r="B1754" s="44" t="s">
        <v>6637</v>
      </c>
      <c r="C1754" s="50"/>
      <c r="D1754" s="10" t="s">
        <v>29</v>
      </c>
      <c r="E1754" s="11"/>
      <c r="F1754" s="11" t="s">
        <v>18</v>
      </c>
      <c r="G1754" s="13"/>
      <c r="H1754" s="45" t="s">
        <v>16</v>
      </c>
      <c r="I1754" s="47"/>
      <c r="J1754" s="12" t="s">
        <v>1423</v>
      </c>
      <c r="K1754" s="13" t="s">
        <v>8524</v>
      </c>
      <c r="L1754" s="99" t="str">
        <f t="shared" si="135"/>
        <v>W1268.9</v>
      </c>
      <c r="M1754" s="45"/>
      <c r="N1754" s="47"/>
      <c r="O1754" s="47"/>
      <c r="P1754" s="47"/>
      <c r="Q1754" s="45"/>
      <c r="R1754" s="45"/>
      <c r="S1754" s="48"/>
    </row>
    <row r="1755" spans="1:19" s="49" customFormat="1" ht="14.15" customHeight="1">
      <c r="A1755" s="45"/>
      <c r="B1755" s="44" t="s">
        <v>6637</v>
      </c>
      <c r="C1755" s="50"/>
      <c r="D1755" s="10" t="s">
        <v>29</v>
      </c>
      <c r="E1755" s="11"/>
      <c r="F1755" s="11" t="s">
        <v>18</v>
      </c>
      <c r="G1755" s="13"/>
      <c r="H1755" s="45" t="s">
        <v>16</v>
      </c>
      <c r="I1755" s="47"/>
      <c r="J1755" s="12" t="s">
        <v>1424</v>
      </c>
      <c r="K1755" s="13" t="s">
        <v>8525</v>
      </c>
      <c r="L1755" s="99" t="str">
        <f t="shared" si="135"/>
        <v>W1268.A</v>
      </c>
      <c r="M1755" s="45"/>
      <c r="N1755" s="47"/>
      <c r="O1755" s="47"/>
      <c r="P1755" s="47"/>
      <c r="Q1755" s="45"/>
      <c r="R1755" s="45"/>
      <c r="S1755" s="48"/>
    </row>
    <row r="1756" spans="1:19" s="49" customFormat="1" ht="14.15" customHeight="1">
      <c r="A1756" s="45"/>
      <c r="B1756" s="44" t="s">
        <v>6637</v>
      </c>
      <c r="C1756" s="50"/>
      <c r="D1756" s="10" t="s">
        <v>29</v>
      </c>
      <c r="E1756" s="11"/>
      <c r="F1756" s="11" t="s">
        <v>18</v>
      </c>
      <c r="G1756" s="13"/>
      <c r="H1756" s="45" t="s">
        <v>16</v>
      </c>
      <c r="I1756" s="47"/>
      <c r="J1756" s="12" t="s">
        <v>1425</v>
      </c>
      <c r="K1756" s="13" t="s">
        <v>8526</v>
      </c>
      <c r="L1756" s="99" t="str">
        <f t="shared" si="135"/>
        <v>W1268.B</v>
      </c>
      <c r="M1756" s="45"/>
      <c r="N1756" s="47"/>
      <c r="O1756" s="47"/>
      <c r="P1756" s="47"/>
      <c r="Q1756" s="45"/>
      <c r="R1756" s="45"/>
      <c r="S1756" s="48"/>
    </row>
    <row r="1757" spans="1:19" s="49" customFormat="1" ht="14.15" customHeight="1">
      <c r="A1757" s="45"/>
      <c r="B1757" s="44" t="s">
        <v>6637</v>
      </c>
      <c r="C1757" s="50"/>
      <c r="D1757" s="10" t="s">
        <v>29</v>
      </c>
      <c r="E1757" s="11"/>
      <c r="F1757" s="11" t="s">
        <v>18</v>
      </c>
      <c r="G1757" s="13"/>
      <c r="H1757" s="45" t="s">
        <v>16</v>
      </c>
      <c r="I1757" s="47"/>
      <c r="J1757" s="12" t="s">
        <v>1426</v>
      </c>
      <c r="K1757" s="13" t="s">
        <v>8527</v>
      </c>
      <c r="L1757" s="99" t="str">
        <f t="shared" si="135"/>
        <v>W1268.C</v>
      </c>
      <c r="M1757" s="45"/>
      <c r="N1757" s="47"/>
      <c r="O1757" s="47"/>
      <c r="P1757" s="47"/>
      <c r="Q1757" s="45"/>
      <c r="R1757" s="45"/>
      <c r="S1757" s="48"/>
    </row>
    <row r="1758" spans="1:19" s="49" customFormat="1" ht="14.15" customHeight="1">
      <c r="A1758" s="45"/>
      <c r="B1758" s="44" t="s">
        <v>6637</v>
      </c>
      <c r="C1758" s="50"/>
      <c r="D1758" s="10" t="s">
        <v>29</v>
      </c>
      <c r="E1758" s="11"/>
      <c r="F1758" s="11" t="s">
        <v>18</v>
      </c>
      <c r="G1758" s="13"/>
      <c r="H1758" s="45" t="s">
        <v>16</v>
      </c>
      <c r="I1758" s="47"/>
      <c r="J1758" s="12" t="s">
        <v>1427</v>
      </c>
      <c r="K1758" s="13" t="s">
        <v>8528</v>
      </c>
      <c r="L1758" s="99" t="str">
        <f t="shared" si="135"/>
        <v>W1268.D</v>
      </c>
      <c r="M1758" s="45"/>
      <c r="N1758" s="47"/>
      <c r="O1758" s="47"/>
      <c r="P1758" s="47"/>
      <c r="Q1758" s="45"/>
      <c r="R1758" s="45"/>
      <c r="S1758" s="48"/>
    </row>
    <row r="1759" spans="1:19" s="49" customFormat="1" ht="14.15" customHeight="1">
      <c r="A1759" s="45"/>
      <c r="B1759" s="44" t="s">
        <v>6637</v>
      </c>
      <c r="C1759" s="50"/>
      <c r="D1759" s="10" t="s">
        <v>29</v>
      </c>
      <c r="E1759" s="11"/>
      <c r="F1759" s="11" t="s">
        <v>18</v>
      </c>
      <c r="G1759" s="13"/>
      <c r="H1759" s="45" t="s">
        <v>16</v>
      </c>
      <c r="I1759" s="47"/>
      <c r="J1759" s="12" t="s">
        <v>1428</v>
      </c>
      <c r="K1759" s="13" t="s">
        <v>8529</v>
      </c>
      <c r="L1759" s="99" t="str">
        <f t="shared" si="135"/>
        <v>W1268.E</v>
      </c>
      <c r="M1759" s="45"/>
      <c r="N1759" s="47"/>
      <c r="O1759" s="47"/>
      <c r="P1759" s="47"/>
      <c r="Q1759" s="45"/>
      <c r="R1759" s="45"/>
      <c r="S1759" s="48"/>
    </row>
    <row r="1760" spans="1:19" s="49" customFormat="1" ht="14.15" customHeight="1">
      <c r="A1760" s="45"/>
      <c r="B1760" s="44" t="s">
        <v>6637</v>
      </c>
      <c r="C1760" s="50"/>
      <c r="D1760" s="10" t="s">
        <v>29</v>
      </c>
      <c r="E1760" s="11"/>
      <c r="F1760" s="11" t="s">
        <v>18</v>
      </c>
      <c r="G1760" s="13"/>
      <c r="H1760" s="45" t="s">
        <v>16</v>
      </c>
      <c r="I1760" s="47"/>
      <c r="J1760" s="12" t="s">
        <v>1429</v>
      </c>
      <c r="K1760" s="13" t="s">
        <v>8530</v>
      </c>
      <c r="L1760" s="99" t="str">
        <f t="shared" si="135"/>
        <v>W1268.F</v>
      </c>
      <c r="M1760" s="45"/>
      <c r="N1760" s="47"/>
      <c r="O1760" s="47"/>
      <c r="P1760" s="47"/>
      <c r="Q1760" s="45"/>
      <c r="R1760" s="45"/>
      <c r="S1760" s="48"/>
    </row>
    <row r="1761" spans="1:19" s="49" customFormat="1" ht="14.15" customHeight="1">
      <c r="A1761" s="45"/>
      <c r="B1761" s="44" t="s">
        <v>6637</v>
      </c>
      <c r="C1761" s="50"/>
      <c r="D1761" s="10" t="s">
        <v>29</v>
      </c>
      <c r="E1761" s="11"/>
      <c r="F1761" s="11" t="s">
        <v>18</v>
      </c>
      <c r="G1761" s="13"/>
      <c r="H1761" s="45" t="s">
        <v>16</v>
      </c>
      <c r="I1761" s="47"/>
      <c r="J1761" s="12" t="s">
        <v>1400</v>
      </c>
      <c r="K1761" s="13" t="s">
        <v>8531</v>
      </c>
      <c r="L1761" s="99" t="str">
        <f t="shared" si="135"/>
        <v>W1269.0</v>
      </c>
      <c r="M1761" s="45"/>
      <c r="N1761" s="47"/>
      <c r="O1761" s="47"/>
      <c r="P1761" s="47"/>
      <c r="Q1761" s="45"/>
      <c r="R1761" s="45"/>
      <c r="S1761" s="48"/>
    </row>
    <row r="1762" spans="1:19" s="49" customFormat="1" ht="14.15" customHeight="1">
      <c r="A1762" s="45"/>
      <c r="B1762" s="44" t="s">
        <v>6637</v>
      </c>
      <c r="C1762" s="50"/>
      <c r="D1762" s="10" t="s">
        <v>29</v>
      </c>
      <c r="E1762" s="11"/>
      <c r="F1762" s="11" t="s">
        <v>18</v>
      </c>
      <c r="G1762" s="13"/>
      <c r="H1762" s="45" t="s">
        <v>16</v>
      </c>
      <c r="I1762" s="47"/>
      <c r="J1762" s="12" t="s">
        <v>1431</v>
      </c>
      <c r="K1762" s="13" t="s">
        <v>8532</v>
      </c>
      <c r="L1762" s="99" t="str">
        <f t="shared" si="135"/>
        <v>W1269.1</v>
      </c>
      <c r="M1762" s="45"/>
      <c r="N1762" s="47"/>
      <c r="O1762" s="47"/>
      <c r="P1762" s="47"/>
      <c r="Q1762" s="45"/>
      <c r="R1762" s="45"/>
      <c r="S1762" s="48"/>
    </row>
    <row r="1763" spans="1:19" s="49" customFormat="1" ht="14.15" customHeight="1">
      <c r="A1763" s="45"/>
      <c r="B1763" s="44" t="s">
        <v>6637</v>
      </c>
      <c r="C1763" s="50"/>
      <c r="D1763" s="10" t="s">
        <v>29</v>
      </c>
      <c r="E1763" s="11"/>
      <c r="F1763" s="11" t="s">
        <v>18</v>
      </c>
      <c r="G1763" s="13"/>
      <c r="H1763" s="45" t="s">
        <v>16</v>
      </c>
      <c r="I1763" s="47"/>
      <c r="J1763" s="12" t="s">
        <v>1432</v>
      </c>
      <c r="K1763" s="13" t="s">
        <v>8533</v>
      </c>
      <c r="L1763" s="99" t="str">
        <f t="shared" si="135"/>
        <v>W1269.2</v>
      </c>
      <c r="M1763" s="45"/>
      <c r="N1763" s="47"/>
      <c r="O1763" s="47"/>
      <c r="P1763" s="47"/>
      <c r="Q1763" s="45"/>
      <c r="R1763" s="45"/>
      <c r="S1763" s="48"/>
    </row>
    <row r="1764" spans="1:19" s="49" customFormat="1" ht="14.15" customHeight="1">
      <c r="A1764" s="45"/>
      <c r="B1764" s="44" t="s">
        <v>6637</v>
      </c>
      <c r="C1764" s="50"/>
      <c r="D1764" s="10" t="s">
        <v>29</v>
      </c>
      <c r="E1764" s="11"/>
      <c r="F1764" s="11" t="s">
        <v>18</v>
      </c>
      <c r="G1764" s="13"/>
      <c r="H1764" s="45" t="s">
        <v>16</v>
      </c>
      <c r="I1764" s="47"/>
      <c r="J1764" s="12" t="s">
        <v>1433</v>
      </c>
      <c r="K1764" s="13" t="s">
        <v>8534</v>
      </c>
      <c r="L1764" s="99" t="str">
        <f t="shared" si="135"/>
        <v>W1269.3</v>
      </c>
      <c r="M1764" s="45"/>
      <c r="N1764" s="47"/>
      <c r="O1764" s="47"/>
      <c r="P1764" s="47"/>
      <c r="Q1764" s="45"/>
      <c r="R1764" s="45"/>
      <c r="S1764" s="48"/>
    </row>
    <row r="1765" spans="1:19" s="49" customFormat="1" ht="14.15" customHeight="1">
      <c r="A1765" s="45"/>
      <c r="B1765" s="44" t="s">
        <v>6637</v>
      </c>
      <c r="C1765" s="50"/>
      <c r="D1765" s="10" t="s">
        <v>29</v>
      </c>
      <c r="E1765" s="11"/>
      <c r="F1765" s="11" t="s">
        <v>18</v>
      </c>
      <c r="G1765" s="13"/>
      <c r="H1765" s="45" t="s">
        <v>16</v>
      </c>
      <c r="I1765" s="47"/>
      <c r="J1765" s="12" t="s">
        <v>1434</v>
      </c>
      <c r="K1765" s="13" t="s">
        <v>8535</v>
      </c>
      <c r="L1765" s="99" t="str">
        <f t="shared" si="135"/>
        <v>W1269.4</v>
      </c>
      <c r="M1765" s="45"/>
      <c r="N1765" s="47"/>
      <c r="O1765" s="47"/>
      <c r="P1765" s="47"/>
      <c r="Q1765" s="45"/>
      <c r="R1765" s="45"/>
      <c r="S1765" s="48"/>
    </row>
    <row r="1766" spans="1:19" s="49" customFormat="1" ht="14.15" customHeight="1">
      <c r="A1766" s="45"/>
      <c r="B1766" s="44" t="s">
        <v>6637</v>
      </c>
      <c r="C1766" s="50"/>
      <c r="D1766" s="10" t="s">
        <v>29</v>
      </c>
      <c r="E1766" s="11"/>
      <c r="F1766" s="11" t="s">
        <v>18</v>
      </c>
      <c r="G1766" s="13"/>
      <c r="H1766" s="45" t="s">
        <v>16</v>
      </c>
      <c r="I1766" s="47"/>
      <c r="J1766" s="12" t="s">
        <v>1435</v>
      </c>
      <c r="K1766" s="13" t="s">
        <v>8536</v>
      </c>
      <c r="L1766" s="99" t="str">
        <f t="shared" si="135"/>
        <v>W1269.5</v>
      </c>
      <c r="M1766" s="45"/>
      <c r="N1766" s="47"/>
      <c r="O1766" s="47"/>
      <c r="P1766" s="47"/>
      <c r="Q1766" s="45"/>
      <c r="R1766" s="45"/>
      <c r="S1766" s="48"/>
    </row>
    <row r="1767" spans="1:19" s="49" customFormat="1" ht="14.15" customHeight="1">
      <c r="A1767" s="45"/>
      <c r="B1767" s="44" t="s">
        <v>6637</v>
      </c>
      <c r="C1767" s="50"/>
      <c r="D1767" s="10" t="s">
        <v>29</v>
      </c>
      <c r="E1767" s="11"/>
      <c r="F1767" s="11" t="s">
        <v>18</v>
      </c>
      <c r="G1767" s="13"/>
      <c r="H1767" s="45" t="s">
        <v>16</v>
      </c>
      <c r="I1767" s="47"/>
      <c r="J1767" s="12" t="s">
        <v>1436</v>
      </c>
      <c r="K1767" s="13" t="s">
        <v>8537</v>
      </c>
      <c r="L1767" s="99" t="str">
        <f t="shared" si="135"/>
        <v>W1269.6</v>
      </c>
      <c r="M1767" s="45"/>
      <c r="N1767" s="47"/>
      <c r="O1767" s="47"/>
      <c r="P1767" s="47"/>
      <c r="Q1767" s="45"/>
      <c r="R1767" s="45"/>
      <c r="S1767" s="48"/>
    </row>
    <row r="1768" spans="1:19" s="49" customFormat="1" ht="14.15" customHeight="1">
      <c r="A1768" s="45"/>
      <c r="B1768" s="44" t="s">
        <v>6637</v>
      </c>
      <c r="C1768" s="50"/>
      <c r="D1768" s="10" t="s">
        <v>29</v>
      </c>
      <c r="E1768" s="11"/>
      <c r="F1768" s="11" t="s">
        <v>18</v>
      </c>
      <c r="G1768" s="13"/>
      <c r="H1768" s="45" t="s">
        <v>16</v>
      </c>
      <c r="I1768" s="47"/>
      <c r="J1768" s="12" t="s">
        <v>1437</v>
      </c>
      <c r="K1768" s="13" t="s">
        <v>8538</v>
      </c>
      <c r="L1768" s="99" t="str">
        <f t="shared" si="135"/>
        <v>W1269.7</v>
      </c>
      <c r="M1768" s="45"/>
      <c r="N1768" s="47"/>
      <c r="O1768" s="47"/>
      <c r="P1768" s="47"/>
      <c r="Q1768" s="45"/>
      <c r="R1768" s="45"/>
      <c r="S1768" s="48"/>
    </row>
    <row r="1769" spans="1:19" s="49" customFormat="1" ht="14.15" customHeight="1">
      <c r="A1769" s="45"/>
      <c r="B1769" s="44" t="s">
        <v>6637</v>
      </c>
      <c r="C1769" s="50"/>
      <c r="D1769" s="10" t="s">
        <v>29</v>
      </c>
      <c r="E1769" s="11"/>
      <c r="F1769" s="11" t="s">
        <v>18</v>
      </c>
      <c r="G1769" s="13"/>
      <c r="H1769" s="45" t="s">
        <v>16</v>
      </c>
      <c r="I1769" s="47"/>
      <c r="J1769" s="12" t="s">
        <v>1438</v>
      </c>
      <c r="K1769" s="13" t="s">
        <v>8539</v>
      </c>
      <c r="L1769" s="99" t="str">
        <f t="shared" si="135"/>
        <v>W1269.8</v>
      </c>
      <c r="M1769" s="45"/>
      <c r="N1769" s="47"/>
      <c r="O1769" s="47"/>
      <c r="P1769" s="47"/>
      <c r="Q1769" s="45"/>
      <c r="R1769" s="45"/>
      <c r="S1769" s="48"/>
    </row>
    <row r="1770" spans="1:19" s="49" customFormat="1" ht="14.15" customHeight="1">
      <c r="A1770" s="43" t="s">
        <v>3732</v>
      </c>
      <c r="B1770" s="44" t="s">
        <v>6637</v>
      </c>
      <c r="C1770" s="50"/>
      <c r="D1770" s="10" t="s">
        <v>29</v>
      </c>
      <c r="E1770" s="11"/>
      <c r="F1770" s="11" t="s">
        <v>18</v>
      </c>
      <c r="G1770" s="13"/>
      <c r="H1770" s="45" t="s">
        <v>16</v>
      </c>
      <c r="I1770" s="47"/>
      <c r="J1770" s="12" t="s">
        <v>3601</v>
      </c>
      <c r="K1770" s="13" t="s">
        <v>8540</v>
      </c>
      <c r="L1770" s="99" t="str">
        <f t="shared" si="135"/>
        <v>W1269.9</v>
      </c>
      <c r="M1770" s="13" t="s">
        <v>3667</v>
      </c>
      <c r="N1770" s="47"/>
      <c r="O1770" s="47"/>
      <c r="P1770" s="47"/>
      <c r="Q1770" s="45"/>
      <c r="R1770" s="45"/>
      <c r="S1770" s="48"/>
    </row>
    <row r="1771" spans="1:19" s="49" customFormat="1" ht="14.15" customHeight="1">
      <c r="A1771" s="43" t="s">
        <v>3732</v>
      </c>
      <c r="B1771" s="44" t="s">
        <v>6637</v>
      </c>
      <c r="C1771" s="50"/>
      <c r="D1771" s="10" t="s">
        <v>29</v>
      </c>
      <c r="E1771" s="11"/>
      <c r="F1771" s="11" t="s">
        <v>18</v>
      </c>
      <c r="G1771" s="13"/>
      <c r="H1771" s="45" t="s">
        <v>16</v>
      </c>
      <c r="I1771" s="47"/>
      <c r="J1771" s="12" t="s">
        <v>3602</v>
      </c>
      <c r="K1771" s="13" t="s">
        <v>8541</v>
      </c>
      <c r="L1771" s="99" t="str">
        <f t="shared" si="135"/>
        <v>W1269.A</v>
      </c>
      <c r="M1771" s="13" t="s">
        <v>3667</v>
      </c>
      <c r="N1771" s="47"/>
      <c r="O1771" s="47"/>
      <c r="P1771" s="47"/>
      <c r="Q1771" s="45"/>
      <c r="R1771" s="45"/>
      <c r="S1771" s="48"/>
    </row>
    <row r="1772" spans="1:19" s="49" customFormat="1" ht="14.15" customHeight="1">
      <c r="A1772" s="43" t="s">
        <v>3732</v>
      </c>
      <c r="B1772" s="44" t="s">
        <v>6637</v>
      </c>
      <c r="C1772" s="50"/>
      <c r="D1772" s="10" t="s">
        <v>29</v>
      </c>
      <c r="E1772" s="11"/>
      <c r="F1772" s="11" t="s">
        <v>18</v>
      </c>
      <c r="G1772" s="13"/>
      <c r="H1772" s="45" t="s">
        <v>16</v>
      </c>
      <c r="I1772" s="47"/>
      <c r="J1772" s="12" t="s">
        <v>3603</v>
      </c>
      <c r="K1772" s="13" t="s">
        <v>8542</v>
      </c>
      <c r="L1772" s="99" t="str">
        <f t="shared" si="135"/>
        <v>W1269.B</v>
      </c>
      <c r="M1772" s="13" t="s">
        <v>3667</v>
      </c>
      <c r="N1772" s="47"/>
      <c r="O1772" s="47"/>
      <c r="P1772" s="47"/>
      <c r="Q1772" s="45"/>
      <c r="R1772" s="45"/>
      <c r="S1772" s="48"/>
    </row>
    <row r="1773" spans="1:19" s="49" customFormat="1" ht="14.15" customHeight="1">
      <c r="A1773" s="45"/>
      <c r="B1773" s="44" t="s">
        <v>6637</v>
      </c>
      <c r="C1773" s="50"/>
      <c r="D1773" s="10" t="s">
        <v>29</v>
      </c>
      <c r="E1773" s="11"/>
      <c r="F1773" s="11" t="s">
        <v>18</v>
      </c>
      <c r="G1773" s="13"/>
      <c r="H1773" s="45" t="s">
        <v>16</v>
      </c>
      <c r="I1773" s="47"/>
      <c r="J1773" s="12" t="s">
        <v>1442</v>
      </c>
      <c r="K1773" s="13" t="s">
        <v>8543</v>
      </c>
      <c r="L1773" s="99" t="str">
        <f t="shared" si="135"/>
        <v>W1269.C</v>
      </c>
      <c r="M1773" s="45"/>
      <c r="N1773" s="47"/>
      <c r="O1773" s="47"/>
      <c r="P1773" s="47"/>
      <c r="Q1773" s="45"/>
      <c r="R1773" s="45"/>
      <c r="S1773" s="48"/>
    </row>
    <row r="1774" spans="1:19" s="49" customFormat="1" ht="14.15" customHeight="1">
      <c r="A1774" s="43" t="s">
        <v>3732</v>
      </c>
      <c r="B1774" s="44" t="s">
        <v>6637</v>
      </c>
      <c r="C1774" s="50"/>
      <c r="D1774" s="10" t="s">
        <v>29</v>
      </c>
      <c r="E1774" s="11"/>
      <c r="F1774" s="11" t="s">
        <v>18</v>
      </c>
      <c r="G1774" s="13"/>
      <c r="H1774" s="45" t="s">
        <v>16</v>
      </c>
      <c r="I1774" s="47"/>
      <c r="J1774" s="12" t="s">
        <v>3604</v>
      </c>
      <c r="K1774" s="13" t="s">
        <v>8544</v>
      </c>
      <c r="L1774" s="99" t="str">
        <f t="shared" si="135"/>
        <v>W1269.D</v>
      </c>
      <c r="M1774" s="13" t="s">
        <v>3667</v>
      </c>
      <c r="N1774" s="47"/>
      <c r="O1774" s="47"/>
      <c r="P1774" s="47"/>
      <c r="Q1774" s="45"/>
      <c r="R1774" s="45"/>
      <c r="S1774" s="48"/>
    </row>
    <row r="1775" spans="1:19" s="49" customFormat="1" ht="14.15" customHeight="1">
      <c r="A1775" s="45"/>
      <c r="B1775" s="44" t="s">
        <v>6637</v>
      </c>
      <c r="C1775" s="50"/>
      <c r="D1775" s="10" t="s">
        <v>29</v>
      </c>
      <c r="E1775" s="11"/>
      <c r="F1775" s="11" t="s">
        <v>18</v>
      </c>
      <c r="G1775" s="13"/>
      <c r="H1775" s="45" t="s">
        <v>16</v>
      </c>
      <c r="I1775" s="47"/>
      <c r="J1775" s="12" t="s">
        <v>1444</v>
      </c>
      <c r="K1775" s="13" t="s">
        <v>8545</v>
      </c>
      <c r="L1775" s="99" t="str">
        <f t="shared" si="135"/>
        <v>W1269.E</v>
      </c>
      <c r="M1775" s="45"/>
      <c r="N1775" s="47"/>
      <c r="O1775" s="47"/>
      <c r="P1775" s="47"/>
      <c r="Q1775" s="45"/>
      <c r="R1775" s="45"/>
      <c r="S1775" s="48"/>
    </row>
    <row r="1776" spans="1:19" s="49" customFormat="1" ht="14.15" customHeight="1">
      <c r="A1776" s="45"/>
      <c r="B1776" s="44" t="s">
        <v>6637</v>
      </c>
      <c r="C1776" s="50"/>
      <c r="D1776" s="10" t="s">
        <v>29</v>
      </c>
      <c r="E1776" s="11"/>
      <c r="F1776" s="11" t="s">
        <v>18</v>
      </c>
      <c r="G1776" s="13"/>
      <c r="H1776" s="45" t="s">
        <v>16</v>
      </c>
      <c r="I1776" s="47"/>
      <c r="J1776" s="12" t="s">
        <v>1445</v>
      </c>
      <c r="K1776" s="13" t="s">
        <v>8546</v>
      </c>
      <c r="L1776" s="99" t="str">
        <f t="shared" si="135"/>
        <v>W1269.F</v>
      </c>
      <c r="M1776" s="45"/>
      <c r="N1776" s="47"/>
      <c r="O1776" s="47"/>
      <c r="P1776" s="47"/>
      <c r="Q1776" s="45"/>
      <c r="R1776" s="45"/>
      <c r="S1776" s="48"/>
    </row>
    <row r="1777" spans="1:19" s="49" customFormat="1" ht="14.15" customHeight="1">
      <c r="A1777" s="45"/>
      <c r="B1777" s="44" t="s">
        <v>6637</v>
      </c>
      <c r="C1777" s="50"/>
      <c r="D1777" s="10" t="s">
        <v>29</v>
      </c>
      <c r="E1777" s="11"/>
      <c r="F1777" s="11" t="s">
        <v>18</v>
      </c>
      <c r="G1777" s="13"/>
      <c r="H1777" s="45" t="s">
        <v>16</v>
      </c>
      <c r="I1777" s="47"/>
      <c r="J1777" s="12" t="s">
        <v>1446</v>
      </c>
      <c r="K1777" s="13" t="s">
        <v>8547</v>
      </c>
      <c r="L1777" s="99" t="str">
        <f t="shared" si="135"/>
        <v>W126A.0</v>
      </c>
      <c r="M1777" s="45"/>
      <c r="N1777" s="47"/>
      <c r="O1777" s="47"/>
      <c r="P1777" s="47"/>
      <c r="Q1777" s="45"/>
      <c r="R1777" s="45"/>
      <c r="S1777" s="48"/>
    </row>
    <row r="1778" spans="1:19" s="49" customFormat="1" ht="14.15" customHeight="1">
      <c r="A1778" s="45"/>
      <c r="B1778" s="44" t="s">
        <v>6637</v>
      </c>
      <c r="C1778" s="50"/>
      <c r="D1778" s="10" t="s">
        <v>29</v>
      </c>
      <c r="E1778" s="11"/>
      <c r="F1778" s="11" t="s">
        <v>18</v>
      </c>
      <c r="G1778" s="13"/>
      <c r="H1778" s="45" t="s">
        <v>16</v>
      </c>
      <c r="I1778" s="47"/>
      <c r="J1778" s="12" t="s">
        <v>1447</v>
      </c>
      <c r="K1778" s="13" t="s">
        <v>8548</v>
      </c>
      <c r="L1778" s="99" t="str">
        <f t="shared" si="135"/>
        <v>W126A.1</v>
      </c>
      <c r="M1778" s="45"/>
      <c r="N1778" s="47"/>
      <c r="O1778" s="47"/>
      <c r="P1778" s="47"/>
      <c r="Q1778" s="45"/>
      <c r="R1778" s="45"/>
      <c r="S1778" s="48"/>
    </row>
    <row r="1779" spans="1:19" s="49" customFormat="1" ht="14.15" customHeight="1">
      <c r="A1779" s="43" t="s">
        <v>3732</v>
      </c>
      <c r="B1779" s="44" t="s">
        <v>6637</v>
      </c>
      <c r="C1779" s="50"/>
      <c r="D1779" s="10" t="s">
        <v>29</v>
      </c>
      <c r="E1779" s="11"/>
      <c r="F1779" s="11" t="s">
        <v>18</v>
      </c>
      <c r="G1779" s="13"/>
      <c r="H1779" s="45" t="s">
        <v>16</v>
      </c>
      <c r="I1779" s="47"/>
      <c r="J1779" s="12" t="s">
        <v>3605</v>
      </c>
      <c r="K1779" s="13" t="s">
        <v>8549</v>
      </c>
      <c r="L1779" s="99" t="str">
        <f t="shared" si="135"/>
        <v>W126A.2</v>
      </c>
      <c r="M1779" s="13" t="s">
        <v>3667</v>
      </c>
      <c r="N1779" s="47"/>
      <c r="O1779" s="47"/>
      <c r="P1779" s="47"/>
      <c r="Q1779" s="45"/>
      <c r="R1779" s="45"/>
      <c r="S1779" s="48"/>
    </row>
    <row r="1780" spans="1:19" s="49" customFormat="1" ht="14.15" customHeight="1">
      <c r="A1780" s="45"/>
      <c r="B1780" s="44" t="s">
        <v>6637</v>
      </c>
      <c r="C1780" s="50"/>
      <c r="D1780" s="10" t="s">
        <v>29</v>
      </c>
      <c r="E1780" s="11"/>
      <c r="F1780" s="11" t="s">
        <v>18</v>
      </c>
      <c r="G1780" s="13"/>
      <c r="H1780" s="45" t="s">
        <v>16</v>
      </c>
      <c r="I1780" s="47"/>
      <c r="J1780" s="12" t="s">
        <v>1449</v>
      </c>
      <c r="K1780" s="13" t="s">
        <v>8550</v>
      </c>
      <c r="L1780" s="99" t="str">
        <f t="shared" si="135"/>
        <v>W126A.3</v>
      </c>
      <c r="M1780" s="45"/>
      <c r="N1780" s="47"/>
      <c r="O1780" s="47"/>
      <c r="P1780" s="47"/>
      <c r="Q1780" s="45"/>
      <c r="R1780" s="45"/>
      <c r="S1780" s="48"/>
    </row>
    <row r="1781" spans="1:19" s="49" customFormat="1" ht="14.15" customHeight="1">
      <c r="A1781" s="45"/>
      <c r="B1781" s="44" t="s">
        <v>6637</v>
      </c>
      <c r="C1781" s="50"/>
      <c r="D1781" s="10" t="s">
        <v>29</v>
      </c>
      <c r="E1781" s="11"/>
      <c r="F1781" s="11" t="s">
        <v>18</v>
      </c>
      <c r="G1781" s="13"/>
      <c r="H1781" s="45" t="s">
        <v>16</v>
      </c>
      <c r="I1781" s="47"/>
      <c r="J1781" s="12" t="s">
        <v>1450</v>
      </c>
      <c r="K1781" s="13" t="s">
        <v>8551</v>
      </c>
      <c r="L1781" s="99" t="str">
        <f t="shared" si="135"/>
        <v>W126A.4</v>
      </c>
      <c r="M1781" s="45"/>
      <c r="N1781" s="47"/>
      <c r="O1781" s="47"/>
      <c r="P1781" s="47"/>
      <c r="Q1781" s="45"/>
      <c r="R1781" s="45"/>
      <c r="S1781" s="48"/>
    </row>
    <row r="1782" spans="1:19" s="49" customFormat="1" ht="14.15" customHeight="1">
      <c r="A1782" s="45"/>
      <c r="B1782" s="44" t="s">
        <v>6637</v>
      </c>
      <c r="C1782" s="50"/>
      <c r="D1782" s="10" t="s">
        <v>29</v>
      </c>
      <c r="E1782" s="11"/>
      <c r="F1782" s="11" t="s">
        <v>18</v>
      </c>
      <c r="G1782" s="13"/>
      <c r="H1782" s="45" t="s">
        <v>16</v>
      </c>
      <c r="I1782" s="47"/>
      <c r="J1782" s="12" t="s">
        <v>1451</v>
      </c>
      <c r="K1782" s="13" t="s">
        <v>8552</v>
      </c>
      <c r="L1782" s="99" t="str">
        <f t="shared" si="135"/>
        <v>W126A.5</v>
      </c>
      <c r="M1782" s="45"/>
      <c r="N1782" s="47"/>
      <c r="O1782" s="47"/>
      <c r="P1782" s="47"/>
      <c r="Q1782" s="45"/>
      <c r="R1782" s="45"/>
      <c r="S1782" s="48"/>
    </row>
    <row r="1783" spans="1:19" s="49" customFormat="1" ht="14.15" customHeight="1">
      <c r="A1783" s="45"/>
      <c r="B1783" s="44" t="s">
        <v>6637</v>
      </c>
      <c r="C1783" s="50"/>
      <c r="D1783" s="10" t="s">
        <v>29</v>
      </c>
      <c r="E1783" s="11"/>
      <c r="F1783" s="11" t="s">
        <v>18</v>
      </c>
      <c r="G1783" s="13"/>
      <c r="H1783" s="45" t="s">
        <v>16</v>
      </c>
      <c r="I1783" s="47"/>
      <c r="J1783" s="12" t="s">
        <v>1452</v>
      </c>
      <c r="K1783" s="13" t="s">
        <v>8553</v>
      </c>
      <c r="L1783" s="99" t="str">
        <f t="shared" si="135"/>
        <v>W126A.6</v>
      </c>
      <c r="M1783" s="45"/>
      <c r="N1783" s="47"/>
      <c r="O1783" s="47"/>
      <c r="P1783" s="47"/>
      <c r="Q1783" s="45"/>
      <c r="R1783" s="45"/>
      <c r="S1783" s="48"/>
    </row>
    <row r="1784" spans="1:19" s="49" customFormat="1" ht="14.15" customHeight="1">
      <c r="A1784" s="45"/>
      <c r="B1784" s="44" t="s">
        <v>6637</v>
      </c>
      <c r="C1784" s="50"/>
      <c r="D1784" s="10" t="s">
        <v>29</v>
      </c>
      <c r="E1784" s="11"/>
      <c r="F1784" s="11" t="s">
        <v>18</v>
      </c>
      <c r="G1784" s="13"/>
      <c r="H1784" s="45" t="s">
        <v>16</v>
      </c>
      <c r="I1784" s="47"/>
      <c r="J1784" s="12" t="s">
        <v>1453</v>
      </c>
      <c r="K1784" s="13" t="s">
        <v>8554</v>
      </c>
      <c r="L1784" s="99" t="str">
        <f t="shared" si="135"/>
        <v>W126A.7</v>
      </c>
      <c r="M1784" s="45"/>
      <c r="N1784" s="47"/>
      <c r="O1784" s="47"/>
      <c r="P1784" s="47"/>
      <c r="Q1784" s="45"/>
      <c r="R1784" s="45"/>
      <c r="S1784" s="48"/>
    </row>
    <row r="1785" spans="1:19" s="49" customFormat="1" ht="14.15" customHeight="1">
      <c r="A1785" s="45"/>
      <c r="B1785" s="44" t="s">
        <v>6637</v>
      </c>
      <c r="C1785" s="50"/>
      <c r="D1785" s="10" t="s">
        <v>29</v>
      </c>
      <c r="E1785" s="11"/>
      <c r="F1785" s="11" t="s">
        <v>18</v>
      </c>
      <c r="G1785" s="13"/>
      <c r="H1785" s="45" t="s">
        <v>16</v>
      </c>
      <c r="I1785" s="47"/>
      <c r="J1785" s="12" t="s">
        <v>1454</v>
      </c>
      <c r="K1785" s="13" t="s">
        <v>8555</v>
      </c>
      <c r="L1785" s="99" t="str">
        <f t="shared" si="135"/>
        <v>W126A.8</v>
      </c>
      <c r="M1785" s="45"/>
      <c r="N1785" s="47"/>
      <c r="O1785" s="47"/>
      <c r="P1785" s="47"/>
      <c r="Q1785" s="45"/>
      <c r="R1785" s="45"/>
      <c r="S1785" s="48"/>
    </row>
    <row r="1786" spans="1:19" s="49" customFormat="1" ht="14.15" customHeight="1">
      <c r="A1786" s="45"/>
      <c r="B1786" s="44" t="s">
        <v>6637</v>
      </c>
      <c r="C1786" s="50"/>
      <c r="D1786" s="10" t="s">
        <v>29</v>
      </c>
      <c r="E1786" s="11"/>
      <c r="F1786" s="11" t="s">
        <v>18</v>
      </c>
      <c r="G1786" s="13"/>
      <c r="H1786" s="45" t="s">
        <v>16</v>
      </c>
      <c r="I1786" s="47"/>
      <c r="J1786" s="12" t="s">
        <v>1455</v>
      </c>
      <c r="K1786" s="13" t="s">
        <v>8556</v>
      </c>
      <c r="L1786" s="99" t="str">
        <f t="shared" si="135"/>
        <v>W126A.9</v>
      </c>
      <c r="M1786" s="45"/>
      <c r="N1786" s="47"/>
      <c r="O1786" s="47"/>
      <c r="P1786" s="47"/>
      <c r="Q1786" s="45"/>
      <c r="R1786" s="45"/>
      <c r="S1786" s="48"/>
    </row>
    <row r="1787" spans="1:19" s="49" customFormat="1" ht="14.15" customHeight="1">
      <c r="A1787" s="45"/>
      <c r="B1787" s="44" t="s">
        <v>6637</v>
      </c>
      <c r="C1787" s="50"/>
      <c r="D1787" s="10" t="s">
        <v>29</v>
      </c>
      <c r="E1787" s="11"/>
      <c r="F1787" s="11" t="s">
        <v>18</v>
      </c>
      <c r="G1787" s="13"/>
      <c r="H1787" s="45" t="s">
        <v>16</v>
      </c>
      <c r="I1787" s="47"/>
      <c r="J1787" s="12" t="s">
        <v>1456</v>
      </c>
      <c r="K1787" s="13" t="s">
        <v>8557</v>
      </c>
      <c r="L1787" s="99" t="str">
        <f t="shared" si="135"/>
        <v>W126A.A</v>
      </c>
      <c r="M1787" s="45"/>
      <c r="N1787" s="47"/>
      <c r="O1787" s="47"/>
      <c r="P1787" s="47"/>
      <c r="Q1787" s="45"/>
      <c r="R1787" s="45"/>
      <c r="S1787" s="48"/>
    </row>
    <row r="1788" spans="1:19" s="49" customFormat="1" ht="14.15" customHeight="1">
      <c r="A1788" s="45"/>
      <c r="B1788" s="44" t="s">
        <v>6637</v>
      </c>
      <c r="C1788" s="50"/>
      <c r="D1788" s="10" t="s">
        <v>29</v>
      </c>
      <c r="E1788" s="11"/>
      <c r="F1788" s="11" t="s">
        <v>18</v>
      </c>
      <c r="G1788" s="13"/>
      <c r="H1788" s="45" t="s">
        <v>16</v>
      </c>
      <c r="I1788" s="47"/>
      <c r="J1788" s="12" t="s">
        <v>1457</v>
      </c>
      <c r="K1788" s="13" t="s">
        <v>8558</v>
      </c>
      <c r="L1788" s="99" t="str">
        <f t="shared" si="135"/>
        <v>W126A.B</v>
      </c>
      <c r="M1788" s="45"/>
      <c r="N1788" s="47"/>
      <c r="O1788" s="47"/>
      <c r="P1788" s="47"/>
      <c r="Q1788" s="45"/>
      <c r="R1788" s="45"/>
      <c r="S1788" s="48"/>
    </row>
    <row r="1789" spans="1:19" s="49" customFormat="1" ht="14.15" customHeight="1">
      <c r="A1789" s="45"/>
      <c r="B1789" s="44" t="s">
        <v>6637</v>
      </c>
      <c r="C1789" s="50"/>
      <c r="D1789" s="10" t="s">
        <v>29</v>
      </c>
      <c r="E1789" s="11"/>
      <c r="F1789" s="11" t="s">
        <v>18</v>
      </c>
      <c r="G1789" s="13"/>
      <c r="H1789" s="45" t="s">
        <v>16</v>
      </c>
      <c r="I1789" s="47"/>
      <c r="J1789" s="12" t="s">
        <v>1458</v>
      </c>
      <c r="K1789" s="13" t="s">
        <v>8559</v>
      </c>
      <c r="L1789" s="99" t="str">
        <f t="shared" si="135"/>
        <v>W126A.C</v>
      </c>
      <c r="M1789" s="45"/>
      <c r="N1789" s="47"/>
      <c r="O1789" s="47"/>
      <c r="P1789" s="47"/>
      <c r="Q1789" s="45"/>
      <c r="R1789" s="45"/>
      <c r="S1789" s="48"/>
    </row>
    <row r="1790" spans="1:19" s="49" customFormat="1" ht="14.15" customHeight="1">
      <c r="A1790" s="45"/>
      <c r="B1790" s="44" t="s">
        <v>6637</v>
      </c>
      <c r="C1790" s="50"/>
      <c r="D1790" s="10" t="s">
        <v>29</v>
      </c>
      <c r="E1790" s="11"/>
      <c r="F1790" s="11" t="s">
        <v>18</v>
      </c>
      <c r="G1790" s="13"/>
      <c r="H1790" s="45" t="s">
        <v>16</v>
      </c>
      <c r="I1790" s="47"/>
      <c r="J1790" s="12" t="s">
        <v>1459</v>
      </c>
      <c r="K1790" s="13" t="s">
        <v>8560</v>
      </c>
      <c r="L1790" s="99" t="str">
        <f t="shared" si="135"/>
        <v>W126A.D</v>
      </c>
      <c r="M1790" s="45"/>
      <c r="N1790" s="47"/>
      <c r="O1790" s="47"/>
      <c r="P1790" s="47"/>
      <c r="Q1790" s="45"/>
      <c r="R1790" s="45"/>
      <c r="S1790" s="48"/>
    </row>
    <row r="1791" spans="1:19" s="49" customFormat="1" ht="14.15" customHeight="1">
      <c r="A1791" s="45"/>
      <c r="B1791" s="44" t="s">
        <v>6637</v>
      </c>
      <c r="C1791" s="50"/>
      <c r="D1791" s="10" t="s">
        <v>29</v>
      </c>
      <c r="E1791" s="11"/>
      <c r="F1791" s="11" t="s">
        <v>18</v>
      </c>
      <c r="G1791" s="13"/>
      <c r="H1791" s="45" t="s">
        <v>16</v>
      </c>
      <c r="I1791" s="47"/>
      <c r="J1791" s="12" t="s">
        <v>1460</v>
      </c>
      <c r="K1791" s="13" t="s">
        <v>8561</v>
      </c>
      <c r="L1791" s="99" t="str">
        <f t="shared" si="135"/>
        <v>W126A.E</v>
      </c>
      <c r="M1791" s="45"/>
      <c r="N1791" s="47"/>
      <c r="O1791" s="47"/>
      <c r="P1791" s="47"/>
      <c r="Q1791" s="45"/>
      <c r="R1791" s="45"/>
      <c r="S1791" s="48"/>
    </row>
    <row r="1792" spans="1:19" s="49" customFormat="1" ht="14.15" customHeight="1">
      <c r="A1792" s="45"/>
      <c r="B1792" s="44" t="s">
        <v>6637</v>
      </c>
      <c r="C1792" s="50"/>
      <c r="D1792" s="10" t="s">
        <v>29</v>
      </c>
      <c r="E1792" s="11"/>
      <c r="F1792" s="11" t="s">
        <v>18</v>
      </c>
      <c r="G1792" s="13"/>
      <c r="H1792" s="45" t="s">
        <v>16</v>
      </c>
      <c r="I1792" s="47"/>
      <c r="J1792" s="12" t="s">
        <v>1461</v>
      </c>
      <c r="K1792" s="13" t="s">
        <v>8562</v>
      </c>
      <c r="L1792" s="99" t="str">
        <f t="shared" si="135"/>
        <v>W126A.F</v>
      </c>
      <c r="M1792" s="45"/>
      <c r="N1792" s="47"/>
      <c r="O1792" s="47"/>
      <c r="P1792" s="47"/>
      <c r="Q1792" s="45"/>
      <c r="R1792" s="45"/>
      <c r="S1792" s="48"/>
    </row>
    <row r="1793" spans="1:19" s="49" customFormat="1" ht="14.15" customHeight="1">
      <c r="A1793" s="43" t="s">
        <v>3732</v>
      </c>
      <c r="B1793" s="44" t="s">
        <v>6637</v>
      </c>
      <c r="C1793" s="50"/>
      <c r="D1793" s="10" t="s">
        <v>29</v>
      </c>
      <c r="E1793" s="11"/>
      <c r="F1793" s="11" t="s">
        <v>18</v>
      </c>
      <c r="G1793" s="13"/>
      <c r="H1793" s="45" t="s">
        <v>16</v>
      </c>
      <c r="I1793" s="47"/>
      <c r="J1793" s="12" t="s">
        <v>3606</v>
      </c>
      <c r="K1793" s="13" t="s">
        <v>8563</v>
      </c>
      <c r="L1793" s="99" t="str">
        <f t="shared" si="135"/>
        <v>W126B.0</v>
      </c>
      <c r="M1793" s="13" t="s">
        <v>3667</v>
      </c>
      <c r="N1793" s="47"/>
      <c r="O1793" s="47"/>
      <c r="P1793" s="47"/>
      <c r="Q1793" s="45"/>
      <c r="R1793" s="45"/>
      <c r="S1793" s="48"/>
    </row>
    <row r="1794" spans="1:19" s="49" customFormat="1" ht="14.15" customHeight="1">
      <c r="A1794" s="45"/>
      <c r="B1794" s="44" t="s">
        <v>6637</v>
      </c>
      <c r="C1794" s="50"/>
      <c r="D1794" s="10" t="s">
        <v>29</v>
      </c>
      <c r="E1794" s="11"/>
      <c r="F1794" s="11" t="s">
        <v>18</v>
      </c>
      <c r="G1794" s="13"/>
      <c r="H1794" s="45" t="s">
        <v>16</v>
      </c>
      <c r="I1794" s="47"/>
      <c r="J1794" s="12" t="s">
        <v>1463</v>
      </c>
      <c r="K1794" s="13" t="s">
        <v>8564</v>
      </c>
      <c r="L1794" s="99" t="str">
        <f t="shared" si="135"/>
        <v>W126B.1</v>
      </c>
      <c r="M1794" s="45"/>
      <c r="N1794" s="47"/>
      <c r="O1794" s="47"/>
      <c r="P1794" s="47"/>
      <c r="Q1794" s="45"/>
      <c r="R1794" s="45"/>
      <c r="S1794" s="48"/>
    </row>
    <row r="1795" spans="1:19" s="49" customFormat="1" ht="14.15" customHeight="1">
      <c r="A1795" s="43" t="s">
        <v>3732</v>
      </c>
      <c r="B1795" s="44" t="s">
        <v>6637</v>
      </c>
      <c r="C1795" s="50"/>
      <c r="D1795" s="10" t="s">
        <v>29</v>
      </c>
      <c r="E1795" s="11"/>
      <c r="F1795" s="11" t="s">
        <v>18</v>
      </c>
      <c r="G1795" s="13"/>
      <c r="H1795" s="45" t="s">
        <v>16</v>
      </c>
      <c r="I1795" s="47"/>
      <c r="J1795" s="12" t="s">
        <v>3607</v>
      </c>
      <c r="K1795" s="13" t="s">
        <v>8565</v>
      </c>
      <c r="L1795" s="99" t="str">
        <f t="shared" si="135"/>
        <v>W126B.2</v>
      </c>
      <c r="M1795" s="13" t="s">
        <v>3667</v>
      </c>
      <c r="N1795" s="47"/>
      <c r="O1795" s="47"/>
      <c r="P1795" s="47"/>
      <c r="Q1795" s="45"/>
      <c r="R1795" s="45"/>
      <c r="S1795" s="48"/>
    </row>
    <row r="1796" spans="1:19" s="49" customFormat="1" ht="14.15" customHeight="1">
      <c r="A1796" s="43" t="s">
        <v>3732</v>
      </c>
      <c r="B1796" s="44" t="s">
        <v>6637</v>
      </c>
      <c r="C1796" s="50"/>
      <c r="D1796" s="10" t="s">
        <v>29</v>
      </c>
      <c r="E1796" s="11"/>
      <c r="F1796" s="11" t="s">
        <v>18</v>
      </c>
      <c r="G1796" s="13"/>
      <c r="H1796" s="45" t="s">
        <v>16</v>
      </c>
      <c r="I1796" s="47"/>
      <c r="J1796" s="12" t="s">
        <v>3608</v>
      </c>
      <c r="K1796" s="13" t="s">
        <v>8566</v>
      </c>
      <c r="L1796" s="99" t="str">
        <f t="shared" si="135"/>
        <v>W126B.3</v>
      </c>
      <c r="M1796" s="13" t="s">
        <v>3667</v>
      </c>
      <c r="N1796" s="47"/>
      <c r="O1796" s="47"/>
      <c r="P1796" s="47"/>
      <c r="Q1796" s="45"/>
      <c r="R1796" s="45"/>
      <c r="S1796" s="48"/>
    </row>
    <row r="1797" spans="1:19" s="49" customFormat="1" ht="14.15" customHeight="1">
      <c r="A1797" s="43" t="s">
        <v>3732</v>
      </c>
      <c r="B1797" s="44" t="s">
        <v>6637</v>
      </c>
      <c r="C1797" s="50"/>
      <c r="D1797" s="10" t="s">
        <v>29</v>
      </c>
      <c r="E1797" s="11"/>
      <c r="F1797" s="11" t="s">
        <v>18</v>
      </c>
      <c r="G1797" s="13"/>
      <c r="H1797" s="45" t="s">
        <v>16</v>
      </c>
      <c r="I1797" s="47"/>
      <c r="J1797" s="12" t="s">
        <v>3609</v>
      </c>
      <c r="K1797" s="13" t="s">
        <v>8567</v>
      </c>
      <c r="L1797" s="99" t="str">
        <f t="shared" si="135"/>
        <v>W126B.4</v>
      </c>
      <c r="M1797" s="13" t="s">
        <v>3667</v>
      </c>
      <c r="N1797" s="47"/>
      <c r="O1797" s="47"/>
      <c r="P1797" s="47"/>
      <c r="Q1797" s="45"/>
      <c r="R1797" s="45"/>
      <c r="S1797" s="48"/>
    </row>
    <row r="1798" spans="1:19" s="49" customFormat="1" ht="14.15" customHeight="1">
      <c r="A1798" s="43" t="s">
        <v>3732</v>
      </c>
      <c r="B1798" s="44" t="s">
        <v>6637</v>
      </c>
      <c r="C1798" s="50"/>
      <c r="D1798" s="10" t="s">
        <v>29</v>
      </c>
      <c r="E1798" s="11"/>
      <c r="F1798" s="11" t="s">
        <v>18</v>
      </c>
      <c r="G1798" s="13"/>
      <c r="H1798" s="45" t="s">
        <v>16</v>
      </c>
      <c r="I1798" s="47"/>
      <c r="J1798" s="12" t="s">
        <v>3610</v>
      </c>
      <c r="K1798" s="13" t="s">
        <v>8568</v>
      </c>
      <c r="L1798" s="99" t="str">
        <f t="shared" si="135"/>
        <v>W126B.5</v>
      </c>
      <c r="M1798" s="13" t="s">
        <v>3666</v>
      </c>
      <c r="N1798" s="47"/>
      <c r="O1798" s="47"/>
      <c r="P1798" s="47"/>
      <c r="Q1798" s="45"/>
      <c r="R1798" s="45"/>
      <c r="S1798" s="48"/>
    </row>
    <row r="1799" spans="1:19" s="49" customFormat="1" ht="14.15" customHeight="1">
      <c r="A1799" s="43" t="s">
        <v>3732</v>
      </c>
      <c r="B1799" s="44" t="s">
        <v>6637</v>
      </c>
      <c r="C1799" s="50"/>
      <c r="D1799" s="10" t="s">
        <v>29</v>
      </c>
      <c r="E1799" s="11"/>
      <c r="F1799" s="11" t="s">
        <v>18</v>
      </c>
      <c r="G1799" s="13"/>
      <c r="H1799" s="45" t="s">
        <v>16</v>
      </c>
      <c r="I1799" s="47"/>
      <c r="J1799" s="12" t="s">
        <v>3611</v>
      </c>
      <c r="K1799" s="13" t="s">
        <v>8569</v>
      </c>
      <c r="L1799" s="99" t="str">
        <f t="shared" si="135"/>
        <v>W126B.6</v>
      </c>
      <c r="M1799" s="13" t="s">
        <v>3666</v>
      </c>
      <c r="N1799" s="47"/>
      <c r="O1799" s="47"/>
      <c r="P1799" s="47"/>
      <c r="Q1799" s="45"/>
      <c r="R1799" s="45"/>
      <c r="S1799" s="48"/>
    </row>
    <row r="1800" spans="1:19" s="49" customFormat="1" ht="14.15" customHeight="1">
      <c r="A1800" s="45"/>
      <c r="B1800" s="44" t="s">
        <v>6637</v>
      </c>
      <c r="C1800" s="50"/>
      <c r="D1800" s="10" t="s">
        <v>29</v>
      </c>
      <c r="E1800" s="11"/>
      <c r="F1800" s="11" t="s">
        <v>18</v>
      </c>
      <c r="G1800" s="13"/>
      <c r="H1800" s="45" t="s">
        <v>16</v>
      </c>
      <c r="I1800" s="47"/>
      <c r="J1800" s="12" t="s">
        <v>1469</v>
      </c>
      <c r="K1800" s="13" t="s">
        <v>8570</v>
      </c>
      <c r="L1800" s="99" t="str">
        <f t="shared" si="135"/>
        <v>W126B.7</v>
      </c>
      <c r="M1800" s="45"/>
      <c r="N1800" s="47"/>
      <c r="O1800" s="47"/>
      <c r="P1800" s="47"/>
      <c r="Q1800" s="45"/>
      <c r="R1800" s="45"/>
      <c r="S1800" s="48"/>
    </row>
    <row r="1801" spans="1:19" s="49" customFormat="1" ht="14.15" customHeight="1">
      <c r="A1801" s="45"/>
      <c r="B1801" s="44" t="s">
        <v>6637</v>
      </c>
      <c r="C1801" s="50"/>
      <c r="D1801" s="10" t="s">
        <v>29</v>
      </c>
      <c r="E1801" s="11"/>
      <c r="F1801" s="11" t="s">
        <v>18</v>
      </c>
      <c r="G1801" s="13"/>
      <c r="H1801" s="45" t="s">
        <v>16</v>
      </c>
      <c r="I1801" s="47"/>
      <c r="J1801" s="12" t="s">
        <v>1470</v>
      </c>
      <c r="K1801" s="13" t="s">
        <v>8571</v>
      </c>
      <c r="L1801" s="99" t="str">
        <f t="shared" si="135"/>
        <v>W126B.8</v>
      </c>
      <c r="M1801" s="45"/>
      <c r="N1801" s="47"/>
      <c r="O1801" s="47"/>
      <c r="P1801" s="47"/>
      <c r="Q1801" s="45"/>
      <c r="R1801" s="45"/>
      <c r="S1801" s="48"/>
    </row>
    <row r="1802" spans="1:19" s="49" customFormat="1" ht="14.15" customHeight="1">
      <c r="A1802" s="45"/>
      <c r="B1802" s="44" t="s">
        <v>6637</v>
      </c>
      <c r="C1802" s="50"/>
      <c r="D1802" s="10" t="s">
        <v>29</v>
      </c>
      <c r="E1802" s="11"/>
      <c r="F1802" s="11" t="s">
        <v>18</v>
      </c>
      <c r="G1802" s="13"/>
      <c r="H1802" s="45" t="s">
        <v>16</v>
      </c>
      <c r="I1802" s="47"/>
      <c r="J1802" s="12" t="s">
        <v>1471</v>
      </c>
      <c r="K1802" s="13" t="s">
        <v>8572</v>
      </c>
      <c r="L1802" s="99" t="str">
        <f t="shared" si="135"/>
        <v>W126B.9</v>
      </c>
      <c r="M1802" s="45"/>
      <c r="N1802" s="47"/>
      <c r="O1802" s="47"/>
      <c r="P1802" s="47"/>
      <c r="Q1802" s="45"/>
      <c r="R1802" s="45"/>
      <c r="S1802" s="48"/>
    </row>
    <row r="1803" spans="1:19" s="49" customFormat="1" ht="14.15" customHeight="1">
      <c r="A1803" s="45"/>
      <c r="B1803" s="44" t="s">
        <v>6637</v>
      </c>
      <c r="C1803" s="50"/>
      <c r="D1803" s="10" t="s">
        <v>29</v>
      </c>
      <c r="E1803" s="11"/>
      <c r="F1803" s="11" t="s">
        <v>18</v>
      </c>
      <c r="G1803" s="13"/>
      <c r="H1803" s="45" t="s">
        <v>16</v>
      </c>
      <c r="I1803" s="47"/>
      <c r="J1803" s="12" t="s">
        <v>1472</v>
      </c>
      <c r="K1803" s="13" t="s">
        <v>8573</v>
      </c>
      <c r="L1803" s="99" t="str">
        <f t="shared" si="135"/>
        <v>W126B.A</v>
      </c>
      <c r="M1803" s="45"/>
      <c r="N1803" s="47"/>
      <c r="O1803" s="47"/>
      <c r="P1803" s="47"/>
      <c r="Q1803" s="45"/>
      <c r="R1803" s="45"/>
      <c r="S1803" s="48"/>
    </row>
    <row r="1804" spans="1:19" s="49" customFormat="1" ht="14.15" customHeight="1">
      <c r="A1804" s="45"/>
      <c r="B1804" s="44" t="s">
        <v>6637</v>
      </c>
      <c r="C1804" s="50"/>
      <c r="D1804" s="10" t="s">
        <v>29</v>
      </c>
      <c r="E1804" s="11"/>
      <c r="F1804" s="11" t="s">
        <v>18</v>
      </c>
      <c r="G1804" s="13"/>
      <c r="H1804" s="45" t="s">
        <v>16</v>
      </c>
      <c r="I1804" s="47"/>
      <c r="J1804" s="12" t="s">
        <v>1473</v>
      </c>
      <c r="K1804" s="13" t="s">
        <v>8574</v>
      </c>
      <c r="L1804" s="99" t="str">
        <f t="shared" si="135"/>
        <v>W126B.B</v>
      </c>
      <c r="M1804" s="45"/>
      <c r="N1804" s="47"/>
      <c r="O1804" s="47"/>
      <c r="P1804" s="47"/>
      <c r="Q1804" s="45"/>
      <c r="R1804" s="45"/>
      <c r="S1804" s="48"/>
    </row>
    <row r="1805" spans="1:19" s="49" customFormat="1" ht="14.15" customHeight="1">
      <c r="A1805" s="45"/>
      <c r="B1805" s="44" t="s">
        <v>6637</v>
      </c>
      <c r="C1805" s="50"/>
      <c r="D1805" s="10" t="s">
        <v>29</v>
      </c>
      <c r="E1805" s="11"/>
      <c r="F1805" s="11" t="s">
        <v>18</v>
      </c>
      <c r="G1805" s="13"/>
      <c r="H1805" s="45" t="s">
        <v>16</v>
      </c>
      <c r="I1805" s="47"/>
      <c r="J1805" s="12" t="s">
        <v>1474</v>
      </c>
      <c r="K1805" s="13" t="s">
        <v>8575</v>
      </c>
      <c r="L1805" s="99" t="str">
        <f t="shared" si="135"/>
        <v>W126B.C</v>
      </c>
      <c r="M1805" s="45"/>
      <c r="N1805" s="47"/>
      <c r="O1805" s="47"/>
      <c r="P1805" s="47"/>
      <c r="Q1805" s="45"/>
      <c r="R1805" s="45"/>
      <c r="S1805" s="48"/>
    </row>
    <row r="1806" spans="1:19" s="49" customFormat="1" ht="14.15" customHeight="1">
      <c r="A1806" s="45"/>
      <c r="B1806" s="44" t="s">
        <v>6637</v>
      </c>
      <c r="C1806" s="50"/>
      <c r="D1806" s="10" t="s">
        <v>29</v>
      </c>
      <c r="E1806" s="11"/>
      <c r="F1806" s="11" t="s">
        <v>18</v>
      </c>
      <c r="G1806" s="13"/>
      <c r="H1806" s="45" t="s">
        <v>16</v>
      </c>
      <c r="I1806" s="47"/>
      <c r="J1806" s="12" t="s">
        <v>1475</v>
      </c>
      <c r="K1806" s="13" t="s">
        <v>8576</v>
      </c>
      <c r="L1806" s="99" t="str">
        <f t="shared" si="135"/>
        <v>W126B.D</v>
      </c>
      <c r="M1806" s="45"/>
      <c r="N1806" s="47"/>
      <c r="O1806" s="47"/>
      <c r="P1806" s="47"/>
      <c r="Q1806" s="45"/>
      <c r="R1806" s="45"/>
      <c r="S1806" s="48"/>
    </row>
    <row r="1807" spans="1:19" s="49" customFormat="1" ht="14.15" customHeight="1">
      <c r="A1807" s="45"/>
      <c r="B1807" s="44" t="s">
        <v>6637</v>
      </c>
      <c r="C1807" s="50"/>
      <c r="D1807" s="10" t="s">
        <v>29</v>
      </c>
      <c r="E1807" s="11"/>
      <c r="F1807" s="11" t="s">
        <v>18</v>
      </c>
      <c r="G1807" s="13"/>
      <c r="H1807" s="45" t="s">
        <v>16</v>
      </c>
      <c r="I1807" s="47"/>
      <c r="J1807" s="12" t="s">
        <v>1476</v>
      </c>
      <c r="K1807" s="13" t="s">
        <v>8577</v>
      </c>
      <c r="L1807" s="99" t="str">
        <f t="shared" si="135"/>
        <v>W126B.E</v>
      </c>
      <c r="M1807" s="45"/>
      <c r="N1807" s="47"/>
      <c r="O1807" s="47"/>
      <c r="P1807" s="47"/>
      <c r="Q1807" s="45"/>
      <c r="R1807" s="45"/>
      <c r="S1807" s="48"/>
    </row>
    <row r="1808" spans="1:19" s="49" customFormat="1" ht="14.15" customHeight="1">
      <c r="A1808" s="45"/>
      <c r="B1808" s="44" t="s">
        <v>6637</v>
      </c>
      <c r="C1808" s="50"/>
      <c r="D1808" s="10" t="s">
        <v>29</v>
      </c>
      <c r="E1808" s="11"/>
      <c r="F1808" s="11" t="s">
        <v>18</v>
      </c>
      <c r="G1808" s="13"/>
      <c r="H1808" s="45" t="s">
        <v>16</v>
      </c>
      <c r="I1808" s="47"/>
      <c r="J1808" s="12" t="s">
        <v>1477</v>
      </c>
      <c r="K1808" s="13" t="s">
        <v>8578</v>
      </c>
      <c r="L1808" s="99" t="str">
        <f t="shared" si="135"/>
        <v>W126B.F</v>
      </c>
      <c r="M1808" s="45"/>
      <c r="N1808" s="47"/>
      <c r="O1808" s="47"/>
      <c r="P1808" s="47"/>
      <c r="Q1808" s="45"/>
      <c r="R1808" s="45"/>
      <c r="S1808" s="48"/>
    </row>
    <row r="1809" spans="1:19" s="49" customFormat="1" ht="14.15" customHeight="1">
      <c r="A1809" s="45"/>
      <c r="B1809" s="44" t="s">
        <v>6637</v>
      </c>
      <c r="C1809" s="50"/>
      <c r="D1809" s="10" t="s">
        <v>29</v>
      </c>
      <c r="E1809" s="11"/>
      <c r="F1809" s="11" t="s">
        <v>18</v>
      </c>
      <c r="G1809" s="13"/>
      <c r="H1809" s="45" t="s">
        <v>16</v>
      </c>
      <c r="I1809" s="47"/>
      <c r="J1809" s="12" t="s">
        <v>1478</v>
      </c>
      <c r="K1809" s="13" t="s">
        <v>8579</v>
      </c>
      <c r="L1809" s="99" t="str">
        <f t="shared" si="135"/>
        <v>W126C.0</v>
      </c>
      <c r="M1809" s="45"/>
      <c r="N1809" s="47"/>
      <c r="O1809" s="47"/>
      <c r="P1809" s="47"/>
      <c r="Q1809" s="45"/>
      <c r="R1809" s="45"/>
      <c r="S1809" s="48"/>
    </row>
    <row r="1810" spans="1:19" s="49" customFormat="1" ht="14.15" customHeight="1">
      <c r="A1810" s="45"/>
      <c r="B1810" s="44" t="s">
        <v>6637</v>
      </c>
      <c r="C1810" s="50"/>
      <c r="D1810" s="10" t="s">
        <v>29</v>
      </c>
      <c r="E1810" s="11"/>
      <c r="F1810" s="11" t="s">
        <v>18</v>
      </c>
      <c r="G1810" s="13"/>
      <c r="H1810" s="45" t="s">
        <v>16</v>
      </c>
      <c r="I1810" s="47"/>
      <c r="J1810" s="12" t="s">
        <v>1479</v>
      </c>
      <c r="K1810" s="13" t="s">
        <v>8580</v>
      </c>
      <c r="L1810" s="99" t="str">
        <f t="shared" ref="L1810:L1873" si="136">"W"&amp;DEC2HEX(4608 + INT((ROW()-81)/16)) &amp; "." &amp; IF(MOD(ROW()-81,16)&lt;10,MOD(ROW()-81,16),CHAR(MOD(ROW()-81,16)+55))</f>
        <v>W126C.1</v>
      </c>
      <c r="M1810" s="45"/>
      <c r="N1810" s="47"/>
      <c r="O1810" s="47"/>
      <c r="P1810" s="47"/>
      <c r="Q1810" s="45"/>
      <c r="R1810" s="45"/>
      <c r="S1810" s="48"/>
    </row>
    <row r="1811" spans="1:19" s="49" customFormat="1" ht="14.15" customHeight="1">
      <c r="A1811" s="45"/>
      <c r="B1811" s="44" t="s">
        <v>6637</v>
      </c>
      <c r="C1811" s="50"/>
      <c r="D1811" s="10" t="s">
        <v>29</v>
      </c>
      <c r="E1811" s="11"/>
      <c r="F1811" s="11" t="s">
        <v>18</v>
      </c>
      <c r="G1811" s="13"/>
      <c r="H1811" s="45" t="s">
        <v>16</v>
      </c>
      <c r="I1811" s="47"/>
      <c r="J1811" s="12" t="s">
        <v>1480</v>
      </c>
      <c r="K1811" s="13" t="s">
        <v>8581</v>
      </c>
      <c r="L1811" s="99" t="str">
        <f t="shared" si="136"/>
        <v>W126C.2</v>
      </c>
      <c r="M1811" s="45"/>
      <c r="N1811" s="47"/>
      <c r="O1811" s="47"/>
      <c r="P1811" s="47"/>
      <c r="Q1811" s="45"/>
      <c r="R1811" s="45"/>
      <c r="S1811" s="48"/>
    </row>
    <row r="1812" spans="1:19" s="49" customFormat="1" ht="14.15" customHeight="1">
      <c r="A1812" s="45"/>
      <c r="B1812" s="44" t="s">
        <v>6637</v>
      </c>
      <c r="C1812" s="50"/>
      <c r="D1812" s="10" t="s">
        <v>29</v>
      </c>
      <c r="E1812" s="11"/>
      <c r="F1812" s="11" t="s">
        <v>18</v>
      </c>
      <c r="G1812" s="13"/>
      <c r="H1812" s="45" t="s">
        <v>16</v>
      </c>
      <c r="I1812" s="47"/>
      <c r="J1812" s="12" t="s">
        <v>1481</v>
      </c>
      <c r="K1812" s="13" t="s">
        <v>8582</v>
      </c>
      <c r="L1812" s="99" t="str">
        <f t="shared" si="136"/>
        <v>W126C.3</v>
      </c>
      <c r="M1812" s="45"/>
      <c r="N1812" s="47"/>
      <c r="O1812" s="47"/>
      <c r="P1812" s="47"/>
      <c r="Q1812" s="45"/>
      <c r="R1812" s="45"/>
      <c r="S1812" s="48"/>
    </row>
    <row r="1813" spans="1:19" s="49" customFormat="1" ht="14.15" customHeight="1">
      <c r="A1813" s="43" t="s">
        <v>3732</v>
      </c>
      <c r="B1813" s="44" t="s">
        <v>6637</v>
      </c>
      <c r="C1813" s="50"/>
      <c r="D1813" s="10" t="s">
        <v>29</v>
      </c>
      <c r="E1813" s="11"/>
      <c r="F1813" s="11" t="s">
        <v>18</v>
      </c>
      <c r="G1813" s="13"/>
      <c r="H1813" s="45" t="s">
        <v>16</v>
      </c>
      <c r="I1813" s="47"/>
      <c r="J1813" s="12" t="s">
        <v>3612</v>
      </c>
      <c r="K1813" s="13" t="s">
        <v>8583</v>
      </c>
      <c r="L1813" s="99" t="str">
        <f t="shared" si="136"/>
        <v>W126C.4</v>
      </c>
      <c r="M1813" s="13" t="s">
        <v>3667</v>
      </c>
      <c r="N1813" s="47"/>
      <c r="O1813" s="47"/>
      <c r="P1813" s="47"/>
      <c r="Q1813" s="45"/>
      <c r="R1813" s="45"/>
      <c r="S1813" s="48"/>
    </row>
    <row r="1814" spans="1:19" s="49" customFormat="1" ht="14.15" customHeight="1">
      <c r="A1814" s="45"/>
      <c r="B1814" s="44" t="s">
        <v>6637</v>
      </c>
      <c r="C1814" s="50"/>
      <c r="D1814" s="10" t="s">
        <v>29</v>
      </c>
      <c r="E1814" s="11"/>
      <c r="F1814" s="11" t="s">
        <v>18</v>
      </c>
      <c r="G1814" s="13"/>
      <c r="H1814" s="45" t="s">
        <v>16</v>
      </c>
      <c r="I1814" s="47"/>
      <c r="J1814" s="12" t="s">
        <v>1483</v>
      </c>
      <c r="K1814" s="13" t="s">
        <v>8584</v>
      </c>
      <c r="L1814" s="99" t="str">
        <f t="shared" si="136"/>
        <v>W126C.5</v>
      </c>
      <c r="M1814" s="45"/>
      <c r="N1814" s="47"/>
      <c r="O1814" s="47"/>
      <c r="P1814" s="47"/>
      <c r="Q1814" s="45"/>
      <c r="R1814" s="45"/>
      <c r="S1814" s="48"/>
    </row>
    <row r="1815" spans="1:19" s="49" customFormat="1" ht="14.15" customHeight="1">
      <c r="A1815" s="43" t="s">
        <v>3732</v>
      </c>
      <c r="B1815" s="44" t="s">
        <v>6637</v>
      </c>
      <c r="C1815" s="50"/>
      <c r="D1815" s="10" t="s">
        <v>29</v>
      </c>
      <c r="E1815" s="11"/>
      <c r="F1815" s="11" t="s">
        <v>18</v>
      </c>
      <c r="G1815" s="13"/>
      <c r="H1815" s="45" t="s">
        <v>16</v>
      </c>
      <c r="I1815" s="47"/>
      <c r="J1815" s="12" t="s">
        <v>3613</v>
      </c>
      <c r="K1815" s="13" t="s">
        <v>8585</v>
      </c>
      <c r="L1815" s="99" t="str">
        <f t="shared" si="136"/>
        <v>W126C.6</v>
      </c>
      <c r="M1815" s="13" t="s">
        <v>3667</v>
      </c>
      <c r="N1815" s="47"/>
      <c r="O1815" s="47"/>
      <c r="P1815" s="47"/>
      <c r="Q1815" s="45"/>
      <c r="R1815" s="45"/>
      <c r="S1815" s="48"/>
    </row>
    <row r="1816" spans="1:19" s="49" customFormat="1" ht="14.15" customHeight="1">
      <c r="A1816" s="43" t="s">
        <v>3732</v>
      </c>
      <c r="B1816" s="44" t="s">
        <v>6637</v>
      </c>
      <c r="C1816" s="50"/>
      <c r="D1816" s="10" t="s">
        <v>29</v>
      </c>
      <c r="E1816" s="11"/>
      <c r="F1816" s="11" t="s">
        <v>18</v>
      </c>
      <c r="G1816" s="13"/>
      <c r="H1816" s="45" t="s">
        <v>16</v>
      </c>
      <c r="I1816" s="47"/>
      <c r="J1816" s="12" t="s">
        <v>3614</v>
      </c>
      <c r="K1816" s="13" t="s">
        <v>8586</v>
      </c>
      <c r="L1816" s="99" t="str">
        <f t="shared" si="136"/>
        <v>W126C.7</v>
      </c>
      <c r="M1816" s="13" t="s">
        <v>3667</v>
      </c>
      <c r="N1816" s="47"/>
      <c r="O1816" s="47"/>
      <c r="P1816" s="47"/>
      <c r="Q1816" s="45"/>
      <c r="R1816" s="45"/>
      <c r="S1816" s="48"/>
    </row>
    <row r="1817" spans="1:19" s="49" customFormat="1" ht="14.15" customHeight="1">
      <c r="A1817" s="43" t="s">
        <v>3732</v>
      </c>
      <c r="B1817" s="44" t="s">
        <v>6637</v>
      </c>
      <c r="C1817" s="50"/>
      <c r="D1817" s="10" t="s">
        <v>29</v>
      </c>
      <c r="E1817" s="11"/>
      <c r="F1817" s="11" t="s">
        <v>18</v>
      </c>
      <c r="G1817" s="13"/>
      <c r="H1817" s="45" t="s">
        <v>16</v>
      </c>
      <c r="I1817" s="47"/>
      <c r="J1817" s="12" t="s">
        <v>3615</v>
      </c>
      <c r="K1817" s="13" t="s">
        <v>8587</v>
      </c>
      <c r="L1817" s="99" t="str">
        <f t="shared" si="136"/>
        <v>W126C.8</v>
      </c>
      <c r="M1817" s="13" t="s">
        <v>3667</v>
      </c>
      <c r="N1817" s="47"/>
      <c r="O1817" s="47"/>
      <c r="P1817" s="47"/>
      <c r="Q1817" s="45"/>
      <c r="R1817" s="45"/>
      <c r="S1817" s="48"/>
    </row>
    <row r="1818" spans="1:19" s="49" customFormat="1" ht="14.15" customHeight="1">
      <c r="A1818" s="43" t="s">
        <v>3732</v>
      </c>
      <c r="B1818" s="44" t="s">
        <v>6637</v>
      </c>
      <c r="C1818" s="50"/>
      <c r="D1818" s="10" t="s">
        <v>29</v>
      </c>
      <c r="E1818" s="11"/>
      <c r="F1818" s="11" t="s">
        <v>18</v>
      </c>
      <c r="G1818" s="13"/>
      <c r="H1818" s="45" t="s">
        <v>16</v>
      </c>
      <c r="I1818" s="47"/>
      <c r="J1818" s="12" t="s">
        <v>3616</v>
      </c>
      <c r="K1818" s="13" t="s">
        <v>8588</v>
      </c>
      <c r="L1818" s="99" t="str">
        <f t="shared" si="136"/>
        <v>W126C.9</v>
      </c>
      <c r="M1818" s="45" t="s">
        <v>3666</v>
      </c>
      <c r="N1818" s="47"/>
      <c r="O1818" s="47"/>
      <c r="P1818" s="47"/>
      <c r="Q1818" s="45"/>
      <c r="R1818" s="45"/>
      <c r="S1818" s="48"/>
    </row>
    <row r="1819" spans="1:19" s="49" customFormat="1" ht="14.15" customHeight="1">
      <c r="A1819" s="43" t="s">
        <v>3732</v>
      </c>
      <c r="B1819" s="44" t="s">
        <v>6637</v>
      </c>
      <c r="C1819" s="50"/>
      <c r="D1819" s="10" t="s">
        <v>29</v>
      </c>
      <c r="E1819" s="11"/>
      <c r="F1819" s="11" t="s">
        <v>18</v>
      </c>
      <c r="G1819" s="13"/>
      <c r="H1819" s="45" t="s">
        <v>16</v>
      </c>
      <c r="I1819" s="47"/>
      <c r="J1819" s="12" t="s">
        <v>3617</v>
      </c>
      <c r="K1819" s="13" t="s">
        <v>8589</v>
      </c>
      <c r="L1819" s="99" t="str">
        <f t="shared" si="136"/>
        <v>W126C.A</v>
      </c>
      <c r="M1819" s="45" t="s">
        <v>3666</v>
      </c>
      <c r="N1819" s="47"/>
      <c r="O1819" s="47"/>
      <c r="P1819" s="47"/>
      <c r="Q1819" s="45"/>
      <c r="R1819" s="45"/>
      <c r="S1819" s="48"/>
    </row>
    <row r="1820" spans="1:19" s="49" customFormat="1" ht="14.15" customHeight="1">
      <c r="A1820" s="43" t="s">
        <v>3732</v>
      </c>
      <c r="B1820" s="44" t="s">
        <v>6637</v>
      </c>
      <c r="C1820" s="50"/>
      <c r="D1820" s="10" t="s">
        <v>29</v>
      </c>
      <c r="E1820" s="11"/>
      <c r="F1820" s="11" t="s">
        <v>18</v>
      </c>
      <c r="G1820" s="13"/>
      <c r="H1820" s="45" t="s">
        <v>16</v>
      </c>
      <c r="I1820" s="47"/>
      <c r="J1820" s="12" t="s">
        <v>3618</v>
      </c>
      <c r="K1820" s="13" t="s">
        <v>8590</v>
      </c>
      <c r="L1820" s="99" t="str">
        <f t="shared" si="136"/>
        <v>W126C.B</v>
      </c>
      <c r="M1820" s="45" t="s">
        <v>3667</v>
      </c>
      <c r="N1820" s="47"/>
      <c r="O1820" s="47"/>
      <c r="P1820" s="47"/>
      <c r="Q1820" s="45"/>
      <c r="R1820" s="45"/>
      <c r="S1820" s="48"/>
    </row>
    <row r="1821" spans="1:19" s="49" customFormat="1" ht="14.15" customHeight="1">
      <c r="A1821" s="43" t="s">
        <v>3732</v>
      </c>
      <c r="B1821" s="44" t="s">
        <v>6637</v>
      </c>
      <c r="C1821" s="50"/>
      <c r="D1821" s="10" t="s">
        <v>29</v>
      </c>
      <c r="E1821" s="11"/>
      <c r="F1821" s="11" t="s">
        <v>18</v>
      </c>
      <c r="G1821" s="13"/>
      <c r="H1821" s="45" t="s">
        <v>16</v>
      </c>
      <c r="I1821" s="47"/>
      <c r="J1821" s="12" t="s">
        <v>3619</v>
      </c>
      <c r="K1821" s="13" t="s">
        <v>8591</v>
      </c>
      <c r="L1821" s="99" t="str">
        <f t="shared" si="136"/>
        <v>W126C.C</v>
      </c>
      <c r="M1821" s="45" t="s">
        <v>3667</v>
      </c>
      <c r="N1821" s="47"/>
      <c r="O1821" s="47"/>
      <c r="P1821" s="47"/>
      <c r="Q1821" s="45"/>
      <c r="R1821" s="45"/>
      <c r="S1821" s="48"/>
    </row>
    <row r="1822" spans="1:19" s="49" customFormat="1" ht="14.15" customHeight="1">
      <c r="A1822" s="43" t="s">
        <v>3732</v>
      </c>
      <c r="B1822" s="44" t="s">
        <v>6637</v>
      </c>
      <c r="C1822" s="50"/>
      <c r="D1822" s="10" t="s">
        <v>29</v>
      </c>
      <c r="E1822" s="11"/>
      <c r="F1822" s="11" t="s">
        <v>18</v>
      </c>
      <c r="G1822" s="13"/>
      <c r="H1822" s="45" t="s">
        <v>16</v>
      </c>
      <c r="I1822" s="47"/>
      <c r="J1822" s="12" t="s">
        <v>3620</v>
      </c>
      <c r="K1822" s="13" t="s">
        <v>8592</v>
      </c>
      <c r="L1822" s="99" t="str">
        <f t="shared" si="136"/>
        <v>W126C.D</v>
      </c>
      <c r="M1822" s="45" t="s">
        <v>3667</v>
      </c>
      <c r="N1822" s="47"/>
      <c r="O1822" s="47"/>
      <c r="P1822" s="47"/>
      <c r="Q1822" s="45"/>
      <c r="R1822" s="45"/>
      <c r="S1822" s="48"/>
    </row>
    <row r="1823" spans="1:19" s="49" customFormat="1" ht="14.15" customHeight="1">
      <c r="A1823" s="43" t="s">
        <v>3732</v>
      </c>
      <c r="B1823" s="44" t="s">
        <v>6637</v>
      </c>
      <c r="C1823" s="50"/>
      <c r="D1823" s="10" t="s">
        <v>29</v>
      </c>
      <c r="E1823" s="11"/>
      <c r="F1823" s="11" t="s">
        <v>18</v>
      </c>
      <c r="G1823" s="13"/>
      <c r="H1823" s="45" t="s">
        <v>16</v>
      </c>
      <c r="I1823" s="47"/>
      <c r="J1823" s="12" t="s">
        <v>3621</v>
      </c>
      <c r="K1823" s="13" t="s">
        <v>8593</v>
      </c>
      <c r="L1823" s="99" t="str">
        <f t="shared" si="136"/>
        <v>W126C.E</v>
      </c>
      <c r="M1823" s="45" t="s">
        <v>3667</v>
      </c>
      <c r="N1823" s="47"/>
      <c r="O1823" s="47"/>
      <c r="P1823" s="47"/>
      <c r="Q1823" s="45"/>
      <c r="R1823" s="45"/>
      <c r="S1823" s="48"/>
    </row>
    <row r="1824" spans="1:19" s="49" customFormat="1" ht="14.15" customHeight="1">
      <c r="A1824" s="43" t="s">
        <v>3732</v>
      </c>
      <c r="B1824" s="44" t="s">
        <v>6637</v>
      </c>
      <c r="C1824" s="50"/>
      <c r="D1824" s="10" t="s">
        <v>29</v>
      </c>
      <c r="E1824" s="11"/>
      <c r="F1824" s="11" t="s">
        <v>18</v>
      </c>
      <c r="G1824" s="13"/>
      <c r="H1824" s="45" t="s">
        <v>16</v>
      </c>
      <c r="I1824" s="47"/>
      <c r="J1824" s="12" t="s">
        <v>3622</v>
      </c>
      <c r="K1824" s="13" t="s">
        <v>8594</v>
      </c>
      <c r="L1824" s="99" t="str">
        <f t="shared" si="136"/>
        <v>W126C.F</v>
      </c>
      <c r="M1824" s="45" t="s">
        <v>3667</v>
      </c>
      <c r="N1824" s="47"/>
      <c r="O1824" s="47"/>
      <c r="P1824" s="47"/>
      <c r="Q1824" s="45"/>
      <c r="R1824" s="45"/>
      <c r="S1824" s="48"/>
    </row>
    <row r="1825" spans="1:19" s="49" customFormat="1" ht="14.15" customHeight="1">
      <c r="A1825" s="43" t="s">
        <v>3732</v>
      </c>
      <c r="B1825" s="44" t="s">
        <v>6637</v>
      </c>
      <c r="C1825" s="50"/>
      <c r="D1825" s="10" t="s">
        <v>29</v>
      </c>
      <c r="E1825" s="11"/>
      <c r="F1825" s="11" t="s">
        <v>18</v>
      </c>
      <c r="G1825" s="13"/>
      <c r="H1825" s="45" t="s">
        <v>16</v>
      </c>
      <c r="I1825" s="47"/>
      <c r="J1825" s="12" t="s">
        <v>3623</v>
      </c>
      <c r="K1825" s="13" t="s">
        <v>8595</v>
      </c>
      <c r="L1825" s="99" t="str">
        <f t="shared" si="136"/>
        <v>W126D.0</v>
      </c>
      <c r="M1825" s="45" t="s">
        <v>3667</v>
      </c>
      <c r="N1825" s="47"/>
      <c r="O1825" s="47"/>
      <c r="P1825" s="47"/>
      <c r="Q1825" s="45"/>
      <c r="R1825" s="45"/>
      <c r="S1825" s="48"/>
    </row>
    <row r="1826" spans="1:19" s="49" customFormat="1" ht="14.15" customHeight="1">
      <c r="A1826" s="43" t="s">
        <v>3732</v>
      </c>
      <c r="B1826" s="44" t="s">
        <v>6637</v>
      </c>
      <c r="C1826" s="50"/>
      <c r="D1826" s="10" t="s">
        <v>29</v>
      </c>
      <c r="E1826" s="11"/>
      <c r="F1826" s="11" t="s">
        <v>18</v>
      </c>
      <c r="G1826" s="13"/>
      <c r="H1826" s="45" t="s">
        <v>16</v>
      </c>
      <c r="I1826" s="47"/>
      <c r="J1826" s="12" t="s">
        <v>3624</v>
      </c>
      <c r="K1826" s="13" t="s">
        <v>8596</v>
      </c>
      <c r="L1826" s="99" t="str">
        <f t="shared" si="136"/>
        <v>W126D.1</v>
      </c>
      <c r="M1826" s="45" t="s">
        <v>3667</v>
      </c>
      <c r="N1826" s="47"/>
      <c r="O1826" s="47"/>
      <c r="P1826" s="47"/>
      <c r="Q1826" s="45"/>
      <c r="R1826" s="45"/>
      <c r="S1826" s="48"/>
    </row>
    <row r="1827" spans="1:19" s="49" customFormat="1" ht="14.15" customHeight="1">
      <c r="A1827" s="43" t="s">
        <v>3732</v>
      </c>
      <c r="B1827" s="44" t="s">
        <v>6637</v>
      </c>
      <c r="C1827" s="50"/>
      <c r="D1827" s="10" t="s">
        <v>29</v>
      </c>
      <c r="E1827" s="11"/>
      <c r="F1827" s="11" t="s">
        <v>18</v>
      </c>
      <c r="G1827" s="13"/>
      <c r="H1827" s="45" t="s">
        <v>16</v>
      </c>
      <c r="I1827" s="47"/>
      <c r="J1827" s="12" t="s">
        <v>3720</v>
      </c>
      <c r="K1827" s="13" t="s">
        <v>8597</v>
      </c>
      <c r="L1827" s="99" t="str">
        <f t="shared" si="136"/>
        <v>W126D.2</v>
      </c>
      <c r="M1827" s="45" t="s">
        <v>3667</v>
      </c>
      <c r="N1827" s="47"/>
      <c r="O1827" s="47"/>
      <c r="P1827" s="47"/>
      <c r="Q1827" s="45"/>
      <c r="R1827" s="45"/>
      <c r="S1827" s="48"/>
    </row>
    <row r="1828" spans="1:19" s="49" customFormat="1" ht="14.15" customHeight="1">
      <c r="A1828" s="43" t="s">
        <v>3732</v>
      </c>
      <c r="B1828" s="44" t="s">
        <v>6637</v>
      </c>
      <c r="C1828" s="50"/>
      <c r="D1828" s="10" t="s">
        <v>29</v>
      </c>
      <c r="E1828" s="11"/>
      <c r="F1828" s="11" t="s">
        <v>18</v>
      </c>
      <c r="G1828" s="13"/>
      <c r="H1828" s="45" t="s">
        <v>16</v>
      </c>
      <c r="I1828" s="47"/>
      <c r="J1828" s="12" t="s">
        <v>3625</v>
      </c>
      <c r="K1828" s="13" t="s">
        <v>8598</v>
      </c>
      <c r="L1828" s="99" t="str">
        <f t="shared" si="136"/>
        <v>W126D.3</v>
      </c>
      <c r="M1828" s="45" t="s">
        <v>3667</v>
      </c>
      <c r="N1828" s="47"/>
      <c r="O1828" s="47"/>
      <c r="P1828" s="47"/>
      <c r="Q1828" s="45"/>
      <c r="R1828" s="45"/>
      <c r="S1828" s="48"/>
    </row>
    <row r="1829" spans="1:19" s="49" customFormat="1" ht="14.15" customHeight="1">
      <c r="A1829" s="43" t="s">
        <v>3732</v>
      </c>
      <c r="B1829" s="44" t="s">
        <v>6637</v>
      </c>
      <c r="C1829" s="50"/>
      <c r="D1829" s="10" t="s">
        <v>29</v>
      </c>
      <c r="E1829" s="11"/>
      <c r="F1829" s="11" t="s">
        <v>18</v>
      </c>
      <c r="G1829" s="13"/>
      <c r="H1829" s="45" t="s">
        <v>16</v>
      </c>
      <c r="I1829" s="47"/>
      <c r="J1829" s="12" t="s">
        <v>3626</v>
      </c>
      <c r="K1829" s="13" t="s">
        <v>8599</v>
      </c>
      <c r="L1829" s="99" t="str">
        <f t="shared" si="136"/>
        <v>W126D.4</v>
      </c>
      <c r="M1829" s="45" t="s">
        <v>3667</v>
      </c>
      <c r="N1829" s="47"/>
      <c r="O1829" s="47"/>
      <c r="P1829" s="47"/>
      <c r="Q1829" s="45"/>
      <c r="R1829" s="45"/>
      <c r="S1829" s="48"/>
    </row>
    <row r="1830" spans="1:19" s="49" customFormat="1" ht="14.15" customHeight="1">
      <c r="A1830" s="43" t="s">
        <v>3732</v>
      </c>
      <c r="B1830" s="44" t="s">
        <v>6637</v>
      </c>
      <c r="C1830" s="50"/>
      <c r="D1830" s="10" t="s">
        <v>29</v>
      </c>
      <c r="E1830" s="11"/>
      <c r="F1830" s="11" t="s">
        <v>18</v>
      </c>
      <c r="G1830" s="13"/>
      <c r="H1830" s="45" t="s">
        <v>16</v>
      </c>
      <c r="I1830" s="47"/>
      <c r="J1830" s="12" t="s">
        <v>3627</v>
      </c>
      <c r="K1830" s="13" t="s">
        <v>8600</v>
      </c>
      <c r="L1830" s="99" t="str">
        <f t="shared" si="136"/>
        <v>W126D.5</v>
      </c>
      <c r="M1830" s="45" t="s">
        <v>3667</v>
      </c>
      <c r="N1830" s="47"/>
      <c r="O1830" s="47"/>
      <c r="P1830" s="47"/>
      <c r="Q1830" s="45"/>
      <c r="R1830" s="45"/>
      <c r="S1830" s="48"/>
    </row>
    <row r="1831" spans="1:19" s="49" customFormat="1" ht="14.15" customHeight="1">
      <c r="A1831" s="43" t="s">
        <v>3732</v>
      </c>
      <c r="B1831" s="44" t="s">
        <v>6637</v>
      </c>
      <c r="C1831" s="50"/>
      <c r="D1831" s="10" t="s">
        <v>29</v>
      </c>
      <c r="E1831" s="11"/>
      <c r="F1831" s="11" t="s">
        <v>18</v>
      </c>
      <c r="G1831" s="13"/>
      <c r="H1831" s="45" t="s">
        <v>16</v>
      </c>
      <c r="I1831" s="47"/>
      <c r="J1831" s="12" t="s">
        <v>3628</v>
      </c>
      <c r="K1831" s="13" t="s">
        <v>8601</v>
      </c>
      <c r="L1831" s="99" t="str">
        <f t="shared" si="136"/>
        <v>W126D.6</v>
      </c>
      <c r="M1831" s="45" t="s">
        <v>3667</v>
      </c>
      <c r="N1831" s="47"/>
      <c r="O1831" s="47"/>
      <c r="P1831" s="47"/>
      <c r="Q1831" s="45"/>
      <c r="R1831" s="45"/>
      <c r="S1831" s="48"/>
    </row>
    <row r="1832" spans="1:19" s="49" customFormat="1" ht="14.15" customHeight="1">
      <c r="A1832" s="43" t="s">
        <v>3732</v>
      </c>
      <c r="B1832" s="44" t="s">
        <v>6637</v>
      </c>
      <c r="C1832" s="50"/>
      <c r="D1832" s="10" t="s">
        <v>29</v>
      </c>
      <c r="E1832" s="11"/>
      <c r="F1832" s="11" t="s">
        <v>18</v>
      </c>
      <c r="G1832" s="13"/>
      <c r="H1832" s="45" t="s">
        <v>16</v>
      </c>
      <c r="I1832" s="47"/>
      <c r="J1832" s="12" t="s">
        <v>3629</v>
      </c>
      <c r="K1832" s="13" t="s">
        <v>8602</v>
      </c>
      <c r="L1832" s="99" t="str">
        <f t="shared" si="136"/>
        <v>W126D.7</v>
      </c>
      <c r="M1832" s="45" t="s">
        <v>3667</v>
      </c>
      <c r="N1832" s="47"/>
      <c r="O1832" s="47"/>
      <c r="P1832" s="47"/>
      <c r="Q1832" s="45"/>
      <c r="R1832" s="45"/>
      <c r="S1832" s="48"/>
    </row>
    <row r="1833" spans="1:19" s="49" customFormat="1" ht="14.15" customHeight="1">
      <c r="A1833" s="45"/>
      <c r="B1833" s="44" t="s">
        <v>6637</v>
      </c>
      <c r="C1833" s="50"/>
      <c r="D1833" s="10" t="s">
        <v>29</v>
      </c>
      <c r="E1833" s="11"/>
      <c r="F1833" s="11" t="s">
        <v>18</v>
      </c>
      <c r="G1833" s="13"/>
      <c r="H1833" s="45" t="s">
        <v>16</v>
      </c>
      <c r="I1833" s="47"/>
      <c r="J1833" s="12" t="s">
        <v>1502</v>
      </c>
      <c r="K1833" s="13" t="s">
        <v>8603</v>
      </c>
      <c r="L1833" s="99" t="str">
        <f t="shared" si="136"/>
        <v>W126D.8</v>
      </c>
      <c r="M1833" s="45"/>
      <c r="N1833" s="47"/>
      <c r="O1833" s="47"/>
      <c r="P1833" s="47"/>
      <c r="Q1833" s="45"/>
      <c r="R1833" s="45"/>
      <c r="S1833" s="48"/>
    </row>
    <row r="1834" spans="1:19" s="49" customFormat="1" ht="14.15" customHeight="1">
      <c r="A1834" s="43" t="s">
        <v>3732</v>
      </c>
      <c r="B1834" s="44" t="s">
        <v>6637</v>
      </c>
      <c r="C1834" s="50"/>
      <c r="D1834" s="10" t="s">
        <v>29</v>
      </c>
      <c r="E1834" s="11"/>
      <c r="F1834" s="11" t="s">
        <v>18</v>
      </c>
      <c r="G1834" s="13"/>
      <c r="H1834" s="45" t="s">
        <v>16</v>
      </c>
      <c r="I1834" s="47"/>
      <c r="J1834" s="12" t="s">
        <v>3630</v>
      </c>
      <c r="K1834" s="13" t="s">
        <v>8604</v>
      </c>
      <c r="L1834" s="99" t="str">
        <f t="shared" si="136"/>
        <v>W126D.9</v>
      </c>
      <c r="M1834" s="45" t="s">
        <v>3667</v>
      </c>
      <c r="N1834" s="47"/>
      <c r="O1834" s="47"/>
      <c r="P1834" s="47"/>
      <c r="Q1834" s="45"/>
      <c r="R1834" s="45"/>
      <c r="S1834" s="48"/>
    </row>
    <row r="1835" spans="1:19" s="49" customFormat="1" ht="14.15" customHeight="1">
      <c r="A1835" s="45"/>
      <c r="B1835" s="44" t="s">
        <v>6637</v>
      </c>
      <c r="C1835" s="50"/>
      <c r="D1835" s="10" t="s">
        <v>29</v>
      </c>
      <c r="E1835" s="11"/>
      <c r="F1835" s="11" t="s">
        <v>18</v>
      </c>
      <c r="G1835" s="13"/>
      <c r="H1835" s="45" t="s">
        <v>16</v>
      </c>
      <c r="I1835" s="47"/>
      <c r="J1835" s="12" t="s">
        <v>1504</v>
      </c>
      <c r="K1835" s="13" t="s">
        <v>8605</v>
      </c>
      <c r="L1835" s="99" t="str">
        <f t="shared" si="136"/>
        <v>W126D.A</v>
      </c>
      <c r="M1835" s="45"/>
      <c r="N1835" s="47"/>
      <c r="O1835" s="47"/>
      <c r="P1835" s="47"/>
      <c r="Q1835" s="45"/>
      <c r="R1835" s="45"/>
      <c r="S1835" s="48"/>
    </row>
    <row r="1836" spans="1:19" s="49" customFormat="1" ht="14.15" customHeight="1">
      <c r="A1836" s="45"/>
      <c r="B1836" s="44" t="s">
        <v>6637</v>
      </c>
      <c r="C1836" s="50"/>
      <c r="D1836" s="10" t="s">
        <v>29</v>
      </c>
      <c r="E1836" s="11"/>
      <c r="F1836" s="11" t="s">
        <v>18</v>
      </c>
      <c r="G1836" s="13"/>
      <c r="H1836" s="45" t="s">
        <v>16</v>
      </c>
      <c r="I1836" s="47"/>
      <c r="J1836" s="12" t="s">
        <v>1505</v>
      </c>
      <c r="K1836" s="13" t="s">
        <v>8606</v>
      </c>
      <c r="L1836" s="99" t="str">
        <f t="shared" si="136"/>
        <v>W126D.B</v>
      </c>
      <c r="M1836" s="45"/>
      <c r="N1836" s="47"/>
      <c r="O1836" s="47"/>
      <c r="P1836" s="47"/>
      <c r="Q1836" s="45"/>
      <c r="R1836" s="45"/>
      <c r="S1836" s="48"/>
    </row>
    <row r="1837" spans="1:19" s="49" customFormat="1" ht="14.15" customHeight="1">
      <c r="A1837" s="45"/>
      <c r="B1837" s="44" t="s">
        <v>6637</v>
      </c>
      <c r="C1837" s="50"/>
      <c r="D1837" s="10" t="s">
        <v>29</v>
      </c>
      <c r="E1837" s="11"/>
      <c r="F1837" s="11" t="s">
        <v>18</v>
      </c>
      <c r="G1837" s="13"/>
      <c r="H1837" s="45" t="s">
        <v>16</v>
      </c>
      <c r="I1837" s="47"/>
      <c r="J1837" s="12" t="s">
        <v>1506</v>
      </c>
      <c r="K1837" s="13" t="s">
        <v>8607</v>
      </c>
      <c r="L1837" s="99" t="str">
        <f t="shared" si="136"/>
        <v>W126D.C</v>
      </c>
      <c r="M1837" s="45"/>
      <c r="N1837" s="47"/>
      <c r="O1837" s="47"/>
      <c r="P1837" s="47"/>
      <c r="Q1837" s="45"/>
      <c r="R1837" s="45"/>
      <c r="S1837" s="48"/>
    </row>
    <row r="1838" spans="1:19" s="49" customFormat="1" ht="14.15" customHeight="1">
      <c r="A1838" s="45"/>
      <c r="B1838" s="44" t="s">
        <v>6637</v>
      </c>
      <c r="C1838" s="50"/>
      <c r="D1838" s="10" t="s">
        <v>29</v>
      </c>
      <c r="E1838" s="11"/>
      <c r="F1838" s="11" t="s">
        <v>18</v>
      </c>
      <c r="G1838" s="13"/>
      <c r="H1838" s="45" t="s">
        <v>16</v>
      </c>
      <c r="I1838" s="47"/>
      <c r="J1838" s="12" t="s">
        <v>1507</v>
      </c>
      <c r="K1838" s="13" t="s">
        <v>8608</v>
      </c>
      <c r="L1838" s="99" t="str">
        <f t="shared" si="136"/>
        <v>W126D.D</v>
      </c>
      <c r="M1838" s="45"/>
      <c r="N1838" s="47"/>
      <c r="O1838" s="47"/>
      <c r="P1838" s="47"/>
      <c r="Q1838" s="45"/>
      <c r="R1838" s="45"/>
      <c r="S1838" s="48"/>
    </row>
    <row r="1839" spans="1:19" s="49" customFormat="1" ht="14.15" customHeight="1">
      <c r="A1839" s="43" t="s">
        <v>3732</v>
      </c>
      <c r="B1839" s="44" t="s">
        <v>6637</v>
      </c>
      <c r="C1839" s="50"/>
      <c r="D1839" s="10" t="s">
        <v>29</v>
      </c>
      <c r="E1839" s="11"/>
      <c r="F1839" s="11" t="s">
        <v>18</v>
      </c>
      <c r="G1839" s="13"/>
      <c r="H1839" s="45" t="s">
        <v>16</v>
      </c>
      <c r="I1839" s="47"/>
      <c r="J1839" s="12" t="s">
        <v>3631</v>
      </c>
      <c r="K1839" s="13" t="s">
        <v>8609</v>
      </c>
      <c r="L1839" s="99" t="str">
        <f t="shared" si="136"/>
        <v>W126D.E</v>
      </c>
      <c r="M1839" s="45" t="s">
        <v>3667</v>
      </c>
      <c r="N1839" s="47"/>
      <c r="O1839" s="47"/>
      <c r="P1839" s="47"/>
      <c r="Q1839" s="45"/>
      <c r="R1839" s="45"/>
      <c r="S1839" s="48"/>
    </row>
    <row r="1840" spans="1:19" s="49" customFormat="1" ht="14.15" customHeight="1">
      <c r="A1840" s="45"/>
      <c r="B1840" s="44" t="s">
        <v>6637</v>
      </c>
      <c r="C1840" s="50"/>
      <c r="D1840" s="10" t="s">
        <v>29</v>
      </c>
      <c r="E1840" s="11"/>
      <c r="F1840" s="11" t="s">
        <v>18</v>
      </c>
      <c r="G1840" s="13"/>
      <c r="H1840" s="45" t="s">
        <v>16</v>
      </c>
      <c r="I1840" s="47"/>
      <c r="J1840" s="12" t="s">
        <v>1509</v>
      </c>
      <c r="K1840" s="13" t="s">
        <v>8610</v>
      </c>
      <c r="L1840" s="99" t="str">
        <f t="shared" si="136"/>
        <v>W126D.F</v>
      </c>
      <c r="M1840" s="45"/>
      <c r="N1840" s="47"/>
      <c r="O1840" s="47"/>
      <c r="P1840" s="47"/>
      <c r="Q1840" s="45"/>
      <c r="R1840" s="45"/>
      <c r="S1840" s="48"/>
    </row>
    <row r="1841" spans="1:19" s="49" customFormat="1" ht="14.15" customHeight="1">
      <c r="A1841" s="45"/>
      <c r="B1841" s="44" t="s">
        <v>6637</v>
      </c>
      <c r="C1841" s="50"/>
      <c r="D1841" s="10" t="s">
        <v>29</v>
      </c>
      <c r="E1841" s="11"/>
      <c r="F1841" s="11" t="s">
        <v>18</v>
      </c>
      <c r="G1841" s="13"/>
      <c r="H1841" s="45" t="s">
        <v>16</v>
      </c>
      <c r="I1841" s="47"/>
      <c r="J1841" s="12" t="s">
        <v>1510</v>
      </c>
      <c r="K1841" s="13" t="s">
        <v>8611</v>
      </c>
      <c r="L1841" s="99" t="str">
        <f t="shared" si="136"/>
        <v>W126E.0</v>
      </c>
      <c r="M1841" s="45"/>
      <c r="N1841" s="47"/>
      <c r="O1841" s="47"/>
      <c r="P1841" s="47"/>
      <c r="Q1841" s="45"/>
      <c r="R1841" s="45"/>
      <c r="S1841" s="48"/>
    </row>
    <row r="1842" spans="1:19" s="49" customFormat="1" ht="14.15" customHeight="1">
      <c r="A1842" s="45"/>
      <c r="B1842" s="44" t="s">
        <v>6637</v>
      </c>
      <c r="C1842" s="50"/>
      <c r="D1842" s="10" t="s">
        <v>29</v>
      </c>
      <c r="E1842" s="11"/>
      <c r="F1842" s="11" t="s">
        <v>18</v>
      </c>
      <c r="G1842" s="13"/>
      <c r="H1842" s="45" t="s">
        <v>16</v>
      </c>
      <c r="I1842" s="47"/>
      <c r="J1842" s="12" t="s">
        <v>1511</v>
      </c>
      <c r="K1842" s="13" t="s">
        <v>8612</v>
      </c>
      <c r="L1842" s="99" t="str">
        <f t="shared" si="136"/>
        <v>W126E.1</v>
      </c>
      <c r="M1842" s="45"/>
      <c r="N1842" s="47"/>
      <c r="O1842" s="47"/>
      <c r="P1842" s="47"/>
      <c r="Q1842" s="45"/>
      <c r="R1842" s="45"/>
      <c r="S1842" s="48"/>
    </row>
    <row r="1843" spans="1:19" s="49" customFormat="1" ht="14.15" customHeight="1">
      <c r="A1843" s="45"/>
      <c r="B1843" s="44" t="s">
        <v>6637</v>
      </c>
      <c r="C1843" s="50"/>
      <c r="D1843" s="10" t="s">
        <v>29</v>
      </c>
      <c r="E1843" s="11"/>
      <c r="F1843" s="11" t="s">
        <v>18</v>
      </c>
      <c r="G1843" s="13"/>
      <c r="H1843" s="45" t="s">
        <v>16</v>
      </c>
      <c r="I1843" s="47"/>
      <c r="J1843" s="12" t="s">
        <v>1512</v>
      </c>
      <c r="K1843" s="13" t="s">
        <v>8613</v>
      </c>
      <c r="L1843" s="99" t="str">
        <f t="shared" si="136"/>
        <v>W126E.2</v>
      </c>
      <c r="M1843" s="45"/>
      <c r="N1843" s="47"/>
      <c r="O1843" s="47"/>
      <c r="P1843" s="47"/>
      <c r="Q1843" s="45"/>
      <c r="R1843" s="45"/>
      <c r="S1843" s="48"/>
    </row>
    <row r="1844" spans="1:19" s="49" customFormat="1" ht="14.15" customHeight="1">
      <c r="A1844" s="45"/>
      <c r="B1844" s="44" t="s">
        <v>6637</v>
      </c>
      <c r="C1844" s="50"/>
      <c r="D1844" s="10" t="s">
        <v>29</v>
      </c>
      <c r="E1844" s="11"/>
      <c r="F1844" s="11" t="s">
        <v>18</v>
      </c>
      <c r="G1844" s="13"/>
      <c r="H1844" s="45" t="s">
        <v>16</v>
      </c>
      <c r="I1844" s="47"/>
      <c r="J1844" s="12" t="s">
        <v>1513</v>
      </c>
      <c r="K1844" s="13" t="s">
        <v>8614</v>
      </c>
      <c r="L1844" s="99" t="str">
        <f t="shared" si="136"/>
        <v>W126E.3</v>
      </c>
      <c r="M1844" s="45"/>
      <c r="N1844" s="47"/>
      <c r="O1844" s="47"/>
      <c r="P1844" s="47"/>
      <c r="Q1844" s="45"/>
      <c r="R1844" s="45"/>
      <c r="S1844" s="48"/>
    </row>
    <row r="1845" spans="1:19" s="49" customFormat="1" ht="14.15" customHeight="1">
      <c r="A1845" s="45"/>
      <c r="B1845" s="44" t="s">
        <v>6637</v>
      </c>
      <c r="C1845" s="50"/>
      <c r="D1845" s="10" t="s">
        <v>29</v>
      </c>
      <c r="E1845" s="11"/>
      <c r="F1845" s="11" t="s">
        <v>18</v>
      </c>
      <c r="G1845" s="13"/>
      <c r="H1845" s="45" t="s">
        <v>16</v>
      </c>
      <c r="I1845" s="47"/>
      <c r="J1845" s="12" t="s">
        <v>1514</v>
      </c>
      <c r="K1845" s="13" t="s">
        <v>8615</v>
      </c>
      <c r="L1845" s="99" t="str">
        <f t="shared" si="136"/>
        <v>W126E.4</v>
      </c>
      <c r="M1845" s="45"/>
      <c r="N1845" s="47"/>
      <c r="O1845" s="47"/>
      <c r="P1845" s="47"/>
      <c r="Q1845" s="45"/>
      <c r="R1845" s="45"/>
      <c r="S1845" s="48"/>
    </row>
    <row r="1846" spans="1:19" s="49" customFormat="1" ht="14.15" customHeight="1">
      <c r="A1846" s="45"/>
      <c r="B1846" s="44" t="s">
        <v>6637</v>
      </c>
      <c r="C1846" s="50"/>
      <c r="D1846" s="10" t="s">
        <v>29</v>
      </c>
      <c r="E1846" s="11"/>
      <c r="F1846" s="11" t="s">
        <v>18</v>
      </c>
      <c r="G1846" s="13"/>
      <c r="H1846" s="45" t="s">
        <v>16</v>
      </c>
      <c r="I1846" s="47"/>
      <c r="J1846" s="12" t="s">
        <v>1515</v>
      </c>
      <c r="K1846" s="13" t="s">
        <v>8616</v>
      </c>
      <c r="L1846" s="99" t="str">
        <f t="shared" si="136"/>
        <v>W126E.5</v>
      </c>
      <c r="M1846" s="45"/>
      <c r="N1846" s="47"/>
      <c r="O1846" s="47"/>
      <c r="P1846" s="47"/>
      <c r="Q1846" s="45"/>
      <c r="R1846" s="45"/>
      <c r="S1846" s="48"/>
    </row>
    <row r="1847" spans="1:19" s="49" customFormat="1" ht="14.15" customHeight="1">
      <c r="A1847" s="45"/>
      <c r="B1847" s="44" t="s">
        <v>6637</v>
      </c>
      <c r="C1847" s="50"/>
      <c r="D1847" s="10" t="s">
        <v>29</v>
      </c>
      <c r="E1847" s="11"/>
      <c r="F1847" s="11" t="s">
        <v>18</v>
      </c>
      <c r="G1847" s="13"/>
      <c r="H1847" s="45" t="s">
        <v>16</v>
      </c>
      <c r="I1847" s="47"/>
      <c r="J1847" s="12" t="s">
        <v>1516</v>
      </c>
      <c r="K1847" s="13" t="s">
        <v>8617</v>
      </c>
      <c r="L1847" s="99" t="str">
        <f t="shared" si="136"/>
        <v>W126E.6</v>
      </c>
      <c r="M1847" s="45"/>
      <c r="N1847" s="47"/>
      <c r="O1847" s="47"/>
      <c r="P1847" s="47"/>
      <c r="Q1847" s="45"/>
      <c r="R1847" s="45"/>
      <c r="S1847" s="48"/>
    </row>
    <row r="1848" spans="1:19" s="49" customFormat="1" ht="14.15" customHeight="1">
      <c r="A1848" s="45"/>
      <c r="B1848" s="44" t="s">
        <v>6637</v>
      </c>
      <c r="C1848" s="50"/>
      <c r="D1848" s="10" t="s">
        <v>29</v>
      </c>
      <c r="E1848" s="11"/>
      <c r="F1848" s="11" t="s">
        <v>18</v>
      </c>
      <c r="G1848" s="13"/>
      <c r="H1848" s="45" t="s">
        <v>16</v>
      </c>
      <c r="I1848" s="47"/>
      <c r="J1848" s="12" t="s">
        <v>1517</v>
      </c>
      <c r="K1848" s="13" t="s">
        <v>8618</v>
      </c>
      <c r="L1848" s="99" t="str">
        <f t="shared" si="136"/>
        <v>W126E.7</v>
      </c>
      <c r="M1848" s="45"/>
      <c r="N1848" s="47"/>
      <c r="O1848" s="47"/>
      <c r="P1848" s="47"/>
      <c r="Q1848" s="45"/>
      <c r="R1848" s="45"/>
      <c r="S1848" s="48"/>
    </row>
    <row r="1849" spans="1:19" s="49" customFormat="1" ht="14.15" customHeight="1">
      <c r="A1849" s="45"/>
      <c r="B1849" s="44" t="s">
        <v>6637</v>
      </c>
      <c r="C1849" s="50"/>
      <c r="D1849" s="10" t="s">
        <v>29</v>
      </c>
      <c r="E1849" s="11"/>
      <c r="F1849" s="11" t="s">
        <v>18</v>
      </c>
      <c r="G1849" s="13"/>
      <c r="H1849" s="45" t="s">
        <v>16</v>
      </c>
      <c r="I1849" s="47"/>
      <c r="J1849" s="12" t="s">
        <v>1518</v>
      </c>
      <c r="K1849" s="13" t="s">
        <v>8619</v>
      </c>
      <c r="L1849" s="99" t="str">
        <f t="shared" si="136"/>
        <v>W126E.8</v>
      </c>
      <c r="M1849" s="45"/>
      <c r="N1849" s="47"/>
      <c r="O1849" s="47"/>
      <c r="P1849" s="47"/>
      <c r="Q1849" s="45"/>
      <c r="R1849" s="45"/>
      <c r="S1849" s="48"/>
    </row>
    <row r="1850" spans="1:19" s="49" customFormat="1" ht="14.15" customHeight="1">
      <c r="A1850" s="45"/>
      <c r="B1850" s="44" t="s">
        <v>6637</v>
      </c>
      <c r="C1850" s="50"/>
      <c r="D1850" s="10" t="s">
        <v>29</v>
      </c>
      <c r="E1850" s="11"/>
      <c r="F1850" s="11" t="s">
        <v>18</v>
      </c>
      <c r="G1850" s="13"/>
      <c r="H1850" s="45" t="s">
        <v>16</v>
      </c>
      <c r="I1850" s="47"/>
      <c r="J1850" s="12" t="s">
        <v>1519</v>
      </c>
      <c r="K1850" s="13" t="s">
        <v>8620</v>
      </c>
      <c r="L1850" s="99" t="str">
        <f t="shared" si="136"/>
        <v>W126E.9</v>
      </c>
      <c r="M1850" s="45"/>
      <c r="N1850" s="47"/>
      <c r="O1850" s="47"/>
      <c r="P1850" s="47"/>
      <c r="Q1850" s="45"/>
      <c r="R1850" s="45"/>
      <c r="S1850" s="48"/>
    </row>
    <row r="1851" spans="1:19" s="49" customFormat="1" ht="14.15" customHeight="1">
      <c r="A1851" s="45"/>
      <c r="B1851" s="44" t="s">
        <v>6637</v>
      </c>
      <c r="C1851" s="50"/>
      <c r="D1851" s="10" t="s">
        <v>29</v>
      </c>
      <c r="E1851" s="11"/>
      <c r="F1851" s="11" t="s">
        <v>18</v>
      </c>
      <c r="G1851" s="13"/>
      <c r="H1851" s="45" t="s">
        <v>16</v>
      </c>
      <c r="I1851" s="47"/>
      <c r="J1851" s="12" t="s">
        <v>1520</v>
      </c>
      <c r="K1851" s="13" t="s">
        <v>8621</v>
      </c>
      <c r="L1851" s="99" t="str">
        <f t="shared" si="136"/>
        <v>W126E.A</v>
      </c>
      <c r="M1851" s="45"/>
      <c r="N1851" s="47"/>
      <c r="O1851" s="47"/>
      <c r="P1851" s="47"/>
      <c r="Q1851" s="45"/>
      <c r="R1851" s="45"/>
      <c r="S1851" s="48"/>
    </row>
    <row r="1852" spans="1:19" s="49" customFormat="1" ht="14.15" customHeight="1">
      <c r="A1852" s="45"/>
      <c r="B1852" s="44" t="s">
        <v>6637</v>
      </c>
      <c r="C1852" s="50"/>
      <c r="D1852" s="10" t="s">
        <v>29</v>
      </c>
      <c r="E1852" s="11"/>
      <c r="F1852" s="11" t="s">
        <v>18</v>
      </c>
      <c r="G1852" s="13"/>
      <c r="H1852" s="45" t="s">
        <v>16</v>
      </c>
      <c r="I1852" s="47"/>
      <c r="J1852" s="12" t="s">
        <v>1521</v>
      </c>
      <c r="K1852" s="13" t="s">
        <v>8622</v>
      </c>
      <c r="L1852" s="99" t="str">
        <f t="shared" si="136"/>
        <v>W126E.B</v>
      </c>
      <c r="M1852" s="45"/>
      <c r="N1852" s="47"/>
      <c r="O1852" s="47"/>
      <c r="P1852" s="47"/>
      <c r="Q1852" s="45"/>
      <c r="R1852" s="45"/>
      <c r="S1852" s="48"/>
    </row>
    <row r="1853" spans="1:19" s="49" customFormat="1" ht="14.15" customHeight="1">
      <c r="A1853" s="45"/>
      <c r="B1853" s="44" t="s">
        <v>6637</v>
      </c>
      <c r="C1853" s="50"/>
      <c r="D1853" s="10" t="s">
        <v>29</v>
      </c>
      <c r="E1853" s="11"/>
      <c r="F1853" s="11" t="s">
        <v>18</v>
      </c>
      <c r="G1853" s="13"/>
      <c r="H1853" s="45" t="s">
        <v>16</v>
      </c>
      <c r="I1853" s="47"/>
      <c r="J1853" s="12" t="s">
        <v>1522</v>
      </c>
      <c r="K1853" s="13" t="s">
        <v>8623</v>
      </c>
      <c r="L1853" s="99" t="str">
        <f t="shared" si="136"/>
        <v>W126E.C</v>
      </c>
      <c r="M1853" s="45"/>
      <c r="N1853" s="47"/>
      <c r="O1853" s="47"/>
      <c r="P1853" s="47"/>
      <c r="Q1853" s="45"/>
      <c r="R1853" s="45"/>
      <c r="S1853" s="48"/>
    </row>
    <row r="1854" spans="1:19" s="49" customFormat="1" ht="14.15" customHeight="1">
      <c r="A1854" s="45"/>
      <c r="B1854" s="44" t="s">
        <v>6637</v>
      </c>
      <c r="C1854" s="50"/>
      <c r="D1854" s="10" t="s">
        <v>29</v>
      </c>
      <c r="E1854" s="11"/>
      <c r="F1854" s="11" t="s">
        <v>18</v>
      </c>
      <c r="G1854" s="13"/>
      <c r="H1854" s="45" t="s">
        <v>16</v>
      </c>
      <c r="I1854" s="47"/>
      <c r="J1854" s="12" t="s">
        <v>1523</v>
      </c>
      <c r="K1854" s="13" t="s">
        <v>8624</v>
      </c>
      <c r="L1854" s="99" t="str">
        <f t="shared" si="136"/>
        <v>W126E.D</v>
      </c>
      <c r="M1854" s="45"/>
      <c r="N1854" s="47"/>
      <c r="O1854" s="47"/>
      <c r="P1854" s="47"/>
      <c r="Q1854" s="45"/>
      <c r="R1854" s="45"/>
      <c r="S1854" s="48"/>
    </row>
    <row r="1855" spans="1:19" s="49" customFormat="1" ht="14.15" customHeight="1">
      <c r="A1855" s="45"/>
      <c r="B1855" s="44" t="s">
        <v>6637</v>
      </c>
      <c r="C1855" s="50"/>
      <c r="D1855" s="10" t="s">
        <v>29</v>
      </c>
      <c r="E1855" s="11"/>
      <c r="F1855" s="11" t="s">
        <v>18</v>
      </c>
      <c r="G1855" s="13"/>
      <c r="H1855" s="45" t="s">
        <v>16</v>
      </c>
      <c r="I1855" s="47"/>
      <c r="J1855" s="12" t="s">
        <v>1524</v>
      </c>
      <c r="K1855" s="13" t="s">
        <v>8625</v>
      </c>
      <c r="L1855" s="99" t="str">
        <f t="shared" si="136"/>
        <v>W126E.E</v>
      </c>
      <c r="M1855" s="45"/>
      <c r="N1855" s="47"/>
      <c r="O1855" s="47"/>
      <c r="P1855" s="47"/>
      <c r="Q1855" s="45"/>
      <c r="R1855" s="45"/>
      <c r="S1855" s="48"/>
    </row>
    <row r="1856" spans="1:19" s="49" customFormat="1" ht="14.15" customHeight="1">
      <c r="A1856" s="45"/>
      <c r="B1856" s="44" t="s">
        <v>6637</v>
      </c>
      <c r="C1856" s="50"/>
      <c r="D1856" s="10" t="s">
        <v>29</v>
      </c>
      <c r="E1856" s="11"/>
      <c r="F1856" s="11" t="s">
        <v>18</v>
      </c>
      <c r="G1856" s="13"/>
      <c r="H1856" s="45" t="s">
        <v>16</v>
      </c>
      <c r="I1856" s="47"/>
      <c r="J1856" s="12" t="s">
        <v>1525</v>
      </c>
      <c r="K1856" s="13" t="s">
        <v>8626</v>
      </c>
      <c r="L1856" s="99" t="str">
        <f t="shared" si="136"/>
        <v>W126E.F</v>
      </c>
      <c r="M1856" s="45"/>
      <c r="N1856" s="47"/>
      <c r="O1856" s="47"/>
      <c r="P1856" s="47"/>
      <c r="Q1856" s="45"/>
      <c r="R1856" s="45"/>
      <c r="S1856" s="48"/>
    </row>
    <row r="1857" spans="1:19" s="49" customFormat="1" ht="14.15" customHeight="1">
      <c r="A1857" s="45"/>
      <c r="B1857" s="44" t="s">
        <v>6637</v>
      </c>
      <c r="C1857" s="50"/>
      <c r="D1857" s="10" t="s">
        <v>29</v>
      </c>
      <c r="E1857" s="11"/>
      <c r="F1857" s="11" t="s">
        <v>18</v>
      </c>
      <c r="G1857" s="13"/>
      <c r="H1857" s="45" t="s">
        <v>16</v>
      </c>
      <c r="I1857" s="47"/>
      <c r="J1857" s="12" t="s">
        <v>1526</v>
      </c>
      <c r="K1857" s="13" t="s">
        <v>8627</v>
      </c>
      <c r="L1857" s="99" t="str">
        <f t="shared" si="136"/>
        <v>W126F.0</v>
      </c>
      <c r="M1857" s="45"/>
      <c r="N1857" s="47"/>
      <c r="O1857" s="47"/>
      <c r="P1857" s="47"/>
      <c r="Q1857" s="45"/>
      <c r="R1857" s="45"/>
      <c r="S1857" s="48"/>
    </row>
    <row r="1858" spans="1:19" s="49" customFormat="1" ht="14.15" customHeight="1">
      <c r="A1858" s="45"/>
      <c r="B1858" s="44" t="s">
        <v>6637</v>
      </c>
      <c r="C1858" s="50"/>
      <c r="D1858" s="10" t="s">
        <v>29</v>
      </c>
      <c r="E1858" s="11"/>
      <c r="F1858" s="11" t="s">
        <v>18</v>
      </c>
      <c r="G1858" s="13"/>
      <c r="H1858" s="45" t="s">
        <v>16</v>
      </c>
      <c r="I1858" s="47"/>
      <c r="J1858" s="12" t="s">
        <v>1527</v>
      </c>
      <c r="K1858" s="13" t="s">
        <v>8628</v>
      </c>
      <c r="L1858" s="99" t="str">
        <f t="shared" si="136"/>
        <v>W126F.1</v>
      </c>
      <c r="M1858" s="45"/>
      <c r="N1858" s="47"/>
      <c r="O1858" s="47"/>
      <c r="P1858" s="47"/>
      <c r="Q1858" s="45"/>
      <c r="R1858" s="45"/>
      <c r="S1858" s="48"/>
    </row>
    <row r="1859" spans="1:19" s="49" customFormat="1" ht="14.15" customHeight="1">
      <c r="A1859" s="45"/>
      <c r="B1859" s="44" t="s">
        <v>6637</v>
      </c>
      <c r="C1859" s="50"/>
      <c r="D1859" s="10" t="s">
        <v>29</v>
      </c>
      <c r="E1859" s="11"/>
      <c r="F1859" s="11" t="s">
        <v>18</v>
      </c>
      <c r="G1859" s="13"/>
      <c r="H1859" s="45" t="s">
        <v>16</v>
      </c>
      <c r="I1859" s="47"/>
      <c r="J1859" s="12" t="s">
        <v>1528</v>
      </c>
      <c r="K1859" s="13" t="s">
        <v>8629</v>
      </c>
      <c r="L1859" s="99" t="str">
        <f t="shared" si="136"/>
        <v>W126F.2</v>
      </c>
      <c r="M1859" s="45"/>
      <c r="N1859" s="47"/>
      <c r="O1859" s="47"/>
      <c r="P1859" s="47"/>
      <c r="Q1859" s="45"/>
      <c r="R1859" s="45"/>
      <c r="S1859" s="48"/>
    </row>
    <row r="1860" spans="1:19" s="49" customFormat="1" ht="14.15" customHeight="1">
      <c r="A1860" s="45"/>
      <c r="B1860" s="44" t="s">
        <v>6637</v>
      </c>
      <c r="C1860" s="50"/>
      <c r="D1860" s="10" t="s">
        <v>29</v>
      </c>
      <c r="E1860" s="11"/>
      <c r="F1860" s="11" t="s">
        <v>18</v>
      </c>
      <c r="G1860" s="13"/>
      <c r="H1860" s="45" t="s">
        <v>16</v>
      </c>
      <c r="I1860" s="47"/>
      <c r="J1860" s="12" t="s">
        <v>1529</v>
      </c>
      <c r="K1860" s="13" t="s">
        <v>8630</v>
      </c>
      <c r="L1860" s="99" t="str">
        <f t="shared" si="136"/>
        <v>W126F.3</v>
      </c>
      <c r="M1860" s="45"/>
      <c r="N1860" s="47"/>
      <c r="O1860" s="47"/>
      <c r="P1860" s="47"/>
      <c r="Q1860" s="45"/>
      <c r="R1860" s="45"/>
      <c r="S1860" s="48"/>
    </row>
    <row r="1861" spans="1:19" s="49" customFormat="1" ht="14.15" customHeight="1">
      <c r="A1861" s="45"/>
      <c r="B1861" s="44" t="s">
        <v>6637</v>
      </c>
      <c r="C1861" s="50"/>
      <c r="D1861" s="10" t="s">
        <v>29</v>
      </c>
      <c r="E1861" s="11"/>
      <c r="F1861" s="11" t="s">
        <v>18</v>
      </c>
      <c r="G1861" s="13"/>
      <c r="H1861" s="45" t="s">
        <v>16</v>
      </c>
      <c r="I1861" s="47"/>
      <c r="J1861" s="12" t="s">
        <v>1500</v>
      </c>
      <c r="K1861" s="13" t="s">
        <v>8631</v>
      </c>
      <c r="L1861" s="99" t="str">
        <f t="shared" si="136"/>
        <v>W126F.4</v>
      </c>
      <c r="M1861" s="45"/>
      <c r="N1861" s="47"/>
      <c r="O1861" s="47"/>
      <c r="P1861" s="47"/>
      <c r="Q1861" s="45"/>
      <c r="R1861" s="45"/>
      <c r="S1861" s="48"/>
    </row>
    <row r="1862" spans="1:19" s="49" customFormat="1" ht="14.15" customHeight="1">
      <c r="A1862" s="45"/>
      <c r="B1862" s="44" t="s">
        <v>6637</v>
      </c>
      <c r="C1862" s="50"/>
      <c r="D1862" s="10" t="s">
        <v>29</v>
      </c>
      <c r="E1862" s="11"/>
      <c r="F1862" s="11" t="s">
        <v>18</v>
      </c>
      <c r="G1862" s="13"/>
      <c r="H1862" s="45" t="s">
        <v>16</v>
      </c>
      <c r="I1862" s="47"/>
      <c r="J1862" s="12" t="s">
        <v>1531</v>
      </c>
      <c r="K1862" s="13" t="s">
        <v>8632</v>
      </c>
      <c r="L1862" s="99" t="str">
        <f t="shared" si="136"/>
        <v>W126F.5</v>
      </c>
      <c r="M1862" s="45"/>
      <c r="N1862" s="47"/>
      <c r="O1862" s="47"/>
      <c r="P1862" s="47"/>
      <c r="Q1862" s="45"/>
      <c r="R1862" s="45"/>
      <c r="S1862" s="48"/>
    </row>
    <row r="1863" spans="1:19" s="49" customFormat="1" ht="14.15" customHeight="1">
      <c r="A1863" s="45"/>
      <c r="B1863" s="44" t="s">
        <v>6637</v>
      </c>
      <c r="C1863" s="50"/>
      <c r="D1863" s="10" t="s">
        <v>29</v>
      </c>
      <c r="E1863" s="11"/>
      <c r="F1863" s="11" t="s">
        <v>18</v>
      </c>
      <c r="G1863" s="13"/>
      <c r="H1863" s="45" t="s">
        <v>16</v>
      </c>
      <c r="I1863" s="47"/>
      <c r="J1863" s="12" t="s">
        <v>1532</v>
      </c>
      <c r="K1863" s="13" t="s">
        <v>8633</v>
      </c>
      <c r="L1863" s="99" t="str">
        <f t="shared" si="136"/>
        <v>W126F.6</v>
      </c>
      <c r="M1863" s="45"/>
      <c r="N1863" s="47"/>
      <c r="O1863" s="47"/>
      <c r="P1863" s="47"/>
      <c r="Q1863" s="45"/>
      <c r="R1863" s="45"/>
      <c r="S1863" s="48"/>
    </row>
    <row r="1864" spans="1:19" s="49" customFormat="1" ht="14.15" customHeight="1">
      <c r="A1864" s="45"/>
      <c r="B1864" s="44" t="s">
        <v>6637</v>
      </c>
      <c r="C1864" s="50"/>
      <c r="D1864" s="10" t="s">
        <v>29</v>
      </c>
      <c r="E1864" s="11"/>
      <c r="F1864" s="11" t="s">
        <v>18</v>
      </c>
      <c r="G1864" s="13"/>
      <c r="H1864" s="45" t="s">
        <v>16</v>
      </c>
      <c r="I1864" s="47"/>
      <c r="J1864" s="12" t="s">
        <v>1533</v>
      </c>
      <c r="K1864" s="13" t="s">
        <v>8634</v>
      </c>
      <c r="L1864" s="99" t="str">
        <f t="shared" si="136"/>
        <v>W126F.7</v>
      </c>
      <c r="M1864" s="45"/>
      <c r="N1864" s="47"/>
      <c r="O1864" s="47"/>
      <c r="P1864" s="47"/>
      <c r="Q1864" s="45"/>
      <c r="R1864" s="45"/>
      <c r="S1864" s="48"/>
    </row>
    <row r="1865" spans="1:19" s="49" customFormat="1" ht="14.15" customHeight="1">
      <c r="A1865" s="45"/>
      <c r="B1865" s="44" t="s">
        <v>6637</v>
      </c>
      <c r="C1865" s="50"/>
      <c r="D1865" s="10" t="s">
        <v>29</v>
      </c>
      <c r="E1865" s="11"/>
      <c r="F1865" s="11" t="s">
        <v>18</v>
      </c>
      <c r="G1865" s="13"/>
      <c r="H1865" s="45" t="s">
        <v>16</v>
      </c>
      <c r="I1865" s="47"/>
      <c r="J1865" s="12" t="s">
        <v>1534</v>
      </c>
      <c r="K1865" s="13" t="s">
        <v>8635</v>
      </c>
      <c r="L1865" s="99" t="str">
        <f t="shared" si="136"/>
        <v>W126F.8</v>
      </c>
      <c r="M1865" s="45"/>
      <c r="N1865" s="47"/>
      <c r="O1865" s="47"/>
      <c r="P1865" s="47"/>
      <c r="Q1865" s="45"/>
      <c r="R1865" s="45"/>
      <c r="S1865" s="48"/>
    </row>
    <row r="1866" spans="1:19" s="49" customFormat="1" ht="14.15" customHeight="1">
      <c r="A1866" s="45"/>
      <c r="B1866" s="44" t="s">
        <v>6637</v>
      </c>
      <c r="C1866" s="50"/>
      <c r="D1866" s="10" t="s">
        <v>29</v>
      </c>
      <c r="E1866" s="11"/>
      <c r="F1866" s="11" t="s">
        <v>18</v>
      </c>
      <c r="G1866" s="13"/>
      <c r="H1866" s="45" t="s">
        <v>16</v>
      </c>
      <c r="I1866" s="47"/>
      <c r="J1866" s="12" t="s">
        <v>1535</v>
      </c>
      <c r="K1866" s="13" t="s">
        <v>8636</v>
      </c>
      <c r="L1866" s="99" t="str">
        <f t="shared" si="136"/>
        <v>W126F.9</v>
      </c>
      <c r="M1866" s="45"/>
      <c r="N1866" s="47"/>
      <c r="O1866" s="47"/>
      <c r="P1866" s="47"/>
      <c r="Q1866" s="45"/>
      <c r="R1866" s="45"/>
      <c r="S1866" s="48"/>
    </row>
    <row r="1867" spans="1:19" s="49" customFormat="1" ht="14.15" customHeight="1">
      <c r="A1867" s="45"/>
      <c r="B1867" s="44" t="s">
        <v>6637</v>
      </c>
      <c r="C1867" s="50"/>
      <c r="D1867" s="10" t="s">
        <v>29</v>
      </c>
      <c r="E1867" s="11"/>
      <c r="F1867" s="11" t="s">
        <v>18</v>
      </c>
      <c r="G1867" s="13"/>
      <c r="H1867" s="45" t="s">
        <v>16</v>
      </c>
      <c r="I1867" s="47"/>
      <c r="J1867" s="12" t="s">
        <v>1536</v>
      </c>
      <c r="K1867" s="13" t="s">
        <v>8637</v>
      </c>
      <c r="L1867" s="99" t="str">
        <f t="shared" si="136"/>
        <v>W126F.A</v>
      </c>
      <c r="M1867" s="45"/>
      <c r="N1867" s="47"/>
      <c r="O1867" s="47"/>
      <c r="P1867" s="47"/>
      <c r="Q1867" s="45"/>
      <c r="R1867" s="45"/>
      <c r="S1867" s="48"/>
    </row>
    <row r="1868" spans="1:19" s="49" customFormat="1" ht="14.15" customHeight="1">
      <c r="A1868" s="45"/>
      <c r="B1868" s="44" t="s">
        <v>6637</v>
      </c>
      <c r="C1868" s="50"/>
      <c r="D1868" s="10" t="s">
        <v>29</v>
      </c>
      <c r="E1868" s="11"/>
      <c r="F1868" s="11" t="s">
        <v>18</v>
      </c>
      <c r="G1868" s="13"/>
      <c r="H1868" s="45" t="s">
        <v>16</v>
      </c>
      <c r="I1868" s="47"/>
      <c r="J1868" s="12" t="s">
        <v>1537</v>
      </c>
      <c r="K1868" s="13" t="s">
        <v>8638</v>
      </c>
      <c r="L1868" s="99" t="str">
        <f t="shared" si="136"/>
        <v>W126F.B</v>
      </c>
      <c r="M1868" s="45"/>
      <c r="N1868" s="47"/>
      <c r="O1868" s="47"/>
      <c r="P1868" s="47"/>
      <c r="Q1868" s="45"/>
      <c r="R1868" s="45"/>
      <c r="S1868" s="48"/>
    </row>
    <row r="1869" spans="1:19" s="49" customFormat="1" ht="14.15" customHeight="1">
      <c r="A1869" s="45"/>
      <c r="B1869" s="44" t="s">
        <v>6637</v>
      </c>
      <c r="C1869" s="50"/>
      <c r="D1869" s="10" t="s">
        <v>29</v>
      </c>
      <c r="E1869" s="11"/>
      <c r="F1869" s="11" t="s">
        <v>18</v>
      </c>
      <c r="G1869" s="13"/>
      <c r="H1869" s="45" t="s">
        <v>16</v>
      </c>
      <c r="I1869" s="47"/>
      <c r="J1869" s="12" t="s">
        <v>1538</v>
      </c>
      <c r="K1869" s="13" t="s">
        <v>8639</v>
      </c>
      <c r="L1869" s="99" t="str">
        <f t="shared" si="136"/>
        <v>W126F.C</v>
      </c>
      <c r="M1869" s="45"/>
      <c r="N1869" s="47"/>
      <c r="O1869" s="47"/>
      <c r="P1869" s="47"/>
      <c r="Q1869" s="45"/>
      <c r="R1869" s="45"/>
      <c r="S1869" s="48"/>
    </row>
    <row r="1870" spans="1:19" s="49" customFormat="1" ht="14.15" customHeight="1">
      <c r="A1870" s="45"/>
      <c r="B1870" s="44" t="s">
        <v>6637</v>
      </c>
      <c r="C1870" s="50"/>
      <c r="D1870" s="10" t="s">
        <v>29</v>
      </c>
      <c r="E1870" s="11"/>
      <c r="F1870" s="11" t="s">
        <v>18</v>
      </c>
      <c r="G1870" s="13"/>
      <c r="H1870" s="45" t="s">
        <v>16</v>
      </c>
      <c r="I1870" s="47"/>
      <c r="J1870" s="12" t="s">
        <v>1539</v>
      </c>
      <c r="K1870" s="13" t="s">
        <v>8640</v>
      </c>
      <c r="L1870" s="99" t="str">
        <f t="shared" si="136"/>
        <v>W126F.D</v>
      </c>
      <c r="M1870" s="45"/>
      <c r="N1870" s="47"/>
      <c r="O1870" s="47"/>
      <c r="P1870" s="47"/>
      <c r="Q1870" s="45"/>
      <c r="R1870" s="45"/>
      <c r="S1870" s="48"/>
    </row>
    <row r="1871" spans="1:19" s="49" customFormat="1" ht="14.15" customHeight="1">
      <c r="A1871" s="45"/>
      <c r="B1871" s="44" t="s">
        <v>6637</v>
      </c>
      <c r="C1871" s="50"/>
      <c r="D1871" s="10" t="s">
        <v>29</v>
      </c>
      <c r="E1871" s="11"/>
      <c r="F1871" s="11" t="s">
        <v>18</v>
      </c>
      <c r="G1871" s="13"/>
      <c r="H1871" s="45" t="s">
        <v>16</v>
      </c>
      <c r="I1871" s="47"/>
      <c r="J1871" s="12" t="s">
        <v>1540</v>
      </c>
      <c r="K1871" s="13" t="s">
        <v>8641</v>
      </c>
      <c r="L1871" s="99" t="str">
        <f t="shared" si="136"/>
        <v>W126F.E</v>
      </c>
      <c r="M1871" s="45"/>
      <c r="N1871" s="47"/>
      <c r="O1871" s="47"/>
      <c r="P1871" s="47"/>
      <c r="Q1871" s="45"/>
      <c r="R1871" s="45"/>
      <c r="S1871" s="48"/>
    </row>
    <row r="1872" spans="1:19" s="49" customFormat="1" ht="14.15" customHeight="1">
      <c r="A1872" s="45"/>
      <c r="B1872" s="44" t="s">
        <v>6637</v>
      </c>
      <c r="C1872" s="50"/>
      <c r="D1872" s="10" t="s">
        <v>29</v>
      </c>
      <c r="E1872" s="11"/>
      <c r="F1872" s="11" t="s">
        <v>18</v>
      </c>
      <c r="G1872" s="13"/>
      <c r="H1872" s="45" t="s">
        <v>16</v>
      </c>
      <c r="I1872" s="47"/>
      <c r="J1872" s="12" t="s">
        <v>1541</v>
      </c>
      <c r="K1872" s="13" t="s">
        <v>8642</v>
      </c>
      <c r="L1872" s="99" t="str">
        <f t="shared" si="136"/>
        <v>W126F.F</v>
      </c>
      <c r="M1872" s="45"/>
      <c r="N1872" s="47"/>
      <c r="O1872" s="47"/>
      <c r="P1872" s="47"/>
      <c r="Q1872" s="45"/>
      <c r="R1872" s="45"/>
      <c r="S1872" s="48"/>
    </row>
    <row r="1873" spans="1:19" s="49" customFormat="1" ht="14.15" customHeight="1">
      <c r="A1873" s="45"/>
      <c r="B1873" s="44" t="s">
        <v>6637</v>
      </c>
      <c r="C1873" s="50"/>
      <c r="D1873" s="10" t="s">
        <v>29</v>
      </c>
      <c r="E1873" s="11"/>
      <c r="F1873" s="11" t="s">
        <v>18</v>
      </c>
      <c r="G1873" s="13"/>
      <c r="H1873" s="45" t="s">
        <v>16</v>
      </c>
      <c r="I1873" s="47"/>
      <c r="J1873" s="12" t="s">
        <v>1542</v>
      </c>
      <c r="K1873" s="13" t="s">
        <v>8643</v>
      </c>
      <c r="L1873" s="99" t="str">
        <f t="shared" si="136"/>
        <v>W1270.0</v>
      </c>
      <c r="M1873" s="45"/>
      <c r="N1873" s="47"/>
      <c r="O1873" s="47"/>
      <c r="P1873" s="47"/>
      <c r="Q1873" s="45"/>
      <c r="R1873" s="45"/>
      <c r="S1873" s="48"/>
    </row>
    <row r="1874" spans="1:19" s="49" customFormat="1" ht="14.15" customHeight="1">
      <c r="A1874" s="45"/>
      <c r="B1874" s="44" t="s">
        <v>6637</v>
      </c>
      <c r="C1874" s="50"/>
      <c r="D1874" s="10" t="s">
        <v>29</v>
      </c>
      <c r="E1874" s="11"/>
      <c r="F1874" s="11" t="s">
        <v>18</v>
      </c>
      <c r="G1874" s="13"/>
      <c r="H1874" s="45" t="s">
        <v>16</v>
      </c>
      <c r="I1874" s="47"/>
      <c r="J1874" s="12" t="s">
        <v>1543</v>
      </c>
      <c r="K1874" s="13" t="s">
        <v>8644</v>
      </c>
      <c r="L1874" s="99" t="str">
        <f t="shared" ref="L1874:L1937" si="137">"W"&amp;DEC2HEX(4608 + INT((ROW()-81)/16)) &amp; "." &amp; IF(MOD(ROW()-81,16)&lt;10,MOD(ROW()-81,16),CHAR(MOD(ROW()-81,16)+55))</f>
        <v>W1270.1</v>
      </c>
      <c r="M1874" s="45"/>
      <c r="N1874" s="47"/>
      <c r="O1874" s="47"/>
      <c r="P1874" s="47"/>
      <c r="Q1874" s="45"/>
      <c r="R1874" s="45"/>
      <c r="S1874" s="48"/>
    </row>
    <row r="1875" spans="1:19" s="49" customFormat="1" ht="14.15" customHeight="1">
      <c r="A1875" s="45"/>
      <c r="B1875" s="44" t="s">
        <v>6637</v>
      </c>
      <c r="C1875" s="50"/>
      <c r="D1875" s="10" t="s">
        <v>29</v>
      </c>
      <c r="E1875" s="11"/>
      <c r="F1875" s="11" t="s">
        <v>18</v>
      </c>
      <c r="G1875" s="13"/>
      <c r="H1875" s="45" t="s">
        <v>16</v>
      </c>
      <c r="I1875" s="47"/>
      <c r="J1875" s="12" t="s">
        <v>1544</v>
      </c>
      <c r="K1875" s="13" t="s">
        <v>8645</v>
      </c>
      <c r="L1875" s="99" t="str">
        <f t="shared" si="137"/>
        <v>W1270.2</v>
      </c>
      <c r="M1875" s="45"/>
      <c r="N1875" s="47"/>
      <c r="O1875" s="47"/>
      <c r="P1875" s="47"/>
      <c r="Q1875" s="45"/>
      <c r="R1875" s="45"/>
      <c r="S1875" s="48"/>
    </row>
    <row r="1876" spans="1:19" s="49" customFormat="1" ht="14.15" customHeight="1">
      <c r="A1876" s="45"/>
      <c r="B1876" s="44" t="s">
        <v>6637</v>
      </c>
      <c r="C1876" s="50"/>
      <c r="D1876" s="10" t="s">
        <v>29</v>
      </c>
      <c r="E1876" s="11"/>
      <c r="F1876" s="11" t="s">
        <v>18</v>
      </c>
      <c r="G1876" s="13"/>
      <c r="H1876" s="45" t="s">
        <v>16</v>
      </c>
      <c r="I1876" s="47"/>
      <c r="J1876" s="12" t="s">
        <v>1545</v>
      </c>
      <c r="K1876" s="13" t="s">
        <v>8646</v>
      </c>
      <c r="L1876" s="99" t="str">
        <f t="shared" si="137"/>
        <v>W1270.3</v>
      </c>
      <c r="M1876" s="45"/>
      <c r="N1876" s="47"/>
      <c r="O1876" s="47"/>
      <c r="P1876" s="47"/>
      <c r="Q1876" s="45"/>
      <c r="R1876" s="45"/>
      <c r="S1876" s="48"/>
    </row>
    <row r="1877" spans="1:19" s="49" customFormat="1" ht="14.15" customHeight="1">
      <c r="A1877" s="45"/>
      <c r="B1877" s="44" t="s">
        <v>6637</v>
      </c>
      <c r="C1877" s="50"/>
      <c r="D1877" s="10" t="s">
        <v>29</v>
      </c>
      <c r="E1877" s="11"/>
      <c r="F1877" s="11" t="s">
        <v>18</v>
      </c>
      <c r="G1877" s="13"/>
      <c r="H1877" s="45" t="s">
        <v>16</v>
      </c>
      <c r="I1877" s="47"/>
      <c r="J1877" s="12" t="s">
        <v>1546</v>
      </c>
      <c r="K1877" s="13" t="s">
        <v>8647</v>
      </c>
      <c r="L1877" s="99" t="str">
        <f t="shared" si="137"/>
        <v>W1270.4</v>
      </c>
      <c r="M1877" s="45"/>
      <c r="N1877" s="47"/>
      <c r="O1877" s="47"/>
      <c r="P1877" s="47"/>
      <c r="Q1877" s="45"/>
      <c r="R1877" s="45"/>
      <c r="S1877" s="48"/>
    </row>
    <row r="1878" spans="1:19" s="49" customFormat="1" ht="14.15" customHeight="1">
      <c r="A1878" s="45"/>
      <c r="B1878" s="44" t="s">
        <v>6637</v>
      </c>
      <c r="C1878" s="50"/>
      <c r="D1878" s="10" t="s">
        <v>29</v>
      </c>
      <c r="E1878" s="11"/>
      <c r="F1878" s="11" t="s">
        <v>18</v>
      </c>
      <c r="G1878" s="13"/>
      <c r="H1878" s="45" t="s">
        <v>16</v>
      </c>
      <c r="I1878" s="47"/>
      <c r="J1878" s="12" t="s">
        <v>1547</v>
      </c>
      <c r="K1878" s="13" t="s">
        <v>8648</v>
      </c>
      <c r="L1878" s="99" t="str">
        <f t="shared" si="137"/>
        <v>W1270.5</v>
      </c>
      <c r="M1878" s="45"/>
      <c r="N1878" s="47"/>
      <c r="O1878" s="47"/>
      <c r="P1878" s="47"/>
      <c r="Q1878" s="45"/>
      <c r="R1878" s="45"/>
      <c r="S1878" s="48"/>
    </row>
    <row r="1879" spans="1:19" s="49" customFormat="1" ht="14.15" customHeight="1">
      <c r="A1879" s="45"/>
      <c r="B1879" s="44" t="s">
        <v>6637</v>
      </c>
      <c r="C1879" s="50"/>
      <c r="D1879" s="10" t="s">
        <v>29</v>
      </c>
      <c r="E1879" s="11"/>
      <c r="F1879" s="11" t="s">
        <v>18</v>
      </c>
      <c r="G1879" s="13"/>
      <c r="H1879" s="45" t="s">
        <v>16</v>
      </c>
      <c r="I1879" s="47"/>
      <c r="J1879" s="12" t="s">
        <v>1548</v>
      </c>
      <c r="K1879" s="13" t="s">
        <v>8649</v>
      </c>
      <c r="L1879" s="99" t="str">
        <f t="shared" si="137"/>
        <v>W1270.6</v>
      </c>
      <c r="M1879" s="45"/>
      <c r="N1879" s="47"/>
      <c r="O1879" s="47"/>
      <c r="P1879" s="47"/>
      <c r="Q1879" s="45"/>
      <c r="R1879" s="45"/>
      <c r="S1879" s="48"/>
    </row>
    <row r="1880" spans="1:19" s="49" customFormat="1" ht="14.15" customHeight="1">
      <c r="A1880" s="43" t="s">
        <v>3732</v>
      </c>
      <c r="B1880" s="44" t="s">
        <v>6637</v>
      </c>
      <c r="C1880" s="50"/>
      <c r="D1880" s="10" t="s">
        <v>29</v>
      </c>
      <c r="E1880" s="11"/>
      <c r="F1880" s="11" t="s">
        <v>18</v>
      </c>
      <c r="G1880" s="13"/>
      <c r="H1880" s="45" t="s">
        <v>16</v>
      </c>
      <c r="I1880" s="47"/>
      <c r="J1880" s="12" t="s">
        <v>2726</v>
      </c>
      <c r="K1880" s="13" t="s">
        <v>8650</v>
      </c>
      <c r="L1880" s="99" t="str">
        <f t="shared" si="137"/>
        <v>W1270.7</v>
      </c>
      <c r="M1880" s="45" t="s">
        <v>3668</v>
      </c>
      <c r="N1880" s="47"/>
      <c r="O1880" s="47"/>
      <c r="P1880" s="47"/>
      <c r="Q1880" s="45"/>
      <c r="R1880" s="45"/>
      <c r="S1880" s="48"/>
    </row>
    <row r="1881" spans="1:19" s="49" customFormat="1" ht="14.15" customHeight="1">
      <c r="A1881" s="43" t="s">
        <v>3732</v>
      </c>
      <c r="B1881" s="44" t="s">
        <v>6637</v>
      </c>
      <c r="C1881" s="50"/>
      <c r="D1881" s="10" t="s">
        <v>29</v>
      </c>
      <c r="E1881" s="11"/>
      <c r="F1881" s="11" t="s">
        <v>18</v>
      </c>
      <c r="G1881" s="13"/>
      <c r="H1881" s="45" t="s">
        <v>16</v>
      </c>
      <c r="I1881" s="47"/>
      <c r="J1881" s="12" t="s">
        <v>2727</v>
      </c>
      <c r="K1881" s="13" t="s">
        <v>8651</v>
      </c>
      <c r="L1881" s="99" t="str">
        <f t="shared" si="137"/>
        <v>W1270.8</v>
      </c>
      <c r="M1881" s="45" t="s">
        <v>3668</v>
      </c>
      <c r="N1881" s="47"/>
      <c r="O1881" s="47"/>
      <c r="P1881" s="47"/>
      <c r="Q1881" s="45"/>
      <c r="R1881" s="45"/>
      <c r="S1881" s="48"/>
    </row>
    <row r="1882" spans="1:19" s="49" customFormat="1" ht="14.15" customHeight="1">
      <c r="A1882" s="43" t="s">
        <v>3732</v>
      </c>
      <c r="B1882" s="44" t="s">
        <v>6637</v>
      </c>
      <c r="C1882" s="50"/>
      <c r="D1882" s="10" t="s">
        <v>29</v>
      </c>
      <c r="E1882" s="11"/>
      <c r="F1882" s="11" t="s">
        <v>18</v>
      </c>
      <c r="G1882" s="13"/>
      <c r="H1882" s="45" t="s">
        <v>16</v>
      </c>
      <c r="I1882" s="47"/>
      <c r="J1882" s="12" t="s">
        <v>2728</v>
      </c>
      <c r="K1882" s="13" t="s">
        <v>8652</v>
      </c>
      <c r="L1882" s="99" t="str">
        <f t="shared" si="137"/>
        <v>W1270.9</v>
      </c>
      <c r="M1882" s="45" t="s">
        <v>3668</v>
      </c>
      <c r="N1882" s="47"/>
      <c r="O1882" s="47"/>
      <c r="P1882" s="47"/>
      <c r="Q1882" s="45"/>
      <c r="R1882" s="45"/>
      <c r="S1882" s="48"/>
    </row>
    <row r="1883" spans="1:19" s="49" customFormat="1" ht="14.15" customHeight="1">
      <c r="A1883" s="43" t="s">
        <v>3732</v>
      </c>
      <c r="B1883" s="44" t="s">
        <v>6637</v>
      </c>
      <c r="C1883" s="50"/>
      <c r="D1883" s="10" t="s">
        <v>29</v>
      </c>
      <c r="E1883" s="11"/>
      <c r="F1883" s="11" t="s">
        <v>18</v>
      </c>
      <c r="G1883" s="13"/>
      <c r="H1883" s="45" t="s">
        <v>16</v>
      </c>
      <c r="I1883" s="47"/>
      <c r="J1883" s="12" t="s">
        <v>2729</v>
      </c>
      <c r="K1883" s="13" t="s">
        <v>8653</v>
      </c>
      <c r="L1883" s="99" t="str">
        <f t="shared" si="137"/>
        <v>W1270.A</v>
      </c>
      <c r="M1883" s="45" t="s">
        <v>3668</v>
      </c>
      <c r="N1883" s="47"/>
      <c r="O1883" s="47"/>
      <c r="P1883" s="47"/>
      <c r="Q1883" s="45"/>
      <c r="R1883" s="45"/>
      <c r="S1883" s="48"/>
    </row>
    <row r="1884" spans="1:19" s="49" customFormat="1" ht="14.15" customHeight="1">
      <c r="A1884" s="43" t="s">
        <v>3732</v>
      </c>
      <c r="B1884" s="44" t="s">
        <v>6637</v>
      </c>
      <c r="C1884" s="50"/>
      <c r="D1884" s="10" t="s">
        <v>29</v>
      </c>
      <c r="E1884" s="11"/>
      <c r="F1884" s="11" t="s">
        <v>18</v>
      </c>
      <c r="G1884" s="13"/>
      <c r="H1884" s="45" t="s">
        <v>16</v>
      </c>
      <c r="I1884" s="47"/>
      <c r="J1884" s="12" t="s">
        <v>2730</v>
      </c>
      <c r="K1884" s="13" t="s">
        <v>8654</v>
      </c>
      <c r="L1884" s="99" t="str">
        <f t="shared" si="137"/>
        <v>W1270.B</v>
      </c>
      <c r="M1884" s="45" t="s">
        <v>3668</v>
      </c>
      <c r="N1884" s="47"/>
      <c r="O1884" s="47"/>
      <c r="P1884" s="47"/>
      <c r="Q1884" s="45"/>
      <c r="R1884" s="45"/>
      <c r="S1884" s="48"/>
    </row>
    <row r="1885" spans="1:19" s="49" customFormat="1" ht="14.15" customHeight="1">
      <c r="A1885" s="43" t="s">
        <v>3732</v>
      </c>
      <c r="B1885" s="44" t="s">
        <v>6637</v>
      </c>
      <c r="C1885" s="50"/>
      <c r="D1885" s="10" t="s">
        <v>29</v>
      </c>
      <c r="E1885" s="11"/>
      <c r="F1885" s="11" t="s">
        <v>18</v>
      </c>
      <c r="G1885" s="13"/>
      <c r="H1885" s="45" t="s">
        <v>16</v>
      </c>
      <c r="I1885" s="47"/>
      <c r="J1885" s="12" t="s">
        <v>2731</v>
      </c>
      <c r="K1885" s="13" t="s">
        <v>8655</v>
      </c>
      <c r="L1885" s="99" t="str">
        <f t="shared" si="137"/>
        <v>W1270.C</v>
      </c>
      <c r="M1885" s="45" t="s">
        <v>3668</v>
      </c>
      <c r="N1885" s="47"/>
      <c r="O1885" s="47"/>
      <c r="P1885" s="47"/>
      <c r="Q1885" s="45"/>
      <c r="R1885" s="45"/>
      <c r="S1885" s="48"/>
    </row>
    <row r="1886" spans="1:19" s="49" customFormat="1" ht="14.15" customHeight="1">
      <c r="A1886" s="45"/>
      <c r="B1886" s="44" t="s">
        <v>6637</v>
      </c>
      <c r="C1886" s="50"/>
      <c r="D1886" s="10" t="s">
        <v>29</v>
      </c>
      <c r="E1886" s="11"/>
      <c r="F1886" s="11" t="s">
        <v>18</v>
      </c>
      <c r="G1886" s="13"/>
      <c r="H1886" s="45" t="s">
        <v>16</v>
      </c>
      <c r="I1886" s="47"/>
      <c r="J1886" s="12" t="s">
        <v>3344</v>
      </c>
      <c r="K1886" s="13" t="s">
        <v>8656</v>
      </c>
      <c r="L1886" s="99" t="str">
        <f t="shared" si="137"/>
        <v>W1270.D</v>
      </c>
      <c r="M1886" s="45"/>
      <c r="N1886" s="47"/>
      <c r="O1886" s="47"/>
      <c r="P1886" s="47"/>
      <c r="Q1886" s="45"/>
      <c r="R1886" s="45"/>
      <c r="S1886" s="48"/>
    </row>
    <row r="1887" spans="1:19" s="49" customFormat="1" ht="14.15" customHeight="1">
      <c r="A1887" s="45"/>
      <c r="B1887" s="44" t="s">
        <v>6637</v>
      </c>
      <c r="C1887" s="50"/>
      <c r="D1887" s="10" t="s">
        <v>29</v>
      </c>
      <c r="E1887" s="11"/>
      <c r="F1887" s="11" t="s">
        <v>18</v>
      </c>
      <c r="G1887" s="13"/>
      <c r="H1887" s="45" t="s">
        <v>16</v>
      </c>
      <c r="I1887" s="47"/>
      <c r="J1887" s="12" t="s">
        <v>3345</v>
      </c>
      <c r="K1887" s="13" t="s">
        <v>8657</v>
      </c>
      <c r="L1887" s="99" t="str">
        <f t="shared" si="137"/>
        <v>W1270.E</v>
      </c>
      <c r="M1887" s="45"/>
      <c r="N1887" s="47"/>
      <c r="O1887" s="47"/>
      <c r="P1887" s="47"/>
      <c r="Q1887" s="45"/>
      <c r="R1887" s="45"/>
      <c r="S1887" s="48"/>
    </row>
    <row r="1888" spans="1:19" s="49" customFormat="1" ht="14.15" customHeight="1">
      <c r="A1888" s="45"/>
      <c r="B1888" s="44" t="s">
        <v>6637</v>
      </c>
      <c r="C1888" s="50"/>
      <c r="D1888" s="10" t="s">
        <v>29</v>
      </c>
      <c r="E1888" s="11"/>
      <c r="F1888" s="11" t="s">
        <v>18</v>
      </c>
      <c r="G1888" s="13"/>
      <c r="H1888" s="45" t="s">
        <v>16</v>
      </c>
      <c r="I1888" s="47"/>
      <c r="J1888" s="12" t="s">
        <v>3346</v>
      </c>
      <c r="K1888" s="13" t="s">
        <v>8658</v>
      </c>
      <c r="L1888" s="99" t="str">
        <f t="shared" si="137"/>
        <v>W1270.F</v>
      </c>
      <c r="M1888" s="45"/>
      <c r="N1888" s="47"/>
      <c r="O1888" s="47"/>
      <c r="P1888" s="47"/>
      <c r="Q1888" s="45"/>
      <c r="R1888" s="45"/>
      <c r="S1888" s="48"/>
    </row>
    <row r="1889" spans="1:19" s="49" customFormat="1" ht="14.15" customHeight="1">
      <c r="A1889" s="45"/>
      <c r="B1889" s="44" t="s">
        <v>6637</v>
      </c>
      <c r="C1889" s="50"/>
      <c r="D1889" s="10" t="s">
        <v>29</v>
      </c>
      <c r="E1889" s="11"/>
      <c r="F1889" s="11" t="s">
        <v>18</v>
      </c>
      <c r="G1889" s="13"/>
      <c r="H1889" s="45" t="s">
        <v>16</v>
      </c>
      <c r="I1889" s="47"/>
      <c r="J1889" s="12" t="s">
        <v>3347</v>
      </c>
      <c r="K1889" s="13" t="s">
        <v>8659</v>
      </c>
      <c r="L1889" s="99" t="str">
        <f t="shared" si="137"/>
        <v>W1271.0</v>
      </c>
      <c r="M1889" s="45"/>
      <c r="N1889" s="47"/>
      <c r="O1889" s="47"/>
      <c r="P1889" s="47"/>
      <c r="Q1889" s="45"/>
      <c r="R1889" s="45"/>
      <c r="S1889" s="48"/>
    </row>
    <row r="1890" spans="1:19" s="49" customFormat="1" ht="14.15" customHeight="1">
      <c r="A1890" s="45"/>
      <c r="B1890" s="44" t="s">
        <v>6637</v>
      </c>
      <c r="C1890" s="50"/>
      <c r="D1890" s="10" t="s">
        <v>29</v>
      </c>
      <c r="E1890" s="11"/>
      <c r="F1890" s="11" t="s">
        <v>18</v>
      </c>
      <c r="G1890" s="13"/>
      <c r="H1890" s="45" t="s">
        <v>16</v>
      </c>
      <c r="I1890" s="47"/>
      <c r="J1890" s="12" t="s">
        <v>3334</v>
      </c>
      <c r="K1890" s="13" t="s">
        <v>8660</v>
      </c>
      <c r="L1890" s="99" t="str">
        <f t="shared" si="137"/>
        <v>W1271.1</v>
      </c>
      <c r="M1890" s="45"/>
      <c r="N1890" s="47"/>
      <c r="O1890" s="47"/>
      <c r="P1890" s="47"/>
      <c r="Q1890" s="45"/>
      <c r="R1890" s="45"/>
      <c r="S1890" s="48"/>
    </row>
    <row r="1891" spans="1:19" s="49" customFormat="1" ht="14.15" customHeight="1">
      <c r="A1891" s="45"/>
      <c r="B1891" s="44" t="s">
        <v>6637</v>
      </c>
      <c r="C1891" s="50"/>
      <c r="D1891" s="10" t="s">
        <v>29</v>
      </c>
      <c r="E1891" s="11"/>
      <c r="F1891" s="11" t="s">
        <v>18</v>
      </c>
      <c r="G1891" s="13"/>
      <c r="H1891" s="45" t="s">
        <v>16</v>
      </c>
      <c r="I1891" s="47"/>
      <c r="J1891" s="12" t="s">
        <v>3335</v>
      </c>
      <c r="K1891" s="13" t="s">
        <v>8661</v>
      </c>
      <c r="L1891" s="99" t="str">
        <f t="shared" si="137"/>
        <v>W1271.2</v>
      </c>
      <c r="M1891" s="45"/>
      <c r="N1891" s="47"/>
      <c r="O1891" s="47"/>
      <c r="P1891" s="47"/>
      <c r="Q1891" s="45"/>
      <c r="R1891" s="45"/>
      <c r="S1891" s="48"/>
    </row>
    <row r="1892" spans="1:19" s="49" customFormat="1" ht="14.15" customHeight="1">
      <c r="A1892" s="45"/>
      <c r="B1892" s="44" t="s">
        <v>6637</v>
      </c>
      <c r="C1892" s="50"/>
      <c r="D1892" s="10" t="s">
        <v>29</v>
      </c>
      <c r="E1892" s="11"/>
      <c r="F1892" s="11" t="s">
        <v>18</v>
      </c>
      <c r="G1892" s="13"/>
      <c r="H1892" s="45" t="s">
        <v>16</v>
      </c>
      <c r="I1892" s="47"/>
      <c r="J1892" s="12" t="s">
        <v>3336</v>
      </c>
      <c r="K1892" s="13" t="s">
        <v>8662</v>
      </c>
      <c r="L1892" s="99" t="str">
        <f t="shared" si="137"/>
        <v>W1271.3</v>
      </c>
      <c r="M1892" s="45"/>
      <c r="N1892" s="47"/>
      <c r="O1892" s="47"/>
      <c r="P1892" s="47"/>
      <c r="Q1892" s="45"/>
      <c r="R1892" s="45"/>
      <c r="S1892" s="48"/>
    </row>
    <row r="1893" spans="1:19" s="49" customFormat="1" ht="14.15" customHeight="1">
      <c r="A1893" s="45"/>
      <c r="B1893" s="44" t="s">
        <v>6637</v>
      </c>
      <c r="C1893" s="50"/>
      <c r="D1893" s="10" t="s">
        <v>29</v>
      </c>
      <c r="E1893" s="11"/>
      <c r="F1893" s="11" t="s">
        <v>18</v>
      </c>
      <c r="G1893" s="13"/>
      <c r="H1893" s="45" t="s">
        <v>16</v>
      </c>
      <c r="I1893" s="47"/>
      <c r="J1893" s="12" t="s">
        <v>3337</v>
      </c>
      <c r="K1893" s="13" t="s">
        <v>8663</v>
      </c>
      <c r="L1893" s="99" t="str">
        <f t="shared" si="137"/>
        <v>W1271.4</v>
      </c>
      <c r="M1893" s="45"/>
      <c r="N1893" s="47"/>
      <c r="O1893" s="47"/>
      <c r="P1893" s="47"/>
      <c r="Q1893" s="45"/>
      <c r="R1893" s="45"/>
      <c r="S1893" s="48"/>
    </row>
    <row r="1894" spans="1:19" s="49" customFormat="1" ht="14.15" customHeight="1">
      <c r="A1894" s="45"/>
      <c r="B1894" s="44" t="s">
        <v>6637</v>
      </c>
      <c r="C1894" s="50"/>
      <c r="D1894" s="10" t="s">
        <v>29</v>
      </c>
      <c r="E1894" s="11"/>
      <c r="F1894" s="11" t="s">
        <v>18</v>
      </c>
      <c r="G1894" s="13"/>
      <c r="H1894" s="45" t="s">
        <v>16</v>
      </c>
      <c r="I1894" s="47"/>
      <c r="J1894" s="12" t="s">
        <v>3338</v>
      </c>
      <c r="K1894" s="13" t="s">
        <v>8664</v>
      </c>
      <c r="L1894" s="99" t="str">
        <f t="shared" si="137"/>
        <v>W1271.5</v>
      </c>
      <c r="M1894" s="45"/>
      <c r="N1894" s="47"/>
      <c r="O1894" s="47"/>
      <c r="P1894" s="47"/>
      <c r="Q1894" s="45"/>
      <c r="R1894" s="45"/>
      <c r="S1894" s="48"/>
    </row>
    <row r="1895" spans="1:19" s="49" customFormat="1" ht="14.15" customHeight="1">
      <c r="A1895" s="45"/>
      <c r="B1895" s="44" t="s">
        <v>6637</v>
      </c>
      <c r="C1895" s="50"/>
      <c r="D1895" s="10" t="s">
        <v>29</v>
      </c>
      <c r="E1895" s="11"/>
      <c r="F1895" s="11" t="s">
        <v>18</v>
      </c>
      <c r="G1895" s="13"/>
      <c r="H1895" s="45" t="s">
        <v>16</v>
      </c>
      <c r="I1895" s="47"/>
      <c r="J1895" s="12" t="s">
        <v>3339</v>
      </c>
      <c r="K1895" s="13" t="s">
        <v>8665</v>
      </c>
      <c r="L1895" s="99" t="str">
        <f t="shared" si="137"/>
        <v>W1271.6</v>
      </c>
      <c r="M1895" s="45"/>
      <c r="N1895" s="47"/>
      <c r="O1895" s="47"/>
      <c r="P1895" s="47"/>
      <c r="Q1895" s="45"/>
      <c r="R1895" s="45"/>
      <c r="S1895" s="48"/>
    </row>
    <row r="1896" spans="1:19" s="49" customFormat="1" ht="14.15" customHeight="1">
      <c r="A1896" s="45"/>
      <c r="B1896" s="44" t="s">
        <v>6637</v>
      </c>
      <c r="C1896" s="50"/>
      <c r="D1896" s="10" t="s">
        <v>29</v>
      </c>
      <c r="E1896" s="11"/>
      <c r="F1896" s="11" t="s">
        <v>18</v>
      </c>
      <c r="G1896" s="13"/>
      <c r="H1896" s="45" t="s">
        <v>16</v>
      </c>
      <c r="I1896" s="47"/>
      <c r="J1896" s="12" t="s">
        <v>3340</v>
      </c>
      <c r="K1896" s="13" t="s">
        <v>8666</v>
      </c>
      <c r="L1896" s="99" t="str">
        <f t="shared" si="137"/>
        <v>W1271.7</v>
      </c>
      <c r="M1896" s="45"/>
      <c r="N1896" s="47"/>
      <c r="O1896" s="47"/>
      <c r="P1896" s="47"/>
      <c r="Q1896" s="45"/>
      <c r="R1896" s="45"/>
      <c r="S1896" s="48"/>
    </row>
    <row r="1897" spans="1:19" s="49" customFormat="1" ht="14.15" customHeight="1">
      <c r="A1897" s="45"/>
      <c r="B1897" s="44" t="s">
        <v>6637</v>
      </c>
      <c r="C1897" s="50"/>
      <c r="D1897" s="10" t="s">
        <v>29</v>
      </c>
      <c r="E1897" s="11"/>
      <c r="F1897" s="11" t="s">
        <v>18</v>
      </c>
      <c r="G1897" s="13"/>
      <c r="H1897" s="45" t="s">
        <v>16</v>
      </c>
      <c r="I1897" s="47"/>
      <c r="J1897" s="12" t="s">
        <v>3341</v>
      </c>
      <c r="K1897" s="13" t="s">
        <v>8667</v>
      </c>
      <c r="L1897" s="99" t="str">
        <f t="shared" si="137"/>
        <v>W1271.8</v>
      </c>
      <c r="M1897" s="45"/>
      <c r="N1897" s="47"/>
      <c r="O1897" s="47"/>
      <c r="P1897" s="47"/>
      <c r="Q1897" s="45"/>
      <c r="R1897" s="45"/>
      <c r="S1897" s="48"/>
    </row>
    <row r="1898" spans="1:19" s="49" customFormat="1" ht="14.15" customHeight="1">
      <c r="A1898" s="45"/>
      <c r="B1898" s="44" t="s">
        <v>6637</v>
      </c>
      <c r="C1898" s="50"/>
      <c r="D1898" s="10" t="s">
        <v>29</v>
      </c>
      <c r="E1898" s="11"/>
      <c r="F1898" s="11" t="s">
        <v>18</v>
      </c>
      <c r="G1898" s="13"/>
      <c r="H1898" s="45" t="s">
        <v>16</v>
      </c>
      <c r="I1898" s="47"/>
      <c r="J1898" s="12" t="s">
        <v>3342</v>
      </c>
      <c r="K1898" s="13" t="s">
        <v>8668</v>
      </c>
      <c r="L1898" s="99" t="str">
        <f t="shared" si="137"/>
        <v>W1271.9</v>
      </c>
      <c r="M1898" s="45"/>
      <c r="N1898" s="47"/>
      <c r="O1898" s="47"/>
      <c r="P1898" s="47"/>
      <c r="Q1898" s="45"/>
      <c r="R1898" s="45"/>
      <c r="S1898" s="48"/>
    </row>
    <row r="1899" spans="1:19" s="49" customFormat="1" ht="14.15" customHeight="1">
      <c r="A1899" s="45"/>
      <c r="B1899" s="44" t="s">
        <v>6637</v>
      </c>
      <c r="C1899" s="50"/>
      <c r="D1899" s="10" t="s">
        <v>29</v>
      </c>
      <c r="E1899" s="11"/>
      <c r="F1899" s="11" t="s">
        <v>18</v>
      </c>
      <c r="G1899" s="13"/>
      <c r="H1899" s="45" t="s">
        <v>16</v>
      </c>
      <c r="I1899" s="47"/>
      <c r="J1899" s="12" t="s">
        <v>3343</v>
      </c>
      <c r="K1899" s="13" t="s">
        <v>8669</v>
      </c>
      <c r="L1899" s="99" t="str">
        <f t="shared" si="137"/>
        <v>W1271.A</v>
      </c>
      <c r="M1899" s="45"/>
      <c r="N1899" s="47"/>
      <c r="O1899" s="47"/>
      <c r="P1899" s="47"/>
      <c r="Q1899" s="45"/>
      <c r="R1899" s="45"/>
      <c r="S1899" s="48"/>
    </row>
    <row r="1900" spans="1:19" s="49" customFormat="1" ht="14.15" customHeight="1">
      <c r="A1900" s="45"/>
      <c r="B1900" s="44" t="s">
        <v>6637</v>
      </c>
      <c r="C1900" s="50"/>
      <c r="D1900" s="10" t="s">
        <v>29</v>
      </c>
      <c r="E1900" s="11"/>
      <c r="F1900" s="11" t="s">
        <v>18</v>
      </c>
      <c r="G1900" s="13"/>
      <c r="H1900" s="45" t="s">
        <v>16</v>
      </c>
      <c r="I1900" s="47"/>
      <c r="J1900" s="12" t="s">
        <v>3348</v>
      </c>
      <c r="K1900" s="13" t="s">
        <v>8670</v>
      </c>
      <c r="L1900" s="99" t="str">
        <f t="shared" si="137"/>
        <v>W1271.B</v>
      </c>
      <c r="M1900" s="45"/>
      <c r="N1900" s="47"/>
      <c r="O1900" s="47"/>
      <c r="P1900" s="47"/>
      <c r="Q1900" s="45"/>
      <c r="R1900" s="45"/>
      <c r="S1900" s="48"/>
    </row>
    <row r="1901" spans="1:19" s="49" customFormat="1" ht="14.15" customHeight="1">
      <c r="A1901" s="45"/>
      <c r="B1901" s="44" t="s">
        <v>6637</v>
      </c>
      <c r="C1901" s="50"/>
      <c r="D1901" s="10" t="s">
        <v>29</v>
      </c>
      <c r="E1901" s="11"/>
      <c r="F1901" s="11" t="s">
        <v>18</v>
      </c>
      <c r="G1901" s="13"/>
      <c r="H1901" s="45" t="s">
        <v>16</v>
      </c>
      <c r="I1901" s="47"/>
      <c r="J1901" s="12" t="s">
        <v>3349</v>
      </c>
      <c r="K1901" s="13" t="s">
        <v>8671</v>
      </c>
      <c r="L1901" s="99" t="str">
        <f t="shared" si="137"/>
        <v>W1271.C</v>
      </c>
      <c r="M1901" s="45"/>
      <c r="N1901" s="47"/>
      <c r="O1901" s="47"/>
      <c r="P1901" s="47"/>
      <c r="Q1901" s="45"/>
      <c r="R1901" s="45"/>
      <c r="S1901" s="48"/>
    </row>
    <row r="1902" spans="1:19" s="49" customFormat="1" ht="14.15" customHeight="1">
      <c r="A1902" s="45"/>
      <c r="B1902" s="44" t="s">
        <v>6637</v>
      </c>
      <c r="C1902" s="50"/>
      <c r="D1902" s="10" t="s">
        <v>29</v>
      </c>
      <c r="E1902" s="11"/>
      <c r="F1902" s="11" t="s">
        <v>18</v>
      </c>
      <c r="G1902" s="13"/>
      <c r="H1902" s="45" t="s">
        <v>16</v>
      </c>
      <c r="I1902" s="47"/>
      <c r="J1902" s="12" t="s">
        <v>3350</v>
      </c>
      <c r="K1902" s="13" t="s">
        <v>8672</v>
      </c>
      <c r="L1902" s="99" t="str">
        <f t="shared" si="137"/>
        <v>W1271.D</v>
      </c>
      <c r="M1902" s="45"/>
      <c r="N1902" s="47"/>
      <c r="O1902" s="47"/>
      <c r="P1902" s="47"/>
      <c r="Q1902" s="45"/>
      <c r="R1902" s="45"/>
      <c r="S1902" s="48"/>
    </row>
    <row r="1903" spans="1:19" s="49" customFormat="1" ht="14.15" customHeight="1">
      <c r="A1903" s="45"/>
      <c r="B1903" s="44" t="s">
        <v>6637</v>
      </c>
      <c r="C1903" s="50"/>
      <c r="D1903" s="10" t="s">
        <v>29</v>
      </c>
      <c r="E1903" s="11"/>
      <c r="F1903" s="11" t="s">
        <v>18</v>
      </c>
      <c r="G1903" s="13"/>
      <c r="H1903" s="45" t="s">
        <v>16</v>
      </c>
      <c r="I1903" s="47"/>
      <c r="J1903" s="12" t="s">
        <v>3351</v>
      </c>
      <c r="K1903" s="13" t="s">
        <v>8673</v>
      </c>
      <c r="L1903" s="99" t="str">
        <f t="shared" si="137"/>
        <v>W1271.E</v>
      </c>
      <c r="M1903" s="45"/>
      <c r="N1903" s="47"/>
      <c r="O1903" s="47"/>
      <c r="P1903" s="47"/>
      <c r="Q1903" s="45"/>
      <c r="R1903" s="45"/>
      <c r="S1903" s="48"/>
    </row>
    <row r="1904" spans="1:19" s="49" customFormat="1" ht="14.15" customHeight="1">
      <c r="A1904" s="45"/>
      <c r="B1904" s="44" t="s">
        <v>6637</v>
      </c>
      <c r="C1904" s="50"/>
      <c r="D1904" s="10" t="s">
        <v>29</v>
      </c>
      <c r="E1904" s="11"/>
      <c r="F1904" s="11" t="s">
        <v>18</v>
      </c>
      <c r="G1904" s="13"/>
      <c r="H1904" s="45" t="s">
        <v>16</v>
      </c>
      <c r="I1904" s="47"/>
      <c r="J1904" s="12" t="s">
        <v>3352</v>
      </c>
      <c r="K1904" s="13" t="s">
        <v>8674</v>
      </c>
      <c r="L1904" s="99" t="str">
        <f t="shared" si="137"/>
        <v>W1271.F</v>
      </c>
      <c r="M1904" s="45"/>
      <c r="N1904" s="47"/>
      <c r="O1904" s="47"/>
      <c r="P1904" s="47"/>
      <c r="Q1904" s="45"/>
      <c r="R1904" s="45"/>
      <c r="S1904" s="48"/>
    </row>
    <row r="1905" spans="1:19" s="49" customFormat="1" ht="14.15" customHeight="1">
      <c r="A1905" s="45"/>
      <c r="B1905" s="44" t="s">
        <v>6637</v>
      </c>
      <c r="C1905" s="50"/>
      <c r="D1905" s="10" t="s">
        <v>29</v>
      </c>
      <c r="E1905" s="11"/>
      <c r="F1905" s="11" t="s">
        <v>18</v>
      </c>
      <c r="G1905" s="13"/>
      <c r="H1905" s="45" t="s">
        <v>16</v>
      </c>
      <c r="I1905" s="47"/>
      <c r="J1905" s="12" t="s">
        <v>3353</v>
      </c>
      <c r="K1905" s="13" t="s">
        <v>8675</v>
      </c>
      <c r="L1905" s="99" t="str">
        <f t="shared" si="137"/>
        <v>W1272.0</v>
      </c>
      <c r="M1905" s="45"/>
      <c r="N1905" s="47"/>
      <c r="O1905" s="47"/>
      <c r="P1905" s="47"/>
      <c r="Q1905" s="45"/>
      <c r="R1905" s="45"/>
      <c r="S1905" s="48"/>
    </row>
    <row r="1906" spans="1:19" s="49" customFormat="1" ht="14.15" customHeight="1">
      <c r="A1906" s="45"/>
      <c r="B1906" s="44" t="s">
        <v>6637</v>
      </c>
      <c r="C1906" s="50"/>
      <c r="D1906" s="10" t="s">
        <v>29</v>
      </c>
      <c r="E1906" s="11"/>
      <c r="F1906" s="11" t="s">
        <v>18</v>
      </c>
      <c r="G1906" s="13"/>
      <c r="H1906" s="45" t="s">
        <v>16</v>
      </c>
      <c r="I1906" s="47"/>
      <c r="J1906" s="12" t="s">
        <v>3354</v>
      </c>
      <c r="K1906" s="13" t="s">
        <v>8676</v>
      </c>
      <c r="L1906" s="99" t="str">
        <f t="shared" si="137"/>
        <v>W1272.1</v>
      </c>
      <c r="M1906" s="45"/>
      <c r="N1906" s="47"/>
      <c r="O1906" s="47"/>
      <c r="P1906" s="47"/>
      <c r="Q1906" s="45"/>
      <c r="R1906" s="45"/>
      <c r="S1906" s="48"/>
    </row>
    <row r="1907" spans="1:19" s="49" customFormat="1" ht="14.15" customHeight="1">
      <c r="A1907" s="45"/>
      <c r="B1907" s="44" t="s">
        <v>6637</v>
      </c>
      <c r="C1907" s="50"/>
      <c r="D1907" s="10" t="s">
        <v>29</v>
      </c>
      <c r="E1907" s="11"/>
      <c r="F1907" s="11" t="s">
        <v>18</v>
      </c>
      <c r="G1907" s="13"/>
      <c r="H1907" s="45" t="s">
        <v>16</v>
      </c>
      <c r="I1907" s="47"/>
      <c r="J1907" s="12" t="s">
        <v>3355</v>
      </c>
      <c r="K1907" s="13" t="s">
        <v>8677</v>
      </c>
      <c r="L1907" s="99" t="str">
        <f t="shared" si="137"/>
        <v>W1272.2</v>
      </c>
      <c r="M1907" s="45"/>
      <c r="N1907" s="47"/>
      <c r="O1907" s="47"/>
      <c r="P1907" s="47"/>
      <c r="Q1907" s="45"/>
      <c r="R1907" s="45"/>
      <c r="S1907" s="48"/>
    </row>
    <row r="1908" spans="1:19" s="49" customFormat="1" ht="14.15" customHeight="1">
      <c r="A1908" s="45"/>
      <c r="B1908" s="44" t="s">
        <v>6637</v>
      </c>
      <c r="C1908" s="50"/>
      <c r="D1908" s="10" t="s">
        <v>29</v>
      </c>
      <c r="E1908" s="11"/>
      <c r="F1908" s="11" t="s">
        <v>18</v>
      </c>
      <c r="G1908" s="13"/>
      <c r="H1908" s="45" t="s">
        <v>16</v>
      </c>
      <c r="I1908" s="47"/>
      <c r="J1908" s="12" t="s">
        <v>3356</v>
      </c>
      <c r="K1908" s="13" t="s">
        <v>8678</v>
      </c>
      <c r="L1908" s="99" t="str">
        <f t="shared" si="137"/>
        <v>W1272.3</v>
      </c>
      <c r="M1908" s="45"/>
      <c r="N1908" s="47"/>
      <c r="O1908" s="47"/>
      <c r="P1908" s="47"/>
      <c r="Q1908" s="45"/>
      <c r="R1908" s="45"/>
      <c r="S1908" s="48"/>
    </row>
    <row r="1909" spans="1:19" s="49" customFormat="1" ht="14.15" customHeight="1">
      <c r="A1909" s="45"/>
      <c r="B1909" s="44" t="s">
        <v>6637</v>
      </c>
      <c r="C1909" s="50"/>
      <c r="D1909" s="10" t="s">
        <v>29</v>
      </c>
      <c r="E1909" s="11"/>
      <c r="F1909" s="11" t="s">
        <v>18</v>
      </c>
      <c r="G1909" s="13"/>
      <c r="H1909" s="45" t="s">
        <v>16</v>
      </c>
      <c r="I1909" s="47"/>
      <c r="J1909" s="12" t="s">
        <v>3357</v>
      </c>
      <c r="K1909" s="13" t="s">
        <v>8679</v>
      </c>
      <c r="L1909" s="99" t="str">
        <f t="shared" si="137"/>
        <v>W1272.4</v>
      </c>
      <c r="M1909" s="45"/>
      <c r="N1909" s="47"/>
      <c r="O1909" s="47"/>
      <c r="P1909" s="47"/>
      <c r="Q1909" s="45"/>
      <c r="R1909" s="45"/>
      <c r="S1909" s="48"/>
    </row>
    <row r="1910" spans="1:19" s="49" customFormat="1" ht="14.15" customHeight="1">
      <c r="A1910" s="45"/>
      <c r="B1910" s="44" t="s">
        <v>6637</v>
      </c>
      <c r="C1910" s="50"/>
      <c r="D1910" s="10" t="s">
        <v>29</v>
      </c>
      <c r="E1910" s="11"/>
      <c r="F1910" s="11" t="s">
        <v>18</v>
      </c>
      <c r="G1910" s="13"/>
      <c r="H1910" s="45" t="s">
        <v>16</v>
      </c>
      <c r="I1910" s="47"/>
      <c r="J1910" s="12" t="s">
        <v>3358</v>
      </c>
      <c r="K1910" s="13" t="s">
        <v>8680</v>
      </c>
      <c r="L1910" s="99" t="str">
        <f t="shared" si="137"/>
        <v>W1272.5</v>
      </c>
      <c r="M1910" s="45"/>
      <c r="N1910" s="47"/>
      <c r="O1910" s="47"/>
      <c r="P1910" s="47"/>
      <c r="Q1910" s="45"/>
      <c r="R1910" s="45"/>
      <c r="S1910" s="48"/>
    </row>
    <row r="1911" spans="1:19" s="49" customFormat="1" ht="14.15" customHeight="1">
      <c r="A1911" s="45"/>
      <c r="B1911" s="44" t="s">
        <v>6637</v>
      </c>
      <c r="C1911" s="50"/>
      <c r="D1911" s="10" t="s">
        <v>29</v>
      </c>
      <c r="E1911" s="11"/>
      <c r="F1911" s="11" t="s">
        <v>18</v>
      </c>
      <c r="G1911" s="13"/>
      <c r="H1911" s="45" t="s">
        <v>16</v>
      </c>
      <c r="I1911" s="47"/>
      <c r="J1911" s="12" t="s">
        <v>3359</v>
      </c>
      <c r="K1911" s="13" t="s">
        <v>8681</v>
      </c>
      <c r="L1911" s="99" t="str">
        <f t="shared" si="137"/>
        <v>W1272.6</v>
      </c>
      <c r="M1911" s="45"/>
      <c r="N1911" s="47"/>
      <c r="O1911" s="47"/>
      <c r="P1911" s="47"/>
      <c r="Q1911" s="45"/>
      <c r="R1911" s="45"/>
      <c r="S1911" s="48"/>
    </row>
    <row r="1912" spans="1:19" s="49" customFormat="1" ht="14.15" customHeight="1">
      <c r="A1912" s="45"/>
      <c r="B1912" s="44" t="s">
        <v>6637</v>
      </c>
      <c r="C1912" s="50"/>
      <c r="D1912" s="10" t="s">
        <v>29</v>
      </c>
      <c r="E1912" s="11"/>
      <c r="F1912" s="11" t="s">
        <v>18</v>
      </c>
      <c r="G1912" s="13"/>
      <c r="H1912" s="45" t="s">
        <v>16</v>
      </c>
      <c r="I1912" s="47"/>
      <c r="J1912" s="12" t="s">
        <v>3360</v>
      </c>
      <c r="K1912" s="13" t="s">
        <v>8682</v>
      </c>
      <c r="L1912" s="99" t="str">
        <f t="shared" si="137"/>
        <v>W1272.7</v>
      </c>
      <c r="M1912" s="45"/>
      <c r="N1912" s="47"/>
      <c r="O1912" s="47"/>
      <c r="P1912" s="47"/>
      <c r="Q1912" s="45"/>
      <c r="R1912" s="45"/>
      <c r="S1912" s="48"/>
    </row>
    <row r="1913" spans="1:19" s="49" customFormat="1" ht="14.15" customHeight="1">
      <c r="A1913" s="45"/>
      <c r="B1913" s="44" t="s">
        <v>6637</v>
      </c>
      <c r="C1913" s="50"/>
      <c r="D1913" s="10" t="s">
        <v>29</v>
      </c>
      <c r="E1913" s="11"/>
      <c r="F1913" s="11" t="s">
        <v>18</v>
      </c>
      <c r="G1913" s="13"/>
      <c r="H1913" s="45" t="s">
        <v>16</v>
      </c>
      <c r="I1913" s="47"/>
      <c r="J1913" s="12" t="s">
        <v>3361</v>
      </c>
      <c r="K1913" s="13" t="s">
        <v>8683</v>
      </c>
      <c r="L1913" s="99" t="str">
        <f t="shared" si="137"/>
        <v>W1272.8</v>
      </c>
      <c r="M1913" s="45"/>
      <c r="N1913" s="47"/>
      <c r="O1913" s="47"/>
      <c r="P1913" s="47"/>
      <c r="Q1913" s="45"/>
      <c r="R1913" s="45"/>
      <c r="S1913" s="48"/>
    </row>
    <row r="1914" spans="1:19" s="49" customFormat="1" ht="14.15" customHeight="1">
      <c r="A1914" s="45"/>
      <c r="B1914" s="44" t="s">
        <v>6637</v>
      </c>
      <c r="C1914" s="50"/>
      <c r="D1914" s="10" t="s">
        <v>29</v>
      </c>
      <c r="E1914" s="11"/>
      <c r="F1914" s="11" t="s">
        <v>18</v>
      </c>
      <c r="G1914" s="13"/>
      <c r="H1914" s="45" t="s">
        <v>16</v>
      </c>
      <c r="I1914" s="47"/>
      <c r="J1914" s="12" t="s">
        <v>3362</v>
      </c>
      <c r="K1914" s="13" t="s">
        <v>8684</v>
      </c>
      <c r="L1914" s="99" t="str">
        <f t="shared" si="137"/>
        <v>W1272.9</v>
      </c>
      <c r="M1914" s="45"/>
      <c r="N1914" s="47"/>
      <c r="O1914" s="47"/>
      <c r="P1914" s="47"/>
      <c r="Q1914" s="45"/>
      <c r="R1914" s="45"/>
      <c r="S1914" s="48"/>
    </row>
    <row r="1915" spans="1:19" s="49" customFormat="1" ht="14.15" customHeight="1">
      <c r="A1915" s="45"/>
      <c r="B1915" s="44" t="s">
        <v>6637</v>
      </c>
      <c r="C1915" s="50"/>
      <c r="D1915" s="10" t="s">
        <v>29</v>
      </c>
      <c r="E1915" s="11"/>
      <c r="F1915" s="11" t="s">
        <v>18</v>
      </c>
      <c r="G1915" s="13"/>
      <c r="H1915" s="45" t="s">
        <v>16</v>
      </c>
      <c r="I1915" s="47"/>
      <c r="J1915" s="12" t="s">
        <v>3363</v>
      </c>
      <c r="K1915" s="13" t="s">
        <v>8685</v>
      </c>
      <c r="L1915" s="99" t="str">
        <f t="shared" si="137"/>
        <v>W1272.A</v>
      </c>
      <c r="M1915" s="45"/>
      <c r="N1915" s="47"/>
      <c r="O1915" s="47"/>
      <c r="P1915" s="47"/>
      <c r="Q1915" s="45"/>
      <c r="R1915" s="45"/>
      <c r="S1915" s="48"/>
    </row>
    <row r="1916" spans="1:19" s="49" customFormat="1" ht="14.15" customHeight="1">
      <c r="A1916" s="45"/>
      <c r="B1916" s="44" t="s">
        <v>6637</v>
      </c>
      <c r="C1916" s="50"/>
      <c r="D1916" s="10" t="s">
        <v>29</v>
      </c>
      <c r="E1916" s="11"/>
      <c r="F1916" s="11" t="s">
        <v>18</v>
      </c>
      <c r="G1916" s="13"/>
      <c r="H1916" s="45" t="s">
        <v>16</v>
      </c>
      <c r="I1916" s="47"/>
      <c r="J1916" s="12" t="s">
        <v>3364</v>
      </c>
      <c r="K1916" s="13" t="s">
        <v>8686</v>
      </c>
      <c r="L1916" s="99" t="str">
        <f t="shared" si="137"/>
        <v>W1272.B</v>
      </c>
      <c r="M1916" s="45"/>
      <c r="N1916" s="47"/>
      <c r="O1916" s="47"/>
      <c r="P1916" s="47"/>
      <c r="Q1916" s="45"/>
      <c r="R1916" s="45"/>
      <c r="S1916" s="48"/>
    </row>
    <row r="1917" spans="1:19" s="49" customFormat="1" ht="14.15" customHeight="1">
      <c r="A1917" s="45"/>
      <c r="B1917" s="44" t="s">
        <v>6637</v>
      </c>
      <c r="C1917" s="50"/>
      <c r="D1917" s="10" t="s">
        <v>29</v>
      </c>
      <c r="E1917" s="11"/>
      <c r="F1917" s="11" t="s">
        <v>18</v>
      </c>
      <c r="G1917" s="13"/>
      <c r="H1917" s="45" t="s">
        <v>16</v>
      </c>
      <c r="I1917" s="47"/>
      <c r="J1917" s="12" t="s">
        <v>3365</v>
      </c>
      <c r="K1917" s="13" t="s">
        <v>8687</v>
      </c>
      <c r="L1917" s="99" t="str">
        <f t="shared" si="137"/>
        <v>W1272.C</v>
      </c>
      <c r="M1917" s="45"/>
      <c r="N1917" s="47"/>
      <c r="O1917" s="47"/>
      <c r="P1917" s="47"/>
      <c r="Q1917" s="45"/>
      <c r="R1917" s="45"/>
      <c r="S1917" s="48"/>
    </row>
    <row r="1918" spans="1:19" s="49" customFormat="1" ht="14.15" customHeight="1">
      <c r="A1918" s="45"/>
      <c r="B1918" s="44" t="s">
        <v>6637</v>
      </c>
      <c r="C1918" s="50"/>
      <c r="D1918" s="10" t="s">
        <v>29</v>
      </c>
      <c r="E1918" s="11"/>
      <c r="F1918" s="11" t="s">
        <v>18</v>
      </c>
      <c r="G1918" s="13"/>
      <c r="H1918" s="45" t="s">
        <v>16</v>
      </c>
      <c r="I1918" s="47"/>
      <c r="J1918" s="12" t="s">
        <v>3366</v>
      </c>
      <c r="K1918" s="13" t="s">
        <v>8688</v>
      </c>
      <c r="L1918" s="99" t="str">
        <f t="shared" si="137"/>
        <v>W1272.D</v>
      </c>
      <c r="M1918" s="45"/>
      <c r="N1918" s="47"/>
      <c r="O1918" s="47"/>
      <c r="P1918" s="47"/>
      <c r="Q1918" s="45"/>
      <c r="R1918" s="45"/>
      <c r="S1918" s="48"/>
    </row>
    <row r="1919" spans="1:19" s="49" customFormat="1" ht="14.15" customHeight="1">
      <c r="A1919" s="45"/>
      <c r="B1919" s="44" t="s">
        <v>6637</v>
      </c>
      <c r="C1919" s="50"/>
      <c r="D1919" s="10" t="s">
        <v>29</v>
      </c>
      <c r="E1919" s="11"/>
      <c r="F1919" s="11" t="s">
        <v>18</v>
      </c>
      <c r="G1919" s="13"/>
      <c r="H1919" s="45" t="s">
        <v>16</v>
      </c>
      <c r="I1919" s="47"/>
      <c r="J1919" s="12" t="s">
        <v>3367</v>
      </c>
      <c r="K1919" s="13" t="s">
        <v>8689</v>
      </c>
      <c r="L1919" s="99" t="str">
        <f t="shared" si="137"/>
        <v>W1272.E</v>
      </c>
      <c r="M1919" s="45"/>
      <c r="N1919" s="47"/>
      <c r="O1919" s="47"/>
      <c r="P1919" s="47"/>
      <c r="Q1919" s="45"/>
      <c r="R1919" s="45"/>
      <c r="S1919" s="48"/>
    </row>
    <row r="1920" spans="1:19" s="49" customFormat="1" ht="14.15" customHeight="1">
      <c r="A1920" s="45"/>
      <c r="B1920" s="44" t="s">
        <v>6637</v>
      </c>
      <c r="C1920" s="50"/>
      <c r="D1920" s="10" t="s">
        <v>29</v>
      </c>
      <c r="E1920" s="11"/>
      <c r="F1920" s="11" t="s">
        <v>18</v>
      </c>
      <c r="G1920" s="13"/>
      <c r="H1920" s="45" t="s">
        <v>16</v>
      </c>
      <c r="I1920" s="47"/>
      <c r="J1920" s="12" t="s">
        <v>3368</v>
      </c>
      <c r="K1920" s="13" t="s">
        <v>8690</v>
      </c>
      <c r="L1920" s="99" t="str">
        <f t="shared" si="137"/>
        <v>W1272.F</v>
      </c>
      <c r="M1920" s="45"/>
      <c r="N1920" s="47"/>
      <c r="O1920" s="47"/>
      <c r="P1920" s="47"/>
      <c r="Q1920" s="45"/>
      <c r="R1920" s="45"/>
      <c r="S1920" s="48"/>
    </row>
    <row r="1921" spans="1:19" s="49" customFormat="1" ht="14.15" customHeight="1">
      <c r="A1921" s="45"/>
      <c r="B1921" s="44" t="s">
        <v>6637</v>
      </c>
      <c r="C1921" s="50"/>
      <c r="D1921" s="10" t="s">
        <v>29</v>
      </c>
      <c r="E1921" s="11"/>
      <c r="F1921" s="11" t="s">
        <v>18</v>
      </c>
      <c r="G1921" s="13"/>
      <c r="H1921" s="45" t="s">
        <v>16</v>
      </c>
      <c r="I1921" s="47"/>
      <c r="J1921" s="12" t="s">
        <v>3369</v>
      </c>
      <c r="K1921" s="13" t="s">
        <v>8691</v>
      </c>
      <c r="L1921" s="99" t="str">
        <f t="shared" si="137"/>
        <v>W1273.0</v>
      </c>
      <c r="M1921" s="45"/>
      <c r="N1921" s="47"/>
      <c r="O1921" s="47"/>
      <c r="P1921" s="47"/>
      <c r="Q1921" s="45"/>
      <c r="R1921" s="45"/>
      <c r="S1921" s="48"/>
    </row>
    <row r="1922" spans="1:19" s="49" customFormat="1" ht="14.15" customHeight="1">
      <c r="A1922" s="45"/>
      <c r="B1922" s="44" t="s">
        <v>6637</v>
      </c>
      <c r="C1922" s="50"/>
      <c r="D1922" s="10" t="s">
        <v>29</v>
      </c>
      <c r="E1922" s="11"/>
      <c r="F1922" s="11" t="s">
        <v>18</v>
      </c>
      <c r="G1922" s="13"/>
      <c r="H1922" s="45" t="s">
        <v>16</v>
      </c>
      <c r="I1922" s="47"/>
      <c r="J1922" s="12" t="s">
        <v>3370</v>
      </c>
      <c r="K1922" s="13" t="s">
        <v>8692</v>
      </c>
      <c r="L1922" s="99" t="str">
        <f t="shared" si="137"/>
        <v>W1273.1</v>
      </c>
      <c r="M1922" s="45"/>
      <c r="N1922" s="47"/>
      <c r="O1922" s="47"/>
      <c r="P1922" s="47"/>
      <c r="Q1922" s="45"/>
      <c r="R1922" s="45"/>
      <c r="S1922" s="48"/>
    </row>
    <row r="1923" spans="1:19" s="49" customFormat="1" ht="14.15" customHeight="1">
      <c r="A1923" s="45"/>
      <c r="B1923" s="44" t="s">
        <v>6637</v>
      </c>
      <c r="C1923" s="50"/>
      <c r="D1923" s="10" t="s">
        <v>29</v>
      </c>
      <c r="E1923" s="11"/>
      <c r="F1923" s="11" t="s">
        <v>18</v>
      </c>
      <c r="G1923" s="13"/>
      <c r="H1923" s="45" t="s">
        <v>16</v>
      </c>
      <c r="I1923" s="47"/>
      <c r="J1923" s="12" t="s">
        <v>3371</v>
      </c>
      <c r="K1923" s="13" t="s">
        <v>8693</v>
      </c>
      <c r="L1923" s="99" t="str">
        <f t="shared" si="137"/>
        <v>W1273.2</v>
      </c>
      <c r="M1923" s="45"/>
      <c r="N1923" s="47"/>
      <c r="O1923" s="47"/>
      <c r="P1923" s="47"/>
      <c r="Q1923" s="45"/>
      <c r="R1923" s="45"/>
      <c r="S1923" s="48"/>
    </row>
    <row r="1924" spans="1:19" s="49" customFormat="1" ht="14.15" customHeight="1">
      <c r="A1924" s="45"/>
      <c r="B1924" s="44" t="s">
        <v>6637</v>
      </c>
      <c r="C1924" s="50"/>
      <c r="D1924" s="10" t="s">
        <v>29</v>
      </c>
      <c r="E1924" s="11"/>
      <c r="F1924" s="11" t="s">
        <v>18</v>
      </c>
      <c r="G1924" s="13"/>
      <c r="H1924" s="45" t="s">
        <v>16</v>
      </c>
      <c r="I1924" s="47"/>
      <c r="J1924" s="12" t="s">
        <v>3372</v>
      </c>
      <c r="K1924" s="13" t="s">
        <v>8694</v>
      </c>
      <c r="L1924" s="99" t="str">
        <f t="shared" si="137"/>
        <v>W1273.3</v>
      </c>
      <c r="M1924" s="45"/>
      <c r="N1924" s="47"/>
      <c r="O1924" s="47"/>
      <c r="P1924" s="47"/>
      <c r="Q1924" s="45"/>
      <c r="R1924" s="45"/>
      <c r="S1924" s="48"/>
    </row>
    <row r="1925" spans="1:19" s="49" customFormat="1" ht="14.15" customHeight="1">
      <c r="A1925" s="45"/>
      <c r="B1925" s="44" t="s">
        <v>6637</v>
      </c>
      <c r="C1925" s="50"/>
      <c r="D1925" s="10" t="s">
        <v>29</v>
      </c>
      <c r="E1925" s="11"/>
      <c r="F1925" s="11" t="s">
        <v>18</v>
      </c>
      <c r="G1925" s="13"/>
      <c r="H1925" s="45" t="s">
        <v>16</v>
      </c>
      <c r="I1925" s="47"/>
      <c r="J1925" s="12" t="s">
        <v>3373</v>
      </c>
      <c r="K1925" s="13" t="s">
        <v>8695</v>
      </c>
      <c r="L1925" s="99" t="str">
        <f t="shared" si="137"/>
        <v>W1273.4</v>
      </c>
      <c r="M1925" s="45"/>
      <c r="N1925" s="47"/>
      <c r="O1925" s="47"/>
      <c r="P1925" s="47"/>
      <c r="Q1925" s="45"/>
      <c r="R1925" s="45"/>
      <c r="S1925" s="48"/>
    </row>
    <row r="1926" spans="1:19" s="49" customFormat="1" ht="14.15" customHeight="1">
      <c r="A1926" s="45"/>
      <c r="B1926" s="44" t="s">
        <v>6637</v>
      </c>
      <c r="C1926" s="50"/>
      <c r="D1926" s="10" t="s">
        <v>29</v>
      </c>
      <c r="E1926" s="11"/>
      <c r="F1926" s="11" t="s">
        <v>18</v>
      </c>
      <c r="G1926" s="13"/>
      <c r="H1926" s="45" t="s">
        <v>16</v>
      </c>
      <c r="I1926" s="47"/>
      <c r="J1926" s="12" t="s">
        <v>3374</v>
      </c>
      <c r="K1926" s="13" t="s">
        <v>8696</v>
      </c>
      <c r="L1926" s="99" t="str">
        <f t="shared" si="137"/>
        <v>W1273.5</v>
      </c>
      <c r="M1926" s="45"/>
      <c r="N1926" s="47"/>
      <c r="O1926" s="47"/>
      <c r="P1926" s="47"/>
      <c r="Q1926" s="45"/>
      <c r="R1926" s="45"/>
      <c r="S1926" s="48"/>
    </row>
    <row r="1927" spans="1:19" s="49" customFormat="1" ht="14.15" customHeight="1">
      <c r="A1927" s="45"/>
      <c r="B1927" s="44" t="s">
        <v>6637</v>
      </c>
      <c r="C1927" s="50"/>
      <c r="D1927" s="10" t="s">
        <v>29</v>
      </c>
      <c r="E1927" s="11"/>
      <c r="F1927" s="11" t="s">
        <v>18</v>
      </c>
      <c r="G1927" s="13"/>
      <c r="H1927" s="45" t="s">
        <v>16</v>
      </c>
      <c r="I1927" s="47"/>
      <c r="J1927" s="12" t="s">
        <v>3375</v>
      </c>
      <c r="K1927" s="13" t="s">
        <v>8697</v>
      </c>
      <c r="L1927" s="99" t="str">
        <f t="shared" si="137"/>
        <v>W1273.6</v>
      </c>
      <c r="M1927" s="45"/>
      <c r="N1927" s="47"/>
      <c r="O1927" s="47"/>
      <c r="P1927" s="47"/>
      <c r="Q1927" s="45"/>
      <c r="R1927" s="45"/>
      <c r="S1927" s="48"/>
    </row>
    <row r="1928" spans="1:19" s="49" customFormat="1" ht="14.15" customHeight="1">
      <c r="A1928" s="45"/>
      <c r="B1928" s="44" t="s">
        <v>6637</v>
      </c>
      <c r="C1928" s="50"/>
      <c r="D1928" s="10" t="s">
        <v>29</v>
      </c>
      <c r="E1928" s="11"/>
      <c r="F1928" s="11" t="s">
        <v>18</v>
      </c>
      <c r="G1928" s="13"/>
      <c r="H1928" s="45" t="s">
        <v>16</v>
      </c>
      <c r="I1928" s="47"/>
      <c r="J1928" s="12" t="s">
        <v>3376</v>
      </c>
      <c r="K1928" s="13" t="s">
        <v>8698</v>
      </c>
      <c r="L1928" s="99" t="str">
        <f t="shared" si="137"/>
        <v>W1273.7</v>
      </c>
      <c r="M1928" s="45"/>
      <c r="N1928" s="47"/>
      <c r="O1928" s="47"/>
      <c r="P1928" s="47"/>
      <c r="Q1928" s="45"/>
      <c r="R1928" s="45"/>
      <c r="S1928" s="48"/>
    </row>
    <row r="1929" spans="1:19" s="49" customFormat="1" ht="14.15" customHeight="1">
      <c r="A1929" s="45"/>
      <c r="B1929" s="44" t="s">
        <v>6637</v>
      </c>
      <c r="C1929" s="50"/>
      <c r="D1929" s="10" t="s">
        <v>29</v>
      </c>
      <c r="E1929" s="11"/>
      <c r="F1929" s="11" t="s">
        <v>18</v>
      </c>
      <c r="G1929" s="13"/>
      <c r="H1929" s="45" t="s">
        <v>16</v>
      </c>
      <c r="I1929" s="47"/>
      <c r="J1929" s="12" t="s">
        <v>3377</v>
      </c>
      <c r="K1929" s="13" t="s">
        <v>8699</v>
      </c>
      <c r="L1929" s="99" t="str">
        <f t="shared" si="137"/>
        <v>W1273.8</v>
      </c>
      <c r="M1929" s="45"/>
      <c r="N1929" s="47"/>
      <c r="O1929" s="47"/>
      <c r="P1929" s="47"/>
      <c r="Q1929" s="45"/>
      <c r="R1929" s="45"/>
      <c r="S1929" s="48"/>
    </row>
    <row r="1930" spans="1:19" s="49" customFormat="1" ht="14.15" customHeight="1">
      <c r="A1930" s="45"/>
      <c r="B1930" s="44" t="s">
        <v>6637</v>
      </c>
      <c r="C1930" s="50"/>
      <c r="D1930" s="10" t="s">
        <v>29</v>
      </c>
      <c r="E1930" s="11"/>
      <c r="F1930" s="11" t="s">
        <v>18</v>
      </c>
      <c r="G1930" s="13"/>
      <c r="H1930" s="45" t="s">
        <v>16</v>
      </c>
      <c r="I1930" s="47"/>
      <c r="J1930" s="12" t="s">
        <v>3378</v>
      </c>
      <c r="K1930" s="13" t="s">
        <v>8700</v>
      </c>
      <c r="L1930" s="99" t="str">
        <f t="shared" si="137"/>
        <v>W1273.9</v>
      </c>
      <c r="M1930" s="45"/>
      <c r="N1930" s="47"/>
      <c r="O1930" s="47"/>
      <c r="P1930" s="47"/>
      <c r="Q1930" s="45"/>
      <c r="R1930" s="45"/>
      <c r="S1930" s="48"/>
    </row>
    <row r="1931" spans="1:19" s="49" customFormat="1" ht="14.15" customHeight="1">
      <c r="A1931" s="45"/>
      <c r="B1931" s="44" t="s">
        <v>6637</v>
      </c>
      <c r="C1931" s="50"/>
      <c r="D1931" s="10" t="s">
        <v>29</v>
      </c>
      <c r="E1931" s="11"/>
      <c r="F1931" s="11" t="s">
        <v>18</v>
      </c>
      <c r="G1931" s="13"/>
      <c r="H1931" s="45" t="s">
        <v>16</v>
      </c>
      <c r="I1931" s="47"/>
      <c r="J1931" s="12" t="s">
        <v>3379</v>
      </c>
      <c r="K1931" s="13" t="s">
        <v>8701</v>
      </c>
      <c r="L1931" s="99" t="str">
        <f t="shared" si="137"/>
        <v>W1273.A</v>
      </c>
      <c r="M1931" s="45"/>
      <c r="N1931" s="47"/>
      <c r="O1931" s="47"/>
      <c r="P1931" s="47"/>
      <c r="Q1931" s="45"/>
      <c r="R1931" s="45"/>
      <c r="S1931" s="48"/>
    </row>
    <row r="1932" spans="1:19" s="49" customFormat="1" ht="14.15" customHeight="1">
      <c r="A1932" s="45"/>
      <c r="B1932" s="44" t="s">
        <v>6637</v>
      </c>
      <c r="C1932" s="50"/>
      <c r="D1932" s="10" t="s">
        <v>29</v>
      </c>
      <c r="E1932" s="11"/>
      <c r="F1932" s="11" t="s">
        <v>18</v>
      </c>
      <c r="G1932" s="13"/>
      <c r="H1932" s="45" t="s">
        <v>16</v>
      </c>
      <c r="I1932" s="47"/>
      <c r="J1932" s="12" t="s">
        <v>3380</v>
      </c>
      <c r="K1932" s="13" t="s">
        <v>8702</v>
      </c>
      <c r="L1932" s="99" t="str">
        <f t="shared" si="137"/>
        <v>W1273.B</v>
      </c>
      <c r="M1932" s="45"/>
      <c r="N1932" s="47"/>
      <c r="O1932" s="47"/>
      <c r="P1932" s="47"/>
      <c r="Q1932" s="45"/>
      <c r="R1932" s="45"/>
      <c r="S1932" s="48"/>
    </row>
    <row r="1933" spans="1:19" s="49" customFormat="1" ht="14.15" customHeight="1">
      <c r="A1933" s="45"/>
      <c r="B1933" s="44" t="s">
        <v>6637</v>
      </c>
      <c r="C1933" s="50"/>
      <c r="D1933" s="10" t="s">
        <v>29</v>
      </c>
      <c r="E1933" s="11"/>
      <c r="F1933" s="11" t="s">
        <v>18</v>
      </c>
      <c r="G1933" s="13"/>
      <c r="H1933" s="45" t="s">
        <v>16</v>
      </c>
      <c r="I1933" s="47"/>
      <c r="J1933" s="12" t="s">
        <v>3381</v>
      </c>
      <c r="K1933" s="13" t="s">
        <v>8703</v>
      </c>
      <c r="L1933" s="99" t="str">
        <f t="shared" si="137"/>
        <v>W1273.C</v>
      </c>
      <c r="M1933" s="45"/>
      <c r="N1933" s="47"/>
      <c r="O1933" s="47"/>
      <c r="P1933" s="47"/>
      <c r="Q1933" s="45"/>
      <c r="R1933" s="45"/>
      <c r="S1933" s="48"/>
    </row>
    <row r="1934" spans="1:19" s="49" customFormat="1" ht="14.15" customHeight="1">
      <c r="A1934" s="45"/>
      <c r="B1934" s="44" t="s">
        <v>6637</v>
      </c>
      <c r="C1934" s="50"/>
      <c r="D1934" s="10" t="s">
        <v>29</v>
      </c>
      <c r="E1934" s="11"/>
      <c r="F1934" s="11" t="s">
        <v>18</v>
      </c>
      <c r="G1934" s="13"/>
      <c r="H1934" s="45" t="s">
        <v>16</v>
      </c>
      <c r="I1934" s="47"/>
      <c r="J1934" s="12" t="s">
        <v>3382</v>
      </c>
      <c r="K1934" s="13" t="s">
        <v>8704</v>
      </c>
      <c r="L1934" s="99" t="str">
        <f t="shared" si="137"/>
        <v>W1273.D</v>
      </c>
      <c r="M1934" s="45"/>
      <c r="N1934" s="47"/>
      <c r="O1934" s="47"/>
      <c r="P1934" s="47"/>
      <c r="Q1934" s="45"/>
      <c r="R1934" s="45"/>
      <c r="S1934" s="48"/>
    </row>
    <row r="1935" spans="1:19" s="49" customFormat="1" ht="14.15" customHeight="1">
      <c r="A1935" s="45"/>
      <c r="B1935" s="44" t="s">
        <v>6637</v>
      </c>
      <c r="C1935" s="50"/>
      <c r="D1935" s="10" t="s">
        <v>29</v>
      </c>
      <c r="E1935" s="11"/>
      <c r="F1935" s="11" t="s">
        <v>18</v>
      </c>
      <c r="G1935" s="13"/>
      <c r="H1935" s="45" t="s">
        <v>16</v>
      </c>
      <c r="I1935" s="47"/>
      <c r="J1935" s="12" t="s">
        <v>3383</v>
      </c>
      <c r="K1935" s="13" t="s">
        <v>8705</v>
      </c>
      <c r="L1935" s="99" t="str">
        <f t="shared" si="137"/>
        <v>W1273.E</v>
      </c>
      <c r="M1935" s="45"/>
      <c r="N1935" s="47"/>
      <c r="O1935" s="47"/>
      <c r="P1935" s="47"/>
      <c r="Q1935" s="45"/>
      <c r="R1935" s="45"/>
      <c r="S1935" s="48"/>
    </row>
    <row r="1936" spans="1:19" s="49" customFormat="1" ht="14.15" customHeight="1">
      <c r="A1936" s="45"/>
      <c r="B1936" s="44" t="s">
        <v>6637</v>
      </c>
      <c r="C1936" s="50"/>
      <c r="D1936" s="10" t="s">
        <v>29</v>
      </c>
      <c r="E1936" s="11"/>
      <c r="F1936" s="11" t="s">
        <v>18</v>
      </c>
      <c r="G1936" s="13"/>
      <c r="H1936" s="45" t="s">
        <v>16</v>
      </c>
      <c r="I1936" s="47"/>
      <c r="J1936" s="12" t="s">
        <v>3384</v>
      </c>
      <c r="K1936" s="13" t="s">
        <v>8706</v>
      </c>
      <c r="L1936" s="99" t="str">
        <f t="shared" si="137"/>
        <v>W1273.F</v>
      </c>
      <c r="M1936" s="45"/>
      <c r="N1936" s="47"/>
      <c r="O1936" s="47"/>
      <c r="P1936" s="47"/>
      <c r="Q1936" s="45"/>
      <c r="R1936" s="45"/>
      <c r="S1936" s="48"/>
    </row>
    <row r="1937" spans="1:19" s="49" customFormat="1" ht="14.15" customHeight="1">
      <c r="A1937" s="45"/>
      <c r="B1937" s="44" t="s">
        <v>6637</v>
      </c>
      <c r="C1937" s="50"/>
      <c r="D1937" s="10" t="s">
        <v>29</v>
      </c>
      <c r="E1937" s="11"/>
      <c r="F1937" s="11" t="s">
        <v>18</v>
      </c>
      <c r="G1937" s="13"/>
      <c r="H1937" s="45" t="s">
        <v>16</v>
      </c>
      <c r="I1937" s="47"/>
      <c r="J1937" s="12" t="s">
        <v>3385</v>
      </c>
      <c r="K1937" s="13" t="s">
        <v>8707</v>
      </c>
      <c r="L1937" s="99" t="str">
        <f t="shared" si="137"/>
        <v>W1274.0</v>
      </c>
      <c r="M1937" s="45"/>
      <c r="N1937" s="47"/>
      <c r="O1937" s="47"/>
      <c r="P1937" s="47"/>
      <c r="Q1937" s="45"/>
      <c r="R1937" s="45"/>
      <c r="S1937" s="48"/>
    </row>
    <row r="1938" spans="1:19" s="49" customFormat="1" ht="14.15" customHeight="1">
      <c r="A1938" s="45"/>
      <c r="B1938" s="44" t="s">
        <v>6637</v>
      </c>
      <c r="C1938" s="50"/>
      <c r="D1938" s="10" t="s">
        <v>29</v>
      </c>
      <c r="E1938" s="11"/>
      <c r="F1938" s="11" t="s">
        <v>18</v>
      </c>
      <c r="G1938" s="13"/>
      <c r="H1938" s="45" t="s">
        <v>16</v>
      </c>
      <c r="I1938" s="47"/>
      <c r="J1938" s="12" t="s">
        <v>3386</v>
      </c>
      <c r="K1938" s="13" t="s">
        <v>8708</v>
      </c>
      <c r="L1938" s="99" t="str">
        <f t="shared" ref="L1938:L2001" si="138">"W"&amp;DEC2HEX(4608 + INT((ROW()-81)/16)) &amp; "." &amp; IF(MOD(ROW()-81,16)&lt;10,MOD(ROW()-81,16),CHAR(MOD(ROW()-81,16)+55))</f>
        <v>W1274.1</v>
      </c>
      <c r="M1938" s="45"/>
      <c r="N1938" s="47"/>
      <c r="O1938" s="47"/>
      <c r="P1938" s="47"/>
      <c r="Q1938" s="45"/>
      <c r="R1938" s="45"/>
      <c r="S1938" s="48"/>
    </row>
    <row r="1939" spans="1:19" s="49" customFormat="1" ht="14.15" customHeight="1">
      <c r="A1939" s="45"/>
      <c r="B1939" s="44" t="s">
        <v>6637</v>
      </c>
      <c r="C1939" s="50"/>
      <c r="D1939" s="10" t="s">
        <v>29</v>
      </c>
      <c r="E1939" s="11"/>
      <c r="F1939" s="11" t="s">
        <v>18</v>
      </c>
      <c r="G1939" s="13"/>
      <c r="H1939" s="45" t="s">
        <v>16</v>
      </c>
      <c r="I1939" s="47"/>
      <c r="J1939" s="12" t="s">
        <v>3387</v>
      </c>
      <c r="K1939" s="13" t="s">
        <v>8709</v>
      </c>
      <c r="L1939" s="99" t="str">
        <f t="shared" si="138"/>
        <v>W1274.2</v>
      </c>
      <c r="M1939" s="45"/>
      <c r="N1939" s="47"/>
      <c r="O1939" s="47"/>
      <c r="P1939" s="47"/>
      <c r="Q1939" s="45"/>
      <c r="R1939" s="45"/>
      <c r="S1939" s="48"/>
    </row>
    <row r="1940" spans="1:19" s="49" customFormat="1" ht="14.15" customHeight="1">
      <c r="A1940" s="45"/>
      <c r="B1940" s="44" t="s">
        <v>6637</v>
      </c>
      <c r="C1940" s="50"/>
      <c r="D1940" s="10" t="s">
        <v>29</v>
      </c>
      <c r="E1940" s="11"/>
      <c r="F1940" s="11" t="s">
        <v>18</v>
      </c>
      <c r="G1940" s="13"/>
      <c r="H1940" s="45" t="s">
        <v>16</v>
      </c>
      <c r="I1940" s="47"/>
      <c r="J1940" s="12" t="s">
        <v>3388</v>
      </c>
      <c r="K1940" s="13" t="s">
        <v>8710</v>
      </c>
      <c r="L1940" s="99" t="str">
        <f t="shared" si="138"/>
        <v>W1274.3</v>
      </c>
      <c r="M1940" s="45"/>
      <c r="N1940" s="47"/>
      <c r="O1940" s="47"/>
      <c r="P1940" s="47"/>
      <c r="Q1940" s="45"/>
      <c r="R1940" s="45"/>
      <c r="S1940" s="48"/>
    </row>
    <row r="1941" spans="1:19" s="49" customFormat="1" ht="14.15" customHeight="1">
      <c r="A1941" s="45"/>
      <c r="B1941" s="44" t="s">
        <v>6637</v>
      </c>
      <c r="C1941" s="50"/>
      <c r="D1941" s="10" t="s">
        <v>29</v>
      </c>
      <c r="E1941" s="11"/>
      <c r="F1941" s="11" t="s">
        <v>18</v>
      </c>
      <c r="G1941" s="13"/>
      <c r="H1941" s="45" t="s">
        <v>16</v>
      </c>
      <c r="I1941" s="47"/>
      <c r="J1941" s="12" t="s">
        <v>3389</v>
      </c>
      <c r="K1941" s="13" t="s">
        <v>8711</v>
      </c>
      <c r="L1941" s="99" t="str">
        <f t="shared" si="138"/>
        <v>W1274.4</v>
      </c>
      <c r="M1941" s="45"/>
      <c r="N1941" s="47"/>
      <c r="O1941" s="47"/>
      <c r="P1941" s="47"/>
      <c r="Q1941" s="45"/>
      <c r="R1941" s="45"/>
      <c r="S1941" s="48"/>
    </row>
    <row r="1942" spans="1:19" s="49" customFormat="1" ht="14.15" customHeight="1">
      <c r="A1942" s="45"/>
      <c r="B1942" s="44" t="s">
        <v>6637</v>
      </c>
      <c r="C1942" s="50"/>
      <c r="D1942" s="10" t="s">
        <v>29</v>
      </c>
      <c r="E1942" s="11"/>
      <c r="F1942" s="11" t="s">
        <v>18</v>
      </c>
      <c r="G1942" s="13"/>
      <c r="H1942" s="45" t="s">
        <v>16</v>
      </c>
      <c r="I1942" s="47"/>
      <c r="J1942" s="12" t="s">
        <v>3390</v>
      </c>
      <c r="K1942" s="13" t="s">
        <v>8712</v>
      </c>
      <c r="L1942" s="99" t="str">
        <f t="shared" si="138"/>
        <v>W1274.5</v>
      </c>
      <c r="M1942" s="45"/>
      <c r="N1942" s="47"/>
      <c r="O1942" s="47"/>
      <c r="P1942" s="47"/>
      <c r="Q1942" s="45"/>
      <c r="R1942" s="45"/>
      <c r="S1942" s="48"/>
    </row>
    <row r="1943" spans="1:19" s="49" customFormat="1" ht="14.15" customHeight="1">
      <c r="A1943" s="45"/>
      <c r="B1943" s="44" t="s">
        <v>6637</v>
      </c>
      <c r="C1943" s="50"/>
      <c r="D1943" s="10" t="s">
        <v>29</v>
      </c>
      <c r="E1943" s="11"/>
      <c r="F1943" s="11" t="s">
        <v>18</v>
      </c>
      <c r="G1943" s="13"/>
      <c r="H1943" s="45" t="s">
        <v>16</v>
      </c>
      <c r="I1943" s="47"/>
      <c r="J1943" s="12" t="s">
        <v>3391</v>
      </c>
      <c r="K1943" s="13" t="s">
        <v>8713</v>
      </c>
      <c r="L1943" s="99" t="str">
        <f t="shared" si="138"/>
        <v>W1274.6</v>
      </c>
      <c r="M1943" s="45"/>
      <c r="N1943" s="47"/>
      <c r="O1943" s="47"/>
      <c r="P1943" s="47"/>
      <c r="Q1943" s="45"/>
      <c r="R1943" s="45"/>
      <c r="S1943" s="48"/>
    </row>
    <row r="1944" spans="1:19" s="49" customFormat="1" ht="14.15" customHeight="1">
      <c r="A1944" s="45"/>
      <c r="B1944" s="44" t="s">
        <v>6637</v>
      </c>
      <c r="C1944" s="50"/>
      <c r="D1944" s="10" t="s">
        <v>29</v>
      </c>
      <c r="E1944" s="11"/>
      <c r="F1944" s="11" t="s">
        <v>18</v>
      </c>
      <c r="G1944" s="13"/>
      <c r="H1944" s="45" t="s">
        <v>16</v>
      </c>
      <c r="I1944" s="47"/>
      <c r="J1944" s="12" t="s">
        <v>3392</v>
      </c>
      <c r="K1944" s="13" t="s">
        <v>8714</v>
      </c>
      <c r="L1944" s="99" t="str">
        <f t="shared" si="138"/>
        <v>W1274.7</v>
      </c>
      <c r="M1944" s="45"/>
      <c r="N1944" s="47"/>
      <c r="O1944" s="47"/>
      <c r="P1944" s="47"/>
      <c r="Q1944" s="45"/>
      <c r="R1944" s="45"/>
      <c r="S1944" s="48"/>
    </row>
    <row r="1945" spans="1:19" s="49" customFormat="1" ht="14.15" customHeight="1">
      <c r="A1945" s="45"/>
      <c r="B1945" s="44" t="s">
        <v>6637</v>
      </c>
      <c r="C1945" s="50"/>
      <c r="D1945" s="10" t="s">
        <v>29</v>
      </c>
      <c r="E1945" s="11"/>
      <c r="F1945" s="11" t="s">
        <v>18</v>
      </c>
      <c r="G1945" s="13"/>
      <c r="H1945" s="45" t="s">
        <v>16</v>
      </c>
      <c r="I1945" s="47"/>
      <c r="J1945" s="12" t="s">
        <v>3393</v>
      </c>
      <c r="K1945" s="13" t="s">
        <v>8715</v>
      </c>
      <c r="L1945" s="99" t="str">
        <f t="shared" si="138"/>
        <v>W1274.8</v>
      </c>
      <c r="M1945" s="45"/>
      <c r="N1945" s="47"/>
      <c r="O1945" s="47"/>
      <c r="P1945" s="47"/>
      <c r="Q1945" s="45"/>
      <c r="R1945" s="45"/>
      <c r="S1945" s="48"/>
    </row>
    <row r="1946" spans="1:19" s="49" customFormat="1" ht="14.15" customHeight="1">
      <c r="A1946" s="45"/>
      <c r="B1946" s="44" t="s">
        <v>6637</v>
      </c>
      <c r="C1946" s="50"/>
      <c r="D1946" s="10" t="s">
        <v>29</v>
      </c>
      <c r="E1946" s="11"/>
      <c r="F1946" s="11" t="s">
        <v>18</v>
      </c>
      <c r="G1946" s="13"/>
      <c r="H1946" s="45" t="s">
        <v>16</v>
      </c>
      <c r="I1946" s="47"/>
      <c r="J1946" s="12" t="s">
        <v>3394</v>
      </c>
      <c r="K1946" s="13" t="s">
        <v>8716</v>
      </c>
      <c r="L1946" s="99" t="str">
        <f t="shared" si="138"/>
        <v>W1274.9</v>
      </c>
      <c r="M1946" s="45"/>
      <c r="N1946" s="47"/>
      <c r="O1946" s="47"/>
      <c r="P1946" s="47"/>
      <c r="Q1946" s="45"/>
      <c r="R1946" s="45"/>
      <c r="S1946" s="48"/>
    </row>
    <row r="1947" spans="1:19" s="49" customFormat="1" ht="14.15" customHeight="1">
      <c r="A1947" s="45"/>
      <c r="B1947" s="44" t="s">
        <v>6637</v>
      </c>
      <c r="C1947" s="50"/>
      <c r="D1947" s="10" t="s">
        <v>29</v>
      </c>
      <c r="E1947" s="11"/>
      <c r="F1947" s="11" t="s">
        <v>18</v>
      </c>
      <c r="G1947" s="13"/>
      <c r="H1947" s="45" t="s">
        <v>16</v>
      </c>
      <c r="I1947" s="47"/>
      <c r="J1947" s="12" t="s">
        <v>3395</v>
      </c>
      <c r="K1947" s="13" t="s">
        <v>8717</v>
      </c>
      <c r="L1947" s="99" t="str">
        <f t="shared" si="138"/>
        <v>W1274.A</v>
      </c>
      <c r="M1947" s="45"/>
      <c r="N1947" s="47"/>
      <c r="O1947" s="47"/>
      <c r="P1947" s="47"/>
      <c r="Q1947" s="45"/>
      <c r="R1947" s="45"/>
      <c r="S1947" s="48"/>
    </row>
    <row r="1948" spans="1:19" s="49" customFormat="1" ht="14.15" customHeight="1">
      <c r="A1948" s="45"/>
      <c r="B1948" s="44" t="s">
        <v>6637</v>
      </c>
      <c r="C1948" s="50"/>
      <c r="D1948" s="10" t="s">
        <v>29</v>
      </c>
      <c r="E1948" s="11"/>
      <c r="F1948" s="11" t="s">
        <v>18</v>
      </c>
      <c r="G1948" s="13"/>
      <c r="H1948" s="45" t="s">
        <v>16</v>
      </c>
      <c r="I1948" s="47"/>
      <c r="J1948" s="12" t="s">
        <v>3396</v>
      </c>
      <c r="K1948" s="13" t="s">
        <v>8718</v>
      </c>
      <c r="L1948" s="99" t="str">
        <f t="shared" si="138"/>
        <v>W1274.B</v>
      </c>
      <c r="M1948" s="45"/>
      <c r="N1948" s="47"/>
      <c r="O1948" s="47"/>
      <c r="P1948" s="47"/>
      <c r="Q1948" s="45"/>
      <c r="R1948" s="45"/>
      <c r="S1948" s="48"/>
    </row>
    <row r="1949" spans="1:19" s="49" customFormat="1" ht="14.15" customHeight="1">
      <c r="A1949" s="45"/>
      <c r="B1949" s="44" t="s">
        <v>6637</v>
      </c>
      <c r="C1949" s="50"/>
      <c r="D1949" s="10" t="s">
        <v>29</v>
      </c>
      <c r="E1949" s="11"/>
      <c r="F1949" s="11" t="s">
        <v>18</v>
      </c>
      <c r="G1949" s="13"/>
      <c r="H1949" s="45" t="s">
        <v>16</v>
      </c>
      <c r="I1949" s="47"/>
      <c r="J1949" s="12" t="s">
        <v>3397</v>
      </c>
      <c r="K1949" s="13" t="s">
        <v>8719</v>
      </c>
      <c r="L1949" s="99" t="str">
        <f t="shared" si="138"/>
        <v>W1274.C</v>
      </c>
      <c r="M1949" s="45"/>
      <c r="N1949" s="47"/>
      <c r="O1949" s="47"/>
      <c r="P1949" s="47"/>
      <c r="Q1949" s="45"/>
      <c r="R1949" s="45"/>
      <c r="S1949" s="48"/>
    </row>
    <row r="1950" spans="1:19" s="49" customFormat="1" ht="14.15" customHeight="1">
      <c r="A1950" s="45"/>
      <c r="B1950" s="44" t="s">
        <v>6637</v>
      </c>
      <c r="C1950" s="50"/>
      <c r="D1950" s="10" t="s">
        <v>29</v>
      </c>
      <c r="E1950" s="11"/>
      <c r="F1950" s="11" t="s">
        <v>18</v>
      </c>
      <c r="G1950" s="13"/>
      <c r="H1950" s="45" t="s">
        <v>16</v>
      </c>
      <c r="I1950" s="47"/>
      <c r="J1950" s="12" t="s">
        <v>3398</v>
      </c>
      <c r="K1950" s="13" t="s">
        <v>8720</v>
      </c>
      <c r="L1950" s="99" t="str">
        <f t="shared" si="138"/>
        <v>W1274.D</v>
      </c>
      <c r="M1950" s="45"/>
      <c r="N1950" s="47"/>
      <c r="O1950" s="47"/>
      <c r="P1950" s="47"/>
      <c r="Q1950" s="45"/>
      <c r="R1950" s="45"/>
      <c r="S1950" s="48"/>
    </row>
    <row r="1951" spans="1:19" s="49" customFormat="1" ht="14.15" customHeight="1">
      <c r="A1951" s="45"/>
      <c r="B1951" s="44" t="s">
        <v>6637</v>
      </c>
      <c r="C1951" s="50"/>
      <c r="D1951" s="10" t="s">
        <v>29</v>
      </c>
      <c r="E1951" s="11"/>
      <c r="F1951" s="11" t="s">
        <v>18</v>
      </c>
      <c r="G1951" s="13"/>
      <c r="H1951" s="45" t="s">
        <v>16</v>
      </c>
      <c r="I1951" s="47"/>
      <c r="J1951" s="12" t="s">
        <v>3399</v>
      </c>
      <c r="K1951" s="13" t="s">
        <v>8721</v>
      </c>
      <c r="L1951" s="99" t="str">
        <f t="shared" si="138"/>
        <v>W1274.E</v>
      </c>
      <c r="M1951" s="45"/>
      <c r="N1951" s="47"/>
      <c r="O1951" s="47"/>
      <c r="P1951" s="47"/>
      <c r="Q1951" s="45"/>
      <c r="R1951" s="45"/>
      <c r="S1951" s="48"/>
    </row>
    <row r="1952" spans="1:19" s="49" customFormat="1" ht="14.15" customHeight="1">
      <c r="A1952" s="45"/>
      <c r="B1952" s="44" t="s">
        <v>6637</v>
      </c>
      <c r="C1952" s="50"/>
      <c r="D1952" s="10" t="s">
        <v>29</v>
      </c>
      <c r="E1952" s="11"/>
      <c r="F1952" s="11" t="s">
        <v>18</v>
      </c>
      <c r="G1952" s="13"/>
      <c r="H1952" s="45" t="s">
        <v>16</v>
      </c>
      <c r="I1952" s="47"/>
      <c r="J1952" s="12" t="s">
        <v>3400</v>
      </c>
      <c r="K1952" s="13" t="s">
        <v>8722</v>
      </c>
      <c r="L1952" s="99" t="str">
        <f t="shared" si="138"/>
        <v>W1274.F</v>
      </c>
      <c r="M1952" s="45"/>
      <c r="N1952" s="47"/>
      <c r="O1952" s="47"/>
      <c r="P1952" s="47"/>
      <c r="Q1952" s="45"/>
      <c r="R1952" s="45"/>
      <c r="S1952" s="48"/>
    </row>
    <row r="1953" spans="1:19" s="49" customFormat="1" ht="14.15" customHeight="1">
      <c r="A1953" s="45"/>
      <c r="B1953" s="44" t="s">
        <v>6637</v>
      </c>
      <c r="C1953" s="50"/>
      <c r="D1953" s="10" t="s">
        <v>29</v>
      </c>
      <c r="E1953" s="11"/>
      <c r="F1953" s="11" t="s">
        <v>18</v>
      </c>
      <c r="G1953" s="13"/>
      <c r="H1953" s="45" t="s">
        <v>16</v>
      </c>
      <c r="I1953" s="47"/>
      <c r="J1953" s="12" t="s">
        <v>3401</v>
      </c>
      <c r="K1953" s="13" t="s">
        <v>8723</v>
      </c>
      <c r="L1953" s="99" t="str">
        <f t="shared" si="138"/>
        <v>W1275.0</v>
      </c>
      <c r="M1953" s="45"/>
      <c r="N1953" s="47"/>
      <c r="O1953" s="47"/>
      <c r="P1953" s="47"/>
      <c r="Q1953" s="45"/>
      <c r="R1953" s="45"/>
      <c r="S1953" s="48"/>
    </row>
    <row r="1954" spans="1:19" s="49" customFormat="1" ht="14.15" customHeight="1">
      <c r="A1954" s="45"/>
      <c r="B1954" s="44" t="s">
        <v>6637</v>
      </c>
      <c r="C1954" s="50"/>
      <c r="D1954" s="10" t="s">
        <v>29</v>
      </c>
      <c r="E1954" s="11"/>
      <c r="F1954" s="11" t="s">
        <v>18</v>
      </c>
      <c r="G1954" s="13"/>
      <c r="H1954" s="45" t="s">
        <v>16</v>
      </c>
      <c r="I1954" s="47"/>
      <c r="J1954" s="12" t="s">
        <v>3402</v>
      </c>
      <c r="K1954" s="13" t="s">
        <v>8724</v>
      </c>
      <c r="L1954" s="99" t="str">
        <f t="shared" si="138"/>
        <v>W1275.1</v>
      </c>
      <c r="M1954" s="45"/>
      <c r="N1954" s="47"/>
      <c r="O1954" s="47"/>
      <c r="P1954" s="47"/>
      <c r="Q1954" s="45"/>
      <c r="R1954" s="45"/>
      <c r="S1954" s="48"/>
    </row>
    <row r="1955" spans="1:19" s="49" customFormat="1" ht="14.15" customHeight="1">
      <c r="A1955" s="45"/>
      <c r="B1955" s="44" t="s">
        <v>6637</v>
      </c>
      <c r="C1955" s="50"/>
      <c r="D1955" s="10" t="s">
        <v>29</v>
      </c>
      <c r="E1955" s="11"/>
      <c r="F1955" s="11" t="s">
        <v>18</v>
      </c>
      <c r="G1955" s="13"/>
      <c r="H1955" s="45" t="s">
        <v>16</v>
      </c>
      <c r="I1955" s="47"/>
      <c r="J1955" s="12" t="s">
        <v>3403</v>
      </c>
      <c r="K1955" s="13" t="s">
        <v>8725</v>
      </c>
      <c r="L1955" s="99" t="str">
        <f t="shared" si="138"/>
        <v>W1275.2</v>
      </c>
      <c r="M1955" s="45"/>
      <c r="N1955" s="47"/>
      <c r="O1955" s="47"/>
      <c r="P1955" s="47"/>
      <c r="Q1955" s="45"/>
      <c r="R1955" s="45"/>
      <c r="S1955" s="48"/>
    </row>
    <row r="1956" spans="1:19" s="49" customFormat="1" ht="14.15" customHeight="1">
      <c r="A1956" s="45"/>
      <c r="B1956" s="44" t="s">
        <v>6637</v>
      </c>
      <c r="C1956" s="50"/>
      <c r="D1956" s="10" t="s">
        <v>29</v>
      </c>
      <c r="E1956" s="11"/>
      <c r="F1956" s="11" t="s">
        <v>18</v>
      </c>
      <c r="G1956" s="13"/>
      <c r="H1956" s="45" t="s">
        <v>16</v>
      </c>
      <c r="I1956" s="47"/>
      <c r="J1956" s="12" t="s">
        <v>3404</v>
      </c>
      <c r="K1956" s="13" t="s">
        <v>8726</v>
      </c>
      <c r="L1956" s="99" t="str">
        <f t="shared" si="138"/>
        <v>W1275.3</v>
      </c>
      <c r="M1956" s="45"/>
      <c r="N1956" s="47"/>
      <c r="O1956" s="47"/>
      <c r="P1956" s="47"/>
      <c r="Q1956" s="45"/>
      <c r="R1956" s="45"/>
      <c r="S1956" s="48"/>
    </row>
    <row r="1957" spans="1:19" s="49" customFormat="1" ht="14.15" customHeight="1">
      <c r="A1957" s="45"/>
      <c r="B1957" s="44" t="s">
        <v>6637</v>
      </c>
      <c r="C1957" s="50"/>
      <c r="D1957" s="10" t="s">
        <v>29</v>
      </c>
      <c r="E1957" s="11"/>
      <c r="F1957" s="11" t="s">
        <v>18</v>
      </c>
      <c r="G1957" s="13"/>
      <c r="H1957" s="45" t="s">
        <v>16</v>
      </c>
      <c r="I1957" s="47"/>
      <c r="J1957" s="12" t="s">
        <v>3405</v>
      </c>
      <c r="K1957" s="13" t="s">
        <v>8727</v>
      </c>
      <c r="L1957" s="99" t="str">
        <f t="shared" si="138"/>
        <v>W1275.4</v>
      </c>
      <c r="M1957" s="45"/>
      <c r="N1957" s="47"/>
      <c r="O1957" s="47"/>
      <c r="P1957" s="47"/>
      <c r="Q1957" s="45"/>
      <c r="R1957" s="45"/>
      <c r="S1957" s="48"/>
    </row>
    <row r="1958" spans="1:19" s="49" customFormat="1" ht="14.15" customHeight="1">
      <c r="A1958" s="45"/>
      <c r="B1958" s="44" t="s">
        <v>6637</v>
      </c>
      <c r="C1958" s="50"/>
      <c r="D1958" s="10" t="s">
        <v>29</v>
      </c>
      <c r="E1958" s="11"/>
      <c r="F1958" s="11" t="s">
        <v>18</v>
      </c>
      <c r="G1958" s="13"/>
      <c r="H1958" s="45" t="s">
        <v>16</v>
      </c>
      <c r="I1958" s="47"/>
      <c r="J1958" s="12" t="s">
        <v>3406</v>
      </c>
      <c r="K1958" s="13" t="s">
        <v>8728</v>
      </c>
      <c r="L1958" s="99" t="str">
        <f t="shared" si="138"/>
        <v>W1275.5</v>
      </c>
      <c r="M1958" s="45"/>
      <c r="N1958" s="47"/>
      <c r="O1958" s="47"/>
      <c r="P1958" s="47"/>
      <c r="Q1958" s="45"/>
      <c r="R1958" s="45"/>
      <c r="S1958" s="48"/>
    </row>
    <row r="1959" spans="1:19" s="49" customFormat="1" ht="14.15" customHeight="1">
      <c r="A1959" s="45"/>
      <c r="B1959" s="44" t="s">
        <v>6637</v>
      </c>
      <c r="C1959" s="50"/>
      <c r="D1959" s="10" t="s">
        <v>29</v>
      </c>
      <c r="E1959" s="11"/>
      <c r="F1959" s="11" t="s">
        <v>18</v>
      </c>
      <c r="G1959" s="13"/>
      <c r="H1959" s="45" t="s">
        <v>16</v>
      </c>
      <c r="I1959" s="47"/>
      <c r="J1959" s="12" t="s">
        <v>3407</v>
      </c>
      <c r="K1959" s="13" t="s">
        <v>8729</v>
      </c>
      <c r="L1959" s="99" t="str">
        <f t="shared" si="138"/>
        <v>W1275.6</v>
      </c>
      <c r="M1959" s="45"/>
      <c r="N1959" s="47"/>
      <c r="O1959" s="47"/>
      <c r="P1959" s="47"/>
      <c r="Q1959" s="45"/>
      <c r="R1959" s="45"/>
      <c r="S1959" s="48"/>
    </row>
    <row r="1960" spans="1:19" s="49" customFormat="1" ht="14.15" customHeight="1">
      <c r="A1960" s="45"/>
      <c r="B1960" s="44" t="s">
        <v>6637</v>
      </c>
      <c r="C1960" s="50"/>
      <c r="D1960" s="10" t="s">
        <v>29</v>
      </c>
      <c r="E1960" s="11"/>
      <c r="F1960" s="11" t="s">
        <v>18</v>
      </c>
      <c r="G1960" s="13"/>
      <c r="H1960" s="45" t="s">
        <v>16</v>
      </c>
      <c r="I1960" s="47"/>
      <c r="J1960" s="12" t="s">
        <v>3408</v>
      </c>
      <c r="K1960" s="13" t="s">
        <v>8730</v>
      </c>
      <c r="L1960" s="99" t="str">
        <f t="shared" si="138"/>
        <v>W1275.7</v>
      </c>
      <c r="M1960" s="45"/>
      <c r="N1960" s="47"/>
      <c r="O1960" s="47"/>
      <c r="P1960" s="47"/>
      <c r="Q1960" s="45"/>
      <c r="R1960" s="45"/>
      <c r="S1960" s="48"/>
    </row>
    <row r="1961" spans="1:19" s="49" customFormat="1" ht="14.15" customHeight="1">
      <c r="A1961" s="45"/>
      <c r="B1961" s="44" t="s">
        <v>6637</v>
      </c>
      <c r="C1961" s="50"/>
      <c r="D1961" s="10" t="s">
        <v>29</v>
      </c>
      <c r="E1961" s="11"/>
      <c r="F1961" s="11" t="s">
        <v>18</v>
      </c>
      <c r="G1961" s="13"/>
      <c r="H1961" s="45" t="s">
        <v>16</v>
      </c>
      <c r="I1961" s="47"/>
      <c r="J1961" s="12" t="s">
        <v>3379</v>
      </c>
      <c r="K1961" s="13" t="s">
        <v>8731</v>
      </c>
      <c r="L1961" s="99" t="str">
        <f t="shared" si="138"/>
        <v>W1275.8</v>
      </c>
      <c r="M1961" s="45"/>
      <c r="N1961" s="47"/>
      <c r="O1961" s="47"/>
      <c r="P1961" s="47"/>
      <c r="Q1961" s="45"/>
      <c r="R1961" s="45"/>
      <c r="S1961" s="48"/>
    </row>
    <row r="1962" spans="1:19" s="49" customFormat="1" ht="14.15" customHeight="1">
      <c r="A1962" s="45"/>
      <c r="B1962" s="44" t="s">
        <v>6637</v>
      </c>
      <c r="C1962" s="50"/>
      <c r="D1962" s="10" t="s">
        <v>29</v>
      </c>
      <c r="E1962" s="11"/>
      <c r="F1962" s="11" t="s">
        <v>18</v>
      </c>
      <c r="G1962" s="13"/>
      <c r="H1962" s="45" t="s">
        <v>16</v>
      </c>
      <c r="I1962" s="47"/>
      <c r="J1962" s="12" t="s">
        <v>3409</v>
      </c>
      <c r="K1962" s="13" t="s">
        <v>8732</v>
      </c>
      <c r="L1962" s="99" t="str">
        <f t="shared" si="138"/>
        <v>W1275.9</v>
      </c>
      <c r="M1962" s="45"/>
      <c r="N1962" s="47"/>
      <c r="O1962" s="47"/>
      <c r="P1962" s="47"/>
      <c r="Q1962" s="45"/>
      <c r="R1962" s="45"/>
      <c r="S1962" s="48"/>
    </row>
    <row r="1963" spans="1:19" s="49" customFormat="1" ht="14.15" customHeight="1">
      <c r="A1963" s="45"/>
      <c r="B1963" s="44" t="s">
        <v>6637</v>
      </c>
      <c r="C1963" s="50"/>
      <c r="D1963" s="10" t="s">
        <v>29</v>
      </c>
      <c r="E1963" s="11"/>
      <c r="F1963" s="11" t="s">
        <v>18</v>
      </c>
      <c r="G1963" s="13"/>
      <c r="H1963" s="45" t="s">
        <v>16</v>
      </c>
      <c r="I1963" s="47"/>
      <c r="J1963" s="12" t="s">
        <v>3410</v>
      </c>
      <c r="K1963" s="13" t="s">
        <v>8733</v>
      </c>
      <c r="L1963" s="99" t="str">
        <f t="shared" si="138"/>
        <v>W1275.A</v>
      </c>
      <c r="M1963" s="45"/>
      <c r="N1963" s="47"/>
      <c r="O1963" s="47"/>
      <c r="P1963" s="47"/>
      <c r="Q1963" s="45"/>
      <c r="R1963" s="45"/>
      <c r="S1963" s="48"/>
    </row>
    <row r="1964" spans="1:19" s="49" customFormat="1" ht="14.15" customHeight="1">
      <c r="A1964" s="45"/>
      <c r="B1964" s="44" t="s">
        <v>6637</v>
      </c>
      <c r="C1964" s="50"/>
      <c r="D1964" s="10" t="s">
        <v>29</v>
      </c>
      <c r="E1964" s="11"/>
      <c r="F1964" s="11" t="s">
        <v>18</v>
      </c>
      <c r="G1964" s="13"/>
      <c r="H1964" s="45" t="s">
        <v>16</v>
      </c>
      <c r="I1964" s="47"/>
      <c r="J1964" s="12" t="s">
        <v>3411</v>
      </c>
      <c r="K1964" s="13" t="s">
        <v>8734</v>
      </c>
      <c r="L1964" s="99" t="str">
        <f t="shared" si="138"/>
        <v>W1275.B</v>
      </c>
      <c r="M1964" s="45"/>
      <c r="N1964" s="47"/>
      <c r="O1964" s="47"/>
      <c r="P1964" s="47"/>
      <c r="Q1964" s="45"/>
      <c r="R1964" s="45"/>
      <c r="S1964" s="48"/>
    </row>
    <row r="1965" spans="1:19" s="49" customFormat="1" ht="14.15" customHeight="1">
      <c r="A1965" s="45"/>
      <c r="B1965" s="44" t="s">
        <v>6637</v>
      </c>
      <c r="C1965" s="50"/>
      <c r="D1965" s="10" t="s">
        <v>29</v>
      </c>
      <c r="E1965" s="11"/>
      <c r="F1965" s="11" t="s">
        <v>18</v>
      </c>
      <c r="G1965" s="13"/>
      <c r="H1965" s="45" t="s">
        <v>16</v>
      </c>
      <c r="I1965" s="47"/>
      <c r="J1965" s="12" t="s">
        <v>3412</v>
      </c>
      <c r="K1965" s="13" t="s">
        <v>8735</v>
      </c>
      <c r="L1965" s="99" t="str">
        <f t="shared" si="138"/>
        <v>W1275.C</v>
      </c>
      <c r="M1965" s="45"/>
      <c r="N1965" s="47"/>
      <c r="O1965" s="47"/>
      <c r="P1965" s="47"/>
      <c r="Q1965" s="45"/>
      <c r="R1965" s="45"/>
      <c r="S1965" s="48"/>
    </row>
    <row r="1966" spans="1:19" s="49" customFormat="1" ht="14.15" customHeight="1">
      <c r="A1966" s="45"/>
      <c r="B1966" s="44" t="s">
        <v>6637</v>
      </c>
      <c r="C1966" s="50"/>
      <c r="D1966" s="10" t="s">
        <v>29</v>
      </c>
      <c r="E1966" s="11"/>
      <c r="F1966" s="11" t="s">
        <v>18</v>
      </c>
      <c r="G1966" s="13"/>
      <c r="H1966" s="45" t="s">
        <v>16</v>
      </c>
      <c r="I1966" s="47"/>
      <c r="J1966" s="12" t="s">
        <v>3413</v>
      </c>
      <c r="K1966" s="13" t="s">
        <v>8736</v>
      </c>
      <c r="L1966" s="99" t="str">
        <f t="shared" si="138"/>
        <v>W1275.D</v>
      </c>
      <c r="M1966" s="45"/>
      <c r="N1966" s="47"/>
      <c r="O1966" s="47"/>
      <c r="P1966" s="47"/>
      <c r="Q1966" s="45"/>
      <c r="R1966" s="45"/>
      <c r="S1966" s="48"/>
    </row>
    <row r="1967" spans="1:19" s="49" customFormat="1" ht="14.15" customHeight="1">
      <c r="A1967" s="45"/>
      <c r="B1967" s="44" t="s">
        <v>6637</v>
      </c>
      <c r="C1967" s="50"/>
      <c r="D1967" s="10" t="s">
        <v>29</v>
      </c>
      <c r="E1967" s="11"/>
      <c r="F1967" s="11" t="s">
        <v>18</v>
      </c>
      <c r="G1967" s="13"/>
      <c r="H1967" s="45" t="s">
        <v>16</v>
      </c>
      <c r="I1967" s="47"/>
      <c r="J1967" s="12" t="s">
        <v>3414</v>
      </c>
      <c r="K1967" s="13" t="s">
        <v>8737</v>
      </c>
      <c r="L1967" s="99" t="str">
        <f t="shared" si="138"/>
        <v>W1275.E</v>
      </c>
      <c r="M1967" s="45"/>
      <c r="N1967" s="47"/>
      <c r="O1967" s="47"/>
      <c r="P1967" s="47"/>
      <c r="Q1967" s="45"/>
      <c r="R1967" s="45"/>
      <c r="S1967" s="48"/>
    </row>
    <row r="1968" spans="1:19" s="49" customFormat="1" ht="14.15" customHeight="1">
      <c r="A1968" s="45"/>
      <c r="B1968" s="44" t="s">
        <v>6637</v>
      </c>
      <c r="C1968" s="50"/>
      <c r="D1968" s="10" t="s">
        <v>29</v>
      </c>
      <c r="E1968" s="11"/>
      <c r="F1968" s="11" t="s">
        <v>18</v>
      </c>
      <c r="G1968" s="13"/>
      <c r="H1968" s="45" t="s">
        <v>16</v>
      </c>
      <c r="I1968" s="47"/>
      <c r="J1968" s="12" t="s">
        <v>3415</v>
      </c>
      <c r="K1968" s="13" t="s">
        <v>8738</v>
      </c>
      <c r="L1968" s="99" t="str">
        <f t="shared" si="138"/>
        <v>W1275.F</v>
      </c>
      <c r="M1968" s="45"/>
      <c r="N1968" s="47"/>
      <c r="O1968" s="47"/>
      <c r="P1968" s="47"/>
      <c r="Q1968" s="45"/>
      <c r="R1968" s="45"/>
      <c r="S1968" s="48"/>
    </row>
    <row r="1969" spans="1:19" s="49" customFormat="1" ht="14.15" customHeight="1">
      <c r="A1969" s="45"/>
      <c r="B1969" s="44" t="s">
        <v>6637</v>
      </c>
      <c r="C1969" s="50"/>
      <c r="D1969" s="10" t="s">
        <v>29</v>
      </c>
      <c r="E1969" s="11"/>
      <c r="F1969" s="11" t="s">
        <v>18</v>
      </c>
      <c r="G1969" s="13"/>
      <c r="H1969" s="45" t="s">
        <v>16</v>
      </c>
      <c r="I1969" s="47"/>
      <c r="J1969" s="12" t="s">
        <v>3416</v>
      </c>
      <c r="K1969" s="13" t="s">
        <v>8739</v>
      </c>
      <c r="L1969" s="99" t="str">
        <f t="shared" si="138"/>
        <v>W1276.0</v>
      </c>
      <c r="M1969" s="45"/>
      <c r="N1969" s="47"/>
      <c r="O1969" s="47"/>
      <c r="P1969" s="47"/>
      <c r="Q1969" s="45"/>
      <c r="R1969" s="45"/>
      <c r="S1969" s="48"/>
    </row>
    <row r="1970" spans="1:19" s="49" customFormat="1" ht="14.15" customHeight="1">
      <c r="A1970" s="45"/>
      <c r="B1970" s="44" t="s">
        <v>6637</v>
      </c>
      <c r="C1970" s="50"/>
      <c r="D1970" s="10" t="s">
        <v>29</v>
      </c>
      <c r="E1970" s="11"/>
      <c r="F1970" s="11" t="s">
        <v>18</v>
      </c>
      <c r="G1970" s="13"/>
      <c r="H1970" s="45" t="s">
        <v>16</v>
      </c>
      <c r="I1970" s="47"/>
      <c r="J1970" s="12" t="s">
        <v>3417</v>
      </c>
      <c r="K1970" s="13" t="s">
        <v>8740</v>
      </c>
      <c r="L1970" s="99" t="str">
        <f t="shared" si="138"/>
        <v>W1276.1</v>
      </c>
      <c r="M1970" s="45"/>
      <c r="N1970" s="47"/>
      <c r="O1970" s="47"/>
      <c r="P1970" s="47"/>
      <c r="Q1970" s="45"/>
      <c r="R1970" s="45"/>
      <c r="S1970" s="48"/>
    </row>
    <row r="1971" spans="1:19" s="49" customFormat="1" ht="14.15" customHeight="1">
      <c r="A1971" s="45"/>
      <c r="B1971" s="44" t="s">
        <v>6637</v>
      </c>
      <c r="C1971" s="50"/>
      <c r="D1971" s="10" t="s">
        <v>29</v>
      </c>
      <c r="E1971" s="11"/>
      <c r="F1971" s="11" t="s">
        <v>18</v>
      </c>
      <c r="G1971" s="13"/>
      <c r="H1971" s="45" t="s">
        <v>16</v>
      </c>
      <c r="I1971" s="47"/>
      <c r="J1971" s="12" t="s">
        <v>3418</v>
      </c>
      <c r="K1971" s="13" t="s">
        <v>8741</v>
      </c>
      <c r="L1971" s="99" t="str">
        <f t="shared" si="138"/>
        <v>W1276.2</v>
      </c>
      <c r="M1971" s="45"/>
      <c r="N1971" s="47"/>
      <c r="O1971" s="47"/>
      <c r="P1971" s="47"/>
      <c r="Q1971" s="45"/>
      <c r="R1971" s="45"/>
      <c r="S1971" s="48"/>
    </row>
    <row r="1972" spans="1:19" s="49" customFormat="1" ht="14.15" customHeight="1">
      <c r="A1972" s="45"/>
      <c r="B1972" s="44" t="s">
        <v>6637</v>
      </c>
      <c r="C1972" s="50"/>
      <c r="D1972" s="10" t="s">
        <v>29</v>
      </c>
      <c r="E1972" s="11"/>
      <c r="F1972" s="11" t="s">
        <v>18</v>
      </c>
      <c r="G1972" s="13"/>
      <c r="H1972" s="45" t="s">
        <v>16</v>
      </c>
      <c r="I1972" s="47"/>
      <c r="J1972" s="12" t="s">
        <v>3419</v>
      </c>
      <c r="K1972" s="13" t="s">
        <v>8742</v>
      </c>
      <c r="L1972" s="99" t="str">
        <f t="shared" si="138"/>
        <v>W1276.3</v>
      </c>
      <c r="M1972" s="45"/>
      <c r="N1972" s="47"/>
      <c r="O1972" s="47"/>
      <c r="P1972" s="47"/>
      <c r="Q1972" s="45"/>
      <c r="R1972" s="45"/>
      <c r="S1972" s="48"/>
    </row>
    <row r="1973" spans="1:19" s="49" customFormat="1" ht="14.15" customHeight="1">
      <c r="A1973" s="45"/>
      <c r="B1973" s="44" t="s">
        <v>6637</v>
      </c>
      <c r="C1973" s="50"/>
      <c r="D1973" s="10" t="s">
        <v>29</v>
      </c>
      <c r="E1973" s="11"/>
      <c r="F1973" s="11" t="s">
        <v>18</v>
      </c>
      <c r="G1973" s="13"/>
      <c r="H1973" s="45" t="s">
        <v>16</v>
      </c>
      <c r="I1973" s="47"/>
      <c r="J1973" s="12" t="s">
        <v>3420</v>
      </c>
      <c r="K1973" s="13" t="s">
        <v>8743</v>
      </c>
      <c r="L1973" s="99" t="str">
        <f t="shared" si="138"/>
        <v>W1276.4</v>
      </c>
      <c r="M1973" s="45"/>
      <c r="N1973" s="47"/>
      <c r="O1973" s="47"/>
      <c r="P1973" s="47"/>
      <c r="Q1973" s="45"/>
      <c r="R1973" s="45"/>
      <c r="S1973" s="48"/>
    </row>
    <row r="1974" spans="1:19" s="49" customFormat="1" ht="14.15" customHeight="1">
      <c r="A1974" s="45"/>
      <c r="B1974" s="44" t="s">
        <v>6637</v>
      </c>
      <c r="C1974" s="50"/>
      <c r="D1974" s="10" t="s">
        <v>29</v>
      </c>
      <c r="E1974" s="11"/>
      <c r="F1974" s="11" t="s">
        <v>18</v>
      </c>
      <c r="G1974" s="13"/>
      <c r="H1974" s="45" t="s">
        <v>16</v>
      </c>
      <c r="I1974" s="47"/>
      <c r="J1974" s="12" t="s">
        <v>3421</v>
      </c>
      <c r="K1974" s="13" t="s">
        <v>8744</v>
      </c>
      <c r="L1974" s="99" t="str">
        <f t="shared" si="138"/>
        <v>W1276.5</v>
      </c>
      <c r="M1974" s="45"/>
      <c r="N1974" s="47"/>
      <c r="O1974" s="47"/>
      <c r="P1974" s="47"/>
      <c r="Q1974" s="45"/>
      <c r="R1974" s="45"/>
      <c r="S1974" s="48"/>
    </row>
    <row r="1975" spans="1:19" s="49" customFormat="1" ht="14.15" customHeight="1">
      <c r="A1975" s="45"/>
      <c r="B1975" s="44" t="s">
        <v>6637</v>
      </c>
      <c r="C1975" s="50"/>
      <c r="D1975" s="10" t="s">
        <v>29</v>
      </c>
      <c r="E1975" s="11"/>
      <c r="F1975" s="11" t="s">
        <v>18</v>
      </c>
      <c r="G1975" s="13"/>
      <c r="H1975" s="45" t="s">
        <v>16</v>
      </c>
      <c r="I1975" s="47"/>
      <c r="J1975" s="12" t="s">
        <v>3422</v>
      </c>
      <c r="K1975" s="13" t="s">
        <v>8745</v>
      </c>
      <c r="L1975" s="99" t="str">
        <f t="shared" si="138"/>
        <v>W1276.6</v>
      </c>
      <c r="M1975" s="45"/>
      <c r="N1975" s="47"/>
      <c r="O1975" s="47"/>
      <c r="P1975" s="47"/>
      <c r="Q1975" s="45"/>
      <c r="R1975" s="45"/>
      <c r="S1975" s="48"/>
    </row>
    <row r="1976" spans="1:19" s="49" customFormat="1" ht="14.15" customHeight="1">
      <c r="A1976" s="45"/>
      <c r="B1976" s="44" t="s">
        <v>6637</v>
      </c>
      <c r="C1976" s="50"/>
      <c r="D1976" s="10" t="s">
        <v>29</v>
      </c>
      <c r="E1976" s="11"/>
      <c r="F1976" s="11" t="s">
        <v>18</v>
      </c>
      <c r="G1976" s="13"/>
      <c r="H1976" s="45" t="s">
        <v>16</v>
      </c>
      <c r="I1976" s="47"/>
      <c r="J1976" s="12" t="s">
        <v>3423</v>
      </c>
      <c r="K1976" s="13" t="s">
        <v>8746</v>
      </c>
      <c r="L1976" s="99" t="str">
        <f t="shared" si="138"/>
        <v>W1276.7</v>
      </c>
      <c r="M1976" s="45"/>
      <c r="N1976" s="47"/>
      <c r="O1976" s="47"/>
      <c r="P1976" s="47"/>
      <c r="Q1976" s="45"/>
      <c r="R1976" s="45"/>
      <c r="S1976" s="48"/>
    </row>
    <row r="1977" spans="1:19" s="49" customFormat="1" ht="14.15" customHeight="1">
      <c r="A1977" s="45"/>
      <c r="B1977" s="44" t="s">
        <v>6637</v>
      </c>
      <c r="C1977" s="50"/>
      <c r="D1977" s="10" t="s">
        <v>29</v>
      </c>
      <c r="E1977" s="11"/>
      <c r="F1977" s="11" t="s">
        <v>18</v>
      </c>
      <c r="G1977" s="13"/>
      <c r="H1977" s="45" t="s">
        <v>16</v>
      </c>
      <c r="I1977" s="47"/>
      <c r="J1977" s="12" t="s">
        <v>3424</v>
      </c>
      <c r="K1977" s="13" t="s">
        <v>8747</v>
      </c>
      <c r="L1977" s="99" t="str">
        <f t="shared" si="138"/>
        <v>W1276.8</v>
      </c>
      <c r="M1977" s="45"/>
      <c r="N1977" s="47"/>
      <c r="O1977" s="47"/>
      <c r="P1977" s="47"/>
      <c r="Q1977" s="45"/>
      <c r="R1977" s="45"/>
      <c r="S1977" s="48"/>
    </row>
    <row r="1978" spans="1:19" s="49" customFormat="1" ht="14.15" customHeight="1">
      <c r="A1978" s="45"/>
      <c r="B1978" s="44" t="s">
        <v>6637</v>
      </c>
      <c r="C1978" s="50"/>
      <c r="D1978" s="10" t="s">
        <v>29</v>
      </c>
      <c r="E1978" s="11"/>
      <c r="F1978" s="11" t="s">
        <v>18</v>
      </c>
      <c r="G1978" s="13"/>
      <c r="H1978" s="45" t="s">
        <v>16</v>
      </c>
      <c r="I1978" s="47"/>
      <c r="J1978" s="12" t="s">
        <v>3425</v>
      </c>
      <c r="K1978" s="13" t="s">
        <v>8748</v>
      </c>
      <c r="L1978" s="99" t="str">
        <f t="shared" si="138"/>
        <v>W1276.9</v>
      </c>
      <c r="M1978" s="45"/>
      <c r="N1978" s="47"/>
      <c r="O1978" s="47"/>
      <c r="P1978" s="47"/>
      <c r="Q1978" s="45"/>
      <c r="R1978" s="45"/>
      <c r="S1978" s="48"/>
    </row>
    <row r="1979" spans="1:19" s="49" customFormat="1" ht="14.15" customHeight="1">
      <c r="A1979" s="45"/>
      <c r="B1979" s="44" t="s">
        <v>6637</v>
      </c>
      <c r="C1979" s="50"/>
      <c r="D1979" s="10" t="s">
        <v>29</v>
      </c>
      <c r="E1979" s="11"/>
      <c r="F1979" s="11" t="s">
        <v>18</v>
      </c>
      <c r="G1979" s="13"/>
      <c r="H1979" s="45" t="s">
        <v>16</v>
      </c>
      <c r="I1979" s="47"/>
      <c r="J1979" s="12" t="s">
        <v>3426</v>
      </c>
      <c r="K1979" s="13" t="s">
        <v>8749</v>
      </c>
      <c r="L1979" s="99" t="str">
        <f t="shared" si="138"/>
        <v>W1276.A</v>
      </c>
      <c r="M1979" s="45"/>
      <c r="N1979" s="47"/>
      <c r="O1979" s="47"/>
      <c r="P1979" s="47"/>
      <c r="Q1979" s="45"/>
      <c r="R1979" s="45"/>
      <c r="S1979" s="48"/>
    </row>
    <row r="1980" spans="1:19" s="49" customFormat="1" ht="14.15" customHeight="1">
      <c r="A1980" s="45" t="s">
        <v>5611</v>
      </c>
      <c r="B1980" s="44" t="s">
        <v>6637</v>
      </c>
      <c r="C1980" s="50"/>
      <c r="D1980" s="10" t="s">
        <v>29</v>
      </c>
      <c r="E1980" s="11"/>
      <c r="F1980" s="11" t="s">
        <v>18</v>
      </c>
      <c r="G1980" s="13"/>
      <c r="H1980" s="45" t="s">
        <v>16</v>
      </c>
      <c r="I1980" s="47"/>
      <c r="J1980" s="12" t="s">
        <v>2732</v>
      </c>
      <c r="K1980" s="13" t="s">
        <v>8750</v>
      </c>
      <c r="L1980" s="99" t="str">
        <f t="shared" si="138"/>
        <v>W1276.B</v>
      </c>
      <c r="M1980" s="45" t="s">
        <v>3668</v>
      </c>
      <c r="N1980" s="47"/>
      <c r="O1980" s="47"/>
      <c r="P1980" s="47"/>
      <c r="Q1980" s="45"/>
      <c r="R1980" s="45"/>
      <c r="S1980" s="48"/>
    </row>
    <row r="1981" spans="1:19" s="49" customFormat="1" ht="14.15" customHeight="1">
      <c r="A1981" s="45" t="s">
        <v>5611</v>
      </c>
      <c r="B1981" s="44" t="s">
        <v>6637</v>
      </c>
      <c r="C1981" s="50"/>
      <c r="D1981" s="10" t="s">
        <v>29</v>
      </c>
      <c r="E1981" s="11"/>
      <c r="F1981" s="11" t="s">
        <v>18</v>
      </c>
      <c r="G1981" s="13"/>
      <c r="H1981" s="45" t="s">
        <v>16</v>
      </c>
      <c r="I1981" s="47"/>
      <c r="J1981" s="12" t="s">
        <v>2733</v>
      </c>
      <c r="K1981" s="13" t="s">
        <v>8751</v>
      </c>
      <c r="L1981" s="99" t="str">
        <f t="shared" si="138"/>
        <v>W1276.C</v>
      </c>
      <c r="M1981" s="45" t="s">
        <v>3668</v>
      </c>
      <c r="N1981" s="47"/>
      <c r="O1981" s="47"/>
      <c r="P1981" s="47"/>
      <c r="Q1981" s="45"/>
      <c r="R1981" s="45"/>
      <c r="S1981" s="48"/>
    </row>
    <row r="1982" spans="1:19" s="49" customFormat="1" ht="14.15" customHeight="1">
      <c r="A1982" s="45" t="s">
        <v>5611</v>
      </c>
      <c r="B1982" s="44" t="s">
        <v>6637</v>
      </c>
      <c r="C1982" s="50"/>
      <c r="D1982" s="10" t="s">
        <v>29</v>
      </c>
      <c r="E1982" s="11"/>
      <c r="F1982" s="11" t="s">
        <v>18</v>
      </c>
      <c r="G1982" s="13"/>
      <c r="H1982" s="45" t="s">
        <v>16</v>
      </c>
      <c r="I1982" s="47"/>
      <c r="J1982" s="12" t="s">
        <v>2734</v>
      </c>
      <c r="K1982" s="13" t="s">
        <v>8752</v>
      </c>
      <c r="L1982" s="99" t="str">
        <f t="shared" si="138"/>
        <v>W1276.D</v>
      </c>
      <c r="M1982" s="45" t="s">
        <v>3668</v>
      </c>
      <c r="N1982" s="47"/>
      <c r="O1982" s="47"/>
      <c r="P1982" s="47"/>
      <c r="Q1982" s="45"/>
      <c r="R1982" s="45"/>
      <c r="S1982" s="48"/>
    </row>
    <row r="1983" spans="1:19" s="49" customFormat="1" ht="14.15" customHeight="1">
      <c r="A1983" s="45" t="s">
        <v>5611</v>
      </c>
      <c r="B1983" s="44" t="s">
        <v>6637</v>
      </c>
      <c r="C1983" s="50"/>
      <c r="D1983" s="10" t="s">
        <v>29</v>
      </c>
      <c r="E1983" s="11"/>
      <c r="F1983" s="11" t="s">
        <v>18</v>
      </c>
      <c r="G1983" s="13"/>
      <c r="H1983" s="45" t="s">
        <v>16</v>
      </c>
      <c r="I1983" s="47"/>
      <c r="J1983" s="12" t="s">
        <v>2735</v>
      </c>
      <c r="K1983" s="13" t="s">
        <v>8753</v>
      </c>
      <c r="L1983" s="99" t="str">
        <f t="shared" si="138"/>
        <v>W1276.E</v>
      </c>
      <c r="M1983" s="45" t="s">
        <v>3668</v>
      </c>
      <c r="N1983" s="47"/>
      <c r="O1983" s="47"/>
      <c r="P1983" s="47"/>
      <c r="Q1983" s="45"/>
      <c r="R1983" s="45"/>
      <c r="S1983" s="48"/>
    </row>
    <row r="1984" spans="1:19" s="49" customFormat="1" ht="14.15" customHeight="1">
      <c r="A1984" s="45" t="s">
        <v>5611</v>
      </c>
      <c r="B1984" s="44" t="s">
        <v>6637</v>
      </c>
      <c r="C1984" s="50"/>
      <c r="D1984" s="10" t="s">
        <v>29</v>
      </c>
      <c r="E1984" s="11"/>
      <c r="F1984" s="11" t="s">
        <v>18</v>
      </c>
      <c r="G1984" s="13"/>
      <c r="H1984" s="45" t="s">
        <v>16</v>
      </c>
      <c r="I1984" s="47"/>
      <c r="J1984" s="12" t="s">
        <v>2736</v>
      </c>
      <c r="K1984" s="13" t="s">
        <v>8754</v>
      </c>
      <c r="L1984" s="99" t="str">
        <f t="shared" si="138"/>
        <v>W1276.F</v>
      </c>
      <c r="M1984" s="45" t="s">
        <v>3668</v>
      </c>
      <c r="N1984" s="47"/>
      <c r="O1984" s="47"/>
      <c r="P1984" s="47"/>
      <c r="Q1984" s="45"/>
      <c r="R1984" s="45"/>
      <c r="S1984" s="48"/>
    </row>
    <row r="1985" spans="1:19" s="49" customFormat="1" ht="14.15" customHeight="1">
      <c r="A1985" s="45" t="s">
        <v>5611</v>
      </c>
      <c r="B1985" s="44" t="s">
        <v>6637</v>
      </c>
      <c r="C1985" s="50"/>
      <c r="D1985" s="10" t="s">
        <v>29</v>
      </c>
      <c r="E1985" s="11"/>
      <c r="F1985" s="11" t="s">
        <v>18</v>
      </c>
      <c r="G1985" s="13"/>
      <c r="H1985" s="45" t="s">
        <v>16</v>
      </c>
      <c r="I1985" s="47"/>
      <c r="J1985" s="12" t="s">
        <v>2737</v>
      </c>
      <c r="K1985" s="13" t="s">
        <v>8755</v>
      </c>
      <c r="L1985" s="99" t="str">
        <f t="shared" si="138"/>
        <v>W1277.0</v>
      </c>
      <c r="M1985" s="45" t="s">
        <v>3668</v>
      </c>
      <c r="N1985" s="47"/>
      <c r="O1985" s="47"/>
      <c r="P1985" s="47"/>
      <c r="Q1985" s="45"/>
      <c r="R1985" s="45"/>
      <c r="S1985" s="48"/>
    </row>
    <row r="1986" spans="1:19" s="49" customFormat="1" ht="14.15" customHeight="1">
      <c r="A1986" s="45" t="s">
        <v>5611</v>
      </c>
      <c r="B1986" s="44" t="s">
        <v>6637</v>
      </c>
      <c r="C1986" s="50"/>
      <c r="D1986" s="10" t="s">
        <v>29</v>
      </c>
      <c r="E1986" s="11"/>
      <c r="F1986" s="11" t="s">
        <v>18</v>
      </c>
      <c r="G1986" s="13"/>
      <c r="H1986" s="45" t="s">
        <v>16</v>
      </c>
      <c r="I1986" s="47"/>
      <c r="J1986" s="12" t="s">
        <v>2738</v>
      </c>
      <c r="K1986" s="13" t="s">
        <v>8756</v>
      </c>
      <c r="L1986" s="99" t="str">
        <f t="shared" si="138"/>
        <v>W1277.1</v>
      </c>
      <c r="M1986" s="45" t="s">
        <v>3668</v>
      </c>
      <c r="N1986" s="47"/>
      <c r="O1986" s="47"/>
      <c r="P1986" s="47"/>
      <c r="Q1986" s="45"/>
      <c r="R1986" s="45"/>
      <c r="S1986" s="48"/>
    </row>
    <row r="1987" spans="1:19" s="49" customFormat="1" ht="14.15" customHeight="1">
      <c r="A1987" s="45" t="s">
        <v>5611</v>
      </c>
      <c r="B1987" s="44" t="s">
        <v>6637</v>
      </c>
      <c r="C1987" s="50"/>
      <c r="D1987" s="10" t="s">
        <v>29</v>
      </c>
      <c r="E1987" s="11"/>
      <c r="F1987" s="11" t="s">
        <v>18</v>
      </c>
      <c r="G1987" s="13"/>
      <c r="H1987" s="45" t="s">
        <v>16</v>
      </c>
      <c r="I1987" s="47"/>
      <c r="J1987" s="12" t="s">
        <v>2739</v>
      </c>
      <c r="K1987" s="13" t="s">
        <v>8757</v>
      </c>
      <c r="L1987" s="99" t="str">
        <f t="shared" si="138"/>
        <v>W1277.2</v>
      </c>
      <c r="M1987" s="45" t="s">
        <v>3668</v>
      </c>
      <c r="N1987" s="47"/>
      <c r="O1987" s="47"/>
      <c r="P1987" s="47"/>
      <c r="Q1987" s="45"/>
      <c r="R1987" s="45"/>
      <c r="S1987" s="48"/>
    </row>
    <row r="1988" spans="1:19" s="49" customFormat="1" ht="14.15" customHeight="1">
      <c r="A1988" s="45" t="s">
        <v>5611</v>
      </c>
      <c r="B1988" s="44" t="s">
        <v>6637</v>
      </c>
      <c r="C1988" s="50"/>
      <c r="D1988" s="10" t="s">
        <v>29</v>
      </c>
      <c r="E1988" s="11"/>
      <c r="F1988" s="11" t="s">
        <v>18</v>
      </c>
      <c r="G1988" s="13"/>
      <c r="H1988" s="45" t="s">
        <v>16</v>
      </c>
      <c r="I1988" s="47"/>
      <c r="J1988" s="12" t="s">
        <v>2740</v>
      </c>
      <c r="K1988" s="13" t="s">
        <v>8758</v>
      </c>
      <c r="L1988" s="99" t="str">
        <f t="shared" si="138"/>
        <v>W1277.3</v>
      </c>
      <c r="M1988" s="45" t="s">
        <v>3668</v>
      </c>
      <c r="N1988" s="47"/>
      <c r="O1988" s="47"/>
      <c r="P1988" s="47"/>
      <c r="Q1988" s="45"/>
      <c r="R1988" s="45"/>
      <c r="S1988" s="48"/>
    </row>
    <row r="1989" spans="1:19" s="49" customFormat="1" ht="14.15" customHeight="1">
      <c r="A1989" s="45" t="s">
        <v>5611</v>
      </c>
      <c r="B1989" s="44" t="s">
        <v>6637</v>
      </c>
      <c r="C1989" s="50"/>
      <c r="D1989" s="10" t="s">
        <v>29</v>
      </c>
      <c r="E1989" s="11"/>
      <c r="F1989" s="11" t="s">
        <v>18</v>
      </c>
      <c r="G1989" s="13"/>
      <c r="H1989" s="45" t="s">
        <v>16</v>
      </c>
      <c r="I1989" s="47"/>
      <c r="J1989" s="12" t="s">
        <v>2741</v>
      </c>
      <c r="K1989" s="13" t="s">
        <v>8759</v>
      </c>
      <c r="L1989" s="99" t="str">
        <f t="shared" si="138"/>
        <v>W1277.4</v>
      </c>
      <c r="M1989" s="45" t="s">
        <v>3668</v>
      </c>
      <c r="N1989" s="47"/>
      <c r="O1989" s="47"/>
      <c r="P1989" s="47"/>
      <c r="Q1989" s="45"/>
      <c r="R1989" s="45"/>
      <c r="S1989" s="48"/>
    </row>
    <row r="1990" spans="1:19" s="49" customFormat="1" ht="14.15" customHeight="1">
      <c r="A1990" s="45" t="s">
        <v>5611</v>
      </c>
      <c r="B1990" s="44" t="s">
        <v>6637</v>
      </c>
      <c r="C1990" s="50"/>
      <c r="D1990" s="10" t="s">
        <v>29</v>
      </c>
      <c r="E1990" s="11"/>
      <c r="F1990" s="11" t="s">
        <v>18</v>
      </c>
      <c r="G1990" s="13"/>
      <c r="H1990" s="45" t="s">
        <v>16</v>
      </c>
      <c r="I1990" s="47"/>
      <c r="J1990" s="12" t="s">
        <v>2742</v>
      </c>
      <c r="K1990" s="13" t="s">
        <v>8760</v>
      </c>
      <c r="L1990" s="99" t="str">
        <f t="shared" si="138"/>
        <v>W1277.5</v>
      </c>
      <c r="M1990" s="45" t="s">
        <v>3668</v>
      </c>
      <c r="N1990" s="47"/>
      <c r="O1990" s="47"/>
      <c r="P1990" s="47"/>
      <c r="Q1990" s="45"/>
      <c r="R1990" s="45"/>
      <c r="S1990" s="48"/>
    </row>
    <row r="1991" spans="1:19" s="49" customFormat="1" ht="14.15" customHeight="1">
      <c r="A1991" s="45" t="s">
        <v>5611</v>
      </c>
      <c r="B1991" s="44" t="s">
        <v>6637</v>
      </c>
      <c r="C1991" s="50"/>
      <c r="D1991" s="10" t="s">
        <v>29</v>
      </c>
      <c r="E1991" s="11"/>
      <c r="F1991" s="11" t="s">
        <v>18</v>
      </c>
      <c r="G1991" s="13"/>
      <c r="H1991" s="45" t="s">
        <v>16</v>
      </c>
      <c r="I1991" s="47"/>
      <c r="J1991" s="12" t="s">
        <v>2743</v>
      </c>
      <c r="K1991" s="13" t="s">
        <v>8761</v>
      </c>
      <c r="L1991" s="99" t="str">
        <f t="shared" si="138"/>
        <v>W1277.6</v>
      </c>
      <c r="M1991" s="45" t="s">
        <v>3668</v>
      </c>
      <c r="N1991" s="47"/>
      <c r="O1991" s="47"/>
      <c r="P1991" s="47"/>
      <c r="Q1991" s="45"/>
      <c r="R1991" s="45"/>
      <c r="S1991" s="48"/>
    </row>
    <row r="1992" spans="1:19" s="49" customFormat="1" ht="14.15" customHeight="1">
      <c r="A1992" s="45" t="s">
        <v>5611</v>
      </c>
      <c r="B1992" s="44" t="s">
        <v>6637</v>
      </c>
      <c r="C1992" s="50"/>
      <c r="D1992" s="10" t="s">
        <v>29</v>
      </c>
      <c r="E1992" s="11"/>
      <c r="F1992" s="11" t="s">
        <v>18</v>
      </c>
      <c r="G1992" s="13"/>
      <c r="H1992" s="45" t="s">
        <v>16</v>
      </c>
      <c r="I1992" s="47"/>
      <c r="J1992" s="12" t="s">
        <v>2744</v>
      </c>
      <c r="K1992" s="13" t="s">
        <v>8762</v>
      </c>
      <c r="L1992" s="99" t="str">
        <f t="shared" si="138"/>
        <v>W1277.7</v>
      </c>
      <c r="M1992" s="45" t="s">
        <v>3668</v>
      </c>
      <c r="N1992" s="47"/>
      <c r="O1992" s="47"/>
      <c r="P1992" s="47"/>
      <c r="Q1992" s="45"/>
      <c r="R1992" s="45"/>
      <c r="S1992" s="48"/>
    </row>
    <row r="1993" spans="1:19" s="49" customFormat="1" ht="14.15" customHeight="1">
      <c r="A1993" s="45" t="s">
        <v>5611</v>
      </c>
      <c r="B1993" s="44" t="s">
        <v>6637</v>
      </c>
      <c r="C1993" s="50"/>
      <c r="D1993" s="10" t="s">
        <v>29</v>
      </c>
      <c r="E1993" s="11"/>
      <c r="F1993" s="11" t="s">
        <v>18</v>
      </c>
      <c r="G1993" s="13"/>
      <c r="H1993" s="45" t="s">
        <v>16</v>
      </c>
      <c r="I1993" s="47"/>
      <c r="J1993" s="12" t="s">
        <v>2745</v>
      </c>
      <c r="K1993" s="13" t="s">
        <v>8763</v>
      </c>
      <c r="L1993" s="99" t="str">
        <f t="shared" si="138"/>
        <v>W1277.8</v>
      </c>
      <c r="M1993" s="45" t="s">
        <v>3668</v>
      </c>
      <c r="N1993" s="47"/>
      <c r="O1993" s="47"/>
      <c r="P1993" s="47"/>
      <c r="Q1993" s="45"/>
      <c r="R1993" s="45"/>
      <c r="S1993" s="48"/>
    </row>
    <row r="1994" spans="1:19" s="49" customFormat="1" ht="14.15" customHeight="1">
      <c r="A1994" s="45" t="s">
        <v>5611</v>
      </c>
      <c r="B1994" s="44" t="s">
        <v>6637</v>
      </c>
      <c r="C1994" s="50"/>
      <c r="D1994" s="10" t="s">
        <v>29</v>
      </c>
      <c r="E1994" s="11"/>
      <c r="F1994" s="11" t="s">
        <v>18</v>
      </c>
      <c r="G1994" s="13"/>
      <c r="H1994" s="45" t="s">
        <v>16</v>
      </c>
      <c r="I1994" s="47"/>
      <c r="J1994" s="12" t="s">
        <v>2746</v>
      </c>
      <c r="K1994" s="13" t="s">
        <v>8764</v>
      </c>
      <c r="L1994" s="99" t="str">
        <f t="shared" si="138"/>
        <v>W1277.9</v>
      </c>
      <c r="M1994" s="45" t="s">
        <v>3668</v>
      </c>
      <c r="N1994" s="47"/>
      <c r="O1994" s="47"/>
      <c r="P1994" s="47"/>
      <c r="Q1994" s="45"/>
      <c r="R1994" s="45"/>
      <c r="S1994" s="48"/>
    </row>
    <row r="1995" spans="1:19" s="49" customFormat="1" ht="14.15" customHeight="1">
      <c r="A1995" s="45" t="s">
        <v>5611</v>
      </c>
      <c r="B1995" s="44" t="s">
        <v>6637</v>
      </c>
      <c r="C1995" s="50"/>
      <c r="D1995" s="10" t="s">
        <v>29</v>
      </c>
      <c r="E1995" s="11"/>
      <c r="F1995" s="11" t="s">
        <v>18</v>
      </c>
      <c r="G1995" s="13"/>
      <c r="H1995" s="45" t="s">
        <v>16</v>
      </c>
      <c r="I1995" s="47"/>
      <c r="J1995" s="12" t="s">
        <v>2747</v>
      </c>
      <c r="K1995" s="13" t="s">
        <v>8765</v>
      </c>
      <c r="L1995" s="99" t="str">
        <f t="shared" si="138"/>
        <v>W1277.A</v>
      </c>
      <c r="M1995" s="45" t="s">
        <v>3668</v>
      </c>
      <c r="N1995" s="47"/>
      <c r="O1995" s="47"/>
      <c r="P1995" s="47"/>
      <c r="Q1995" s="45"/>
      <c r="R1995" s="45"/>
      <c r="S1995" s="48"/>
    </row>
    <row r="1996" spans="1:19" s="49" customFormat="1" ht="14.15" customHeight="1">
      <c r="A1996" s="45" t="s">
        <v>5611</v>
      </c>
      <c r="B1996" s="44" t="s">
        <v>6637</v>
      </c>
      <c r="C1996" s="50"/>
      <c r="D1996" s="10" t="s">
        <v>29</v>
      </c>
      <c r="E1996" s="11"/>
      <c r="F1996" s="11" t="s">
        <v>18</v>
      </c>
      <c r="G1996" s="13"/>
      <c r="H1996" s="45" t="s">
        <v>16</v>
      </c>
      <c r="I1996" s="47"/>
      <c r="J1996" s="12" t="s">
        <v>2748</v>
      </c>
      <c r="K1996" s="13" t="s">
        <v>8766</v>
      </c>
      <c r="L1996" s="99" t="str">
        <f t="shared" si="138"/>
        <v>W1277.B</v>
      </c>
      <c r="M1996" s="45" t="s">
        <v>3668</v>
      </c>
      <c r="N1996" s="47"/>
      <c r="O1996" s="47"/>
      <c r="P1996" s="47"/>
      <c r="Q1996" s="45"/>
      <c r="R1996" s="45"/>
      <c r="S1996" s="48"/>
    </row>
    <row r="1997" spans="1:19" s="49" customFormat="1" ht="14.15" customHeight="1">
      <c r="A1997" s="45" t="s">
        <v>5611</v>
      </c>
      <c r="B1997" s="44" t="s">
        <v>6637</v>
      </c>
      <c r="C1997" s="50"/>
      <c r="D1997" s="10" t="s">
        <v>29</v>
      </c>
      <c r="E1997" s="11"/>
      <c r="F1997" s="11" t="s">
        <v>18</v>
      </c>
      <c r="G1997" s="13"/>
      <c r="H1997" s="45" t="s">
        <v>16</v>
      </c>
      <c r="I1997" s="47"/>
      <c r="J1997" s="12" t="s">
        <v>2749</v>
      </c>
      <c r="K1997" s="13" t="s">
        <v>8767</v>
      </c>
      <c r="L1997" s="99" t="str">
        <f t="shared" si="138"/>
        <v>W1277.C</v>
      </c>
      <c r="M1997" s="45" t="s">
        <v>3668</v>
      </c>
      <c r="N1997" s="47"/>
      <c r="O1997" s="47"/>
      <c r="P1997" s="47"/>
      <c r="Q1997" s="45"/>
      <c r="R1997" s="45"/>
      <c r="S1997" s="48"/>
    </row>
    <row r="1998" spans="1:19" s="49" customFormat="1" ht="14.15" customHeight="1">
      <c r="A1998" s="45" t="s">
        <v>5611</v>
      </c>
      <c r="B1998" s="44" t="s">
        <v>6637</v>
      </c>
      <c r="C1998" s="50"/>
      <c r="D1998" s="10" t="s">
        <v>29</v>
      </c>
      <c r="E1998" s="11"/>
      <c r="F1998" s="11" t="s">
        <v>18</v>
      </c>
      <c r="G1998" s="13"/>
      <c r="H1998" s="45" t="s">
        <v>16</v>
      </c>
      <c r="I1998" s="47"/>
      <c r="J1998" s="12" t="s">
        <v>2750</v>
      </c>
      <c r="K1998" s="13" t="s">
        <v>8768</v>
      </c>
      <c r="L1998" s="99" t="str">
        <f t="shared" si="138"/>
        <v>W1277.D</v>
      </c>
      <c r="M1998" s="45" t="s">
        <v>3668</v>
      </c>
      <c r="N1998" s="47"/>
      <c r="O1998" s="47"/>
      <c r="P1998" s="47"/>
      <c r="Q1998" s="45"/>
      <c r="R1998" s="45"/>
      <c r="S1998" s="48"/>
    </row>
    <row r="1999" spans="1:19" s="49" customFormat="1" ht="14.15" customHeight="1">
      <c r="A1999" s="45" t="s">
        <v>5611</v>
      </c>
      <c r="B1999" s="44" t="s">
        <v>6637</v>
      </c>
      <c r="C1999" s="50"/>
      <c r="D1999" s="10" t="s">
        <v>29</v>
      </c>
      <c r="E1999" s="11"/>
      <c r="F1999" s="11" t="s">
        <v>18</v>
      </c>
      <c r="G1999" s="13"/>
      <c r="H1999" s="45" t="s">
        <v>16</v>
      </c>
      <c r="I1999" s="47"/>
      <c r="J1999" s="12" t="s">
        <v>2751</v>
      </c>
      <c r="K1999" s="13" t="s">
        <v>8769</v>
      </c>
      <c r="L1999" s="99" t="str">
        <f t="shared" si="138"/>
        <v>W1277.E</v>
      </c>
      <c r="M1999" s="45" t="s">
        <v>3668</v>
      </c>
      <c r="N1999" s="47"/>
      <c r="O1999" s="47"/>
      <c r="P1999" s="47"/>
      <c r="Q1999" s="45"/>
      <c r="R1999" s="45"/>
      <c r="S1999" s="48"/>
    </row>
    <row r="2000" spans="1:19" s="49" customFormat="1" ht="14.15" customHeight="1">
      <c r="A2000" s="45" t="s">
        <v>5611</v>
      </c>
      <c r="B2000" s="44" t="s">
        <v>6637</v>
      </c>
      <c r="C2000" s="50"/>
      <c r="D2000" s="10" t="s">
        <v>29</v>
      </c>
      <c r="E2000" s="11"/>
      <c r="F2000" s="11" t="s">
        <v>18</v>
      </c>
      <c r="G2000" s="13"/>
      <c r="H2000" s="45" t="s">
        <v>16</v>
      </c>
      <c r="I2000" s="47"/>
      <c r="J2000" s="12" t="s">
        <v>2752</v>
      </c>
      <c r="K2000" s="13" t="s">
        <v>8770</v>
      </c>
      <c r="L2000" s="99" t="str">
        <f t="shared" si="138"/>
        <v>W1277.F</v>
      </c>
      <c r="M2000" s="45" t="s">
        <v>3668</v>
      </c>
      <c r="N2000" s="47"/>
      <c r="O2000" s="47"/>
      <c r="P2000" s="47"/>
      <c r="Q2000" s="45"/>
      <c r="R2000" s="45"/>
      <c r="S2000" s="48"/>
    </row>
    <row r="2001" spans="1:19" s="49" customFormat="1" ht="14.15" customHeight="1">
      <c r="A2001" s="45" t="s">
        <v>5611</v>
      </c>
      <c r="B2001" s="44" t="s">
        <v>6637</v>
      </c>
      <c r="C2001" s="50"/>
      <c r="D2001" s="10" t="s">
        <v>29</v>
      </c>
      <c r="E2001" s="11"/>
      <c r="F2001" s="11" t="s">
        <v>18</v>
      </c>
      <c r="G2001" s="13"/>
      <c r="H2001" s="45" t="s">
        <v>16</v>
      </c>
      <c r="I2001" s="47"/>
      <c r="J2001" s="12" t="s">
        <v>2753</v>
      </c>
      <c r="K2001" s="13" t="s">
        <v>8771</v>
      </c>
      <c r="L2001" s="99" t="str">
        <f t="shared" si="138"/>
        <v>W1278.0</v>
      </c>
      <c r="M2001" s="45" t="s">
        <v>3668</v>
      </c>
      <c r="N2001" s="47"/>
      <c r="O2001" s="47"/>
      <c r="P2001" s="47"/>
      <c r="Q2001" s="45"/>
      <c r="R2001" s="45"/>
      <c r="S2001" s="48"/>
    </row>
    <row r="2002" spans="1:19" s="49" customFormat="1" ht="14.15" customHeight="1">
      <c r="A2002" s="45" t="s">
        <v>5611</v>
      </c>
      <c r="B2002" s="44" t="s">
        <v>6637</v>
      </c>
      <c r="C2002" s="50"/>
      <c r="D2002" s="10" t="s">
        <v>29</v>
      </c>
      <c r="E2002" s="11"/>
      <c r="F2002" s="11" t="s">
        <v>18</v>
      </c>
      <c r="G2002" s="13"/>
      <c r="H2002" s="45" t="s">
        <v>16</v>
      </c>
      <c r="I2002" s="47"/>
      <c r="J2002" s="12" t="s">
        <v>2754</v>
      </c>
      <c r="K2002" s="13" t="s">
        <v>8772</v>
      </c>
      <c r="L2002" s="99" t="str">
        <f t="shared" ref="L2002:L2065" si="139">"W"&amp;DEC2HEX(4608 + INT((ROW()-81)/16)) &amp; "." &amp; IF(MOD(ROW()-81,16)&lt;10,MOD(ROW()-81,16),CHAR(MOD(ROW()-81,16)+55))</f>
        <v>W1278.1</v>
      </c>
      <c r="M2002" s="45" t="s">
        <v>3668</v>
      </c>
      <c r="N2002" s="47"/>
      <c r="O2002" s="47"/>
      <c r="P2002" s="47"/>
      <c r="Q2002" s="45"/>
      <c r="R2002" s="45"/>
      <c r="S2002" s="48"/>
    </row>
    <row r="2003" spans="1:19" s="49" customFormat="1" ht="14.15" customHeight="1">
      <c r="A2003" s="45" t="s">
        <v>5611</v>
      </c>
      <c r="B2003" s="44" t="s">
        <v>6637</v>
      </c>
      <c r="C2003" s="50"/>
      <c r="D2003" s="10" t="s">
        <v>29</v>
      </c>
      <c r="E2003" s="11"/>
      <c r="F2003" s="11" t="s">
        <v>18</v>
      </c>
      <c r="G2003" s="13"/>
      <c r="H2003" s="45" t="s">
        <v>16</v>
      </c>
      <c r="I2003" s="47"/>
      <c r="J2003" s="12" t="s">
        <v>2755</v>
      </c>
      <c r="K2003" s="13" t="s">
        <v>8773</v>
      </c>
      <c r="L2003" s="99" t="str">
        <f t="shared" si="139"/>
        <v>W1278.2</v>
      </c>
      <c r="M2003" s="45" t="s">
        <v>3668</v>
      </c>
      <c r="N2003" s="47"/>
      <c r="O2003" s="47"/>
      <c r="P2003" s="47"/>
      <c r="Q2003" s="45"/>
      <c r="R2003" s="45"/>
      <c r="S2003" s="48"/>
    </row>
    <row r="2004" spans="1:19" s="49" customFormat="1" ht="14.15" customHeight="1">
      <c r="A2004" s="45" t="s">
        <v>5611</v>
      </c>
      <c r="B2004" s="44" t="s">
        <v>6637</v>
      </c>
      <c r="C2004" s="50"/>
      <c r="D2004" s="10" t="s">
        <v>29</v>
      </c>
      <c r="E2004" s="11"/>
      <c r="F2004" s="11" t="s">
        <v>18</v>
      </c>
      <c r="G2004" s="13"/>
      <c r="H2004" s="45" t="s">
        <v>16</v>
      </c>
      <c r="I2004" s="47"/>
      <c r="J2004" s="12" t="s">
        <v>2756</v>
      </c>
      <c r="K2004" s="13" t="s">
        <v>8774</v>
      </c>
      <c r="L2004" s="99" t="str">
        <f t="shared" si="139"/>
        <v>W1278.3</v>
      </c>
      <c r="M2004" s="45" t="s">
        <v>3668</v>
      </c>
      <c r="N2004" s="47"/>
      <c r="O2004" s="47"/>
      <c r="P2004" s="47"/>
      <c r="Q2004" s="45"/>
      <c r="R2004" s="45"/>
      <c r="S2004" s="48"/>
    </row>
    <row r="2005" spans="1:19" s="49" customFormat="1" ht="14.15" customHeight="1">
      <c r="A2005" s="45"/>
      <c r="B2005" s="44" t="s">
        <v>6637</v>
      </c>
      <c r="C2005" s="50"/>
      <c r="D2005" s="10" t="s">
        <v>29</v>
      </c>
      <c r="E2005" s="11"/>
      <c r="F2005" s="11" t="s">
        <v>18</v>
      </c>
      <c r="G2005" s="13"/>
      <c r="H2005" s="45" t="s">
        <v>16</v>
      </c>
      <c r="I2005" s="47"/>
      <c r="J2005" s="12" t="s">
        <v>1672</v>
      </c>
      <c r="K2005" s="13" t="s">
        <v>8775</v>
      </c>
      <c r="L2005" s="99" t="str">
        <f t="shared" si="139"/>
        <v>W1278.4</v>
      </c>
      <c r="M2005" s="45"/>
      <c r="N2005" s="47"/>
      <c r="O2005" s="47"/>
      <c r="P2005" s="47"/>
      <c r="Q2005" s="45"/>
      <c r="R2005" s="45"/>
      <c r="S2005" s="48"/>
    </row>
    <row r="2006" spans="1:19" s="49" customFormat="1" ht="14.15" customHeight="1">
      <c r="A2006" s="45"/>
      <c r="B2006" s="44" t="s">
        <v>6637</v>
      </c>
      <c r="C2006" s="50"/>
      <c r="D2006" s="10" t="s">
        <v>29</v>
      </c>
      <c r="E2006" s="11"/>
      <c r="F2006" s="11" t="s">
        <v>18</v>
      </c>
      <c r="G2006" s="13"/>
      <c r="H2006" s="45" t="s">
        <v>16</v>
      </c>
      <c r="I2006" s="47"/>
      <c r="J2006" s="12" t="s">
        <v>1673</v>
      </c>
      <c r="K2006" s="13" t="s">
        <v>8776</v>
      </c>
      <c r="L2006" s="99" t="str">
        <f t="shared" si="139"/>
        <v>W1278.5</v>
      </c>
      <c r="M2006" s="45"/>
      <c r="N2006" s="47"/>
      <c r="O2006" s="47"/>
      <c r="P2006" s="47"/>
      <c r="Q2006" s="45"/>
      <c r="R2006" s="45"/>
      <c r="S2006" s="48"/>
    </row>
    <row r="2007" spans="1:19" s="49" customFormat="1" ht="14.15" customHeight="1">
      <c r="A2007" s="45"/>
      <c r="B2007" s="44" t="s">
        <v>6637</v>
      </c>
      <c r="C2007" s="50"/>
      <c r="D2007" s="10" t="s">
        <v>29</v>
      </c>
      <c r="E2007" s="11"/>
      <c r="F2007" s="11" t="s">
        <v>18</v>
      </c>
      <c r="G2007" s="13"/>
      <c r="H2007" s="45" t="s">
        <v>16</v>
      </c>
      <c r="I2007" s="47"/>
      <c r="J2007" s="12" t="s">
        <v>1674</v>
      </c>
      <c r="K2007" s="13" t="s">
        <v>8777</v>
      </c>
      <c r="L2007" s="99" t="str">
        <f t="shared" si="139"/>
        <v>W1278.6</v>
      </c>
      <c r="M2007" s="45"/>
      <c r="N2007" s="47"/>
      <c r="O2007" s="47"/>
      <c r="P2007" s="47"/>
      <c r="Q2007" s="45"/>
      <c r="R2007" s="45"/>
      <c r="S2007" s="48"/>
    </row>
    <row r="2008" spans="1:19" s="49" customFormat="1" ht="14.15" customHeight="1">
      <c r="A2008" s="45"/>
      <c r="B2008" s="44" t="s">
        <v>6637</v>
      </c>
      <c r="C2008" s="50"/>
      <c r="D2008" s="10" t="s">
        <v>29</v>
      </c>
      <c r="E2008" s="11"/>
      <c r="F2008" s="11" t="s">
        <v>18</v>
      </c>
      <c r="G2008" s="13"/>
      <c r="H2008" s="45" t="s">
        <v>16</v>
      </c>
      <c r="I2008" s="47"/>
      <c r="J2008" s="12" t="s">
        <v>1675</v>
      </c>
      <c r="K2008" s="13" t="s">
        <v>8778</v>
      </c>
      <c r="L2008" s="99" t="str">
        <f t="shared" si="139"/>
        <v>W1278.7</v>
      </c>
      <c r="M2008" s="45"/>
      <c r="N2008" s="47"/>
      <c r="O2008" s="47"/>
      <c r="P2008" s="47"/>
      <c r="Q2008" s="45"/>
      <c r="R2008" s="45"/>
      <c r="S2008" s="48"/>
    </row>
    <row r="2009" spans="1:19" s="49" customFormat="1" ht="14.15" customHeight="1">
      <c r="A2009" s="45"/>
      <c r="B2009" s="44" t="s">
        <v>6637</v>
      </c>
      <c r="C2009" s="50"/>
      <c r="D2009" s="10" t="s">
        <v>29</v>
      </c>
      <c r="E2009" s="11"/>
      <c r="F2009" s="11" t="s">
        <v>18</v>
      </c>
      <c r="G2009" s="13"/>
      <c r="H2009" s="45" t="s">
        <v>16</v>
      </c>
      <c r="I2009" s="47"/>
      <c r="J2009" s="12" t="s">
        <v>1676</v>
      </c>
      <c r="K2009" s="13" t="s">
        <v>8779</v>
      </c>
      <c r="L2009" s="99" t="str">
        <f t="shared" si="139"/>
        <v>W1278.8</v>
      </c>
      <c r="M2009" s="45"/>
      <c r="N2009" s="47"/>
      <c r="O2009" s="47"/>
      <c r="P2009" s="47"/>
      <c r="Q2009" s="45"/>
      <c r="R2009" s="45"/>
      <c r="S2009" s="48"/>
    </row>
    <row r="2010" spans="1:19" s="49" customFormat="1" ht="14.15" customHeight="1">
      <c r="A2010" s="43" t="s">
        <v>3679</v>
      </c>
      <c r="B2010" s="44" t="s">
        <v>6637</v>
      </c>
      <c r="C2010" s="50"/>
      <c r="D2010" s="10" t="s">
        <v>29</v>
      </c>
      <c r="E2010" s="11"/>
      <c r="F2010" s="11" t="s">
        <v>18</v>
      </c>
      <c r="G2010" s="13"/>
      <c r="H2010" s="45" t="s">
        <v>16</v>
      </c>
      <c r="I2010" s="47"/>
      <c r="J2010" s="12" t="s">
        <v>2757</v>
      </c>
      <c r="K2010" s="13" t="s">
        <v>8780</v>
      </c>
      <c r="L2010" s="99" t="str">
        <f t="shared" si="139"/>
        <v>W1278.9</v>
      </c>
      <c r="M2010" s="45" t="s">
        <v>3667</v>
      </c>
      <c r="N2010" s="47"/>
      <c r="O2010" s="47"/>
      <c r="P2010" s="47"/>
      <c r="Q2010" s="45"/>
      <c r="R2010" s="45"/>
      <c r="S2010" s="48"/>
    </row>
    <row r="2011" spans="1:19" s="49" customFormat="1" ht="14.15" customHeight="1">
      <c r="A2011" s="43" t="s">
        <v>3679</v>
      </c>
      <c r="B2011" s="44" t="s">
        <v>6637</v>
      </c>
      <c r="C2011" s="50"/>
      <c r="D2011" s="10" t="s">
        <v>29</v>
      </c>
      <c r="E2011" s="11"/>
      <c r="F2011" s="11" t="s">
        <v>18</v>
      </c>
      <c r="G2011" s="13"/>
      <c r="H2011" s="45" t="s">
        <v>16</v>
      </c>
      <c r="I2011" s="47"/>
      <c r="J2011" s="12" t="s">
        <v>2758</v>
      </c>
      <c r="K2011" s="13" t="s">
        <v>8781</v>
      </c>
      <c r="L2011" s="99" t="str">
        <f t="shared" si="139"/>
        <v>W1278.A</v>
      </c>
      <c r="M2011" s="45" t="s">
        <v>3667</v>
      </c>
      <c r="N2011" s="47"/>
      <c r="O2011" s="47"/>
      <c r="P2011" s="47"/>
      <c r="Q2011" s="45"/>
      <c r="R2011" s="45"/>
      <c r="S2011" s="48"/>
    </row>
    <row r="2012" spans="1:19" s="49" customFormat="1" ht="14.15" customHeight="1">
      <c r="A2012" s="45" t="s">
        <v>3680</v>
      </c>
      <c r="B2012" s="44" t="s">
        <v>6637</v>
      </c>
      <c r="C2012" s="50"/>
      <c r="D2012" s="10" t="s">
        <v>29</v>
      </c>
      <c r="E2012" s="11"/>
      <c r="F2012" s="11" t="s">
        <v>18</v>
      </c>
      <c r="G2012" s="13"/>
      <c r="H2012" s="45" t="s">
        <v>16</v>
      </c>
      <c r="I2012" s="47"/>
      <c r="J2012" s="12" t="s">
        <v>2759</v>
      </c>
      <c r="K2012" s="13" t="s">
        <v>8782</v>
      </c>
      <c r="L2012" s="99" t="str">
        <f t="shared" si="139"/>
        <v>W1278.B</v>
      </c>
      <c r="M2012" s="45" t="s">
        <v>3667</v>
      </c>
      <c r="N2012" s="47"/>
      <c r="O2012" s="47"/>
      <c r="P2012" s="47"/>
      <c r="Q2012" s="45"/>
      <c r="R2012" s="45"/>
      <c r="S2012" s="48"/>
    </row>
    <row r="2013" spans="1:19" s="49" customFormat="1" ht="14.15" customHeight="1">
      <c r="A2013" s="45" t="s">
        <v>3680</v>
      </c>
      <c r="B2013" s="44" t="s">
        <v>6637</v>
      </c>
      <c r="C2013" s="50"/>
      <c r="D2013" s="10" t="s">
        <v>29</v>
      </c>
      <c r="E2013" s="11"/>
      <c r="F2013" s="11" t="s">
        <v>18</v>
      </c>
      <c r="G2013" s="13"/>
      <c r="H2013" s="45" t="s">
        <v>16</v>
      </c>
      <c r="I2013" s="47"/>
      <c r="J2013" s="12" t="s">
        <v>2760</v>
      </c>
      <c r="K2013" s="13" t="s">
        <v>8783</v>
      </c>
      <c r="L2013" s="99" t="str">
        <f t="shared" si="139"/>
        <v>W1278.C</v>
      </c>
      <c r="M2013" s="45" t="s">
        <v>3667</v>
      </c>
      <c r="N2013" s="47"/>
      <c r="O2013" s="47"/>
      <c r="P2013" s="47"/>
      <c r="Q2013" s="45"/>
      <c r="R2013" s="45"/>
      <c r="S2013" s="48"/>
    </row>
    <row r="2014" spans="1:19" s="49" customFormat="1" ht="14.15" customHeight="1">
      <c r="A2014" s="43" t="s">
        <v>3670</v>
      </c>
      <c r="B2014" s="44" t="s">
        <v>6637</v>
      </c>
      <c r="C2014" s="50"/>
      <c r="D2014" s="10" t="s">
        <v>29</v>
      </c>
      <c r="E2014" s="11"/>
      <c r="F2014" s="11" t="s">
        <v>18</v>
      </c>
      <c r="G2014" s="13"/>
      <c r="H2014" s="45" t="s">
        <v>16</v>
      </c>
      <c r="I2014" s="47"/>
      <c r="J2014" s="12" t="s">
        <v>2761</v>
      </c>
      <c r="K2014" s="13" t="s">
        <v>8784</v>
      </c>
      <c r="L2014" s="99" t="str">
        <f t="shared" si="139"/>
        <v>W1278.D</v>
      </c>
      <c r="M2014" s="45" t="s">
        <v>3667</v>
      </c>
      <c r="N2014" s="47"/>
      <c r="O2014" s="47"/>
      <c r="P2014" s="47"/>
      <c r="Q2014" s="45"/>
      <c r="R2014" s="45"/>
      <c r="S2014" s="48"/>
    </row>
    <row r="2015" spans="1:19" s="49" customFormat="1" ht="14.15" customHeight="1">
      <c r="A2015" s="45" t="s">
        <v>3755</v>
      </c>
      <c r="B2015" s="44" t="s">
        <v>6637</v>
      </c>
      <c r="C2015" s="50"/>
      <c r="D2015" s="10" t="s">
        <v>29</v>
      </c>
      <c r="E2015" s="11"/>
      <c r="F2015" s="11" t="s">
        <v>18</v>
      </c>
      <c r="G2015" s="13"/>
      <c r="H2015" s="45" t="s">
        <v>16</v>
      </c>
      <c r="I2015" s="47"/>
      <c r="J2015" s="12" t="s">
        <v>3647</v>
      </c>
      <c r="K2015" s="13" t="s">
        <v>8785</v>
      </c>
      <c r="L2015" s="99" t="str">
        <f t="shared" si="139"/>
        <v>W1278.E</v>
      </c>
      <c r="M2015" s="45" t="s">
        <v>3667</v>
      </c>
      <c r="N2015" s="47"/>
      <c r="O2015" s="47"/>
      <c r="P2015" s="47"/>
      <c r="Q2015" s="45"/>
      <c r="R2015" s="45"/>
      <c r="S2015" s="48"/>
    </row>
    <row r="2016" spans="1:19" s="49" customFormat="1" ht="14.15" customHeight="1">
      <c r="A2016" s="45"/>
      <c r="B2016" s="44" t="s">
        <v>6637</v>
      </c>
      <c r="C2016" s="50"/>
      <c r="D2016" s="10" t="s">
        <v>29</v>
      </c>
      <c r="E2016" s="11"/>
      <c r="F2016" s="11" t="s">
        <v>18</v>
      </c>
      <c r="G2016" s="13"/>
      <c r="H2016" s="45" t="s">
        <v>16</v>
      </c>
      <c r="I2016" s="47"/>
      <c r="J2016" s="12" t="s">
        <v>3427</v>
      </c>
      <c r="K2016" s="13" t="s">
        <v>8786</v>
      </c>
      <c r="L2016" s="99" t="str">
        <f t="shared" si="139"/>
        <v>W1278.F</v>
      </c>
      <c r="M2016" s="45"/>
      <c r="N2016" s="47"/>
      <c r="O2016" s="47"/>
      <c r="P2016" s="47"/>
      <c r="Q2016" s="45"/>
      <c r="R2016" s="45"/>
      <c r="S2016" s="48"/>
    </row>
    <row r="2017" spans="1:19" s="49" customFormat="1" ht="14.15" customHeight="1">
      <c r="A2017" s="45"/>
      <c r="B2017" s="44" t="s">
        <v>6637</v>
      </c>
      <c r="C2017" s="50"/>
      <c r="D2017" s="10" t="s">
        <v>29</v>
      </c>
      <c r="E2017" s="11"/>
      <c r="F2017" s="11" t="s">
        <v>18</v>
      </c>
      <c r="G2017" s="13"/>
      <c r="H2017" s="45" t="s">
        <v>16</v>
      </c>
      <c r="I2017" s="47"/>
      <c r="J2017" s="12" t="s">
        <v>3428</v>
      </c>
      <c r="K2017" s="13" t="s">
        <v>8787</v>
      </c>
      <c r="L2017" s="99" t="str">
        <f t="shared" si="139"/>
        <v>W1279.0</v>
      </c>
      <c r="M2017" s="45"/>
      <c r="N2017" s="47"/>
      <c r="O2017" s="47"/>
      <c r="P2017" s="47"/>
      <c r="Q2017" s="45"/>
      <c r="R2017" s="45"/>
      <c r="S2017" s="48"/>
    </row>
    <row r="2018" spans="1:19" s="49" customFormat="1" ht="14.15" customHeight="1">
      <c r="A2018" s="45"/>
      <c r="B2018" s="44" t="s">
        <v>6637</v>
      </c>
      <c r="C2018" s="50"/>
      <c r="D2018" s="10" t="s">
        <v>29</v>
      </c>
      <c r="E2018" s="11"/>
      <c r="F2018" s="11" t="s">
        <v>18</v>
      </c>
      <c r="G2018" s="13"/>
      <c r="H2018" s="45" t="s">
        <v>16</v>
      </c>
      <c r="I2018" s="47"/>
      <c r="J2018" s="12" t="s">
        <v>3429</v>
      </c>
      <c r="K2018" s="13" t="s">
        <v>8788</v>
      </c>
      <c r="L2018" s="99" t="str">
        <f t="shared" si="139"/>
        <v>W1279.1</v>
      </c>
      <c r="M2018" s="45"/>
      <c r="N2018" s="47"/>
      <c r="O2018" s="47"/>
      <c r="P2018" s="47"/>
      <c r="Q2018" s="45"/>
      <c r="R2018" s="45"/>
      <c r="S2018" s="48"/>
    </row>
    <row r="2019" spans="1:19" s="49" customFormat="1" ht="14.15" customHeight="1">
      <c r="A2019" s="45"/>
      <c r="B2019" s="44" t="s">
        <v>6637</v>
      </c>
      <c r="C2019" s="50"/>
      <c r="D2019" s="10" t="s">
        <v>29</v>
      </c>
      <c r="E2019" s="11"/>
      <c r="F2019" s="11" t="s">
        <v>18</v>
      </c>
      <c r="G2019" s="13"/>
      <c r="H2019" s="45" t="s">
        <v>16</v>
      </c>
      <c r="I2019" s="47"/>
      <c r="J2019" s="12" t="s">
        <v>3430</v>
      </c>
      <c r="K2019" s="13" t="s">
        <v>8789</v>
      </c>
      <c r="L2019" s="99" t="str">
        <f t="shared" si="139"/>
        <v>W1279.2</v>
      </c>
      <c r="M2019" s="45"/>
      <c r="N2019" s="47"/>
      <c r="O2019" s="47"/>
      <c r="P2019" s="47"/>
      <c r="Q2019" s="45"/>
      <c r="R2019" s="45"/>
      <c r="S2019" s="48"/>
    </row>
    <row r="2020" spans="1:19" s="49" customFormat="1" ht="14.15" customHeight="1">
      <c r="A2020" s="45"/>
      <c r="B2020" s="44" t="s">
        <v>6637</v>
      </c>
      <c r="C2020" s="50"/>
      <c r="D2020" s="10" t="s">
        <v>29</v>
      </c>
      <c r="E2020" s="11"/>
      <c r="F2020" s="11" t="s">
        <v>18</v>
      </c>
      <c r="G2020" s="13"/>
      <c r="H2020" s="45" t="s">
        <v>16</v>
      </c>
      <c r="I2020" s="47"/>
      <c r="J2020" s="12" t="s">
        <v>3431</v>
      </c>
      <c r="K2020" s="13" t="s">
        <v>8790</v>
      </c>
      <c r="L2020" s="99" t="str">
        <f t="shared" si="139"/>
        <v>W1279.3</v>
      </c>
      <c r="M2020" s="45"/>
      <c r="N2020" s="47"/>
      <c r="O2020" s="47"/>
      <c r="P2020" s="47"/>
      <c r="Q2020" s="45"/>
      <c r="R2020" s="45"/>
      <c r="S2020" s="48"/>
    </row>
    <row r="2021" spans="1:19" s="49" customFormat="1" ht="14.15" customHeight="1">
      <c r="A2021" s="45"/>
      <c r="B2021" s="44" t="s">
        <v>6637</v>
      </c>
      <c r="C2021" s="50"/>
      <c r="D2021" s="10" t="s">
        <v>29</v>
      </c>
      <c r="E2021" s="11"/>
      <c r="F2021" s="11" t="s">
        <v>18</v>
      </c>
      <c r="G2021" s="13"/>
      <c r="H2021" s="45" t="s">
        <v>16</v>
      </c>
      <c r="I2021" s="47"/>
      <c r="J2021" s="12" t="s">
        <v>3432</v>
      </c>
      <c r="K2021" s="13" t="s">
        <v>8791</v>
      </c>
      <c r="L2021" s="99" t="str">
        <f t="shared" si="139"/>
        <v>W1279.4</v>
      </c>
      <c r="M2021" s="45"/>
      <c r="N2021" s="47"/>
      <c r="O2021" s="47"/>
      <c r="P2021" s="47"/>
      <c r="Q2021" s="45"/>
      <c r="R2021" s="45"/>
      <c r="S2021" s="48"/>
    </row>
    <row r="2022" spans="1:19" s="49" customFormat="1" ht="14.15" customHeight="1">
      <c r="A2022" s="45"/>
      <c r="B2022" s="44" t="s">
        <v>6637</v>
      </c>
      <c r="C2022" s="50"/>
      <c r="D2022" s="10" t="s">
        <v>29</v>
      </c>
      <c r="E2022" s="11"/>
      <c r="F2022" s="11" t="s">
        <v>18</v>
      </c>
      <c r="G2022" s="13"/>
      <c r="H2022" s="45" t="s">
        <v>16</v>
      </c>
      <c r="I2022" s="47"/>
      <c r="J2022" s="12" t="s">
        <v>3433</v>
      </c>
      <c r="K2022" s="13" t="s">
        <v>8792</v>
      </c>
      <c r="L2022" s="99" t="str">
        <f t="shared" si="139"/>
        <v>W1279.5</v>
      </c>
      <c r="M2022" s="45"/>
      <c r="N2022" s="47"/>
      <c r="O2022" s="47"/>
      <c r="P2022" s="47"/>
      <c r="Q2022" s="45"/>
      <c r="R2022" s="45"/>
      <c r="S2022" s="48"/>
    </row>
    <row r="2023" spans="1:19" s="49" customFormat="1" ht="14.15" customHeight="1">
      <c r="A2023" s="45"/>
      <c r="B2023" s="44" t="s">
        <v>6637</v>
      </c>
      <c r="C2023" s="50"/>
      <c r="D2023" s="10" t="s">
        <v>29</v>
      </c>
      <c r="E2023" s="11"/>
      <c r="F2023" s="11" t="s">
        <v>18</v>
      </c>
      <c r="G2023" s="13"/>
      <c r="H2023" s="45" t="s">
        <v>16</v>
      </c>
      <c r="I2023" s="47"/>
      <c r="J2023" s="12" t="s">
        <v>3434</v>
      </c>
      <c r="K2023" s="13" t="s">
        <v>8793</v>
      </c>
      <c r="L2023" s="99" t="str">
        <f t="shared" si="139"/>
        <v>W1279.6</v>
      </c>
      <c r="M2023" s="45"/>
      <c r="N2023" s="47"/>
      <c r="O2023" s="47"/>
      <c r="P2023" s="47"/>
      <c r="Q2023" s="45"/>
      <c r="R2023" s="45"/>
      <c r="S2023" s="48"/>
    </row>
    <row r="2024" spans="1:19" s="49" customFormat="1" ht="14.15" customHeight="1">
      <c r="A2024" s="45"/>
      <c r="B2024" s="44" t="s">
        <v>6637</v>
      </c>
      <c r="C2024" s="50"/>
      <c r="D2024" s="10" t="s">
        <v>29</v>
      </c>
      <c r="E2024" s="11"/>
      <c r="F2024" s="11" t="s">
        <v>18</v>
      </c>
      <c r="G2024" s="13"/>
      <c r="H2024" s="45" t="s">
        <v>16</v>
      </c>
      <c r="I2024" s="47"/>
      <c r="J2024" s="12" t="s">
        <v>3435</v>
      </c>
      <c r="K2024" s="13" t="s">
        <v>8794</v>
      </c>
      <c r="L2024" s="99" t="str">
        <f t="shared" si="139"/>
        <v>W1279.7</v>
      </c>
      <c r="M2024" s="45"/>
      <c r="N2024" s="47"/>
      <c r="O2024" s="47"/>
      <c r="P2024" s="47"/>
      <c r="Q2024" s="45"/>
      <c r="R2024" s="45"/>
      <c r="S2024" s="48"/>
    </row>
    <row r="2025" spans="1:19" s="49" customFormat="1" ht="14.15" customHeight="1">
      <c r="A2025" s="45"/>
      <c r="B2025" s="44" t="s">
        <v>6637</v>
      </c>
      <c r="C2025" s="50"/>
      <c r="D2025" s="10" t="s">
        <v>29</v>
      </c>
      <c r="E2025" s="11"/>
      <c r="F2025" s="11" t="s">
        <v>18</v>
      </c>
      <c r="G2025" s="13"/>
      <c r="H2025" s="45" t="s">
        <v>16</v>
      </c>
      <c r="I2025" s="47"/>
      <c r="J2025" s="12" t="s">
        <v>3436</v>
      </c>
      <c r="K2025" s="13" t="s">
        <v>8795</v>
      </c>
      <c r="L2025" s="99" t="str">
        <f t="shared" si="139"/>
        <v>W1279.8</v>
      </c>
      <c r="M2025" s="45"/>
      <c r="N2025" s="47"/>
      <c r="O2025" s="47"/>
      <c r="P2025" s="47"/>
      <c r="Q2025" s="45"/>
      <c r="R2025" s="45"/>
      <c r="S2025" s="48"/>
    </row>
    <row r="2026" spans="1:19" s="49" customFormat="1" ht="14.15" customHeight="1">
      <c r="A2026" s="45"/>
      <c r="B2026" s="44" t="s">
        <v>6637</v>
      </c>
      <c r="C2026" s="50"/>
      <c r="D2026" s="10" t="s">
        <v>29</v>
      </c>
      <c r="E2026" s="11"/>
      <c r="F2026" s="11" t="s">
        <v>18</v>
      </c>
      <c r="G2026" s="13"/>
      <c r="H2026" s="45" t="s">
        <v>16</v>
      </c>
      <c r="I2026" s="47"/>
      <c r="J2026" s="12" t="s">
        <v>3437</v>
      </c>
      <c r="K2026" s="13" t="s">
        <v>8796</v>
      </c>
      <c r="L2026" s="99" t="str">
        <f t="shared" si="139"/>
        <v>W1279.9</v>
      </c>
      <c r="M2026" s="45"/>
      <c r="N2026" s="47"/>
      <c r="O2026" s="47"/>
      <c r="P2026" s="47"/>
      <c r="Q2026" s="45"/>
      <c r="R2026" s="45"/>
      <c r="S2026" s="48"/>
    </row>
    <row r="2027" spans="1:19" s="49" customFormat="1" ht="14.15" customHeight="1">
      <c r="A2027" s="45"/>
      <c r="B2027" s="44" t="s">
        <v>6637</v>
      </c>
      <c r="C2027" s="50"/>
      <c r="D2027" s="10" t="s">
        <v>29</v>
      </c>
      <c r="E2027" s="11"/>
      <c r="F2027" s="11" t="s">
        <v>18</v>
      </c>
      <c r="G2027" s="13"/>
      <c r="H2027" s="45" t="s">
        <v>16</v>
      </c>
      <c r="I2027" s="47"/>
      <c r="J2027" s="12" t="s">
        <v>3438</v>
      </c>
      <c r="K2027" s="13" t="s">
        <v>8797</v>
      </c>
      <c r="L2027" s="99" t="str">
        <f t="shared" si="139"/>
        <v>W1279.A</v>
      </c>
      <c r="M2027" s="45"/>
      <c r="N2027" s="47"/>
      <c r="O2027" s="47"/>
      <c r="P2027" s="47"/>
      <c r="Q2027" s="45"/>
      <c r="R2027" s="45"/>
      <c r="S2027" s="48"/>
    </row>
    <row r="2028" spans="1:19" s="49" customFormat="1" ht="14.15" customHeight="1">
      <c r="A2028" s="45"/>
      <c r="B2028" s="44" t="s">
        <v>6637</v>
      </c>
      <c r="C2028" s="50"/>
      <c r="D2028" s="10" t="s">
        <v>29</v>
      </c>
      <c r="E2028" s="11"/>
      <c r="F2028" s="11" t="s">
        <v>18</v>
      </c>
      <c r="G2028" s="13"/>
      <c r="H2028" s="45" t="s">
        <v>16</v>
      </c>
      <c r="I2028" s="47"/>
      <c r="J2028" s="12" t="s">
        <v>3439</v>
      </c>
      <c r="K2028" s="13" t="s">
        <v>8798</v>
      </c>
      <c r="L2028" s="99" t="str">
        <f t="shared" si="139"/>
        <v>W1279.B</v>
      </c>
      <c r="M2028" s="45"/>
      <c r="N2028" s="47"/>
      <c r="O2028" s="47"/>
      <c r="P2028" s="47"/>
      <c r="Q2028" s="45"/>
      <c r="R2028" s="45"/>
      <c r="S2028" s="48"/>
    </row>
    <row r="2029" spans="1:19" s="49" customFormat="1" ht="14.15" customHeight="1">
      <c r="A2029" s="45"/>
      <c r="B2029" s="44" t="s">
        <v>6637</v>
      </c>
      <c r="C2029" s="50"/>
      <c r="D2029" s="10" t="s">
        <v>29</v>
      </c>
      <c r="E2029" s="11"/>
      <c r="F2029" s="11" t="s">
        <v>18</v>
      </c>
      <c r="G2029" s="13"/>
      <c r="H2029" s="45" t="s">
        <v>16</v>
      </c>
      <c r="I2029" s="47"/>
      <c r="J2029" s="12" t="s">
        <v>3440</v>
      </c>
      <c r="K2029" s="13" t="s">
        <v>8799</v>
      </c>
      <c r="L2029" s="99" t="str">
        <f t="shared" si="139"/>
        <v>W1279.C</v>
      </c>
      <c r="M2029" s="45"/>
      <c r="N2029" s="47"/>
      <c r="O2029" s="47"/>
      <c r="P2029" s="47"/>
      <c r="Q2029" s="45"/>
      <c r="R2029" s="45"/>
      <c r="S2029" s="48"/>
    </row>
    <row r="2030" spans="1:19" s="49" customFormat="1" ht="14.15" customHeight="1">
      <c r="A2030" s="45"/>
      <c r="B2030" s="44" t="s">
        <v>6637</v>
      </c>
      <c r="C2030" s="50"/>
      <c r="D2030" s="10" t="s">
        <v>29</v>
      </c>
      <c r="E2030" s="11"/>
      <c r="F2030" s="11" t="s">
        <v>18</v>
      </c>
      <c r="G2030" s="13"/>
      <c r="H2030" s="45" t="s">
        <v>16</v>
      </c>
      <c r="I2030" s="47"/>
      <c r="J2030" s="12" t="s">
        <v>3441</v>
      </c>
      <c r="K2030" s="13" t="s">
        <v>8800</v>
      </c>
      <c r="L2030" s="99" t="str">
        <f t="shared" si="139"/>
        <v>W1279.D</v>
      </c>
      <c r="M2030" s="45"/>
      <c r="N2030" s="47"/>
      <c r="O2030" s="47"/>
      <c r="P2030" s="47"/>
      <c r="Q2030" s="45"/>
      <c r="R2030" s="45"/>
      <c r="S2030" s="48"/>
    </row>
    <row r="2031" spans="1:19" s="49" customFormat="1" ht="14.15" customHeight="1">
      <c r="A2031" s="45"/>
      <c r="B2031" s="44" t="s">
        <v>6637</v>
      </c>
      <c r="C2031" s="50"/>
      <c r="D2031" s="10" t="s">
        <v>29</v>
      </c>
      <c r="E2031" s="11"/>
      <c r="F2031" s="11" t="s">
        <v>18</v>
      </c>
      <c r="G2031" s="13"/>
      <c r="H2031" s="45" t="s">
        <v>16</v>
      </c>
      <c r="I2031" s="47"/>
      <c r="J2031" s="12" t="s">
        <v>3442</v>
      </c>
      <c r="K2031" s="13" t="s">
        <v>8801</v>
      </c>
      <c r="L2031" s="99" t="str">
        <f t="shared" si="139"/>
        <v>W1279.E</v>
      </c>
      <c r="M2031" s="45"/>
      <c r="N2031" s="47"/>
      <c r="O2031" s="47"/>
      <c r="P2031" s="47"/>
      <c r="Q2031" s="45"/>
      <c r="R2031" s="45"/>
      <c r="S2031" s="48"/>
    </row>
    <row r="2032" spans="1:19" s="49" customFormat="1" ht="14.15" customHeight="1">
      <c r="A2032" s="45"/>
      <c r="B2032" s="44" t="s">
        <v>6637</v>
      </c>
      <c r="C2032" s="50"/>
      <c r="D2032" s="10" t="s">
        <v>29</v>
      </c>
      <c r="E2032" s="11"/>
      <c r="F2032" s="11" t="s">
        <v>18</v>
      </c>
      <c r="G2032" s="13"/>
      <c r="H2032" s="45" t="s">
        <v>16</v>
      </c>
      <c r="I2032" s="47"/>
      <c r="J2032" s="12" t="s">
        <v>3443</v>
      </c>
      <c r="K2032" s="13" t="s">
        <v>8802</v>
      </c>
      <c r="L2032" s="99" t="str">
        <f t="shared" si="139"/>
        <v>W1279.F</v>
      </c>
      <c r="M2032" s="45"/>
      <c r="N2032" s="47"/>
      <c r="O2032" s="47"/>
      <c r="P2032" s="47"/>
      <c r="Q2032" s="45"/>
      <c r="R2032" s="45"/>
      <c r="S2032" s="48"/>
    </row>
    <row r="2033" spans="1:19" s="49" customFormat="1" ht="14.15" customHeight="1">
      <c r="A2033" s="45"/>
      <c r="B2033" s="44" t="s">
        <v>6637</v>
      </c>
      <c r="C2033" s="50"/>
      <c r="D2033" s="10" t="s">
        <v>29</v>
      </c>
      <c r="E2033" s="11"/>
      <c r="F2033" s="11" t="s">
        <v>18</v>
      </c>
      <c r="G2033" s="13"/>
      <c r="H2033" s="45" t="s">
        <v>16</v>
      </c>
      <c r="I2033" s="47"/>
      <c r="J2033" s="12" t="s">
        <v>3444</v>
      </c>
      <c r="K2033" s="13" t="s">
        <v>8803</v>
      </c>
      <c r="L2033" s="99" t="str">
        <f t="shared" si="139"/>
        <v>W127A.0</v>
      </c>
      <c r="M2033" s="45"/>
      <c r="N2033" s="47"/>
      <c r="O2033" s="47"/>
      <c r="P2033" s="47"/>
      <c r="Q2033" s="45"/>
      <c r="R2033" s="45"/>
      <c r="S2033" s="48"/>
    </row>
    <row r="2034" spans="1:19" s="49" customFormat="1" ht="14.15" customHeight="1">
      <c r="A2034" s="45"/>
      <c r="B2034" s="44" t="s">
        <v>6637</v>
      </c>
      <c r="C2034" s="50"/>
      <c r="D2034" s="10" t="s">
        <v>29</v>
      </c>
      <c r="E2034" s="11"/>
      <c r="F2034" s="11" t="s">
        <v>18</v>
      </c>
      <c r="G2034" s="13"/>
      <c r="H2034" s="45" t="s">
        <v>16</v>
      </c>
      <c r="I2034" s="47"/>
      <c r="J2034" s="12" t="s">
        <v>3445</v>
      </c>
      <c r="K2034" s="13" t="s">
        <v>8804</v>
      </c>
      <c r="L2034" s="99" t="str">
        <f t="shared" si="139"/>
        <v>W127A.1</v>
      </c>
      <c r="M2034" s="45"/>
      <c r="N2034" s="47"/>
      <c r="O2034" s="47"/>
      <c r="P2034" s="47"/>
      <c r="Q2034" s="45"/>
      <c r="R2034" s="45"/>
      <c r="S2034" s="48"/>
    </row>
    <row r="2035" spans="1:19" s="49" customFormat="1" ht="14.15" customHeight="1">
      <c r="A2035" s="45"/>
      <c r="B2035" s="44" t="s">
        <v>6637</v>
      </c>
      <c r="C2035" s="50"/>
      <c r="D2035" s="10" t="s">
        <v>29</v>
      </c>
      <c r="E2035" s="11"/>
      <c r="F2035" s="11" t="s">
        <v>18</v>
      </c>
      <c r="G2035" s="13"/>
      <c r="H2035" s="45" t="s">
        <v>16</v>
      </c>
      <c r="I2035" s="47"/>
      <c r="J2035" s="12" t="s">
        <v>3446</v>
      </c>
      <c r="K2035" s="13" t="s">
        <v>8805</v>
      </c>
      <c r="L2035" s="99" t="str">
        <f t="shared" si="139"/>
        <v>W127A.2</v>
      </c>
      <c r="M2035" s="45"/>
      <c r="N2035" s="47"/>
      <c r="O2035" s="47"/>
      <c r="P2035" s="47"/>
      <c r="Q2035" s="45"/>
      <c r="R2035" s="45"/>
      <c r="S2035" s="48"/>
    </row>
    <row r="2036" spans="1:19" s="49" customFormat="1" ht="14.15" customHeight="1">
      <c r="A2036" s="45"/>
      <c r="B2036" s="44" t="s">
        <v>6637</v>
      </c>
      <c r="C2036" s="50"/>
      <c r="D2036" s="10" t="s">
        <v>29</v>
      </c>
      <c r="E2036" s="11"/>
      <c r="F2036" s="11" t="s">
        <v>18</v>
      </c>
      <c r="G2036" s="13"/>
      <c r="H2036" s="45" t="s">
        <v>16</v>
      </c>
      <c r="I2036" s="47"/>
      <c r="J2036" s="12" t="s">
        <v>3447</v>
      </c>
      <c r="K2036" s="13" t="s">
        <v>8806</v>
      </c>
      <c r="L2036" s="99" t="str">
        <f t="shared" si="139"/>
        <v>W127A.3</v>
      </c>
      <c r="M2036" s="45"/>
      <c r="N2036" s="47"/>
      <c r="O2036" s="47"/>
      <c r="P2036" s="47"/>
      <c r="Q2036" s="45"/>
      <c r="R2036" s="45"/>
      <c r="S2036" s="48"/>
    </row>
    <row r="2037" spans="1:19" s="49" customFormat="1" ht="14.15" customHeight="1">
      <c r="A2037" s="45"/>
      <c r="B2037" s="44" t="s">
        <v>6637</v>
      </c>
      <c r="C2037" s="50"/>
      <c r="D2037" s="10" t="s">
        <v>29</v>
      </c>
      <c r="E2037" s="11"/>
      <c r="F2037" s="11" t="s">
        <v>18</v>
      </c>
      <c r="G2037" s="13"/>
      <c r="H2037" s="45" t="s">
        <v>16</v>
      </c>
      <c r="I2037" s="47"/>
      <c r="J2037" s="12" t="s">
        <v>3448</v>
      </c>
      <c r="K2037" s="13" t="s">
        <v>8807</v>
      </c>
      <c r="L2037" s="99" t="str">
        <f t="shared" si="139"/>
        <v>W127A.4</v>
      </c>
      <c r="M2037" s="45"/>
      <c r="N2037" s="47"/>
      <c r="O2037" s="47"/>
      <c r="P2037" s="47"/>
      <c r="Q2037" s="45"/>
      <c r="R2037" s="45"/>
      <c r="S2037" s="48"/>
    </row>
    <row r="2038" spans="1:19" s="49" customFormat="1" ht="14.15" customHeight="1">
      <c r="A2038" s="45"/>
      <c r="B2038" s="44" t="s">
        <v>6637</v>
      </c>
      <c r="C2038" s="50"/>
      <c r="D2038" s="10" t="s">
        <v>29</v>
      </c>
      <c r="E2038" s="11"/>
      <c r="F2038" s="11" t="s">
        <v>18</v>
      </c>
      <c r="G2038" s="13"/>
      <c r="H2038" s="45" t="s">
        <v>16</v>
      </c>
      <c r="I2038" s="47"/>
      <c r="J2038" s="12" t="s">
        <v>3449</v>
      </c>
      <c r="K2038" s="13" t="s">
        <v>8808</v>
      </c>
      <c r="L2038" s="99" t="str">
        <f t="shared" si="139"/>
        <v>W127A.5</v>
      </c>
      <c r="M2038" s="45"/>
      <c r="N2038" s="47"/>
      <c r="O2038" s="47"/>
      <c r="P2038" s="47"/>
      <c r="Q2038" s="45"/>
      <c r="R2038" s="45"/>
      <c r="S2038" s="48"/>
    </row>
    <row r="2039" spans="1:19" s="49" customFormat="1" ht="14.15" customHeight="1">
      <c r="A2039" s="45"/>
      <c r="B2039" s="44" t="s">
        <v>6637</v>
      </c>
      <c r="C2039" s="50"/>
      <c r="D2039" s="10" t="s">
        <v>29</v>
      </c>
      <c r="E2039" s="11"/>
      <c r="F2039" s="11" t="s">
        <v>18</v>
      </c>
      <c r="G2039" s="13"/>
      <c r="H2039" s="45" t="s">
        <v>16</v>
      </c>
      <c r="I2039" s="47"/>
      <c r="J2039" s="12" t="s">
        <v>3450</v>
      </c>
      <c r="K2039" s="13" t="s">
        <v>8809</v>
      </c>
      <c r="L2039" s="99" t="str">
        <f t="shared" si="139"/>
        <v>W127A.6</v>
      </c>
      <c r="M2039" s="45"/>
      <c r="N2039" s="47"/>
      <c r="O2039" s="47"/>
      <c r="P2039" s="47"/>
      <c r="Q2039" s="45"/>
      <c r="R2039" s="45"/>
      <c r="S2039" s="48"/>
    </row>
    <row r="2040" spans="1:19" s="49" customFormat="1" ht="14.15" customHeight="1">
      <c r="A2040" s="45"/>
      <c r="B2040" s="44" t="s">
        <v>6637</v>
      </c>
      <c r="C2040" s="50"/>
      <c r="D2040" s="10" t="s">
        <v>29</v>
      </c>
      <c r="E2040" s="11"/>
      <c r="F2040" s="11" t="s">
        <v>18</v>
      </c>
      <c r="G2040" s="13"/>
      <c r="H2040" s="45" t="s">
        <v>16</v>
      </c>
      <c r="I2040" s="47"/>
      <c r="J2040" s="12" t="s">
        <v>3451</v>
      </c>
      <c r="K2040" s="13" t="s">
        <v>8810</v>
      </c>
      <c r="L2040" s="99" t="str">
        <f t="shared" si="139"/>
        <v>W127A.7</v>
      </c>
      <c r="M2040" s="45"/>
      <c r="N2040" s="47"/>
      <c r="O2040" s="47"/>
      <c r="P2040" s="47"/>
      <c r="Q2040" s="45"/>
      <c r="R2040" s="45"/>
      <c r="S2040" s="48"/>
    </row>
    <row r="2041" spans="1:19" s="49" customFormat="1" ht="14.15" customHeight="1">
      <c r="A2041" s="45"/>
      <c r="B2041" s="44" t="s">
        <v>6637</v>
      </c>
      <c r="C2041" s="50"/>
      <c r="D2041" s="10" t="s">
        <v>29</v>
      </c>
      <c r="E2041" s="11"/>
      <c r="F2041" s="11" t="s">
        <v>18</v>
      </c>
      <c r="G2041" s="13"/>
      <c r="H2041" s="45" t="s">
        <v>16</v>
      </c>
      <c r="I2041" s="47"/>
      <c r="J2041" s="12" t="s">
        <v>3452</v>
      </c>
      <c r="K2041" s="13" t="s">
        <v>8811</v>
      </c>
      <c r="L2041" s="99" t="str">
        <f t="shared" si="139"/>
        <v>W127A.8</v>
      </c>
      <c r="M2041" s="45"/>
      <c r="N2041" s="47"/>
      <c r="O2041" s="47"/>
      <c r="P2041" s="47"/>
      <c r="Q2041" s="45"/>
      <c r="R2041" s="45"/>
      <c r="S2041" s="48"/>
    </row>
    <row r="2042" spans="1:19" s="49" customFormat="1" ht="14.15" customHeight="1">
      <c r="A2042" s="45"/>
      <c r="B2042" s="44" t="s">
        <v>6637</v>
      </c>
      <c r="C2042" s="50"/>
      <c r="D2042" s="10" t="s">
        <v>29</v>
      </c>
      <c r="E2042" s="11"/>
      <c r="F2042" s="11" t="s">
        <v>18</v>
      </c>
      <c r="G2042" s="13"/>
      <c r="H2042" s="45" t="s">
        <v>16</v>
      </c>
      <c r="I2042" s="47"/>
      <c r="J2042" s="12" t="s">
        <v>3453</v>
      </c>
      <c r="K2042" s="13" t="s">
        <v>8812</v>
      </c>
      <c r="L2042" s="99" t="str">
        <f t="shared" si="139"/>
        <v>W127A.9</v>
      </c>
      <c r="M2042" s="45"/>
      <c r="N2042" s="47"/>
      <c r="O2042" s="47"/>
      <c r="P2042" s="47"/>
      <c r="Q2042" s="45"/>
      <c r="R2042" s="45"/>
      <c r="S2042" s="48"/>
    </row>
    <row r="2043" spans="1:19" s="49" customFormat="1" ht="14.15" customHeight="1">
      <c r="A2043" s="45"/>
      <c r="B2043" s="44" t="s">
        <v>6637</v>
      </c>
      <c r="C2043" s="50"/>
      <c r="D2043" s="10" t="s">
        <v>29</v>
      </c>
      <c r="E2043" s="11"/>
      <c r="F2043" s="11" t="s">
        <v>18</v>
      </c>
      <c r="G2043" s="13"/>
      <c r="H2043" s="45" t="s">
        <v>16</v>
      </c>
      <c r="I2043" s="47"/>
      <c r="J2043" s="12" t="s">
        <v>3454</v>
      </c>
      <c r="K2043" s="13" t="s">
        <v>8813</v>
      </c>
      <c r="L2043" s="99" t="str">
        <f t="shared" si="139"/>
        <v>W127A.A</v>
      </c>
      <c r="M2043" s="45"/>
      <c r="N2043" s="47"/>
      <c r="O2043" s="47"/>
      <c r="P2043" s="47"/>
      <c r="Q2043" s="45"/>
      <c r="R2043" s="45"/>
      <c r="S2043" s="48"/>
    </row>
    <row r="2044" spans="1:19" s="49" customFormat="1" ht="14.15" customHeight="1">
      <c r="A2044" s="45"/>
      <c r="B2044" s="44" t="s">
        <v>6637</v>
      </c>
      <c r="C2044" s="50"/>
      <c r="D2044" s="10" t="s">
        <v>29</v>
      </c>
      <c r="E2044" s="11"/>
      <c r="F2044" s="11" t="s">
        <v>18</v>
      </c>
      <c r="G2044" s="13"/>
      <c r="H2044" s="45" t="s">
        <v>16</v>
      </c>
      <c r="I2044" s="47"/>
      <c r="J2044" s="12" t="s">
        <v>3455</v>
      </c>
      <c r="K2044" s="13" t="s">
        <v>8814</v>
      </c>
      <c r="L2044" s="99" t="str">
        <f t="shared" si="139"/>
        <v>W127A.B</v>
      </c>
      <c r="M2044" s="45"/>
      <c r="N2044" s="47"/>
      <c r="O2044" s="47"/>
      <c r="P2044" s="47"/>
      <c r="Q2044" s="45"/>
      <c r="R2044" s="45"/>
      <c r="S2044" s="48"/>
    </row>
    <row r="2045" spans="1:19" s="49" customFormat="1" ht="14.15" customHeight="1">
      <c r="A2045" s="45"/>
      <c r="B2045" s="44" t="s">
        <v>6637</v>
      </c>
      <c r="C2045" s="50"/>
      <c r="D2045" s="10" t="s">
        <v>29</v>
      </c>
      <c r="E2045" s="11"/>
      <c r="F2045" s="11" t="s">
        <v>18</v>
      </c>
      <c r="G2045" s="13"/>
      <c r="H2045" s="45" t="s">
        <v>16</v>
      </c>
      <c r="I2045" s="47"/>
      <c r="J2045" s="12" t="s">
        <v>3456</v>
      </c>
      <c r="K2045" s="13" t="s">
        <v>8815</v>
      </c>
      <c r="L2045" s="99" t="str">
        <f t="shared" si="139"/>
        <v>W127A.C</v>
      </c>
      <c r="M2045" s="45"/>
      <c r="N2045" s="47"/>
      <c r="O2045" s="47"/>
      <c r="P2045" s="47"/>
      <c r="Q2045" s="45"/>
      <c r="R2045" s="45"/>
      <c r="S2045" s="48"/>
    </row>
    <row r="2046" spans="1:19" s="49" customFormat="1" ht="14.15" customHeight="1">
      <c r="A2046" s="45"/>
      <c r="B2046" s="44" t="s">
        <v>6637</v>
      </c>
      <c r="C2046" s="50"/>
      <c r="D2046" s="10" t="s">
        <v>29</v>
      </c>
      <c r="E2046" s="11"/>
      <c r="F2046" s="11" t="s">
        <v>18</v>
      </c>
      <c r="G2046" s="13"/>
      <c r="H2046" s="45" t="s">
        <v>16</v>
      </c>
      <c r="I2046" s="47"/>
      <c r="J2046" s="12" t="s">
        <v>3457</v>
      </c>
      <c r="K2046" s="13" t="s">
        <v>8816</v>
      </c>
      <c r="L2046" s="99" t="str">
        <f t="shared" si="139"/>
        <v>W127A.D</v>
      </c>
      <c r="M2046" s="45"/>
      <c r="N2046" s="47"/>
      <c r="O2046" s="47"/>
      <c r="P2046" s="47"/>
      <c r="Q2046" s="45"/>
      <c r="R2046" s="45"/>
      <c r="S2046" s="48"/>
    </row>
    <row r="2047" spans="1:19" s="49" customFormat="1" ht="14.15" customHeight="1">
      <c r="A2047" s="45"/>
      <c r="B2047" s="44" t="s">
        <v>6637</v>
      </c>
      <c r="C2047" s="50"/>
      <c r="D2047" s="10" t="s">
        <v>29</v>
      </c>
      <c r="E2047" s="11"/>
      <c r="F2047" s="11" t="s">
        <v>18</v>
      </c>
      <c r="G2047" s="13"/>
      <c r="H2047" s="45" t="s">
        <v>16</v>
      </c>
      <c r="I2047" s="47"/>
      <c r="J2047" s="12" t="s">
        <v>3458</v>
      </c>
      <c r="K2047" s="13" t="s">
        <v>8817</v>
      </c>
      <c r="L2047" s="99" t="str">
        <f t="shared" si="139"/>
        <v>W127A.E</v>
      </c>
      <c r="M2047" s="45"/>
      <c r="N2047" s="47"/>
      <c r="O2047" s="47"/>
      <c r="P2047" s="47"/>
      <c r="Q2047" s="45"/>
      <c r="R2047" s="45"/>
      <c r="S2047" s="48"/>
    </row>
    <row r="2048" spans="1:19" s="49" customFormat="1" ht="14.15" customHeight="1">
      <c r="A2048" s="45"/>
      <c r="B2048" s="44" t="s">
        <v>6637</v>
      </c>
      <c r="C2048" s="50"/>
      <c r="D2048" s="10" t="s">
        <v>29</v>
      </c>
      <c r="E2048" s="11"/>
      <c r="F2048" s="11" t="s">
        <v>18</v>
      </c>
      <c r="G2048" s="13"/>
      <c r="H2048" s="45" t="s">
        <v>16</v>
      </c>
      <c r="I2048" s="47"/>
      <c r="J2048" s="12" t="s">
        <v>3459</v>
      </c>
      <c r="K2048" s="13" t="s">
        <v>8818</v>
      </c>
      <c r="L2048" s="99" t="str">
        <f t="shared" si="139"/>
        <v>W127A.F</v>
      </c>
      <c r="M2048" s="45"/>
      <c r="N2048" s="47"/>
      <c r="O2048" s="47"/>
      <c r="P2048" s="47"/>
      <c r="Q2048" s="45"/>
      <c r="R2048" s="45"/>
      <c r="S2048" s="48"/>
    </row>
    <row r="2049" spans="1:19" s="49" customFormat="1" ht="14.15" customHeight="1">
      <c r="A2049" s="45"/>
      <c r="B2049" s="44" t="s">
        <v>6637</v>
      </c>
      <c r="C2049" s="50"/>
      <c r="D2049" s="10" t="s">
        <v>29</v>
      </c>
      <c r="E2049" s="11"/>
      <c r="F2049" s="11" t="s">
        <v>18</v>
      </c>
      <c r="G2049" s="13"/>
      <c r="H2049" s="45" t="s">
        <v>16</v>
      </c>
      <c r="I2049" s="47"/>
      <c r="J2049" s="12" t="s">
        <v>3460</v>
      </c>
      <c r="K2049" s="13" t="s">
        <v>8819</v>
      </c>
      <c r="L2049" s="99" t="str">
        <f t="shared" si="139"/>
        <v>W127B.0</v>
      </c>
      <c r="M2049" s="45"/>
      <c r="N2049" s="47"/>
      <c r="O2049" s="47"/>
      <c r="P2049" s="47"/>
      <c r="Q2049" s="45"/>
      <c r="R2049" s="45"/>
      <c r="S2049" s="48"/>
    </row>
    <row r="2050" spans="1:19" s="49" customFormat="1" ht="14.15" customHeight="1">
      <c r="A2050" s="45"/>
      <c r="B2050" s="44" t="s">
        <v>6637</v>
      </c>
      <c r="C2050" s="50"/>
      <c r="D2050" s="10" t="s">
        <v>29</v>
      </c>
      <c r="E2050" s="11"/>
      <c r="F2050" s="11" t="s">
        <v>18</v>
      </c>
      <c r="G2050" s="13"/>
      <c r="H2050" s="45" t="s">
        <v>16</v>
      </c>
      <c r="I2050" s="47"/>
      <c r="J2050" s="12" t="s">
        <v>3461</v>
      </c>
      <c r="K2050" s="13" t="s">
        <v>8820</v>
      </c>
      <c r="L2050" s="99" t="str">
        <f t="shared" si="139"/>
        <v>W127B.1</v>
      </c>
      <c r="M2050" s="45"/>
      <c r="N2050" s="47"/>
      <c r="O2050" s="47"/>
      <c r="P2050" s="47"/>
      <c r="Q2050" s="45"/>
      <c r="R2050" s="45"/>
      <c r="S2050" s="48"/>
    </row>
    <row r="2051" spans="1:19" s="49" customFormat="1" ht="14.15" customHeight="1">
      <c r="A2051" s="45"/>
      <c r="B2051" s="44" t="s">
        <v>6637</v>
      </c>
      <c r="C2051" s="50"/>
      <c r="D2051" s="10" t="s">
        <v>29</v>
      </c>
      <c r="E2051" s="11"/>
      <c r="F2051" s="11" t="s">
        <v>18</v>
      </c>
      <c r="G2051" s="13"/>
      <c r="H2051" s="45" t="s">
        <v>16</v>
      </c>
      <c r="I2051" s="47"/>
      <c r="J2051" s="12" t="s">
        <v>3462</v>
      </c>
      <c r="K2051" s="13" t="s">
        <v>8821</v>
      </c>
      <c r="L2051" s="99" t="str">
        <f t="shared" si="139"/>
        <v>W127B.2</v>
      </c>
      <c r="M2051" s="45"/>
      <c r="N2051" s="47"/>
      <c r="O2051" s="47"/>
      <c r="P2051" s="47"/>
      <c r="Q2051" s="45"/>
      <c r="R2051" s="45"/>
      <c r="S2051" s="48"/>
    </row>
    <row r="2052" spans="1:19" s="49" customFormat="1" ht="14.15" customHeight="1">
      <c r="A2052" s="45"/>
      <c r="B2052" s="44" t="s">
        <v>6637</v>
      </c>
      <c r="C2052" s="50"/>
      <c r="D2052" s="10" t="s">
        <v>29</v>
      </c>
      <c r="E2052" s="11"/>
      <c r="F2052" s="11" t="s">
        <v>18</v>
      </c>
      <c r="G2052" s="13"/>
      <c r="H2052" s="45" t="s">
        <v>16</v>
      </c>
      <c r="I2052" s="47"/>
      <c r="J2052" s="12" t="s">
        <v>3463</v>
      </c>
      <c r="K2052" s="13" t="s">
        <v>8822</v>
      </c>
      <c r="L2052" s="99" t="str">
        <f t="shared" si="139"/>
        <v>W127B.3</v>
      </c>
      <c r="M2052" s="45"/>
      <c r="N2052" s="47"/>
      <c r="O2052" s="47"/>
      <c r="P2052" s="47"/>
      <c r="Q2052" s="45"/>
      <c r="R2052" s="45"/>
      <c r="S2052" s="48"/>
    </row>
    <row r="2053" spans="1:19" s="49" customFormat="1" ht="14.15" customHeight="1">
      <c r="A2053" s="45"/>
      <c r="B2053" s="44" t="s">
        <v>6637</v>
      </c>
      <c r="C2053" s="50"/>
      <c r="D2053" s="10" t="s">
        <v>29</v>
      </c>
      <c r="E2053" s="11"/>
      <c r="F2053" s="11" t="s">
        <v>18</v>
      </c>
      <c r="G2053" s="13"/>
      <c r="H2053" s="45" t="s">
        <v>16</v>
      </c>
      <c r="I2053" s="47"/>
      <c r="J2053" s="12" t="s">
        <v>3464</v>
      </c>
      <c r="K2053" s="13" t="s">
        <v>8823</v>
      </c>
      <c r="L2053" s="99" t="str">
        <f t="shared" si="139"/>
        <v>W127B.4</v>
      </c>
      <c r="M2053" s="45"/>
      <c r="N2053" s="47"/>
      <c r="O2053" s="47"/>
      <c r="P2053" s="47"/>
      <c r="Q2053" s="45"/>
      <c r="R2053" s="45"/>
      <c r="S2053" s="48"/>
    </row>
    <row r="2054" spans="1:19" s="49" customFormat="1" ht="14.15" customHeight="1">
      <c r="A2054" s="45"/>
      <c r="B2054" s="44" t="s">
        <v>6637</v>
      </c>
      <c r="C2054" s="50"/>
      <c r="D2054" s="10" t="s">
        <v>29</v>
      </c>
      <c r="E2054" s="11"/>
      <c r="F2054" s="11" t="s">
        <v>18</v>
      </c>
      <c r="G2054" s="13"/>
      <c r="H2054" s="45" t="s">
        <v>16</v>
      </c>
      <c r="I2054" s="47"/>
      <c r="J2054" s="12" t="s">
        <v>3465</v>
      </c>
      <c r="K2054" s="13" t="s">
        <v>8824</v>
      </c>
      <c r="L2054" s="99" t="str">
        <f t="shared" si="139"/>
        <v>W127B.5</v>
      </c>
      <c r="M2054" s="45"/>
      <c r="N2054" s="47"/>
      <c r="O2054" s="47"/>
      <c r="P2054" s="47"/>
      <c r="Q2054" s="45"/>
      <c r="R2054" s="45"/>
      <c r="S2054" s="48"/>
    </row>
    <row r="2055" spans="1:19" s="49" customFormat="1" ht="14.15" customHeight="1">
      <c r="A2055" s="45"/>
      <c r="B2055" s="44" t="s">
        <v>6637</v>
      </c>
      <c r="C2055" s="50"/>
      <c r="D2055" s="10" t="s">
        <v>29</v>
      </c>
      <c r="E2055" s="11"/>
      <c r="F2055" s="11" t="s">
        <v>18</v>
      </c>
      <c r="G2055" s="13"/>
      <c r="H2055" s="45" t="s">
        <v>16</v>
      </c>
      <c r="I2055" s="47"/>
      <c r="J2055" s="12" t="s">
        <v>3466</v>
      </c>
      <c r="K2055" s="13" t="s">
        <v>8825</v>
      </c>
      <c r="L2055" s="99" t="str">
        <f t="shared" si="139"/>
        <v>W127B.6</v>
      </c>
      <c r="M2055" s="45"/>
      <c r="N2055" s="47"/>
      <c r="O2055" s="47"/>
      <c r="P2055" s="47"/>
      <c r="Q2055" s="45"/>
      <c r="R2055" s="45"/>
      <c r="S2055" s="48"/>
    </row>
    <row r="2056" spans="1:19" s="49" customFormat="1" ht="14.15" customHeight="1">
      <c r="A2056" s="45"/>
      <c r="B2056" s="44" t="s">
        <v>6637</v>
      </c>
      <c r="C2056" s="50"/>
      <c r="D2056" s="10" t="s">
        <v>29</v>
      </c>
      <c r="E2056" s="11"/>
      <c r="F2056" s="11" t="s">
        <v>18</v>
      </c>
      <c r="G2056" s="13"/>
      <c r="H2056" s="45" t="s">
        <v>16</v>
      </c>
      <c r="I2056" s="47"/>
      <c r="J2056" s="12" t="s">
        <v>3467</v>
      </c>
      <c r="K2056" s="13" t="s">
        <v>8826</v>
      </c>
      <c r="L2056" s="99" t="str">
        <f t="shared" si="139"/>
        <v>W127B.7</v>
      </c>
      <c r="M2056" s="45"/>
      <c r="N2056" s="47"/>
      <c r="O2056" s="47"/>
      <c r="P2056" s="47"/>
      <c r="Q2056" s="45"/>
      <c r="R2056" s="45"/>
      <c r="S2056" s="48"/>
    </row>
    <row r="2057" spans="1:19" s="49" customFormat="1" ht="14.15" customHeight="1">
      <c r="A2057" s="45"/>
      <c r="B2057" s="44" t="s">
        <v>6637</v>
      </c>
      <c r="C2057" s="50"/>
      <c r="D2057" s="10" t="s">
        <v>29</v>
      </c>
      <c r="E2057" s="11"/>
      <c r="F2057" s="11" t="s">
        <v>18</v>
      </c>
      <c r="G2057" s="13"/>
      <c r="H2057" s="45" t="s">
        <v>16</v>
      </c>
      <c r="I2057" s="47"/>
      <c r="J2057" s="12" t="s">
        <v>3468</v>
      </c>
      <c r="K2057" s="13" t="s">
        <v>8827</v>
      </c>
      <c r="L2057" s="99" t="str">
        <f t="shared" si="139"/>
        <v>W127B.8</v>
      </c>
      <c r="M2057" s="45"/>
      <c r="N2057" s="47"/>
      <c r="O2057" s="47"/>
      <c r="P2057" s="47"/>
      <c r="Q2057" s="45"/>
      <c r="R2057" s="45"/>
      <c r="S2057" s="48"/>
    </row>
    <row r="2058" spans="1:19" s="49" customFormat="1" ht="14.15" customHeight="1">
      <c r="A2058" s="45"/>
      <c r="B2058" s="44" t="s">
        <v>6637</v>
      </c>
      <c r="C2058" s="50"/>
      <c r="D2058" s="10" t="s">
        <v>29</v>
      </c>
      <c r="E2058" s="11"/>
      <c r="F2058" s="11" t="s">
        <v>18</v>
      </c>
      <c r="G2058" s="13"/>
      <c r="H2058" s="45" t="s">
        <v>16</v>
      </c>
      <c r="I2058" s="47"/>
      <c r="J2058" s="12" t="s">
        <v>3469</v>
      </c>
      <c r="K2058" s="13" t="s">
        <v>8828</v>
      </c>
      <c r="L2058" s="99" t="str">
        <f t="shared" si="139"/>
        <v>W127B.9</v>
      </c>
      <c r="M2058" s="45"/>
      <c r="N2058" s="47"/>
      <c r="O2058" s="47"/>
      <c r="P2058" s="47"/>
      <c r="Q2058" s="45"/>
      <c r="R2058" s="45"/>
      <c r="S2058" s="48"/>
    </row>
    <row r="2059" spans="1:19" s="49" customFormat="1" ht="14.15" customHeight="1">
      <c r="A2059" s="45"/>
      <c r="B2059" s="44" t="s">
        <v>6637</v>
      </c>
      <c r="C2059" s="50"/>
      <c r="D2059" s="10" t="s">
        <v>29</v>
      </c>
      <c r="E2059" s="11"/>
      <c r="F2059" s="11" t="s">
        <v>18</v>
      </c>
      <c r="G2059" s="13"/>
      <c r="H2059" s="45" t="s">
        <v>16</v>
      </c>
      <c r="I2059" s="47"/>
      <c r="J2059" s="12" t="s">
        <v>3470</v>
      </c>
      <c r="K2059" s="13" t="s">
        <v>8829</v>
      </c>
      <c r="L2059" s="99" t="str">
        <f t="shared" si="139"/>
        <v>W127B.A</v>
      </c>
      <c r="M2059" s="45"/>
      <c r="N2059" s="47"/>
      <c r="O2059" s="47"/>
      <c r="P2059" s="47"/>
      <c r="Q2059" s="45"/>
      <c r="R2059" s="45"/>
      <c r="S2059" s="48"/>
    </row>
    <row r="2060" spans="1:19" s="49" customFormat="1" ht="14.15" customHeight="1">
      <c r="A2060" s="45"/>
      <c r="B2060" s="44" t="s">
        <v>6637</v>
      </c>
      <c r="C2060" s="50"/>
      <c r="D2060" s="10" t="s">
        <v>29</v>
      </c>
      <c r="E2060" s="11"/>
      <c r="F2060" s="11" t="s">
        <v>18</v>
      </c>
      <c r="G2060" s="13"/>
      <c r="H2060" s="45" t="s">
        <v>16</v>
      </c>
      <c r="I2060" s="47"/>
      <c r="J2060" s="12" t="s">
        <v>3471</v>
      </c>
      <c r="K2060" s="13" t="s">
        <v>8830</v>
      </c>
      <c r="L2060" s="99" t="str">
        <f t="shared" si="139"/>
        <v>W127B.B</v>
      </c>
      <c r="M2060" s="45"/>
      <c r="N2060" s="47"/>
      <c r="O2060" s="47"/>
      <c r="P2060" s="47"/>
      <c r="Q2060" s="45"/>
      <c r="R2060" s="45"/>
      <c r="S2060" s="48"/>
    </row>
    <row r="2061" spans="1:19" s="49" customFormat="1" ht="14.15" customHeight="1">
      <c r="A2061" s="45"/>
      <c r="B2061" s="44" t="s">
        <v>6637</v>
      </c>
      <c r="C2061" s="50"/>
      <c r="D2061" s="10" t="s">
        <v>29</v>
      </c>
      <c r="E2061" s="11"/>
      <c r="F2061" s="11" t="s">
        <v>18</v>
      </c>
      <c r="G2061" s="13"/>
      <c r="H2061" s="45" t="s">
        <v>16</v>
      </c>
      <c r="I2061" s="47"/>
      <c r="J2061" s="12" t="s">
        <v>3442</v>
      </c>
      <c r="K2061" s="13" t="s">
        <v>8831</v>
      </c>
      <c r="L2061" s="99" t="str">
        <f t="shared" si="139"/>
        <v>W127B.C</v>
      </c>
      <c r="M2061" s="45"/>
      <c r="N2061" s="47"/>
      <c r="O2061" s="47"/>
      <c r="P2061" s="47"/>
      <c r="Q2061" s="45"/>
      <c r="R2061" s="45"/>
      <c r="S2061" s="48"/>
    </row>
    <row r="2062" spans="1:19" s="49" customFormat="1" ht="14.15" customHeight="1">
      <c r="A2062" s="45"/>
      <c r="B2062" s="44" t="s">
        <v>6637</v>
      </c>
      <c r="C2062" s="50"/>
      <c r="D2062" s="10" t="s">
        <v>29</v>
      </c>
      <c r="E2062" s="11"/>
      <c r="F2062" s="11" t="s">
        <v>18</v>
      </c>
      <c r="G2062" s="13"/>
      <c r="H2062" s="45" t="s">
        <v>16</v>
      </c>
      <c r="I2062" s="47"/>
      <c r="J2062" s="12" t="s">
        <v>3472</v>
      </c>
      <c r="K2062" s="13" t="s">
        <v>8832</v>
      </c>
      <c r="L2062" s="99" t="str">
        <f t="shared" si="139"/>
        <v>W127B.D</v>
      </c>
      <c r="M2062" s="45"/>
      <c r="N2062" s="47"/>
      <c r="O2062" s="47"/>
      <c r="P2062" s="47"/>
      <c r="Q2062" s="45"/>
      <c r="R2062" s="45"/>
      <c r="S2062" s="48"/>
    </row>
    <row r="2063" spans="1:19" s="49" customFormat="1" ht="14.15" customHeight="1">
      <c r="A2063" s="45"/>
      <c r="B2063" s="44" t="s">
        <v>6637</v>
      </c>
      <c r="C2063" s="50"/>
      <c r="D2063" s="10" t="s">
        <v>29</v>
      </c>
      <c r="E2063" s="11"/>
      <c r="F2063" s="11" t="s">
        <v>18</v>
      </c>
      <c r="G2063" s="13"/>
      <c r="H2063" s="45" t="s">
        <v>16</v>
      </c>
      <c r="I2063" s="47"/>
      <c r="J2063" s="12" t="s">
        <v>3473</v>
      </c>
      <c r="K2063" s="13" t="s">
        <v>8833</v>
      </c>
      <c r="L2063" s="99" t="str">
        <f t="shared" si="139"/>
        <v>W127B.E</v>
      </c>
      <c r="M2063" s="45"/>
      <c r="N2063" s="47"/>
      <c r="O2063" s="47"/>
      <c r="P2063" s="47"/>
      <c r="Q2063" s="45"/>
      <c r="R2063" s="45"/>
      <c r="S2063" s="48"/>
    </row>
    <row r="2064" spans="1:19" s="49" customFormat="1" ht="14.15" customHeight="1">
      <c r="A2064" s="45"/>
      <c r="B2064" s="44" t="s">
        <v>6637</v>
      </c>
      <c r="C2064" s="50"/>
      <c r="D2064" s="10" t="s">
        <v>29</v>
      </c>
      <c r="E2064" s="11"/>
      <c r="F2064" s="11" t="s">
        <v>18</v>
      </c>
      <c r="G2064" s="13"/>
      <c r="H2064" s="45" t="s">
        <v>16</v>
      </c>
      <c r="I2064" s="47"/>
      <c r="J2064" s="12" t="s">
        <v>3474</v>
      </c>
      <c r="K2064" s="13" t="s">
        <v>8834</v>
      </c>
      <c r="L2064" s="99" t="str">
        <f t="shared" si="139"/>
        <v>W127B.F</v>
      </c>
      <c r="M2064" s="45"/>
      <c r="N2064" s="47"/>
      <c r="O2064" s="47"/>
      <c r="P2064" s="47"/>
      <c r="Q2064" s="45"/>
      <c r="R2064" s="45"/>
      <c r="S2064" s="48"/>
    </row>
    <row r="2065" spans="1:19" s="49" customFormat="1" ht="14.15" customHeight="1">
      <c r="A2065" s="45"/>
      <c r="B2065" s="44" t="s">
        <v>6637</v>
      </c>
      <c r="C2065" s="50"/>
      <c r="D2065" s="10" t="s">
        <v>29</v>
      </c>
      <c r="E2065" s="11"/>
      <c r="F2065" s="11" t="s">
        <v>18</v>
      </c>
      <c r="G2065" s="13"/>
      <c r="H2065" s="45" t="s">
        <v>16</v>
      </c>
      <c r="I2065" s="47"/>
      <c r="J2065" s="12" t="s">
        <v>3475</v>
      </c>
      <c r="K2065" s="13" t="s">
        <v>8835</v>
      </c>
      <c r="L2065" s="99" t="str">
        <f t="shared" si="139"/>
        <v>W127C.0</v>
      </c>
      <c r="M2065" s="45"/>
      <c r="N2065" s="47"/>
      <c r="O2065" s="47"/>
      <c r="P2065" s="47"/>
      <c r="Q2065" s="45"/>
      <c r="R2065" s="45"/>
      <c r="S2065" s="48"/>
    </row>
    <row r="2066" spans="1:19" s="49" customFormat="1" ht="14.15" customHeight="1">
      <c r="A2066" s="45"/>
      <c r="B2066" s="44" t="s">
        <v>6637</v>
      </c>
      <c r="C2066" s="50"/>
      <c r="D2066" s="10" t="s">
        <v>29</v>
      </c>
      <c r="E2066" s="11"/>
      <c r="F2066" s="11" t="s">
        <v>18</v>
      </c>
      <c r="G2066" s="13"/>
      <c r="H2066" s="45" t="s">
        <v>16</v>
      </c>
      <c r="I2066" s="47"/>
      <c r="J2066" s="12" t="s">
        <v>3476</v>
      </c>
      <c r="K2066" s="13" t="s">
        <v>8836</v>
      </c>
      <c r="L2066" s="99" t="str">
        <f t="shared" ref="L2066:L2084" si="140">"W"&amp;DEC2HEX(4608 + INT((ROW()-81)/16)) &amp; "." &amp; IF(MOD(ROW()-81,16)&lt;10,MOD(ROW()-81,16),CHAR(MOD(ROW()-81,16)+55))</f>
        <v>W127C.1</v>
      </c>
      <c r="M2066" s="45"/>
      <c r="N2066" s="47"/>
      <c r="O2066" s="47"/>
      <c r="P2066" s="47"/>
      <c r="Q2066" s="45"/>
      <c r="R2066" s="45"/>
      <c r="S2066" s="48"/>
    </row>
    <row r="2067" spans="1:19" s="49" customFormat="1" ht="14.15" customHeight="1">
      <c r="A2067" s="45"/>
      <c r="B2067" s="44" t="s">
        <v>6637</v>
      </c>
      <c r="C2067" s="50"/>
      <c r="D2067" s="10" t="s">
        <v>29</v>
      </c>
      <c r="E2067" s="11"/>
      <c r="F2067" s="11" t="s">
        <v>18</v>
      </c>
      <c r="G2067" s="13"/>
      <c r="H2067" s="45" t="s">
        <v>16</v>
      </c>
      <c r="I2067" s="47"/>
      <c r="J2067" s="12" t="s">
        <v>3477</v>
      </c>
      <c r="K2067" s="13" t="s">
        <v>8837</v>
      </c>
      <c r="L2067" s="99" t="str">
        <f t="shared" si="140"/>
        <v>W127C.2</v>
      </c>
      <c r="M2067" s="45"/>
      <c r="N2067" s="47"/>
      <c r="O2067" s="47"/>
      <c r="P2067" s="47"/>
      <c r="Q2067" s="45"/>
      <c r="R2067" s="45"/>
      <c r="S2067" s="48"/>
    </row>
    <row r="2068" spans="1:19" s="49" customFormat="1" ht="14.15" customHeight="1">
      <c r="A2068" s="45"/>
      <c r="B2068" s="44" t="s">
        <v>6637</v>
      </c>
      <c r="C2068" s="50"/>
      <c r="D2068" s="10" t="s">
        <v>29</v>
      </c>
      <c r="E2068" s="11"/>
      <c r="F2068" s="11" t="s">
        <v>18</v>
      </c>
      <c r="G2068" s="13"/>
      <c r="H2068" s="45" t="s">
        <v>16</v>
      </c>
      <c r="I2068" s="47"/>
      <c r="J2068" s="12" t="s">
        <v>3478</v>
      </c>
      <c r="K2068" s="13" t="s">
        <v>8838</v>
      </c>
      <c r="L2068" s="99" t="str">
        <f t="shared" si="140"/>
        <v>W127C.3</v>
      </c>
      <c r="M2068" s="45"/>
      <c r="N2068" s="47"/>
      <c r="O2068" s="47"/>
      <c r="P2068" s="47"/>
      <c r="Q2068" s="45"/>
      <c r="R2068" s="45"/>
      <c r="S2068" s="48"/>
    </row>
    <row r="2069" spans="1:19" s="49" customFormat="1" ht="14.15" customHeight="1">
      <c r="A2069" s="45"/>
      <c r="B2069" s="44" t="s">
        <v>6637</v>
      </c>
      <c r="C2069" s="50"/>
      <c r="D2069" s="10" t="s">
        <v>29</v>
      </c>
      <c r="E2069" s="11"/>
      <c r="F2069" s="11" t="s">
        <v>18</v>
      </c>
      <c r="G2069" s="13"/>
      <c r="H2069" s="45" t="s">
        <v>16</v>
      </c>
      <c r="I2069" s="47"/>
      <c r="J2069" s="12" t="s">
        <v>3479</v>
      </c>
      <c r="K2069" s="13" t="s">
        <v>8839</v>
      </c>
      <c r="L2069" s="99" t="str">
        <f t="shared" si="140"/>
        <v>W127C.4</v>
      </c>
      <c r="M2069" s="45"/>
      <c r="N2069" s="47"/>
      <c r="O2069" s="47"/>
      <c r="P2069" s="47"/>
      <c r="Q2069" s="45"/>
      <c r="R2069" s="45"/>
      <c r="S2069" s="48"/>
    </row>
    <row r="2070" spans="1:19" s="49" customFormat="1" ht="14.15" customHeight="1">
      <c r="A2070" s="45"/>
      <c r="B2070" s="44" t="s">
        <v>6637</v>
      </c>
      <c r="C2070" s="50"/>
      <c r="D2070" s="10" t="s">
        <v>29</v>
      </c>
      <c r="E2070" s="11"/>
      <c r="F2070" s="11" t="s">
        <v>18</v>
      </c>
      <c r="G2070" s="13"/>
      <c r="H2070" s="45" t="s">
        <v>16</v>
      </c>
      <c r="I2070" s="47"/>
      <c r="J2070" s="12" t="s">
        <v>3480</v>
      </c>
      <c r="K2070" s="13" t="s">
        <v>8840</v>
      </c>
      <c r="L2070" s="99" t="str">
        <f t="shared" si="140"/>
        <v>W127C.5</v>
      </c>
      <c r="M2070" s="45"/>
      <c r="N2070" s="47"/>
      <c r="O2070" s="47"/>
      <c r="P2070" s="47"/>
      <c r="Q2070" s="45"/>
      <c r="R2070" s="45"/>
      <c r="S2070" s="48"/>
    </row>
    <row r="2071" spans="1:19" s="49" customFormat="1" ht="14.15" customHeight="1">
      <c r="A2071" s="45"/>
      <c r="B2071" s="44" t="s">
        <v>6637</v>
      </c>
      <c r="C2071" s="50"/>
      <c r="D2071" s="10" t="s">
        <v>29</v>
      </c>
      <c r="E2071" s="11"/>
      <c r="F2071" s="11" t="s">
        <v>18</v>
      </c>
      <c r="G2071" s="13"/>
      <c r="H2071" s="45" t="s">
        <v>16</v>
      </c>
      <c r="I2071" s="47"/>
      <c r="J2071" s="12" t="s">
        <v>3481</v>
      </c>
      <c r="K2071" s="13" t="s">
        <v>8841</v>
      </c>
      <c r="L2071" s="99" t="str">
        <f t="shared" si="140"/>
        <v>W127C.6</v>
      </c>
      <c r="M2071" s="45"/>
      <c r="N2071" s="47"/>
      <c r="O2071" s="47"/>
      <c r="P2071" s="47"/>
      <c r="Q2071" s="45"/>
      <c r="R2071" s="45"/>
      <c r="S2071" s="48"/>
    </row>
    <row r="2072" spans="1:19" s="49" customFormat="1" ht="14.15" customHeight="1">
      <c r="A2072" s="45"/>
      <c r="B2072" s="44" t="s">
        <v>6637</v>
      </c>
      <c r="C2072" s="50"/>
      <c r="D2072" s="10" t="s">
        <v>29</v>
      </c>
      <c r="E2072" s="11"/>
      <c r="F2072" s="11" t="s">
        <v>18</v>
      </c>
      <c r="G2072" s="13"/>
      <c r="H2072" s="45" t="s">
        <v>16</v>
      </c>
      <c r="I2072" s="47"/>
      <c r="J2072" s="12" t="s">
        <v>3482</v>
      </c>
      <c r="K2072" s="13" t="s">
        <v>8842</v>
      </c>
      <c r="L2072" s="99" t="str">
        <f t="shared" si="140"/>
        <v>W127C.7</v>
      </c>
      <c r="M2072" s="45"/>
      <c r="N2072" s="47"/>
      <c r="O2072" s="47"/>
      <c r="P2072" s="47"/>
      <c r="Q2072" s="45"/>
      <c r="R2072" s="45"/>
      <c r="S2072" s="48"/>
    </row>
    <row r="2073" spans="1:19" s="49" customFormat="1" ht="14.15" customHeight="1">
      <c r="A2073" s="45"/>
      <c r="B2073" s="44" t="s">
        <v>6637</v>
      </c>
      <c r="C2073" s="50"/>
      <c r="D2073" s="10" t="s">
        <v>29</v>
      </c>
      <c r="E2073" s="11"/>
      <c r="F2073" s="11" t="s">
        <v>18</v>
      </c>
      <c r="G2073" s="13"/>
      <c r="H2073" s="45" t="s">
        <v>16</v>
      </c>
      <c r="I2073" s="47"/>
      <c r="J2073" s="12" t="s">
        <v>3483</v>
      </c>
      <c r="K2073" s="13" t="s">
        <v>8843</v>
      </c>
      <c r="L2073" s="99" t="str">
        <f t="shared" si="140"/>
        <v>W127C.8</v>
      </c>
      <c r="M2073" s="45"/>
      <c r="N2073" s="47"/>
      <c r="O2073" s="47"/>
      <c r="P2073" s="47"/>
      <c r="Q2073" s="45"/>
      <c r="R2073" s="45"/>
      <c r="S2073" s="48"/>
    </row>
    <row r="2074" spans="1:19" s="49" customFormat="1" ht="14.15" customHeight="1">
      <c r="A2074" s="45"/>
      <c r="B2074" s="44" t="s">
        <v>6637</v>
      </c>
      <c r="C2074" s="50"/>
      <c r="D2074" s="10" t="s">
        <v>29</v>
      </c>
      <c r="E2074" s="11"/>
      <c r="F2074" s="11" t="s">
        <v>18</v>
      </c>
      <c r="G2074" s="13"/>
      <c r="H2074" s="45" t="s">
        <v>16</v>
      </c>
      <c r="I2074" s="47"/>
      <c r="J2074" s="12" t="s">
        <v>3484</v>
      </c>
      <c r="K2074" s="13" t="s">
        <v>8844</v>
      </c>
      <c r="L2074" s="99" t="str">
        <f t="shared" si="140"/>
        <v>W127C.9</v>
      </c>
      <c r="M2074" s="45"/>
      <c r="N2074" s="47"/>
      <c r="O2074" s="47"/>
      <c r="P2074" s="47"/>
      <c r="Q2074" s="45"/>
      <c r="R2074" s="45"/>
      <c r="S2074" s="48"/>
    </row>
    <row r="2075" spans="1:19" s="49" customFormat="1" ht="14.15" customHeight="1">
      <c r="A2075" s="45"/>
      <c r="B2075" s="44" t="s">
        <v>6637</v>
      </c>
      <c r="C2075" s="50"/>
      <c r="D2075" s="10" t="s">
        <v>29</v>
      </c>
      <c r="E2075" s="11"/>
      <c r="F2075" s="11" t="s">
        <v>18</v>
      </c>
      <c r="G2075" s="13"/>
      <c r="H2075" s="45" t="s">
        <v>16</v>
      </c>
      <c r="I2075" s="47"/>
      <c r="J2075" s="12" t="s">
        <v>3485</v>
      </c>
      <c r="K2075" s="13" t="s">
        <v>8845</v>
      </c>
      <c r="L2075" s="99" t="str">
        <f t="shared" si="140"/>
        <v>W127C.A</v>
      </c>
      <c r="M2075" s="45"/>
      <c r="N2075" s="47"/>
      <c r="O2075" s="47"/>
      <c r="P2075" s="47"/>
      <c r="Q2075" s="45"/>
      <c r="R2075" s="45"/>
      <c r="S2075" s="48"/>
    </row>
    <row r="2076" spans="1:19" s="49" customFormat="1" ht="14.15" customHeight="1">
      <c r="A2076" s="45"/>
      <c r="B2076" s="44" t="s">
        <v>6637</v>
      </c>
      <c r="C2076" s="50"/>
      <c r="D2076" s="10" t="s">
        <v>29</v>
      </c>
      <c r="E2076" s="11"/>
      <c r="F2076" s="11" t="s">
        <v>18</v>
      </c>
      <c r="G2076" s="13"/>
      <c r="H2076" s="45" t="s">
        <v>16</v>
      </c>
      <c r="I2076" s="47"/>
      <c r="J2076" s="12" t="s">
        <v>3486</v>
      </c>
      <c r="K2076" s="13" t="s">
        <v>8846</v>
      </c>
      <c r="L2076" s="99" t="str">
        <f t="shared" si="140"/>
        <v>W127C.B</v>
      </c>
      <c r="M2076" s="45"/>
      <c r="N2076" s="47"/>
      <c r="O2076" s="47"/>
      <c r="P2076" s="47"/>
      <c r="Q2076" s="45"/>
      <c r="R2076" s="45"/>
      <c r="S2076" s="48"/>
    </row>
    <row r="2077" spans="1:19" s="49" customFormat="1" ht="14.15" customHeight="1">
      <c r="A2077" s="45"/>
      <c r="B2077" s="44" t="s">
        <v>6637</v>
      </c>
      <c r="C2077" s="50"/>
      <c r="D2077" s="10" t="s">
        <v>29</v>
      </c>
      <c r="E2077" s="11"/>
      <c r="F2077" s="11" t="s">
        <v>18</v>
      </c>
      <c r="G2077" s="13"/>
      <c r="H2077" s="45" t="s">
        <v>16</v>
      </c>
      <c r="I2077" s="47"/>
      <c r="J2077" s="12" t="s">
        <v>3487</v>
      </c>
      <c r="K2077" s="13" t="s">
        <v>8847</v>
      </c>
      <c r="L2077" s="99" t="str">
        <f t="shared" si="140"/>
        <v>W127C.C</v>
      </c>
      <c r="M2077" s="45"/>
      <c r="N2077" s="47"/>
      <c r="O2077" s="47"/>
      <c r="P2077" s="47"/>
      <c r="Q2077" s="45"/>
      <c r="R2077" s="45"/>
      <c r="S2077" s="48"/>
    </row>
    <row r="2078" spans="1:19" s="49" customFormat="1" ht="14.15" customHeight="1">
      <c r="A2078" s="45"/>
      <c r="B2078" s="44" t="s">
        <v>6637</v>
      </c>
      <c r="C2078" s="50"/>
      <c r="D2078" s="10" t="s">
        <v>29</v>
      </c>
      <c r="E2078" s="11"/>
      <c r="F2078" s="11" t="s">
        <v>18</v>
      </c>
      <c r="G2078" s="13"/>
      <c r="H2078" s="45" t="s">
        <v>16</v>
      </c>
      <c r="I2078" s="47"/>
      <c r="J2078" s="12" t="s">
        <v>3488</v>
      </c>
      <c r="K2078" s="13" t="s">
        <v>8848</v>
      </c>
      <c r="L2078" s="99" t="str">
        <f t="shared" si="140"/>
        <v>W127C.D</v>
      </c>
      <c r="M2078" s="45"/>
      <c r="N2078" s="47"/>
      <c r="O2078" s="47"/>
      <c r="P2078" s="47"/>
      <c r="Q2078" s="45"/>
      <c r="R2078" s="45"/>
      <c r="S2078" s="48"/>
    </row>
    <row r="2079" spans="1:19" s="49" customFormat="1" ht="14.15" customHeight="1">
      <c r="A2079" s="45"/>
      <c r="B2079" s="44" t="s">
        <v>6637</v>
      </c>
      <c r="C2079" s="50"/>
      <c r="D2079" s="10" t="s">
        <v>29</v>
      </c>
      <c r="E2079" s="11"/>
      <c r="F2079" s="11" t="s">
        <v>18</v>
      </c>
      <c r="G2079" s="13"/>
      <c r="H2079" s="45" t="s">
        <v>16</v>
      </c>
      <c r="I2079" s="47"/>
      <c r="J2079" s="12" t="s">
        <v>3489</v>
      </c>
      <c r="K2079" s="13" t="s">
        <v>8849</v>
      </c>
      <c r="L2079" s="99" t="str">
        <f t="shared" si="140"/>
        <v>W127C.E</v>
      </c>
      <c r="M2079" s="45"/>
      <c r="N2079" s="47"/>
      <c r="O2079" s="47"/>
      <c r="P2079" s="47"/>
      <c r="Q2079" s="45"/>
      <c r="R2079" s="45"/>
      <c r="S2079" s="48"/>
    </row>
    <row r="2080" spans="1:19" s="49" customFormat="1" ht="14.15" customHeight="1">
      <c r="A2080" s="45"/>
      <c r="B2080" s="44" t="s">
        <v>6637</v>
      </c>
      <c r="C2080" s="50"/>
      <c r="D2080" s="10" t="s">
        <v>29</v>
      </c>
      <c r="E2080" s="11"/>
      <c r="F2080" s="11" t="s">
        <v>18</v>
      </c>
      <c r="G2080" s="13"/>
      <c r="H2080" s="45" t="s">
        <v>16</v>
      </c>
      <c r="I2080" s="47"/>
      <c r="J2080" s="12" t="s">
        <v>3490</v>
      </c>
      <c r="K2080" s="13" t="s">
        <v>8850</v>
      </c>
      <c r="L2080" s="99" t="str">
        <f t="shared" si="140"/>
        <v>W127C.F</v>
      </c>
      <c r="M2080" s="45"/>
      <c r="N2080" s="47"/>
      <c r="O2080" s="47"/>
      <c r="P2080" s="47"/>
      <c r="Q2080" s="45"/>
      <c r="R2080" s="45"/>
      <c r="S2080" s="48"/>
    </row>
    <row r="2081" spans="1:19" s="49" customFormat="1" ht="14.15" customHeight="1">
      <c r="A2081" s="43" t="s">
        <v>3732</v>
      </c>
      <c r="B2081" s="44" t="s">
        <v>6637</v>
      </c>
      <c r="C2081" s="50"/>
      <c r="D2081" s="10" t="s">
        <v>29</v>
      </c>
      <c r="E2081" s="11"/>
      <c r="F2081" s="11" t="s">
        <v>18</v>
      </c>
      <c r="G2081" s="13"/>
      <c r="H2081" s="45" t="s">
        <v>16</v>
      </c>
      <c r="I2081" s="47"/>
      <c r="J2081" s="12" t="s">
        <v>3632</v>
      </c>
      <c r="K2081" s="13" t="s">
        <v>8912</v>
      </c>
      <c r="L2081" s="99" t="str">
        <f t="shared" si="140"/>
        <v>W127D.0</v>
      </c>
      <c r="M2081" s="45" t="s">
        <v>3668</v>
      </c>
      <c r="N2081" s="47"/>
      <c r="O2081" s="47"/>
      <c r="P2081" s="47"/>
      <c r="Q2081" s="45"/>
      <c r="R2081" s="45"/>
      <c r="S2081" s="48"/>
    </row>
    <row r="2082" spans="1:19" s="49" customFormat="1" ht="14.15" customHeight="1">
      <c r="A2082" s="43" t="s">
        <v>3732</v>
      </c>
      <c r="B2082" s="44" t="s">
        <v>6637</v>
      </c>
      <c r="C2082" s="50"/>
      <c r="D2082" s="10" t="s">
        <v>29</v>
      </c>
      <c r="E2082" s="11"/>
      <c r="F2082" s="11" t="s">
        <v>18</v>
      </c>
      <c r="G2082" s="13"/>
      <c r="H2082" s="45" t="s">
        <v>16</v>
      </c>
      <c r="I2082" s="47"/>
      <c r="J2082" s="12" t="s">
        <v>3633</v>
      </c>
      <c r="K2082" s="13" t="s">
        <v>8913</v>
      </c>
      <c r="L2082" s="99" t="str">
        <f t="shared" si="140"/>
        <v>W127D.1</v>
      </c>
      <c r="M2082" s="45" t="s">
        <v>3668</v>
      </c>
      <c r="N2082" s="47"/>
      <c r="O2082" s="47"/>
      <c r="P2082" s="47"/>
      <c r="Q2082" s="45"/>
      <c r="R2082" s="45"/>
      <c r="S2082" s="48"/>
    </row>
    <row r="2083" spans="1:19" s="49" customFormat="1" ht="14.15" customHeight="1">
      <c r="A2083" s="43" t="s">
        <v>3732</v>
      </c>
      <c r="B2083" s="44" t="s">
        <v>6637</v>
      </c>
      <c r="C2083" s="50"/>
      <c r="D2083" s="10" t="s">
        <v>29</v>
      </c>
      <c r="E2083" s="11"/>
      <c r="F2083" s="11" t="s">
        <v>18</v>
      </c>
      <c r="G2083" s="13"/>
      <c r="H2083" s="45" t="s">
        <v>16</v>
      </c>
      <c r="I2083" s="47"/>
      <c r="J2083" s="12" t="s">
        <v>3634</v>
      </c>
      <c r="K2083" s="13" t="s">
        <v>8914</v>
      </c>
      <c r="L2083" s="99" t="str">
        <f t="shared" si="140"/>
        <v>W127D.2</v>
      </c>
      <c r="M2083" s="45" t="s">
        <v>3668</v>
      </c>
      <c r="N2083" s="47"/>
      <c r="O2083" s="47"/>
      <c r="P2083" s="47"/>
      <c r="Q2083" s="45"/>
      <c r="R2083" s="45"/>
      <c r="S2083" s="48"/>
    </row>
    <row r="2084" spans="1:19" s="49" customFormat="1" ht="14.15" customHeight="1">
      <c r="A2084" s="43" t="s">
        <v>3732</v>
      </c>
      <c r="B2084" s="44" t="s">
        <v>6637</v>
      </c>
      <c r="C2084" s="50"/>
      <c r="D2084" s="10" t="s">
        <v>29</v>
      </c>
      <c r="E2084" s="11"/>
      <c r="F2084" s="11" t="s">
        <v>18</v>
      </c>
      <c r="G2084" s="13"/>
      <c r="H2084" s="45" t="s">
        <v>16</v>
      </c>
      <c r="I2084" s="47"/>
      <c r="J2084" s="12" t="s">
        <v>3635</v>
      </c>
      <c r="K2084" s="13" t="s">
        <v>8915</v>
      </c>
      <c r="L2084" s="99" t="str">
        <f t="shared" si="140"/>
        <v>W127D.3</v>
      </c>
      <c r="M2084" s="45" t="s">
        <v>3668</v>
      </c>
      <c r="N2084" s="47"/>
      <c r="O2084" s="47"/>
      <c r="P2084" s="47"/>
      <c r="Q2084" s="45"/>
      <c r="R2084" s="45"/>
      <c r="S2084" s="48"/>
    </row>
    <row r="2085" spans="1:19" ht="14">
      <c r="G2085" s="61"/>
      <c r="J2085" s="42"/>
      <c r="K2085" s="42"/>
    </row>
    <row r="2086" spans="1:19" ht="14">
      <c r="J2086" s="42"/>
      <c r="K2086" s="42"/>
    </row>
    <row r="2087" spans="1:19" ht="14">
      <c r="J2087" s="42"/>
      <c r="K2087" s="42"/>
    </row>
    <row r="2088" spans="1:19" ht="14">
      <c r="J2088" s="42"/>
      <c r="K2088" s="42"/>
    </row>
    <row r="2089" spans="1:19" ht="14">
      <c r="J2089" s="42"/>
      <c r="K2089" s="42"/>
    </row>
    <row r="2090" spans="1:19" ht="14">
      <c r="J2090" s="42"/>
      <c r="K2090" s="42"/>
    </row>
    <row r="2091" spans="1:19" ht="14">
      <c r="J2091" s="42"/>
      <c r="K2091" s="42"/>
    </row>
    <row r="2092" spans="1:19" ht="14">
      <c r="J2092" s="42"/>
      <c r="K2092" s="42"/>
    </row>
    <row r="2093" spans="1:19" ht="14">
      <c r="J2093" s="42"/>
      <c r="K2093" s="42"/>
    </row>
    <row r="2094" spans="1:19" ht="14">
      <c r="J2094" s="42"/>
      <c r="K2094" s="42"/>
    </row>
    <row r="2095" spans="1:19" ht="14">
      <c r="J2095" s="42"/>
      <c r="K2095" s="42"/>
    </row>
    <row r="2096" spans="1:19" ht="14">
      <c r="J2096" s="42"/>
      <c r="K2096" s="42"/>
    </row>
    <row r="2097" spans="10:11" ht="14">
      <c r="J2097" s="42"/>
      <c r="K2097" s="42"/>
    </row>
    <row r="2098" spans="10:11" ht="14">
      <c r="J2098" s="42"/>
      <c r="K2098" s="42"/>
    </row>
    <row r="2099" spans="10:11" ht="14">
      <c r="J2099" s="42"/>
      <c r="K2099" s="42"/>
    </row>
    <row r="2100" spans="10:11" ht="14">
      <c r="J2100" s="42"/>
      <c r="K2100" s="42"/>
    </row>
    <row r="2101" spans="10:11" ht="14">
      <c r="J2101" s="42"/>
      <c r="K2101" s="42"/>
    </row>
    <row r="2102" spans="10:11" ht="14">
      <c r="J2102" s="42"/>
      <c r="K2102" s="42"/>
    </row>
    <row r="2103" spans="10:11" ht="14">
      <c r="J2103" s="42"/>
      <c r="K2103" s="42"/>
    </row>
    <row r="2104" spans="10:11" ht="14">
      <c r="J2104" s="42"/>
      <c r="K2104" s="42"/>
    </row>
    <row r="2105" spans="10:11" ht="14">
      <c r="J2105" s="42"/>
      <c r="K2105" s="42"/>
    </row>
    <row r="2106" spans="10:11" ht="14">
      <c r="J2106" s="42"/>
      <c r="K2106" s="42"/>
    </row>
    <row r="2107" spans="10:11" ht="14">
      <c r="J2107" s="42"/>
      <c r="K2107" s="42"/>
    </row>
    <row r="2108" spans="10:11" ht="14">
      <c r="J2108" s="42"/>
      <c r="K2108" s="42"/>
    </row>
    <row r="2109" spans="10:11" ht="14">
      <c r="J2109" s="42"/>
      <c r="K2109" s="42"/>
    </row>
    <row r="2110" spans="10:11" ht="14">
      <c r="J2110" s="42"/>
      <c r="K2110" s="42"/>
    </row>
    <row r="2111" spans="10:11" ht="14">
      <c r="J2111" s="42"/>
      <c r="K2111" s="42"/>
    </row>
    <row r="2112" spans="10:11" ht="14">
      <c r="J2112" s="42"/>
      <c r="K2112" s="42"/>
    </row>
    <row r="2113" spans="10:11" ht="14">
      <c r="J2113" s="42"/>
      <c r="K2113" s="42"/>
    </row>
    <row r="2114" spans="10:11" ht="14">
      <c r="J2114" s="42"/>
      <c r="K2114" s="42"/>
    </row>
    <row r="2115" spans="10:11" ht="14">
      <c r="J2115" s="42"/>
      <c r="K2115" s="42"/>
    </row>
  </sheetData>
  <autoFilter ref="A3:V1442" xr:uid="{00000000-0009-0000-0000-000003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2:V2085"/>
  <sheetViews>
    <sheetView zoomScale="83" zoomScaleNormal="83" workbookViewId="0">
      <pane ySplit="3" topLeftCell="A8" activePane="bottomLeft" state="frozen"/>
      <selection pane="bottomLeft" activeCell="J4" sqref="J4"/>
    </sheetView>
  </sheetViews>
  <sheetFormatPr defaultColWidth="9" defaultRowHeight="13"/>
  <cols>
    <col min="1" max="1" width="31.58203125" style="15" bestFit="1" customWidth="1"/>
    <col min="2" max="2" width="7.5" style="15" customWidth="1"/>
    <col min="3" max="3" width="20.83203125" style="15" customWidth="1"/>
    <col min="4" max="4" width="6.58203125" style="15" customWidth="1"/>
    <col min="5" max="5" width="13.83203125" style="15" hidden="1" customWidth="1"/>
    <col min="6" max="6" width="5.83203125" style="15" customWidth="1"/>
    <col min="7" max="7" width="8.5" style="15" customWidth="1"/>
    <col min="8" max="8" width="12.08203125" style="15" customWidth="1"/>
    <col min="9" max="9" width="90.83203125" style="5" hidden="1" customWidth="1"/>
    <col min="10" max="10" width="99.08203125" style="16" customWidth="1"/>
    <col min="11" max="11" width="13.33203125" style="16" customWidth="1"/>
    <col min="12" max="12" width="12.58203125" style="5" bestFit="1" customWidth="1"/>
    <col min="13" max="13" width="25.25" style="15" bestFit="1" customWidth="1"/>
    <col min="14" max="14" width="9.33203125" style="5" bestFit="1" customWidth="1"/>
    <col min="15" max="15" width="26.33203125" style="5" customWidth="1"/>
    <col min="16" max="16" width="8.58203125" style="5" customWidth="1"/>
    <col min="17" max="18" width="8.25" style="15" customWidth="1"/>
    <col min="19" max="19" width="4.58203125" style="15" hidden="1" customWidth="1"/>
    <col min="20" max="20" width="0" style="5" hidden="1" customWidth="1"/>
    <col min="21" max="21" width="26" style="5" hidden="1" customWidth="1"/>
    <col min="22" max="22" width="29.58203125" style="5" hidden="1" customWidth="1"/>
    <col min="23" max="16384" width="9" style="5"/>
  </cols>
  <sheetData>
    <row r="2" spans="1:21" ht="78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1" t="s">
        <v>3</v>
      </c>
      <c r="G2" s="2" t="s">
        <v>2</v>
      </c>
      <c r="H2" s="1" t="s">
        <v>3</v>
      </c>
      <c r="I2" s="3" t="s">
        <v>0</v>
      </c>
      <c r="J2" s="3" t="s">
        <v>0</v>
      </c>
      <c r="K2" s="1" t="s">
        <v>0</v>
      </c>
      <c r="L2" s="1" t="s">
        <v>0</v>
      </c>
      <c r="M2" s="1" t="s">
        <v>0</v>
      </c>
      <c r="N2" s="1"/>
      <c r="O2" s="1"/>
      <c r="P2" s="4"/>
      <c r="Q2" s="35"/>
      <c r="R2" s="35"/>
      <c r="S2" s="36"/>
    </row>
    <row r="3" spans="1:21" ht="26">
      <c r="A3" s="6" t="s">
        <v>5</v>
      </c>
      <c r="B3" s="6" t="s">
        <v>6</v>
      </c>
      <c r="C3" s="6" t="s">
        <v>7</v>
      </c>
      <c r="D3" s="7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6" t="s">
        <v>13</v>
      </c>
      <c r="J3" s="8" t="s">
        <v>14</v>
      </c>
      <c r="K3" s="38" t="s">
        <v>6804</v>
      </c>
      <c r="L3" s="38" t="s">
        <v>6805</v>
      </c>
      <c r="M3" s="9" t="s">
        <v>156</v>
      </c>
      <c r="N3" s="9" t="s">
        <v>21</v>
      </c>
      <c r="O3" s="9" t="s">
        <v>152</v>
      </c>
      <c r="P3" s="9" t="s">
        <v>15</v>
      </c>
      <c r="Q3" s="9" t="s">
        <v>140</v>
      </c>
      <c r="R3" s="9" t="s">
        <v>141</v>
      </c>
      <c r="S3" s="37"/>
    </row>
    <row r="4" spans="1:21" s="49" customFormat="1" ht="14.15" customHeight="1">
      <c r="A4" s="43" t="s">
        <v>5597</v>
      </c>
      <c r="B4" s="44" t="s">
        <v>6636</v>
      </c>
      <c r="C4" s="32"/>
      <c r="D4" s="10" t="s">
        <v>29</v>
      </c>
      <c r="E4" s="11" t="s">
        <v>18</v>
      </c>
      <c r="F4" s="11" t="s">
        <v>18</v>
      </c>
      <c r="G4" s="13"/>
      <c r="H4" s="45" t="s">
        <v>16</v>
      </c>
      <c r="I4" s="46"/>
      <c r="J4" s="62" t="s">
        <v>3681</v>
      </c>
      <c r="K4" s="13" t="s">
        <v>8853</v>
      </c>
      <c r="L4" s="99" t="str">
        <f>"W"&amp;DEC2HEX(10240 + INT((ROW()-4)/16)) &amp; "." &amp; IF(MOD(ROW()-4,16)&lt;10,MOD(ROW()-4,16),CHAR(MOD(ROW()-4,16)+55))</f>
        <v>W2800.0</v>
      </c>
      <c r="M4" s="13" t="s">
        <v>108</v>
      </c>
      <c r="N4" s="13" t="s">
        <v>150</v>
      </c>
      <c r="O4" s="33" t="s">
        <v>115</v>
      </c>
      <c r="P4" s="64"/>
      <c r="Q4" s="65" t="s">
        <v>142</v>
      </c>
      <c r="R4" s="65" t="s">
        <v>5596</v>
      </c>
      <c r="S4" s="48"/>
      <c r="U4" s="12"/>
    </row>
    <row r="5" spans="1:21" s="49" customFormat="1" ht="14.15" customHeight="1">
      <c r="A5" s="43" t="s">
        <v>5597</v>
      </c>
      <c r="B5" s="44" t="s">
        <v>6636</v>
      </c>
      <c r="C5" s="32"/>
      <c r="D5" s="10" t="s">
        <v>29</v>
      </c>
      <c r="E5" s="11"/>
      <c r="F5" s="11" t="s">
        <v>18</v>
      </c>
      <c r="G5" s="13"/>
      <c r="H5" s="45" t="s">
        <v>16</v>
      </c>
      <c r="I5" s="46"/>
      <c r="J5" s="62" t="s">
        <v>3682</v>
      </c>
      <c r="K5" s="13" t="s">
        <v>8854</v>
      </c>
      <c r="L5" s="99" t="str">
        <f t="shared" ref="L5:L49" si="0">"W"&amp;DEC2HEX(10240 + INT((ROW()-4)/16)) &amp; "." &amp; IF(MOD(ROW()-4,16)&lt;10,MOD(ROW()-4,16),CHAR(MOD(ROW()-4,16)+55))</f>
        <v>W2800.1</v>
      </c>
      <c r="M5" s="13" t="s">
        <v>108</v>
      </c>
      <c r="N5" s="13" t="s">
        <v>149</v>
      </c>
      <c r="O5" s="33" t="s">
        <v>121</v>
      </c>
      <c r="P5" s="64"/>
      <c r="Q5" s="65" t="s">
        <v>142</v>
      </c>
      <c r="R5" s="65" t="s">
        <v>5596</v>
      </c>
      <c r="S5" s="48"/>
      <c r="U5" s="12"/>
    </row>
    <row r="6" spans="1:21" s="49" customFormat="1" ht="14.15" customHeight="1">
      <c r="A6" s="43" t="s">
        <v>5597</v>
      </c>
      <c r="B6" s="44" t="s">
        <v>6636</v>
      </c>
      <c r="C6" s="32"/>
      <c r="D6" s="10" t="s">
        <v>29</v>
      </c>
      <c r="E6" s="11"/>
      <c r="F6" s="11" t="s">
        <v>18</v>
      </c>
      <c r="G6" s="13"/>
      <c r="H6" s="45" t="s">
        <v>16</v>
      </c>
      <c r="I6" s="46"/>
      <c r="J6" s="62" t="s">
        <v>3683</v>
      </c>
      <c r="K6" s="13" t="s">
        <v>8855</v>
      </c>
      <c r="L6" s="99" t="str">
        <f t="shared" si="0"/>
        <v>W2800.2</v>
      </c>
      <c r="M6" s="13" t="s">
        <v>108</v>
      </c>
      <c r="N6" s="13" t="s">
        <v>119</v>
      </c>
      <c r="O6" s="33" t="s">
        <v>116</v>
      </c>
      <c r="P6" s="64"/>
      <c r="Q6" s="65" t="s">
        <v>142</v>
      </c>
      <c r="R6" s="65" t="s">
        <v>5596</v>
      </c>
      <c r="S6" s="48"/>
      <c r="U6" s="12"/>
    </row>
    <row r="7" spans="1:21" s="49" customFormat="1" ht="14.15" customHeight="1">
      <c r="A7" s="43" t="s">
        <v>5597</v>
      </c>
      <c r="B7" s="44" t="s">
        <v>6636</v>
      </c>
      <c r="C7" s="32"/>
      <c r="D7" s="10" t="s">
        <v>29</v>
      </c>
      <c r="E7" s="11"/>
      <c r="F7" s="11" t="s">
        <v>18</v>
      </c>
      <c r="G7" s="13"/>
      <c r="H7" s="45" t="s">
        <v>16</v>
      </c>
      <c r="I7" s="46"/>
      <c r="J7" s="66" t="s">
        <v>3684</v>
      </c>
      <c r="K7" s="13" t="s">
        <v>8856</v>
      </c>
      <c r="L7" s="99" t="str">
        <f t="shared" si="0"/>
        <v>W2800.3</v>
      </c>
      <c r="M7" s="13" t="s">
        <v>108</v>
      </c>
      <c r="N7" s="13" t="s">
        <v>148</v>
      </c>
      <c r="O7" s="33" t="s">
        <v>122</v>
      </c>
      <c r="P7" s="64"/>
      <c r="Q7" s="65" t="s">
        <v>142</v>
      </c>
      <c r="R7" s="65" t="s">
        <v>5596</v>
      </c>
      <c r="S7" s="48"/>
      <c r="U7" s="12"/>
    </row>
    <row r="8" spans="1:21" s="49" customFormat="1" ht="14.15" customHeight="1">
      <c r="A8" s="43" t="s">
        <v>5598</v>
      </c>
      <c r="B8" s="44" t="s">
        <v>6636</v>
      </c>
      <c r="C8" s="32"/>
      <c r="D8" s="10" t="s">
        <v>29</v>
      </c>
      <c r="E8" s="11"/>
      <c r="F8" s="11" t="s">
        <v>18</v>
      </c>
      <c r="G8" s="13"/>
      <c r="H8" s="45" t="s">
        <v>16</v>
      </c>
      <c r="I8" s="46"/>
      <c r="J8" s="62" t="s">
        <v>3685</v>
      </c>
      <c r="K8" s="13" t="s">
        <v>8857</v>
      </c>
      <c r="L8" s="99" t="str">
        <f t="shared" si="0"/>
        <v>W2800.4</v>
      </c>
      <c r="M8" s="13" t="s">
        <v>108</v>
      </c>
      <c r="N8" s="13" t="s">
        <v>150</v>
      </c>
      <c r="O8" s="33" t="s">
        <v>115</v>
      </c>
      <c r="P8" s="64"/>
      <c r="Q8" s="65" t="s">
        <v>142</v>
      </c>
      <c r="R8" s="65" t="s">
        <v>5596</v>
      </c>
      <c r="S8" s="48"/>
      <c r="U8" s="12"/>
    </row>
    <row r="9" spans="1:21" s="49" customFormat="1" ht="14.15" customHeight="1">
      <c r="A9" s="43" t="s">
        <v>5598</v>
      </c>
      <c r="B9" s="44" t="s">
        <v>6636</v>
      </c>
      <c r="C9" s="32"/>
      <c r="D9" s="10" t="s">
        <v>29</v>
      </c>
      <c r="E9" s="11"/>
      <c r="F9" s="11" t="s">
        <v>18</v>
      </c>
      <c r="G9" s="13"/>
      <c r="H9" s="45" t="s">
        <v>16</v>
      </c>
      <c r="I9" s="46"/>
      <c r="J9" s="62" t="s">
        <v>3686</v>
      </c>
      <c r="K9" s="13" t="s">
        <v>8858</v>
      </c>
      <c r="L9" s="99" t="str">
        <f t="shared" si="0"/>
        <v>W2800.5</v>
      </c>
      <c r="M9" s="13" t="s">
        <v>108</v>
      </c>
      <c r="N9" s="13" t="s">
        <v>149</v>
      </c>
      <c r="O9" s="33" t="s">
        <v>121</v>
      </c>
      <c r="P9" s="64"/>
      <c r="Q9" s="65" t="s">
        <v>142</v>
      </c>
      <c r="R9" s="65" t="s">
        <v>5596</v>
      </c>
      <c r="S9" s="48"/>
      <c r="U9" s="12"/>
    </row>
    <row r="10" spans="1:21" s="49" customFormat="1" ht="14.15" customHeight="1">
      <c r="A10" s="43" t="s">
        <v>5598</v>
      </c>
      <c r="B10" s="44" t="s">
        <v>6636</v>
      </c>
      <c r="C10" s="32"/>
      <c r="D10" s="10" t="s">
        <v>29</v>
      </c>
      <c r="E10" s="11"/>
      <c r="F10" s="11" t="s">
        <v>18</v>
      </c>
      <c r="G10" s="13"/>
      <c r="H10" s="45" t="s">
        <v>16</v>
      </c>
      <c r="I10" s="46"/>
      <c r="J10" s="62" t="s">
        <v>3687</v>
      </c>
      <c r="K10" s="13" t="s">
        <v>8859</v>
      </c>
      <c r="L10" s="99" t="str">
        <f t="shared" si="0"/>
        <v>W2800.6</v>
      </c>
      <c r="M10" s="13" t="s">
        <v>108</v>
      </c>
      <c r="N10" s="13" t="s">
        <v>119</v>
      </c>
      <c r="O10" s="33" t="s">
        <v>116</v>
      </c>
      <c r="P10" s="64"/>
      <c r="Q10" s="65" t="s">
        <v>142</v>
      </c>
      <c r="R10" s="65" t="s">
        <v>5596</v>
      </c>
      <c r="S10" s="48"/>
      <c r="U10" s="12"/>
    </row>
    <row r="11" spans="1:21" s="49" customFormat="1" ht="14.15" customHeight="1">
      <c r="A11" s="43" t="s">
        <v>5598</v>
      </c>
      <c r="B11" s="44" t="s">
        <v>6636</v>
      </c>
      <c r="C11" s="32"/>
      <c r="D11" s="10" t="s">
        <v>29</v>
      </c>
      <c r="E11" s="11"/>
      <c r="F11" s="11" t="s">
        <v>18</v>
      </c>
      <c r="G11" s="13"/>
      <c r="H11" s="45" t="s">
        <v>16</v>
      </c>
      <c r="I11" s="46"/>
      <c r="J11" s="66" t="s">
        <v>3688</v>
      </c>
      <c r="K11" s="13" t="s">
        <v>8860</v>
      </c>
      <c r="L11" s="99" t="str">
        <f t="shared" si="0"/>
        <v>W2800.7</v>
      </c>
      <c r="M11" s="13" t="s">
        <v>108</v>
      </c>
      <c r="N11" s="13" t="s">
        <v>148</v>
      </c>
      <c r="O11" s="33" t="s">
        <v>122</v>
      </c>
      <c r="P11" s="64"/>
      <c r="Q11" s="65" t="s">
        <v>142</v>
      </c>
      <c r="R11" s="65" t="s">
        <v>5596</v>
      </c>
      <c r="S11" s="48"/>
      <c r="U11" s="12"/>
    </row>
    <row r="12" spans="1:21" s="49" customFormat="1" ht="14.15" customHeight="1">
      <c r="A12" s="43" t="s">
        <v>5599</v>
      </c>
      <c r="B12" s="44" t="s">
        <v>6636</v>
      </c>
      <c r="C12" s="32"/>
      <c r="D12" s="10" t="s">
        <v>29</v>
      </c>
      <c r="E12" s="11"/>
      <c r="F12" s="11" t="s">
        <v>18</v>
      </c>
      <c r="G12" s="13"/>
      <c r="H12" s="45" t="s">
        <v>16</v>
      </c>
      <c r="I12" s="46"/>
      <c r="J12" s="62" t="s">
        <v>3689</v>
      </c>
      <c r="K12" s="13" t="s">
        <v>8861</v>
      </c>
      <c r="L12" s="99" t="str">
        <f t="shared" si="0"/>
        <v>W2800.8</v>
      </c>
      <c r="M12" s="13" t="s">
        <v>108</v>
      </c>
      <c r="N12" s="13" t="s">
        <v>150</v>
      </c>
      <c r="O12" s="33" t="s">
        <v>115</v>
      </c>
      <c r="P12" s="64"/>
      <c r="Q12" s="65" t="s">
        <v>142</v>
      </c>
      <c r="R12" s="65" t="s">
        <v>5596</v>
      </c>
      <c r="S12" s="48"/>
      <c r="U12" s="12"/>
    </row>
    <row r="13" spans="1:21" s="49" customFormat="1" ht="14.15" customHeight="1">
      <c r="A13" s="43" t="s">
        <v>5599</v>
      </c>
      <c r="B13" s="44" t="s">
        <v>6636</v>
      </c>
      <c r="C13" s="32"/>
      <c r="D13" s="10" t="s">
        <v>29</v>
      </c>
      <c r="E13" s="11"/>
      <c r="F13" s="11" t="s">
        <v>18</v>
      </c>
      <c r="G13" s="13"/>
      <c r="H13" s="45" t="s">
        <v>16</v>
      </c>
      <c r="I13" s="46"/>
      <c r="J13" s="62" t="s">
        <v>3690</v>
      </c>
      <c r="K13" s="13" t="s">
        <v>8862</v>
      </c>
      <c r="L13" s="99" t="str">
        <f t="shared" si="0"/>
        <v>W2800.9</v>
      </c>
      <c r="M13" s="13" t="s">
        <v>108</v>
      </c>
      <c r="N13" s="13" t="s">
        <v>149</v>
      </c>
      <c r="O13" s="33" t="s">
        <v>121</v>
      </c>
      <c r="P13" s="64"/>
      <c r="Q13" s="65" t="s">
        <v>142</v>
      </c>
      <c r="R13" s="65" t="s">
        <v>5596</v>
      </c>
      <c r="S13" s="48"/>
      <c r="U13" s="12"/>
    </row>
    <row r="14" spans="1:21" s="49" customFormat="1" ht="14.15" customHeight="1">
      <c r="A14" s="43" t="s">
        <v>5599</v>
      </c>
      <c r="B14" s="44" t="s">
        <v>6636</v>
      </c>
      <c r="C14" s="32"/>
      <c r="D14" s="10" t="s">
        <v>29</v>
      </c>
      <c r="E14" s="11"/>
      <c r="F14" s="11" t="s">
        <v>18</v>
      </c>
      <c r="G14" s="13"/>
      <c r="H14" s="45" t="s">
        <v>16</v>
      </c>
      <c r="I14" s="46"/>
      <c r="J14" s="62" t="s">
        <v>3691</v>
      </c>
      <c r="K14" s="13" t="s">
        <v>8863</v>
      </c>
      <c r="L14" s="99" t="str">
        <f t="shared" si="0"/>
        <v>W2800.A</v>
      </c>
      <c r="M14" s="13" t="s">
        <v>108</v>
      </c>
      <c r="N14" s="13" t="s">
        <v>119</v>
      </c>
      <c r="O14" s="33" t="s">
        <v>116</v>
      </c>
      <c r="P14" s="64"/>
      <c r="Q14" s="65" t="s">
        <v>142</v>
      </c>
      <c r="R14" s="65" t="s">
        <v>5596</v>
      </c>
      <c r="S14" s="48"/>
      <c r="U14" s="12"/>
    </row>
    <row r="15" spans="1:21" s="49" customFormat="1" ht="14.15" customHeight="1">
      <c r="A15" s="43" t="s">
        <v>5599</v>
      </c>
      <c r="B15" s="44" t="s">
        <v>6636</v>
      </c>
      <c r="C15" s="32"/>
      <c r="D15" s="10" t="s">
        <v>29</v>
      </c>
      <c r="E15" s="11"/>
      <c r="F15" s="11" t="s">
        <v>18</v>
      </c>
      <c r="G15" s="13"/>
      <c r="H15" s="45" t="s">
        <v>16</v>
      </c>
      <c r="I15" s="46"/>
      <c r="J15" s="66" t="s">
        <v>3692</v>
      </c>
      <c r="K15" s="13" t="s">
        <v>8864</v>
      </c>
      <c r="L15" s="99" t="str">
        <f t="shared" si="0"/>
        <v>W2800.B</v>
      </c>
      <c r="M15" s="13" t="s">
        <v>108</v>
      </c>
      <c r="N15" s="13" t="s">
        <v>148</v>
      </c>
      <c r="O15" s="33" t="s">
        <v>122</v>
      </c>
      <c r="P15" s="64"/>
      <c r="Q15" s="65" t="s">
        <v>142</v>
      </c>
      <c r="R15" s="65" t="s">
        <v>5596</v>
      </c>
      <c r="S15" s="48"/>
      <c r="U15" s="12"/>
    </row>
    <row r="16" spans="1:21" s="49" customFormat="1" ht="14.15" customHeight="1">
      <c r="A16" s="43" t="s">
        <v>5600</v>
      </c>
      <c r="B16" s="44" t="s">
        <v>6636</v>
      </c>
      <c r="C16" s="32"/>
      <c r="D16" s="10" t="s">
        <v>29</v>
      </c>
      <c r="E16" s="11"/>
      <c r="F16" s="11" t="s">
        <v>18</v>
      </c>
      <c r="G16" s="13"/>
      <c r="H16" s="45" t="s">
        <v>16</v>
      </c>
      <c r="I16" s="46"/>
      <c r="J16" s="62" t="s">
        <v>3693</v>
      </c>
      <c r="K16" s="13" t="s">
        <v>8865</v>
      </c>
      <c r="L16" s="99" t="str">
        <f t="shared" si="0"/>
        <v>W2800.C</v>
      </c>
      <c r="M16" s="13" t="s">
        <v>108</v>
      </c>
      <c r="N16" s="13" t="s">
        <v>150</v>
      </c>
      <c r="O16" s="33" t="s">
        <v>115</v>
      </c>
      <c r="P16" s="64"/>
      <c r="Q16" s="65" t="s">
        <v>142</v>
      </c>
      <c r="R16" s="65" t="s">
        <v>5596</v>
      </c>
      <c r="S16" s="48"/>
      <c r="U16" s="12"/>
    </row>
    <row r="17" spans="1:21" s="49" customFormat="1" ht="14.15" customHeight="1">
      <c r="A17" s="43" t="s">
        <v>5600</v>
      </c>
      <c r="B17" s="44" t="s">
        <v>6636</v>
      </c>
      <c r="C17" s="32"/>
      <c r="D17" s="10" t="s">
        <v>29</v>
      </c>
      <c r="E17" s="11"/>
      <c r="F17" s="11" t="s">
        <v>18</v>
      </c>
      <c r="G17" s="13"/>
      <c r="H17" s="45" t="s">
        <v>16</v>
      </c>
      <c r="I17" s="46"/>
      <c r="J17" s="62" t="s">
        <v>3694</v>
      </c>
      <c r="K17" s="13" t="s">
        <v>8866</v>
      </c>
      <c r="L17" s="99" t="str">
        <f t="shared" si="0"/>
        <v>W2800.D</v>
      </c>
      <c r="M17" s="13" t="s">
        <v>108</v>
      </c>
      <c r="N17" s="13" t="s">
        <v>149</v>
      </c>
      <c r="O17" s="33" t="s">
        <v>121</v>
      </c>
      <c r="P17" s="64"/>
      <c r="Q17" s="65" t="s">
        <v>142</v>
      </c>
      <c r="R17" s="65" t="s">
        <v>5596</v>
      </c>
      <c r="S17" s="48"/>
      <c r="U17" s="12"/>
    </row>
    <row r="18" spans="1:21" s="49" customFormat="1" ht="14.15" customHeight="1">
      <c r="A18" s="43" t="s">
        <v>5600</v>
      </c>
      <c r="B18" s="44" t="s">
        <v>6636</v>
      </c>
      <c r="C18" s="32"/>
      <c r="D18" s="10" t="s">
        <v>29</v>
      </c>
      <c r="E18" s="11"/>
      <c r="F18" s="11" t="s">
        <v>18</v>
      </c>
      <c r="G18" s="13"/>
      <c r="H18" s="45" t="s">
        <v>16</v>
      </c>
      <c r="I18" s="46"/>
      <c r="J18" s="62" t="s">
        <v>3695</v>
      </c>
      <c r="K18" s="13" t="s">
        <v>8867</v>
      </c>
      <c r="L18" s="99" t="str">
        <f t="shared" si="0"/>
        <v>W2800.E</v>
      </c>
      <c r="M18" s="13" t="s">
        <v>108</v>
      </c>
      <c r="N18" s="13" t="s">
        <v>119</v>
      </c>
      <c r="O18" s="33" t="s">
        <v>116</v>
      </c>
      <c r="P18" s="64"/>
      <c r="Q18" s="65" t="s">
        <v>142</v>
      </c>
      <c r="R18" s="65" t="s">
        <v>5596</v>
      </c>
      <c r="S18" s="48"/>
      <c r="U18" s="12"/>
    </row>
    <row r="19" spans="1:21" s="49" customFormat="1" ht="14.15" customHeight="1">
      <c r="A19" s="43" t="s">
        <v>5600</v>
      </c>
      <c r="B19" s="44" t="s">
        <v>6636</v>
      </c>
      <c r="C19" s="32"/>
      <c r="D19" s="10" t="s">
        <v>29</v>
      </c>
      <c r="E19" s="11"/>
      <c r="F19" s="11" t="s">
        <v>18</v>
      </c>
      <c r="G19" s="13"/>
      <c r="H19" s="45" t="s">
        <v>16</v>
      </c>
      <c r="I19" s="46"/>
      <c r="J19" s="66" t="s">
        <v>3696</v>
      </c>
      <c r="K19" s="13" t="s">
        <v>8868</v>
      </c>
      <c r="L19" s="99" t="str">
        <f t="shared" si="0"/>
        <v>W2800.F</v>
      </c>
      <c r="M19" s="13" t="s">
        <v>108</v>
      </c>
      <c r="N19" s="13" t="s">
        <v>148</v>
      </c>
      <c r="O19" s="33" t="s">
        <v>122</v>
      </c>
      <c r="P19" s="64"/>
      <c r="Q19" s="65" t="s">
        <v>142</v>
      </c>
      <c r="R19" s="65" t="s">
        <v>5596</v>
      </c>
      <c r="S19" s="48"/>
      <c r="U19" s="12"/>
    </row>
    <row r="20" spans="1:21" s="49" customFormat="1" ht="14.15" customHeight="1">
      <c r="A20" s="43" t="s">
        <v>5601</v>
      </c>
      <c r="B20" s="44" t="s">
        <v>6636</v>
      </c>
      <c r="C20" s="32"/>
      <c r="D20" s="10" t="s">
        <v>29</v>
      </c>
      <c r="E20" s="11"/>
      <c r="F20" s="11" t="s">
        <v>18</v>
      </c>
      <c r="G20" s="13"/>
      <c r="H20" s="45" t="s">
        <v>16</v>
      </c>
      <c r="I20" s="46"/>
      <c r="J20" s="62" t="s">
        <v>3737</v>
      </c>
      <c r="K20" s="13" t="s">
        <v>8869</v>
      </c>
      <c r="L20" s="99" t="str">
        <f t="shared" si="0"/>
        <v>W2801.0</v>
      </c>
      <c r="M20" s="13" t="s">
        <v>3669</v>
      </c>
      <c r="N20" s="13" t="s">
        <v>3675</v>
      </c>
      <c r="O20" s="34" t="s">
        <v>117</v>
      </c>
      <c r="P20" s="47"/>
      <c r="Q20" s="45" t="s">
        <v>3672</v>
      </c>
      <c r="R20" s="65" t="s">
        <v>5596</v>
      </c>
      <c r="S20" s="48"/>
      <c r="U20" s="12"/>
    </row>
    <row r="21" spans="1:21" s="49" customFormat="1" ht="14.15" customHeight="1">
      <c r="A21" s="43" t="s">
        <v>5601</v>
      </c>
      <c r="B21" s="44" t="s">
        <v>6636</v>
      </c>
      <c r="C21" s="32"/>
      <c r="D21" s="10" t="s">
        <v>29</v>
      </c>
      <c r="E21" s="11"/>
      <c r="F21" s="11" t="s">
        <v>18</v>
      </c>
      <c r="G21" s="13"/>
      <c r="H21" s="45" t="s">
        <v>16</v>
      </c>
      <c r="I21" s="46"/>
      <c r="J21" s="62" t="s">
        <v>3738</v>
      </c>
      <c r="K21" s="13" t="s">
        <v>6807</v>
      </c>
      <c r="L21" s="99" t="str">
        <f t="shared" si="0"/>
        <v>W2801.1</v>
      </c>
      <c r="M21" s="13" t="s">
        <v>3669</v>
      </c>
      <c r="N21" s="13" t="s">
        <v>3675</v>
      </c>
      <c r="O21" s="34" t="s">
        <v>118</v>
      </c>
      <c r="P21" s="47"/>
      <c r="Q21" s="45" t="s">
        <v>3672</v>
      </c>
      <c r="R21" s="65" t="s">
        <v>5596</v>
      </c>
      <c r="S21" s="48"/>
      <c r="U21" s="12"/>
    </row>
    <row r="22" spans="1:21" s="49" customFormat="1" ht="14.15" customHeight="1">
      <c r="A22" s="43" t="s">
        <v>5601</v>
      </c>
      <c r="B22" s="44" t="s">
        <v>6636</v>
      </c>
      <c r="C22" s="32"/>
      <c r="D22" s="10" t="s">
        <v>29</v>
      </c>
      <c r="E22" s="11"/>
      <c r="F22" s="11" t="s">
        <v>18</v>
      </c>
      <c r="G22" s="13"/>
      <c r="H22" s="45" t="s">
        <v>16</v>
      </c>
      <c r="I22" s="46"/>
      <c r="J22" s="62" t="s">
        <v>3739</v>
      </c>
      <c r="K22" s="13" t="s">
        <v>6808</v>
      </c>
      <c r="L22" s="99" t="str">
        <f t="shared" si="0"/>
        <v>W2801.2</v>
      </c>
      <c r="M22" s="13" t="s">
        <v>3669</v>
      </c>
      <c r="N22" s="13" t="s">
        <v>3673</v>
      </c>
      <c r="O22" s="34" t="s">
        <v>110</v>
      </c>
      <c r="P22" s="47"/>
      <c r="Q22" s="45" t="s">
        <v>3672</v>
      </c>
      <c r="R22" s="65" t="s">
        <v>5596</v>
      </c>
      <c r="S22" s="48"/>
      <c r="U22" s="12"/>
    </row>
    <row r="23" spans="1:21" s="49" customFormat="1" ht="14.15" customHeight="1">
      <c r="A23" s="43" t="s">
        <v>5601</v>
      </c>
      <c r="B23" s="44" t="s">
        <v>6636</v>
      </c>
      <c r="C23" s="32"/>
      <c r="D23" s="10" t="s">
        <v>29</v>
      </c>
      <c r="E23" s="11"/>
      <c r="F23" s="11" t="s">
        <v>18</v>
      </c>
      <c r="G23" s="13"/>
      <c r="H23" s="45" t="s">
        <v>16</v>
      </c>
      <c r="I23" s="46"/>
      <c r="J23" s="62" t="s">
        <v>3740</v>
      </c>
      <c r="K23" s="13" t="s">
        <v>6809</v>
      </c>
      <c r="L23" s="99" t="str">
        <f t="shared" si="0"/>
        <v>W2801.3</v>
      </c>
      <c r="M23" s="13" t="s">
        <v>3669</v>
      </c>
      <c r="N23" s="13" t="s">
        <v>3674</v>
      </c>
      <c r="O23" s="34" t="s">
        <v>119</v>
      </c>
      <c r="P23" s="47"/>
      <c r="Q23" s="45" t="s">
        <v>3672</v>
      </c>
      <c r="R23" s="65" t="s">
        <v>5596</v>
      </c>
      <c r="S23" s="48"/>
      <c r="U23" s="12"/>
    </row>
    <row r="24" spans="1:21" s="49" customFormat="1" ht="14.15" customHeight="1">
      <c r="A24" s="43" t="s">
        <v>5601</v>
      </c>
      <c r="B24" s="44" t="s">
        <v>6636</v>
      </c>
      <c r="C24" s="32"/>
      <c r="D24" s="10" t="s">
        <v>29</v>
      </c>
      <c r="E24" s="11"/>
      <c r="F24" s="11" t="s">
        <v>18</v>
      </c>
      <c r="G24" s="13"/>
      <c r="H24" s="45" t="s">
        <v>16</v>
      </c>
      <c r="I24" s="46"/>
      <c r="J24" s="62" t="s">
        <v>3741</v>
      </c>
      <c r="K24" s="13" t="s">
        <v>6810</v>
      </c>
      <c r="L24" s="99" t="str">
        <f t="shared" si="0"/>
        <v>W2801.4</v>
      </c>
      <c r="M24" s="13" t="s">
        <v>3669</v>
      </c>
      <c r="N24" s="13" t="s">
        <v>3671</v>
      </c>
      <c r="O24" s="34" t="s">
        <v>120</v>
      </c>
      <c r="P24" s="47"/>
      <c r="Q24" s="45" t="s">
        <v>3672</v>
      </c>
      <c r="R24" s="65" t="s">
        <v>5596</v>
      </c>
      <c r="S24" s="48"/>
      <c r="U24" s="12"/>
    </row>
    <row r="25" spans="1:21" s="49" customFormat="1" ht="14.15" customHeight="1">
      <c r="A25" s="43" t="s">
        <v>5601</v>
      </c>
      <c r="B25" s="44" t="s">
        <v>6636</v>
      </c>
      <c r="C25" s="32"/>
      <c r="D25" s="10" t="s">
        <v>29</v>
      </c>
      <c r="E25" s="11"/>
      <c r="F25" s="11" t="s">
        <v>18</v>
      </c>
      <c r="G25" s="13"/>
      <c r="H25" s="45" t="s">
        <v>16</v>
      </c>
      <c r="I25" s="46"/>
      <c r="J25" s="62" t="s">
        <v>3742</v>
      </c>
      <c r="K25" s="13" t="s">
        <v>6811</v>
      </c>
      <c r="L25" s="99" t="str">
        <f t="shared" si="0"/>
        <v>W2801.5</v>
      </c>
      <c r="M25" s="13" t="s">
        <v>3669</v>
      </c>
      <c r="N25" s="13" t="s">
        <v>3671</v>
      </c>
      <c r="O25" s="34" t="s">
        <v>111</v>
      </c>
      <c r="P25" s="47"/>
      <c r="Q25" s="45" t="s">
        <v>3672</v>
      </c>
      <c r="R25" s="65" t="s">
        <v>5596</v>
      </c>
      <c r="S25" s="48"/>
      <c r="U25" s="12"/>
    </row>
    <row r="26" spans="1:21" s="49" customFormat="1" ht="14.15" customHeight="1">
      <c r="A26" s="43" t="s">
        <v>5601</v>
      </c>
      <c r="B26" s="44" t="s">
        <v>6636</v>
      </c>
      <c r="C26" s="32"/>
      <c r="D26" s="10" t="s">
        <v>29</v>
      </c>
      <c r="E26" s="11"/>
      <c r="F26" s="11" t="s">
        <v>18</v>
      </c>
      <c r="G26" s="13"/>
      <c r="H26" s="45" t="s">
        <v>16</v>
      </c>
      <c r="I26" s="46"/>
      <c r="J26" s="62" t="s">
        <v>3743</v>
      </c>
      <c r="K26" s="13" t="s">
        <v>6812</v>
      </c>
      <c r="L26" s="99" t="str">
        <f t="shared" si="0"/>
        <v>W2801.6</v>
      </c>
      <c r="M26" s="13" t="s">
        <v>3669</v>
      </c>
      <c r="N26" s="13" t="s">
        <v>3671</v>
      </c>
      <c r="O26" s="34" t="s">
        <v>112</v>
      </c>
      <c r="P26" s="47"/>
      <c r="Q26" s="45" t="s">
        <v>3672</v>
      </c>
      <c r="R26" s="65" t="s">
        <v>5596</v>
      </c>
      <c r="S26" s="48"/>
      <c r="U26" s="12"/>
    </row>
    <row r="27" spans="1:21" s="49" customFormat="1" ht="14.15" customHeight="1">
      <c r="A27" s="43" t="s">
        <v>5601</v>
      </c>
      <c r="B27" s="44" t="s">
        <v>6636</v>
      </c>
      <c r="C27" s="32"/>
      <c r="D27" s="10" t="s">
        <v>29</v>
      </c>
      <c r="E27" s="11"/>
      <c r="F27" s="11" t="s">
        <v>18</v>
      </c>
      <c r="G27" s="13"/>
      <c r="H27" s="45" t="s">
        <v>16</v>
      </c>
      <c r="I27" s="46"/>
      <c r="J27" s="62" t="s">
        <v>3744</v>
      </c>
      <c r="K27" s="13" t="s">
        <v>6813</v>
      </c>
      <c r="L27" s="99" t="str">
        <f t="shared" si="0"/>
        <v>W2801.7</v>
      </c>
      <c r="M27" s="13" t="s">
        <v>3669</v>
      </c>
      <c r="N27" s="13" t="s">
        <v>3675</v>
      </c>
      <c r="O27" s="34" t="s">
        <v>113</v>
      </c>
      <c r="P27" s="47"/>
      <c r="Q27" s="45" t="s">
        <v>3672</v>
      </c>
      <c r="R27" s="65" t="s">
        <v>5596</v>
      </c>
      <c r="S27" s="48"/>
      <c r="U27" s="12"/>
    </row>
    <row r="28" spans="1:21" s="49" customFormat="1" ht="14.15" customHeight="1">
      <c r="A28" s="43" t="s">
        <v>5601</v>
      </c>
      <c r="B28" s="44" t="s">
        <v>6636</v>
      </c>
      <c r="C28" s="32"/>
      <c r="D28" s="10" t="s">
        <v>29</v>
      </c>
      <c r="E28" s="11"/>
      <c r="F28" s="11" t="s">
        <v>18</v>
      </c>
      <c r="G28" s="13"/>
      <c r="H28" s="45" t="s">
        <v>16</v>
      </c>
      <c r="I28" s="46"/>
      <c r="J28" s="62" t="s">
        <v>3745</v>
      </c>
      <c r="K28" s="13" t="s">
        <v>8870</v>
      </c>
      <c r="L28" s="99" t="str">
        <f t="shared" si="0"/>
        <v>W2801.8</v>
      </c>
      <c r="M28" s="13" t="s">
        <v>3669</v>
      </c>
      <c r="N28" s="13" t="s">
        <v>3674</v>
      </c>
      <c r="O28" s="34" t="s">
        <v>114</v>
      </c>
      <c r="P28" s="47"/>
      <c r="Q28" s="45" t="s">
        <v>3672</v>
      </c>
      <c r="R28" s="65" t="s">
        <v>5596</v>
      </c>
      <c r="S28" s="48"/>
      <c r="U28" s="12"/>
    </row>
    <row r="29" spans="1:21" s="49" customFormat="1" ht="14.15" customHeight="1">
      <c r="A29" s="43" t="s">
        <v>5602</v>
      </c>
      <c r="B29" s="44" t="s">
        <v>6636</v>
      </c>
      <c r="C29" s="32"/>
      <c r="D29" s="10" t="s">
        <v>29</v>
      </c>
      <c r="E29" s="11"/>
      <c r="F29" s="11" t="s">
        <v>18</v>
      </c>
      <c r="G29" s="13"/>
      <c r="H29" s="45" t="s">
        <v>16</v>
      </c>
      <c r="I29" s="46"/>
      <c r="J29" s="62" t="s">
        <v>3727</v>
      </c>
      <c r="K29" s="13" t="s">
        <v>8871</v>
      </c>
      <c r="L29" s="99" t="str">
        <f t="shared" si="0"/>
        <v>W2801.9</v>
      </c>
      <c r="M29" s="13" t="s">
        <v>108</v>
      </c>
      <c r="N29" s="13" t="s">
        <v>150</v>
      </c>
      <c r="O29" s="33" t="s">
        <v>115</v>
      </c>
      <c r="P29" s="47"/>
      <c r="Q29" s="45" t="s">
        <v>3672</v>
      </c>
      <c r="R29" s="45" t="s">
        <v>5553</v>
      </c>
      <c r="S29" s="48"/>
      <c r="U29" s="12"/>
    </row>
    <row r="30" spans="1:21" s="49" customFormat="1" ht="14.15" customHeight="1">
      <c r="A30" s="43" t="s">
        <v>5602</v>
      </c>
      <c r="B30" s="44" t="s">
        <v>6636</v>
      </c>
      <c r="C30" s="32"/>
      <c r="D30" s="10" t="s">
        <v>29</v>
      </c>
      <c r="E30" s="11"/>
      <c r="F30" s="11" t="s">
        <v>18</v>
      </c>
      <c r="G30" s="13"/>
      <c r="H30" s="45" t="s">
        <v>16</v>
      </c>
      <c r="I30" s="46"/>
      <c r="J30" s="62" t="s">
        <v>3728</v>
      </c>
      <c r="K30" s="13" t="s">
        <v>8872</v>
      </c>
      <c r="L30" s="99" t="str">
        <f t="shared" si="0"/>
        <v>W2801.A</v>
      </c>
      <c r="M30" s="13" t="s">
        <v>108</v>
      </c>
      <c r="N30" s="13" t="s">
        <v>149</v>
      </c>
      <c r="O30" s="33" t="s">
        <v>121</v>
      </c>
      <c r="P30" s="47"/>
      <c r="Q30" s="45" t="s">
        <v>3672</v>
      </c>
      <c r="R30" s="45" t="s">
        <v>5553</v>
      </c>
      <c r="S30" s="48"/>
      <c r="U30" s="12"/>
    </row>
    <row r="31" spans="1:21" s="49" customFormat="1" ht="14.15" customHeight="1">
      <c r="A31" s="43" t="s">
        <v>5602</v>
      </c>
      <c r="B31" s="44" t="s">
        <v>6636</v>
      </c>
      <c r="C31" s="32"/>
      <c r="D31" s="10" t="s">
        <v>29</v>
      </c>
      <c r="E31" s="11"/>
      <c r="F31" s="11" t="s">
        <v>18</v>
      </c>
      <c r="G31" s="13"/>
      <c r="H31" s="45" t="s">
        <v>16</v>
      </c>
      <c r="I31" s="46"/>
      <c r="J31" s="62" t="s">
        <v>3729</v>
      </c>
      <c r="K31" s="13" t="s">
        <v>8873</v>
      </c>
      <c r="L31" s="99" t="str">
        <f t="shared" si="0"/>
        <v>W2801.B</v>
      </c>
      <c r="M31" s="13" t="s">
        <v>108</v>
      </c>
      <c r="N31" s="13" t="s">
        <v>119</v>
      </c>
      <c r="O31" s="33" t="s">
        <v>116</v>
      </c>
      <c r="P31" s="47"/>
      <c r="Q31" s="45" t="s">
        <v>3672</v>
      </c>
      <c r="R31" s="45" t="s">
        <v>5553</v>
      </c>
      <c r="S31" s="48"/>
      <c r="U31" s="12"/>
    </row>
    <row r="32" spans="1:21" s="49" customFormat="1" ht="14.15" customHeight="1">
      <c r="A32" s="43" t="s">
        <v>5602</v>
      </c>
      <c r="B32" s="44" t="s">
        <v>6636</v>
      </c>
      <c r="C32" s="32"/>
      <c r="D32" s="10" t="s">
        <v>29</v>
      </c>
      <c r="E32" s="11"/>
      <c r="F32" s="11" t="s">
        <v>18</v>
      </c>
      <c r="G32" s="13"/>
      <c r="H32" s="45" t="s">
        <v>16</v>
      </c>
      <c r="I32" s="46"/>
      <c r="J32" s="66" t="s">
        <v>3730</v>
      </c>
      <c r="K32" s="13" t="s">
        <v>8874</v>
      </c>
      <c r="L32" s="99" t="str">
        <f t="shared" si="0"/>
        <v>W2801.C</v>
      </c>
      <c r="M32" s="13" t="s">
        <v>108</v>
      </c>
      <c r="N32" s="13" t="s">
        <v>148</v>
      </c>
      <c r="O32" s="33" t="s">
        <v>122</v>
      </c>
      <c r="P32" s="47"/>
      <c r="Q32" s="45" t="s">
        <v>3672</v>
      </c>
      <c r="R32" s="45" t="s">
        <v>5553</v>
      </c>
      <c r="S32" s="48"/>
      <c r="U32" s="12"/>
    </row>
    <row r="33" spans="1:21" s="49" customFormat="1" ht="14.15" customHeight="1">
      <c r="A33" s="43" t="s">
        <v>5603</v>
      </c>
      <c r="B33" s="44" t="s">
        <v>6636</v>
      </c>
      <c r="C33" s="32"/>
      <c r="D33" s="10" t="s">
        <v>29</v>
      </c>
      <c r="E33" s="11"/>
      <c r="F33" s="11" t="s">
        <v>18</v>
      </c>
      <c r="G33" s="13"/>
      <c r="H33" s="45" t="s">
        <v>16</v>
      </c>
      <c r="I33" s="46"/>
      <c r="J33" s="62" t="s">
        <v>3733</v>
      </c>
      <c r="K33" s="13" t="s">
        <v>8875</v>
      </c>
      <c r="L33" s="99" t="str">
        <f t="shared" si="0"/>
        <v>W2801.D</v>
      </c>
      <c r="M33" s="13" t="s">
        <v>108</v>
      </c>
      <c r="N33" s="13" t="s">
        <v>150</v>
      </c>
      <c r="O33" s="33" t="s">
        <v>115</v>
      </c>
      <c r="P33" s="47"/>
      <c r="Q33" s="45" t="s">
        <v>3672</v>
      </c>
      <c r="R33" s="45" t="s">
        <v>5553</v>
      </c>
      <c r="S33" s="48"/>
      <c r="U33" s="12"/>
    </row>
    <row r="34" spans="1:21" s="49" customFormat="1" ht="14.15" customHeight="1">
      <c r="A34" s="43" t="s">
        <v>5603</v>
      </c>
      <c r="B34" s="44" t="s">
        <v>6636</v>
      </c>
      <c r="C34" s="32"/>
      <c r="D34" s="10" t="s">
        <v>29</v>
      </c>
      <c r="E34" s="11"/>
      <c r="F34" s="11" t="s">
        <v>18</v>
      </c>
      <c r="G34" s="13"/>
      <c r="H34" s="45" t="s">
        <v>16</v>
      </c>
      <c r="I34" s="46"/>
      <c r="J34" s="62" t="s">
        <v>3734</v>
      </c>
      <c r="K34" s="13" t="s">
        <v>8876</v>
      </c>
      <c r="L34" s="99" t="str">
        <f t="shared" si="0"/>
        <v>W2801.E</v>
      </c>
      <c r="M34" s="13" t="s">
        <v>108</v>
      </c>
      <c r="N34" s="13" t="s">
        <v>149</v>
      </c>
      <c r="O34" s="33" t="s">
        <v>121</v>
      </c>
      <c r="P34" s="47"/>
      <c r="Q34" s="45" t="s">
        <v>3672</v>
      </c>
      <c r="R34" s="45" t="s">
        <v>5553</v>
      </c>
      <c r="S34" s="48"/>
      <c r="U34" s="12"/>
    </row>
    <row r="35" spans="1:21" s="49" customFormat="1" ht="14.15" customHeight="1">
      <c r="A35" s="43" t="s">
        <v>5603</v>
      </c>
      <c r="B35" s="44" t="s">
        <v>6636</v>
      </c>
      <c r="C35" s="32"/>
      <c r="D35" s="10" t="s">
        <v>29</v>
      </c>
      <c r="E35" s="11"/>
      <c r="F35" s="11" t="s">
        <v>18</v>
      </c>
      <c r="G35" s="13"/>
      <c r="H35" s="45" t="s">
        <v>16</v>
      </c>
      <c r="I35" s="46"/>
      <c r="J35" s="62" t="s">
        <v>3735</v>
      </c>
      <c r="K35" s="13" t="s">
        <v>8877</v>
      </c>
      <c r="L35" s="99" t="str">
        <f t="shared" si="0"/>
        <v>W2801.F</v>
      </c>
      <c r="M35" s="13" t="s">
        <v>108</v>
      </c>
      <c r="N35" s="13" t="s">
        <v>119</v>
      </c>
      <c r="O35" s="33" t="s">
        <v>116</v>
      </c>
      <c r="P35" s="47"/>
      <c r="Q35" s="45" t="s">
        <v>3672</v>
      </c>
      <c r="R35" s="45" t="s">
        <v>5553</v>
      </c>
      <c r="S35" s="48"/>
      <c r="U35" s="12"/>
    </row>
    <row r="36" spans="1:21" s="49" customFormat="1" ht="14.15" customHeight="1">
      <c r="A36" s="43" t="s">
        <v>5603</v>
      </c>
      <c r="B36" s="44" t="s">
        <v>6636</v>
      </c>
      <c r="C36" s="32"/>
      <c r="D36" s="10" t="s">
        <v>29</v>
      </c>
      <c r="E36" s="11"/>
      <c r="F36" s="11" t="s">
        <v>18</v>
      </c>
      <c r="G36" s="13"/>
      <c r="H36" s="45" t="s">
        <v>16</v>
      </c>
      <c r="I36" s="46"/>
      <c r="J36" s="66" t="s">
        <v>3736</v>
      </c>
      <c r="K36" s="13" t="s">
        <v>8878</v>
      </c>
      <c r="L36" s="99" t="str">
        <f t="shared" si="0"/>
        <v>W2802.0</v>
      </c>
      <c r="M36" s="13" t="s">
        <v>108</v>
      </c>
      <c r="N36" s="13" t="s">
        <v>148</v>
      </c>
      <c r="O36" s="33" t="s">
        <v>122</v>
      </c>
      <c r="P36" s="47"/>
      <c r="Q36" s="45" t="s">
        <v>3672</v>
      </c>
      <c r="R36" s="45" t="s">
        <v>5553</v>
      </c>
      <c r="S36" s="48"/>
      <c r="U36" s="12"/>
    </row>
    <row r="37" spans="1:21" s="49" customFormat="1" ht="14.15" customHeight="1">
      <c r="A37" s="43" t="s">
        <v>5604</v>
      </c>
      <c r="B37" s="44" t="s">
        <v>6636</v>
      </c>
      <c r="C37" s="32"/>
      <c r="D37" s="10" t="s">
        <v>29</v>
      </c>
      <c r="E37" s="11"/>
      <c r="F37" s="11" t="s">
        <v>18</v>
      </c>
      <c r="G37" s="13"/>
      <c r="H37" s="45" t="s">
        <v>16</v>
      </c>
      <c r="I37" s="46"/>
      <c r="J37" s="62" t="s">
        <v>3756</v>
      </c>
      <c r="K37" s="13" t="s">
        <v>8882</v>
      </c>
      <c r="L37" s="99" t="str">
        <f t="shared" si="0"/>
        <v>W2802.1</v>
      </c>
      <c r="M37" s="13" t="s">
        <v>108</v>
      </c>
      <c r="N37" s="13" t="s">
        <v>150</v>
      </c>
      <c r="O37" s="33" t="s">
        <v>115</v>
      </c>
      <c r="P37" s="64"/>
      <c r="Q37" s="65" t="s">
        <v>142</v>
      </c>
      <c r="R37" s="45" t="s">
        <v>5553</v>
      </c>
      <c r="S37" s="48"/>
      <c r="U37" s="12"/>
    </row>
    <row r="38" spans="1:21" s="49" customFormat="1" ht="14.15" customHeight="1">
      <c r="A38" s="43" t="s">
        <v>5604</v>
      </c>
      <c r="B38" s="44" t="s">
        <v>6636</v>
      </c>
      <c r="C38" s="32"/>
      <c r="D38" s="10" t="s">
        <v>29</v>
      </c>
      <c r="E38" s="11"/>
      <c r="F38" s="11" t="s">
        <v>18</v>
      </c>
      <c r="G38" s="13"/>
      <c r="H38" s="45" t="s">
        <v>16</v>
      </c>
      <c r="I38" s="46"/>
      <c r="J38" s="62" t="s">
        <v>3757</v>
      </c>
      <c r="K38" s="13" t="s">
        <v>8883</v>
      </c>
      <c r="L38" s="99" t="str">
        <f t="shared" si="0"/>
        <v>W2802.2</v>
      </c>
      <c r="M38" s="13" t="s">
        <v>108</v>
      </c>
      <c r="N38" s="13" t="s">
        <v>149</v>
      </c>
      <c r="O38" s="33" t="s">
        <v>121</v>
      </c>
      <c r="P38" s="64"/>
      <c r="Q38" s="65" t="s">
        <v>142</v>
      </c>
      <c r="R38" s="45" t="s">
        <v>5553</v>
      </c>
      <c r="S38" s="48"/>
      <c r="U38" s="12"/>
    </row>
    <row r="39" spans="1:21" s="49" customFormat="1" ht="14.15" customHeight="1">
      <c r="A39" s="43" t="s">
        <v>5604</v>
      </c>
      <c r="B39" s="44" t="s">
        <v>6636</v>
      </c>
      <c r="C39" s="32"/>
      <c r="D39" s="10" t="s">
        <v>29</v>
      </c>
      <c r="E39" s="11"/>
      <c r="F39" s="11" t="s">
        <v>18</v>
      </c>
      <c r="G39" s="13"/>
      <c r="H39" s="45" t="s">
        <v>16</v>
      </c>
      <c r="I39" s="46"/>
      <c r="J39" s="62" t="s">
        <v>3758</v>
      </c>
      <c r="K39" s="13" t="s">
        <v>8884</v>
      </c>
      <c r="L39" s="99" t="str">
        <f t="shared" si="0"/>
        <v>W2802.3</v>
      </c>
      <c r="M39" s="13" t="s">
        <v>108</v>
      </c>
      <c r="N39" s="13" t="s">
        <v>119</v>
      </c>
      <c r="O39" s="33" t="s">
        <v>116</v>
      </c>
      <c r="P39" s="64"/>
      <c r="Q39" s="65" t="s">
        <v>142</v>
      </c>
      <c r="R39" s="45" t="s">
        <v>5553</v>
      </c>
      <c r="S39" s="48"/>
      <c r="U39" s="12"/>
    </row>
    <row r="40" spans="1:21" s="49" customFormat="1" ht="14.15" customHeight="1">
      <c r="A40" s="43" t="s">
        <v>5604</v>
      </c>
      <c r="B40" s="44" t="s">
        <v>6636</v>
      </c>
      <c r="C40" s="32"/>
      <c r="D40" s="10" t="s">
        <v>29</v>
      </c>
      <c r="E40" s="11"/>
      <c r="F40" s="11" t="s">
        <v>18</v>
      </c>
      <c r="G40" s="13"/>
      <c r="H40" s="45" t="s">
        <v>16</v>
      </c>
      <c r="I40" s="46"/>
      <c r="J40" s="66" t="s">
        <v>3759</v>
      </c>
      <c r="K40" s="13" t="s">
        <v>8885</v>
      </c>
      <c r="L40" s="99" t="str">
        <f t="shared" si="0"/>
        <v>W2802.4</v>
      </c>
      <c r="M40" s="13" t="s">
        <v>108</v>
      </c>
      <c r="N40" s="13" t="s">
        <v>148</v>
      </c>
      <c r="O40" s="33" t="s">
        <v>122</v>
      </c>
      <c r="P40" s="64"/>
      <c r="Q40" s="65" t="s">
        <v>142</v>
      </c>
      <c r="R40" s="45" t="s">
        <v>5553</v>
      </c>
      <c r="S40" s="48"/>
      <c r="U40" s="12"/>
    </row>
    <row r="41" spans="1:21" s="49" customFormat="1" ht="14.15" customHeight="1">
      <c r="A41" s="43" t="s">
        <v>5605</v>
      </c>
      <c r="B41" s="44" t="s">
        <v>6636</v>
      </c>
      <c r="C41" s="32"/>
      <c r="D41" s="10" t="s">
        <v>29</v>
      </c>
      <c r="E41" s="11"/>
      <c r="F41" s="11" t="s">
        <v>18</v>
      </c>
      <c r="G41" s="13"/>
      <c r="H41" s="45" t="s">
        <v>16</v>
      </c>
      <c r="I41" s="46"/>
      <c r="J41" s="62" t="s">
        <v>3746</v>
      </c>
      <c r="K41" s="13" t="s">
        <v>6816</v>
      </c>
      <c r="L41" s="99" t="str">
        <f t="shared" si="0"/>
        <v>W2802.5</v>
      </c>
      <c r="M41" s="13" t="s">
        <v>3669</v>
      </c>
      <c r="N41" s="13" t="s">
        <v>3675</v>
      </c>
      <c r="O41" s="34" t="s">
        <v>117</v>
      </c>
      <c r="P41" s="47"/>
      <c r="Q41" s="45" t="s">
        <v>3672</v>
      </c>
      <c r="R41" s="45" t="s">
        <v>5553</v>
      </c>
      <c r="S41" s="48"/>
      <c r="U41" s="12"/>
    </row>
    <row r="42" spans="1:21" s="49" customFormat="1" ht="14.15" customHeight="1">
      <c r="A42" s="43" t="s">
        <v>5605</v>
      </c>
      <c r="B42" s="44" t="s">
        <v>6636</v>
      </c>
      <c r="C42" s="32"/>
      <c r="D42" s="10" t="s">
        <v>29</v>
      </c>
      <c r="E42" s="11"/>
      <c r="F42" s="11" t="s">
        <v>18</v>
      </c>
      <c r="G42" s="13"/>
      <c r="H42" s="45" t="s">
        <v>16</v>
      </c>
      <c r="I42" s="46"/>
      <c r="J42" s="62" t="s">
        <v>3747</v>
      </c>
      <c r="K42" s="13" t="s">
        <v>6817</v>
      </c>
      <c r="L42" s="99" t="str">
        <f t="shared" si="0"/>
        <v>W2802.6</v>
      </c>
      <c r="M42" s="13" t="s">
        <v>3669</v>
      </c>
      <c r="N42" s="13" t="s">
        <v>3675</v>
      </c>
      <c r="O42" s="34" t="s">
        <v>118</v>
      </c>
      <c r="P42" s="47"/>
      <c r="Q42" s="45" t="s">
        <v>3672</v>
      </c>
      <c r="R42" s="45" t="s">
        <v>5553</v>
      </c>
      <c r="S42" s="48"/>
      <c r="U42" s="12"/>
    </row>
    <row r="43" spans="1:21" s="49" customFormat="1" ht="14.15" customHeight="1">
      <c r="A43" s="43" t="s">
        <v>5605</v>
      </c>
      <c r="B43" s="44" t="s">
        <v>6636</v>
      </c>
      <c r="C43" s="32"/>
      <c r="D43" s="10" t="s">
        <v>29</v>
      </c>
      <c r="E43" s="11"/>
      <c r="F43" s="11" t="s">
        <v>18</v>
      </c>
      <c r="G43" s="13"/>
      <c r="H43" s="45" t="s">
        <v>16</v>
      </c>
      <c r="I43" s="46"/>
      <c r="J43" s="62" t="s">
        <v>3748</v>
      </c>
      <c r="K43" s="13" t="s">
        <v>6818</v>
      </c>
      <c r="L43" s="99" t="str">
        <f t="shared" si="0"/>
        <v>W2802.7</v>
      </c>
      <c r="M43" s="13" t="s">
        <v>3669</v>
      </c>
      <c r="N43" s="13" t="s">
        <v>3673</v>
      </c>
      <c r="O43" s="34" t="s">
        <v>110</v>
      </c>
      <c r="P43" s="47"/>
      <c r="Q43" s="45" t="s">
        <v>3672</v>
      </c>
      <c r="R43" s="45" t="s">
        <v>5553</v>
      </c>
      <c r="S43" s="48"/>
      <c r="U43" s="12"/>
    </row>
    <row r="44" spans="1:21" s="49" customFormat="1" ht="14.15" customHeight="1">
      <c r="A44" s="43" t="s">
        <v>5605</v>
      </c>
      <c r="B44" s="44" t="s">
        <v>6636</v>
      </c>
      <c r="C44" s="32"/>
      <c r="D44" s="10" t="s">
        <v>29</v>
      </c>
      <c r="E44" s="11"/>
      <c r="F44" s="11" t="s">
        <v>18</v>
      </c>
      <c r="G44" s="13"/>
      <c r="H44" s="45" t="s">
        <v>16</v>
      </c>
      <c r="I44" s="46"/>
      <c r="J44" s="62" t="s">
        <v>3749</v>
      </c>
      <c r="K44" s="13" t="s">
        <v>6819</v>
      </c>
      <c r="L44" s="99" t="str">
        <f t="shared" si="0"/>
        <v>W2802.8</v>
      </c>
      <c r="M44" s="13" t="s">
        <v>3669</v>
      </c>
      <c r="N44" s="13" t="s">
        <v>3674</v>
      </c>
      <c r="O44" s="34" t="s">
        <v>119</v>
      </c>
      <c r="P44" s="47"/>
      <c r="Q44" s="45" t="s">
        <v>3672</v>
      </c>
      <c r="R44" s="45" t="s">
        <v>5553</v>
      </c>
      <c r="S44" s="48"/>
      <c r="U44" s="12"/>
    </row>
    <row r="45" spans="1:21" s="49" customFormat="1" ht="14.15" customHeight="1">
      <c r="A45" s="43" t="s">
        <v>5605</v>
      </c>
      <c r="B45" s="44" t="s">
        <v>6636</v>
      </c>
      <c r="C45" s="32"/>
      <c r="D45" s="10" t="s">
        <v>29</v>
      </c>
      <c r="E45" s="11"/>
      <c r="F45" s="11" t="s">
        <v>18</v>
      </c>
      <c r="G45" s="13"/>
      <c r="H45" s="45" t="s">
        <v>16</v>
      </c>
      <c r="I45" s="46"/>
      <c r="J45" s="62" t="s">
        <v>3750</v>
      </c>
      <c r="K45" s="13" t="s">
        <v>6820</v>
      </c>
      <c r="L45" s="99" t="str">
        <f t="shared" si="0"/>
        <v>W2802.9</v>
      </c>
      <c r="M45" s="13" t="s">
        <v>3669</v>
      </c>
      <c r="N45" s="13" t="s">
        <v>3671</v>
      </c>
      <c r="O45" s="34" t="s">
        <v>120</v>
      </c>
      <c r="P45" s="47"/>
      <c r="Q45" s="45" t="s">
        <v>3672</v>
      </c>
      <c r="R45" s="45" t="s">
        <v>5553</v>
      </c>
      <c r="S45" s="48"/>
      <c r="U45" s="12"/>
    </row>
    <row r="46" spans="1:21" s="49" customFormat="1" ht="14.15" customHeight="1">
      <c r="A46" s="43" t="s">
        <v>5605</v>
      </c>
      <c r="B46" s="44" t="s">
        <v>6636</v>
      </c>
      <c r="C46" s="32"/>
      <c r="D46" s="10" t="s">
        <v>29</v>
      </c>
      <c r="E46" s="11"/>
      <c r="F46" s="11" t="s">
        <v>18</v>
      </c>
      <c r="G46" s="13"/>
      <c r="H46" s="45" t="s">
        <v>16</v>
      </c>
      <c r="I46" s="46"/>
      <c r="J46" s="62" t="s">
        <v>3751</v>
      </c>
      <c r="K46" s="13" t="s">
        <v>6821</v>
      </c>
      <c r="L46" s="99" t="str">
        <f t="shared" si="0"/>
        <v>W2802.A</v>
      </c>
      <c r="M46" s="13" t="s">
        <v>3669</v>
      </c>
      <c r="N46" s="13" t="s">
        <v>3671</v>
      </c>
      <c r="O46" s="34" t="s">
        <v>111</v>
      </c>
      <c r="P46" s="47"/>
      <c r="Q46" s="45" t="s">
        <v>3672</v>
      </c>
      <c r="R46" s="45" t="s">
        <v>5553</v>
      </c>
      <c r="S46" s="48"/>
      <c r="U46" s="12"/>
    </row>
    <row r="47" spans="1:21" s="49" customFormat="1" ht="14.15" customHeight="1">
      <c r="A47" s="43" t="s">
        <v>5605</v>
      </c>
      <c r="B47" s="44" t="s">
        <v>6636</v>
      </c>
      <c r="C47" s="32"/>
      <c r="D47" s="10" t="s">
        <v>29</v>
      </c>
      <c r="E47" s="11"/>
      <c r="F47" s="11" t="s">
        <v>18</v>
      </c>
      <c r="G47" s="13"/>
      <c r="H47" s="45" t="s">
        <v>16</v>
      </c>
      <c r="I47" s="46"/>
      <c r="J47" s="62" t="s">
        <v>3752</v>
      </c>
      <c r="K47" s="13" t="s">
        <v>8879</v>
      </c>
      <c r="L47" s="99" t="str">
        <f t="shared" si="0"/>
        <v>W2802.B</v>
      </c>
      <c r="M47" s="13" t="s">
        <v>3669</v>
      </c>
      <c r="N47" s="13" t="s">
        <v>3671</v>
      </c>
      <c r="O47" s="34" t="s">
        <v>112</v>
      </c>
      <c r="P47" s="47"/>
      <c r="Q47" s="45" t="s">
        <v>3672</v>
      </c>
      <c r="R47" s="45" t="s">
        <v>5553</v>
      </c>
      <c r="S47" s="48"/>
      <c r="U47" s="12"/>
    </row>
    <row r="48" spans="1:21" s="49" customFormat="1" ht="14.15" customHeight="1">
      <c r="A48" s="43" t="s">
        <v>5605</v>
      </c>
      <c r="B48" s="44" t="s">
        <v>6636</v>
      </c>
      <c r="C48" s="32"/>
      <c r="D48" s="10" t="s">
        <v>29</v>
      </c>
      <c r="E48" s="11"/>
      <c r="F48" s="11" t="s">
        <v>18</v>
      </c>
      <c r="G48" s="13"/>
      <c r="H48" s="45" t="s">
        <v>16</v>
      </c>
      <c r="I48" s="46"/>
      <c r="J48" s="62" t="s">
        <v>3753</v>
      </c>
      <c r="K48" s="13" t="s">
        <v>8880</v>
      </c>
      <c r="L48" s="99" t="str">
        <f t="shared" si="0"/>
        <v>W2802.C</v>
      </c>
      <c r="M48" s="13" t="s">
        <v>3669</v>
      </c>
      <c r="N48" s="13" t="s">
        <v>3675</v>
      </c>
      <c r="O48" s="34" t="s">
        <v>113</v>
      </c>
      <c r="P48" s="47"/>
      <c r="Q48" s="45" t="s">
        <v>3672</v>
      </c>
      <c r="R48" s="45" t="s">
        <v>5553</v>
      </c>
      <c r="S48" s="48"/>
      <c r="U48" s="12"/>
    </row>
    <row r="49" spans="1:22" s="49" customFormat="1" ht="14.15" customHeight="1">
      <c r="A49" s="43" t="s">
        <v>5605</v>
      </c>
      <c r="B49" s="44" t="s">
        <v>6636</v>
      </c>
      <c r="C49" s="32"/>
      <c r="D49" s="10" t="s">
        <v>29</v>
      </c>
      <c r="E49" s="11"/>
      <c r="F49" s="11" t="s">
        <v>18</v>
      </c>
      <c r="G49" s="13"/>
      <c r="H49" s="45" t="s">
        <v>16</v>
      </c>
      <c r="I49" s="46"/>
      <c r="J49" s="62" t="s">
        <v>3754</v>
      </c>
      <c r="K49" s="13" t="s">
        <v>8881</v>
      </c>
      <c r="L49" s="99" t="str">
        <f t="shared" si="0"/>
        <v>W2802.D</v>
      </c>
      <c r="M49" s="13" t="s">
        <v>3669</v>
      </c>
      <c r="N49" s="13" t="s">
        <v>3674</v>
      </c>
      <c r="O49" s="34" t="s">
        <v>114</v>
      </c>
      <c r="P49" s="47"/>
      <c r="Q49" s="45" t="s">
        <v>3672</v>
      </c>
      <c r="R49" s="45" t="s">
        <v>5553</v>
      </c>
      <c r="S49" s="48"/>
      <c r="U49" s="12"/>
    </row>
    <row r="50" spans="1:22" s="49" customFormat="1" ht="14.15" customHeight="1">
      <c r="A50" s="43"/>
      <c r="B50" s="44"/>
      <c r="C50" s="32"/>
      <c r="D50" s="10"/>
      <c r="E50" s="11"/>
      <c r="F50" s="11"/>
      <c r="G50" s="13"/>
      <c r="H50" s="45"/>
      <c r="I50" s="46"/>
      <c r="J50" s="62"/>
      <c r="K50" s="101"/>
      <c r="L50" s="100"/>
      <c r="M50" s="13"/>
      <c r="N50" s="13"/>
      <c r="O50" s="34"/>
      <c r="P50" s="47"/>
      <c r="Q50" s="45"/>
      <c r="R50" s="45"/>
      <c r="S50" s="48"/>
      <c r="U50" s="12"/>
    </row>
    <row r="51" spans="1:22" s="49" customFormat="1" ht="14.15" customHeight="1">
      <c r="A51" s="43" t="s">
        <v>3778</v>
      </c>
      <c r="B51" s="44" t="s">
        <v>157</v>
      </c>
      <c r="C51" s="32"/>
      <c r="D51" s="10" t="s">
        <v>29</v>
      </c>
      <c r="E51" s="11"/>
      <c r="F51" s="11" t="s">
        <v>18</v>
      </c>
      <c r="G51" s="13"/>
      <c r="H51" s="45" t="s">
        <v>16</v>
      </c>
      <c r="I51" s="46"/>
      <c r="J51" s="12" t="s">
        <v>158</v>
      </c>
      <c r="K51" s="13" t="s">
        <v>6852</v>
      </c>
      <c r="L51" s="99" t="str">
        <f>"W"&amp;DEC2HEX(8704 + INT((ROW()-51)/16)) &amp; "." &amp; IF(MOD(ROW()-51,16)&lt;10,MOD(ROW()-51,16),CHAR(MOD(ROW()-51,16)+55))</f>
        <v>W2200.0</v>
      </c>
      <c r="M51" s="13" t="s">
        <v>17</v>
      </c>
      <c r="N51" s="13"/>
      <c r="O51" s="13"/>
      <c r="P51" s="47"/>
      <c r="Q51" s="45" t="s">
        <v>3672</v>
      </c>
      <c r="R51" s="45" t="s">
        <v>5596</v>
      </c>
      <c r="S51" s="48"/>
      <c r="T51" s="49" t="str">
        <f t="shared" ref="T51:T114" si="1">"["&amp;L51&amp;"]"</f>
        <v>[W2200.0]</v>
      </c>
      <c r="U51" s="12" t="str">
        <f t="shared" ref="U51:U114" si="2">RIGHT(J51,LEN(J51)-7)</f>
        <v xml:space="preserve"> PLC 진단 에러 (SM0)</v>
      </c>
      <c r="V51" s="49" t="str">
        <f>T51&amp;U51</f>
        <v>[W2200.0] PLC 진단 에러 (SM0)</v>
      </c>
    </row>
    <row r="52" spans="1:22" s="49" customFormat="1" ht="14.15" customHeight="1">
      <c r="A52" s="43" t="s">
        <v>3778</v>
      </c>
      <c r="B52" s="44" t="s">
        <v>157</v>
      </c>
      <c r="C52" s="32"/>
      <c r="D52" s="10" t="s">
        <v>29</v>
      </c>
      <c r="E52" s="11"/>
      <c r="F52" s="11" t="s">
        <v>18</v>
      </c>
      <c r="G52" s="13"/>
      <c r="H52" s="45" t="s">
        <v>16</v>
      </c>
      <c r="I52" s="46"/>
      <c r="J52" s="12" t="s">
        <v>159</v>
      </c>
      <c r="K52" s="13" t="s">
        <v>6853</v>
      </c>
      <c r="L52" s="99" t="str">
        <f t="shared" ref="L52:L115" si="3">"W"&amp;DEC2HEX(8704 + INT((ROW()-51)/16)) &amp; "." &amp; IF(MOD(ROW()-51,16)&lt;10,MOD(ROW()-51,16),CHAR(MOD(ROW()-51,16)+55))</f>
        <v>W2200.1</v>
      </c>
      <c r="M52" s="13" t="s">
        <v>17</v>
      </c>
      <c r="N52" s="13"/>
      <c r="O52" s="13"/>
      <c r="P52" s="47"/>
      <c r="Q52" s="45" t="s">
        <v>3672</v>
      </c>
      <c r="R52" s="45" t="s">
        <v>5596</v>
      </c>
      <c r="S52" s="48"/>
      <c r="T52" s="49" t="str">
        <f t="shared" si="1"/>
        <v>[W2200.1]</v>
      </c>
      <c r="U52" s="12" t="str">
        <f t="shared" si="2"/>
        <v xml:space="preserve"> PLC 자기 진단 에러 (SM1)</v>
      </c>
      <c r="V52" s="49" t="str">
        <f t="shared" ref="V52:V115" si="4">T52&amp;U52</f>
        <v>[W2200.1] PLC 자기 진단 에러 (SM1)</v>
      </c>
    </row>
    <row r="53" spans="1:22" s="49" customFormat="1" ht="14.15" customHeight="1">
      <c r="A53" s="43" t="s">
        <v>3778</v>
      </c>
      <c r="B53" s="44" t="s">
        <v>157</v>
      </c>
      <c r="C53" s="32"/>
      <c r="D53" s="10" t="s">
        <v>29</v>
      </c>
      <c r="E53" s="11"/>
      <c r="F53" s="11" t="s">
        <v>18</v>
      </c>
      <c r="G53" s="13"/>
      <c r="H53" s="45" t="s">
        <v>16</v>
      </c>
      <c r="I53" s="46"/>
      <c r="J53" s="12" t="s">
        <v>4725</v>
      </c>
      <c r="K53" s="13" t="s">
        <v>8852</v>
      </c>
      <c r="L53" s="99" t="str">
        <f t="shared" si="3"/>
        <v>W2200.2</v>
      </c>
      <c r="M53" s="13" t="s">
        <v>17</v>
      </c>
      <c r="N53" s="13"/>
      <c r="O53" s="13"/>
      <c r="P53" s="47"/>
      <c r="Q53" s="45" t="s">
        <v>3672</v>
      </c>
      <c r="R53" s="45" t="s">
        <v>5596</v>
      </c>
      <c r="S53" s="48"/>
      <c r="T53" s="49" t="str">
        <f t="shared" si="1"/>
        <v>[W2200.2]</v>
      </c>
      <c r="U53" s="12" t="str">
        <f t="shared" si="2"/>
        <v xml:space="preserve"> PLC COMMON 에러 (SM5)</v>
      </c>
      <c r="V53" s="49" t="str">
        <f t="shared" si="4"/>
        <v>[W2200.2] PLC COMMON 에러 (SM5)</v>
      </c>
    </row>
    <row r="54" spans="1:22" s="49" customFormat="1" ht="14.15" customHeight="1">
      <c r="A54" s="43" t="s">
        <v>3778</v>
      </c>
      <c r="B54" s="44" t="s">
        <v>157</v>
      </c>
      <c r="C54" s="32"/>
      <c r="D54" s="10" t="s">
        <v>29</v>
      </c>
      <c r="E54" s="11"/>
      <c r="F54" s="11" t="s">
        <v>18</v>
      </c>
      <c r="G54" s="13"/>
      <c r="H54" s="45" t="s">
        <v>16</v>
      </c>
      <c r="I54" s="46"/>
      <c r="J54" s="12" t="s">
        <v>4726</v>
      </c>
      <c r="K54" s="13" t="s">
        <v>6854</v>
      </c>
      <c r="L54" s="99" t="str">
        <f t="shared" si="3"/>
        <v>W2200.3</v>
      </c>
      <c r="M54" s="13" t="s">
        <v>17</v>
      </c>
      <c r="N54" s="13"/>
      <c r="O54" s="13"/>
      <c r="P54" s="47"/>
      <c r="Q54" s="45" t="s">
        <v>3672</v>
      </c>
      <c r="R54" s="45" t="s">
        <v>5596</v>
      </c>
      <c r="S54" s="48"/>
      <c r="T54" s="49" t="str">
        <f t="shared" si="1"/>
        <v>[W2200.3]</v>
      </c>
      <c r="U54" s="12" t="str">
        <f t="shared" si="2"/>
        <v xml:space="preserve"> PLC 배터리 전압 저하 에러 (SM52)</v>
      </c>
      <c r="V54" s="49" t="str">
        <f t="shared" si="4"/>
        <v>[W2200.3] PLC 배터리 전압 저하 에러 (SM52)</v>
      </c>
    </row>
    <row r="55" spans="1:22" s="49" customFormat="1" ht="14.15" customHeight="1">
      <c r="A55" s="43" t="s">
        <v>3778</v>
      </c>
      <c r="B55" s="44" t="s">
        <v>157</v>
      </c>
      <c r="C55" s="32"/>
      <c r="D55" s="10" t="s">
        <v>29</v>
      </c>
      <c r="E55" s="11"/>
      <c r="F55" s="11" t="s">
        <v>18</v>
      </c>
      <c r="G55" s="13"/>
      <c r="H55" s="45" t="s">
        <v>16</v>
      </c>
      <c r="I55" s="46"/>
      <c r="J55" s="12" t="s">
        <v>4727</v>
      </c>
      <c r="K55" s="13" t="s">
        <v>6855</v>
      </c>
      <c r="L55" s="99" t="str">
        <f t="shared" si="3"/>
        <v>W2200.4</v>
      </c>
      <c r="M55" s="13" t="s">
        <v>17</v>
      </c>
      <c r="N55" s="13"/>
      <c r="O55" s="13"/>
      <c r="P55" s="47"/>
      <c r="Q55" s="45" t="s">
        <v>3672</v>
      </c>
      <c r="R55" s="45" t="s">
        <v>5596</v>
      </c>
      <c r="S55" s="48"/>
      <c r="T55" s="49" t="str">
        <f t="shared" si="1"/>
        <v>[W2200.4]</v>
      </c>
      <c r="U55" s="12" t="str">
        <f t="shared" si="2"/>
        <v xml:space="preserve"> PLC AC DOWN 에러 (SM53)</v>
      </c>
      <c r="V55" s="49" t="str">
        <f t="shared" si="4"/>
        <v>[W2200.4] PLC AC DOWN 에러 (SM53)</v>
      </c>
    </row>
    <row r="56" spans="1:22" s="49" customFormat="1" ht="14.15" customHeight="1">
      <c r="A56" s="43" t="s">
        <v>3778</v>
      </c>
      <c r="B56" s="44" t="s">
        <v>157</v>
      </c>
      <c r="C56" s="32"/>
      <c r="D56" s="10" t="s">
        <v>29</v>
      </c>
      <c r="E56" s="11"/>
      <c r="F56" s="11" t="s">
        <v>18</v>
      </c>
      <c r="G56" s="13"/>
      <c r="H56" s="45" t="s">
        <v>16</v>
      </c>
      <c r="I56" s="46"/>
      <c r="J56" s="12" t="s">
        <v>4728</v>
      </c>
      <c r="K56" s="13" t="s">
        <v>6856</v>
      </c>
      <c r="L56" s="99" t="str">
        <f t="shared" si="3"/>
        <v>W2200.5</v>
      </c>
      <c r="M56" s="13" t="s">
        <v>17</v>
      </c>
      <c r="N56" s="13"/>
      <c r="O56" s="13"/>
      <c r="P56" s="47"/>
      <c r="Q56" s="45" t="s">
        <v>3672</v>
      </c>
      <c r="R56" s="45" t="s">
        <v>5596</v>
      </c>
      <c r="S56" s="48"/>
      <c r="T56" s="49" t="str">
        <f t="shared" si="1"/>
        <v>[W2200.5]</v>
      </c>
      <c r="U56" s="12" t="str">
        <f t="shared" si="2"/>
        <v xml:space="preserve"> PLC CC-LINK 에러 (X04F)</v>
      </c>
      <c r="V56" s="49" t="str">
        <f t="shared" si="4"/>
        <v>[W2200.5] PLC CC-LINK 에러 (X04F)</v>
      </c>
    </row>
    <row r="57" spans="1:22" s="49" customFormat="1" ht="14.15" customHeight="1">
      <c r="A57" s="43" t="s">
        <v>3778</v>
      </c>
      <c r="B57" s="44" t="s">
        <v>157</v>
      </c>
      <c r="C57" s="32"/>
      <c r="D57" s="10" t="s">
        <v>29</v>
      </c>
      <c r="E57" s="11"/>
      <c r="F57" s="11" t="s">
        <v>18</v>
      </c>
      <c r="G57" s="13"/>
      <c r="H57" s="45" t="s">
        <v>16</v>
      </c>
      <c r="I57" s="46"/>
      <c r="J57" s="12" t="s">
        <v>4729</v>
      </c>
      <c r="K57" s="13" t="s">
        <v>6857</v>
      </c>
      <c r="L57" s="99" t="str">
        <f t="shared" si="3"/>
        <v>W2200.6</v>
      </c>
      <c r="M57" s="13" t="s">
        <v>17</v>
      </c>
      <c r="N57" s="13"/>
      <c r="O57" s="13"/>
      <c r="P57" s="47"/>
      <c r="Q57" s="45" t="s">
        <v>3672</v>
      </c>
      <c r="R57" s="45" t="s">
        <v>5596</v>
      </c>
      <c r="S57" s="48"/>
      <c r="T57" s="49" t="str">
        <f t="shared" si="1"/>
        <v>[W2200.6]</v>
      </c>
      <c r="U57" s="12" t="str">
        <f t="shared" si="2"/>
        <v xml:space="preserve"> PLC CC-LINK 연결 에러 (X041)</v>
      </c>
      <c r="V57" s="49" t="str">
        <f t="shared" si="4"/>
        <v>[W2200.6] PLC CC-LINK 연결 에러 (X041)</v>
      </c>
    </row>
    <row r="58" spans="1:22" s="49" customFormat="1" ht="14.15" customHeight="1">
      <c r="A58" s="43"/>
      <c r="B58" s="44" t="s">
        <v>157</v>
      </c>
      <c r="C58" s="32"/>
      <c r="D58" s="10" t="s">
        <v>29</v>
      </c>
      <c r="E58" s="11"/>
      <c r="F58" s="11" t="s">
        <v>18</v>
      </c>
      <c r="G58" s="13"/>
      <c r="H58" s="45" t="s">
        <v>16</v>
      </c>
      <c r="I58" s="46"/>
      <c r="J58" s="12" t="s">
        <v>3779</v>
      </c>
      <c r="K58" s="13" t="s">
        <v>6858</v>
      </c>
      <c r="L58" s="99" t="str">
        <f t="shared" si="3"/>
        <v>W2200.7</v>
      </c>
      <c r="M58" s="13"/>
      <c r="N58" s="13"/>
      <c r="O58" s="13"/>
      <c r="P58" s="47"/>
      <c r="Q58" s="45"/>
      <c r="R58" s="45"/>
      <c r="S58" s="48"/>
      <c r="T58" s="49" t="str">
        <f t="shared" si="1"/>
        <v>[W2200.7]</v>
      </c>
      <c r="U58" s="12" t="str">
        <f t="shared" si="2"/>
        <v/>
      </c>
      <c r="V58" s="49" t="str">
        <f t="shared" si="4"/>
        <v>[W2200.7]</v>
      </c>
    </row>
    <row r="59" spans="1:22" s="49" customFormat="1" ht="14.15" customHeight="1">
      <c r="A59" s="43"/>
      <c r="B59" s="44" t="s">
        <v>157</v>
      </c>
      <c r="C59" s="32"/>
      <c r="D59" s="10" t="s">
        <v>29</v>
      </c>
      <c r="E59" s="11"/>
      <c r="F59" s="11" t="s">
        <v>18</v>
      </c>
      <c r="G59" s="13"/>
      <c r="H59" s="45" t="s">
        <v>16</v>
      </c>
      <c r="I59" s="46"/>
      <c r="J59" s="12" t="s">
        <v>3780</v>
      </c>
      <c r="K59" s="13" t="s">
        <v>6859</v>
      </c>
      <c r="L59" s="99" t="str">
        <f t="shared" si="3"/>
        <v>W2200.8</v>
      </c>
      <c r="M59" s="13"/>
      <c r="N59" s="13"/>
      <c r="O59" s="13"/>
      <c r="P59" s="47"/>
      <c r="Q59" s="45"/>
      <c r="R59" s="45"/>
      <c r="S59" s="48"/>
      <c r="T59" s="49" t="str">
        <f t="shared" si="1"/>
        <v>[W2200.8]</v>
      </c>
      <c r="U59" s="12" t="str">
        <f t="shared" si="2"/>
        <v/>
      </c>
      <c r="V59" s="49" t="str">
        <f t="shared" si="4"/>
        <v>[W2200.8]</v>
      </c>
    </row>
    <row r="60" spans="1:22" s="49" customFormat="1" ht="14.15" customHeight="1">
      <c r="A60" s="43"/>
      <c r="B60" s="44" t="s">
        <v>157</v>
      </c>
      <c r="C60" s="32"/>
      <c r="D60" s="10" t="s">
        <v>29</v>
      </c>
      <c r="E60" s="11"/>
      <c r="F60" s="11" t="s">
        <v>18</v>
      </c>
      <c r="G60" s="13"/>
      <c r="H60" s="45" t="s">
        <v>16</v>
      </c>
      <c r="I60" s="46"/>
      <c r="J60" s="12" t="s">
        <v>3781</v>
      </c>
      <c r="K60" s="13" t="s">
        <v>6860</v>
      </c>
      <c r="L60" s="99" t="str">
        <f t="shared" si="3"/>
        <v>W2200.9</v>
      </c>
      <c r="M60" s="13"/>
      <c r="N60" s="13"/>
      <c r="O60" s="13"/>
      <c r="P60" s="47"/>
      <c r="Q60" s="45"/>
      <c r="R60" s="45"/>
      <c r="S60" s="48"/>
      <c r="T60" s="49" t="str">
        <f t="shared" si="1"/>
        <v>[W2200.9]</v>
      </c>
      <c r="U60" s="12" t="str">
        <f t="shared" si="2"/>
        <v/>
      </c>
      <c r="V60" s="49" t="str">
        <f t="shared" si="4"/>
        <v>[W2200.9]</v>
      </c>
    </row>
    <row r="61" spans="1:22" s="49" customFormat="1" ht="14.15" customHeight="1">
      <c r="A61" s="43" t="s">
        <v>3778</v>
      </c>
      <c r="B61" s="44" t="s">
        <v>157</v>
      </c>
      <c r="C61" s="32"/>
      <c r="D61" s="10" t="s">
        <v>29</v>
      </c>
      <c r="E61" s="11"/>
      <c r="F61" s="11" t="s">
        <v>18</v>
      </c>
      <c r="G61" s="13"/>
      <c r="H61" s="45" t="s">
        <v>16</v>
      </c>
      <c r="I61" s="46"/>
      <c r="J61" s="12" t="s">
        <v>4730</v>
      </c>
      <c r="K61" s="13" t="s">
        <v>6861</v>
      </c>
      <c r="L61" s="99" t="str">
        <f t="shared" si="3"/>
        <v>W2200.A</v>
      </c>
      <c r="M61" s="13" t="s">
        <v>153</v>
      </c>
      <c r="N61" s="13"/>
      <c r="O61" s="13"/>
      <c r="P61" s="47"/>
      <c r="Q61" s="45" t="s">
        <v>3672</v>
      </c>
      <c r="R61" s="45" t="s">
        <v>5596</v>
      </c>
      <c r="S61" s="48"/>
      <c r="T61" s="49" t="str">
        <f t="shared" si="1"/>
        <v>[W2200.A]</v>
      </c>
      <c r="U61" s="12" t="str">
        <f t="shared" si="2"/>
        <v xml:space="preserve"> OP-1 비상정지 에러 (X306)</v>
      </c>
      <c r="V61" s="49" t="str">
        <f t="shared" si="4"/>
        <v>[W2200.A] OP-1 비상정지 에러 (X306)</v>
      </c>
    </row>
    <row r="62" spans="1:22" s="49" customFormat="1" ht="14.15" customHeight="1">
      <c r="A62" s="43" t="s">
        <v>3778</v>
      </c>
      <c r="B62" s="44" t="s">
        <v>157</v>
      </c>
      <c r="C62" s="32"/>
      <c r="D62" s="10" t="s">
        <v>29</v>
      </c>
      <c r="E62" s="11"/>
      <c r="F62" s="11" t="s">
        <v>18</v>
      </c>
      <c r="G62" s="13"/>
      <c r="H62" s="45" t="s">
        <v>16</v>
      </c>
      <c r="I62" s="46"/>
      <c r="J62" s="12" t="s">
        <v>5372</v>
      </c>
      <c r="K62" s="13" t="s">
        <v>6862</v>
      </c>
      <c r="L62" s="99" t="str">
        <f t="shared" si="3"/>
        <v>W2200.B</v>
      </c>
      <c r="M62" s="13" t="s">
        <v>153</v>
      </c>
      <c r="N62" s="13"/>
      <c r="O62" s="13"/>
      <c r="P62" s="47"/>
      <c r="Q62" s="45" t="s">
        <v>3672</v>
      </c>
      <c r="R62" s="45" t="s">
        <v>5553</v>
      </c>
      <c r="S62" s="48"/>
      <c r="T62" s="49" t="str">
        <f t="shared" si="1"/>
        <v>[W2200.B]</v>
      </c>
      <c r="U62" s="12" t="str">
        <f t="shared" si="2"/>
        <v xml:space="preserve"> OP-2 비상정지 에러 (X506)</v>
      </c>
      <c r="V62" s="49" t="str">
        <f t="shared" si="4"/>
        <v>[W2200.B] OP-2 비상정지 에러 (X506)</v>
      </c>
    </row>
    <row r="63" spans="1:22" s="49" customFormat="1" ht="14.15" customHeight="1">
      <c r="A63" s="43" t="s">
        <v>3778</v>
      </c>
      <c r="B63" s="44" t="s">
        <v>157</v>
      </c>
      <c r="C63" s="32"/>
      <c r="D63" s="10" t="s">
        <v>29</v>
      </c>
      <c r="E63" s="11"/>
      <c r="F63" s="11" t="s">
        <v>18</v>
      </c>
      <c r="G63" s="13"/>
      <c r="H63" s="45" t="s">
        <v>16</v>
      </c>
      <c r="I63" s="46"/>
      <c r="J63" s="12" t="s">
        <v>5373</v>
      </c>
      <c r="K63" s="13" t="s">
        <v>6863</v>
      </c>
      <c r="L63" s="99" t="str">
        <f t="shared" si="3"/>
        <v>W2200.C</v>
      </c>
      <c r="M63" s="13" t="s">
        <v>153</v>
      </c>
      <c r="N63" s="13"/>
      <c r="O63" s="13"/>
      <c r="P63" s="47"/>
      <c r="Q63" s="45" t="s">
        <v>3672</v>
      </c>
      <c r="R63" s="45" t="s">
        <v>5553</v>
      </c>
      <c r="S63" s="48"/>
      <c r="T63" s="49" t="str">
        <f t="shared" si="1"/>
        <v>[W2200.C]</v>
      </c>
      <c r="U63" s="12" t="str">
        <f t="shared" si="2"/>
        <v xml:space="preserve"> OP-3 비상정지 에러 (X706)</v>
      </c>
      <c r="V63" s="49" t="str">
        <f t="shared" si="4"/>
        <v>[W2200.C] OP-3 비상정지 에러 (X706)</v>
      </c>
    </row>
    <row r="64" spans="1:22" s="49" customFormat="1" ht="14.15" customHeight="1">
      <c r="A64" s="43"/>
      <c r="B64" s="44" t="s">
        <v>157</v>
      </c>
      <c r="C64" s="32"/>
      <c r="D64" s="10" t="s">
        <v>29</v>
      </c>
      <c r="E64" s="11"/>
      <c r="F64" s="11" t="s">
        <v>18</v>
      </c>
      <c r="G64" s="13"/>
      <c r="H64" s="45" t="s">
        <v>16</v>
      </c>
      <c r="I64" s="46"/>
      <c r="J64" s="12" t="s">
        <v>3782</v>
      </c>
      <c r="K64" s="13" t="s">
        <v>6864</v>
      </c>
      <c r="L64" s="99" t="str">
        <f t="shared" si="3"/>
        <v>W2200.D</v>
      </c>
      <c r="M64" s="13"/>
      <c r="N64" s="13"/>
      <c r="O64" s="13"/>
      <c r="P64" s="47"/>
      <c r="Q64" s="45"/>
      <c r="R64" s="45"/>
      <c r="S64" s="48"/>
      <c r="T64" s="49" t="str">
        <f t="shared" si="1"/>
        <v>[W2200.D]</v>
      </c>
      <c r="U64" s="12" t="str">
        <f t="shared" si="2"/>
        <v/>
      </c>
      <c r="V64" s="49" t="str">
        <f t="shared" si="4"/>
        <v>[W2200.D]</v>
      </c>
    </row>
    <row r="65" spans="1:22" s="49" customFormat="1" ht="14.15" customHeight="1">
      <c r="A65" s="43"/>
      <c r="B65" s="44" t="s">
        <v>157</v>
      </c>
      <c r="C65" s="32"/>
      <c r="D65" s="10" t="s">
        <v>29</v>
      </c>
      <c r="E65" s="11"/>
      <c r="F65" s="11" t="s">
        <v>18</v>
      </c>
      <c r="G65" s="13"/>
      <c r="H65" s="45" t="s">
        <v>16</v>
      </c>
      <c r="I65" s="46"/>
      <c r="J65" s="12" t="s">
        <v>3783</v>
      </c>
      <c r="K65" s="13" t="s">
        <v>6865</v>
      </c>
      <c r="L65" s="99" t="str">
        <f t="shared" si="3"/>
        <v>W2200.E</v>
      </c>
      <c r="M65" s="13"/>
      <c r="N65" s="13"/>
      <c r="O65" s="13"/>
      <c r="P65" s="47"/>
      <c r="Q65" s="45"/>
      <c r="R65" s="45"/>
      <c r="S65" s="48"/>
      <c r="T65" s="49" t="str">
        <f t="shared" si="1"/>
        <v>[W2200.E]</v>
      </c>
      <c r="U65" s="12" t="str">
        <f t="shared" si="2"/>
        <v/>
      </c>
      <c r="V65" s="49" t="str">
        <f t="shared" si="4"/>
        <v>[W2200.E]</v>
      </c>
    </row>
    <row r="66" spans="1:22" s="49" customFormat="1" ht="14.15" customHeight="1">
      <c r="A66" s="43"/>
      <c r="B66" s="44" t="s">
        <v>157</v>
      </c>
      <c r="C66" s="32"/>
      <c r="D66" s="10" t="s">
        <v>29</v>
      </c>
      <c r="E66" s="11"/>
      <c r="F66" s="11" t="s">
        <v>18</v>
      </c>
      <c r="G66" s="13"/>
      <c r="H66" s="45" t="s">
        <v>16</v>
      </c>
      <c r="I66" s="46"/>
      <c r="J66" s="12" t="s">
        <v>3784</v>
      </c>
      <c r="K66" s="13" t="s">
        <v>6866</v>
      </c>
      <c r="L66" s="99" t="str">
        <f t="shared" si="3"/>
        <v>W2200.F</v>
      </c>
      <c r="M66" s="13"/>
      <c r="N66" s="13"/>
      <c r="O66" s="13"/>
      <c r="P66" s="47"/>
      <c r="Q66" s="45"/>
      <c r="R66" s="45"/>
      <c r="S66" s="48"/>
      <c r="T66" s="49" t="str">
        <f t="shared" si="1"/>
        <v>[W2200.F]</v>
      </c>
      <c r="U66" s="12" t="str">
        <f t="shared" si="2"/>
        <v/>
      </c>
      <c r="V66" s="49" t="str">
        <f t="shared" si="4"/>
        <v>[W2200.F]</v>
      </c>
    </row>
    <row r="67" spans="1:22" s="49" customFormat="1" ht="14.15" customHeight="1">
      <c r="A67" s="43"/>
      <c r="B67" s="44" t="s">
        <v>157</v>
      </c>
      <c r="C67" s="32"/>
      <c r="D67" s="10" t="s">
        <v>29</v>
      </c>
      <c r="E67" s="11"/>
      <c r="F67" s="11" t="s">
        <v>18</v>
      </c>
      <c r="G67" s="13"/>
      <c r="H67" s="45" t="s">
        <v>16</v>
      </c>
      <c r="I67" s="46"/>
      <c r="J67" s="12" t="s">
        <v>3785</v>
      </c>
      <c r="K67" s="13" t="s">
        <v>6867</v>
      </c>
      <c r="L67" s="99" t="str">
        <f t="shared" si="3"/>
        <v>W2201.0</v>
      </c>
      <c r="M67" s="13"/>
      <c r="N67" s="13"/>
      <c r="O67" s="13"/>
      <c r="P67" s="47"/>
      <c r="Q67" s="45"/>
      <c r="R67" s="45"/>
      <c r="S67" s="48"/>
      <c r="T67" s="49" t="str">
        <f t="shared" si="1"/>
        <v>[W2201.0]</v>
      </c>
      <c r="U67" s="12" t="str">
        <f t="shared" si="2"/>
        <v/>
      </c>
      <c r="V67" s="49" t="str">
        <f t="shared" si="4"/>
        <v>[W2201.0]</v>
      </c>
    </row>
    <row r="68" spans="1:22" s="49" customFormat="1" ht="14.15" customHeight="1">
      <c r="A68" s="43"/>
      <c r="B68" s="44" t="s">
        <v>157</v>
      </c>
      <c r="C68" s="32"/>
      <c r="D68" s="10" t="s">
        <v>29</v>
      </c>
      <c r="E68" s="11"/>
      <c r="F68" s="11" t="s">
        <v>18</v>
      </c>
      <c r="G68" s="13"/>
      <c r="H68" s="45" t="s">
        <v>16</v>
      </c>
      <c r="I68" s="46"/>
      <c r="J68" s="12" t="s">
        <v>3786</v>
      </c>
      <c r="K68" s="13" t="s">
        <v>6868</v>
      </c>
      <c r="L68" s="99" t="str">
        <f t="shared" si="3"/>
        <v>W2201.1</v>
      </c>
      <c r="M68" s="13"/>
      <c r="N68" s="13"/>
      <c r="O68" s="13"/>
      <c r="P68" s="47"/>
      <c r="Q68" s="45"/>
      <c r="R68" s="45"/>
      <c r="S68" s="48"/>
      <c r="T68" s="49" t="str">
        <f t="shared" si="1"/>
        <v>[W2201.1]</v>
      </c>
      <c r="U68" s="12" t="str">
        <f t="shared" si="2"/>
        <v/>
      </c>
      <c r="V68" s="49" t="str">
        <f t="shared" si="4"/>
        <v>[W2201.1]</v>
      </c>
    </row>
    <row r="69" spans="1:22" s="49" customFormat="1" ht="14.15" customHeight="1">
      <c r="A69" s="43"/>
      <c r="B69" s="44" t="s">
        <v>157</v>
      </c>
      <c r="C69" s="32"/>
      <c r="D69" s="10" t="s">
        <v>29</v>
      </c>
      <c r="E69" s="11"/>
      <c r="F69" s="11" t="s">
        <v>18</v>
      </c>
      <c r="G69" s="13"/>
      <c r="H69" s="45" t="s">
        <v>16</v>
      </c>
      <c r="I69" s="46"/>
      <c r="J69" s="12" t="s">
        <v>3787</v>
      </c>
      <c r="K69" s="13" t="s">
        <v>6869</v>
      </c>
      <c r="L69" s="99" t="str">
        <f t="shared" si="3"/>
        <v>W2201.2</v>
      </c>
      <c r="M69" s="13"/>
      <c r="N69" s="13"/>
      <c r="O69" s="13"/>
      <c r="P69" s="47"/>
      <c r="Q69" s="45"/>
      <c r="R69" s="45"/>
      <c r="S69" s="48"/>
      <c r="T69" s="49" t="str">
        <f t="shared" si="1"/>
        <v>[W2201.2]</v>
      </c>
      <c r="U69" s="12" t="str">
        <f t="shared" si="2"/>
        <v/>
      </c>
      <c r="V69" s="49" t="str">
        <f t="shared" si="4"/>
        <v>[W2201.2]</v>
      </c>
    </row>
    <row r="70" spans="1:22" s="49" customFormat="1" ht="14.15" customHeight="1">
      <c r="A70" s="43" t="s">
        <v>3778</v>
      </c>
      <c r="B70" s="44" t="s">
        <v>157</v>
      </c>
      <c r="C70" s="32"/>
      <c r="D70" s="10" t="s">
        <v>29</v>
      </c>
      <c r="E70" s="11"/>
      <c r="F70" s="11" t="s">
        <v>18</v>
      </c>
      <c r="G70" s="13"/>
      <c r="H70" s="45" t="s">
        <v>16</v>
      </c>
      <c r="I70" s="46"/>
      <c r="J70" s="12" t="s">
        <v>5374</v>
      </c>
      <c r="K70" s="13" t="s">
        <v>6870</v>
      </c>
      <c r="L70" s="99" t="str">
        <f t="shared" si="3"/>
        <v>W2201.3</v>
      </c>
      <c r="M70" s="13" t="s">
        <v>153</v>
      </c>
      <c r="N70" s="13"/>
      <c r="O70" s="13"/>
      <c r="P70" s="47"/>
      <c r="Q70" s="45" t="s">
        <v>3672</v>
      </c>
      <c r="R70" s="45" t="s">
        <v>5553</v>
      </c>
      <c r="S70" s="48"/>
      <c r="T70" s="49" t="str">
        <f t="shared" si="1"/>
        <v>[W2201.3]</v>
      </c>
      <c r="U70" s="12" t="str">
        <f t="shared" si="2"/>
        <v xml:space="preserve"> DOOR-41 DOOR OPEN 에러 (Y1200)</v>
      </c>
      <c r="V70" s="49" t="str">
        <f t="shared" si="4"/>
        <v>[W2201.3] DOOR-41 DOOR OPEN 에러 (Y1200)</v>
      </c>
    </row>
    <row r="71" spans="1:22" s="49" customFormat="1" ht="14.15" customHeight="1">
      <c r="A71" s="43" t="s">
        <v>3778</v>
      </c>
      <c r="B71" s="44" t="s">
        <v>157</v>
      </c>
      <c r="C71" s="32"/>
      <c r="D71" s="10" t="s">
        <v>29</v>
      </c>
      <c r="E71" s="11"/>
      <c r="F71" s="11" t="s">
        <v>18</v>
      </c>
      <c r="G71" s="13"/>
      <c r="H71" s="45" t="s">
        <v>16</v>
      </c>
      <c r="I71" s="46"/>
      <c r="J71" s="12" t="s">
        <v>4731</v>
      </c>
      <c r="K71" s="13" t="s">
        <v>6871</v>
      </c>
      <c r="L71" s="99" t="str">
        <f t="shared" si="3"/>
        <v>W2201.4</v>
      </c>
      <c r="M71" s="13" t="s">
        <v>153</v>
      </c>
      <c r="N71" s="13"/>
      <c r="O71" s="13"/>
      <c r="P71" s="47"/>
      <c r="Q71" s="45" t="s">
        <v>3672</v>
      </c>
      <c r="R71" s="45" t="s">
        <v>5596</v>
      </c>
      <c r="S71" s="48"/>
      <c r="T71" s="49" t="str">
        <f t="shared" si="1"/>
        <v>[W2201.4]</v>
      </c>
      <c r="U71" s="12" t="str">
        <f t="shared" si="2"/>
        <v xml:space="preserve"> DOOR-42 DOOR OPEN 에러 (Y1201)</v>
      </c>
      <c r="V71" s="49" t="str">
        <f t="shared" si="4"/>
        <v>[W2201.4] DOOR-42 DOOR OPEN 에러 (Y1201)</v>
      </c>
    </row>
    <row r="72" spans="1:22" s="49" customFormat="1" ht="14.15" customHeight="1">
      <c r="A72" s="43" t="s">
        <v>3778</v>
      </c>
      <c r="B72" s="44" t="s">
        <v>157</v>
      </c>
      <c r="C72" s="32"/>
      <c r="D72" s="10" t="s">
        <v>29</v>
      </c>
      <c r="E72" s="11"/>
      <c r="F72" s="11" t="s">
        <v>18</v>
      </c>
      <c r="G72" s="13"/>
      <c r="H72" s="45" t="s">
        <v>16</v>
      </c>
      <c r="I72" s="46"/>
      <c r="J72" s="12" t="s">
        <v>4732</v>
      </c>
      <c r="K72" s="13" t="s">
        <v>6872</v>
      </c>
      <c r="L72" s="99" t="str">
        <f t="shared" si="3"/>
        <v>W2201.5</v>
      </c>
      <c r="M72" s="13" t="s">
        <v>153</v>
      </c>
      <c r="N72" s="13"/>
      <c r="O72" s="13"/>
      <c r="P72" s="47"/>
      <c r="Q72" s="45" t="s">
        <v>3672</v>
      </c>
      <c r="R72" s="45" t="s">
        <v>5596</v>
      </c>
      <c r="S72" s="48"/>
      <c r="T72" s="49" t="str">
        <f t="shared" si="1"/>
        <v>[W2201.5]</v>
      </c>
      <c r="U72" s="12" t="str">
        <f t="shared" si="2"/>
        <v xml:space="preserve"> DOOR-43 DOOR OPEN 에러 (Y1202)</v>
      </c>
      <c r="V72" s="49" t="str">
        <f t="shared" si="4"/>
        <v>[W2201.5] DOOR-43 DOOR OPEN 에러 (Y1202)</v>
      </c>
    </row>
    <row r="73" spans="1:22" s="49" customFormat="1" ht="14.15" customHeight="1">
      <c r="A73" s="43" t="s">
        <v>3778</v>
      </c>
      <c r="B73" s="44" t="s">
        <v>157</v>
      </c>
      <c r="C73" s="32"/>
      <c r="D73" s="10" t="s">
        <v>29</v>
      </c>
      <c r="E73" s="11"/>
      <c r="F73" s="11" t="s">
        <v>18</v>
      </c>
      <c r="G73" s="13"/>
      <c r="H73" s="45" t="s">
        <v>16</v>
      </c>
      <c r="I73" s="46"/>
      <c r="J73" s="12" t="s">
        <v>5375</v>
      </c>
      <c r="K73" s="13" t="s">
        <v>6873</v>
      </c>
      <c r="L73" s="99" t="str">
        <f t="shared" si="3"/>
        <v>W2201.6</v>
      </c>
      <c r="M73" s="13" t="s">
        <v>153</v>
      </c>
      <c r="N73" s="13"/>
      <c r="O73" s="13"/>
      <c r="P73" s="47"/>
      <c r="Q73" s="45" t="s">
        <v>3672</v>
      </c>
      <c r="R73" s="45" t="s">
        <v>5553</v>
      </c>
      <c r="S73" s="48"/>
      <c r="T73" s="49" t="str">
        <f t="shared" si="1"/>
        <v>[W2201.6]</v>
      </c>
      <c r="U73" s="12" t="str">
        <f t="shared" si="2"/>
        <v xml:space="preserve"> DOOR-44 DOOR OPEN 에러 (Y1203)</v>
      </c>
      <c r="V73" s="49" t="str">
        <f t="shared" si="4"/>
        <v>[W2201.6] DOOR-44 DOOR OPEN 에러 (Y1203)</v>
      </c>
    </row>
    <row r="74" spans="1:22" s="49" customFormat="1" ht="14.15" customHeight="1">
      <c r="A74" s="43" t="s">
        <v>3778</v>
      </c>
      <c r="B74" s="44" t="s">
        <v>157</v>
      </c>
      <c r="C74" s="32"/>
      <c r="D74" s="10" t="s">
        <v>29</v>
      </c>
      <c r="E74" s="11"/>
      <c r="F74" s="11" t="s">
        <v>18</v>
      </c>
      <c r="G74" s="13"/>
      <c r="H74" s="45" t="s">
        <v>16</v>
      </c>
      <c r="I74" s="46"/>
      <c r="J74" s="12" t="s">
        <v>5376</v>
      </c>
      <c r="K74" s="13" t="s">
        <v>6874</v>
      </c>
      <c r="L74" s="99" t="str">
        <f t="shared" si="3"/>
        <v>W2201.7</v>
      </c>
      <c r="M74" s="13" t="s">
        <v>153</v>
      </c>
      <c r="N74" s="13"/>
      <c r="O74" s="13"/>
      <c r="P74" s="47"/>
      <c r="Q74" s="45" t="s">
        <v>3672</v>
      </c>
      <c r="R74" s="45" t="s">
        <v>5553</v>
      </c>
      <c r="S74" s="48"/>
      <c r="T74" s="49" t="str">
        <f t="shared" si="1"/>
        <v>[W2201.7]</v>
      </c>
      <c r="U74" s="12" t="str">
        <f t="shared" si="2"/>
        <v xml:space="preserve"> DOOR-45 DOOR OPEN 에러 (Y1204)</v>
      </c>
      <c r="V74" s="49" t="str">
        <f t="shared" si="4"/>
        <v>[W2201.7] DOOR-45 DOOR OPEN 에러 (Y1204)</v>
      </c>
    </row>
    <row r="75" spans="1:22" s="49" customFormat="1" ht="14.15" customHeight="1">
      <c r="A75" s="43" t="s">
        <v>3778</v>
      </c>
      <c r="B75" s="44" t="s">
        <v>157</v>
      </c>
      <c r="C75" s="32"/>
      <c r="D75" s="10" t="s">
        <v>29</v>
      </c>
      <c r="E75" s="11"/>
      <c r="F75" s="11" t="s">
        <v>18</v>
      </c>
      <c r="G75" s="13"/>
      <c r="H75" s="45" t="s">
        <v>16</v>
      </c>
      <c r="I75" s="46"/>
      <c r="J75" s="12" t="s">
        <v>5377</v>
      </c>
      <c r="K75" s="13" t="s">
        <v>6875</v>
      </c>
      <c r="L75" s="99" t="str">
        <f t="shared" si="3"/>
        <v>W2201.8</v>
      </c>
      <c r="M75" s="13" t="s">
        <v>153</v>
      </c>
      <c r="N75" s="13"/>
      <c r="O75" s="13"/>
      <c r="P75" s="47"/>
      <c r="Q75" s="45" t="s">
        <v>3672</v>
      </c>
      <c r="R75" s="45" t="s">
        <v>5553</v>
      </c>
      <c r="S75" s="48"/>
      <c r="T75" s="49" t="str">
        <f t="shared" si="1"/>
        <v>[W2201.8]</v>
      </c>
      <c r="U75" s="12" t="str">
        <f t="shared" si="2"/>
        <v xml:space="preserve"> DOOR-46 DOOR OPEN 에러 (Y1205)</v>
      </c>
      <c r="V75" s="49" t="str">
        <f t="shared" si="4"/>
        <v>[W2201.8] DOOR-46 DOOR OPEN 에러 (Y1205)</v>
      </c>
    </row>
    <row r="76" spans="1:22" s="49" customFormat="1" ht="14.15" customHeight="1">
      <c r="A76" s="43"/>
      <c r="B76" s="44" t="s">
        <v>157</v>
      </c>
      <c r="C76" s="32"/>
      <c r="D76" s="10" t="s">
        <v>29</v>
      </c>
      <c r="E76" s="11"/>
      <c r="F76" s="11" t="s">
        <v>18</v>
      </c>
      <c r="G76" s="13"/>
      <c r="H76" s="45" t="s">
        <v>16</v>
      </c>
      <c r="I76" s="46"/>
      <c r="J76" s="12" t="s">
        <v>3789</v>
      </c>
      <c r="K76" s="13" t="s">
        <v>6876</v>
      </c>
      <c r="L76" s="99" t="str">
        <f t="shared" si="3"/>
        <v>W2201.9</v>
      </c>
      <c r="M76" s="13"/>
      <c r="N76" s="13"/>
      <c r="O76" s="13"/>
      <c r="P76" s="47"/>
      <c r="Q76" s="45"/>
      <c r="R76" s="45"/>
      <c r="S76" s="48"/>
      <c r="T76" s="49" t="str">
        <f t="shared" si="1"/>
        <v>[W2201.9]</v>
      </c>
      <c r="U76" s="12" t="str">
        <f t="shared" si="2"/>
        <v/>
      </c>
      <c r="V76" s="49" t="str">
        <f t="shared" si="4"/>
        <v>[W2201.9]</v>
      </c>
    </row>
    <row r="77" spans="1:22" s="49" customFormat="1" ht="14.15" customHeight="1">
      <c r="A77" s="43"/>
      <c r="B77" s="44" t="s">
        <v>157</v>
      </c>
      <c r="C77" s="32"/>
      <c r="D77" s="10" t="s">
        <v>29</v>
      </c>
      <c r="E77" s="11"/>
      <c r="F77" s="11" t="s">
        <v>18</v>
      </c>
      <c r="G77" s="13"/>
      <c r="H77" s="45" t="s">
        <v>16</v>
      </c>
      <c r="I77" s="46"/>
      <c r="J77" s="12" t="s">
        <v>3790</v>
      </c>
      <c r="K77" s="13" t="s">
        <v>6877</v>
      </c>
      <c r="L77" s="99" t="str">
        <f t="shared" si="3"/>
        <v>W2201.A</v>
      </c>
      <c r="M77" s="13"/>
      <c r="N77" s="13"/>
      <c r="O77" s="13"/>
      <c r="P77" s="47"/>
      <c r="Q77" s="45"/>
      <c r="R77" s="45"/>
      <c r="S77" s="48"/>
      <c r="T77" s="49" t="str">
        <f t="shared" si="1"/>
        <v>[W2201.A]</v>
      </c>
      <c r="U77" s="12" t="str">
        <f t="shared" si="2"/>
        <v/>
      </c>
      <c r="V77" s="49" t="str">
        <f t="shared" si="4"/>
        <v>[W2201.A]</v>
      </c>
    </row>
    <row r="78" spans="1:22" s="49" customFormat="1" ht="14.15" customHeight="1">
      <c r="A78" s="43"/>
      <c r="B78" s="44" t="s">
        <v>157</v>
      </c>
      <c r="C78" s="32"/>
      <c r="D78" s="10" t="s">
        <v>29</v>
      </c>
      <c r="E78" s="11"/>
      <c r="F78" s="11" t="s">
        <v>18</v>
      </c>
      <c r="G78" s="13"/>
      <c r="H78" s="45" t="s">
        <v>16</v>
      </c>
      <c r="I78" s="46"/>
      <c r="J78" s="12" t="s">
        <v>3791</v>
      </c>
      <c r="K78" s="13" t="s">
        <v>6878</v>
      </c>
      <c r="L78" s="99" t="str">
        <f t="shared" si="3"/>
        <v>W2201.B</v>
      </c>
      <c r="M78" s="13"/>
      <c r="N78" s="13"/>
      <c r="O78" s="13"/>
      <c r="P78" s="47"/>
      <c r="Q78" s="45"/>
      <c r="R78" s="45"/>
      <c r="S78" s="48"/>
      <c r="T78" s="49" t="str">
        <f t="shared" si="1"/>
        <v>[W2201.B]</v>
      </c>
      <c r="U78" s="12" t="str">
        <f t="shared" si="2"/>
        <v/>
      </c>
      <c r="V78" s="49" t="str">
        <f t="shared" si="4"/>
        <v>[W2201.B]</v>
      </c>
    </row>
    <row r="79" spans="1:22" s="49" customFormat="1" ht="14.15" customHeight="1">
      <c r="A79" s="43"/>
      <c r="B79" s="44" t="s">
        <v>157</v>
      </c>
      <c r="C79" s="32"/>
      <c r="D79" s="10" t="s">
        <v>29</v>
      </c>
      <c r="E79" s="11"/>
      <c r="F79" s="11" t="s">
        <v>18</v>
      </c>
      <c r="G79" s="13"/>
      <c r="H79" s="45" t="s">
        <v>16</v>
      </c>
      <c r="I79" s="46"/>
      <c r="J79" s="12" t="s">
        <v>3792</v>
      </c>
      <c r="K79" s="13" t="s">
        <v>6879</v>
      </c>
      <c r="L79" s="99" t="str">
        <f t="shared" si="3"/>
        <v>W2201.C</v>
      </c>
      <c r="M79" s="13"/>
      <c r="N79" s="13"/>
      <c r="O79" s="13"/>
      <c r="P79" s="47"/>
      <c r="Q79" s="45"/>
      <c r="R79" s="45"/>
      <c r="S79" s="48"/>
      <c r="T79" s="49" t="str">
        <f t="shared" si="1"/>
        <v>[W2201.C]</v>
      </c>
      <c r="U79" s="12" t="str">
        <f t="shared" si="2"/>
        <v/>
      </c>
      <c r="V79" s="49" t="str">
        <f t="shared" si="4"/>
        <v>[W2201.C]</v>
      </c>
    </row>
    <row r="80" spans="1:22" s="49" customFormat="1" ht="14.15" customHeight="1">
      <c r="A80" s="43" t="s">
        <v>3778</v>
      </c>
      <c r="B80" s="44" t="s">
        <v>157</v>
      </c>
      <c r="C80" s="32"/>
      <c r="D80" s="10" t="s">
        <v>29</v>
      </c>
      <c r="E80" s="11"/>
      <c r="F80" s="11" t="s">
        <v>18</v>
      </c>
      <c r="G80" s="13"/>
      <c r="H80" s="45" t="s">
        <v>16</v>
      </c>
      <c r="I80" s="46"/>
      <c r="J80" s="12" t="s">
        <v>4733</v>
      </c>
      <c r="K80" s="13" t="s">
        <v>6880</v>
      </c>
      <c r="L80" s="99" t="str">
        <f t="shared" si="3"/>
        <v>W2201.D</v>
      </c>
      <c r="M80" s="13" t="s">
        <v>153</v>
      </c>
      <c r="N80" s="13"/>
      <c r="O80" s="13"/>
      <c r="P80" s="47"/>
      <c r="Q80" s="45" t="s">
        <v>3672</v>
      </c>
      <c r="R80" s="45" t="s">
        <v>5553</v>
      </c>
      <c r="S80" s="48"/>
      <c r="T80" s="49" t="str">
        <f t="shared" si="1"/>
        <v>[W2201.D]</v>
      </c>
      <c r="U80" s="12" t="str">
        <f t="shared" si="2"/>
        <v xml:space="preserve"> 팬던트 비상정지 에러 (X86C)</v>
      </c>
      <c r="V80" s="49" t="str">
        <f t="shared" si="4"/>
        <v>[W2201.D] 팬던트 비상정지 에러 (X86C)</v>
      </c>
    </row>
    <row r="81" spans="1:22" s="49" customFormat="1" ht="14.15" customHeight="1">
      <c r="A81" s="43"/>
      <c r="B81" s="44" t="s">
        <v>157</v>
      </c>
      <c r="C81" s="32"/>
      <c r="D81" s="10" t="s">
        <v>29</v>
      </c>
      <c r="E81" s="11"/>
      <c r="F81" s="11" t="s">
        <v>18</v>
      </c>
      <c r="G81" s="13"/>
      <c r="H81" s="45" t="s">
        <v>16</v>
      </c>
      <c r="I81" s="46"/>
      <c r="J81" s="12" t="s">
        <v>3793</v>
      </c>
      <c r="K81" s="13" t="s">
        <v>6881</v>
      </c>
      <c r="L81" s="99" t="str">
        <f t="shared" si="3"/>
        <v>W2201.E</v>
      </c>
      <c r="M81" s="13"/>
      <c r="N81" s="13"/>
      <c r="O81" s="13"/>
      <c r="P81" s="47"/>
      <c r="Q81" s="45"/>
      <c r="R81" s="45"/>
      <c r="S81" s="48"/>
      <c r="T81" s="49" t="str">
        <f t="shared" si="1"/>
        <v>[W2201.E]</v>
      </c>
      <c r="U81" s="12" t="str">
        <f t="shared" si="2"/>
        <v/>
      </c>
      <c r="V81" s="49" t="str">
        <f t="shared" si="4"/>
        <v>[W2201.E]</v>
      </c>
    </row>
    <row r="82" spans="1:22" s="49" customFormat="1" ht="14.15" customHeight="1">
      <c r="A82" s="43"/>
      <c r="B82" s="44" t="s">
        <v>157</v>
      </c>
      <c r="C82" s="32"/>
      <c r="D82" s="10" t="s">
        <v>29</v>
      </c>
      <c r="E82" s="11"/>
      <c r="F82" s="11" t="s">
        <v>18</v>
      </c>
      <c r="G82" s="13"/>
      <c r="H82" s="45" t="s">
        <v>16</v>
      </c>
      <c r="I82" s="46"/>
      <c r="J82" s="12" t="s">
        <v>3794</v>
      </c>
      <c r="K82" s="13" t="s">
        <v>6882</v>
      </c>
      <c r="L82" s="99" t="str">
        <f t="shared" si="3"/>
        <v>W2201.F</v>
      </c>
      <c r="M82" s="13"/>
      <c r="N82" s="13"/>
      <c r="O82" s="13"/>
      <c r="P82" s="47"/>
      <c r="Q82" s="45"/>
      <c r="R82" s="45"/>
      <c r="S82" s="48"/>
      <c r="T82" s="49" t="str">
        <f t="shared" si="1"/>
        <v>[W2201.F]</v>
      </c>
      <c r="U82" s="12" t="str">
        <f t="shared" si="2"/>
        <v/>
      </c>
      <c r="V82" s="49" t="str">
        <f t="shared" si="4"/>
        <v>[W2201.F]</v>
      </c>
    </row>
    <row r="83" spans="1:22" s="49" customFormat="1" ht="14.15" customHeight="1">
      <c r="A83" s="43"/>
      <c r="B83" s="44" t="s">
        <v>157</v>
      </c>
      <c r="C83" s="32"/>
      <c r="D83" s="10" t="s">
        <v>29</v>
      </c>
      <c r="E83" s="11"/>
      <c r="F83" s="11" t="s">
        <v>18</v>
      </c>
      <c r="G83" s="13"/>
      <c r="H83" s="45" t="s">
        <v>16</v>
      </c>
      <c r="I83" s="46"/>
      <c r="J83" s="12" t="s">
        <v>3795</v>
      </c>
      <c r="K83" s="13" t="s">
        <v>6883</v>
      </c>
      <c r="L83" s="99" t="str">
        <f t="shared" si="3"/>
        <v>W2202.0</v>
      </c>
      <c r="M83" s="13"/>
      <c r="N83" s="13"/>
      <c r="O83" s="13"/>
      <c r="P83" s="47"/>
      <c r="Q83" s="45"/>
      <c r="R83" s="45"/>
      <c r="S83" s="48"/>
      <c r="T83" s="49" t="str">
        <f t="shared" si="1"/>
        <v>[W2202.0]</v>
      </c>
      <c r="U83" s="12" t="str">
        <f t="shared" si="2"/>
        <v/>
      </c>
      <c r="V83" s="49" t="str">
        <f t="shared" si="4"/>
        <v>[W2202.0]</v>
      </c>
    </row>
    <row r="84" spans="1:22" s="49" customFormat="1" ht="14.15" customHeight="1">
      <c r="A84" s="43"/>
      <c r="B84" s="44" t="s">
        <v>157</v>
      </c>
      <c r="C84" s="32"/>
      <c r="D84" s="10" t="s">
        <v>29</v>
      </c>
      <c r="E84" s="11"/>
      <c r="F84" s="11" t="s">
        <v>18</v>
      </c>
      <c r="G84" s="13"/>
      <c r="H84" s="45" t="s">
        <v>16</v>
      </c>
      <c r="I84" s="46"/>
      <c r="J84" s="12" t="s">
        <v>3796</v>
      </c>
      <c r="K84" s="13" t="s">
        <v>6884</v>
      </c>
      <c r="L84" s="99" t="str">
        <f t="shared" si="3"/>
        <v>W2202.1</v>
      </c>
      <c r="M84" s="13"/>
      <c r="N84" s="13"/>
      <c r="O84" s="13"/>
      <c r="P84" s="47"/>
      <c r="Q84" s="45"/>
      <c r="R84" s="45"/>
      <c r="S84" s="48"/>
      <c r="T84" s="49" t="str">
        <f t="shared" si="1"/>
        <v>[W2202.1]</v>
      </c>
      <c r="U84" s="12" t="str">
        <f t="shared" si="2"/>
        <v/>
      </c>
      <c r="V84" s="49" t="str">
        <f t="shared" si="4"/>
        <v>[W2202.1]</v>
      </c>
    </row>
    <row r="85" spans="1:22" s="49" customFormat="1" ht="14.15" customHeight="1">
      <c r="A85" s="43"/>
      <c r="B85" s="44" t="s">
        <v>157</v>
      </c>
      <c r="C85" s="32"/>
      <c r="D85" s="10" t="s">
        <v>29</v>
      </c>
      <c r="E85" s="11"/>
      <c r="F85" s="11" t="s">
        <v>18</v>
      </c>
      <c r="G85" s="13"/>
      <c r="H85" s="45" t="s">
        <v>16</v>
      </c>
      <c r="I85" s="46"/>
      <c r="J85" s="12" t="s">
        <v>3797</v>
      </c>
      <c r="K85" s="13" t="s">
        <v>6885</v>
      </c>
      <c r="L85" s="99" t="str">
        <f t="shared" si="3"/>
        <v>W2202.2</v>
      </c>
      <c r="M85" s="13"/>
      <c r="N85" s="13"/>
      <c r="O85" s="13"/>
      <c r="P85" s="47"/>
      <c r="Q85" s="45"/>
      <c r="R85" s="45"/>
      <c r="S85" s="48"/>
      <c r="T85" s="49" t="str">
        <f t="shared" si="1"/>
        <v>[W2202.2]</v>
      </c>
      <c r="U85" s="12" t="str">
        <f t="shared" si="2"/>
        <v/>
      </c>
      <c r="V85" s="49" t="str">
        <f t="shared" si="4"/>
        <v>[W2202.2]</v>
      </c>
    </row>
    <row r="86" spans="1:22" s="49" customFormat="1" ht="14.15" customHeight="1">
      <c r="A86" s="43"/>
      <c r="B86" s="44" t="s">
        <v>157</v>
      </c>
      <c r="C86" s="32"/>
      <c r="D86" s="10" t="s">
        <v>29</v>
      </c>
      <c r="E86" s="11"/>
      <c r="F86" s="11" t="s">
        <v>18</v>
      </c>
      <c r="G86" s="13"/>
      <c r="H86" s="45" t="s">
        <v>16</v>
      </c>
      <c r="I86" s="46"/>
      <c r="J86" s="12" t="s">
        <v>3798</v>
      </c>
      <c r="K86" s="13" t="s">
        <v>6886</v>
      </c>
      <c r="L86" s="99" t="str">
        <f t="shared" si="3"/>
        <v>W2202.3</v>
      </c>
      <c r="M86" s="13"/>
      <c r="N86" s="13"/>
      <c r="O86" s="13"/>
      <c r="P86" s="47"/>
      <c r="Q86" s="45"/>
      <c r="R86" s="45"/>
      <c r="S86" s="48"/>
      <c r="T86" s="49" t="str">
        <f t="shared" si="1"/>
        <v>[W2202.3]</v>
      </c>
      <c r="U86" s="12" t="str">
        <f t="shared" si="2"/>
        <v/>
      </c>
      <c r="V86" s="49" t="str">
        <f t="shared" si="4"/>
        <v>[W2202.3]</v>
      </c>
    </row>
    <row r="87" spans="1:22" s="49" customFormat="1" ht="14.15" customHeight="1">
      <c r="A87" s="43"/>
      <c r="B87" s="44" t="s">
        <v>157</v>
      </c>
      <c r="C87" s="32"/>
      <c r="D87" s="10" t="s">
        <v>29</v>
      </c>
      <c r="E87" s="11"/>
      <c r="F87" s="11" t="s">
        <v>18</v>
      </c>
      <c r="G87" s="13"/>
      <c r="H87" s="45" t="s">
        <v>16</v>
      </c>
      <c r="I87" s="46"/>
      <c r="J87" s="12" t="s">
        <v>3799</v>
      </c>
      <c r="K87" s="13" t="s">
        <v>6887</v>
      </c>
      <c r="L87" s="99" t="str">
        <f t="shared" si="3"/>
        <v>W2202.4</v>
      </c>
      <c r="M87" s="13"/>
      <c r="N87" s="13"/>
      <c r="O87" s="13"/>
      <c r="P87" s="47"/>
      <c r="Q87" s="45"/>
      <c r="R87" s="45"/>
      <c r="S87" s="48"/>
      <c r="T87" s="49" t="str">
        <f t="shared" si="1"/>
        <v>[W2202.4]</v>
      </c>
      <c r="U87" s="12" t="str">
        <f t="shared" si="2"/>
        <v/>
      </c>
      <c r="V87" s="49" t="str">
        <f t="shared" si="4"/>
        <v>[W2202.4]</v>
      </c>
    </row>
    <row r="88" spans="1:22" s="49" customFormat="1" ht="14.15" customHeight="1">
      <c r="A88" s="43"/>
      <c r="B88" s="44" t="s">
        <v>157</v>
      </c>
      <c r="C88" s="32"/>
      <c r="D88" s="10" t="s">
        <v>29</v>
      </c>
      <c r="E88" s="11"/>
      <c r="F88" s="11" t="s">
        <v>18</v>
      </c>
      <c r="G88" s="13"/>
      <c r="H88" s="45" t="s">
        <v>16</v>
      </c>
      <c r="I88" s="46"/>
      <c r="J88" s="12" t="s">
        <v>3800</v>
      </c>
      <c r="K88" s="13" t="s">
        <v>6888</v>
      </c>
      <c r="L88" s="99" t="str">
        <f t="shared" si="3"/>
        <v>W2202.5</v>
      </c>
      <c r="M88" s="13"/>
      <c r="N88" s="13"/>
      <c r="O88" s="13"/>
      <c r="P88" s="47"/>
      <c r="Q88" s="45"/>
      <c r="R88" s="45"/>
      <c r="S88" s="48"/>
      <c r="T88" s="49" t="str">
        <f t="shared" si="1"/>
        <v>[W2202.5]</v>
      </c>
      <c r="U88" s="12" t="str">
        <f t="shared" si="2"/>
        <v/>
      </c>
      <c r="V88" s="49" t="str">
        <f t="shared" si="4"/>
        <v>[W2202.5]</v>
      </c>
    </row>
    <row r="89" spans="1:22" s="49" customFormat="1" ht="14.15" customHeight="1">
      <c r="A89" s="43"/>
      <c r="B89" s="44" t="s">
        <v>157</v>
      </c>
      <c r="C89" s="32"/>
      <c r="D89" s="10" t="s">
        <v>29</v>
      </c>
      <c r="E89" s="11"/>
      <c r="F89" s="11" t="s">
        <v>18</v>
      </c>
      <c r="G89" s="13"/>
      <c r="H89" s="45" t="s">
        <v>16</v>
      </c>
      <c r="I89" s="46"/>
      <c r="J89" s="12" t="s">
        <v>3801</v>
      </c>
      <c r="K89" s="13" t="s">
        <v>6889</v>
      </c>
      <c r="L89" s="99" t="str">
        <f t="shared" si="3"/>
        <v>W2202.6</v>
      </c>
      <c r="M89" s="13"/>
      <c r="N89" s="13"/>
      <c r="O89" s="13"/>
      <c r="P89" s="47"/>
      <c r="Q89" s="45"/>
      <c r="R89" s="45"/>
      <c r="S89" s="48"/>
      <c r="T89" s="49" t="str">
        <f t="shared" si="1"/>
        <v>[W2202.6]</v>
      </c>
      <c r="U89" s="12" t="str">
        <f t="shared" si="2"/>
        <v/>
      </c>
      <c r="V89" s="49" t="str">
        <f t="shared" si="4"/>
        <v>[W2202.6]</v>
      </c>
    </row>
    <row r="90" spans="1:22" s="49" customFormat="1" ht="14.15" customHeight="1">
      <c r="A90" s="43"/>
      <c r="B90" s="44" t="s">
        <v>157</v>
      </c>
      <c r="C90" s="32"/>
      <c r="D90" s="10" t="s">
        <v>29</v>
      </c>
      <c r="E90" s="11"/>
      <c r="F90" s="11" t="s">
        <v>18</v>
      </c>
      <c r="G90" s="13"/>
      <c r="H90" s="45" t="s">
        <v>16</v>
      </c>
      <c r="I90" s="46"/>
      <c r="J90" s="12" t="s">
        <v>3802</v>
      </c>
      <c r="K90" s="13" t="s">
        <v>6890</v>
      </c>
      <c r="L90" s="99" t="str">
        <f t="shared" si="3"/>
        <v>W2202.7</v>
      </c>
      <c r="M90" s="13"/>
      <c r="N90" s="13"/>
      <c r="O90" s="13"/>
      <c r="P90" s="47"/>
      <c r="Q90" s="45"/>
      <c r="R90" s="45"/>
      <c r="S90" s="48"/>
      <c r="T90" s="49" t="str">
        <f t="shared" si="1"/>
        <v>[W2202.7]</v>
      </c>
      <c r="U90" s="12" t="str">
        <f t="shared" si="2"/>
        <v/>
      </c>
      <c r="V90" s="49" t="str">
        <f t="shared" si="4"/>
        <v>[W2202.7]</v>
      </c>
    </row>
    <row r="91" spans="1:22" s="49" customFormat="1" ht="14.15" customHeight="1">
      <c r="A91" s="43"/>
      <c r="B91" s="44" t="s">
        <v>157</v>
      </c>
      <c r="C91" s="32"/>
      <c r="D91" s="10" t="s">
        <v>29</v>
      </c>
      <c r="E91" s="11"/>
      <c r="F91" s="11" t="s">
        <v>18</v>
      </c>
      <c r="G91" s="13"/>
      <c r="H91" s="45" t="s">
        <v>16</v>
      </c>
      <c r="I91" s="46"/>
      <c r="J91" s="12" t="s">
        <v>3803</v>
      </c>
      <c r="K91" s="13" t="s">
        <v>6891</v>
      </c>
      <c r="L91" s="99" t="str">
        <f t="shared" si="3"/>
        <v>W2202.8</v>
      </c>
      <c r="M91" s="13"/>
      <c r="N91" s="13"/>
      <c r="O91" s="13"/>
      <c r="P91" s="47"/>
      <c r="Q91" s="45"/>
      <c r="R91" s="45"/>
      <c r="S91" s="48"/>
      <c r="T91" s="49" t="str">
        <f t="shared" si="1"/>
        <v>[W2202.8]</v>
      </c>
      <c r="U91" s="12" t="str">
        <f t="shared" si="2"/>
        <v/>
      </c>
      <c r="V91" s="49" t="str">
        <f t="shared" si="4"/>
        <v>[W2202.8]</v>
      </c>
    </row>
    <row r="92" spans="1:22" s="49" customFormat="1" ht="14.15" customHeight="1">
      <c r="A92" s="43"/>
      <c r="B92" s="44" t="s">
        <v>157</v>
      </c>
      <c r="C92" s="32"/>
      <c r="D92" s="10" t="s">
        <v>29</v>
      </c>
      <c r="E92" s="11"/>
      <c r="F92" s="11" t="s">
        <v>18</v>
      </c>
      <c r="G92" s="13"/>
      <c r="H92" s="45" t="s">
        <v>16</v>
      </c>
      <c r="I92" s="46"/>
      <c r="J92" s="12" t="s">
        <v>3804</v>
      </c>
      <c r="K92" s="13" t="s">
        <v>6892</v>
      </c>
      <c r="L92" s="99" t="str">
        <f t="shared" si="3"/>
        <v>W2202.9</v>
      </c>
      <c r="M92" s="13"/>
      <c r="N92" s="13"/>
      <c r="O92" s="13"/>
      <c r="P92" s="47"/>
      <c r="Q92" s="45"/>
      <c r="R92" s="45"/>
      <c r="S92" s="48"/>
      <c r="T92" s="49" t="str">
        <f t="shared" si="1"/>
        <v>[W2202.9]</v>
      </c>
      <c r="U92" s="12" t="str">
        <f t="shared" si="2"/>
        <v/>
      </c>
      <c r="V92" s="49" t="str">
        <f t="shared" si="4"/>
        <v>[W2202.9]</v>
      </c>
    </row>
    <row r="93" spans="1:22" s="49" customFormat="1" ht="14.15" customHeight="1">
      <c r="A93" s="43"/>
      <c r="B93" s="44" t="s">
        <v>157</v>
      </c>
      <c r="C93" s="32"/>
      <c r="D93" s="10" t="s">
        <v>29</v>
      </c>
      <c r="E93" s="11"/>
      <c r="F93" s="11" t="s">
        <v>18</v>
      </c>
      <c r="G93" s="13"/>
      <c r="H93" s="45" t="s">
        <v>16</v>
      </c>
      <c r="I93" s="46"/>
      <c r="J93" s="12" t="s">
        <v>3805</v>
      </c>
      <c r="K93" s="13" t="s">
        <v>6893</v>
      </c>
      <c r="L93" s="99" t="str">
        <f t="shared" si="3"/>
        <v>W2202.A</v>
      </c>
      <c r="M93" s="13"/>
      <c r="N93" s="13"/>
      <c r="O93" s="13"/>
      <c r="P93" s="47"/>
      <c r="Q93" s="45"/>
      <c r="R93" s="45"/>
      <c r="S93" s="48"/>
      <c r="T93" s="49" t="str">
        <f t="shared" si="1"/>
        <v>[W2202.A]</v>
      </c>
      <c r="U93" s="12" t="str">
        <f t="shared" si="2"/>
        <v/>
      </c>
      <c r="V93" s="49" t="str">
        <f t="shared" si="4"/>
        <v>[W2202.A]</v>
      </c>
    </row>
    <row r="94" spans="1:22" s="49" customFormat="1" ht="14.15" customHeight="1">
      <c r="A94" s="43"/>
      <c r="B94" s="44" t="s">
        <v>157</v>
      </c>
      <c r="C94" s="32"/>
      <c r="D94" s="10" t="s">
        <v>29</v>
      </c>
      <c r="E94" s="11"/>
      <c r="F94" s="11" t="s">
        <v>18</v>
      </c>
      <c r="G94" s="13"/>
      <c r="H94" s="45" t="s">
        <v>16</v>
      </c>
      <c r="I94" s="46"/>
      <c r="J94" s="12" t="s">
        <v>3806</v>
      </c>
      <c r="K94" s="13" t="s">
        <v>6894</v>
      </c>
      <c r="L94" s="99" t="str">
        <f t="shared" si="3"/>
        <v>W2202.B</v>
      </c>
      <c r="M94" s="13"/>
      <c r="N94" s="13"/>
      <c r="O94" s="13"/>
      <c r="P94" s="47"/>
      <c r="Q94" s="45"/>
      <c r="R94" s="45"/>
      <c r="S94" s="48"/>
      <c r="T94" s="49" t="str">
        <f t="shared" si="1"/>
        <v>[W2202.B]</v>
      </c>
      <c r="U94" s="12" t="str">
        <f t="shared" si="2"/>
        <v/>
      </c>
      <c r="V94" s="49" t="str">
        <f t="shared" si="4"/>
        <v>[W2202.B]</v>
      </c>
    </row>
    <row r="95" spans="1:22" s="49" customFormat="1" ht="14.15" customHeight="1">
      <c r="A95" s="43"/>
      <c r="B95" s="44" t="s">
        <v>157</v>
      </c>
      <c r="C95" s="32"/>
      <c r="D95" s="10" t="s">
        <v>29</v>
      </c>
      <c r="E95" s="11"/>
      <c r="F95" s="11" t="s">
        <v>18</v>
      </c>
      <c r="G95" s="13"/>
      <c r="H95" s="45" t="s">
        <v>16</v>
      </c>
      <c r="I95" s="46"/>
      <c r="J95" s="12" t="s">
        <v>3807</v>
      </c>
      <c r="K95" s="13" t="s">
        <v>6895</v>
      </c>
      <c r="L95" s="99" t="str">
        <f t="shared" si="3"/>
        <v>W2202.C</v>
      </c>
      <c r="M95" s="13"/>
      <c r="N95" s="13"/>
      <c r="O95" s="13"/>
      <c r="P95" s="47"/>
      <c r="Q95" s="45"/>
      <c r="R95" s="45"/>
      <c r="S95" s="48"/>
      <c r="T95" s="49" t="str">
        <f t="shared" si="1"/>
        <v>[W2202.C]</v>
      </c>
      <c r="U95" s="12" t="str">
        <f t="shared" si="2"/>
        <v/>
      </c>
      <c r="V95" s="49" t="str">
        <f t="shared" si="4"/>
        <v>[W2202.C]</v>
      </c>
    </row>
    <row r="96" spans="1:22" s="49" customFormat="1" ht="14.15" customHeight="1">
      <c r="A96" s="43"/>
      <c r="B96" s="44" t="s">
        <v>157</v>
      </c>
      <c r="C96" s="32"/>
      <c r="D96" s="10" t="s">
        <v>29</v>
      </c>
      <c r="E96" s="11"/>
      <c r="F96" s="11" t="s">
        <v>18</v>
      </c>
      <c r="G96" s="13"/>
      <c r="H96" s="45" t="s">
        <v>16</v>
      </c>
      <c r="I96" s="46"/>
      <c r="J96" s="12" t="s">
        <v>3808</v>
      </c>
      <c r="K96" s="13" t="s">
        <v>6896</v>
      </c>
      <c r="L96" s="99" t="str">
        <f t="shared" si="3"/>
        <v>W2202.D</v>
      </c>
      <c r="M96" s="13"/>
      <c r="N96" s="13"/>
      <c r="O96" s="13"/>
      <c r="P96" s="47"/>
      <c r="Q96" s="45"/>
      <c r="R96" s="45"/>
      <c r="S96" s="48"/>
      <c r="T96" s="49" t="str">
        <f t="shared" si="1"/>
        <v>[W2202.D]</v>
      </c>
      <c r="U96" s="12" t="str">
        <f t="shared" si="2"/>
        <v/>
      </c>
      <c r="V96" s="49" t="str">
        <f t="shared" si="4"/>
        <v>[W2202.D]</v>
      </c>
    </row>
    <row r="97" spans="1:22" s="49" customFormat="1" ht="14.15" customHeight="1">
      <c r="A97" s="43"/>
      <c r="B97" s="44" t="s">
        <v>157</v>
      </c>
      <c r="C97" s="32"/>
      <c r="D97" s="10" t="s">
        <v>29</v>
      </c>
      <c r="E97" s="11"/>
      <c r="F97" s="11" t="s">
        <v>18</v>
      </c>
      <c r="G97" s="13"/>
      <c r="H97" s="45" t="s">
        <v>16</v>
      </c>
      <c r="I97" s="46"/>
      <c r="J97" s="12" t="s">
        <v>3809</v>
      </c>
      <c r="K97" s="13" t="s">
        <v>6897</v>
      </c>
      <c r="L97" s="99" t="str">
        <f t="shared" si="3"/>
        <v>W2202.E</v>
      </c>
      <c r="M97" s="13"/>
      <c r="N97" s="13"/>
      <c r="O97" s="13"/>
      <c r="P97" s="47"/>
      <c r="Q97" s="45"/>
      <c r="R97" s="45"/>
      <c r="S97" s="48"/>
      <c r="T97" s="49" t="str">
        <f t="shared" si="1"/>
        <v>[W2202.E]</v>
      </c>
      <c r="U97" s="12" t="str">
        <f t="shared" si="2"/>
        <v/>
      </c>
      <c r="V97" s="49" t="str">
        <f t="shared" si="4"/>
        <v>[W2202.E]</v>
      </c>
    </row>
    <row r="98" spans="1:22" s="49" customFormat="1" ht="14.15" customHeight="1">
      <c r="A98" s="43"/>
      <c r="B98" s="44" t="s">
        <v>157</v>
      </c>
      <c r="C98" s="32"/>
      <c r="D98" s="10" t="s">
        <v>29</v>
      </c>
      <c r="E98" s="11"/>
      <c r="F98" s="11" t="s">
        <v>18</v>
      </c>
      <c r="G98" s="13"/>
      <c r="H98" s="45" t="s">
        <v>16</v>
      </c>
      <c r="I98" s="46"/>
      <c r="J98" s="12" t="s">
        <v>3810</v>
      </c>
      <c r="K98" s="13" t="s">
        <v>6898</v>
      </c>
      <c r="L98" s="99" t="str">
        <f t="shared" si="3"/>
        <v>W2202.F</v>
      </c>
      <c r="M98" s="13"/>
      <c r="N98" s="13"/>
      <c r="O98" s="13"/>
      <c r="P98" s="47"/>
      <c r="Q98" s="45"/>
      <c r="R98" s="45"/>
      <c r="S98" s="48"/>
      <c r="T98" s="49" t="str">
        <f t="shared" si="1"/>
        <v>[W2202.F]</v>
      </c>
      <c r="U98" s="12" t="str">
        <f t="shared" si="2"/>
        <v/>
      </c>
      <c r="V98" s="49" t="str">
        <f t="shared" si="4"/>
        <v>[W2202.F]</v>
      </c>
    </row>
    <row r="99" spans="1:22" s="49" customFormat="1" ht="14.15" customHeight="1">
      <c r="A99" s="43"/>
      <c r="B99" s="44" t="s">
        <v>157</v>
      </c>
      <c r="C99" s="32"/>
      <c r="D99" s="10" t="s">
        <v>29</v>
      </c>
      <c r="E99" s="11"/>
      <c r="F99" s="11" t="s">
        <v>18</v>
      </c>
      <c r="G99" s="13"/>
      <c r="H99" s="45" t="s">
        <v>16</v>
      </c>
      <c r="I99" s="46"/>
      <c r="J99" s="12" t="s">
        <v>3811</v>
      </c>
      <c r="K99" s="13" t="s">
        <v>6899</v>
      </c>
      <c r="L99" s="99" t="str">
        <f t="shared" si="3"/>
        <v>W2203.0</v>
      </c>
      <c r="M99" s="13"/>
      <c r="N99" s="13"/>
      <c r="O99" s="13"/>
      <c r="P99" s="47"/>
      <c r="Q99" s="45"/>
      <c r="R99" s="45"/>
      <c r="S99" s="48"/>
      <c r="T99" s="49" t="str">
        <f t="shared" si="1"/>
        <v>[W2203.0]</v>
      </c>
      <c r="U99" s="12" t="str">
        <f t="shared" si="2"/>
        <v/>
      </c>
      <c r="V99" s="49" t="str">
        <f t="shared" si="4"/>
        <v>[W2203.0]</v>
      </c>
    </row>
    <row r="100" spans="1:22" s="49" customFormat="1" ht="14.15" customHeight="1">
      <c r="A100" s="43"/>
      <c r="B100" s="44" t="s">
        <v>157</v>
      </c>
      <c r="C100" s="32"/>
      <c r="D100" s="10" t="s">
        <v>29</v>
      </c>
      <c r="E100" s="11"/>
      <c r="F100" s="11" t="s">
        <v>18</v>
      </c>
      <c r="G100" s="13"/>
      <c r="H100" s="45" t="s">
        <v>16</v>
      </c>
      <c r="I100" s="46"/>
      <c r="J100" s="12" t="s">
        <v>3812</v>
      </c>
      <c r="K100" s="13" t="s">
        <v>6900</v>
      </c>
      <c r="L100" s="99" t="str">
        <f t="shared" si="3"/>
        <v>W2203.1</v>
      </c>
      <c r="M100" s="13"/>
      <c r="N100" s="13"/>
      <c r="O100" s="13"/>
      <c r="P100" s="47"/>
      <c r="Q100" s="45"/>
      <c r="R100" s="45"/>
      <c r="S100" s="48"/>
      <c r="T100" s="49" t="str">
        <f t="shared" si="1"/>
        <v>[W2203.1]</v>
      </c>
      <c r="U100" s="12" t="str">
        <f t="shared" si="2"/>
        <v/>
      </c>
      <c r="V100" s="49" t="str">
        <f t="shared" si="4"/>
        <v>[W2203.1]</v>
      </c>
    </row>
    <row r="101" spans="1:22" s="49" customFormat="1" ht="14.15" customHeight="1">
      <c r="A101" s="43"/>
      <c r="B101" s="44" t="s">
        <v>157</v>
      </c>
      <c r="C101" s="32"/>
      <c r="D101" s="10" t="s">
        <v>29</v>
      </c>
      <c r="E101" s="11"/>
      <c r="F101" s="11" t="s">
        <v>18</v>
      </c>
      <c r="G101" s="13"/>
      <c r="H101" s="45" t="s">
        <v>16</v>
      </c>
      <c r="I101" s="46"/>
      <c r="J101" s="12" t="s">
        <v>3813</v>
      </c>
      <c r="K101" s="13" t="s">
        <v>6901</v>
      </c>
      <c r="L101" s="99" t="str">
        <f t="shared" si="3"/>
        <v>W2203.2</v>
      </c>
      <c r="M101" s="13"/>
      <c r="N101" s="13"/>
      <c r="O101" s="13"/>
      <c r="P101" s="47"/>
      <c r="Q101" s="45"/>
      <c r="R101" s="45"/>
      <c r="S101" s="48"/>
      <c r="T101" s="49" t="str">
        <f t="shared" si="1"/>
        <v>[W2203.2]</v>
      </c>
      <c r="U101" s="12" t="str">
        <f t="shared" si="2"/>
        <v/>
      </c>
      <c r="V101" s="49" t="str">
        <f t="shared" si="4"/>
        <v>[W2203.2]</v>
      </c>
    </row>
    <row r="102" spans="1:22" s="49" customFormat="1" ht="14.15" customHeight="1">
      <c r="A102" s="43"/>
      <c r="B102" s="44" t="s">
        <v>157</v>
      </c>
      <c r="C102" s="32"/>
      <c r="D102" s="10" t="s">
        <v>29</v>
      </c>
      <c r="E102" s="11"/>
      <c r="F102" s="11" t="s">
        <v>18</v>
      </c>
      <c r="G102" s="13"/>
      <c r="H102" s="45" t="s">
        <v>16</v>
      </c>
      <c r="I102" s="46"/>
      <c r="J102" s="12" t="s">
        <v>3814</v>
      </c>
      <c r="K102" s="13" t="s">
        <v>6902</v>
      </c>
      <c r="L102" s="99" t="str">
        <f t="shared" si="3"/>
        <v>W2203.3</v>
      </c>
      <c r="M102" s="13"/>
      <c r="N102" s="13"/>
      <c r="O102" s="13"/>
      <c r="P102" s="47"/>
      <c r="Q102" s="45"/>
      <c r="R102" s="45"/>
      <c r="S102" s="48"/>
      <c r="T102" s="49" t="str">
        <f t="shared" si="1"/>
        <v>[W2203.3]</v>
      </c>
      <c r="U102" s="12" t="str">
        <f t="shared" si="2"/>
        <v/>
      </c>
      <c r="V102" s="49" t="str">
        <f t="shared" si="4"/>
        <v>[W2203.3]</v>
      </c>
    </row>
    <row r="103" spans="1:22" s="49" customFormat="1" ht="14.15" customHeight="1">
      <c r="A103" s="43"/>
      <c r="B103" s="44" t="s">
        <v>157</v>
      </c>
      <c r="C103" s="32"/>
      <c r="D103" s="10" t="s">
        <v>29</v>
      </c>
      <c r="E103" s="11"/>
      <c r="F103" s="11" t="s">
        <v>18</v>
      </c>
      <c r="G103" s="13"/>
      <c r="H103" s="45" t="s">
        <v>16</v>
      </c>
      <c r="I103" s="46"/>
      <c r="J103" s="12" t="s">
        <v>3815</v>
      </c>
      <c r="K103" s="13" t="s">
        <v>6903</v>
      </c>
      <c r="L103" s="99" t="str">
        <f t="shared" si="3"/>
        <v>W2203.4</v>
      </c>
      <c r="M103" s="13"/>
      <c r="N103" s="13"/>
      <c r="O103" s="13"/>
      <c r="P103" s="47"/>
      <c r="Q103" s="45"/>
      <c r="R103" s="45"/>
      <c r="S103" s="48"/>
      <c r="T103" s="49" t="str">
        <f t="shared" si="1"/>
        <v>[W2203.4]</v>
      </c>
      <c r="U103" s="12" t="str">
        <f t="shared" si="2"/>
        <v/>
      </c>
      <c r="V103" s="49" t="str">
        <f t="shared" si="4"/>
        <v>[W2203.4]</v>
      </c>
    </row>
    <row r="104" spans="1:22" s="49" customFormat="1" ht="14.15" customHeight="1">
      <c r="A104" s="43"/>
      <c r="B104" s="44" t="s">
        <v>157</v>
      </c>
      <c r="C104" s="32"/>
      <c r="D104" s="10" t="s">
        <v>29</v>
      </c>
      <c r="E104" s="11"/>
      <c r="F104" s="11" t="s">
        <v>18</v>
      </c>
      <c r="G104" s="13"/>
      <c r="H104" s="45" t="s">
        <v>16</v>
      </c>
      <c r="I104" s="46"/>
      <c r="J104" s="12" t="s">
        <v>3816</v>
      </c>
      <c r="K104" s="13" t="s">
        <v>6904</v>
      </c>
      <c r="L104" s="99" t="str">
        <f t="shared" si="3"/>
        <v>W2203.5</v>
      </c>
      <c r="M104" s="13"/>
      <c r="N104" s="13"/>
      <c r="O104" s="13"/>
      <c r="P104" s="47"/>
      <c r="Q104" s="45"/>
      <c r="R104" s="45"/>
      <c r="S104" s="48"/>
      <c r="T104" s="49" t="str">
        <f t="shared" si="1"/>
        <v>[W2203.5]</v>
      </c>
      <c r="U104" s="12" t="str">
        <f t="shared" si="2"/>
        <v/>
      </c>
      <c r="V104" s="49" t="str">
        <f t="shared" si="4"/>
        <v>[W2203.5]</v>
      </c>
    </row>
    <row r="105" spans="1:22" s="49" customFormat="1" ht="14.15" customHeight="1">
      <c r="A105" s="43"/>
      <c r="B105" s="44" t="s">
        <v>157</v>
      </c>
      <c r="C105" s="32"/>
      <c r="D105" s="10" t="s">
        <v>29</v>
      </c>
      <c r="E105" s="11"/>
      <c r="F105" s="11" t="s">
        <v>18</v>
      </c>
      <c r="G105" s="13"/>
      <c r="H105" s="45" t="s">
        <v>16</v>
      </c>
      <c r="I105" s="46"/>
      <c r="J105" s="12" t="s">
        <v>3817</v>
      </c>
      <c r="K105" s="13" t="s">
        <v>6905</v>
      </c>
      <c r="L105" s="99" t="str">
        <f t="shared" si="3"/>
        <v>W2203.6</v>
      </c>
      <c r="M105" s="13"/>
      <c r="N105" s="13"/>
      <c r="O105" s="13"/>
      <c r="P105" s="47"/>
      <c r="Q105" s="45"/>
      <c r="R105" s="45"/>
      <c r="S105" s="48"/>
      <c r="T105" s="49" t="str">
        <f t="shared" si="1"/>
        <v>[W2203.6]</v>
      </c>
      <c r="U105" s="12" t="str">
        <f t="shared" si="2"/>
        <v/>
      </c>
      <c r="V105" s="49" t="str">
        <f t="shared" si="4"/>
        <v>[W2203.6]</v>
      </c>
    </row>
    <row r="106" spans="1:22" s="49" customFormat="1" ht="14.15" customHeight="1">
      <c r="A106" s="43"/>
      <c r="B106" s="44" t="s">
        <v>157</v>
      </c>
      <c r="C106" s="32"/>
      <c r="D106" s="10" t="s">
        <v>29</v>
      </c>
      <c r="E106" s="11"/>
      <c r="F106" s="11" t="s">
        <v>18</v>
      </c>
      <c r="G106" s="13"/>
      <c r="H106" s="45" t="s">
        <v>16</v>
      </c>
      <c r="I106" s="46"/>
      <c r="J106" s="12" t="s">
        <v>3818</v>
      </c>
      <c r="K106" s="13" t="s">
        <v>6906</v>
      </c>
      <c r="L106" s="99" t="str">
        <f t="shared" si="3"/>
        <v>W2203.7</v>
      </c>
      <c r="M106" s="13"/>
      <c r="N106" s="13"/>
      <c r="O106" s="13"/>
      <c r="P106" s="47"/>
      <c r="Q106" s="45"/>
      <c r="R106" s="45"/>
      <c r="S106" s="48"/>
      <c r="T106" s="49" t="str">
        <f t="shared" si="1"/>
        <v>[W2203.7]</v>
      </c>
      <c r="U106" s="12" t="str">
        <f t="shared" si="2"/>
        <v/>
      </c>
      <c r="V106" s="49" t="str">
        <f t="shared" si="4"/>
        <v>[W2203.7]</v>
      </c>
    </row>
    <row r="107" spans="1:22" s="49" customFormat="1" ht="14.15" customHeight="1">
      <c r="A107" s="43"/>
      <c r="B107" s="44" t="s">
        <v>157</v>
      </c>
      <c r="C107" s="32"/>
      <c r="D107" s="10" t="s">
        <v>29</v>
      </c>
      <c r="E107" s="11"/>
      <c r="F107" s="11" t="s">
        <v>18</v>
      </c>
      <c r="G107" s="13"/>
      <c r="H107" s="45" t="s">
        <v>16</v>
      </c>
      <c r="I107" s="46"/>
      <c r="J107" s="12" t="s">
        <v>3819</v>
      </c>
      <c r="K107" s="13" t="s">
        <v>6907</v>
      </c>
      <c r="L107" s="99" t="str">
        <f t="shared" si="3"/>
        <v>W2203.8</v>
      </c>
      <c r="M107" s="13"/>
      <c r="N107" s="13"/>
      <c r="O107" s="13"/>
      <c r="P107" s="47"/>
      <c r="Q107" s="45"/>
      <c r="R107" s="45"/>
      <c r="S107" s="48"/>
      <c r="T107" s="49" t="str">
        <f t="shared" si="1"/>
        <v>[W2203.8]</v>
      </c>
      <c r="U107" s="12" t="str">
        <f t="shared" si="2"/>
        <v/>
      </c>
      <c r="V107" s="49" t="str">
        <f t="shared" si="4"/>
        <v>[W2203.8]</v>
      </c>
    </row>
    <row r="108" spans="1:22" s="49" customFormat="1" ht="14.15" customHeight="1">
      <c r="A108" s="43"/>
      <c r="B108" s="44" t="s">
        <v>157</v>
      </c>
      <c r="C108" s="32"/>
      <c r="D108" s="10" t="s">
        <v>29</v>
      </c>
      <c r="E108" s="11"/>
      <c r="F108" s="11" t="s">
        <v>18</v>
      </c>
      <c r="G108" s="13"/>
      <c r="H108" s="45" t="s">
        <v>16</v>
      </c>
      <c r="I108" s="46"/>
      <c r="J108" s="12" t="s">
        <v>3820</v>
      </c>
      <c r="K108" s="13" t="s">
        <v>6908</v>
      </c>
      <c r="L108" s="99" t="str">
        <f t="shared" si="3"/>
        <v>W2203.9</v>
      </c>
      <c r="M108" s="13"/>
      <c r="N108" s="13"/>
      <c r="O108" s="13"/>
      <c r="P108" s="47"/>
      <c r="Q108" s="45"/>
      <c r="R108" s="45"/>
      <c r="S108" s="48"/>
      <c r="T108" s="49" t="str">
        <f t="shared" si="1"/>
        <v>[W2203.9]</v>
      </c>
      <c r="U108" s="12" t="str">
        <f t="shared" si="2"/>
        <v/>
      </c>
      <c r="V108" s="49" t="str">
        <f t="shared" si="4"/>
        <v>[W2203.9]</v>
      </c>
    </row>
    <row r="109" spans="1:22" s="49" customFormat="1" ht="14.15" customHeight="1">
      <c r="A109" s="43"/>
      <c r="B109" s="44" t="s">
        <v>157</v>
      </c>
      <c r="C109" s="32"/>
      <c r="D109" s="10" t="s">
        <v>29</v>
      </c>
      <c r="E109" s="11"/>
      <c r="F109" s="11" t="s">
        <v>18</v>
      </c>
      <c r="G109" s="13"/>
      <c r="H109" s="45" t="s">
        <v>16</v>
      </c>
      <c r="I109" s="46"/>
      <c r="J109" s="12" t="s">
        <v>3821</v>
      </c>
      <c r="K109" s="13" t="s">
        <v>6909</v>
      </c>
      <c r="L109" s="99" t="str">
        <f t="shared" si="3"/>
        <v>W2203.A</v>
      </c>
      <c r="M109" s="13"/>
      <c r="N109" s="13"/>
      <c r="O109" s="13"/>
      <c r="P109" s="47"/>
      <c r="Q109" s="45"/>
      <c r="R109" s="45"/>
      <c r="S109" s="48"/>
      <c r="T109" s="49" t="str">
        <f t="shared" si="1"/>
        <v>[W2203.A]</v>
      </c>
      <c r="U109" s="12" t="str">
        <f t="shared" si="2"/>
        <v/>
      </c>
      <c r="V109" s="49" t="str">
        <f t="shared" si="4"/>
        <v>[W2203.A]</v>
      </c>
    </row>
    <row r="110" spans="1:22" s="49" customFormat="1" ht="14.15" customHeight="1">
      <c r="A110" s="43"/>
      <c r="B110" s="44" t="s">
        <v>157</v>
      </c>
      <c r="C110" s="32"/>
      <c r="D110" s="10" t="s">
        <v>29</v>
      </c>
      <c r="E110" s="11"/>
      <c r="F110" s="11" t="s">
        <v>18</v>
      </c>
      <c r="G110" s="13"/>
      <c r="H110" s="45" t="s">
        <v>16</v>
      </c>
      <c r="I110" s="46"/>
      <c r="J110" s="12" t="s">
        <v>3822</v>
      </c>
      <c r="K110" s="13" t="s">
        <v>6910</v>
      </c>
      <c r="L110" s="99" t="str">
        <f t="shared" si="3"/>
        <v>W2203.B</v>
      </c>
      <c r="M110" s="13"/>
      <c r="N110" s="13"/>
      <c r="O110" s="13"/>
      <c r="P110" s="47"/>
      <c r="Q110" s="45"/>
      <c r="R110" s="45"/>
      <c r="S110" s="48"/>
      <c r="T110" s="49" t="str">
        <f t="shared" si="1"/>
        <v>[W2203.B]</v>
      </c>
      <c r="U110" s="12" t="str">
        <f t="shared" si="2"/>
        <v/>
      </c>
      <c r="V110" s="49" t="str">
        <f t="shared" si="4"/>
        <v>[W2203.B]</v>
      </c>
    </row>
    <row r="111" spans="1:22" s="49" customFormat="1" ht="14.15" customHeight="1">
      <c r="A111" s="43"/>
      <c r="B111" s="44" t="s">
        <v>157</v>
      </c>
      <c r="C111" s="32"/>
      <c r="D111" s="10" t="s">
        <v>29</v>
      </c>
      <c r="E111" s="11"/>
      <c r="F111" s="11" t="s">
        <v>18</v>
      </c>
      <c r="G111" s="13"/>
      <c r="H111" s="45" t="s">
        <v>16</v>
      </c>
      <c r="I111" s="46"/>
      <c r="J111" s="12" t="s">
        <v>3823</v>
      </c>
      <c r="K111" s="13" t="s">
        <v>6911</v>
      </c>
      <c r="L111" s="99" t="str">
        <f t="shared" si="3"/>
        <v>W2203.C</v>
      </c>
      <c r="M111" s="13"/>
      <c r="N111" s="13"/>
      <c r="O111" s="13"/>
      <c r="P111" s="47"/>
      <c r="Q111" s="45"/>
      <c r="R111" s="45"/>
      <c r="S111" s="48"/>
      <c r="T111" s="49" t="str">
        <f t="shared" si="1"/>
        <v>[W2203.C]</v>
      </c>
      <c r="U111" s="12" t="str">
        <f t="shared" si="2"/>
        <v/>
      </c>
      <c r="V111" s="49" t="str">
        <f t="shared" si="4"/>
        <v>[W2203.C]</v>
      </c>
    </row>
    <row r="112" spans="1:22" s="49" customFormat="1" ht="14.15" customHeight="1">
      <c r="A112" s="43"/>
      <c r="B112" s="44" t="s">
        <v>157</v>
      </c>
      <c r="C112" s="32"/>
      <c r="D112" s="10" t="s">
        <v>29</v>
      </c>
      <c r="E112" s="11"/>
      <c r="F112" s="11" t="s">
        <v>18</v>
      </c>
      <c r="G112" s="13"/>
      <c r="H112" s="45" t="s">
        <v>16</v>
      </c>
      <c r="I112" s="46"/>
      <c r="J112" s="12" t="s">
        <v>3824</v>
      </c>
      <c r="K112" s="13" t="s">
        <v>6912</v>
      </c>
      <c r="L112" s="99" t="str">
        <f t="shared" si="3"/>
        <v>W2203.D</v>
      </c>
      <c r="M112" s="13"/>
      <c r="N112" s="13"/>
      <c r="O112" s="13"/>
      <c r="P112" s="47"/>
      <c r="Q112" s="45"/>
      <c r="R112" s="45"/>
      <c r="S112" s="48"/>
      <c r="T112" s="49" t="str">
        <f t="shared" si="1"/>
        <v>[W2203.D]</v>
      </c>
      <c r="U112" s="12" t="str">
        <f t="shared" si="2"/>
        <v/>
      </c>
      <c r="V112" s="49" t="str">
        <f t="shared" si="4"/>
        <v>[W2203.D]</v>
      </c>
    </row>
    <row r="113" spans="1:22" s="49" customFormat="1" ht="14.15" customHeight="1">
      <c r="A113" s="43"/>
      <c r="B113" s="44" t="s">
        <v>157</v>
      </c>
      <c r="C113" s="32"/>
      <c r="D113" s="10" t="s">
        <v>29</v>
      </c>
      <c r="E113" s="11"/>
      <c r="F113" s="11" t="s">
        <v>18</v>
      </c>
      <c r="G113" s="13"/>
      <c r="H113" s="45" t="s">
        <v>16</v>
      </c>
      <c r="I113" s="46"/>
      <c r="J113" s="12" t="s">
        <v>3825</v>
      </c>
      <c r="K113" s="13" t="s">
        <v>6913</v>
      </c>
      <c r="L113" s="99" t="str">
        <f t="shared" si="3"/>
        <v>W2203.E</v>
      </c>
      <c r="M113" s="13"/>
      <c r="N113" s="13"/>
      <c r="O113" s="13"/>
      <c r="P113" s="47"/>
      <c r="Q113" s="45"/>
      <c r="R113" s="45"/>
      <c r="S113" s="48"/>
      <c r="T113" s="49" t="str">
        <f t="shared" si="1"/>
        <v>[W2203.E]</v>
      </c>
      <c r="U113" s="12" t="str">
        <f t="shared" si="2"/>
        <v/>
      </c>
      <c r="V113" s="49" t="str">
        <f t="shared" si="4"/>
        <v>[W2203.E]</v>
      </c>
    </row>
    <row r="114" spans="1:22" s="49" customFormat="1" ht="14.15" customHeight="1">
      <c r="A114" s="43"/>
      <c r="B114" s="44" t="s">
        <v>157</v>
      </c>
      <c r="C114" s="32"/>
      <c r="D114" s="10" t="s">
        <v>29</v>
      </c>
      <c r="E114" s="11"/>
      <c r="F114" s="11" t="s">
        <v>18</v>
      </c>
      <c r="G114" s="13"/>
      <c r="H114" s="45" t="s">
        <v>16</v>
      </c>
      <c r="I114" s="46"/>
      <c r="J114" s="12" t="s">
        <v>3826</v>
      </c>
      <c r="K114" s="13" t="s">
        <v>6914</v>
      </c>
      <c r="L114" s="99" t="str">
        <f t="shared" si="3"/>
        <v>W2203.F</v>
      </c>
      <c r="M114" s="13"/>
      <c r="N114" s="13"/>
      <c r="O114" s="13"/>
      <c r="P114" s="47"/>
      <c r="Q114" s="45"/>
      <c r="R114" s="45"/>
      <c r="S114" s="48"/>
      <c r="T114" s="49" t="str">
        <f t="shared" si="1"/>
        <v>[W2203.F]</v>
      </c>
      <c r="U114" s="12" t="str">
        <f t="shared" si="2"/>
        <v/>
      </c>
      <c r="V114" s="49" t="str">
        <f t="shared" si="4"/>
        <v>[W2203.F]</v>
      </c>
    </row>
    <row r="115" spans="1:22" s="49" customFormat="1" ht="14.15" customHeight="1">
      <c r="A115" s="43"/>
      <c r="B115" s="44" t="s">
        <v>157</v>
      </c>
      <c r="C115" s="32"/>
      <c r="D115" s="10" t="s">
        <v>29</v>
      </c>
      <c r="E115" s="11"/>
      <c r="F115" s="11" t="s">
        <v>18</v>
      </c>
      <c r="G115" s="13"/>
      <c r="H115" s="45" t="s">
        <v>16</v>
      </c>
      <c r="I115" s="46"/>
      <c r="J115" s="12" t="s">
        <v>3827</v>
      </c>
      <c r="K115" s="13" t="s">
        <v>6915</v>
      </c>
      <c r="L115" s="99" t="str">
        <f t="shared" si="3"/>
        <v>W2204.0</v>
      </c>
      <c r="M115" s="13"/>
      <c r="N115" s="13"/>
      <c r="O115" s="13"/>
      <c r="P115" s="47"/>
      <c r="Q115" s="45"/>
      <c r="R115" s="45"/>
      <c r="S115" s="48"/>
      <c r="T115" s="49" t="str">
        <f t="shared" ref="T115:T178" si="5">"["&amp;L115&amp;"]"</f>
        <v>[W2204.0]</v>
      </c>
      <c r="U115" s="12" t="str">
        <f t="shared" ref="U115:U138" si="6">RIGHT(J115,LEN(J115)-7)</f>
        <v/>
      </c>
      <c r="V115" s="49" t="str">
        <f t="shared" si="4"/>
        <v>[W2204.0]</v>
      </c>
    </row>
    <row r="116" spans="1:22" s="49" customFormat="1" ht="14.15" customHeight="1">
      <c r="A116" s="43"/>
      <c r="B116" s="44" t="s">
        <v>157</v>
      </c>
      <c r="C116" s="32"/>
      <c r="D116" s="10" t="s">
        <v>29</v>
      </c>
      <c r="E116" s="11"/>
      <c r="F116" s="11" t="s">
        <v>18</v>
      </c>
      <c r="G116" s="13"/>
      <c r="H116" s="45" t="s">
        <v>16</v>
      </c>
      <c r="I116" s="46"/>
      <c r="J116" s="12" t="s">
        <v>3828</v>
      </c>
      <c r="K116" s="13" t="s">
        <v>6916</v>
      </c>
      <c r="L116" s="99" t="str">
        <f t="shared" ref="L116:L179" si="7">"W"&amp;DEC2HEX(8704 + INT((ROW()-51)/16)) &amp; "." &amp; IF(MOD(ROW()-51,16)&lt;10,MOD(ROW()-51,16),CHAR(MOD(ROW()-51,16)+55))</f>
        <v>W2204.1</v>
      </c>
      <c r="M116" s="13"/>
      <c r="N116" s="13"/>
      <c r="O116" s="13"/>
      <c r="P116" s="47"/>
      <c r="Q116" s="45"/>
      <c r="R116" s="45"/>
      <c r="S116" s="48"/>
      <c r="T116" s="49" t="str">
        <f t="shared" si="5"/>
        <v>[W2204.1]</v>
      </c>
      <c r="U116" s="12" t="str">
        <f t="shared" si="6"/>
        <v/>
      </c>
      <c r="V116" s="49" t="str">
        <f t="shared" ref="V116:V179" si="8">T116&amp;U116</f>
        <v>[W2204.1]</v>
      </c>
    </row>
    <row r="117" spans="1:22" s="49" customFormat="1" ht="14.15" customHeight="1">
      <c r="A117" s="43"/>
      <c r="B117" s="44" t="s">
        <v>157</v>
      </c>
      <c r="C117" s="32"/>
      <c r="D117" s="10" t="s">
        <v>29</v>
      </c>
      <c r="E117" s="11"/>
      <c r="F117" s="11" t="s">
        <v>18</v>
      </c>
      <c r="G117" s="13"/>
      <c r="H117" s="45" t="s">
        <v>16</v>
      </c>
      <c r="I117" s="46"/>
      <c r="J117" s="12" t="s">
        <v>3829</v>
      </c>
      <c r="K117" s="13" t="s">
        <v>6917</v>
      </c>
      <c r="L117" s="99" t="str">
        <f t="shared" si="7"/>
        <v>W2204.2</v>
      </c>
      <c r="M117" s="13"/>
      <c r="N117" s="13"/>
      <c r="O117" s="13"/>
      <c r="P117" s="47"/>
      <c r="Q117" s="45"/>
      <c r="R117" s="45"/>
      <c r="S117" s="48"/>
      <c r="T117" s="49" t="str">
        <f t="shared" si="5"/>
        <v>[W2204.2]</v>
      </c>
      <c r="U117" s="12" t="str">
        <f t="shared" si="6"/>
        <v/>
      </c>
      <c r="V117" s="49" t="str">
        <f t="shared" si="8"/>
        <v>[W2204.2]</v>
      </c>
    </row>
    <row r="118" spans="1:22" s="49" customFormat="1" ht="14.15" customHeight="1">
      <c r="A118" s="43"/>
      <c r="B118" s="44" t="s">
        <v>157</v>
      </c>
      <c r="C118" s="32"/>
      <c r="D118" s="10" t="s">
        <v>29</v>
      </c>
      <c r="E118" s="11"/>
      <c r="F118" s="11" t="s">
        <v>18</v>
      </c>
      <c r="G118" s="13"/>
      <c r="H118" s="45" t="s">
        <v>16</v>
      </c>
      <c r="I118" s="46"/>
      <c r="J118" s="12" t="s">
        <v>3830</v>
      </c>
      <c r="K118" s="13" t="s">
        <v>6918</v>
      </c>
      <c r="L118" s="99" t="str">
        <f t="shared" si="7"/>
        <v>W2204.3</v>
      </c>
      <c r="M118" s="13"/>
      <c r="N118" s="13"/>
      <c r="O118" s="13"/>
      <c r="P118" s="47"/>
      <c r="Q118" s="45"/>
      <c r="R118" s="45"/>
      <c r="S118" s="48"/>
      <c r="T118" s="49" t="str">
        <f t="shared" si="5"/>
        <v>[W2204.3]</v>
      </c>
      <c r="U118" s="12" t="str">
        <f t="shared" si="6"/>
        <v/>
      </c>
      <c r="V118" s="49" t="str">
        <f t="shared" si="8"/>
        <v>[W2204.3]</v>
      </c>
    </row>
    <row r="119" spans="1:22" s="49" customFormat="1" ht="14.15" customHeight="1">
      <c r="A119" s="43"/>
      <c r="B119" s="44" t="s">
        <v>157</v>
      </c>
      <c r="C119" s="32"/>
      <c r="D119" s="10" t="s">
        <v>29</v>
      </c>
      <c r="E119" s="11"/>
      <c r="F119" s="11" t="s">
        <v>18</v>
      </c>
      <c r="G119" s="13"/>
      <c r="H119" s="45" t="s">
        <v>16</v>
      </c>
      <c r="I119" s="46"/>
      <c r="J119" s="12" t="s">
        <v>3831</v>
      </c>
      <c r="K119" s="13" t="s">
        <v>6919</v>
      </c>
      <c r="L119" s="99" t="str">
        <f t="shared" si="7"/>
        <v>W2204.4</v>
      </c>
      <c r="M119" s="13"/>
      <c r="N119" s="13"/>
      <c r="O119" s="13"/>
      <c r="P119" s="47"/>
      <c r="Q119" s="45"/>
      <c r="R119" s="45"/>
      <c r="S119" s="48"/>
      <c r="T119" s="49" t="str">
        <f t="shared" si="5"/>
        <v>[W2204.4]</v>
      </c>
      <c r="U119" s="12" t="str">
        <f t="shared" si="6"/>
        <v/>
      </c>
      <c r="V119" s="49" t="str">
        <f t="shared" si="8"/>
        <v>[W2204.4]</v>
      </c>
    </row>
    <row r="120" spans="1:22" s="49" customFormat="1" ht="14.15" customHeight="1">
      <c r="A120" s="43"/>
      <c r="B120" s="44" t="s">
        <v>157</v>
      </c>
      <c r="C120" s="32"/>
      <c r="D120" s="10" t="s">
        <v>29</v>
      </c>
      <c r="E120" s="11"/>
      <c r="F120" s="11" t="s">
        <v>18</v>
      </c>
      <c r="G120" s="13"/>
      <c r="H120" s="45" t="s">
        <v>16</v>
      </c>
      <c r="I120" s="46"/>
      <c r="J120" s="12" t="s">
        <v>3832</v>
      </c>
      <c r="K120" s="13" t="s">
        <v>6920</v>
      </c>
      <c r="L120" s="99" t="str">
        <f t="shared" si="7"/>
        <v>W2204.5</v>
      </c>
      <c r="M120" s="13"/>
      <c r="N120" s="13"/>
      <c r="O120" s="13"/>
      <c r="P120" s="47"/>
      <c r="Q120" s="45"/>
      <c r="R120" s="45"/>
      <c r="S120" s="48"/>
      <c r="T120" s="49" t="str">
        <f t="shared" si="5"/>
        <v>[W2204.5]</v>
      </c>
      <c r="U120" s="12" t="str">
        <f t="shared" si="6"/>
        <v/>
      </c>
      <c r="V120" s="49" t="str">
        <f t="shared" si="8"/>
        <v>[W2204.5]</v>
      </c>
    </row>
    <row r="121" spans="1:22" s="49" customFormat="1" ht="14.15" customHeight="1">
      <c r="A121" s="43"/>
      <c r="B121" s="44" t="s">
        <v>157</v>
      </c>
      <c r="C121" s="32"/>
      <c r="D121" s="10" t="s">
        <v>29</v>
      </c>
      <c r="E121" s="11"/>
      <c r="F121" s="11" t="s">
        <v>18</v>
      </c>
      <c r="G121" s="13"/>
      <c r="H121" s="45" t="s">
        <v>16</v>
      </c>
      <c r="I121" s="46"/>
      <c r="J121" s="12" t="s">
        <v>3833</v>
      </c>
      <c r="K121" s="13" t="s">
        <v>6921</v>
      </c>
      <c r="L121" s="99" t="str">
        <f t="shared" si="7"/>
        <v>W2204.6</v>
      </c>
      <c r="M121" s="13"/>
      <c r="N121" s="13"/>
      <c r="O121" s="13"/>
      <c r="P121" s="47"/>
      <c r="Q121" s="45"/>
      <c r="R121" s="45"/>
      <c r="S121" s="48"/>
      <c r="T121" s="49" t="str">
        <f t="shared" si="5"/>
        <v>[W2204.6]</v>
      </c>
      <c r="U121" s="12" t="str">
        <f t="shared" si="6"/>
        <v/>
      </c>
      <c r="V121" s="49" t="str">
        <f t="shared" si="8"/>
        <v>[W2204.6]</v>
      </c>
    </row>
    <row r="122" spans="1:22" s="49" customFormat="1" ht="14.15" customHeight="1">
      <c r="A122" s="43"/>
      <c r="B122" s="44" t="s">
        <v>157</v>
      </c>
      <c r="C122" s="32"/>
      <c r="D122" s="10" t="s">
        <v>29</v>
      </c>
      <c r="E122" s="11"/>
      <c r="F122" s="11" t="s">
        <v>18</v>
      </c>
      <c r="G122" s="13"/>
      <c r="H122" s="45" t="s">
        <v>16</v>
      </c>
      <c r="I122" s="46"/>
      <c r="J122" s="12" t="s">
        <v>3834</v>
      </c>
      <c r="K122" s="13" t="s">
        <v>6922</v>
      </c>
      <c r="L122" s="99" t="str">
        <f t="shared" si="7"/>
        <v>W2204.7</v>
      </c>
      <c r="M122" s="13"/>
      <c r="N122" s="13"/>
      <c r="O122" s="13"/>
      <c r="P122" s="47"/>
      <c r="Q122" s="45"/>
      <c r="R122" s="45"/>
      <c r="S122" s="48"/>
      <c r="T122" s="49" t="str">
        <f t="shared" si="5"/>
        <v>[W2204.7]</v>
      </c>
      <c r="U122" s="12" t="str">
        <f t="shared" si="6"/>
        <v/>
      </c>
      <c r="V122" s="49" t="str">
        <f t="shared" si="8"/>
        <v>[W2204.7]</v>
      </c>
    </row>
    <row r="123" spans="1:22" s="49" customFormat="1" ht="14.15" customHeight="1">
      <c r="A123" s="43"/>
      <c r="B123" s="44" t="s">
        <v>157</v>
      </c>
      <c r="C123" s="32"/>
      <c r="D123" s="10" t="s">
        <v>29</v>
      </c>
      <c r="E123" s="11"/>
      <c r="F123" s="11" t="s">
        <v>18</v>
      </c>
      <c r="G123" s="13"/>
      <c r="H123" s="45" t="s">
        <v>16</v>
      </c>
      <c r="I123" s="46"/>
      <c r="J123" s="12" t="s">
        <v>3835</v>
      </c>
      <c r="K123" s="13" t="s">
        <v>6923</v>
      </c>
      <c r="L123" s="99" t="str">
        <f t="shared" si="7"/>
        <v>W2204.8</v>
      </c>
      <c r="M123" s="13"/>
      <c r="N123" s="13"/>
      <c r="O123" s="13"/>
      <c r="P123" s="47"/>
      <c r="Q123" s="45"/>
      <c r="R123" s="45"/>
      <c r="S123" s="48"/>
      <c r="T123" s="49" t="str">
        <f t="shared" si="5"/>
        <v>[W2204.8]</v>
      </c>
      <c r="U123" s="12" t="str">
        <f t="shared" si="6"/>
        <v/>
      </c>
      <c r="V123" s="49" t="str">
        <f t="shared" si="8"/>
        <v>[W2204.8]</v>
      </c>
    </row>
    <row r="124" spans="1:22" s="49" customFormat="1" ht="14.15" customHeight="1">
      <c r="A124" s="43"/>
      <c r="B124" s="44" t="s">
        <v>157</v>
      </c>
      <c r="C124" s="32"/>
      <c r="D124" s="10" t="s">
        <v>29</v>
      </c>
      <c r="E124" s="11"/>
      <c r="F124" s="11" t="s">
        <v>18</v>
      </c>
      <c r="G124" s="13"/>
      <c r="H124" s="45" t="s">
        <v>16</v>
      </c>
      <c r="I124" s="46"/>
      <c r="J124" s="12" t="s">
        <v>3836</v>
      </c>
      <c r="K124" s="13" t="s">
        <v>6924</v>
      </c>
      <c r="L124" s="99" t="str">
        <f t="shared" si="7"/>
        <v>W2204.9</v>
      </c>
      <c r="M124" s="13"/>
      <c r="N124" s="13"/>
      <c r="O124" s="13"/>
      <c r="P124" s="47"/>
      <c r="Q124" s="45"/>
      <c r="R124" s="45"/>
      <c r="S124" s="48"/>
      <c r="T124" s="49" t="str">
        <f t="shared" si="5"/>
        <v>[W2204.9]</v>
      </c>
      <c r="U124" s="12" t="str">
        <f t="shared" si="6"/>
        <v/>
      </c>
      <c r="V124" s="49" t="str">
        <f t="shared" si="8"/>
        <v>[W2204.9]</v>
      </c>
    </row>
    <row r="125" spans="1:22" s="49" customFormat="1" ht="14.15" customHeight="1">
      <c r="A125" s="43"/>
      <c r="B125" s="44" t="s">
        <v>157</v>
      </c>
      <c r="C125" s="32"/>
      <c r="D125" s="10" t="s">
        <v>29</v>
      </c>
      <c r="E125" s="11"/>
      <c r="F125" s="11" t="s">
        <v>18</v>
      </c>
      <c r="G125" s="13"/>
      <c r="H125" s="45" t="s">
        <v>16</v>
      </c>
      <c r="I125" s="46"/>
      <c r="J125" s="12" t="s">
        <v>3837</v>
      </c>
      <c r="K125" s="13" t="s">
        <v>6925</v>
      </c>
      <c r="L125" s="99" t="str">
        <f t="shared" si="7"/>
        <v>W2204.A</v>
      </c>
      <c r="M125" s="13"/>
      <c r="N125" s="13"/>
      <c r="O125" s="13"/>
      <c r="P125" s="47"/>
      <c r="Q125" s="45"/>
      <c r="R125" s="45"/>
      <c r="S125" s="48"/>
      <c r="T125" s="49" t="str">
        <f t="shared" si="5"/>
        <v>[W2204.A]</v>
      </c>
      <c r="U125" s="12" t="str">
        <f t="shared" si="6"/>
        <v/>
      </c>
      <c r="V125" s="49" t="str">
        <f t="shared" si="8"/>
        <v>[W2204.A]</v>
      </c>
    </row>
    <row r="126" spans="1:22" s="49" customFormat="1" ht="14.15" customHeight="1">
      <c r="A126" s="43"/>
      <c r="B126" s="44" t="s">
        <v>157</v>
      </c>
      <c r="C126" s="32"/>
      <c r="D126" s="10" t="s">
        <v>29</v>
      </c>
      <c r="E126" s="11"/>
      <c r="F126" s="11" t="s">
        <v>18</v>
      </c>
      <c r="G126" s="13"/>
      <c r="H126" s="45" t="s">
        <v>16</v>
      </c>
      <c r="I126" s="46"/>
      <c r="J126" s="12" t="s">
        <v>3838</v>
      </c>
      <c r="K126" s="13" t="s">
        <v>6926</v>
      </c>
      <c r="L126" s="99" t="str">
        <f t="shared" si="7"/>
        <v>W2204.B</v>
      </c>
      <c r="M126" s="13"/>
      <c r="N126" s="13"/>
      <c r="O126" s="13"/>
      <c r="P126" s="47"/>
      <c r="Q126" s="45"/>
      <c r="R126" s="45"/>
      <c r="S126" s="48"/>
      <c r="T126" s="49" t="str">
        <f t="shared" si="5"/>
        <v>[W2204.B]</v>
      </c>
      <c r="U126" s="12" t="str">
        <f t="shared" si="6"/>
        <v/>
      </c>
      <c r="V126" s="49" t="str">
        <f t="shared" si="8"/>
        <v>[W2204.B]</v>
      </c>
    </row>
    <row r="127" spans="1:22" s="49" customFormat="1" ht="14.15" customHeight="1">
      <c r="A127" s="43"/>
      <c r="B127" s="44" t="s">
        <v>157</v>
      </c>
      <c r="C127" s="32"/>
      <c r="D127" s="10" t="s">
        <v>29</v>
      </c>
      <c r="E127" s="11"/>
      <c r="F127" s="11" t="s">
        <v>18</v>
      </c>
      <c r="G127" s="13"/>
      <c r="H127" s="45" t="s">
        <v>16</v>
      </c>
      <c r="I127" s="46"/>
      <c r="J127" s="12" t="s">
        <v>3839</v>
      </c>
      <c r="K127" s="13" t="s">
        <v>6927</v>
      </c>
      <c r="L127" s="99" t="str">
        <f t="shared" si="7"/>
        <v>W2204.C</v>
      </c>
      <c r="M127" s="13"/>
      <c r="N127" s="13"/>
      <c r="O127" s="13"/>
      <c r="P127" s="47"/>
      <c r="Q127" s="45"/>
      <c r="R127" s="45"/>
      <c r="S127" s="48"/>
      <c r="T127" s="49" t="str">
        <f t="shared" si="5"/>
        <v>[W2204.C]</v>
      </c>
      <c r="U127" s="12" t="str">
        <f t="shared" si="6"/>
        <v/>
      </c>
      <c r="V127" s="49" t="str">
        <f t="shared" si="8"/>
        <v>[W2204.C]</v>
      </c>
    </row>
    <row r="128" spans="1:22" s="49" customFormat="1" ht="14.15" customHeight="1">
      <c r="A128" s="43"/>
      <c r="B128" s="44" t="s">
        <v>157</v>
      </c>
      <c r="C128" s="32"/>
      <c r="D128" s="10" t="s">
        <v>29</v>
      </c>
      <c r="E128" s="11"/>
      <c r="F128" s="11" t="s">
        <v>18</v>
      </c>
      <c r="G128" s="13"/>
      <c r="H128" s="45" t="s">
        <v>16</v>
      </c>
      <c r="I128" s="46"/>
      <c r="J128" s="12" t="s">
        <v>3840</v>
      </c>
      <c r="K128" s="13" t="s">
        <v>6928</v>
      </c>
      <c r="L128" s="99" t="str">
        <f t="shared" si="7"/>
        <v>W2204.D</v>
      </c>
      <c r="M128" s="13"/>
      <c r="N128" s="13"/>
      <c r="O128" s="13"/>
      <c r="P128" s="47"/>
      <c r="Q128" s="45"/>
      <c r="R128" s="45"/>
      <c r="S128" s="48"/>
      <c r="T128" s="49" t="str">
        <f t="shared" si="5"/>
        <v>[W2204.D]</v>
      </c>
      <c r="U128" s="12" t="str">
        <f t="shared" si="6"/>
        <v/>
      </c>
      <c r="V128" s="49" t="str">
        <f t="shared" si="8"/>
        <v>[W2204.D]</v>
      </c>
    </row>
    <row r="129" spans="1:22" s="49" customFormat="1" ht="14.15" customHeight="1">
      <c r="A129" s="43"/>
      <c r="B129" s="44" t="s">
        <v>157</v>
      </c>
      <c r="C129" s="32"/>
      <c r="D129" s="10" t="s">
        <v>29</v>
      </c>
      <c r="E129" s="11"/>
      <c r="F129" s="11" t="s">
        <v>18</v>
      </c>
      <c r="G129" s="13"/>
      <c r="H129" s="45" t="s">
        <v>16</v>
      </c>
      <c r="I129" s="46"/>
      <c r="J129" s="12" t="s">
        <v>3841</v>
      </c>
      <c r="K129" s="13" t="s">
        <v>6929</v>
      </c>
      <c r="L129" s="99" t="str">
        <f t="shared" si="7"/>
        <v>W2204.E</v>
      </c>
      <c r="M129" s="13"/>
      <c r="N129" s="13"/>
      <c r="O129" s="13"/>
      <c r="P129" s="47"/>
      <c r="Q129" s="45"/>
      <c r="R129" s="45"/>
      <c r="S129" s="48"/>
      <c r="T129" s="49" t="str">
        <f t="shared" si="5"/>
        <v>[W2204.E]</v>
      </c>
      <c r="U129" s="12" t="str">
        <f t="shared" si="6"/>
        <v/>
      </c>
      <c r="V129" s="49" t="str">
        <f t="shared" si="8"/>
        <v>[W2204.E]</v>
      </c>
    </row>
    <row r="130" spans="1:22" s="49" customFormat="1" ht="14.15" customHeight="1">
      <c r="A130" s="43"/>
      <c r="B130" s="44" t="s">
        <v>157</v>
      </c>
      <c r="C130" s="32"/>
      <c r="D130" s="10" t="s">
        <v>29</v>
      </c>
      <c r="E130" s="11"/>
      <c r="F130" s="11" t="s">
        <v>18</v>
      </c>
      <c r="G130" s="13"/>
      <c r="H130" s="45" t="s">
        <v>16</v>
      </c>
      <c r="I130" s="46"/>
      <c r="J130" s="12" t="s">
        <v>3842</v>
      </c>
      <c r="K130" s="13" t="s">
        <v>6930</v>
      </c>
      <c r="L130" s="99" t="str">
        <f t="shared" si="7"/>
        <v>W2204.F</v>
      </c>
      <c r="M130" s="13"/>
      <c r="N130" s="13"/>
      <c r="O130" s="13"/>
      <c r="P130" s="47"/>
      <c r="Q130" s="45"/>
      <c r="R130" s="45"/>
      <c r="S130" s="48"/>
      <c r="T130" s="49" t="str">
        <f t="shared" si="5"/>
        <v>[W2204.F]</v>
      </c>
      <c r="U130" s="12" t="str">
        <f t="shared" si="6"/>
        <v/>
      </c>
      <c r="V130" s="49" t="str">
        <f t="shared" si="8"/>
        <v>[W2204.F]</v>
      </c>
    </row>
    <row r="131" spans="1:22" s="49" customFormat="1" ht="14.15" customHeight="1">
      <c r="A131" s="43"/>
      <c r="B131" s="44" t="s">
        <v>157</v>
      </c>
      <c r="C131" s="32"/>
      <c r="D131" s="10" t="s">
        <v>29</v>
      </c>
      <c r="E131" s="11"/>
      <c r="F131" s="11" t="s">
        <v>18</v>
      </c>
      <c r="G131" s="13"/>
      <c r="H131" s="45" t="s">
        <v>16</v>
      </c>
      <c r="I131" s="46"/>
      <c r="J131" s="12" t="s">
        <v>3843</v>
      </c>
      <c r="K131" s="13" t="s">
        <v>6931</v>
      </c>
      <c r="L131" s="99" t="str">
        <f t="shared" si="7"/>
        <v>W2205.0</v>
      </c>
      <c r="M131" s="13"/>
      <c r="N131" s="13"/>
      <c r="O131" s="13"/>
      <c r="P131" s="47"/>
      <c r="Q131" s="45"/>
      <c r="R131" s="45"/>
      <c r="S131" s="48"/>
      <c r="T131" s="49" t="str">
        <f t="shared" si="5"/>
        <v>[W2205.0]</v>
      </c>
      <c r="U131" s="12" t="str">
        <f t="shared" si="6"/>
        <v/>
      </c>
      <c r="V131" s="49" t="str">
        <f t="shared" si="8"/>
        <v>[W2205.0]</v>
      </c>
    </row>
    <row r="132" spans="1:22" s="49" customFormat="1" ht="14.15" customHeight="1">
      <c r="A132" s="43"/>
      <c r="B132" s="44" t="s">
        <v>157</v>
      </c>
      <c r="C132" s="32"/>
      <c r="D132" s="10" t="s">
        <v>29</v>
      </c>
      <c r="E132" s="11"/>
      <c r="F132" s="11" t="s">
        <v>18</v>
      </c>
      <c r="G132" s="13"/>
      <c r="H132" s="45" t="s">
        <v>16</v>
      </c>
      <c r="I132" s="46"/>
      <c r="J132" s="12" t="s">
        <v>3844</v>
      </c>
      <c r="K132" s="13" t="s">
        <v>6932</v>
      </c>
      <c r="L132" s="99" t="str">
        <f t="shared" si="7"/>
        <v>W2205.1</v>
      </c>
      <c r="M132" s="13"/>
      <c r="N132" s="13"/>
      <c r="O132" s="13"/>
      <c r="P132" s="47"/>
      <c r="Q132" s="45"/>
      <c r="R132" s="45"/>
      <c r="S132" s="48"/>
      <c r="T132" s="49" t="str">
        <f t="shared" si="5"/>
        <v>[W2205.1]</v>
      </c>
      <c r="U132" s="12" t="str">
        <f t="shared" si="6"/>
        <v/>
      </c>
      <c r="V132" s="49" t="str">
        <f t="shared" si="8"/>
        <v>[W2205.1]</v>
      </c>
    </row>
    <row r="133" spans="1:22" s="49" customFormat="1" ht="14.15" customHeight="1">
      <c r="A133" s="43"/>
      <c r="B133" s="44" t="s">
        <v>157</v>
      </c>
      <c r="C133" s="32"/>
      <c r="D133" s="10" t="s">
        <v>29</v>
      </c>
      <c r="E133" s="11"/>
      <c r="F133" s="11" t="s">
        <v>18</v>
      </c>
      <c r="G133" s="13"/>
      <c r="H133" s="45" t="s">
        <v>16</v>
      </c>
      <c r="I133" s="46"/>
      <c r="J133" s="12" t="s">
        <v>3845</v>
      </c>
      <c r="K133" s="13" t="s">
        <v>6933</v>
      </c>
      <c r="L133" s="99" t="str">
        <f t="shared" si="7"/>
        <v>W2205.2</v>
      </c>
      <c r="M133" s="13"/>
      <c r="N133" s="13"/>
      <c r="O133" s="13"/>
      <c r="P133" s="47"/>
      <c r="Q133" s="45"/>
      <c r="R133" s="45"/>
      <c r="S133" s="48"/>
      <c r="T133" s="49" t="str">
        <f t="shared" si="5"/>
        <v>[W2205.2]</v>
      </c>
      <c r="U133" s="12" t="str">
        <f t="shared" si="6"/>
        <v/>
      </c>
      <c r="V133" s="49" t="str">
        <f t="shared" si="8"/>
        <v>[W2205.2]</v>
      </c>
    </row>
    <row r="134" spans="1:22" s="49" customFormat="1" ht="14.15" customHeight="1">
      <c r="A134" s="43"/>
      <c r="B134" s="44" t="s">
        <v>157</v>
      </c>
      <c r="C134" s="32"/>
      <c r="D134" s="10" t="s">
        <v>29</v>
      </c>
      <c r="E134" s="11"/>
      <c r="F134" s="11" t="s">
        <v>18</v>
      </c>
      <c r="G134" s="13"/>
      <c r="H134" s="45" t="s">
        <v>16</v>
      </c>
      <c r="I134" s="46"/>
      <c r="J134" s="12" t="s">
        <v>3846</v>
      </c>
      <c r="K134" s="13" t="s">
        <v>6934</v>
      </c>
      <c r="L134" s="99" t="str">
        <f t="shared" si="7"/>
        <v>W2205.3</v>
      </c>
      <c r="M134" s="13"/>
      <c r="N134" s="13"/>
      <c r="O134" s="13"/>
      <c r="P134" s="47"/>
      <c r="Q134" s="45"/>
      <c r="R134" s="45"/>
      <c r="S134" s="48"/>
      <c r="T134" s="49" t="str">
        <f t="shared" si="5"/>
        <v>[W2205.3]</v>
      </c>
      <c r="U134" s="12" t="str">
        <f t="shared" si="6"/>
        <v/>
      </c>
      <c r="V134" s="49" t="str">
        <f t="shared" si="8"/>
        <v>[W2205.3]</v>
      </c>
    </row>
    <row r="135" spans="1:22" s="49" customFormat="1" ht="14.15" customHeight="1">
      <c r="A135" s="43"/>
      <c r="B135" s="44" t="s">
        <v>157</v>
      </c>
      <c r="C135" s="32"/>
      <c r="D135" s="10" t="s">
        <v>29</v>
      </c>
      <c r="E135" s="11"/>
      <c r="F135" s="11" t="s">
        <v>18</v>
      </c>
      <c r="G135" s="13"/>
      <c r="H135" s="45" t="s">
        <v>16</v>
      </c>
      <c r="I135" s="46"/>
      <c r="J135" s="12" t="s">
        <v>3847</v>
      </c>
      <c r="K135" s="13" t="s">
        <v>6935</v>
      </c>
      <c r="L135" s="99" t="str">
        <f t="shared" si="7"/>
        <v>W2205.4</v>
      </c>
      <c r="M135" s="13"/>
      <c r="N135" s="13"/>
      <c r="O135" s="13"/>
      <c r="P135" s="47"/>
      <c r="Q135" s="45"/>
      <c r="R135" s="45"/>
      <c r="S135" s="48"/>
      <c r="T135" s="49" t="str">
        <f t="shared" si="5"/>
        <v>[W2205.4]</v>
      </c>
      <c r="U135" s="12" t="str">
        <f t="shared" si="6"/>
        <v/>
      </c>
      <c r="V135" s="49" t="str">
        <f t="shared" si="8"/>
        <v>[W2205.4]</v>
      </c>
    </row>
    <row r="136" spans="1:22" s="49" customFormat="1" ht="14.15" customHeight="1">
      <c r="A136" s="43"/>
      <c r="B136" s="44" t="s">
        <v>157</v>
      </c>
      <c r="C136" s="32"/>
      <c r="D136" s="10" t="s">
        <v>29</v>
      </c>
      <c r="E136" s="11"/>
      <c r="F136" s="11" t="s">
        <v>18</v>
      </c>
      <c r="G136" s="13"/>
      <c r="H136" s="45" t="s">
        <v>16</v>
      </c>
      <c r="I136" s="46"/>
      <c r="J136" s="12" t="s">
        <v>3848</v>
      </c>
      <c r="K136" s="13" t="s">
        <v>6936</v>
      </c>
      <c r="L136" s="99" t="str">
        <f t="shared" si="7"/>
        <v>W2205.5</v>
      </c>
      <c r="M136" s="13"/>
      <c r="N136" s="13"/>
      <c r="O136" s="13"/>
      <c r="P136" s="47"/>
      <c r="Q136" s="45"/>
      <c r="R136" s="45"/>
      <c r="S136" s="48"/>
      <c r="T136" s="49" t="str">
        <f t="shared" si="5"/>
        <v>[W2205.5]</v>
      </c>
      <c r="U136" s="12" t="str">
        <f t="shared" si="6"/>
        <v/>
      </c>
      <c r="V136" s="49" t="str">
        <f t="shared" si="8"/>
        <v>[W2205.5]</v>
      </c>
    </row>
    <row r="137" spans="1:22" s="49" customFormat="1" ht="14.15" customHeight="1">
      <c r="A137" s="43"/>
      <c r="B137" s="44" t="s">
        <v>157</v>
      </c>
      <c r="C137" s="32"/>
      <c r="D137" s="10" t="s">
        <v>29</v>
      </c>
      <c r="E137" s="11"/>
      <c r="F137" s="11" t="s">
        <v>18</v>
      </c>
      <c r="G137" s="13"/>
      <c r="H137" s="45" t="s">
        <v>16</v>
      </c>
      <c r="I137" s="46"/>
      <c r="J137" s="12" t="s">
        <v>3849</v>
      </c>
      <c r="K137" s="13" t="s">
        <v>6937</v>
      </c>
      <c r="L137" s="99" t="str">
        <f t="shared" si="7"/>
        <v>W2205.6</v>
      </c>
      <c r="M137" s="13"/>
      <c r="N137" s="13"/>
      <c r="O137" s="13"/>
      <c r="P137" s="47"/>
      <c r="Q137" s="45"/>
      <c r="R137" s="45"/>
      <c r="S137" s="48"/>
      <c r="T137" s="49" t="str">
        <f t="shared" si="5"/>
        <v>[W2205.6]</v>
      </c>
      <c r="U137" s="12" t="str">
        <f t="shared" si="6"/>
        <v/>
      </c>
      <c r="V137" s="49" t="str">
        <f t="shared" si="8"/>
        <v>[W2205.6]</v>
      </c>
    </row>
    <row r="138" spans="1:22" s="49" customFormat="1" ht="14.15" customHeight="1">
      <c r="A138" s="43"/>
      <c r="B138" s="44" t="s">
        <v>157</v>
      </c>
      <c r="C138" s="32"/>
      <c r="D138" s="10" t="s">
        <v>29</v>
      </c>
      <c r="E138" s="11"/>
      <c r="F138" s="11" t="s">
        <v>18</v>
      </c>
      <c r="G138" s="13"/>
      <c r="H138" s="45" t="s">
        <v>16</v>
      </c>
      <c r="I138" s="46"/>
      <c r="J138" s="12" t="s">
        <v>3850</v>
      </c>
      <c r="K138" s="13" t="s">
        <v>6938</v>
      </c>
      <c r="L138" s="99" t="str">
        <f t="shared" si="7"/>
        <v>W2205.7</v>
      </c>
      <c r="M138" s="13"/>
      <c r="N138" s="13"/>
      <c r="O138" s="13"/>
      <c r="P138" s="47"/>
      <c r="Q138" s="45"/>
      <c r="R138" s="45"/>
      <c r="S138" s="48"/>
      <c r="T138" s="49" t="str">
        <f t="shared" si="5"/>
        <v>[W2205.7]</v>
      </c>
      <c r="U138" s="12" t="str">
        <f t="shared" si="6"/>
        <v/>
      </c>
      <c r="V138" s="49" t="str">
        <f t="shared" si="8"/>
        <v>[W2205.7]</v>
      </c>
    </row>
    <row r="139" spans="1:22" s="49" customFormat="1" ht="14.15" customHeight="1">
      <c r="A139" s="43"/>
      <c r="B139" s="44" t="s">
        <v>157</v>
      </c>
      <c r="C139" s="32"/>
      <c r="D139" s="10" t="s">
        <v>29</v>
      </c>
      <c r="E139" s="11"/>
      <c r="F139" s="11" t="s">
        <v>18</v>
      </c>
      <c r="G139" s="13"/>
      <c r="H139" s="45" t="s">
        <v>16</v>
      </c>
      <c r="I139" s="46"/>
      <c r="J139" s="12" t="s">
        <v>3851</v>
      </c>
      <c r="K139" s="13" t="s">
        <v>6939</v>
      </c>
      <c r="L139" s="99" t="str">
        <f t="shared" si="7"/>
        <v>W2205.8</v>
      </c>
      <c r="M139" s="13"/>
      <c r="N139" s="13"/>
      <c r="O139" s="13"/>
      <c r="P139" s="47"/>
      <c r="Q139" s="45"/>
      <c r="R139" s="45"/>
      <c r="S139" s="48"/>
      <c r="T139" s="49" t="str">
        <f>"["&amp;L109&amp;"]"</f>
        <v>[W2203.A]</v>
      </c>
      <c r="U139" s="12" t="str">
        <f>RIGHT(J109,LEN(J109)-7)</f>
        <v/>
      </c>
      <c r="V139" s="49" t="str">
        <f>T109&amp;U109</f>
        <v>[W2203.A]</v>
      </c>
    </row>
    <row r="140" spans="1:22" s="49" customFormat="1" ht="14.15" customHeight="1">
      <c r="A140" s="43"/>
      <c r="B140" s="44" t="s">
        <v>157</v>
      </c>
      <c r="C140" s="32"/>
      <c r="D140" s="10" t="s">
        <v>29</v>
      </c>
      <c r="E140" s="11"/>
      <c r="F140" s="11" t="s">
        <v>18</v>
      </c>
      <c r="G140" s="13"/>
      <c r="H140" s="45" t="s">
        <v>16</v>
      </c>
      <c r="I140" s="46"/>
      <c r="J140" s="12" t="s">
        <v>3852</v>
      </c>
      <c r="K140" s="13" t="s">
        <v>6940</v>
      </c>
      <c r="L140" s="99" t="str">
        <f t="shared" si="7"/>
        <v>W2205.9</v>
      </c>
      <c r="M140" s="13"/>
      <c r="N140" s="13"/>
      <c r="O140" s="13"/>
      <c r="P140" s="47"/>
      <c r="Q140" s="45"/>
      <c r="R140" s="45"/>
      <c r="S140" s="48"/>
      <c r="T140" s="49" t="str">
        <f t="shared" si="5"/>
        <v>[W2205.9]</v>
      </c>
      <c r="U140" s="12" t="str">
        <f t="shared" ref="U140:U203" si="9">RIGHT(J140,LEN(J140)-7)</f>
        <v/>
      </c>
      <c r="V140" s="49" t="str">
        <f t="shared" si="8"/>
        <v>[W2205.9]</v>
      </c>
    </row>
    <row r="141" spans="1:22" s="49" customFormat="1" ht="14.15" customHeight="1">
      <c r="A141" s="43"/>
      <c r="B141" s="44" t="s">
        <v>157</v>
      </c>
      <c r="C141" s="32"/>
      <c r="D141" s="10" t="s">
        <v>29</v>
      </c>
      <c r="E141" s="11"/>
      <c r="F141" s="11" t="s">
        <v>18</v>
      </c>
      <c r="G141" s="13"/>
      <c r="H141" s="45" t="s">
        <v>16</v>
      </c>
      <c r="I141" s="46"/>
      <c r="J141" s="12" t="s">
        <v>3853</v>
      </c>
      <c r="K141" s="13" t="s">
        <v>6941</v>
      </c>
      <c r="L141" s="99" t="str">
        <f t="shared" si="7"/>
        <v>W2205.A</v>
      </c>
      <c r="M141" s="13"/>
      <c r="N141" s="13"/>
      <c r="O141" s="13"/>
      <c r="P141" s="47"/>
      <c r="Q141" s="45"/>
      <c r="R141" s="45"/>
      <c r="S141" s="48"/>
      <c r="T141" s="49" t="str">
        <f t="shared" si="5"/>
        <v>[W2205.A]</v>
      </c>
      <c r="U141" s="12" t="str">
        <f t="shared" si="9"/>
        <v/>
      </c>
      <c r="V141" s="49" t="str">
        <f t="shared" si="8"/>
        <v>[W2205.A]</v>
      </c>
    </row>
    <row r="142" spans="1:22" s="49" customFormat="1" ht="14.15" customHeight="1">
      <c r="A142" s="43"/>
      <c r="B142" s="44" t="s">
        <v>157</v>
      </c>
      <c r="C142" s="32"/>
      <c r="D142" s="10" t="s">
        <v>29</v>
      </c>
      <c r="E142" s="11"/>
      <c r="F142" s="11" t="s">
        <v>18</v>
      </c>
      <c r="G142" s="13"/>
      <c r="H142" s="45" t="s">
        <v>16</v>
      </c>
      <c r="I142" s="46"/>
      <c r="J142" s="12" t="s">
        <v>3854</v>
      </c>
      <c r="K142" s="13" t="s">
        <v>6942</v>
      </c>
      <c r="L142" s="99" t="str">
        <f t="shared" si="7"/>
        <v>W2205.B</v>
      </c>
      <c r="M142" s="13"/>
      <c r="N142" s="13"/>
      <c r="O142" s="13"/>
      <c r="P142" s="47"/>
      <c r="Q142" s="45"/>
      <c r="R142" s="45"/>
      <c r="S142" s="48"/>
      <c r="T142" s="49" t="str">
        <f t="shared" si="5"/>
        <v>[W2205.B]</v>
      </c>
      <c r="U142" s="12" t="str">
        <f t="shared" si="9"/>
        <v/>
      </c>
      <c r="V142" s="49" t="str">
        <f t="shared" si="8"/>
        <v>[W2205.B]</v>
      </c>
    </row>
    <row r="143" spans="1:22" s="49" customFormat="1" ht="14.15" customHeight="1">
      <c r="A143" s="43"/>
      <c r="B143" s="44" t="s">
        <v>157</v>
      </c>
      <c r="C143" s="32"/>
      <c r="D143" s="10" t="s">
        <v>29</v>
      </c>
      <c r="E143" s="11"/>
      <c r="F143" s="11" t="s">
        <v>18</v>
      </c>
      <c r="G143" s="13"/>
      <c r="H143" s="45" t="s">
        <v>16</v>
      </c>
      <c r="I143" s="46"/>
      <c r="J143" s="12" t="s">
        <v>3855</v>
      </c>
      <c r="K143" s="13" t="s">
        <v>6943</v>
      </c>
      <c r="L143" s="99" t="str">
        <f t="shared" si="7"/>
        <v>W2205.C</v>
      </c>
      <c r="M143" s="13"/>
      <c r="N143" s="13"/>
      <c r="O143" s="13"/>
      <c r="P143" s="47"/>
      <c r="Q143" s="45"/>
      <c r="R143" s="45"/>
      <c r="S143" s="48"/>
      <c r="T143" s="49" t="str">
        <f t="shared" si="5"/>
        <v>[W2205.C]</v>
      </c>
      <c r="U143" s="12" t="str">
        <f t="shared" si="9"/>
        <v/>
      </c>
      <c r="V143" s="49" t="str">
        <f t="shared" si="8"/>
        <v>[W2205.C]</v>
      </c>
    </row>
    <row r="144" spans="1:22" s="49" customFormat="1" ht="14.15" customHeight="1">
      <c r="A144" s="43"/>
      <c r="B144" s="44" t="s">
        <v>157</v>
      </c>
      <c r="C144" s="32"/>
      <c r="D144" s="10" t="s">
        <v>29</v>
      </c>
      <c r="E144" s="11"/>
      <c r="F144" s="11" t="s">
        <v>18</v>
      </c>
      <c r="G144" s="13"/>
      <c r="H144" s="45" t="s">
        <v>16</v>
      </c>
      <c r="I144" s="46"/>
      <c r="J144" s="12" t="s">
        <v>3856</v>
      </c>
      <c r="K144" s="13" t="s">
        <v>6944</v>
      </c>
      <c r="L144" s="99" t="str">
        <f t="shared" si="7"/>
        <v>W2205.D</v>
      </c>
      <c r="M144" s="13"/>
      <c r="N144" s="13"/>
      <c r="O144" s="13"/>
      <c r="P144" s="47"/>
      <c r="Q144" s="45"/>
      <c r="R144" s="45"/>
      <c r="S144" s="48"/>
      <c r="T144" s="49" t="str">
        <f t="shared" si="5"/>
        <v>[W2205.D]</v>
      </c>
      <c r="U144" s="12" t="str">
        <f t="shared" si="9"/>
        <v/>
      </c>
      <c r="V144" s="49" t="str">
        <f t="shared" si="8"/>
        <v>[W2205.D]</v>
      </c>
    </row>
    <row r="145" spans="1:22" s="49" customFormat="1" ht="14.15" customHeight="1">
      <c r="A145" s="43"/>
      <c r="B145" s="44" t="s">
        <v>157</v>
      </c>
      <c r="C145" s="32"/>
      <c r="D145" s="10" t="s">
        <v>29</v>
      </c>
      <c r="E145" s="11"/>
      <c r="F145" s="11" t="s">
        <v>18</v>
      </c>
      <c r="G145" s="13"/>
      <c r="H145" s="45" t="s">
        <v>16</v>
      </c>
      <c r="I145" s="46"/>
      <c r="J145" s="12" t="s">
        <v>3857</v>
      </c>
      <c r="K145" s="13" t="s">
        <v>6945</v>
      </c>
      <c r="L145" s="99" t="str">
        <f t="shared" si="7"/>
        <v>W2205.E</v>
      </c>
      <c r="M145" s="13"/>
      <c r="N145" s="13"/>
      <c r="O145" s="13"/>
      <c r="P145" s="47"/>
      <c r="Q145" s="45"/>
      <c r="R145" s="45"/>
      <c r="S145" s="48"/>
      <c r="T145" s="49" t="str">
        <f t="shared" si="5"/>
        <v>[W2205.E]</v>
      </c>
      <c r="U145" s="12" t="str">
        <f t="shared" si="9"/>
        <v/>
      </c>
      <c r="V145" s="49" t="str">
        <f t="shared" si="8"/>
        <v>[W2205.E]</v>
      </c>
    </row>
    <row r="146" spans="1:22" s="49" customFormat="1" ht="14.15" customHeight="1">
      <c r="A146" s="43"/>
      <c r="B146" s="44" t="s">
        <v>157</v>
      </c>
      <c r="C146" s="32"/>
      <c r="D146" s="10" t="s">
        <v>29</v>
      </c>
      <c r="E146" s="11"/>
      <c r="F146" s="11" t="s">
        <v>18</v>
      </c>
      <c r="G146" s="13"/>
      <c r="H146" s="45" t="s">
        <v>16</v>
      </c>
      <c r="I146" s="46"/>
      <c r="J146" s="12" t="s">
        <v>3858</v>
      </c>
      <c r="K146" s="13" t="s">
        <v>6946</v>
      </c>
      <c r="L146" s="99" t="str">
        <f t="shared" si="7"/>
        <v>W2205.F</v>
      </c>
      <c r="M146" s="13"/>
      <c r="N146" s="13"/>
      <c r="O146" s="13"/>
      <c r="P146" s="47"/>
      <c r="Q146" s="45"/>
      <c r="R146" s="45"/>
      <c r="S146" s="48"/>
      <c r="T146" s="49" t="str">
        <f t="shared" si="5"/>
        <v>[W2205.F]</v>
      </c>
      <c r="U146" s="12" t="str">
        <f t="shared" si="9"/>
        <v/>
      </c>
      <c r="V146" s="49" t="str">
        <f t="shared" si="8"/>
        <v>[W2205.F]</v>
      </c>
    </row>
    <row r="147" spans="1:22" s="49" customFormat="1" ht="14.15" customHeight="1">
      <c r="A147" s="43"/>
      <c r="B147" s="44" t="s">
        <v>157</v>
      </c>
      <c r="C147" s="32"/>
      <c r="D147" s="10" t="s">
        <v>29</v>
      </c>
      <c r="E147" s="11"/>
      <c r="F147" s="11" t="s">
        <v>18</v>
      </c>
      <c r="G147" s="13"/>
      <c r="H147" s="45" t="s">
        <v>16</v>
      </c>
      <c r="I147" s="46"/>
      <c r="J147" s="12" t="s">
        <v>3859</v>
      </c>
      <c r="K147" s="13" t="s">
        <v>6947</v>
      </c>
      <c r="L147" s="99" t="str">
        <f t="shared" si="7"/>
        <v>W2206.0</v>
      </c>
      <c r="M147" s="13"/>
      <c r="N147" s="13"/>
      <c r="O147" s="13"/>
      <c r="P147" s="47"/>
      <c r="Q147" s="45"/>
      <c r="R147" s="45"/>
      <c r="S147" s="48"/>
      <c r="T147" s="49" t="str">
        <f t="shared" si="5"/>
        <v>[W2206.0]</v>
      </c>
      <c r="U147" s="12" t="str">
        <f t="shared" si="9"/>
        <v/>
      </c>
      <c r="V147" s="49" t="str">
        <f t="shared" si="8"/>
        <v>[W2206.0]</v>
      </c>
    </row>
    <row r="148" spans="1:22" s="49" customFormat="1" ht="14.15" customHeight="1">
      <c r="A148" s="43"/>
      <c r="B148" s="44" t="s">
        <v>157</v>
      </c>
      <c r="C148" s="32"/>
      <c r="D148" s="10" t="s">
        <v>29</v>
      </c>
      <c r="E148" s="11"/>
      <c r="F148" s="11" t="s">
        <v>18</v>
      </c>
      <c r="G148" s="13"/>
      <c r="H148" s="45" t="s">
        <v>16</v>
      </c>
      <c r="I148" s="46"/>
      <c r="J148" s="12" t="s">
        <v>3860</v>
      </c>
      <c r="K148" s="13" t="s">
        <v>6948</v>
      </c>
      <c r="L148" s="99" t="str">
        <f t="shared" si="7"/>
        <v>W2206.1</v>
      </c>
      <c r="M148" s="13"/>
      <c r="N148" s="13"/>
      <c r="O148" s="13"/>
      <c r="P148" s="47"/>
      <c r="Q148" s="45"/>
      <c r="R148" s="45"/>
      <c r="S148" s="48"/>
      <c r="T148" s="49" t="str">
        <f t="shared" si="5"/>
        <v>[W2206.1]</v>
      </c>
      <c r="U148" s="12" t="str">
        <f t="shared" si="9"/>
        <v/>
      </c>
      <c r="V148" s="49" t="str">
        <f t="shared" si="8"/>
        <v>[W2206.1]</v>
      </c>
    </row>
    <row r="149" spans="1:22" s="49" customFormat="1" ht="14.15" customHeight="1">
      <c r="A149" s="43"/>
      <c r="B149" s="44" t="s">
        <v>157</v>
      </c>
      <c r="C149" s="32"/>
      <c r="D149" s="10" t="s">
        <v>29</v>
      </c>
      <c r="E149" s="11"/>
      <c r="F149" s="11" t="s">
        <v>18</v>
      </c>
      <c r="G149" s="13"/>
      <c r="H149" s="45" t="s">
        <v>16</v>
      </c>
      <c r="I149" s="46"/>
      <c r="J149" s="12" t="s">
        <v>3861</v>
      </c>
      <c r="K149" s="13" t="s">
        <v>6949</v>
      </c>
      <c r="L149" s="99" t="str">
        <f t="shared" si="7"/>
        <v>W2206.2</v>
      </c>
      <c r="M149" s="13"/>
      <c r="N149" s="13"/>
      <c r="O149" s="13"/>
      <c r="P149" s="47"/>
      <c r="Q149" s="45"/>
      <c r="R149" s="45"/>
      <c r="S149" s="48"/>
      <c r="T149" s="49" t="str">
        <f t="shared" si="5"/>
        <v>[W2206.2]</v>
      </c>
      <c r="U149" s="12" t="str">
        <f t="shared" si="9"/>
        <v/>
      </c>
      <c r="V149" s="49" t="str">
        <f t="shared" si="8"/>
        <v>[W2206.2]</v>
      </c>
    </row>
    <row r="150" spans="1:22" s="49" customFormat="1" ht="14.15" customHeight="1">
      <c r="A150" s="43" t="s">
        <v>5597</v>
      </c>
      <c r="B150" s="44" t="s">
        <v>157</v>
      </c>
      <c r="C150" s="32"/>
      <c r="D150" s="10" t="s">
        <v>29</v>
      </c>
      <c r="E150" s="11"/>
      <c r="F150" s="11" t="s">
        <v>18</v>
      </c>
      <c r="G150" s="13"/>
      <c r="H150" s="45" t="s">
        <v>16</v>
      </c>
      <c r="I150" s="46"/>
      <c r="J150" s="12" t="s">
        <v>4734</v>
      </c>
      <c r="K150" s="13" t="s">
        <v>6950</v>
      </c>
      <c r="L150" s="99" t="str">
        <f t="shared" si="7"/>
        <v>W2206.3</v>
      </c>
      <c r="M150" s="13" t="s">
        <v>17</v>
      </c>
      <c r="N150" s="13"/>
      <c r="O150" s="13"/>
      <c r="P150" s="47"/>
      <c r="Q150" s="45" t="s">
        <v>3672</v>
      </c>
      <c r="R150" s="45" t="s">
        <v>5596</v>
      </c>
      <c r="S150" s="48"/>
      <c r="T150" s="49" t="str">
        <f t="shared" si="5"/>
        <v>[W2206.3]</v>
      </c>
      <c r="U150" s="12" t="str">
        <f t="shared" si="9"/>
        <v xml:space="preserve"> 공급셔틀#1 Y축(SD201) 운전중에 Ready가 Off 되었습니다.</v>
      </c>
      <c r="V150" s="49" t="str">
        <f t="shared" si="8"/>
        <v>[W2206.3] 공급셔틀#1 Y축(SD201) 운전중에 Ready가 Off 되었습니다.</v>
      </c>
    </row>
    <row r="151" spans="1:22" s="49" customFormat="1" ht="14.15" customHeight="1">
      <c r="A151" s="43" t="s">
        <v>5597</v>
      </c>
      <c r="B151" s="44" t="s">
        <v>157</v>
      </c>
      <c r="C151" s="32"/>
      <c r="D151" s="10" t="s">
        <v>29</v>
      </c>
      <c r="E151" s="11"/>
      <c r="F151" s="11" t="s">
        <v>18</v>
      </c>
      <c r="G151" s="13"/>
      <c r="H151" s="45" t="s">
        <v>16</v>
      </c>
      <c r="I151" s="46"/>
      <c r="J151" s="12" t="s">
        <v>4735</v>
      </c>
      <c r="K151" s="13" t="s">
        <v>6951</v>
      </c>
      <c r="L151" s="99" t="str">
        <f t="shared" si="7"/>
        <v>W2206.4</v>
      </c>
      <c r="M151" s="13" t="s">
        <v>17</v>
      </c>
      <c r="N151" s="13"/>
      <c r="O151" s="13"/>
      <c r="P151" s="47"/>
      <c r="Q151" s="45" t="s">
        <v>3672</v>
      </c>
      <c r="R151" s="45" t="s">
        <v>5596</v>
      </c>
      <c r="S151" s="48"/>
      <c r="T151" s="49" t="str">
        <f t="shared" si="5"/>
        <v>[W2206.4]</v>
      </c>
      <c r="U151" s="12" t="str">
        <f t="shared" si="9"/>
        <v xml:space="preserve"> 공급셔틀#1 Y축(SD201) FLS가 감지되었습니다.</v>
      </c>
      <c r="V151" s="49" t="str">
        <f t="shared" si="8"/>
        <v>[W2206.4] 공급셔틀#1 Y축(SD201) FLS가 감지되었습니다.</v>
      </c>
    </row>
    <row r="152" spans="1:22" s="49" customFormat="1" ht="14.15" customHeight="1">
      <c r="A152" s="43" t="s">
        <v>5597</v>
      </c>
      <c r="B152" s="44" t="s">
        <v>157</v>
      </c>
      <c r="C152" s="32"/>
      <c r="D152" s="10" t="s">
        <v>29</v>
      </c>
      <c r="E152" s="11"/>
      <c r="F152" s="11" t="s">
        <v>18</v>
      </c>
      <c r="G152" s="13"/>
      <c r="H152" s="45" t="s">
        <v>16</v>
      </c>
      <c r="I152" s="46"/>
      <c r="J152" s="12" t="s">
        <v>4736</v>
      </c>
      <c r="K152" s="13" t="s">
        <v>6952</v>
      </c>
      <c r="L152" s="99" t="str">
        <f t="shared" si="7"/>
        <v>W2206.5</v>
      </c>
      <c r="M152" s="13" t="s">
        <v>17</v>
      </c>
      <c r="N152" s="13"/>
      <c r="O152" s="13"/>
      <c r="P152" s="47"/>
      <c r="Q152" s="45" t="s">
        <v>3672</v>
      </c>
      <c r="R152" s="45" t="s">
        <v>5596</v>
      </c>
      <c r="S152" s="48"/>
      <c r="T152" s="49" t="str">
        <f t="shared" si="5"/>
        <v>[W2206.5]</v>
      </c>
      <c r="U152" s="12" t="str">
        <f t="shared" si="9"/>
        <v xml:space="preserve"> 공급셔틀#1 Y축(SD201) RLS가 감지되었습니다.</v>
      </c>
      <c r="V152" s="49" t="str">
        <f t="shared" si="8"/>
        <v>[W2206.5] 공급셔틀#1 Y축(SD201) RLS가 감지되었습니다.</v>
      </c>
    </row>
    <row r="153" spans="1:22" s="49" customFormat="1" ht="14.15" customHeight="1">
      <c r="A153" s="43" t="s">
        <v>5597</v>
      </c>
      <c r="B153" s="44" t="s">
        <v>157</v>
      </c>
      <c r="C153" s="32"/>
      <c r="D153" s="10" t="s">
        <v>29</v>
      </c>
      <c r="E153" s="11"/>
      <c r="F153" s="11" t="s">
        <v>18</v>
      </c>
      <c r="G153" s="13"/>
      <c r="H153" s="45" t="s">
        <v>16</v>
      </c>
      <c r="I153" s="46"/>
      <c r="J153" s="12" t="s">
        <v>4737</v>
      </c>
      <c r="K153" s="13" t="s">
        <v>6953</v>
      </c>
      <c r="L153" s="99" t="str">
        <f t="shared" si="7"/>
        <v>W2206.6</v>
      </c>
      <c r="M153" s="13" t="s">
        <v>17</v>
      </c>
      <c r="N153" s="13"/>
      <c r="O153" s="13"/>
      <c r="P153" s="47"/>
      <c r="Q153" s="45" t="s">
        <v>3672</v>
      </c>
      <c r="R153" s="45" t="s">
        <v>5596</v>
      </c>
      <c r="S153" s="48"/>
      <c r="T153" s="49" t="str">
        <f t="shared" si="5"/>
        <v>[W2206.6]</v>
      </c>
      <c r="U153" s="12" t="str">
        <f t="shared" si="9"/>
        <v xml:space="preserve"> 공급셔틀#1 Y축(SD201) Stop 명령이 On된 상태에서 기동을 시도했습니다.</v>
      </c>
      <c r="V153" s="49" t="str">
        <f t="shared" si="8"/>
        <v>[W2206.6] 공급셔틀#1 Y축(SD201) Stop 명령이 On된 상태에서 기동을 시도했습니다.</v>
      </c>
    </row>
    <row r="154" spans="1:22" s="49" customFormat="1" ht="14.15" customHeight="1">
      <c r="A154" s="43" t="s">
        <v>5597</v>
      </c>
      <c r="B154" s="44" t="s">
        <v>157</v>
      </c>
      <c r="C154" s="32"/>
      <c r="D154" s="10" t="s">
        <v>29</v>
      </c>
      <c r="E154" s="11"/>
      <c r="F154" s="11" t="s">
        <v>18</v>
      </c>
      <c r="G154" s="13"/>
      <c r="H154" s="45" t="s">
        <v>16</v>
      </c>
      <c r="I154" s="46"/>
      <c r="J154" s="12" t="s">
        <v>4738</v>
      </c>
      <c r="K154" s="13" t="s">
        <v>6954</v>
      </c>
      <c r="L154" s="99" t="str">
        <f t="shared" si="7"/>
        <v>W2206.7</v>
      </c>
      <c r="M154" s="13" t="s">
        <v>17</v>
      </c>
      <c r="N154" s="13"/>
      <c r="O154" s="13"/>
      <c r="P154" s="47"/>
      <c r="Q154" s="45" t="s">
        <v>3672</v>
      </c>
      <c r="R154" s="45" t="s">
        <v>5596</v>
      </c>
      <c r="S154" s="48"/>
      <c r="T154" s="49" t="str">
        <f t="shared" si="5"/>
        <v>[W2206.7]</v>
      </c>
      <c r="U154" s="12" t="str">
        <f t="shared" si="9"/>
        <v xml:space="preserve"> 공급셔틀#1 Y축(SD201) 가동 전원이 Off 되었습니다.</v>
      </c>
      <c r="V154" s="49" t="str">
        <f t="shared" si="8"/>
        <v>[W2206.7] 공급셔틀#1 Y축(SD201) 가동 전원이 Off 되었습니다.</v>
      </c>
    </row>
    <row r="155" spans="1:22" s="49" customFormat="1" ht="14.15" customHeight="1">
      <c r="A155" s="43" t="s">
        <v>5597</v>
      </c>
      <c r="B155" s="44" t="s">
        <v>157</v>
      </c>
      <c r="C155" s="32"/>
      <c r="D155" s="10" t="s">
        <v>29</v>
      </c>
      <c r="E155" s="11"/>
      <c r="F155" s="11" t="s">
        <v>18</v>
      </c>
      <c r="G155" s="13"/>
      <c r="H155" s="45" t="s">
        <v>16</v>
      </c>
      <c r="I155" s="46"/>
      <c r="J155" s="12" t="s">
        <v>4739</v>
      </c>
      <c r="K155" s="13" t="s">
        <v>6955</v>
      </c>
      <c r="L155" s="99" t="str">
        <f t="shared" si="7"/>
        <v>W2206.8</v>
      </c>
      <c r="M155" s="13" t="s">
        <v>17</v>
      </c>
      <c r="N155" s="13"/>
      <c r="O155" s="13"/>
      <c r="P155" s="47"/>
      <c r="Q155" s="45" t="s">
        <v>3672</v>
      </c>
      <c r="R155" s="45" t="s">
        <v>5596</v>
      </c>
      <c r="S155" s="48"/>
      <c r="T155" s="49" t="str">
        <f t="shared" si="5"/>
        <v>[W2206.8]</v>
      </c>
      <c r="U155" s="12" t="str">
        <f t="shared" si="9"/>
        <v xml:space="preserve"> 공급셔틀#1 Y축(SD201) 엔코더 이상이 검출되었습니다.</v>
      </c>
      <c r="V155" s="49" t="str">
        <f t="shared" si="8"/>
        <v>[W2206.8] 공급셔틀#1 Y축(SD201) 엔코더 이상이 검출되었습니다.</v>
      </c>
    </row>
    <row r="156" spans="1:22" s="49" customFormat="1" ht="14.15" customHeight="1">
      <c r="A156" s="43" t="s">
        <v>5597</v>
      </c>
      <c r="B156" s="44" t="s">
        <v>157</v>
      </c>
      <c r="C156" s="32"/>
      <c r="D156" s="10" t="s">
        <v>29</v>
      </c>
      <c r="E156" s="11"/>
      <c r="F156" s="11" t="s">
        <v>18</v>
      </c>
      <c r="G156" s="13"/>
      <c r="H156" s="45" t="s">
        <v>16</v>
      </c>
      <c r="I156" s="46"/>
      <c r="J156" s="12" t="s">
        <v>4740</v>
      </c>
      <c r="K156" s="13" t="s">
        <v>6956</v>
      </c>
      <c r="L156" s="99" t="str">
        <f t="shared" si="7"/>
        <v>W2206.9</v>
      </c>
      <c r="M156" s="13" t="s">
        <v>17</v>
      </c>
      <c r="N156" s="13"/>
      <c r="O156" s="13"/>
      <c r="P156" s="47"/>
      <c r="Q156" s="45" t="s">
        <v>3672</v>
      </c>
      <c r="R156" s="45" t="s">
        <v>5596</v>
      </c>
      <c r="S156" s="48"/>
      <c r="T156" s="49" t="str">
        <f t="shared" si="5"/>
        <v>[W2206.9]</v>
      </c>
      <c r="U156" s="12" t="str">
        <f t="shared" si="9"/>
        <v xml:space="preserve"> 공급셔틀#1 Y축(SD201) 과전류가 검출되었습니다.</v>
      </c>
      <c r="V156" s="49" t="str">
        <f t="shared" si="8"/>
        <v>[W2206.9] 공급셔틀#1 Y축(SD201) 과전류가 검출되었습니다.</v>
      </c>
    </row>
    <row r="157" spans="1:22" s="49" customFormat="1" ht="14.15" customHeight="1">
      <c r="A157" s="43" t="s">
        <v>5597</v>
      </c>
      <c r="B157" s="44" t="s">
        <v>157</v>
      </c>
      <c r="C157" s="32"/>
      <c r="D157" s="10" t="s">
        <v>29</v>
      </c>
      <c r="E157" s="11"/>
      <c r="F157" s="11" t="s">
        <v>18</v>
      </c>
      <c r="G157" s="13"/>
      <c r="H157" s="45" t="s">
        <v>16</v>
      </c>
      <c r="I157" s="46"/>
      <c r="J157" s="12" t="s">
        <v>4741</v>
      </c>
      <c r="K157" s="13" t="s">
        <v>6957</v>
      </c>
      <c r="L157" s="99" t="str">
        <f t="shared" si="7"/>
        <v>W2206.A</v>
      </c>
      <c r="M157" s="13" t="s">
        <v>17</v>
      </c>
      <c r="N157" s="13"/>
      <c r="O157" s="13"/>
      <c r="P157" s="47"/>
      <c r="Q157" s="45" t="s">
        <v>3672</v>
      </c>
      <c r="R157" s="45" t="s">
        <v>5596</v>
      </c>
      <c r="S157" s="48"/>
      <c r="T157" s="49" t="str">
        <f t="shared" si="5"/>
        <v>[W2206.A]</v>
      </c>
      <c r="U157" s="12" t="str">
        <f t="shared" si="9"/>
        <v xml:space="preserve"> 공급셔틀#1 Y축(SD201) 과부하가 검출되었습니다.</v>
      </c>
      <c r="V157" s="49" t="str">
        <f t="shared" si="8"/>
        <v>[W2206.A] 공급셔틀#1 Y축(SD201) 과부하가 검출되었습니다.</v>
      </c>
    </row>
    <row r="158" spans="1:22" s="49" customFormat="1" ht="14.15" customHeight="1">
      <c r="A158" s="43" t="s">
        <v>5597</v>
      </c>
      <c r="B158" s="44" t="s">
        <v>157</v>
      </c>
      <c r="C158" s="32"/>
      <c r="D158" s="10" t="s">
        <v>29</v>
      </c>
      <c r="E158" s="11"/>
      <c r="F158" s="11" t="s">
        <v>18</v>
      </c>
      <c r="G158" s="13"/>
      <c r="H158" s="45" t="s">
        <v>16</v>
      </c>
      <c r="I158" s="46"/>
      <c r="J158" s="12" t="s">
        <v>4742</v>
      </c>
      <c r="K158" s="13" t="s">
        <v>6958</v>
      </c>
      <c r="L158" s="99" t="str">
        <f t="shared" si="7"/>
        <v>W2206.B</v>
      </c>
      <c r="M158" s="13" t="s">
        <v>17</v>
      </c>
      <c r="N158" s="13"/>
      <c r="O158" s="13"/>
      <c r="P158" s="47"/>
      <c r="Q158" s="45" t="s">
        <v>3672</v>
      </c>
      <c r="R158" s="45" t="s">
        <v>5596</v>
      </c>
      <c r="S158" s="48"/>
      <c r="T158" s="49" t="str">
        <f t="shared" si="5"/>
        <v>[W2206.B]</v>
      </c>
      <c r="U158" s="12" t="str">
        <f t="shared" si="9"/>
        <v xml:space="preserve"> 공급셔틀#1 Y축(SD201)  </v>
      </c>
      <c r="V158" s="49" t="str">
        <f t="shared" si="8"/>
        <v xml:space="preserve">[W2206.B] 공급셔틀#1 Y축(SD201)  </v>
      </c>
    </row>
    <row r="159" spans="1:22" s="49" customFormat="1" ht="14.15" customHeight="1">
      <c r="A159" s="43" t="s">
        <v>5597</v>
      </c>
      <c r="B159" s="44" t="s">
        <v>157</v>
      </c>
      <c r="C159" s="32"/>
      <c r="D159" s="10" t="s">
        <v>29</v>
      </c>
      <c r="E159" s="11"/>
      <c r="F159" s="11" t="s">
        <v>18</v>
      </c>
      <c r="G159" s="13"/>
      <c r="H159" s="45" t="s">
        <v>16</v>
      </c>
      <c r="I159" s="46"/>
      <c r="J159" s="12" t="s">
        <v>4743</v>
      </c>
      <c r="K159" s="13" t="s">
        <v>6959</v>
      </c>
      <c r="L159" s="99" t="str">
        <f t="shared" si="7"/>
        <v>W2206.C</v>
      </c>
      <c r="M159" s="13" t="s">
        <v>17</v>
      </c>
      <c r="N159" s="13"/>
      <c r="O159" s="13"/>
      <c r="P159" s="47"/>
      <c r="Q159" s="45" t="s">
        <v>3672</v>
      </c>
      <c r="R159" s="45" t="s">
        <v>5596</v>
      </c>
      <c r="S159" s="48"/>
      <c r="T159" s="49" t="str">
        <f t="shared" si="5"/>
        <v>[W2206.C]</v>
      </c>
      <c r="U159" s="12" t="str">
        <f t="shared" si="9"/>
        <v xml:space="preserve"> 공급셔틀#1 Y축(SD201) 에러가 발생했습니다.</v>
      </c>
      <c r="V159" s="49" t="str">
        <f t="shared" si="8"/>
        <v>[W2206.C] 공급셔틀#1 Y축(SD201) 에러가 발생했습니다.</v>
      </c>
    </row>
    <row r="160" spans="1:22" s="49" customFormat="1" ht="14.15" customHeight="1">
      <c r="A160" s="43" t="s">
        <v>5598</v>
      </c>
      <c r="B160" s="44" t="s">
        <v>157</v>
      </c>
      <c r="C160" s="32"/>
      <c r="D160" s="10" t="s">
        <v>29</v>
      </c>
      <c r="E160" s="11"/>
      <c r="F160" s="11" t="s">
        <v>18</v>
      </c>
      <c r="G160" s="13"/>
      <c r="H160" s="45" t="s">
        <v>16</v>
      </c>
      <c r="I160" s="46"/>
      <c r="J160" s="12" t="s">
        <v>4744</v>
      </c>
      <c r="K160" s="13" t="s">
        <v>6960</v>
      </c>
      <c r="L160" s="99" t="str">
        <f t="shared" si="7"/>
        <v>W2206.D</v>
      </c>
      <c r="M160" s="13" t="s">
        <v>17</v>
      </c>
      <c r="N160" s="13"/>
      <c r="O160" s="13"/>
      <c r="P160" s="47"/>
      <c r="Q160" s="45" t="s">
        <v>3672</v>
      </c>
      <c r="R160" s="45" t="s">
        <v>5596</v>
      </c>
      <c r="S160" s="48"/>
      <c r="T160" s="49" t="str">
        <f t="shared" si="5"/>
        <v>[W2206.D]</v>
      </c>
      <c r="U160" s="12" t="str">
        <f t="shared" si="9"/>
        <v xml:space="preserve"> 터브이송#2-1 X축(SD202) 운전중에 Ready가 Off 되었습니다.</v>
      </c>
      <c r="V160" s="49" t="str">
        <f t="shared" si="8"/>
        <v>[W2206.D] 터브이송#2-1 X축(SD202) 운전중에 Ready가 Off 되었습니다.</v>
      </c>
    </row>
    <row r="161" spans="1:22" s="49" customFormat="1" ht="14.15" customHeight="1">
      <c r="A161" s="43" t="s">
        <v>5598</v>
      </c>
      <c r="B161" s="44" t="s">
        <v>157</v>
      </c>
      <c r="C161" s="32"/>
      <c r="D161" s="10" t="s">
        <v>29</v>
      </c>
      <c r="E161" s="11"/>
      <c r="F161" s="11" t="s">
        <v>18</v>
      </c>
      <c r="G161" s="13"/>
      <c r="H161" s="45" t="s">
        <v>16</v>
      </c>
      <c r="I161" s="46"/>
      <c r="J161" s="12" t="s">
        <v>4745</v>
      </c>
      <c r="K161" s="13" t="s">
        <v>6961</v>
      </c>
      <c r="L161" s="99" t="str">
        <f t="shared" si="7"/>
        <v>W2206.E</v>
      </c>
      <c r="M161" s="13" t="s">
        <v>17</v>
      </c>
      <c r="N161" s="13"/>
      <c r="O161" s="13"/>
      <c r="P161" s="47"/>
      <c r="Q161" s="45" t="s">
        <v>3672</v>
      </c>
      <c r="R161" s="45" t="s">
        <v>5596</v>
      </c>
      <c r="S161" s="48"/>
      <c r="T161" s="49" t="str">
        <f t="shared" si="5"/>
        <v>[W2206.E]</v>
      </c>
      <c r="U161" s="12" t="str">
        <f t="shared" si="9"/>
        <v xml:space="preserve"> 터브이송#2-1 X축(SD202) FLS가 감지되었습니다.</v>
      </c>
      <c r="V161" s="49" t="str">
        <f t="shared" si="8"/>
        <v>[W2206.E] 터브이송#2-1 X축(SD202) FLS가 감지되었습니다.</v>
      </c>
    </row>
    <row r="162" spans="1:22" s="49" customFormat="1" ht="14.15" customHeight="1">
      <c r="A162" s="43" t="s">
        <v>5598</v>
      </c>
      <c r="B162" s="44" t="s">
        <v>157</v>
      </c>
      <c r="C162" s="32"/>
      <c r="D162" s="10" t="s">
        <v>29</v>
      </c>
      <c r="E162" s="11"/>
      <c r="F162" s="11" t="s">
        <v>18</v>
      </c>
      <c r="G162" s="13"/>
      <c r="H162" s="45" t="s">
        <v>16</v>
      </c>
      <c r="I162" s="46"/>
      <c r="J162" s="12" t="s">
        <v>4746</v>
      </c>
      <c r="K162" s="13" t="s">
        <v>6962</v>
      </c>
      <c r="L162" s="99" t="str">
        <f t="shared" si="7"/>
        <v>W2206.F</v>
      </c>
      <c r="M162" s="13" t="s">
        <v>17</v>
      </c>
      <c r="N162" s="13"/>
      <c r="O162" s="13"/>
      <c r="P162" s="47"/>
      <c r="Q162" s="45" t="s">
        <v>3672</v>
      </c>
      <c r="R162" s="45" t="s">
        <v>5596</v>
      </c>
      <c r="S162" s="48"/>
      <c r="T162" s="49" t="str">
        <f t="shared" si="5"/>
        <v>[W2206.F]</v>
      </c>
      <c r="U162" s="12" t="str">
        <f t="shared" si="9"/>
        <v xml:space="preserve"> 터브이송#2-1 X축(SD202) RLS가 감지되었습니다.</v>
      </c>
      <c r="V162" s="49" t="str">
        <f t="shared" si="8"/>
        <v>[W2206.F] 터브이송#2-1 X축(SD202) RLS가 감지되었습니다.</v>
      </c>
    </row>
    <row r="163" spans="1:22" s="49" customFormat="1" ht="14.15" customHeight="1">
      <c r="A163" s="43" t="s">
        <v>5598</v>
      </c>
      <c r="B163" s="44" t="s">
        <v>157</v>
      </c>
      <c r="C163" s="32"/>
      <c r="D163" s="10" t="s">
        <v>29</v>
      </c>
      <c r="E163" s="11"/>
      <c r="F163" s="11" t="s">
        <v>18</v>
      </c>
      <c r="G163" s="13"/>
      <c r="H163" s="45" t="s">
        <v>16</v>
      </c>
      <c r="I163" s="46"/>
      <c r="J163" s="12" t="s">
        <v>4747</v>
      </c>
      <c r="K163" s="13" t="s">
        <v>6963</v>
      </c>
      <c r="L163" s="99" t="str">
        <f t="shared" si="7"/>
        <v>W2207.0</v>
      </c>
      <c r="M163" s="13" t="s">
        <v>17</v>
      </c>
      <c r="N163" s="13"/>
      <c r="O163" s="13"/>
      <c r="P163" s="47"/>
      <c r="Q163" s="45" t="s">
        <v>3672</v>
      </c>
      <c r="R163" s="45" t="s">
        <v>5596</v>
      </c>
      <c r="S163" s="48"/>
      <c r="T163" s="49" t="str">
        <f t="shared" si="5"/>
        <v>[W2207.0]</v>
      </c>
      <c r="U163" s="12" t="str">
        <f t="shared" si="9"/>
        <v xml:space="preserve"> 터브이송#2-1 X축(SD202) Stop 명령이 On된 상태에서 기동을 시도했습니다.</v>
      </c>
      <c r="V163" s="49" t="str">
        <f t="shared" si="8"/>
        <v>[W2207.0] 터브이송#2-1 X축(SD202) Stop 명령이 On된 상태에서 기동을 시도했습니다.</v>
      </c>
    </row>
    <row r="164" spans="1:22" s="49" customFormat="1" ht="14.15" customHeight="1">
      <c r="A164" s="43" t="s">
        <v>5598</v>
      </c>
      <c r="B164" s="44" t="s">
        <v>157</v>
      </c>
      <c r="C164" s="32"/>
      <c r="D164" s="10" t="s">
        <v>29</v>
      </c>
      <c r="E164" s="11"/>
      <c r="F164" s="11" t="s">
        <v>18</v>
      </c>
      <c r="G164" s="13"/>
      <c r="H164" s="45" t="s">
        <v>16</v>
      </c>
      <c r="I164" s="46"/>
      <c r="J164" s="12" t="s">
        <v>4748</v>
      </c>
      <c r="K164" s="13" t="s">
        <v>6964</v>
      </c>
      <c r="L164" s="99" t="str">
        <f t="shared" si="7"/>
        <v>W2207.1</v>
      </c>
      <c r="M164" s="13" t="s">
        <v>17</v>
      </c>
      <c r="N164" s="13"/>
      <c r="O164" s="13"/>
      <c r="P164" s="47"/>
      <c r="Q164" s="45" t="s">
        <v>3672</v>
      </c>
      <c r="R164" s="45" t="s">
        <v>5596</v>
      </c>
      <c r="S164" s="48"/>
      <c r="T164" s="49" t="str">
        <f t="shared" si="5"/>
        <v>[W2207.1]</v>
      </c>
      <c r="U164" s="12" t="str">
        <f t="shared" si="9"/>
        <v xml:space="preserve"> 터브이송#2-1 X축(SD202) 가동 전원이 Off 되었습니다.</v>
      </c>
      <c r="V164" s="49" t="str">
        <f t="shared" si="8"/>
        <v>[W2207.1] 터브이송#2-1 X축(SD202) 가동 전원이 Off 되었습니다.</v>
      </c>
    </row>
    <row r="165" spans="1:22" s="49" customFormat="1" ht="14.15" customHeight="1">
      <c r="A165" s="43" t="s">
        <v>5598</v>
      </c>
      <c r="B165" s="44" t="s">
        <v>157</v>
      </c>
      <c r="C165" s="32"/>
      <c r="D165" s="10" t="s">
        <v>29</v>
      </c>
      <c r="E165" s="11"/>
      <c r="F165" s="11" t="s">
        <v>18</v>
      </c>
      <c r="G165" s="13"/>
      <c r="H165" s="45" t="s">
        <v>16</v>
      </c>
      <c r="I165" s="46"/>
      <c r="J165" s="12" t="s">
        <v>4749</v>
      </c>
      <c r="K165" s="13" t="s">
        <v>6965</v>
      </c>
      <c r="L165" s="99" t="str">
        <f t="shared" si="7"/>
        <v>W2207.2</v>
      </c>
      <c r="M165" s="13" t="s">
        <v>17</v>
      </c>
      <c r="N165" s="13"/>
      <c r="O165" s="13"/>
      <c r="P165" s="47"/>
      <c r="Q165" s="45" t="s">
        <v>3672</v>
      </c>
      <c r="R165" s="45" t="s">
        <v>5596</v>
      </c>
      <c r="S165" s="48"/>
      <c r="T165" s="49" t="str">
        <f t="shared" si="5"/>
        <v>[W2207.2]</v>
      </c>
      <c r="U165" s="12" t="str">
        <f t="shared" si="9"/>
        <v xml:space="preserve"> 터브이송#2-1 X축(SD202) 엔코더 이상이 검출되었습니다.</v>
      </c>
      <c r="V165" s="49" t="str">
        <f t="shared" si="8"/>
        <v>[W2207.2] 터브이송#2-1 X축(SD202) 엔코더 이상이 검출되었습니다.</v>
      </c>
    </row>
    <row r="166" spans="1:22" s="49" customFormat="1" ht="14.15" customHeight="1">
      <c r="A166" s="43" t="s">
        <v>5598</v>
      </c>
      <c r="B166" s="44" t="s">
        <v>157</v>
      </c>
      <c r="C166" s="32"/>
      <c r="D166" s="10" t="s">
        <v>29</v>
      </c>
      <c r="E166" s="11"/>
      <c r="F166" s="11" t="s">
        <v>18</v>
      </c>
      <c r="G166" s="13"/>
      <c r="H166" s="45" t="s">
        <v>16</v>
      </c>
      <c r="I166" s="46"/>
      <c r="J166" s="12" t="s">
        <v>4750</v>
      </c>
      <c r="K166" s="13" t="s">
        <v>6966</v>
      </c>
      <c r="L166" s="99" t="str">
        <f t="shared" si="7"/>
        <v>W2207.3</v>
      </c>
      <c r="M166" s="13" t="s">
        <v>17</v>
      </c>
      <c r="N166" s="13"/>
      <c r="O166" s="13"/>
      <c r="P166" s="47"/>
      <c r="Q166" s="45" t="s">
        <v>3672</v>
      </c>
      <c r="R166" s="45" t="s">
        <v>5596</v>
      </c>
      <c r="S166" s="48"/>
      <c r="T166" s="49" t="str">
        <f t="shared" si="5"/>
        <v>[W2207.3]</v>
      </c>
      <c r="U166" s="12" t="str">
        <f t="shared" si="9"/>
        <v xml:space="preserve"> 터브이송#2-1 X축(SD202) 과전류가 검출되었습니다.</v>
      </c>
      <c r="V166" s="49" t="str">
        <f t="shared" si="8"/>
        <v>[W2207.3] 터브이송#2-1 X축(SD202) 과전류가 검출되었습니다.</v>
      </c>
    </row>
    <row r="167" spans="1:22" s="49" customFormat="1" ht="14.15" customHeight="1">
      <c r="A167" s="43" t="s">
        <v>5598</v>
      </c>
      <c r="B167" s="44" t="s">
        <v>157</v>
      </c>
      <c r="C167" s="32"/>
      <c r="D167" s="10" t="s">
        <v>29</v>
      </c>
      <c r="E167" s="11"/>
      <c r="F167" s="11" t="s">
        <v>18</v>
      </c>
      <c r="G167" s="13"/>
      <c r="H167" s="45" t="s">
        <v>16</v>
      </c>
      <c r="I167" s="46"/>
      <c r="J167" s="12" t="s">
        <v>4751</v>
      </c>
      <c r="K167" s="13" t="s">
        <v>6967</v>
      </c>
      <c r="L167" s="99" t="str">
        <f t="shared" si="7"/>
        <v>W2207.4</v>
      </c>
      <c r="M167" s="13" t="s">
        <v>17</v>
      </c>
      <c r="N167" s="13"/>
      <c r="O167" s="13"/>
      <c r="P167" s="47"/>
      <c r="Q167" s="45" t="s">
        <v>3672</v>
      </c>
      <c r="R167" s="45" t="s">
        <v>5596</v>
      </c>
      <c r="S167" s="48"/>
      <c r="T167" s="49" t="str">
        <f t="shared" si="5"/>
        <v>[W2207.4]</v>
      </c>
      <c r="U167" s="12" t="str">
        <f t="shared" si="9"/>
        <v xml:space="preserve"> 터브이송#2-1 X축(SD202) 과부하가 검출되었습니다.</v>
      </c>
      <c r="V167" s="49" t="str">
        <f t="shared" si="8"/>
        <v>[W2207.4] 터브이송#2-1 X축(SD202) 과부하가 검출되었습니다.</v>
      </c>
    </row>
    <row r="168" spans="1:22" s="49" customFormat="1" ht="14.15" customHeight="1">
      <c r="A168" s="43" t="s">
        <v>5598</v>
      </c>
      <c r="B168" s="44" t="s">
        <v>157</v>
      </c>
      <c r="C168" s="32"/>
      <c r="D168" s="10" t="s">
        <v>29</v>
      </c>
      <c r="E168" s="11"/>
      <c r="F168" s="11" t="s">
        <v>18</v>
      </c>
      <c r="G168" s="13"/>
      <c r="H168" s="45" t="s">
        <v>16</v>
      </c>
      <c r="I168" s="46"/>
      <c r="J168" s="12" t="s">
        <v>4752</v>
      </c>
      <c r="K168" s="13" t="s">
        <v>6968</v>
      </c>
      <c r="L168" s="99" t="str">
        <f t="shared" si="7"/>
        <v>W2207.5</v>
      </c>
      <c r="M168" s="13" t="s">
        <v>17</v>
      </c>
      <c r="N168" s="13"/>
      <c r="O168" s="13"/>
      <c r="P168" s="47"/>
      <c r="Q168" s="45" t="s">
        <v>3672</v>
      </c>
      <c r="R168" s="45" t="s">
        <v>5596</v>
      </c>
      <c r="S168" s="48"/>
      <c r="T168" s="49" t="str">
        <f t="shared" si="5"/>
        <v>[W2207.5]</v>
      </c>
      <c r="U168" s="12" t="str">
        <f t="shared" si="9"/>
        <v xml:space="preserve"> 터브이송#2-1 X축(SD202)  </v>
      </c>
      <c r="V168" s="49" t="str">
        <f t="shared" si="8"/>
        <v xml:space="preserve">[W2207.5] 터브이송#2-1 X축(SD202)  </v>
      </c>
    </row>
    <row r="169" spans="1:22" s="49" customFormat="1" ht="14.15" customHeight="1">
      <c r="A169" s="43" t="s">
        <v>5598</v>
      </c>
      <c r="B169" s="44" t="s">
        <v>157</v>
      </c>
      <c r="C169" s="32"/>
      <c r="D169" s="10" t="s">
        <v>29</v>
      </c>
      <c r="E169" s="11"/>
      <c r="F169" s="11" t="s">
        <v>18</v>
      </c>
      <c r="G169" s="13"/>
      <c r="H169" s="45" t="s">
        <v>16</v>
      </c>
      <c r="I169" s="46"/>
      <c r="J169" s="12" t="s">
        <v>4753</v>
      </c>
      <c r="K169" s="13" t="s">
        <v>6969</v>
      </c>
      <c r="L169" s="99" t="str">
        <f t="shared" si="7"/>
        <v>W2207.6</v>
      </c>
      <c r="M169" s="13" t="s">
        <v>17</v>
      </c>
      <c r="N169" s="13"/>
      <c r="O169" s="13"/>
      <c r="P169" s="47"/>
      <c r="Q169" s="45" t="s">
        <v>3672</v>
      </c>
      <c r="R169" s="45" t="s">
        <v>5596</v>
      </c>
      <c r="S169" s="48"/>
      <c r="T169" s="49" t="str">
        <f t="shared" si="5"/>
        <v>[W2207.6]</v>
      </c>
      <c r="U169" s="12" t="str">
        <f t="shared" si="9"/>
        <v xml:space="preserve"> 터브이송#2-1 X축(SD202) 에러가 발생했습니다.</v>
      </c>
      <c r="V169" s="49" t="str">
        <f t="shared" si="8"/>
        <v>[W2207.6] 터브이송#2-1 X축(SD202) 에러가 발생했습니다.</v>
      </c>
    </row>
    <row r="170" spans="1:22" s="49" customFormat="1" ht="14.15" customHeight="1">
      <c r="A170" s="43" t="s">
        <v>5598</v>
      </c>
      <c r="B170" s="44" t="s">
        <v>157</v>
      </c>
      <c r="C170" s="32"/>
      <c r="D170" s="10" t="s">
        <v>29</v>
      </c>
      <c r="E170" s="11"/>
      <c r="F170" s="11" t="s">
        <v>18</v>
      </c>
      <c r="G170" s="13"/>
      <c r="H170" s="45" t="s">
        <v>16</v>
      </c>
      <c r="I170" s="46"/>
      <c r="J170" s="12" t="s">
        <v>4754</v>
      </c>
      <c r="K170" s="13" t="s">
        <v>6970</v>
      </c>
      <c r="L170" s="99" t="str">
        <f t="shared" si="7"/>
        <v>W2207.7</v>
      </c>
      <c r="M170" s="13" t="s">
        <v>17</v>
      </c>
      <c r="N170" s="13"/>
      <c r="O170" s="13"/>
      <c r="P170" s="47"/>
      <c r="Q170" s="45" t="s">
        <v>3672</v>
      </c>
      <c r="R170" s="45" t="s">
        <v>5596</v>
      </c>
      <c r="S170" s="48"/>
      <c r="T170" s="49" t="str">
        <f t="shared" si="5"/>
        <v>[W2207.7]</v>
      </c>
      <c r="U170" s="12" t="str">
        <f t="shared" si="9"/>
        <v xml:space="preserve"> 터브이송#2-1 Z축(SD203) 운전중에 Ready가 Off 되었습니다.</v>
      </c>
      <c r="V170" s="49" t="str">
        <f t="shared" si="8"/>
        <v>[W2207.7] 터브이송#2-1 Z축(SD203) 운전중에 Ready가 Off 되었습니다.</v>
      </c>
    </row>
    <row r="171" spans="1:22" s="49" customFormat="1" ht="14.15" customHeight="1">
      <c r="A171" s="43" t="s">
        <v>5598</v>
      </c>
      <c r="B171" s="44" t="s">
        <v>157</v>
      </c>
      <c r="C171" s="32"/>
      <c r="D171" s="10" t="s">
        <v>29</v>
      </c>
      <c r="E171" s="11"/>
      <c r="F171" s="11" t="s">
        <v>18</v>
      </c>
      <c r="G171" s="13"/>
      <c r="H171" s="45" t="s">
        <v>16</v>
      </c>
      <c r="I171" s="46"/>
      <c r="J171" s="12" t="s">
        <v>4755</v>
      </c>
      <c r="K171" s="13" t="s">
        <v>6971</v>
      </c>
      <c r="L171" s="99" t="str">
        <f t="shared" si="7"/>
        <v>W2207.8</v>
      </c>
      <c r="M171" s="13" t="s">
        <v>17</v>
      </c>
      <c r="N171" s="13"/>
      <c r="O171" s="13"/>
      <c r="P171" s="47"/>
      <c r="Q171" s="45" t="s">
        <v>3672</v>
      </c>
      <c r="R171" s="45" t="s">
        <v>5596</v>
      </c>
      <c r="S171" s="48"/>
      <c r="T171" s="49" t="str">
        <f t="shared" si="5"/>
        <v>[W2207.8]</v>
      </c>
      <c r="U171" s="12" t="str">
        <f t="shared" si="9"/>
        <v xml:space="preserve"> 터브이송#2-1 Z축(SD203) FLS가 감지되었습니다.</v>
      </c>
      <c r="V171" s="49" t="str">
        <f t="shared" si="8"/>
        <v>[W2207.8] 터브이송#2-1 Z축(SD203) FLS가 감지되었습니다.</v>
      </c>
    </row>
    <row r="172" spans="1:22" s="49" customFormat="1" ht="14.15" customHeight="1">
      <c r="A172" s="43" t="s">
        <v>5598</v>
      </c>
      <c r="B172" s="44" t="s">
        <v>157</v>
      </c>
      <c r="C172" s="32"/>
      <c r="D172" s="10" t="s">
        <v>29</v>
      </c>
      <c r="E172" s="11"/>
      <c r="F172" s="11" t="s">
        <v>18</v>
      </c>
      <c r="G172" s="13"/>
      <c r="H172" s="45" t="s">
        <v>16</v>
      </c>
      <c r="I172" s="46"/>
      <c r="J172" s="12" t="s">
        <v>4756</v>
      </c>
      <c r="K172" s="13" t="s">
        <v>6972</v>
      </c>
      <c r="L172" s="99" t="str">
        <f t="shared" si="7"/>
        <v>W2207.9</v>
      </c>
      <c r="M172" s="13" t="s">
        <v>17</v>
      </c>
      <c r="N172" s="13"/>
      <c r="O172" s="13"/>
      <c r="P172" s="47"/>
      <c r="Q172" s="45" t="s">
        <v>3672</v>
      </c>
      <c r="R172" s="45" t="s">
        <v>5596</v>
      </c>
      <c r="S172" s="48"/>
      <c r="T172" s="49" t="str">
        <f t="shared" si="5"/>
        <v>[W2207.9]</v>
      </c>
      <c r="U172" s="12" t="str">
        <f t="shared" si="9"/>
        <v xml:space="preserve"> 터브이송#2-1 Z축(SD203) RLS가 감지되었습니다.</v>
      </c>
      <c r="V172" s="49" t="str">
        <f t="shared" si="8"/>
        <v>[W2207.9] 터브이송#2-1 Z축(SD203) RLS가 감지되었습니다.</v>
      </c>
    </row>
    <row r="173" spans="1:22" s="49" customFormat="1" ht="14.15" customHeight="1">
      <c r="A173" s="43" t="s">
        <v>5598</v>
      </c>
      <c r="B173" s="44" t="s">
        <v>157</v>
      </c>
      <c r="C173" s="32"/>
      <c r="D173" s="10" t="s">
        <v>29</v>
      </c>
      <c r="E173" s="11"/>
      <c r="F173" s="11" t="s">
        <v>18</v>
      </c>
      <c r="G173" s="13"/>
      <c r="H173" s="45" t="s">
        <v>16</v>
      </c>
      <c r="I173" s="46"/>
      <c r="J173" s="12" t="s">
        <v>4757</v>
      </c>
      <c r="K173" s="13" t="s">
        <v>6973</v>
      </c>
      <c r="L173" s="99" t="str">
        <f t="shared" si="7"/>
        <v>W2207.A</v>
      </c>
      <c r="M173" s="13" t="s">
        <v>17</v>
      </c>
      <c r="N173" s="13"/>
      <c r="O173" s="13"/>
      <c r="P173" s="47"/>
      <c r="Q173" s="45" t="s">
        <v>3672</v>
      </c>
      <c r="R173" s="45" t="s">
        <v>5596</v>
      </c>
      <c r="S173" s="48"/>
      <c r="T173" s="49" t="str">
        <f t="shared" si="5"/>
        <v>[W2207.A]</v>
      </c>
      <c r="U173" s="12" t="str">
        <f t="shared" si="9"/>
        <v xml:space="preserve"> 터브이송#2-1 Z축(SD203) Stop 명령이 On된 상태에서 기동을 시도했습니다.</v>
      </c>
      <c r="V173" s="49" t="str">
        <f t="shared" si="8"/>
        <v>[W2207.A] 터브이송#2-1 Z축(SD203) Stop 명령이 On된 상태에서 기동을 시도했습니다.</v>
      </c>
    </row>
    <row r="174" spans="1:22" s="49" customFormat="1" ht="14.15" customHeight="1">
      <c r="A174" s="43" t="s">
        <v>5598</v>
      </c>
      <c r="B174" s="44" t="s">
        <v>157</v>
      </c>
      <c r="C174" s="32"/>
      <c r="D174" s="10" t="s">
        <v>29</v>
      </c>
      <c r="E174" s="11"/>
      <c r="F174" s="11" t="s">
        <v>18</v>
      </c>
      <c r="G174" s="13"/>
      <c r="H174" s="45" t="s">
        <v>16</v>
      </c>
      <c r="I174" s="46"/>
      <c r="J174" s="12" t="s">
        <v>4758</v>
      </c>
      <c r="K174" s="13" t="s">
        <v>6974</v>
      </c>
      <c r="L174" s="99" t="str">
        <f t="shared" si="7"/>
        <v>W2207.B</v>
      </c>
      <c r="M174" s="13" t="s">
        <v>17</v>
      </c>
      <c r="N174" s="13"/>
      <c r="O174" s="13"/>
      <c r="P174" s="47"/>
      <c r="Q174" s="45" t="s">
        <v>3672</v>
      </c>
      <c r="R174" s="45" t="s">
        <v>5596</v>
      </c>
      <c r="S174" s="48"/>
      <c r="T174" s="49" t="str">
        <f t="shared" si="5"/>
        <v>[W2207.B]</v>
      </c>
      <c r="U174" s="12" t="str">
        <f t="shared" si="9"/>
        <v xml:space="preserve"> 터브이송#2-1 Z축(SD203) 가동 전원이 Off 되었습니다.</v>
      </c>
      <c r="V174" s="49" t="str">
        <f t="shared" si="8"/>
        <v>[W2207.B] 터브이송#2-1 Z축(SD203) 가동 전원이 Off 되었습니다.</v>
      </c>
    </row>
    <row r="175" spans="1:22" s="49" customFormat="1" ht="14.15" customHeight="1">
      <c r="A175" s="43" t="s">
        <v>5598</v>
      </c>
      <c r="B175" s="44" t="s">
        <v>157</v>
      </c>
      <c r="C175" s="32"/>
      <c r="D175" s="10" t="s">
        <v>29</v>
      </c>
      <c r="E175" s="11"/>
      <c r="F175" s="11" t="s">
        <v>18</v>
      </c>
      <c r="G175" s="13"/>
      <c r="H175" s="45" t="s">
        <v>16</v>
      </c>
      <c r="I175" s="46"/>
      <c r="J175" s="12" t="s">
        <v>4759</v>
      </c>
      <c r="K175" s="13" t="s">
        <v>6975</v>
      </c>
      <c r="L175" s="99" t="str">
        <f t="shared" si="7"/>
        <v>W2207.C</v>
      </c>
      <c r="M175" s="13" t="s">
        <v>17</v>
      </c>
      <c r="N175" s="13"/>
      <c r="O175" s="13"/>
      <c r="P175" s="47"/>
      <c r="Q175" s="45" t="s">
        <v>3672</v>
      </c>
      <c r="R175" s="45" t="s">
        <v>5596</v>
      </c>
      <c r="S175" s="48"/>
      <c r="T175" s="49" t="str">
        <f t="shared" si="5"/>
        <v>[W2207.C]</v>
      </c>
      <c r="U175" s="12" t="str">
        <f t="shared" si="9"/>
        <v xml:space="preserve"> 터브이송#2-1 Z축(SD203) 엔코더 이상이 검출되었습니다.</v>
      </c>
      <c r="V175" s="49" t="str">
        <f t="shared" si="8"/>
        <v>[W2207.C] 터브이송#2-1 Z축(SD203) 엔코더 이상이 검출되었습니다.</v>
      </c>
    </row>
    <row r="176" spans="1:22" s="49" customFormat="1" ht="14.15" customHeight="1">
      <c r="A176" s="43" t="s">
        <v>5598</v>
      </c>
      <c r="B176" s="44" t="s">
        <v>157</v>
      </c>
      <c r="C176" s="32"/>
      <c r="D176" s="10" t="s">
        <v>29</v>
      </c>
      <c r="E176" s="11"/>
      <c r="F176" s="11" t="s">
        <v>18</v>
      </c>
      <c r="G176" s="13"/>
      <c r="H176" s="45" t="s">
        <v>16</v>
      </c>
      <c r="I176" s="46"/>
      <c r="J176" s="12" t="s">
        <v>4760</v>
      </c>
      <c r="K176" s="13" t="s">
        <v>6976</v>
      </c>
      <c r="L176" s="99" t="str">
        <f t="shared" si="7"/>
        <v>W2207.D</v>
      </c>
      <c r="M176" s="13" t="s">
        <v>17</v>
      </c>
      <c r="N176" s="13"/>
      <c r="O176" s="13"/>
      <c r="P176" s="47"/>
      <c r="Q176" s="45" t="s">
        <v>3672</v>
      </c>
      <c r="R176" s="45" t="s">
        <v>5596</v>
      </c>
      <c r="S176" s="48"/>
      <c r="T176" s="49" t="str">
        <f t="shared" si="5"/>
        <v>[W2207.D]</v>
      </c>
      <c r="U176" s="12" t="str">
        <f t="shared" si="9"/>
        <v xml:space="preserve"> 터브이송#2-1 Z축(SD203) 과전류가 검출되었습니다.</v>
      </c>
      <c r="V176" s="49" t="str">
        <f t="shared" si="8"/>
        <v>[W2207.D] 터브이송#2-1 Z축(SD203) 과전류가 검출되었습니다.</v>
      </c>
    </row>
    <row r="177" spans="1:22" s="49" customFormat="1" ht="14.15" customHeight="1">
      <c r="A177" s="43" t="s">
        <v>5598</v>
      </c>
      <c r="B177" s="44" t="s">
        <v>157</v>
      </c>
      <c r="C177" s="32"/>
      <c r="D177" s="10" t="s">
        <v>29</v>
      </c>
      <c r="E177" s="11"/>
      <c r="F177" s="11" t="s">
        <v>18</v>
      </c>
      <c r="G177" s="13"/>
      <c r="H177" s="45" t="s">
        <v>16</v>
      </c>
      <c r="I177" s="46"/>
      <c r="J177" s="12" t="s">
        <v>4761</v>
      </c>
      <c r="K177" s="13" t="s">
        <v>6977</v>
      </c>
      <c r="L177" s="99" t="str">
        <f t="shared" si="7"/>
        <v>W2207.E</v>
      </c>
      <c r="M177" s="13" t="s">
        <v>17</v>
      </c>
      <c r="N177" s="13"/>
      <c r="O177" s="13"/>
      <c r="P177" s="47"/>
      <c r="Q177" s="45" t="s">
        <v>3672</v>
      </c>
      <c r="R177" s="45" t="s">
        <v>5596</v>
      </c>
      <c r="S177" s="48"/>
      <c r="T177" s="49" t="str">
        <f t="shared" si="5"/>
        <v>[W2207.E]</v>
      </c>
      <c r="U177" s="12" t="str">
        <f t="shared" si="9"/>
        <v xml:space="preserve"> 터브이송#2-1 Z축(SD203) 과부하가 검출되었습니다.</v>
      </c>
      <c r="V177" s="49" t="str">
        <f t="shared" si="8"/>
        <v>[W2207.E] 터브이송#2-1 Z축(SD203) 과부하가 검출되었습니다.</v>
      </c>
    </row>
    <row r="178" spans="1:22" s="49" customFormat="1" ht="14.15" customHeight="1">
      <c r="A178" s="43" t="s">
        <v>5598</v>
      </c>
      <c r="B178" s="44" t="s">
        <v>157</v>
      </c>
      <c r="C178" s="32"/>
      <c r="D178" s="10" t="s">
        <v>29</v>
      </c>
      <c r="E178" s="11"/>
      <c r="F178" s="11" t="s">
        <v>18</v>
      </c>
      <c r="G178" s="13"/>
      <c r="H178" s="45" t="s">
        <v>16</v>
      </c>
      <c r="I178" s="46"/>
      <c r="J178" s="12" t="s">
        <v>4762</v>
      </c>
      <c r="K178" s="13" t="s">
        <v>6978</v>
      </c>
      <c r="L178" s="99" t="str">
        <f t="shared" si="7"/>
        <v>W2207.F</v>
      </c>
      <c r="M178" s="13" t="s">
        <v>17</v>
      </c>
      <c r="N178" s="13"/>
      <c r="O178" s="13"/>
      <c r="P178" s="47"/>
      <c r="Q178" s="45" t="s">
        <v>3672</v>
      </c>
      <c r="R178" s="45" t="s">
        <v>5596</v>
      </c>
      <c r="S178" s="48"/>
      <c r="T178" s="49" t="str">
        <f t="shared" si="5"/>
        <v>[W2207.F]</v>
      </c>
      <c r="U178" s="12" t="str">
        <f t="shared" si="9"/>
        <v xml:space="preserve"> 터브이송#2-1 Z축(SD203)  </v>
      </c>
      <c r="V178" s="49" t="str">
        <f t="shared" si="8"/>
        <v xml:space="preserve">[W2207.F] 터브이송#2-1 Z축(SD203)  </v>
      </c>
    </row>
    <row r="179" spans="1:22" s="49" customFormat="1" ht="14.15" customHeight="1">
      <c r="A179" s="43" t="s">
        <v>5598</v>
      </c>
      <c r="B179" s="44" t="s">
        <v>157</v>
      </c>
      <c r="C179" s="32"/>
      <c r="D179" s="10" t="s">
        <v>29</v>
      </c>
      <c r="E179" s="11"/>
      <c r="F179" s="11" t="s">
        <v>18</v>
      </c>
      <c r="G179" s="13"/>
      <c r="H179" s="45" t="s">
        <v>16</v>
      </c>
      <c r="I179" s="46"/>
      <c r="J179" s="12" t="s">
        <v>4763</v>
      </c>
      <c r="K179" s="13" t="s">
        <v>6979</v>
      </c>
      <c r="L179" s="99" t="str">
        <f t="shared" si="7"/>
        <v>W2208.0</v>
      </c>
      <c r="M179" s="13" t="s">
        <v>17</v>
      </c>
      <c r="N179" s="13"/>
      <c r="O179" s="13"/>
      <c r="P179" s="47"/>
      <c r="Q179" s="45" t="s">
        <v>3672</v>
      </c>
      <c r="R179" s="45" t="s">
        <v>5596</v>
      </c>
      <c r="S179" s="48"/>
      <c r="T179" s="49" t="str">
        <f t="shared" ref="T179:T242" si="10">"["&amp;L179&amp;"]"</f>
        <v>[W2208.0]</v>
      </c>
      <c r="U179" s="12" t="str">
        <f t="shared" si="9"/>
        <v xml:space="preserve"> 터브이송#2-1 Z축(SD203) 에러가 발생했습니다.</v>
      </c>
      <c r="V179" s="49" t="str">
        <f t="shared" si="8"/>
        <v>[W2208.0] 터브이송#2-1 Z축(SD203) 에러가 발생했습니다.</v>
      </c>
    </row>
    <row r="180" spans="1:22" s="49" customFormat="1" ht="14.15" customHeight="1">
      <c r="A180" s="43" t="s">
        <v>5598</v>
      </c>
      <c r="B180" s="44" t="s">
        <v>157</v>
      </c>
      <c r="C180" s="32"/>
      <c r="D180" s="10" t="s">
        <v>29</v>
      </c>
      <c r="E180" s="11"/>
      <c r="F180" s="11" t="s">
        <v>18</v>
      </c>
      <c r="G180" s="13"/>
      <c r="H180" s="45" t="s">
        <v>16</v>
      </c>
      <c r="I180" s="46"/>
      <c r="J180" s="12" t="s">
        <v>4764</v>
      </c>
      <c r="K180" s="13" t="s">
        <v>6980</v>
      </c>
      <c r="L180" s="99" t="str">
        <f t="shared" ref="L180:L243" si="11">"W"&amp;DEC2HEX(8704 + INT((ROW()-51)/16)) &amp; "." &amp; IF(MOD(ROW()-51,16)&lt;10,MOD(ROW()-51,16),CHAR(MOD(ROW()-51,16)+55))</f>
        <v>W2208.1</v>
      </c>
      <c r="M180" s="13" t="s">
        <v>17</v>
      </c>
      <c r="N180" s="13"/>
      <c r="O180" s="13"/>
      <c r="P180" s="47"/>
      <c r="Q180" s="45" t="s">
        <v>3672</v>
      </c>
      <c r="R180" s="45" t="s">
        <v>5596</v>
      </c>
      <c r="S180" s="48"/>
      <c r="T180" s="49" t="str">
        <f t="shared" si="10"/>
        <v>[W2208.1]</v>
      </c>
      <c r="U180" s="12" t="str">
        <f t="shared" si="9"/>
        <v xml:space="preserve"> 터브이송#2-1 C1축(SD204) 운전중에 Ready가 Off 되었습니다.</v>
      </c>
      <c r="V180" s="49" t="str">
        <f t="shared" ref="V180:V243" si="12">T180&amp;U180</f>
        <v>[W2208.1] 터브이송#2-1 C1축(SD204) 운전중에 Ready가 Off 되었습니다.</v>
      </c>
    </row>
    <row r="181" spans="1:22" s="49" customFormat="1" ht="14.15" customHeight="1">
      <c r="A181" s="43" t="s">
        <v>5598</v>
      </c>
      <c r="B181" s="44" t="s">
        <v>157</v>
      </c>
      <c r="C181" s="32"/>
      <c r="D181" s="10" t="s">
        <v>29</v>
      </c>
      <c r="E181" s="11"/>
      <c r="F181" s="11" t="s">
        <v>18</v>
      </c>
      <c r="G181" s="13"/>
      <c r="H181" s="45" t="s">
        <v>16</v>
      </c>
      <c r="I181" s="46"/>
      <c r="J181" s="12" t="s">
        <v>4765</v>
      </c>
      <c r="K181" s="13" t="s">
        <v>6981</v>
      </c>
      <c r="L181" s="99" t="str">
        <f t="shared" si="11"/>
        <v>W2208.2</v>
      </c>
      <c r="M181" s="13" t="s">
        <v>17</v>
      </c>
      <c r="N181" s="13"/>
      <c r="O181" s="13"/>
      <c r="P181" s="47"/>
      <c r="Q181" s="45" t="s">
        <v>3672</v>
      </c>
      <c r="R181" s="45" t="s">
        <v>5596</v>
      </c>
      <c r="S181" s="48"/>
      <c r="T181" s="49" t="str">
        <f t="shared" si="10"/>
        <v>[W2208.2]</v>
      </c>
      <c r="U181" s="12" t="str">
        <f t="shared" si="9"/>
        <v xml:space="preserve"> 터브이송#2-1 C1축(SD204) FLS가 감지되었습니다.</v>
      </c>
      <c r="V181" s="49" t="str">
        <f t="shared" si="12"/>
        <v>[W2208.2] 터브이송#2-1 C1축(SD204) FLS가 감지되었습니다.</v>
      </c>
    </row>
    <row r="182" spans="1:22" s="49" customFormat="1" ht="14.15" customHeight="1">
      <c r="A182" s="43" t="s">
        <v>5598</v>
      </c>
      <c r="B182" s="44" t="s">
        <v>157</v>
      </c>
      <c r="C182" s="32"/>
      <c r="D182" s="10" t="s">
        <v>29</v>
      </c>
      <c r="E182" s="11"/>
      <c r="F182" s="11" t="s">
        <v>18</v>
      </c>
      <c r="G182" s="13"/>
      <c r="H182" s="45" t="s">
        <v>16</v>
      </c>
      <c r="I182" s="46"/>
      <c r="J182" s="12" t="s">
        <v>4766</v>
      </c>
      <c r="K182" s="13" t="s">
        <v>6982</v>
      </c>
      <c r="L182" s="99" t="str">
        <f t="shared" si="11"/>
        <v>W2208.3</v>
      </c>
      <c r="M182" s="13" t="s">
        <v>17</v>
      </c>
      <c r="N182" s="13"/>
      <c r="O182" s="13"/>
      <c r="P182" s="47"/>
      <c r="Q182" s="45" t="s">
        <v>3672</v>
      </c>
      <c r="R182" s="45" t="s">
        <v>5596</v>
      </c>
      <c r="S182" s="48"/>
      <c r="T182" s="49" t="str">
        <f t="shared" si="10"/>
        <v>[W2208.3]</v>
      </c>
      <c r="U182" s="12" t="str">
        <f t="shared" si="9"/>
        <v xml:space="preserve"> 터브이송#2-1 C1축(SD204) RLS가 감지되었습니다.</v>
      </c>
      <c r="V182" s="49" t="str">
        <f t="shared" si="12"/>
        <v>[W2208.3] 터브이송#2-1 C1축(SD204) RLS가 감지되었습니다.</v>
      </c>
    </row>
    <row r="183" spans="1:22" s="49" customFormat="1" ht="14.15" customHeight="1">
      <c r="A183" s="43" t="s">
        <v>5598</v>
      </c>
      <c r="B183" s="44" t="s">
        <v>157</v>
      </c>
      <c r="C183" s="32"/>
      <c r="D183" s="10" t="s">
        <v>29</v>
      </c>
      <c r="E183" s="11"/>
      <c r="F183" s="11" t="s">
        <v>18</v>
      </c>
      <c r="G183" s="13"/>
      <c r="H183" s="45" t="s">
        <v>16</v>
      </c>
      <c r="I183" s="46"/>
      <c r="J183" s="12" t="s">
        <v>4767</v>
      </c>
      <c r="K183" s="13" t="s">
        <v>6983</v>
      </c>
      <c r="L183" s="99" t="str">
        <f t="shared" si="11"/>
        <v>W2208.4</v>
      </c>
      <c r="M183" s="13" t="s">
        <v>17</v>
      </c>
      <c r="N183" s="13"/>
      <c r="O183" s="13"/>
      <c r="P183" s="47"/>
      <c r="Q183" s="45" t="s">
        <v>3672</v>
      </c>
      <c r="R183" s="45" t="s">
        <v>5596</v>
      </c>
      <c r="S183" s="48"/>
      <c r="T183" s="49" t="str">
        <f t="shared" si="10"/>
        <v>[W2208.4]</v>
      </c>
      <c r="U183" s="12" t="str">
        <f t="shared" si="9"/>
        <v xml:space="preserve"> 터브이송#2-1 C1축(SD204) Stop 명령이 On된 상태에서 기동을 시도했습니다.</v>
      </c>
      <c r="V183" s="49" t="str">
        <f t="shared" si="12"/>
        <v>[W2208.4] 터브이송#2-1 C1축(SD204) Stop 명령이 On된 상태에서 기동을 시도했습니다.</v>
      </c>
    </row>
    <row r="184" spans="1:22" s="49" customFormat="1" ht="14.15" customHeight="1">
      <c r="A184" s="43" t="s">
        <v>5598</v>
      </c>
      <c r="B184" s="44" t="s">
        <v>157</v>
      </c>
      <c r="C184" s="32"/>
      <c r="D184" s="10" t="s">
        <v>29</v>
      </c>
      <c r="E184" s="11"/>
      <c r="F184" s="11" t="s">
        <v>18</v>
      </c>
      <c r="G184" s="13"/>
      <c r="H184" s="45" t="s">
        <v>16</v>
      </c>
      <c r="I184" s="46"/>
      <c r="J184" s="12" t="s">
        <v>4768</v>
      </c>
      <c r="K184" s="13" t="s">
        <v>6984</v>
      </c>
      <c r="L184" s="99" t="str">
        <f t="shared" si="11"/>
        <v>W2208.5</v>
      </c>
      <c r="M184" s="13" t="s">
        <v>17</v>
      </c>
      <c r="N184" s="13"/>
      <c r="O184" s="13"/>
      <c r="P184" s="47"/>
      <c r="Q184" s="45" t="s">
        <v>3672</v>
      </c>
      <c r="R184" s="45" t="s">
        <v>5596</v>
      </c>
      <c r="S184" s="48"/>
      <c r="T184" s="49" t="str">
        <f t="shared" si="10"/>
        <v>[W2208.5]</v>
      </c>
      <c r="U184" s="12" t="str">
        <f t="shared" si="9"/>
        <v xml:space="preserve"> 터브이송#2-1 C1축(SD204) 가동 전원이 Off 되었습니다.</v>
      </c>
      <c r="V184" s="49" t="str">
        <f t="shared" si="12"/>
        <v>[W2208.5] 터브이송#2-1 C1축(SD204) 가동 전원이 Off 되었습니다.</v>
      </c>
    </row>
    <row r="185" spans="1:22" s="49" customFormat="1" ht="14.15" customHeight="1">
      <c r="A185" s="43" t="s">
        <v>5598</v>
      </c>
      <c r="B185" s="44" t="s">
        <v>157</v>
      </c>
      <c r="C185" s="32"/>
      <c r="D185" s="10" t="s">
        <v>29</v>
      </c>
      <c r="E185" s="11"/>
      <c r="F185" s="11" t="s">
        <v>18</v>
      </c>
      <c r="G185" s="13"/>
      <c r="H185" s="45" t="s">
        <v>16</v>
      </c>
      <c r="I185" s="46"/>
      <c r="J185" s="12" t="s">
        <v>4769</v>
      </c>
      <c r="K185" s="13" t="s">
        <v>6985</v>
      </c>
      <c r="L185" s="99" t="str">
        <f t="shared" si="11"/>
        <v>W2208.6</v>
      </c>
      <c r="M185" s="13" t="s">
        <v>17</v>
      </c>
      <c r="N185" s="13"/>
      <c r="O185" s="13"/>
      <c r="P185" s="47"/>
      <c r="Q185" s="45" t="s">
        <v>3672</v>
      </c>
      <c r="R185" s="45" t="s">
        <v>5596</v>
      </c>
      <c r="S185" s="48"/>
      <c r="T185" s="49" t="str">
        <f t="shared" si="10"/>
        <v>[W2208.6]</v>
      </c>
      <c r="U185" s="12" t="str">
        <f t="shared" si="9"/>
        <v xml:space="preserve"> 터브이송#2-1 C1축(SD204) 엔코더 이상이 검출되었습니다.</v>
      </c>
      <c r="V185" s="49" t="str">
        <f t="shared" si="12"/>
        <v>[W2208.6] 터브이송#2-1 C1축(SD204) 엔코더 이상이 검출되었습니다.</v>
      </c>
    </row>
    <row r="186" spans="1:22" s="49" customFormat="1" ht="14.15" customHeight="1">
      <c r="A186" s="43" t="s">
        <v>5598</v>
      </c>
      <c r="B186" s="44" t="s">
        <v>157</v>
      </c>
      <c r="C186" s="32"/>
      <c r="D186" s="10" t="s">
        <v>29</v>
      </c>
      <c r="E186" s="11"/>
      <c r="F186" s="11" t="s">
        <v>18</v>
      </c>
      <c r="G186" s="13"/>
      <c r="H186" s="45" t="s">
        <v>16</v>
      </c>
      <c r="I186" s="46"/>
      <c r="J186" s="12" t="s">
        <v>4770</v>
      </c>
      <c r="K186" s="13" t="s">
        <v>6986</v>
      </c>
      <c r="L186" s="99" t="str">
        <f t="shared" si="11"/>
        <v>W2208.7</v>
      </c>
      <c r="M186" s="13" t="s">
        <v>17</v>
      </c>
      <c r="N186" s="13"/>
      <c r="O186" s="13"/>
      <c r="P186" s="47"/>
      <c r="Q186" s="45" t="s">
        <v>3672</v>
      </c>
      <c r="R186" s="45" t="s">
        <v>5596</v>
      </c>
      <c r="S186" s="48"/>
      <c r="T186" s="49" t="str">
        <f t="shared" si="10"/>
        <v>[W2208.7]</v>
      </c>
      <c r="U186" s="12" t="str">
        <f t="shared" si="9"/>
        <v xml:space="preserve"> 터브이송#2-1 C1축(SD204) 과전류가 검출되었습니다.</v>
      </c>
      <c r="V186" s="49" t="str">
        <f t="shared" si="12"/>
        <v>[W2208.7] 터브이송#2-1 C1축(SD204) 과전류가 검출되었습니다.</v>
      </c>
    </row>
    <row r="187" spans="1:22" s="49" customFormat="1" ht="14.15" customHeight="1">
      <c r="A187" s="43" t="s">
        <v>5598</v>
      </c>
      <c r="B187" s="44" t="s">
        <v>157</v>
      </c>
      <c r="C187" s="32"/>
      <c r="D187" s="10" t="s">
        <v>29</v>
      </c>
      <c r="E187" s="11"/>
      <c r="F187" s="11" t="s">
        <v>18</v>
      </c>
      <c r="G187" s="13"/>
      <c r="H187" s="45" t="s">
        <v>16</v>
      </c>
      <c r="I187" s="46"/>
      <c r="J187" s="12" t="s">
        <v>4771</v>
      </c>
      <c r="K187" s="13" t="s">
        <v>6987</v>
      </c>
      <c r="L187" s="99" t="str">
        <f t="shared" si="11"/>
        <v>W2208.8</v>
      </c>
      <c r="M187" s="13" t="s">
        <v>17</v>
      </c>
      <c r="N187" s="13"/>
      <c r="O187" s="13"/>
      <c r="P187" s="47"/>
      <c r="Q187" s="45" t="s">
        <v>3672</v>
      </c>
      <c r="R187" s="45" t="s">
        <v>5596</v>
      </c>
      <c r="S187" s="48"/>
      <c r="T187" s="49" t="str">
        <f t="shared" si="10"/>
        <v>[W2208.8]</v>
      </c>
      <c r="U187" s="12" t="str">
        <f t="shared" si="9"/>
        <v xml:space="preserve"> 터브이송#2-1 C1축(SD204) 과부하가 검출되었습니다.</v>
      </c>
      <c r="V187" s="49" t="str">
        <f t="shared" si="12"/>
        <v>[W2208.8] 터브이송#2-1 C1축(SD204) 과부하가 검출되었습니다.</v>
      </c>
    </row>
    <row r="188" spans="1:22" s="49" customFormat="1" ht="14.15" customHeight="1">
      <c r="A188" s="43" t="s">
        <v>5598</v>
      </c>
      <c r="B188" s="44" t="s">
        <v>157</v>
      </c>
      <c r="C188" s="32"/>
      <c r="D188" s="10" t="s">
        <v>29</v>
      </c>
      <c r="E188" s="11"/>
      <c r="F188" s="11" t="s">
        <v>18</v>
      </c>
      <c r="G188" s="13"/>
      <c r="H188" s="45" t="s">
        <v>16</v>
      </c>
      <c r="I188" s="46"/>
      <c r="J188" s="12" t="s">
        <v>4772</v>
      </c>
      <c r="K188" s="13" t="s">
        <v>6988</v>
      </c>
      <c r="L188" s="99" t="str">
        <f t="shared" si="11"/>
        <v>W2208.9</v>
      </c>
      <c r="M188" s="13" t="s">
        <v>17</v>
      </c>
      <c r="N188" s="13"/>
      <c r="O188" s="13"/>
      <c r="P188" s="47"/>
      <c r="Q188" s="45" t="s">
        <v>3672</v>
      </c>
      <c r="R188" s="45" t="s">
        <v>5596</v>
      </c>
      <c r="S188" s="48"/>
      <c r="T188" s="49" t="str">
        <f t="shared" si="10"/>
        <v>[W2208.9]</v>
      </c>
      <c r="U188" s="12" t="str">
        <f t="shared" si="9"/>
        <v xml:space="preserve"> 터브이송#2-1 C1축(SD204)  </v>
      </c>
      <c r="V188" s="49" t="str">
        <f t="shared" si="12"/>
        <v xml:space="preserve">[W2208.9] 터브이송#2-1 C1축(SD204)  </v>
      </c>
    </row>
    <row r="189" spans="1:22" s="49" customFormat="1" ht="14.15" customHeight="1">
      <c r="A189" s="43" t="s">
        <v>5598</v>
      </c>
      <c r="B189" s="44" t="s">
        <v>157</v>
      </c>
      <c r="C189" s="32"/>
      <c r="D189" s="10" t="s">
        <v>29</v>
      </c>
      <c r="E189" s="11"/>
      <c r="F189" s="11" t="s">
        <v>18</v>
      </c>
      <c r="G189" s="13"/>
      <c r="H189" s="45" t="s">
        <v>16</v>
      </c>
      <c r="I189" s="46"/>
      <c r="J189" s="12" t="s">
        <v>4773</v>
      </c>
      <c r="K189" s="13" t="s">
        <v>6989</v>
      </c>
      <c r="L189" s="99" t="str">
        <f t="shared" si="11"/>
        <v>W2208.A</v>
      </c>
      <c r="M189" s="13" t="s">
        <v>17</v>
      </c>
      <c r="N189" s="13"/>
      <c r="O189" s="13"/>
      <c r="P189" s="47"/>
      <c r="Q189" s="45" t="s">
        <v>3672</v>
      </c>
      <c r="R189" s="45" t="s">
        <v>5596</v>
      </c>
      <c r="S189" s="48"/>
      <c r="T189" s="49" t="str">
        <f t="shared" si="10"/>
        <v>[W2208.A]</v>
      </c>
      <c r="U189" s="12" t="str">
        <f t="shared" si="9"/>
        <v xml:space="preserve"> 터브이송#2-1 C1축(SD204) 에러가 발생했습니다.</v>
      </c>
      <c r="V189" s="49" t="str">
        <f t="shared" si="12"/>
        <v>[W2208.A] 터브이송#2-1 C1축(SD204) 에러가 발생했습니다.</v>
      </c>
    </row>
    <row r="190" spans="1:22" s="49" customFormat="1" ht="14.15" customHeight="1">
      <c r="A190" s="43" t="s">
        <v>5598</v>
      </c>
      <c r="B190" s="44" t="s">
        <v>157</v>
      </c>
      <c r="C190" s="32"/>
      <c r="D190" s="10" t="s">
        <v>29</v>
      </c>
      <c r="E190" s="11"/>
      <c r="F190" s="11" t="s">
        <v>18</v>
      </c>
      <c r="G190" s="13"/>
      <c r="H190" s="45" t="s">
        <v>16</v>
      </c>
      <c r="I190" s="46"/>
      <c r="J190" s="12" t="s">
        <v>4774</v>
      </c>
      <c r="K190" s="13" t="s">
        <v>6990</v>
      </c>
      <c r="L190" s="99" t="str">
        <f t="shared" si="11"/>
        <v>W2208.B</v>
      </c>
      <c r="M190" s="13" t="s">
        <v>17</v>
      </c>
      <c r="N190" s="13"/>
      <c r="O190" s="13"/>
      <c r="P190" s="47"/>
      <c r="Q190" s="45" t="s">
        <v>3672</v>
      </c>
      <c r="R190" s="45" t="s">
        <v>5596</v>
      </c>
      <c r="S190" s="48"/>
      <c r="T190" s="49" t="str">
        <f t="shared" si="10"/>
        <v>[W2208.B]</v>
      </c>
      <c r="U190" s="12" t="str">
        <f t="shared" si="9"/>
        <v xml:space="preserve"> 터브이송#2-1 C2축(SD205) 운전중에 Ready가 Off 되었습니다.</v>
      </c>
      <c r="V190" s="49" t="str">
        <f t="shared" si="12"/>
        <v>[W2208.B] 터브이송#2-1 C2축(SD205) 운전중에 Ready가 Off 되었습니다.</v>
      </c>
    </row>
    <row r="191" spans="1:22" s="49" customFormat="1" ht="14.15" customHeight="1">
      <c r="A191" s="43" t="s">
        <v>5598</v>
      </c>
      <c r="B191" s="44" t="s">
        <v>157</v>
      </c>
      <c r="C191" s="32"/>
      <c r="D191" s="10" t="s">
        <v>29</v>
      </c>
      <c r="E191" s="11"/>
      <c r="F191" s="11" t="s">
        <v>18</v>
      </c>
      <c r="G191" s="13"/>
      <c r="H191" s="45" t="s">
        <v>16</v>
      </c>
      <c r="I191" s="46"/>
      <c r="J191" s="12" t="s">
        <v>4775</v>
      </c>
      <c r="K191" s="13" t="s">
        <v>6991</v>
      </c>
      <c r="L191" s="99" t="str">
        <f t="shared" si="11"/>
        <v>W2208.C</v>
      </c>
      <c r="M191" s="13" t="s">
        <v>17</v>
      </c>
      <c r="N191" s="13"/>
      <c r="O191" s="13"/>
      <c r="P191" s="47"/>
      <c r="Q191" s="45" t="s">
        <v>3672</v>
      </c>
      <c r="R191" s="45" t="s">
        <v>5596</v>
      </c>
      <c r="S191" s="48"/>
      <c r="T191" s="49" t="str">
        <f t="shared" si="10"/>
        <v>[W2208.C]</v>
      </c>
      <c r="U191" s="12" t="str">
        <f t="shared" si="9"/>
        <v xml:space="preserve"> 터브이송#2-1 C2축(SD205) FLS가 감지되었습니다.</v>
      </c>
      <c r="V191" s="49" t="str">
        <f t="shared" si="12"/>
        <v>[W2208.C] 터브이송#2-1 C2축(SD205) FLS가 감지되었습니다.</v>
      </c>
    </row>
    <row r="192" spans="1:22" s="49" customFormat="1" ht="14.15" customHeight="1">
      <c r="A192" s="43" t="s">
        <v>5598</v>
      </c>
      <c r="B192" s="44" t="s">
        <v>157</v>
      </c>
      <c r="C192" s="32"/>
      <c r="D192" s="10" t="s">
        <v>29</v>
      </c>
      <c r="E192" s="11"/>
      <c r="F192" s="11" t="s">
        <v>18</v>
      </c>
      <c r="G192" s="13"/>
      <c r="H192" s="45" t="s">
        <v>16</v>
      </c>
      <c r="I192" s="46"/>
      <c r="J192" s="12" t="s">
        <v>4776</v>
      </c>
      <c r="K192" s="13" t="s">
        <v>6992</v>
      </c>
      <c r="L192" s="99" t="str">
        <f t="shared" si="11"/>
        <v>W2208.D</v>
      </c>
      <c r="M192" s="13" t="s">
        <v>17</v>
      </c>
      <c r="N192" s="13"/>
      <c r="O192" s="13"/>
      <c r="P192" s="47"/>
      <c r="Q192" s="45" t="s">
        <v>3672</v>
      </c>
      <c r="R192" s="45" t="s">
        <v>5596</v>
      </c>
      <c r="S192" s="48"/>
      <c r="T192" s="49" t="str">
        <f t="shared" si="10"/>
        <v>[W2208.D]</v>
      </c>
      <c r="U192" s="12" t="str">
        <f t="shared" si="9"/>
        <v xml:space="preserve"> 터브이송#2-1 C2축(SD205) RLS가 감지되었습니다.</v>
      </c>
      <c r="V192" s="49" t="str">
        <f t="shared" si="12"/>
        <v>[W2208.D] 터브이송#2-1 C2축(SD205) RLS가 감지되었습니다.</v>
      </c>
    </row>
    <row r="193" spans="1:22" s="49" customFormat="1" ht="14.15" customHeight="1">
      <c r="A193" s="43" t="s">
        <v>5598</v>
      </c>
      <c r="B193" s="44" t="s">
        <v>157</v>
      </c>
      <c r="C193" s="32"/>
      <c r="D193" s="10" t="s">
        <v>29</v>
      </c>
      <c r="E193" s="11"/>
      <c r="F193" s="11" t="s">
        <v>18</v>
      </c>
      <c r="G193" s="13"/>
      <c r="H193" s="45" t="s">
        <v>16</v>
      </c>
      <c r="I193" s="46"/>
      <c r="J193" s="12" t="s">
        <v>4777</v>
      </c>
      <c r="K193" s="13" t="s">
        <v>6993</v>
      </c>
      <c r="L193" s="99" t="str">
        <f t="shared" si="11"/>
        <v>W2208.E</v>
      </c>
      <c r="M193" s="13" t="s">
        <v>17</v>
      </c>
      <c r="N193" s="13"/>
      <c r="O193" s="13"/>
      <c r="P193" s="47"/>
      <c r="Q193" s="45" t="s">
        <v>3672</v>
      </c>
      <c r="R193" s="45" t="s">
        <v>5596</v>
      </c>
      <c r="S193" s="48"/>
      <c r="T193" s="49" t="str">
        <f t="shared" si="10"/>
        <v>[W2208.E]</v>
      </c>
      <c r="U193" s="12" t="str">
        <f t="shared" si="9"/>
        <v xml:space="preserve"> 터브이송#2-1 C2축(SD205) Stop 명령이 On된 상태에서 기동을 시도했습니다.</v>
      </c>
      <c r="V193" s="49" t="str">
        <f t="shared" si="12"/>
        <v>[W2208.E] 터브이송#2-1 C2축(SD205) Stop 명령이 On된 상태에서 기동을 시도했습니다.</v>
      </c>
    </row>
    <row r="194" spans="1:22" s="49" customFormat="1" ht="14.15" customHeight="1">
      <c r="A194" s="43" t="s">
        <v>5598</v>
      </c>
      <c r="B194" s="44" t="s">
        <v>157</v>
      </c>
      <c r="C194" s="32"/>
      <c r="D194" s="10" t="s">
        <v>29</v>
      </c>
      <c r="E194" s="11"/>
      <c r="F194" s="11" t="s">
        <v>18</v>
      </c>
      <c r="G194" s="13"/>
      <c r="H194" s="45" t="s">
        <v>16</v>
      </c>
      <c r="I194" s="46"/>
      <c r="J194" s="12" t="s">
        <v>4778</v>
      </c>
      <c r="K194" s="13" t="s">
        <v>6994</v>
      </c>
      <c r="L194" s="99" t="str">
        <f t="shared" si="11"/>
        <v>W2208.F</v>
      </c>
      <c r="M194" s="13" t="s">
        <v>17</v>
      </c>
      <c r="N194" s="13"/>
      <c r="O194" s="13"/>
      <c r="P194" s="47"/>
      <c r="Q194" s="45" t="s">
        <v>3672</v>
      </c>
      <c r="R194" s="45" t="s">
        <v>5596</v>
      </c>
      <c r="S194" s="48"/>
      <c r="T194" s="49" t="str">
        <f t="shared" si="10"/>
        <v>[W2208.F]</v>
      </c>
      <c r="U194" s="12" t="str">
        <f t="shared" si="9"/>
        <v xml:space="preserve"> 터브이송#2-1 C2축(SD205) 가동 전원이 Off 되었습니다.</v>
      </c>
      <c r="V194" s="49" t="str">
        <f t="shared" si="12"/>
        <v>[W2208.F] 터브이송#2-1 C2축(SD205) 가동 전원이 Off 되었습니다.</v>
      </c>
    </row>
    <row r="195" spans="1:22" s="49" customFormat="1" ht="14.15" customHeight="1">
      <c r="A195" s="43" t="s">
        <v>5598</v>
      </c>
      <c r="B195" s="44" t="s">
        <v>157</v>
      </c>
      <c r="C195" s="32"/>
      <c r="D195" s="10" t="s">
        <v>29</v>
      </c>
      <c r="E195" s="11"/>
      <c r="F195" s="11" t="s">
        <v>18</v>
      </c>
      <c r="G195" s="13"/>
      <c r="H195" s="45" t="s">
        <v>16</v>
      </c>
      <c r="I195" s="46"/>
      <c r="J195" s="12" t="s">
        <v>4779</v>
      </c>
      <c r="K195" s="13" t="s">
        <v>6995</v>
      </c>
      <c r="L195" s="99" t="str">
        <f t="shared" si="11"/>
        <v>W2209.0</v>
      </c>
      <c r="M195" s="13" t="s">
        <v>17</v>
      </c>
      <c r="N195" s="13"/>
      <c r="O195" s="13"/>
      <c r="P195" s="47"/>
      <c r="Q195" s="45" t="s">
        <v>3672</v>
      </c>
      <c r="R195" s="45" t="s">
        <v>5596</v>
      </c>
      <c r="S195" s="48"/>
      <c r="T195" s="49" t="str">
        <f t="shared" si="10"/>
        <v>[W2209.0]</v>
      </c>
      <c r="U195" s="12" t="str">
        <f t="shared" si="9"/>
        <v xml:space="preserve"> 터브이송#2-1 C2축(SD205) 엔코더 이상이 검출되었습니다.</v>
      </c>
      <c r="V195" s="49" t="str">
        <f t="shared" si="12"/>
        <v>[W2209.0] 터브이송#2-1 C2축(SD205) 엔코더 이상이 검출되었습니다.</v>
      </c>
    </row>
    <row r="196" spans="1:22" s="49" customFormat="1" ht="14.15" customHeight="1">
      <c r="A196" s="43" t="s">
        <v>5598</v>
      </c>
      <c r="B196" s="44" t="s">
        <v>157</v>
      </c>
      <c r="C196" s="32"/>
      <c r="D196" s="10" t="s">
        <v>29</v>
      </c>
      <c r="E196" s="11"/>
      <c r="F196" s="11" t="s">
        <v>18</v>
      </c>
      <c r="G196" s="13"/>
      <c r="H196" s="45" t="s">
        <v>16</v>
      </c>
      <c r="I196" s="46"/>
      <c r="J196" s="12" t="s">
        <v>4780</v>
      </c>
      <c r="K196" s="13" t="s">
        <v>6996</v>
      </c>
      <c r="L196" s="99" t="str">
        <f t="shared" si="11"/>
        <v>W2209.1</v>
      </c>
      <c r="M196" s="13" t="s">
        <v>17</v>
      </c>
      <c r="N196" s="13"/>
      <c r="O196" s="13"/>
      <c r="P196" s="47"/>
      <c r="Q196" s="45" t="s">
        <v>3672</v>
      </c>
      <c r="R196" s="45" t="s">
        <v>5596</v>
      </c>
      <c r="S196" s="48"/>
      <c r="T196" s="49" t="str">
        <f t="shared" si="10"/>
        <v>[W2209.1]</v>
      </c>
      <c r="U196" s="12" t="str">
        <f t="shared" si="9"/>
        <v xml:space="preserve"> 터브이송#2-1 C2축(SD205) 과전류가 검출되었습니다.</v>
      </c>
      <c r="V196" s="49" t="str">
        <f t="shared" si="12"/>
        <v>[W2209.1] 터브이송#2-1 C2축(SD205) 과전류가 검출되었습니다.</v>
      </c>
    </row>
    <row r="197" spans="1:22" s="49" customFormat="1" ht="14.15" customHeight="1">
      <c r="A197" s="43" t="s">
        <v>5598</v>
      </c>
      <c r="B197" s="44" t="s">
        <v>157</v>
      </c>
      <c r="C197" s="32"/>
      <c r="D197" s="10" t="s">
        <v>29</v>
      </c>
      <c r="E197" s="11"/>
      <c r="F197" s="11" t="s">
        <v>18</v>
      </c>
      <c r="G197" s="13"/>
      <c r="H197" s="45" t="s">
        <v>16</v>
      </c>
      <c r="I197" s="46"/>
      <c r="J197" s="12" t="s">
        <v>4781</v>
      </c>
      <c r="K197" s="13" t="s">
        <v>6997</v>
      </c>
      <c r="L197" s="99" t="str">
        <f t="shared" si="11"/>
        <v>W2209.2</v>
      </c>
      <c r="M197" s="13" t="s">
        <v>17</v>
      </c>
      <c r="N197" s="13"/>
      <c r="O197" s="13"/>
      <c r="P197" s="47"/>
      <c r="Q197" s="45" t="s">
        <v>3672</v>
      </c>
      <c r="R197" s="45" t="s">
        <v>5596</v>
      </c>
      <c r="S197" s="48"/>
      <c r="T197" s="49" t="str">
        <f t="shared" si="10"/>
        <v>[W2209.2]</v>
      </c>
      <c r="U197" s="12" t="str">
        <f t="shared" si="9"/>
        <v xml:space="preserve"> 터브이송#2-1 C2축(SD205) 과부하가 검출되었습니다.</v>
      </c>
      <c r="V197" s="49" t="str">
        <f t="shared" si="12"/>
        <v>[W2209.2] 터브이송#2-1 C2축(SD205) 과부하가 검출되었습니다.</v>
      </c>
    </row>
    <row r="198" spans="1:22" s="49" customFormat="1" ht="14.15" customHeight="1">
      <c r="A198" s="43" t="s">
        <v>5598</v>
      </c>
      <c r="B198" s="44" t="s">
        <v>157</v>
      </c>
      <c r="C198" s="32"/>
      <c r="D198" s="10" t="s">
        <v>29</v>
      </c>
      <c r="E198" s="11"/>
      <c r="F198" s="11" t="s">
        <v>18</v>
      </c>
      <c r="G198" s="13"/>
      <c r="H198" s="45" t="s">
        <v>16</v>
      </c>
      <c r="I198" s="46"/>
      <c r="J198" s="12" t="s">
        <v>4782</v>
      </c>
      <c r="K198" s="13" t="s">
        <v>6998</v>
      </c>
      <c r="L198" s="99" t="str">
        <f t="shared" si="11"/>
        <v>W2209.3</v>
      </c>
      <c r="M198" s="13" t="s">
        <v>17</v>
      </c>
      <c r="N198" s="13"/>
      <c r="O198" s="13"/>
      <c r="P198" s="47"/>
      <c r="Q198" s="45" t="s">
        <v>3672</v>
      </c>
      <c r="R198" s="45" t="s">
        <v>5596</v>
      </c>
      <c r="S198" s="48"/>
      <c r="T198" s="49" t="str">
        <f t="shared" si="10"/>
        <v>[W2209.3]</v>
      </c>
      <c r="U198" s="12" t="str">
        <f t="shared" si="9"/>
        <v xml:space="preserve"> 터브이송#2-1 C2축(SD205)  </v>
      </c>
      <c r="V198" s="49" t="str">
        <f t="shared" si="12"/>
        <v xml:space="preserve">[W2209.3] 터브이송#2-1 C2축(SD205)  </v>
      </c>
    </row>
    <row r="199" spans="1:22" s="49" customFormat="1" ht="14.15" customHeight="1">
      <c r="A199" s="43" t="s">
        <v>5598</v>
      </c>
      <c r="B199" s="44" t="s">
        <v>157</v>
      </c>
      <c r="C199" s="32"/>
      <c r="D199" s="10" t="s">
        <v>29</v>
      </c>
      <c r="E199" s="11"/>
      <c r="F199" s="11" t="s">
        <v>18</v>
      </c>
      <c r="G199" s="13"/>
      <c r="H199" s="45" t="s">
        <v>16</v>
      </c>
      <c r="I199" s="46"/>
      <c r="J199" s="12" t="s">
        <v>4783</v>
      </c>
      <c r="K199" s="13" t="s">
        <v>6999</v>
      </c>
      <c r="L199" s="99" t="str">
        <f t="shared" si="11"/>
        <v>W2209.4</v>
      </c>
      <c r="M199" s="13" t="s">
        <v>17</v>
      </c>
      <c r="N199" s="13"/>
      <c r="O199" s="13"/>
      <c r="P199" s="47"/>
      <c r="Q199" s="45" t="s">
        <v>3672</v>
      </c>
      <c r="R199" s="45" t="s">
        <v>5596</v>
      </c>
      <c r="S199" s="48"/>
      <c r="T199" s="49" t="str">
        <f t="shared" si="10"/>
        <v>[W2209.4]</v>
      </c>
      <c r="U199" s="12" t="str">
        <f t="shared" si="9"/>
        <v xml:space="preserve"> 터브이송#2-1 C2축(SD205) 에러가 발생했습니다.</v>
      </c>
      <c r="V199" s="49" t="str">
        <f t="shared" si="12"/>
        <v>[W2209.4] 터브이송#2-1 C2축(SD205) 에러가 발생했습니다.</v>
      </c>
    </row>
    <row r="200" spans="1:22" s="49" customFormat="1" ht="14.15" customHeight="1">
      <c r="A200" s="43" t="s">
        <v>5598</v>
      </c>
      <c r="B200" s="44" t="s">
        <v>157</v>
      </c>
      <c r="C200" s="32"/>
      <c r="D200" s="10" t="s">
        <v>29</v>
      </c>
      <c r="E200" s="11"/>
      <c r="F200" s="11" t="s">
        <v>18</v>
      </c>
      <c r="G200" s="13"/>
      <c r="H200" s="45" t="s">
        <v>16</v>
      </c>
      <c r="I200" s="46"/>
      <c r="J200" s="12" t="s">
        <v>4784</v>
      </c>
      <c r="K200" s="13" t="s">
        <v>7000</v>
      </c>
      <c r="L200" s="99" t="str">
        <f t="shared" si="11"/>
        <v>W2209.5</v>
      </c>
      <c r="M200" s="13" t="s">
        <v>17</v>
      </c>
      <c r="N200" s="13"/>
      <c r="O200" s="13"/>
      <c r="P200" s="47"/>
      <c r="Q200" s="45" t="s">
        <v>3672</v>
      </c>
      <c r="R200" s="45" t="s">
        <v>5596</v>
      </c>
      <c r="S200" s="48"/>
      <c r="T200" s="49" t="str">
        <f t="shared" si="10"/>
        <v>[W2209.5]</v>
      </c>
      <c r="U200" s="12" t="str">
        <f t="shared" si="9"/>
        <v xml:space="preserve"> 터브이송#2-2 X축(SD206) 운전중에 Ready가 Off 되었습니다.</v>
      </c>
      <c r="V200" s="49" t="str">
        <f t="shared" si="12"/>
        <v>[W2209.5] 터브이송#2-2 X축(SD206) 운전중에 Ready가 Off 되었습니다.</v>
      </c>
    </row>
    <row r="201" spans="1:22" s="49" customFormat="1" ht="14.15" customHeight="1">
      <c r="A201" s="43" t="s">
        <v>5598</v>
      </c>
      <c r="B201" s="44" t="s">
        <v>157</v>
      </c>
      <c r="C201" s="32"/>
      <c r="D201" s="10" t="s">
        <v>29</v>
      </c>
      <c r="E201" s="11"/>
      <c r="F201" s="11" t="s">
        <v>18</v>
      </c>
      <c r="G201" s="13"/>
      <c r="H201" s="45" t="s">
        <v>16</v>
      </c>
      <c r="I201" s="46"/>
      <c r="J201" s="12" t="s">
        <v>4785</v>
      </c>
      <c r="K201" s="13" t="s">
        <v>7001</v>
      </c>
      <c r="L201" s="99" t="str">
        <f t="shared" si="11"/>
        <v>W2209.6</v>
      </c>
      <c r="M201" s="13" t="s">
        <v>17</v>
      </c>
      <c r="N201" s="13"/>
      <c r="O201" s="13"/>
      <c r="P201" s="47"/>
      <c r="Q201" s="45" t="s">
        <v>3672</v>
      </c>
      <c r="R201" s="45" t="s">
        <v>5596</v>
      </c>
      <c r="S201" s="48"/>
      <c r="T201" s="49" t="str">
        <f t="shared" si="10"/>
        <v>[W2209.6]</v>
      </c>
      <c r="U201" s="12" t="str">
        <f t="shared" si="9"/>
        <v xml:space="preserve"> 터브이송#2-2 X축(SD206) FLS가 감지되었습니다.</v>
      </c>
      <c r="V201" s="49" t="str">
        <f t="shared" si="12"/>
        <v>[W2209.6] 터브이송#2-2 X축(SD206) FLS가 감지되었습니다.</v>
      </c>
    </row>
    <row r="202" spans="1:22" s="49" customFormat="1" ht="14.15" customHeight="1">
      <c r="A202" s="43" t="s">
        <v>5598</v>
      </c>
      <c r="B202" s="44" t="s">
        <v>157</v>
      </c>
      <c r="C202" s="32"/>
      <c r="D202" s="10" t="s">
        <v>29</v>
      </c>
      <c r="E202" s="11"/>
      <c r="F202" s="11" t="s">
        <v>18</v>
      </c>
      <c r="G202" s="13"/>
      <c r="H202" s="45" t="s">
        <v>16</v>
      </c>
      <c r="I202" s="46"/>
      <c r="J202" s="12" t="s">
        <v>4786</v>
      </c>
      <c r="K202" s="13" t="s">
        <v>7002</v>
      </c>
      <c r="L202" s="99" t="str">
        <f t="shared" si="11"/>
        <v>W2209.7</v>
      </c>
      <c r="M202" s="13" t="s">
        <v>17</v>
      </c>
      <c r="N202" s="13"/>
      <c r="O202" s="13"/>
      <c r="P202" s="47"/>
      <c r="Q202" s="45" t="s">
        <v>3672</v>
      </c>
      <c r="R202" s="45" t="s">
        <v>5596</v>
      </c>
      <c r="S202" s="48"/>
      <c r="T202" s="49" t="str">
        <f t="shared" si="10"/>
        <v>[W2209.7]</v>
      </c>
      <c r="U202" s="12" t="str">
        <f t="shared" si="9"/>
        <v xml:space="preserve"> 터브이송#2-2 X축(SD206) RLS가 감지되었습니다.</v>
      </c>
      <c r="V202" s="49" t="str">
        <f t="shared" si="12"/>
        <v>[W2209.7] 터브이송#2-2 X축(SD206) RLS가 감지되었습니다.</v>
      </c>
    </row>
    <row r="203" spans="1:22" s="49" customFormat="1" ht="14.15" customHeight="1">
      <c r="A203" s="43" t="s">
        <v>5598</v>
      </c>
      <c r="B203" s="44" t="s">
        <v>157</v>
      </c>
      <c r="C203" s="32"/>
      <c r="D203" s="10" t="s">
        <v>29</v>
      </c>
      <c r="E203" s="11"/>
      <c r="F203" s="11" t="s">
        <v>18</v>
      </c>
      <c r="G203" s="13"/>
      <c r="H203" s="45" t="s">
        <v>16</v>
      </c>
      <c r="I203" s="46"/>
      <c r="J203" s="12" t="s">
        <v>4787</v>
      </c>
      <c r="K203" s="13" t="s">
        <v>7003</v>
      </c>
      <c r="L203" s="99" t="str">
        <f t="shared" si="11"/>
        <v>W2209.8</v>
      </c>
      <c r="M203" s="13" t="s">
        <v>17</v>
      </c>
      <c r="N203" s="13"/>
      <c r="O203" s="13"/>
      <c r="P203" s="47"/>
      <c r="Q203" s="45" t="s">
        <v>3672</v>
      </c>
      <c r="R203" s="45" t="s">
        <v>5596</v>
      </c>
      <c r="S203" s="48"/>
      <c r="T203" s="49" t="str">
        <f t="shared" si="10"/>
        <v>[W2209.8]</v>
      </c>
      <c r="U203" s="12" t="str">
        <f t="shared" si="9"/>
        <v xml:space="preserve"> 터브이송#2-2 X축(SD206) Stop 명령이 On된 상태에서 기동을 시도했습니다.</v>
      </c>
      <c r="V203" s="49" t="str">
        <f t="shared" si="12"/>
        <v>[W2209.8] 터브이송#2-2 X축(SD206) Stop 명령이 On된 상태에서 기동을 시도했습니다.</v>
      </c>
    </row>
    <row r="204" spans="1:22" s="49" customFormat="1" ht="14.15" customHeight="1">
      <c r="A204" s="43" t="s">
        <v>5598</v>
      </c>
      <c r="B204" s="44" t="s">
        <v>157</v>
      </c>
      <c r="C204" s="32"/>
      <c r="D204" s="10" t="s">
        <v>29</v>
      </c>
      <c r="E204" s="11"/>
      <c r="F204" s="11" t="s">
        <v>18</v>
      </c>
      <c r="G204" s="13"/>
      <c r="H204" s="45" t="s">
        <v>16</v>
      </c>
      <c r="I204" s="46"/>
      <c r="J204" s="12" t="s">
        <v>4788</v>
      </c>
      <c r="K204" s="13" t="s">
        <v>7004</v>
      </c>
      <c r="L204" s="99" t="str">
        <f t="shared" si="11"/>
        <v>W2209.9</v>
      </c>
      <c r="M204" s="13" t="s">
        <v>17</v>
      </c>
      <c r="N204" s="13"/>
      <c r="O204" s="13"/>
      <c r="P204" s="47"/>
      <c r="Q204" s="45" t="s">
        <v>3672</v>
      </c>
      <c r="R204" s="45" t="s">
        <v>5596</v>
      </c>
      <c r="S204" s="48"/>
      <c r="T204" s="49" t="str">
        <f t="shared" si="10"/>
        <v>[W2209.9]</v>
      </c>
      <c r="U204" s="12" t="str">
        <f t="shared" ref="U204:U238" si="13">RIGHT(J204,LEN(J204)-7)</f>
        <v xml:space="preserve"> 터브이송#2-2 X축(SD206) 가동 전원이 Off 되었습니다.</v>
      </c>
      <c r="V204" s="49" t="str">
        <f t="shared" si="12"/>
        <v>[W2209.9] 터브이송#2-2 X축(SD206) 가동 전원이 Off 되었습니다.</v>
      </c>
    </row>
    <row r="205" spans="1:22" s="49" customFormat="1" ht="14.15" customHeight="1">
      <c r="A205" s="43" t="s">
        <v>5598</v>
      </c>
      <c r="B205" s="44" t="s">
        <v>157</v>
      </c>
      <c r="C205" s="32"/>
      <c r="D205" s="10" t="s">
        <v>29</v>
      </c>
      <c r="E205" s="11"/>
      <c r="F205" s="11" t="s">
        <v>18</v>
      </c>
      <c r="G205" s="13"/>
      <c r="H205" s="45" t="s">
        <v>16</v>
      </c>
      <c r="I205" s="46"/>
      <c r="J205" s="12" t="s">
        <v>4789</v>
      </c>
      <c r="K205" s="13" t="s">
        <v>7005</v>
      </c>
      <c r="L205" s="99" t="str">
        <f t="shared" si="11"/>
        <v>W2209.A</v>
      </c>
      <c r="M205" s="13" t="s">
        <v>17</v>
      </c>
      <c r="N205" s="13"/>
      <c r="O205" s="13"/>
      <c r="P205" s="47"/>
      <c r="Q205" s="45" t="s">
        <v>3672</v>
      </c>
      <c r="R205" s="45" t="s">
        <v>5596</v>
      </c>
      <c r="S205" s="48"/>
      <c r="T205" s="49" t="str">
        <f t="shared" si="10"/>
        <v>[W2209.A]</v>
      </c>
      <c r="U205" s="12" t="str">
        <f t="shared" si="13"/>
        <v xml:space="preserve"> 터브이송#2-2 X축(SD206) 엔코더 이상이 검출되었습니다.</v>
      </c>
      <c r="V205" s="49" t="str">
        <f t="shared" si="12"/>
        <v>[W2209.A] 터브이송#2-2 X축(SD206) 엔코더 이상이 검출되었습니다.</v>
      </c>
    </row>
    <row r="206" spans="1:22" s="49" customFormat="1" ht="14.15" customHeight="1">
      <c r="A206" s="43" t="s">
        <v>5598</v>
      </c>
      <c r="B206" s="44" t="s">
        <v>157</v>
      </c>
      <c r="C206" s="32"/>
      <c r="D206" s="10" t="s">
        <v>29</v>
      </c>
      <c r="E206" s="11"/>
      <c r="F206" s="11" t="s">
        <v>18</v>
      </c>
      <c r="G206" s="13"/>
      <c r="H206" s="45" t="s">
        <v>16</v>
      </c>
      <c r="I206" s="46"/>
      <c r="J206" s="12" t="s">
        <v>4790</v>
      </c>
      <c r="K206" s="13" t="s">
        <v>7006</v>
      </c>
      <c r="L206" s="99" t="str">
        <f t="shared" si="11"/>
        <v>W2209.B</v>
      </c>
      <c r="M206" s="13" t="s">
        <v>17</v>
      </c>
      <c r="N206" s="13"/>
      <c r="O206" s="13"/>
      <c r="P206" s="47"/>
      <c r="Q206" s="45" t="s">
        <v>3672</v>
      </c>
      <c r="R206" s="45" t="s">
        <v>5596</v>
      </c>
      <c r="S206" s="48"/>
      <c r="T206" s="49" t="str">
        <f t="shared" si="10"/>
        <v>[W2209.B]</v>
      </c>
      <c r="U206" s="12" t="str">
        <f t="shared" si="13"/>
        <v xml:space="preserve"> 터브이송#2-2 X축(SD206) 과전류가 검출되었습니다.</v>
      </c>
      <c r="V206" s="49" t="str">
        <f t="shared" si="12"/>
        <v>[W2209.B] 터브이송#2-2 X축(SD206) 과전류가 검출되었습니다.</v>
      </c>
    </row>
    <row r="207" spans="1:22" s="49" customFormat="1" ht="14.15" customHeight="1">
      <c r="A207" s="43" t="s">
        <v>5598</v>
      </c>
      <c r="B207" s="44" t="s">
        <v>157</v>
      </c>
      <c r="C207" s="32"/>
      <c r="D207" s="10" t="s">
        <v>29</v>
      </c>
      <c r="E207" s="11"/>
      <c r="F207" s="11" t="s">
        <v>18</v>
      </c>
      <c r="G207" s="13"/>
      <c r="H207" s="45" t="s">
        <v>16</v>
      </c>
      <c r="I207" s="46"/>
      <c r="J207" s="12" t="s">
        <v>4791</v>
      </c>
      <c r="K207" s="13" t="s">
        <v>7007</v>
      </c>
      <c r="L207" s="99" t="str">
        <f t="shared" si="11"/>
        <v>W2209.C</v>
      </c>
      <c r="M207" s="13" t="s">
        <v>17</v>
      </c>
      <c r="N207" s="13"/>
      <c r="O207" s="13"/>
      <c r="P207" s="47"/>
      <c r="Q207" s="45" t="s">
        <v>3672</v>
      </c>
      <c r="R207" s="45" t="s">
        <v>5596</v>
      </c>
      <c r="S207" s="48"/>
      <c r="T207" s="49" t="str">
        <f t="shared" si="10"/>
        <v>[W2209.C]</v>
      </c>
      <c r="U207" s="12" t="str">
        <f t="shared" si="13"/>
        <v xml:space="preserve"> 터브이송#2-2 X축(SD206) 과부하가 검출되었습니다.</v>
      </c>
      <c r="V207" s="49" t="str">
        <f t="shared" si="12"/>
        <v>[W2209.C] 터브이송#2-2 X축(SD206) 과부하가 검출되었습니다.</v>
      </c>
    </row>
    <row r="208" spans="1:22" s="49" customFormat="1" ht="14.15" customHeight="1">
      <c r="A208" s="43" t="s">
        <v>5598</v>
      </c>
      <c r="B208" s="44" t="s">
        <v>157</v>
      </c>
      <c r="C208" s="32"/>
      <c r="D208" s="10" t="s">
        <v>29</v>
      </c>
      <c r="E208" s="11"/>
      <c r="F208" s="11" t="s">
        <v>18</v>
      </c>
      <c r="G208" s="13"/>
      <c r="H208" s="45" t="s">
        <v>16</v>
      </c>
      <c r="I208" s="46"/>
      <c r="J208" s="12" t="s">
        <v>4792</v>
      </c>
      <c r="K208" s="13" t="s">
        <v>7008</v>
      </c>
      <c r="L208" s="99" t="str">
        <f t="shared" si="11"/>
        <v>W2209.D</v>
      </c>
      <c r="M208" s="13" t="s">
        <v>17</v>
      </c>
      <c r="N208" s="13"/>
      <c r="O208" s="13"/>
      <c r="P208" s="47"/>
      <c r="Q208" s="45" t="s">
        <v>3672</v>
      </c>
      <c r="R208" s="45" t="s">
        <v>5596</v>
      </c>
      <c r="S208" s="48"/>
      <c r="T208" s="49" t="str">
        <f t="shared" si="10"/>
        <v>[W2209.D]</v>
      </c>
      <c r="U208" s="12" t="str">
        <f t="shared" si="13"/>
        <v xml:space="preserve"> 터브이송#2-2 X축(SD206)  </v>
      </c>
      <c r="V208" s="49" t="str">
        <f t="shared" si="12"/>
        <v xml:space="preserve">[W2209.D] 터브이송#2-2 X축(SD206)  </v>
      </c>
    </row>
    <row r="209" spans="1:22" s="49" customFormat="1" ht="14.15" customHeight="1">
      <c r="A209" s="43" t="s">
        <v>5598</v>
      </c>
      <c r="B209" s="44" t="s">
        <v>157</v>
      </c>
      <c r="C209" s="32"/>
      <c r="D209" s="10" t="s">
        <v>29</v>
      </c>
      <c r="E209" s="11"/>
      <c r="F209" s="11" t="s">
        <v>18</v>
      </c>
      <c r="G209" s="13"/>
      <c r="H209" s="45" t="s">
        <v>16</v>
      </c>
      <c r="I209" s="46"/>
      <c r="J209" s="12" t="s">
        <v>4793</v>
      </c>
      <c r="K209" s="13" t="s">
        <v>7009</v>
      </c>
      <c r="L209" s="99" t="str">
        <f t="shared" si="11"/>
        <v>W2209.E</v>
      </c>
      <c r="M209" s="13" t="s">
        <v>17</v>
      </c>
      <c r="N209" s="13"/>
      <c r="O209" s="13"/>
      <c r="P209" s="47"/>
      <c r="Q209" s="45" t="s">
        <v>3672</v>
      </c>
      <c r="R209" s="45" t="s">
        <v>5596</v>
      </c>
      <c r="S209" s="48"/>
      <c r="T209" s="49" t="str">
        <f t="shared" si="10"/>
        <v>[W2209.E]</v>
      </c>
      <c r="U209" s="12" t="str">
        <f t="shared" si="13"/>
        <v xml:space="preserve"> 터브이송#2-2 X축(SD206) 에러가 발생했습니다.</v>
      </c>
      <c r="V209" s="49" t="str">
        <f t="shared" si="12"/>
        <v>[W2209.E] 터브이송#2-2 X축(SD206) 에러가 발생했습니다.</v>
      </c>
    </row>
    <row r="210" spans="1:22" s="49" customFormat="1" ht="14.15" customHeight="1">
      <c r="A210" s="43" t="s">
        <v>5598</v>
      </c>
      <c r="B210" s="44" t="s">
        <v>157</v>
      </c>
      <c r="C210" s="32"/>
      <c r="D210" s="10" t="s">
        <v>29</v>
      </c>
      <c r="E210" s="11"/>
      <c r="F210" s="11" t="s">
        <v>18</v>
      </c>
      <c r="G210" s="13"/>
      <c r="H210" s="45" t="s">
        <v>16</v>
      </c>
      <c r="I210" s="46"/>
      <c r="J210" s="12" t="s">
        <v>4794</v>
      </c>
      <c r="K210" s="13" t="s">
        <v>7010</v>
      </c>
      <c r="L210" s="99" t="str">
        <f t="shared" si="11"/>
        <v>W2209.F</v>
      </c>
      <c r="M210" s="13" t="s">
        <v>17</v>
      </c>
      <c r="N210" s="13"/>
      <c r="O210" s="13"/>
      <c r="P210" s="47"/>
      <c r="Q210" s="45" t="s">
        <v>3672</v>
      </c>
      <c r="R210" s="45" t="s">
        <v>5596</v>
      </c>
      <c r="S210" s="48"/>
      <c r="T210" s="49" t="str">
        <f t="shared" si="10"/>
        <v>[W2209.F]</v>
      </c>
      <c r="U210" s="12" t="str">
        <f t="shared" si="13"/>
        <v xml:space="preserve"> 터브이송#2-2 Z축(SD207) 운전중에 Ready가 Off 되었습니다.</v>
      </c>
      <c r="V210" s="49" t="str">
        <f t="shared" si="12"/>
        <v>[W2209.F] 터브이송#2-2 Z축(SD207) 운전중에 Ready가 Off 되었습니다.</v>
      </c>
    </row>
    <row r="211" spans="1:22" s="49" customFormat="1" ht="14.15" customHeight="1">
      <c r="A211" s="43" t="s">
        <v>5598</v>
      </c>
      <c r="B211" s="44" t="s">
        <v>157</v>
      </c>
      <c r="C211" s="32"/>
      <c r="D211" s="10" t="s">
        <v>29</v>
      </c>
      <c r="E211" s="11"/>
      <c r="F211" s="11" t="s">
        <v>18</v>
      </c>
      <c r="G211" s="13"/>
      <c r="H211" s="45" t="s">
        <v>16</v>
      </c>
      <c r="I211" s="46"/>
      <c r="J211" s="12" t="s">
        <v>4795</v>
      </c>
      <c r="K211" s="13" t="s">
        <v>7011</v>
      </c>
      <c r="L211" s="99" t="str">
        <f t="shared" si="11"/>
        <v>W220A.0</v>
      </c>
      <c r="M211" s="13" t="s">
        <v>17</v>
      </c>
      <c r="N211" s="13"/>
      <c r="O211" s="13"/>
      <c r="P211" s="47"/>
      <c r="Q211" s="45" t="s">
        <v>3672</v>
      </c>
      <c r="R211" s="45" t="s">
        <v>5596</v>
      </c>
      <c r="S211" s="48"/>
      <c r="T211" s="49" t="str">
        <f t="shared" si="10"/>
        <v>[W220A.0]</v>
      </c>
      <c r="U211" s="12" t="str">
        <f t="shared" si="13"/>
        <v xml:space="preserve"> 터브이송#2-2 Z축(SD207) FLS가 감지되었습니다.</v>
      </c>
      <c r="V211" s="49" t="str">
        <f t="shared" si="12"/>
        <v>[W220A.0] 터브이송#2-2 Z축(SD207) FLS가 감지되었습니다.</v>
      </c>
    </row>
    <row r="212" spans="1:22" s="49" customFormat="1" ht="14.15" customHeight="1">
      <c r="A212" s="43" t="s">
        <v>5598</v>
      </c>
      <c r="B212" s="44" t="s">
        <v>157</v>
      </c>
      <c r="C212" s="32"/>
      <c r="D212" s="10" t="s">
        <v>29</v>
      </c>
      <c r="E212" s="11"/>
      <c r="F212" s="11" t="s">
        <v>18</v>
      </c>
      <c r="G212" s="13"/>
      <c r="H212" s="45" t="s">
        <v>16</v>
      </c>
      <c r="I212" s="46"/>
      <c r="J212" s="12" t="s">
        <v>4796</v>
      </c>
      <c r="K212" s="13" t="s">
        <v>7012</v>
      </c>
      <c r="L212" s="99" t="str">
        <f t="shared" si="11"/>
        <v>W220A.1</v>
      </c>
      <c r="M212" s="13" t="s">
        <v>17</v>
      </c>
      <c r="N212" s="13"/>
      <c r="O212" s="13"/>
      <c r="P212" s="47"/>
      <c r="Q212" s="45" t="s">
        <v>3672</v>
      </c>
      <c r="R212" s="45" t="s">
        <v>5596</v>
      </c>
      <c r="S212" s="48"/>
      <c r="T212" s="49" t="str">
        <f t="shared" si="10"/>
        <v>[W220A.1]</v>
      </c>
      <c r="U212" s="12" t="str">
        <f t="shared" si="13"/>
        <v xml:space="preserve"> 터브이송#2-2 Z축(SD207) RLS가 감지되었습니다.</v>
      </c>
      <c r="V212" s="49" t="str">
        <f t="shared" si="12"/>
        <v>[W220A.1] 터브이송#2-2 Z축(SD207) RLS가 감지되었습니다.</v>
      </c>
    </row>
    <row r="213" spans="1:22" s="49" customFormat="1" ht="14.15" customHeight="1">
      <c r="A213" s="43" t="s">
        <v>5598</v>
      </c>
      <c r="B213" s="44" t="s">
        <v>157</v>
      </c>
      <c r="C213" s="32"/>
      <c r="D213" s="10" t="s">
        <v>29</v>
      </c>
      <c r="E213" s="11"/>
      <c r="F213" s="11" t="s">
        <v>18</v>
      </c>
      <c r="G213" s="13"/>
      <c r="H213" s="45" t="s">
        <v>16</v>
      </c>
      <c r="I213" s="46"/>
      <c r="J213" s="12" t="s">
        <v>4797</v>
      </c>
      <c r="K213" s="13" t="s">
        <v>7013</v>
      </c>
      <c r="L213" s="99" t="str">
        <f t="shared" si="11"/>
        <v>W220A.2</v>
      </c>
      <c r="M213" s="13" t="s">
        <v>17</v>
      </c>
      <c r="N213" s="13"/>
      <c r="O213" s="13"/>
      <c r="P213" s="47"/>
      <c r="Q213" s="45" t="s">
        <v>3672</v>
      </c>
      <c r="R213" s="45" t="s">
        <v>5596</v>
      </c>
      <c r="S213" s="48"/>
      <c r="T213" s="49" t="str">
        <f t="shared" si="10"/>
        <v>[W220A.2]</v>
      </c>
      <c r="U213" s="12" t="str">
        <f t="shared" si="13"/>
        <v xml:space="preserve"> 터브이송#2-2 Z축(SD207) Stop 명령이 On된 상태에서 기동을 시도했습니다.</v>
      </c>
      <c r="V213" s="49" t="str">
        <f t="shared" si="12"/>
        <v>[W220A.2] 터브이송#2-2 Z축(SD207) Stop 명령이 On된 상태에서 기동을 시도했습니다.</v>
      </c>
    </row>
    <row r="214" spans="1:22" s="49" customFormat="1" ht="14.15" customHeight="1">
      <c r="A214" s="43" t="s">
        <v>5598</v>
      </c>
      <c r="B214" s="44" t="s">
        <v>157</v>
      </c>
      <c r="C214" s="32"/>
      <c r="D214" s="10" t="s">
        <v>29</v>
      </c>
      <c r="E214" s="11"/>
      <c r="F214" s="11" t="s">
        <v>18</v>
      </c>
      <c r="G214" s="13"/>
      <c r="H214" s="45" t="s">
        <v>16</v>
      </c>
      <c r="I214" s="46"/>
      <c r="J214" s="12" t="s">
        <v>4798</v>
      </c>
      <c r="K214" s="13" t="s">
        <v>7014</v>
      </c>
      <c r="L214" s="99" t="str">
        <f t="shared" si="11"/>
        <v>W220A.3</v>
      </c>
      <c r="M214" s="13" t="s">
        <v>17</v>
      </c>
      <c r="N214" s="13"/>
      <c r="O214" s="13"/>
      <c r="P214" s="47"/>
      <c r="Q214" s="45" t="s">
        <v>3672</v>
      </c>
      <c r="R214" s="45" t="s">
        <v>5596</v>
      </c>
      <c r="S214" s="48"/>
      <c r="T214" s="49" t="str">
        <f t="shared" si="10"/>
        <v>[W220A.3]</v>
      </c>
      <c r="U214" s="12" t="str">
        <f t="shared" si="13"/>
        <v xml:space="preserve"> 터브이송#2-2 Z축(SD207) 가동 전원이 Off 되었습니다.</v>
      </c>
      <c r="V214" s="49" t="str">
        <f t="shared" si="12"/>
        <v>[W220A.3] 터브이송#2-2 Z축(SD207) 가동 전원이 Off 되었습니다.</v>
      </c>
    </row>
    <row r="215" spans="1:22" s="49" customFormat="1" ht="14.15" customHeight="1">
      <c r="A215" s="43" t="s">
        <v>5598</v>
      </c>
      <c r="B215" s="44" t="s">
        <v>157</v>
      </c>
      <c r="C215" s="32"/>
      <c r="D215" s="10" t="s">
        <v>29</v>
      </c>
      <c r="E215" s="11"/>
      <c r="F215" s="11" t="s">
        <v>18</v>
      </c>
      <c r="G215" s="13"/>
      <c r="H215" s="45" t="s">
        <v>16</v>
      </c>
      <c r="I215" s="46"/>
      <c r="J215" s="12" t="s">
        <v>4799</v>
      </c>
      <c r="K215" s="13" t="s">
        <v>7015</v>
      </c>
      <c r="L215" s="99" t="str">
        <f t="shared" si="11"/>
        <v>W220A.4</v>
      </c>
      <c r="M215" s="13" t="s">
        <v>17</v>
      </c>
      <c r="N215" s="13"/>
      <c r="O215" s="13"/>
      <c r="P215" s="47"/>
      <c r="Q215" s="45" t="s">
        <v>3672</v>
      </c>
      <c r="R215" s="45" t="s">
        <v>5596</v>
      </c>
      <c r="S215" s="48"/>
      <c r="T215" s="49" t="str">
        <f t="shared" si="10"/>
        <v>[W220A.4]</v>
      </c>
      <c r="U215" s="12" t="str">
        <f t="shared" si="13"/>
        <v xml:space="preserve"> 터브이송#2-2 Z축(SD207) 엔코더 이상이 검출되었습니다.</v>
      </c>
      <c r="V215" s="49" t="str">
        <f t="shared" si="12"/>
        <v>[W220A.4] 터브이송#2-2 Z축(SD207) 엔코더 이상이 검출되었습니다.</v>
      </c>
    </row>
    <row r="216" spans="1:22" s="49" customFormat="1" ht="14.15" customHeight="1">
      <c r="A216" s="43" t="s">
        <v>5598</v>
      </c>
      <c r="B216" s="44" t="s">
        <v>157</v>
      </c>
      <c r="C216" s="32"/>
      <c r="D216" s="10" t="s">
        <v>29</v>
      </c>
      <c r="E216" s="11"/>
      <c r="F216" s="11" t="s">
        <v>18</v>
      </c>
      <c r="G216" s="13"/>
      <c r="H216" s="45" t="s">
        <v>16</v>
      </c>
      <c r="I216" s="46"/>
      <c r="J216" s="12" t="s">
        <v>4800</v>
      </c>
      <c r="K216" s="13" t="s">
        <v>7016</v>
      </c>
      <c r="L216" s="99" t="str">
        <f t="shared" si="11"/>
        <v>W220A.5</v>
      </c>
      <c r="M216" s="13" t="s">
        <v>17</v>
      </c>
      <c r="N216" s="13"/>
      <c r="O216" s="13"/>
      <c r="P216" s="47"/>
      <c r="Q216" s="45" t="s">
        <v>3672</v>
      </c>
      <c r="R216" s="45" t="s">
        <v>5596</v>
      </c>
      <c r="S216" s="48"/>
      <c r="T216" s="49" t="str">
        <f t="shared" si="10"/>
        <v>[W220A.5]</v>
      </c>
      <c r="U216" s="12" t="str">
        <f t="shared" si="13"/>
        <v xml:space="preserve"> 터브이송#2-2 Z축(SD207) 과전류가 검출되었습니다.</v>
      </c>
      <c r="V216" s="49" t="str">
        <f t="shared" si="12"/>
        <v>[W220A.5] 터브이송#2-2 Z축(SD207) 과전류가 검출되었습니다.</v>
      </c>
    </row>
    <row r="217" spans="1:22" s="49" customFormat="1" ht="14.15" customHeight="1">
      <c r="A217" s="43" t="s">
        <v>5598</v>
      </c>
      <c r="B217" s="44" t="s">
        <v>157</v>
      </c>
      <c r="C217" s="32"/>
      <c r="D217" s="10" t="s">
        <v>29</v>
      </c>
      <c r="E217" s="11"/>
      <c r="F217" s="11" t="s">
        <v>18</v>
      </c>
      <c r="G217" s="13"/>
      <c r="H217" s="45" t="s">
        <v>16</v>
      </c>
      <c r="I217" s="46"/>
      <c r="J217" s="12" t="s">
        <v>4801</v>
      </c>
      <c r="K217" s="13" t="s">
        <v>7017</v>
      </c>
      <c r="L217" s="99" t="str">
        <f t="shared" si="11"/>
        <v>W220A.6</v>
      </c>
      <c r="M217" s="13" t="s">
        <v>17</v>
      </c>
      <c r="N217" s="13"/>
      <c r="O217" s="13"/>
      <c r="P217" s="47"/>
      <c r="Q217" s="45" t="s">
        <v>3672</v>
      </c>
      <c r="R217" s="45" t="s">
        <v>5596</v>
      </c>
      <c r="S217" s="48"/>
      <c r="T217" s="49" t="str">
        <f t="shared" si="10"/>
        <v>[W220A.6]</v>
      </c>
      <c r="U217" s="12" t="str">
        <f t="shared" si="13"/>
        <v xml:space="preserve"> 터브이송#2-2 Z축(SD207) 과부하가 검출되었습니다.</v>
      </c>
      <c r="V217" s="49" t="str">
        <f t="shared" si="12"/>
        <v>[W220A.6] 터브이송#2-2 Z축(SD207) 과부하가 검출되었습니다.</v>
      </c>
    </row>
    <row r="218" spans="1:22" s="49" customFormat="1" ht="14.15" customHeight="1">
      <c r="A218" s="43" t="s">
        <v>5598</v>
      </c>
      <c r="B218" s="44" t="s">
        <v>157</v>
      </c>
      <c r="C218" s="32"/>
      <c r="D218" s="10" t="s">
        <v>29</v>
      </c>
      <c r="E218" s="11"/>
      <c r="F218" s="11" t="s">
        <v>18</v>
      </c>
      <c r="G218" s="13"/>
      <c r="H218" s="45" t="s">
        <v>16</v>
      </c>
      <c r="I218" s="46"/>
      <c r="J218" s="12" t="s">
        <v>4802</v>
      </c>
      <c r="K218" s="13" t="s">
        <v>7018</v>
      </c>
      <c r="L218" s="99" t="str">
        <f t="shared" si="11"/>
        <v>W220A.7</v>
      </c>
      <c r="M218" s="13" t="s">
        <v>17</v>
      </c>
      <c r="N218" s="13"/>
      <c r="O218" s="13"/>
      <c r="P218" s="47"/>
      <c r="Q218" s="45" t="s">
        <v>3672</v>
      </c>
      <c r="R218" s="45" t="s">
        <v>5596</v>
      </c>
      <c r="S218" s="48"/>
      <c r="T218" s="49" t="str">
        <f t="shared" si="10"/>
        <v>[W220A.7]</v>
      </c>
      <c r="U218" s="12" t="str">
        <f t="shared" si="13"/>
        <v xml:space="preserve"> 터브이송#2-2 Z축(SD207)  </v>
      </c>
      <c r="V218" s="49" t="str">
        <f t="shared" si="12"/>
        <v xml:space="preserve">[W220A.7] 터브이송#2-2 Z축(SD207)  </v>
      </c>
    </row>
    <row r="219" spans="1:22" s="49" customFormat="1" ht="14.15" customHeight="1">
      <c r="A219" s="43" t="s">
        <v>5598</v>
      </c>
      <c r="B219" s="44" t="s">
        <v>157</v>
      </c>
      <c r="C219" s="32"/>
      <c r="D219" s="10" t="s">
        <v>29</v>
      </c>
      <c r="E219" s="11"/>
      <c r="F219" s="11" t="s">
        <v>18</v>
      </c>
      <c r="G219" s="13"/>
      <c r="H219" s="45" t="s">
        <v>16</v>
      </c>
      <c r="I219" s="46"/>
      <c r="J219" s="12" t="s">
        <v>4803</v>
      </c>
      <c r="K219" s="13" t="s">
        <v>7019</v>
      </c>
      <c r="L219" s="99" t="str">
        <f t="shared" si="11"/>
        <v>W220A.8</v>
      </c>
      <c r="M219" s="13" t="s">
        <v>17</v>
      </c>
      <c r="N219" s="13"/>
      <c r="O219" s="13"/>
      <c r="P219" s="47"/>
      <c r="Q219" s="45" t="s">
        <v>3672</v>
      </c>
      <c r="R219" s="45" t="s">
        <v>5596</v>
      </c>
      <c r="S219" s="48"/>
      <c r="T219" s="49" t="str">
        <f t="shared" si="10"/>
        <v>[W220A.8]</v>
      </c>
      <c r="U219" s="12" t="str">
        <f t="shared" si="13"/>
        <v xml:space="preserve"> 터브이송#2-2 Z축(SD207) 에러가 발생했습니다.</v>
      </c>
      <c r="V219" s="49" t="str">
        <f t="shared" si="12"/>
        <v>[W220A.8] 터브이송#2-2 Z축(SD207) 에러가 발생했습니다.</v>
      </c>
    </row>
    <row r="220" spans="1:22" s="49" customFormat="1" ht="14.15" customHeight="1">
      <c r="A220" s="43" t="s">
        <v>5598</v>
      </c>
      <c r="B220" s="44" t="s">
        <v>157</v>
      </c>
      <c r="C220" s="32"/>
      <c r="D220" s="10" t="s">
        <v>29</v>
      </c>
      <c r="E220" s="11"/>
      <c r="F220" s="11" t="s">
        <v>18</v>
      </c>
      <c r="G220" s="13"/>
      <c r="H220" s="45" t="s">
        <v>16</v>
      </c>
      <c r="I220" s="46"/>
      <c r="J220" s="12" t="s">
        <v>4804</v>
      </c>
      <c r="K220" s="13" t="s">
        <v>7020</v>
      </c>
      <c r="L220" s="99" t="str">
        <f t="shared" si="11"/>
        <v>W220A.9</v>
      </c>
      <c r="M220" s="13" t="s">
        <v>17</v>
      </c>
      <c r="N220" s="13"/>
      <c r="O220" s="13"/>
      <c r="P220" s="47"/>
      <c r="Q220" s="45" t="s">
        <v>3672</v>
      </c>
      <c r="R220" s="45" t="s">
        <v>5596</v>
      </c>
      <c r="S220" s="48"/>
      <c r="T220" s="49" t="str">
        <f t="shared" si="10"/>
        <v>[W220A.9]</v>
      </c>
      <c r="U220" s="12" t="str">
        <f t="shared" si="13"/>
        <v xml:space="preserve"> 터브이송#2-2 C1축(SD208) 운전중에 Ready가 Off 되었습니다.</v>
      </c>
      <c r="V220" s="49" t="str">
        <f t="shared" si="12"/>
        <v>[W220A.9] 터브이송#2-2 C1축(SD208) 운전중에 Ready가 Off 되었습니다.</v>
      </c>
    </row>
    <row r="221" spans="1:22" s="49" customFormat="1" ht="14.15" customHeight="1">
      <c r="A221" s="43" t="s">
        <v>5598</v>
      </c>
      <c r="B221" s="44" t="s">
        <v>157</v>
      </c>
      <c r="C221" s="32"/>
      <c r="D221" s="10" t="s">
        <v>29</v>
      </c>
      <c r="E221" s="11"/>
      <c r="F221" s="11" t="s">
        <v>18</v>
      </c>
      <c r="G221" s="13"/>
      <c r="H221" s="45" t="s">
        <v>16</v>
      </c>
      <c r="I221" s="46"/>
      <c r="J221" s="12" t="s">
        <v>4805</v>
      </c>
      <c r="K221" s="13" t="s">
        <v>7021</v>
      </c>
      <c r="L221" s="99" t="str">
        <f t="shared" si="11"/>
        <v>W220A.A</v>
      </c>
      <c r="M221" s="13" t="s">
        <v>17</v>
      </c>
      <c r="N221" s="13"/>
      <c r="O221" s="13"/>
      <c r="P221" s="47"/>
      <c r="Q221" s="45" t="s">
        <v>3672</v>
      </c>
      <c r="R221" s="45" t="s">
        <v>5596</v>
      </c>
      <c r="S221" s="48"/>
      <c r="T221" s="49" t="str">
        <f t="shared" si="10"/>
        <v>[W220A.A]</v>
      </c>
      <c r="U221" s="12" t="str">
        <f t="shared" si="13"/>
        <v xml:space="preserve"> 터브이송#2-2 C1축(SD208) FLS가 감지되었습니다.</v>
      </c>
      <c r="V221" s="49" t="str">
        <f t="shared" si="12"/>
        <v>[W220A.A] 터브이송#2-2 C1축(SD208) FLS가 감지되었습니다.</v>
      </c>
    </row>
    <row r="222" spans="1:22" s="49" customFormat="1" ht="14.15" customHeight="1">
      <c r="A222" s="43" t="s">
        <v>5598</v>
      </c>
      <c r="B222" s="44" t="s">
        <v>157</v>
      </c>
      <c r="C222" s="32"/>
      <c r="D222" s="10" t="s">
        <v>29</v>
      </c>
      <c r="E222" s="11"/>
      <c r="F222" s="11" t="s">
        <v>18</v>
      </c>
      <c r="G222" s="13"/>
      <c r="H222" s="45" t="s">
        <v>16</v>
      </c>
      <c r="I222" s="46"/>
      <c r="J222" s="12" t="s">
        <v>4806</v>
      </c>
      <c r="K222" s="13" t="s">
        <v>7022</v>
      </c>
      <c r="L222" s="99" t="str">
        <f t="shared" si="11"/>
        <v>W220A.B</v>
      </c>
      <c r="M222" s="13" t="s">
        <v>17</v>
      </c>
      <c r="N222" s="13"/>
      <c r="O222" s="13"/>
      <c r="P222" s="47"/>
      <c r="Q222" s="45" t="s">
        <v>3672</v>
      </c>
      <c r="R222" s="45" t="s">
        <v>5596</v>
      </c>
      <c r="S222" s="48"/>
      <c r="T222" s="49" t="str">
        <f t="shared" si="10"/>
        <v>[W220A.B]</v>
      </c>
      <c r="U222" s="12" t="str">
        <f t="shared" si="13"/>
        <v xml:space="preserve"> 터브이송#2-2 C1축(SD208) RLS가 감지되었습니다.</v>
      </c>
      <c r="V222" s="49" t="str">
        <f t="shared" si="12"/>
        <v>[W220A.B] 터브이송#2-2 C1축(SD208) RLS가 감지되었습니다.</v>
      </c>
    </row>
    <row r="223" spans="1:22" s="49" customFormat="1" ht="14.15" customHeight="1">
      <c r="A223" s="43" t="s">
        <v>5598</v>
      </c>
      <c r="B223" s="44" t="s">
        <v>157</v>
      </c>
      <c r="C223" s="32"/>
      <c r="D223" s="10" t="s">
        <v>29</v>
      </c>
      <c r="E223" s="11"/>
      <c r="F223" s="11" t="s">
        <v>18</v>
      </c>
      <c r="G223" s="13"/>
      <c r="H223" s="45" t="s">
        <v>16</v>
      </c>
      <c r="I223" s="46"/>
      <c r="J223" s="12" t="s">
        <v>4807</v>
      </c>
      <c r="K223" s="13" t="s">
        <v>7023</v>
      </c>
      <c r="L223" s="99" t="str">
        <f t="shared" si="11"/>
        <v>W220A.C</v>
      </c>
      <c r="M223" s="13" t="s">
        <v>17</v>
      </c>
      <c r="N223" s="13"/>
      <c r="O223" s="13"/>
      <c r="P223" s="47"/>
      <c r="Q223" s="45" t="s">
        <v>3672</v>
      </c>
      <c r="R223" s="45" t="s">
        <v>5596</v>
      </c>
      <c r="S223" s="48"/>
      <c r="T223" s="49" t="str">
        <f t="shared" si="10"/>
        <v>[W220A.C]</v>
      </c>
      <c r="U223" s="12" t="str">
        <f t="shared" si="13"/>
        <v xml:space="preserve"> 터브이송#2-2 C1축(SD208) Stop 명령이 On된 상태에서 기동을 시도했습니다.</v>
      </c>
      <c r="V223" s="49" t="str">
        <f t="shared" si="12"/>
        <v>[W220A.C] 터브이송#2-2 C1축(SD208) Stop 명령이 On된 상태에서 기동을 시도했습니다.</v>
      </c>
    </row>
    <row r="224" spans="1:22" s="49" customFormat="1" ht="14.15" customHeight="1">
      <c r="A224" s="43" t="s">
        <v>5598</v>
      </c>
      <c r="B224" s="44" t="s">
        <v>157</v>
      </c>
      <c r="C224" s="32"/>
      <c r="D224" s="10" t="s">
        <v>29</v>
      </c>
      <c r="E224" s="11"/>
      <c r="F224" s="11" t="s">
        <v>18</v>
      </c>
      <c r="G224" s="13"/>
      <c r="H224" s="45" t="s">
        <v>16</v>
      </c>
      <c r="I224" s="46"/>
      <c r="J224" s="12" t="s">
        <v>4808</v>
      </c>
      <c r="K224" s="13" t="s">
        <v>7024</v>
      </c>
      <c r="L224" s="99" t="str">
        <f t="shared" si="11"/>
        <v>W220A.D</v>
      </c>
      <c r="M224" s="13" t="s">
        <v>17</v>
      </c>
      <c r="N224" s="13"/>
      <c r="O224" s="13"/>
      <c r="P224" s="47"/>
      <c r="Q224" s="45" t="s">
        <v>3672</v>
      </c>
      <c r="R224" s="45" t="s">
        <v>5596</v>
      </c>
      <c r="S224" s="48"/>
      <c r="T224" s="49" t="str">
        <f t="shared" si="10"/>
        <v>[W220A.D]</v>
      </c>
      <c r="U224" s="12" t="str">
        <f t="shared" si="13"/>
        <v xml:space="preserve"> 터브이송#2-2 C1축(SD208) 가동 전원이 Off 되었습니다.</v>
      </c>
      <c r="V224" s="49" t="str">
        <f t="shared" si="12"/>
        <v>[W220A.D] 터브이송#2-2 C1축(SD208) 가동 전원이 Off 되었습니다.</v>
      </c>
    </row>
    <row r="225" spans="1:22" s="49" customFormat="1" ht="14.15" customHeight="1">
      <c r="A225" s="43" t="s">
        <v>5598</v>
      </c>
      <c r="B225" s="44" t="s">
        <v>157</v>
      </c>
      <c r="C225" s="32"/>
      <c r="D225" s="10" t="s">
        <v>29</v>
      </c>
      <c r="E225" s="11"/>
      <c r="F225" s="11" t="s">
        <v>18</v>
      </c>
      <c r="G225" s="13"/>
      <c r="H225" s="45" t="s">
        <v>16</v>
      </c>
      <c r="I225" s="46"/>
      <c r="J225" s="12" t="s">
        <v>4809</v>
      </c>
      <c r="K225" s="13" t="s">
        <v>7025</v>
      </c>
      <c r="L225" s="99" t="str">
        <f t="shared" si="11"/>
        <v>W220A.E</v>
      </c>
      <c r="M225" s="13" t="s">
        <v>17</v>
      </c>
      <c r="N225" s="13"/>
      <c r="O225" s="13"/>
      <c r="P225" s="47"/>
      <c r="Q225" s="45" t="s">
        <v>3672</v>
      </c>
      <c r="R225" s="45" t="s">
        <v>5596</v>
      </c>
      <c r="S225" s="48"/>
      <c r="T225" s="49" t="str">
        <f t="shared" si="10"/>
        <v>[W220A.E]</v>
      </c>
      <c r="U225" s="12" t="str">
        <f t="shared" si="13"/>
        <v xml:space="preserve"> 터브이송#2-2 C1축(SD208) 엔코더 이상이 검출되었습니다.</v>
      </c>
      <c r="V225" s="49" t="str">
        <f t="shared" si="12"/>
        <v>[W220A.E] 터브이송#2-2 C1축(SD208) 엔코더 이상이 검출되었습니다.</v>
      </c>
    </row>
    <row r="226" spans="1:22" s="49" customFormat="1" ht="14.15" customHeight="1">
      <c r="A226" s="43" t="s">
        <v>5598</v>
      </c>
      <c r="B226" s="44" t="s">
        <v>157</v>
      </c>
      <c r="C226" s="32"/>
      <c r="D226" s="10" t="s">
        <v>29</v>
      </c>
      <c r="E226" s="11"/>
      <c r="F226" s="11" t="s">
        <v>18</v>
      </c>
      <c r="G226" s="13"/>
      <c r="H226" s="45" t="s">
        <v>16</v>
      </c>
      <c r="I226" s="46"/>
      <c r="J226" s="12" t="s">
        <v>4810</v>
      </c>
      <c r="K226" s="13" t="s">
        <v>7026</v>
      </c>
      <c r="L226" s="99" t="str">
        <f t="shared" si="11"/>
        <v>W220A.F</v>
      </c>
      <c r="M226" s="13" t="s">
        <v>17</v>
      </c>
      <c r="N226" s="13"/>
      <c r="O226" s="13"/>
      <c r="P226" s="47"/>
      <c r="Q226" s="45" t="s">
        <v>3672</v>
      </c>
      <c r="R226" s="45" t="s">
        <v>5596</v>
      </c>
      <c r="S226" s="48"/>
      <c r="T226" s="49" t="str">
        <f t="shared" si="10"/>
        <v>[W220A.F]</v>
      </c>
      <c r="U226" s="12" t="str">
        <f t="shared" si="13"/>
        <v xml:space="preserve"> 터브이송#2-2 C1축(SD208) 과전류가 검출되었습니다.</v>
      </c>
      <c r="V226" s="49" t="str">
        <f t="shared" si="12"/>
        <v>[W220A.F] 터브이송#2-2 C1축(SD208) 과전류가 검출되었습니다.</v>
      </c>
    </row>
    <row r="227" spans="1:22" s="49" customFormat="1" ht="14.15" customHeight="1">
      <c r="A227" s="43" t="s">
        <v>5598</v>
      </c>
      <c r="B227" s="44" t="s">
        <v>157</v>
      </c>
      <c r="C227" s="32"/>
      <c r="D227" s="10" t="s">
        <v>29</v>
      </c>
      <c r="E227" s="11"/>
      <c r="F227" s="11" t="s">
        <v>18</v>
      </c>
      <c r="G227" s="13"/>
      <c r="H227" s="45" t="s">
        <v>16</v>
      </c>
      <c r="I227" s="46"/>
      <c r="J227" s="12" t="s">
        <v>4811</v>
      </c>
      <c r="K227" s="13" t="s">
        <v>7027</v>
      </c>
      <c r="L227" s="99" t="str">
        <f t="shared" si="11"/>
        <v>W220B.0</v>
      </c>
      <c r="M227" s="13" t="s">
        <v>17</v>
      </c>
      <c r="N227" s="13"/>
      <c r="O227" s="13"/>
      <c r="P227" s="47"/>
      <c r="Q227" s="45" t="s">
        <v>3672</v>
      </c>
      <c r="R227" s="45" t="s">
        <v>5596</v>
      </c>
      <c r="S227" s="48"/>
      <c r="T227" s="49" t="str">
        <f t="shared" si="10"/>
        <v>[W220B.0]</v>
      </c>
      <c r="U227" s="12" t="str">
        <f t="shared" si="13"/>
        <v xml:space="preserve"> 터브이송#2-2 C1축(SD208) 과부하가 검출되었습니다.</v>
      </c>
      <c r="V227" s="49" t="str">
        <f t="shared" si="12"/>
        <v>[W220B.0] 터브이송#2-2 C1축(SD208) 과부하가 검출되었습니다.</v>
      </c>
    </row>
    <row r="228" spans="1:22" s="49" customFormat="1" ht="14.15" customHeight="1">
      <c r="A228" s="43" t="s">
        <v>5598</v>
      </c>
      <c r="B228" s="44" t="s">
        <v>157</v>
      </c>
      <c r="C228" s="32"/>
      <c r="D228" s="10" t="s">
        <v>29</v>
      </c>
      <c r="E228" s="11"/>
      <c r="F228" s="11" t="s">
        <v>18</v>
      </c>
      <c r="G228" s="13"/>
      <c r="H228" s="45" t="s">
        <v>16</v>
      </c>
      <c r="I228" s="46"/>
      <c r="J228" s="12" t="s">
        <v>4812</v>
      </c>
      <c r="K228" s="13" t="s">
        <v>7028</v>
      </c>
      <c r="L228" s="99" t="str">
        <f t="shared" si="11"/>
        <v>W220B.1</v>
      </c>
      <c r="M228" s="13" t="s">
        <v>17</v>
      </c>
      <c r="N228" s="13"/>
      <c r="O228" s="13"/>
      <c r="P228" s="47"/>
      <c r="Q228" s="45" t="s">
        <v>3672</v>
      </c>
      <c r="R228" s="45" t="s">
        <v>5596</v>
      </c>
      <c r="S228" s="48"/>
      <c r="T228" s="49" t="str">
        <f t="shared" si="10"/>
        <v>[W220B.1]</v>
      </c>
      <c r="U228" s="12" t="str">
        <f t="shared" si="13"/>
        <v xml:space="preserve"> 터브이송#2-2 C1축(SD208)  </v>
      </c>
      <c r="V228" s="49" t="str">
        <f t="shared" si="12"/>
        <v xml:space="preserve">[W220B.1] 터브이송#2-2 C1축(SD208)  </v>
      </c>
    </row>
    <row r="229" spans="1:22" s="49" customFormat="1" ht="14.15" customHeight="1">
      <c r="A229" s="43" t="s">
        <v>5598</v>
      </c>
      <c r="B229" s="44" t="s">
        <v>157</v>
      </c>
      <c r="C229" s="32"/>
      <c r="D229" s="10" t="s">
        <v>29</v>
      </c>
      <c r="E229" s="11"/>
      <c r="F229" s="11" t="s">
        <v>18</v>
      </c>
      <c r="G229" s="13"/>
      <c r="H229" s="45" t="s">
        <v>16</v>
      </c>
      <c r="I229" s="46"/>
      <c r="J229" s="12" t="s">
        <v>4813</v>
      </c>
      <c r="K229" s="13" t="s">
        <v>7029</v>
      </c>
      <c r="L229" s="99" t="str">
        <f t="shared" si="11"/>
        <v>W220B.2</v>
      </c>
      <c r="M229" s="13" t="s">
        <v>17</v>
      </c>
      <c r="N229" s="13"/>
      <c r="O229" s="13"/>
      <c r="P229" s="47"/>
      <c r="Q229" s="45" t="s">
        <v>3672</v>
      </c>
      <c r="R229" s="45" t="s">
        <v>5596</v>
      </c>
      <c r="S229" s="48"/>
      <c r="T229" s="49" t="str">
        <f t="shared" si="10"/>
        <v>[W220B.2]</v>
      </c>
      <c r="U229" s="12" t="str">
        <f t="shared" si="13"/>
        <v xml:space="preserve"> 터브이송#2-2 C1축(SD208) 에러가 발생했습니다.</v>
      </c>
      <c r="V229" s="49" t="str">
        <f t="shared" si="12"/>
        <v>[W220B.2] 터브이송#2-2 C1축(SD208) 에러가 발생했습니다.</v>
      </c>
    </row>
    <row r="230" spans="1:22" s="49" customFormat="1" ht="14.15" customHeight="1">
      <c r="A230" s="43" t="s">
        <v>5598</v>
      </c>
      <c r="B230" s="44" t="s">
        <v>157</v>
      </c>
      <c r="C230" s="32"/>
      <c r="D230" s="10" t="s">
        <v>29</v>
      </c>
      <c r="E230" s="11"/>
      <c r="F230" s="11" t="s">
        <v>18</v>
      </c>
      <c r="G230" s="13"/>
      <c r="H230" s="45" t="s">
        <v>16</v>
      </c>
      <c r="I230" s="46"/>
      <c r="J230" s="12" t="s">
        <v>4814</v>
      </c>
      <c r="K230" s="13" t="s">
        <v>7030</v>
      </c>
      <c r="L230" s="99" t="str">
        <f t="shared" si="11"/>
        <v>W220B.3</v>
      </c>
      <c r="M230" s="13" t="s">
        <v>17</v>
      </c>
      <c r="N230" s="13"/>
      <c r="O230" s="13"/>
      <c r="P230" s="47"/>
      <c r="Q230" s="45" t="s">
        <v>3672</v>
      </c>
      <c r="R230" s="45" t="s">
        <v>5596</v>
      </c>
      <c r="S230" s="48"/>
      <c r="T230" s="49" t="str">
        <f t="shared" si="10"/>
        <v>[W220B.3]</v>
      </c>
      <c r="U230" s="12" t="str">
        <f t="shared" si="13"/>
        <v xml:space="preserve"> 터브이송#2-2 C2축(SD209) 운전중에 Ready가 Off 되었습니다.</v>
      </c>
      <c r="V230" s="49" t="str">
        <f t="shared" si="12"/>
        <v>[W220B.3] 터브이송#2-2 C2축(SD209) 운전중에 Ready가 Off 되었습니다.</v>
      </c>
    </row>
    <row r="231" spans="1:22" s="49" customFormat="1" ht="14.15" customHeight="1">
      <c r="A231" s="43" t="s">
        <v>5598</v>
      </c>
      <c r="B231" s="44" t="s">
        <v>157</v>
      </c>
      <c r="C231" s="32"/>
      <c r="D231" s="10" t="s">
        <v>29</v>
      </c>
      <c r="E231" s="11"/>
      <c r="F231" s="11" t="s">
        <v>18</v>
      </c>
      <c r="G231" s="13"/>
      <c r="H231" s="45" t="s">
        <v>16</v>
      </c>
      <c r="I231" s="46"/>
      <c r="J231" s="12" t="s">
        <v>4815</v>
      </c>
      <c r="K231" s="13" t="s">
        <v>7031</v>
      </c>
      <c r="L231" s="99" t="str">
        <f t="shared" si="11"/>
        <v>W220B.4</v>
      </c>
      <c r="M231" s="13" t="s">
        <v>17</v>
      </c>
      <c r="N231" s="13"/>
      <c r="O231" s="13"/>
      <c r="P231" s="47"/>
      <c r="Q231" s="45" t="s">
        <v>3672</v>
      </c>
      <c r="R231" s="45" t="s">
        <v>5596</v>
      </c>
      <c r="S231" s="48"/>
      <c r="T231" s="49" t="str">
        <f t="shared" si="10"/>
        <v>[W220B.4]</v>
      </c>
      <c r="U231" s="12" t="str">
        <f t="shared" si="13"/>
        <v xml:space="preserve"> 터브이송#2-2 C2축(SD209) FLS가 감지되었습니다.</v>
      </c>
      <c r="V231" s="49" t="str">
        <f t="shared" si="12"/>
        <v>[W220B.4] 터브이송#2-2 C2축(SD209) FLS가 감지되었습니다.</v>
      </c>
    </row>
    <row r="232" spans="1:22" s="49" customFormat="1" ht="14.15" customHeight="1">
      <c r="A232" s="43" t="s">
        <v>5598</v>
      </c>
      <c r="B232" s="44" t="s">
        <v>157</v>
      </c>
      <c r="C232" s="32"/>
      <c r="D232" s="10" t="s">
        <v>29</v>
      </c>
      <c r="E232" s="11"/>
      <c r="F232" s="11" t="s">
        <v>18</v>
      </c>
      <c r="G232" s="13"/>
      <c r="H232" s="45" t="s">
        <v>16</v>
      </c>
      <c r="I232" s="46"/>
      <c r="J232" s="12" t="s">
        <v>4816</v>
      </c>
      <c r="K232" s="13" t="s">
        <v>7032</v>
      </c>
      <c r="L232" s="99" t="str">
        <f t="shared" si="11"/>
        <v>W220B.5</v>
      </c>
      <c r="M232" s="13" t="s">
        <v>17</v>
      </c>
      <c r="N232" s="13"/>
      <c r="O232" s="13"/>
      <c r="P232" s="47"/>
      <c r="Q232" s="45" t="s">
        <v>3672</v>
      </c>
      <c r="R232" s="45" t="s">
        <v>5596</v>
      </c>
      <c r="S232" s="48"/>
      <c r="T232" s="49" t="str">
        <f t="shared" si="10"/>
        <v>[W220B.5]</v>
      </c>
      <c r="U232" s="12" t="str">
        <f t="shared" si="13"/>
        <v xml:space="preserve"> 터브이송#2-2 C2축(SD209) RLS가 감지되었습니다.</v>
      </c>
      <c r="V232" s="49" t="str">
        <f t="shared" si="12"/>
        <v>[W220B.5] 터브이송#2-2 C2축(SD209) RLS가 감지되었습니다.</v>
      </c>
    </row>
    <row r="233" spans="1:22" s="49" customFormat="1" ht="14.15" customHeight="1">
      <c r="A233" s="43" t="s">
        <v>5598</v>
      </c>
      <c r="B233" s="44" t="s">
        <v>157</v>
      </c>
      <c r="C233" s="32"/>
      <c r="D233" s="10" t="s">
        <v>29</v>
      </c>
      <c r="E233" s="11"/>
      <c r="F233" s="11" t="s">
        <v>18</v>
      </c>
      <c r="G233" s="13"/>
      <c r="H233" s="45" t="s">
        <v>16</v>
      </c>
      <c r="I233" s="46"/>
      <c r="J233" s="12" t="s">
        <v>4817</v>
      </c>
      <c r="K233" s="13" t="s">
        <v>7033</v>
      </c>
      <c r="L233" s="99" t="str">
        <f t="shared" si="11"/>
        <v>W220B.6</v>
      </c>
      <c r="M233" s="13" t="s">
        <v>17</v>
      </c>
      <c r="N233" s="13"/>
      <c r="O233" s="13"/>
      <c r="P233" s="47"/>
      <c r="Q233" s="45" t="s">
        <v>3672</v>
      </c>
      <c r="R233" s="45" t="s">
        <v>5596</v>
      </c>
      <c r="S233" s="48"/>
      <c r="T233" s="49" t="str">
        <f t="shared" si="10"/>
        <v>[W220B.6]</v>
      </c>
      <c r="U233" s="12" t="str">
        <f t="shared" si="13"/>
        <v xml:space="preserve"> 터브이송#2-2 C2축(SD209) Stop 명령이 On된 상태에서 기동을 시도했습니다.</v>
      </c>
      <c r="V233" s="49" t="str">
        <f t="shared" si="12"/>
        <v>[W220B.6] 터브이송#2-2 C2축(SD209) Stop 명령이 On된 상태에서 기동을 시도했습니다.</v>
      </c>
    </row>
    <row r="234" spans="1:22" s="49" customFormat="1" ht="14.15" customHeight="1">
      <c r="A234" s="43" t="s">
        <v>5598</v>
      </c>
      <c r="B234" s="44" t="s">
        <v>157</v>
      </c>
      <c r="C234" s="32"/>
      <c r="D234" s="10" t="s">
        <v>29</v>
      </c>
      <c r="E234" s="11"/>
      <c r="F234" s="11" t="s">
        <v>18</v>
      </c>
      <c r="G234" s="13"/>
      <c r="H234" s="45" t="s">
        <v>16</v>
      </c>
      <c r="I234" s="46"/>
      <c r="J234" s="12" t="s">
        <v>4818</v>
      </c>
      <c r="K234" s="13" t="s">
        <v>7034</v>
      </c>
      <c r="L234" s="99" t="str">
        <f t="shared" si="11"/>
        <v>W220B.7</v>
      </c>
      <c r="M234" s="13" t="s">
        <v>17</v>
      </c>
      <c r="N234" s="13"/>
      <c r="O234" s="13"/>
      <c r="P234" s="47"/>
      <c r="Q234" s="45" t="s">
        <v>3672</v>
      </c>
      <c r="R234" s="45" t="s">
        <v>5596</v>
      </c>
      <c r="S234" s="48"/>
      <c r="T234" s="49" t="str">
        <f t="shared" si="10"/>
        <v>[W220B.7]</v>
      </c>
      <c r="U234" s="12" t="str">
        <f t="shared" si="13"/>
        <v xml:space="preserve"> 터브이송#2-2 C2축(SD209) 가동 전원이 Off 되었습니다.</v>
      </c>
      <c r="V234" s="49" t="str">
        <f t="shared" si="12"/>
        <v>[W220B.7] 터브이송#2-2 C2축(SD209) 가동 전원이 Off 되었습니다.</v>
      </c>
    </row>
    <row r="235" spans="1:22" s="49" customFormat="1" ht="14.15" customHeight="1">
      <c r="A235" s="43" t="s">
        <v>5598</v>
      </c>
      <c r="B235" s="44" t="s">
        <v>157</v>
      </c>
      <c r="C235" s="32"/>
      <c r="D235" s="10" t="s">
        <v>29</v>
      </c>
      <c r="E235" s="11"/>
      <c r="F235" s="11" t="s">
        <v>18</v>
      </c>
      <c r="G235" s="13"/>
      <c r="H235" s="45" t="s">
        <v>16</v>
      </c>
      <c r="I235" s="46"/>
      <c r="J235" s="12" t="s">
        <v>4819</v>
      </c>
      <c r="K235" s="13" t="s">
        <v>7035</v>
      </c>
      <c r="L235" s="99" t="str">
        <f t="shared" si="11"/>
        <v>W220B.8</v>
      </c>
      <c r="M235" s="13" t="s">
        <v>17</v>
      </c>
      <c r="N235" s="13"/>
      <c r="O235" s="13"/>
      <c r="P235" s="47"/>
      <c r="Q235" s="45" t="s">
        <v>3672</v>
      </c>
      <c r="R235" s="45" t="s">
        <v>5596</v>
      </c>
      <c r="S235" s="48"/>
      <c r="T235" s="49" t="str">
        <f t="shared" si="10"/>
        <v>[W220B.8]</v>
      </c>
      <c r="U235" s="12" t="str">
        <f t="shared" si="13"/>
        <v xml:space="preserve"> 터브이송#2-2 C2축(SD209) 엔코더 이상이 검출되었습니다.</v>
      </c>
      <c r="V235" s="49" t="str">
        <f t="shared" si="12"/>
        <v>[W220B.8] 터브이송#2-2 C2축(SD209) 엔코더 이상이 검출되었습니다.</v>
      </c>
    </row>
    <row r="236" spans="1:22" s="49" customFormat="1" ht="14.15" customHeight="1">
      <c r="A236" s="43" t="s">
        <v>5598</v>
      </c>
      <c r="B236" s="44" t="s">
        <v>157</v>
      </c>
      <c r="C236" s="32"/>
      <c r="D236" s="10" t="s">
        <v>29</v>
      </c>
      <c r="E236" s="11"/>
      <c r="F236" s="11" t="s">
        <v>18</v>
      </c>
      <c r="G236" s="13"/>
      <c r="H236" s="45" t="s">
        <v>16</v>
      </c>
      <c r="I236" s="46"/>
      <c r="J236" s="12" t="s">
        <v>4820</v>
      </c>
      <c r="K236" s="13" t="s">
        <v>7036</v>
      </c>
      <c r="L236" s="99" t="str">
        <f t="shared" si="11"/>
        <v>W220B.9</v>
      </c>
      <c r="M236" s="13" t="s">
        <v>17</v>
      </c>
      <c r="N236" s="13"/>
      <c r="O236" s="13"/>
      <c r="P236" s="47"/>
      <c r="Q236" s="45" t="s">
        <v>3672</v>
      </c>
      <c r="R236" s="45" t="s">
        <v>5596</v>
      </c>
      <c r="S236" s="48"/>
      <c r="T236" s="49" t="str">
        <f t="shared" si="10"/>
        <v>[W220B.9]</v>
      </c>
      <c r="U236" s="12" t="str">
        <f t="shared" si="13"/>
        <v xml:space="preserve"> 터브이송#2-2 C2축(SD209) 과전류가 검출되었습니다.</v>
      </c>
      <c r="V236" s="49" t="str">
        <f t="shared" si="12"/>
        <v>[W220B.9] 터브이송#2-2 C2축(SD209) 과전류가 검출되었습니다.</v>
      </c>
    </row>
    <row r="237" spans="1:22" s="49" customFormat="1" ht="14.15" customHeight="1">
      <c r="A237" s="43" t="s">
        <v>5598</v>
      </c>
      <c r="B237" s="44" t="s">
        <v>157</v>
      </c>
      <c r="C237" s="32"/>
      <c r="D237" s="10" t="s">
        <v>29</v>
      </c>
      <c r="E237" s="11"/>
      <c r="F237" s="11" t="s">
        <v>18</v>
      </c>
      <c r="G237" s="13"/>
      <c r="H237" s="45" t="s">
        <v>16</v>
      </c>
      <c r="I237" s="46"/>
      <c r="J237" s="12" t="s">
        <v>4821</v>
      </c>
      <c r="K237" s="13" t="s">
        <v>7037</v>
      </c>
      <c r="L237" s="99" t="str">
        <f t="shared" si="11"/>
        <v>W220B.A</v>
      </c>
      <c r="M237" s="13" t="s">
        <v>17</v>
      </c>
      <c r="N237" s="13"/>
      <c r="O237" s="13"/>
      <c r="P237" s="47"/>
      <c r="Q237" s="45" t="s">
        <v>3672</v>
      </c>
      <c r="R237" s="45" t="s">
        <v>5596</v>
      </c>
      <c r="S237" s="48"/>
      <c r="T237" s="49" t="str">
        <f t="shared" si="10"/>
        <v>[W220B.A]</v>
      </c>
      <c r="U237" s="12" t="str">
        <f t="shared" si="13"/>
        <v xml:space="preserve"> 터브이송#2-2 C2축(SD209) 과부하가 검출되었습니다.</v>
      </c>
      <c r="V237" s="49" t="str">
        <f t="shared" si="12"/>
        <v>[W220B.A] 터브이송#2-2 C2축(SD209) 과부하가 검출되었습니다.</v>
      </c>
    </row>
    <row r="238" spans="1:22" s="49" customFormat="1" ht="14.15" customHeight="1">
      <c r="A238" s="43" t="s">
        <v>5598</v>
      </c>
      <c r="B238" s="44" t="s">
        <v>157</v>
      </c>
      <c r="C238" s="32"/>
      <c r="D238" s="10" t="s">
        <v>29</v>
      </c>
      <c r="E238" s="11"/>
      <c r="F238" s="11" t="s">
        <v>18</v>
      </c>
      <c r="G238" s="13"/>
      <c r="H238" s="45" t="s">
        <v>16</v>
      </c>
      <c r="I238" s="46"/>
      <c r="J238" s="12" t="s">
        <v>4822</v>
      </c>
      <c r="K238" s="13" t="s">
        <v>7038</v>
      </c>
      <c r="L238" s="99" t="str">
        <f t="shared" si="11"/>
        <v>W220B.B</v>
      </c>
      <c r="M238" s="13" t="s">
        <v>17</v>
      </c>
      <c r="N238" s="13"/>
      <c r="O238" s="13"/>
      <c r="P238" s="47"/>
      <c r="Q238" s="45" t="s">
        <v>3672</v>
      </c>
      <c r="R238" s="45" t="s">
        <v>5596</v>
      </c>
      <c r="S238" s="48"/>
      <c r="T238" s="49" t="str">
        <f t="shared" si="10"/>
        <v>[W220B.B]</v>
      </c>
      <c r="U238" s="12" t="str">
        <f t="shared" si="13"/>
        <v xml:space="preserve"> 터브이송#2-2 C2축(SD209)  </v>
      </c>
      <c r="V238" s="49" t="str">
        <f t="shared" si="12"/>
        <v xml:space="preserve">[W220B.B] 터브이송#2-2 C2축(SD209)  </v>
      </c>
    </row>
    <row r="239" spans="1:22" s="49" customFormat="1" ht="14.15" customHeight="1">
      <c r="A239" s="43" t="s">
        <v>5598</v>
      </c>
      <c r="B239" s="44" t="s">
        <v>157</v>
      </c>
      <c r="C239" s="32"/>
      <c r="D239" s="10" t="s">
        <v>29</v>
      </c>
      <c r="E239" s="11"/>
      <c r="F239" s="11" t="s">
        <v>18</v>
      </c>
      <c r="G239" s="13"/>
      <c r="H239" s="45" t="s">
        <v>16</v>
      </c>
      <c r="I239" s="46"/>
      <c r="J239" s="12" t="s">
        <v>4823</v>
      </c>
      <c r="K239" s="13" t="s">
        <v>7039</v>
      </c>
      <c r="L239" s="99" t="str">
        <f t="shared" si="11"/>
        <v>W220B.C</v>
      </c>
      <c r="M239" s="13" t="s">
        <v>17</v>
      </c>
      <c r="N239" s="13"/>
      <c r="O239" s="13"/>
      <c r="P239" s="47"/>
      <c r="Q239" s="45" t="s">
        <v>3672</v>
      </c>
      <c r="R239" s="45" t="s">
        <v>5596</v>
      </c>
      <c r="S239" s="48"/>
      <c r="T239" s="49" t="str">
        <f>"["&amp;L209&amp;"]"</f>
        <v>[W2209.E]</v>
      </c>
      <c r="U239" s="12" t="str">
        <f>RIGHT(J209,LEN(J209)-7)</f>
        <v xml:space="preserve"> 터브이송#2-2 X축(SD206) 에러가 발생했습니다.</v>
      </c>
      <c r="V239" s="49" t="str">
        <f>T209&amp;U209</f>
        <v>[W2209.E] 터브이송#2-2 X축(SD206) 에러가 발생했습니다.</v>
      </c>
    </row>
    <row r="240" spans="1:22" s="49" customFormat="1" ht="14.15" customHeight="1">
      <c r="A240" s="43" t="s">
        <v>5598</v>
      </c>
      <c r="B240" s="44" t="s">
        <v>157</v>
      </c>
      <c r="C240" s="32"/>
      <c r="D240" s="10" t="s">
        <v>29</v>
      </c>
      <c r="E240" s="11"/>
      <c r="F240" s="11" t="s">
        <v>18</v>
      </c>
      <c r="G240" s="13"/>
      <c r="H240" s="45" t="s">
        <v>16</v>
      </c>
      <c r="I240" s="46"/>
      <c r="J240" s="12" t="s">
        <v>4824</v>
      </c>
      <c r="K240" s="13" t="s">
        <v>7040</v>
      </c>
      <c r="L240" s="99" t="str">
        <f t="shared" si="11"/>
        <v>W220B.D</v>
      </c>
      <c r="M240" s="13" t="s">
        <v>17</v>
      </c>
      <c r="N240" s="13"/>
      <c r="O240" s="13"/>
      <c r="P240" s="47"/>
      <c r="Q240" s="45" t="s">
        <v>3672</v>
      </c>
      <c r="R240" s="45" t="s">
        <v>5596</v>
      </c>
      <c r="S240" s="48"/>
      <c r="T240" s="49" t="str">
        <f t="shared" si="10"/>
        <v>[W220B.D]</v>
      </c>
      <c r="U240" s="12" t="str">
        <f t="shared" ref="U240:U303" si="14">RIGHT(J240,LEN(J240)-7)</f>
        <v xml:space="preserve"> 터브이송#2-3 X축(SD210) 운전중에 Ready가 Off 되었습니다.</v>
      </c>
      <c r="V240" s="49" t="str">
        <f t="shared" si="12"/>
        <v>[W220B.D] 터브이송#2-3 X축(SD210) 운전중에 Ready가 Off 되었습니다.</v>
      </c>
    </row>
    <row r="241" spans="1:22" s="49" customFormat="1" ht="14.15" customHeight="1">
      <c r="A241" s="43" t="s">
        <v>5598</v>
      </c>
      <c r="B241" s="44" t="s">
        <v>157</v>
      </c>
      <c r="C241" s="50"/>
      <c r="D241" s="10" t="s">
        <v>29</v>
      </c>
      <c r="E241" s="11"/>
      <c r="F241" s="11" t="s">
        <v>18</v>
      </c>
      <c r="G241" s="13"/>
      <c r="H241" s="45" t="s">
        <v>16</v>
      </c>
      <c r="I241" s="46"/>
      <c r="J241" s="14" t="s">
        <v>4825</v>
      </c>
      <c r="K241" s="13" t="s">
        <v>7041</v>
      </c>
      <c r="L241" s="99" t="str">
        <f t="shared" si="11"/>
        <v>W220B.E</v>
      </c>
      <c r="M241" s="13" t="s">
        <v>17</v>
      </c>
      <c r="N241" s="13"/>
      <c r="O241" s="13"/>
      <c r="P241" s="47"/>
      <c r="Q241" s="45" t="s">
        <v>3672</v>
      </c>
      <c r="R241" s="45" t="s">
        <v>5596</v>
      </c>
      <c r="S241" s="48"/>
      <c r="T241" s="49" t="str">
        <f t="shared" si="10"/>
        <v>[W220B.E]</v>
      </c>
      <c r="U241" s="12" t="str">
        <f t="shared" si="14"/>
        <v xml:space="preserve"> 터브이송#2-3 X축(SD210) FLS가 감지되었습니다.</v>
      </c>
      <c r="V241" s="49" t="str">
        <f t="shared" si="12"/>
        <v>[W220B.E] 터브이송#2-3 X축(SD210) FLS가 감지되었습니다.</v>
      </c>
    </row>
    <row r="242" spans="1:22" s="49" customFormat="1" ht="14.15" customHeight="1">
      <c r="A242" s="43" t="s">
        <v>5598</v>
      </c>
      <c r="B242" s="44" t="s">
        <v>157</v>
      </c>
      <c r="C242" s="50"/>
      <c r="D242" s="10" t="s">
        <v>29</v>
      </c>
      <c r="E242" s="11"/>
      <c r="F242" s="11" t="s">
        <v>18</v>
      </c>
      <c r="G242" s="13"/>
      <c r="H242" s="45" t="s">
        <v>16</v>
      </c>
      <c r="I242" s="46"/>
      <c r="J242" s="14" t="s">
        <v>4826</v>
      </c>
      <c r="K242" s="13" t="s">
        <v>7042</v>
      </c>
      <c r="L242" s="99" t="str">
        <f t="shared" si="11"/>
        <v>W220B.F</v>
      </c>
      <c r="M242" s="13" t="s">
        <v>17</v>
      </c>
      <c r="N242" s="13"/>
      <c r="O242" s="13"/>
      <c r="P242" s="47"/>
      <c r="Q242" s="45" t="s">
        <v>3672</v>
      </c>
      <c r="R242" s="45" t="s">
        <v>5596</v>
      </c>
      <c r="S242" s="48"/>
      <c r="T242" s="49" t="str">
        <f t="shared" si="10"/>
        <v>[W220B.F]</v>
      </c>
      <c r="U242" s="12" t="str">
        <f t="shared" si="14"/>
        <v xml:space="preserve"> 터브이송#2-3 X축(SD210) RLS가 감지되었습니다.</v>
      </c>
      <c r="V242" s="49" t="str">
        <f t="shared" si="12"/>
        <v>[W220B.F] 터브이송#2-3 X축(SD210) RLS가 감지되었습니다.</v>
      </c>
    </row>
    <row r="243" spans="1:22" s="49" customFormat="1" ht="14.15" customHeight="1">
      <c r="A243" s="43" t="s">
        <v>5598</v>
      </c>
      <c r="B243" s="44" t="s">
        <v>157</v>
      </c>
      <c r="C243" s="50"/>
      <c r="D243" s="10" t="s">
        <v>29</v>
      </c>
      <c r="E243" s="11"/>
      <c r="F243" s="11" t="s">
        <v>18</v>
      </c>
      <c r="G243" s="13"/>
      <c r="H243" s="45" t="s">
        <v>16</v>
      </c>
      <c r="I243" s="46"/>
      <c r="J243" s="14" t="s">
        <v>4827</v>
      </c>
      <c r="K243" s="13" t="s">
        <v>7043</v>
      </c>
      <c r="L243" s="99" t="str">
        <f t="shared" si="11"/>
        <v>W220C.0</v>
      </c>
      <c r="M243" s="13" t="s">
        <v>17</v>
      </c>
      <c r="N243" s="13"/>
      <c r="O243" s="13"/>
      <c r="P243" s="47"/>
      <c r="Q243" s="45" t="s">
        <v>3672</v>
      </c>
      <c r="R243" s="45" t="s">
        <v>5596</v>
      </c>
      <c r="S243" s="48"/>
      <c r="T243" s="49" t="str">
        <f t="shared" ref="T243:T306" si="15">"["&amp;L243&amp;"]"</f>
        <v>[W220C.0]</v>
      </c>
      <c r="U243" s="12" t="str">
        <f t="shared" si="14"/>
        <v xml:space="preserve"> 터브이송#2-3 X축(SD210) Stop 명령이 On된 상태에서 기동을 시도했습니다.</v>
      </c>
      <c r="V243" s="49" t="str">
        <f t="shared" si="12"/>
        <v>[W220C.0] 터브이송#2-3 X축(SD210) Stop 명령이 On된 상태에서 기동을 시도했습니다.</v>
      </c>
    </row>
    <row r="244" spans="1:22" s="49" customFormat="1" ht="14.15" customHeight="1">
      <c r="A244" s="43" t="s">
        <v>5598</v>
      </c>
      <c r="B244" s="44" t="s">
        <v>157</v>
      </c>
      <c r="C244" s="50"/>
      <c r="D244" s="10" t="s">
        <v>29</v>
      </c>
      <c r="E244" s="11"/>
      <c r="F244" s="11" t="s">
        <v>18</v>
      </c>
      <c r="G244" s="13"/>
      <c r="H244" s="45" t="s">
        <v>16</v>
      </c>
      <c r="I244" s="46"/>
      <c r="J244" s="14" t="s">
        <v>4828</v>
      </c>
      <c r="K244" s="13" t="s">
        <v>7044</v>
      </c>
      <c r="L244" s="99" t="str">
        <f t="shared" ref="L244:L307" si="16">"W"&amp;DEC2HEX(8704 + INT((ROW()-51)/16)) &amp; "." &amp; IF(MOD(ROW()-51,16)&lt;10,MOD(ROW()-51,16),CHAR(MOD(ROW()-51,16)+55))</f>
        <v>W220C.1</v>
      </c>
      <c r="M244" s="13" t="s">
        <v>17</v>
      </c>
      <c r="N244" s="13"/>
      <c r="O244" s="13"/>
      <c r="P244" s="47"/>
      <c r="Q244" s="45" t="s">
        <v>3672</v>
      </c>
      <c r="R244" s="45" t="s">
        <v>5596</v>
      </c>
      <c r="S244" s="48"/>
      <c r="T244" s="49" t="str">
        <f t="shared" si="15"/>
        <v>[W220C.1]</v>
      </c>
      <c r="U244" s="12" t="str">
        <f t="shared" si="14"/>
        <v xml:space="preserve"> 터브이송#2-3 X축(SD210) 가동 전원이 Off 되었습니다.</v>
      </c>
      <c r="V244" s="49" t="str">
        <f t="shared" ref="V244:V307" si="17">T244&amp;U244</f>
        <v>[W220C.1] 터브이송#2-3 X축(SD210) 가동 전원이 Off 되었습니다.</v>
      </c>
    </row>
    <row r="245" spans="1:22" s="49" customFormat="1" ht="14.15" customHeight="1">
      <c r="A245" s="43" t="s">
        <v>5598</v>
      </c>
      <c r="B245" s="44" t="s">
        <v>157</v>
      </c>
      <c r="C245" s="50"/>
      <c r="D245" s="10" t="s">
        <v>29</v>
      </c>
      <c r="E245" s="11"/>
      <c r="F245" s="11" t="s">
        <v>18</v>
      </c>
      <c r="G245" s="13"/>
      <c r="H245" s="45" t="s">
        <v>16</v>
      </c>
      <c r="I245" s="46"/>
      <c r="J245" s="14" t="s">
        <v>4829</v>
      </c>
      <c r="K245" s="13" t="s">
        <v>7045</v>
      </c>
      <c r="L245" s="99" t="str">
        <f t="shared" si="16"/>
        <v>W220C.2</v>
      </c>
      <c r="M245" s="13" t="s">
        <v>17</v>
      </c>
      <c r="N245" s="13"/>
      <c r="O245" s="13"/>
      <c r="P245" s="47"/>
      <c r="Q245" s="45" t="s">
        <v>3672</v>
      </c>
      <c r="R245" s="45" t="s">
        <v>5596</v>
      </c>
      <c r="S245" s="48"/>
      <c r="T245" s="49" t="str">
        <f t="shared" si="15"/>
        <v>[W220C.2]</v>
      </c>
      <c r="U245" s="12" t="str">
        <f t="shared" si="14"/>
        <v xml:space="preserve"> 터브이송#2-3 X축(SD210) 엔코더 이상이 검출되었습니다.</v>
      </c>
      <c r="V245" s="49" t="str">
        <f t="shared" si="17"/>
        <v>[W220C.2] 터브이송#2-3 X축(SD210) 엔코더 이상이 검출되었습니다.</v>
      </c>
    </row>
    <row r="246" spans="1:22" s="49" customFormat="1" ht="14.15" customHeight="1">
      <c r="A246" s="43" t="s">
        <v>5598</v>
      </c>
      <c r="B246" s="44" t="s">
        <v>157</v>
      </c>
      <c r="C246" s="50"/>
      <c r="D246" s="10" t="s">
        <v>29</v>
      </c>
      <c r="E246" s="11"/>
      <c r="F246" s="11" t="s">
        <v>18</v>
      </c>
      <c r="G246" s="13"/>
      <c r="H246" s="45" t="s">
        <v>16</v>
      </c>
      <c r="I246" s="46"/>
      <c r="J246" s="14" t="s">
        <v>4830</v>
      </c>
      <c r="K246" s="13" t="s">
        <v>7046</v>
      </c>
      <c r="L246" s="99" t="str">
        <f t="shared" si="16"/>
        <v>W220C.3</v>
      </c>
      <c r="M246" s="13" t="s">
        <v>17</v>
      </c>
      <c r="N246" s="13"/>
      <c r="O246" s="13"/>
      <c r="P246" s="47"/>
      <c r="Q246" s="45" t="s">
        <v>3672</v>
      </c>
      <c r="R246" s="45" t="s">
        <v>5596</v>
      </c>
      <c r="S246" s="48"/>
      <c r="T246" s="49" t="str">
        <f t="shared" si="15"/>
        <v>[W220C.3]</v>
      </c>
      <c r="U246" s="12" t="str">
        <f t="shared" si="14"/>
        <v xml:space="preserve"> 터브이송#2-3 X축(SD210) 과전류가 검출되었습니다.</v>
      </c>
      <c r="V246" s="49" t="str">
        <f t="shared" si="17"/>
        <v>[W220C.3] 터브이송#2-3 X축(SD210) 과전류가 검출되었습니다.</v>
      </c>
    </row>
    <row r="247" spans="1:22" s="49" customFormat="1" ht="14.15" customHeight="1">
      <c r="A247" s="43" t="s">
        <v>5598</v>
      </c>
      <c r="B247" s="44" t="s">
        <v>157</v>
      </c>
      <c r="C247" s="50"/>
      <c r="D247" s="10" t="s">
        <v>29</v>
      </c>
      <c r="E247" s="11"/>
      <c r="F247" s="11" t="s">
        <v>18</v>
      </c>
      <c r="G247" s="13"/>
      <c r="H247" s="45" t="s">
        <v>16</v>
      </c>
      <c r="I247" s="46"/>
      <c r="J247" s="14" t="s">
        <v>4831</v>
      </c>
      <c r="K247" s="13" t="s">
        <v>7047</v>
      </c>
      <c r="L247" s="99" t="str">
        <f t="shared" si="16"/>
        <v>W220C.4</v>
      </c>
      <c r="M247" s="13" t="s">
        <v>17</v>
      </c>
      <c r="N247" s="13"/>
      <c r="O247" s="13"/>
      <c r="P247" s="47"/>
      <c r="Q247" s="45" t="s">
        <v>3672</v>
      </c>
      <c r="R247" s="45" t="s">
        <v>5596</v>
      </c>
      <c r="S247" s="48"/>
      <c r="T247" s="49" t="str">
        <f t="shared" si="15"/>
        <v>[W220C.4]</v>
      </c>
      <c r="U247" s="12" t="str">
        <f t="shared" si="14"/>
        <v xml:space="preserve"> 터브이송#2-3 X축(SD210) 과부하가 검출되었습니다.</v>
      </c>
      <c r="V247" s="49" t="str">
        <f t="shared" si="17"/>
        <v>[W220C.4] 터브이송#2-3 X축(SD210) 과부하가 검출되었습니다.</v>
      </c>
    </row>
    <row r="248" spans="1:22" s="49" customFormat="1" ht="14.15" customHeight="1">
      <c r="A248" s="43" t="s">
        <v>5598</v>
      </c>
      <c r="B248" s="44" t="s">
        <v>157</v>
      </c>
      <c r="C248" s="50"/>
      <c r="D248" s="10" t="s">
        <v>29</v>
      </c>
      <c r="E248" s="11"/>
      <c r="F248" s="11" t="s">
        <v>18</v>
      </c>
      <c r="G248" s="13"/>
      <c r="H248" s="45" t="s">
        <v>16</v>
      </c>
      <c r="I248" s="46"/>
      <c r="J248" s="14" t="s">
        <v>4832</v>
      </c>
      <c r="K248" s="13" t="s">
        <v>7048</v>
      </c>
      <c r="L248" s="99" t="str">
        <f t="shared" si="16"/>
        <v>W220C.5</v>
      </c>
      <c r="M248" s="13" t="s">
        <v>17</v>
      </c>
      <c r="N248" s="13"/>
      <c r="O248" s="13"/>
      <c r="P248" s="47"/>
      <c r="Q248" s="45" t="s">
        <v>3672</v>
      </c>
      <c r="R248" s="45" t="s">
        <v>5596</v>
      </c>
      <c r="S248" s="48"/>
      <c r="T248" s="49" t="str">
        <f t="shared" si="15"/>
        <v>[W220C.5]</v>
      </c>
      <c r="U248" s="12" t="str">
        <f t="shared" si="14"/>
        <v xml:space="preserve"> 터브이송#2-3 X축(SD210)  </v>
      </c>
      <c r="V248" s="49" t="str">
        <f t="shared" si="17"/>
        <v xml:space="preserve">[W220C.5] 터브이송#2-3 X축(SD210)  </v>
      </c>
    </row>
    <row r="249" spans="1:22" s="49" customFormat="1" ht="14.15" customHeight="1">
      <c r="A249" s="43" t="s">
        <v>5598</v>
      </c>
      <c r="B249" s="44" t="s">
        <v>157</v>
      </c>
      <c r="C249" s="50"/>
      <c r="D249" s="10" t="s">
        <v>29</v>
      </c>
      <c r="E249" s="11"/>
      <c r="F249" s="11" t="s">
        <v>18</v>
      </c>
      <c r="G249" s="13"/>
      <c r="H249" s="45" t="s">
        <v>16</v>
      </c>
      <c r="I249" s="46"/>
      <c r="J249" s="14" t="s">
        <v>4833</v>
      </c>
      <c r="K249" s="13" t="s">
        <v>7049</v>
      </c>
      <c r="L249" s="99" t="str">
        <f t="shared" si="16"/>
        <v>W220C.6</v>
      </c>
      <c r="M249" s="13" t="s">
        <v>17</v>
      </c>
      <c r="N249" s="13"/>
      <c r="O249" s="13"/>
      <c r="P249" s="47"/>
      <c r="Q249" s="45" t="s">
        <v>3672</v>
      </c>
      <c r="R249" s="45" t="s">
        <v>5596</v>
      </c>
      <c r="S249" s="48"/>
      <c r="T249" s="49" t="str">
        <f t="shared" si="15"/>
        <v>[W220C.6]</v>
      </c>
      <c r="U249" s="12" t="str">
        <f t="shared" si="14"/>
        <v xml:space="preserve"> 터브이송#2-3 X축(SD210) 에러가 발생했습니다.</v>
      </c>
      <c r="V249" s="49" t="str">
        <f t="shared" si="17"/>
        <v>[W220C.6] 터브이송#2-3 X축(SD210) 에러가 발생했습니다.</v>
      </c>
    </row>
    <row r="250" spans="1:22" s="49" customFormat="1" ht="14.15" customHeight="1">
      <c r="A250" s="43" t="s">
        <v>5598</v>
      </c>
      <c r="B250" s="44" t="s">
        <v>157</v>
      </c>
      <c r="C250" s="50"/>
      <c r="D250" s="10" t="s">
        <v>29</v>
      </c>
      <c r="E250" s="11"/>
      <c r="F250" s="11" t="s">
        <v>18</v>
      </c>
      <c r="G250" s="13"/>
      <c r="H250" s="45" t="s">
        <v>16</v>
      </c>
      <c r="I250" s="46"/>
      <c r="J250" s="14" t="s">
        <v>4834</v>
      </c>
      <c r="K250" s="13" t="s">
        <v>7050</v>
      </c>
      <c r="L250" s="99" t="str">
        <f t="shared" si="16"/>
        <v>W220C.7</v>
      </c>
      <c r="M250" s="13" t="s">
        <v>17</v>
      </c>
      <c r="N250" s="13"/>
      <c r="O250" s="13"/>
      <c r="P250" s="47"/>
      <c r="Q250" s="45" t="s">
        <v>3672</v>
      </c>
      <c r="R250" s="45" t="s">
        <v>5596</v>
      </c>
      <c r="S250" s="48"/>
      <c r="T250" s="49" t="str">
        <f t="shared" si="15"/>
        <v>[W220C.7]</v>
      </c>
      <c r="U250" s="12" t="str">
        <f t="shared" si="14"/>
        <v xml:space="preserve"> 터브이송#2-3 Z축(SD211) 운전중에 Ready가 Off 되었습니다.</v>
      </c>
      <c r="V250" s="49" t="str">
        <f t="shared" si="17"/>
        <v>[W220C.7] 터브이송#2-3 Z축(SD211) 운전중에 Ready가 Off 되었습니다.</v>
      </c>
    </row>
    <row r="251" spans="1:22" s="49" customFormat="1" ht="14.15" customHeight="1">
      <c r="A251" s="43" t="s">
        <v>5598</v>
      </c>
      <c r="B251" s="44" t="s">
        <v>157</v>
      </c>
      <c r="C251" s="50"/>
      <c r="D251" s="10" t="s">
        <v>29</v>
      </c>
      <c r="E251" s="11"/>
      <c r="F251" s="11" t="s">
        <v>18</v>
      </c>
      <c r="G251" s="13"/>
      <c r="H251" s="45" t="s">
        <v>16</v>
      </c>
      <c r="I251" s="46"/>
      <c r="J251" s="14" t="s">
        <v>4835</v>
      </c>
      <c r="K251" s="13" t="s">
        <v>7051</v>
      </c>
      <c r="L251" s="99" t="str">
        <f t="shared" si="16"/>
        <v>W220C.8</v>
      </c>
      <c r="M251" s="13" t="s">
        <v>17</v>
      </c>
      <c r="N251" s="13"/>
      <c r="O251" s="13"/>
      <c r="P251" s="47"/>
      <c r="Q251" s="45" t="s">
        <v>3672</v>
      </c>
      <c r="R251" s="45" t="s">
        <v>5596</v>
      </c>
      <c r="S251" s="48"/>
      <c r="T251" s="49" t="str">
        <f t="shared" si="15"/>
        <v>[W220C.8]</v>
      </c>
      <c r="U251" s="12" t="str">
        <f t="shared" si="14"/>
        <v xml:space="preserve"> 터브이송#2-3 Z축(SD211) FLS가 감지되었습니다.</v>
      </c>
      <c r="V251" s="49" t="str">
        <f t="shared" si="17"/>
        <v>[W220C.8] 터브이송#2-3 Z축(SD211) FLS가 감지되었습니다.</v>
      </c>
    </row>
    <row r="252" spans="1:22" s="49" customFormat="1" ht="14.15" customHeight="1">
      <c r="A252" s="43" t="s">
        <v>5598</v>
      </c>
      <c r="B252" s="44" t="s">
        <v>157</v>
      </c>
      <c r="C252" s="50"/>
      <c r="D252" s="10" t="s">
        <v>29</v>
      </c>
      <c r="E252" s="11"/>
      <c r="F252" s="11" t="s">
        <v>18</v>
      </c>
      <c r="G252" s="13"/>
      <c r="H252" s="45" t="s">
        <v>16</v>
      </c>
      <c r="I252" s="46"/>
      <c r="J252" s="14" t="s">
        <v>4836</v>
      </c>
      <c r="K252" s="13" t="s">
        <v>7052</v>
      </c>
      <c r="L252" s="99" t="str">
        <f t="shared" si="16"/>
        <v>W220C.9</v>
      </c>
      <c r="M252" s="13" t="s">
        <v>17</v>
      </c>
      <c r="N252" s="13"/>
      <c r="O252" s="13"/>
      <c r="P252" s="47"/>
      <c r="Q252" s="45" t="s">
        <v>3672</v>
      </c>
      <c r="R252" s="45" t="s">
        <v>5596</v>
      </c>
      <c r="S252" s="48"/>
      <c r="T252" s="49" t="str">
        <f t="shared" si="15"/>
        <v>[W220C.9]</v>
      </c>
      <c r="U252" s="12" t="str">
        <f t="shared" si="14"/>
        <v xml:space="preserve"> 터브이송#2-3 Z축(SD211) RLS가 감지되었습니다.</v>
      </c>
      <c r="V252" s="49" t="str">
        <f t="shared" si="17"/>
        <v>[W220C.9] 터브이송#2-3 Z축(SD211) RLS가 감지되었습니다.</v>
      </c>
    </row>
    <row r="253" spans="1:22" s="49" customFormat="1" ht="14.15" customHeight="1">
      <c r="A253" s="43" t="s">
        <v>5598</v>
      </c>
      <c r="B253" s="44" t="s">
        <v>157</v>
      </c>
      <c r="C253" s="50"/>
      <c r="D253" s="10" t="s">
        <v>29</v>
      </c>
      <c r="E253" s="11"/>
      <c r="F253" s="11" t="s">
        <v>18</v>
      </c>
      <c r="G253" s="13"/>
      <c r="H253" s="45" t="s">
        <v>16</v>
      </c>
      <c r="I253" s="46"/>
      <c r="J253" s="14" t="s">
        <v>4837</v>
      </c>
      <c r="K253" s="13" t="s">
        <v>7053</v>
      </c>
      <c r="L253" s="99" t="str">
        <f t="shared" si="16"/>
        <v>W220C.A</v>
      </c>
      <c r="M253" s="13" t="s">
        <v>17</v>
      </c>
      <c r="N253" s="13"/>
      <c r="O253" s="13"/>
      <c r="P253" s="47"/>
      <c r="Q253" s="45" t="s">
        <v>3672</v>
      </c>
      <c r="R253" s="45" t="s">
        <v>5596</v>
      </c>
      <c r="S253" s="48"/>
      <c r="T253" s="49" t="str">
        <f t="shared" si="15"/>
        <v>[W220C.A]</v>
      </c>
      <c r="U253" s="12" t="str">
        <f t="shared" si="14"/>
        <v xml:space="preserve"> 터브이송#2-3 Z축(SD211) Stop 명령이 On된 상태에서 기동을 시도했습니다.</v>
      </c>
      <c r="V253" s="49" t="str">
        <f t="shared" si="17"/>
        <v>[W220C.A] 터브이송#2-3 Z축(SD211) Stop 명령이 On된 상태에서 기동을 시도했습니다.</v>
      </c>
    </row>
    <row r="254" spans="1:22" s="49" customFormat="1" ht="14.15" customHeight="1">
      <c r="A254" s="43" t="s">
        <v>5598</v>
      </c>
      <c r="B254" s="44" t="s">
        <v>157</v>
      </c>
      <c r="C254" s="50"/>
      <c r="D254" s="10" t="s">
        <v>29</v>
      </c>
      <c r="E254" s="11"/>
      <c r="F254" s="11" t="s">
        <v>18</v>
      </c>
      <c r="G254" s="13"/>
      <c r="H254" s="45" t="s">
        <v>16</v>
      </c>
      <c r="I254" s="46"/>
      <c r="J254" s="14" t="s">
        <v>4838</v>
      </c>
      <c r="K254" s="13" t="s">
        <v>7054</v>
      </c>
      <c r="L254" s="99" t="str">
        <f t="shared" si="16"/>
        <v>W220C.B</v>
      </c>
      <c r="M254" s="13" t="s">
        <v>17</v>
      </c>
      <c r="N254" s="13"/>
      <c r="O254" s="13"/>
      <c r="P254" s="47"/>
      <c r="Q254" s="45" t="s">
        <v>3672</v>
      </c>
      <c r="R254" s="45" t="s">
        <v>5596</v>
      </c>
      <c r="S254" s="48"/>
      <c r="T254" s="49" t="str">
        <f t="shared" si="15"/>
        <v>[W220C.B]</v>
      </c>
      <c r="U254" s="12" t="str">
        <f t="shared" si="14"/>
        <v xml:space="preserve"> 터브이송#2-3 Z축(SD211) 가동 전원이 Off 되었습니다.</v>
      </c>
      <c r="V254" s="49" t="str">
        <f t="shared" si="17"/>
        <v>[W220C.B] 터브이송#2-3 Z축(SD211) 가동 전원이 Off 되었습니다.</v>
      </c>
    </row>
    <row r="255" spans="1:22" s="49" customFormat="1" ht="14.15" customHeight="1">
      <c r="A255" s="43" t="s">
        <v>5598</v>
      </c>
      <c r="B255" s="44" t="s">
        <v>157</v>
      </c>
      <c r="C255" s="50"/>
      <c r="D255" s="10" t="s">
        <v>29</v>
      </c>
      <c r="E255" s="11"/>
      <c r="F255" s="11" t="s">
        <v>18</v>
      </c>
      <c r="G255" s="13"/>
      <c r="H255" s="45" t="s">
        <v>16</v>
      </c>
      <c r="I255" s="46"/>
      <c r="J255" s="14" t="s">
        <v>4839</v>
      </c>
      <c r="K255" s="13" t="s">
        <v>7055</v>
      </c>
      <c r="L255" s="99" t="str">
        <f t="shared" si="16"/>
        <v>W220C.C</v>
      </c>
      <c r="M255" s="13" t="s">
        <v>17</v>
      </c>
      <c r="N255" s="13"/>
      <c r="O255" s="13"/>
      <c r="P255" s="47"/>
      <c r="Q255" s="45" t="s">
        <v>3672</v>
      </c>
      <c r="R255" s="45" t="s">
        <v>5596</v>
      </c>
      <c r="S255" s="48"/>
      <c r="T255" s="49" t="str">
        <f t="shared" si="15"/>
        <v>[W220C.C]</v>
      </c>
      <c r="U255" s="12" t="str">
        <f t="shared" si="14"/>
        <v xml:space="preserve"> 터브이송#2-3 Z축(SD211) 엔코더 이상이 검출되었습니다.</v>
      </c>
      <c r="V255" s="49" t="str">
        <f t="shared" si="17"/>
        <v>[W220C.C] 터브이송#2-3 Z축(SD211) 엔코더 이상이 검출되었습니다.</v>
      </c>
    </row>
    <row r="256" spans="1:22" s="49" customFormat="1" ht="14.15" customHeight="1">
      <c r="A256" s="43" t="s">
        <v>5598</v>
      </c>
      <c r="B256" s="44" t="s">
        <v>157</v>
      </c>
      <c r="C256" s="50"/>
      <c r="D256" s="10" t="s">
        <v>29</v>
      </c>
      <c r="E256" s="11"/>
      <c r="F256" s="11" t="s">
        <v>18</v>
      </c>
      <c r="G256" s="13"/>
      <c r="H256" s="45" t="s">
        <v>16</v>
      </c>
      <c r="I256" s="46"/>
      <c r="J256" s="14" t="s">
        <v>4840</v>
      </c>
      <c r="K256" s="13" t="s">
        <v>7056</v>
      </c>
      <c r="L256" s="99" t="str">
        <f t="shared" si="16"/>
        <v>W220C.D</v>
      </c>
      <c r="M256" s="13" t="s">
        <v>17</v>
      </c>
      <c r="N256" s="13"/>
      <c r="O256" s="13"/>
      <c r="P256" s="47"/>
      <c r="Q256" s="45" t="s">
        <v>3672</v>
      </c>
      <c r="R256" s="45" t="s">
        <v>5596</v>
      </c>
      <c r="S256" s="48"/>
      <c r="T256" s="49" t="str">
        <f t="shared" si="15"/>
        <v>[W220C.D]</v>
      </c>
      <c r="U256" s="12" t="str">
        <f t="shared" si="14"/>
        <v xml:space="preserve"> 터브이송#2-3 Z축(SD211) 과전류가 검출되었습니다.</v>
      </c>
      <c r="V256" s="49" t="str">
        <f t="shared" si="17"/>
        <v>[W220C.D] 터브이송#2-3 Z축(SD211) 과전류가 검출되었습니다.</v>
      </c>
    </row>
    <row r="257" spans="1:22" s="49" customFormat="1" ht="14.15" customHeight="1">
      <c r="A257" s="43" t="s">
        <v>5598</v>
      </c>
      <c r="B257" s="44" t="s">
        <v>157</v>
      </c>
      <c r="C257" s="50"/>
      <c r="D257" s="10" t="s">
        <v>29</v>
      </c>
      <c r="E257" s="11"/>
      <c r="F257" s="11" t="s">
        <v>18</v>
      </c>
      <c r="G257" s="13"/>
      <c r="H257" s="45" t="s">
        <v>16</v>
      </c>
      <c r="I257" s="46"/>
      <c r="J257" s="14" t="s">
        <v>4841</v>
      </c>
      <c r="K257" s="13" t="s">
        <v>7057</v>
      </c>
      <c r="L257" s="99" t="str">
        <f t="shared" si="16"/>
        <v>W220C.E</v>
      </c>
      <c r="M257" s="13" t="s">
        <v>17</v>
      </c>
      <c r="N257" s="13"/>
      <c r="O257" s="13"/>
      <c r="P257" s="47"/>
      <c r="Q257" s="45" t="s">
        <v>3672</v>
      </c>
      <c r="R257" s="45" t="s">
        <v>5596</v>
      </c>
      <c r="S257" s="48"/>
      <c r="T257" s="49" t="str">
        <f t="shared" si="15"/>
        <v>[W220C.E]</v>
      </c>
      <c r="U257" s="12" t="str">
        <f t="shared" si="14"/>
        <v xml:space="preserve"> 터브이송#2-3 Z축(SD211) 과부하가 검출되었습니다.</v>
      </c>
      <c r="V257" s="49" t="str">
        <f t="shared" si="17"/>
        <v>[W220C.E] 터브이송#2-3 Z축(SD211) 과부하가 검출되었습니다.</v>
      </c>
    </row>
    <row r="258" spans="1:22" s="49" customFormat="1" ht="14.15" customHeight="1">
      <c r="A258" s="43" t="s">
        <v>5598</v>
      </c>
      <c r="B258" s="44" t="s">
        <v>157</v>
      </c>
      <c r="C258" s="50"/>
      <c r="D258" s="10" t="s">
        <v>29</v>
      </c>
      <c r="E258" s="11"/>
      <c r="F258" s="11" t="s">
        <v>18</v>
      </c>
      <c r="G258" s="13"/>
      <c r="H258" s="45" t="s">
        <v>16</v>
      </c>
      <c r="I258" s="46"/>
      <c r="J258" s="14" t="s">
        <v>4842</v>
      </c>
      <c r="K258" s="13" t="s">
        <v>7058</v>
      </c>
      <c r="L258" s="99" t="str">
        <f t="shared" si="16"/>
        <v>W220C.F</v>
      </c>
      <c r="M258" s="13" t="s">
        <v>17</v>
      </c>
      <c r="N258" s="13"/>
      <c r="O258" s="13"/>
      <c r="P258" s="47"/>
      <c r="Q258" s="45" t="s">
        <v>3672</v>
      </c>
      <c r="R258" s="45" t="s">
        <v>5596</v>
      </c>
      <c r="S258" s="48"/>
      <c r="T258" s="49" t="str">
        <f t="shared" si="15"/>
        <v>[W220C.F]</v>
      </c>
      <c r="U258" s="12" t="str">
        <f t="shared" si="14"/>
        <v xml:space="preserve"> 터브이송#2-3 Z축(SD211)  </v>
      </c>
      <c r="V258" s="49" t="str">
        <f t="shared" si="17"/>
        <v xml:space="preserve">[W220C.F] 터브이송#2-3 Z축(SD211)  </v>
      </c>
    </row>
    <row r="259" spans="1:22" s="49" customFormat="1" ht="14.15" customHeight="1">
      <c r="A259" s="43" t="s">
        <v>5598</v>
      </c>
      <c r="B259" s="44" t="s">
        <v>157</v>
      </c>
      <c r="C259" s="50"/>
      <c r="D259" s="10" t="s">
        <v>29</v>
      </c>
      <c r="E259" s="11"/>
      <c r="F259" s="11" t="s">
        <v>18</v>
      </c>
      <c r="G259" s="13"/>
      <c r="H259" s="45" t="s">
        <v>16</v>
      </c>
      <c r="I259" s="46"/>
      <c r="J259" s="14" t="s">
        <v>4843</v>
      </c>
      <c r="K259" s="13" t="s">
        <v>7059</v>
      </c>
      <c r="L259" s="99" t="str">
        <f t="shared" si="16"/>
        <v>W220D.0</v>
      </c>
      <c r="M259" s="13" t="s">
        <v>17</v>
      </c>
      <c r="N259" s="13"/>
      <c r="O259" s="13"/>
      <c r="P259" s="47"/>
      <c r="Q259" s="45" t="s">
        <v>3672</v>
      </c>
      <c r="R259" s="45" t="s">
        <v>5596</v>
      </c>
      <c r="S259" s="48"/>
      <c r="T259" s="49" t="str">
        <f t="shared" si="15"/>
        <v>[W220D.0]</v>
      </c>
      <c r="U259" s="12" t="str">
        <f t="shared" si="14"/>
        <v xml:space="preserve"> 터브이송#2-3 Z축(SD211) 에러가 발생했습니다.</v>
      </c>
      <c r="V259" s="49" t="str">
        <f t="shared" si="17"/>
        <v>[W220D.0] 터브이송#2-3 Z축(SD211) 에러가 발생했습니다.</v>
      </c>
    </row>
    <row r="260" spans="1:22" s="49" customFormat="1" ht="14.15" customHeight="1">
      <c r="A260" s="43" t="s">
        <v>5598</v>
      </c>
      <c r="B260" s="44" t="s">
        <v>157</v>
      </c>
      <c r="C260" s="50"/>
      <c r="D260" s="10" t="s">
        <v>29</v>
      </c>
      <c r="E260" s="11"/>
      <c r="F260" s="11" t="s">
        <v>18</v>
      </c>
      <c r="G260" s="13"/>
      <c r="H260" s="45" t="s">
        <v>16</v>
      </c>
      <c r="I260" s="46"/>
      <c r="J260" s="14" t="s">
        <v>4844</v>
      </c>
      <c r="K260" s="13" t="s">
        <v>7060</v>
      </c>
      <c r="L260" s="99" t="str">
        <f t="shared" si="16"/>
        <v>W220D.1</v>
      </c>
      <c r="M260" s="13" t="s">
        <v>17</v>
      </c>
      <c r="N260" s="13"/>
      <c r="O260" s="13"/>
      <c r="P260" s="47"/>
      <c r="Q260" s="45" t="s">
        <v>3672</v>
      </c>
      <c r="R260" s="45" t="s">
        <v>5596</v>
      </c>
      <c r="S260" s="48"/>
      <c r="T260" s="49" t="str">
        <f t="shared" si="15"/>
        <v>[W220D.1]</v>
      </c>
      <c r="U260" s="12" t="str">
        <f t="shared" si="14"/>
        <v xml:space="preserve"> 터브이송#2-3 C1축(SD212) 운전중에 Ready가 Off 되었습니다.</v>
      </c>
      <c r="V260" s="49" t="str">
        <f t="shared" si="17"/>
        <v>[W220D.1] 터브이송#2-3 C1축(SD212) 운전중에 Ready가 Off 되었습니다.</v>
      </c>
    </row>
    <row r="261" spans="1:22" s="49" customFormat="1" ht="14.15" customHeight="1">
      <c r="A261" s="43" t="s">
        <v>5598</v>
      </c>
      <c r="B261" s="44" t="s">
        <v>157</v>
      </c>
      <c r="C261" s="50"/>
      <c r="D261" s="10" t="s">
        <v>29</v>
      </c>
      <c r="E261" s="11"/>
      <c r="F261" s="11" t="s">
        <v>18</v>
      </c>
      <c r="G261" s="13"/>
      <c r="H261" s="45" t="s">
        <v>16</v>
      </c>
      <c r="I261" s="46"/>
      <c r="J261" s="14" t="s">
        <v>4845</v>
      </c>
      <c r="K261" s="13" t="s">
        <v>7061</v>
      </c>
      <c r="L261" s="99" t="str">
        <f t="shared" si="16"/>
        <v>W220D.2</v>
      </c>
      <c r="M261" s="13" t="s">
        <v>17</v>
      </c>
      <c r="N261" s="13"/>
      <c r="O261" s="13"/>
      <c r="P261" s="47"/>
      <c r="Q261" s="45" t="s">
        <v>3672</v>
      </c>
      <c r="R261" s="45" t="s">
        <v>5596</v>
      </c>
      <c r="S261" s="48"/>
      <c r="T261" s="49" t="str">
        <f t="shared" si="15"/>
        <v>[W220D.2]</v>
      </c>
      <c r="U261" s="12" t="str">
        <f t="shared" si="14"/>
        <v xml:space="preserve"> 터브이송#2-3 C1축(SD212) FLS가 감지되었습니다.</v>
      </c>
      <c r="V261" s="49" t="str">
        <f t="shared" si="17"/>
        <v>[W220D.2] 터브이송#2-3 C1축(SD212) FLS가 감지되었습니다.</v>
      </c>
    </row>
    <row r="262" spans="1:22" s="49" customFormat="1" ht="14.15" customHeight="1">
      <c r="A262" s="43" t="s">
        <v>5598</v>
      </c>
      <c r="B262" s="44" t="s">
        <v>157</v>
      </c>
      <c r="C262" s="50"/>
      <c r="D262" s="10" t="s">
        <v>29</v>
      </c>
      <c r="E262" s="11"/>
      <c r="F262" s="11" t="s">
        <v>18</v>
      </c>
      <c r="G262" s="13"/>
      <c r="H262" s="45" t="s">
        <v>16</v>
      </c>
      <c r="I262" s="46"/>
      <c r="J262" s="14" t="s">
        <v>4846</v>
      </c>
      <c r="K262" s="13" t="s">
        <v>7062</v>
      </c>
      <c r="L262" s="99" t="str">
        <f t="shared" si="16"/>
        <v>W220D.3</v>
      </c>
      <c r="M262" s="13" t="s">
        <v>17</v>
      </c>
      <c r="N262" s="13"/>
      <c r="O262" s="13"/>
      <c r="P262" s="47"/>
      <c r="Q262" s="45" t="s">
        <v>3672</v>
      </c>
      <c r="R262" s="45" t="s">
        <v>5596</v>
      </c>
      <c r="S262" s="48"/>
      <c r="T262" s="49" t="str">
        <f t="shared" si="15"/>
        <v>[W220D.3]</v>
      </c>
      <c r="U262" s="12" t="str">
        <f t="shared" si="14"/>
        <v xml:space="preserve"> 터브이송#2-3 C1축(SD212) RLS가 감지되었습니다.</v>
      </c>
      <c r="V262" s="49" t="str">
        <f t="shared" si="17"/>
        <v>[W220D.3] 터브이송#2-3 C1축(SD212) RLS가 감지되었습니다.</v>
      </c>
    </row>
    <row r="263" spans="1:22" s="49" customFormat="1" ht="14.15" customHeight="1">
      <c r="A263" s="43" t="s">
        <v>5598</v>
      </c>
      <c r="B263" s="44" t="s">
        <v>157</v>
      </c>
      <c r="C263" s="50"/>
      <c r="D263" s="10" t="s">
        <v>29</v>
      </c>
      <c r="E263" s="11"/>
      <c r="F263" s="11" t="s">
        <v>18</v>
      </c>
      <c r="G263" s="13"/>
      <c r="H263" s="45" t="s">
        <v>16</v>
      </c>
      <c r="I263" s="46"/>
      <c r="J263" s="14" t="s">
        <v>4847</v>
      </c>
      <c r="K263" s="13" t="s">
        <v>7063</v>
      </c>
      <c r="L263" s="99" t="str">
        <f t="shared" si="16"/>
        <v>W220D.4</v>
      </c>
      <c r="M263" s="13" t="s">
        <v>17</v>
      </c>
      <c r="N263" s="13"/>
      <c r="O263" s="13"/>
      <c r="P263" s="47"/>
      <c r="Q263" s="45" t="s">
        <v>3672</v>
      </c>
      <c r="R263" s="45" t="s">
        <v>5596</v>
      </c>
      <c r="S263" s="48"/>
      <c r="T263" s="49" t="str">
        <f t="shared" si="15"/>
        <v>[W220D.4]</v>
      </c>
      <c r="U263" s="12" t="str">
        <f t="shared" si="14"/>
        <v xml:space="preserve"> 터브이송#2-3 C1축(SD212) Stop 명령이 On된 상태에서 기동을 시도했습니다.</v>
      </c>
      <c r="V263" s="49" t="str">
        <f t="shared" si="17"/>
        <v>[W220D.4] 터브이송#2-3 C1축(SD212) Stop 명령이 On된 상태에서 기동을 시도했습니다.</v>
      </c>
    </row>
    <row r="264" spans="1:22" s="49" customFormat="1" ht="14.15" customHeight="1">
      <c r="A264" s="43" t="s">
        <v>5598</v>
      </c>
      <c r="B264" s="44" t="s">
        <v>157</v>
      </c>
      <c r="C264" s="50"/>
      <c r="D264" s="10" t="s">
        <v>29</v>
      </c>
      <c r="E264" s="11"/>
      <c r="F264" s="11" t="s">
        <v>18</v>
      </c>
      <c r="G264" s="13"/>
      <c r="H264" s="45" t="s">
        <v>16</v>
      </c>
      <c r="I264" s="46"/>
      <c r="J264" s="14" t="s">
        <v>4848</v>
      </c>
      <c r="K264" s="13" t="s">
        <v>7064</v>
      </c>
      <c r="L264" s="99" t="str">
        <f t="shared" si="16"/>
        <v>W220D.5</v>
      </c>
      <c r="M264" s="13" t="s">
        <v>17</v>
      </c>
      <c r="N264" s="13"/>
      <c r="O264" s="13"/>
      <c r="P264" s="47"/>
      <c r="Q264" s="45" t="s">
        <v>3672</v>
      </c>
      <c r="R264" s="45" t="s">
        <v>5596</v>
      </c>
      <c r="S264" s="48"/>
      <c r="T264" s="49" t="str">
        <f t="shared" si="15"/>
        <v>[W220D.5]</v>
      </c>
      <c r="U264" s="12" t="str">
        <f t="shared" si="14"/>
        <v xml:space="preserve"> 터브이송#2-3 C1축(SD212) 가동 전원이 Off 되었습니다.</v>
      </c>
      <c r="V264" s="49" t="str">
        <f t="shared" si="17"/>
        <v>[W220D.5] 터브이송#2-3 C1축(SD212) 가동 전원이 Off 되었습니다.</v>
      </c>
    </row>
    <row r="265" spans="1:22" s="49" customFormat="1" ht="14.15" customHeight="1">
      <c r="A265" s="43" t="s">
        <v>5598</v>
      </c>
      <c r="B265" s="44" t="s">
        <v>157</v>
      </c>
      <c r="C265" s="50"/>
      <c r="D265" s="10" t="s">
        <v>29</v>
      </c>
      <c r="E265" s="11"/>
      <c r="F265" s="11" t="s">
        <v>18</v>
      </c>
      <c r="G265" s="13"/>
      <c r="H265" s="45" t="s">
        <v>16</v>
      </c>
      <c r="I265" s="46"/>
      <c r="J265" s="14" t="s">
        <v>4849</v>
      </c>
      <c r="K265" s="13" t="s">
        <v>7065</v>
      </c>
      <c r="L265" s="99" t="str">
        <f t="shared" si="16"/>
        <v>W220D.6</v>
      </c>
      <c r="M265" s="13" t="s">
        <v>17</v>
      </c>
      <c r="N265" s="13"/>
      <c r="O265" s="13"/>
      <c r="P265" s="47"/>
      <c r="Q265" s="45" t="s">
        <v>3672</v>
      </c>
      <c r="R265" s="45" t="s">
        <v>5596</v>
      </c>
      <c r="S265" s="48"/>
      <c r="T265" s="49" t="str">
        <f t="shared" si="15"/>
        <v>[W220D.6]</v>
      </c>
      <c r="U265" s="12" t="str">
        <f t="shared" si="14"/>
        <v xml:space="preserve"> 터브이송#2-3 C1축(SD212) 엔코더 이상이 검출되었습니다.</v>
      </c>
      <c r="V265" s="49" t="str">
        <f t="shared" si="17"/>
        <v>[W220D.6] 터브이송#2-3 C1축(SD212) 엔코더 이상이 검출되었습니다.</v>
      </c>
    </row>
    <row r="266" spans="1:22" s="49" customFormat="1" ht="14.15" customHeight="1">
      <c r="A266" s="43" t="s">
        <v>5598</v>
      </c>
      <c r="B266" s="44" t="s">
        <v>157</v>
      </c>
      <c r="C266" s="50"/>
      <c r="D266" s="10" t="s">
        <v>29</v>
      </c>
      <c r="E266" s="11"/>
      <c r="F266" s="11" t="s">
        <v>18</v>
      </c>
      <c r="G266" s="13"/>
      <c r="H266" s="45" t="s">
        <v>16</v>
      </c>
      <c r="I266" s="46"/>
      <c r="J266" s="14" t="s">
        <v>4850</v>
      </c>
      <c r="K266" s="13" t="s">
        <v>7066</v>
      </c>
      <c r="L266" s="99" t="str">
        <f t="shared" si="16"/>
        <v>W220D.7</v>
      </c>
      <c r="M266" s="13" t="s">
        <v>17</v>
      </c>
      <c r="N266" s="13"/>
      <c r="O266" s="13"/>
      <c r="P266" s="47"/>
      <c r="Q266" s="45" t="s">
        <v>3672</v>
      </c>
      <c r="R266" s="45" t="s">
        <v>5596</v>
      </c>
      <c r="S266" s="48"/>
      <c r="T266" s="49" t="str">
        <f t="shared" si="15"/>
        <v>[W220D.7]</v>
      </c>
      <c r="U266" s="12" t="str">
        <f t="shared" si="14"/>
        <v xml:space="preserve"> 터브이송#2-3 C1축(SD212) 과전류가 검출되었습니다.</v>
      </c>
      <c r="V266" s="49" t="str">
        <f t="shared" si="17"/>
        <v>[W220D.7] 터브이송#2-3 C1축(SD212) 과전류가 검출되었습니다.</v>
      </c>
    </row>
    <row r="267" spans="1:22" s="49" customFormat="1" ht="14.15" customHeight="1">
      <c r="A267" s="43" t="s">
        <v>5598</v>
      </c>
      <c r="B267" s="44" t="s">
        <v>157</v>
      </c>
      <c r="C267" s="50"/>
      <c r="D267" s="10" t="s">
        <v>29</v>
      </c>
      <c r="E267" s="11"/>
      <c r="F267" s="11" t="s">
        <v>18</v>
      </c>
      <c r="G267" s="13"/>
      <c r="H267" s="45" t="s">
        <v>16</v>
      </c>
      <c r="I267" s="47"/>
      <c r="J267" s="12" t="s">
        <v>4851</v>
      </c>
      <c r="K267" s="13" t="s">
        <v>7067</v>
      </c>
      <c r="L267" s="99" t="str">
        <f t="shared" si="16"/>
        <v>W220D.8</v>
      </c>
      <c r="M267" s="13" t="s">
        <v>17</v>
      </c>
      <c r="N267" s="13"/>
      <c r="O267" s="13"/>
      <c r="P267" s="47"/>
      <c r="Q267" s="45" t="s">
        <v>3672</v>
      </c>
      <c r="R267" s="45" t="s">
        <v>5596</v>
      </c>
      <c r="S267" s="48"/>
      <c r="T267" s="49" t="str">
        <f t="shared" si="15"/>
        <v>[W220D.8]</v>
      </c>
      <c r="U267" s="12" t="str">
        <f t="shared" si="14"/>
        <v xml:space="preserve"> 터브이송#2-3 C1축(SD212) 과부하가 검출되었습니다.</v>
      </c>
      <c r="V267" s="49" t="str">
        <f t="shared" si="17"/>
        <v>[W220D.8] 터브이송#2-3 C1축(SD212) 과부하가 검출되었습니다.</v>
      </c>
    </row>
    <row r="268" spans="1:22" s="49" customFormat="1" ht="14.15" customHeight="1">
      <c r="A268" s="43" t="s">
        <v>5598</v>
      </c>
      <c r="B268" s="44" t="s">
        <v>157</v>
      </c>
      <c r="C268" s="50"/>
      <c r="D268" s="10" t="s">
        <v>29</v>
      </c>
      <c r="E268" s="11"/>
      <c r="F268" s="11" t="s">
        <v>18</v>
      </c>
      <c r="G268" s="13"/>
      <c r="H268" s="45" t="s">
        <v>16</v>
      </c>
      <c r="I268" s="47"/>
      <c r="J268" s="12" t="s">
        <v>4852</v>
      </c>
      <c r="K268" s="13" t="s">
        <v>7068</v>
      </c>
      <c r="L268" s="99" t="str">
        <f t="shared" si="16"/>
        <v>W220D.9</v>
      </c>
      <c r="M268" s="13" t="s">
        <v>17</v>
      </c>
      <c r="N268" s="13"/>
      <c r="O268" s="13"/>
      <c r="P268" s="47"/>
      <c r="Q268" s="45" t="s">
        <v>3672</v>
      </c>
      <c r="R268" s="45" t="s">
        <v>5596</v>
      </c>
      <c r="S268" s="48"/>
      <c r="T268" s="49" t="str">
        <f t="shared" si="15"/>
        <v>[W220D.9]</v>
      </c>
      <c r="U268" s="12" t="str">
        <f t="shared" si="14"/>
        <v xml:space="preserve"> 터브이송#2-3 C1축(SD212)  </v>
      </c>
      <c r="V268" s="49" t="str">
        <f t="shared" si="17"/>
        <v xml:space="preserve">[W220D.9] 터브이송#2-3 C1축(SD212)  </v>
      </c>
    </row>
    <row r="269" spans="1:22" s="49" customFormat="1" ht="14.15" customHeight="1">
      <c r="A269" s="43" t="s">
        <v>5598</v>
      </c>
      <c r="B269" s="44" t="s">
        <v>157</v>
      </c>
      <c r="C269" s="50"/>
      <c r="D269" s="10" t="s">
        <v>29</v>
      </c>
      <c r="E269" s="11"/>
      <c r="F269" s="11" t="s">
        <v>18</v>
      </c>
      <c r="G269" s="13"/>
      <c r="H269" s="45" t="s">
        <v>16</v>
      </c>
      <c r="I269" s="47"/>
      <c r="J269" s="12" t="s">
        <v>4853</v>
      </c>
      <c r="K269" s="13" t="s">
        <v>7069</v>
      </c>
      <c r="L269" s="99" t="str">
        <f t="shared" si="16"/>
        <v>W220D.A</v>
      </c>
      <c r="M269" s="13" t="s">
        <v>17</v>
      </c>
      <c r="N269" s="13"/>
      <c r="O269" s="13"/>
      <c r="P269" s="47"/>
      <c r="Q269" s="45" t="s">
        <v>3672</v>
      </c>
      <c r="R269" s="45" t="s">
        <v>5596</v>
      </c>
      <c r="S269" s="48"/>
      <c r="T269" s="49" t="str">
        <f t="shared" si="15"/>
        <v>[W220D.A]</v>
      </c>
      <c r="U269" s="12" t="str">
        <f t="shared" si="14"/>
        <v xml:space="preserve"> 터브이송#2-3 C1축(SD212) 에러가 발생했습니다.</v>
      </c>
      <c r="V269" s="49" t="str">
        <f t="shared" si="17"/>
        <v>[W220D.A] 터브이송#2-3 C1축(SD212) 에러가 발생했습니다.</v>
      </c>
    </row>
    <row r="270" spans="1:22" s="49" customFormat="1" ht="14.15" customHeight="1">
      <c r="A270" s="43" t="s">
        <v>5598</v>
      </c>
      <c r="B270" s="44" t="s">
        <v>157</v>
      </c>
      <c r="C270" s="50"/>
      <c r="D270" s="10" t="s">
        <v>29</v>
      </c>
      <c r="E270" s="11"/>
      <c r="F270" s="11" t="s">
        <v>18</v>
      </c>
      <c r="G270" s="13"/>
      <c r="H270" s="45" t="s">
        <v>16</v>
      </c>
      <c r="I270" s="47"/>
      <c r="J270" s="12" t="s">
        <v>4854</v>
      </c>
      <c r="K270" s="13" t="s">
        <v>7070</v>
      </c>
      <c r="L270" s="99" t="str">
        <f t="shared" si="16"/>
        <v>W220D.B</v>
      </c>
      <c r="M270" s="13" t="s">
        <v>17</v>
      </c>
      <c r="N270" s="13"/>
      <c r="O270" s="13"/>
      <c r="P270" s="47"/>
      <c r="Q270" s="45" t="s">
        <v>3672</v>
      </c>
      <c r="R270" s="45" t="s">
        <v>5596</v>
      </c>
      <c r="S270" s="48"/>
      <c r="T270" s="49" t="str">
        <f t="shared" si="15"/>
        <v>[W220D.B]</v>
      </c>
      <c r="U270" s="12" t="str">
        <f t="shared" si="14"/>
        <v xml:space="preserve"> 터브이송#2-3 C2축(SD213) 운전중에 Ready가 Off 되었습니다.</v>
      </c>
      <c r="V270" s="49" t="str">
        <f t="shared" si="17"/>
        <v>[W220D.B] 터브이송#2-3 C2축(SD213) 운전중에 Ready가 Off 되었습니다.</v>
      </c>
    </row>
    <row r="271" spans="1:22" s="49" customFormat="1" ht="14.15" customHeight="1">
      <c r="A271" s="43" t="s">
        <v>5598</v>
      </c>
      <c r="B271" s="44" t="s">
        <v>157</v>
      </c>
      <c r="C271" s="50"/>
      <c r="D271" s="10" t="s">
        <v>29</v>
      </c>
      <c r="E271" s="11"/>
      <c r="F271" s="11" t="s">
        <v>18</v>
      </c>
      <c r="G271" s="13"/>
      <c r="H271" s="45" t="s">
        <v>16</v>
      </c>
      <c r="I271" s="47"/>
      <c r="J271" s="12" t="s">
        <v>4855</v>
      </c>
      <c r="K271" s="13" t="s">
        <v>7071</v>
      </c>
      <c r="L271" s="99" t="str">
        <f t="shared" si="16"/>
        <v>W220D.C</v>
      </c>
      <c r="M271" s="13" t="s">
        <v>17</v>
      </c>
      <c r="N271" s="13"/>
      <c r="O271" s="13"/>
      <c r="P271" s="47"/>
      <c r="Q271" s="45" t="s">
        <v>3672</v>
      </c>
      <c r="R271" s="45" t="s">
        <v>5596</v>
      </c>
      <c r="S271" s="48"/>
      <c r="T271" s="49" t="str">
        <f t="shared" si="15"/>
        <v>[W220D.C]</v>
      </c>
      <c r="U271" s="12" t="str">
        <f t="shared" si="14"/>
        <v xml:space="preserve"> 터브이송#2-3 C2축(SD213) FLS가 감지되었습니다.</v>
      </c>
      <c r="V271" s="49" t="str">
        <f t="shared" si="17"/>
        <v>[W220D.C] 터브이송#2-3 C2축(SD213) FLS가 감지되었습니다.</v>
      </c>
    </row>
    <row r="272" spans="1:22" s="49" customFormat="1" ht="14.15" customHeight="1">
      <c r="A272" s="43" t="s">
        <v>5598</v>
      </c>
      <c r="B272" s="44" t="s">
        <v>157</v>
      </c>
      <c r="C272" s="50"/>
      <c r="D272" s="10" t="s">
        <v>29</v>
      </c>
      <c r="E272" s="11"/>
      <c r="F272" s="11" t="s">
        <v>18</v>
      </c>
      <c r="G272" s="13"/>
      <c r="H272" s="45" t="s">
        <v>16</v>
      </c>
      <c r="I272" s="47"/>
      <c r="J272" s="12" t="s">
        <v>4856</v>
      </c>
      <c r="K272" s="13" t="s">
        <v>7072</v>
      </c>
      <c r="L272" s="99" t="str">
        <f t="shared" si="16"/>
        <v>W220D.D</v>
      </c>
      <c r="M272" s="13" t="s">
        <v>17</v>
      </c>
      <c r="N272" s="13"/>
      <c r="O272" s="13"/>
      <c r="P272" s="47"/>
      <c r="Q272" s="45" t="s">
        <v>3672</v>
      </c>
      <c r="R272" s="45" t="s">
        <v>5596</v>
      </c>
      <c r="S272" s="48"/>
      <c r="T272" s="49" t="str">
        <f t="shared" si="15"/>
        <v>[W220D.D]</v>
      </c>
      <c r="U272" s="12" t="str">
        <f t="shared" si="14"/>
        <v xml:space="preserve"> 터브이송#2-3 C2축(SD213) RLS가 감지되었습니다.</v>
      </c>
      <c r="V272" s="49" t="str">
        <f t="shared" si="17"/>
        <v>[W220D.D] 터브이송#2-3 C2축(SD213) RLS가 감지되었습니다.</v>
      </c>
    </row>
    <row r="273" spans="1:22" s="49" customFormat="1" ht="14.15" customHeight="1">
      <c r="A273" s="43" t="s">
        <v>5598</v>
      </c>
      <c r="B273" s="44" t="s">
        <v>157</v>
      </c>
      <c r="C273" s="50"/>
      <c r="D273" s="10" t="s">
        <v>29</v>
      </c>
      <c r="E273" s="11"/>
      <c r="F273" s="11" t="s">
        <v>18</v>
      </c>
      <c r="G273" s="13"/>
      <c r="H273" s="45" t="s">
        <v>16</v>
      </c>
      <c r="I273" s="47"/>
      <c r="J273" s="12" t="s">
        <v>4857</v>
      </c>
      <c r="K273" s="13" t="s">
        <v>7073</v>
      </c>
      <c r="L273" s="99" t="str">
        <f t="shared" si="16"/>
        <v>W220D.E</v>
      </c>
      <c r="M273" s="13" t="s">
        <v>17</v>
      </c>
      <c r="N273" s="13"/>
      <c r="O273" s="13"/>
      <c r="P273" s="47"/>
      <c r="Q273" s="45" t="s">
        <v>3672</v>
      </c>
      <c r="R273" s="45" t="s">
        <v>5596</v>
      </c>
      <c r="S273" s="48"/>
      <c r="T273" s="49" t="str">
        <f t="shared" si="15"/>
        <v>[W220D.E]</v>
      </c>
      <c r="U273" s="12" t="str">
        <f t="shared" si="14"/>
        <v xml:space="preserve"> 터브이송#2-3 C2축(SD213) Stop 명령이 On된 상태에서 기동을 시도했습니다.</v>
      </c>
      <c r="V273" s="49" t="str">
        <f t="shared" si="17"/>
        <v>[W220D.E] 터브이송#2-3 C2축(SD213) Stop 명령이 On된 상태에서 기동을 시도했습니다.</v>
      </c>
    </row>
    <row r="274" spans="1:22" s="49" customFormat="1" ht="14.15" customHeight="1">
      <c r="A274" s="43" t="s">
        <v>5598</v>
      </c>
      <c r="B274" s="44" t="s">
        <v>157</v>
      </c>
      <c r="C274" s="50"/>
      <c r="D274" s="10" t="s">
        <v>29</v>
      </c>
      <c r="E274" s="11"/>
      <c r="F274" s="11" t="s">
        <v>18</v>
      </c>
      <c r="G274" s="13"/>
      <c r="H274" s="45" t="s">
        <v>16</v>
      </c>
      <c r="I274" s="47"/>
      <c r="J274" s="12" t="s">
        <v>4858</v>
      </c>
      <c r="K274" s="13" t="s">
        <v>7074</v>
      </c>
      <c r="L274" s="99" t="str">
        <f t="shared" si="16"/>
        <v>W220D.F</v>
      </c>
      <c r="M274" s="13" t="s">
        <v>17</v>
      </c>
      <c r="N274" s="13"/>
      <c r="O274" s="13"/>
      <c r="P274" s="47"/>
      <c r="Q274" s="45" t="s">
        <v>3672</v>
      </c>
      <c r="R274" s="45" t="s">
        <v>5596</v>
      </c>
      <c r="S274" s="48"/>
      <c r="T274" s="49" t="str">
        <f t="shared" si="15"/>
        <v>[W220D.F]</v>
      </c>
      <c r="U274" s="12" t="str">
        <f t="shared" si="14"/>
        <v xml:space="preserve"> 터브이송#2-3 C2축(SD213) 가동 전원이 Off 되었습니다.</v>
      </c>
      <c r="V274" s="49" t="str">
        <f t="shared" si="17"/>
        <v>[W220D.F] 터브이송#2-3 C2축(SD213) 가동 전원이 Off 되었습니다.</v>
      </c>
    </row>
    <row r="275" spans="1:22" s="49" customFormat="1" ht="14.15" customHeight="1">
      <c r="A275" s="43" t="s">
        <v>5598</v>
      </c>
      <c r="B275" s="44" t="s">
        <v>157</v>
      </c>
      <c r="C275" s="50"/>
      <c r="D275" s="10" t="s">
        <v>29</v>
      </c>
      <c r="E275" s="11"/>
      <c r="F275" s="11" t="s">
        <v>18</v>
      </c>
      <c r="G275" s="13"/>
      <c r="H275" s="45" t="s">
        <v>16</v>
      </c>
      <c r="I275" s="47"/>
      <c r="J275" s="12" t="s">
        <v>4859</v>
      </c>
      <c r="K275" s="13" t="s">
        <v>7075</v>
      </c>
      <c r="L275" s="99" t="str">
        <f t="shared" si="16"/>
        <v>W220E.0</v>
      </c>
      <c r="M275" s="13" t="s">
        <v>17</v>
      </c>
      <c r="N275" s="13"/>
      <c r="O275" s="13"/>
      <c r="P275" s="47"/>
      <c r="Q275" s="45" t="s">
        <v>3672</v>
      </c>
      <c r="R275" s="45" t="s">
        <v>5596</v>
      </c>
      <c r="S275" s="48"/>
      <c r="T275" s="49" t="str">
        <f t="shared" si="15"/>
        <v>[W220E.0]</v>
      </c>
      <c r="U275" s="12" t="str">
        <f t="shared" si="14"/>
        <v xml:space="preserve"> 터브이송#2-3 C2축(SD213) 엔코더 이상이 검출되었습니다.</v>
      </c>
      <c r="V275" s="49" t="str">
        <f t="shared" si="17"/>
        <v>[W220E.0] 터브이송#2-3 C2축(SD213) 엔코더 이상이 검출되었습니다.</v>
      </c>
    </row>
    <row r="276" spans="1:22" s="49" customFormat="1" ht="14.15" customHeight="1">
      <c r="A276" s="43" t="s">
        <v>5598</v>
      </c>
      <c r="B276" s="44" t="s">
        <v>157</v>
      </c>
      <c r="C276" s="50"/>
      <c r="D276" s="10" t="s">
        <v>29</v>
      </c>
      <c r="E276" s="11"/>
      <c r="F276" s="11" t="s">
        <v>18</v>
      </c>
      <c r="G276" s="13"/>
      <c r="H276" s="45" t="s">
        <v>16</v>
      </c>
      <c r="I276" s="47"/>
      <c r="J276" s="12" t="s">
        <v>4860</v>
      </c>
      <c r="K276" s="13" t="s">
        <v>7076</v>
      </c>
      <c r="L276" s="99" t="str">
        <f t="shared" si="16"/>
        <v>W220E.1</v>
      </c>
      <c r="M276" s="13" t="s">
        <v>17</v>
      </c>
      <c r="N276" s="13"/>
      <c r="O276" s="13"/>
      <c r="P276" s="47"/>
      <c r="Q276" s="45" t="s">
        <v>3672</v>
      </c>
      <c r="R276" s="45" t="s">
        <v>5596</v>
      </c>
      <c r="S276" s="48"/>
      <c r="T276" s="49" t="str">
        <f t="shared" si="15"/>
        <v>[W220E.1]</v>
      </c>
      <c r="U276" s="12" t="str">
        <f t="shared" si="14"/>
        <v xml:space="preserve"> 터브이송#2-3 C2축(SD213) 과전류가 검출되었습니다.</v>
      </c>
      <c r="V276" s="49" t="str">
        <f t="shared" si="17"/>
        <v>[W220E.1] 터브이송#2-3 C2축(SD213) 과전류가 검출되었습니다.</v>
      </c>
    </row>
    <row r="277" spans="1:22" s="49" customFormat="1" ht="14.15" customHeight="1">
      <c r="A277" s="43" t="s">
        <v>5598</v>
      </c>
      <c r="B277" s="44" t="s">
        <v>157</v>
      </c>
      <c r="C277" s="50"/>
      <c r="D277" s="10" t="s">
        <v>29</v>
      </c>
      <c r="E277" s="11"/>
      <c r="F277" s="11" t="s">
        <v>18</v>
      </c>
      <c r="G277" s="13"/>
      <c r="H277" s="45" t="s">
        <v>16</v>
      </c>
      <c r="I277" s="47"/>
      <c r="J277" s="12" t="s">
        <v>4861</v>
      </c>
      <c r="K277" s="13" t="s">
        <v>7077</v>
      </c>
      <c r="L277" s="99" t="str">
        <f t="shared" si="16"/>
        <v>W220E.2</v>
      </c>
      <c r="M277" s="13" t="s">
        <v>17</v>
      </c>
      <c r="N277" s="13"/>
      <c r="O277" s="13"/>
      <c r="P277" s="47"/>
      <c r="Q277" s="45" t="s">
        <v>3672</v>
      </c>
      <c r="R277" s="45" t="s">
        <v>5596</v>
      </c>
      <c r="S277" s="48"/>
      <c r="T277" s="49" t="str">
        <f t="shared" si="15"/>
        <v>[W220E.2]</v>
      </c>
      <c r="U277" s="12" t="str">
        <f t="shared" si="14"/>
        <v xml:space="preserve"> 터브이송#2-3 C2축(SD213) 과부하가 검출되었습니다.</v>
      </c>
      <c r="V277" s="49" t="str">
        <f t="shared" si="17"/>
        <v>[W220E.2] 터브이송#2-3 C2축(SD213) 과부하가 검출되었습니다.</v>
      </c>
    </row>
    <row r="278" spans="1:22" s="49" customFormat="1" ht="14.15" customHeight="1">
      <c r="A278" s="43" t="s">
        <v>5598</v>
      </c>
      <c r="B278" s="44" t="s">
        <v>157</v>
      </c>
      <c r="C278" s="50"/>
      <c r="D278" s="10" t="s">
        <v>29</v>
      </c>
      <c r="E278" s="11"/>
      <c r="F278" s="11" t="s">
        <v>18</v>
      </c>
      <c r="G278" s="13"/>
      <c r="H278" s="45" t="s">
        <v>16</v>
      </c>
      <c r="I278" s="47"/>
      <c r="J278" s="12" t="s">
        <v>4862</v>
      </c>
      <c r="K278" s="13" t="s">
        <v>7078</v>
      </c>
      <c r="L278" s="99" t="str">
        <f t="shared" si="16"/>
        <v>W220E.3</v>
      </c>
      <c r="M278" s="13" t="s">
        <v>17</v>
      </c>
      <c r="N278" s="13"/>
      <c r="O278" s="13"/>
      <c r="P278" s="47"/>
      <c r="Q278" s="45" t="s">
        <v>3672</v>
      </c>
      <c r="R278" s="45" t="s">
        <v>5596</v>
      </c>
      <c r="S278" s="48"/>
      <c r="T278" s="49" t="str">
        <f t="shared" si="15"/>
        <v>[W220E.3]</v>
      </c>
      <c r="U278" s="12" t="str">
        <f t="shared" si="14"/>
        <v xml:space="preserve"> 터브이송#2-3 C2축(SD213)  </v>
      </c>
      <c r="V278" s="49" t="str">
        <f t="shared" si="17"/>
        <v xml:space="preserve">[W220E.3] 터브이송#2-3 C2축(SD213)  </v>
      </c>
    </row>
    <row r="279" spans="1:22" s="49" customFormat="1" ht="14.15" customHeight="1">
      <c r="A279" s="43" t="s">
        <v>5598</v>
      </c>
      <c r="B279" s="44" t="s">
        <v>157</v>
      </c>
      <c r="C279" s="50"/>
      <c r="D279" s="10" t="s">
        <v>29</v>
      </c>
      <c r="E279" s="11"/>
      <c r="F279" s="11" t="s">
        <v>18</v>
      </c>
      <c r="G279" s="13"/>
      <c r="H279" s="45" t="s">
        <v>16</v>
      </c>
      <c r="I279" s="47"/>
      <c r="J279" s="12" t="s">
        <v>4863</v>
      </c>
      <c r="K279" s="13" t="s">
        <v>7079</v>
      </c>
      <c r="L279" s="99" t="str">
        <f t="shared" si="16"/>
        <v>W220E.4</v>
      </c>
      <c r="M279" s="13" t="s">
        <v>17</v>
      </c>
      <c r="N279" s="13"/>
      <c r="O279" s="13"/>
      <c r="P279" s="47"/>
      <c r="Q279" s="45" t="s">
        <v>3672</v>
      </c>
      <c r="R279" s="45" t="s">
        <v>5596</v>
      </c>
      <c r="S279" s="48"/>
      <c r="T279" s="49" t="str">
        <f t="shared" si="15"/>
        <v>[W220E.4]</v>
      </c>
      <c r="U279" s="12" t="str">
        <f t="shared" si="14"/>
        <v xml:space="preserve"> 터브이송#2-3 C2축(SD213) 에러가 발생했습니다.</v>
      </c>
      <c r="V279" s="49" t="str">
        <f t="shared" si="17"/>
        <v>[W220E.4] 터브이송#2-3 C2축(SD213) 에러가 발생했습니다.</v>
      </c>
    </row>
    <row r="280" spans="1:22" s="49" customFormat="1" ht="14.15" customHeight="1">
      <c r="A280" s="44"/>
      <c r="B280" s="44" t="s">
        <v>157</v>
      </c>
      <c r="C280" s="50"/>
      <c r="D280" s="10" t="s">
        <v>29</v>
      </c>
      <c r="E280" s="11"/>
      <c r="F280" s="11" t="s">
        <v>18</v>
      </c>
      <c r="G280" s="13"/>
      <c r="H280" s="45" t="s">
        <v>16</v>
      </c>
      <c r="I280" s="47"/>
      <c r="J280" s="12" t="s">
        <v>5609</v>
      </c>
      <c r="K280" s="13" t="s">
        <v>7080</v>
      </c>
      <c r="L280" s="99" t="str">
        <f t="shared" si="16"/>
        <v>W220E.5</v>
      </c>
      <c r="M280" s="13" t="s">
        <v>17</v>
      </c>
      <c r="N280" s="13"/>
      <c r="O280" s="13"/>
      <c r="P280" s="47"/>
      <c r="Q280" s="45" t="s">
        <v>3672</v>
      </c>
      <c r="R280" s="45" t="s">
        <v>5596</v>
      </c>
      <c r="S280" s="48"/>
      <c r="T280" s="49" t="str">
        <f t="shared" si="15"/>
        <v>[W220E.5]</v>
      </c>
      <c r="U280" s="12" t="str">
        <f t="shared" si="14"/>
        <v/>
      </c>
      <c r="V280" s="49" t="str">
        <f t="shared" si="17"/>
        <v>[W220E.5]</v>
      </c>
    </row>
    <row r="281" spans="1:22" s="49" customFormat="1" ht="14.15" customHeight="1">
      <c r="A281" s="44"/>
      <c r="B281" s="44" t="s">
        <v>157</v>
      </c>
      <c r="C281" s="50"/>
      <c r="D281" s="10" t="s">
        <v>29</v>
      </c>
      <c r="E281" s="11"/>
      <c r="F281" s="11" t="s">
        <v>18</v>
      </c>
      <c r="G281" s="13"/>
      <c r="H281" s="45" t="s">
        <v>16</v>
      </c>
      <c r="I281" s="47"/>
      <c r="J281" s="12" t="s">
        <v>3862</v>
      </c>
      <c r="K281" s="13" t="s">
        <v>7081</v>
      </c>
      <c r="L281" s="99" t="str">
        <f t="shared" si="16"/>
        <v>W220E.6</v>
      </c>
      <c r="M281" s="13" t="s">
        <v>17</v>
      </c>
      <c r="N281" s="13"/>
      <c r="O281" s="13"/>
      <c r="P281" s="47"/>
      <c r="Q281" s="45" t="s">
        <v>3672</v>
      </c>
      <c r="R281" s="45" t="s">
        <v>5596</v>
      </c>
      <c r="S281" s="48"/>
      <c r="T281" s="49" t="str">
        <f t="shared" si="15"/>
        <v>[W220E.6]</v>
      </c>
      <c r="U281" s="12" t="str">
        <f t="shared" si="14"/>
        <v/>
      </c>
      <c r="V281" s="49" t="str">
        <f t="shared" si="17"/>
        <v>[W220E.6]</v>
      </c>
    </row>
    <row r="282" spans="1:22" s="49" customFormat="1" ht="14.15" customHeight="1">
      <c r="A282" s="44"/>
      <c r="B282" s="44" t="s">
        <v>157</v>
      </c>
      <c r="C282" s="50"/>
      <c r="D282" s="10" t="s">
        <v>29</v>
      </c>
      <c r="E282" s="11"/>
      <c r="F282" s="11" t="s">
        <v>18</v>
      </c>
      <c r="G282" s="13"/>
      <c r="H282" s="45" t="s">
        <v>16</v>
      </c>
      <c r="I282" s="47"/>
      <c r="J282" s="12" t="s">
        <v>3863</v>
      </c>
      <c r="K282" s="13" t="s">
        <v>7082</v>
      </c>
      <c r="L282" s="99" t="str">
        <f t="shared" si="16"/>
        <v>W220E.7</v>
      </c>
      <c r="M282" s="13" t="s">
        <v>17</v>
      </c>
      <c r="N282" s="13"/>
      <c r="O282" s="13"/>
      <c r="P282" s="47"/>
      <c r="Q282" s="45" t="s">
        <v>3672</v>
      </c>
      <c r="R282" s="45" t="s">
        <v>5596</v>
      </c>
      <c r="S282" s="48"/>
      <c r="T282" s="49" t="str">
        <f t="shared" si="15"/>
        <v>[W220E.7]</v>
      </c>
      <c r="U282" s="12" t="str">
        <f t="shared" si="14"/>
        <v/>
      </c>
      <c r="V282" s="49" t="str">
        <f t="shared" si="17"/>
        <v>[W220E.7]</v>
      </c>
    </row>
    <row r="283" spans="1:22" s="49" customFormat="1" ht="14.15" customHeight="1">
      <c r="A283" s="44"/>
      <c r="B283" s="44" t="s">
        <v>157</v>
      </c>
      <c r="C283" s="50"/>
      <c r="D283" s="10" t="s">
        <v>29</v>
      </c>
      <c r="E283" s="11"/>
      <c r="F283" s="11" t="s">
        <v>18</v>
      </c>
      <c r="G283" s="13"/>
      <c r="H283" s="45" t="s">
        <v>16</v>
      </c>
      <c r="I283" s="46"/>
      <c r="J283" s="12" t="s">
        <v>3864</v>
      </c>
      <c r="K283" s="13" t="s">
        <v>7083</v>
      </c>
      <c r="L283" s="99" t="str">
        <f t="shared" si="16"/>
        <v>W220E.8</v>
      </c>
      <c r="M283" s="13" t="s">
        <v>17</v>
      </c>
      <c r="N283" s="13"/>
      <c r="O283" s="13"/>
      <c r="P283" s="47"/>
      <c r="Q283" s="45" t="s">
        <v>3672</v>
      </c>
      <c r="R283" s="45" t="s">
        <v>5596</v>
      </c>
      <c r="S283" s="48"/>
      <c r="T283" s="49" t="str">
        <f t="shared" si="15"/>
        <v>[W220E.8]</v>
      </c>
      <c r="U283" s="12" t="str">
        <f t="shared" si="14"/>
        <v/>
      </c>
      <c r="V283" s="49" t="str">
        <f t="shared" si="17"/>
        <v>[W220E.8]</v>
      </c>
    </row>
    <row r="284" spans="1:22" s="49" customFormat="1" ht="14.15" customHeight="1">
      <c r="A284" s="44"/>
      <c r="B284" s="44" t="s">
        <v>157</v>
      </c>
      <c r="C284" s="50"/>
      <c r="D284" s="10" t="s">
        <v>29</v>
      </c>
      <c r="E284" s="11"/>
      <c r="F284" s="11" t="s">
        <v>18</v>
      </c>
      <c r="G284" s="13"/>
      <c r="H284" s="45" t="s">
        <v>16</v>
      </c>
      <c r="I284" s="46"/>
      <c r="J284" s="12" t="s">
        <v>3865</v>
      </c>
      <c r="K284" s="13" t="s">
        <v>7084</v>
      </c>
      <c r="L284" s="99" t="str">
        <f t="shared" si="16"/>
        <v>W220E.9</v>
      </c>
      <c r="M284" s="13" t="s">
        <v>17</v>
      </c>
      <c r="N284" s="13"/>
      <c r="O284" s="13"/>
      <c r="P284" s="47"/>
      <c r="Q284" s="45" t="s">
        <v>3672</v>
      </c>
      <c r="R284" s="45" t="s">
        <v>5596</v>
      </c>
      <c r="S284" s="48"/>
      <c r="T284" s="49" t="str">
        <f t="shared" si="15"/>
        <v>[W220E.9]</v>
      </c>
      <c r="U284" s="12" t="str">
        <f t="shared" si="14"/>
        <v/>
      </c>
      <c r="V284" s="49" t="str">
        <f t="shared" si="17"/>
        <v>[W220E.9]</v>
      </c>
    </row>
    <row r="285" spans="1:22" s="49" customFormat="1" ht="14.15" customHeight="1">
      <c r="A285" s="44"/>
      <c r="B285" s="44" t="s">
        <v>157</v>
      </c>
      <c r="C285" s="50"/>
      <c r="D285" s="10" t="s">
        <v>29</v>
      </c>
      <c r="E285" s="11"/>
      <c r="F285" s="11" t="s">
        <v>18</v>
      </c>
      <c r="G285" s="13"/>
      <c r="H285" s="45" t="s">
        <v>16</v>
      </c>
      <c r="I285" s="46"/>
      <c r="J285" s="12" t="s">
        <v>3866</v>
      </c>
      <c r="K285" s="13" t="s">
        <v>7085</v>
      </c>
      <c r="L285" s="99" t="str">
        <f t="shared" si="16"/>
        <v>W220E.A</v>
      </c>
      <c r="M285" s="13" t="s">
        <v>17</v>
      </c>
      <c r="N285" s="13"/>
      <c r="O285" s="13"/>
      <c r="P285" s="47"/>
      <c r="Q285" s="45" t="s">
        <v>3672</v>
      </c>
      <c r="R285" s="45" t="s">
        <v>5596</v>
      </c>
      <c r="S285" s="48"/>
      <c r="T285" s="49" t="str">
        <f t="shared" si="15"/>
        <v>[W220E.A]</v>
      </c>
      <c r="U285" s="12" t="str">
        <f t="shared" si="14"/>
        <v/>
      </c>
      <c r="V285" s="49" t="str">
        <f t="shared" si="17"/>
        <v>[W220E.A]</v>
      </c>
    </row>
    <row r="286" spans="1:22" s="49" customFormat="1" ht="14.15" customHeight="1">
      <c r="A286" s="44"/>
      <c r="B286" s="44" t="s">
        <v>157</v>
      </c>
      <c r="C286" s="50"/>
      <c r="D286" s="10" t="s">
        <v>29</v>
      </c>
      <c r="E286" s="11"/>
      <c r="F286" s="11" t="s">
        <v>18</v>
      </c>
      <c r="G286" s="13"/>
      <c r="H286" s="45" t="s">
        <v>16</v>
      </c>
      <c r="I286" s="46"/>
      <c r="J286" s="12" t="s">
        <v>3867</v>
      </c>
      <c r="K286" s="13" t="s">
        <v>7086</v>
      </c>
      <c r="L286" s="99" t="str">
        <f t="shared" si="16"/>
        <v>W220E.B</v>
      </c>
      <c r="M286" s="13" t="s">
        <v>17</v>
      </c>
      <c r="N286" s="13"/>
      <c r="O286" s="13"/>
      <c r="P286" s="47"/>
      <c r="Q286" s="45" t="s">
        <v>3672</v>
      </c>
      <c r="R286" s="45" t="s">
        <v>5596</v>
      </c>
      <c r="S286" s="48"/>
      <c r="T286" s="49" t="str">
        <f t="shared" si="15"/>
        <v>[W220E.B]</v>
      </c>
      <c r="U286" s="12" t="str">
        <f t="shared" si="14"/>
        <v/>
      </c>
      <c r="V286" s="49" t="str">
        <f t="shared" si="17"/>
        <v>[W220E.B]</v>
      </c>
    </row>
    <row r="287" spans="1:22" s="49" customFormat="1" ht="14.15" customHeight="1">
      <c r="A287" s="44"/>
      <c r="B287" s="44" t="s">
        <v>157</v>
      </c>
      <c r="C287" s="50"/>
      <c r="D287" s="10" t="s">
        <v>29</v>
      </c>
      <c r="E287" s="11"/>
      <c r="F287" s="11" t="s">
        <v>18</v>
      </c>
      <c r="G287" s="13"/>
      <c r="H287" s="45" t="s">
        <v>16</v>
      </c>
      <c r="I287" s="46"/>
      <c r="J287" s="12" t="s">
        <v>3868</v>
      </c>
      <c r="K287" s="13" t="s">
        <v>7087</v>
      </c>
      <c r="L287" s="99" t="str">
        <f t="shared" si="16"/>
        <v>W220E.C</v>
      </c>
      <c r="M287" s="13" t="s">
        <v>17</v>
      </c>
      <c r="N287" s="13"/>
      <c r="O287" s="13"/>
      <c r="P287" s="47"/>
      <c r="Q287" s="45" t="s">
        <v>3672</v>
      </c>
      <c r="R287" s="45" t="s">
        <v>5596</v>
      </c>
      <c r="S287" s="48"/>
      <c r="T287" s="49" t="str">
        <f t="shared" si="15"/>
        <v>[W220E.C]</v>
      </c>
      <c r="U287" s="12" t="str">
        <f t="shared" si="14"/>
        <v/>
      </c>
      <c r="V287" s="49" t="str">
        <f t="shared" si="17"/>
        <v>[W220E.C]</v>
      </c>
    </row>
    <row r="288" spans="1:22" s="49" customFormat="1" ht="14.15" customHeight="1">
      <c r="A288" s="44"/>
      <c r="B288" s="44" t="s">
        <v>157</v>
      </c>
      <c r="C288" s="50"/>
      <c r="D288" s="10" t="s">
        <v>29</v>
      </c>
      <c r="E288" s="11"/>
      <c r="F288" s="11" t="s">
        <v>18</v>
      </c>
      <c r="G288" s="13"/>
      <c r="H288" s="45" t="s">
        <v>16</v>
      </c>
      <c r="I288" s="47"/>
      <c r="J288" s="12" t="s">
        <v>3869</v>
      </c>
      <c r="K288" s="13" t="s">
        <v>7088</v>
      </c>
      <c r="L288" s="99" t="str">
        <f t="shared" si="16"/>
        <v>W220E.D</v>
      </c>
      <c r="M288" s="13" t="s">
        <v>17</v>
      </c>
      <c r="N288" s="13"/>
      <c r="O288" s="13"/>
      <c r="P288" s="47"/>
      <c r="Q288" s="45" t="s">
        <v>3672</v>
      </c>
      <c r="R288" s="45" t="s">
        <v>5596</v>
      </c>
      <c r="S288" s="48"/>
      <c r="T288" s="49" t="str">
        <f t="shared" si="15"/>
        <v>[W220E.D]</v>
      </c>
      <c r="U288" s="12" t="str">
        <f t="shared" si="14"/>
        <v/>
      </c>
      <c r="V288" s="49" t="str">
        <f t="shared" si="17"/>
        <v>[W220E.D]</v>
      </c>
    </row>
    <row r="289" spans="1:22" s="49" customFormat="1" ht="14.15" customHeight="1">
      <c r="A289" s="44"/>
      <c r="B289" s="44" t="s">
        <v>157</v>
      </c>
      <c r="C289" s="50"/>
      <c r="D289" s="10" t="s">
        <v>29</v>
      </c>
      <c r="E289" s="11"/>
      <c r="F289" s="11" t="s">
        <v>18</v>
      </c>
      <c r="G289" s="13"/>
      <c r="H289" s="45" t="s">
        <v>16</v>
      </c>
      <c r="I289" s="46"/>
      <c r="J289" s="12" t="s">
        <v>3870</v>
      </c>
      <c r="K289" s="13" t="s">
        <v>7089</v>
      </c>
      <c r="L289" s="99" t="str">
        <f t="shared" si="16"/>
        <v>W220E.E</v>
      </c>
      <c r="M289" s="13" t="s">
        <v>17</v>
      </c>
      <c r="N289" s="13"/>
      <c r="O289" s="13"/>
      <c r="P289" s="47"/>
      <c r="Q289" s="45" t="s">
        <v>3672</v>
      </c>
      <c r="R289" s="45" t="s">
        <v>5596</v>
      </c>
      <c r="S289" s="48"/>
      <c r="T289" s="49" t="str">
        <f t="shared" si="15"/>
        <v>[W220E.E]</v>
      </c>
      <c r="U289" s="12" t="str">
        <f t="shared" si="14"/>
        <v/>
      </c>
      <c r="V289" s="49" t="str">
        <f t="shared" si="17"/>
        <v>[W220E.E]</v>
      </c>
    </row>
    <row r="290" spans="1:22" s="49" customFormat="1" ht="14.15" customHeight="1">
      <c r="A290" s="44"/>
      <c r="B290" s="44" t="s">
        <v>157</v>
      </c>
      <c r="C290" s="50"/>
      <c r="D290" s="10" t="s">
        <v>29</v>
      </c>
      <c r="E290" s="11"/>
      <c r="F290" s="11" t="s">
        <v>18</v>
      </c>
      <c r="G290" s="13"/>
      <c r="H290" s="45" t="s">
        <v>16</v>
      </c>
      <c r="I290" s="46"/>
      <c r="J290" s="12" t="s">
        <v>3871</v>
      </c>
      <c r="K290" s="13" t="s">
        <v>7090</v>
      </c>
      <c r="L290" s="99" t="str">
        <f t="shared" si="16"/>
        <v>W220E.F</v>
      </c>
      <c r="M290" s="13" t="s">
        <v>17</v>
      </c>
      <c r="N290" s="13"/>
      <c r="O290" s="13"/>
      <c r="P290" s="47"/>
      <c r="Q290" s="45" t="s">
        <v>3672</v>
      </c>
      <c r="R290" s="45" t="s">
        <v>5596</v>
      </c>
      <c r="S290" s="48"/>
      <c r="T290" s="49" t="str">
        <f t="shared" si="15"/>
        <v>[W220E.F]</v>
      </c>
      <c r="U290" s="12" t="str">
        <f t="shared" si="14"/>
        <v/>
      </c>
      <c r="V290" s="49" t="str">
        <f t="shared" si="17"/>
        <v>[W220E.F]</v>
      </c>
    </row>
    <row r="291" spans="1:22" s="49" customFormat="1" ht="14.15" customHeight="1">
      <c r="A291" s="44"/>
      <c r="B291" s="44" t="s">
        <v>157</v>
      </c>
      <c r="C291" s="50"/>
      <c r="D291" s="10" t="s">
        <v>29</v>
      </c>
      <c r="E291" s="11"/>
      <c r="F291" s="11" t="s">
        <v>18</v>
      </c>
      <c r="G291" s="13"/>
      <c r="H291" s="45" t="s">
        <v>16</v>
      </c>
      <c r="I291" s="46"/>
      <c r="J291" s="12" t="s">
        <v>3872</v>
      </c>
      <c r="K291" s="13" t="s">
        <v>7091</v>
      </c>
      <c r="L291" s="99" t="str">
        <f t="shared" si="16"/>
        <v>W220F.0</v>
      </c>
      <c r="M291" s="13" t="s">
        <v>17</v>
      </c>
      <c r="N291" s="13"/>
      <c r="O291" s="13"/>
      <c r="P291" s="47"/>
      <c r="Q291" s="45" t="s">
        <v>3672</v>
      </c>
      <c r="R291" s="45" t="s">
        <v>5596</v>
      </c>
      <c r="S291" s="48"/>
      <c r="T291" s="49" t="str">
        <f t="shared" si="15"/>
        <v>[W220F.0]</v>
      </c>
      <c r="U291" s="12" t="str">
        <f t="shared" si="14"/>
        <v/>
      </c>
      <c r="V291" s="49" t="str">
        <f t="shared" si="17"/>
        <v>[W220F.0]</v>
      </c>
    </row>
    <row r="292" spans="1:22" s="49" customFormat="1" ht="14.15" customHeight="1">
      <c r="A292" s="44"/>
      <c r="B292" s="44" t="s">
        <v>157</v>
      </c>
      <c r="C292" s="50"/>
      <c r="D292" s="10" t="s">
        <v>29</v>
      </c>
      <c r="E292" s="11"/>
      <c r="F292" s="11" t="s">
        <v>18</v>
      </c>
      <c r="G292" s="13"/>
      <c r="H292" s="45" t="s">
        <v>16</v>
      </c>
      <c r="I292" s="46"/>
      <c r="J292" s="12" t="s">
        <v>3873</v>
      </c>
      <c r="K292" s="13" t="s">
        <v>7092</v>
      </c>
      <c r="L292" s="99" t="str">
        <f t="shared" si="16"/>
        <v>W220F.1</v>
      </c>
      <c r="M292" s="13" t="s">
        <v>17</v>
      </c>
      <c r="N292" s="13"/>
      <c r="O292" s="13"/>
      <c r="P292" s="51"/>
      <c r="Q292" s="45" t="s">
        <v>3672</v>
      </c>
      <c r="R292" s="45" t="s">
        <v>5596</v>
      </c>
      <c r="S292" s="48"/>
      <c r="T292" s="49" t="str">
        <f t="shared" si="15"/>
        <v>[W220F.1]</v>
      </c>
      <c r="U292" s="12" t="str">
        <f t="shared" si="14"/>
        <v/>
      </c>
      <c r="V292" s="49" t="str">
        <f t="shared" si="17"/>
        <v>[W220F.1]</v>
      </c>
    </row>
    <row r="293" spans="1:22" s="49" customFormat="1" ht="14.15" customHeight="1">
      <c r="A293" s="44"/>
      <c r="B293" s="44" t="s">
        <v>157</v>
      </c>
      <c r="C293" s="50"/>
      <c r="D293" s="10" t="s">
        <v>29</v>
      </c>
      <c r="E293" s="11"/>
      <c r="F293" s="11" t="s">
        <v>18</v>
      </c>
      <c r="G293" s="13"/>
      <c r="H293" s="45" t="s">
        <v>16</v>
      </c>
      <c r="I293" s="46"/>
      <c r="J293" s="12" t="s">
        <v>3874</v>
      </c>
      <c r="K293" s="13" t="s">
        <v>7093</v>
      </c>
      <c r="L293" s="99" t="str">
        <f t="shared" si="16"/>
        <v>W220F.2</v>
      </c>
      <c r="M293" s="13" t="s">
        <v>17</v>
      </c>
      <c r="N293" s="13"/>
      <c r="O293" s="13"/>
      <c r="P293" s="51"/>
      <c r="Q293" s="45" t="s">
        <v>3672</v>
      </c>
      <c r="R293" s="45" t="s">
        <v>5596</v>
      </c>
      <c r="S293" s="48"/>
      <c r="T293" s="49" t="str">
        <f t="shared" si="15"/>
        <v>[W220F.2]</v>
      </c>
      <c r="U293" s="12" t="str">
        <f t="shared" si="14"/>
        <v/>
      </c>
      <c r="V293" s="49" t="str">
        <f t="shared" si="17"/>
        <v>[W220F.2]</v>
      </c>
    </row>
    <row r="294" spans="1:22" s="49" customFormat="1" ht="14.15" customHeight="1">
      <c r="A294" s="44"/>
      <c r="B294" s="44" t="s">
        <v>157</v>
      </c>
      <c r="C294" s="50"/>
      <c r="D294" s="10" t="s">
        <v>29</v>
      </c>
      <c r="E294" s="11"/>
      <c r="F294" s="11" t="s">
        <v>18</v>
      </c>
      <c r="G294" s="13"/>
      <c r="H294" s="45" t="s">
        <v>16</v>
      </c>
      <c r="I294" s="46"/>
      <c r="J294" s="12" t="s">
        <v>3875</v>
      </c>
      <c r="K294" s="13" t="s">
        <v>7094</v>
      </c>
      <c r="L294" s="99" t="str">
        <f t="shared" si="16"/>
        <v>W220F.3</v>
      </c>
      <c r="M294" s="13" t="s">
        <v>17</v>
      </c>
      <c r="N294" s="13"/>
      <c r="O294" s="13"/>
      <c r="P294" s="51"/>
      <c r="Q294" s="45" t="s">
        <v>3672</v>
      </c>
      <c r="R294" s="45" t="s">
        <v>5596</v>
      </c>
      <c r="S294" s="48"/>
      <c r="T294" s="49" t="str">
        <f t="shared" si="15"/>
        <v>[W220F.3]</v>
      </c>
      <c r="U294" s="12" t="str">
        <f t="shared" si="14"/>
        <v/>
      </c>
      <c r="V294" s="49" t="str">
        <f t="shared" si="17"/>
        <v>[W220F.3]</v>
      </c>
    </row>
    <row r="295" spans="1:22" s="49" customFormat="1" ht="14.15" customHeight="1">
      <c r="A295" s="44"/>
      <c r="B295" s="44" t="s">
        <v>157</v>
      </c>
      <c r="C295" s="50"/>
      <c r="D295" s="10" t="s">
        <v>29</v>
      </c>
      <c r="E295" s="11"/>
      <c r="F295" s="11" t="s">
        <v>18</v>
      </c>
      <c r="G295" s="13"/>
      <c r="H295" s="45" t="s">
        <v>16</v>
      </c>
      <c r="I295" s="46"/>
      <c r="J295" s="12" t="s">
        <v>3876</v>
      </c>
      <c r="K295" s="13" t="s">
        <v>7095</v>
      </c>
      <c r="L295" s="99" t="str">
        <f t="shared" si="16"/>
        <v>W220F.4</v>
      </c>
      <c r="M295" s="13" t="s">
        <v>17</v>
      </c>
      <c r="N295" s="13"/>
      <c r="O295" s="13"/>
      <c r="P295" s="51"/>
      <c r="Q295" s="45" t="s">
        <v>3672</v>
      </c>
      <c r="R295" s="45" t="s">
        <v>5596</v>
      </c>
      <c r="S295" s="48"/>
      <c r="T295" s="49" t="str">
        <f t="shared" si="15"/>
        <v>[W220F.4]</v>
      </c>
      <c r="U295" s="12" t="str">
        <f t="shared" si="14"/>
        <v/>
      </c>
      <c r="V295" s="49" t="str">
        <f t="shared" si="17"/>
        <v>[W220F.4]</v>
      </c>
    </row>
    <row r="296" spans="1:22" s="49" customFormat="1" ht="14.15" customHeight="1">
      <c r="A296" s="44"/>
      <c r="B296" s="44" t="s">
        <v>157</v>
      </c>
      <c r="C296" s="50"/>
      <c r="D296" s="10" t="s">
        <v>29</v>
      </c>
      <c r="E296" s="11"/>
      <c r="F296" s="11" t="s">
        <v>18</v>
      </c>
      <c r="G296" s="13"/>
      <c r="H296" s="45" t="s">
        <v>16</v>
      </c>
      <c r="I296" s="46"/>
      <c r="J296" s="12" t="s">
        <v>3877</v>
      </c>
      <c r="K296" s="13" t="s">
        <v>7096</v>
      </c>
      <c r="L296" s="99" t="str">
        <f t="shared" si="16"/>
        <v>W220F.5</v>
      </c>
      <c r="M296" s="13" t="s">
        <v>17</v>
      </c>
      <c r="N296" s="13"/>
      <c r="O296" s="13"/>
      <c r="P296" s="51"/>
      <c r="Q296" s="45" t="s">
        <v>3672</v>
      </c>
      <c r="R296" s="45" t="s">
        <v>5596</v>
      </c>
      <c r="S296" s="48"/>
      <c r="T296" s="49" t="str">
        <f t="shared" si="15"/>
        <v>[W220F.5]</v>
      </c>
      <c r="U296" s="12" t="str">
        <f t="shared" si="14"/>
        <v/>
      </c>
      <c r="V296" s="49" t="str">
        <f t="shared" si="17"/>
        <v>[W220F.5]</v>
      </c>
    </row>
    <row r="297" spans="1:22" s="49" customFormat="1" ht="14.15" customHeight="1">
      <c r="A297" s="44"/>
      <c r="B297" s="44" t="s">
        <v>157</v>
      </c>
      <c r="C297" s="50"/>
      <c r="D297" s="10" t="s">
        <v>29</v>
      </c>
      <c r="E297" s="11"/>
      <c r="F297" s="11" t="s">
        <v>18</v>
      </c>
      <c r="G297" s="13"/>
      <c r="H297" s="45" t="s">
        <v>16</v>
      </c>
      <c r="I297" s="46"/>
      <c r="J297" s="12" t="s">
        <v>3878</v>
      </c>
      <c r="K297" s="13" t="s">
        <v>7097</v>
      </c>
      <c r="L297" s="99" t="str">
        <f t="shared" si="16"/>
        <v>W220F.6</v>
      </c>
      <c r="M297" s="13" t="s">
        <v>17</v>
      </c>
      <c r="N297" s="13"/>
      <c r="O297" s="13"/>
      <c r="P297" s="51"/>
      <c r="Q297" s="45" t="s">
        <v>3672</v>
      </c>
      <c r="R297" s="45" t="s">
        <v>5596</v>
      </c>
      <c r="S297" s="48"/>
      <c r="T297" s="49" t="str">
        <f t="shared" si="15"/>
        <v>[W220F.6]</v>
      </c>
      <c r="U297" s="12" t="str">
        <f t="shared" si="14"/>
        <v/>
      </c>
      <c r="V297" s="49" t="str">
        <f t="shared" si="17"/>
        <v>[W220F.6]</v>
      </c>
    </row>
    <row r="298" spans="1:22" s="49" customFormat="1" ht="14.15" customHeight="1">
      <c r="A298" s="44"/>
      <c r="B298" s="44" t="s">
        <v>157</v>
      </c>
      <c r="C298" s="50"/>
      <c r="D298" s="10" t="s">
        <v>29</v>
      </c>
      <c r="E298" s="11"/>
      <c r="F298" s="11" t="s">
        <v>18</v>
      </c>
      <c r="G298" s="13"/>
      <c r="H298" s="45" t="s">
        <v>16</v>
      </c>
      <c r="I298" s="46"/>
      <c r="J298" s="12" t="s">
        <v>3879</v>
      </c>
      <c r="K298" s="13" t="s">
        <v>7098</v>
      </c>
      <c r="L298" s="99" t="str">
        <f t="shared" si="16"/>
        <v>W220F.7</v>
      </c>
      <c r="M298" s="13" t="s">
        <v>17</v>
      </c>
      <c r="N298" s="13"/>
      <c r="O298" s="13"/>
      <c r="P298" s="51"/>
      <c r="Q298" s="45" t="s">
        <v>3672</v>
      </c>
      <c r="R298" s="45" t="s">
        <v>5596</v>
      </c>
      <c r="S298" s="48"/>
      <c r="T298" s="49" t="str">
        <f t="shared" si="15"/>
        <v>[W220F.7]</v>
      </c>
      <c r="U298" s="12" t="str">
        <f t="shared" si="14"/>
        <v/>
      </c>
      <c r="V298" s="49" t="str">
        <f t="shared" si="17"/>
        <v>[W220F.7]</v>
      </c>
    </row>
    <row r="299" spans="1:22" s="49" customFormat="1" ht="14.15" customHeight="1">
      <c r="A299" s="44"/>
      <c r="B299" s="44" t="s">
        <v>157</v>
      </c>
      <c r="C299" s="50"/>
      <c r="D299" s="10" t="s">
        <v>29</v>
      </c>
      <c r="E299" s="11"/>
      <c r="F299" s="11" t="s">
        <v>18</v>
      </c>
      <c r="G299" s="13"/>
      <c r="H299" s="45" t="s">
        <v>16</v>
      </c>
      <c r="I299" s="46"/>
      <c r="J299" s="12" t="s">
        <v>3880</v>
      </c>
      <c r="K299" s="13" t="s">
        <v>7099</v>
      </c>
      <c r="L299" s="99" t="str">
        <f t="shared" si="16"/>
        <v>W220F.8</v>
      </c>
      <c r="M299" s="13" t="s">
        <v>17</v>
      </c>
      <c r="N299" s="13"/>
      <c r="O299" s="13"/>
      <c r="P299" s="51"/>
      <c r="Q299" s="45" t="s">
        <v>3672</v>
      </c>
      <c r="R299" s="45" t="s">
        <v>5596</v>
      </c>
      <c r="S299" s="48"/>
      <c r="T299" s="49" t="str">
        <f t="shared" si="15"/>
        <v>[W220F.8]</v>
      </c>
      <c r="U299" s="12" t="str">
        <f t="shared" si="14"/>
        <v/>
      </c>
      <c r="V299" s="49" t="str">
        <f t="shared" si="17"/>
        <v>[W220F.8]</v>
      </c>
    </row>
    <row r="300" spans="1:22" s="49" customFormat="1" ht="14.15" customHeight="1">
      <c r="A300" s="44"/>
      <c r="B300" s="44" t="s">
        <v>157</v>
      </c>
      <c r="C300" s="50"/>
      <c r="D300" s="10" t="s">
        <v>29</v>
      </c>
      <c r="E300" s="11"/>
      <c r="F300" s="11" t="s">
        <v>18</v>
      </c>
      <c r="G300" s="13"/>
      <c r="H300" s="45" t="s">
        <v>16</v>
      </c>
      <c r="I300" s="46"/>
      <c r="J300" s="12" t="s">
        <v>3881</v>
      </c>
      <c r="K300" s="13" t="s">
        <v>7100</v>
      </c>
      <c r="L300" s="99" t="str">
        <f t="shared" si="16"/>
        <v>W220F.9</v>
      </c>
      <c r="M300" s="13" t="s">
        <v>17</v>
      </c>
      <c r="N300" s="13"/>
      <c r="O300" s="13"/>
      <c r="P300" s="51"/>
      <c r="Q300" s="45" t="s">
        <v>3672</v>
      </c>
      <c r="R300" s="45" t="s">
        <v>5596</v>
      </c>
      <c r="S300" s="48"/>
      <c r="T300" s="49" t="str">
        <f t="shared" si="15"/>
        <v>[W220F.9]</v>
      </c>
      <c r="U300" s="12" t="str">
        <f t="shared" si="14"/>
        <v/>
      </c>
      <c r="V300" s="49" t="str">
        <f t="shared" si="17"/>
        <v>[W220F.9]</v>
      </c>
    </row>
    <row r="301" spans="1:22" s="49" customFormat="1" ht="14.15" customHeight="1">
      <c r="A301" s="44"/>
      <c r="B301" s="44" t="s">
        <v>157</v>
      </c>
      <c r="C301" s="50"/>
      <c r="D301" s="10" t="s">
        <v>29</v>
      </c>
      <c r="E301" s="11"/>
      <c r="F301" s="11" t="s">
        <v>18</v>
      </c>
      <c r="G301" s="13"/>
      <c r="H301" s="45" t="s">
        <v>16</v>
      </c>
      <c r="I301" s="46"/>
      <c r="J301" s="12" t="s">
        <v>3882</v>
      </c>
      <c r="K301" s="13" t="s">
        <v>7101</v>
      </c>
      <c r="L301" s="99" t="str">
        <f t="shared" si="16"/>
        <v>W220F.A</v>
      </c>
      <c r="M301" s="13" t="s">
        <v>17</v>
      </c>
      <c r="N301" s="13"/>
      <c r="O301" s="13"/>
      <c r="P301" s="51"/>
      <c r="Q301" s="45" t="s">
        <v>3672</v>
      </c>
      <c r="R301" s="45" t="s">
        <v>5596</v>
      </c>
      <c r="S301" s="48"/>
      <c r="T301" s="49" t="str">
        <f t="shared" si="15"/>
        <v>[W220F.A]</v>
      </c>
      <c r="U301" s="12" t="str">
        <f t="shared" si="14"/>
        <v/>
      </c>
      <c r="V301" s="49" t="str">
        <f t="shared" si="17"/>
        <v>[W220F.A]</v>
      </c>
    </row>
    <row r="302" spans="1:22" s="49" customFormat="1" ht="14.15" customHeight="1">
      <c r="A302" s="44"/>
      <c r="B302" s="44" t="s">
        <v>157</v>
      </c>
      <c r="C302" s="50"/>
      <c r="D302" s="10" t="s">
        <v>29</v>
      </c>
      <c r="E302" s="11"/>
      <c r="F302" s="11" t="s">
        <v>18</v>
      </c>
      <c r="G302" s="13"/>
      <c r="H302" s="45" t="s">
        <v>16</v>
      </c>
      <c r="I302" s="46"/>
      <c r="J302" s="12" t="s">
        <v>3883</v>
      </c>
      <c r="K302" s="13" t="s">
        <v>7102</v>
      </c>
      <c r="L302" s="99" t="str">
        <f t="shared" si="16"/>
        <v>W220F.B</v>
      </c>
      <c r="M302" s="13" t="s">
        <v>17</v>
      </c>
      <c r="N302" s="13"/>
      <c r="O302" s="13"/>
      <c r="P302" s="51"/>
      <c r="Q302" s="45" t="s">
        <v>3672</v>
      </c>
      <c r="R302" s="45" t="s">
        <v>5596</v>
      </c>
      <c r="S302" s="48"/>
      <c r="T302" s="49" t="str">
        <f t="shared" si="15"/>
        <v>[W220F.B]</v>
      </c>
      <c r="U302" s="12" t="str">
        <f t="shared" si="14"/>
        <v/>
      </c>
      <c r="V302" s="49" t="str">
        <f t="shared" si="17"/>
        <v>[W220F.B]</v>
      </c>
    </row>
    <row r="303" spans="1:22" s="49" customFormat="1" ht="14.15" customHeight="1">
      <c r="A303" s="44"/>
      <c r="B303" s="44" t="s">
        <v>157</v>
      </c>
      <c r="C303" s="50"/>
      <c r="D303" s="10" t="s">
        <v>29</v>
      </c>
      <c r="E303" s="11"/>
      <c r="F303" s="11" t="s">
        <v>18</v>
      </c>
      <c r="G303" s="13"/>
      <c r="H303" s="45" t="s">
        <v>16</v>
      </c>
      <c r="I303" s="46"/>
      <c r="J303" s="12" t="s">
        <v>3884</v>
      </c>
      <c r="K303" s="13" t="s">
        <v>7103</v>
      </c>
      <c r="L303" s="99" t="str">
        <f t="shared" si="16"/>
        <v>W220F.C</v>
      </c>
      <c r="M303" s="13" t="s">
        <v>17</v>
      </c>
      <c r="N303" s="13"/>
      <c r="O303" s="13"/>
      <c r="P303" s="51"/>
      <c r="Q303" s="45" t="s">
        <v>3672</v>
      </c>
      <c r="R303" s="45" t="s">
        <v>5596</v>
      </c>
      <c r="S303" s="48"/>
      <c r="T303" s="49" t="str">
        <f t="shared" si="15"/>
        <v>[W220F.C]</v>
      </c>
      <c r="U303" s="12" t="str">
        <f t="shared" si="14"/>
        <v/>
      </c>
      <c r="V303" s="49" t="str">
        <f t="shared" si="17"/>
        <v>[W220F.C]</v>
      </c>
    </row>
    <row r="304" spans="1:22" s="49" customFormat="1" ht="14.15" customHeight="1">
      <c r="A304" s="44"/>
      <c r="B304" s="44" t="s">
        <v>157</v>
      </c>
      <c r="C304" s="50"/>
      <c r="D304" s="10" t="s">
        <v>29</v>
      </c>
      <c r="E304" s="11"/>
      <c r="F304" s="11" t="s">
        <v>18</v>
      </c>
      <c r="G304" s="13"/>
      <c r="H304" s="45" t="s">
        <v>16</v>
      </c>
      <c r="I304" s="46"/>
      <c r="J304" s="12" t="s">
        <v>3885</v>
      </c>
      <c r="K304" s="13" t="s">
        <v>7104</v>
      </c>
      <c r="L304" s="99" t="str">
        <f t="shared" si="16"/>
        <v>W220F.D</v>
      </c>
      <c r="M304" s="13" t="s">
        <v>17</v>
      </c>
      <c r="N304" s="13"/>
      <c r="O304" s="13"/>
      <c r="P304" s="51"/>
      <c r="Q304" s="45" t="s">
        <v>3672</v>
      </c>
      <c r="R304" s="45" t="s">
        <v>5596</v>
      </c>
      <c r="S304" s="48"/>
      <c r="T304" s="49" t="str">
        <f t="shared" si="15"/>
        <v>[W220F.D]</v>
      </c>
      <c r="U304" s="12" t="str">
        <f t="shared" ref="U304:U338" si="18">RIGHT(J304,LEN(J304)-7)</f>
        <v/>
      </c>
      <c r="V304" s="49" t="str">
        <f t="shared" si="17"/>
        <v>[W220F.D]</v>
      </c>
    </row>
    <row r="305" spans="1:22" s="49" customFormat="1" ht="14.15" customHeight="1">
      <c r="A305" s="44"/>
      <c r="B305" s="44" t="s">
        <v>157</v>
      </c>
      <c r="C305" s="50"/>
      <c r="D305" s="10" t="s">
        <v>29</v>
      </c>
      <c r="E305" s="11"/>
      <c r="F305" s="11" t="s">
        <v>18</v>
      </c>
      <c r="G305" s="13"/>
      <c r="H305" s="45" t="s">
        <v>16</v>
      </c>
      <c r="I305" s="46"/>
      <c r="J305" s="12" t="s">
        <v>3886</v>
      </c>
      <c r="K305" s="13" t="s">
        <v>7105</v>
      </c>
      <c r="L305" s="99" t="str">
        <f t="shared" si="16"/>
        <v>W220F.E</v>
      </c>
      <c r="M305" s="13" t="s">
        <v>17</v>
      </c>
      <c r="N305" s="13"/>
      <c r="O305" s="13"/>
      <c r="P305" s="51"/>
      <c r="Q305" s="45" t="s">
        <v>3672</v>
      </c>
      <c r="R305" s="45" t="s">
        <v>5596</v>
      </c>
      <c r="S305" s="48"/>
      <c r="T305" s="49" t="str">
        <f t="shared" si="15"/>
        <v>[W220F.E]</v>
      </c>
      <c r="U305" s="12" t="str">
        <f t="shared" si="18"/>
        <v/>
      </c>
      <c r="V305" s="49" t="str">
        <f t="shared" si="17"/>
        <v>[W220F.E]</v>
      </c>
    </row>
    <row r="306" spans="1:22" s="49" customFormat="1" ht="14.15" customHeight="1">
      <c r="A306" s="44"/>
      <c r="B306" s="44" t="s">
        <v>157</v>
      </c>
      <c r="C306" s="50"/>
      <c r="D306" s="10" t="s">
        <v>29</v>
      </c>
      <c r="E306" s="11"/>
      <c r="F306" s="11" t="s">
        <v>18</v>
      </c>
      <c r="G306" s="13"/>
      <c r="H306" s="45" t="s">
        <v>16</v>
      </c>
      <c r="I306" s="46"/>
      <c r="J306" s="12" t="s">
        <v>3887</v>
      </c>
      <c r="K306" s="13" t="s">
        <v>7106</v>
      </c>
      <c r="L306" s="99" t="str">
        <f t="shared" si="16"/>
        <v>W220F.F</v>
      </c>
      <c r="M306" s="13" t="s">
        <v>17</v>
      </c>
      <c r="N306" s="13"/>
      <c r="O306" s="13"/>
      <c r="P306" s="47"/>
      <c r="Q306" s="45" t="s">
        <v>3672</v>
      </c>
      <c r="R306" s="45" t="s">
        <v>5596</v>
      </c>
      <c r="S306" s="48"/>
      <c r="T306" s="49" t="str">
        <f t="shared" si="15"/>
        <v>[W220F.F]</v>
      </c>
      <c r="U306" s="12" t="str">
        <f t="shared" si="18"/>
        <v/>
      </c>
      <c r="V306" s="49" t="str">
        <f t="shared" si="17"/>
        <v>[W220F.F]</v>
      </c>
    </row>
    <row r="307" spans="1:22" s="49" customFormat="1" ht="14.15" customHeight="1">
      <c r="A307" s="44"/>
      <c r="B307" s="44" t="s">
        <v>157</v>
      </c>
      <c r="C307" s="50"/>
      <c r="D307" s="10" t="s">
        <v>29</v>
      </c>
      <c r="E307" s="11"/>
      <c r="F307" s="11" t="s">
        <v>18</v>
      </c>
      <c r="G307" s="13"/>
      <c r="H307" s="45" t="s">
        <v>16</v>
      </c>
      <c r="I307" s="46"/>
      <c r="J307" s="12" t="s">
        <v>3888</v>
      </c>
      <c r="K307" s="13" t="s">
        <v>7107</v>
      </c>
      <c r="L307" s="99" t="str">
        <f t="shared" si="16"/>
        <v>W2210.0</v>
      </c>
      <c r="M307" s="13" t="s">
        <v>17</v>
      </c>
      <c r="N307" s="13"/>
      <c r="O307" s="13"/>
      <c r="P307" s="47"/>
      <c r="Q307" s="45" t="s">
        <v>3672</v>
      </c>
      <c r="R307" s="45" t="s">
        <v>5596</v>
      </c>
      <c r="S307" s="48"/>
      <c r="T307" s="49" t="str">
        <f t="shared" ref="T307:T370" si="19">"["&amp;L307&amp;"]"</f>
        <v>[W2210.0]</v>
      </c>
      <c r="U307" s="12" t="str">
        <f t="shared" si="18"/>
        <v/>
      </c>
      <c r="V307" s="49" t="str">
        <f t="shared" si="17"/>
        <v>[W2210.0]</v>
      </c>
    </row>
    <row r="308" spans="1:22" s="49" customFormat="1" ht="14.15" customHeight="1">
      <c r="A308" s="44"/>
      <c r="B308" s="44" t="s">
        <v>157</v>
      </c>
      <c r="C308" s="50"/>
      <c r="D308" s="10" t="s">
        <v>29</v>
      </c>
      <c r="E308" s="11"/>
      <c r="F308" s="11" t="s">
        <v>18</v>
      </c>
      <c r="G308" s="13"/>
      <c r="H308" s="45" t="s">
        <v>16</v>
      </c>
      <c r="I308" s="47"/>
      <c r="J308" s="12" t="s">
        <v>3889</v>
      </c>
      <c r="K308" s="13" t="s">
        <v>7108</v>
      </c>
      <c r="L308" s="99" t="str">
        <f t="shared" ref="L308:L371" si="20">"W"&amp;DEC2HEX(8704 + INT((ROW()-51)/16)) &amp; "." &amp; IF(MOD(ROW()-51,16)&lt;10,MOD(ROW()-51,16),CHAR(MOD(ROW()-51,16)+55))</f>
        <v>W2210.1</v>
      </c>
      <c r="M308" s="13" t="s">
        <v>17</v>
      </c>
      <c r="N308" s="13"/>
      <c r="O308" s="13"/>
      <c r="P308" s="47"/>
      <c r="Q308" s="45" t="s">
        <v>3672</v>
      </c>
      <c r="R308" s="45" t="s">
        <v>5596</v>
      </c>
      <c r="S308" s="48"/>
      <c r="T308" s="49" t="str">
        <f t="shared" si="19"/>
        <v>[W2210.1]</v>
      </c>
      <c r="U308" s="12" t="str">
        <f t="shared" si="18"/>
        <v/>
      </c>
      <c r="V308" s="49" t="str">
        <f t="shared" ref="V308:V371" si="21">T308&amp;U308</f>
        <v>[W2210.1]</v>
      </c>
    </row>
    <row r="309" spans="1:22" s="49" customFormat="1" ht="14.15" customHeight="1">
      <c r="A309" s="44"/>
      <c r="B309" s="44" t="s">
        <v>157</v>
      </c>
      <c r="C309" s="50"/>
      <c r="D309" s="10" t="s">
        <v>29</v>
      </c>
      <c r="E309" s="11"/>
      <c r="F309" s="11" t="s">
        <v>18</v>
      </c>
      <c r="G309" s="13"/>
      <c r="H309" s="45" t="s">
        <v>16</v>
      </c>
      <c r="I309" s="47"/>
      <c r="J309" s="12" t="s">
        <v>3890</v>
      </c>
      <c r="K309" s="13" t="s">
        <v>7109</v>
      </c>
      <c r="L309" s="99" t="str">
        <f t="shared" si="20"/>
        <v>W2210.2</v>
      </c>
      <c r="M309" s="13" t="s">
        <v>17</v>
      </c>
      <c r="N309" s="13"/>
      <c r="O309" s="13"/>
      <c r="P309" s="47"/>
      <c r="Q309" s="45" t="s">
        <v>3672</v>
      </c>
      <c r="R309" s="45" t="s">
        <v>5596</v>
      </c>
      <c r="S309" s="48"/>
      <c r="T309" s="49" t="str">
        <f t="shared" si="19"/>
        <v>[W2210.2]</v>
      </c>
      <c r="U309" s="12" t="str">
        <f t="shared" si="18"/>
        <v/>
      </c>
      <c r="V309" s="49" t="str">
        <f t="shared" si="21"/>
        <v>[W2210.2]</v>
      </c>
    </row>
    <row r="310" spans="1:22" s="49" customFormat="1" ht="14.15" customHeight="1">
      <c r="A310" s="43" t="s">
        <v>5597</v>
      </c>
      <c r="B310" s="44" t="s">
        <v>157</v>
      </c>
      <c r="C310" s="50"/>
      <c r="D310" s="10" t="s">
        <v>29</v>
      </c>
      <c r="E310" s="11"/>
      <c r="F310" s="11" t="s">
        <v>18</v>
      </c>
      <c r="G310" s="13"/>
      <c r="H310" s="45" t="s">
        <v>16</v>
      </c>
      <c r="I310" s="47"/>
      <c r="J310" s="12" t="s">
        <v>4864</v>
      </c>
      <c r="K310" s="13" t="s">
        <v>7110</v>
      </c>
      <c r="L310" s="99" t="str">
        <f t="shared" si="20"/>
        <v>W2210.3</v>
      </c>
      <c r="M310" s="13" t="s">
        <v>17</v>
      </c>
      <c r="N310" s="13"/>
      <c r="O310" s="13"/>
      <c r="P310" s="47"/>
      <c r="Q310" s="45" t="s">
        <v>3672</v>
      </c>
      <c r="R310" s="45" t="s">
        <v>5596</v>
      </c>
      <c r="S310" s="48"/>
      <c r="T310" s="49" t="str">
        <f t="shared" si="19"/>
        <v>[W2210.3]</v>
      </c>
      <c r="U310" s="12" t="str">
        <f t="shared" si="18"/>
        <v xml:space="preserve"> 공급셔틀#2 Y축(SD217) 운전중에 Ready가 Off 되었습니다.</v>
      </c>
      <c r="V310" s="49" t="str">
        <f t="shared" si="21"/>
        <v>[W2210.3] 공급셔틀#2 Y축(SD217) 운전중에 Ready가 Off 되었습니다.</v>
      </c>
    </row>
    <row r="311" spans="1:22" s="49" customFormat="1" ht="14.15" customHeight="1">
      <c r="A311" s="43" t="s">
        <v>5597</v>
      </c>
      <c r="B311" s="44" t="s">
        <v>157</v>
      </c>
      <c r="C311" s="50"/>
      <c r="D311" s="10" t="s">
        <v>29</v>
      </c>
      <c r="E311" s="11"/>
      <c r="F311" s="11" t="s">
        <v>18</v>
      </c>
      <c r="G311" s="13"/>
      <c r="H311" s="45" t="s">
        <v>16</v>
      </c>
      <c r="I311" s="47"/>
      <c r="J311" s="12" t="s">
        <v>4865</v>
      </c>
      <c r="K311" s="13" t="s">
        <v>7111</v>
      </c>
      <c r="L311" s="99" t="str">
        <f t="shared" si="20"/>
        <v>W2210.4</v>
      </c>
      <c r="M311" s="13" t="s">
        <v>17</v>
      </c>
      <c r="N311" s="13"/>
      <c r="O311" s="13"/>
      <c r="P311" s="47"/>
      <c r="Q311" s="45" t="s">
        <v>3672</v>
      </c>
      <c r="R311" s="45" t="s">
        <v>5596</v>
      </c>
      <c r="S311" s="48"/>
      <c r="T311" s="49" t="str">
        <f t="shared" si="19"/>
        <v>[W2210.4]</v>
      </c>
      <c r="U311" s="12" t="str">
        <f t="shared" si="18"/>
        <v xml:space="preserve"> 공급셔틀#2 Y축(SD217) FLS가 감지되었습니다.</v>
      </c>
      <c r="V311" s="49" t="str">
        <f t="shared" si="21"/>
        <v>[W2210.4] 공급셔틀#2 Y축(SD217) FLS가 감지되었습니다.</v>
      </c>
    </row>
    <row r="312" spans="1:22" s="49" customFormat="1" ht="14.15" customHeight="1">
      <c r="A312" s="43" t="s">
        <v>5597</v>
      </c>
      <c r="B312" s="44" t="s">
        <v>157</v>
      </c>
      <c r="C312" s="50"/>
      <c r="D312" s="10" t="s">
        <v>29</v>
      </c>
      <c r="E312" s="11"/>
      <c r="F312" s="11" t="s">
        <v>18</v>
      </c>
      <c r="G312" s="13"/>
      <c r="H312" s="45" t="s">
        <v>16</v>
      </c>
      <c r="I312" s="47"/>
      <c r="J312" s="12" t="s">
        <v>4866</v>
      </c>
      <c r="K312" s="13" t="s">
        <v>7112</v>
      </c>
      <c r="L312" s="99" t="str">
        <f t="shared" si="20"/>
        <v>W2210.5</v>
      </c>
      <c r="M312" s="13" t="s">
        <v>17</v>
      </c>
      <c r="N312" s="13"/>
      <c r="O312" s="13"/>
      <c r="P312" s="47"/>
      <c r="Q312" s="45" t="s">
        <v>3672</v>
      </c>
      <c r="R312" s="45" t="s">
        <v>5596</v>
      </c>
      <c r="S312" s="48"/>
      <c r="T312" s="49" t="str">
        <f t="shared" si="19"/>
        <v>[W2210.5]</v>
      </c>
      <c r="U312" s="12" t="str">
        <f t="shared" si="18"/>
        <v xml:space="preserve"> 공급셔틀#2 Y축(SD217) RLS가 감지되었습니다.</v>
      </c>
      <c r="V312" s="49" t="str">
        <f t="shared" si="21"/>
        <v>[W2210.5] 공급셔틀#2 Y축(SD217) RLS가 감지되었습니다.</v>
      </c>
    </row>
    <row r="313" spans="1:22" s="49" customFormat="1" ht="14.15" customHeight="1">
      <c r="A313" s="43" t="s">
        <v>5597</v>
      </c>
      <c r="B313" s="44" t="s">
        <v>157</v>
      </c>
      <c r="C313" s="50"/>
      <c r="D313" s="10" t="s">
        <v>29</v>
      </c>
      <c r="E313" s="11"/>
      <c r="F313" s="11" t="s">
        <v>18</v>
      </c>
      <c r="G313" s="13"/>
      <c r="H313" s="45" t="s">
        <v>16</v>
      </c>
      <c r="I313" s="47"/>
      <c r="J313" s="12" t="s">
        <v>4867</v>
      </c>
      <c r="K313" s="13" t="s">
        <v>7113</v>
      </c>
      <c r="L313" s="99" t="str">
        <f t="shared" si="20"/>
        <v>W2210.6</v>
      </c>
      <c r="M313" s="13" t="s">
        <v>17</v>
      </c>
      <c r="N313" s="13"/>
      <c r="O313" s="13"/>
      <c r="P313" s="47"/>
      <c r="Q313" s="45" t="s">
        <v>3672</v>
      </c>
      <c r="R313" s="45" t="s">
        <v>5596</v>
      </c>
      <c r="S313" s="48"/>
      <c r="T313" s="49" t="str">
        <f t="shared" si="19"/>
        <v>[W2210.6]</v>
      </c>
      <c r="U313" s="12" t="str">
        <f t="shared" si="18"/>
        <v xml:space="preserve"> 공급셔틀#2 Y축(SD217) Stop 명령이 On된 상태에서 기동을 시도했습니다.</v>
      </c>
      <c r="V313" s="49" t="str">
        <f t="shared" si="21"/>
        <v>[W2210.6] 공급셔틀#2 Y축(SD217) Stop 명령이 On된 상태에서 기동을 시도했습니다.</v>
      </c>
    </row>
    <row r="314" spans="1:22" s="49" customFormat="1" ht="14.15" customHeight="1">
      <c r="A314" s="43" t="s">
        <v>5597</v>
      </c>
      <c r="B314" s="44" t="s">
        <v>157</v>
      </c>
      <c r="C314" s="50"/>
      <c r="D314" s="10" t="s">
        <v>29</v>
      </c>
      <c r="E314" s="11"/>
      <c r="F314" s="11" t="s">
        <v>18</v>
      </c>
      <c r="G314" s="13"/>
      <c r="H314" s="45" t="s">
        <v>16</v>
      </c>
      <c r="I314" s="47"/>
      <c r="J314" s="12" t="s">
        <v>4868</v>
      </c>
      <c r="K314" s="13" t="s">
        <v>7114</v>
      </c>
      <c r="L314" s="99" t="str">
        <f t="shared" si="20"/>
        <v>W2210.7</v>
      </c>
      <c r="M314" s="13" t="s">
        <v>17</v>
      </c>
      <c r="N314" s="13"/>
      <c r="O314" s="13"/>
      <c r="P314" s="47"/>
      <c r="Q314" s="45" t="s">
        <v>3672</v>
      </c>
      <c r="R314" s="45" t="s">
        <v>5596</v>
      </c>
      <c r="S314" s="48"/>
      <c r="T314" s="49" t="str">
        <f t="shared" si="19"/>
        <v>[W2210.7]</v>
      </c>
      <c r="U314" s="12" t="str">
        <f t="shared" si="18"/>
        <v xml:space="preserve"> 공급셔틀#2 Y축(SD217) 가동 전원이 Off 되었습니다.</v>
      </c>
      <c r="V314" s="49" t="str">
        <f t="shared" si="21"/>
        <v>[W2210.7] 공급셔틀#2 Y축(SD217) 가동 전원이 Off 되었습니다.</v>
      </c>
    </row>
    <row r="315" spans="1:22" s="49" customFormat="1" ht="14.15" customHeight="1">
      <c r="A315" s="43" t="s">
        <v>5597</v>
      </c>
      <c r="B315" s="44" t="s">
        <v>157</v>
      </c>
      <c r="C315" s="50"/>
      <c r="D315" s="10" t="s">
        <v>29</v>
      </c>
      <c r="E315" s="11"/>
      <c r="F315" s="11" t="s">
        <v>18</v>
      </c>
      <c r="G315" s="13"/>
      <c r="H315" s="45" t="s">
        <v>16</v>
      </c>
      <c r="I315" s="47"/>
      <c r="J315" s="12" t="s">
        <v>4869</v>
      </c>
      <c r="K315" s="13" t="s">
        <v>7115</v>
      </c>
      <c r="L315" s="99" t="str">
        <f t="shared" si="20"/>
        <v>W2210.8</v>
      </c>
      <c r="M315" s="13" t="s">
        <v>17</v>
      </c>
      <c r="N315" s="13"/>
      <c r="O315" s="13"/>
      <c r="P315" s="47"/>
      <c r="Q315" s="45" t="s">
        <v>3672</v>
      </c>
      <c r="R315" s="45" t="s">
        <v>5596</v>
      </c>
      <c r="S315" s="48"/>
      <c r="T315" s="49" t="str">
        <f t="shared" si="19"/>
        <v>[W2210.8]</v>
      </c>
      <c r="U315" s="12" t="str">
        <f t="shared" si="18"/>
        <v xml:space="preserve"> 공급셔틀#2 Y축(SD217) 엔코더 이상이 검출되었습니다.</v>
      </c>
      <c r="V315" s="49" t="str">
        <f t="shared" si="21"/>
        <v>[W2210.8] 공급셔틀#2 Y축(SD217) 엔코더 이상이 검출되었습니다.</v>
      </c>
    </row>
    <row r="316" spans="1:22" s="49" customFormat="1" ht="14.15" customHeight="1">
      <c r="A316" s="43" t="s">
        <v>5597</v>
      </c>
      <c r="B316" s="44" t="s">
        <v>157</v>
      </c>
      <c r="C316" s="50"/>
      <c r="D316" s="10" t="s">
        <v>29</v>
      </c>
      <c r="E316" s="11"/>
      <c r="F316" s="11" t="s">
        <v>18</v>
      </c>
      <c r="G316" s="13"/>
      <c r="H316" s="45" t="s">
        <v>16</v>
      </c>
      <c r="I316" s="47"/>
      <c r="J316" s="12" t="s">
        <v>4870</v>
      </c>
      <c r="K316" s="13" t="s">
        <v>7116</v>
      </c>
      <c r="L316" s="99" t="str">
        <f t="shared" si="20"/>
        <v>W2210.9</v>
      </c>
      <c r="M316" s="13" t="s">
        <v>17</v>
      </c>
      <c r="N316" s="13"/>
      <c r="O316" s="13"/>
      <c r="P316" s="47"/>
      <c r="Q316" s="45" t="s">
        <v>3672</v>
      </c>
      <c r="R316" s="45" t="s">
        <v>5596</v>
      </c>
      <c r="S316" s="48"/>
      <c r="T316" s="49" t="str">
        <f t="shared" si="19"/>
        <v>[W2210.9]</v>
      </c>
      <c r="U316" s="12" t="str">
        <f t="shared" si="18"/>
        <v xml:space="preserve"> 공급셔틀#2 Y축(SD217) 과전류가 검출되었습니다.</v>
      </c>
      <c r="V316" s="49" t="str">
        <f t="shared" si="21"/>
        <v>[W2210.9] 공급셔틀#2 Y축(SD217) 과전류가 검출되었습니다.</v>
      </c>
    </row>
    <row r="317" spans="1:22" s="49" customFormat="1" ht="14.15" customHeight="1">
      <c r="A317" s="43" t="s">
        <v>5597</v>
      </c>
      <c r="B317" s="44" t="s">
        <v>157</v>
      </c>
      <c r="C317" s="50"/>
      <c r="D317" s="10" t="s">
        <v>29</v>
      </c>
      <c r="E317" s="11"/>
      <c r="F317" s="11" t="s">
        <v>18</v>
      </c>
      <c r="G317" s="13"/>
      <c r="H317" s="45" t="s">
        <v>16</v>
      </c>
      <c r="I317" s="47"/>
      <c r="J317" s="12" t="s">
        <v>4871</v>
      </c>
      <c r="K317" s="13" t="s">
        <v>7117</v>
      </c>
      <c r="L317" s="99" t="str">
        <f t="shared" si="20"/>
        <v>W2210.A</v>
      </c>
      <c r="M317" s="13" t="s">
        <v>17</v>
      </c>
      <c r="N317" s="13"/>
      <c r="O317" s="13"/>
      <c r="P317" s="47"/>
      <c r="Q317" s="45" t="s">
        <v>3672</v>
      </c>
      <c r="R317" s="45" t="s">
        <v>5596</v>
      </c>
      <c r="S317" s="48"/>
      <c r="T317" s="49" t="str">
        <f t="shared" si="19"/>
        <v>[W2210.A]</v>
      </c>
      <c r="U317" s="12" t="str">
        <f t="shared" si="18"/>
        <v xml:space="preserve"> 공급셔틀#2 Y축(SD217) 과부하가 검출되었습니다.</v>
      </c>
      <c r="V317" s="49" t="str">
        <f t="shared" si="21"/>
        <v>[W2210.A] 공급셔틀#2 Y축(SD217) 과부하가 검출되었습니다.</v>
      </c>
    </row>
    <row r="318" spans="1:22" s="49" customFormat="1" ht="14.15" customHeight="1">
      <c r="A318" s="43" t="s">
        <v>5597</v>
      </c>
      <c r="B318" s="44" t="s">
        <v>157</v>
      </c>
      <c r="C318" s="50"/>
      <c r="D318" s="10" t="s">
        <v>29</v>
      </c>
      <c r="E318" s="11"/>
      <c r="F318" s="11" t="s">
        <v>18</v>
      </c>
      <c r="G318" s="13"/>
      <c r="H318" s="45" t="s">
        <v>16</v>
      </c>
      <c r="I318" s="47"/>
      <c r="J318" s="12" t="s">
        <v>4872</v>
      </c>
      <c r="K318" s="13" t="s">
        <v>7118</v>
      </c>
      <c r="L318" s="99" t="str">
        <f t="shared" si="20"/>
        <v>W2210.B</v>
      </c>
      <c r="M318" s="13" t="s">
        <v>17</v>
      </c>
      <c r="N318" s="13"/>
      <c r="O318" s="13"/>
      <c r="P318" s="47"/>
      <c r="Q318" s="45" t="s">
        <v>3672</v>
      </c>
      <c r="R318" s="45" t="s">
        <v>5596</v>
      </c>
      <c r="S318" s="48"/>
      <c r="T318" s="49" t="str">
        <f t="shared" si="19"/>
        <v>[W2210.B]</v>
      </c>
      <c r="U318" s="12" t="str">
        <f t="shared" si="18"/>
        <v xml:space="preserve"> 공급셔틀#2 Y축(SD217)  </v>
      </c>
      <c r="V318" s="49" t="str">
        <f t="shared" si="21"/>
        <v xml:space="preserve">[W2210.B] 공급셔틀#2 Y축(SD217)  </v>
      </c>
    </row>
    <row r="319" spans="1:22" s="49" customFormat="1" ht="14.15" customHeight="1">
      <c r="A319" s="43" t="s">
        <v>5597</v>
      </c>
      <c r="B319" s="44" t="s">
        <v>157</v>
      </c>
      <c r="C319" s="50"/>
      <c r="D319" s="10" t="s">
        <v>29</v>
      </c>
      <c r="E319" s="11"/>
      <c r="F319" s="11" t="s">
        <v>18</v>
      </c>
      <c r="G319" s="13"/>
      <c r="H319" s="45" t="s">
        <v>16</v>
      </c>
      <c r="I319" s="47"/>
      <c r="J319" s="12" t="s">
        <v>4873</v>
      </c>
      <c r="K319" s="13" t="s">
        <v>7119</v>
      </c>
      <c r="L319" s="99" t="str">
        <f t="shared" si="20"/>
        <v>W2210.C</v>
      </c>
      <c r="M319" s="13" t="s">
        <v>17</v>
      </c>
      <c r="N319" s="13"/>
      <c r="O319" s="13"/>
      <c r="P319" s="47"/>
      <c r="Q319" s="45" t="s">
        <v>3672</v>
      </c>
      <c r="R319" s="45" t="s">
        <v>5596</v>
      </c>
      <c r="S319" s="48"/>
      <c r="T319" s="49" t="str">
        <f t="shared" si="19"/>
        <v>[W2210.C]</v>
      </c>
      <c r="U319" s="12" t="str">
        <f t="shared" si="18"/>
        <v xml:space="preserve"> 공급셔틀#2 Y축(SD217) 에러가 발생했습니다.</v>
      </c>
      <c r="V319" s="49" t="str">
        <f t="shared" si="21"/>
        <v>[W2210.C] 공급셔틀#2 Y축(SD217) 에러가 발생했습니다.</v>
      </c>
    </row>
    <row r="320" spans="1:22" s="49" customFormat="1" ht="14.15" customHeight="1">
      <c r="A320" s="43" t="s">
        <v>5598</v>
      </c>
      <c r="B320" s="44" t="s">
        <v>157</v>
      </c>
      <c r="C320" s="50"/>
      <c r="D320" s="10" t="s">
        <v>29</v>
      </c>
      <c r="E320" s="11"/>
      <c r="F320" s="11" t="s">
        <v>18</v>
      </c>
      <c r="G320" s="13"/>
      <c r="H320" s="45" t="s">
        <v>16</v>
      </c>
      <c r="I320" s="47"/>
      <c r="J320" s="12" t="s">
        <v>4874</v>
      </c>
      <c r="K320" s="13" t="s">
        <v>7120</v>
      </c>
      <c r="L320" s="99" t="str">
        <f t="shared" si="20"/>
        <v>W2210.D</v>
      </c>
      <c r="M320" s="13" t="s">
        <v>17</v>
      </c>
      <c r="N320" s="13"/>
      <c r="O320" s="13"/>
      <c r="P320" s="47"/>
      <c r="Q320" s="45" t="s">
        <v>3672</v>
      </c>
      <c r="R320" s="45" t="s">
        <v>5596</v>
      </c>
      <c r="S320" s="48"/>
      <c r="T320" s="49" t="str">
        <f t="shared" si="19"/>
        <v>[W2210.D]</v>
      </c>
      <c r="U320" s="12" t="str">
        <f t="shared" si="18"/>
        <v xml:space="preserve"> 터브이송#4-1 X축(SD218) 운전중에 Ready가 Off 되었습니다.</v>
      </c>
      <c r="V320" s="49" t="str">
        <f t="shared" si="21"/>
        <v>[W2210.D] 터브이송#4-1 X축(SD218) 운전중에 Ready가 Off 되었습니다.</v>
      </c>
    </row>
    <row r="321" spans="1:22" s="49" customFormat="1" ht="14.15" customHeight="1">
      <c r="A321" s="43" t="s">
        <v>5598</v>
      </c>
      <c r="B321" s="44" t="s">
        <v>157</v>
      </c>
      <c r="C321" s="50"/>
      <c r="D321" s="10" t="s">
        <v>29</v>
      </c>
      <c r="E321" s="11"/>
      <c r="F321" s="11" t="s">
        <v>18</v>
      </c>
      <c r="G321" s="13"/>
      <c r="H321" s="45" t="s">
        <v>16</v>
      </c>
      <c r="I321" s="47"/>
      <c r="J321" s="12" t="s">
        <v>4875</v>
      </c>
      <c r="K321" s="13" t="s">
        <v>7121</v>
      </c>
      <c r="L321" s="99" t="str">
        <f t="shared" si="20"/>
        <v>W2210.E</v>
      </c>
      <c r="M321" s="13" t="s">
        <v>17</v>
      </c>
      <c r="N321" s="13"/>
      <c r="O321" s="13"/>
      <c r="P321" s="47"/>
      <c r="Q321" s="45" t="s">
        <v>3672</v>
      </c>
      <c r="R321" s="45" t="s">
        <v>5596</v>
      </c>
      <c r="S321" s="48"/>
      <c r="T321" s="49" t="str">
        <f t="shared" si="19"/>
        <v>[W2210.E]</v>
      </c>
      <c r="U321" s="12" t="str">
        <f t="shared" si="18"/>
        <v xml:space="preserve"> 터브이송#4-1 X축(SD218) FLS가 감지되었습니다.</v>
      </c>
      <c r="V321" s="49" t="str">
        <f t="shared" si="21"/>
        <v>[W2210.E] 터브이송#4-1 X축(SD218) FLS가 감지되었습니다.</v>
      </c>
    </row>
    <row r="322" spans="1:22" s="49" customFormat="1" ht="14.15" customHeight="1">
      <c r="A322" s="43" t="s">
        <v>5598</v>
      </c>
      <c r="B322" s="44" t="s">
        <v>157</v>
      </c>
      <c r="C322" s="50"/>
      <c r="D322" s="10" t="s">
        <v>29</v>
      </c>
      <c r="E322" s="11"/>
      <c r="F322" s="11" t="s">
        <v>18</v>
      </c>
      <c r="G322" s="13"/>
      <c r="H322" s="45" t="s">
        <v>16</v>
      </c>
      <c r="I322" s="47"/>
      <c r="J322" s="12" t="s">
        <v>4876</v>
      </c>
      <c r="K322" s="13" t="s">
        <v>7122</v>
      </c>
      <c r="L322" s="99" t="str">
        <f t="shared" si="20"/>
        <v>W2210.F</v>
      </c>
      <c r="M322" s="13" t="s">
        <v>17</v>
      </c>
      <c r="N322" s="13"/>
      <c r="O322" s="13"/>
      <c r="P322" s="47"/>
      <c r="Q322" s="45" t="s">
        <v>3672</v>
      </c>
      <c r="R322" s="45" t="s">
        <v>5596</v>
      </c>
      <c r="S322" s="48"/>
      <c r="T322" s="49" t="str">
        <f t="shared" si="19"/>
        <v>[W2210.F]</v>
      </c>
      <c r="U322" s="12" t="str">
        <f t="shared" si="18"/>
        <v xml:space="preserve"> 터브이송#4-1 X축(SD218) RLS가 감지되었습니다.</v>
      </c>
      <c r="V322" s="49" t="str">
        <f t="shared" si="21"/>
        <v>[W2210.F] 터브이송#4-1 X축(SD218) RLS가 감지되었습니다.</v>
      </c>
    </row>
    <row r="323" spans="1:22" s="49" customFormat="1" ht="14.15" customHeight="1">
      <c r="A323" s="43" t="s">
        <v>5598</v>
      </c>
      <c r="B323" s="44" t="s">
        <v>157</v>
      </c>
      <c r="C323" s="50"/>
      <c r="D323" s="10" t="s">
        <v>29</v>
      </c>
      <c r="E323" s="11"/>
      <c r="F323" s="11" t="s">
        <v>18</v>
      </c>
      <c r="G323" s="13"/>
      <c r="H323" s="45" t="s">
        <v>16</v>
      </c>
      <c r="I323" s="47"/>
      <c r="J323" s="12" t="s">
        <v>4877</v>
      </c>
      <c r="K323" s="13" t="s">
        <v>7123</v>
      </c>
      <c r="L323" s="99" t="str">
        <f t="shared" si="20"/>
        <v>W2211.0</v>
      </c>
      <c r="M323" s="13" t="s">
        <v>17</v>
      </c>
      <c r="N323" s="13"/>
      <c r="O323" s="13"/>
      <c r="P323" s="47"/>
      <c r="Q323" s="45" t="s">
        <v>3672</v>
      </c>
      <c r="R323" s="45" t="s">
        <v>5596</v>
      </c>
      <c r="S323" s="48"/>
      <c r="T323" s="49" t="str">
        <f t="shared" si="19"/>
        <v>[W2211.0]</v>
      </c>
      <c r="U323" s="12" t="str">
        <f t="shared" si="18"/>
        <v xml:space="preserve"> 터브이송#4-1 X축(SD218) Stop 명령이 On된 상태에서 기동을 시도했습니다.</v>
      </c>
      <c r="V323" s="49" t="str">
        <f t="shared" si="21"/>
        <v>[W2211.0] 터브이송#4-1 X축(SD218) Stop 명령이 On된 상태에서 기동을 시도했습니다.</v>
      </c>
    </row>
    <row r="324" spans="1:22" s="49" customFormat="1" ht="14.15" customHeight="1">
      <c r="A324" s="43" t="s">
        <v>5598</v>
      </c>
      <c r="B324" s="44" t="s">
        <v>157</v>
      </c>
      <c r="C324" s="50"/>
      <c r="D324" s="10" t="s">
        <v>29</v>
      </c>
      <c r="E324" s="11"/>
      <c r="F324" s="11" t="s">
        <v>18</v>
      </c>
      <c r="G324" s="13"/>
      <c r="H324" s="45" t="s">
        <v>16</v>
      </c>
      <c r="I324" s="46"/>
      <c r="J324" s="14" t="s">
        <v>4878</v>
      </c>
      <c r="K324" s="13" t="s">
        <v>7124</v>
      </c>
      <c r="L324" s="99" t="str">
        <f t="shared" si="20"/>
        <v>W2211.1</v>
      </c>
      <c r="M324" s="13" t="s">
        <v>17</v>
      </c>
      <c r="N324" s="13"/>
      <c r="O324" s="13"/>
      <c r="P324" s="47"/>
      <c r="Q324" s="45" t="s">
        <v>3672</v>
      </c>
      <c r="R324" s="45" t="s">
        <v>5596</v>
      </c>
      <c r="S324" s="48"/>
      <c r="T324" s="49" t="str">
        <f t="shared" si="19"/>
        <v>[W2211.1]</v>
      </c>
      <c r="U324" s="12" t="str">
        <f t="shared" si="18"/>
        <v xml:space="preserve"> 터브이송#4-1 X축(SD218) 가동 전원이 Off 되었습니다.</v>
      </c>
      <c r="V324" s="49" t="str">
        <f t="shared" si="21"/>
        <v>[W2211.1] 터브이송#4-1 X축(SD218) 가동 전원이 Off 되었습니다.</v>
      </c>
    </row>
    <row r="325" spans="1:22" s="49" customFormat="1" ht="14.15" customHeight="1">
      <c r="A325" s="43" t="s">
        <v>5598</v>
      </c>
      <c r="B325" s="44" t="s">
        <v>157</v>
      </c>
      <c r="C325" s="50"/>
      <c r="D325" s="10" t="s">
        <v>29</v>
      </c>
      <c r="E325" s="11"/>
      <c r="F325" s="11" t="s">
        <v>18</v>
      </c>
      <c r="G325" s="13"/>
      <c r="H325" s="45" t="s">
        <v>16</v>
      </c>
      <c r="I325" s="46"/>
      <c r="J325" s="14" t="s">
        <v>4879</v>
      </c>
      <c r="K325" s="13" t="s">
        <v>7125</v>
      </c>
      <c r="L325" s="99" t="str">
        <f t="shared" si="20"/>
        <v>W2211.2</v>
      </c>
      <c r="M325" s="13" t="s">
        <v>17</v>
      </c>
      <c r="N325" s="13"/>
      <c r="O325" s="13"/>
      <c r="P325" s="47"/>
      <c r="Q325" s="45" t="s">
        <v>3672</v>
      </c>
      <c r="R325" s="45" t="s">
        <v>5596</v>
      </c>
      <c r="S325" s="48"/>
      <c r="T325" s="49" t="str">
        <f t="shared" si="19"/>
        <v>[W2211.2]</v>
      </c>
      <c r="U325" s="12" t="str">
        <f t="shared" si="18"/>
        <v xml:space="preserve"> 터브이송#4-1 X축(SD218) 엔코더 이상이 검출되었습니다.</v>
      </c>
      <c r="V325" s="49" t="str">
        <f t="shared" si="21"/>
        <v>[W2211.2] 터브이송#4-1 X축(SD218) 엔코더 이상이 검출되었습니다.</v>
      </c>
    </row>
    <row r="326" spans="1:22" s="49" customFormat="1" ht="14.15" customHeight="1">
      <c r="A326" s="43" t="s">
        <v>5598</v>
      </c>
      <c r="B326" s="44" t="s">
        <v>157</v>
      </c>
      <c r="C326" s="50"/>
      <c r="D326" s="10" t="s">
        <v>29</v>
      </c>
      <c r="E326" s="11"/>
      <c r="F326" s="11" t="s">
        <v>18</v>
      </c>
      <c r="G326" s="13"/>
      <c r="H326" s="45" t="s">
        <v>16</v>
      </c>
      <c r="I326" s="46"/>
      <c r="J326" s="14" t="s">
        <v>4880</v>
      </c>
      <c r="K326" s="13" t="s">
        <v>7126</v>
      </c>
      <c r="L326" s="99" t="str">
        <f t="shared" si="20"/>
        <v>W2211.3</v>
      </c>
      <c r="M326" s="13" t="s">
        <v>17</v>
      </c>
      <c r="N326" s="13"/>
      <c r="O326" s="13"/>
      <c r="P326" s="47"/>
      <c r="Q326" s="45" t="s">
        <v>3672</v>
      </c>
      <c r="R326" s="45" t="s">
        <v>5596</v>
      </c>
      <c r="S326" s="48"/>
      <c r="T326" s="49" t="str">
        <f t="shared" si="19"/>
        <v>[W2211.3]</v>
      </c>
      <c r="U326" s="12" t="str">
        <f t="shared" si="18"/>
        <v xml:space="preserve"> 터브이송#4-1 X축(SD218) 과전류가 검출되었습니다.</v>
      </c>
      <c r="V326" s="49" t="str">
        <f t="shared" si="21"/>
        <v>[W2211.3] 터브이송#4-1 X축(SD218) 과전류가 검출되었습니다.</v>
      </c>
    </row>
    <row r="327" spans="1:22" s="49" customFormat="1" ht="14.15" customHeight="1">
      <c r="A327" s="43" t="s">
        <v>5598</v>
      </c>
      <c r="B327" s="44" t="s">
        <v>157</v>
      </c>
      <c r="C327" s="50"/>
      <c r="D327" s="10" t="s">
        <v>29</v>
      </c>
      <c r="E327" s="11"/>
      <c r="F327" s="11" t="s">
        <v>18</v>
      </c>
      <c r="G327" s="13"/>
      <c r="H327" s="45" t="s">
        <v>16</v>
      </c>
      <c r="I327" s="46"/>
      <c r="J327" s="14" t="s">
        <v>4881</v>
      </c>
      <c r="K327" s="13" t="s">
        <v>7127</v>
      </c>
      <c r="L327" s="99" t="str">
        <f t="shared" si="20"/>
        <v>W2211.4</v>
      </c>
      <c r="M327" s="13" t="s">
        <v>17</v>
      </c>
      <c r="N327" s="13"/>
      <c r="O327" s="13"/>
      <c r="P327" s="47"/>
      <c r="Q327" s="45" t="s">
        <v>3672</v>
      </c>
      <c r="R327" s="45" t="s">
        <v>5596</v>
      </c>
      <c r="S327" s="48"/>
      <c r="T327" s="49" t="str">
        <f t="shared" si="19"/>
        <v>[W2211.4]</v>
      </c>
      <c r="U327" s="12" t="str">
        <f t="shared" si="18"/>
        <v xml:space="preserve"> 터브이송#4-1 X축(SD218) 과부하가 검출되었습니다.</v>
      </c>
      <c r="V327" s="49" t="str">
        <f t="shared" si="21"/>
        <v>[W2211.4] 터브이송#4-1 X축(SD218) 과부하가 검출되었습니다.</v>
      </c>
    </row>
    <row r="328" spans="1:22" s="49" customFormat="1" ht="14.15" customHeight="1">
      <c r="A328" s="43" t="s">
        <v>5598</v>
      </c>
      <c r="B328" s="44" t="s">
        <v>157</v>
      </c>
      <c r="C328" s="50"/>
      <c r="D328" s="10" t="s">
        <v>29</v>
      </c>
      <c r="E328" s="11"/>
      <c r="F328" s="11" t="s">
        <v>18</v>
      </c>
      <c r="G328" s="13"/>
      <c r="H328" s="45" t="s">
        <v>16</v>
      </c>
      <c r="I328" s="46"/>
      <c r="J328" s="14" t="s">
        <v>4882</v>
      </c>
      <c r="K328" s="13" t="s">
        <v>7128</v>
      </c>
      <c r="L328" s="99" t="str">
        <f t="shared" si="20"/>
        <v>W2211.5</v>
      </c>
      <c r="M328" s="13" t="s">
        <v>17</v>
      </c>
      <c r="N328" s="13"/>
      <c r="O328" s="13"/>
      <c r="P328" s="47"/>
      <c r="Q328" s="45" t="s">
        <v>3672</v>
      </c>
      <c r="R328" s="45" t="s">
        <v>5596</v>
      </c>
      <c r="S328" s="48"/>
      <c r="T328" s="49" t="str">
        <f t="shared" si="19"/>
        <v>[W2211.5]</v>
      </c>
      <c r="U328" s="12" t="str">
        <f t="shared" si="18"/>
        <v xml:space="preserve"> 터브이송#4-1 X축(SD218)  </v>
      </c>
      <c r="V328" s="49" t="str">
        <f t="shared" si="21"/>
        <v xml:space="preserve">[W2211.5] 터브이송#4-1 X축(SD218)  </v>
      </c>
    </row>
    <row r="329" spans="1:22" s="49" customFormat="1" ht="14.15" customHeight="1">
      <c r="A329" s="43" t="s">
        <v>5598</v>
      </c>
      <c r="B329" s="44" t="s">
        <v>157</v>
      </c>
      <c r="C329" s="50"/>
      <c r="D329" s="10" t="s">
        <v>29</v>
      </c>
      <c r="E329" s="11"/>
      <c r="F329" s="11" t="s">
        <v>18</v>
      </c>
      <c r="G329" s="13"/>
      <c r="H329" s="45" t="s">
        <v>16</v>
      </c>
      <c r="I329" s="47"/>
      <c r="J329" s="12" t="s">
        <v>4883</v>
      </c>
      <c r="K329" s="13" t="s">
        <v>7129</v>
      </c>
      <c r="L329" s="99" t="str">
        <f t="shared" si="20"/>
        <v>W2211.6</v>
      </c>
      <c r="M329" s="13" t="s">
        <v>17</v>
      </c>
      <c r="N329" s="13"/>
      <c r="O329" s="13"/>
      <c r="P329" s="47"/>
      <c r="Q329" s="45" t="s">
        <v>3672</v>
      </c>
      <c r="R329" s="45" t="s">
        <v>5596</v>
      </c>
      <c r="S329" s="48"/>
      <c r="T329" s="49" t="str">
        <f t="shared" si="19"/>
        <v>[W2211.6]</v>
      </c>
      <c r="U329" s="12" t="str">
        <f t="shared" si="18"/>
        <v xml:space="preserve"> 터브이송#4-1 X축(SD218) 에러가 발생했습니다.</v>
      </c>
      <c r="V329" s="49" t="str">
        <f t="shared" si="21"/>
        <v>[W2211.6] 터브이송#4-1 X축(SD218) 에러가 발생했습니다.</v>
      </c>
    </row>
    <row r="330" spans="1:22" s="49" customFormat="1" ht="14.15" customHeight="1">
      <c r="A330" s="43" t="s">
        <v>5598</v>
      </c>
      <c r="B330" s="44" t="s">
        <v>157</v>
      </c>
      <c r="C330" s="50"/>
      <c r="D330" s="10" t="s">
        <v>29</v>
      </c>
      <c r="E330" s="11"/>
      <c r="F330" s="11" t="s">
        <v>18</v>
      </c>
      <c r="G330" s="13"/>
      <c r="H330" s="45" t="s">
        <v>16</v>
      </c>
      <c r="I330" s="47"/>
      <c r="J330" s="12" t="s">
        <v>4884</v>
      </c>
      <c r="K330" s="13" t="s">
        <v>7130</v>
      </c>
      <c r="L330" s="99" t="str">
        <f t="shared" si="20"/>
        <v>W2211.7</v>
      </c>
      <c r="M330" s="13" t="s">
        <v>17</v>
      </c>
      <c r="N330" s="13"/>
      <c r="O330" s="13"/>
      <c r="P330" s="47"/>
      <c r="Q330" s="45" t="s">
        <v>3672</v>
      </c>
      <c r="R330" s="45" t="s">
        <v>5596</v>
      </c>
      <c r="S330" s="48"/>
      <c r="T330" s="49" t="str">
        <f t="shared" si="19"/>
        <v>[W2211.7]</v>
      </c>
      <c r="U330" s="12" t="str">
        <f t="shared" si="18"/>
        <v xml:space="preserve"> 터브이송#4-1 Z축(SD219) 운전중에 Ready가 Off 되었습니다.</v>
      </c>
      <c r="V330" s="49" t="str">
        <f t="shared" si="21"/>
        <v>[W2211.7] 터브이송#4-1 Z축(SD219) 운전중에 Ready가 Off 되었습니다.</v>
      </c>
    </row>
    <row r="331" spans="1:22" s="49" customFormat="1" ht="14.15" customHeight="1">
      <c r="A331" s="43" t="s">
        <v>5598</v>
      </c>
      <c r="B331" s="44" t="s">
        <v>157</v>
      </c>
      <c r="C331" s="50"/>
      <c r="D331" s="10" t="s">
        <v>29</v>
      </c>
      <c r="E331" s="11"/>
      <c r="F331" s="11" t="s">
        <v>18</v>
      </c>
      <c r="G331" s="13"/>
      <c r="H331" s="45" t="s">
        <v>16</v>
      </c>
      <c r="I331" s="47"/>
      <c r="J331" s="12" t="s">
        <v>4885</v>
      </c>
      <c r="K331" s="13" t="s">
        <v>7131</v>
      </c>
      <c r="L331" s="99" t="str">
        <f t="shared" si="20"/>
        <v>W2211.8</v>
      </c>
      <c r="M331" s="13" t="s">
        <v>17</v>
      </c>
      <c r="N331" s="13"/>
      <c r="O331" s="13"/>
      <c r="P331" s="47"/>
      <c r="Q331" s="45" t="s">
        <v>3672</v>
      </c>
      <c r="R331" s="45" t="s">
        <v>5596</v>
      </c>
      <c r="S331" s="48"/>
      <c r="T331" s="49" t="str">
        <f t="shared" si="19"/>
        <v>[W2211.8]</v>
      </c>
      <c r="U331" s="12" t="str">
        <f t="shared" si="18"/>
        <v xml:space="preserve"> 터브이송#4-1 Z축(SD219) FLS가 감지되었습니다.</v>
      </c>
      <c r="V331" s="49" t="str">
        <f t="shared" si="21"/>
        <v>[W2211.8] 터브이송#4-1 Z축(SD219) FLS가 감지되었습니다.</v>
      </c>
    </row>
    <row r="332" spans="1:22" s="49" customFormat="1" ht="14.15" customHeight="1">
      <c r="A332" s="43" t="s">
        <v>5598</v>
      </c>
      <c r="B332" s="44" t="s">
        <v>157</v>
      </c>
      <c r="C332" s="50"/>
      <c r="D332" s="10" t="s">
        <v>29</v>
      </c>
      <c r="E332" s="11"/>
      <c r="F332" s="11" t="s">
        <v>18</v>
      </c>
      <c r="G332" s="13"/>
      <c r="H332" s="45" t="s">
        <v>16</v>
      </c>
      <c r="I332" s="47"/>
      <c r="J332" s="12" t="s">
        <v>4886</v>
      </c>
      <c r="K332" s="13" t="s">
        <v>7132</v>
      </c>
      <c r="L332" s="99" t="str">
        <f t="shared" si="20"/>
        <v>W2211.9</v>
      </c>
      <c r="M332" s="13" t="s">
        <v>17</v>
      </c>
      <c r="N332" s="13"/>
      <c r="O332" s="13"/>
      <c r="P332" s="47"/>
      <c r="Q332" s="45" t="s">
        <v>3672</v>
      </c>
      <c r="R332" s="45" t="s">
        <v>5596</v>
      </c>
      <c r="S332" s="48"/>
      <c r="T332" s="49" t="str">
        <f t="shared" si="19"/>
        <v>[W2211.9]</v>
      </c>
      <c r="U332" s="12" t="str">
        <f t="shared" si="18"/>
        <v xml:space="preserve"> 터브이송#4-1 Z축(SD219) RLS가 감지되었습니다.</v>
      </c>
      <c r="V332" s="49" t="str">
        <f t="shared" si="21"/>
        <v>[W2211.9] 터브이송#4-1 Z축(SD219) RLS가 감지되었습니다.</v>
      </c>
    </row>
    <row r="333" spans="1:22" s="49" customFormat="1" ht="14.15" customHeight="1">
      <c r="A333" s="43" t="s">
        <v>5598</v>
      </c>
      <c r="B333" s="44" t="s">
        <v>157</v>
      </c>
      <c r="C333" s="50"/>
      <c r="D333" s="10" t="s">
        <v>29</v>
      </c>
      <c r="E333" s="11"/>
      <c r="F333" s="11" t="s">
        <v>18</v>
      </c>
      <c r="G333" s="13"/>
      <c r="H333" s="45" t="s">
        <v>16</v>
      </c>
      <c r="I333" s="47"/>
      <c r="J333" s="12" t="s">
        <v>4887</v>
      </c>
      <c r="K333" s="13" t="s">
        <v>7133</v>
      </c>
      <c r="L333" s="99" t="str">
        <f t="shared" si="20"/>
        <v>W2211.A</v>
      </c>
      <c r="M333" s="13" t="s">
        <v>17</v>
      </c>
      <c r="N333" s="13"/>
      <c r="O333" s="13"/>
      <c r="P333" s="47"/>
      <c r="Q333" s="45" t="s">
        <v>3672</v>
      </c>
      <c r="R333" s="45" t="s">
        <v>5596</v>
      </c>
      <c r="S333" s="48"/>
      <c r="T333" s="49" t="str">
        <f t="shared" si="19"/>
        <v>[W2211.A]</v>
      </c>
      <c r="U333" s="12" t="str">
        <f t="shared" si="18"/>
        <v xml:space="preserve"> 터브이송#4-1 Z축(SD219) Stop 명령이 On된 상태에서 기동을 시도했습니다.</v>
      </c>
      <c r="V333" s="49" t="str">
        <f t="shared" si="21"/>
        <v>[W2211.A] 터브이송#4-1 Z축(SD219) Stop 명령이 On된 상태에서 기동을 시도했습니다.</v>
      </c>
    </row>
    <row r="334" spans="1:22" s="49" customFormat="1" ht="14.15" customHeight="1">
      <c r="A334" s="43" t="s">
        <v>5598</v>
      </c>
      <c r="B334" s="44" t="s">
        <v>157</v>
      </c>
      <c r="C334" s="50"/>
      <c r="D334" s="10" t="s">
        <v>29</v>
      </c>
      <c r="E334" s="11"/>
      <c r="F334" s="11" t="s">
        <v>18</v>
      </c>
      <c r="G334" s="13"/>
      <c r="H334" s="45" t="s">
        <v>16</v>
      </c>
      <c r="I334" s="47"/>
      <c r="J334" s="12" t="s">
        <v>4888</v>
      </c>
      <c r="K334" s="13" t="s">
        <v>7134</v>
      </c>
      <c r="L334" s="99" t="str">
        <f t="shared" si="20"/>
        <v>W2211.B</v>
      </c>
      <c r="M334" s="13" t="s">
        <v>17</v>
      </c>
      <c r="N334" s="13"/>
      <c r="O334" s="13"/>
      <c r="P334" s="47"/>
      <c r="Q334" s="45" t="s">
        <v>3672</v>
      </c>
      <c r="R334" s="45" t="s">
        <v>5596</v>
      </c>
      <c r="S334" s="48"/>
      <c r="T334" s="49" t="str">
        <f t="shared" si="19"/>
        <v>[W2211.B]</v>
      </c>
      <c r="U334" s="12" t="str">
        <f t="shared" si="18"/>
        <v xml:space="preserve"> 터브이송#4-1 Z축(SD219) 가동 전원이 Off 되었습니다.</v>
      </c>
      <c r="V334" s="49" t="str">
        <f t="shared" si="21"/>
        <v>[W2211.B] 터브이송#4-1 Z축(SD219) 가동 전원이 Off 되었습니다.</v>
      </c>
    </row>
    <row r="335" spans="1:22" s="49" customFormat="1" ht="14.15" customHeight="1">
      <c r="A335" s="43" t="s">
        <v>5598</v>
      </c>
      <c r="B335" s="44" t="s">
        <v>157</v>
      </c>
      <c r="C335" s="50"/>
      <c r="D335" s="10" t="s">
        <v>29</v>
      </c>
      <c r="E335" s="11"/>
      <c r="F335" s="11" t="s">
        <v>18</v>
      </c>
      <c r="G335" s="13"/>
      <c r="H335" s="45" t="s">
        <v>16</v>
      </c>
      <c r="I335" s="47"/>
      <c r="J335" s="12" t="s">
        <v>4889</v>
      </c>
      <c r="K335" s="13" t="s">
        <v>7135</v>
      </c>
      <c r="L335" s="99" t="str">
        <f t="shared" si="20"/>
        <v>W2211.C</v>
      </c>
      <c r="M335" s="13" t="s">
        <v>17</v>
      </c>
      <c r="N335" s="13"/>
      <c r="O335" s="13"/>
      <c r="P335" s="47"/>
      <c r="Q335" s="45" t="s">
        <v>3672</v>
      </c>
      <c r="R335" s="45" t="s">
        <v>5596</v>
      </c>
      <c r="S335" s="48"/>
      <c r="T335" s="49" t="str">
        <f t="shared" si="19"/>
        <v>[W2211.C]</v>
      </c>
      <c r="U335" s="12" t="str">
        <f t="shared" si="18"/>
        <v xml:space="preserve"> 터브이송#4-1 Z축(SD219) 엔코더 이상이 검출되었습니다.</v>
      </c>
      <c r="V335" s="49" t="str">
        <f t="shared" si="21"/>
        <v>[W2211.C] 터브이송#4-1 Z축(SD219) 엔코더 이상이 검출되었습니다.</v>
      </c>
    </row>
    <row r="336" spans="1:22" s="49" customFormat="1" ht="14.15" customHeight="1">
      <c r="A336" s="43" t="s">
        <v>5598</v>
      </c>
      <c r="B336" s="44" t="s">
        <v>157</v>
      </c>
      <c r="C336" s="50"/>
      <c r="D336" s="10" t="s">
        <v>29</v>
      </c>
      <c r="E336" s="11"/>
      <c r="F336" s="11" t="s">
        <v>18</v>
      </c>
      <c r="G336" s="13"/>
      <c r="H336" s="45" t="s">
        <v>16</v>
      </c>
      <c r="I336" s="47"/>
      <c r="J336" s="12" t="s">
        <v>4890</v>
      </c>
      <c r="K336" s="13" t="s">
        <v>7136</v>
      </c>
      <c r="L336" s="99" t="str">
        <f t="shared" si="20"/>
        <v>W2211.D</v>
      </c>
      <c r="M336" s="13" t="s">
        <v>17</v>
      </c>
      <c r="N336" s="13"/>
      <c r="O336" s="13"/>
      <c r="P336" s="47"/>
      <c r="Q336" s="45" t="s">
        <v>3672</v>
      </c>
      <c r="R336" s="45" t="s">
        <v>5596</v>
      </c>
      <c r="S336" s="48"/>
      <c r="T336" s="49" t="str">
        <f t="shared" si="19"/>
        <v>[W2211.D]</v>
      </c>
      <c r="U336" s="12" t="str">
        <f t="shared" si="18"/>
        <v xml:space="preserve"> 터브이송#4-1 Z축(SD219) 과전류가 검출되었습니다.</v>
      </c>
      <c r="V336" s="49" t="str">
        <f t="shared" si="21"/>
        <v>[W2211.D] 터브이송#4-1 Z축(SD219) 과전류가 검출되었습니다.</v>
      </c>
    </row>
    <row r="337" spans="1:22" s="49" customFormat="1" ht="14.15" customHeight="1">
      <c r="A337" s="43" t="s">
        <v>5598</v>
      </c>
      <c r="B337" s="44" t="s">
        <v>157</v>
      </c>
      <c r="C337" s="50"/>
      <c r="D337" s="10" t="s">
        <v>29</v>
      </c>
      <c r="E337" s="11"/>
      <c r="F337" s="11" t="s">
        <v>18</v>
      </c>
      <c r="G337" s="13"/>
      <c r="H337" s="45" t="s">
        <v>16</v>
      </c>
      <c r="I337" s="46"/>
      <c r="J337" s="14" t="s">
        <v>4891</v>
      </c>
      <c r="K337" s="13" t="s">
        <v>7137</v>
      </c>
      <c r="L337" s="99" t="str">
        <f t="shared" si="20"/>
        <v>W2211.E</v>
      </c>
      <c r="M337" s="13" t="s">
        <v>17</v>
      </c>
      <c r="N337" s="13"/>
      <c r="O337" s="13"/>
      <c r="P337" s="47"/>
      <c r="Q337" s="45" t="s">
        <v>3672</v>
      </c>
      <c r="R337" s="45" t="s">
        <v>5596</v>
      </c>
      <c r="S337" s="48"/>
      <c r="T337" s="49" t="str">
        <f t="shared" si="19"/>
        <v>[W2211.E]</v>
      </c>
      <c r="U337" s="12" t="str">
        <f t="shared" si="18"/>
        <v xml:space="preserve"> 터브이송#4-1 Z축(SD219) 과부하가 검출되었습니다.</v>
      </c>
      <c r="V337" s="49" t="str">
        <f t="shared" si="21"/>
        <v>[W2211.E] 터브이송#4-1 Z축(SD219) 과부하가 검출되었습니다.</v>
      </c>
    </row>
    <row r="338" spans="1:22" s="49" customFormat="1" ht="14.15" customHeight="1">
      <c r="A338" s="43" t="s">
        <v>5598</v>
      </c>
      <c r="B338" s="44" t="s">
        <v>157</v>
      </c>
      <c r="C338" s="50"/>
      <c r="D338" s="10" t="s">
        <v>29</v>
      </c>
      <c r="E338" s="11"/>
      <c r="F338" s="11" t="s">
        <v>18</v>
      </c>
      <c r="G338" s="13"/>
      <c r="H338" s="45" t="s">
        <v>16</v>
      </c>
      <c r="I338" s="47"/>
      <c r="J338" s="12" t="s">
        <v>4892</v>
      </c>
      <c r="K338" s="13" t="s">
        <v>7138</v>
      </c>
      <c r="L338" s="99" t="str">
        <f t="shared" si="20"/>
        <v>W2211.F</v>
      </c>
      <c r="M338" s="13" t="s">
        <v>17</v>
      </c>
      <c r="N338" s="13"/>
      <c r="O338" s="13"/>
      <c r="P338" s="47"/>
      <c r="Q338" s="45" t="s">
        <v>3672</v>
      </c>
      <c r="R338" s="45" t="s">
        <v>5596</v>
      </c>
      <c r="S338" s="48"/>
      <c r="T338" s="49" t="str">
        <f t="shared" si="19"/>
        <v>[W2211.F]</v>
      </c>
      <c r="U338" s="12" t="str">
        <f t="shared" si="18"/>
        <v xml:space="preserve"> 터브이송#4-1 Z축(SD219)  </v>
      </c>
      <c r="V338" s="49" t="str">
        <f t="shared" si="21"/>
        <v xml:space="preserve">[W2211.F] 터브이송#4-1 Z축(SD219)  </v>
      </c>
    </row>
    <row r="339" spans="1:22" s="49" customFormat="1" ht="14.15" customHeight="1">
      <c r="A339" s="43" t="s">
        <v>5598</v>
      </c>
      <c r="B339" s="44" t="s">
        <v>157</v>
      </c>
      <c r="C339" s="50"/>
      <c r="D339" s="10" t="s">
        <v>29</v>
      </c>
      <c r="E339" s="11"/>
      <c r="F339" s="11" t="s">
        <v>18</v>
      </c>
      <c r="G339" s="13"/>
      <c r="H339" s="45" t="s">
        <v>16</v>
      </c>
      <c r="I339" s="47"/>
      <c r="J339" s="12" t="s">
        <v>4893</v>
      </c>
      <c r="K339" s="13" t="s">
        <v>7139</v>
      </c>
      <c r="L339" s="99" t="str">
        <f t="shared" si="20"/>
        <v>W2212.0</v>
      </c>
      <c r="M339" s="13" t="s">
        <v>17</v>
      </c>
      <c r="N339" s="13"/>
      <c r="O339" s="13"/>
      <c r="P339" s="47"/>
      <c r="Q339" s="45" t="s">
        <v>3672</v>
      </c>
      <c r="R339" s="45" t="s">
        <v>5596</v>
      </c>
      <c r="S339" s="48"/>
      <c r="T339" s="49" t="str">
        <f>"["&amp;L309&amp;"]"</f>
        <v>[W2210.2]</v>
      </c>
      <c r="U339" s="12" t="str">
        <f>RIGHT(J309,LEN(J309)-7)</f>
        <v/>
      </c>
      <c r="V339" s="49" t="str">
        <f>T309&amp;U309</f>
        <v>[W2210.2]</v>
      </c>
    </row>
    <row r="340" spans="1:22" s="49" customFormat="1" ht="14.15" customHeight="1">
      <c r="A340" s="43" t="s">
        <v>5598</v>
      </c>
      <c r="B340" s="44" t="s">
        <v>157</v>
      </c>
      <c r="C340" s="50"/>
      <c r="D340" s="10" t="s">
        <v>29</v>
      </c>
      <c r="E340" s="11"/>
      <c r="F340" s="11" t="s">
        <v>18</v>
      </c>
      <c r="G340" s="13"/>
      <c r="H340" s="45" t="s">
        <v>16</v>
      </c>
      <c r="I340" s="47"/>
      <c r="J340" s="12" t="s">
        <v>4894</v>
      </c>
      <c r="K340" s="13" t="s">
        <v>7140</v>
      </c>
      <c r="L340" s="99" t="str">
        <f t="shared" si="20"/>
        <v>W2212.1</v>
      </c>
      <c r="M340" s="13" t="s">
        <v>17</v>
      </c>
      <c r="N340" s="13"/>
      <c r="O340" s="13"/>
      <c r="P340" s="47"/>
      <c r="Q340" s="45" t="s">
        <v>3672</v>
      </c>
      <c r="R340" s="45" t="s">
        <v>5596</v>
      </c>
      <c r="S340" s="48"/>
      <c r="T340" s="49" t="str">
        <f t="shared" si="19"/>
        <v>[W2212.1]</v>
      </c>
      <c r="U340" s="12" t="str">
        <f t="shared" ref="U340:U403" si="22">RIGHT(J340,LEN(J340)-7)</f>
        <v xml:space="preserve"> 터브이송#4-1 C1축(SD220) 운전중에 Ready가 Off 되었습니다.</v>
      </c>
      <c r="V340" s="49" t="str">
        <f t="shared" si="21"/>
        <v>[W2212.1] 터브이송#4-1 C1축(SD220) 운전중에 Ready가 Off 되었습니다.</v>
      </c>
    </row>
    <row r="341" spans="1:22" s="49" customFormat="1" ht="14.15" customHeight="1">
      <c r="A341" s="43" t="s">
        <v>5598</v>
      </c>
      <c r="B341" s="44" t="s">
        <v>157</v>
      </c>
      <c r="C341" s="50"/>
      <c r="D341" s="10" t="s">
        <v>29</v>
      </c>
      <c r="E341" s="11"/>
      <c r="F341" s="11" t="s">
        <v>18</v>
      </c>
      <c r="G341" s="13"/>
      <c r="H341" s="45" t="s">
        <v>16</v>
      </c>
      <c r="I341" s="47"/>
      <c r="J341" s="12" t="s">
        <v>4895</v>
      </c>
      <c r="K341" s="13" t="s">
        <v>7141</v>
      </c>
      <c r="L341" s="99" t="str">
        <f t="shared" si="20"/>
        <v>W2212.2</v>
      </c>
      <c r="M341" s="13" t="s">
        <v>17</v>
      </c>
      <c r="N341" s="13"/>
      <c r="O341" s="13"/>
      <c r="P341" s="47"/>
      <c r="Q341" s="45" t="s">
        <v>3672</v>
      </c>
      <c r="R341" s="45" t="s">
        <v>5596</v>
      </c>
      <c r="S341" s="48"/>
      <c r="T341" s="49" t="str">
        <f t="shared" si="19"/>
        <v>[W2212.2]</v>
      </c>
      <c r="U341" s="12" t="str">
        <f t="shared" si="22"/>
        <v xml:space="preserve"> 터브이송#4-1 C1축(SD220) FLS가 감지되었습니다.</v>
      </c>
      <c r="V341" s="49" t="str">
        <f t="shared" si="21"/>
        <v>[W2212.2] 터브이송#4-1 C1축(SD220) FLS가 감지되었습니다.</v>
      </c>
    </row>
    <row r="342" spans="1:22" s="49" customFormat="1" ht="14.15" customHeight="1">
      <c r="A342" s="43" t="s">
        <v>5598</v>
      </c>
      <c r="B342" s="44" t="s">
        <v>157</v>
      </c>
      <c r="C342" s="50"/>
      <c r="D342" s="10" t="s">
        <v>29</v>
      </c>
      <c r="E342" s="11"/>
      <c r="F342" s="11" t="s">
        <v>18</v>
      </c>
      <c r="G342" s="13"/>
      <c r="H342" s="45" t="s">
        <v>16</v>
      </c>
      <c r="I342" s="47"/>
      <c r="J342" s="12" t="s">
        <v>4896</v>
      </c>
      <c r="K342" s="13" t="s">
        <v>7142</v>
      </c>
      <c r="L342" s="99" t="str">
        <f t="shared" si="20"/>
        <v>W2212.3</v>
      </c>
      <c r="M342" s="13" t="s">
        <v>17</v>
      </c>
      <c r="N342" s="13"/>
      <c r="O342" s="13"/>
      <c r="P342" s="47"/>
      <c r="Q342" s="45" t="s">
        <v>3672</v>
      </c>
      <c r="R342" s="45" t="s">
        <v>5596</v>
      </c>
      <c r="S342" s="48"/>
      <c r="T342" s="49" t="str">
        <f t="shared" si="19"/>
        <v>[W2212.3]</v>
      </c>
      <c r="U342" s="12" t="str">
        <f t="shared" si="22"/>
        <v xml:space="preserve"> 터브이송#4-1 C1축(SD220) RLS가 감지되었습니다.</v>
      </c>
      <c r="V342" s="49" t="str">
        <f t="shared" si="21"/>
        <v>[W2212.3] 터브이송#4-1 C1축(SD220) RLS가 감지되었습니다.</v>
      </c>
    </row>
    <row r="343" spans="1:22" s="49" customFormat="1" ht="14.15" customHeight="1">
      <c r="A343" s="43" t="s">
        <v>5598</v>
      </c>
      <c r="B343" s="44" t="s">
        <v>157</v>
      </c>
      <c r="C343" s="50"/>
      <c r="D343" s="10" t="s">
        <v>29</v>
      </c>
      <c r="E343" s="11"/>
      <c r="F343" s="11" t="s">
        <v>18</v>
      </c>
      <c r="G343" s="13"/>
      <c r="H343" s="45" t="s">
        <v>16</v>
      </c>
      <c r="I343" s="47"/>
      <c r="J343" s="12" t="s">
        <v>4897</v>
      </c>
      <c r="K343" s="13" t="s">
        <v>7143</v>
      </c>
      <c r="L343" s="99" t="str">
        <f t="shared" si="20"/>
        <v>W2212.4</v>
      </c>
      <c r="M343" s="13" t="s">
        <v>17</v>
      </c>
      <c r="N343" s="13"/>
      <c r="O343" s="13"/>
      <c r="P343" s="47"/>
      <c r="Q343" s="45" t="s">
        <v>3672</v>
      </c>
      <c r="R343" s="45" t="s">
        <v>5596</v>
      </c>
      <c r="S343" s="48"/>
      <c r="T343" s="49" t="str">
        <f t="shared" si="19"/>
        <v>[W2212.4]</v>
      </c>
      <c r="U343" s="12" t="str">
        <f t="shared" si="22"/>
        <v xml:space="preserve"> 터브이송#4-1 C1축(SD220) Stop 명령이 On된 상태에서 기동을 시도했습니다.</v>
      </c>
      <c r="V343" s="49" t="str">
        <f t="shared" si="21"/>
        <v>[W2212.4] 터브이송#4-1 C1축(SD220) Stop 명령이 On된 상태에서 기동을 시도했습니다.</v>
      </c>
    </row>
    <row r="344" spans="1:22" s="49" customFormat="1" ht="14.15" customHeight="1">
      <c r="A344" s="43" t="s">
        <v>5598</v>
      </c>
      <c r="B344" s="44" t="s">
        <v>157</v>
      </c>
      <c r="C344" s="50"/>
      <c r="D344" s="10" t="s">
        <v>29</v>
      </c>
      <c r="E344" s="11"/>
      <c r="F344" s="11" t="s">
        <v>18</v>
      </c>
      <c r="G344" s="13"/>
      <c r="H344" s="45" t="s">
        <v>16</v>
      </c>
      <c r="I344" s="47"/>
      <c r="J344" s="12" t="s">
        <v>4898</v>
      </c>
      <c r="K344" s="13" t="s">
        <v>7144</v>
      </c>
      <c r="L344" s="99" t="str">
        <f t="shared" si="20"/>
        <v>W2212.5</v>
      </c>
      <c r="M344" s="13" t="s">
        <v>17</v>
      </c>
      <c r="N344" s="13"/>
      <c r="O344" s="13"/>
      <c r="P344" s="47"/>
      <c r="Q344" s="45" t="s">
        <v>3672</v>
      </c>
      <c r="R344" s="45" t="s">
        <v>5596</v>
      </c>
      <c r="S344" s="48"/>
      <c r="T344" s="49" t="str">
        <f t="shared" si="19"/>
        <v>[W2212.5]</v>
      </c>
      <c r="U344" s="12" t="str">
        <f t="shared" si="22"/>
        <v xml:space="preserve"> 터브이송#4-1 C1축(SD220) 가동 전원이 Off 되었습니다.</v>
      </c>
      <c r="V344" s="49" t="str">
        <f t="shared" si="21"/>
        <v>[W2212.5] 터브이송#4-1 C1축(SD220) 가동 전원이 Off 되었습니다.</v>
      </c>
    </row>
    <row r="345" spans="1:22" s="49" customFormat="1" ht="14.15" customHeight="1">
      <c r="A345" s="43" t="s">
        <v>5598</v>
      </c>
      <c r="B345" s="44" t="s">
        <v>157</v>
      </c>
      <c r="C345" s="50"/>
      <c r="D345" s="10" t="s">
        <v>29</v>
      </c>
      <c r="E345" s="11"/>
      <c r="F345" s="11" t="s">
        <v>18</v>
      </c>
      <c r="G345" s="13"/>
      <c r="H345" s="45" t="s">
        <v>16</v>
      </c>
      <c r="I345" s="47"/>
      <c r="J345" s="12" t="s">
        <v>4899</v>
      </c>
      <c r="K345" s="13" t="s">
        <v>7145</v>
      </c>
      <c r="L345" s="99" t="str">
        <f t="shared" si="20"/>
        <v>W2212.6</v>
      </c>
      <c r="M345" s="13" t="s">
        <v>17</v>
      </c>
      <c r="N345" s="13"/>
      <c r="O345" s="13"/>
      <c r="P345" s="47"/>
      <c r="Q345" s="45" t="s">
        <v>3672</v>
      </c>
      <c r="R345" s="45" t="s">
        <v>5596</v>
      </c>
      <c r="S345" s="48"/>
      <c r="T345" s="49" t="str">
        <f t="shared" si="19"/>
        <v>[W2212.6]</v>
      </c>
      <c r="U345" s="12" t="str">
        <f t="shared" si="22"/>
        <v xml:space="preserve"> 터브이송#4-1 C1축(SD220) 엔코더 이상이 검출되었습니다.</v>
      </c>
      <c r="V345" s="49" t="str">
        <f t="shared" si="21"/>
        <v>[W2212.6] 터브이송#4-1 C1축(SD220) 엔코더 이상이 검출되었습니다.</v>
      </c>
    </row>
    <row r="346" spans="1:22" s="49" customFormat="1" ht="14.15" customHeight="1">
      <c r="A346" s="43" t="s">
        <v>5598</v>
      </c>
      <c r="B346" s="44" t="s">
        <v>157</v>
      </c>
      <c r="C346" s="50"/>
      <c r="D346" s="10" t="s">
        <v>29</v>
      </c>
      <c r="E346" s="11"/>
      <c r="F346" s="11" t="s">
        <v>18</v>
      </c>
      <c r="G346" s="13"/>
      <c r="H346" s="45" t="s">
        <v>16</v>
      </c>
      <c r="I346" s="47"/>
      <c r="J346" s="12" t="s">
        <v>4900</v>
      </c>
      <c r="K346" s="13" t="s">
        <v>7146</v>
      </c>
      <c r="L346" s="99" t="str">
        <f t="shared" si="20"/>
        <v>W2212.7</v>
      </c>
      <c r="M346" s="13" t="s">
        <v>17</v>
      </c>
      <c r="N346" s="13"/>
      <c r="O346" s="13"/>
      <c r="P346" s="47"/>
      <c r="Q346" s="45" t="s">
        <v>3672</v>
      </c>
      <c r="R346" s="45" t="s">
        <v>5596</v>
      </c>
      <c r="S346" s="48"/>
      <c r="T346" s="49" t="str">
        <f t="shared" si="19"/>
        <v>[W2212.7]</v>
      </c>
      <c r="U346" s="12" t="str">
        <f t="shared" si="22"/>
        <v xml:space="preserve"> 터브이송#4-1 C1축(SD220) 과전류가 검출되었습니다.</v>
      </c>
      <c r="V346" s="49" t="str">
        <f t="shared" si="21"/>
        <v>[W2212.7] 터브이송#4-1 C1축(SD220) 과전류가 검출되었습니다.</v>
      </c>
    </row>
    <row r="347" spans="1:22" s="49" customFormat="1" ht="14.15" customHeight="1">
      <c r="A347" s="43" t="s">
        <v>5598</v>
      </c>
      <c r="B347" s="44" t="s">
        <v>157</v>
      </c>
      <c r="C347" s="50"/>
      <c r="D347" s="10" t="s">
        <v>29</v>
      </c>
      <c r="E347" s="11"/>
      <c r="F347" s="11" t="s">
        <v>18</v>
      </c>
      <c r="G347" s="13"/>
      <c r="H347" s="45" t="s">
        <v>16</v>
      </c>
      <c r="I347" s="46"/>
      <c r="J347" s="14" t="s">
        <v>4901</v>
      </c>
      <c r="K347" s="13" t="s">
        <v>7147</v>
      </c>
      <c r="L347" s="99" t="str">
        <f t="shared" si="20"/>
        <v>W2212.8</v>
      </c>
      <c r="M347" s="13" t="s">
        <v>17</v>
      </c>
      <c r="N347" s="13"/>
      <c r="O347" s="13"/>
      <c r="P347" s="47"/>
      <c r="Q347" s="45" t="s">
        <v>3672</v>
      </c>
      <c r="R347" s="45" t="s">
        <v>5596</v>
      </c>
      <c r="S347" s="48"/>
      <c r="T347" s="49" t="str">
        <f t="shared" si="19"/>
        <v>[W2212.8]</v>
      </c>
      <c r="U347" s="12" t="str">
        <f t="shared" si="22"/>
        <v xml:space="preserve"> 터브이송#4-1 C1축(SD220) 과부하가 검출되었습니다.</v>
      </c>
      <c r="V347" s="49" t="str">
        <f t="shared" si="21"/>
        <v>[W2212.8] 터브이송#4-1 C1축(SD220) 과부하가 검출되었습니다.</v>
      </c>
    </row>
    <row r="348" spans="1:22" s="49" customFormat="1" ht="14.15" customHeight="1">
      <c r="A348" s="43" t="s">
        <v>5598</v>
      </c>
      <c r="B348" s="44" t="s">
        <v>157</v>
      </c>
      <c r="C348" s="50"/>
      <c r="D348" s="10" t="s">
        <v>29</v>
      </c>
      <c r="E348" s="11"/>
      <c r="F348" s="11" t="s">
        <v>18</v>
      </c>
      <c r="G348" s="13"/>
      <c r="H348" s="45" t="s">
        <v>16</v>
      </c>
      <c r="I348" s="46"/>
      <c r="J348" s="14" t="s">
        <v>4902</v>
      </c>
      <c r="K348" s="13" t="s">
        <v>7148</v>
      </c>
      <c r="L348" s="99" t="str">
        <f t="shared" si="20"/>
        <v>W2212.9</v>
      </c>
      <c r="M348" s="13" t="s">
        <v>17</v>
      </c>
      <c r="N348" s="13"/>
      <c r="O348" s="13"/>
      <c r="P348" s="47"/>
      <c r="Q348" s="45" t="s">
        <v>3672</v>
      </c>
      <c r="R348" s="45" t="s">
        <v>5596</v>
      </c>
      <c r="S348" s="48"/>
      <c r="T348" s="49" t="str">
        <f t="shared" si="19"/>
        <v>[W2212.9]</v>
      </c>
      <c r="U348" s="12" t="str">
        <f t="shared" si="22"/>
        <v xml:space="preserve"> 터브이송#4-1 C1축(SD220)  </v>
      </c>
      <c r="V348" s="49" t="str">
        <f t="shared" si="21"/>
        <v xml:space="preserve">[W2212.9] 터브이송#4-1 C1축(SD220)  </v>
      </c>
    </row>
    <row r="349" spans="1:22" s="49" customFormat="1" ht="14.15" customHeight="1">
      <c r="A349" s="43" t="s">
        <v>5598</v>
      </c>
      <c r="B349" s="44" t="s">
        <v>157</v>
      </c>
      <c r="C349" s="50"/>
      <c r="D349" s="10" t="s">
        <v>29</v>
      </c>
      <c r="E349" s="11"/>
      <c r="F349" s="11" t="s">
        <v>18</v>
      </c>
      <c r="G349" s="13"/>
      <c r="H349" s="45" t="s">
        <v>16</v>
      </c>
      <c r="I349" s="46"/>
      <c r="J349" s="14" t="s">
        <v>4903</v>
      </c>
      <c r="K349" s="13" t="s">
        <v>7149</v>
      </c>
      <c r="L349" s="99" t="str">
        <f t="shared" si="20"/>
        <v>W2212.A</v>
      </c>
      <c r="M349" s="13" t="s">
        <v>17</v>
      </c>
      <c r="N349" s="13"/>
      <c r="O349" s="13"/>
      <c r="P349" s="47"/>
      <c r="Q349" s="45" t="s">
        <v>3672</v>
      </c>
      <c r="R349" s="45" t="s">
        <v>5596</v>
      </c>
      <c r="S349" s="48"/>
      <c r="T349" s="49" t="str">
        <f t="shared" si="19"/>
        <v>[W2212.A]</v>
      </c>
      <c r="U349" s="12" t="str">
        <f t="shared" si="22"/>
        <v xml:space="preserve"> 터브이송#4-1 C1축(SD220) 에러가 발생했습니다.</v>
      </c>
      <c r="V349" s="49" t="str">
        <f t="shared" si="21"/>
        <v>[W2212.A] 터브이송#4-1 C1축(SD220) 에러가 발생했습니다.</v>
      </c>
    </row>
    <row r="350" spans="1:22" s="49" customFormat="1" ht="14.15" customHeight="1">
      <c r="A350" s="43" t="s">
        <v>5598</v>
      </c>
      <c r="B350" s="44" t="s">
        <v>157</v>
      </c>
      <c r="C350" s="50"/>
      <c r="D350" s="10" t="s">
        <v>29</v>
      </c>
      <c r="E350" s="11"/>
      <c r="F350" s="11" t="s">
        <v>18</v>
      </c>
      <c r="G350" s="13"/>
      <c r="H350" s="45" t="s">
        <v>16</v>
      </c>
      <c r="I350" s="46"/>
      <c r="J350" s="14" t="s">
        <v>4904</v>
      </c>
      <c r="K350" s="13" t="s">
        <v>7150</v>
      </c>
      <c r="L350" s="99" t="str">
        <f t="shared" si="20"/>
        <v>W2212.B</v>
      </c>
      <c r="M350" s="13" t="s">
        <v>17</v>
      </c>
      <c r="N350" s="13"/>
      <c r="O350" s="13"/>
      <c r="P350" s="47"/>
      <c r="Q350" s="45" t="s">
        <v>3672</v>
      </c>
      <c r="R350" s="45" t="s">
        <v>5596</v>
      </c>
      <c r="S350" s="48"/>
      <c r="T350" s="49" t="str">
        <f t="shared" si="19"/>
        <v>[W2212.B]</v>
      </c>
      <c r="U350" s="12" t="str">
        <f t="shared" si="22"/>
        <v xml:space="preserve"> 터브이송#4-1 C2축(SD221) 운전중에 Ready가 Off 되었습니다.</v>
      </c>
      <c r="V350" s="49" t="str">
        <f t="shared" si="21"/>
        <v>[W2212.B] 터브이송#4-1 C2축(SD221) 운전중에 Ready가 Off 되었습니다.</v>
      </c>
    </row>
    <row r="351" spans="1:22" s="49" customFormat="1" ht="14.15" customHeight="1">
      <c r="A351" s="43" t="s">
        <v>5598</v>
      </c>
      <c r="B351" s="44" t="s">
        <v>157</v>
      </c>
      <c r="C351" s="50"/>
      <c r="D351" s="10" t="s">
        <v>29</v>
      </c>
      <c r="E351" s="11"/>
      <c r="F351" s="11" t="s">
        <v>18</v>
      </c>
      <c r="G351" s="13"/>
      <c r="H351" s="45" t="s">
        <v>16</v>
      </c>
      <c r="I351" s="46"/>
      <c r="J351" s="14" t="s">
        <v>4905</v>
      </c>
      <c r="K351" s="13" t="s">
        <v>7151</v>
      </c>
      <c r="L351" s="99" t="str">
        <f t="shared" si="20"/>
        <v>W2212.C</v>
      </c>
      <c r="M351" s="13" t="s">
        <v>17</v>
      </c>
      <c r="N351" s="13"/>
      <c r="O351" s="13"/>
      <c r="P351" s="47"/>
      <c r="Q351" s="45" t="s">
        <v>3672</v>
      </c>
      <c r="R351" s="45" t="s">
        <v>5596</v>
      </c>
      <c r="S351" s="48"/>
      <c r="T351" s="49" t="str">
        <f t="shared" si="19"/>
        <v>[W2212.C]</v>
      </c>
      <c r="U351" s="12" t="str">
        <f t="shared" si="22"/>
        <v xml:space="preserve"> 터브이송#4-1 C2축(SD221) FLS가 감지되었습니다.</v>
      </c>
      <c r="V351" s="49" t="str">
        <f t="shared" si="21"/>
        <v>[W2212.C] 터브이송#4-1 C2축(SD221) FLS가 감지되었습니다.</v>
      </c>
    </row>
    <row r="352" spans="1:22" s="49" customFormat="1" ht="14.15" customHeight="1">
      <c r="A352" s="43" t="s">
        <v>5598</v>
      </c>
      <c r="B352" s="44" t="s">
        <v>157</v>
      </c>
      <c r="C352" s="50"/>
      <c r="D352" s="10" t="s">
        <v>29</v>
      </c>
      <c r="E352" s="11"/>
      <c r="F352" s="11" t="s">
        <v>18</v>
      </c>
      <c r="G352" s="13"/>
      <c r="H352" s="45" t="s">
        <v>16</v>
      </c>
      <c r="I352" s="46"/>
      <c r="J352" s="14" t="s">
        <v>4906</v>
      </c>
      <c r="K352" s="13" t="s">
        <v>7152</v>
      </c>
      <c r="L352" s="99" t="str">
        <f t="shared" si="20"/>
        <v>W2212.D</v>
      </c>
      <c r="M352" s="13" t="s">
        <v>17</v>
      </c>
      <c r="N352" s="13"/>
      <c r="O352" s="13"/>
      <c r="P352" s="47"/>
      <c r="Q352" s="45" t="s">
        <v>3672</v>
      </c>
      <c r="R352" s="45" t="s">
        <v>5596</v>
      </c>
      <c r="S352" s="48"/>
      <c r="T352" s="49" t="str">
        <f t="shared" si="19"/>
        <v>[W2212.D]</v>
      </c>
      <c r="U352" s="12" t="str">
        <f t="shared" si="22"/>
        <v xml:space="preserve"> 터브이송#4-1 C2축(SD221) RLS가 감지되었습니다.</v>
      </c>
      <c r="V352" s="49" t="str">
        <f t="shared" si="21"/>
        <v>[W2212.D] 터브이송#4-1 C2축(SD221) RLS가 감지되었습니다.</v>
      </c>
    </row>
    <row r="353" spans="1:22" s="49" customFormat="1" ht="14.15" customHeight="1">
      <c r="A353" s="43" t="s">
        <v>5598</v>
      </c>
      <c r="B353" s="44" t="s">
        <v>157</v>
      </c>
      <c r="C353" s="50"/>
      <c r="D353" s="10" t="s">
        <v>29</v>
      </c>
      <c r="E353" s="11"/>
      <c r="F353" s="11" t="s">
        <v>18</v>
      </c>
      <c r="G353" s="13"/>
      <c r="H353" s="45" t="s">
        <v>16</v>
      </c>
      <c r="I353" s="46"/>
      <c r="J353" s="14" t="s">
        <v>4907</v>
      </c>
      <c r="K353" s="13" t="s">
        <v>7153</v>
      </c>
      <c r="L353" s="99" t="str">
        <f t="shared" si="20"/>
        <v>W2212.E</v>
      </c>
      <c r="M353" s="13" t="s">
        <v>17</v>
      </c>
      <c r="N353" s="13"/>
      <c r="O353" s="13"/>
      <c r="P353" s="47"/>
      <c r="Q353" s="45" t="s">
        <v>3672</v>
      </c>
      <c r="R353" s="45" t="s">
        <v>5596</v>
      </c>
      <c r="S353" s="48"/>
      <c r="T353" s="49" t="str">
        <f t="shared" si="19"/>
        <v>[W2212.E]</v>
      </c>
      <c r="U353" s="12" t="str">
        <f t="shared" si="22"/>
        <v xml:space="preserve"> 터브이송#4-1 C2축(SD221) Stop 명령이 On된 상태에서 기동을 시도했습니다.</v>
      </c>
      <c r="V353" s="49" t="str">
        <f t="shared" si="21"/>
        <v>[W2212.E] 터브이송#4-1 C2축(SD221) Stop 명령이 On된 상태에서 기동을 시도했습니다.</v>
      </c>
    </row>
    <row r="354" spans="1:22" s="49" customFormat="1" ht="14.15" customHeight="1">
      <c r="A354" s="43" t="s">
        <v>5598</v>
      </c>
      <c r="B354" s="44" t="s">
        <v>157</v>
      </c>
      <c r="C354" s="50"/>
      <c r="D354" s="10" t="s">
        <v>29</v>
      </c>
      <c r="E354" s="11"/>
      <c r="F354" s="11" t="s">
        <v>18</v>
      </c>
      <c r="G354" s="13"/>
      <c r="H354" s="45" t="s">
        <v>16</v>
      </c>
      <c r="I354" s="46"/>
      <c r="J354" s="14" t="s">
        <v>4908</v>
      </c>
      <c r="K354" s="13" t="s">
        <v>7154</v>
      </c>
      <c r="L354" s="99" t="str">
        <f t="shared" si="20"/>
        <v>W2212.F</v>
      </c>
      <c r="M354" s="13" t="s">
        <v>17</v>
      </c>
      <c r="N354" s="13"/>
      <c r="O354" s="13"/>
      <c r="P354" s="47"/>
      <c r="Q354" s="45" t="s">
        <v>3672</v>
      </c>
      <c r="R354" s="45" t="s">
        <v>5596</v>
      </c>
      <c r="S354" s="48"/>
      <c r="T354" s="49" t="str">
        <f t="shared" si="19"/>
        <v>[W2212.F]</v>
      </c>
      <c r="U354" s="12" t="str">
        <f t="shared" si="22"/>
        <v xml:space="preserve"> 터브이송#4-1 C2축(SD221) 가동 전원이 Off 되었습니다.</v>
      </c>
      <c r="V354" s="49" t="str">
        <f t="shared" si="21"/>
        <v>[W2212.F] 터브이송#4-1 C2축(SD221) 가동 전원이 Off 되었습니다.</v>
      </c>
    </row>
    <row r="355" spans="1:22" s="49" customFormat="1" ht="14.15" customHeight="1">
      <c r="A355" s="43" t="s">
        <v>5598</v>
      </c>
      <c r="B355" s="44" t="s">
        <v>157</v>
      </c>
      <c r="C355" s="50"/>
      <c r="D355" s="10" t="s">
        <v>29</v>
      </c>
      <c r="E355" s="11"/>
      <c r="F355" s="11" t="s">
        <v>18</v>
      </c>
      <c r="G355" s="13"/>
      <c r="H355" s="45" t="s">
        <v>16</v>
      </c>
      <c r="I355" s="46"/>
      <c r="J355" s="14" t="s">
        <v>4909</v>
      </c>
      <c r="K355" s="13" t="s">
        <v>7155</v>
      </c>
      <c r="L355" s="99" t="str">
        <f t="shared" si="20"/>
        <v>W2213.0</v>
      </c>
      <c r="M355" s="13" t="s">
        <v>17</v>
      </c>
      <c r="N355" s="13"/>
      <c r="O355" s="13"/>
      <c r="P355" s="47"/>
      <c r="Q355" s="45" t="s">
        <v>3672</v>
      </c>
      <c r="R355" s="45" t="s">
        <v>5596</v>
      </c>
      <c r="S355" s="48"/>
      <c r="T355" s="49" t="str">
        <f t="shared" si="19"/>
        <v>[W2213.0]</v>
      </c>
      <c r="U355" s="12" t="str">
        <f t="shared" si="22"/>
        <v xml:space="preserve"> 터브이송#4-1 C2축(SD221) 엔코더 이상이 검출되었습니다.</v>
      </c>
      <c r="V355" s="49" t="str">
        <f t="shared" si="21"/>
        <v>[W2213.0] 터브이송#4-1 C2축(SD221) 엔코더 이상이 검출되었습니다.</v>
      </c>
    </row>
    <row r="356" spans="1:22" s="49" customFormat="1" ht="14.15" customHeight="1">
      <c r="A356" s="43" t="s">
        <v>5598</v>
      </c>
      <c r="B356" s="44" t="s">
        <v>157</v>
      </c>
      <c r="C356" s="50"/>
      <c r="D356" s="10" t="s">
        <v>29</v>
      </c>
      <c r="E356" s="11"/>
      <c r="F356" s="11" t="s">
        <v>18</v>
      </c>
      <c r="G356" s="13"/>
      <c r="H356" s="45" t="s">
        <v>16</v>
      </c>
      <c r="I356" s="46"/>
      <c r="J356" s="14" t="s">
        <v>4910</v>
      </c>
      <c r="K356" s="13" t="s">
        <v>7156</v>
      </c>
      <c r="L356" s="99" t="str">
        <f t="shared" si="20"/>
        <v>W2213.1</v>
      </c>
      <c r="M356" s="13" t="s">
        <v>17</v>
      </c>
      <c r="N356" s="13"/>
      <c r="O356" s="13"/>
      <c r="P356" s="47"/>
      <c r="Q356" s="45" t="s">
        <v>3672</v>
      </c>
      <c r="R356" s="45" t="s">
        <v>5596</v>
      </c>
      <c r="S356" s="48"/>
      <c r="T356" s="49" t="str">
        <f t="shared" si="19"/>
        <v>[W2213.1]</v>
      </c>
      <c r="U356" s="12" t="str">
        <f t="shared" si="22"/>
        <v xml:space="preserve"> 터브이송#4-1 C2축(SD221) 과전류가 검출되었습니다.</v>
      </c>
      <c r="V356" s="49" t="str">
        <f t="shared" si="21"/>
        <v>[W2213.1] 터브이송#4-1 C2축(SD221) 과전류가 검출되었습니다.</v>
      </c>
    </row>
    <row r="357" spans="1:22" s="49" customFormat="1" ht="14.15" customHeight="1">
      <c r="A357" s="43" t="s">
        <v>5598</v>
      </c>
      <c r="B357" s="44" t="s">
        <v>157</v>
      </c>
      <c r="C357" s="50"/>
      <c r="D357" s="10" t="s">
        <v>29</v>
      </c>
      <c r="E357" s="11"/>
      <c r="F357" s="11" t="s">
        <v>18</v>
      </c>
      <c r="G357" s="13"/>
      <c r="H357" s="45" t="s">
        <v>16</v>
      </c>
      <c r="I357" s="46"/>
      <c r="J357" s="14" t="s">
        <v>4911</v>
      </c>
      <c r="K357" s="13" t="s">
        <v>7157</v>
      </c>
      <c r="L357" s="99" t="str">
        <f t="shared" si="20"/>
        <v>W2213.2</v>
      </c>
      <c r="M357" s="13" t="s">
        <v>17</v>
      </c>
      <c r="N357" s="13"/>
      <c r="O357" s="13"/>
      <c r="P357" s="47"/>
      <c r="Q357" s="45" t="s">
        <v>3672</v>
      </c>
      <c r="R357" s="45" t="s">
        <v>5596</v>
      </c>
      <c r="S357" s="48"/>
      <c r="T357" s="49" t="str">
        <f t="shared" si="19"/>
        <v>[W2213.2]</v>
      </c>
      <c r="U357" s="12" t="str">
        <f t="shared" si="22"/>
        <v xml:space="preserve"> 터브이송#4-1 C2축(SD221) 과부하가 검출되었습니다.</v>
      </c>
      <c r="V357" s="49" t="str">
        <f t="shared" si="21"/>
        <v>[W2213.2] 터브이송#4-1 C2축(SD221) 과부하가 검출되었습니다.</v>
      </c>
    </row>
    <row r="358" spans="1:22" s="49" customFormat="1" ht="14.15" customHeight="1">
      <c r="A358" s="43" t="s">
        <v>5598</v>
      </c>
      <c r="B358" s="44" t="s">
        <v>157</v>
      </c>
      <c r="C358" s="50"/>
      <c r="D358" s="10" t="s">
        <v>29</v>
      </c>
      <c r="E358" s="11"/>
      <c r="F358" s="11" t="s">
        <v>18</v>
      </c>
      <c r="G358" s="13"/>
      <c r="H358" s="45" t="s">
        <v>16</v>
      </c>
      <c r="I358" s="46"/>
      <c r="J358" s="14" t="s">
        <v>4912</v>
      </c>
      <c r="K358" s="13" t="s">
        <v>7158</v>
      </c>
      <c r="L358" s="99" t="str">
        <f t="shared" si="20"/>
        <v>W2213.3</v>
      </c>
      <c r="M358" s="13" t="s">
        <v>17</v>
      </c>
      <c r="N358" s="13"/>
      <c r="O358" s="13"/>
      <c r="P358" s="47"/>
      <c r="Q358" s="45" t="s">
        <v>3672</v>
      </c>
      <c r="R358" s="45" t="s">
        <v>5596</v>
      </c>
      <c r="S358" s="48"/>
      <c r="T358" s="49" t="str">
        <f t="shared" si="19"/>
        <v>[W2213.3]</v>
      </c>
      <c r="U358" s="12" t="str">
        <f t="shared" si="22"/>
        <v xml:space="preserve"> 터브이송#4-1 C2축(SD221)  </v>
      </c>
      <c r="V358" s="49" t="str">
        <f t="shared" si="21"/>
        <v xml:space="preserve">[W2213.3] 터브이송#4-1 C2축(SD221)  </v>
      </c>
    </row>
    <row r="359" spans="1:22" s="49" customFormat="1" ht="14.15" customHeight="1">
      <c r="A359" s="43" t="s">
        <v>5598</v>
      </c>
      <c r="B359" s="44" t="s">
        <v>157</v>
      </c>
      <c r="C359" s="50"/>
      <c r="D359" s="10" t="s">
        <v>29</v>
      </c>
      <c r="E359" s="11"/>
      <c r="F359" s="11" t="s">
        <v>18</v>
      </c>
      <c r="G359" s="13"/>
      <c r="H359" s="45" t="s">
        <v>16</v>
      </c>
      <c r="I359" s="46"/>
      <c r="J359" s="14" t="s">
        <v>4913</v>
      </c>
      <c r="K359" s="13" t="s">
        <v>7159</v>
      </c>
      <c r="L359" s="99" t="str">
        <f t="shared" si="20"/>
        <v>W2213.4</v>
      </c>
      <c r="M359" s="13" t="s">
        <v>17</v>
      </c>
      <c r="N359" s="13"/>
      <c r="O359" s="13"/>
      <c r="P359" s="47"/>
      <c r="Q359" s="45" t="s">
        <v>3672</v>
      </c>
      <c r="R359" s="45" t="s">
        <v>5596</v>
      </c>
      <c r="S359" s="48"/>
      <c r="T359" s="49" t="str">
        <f t="shared" si="19"/>
        <v>[W2213.4]</v>
      </c>
      <c r="U359" s="12" t="str">
        <f t="shared" si="22"/>
        <v xml:space="preserve"> 터브이송#4-1 C2축(SD221) 에러가 발생했습니다.</v>
      </c>
      <c r="V359" s="49" t="str">
        <f t="shared" si="21"/>
        <v>[W2213.4] 터브이송#4-1 C2축(SD221) 에러가 발생했습니다.</v>
      </c>
    </row>
    <row r="360" spans="1:22" s="49" customFormat="1" ht="14.15" customHeight="1">
      <c r="A360" s="43" t="s">
        <v>5598</v>
      </c>
      <c r="B360" s="44" t="s">
        <v>157</v>
      </c>
      <c r="C360" s="50"/>
      <c r="D360" s="10" t="s">
        <v>29</v>
      </c>
      <c r="E360" s="11"/>
      <c r="F360" s="11" t="s">
        <v>18</v>
      </c>
      <c r="G360" s="13"/>
      <c r="H360" s="45" t="s">
        <v>16</v>
      </c>
      <c r="I360" s="46"/>
      <c r="J360" s="14" t="s">
        <v>4914</v>
      </c>
      <c r="K360" s="13" t="s">
        <v>7160</v>
      </c>
      <c r="L360" s="99" t="str">
        <f t="shared" si="20"/>
        <v>W2213.5</v>
      </c>
      <c r="M360" s="13" t="s">
        <v>17</v>
      </c>
      <c r="N360" s="13"/>
      <c r="O360" s="13"/>
      <c r="P360" s="47"/>
      <c r="Q360" s="45" t="s">
        <v>3672</v>
      </c>
      <c r="R360" s="45" t="s">
        <v>5596</v>
      </c>
      <c r="S360" s="48"/>
      <c r="T360" s="49" t="str">
        <f t="shared" si="19"/>
        <v>[W2213.5]</v>
      </c>
      <c r="U360" s="12" t="str">
        <f t="shared" si="22"/>
        <v xml:space="preserve"> 터브이송#4-2 X축(SD222) 운전중에 Ready가 Off 되었습니다.</v>
      </c>
      <c r="V360" s="49" t="str">
        <f t="shared" si="21"/>
        <v>[W2213.5] 터브이송#4-2 X축(SD222) 운전중에 Ready가 Off 되었습니다.</v>
      </c>
    </row>
    <row r="361" spans="1:22" s="49" customFormat="1" ht="14.15" customHeight="1">
      <c r="A361" s="43" t="s">
        <v>5598</v>
      </c>
      <c r="B361" s="44" t="s">
        <v>157</v>
      </c>
      <c r="C361" s="50"/>
      <c r="D361" s="10" t="s">
        <v>29</v>
      </c>
      <c r="E361" s="11"/>
      <c r="F361" s="11" t="s">
        <v>18</v>
      </c>
      <c r="G361" s="13"/>
      <c r="H361" s="45" t="s">
        <v>16</v>
      </c>
      <c r="I361" s="46"/>
      <c r="J361" s="14" t="s">
        <v>4915</v>
      </c>
      <c r="K361" s="13" t="s">
        <v>7161</v>
      </c>
      <c r="L361" s="99" t="str">
        <f t="shared" si="20"/>
        <v>W2213.6</v>
      </c>
      <c r="M361" s="13" t="s">
        <v>17</v>
      </c>
      <c r="N361" s="13"/>
      <c r="O361" s="13"/>
      <c r="P361" s="47"/>
      <c r="Q361" s="45" t="s">
        <v>3672</v>
      </c>
      <c r="R361" s="45" t="s">
        <v>5596</v>
      </c>
      <c r="S361" s="48"/>
      <c r="T361" s="49" t="str">
        <f t="shared" si="19"/>
        <v>[W2213.6]</v>
      </c>
      <c r="U361" s="12" t="str">
        <f t="shared" si="22"/>
        <v xml:space="preserve"> 터브이송#4-2 X축(SD222) FLS가 감지되었습니다.</v>
      </c>
      <c r="V361" s="49" t="str">
        <f t="shared" si="21"/>
        <v>[W2213.6] 터브이송#4-2 X축(SD222) FLS가 감지되었습니다.</v>
      </c>
    </row>
    <row r="362" spans="1:22" s="49" customFormat="1" ht="14.15" customHeight="1">
      <c r="A362" s="43" t="s">
        <v>5598</v>
      </c>
      <c r="B362" s="44" t="s">
        <v>157</v>
      </c>
      <c r="C362" s="50"/>
      <c r="D362" s="10" t="s">
        <v>29</v>
      </c>
      <c r="E362" s="11"/>
      <c r="F362" s="11" t="s">
        <v>18</v>
      </c>
      <c r="G362" s="13"/>
      <c r="H362" s="45" t="s">
        <v>16</v>
      </c>
      <c r="I362" s="46"/>
      <c r="J362" s="14" t="s">
        <v>4916</v>
      </c>
      <c r="K362" s="13" t="s">
        <v>7162</v>
      </c>
      <c r="L362" s="99" t="str">
        <f t="shared" si="20"/>
        <v>W2213.7</v>
      </c>
      <c r="M362" s="13" t="s">
        <v>17</v>
      </c>
      <c r="N362" s="13"/>
      <c r="O362" s="13"/>
      <c r="P362" s="47"/>
      <c r="Q362" s="45" t="s">
        <v>3672</v>
      </c>
      <c r="R362" s="45" t="s">
        <v>5596</v>
      </c>
      <c r="S362" s="48"/>
      <c r="T362" s="49" t="str">
        <f t="shared" si="19"/>
        <v>[W2213.7]</v>
      </c>
      <c r="U362" s="12" t="str">
        <f t="shared" si="22"/>
        <v xml:space="preserve"> 터브이송#4-2 X축(SD222) RLS가 감지되었습니다.</v>
      </c>
      <c r="V362" s="49" t="str">
        <f t="shared" si="21"/>
        <v>[W2213.7] 터브이송#4-2 X축(SD222) RLS가 감지되었습니다.</v>
      </c>
    </row>
    <row r="363" spans="1:22" s="49" customFormat="1" ht="14.15" customHeight="1">
      <c r="A363" s="43" t="s">
        <v>5598</v>
      </c>
      <c r="B363" s="44" t="s">
        <v>157</v>
      </c>
      <c r="C363" s="50"/>
      <c r="D363" s="10" t="s">
        <v>29</v>
      </c>
      <c r="E363" s="11"/>
      <c r="F363" s="11" t="s">
        <v>18</v>
      </c>
      <c r="G363" s="13"/>
      <c r="H363" s="45" t="s">
        <v>16</v>
      </c>
      <c r="I363" s="46"/>
      <c r="J363" s="14" t="s">
        <v>4917</v>
      </c>
      <c r="K363" s="13" t="s">
        <v>7163</v>
      </c>
      <c r="L363" s="99" t="str">
        <f t="shared" si="20"/>
        <v>W2213.8</v>
      </c>
      <c r="M363" s="13" t="s">
        <v>17</v>
      </c>
      <c r="N363" s="13"/>
      <c r="O363" s="13"/>
      <c r="P363" s="47"/>
      <c r="Q363" s="45" t="s">
        <v>3672</v>
      </c>
      <c r="R363" s="45" t="s">
        <v>5596</v>
      </c>
      <c r="S363" s="48"/>
      <c r="T363" s="49" t="str">
        <f t="shared" si="19"/>
        <v>[W2213.8]</v>
      </c>
      <c r="U363" s="12" t="str">
        <f t="shared" si="22"/>
        <v xml:space="preserve"> 터브이송#4-2 X축(SD222) Stop 명령이 On된 상태에서 기동을 시도했습니다.</v>
      </c>
      <c r="V363" s="49" t="str">
        <f t="shared" si="21"/>
        <v>[W2213.8] 터브이송#4-2 X축(SD222) Stop 명령이 On된 상태에서 기동을 시도했습니다.</v>
      </c>
    </row>
    <row r="364" spans="1:22" s="49" customFormat="1" ht="14.15" customHeight="1">
      <c r="A364" s="43" t="s">
        <v>5598</v>
      </c>
      <c r="B364" s="44" t="s">
        <v>157</v>
      </c>
      <c r="C364" s="50"/>
      <c r="D364" s="10" t="s">
        <v>29</v>
      </c>
      <c r="E364" s="11"/>
      <c r="F364" s="11" t="s">
        <v>18</v>
      </c>
      <c r="G364" s="13"/>
      <c r="H364" s="45" t="s">
        <v>16</v>
      </c>
      <c r="I364" s="46"/>
      <c r="J364" s="14" t="s">
        <v>4918</v>
      </c>
      <c r="K364" s="13" t="s">
        <v>7164</v>
      </c>
      <c r="L364" s="99" t="str">
        <f t="shared" si="20"/>
        <v>W2213.9</v>
      </c>
      <c r="M364" s="13" t="s">
        <v>17</v>
      </c>
      <c r="N364" s="13"/>
      <c r="O364" s="13"/>
      <c r="P364" s="47"/>
      <c r="Q364" s="45" t="s">
        <v>3672</v>
      </c>
      <c r="R364" s="45" t="s">
        <v>5596</v>
      </c>
      <c r="S364" s="48"/>
      <c r="T364" s="49" t="str">
        <f t="shared" si="19"/>
        <v>[W2213.9]</v>
      </c>
      <c r="U364" s="12" t="str">
        <f t="shared" si="22"/>
        <v xml:space="preserve"> 터브이송#4-2 X축(SD222) 가동 전원이 Off 되었습니다.</v>
      </c>
      <c r="V364" s="49" t="str">
        <f t="shared" si="21"/>
        <v>[W2213.9] 터브이송#4-2 X축(SD222) 가동 전원이 Off 되었습니다.</v>
      </c>
    </row>
    <row r="365" spans="1:22" s="49" customFormat="1" ht="14.15" customHeight="1">
      <c r="A365" s="43" t="s">
        <v>5598</v>
      </c>
      <c r="B365" s="44" t="s">
        <v>157</v>
      </c>
      <c r="C365" s="50"/>
      <c r="D365" s="10" t="s">
        <v>29</v>
      </c>
      <c r="E365" s="11"/>
      <c r="F365" s="11" t="s">
        <v>18</v>
      </c>
      <c r="G365" s="13"/>
      <c r="H365" s="45" t="s">
        <v>16</v>
      </c>
      <c r="I365" s="46"/>
      <c r="J365" s="14" t="s">
        <v>4919</v>
      </c>
      <c r="K365" s="13" t="s">
        <v>7165</v>
      </c>
      <c r="L365" s="99" t="str">
        <f t="shared" si="20"/>
        <v>W2213.A</v>
      </c>
      <c r="M365" s="13" t="s">
        <v>17</v>
      </c>
      <c r="N365" s="13"/>
      <c r="O365" s="13"/>
      <c r="P365" s="47"/>
      <c r="Q365" s="45" t="s">
        <v>3672</v>
      </c>
      <c r="R365" s="45" t="s">
        <v>5596</v>
      </c>
      <c r="S365" s="48"/>
      <c r="T365" s="49" t="str">
        <f t="shared" si="19"/>
        <v>[W2213.A]</v>
      </c>
      <c r="U365" s="12" t="str">
        <f t="shared" si="22"/>
        <v xml:space="preserve"> 터브이송#4-2 X축(SD222) 엔코더 이상이 검출되었습니다.</v>
      </c>
      <c r="V365" s="49" t="str">
        <f t="shared" si="21"/>
        <v>[W2213.A] 터브이송#4-2 X축(SD222) 엔코더 이상이 검출되었습니다.</v>
      </c>
    </row>
    <row r="366" spans="1:22" s="49" customFormat="1" ht="14.15" customHeight="1">
      <c r="A366" s="43" t="s">
        <v>5598</v>
      </c>
      <c r="B366" s="44" t="s">
        <v>157</v>
      </c>
      <c r="C366" s="50"/>
      <c r="D366" s="10" t="s">
        <v>29</v>
      </c>
      <c r="E366" s="11"/>
      <c r="F366" s="11" t="s">
        <v>18</v>
      </c>
      <c r="G366" s="13"/>
      <c r="H366" s="45" t="s">
        <v>16</v>
      </c>
      <c r="I366" s="46"/>
      <c r="J366" s="14" t="s">
        <v>4920</v>
      </c>
      <c r="K366" s="13" t="s">
        <v>7166</v>
      </c>
      <c r="L366" s="99" t="str">
        <f t="shared" si="20"/>
        <v>W2213.B</v>
      </c>
      <c r="M366" s="13" t="s">
        <v>17</v>
      </c>
      <c r="N366" s="13"/>
      <c r="O366" s="13"/>
      <c r="P366" s="47"/>
      <c r="Q366" s="45" t="s">
        <v>3672</v>
      </c>
      <c r="R366" s="45" t="s">
        <v>5596</v>
      </c>
      <c r="S366" s="48"/>
      <c r="T366" s="49" t="str">
        <f t="shared" si="19"/>
        <v>[W2213.B]</v>
      </c>
      <c r="U366" s="12" t="str">
        <f t="shared" si="22"/>
        <v xml:space="preserve"> 터브이송#4-2 X축(SD222) 과전류가 검출되었습니다.</v>
      </c>
      <c r="V366" s="49" t="str">
        <f t="shared" si="21"/>
        <v>[W2213.B] 터브이송#4-2 X축(SD222) 과전류가 검출되었습니다.</v>
      </c>
    </row>
    <row r="367" spans="1:22" s="49" customFormat="1" ht="14.15" customHeight="1">
      <c r="A367" s="43" t="s">
        <v>5598</v>
      </c>
      <c r="B367" s="44" t="s">
        <v>157</v>
      </c>
      <c r="C367" s="50"/>
      <c r="D367" s="10" t="s">
        <v>29</v>
      </c>
      <c r="E367" s="11"/>
      <c r="F367" s="11" t="s">
        <v>18</v>
      </c>
      <c r="G367" s="13"/>
      <c r="H367" s="45" t="s">
        <v>16</v>
      </c>
      <c r="I367" s="46"/>
      <c r="J367" s="14" t="s">
        <v>4921</v>
      </c>
      <c r="K367" s="13" t="s">
        <v>7167</v>
      </c>
      <c r="L367" s="99" t="str">
        <f t="shared" si="20"/>
        <v>W2213.C</v>
      </c>
      <c r="M367" s="13" t="s">
        <v>17</v>
      </c>
      <c r="N367" s="13"/>
      <c r="O367" s="13"/>
      <c r="P367" s="47"/>
      <c r="Q367" s="45" t="s">
        <v>3672</v>
      </c>
      <c r="R367" s="45" t="s">
        <v>5596</v>
      </c>
      <c r="S367" s="48"/>
      <c r="T367" s="49" t="str">
        <f t="shared" si="19"/>
        <v>[W2213.C]</v>
      </c>
      <c r="U367" s="12" t="str">
        <f t="shared" si="22"/>
        <v xml:space="preserve"> 터브이송#4-2 X축(SD222) 과부하가 검출되었습니다.</v>
      </c>
      <c r="V367" s="49" t="str">
        <f t="shared" si="21"/>
        <v>[W2213.C] 터브이송#4-2 X축(SD222) 과부하가 검출되었습니다.</v>
      </c>
    </row>
    <row r="368" spans="1:22" s="49" customFormat="1" ht="14.15" customHeight="1">
      <c r="A368" s="43" t="s">
        <v>5598</v>
      </c>
      <c r="B368" s="44" t="s">
        <v>157</v>
      </c>
      <c r="C368" s="50"/>
      <c r="D368" s="10" t="s">
        <v>29</v>
      </c>
      <c r="E368" s="11"/>
      <c r="F368" s="11" t="s">
        <v>18</v>
      </c>
      <c r="G368" s="13"/>
      <c r="H368" s="45" t="s">
        <v>16</v>
      </c>
      <c r="I368" s="46"/>
      <c r="J368" s="14" t="s">
        <v>4922</v>
      </c>
      <c r="K368" s="13" t="s">
        <v>7168</v>
      </c>
      <c r="L368" s="99" t="str">
        <f t="shared" si="20"/>
        <v>W2213.D</v>
      </c>
      <c r="M368" s="13" t="s">
        <v>17</v>
      </c>
      <c r="N368" s="13"/>
      <c r="O368" s="13"/>
      <c r="P368" s="47"/>
      <c r="Q368" s="45" t="s">
        <v>3672</v>
      </c>
      <c r="R368" s="45" t="s">
        <v>5596</v>
      </c>
      <c r="S368" s="48"/>
      <c r="T368" s="49" t="str">
        <f t="shared" si="19"/>
        <v>[W2213.D]</v>
      </c>
      <c r="U368" s="12" t="str">
        <f t="shared" si="22"/>
        <v xml:space="preserve"> 터브이송#4-2 X축(SD222)  </v>
      </c>
      <c r="V368" s="49" t="str">
        <f t="shared" si="21"/>
        <v xml:space="preserve">[W2213.D] 터브이송#4-2 X축(SD222)  </v>
      </c>
    </row>
    <row r="369" spans="1:22" s="49" customFormat="1" ht="14.15" customHeight="1">
      <c r="A369" s="43" t="s">
        <v>5598</v>
      </c>
      <c r="B369" s="44" t="s">
        <v>157</v>
      </c>
      <c r="C369" s="50"/>
      <c r="D369" s="10" t="s">
        <v>29</v>
      </c>
      <c r="E369" s="11"/>
      <c r="F369" s="11" t="s">
        <v>18</v>
      </c>
      <c r="G369" s="13"/>
      <c r="H369" s="45" t="s">
        <v>16</v>
      </c>
      <c r="I369" s="46"/>
      <c r="J369" s="14" t="s">
        <v>4923</v>
      </c>
      <c r="K369" s="13" t="s">
        <v>7169</v>
      </c>
      <c r="L369" s="99" t="str">
        <f t="shared" si="20"/>
        <v>W2213.E</v>
      </c>
      <c r="M369" s="13" t="s">
        <v>17</v>
      </c>
      <c r="N369" s="13"/>
      <c r="O369" s="13"/>
      <c r="P369" s="47"/>
      <c r="Q369" s="45" t="s">
        <v>3672</v>
      </c>
      <c r="R369" s="45" t="s">
        <v>5596</v>
      </c>
      <c r="S369" s="48"/>
      <c r="T369" s="49" t="str">
        <f t="shared" si="19"/>
        <v>[W2213.E]</v>
      </c>
      <c r="U369" s="12" t="str">
        <f t="shared" si="22"/>
        <v xml:space="preserve"> 터브이송#4-2 X축(SD222) 에러가 발생했습니다.</v>
      </c>
      <c r="V369" s="49" t="str">
        <f t="shared" si="21"/>
        <v>[W2213.E] 터브이송#4-2 X축(SD222) 에러가 발생했습니다.</v>
      </c>
    </row>
    <row r="370" spans="1:22" s="49" customFormat="1" ht="14.15" customHeight="1">
      <c r="A370" s="43" t="s">
        <v>5598</v>
      </c>
      <c r="B370" s="44" t="s">
        <v>157</v>
      </c>
      <c r="C370" s="50"/>
      <c r="D370" s="10" t="s">
        <v>29</v>
      </c>
      <c r="E370" s="11"/>
      <c r="F370" s="11" t="s">
        <v>18</v>
      </c>
      <c r="G370" s="13"/>
      <c r="H370" s="45" t="s">
        <v>16</v>
      </c>
      <c r="I370" s="46"/>
      <c r="J370" s="14" t="s">
        <v>4924</v>
      </c>
      <c r="K370" s="13" t="s">
        <v>7170</v>
      </c>
      <c r="L370" s="99" t="str">
        <f t="shared" si="20"/>
        <v>W2213.F</v>
      </c>
      <c r="M370" s="13" t="s">
        <v>17</v>
      </c>
      <c r="N370" s="13"/>
      <c r="O370" s="13"/>
      <c r="P370" s="47"/>
      <c r="Q370" s="45" t="s">
        <v>3672</v>
      </c>
      <c r="R370" s="45" t="s">
        <v>5596</v>
      </c>
      <c r="S370" s="48"/>
      <c r="T370" s="49" t="str">
        <f t="shared" si="19"/>
        <v>[W2213.F]</v>
      </c>
      <c r="U370" s="12" t="str">
        <f t="shared" si="22"/>
        <v xml:space="preserve"> 터브이송#4-2 Z축(SD223) 운전중에 Ready가 Off 되었습니다.</v>
      </c>
      <c r="V370" s="49" t="str">
        <f t="shared" si="21"/>
        <v>[W2213.F] 터브이송#4-2 Z축(SD223) 운전중에 Ready가 Off 되었습니다.</v>
      </c>
    </row>
    <row r="371" spans="1:22" s="49" customFormat="1" ht="14.15" customHeight="1">
      <c r="A371" s="43" t="s">
        <v>5598</v>
      </c>
      <c r="B371" s="44" t="s">
        <v>157</v>
      </c>
      <c r="C371" s="50"/>
      <c r="D371" s="10" t="s">
        <v>29</v>
      </c>
      <c r="E371" s="11"/>
      <c r="F371" s="11" t="s">
        <v>18</v>
      </c>
      <c r="G371" s="13"/>
      <c r="H371" s="45" t="s">
        <v>16</v>
      </c>
      <c r="I371" s="45"/>
      <c r="J371" s="12" t="s">
        <v>4925</v>
      </c>
      <c r="K371" s="13" t="s">
        <v>7171</v>
      </c>
      <c r="L371" s="99" t="str">
        <f t="shared" si="20"/>
        <v>W2214.0</v>
      </c>
      <c r="M371" s="13" t="s">
        <v>17</v>
      </c>
      <c r="N371" s="13"/>
      <c r="O371" s="13"/>
      <c r="P371" s="52"/>
      <c r="Q371" s="45" t="s">
        <v>3672</v>
      </c>
      <c r="R371" s="45" t="s">
        <v>5596</v>
      </c>
      <c r="S371" s="48"/>
      <c r="T371" s="49" t="str">
        <f t="shared" ref="T371:T434" si="23">"["&amp;L371&amp;"]"</f>
        <v>[W2214.0]</v>
      </c>
      <c r="U371" s="12" t="str">
        <f t="shared" si="22"/>
        <v xml:space="preserve"> 터브이송#4-2 Z축(SD223) FLS가 감지되었습니다.</v>
      </c>
      <c r="V371" s="49" t="str">
        <f t="shared" si="21"/>
        <v>[W2214.0] 터브이송#4-2 Z축(SD223) FLS가 감지되었습니다.</v>
      </c>
    </row>
    <row r="372" spans="1:22" s="49" customFormat="1" ht="14.15" customHeight="1">
      <c r="A372" s="43" t="s">
        <v>5598</v>
      </c>
      <c r="B372" s="44" t="s">
        <v>157</v>
      </c>
      <c r="C372" s="50"/>
      <c r="D372" s="10" t="s">
        <v>29</v>
      </c>
      <c r="E372" s="11"/>
      <c r="F372" s="11" t="s">
        <v>18</v>
      </c>
      <c r="G372" s="13"/>
      <c r="H372" s="45" t="s">
        <v>16</v>
      </c>
      <c r="I372" s="45"/>
      <c r="J372" s="12" t="s">
        <v>4926</v>
      </c>
      <c r="K372" s="13" t="s">
        <v>7172</v>
      </c>
      <c r="L372" s="99" t="str">
        <f t="shared" ref="L372:L435" si="24">"W"&amp;DEC2HEX(8704 + INT((ROW()-51)/16)) &amp; "." &amp; IF(MOD(ROW()-51,16)&lt;10,MOD(ROW()-51,16),CHAR(MOD(ROW()-51,16)+55))</f>
        <v>W2214.1</v>
      </c>
      <c r="M372" s="13" t="s">
        <v>17</v>
      </c>
      <c r="N372" s="13"/>
      <c r="O372" s="13"/>
      <c r="P372" s="52"/>
      <c r="Q372" s="45" t="s">
        <v>3672</v>
      </c>
      <c r="R372" s="45" t="s">
        <v>5596</v>
      </c>
      <c r="S372" s="48"/>
      <c r="T372" s="49" t="str">
        <f t="shared" si="23"/>
        <v>[W2214.1]</v>
      </c>
      <c r="U372" s="12" t="str">
        <f t="shared" si="22"/>
        <v xml:space="preserve"> 터브이송#4-2 Z축(SD223) RLS가 감지되었습니다.</v>
      </c>
      <c r="V372" s="49" t="str">
        <f t="shared" ref="V372:V435" si="25">T372&amp;U372</f>
        <v>[W2214.1] 터브이송#4-2 Z축(SD223) RLS가 감지되었습니다.</v>
      </c>
    </row>
    <row r="373" spans="1:22" s="49" customFormat="1" ht="14.15" customHeight="1">
      <c r="A373" s="43" t="s">
        <v>5598</v>
      </c>
      <c r="B373" s="44" t="s">
        <v>157</v>
      </c>
      <c r="C373" s="50"/>
      <c r="D373" s="10" t="s">
        <v>29</v>
      </c>
      <c r="E373" s="11"/>
      <c r="F373" s="11" t="s">
        <v>18</v>
      </c>
      <c r="G373" s="13"/>
      <c r="H373" s="45" t="s">
        <v>16</v>
      </c>
      <c r="I373" s="45"/>
      <c r="J373" s="12" t="s">
        <v>4927</v>
      </c>
      <c r="K373" s="13" t="s">
        <v>7173</v>
      </c>
      <c r="L373" s="99" t="str">
        <f t="shared" si="24"/>
        <v>W2214.2</v>
      </c>
      <c r="M373" s="13" t="s">
        <v>17</v>
      </c>
      <c r="N373" s="13"/>
      <c r="O373" s="13"/>
      <c r="P373" s="52"/>
      <c r="Q373" s="45" t="s">
        <v>3672</v>
      </c>
      <c r="R373" s="45" t="s">
        <v>5596</v>
      </c>
      <c r="S373" s="48"/>
      <c r="T373" s="49" t="str">
        <f t="shared" si="23"/>
        <v>[W2214.2]</v>
      </c>
      <c r="U373" s="12" t="str">
        <f t="shared" si="22"/>
        <v xml:space="preserve"> 터브이송#4-2 Z축(SD223) Stop 명령이 On된 상태에서 기동을 시도했습니다.</v>
      </c>
      <c r="V373" s="49" t="str">
        <f t="shared" si="25"/>
        <v>[W2214.2] 터브이송#4-2 Z축(SD223) Stop 명령이 On된 상태에서 기동을 시도했습니다.</v>
      </c>
    </row>
    <row r="374" spans="1:22" s="49" customFormat="1" ht="14.15" customHeight="1">
      <c r="A374" s="43" t="s">
        <v>5598</v>
      </c>
      <c r="B374" s="44" t="s">
        <v>157</v>
      </c>
      <c r="C374" s="50"/>
      <c r="D374" s="10" t="s">
        <v>29</v>
      </c>
      <c r="E374" s="11"/>
      <c r="F374" s="11" t="s">
        <v>18</v>
      </c>
      <c r="G374" s="13"/>
      <c r="H374" s="45" t="s">
        <v>16</v>
      </c>
      <c r="I374" s="45"/>
      <c r="J374" s="12" t="s">
        <v>4928</v>
      </c>
      <c r="K374" s="13" t="s">
        <v>7174</v>
      </c>
      <c r="L374" s="99" t="str">
        <f t="shared" si="24"/>
        <v>W2214.3</v>
      </c>
      <c r="M374" s="13" t="s">
        <v>17</v>
      </c>
      <c r="N374" s="13"/>
      <c r="O374" s="13"/>
      <c r="P374" s="52"/>
      <c r="Q374" s="45" t="s">
        <v>3672</v>
      </c>
      <c r="R374" s="45" t="s">
        <v>5596</v>
      </c>
      <c r="S374" s="48"/>
      <c r="T374" s="49" t="str">
        <f t="shared" si="23"/>
        <v>[W2214.3]</v>
      </c>
      <c r="U374" s="12" t="str">
        <f t="shared" si="22"/>
        <v xml:space="preserve"> 터브이송#4-2 Z축(SD223) 가동 전원이 Off 되었습니다.</v>
      </c>
      <c r="V374" s="49" t="str">
        <f t="shared" si="25"/>
        <v>[W2214.3] 터브이송#4-2 Z축(SD223) 가동 전원이 Off 되었습니다.</v>
      </c>
    </row>
    <row r="375" spans="1:22" s="49" customFormat="1" ht="14.15" customHeight="1">
      <c r="A375" s="43" t="s">
        <v>5598</v>
      </c>
      <c r="B375" s="44" t="s">
        <v>157</v>
      </c>
      <c r="C375" s="50"/>
      <c r="D375" s="10" t="s">
        <v>29</v>
      </c>
      <c r="E375" s="11"/>
      <c r="F375" s="11" t="s">
        <v>18</v>
      </c>
      <c r="G375" s="13"/>
      <c r="H375" s="45" t="s">
        <v>16</v>
      </c>
      <c r="I375" s="45"/>
      <c r="J375" s="12" t="s">
        <v>4929</v>
      </c>
      <c r="K375" s="13" t="s">
        <v>7175</v>
      </c>
      <c r="L375" s="99" t="str">
        <f t="shared" si="24"/>
        <v>W2214.4</v>
      </c>
      <c r="M375" s="13" t="s">
        <v>17</v>
      </c>
      <c r="N375" s="13"/>
      <c r="O375" s="13"/>
      <c r="P375" s="52"/>
      <c r="Q375" s="45" t="s">
        <v>3672</v>
      </c>
      <c r="R375" s="45" t="s">
        <v>5596</v>
      </c>
      <c r="S375" s="48"/>
      <c r="T375" s="49" t="str">
        <f t="shared" si="23"/>
        <v>[W2214.4]</v>
      </c>
      <c r="U375" s="12" t="str">
        <f t="shared" si="22"/>
        <v xml:space="preserve"> 터브이송#4-2 Z축(SD223) 엔코더 이상이 검출되었습니다.</v>
      </c>
      <c r="V375" s="49" t="str">
        <f t="shared" si="25"/>
        <v>[W2214.4] 터브이송#4-2 Z축(SD223) 엔코더 이상이 검출되었습니다.</v>
      </c>
    </row>
    <row r="376" spans="1:22" s="49" customFormat="1" ht="14.15" customHeight="1">
      <c r="A376" s="43" t="s">
        <v>5598</v>
      </c>
      <c r="B376" s="44" t="s">
        <v>157</v>
      </c>
      <c r="C376" s="50"/>
      <c r="D376" s="10" t="s">
        <v>29</v>
      </c>
      <c r="E376" s="11"/>
      <c r="F376" s="11" t="s">
        <v>18</v>
      </c>
      <c r="G376" s="13"/>
      <c r="H376" s="45" t="s">
        <v>16</v>
      </c>
      <c r="I376" s="45"/>
      <c r="J376" s="12" t="s">
        <v>4930</v>
      </c>
      <c r="K376" s="13" t="s">
        <v>7176</v>
      </c>
      <c r="L376" s="99" t="str">
        <f t="shared" si="24"/>
        <v>W2214.5</v>
      </c>
      <c r="M376" s="13" t="s">
        <v>17</v>
      </c>
      <c r="N376" s="13"/>
      <c r="O376" s="13"/>
      <c r="P376" s="52"/>
      <c r="Q376" s="45" t="s">
        <v>3672</v>
      </c>
      <c r="R376" s="45" t="s">
        <v>5596</v>
      </c>
      <c r="S376" s="48"/>
      <c r="T376" s="49" t="str">
        <f t="shared" si="23"/>
        <v>[W2214.5]</v>
      </c>
      <c r="U376" s="12" t="str">
        <f t="shared" si="22"/>
        <v xml:space="preserve"> 터브이송#4-2 Z축(SD223) 과전류가 검출되었습니다.</v>
      </c>
      <c r="V376" s="49" t="str">
        <f t="shared" si="25"/>
        <v>[W2214.5] 터브이송#4-2 Z축(SD223) 과전류가 검출되었습니다.</v>
      </c>
    </row>
    <row r="377" spans="1:22" s="49" customFormat="1" ht="14.15" customHeight="1">
      <c r="A377" s="43" t="s">
        <v>5598</v>
      </c>
      <c r="B377" s="44" t="s">
        <v>157</v>
      </c>
      <c r="C377" s="50"/>
      <c r="D377" s="10" t="s">
        <v>29</v>
      </c>
      <c r="E377" s="11"/>
      <c r="F377" s="11" t="s">
        <v>18</v>
      </c>
      <c r="G377" s="13"/>
      <c r="H377" s="45" t="s">
        <v>16</v>
      </c>
      <c r="I377" s="45"/>
      <c r="J377" s="12" t="s">
        <v>4931</v>
      </c>
      <c r="K377" s="13" t="s">
        <v>7177</v>
      </c>
      <c r="L377" s="99" t="str">
        <f t="shared" si="24"/>
        <v>W2214.6</v>
      </c>
      <c r="M377" s="13" t="s">
        <v>17</v>
      </c>
      <c r="N377" s="13"/>
      <c r="O377" s="13"/>
      <c r="P377" s="52"/>
      <c r="Q377" s="45" t="s">
        <v>3672</v>
      </c>
      <c r="R377" s="45" t="s">
        <v>5596</v>
      </c>
      <c r="S377" s="48"/>
      <c r="T377" s="49" t="str">
        <f t="shared" si="23"/>
        <v>[W2214.6]</v>
      </c>
      <c r="U377" s="12" t="str">
        <f t="shared" si="22"/>
        <v xml:space="preserve"> 터브이송#4-2 Z축(SD223) 과부하가 검출되었습니다.</v>
      </c>
      <c r="V377" s="49" t="str">
        <f t="shared" si="25"/>
        <v>[W2214.6] 터브이송#4-2 Z축(SD223) 과부하가 검출되었습니다.</v>
      </c>
    </row>
    <row r="378" spans="1:22" s="49" customFormat="1" ht="14.15" customHeight="1">
      <c r="A378" s="43" t="s">
        <v>5598</v>
      </c>
      <c r="B378" s="44" t="s">
        <v>157</v>
      </c>
      <c r="C378" s="50"/>
      <c r="D378" s="10" t="s">
        <v>29</v>
      </c>
      <c r="E378" s="11"/>
      <c r="F378" s="11" t="s">
        <v>18</v>
      </c>
      <c r="G378" s="13"/>
      <c r="H378" s="45" t="s">
        <v>16</v>
      </c>
      <c r="I378" s="45"/>
      <c r="J378" s="12" t="s">
        <v>4932</v>
      </c>
      <c r="K378" s="13" t="s">
        <v>7178</v>
      </c>
      <c r="L378" s="99" t="str">
        <f t="shared" si="24"/>
        <v>W2214.7</v>
      </c>
      <c r="M378" s="13" t="s">
        <v>17</v>
      </c>
      <c r="N378" s="13"/>
      <c r="O378" s="13"/>
      <c r="P378" s="52"/>
      <c r="Q378" s="45" t="s">
        <v>3672</v>
      </c>
      <c r="R378" s="45" t="s">
        <v>5596</v>
      </c>
      <c r="S378" s="48"/>
      <c r="T378" s="49" t="str">
        <f t="shared" si="23"/>
        <v>[W2214.7]</v>
      </c>
      <c r="U378" s="12" t="str">
        <f t="shared" si="22"/>
        <v xml:space="preserve"> 터브이송#4-2 Z축(SD223)  </v>
      </c>
      <c r="V378" s="49" t="str">
        <f t="shared" si="25"/>
        <v xml:space="preserve">[W2214.7] 터브이송#4-2 Z축(SD223)  </v>
      </c>
    </row>
    <row r="379" spans="1:22" s="49" customFormat="1" ht="14.15" customHeight="1">
      <c r="A379" s="43" t="s">
        <v>5598</v>
      </c>
      <c r="B379" s="44" t="s">
        <v>157</v>
      </c>
      <c r="C379" s="50"/>
      <c r="D379" s="10" t="s">
        <v>29</v>
      </c>
      <c r="E379" s="11"/>
      <c r="F379" s="11" t="s">
        <v>18</v>
      </c>
      <c r="G379" s="13"/>
      <c r="H379" s="45" t="s">
        <v>16</v>
      </c>
      <c r="I379" s="45"/>
      <c r="J379" s="12" t="s">
        <v>4933</v>
      </c>
      <c r="K379" s="13" t="s">
        <v>7179</v>
      </c>
      <c r="L379" s="99" t="str">
        <f t="shared" si="24"/>
        <v>W2214.8</v>
      </c>
      <c r="M379" s="13" t="s">
        <v>17</v>
      </c>
      <c r="N379" s="13"/>
      <c r="O379" s="13"/>
      <c r="P379" s="52"/>
      <c r="Q379" s="45" t="s">
        <v>3672</v>
      </c>
      <c r="R379" s="45" t="s">
        <v>5596</v>
      </c>
      <c r="S379" s="48"/>
      <c r="T379" s="49" t="str">
        <f t="shared" si="23"/>
        <v>[W2214.8]</v>
      </c>
      <c r="U379" s="12" t="str">
        <f t="shared" si="22"/>
        <v xml:space="preserve"> 터브이송#4-2 Z축(SD223) 에러가 발생했습니다.</v>
      </c>
      <c r="V379" s="49" t="str">
        <f t="shared" si="25"/>
        <v>[W2214.8] 터브이송#4-2 Z축(SD223) 에러가 발생했습니다.</v>
      </c>
    </row>
    <row r="380" spans="1:22" s="49" customFormat="1" ht="14.15" customHeight="1">
      <c r="A380" s="43" t="s">
        <v>5598</v>
      </c>
      <c r="B380" s="44" t="s">
        <v>157</v>
      </c>
      <c r="C380" s="50"/>
      <c r="D380" s="10" t="s">
        <v>29</v>
      </c>
      <c r="E380" s="11"/>
      <c r="F380" s="11" t="s">
        <v>18</v>
      </c>
      <c r="G380" s="13"/>
      <c r="H380" s="45" t="s">
        <v>16</v>
      </c>
      <c r="I380" s="45"/>
      <c r="J380" s="12" t="s">
        <v>4934</v>
      </c>
      <c r="K380" s="13" t="s">
        <v>7180</v>
      </c>
      <c r="L380" s="99" t="str">
        <f t="shared" si="24"/>
        <v>W2214.9</v>
      </c>
      <c r="M380" s="13" t="s">
        <v>17</v>
      </c>
      <c r="N380" s="13"/>
      <c r="O380" s="13"/>
      <c r="P380" s="52"/>
      <c r="Q380" s="45" t="s">
        <v>3672</v>
      </c>
      <c r="R380" s="45" t="s">
        <v>5596</v>
      </c>
      <c r="S380" s="48"/>
      <c r="T380" s="49" t="str">
        <f t="shared" si="23"/>
        <v>[W2214.9]</v>
      </c>
      <c r="U380" s="12" t="str">
        <f t="shared" si="22"/>
        <v xml:space="preserve"> 터브이송#4-2 C1축(SD224) 운전중에 Ready가 Off 되었습니다.</v>
      </c>
      <c r="V380" s="49" t="str">
        <f t="shared" si="25"/>
        <v>[W2214.9] 터브이송#4-2 C1축(SD224) 운전중에 Ready가 Off 되었습니다.</v>
      </c>
    </row>
    <row r="381" spans="1:22" s="49" customFormat="1" ht="14.15" customHeight="1">
      <c r="A381" s="43" t="s">
        <v>5598</v>
      </c>
      <c r="B381" s="44" t="s">
        <v>157</v>
      </c>
      <c r="C381" s="50"/>
      <c r="D381" s="10" t="s">
        <v>29</v>
      </c>
      <c r="E381" s="11"/>
      <c r="F381" s="11" t="s">
        <v>18</v>
      </c>
      <c r="G381" s="13"/>
      <c r="H381" s="45" t="s">
        <v>16</v>
      </c>
      <c r="I381" s="45"/>
      <c r="J381" s="12" t="s">
        <v>4935</v>
      </c>
      <c r="K381" s="13" t="s">
        <v>7181</v>
      </c>
      <c r="L381" s="99" t="str">
        <f t="shared" si="24"/>
        <v>W2214.A</v>
      </c>
      <c r="M381" s="13" t="s">
        <v>17</v>
      </c>
      <c r="N381" s="13"/>
      <c r="O381" s="13"/>
      <c r="P381" s="52"/>
      <c r="Q381" s="45" t="s">
        <v>3672</v>
      </c>
      <c r="R381" s="45" t="s">
        <v>5596</v>
      </c>
      <c r="S381" s="48"/>
      <c r="T381" s="49" t="str">
        <f t="shared" si="23"/>
        <v>[W2214.A]</v>
      </c>
      <c r="U381" s="12" t="str">
        <f t="shared" si="22"/>
        <v xml:space="preserve"> 터브이송#4-2 C1축(SD224) FLS가 감지되었습니다.</v>
      </c>
      <c r="V381" s="49" t="str">
        <f t="shared" si="25"/>
        <v>[W2214.A] 터브이송#4-2 C1축(SD224) FLS가 감지되었습니다.</v>
      </c>
    </row>
    <row r="382" spans="1:22" s="49" customFormat="1" ht="14.15" customHeight="1">
      <c r="A382" s="43" t="s">
        <v>5598</v>
      </c>
      <c r="B382" s="44" t="s">
        <v>157</v>
      </c>
      <c r="C382" s="50"/>
      <c r="D382" s="10" t="s">
        <v>29</v>
      </c>
      <c r="E382" s="11"/>
      <c r="F382" s="11" t="s">
        <v>18</v>
      </c>
      <c r="G382" s="13"/>
      <c r="H382" s="45" t="s">
        <v>16</v>
      </c>
      <c r="I382" s="45"/>
      <c r="J382" s="12" t="s">
        <v>4936</v>
      </c>
      <c r="K382" s="13" t="s">
        <v>7182</v>
      </c>
      <c r="L382" s="99" t="str">
        <f t="shared" si="24"/>
        <v>W2214.B</v>
      </c>
      <c r="M382" s="13" t="s">
        <v>17</v>
      </c>
      <c r="N382" s="13"/>
      <c r="O382" s="13"/>
      <c r="P382" s="52"/>
      <c r="Q382" s="45" t="s">
        <v>3672</v>
      </c>
      <c r="R382" s="45" t="s">
        <v>5596</v>
      </c>
      <c r="S382" s="48"/>
      <c r="T382" s="49" t="str">
        <f t="shared" si="23"/>
        <v>[W2214.B]</v>
      </c>
      <c r="U382" s="12" t="str">
        <f t="shared" si="22"/>
        <v xml:space="preserve"> 터브이송#4-2 C1축(SD224) RLS가 감지되었습니다.</v>
      </c>
      <c r="V382" s="49" t="str">
        <f t="shared" si="25"/>
        <v>[W2214.B] 터브이송#4-2 C1축(SD224) RLS가 감지되었습니다.</v>
      </c>
    </row>
    <row r="383" spans="1:22" s="49" customFormat="1" ht="14.15" customHeight="1">
      <c r="A383" s="43" t="s">
        <v>5598</v>
      </c>
      <c r="B383" s="44" t="s">
        <v>157</v>
      </c>
      <c r="C383" s="50"/>
      <c r="D383" s="10" t="s">
        <v>29</v>
      </c>
      <c r="E383" s="11"/>
      <c r="F383" s="11" t="s">
        <v>18</v>
      </c>
      <c r="G383" s="13"/>
      <c r="H383" s="45" t="s">
        <v>16</v>
      </c>
      <c r="I383" s="45"/>
      <c r="J383" s="12" t="s">
        <v>4937</v>
      </c>
      <c r="K383" s="13" t="s">
        <v>7183</v>
      </c>
      <c r="L383" s="99" t="str">
        <f t="shared" si="24"/>
        <v>W2214.C</v>
      </c>
      <c r="M383" s="13" t="s">
        <v>17</v>
      </c>
      <c r="N383" s="13"/>
      <c r="O383" s="13"/>
      <c r="P383" s="52"/>
      <c r="Q383" s="45" t="s">
        <v>3672</v>
      </c>
      <c r="R383" s="45" t="s">
        <v>5596</v>
      </c>
      <c r="S383" s="48"/>
      <c r="T383" s="49" t="str">
        <f t="shared" si="23"/>
        <v>[W2214.C]</v>
      </c>
      <c r="U383" s="12" t="str">
        <f t="shared" si="22"/>
        <v xml:space="preserve"> 터브이송#4-2 C1축(SD224) Stop 명령이 On된 상태에서 기동을 시도했습니다.</v>
      </c>
      <c r="V383" s="49" t="str">
        <f t="shared" si="25"/>
        <v>[W2214.C] 터브이송#4-2 C1축(SD224) Stop 명령이 On된 상태에서 기동을 시도했습니다.</v>
      </c>
    </row>
    <row r="384" spans="1:22" s="49" customFormat="1" ht="14.15" customHeight="1">
      <c r="A384" s="43" t="s">
        <v>5598</v>
      </c>
      <c r="B384" s="44" t="s">
        <v>157</v>
      </c>
      <c r="C384" s="50"/>
      <c r="D384" s="10" t="s">
        <v>29</v>
      </c>
      <c r="E384" s="11"/>
      <c r="F384" s="11" t="s">
        <v>18</v>
      </c>
      <c r="G384" s="13"/>
      <c r="H384" s="45" t="s">
        <v>16</v>
      </c>
      <c r="I384" s="45"/>
      <c r="J384" s="12" t="s">
        <v>4938</v>
      </c>
      <c r="K384" s="13" t="s">
        <v>7184</v>
      </c>
      <c r="L384" s="99" t="str">
        <f t="shared" si="24"/>
        <v>W2214.D</v>
      </c>
      <c r="M384" s="13" t="s">
        <v>17</v>
      </c>
      <c r="N384" s="13"/>
      <c r="O384" s="13"/>
      <c r="P384" s="52"/>
      <c r="Q384" s="45" t="s">
        <v>3672</v>
      </c>
      <c r="R384" s="45" t="s">
        <v>5596</v>
      </c>
      <c r="S384" s="48"/>
      <c r="T384" s="49" t="str">
        <f t="shared" si="23"/>
        <v>[W2214.D]</v>
      </c>
      <c r="U384" s="12" t="str">
        <f t="shared" si="22"/>
        <v xml:space="preserve"> 터브이송#4-2 C1축(SD224) 가동 전원이 Off 되었습니다.</v>
      </c>
      <c r="V384" s="49" t="str">
        <f t="shared" si="25"/>
        <v>[W2214.D] 터브이송#4-2 C1축(SD224) 가동 전원이 Off 되었습니다.</v>
      </c>
    </row>
    <row r="385" spans="1:22" s="49" customFormat="1" ht="14.15" customHeight="1">
      <c r="A385" s="43" t="s">
        <v>5598</v>
      </c>
      <c r="B385" s="44" t="s">
        <v>157</v>
      </c>
      <c r="C385" s="50"/>
      <c r="D385" s="10" t="s">
        <v>29</v>
      </c>
      <c r="E385" s="11"/>
      <c r="F385" s="11" t="s">
        <v>18</v>
      </c>
      <c r="G385" s="13"/>
      <c r="H385" s="45" t="s">
        <v>16</v>
      </c>
      <c r="I385" s="45"/>
      <c r="J385" s="12" t="s">
        <v>4939</v>
      </c>
      <c r="K385" s="13" t="s">
        <v>7185</v>
      </c>
      <c r="L385" s="99" t="str">
        <f t="shared" si="24"/>
        <v>W2214.E</v>
      </c>
      <c r="M385" s="13" t="s">
        <v>17</v>
      </c>
      <c r="N385" s="13"/>
      <c r="O385" s="13"/>
      <c r="P385" s="52"/>
      <c r="Q385" s="45" t="s">
        <v>3672</v>
      </c>
      <c r="R385" s="45" t="s">
        <v>5596</v>
      </c>
      <c r="S385" s="48"/>
      <c r="T385" s="49" t="str">
        <f t="shared" si="23"/>
        <v>[W2214.E]</v>
      </c>
      <c r="U385" s="12" t="str">
        <f t="shared" si="22"/>
        <v xml:space="preserve"> 터브이송#4-2 C1축(SD224) 엔코더 이상이 검출되었습니다.</v>
      </c>
      <c r="V385" s="49" t="str">
        <f t="shared" si="25"/>
        <v>[W2214.E] 터브이송#4-2 C1축(SD224) 엔코더 이상이 검출되었습니다.</v>
      </c>
    </row>
    <row r="386" spans="1:22" s="49" customFormat="1" ht="14.15" customHeight="1">
      <c r="A386" s="43" t="s">
        <v>5598</v>
      </c>
      <c r="B386" s="44" t="s">
        <v>157</v>
      </c>
      <c r="C386" s="50"/>
      <c r="D386" s="10" t="s">
        <v>29</v>
      </c>
      <c r="E386" s="11"/>
      <c r="F386" s="11" t="s">
        <v>18</v>
      </c>
      <c r="G386" s="13"/>
      <c r="H386" s="45" t="s">
        <v>16</v>
      </c>
      <c r="I386" s="45"/>
      <c r="J386" s="12" t="s">
        <v>4940</v>
      </c>
      <c r="K386" s="13" t="s">
        <v>7186</v>
      </c>
      <c r="L386" s="99" t="str">
        <f t="shared" si="24"/>
        <v>W2214.F</v>
      </c>
      <c r="M386" s="13" t="s">
        <v>17</v>
      </c>
      <c r="N386" s="13"/>
      <c r="O386" s="13"/>
      <c r="P386" s="52"/>
      <c r="Q386" s="45" t="s">
        <v>3672</v>
      </c>
      <c r="R386" s="45" t="s">
        <v>5596</v>
      </c>
      <c r="S386" s="48"/>
      <c r="T386" s="49" t="str">
        <f t="shared" si="23"/>
        <v>[W2214.F]</v>
      </c>
      <c r="U386" s="12" t="str">
        <f t="shared" si="22"/>
        <v xml:space="preserve"> 터브이송#4-2 C1축(SD224) 과전류가 검출되었습니다.</v>
      </c>
      <c r="V386" s="49" t="str">
        <f t="shared" si="25"/>
        <v>[W2214.F] 터브이송#4-2 C1축(SD224) 과전류가 검출되었습니다.</v>
      </c>
    </row>
    <row r="387" spans="1:22" s="49" customFormat="1" ht="14.15" customHeight="1">
      <c r="A387" s="43" t="s">
        <v>5598</v>
      </c>
      <c r="B387" s="44" t="s">
        <v>157</v>
      </c>
      <c r="C387" s="50"/>
      <c r="D387" s="10" t="s">
        <v>29</v>
      </c>
      <c r="E387" s="11"/>
      <c r="F387" s="11" t="s">
        <v>18</v>
      </c>
      <c r="G387" s="13"/>
      <c r="H387" s="45" t="s">
        <v>16</v>
      </c>
      <c r="I387" s="46"/>
      <c r="J387" s="14" t="s">
        <v>4941</v>
      </c>
      <c r="K387" s="13" t="s">
        <v>7187</v>
      </c>
      <c r="L387" s="99" t="str">
        <f t="shared" si="24"/>
        <v>W2215.0</v>
      </c>
      <c r="M387" s="13" t="s">
        <v>17</v>
      </c>
      <c r="N387" s="13"/>
      <c r="O387" s="13"/>
      <c r="P387" s="52"/>
      <c r="Q387" s="45" t="s">
        <v>3672</v>
      </c>
      <c r="R387" s="45" t="s">
        <v>5596</v>
      </c>
      <c r="S387" s="48"/>
      <c r="T387" s="49" t="str">
        <f t="shared" si="23"/>
        <v>[W2215.0]</v>
      </c>
      <c r="U387" s="12" t="str">
        <f t="shared" si="22"/>
        <v xml:space="preserve"> 터브이송#4-2 C1축(SD224) 과부하가 검출되었습니다.</v>
      </c>
      <c r="V387" s="49" t="str">
        <f t="shared" si="25"/>
        <v>[W2215.0] 터브이송#4-2 C1축(SD224) 과부하가 검출되었습니다.</v>
      </c>
    </row>
    <row r="388" spans="1:22" s="49" customFormat="1" ht="14.15" customHeight="1">
      <c r="A388" s="43" t="s">
        <v>5598</v>
      </c>
      <c r="B388" s="44" t="s">
        <v>157</v>
      </c>
      <c r="C388" s="50"/>
      <c r="D388" s="10" t="s">
        <v>29</v>
      </c>
      <c r="E388" s="11"/>
      <c r="F388" s="11" t="s">
        <v>18</v>
      </c>
      <c r="G388" s="13"/>
      <c r="H388" s="45" t="s">
        <v>16</v>
      </c>
      <c r="I388" s="46"/>
      <c r="J388" s="14" t="s">
        <v>4942</v>
      </c>
      <c r="K388" s="13" t="s">
        <v>7188</v>
      </c>
      <c r="L388" s="99" t="str">
        <f t="shared" si="24"/>
        <v>W2215.1</v>
      </c>
      <c r="M388" s="13" t="s">
        <v>17</v>
      </c>
      <c r="N388" s="13"/>
      <c r="O388" s="13"/>
      <c r="P388" s="52"/>
      <c r="Q388" s="45" t="s">
        <v>3672</v>
      </c>
      <c r="R388" s="45" t="s">
        <v>5596</v>
      </c>
      <c r="S388" s="48"/>
      <c r="T388" s="49" t="str">
        <f t="shared" si="23"/>
        <v>[W2215.1]</v>
      </c>
      <c r="U388" s="12" t="str">
        <f t="shared" si="22"/>
        <v xml:space="preserve"> 터브이송#4-2 C1축(SD224)  </v>
      </c>
      <c r="V388" s="49" t="str">
        <f t="shared" si="25"/>
        <v xml:space="preserve">[W2215.1] 터브이송#4-2 C1축(SD224)  </v>
      </c>
    </row>
    <row r="389" spans="1:22" s="49" customFormat="1" ht="14.15" customHeight="1">
      <c r="A389" s="43" t="s">
        <v>5598</v>
      </c>
      <c r="B389" s="44" t="s">
        <v>157</v>
      </c>
      <c r="C389" s="50"/>
      <c r="D389" s="10" t="s">
        <v>29</v>
      </c>
      <c r="E389" s="11"/>
      <c r="F389" s="11" t="s">
        <v>18</v>
      </c>
      <c r="G389" s="13"/>
      <c r="H389" s="45" t="s">
        <v>16</v>
      </c>
      <c r="I389" s="46"/>
      <c r="J389" s="14" t="s">
        <v>4943</v>
      </c>
      <c r="K389" s="13" t="s">
        <v>7189</v>
      </c>
      <c r="L389" s="99" t="str">
        <f t="shared" si="24"/>
        <v>W2215.2</v>
      </c>
      <c r="M389" s="13" t="s">
        <v>17</v>
      </c>
      <c r="N389" s="13"/>
      <c r="O389" s="13"/>
      <c r="P389" s="52"/>
      <c r="Q389" s="45" t="s">
        <v>3672</v>
      </c>
      <c r="R389" s="45" t="s">
        <v>5596</v>
      </c>
      <c r="S389" s="48"/>
      <c r="T389" s="49" t="str">
        <f t="shared" si="23"/>
        <v>[W2215.2]</v>
      </c>
      <c r="U389" s="12" t="str">
        <f t="shared" si="22"/>
        <v xml:space="preserve"> 터브이송#4-2 C1축(SD224) 에러가 발생했습니다.</v>
      </c>
      <c r="V389" s="49" t="str">
        <f t="shared" si="25"/>
        <v>[W2215.2] 터브이송#4-2 C1축(SD224) 에러가 발생했습니다.</v>
      </c>
    </row>
    <row r="390" spans="1:22" s="49" customFormat="1" ht="14.15" customHeight="1">
      <c r="A390" s="43" t="s">
        <v>5598</v>
      </c>
      <c r="B390" s="44" t="s">
        <v>157</v>
      </c>
      <c r="C390" s="50"/>
      <c r="D390" s="10" t="s">
        <v>29</v>
      </c>
      <c r="E390" s="11"/>
      <c r="F390" s="11" t="s">
        <v>18</v>
      </c>
      <c r="G390" s="13"/>
      <c r="H390" s="45" t="s">
        <v>16</v>
      </c>
      <c r="I390" s="46"/>
      <c r="J390" s="14" t="s">
        <v>4944</v>
      </c>
      <c r="K390" s="13" t="s">
        <v>7190</v>
      </c>
      <c r="L390" s="99" t="str">
        <f t="shared" si="24"/>
        <v>W2215.3</v>
      </c>
      <c r="M390" s="13" t="s">
        <v>17</v>
      </c>
      <c r="N390" s="13"/>
      <c r="O390" s="13"/>
      <c r="P390" s="52"/>
      <c r="Q390" s="45" t="s">
        <v>3672</v>
      </c>
      <c r="R390" s="45" t="s">
        <v>5596</v>
      </c>
      <c r="S390" s="48"/>
      <c r="T390" s="49" t="str">
        <f t="shared" si="23"/>
        <v>[W2215.3]</v>
      </c>
      <c r="U390" s="12" t="str">
        <f t="shared" si="22"/>
        <v xml:space="preserve"> 터브이송#4-2 C2축(SD225) 운전중에 Ready가 Off 되었습니다.</v>
      </c>
      <c r="V390" s="49" t="str">
        <f t="shared" si="25"/>
        <v>[W2215.3] 터브이송#4-2 C2축(SD225) 운전중에 Ready가 Off 되었습니다.</v>
      </c>
    </row>
    <row r="391" spans="1:22" s="49" customFormat="1" ht="14.15" customHeight="1">
      <c r="A391" s="43" t="s">
        <v>5598</v>
      </c>
      <c r="B391" s="44" t="s">
        <v>157</v>
      </c>
      <c r="C391" s="50"/>
      <c r="D391" s="10" t="s">
        <v>29</v>
      </c>
      <c r="E391" s="11"/>
      <c r="F391" s="11" t="s">
        <v>18</v>
      </c>
      <c r="G391" s="13"/>
      <c r="H391" s="45" t="s">
        <v>16</v>
      </c>
      <c r="I391" s="46"/>
      <c r="J391" s="14" t="s">
        <v>4945</v>
      </c>
      <c r="K391" s="13" t="s">
        <v>7191</v>
      </c>
      <c r="L391" s="99" t="str">
        <f t="shared" si="24"/>
        <v>W2215.4</v>
      </c>
      <c r="M391" s="13" t="s">
        <v>17</v>
      </c>
      <c r="N391" s="13"/>
      <c r="O391" s="13"/>
      <c r="P391" s="52"/>
      <c r="Q391" s="45" t="s">
        <v>3672</v>
      </c>
      <c r="R391" s="45" t="s">
        <v>5596</v>
      </c>
      <c r="S391" s="48"/>
      <c r="T391" s="49" t="str">
        <f t="shared" si="23"/>
        <v>[W2215.4]</v>
      </c>
      <c r="U391" s="12" t="str">
        <f t="shared" si="22"/>
        <v xml:space="preserve"> 터브이송#4-2 C2축(SD225) FLS가 감지되었습니다.</v>
      </c>
      <c r="V391" s="49" t="str">
        <f t="shared" si="25"/>
        <v>[W2215.4] 터브이송#4-2 C2축(SD225) FLS가 감지되었습니다.</v>
      </c>
    </row>
    <row r="392" spans="1:22" s="49" customFormat="1" ht="14.15" customHeight="1">
      <c r="A392" s="43" t="s">
        <v>5598</v>
      </c>
      <c r="B392" s="44" t="s">
        <v>157</v>
      </c>
      <c r="C392" s="50"/>
      <c r="D392" s="10" t="s">
        <v>29</v>
      </c>
      <c r="E392" s="11"/>
      <c r="F392" s="11" t="s">
        <v>18</v>
      </c>
      <c r="G392" s="13"/>
      <c r="H392" s="45" t="s">
        <v>16</v>
      </c>
      <c r="I392" s="46"/>
      <c r="J392" s="14" t="s">
        <v>4946</v>
      </c>
      <c r="K392" s="13" t="s">
        <v>7192</v>
      </c>
      <c r="L392" s="99" t="str">
        <f t="shared" si="24"/>
        <v>W2215.5</v>
      </c>
      <c r="M392" s="13" t="s">
        <v>17</v>
      </c>
      <c r="N392" s="13"/>
      <c r="O392" s="13"/>
      <c r="P392" s="52"/>
      <c r="Q392" s="45" t="s">
        <v>3672</v>
      </c>
      <c r="R392" s="45" t="s">
        <v>5596</v>
      </c>
      <c r="S392" s="48"/>
      <c r="T392" s="49" t="str">
        <f t="shared" si="23"/>
        <v>[W2215.5]</v>
      </c>
      <c r="U392" s="12" t="str">
        <f t="shared" si="22"/>
        <v xml:space="preserve"> 터브이송#4-2 C2축(SD225) RLS가 감지되었습니다.</v>
      </c>
      <c r="V392" s="49" t="str">
        <f t="shared" si="25"/>
        <v>[W2215.5] 터브이송#4-2 C2축(SD225) RLS가 감지되었습니다.</v>
      </c>
    </row>
    <row r="393" spans="1:22" s="49" customFormat="1" ht="14.15" customHeight="1">
      <c r="A393" s="43" t="s">
        <v>5598</v>
      </c>
      <c r="B393" s="44" t="s">
        <v>157</v>
      </c>
      <c r="C393" s="50"/>
      <c r="D393" s="10" t="s">
        <v>29</v>
      </c>
      <c r="E393" s="11"/>
      <c r="F393" s="11" t="s">
        <v>18</v>
      </c>
      <c r="G393" s="13"/>
      <c r="H393" s="45" t="s">
        <v>16</v>
      </c>
      <c r="I393" s="46"/>
      <c r="J393" s="14" t="s">
        <v>4947</v>
      </c>
      <c r="K393" s="13" t="s">
        <v>7193</v>
      </c>
      <c r="L393" s="99" t="str">
        <f t="shared" si="24"/>
        <v>W2215.6</v>
      </c>
      <c r="M393" s="13" t="s">
        <v>17</v>
      </c>
      <c r="N393" s="13"/>
      <c r="O393" s="13"/>
      <c r="P393" s="52"/>
      <c r="Q393" s="45" t="s">
        <v>3672</v>
      </c>
      <c r="R393" s="45" t="s">
        <v>5596</v>
      </c>
      <c r="S393" s="48"/>
      <c r="T393" s="49" t="str">
        <f t="shared" si="23"/>
        <v>[W2215.6]</v>
      </c>
      <c r="U393" s="12" t="str">
        <f t="shared" si="22"/>
        <v xml:space="preserve"> 터브이송#4-2 C2축(SD225) Stop 명령이 On된 상태에서 기동을 시도했습니다.</v>
      </c>
      <c r="V393" s="49" t="str">
        <f t="shared" si="25"/>
        <v>[W2215.6] 터브이송#4-2 C2축(SD225) Stop 명령이 On된 상태에서 기동을 시도했습니다.</v>
      </c>
    </row>
    <row r="394" spans="1:22" s="49" customFormat="1" ht="14.15" customHeight="1">
      <c r="A394" s="43" t="s">
        <v>5598</v>
      </c>
      <c r="B394" s="44" t="s">
        <v>157</v>
      </c>
      <c r="C394" s="50"/>
      <c r="D394" s="10" t="s">
        <v>29</v>
      </c>
      <c r="E394" s="11"/>
      <c r="F394" s="11" t="s">
        <v>18</v>
      </c>
      <c r="G394" s="13"/>
      <c r="H394" s="45" t="s">
        <v>16</v>
      </c>
      <c r="I394" s="46"/>
      <c r="J394" s="14" t="s">
        <v>4948</v>
      </c>
      <c r="K394" s="13" t="s">
        <v>7194</v>
      </c>
      <c r="L394" s="99" t="str">
        <f t="shared" si="24"/>
        <v>W2215.7</v>
      </c>
      <c r="M394" s="13" t="s">
        <v>17</v>
      </c>
      <c r="N394" s="13"/>
      <c r="O394" s="13"/>
      <c r="P394" s="52"/>
      <c r="Q394" s="45" t="s">
        <v>3672</v>
      </c>
      <c r="R394" s="45" t="s">
        <v>5596</v>
      </c>
      <c r="S394" s="48"/>
      <c r="T394" s="49" t="str">
        <f t="shared" si="23"/>
        <v>[W2215.7]</v>
      </c>
      <c r="U394" s="12" t="str">
        <f t="shared" si="22"/>
        <v xml:space="preserve"> 터브이송#4-2 C2축(SD225) 가동 전원이 Off 되었습니다.</v>
      </c>
      <c r="V394" s="49" t="str">
        <f t="shared" si="25"/>
        <v>[W2215.7] 터브이송#4-2 C2축(SD225) 가동 전원이 Off 되었습니다.</v>
      </c>
    </row>
    <row r="395" spans="1:22" s="49" customFormat="1" ht="14.15" customHeight="1">
      <c r="A395" s="43" t="s">
        <v>5598</v>
      </c>
      <c r="B395" s="44" t="s">
        <v>157</v>
      </c>
      <c r="C395" s="50"/>
      <c r="D395" s="10" t="s">
        <v>29</v>
      </c>
      <c r="E395" s="11"/>
      <c r="F395" s="11" t="s">
        <v>18</v>
      </c>
      <c r="G395" s="13"/>
      <c r="H395" s="45" t="s">
        <v>16</v>
      </c>
      <c r="I395" s="46"/>
      <c r="J395" s="14" t="s">
        <v>4949</v>
      </c>
      <c r="K395" s="13" t="s">
        <v>7195</v>
      </c>
      <c r="L395" s="99" t="str">
        <f t="shared" si="24"/>
        <v>W2215.8</v>
      </c>
      <c r="M395" s="13" t="s">
        <v>17</v>
      </c>
      <c r="N395" s="13"/>
      <c r="O395" s="13"/>
      <c r="P395" s="52"/>
      <c r="Q395" s="45" t="s">
        <v>3672</v>
      </c>
      <c r="R395" s="45" t="s">
        <v>5596</v>
      </c>
      <c r="S395" s="48"/>
      <c r="T395" s="49" t="str">
        <f t="shared" si="23"/>
        <v>[W2215.8]</v>
      </c>
      <c r="U395" s="12" t="str">
        <f t="shared" si="22"/>
        <v xml:space="preserve"> 터브이송#4-2 C2축(SD225) 엔코더 이상이 검출되었습니다.</v>
      </c>
      <c r="V395" s="49" t="str">
        <f t="shared" si="25"/>
        <v>[W2215.8] 터브이송#4-2 C2축(SD225) 엔코더 이상이 검출되었습니다.</v>
      </c>
    </row>
    <row r="396" spans="1:22" s="49" customFormat="1" ht="14.15" customHeight="1">
      <c r="A396" s="43" t="s">
        <v>5598</v>
      </c>
      <c r="B396" s="44" t="s">
        <v>157</v>
      </c>
      <c r="C396" s="50"/>
      <c r="D396" s="10" t="s">
        <v>29</v>
      </c>
      <c r="E396" s="11"/>
      <c r="F396" s="11" t="s">
        <v>18</v>
      </c>
      <c r="G396" s="13"/>
      <c r="H396" s="45" t="s">
        <v>16</v>
      </c>
      <c r="I396" s="46"/>
      <c r="J396" s="14" t="s">
        <v>4950</v>
      </c>
      <c r="K396" s="13" t="s">
        <v>7196</v>
      </c>
      <c r="L396" s="99" t="str">
        <f t="shared" si="24"/>
        <v>W2215.9</v>
      </c>
      <c r="M396" s="13" t="s">
        <v>17</v>
      </c>
      <c r="N396" s="13"/>
      <c r="O396" s="13"/>
      <c r="P396" s="52"/>
      <c r="Q396" s="45" t="s">
        <v>3672</v>
      </c>
      <c r="R396" s="45" t="s">
        <v>5596</v>
      </c>
      <c r="S396" s="48"/>
      <c r="T396" s="49" t="str">
        <f t="shared" si="23"/>
        <v>[W2215.9]</v>
      </c>
      <c r="U396" s="12" t="str">
        <f t="shared" si="22"/>
        <v xml:space="preserve"> 터브이송#4-2 C2축(SD225) 과전류가 검출되었습니다.</v>
      </c>
      <c r="V396" s="49" t="str">
        <f t="shared" si="25"/>
        <v>[W2215.9] 터브이송#4-2 C2축(SD225) 과전류가 검출되었습니다.</v>
      </c>
    </row>
    <row r="397" spans="1:22" s="49" customFormat="1" ht="14.15" customHeight="1">
      <c r="A397" s="43" t="s">
        <v>5598</v>
      </c>
      <c r="B397" s="44" t="s">
        <v>157</v>
      </c>
      <c r="C397" s="50"/>
      <c r="D397" s="10" t="s">
        <v>29</v>
      </c>
      <c r="E397" s="11"/>
      <c r="F397" s="11" t="s">
        <v>18</v>
      </c>
      <c r="G397" s="13"/>
      <c r="H397" s="45" t="s">
        <v>16</v>
      </c>
      <c r="I397" s="46"/>
      <c r="J397" s="14" t="s">
        <v>4951</v>
      </c>
      <c r="K397" s="13" t="s">
        <v>7197</v>
      </c>
      <c r="L397" s="99" t="str">
        <f t="shared" si="24"/>
        <v>W2215.A</v>
      </c>
      <c r="M397" s="13" t="s">
        <v>17</v>
      </c>
      <c r="N397" s="13"/>
      <c r="O397" s="13"/>
      <c r="P397" s="52"/>
      <c r="Q397" s="45" t="s">
        <v>3672</v>
      </c>
      <c r="R397" s="45" t="s">
        <v>5596</v>
      </c>
      <c r="S397" s="48"/>
      <c r="T397" s="49" t="str">
        <f t="shared" si="23"/>
        <v>[W2215.A]</v>
      </c>
      <c r="U397" s="12" t="str">
        <f t="shared" si="22"/>
        <v xml:space="preserve"> 터브이송#4-2 C2축(SD225) 과부하가 검출되었습니다.</v>
      </c>
      <c r="V397" s="49" t="str">
        <f t="shared" si="25"/>
        <v>[W2215.A] 터브이송#4-2 C2축(SD225) 과부하가 검출되었습니다.</v>
      </c>
    </row>
    <row r="398" spans="1:22" s="49" customFormat="1" ht="14.15" customHeight="1">
      <c r="A398" s="43" t="s">
        <v>5598</v>
      </c>
      <c r="B398" s="44" t="s">
        <v>157</v>
      </c>
      <c r="C398" s="50"/>
      <c r="D398" s="10" t="s">
        <v>29</v>
      </c>
      <c r="E398" s="11"/>
      <c r="F398" s="11" t="s">
        <v>18</v>
      </c>
      <c r="G398" s="13"/>
      <c r="H398" s="45" t="s">
        <v>16</v>
      </c>
      <c r="I398" s="46"/>
      <c r="J398" s="14" t="s">
        <v>4952</v>
      </c>
      <c r="K398" s="13" t="s">
        <v>7198</v>
      </c>
      <c r="L398" s="99" t="str">
        <f t="shared" si="24"/>
        <v>W2215.B</v>
      </c>
      <c r="M398" s="13" t="s">
        <v>17</v>
      </c>
      <c r="N398" s="13"/>
      <c r="O398" s="13"/>
      <c r="P398" s="52"/>
      <c r="Q398" s="45" t="s">
        <v>3672</v>
      </c>
      <c r="R398" s="45" t="s">
        <v>5596</v>
      </c>
      <c r="S398" s="48"/>
      <c r="T398" s="49" t="str">
        <f t="shared" si="23"/>
        <v>[W2215.B]</v>
      </c>
      <c r="U398" s="12" t="str">
        <f t="shared" si="22"/>
        <v xml:space="preserve"> 터브이송#4-2 C2축(SD225)  </v>
      </c>
      <c r="V398" s="49" t="str">
        <f t="shared" si="25"/>
        <v xml:space="preserve">[W2215.B] 터브이송#4-2 C2축(SD225)  </v>
      </c>
    </row>
    <row r="399" spans="1:22" s="49" customFormat="1" ht="14.15" customHeight="1">
      <c r="A399" s="43" t="s">
        <v>5598</v>
      </c>
      <c r="B399" s="44" t="s">
        <v>157</v>
      </c>
      <c r="C399" s="50"/>
      <c r="D399" s="10" t="s">
        <v>29</v>
      </c>
      <c r="E399" s="11"/>
      <c r="F399" s="11" t="s">
        <v>18</v>
      </c>
      <c r="G399" s="13"/>
      <c r="H399" s="45" t="s">
        <v>16</v>
      </c>
      <c r="I399" s="46"/>
      <c r="J399" s="14" t="s">
        <v>4953</v>
      </c>
      <c r="K399" s="13" t="s">
        <v>7199</v>
      </c>
      <c r="L399" s="99" t="str">
        <f t="shared" si="24"/>
        <v>W2215.C</v>
      </c>
      <c r="M399" s="13" t="s">
        <v>17</v>
      </c>
      <c r="N399" s="13"/>
      <c r="O399" s="13"/>
      <c r="P399" s="52"/>
      <c r="Q399" s="45" t="s">
        <v>3672</v>
      </c>
      <c r="R399" s="45" t="s">
        <v>5596</v>
      </c>
      <c r="S399" s="48"/>
      <c r="T399" s="49" t="str">
        <f t="shared" si="23"/>
        <v>[W2215.C]</v>
      </c>
      <c r="U399" s="12" t="str">
        <f t="shared" si="22"/>
        <v xml:space="preserve"> 터브이송#4-2 C2축(SD225) 에러가 발생했습니다.</v>
      </c>
      <c r="V399" s="49" t="str">
        <f t="shared" si="25"/>
        <v>[W2215.C] 터브이송#4-2 C2축(SD225) 에러가 발생했습니다.</v>
      </c>
    </row>
    <row r="400" spans="1:22" s="49" customFormat="1" ht="14.15" customHeight="1">
      <c r="A400" s="43" t="s">
        <v>5598</v>
      </c>
      <c r="B400" s="44" t="s">
        <v>157</v>
      </c>
      <c r="C400" s="50"/>
      <c r="D400" s="10" t="s">
        <v>29</v>
      </c>
      <c r="E400" s="11"/>
      <c r="F400" s="11" t="s">
        <v>18</v>
      </c>
      <c r="G400" s="13"/>
      <c r="H400" s="45" t="s">
        <v>16</v>
      </c>
      <c r="I400" s="46"/>
      <c r="J400" s="14" t="s">
        <v>4954</v>
      </c>
      <c r="K400" s="13" t="s">
        <v>7200</v>
      </c>
      <c r="L400" s="99" t="str">
        <f t="shared" si="24"/>
        <v>W2215.D</v>
      </c>
      <c r="M400" s="13" t="s">
        <v>17</v>
      </c>
      <c r="N400" s="13"/>
      <c r="O400" s="13"/>
      <c r="P400" s="52"/>
      <c r="Q400" s="45" t="s">
        <v>3672</v>
      </c>
      <c r="R400" s="45" t="s">
        <v>5596</v>
      </c>
      <c r="S400" s="48"/>
      <c r="T400" s="49" t="str">
        <f t="shared" si="23"/>
        <v>[W2215.D]</v>
      </c>
      <c r="U400" s="12" t="str">
        <f t="shared" si="22"/>
        <v xml:space="preserve"> 터브이송#4-3 X축(SD226) 운전중에 Ready가 Off 되었습니다.</v>
      </c>
      <c r="V400" s="49" t="str">
        <f t="shared" si="25"/>
        <v>[W2215.D] 터브이송#4-3 X축(SD226) 운전중에 Ready가 Off 되었습니다.</v>
      </c>
    </row>
    <row r="401" spans="1:22" s="49" customFormat="1" ht="14.15" customHeight="1">
      <c r="A401" s="43" t="s">
        <v>5598</v>
      </c>
      <c r="B401" s="44" t="s">
        <v>157</v>
      </c>
      <c r="C401" s="50"/>
      <c r="D401" s="10" t="s">
        <v>29</v>
      </c>
      <c r="E401" s="11"/>
      <c r="F401" s="11" t="s">
        <v>18</v>
      </c>
      <c r="G401" s="13"/>
      <c r="H401" s="45" t="s">
        <v>16</v>
      </c>
      <c r="I401" s="46"/>
      <c r="J401" s="14" t="s">
        <v>4955</v>
      </c>
      <c r="K401" s="13" t="s">
        <v>7201</v>
      </c>
      <c r="L401" s="99" t="str">
        <f t="shared" si="24"/>
        <v>W2215.E</v>
      </c>
      <c r="M401" s="13" t="s">
        <v>17</v>
      </c>
      <c r="N401" s="13"/>
      <c r="O401" s="13"/>
      <c r="P401" s="52"/>
      <c r="Q401" s="45" t="s">
        <v>3672</v>
      </c>
      <c r="R401" s="45" t="s">
        <v>5596</v>
      </c>
      <c r="S401" s="48"/>
      <c r="T401" s="49" t="str">
        <f t="shared" si="23"/>
        <v>[W2215.E]</v>
      </c>
      <c r="U401" s="12" t="str">
        <f t="shared" si="22"/>
        <v xml:space="preserve"> 터브이송#4-3 X축(SD226) FLS가 감지되었습니다.</v>
      </c>
      <c r="V401" s="49" t="str">
        <f t="shared" si="25"/>
        <v>[W2215.E] 터브이송#4-3 X축(SD226) FLS가 감지되었습니다.</v>
      </c>
    </row>
    <row r="402" spans="1:22" s="49" customFormat="1" ht="14.15" customHeight="1">
      <c r="A402" s="43" t="s">
        <v>5598</v>
      </c>
      <c r="B402" s="44" t="s">
        <v>157</v>
      </c>
      <c r="C402" s="50"/>
      <c r="D402" s="10" t="s">
        <v>29</v>
      </c>
      <c r="E402" s="11"/>
      <c r="F402" s="11" t="s">
        <v>18</v>
      </c>
      <c r="G402" s="13"/>
      <c r="H402" s="45" t="s">
        <v>16</v>
      </c>
      <c r="I402" s="46"/>
      <c r="J402" s="14" t="s">
        <v>4956</v>
      </c>
      <c r="K402" s="13" t="s">
        <v>7202</v>
      </c>
      <c r="L402" s="99" t="str">
        <f t="shared" si="24"/>
        <v>W2215.F</v>
      </c>
      <c r="M402" s="13" t="s">
        <v>17</v>
      </c>
      <c r="N402" s="13"/>
      <c r="O402" s="13"/>
      <c r="P402" s="52"/>
      <c r="Q402" s="45" t="s">
        <v>3672</v>
      </c>
      <c r="R402" s="45" t="s">
        <v>5596</v>
      </c>
      <c r="S402" s="48"/>
      <c r="T402" s="49" t="str">
        <f t="shared" si="23"/>
        <v>[W2215.F]</v>
      </c>
      <c r="U402" s="12" t="str">
        <f t="shared" si="22"/>
        <v xml:space="preserve"> 터브이송#4-3 X축(SD226) RLS가 감지되었습니다.</v>
      </c>
      <c r="V402" s="49" t="str">
        <f t="shared" si="25"/>
        <v>[W2215.F] 터브이송#4-3 X축(SD226) RLS가 감지되었습니다.</v>
      </c>
    </row>
    <row r="403" spans="1:22" s="49" customFormat="1" ht="14.15" customHeight="1">
      <c r="A403" s="43" t="s">
        <v>5598</v>
      </c>
      <c r="B403" s="44" t="s">
        <v>157</v>
      </c>
      <c r="C403" s="50"/>
      <c r="D403" s="10" t="s">
        <v>29</v>
      </c>
      <c r="E403" s="11"/>
      <c r="F403" s="11" t="s">
        <v>18</v>
      </c>
      <c r="G403" s="13"/>
      <c r="H403" s="45" t="s">
        <v>16</v>
      </c>
      <c r="I403" s="46"/>
      <c r="J403" s="14" t="s">
        <v>4957</v>
      </c>
      <c r="K403" s="13" t="s">
        <v>7203</v>
      </c>
      <c r="L403" s="99" t="str">
        <f t="shared" si="24"/>
        <v>W2216.0</v>
      </c>
      <c r="M403" s="13" t="s">
        <v>17</v>
      </c>
      <c r="N403" s="13"/>
      <c r="O403" s="13"/>
      <c r="P403" s="52"/>
      <c r="Q403" s="45" t="s">
        <v>3672</v>
      </c>
      <c r="R403" s="45" t="s">
        <v>5596</v>
      </c>
      <c r="S403" s="48"/>
      <c r="T403" s="49" t="str">
        <f t="shared" si="23"/>
        <v>[W2216.0]</v>
      </c>
      <c r="U403" s="12" t="str">
        <f t="shared" si="22"/>
        <v xml:space="preserve"> 터브이송#4-3 X축(SD226) Stop 명령이 On된 상태에서 기동을 시도했습니다.</v>
      </c>
      <c r="V403" s="49" t="str">
        <f t="shared" si="25"/>
        <v>[W2216.0] 터브이송#4-3 X축(SD226) Stop 명령이 On된 상태에서 기동을 시도했습니다.</v>
      </c>
    </row>
    <row r="404" spans="1:22" s="49" customFormat="1" ht="14.15" customHeight="1">
      <c r="A404" s="43" t="s">
        <v>5598</v>
      </c>
      <c r="B404" s="44" t="s">
        <v>157</v>
      </c>
      <c r="C404" s="50"/>
      <c r="D404" s="10" t="s">
        <v>29</v>
      </c>
      <c r="E404" s="11"/>
      <c r="F404" s="11" t="s">
        <v>18</v>
      </c>
      <c r="G404" s="13"/>
      <c r="H404" s="45" t="s">
        <v>16</v>
      </c>
      <c r="I404" s="46"/>
      <c r="J404" s="14" t="s">
        <v>4958</v>
      </c>
      <c r="K404" s="13" t="s">
        <v>7204</v>
      </c>
      <c r="L404" s="99" t="str">
        <f t="shared" si="24"/>
        <v>W2216.1</v>
      </c>
      <c r="M404" s="13" t="s">
        <v>17</v>
      </c>
      <c r="N404" s="13"/>
      <c r="O404" s="13"/>
      <c r="P404" s="52"/>
      <c r="Q404" s="45" t="s">
        <v>3672</v>
      </c>
      <c r="R404" s="45" t="s">
        <v>5596</v>
      </c>
      <c r="S404" s="48"/>
      <c r="T404" s="49" t="str">
        <f t="shared" si="23"/>
        <v>[W2216.1]</v>
      </c>
      <c r="U404" s="12" t="str">
        <f t="shared" ref="U404:U438" si="26">RIGHT(J404,LEN(J404)-7)</f>
        <v xml:space="preserve"> 터브이송#4-3 X축(SD226) 가동 전원이 Off 되었습니다.</v>
      </c>
      <c r="V404" s="49" t="str">
        <f t="shared" si="25"/>
        <v>[W2216.1] 터브이송#4-3 X축(SD226) 가동 전원이 Off 되었습니다.</v>
      </c>
    </row>
    <row r="405" spans="1:22" s="49" customFormat="1" ht="14.15" customHeight="1">
      <c r="A405" s="43" t="s">
        <v>5598</v>
      </c>
      <c r="B405" s="44" t="s">
        <v>157</v>
      </c>
      <c r="C405" s="50"/>
      <c r="D405" s="10" t="s">
        <v>29</v>
      </c>
      <c r="E405" s="11"/>
      <c r="F405" s="11" t="s">
        <v>18</v>
      </c>
      <c r="G405" s="13"/>
      <c r="H405" s="45" t="s">
        <v>16</v>
      </c>
      <c r="I405" s="46"/>
      <c r="J405" s="14" t="s">
        <v>4959</v>
      </c>
      <c r="K405" s="13" t="s">
        <v>7205</v>
      </c>
      <c r="L405" s="99" t="str">
        <f t="shared" si="24"/>
        <v>W2216.2</v>
      </c>
      <c r="M405" s="13" t="s">
        <v>17</v>
      </c>
      <c r="N405" s="13"/>
      <c r="O405" s="13"/>
      <c r="P405" s="47"/>
      <c r="Q405" s="45" t="s">
        <v>3672</v>
      </c>
      <c r="R405" s="45" t="s">
        <v>5596</v>
      </c>
      <c r="S405" s="48"/>
      <c r="T405" s="49" t="str">
        <f t="shared" si="23"/>
        <v>[W2216.2]</v>
      </c>
      <c r="U405" s="12" t="str">
        <f t="shared" si="26"/>
        <v xml:space="preserve"> 터브이송#4-3 X축(SD226) 엔코더 이상이 검출되었습니다.</v>
      </c>
      <c r="V405" s="49" t="str">
        <f t="shared" si="25"/>
        <v>[W2216.2] 터브이송#4-3 X축(SD226) 엔코더 이상이 검출되었습니다.</v>
      </c>
    </row>
    <row r="406" spans="1:22" s="49" customFormat="1" ht="14.15" customHeight="1">
      <c r="A406" s="43" t="s">
        <v>5598</v>
      </c>
      <c r="B406" s="44" t="s">
        <v>157</v>
      </c>
      <c r="C406" s="50"/>
      <c r="D406" s="10" t="s">
        <v>29</v>
      </c>
      <c r="E406" s="11"/>
      <c r="F406" s="11" t="s">
        <v>18</v>
      </c>
      <c r="G406" s="13"/>
      <c r="H406" s="45" t="s">
        <v>16</v>
      </c>
      <c r="I406" s="46"/>
      <c r="J406" s="14" t="s">
        <v>4960</v>
      </c>
      <c r="K406" s="13" t="s">
        <v>7206</v>
      </c>
      <c r="L406" s="99" t="str">
        <f t="shared" si="24"/>
        <v>W2216.3</v>
      </c>
      <c r="M406" s="13" t="s">
        <v>17</v>
      </c>
      <c r="N406" s="13"/>
      <c r="O406" s="13"/>
      <c r="P406" s="47"/>
      <c r="Q406" s="45" t="s">
        <v>3672</v>
      </c>
      <c r="R406" s="45" t="s">
        <v>5596</v>
      </c>
      <c r="S406" s="48"/>
      <c r="T406" s="49" t="str">
        <f t="shared" si="23"/>
        <v>[W2216.3]</v>
      </c>
      <c r="U406" s="12" t="str">
        <f t="shared" si="26"/>
        <v xml:space="preserve"> 터브이송#4-3 X축(SD226) 과전류가 검출되었습니다.</v>
      </c>
      <c r="V406" s="49" t="str">
        <f t="shared" si="25"/>
        <v>[W2216.3] 터브이송#4-3 X축(SD226) 과전류가 검출되었습니다.</v>
      </c>
    </row>
    <row r="407" spans="1:22" s="49" customFormat="1" ht="14.15" customHeight="1">
      <c r="A407" s="43" t="s">
        <v>5598</v>
      </c>
      <c r="B407" s="44" t="s">
        <v>157</v>
      </c>
      <c r="C407" s="50"/>
      <c r="D407" s="10" t="s">
        <v>29</v>
      </c>
      <c r="E407" s="11"/>
      <c r="F407" s="11" t="s">
        <v>18</v>
      </c>
      <c r="G407" s="13"/>
      <c r="H407" s="45" t="s">
        <v>16</v>
      </c>
      <c r="I407" s="46"/>
      <c r="J407" s="14" t="s">
        <v>4961</v>
      </c>
      <c r="K407" s="13" t="s">
        <v>7207</v>
      </c>
      <c r="L407" s="99" t="str">
        <f t="shared" si="24"/>
        <v>W2216.4</v>
      </c>
      <c r="M407" s="13" t="s">
        <v>17</v>
      </c>
      <c r="N407" s="13"/>
      <c r="O407" s="13"/>
      <c r="P407" s="47"/>
      <c r="Q407" s="45" t="s">
        <v>3672</v>
      </c>
      <c r="R407" s="45" t="s">
        <v>5596</v>
      </c>
      <c r="S407" s="48"/>
      <c r="T407" s="49" t="str">
        <f t="shared" si="23"/>
        <v>[W2216.4]</v>
      </c>
      <c r="U407" s="12" t="str">
        <f t="shared" si="26"/>
        <v xml:space="preserve"> 터브이송#4-3 X축(SD226) 과부하가 검출되었습니다.</v>
      </c>
      <c r="V407" s="49" t="str">
        <f t="shared" si="25"/>
        <v>[W2216.4] 터브이송#4-3 X축(SD226) 과부하가 검출되었습니다.</v>
      </c>
    </row>
    <row r="408" spans="1:22" s="49" customFormat="1" ht="14.15" customHeight="1">
      <c r="A408" s="43" t="s">
        <v>5598</v>
      </c>
      <c r="B408" s="44" t="s">
        <v>157</v>
      </c>
      <c r="C408" s="50"/>
      <c r="D408" s="10" t="s">
        <v>29</v>
      </c>
      <c r="E408" s="11"/>
      <c r="F408" s="11" t="s">
        <v>18</v>
      </c>
      <c r="G408" s="13"/>
      <c r="H408" s="45" t="s">
        <v>16</v>
      </c>
      <c r="I408" s="46"/>
      <c r="J408" s="14" t="s">
        <v>4962</v>
      </c>
      <c r="K408" s="13" t="s">
        <v>7208</v>
      </c>
      <c r="L408" s="99" t="str">
        <f t="shared" si="24"/>
        <v>W2216.5</v>
      </c>
      <c r="M408" s="13" t="s">
        <v>17</v>
      </c>
      <c r="N408" s="13"/>
      <c r="O408" s="13"/>
      <c r="P408" s="47"/>
      <c r="Q408" s="45" t="s">
        <v>3672</v>
      </c>
      <c r="R408" s="45" t="s">
        <v>5596</v>
      </c>
      <c r="S408" s="48"/>
      <c r="T408" s="49" t="str">
        <f t="shared" si="23"/>
        <v>[W2216.5]</v>
      </c>
      <c r="U408" s="12" t="str">
        <f t="shared" si="26"/>
        <v xml:space="preserve"> 터브이송#4-3 X축(SD226)  </v>
      </c>
      <c r="V408" s="49" t="str">
        <f t="shared" si="25"/>
        <v xml:space="preserve">[W2216.5] 터브이송#4-3 X축(SD226)  </v>
      </c>
    </row>
    <row r="409" spans="1:22" s="49" customFormat="1" ht="14.15" customHeight="1">
      <c r="A409" s="43" t="s">
        <v>5598</v>
      </c>
      <c r="B409" s="44" t="s">
        <v>157</v>
      </c>
      <c r="C409" s="50"/>
      <c r="D409" s="10" t="s">
        <v>29</v>
      </c>
      <c r="E409" s="11"/>
      <c r="F409" s="11" t="s">
        <v>18</v>
      </c>
      <c r="G409" s="13"/>
      <c r="H409" s="45" t="s">
        <v>16</v>
      </c>
      <c r="I409" s="46"/>
      <c r="J409" s="14" t="s">
        <v>4963</v>
      </c>
      <c r="K409" s="13" t="s">
        <v>7209</v>
      </c>
      <c r="L409" s="99" t="str">
        <f t="shared" si="24"/>
        <v>W2216.6</v>
      </c>
      <c r="M409" s="13" t="s">
        <v>17</v>
      </c>
      <c r="N409" s="13"/>
      <c r="O409" s="13"/>
      <c r="P409" s="47"/>
      <c r="Q409" s="45" t="s">
        <v>3672</v>
      </c>
      <c r="R409" s="45" t="s">
        <v>5596</v>
      </c>
      <c r="S409" s="48"/>
      <c r="T409" s="49" t="str">
        <f t="shared" si="23"/>
        <v>[W2216.6]</v>
      </c>
      <c r="U409" s="12" t="str">
        <f t="shared" si="26"/>
        <v xml:space="preserve"> 터브이송#4-3 X축(SD226) 에러가 발생했습니다.</v>
      </c>
      <c r="V409" s="49" t="str">
        <f t="shared" si="25"/>
        <v>[W2216.6] 터브이송#4-3 X축(SD226) 에러가 발생했습니다.</v>
      </c>
    </row>
    <row r="410" spans="1:22" s="49" customFormat="1" ht="14.15" customHeight="1">
      <c r="A410" s="43" t="s">
        <v>5598</v>
      </c>
      <c r="B410" s="44" t="s">
        <v>157</v>
      </c>
      <c r="C410" s="50"/>
      <c r="D410" s="10" t="s">
        <v>29</v>
      </c>
      <c r="E410" s="11"/>
      <c r="F410" s="11" t="s">
        <v>18</v>
      </c>
      <c r="G410" s="13"/>
      <c r="H410" s="45" t="s">
        <v>16</v>
      </c>
      <c r="I410" s="46"/>
      <c r="J410" s="14" t="s">
        <v>4964</v>
      </c>
      <c r="K410" s="13" t="s">
        <v>7210</v>
      </c>
      <c r="L410" s="99" t="str">
        <f t="shared" si="24"/>
        <v>W2216.7</v>
      </c>
      <c r="M410" s="13" t="s">
        <v>17</v>
      </c>
      <c r="N410" s="13"/>
      <c r="O410" s="13"/>
      <c r="P410" s="47"/>
      <c r="Q410" s="45" t="s">
        <v>3672</v>
      </c>
      <c r="R410" s="45" t="s">
        <v>5596</v>
      </c>
      <c r="S410" s="48"/>
      <c r="T410" s="49" t="str">
        <f t="shared" si="23"/>
        <v>[W2216.7]</v>
      </c>
      <c r="U410" s="12" t="str">
        <f t="shared" si="26"/>
        <v xml:space="preserve"> 터브이송#4-3 Z축(SD227) 운전중에 Ready가 Off 되었습니다.</v>
      </c>
      <c r="V410" s="49" t="str">
        <f t="shared" si="25"/>
        <v>[W2216.7] 터브이송#4-3 Z축(SD227) 운전중에 Ready가 Off 되었습니다.</v>
      </c>
    </row>
    <row r="411" spans="1:22" s="49" customFormat="1" ht="14.15" customHeight="1">
      <c r="A411" s="43" t="s">
        <v>5598</v>
      </c>
      <c r="B411" s="44" t="s">
        <v>157</v>
      </c>
      <c r="C411" s="50"/>
      <c r="D411" s="10" t="s">
        <v>29</v>
      </c>
      <c r="E411" s="11"/>
      <c r="F411" s="11" t="s">
        <v>18</v>
      </c>
      <c r="G411" s="13"/>
      <c r="H411" s="45" t="s">
        <v>16</v>
      </c>
      <c r="I411" s="46"/>
      <c r="J411" s="14" t="s">
        <v>4965</v>
      </c>
      <c r="K411" s="13" t="s">
        <v>7211</v>
      </c>
      <c r="L411" s="99" t="str">
        <f t="shared" si="24"/>
        <v>W2216.8</v>
      </c>
      <c r="M411" s="13" t="s">
        <v>17</v>
      </c>
      <c r="N411" s="13"/>
      <c r="O411" s="13"/>
      <c r="P411" s="52"/>
      <c r="Q411" s="45" t="s">
        <v>3672</v>
      </c>
      <c r="R411" s="45" t="s">
        <v>5596</v>
      </c>
      <c r="S411" s="48"/>
      <c r="T411" s="49" t="str">
        <f t="shared" si="23"/>
        <v>[W2216.8]</v>
      </c>
      <c r="U411" s="12" t="str">
        <f t="shared" si="26"/>
        <v xml:space="preserve"> 터브이송#4-3 Z축(SD227) FLS가 감지되었습니다.</v>
      </c>
      <c r="V411" s="49" t="str">
        <f t="shared" si="25"/>
        <v>[W2216.8] 터브이송#4-3 Z축(SD227) FLS가 감지되었습니다.</v>
      </c>
    </row>
    <row r="412" spans="1:22" s="49" customFormat="1" ht="14.15" customHeight="1">
      <c r="A412" s="43" t="s">
        <v>5598</v>
      </c>
      <c r="B412" s="44" t="s">
        <v>157</v>
      </c>
      <c r="C412" s="50"/>
      <c r="D412" s="10" t="s">
        <v>29</v>
      </c>
      <c r="E412" s="11"/>
      <c r="F412" s="11" t="s">
        <v>18</v>
      </c>
      <c r="G412" s="13"/>
      <c r="H412" s="45" t="s">
        <v>16</v>
      </c>
      <c r="I412" s="46"/>
      <c r="J412" s="14" t="s">
        <v>4966</v>
      </c>
      <c r="K412" s="13" t="s">
        <v>7212</v>
      </c>
      <c r="L412" s="99" t="str">
        <f t="shared" si="24"/>
        <v>W2216.9</v>
      </c>
      <c r="M412" s="13" t="s">
        <v>17</v>
      </c>
      <c r="N412" s="13"/>
      <c r="O412" s="13"/>
      <c r="P412" s="52"/>
      <c r="Q412" s="45" t="s">
        <v>3672</v>
      </c>
      <c r="R412" s="45" t="s">
        <v>5596</v>
      </c>
      <c r="S412" s="48"/>
      <c r="T412" s="49" t="str">
        <f t="shared" si="23"/>
        <v>[W2216.9]</v>
      </c>
      <c r="U412" s="12" t="str">
        <f t="shared" si="26"/>
        <v xml:space="preserve"> 터브이송#4-3 Z축(SD227) RLS가 감지되었습니다.</v>
      </c>
      <c r="V412" s="49" t="str">
        <f t="shared" si="25"/>
        <v>[W2216.9] 터브이송#4-3 Z축(SD227) RLS가 감지되었습니다.</v>
      </c>
    </row>
    <row r="413" spans="1:22" s="49" customFormat="1" ht="14.15" customHeight="1">
      <c r="A413" s="43" t="s">
        <v>5598</v>
      </c>
      <c r="B413" s="44" t="s">
        <v>157</v>
      </c>
      <c r="C413" s="50"/>
      <c r="D413" s="10" t="s">
        <v>29</v>
      </c>
      <c r="E413" s="11"/>
      <c r="F413" s="11" t="s">
        <v>18</v>
      </c>
      <c r="G413" s="13"/>
      <c r="H413" s="45" t="s">
        <v>16</v>
      </c>
      <c r="I413" s="46"/>
      <c r="J413" s="14" t="s">
        <v>4967</v>
      </c>
      <c r="K413" s="13" t="s">
        <v>7213</v>
      </c>
      <c r="L413" s="99" t="str">
        <f t="shared" si="24"/>
        <v>W2216.A</v>
      </c>
      <c r="M413" s="13" t="s">
        <v>17</v>
      </c>
      <c r="N413" s="13"/>
      <c r="O413" s="13"/>
      <c r="P413" s="52"/>
      <c r="Q413" s="45" t="s">
        <v>3672</v>
      </c>
      <c r="R413" s="45" t="s">
        <v>5596</v>
      </c>
      <c r="S413" s="48"/>
      <c r="T413" s="49" t="str">
        <f t="shared" si="23"/>
        <v>[W2216.A]</v>
      </c>
      <c r="U413" s="12" t="str">
        <f t="shared" si="26"/>
        <v xml:space="preserve"> 터브이송#4-3 Z축(SD227) Stop 명령이 On된 상태에서 기동을 시도했습니다.</v>
      </c>
      <c r="V413" s="49" t="str">
        <f t="shared" si="25"/>
        <v>[W2216.A] 터브이송#4-3 Z축(SD227) Stop 명령이 On된 상태에서 기동을 시도했습니다.</v>
      </c>
    </row>
    <row r="414" spans="1:22" s="49" customFormat="1" ht="14.15" customHeight="1">
      <c r="A414" s="43" t="s">
        <v>5598</v>
      </c>
      <c r="B414" s="44" t="s">
        <v>157</v>
      </c>
      <c r="C414" s="50"/>
      <c r="D414" s="10" t="s">
        <v>29</v>
      </c>
      <c r="E414" s="11"/>
      <c r="F414" s="11" t="s">
        <v>18</v>
      </c>
      <c r="G414" s="13"/>
      <c r="H414" s="45" t="s">
        <v>16</v>
      </c>
      <c r="I414" s="46"/>
      <c r="J414" s="14" t="s">
        <v>4968</v>
      </c>
      <c r="K414" s="13" t="s">
        <v>7214</v>
      </c>
      <c r="L414" s="99" t="str">
        <f t="shared" si="24"/>
        <v>W2216.B</v>
      </c>
      <c r="M414" s="13" t="s">
        <v>17</v>
      </c>
      <c r="N414" s="13"/>
      <c r="O414" s="13"/>
      <c r="P414" s="52"/>
      <c r="Q414" s="45" t="s">
        <v>3672</v>
      </c>
      <c r="R414" s="45" t="s">
        <v>5596</v>
      </c>
      <c r="S414" s="48"/>
      <c r="T414" s="49" t="str">
        <f t="shared" si="23"/>
        <v>[W2216.B]</v>
      </c>
      <c r="U414" s="12" t="str">
        <f t="shared" si="26"/>
        <v xml:space="preserve"> 터브이송#4-3 Z축(SD227) 가동 전원이 Off 되었습니다.</v>
      </c>
      <c r="V414" s="49" t="str">
        <f t="shared" si="25"/>
        <v>[W2216.B] 터브이송#4-3 Z축(SD227) 가동 전원이 Off 되었습니다.</v>
      </c>
    </row>
    <row r="415" spans="1:22" s="49" customFormat="1" ht="14.15" customHeight="1">
      <c r="A415" s="43" t="s">
        <v>5598</v>
      </c>
      <c r="B415" s="44" t="s">
        <v>157</v>
      </c>
      <c r="C415" s="50"/>
      <c r="D415" s="10" t="s">
        <v>29</v>
      </c>
      <c r="E415" s="11"/>
      <c r="F415" s="11" t="s">
        <v>18</v>
      </c>
      <c r="G415" s="13"/>
      <c r="H415" s="45" t="s">
        <v>16</v>
      </c>
      <c r="I415" s="46"/>
      <c r="J415" s="14" t="s">
        <v>4969</v>
      </c>
      <c r="K415" s="13" t="s">
        <v>7215</v>
      </c>
      <c r="L415" s="99" t="str">
        <f t="shared" si="24"/>
        <v>W2216.C</v>
      </c>
      <c r="M415" s="13" t="s">
        <v>17</v>
      </c>
      <c r="N415" s="13"/>
      <c r="O415" s="13"/>
      <c r="P415" s="52"/>
      <c r="Q415" s="45" t="s">
        <v>3672</v>
      </c>
      <c r="R415" s="45" t="s">
        <v>5596</v>
      </c>
      <c r="S415" s="48"/>
      <c r="T415" s="49" t="str">
        <f t="shared" si="23"/>
        <v>[W2216.C]</v>
      </c>
      <c r="U415" s="12" t="str">
        <f t="shared" si="26"/>
        <v xml:space="preserve"> 터브이송#4-3 Z축(SD227) 엔코더 이상이 검출되었습니다.</v>
      </c>
      <c r="V415" s="49" t="str">
        <f t="shared" si="25"/>
        <v>[W2216.C] 터브이송#4-3 Z축(SD227) 엔코더 이상이 검출되었습니다.</v>
      </c>
    </row>
    <row r="416" spans="1:22" s="49" customFormat="1" ht="14.15" customHeight="1">
      <c r="A416" s="43" t="s">
        <v>5598</v>
      </c>
      <c r="B416" s="44" t="s">
        <v>157</v>
      </c>
      <c r="C416" s="50"/>
      <c r="D416" s="10" t="s">
        <v>29</v>
      </c>
      <c r="E416" s="11"/>
      <c r="F416" s="11" t="s">
        <v>18</v>
      </c>
      <c r="G416" s="13"/>
      <c r="H416" s="45" t="s">
        <v>16</v>
      </c>
      <c r="I416" s="46"/>
      <c r="J416" s="14" t="s">
        <v>4970</v>
      </c>
      <c r="K416" s="13" t="s">
        <v>7216</v>
      </c>
      <c r="L416" s="99" t="str">
        <f t="shared" si="24"/>
        <v>W2216.D</v>
      </c>
      <c r="M416" s="13" t="s">
        <v>17</v>
      </c>
      <c r="N416" s="13"/>
      <c r="O416" s="13"/>
      <c r="P416" s="52"/>
      <c r="Q416" s="45" t="s">
        <v>3672</v>
      </c>
      <c r="R416" s="45" t="s">
        <v>5596</v>
      </c>
      <c r="S416" s="48"/>
      <c r="T416" s="49" t="str">
        <f t="shared" si="23"/>
        <v>[W2216.D]</v>
      </c>
      <c r="U416" s="12" t="str">
        <f t="shared" si="26"/>
        <v xml:space="preserve"> 터브이송#4-3 Z축(SD227) 과전류가 검출되었습니다.</v>
      </c>
      <c r="V416" s="49" t="str">
        <f t="shared" si="25"/>
        <v>[W2216.D] 터브이송#4-3 Z축(SD227) 과전류가 검출되었습니다.</v>
      </c>
    </row>
    <row r="417" spans="1:22" s="49" customFormat="1" ht="14.15" customHeight="1">
      <c r="A417" s="43" t="s">
        <v>5598</v>
      </c>
      <c r="B417" s="44" t="s">
        <v>157</v>
      </c>
      <c r="C417" s="50"/>
      <c r="D417" s="10" t="s">
        <v>29</v>
      </c>
      <c r="E417" s="11"/>
      <c r="F417" s="11" t="s">
        <v>18</v>
      </c>
      <c r="G417" s="13"/>
      <c r="H417" s="45" t="s">
        <v>16</v>
      </c>
      <c r="I417" s="46"/>
      <c r="J417" s="14" t="s">
        <v>4971</v>
      </c>
      <c r="K417" s="13" t="s">
        <v>7217</v>
      </c>
      <c r="L417" s="99" t="str">
        <f t="shared" si="24"/>
        <v>W2216.E</v>
      </c>
      <c r="M417" s="13" t="s">
        <v>17</v>
      </c>
      <c r="N417" s="13"/>
      <c r="O417" s="13"/>
      <c r="P417" s="52"/>
      <c r="Q417" s="45" t="s">
        <v>3672</v>
      </c>
      <c r="R417" s="45" t="s">
        <v>5596</v>
      </c>
      <c r="S417" s="48"/>
      <c r="T417" s="49" t="str">
        <f t="shared" si="23"/>
        <v>[W2216.E]</v>
      </c>
      <c r="U417" s="12" t="str">
        <f t="shared" si="26"/>
        <v xml:space="preserve"> 터브이송#4-3 Z축(SD227) 과부하가 검출되었습니다.</v>
      </c>
      <c r="V417" s="49" t="str">
        <f t="shared" si="25"/>
        <v>[W2216.E] 터브이송#4-3 Z축(SD227) 과부하가 검출되었습니다.</v>
      </c>
    </row>
    <row r="418" spans="1:22" s="49" customFormat="1" ht="14.15" customHeight="1">
      <c r="A418" s="43" t="s">
        <v>5598</v>
      </c>
      <c r="B418" s="44" t="s">
        <v>157</v>
      </c>
      <c r="C418" s="50"/>
      <c r="D418" s="10" t="s">
        <v>29</v>
      </c>
      <c r="E418" s="11"/>
      <c r="F418" s="11" t="s">
        <v>18</v>
      </c>
      <c r="G418" s="13"/>
      <c r="H418" s="45" t="s">
        <v>16</v>
      </c>
      <c r="I418" s="46"/>
      <c r="J418" s="14" t="s">
        <v>4972</v>
      </c>
      <c r="K418" s="13" t="s">
        <v>7218</v>
      </c>
      <c r="L418" s="99" t="str">
        <f t="shared" si="24"/>
        <v>W2216.F</v>
      </c>
      <c r="M418" s="13" t="s">
        <v>17</v>
      </c>
      <c r="N418" s="13"/>
      <c r="O418" s="13"/>
      <c r="P418" s="52"/>
      <c r="Q418" s="45" t="s">
        <v>3672</v>
      </c>
      <c r="R418" s="45" t="s">
        <v>5596</v>
      </c>
      <c r="S418" s="48"/>
      <c r="T418" s="49" t="str">
        <f t="shared" si="23"/>
        <v>[W2216.F]</v>
      </c>
      <c r="U418" s="12" t="str">
        <f t="shared" si="26"/>
        <v xml:space="preserve"> 터브이송#4-3 Z축(SD227)  </v>
      </c>
      <c r="V418" s="49" t="str">
        <f t="shared" si="25"/>
        <v xml:space="preserve">[W2216.F] 터브이송#4-3 Z축(SD227)  </v>
      </c>
    </row>
    <row r="419" spans="1:22" s="49" customFormat="1" ht="14.15" customHeight="1">
      <c r="A419" s="43" t="s">
        <v>5598</v>
      </c>
      <c r="B419" s="44" t="s">
        <v>157</v>
      </c>
      <c r="C419" s="50"/>
      <c r="D419" s="10" t="s">
        <v>29</v>
      </c>
      <c r="E419" s="11"/>
      <c r="F419" s="11" t="s">
        <v>18</v>
      </c>
      <c r="G419" s="13"/>
      <c r="H419" s="45" t="s">
        <v>16</v>
      </c>
      <c r="I419" s="46"/>
      <c r="J419" s="14" t="s">
        <v>4973</v>
      </c>
      <c r="K419" s="13" t="s">
        <v>7219</v>
      </c>
      <c r="L419" s="99" t="str">
        <f t="shared" si="24"/>
        <v>W2217.0</v>
      </c>
      <c r="M419" s="13" t="s">
        <v>17</v>
      </c>
      <c r="N419" s="13"/>
      <c r="O419" s="13"/>
      <c r="P419" s="52"/>
      <c r="Q419" s="45" t="s">
        <v>3672</v>
      </c>
      <c r="R419" s="45" t="s">
        <v>5596</v>
      </c>
      <c r="S419" s="48"/>
      <c r="T419" s="49" t="str">
        <f t="shared" si="23"/>
        <v>[W2217.0]</v>
      </c>
      <c r="U419" s="12" t="str">
        <f t="shared" si="26"/>
        <v xml:space="preserve"> 터브이송#4-3 Z축(SD227) 에러가 발생했습니다.</v>
      </c>
      <c r="V419" s="49" t="str">
        <f t="shared" si="25"/>
        <v>[W2217.0] 터브이송#4-3 Z축(SD227) 에러가 발생했습니다.</v>
      </c>
    </row>
    <row r="420" spans="1:22" s="49" customFormat="1" ht="14.15" customHeight="1">
      <c r="A420" s="43" t="s">
        <v>5598</v>
      </c>
      <c r="B420" s="44" t="s">
        <v>157</v>
      </c>
      <c r="C420" s="50"/>
      <c r="D420" s="10" t="s">
        <v>29</v>
      </c>
      <c r="E420" s="11"/>
      <c r="F420" s="11" t="s">
        <v>18</v>
      </c>
      <c r="G420" s="13"/>
      <c r="H420" s="45" t="s">
        <v>16</v>
      </c>
      <c r="I420" s="46"/>
      <c r="J420" s="14" t="s">
        <v>4974</v>
      </c>
      <c r="K420" s="13" t="s">
        <v>7220</v>
      </c>
      <c r="L420" s="99" t="str">
        <f t="shared" si="24"/>
        <v>W2217.1</v>
      </c>
      <c r="M420" s="13" t="s">
        <v>17</v>
      </c>
      <c r="N420" s="13"/>
      <c r="O420" s="13"/>
      <c r="P420" s="52"/>
      <c r="Q420" s="45" t="s">
        <v>3672</v>
      </c>
      <c r="R420" s="45" t="s">
        <v>5596</v>
      </c>
      <c r="S420" s="48"/>
      <c r="T420" s="49" t="str">
        <f t="shared" si="23"/>
        <v>[W2217.1]</v>
      </c>
      <c r="U420" s="12" t="str">
        <f t="shared" si="26"/>
        <v xml:space="preserve"> 터브이송#4-3 C1축(SD228) 운전중에 Ready가 Off 되었습니다.</v>
      </c>
      <c r="V420" s="49" t="str">
        <f t="shared" si="25"/>
        <v>[W2217.1] 터브이송#4-3 C1축(SD228) 운전중에 Ready가 Off 되었습니다.</v>
      </c>
    </row>
    <row r="421" spans="1:22" s="49" customFormat="1" ht="14.15" customHeight="1">
      <c r="A421" s="43" t="s">
        <v>5598</v>
      </c>
      <c r="B421" s="44" t="s">
        <v>157</v>
      </c>
      <c r="C421" s="50"/>
      <c r="D421" s="10" t="s">
        <v>29</v>
      </c>
      <c r="E421" s="11"/>
      <c r="F421" s="11" t="s">
        <v>18</v>
      </c>
      <c r="G421" s="13"/>
      <c r="H421" s="45" t="s">
        <v>16</v>
      </c>
      <c r="I421" s="46"/>
      <c r="J421" s="14" t="s">
        <v>4975</v>
      </c>
      <c r="K421" s="13" t="s">
        <v>7221</v>
      </c>
      <c r="L421" s="99" t="str">
        <f t="shared" si="24"/>
        <v>W2217.2</v>
      </c>
      <c r="M421" s="13" t="s">
        <v>17</v>
      </c>
      <c r="N421" s="13"/>
      <c r="O421" s="13"/>
      <c r="P421" s="52"/>
      <c r="Q421" s="45" t="s">
        <v>3672</v>
      </c>
      <c r="R421" s="45" t="s">
        <v>5596</v>
      </c>
      <c r="S421" s="48"/>
      <c r="T421" s="49" t="str">
        <f t="shared" si="23"/>
        <v>[W2217.2]</v>
      </c>
      <c r="U421" s="12" t="str">
        <f t="shared" si="26"/>
        <v xml:space="preserve"> 터브이송#4-3 C1축(SD228) FLS가 감지되었습니다.</v>
      </c>
      <c r="V421" s="49" t="str">
        <f t="shared" si="25"/>
        <v>[W2217.2] 터브이송#4-3 C1축(SD228) FLS가 감지되었습니다.</v>
      </c>
    </row>
    <row r="422" spans="1:22" s="49" customFormat="1" ht="14.15" customHeight="1">
      <c r="A422" s="43" t="s">
        <v>5598</v>
      </c>
      <c r="B422" s="44" t="s">
        <v>157</v>
      </c>
      <c r="C422" s="50"/>
      <c r="D422" s="10" t="s">
        <v>29</v>
      </c>
      <c r="E422" s="11"/>
      <c r="F422" s="11" t="s">
        <v>18</v>
      </c>
      <c r="G422" s="13"/>
      <c r="H422" s="45" t="s">
        <v>16</v>
      </c>
      <c r="I422" s="46"/>
      <c r="J422" s="14" t="s">
        <v>4976</v>
      </c>
      <c r="K422" s="13" t="s">
        <v>7222</v>
      </c>
      <c r="L422" s="99" t="str">
        <f t="shared" si="24"/>
        <v>W2217.3</v>
      </c>
      <c r="M422" s="13" t="s">
        <v>17</v>
      </c>
      <c r="N422" s="13"/>
      <c r="O422" s="13"/>
      <c r="P422" s="52"/>
      <c r="Q422" s="45" t="s">
        <v>3672</v>
      </c>
      <c r="R422" s="45" t="s">
        <v>5596</v>
      </c>
      <c r="S422" s="48"/>
      <c r="T422" s="49" t="str">
        <f t="shared" si="23"/>
        <v>[W2217.3]</v>
      </c>
      <c r="U422" s="12" t="str">
        <f t="shared" si="26"/>
        <v xml:space="preserve"> 터브이송#4-3 C1축(SD228) RLS가 감지되었습니다.</v>
      </c>
      <c r="V422" s="49" t="str">
        <f t="shared" si="25"/>
        <v>[W2217.3] 터브이송#4-3 C1축(SD228) RLS가 감지되었습니다.</v>
      </c>
    </row>
    <row r="423" spans="1:22" s="49" customFormat="1" ht="14.15" customHeight="1">
      <c r="A423" s="43" t="s">
        <v>5598</v>
      </c>
      <c r="B423" s="44" t="s">
        <v>157</v>
      </c>
      <c r="C423" s="50"/>
      <c r="D423" s="10" t="s">
        <v>29</v>
      </c>
      <c r="E423" s="11"/>
      <c r="F423" s="11" t="s">
        <v>18</v>
      </c>
      <c r="G423" s="13"/>
      <c r="H423" s="45" t="s">
        <v>16</v>
      </c>
      <c r="I423" s="46"/>
      <c r="J423" s="14" t="s">
        <v>4977</v>
      </c>
      <c r="K423" s="13" t="s">
        <v>7223</v>
      </c>
      <c r="L423" s="99" t="str">
        <f t="shared" si="24"/>
        <v>W2217.4</v>
      </c>
      <c r="M423" s="13" t="s">
        <v>17</v>
      </c>
      <c r="N423" s="13"/>
      <c r="O423" s="13"/>
      <c r="P423" s="52"/>
      <c r="Q423" s="45" t="s">
        <v>3672</v>
      </c>
      <c r="R423" s="45" t="s">
        <v>5596</v>
      </c>
      <c r="S423" s="48"/>
      <c r="T423" s="49" t="str">
        <f t="shared" si="23"/>
        <v>[W2217.4]</v>
      </c>
      <c r="U423" s="12" t="str">
        <f t="shared" si="26"/>
        <v xml:space="preserve"> 터브이송#4-3 C1축(SD228) Stop 명령이 On된 상태에서 기동을 시도했습니다.</v>
      </c>
      <c r="V423" s="49" t="str">
        <f t="shared" si="25"/>
        <v>[W2217.4] 터브이송#4-3 C1축(SD228) Stop 명령이 On된 상태에서 기동을 시도했습니다.</v>
      </c>
    </row>
    <row r="424" spans="1:22" s="49" customFormat="1" ht="14.15" customHeight="1">
      <c r="A424" s="43" t="s">
        <v>5598</v>
      </c>
      <c r="B424" s="44" t="s">
        <v>157</v>
      </c>
      <c r="C424" s="50"/>
      <c r="D424" s="10" t="s">
        <v>29</v>
      </c>
      <c r="E424" s="11"/>
      <c r="F424" s="11" t="s">
        <v>18</v>
      </c>
      <c r="G424" s="13"/>
      <c r="H424" s="45" t="s">
        <v>16</v>
      </c>
      <c r="I424" s="46"/>
      <c r="J424" s="14" t="s">
        <v>4978</v>
      </c>
      <c r="K424" s="13" t="s">
        <v>7224</v>
      </c>
      <c r="L424" s="99" t="str">
        <f t="shared" si="24"/>
        <v>W2217.5</v>
      </c>
      <c r="M424" s="13" t="s">
        <v>17</v>
      </c>
      <c r="N424" s="13"/>
      <c r="O424" s="13"/>
      <c r="P424" s="52"/>
      <c r="Q424" s="45" t="s">
        <v>3672</v>
      </c>
      <c r="R424" s="45" t="s">
        <v>5596</v>
      </c>
      <c r="S424" s="48"/>
      <c r="T424" s="49" t="str">
        <f t="shared" si="23"/>
        <v>[W2217.5]</v>
      </c>
      <c r="U424" s="12" t="str">
        <f t="shared" si="26"/>
        <v xml:space="preserve"> 터브이송#4-3 C1축(SD228) 가동 전원이 Off 되었습니다.</v>
      </c>
      <c r="V424" s="49" t="str">
        <f t="shared" si="25"/>
        <v>[W2217.5] 터브이송#4-3 C1축(SD228) 가동 전원이 Off 되었습니다.</v>
      </c>
    </row>
    <row r="425" spans="1:22" s="49" customFormat="1" ht="14.15" customHeight="1">
      <c r="A425" s="43" t="s">
        <v>5598</v>
      </c>
      <c r="B425" s="44" t="s">
        <v>157</v>
      </c>
      <c r="C425" s="50"/>
      <c r="D425" s="10" t="s">
        <v>29</v>
      </c>
      <c r="E425" s="11"/>
      <c r="F425" s="11" t="s">
        <v>18</v>
      </c>
      <c r="G425" s="13"/>
      <c r="H425" s="45" t="s">
        <v>16</v>
      </c>
      <c r="I425" s="46"/>
      <c r="J425" s="14" t="s">
        <v>4979</v>
      </c>
      <c r="K425" s="13" t="s">
        <v>7225</v>
      </c>
      <c r="L425" s="99" t="str">
        <f t="shared" si="24"/>
        <v>W2217.6</v>
      </c>
      <c r="M425" s="13" t="s">
        <v>17</v>
      </c>
      <c r="N425" s="13"/>
      <c r="O425" s="13"/>
      <c r="P425" s="52"/>
      <c r="Q425" s="45" t="s">
        <v>3672</v>
      </c>
      <c r="R425" s="45" t="s">
        <v>5596</v>
      </c>
      <c r="S425" s="48"/>
      <c r="T425" s="49" t="str">
        <f t="shared" si="23"/>
        <v>[W2217.6]</v>
      </c>
      <c r="U425" s="12" t="str">
        <f t="shared" si="26"/>
        <v xml:space="preserve"> 터브이송#4-3 C1축(SD228) 엔코더 이상이 검출되었습니다.</v>
      </c>
      <c r="V425" s="49" t="str">
        <f t="shared" si="25"/>
        <v>[W2217.6] 터브이송#4-3 C1축(SD228) 엔코더 이상이 검출되었습니다.</v>
      </c>
    </row>
    <row r="426" spans="1:22" s="49" customFormat="1" ht="14.15" customHeight="1">
      <c r="A426" s="43" t="s">
        <v>5598</v>
      </c>
      <c r="B426" s="44" t="s">
        <v>157</v>
      </c>
      <c r="C426" s="50"/>
      <c r="D426" s="10" t="s">
        <v>29</v>
      </c>
      <c r="E426" s="11"/>
      <c r="F426" s="11" t="s">
        <v>18</v>
      </c>
      <c r="G426" s="13"/>
      <c r="H426" s="45" t="s">
        <v>16</v>
      </c>
      <c r="I426" s="46"/>
      <c r="J426" s="14" t="s">
        <v>4980</v>
      </c>
      <c r="K426" s="13" t="s">
        <v>7226</v>
      </c>
      <c r="L426" s="99" t="str">
        <f t="shared" si="24"/>
        <v>W2217.7</v>
      </c>
      <c r="M426" s="13" t="s">
        <v>17</v>
      </c>
      <c r="N426" s="13"/>
      <c r="O426" s="13"/>
      <c r="P426" s="52"/>
      <c r="Q426" s="45" t="s">
        <v>3672</v>
      </c>
      <c r="R426" s="45" t="s">
        <v>5596</v>
      </c>
      <c r="S426" s="48"/>
      <c r="T426" s="49" t="str">
        <f t="shared" si="23"/>
        <v>[W2217.7]</v>
      </c>
      <c r="U426" s="12" t="str">
        <f t="shared" si="26"/>
        <v xml:space="preserve"> 터브이송#4-3 C1축(SD228) 과전류가 검출되었습니다.</v>
      </c>
      <c r="V426" s="49" t="str">
        <f t="shared" si="25"/>
        <v>[W2217.7] 터브이송#4-3 C1축(SD228) 과전류가 검출되었습니다.</v>
      </c>
    </row>
    <row r="427" spans="1:22" s="49" customFormat="1" ht="14.15" customHeight="1">
      <c r="A427" s="43" t="s">
        <v>5598</v>
      </c>
      <c r="B427" s="44" t="s">
        <v>157</v>
      </c>
      <c r="C427" s="50"/>
      <c r="D427" s="10" t="s">
        <v>29</v>
      </c>
      <c r="E427" s="11"/>
      <c r="F427" s="11" t="s">
        <v>18</v>
      </c>
      <c r="G427" s="13"/>
      <c r="H427" s="45" t="s">
        <v>16</v>
      </c>
      <c r="I427" s="46"/>
      <c r="J427" s="14" t="s">
        <v>4981</v>
      </c>
      <c r="K427" s="13" t="s">
        <v>7227</v>
      </c>
      <c r="L427" s="99" t="str">
        <f t="shared" si="24"/>
        <v>W2217.8</v>
      </c>
      <c r="M427" s="13" t="s">
        <v>17</v>
      </c>
      <c r="N427" s="13"/>
      <c r="O427" s="13"/>
      <c r="P427" s="52"/>
      <c r="Q427" s="45" t="s">
        <v>3672</v>
      </c>
      <c r="R427" s="45" t="s">
        <v>5596</v>
      </c>
      <c r="S427" s="48"/>
      <c r="T427" s="49" t="str">
        <f t="shared" si="23"/>
        <v>[W2217.8]</v>
      </c>
      <c r="U427" s="12" t="str">
        <f t="shared" si="26"/>
        <v xml:space="preserve"> 터브이송#4-3 C1축(SD228) 과부하가 검출되었습니다.</v>
      </c>
      <c r="V427" s="49" t="str">
        <f t="shared" si="25"/>
        <v>[W2217.8] 터브이송#4-3 C1축(SD228) 과부하가 검출되었습니다.</v>
      </c>
    </row>
    <row r="428" spans="1:22" s="49" customFormat="1" ht="14.15" customHeight="1">
      <c r="A428" s="43" t="s">
        <v>5598</v>
      </c>
      <c r="B428" s="44" t="s">
        <v>157</v>
      </c>
      <c r="C428" s="50"/>
      <c r="D428" s="10" t="s">
        <v>29</v>
      </c>
      <c r="E428" s="11"/>
      <c r="F428" s="11" t="s">
        <v>18</v>
      </c>
      <c r="G428" s="13"/>
      <c r="H428" s="45" t="s">
        <v>16</v>
      </c>
      <c r="I428" s="46"/>
      <c r="J428" s="14" t="s">
        <v>4982</v>
      </c>
      <c r="K428" s="13" t="s">
        <v>7228</v>
      </c>
      <c r="L428" s="99" t="str">
        <f t="shared" si="24"/>
        <v>W2217.9</v>
      </c>
      <c r="M428" s="13" t="s">
        <v>17</v>
      </c>
      <c r="N428" s="13"/>
      <c r="O428" s="13"/>
      <c r="P428" s="52"/>
      <c r="Q428" s="45" t="s">
        <v>3672</v>
      </c>
      <c r="R428" s="45" t="s">
        <v>5596</v>
      </c>
      <c r="S428" s="48"/>
      <c r="T428" s="49" t="str">
        <f t="shared" si="23"/>
        <v>[W2217.9]</v>
      </c>
      <c r="U428" s="12" t="str">
        <f t="shared" si="26"/>
        <v xml:space="preserve"> 터브이송#4-3 C1축(SD228)  </v>
      </c>
      <c r="V428" s="49" t="str">
        <f t="shared" si="25"/>
        <v xml:space="preserve">[W2217.9] 터브이송#4-3 C1축(SD228)  </v>
      </c>
    </row>
    <row r="429" spans="1:22" s="49" customFormat="1" ht="14.15" customHeight="1">
      <c r="A429" s="43" t="s">
        <v>5598</v>
      </c>
      <c r="B429" s="44" t="s">
        <v>157</v>
      </c>
      <c r="C429" s="50"/>
      <c r="D429" s="10" t="s">
        <v>29</v>
      </c>
      <c r="E429" s="11"/>
      <c r="F429" s="11" t="s">
        <v>18</v>
      </c>
      <c r="G429" s="13"/>
      <c r="H429" s="45" t="s">
        <v>16</v>
      </c>
      <c r="I429" s="46"/>
      <c r="J429" s="14" t="s">
        <v>4983</v>
      </c>
      <c r="K429" s="13" t="s">
        <v>7229</v>
      </c>
      <c r="L429" s="99" t="str">
        <f t="shared" si="24"/>
        <v>W2217.A</v>
      </c>
      <c r="M429" s="13" t="s">
        <v>17</v>
      </c>
      <c r="N429" s="13"/>
      <c r="O429" s="13"/>
      <c r="P429" s="52"/>
      <c r="Q429" s="45" t="s">
        <v>3672</v>
      </c>
      <c r="R429" s="45" t="s">
        <v>5596</v>
      </c>
      <c r="S429" s="48"/>
      <c r="T429" s="49" t="str">
        <f t="shared" si="23"/>
        <v>[W2217.A]</v>
      </c>
      <c r="U429" s="12" t="str">
        <f t="shared" si="26"/>
        <v xml:space="preserve"> 터브이송#4-3 C1축(SD228) 에러가 발생했습니다.</v>
      </c>
      <c r="V429" s="49" t="str">
        <f t="shared" si="25"/>
        <v>[W2217.A] 터브이송#4-3 C1축(SD228) 에러가 발생했습니다.</v>
      </c>
    </row>
    <row r="430" spans="1:22" s="49" customFormat="1" ht="14.15" customHeight="1">
      <c r="A430" s="43" t="s">
        <v>5598</v>
      </c>
      <c r="B430" s="44" t="s">
        <v>157</v>
      </c>
      <c r="C430" s="50"/>
      <c r="D430" s="10" t="s">
        <v>29</v>
      </c>
      <c r="E430" s="11"/>
      <c r="F430" s="11" t="s">
        <v>18</v>
      </c>
      <c r="G430" s="13"/>
      <c r="H430" s="45" t="s">
        <v>16</v>
      </c>
      <c r="I430" s="47"/>
      <c r="J430" s="12" t="s">
        <v>4984</v>
      </c>
      <c r="K430" s="13" t="s">
        <v>7230</v>
      </c>
      <c r="L430" s="99" t="str">
        <f t="shared" si="24"/>
        <v>W2217.B</v>
      </c>
      <c r="M430" s="13" t="s">
        <v>17</v>
      </c>
      <c r="N430" s="13"/>
      <c r="O430" s="13"/>
      <c r="P430" s="47"/>
      <c r="Q430" s="45" t="s">
        <v>3672</v>
      </c>
      <c r="R430" s="45" t="s">
        <v>5596</v>
      </c>
      <c r="S430" s="48"/>
      <c r="T430" s="49" t="str">
        <f t="shared" si="23"/>
        <v>[W2217.B]</v>
      </c>
      <c r="U430" s="12" t="str">
        <f t="shared" si="26"/>
        <v xml:space="preserve"> 터브이송#4-3 C2축(SD229) 운전중에 Ready가 Off 되었습니다.</v>
      </c>
      <c r="V430" s="49" t="str">
        <f t="shared" si="25"/>
        <v>[W2217.B] 터브이송#4-3 C2축(SD229) 운전중에 Ready가 Off 되었습니다.</v>
      </c>
    </row>
    <row r="431" spans="1:22" s="49" customFormat="1" ht="14.15" customHeight="1">
      <c r="A431" s="43" t="s">
        <v>5598</v>
      </c>
      <c r="B431" s="44" t="s">
        <v>157</v>
      </c>
      <c r="C431" s="50"/>
      <c r="D431" s="10" t="s">
        <v>29</v>
      </c>
      <c r="E431" s="11"/>
      <c r="F431" s="11" t="s">
        <v>18</v>
      </c>
      <c r="G431" s="13"/>
      <c r="H431" s="45" t="s">
        <v>16</v>
      </c>
      <c r="I431" s="47"/>
      <c r="J431" s="12" t="s">
        <v>4985</v>
      </c>
      <c r="K431" s="13" t="s">
        <v>7231</v>
      </c>
      <c r="L431" s="99" t="str">
        <f t="shared" si="24"/>
        <v>W2217.C</v>
      </c>
      <c r="M431" s="13" t="s">
        <v>17</v>
      </c>
      <c r="N431" s="13"/>
      <c r="O431" s="13"/>
      <c r="P431" s="47"/>
      <c r="Q431" s="45" t="s">
        <v>3672</v>
      </c>
      <c r="R431" s="45" t="s">
        <v>5596</v>
      </c>
      <c r="S431" s="48"/>
      <c r="T431" s="49" t="str">
        <f t="shared" si="23"/>
        <v>[W2217.C]</v>
      </c>
      <c r="U431" s="12" t="str">
        <f t="shared" si="26"/>
        <v xml:space="preserve"> 터브이송#4-3 C2축(SD229) FLS가 감지되었습니다.</v>
      </c>
      <c r="V431" s="49" t="str">
        <f t="shared" si="25"/>
        <v>[W2217.C] 터브이송#4-3 C2축(SD229) FLS가 감지되었습니다.</v>
      </c>
    </row>
    <row r="432" spans="1:22" s="49" customFormat="1" ht="14.15" customHeight="1">
      <c r="A432" s="43" t="s">
        <v>5598</v>
      </c>
      <c r="B432" s="44" t="s">
        <v>157</v>
      </c>
      <c r="C432" s="50"/>
      <c r="D432" s="10" t="s">
        <v>29</v>
      </c>
      <c r="E432" s="11"/>
      <c r="F432" s="11" t="s">
        <v>18</v>
      </c>
      <c r="G432" s="13"/>
      <c r="H432" s="45" t="s">
        <v>16</v>
      </c>
      <c r="I432" s="47"/>
      <c r="J432" s="12" t="s">
        <v>4986</v>
      </c>
      <c r="K432" s="13" t="s">
        <v>7232</v>
      </c>
      <c r="L432" s="99" t="str">
        <f t="shared" si="24"/>
        <v>W2217.D</v>
      </c>
      <c r="M432" s="13" t="s">
        <v>17</v>
      </c>
      <c r="N432" s="13"/>
      <c r="O432" s="13"/>
      <c r="P432" s="47"/>
      <c r="Q432" s="45" t="s">
        <v>3672</v>
      </c>
      <c r="R432" s="45" t="s">
        <v>5596</v>
      </c>
      <c r="S432" s="48"/>
      <c r="T432" s="49" t="str">
        <f t="shared" si="23"/>
        <v>[W2217.D]</v>
      </c>
      <c r="U432" s="12" t="str">
        <f t="shared" si="26"/>
        <v xml:space="preserve"> 터브이송#4-3 C2축(SD229) RLS가 감지되었습니다.</v>
      </c>
      <c r="V432" s="49" t="str">
        <f t="shared" si="25"/>
        <v>[W2217.D] 터브이송#4-3 C2축(SD229) RLS가 감지되었습니다.</v>
      </c>
    </row>
    <row r="433" spans="1:22" s="49" customFormat="1" ht="14.15" customHeight="1">
      <c r="A433" s="43" t="s">
        <v>5598</v>
      </c>
      <c r="B433" s="44" t="s">
        <v>157</v>
      </c>
      <c r="C433" s="50"/>
      <c r="D433" s="10" t="s">
        <v>29</v>
      </c>
      <c r="E433" s="11"/>
      <c r="F433" s="11" t="s">
        <v>18</v>
      </c>
      <c r="G433" s="13"/>
      <c r="H433" s="45" t="s">
        <v>16</v>
      </c>
      <c r="I433" s="47"/>
      <c r="J433" s="12" t="s">
        <v>4987</v>
      </c>
      <c r="K433" s="13" t="s">
        <v>7233</v>
      </c>
      <c r="L433" s="99" t="str">
        <f t="shared" si="24"/>
        <v>W2217.E</v>
      </c>
      <c r="M433" s="13" t="s">
        <v>17</v>
      </c>
      <c r="N433" s="13"/>
      <c r="O433" s="13"/>
      <c r="P433" s="47"/>
      <c r="Q433" s="45" t="s">
        <v>3672</v>
      </c>
      <c r="R433" s="45" t="s">
        <v>5596</v>
      </c>
      <c r="S433" s="48"/>
      <c r="T433" s="49" t="str">
        <f t="shared" si="23"/>
        <v>[W2217.E]</v>
      </c>
      <c r="U433" s="12" t="str">
        <f t="shared" si="26"/>
        <v xml:space="preserve"> 터브이송#4-3 C2축(SD229) Stop 명령이 On된 상태에서 기동을 시도했습니다.</v>
      </c>
      <c r="V433" s="49" t="str">
        <f t="shared" si="25"/>
        <v>[W2217.E] 터브이송#4-3 C2축(SD229) Stop 명령이 On된 상태에서 기동을 시도했습니다.</v>
      </c>
    </row>
    <row r="434" spans="1:22" s="49" customFormat="1" ht="14.15" customHeight="1">
      <c r="A434" s="43" t="s">
        <v>5598</v>
      </c>
      <c r="B434" s="44" t="s">
        <v>157</v>
      </c>
      <c r="C434" s="50"/>
      <c r="D434" s="10" t="s">
        <v>29</v>
      </c>
      <c r="E434" s="11"/>
      <c r="F434" s="11" t="s">
        <v>18</v>
      </c>
      <c r="G434" s="13"/>
      <c r="H434" s="45" t="s">
        <v>16</v>
      </c>
      <c r="I434" s="47"/>
      <c r="J434" s="12" t="s">
        <v>4988</v>
      </c>
      <c r="K434" s="13" t="s">
        <v>7234</v>
      </c>
      <c r="L434" s="99" t="str">
        <f t="shared" si="24"/>
        <v>W2217.F</v>
      </c>
      <c r="M434" s="13" t="s">
        <v>17</v>
      </c>
      <c r="N434" s="13"/>
      <c r="O434" s="13"/>
      <c r="P434" s="47"/>
      <c r="Q434" s="45" t="s">
        <v>3672</v>
      </c>
      <c r="R434" s="45" t="s">
        <v>5596</v>
      </c>
      <c r="S434" s="48"/>
      <c r="T434" s="49" t="str">
        <f t="shared" si="23"/>
        <v>[W2217.F]</v>
      </c>
      <c r="U434" s="12" t="str">
        <f t="shared" si="26"/>
        <v xml:space="preserve"> 터브이송#4-3 C2축(SD229) 가동 전원이 Off 되었습니다.</v>
      </c>
      <c r="V434" s="49" t="str">
        <f t="shared" si="25"/>
        <v>[W2217.F] 터브이송#4-3 C2축(SD229) 가동 전원이 Off 되었습니다.</v>
      </c>
    </row>
    <row r="435" spans="1:22" s="49" customFormat="1" ht="14.15" customHeight="1">
      <c r="A435" s="43" t="s">
        <v>5598</v>
      </c>
      <c r="B435" s="44" t="s">
        <v>157</v>
      </c>
      <c r="C435" s="50"/>
      <c r="D435" s="10" t="s">
        <v>29</v>
      </c>
      <c r="E435" s="11"/>
      <c r="F435" s="11" t="s">
        <v>18</v>
      </c>
      <c r="G435" s="13"/>
      <c r="H435" s="45" t="s">
        <v>16</v>
      </c>
      <c r="I435" s="47"/>
      <c r="J435" s="12" t="s">
        <v>4989</v>
      </c>
      <c r="K435" s="13" t="s">
        <v>7235</v>
      </c>
      <c r="L435" s="99" t="str">
        <f t="shared" si="24"/>
        <v>W2218.0</v>
      </c>
      <c r="M435" s="13" t="s">
        <v>17</v>
      </c>
      <c r="N435" s="13"/>
      <c r="O435" s="13"/>
      <c r="P435" s="47"/>
      <c r="Q435" s="45" t="s">
        <v>3672</v>
      </c>
      <c r="R435" s="45" t="s">
        <v>5596</v>
      </c>
      <c r="S435" s="48"/>
      <c r="T435" s="49" t="str">
        <f t="shared" ref="T435:T498" si="27">"["&amp;L435&amp;"]"</f>
        <v>[W2218.0]</v>
      </c>
      <c r="U435" s="12" t="str">
        <f t="shared" si="26"/>
        <v xml:space="preserve"> 터브이송#4-3 C2축(SD229) 엔코더 이상이 검출되었습니다.</v>
      </c>
      <c r="V435" s="49" t="str">
        <f t="shared" si="25"/>
        <v>[W2218.0] 터브이송#4-3 C2축(SD229) 엔코더 이상이 검출되었습니다.</v>
      </c>
    </row>
    <row r="436" spans="1:22" s="49" customFormat="1" ht="14.15" customHeight="1">
      <c r="A436" s="43" t="s">
        <v>5598</v>
      </c>
      <c r="B436" s="44" t="s">
        <v>157</v>
      </c>
      <c r="C436" s="50"/>
      <c r="D436" s="10" t="s">
        <v>29</v>
      </c>
      <c r="E436" s="11"/>
      <c r="F436" s="11" t="s">
        <v>18</v>
      </c>
      <c r="G436" s="13"/>
      <c r="H436" s="45" t="s">
        <v>16</v>
      </c>
      <c r="I436" s="47"/>
      <c r="J436" s="12" t="s">
        <v>4990</v>
      </c>
      <c r="K436" s="13" t="s">
        <v>7236</v>
      </c>
      <c r="L436" s="99" t="str">
        <f t="shared" ref="L436:L499" si="28">"W"&amp;DEC2HEX(8704 + INT((ROW()-51)/16)) &amp; "." &amp; IF(MOD(ROW()-51,16)&lt;10,MOD(ROW()-51,16),CHAR(MOD(ROW()-51,16)+55))</f>
        <v>W2218.1</v>
      </c>
      <c r="M436" s="13" t="s">
        <v>17</v>
      </c>
      <c r="N436" s="13"/>
      <c r="O436" s="13"/>
      <c r="P436" s="47"/>
      <c r="Q436" s="45" t="s">
        <v>3672</v>
      </c>
      <c r="R436" s="45" t="s">
        <v>5596</v>
      </c>
      <c r="S436" s="48"/>
      <c r="T436" s="49" t="str">
        <f t="shared" si="27"/>
        <v>[W2218.1]</v>
      </c>
      <c r="U436" s="12" t="str">
        <f t="shared" si="26"/>
        <v xml:space="preserve"> 터브이송#4-3 C2축(SD229) 과전류가 검출되었습니다.</v>
      </c>
      <c r="V436" s="49" t="str">
        <f t="shared" ref="V436:V499" si="29">T436&amp;U436</f>
        <v>[W2218.1] 터브이송#4-3 C2축(SD229) 과전류가 검출되었습니다.</v>
      </c>
    </row>
    <row r="437" spans="1:22" s="49" customFormat="1" ht="14.15" customHeight="1">
      <c r="A437" s="43" t="s">
        <v>5598</v>
      </c>
      <c r="B437" s="44" t="s">
        <v>157</v>
      </c>
      <c r="C437" s="50"/>
      <c r="D437" s="10" t="s">
        <v>29</v>
      </c>
      <c r="E437" s="11"/>
      <c r="F437" s="11" t="s">
        <v>18</v>
      </c>
      <c r="G437" s="13"/>
      <c r="H437" s="45" t="s">
        <v>16</v>
      </c>
      <c r="I437" s="47"/>
      <c r="J437" s="12" t="s">
        <v>4991</v>
      </c>
      <c r="K437" s="13" t="s">
        <v>7237</v>
      </c>
      <c r="L437" s="99" t="str">
        <f t="shared" si="28"/>
        <v>W2218.2</v>
      </c>
      <c r="M437" s="13" t="s">
        <v>17</v>
      </c>
      <c r="N437" s="13"/>
      <c r="O437" s="13"/>
      <c r="P437" s="47"/>
      <c r="Q437" s="45" t="s">
        <v>3672</v>
      </c>
      <c r="R437" s="45" t="s">
        <v>5596</v>
      </c>
      <c r="S437" s="48"/>
      <c r="T437" s="49" t="str">
        <f t="shared" si="27"/>
        <v>[W2218.2]</v>
      </c>
      <c r="U437" s="12" t="str">
        <f t="shared" si="26"/>
        <v xml:space="preserve"> 터브이송#4-3 C2축(SD229) 과부하가 검출되었습니다.</v>
      </c>
      <c r="V437" s="49" t="str">
        <f t="shared" si="29"/>
        <v>[W2218.2] 터브이송#4-3 C2축(SD229) 과부하가 검출되었습니다.</v>
      </c>
    </row>
    <row r="438" spans="1:22" s="49" customFormat="1" ht="14.15" customHeight="1">
      <c r="A438" s="43" t="s">
        <v>5598</v>
      </c>
      <c r="B438" s="44" t="s">
        <v>157</v>
      </c>
      <c r="C438" s="50"/>
      <c r="D438" s="10" t="s">
        <v>29</v>
      </c>
      <c r="E438" s="11"/>
      <c r="F438" s="11" t="s">
        <v>18</v>
      </c>
      <c r="G438" s="13"/>
      <c r="H438" s="45" t="s">
        <v>16</v>
      </c>
      <c r="I438" s="47"/>
      <c r="J438" s="12" t="s">
        <v>4992</v>
      </c>
      <c r="K438" s="13" t="s">
        <v>7238</v>
      </c>
      <c r="L438" s="99" t="str">
        <f t="shared" si="28"/>
        <v>W2218.3</v>
      </c>
      <c r="M438" s="13" t="s">
        <v>17</v>
      </c>
      <c r="N438" s="13"/>
      <c r="O438" s="13"/>
      <c r="P438" s="47"/>
      <c r="Q438" s="45" t="s">
        <v>3672</v>
      </c>
      <c r="R438" s="45" t="s">
        <v>5596</v>
      </c>
      <c r="S438" s="48"/>
      <c r="T438" s="49" t="str">
        <f t="shared" si="27"/>
        <v>[W2218.3]</v>
      </c>
      <c r="U438" s="12" t="str">
        <f t="shared" si="26"/>
        <v xml:space="preserve"> 터브이송#4-3 C2축(SD229)  </v>
      </c>
      <c r="V438" s="49" t="str">
        <f t="shared" si="29"/>
        <v xml:space="preserve">[W2218.3] 터브이송#4-3 C2축(SD229)  </v>
      </c>
    </row>
    <row r="439" spans="1:22" s="49" customFormat="1" ht="14.15" customHeight="1">
      <c r="A439" s="43" t="s">
        <v>5598</v>
      </c>
      <c r="B439" s="44" t="s">
        <v>157</v>
      </c>
      <c r="C439" s="50"/>
      <c r="D439" s="10" t="s">
        <v>29</v>
      </c>
      <c r="E439" s="11"/>
      <c r="F439" s="11" t="s">
        <v>18</v>
      </c>
      <c r="G439" s="13"/>
      <c r="H439" s="45" t="s">
        <v>16</v>
      </c>
      <c r="I439" s="47"/>
      <c r="J439" s="12" t="s">
        <v>4993</v>
      </c>
      <c r="K439" s="13" t="s">
        <v>7239</v>
      </c>
      <c r="L439" s="99" t="str">
        <f t="shared" si="28"/>
        <v>W2218.4</v>
      </c>
      <c r="M439" s="13" t="s">
        <v>17</v>
      </c>
      <c r="N439" s="13"/>
      <c r="O439" s="13"/>
      <c r="P439" s="47"/>
      <c r="Q439" s="45" t="s">
        <v>3672</v>
      </c>
      <c r="R439" s="45" t="s">
        <v>5596</v>
      </c>
      <c r="S439" s="48"/>
      <c r="T439" s="49" t="str">
        <f>"["&amp;L409&amp;"]"</f>
        <v>[W2216.6]</v>
      </c>
      <c r="U439" s="12" t="str">
        <f>RIGHT(J409,LEN(J409)-7)</f>
        <v xml:space="preserve"> 터브이송#4-3 X축(SD226) 에러가 발생했습니다.</v>
      </c>
      <c r="V439" s="49" t="str">
        <f>T409&amp;U409</f>
        <v>[W2216.6] 터브이송#4-3 X축(SD226) 에러가 발생했습니다.</v>
      </c>
    </row>
    <row r="440" spans="1:22" s="49" customFormat="1" ht="14.15" customHeight="1">
      <c r="A440" s="44"/>
      <c r="B440" s="44" t="s">
        <v>157</v>
      </c>
      <c r="C440" s="50"/>
      <c r="D440" s="10" t="s">
        <v>29</v>
      </c>
      <c r="E440" s="11"/>
      <c r="F440" s="11" t="s">
        <v>18</v>
      </c>
      <c r="G440" s="13"/>
      <c r="H440" s="45" t="s">
        <v>16</v>
      </c>
      <c r="I440" s="47"/>
      <c r="J440" s="12" t="s">
        <v>5608</v>
      </c>
      <c r="K440" s="13" t="s">
        <v>7240</v>
      </c>
      <c r="L440" s="99" t="str">
        <f t="shared" si="28"/>
        <v>W2218.5</v>
      </c>
      <c r="M440" s="13" t="s">
        <v>17</v>
      </c>
      <c r="N440" s="13"/>
      <c r="O440" s="13"/>
      <c r="P440" s="47"/>
      <c r="Q440" s="45" t="s">
        <v>3672</v>
      </c>
      <c r="R440" s="45" t="s">
        <v>5596</v>
      </c>
      <c r="S440" s="48"/>
      <c r="T440" s="49" t="str">
        <f t="shared" si="27"/>
        <v>[W2218.5]</v>
      </c>
      <c r="U440" s="12" t="str">
        <f t="shared" ref="U440:U503" si="30">RIGHT(J440,LEN(J440)-7)</f>
        <v/>
      </c>
      <c r="V440" s="49" t="str">
        <f t="shared" si="29"/>
        <v>[W2218.5]</v>
      </c>
    </row>
    <row r="441" spans="1:22" s="49" customFormat="1" ht="14.15" customHeight="1">
      <c r="A441" s="44"/>
      <c r="B441" s="44" t="s">
        <v>157</v>
      </c>
      <c r="C441" s="50"/>
      <c r="D441" s="10" t="s">
        <v>29</v>
      </c>
      <c r="E441" s="11"/>
      <c r="F441" s="11" t="s">
        <v>18</v>
      </c>
      <c r="G441" s="13"/>
      <c r="H441" s="45" t="s">
        <v>16</v>
      </c>
      <c r="I441" s="47"/>
      <c r="J441" s="12" t="s">
        <v>3891</v>
      </c>
      <c r="K441" s="13" t="s">
        <v>7241</v>
      </c>
      <c r="L441" s="99" t="str">
        <f t="shared" si="28"/>
        <v>W2218.6</v>
      </c>
      <c r="M441" s="13" t="s">
        <v>17</v>
      </c>
      <c r="N441" s="13"/>
      <c r="O441" s="13"/>
      <c r="P441" s="47"/>
      <c r="Q441" s="45" t="s">
        <v>3672</v>
      </c>
      <c r="R441" s="45" t="s">
        <v>5596</v>
      </c>
      <c r="S441" s="48"/>
      <c r="T441" s="49" t="str">
        <f t="shared" si="27"/>
        <v>[W2218.6]</v>
      </c>
      <c r="U441" s="12" t="str">
        <f t="shared" si="30"/>
        <v/>
      </c>
      <c r="V441" s="49" t="str">
        <f t="shared" si="29"/>
        <v>[W2218.6]</v>
      </c>
    </row>
    <row r="442" spans="1:22" s="49" customFormat="1" ht="14.15" customHeight="1">
      <c r="A442" s="44"/>
      <c r="B442" s="44" t="s">
        <v>157</v>
      </c>
      <c r="C442" s="50"/>
      <c r="D442" s="10" t="s">
        <v>29</v>
      </c>
      <c r="E442" s="11"/>
      <c r="F442" s="11" t="s">
        <v>18</v>
      </c>
      <c r="G442" s="13"/>
      <c r="H442" s="45" t="s">
        <v>16</v>
      </c>
      <c r="I442" s="47"/>
      <c r="J442" s="12" t="s">
        <v>3892</v>
      </c>
      <c r="K442" s="13" t="s">
        <v>7242</v>
      </c>
      <c r="L442" s="99" t="str">
        <f t="shared" si="28"/>
        <v>W2218.7</v>
      </c>
      <c r="M442" s="13" t="s">
        <v>17</v>
      </c>
      <c r="N442" s="13"/>
      <c r="O442" s="13"/>
      <c r="P442" s="47"/>
      <c r="Q442" s="45" t="s">
        <v>3672</v>
      </c>
      <c r="R442" s="45" t="s">
        <v>5596</v>
      </c>
      <c r="S442" s="48"/>
      <c r="T442" s="49" t="str">
        <f t="shared" si="27"/>
        <v>[W2218.7]</v>
      </c>
      <c r="U442" s="12" t="str">
        <f t="shared" si="30"/>
        <v/>
      </c>
      <c r="V442" s="49" t="str">
        <f t="shared" si="29"/>
        <v>[W2218.7]</v>
      </c>
    </row>
    <row r="443" spans="1:22" s="49" customFormat="1" ht="14.15" customHeight="1">
      <c r="A443" s="44"/>
      <c r="B443" s="44" t="s">
        <v>157</v>
      </c>
      <c r="C443" s="50"/>
      <c r="D443" s="10" t="s">
        <v>29</v>
      </c>
      <c r="E443" s="11"/>
      <c r="F443" s="11" t="s">
        <v>18</v>
      </c>
      <c r="G443" s="13"/>
      <c r="H443" s="45" t="s">
        <v>16</v>
      </c>
      <c r="I443" s="47"/>
      <c r="J443" s="12" t="s">
        <v>3893</v>
      </c>
      <c r="K443" s="13" t="s">
        <v>7243</v>
      </c>
      <c r="L443" s="99" t="str">
        <f t="shared" si="28"/>
        <v>W2218.8</v>
      </c>
      <c r="M443" s="13" t="s">
        <v>17</v>
      </c>
      <c r="N443" s="13"/>
      <c r="O443" s="13"/>
      <c r="P443" s="47"/>
      <c r="Q443" s="45" t="s">
        <v>3672</v>
      </c>
      <c r="R443" s="45" t="s">
        <v>5596</v>
      </c>
      <c r="S443" s="48"/>
      <c r="T443" s="49" t="str">
        <f t="shared" si="27"/>
        <v>[W2218.8]</v>
      </c>
      <c r="U443" s="12" t="str">
        <f t="shared" si="30"/>
        <v/>
      </c>
      <c r="V443" s="49" t="str">
        <f t="shared" si="29"/>
        <v>[W2218.8]</v>
      </c>
    </row>
    <row r="444" spans="1:22" s="49" customFormat="1" ht="14.15" customHeight="1">
      <c r="A444" s="44"/>
      <c r="B444" s="44" t="s">
        <v>157</v>
      </c>
      <c r="C444" s="50"/>
      <c r="D444" s="10" t="s">
        <v>29</v>
      </c>
      <c r="E444" s="11"/>
      <c r="F444" s="11" t="s">
        <v>18</v>
      </c>
      <c r="G444" s="13"/>
      <c r="H444" s="45" t="s">
        <v>16</v>
      </c>
      <c r="I444" s="47"/>
      <c r="J444" s="12" t="s">
        <v>3894</v>
      </c>
      <c r="K444" s="13" t="s">
        <v>7244</v>
      </c>
      <c r="L444" s="99" t="str">
        <f t="shared" si="28"/>
        <v>W2218.9</v>
      </c>
      <c r="M444" s="13" t="s">
        <v>17</v>
      </c>
      <c r="N444" s="13"/>
      <c r="O444" s="13"/>
      <c r="P444" s="47"/>
      <c r="Q444" s="45" t="s">
        <v>3672</v>
      </c>
      <c r="R444" s="45" t="s">
        <v>5596</v>
      </c>
      <c r="S444" s="48"/>
      <c r="T444" s="49" t="str">
        <f t="shared" si="27"/>
        <v>[W2218.9]</v>
      </c>
      <c r="U444" s="12" t="str">
        <f t="shared" si="30"/>
        <v/>
      </c>
      <c r="V444" s="49" t="str">
        <f t="shared" si="29"/>
        <v>[W2218.9]</v>
      </c>
    </row>
    <row r="445" spans="1:22" s="49" customFormat="1" ht="14.15" customHeight="1">
      <c r="A445" s="44"/>
      <c r="B445" s="44" t="s">
        <v>157</v>
      </c>
      <c r="C445" s="50"/>
      <c r="D445" s="10" t="s">
        <v>29</v>
      </c>
      <c r="E445" s="11"/>
      <c r="F445" s="11" t="s">
        <v>18</v>
      </c>
      <c r="G445" s="13"/>
      <c r="H445" s="45" t="s">
        <v>16</v>
      </c>
      <c r="I445" s="47"/>
      <c r="J445" s="12" t="s">
        <v>3895</v>
      </c>
      <c r="K445" s="13" t="s">
        <v>7245</v>
      </c>
      <c r="L445" s="99" t="str">
        <f t="shared" si="28"/>
        <v>W2218.A</v>
      </c>
      <c r="M445" s="13" t="s">
        <v>17</v>
      </c>
      <c r="N445" s="13"/>
      <c r="O445" s="13"/>
      <c r="P445" s="47"/>
      <c r="Q445" s="45" t="s">
        <v>3672</v>
      </c>
      <c r="R445" s="45" t="s">
        <v>5596</v>
      </c>
      <c r="S445" s="48"/>
      <c r="T445" s="49" t="str">
        <f t="shared" si="27"/>
        <v>[W2218.A]</v>
      </c>
      <c r="U445" s="12" t="str">
        <f t="shared" si="30"/>
        <v/>
      </c>
      <c r="V445" s="49" t="str">
        <f t="shared" si="29"/>
        <v>[W2218.A]</v>
      </c>
    </row>
    <row r="446" spans="1:22" s="49" customFormat="1" ht="14.15" customHeight="1">
      <c r="A446" s="44"/>
      <c r="B446" s="44" t="s">
        <v>157</v>
      </c>
      <c r="C446" s="50"/>
      <c r="D446" s="10" t="s">
        <v>29</v>
      </c>
      <c r="E446" s="11"/>
      <c r="F446" s="11" t="s">
        <v>18</v>
      </c>
      <c r="G446" s="13"/>
      <c r="H446" s="45" t="s">
        <v>16</v>
      </c>
      <c r="I446" s="46"/>
      <c r="J446" s="12" t="s">
        <v>3896</v>
      </c>
      <c r="K446" s="13" t="s">
        <v>7246</v>
      </c>
      <c r="L446" s="99" t="str">
        <f t="shared" si="28"/>
        <v>W2218.B</v>
      </c>
      <c r="M446" s="13" t="s">
        <v>17</v>
      </c>
      <c r="N446" s="13"/>
      <c r="O446" s="13"/>
      <c r="P446" s="47"/>
      <c r="Q446" s="45" t="s">
        <v>3672</v>
      </c>
      <c r="R446" s="45" t="s">
        <v>5596</v>
      </c>
      <c r="S446" s="48"/>
      <c r="T446" s="49" t="str">
        <f t="shared" si="27"/>
        <v>[W2218.B]</v>
      </c>
      <c r="U446" s="12" t="str">
        <f t="shared" si="30"/>
        <v/>
      </c>
      <c r="V446" s="49" t="str">
        <f t="shared" si="29"/>
        <v>[W2218.B]</v>
      </c>
    </row>
    <row r="447" spans="1:22" s="49" customFormat="1" ht="14.15" customHeight="1">
      <c r="A447" s="44"/>
      <c r="B447" s="44" t="s">
        <v>157</v>
      </c>
      <c r="C447" s="50"/>
      <c r="D447" s="10" t="s">
        <v>29</v>
      </c>
      <c r="E447" s="11"/>
      <c r="F447" s="11" t="s">
        <v>18</v>
      </c>
      <c r="G447" s="13"/>
      <c r="H447" s="45" t="s">
        <v>16</v>
      </c>
      <c r="I447" s="46"/>
      <c r="J447" s="12" t="s">
        <v>3897</v>
      </c>
      <c r="K447" s="13" t="s">
        <v>7247</v>
      </c>
      <c r="L447" s="99" t="str">
        <f t="shared" si="28"/>
        <v>W2218.C</v>
      </c>
      <c r="M447" s="13" t="s">
        <v>17</v>
      </c>
      <c r="N447" s="13"/>
      <c r="O447" s="13"/>
      <c r="P447" s="47"/>
      <c r="Q447" s="45" t="s">
        <v>3672</v>
      </c>
      <c r="R447" s="45" t="s">
        <v>5596</v>
      </c>
      <c r="S447" s="48"/>
      <c r="T447" s="49" t="str">
        <f t="shared" si="27"/>
        <v>[W2218.C]</v>
      </c>
      <c r="U447" s="12" t="str">
        <f t="shared" si="30"/>
        <v/>
      </c>
      <c r="V447" s="49" t="str">
        <f t="shared" si="29"/>
        <v>[W2218.C]</v>
      </c>
    </row>
    <row r="448" spans="1:22" s="49" customFormat="1" ht="14.15" customHeight="1">
      <c r="A448" s="44"/>
      <c r="B448" s="44" t="s">
        <v>157</v>
      </c>
      <c r="C448" s="50"/>
      <c r="D448" s="10" t="s">
        <v>29</v>
      </c>
      <c r="E448" s="11"/>
      <c r="F448" s="11" t="s">
        <v>18</v>
      </c>
      <c r="G448" s="13"/>
      <c r="H448" s="45" t="s">
        <v>16</v>
      </c>
      <c r="I448" s="46"/>
      <c r="J448" s="12" t="s">
        <v>3898</v>
      </c>
      <c r="K448" s="13" t="s">
        <v>7248</v>
      </c>
      <c r="L448" s="99" t="str">
        <f t="shared" si="28"/>
        <v>W2218.D</v>
      </c>
      <c r="M448" s="13" t="s">
        <v>17</v>
      </c>
      <c r="N448" s="13"/>
      <c r="O448" s="13"/>
      <c r="P448" s="47"/>
      <c r="Q448" s="45" t="s">
        <v>3672</v>
      </c>
      <c r="R448" s="45" t="s">
        <v>5596</v>
      </c>
      <c r="S448" s="48"/>
      <c r="T448" s="49" t="str">
        <f t="shared" si="27"/>
        <v>[W2218.D]</v>
      </c>
      <c r="U448" s="12" t="str">
        <f t="shared" si="30"/>
        <v/>
      </c>
      <c r="V448" s="49" t="str">
        <f t="shared" si="29"/>
        <v>[W2218.D]</v>
      </c>
    </row>
    <row r="449" spans="1:22" s="49" customFormat="1" ht="14.15" customHeight="1">
      <c r="A449" s="44"/>
      <c r="B449" s="44" t="s">
        <v>157</v>
      </c>
      <c r="C449" s="50"/>
      <c r="D449" s="10" t="s">
        <v>29</v>
      </c>
      <c r="E449" s="11"/>
      <c r="F449" s="11" t="s">
        <v>18</v>
      </c>
      <c r="G449" s="13"/>
      <c r="H449" s="45" t="s">
        <v>16</v>
      </c>
      <c r="I449" s="46"/>
      <c r="J449" s="12" t="s">
        <v>3899</v>
      </c>
      <c r="K449" s="13" t="s">
        <v>7249</v>
      </c>
      <c r="L449" s="99" t="str">
        <f t="shared" si="28"/>
        <v>W2218.E</v>
      </c>
      <c r="M449" s="13" t="s">
        <v>17</v>
      </c>
      <c r="N449" s="13"/>
      <c r="O449" s="13"/>
      <c r="P449" s="47"/>
      <c r="Q449" s="45" t="s">
        <v>3672</v>
      </c>
      <c r="R449" s="45" t="s">
        <v>5596</v>
      </c>
      <c r="S449" s="48"/>
      <c r="T449" s="49" t="str">
        <f t="shared" si="27"/>
        <v>[W2218.E]</v>
      </c>
      <c r="U449" s="12" t="str">
        <f t="shared" si="30"/>
        <v/>
      </c>
      <c r="V449" s="49" t="str">
        <f t="shared" si="29"/>
        <v>[W2218.E]</v>
      </c>
    </row>
    <row r="450" spans="1:22" s="49" customFormat="1" ht="14.15" customHeight="1">
      <c r="A450" s="44"/>
      <c r="B450" s="44" t="s">
        <v>157</v>
      </c>
      <c r="C450" s="50"/>
      <c r="D450" s="10" t="s">
        <v>29</v>
      </c>
      <c r="E450" s="11"/>
      <c r="F450" s="11" t="s">
        <v>18</v>
      </c>
      <c r="G450" s="13"/>
      <c r="H450" s="45" t="s">
        <v>16</v>
      </c>
      <c r="I450" s="46"/>
      <c r="J450" s="12" t="s">
        <v>3900</v>
      </c>
      <c r="K450" s="13" t="s">
        <v>7250</v>
      </c>
      <c r="L450" s="99" t="str">
        <f t="shared" si="28"/>
        <v>W2218.F</v>
      </c>
      <c r="M450" s="13" t="s">
        <v>17</v>
      </c>
      <c r="N450" s="13"/>
      <c r="O450" s="13"/>
      <c r="P450" s="47"/>
      <c r="Q450" s="45" t="s">
        <v>3672</v>
      </c>
      <c r="R450" s="45" t="s">
        <v>5596</v>
      </c>
      <c r="S450" s="48"/>
      <c r="T450" s="49" t="str">
        <f t="shared" si="27"/>
        <v>[W2218.F]</v>
      </c>
      <c r="U450" s="12" t="str">
        <f t="shared" si="30"/>
        <v/>
      </c>
      <c r="V450" s="49" t="str">
        <f t="shared" si="29"/>
        <v>[W2218.F]</v>
      </c>
    </row>
    <row r="451" spans="1:22" s="49" customFormat="1" ht="14.15" customHeight="1">
      <c r="A451" s="44"/>
      <c r="B451" s="44" t="s">
        <v>157</v>
      </c>
      <c r="C451" s="50"/>
      <c r="D451" s="10" t="s">
        <v>29</v>
      </c>
      <c r="E451" s="11"/>
      <c r="F451" s="11" t="s">
        <v>18</v>
      </c>
      <c r="G451" s="13"/>
      <c r="H451" s="45" t="s">
        <v>16</v>
      </c>
      <c r="I451" s="47"/>
      <c r="J451" s="12" t="s">
        <v>3901</v>
      </c>
      <c r="K451" s="13" t="s">
        <v>7251</v>
      </c>
      <c r="L451" s="99" t="str">
        <f t="shared" si="28"/>
        <v>W2219.0</v>
      </c>
      <c r="M451" s="13" t="s">
        <v>17</v>
      </c>
      <c r="N451" s="13"/>
      <c r="O451" s="13"/>
      <c r="P451" s="47"/>
      <c r="Q451" s="45" t="s">
        <v>3672</v>
      </c>
      <c r="R451" s="45" t="s">
        <v>5596</v>
      </c>
      <c r="S451" s="48"/>
      <c r="T451" s="49" t="str">
        <f t="shared" si="27"/>
        <v>[W2219.0]</v>
      </c>
      <c r="U451" s="12" t="str">
        <f t="shared" si="30"/>
        <v/>
      </c>
      <c r="V451" s="49" t="str">
        <f t="shared" si="29"/>
        <v>[W2219.0]</v>
      </c>
    </row>
    <row r="452" spans="1:22" s="49" customFormat="1" ht="14.15" customHeight="1">
      <c r="A452" s="44"/>
      <c r="B452" s="44" t="s">
        <v>157</v>
      </c>
      <c r="C452" s="50"/>
      <c r="D452" s="10" t="s">
        <v>29</v>
      </c>
      <c r="E452" s="11"/>
      <c r="F452" s="11" t="s">
        <v>18</v>
      </c>
      <c r="G452" s="13"/>
      <c r="H452" s="45" t="s">
        <v>16</v>
      </c>
      <c r="I452" s="47"/>
      <c r="J452" s="12" t="s">
        <v>3902</v>
      </c>
      <c r="K452" s="13" t="s">
        <v>7252</v>
      </c>
      <c r="L452" s="99" t="str">
        <f t="shared" si="28"/>
        <v>W2219.1</v>
      </c>
      <c r="M452" s="13" t="s">
        <v>17</v>
      </c>
      <c r="N452" s="13"/>
      <c r="O452" s="13"/>
      <c r="P452" s="47"/>
      <c r="Q452" s="45" t="s">
        <v>3672</v>
      </c>
      <c r="R452" s="45" t="s">
        <v>5596</v>
      </c>
      <c r="S452" s="48"/>
      <c r="T452" s="49" t="str">
        <f t="shared" si="27"/>
        <v>[W2219.1]</v>
      </c>
      <c r="U452" s="12" t="str">
        <f t="shared" si="30"/>
        <v/>
      </c>
      <c r="V452" s="49" t="str">
        <f t="shared" si="29"/>
        <v>[W2219.1]</v>
      </c>
    </row>
    <row r="453" spans="1:22" s="49" customFormat="1" ht="14.15" customHeight="1">
      <c r="A453" s="44"/>
      <c r="B453" s="44" t="s">
        <v>157</v>
      </c>
      <c r="C453" s="50"/>
      <c r="D453" s="10" t="s">
        <v>29</v>
      </c>
      <c r="E453" s="11"/>
      <c r="F453" s="11" t="s">
        <v>18</v>
      </c>
      <c r="G453" s="13"/>
      <c r="H453" s="45" t="s">
        <v>16</v>
      </c>
      <c r="I453" s="47"/>
      <c r="J453" s="12" t="s">
        <v>3903</v>
      </c>
      <c r="K453" s="13" t="s">
        <v>7253</v>
      </c>
      <c r="L453" s="99" t="str">
        <f t="shared" si="28"/>
        <v>W2219.2</v>
      </c>
      <c r="M453" s="13" t="s">
        <v>17</v>
      </c>
      <c r="N453" s="13"/>
      <c r="O453" s="13"/>
      <c r="P453" s="47"/>
      <c r="Q453" s="45" t="s">
        <v>3672</v>
      </c>
      <c r="R453" s="45" t="s">
        <v>5596</v>
      </c>
      <c r="S453" s="48"/>
      <c r="T453" s="49" t="str">
        <f t="shared" si="27"/>
        <v>[W2219.2]</v>
      </c>
      <c r="U453" s="12" t="str">
        <f t="shared" si="30"/>
        <v/>
      </c>
      <c r="V453" s="49" t="str">
        <f t="shared" si="29"/>
        <v>[W2219.2]</v>
      </c>
    </row>
    <row r="454" spans="1:22" s="49" customFormat="1" ht="14.15" customHeight="1">
      <c r="A454" s="44"/>
      <c r="B454" s="44" t="s">
        <v>157</v>
      </c>
      <c r="C454" s="50"/>
      <c r="D454" s="10" t="s">
        <v>29</v>
      </c>
      <c r="E454" s="11"/>
      <c r="F454" s="11" t="s">
        <v>18</v>
      </c>
      <c r="G454" s="13"/>
      <c r="H454" s="45" t="s">
        <v>16</v>
      </c>
      <c r="I454" s="47"/>
      <c r="J454" s="12" t="s">
        <v>3904</v>
      </c>
      <c r="K454" s="13" t="s">
        <v>7254</v>
      </c>
      <c r="L454" s="99" t="str">
        <f t="shared" si="28"/>
        <v>W2219.3</v>
      </c>
      <c r="M454" s="13" t="s">
        <v>17</v>
      </c>
      <c r="N454" s="13"/>
      <c r="O454" s="13"/>
      <c r="P454" s="47"/>
      <c r="Q454" s="45" t="s">
        <v>3672</v>
      </c>
      <c r="R454" s="45" t="s">
        <v>5596</v>
      </c>
      <c r="S454" s="48"/>
      <c r="T454" s="49" t="str">
        <f t="shared" si="27"/>
        <v>[W2219.3]</v>
      </c>
      <c r="U454" s="12" t="str">
        <f t="shared" si="30"/>
        <v/>
      </c>
      <c r="V454" s="49" t="str">
        <f t="shared" si="29"/>
        <v>[W2219.3]</v>
      </c>
    </row>
    <row r="455" spans="1:22" s="49" customFormat="1" ht="14.15" customHeight="1">
      <c r="A455" s="44"/>
      <c r="B455" s="44" t="s">
        <v>157</v>
      </c>
      <c r="C455" s="50"/>
      <c r="D455" s="10" t="s">
        <v>29</v>
      </c>
      <c r="E455" s="11"/>
      <c r="F455" s="11" t="s">
        <v>18</v>
      </c>
      <c r="G455" s="13"/>
      <c r="H455" s="45" t="s">
        <v>16</v>
      </c>
      <c r="I455" s="47"/>
      <c r="J455" s="12" t="s">
        <v>3905</v>
      </c>
      <c r="K455" s="13" t="s">
        <v>7255</v>
      </c>
      <c r="L455" s="99" t="str">
        <f t="shared" si="28"/>
        <v>W2219.4</v>
      </c>
      <c r="M455" s="13" t="s">
        <v>17</v>
      </c>
      <c r="N455" s="13"/>
      <c r="O455" s="13"/>
      <c r="P455" s="47"/>
      <c r="Q455" s="45" t="s">
        <v>3672</v>
      </c>
      <c r="R455" s="45" t="s">
        <v>5596</v>
      </c>
      <c r="S455" s="48"/>
      <c r="T455" s="49" t="str">
        <f t="shared" si="27"/>
        <v>[W2219.4]</v>
      </c>
      <c r="U455" s="12" t="str">
        <f t="shared" si="30"/>
        <v/>
      </c>
      <c r="V455" s="49" t="str">
        <f t="shared" si="29"/>
        <v>[W2219.4]</v>
      </c>
    </row>
    <row r="456" spans="1:22" s="49" customFormat="1" ht="14.15" customHeight="1">
      <c r="A456" s="44"/>
      <c r="B456" s="44" t="s">
        <v>157</v>
      </c>
      <c r="C456" s="50"/>
      <c r="D456" s="10" t="s">
        <v>29</v>
      </c>
      <c r="E456" s="11"/>
      <c r="F456" s="11" t="s">
        <v>18</v>
      </c>
      <c r="G456" s="13"/>
      <c r="H456" s="45" t="s">
        <v>16</v>
      </c>
      <c r="I456" s="47"/>
      <c r="J456" s="12" t="s">
        <v>3906</v>
      </c>
      <c r="K456" s="13" t="s">
        <v>7256</v>
      </c>
      <c r="L456" s="99" t="str">
        <f t="shared" si="28"/>
        <v>W2219.5</v>
      </c>
      <c r="M456" s="13" t="s">
        <v>17</v>
      </c>
      <c r="N456" s="13"/>
      <c r="O456" s="13"/>
      <c r="P456" s="47"/>
      <c r="Q456" s="45" t="s">
        <v>3672</v>
      </c>
      <c r="R456" s="45" t="s">
        <v>5596</v>
      </c>
      <c r="S456" s="48"/>
      <c r="T456" s="49" t="str">
        <f t="shared" si="27"/>
        <v>[W2219.5]</v>
      </c>
      <c r="U456" s="12" t="str">
        <f t="shared" si="30"/>
        <v/>
      </c>
      <c r="V456" s="49" t="str">
        <f t="shared" si="29"/>
        <v>[W2219.5]</v>
      </c>
    </row>
    <row r="457" spans="1:22" s="49" customFormat="1" ht="14.15" customHeight="1">
      <c r="A457" s="44"/>
      <c r="B457" s="44" t="s">
        <v>157</v>
      </c>
      <c r="C457" s="50"/>
      <c r="D457" s="10" t="s">
        <v>29</v>
      </c>
      <c r="E457" s="11"/>
      <c r="F457" s="11" t="s">
        <v>18</v>
      </c>
      <c r="G457" s="13"/>
      <c r="H457" s="45" t="s">
        <v>16</v>
      </c>
      <c r="I457" s="47"/>
      <c r="J457" s="12" t="s">
        <v>3907</v>
      </c>
      <c r="K457" s="13" t="s">
        <v>7257</v>
      </c>
      <c r="L457" s="99" t="str">
        <f t="shared" si="28"/>
        <v>W2219.6</v>
      </c>
      <c r="M457" s="13" t="s">
        <v>17</v>
      </c>
      <c r="N457" s="13"/>
      <c r="O457" s="13"/>
      <c r="P457" s="47"/>
      <c r="Q457" s="45" t="s">
        <v>3672</v>
      </c>
      <c r="R457" s="45" t="s">
        <v>5596</v>
      </c>
      <c r="S457" s="48"/>
      <c r="T457" s="49" t="str">
        <f t="shared" si="27"/>
        <v>[W2219.6]</v>
      </c>
      <c r="U457" s="12" t="str">
        <f t="shared" si="30"/>
        <v/>
      </c>
      <c r="V457" s="49" t="str">
        <f t="shared" si="29"/>
        <v>[W2219.6]</v>
      </c>
    </row>
    <row r="458" spans="1:22" s="49" customFormat="1" ht="14.15" customHeight="1">
      <c r="A458" s="44"/>
      <c r="B458" s="44" t="s">
        <v>157</v>
      </c>
      <c r="C458" s="50"/>
      <c r="D458" s="10" t="s">
        <v>29</v>
      </c>
      <c r="E458" s="11"/>
      <c r="F458" s="11" t="s">
        <v>18</v>
      </c>
      <c r="G458" s="13"/>
      <c r="H458" s="45" t="s">
        <v>16</v>
      </c>
      <c r="I458" s="47"/>
      <c r="J458" s="12" t="s">
        <v>3908</v>
      </c>
      <c r="K458" s="13" t="s">
        <v>7258</v>
      </c>
      <c r="L458" s="99" t="str">
        <f t="shared" si="28"/>
        <v>W2219.7</v>
      </c>
      <c r="M458" s="13" t="s">
        <v>17</v>
      </c>
      <c r="N458" s="13"/>
      <c r="O458" s="13"/>
      <c r="P458" s="47"/>
      <c r="Q458" s="45" t="s">
        <v>3672</v>
      </c>
      <c r="R458" s="45" t="s">
        <v>5596</v>
      </c>
      <c r="S458" s="48"/>
      <c r="T458" s="49" t="str">
        <f t="shared" si="27"/>
        <v>[W2219.7]</v>
      </c>
      <c r="U458" s="12" t="str">
        <f t="shared" si="30"/>
        <v/>
      </c>
      <c r="V458" s="49" t="str">
        <f t="shared" si="29"/>
        <v>[W2219.7]</v>
      </c>
    </row>
    <row r="459" spans="1:22" s="49" customFormat="1" ht="14.15" customHeight="1">
      <c r="A459" s="44"/>
      <c r="B459" s="44" t="s">
        <v>157</v>
      </c>
      <c r="C459" s="50"/>
      <c r="D459" s="10" t="s">
        <v>29</v>
      </c>
      <c r="E459" s="11"/>
      <c r="F459" s="11" t="s">
        <v>18</v>
      </c>
      <c r="G459" s="13"/>
      <c r="H459" s="45" t="s">
        <v>16</v>
      </c>
      <c r="I459" s="47"/>
      <c r="J459" s="12" t="s">
        <v>3909</v>
      </c>
      <c r="K459" s="13" t="s">
        <v>7259</v>
      </c>
      <c r="L459" s="99" t="str">
        <f t="shared" si="28"/>
        <v>W2219.8</v>
      </c>
      <c r="M459" s="13" t="s">
        <v>17</v>
      </c>
      <c r="N459" s="13"/>
      <c r="O459" s="13"/>
      <c r="P459" s="47"/>
      <c r="Q459" s="45" t="s">
        <v>3672</v>
      </c>
      <c r="R459" s="45" t="s">
        <v>5596</v>
      </c>
      <c r="S459" s="48"/>
      <c r="T459" s="49" t="str">
        <f t="shared" si="27"/>
        <v>[W2219.8]</v>
      </c>
      <c r="U459" s="12" t="str">
        <f t="shared" si="30"/>
        <v/>
      </c>
      <c r="V459" s="49" t="str">
        <f t="shared" si="29"/>
        <v>[W2219.8]</v>
      </c>
    </row>
    <row r="460" spans="1:22" s="49" customFormat="1" ht="14.15" customHeight="1">
      <c r="A460" s="44"/>
      <c r="B460" s="44" t="s">
        <v>157</v>
      </c>
      <c r="C460" s="50"/>
      <c r="D460" s="10" t="s">
        <v>29</v>
      </c>
      <c r="E460" s="11"/>
      <c r="F460" s="11" t="s">
        <v>18</v>
      </c>
      <c r="G460" s="13"/>
      <c r="H460" s="45" t="s">
        <v>16</v>
      </c>
      <c r="I460" s="47"/>
      <c r="J460" s="12" t="s">
        <v>3910</v>
      </c>
      <c r="K460" s="13" t="s">
        <v>7260</v>
      </c>
      <c r="L460" s="99" t="str">
        <f t="shared" si="28"/>
        <v>W2219.9</v>
      </c>
      <c r="M460" s="13" t="s">
        <v>17</v>
      </c>
      <c r="N460" s="13"/>
      <c r="O460" s="13"/>
      <c r="P460" s="47"/>
      <c r="Q460" s="45" t="s">
        <v>3672</v>
      </c>
      <c r="R460" s="45" t="s">
        <v>5596</v>
      </c>
      <c r="S460" s="48"/>
      <c r="T460" s="49" t="str">
        <f t="shared" si="27"/>
        <v>[W2219.9]</v>
      </c>
      <c r="U460" s="12" t="str">
        <f t="shared" si="30"/>
        <v/>
      </c>
      <c r="V460" s="49" t="str">
        <f t="shared" si="29"/>
        <v>[W2219.9]</v>
      </c>
    </row>
    <row r="461" spans="1:22" s="49" customFormat="1" ht="14.15" customHeight="1">
      <c r="A461" s="44"/>
      <c r="B461" s="44" t="s">
        <v>157</v>
      </c>
      <c r="C461" s="50"/>
      <c r="D461" s="10" t="s">
        <v>29</v>
      </c>
      <c r="E461" s="11"/>
      <c r="F461" s="11" t="s">
        <v>18</v>
      </c>
      <c r="G461" s="13"/>
      <c r="H461" s="45" t="s">
        <v>16</v>
      </c>
      <c r="I461" s="47"/>
      <c r="J461" s="12" t="s">
        <v>3911</v>
      </c>
      <c r="K461" s="13" t="s">
        <v>7261</v>
      </c>
      <c r="L461" s="99" t="str">
        <f t="shared" si="28"/>
        <v>W2219.A</v>
      </c>
      <c r="M461" s="13" t="s">
        <v>17</v>
      </c>
      <c r="N461" s="13"/>
      <c r="O461" s="13"/>
      <c r="P461" s="47"/>
      <c r="Q461" s="45" t="s">
        <v>3672</v>
      </c>
      <c r="R461" s="45" t="s">
        <v>5596</v>
      </c>
      <c r="S461" s="48"/>
      <c r="T461" s="49" t="str">
        <f t="shared" si="27"/>
        <v>[W2219.A]</v>
      </c>
      <c r="U461" s="12" t="str">
        <f t="shared" si="30"/>
        <v/>
      </c>
      <c r="V461" s="49" t="str">
        <f t="shared" si="29"/>
        <v>[W2219.A]</v>
      </c>
    </row>
    <row r="462" spans="1:22" s="49" customFormat="1" ht="14.15" customHeight="1">
      <c r="A462" s="44"/>
      <c r="B462" s="44" t="s">
        <v>157</v>
      </c>
      <c r="C462" s="50"/>
      <c r="D462" s="10" t="s">
        <v>29</v>
      </c>
      <c r="E462" s="11"/>
      <c r="F462" s="11" t="s">
        <v>18</v>
      </c>
      <c r="G462" s="13"/>
      <c r="H462" s="45" t="s">
        <v>16</v>
      </c>
      <c r="I462" s="47"/>
      <c r="J462" s="12" t="s">
        <v>3912</v>
      </c>
      <c r="K462" s="13" t="s">
        <v>7262</v>
      </c>
      <c r="L462" s="99" t="str">
        <f t="shared" si="28"/>
        <v>W2219.B</v>
      </c>
      <c r="M462" s="13" t="s">
        <v>17</v>
      </c>
      <c r="N462" s="13"/>
      <c r="O462" s="13"/>
      <c r="P462" s="47"/>
      <c r="Q462" s="45" t="s">
        <v>3672</v>
      </c>
      <c r="R462" s="45" t="s">
        <v>5596</v>
      </c>
      <c r="S462" s="48"/>
      <c r="T462" s="49" t="str">
        <f t="shared" si="27"/>
        <v>[W2219.B]</v>
      </c>
      <c r="U462" s="12" t="str">
        <f t="shared" si="30"/>
        <v/>
      </c>
      <c r="V462" s="49" t="str">
        <f t="shared" si="29"/>
        <v>[W2219.B]</v>
      </c>
    </row>
    <row r="463" spans="1:22" s="49" customFormat="1" ht="14.15" customHeight="1">
      <c r="A463" s="44"/>
      <c r="B463" s="44" t="s">
        <v>157</v>
      </c>
      <c r="C463" s="50"/>
      <c r="D463" s="10" t="s">
        <v>29</v>
      </c>
      <c r="E463" s="11"/>
      <c r="F463" s="11" t="s">
        <v>18</v>
      </c>
      <c r="G463" s="13"/>
      <c r="H463" s="45" t="s">
        <v>16</v>
      </c>
      <c r="I463" s="47"/>
      <c r="J463" s="12" t="s">
        <v>3913</v>
      </c>
      <c r="K463" s="13" t="s">
        <v>7263</v>
      </c>
      <c r="L463" s="99" t="str">
        <f t="shared" si="28"/>
        <v>W2219.C</v>
      </c>
      <c r="M463" s="13" t="s">
        <v>17</v>
      </c>
      <c r="N463" s="13"/>
      <c r="O463" s="13"/>
      <c r="P463" s="47"/>
      <c r="Q463" s="45" t="s">
        <v>3672</v>
      </c>
      <c r="R463" s="45" t="s">
        <v>5596</v>
      </c>
      <c r="S463" s="48"/>
      <c r="T463" s="49" t="str">
        <f t="shared" si="27"/>
        <v>[W2219.C]</v>
      </c>
      <c r="U463" s="12" t="str">
        <f t="shared" si="30"/>
        <v/>
      </c>
      <c r="V463" s="49" t="str">
        <f t="shared" si="29"/>
        <v>[W2219.C]</v>
      </c>
    </row>
    <row r="464" spans="1:22" s="49" customFormat="1" ht="14.15" customHeight="1">
      <c r="A464" s="44"/>
      <c r="B464" s="44" t="s">
        <v>157</v>
      </c>
      <c r="C464" s="50"/>
      <c r="D464" s="10" t="s">
        <v>29</v>
      </c>
      <c r="E464" s="11"/>
      <c r="F464" s="11" t="s">
        <v>18</v>
      </c>
      <c r="G464" s="13"/>
      <c r="H464" s="45" t="s">
        <v>16</v>
      </c>
      <c r="I464" s="47"/>
      <c r="J464" s="12" t="s">
        <v>3914</v>
      </c>
      <c r="K464" s="13" t="s">
        <v>7264</v>
      </c>
      <c r="L464" s="99" t="str">
        <f t="shared" si="28"/>
        <v>W2219.D</v>
      </c>
      <c r="M464" s="13" t="s">
        <v>17</v>
      </c>
      <c r="N464" s="13"/>
      <c r="O464" s="13"/>
      <c r="P464" s="47"/>
      <c r="Q464" s="45" t="s">
        <v>3672</v>
      </c>
      <c r="R464" s="45" t="s">
        <v>5596</v>
      </c>
      <c r="S464" s="48"/>
      <c r="T464" s="49" t="str">
        <f t="shared" si="27"/>
        <v>[W2219.D]</v>
      </c>
      <c r="U464" s="12" t="str">
        <f t="shared" si="30"/>
        <v/>
      </c>
      <c r="V464" s="49" t="str">
        <f t="shared" si="29"/>
        <v>[W2219.D]</v>
      </c>
    </row>
    <row r="465" spans="1:22" s="49" customFormat="1" ht="14.15" customHeight="1">
      <c r="A465" s="44"/>
      <c r="B465" s="44" t="s">
        <v>157</v>
      </c>
      <c r="C465" s="50"/>
      <c r="D465" s="10" t="s">
        <v>29</v>
      </c>
      <c r="E465" s="11"/>
      <c r="F465" s="11" t="s">
        <v>18</v>
      </c>
      <c r="G465" s="13"/>
      <c r="H465" s="45" t="s">
        <v>16</v>
      </c>
      <c r="I465" s="47"/>
      <c r="J465" s="12" t="s">
        <v>3915</v>
      </c>
      <c r="K465" s="13" t="s">
        <v>7265</v>
      </c>
      <c r="L465" s="99" t="str">
        <f t="shared" si="28"/>
        <v>W2219.E</v>
      </c>
      <c r="M465" s="13" t="s">
        <v>17</v>
      </c>
      <c r="N465" s="13"/>
      <c r="O465" s="13"/>
      <c r="P465" s="47"/>
      <c r="Q465" s="45" t="s">
        <v>3672</v>
      </c>
      <c r="R465" s="45" t="s">
        <v>5596</v>
      </c>
      <c r="S465" s="48"/>
      <c r="T465" s="49" t="str">
        <f t="shared" si="27"/>
        <v>[W2219.E]</v>
      </c>
      <c r="U465" s="12" t="str">
        <f t="shared" si="30"/>
        <v/>
      </c>
      <c r="V465" s="49" t="str">
        <f t="shared" si="29"/>
        <v>[W2219.E]</v>
      </c>
    </row>
    <row r="466" spans="1:22" s="49" customFormat="1" ht="14.15" customHeight="1">
      <c r="A466" s="44"/>
      <c r="B466" s="44" t="s">
        <v>157</v>
      </c>
      <c r="C466" s="50"/>
      <c r="D466" s="10" t="s">
        <v>29</v>
      </c>
      <c r="E466" s="11"/>
      <c r="F466" s="11" t="s">
        <v>18</v>
      </c>
      <c r="G466" s="13"/>
      <c r="H466" s="45" t="s">
        <v>16</v>
      </c>
      <c r="I466" s="47"/>
      <c r="J466" s="12" t="s">
        <v>3916</v>
      </c>
      <c r="K466" s="13" t="s">
        <v>7266</v>
      </c>
      <c r="L466" s="99" t="str">
        <f t="shared" si="28"/>
        <v>W2219.F</v>
      </c>
      <c r="M466" s="13" t="s">
        <v>17</v>
      </c>
      <c r="N466" s="13"/>
      <c r="O466" s="13"/>
      <c r="P466" s="47"/>
      <c r="Q466" s="45" t="s">
        <v>3672</v>
      </c>
      <c r="R466" s="45" t="s">
        <v>5596</v>
      </c>
      <c r="S466" s="48"/>
      <c r="T466" s="49" t="str">
        <f t="shared" si="27"/>
        <v>[W2219.F]</v>
      </c>
      <c r="U466" s="12" t="str">
        <f t="shared" si="30"/>
        <v/>
      </c>
      <c r="V466" s="49" t="str">
        <f t="shared" si="29"/>
        <v>[W2219.F]</v>
      </c>
    </row>
    <row r="467" spans="1:22" s="49" customFormat="1" ht="14.15" customHeight="1">
      <c r="A467" s="44"/>
      <c r="B467" s="44" t="s">
        <v>157</v>
      </c>
      <c r="C467" s="50"/>
      <c r="D467" s="10" t="s">
        <v>29</v>
      </c>
      <c r="E467" s="11"/>
      <c r="F467" s="11" t="s">
        <v>18</v>
      </c>
      <c r="G467" s="13"/>
      <c r="H467" s="45" t="s">
        <v>16</v>
      </c>
      <c r="I467" s="47"/>
      <c r="J467" s="12" t="s">
        <v>3917</v>
      </c>
      <c r="K467" s="13" t="s">
        <v>7267</v>
      </c>
      <c r="L467" s="99" t="str">
        <f t="shared" si="28"/>
        <v>W221A.0</v>
      </c>
      <c r="M467" s="13" t="s">
        <v>17</v>
      </c>
      <c r="N467" s="13"/>
      <c r="O467" s="13"/>
      <c r="P467" s="47"/>
      <c r="Q467" s="45" t="s">
        <v>3672</v>
      </c>
      <c r="R467" s="45" t="s">
        <v>5596</v>
      </c>
      <c r="S467" s="48"/>
      <c r="T467" s="49" t="str">
        <f t="shared" si="27"/>
        <v>[W221A.0]</v>
      </c>
      <c r="U467" s="12" t="str">
        <f t="shared" si="30"/>
        <v/>
      </c>
      <c r="V467" s="49" t="str">
        <f t="shared" si="29"/>
        <v>[W221A.0]</v>
      </c>
    </row>
    <row r="468" spans="1:22" s="49" customFormat="1" ht="14.15" customHeight="1">
      <c r="A468" s="44"/>
      <c r="B468" s="44" t="s">
        <v>157</v>
      </c>
      <c r="C468" s="50"/>
      <c r="D468" s="10" t="s">
        <v>29</v>
      </c>
      <c r="E468" s="11"/>
      <c r="F468" s="11" t="s">
        <v>18</v>
      </c>
      <c r="G468" s="13"/>
      <c r="H468" s="45" t="s">
        <v>16</v>
      </c>
      <c r="I468" s="47"/>
      <c r="J468" s="12" t="s">
        <v>3918</v>
      </c>
      <c r="K468" s="13" t="s">
        <v>7268</v>
      </c>
      <c r="L468" s="99" t="str">
        <f t="shared" si="28"/>
        <v>W221A.1</v>
      </c>
      <c r="M468" s="13" t="s">
        <v>17</v>
      </c>
      <c r="N468" s="13"/>
      <c r="O468" s="13"/>
      <c r="P468" s="47"/>
      <c r="Q468" s="45" t="s">
        <v>3672</v>
      </c>
      <c r="R468" s="45" t="s">
        <v>5596</v>
      </c>
      <c r="S468" s="48"/>
      <c r="T468" s="49" t="str">
        <f t="shared" si="27"/>
        <v>[W221A.1]</v>
      </c>
      <c r="U468" s="12" t="str">
        <f t="shared" si="30"/>
        <v/>
      </c>
      <c r="V468" s="49" t="str">
        <f t="shared" si="29"/>
        <v>[W221A.1]</v>
      </c>
    </row>
    <row r="469" spans="1:22" s="49" customFormat="1" ht="14.15" customHeight="1">
      <c r="A469" s="44"/>
      <c r="B469" s="44" t="s">
        <v>157</v>
      </c>
      <c r="C469" s="50"/>
      <c r="D469" s="10" t="s">
        <v>29</v>
      </c>
      <c r="E469" s="11"/>
      <c r="F469" s="11" t="s">
        <v>18</v>
      </c>
      <c r="G469" s="13"/>
      <c r="H469" s="45" t="s">
        <v>16</v>
      </c>
      <c r="I469" s="47"/>
      <c r="J469" s="12" t="s">
        <v>3919</v>
      </c>
      <c r="K469" s="13" t="s">
        <v>7269</v>
      </c>
      <c r="L469" s="99" t="str">
        <f t="shared" si="28"/>
        <v>W221A.2</v>
      </c>
      <c r="M469" s="13" t="s">
        <v>17</v>
      </c>
      <c r="N469" s="13"/>
      <c r="O469" s="13"/>
      <c r="P469" s="47"/>
      <c r="Q469" s="45" t="s">
        <v>3672</v>
      </c>
      <c r="R469" s="45" t="s">
        <v>5596</v>
      </c>
      <c r="S469" s="48"/>
      <c r="T469" s="49" t="str">
        <f t="shared" si="27"/>
        <v>[W221A.2]</v>
      </c>
      <c r="U469" s="12" t="str">
        <f t="shared" si="30"/>
        <v/>
      </c>
      <c r="V469" s="49" t="str">
        <f t="shared" si="29"/>
        <v>[W221A.2]</v>
      </c>
    </row>
    <row r="470" spans="1:22" s="49" customFormat="1" ht="14.15" customHeight="1">
      <c r="A470" s="43" t="s">
        <v>5599</v>
      </c>
      <c r="B470" s="44" t="s">
        <v>157</v>
      </c>
      <c r="C470" s="50"/>
      <c r="D470" s="10" t="s">
        <v>29</v>
      </c>
      <c r="E470" s="11"/>
      <c r="F470" s="11" t="s">
        <v>18</v>
      </c>
      <c r="G470" s="13"/>
      <c r="H470" s="45" t="s">
        <v>16</v>
      </c>
      <c r="I470" s="47"/>
      <c r="J470" s="12" t="s">
        <v>4994</v>
      </c>
      <c r="K470" s="13" t="s">
        <v>7270</v>
      </c>
      <c r="L470" s="99" t="str">
        <f t="shared" si="28"/>
        <v>W221A.3</v>
      </c>
      <c r="M470" s="13" t="s">
        <v>17</v>
      </c>
      <c r="N470" s="13"/>
      <c r="O470" s="13"/>
      <c r="P470" s="47"/>
      <c r="Q470" s="45" t="s">
        <v>3672</v>
      </c>
      <c r="R470" s="45" t="s">
        <v>5596</v>
      </c>
      <c r="S470" s="48"/>
      <c r="T470" s="49" t="str">
        <f t="shared" si="27"/>
        <v>[W221A.3]</v>
      </c>
      <c r="U470" s="12" t="str">
        <f t="shared" si="30"/>
        <v xml:space="preserve"> 시밍#1 HEAD LOWER X1축(SD233) 운전중에 Ready가 Off 되었습니다.</v>
      </c>
      <c r="V470" s="49" t="str">
        <f t="shared" si="29"/>
        <v>[W221A.3] 시밍#1 HEAD LOWER X1축(SD233) 운전중에 Ready가 Off 되었습니다.</v>
      </c>
    </row>
    <row r="471" spans="1:22" s="49" customFormat="1" ht="14.15" customHeight="1">
      <c r="A471" s="43" t="s">
        <v>5599</v>
      </c>
      <c r="B471" s="44" t="s">
        <v>157</v>
      </c>
      <c r="C471" s="50"/>
      <c r="D471" s="10" t="s">
        <v>29</v>
      </c>
      <c r="E471" s="11"/>
      <c r="F471" s="11" t="s">
        <v>18</v>
      </c>
      <c r="G471" s="13"/>
      <c r="H471" s="45" t="s">
        <v>16</v>
      </c>
      <c r="I471" s="47"/>
      <c r="J471" s="12" t="s">
        <v>4995</v>
      </c>
      <c r="K471" s="13" t="s">
        <v>7271</v>
      </c>
      <c r="L471" s="99" t="str">
        <f t="shared" si="28"/>
        <v>W221A.4</v>
      </c>
      <c r="M471" s="13" t="s">
        <v>17</v>
      </c>
      <c r="N471" s="13"/>
      <c r="O471" s="13"/>
      <c r="P471" s="47"/>
      <c r="Q471" s="45" t="s">
        <v>3672</v>
      </c>
      <c r="R471" s="45" t="s">
        <v>5596</v>
      </c>
      <c r="S471" s="48"/>
      <c r="T471" s="49" t="str">
        <f t="shared" si="27"/>
        <v>[W221A.4]</v>
      </c>
      <c r="U471" s="12" t="str">
        <f t="shared" si="30"/>
        <v xml:space="preserve"> 시밍#1 HEAD LOWER X1축(SD233) FLS가 감지되었습니다.</v>
      </c>
      <c r="V471" s="49" t="str">
        <f t="shared" si="29"/>
        <v>[W221A.4] 시밍#1 HEAD LOWER X1축(SD233) FLS가 감지되었습니다.</v>
      </c>
    </row>
    <row r="472" spans="1:22" s="49" customFormat="1" ht="14.15" customHeight="1">
      <c r="A472" s="43" t="s">
        <v>5599</v>
      </c>
      <c r="B472" s="44" t="s">
        <v>157</v>
      </c>
      <c r="C472" s="50"/>
      <c r="D472" s="10" t="s">
        <v>29</v>
      </c>
      <c r="E472" s="11"/>
      <c r="F472" s="11" t="s">
        <v>18</v>
      </c>
      <c r="G472" s="13"/>
      <c r="H472" s="45" t="s">
        <v>16</v>
      </c>
      <c r="I472" s="47"/>
      <c r="J472" s="12" t="s">
        <v>4996</v>
      </c>
      <c r="K472" s="13" t="s">
        <v>7272</v>
      </c>
      <c r="L472" s="99" t="str">
        <f t="shared" si="28"/>
        <v>W221A.5</v>
      </c>
      <c r="M472" s="13" t="s">
        <v>17</v>
      </c>
      <c r="N472" s="13"/>
      <c r="O472" s="13"/>
      <c r="P472" s="47"/>
      <c r="Q472" s="45" t="s">
        <v>3672</v>
      </c>
      <c r="R472" s="45" t="s">
        <v>5596</v>
      </c>
      <c r="S472" s="48"/>
      <c r="T472" s="49" t="str">
        <f t="shared" si="27"/>
        <v>[W221A.5]</v>
      </c>
      <c r="U472" s="12" t="str">
        <f t="shared" si="30"/>
        <v xml:space="preserve"> 시밍#1 HEAD LOWER X1축(SD233) RLS가 감지되었습니다.</v>
      </c>
      <c r="V472" s="49" t="str">
        <f t="shared" si="29"/>
        <v>[W221A.5] 시밍#1 HEAD LOWER X1축(SD233) RLS가 감지되었습니다.</v>
      </c>
    </row>
    <row r="473" spans="1:22" s="49" customFormat="1" ht="14.15" customHeight="1">
      <c r="A473" s="43" t="s">
        <v>5599</v>
      </c>
      <c r="B473" s="44" t="s">
        <v>157</v>
      </c>
      <c r="C473" s="50"/>
      <c r="D473" s="10" t="s">
        <v>29</v>
      </c>
      <c r="E473" s="11"/>
      <c r="F473" s="11" t="s">
        <v>18</v>
      </c>
      <c r="G473" s="13"/>
      <c r="H473" s="45" t="s">
        <v>16</v>
      </c>
      <c r="I473" s="47"/>
      <c r="J473" s="12" t="s">
        <v>4997</v>
      </c>
      <c r="K473" s="13" t="s">
        <v>7273</v>
      </c>
      <c r="L473" s="99" t="str">
        <f t="shared" si="28"/>
        <v>W221A.6</v>
      </c>
      <c r="M473" s="13" t="s">
        <v>17</v>
      </c>
      <c r="N473" s="13"/>
      <c r="O473" s="13"/>
      <c r="P473" s="47"/>
      <c r="Q473" s="45" t="s">
        <v>3672</v>
      </c>
      <c r="R473" s="45" t="s">
        <v>5596</v>
      </c>
      <c r="S473" s="48"/>
      <c r="T473" s="49" t="str">
        <f t="shared" si="27"/>
        <v>[W221A.6]</v>
      </c>
      <c r="U473" s="12" t="str">
        <f t="shared" si="30"/>
        <v xml:space="preserve"> 시밍#1 HEAD LOWER X1축(SD233) Stop 명령이 On된 상태에서 기동을 시도했습니다.</v>
      </c>
      <c r="V473" s="49" t="str">
        <f t="shared" si="29"/>
        <v>[W221A.6] 시밍#1 HEAD LOWER X1축(SD233) Stop 명령이 On된 상태에서 기동을 시도했습니다.</v>
      </c>
    </row>
    <row r="474" spans="1:22" s="49" customFormat="1" ht="14.15" customHeight="1">
      <c r="A474" s="43" t="s">
        <v>5599</v>
      </c>
      <c r="B474" s="44" t="s">
        <v>157</v>
      </c>
      <c r="C474" s="50"/>
      <c r="D474" s="10" t="s">
        <v>29</v>
      </c>
      <c r="E474" s="11"/>
      <c r="F474" s="11" t="s">
        <v>18</v>
      </c>
      <c r="G474" s="13"/>
      <c r="H474" s="45" t="s">
        <v>16</v>
      </c>
      <c r="I474" s="47"/>
      <c r="J474" s="12" t="s">
        <v>4998</v>
      </c>
      <c r="K474" s="13" t="s">
        <v>7274</v>
      </c>
      <c r="L474" s="99" t="str">
        <f t="shared" si="28"/>
        <v>W221A.7</v>
      </c>
      <c r="M474" s="13" t="s">
        <v>17</v>
      </c>
      <c r="N474" s="13"/>
      <c r="O474" s="13"/>
      <c r="P474" s="47"/>
      <c r="Q474" s="45" t="s">
        <v>3672</v>
      </c>
      <c r="R474" s="45" t="s">
        <v>5596</v>
      </c>
      <c r="S474" s="48"/>
      <c r="T474" s="49" t="str">
        <f t="shared" si="27"/>
        <v>[W221A.7]</v>
      </c>
      <c r="U474" s="12" t="str">
        <f t="shared" si="30"/>
        <v xml:space="preserve"> 시밍#1 HEAD LOWER X1축(SD233) 가동 전원이 Off 되었습니다.</v>
      </c>
      <c r="V474" s="49" t="str">
        <f t="shared" si="29"/>
        <v>[W221A.7] 시밍#1 HEAD LOWER X1축(SD233) 가동 전원이 Off 되었습니다.</v>
      </c>
    </row>
    <row r="475" spans="1:22" s="49" customFormat="1" ht="14.15" customHeight="1">
      <c r="A475" s="43" t="s">
        <v>5599</v>
      </c>
      <c r="B475" s="44" t="s">
        <v>157</v>
      </c>
      <c r="C475" s="50"/>
      <c r="D475" s="10" t="s">
        <v>29</v>
      </c>
      <c r="E475" s="11"/>
      <c r="F475" s="11" t="s">
        <v>18</v>
      </c>
      <c r="G475" s="13"/>
      <c r="H475" s="45" t="s">
        <v>16</v>
      </c>
      <c r="I475" s="47"/>
      <c r="J475" s="12" t="s">
        <v>4999</v>
      </c>
      <c r="K475" s="13" t="s">
        <v>7275</v>
      </c>
      <c r="L475" s="99" t="str">
        <f t="shared" si="28"/>
        <v>W221A.8</v>
      </c>
      <c r="M475" s="13" t="s">
        <v>17</v>
      </c>
      <c r="N475" s="13"/>
      <c r="O475" s="13"/>
      <c r="P475" s="47"/>
      <c r="Q475" s="45" t="s">
        <v>3672</v>
      </c>
      <c r="R475" s="45" t="s">
        <v>5596</v>
      </c>
      <c r="S475" s="48"/>
      <c r="T475" s="49" t="str">
        <f t="shared" si="27"/>
        <v>[W221A.8]</v>
      </c>
      <c r="U475" s="12" t="str">
        <f t="shared" si="30"/>
        <v xml:space="preserve"> 시밍#1 HEAD LOWER X1축(SD233) 엔코더 이상이 검출되었습니다.</v>
      </c>
      <c r="V475" s="49" t="str">
        <f t="shared" si="29"/>
        <v>[W221A.8] 시밍#1 HEAD LOWER X1축(SD233) 엔코더 이상이 검출되었습니다.</v>
      </c>
    </row>
    <row r="476" spans="1:22" s="49" customFormat="1" ht="14.15" customHeight="1">
      <c r="A476" s="43" t="s">
        <v>5599</v>
      </c>
      <c r="B476" s="44" t="s">
        <v>157</v>
      </c>
      <c r="C476" s="50"/>
      <c r="D476" s="10" t="s">
        <v>29</v>
      </c>
      <c r="E476" s="11"/>
      <c r="F476" s="11" t="s">
        <v>18</v>
      </c>
      <c r="G476" s="13"/>
      <c r="H476" s="45" t="s">
        <v>16</v>
      </c>
      <c r="I476" s="47"/>
      <c r="J476" s="12" t="s">
        <v>5000</v>
      </c>
      <c r="K476" s="13" t="s">
        <v>7276</v>
      </c>
      <c r="L476" s="99" t="str">
        <f t="shared" si="28"/>
        <v>W221A.9</v>
      </c>
      <c r="M476" s="13" t="s">
        <v>17</v>
      </c>
      <c r="N476" s="13"/>
      <c r="O476" s="13"/>
      <c r="P476" s="47"/>
      <c r="Q476" s="45" t="s">
        <v>3672</v>
      </c>
      <c r="R476" s="45" t="s">
        <v>5596</v>
      </c>
      <c r="S476" s="48"/>
      <c r="T476" s="49" t="str">
        <f t="shared" si="27"/>
        <v>[W221A.9]</v>
      </c>
      <c r="U476" s="12" t="str">
        <f t="shared" si="30"/>
        <v xml:space="preserve"> 시밍#1 HEAD LOWER X1축(SD233) 과전류가 검출되었습니다.</v>
      </c>
      <c r="V476" s="49" t="str">
        <f t="shared" si="29"/>
        <v>[W221A.9] 시밍#1 HEAD LOWER X1축(SD233) 과전류가 검출되었습니다.</v>
      </c>
    </row>
    <row r="477" spans="1:22" s="49" customFormat="1" ht="14.15" customHeight="1">
      <c r="A477" s="43" t="s">
        <v>5599</v>
      </c>
      <c r="B477" s="44" t="s">
        <v>157</v>
      </c>
      <c r="C477" s="50"/>
      <c r="D477" s="10" t="s">
        <v>29</v>
      </c>
      <c r="E477" s="11"/>
      <c r="F477" s="11" t="s">
        <v>18</v>
      </c>
      <c r="G477" s="13"/>
      <c r="H477" s="45" t="s">
        <v>16</v>
      </c>
      <c r="I477" s="47"/>
      <c r="J477" s="12" t="s">
        <v>5001</v>
      </c>
      <c r="K477" s="13" t="s">
        <v>7277</v>
      </c>
      <c r="L477" s="99" t="str">
        <f t="shared" si="28"/>
        <v>W221A.A</v>
      </c>
      <c r="M477" s="13" t="s">
        <v>17</v>
      </c>
      <c r="N477" s="13"/>
      <c r="O477" s="13"/>
      <c r="P477" s="47"/>
      <c r="Q477" s="45" t="s">
        <v>3672</v>
      </c>
      <c r="R477" s="45" t="s">
        <v>5596</v>
      </c>
      <c r="S477" s="48"/>
      <c r="T477" s="49" t="str">
        <f t="shared" si="27"/>
        <v>[W221A.A]</v>
      </c>
      <c r="U477" s="12" t="str">
        <f t="shared" si="30"/>
        <v xml:space="preserve"> 시밍#1 HEAD LOWER X1축(SD233) 과부하가 검출되었습니다.</v>
      </c>
      <c r="V477" s="49" t="str">
        <f t="shared" si="29"/>
        <v>[W221A.A] 시밍#1 HEAD LOWER X1축(SD233) 과부하가 검출되었습니다.</v>
      </c>
    </row>
    <row r="478" spans="1:22" s="49" customFormat="1" ht="14.15" customHeight="1">
      <c r="A478" s="43" t="s">
        <v>5599</v>
      </c>
      <c r="B478" s="44" t="s">
        <v>157</v>
      </c>
      <c r="C478" s="50"/>
      <c r="D478" s="10" t="s">
        <v>29</v>
      </c>
      <c r="E478" s="11"/>
      <c r="F478" s="11" t="s">
        <v>18</v>
      </c>
      <c r="G478" s="13"/>
      <c r="H478" s="45" t="s">
        <v>16</v>
      </c>
      <c r="I478" s="47"/>
      <c r="J478" s="12" t="s">
        <v>5002</v>
      </c>
      <c r="K478" s="13" t="s">
        <v>7278</v>
      </c>
      <c r="L478" s="99" t="str">
        <f t="shared" si="28"/>
        <v>W221A.B</v>
      </c>
      <c r="M478" s="13" t="s">
        <v>17</v>
      </c>
      <c r="N478" s="13"/>
      <c r="O478" s="13"/>
      <c r="P478" s="47"/>
      <c r="Q478" s="45" t="s">
        <v>3672</v>
      </c>
      <c r="R478" s="45" t="s">
        <v>5596</v>
      </c>
      <c r="S478" s="48"/>
      <c r="T478" s="49" t="str">
        <f t="shared" si="27"/>
        <v>[W221A.B]</v>
      </c>
      <c r="U478" s="12" t="str">
        <f t="shared" si="30"/>
        <v xml:space="preserve"> 시밍#1 HEAD LOWER X1축(SD233)  </v>
      </c>
      <c r="V478" s="49" t="str">
        <f t="shared" si="29"/>
        <v xml:space="preserve">[W221A.B] 시밍#1 HEAD LOWER X1축(SD233)  </v>
      </c>
    </row>
    <row r="479" spans="1:22" s="49" customFormat="1" ht="14.15" customHeight="1">
      <c r="A479" s="43" t="s">
        <v>5599</v>
      </c>
      <c r="B479" s="44" t="s">
        <v>157</v>
      </c>
      <c r="C479" s="50"/>
      <c r="D479" s="10" t="s">
        <v>29</v>
      </c>
      <c r="E479" s="11"/>
      <c r="F479" s="11" t="s">
        <v>18</v>
      </c>
      <c r="G479" s="13"/>
      <c r="H479" s="45" t="s">
        <v>16</v>
      </c>
      <c r="I479" s="47"/>
      <c r="J479" s="12" t="s">
        <v>5003</v>
      </c>
      <c r="K479" s="13" t="s">
        <v>7279</v>
      </c>
      <c r="L479" s="99" t="str">
        <f t="shared" si="28"/>
        <v>W221A.C</v>
      </c>
      <c r="M479" s="13" t="s">
        <v>17</v>
      </c>
      <c r="N479" s="13"/>
      <c r="O479" s="13"/>
      <c r="P479" s="47"/>
      <c r="Q479" s="45" t="s">
        <v>3672</v>
      </c>
      <c r="R479" s="45" t="s">
        <v>5596</v>
      </c>
      <c r="S479" s="48"/>
      <c r="T479" s="49" t="str">
        <f t="shared" si="27"/>
        <v>[W221A.C]</v>
      </c>
      <c r="U479" s="12" t="str">
        <f t="shared" si="30"/>
        <v xml:space="preserve"> 시밍#1 HEAD LOWER X1축(SD233) 에러가 발생했습니다.</v>
      </c>
      <c r="V479" s="49" t="str">
        <f t="shared" si="29"/>
        <v>[W221A.C] 시밍#1 HEAD LOWER X1축(SD233) 에러가 발생했습니다.</v>
      </c>
    </row>
    <row r="480" spans="1:22" s="49" customFormat="1" ht="14.15" customHeight="1">
      <c r="A480" s="43" t="s">
        <v>5599</v>
      </c>
      <c r="B480" s="44" t="s">
        <v>157</v>
      </c>
      <c r="C480" s="50"/>
      <c r="D480" s="10" t="s">
        <v>29</v>
      </c>
      <c r="E480" s="11"/>
      <c r="F480" s="11" t="s">
        <v>18</v>
      </c>
      <c r="G480" s="13"/>
      <c r="H480" s="45" t="s">
        <v>16</v>
      </c>
      <c r="I480" s="47"/>
      <c r="J480" s="12" t="s">
        <v>5004</v>
      </c>
      <c r="K480" s="13" t="s">
        <v>7280</v>
      </c>
      <c r="L480" s="99" t="str">
        <f t="shared" si="28"/>
        <v>W221A.D</v>
      </c>
      <c r="M480" s="13" t="s">
        <v>17</v>
      </c>
      <c r="N480" s="13"/>
      <c r="O480" s="13"/>
      <c r="P480" s="47"/>
      <c r="Q480" s="45" t="s">
        <v>3672</v>
      </c>
      <c r="R480" s="45" t="s">
        <v>5596</v>
      </c>
      <c r="S480" s="48"/>
      <c r="T480" s="49" t="str">
        <f t="shared" si="27"/>
        <v>[W221A.D]</v>
      </c>
      <c r="U480" s="12" t="str">
        <f t="shared" si="30"/>
        <v xml:space="preserve"> 시밍#1 HEAD UPPER X2축(SD234) 운전중에 Ready가 Off 되었습니다.</v>
      </c>
      <c r="V480" s="49" t="str">
        <f t="shared" si="29"/>
        <v>[W221A.D] 시밍#1 HEAD UPPER X2축(SD234) 운전중에 Ready가 Off 되었습니다.</v>
      </c>
    </row>
    <row r="481" spans="1:22" s="49" customFormat="1" ht="14.15" customHeight="1">
      <c r="A481" s="43" t="s">
        <v>5599</v>
      </c>
      <c r="B481" s="44" t="s">
        <v>157</v>
      </c>
      <c r="C481" s="50"/>
      <c r="D481" s="10" t="s">
        <v>29</v>
      </c>
      <c r="E481" s="11"/>
      <c r="F481" s="11" t="s">
        <v>18</v>
      </c>
      <c r="G481" s="13"/>
      <c r="H481" s="45" t="s">
        <v>16</v>
      </c>
      <c r="I481" s="47"/>
      <c r="J481" s="12" t="s">
        <v>5005</v>
      </c>
      <c r="K481" s="13" t="s">
        <v>7281</v>
      </c>
      <c r="L481" s="99" t="str">
        <f t="shared" si="28"/>
        <v>W221A.E</v>
      </c>
      <c r="M481" s="13" t="s">
        <v>17</v>
      </c>
      <c r="N481" s="13"/>
      <c r="O481" s="13"/>
      <c r="P481" s="47"/>
      <c r="Q481" s="45" t="s">
        <v>3672</v>
      </c>
      <c r="R481" s="45" t="s">
        <v>5596</v>
      </c>
      <c r="S481" s="48"/>
      <c r="T481" s="49" t="str">
        <f t="shared" si="27"/>
        <v>[W221A.E]</v>
      </c>
      <c r="U481" s="12" t="str">
        <f t="shared" si="30"/>
        <v xml:space="preserve"> 시밍#1 HEAD UPPER X2축(SD234) FLS가 감지되었습니다.</v>
      </c>
      <c r="V481" s="49" t="str">
        <f t="shared" si="29"/>
        <v>[W221A.E] 시밍#1 HEAD UPPER X2축(SD234) FLS가 감지되었습니다.</v>
      </c>
    </row>
    <row r="482" spans="1:22" s="49" customFormat="1" ht="14.15" customHeight="1">
      <c r="A482" s="43" t="s">
        <v>5599</v>
      </c>
      <c r="B482" s="44" t="s">
        <v>157</v>
      </c>
      <c r="C482" s="50"/>
      <c r="D482" s="10" t="s">
        <v>29</v>
      </c>
      <c r="E482" s="11"/>
      <c r="F482" s="11" t="s">
        <v>18</v>
      </c>
      <c r="G482" s="13"/>
      <c r="H482" s="45" t="s">
        <v>16</v>
      </c>
      <c r="I482" s="47"/>
      <c r="J482" s="12" t="s">
        <v>5006</v>
      </c>
      <c r="K482" s="13" t="s">
        <v>7282</v>
      </c>
      <c r="L482" s="99" t="str">
        <f t="shared" si="28"/>
        <v>W221A.F</v>
      </c>
      <c r="M482" s="13" t="s">
        <v>17</v>
      </c>
      <c r="N482" s="13"/>
      <c r="O482" s="13"/>
      <c r="P482" s="47"/>
      <c r="Q482" s="45" t="s">
        <v>3672</v>
      </c>
      <c r="R482" s="45" t="s">
        <v>5596</v>
      </c>
      <c r="S482" s="48"/>
      <c r="T482" s="49" t="str">
        <f t="shared" si="27"/>
        <v>[W221A.F]</v>
      </c>
      <c r="U482" s="12" t="str">
        <f t="shared" si="30"/>
        <v xml:space="preserve"> 시밍#1 HEAD UPPER X2축(SD234) RLS가 감지되었습니다.</v>
      </c>
      <c r="V482" s="49" t="str">
        <f t="shared" si="29"/>
        <v>[W221A.F] 시밍#1 HEAD UPPER X2축(SD234) RLS가 감지되었습니다.</v>
      </c>
    </row>
    <row r="483" spans="1:22" s="49" customFormat="1" ht="14.15" customHeight="1">
      <c r="A483" s="43" t="s">
        <v>5599</v>
      </c>
      <c r="B483" s="44" t="s">
        <v>157</v>
      </c>
      <c r="C483" s="50"/>
      <c r="D483" s="10" t="s">
        <v>29</v>
      </c>
      <c r="E483" s="11"/>
      <c r="F483" s="11" t="s">
        <v>18</v>
      </c>
      <c r="G483" s="13"/>
      <c r="H483" s="45" t="s">
        <v>16</v>
      </c>
      <c r="I483" s="47"/>
      <c r="J483" s="12" t="s">
        <v>5007</v>
      </c>
      <c r="K483" s="13" t="s">
        <v>7283</v>
      </c>
      <c r="L483" s="99" t="str">
        <f t="shared" si="28"/>
        <v>W221B.0</v>
      </c>
      <c r="M483" s="13" t="s">
        <v>17</v>
      </c>
      <c r="N483" s="13"/>
      <c r="O483" s="13"/>
      <c r="P483" s="47"/>
      <c r="Q483" s="45" t="s">
        <v>3672</v>
      </c>
      <c r="R483" s="45" t="s">
        <v>5596</v>
      </c>
      <c r="S483" s="48"/>
      <c r="T483" s="49" t="str">
        <f t="shared" si="27"/>
        <v>[W221B.0]</v>
      </c>
      <c r="U483" s="12" t="str">
        <f t="shared" si="30"/>
        <v xml:space="preserve"> 시밍#1 HEAD UPPER X2축(SD234) Stop 명령이 On된 상태에서 기동을 시도했습니다.</v>
      </c>
      <c r="V483" s="49" t="str">
        <f t="shared" si="29"/>
        <v>[W221B.0] 시밍#1 HEAD UPPER X2축(SD234) Stop 명령이 On된 상태에서 기동을 시도했습니다.</v>
      </c>
    </row>
    <row r="484" spans="1:22" s="49" customFormat="1" ht="14.15" customHeight="1">
      <c r="A484" s="43" t="s">
        <v>5599</v>
      </c>
      <c r="B484" s="44" t="s">
        <v>157</v>
      </c>
      <c r="C484" s="50"/>
      <c r="D484" s="10" t="s">
        <v>29</v>
      </c>
      <c r="E484" s="11"/>
      <c r="F484" s="11" t="s">
        <v>18</v>
      </c>
      <c r="G484" s="13"/>
      <c r="H484" s="45" t="s">
        <v>16</v>
      </c>
      <c r="I484" s="46"/>
      <c r="J484" s="14" t="s">
        <v>5008</v>
      </c>
      <c r="K484" s="13" t="s">
        <v>7284</v>
      </c>
      <c r="L484" s="99" t="str">
        <f t="shared" si="28"/>
        <v>W221B.1</v>
      </c>
      <c r="M484" s="13" t="s">
        <v>17</v>
      </c>
      <c r="N484" s="13"/>
      <c r="O484" s="13"/>
      <c r="P484" s="47"/>
      <c r="Q484" s="45" t="s">
        <v>3672</v>
      </c>
      <c r="R484" s="45" t="s">
        <v>5596</v>
      </c>
      <c r="S484" s="48"/>
      <c r="T484" s="49" t="str">
        <f t="shared" si="27"/>
        <v>[W221B.1]</v>
      </c>
      <c r="U484" s="12" t="str">
        <f t="shared" si="30"/>
        <v xml:space="preserve"> 시밍#1 HEAD UPPER X2축(SD234) 가동 전원이 Off 되었습니다.</v>
      </c>
      <c r="V484" s="49" t="str">
        <f t="shared" si="29"/>
        <v>[W221B.1] 시밍#1 HEAD UPPER X2축(SD234) 가동 전원이 Off 되었습니다.</v>
      </c>
    </row>
    <row r="485" spans="1:22" s="49" customFormat="1" ht="14.15" customHeight="1">
      <c r="A485" s="43" t="s">
        <v>5599</v>
      </c>
      <c r="B485" s="44" t="s">
        <v>157</v>
      </c>
      <c r="C485" s="50"/>
      <c r="D485" s="10" t="s">
        <v>29</v>
      </c>
      <c r="E485" s="11"/>
      <c r="F485" s="11" t="s">
        <v>18</v>
      </c>
      <c r="G485" s="13"/>
      <c r="H485" s="45" t="s">
        <v>16</v>
      </c>
      <c r="I485" s="46"/>
      <c r="J485" s="14" t="s">
        <v>5009</v>
      </c>
      <c r="K485" s="13" t="s">
        <v>7285</v>
      </c>
      <c r="L485" s="99" t="str">
        <f t="shared" si="28"/>
        <v>W221B.2</v>
      </c>
      <c r="M485" s="13" t="s">
        <v>17</v>
      </c>
      <c r="N485" s="13"/>
      <c r="O485" s="13"/>
      <c r="P485" s="47"/>
      <c r="Q485" s="45" t="s">
        <v>3672</v>
      </c>
      <c r="R485" s="45" t="s">
        <v>5596</v>
      </c>
      <c r="S485" s="48"/>
      <c r="T485" s="49" t="str">
        <f t="shared" si="27"/>
        <v>[W221B.2]</v>
      </c>
      <c r="U485" s="12" t="str">
        <f t="shared" si="30"/>
        <v xml:space="preserve"> 시밍#1 HEAD UPPER X2축(SD234) 엔코더 이상이 검출되었습니다.</v>
      </c>
      <c r="V485" s="49" t="str">
        <f t="shared" si="29"/>
        <v>[W221B.2] 시밍#1 HEAD UPPER X2축(SD234) 엔코더 이상이 검출되었습니다.</v>
      </c>
    </row>
    <row r="486" spans="1:22" s="49" customFormat="1" ht="14.15" customHeight="1">
      <c r="A486" s="43" t="s">
        <v>5599</v>
      </c>
      <c r="B486" s="44" t="s">
        <v>157</v>
      </c>
      <c r="C486" s="50"/>
      <c r="D486" s="10" t="s">
        <v>29</v>
      </c>
      <c r="E486" s="11"/>
      <c r="F486" s="11" t="s">
        <v>18</v>
      </c>
      <c r="G486" s="13"/>
      <c r="H486" s="45" t="s">
        <v>16</v>
      </c>
      <c r="I486" s="46"/>
      <c r="J486" s="14" t="s">
        <v>5010</v>
      </c>
      <c r="K486" s="13" t="s">
        <v>7286</v>
      </c>
      <c r="L486" s="99" t="str">
        <f t="shared" si="28"/>
        <v>W221B.3</v>
      </c>
      <c r="M486" s="13" t="s">
        <v>17</v>
      </c>
      <c r="N486" s="13"/>
      <c r="O486" s="13"/>
      <c r="P486" s="47"/>
      <c r="Q486" s="45" t="s">
        <v>3672</v>
      </c>
      <c r="R486" s="45" t="s">
        <v>5596</v>
      </c>
      <c r="S486" s="48"/>
      <c r="T486" s="49" t="str">
        <f t="shared" si="27"/>
        <v>[W221B.3]</v>
      </c>
      <c r="U486" s="12" t="str">
        <f t="shared" si="30"/>
        <v xml:space="preserve"> 시밍#1 HEAD UPPER X2축(SD234) 과전류가 검출되었습니다.</v>
      </c>
      <c r="V486" s="49" t="str">
        <f t="shared" si="29"/>
        <v>[W221B.3] 시밍#1 HEAD UPPER X2축(SD234) 과전류가 검출되었습니다.</v>
      </c>
    </row>
    <row r="487" spans="1:22" s="49" customFormat="1" ht="14.15" customHeight="1">
      <c r="A487" s="43" t="s">
        <v>5599</v>
      </c>
      <c r="B487" s="44" t="s">
        <v>157</v>
      </c>
      <c r="C487" s="50"/>
      <c r="D487" s="10" t="s">
        <v>29</v>
      </c>
      <c r="E487" s="11"/>
      <c r="F487" s="11" t="s">
        <v>18</v>
      </c>
      <c r="G487" s="13"/>
      <c r="H487" s="45" t="s">
        <v>16</v>
      </c>
      <c r="I487" s="46"/>
      <c r="J487" s="14" t="s">
        <v>5011</v>
      </c>
      <c r="K487" s="13" t="s">
        <v>7287</v>
      </c>
      <c r="L487" s="99" t="str">
        <f t="shared" si="28"/>
        <v>W221B.4</v>
      </c>
      <c r="M487" s="13" t="s">
        <v>17</v>
      </c>
      <c r="N487" s="13"/>
      <c r="O487" s="13"/>
      <c r="P487" s="47"/>
      <c r="Q487" s="45" t="s">
        <v>3672</v>
      </c>
      <c r="R487" s="45" t="s">
        <v>5596</v>
      </c>
      <c r="S487" s="48"/>
      <c r="T487" s="49" t="str">
        <f t="shared" si="27"/>
        <v>[W221B.4]</v>
      </c>
      <c r="U487" s="12" t="str">
        <f t="shared" si="30"/>
        <v xml:space="preserve"> 시밍#1 HEAD UPPER X2축(SD234) 과부하가 검출되었습니다.</v>
      </c>
      <c r="V487" s="49" t="str">
        <f t="shared" si="29"/>
        <v>[W221B.4] 시밍#1 HEAD UPPER X2축(SD234) 과부하가 검출되었습니다.</v>
      </c>
    </row>
    <row r="488" spans="1:22" s="49" customFormat="1" ht="14.15" customHeight="1">
      <c r="A488" s="43" t="s">
        <v>5599</v>
      </c>
      <c r="B488" s="44" t="s">
        <v>157</v>
      </c>
      <c r="C488" s="50"/>
      <c r="D488" s="10" t="s">
        <v>29</v>
      </c>
      <c r="E488" s="11"/>
      <c r="F488" s="11" t="s">
        <v>18</v>
      </c>
      <c r="G488" s="13"/>
      <c r="H488" s="45" t="s">
        <v>16</v>
      </c>
      <c r="I488" s="46"/>
      <c r="J488" s="14" t="s">
        <v>5012</v>
      </c>
      <c r="K488" s="13" t="s">
        <v>7288</v>
      </c>
      <c r="L488" s="99" t="str">
        <f t="shared" si="28"/>
        <v>W221B.5</v>
      </c>
      <c r="M488" s="13" t="s">
        <v>17</v>
      </c>
      <c r="N488" s="13"/>
      <c r="O488" s="13"/>
      <c r="P488" s="47"/>
      <c r="Q488" s="45" t="s">
        <v>3672</v>
      </c>
      <c r="R488" s="45" t="s">
        <v>5596</v>
      </c>
      <c r="S488" s="48"/>
      <c r="T488" s="49" t="str">
        <f t="shared" si="27"/>
        <v>[W221B.5]</v>
      </c>
      <c r="U488" s="12" t="str">
        <f t="shared" si="30"/>
        <v xml:space="preserve"> 시밍#1 HEAD UPPER X2축(SD234)  </v>
      </c>
      <c r="V488" s="49" t="str">
        <f t="shared" si="29"/>
        <v xml:space="preserve">[W221B.5] 시밍#1 HEAD UPPER X2축(SD234)  </v>
      </c>
    </row>
    <row r="489" spans="1:22" s="49" customFormat="1" ht="14.15" customHeight="1">
      <c r="A489" s="43" t="s">
        <v>5599</v>
      </c>
      <c r="B489" s="44" t="s">
        <v>157</v>
      </c>
      <c r="C489" s="50"/>
      <c r="D489" s="10" t="s">
        <v>29</v>
      </c>
      <c r="E489" s="11"/>
      <c r="F489" s="11" t="s">
        <v>18</v>
      </c>
      <c r="G489" s="13"/>
      <c r="H489" s="45" t="s">
        <v>16</v>
      </c>
      <c r="I489" s="47"/>
      <c r="J489" s="12" t="s">
        <v>5013</v>
      </c>
      <c r="K489" s="13" t="s">
        <v>7289</v>
      </c>
      <c r="L489" s="99" t="str">
        <f t="shared" si="28"/>
        <v>W221B.6</v>
      </c>
      <c r="M489" s="13" t="s">
        <v>17</v>
      </c>
      <c r="N489" s="13"/>
      <c r="O489" s="13"/>
      <c r="P489" s="47"/>
      <c r="Q489" s="45" t="s">
        <v>3672</v>
      </c>
      <c r="R489" s="45" t="s">
        <v>5596</v>
      </c>
      <c r="S489" s="48"/>
      <c r="T489" s="49" t="str">
        <f t="shared" si="27"/>
        <v>[W221B.6]</v>
      </c>
      <c r="U489" s="12" t="str">
        <f t="shared" si="30"/>
        <v xml:space="preserve"> 시밍#1 HEAD UPPER X2축(SD234) 에러가 발생했습니다.</v>
      </c>
      <c r="V489" s="49" t="str">
        <f t="shared" si="29"/>
        <v>[W221B.6] 시밍#1 HEAD UPPER X2축(SD234) 에러가 발생했습니다.</v>
      </c>
    </row>
    <row r="490" spans="1:22" s="49" customFormat="1" ht="14.15" customHeight="1">
      <c r="A490" s="43" t="s">
        <v>5599</v>
      </c>
      <c r="B490" s="44" t="s">
        <v>157</v>
      </c>
      <c r="C490" s="50"/>
      <c r="D490" s="10" t="s">
        <v>29</v>
      </c>
      <c r="E490" s="11"/>
      <c r="F490" s="11" t="s">
        <v>18</v>
      </c>
      <c r="G490" s="13"/>
      <c r="H490" s="45" t="s">
        <v>16</v>
      </c>
      <c r="I490" s="47"/>
      <c r="J490" s="12" t="s">
        <v>5014</v>
      </c>
      <c r="K490" s="13" t="s">
        <v>7290</v>
      </c>
      <c r="L490" s="99" t="str">
        <f t="shared" si="28"/>
        <v>W221B.7</v>
      </c>
      <c r="M490" s="13" t="s">
        <v>17</v>
      </c>
      <c r="N490" s="13"/>
      <c r="O490" s="13"/>
      <c r="P490" s="47"/>
      <c r="Q490" s="45" t="s">
        <v>3672</v>
      </c>
      <c r="R490" s="45" t="s">
        <v>5596</v>
      </c>
      <c r="S490" s="48"/>
      <c r="T490" s="49" t="str">
        <f t="shared" si="27"/>
        <v>[W221B.7]</v>
      </c>
      <c r="U490" s="12" t="str">
        <f t="shared" si="30"/>
        <v xml:space="preserve"> 시밍#1 MOLD LOWER X1축(SD235) 운전중에 Ready가 Off 되었습니다.</v>
      </c>
      <c r="V490" s="49" t="str">
        <f t="shared" si="29"/>
        <v>[W221B.7] 시밍#1 MOLD LOWER X1축(SD235) 운전중에 Ready가 Off 되었습니다.</v>
      </c>
    </row>
    <row r="491" spans="1:22" s="49" customFormat="1" ht="14.15" customHeight="1">
      <c r="A491" s="43" t="s">
        <v>5599</v>
      </c>
      <c r="B491" s="44" t="s">
        <v>157</v>
      </c>
      <c r="C491" s="50"/>
      <c r="D491" s="10" t="s">
        <v>29</v>
      </c>
      <c r="E491" s="11"/>
      <c r="F491" s="11" t="s">
        <v>18</v>
      </c>
      <c r="G491" s="13"/>
      <c r="H491" s="45" t="s">
        <v>16</v>
      </c>
      <c r="I491" s="47"/>
      <c r="J491" s="12" t="s">
        <v>5015</v>
      </c>
      <c r="K491" s="13" t="s">
        <v>7291</v>
      </c>
      <c r="L491" s="99" t="str">
        <f t="shared" si="28"/>
        <v>W221B.8</v>
      </c>
      <c r="M491" s="13" t="s">
        <v>17</v>
      </c>
      <c r="N491" s="13"/>
      <c r="O491" s="13"/>
      <c r="P491" s="47"/>
      <c r="Q491" s="45" t="s">
        <v>3672</v>
      </c>
      <c r="R491" s="45" t="s">
        <v>5596</v>
      </c>
      <c r="S491" s="48"/>
      <c r="T491" s="49" t="str">
        <f t="shared" si="27"/>
        <v>[W221B.8]</v>
      </c>
      <c r="U491" s="12" t="str">
        <f t="shared" si="30"/>
        <v xml:space="preserve"> 시밍#1 MOLD LOWER X1축(SD235) FLS가 감지되었습니다.</v>
      </c>
      <c r="V491" s="49" t="str">
        <f t="shared" si="29"/>
        <v>[W221B.8] 시밍#1 MOLD LOWER X1축(SD235) FLS가 감지되었습니다.</v>
      </c>
    </row>
    <row r="492" spans="1:22" s="49" customFormat="1" ht="14.15" customHeight="1">
      <c r="A492" s="43" t="s">
        <v>5599</v>
      </c>
      <c r="B492" s="44" t="s">
        <v>157</v>
      </c>
      <c r="C492" s="50"/>
      <c r="D492" s="10" t="s">
        <v>29</v>
      </c>
      <c r="E492" s="11"/>
      <c r="F492" s="11" t="s">
        <v>18</v>
      </c>
      <c r="G492" s="13"/>
      <c r="H492" s="45" t="s">
        <v>16</v>
      </c>
      <c r="I492" s="47"/>
      <c r="J492" s="12" t="s">
        <v>5016</v>
      </c>
      <c r="K492" s="13" t="s">
        <v>7292</v>
      </c>
      <c r="L492" s="99" t="str">
        <f t="shared" si="28"/>
        <v>W221B.9</v>
      </c>
      <c r="M492" s="13" t="s">
        <v>17</v>
      </c>
      <c r="N492" s="13"/>
      <c r="O492" s="13"/>
      <c r="P492" s="47"/>
      <c r="Q492" s="45" t="s">
        <v>3672</v>
      </c>
      <c r="R492" s="45" t="s">
        <v>5596</v>
      </c>
      <c r="S492" s="48"/>
      <c r="T492" s="49" t="str">
        <f t="shared" si="27"/>
        <v>[W221B.9]</v>
      </c>
      <c r="U492" s="12" t="str">
        <f t="shared" si="30"/>
        <v xml:space="preserve"> 시밍#1 MOLD LOWER X1축(SD235) RLS가 감지되었습니다.</v>
      </c>
      <c r="V492" s="49" t="str">
        <f t="shared" si="29"/>
        <v>[W221B.9] 시밍#1 MOLD LOWER X1축(SD235) RLS가 감지되었습니다.</v>
      </c>
    </row>
    <row r="493" spans="1:22" s="49" customFormat="1" ht="14.15" customHeight="1">
      <c r="A493" s="43" t="s">
        <v>5599</v>
      </c>
      <c r="B493" s="44" t="s">
        <v>157</v>
      </c>
      <c r="C493" s="50"/>
      <c r="D493" s="10" t="s">
        <v>29</v>
      </c>
      <c r="E493" s="11"/>
      <c r="F493" s="11" t="s">
        <v>18</v>
      </c>
      <c r="G493" s="13"/>
      <c r="H493" s="45" t="s">
        <v>16</v>
      </c>
      <c r="I493" s="47"/>
      <c r="J493" s="12" t="s">
        <v>5017</v>
      </c>
      <c r="K493" s="13" t="s">
        <v>7293</v>
      </c>
      <c r="L493" s="99" t="str">
        <f t="shared" si="28"/>
        <v>W221B.A</v>
      </c>
      <c r="M493" s="13" t="s">
        <v>17</v>
      </c>
      <c r="N493" s="13"/>
      <c r="O493" s="13"/>
      <c r="P493" s="47"/>
      <c r="Q493" s="45" t="s">
        <v>3672</v>
      </c>
      <c r="R493" s="45" t="s">
        <v>5596</v>
      </c>
      <c r="S493" s="48"/>
      <c r="T493" s="49" t="str">
        <f t="shared" si="27"/>
        <v>[W221B.A]</v>
      </c>
      <c r="U493" s="12" t="str">
        <f t="shared" si="30"/>
        <v xml:space="preserve"> 시밍#1 MOLD LOWER X1축(SD235) Stop 명령이 On된 상태에서 기동을 시도했습니다.</v>
      </c>
      <c r="V493" s="49" t="str">
        <f t="shared" si="29"/>
        <v>[W221B.A] 시밍#1 MOLD LOWER X1축(SD235) Stop 명령이 On된 상태에서 기동을 시도했습니다.</v>
      </c>
    </row>
    <row r="494" spans="1:22" s="49" customFormat="1" ht="14.15" customHeight="1">
      <c r="A494" s="43" t="s">
        <v>5599</v>
      </c>
      <c r="B494" s="44" t="s">
        <v>157</v>
      </c>
      <c r="C494" s="50"/>
      <c r="D494" s="10" t="s">
        <v>29</v>
      </c>
      <c r="E494" s="11"/>
      <c r="F494" s="11" t="s">
        <v>18</v>
      </c>
      <c r="G494" s="13"/>
      <c r="H494" s="45" t="s">
        <v>16</v>
      </c>
      <c r="I494" s="47"/>
      <c r="J494" s="12" t="s">
        <v>5018</v>
      </c>
      <c r="K494" s="13" t="s">
        <v>7294</v>
      </c>
      <c r="L494" s="99" t="str">
        <f t="shared" si="28"/>
        <v>W221B.B</v>
      </c>
      <c r="M494" s="13" t="s">
        <v>17</v>
      </c>
      <c r="N494" s="13"/>
      <c r="O494" s="13"/>
      <c r="P494" s="47"/>
      <c r="Q494" s="45" t="s">
        <v>3672</v>
      </c>
      <c r="R494" s="45" t="s">
        <v>5596</v>
      </c>
      <c r="S494" s="48"/>
      <c r="T494" s="49" t="str">
        <f t="shared" si="27"/>
        <v>[W221B.B]</v>
      </c>
      <c r="U494" s="12" t="str">
        <f t="shared" si="30"/>
        <v xml:space="preserve"> 시밍#1 MOLD LOWER X1축(SD235) 가동 전원이 Off 되었습니다.</v>
      </c>
      <c r="V494" s="49" t="str">
        <f t="shared" si="29"/>
        <v>[W221B.B] 시밍#1 MOLD LOWER X1축(SD235) 가동 전원이 Off 되었습니다.</v>
      </c>
    </row>
    <row r="495" spans="1:22" s="49" customFormat="1" ht="14.15" customHeight="1">
      <c r="A495" s="43" t="s">
        <v>5599</v>
      </c>
      <c r="B495" s="44" t="s">
        <v>157</v>
      </c>
      <c r="C495" s="50"/>
      <c r="D495" s="10" t="s">
        <v>29</v>
      </c>
      <c r="E495" s="11"/>
      <c r="F495" s="11" t="s">
        <v>18</v>
      </c>
      <c r="G495" s="13"/>
      <c r="H495" s="45" t="s">
        <v>16</v>
      </c>
      <c r="I495" s="47"/>
      <c r="J495" s="12" t="s">
        <v>5019</v>
      </c>
      <c r="K495" s="13" t="s">
        <v>7295</v>
      </c>
      <c r="L495" s="99" t="str">
        <f t="shared" si="28"/>
        <v>W221B.C</v>
      </c>
      <c r="M495" s="13" t="s">
        <v>17</v>
      </c>
      <c r="N495" s="13"/>
      <c r="O495" s="13"/>
      <c r="P495" s="47"/>
      <c r="Q495" s="45" t="s">
        <v>3672</v>
      </c>
      <c r="R495" s="45" t="s">
        <v>5596</v>
      </c>
      <c r="S495" s="48"/>
      <c r="T495" s="49" t="str">
        <f t="shared" si="27"/>
        <v>[W221B.C]</v>
      </c>
      <c r="U495" s="12" t="str">
        <f t="shared" si="30"/>
        <v xml:space="preserve"> 시밍#1 MOLD LOWER X1축(SD235) 엔코더 이상이 검출되었습니다.</v>
      </c>
      <c r="V495" s="49" t="str">
        <f t="shared" si="29"/>
        <v>[W221B.C] 시밍#1 MOLD LOWER X1축(SD235) 엔코더 이상이 검출되었습니다.</v>
      </c>
    </row>
    <row r="496" spans="1:22" s="49" customFormat="1" ht="14.15" customHeight="1">
      <c r="A496" s="43" t="s">
        <v>5599</v>
      </c>
      <c r="B496" s="44" t="s">
        <v>157</v>
      </c>
      <c r="C496" s="50"/>
      <c r="D496" s="10" t="s">
        <v>29</v>
      </c>
      <c r="E496" s="11"/>
      <c r="F496" s="11" t="s">
        <v>18</v>
      </c>
      <c r="G496" s="13"/>
      <c r="H496" s="45" t="s">
        <v>16</v>
      </c>
      <c r="I496" s="47"/>
      <c r="J496" s="12" t="s">
        <v>5020</v>
      </c>
      <c r="K496" s="13" t="s">
        <v>7296</v>
      </c>
      <c r="L496" s="99" t="str">
        <f t="shared" si="28"/>
        <v>W221B.D</v>
      </c>
      <c r="M496" s="13" t="s">
        <v>17</v>
      </c>
      <c r="N496" s="13"/>
      <c r="O496" s="13"/>
      <c r="P496" s="47"/>
      <c r="Q496" s="45" t="s">
        <v>3672</v>
      </c>
      <c r="R496" s="45" t="s">
        <v>5596</v>
      </c>
      <c r="S496" s="48"/>
      <c r="T496" s="49" t="str">
        <f t="shared" si="27"/>
        <v>[W221B.D]</v>
      </c>
      <c r="U496" s="12" t="str">
        <f t="shared" si="30"/>
        <v xml:space="preserve"> 시밍#1 MOLD LOWER X1축(SD235) 과전류가 검출되었습니다.</v>
      </c>
      <c r="V496" s="49" t="str">
        <f t="shared" si="29"/>
        <v>[W221B.D] 시밍#1 MOLD LOWER X1축(SD235) 과전류가 검출되었습니다.</v>
      </c>
    </row>
    <row r="497" spans="1:22" s="49" customFormat="1" ht="14.15" customHeight="1">
      <c r="A497" s="43" t="s">
        <v>5599</v>
      </c>
      <c r="B497" s="44" t="s">
        <v>157</v>
      </c>
      <c r="C497" s="50"/>
      <c r="D497" s="10" t="s">
        <v>29</v>
      </c>
      <c r="E497" s="11"/>
      <c r="F497" s="11" t="s">
        <v>18</v>
      </c>
      <c r="G497" s="13"/>
      <c r="H497" s="45" t="s">
        <v>16</v>
      </c>
      <c r="I497" s="47"/>
      <c r="J497" s="12" t="s">
        <v>5021</v>
      </c>
      <c r="K497" s="13" t="s">
        <v>7297</v>
      </c>
      <c r="L497" s="99" t="str">
        <f t="shared" si="28"/>
        <v>W221B.E</v>
      </c>
      <c r="M497" s="13" t="s">
        <v>17</v>
      </c>
      <c r="N497" s="13"/>
      <c r="O497" s="13"/>
      <c r="P497" s="47"/>
      <c r="Q497" s="45" t="s">
        <v>3672</v>
      </c>
      <c r="R497" s="45" t="s">
        <v>5596</v>
      </c>
      <c r="S497" s="48"/>
      <c r="T497" s="49" t="str">
        <f t="shared" si="27"/>
        <v>[W221B.E]</v>
      </c>
      <c r="U497" s="12" t="str">
        <f t="shared" si="30"/>
        <v xml:space="preserve"> 시밍#1 MOLD LOWER X1축(SD235) 과부하가 검출되었습니다.</v>
      </c>
      <c r="V497" s="49" t="str">
        <f t="shared" si="29"/>
        <v>[W221B.E] 시밍#1 MOLD LOWER X1축(SD235) 과부하가 검출되었습니다.</v>
      </c>
    </row>
    <row r="498" spans="1:22" s="49" customFormat="1" ht="14.15" customHeight="1">
      <c r="A498" s="43" t="s">
        <v>5599</v>
      </c>
      <c r="B498" s="44" t="s">
        <v>157</v>
      </c>
      <c r="C498" s="50"/>
      <c r="D498" s="10" t="s">
        <v>29</v>
      </c>
      <c r="E498" s="11"/>
      <c r="F498" s="11" t="s">
        <v>18</v>
      </c>
      <c r="G498" s="13"/>
      <c r="H498" s="45" t="s">
        <v>16</v>
      </c>
      <c r="I498" s="47"/>
      <c r="J498" s="12" t="s">
        <v>5022</v>
      </c>
      <c r="K498" s="13" t="s">
        <v>7298</v>
      </c>
      <c r="L498" s="99" t="str">
        <f t="shared" si="28"/>
        <v>W221B.F</v>
      </c>
      <c r="M498" s="13" t="s">
        <v>17</v>
      </c>
      <c r="N498" s="13"/>
      <c r="O498" s="13"/>
      <c r="P498" s="47"/>
      <c r="Q498" s="45" t="s">
        <v>3672</v>
      </c>
      <c r="R498" s="45" t="s">
        <v>5596</v>
      </c>
      <c r="S498" s="48"/>
      <c r="T498" s="49" t="str">
        <f t="shared" si="27"/>
        <v>[W221B.F]</v>
      </c>
      <c r="U498" s="12" t="str">
        <f t="shared" si="30"/>
        <v xml:space="preserve"> 시밍#1 MOLD LOWER X1축(SD235)  </v>
      </c>
      <c r="V498" s="49" t="str">
        <f t="shared" si="29"/>
        <v xml:space="preserve">[W221B.F] 시밍#1 MOLD LOWER X1축(SD235)  </v>
      </c>
    </row>
    <row r="499" spans="1:22" s="49" customFormat="1" ht="14.15" customHeight="1">
      <c r="A499" s="43" t="s">
        <v>5599</v>
      </c>
      <c r="B499" s="44" t="s">
        <v>157</v>
      </c>
      <c r="C499" s="50"/>
      <c r="D499" s="10" t="s">
        <v>29</v>
      </c>
      <c r="E499" s="11"/>
      <c r="F499" s="11" t="s">
        <v>18</v>
      </c>
      <c r="G499" s="13"/>
      <c r="H499" s="45" t="s">
        <v>16</v>
      </c>
      <c r="I499" s="47"/>
      <c r="J499" s="12" t="s">
        <v>5023</v>
      </c>
      <c r="K499" s="13" t="s">
        <v>7299</v>
      </c>
      <c r="L499" s="99" t="str">
        <f t="shared" si="28"/>
        <v>W221C.0</v>
      </c>
      <c r="M499" s="13" t="s">
        <v>17</v>
      </c>
      <c r="N499" s="13"/>
      <c r="O499" s="13"/>
      <c r="P499" s="47"/>
      <c r="Q499" s="45" t="s">
        <v>3672</v>
      </c>
      <c r="R499" s="45" t="s">
        <v>5596</v>
      </c>
      <c r="S499" s="48"/>
      <c r="T499" s="49" t="str">
        <f t="shared" ref="T499:T562" si="31">"["&amp;L499&amp;"]"</f>
        <v>[W221C.0]</v>
      </c>
      <c r="U499" s="12" t="str">
        <f t="shared" si="30"/>
        <v xml:space="preserve"> 시밍#1 MOLD LOWER X1축(SD235) 에러가 발생했습니다.</v>
      </c>
      <c r="V499" s="49" t="str">
        <f t="shared" si="29"/>
        <v>[W221C.0] 시밍#1 MOLD LOWER X1축(SD235) 에러가 발생했습니다.</v>
      </c>
    </row>
    <row r="500" spans="1:22" s="49" customFormat="1" ht="14.15" customHeight="1">
      <c r="A500" s="43" t="s">
        <v>5599</v>
      </c>
      <c r="B500" s="44" t="s">
        <v>157</v>
      </c>
      <c r="C500" s="50"/>
      <c r="D500" s="10" t="s">
        <v>29</v>
      </c>
      <c r="E500" s="11"/>
      <c r="F500" s="11" t="s">
        <v>18</v>
      </c>
      <c r="G500" s="13"/>
      <c r="H500" s="45" t="s">
        <v>16</v>
      </c>
      <c r="I500" s="47"/>
      <c r="J500" s="12" t="s">
        <v>5024</v>
      </c>
      <c r="K500" s="13" t="s">
        <v>7300</v>
      </c>
      <c r="L500" s="99" t="str">
        <f t="shared" ref="L500:L563" si="32">"W"&amp;DEC2HEX(8704 + INT((ROW()-51)/16)) &amp; "." &amp; IF(MOD(ROW()-51,16)&lt;10,MOD(ROW()-51,16),CHAR(MOD(ROW()-51,16)+55))</f>
        <v>W221C.1</v>
      </c>
      <c r="M500" s="13" t="s">
        <v>17</v>
      </c>
      <c r="N500" s="13"/>
      <c r="O500" s="13"/>
      <c r="P500" s="47"/>
      <c r="Q500" s="45" t="s">
        <v>3672</v>
      </c>
      <c r="R500" s="45" t="s">
        <v>5596</v>
      </c>
      <c r="S500" s="48"/>
      <c r="T500" s="49" t="str">
        <f t="shared" si="31"/>
        <v>[W221C.1]</v>
      </c>
      <c r="U500" s="12" t="str">
        <f t="shared" si="30"/>
        <v xml:space="preserve"> 시밍#1 MOLD UPPER X2축(SD236) 운전중에 Ready가 Off 되었습니다.</v>
      </c>
      <c r="V500" s="49" t="str">
        <f t="shared" ref="V500:V563" si="33">T500&amp;U500</f>
        <v>[W221C.1] 시밍#1 MOLD UPPER X2축(SD236) 운전중에 Ready가 Off 되었습니다.</v>
      </c>
    </row>
    <row r="501" spans="1:22" s="49" customFormat="1" ht="14.15" customHeight="1">
      <c r="A501" s="43" t="s">
        <v>5599</v>
      </c>
      <c r="B501" s="44" t="s">
        <v>157</v>
      </c>
      <c r="C501" s="50"/>
      <c r="D501" s="10" t="s">
        <v>29</v>
      </c>
      <c r="E501" s="11"/>
      <c r="F501" s="11" t="s">
        <v>18</v>
      </c>
      <c r="G501" s="13"/>
      <c r="H501" s="45" t="s">
        <v>16</v>
      </c>
      <c r="I501" s="47"/>
      <c r="J501" s="12" t="s">
        <v>5025</v>
      </c>
      <c r="K501" s="13" t="s">
        <v>7301</v>
      </c>
      <c r="L501" s="99" t="str">
        <f t="shared" si="32"/>
        <v>W221C.2</v>
      </c>
      <c r="M501" s="13" t="s">
        <v>17</v>
      </c>
      <c r="N501" s="13"/>
      <c r="O501" s="13"/>
      <c r="P501" s="47"/>
      <c r="Q501" s="45" t="s">
        <v>3672</v>
      </c>
      <c r="R501" s="45" t="s">
        <v>5596</v>
      </c>
      <c r="S501" s="48"/>
      <c r="T501" s="49" t="str">
        <f t="shared" si="31"/>
        <v>[W221C.2]</v>
      </c>
      <c r="U501" s="12" t="str">
        <f t="shared" si="30"/>
        <v xml:space="preserve"> 시밍#1 MOLD UPPER X2축(SD236) FLS가 감지되었습니다.</v>
      </c>
      <c r="V501" s="49" t="str">
        <f t="shared" si="33"/>
        <v>[W221C.2] 시밍#1 MOLD UPPER X2축(SD236) FLS가 감지되었습니다.</v>
      </c>
    </row>
    <row r="502" spans="1:22" s="49" customFormat="1" ht="14.15" customHeight="1">
      <c r="A502" s="43" t="s">
        <v>5599</v>
      </c>
      <c r="B502" s="44" t="s">
        <v>157</v>
      </c>
      <c r="C502" s="50"/>
      <c r="D502" s="10" t="s">
        <v>29</v>
      </c>
      <c r="E502" s="11"/>
      <c r="F502" s="11" t="s">
        <v>18</v>
      </c>
      <c r="G502" s="13"/>
      <c r="H502" s="45" t="s">
        <v>16</v>
      </c>
      <c r="I502" s="47"/>
      <c r="J502" s="12" t="s">
        <v>5026</v>
      </c>
      <c r="K502" s="13" t="s">
        <v>7302</v>
      </c>
      <c r="L502" s="99" t="str">
        <f t="shared" si="32"/>
        <v>W221C.3</v>
      </c>
      <c r="M502" s="13" t="s">
        <v>17</v>
      </c>
      <c r="N502" s="13"/>
      <c r="O502" s="13"/>
      <c r="P502" s="47"/>
      <c r="Q502" s="45" t="s">
        <v>3672</v>
      </c>
      <c r="R502" s="45" t="s">
        <v>5596</v>
      </c>
      <c r="S502" s="48"/>
      <c r="T502" s="49" t="str">
        <f t="shared" si="31"/>
        <v>[W221C.3]</v>
      </c>
      <c r="U502" s="12" t="str">
        <f t="shared" si="30"/>
        <v xml:space="preserve"> 시밍#1 MOLD UPPER X2축(SD236) RLS가 감지되었습니다.</v>
      </c>
      <c r="V502" s="49" t="str">
        <f t="shared" si="33"/>
        <v>[W221C.3] 시밍#1 MOLD UPPER X2축(SD236) RLS가 감지되었습니다.</v>
      </c>
    </row>
    <row r="503" spans="1:22" s="49" customFormat="1" ht="14.15" customHeight="1">
      <c r="A503" s="43" t="s">
        <v>5599</v>
      </c>
      <c r="B503" s="44" t="s">
        <v>157</v>
      </c>
      <c r="C503" s="50"/>
      <c r="D503" s="10" t="s">
        <v>29</v>
      </c>
      <c r="E503" s="11"/>
      <c r="F503" s="11" t="s">
        <v>18</v>
      </c>
      <c r="G503" s="13"/>
      <c r="H503" s="45" t="s">
        <v>16</v>
      </c>
      <c r="I503" s="47"/>
      <c r="J503" s="12" t="s">
        <v>5027</v>
      </c>
      <c r="K503" s="13" t="s">
        <v>7303</v>
      </c>
      <c r="L503" s="99" t="str">
        <f t="shared" si="32"/>
        <v>W221C.4</v>
      </c>
      <c r="M503" s="13" t="s">
        <v>17</v>
      </c>
      <c r="N503" s="13"/>
      <c r="O503" s="13"/>
      <c r="P503" s="47"/>
      <c r="Q503" s="45" t="s">
        <v>3672</v>
      </c>
      <c r="R503" s="45" t="s">
        <v>5596</v>
      </c>
      <c r="S503" s="48"/>
      <c r="T503" s="49" t="str">
        <f t="shared" si="31"/>
        <v>[W221C.4]</v>
      </c>
      <c r="U503" s="12" t="str">
        <f t="shared" si="30"/>
        <v xml:space="preserve"> 시밍#1 MOLD UPPER X2축(SD236) Stop 명령이 On된 상태에서 기동을 시도했습니다.</v>
      </c>
      <c r="V503" s="49" t="str">
        <f t="shared" si="33"/>
        <v>[W221C.4] 시밍#1 MOLD UPPER X2축(SD236) Stop 명령이 On된 상태에서 기동을 시도했습니다.</v>
      </c>
    </row>
    <row r="504" spans="1:22" s="49" customFormat="1" ht="14.15" customHeight="1">
      <c r="A504" s="43" t="s">
        <v>5599</v>
      </c>
      <c r="B504" s="44" t="s">
        <v>157</v>
      </c>
      <c r="C504" s="50"/>
      <c r="D504" s="10" t="s">
        <v>29</v>
      </c>
      <c r="E504" s="11"/>
      <c r="F504" s="11" t="s">
        <v>18</v>
      </c>
      <c r="G504" s="13"/>
      <c r="H504" s="45" t="s">
        <v>16</v>
      </c>
      <c r="I504" s="47"/>
      <c r="J504" s="12" t="s">
        <v>5028</v>
      </c>
      <c r="K504" s="13" t="s">
        <v>7304</v>
      </c>
      <c r="L504" s="99" t="str">
        <f t="shared" si="32"/>
        <v>W221C.5</v>
      </c>
      <c r="M504" s="13" t="s">
        <v>17</v>
      </c>
      <c r="N504" s="13"/>
      <c r="O504" s="13"/>
      <c r="P504" s="47"/>
      <c r="Q504" s="45" t="s">
        <v>3672</v>
      </c>
      <c r="R504" s="45" t="s">
        <v>5596</v>
      </c>
      <c r="S504" s="48"/>
      <c r="T504" s="49" t="str">
        <f t="shared" si="31"/>
        <v>[W221C.5]</v>
      </c>
      <c r="U504" s="12" t="str">
        <f t="shared" ref="U504:U567" si="34">RIGHT(J504,LEN(J504)-7)</f>
        <v xml:space="preserve"> 시밍#1 MOLD UPPER X2축(SD236) 가동 전원이 Off 되었습니다.</v>
      </c>
      <c r="V504" s="49" t="str">
        <f t="shared" si="33"/>
        <v>[W221C.5] 시밍#1 MOLD UPPER X2축(SD236) 가동 전원이 Off 되었습니다.</v>
      </c>
    </row>
    <row r="505" spans="1:22" s="49" customFormat="1" ht="14.15" customHeight="1">
      <c r="A505" s="43" t="s">
        <v>5599</v>
      </c>
      <c r="B505" s="44" t="s">
        <v>157</v>
      </c>
      <c r="C505" s="50"/>
      <c r="D505" s="10" t="s">
        <v>29</v>
      </c>
      <c r="E505" s="11"/>
      <c r="F505" s="11" t="s">
        <v>18</v>
      </c>
      <c r="G505" s="13"/>
      <c r="H505" s="45" t="s">
        <v>16</v>
      </c>
      <c r="I505" s="47"/>
      <c r="J505" s="12" t="s">
        <v>5029</v>
      </c>
      <c r="K505" s="13" t="s">
        <v>7305</v>
      </c>
      <c r="L505" s="99" t="str">
        <f t="shared" si="32"/>
        <v>W221C.6</v>
      </c>
      <c r="M505" s="13" t="s">
        <v>17</v>
      </c>
      <c r="N505" s="13"/>
      <c r="O505" s="13"/>
      <c r="P505" s="47"/>
      <c r="Q505" s="45" t="s">
        <v>3672</v>
      </c>
      <c r="R505" s="45" t="s">
        <v>5596</v>
      </c>
      <c r="S505" s="48"/>
      <c r="T505" s="49" t="str">
        <f t="shared" si="31"/>
        <v>[W221C.6]</v>
      </c>
      <c r="U505" s="12" t="str">
        <f t="shared" si="34"/>
        <v xml:space="preserve"> 시밍#1 MOLD UPPER X2축(SD236) 엔코더 이상이 검출되었습니다.</v>
      </c>
      <c r="V505" s="49" t="str">
        <f t="shared" si="33"/>
        <v>[W221C.6] 시밍#1 MOLD UPPER X2축(SD236) 엔코더 이상이 검출되었습니다.</v>
      </c>
    </row>
    <row r="506" spans="1:22" s="49" customFormat="1" ht="14.15" customHeight="1">
      <c r="A506" s="43" t="s">
        <v>5599</v>
      </c>
      <c r="B506" s="44" t="s">
        <v>157</v>
      </c>
      <c r="C506" s="50"/>
      <c r="D506" s="10" t="s">
        <v>29</v>
      </c>
      <c r="E506" s="11"/>
      <c r="F506" s="11" t="s">
        <v>18</v>
      </c>
      <c r="G506" s="13"/>
      <c r="H506" s="45" t="s">
        <v>16</v>
      </c>
      <c r="I506" s="47"/>
      <c r="J506" s="12" t="s">
        <v>5030</v>
      </c>
      <c r="K506" s="13" t="s">
        <v>7306</v>
      </c>
      <c r="L506" s="99" t="str">
        <f t="shared" si="32"/>
        <v>W221C.7</v>
      </c>
      <c r="M506" s="13" t="s">
        <v>17</v>
      </c>
      <c r="N506" s="13"/>
      <c r="O506" s="13"/>
      <c r="P506" s="47"/>
      <c r="Q506" s="45" t="s">
        <v>3672</v>
      </c>
      <c r="R506" s="45" t="s">
        <v>5596</v>
      </c>
      <c r="S506" s="48"/>
      <c r="T506" s="49" t="str">
        <f t="shared" si="31"/>
        <v>[W221C.7]</v>
      </c>
      <c r="U506" s="12" t="str">
        <f t="shared" si="34"/>
        <v xml:space="preserve"> 시밍#1 MOLD UPPER X2축(SD236) 과전류가 검출되었습니다.</v>
      </c>
      <c r="V506" s="49" t="str">
        <f t="shared" si="33"/>
        <v>[W221C.7] 시밍#1 MOLD UPPER X2축(SD236) 과전류가 검출되었습니다.</v>
      </c>
    </row>
    <row r="507" spans="1:22" s="49" customFormat="1" ht="14.15" customHeight="1">
      <c r="A507" s="43" t="s">
        <v>5599</v>
      </c>
      <c r="B507" s="44" t="s">
        <v>157</v>
      </c>
      <c r="C507" s="50"/>
      <c r="D507" s="10" t="s">
        <v>29</v>
      </c>
      <c r="E507" s="11"/>
      <c r="F507" s="11" t="s">
        <v>18</v>
      </c>
      <c r="G507" s="13"/>
      <c r="H507" s="45" t="s">
        <v>16</v>
      </c>
      <c r="I507" s="47"/>
      <c r="J507" s="12" t="s">
        <v>5031</v>
      </c>
      <c r="K507" s="13" t="s">
        <v>7307</v>
      </c>
      <c r="L507" s="99" t="str">
        <f t="shared" si="32"/>
        <v>W221C.8</v>
      </c>
      <c r="M507" s="13" t="s">
        <v>17</v>
      </c>
      <c r="N507" s="13"/>
      <c r="O507" s="13"/>
      <c r="P507" s="47"/>
      <c r="Q507" s="45" t="s">
        <v>3672</v>
      </c>
      <c r="R507" s="45" t="s">
        <v>5596</v>
      </c>
      <c r="S507" s="48"/>
      <c r="T507" s="49" t="str">
        <f t="shared" si="31"/>
        <v>[W221C.8]</v>
      </c>
      <c r="U507" s="12" t="str">
        <f t="shared" si="34"/>
        <v xml:space="preserve"> 시밍#1 MOLD UPPER X2축(SD236) 과부하가 검출되었습니다.</v>
      </c>
      <c r="V507" s="49" t="str">
        <f t="shared" si="33"/>
        <v>[W221C.8] 시밍#1 MOLD UPPER X2축(SD236) 과부하가 검출되었습니다.</v>
      </c>
    </row>
    <row r="508" spans="1:22" s="49" customFormat="1" ht="14.15" customHeight="1">
      <c r="A508" s="43" t="s">
        <v>5599</v>
      </c>
      <c r="B508" s="44" t="s">
        <v>157</v>
      </c>
      <c r="C508" s="50"/>
      <c r="D508" s="10" t="s">
        <v>29</v>
      </c>
      <c r="E508" s="11"/>
      <c r="F508" s="11" t="s">
        <v>18</v>
      </c>
      <c r="G508" s="13"/>
      <c r="H508" s="45" t="s">
        <v>16</v>
      </c>
      <c r="I508" s="47"/>
      <c r="J508" s="12" t="s">
        <v>5032</v>
      </c>
      <c r="K508" s="13" t="s">
        <v>7308</v>
      </c>
      <c r="L508" s="99" t="str">
        <f t="shared" si="32"/>
        <v>W221C.9</v>
      </c>
      <c r="M508" s="13" t="s">
        <v>17</v>
      </c>
      <c r="N508" s="13"/>
      <c r="O508" s="13"/>
      <c r="P508" s="47"/>
      <c r="Q508" s="45" t="s">
        <v>3672</v>
      </c>
      <c r="R508" s="45" t="s">
        <v>5596</v>
      </c>
      <c r="S508" s="48"/>
      <c r="T508" s="49" t="str">
        <f t="shared" si="31"/>
        <v>[W221C.9]</v>
      </c>
      <c r="U508" s="12" t="str">
        <f t="shared" si="34"/>
        <v xml:space="preserve"> 시밍#1 MOLD UPPER X2축(SD236)  </v>
      </c>
      <c r="V508" s="49" t="str">
        <f t="shared" si="33"/>
        <v xml:space="preserve">[W221C.9] 시밍#1 MOLD UPPER X2축(SD236)  </v>
      </c>
    </row>
    <row r="509" spans="1:22" s="49" customFormat="1" ht="14.15" customHeight="1">
      <c r="A509" s="43" t="s">
        <v>5599</v>
      </c>
      <c r="B509" s="44" t="s">
        <v>157</v>
      </c>
      <c r="C509" s="50"/>
      <c r="D509" s="10" t="s">
        <v>29</v>
      </c>
      <c r="E509" s="11"/>
      <c r="F509" s="11" t="s">
        <v>18</v>
      </c>
      <c r="G509" s="13"/>
      <c r="H509" s="45" t="s">
        <v>16</v>
      </c>
      <c r="I509" s="47"/>
      <c r="J509" s="12" t="s">
        <v>5033</v>
      </c>
      <c r="K509" s="13" t="s">
        <v>7309</v>
      </c>
      <c r="L509" s="99" t="str">
        <f t="shared" si="32"/>
        <v>W221C.A</v>
      </c>
      <c r="M509" s="13" t="s">
        <v>17</v>
      </c>
      <c r="N509" s="13"/>
      <c r="O509" s="13"/>
      <c r="P509" s="47"/>
      <c r="Q509" s="45" t="s">
        <v>3672</v>
      </c>
      <c r="R509" s="45" t="s">
        <v>5596</v>
      </c>
      <c r="S509" s="48"/>
      <c r="T509" s="49" t="str">
        <f t="shared" si="31"/>
        <v>[W221C.A]</v>
      </c>
      <c r="U509" s="12" t="str">
        <f t="shared" si="34"/>
        <v xml:space="preserve"> 시밍#1 MOLD UPPER X2축(SD236) 에러가 발생했습니다.</v>
      </c>
      <c r="V509" s="49" t="str">
        <f t="shared" si="33"/>
        <v>[W221C.A] 시밍#1 MOLD UPPER X2축(SD236) 에러가 발생했습니다.</v>
      </c>
    </row>
    <row r="510" spans="1:22" s="49" customFormat="1" ht="14.15" customHeight="1">
      <c r="A510" s="43" t="s">
        <v>5600</v>
      </c>
      <c r="B510" s="44" t="s">
        <v>157</v>
      </c>
      <c r="C510" s="50"/>
      <c r="D510" s="10" t="s">
        <v>29</v>
      </c>
      <c r="E510" s="11"/>
      <c r="F510" s="11" t="s">
        <v>18</v>
      </c>
      <c r="G510" s="13"/>
      <c r="H510" s="45" t="s">
        <v>16</v>
      </c>
      <c r="I510" s="47"/>
      <c r="J510" s="12" t="s">
        <v>5034</v>
      </c>
      <c r="K510" s="13" t="s">
        <v>7310</v>
      </c>
      <c r="L510" s="99" t="str">
        <f t="shared" si="32"/>
        <v>W221C.B</v>
      </c>
      <c r="M510" s="13" t="s">
        <v>17</v>
      </c>
      <c r="N510" s="13"/>
      <c r="O510" s="13"/>
      <c r="P510" s="47"/>
      <c r="Q510" s="45" t="s">
        <v>3672</v>
      </c>
      <c r="R510" s="45" t="s">
        <v>5596</v>
      </c>
      <c r="S510" s="48"/>
      <c r="T510" s="49" t="str">
        <f t="shared" si="31"/>
        <v>[W221C.B]</v>
      </c>
      <c r="U510" s="12" t="str">
        <f t="shared" si="34"/>
        <v xml:space="preserve"> 플랜징#1 CLAMP 1축(SD237) 운전중에 Ready가 Off 되었습니다.</v>
      </c>
      <c r="V510" s="49" t="str">
        <f t="shared" si="33"/>
        <v>[W221C.B] 플랜징#1 CLAMP 1축(SD237) 운전중에 Ready가 Off 되었습니다.</v>
      </c>
    </row>
    <row r="511" spans="1:22" s="49" customFormat="1" ht="14.15" customHeight="1">
      <c r="A511" s="43" t="s">
        <v>5600</v>
      </c>
      <c r="B511" s="44" t="s">
        <v>157</v>
      </c>
      <c r="C511" s="50"/>
      <c r="D511" s="10" t="s">
        <v>29</v>
      </c>
      <c r="E511" s="11"/>
      <c r="F511" s="11" t="s">
        <v>18</v>
      </c>
      <c r="G511" s="13"/>
      <c r="H511" s="45" t="s">
        <v>16</v>
      </c>
      <c r="I511" s="47"/>
      <c r="J511" s="12" t="s">
        <v>5035</v>
      </c>
      <c r="K511" s="13" t="s">
        <v>7311</v>
      </c>
      <c r="L511" s="99" t="str">
        <f t="shared" si="32"/>
        <v>W221C.C</v>
      </c>
      <c r="M511" s="13" t="s">
        <v>17</v>
      </c>
      <c r="N511" s="13"/>
      <c r="O511" s="13"/>
      <c r="P511" s="47"/>
      <c r="Q511" s="45" t="s">
        <v>3672</v>
      </c>
      <c r="R511" s="45" t="s">
        <v>5596</v>
      </c>
      <c r="S511" s="48"/>
      <c r="T511" s="49" t="str">
        <f t="shared" si="31"/>
        <v>[W221C.C]</v>
      </c>
      <c r="U511" s="12" t="str">
        <f t="shared" si="34"/>
        <v xml:space="preserve"> 플랜징#1 CLAMP 1축(SD237) FLS가 감지되었습니다.</v>
      </c>
      <c r="V511" s="49" t="str">
        <f t="shared" si="33"/>
        <v>[W221C.C] 플랜징#1 CLAMP 1축(SD237) FLS가 감지되었습니다.</v>
      </c>
    </row>
    <row r="512" spans="1:22" s="49" customFormat="1" ht="14.15" customHeight="1">
      <c r="A512" s="43" t="s">
        <v>5600</v>
      </c>
      <c r="B512" s="44" t="s">
        <v>157</v>
      </c>
      <c r="C512" s="50"/>
      <c r="D512" s="10" t="s">
        <v>29</v>
      </c>
      <c r="E512" s="11"/>
      <c r="F512" s="11" t="s">
        <v>18</v>
      </c>
      <c r="G512" s="13"/>
      <c r="H512" s="45" t="s">
        <v>16</v>
      </c>
      <c r="I512" s="47"/>
      <c r="J512" s="12" t="s">
        <v>5036</v>
      </c>
      <c r="K512" s="13" t="s">
        <v>7312</v>
      </c>
      <c r="L512" s="99" t="str">
        <f t="shared" si="32"/>
        <v>W221C.D</v>
      </c>
      <c r="M512" s="13" t="s">
        <v>17</v>
      </c>
      <c r="N512" s="13"/>
      <c r="O512" s="13"/>
      <c r="P512" s="47"/>
      <c r="Q512" s="45" t="s">
        <v>3672</v>
      </c>
      <c r="R512" s="45" t="s">
        <v>5596</v>
      </c>
      <c r="S512" s="48"/>
      <c r="T512" s="49" t="str">
        <f t="shared" si="31"/>
        <v>[W221C.D]</v>
      </c>
      <c r="U512" s="12" t="str">
        <f t="shared" si="34"/>
        <v xml:space="preserve"> 플랜징#1 CLAMP 1축(SD237) RLS가 감지되었습니다.</v>
      </c>
      <c r="V512" s="49" t="str">
        <f t="shared" si="33"/>
        <v>[W221C.D] 플랜징#1 CLAMP 1축(SD237) RLS가 감지되었습니다.</v>
      </c>
    </row>
    <row r="513" spans="1:22" s="49" customFormat="1" ht="14.15" customHeight="1">
      <c r="A513" s="43" t="s">
        <v>5600</v>
      </c>
      <c r="B513" s="44" t="s">
        <v>157</v>
      </c>
      <c r="C513" s="50"/>
      <c r="D513" s="10" t="s">
        <v>29</v>
      </c>
      <c r="E513" s="11"/>
      <c r="F513" s="11" t="s">
        <v>18</v>
      </c>
      <c r="G513" s="13"/>
      <c r="H513" s="45" t="s">
        <v>16</v>
      </c>
      <c r="I513" s="47"/>
      <c r="J513" s="12" t="s">
        <v>5037</v>
      </c>
      <c r="K513" s="13" t="s">
        <v>7313</v>
      </c>
      <c r="L513" s="99" t="str">
        <f t="shared" si="32"/>
        <v>W221C.E</v>
      </c>
      <c r="M513" s="13" t="s">
        <v>17</v>
      </c>
      <c r="N513" s="13"/>
      <c r="O513" s="13"/>
      <c r="P513" s="47"/>
      <c r="Q513" s="45" t="s">
        <v>3672</v>
      </c>
      <c r="R513" s="45" t="s">
        <v>5596</v>
      </c>
      <c r="S513" s="48"/>
      <c r="T513" s="49" t="str">
        <f t="shared" si="31"/>
        <v>[W221C.E]</v>
      </c>
      <c r="U513" s="12" t="str">
        <f t="shared" si="34"/>
        <v xml:space="preserve"> 플랜징#1 CLAMP 1축(SD237) Stop 명령이 On된 상태에서 기동을 시도했습니다.</v>
      </c>
      <c r="V513" s="49" t="str">
        <f t="shared" si="33"/>
        <v>[W221C.E] 플랜징#1 CLAMP 1축(SD237) Stop 명령이 On된 상태에서 기동을 시도했습니다.</v>
      </c>
    </row>
    <row r="514" spans="1:22" s="49" customFormat="1" ht="14.15" customHeight="1">
      <c r="A514" s="43" t="s">
        <v>5600</v>
      </c>
      <c r="B514" s="44" t="s">
        <v>157</v>
      </c>
      <c r="C514" s="50"/>
      <c r="D514" s="10" t="s">
        <v>29</v>
      </c>
      <c r="E514" s="11"/>
      <c r="F514" s="11" t="s">
        <v>18</v>
      </c>
      <c r="G514" s="13"/>
      <c r="H514" s="45" t="s">
        <v>16</v>
      </c>
      <c r="I514" s="47"/>
      <c r="J514" s="12" t="s">
        <v>5038</v>
      </c>
      <c r="K514" s="13" t="s">
        <v>7314</v>
      </c>
      <c r="L514" s="99" t="str">
        <f t="shared" si="32"/>
        <v>W221C.F</v>
      </c>
      <c r="M514" s="13" t="s">
        <v>17</v>
      </c>
      <c r="N514" s="13"/>
      <c r="O514" s="13"/>
      <c r="P514" s="47"/>
      <c r="Q514" s="45" t="s">
        <v>3672</v>
      </c>
      <c r="R514" s="45" t="s">
        <v>5596</v>
      </c>
      <c r="S514" s="48"/>
      <c r="T514" s="49" t="str">
        <f t="shared" si="31"/>
        <v>[W221C.F]</v>
      </c>
      <c r="U514" s="12" t="str">
        <f t="shared" si="34"/>
        <v xml:space="preserve"> 플랜징#1 CLAMP 1축(SD237) 가동 전원이 Off 되었습니다.</v>
      </c>
      <c r="V514" s="49" t="str">
        <f t="shared" si="33"/>
        <v>[W221C.F] 플랜징#1 CLAMP 1축(SD237) 가동 전원이 Off 되었습니다.</v>
      </c>
    </row>
    <row r="515" spans="1:22" s="49" customFormat="1" ht="14.15" customHeight="1">
      <c r="A515" s="43" t="s">
        <v>5600</v>
      </c>
      <c r="B515" s="44" t="s">
        <v>157</v>
      </c>
      <c r="C515" s="50"/>
      <c r="D515" s="10" t="s">
        <v>29</v>
      </c>
      <c r="E515" s="11"/>
      <c r="F515" s="11" t="s">
        <v>18</v>
      </c>
      <c r="G515" s="13"/>
      <c r="H515" s="45" t="s">
        <v>16</v>
      </c>
      <c r="I515" s="47"/>
      <c r="J515" s="12" t="s">
        <v>5039</v>
      </c>
      <c r="K515" s="13" t="s">
        <v>7315</v>
      </c>
      <c r="L515" s="99" t="str">
        <f t="shared" si="32"/>
        <v>W221D.0</v>
      </c>
      <c r="M515" s="13" t="s">
        <v>17</v>
      </c>
      <c r="N515" s="13"/>
      <c r="O515" s="13"/>
      <c r="P515" s="47"/>
      <c r="Q515" s="45" t="s">
        <v>3672</v>
      </c>
      <c r="R515" s="45" t="s">
        <v>5596</v>
      </c>
      <c r="S515" s="48"/>
      <c r="T515" s="49" t="str">
        <f t="shared" si="31"/>
        <v>[W221D.0]</v>
      </c>
      <c r="U515" s="12" t="str">
        <f t="shared" si="34"/>
        <v xml:space="preserve"> 플랜징#1 CLAMP 1축(SD237) 엔코더 이상이 검출되었습니다.</v>
      </c>
      <c r="V515" s="49" t="str">
        <f t="shared" si="33"/>
        <v>[W221D.0] 플랜징#1 CLAMP 1축(SD237) 엔코더 이상이 검출되었습니다.</v>
      </c>
    </row>
    <row r="516" spans="1:22" s="49" customFormat="1" ht="14.15" customHeight="1">
      <c r="A516" s="43" t="s">
        <v>5600</v>
      </c>
      <c r="B516" s="44" t="s">
        <v>157</v>
      </c>
      <c r="C516" s="50"/>
      <c r="D516" s="10" t="s">
        <v>29</v>
      </c>
      <c r="E516" s="11"/>
      <c r="F516" s="11" t="s">
        <v>18</v>
      </c>
      <c r="G516" s="13"/>
      <c r="H516" s="45" t="s">
        <v>16</v>
      </c>
      <c r="I516" s="47"/>
      <c r="J516" s="12" t="s">
        <v>5040</v>
      </c>
      <c r="K516" s="13" t="s">
        <v>7316</v>
      </c>
      <c r="L516" s="99" t="str">
        <f t="shared" si="32"/>
        <v>W221D.1</v>
      </c>
      <c r="M516" s="13" t="s">
        <v>17</v>
      </c>
      <c r="N516" s="13"/>
      <c r="O516" s="13"/>
      <c r="P516" s="47"/>
      <c r="Q516" s="45" t="s">
        <v>3672</v>
      </c>
      <c r="R516" s="45" t="s">
        <v>5596</v>
      </c>
      <c r="S516" s="48"/>
      <c r="T516" s="49" t="str">
        <f t="shared" si="31"/>
        <v>[W221D.1]</v>
      </c>
      <c r="U516" s="12" t="str">
        <f t="shared" si="34"/>
        <v xml:space="preserve"> 플랜징#1 CLAMP 1축(SD237) 과전류가 검출되었습니다.</v>
      </c>
      <c r="V516" s="49" t="str">
        <f t="shared" si="33"/>
        <v>[W221D.1] 플랜징#1 CLAMP 1축(SD237) 과전류가 검출되었습니다.</v>
      </c>
    </row>
    <row r="517" spans="1:22" s="49" customFormat="1" ht="14.15" customHeight="1">
      <c r="A517" s="43" t="s">
        <v>5600</v>
      </c>
      <c r="B517" s="44" t="s">
        <v>157</v>
      </c>
      <c r="C517" s="50"/>
      <c r="D517" s="10" t="s">
        <v>29</v>
      </c>
      <c r="E517" s="11"/>
      <c r="F517" s="11" t="s">
        <v>18</v>
      </c>
      <c r="G517" s="13"/>
      <c r="H517" s="45" t="s">
        <v>16</v>
      </c>
      <c r="I517" s="47"/>
      <c r="J517" s="12" t="s">
        <v>5041</v>
      </c>
      <c r="K517" s="13" t="s">
        <v>7317</v>
      </c>
      <c r="L517" s="99" t="str">
        <f t="shared" si="32"/>
        <v>W221D.2</v>
      </c>
      <c r="M517" s="13" t="s">
        <v>17</v>
      </c>
      <c r="N517" s="13"/>
      <c r="O517" s="13"/>
      <c r="P517" s="47"/>
      <c r="Q517" s="45" t="s">
        <v>3672</v>
      </c>
      <c r="R517" s="45" t="s">
        <v>5596</v>
      </c>
      <c r="S517" s="48"/>
      <c r="T517" s="49" t="str">
        <f t="shared" si="31"/>
        <v>[W221D.2]</v>
      </c>
      <c r="U517" s="12" t="str">
        <f t="shared" si="34"/>
        <v xml:space="preserve"> 플랜징#1 CLAMP 1축(SD237) 과부하가 검출되었습니다.</v>
      </c>
      <c r="V517" s="49" t="str">
        <f t="shared" si="33"/>
        <v>[W221D.2] 플랜징#1 CLAMP 1축(SD237) 과부하가 검출되었습니다.</v>
      </c>
    </row>
    <row r="518" spans="1:22" s="49" customFormat="1" ht="14.15" customHeight="1">
      <c r="A518" s="43" t="s">
        <v>5600</v>
      </c>
      <c r="B518" s="44" t="s">
        <v>157</v>
      </c>
      <c r="C518" s="50"/>
      <c r="D518" s="10" t="s">
        <v>29</v>
      </c>
      <c r="E518" s="11"/>
      <c r="F518" s="11" t="s">
        <v>18</v>
      </c>
      <c r="G518" s="13"/>
      <c r="H518" s="45" t="s">
        <v>16</v>
      </c>
      <c r="I518" s="47"/>
      <c r="J518" s="12" t="s">
        <v>5042</v>
      </c>
      <c r="K518" s="13" t="s">
        <v>7318</v>
      </c>
      <c r="L518" s="99" t="str">
        <f t="shared" si="32"/>
        <v>W221D.3</v>
      </c>
      <c r="M518" s="13" t="s">
        <v>17</v>
      </c>
      <c r="N518" s="13"/>
      <c r="O518" s="13"/>
      <c r="P518" s="47"/>
      <c r="Q518" s="45" t="s">
        <v>3672</v>
      </c>
      <c r="R518" s="45" t="s">
        <v>5596</v>
      </c>
      <c r="S518" s="48"/>
      <c r="T518" s="49" t="str">
        <f t="shared" si="31"/>
        <v>[W221D.3]</v>
      </c>
      <c r="U518" s="12" t="str">
        <f t="shared" si="34"/>
        <v xml:space="preserve"> 플랜징#1 CLAMP 1축(SD237)  </v>
      </c>
      <c r="V518" s="49" t="str">
        <f t="shared" si="33"/>
        <v xml:space="preserve">[W221D.3] 플랜징#1 CLAMP 1축(SD237)  </v>
      </c>
    </row>
    <row r="519" spans="1:22" s="49" customFormat="1" ht="14.15" customHeight="1">
      <c r="A519" s="43" t="s">
        <v>5600</v>
      </c>
      <c r="B519" s="44" t="s">
        <v>157</v>
      </c>
      <c r="C519" s="50"/>
      <c r="D519" s="10" t="s">
        <v>29</v>
      </c>
      <c r="E519" s="11"/>
      <c r="F519" s="11" t="s">
        <v>18</v>
      </c>
      <c r="G519" s="13"/>
      <c r="H519" s="45" t="s">
        <v>16</v>
      </c>
      <c r="I519" s="47"/>
      <c r="J519" s="12" t="s">
        <v>5043</v>
      </c>
      <c r="K519" s="13" t="s">
        <v>7319</v>
      </c>
      <c r="L519" s="99" t="str">
        <f t="shared" si="32"/>
        <v>W221D.4</v>
      </c>
      <c r="M519" s="13" t="s">
        <v>17</v>
      </c>
      <c r="N519" s="13"/>
      <c r="O519" s="13"/>
      <c r="P519" s="47"/>
      <c r="Q519" s="45" t="s">
        <v>3672</v>
      </c>
      <c r="R519" s="45" t="s">
        <v>5596</v>
      </c>
      <c r="S519" s="48"/>
      <c r="T519" s="49" t="str">
        <f t="shared" si="31"/>
        <v>[W221D.4]</v>
      </c>
      <c r="U519" s="12" t="str">
        <f t="shared" si="34"/>
        <v xml:space="preserve"> 플랜징#1 CLAMP 1축(SD237) 에러가 발생했습니다.</v>
      </c>
      <c r="V519" s="49" t="str">
        <f t="shared" si="33"/>
        <v>[W221D.4] 플랜징#1 CLAMP 1축(SD237) 에러가 발생했습니다.</v>
      </c>
    </row>
    <row r="520" spans="1:22" s="49" customFormat="1" ht="14.15" customHeight="1">
      <c r="A520" s="43" t="s">
        <v>5600</v>
      </c>
      <c r="B520" s="44" t="s">
        <v>157</v>
      </c>
      <c r="C520" s="50"/>
      <c r="D520" s="10" t="s">
        <v>29</v>
      </c>
      <c r="E520" s="11"/>
      <c r="F520" s="11" t="s">
        <v>18</v>
      </c>
      <c r="G520" s="13"/>
      <c r="H520" s="45" t="s">
        <v>16</v>
      </c>
      <c r="I520" s="47"/>
      <c r="J520" s="12" t="s">
        <v>5044</v>
      </c>
      <c r="K520" s="13" t="s">
        <v>7320</v>
      </c>
      <c r="L520" s="99" t="str">
        <f t="shared" si="32"/>
        <v>W221D.5</v>
      </c>
      <c r="M520" s="13" t="s">
        <v>17</v>
      </c>
      <c r="N520" s="13"/>
      <c r="O520" s="13"/>
      <c r="P520" s="47"/>
      <c r="Q520" s="45" t="s">
        <v>3672</v>
      </c>
      <c r="R520" s="45" t="s">
        <v>5596</v>
      </c>
      <c r="S520" s="48"/>
      <c r="T520" s="49" t="str">
        <f t="shared" si="31"/>
        <v>[W221D.5]</v>
      </c>
      <c r="U520" s="12" t="str">
        <f t="shared" si="34"/>
        <v xml:space="preserve"> 플랜징#1 CLAMP 2축(SD238) 운전중에 Ready가 Off 되었습니다.</v>
      </c>
      <c r="V520" s="49" t="str">
        <f t="shared" si="33"/>
        <v>[W221D.5] 플랜징#1 CLAMP 2축(SD238) 운전중에 Ready가 Off 되었습니다.</v>
      </c>
    </row>
    <row r="521" spans="1:22" s="49" customFormat="1" ht="14.15" customHeight="1">
      <c r="A521" s="43" t="s">
        <v>5600</v>
      </c>
      <c r="B521" s="44" t="s">
        <v>157</v>
      </c>
      <c r="C521" s="50"/>
      <c r="D521" s="10" t="s">
        <v>29</v>
      </c>
      <c r="E521" s="11"/>
      <c r="F521" s="11" t="s">
        <v>18</v>
      </c>
      <c r="G521" s="13"/>
      <c r="H521" s="45" t="s">
        <v>16</v>
      </c>
      <c r="I521" s="47"/>
      <c r="J521" s="12" t="s">
        <v>5045</v>
      </c>
      <c r="K521" s="13" t="s">
        <v>7321</v>
      </c>
      <c r="L521" s="99" t="str">
        <f t="shared" si="32"/>
        <v>W221D.6</v>
      </c>
      <c r="M521" s="13" t="s">
        <v>17</v>
      </c>
      <c r="N521" s="13"/>
      <c r="O521" s="13"/>
      <c r="P521" s="47"/>
      <c r="Q521" s="45" t="s">
        <v>3672</v>
      </c>
      <c r="R521" s="45" t="s">
        <v>5596</v>
      </c>
      <c r="S521" s="48"/>
      <c r="T521" s="49" t="str">
        <f t="shared" si="31"/>
        <v>[W221D.6]</v>
      </c>
      <c r="U521" s="12" t="str">
        <f t="shared" si="34"/>
        <v xml:space="preserve"> 플랜징#1 CLAMP 2축(SD238) FLS가 감지되었습니다.</v>
      </c>
      <c r="V521" s="49" t="str">
        <f t="shared" si="33"/>
        <v>[W221D.6] 플랜징#1 CLAMP 2축(SD238) FLS가 감지되었습니다.</v>
      </c>
    </row>
    <row r="522" spans="1:22" s="49" customFormat="1" ht="14.15" customHeight="1">
      <c r="A522" s="43" t="s">
        <v>5600</v>
      </c>
      <c r="B522" s="44" t="s">
        <v>157</v>
      </c>
      <c r="C522" s="50"/>
      <c r="D522" s="10" t="s">
        <v>29</v>
      </c>
      <c r="E522" s="11"/>
      <c r="F522" s="11" t="s">
        <v>18</v>
      </c>
      <c r="G522" s="13"/>
      <c r="H522" s="45" t="s">
        <v>16</v>
      </c>
      <c r="I522" s="47"/>
      <c r="J522" s="12" t="s">
        <v>5046</v>
      </c>
      <c r="K522" s="13" t="s">
        <v>7322</v>
      </c>
      <c r="L522" s="99" t="str">
        <f t="shared" si="32"/>
        <v>W221D.7</v>
      </c>
      <c r="M522" s="13" t="s">
        <v>17</v>
      </c>
      <c r="N522" s="13"/>
      <c r="O522" s="13"/>
      <c r="P522" s="47"/>
      <c r="Q522" s="45" t="s">
        <v>3672</v>
      </c>
      <c r="R522" s="45" t="s">
        <v>5596</v>
      </c>
      <c r="S522" s="48"/>
      <c r="T522" s="49" t="str">
        <f t="shared" si="31"/>
        <v>[W221D.7]</v>
      </c>
      <c r="U522" s="12" t="str">
        <f t="shared" si="34"/>
        <v xml:space="preserve"> 플랜징#1 CLAMP 2축(SD238) RLS가 감지되었습니다.</v>
      </c>
      <c r="V522" s="49" t="str">
        <f t="shared" si="33"/>
        <v>[W221D.7] 플랜징#1 CLAMP 2축(SD238) RLS가 감지되었습니다.</v>
      </c>
    </row>
    <row r="523" spans="1:22" s="49" customFormat="1" ht="14.15" customHeight="1">
      <c r="A523" s="43" t="s">
        <v>5600</v>
      </c>
      <c r="B523" s="44" t="s">
        <v>157</v>
      </c>
      <c r="C523" s="50"/>
      <c r="D523" s="10" t="s">
        <v>29</v>
      </c>
      <c r="E523" s="11"/>
      <c r="F523" s="11" t="s">
        <v>18</v>
      </c>
      <c r="G523" s="13"/>
      <c r="H523" s="45" t="s">
        <v>16</v>
      </c>
      <c r="I523" s="47"/>
      <c r="J523" s="12" t="s">
        <v>5047</v>
      </c>
      <c r="K523" s="13" t="s">
        <v>7323</v>
      </c>
      <c r="L523" s="99" t="str">
        <f t="shared" si="32"/>
        <v>W221D.8</v>
      </c>
      <c r="M523" s="13" t="s">
        <v>17</v>
      </c>
      <c r="N523" s="13"/>
      <c r="O523" s="13"/>
      <c r="P523" s="47"/>
      <c r="Q523" s="45" t="s">
        <v>3672</v>
      </c>
      <c r="R523" s="45" t="s">
        <v>5596</v>
      </c>
      <c r="S523" s="48"/>
      <c r="T523" s="49" t="str">
        <f t="shared" si="31"/>
        <v>[W221D.8]</v>
      </c>
      <c r="U523" s="12" t="str">
        <f t="shared" si="34"/>
        <v xml:space="preserve"> 플랜징#1 CLAMP 2축(SD238) Stop 명령이 On된 상태에서 기동을 시도했습니다.</v>
      </c>
      <c r="V523" s="49" t="str">
        <f t="shared" si="33"/>
        <v>[W221D.8] 플랜징#1 CLAMP 2축(SD238) Stop 명령이 On된 상태에서 기동을 시도했습니다.</v>
      </c>
    </row>
    <row r="524" spans="1:22" s="49" customFormat="1" ht="14.15" customHeight="1">
      <c r="A524" s="43" t="s">
        <v>5600</v>
      </c>
      <c r="B524" s="44" t="s">
        <v>157</v>
      </c>
      <c r="C524" s="50"/>
      <c r="D524" s="10" t="s">
        <v>29</v>
      </c>
      <c r="E524" s="11"/>
      <c r="F524" s="11" t="s">
        <v>18</v>
      </c>
      <c r="G524" s="13"/>
      <c r="H524" s="45" t="s">
        <v>16</v>
      </c>
      <c r="I524" s="47"/>
      <c r="J524" s="12" t="s">
        <v>5048</v>
      </c>
      <c r="K524" s="13" t="s">
        <v>7324</v>
      </c>
      <c r="L524" s="99" t="str">
        <f t="shared" si="32"/>
        <v>W221D.9</v>
      </c>
      <c r="M524" s="13" t="s">
        <v>17</v>
      </c>
      <c r="N524" s="13"/>
      <c r="O524" s="13"/>
      <c r="P524" s="47"/>
      <c r="Q524" s="45" t="s">
        <v>3672</v>
      </c>
      <c r="R524" s="45" t="s">
        <v>5596</v>
      </c>
      <c r="S524" s="48"/>
      <c r="T524" s="49" t="str">
        <f t="shared" si="31"/>
        <v>[W221D.9]</v>
      </c>
      <c r="U524" s="12" t="str">
        <f t="shared" si="34"/>
        <v xml:space="preserve"> 플랜징#1 CLAMP 2축(SD238) 가동 전원이 Off 되었습니다.</v>
      </c>
      <c r="V524" s="49" t="str">
        <f t="shared" si="33"/>
        <v>[W221D.9] 플랜징#1 CLAMP 2축(SD238) 가동 전원이 Off 되었습니다.</v>
      </c>
    </row>
    <row r="525" spans="1:22" s="49" customFormat="1" ht="14.15" customHeight="1">
      <c r="A525" s="43" t="s">
        <v>5600</v>
      </c>
      <c r="B525" s="44" t="s">
        <v>157</v>
      </c>
      <c r="C525" s="50"/>
      <c r="D525" s="10" t="s">
        <v>29</v>
      </c>
      <c r="E525" s="11"/>
      <c r="F525" s="11" t="s">
        <v>18</v>
      </c>
      <c r="G525" s="13"/>
      <c r="H525" s="45" t="s">
        <v>16</v>
      </c>
      <c r="I525" s="46"/>
      <c r="J525" s="14" t="s">
        <v>5049</v>
      </c>
      <c r="K525" s="13" t="s">
        <v>7325</v>
      </c>
      <c r="L525" s="99" t="str">
        <f t="shared" si="32"/>
        <v>W221D.A</v>
      </c>
      <c r="M525" s="13" t="s">
        <v>17</v>
      </c>
      <c r="N525" s="13"/>
      <c r="O525" s="13"/>
      <c r="P525" s="47"/>
      <c r="Q525" s="45" t="s">
        <v>3672</v>
      </c>
      <c r="R525" s="45" t="s">
        <v>5596</v>
      </c>
      <c r="S525" s="48"/>
      <c r="T525" s="49" t="str">
        <f t="shared" si="31"/>
        <v>[W221D.A]</v>
      </c>
      <c r="U525" s="12" t="str">
        <f t="shared" si="34"/>
        <v xml:space="preserve"> 플랜징#1 CLAMP 2축(SD238) 엔코더 이상이 검출되었습니다.</v>
      </c>
      <c r="V525" s="49" t="str">
        <f t="shared" si="33"/>
        <v>[W221D.A] 플랜징#1 CLAMP 2축(SD238) 엔코더 이상이 검출되었습니다.</v>
      </c>
    </row>
    <row r="526" spans="1:22" s="49" customFormat="1" ht="14.15" customHeight="1">
      <c r="A526" s="43" t="s">
        <v>5600</v>
      </c>
      <c r="B526" s="44" t="s">
        <v>157</v>
      </c>
      <c r="C526" s="50"/>
      <c r="D526" s="10" t="s">
        <v>29</v>
      </c>
      <c r="E526" s="11"/>
      <c r="F526" s="11" t="s">
        <v>18</v>
      </c>
      <c r="G526" s="13"/>
      <c r="H526" s="45" t="s">
        <v>16</v>
      </c>
      <c r="I526" s="46"/>
      <c r="J526" s="14" t="s">
        <v>5050</v>
      </c>
      <c r="K526" s="13" t="s">
        <v>7326</v>
      </c>
      <c r="L526" s="99" t="str">
        <f t="shared" si="32"/>
        <v>W221D.B</v>
      </c>
      <c r="M526" s="13" t="s">
        <v>17</v>
      </c>
      <c r="N526" s="13"/>
      <c r="O526" s="13"/>
      <c r="P526" s="47"/>
      <c r="Q526" s="45" t="s">
        <v>3672</v>
      </c>
      <c r="R526" s="45" t="s">
        <v>5596</v>
      </c>
      <c r="S526" s="48"/>
      <c r="T526" s="49" t="str">
        <f t="shared" si="31"/>
        <v>[W221D.B]</v>
      </c>
      <c r="U526" s="12" t="str">
        <f t="shared" si="34"/>
        <v xml:space="preserve"> 플랜징#1 CLAMP 2축(SD238) 과전류가 검출되었습니다.</v>
      </c>
      <c r="V526" s="49" t="str">
        <f t="shared" si="33"/>
        <v>[W221D.B] 플랜징#1 CLAMP 2축(SD238) 과전류가 검출되었습니다.</v>
      </c>
    </row>
    <row r="527" spans="1:22" s="49" customFormat="1" ht="14.15" customHeight="1">
      <c r="A527" s="43" t="s">
        <v>5600</v>
      </c>
      <c r="B527" s="44" t="s">
        <v>157</v>
      </c>
      <c r="C527" s="50"/>
      <c r="D527" s="10" t="s">
        <v>29</v>
      </c>
      <c r="E527" s="11"/>
      <c r="F527" s="11" t="s">
        <v>18</v>
      </c>
      <c r="G527" s="13"/>
      <c r="H527" s="45" t="s">
        <v>16</v>
      </c>
      <c r="I527" s="46"/>
      <c r="J527" s="14" t="s">
        <v>5051</v>
      </c>
      <c r="K527" s="13" t="s">
        <v>7327</v>
      </c>
      <c r="L527" s="99" t="str">
        <f t="shared" si="32"/>
        <v>W221D.C</v>
      </c>
      <c r="M527" s="13" t="s">
        <v>17</v>
      </c>
      <c r="N527" s="13"/>
      <c r="O527" s="13"/>
      <c r="P527" s="47"/>
      <c r="Q527" s="45" t="s">
        <v>3672</v>
      </c>
      <c r="R527" s="45" t="s">
        <v>5596</v>
      </c>
      <c r="S527" s="48"/>
      <c r="T527" s="49" t="str">
        <f t="shared" si="31"/>
        <v>[W221D.C]</v>
      </c>
      <c r="U527" s="12" t="str">
        <f t="shared" si="34"/>
        <v xml:space="preserve"> 플랜징#1 CLAMP 2축(SD238) 과부하가 검출되었습니다.</v>
      </c>
      <c r="V527" s="49" t="str">
        <f t="shared" si="33"/>
        <v>[W221D.C] 플랜징#1 CLAMP 2축(SD238) 과부하가 검출되었습니다.</v>
      </c>
    </row>
    <row r="528" spans="1:22" s="49" customFormat="1" ht="14.15" customHeight="1">
      <c r="A528" s="43" t="s">
        <v>5600</v>
      </c>
      <c r="B528" s="44" t="s">
        <v>157</v>
      </c>
      <c r="C528" s="50"/>
      <c r="D528" s="10" t="s">
        <v>29</v>
      </c>
      <c r="E528" s="11"/>
      <c r="F528" s="11" t="s">
        <v>18</v>
      </c>
      <c r="G528" s="13"/>
      <c r="H528" s="45" t="s">
        <v>16</v>
      </c>
      <c r="I528" s="46"/>
      <c r="J528" s="14" t="s">
        <v>5052</v>
      </c>
      <c r="K528" s="13" t="s">
        <v>7328</v>
      </c>
      <c r="L528" s="99" t="str">
        <f t="shared" si="32"/>
        <v>W221D.D</v>
      </c>
      <c r="M528" s="13" t="s">
        <v>17</v>
      </c>
      <c r="N528" s="13"/>
      <c r="O528" s="13"/>
      <c r="P528" s="47"/>
      <c r="Q528" s="45" t="s">
        <v>3672</v>
      </c>
      <c r="R528" s="45" t="s">
        <v>5596</v>
      </c>
      <c r="S528" s="48"/>
      <c r="T528" s="49" t="str">
        <f t="shared" si="31"/>
        <v>[W221D.D]</v>
      </c>
      <c r="U528" s="12" t="str">
        <f t="shared" si="34"/>
        <v xml:space="preserve"> 플랜징#1 CLAMP 2축(SD238)  </v>
      </c>
      <c r="V528" s="49" t="str">
        <f t="shared" si="33"/>
        <v xml:space="preserve">[W221D.D] 플랜징#1 CLAMP 2축(SD238)  </v>
      </c>
    </row>
    <row r="529" spans="1:22" s="49" customFormat="1" ht="14.15" customHeight="1">
      <c r="A529" s="43" t="s">
        <v>5600</v>
      </c>
      <c r="B529" s="44" t="s">
        <v>157</v>
      </c>
      <c r="C529" s="50"/>
      <c r="D529" s="10" t="s">
        <v>29</v>
      </c>
      <c r="E529" s="11"/>
      <c r="F529" s="11" t="s">
        <v>18</v>
      </c>
      <c r="G529" s="13"/>
      <c r="H529" s="45" t="s">
        <v>16</v>
      </c>
      <c r="I529" s="46"/>
      <c r="J529" s="14" t="s">
        <v>5053</v>
      </c>
      <c r="K529" s="13" t="s">
        <v>7329</v>
      </c>
      <c r="L529" s="99" t="str">
        <f t="shared" si="32"/>
        <v>W221D.E</v>
      </c>
      <c r="M529" s="13" t="s">
        <v>17</v>
      </c>
      <c r="N529" s="13"/>
      <c r="O529" s="13"/>
      <c r="P529" s="47"/>
      <c r="Q529" s="45" t="s">
        <v>3672</v>
      </c>
      <c r="R529" s="45" t="s">
        <v>5596</v>
      </c>
      <c r="S529" s="48"/>
      <c r="T529" s="49" t="str">
        <f t="shared" si="31"/>
        <v>[W221D.E]</v>
      </c>
      <c r="U529" s="12" t="str">
        <f t="shared" si="34"/>
        <v xml:space="preserve"> 플랜징#1 CLAMP 2축(SD238) 에러가 발생했습니다.</v>
      </c>
      <c r="V529" s="49" t="str">
        <f t="shared" si="33"/>
        <v>[W221D.E] 플랜징#1 CLAMP 2축(SD238) 에러가 발생했습니다.</v>
      </c>
    </row>
    <row r="530" spans="1:22" s="49" customFormat="1" ht="14.15" customHeight="1">
      <c r="A530" s="43" t="s">
        <v>5600</v>
      </c>
      <c r="B530" s="44" t="s">
        <v>157</v>
      </c>
      <c r="C530" s="50"/>
      <c r="D530" s="10" t="s">
        <v>29</v>
      </c>
      <c r="E530" s="11"/>
      <c r="F530" s="11" t="s">
        <v>18</v>
      </c>
      <c r="G530" s="13"/>
      <c r="H530" s="45" t="s">
        <v>16</v>
      </c>
      <c r="I530" s="47"/>
      <c r="J530" s="12" t="s">
        <v>5054</v>
      </c>
      <c r="K530" s="13" t="s">
        <v>7330</v>
      </c>
      <c r="L530" s="99" t="str">
        <f t="shared" si="32"/>
        <v>W221D.F</v>
      </c>
      <c r="M530" s="13" t="s">
        <v>17</v>
      </c>
      <c r="N530" s="13"/>
      <c r="O530" s="13"/>
      <c r="P530" s="47"/>
      <c r="Q530" s="45" t="s">
        <v>3672</v>
      </c>
      <c r="R530" s="45" t="s">
        <v>5596</v>
      </c>
      <c r="S530" s="48"/>
      <c r="T530" s="49" t="str">
        <f t="shared" si="31"/>
        <v>[W221D.F]</v>
      </c>
      <c r="U530" s="12" t="str">
        <f t="shared" si="34"/>
        <v xml:space="preserve"> 플랜징#1 CLAMP 3축(SD239) 운전중에 Ready가 Off 되었습니다.</v>
      </c>
      <c r="V530" s="49" t="str">
        <f t="shared" si="33"/>
        <v>[W221D.F] 플랜징#1 CLAMP 3축(SD239) 운전중에 Ready가 Off 되었습니다.</v>
      </c>
    </row>
    <row r="531" spans="1:22" s="49" customFormat="1" ht="14.15" customHeight="1">
      <c r="A531" s="43" t="s">
        <v>5600</v>
      </c>
      <c r="B531" s="44" t="s">
        <v>157</v>
      </c>
      <c r="C531" s="50"/>
      <c r="D531" s="10" t="s">
        <v>29</v>
      </c>
      <c r="E531" s="11"/>
      <c r="F531" s="11" t="s">
        <v>18</v>
      </c>
      <c r="G531" s="13"/>
      <c r="H531" s="45" t="s">
        <v>16</v>
      </c>
      <c r="I531" s="47"/>
      <c r="J531" s="12" t="s">
        <v>5055</v>
      </c>
      <c r="K531" s="13" t="s">
        <v>7331</v>
      </c>
      <c r="L531" s="99" t="str">
        <f t="shared" si="32"/>
        <v>W221E.0</v>
      </c>
      <c r="M531" s="13" t="s">
        <v>17</v>
      </c>
      <c r="N531" s="13"/>
      <c r="O531" s="13"/>
      <c r="P531" s="47"/>
      <c r="Q531" s="45" t="s">
        <v>3672</v>
      </c>
      <c r="R531" s="45" t="s">
        <v>5596</v>
      </c>
      <c r="S531" s="48"/>
      <c r="T531" s="49" t="str">
        <f t="shared" si="31"/>
        <v>[W221E.0]</v>
      </c>
      <c r="U531" s="12" t="str">
        <f t="shared" si="34"/>
        <v xml:space="preserve"> 플랜징#1 CLAMP 3축(SD239) FLS가 감지되었습니다.</v>
      </c>
      <c r="V531" s="49" t="str">
        <f t="shared" si="33"/>
        <v>[W221E.0] 플랜징#1 CLAMP 3축(SD239) FLS가 감지되었습니다.</v>
      </c>
    </row>
    <row r="532" spans="1:22" s="49" customFormat="1" ht="14.15" customHeight="1">
      <c r="A532" s="43" t="s">
        <v>5600</v>
      </c>
      <c r="B532" s="44" t="s">
        <v>157</v>
      </c>
      <c r="C532" s="50"/>
      <c r="D532" s="10" t="s">
        <v>29</v>
      </c>
      <c r="E532" s="11"/>
      <c r="F532" s="11" t="s">
        <v>18</v>
      </c>
      <c r="G532" s="13"/>
      <c r="H532" s="45" t="s">
        <v>16</v>
      </c>
      <c r="I532" s="47"/>
      <c r="J532" s="12" t="s">
        <v>5056</v>
      </c>
      <c r="K532" s="13" t="s">
        <v>7332</v>
      </c>
      <c r="L532" s="99" t="str">
        <f t="shared" si="32"/>
        <v>W221E.1</v>
      </c>
      <c r="M532" s="13" t="s">
        <v>17</v>
      </c>
      <c r="N532" s="13"/>
      <c r="O532" s="13"/>
      <c r="P532" s="47"/>
      <c r="Q532" s="45" t="s">
        <v>3672</v>
      </c>
      <c r="R532" s="45" t="s">
        <v>5596</v>
      </c>
      <c r="S532" s="48"/>
      <c r="T532" s="49" t="str">
        <f t="shared" si="31"/>
        <v>[W221E.1]</v>
      </c>
      <c r="U532" s="12" t="str">
        <f t="shared" si="34"/>
        <v xml:space="preserve"> 플랜징#1 CLAMP 3축(SD239) RLS가 감지되었습니다.</v>
      </c>
      <c r="V532" s="49" t="str">
        <f t="shared" si="33"/>
        <v>[W221E.1] 플랜징#1 CLAMP 3축(SD239) RLS가 감지되었습니다.</v>
      </c>
    </row>
    <row r="533" spans="1:22" s="49" customFormat="1" ht="14.15" customHeight="1">
      <c r="A533" s="43" t="s">
        <v>5600</v>
      </c>
      <c r="B533" s="44" t="s">
        <v>157</v>
      </c>
      <c r="C533" s="50"/>
      <c r="D533" s="10" t="s">
        <v>29</v>
      </c>
      <c r="E533" s="11"/>
      <c r="F533" s="11" t="s">
        <v>18</v>
      </c>
      <c r="G533" s="13"/>
      <c r="H533" s="45" t="s">
        <v>16</v>
      </c>
      <c r="I533" s="47"/>
      <c r="J533" s="12" t="s">
        <v>5057</v>
      </c>
      <c r="K533" s="13" t="s">
        <v>7333</v>
      </c>
      <c r="L533" s="99" t="str">
        <f t="shared" si="32"/>
        <v>W221E.2</v>
      </c>
      <c r="M533" s="13" t="s">
        <v>17</v>
      </c>
      <c r="N533" s="13"/>
      <c r="O533" s="13"/>
      <c r="P533" s="47"/>
      <c r="Q533" s="45" t="s">
        <v>3672</v>
      </c>
      <c r="R533" s="45" t="s">
        <v>5596</v>
      </c>
      <c r="S533" s="48"/>
      <c r="T533" s="49" t="str">
        <f t="shared" si="31"/>
        <v>[W221E.2]</v>
      </c>
      <c r="U533" s="12" t="str">
        <f t="shared" si="34"/>
        <v xml:space="preserve"> 플랜징#1 CLAMP 3축(SD239) Stop 명령이 On된 상태에서 기동을 시도했습니다.</v>
      </c>
      <c r="V533" s="49" t="str">
        <f t="shared" si="33"/>
        <v>[W221E.2] 플랜징#1 CLAMP 3축(SD239) Stop 명령이 On된 상태에서 기동을 시도했습니다.</v>
      </c>
    </row>
    <row r="534" spans="1:22" s="49" customFormat="1" ht="14.15" customHeight="1">
      <c r="A534" s="43" t="s">
        <v>5600</v>
      </c>
      <c r="B534" s="44" t="s">
        <v>157</v>
      </c>
      <c r="C534" s="50"/>
      <c r="D534" s="10" t="s">
        <v>29</v>
      </c>
      <c r="E534" s="11"/>
      <c r="F534" s="11" t="s">
        <v>18</v>
      </c>
      <c r="G534" s="13"/>
      <c r="H534" s="45" t="s">
        <v>16</v>
      </c>
      <c r="I534" s="47"/>
      <c r="J534" s="12" t="s">
        <v>5058</v>
      </c>
      <c r="K534" s="13" t="s">
        <v>7334</v>
      </c>
      <c r="L534" s="99" t="str">
        <f t="shared" si="32"/>
        <v>W221E.3</v>
      </c>
      <c r="M534" s="13" t="s">
        <v>17</v>
      </c>
      <c r="N534" s="13"/>
      <c r="O534" s="13"/>
      <c r="P534" s="47"/>
      <c r="Q534" s="45" t="s">
        <v>3672</v>
      </c>
      <c r="R534" s="45" t="s">
        <v>5596</v>
      </c>
      <c r="S534" s="48"/>
      <c r="T534" s="49" t="str">
        <f t="shared" si="31"/>
        <v>[W221E.3]</v>
      </c>
      <c r="U534" s="12" t="str">
        <f t="shared" si="34"/>
        <v xml:space="preserve"> 플랜징#1 CLAMP 3축(SD239) 가동 전원이 Off 되었습니다.</v>
      </c>
      <c r="V534" s="49" t="str">
        <f t="shared" si="33"/>
        <v>[W221E.3] 플랜징#1 CLAMP 3축(SD239) 가동 전원이 Off 되었습니다.</v>
      </c>
    </row>
    <row r="535" spans="1:22" s="49" customFormat="1" ht="14.15" customHeight="1">
      <c r="A535" s="43" t="s">
        <v>5600</v>
      </c>
      <c r="B535" s="44" t="s">
        <v>157</v>
      </c>
      <c r="C535" s="50"/>
      <c r="D535" s="10" t="s">
        <v>29</v>
      </c>
      <c r="E535" s="11"/>
      <c r="F535" s="11" t="s">
        <v>18</v>
      </c>
      <c r="G535" s="13"/>
      <c r="H535" s="45" t="s">
        <v>16</v>
      </c>
      <c r="I535" s="47"/>
      <c r="J535" s="12" t="s">
        <v>5059</v>
      </c>
      <c r="K535" s="13" t="s">
        <v>7335</v>
      </c>
      <c r="L535" s="99" t="str">
        <f t="shared" si="32"/>
        <v>W221E.4</v>
      </c>
      <c r="M535" s="13" t="s">
        <v>17</v>
      </c>
      <c r="N535" s="13"/>
      <c r="O535" s="13"/>
      <c r="P535" s="47"/>
      <c r="Q535" s="45" t="s">
        <v>3672</v>
      </c>
      <c r="R535" s="45" t="s">
        <v>5596</v>
      </c>
      <c r="S535" s="48"/>
      <c r="T535" s="49" t="str">
        <f t="shared" si="31"/>
        <v>[W221E.4]</v>
      </c>
      <c r="U535" s="12" t="str">
        <f t="shared" si="34"/>
        <v xml:space="preserve"> 플랜징#1 CLAMP 3축(SD239) 엔코더 이상이 검출되었습니다.</v>
      </c>
      <c r="V535" s="49" t="str">
        <f t="shared" si="33"/>
        <v>[W221E.4] 플랜징#1 CLAMP 3축(SD239) 엔코더 이상이 검출되었습니다.</v>
      </c>
    </row>
    <row r="536" spans="1:22" s="49" customFormat="1" ht="14.15" customHeight="1">
      <c r="A536" s="43" t="s">
        <v>5600</v>
      </c>
      <c r="B536" s="44" t="s">
        <v>157</v>
      </c>
      <c r="C536" s="50"/>
      <c r="D536" s="10" t="s">
        <v>29</v>
      </c>
      <c r="E536" s="11"/>
      <c r="F536" s="11" t="s">
        <v>18</v>
      </c>
      <c r="G536" s="13"/>
      <c r="H536" s="45" t="s">
        <v>16</v>
      </c>
      <c r="I536" s="47"/>
      <c r="J536" s="12" t="s">
        <v>5060</v>
      </c>
      <c r="K536" s="13" t="s">
        <v>7336</v>
      </c>
      <c r="L536" s="99" t="str">
        <f t="shared" si="32"/>
        <v>W221E.5</v>
      </c>
      <c r="M536" s="13" t="s">
        <v>17</v>
      </c>
      <c r="N536" s="13"/>
      <c r="O536" s="13"/>
      <c r="P536" s="47"/>
      <c r="Q536" s="45" t="s">
        <v>3672</v>
      </c>
      <c r="R536" s="45" t="s">
        <v>5596</v>
      </c>
      <c r="S536" s="48"/>
      <c r="T536" s="49" t="str">
        <f t="shared" si="31"/>
        <v>[W221E.5]</v>
      </c>
      <c r="U536" s="12" t="str">
        <f t="shared" si="34"/>
        <v xml:space="preserve"> 플랜징#1 CLAMP 3축(SD239) 과전류가 검출되었습니다.</v>
      </c>
      <c r="V536" s="49" t="str">
        <f t="shared" si="33"/>
        <v>[W221E.5] 플랜징#1 CLAMP 3축(SD239) 과전류가 검출되었습니다.</v>
      </c>
    </row>
    <row r="537" spans="1:22" s="49" customFormat="1" ht="14.15" customHeight="1">
      <c r="A537" s="43" t="s">
        <v>5600</v>
      </c>
      <c r="B537" s="44" t="s">
        <v>157</v>
      </c>
      <c r="C537" s="50"/>
      <c r="D537" s="10" t="s">
        <v>29</v>
      </c>
      <c r="E537" s="11"/>
      <c r="F537" s="11" t="s">
        <v>18</v>
      </c>
      <c r="G537" s="13"/>
      <c r="H537" s="45" t="s">
        <v>16</v>
      </c>
      <c r="I537" s="47"/>
      <c r="J537" s="12" t="s">
        <v>5061</v>
      </c>
      <c r="K537" s="13" t="s">
        <v>7337</v>
      </c>
      <c r="L537" s="99" t="str">
        <f t="shared" si="32"/>
        <v>W221E.6</v>
      </c>
      <c r="M537" s="13" t="s">
        <v>17</v>
      </c>
      <c r="N537" s="13"/>
      <c r="O537" s="13"/>
      <c r="P537" s="47"/>
      <c r="Q537" s="45" t="s">
        <v>3672</v>
      </c>
      <c r="R537" s="45" t="s">
        <v>5596</v>
      </c>
      <c r="S537" s="48"/>
      <c r="T537" s="49" t="str">
        <f t="shared" si="31"/>
        <v>[W221E.6]</v>
      </c>
      <c r="U537" s="12" t="str">
        <f t="shared" si="34"/>
        <v xml:space="preserve"> 플랜징#1 CLAMP 3축(SD239) 과부하가 검출되었습니다.</v>
      </c>
      <c r="V537" s="49" t="str">
        <f t="shared" si="33"/>
        <v>[W221E.6] 플랜징#1 CLAMP 3축(SD239) 과부하가 검출되었습니다.</v>
      </c>
    </row>
    <row r="538" spans="1:22" s="49" customFormat="1" ht="14.15" customHeight="1">
      <c r="A538" s="43" t="s">
        <v>5600</v>
      </c>
      <c r="B538" s="44" t="s">
        <v>157</v>
      </c>
      <c r="C538" s="50"/>
      <c r="D538" s="10" t="s">
        <v>29</v>
      </c>
      <c r="E538" s="11"/>
      <c r="F538" s="11" t="s">
        <v>18</v>
      </c>
      <c r="G538" s="13"/>
      <c r="H538" s="45" t="s">
        <v>16</v>
      </c>
      <c r="I538" s="47"/>
      <c r="J538" s="12" t="s">
        <v>5062</v>
      </c>
      <c r="K538" s="13" t="s">
        <v>7338</v>
      </c>
      <c r="L538" s="99" t="str">
        <f t="shared" si="32"/>
        <v>W221E.7</v>
      </c>
      <c r="M538" s="13" t="s">
        <v>17</v>
      </c>
      <c r="N538" s="13"/>
      <c r="O538" s="13"/>
      <c r="P538" s="47"/>
      <c r="Q538" s="45" t="s">
        <v>3672</v>
      </c>
      <c r="R538" s="45" t="s">
        <v>5596</v>
      </c>
      <c r="S538" s="48"/>
      <c r="T538" s="49" t="str">
        <f t="shared" si="31"/>
        <v>[W221E.7]</v>
      </c>
      <c r="U538" s="12" t="str">
        <f t="shared" si="34"/>
        <v xml:space="preserve"> 플랜징#1 CLAMP 3축(SD239)  </v>
      </c>
      <c r="V538" s="49" t="str">
        <f t="shared" si="33"/>
        <v xml:space="preserve">[W221E.7] 플랜징#1 CLAMP 3축(SD239)  </v>
      </c>
    </row>
    <row r="539" spans="1:22" s="49" customFormat="1" ht="14.15" customHeight="1">
      <c r="A539" s="43" t="s">
        <v>5600</v>
      </c>
      <c r="B539" s="44" t="s">
        <v>157</v>
      </c>
      <c r="C539" s="50"/>
      <c r="D539" s="10" t="s">
        <v>29</v>
      </c>
      <c r="E539" s="11"/>
      <c r="F539" s="11" t="s">
        <v>18</v>
      </c>
      <c r="G539" s="13"/>
      <c r="H539" s="45" t="s">
        <v>16</v>
      </c>
      <c r="I539" s="47"/>
      <c r="J539" s="12" t="s">
        <v>5063</v>
      </c>
      <c r="K539" s="13" t="s">
        <v>7339</v>
      </c>
      <c r="L539" s="99" t="str">
        <f t="shared" si="32"/>
        <v>W221E.8</v>
      </c>
      <c r="M539" s="13" t="s">
        <v>17</v>
      </c>
      <c r="N539" s="13"/>
      <c r="O539" s="13"/>
      <c r="P539" s="47"/>
      <c r="Q539" s="45" t="s">
        <v>3672</v>
      </c>
      <c r="R539" s="45" t="s">
        <v>5596</v>
      </c>
      <c r="S539" s="48"/>
      <c r="T539" s="49" t="str">
        <f>"["&amp;L509&amp;"]"</f>
        <v>[W221C.A]</v>
      </c>
      <c r="U539" s="12" t="str">
        <f>RIGHT(J509,LEN(J509)-7)</f>
        <v xml:space="preserve"> 시밍#1 MOLD UPPER X2축(SD236) 에러가 발생했습니다.</v>
      </c>
      <c r="V539" s="49" t="str">
        <f>T509&amp;U509</f>
        <v>[W221C.A] 시밍#1 MOLD UPPER X2축(SD236) 에러가 발생했습니다.</v>
      </c>
    </row>
    <row r="540" spans="1:22" s="49" customFormat="1" ht="14.15" customHeight="1">
      <c r="A540" s="43" t="s">
        <v>5600</v>
      </c>
      <c r="B540" s="44" t="s">
        <v>157</v>
      </c>
      <c r="C540" s="50"/>
      <c r="D540" s="10" t="s">
        <v>29</v>
      </c>
      <c r="E540" s="11"/>
      <c r="F540" s="11" t="s">
        <v>18</v>
      </c>
      <c r="G540" s="13"/>
      <c r="H540" s="45" t="s">
        <v>16</v>
      </c>
      <c r="I540" s="47"/>
      <c r="J540" s="12" t="s">
        <v>5064</v>
      </c>
      <c r="K540" s="13" t="s">
        <v>7340</v>
      </c>
      <c r="L540" s="99" t="str">
        <f t="shared" si="32"/>
        <v>W221E.9</v>
      </c>
      <c r="M540" s="13" t="s">
        <v>17</v>
      </c>
      <c r="N540" s="13"/>
      <c r="O540" s="13"/>
      <c r="P540" s="47"/>
      <c r="Q540" s="45" t="s">
        <v>3672</v>
      </c>
      <c r="R540" s="45" t="s">
        <v>5596</v>
      </c>
      <c r="S540" s="48"/>
      <c r="T540" s="49" t="str">
        <f t="shared" si="31"/>
        <v>[W221E.9]</v>
      </c>
      <c r="U540" s="12" t="str">
        <f t="shared" si="34"/>
        <v xml:space="preserve"> 플랜징#1 BENDING Z축(SD240) 운전중에 Ready가 Off 되었습니다.</v>
      </c>
      <c r="V540" s="49" t="str">
        <f t="shared" si="33"/>
        <v>[W221E.9] 플랜징#1 BENDING Z축(SD240) 운전중에 Ready가 Off 되었습니다.</v>
      </c>
    </row>
    <row r="541" spans="1:22" s="49" customFormat="1" ht="14.15" customHeight="1">
      <c r="A541" s="43" t="s">
        <v>5600</v>
      </c>
      <c r="B541" s="44" t="s">
        <v>157</v>
      </c>
      <c r="C541" s="50"/>
      <c r="D541" s="10" t="s">
        <v>29</v>
      </c>
      <c r="E541" s="11"/>
      <c r="F541" s="11" t="s">
        <v>18</v>
      </c>
      <c r="G541" s="13"/>
      <c r="H541" s="45" t="s">
        <v>16</v>
      </c>
      <c r="I541" s="47"/>
      <c r="J541" s="12" t="s">
        <v>5065</v>
      </c>
      <c r="K541" s="13" t="s">
        <v>7341</v>
      </c>
      <c r="L541" s="99" t="str">
        <f t="shared" si="32"/>
        <v>W221E.A</v>
      </c>
      <c r="M541" s="13" t="s">
        <v>17</v>
      </c>
      <c r="N541" s="13"/>
      <c r="O541" s="13"/>
      <c r="P541" s="47"/>
      <c r="Q541" s="45" t="s">
        <v>3672</v>
      </c>
      <c r="R541" s="45" t="s">
        <v>5596</v>
      </c>
      <c r="S541" s="48"/>
      <c r="T541" s="49" t="str">
        <f t="shared" si="31"/>
        <v>[W221E.A]</v>
      </c>
      <c r="U541" s="12" t="str">
        <f t="shared" si="34"/>
        <v xml:space="preserve"> 플랜징#1 BENDING Z축(SD240) FLS가 감지되었습니다.</v>
      </c>
      <c r="V541" s="49" t="str">
        <f t="shared" si="33"/>
        <v>[W221E.A] 플랜징#1 BENDING Z축(SD240) FLS가 감지되었습니다.</v>
      </c>
    </row>
    <row r="542" spans="1:22" s="49" customFormat="1" ht="14.15" customHeight="1">
      <c r="A542" s="43" t="s">
        <v>5600</v>
      </c>
      <c r="B542" s="44" t="s">
        <v>157</v>
      </c>
      <c r="C542" s="50"/>
      <c r="D542" s="10" t="s">
        <v>29</v>
      </c>
      <c r="E542" s="11"/>
      <c r="F542" s="11" t="s">
        <v>18</v>
      </c>
      <c r="G542" s="13"/>
      <c r="H542" s="45" t="s">
        <v>16</v>
      </c>
      <c r="I542" s="47"/>
      <c r="J542" s="12" t="s">
        <v>5066</v>
      </c>
      <c r="K542" s="13" t="s">
        <v>7342</v>
      </c>
      <c r="L542" s="99" t="str">
        <f t="shared" si="32"/>
        <v>W221E.B</v>
      </c>
      <c r="M542" s="13" t="s">
        <v>17</v>
      </c>
      <c r="N542" s="13"/>
      <c r="O542" s="13"/>
      <c r="P542" s="47"/>
      <c r="Q542" s="45" t="s">
        <v>3672</v>
      </c>
      <c r="R542" s="45" t="s">
        <v>5596</v>
      </c>
      <c r="S542" s="48"/>
      <c r="T542" s="49" t="str">
        <f t="shared" si="31"/>
        <v>[W221E.B]</v>
      </c>
      <c r="U542" s="12" t="str">
        <f t="shared" si="34"/>
        <v xml:space="preserve"> 플랜징#1 BENDING Z축(SD240) RLS가 감지되었습니다.</v>
      </c>
      <c r="V542" s="49" t="str">
        <f t="shared" si="33"/>
        <v>[W221E.B] 플랜징#1 BENDING Z축(SD240) RLS가 감지되었습니다.</v>
      </c>
    </row>
    <row r="543" spans="1:22" s="49" customFormat="1" ht="14.15" customHeight="1">
      <c r="A543" s="43" t="s">
        <v>5600</v>
      </c>
      <c r="B543" s="44" t="s">
        <v>157</v>
      </c>
      <c r="C543" s="50"/>
      <c r="D543" s="10" t="s">
        <v>29</v>
      </c>
      <c r="E543" s="11"/>
      <c r="F543" s="11" t="s">
        <v>18</v>
      </c>
      <c r="G543" s="13"/>
      <c r="H543" s="45" t="s">
        <v>16</v>
      </c>
      <c r="I543" s="47"/>
      <c r="J543" s="12" t="s">
        <v>5067</v>
      </c>
      <c r="K543" s="13" t="s">
        <v>7343</v>
      </c>
      <c r="L543" s="99" t="str">
        <f t="shared" si="32"/>
        <v>W221E.C</v>
      </c>
      <c r="M543" s="13" t="s">
        <v>17</v>
      </c>
      <c r="N543" s="13"/>
      <c r="O543" s="13"/>
      <c r="P543" s="47"/>
      <c r="Q543" s="45" t="s">
        <v>3672</v>
      </c>
      <c r="R543" s="45" t="s">
        <v>5596</v>
      </c>
      <c r="S543" s="48"/>
      <c r="T543" s="49" t="str">
        <f t="shared" si="31"/>
        <v>[W221E.C]</v>
      </c>
      <c r="U543" s="12" t="str">
        <f t="shared" si="34"/>
        <v xml:space="preserve"> 플랜징#1 BENDING Z축(SD240) Stop 명령이 On된 상태에서 기동을 시도했습니다.</v>
      </c>
      <c r="V543" s="49" t="str">
        <f t="shared" si="33"/>
        <v>[W221E.C] 플랜징#1 BENDING Z축(SD240) Stop 명령이 On된 상태에서 기동을 시도했습니다.</v>
      </c>
    </row>
    <row r="544" spans="1:22" s="49" customFormat="1" ht="14.15" customHeight="1">
      <c r="A544" s="43" t="s">
        <v>5600</v>
      </c>
      <c r="B544" s="44" t="s">
        <v>157</v>
      </c>
      <c r="C544" s="50"/>
      <c r="D544" s="10" t="s">
        <v>29</v>
      </c>
      <c r="E544" s="11"/>
      <c r="F544" s="11" t="s">
        <v>18</v>
      </c>
      <c r="G544" s="13"/>
      <c r="H544" s="45" t="s">
        <v>16</v>
      </c>
      <c r="I544" s="47"/>
      <c r="J544" s="12" t="s">
        <v>5068</v>
      </c>
      <c r="K544" s="13" t="s">
        <v>7344</v>
      </c>
      <c r="L544" s="99" t="str">
        <f t="shared" si="32"/>
        <v>W221E.D</v>
      </c>
      <c r="M544" s="13" t="s">
        <v>17</v>
      </c>
      <c r="N544" s="13"/>
      <c r="O544" s="13"/>
      <c r="P544" s="47"/>
      <c r="Q544" s="45" t="s">
        <v>3672</v>
      </c>
      <c r="R544" s="45" t="s">
        <v>5596</v>
      </c>
      <c r="S544" s="48"/>
      <c r="T544" s="49" t="str">
        <f t="shared" si="31"/>
        <v>[W221E.D]</v>
      </c>
      <c r="U544" s="12" t="str">
        <f t="shared" si="34"/>
        <v xml:space="preserve"> 플랜징#1 BENDING Z축(SD240) 가동 전원이 Off 되었습니다.</v>
      </c>
      <c r="V544" s="49" t="str">
        <f t="shared" si="33"/>
        <v>[W221E.D] 플랜징#1 BENDING Z축(SD240) 가동 전원이 Off 되었습니다.</v>
      </c>
    </row>
    <row r="545" spans="1:22" s="49" customFormat="1" ht="14.15" customHeight="1">
      <c r="A545" s="43" t="s">
        <v>5600</v>
      </c>
      <c r="B545" s="44" t="s">
        <v>157</v>
      </c>
      <c r="C545" s="50"/>
      <c r="D545" s="10" t="s">
        <v>29</v>
      </c>
      <c r="E545" s="11"/>
      <c r="F545" s="11" t="s">
        <v>18</v>
      </c>
      <c r="G545" s="13"/>
      <c r="H545" s="45" t="s">
        <v>16</v>
      </c>
      <c r="I545" s="47"/>
      <c r="J545" s="12" t="s">
        <v>5069</v>
      </c>
      <c r="K545" s="13" t="s">
        <v>7345</v>
      </c>
      <c r="L545" s="99" t="str">
        <f t="shared" si="32"/>
        <v>W221E.E</v>
      </c>
      <c r="M545" s="13" t="s">
        <v>17</v>
      </c>
      <c r="N545" s="13"/>
      <c r="O545" s="13"/>
      <c r="P545" s="47"/>
      <c r="Q545" s="45" t="s">
        <v>3672</v>
      </c>
      <c r="R545" s="45" t="s">
        <v>5596</v>
      </c>
      <c r="S545" s="48"/>
      <c r="T545" s="49" t="str">
        <f t="shared" si="31"/>
        <v>[W221E.E]</v>
      </c>
      <c r="U545" s="12" t="str">
        <f t="shared" si="34"/>
        <v xml:space="preserve"> 플랜징#1 BENDING Z축(SD240) 엔코더 이상이 검출되었습니다.</v>
      </c>
      <c r="V545" s="49" t="str">
        <f t="shared" si="33"/>
        <v>[W221E.E] 플랜징#1 BENDING Z축(SD240) 엔코더 이상이 검출되었습니다.</v>
      </c>
    </row>
    <row r="546" spans="1:22" s="49" customFormat="1" ht="14.15" customHeight="1">
      <c r="A546" s="43" t="s">
        <v>5600</v>
      </c>
      <c r="B546" s="44" t="s">
        <v>157</v>
      </c>
      <c r="C546" s="50"/>
      <c r="D546" s="10" t="s">
        <v>29</v>
      </c>
      <c r="E546" s="11"/>
      <c r="F546" s="11" t="s">
        <v>18</v>
      </c>
      <c r="G546" s="13"/>
      <c r="H546" s="45" t="s">
        <v>16</v>
      </c>
      <c r="I546" s="47"/>
      <c r="J546" s="12" t="s">
        <v>5070</v>
      </c>
      <c r="K546" s="13" t="s">
        <v>7346</v>
      </c>
      <c r="L546" s="99" t="str">
        <f t="shared" si="32"/>
        <v>W221E.F</v>
      </c>
      <c r="M546" s="13" t="s">
        <v>17</v>
      </c>
      <c r="N546" s="13"/>
      <c r="O546" s="13"/>
      <c r="P546" s="47"/>
      <c r="Q546" s="45" t="s">
        <v>3672</v>
      </c>
      <c r="R546" s="45" t="s">
        <v>5596</v>
      </c>
      <c r="S546" s="48"/>
      <c r="T546" s="49" t="str">
        <f t="shared" si="31"/>
        <v>[W221E.F]</v>
      </c>
      <c r="U546" s="12" t="str">
        <f t="shared" si="34"/>
        <v xml:space="preserve"> 플랜징#1 BENDING Z축(SD240) 과전류가 검출되었습니다.</v>
      </c>
      <c r="V546" s="49" t="str">
        <f t="shared" si="33"/>
        <v>[W221E.F] 플랜징#1 BENDING Z축(SD240) 과전류가 검출되었습니다.</v>
      </c>
    </row>
    <row r="547" spans="1:22" s="49" customFormat="1" ht="14.15" customHeight="1">
      <c r="A547" s="43" t="s">
        <v>5600</v>
      </c>
      <c r="B547" s="44" t="s">
        <v>157</v>
      </c>
      <c r="C547" s="50"/>
      <c r="D547" s="10" t="s">
        <v>29</v>
      </c>
      <c r="E547" s="11"/>
      <c r="F547" s="11" t="s">
        <v>18</v>
      </c>
      <c r="G547" s="13"/>
      <c r="H547" s="45" t="s">
        <v>16</v>
      </c>
      <c r="I547" s="47"/>
      <c r="J547" s="12" t="s">
        <v>5071</v>
      </c>
      <c r="K547" s="13" t="s">
        <v>7347</v>
      </c>
      <c r="L547" s="99" t="str">
        <f t="shared" si="32"/>
        <v>W221F.0</v>
      </c>
      <c r="M547" s="13" t="s">
        <v>17</v>
      </c>
      <c r="N547" s="13"/>
      <c r="O547" s="13"/>
      <c r="P547" s="47"/>
      <c r="Q547" s="45" t="s">
        <v>3672</v>
      </c>
      <c r="R547" s="45" t="s">
        <v>5596</v>
      </c>
      <c r="S547" s="48"/>
      <c r="T547" s="49" t="str">
        <f t="shared" si="31"/>
        <v>[W221F.0]</v>
      </c>
      <c r="U547" s="12" t="str">
        <f t="shared" si="34"/>
        <v xml:space="preserve"> 플랜징#1 BENDING Z축(SD240) 과부하가 검출되었습니다.</v>
      </c>
      <c r="V547" s="49" t="str">
        <f t="shared" si="33"/>
        <v>[W221F.0] 플랜징#1 BENDING Z축(SD240) 과부하가 검출되었습니다.</v>
      </c>
    </row>
    <row r="548" spans="1:22" s="49" customFormat="1" ht="14.15" customHeight="1">
      <c r="A548" s="43" t="s">
        <v>5600</v>
      </c>
      <c r="B548" s="44" t="s">
        <v>157</v>
      </c>
      <c r="C548" s="50"/>
      <c r="D548" s="10" t="s">
        <v>29</v>
      </c>
      <c r="E548" s="11"/>
      <c r="F548" s="11" t="s">
        <v>18</v>
      </c>
      <c r="G548" s="13"/>
      <c r="H548" s="45" t="s">
        <v>16</v>
      </c>
      <c r="I548" s="47"/>
      <c r="J548" s="12" t="s">
        <v>5072</v>
      </c>
      <c r="K548" s="13" t="s">
        <v>7348</v>
      </c>
      <c r="L548" s="99" t="str">
        <f t="shared" si="32"/>
        <v>W221F.1</v>
      </c>
      <c r="M548" s="13" t="s">
        <v>17</v>
      </c>
      <c r="N548" s="13"/>
      <c r="O548" s="13"/>
      <c r="P548" s="47"/>
      <c r="Q548" s="45" t="s">
        <v>3672</v>
      </c>
      <c r="R548" s="45" t="s">
        <v>5596</v>
      </c>
      <c r="S548" s="48"/>
      <c r="T548" s="49" t="str">
        <f t="shared" si="31"/>
        <v>[W221F.1]</v>
      </c>
      <c r="U548" s="12" t="str">
        <f t="shared" si="34"/>
        <v xml:space="preserve"> 플랜징#1 BENDING Z축(SD240)  </v>
      </c>
      <c r="V548" s="49" t="str">
        <f t="shared" si="33"/>
        <v xml:space="preserve">[W221F.1] 플랜징#1 BENDING Z축(SD240)  </v>
      </c>
    </row>
    <row r="549" spans="1:22" s="49" customFormat="1" ht="14.15" customHeight="1">
      <c r="A549" s="43" t="s">
        <v>5600</v>
      </c>
      <c r="B549" s="44" t="s">
        <v>157</v>
      </c>
      <c r="C549" s="50"/>
      <c r="D549" s="10" t="s">
        <v>29</v>
      </c>
      <c r="E549" s="11"/>
      <c r="F549" s="11" t="s">
        <v>18</v>
      </c>
      <c r="G549" s="13"/>
      <c r="H549" s="45" t="s">
        <v>16</v>
      </c>
      <c r="I549" s="47"/>
      <c r="J549" s="12" t="s">
        <v>5073</v>
      </c>
      <c r="K549" s="13" t="s">
        <v>7349</v>
      </c>
      <c r="L549" s="99" t="str">
        <f t="shared" si="32"/>
        <v>W221F.2</v>
      </c>
      <c r="M549" s="13" t="s">
        <v>17</v>
      </c>
      <c r="N549" s="13"/>
      <c r="O549" s="13"/>
      <c r="P549" s="47"/>
      <c r="Q549" s="45" t="s">
        <v>3672</v>
      </c>
      <c r="R549" s="45" t="s">
        <v>5596</v>
      </c>
      <c r="S549" s="48"/>
      <c r="T549" s="49" t="str">
        <f t="shared" si="31"/>
        <v>[W221F.2]</v>
      </c>
      <c r="U549" s="12" t="str">
        <f t="shared" si="34"/>
        <v xml:space="preserve"> 플랜징#1 BENDING Z축(SD240) 에러가 발생했습니다.</v>
      </c>
      <c r="V549" s="49" t="str">
        <f t="shared" si="33"/>
        <v>[W221F.2] 플랜징#1 BENDING Z축(SD240) 에러가 발생했습니다.</v>
      </c>
    </row>
    <row r="550" spans="1:22" s="49" customFormat="1" ht="14.15" customHeight="1">
      <c r="A550" s="43" t="s">
        <v>5599</v>
      </c>
      <c r="B550" s="44" t="s">
        <v>157</v>
      </c>
      <c r="C550" s="50"/>
      <c r="D550" s="10" t="s">
        <v>29</v>
      </c>
      <c r="E550" s="11"/>
      <c r="F550" s="11" t="s">
        <v>18</v>
      </c>
      <c r="G550" s="13"/>
      <c r="H550" s="45" t="s">
        <v>16</v>
      </c>
      <c r="I550" s="47"/>
      <c r="J550" s="12" t="s">
        <v>5074</v>
      </c>
      <c r="K550" s="13" t="s">
        <v>7350</v>
      </c>
      <c r="L550" s="99" t="str">
        <f t="shared" si="32"/>
        <v>W221F.3</v>
      </c>
      <c r="M550" s="13" t="s">
        <v>17</v>
      </c>
      <c r="N550" s="13"/>
      <c r="O550" s="13"/>
      <c r="P550" s="47"/>
      <c r="Q550" s="45" t="s">
        <v>3672</v>
      </c>
      <c r="R550" s="45" t="s">
        <v>5596</v>
      </c>
      <c r="S550" s="48"/>
      <c r="T550" s="49" t="str">
        <f t="shared" si="31"/>
        <v>[W221F.3]</v>
      </c>
      <c r="U550" s="12" t="str">
        <f t="shared" si="34"/>
        <v xml:space="preserve"> 시밍#2 HEAD LOWER X1축(SD241) 운전중에 Ready가 Off 되었습니다.</v>
      </c>
      <c r="V550" s="49" t="str">
        <f t="shared" si="33"/>
        <v>[W221F.3] 시밍#2 HEAD LOWER X1축(SD241) 운전중에 Ready가 Off 되었습니다.</v>
      </c>
    </row>
    <row r="551" spans="1:22" s="49" customFormat="1" ht="14.15" customHeight="1">
      <c r="A551" s="43" t="s">
        <v>5599</v>
      </c>
      <c r="B551" s="44" t="s">
        <v>157</v>
      </c>
      <c r="C551" s="50"/>
      <c r="D551" s="10" t="s">
        <v>29</v>
      </c>
      <c r="E551" s="11"/>
      <c r="F551" s="11" t="s">
        <v>18</v>
      </c>
      <c r="G551" s="13"/>
      <c r="H551" s="45" t="s">
        <v>16</v>
      </c>
      <c r="I551" s="47"/>
      <c r="J551" s="12" t="s">
        <v>5075</v>
      </c>
      <c r="K551" s="13" t="s">
        <v>7351</v>
      </c>
      <c r="L551" s="99" t="str">
        <f t="shared" si="32"/>
        <v>W221F.4</v>
      </c>
      <c r="M551" s="13" t="s">
        <v>17</v>
      </c>
      <c r="N551" s="13"/>
      <c r="O551" s="13"/>
      <c r="P551" s="47"/>
      <c r="Q551" s="45" t="s">
        <v>3672</v>
      </c>
      <c r="R551" s="45" t="s">
        <v>5596</v>
      </c>
      <c r="S551" s="48"/>
      <c r="T551" s="49" t="str">
        <f t="shared" si="31"/>
        <v>[W221F.4]</v>
      </c>
      <c r="U551" s="12" t="str">
        <f t="shared" si="34"/>
        <v xml:space="preserve"> 시밍#2 HEAD LOWER X1축(SD241) FLS가 감지되었습니다.</v>
      </c>
      <c r="V551" s="49" t="str">
        <f t="shared" si="33"/>
        <v>[W221F.4] 시밍#2 HEAD LOWER X1축(SD241) FLS가 감지되었습니다.</v>
      </c>
    </row>
    <row r="552" spans="1:22" s="49" customFormat="1" ht="14.15" customHeight="1">
      <c r="A552" s="43" t="s">
        <v>5599</v>
      </c>
      <c r="B552" s="44" t="s">
        <v>157</v>
      </c>
      <c r="C552" s="50"/>
      <c r="D552" s="10" t="s">
        <v>29</v>
      </c>
      <c r="E552" s="11"/>
      <c r="F552" s="11" t="s">
        <v>18</v>
      </c>
      <c r="G552" s="13"/>
      <c r="H552" s="45" t="s">
        <v>16</v>
      </c>
      <c r="I552" s="47"/>
      <c r="J552" s="12" t="s">
        <v>5076</v>
      </c>
      <c r="K552" s="13" t="s">
        <v>7352</v>
      </c>
      <c r="L552" s="99" t="str">
        <f t="shared" si="32"/>
        <v>W221F.5</v>
      </c>
      <c r="M552" s="13" t="s">
        <v>17</v>
      </c>
      <c r="N552" s="13"/>
      <c r="O552" s="13"/>
      <c r="P552" s="47"/>
      <c r="Q552" s="45" t="s">
        <v>3672</v>
      </c>
      <c r="R552" s="45" t="s">
        <v>5596</v>
      </c>
      <c r="S552" s="48"/>
      <c r="T552" s="49" t="str">
        <f t="shared" si="31"/>
        <v>[W221F.5]</v>
      </c>
      <c r="U552" s="12" t="str">
        <f t="shared" si="34"/>
        <v xml:space="preserve"> 시밍#2 HEAD LOWER X1축(SD241) RLS가 감지되었습니다.</v>
      </c>
      <c r="V552" s="49" t="str">
        <f t="shared" si="33"/>
        <v>[W221F.5] 시밍#2 HEAD LOWER X1축(SD241) RLS가 감지되었습니다.</v>
      </c>
    </row>
    <row r="553" spans="1:22" s="49" customFormat="1" ht="14.15" customHeight="1">
      <c r="A553" s="43" t="s">
        <v>5599</v>
      </c>
      <c r="B553" s="44" t="s">
        <v>157</v>
      </c>
      <c r="C553" s="50"/>
      <c r="D553" s="10" t="s">
        <v>29</v>
      </c>
      <c r="E553" s="11"/>
      <c r="F553" s="11" t="s">
        <v>18</v>
      </c>
      <c r="G553" s="13"/>
      <c r="H553" s="45" t="s">
        <v>16</v>
      </c>
      <c r="I553" s="47"/>
      <c r="J553" s="12" t="s">
        <v>5077</v>
      </c>
      <c r="K553" s="13" t="s">
        <v>7353</v>
      </c>
      <c r="L553" s="99" t="str">
        <f t="shared" si="32"/>
        <v>W221F.6</v>
      </c>
      <c r="M553" s="13" t="s">
        <v>17</v>
      </c>
      <c r="N553" s="13"/>
      <c r="O553" s="13"/>
      <c r="P553" s="47"/>
      <c r="Q553" s="45" t="s">
        <v>3672</v>
      </c>
      <c r="R553" s="45" t="s">
        <v>5596</v>
      </c>
      <c r="S553" s="48"/>
      <c r="T553" s="49" t="str">
        <f t="shared" si="31"/>
        <v>[W221F.6]</v>
      </c>
      <c r="U553" s="12" t="str">
        <f t="shared" si="34"/>
        <v xml:space="preserve"> 시밍#2 HEAD LOWER X1축(SD241) Stop 명령이 On된 상태에서 기동을 시도했습니다.</v>
      </c>
      <c r="V553" s="49" t="str">
        <f t="shared" si="33"/>
        <v>[W221F.6] 시밍#2 HEAD LOWER X1축(SD241) Stop 명령이 On된 상태에서 기동을 시도했습니다.</v>
      </c>
    </row>
    <row r="554" spans="1:22" s="49" customFormat="1" ht="14.15" customHeight="1">
      <c r="A554" s="43" t="s">
        <v>5599</v>
      </c>
      <c r="B554" s="44" t="s">
        <v>157</v>
      </c>
      <c r="C554" s="50"/>
      <c r="D554" s="10" t="s">
        <v>29</v>
      </c>
      <c r="E554" s="11"/>
      <c r="F554" s="11" t="s">
        <v>18</v>
      </c>
      <c r="G554" s="13"/>
      <c r="H554" s="45" t="s">
        <v>16</v>
      </c>
      <c r="I554" s="47"/>
      <c r="J554" s="12" t="s">
        <v>5078</v>
      </c>
      <c r="K554" s="13" t="s">
        <v>7354</v>
      </c>
      <c r="L554" s="99" t="str">
        <f t="shared" si="32"/>
        <v>W221F.7</v>
      </c>
      <c r="M554" s="13" t="s">
        <v>17</v>
      </c>
      <c r="N554" s="13"/>
      <c r="O554" s="13"/>
      <c r="P554" s="47"/>
      <c r="Q554" s="45" t="s">
        <v>3672</v>
      </c>
      <c r="R554" s="45" t="s">
        <v>5596</v>
      </c>
      <c r="S554" s="48"/>
      <c r="T554" s="49" t="str">
        <f t="shared" si="31"/>
        <v>[W221F.7]</v>
      </c>
      <c r="U554" s="12" t="str">
        <f t="shared" si="34"/>
        <v xml:space="preserve"> 시밍#2 HEAD LOWER X1축(SD241) 가동 전원이 Off 되었습니다.</v>
      </c>
      <c r="V554" s="49" t="str">
        <f t="shared" si="33"/>
        <v>[W221F.7] 시밍#2 HEAD LOWER X1축(SD241) 가동 전원이 Off 되었습니다.</v>
      </c>
    </row>
    <row r="555" spans="1:22" s="49" customFormat="1" ht="14.15" customHeight="1">
      <c r="A555" s="43" t="s">
        <v>5599</v>
      </c>
      <c r="B555" s="44" t="s">
        <v>157</v>
      </c>
      <c r="C555" s="50"/>
      <c r="D555" s="10" t="s">
        <v>29</v>
      </c>
      <c r="E555" s="11"/>
      <c r="F555" s="11" t="s">
        <v>18</v>
      </c>
      <c r="G555" s="13"/>
      <c r="H555" s="45" t="s">
        <v>16</v>
      </c>
      <c r="I555" s="47"/>
      <c r="J555" s="12" t="s">
        <v>5079</v>
      </c>
      <c r="K555" s="13" t="s">
        <v>7355</v>
      </c>
      <c r="L555" s="99" t="str">
        <f t="shared" si="32"/>
        <v>W221F.8</v>
      </c>
      <c r="M555" s="13" t="s">
        <v>17</v>
      </c>
      <c r="N555" s="13"/>
      <c r="O555" s="13"/>
      <c r="P555" s="47"/>
      <c r="Q555" s="45" t="s">
        <v>3672</v>
      </c>
      <c r="R555" s="45" t="s">
        <v>5596</v>
      </c>
      <c r="S555" s="48"/>
      <c r="T555" s="49" t="str">
        <f t="shared" si="31"/>
        <v>[W221F.8]</v>
      </c>
      <c r="U555" s="12" t="str">
        <f t="shared" si="34"/>
        <v xml:space="preserve"> 시밍#2 HEAD LOWER X1축(SD241) 엔코더 이상이 검출되었습니다.</v>
      </c>
      <c r="V555" s="49" t="str">
        <f t="shared" si="33"/>
        <v>[W221F.8] 시밍#2 HEAD LOWER X1축(SD241) 엔코더 이상이 검출되었습니다.</v>
      </c>
    </row>
    <row r="556" spans="1:22" s="49" customFormat="1" ht="14.15" customHeight="1">
      <c r="A556" s="43" t="s">
        <v>5599</v>
      </c>
      <c r="B556" s="44" t="s">
        <v>157</v>
      </c>
      <c r="C556" s="50"/>
      <c r="D556" s="10" t="s">
        <v>29</v>
      </c>
      <c r="E556" s="11"/>
      <c r="F556" s="11" t="s">
        <v>18</v>
      </c>
      <c r="G556" s="13"/>
      <c r="H556" s="45" t="s">
        <v>16</v>
      </c>
      <c r="I556" s="47"/>
      <c r="J556" s="12" t="s">
        <v>5080</v>
      </c>
      <c r="K556" s="13" t="s">
        <v>7356</v>
      </c>
      <c r="L556" s="99" t="str">
        <f t="shared" si="32"/>
        <v>W221F.9</v>
      </c>
      <c r="M556" s="13" t="s">
        <v>17</v>
      </c>
      <c r="N556" s="13"/>
      <c r="O556" s="13"/>
      <c r="P556" s="47"/>
      <c r="Q556" s="45" t="s">
        <v>3672</v>
      </c>
      <c r="R556" s="45" t="s">
        <v>5596</v>
      </c>
      <c r="S556" s="48"/>
      <c r="T556" s="49" t="str">
        <f t="shared" si="31"/>
        <v>[W221F.9]</v>
      </c>
      <c r="U556" s="12" t="str">
        <f t="shared" si="34"/>
        <v xml:space="preserve"> 시밍#2 HEAD LOWER X1축(SD241) 과전류가 검출되었습니다.</v>
      </c>
      <c r="V556" s="49" t="str">
        <f t="shared" si="33"/>
        <v>[W221F.9] 시밍#2 HEAD LOWER X1축(SD241) 과전류가 검출되었습니다.</v>
      </c>
    </row>
    <row r="557" spans="1:22" s="49" customFormat="1" ht="14.15" customHeight="1">
      <c r="A557" s="43" t="s">
        <v>5599</v>
      </c>
      <c r="B557" s="44" t="s">
        <v>157</v>
      </c>
      <c r="C557" s="50"/>
      <c r="D557" s="10" t="s">
        <v>29</v>
      </c>
      <c r="E557" s="11"/>
      <c r="F557" s="11" t="s">
        <v>18</v>
      </c>
      <c r="G557" s="13"/>
      <c r="H557" s="45" t="s">
        <v>16</v>
      </c>
      <c r="I557" s="47"/>
      <c r="J557" s="12" t="s">
        <v>5081</v>
      </c>
      <c r="K557" s="13" t="s">
        <v>7357</v>
      </c>
      <c r="L557" s="99" t="str">
        <f t="shared" si="32"/>
        <v>W221F.A</v>
      </c>
      <c r="M557" s="13" t="s">
        <v>17</v>
      </c>
      <c r="N557" s="13"/>
      <c r="O557" s="13"/>
      <c r="P557" s="47"/>
      <c r="Q557" s="45" t="s">
        <v>3672</v>
      </c>
      <c r="R557" s="45" t="s">
        <v>5596</v>
      </c>
      <c r="S557" s="48"/>
      <c r="T557" s="49" t="str">
        <f t="shared" si="31"/>
        <v>[W221F.A]</v>
      </c>
      <c r="U557" s="12" t="str">
        <f t="shared" si="34"/>
        <v xml:space="preserve"> 시밍#2 HEAD LOWER X1축(SD241) 과부하가 검출되었습니다.</v>
      </c>
      <c r="V557" s="49" t="str">
        <f t="shared" si="33"/>
        <v>[W221F.A] 시밍#2 HEAD LOWER X1축(SD241) 과부하가 검출되었습니다.</v>
      </c>
    </row>
    <row r="558" spans="1:22" s="49" customFormat="1" ht="14.15" customHeight="1">
      <c r="A558" s="43" t="s">
        <v>5599</v>
      </c>
      <c r="B558" s="44" t="s">
        <v>157</v>
      </c>
      <c r="C558" s="50"/>
      <c r="D558" s="10" t="s">
        <v>29</v>
      </c>
      <c r="E558" s="11"/>
      <c r="F558" s="11" t="s">
        <v>18</v>
      </c>
      <c r="G558" s="13"/>
      <c r="H558" s="45" t="s">
        <v>16</v>
      </c>
      <c r="I558" s="47"/>
      <c r="J558" s="12" t="s">
        <v>5082</v>
      </c>
      <c r="K558" s="13" t="s">
        <v>7358</v>
      </c>
      <c r="L558" s="99" t="str">
        <f t="shared" si="32"/>
        <v>W221F.B</v>
      </c>
      <c r="M558" s="13" t="s">
        <v>17</v>
      </c>
      <c r="N558" s="13"/>
      <c r="O558" s="13"/>
      <c r="P558" s="47"/>
      <c r="Q558" s="45" t="s">
        <v>3672</v>
      </c>
      <c r="R558" s="45" t="s">
        <v>5596</v>
      </c>
      <c r="S558" s="48"/>
      <c r="T558" s="49" t="str">
        <f t="shared" si="31"/>
        <v>[W221F.B]</v>
      </c>
      <c r="U558" s="12" t="str">
        <f t="shared" si="34"/>
        <v xml:space="preserve"> 시밍#2 HEAD LOWER X1축(SD241)  </v>
      </c>
      <c r="V558" s="49" t="str">
        <f t="shared" si="33"/>
        <v xml:space="preserve">[W221F.B] 시밍#2 HEAD LOWER X1축(SD241)  </v>
      </c>
    </row>
    <row r="559" spans="1:22" s="49" customFormat="1" ht="14.15" customHeight="1">
      <c r="A559" s="43" t="s">
        <v>5599</v>
      </c>
      <c r="B559" s="44" t="s">
        <v>157</v>
      </c>
      <c r="C559" s="50"/>
      <c r="D559" s="10" t="s">
        <v>29</v>
      </c>
      <c r="E559" s="11"/>
      <c r="F559" s="11" t="s">
        <v>18</v>
      </c>
      <c r="G559" s="13"/>
      <c r="H559" s="45" t="s">
        <v>16</v>
      </c>
      <c r="I559" s="47"/>
      <c r="J559" s="12" t="s">
        <v>5083</v>
      </c>
      <c r="K559" s="13" t="s">
        <v>7359</v>
      </c>
      <c r="L559" s="99" t="str">
        <f t="shared" si="32"/>
        <v>W221F.C</v>
      </c>
      <c r="M559" s="13" t="s">
        <v>17</v>
      </c>
      <c r="N559" s="13"/>
      <c r="O559" s="13"/>
      <c r="P559" s="47"/>
      <c r="Q559" s="45" t="s">
        <v>3672</v>
      </c>
      <c r="R559" s="45" t="s">
        <v>5596</v>
      </c>
      <c r="S559" s="48"/>
      <c r="T559" s="49" t="str">
        <f t="shared" si="31"/>
        <v>[W221F.C]</v>
      </c>
      <c r="U559" s="12" t="str">
        <f t="shared" si="34"/>
        <v xml:space="preserve"> 시밍#2 HEAD LOWER X1축(SD241) 에러가 발생했습니다.</v>
      </c>
      <c r="V559" s="49" t="str">
        <f t="shared" si="33"/>
        <v>[W221F.C] 시밍#2 HEAD LOWER X1축(SD241) 에러가 발생했습니다.</v>
      </c>
    </row>
    <row r="560" spans="1:22" s="49" customFormat="1" ht="14.15" customHeight="1">
      <c r="A560" s="43" t="s">
        <v>5599</v>
      </c>
      <c r="B560" s="44" t="s">
        <v>157</v>
      </c>
      <c r="C560" s="50"/>
      <c r="D560" s="10" t="s">
        <v>29</v>
      </c>
      <c r="E560" s="11"/>
      <c r="F560" s="11" t="s">
        <v>18</v>
      </c>
      <c r="G560" s="13"/>
      <c r="H560" s="45" t="s">
        <v>16</v>
      </c>
      <c r="I560" s="47"/>
      <c r="J560" s="12" t="s">
        <v>5084</v>
      </c>
      <c r="K560" s="13" t="s">
        <v>7360</v>
      </c>
      <c r="L560" s="99" t="str">
        <f t="shared" si="32"/>
        <v>W221F.D</v>
      </c>
      <c r="M560" s="13" t="s">
        <v>17</v>
      </c>
      <c r="N560" s="13"/>
      <c r="O560" s="13"/>
      <c r="P560" s="47"/>
      <c r="Q560" s="45" t="s">
        <v>3672</v>
      </c>
      <c r="R560" s="45" t="s">
        <v>5596</v>
      </c>
      <c r="S560" s="48"/>
      <c r="T560" s="49" t="str">
        <f t="shared" si="31"/>
        <v>[W221F.D]</v>
      </c>
      <c r="U560" s="12" t="str">
        <f t="shared" si="34"/>
        <v xml:space="preserve"> 시밍#2 HEAD UPPER X2축(SD242) 운전중에 Ready가 Off 되었습니다.</v>
      </c>
      <c r="V560" s="49" t="str">
        <f t="shared" si="33"/>
        <v>[W221F.D] 시밍#2 HEAD UPPER X2축(SD242) 운전중에 Ready가 Off 되었습니다.</v>
      </c>
    </row>
    <row r="561" spans="1:22" s="49" customFormat="1" ht="14.15" customHeight="1">
      <c r="A561" s="43" t="s">
        <v>5599</v>
      </c>
      <c r="B561" s="44" t="s">
        <v>157</v>
      </c>
      <c r="C561" s="50"/>
      <c r="D561" s="10" t="s">
        <v>29</v>
      </c>
      <c r="E561" s="11"/>
      <c r="F561" s="11" t="s">
        <v>18</v>
      </c>
      <c r="G561" s="13"/>
      <c r="H561" s="45" t="s">
        <v>16</v>
      </c>
      <c r="I561" s="47"/>
      <c r="J561" s="12" t="s">
        <v>5085</v>
      </c>
      <c r="K561" s="13" t="s">
        <v>7361</v>
      </c>
      <c r="L561" s="99" t="str">
        <f t="shared" si="32"/>
        <v>W221F.E</v>
      </c>
      <c r="M561" s="13" t="s">
        <v>17</v>
      </c>
      <c r="N561" s="13"/>
      <c r="O561" s="13"/>
      <c r="P561" s="47"/>
      <c r="Q561" s="45" t="s">
        <v>3672</v>
      </c>
      <c r="R561" s="45" t="s">
        <v>5596</v>
      </c>
      <c r="S561" s="48"/>
      <c r="T561" s="49" t="str">
        <f t="shared" si="31"/>
        <v>[W221F.E]</v>
      </c>
      <c r="U561" s="12" t="str">
        <f t="shared" si="34"/>
        <v xml:space="preserve"> 시밍#2 HEAD UPPER X2축(SD242) FLS가 감지되었습니다.</v>
      </c>
      <c r="V561" s="49" t="str">
        <f t="shared" si="33"/>
        <v>[W221F.E] 시밍#2 HEAD UPPER X2축(SD242) FLS가 감지되었습니다.</v>
      </c>
    </row>
    <row r="562" spans="1:22" s="49" customFormat="1" ht="14.15" customHeight="1">
      <c r="A562" s="43" t="s">
        <v>5599</v>
      </c>
      <c r="B562" s="44" t="s">
        <v>157</v>
      </c>
      <c r="C562" s="50"/>
      <c r="D562" s="10" t="s">
        <v>29</v>
      </c>
      <c r="E562" s="11"/>
      <c r="F562" s="11" t="s">
        <v>18</v>
      </c>
      <c r="G562" s="13"/>
      <c r="H562" s="45" t="s">
        <v>16</v>
      </c>
      <c r="I562" s="47"/>
      <c r="J562" s="12" t="s">
        <v>5086</v>
      </c>
      <c r="K562" s="13" t="s">
        <v>7362</v>
      </c>
      <c r="L562" s="99" t="str">
        <f t="shared" si="32"/>
        <v>W221F.F</v>
      </c>
      <c r="M562" s="13" t="s">
        <v>17</v>
      </c>
      <c r="N562" s="13"/>
      <c r="O562" s="13"/>
      <c r="P562" s="47"/>
      <c r="Q562" s="45" t="s">
        <v>3672</v>
      </c>
      <c r="R562" s="45" t="s">
        <v>5596</v>
      </c>
      <c r="S562" s="48"/>
      <c r="T562" s="49" t="str">
        <f t="shared" si="31"/>
        <v>[W221F.F]</v>
      </c>
      <c r="U562" s="12" t="str">
        <f t="shared" si="34"/>
        <v xml:space="preserve"> 시밍#2 HEAD UPPER X2축(SD242) RLS가 감지되었습니다.</v>
      </c>
      <c r="V562" s="49" t="str">
        <f t="shared" si="33"/>
        <v>[W221F.F] 시밍#2 HEAD UPPER X2축(SD242) RLS가 감지되었습니다.</v>
      </c>
    </row>
    <row r="563" spans="1:22" s="49" customFormat="1" ht="14.15" customHeight="1">
      <c r="A563" s="43" t="s">
        <v>5599</v>
      </c>
      <c r="B563" s="44" t="s">
        <v>157</v>
      </c>
      <c r="C563" s="50"/>
      <c r="D563" s="10" t="s">
        <v>29</v>
      </c>
      <c r="E563" s="11"/>
      <c r="F563" s="11" t="s">
        <v>18</v>
      </c>
      <c r="G563" s="13"/>
      <c r="H563" s="45" t="s">
        <v>16</v>
      </c>
      <c r="I563" s="47"/>
      <c r="J563" s="12" t="s">
        <v>5087</v>
      </c>
      <c r="K563" s="13" t="s">
        <v>7363</v>
      </c>
      <c r="L563" s="99" t="str">
        <f t="shared" si="32"/>
        <v>W2220.0</v>
      </c>
      <c r="M563" s="13" t="s">
        <v>17</v>
      </c>
      <c r="N563" s="13"/>
      <c r="O563" s="13"/>
      <c r="P563" s="47"/>
      <c r="Q563" s="45" t="s">
        <v>3672</v>
      </c>
      <c r="R563" s="45" t="s">
        <v>5596</v>
      </c>
      <c r="S563" s="48"/>
      <c r="T563" s="49" t="str">
        <f t="shared" ref="T563:T626" si="35">"["&amp;L563&amp;"]"</f>
        <v>[W2220.0]</v>
      </c>
      <c r="U563" s="12" t="str">
        <f t="shared" si="34"/>
        <v xml:space="preserve"> 시밍#2 HEAD UPPER X2축(SD242) Stop 명령이 On된 상태에서 기동을 시도했습니다.</v>
      </c>
      <c r="V563" s="49" t="str">
        <f t="shared" si="33"/>
        <v>[W2220.0] 시밍#2 HEAD UPPER X2축(SD242) Stop 명령이 On된 상태에서 기동을 시도했습니다.</v>
      </c>
    </row>
    <row r="564" spans="1:22" s="49" customFormat="1" ht="14.15" customHeight="1">
      <c r="A564" s="43" t="s">
        <v>5599</v>
      </c>
      <c r="B564" s="44" t="s">
        <v>157</v>
      </c>
      <c r="C564" s="50"/>
      <c r="D564" s="10" t="s">
        <v>29</v>
      </c>
      <c r="E564" s="11"/>
      <c r="F564" s="11" t="s">
        <v>18</v>
      </c>
      <c r="G564" s="13"/>
      <c r="H564" s="45" t="s">
        <v>16</v>
      </c>
      <c r="I564" s="47"/>
      <c r="J564" s="12" t="s">
        <v>5088</v>
      </c>
      <c r="K564" s="13" t="s">
        <v>7364</v>
      </c>
      <c r="L564" s="99" t="str">
        <f t="shared" ref="L564:L627" si="36">"W"&amp;DEC2HEX(8704 + INT((ROW()-51)/16)) &amp; "." &amp; IF(MOD(ROW()-51,16)&lt;10,MOD(ROW()-51,16),CHAR(MOD(ROW()-51,16)+55))</f>
        <v>W2220.1</v>
      </c>
      <c r="M564" s="13" t="s">
        <v>17</v>
      </c>
      <c r="N564" s="13"/>
      <c r="O564" s="13"/>
      <c r="P564" s="47"/>
      <c r="Q564" s="45" t="s">
        <v>3672</v>
      </c>
      <c r="R564" s="45" t="s">
        <v>5596</v>
      </c>
      <c r="S564" s="48"/>
      <c r="T564" s="49" t="str">
        <f t="shared" si="35"/>
        <v>[W2220.1]</v>
      </c>
      <c r="U564" s="12" t="str">
        <f t="shared" si="34"/>
        <v xml:space="preserve"> 시밍#2 HEAD UPPER X2축(SD242) 가동 전원이 Off 되었습니다.</v>
      </c>
      <c r="V564" s="49" t="str">
        <f t="shared" ref="V564:V627" si="37">T564&amp;U564</f>
        <v>[W2220.1] 시밍#2 HEAD UPPER X2축(SD242) 가동 전원이 Off 되었습니다.</v>
      </c>
    </row>
    <row r="565" spans="1:22" s="49" customFormat="1" ht="14.15" customHeight="1">
      <c r="A565" s="43" t="s">
        <v>5599</v>
      </c>
      <c r="B565" s="44" t="s">
        <v>157</v>
      </c>
      <c r="C565" s="50"/>
      <c r="D565" s="10" t="s">
        <v>29</v>
      </c>
      <c r="E565" s="11"/>
      <c r="F565" s="11" t="s">
        <v>18</v>
      </c>
      <c r="G565" s="13"/>
      <c r="H565" s="45" t="s">
        <v>16</v>
      </c>
      <c r="I565" s="46"/>
      <c r="J565" s="12" t="s">
        <v>5089</v>
      </c>
      <c r="K565" s="13" t="s">
        <v>7365</v>
      </c>
      <c r="L565" s="99" t="str">
        <f t="shared" si="36"/>
        <v>W2220.2</v>
      </c>
      <c r="M565" s="13" t="s">
        <v>17</v>
      </c>
      <c r="N565" s="13"/>
      <c r="O565" s="13"/>
      <c r="P565" s="47"/>
      <c r="Q565" s="45" t="s">
        <v>3672</v>
      </c>
      <c r="R565" s="45" t="s">
        <v>5596</v>
      </c>
      <c r="S565" s="48"/>
      <c r="T565" s="49" t="str">
        <f t="shared" si="35"/>
        <v>[W2220.2]</v>
      </c>
      <c r="U565" s="12" t="str">
        <f t="shared" si="34"/>
        <v xml:space="preserve"> 시밍#2 HEAD UPPER X2축(SD242) 엔코더 이상이 검출되었습니다.</v>
      </c>
      <c r="V565" s="49" t="str">
        <f t="shared" si="37"/>
        <v>[W2220.2] 시밍#2 HEAD UPPER X2축(SD242) 엔코더 이상이 검출되었습니다.</v>
      </c>
    </row>
    <row r="566" spans="1:22" s="49" customFormat="1" ht="14.15" customHeight="1">
      <c r="A566" s="43" t="s">
        <v>5599</v>
      </c>
      <c r="B566" s="44" t="s">
        <v>157</v>
      </c>
      <c r="C566" s="50"/>
      <c r="D566" s="10" t="s">
        <v>29</v>
      </c>
      <c r="E566" s="11"/>
      <c r="F566" s="11" t="s">
        <v>18</v>
      </c>
      <c r="G566" s="13"/>
      <c r="H566" s="45" t="s">
        <v>16</v>
      </c>
      <c r="I566" s="46"/>
      <c r="J566" s="12" t="s">
        <v>5090</v>
      </c>
      <c r="K566" s="13" t="s">
        <v>7366</v>
      </c>
      <c r="L566" s="99" t="str">
        <f t="shared" si="36"/>
        <v>W2220.3</v>
      </c>
      <c r="M566" s="13" t="s">
        <v>17</v>
      </c>
      <c r="N566" s="13"/>
      <c r="O566" s="13"/>
      <c r="P566" s="47"/>
      <c r="Q566" s="45" t="s">
        <v>3672</v>
      </c>
      <c r="R566" s="45" t="s">
        <v>5596</v>
      </c>
      <c r="S566" s="48"/>
      <c r="T566" s="49" t="str">
        <f t="shared" si="35"/>
        <v>[W2220.3]</v>
      </c>
      <c r="U566" s="12" t="str">
        <f t="shared" si="34"/>
        <v xml:space="preserve"> 시밍#2 HEAD UPPER X2축(SD242) 과전류가 검출되었습니다.</v>
      </c>
      <c r="V566" s="49" t="str">
        <f t="shared" si="37"/>
        <v>[W2220.3] 시밍#2 HEAD UPPER X2축(SD242) 과전류가 검출되었습니다.</v>
      </c>
    </row>
    <row r="567" spans="1:22" s="49" customFormat="1" ht="14.15" customHeight="1">
      <c r="A567" s="43" t="s">
        <v>5599</v>
      </c>
      <c r="B567" s="44" t="s">
        <v>157</v>
      </c>
      <c r="C567" s="50"/>
      <c r="D567" s="10" t="s">
        <v>29</v>
      </c>
      <c r="E567" s="11"/>
      <c r="F567" s="11" t="s">
        <v>18</v>
      </c>
      <c r="G567" s="13"/>
      <c r="H567" s="45" t="s">
        <v>16</v>
      </c>
      <c r="I567" s="46"/>
      <c r="J567" s="12" t="s">
        <v>5091</v>
      </c>
      <c r="K567" s="13" t="s">
        <v>7367</v>
      </c>
      <c r="L567" s="99" t="str">
        <f t="shared" si="36"/>
        <v>W2220.4</v>
      </c>
      <c r="M567" s="13" t="s">
        <v>17</v>
      </c>
      <c r="N567" s="13"/>
      <c r="O567" s="13"/>
      <c r="P567" s="47"/>
      <c r="Q567" s="45" t="s">
        <v>3672</v>
      </c>
      <c r="R567" s="45" t="s">
        <v>5596</v>
      </c>
      <c r="S567" s="48"/>
      <c r="T567" s="49" t="str">
        <f t="shared" si="35"/>
        <v>[W2220.4]</v>
      </c>
      <c r="U567" s="12" t="str">
        <f t="shared" si="34"/>
        <v xml:space="preserve"> 시밍#2 HEAD UPPER X2축(SD242) 과부하가 검출되었습니다.</v>
      </c>
      <c r="V567" s="49" t="str">
        <f t="shared" si="37"/>
        <v>[W2220.4] 시밍#2 HEAD UPPER X2축(SD242) 과부하가 검출되었습니다.</v>
      </c>
    </row>
    <row r="568" spans="1:22" s="49" customFormat="1" ht="14.15" customHeight="1">
      <c r="A568" s="43" t="s">
        <v>5599</v>
      </c>
      <c r="B568" s="44" t="s">
        <v>157</v>
      </c>
      <c r="C568" s="50"/>
      <c r="D568" s="10" t="s">
        <v>29</v>
      </c>
      <c r="E568" s="11"/>
      <c r="F568" s="11" t="s">
        <v>18</v>
      </c>
      <c r="G568" s="13"/>
      <c r="H568" s="45" t="s">
        <v>16</v>
      </c>
      <c r="I568" s="46"/>
      <c r="J568" s="12" t="s">
        <v>5092</v>
      </c>
      <c r="K568" s="13" t="s">
        <v>7368</v>
      </c>
      <c r="L568" s="99" t="str">
        <f t="shared" si="36"/>
        <v>W2220.5</v>
      </c>
      <c r="M568" s="13" t="s">
        <v>17</v>
      </c>
      <c r="N568" s="13"/>
      <c r="O568" s="13"/>
      <c r="P568" s="47"/>
      <c r="Q568" s="45" t="s">
        <v>3672</v>
      </c>
      <c r="R568" s="45" t="s">
        <v>5596</v>
      </c>
      <c r="S568" s="48"/>
      <c r="T568" s="49" t="str">
        <f t="shared" si="35"/>
        <v>[W2220.5]</v>
      </c>
      <c r="U568" s="12" t="str">
        <f t="shared" ref="U568:U631" si="38">RIGHT(J568,LEN(J568)-7)</f>
        <v xml:space="preserve"> 시밍#2 HEAD UPPER X2축(SD242)  </v>
      </c>
      <c r="V568" s="49" t="str">
        <f t="shared" si="37"/>
        <v xml:space="preserve">[W2220.5] 시밍#2 HEAD UPPER X2축(SD242)  </v>
      </c>
    </row>
    <row r="569" spans="1:22" s="49" customFormat="1" ht="14.15" customHeight="1">
      <c r="A569" s="43" t="s">
        <v>5599</v>
      </c>
      <c r="B569" s="44" t="s">
        <v>157</v>
      </c>
      <c r="C569" s="50"/>
      <c r="D569" s="10" t="s">
        <v>29</v>
      </c>
      <c r="E569" s="11"/>
      <c r="F569" s="11" t="s">
        <v>18</v>
      </c>
      <c r="G569" s="13"/>
      <c r="H569" s="45" t="s">
        <v>16</v>
      </c>
      <c r="I569" s="46"/>
      <c r="J569" s="12" t="s">
        <v>5093</v>
      </c>
      <c r="K569" s="13" t="s">
        <v>7369</v>
      </c>
      <c r="L569" s="99" t="str">
        <f t="shared" si="36"/>
        <v>W2220.6</v>
      </c>
      <c r="M569" s="13" t="s">
        <v>17</v>
      </c>
      <c r="N569" s="13"/>
      <c r="O569" s="13"/>
      <c r="P569" s="47"/>
      <c r="Q569" s="45" t="s">
        <v>3672</v>
      </c>
      <c r="R569" s="45" t="s">
        <v>5596</v>
      </c>
      <c r="S569" s="48"/>
      <c r="T569" s="49" t="str">
        <f t="shared" si="35"/>
        <v>[W2220.6]</v>
      </c>
      <c r="U569" s="12" t="str">
        <f t="shared" si="38"/>
        <v xml:space="preserve"> 시밍#2 HEAD UPPER X2축(SD242) 에러가 발생했습니다.</v>
      </c>
      <c r="V569" s="49" t="str">
        <f t="shared" si="37"/>
        <v>[W2220.6] 시밍#2 HEAD UPPER X2축(SD242) 에러가 발생했습니다.</v>
      </c>
    </row>
    <row r="570" spans="1:22" s="49" customFormat="1" ht="14.15" customHeight="1">
      <c r="A570" s="43" t="s">
        <v>5599</v>
      </c>
      <c r="B570" s="44" t="s">
        <v>157</v>
      </c>
      <c r="C570" s="50"/>
      <c r="D570" s="10" t="s">
        <v>29</v>
      </c>
      <c r="E570" s="11"/>
      <c r="F570" s="11" t="s">
        <v>18</v>
      </c>
      <c r="G570" s="13"/>
      <c r="H570" s="45" t="s">
        <v>16</v>
      </c>
      <c r="I570" s="46"/>
      <c r="J570" s="12" t="s">
        <v>5094</v>
      </c>
      <c r="K570" s="13" t="s">
        <v>7370</v>
      </c>
      <c r="L570" s="99" t="str">
        <f t="shared" si="36"/>
        <v>W2220.7</v>
      </c>
      <c r="M570" s="13" t="s">
        <v>17</v>
      </c>
      <c r="N570" s="13"/>
      <c r="O570" s="13"/>
      <c r="P570" s="47"/>
      <c r="Q570" s="45" t="s">
        <v>3672</v>
      </c>
      <c r="R570" s="45" t="s">
        <v>5596</v>
      </c>
      <c r="S570" s="48"/>
      <c r="T570" s="49" t="str">
        <f t="shared" si="35"/>
        <v>[W2220.7]</v>
      </c>
      <c r="U570" s="12" t="str">
        <f t="shared" si="38"/>
        <v xml:space="preserve"> 시밍#2 MOLD LOWER X1축(SD243) 운전중에 Ready가 Off 되었습니다.</v>
      </c>
      <c r="V570" s="49" t="str">
        <f t="shared" si="37"/>
        <v>[W2220.7] 시밍#2 MOLD LOWER X1축(SD243) 운전중에 Ready가 Off 되었습니다.</v>
      </c>
    </row>
    <row r="571" spans="1:22" s="49" customFormat="1" ht="14.15" customHeight="1">
      <c r="A571" s="43" t="s">
        <v>5599</v>
      </c>
      <c r="B571" s="44" t="s">
        <v>157</v>
      </c>
      <c r="C571" s="50"/>
      <c r="D571" s="10" t="s">
        <v>29</v>
      </c>
      <c r="E571" s="11"/>
      <c r="F571" s="11" t="s">
        <v>18</v>
      </c>
      <c r="G571" s="13"/>
      <c r="H571" s="45" t="s">
        <v>16</v>
      </c>
      <c r="I571" s="47"/>
      <c r="J571" s="12" t="s">
        <v>5095</v>
      </c>
      <c r="K571" s="13" t="s">
        <v>7371</v>
      </c>
      <c r="L571" s="99" t="str">
        <f t="shared" si="36"/>
        <v>W2220.8</v>
      </c>
      <c r="M571" s="13" t="s">
        <v>17</v>
      </c>
      <c r="N571" s="13"/>
      <c r="O571" s="13"/>
      <c r="P571" s="47"/>
      <c r="Q571" s="45" t="s">
        <v>3672</v>
      </c>
      <c r="R571" s="45" t="s">
        <v>5596</v>
      </c>
      <c r="S571" s="48"/>
      <c r="T571" s="49" t="str">
        <f t="shared" si="35"/>
        <v>[W2220.8]</v>
      </c>
      <c r="U571" s="12" t="str">
        <f t="shared" si="38"/>
        <v xml:space="preserve"> 시밍#2 MOLD LOWER X1축(SD243) FLS가 감지되었습니다.</v>
      </c>
      <c r="V571" s="49" t="str">
        <f t="shared" si="37"/>
        <v>[W2220.8] 시밍#2 MOLD LOWER X1축(SD243) FLS가 감지되었습니다.</v>
      </c>
    </row>
    <row r="572" spans="1:22" s="49" customFormat="1" ht="14.15" customHeight="1">
      <c r="A572" s="43" t="s">
        <v>5599</v>
      </c>
      <c r="B572" s="44" t="s">
        <v>157</v>
      </c>
      <c r="C572" s="50"/>
      <c r="D572" s="10" t="s">
        <v>29</v>
      </c>
      <c r="E572" s="11"/>
      <c r="F572" s="11" t="s">
        <v>18</v>
      </c>
      <c r="G572" s="13"/>
      <c r="H572" s="45" t="s">
        <v>16</v>
      </c>
      <c r="I572" s="47"/>
      <c r="J572" s="12" t="s">
        <v>5096</v>
      </c>
      <c r="K572" s="13" t="s">
        <v>7372</v>
      </c>
      <c r="L572" s="99" t="str">
        <f t="shared" si="36"/>
        <v>W2220.9</v>
      </c>
      <c r="M572" s="13" t="s">
        <v>17</v>
      </c>
      <c r="N572" s="13"/>
      <c r="O572" s="13"/>
      <c r="P572" s="47"/>
      <c r="Q572" s="45" t="s">
        <v>3672</v>
      </c>
      <c r="R572" s="45" t="s">
        <v>5596</v>
      </c>
      <c r="S572" s="48"/>
      <c r="T572" s="49" t="str">
        <f t="shared" si="35"/>
        <v>[W2220.9]</v>
      </c>
      <c r="U572" s="12" t="str">
        <f t="shared" si="38"/>
        <v xml:space="preserve"> 시밍#2 MOLD LOWER X1축(SD243) RLS가 감지되었습니다.</v>
      </c>
      <c r="V572" s="49" t="str">
        <f t="shared" si="37"/>
        <v>[W2220.9] 시밍#2 MOLD LOWER X1축(SD243) RLS가 감지되었습니다.</v>
      </c>
    </row>
    <row r="573" spans="1:22" s="49" customFormat="1" ht="14.15" customHeight="1">
      <c r="A573" s="43" t="s">
        <v>5599</v>
      </c>
      <c r="B573" s="44" t="s">
        <v>157</v>
      </c>
      <c r="C573" s="50"/>
      <c r="D573" s="10" t="s">
        <v>29</v>
      </c>
      <c r="E573" s="11"/>
      <c r="F573" s="11" t="s">
        <v>18</v>
      </c>
      <c r="G573" s="13"/>
      <c r="H573" s="45" t="s">
        <v>16</v>
      </c>
      <c r="I573" s="47"/>
      <c r="J573" s="12" t="s">
        <v>5097</v>
      </c>
      <c r="K573" s="13" t="s">
        <v>7373</v>
      </c>
      <c r="L573" s="99" t="str">
        <f t="shared" si="36"/>
        <v>W2220.A</v>
      </c>
      <c r="M573" s="13" t="s">
        <v>17</v>
      </c>
      <c r="N573" s="13"/>
      <c r="O573" s="13"/>
      <c r="P573" s="47"/>
      <c r="Q573" s="45" t="s">
        <v>3672</v>
      </c>
      <c r="R573" s="45" t="s">
        <v>5596</v>
      </c>
      <c r="S573" s="48"/>
      <c r="T573" s="49" t="str">
        <f t="shared" si="35"/>
        <v>[W2220.A]</v>
      </c>
      <c r="U573" s="12" t="str">
        <f t="shared" si="38"/>
        <v xml:space="preserve"> 시밍#2 MOLD LOWER X1축(SD243) Stop 명령이 On된 상태에서 기동을 시도했습니다.</v>
      </c>
      <c r="V573" s="49" t="str">
        <f t="shared" si="37"/>
        <v>[W2220.A] 시밍#2 MOLD LOWER X1축(SD243) Stop 명령이 On된 상태에서 기동을 시도했습니다.</v>
      </c>
    </row>
    <row r="574" spans="1:22" s="49" customFormat="1" ht="14.15" customHeight="1">
      <c r="A574" s="43" t="s">
        <v>5599</v>
      </c>
      <c r="B574" s="44" t="s">
        <v>157</v>
      </c>
      <c r="C574" s="50"/>
      <c r="D574" s="10" t="s">
        <v>29</v>
      </c>
      <c r="E574" s="11"/>
      <c r="F574" s="11" t="s">
        <v>18</v>
      </c>
      <c r="G574" s="13"/>
      <c r="H574" s="45" t="s">
        <v>16</v>
      </c>
      <c r="I574" s="47"/>
      <c r="J574" s="12" t="s">
        <v>5098</v>
      </c>
      <c r="K574" s="13" t="s">
        <v>7374</v>
      </c>
      <c r="L574" s="99" t="str">
        <f t="shared" si="36"/>
        <v>W2220.B</v>
      </c>
      <c r="M574" s="13" t="s">
        <v>17</v>
      </c>
      <c r="N574" s="13"/>
      <c r="O574" s="13"/>
      <c r="P574" s="47"/>
      <c r="Q574" s="45" t="s">
        <v>3672</v>
      </c>
      <c r="R574" s="45" t="s">
        <v>5596</v>
      </c>
      <c r="S574" s="48"/>
      <c r="T574" s="49" t="str">
        <f t="shared" si="35"/>
        <v>[W2220.B]</v>
      </c>
      <c r="U574" s="12" t="str">
        <f t="shared" si="38"/>
        <v xml:space="preserve"> 시밍#2 MOLD LOWER X1축(SD243) 가동 전원이 Off 되었습니다.</v>
      </c>
      <c r="V574" s="49" t="str">
        <f t="shared" si="37"/>
        <v>[W2220.B] 시밍#2 MOLD LOWER X1축(SD243) 가동 전원이 Off 되었습니다.</v>
      </c>
    </row>
    <row r="575" spans="1:22" s="49" customFormat="1" ht="14.15" customHeight="1">
      <c r="A575" s="43" t="s">
        <v>5599</v>
      </c>
      <c r="B575" s="44" t="s">
        <v>157</v>
      </c>
      <c r="C575" s="50"/>
      <c r="D575" s="10" t="s">
        <v>29</v>
      </c>
      <c r="E575" s="11"/>
      <c r="F575" s="11" t="s">
        <v>18</v>
      </c>
      <c r="G575" s="13"/>
      <c r="H575" s="45" t="s">
        <v>16</v>
      </c>
      <c r="I575" s="47"/>
      <c r="J575" s="12" t="s">
        <v>5099</v>
      </c>
      <c r="K575" s="13" t="s">
        <v>7375</v>
      </c>
      <c r="L575" s="99" t="str">
        <f t="shared" si="36"/>
        <v>W2220.C</v>
      </c>
      <c r="M575" s="13" t="s">
        <v>17</v>
      </c>
      <c r="N575" s="13"/>
      <c r="O575" s="13"/>
      <c r="P575" s="47"/>
      <c r="Q575" s="45" t="s">
        <v>3672</v>
      </c>
      <c r="R575" s="45" t="s">
        <v>5596</v>
      </c>
      <c r="S575" s="48"/>
      <c r="T575" s="49" t="str">
        <f t="shared" si="35"/>
        <v>[W2220.C]</v>
      </c>
      <c r="U575" s="12" t="str">
        <f t="shared" si="38"/>
        <v xml:space="preserve"> 시밍#2 MOLD LOWER X1축(SD243) 엔코더 이상이 검출되었습니다.</v>
      </c>
      <c r="V575" s="49" t="str">
        <f t="shared" si="37"/>
        <v>[W2220.C] 시밍#2 MOLD LOWER X1축(SD243) 엔코더 이상이 검출되었습니다.</v>
      </c>
    </row>
    <row r="576" spans="1:22" s="49" customFormat="1" ht="14.15" customHeight="1">
      <c r="A576" s="43" t="s">
        <v>5599</v>
      </c>
      <c r="B576" s="44" t="s">
        <v>157</v>
      </c>
      <c r="C576" s="50"/>
      <c r="D576" s="10" t="s">
        <v>29</v>
      </c>
      <c r="E576" s="11"/>
      <c r="F576" s="11" t="s">
        <v>18</v>
      </c>
      <c r="G576" s="13"/>
      <c r="H576" s="45" t="s">
        <v>16</v>
      </c>
      <c r="I576" s="47"/>
      <c r="J576" s="12" t="s">
        <v>5100</v>
      </c>
      <c r="K576" s="13" t="s">
        <v>7376</v>
      </c>
      <c r="L576" s="99" t="str">
        <f t="shared" si="36"/>
        <v>W2220.D</v>
      </c>
      <c r="M576" s="13" t="s">
        <v>17</v>
      </c>
      <c r="N576" s="13"/>
      <c r="O576" s="13"/>
      <c r="P576" s="47"/>
      <c r="Q576" s="45" t="s">
        <v>3672</v>
      </c>
      <c r="R576" s="45" t="s">
        <v>5596</v>
      </c>
      <c r="S576" s="48"/>
      <c r="T576" s="49" t="str">
        <f t="shared" si="35"/>
        <v>[W2220.D]</v>
      </c>
      <c r="U576" s="12" t="str">
        <f t="shared" si="38"/>
        <v xml:space="preserve"> 시밍#2 MOLD LOWER X1축(SD243) 과전류가 검출되었습니다.</v>
      </c>
      <c r="V576" s="49" t="str">
        <f t="shared" si="37"/>
        <v>[W2220.D] 시밍#2 MOLD LOWER X1축(SD243) 과전류가 검출되었습니다.</v>
      </c>
    </row>
    <row r="577" spans="1:22" s="49" customFormat="1" ht="14.15" customHeight="1">
      <c r="A577" s="43" t="s">
        <v>5599</v>
      </c>
      <c r="B577" s="44" t="s">
        <v>157</v>
      </c>
      <c r="C577" s="50"/>
      <c r="D577" s="10" t="s">
        <v>29</v>
      </c>
      <c r="E577" s="11"/>
      <c r="F577" s="11" t="s">
        <v>18</v>
      </c>
      <c r="G577" s="13"/>
      <c r="H577" s="45" t="s">
        <v>16</v>
      </c>
      <c r="I577" s="47"/>
      <c r="J577" s="12" t="s">
        <v>5101</v>
      </c>
      <c r="K577" s="13" t="s">
        <v>7377</v>
      </c>
      <c r="L577" s="99" t="str">
        <f t="shared" si="36"/>
        <v>W2220.E</v>
      </c>
      <c r="M577" s="13" t="s">
        <v>17</v>
      </c>
      <c r="N577" s="13"/>
      <c r="O577" s="13"/>
      <c r="P577" s="47"/>
      <c r="Q577" s="45" t="s">
        <v>3672</v>
      </c>
      <c r="R577" s="45" t="s">
        <v>5596</v>
      </c>
      <c r="S577" s="48"/>
      <c r="T577" s="49" t="str">
        <f t="shared" si="35"/>
        <v>[W2220.E]</v>
      </c>
      <c r="U577" s="12" t="str">
        <f t="shared" si="38"/>
        <v xml:space="preserve"> 시밍#2 MOLD LOWER X1축(SD243) 과부하가 검출되었습니다.</v>
      </c>
      <c r="V577" s="49" t="str">
        <f t="shared" si="37"/>
        <v>[W2220.E] 시밍#2 MOLD LOWER X1축(SD243) 과부하가 검출되었습니다.</v>
      </c>
    </row>
    <row r="578" spans="1:22" s="49" customFormat="1" ht="14.15" customHeight="1">
      <c r="A578" s="43" t="s">
        <v>5599</v>
      </c>
      <c r="B578" s="44" t="s">
        <v>157</v>
      </c>
      <c r="C578" s="50"/>
      <c r="D578" s="10" t="s">
        <v>29</v>
      </c>
      <c r="E578" s="11"/>
      <c r="F578" s="11" t="s">
        <v>18</v>
      </c>
      <c r="G578" s="13"/>
      <c r="H578" s="45" t="s">
        <v>16</v>
      </c>
      <c r="I578" s="47"/>
      <c r="J578" s="12" t="s">
        <v>5102</v>
      </c>
      <c r="K578" s="13" t="s">
        <v>7378</v>
      </c>
      <c r="L578" s="99" t="str">
        <f t="shared" si="36"/>
        <v>W2220.F</v>
      </c>
      <c r="M578" s="13" t="s">
        <v>17</v>
      </c>
      <c r="N578" s="13"/>
      <c r="O578" s="13"/>
      <c r="P578" s="47"/>
      <c r="Q578" s="45" t="s">
        <v>3672</v>
      </c>
      <c r="R578" s="45" t="s">
        <v>5596</v>
      </c>
      <c r="S578" s="48"/>
      <c r="T578" s="49" t="str">
        <f t="shared" si="35"/>
        <v>[W2220.F]</v>
      </c>
      <c r="U578" s="12" t="str">
        <f t="shared" si="38"/>
        <v xml:space="preserve"> 시밍#2 MOLD LOWER X1축(SD243)  </v>
      </c>
      <c r="V578" s="49" t="str">
        <f t="shared" si="37"/>
        <v xml:space="preserve">[W2220.F] 시밍#2 MOLD LOWER X1축(SD243)  </v>
      </c>
    </row>
    <row r="579" spans="1:22" s="49" customFormat="1" ht="14.15" customHeight="1">
      <c r="A579" s="43" t="s">
        <v>5599</v>
      </c>
      <c r="B579" s="44" t="s">
        <v>157</v>
      </c>
      <c r="C579" s="50"/>
      <c r="D579" s="10" t="s">
        <v>29</v>
      </c>
      <c r="E579" s="11"/>
      <c r="F579" s="11" t="s">
        <v>18</v>
      </c>
      <c r="G579" s="13"/>
      <c r="H579" s="45" t="s">
        <v>16</v>
      </c>
      <c r="I579" s="47"/>
      <c r="J579" s="12" t="s">
        <v>5103</v>
      </c>
      <c r="K579" s="13" t="s">
        <v>7379</v>
      </c>
      <c r="L579" s="99" t="str">
        <f t="shared" si="36"/>
        <v>W2221.0</v>
      </c>
      <c r="M579" s="13" t="s">
        <v>17</v>
      </c>
      <c r="N579" s="13"/>
      <c r="O579" s="13"/>
      <c r="P579" s="47"/>
      <c r="Q579" s="45" t="s">
        <v>3672</v>
      </c>
      <c r="R579" s="45" t="s">
        <v>5596</v>
      </c>
      <c r="S579" s="48"/>
      <c r="T579" s="49" t="str">
        <f t="shared" si="35"/>
        <v>[W2221.0]</v>
      </c>
      <c r="U579" s="12" t="str">
        <f t="shared" si="38"/>
        <v xml:space="preserve"> 시밍#2 MOLD LOWER X1축(SD243) 에러가 발생했습니다.</v>
      </c>
      <c r="V579" s="49" t="str">
        <f t="shared" si="37"/>
        <v>[W2221.0] 시밍#2 MOLD LOWER X1축(SD243) 에러가 발생했습니다.</v>
      </c>
    </row>
    <row r="580" spans="1:22" s="49" customFormat="1" ht="14.15" customHeight="1">
      <c r="A580" s="43" t="s">
        <v>5599</v>
      </c>
      <c r="B580" s="44" t="s">
        <v>157</v>
      </c>
      <c r="C580" s="50"/>
      <c r="D580" s="10" t="s">
        <v>29</v>
      </c>
      <c r="E580" s="11"/>
      <c r="F580" s="11" t="s">
        <v>18</v>
      </c>
      <c r="G580" s="13"/>
      <c r="H580" s="45" t="s">
        <v>16</v>
      </c>
      <c r="I580" s="47"/>
      <c r="J580" s="12" t="s">
        <v>5104</v>
      </c>
      <c r="K580" s="13" t="s">
        <v>7380</v>
      </c>
      <c r="L580" s="99" t="str">
        <f t="shared" si="36"/>
        <v>W2221.1</v>
      </c>
      <c r="M580" s="13" t="s">
        <v>17</v>
      </c>
      <c r="N580" s="13"/>
      <c r="O580" s="13"/>
      <c r="P580" s="47"/>
      <c r="Q580" s="45" t="s">
        <v>3672</v>
      </c>
      <c r="R580" s="45" t="s">
        <v>5596</v>
      </c>
      <c r="S580" s="48"/>
      <c r="T580" s="49" t="str">
        <f t="shared" si="35"/>
        <v>[W2221.1]</v>
      </c>
      <c r="U580" s="12" t="str">
        <f t="shared" si="38"/>
        <v xml:space="preserve"> 시밍#2 MOLD UPPER X2축(SD244) 운전중에 Ready가 Off 되었습니다.</v>
      </c>
      <c r="V580" s="49" t="str">
        <f t="shared" si="37"/>
        <v>[W2221.1] 시밍#2 MOLD UPPER X2축(SD244) 운전중에 Ready가 Off 되었습니다.</v>
      </c>
    </row>
    <row r="581" spans="1:22" s="49" customFormat="1" ht="14.15" customHeight="1">
      <c r="A581" s="43" t="s">
        <v>5599</v>
      </c>
      <c r="B581" s="44" t="s">
        <v>157</v>
      </c>
      <c r="C581" s="50"/>
      <c r="D581" s="10" t="s">
        <v>29</v>
      </c>
      <c r="E581" s="11"/>
      <c r="F581" s="11" t="s">
        <v>18</v>
      </c>
      <c r="G581" s="13"/>
      <c r="H581" s="45" t="s">
        <v>16</v>
      </c>
      <c r="I581" s="47"/>
      <c r="J581" s="12" t="s">
        <v>5105</v>
      </c>
      <c r="K581" s="13" t="s">
        <v>7381</v>
      </c>
      <c r="L581" s="99" t="str">
        <f t="shared" si="36"/>
        <v>W2221.2</v>
      </c>
      <c r="M581" s="13" t="s">
        <v>17</v>
      </c>
      <c r="N581" s="13"/>
      <c r="O581" s="13"/>
      <c r="P581" s="47"/>
      <c r="Q581" s="45" t="s">
        <v>3672</v>
      </c>
      <c r="R581" s="45" t="s">
        <v>5596</v>
      </c>
      <c r="S581" s="48"/>
      <c r="T581" s="49" t="str">
        <f t="shared" si="35"/>
        <v>[W2221.2]</v>
      </c>
      <c r="U581" s="12" t="str">
        <f t="shared" si="38"/>
        <v xml:space="preserve"> 시밍#2 MOLD UPPER X2축(SD244) FLS가 감지되었습니다.</v>
      </c>
      <c r="V581" s="49" t="str">
        <f t="shared" si="37"/>
        <v>[W2221.2] 시밍#2 MOLD UPPER X2축(SD244) FLS가 감지되었습니다.</v>
      </c>
    </row>
    <row r="582" spans="1:22" s="49" customFormat="1" ht="14.15" customHeight="1">
      <c r="A582" s="43" t="s">
        <v>5599</v>
      </c>
      <c r="B582" s="44" t="s">
        <v>157</v>
      </c>
      <c r="C582" s="50"/>
      <c r="D582" s="10" t="s">
        <v>29</v>
      </c>
      <c r="E582" s="11"/>
      <c r="F582" s="11" t="s">
        <v>18</v>
      </c>
      <c r="G582" s="13"/>
      <c r="H582" s="45" t="s">
        <v>16</v>
      </c>
      <c r="I582" s="47"/>
      <c r="J582" s="12" t="s">
        <v>5106</v>
      </c>
      <c r="K582" s="13" t="s">
        <v>7382</v>
      </c>
      <c r="L582" s="99" t="str">
        <f t="shared" si="36"/>
        <v>W2221.3</v>
      </c>
      <c r="M582" s="13" t="s">
        <v>17</v>
      </c>
      <c r="N582" s="13"/>
      <c r="O582" s="13"/>
      <c r="P582" s="47"/>
      <c r="Q582" s="45" t="s">
        <v>3672</v>
      </c>
      <c r="R582" s="45" t="s">
        <v>5596</v>
      </c>
      <c r="S582" s="48"/>
      <c r="T582" s="49" t="str">
        <f t="shared" si="35"/>
        <v>[W2221.3]</v>
      </c>
      <c r="U582" s="12" t="str">
        <f t="shared" si="38"/>
        <v xml:space="preserve"> 시밍#2 MOLD UPPER X2축(SD244) RLS가 감지되었습니다.</v>
      </c>
      <c r="V582" s="49" t="str">
        <f t="shared" si="37"/>
        <v>[W2221.3] 시밍#2 MOLD UPPER X2축(SD244) RLS가 감지되었습니다.</v>
      </c>
    </row>
    <row r="583" spans="1:22" s="49" customFormat="1" ht="14.15" customHeight="1">
      <c r="A583" s="43" t="s">
        <v>5599</v>
      </c>
      <c r="B583" s="44" t="s">
        <v>157</v>
      </c>
      <c r="C583" s="50"/>
      <c r="D583" s="10" t="s">
        <v>29</v>
      </c>
      <c r="E583" s="11"/>
      <c r="F583" s="11" t="s">
        <v>18</v>
      </c>
      <c r="G583" s="13"/>
      <c r="H583" s="45" t="s">
        <v>16</v>
      </c>
      <c r="I583" s="47"/>
      <c r="J583" s="12" t="s">
        <v>5107</v>
      </c>
      <c r="K583" s="13" t="s">
        <v>7383</v>
      </c>
      <c r="L583" s="99" t="str">
        <f t="shared" si="36"/>
        <v>W2221.4</v>
      </c>
      <c r="M583" s="13" t="s">
        <v>17</v>
      </c>
      <c r="N583" s="13"/>
      <c r="O583" s="13"/>
      <c r="P583" s="47"/>
      <c r="Q583" s="45" t="s">
        <v>3672</v>
      </c>
      <c r="R583" s="45" t="s">
        <v>5596</v>
      </c>
      <c r="S583" s="48"/>
      <c r="T583" s="49" t="str">
        <f t="shared" si="35"/>
        <v>[W2221.4]</v>
      </c>
      <c r="U583" s="12" t="str">
        <f t="shared" si="38"/>
        <v xml:space="preserve"> 시밍#2 MOLD UPPER X2축(SD244) Stop 명령이 On된 상태에서 기동을 시도했습니다.</v>
      </c>
      <c r="V583" s="49" t="str">
        <f t="shared" si="37"/>
        <v>[W2221.4] 시밍#2 MOLD UPPER X2축(SD244) Stop 명령이 On된 상태에서 기동을 시도했습니다.</v>
      </c>
    </row>
    <row r="584" spans="1:22" s="49" customFormat="1" ht="14.15" customHeight="1">
      <c r="A584" s="43" t="s">
        <v>5599</v>
      </c>
      <c r="B584" s="44" t="s">
        <v>157</v>
      </c>
      <c r="C584" s="50"/>
      <c r="D584" s="10" t="s">
        <v>29</v>
      </c>
      <c r="E584" s="11"/>
      <c r="F584" s="11" t="s">
        <v>18</v>
      </c>
      <c r="G584" s="13"/>
      <c r="H584" s="45" t="s">
        <v>16</v>
      </c>
      <c r="I584" s="47"/>
      <c r="J584" s="12" t="s">
        <v>5108</v>
      </c>
      <c r="K584" s="13" t="s">
        <v>7384</v>
      </c>
      <c r="L584" s="99" t="str">
        <f t="shared" si="36"/>
        <v>W2221.5</v>
      </c>
      <c r="M584" s="13" t="s">
        <v>17</v>
      </c>
      <c r="N584" s="13"/>
      <c r="O584" s="13"/>
      <c r="P584" s="47"/>
      <c r="Q584" s="45" t="s">
        <v>3672</v>
      </c>
      <c r="R584" s="45" t="s">
        <v>5596</v>
      </c>
      <c r="S584" s="48"/>
      <c r="T584" s="49" t="str">
        <f t="shared" si="35"/>
        <v>[W2221.5]</v>
      </c>
      <c r="U584" s="12" t="str">
        <f t="shared" si="38"/>
        <v xml:space="preserve"> 시밍#2 MOLD UPPER X2축(SD244) 가동 전원이 Off 되었습니다.</v>
      </c>
      <c r="V584" s="49" t="str">
        <f t="shared" si="37"/>
        <v>[W2221.5] 시밍#2 MOLD UPPER X2축(SD244) 가동 전원이 Off 되었습니다.</v>
      </c>
    </row>
    <row r="585" spans="1:22" s="49" customFormat="1" ht="14.15" customHeight="1">
      <c r="A585" s="43" t="s">
        <v>5599</v>
      </c>
      <c r="B585" s="44" t="s">
        <v>157</v>
      </c>
      <c r="C585" s="50"/>
      <c r="D585" s="10" t="s">
        <v>29</v>
      </c>
      <c r="E585" s="11"/>
      <c r="F585" s="11" t="s">
        <v>18</v>
      </c>
      <c r="G585" s="13"/>
      <c r="H585" s="45" t="s">
        <v>16</v>
      </c>
      <c r="I585" s="47"/>
      <c r="J585" s="12" t="s">
        <v>5109</v>
      </c>
      <c r="K585" s="13" t="s">
        <v>7385</v>
      </c>
      <c r="L585" s="99" t="str">
        <f t="shared" si="36"/>
        <v>W2221.6</v>
      </c>
      <c r="M585" s="13" t="s">
        <v>17</v>
      </c>
      <c r="N585" s="13"/>
      <c r="O585" s="13"/>
      <c r="P585" s="47"/>
      <c r="Q585" s="45" t="s">
        <v>3672</v>
      </c>
      <c r="R585" s="45" t="s">
        <v>5596</v>
      </c>
      <c r="S585" s="48"/>
      <c r="T585" s="49" t="str">
        <f t="shared" si="35"/>
        <v>[W2221.6]</v>
      </c>
      <c r="U585" s="12" t="str">
        <f t="shared" si="38"/>
        <v xml:space="preserve"> 시밍#2 MOLD UPPER X2축(SD244) 엔코더 이상이 검출되었습니다.</v>
      </c>
      <c r="V585" s="49" t="str">
        <f t="shared" si="37"/>
        <v>[W2221.6] 시밍#2 MOLD UPPER X2축(SD244) 엔코더 이상이 검출되었습니다.</v>
      </c>
    </row>
    <row r="586" spans="1:22" s="49" customFormat="1" ht="14.15" customHeight="1">
      <c r="A586" s="43" t="s">
        <v>5599</v>
      </c>
      <c r="B586" s="44" t="s">
        <v>157</v>
      </c>
      <c r="C586" s="50"/>
      <c r="D586" s="10" t="s">
        <v>29</v>
      </c>
      <c r="E586" s="11"/>
      <c r="F586" s="11" t="s">
        <v>18</v>
      </c>
      <c r="G586" s="13"/>
      <c r="H586" s="45" t="s">
        <v>16</v>
      </c>
      <c r="I586" s="47"/>
      <c r="J586" s="12" t="s">
        <v>5110</v>
      </c>
      <c r="K586" s="13" t="s">
        <v>7386</v>
      </c>
      <c r="L586" s="99" t="str">
        <f t="shared" si="36"/>
        <v>W2221.7</v>
      </c>
      <c r="M586" s="13" t="s">
        <v>17</v>
      </c>
      <c r="N586" s="13"/>
      <c r="O586" s="13"/>
      <c r="P586" s="47"/>
      <c r="Q586" s="45" t="s">
        <v>3672</v>
      </c>
      <c r="R586" s="45" t="s">
        <v>5596</v>
      </c>
      <c r="S586" s="48"/>
      <c r="T586" s="49" t="str">
        <f t="shared" si="35"/>
        <v>[W2221.7]</v>
      </c>
      <c r="U586" s="12" t="str">
        <f t="shared" si="38"/>
        <v xml:space="preserve"> 시밍#2 MOLD UPPER X2축(SD244) 과전류가 검출되었습니다.</v>
      </c>
      <c r="V586" s="49" t="str">
        <f t="shared" si="37"/>
        <v>[W2221.7] 시밍#2 MOLD UPPER X2축(SD244) 과전류가 검출되었습니다.</v>
      </c>
    </row>
    <row r="587" spans="1:22" s="49" customFormat="1" ht="14.15" customHeight="1">
      <c r="A587" s="43" t="s">
        <v>5599</v>
      </c>
      <c r="B587" s="44" t="s">
        <v>157</v>
      </c>
      <c r="C587" s="50"/>
      <c r="D587" s="10" t="s">
        <v>29</v>
      </c>
      <c r="E587" s="11"/>
      <c r="F587" s="11" t="s">
        <v>18</v>
      </c>
      <c r="G587" s="13"/>
      <c r="H587" s="45" t="s">
        <v>16</v>
      </c>
      <c r="I587" s="47"/>
      <c r="J587" s="12" t="s">
        <v>5111</v>
      </c>
      <c r="K587" s="13" t="s">
        <v>7387</v>
      </c>
      <c r="L587" s="99" t="str">
        <f t="shared" si="36"/>
        <v>W2221.8</v>
      </c>
      <c r="M587" s="13" t="s">
        <v>17</v>
      </c>
      <c r="N587" s="13"/>
      <c r="O587" s="13"/>
      <c r="P587" s="47"/>
      <c r="Q587" s="45" t="s">
        <v>3672</v>
      </c>
      <c r="R587" s="45" t="s">
        <v>5596</v>
      </c>
      <c r="S587" s="48"/>
      <c r="T587" s="49" t="str">
        <f t="shared" si="35"/>
        <v>[W2221.8]</v>
      </c>
      <c r="U587" s="12" t="str">
        <f t="shared" si="38"/>
        <v xml:space="preserve"> 시밍#2 MOLD UPPER X2축(SD244) 과부하가 검출되었습니다.</v>
      </c>
      <c r="V587" s="49" t="str">
        <f t="shared" si="37"/>
        <v>[W2221.8] 시밍#2 MOLD UPPER X2축(SD244) 과부하가 검출되었습니다.</v>
      </c>
    </row>
    <row r="588" spans="1:22" s="49" customFormat="1" ht="14.15" customHeight="1">
      <c r="A588" s="43" t="s">
        <v>5599</v>
      </c>
      <c r="B588" s="44" t="s">
        <v>157</v>
      </c>
      <c r="C588" s="50"/>
      <c r="D588" s="10" t="s">
        <v>29</v>
      </c>
      <c r="E588" s="11"/>
      <c r="F588" s="11" t="s">
        <v>18</v>
      </c>
      <c r="G588" s="13"/>
      <c r="H588" s="45" t="s">
        <v>16</v>
      </c>
      <c r="I588" s="47"/>
      <c r="J588" s="12" t="s">
        <v>5112</v>
      </c>
      <c r="K588" s="13" t="s">
        <v>7388</v>
      </c>
      <c r="L588" s="99" t="str">
        <f t="shared" si="36"/>
        <v>W2221.9</v>
      </c>
      <c r="M588" s="13" t="s">
        <v>17</v>
      </c>
      <c r="N588" s="13"/>
      <c r="O588" s="13"/>
      <c r="P588" s="47"/>
      <c r="Q588" s="45" t="s">
        <v>3672</v>
      </c>
      <c r="R588" s="45" t="s">
        <v>5596</v>
      </c>
      <c r="S588" s="48"/>
      <c r="T588" s="49" t="str">
        <f t="shared" si="35"/>
        <v>[W2221.9]</v>
      </c>
      <c r="U588" s="12" t="str">
        <f t="shared" si="38"/>
        <v xml:space="preserve"> 시밍#2 MOLD UPPER X2축(SD244)  </v>
      </c>
      <c r="V588" s="49" t="str">
        <f t="shared" si="37"/>
        <v xml:space="preserve">[W2221.9] 시밍#2 MOLD UPPER X2축(SD244)  </v>
      </c>
    </row>
    <row r="589" spans="1:22" s="49" customFormat="1" ht="14.15" customHeight="1">
      <c r="A589" s="43" t="s">
        <v>5599</v>
      </c>
      <c r="B589" s="44" t="s">
        <v>157</v>
      </c>
      <c r="C589" s="50"/>
      <c r="D589" s="10" t="s">
        <v>29</v>
      </c>
      <c r="E589" s="11"/>
      <c r="F589" s="11" t="s">
        <v>18</v>
      </c>
      <c r="G589" s="13"/>
      <c r="H589" s="45" t="s">
        <v>16</v>
      </c>
      <c r="I589" s="47"/>
      <c r="J589" s="12" t="s">
        <v>5113</v>
      </c>
      <c r="K589" s="13" t="s">
        <v>7389</v>
      </c>
      <c r="L589" s="99" t="str">
        <f t="shared" si="36"/>
        <v>W2221.A</v>
      </c>
      <c r="M589" s="13" t="s">
        <v>17</v>
      </c>
      <c r="N589" s="13"/>
      <c r="O589" s="13"/>
      <c r="P589" s="47"/>
      <c r="Q589" s="45" t="s">
        <v>3672</v>
      </c>
      <c r="R589" s="45" t="s">
        <v>5596</v>
      </c>
      <c r="S589" s="48"/>
      <c r="T589" s="49" t="str">
        <f t="shared" si="35"/>
        <v>[W2221.A]</v>
      </c>
      <c r="U589" s="12" t="str">
        <f t="shared" si="38"/>
        <v xml:space="preserve"> 시밍#2 MOLD UPPER X2축(SD244) 에러가 발생했습니다.</v>
      </c>
      <c r="V589" s="49" t="str">
        <f t="shared" si="37"/>
        <v>[W2221.A] 시밍#2 MOLD UPPER X2축(SD244) 에러가 발생했습니다.</v>
      </c>
    </row>
    <row r="590" spans="1:22" s="49" customFormat="1" ht="14.15" customHeight="1">
      <c r="A590" s="43" t="s">
        <v>5600</v>
      </c>
      <c r="B590" s="44" t="s">
        <v>157</v>
      </c>
      <c r="C590" s="50"/>
      <c r="D590" s="10" t="s">
        <v>29</v>
      </c>
      <c r="E590" s="11"/>
      <c r="F590" s="11" t="s">
        <v>18</v>
      </c>
      <c r="G590" s="13"/>
      <c r="H590" s="45" t="s">
        <v>16</v>
      </c>
      <c r="I590" s="47"/>
      <c r="J590" s="12" t="s">
        <v>5114</v>
      </c>
      <c r="K590" s="13" t="s">
        <v>7390</v>
      </c>
      <c r="L590" s="99" t="str">
        <f t="shared" si="36"/>
        <v>W2221.B</v>
      </c>
      <c r="M590" s="13" t="s">
        <v>17</v>
      </c>
      <c r="N590" s="13"/>
      <c r="O590" s="13"/>
      <c r="P590" s="47"/>
      <c r="Q590" s="45" t="s">
        <v>3672</v>
      </c>
      <c r="R590" s="45" t="s">
        <v>5596</v>
      </c>
      <c r="S590" s="48"/>
      <c r="T590" s="49" t="str">
        <f t="shared" si="35"/>
        <v>[W2221.B]</v>
      </c>
      <c r="U590" s="12" t="str">
        <f t="shared" si="38"/>
        <v xml:space="preserve"> 플랜징#2 CLAMP 1축(SD245) 운전중에 Ready가 Off 되었습니다.</v>
      </c>
      <c r="V590" s="49" t="str">
        <f t="shared" si="37"/>
        <v>[W2221.B] 플랜징#2 CLAMP 1축(SD245) 운전중에 Ready가 Off 되었습니다.</v>
      </c>
    </row>
    <row r="591" spans="1:22" s="49" customFormat="1" ht="14.15" customHeight="1">
      <c r="A591" s="43" t="s">
        <v>5600</v>
      </c>
      <c r="B591" s="44" t="s">
        <v>157</v>
      </c>
      <c r="C591" s="50"/>
      <c r="D591" s="10" t="s">
        <v>29</v>
      </c>
      <c r="E591" s="11"/>
      <c r="F591" s="11" t="s">
        <v>18</v>
      </c>
      <c r="G591" s="13"/>
      <c r="H591" s="45" t="s">
        <v>16</v>
      </c>
      <c r="I591" s="47"/>
      <c r="J591" s="12" t="s">
        <v>5115</v>
      </c>
      <c r="K591" s="13" t="s">
        <v>7391</v>
      </c>
      <c r="L591" s="99" t="str">
        <f t="shared" si="36"/>
        <v>W2221.C</v>
      </c>
      <c r="M591" s="13" t="s">
        <v>17</v>
      </c>
      <c r="N591" s="13"/>
      <c r="O591" s="13"/>
      <c r="P591" s="47"/>
      <c r="Q591" s="45" t="s">
        <v>3672</v>
      </c>
      <c r="R591" s="45" t="s">
        <v>5596</v>
      </c>
      <c r="S591" s="48"/>
      <c r="T591" s="49" t="str">
        <f t="shared" si="35"/>
        <v>[W2221.C]</v>
      </c>
      <c r="U591" s="12" t="str">
        <f t="shared" si="38"/>
        <v xml:space="preserve"> 플랜징#2 CLAMP 1축(SD245) FLS가 감지되었습니다.</v>
      </c>
      <c r="V591" s="49" t="str">
        <f t="shared" si="37"/>
        <v>[W2221.C] 플랜징#2 CLAMP 1축(SD245) FLS가 감지되었습니다.</v>
      </c>
    </row>
    <row r="592" spans="1:22" s="49" customFormat="1" ht="14.15" customHeight="1">
      <c r="A592" s="43" t="s">
        <v>5600</v>
      </c>
      <c r="B592" s="44" t="s">
        <v>157</v>
      </c>
      <c r="C592" s="50"/>
      <c r="D592" s="10" t="s">
        <v>29</v>
      </c>
      <c r="E592" s="11"/>
      <c r="F592" s="11" t="s">
        <v>18</v>
      </c>
      <c r="G592" s="13"/>
      <c r="H592" s="45" t="s">
        <v>16</v>
      </c>
      <c r="I592" s="47"/>
      <c r="J592" s="12" t="s">
        <v>5116</v>
      </c>
      <c r="K592" s="13" t="s">
        <v>7392</v>
      </c>
      <c r="L592" s="99" t="str">
        <f t="shared" si="36"/>
        <v>W2221.D</v>
      </c>
      <c r="M592" s="13" t="s">
        <v>17</v>
      </c>
      <c r="N592" s="13"/>
      <c r="O592" s="13"/>
      <c r="P592" s="47"/>
      <c r="Q592" s="45" t="s">
        <v>3672</v>
      </c>
      <c r="R592" s="45" t="s">
        <v>5596</v>
      </c>
      <c r="S592" s="48"/>
      <c r="T592" s="49" t="str">
        <f t="shared" si="35"/>
        <v>[W2221.D]</v>
      </c>
      <c r="U592" s="12" t="str">
        <f t="shared" si="38"/>
        <v xml:space="preserve"> 플랜징#2 CLAMP 1축(SD245) RLS가 감지되었습니다.</v>
      </c>
      <c r="V592" s="49" t="str">
        <f t="shared" si="37"/>
        <v>[W2221.D] 플랜징#2 CLAMP 1축(SD245) RLS가 감지되었습니다.</v>
      </c>
    </row>
    <row r="593" spans="1:22" s="49" customFormat="1" ht="14.15" customHeight="1">
      <c r="A593" s="43" t="s">
        <v>5600</v>
      </c>
      <c r="B593" s="44" t="s">
        <v>157</v>
      </c>
      <c r="C593" s="50"/>
      <c r="D593" s="10" t="s">
        <v>29</v>
      </c>
      <c r="E593" s="11"/>
      <c r="F593" s="11" t="s">
        <v>18</v>
      </c>
      <c r="G593" s="13"/>
      <c r="H593" s="45" t="s">
        <v>16</v>
      </c>
      <c r="I593" s="47"/>
      <c r="J593" s="12" t="s">
        <v>5117</v>
      </c>
      <c r="K593" s="13" t="s">
        <v>7393</v>
      </c>
      <c r="L593" s="99" t="str">
        <f t="shared" si="36"/>
        <v>W2221.E</v>
      </c>
      <c r="M593" s="13" t="s">
        <v>17</v>
      </c>
      <c r="N593" s="13"/>
      <c r="O593" s="13"/>
      <c r="P593" s="47"/>
      <c r="Q593" s="45" t="s">
        <v>3672</v>
      </c>
      <c r="R593" s="45" t="s">
        <v>5596</v>
      </c>
      <c r="S593" s="48"/>
      <c r="T593" s="49" t="str">
        <f t="shared" si="35"/>
        <v>[W2221.E]</v>
      </c>
      <c r="U593" s="12" t="str">
        <f t="shared" si="38"/>
        <v xml:space="preserve"> 플랜징#2 CLAMP 1축(SD245) Stop 명령이 On된 상태에서 기동을 시도했습니다.</v>
      </c>
      <c r="V593" s="49" t="str">
        <f t="shared" si="37"/>
        <v>[W2221.E] 플랜징#2 CLAMP 1축(SD245) Stop 명령이 On된 상태에서 기동을 시도했습니다.</v>
      </c>
    </row>
    <row r="594" spans="1:22" s="49" customFormat="1" ht="14.15" customHeight="1">
      <c r="A594" s="43" t="s">
        <v>5600</v>
      </c>
      <c r="B594" s="44" t="s">
        <v>157</v>
      </c>
      <c r="C594" s="50"/>
      <c r="D594" s="10" t="s">
        <v>29</v>
      </c>
      <c r="E594" s="11"/>
      <c r="F594" s="11" t="s">
        <v>18</v>
      </c>
      <c r="G594" s="13"/>
      <c r="H594" s="45" t="s">
        <v>16</v>
      </c>
      <c r="I594" s="47"/>
      <c r="J594" s="12" t="s">
        <v>5118</v>
      </c>
      <c r="K594" s="13" t="s">
        <v>7394</v>
      </c>
      <c r="L594" s="99" t="str">
        <f t="shared" si="36"/>
        <v>W2221.F</v>
      </c>
      <c r="M594" s="13" t="s">
        <v>17</v>
      </c>
      <c r="N594" s="13"/>
      <c r="O594" s="13"/>
      <c r="P594" s="47"/>
      <c r="Q594" s="45" t="s">
        <v>3672</v>
      </c>
      <c r="R594" s="45" t="s">
        <v>5596</v>
      </c>
      <c r="S594" s="48"/>
      <c r="T594" s="49" t="str">
        <f t="shared" si="35"/>
        <v>[W2221.F]</v>
      </c>
      <c r="U594" s="12" t="str">
        <f t="shared" si="38"/>
        <v xml:space="preserve"> 플랜징#2 CLAMP 1축(SD245) 가동 전원이 Off 되었습니다.</v>
      </c>
      <c r="V594" s="49" t="str">
        <f t="shared" si="37"/>
        <v>[W2221.F] 플랜징#2 CLAMP 1축(SD245) 가동 전원이 Off 되었습니다.</v>
      </c>
    </row>
    <row r="595" spans="1:22" s="49" customFormat="1" ht="14.15" customHeight="1">
      <c r="A595" s="43" t="s">
        <v>5600</v>
      </c>
      <c r="B595" s="44" t="s">
        <v>157</v>
      </c>
      <c r="C595" s="50"/>
      <c r="D595" s="10" t="s">
        <v>29</v>
      </c>
      <c r="E595" s="11"/>
      <c r="F595" s="11" t="s">
        <v>18</v>
      </c>
      <c r="G595" s="13"/>
      <c r="H595" s="45" t="s">
        <v>16</v>
      </c>
      <c r="I595" s="46"/>
      <c r="J595" s="12" t="s">
        <v>5119</v>
      </c>
      <c r="K595" s="13" t="s">
        <v>7395</v>
      </c>
      <c r="L595" s="99" t="str">
        <f t="shared" si="36"/>
        <v>W2222.0</v>
      </c>
      <c r="M595" s="13" t="s">
        <v>17</v>
      </c>
      <c r="N595" s="13"/>
      <c r="O595" s="13"/>
      <c r="P595" s="47"/>
      <c r="Q595" s="45" t="s">
        <v>3672</v>
      </c>
      <c r="R595" s="45" t="s">
        <v>5596</v>
      </c>
      <c r="S595" s="48"/>
      <c r="T595" s="49" t="str">
        <f t="shared" si="35"/>
        <v>[W2222.0]</v>
      </c>
      <c r="U595" s="12" t="str">
        <f t="shared" si="38"/>
        <v xml:space="preserve"> 플랜징#2 CLAMP 1축(SD245) 엔코더 이상이 검출되었습니다.</v>
      </c>
      <c r="V595" s="49" t="str">
        <f t="shared" si="37"/>
        <v>[W2222.0] 플랜징#2 CLAMP 1축(SD245) 엔코더 이상이 검출되었습니다.</v>
      </c>
    </row>
    <row r="596" spans="1:22" s="49" customFormat="1" ht="14.15" customHeight="1">
      <c r="A596" s="43" t="s">
        <v>5600</v>
      </c>
      <c r="B596" s="44" t="s">
        <v>157</v>
      </c>
      <c r="C596" s="50"/>
      <c r="D596" s="10" t="s">
        <v>29</v>
      </c>
      <c r="E596" s="11"/>
      <c r="F596" s="11" t="s">
        <v>18</v>
      </c>
      <c r="G596" s="13"/>
      <c r="H596" s="45" t="s">
        <v>16</v>
      </c>
      <c r="I596" s="47"/>
      <c r="J596" s="12" t="s">
        <v>5120</v>
      </c>
      <c r="K596" s="13" t="s">
        <v>7396</v>
      </c>
      <c r="L596" s="99" t="str">
        <f t="shared" si="36"/>
        <v>W2222.1</v>
      </c>
      <c r="M596" s="13" t="s">
        <v>17</v>
      </c>
      <c r="N596" s="13"/>
      <c r="O596" s="13"/>
      <c r="P596" s="47"/>
      <c r="Q596" s="45" t="s">
        <v>3672</v>
      </c>
      <c r="R596" s="45" t="s">
        <v>5596</v>
      </c>
      <c r="S596" s="48"/>
      <c r="T596" s="49" t="str">
        <f t="shared" si="35"/>
        <v>[W2222.1]</v>
      </c>
      <c r="U596" s="12" t="str">
        <f t="shared" si="38"/>
        <v xml:space="preserve"> 플랜징#2 CLAMP 1축(SD245) 과전류가 검출되었습니다.</v>
      </c>
      <c r="V596" s="49" t="str">
        <f t="shared" si="37"/>
        <v>[W2222.1] 플랜징#2 CLAMP 1축(SD245) 과전류가 검출되었습니다.</v>
      </c>
    </row>
    <row r="597" spans="1:22" s="49" customFormat="1" ht="14.15" customHeight="1">
      <c r="A597" s="43" t="s">
        <v>5600</v>
      </c>
      <c r="B597" s="44" t="s">
        <v>157</v>
      </c>
      <c r="C597" s="50"/>
      <c r="D597" s="10" t="s">
        <v>29</v>
      </c>
      <c r="E597" s="11"/>
      <c r="F597" s="11" t="s">
        <v>18</v>
      </c>
      <c r="G597" s="13"/>
      <c r="H597" s="45" t="s">
        <v>16</v>
      </c>
      <c r="I597" s="46"/>
      <c r="J597" s="12" t="s">
        <v>5121</v>
      </c>
      <c r="K597" s="13" t="s">
        <v>7397</v>
      </c>
      <c r="L597" s="99" t="str">
        <f t="shared" si="36"/>
        <v>W2222.2</v>
      </c>
      <c r="M597" s="13" t="s">
        <v>17</v>
      </c>
      <c r="N597" s="13"/>
      <c r="O597" s="13"/>
      <c r="P597" s="47"/>
      <c r="Q597" s="45" t="s">
        <v>3672</v>
      </c>
      <c r="R597" s="45" t="s">
        <v>5596</v>
      </c>
      <c r="S597" s="48"/>
      <c r="T597" s="49" t="str">
        <f t="shared" si="35"/>
        <v>[W2222.2]</v>
      </c>
      <c r="U597" s="12" t="str">
        <f t="shared" si="38"/>
        <v xml:space="preserve"> 플랜징#2 CLAMP 1축(SD245) 과부하가 검출되었습니다.</v>
      </c>
      <c r="V597" s="49" t="str">
        <f t="shared" si="37"/>
        <v>[W2222.2] 플랜징#2 CLAMP 1축(SD245) 과부하가 검출되었습니다.</v>
      </c>
    </row>
    <row r="598" spans="1:22" s="49" customFormat="1" ht="14.15" customHeight="1">
      <c r="A598" s="43" t="s">
        <v>5600</v>
      </c>
      <c r="B598" s="44" t="s">
        <v>157</v>
      </c>
      <c r="C598" s="50"/>
      <c r="D598" s="10" t="s">
        <v>29</v>
      </c>
      <c r="E598" s="11"/>
      <c r="F598" s="11" t="s">
        <v>18</v>
      </c>
      <c r="G598" s="13"/>
      <c r="H598" s="45" t="s">
        <v>16</v>
      </c>
      <c r="I598" s="46"/>
      <c r="J598" s="12" t="s">
        <v>5122</v>
      </c>
      <c r="K598" s="13" t="s">
        <v>7398</v>
      </c>
      <c r="L598" s="99" t="str">
        <f t="shared" si="36"/>
        <v>W2222.3</v>
      </c>
      <c r="M598" s="13" t="s">
        <v>17</v>
      </c>
      <c r="N598" s="13"/>
      <c r="O598" s="13"/>
      <c r="P598" s="47"/>
      <c r="Q598" s="45" t="s">
        <v>3672</v>
      </c>
      <c r="R598" s="45" t="s">
        <v>5596</v>
      </c>
      <c r="S598" s="48"/>
      <c r="T598" s="49" t="str">
        <f t="shared" si="35"/>
        <v>[W2222.3]</v>
      </c>
      <c r="U598" s="12" t="str">
        <f t="shared" si="38"/>
        <v xml:space="preserve"> 플랜징#2 CLAMP 1축(SD245)  </v>
      </c>
      <c r="V598" s="49" t="str">
        <f t="shared" si="37"/>
        <v xml:space="preserve">[W2222.3] 플랜징#2 CLAMP 1축(SD245)  </v>
      </c>
    </row>
    <row r="599" spans="1:22" s="49" customFormat="1" ht="14.15" customHeight="1">
      <c r="A599" s="43" t="s">
        <v>5600</v>
      </c>
      <c r="B599" s="44" t="s">
        <v>157</v>
      </c>
      <c r="C599" s="50"/>
      <c r="D599" s="10" t="s">
        <v>29</v>
      </c>
      <c r="E599" s="11"/>
      <c r="F599" s="11" t="s">
        <v>18</v>
      </c>
      <c r="G599" s="13"/>
      <c r="H599" s="45" t="s">
        <v>16</v>
      </c>
      <c r="I599" s="46"/>
      <c r="J599" s="12" t="s">
        <v>5123</v>
      </c>
      <c r="K599" s="13" t="s">
        <v>7399</v>
      </c>
      <c r="L599" s="99" t="str">
        <f t="shared" si="36"/>
        <v>W2222.4</v>
      </c>
      <c r="M599" s="13" t="s">
        <v>17</v>
      </c>
      <c r="N599" s="13"/>
      <c r="O599" s="13"/>
      <c r="P599" s="47"/>
      <c r="Q599" s="45" t="s">
        <v>3672</v>
      </c>
      <c r="R599" s="45" t="s">
        <v>5596</v>
      </c>
      <c r="S599" s="48"/>
      <c r="T599" s="49" t="str">
        <f t="shared" si="35"/>
        <v>[W2222.4]</v>
      </c>
      <c r="U599" s="12" t="str">
        <f t="shared" si="38"/>
        <v xml:space="preserve"> 플랜징#2 CLAMP 1축(SD245) 에러가 발생했습니다.</v>
      </c>
      <c r="V599" s="49" t="str">
        <f t="shared" si="37"/>
        <v>[W2222.4] 플랜징#2 CLAMP 1축(SD245) 에러가 발생했습니다.</v>
      </c>
    </row>
    <row r="600" spans="1:22" s="49" customFormat="1" ht="14.15" customHeight="1">
      <c r="A600" s="43" t="s">
        <v>5600</v>
      </c>
      <c r="B600" s="44" t="s">
        <v>157</v>
      </c>
      <c r="C600" s="50"/>
      <c r="D600" s="10" t="s">
        <v>29</v>
      </c>
      <c r="E600" s="11"/>
      <c r="F600" s="11" t="s">
        <v>18</v>
      </c>
      <c r="G600" s="13"/>
      <c r="H600" s="45" t="s">
        <v>16</v>
      </c>
      <c r="I600" s="46"/>
      <c r="J600" s="12" t="s">
        <v>5124</v>
      </c>
      <c r="K600" s="13" t="s">
        <v>7400</v>
      </c>
      <c r="L600" s="99" t="str">
        <f t="shared" si="36"/>
        <v>W2222.5</v>
      </c>
      <c r="M600" s="13" t="s">
        <v>17</v>
      </c>
      <c r="N600" s="13"/>
      <c r="O600" s="13"/>
      <c r="P600" s="47"/>
      <c r="Q600" s="45" t="s">
        <v>3672</v>
      </c>
      <c r="R600" s="45" t="s">
        <v>5596</v>
      </c>
      <c r="S600" s="48"/>
      <c r="T600" s="49" t="str">
        <f t="shared" si="35"/>
        <v>[W2222.5]</v>
      </c>
      <c r="U600" s="12" t="str">
        <f t="shared" si="38"/>
        <v xml:space="preserve"> 플랜징#2 CLAMP 2축(SD246) 운전중에 Ready가 Off 되었습니다.</v>
      </c>
      <c r="V600" s="49" t="str">
        <f t="shared" si="37"/>
        <v>[W2222.5] 플랜징#2 CLAMP 2축(SD246) 운전중에 Ready가 Off 되었습니다.</v>
      </c>
    </row>
    <row r="601" spans="1:22" s="49" customFormat="1" ht="14.15" customHeight="1">
      <c r="A601" s="43" t="s">
        <v>5600</v>
      </c>
      <c r="B601" s="44" t="s">
        <v>157</v>
      </c>
      <c r="C601" s="50"/>
      <c r="D601" s="10" t="s">
        <v>29</v>
      </c>
      <c r="E601" s="11"/>
      <c r="F601" s="11" t="s">
        <v>18</v>
      </c>
      <c r="G601" s="13"/>
      <c r="H601" s="45" t="s">
        <v>16</v>
      </c>
      <c r="I601" s="46"/>
      <c r="J601" s="12" t="s">
        <v>5125</v>
      </c>
      <c r="K601" s="13" t="s">
        <v>7401</v>
      </c>
      <c r="L601" s="99" t="str">
        <f t="shared" si="36"/>
        <v>W2222.6</v>
      </c>
      <c r="M601" s="13" t="s">
        <v>17</v>
      </c>
      <c r="N601" s="13"/>
      <c r="O601" s="13"/>
      <c r="P601" s="47"/>
      <c r="Q601" s="45" t="s">
        <v>3672</v>
      </c>
      <c r="R601" s="45" t="s">
        <v>5596</v>
      </c>
      <c r="S601" s="48"/>
      <c r="T601" s="49" t="str">
        <f t="shared" si="35"/>
        <v>[W2222.6]</v>
      </c>
      <c r="U601" s="12" t="str">
        <f t="shared" si="38"/>
        <v xml:space="preserve"> 플랜징#2 CLAMP 2축(SD246) FLS가 감지되었습니다.</v>
      </c>
      <c r="V601" s="49" t="str">
        <f t="shared" si="37"/>
        <v>[W2222.6] 플랜징#2 CLAMP 2축(SD246) FLS가 감지되었습니다.</v>
      </c>
    </row>
    <row r="602" spans="1:22" s="49" customFormat="1" ht="14.15" customHeight="1">
      <c r="A602" s="43" t="s">
        <v>5600</v>
      </c>
      <c r="B602" s="44" t="s">
        <v>157</v>
      </c>
      <c r="C602" s="50"/>
      <c r="D602" s="10" t="s">
        <v>29</v>
      </c>
      <c r="E602" s="11"/>
      <c r="F602" s="11" t="s">
        <v>18</v>
      </c>
      <c r="G602" s="13"/>
      <c r="H602" s="45" t="s">
        <v>16</v>
      </c>
      <c r="I602" s="46"/>
      <c r="J602" s="12" t="s">
        <v>5126</v>
      </c>
      <c r="K602" s="13" t="s">
        <v>7402</v>
      </c>
      <c r="L602" s="99" t="str">
        <f t="shared" si="36"/>
        <v>W2222.7</v>
      </c>
      <c r="M602" s="13" t="s">
        <v>17</v>
      </c>
      <c r="N602" s="13"/>
      <c r="O602" s="13"/>
      <c r="P602" s="47"/>
      <c r="Q602" s="45" t="s">
        <v>3672</v>
      </c>
      <c r="R602" s="45" t="s">
        <v>5596</v>
      </c>
      <c r="S602" s="48"/>
      <c r="T602" s="49" t="str">
        <f t="shared" si="35"/>
        <v>[W2222.7]</v>
      </c>
      <c r="U602" s="12" t="str">
        <f t="shared" si="38"/>
        <v xml:space="preserve"> 플랜징#2 CLAMP 2축(SD246) RLS가 감지되었습니다.</v>
      </c>
      <c r="V602" s="49" t="str">
        <f t="shared" si="37"/>
        <v>[W2222.7] 플랜징#2 CLAMP 2축(SD246) RLS가 감지되었습니다.</v>
      </c>
    </row>
    <row r="603" spans="1:22" s="49" customFormat="1" ht="14.15" customHeight="1">
      <c r="A603" s="43" t="s">
        <v>5600</v>
      </c>
      <c r="B603" s="44" t="s">
        <v>157</v>
      </c>
      <c r="C603" s="50"/>
      <c r="D603" s="10" t="s">
        <v>29</v>
      </c>
      <c r="E603" s="11"/>
      <c r="F603" s="11" t="s">
        <v>18</v>
      </c>
      <c r="G603" s="13"/>
      <c r="H603" s="45" t="s">
        <v>16</v>
      </c>
      <c r="I603" s="46"/>
      <c r="J603" s="12" t="s">
        <v>5127</v>
      </c>
      <c r="K603" s="13" t="s">
        <v>7403</v>
      </c>
      <c r="L603" s="99" t="str">
        <f t="shared" si="36"/>
        <v>W2222.8</v>
      </c>
      <c r="M603" s="13" t="s">
        <v>17</v>
      </c>
      <c r="N603" s="13"/>
      <c r="O603" s="13"/>
      <c r="P603" s="47"/>
      <c r="Q603" s="45" t="s">
        <v>3672</v>
      </c>
      <c r="R603" s="45" t="s">
        <v>5596</v>
      </c>
      <c r="S603" s="48"/>
      <c r="T603" s="49" t="str">
        <f t="shared" si="35"/>
        <v>[W2222.8]</v>
      </c>
      <c r="U603" s="12" t="str">
        <f t="shared" si="38"/>
        <v xml:space="preserve"> 플랜징#2 CLAMP 2축(SD246) Stop 명령이 On된 상태에서 기동을 시도했습니다.</v>
      </c>
      <c r="V603" s="49" t="str">
        <f t="shared" si="37"/>
        <v>[W2222.8] 플랜징#2 CLAMP 2축(SD246) Stop 명령이 On된 상태에서 기동을 시도했습니다.</v>
      </c>
    </row>
    <row r="604" spans="1:22" s="49" customFormat="1" ht="14.15" customHeight="1">
      <c r="A604" s="43" t="s">
        <v>5600</v>
      </c>
      <c r="B604" s="44" t="s">
        <v>157</v>
      </c>
      <c r="C604" s="50"/>
      <c r="D604" s="10" t="s">
        <v>29</v>
      </c>
      <c r="E604" s="11"/>
      <c r="F604" s="11" t="s">
        <v>18</v>
      </c>
      <c r="G604" s="13"/>
      <c r="H604" s="45" t="s">
        <v>16</v>
      </c>
      <c r="I604" s="46"/>
      <c r="J604" s="12" t="s">
        <v>5128</v>
      </c>
      <c r="K604" s="13" t="s">
        <v>7404</v>
      </c>
      <c r="L604" s="99" t="str">
        <f t="shared" si="36"/>
        <v>W2222.9</v>
      </c>
      <c r="M604" s="13" t="s">
        <v>17</v>
      </c>
      <c r="N604" s="13"/>
      <c r="O604" s="13"/>
      <c r="P604" s="47"/>
      <c r="Q604" s="45" t="s">
        <v>3672</v>
      </c>
      <c r="R604" s="45" t="s">
        <v>5596</v>
      </c>
      <c r="S604" s="48"/>
      <c r="T604" s="49" t="str">
        <f t="shared" si="35"/>
        <v>[W2222.9]</v>
      </c>
      <c r="U604" s="12" t="str">
        <f t="shared" si="38"/>
        <v xml:space="preserve"> 플랜징#2 CLAMP 2축(SD246) 가동 전원이 Off 되었습니다.</v>
      </c>
      <c r="V604" s="49" t="str">
        <f t="shared" si="37"/>
        <v>[W2222.9] 플랜징#2 CLAMP 2축(SD246) 가동 전원이 Off 되었습니다.</v>
      </c>
    </row>
    <row r="605" spans="1:22" s="49" customFormat="1" ht="14.15" customHeight="1">
      <c r="A605" s="43" t="s">
        <v>5600</v>
      </c>
      <c r="B605" s="44" t="s">
        <v>157</v>
      </c>
      <c r="C605" s="50"/>
      <c r="D605" s="10" t="s">
        <v>29</v>
      </c>
      <c r="E605" s="11"/>
      <c r="F605" s="11" t="s">
        <v>18</v>
      </c>
      <c r="G605" s="13"/>
      <c r="H605" s="45" t="s">
        <v>16</v>
      </c>
      <c r="I605" s="46"/>
      <c r="J605" s="12" t="s">
        <v>5129</v>
      </c>
      <c r="K605" s="13" t="s">
        <v>7405</v>
      </c>
      <c r="L605" s="99" t="str">
        <f t="shared" si="36"/>
        <v>W2222.A</v>
      </c>
      <c r="M605" s="13" t="s">
        <v>17</v>
      </c>
      <c r="N605" s="13"/>
      <c r="O605" s="13"/>
      <c r="P605" s="47"/>
      <c r="Q605" s="45" t="s">
        <v>3672</v>
      </c>
      <c r="R605" s="45" t="s">
        <v>5596</v>
      </c>
      <c r="S605" s="48"/>
      <c r="T605" s="49" t="str">
        <f t="shared" si="35"/>
        <v>[W2222.A]</v>
      </c>
      <c r="U605" s="12" t="str">
        <f t="shared" si="38"/>
        <v xml:space="preserve"> 플랜징#2 CLAMP 2축(SD246) 엔코더 이상이 검출되었습니다.</v>
      </c>
      <c r="V605" s="49" t="str">
        <f t="shared" si="37"/>
        <v>[W2222.A] 플랜징#2 CLAMP 2축(SD246) 엔코더 이상이 검출되었습니다.</v>
      </c>
    </row>
    <row r="606" spans="1:22" s="49" customFormat="1" ht="14.15" customHeight="1">
      <c r="A606" s="43" t="s">
        <v>5600</v>
      </c>
      <c r="B606" s="44" t="s">
        <v>157</v>
      </c>
      <c r="C606" s="50"/>
      <c r="D606" s="10" t="s">
        <v>29</v>
      </c>
      <c r="E606" s="11"/>
      <c r="F606" s="11" t="s">
        <v>18</v>
      </c>
      <c r="G606" s="13"/>
      <c r="H606" s="45" t="s">
        <v>16</v>
      </c>
      <c r="I606" s="46"/>
      <c r="J606" s="12" t="s">
        <v>5130</v>
      </c>
      <c r="K606" s="13" t="s">
        <v>7406</v>
      </c>
      <c r="L606" s="99" t="str">
        <f t="shared" si="36"/>
        <v>W2222.B</v>
      </c>
      <c r="M606" s="13" t="s">
        <v>17</v>
      </c>
      <c r="N606" s="13"/>
      <c r="O606" s="13"/>
      <c r="P606" s="47"/>
      <c r="Q606" s="45" t="s">
        <v>3672</v>
      </c>
      <c r="R606" s="45" t="s">
        <v>5596</v>
      </c>
      <c r="S606" s="48"/>
      <c r="T606" s="49" t="str">
        <f t="shared" si="35"/>
        <v>[W2222.B]</v>
      </c>
      <c r="U606" s="12" t="str">
        <f t="shared" si="38"/>
        <v xml:space="preserve"> 플랜징#2 CLAMP 2축(SD246) 과전류가 검출되었습니다.</v>
      </c>
      <c r="V606" s="49" t="str">
        <f t="shared" si="37"/>
        <v>[W2222.B] 플랜징#2 CLAMP 2축(SD246) 과전류가 검출되었습니다.</v>
      </c>
    </row>
    <row r="607" spans="1:22" s="49" customFormat="1" ht="14.15" customHeight="1">
      <c r="A607" s="43" t="s">
        <v>5600</v>
      </c>
      <c r="B607" s="44" t="s">
        <v>157</v>
      </c>
      <c r="C607" s="50"/>
      <c r="D607" s="10" t="s">
        <v>29</v>
      </c>
      <c r="E607" s="11"/>
      <c r="F607" s="11" t="s">
        <v>18</v>
      </c>
      <c r="G607" s="13"/>
      <c r="H607" s="45" t="s">
        <v>16</v>
      </c>
      <c r="I607" s="46"/>
      <c r="J607" s="12" t="s">
        <v>5131</v>
      </c>
      <c r="K607" s="13" t="s">
        <v>7407</v>
      </c>
      <c r="L607" s="99" t="str">
        <f t="shared" si="36"/>
        <v>W2222.C</v>
      </c>
      <c r="M607" s="13" t="s">
        <v>17</v>
      </c>
      <c r="N607" s="13"/>
      <c r="O607" s="13"/>
      <c r="P607" s="47"/>
      <c r="Q607" s="45" t="s">
        <v>3672</v>
      </c>
      <c r="R607" s="45" t="s">
        <v>5596</v>
      </c>
      <c r="S607" s="48"/>
      <c r="T607" s="49" t="str">
        <f t="shared" si="35"/>
        <v>[W2222.C]</v>
      </c>
      <c r="U607" s="12" t="str">
        <f t="shared" si="38"/>
        <v xml:space="preserve"> 플랜징#2 CLAMP 2축(SD246) 과부하가 검출되었습니다.</v>
      </c>
      <c r="V607" s="49" t="str">
        <f t="shared" si="37"/>
        <v>[W2222.C] 플랜징#2 CLAMP 2축(SD246) 과부하가 검출되었습니다.</v>
      </c>
    </row>
    <row r="608" spans="1:22" s="49" customFormat="1" ht="14.15" customHeight="1">
      <c r="A608" s="43" t="s">
        <v>5600</v>
      </c>
      <c r="B608" s="44" t="s">
        <v>157</v>
      </c>
      <c r="C608" s="50"/>
      <c r="D608" s="10" t="s">
        <v>29</v>
      </c>
      <c r="E608" s="11"/>
      <c r="F608" s="11" t="s">
        <v>18</v>
      </c>
      <c r="G608" s="13"/>
      <c r="H608" s="45" t="s">
        <v>16</v>
      </c>
      <c r="I608" s="46"/>
      <c r="J608" s="12" t="s">
        <v>5132</v>
      </c>
      <c r="K608" s="13" t="s">
        <v>7408</v>
      </c>
      <c r="L608" s="99" t="str">
        <f t="shared" si="36"/>
        <v>W2222.D</v>
      </c>
      <c r="M608" s="13" t="s">
        <v>17</v>
      </c>
      <c r="N608" s="13"/>
      <c r="O608" s="13"/>
      <c r="P608" s="47"/>
      <c r="Q608" s="45" t="s">
        <v>3672</v>
      </c>
      <c r="R608" s="45" t="s">
        <v>5596</v>
      </c>
      <c r="S608" s="48"/>
      <c r="T608" s="49" t="str">
        <f t="shared" si="35"/>
        <v>[W2222.D]</v>
      </c>
      <c r="U608" s="12" t="str">
        <f t="shared" si="38"/>
        <v xml:space="preserve"> 플랜징#2 CLAMP 2축(SD246)  </v>
      </c>
      <c r="V608" s="49" t="str">
        <f t="shared" si="37"/>
        <v xml:space="preserve">[W2222.D] 플랜징#2 CLAMP 2축(SD246)  </v>
      </c>
    </row>
    <row r="609" spans="1:22" s="49" customFormat="1" ht="14.15" customHeight="1">
      <c r="A609" s="43" t="s">
        <v>5600</v>
      </c>
      <c r="B609" s="44" t="s">
        <v>157</v>
      </c>
      <c r="C609" s="50"/>
      <c r="D609" s="10" t="s">
        <v>29</v>
      </c>
      <c r="E609" s="11"/>
      <c r="F609" s="11" t="s">
        <v>18</v>
      </c>
      <c r="G609" s="13"/>
      <c r="H609" s="45" t="s">
        <v>16</v>
      </c>
      <c r="I609" s="46"/>
      <c r="J609" s="12" t="s">
        <v>5133</v>
      </c>
      <c r="K609" s="13" t="s">
        <v>7409</v>
      </c>
      <c r="L609" s="99" t="str">
        <f t="shared" si="36"/>
        <v>W2222.E</v>
      </c>
      <c r="M609" s="13" t="s">
        <v>17</v>
      </c>
      <c r="N609" s="13"/>
      <c r="O609" s="13"/>
      <c r="P609" s="47"/>
      <c r="Q609" s="45" t="s">
        <v>3672</v>
      </c>
      <c r="R609" s="45" t="s">
        <v>5596</v>
      </c>
      <c r="S609" s="48"/>
      <c r="T609" s="49" t="str">
        <f t="shared" si="35"/>
        <v>[W2222.E]</v>
      </c>
      <c r="U609" s="12" t="str">
        <f t="shared" si="38"/>
        <v xml:space="preserve"> 플랜징#2 CLAMP 2축(SD246) 에러가 발생했습니다.</v>
      </c>
      <c r="V609" s="49" t="str">
        <f t="shared" si="37"/>
        <v>[W2222.E] 플랜징#2 CLAMP 2축(SD246) 에러가 발생했습니다.</v>
      </c>
    </row>
    <row r="610" spans="1:22" s="49" customFormat="1" ht="14.15" customHeight="1">
      <c r="A610" s="43" t="s">
        <v>5600</v>
      </c>
      <c r="B610" s="44" t="s">
        <v>157</v>
      </c>
      <c r="C610" s="50"/>
      <c r="D610" s="10" t="s">
        <v>29</v>
      </c>
      <c r="E610" s="11"/>
      <c r="F610" s="11" t="s">
        <v>18</v>
      </c>
      <c r="G610" s="13"/>
      <c r="H610" s="45" t="s">
        <v>16</v>
      </c>
      <c r="I610" s="46"/>
      <c r="J610" s="12" t="s">
        <v>5134</v>
      </c>
      <c r="K610" s="13" t="s">
        <v>7410</v>
      </c>
      <c r="L610" s="99" t="str">
        <f t="shared" si="36"/>
        <v>W2222.F</v>
      </c>
      <c r="M610" s="13" t="s">
        <v>17</v>
      </c>
      <c r="N610" s="13"/>
      <c r="O610" s="13"/>
      <c r="P610" s="47"/>
      <c r="Q610" s="45" t="s">
        <v>3672</v>
      </c>
      <c r="R610" s="45" t="s">
        <v>5596</v>
      </c>
      <c r="S610" s="48"/>
      <c r="T610" s="49" t="str">
        <f t="shared" si="35"/>
        <v>[W2222.F]</v>
      </c>
      <c r="U610" s="12" t="str">
        <f t="shared" si="38"/>
        <v xml:space="preserve"> 플랜징#2 CLAMP 3축(SD247) 운전중에 Ready가 Off 되었습니다.</v>
      </c>
      <c r="V610" s="49" t="str">
        <f t="shared" si="37"/>
        <v>[W2222.F] 플랜징#2 CLAMP 3축(SD247) 운전중에 Ready가 Off 되었습니다.</v>
      </c>
    </row>
    <row r="611" spans="1:22" s="49" customFormat="1" ht="14.15" customHeight="1">
      <c r="A611" s="43" t="s">
        <v>5600</v>
      </c>
      <c r="B611" s="44" t="s">
        <v>157</v>
      </c>
      <c r="C611" s="50"/>
      <c r="D611" s="10" t="s">
        <v>29</v>
      </c>
      <c r="E611" s="11"/>
      <c r="F611" s="11" t="s">
        <v>18</v>
      </c>
      <c r="G611" s="13"/>
      <c r="H611" s="45" t="s">
        <v>16</v>
      </c>
      <c r="I611" s="46"/>
      <c r="J611" s="12" t="s">
        <v>5135</v>
      </c>
      <c r="K611" s="13" t="s">
        <v>7411</v>
      </c>
      <c r="L611" s="99" t="str">
        <f t="shared" si="36"/>
        <v>W2223.0</v>
      </c>
      <c r="M611" s="13" t="s">
        <v>17</v>
      </c>
      <c r="N611" s="13"/>
      <c r="O611" s="13"/>
      <c r="P611" s="47"/>
      <c r="Q611" s="45" t="s">
        <v>3672</v>
      </c>
      <c r="R611" s="45" t="s">
        <v>5596</v>
      </c>
      <c r="S611" s="48"/>
      <c r="T611" s="49" t="str">
        <f t="shared" si="35"/>
        <v>[W2223.0]</v>
      </c>
      <c r="U611" s="12" t="str">
        <f t="shared" si="38"/>
        <v xml:space="preserve"> 플랜징#2 CLAMP 3축(SD247) FLS가 감지되었습니다.</v>
      </c>
      <c r="V611" s="49" t="str">
        <f t="shared" si="37"/>
        <v>[W2223.0] 플랜징#2 CLAMP 3축(SD247) FLS가 감지되었습니다.</v>
      </c>
    </row>
    <row r="612" spans="1:22" s="49" customFormat="1" ht="14.15" customHeight="1">
      <c r="A612" s="43" t="s">
        <v>5600</v>
      </c>
      <c r="B612" s="44" t="s">
        <v>157</v>
      </c>
      <c r="C612" s="50"/>
      <c r="D612" s="10" t="s">
        <v>29</v>
      </c>
      <c r="E612" s="11"/>
      <c r="F612" s="11" t="s">
        <v>18</v>
      </c>
      <c r="G612" s="13"/>
      <c r="H612" s="45" t="s">
        <v>16</v>
      </c>
      <c r="I612" s="46"/>
      <c r="J612" s="12" t="s">
        <v>5136</v>
      </c>
      <c r="K612" s="13" t="s">
        <v>7412</v>
      </c>
      <c r="L612" s="99" t="str">
        <f t="shared" si="36"/>
        <v>W2223.1</v>
      </c>
      <c r="M612" s="13" t="s">
        <v>17</v>
      </c>
      <c r="N612" s="13"/>
      <c r="O612" s="13"/>
      <c r="P612" s="47"/>
      <c r="Q612" s="45" t="s">
        <v>3672</v>
      </c>
      <c r="R612" s="45" t="s">
        <v>5596</v>
      </c>
      <c r="S612" s="48"/>
      <c r="T612" s="49" t="str">
        <f t="shared" si="35"/>
        <v>[W2223.1]</v>
      </c>
      <c r="U612" s="12" t="str">
        <f t="shared" si="38"/>
        <v xml:space="preserve"> 플랜징#2 CLAMP 3축(SD247) RLS가 감지되었습니다.</v>
      </c>
      <c r="V612" s="49" t="str">
        <f t="shared" si="37"/>
        <v>[W2223.1] 플랜징#2 CLAMP 3축(SD247) RLS가 감지되었습니다.</v>
      </c>
    </row>
    <row r="613" spans="1:22" s="49" customFormat="1" ht="14.15" customHeight="1">
      <c r="A613" s="43" t="s">
        <v>5600</v>
      </c>
      <c r="B613" s="44" t="s">
        <v>157</v>
      </c>
      <c r="C613" s="50"/>
      <c r="D613" s="10" t="s">
        <v>29</v>
      </c>
      <c r="E613" s="11"/>
      <c r="F613" s="11" t="s">
        <v>18</v>
      </c>
      <c r="G613" s="13"/>
      <c r="H613" s="45" t="s">
        <v>16</v>
      </c>
      <c r="I613" s="46"/>
      <c r="J613" s="12" t="s">
        <v>5137</v>
      </c>
      <c r="K613" s="13" t="s">
        <v>7413</v>
      </c>
      <c r="L613" s="99" t="str">
        <f t="shared" si="36"/>
        <v>W2223.2</v>
      </c>
      <c r="M613" s="13" t="s">
        <v>17</v>
      </c>
      <c r="N613" s="13"/>
      <c r="O613" s="13"/>
      <c r="P613" s="47"/>
      <c r="Q613" s="45" t="s">
        <v>3672</v>
      </c>
      <c r="R613" s="45" t="s">
        <v>5596</v>
      </c>
      <c r="S613" s="48"/>
      <c r="T613" s="49" t="str">
        <f t="shared" si="35"/>
        <v>[W2223.2]</v>
      </c>
      <c r="U613" s="12" t="str">
        <f t="shared" si="38"/>
        <v xml:space="preserve"> 플랜징#2 CLAMP 3축(SD247) Stop 명령이 On된 상태에서 기동을 시도했습니다.</v>
      </c>
      <c r="V613" s="49" t="str">
        <f t="shared" si="37"/>
        <v>[W2223.2] 플랜징#2 CLAMP 3축(SD247) Stop 명령이 On된 상태에서 기동을 시도했습니다.</v>
      </c>
    </row>
    <row r="614" spans="1:22" s="49" customFormat="1" ht="14.15" customHeight="1">
      <c r="A614" s="43" t="s">
        <v>5600</v>
      </c>
      <c r="B614" s="44" t="s">
        <v>157</v>
      </c>
      <c r="C614" s="50"/>
      <c r="D614" s="10" t="s">
        <v>29</v>
      </c>
      <c r="E614" s="11"/>
      <c r="F614" s="11" t="s">
        <v>18</v>
      </c>
      <c r="G614" s="13"/>
      <c r="H614" s="45" t="s">
        <v>16</v>
      </c>
      <c r="I614" s="46"/>
      <c r="J614" s="12" t="s">
        <v>5138</v>
      </c>
      <c r="K614" s="13" t="s">
        <v>7414</v>
      </c>
      <c r="L614" s="99" t="str">
        <f t="shared" si="36"/>
        <v>W2223.3</v>
      </c>
      <c r="M614" s="13" t="s">
        <v>17</v>
      </c>
      <c r="N614" s="13"/>
      <c r="O614" s="13"/>
      <c r="P614" s="47"/>
      <c r="Q614" s="45" t="s">
        <v>3672</v>
      </c>
      <c r="R614" s="45" t="s">
        <v>5596</v>
      </c>
      <c r="S614" s="48"/>
      <c r="T614" s="49" t="str">
        <f t="shared" si="35"/>
        <v>[W2223.3]</v>
      </c>
      <c r="U614" s="12" t="str">
        <f t="shared" si="38"/>
        <v xml:space="preserve"> 플랜징#2 CLAMP 3축(SD247) 가동 전원이 Off 되었습니다.</v>
      </c>
      <c r="V614" s="49" t="str">
        <f t="shared" si="37"/>
        <v>[W2223.3] 플랜징#2 CLAMP 3축(SD247) 가동 전원이 Off 되었습니다.</v>
      </c>
    </row>
    <row r="615" spans="1:22" s="49" customFormat="1" ht="14.15" customHeight="1">
      <c r="A615" s="43" t="s">
        <v>5600</v>
      </c>
      <c r="B615" s="44" t="s">
        <v>157</v>
      </c>
      <c r="C615" s="50"/>
      <c r="D615" s="10" t="s">
        <v>29</v>
      </c>
      <c r="E615" s="11"/>
      <c r="F615" s="11" t="s">
        <v>18</v>
      </c>
      <c r="G615" s="13"/>
      <c r="H615" s="45" t="s">
        <v>16</v>
      </c>
      <c r="I615" s="46"/>
      <c r="J615" s="12" t="s">
        <v>5139</v>
      </c>
      <c r="K615" s="13" t="s">
        <v>7415</v>
      </c>
      <c r="L615" s="99" t="str">
        <f t="shared" si="36"/>
        <v>W2223.4</v>
      </c>
      <c r="M615" s="13" t="s">
        <v>17</v>
      </c>
      <c r="N615" s="13"/>
      <c r="O615" s="13"/>
      <c r="P615" s="47"/>
      <c r="Q615" s="45" t="s">
        <v>3672</v>
      </c>
      <c r="R615" s="45" t="s">
        <v>5596</v>
      </c>
      <c r="S615" s="48"/>
      <c r="T615" s="49" t="str">
        <f t="shared" si="35"/>
        <v>[W2223.4]</v>
      </c>
      <c r="U615" s="12" t="str">
        <f t="shared" si="38"/>
        <v xml:space="preserve"> 플랜징#2 CLAMP 3축(SD247) 엔코더 이상이 검출되었습니다.</v>
      </c>
      <c r="V615" s="49" t="str">
        <f t="shared" si="37"/>
        <v>[W2223.4] 플랜징#2 CLAMP 3축(SD247) 엔코더 이상이 검출되었습니다.</v>
      </c>
    </row>
    <row r="616" spans="1:22" s="49" customFormat="1" ht="14.15" customHeight="1">
      <c r="A616" s="43" t="s">
        <v>5600</v>
      </c>
      <c r="B616" s="44" t="s">
        <v>157</v>
      </c>
      <c r="C616" s="50"/>
      <c r="D616" s="10" t="s">
        <v>29</v>
      </c>
      <c r="E616" s="11"/>
      <c r="F616" s="11" t="s">
        <v>18</v>
      </c>
      <c r="G616" s="13"/>
      <c r="H616" s="45" t="s">
        <v>16</v>
      </c>
      <c r="I616" s="46"/>
      <c r="J616" s="12" t="s">
        <v>5140</v>
      </c>
      <c r="K616" s="13" t="s">
        <v>7416</v>
      </c>
      <c r="L616" s="99" t="str">
        <f t="shared" si="36"/>
        <v>W2223.5</v>
      </c>
      <c r="M616" s="13" t="s">
        <v>17</v>
      </c>
      <c r="N616" s="13"/>
      <c r="O616" s="13"/>
      <c r="P616" s="47"/>
      <c r="Q616" s="45" t="s">
        <v>3672</v>
      </c>
      <c r="R616" s="45" t="s">
        <v>5596</v>
      </c>
      <c r="S616" s="48"/>
      <c r="T616" s="49" t="str">
        <f t="shared" si="35"/>
        <v>[W2223.5]</v>
      </c>
      <c r="U616" s="12" t="str">
        <f t="shared" si="38"/>
        <v xml:space="preserve"> 플랜징#2 CLAMP 3축(SD247) 과전류가 검출되었습니다.</v>
      </c>
      <c r="V616" s="49" t="str">
        <f t="shared" si="37"/>
        <v>[W2223.5] 플랜징#2 CLAMP 3축(SD247) 과전류가 검출되었습니다.</v>
      </c>
    </row>
    <row r="617" spans="1:22" s="49" customFormat="1" ht="14.15" customHeight="1">
      <c r="A617" s="43" t="s">
        <v>5600</v>
      </c>
      <c r="B617" s="44" t="s">
        <v>157</v>
      </c>
      <c r="C617" s="50"/>
      <c r="D617" s="10" t="s">
        <v>29</v>
      </c>
      <c r="E617" s="11"/>
      <c r="F617" s="11" t="s">
        <v>18</v>
      </c>
      <c r="G617" s="13"/>
      <c r="H617" s="45" t="s">
        <v>16</v>
      </c>
      <c r="I617" s="46"/>
      <c r="J617" s="12" t="s">
        <v>5141</v>
      </c>
      <c r="K617" s="13" t="s">
        <v>7417</v>
      </c>
      <c r="L617" s="99" t="str">
        <f t="shared" si="36"/>
        <v>W2223.6</v>
      </c>
      <c r="M617" s="13" t="s">
        <v>17</v>
      </c>
      <c r="N617" s="13"/>
      <c r="O617" s="13"/>
      <c r="P617" s="47"/>
      <c r="Q617" s="45" t="s">
        <v>3672</v>
      </c>
      <c r="R617" s="45" t="s">
        <v>5596</v>
      </c>
      <c r="S617" s="48"/>
      <c r="T617" s="49" t="str">
        <f t="shared" si="35"/>
        <v>[W2223.6]</v>
      </c>
      <c r="U617" s="12" t="str">
        <f t="shared" si="38"/>
        <v xml:space="preserve"> 플랜징#2 CLAMP 3축(SD247) 과부하가 검출되었습니다.</v>
      </c>
      <c r="V617" s="49" t="str">
        <f t="shared" si="37"/>
        <v>[W2223.6] 플랜징#2 CLAMP 3축(SD247) 과부하가 검출되었습니다.</v>
      </c>
    </row>
    <row r="618" spans="1:22" s="49" customFormat="1" ht="14.15" customHeight="1">
      <c r="A618" s="43" t="s">
        <v>5600</v>
      </c>
      <c r="B618" s="44" t="s">
        <v>157</v>
      </c>
      <c r="C618" s="50"/>
      <c r="D618" s="10" t="s">
        <v>29</v>
      </c>
      <c r="E618" s="11"/>
      <c r="F618" s="11" t="s">
        <v>18</v>
      </c>
      <c r="G618" s="13"/>
      <c r="H618" s="45" t="s">
        <v>16</v>
      </c>
      <c r="I618" s="46"/>
      <c r="J618" s="12" t="s">
        <v>5142</v>
      </c>
      <c r="K618" s="13" t="s">
        <v>7418</v>
      </c>
      <c r="L618" s="99" t="str">
        <f t="shared" si="36"/>
        <v>W2223.7</v>
      </c>
      <c r="M618" s="13" t="s">
        <v>17</v>
      </c>
      <c r="N618" s="13"/>
      <c r="O618" s="13"/>
      <c r="P618" s="47"/>
      <c r="Q618" s="45" t="s">
        <v>3672</v>
      </c>
      <c r="R618" s="45" t="s">
        <v>5596</v>
      </c>
      <c r="S618" s="48"/>
      <c r="T618" s="49" t="str">
        <f t="shared" si="35"/>
        <v>[W2223.7]</v>
      </c>
      <c r="U618" s="12" t="str">
        <f t="shared" si="38"/>
        <v xml:space="preserve"> 플랜징#2 CLAMP 3축(SD247)  </v>
      </c>
      <c r="V618" s="49" t="str">
        <f t="shared" si="37"/>
        <v xml:space="preserve">[W2223.7] 플랜징#2 CLAMP 3축(SD247)  </v>
      </c>
    </row>
    <row r="619" spans="1:22" s="49" customFormat="1" ht="14.15" customHeight="1">
      <c r="A619" s="43" t="s">
        <v>5600</v>
      </c>
      <c r="B619" s="44" t="s">
        <v>157</v>
      </c>
      <c r="C619" s="50"/>
      <c r="D619" s="10" t="s">
        <v>29</v>
      </c>
      <c r="E619" s="11"/>
      <c r="F619" s="11" t="s">
        <v>18</v>
      </c>
      <c r="G619" s="13"/>
      <c r="H619" s="45" t="s">
        <v>16</v>
      </c>
      <c r="I619" s="46"/>
      <c r="J619" s="12" t="s">
        <v>5143</v>
      </c>
      <c r="K619" s="13" t="s">
        <v>7419</v>
      </c>
      <c r="L619" s="99" t="str">
        <f t="shared" si="36"/>
        <v>W2223.8</v>
      </c>
      <c r="M619" s="13" t="s">
        <v>17</v>
      </c>
      <c r="N619" s="13"/>
      <c r="O619" s="13"/>
      <c r="P619" s="47"/>
      <c r="Q619" s="45" t="s">
        <v>3672</v>
      </c>
      <c r="R619" s="45" t="s">
        <v>5596</v>
      </c>
      <c r="S619" s="48"/>
      <c r="T619" s="49" t="str">
        <f t="shared" si="35"/>
        <v>[W2223.8]</v>
      </c>
      <c r="U619" s="12" t="str">
        <f t="shared" si="38"/>
        <v xml:space="preserve"> 플랜징#2 CLAMP 3축(SD247) 에러가 발생했습니다.</v>
      </c>
      <c r="V619" s="49" t="str">
        <f t="shared" si="37"/>
        <v>[W2223.8] 플랜징#2 CLAMP 3축(SD247) 에러가 발생했습니다.</v>
      </c>
    </row>
    <row r="620" spans="1:22" s="49" customFormat="1" ht="14.15" customHeight="1">
      <c r="A620" s="43" t="s">
        <v>5600</v>
      </c>
      <c r="B620" s="44" t="s">
        <v>157</v>
      </c>
      <c r="C620" s="50"/>
      <c r="D620" s="10" t="s">
        <v>29</v>
      </c>
      <c r="E620" s="11"/>
      <c r="F620" s="11" t="s">
        <v>18</v>
      </c>
      <c r="G620" s="13"/>
      <c r="H620" s="45" t="s">
        <v>16</v>
      </c>
      <c r="I620" s="47"/>
      <c r="J620" s="12" t="s">
        <v>5144</v>
      </c>
      <c r="K620" s="13" t="s">
        <v>7420</v>
      </c>
      <c r="L620" s="99" t="str">
        <f t="shared" si="36"/>
        <v>W2223.9</v>
      </c>
      <c r="M620" s="13" t="s">
        <v>17</v>
      </c>
      <c r="N620" s="13"/>
      <c r="O620" s="13"/>
      <c r="P620" s="47"/>
      <c r="Q620" s="45" t="s">
        <v>3672</v>
      </c>
      <c r="R620" s="45" t="s">
        <v>5596</v>
      </c>
      <c r="S620" s="48"/>
      <c r="T620" s="49" t="str">
        <f t="shared" si="35"/>
        <v>[W2223.9]</v>
      </c>
      <c r="U620" s="12" t="str">
        <f t="shared" si="38"/>
        <v xml:space="preserve"> 플랜징#2 BENDING Z축(SD248) 운전중에 Ready가 Off 되었습니다.</v>
      </c>
      <c r="V620" s="49" t="str">
        <f t="shared" si="37"/>
        <v>[W2223.9] 플랜징#2 BENDING Z축(SD248) 운전중에 Ready가 Off 되었습니다.</v>
      </c>
    </row>
    <row r="621" spans="1:22" s="49" customFormat="1" ht="14.15" customHeight="1">
      <c r="A621" s="43" t="s">
        <v>5600</v>
      </c>
      <c r="B621" s="44" t="s">
        <v>157</v>
      </c>
      <c r="C621" s="50"/>
      <c r="D621" s="10" t="s">
        <v>29</v>
      </c>
      <c r="E621" s="11"/>
      <c r="F621" s="11" t="s">
        <v>18</v>
      </c>
      <c r="G621" s="13"/>
      <c r="H621" s="45" t="s">
        <v>16</v>
      </c>
      <c r="I621" s="47"/>
      <c r="J621" s="12" t="s">
        <v>5145</v>
      </c>
      <c r="K621" s="13" t="s">
        <v>7421</v>
      </c>
      <c r="L621" s="99" t="str">
        <f t="shared" si="36"/>
        <v>W2223.A</v>
      </c>
      <c r="M621" s="13" t="s">
        <v>17</v>
      </c>
      <c r="N621" s="13"/>
      <c r="O621" s="13"/>
      <c r="P621" s="47"/>
      <c r="Q621" s="45" t="s">
        <v>3672</v>
      </c>
      <c r="R621" s="45" t="s">
        <v>5596</v>
      </c>
      <c r="S621" s="48"/>
      <c r="T621" s="49" t="str">
        <f t="shared" si="35"/>
        <v>[W2223.A]</v>
      </c>
      <c r="U621" s="12" t="str">
        <f t="shared" si="38"/>
        <v xml:space="preserve"> 플랜징#2 BENDING Z축(SD248) FLS가 감지되었습니다.</v>
      </c>
      <c r="V621" s="49" t="str">
        <f t="shared" si="37"/>
        <v>[W2223.A] 플랜징#2 BENDING Z축(SD248) FLS가 감지되었습니다.</v>
      </c>
    </row>
    <row r="622" spans="1:22" s="49" customFormat="1" ht="14.15" customHeight="1">
      <c r="A622" s="43" t="s">
        <v>5600</v>
      </c>
      <c r="B622" s="44" t="s">
        <v>157</v>
      </c>
      <c r="C622" s="50"/>
      <c r="D622" s="10" t="s">
        <v>29</v>
      </c>
      <c r="E622" s="11"/>
      <c r="F622" s="11" t="s">
        <v>18</v>
      </c>
      <c r="G622" s="13"/>
      <c r="H622" s="45" t="s">
        <v>16</v>
      </c>
      <c r="I622" s="47"/>
      <c r="J622" s="12" t="s">
        <v>5146</v>
      </c>
      <c r="K622" s="13" t="s">
        <v>7422</v>
      </c>
      <c r="L622" s="99" t="str">
        <f t="shared" si="36"/>
        <v>W2223.B</v>
      </c>
      <c r="M622" s="13" t="s">
        <v>17</v>
      </c>
      <c r="N622" s="13"/>
      <c r="O622" s="13"/>
      <c r="P622" s="47"/>
      <c r="Q622" s="45" t="s">
        <v>3672</v>
      </c>
      <c r="R622" s="45" t="s">
        <v>5596</v>
      </c>
      <c r="S622" s="48"/>
      <c r="T622" s="49" t="str">
        <f t="shared" si="35"/>
        <v>[W2223.B]</v>
      </c>
      <c r="U622" s="12" t="str">
        <f t="shared" si="38"/>
        <v xml:space="preserve"> 플랜징#2 BENDING Z축(SD248) RLS가 감지되었습니다.</v>
      </c>
      <c r="V622" s="49" t="str">
        <f t="shared" si="37"/>
        <v>[W2223.B] 플랜징#2 BENDING Z축(SD248) RLS가 감지되었습니다.</v>
      </c>
    </row>
    <row r="623" spans="1:22" s="49" customFormat="1" ht="14.15" customHeight="1">
      <c r="A623" s="43" t="s">
        <v>5600</v>
      </c>
      <c r="B623" s="44" t="s">
        <v>157</v>
      </c>
      <c r="C623" s="50"/>
      <c r="D623" s="10" t="s">
        <v>29</v>
      </c>
      <c r="E623" s="11"/>
      <c r="F623" s="11" t="s">
        <v>18</v>
      </c>
      <c r="G623" s="13"/>
      <c r="H623" s="45" t="s">
        <v>16</v>
      </c>
      <c r="I623" s="47"/>
      <c r="J623" s="12" t="s">
        <v>5147</v>
      </c>
      <c r="K623" s="13" t="s">
        <v>7423</v>
      </c>
      <c r="L623" s="99" t="str">
        <f t="shared" si="36"/>
        <v>W2223.C</v>
      </c>
      <c r="M623" s="13" t="s">
        <v>17</v>
      </c>
      <c r="N623" s="13"/>
      <c r="O623" s="13"/>
      <c r="P623" s="47"/>
      <c r="Q623" s="45" t="s">
        <v>3672</v>
      </c>
      <c r="R623" s="45" t="s">
        <v>5596</v>
      </c>
      <c r="S623" s="48"/>
      <c r="T623" s="49" t="str">
        <f t="shared" si="35"/>
        <v>[W2223.C]</v>
      </c>
      <c r="U623" s="12" t="str">
        <f t="shared" si="38"/>
        <v xml:space="preserve"> 플랜징#2 BENDING Z축(SD248) Stop 명령이 On된 상태에서 기동을 시도했습니다.</v>
      </c>
      <c r="V623" s="49" t="str">
        <f t="shared" si="37"/>
        <v>[W2223.C] 플랜징#2 BENDING Z축(SD248) Stop 명령이 On된 상태에서 기동을 시도했습니다.</v>
      </c>
    </row>
    <row r="624" spans="1:22" s="49" customFormat="1" ht="14.15" customHeight="1">
      <c r="A624" s="43" t="s">
        <v>5600</v>
      </c>
      <c r="B624" s="44" t="s">
        <v>157</v>
      </c>
      <c r="C624" s="50"/>
      <c r="D624" s="10" t="s">
        <v>29</v>
      </c>
      <c r="E624" s="11"/>
      <c r="F624" s="11" t="s">
        <v>18</v>
      </c>
      <c r="G624" s="13"/>
      <c r="H624" s="45" t="s">
        <v>16</v>
      </c>
      <c r="I624" s="47"/>
      <c r="J624" s="12" t="s">
        <v>5148</v>
      </c>
      <c r="K624" s="13" t="s">
        <v>7424</v>
      </c>
      <c r="L624" s="99" t="str">
        <f t="shared" si="36"/>
        <v>W2223.D</v>
      </c>
      <c r="M624" s="13" t="s">
        <v>17</v>
      </c>
      <c r="N624" s="13"/>
      <c r="O624" s="13"/>
      <c r="P624" s="47"/>
      <c r="Q624" s="45" t="s">
        <v>3672</v>
      </c>
      <c r="R624" s="45" t="s">
        <v>5596</v>
      </c>
      <c r="S624" s="48"/>
      <c r="T624" s="49" t="str">
        <f t="shared" si="35"/>
        <v>[W2223.D]</v>
      </c>
      <c r="U624" s="12" t="str">
        <f t="shared" si="38"/>
        <v xml:space="preserve"> 플랜징#2 BENDING Z축(SD248) 가동 전원이 Off 되었습니다.</v>
      </c>
      <c r="V624" s="49" t="str">
        <f t="shared" si="37"/>
        <v>[W2223.D] 플랜징#2 BENDING Z축(SD248) 가동 전원이 Off 되었습니다.</v>
      </c>
    </row>
    <row r="625" spans="1:22" s="49" customFormat="1" ht="14.15" customHeight="1">
      <c r="A625" s="43" t="s">
        <v>5600</v>
      </c>
      <c r="B625" s="44" t="s">
        <v>157</v>
      </c>
      <c r="C625" s="50"/>
      <c r="D625" s="10" t="s">
        <v>29</v>
      </c>
      <c r="E625" s="11"/>
      <c r="F625" s="11" t="s">
        <v>18</v>
      </c>
      <c r="G625" s="13"/>
      <c r="H625" s="45" t="s">
        <v>16</v>
      </c>
      <c r="I625" s="47"/>
      <c r="J625" s="12" t="s">
        <v>5149</v>
      </c>
      <c r="K625" s="13" t="s">
        <v>7425</v>
      </c>
      <c r="L625" s="99" t="str">
        <f t="shared" si="36"/>
        <v>W2223.E</v>
      </c>
      <c r="M625" s="13" t="s">
        <v>17</v>
      </c>
      <c r="N625" s="13"/>
      <c r="O625" s="13"/>
      <c r="P625" s="47"/>
      <c r="Q625" s="45" t="s">
        <v>3672</v>
      </c>
      <c r="R625" s="45" t="s">
        <v>5596</v>
      </c>
      <c r="S625" s="48"/>
      <c r="T625" s="49" t="str">
        <f t="shared" si="35"/>
        <v>[W2223.E]</v>
      </c>
      <c r="U625" s="12" t="str">
        <f t="shared" si="38"/>
        <v xml:space="preserve"> 플랜징#2 BENDING Z축(SD248) 엔코더 이상이 검출되었습니다.</v>
      </c>
      <c r="V625" s="49" t="str">
        <f t="shared" si="37"/>
        <v>[W2223.E] 플랜징#2 BENDING Z축(SD248) 엔코더 이상이 검출되었습니다.</v>
      </c>
    </row>
    <row r="626" spans="1:22" s="49" customFormat="1" ht="14.15" customHeight="1">
      <c r="A626" s="43" t="s">
        <v>5600</v>
      </c>
      <c r="B626" s="44" t="s">
        <v>157</v>
      </c>
      <c r="C626" s="50"/>
      <c r="D626" s="10" t="s">
        <v>29</v>
      </c>
      <c r="E626" s="11"/>
      <c r="F626" s="11" t="s">
        <v>18</v>
      </c>
      <c r="G626" s="13"/>
      <c r="H626" s="45" t="s">
        <v>16</v>
      </c>
      <c r="I626" s="47"/>
      <c r="J626" s="12" t="s">
        <v>5150</v>
      </c>
      <c r="K626" s="13" t="s">
        <v>7426</v>
      </c>
      <c r="L626" s="99" t="str">
        <f t="shared" si="36"/>
        <v>W2223.F</v>
      </c>
      <c r="M626" s="13" t="s">
        <v>17</v>
      </c>
      <c r="N626" s="13"/>
      <c r="O626" s="13"/>
      <c r="P626" s="47"/>
      <c r="Q626" s="45" t="s">
        <v>3672</v>
      </c>
      <c r="R626" s="45" t="s">
        <v>5596</v>
      </c>
      <c r="S626" s="48"/>
      <c r="T626" s="49" t="str">
        <f t="shared" si="35"/>
        <v>[W2223.F]</v>
      </c>
      <c r="U626" s="12" t="str">
        <f t="shared" si="38"/>
        <v xml:space="preserve"> 플랜징#2 BENDING Z축(SD248) 과전류가 검출되었습니다.</v>
      </c>
      <c r="V626" s="49" t="str">
        <f t="shared" si="37"/>
        <v>[W2223.F] 플랜징#2 BENDING Z축(SD248) 과전류가 검출되었습니다.</v>
      </c>
    </row>
    <row r="627" spans="1:22" s="49" customFormat="1" ht="14.15" customHeight="1">
      <c r="A627" s="43" t="s">
        <v>5600</v>
      </c>
      <c r="B627" s="44" t="s">
        <v>157</v>
      </c>
      <c r="C627" s="50"/>
      <c r="D627" s="10" t="s">
        <v>29</v>
      </c>
      <c r="E627" s="11"/>
      <c r="F627" s="11" t="s">
        <v>18</v>
      </c>
      <c r="G627" s="13"/>
      <c r="H627" s="45" t="s">
        <v>16</v>
      </c>
      <c r="I627" s="47"/>
      <c r="J627" s="12" t="s">
        <v>5151</v>
      </c>
      <c r="K627" s="13" t="s">
        <v>7427</v>
      </c>
      <c r="L627" s="99" t="str">
        <f t="shared" si="36"/>
        <v>W2224.0</v>
      </c>
      <c r="M627" s="13" t="s">
        <v>17</v>
      </c>
      <c r="N627" s="13"/>
      <c r="O627" s="13"/>
      <c r="P627" s="47"/>
      <c r="Q627" s="45" t="s">
        <v>3672</v>
      </c>
      <c r="R627" s="45" t="s">
        <v>5596</v>
      </c>
      <c r="S627" s="48"/>
      <c r="T627" s="49" t="str">
        <f t="shared" ref="T627:T690" si="39">"["&amp;L627&amp;"]"</f>
        <v>[W2224.0]</v>
      </c>
      <c r="U627" s="12" t="str">
        <f t="shared" si="38"/>
        <v xml:space="preserve"> 플랜징#2 BENDING Z축(SD248) 과부하가 검출되었습니다.</v>
      </c>
      <c r="V627" s="49" t="str">
        <f t="shared" si="37"/>
        <v>[W2224.0] 플랜징#2 BENDING Z축(SD248) 과부하가 검출되었습니다.</v>
      </c>
    </row>
    <row r="628" spans="1:22" s="49" customFormat="1" ht="14.15" customHeight="1">
      <c r="A628" s="43" t="s">
        <v>5600</v>
      </c>
      <c r="B628" s="44" t="s">
        <v>157</v>
      </c>
      <c r="C628" s="50"/>
      <c r="D628" s="10" t="s">
        <v>29</v>
      </c>
      <c r="E628" s="11"/>
      <c r="F628" s="11" t="s">
        <v>18</v>
      </c>
      <c r="G628" s="13"/>
      <c r="H628" s="45" t="s">
        <v>16</v>
      </c>
      <c r="I628" s="47"/>
      <c r="J628" s="12" t="s">
        <v>5152</v>
      </c>
      <c r="K628" s="13" t="s">
        <v>7428</v>
      </c>
      <c r="L628" s="99" t="str">
        <f t="shared" ref="L628:L691" si="40">"W"&amp;DEC2HEX(8704 + INT((ROW()-51)/16)) &amp; "." &amp; IF(MOD(ROW()-51,16)&lt;10,MOD(ROW()-51,16),CHAR(MOD(ROW()-51,16)+55))</f>
        <v>W2224.1</v>
      </c>
      <c r="M628" s="13" t="s">
        <v>17</v>
      </c>
      <c r="N628" s="13"/>
      <c r="O628" s="13"/>
      <c r="P628" s="47"/>
      <c r="Q628" s="45" t="s">
        <v>3672</v>
      </c>
      <c r="R628" s="45" t="s">
        <v>5596</v>
      </c>
      <c r="S628" s="48"/>
      <c r="T628" s="49" t="str">
        <f t="shared" si="39"/>
        <v>[W2224.1]</v>
      </c>
      <c r="U628" s="12" t="str">
        <f t="shared" si="38"/>
        <v xml:space="preserve"> 플랜징#2 BENDING Z축(SD248)  </v>
      </c>
      <c r="V628" s="49" t="str">
        <f t="shared" ref="V628:V691" si="41">T628&amp;U628</f>
        <v xml:space="preserve">[W2224.1] 플랜징#2 BENDING Z축(SD248)  </v>
      </c>
    </row>
    <row r="629" spans="1:22" s="49" customFormat="1" ht="14.15" customHeight="1">
      <c r="A629" s="43" t="s">
        <v>5600</v>
      </c>
      <c r="B629" s="44" t="s">
        <v>157</v>
      </c>
      <c r="C629" s="50"/>
      <c r="D629" s="10" t="s">
        <v>29</v>
      </c>
      <c r="E629" s="11"/>
      <c r="F629" s="11" t="s">
        <v>18</v>
      </c>
      <c r="G629" s="13"/>
      <c r="H629" s="45" t="s">
        <v>16</v>
      </c>
      <c r="I629" s="47"/>
      <c r="J629" s="12" t="s">
        <v>5153</v>
      </c>
      <c r="K629" s="13" t="s">
        <v>7429</v>
      </c>
      <c r="L629" s="99" t="str">
        <f t="shared" si="40"/>
        <v>W2224.2</v>
      </c>
      <c r="M629" s="13" t="s">
        <v>17</v>
      </c>
      <c r="N629" s="13"/>
      <c r="O629" s="13"/>
      <c r="P629" s="53"/>
      <c r="Q629" s="45" t="s">
        <v>3672</v>
      </c>
      <c r="R629" s="45" t="s">
        <v>5596</v>
      </c>
      <c r="S629" s="48"/>
      <c r="T629" s="49" t="str">
        <f t="shared" si="39"/>
        <v>[W2224.2]</v>
      </c>
      <c r="U629" s="12" t="str">
        <f t="shared" si="38"/>
        <v xml:space="preserve"> 플랜징#2 BENDING Z축(SD248) 에러가 발생했습니다.</v>
      </c>
      <c r="V629" s="49" t="str">
        <f t="shared" si="41"/>
        <v>[W2224.2] 플랜징#2 BENDING Z축(SD248) 에러가 발생했습니다.</v>
      </c>
    </row>
    <row r="630" spans="1:22" s="49" customFormat="1" ht="14.15" customHeight="1">
      <c r="A630" s="43" t="s">
        <v>5602</v>
      </c>
      <c r="B630" s="44" t="s">
        <v>157</v>
      </c>
      <c r="C630" s="50"/>
      <c r="D630" s="10" t="s">
        <v>29</v>
      </c>
      <c r="E630" s="11"/>
      <c r="F630" s="11" t="s">
        <v>18</v>
      </c>
      <c r="G630" s="13"/>
      <c r="H630" s="45" t="s">
        <v>16</v>
      </c>
      <c r="I630" s="47"/>
      <c r="J630" s="12" t="s">
        <v>5378</v>
      </c>
      <c r="K630" s="13" t="s">
        <v>7430</v>
      </c>
      <c r="L630" s="99" t="str">
        <f t="shared" si="40"/>
        <v>W2224.3</v>
      </c>
      <c r="M630" s="13" t="s">
        <v>17</v>
      </c>
      <c r="N630" s="13"/>
      <c r="O630" s="13"/>
      <c r="P630" s="47"/>
      <c r="Q630" s="45" t="s">
        <v>3672</v>
      </c>
      <c r="R630" s="45" t="s">
        <v>5553</v>
      </c>
      <c r="S630" s="48"/>
      <c r="T630" s="49" t="str">
        <f t="shared" si="39"/>
        <v>[W2224.3]</v>
      </c>
      <c r="U630" s="12" t="str">
        <f t="shared" si="38"/>
        <v xml:space="preserve"> 롤포밍 T축(SD249) 운전중에 Ready가 Off 되었습니다.</v>
      </c>
      <c r="V630" s="49" t="str">
        <f t="shared" si="41"/>
        <v>[W2224.3] 롤포밍 T축(SD249) 운전중에 Ready가 Off 되었습니다.</v>
      </c>
    </row>
    <row r="631" spans="1:22" s="49" customFormat="1" ht="14.15" customHeight="1">
      <c r="A631" s="43" t="s">
        <v>5602</v>
      </c>
      <c r="B631" s="44" t="s">
        <v>157</v>
      </c>
      <c r="C631" s="50"/>
      <c r="D631" s="10" t="s">
        <v>29</v>
      </c>
      <c r="E631" s="11"/>
      <c r="F631" s="11" t="s">
        <v>18</v>
      </c>
      <c r="G631" s="13"/>
      <c r="H631" s="45" t="s">
        <v>16</v>
      </c>
      <c r="I631" s="47"/>
      <c r="J631" s="12" t="s">
        <v>5379</v>
      </c>
      <c r="K631" s="13" t="s">
        <v>7431</v>
      </c>
      <c r="L631" s="99" t="str">
        <f t="shared" si="40"/>
        <v>W2224.4</v>
      </c>
      <c r="M631" s="13" t="s">
        <v>17</v>
      </c>
      <c r="N631" s="13"/>
      <c r="O631" s="13"/>
      <c r="P631" s="47"/>
      <c r="Q631" s="45" t="s">
        <v>3672</v>
      </c>
      <c r="R631" s="45" t="s">
        <v>5553</v>
      </c>
      <c r="S631" s="48"/>
      <c r="T631" s="49" t="str">
        <f t="shared" si="39"/>
        <v>[W2224.4]</v>
      </c>
      <c r="U631" s="12" t="str">
        <f t="shared" si="38"/>
        <v xml:space="preserve"> 롤포밍 T축(SD249) FLS가 감지되었습니다.</v>
      </c>
      <c r="V631" s="49" t="str">
        <f t="shared" si="41"/>
        <v>[W2224.4] 롤포밍 T축(SD249) FLS가 감지되었습니다.</v>
      </c>
    </row>
    <row r="632" spans="1:22" s="49" customFormat="1" ht="14.15" customHeight="1">
      <c r="A632" s="43" t="s">
        <v>5602</v>
      </c>
      <c r="B632" s="44" t="s">
        <v>157</v>
      </c>
      <c r="C632" s="50"/>
      <c r="D632" s="10" t="s">
        <v>29</v>
      </c>
      <c r="E632" s="11"/>
      <c r="F632" s="11" t="s">
        <v>18</v>
      </c>
      <c r="G632" s="13"/>
      <c r="H632" s="45" t="s">
        <v>16</v>
      </c>
      <c r="I632" s="47"/>
      <c r="J632" s="12" t="s">
        <v>5380</v>
      </c>
      <c r="K632" s="13" t="s">
        <v>7432</v>
      </c>
      <c r="L632" s="99" t="str">
        <f t="shared" si="40"/>
        <v>W2224.5</v>
      </c>
      <c r="M632" s="13" t="s">
        <v>17</v>
      </c>
      <c r="N632" s="13"/>
      <c r="O632" s="13"/>
      <c r="P632" s="47"/>
      <c r="Q632" s="45" t="s">
        <v>3672</v>
      </c>
      <c r="R632" s="45" t="s">
        <v>5553</v>
      </c>
      <c r="S632" s="48"/>
      <c r="T632" s="49" t="str">
        <f t="shared" si="39"/>
        <v>[W2224.5]</v>
      </c>
      <c r="U632" s="12" t="str">
        <f t="shared" ref="U632:U695" si="42">RIGHT(J632,LEN(J632)-7)</f>
        <v xml:space="preserve"> 롤포밍 T축(SD249) RLS가 감지되었습니다.</v>
      </c>
      <c r="V632" s="49" t="str">
        <f t="shared" si="41"/>
        <v>[W2224.5] 롤포밍 T축(SD249) RLS가 감지되었습니다.</v>
      </c>
    </row>
    <row r="633" spans="1:22" s="49" customFormat="1" ht="14.15" customHeight="1">
      <c r="A633" s="43" t="s">
        <v>5602</v>
      </c>
      <c r="B633" s="44" t="s">
        <v>157</v>
      </c>
      <c r="C633" s="50"/>
      <c r="D633" s="10" t="s">
        <v>29</v>
      </c>
      <c r="E633" s="11"/>
      <c r="F633" s="11" t="s">
        <v>18</v>
      </c>
      <c r="G633" s="13"/>
      <c r="H633" s="45" t="s">
        <v>16</v>
      </c>
      <c r="I633" s="47"/>
      <c r="J633" s="12" t="s">
        <v>5381</v>
      </c>
      <c r="K633" s="13" t="s">
        <v>7433</v>
      </c>
      <c r="L633" s="99" t="str">
        <f t="shared" si="40"/>
        <v>W2224.6</v>
      </c>
      <c r="M633" s="13" t="s">
        <v>17</v>
      </c>
      <c r="N633" s="13"/>
      <c r="O633" s="13"/>
      <c r="P633" s="47"/>
      <c r="Q633" s="45" t="s">
        <v>3672</v>
      </c>
      <c r="R633" s="45" t="s">
        <v>5553</v>
      </c>
      <c r="S633" s="48"/>
      <c r="T633" s="49" t="str">
        <f t="shared" si="39"/>
        <v>[W2224.6]</v>
      </c>
      <c r="U633" s="12" t="str">
        <f t="shared" si="42"/>
        <v xml:space="preserve"> 롤포밍 T축(SD249) Stop 명령이 On된 상태에서 기동을 시도했습니다.</v>
      </c>
      <c r="V633" s="49" t="str">
        <f t="shared" si="41"/>
        <v>[W2224.6] 롤포밍 T축(SD249) Stop 명령이 On된 상태에서 기동을 시도했습니다.</v>
      </c>
    </row>
    <row r="634" spans="1:22" s="49" customFormat="1" ht="14.15" customHeight="1">
      <c r="A634" s="43" t="s">
        <v>5602</v>
      </c>
      <c r="B634" s="44" t="s">
        <v>157</v>
      </c>
      <c r="C634" s="50"/>
      <c r="D634" s="10" t="s">
        <v>29</v>
      </c>
      <c r="E634" s="11"/>
      <c r="F634" s="11" t="s">
        <v>18</v>
      </c>
      <c r="G634" s="13"/>
      <c r="H634" s="45" t="s">
        <v>16</v>
      </c>
      <c r="I634" s="47"/>
      <c r="J634" s="12" t="s">
        <v>5382</v>
      </c>
      <c r="K634" s="13" t="s">
        <v>7434</v>
      </c>
      <c r="L634" s="99" t="str">
        <f t="shared" si="40"/>
        <v>W2224.7</v>
      </c>
      <c r="M634" s="13" t="s">
        <v>17</v>
      </c>
      <c r="N634" s="13"/>
      <c r="O634" s="13"/>
      <c r="P634" s="47"/>
      <c r="Q634" s="45" t="s">
        <v>3672</v>
      </c>
      <c r="R634" s="45" t="s">
        <v>5553</v>
      </c>
      <c r="S634" s="48"/>
      <c r="T634" s="49" t="str">
        <f t="shared" si="39"/>
        <v>[W2224.7]</v>
      </c>
      <c r="U634" s="12" t="str">
        <f t="shared" si="42"/>
        <v xml:space="preserve"> 롤포밍 T축(SD249) 가동 전원이 Off 되었습니다.</v>
      </c>
      <c r="V634" s="49" t="str">
        <f t="shared" si="41"/>
        <v>[W2224.7] 롤포밍 T축(SD249) 가동 전원이 Off 되었습니다.</v>
      </c>
    </row>
    <row r="635" spans="1:22" s="49" customFormat="1" ht="14.15" customHeight="1">
      <c r="A635" s="43" t="s">
        <v>5602</v>
      </c>
      <c r="B635" s="44" t="s">
        <v>157</v>
      </c>
      <c r="C635" s="50"/>
      <c r="D635" s="10" t="s">
        <v>29</v>
      </c>
      <c r="E635" s="11"/>
      <c r="F635" s="11" t="s">
        <v>18</v>
      </c>
      <c r="G635" s="13"/>
      <c r="H635" s="45" t="s">
        <v>16</v>
      </c>
      <c r="I635" s="47"/>
      <c r="J635" s="12" t="s">
        <v>5383</v>
      </c>
      <c r="K635" s="13" t="s">
        <v>7435</v>
      </c>
      <c r="L635" s="99" t="str">
        <f t="shared" si="40"/>
        <v>W2224.8</v>
      </c>
      <c r="M635" s="13" t="s">
        <v>17</v>
      </c>
      <c r="N635" s="13"/>
      <c r="O635" s="13"/>
      <c r="P635" s="47"/>
      <c r="Q635" s="45" t="s">
        <v>3672</v>
      </c>
      <c r="R635" s="45" t="s">
        <v>5553</v>
      </c>
      <c r="S635" s="48"/>
      <c r="T635" s="49" t="str">
        <f t="shared" si="39"/>
        <v>[W2224.8]</v>
      </c>
      <c r="U635" s="12" t="str">
        <f t="shared" si="42"/>
        <v xml:space="preserve"> 롤포밍 T축(SD249) 엔코더 이상이 검출되었습니다.</v>
      </c>
      <c r="V635" s="49" t="str">
        <f t="shared" si="41"/>
        <v>[W2224.8] 롤포밍 T축(SD249) 엔코더 이상이 검출되었습니다.</v>
      </c>
    </row>
    <row r="636" spans="1:22" s="49" customFormat="1" ht="14.15" customHeight="1">
      <c r="A636" s="43" t="s">
        <v>5602</v>
      </c>
      <c r="B636" s="44" t="s">
        <v>157</v>
      </c>
      <c r="C636" s="50"/>
      <c r="D636" s="10" t="s">
        <v>29</v>
      </c>
      <c r="E636" s="11"/>
      <c r="F636" s="11" t="s">
        <v>18</v>
      </c>
      <c r="G636" s="13"/>
      <c r="H636" s="45" t="s">
        <v>16</v>
      </c>
      <c r="I636" s="47"/>
      <c r="J636" s="12" t="s">
        <v>5384</v>
      </c>
      <c r="K636" s="13" t="s">
        <v>7436</v>
      </c>
      <c r="L636" s="99" t="str">
        <f t="shared" si="40"/>
        <v>W2224.9</v>
      </c>
      <c r="M636" s="13" t="s">
        <v>17</v>
      </c>
      <c r="N636" s="13"/>
      <c r="O636" s="13"/>
      <c r="P636" s="47"/>
      <c r="Q636" s="45" t="s">
        <v>3672</v>
      </c>
      <c r="R636" s="45" t="s">
        <v>5553</v>
      </c>
      <c r="S636" s="48"/>
      <c r="T636" s="49" t="str">
        <f t="shared" si="39"/>
        <v>[W2224.9]</v>
      </c>
      <c r="U636" s="12" t="str">
        <f t="shared" si="42"/>
        <v xml:space="preserve"> 롤포밍 T축(SD249) 과전류가 검출되었습니다.</v>
      </c>
      <c r="V636" s="49" t="str">
        <f t="shared" si="41"/>
        <v>[W2224.9] 롤포밍 T축(SD249) 과전류가 검출되었습니다.</v>
      </c>
    </row>
    <row r="637" spans="1:22" s="49" customFormat="1" ht="14.15" customHeight="1">
      <c r="A637" s="43" t="s">
        <v>5602</v>
      </c>
      <c r="B637" s="44" t="s">
        <v>157</v>
      </c>
      <c r="C637" s="50"/>
      <c r="D637" s="10" t="s">
        <v>29</v>
      </c>
      <c r="E637" s="11"/>
      <c r="F637" s="11" t="s">
        <v>18</v>
      </c>
      <c r="G637" s="13"/>
      <c r="H637" s="45" t="s">
        <v>16</v>
      </c>
      <c r="I637" s="47"/>
      <c r="J637" s="12" t="s">
        <v>5385</v>
      </c>
      <c r="K637" s="13" t="s">
        <v>7437</v>
      </c>
      <c r="L637" s="99" t="str">
        <f t="shared" si="40"/>
        <v>W2224.A</v>
      </c>
      <c r="M637" s="13" t="s">
        <v>17</v>
      </c>
      <c r="N637" s="13"/>
      <c r="O637" s="13"/>
      <c r="P637" s="47"/>
      <c r="Q637" s="45" t="s">
        <v>3672</v>
      </c>
      <c r="R637" s="45" t="s">
        <v>5553</v>
      </c>
      <c r="S637" s="48"/>
      <c r="T637" s="49" t="str">
        <f t="shared" si="39"/>
        <v>[W2224.A]</v>
      </c>
      <c r="U637" s="12" t="str">
        <f t="shared" si="42"/>
        <v xml:space="preserve"> 롤포밍 T축(SD249) 과부하가 검출되었습니다.</v>
      </c>
      <c r="V637" s="49" t="str">
        <f t="shared" si="41"/>
        <v>[W2224.A] 롤포밍 T축(SD249) 과부하가 검출되었습니다.</v>
      </c>
    </row>
    <row r="638" spans="1:22" s="49" customFormat="1" ht="14.15" customHeight="1">
      <c r="A638" s="43" t="s">
        <v>5602</v>
      </c>
      <c r="B638" s="44" t="s">
        <v>157</v>
      </c>
      <c r="C638" s="50"/>
      <c r="D638" s="10" t="s">
        <v>29</v>
      </c>
      <c r="E638" s="11"/>
      <c r="F638" s="11" t="s">
        <v>18</v>
      </c>
      <c r="G638" s="13"/>
      <c r="H638" s="45" t="s">
        <v>16</v>
      </c>
      <c r="I638" s="47"/>
      <c r="J638" s="12" t="s">
        <v>5386</v>
      </c>
      <c r="K638" s="13" t="s">
        <v>7438</v>
      </c>
      <c r="L638" s="99" t="str">
        <f t="shared" si="40"/>
        <v>W2224.B</v>
      </c>
      <c r="M638" s="13" t="s">
        <v>17</v>
      </c>
      <c r="N638" s="13"/>
      <c r="O638" s="13"/>
      <c r="P638" s="47"/>
      <c r="Q638" s="45" t="s">
        <v>3672</v>
      </c>
      <c r="R638" s="45" t="s">
        <v>5553</v>
      </c>
      <c r="S638" s="48"/>
      <c r="T638" s="49" t="str">
        <f t="shared" si="39"/>
        <v>[W2224.B]</v>
      </c>
      <c r="U638" s="12" t="str">
        <f t="shared" si="42"/>
        <v xml:space="preserve"> 롤포밍 T축(SD249)  </v>
      </c>
      <c r="V638" s="49" t="str">
        <f t="shared" si="41"/>
        <v xml:space="preserve">[W2224.B] 롤포밍 T축(SD249)  </v>
      </c>
    </row>
    <row r="639" spans="1:22" s="49" customFormat="1" ht="14.15" customHeight="1">
      <c r="A639" s="43" t="s">
        <v>5602</v>
      </c>
      <c r="B639" s="44" t="s">
        <v>157</v>
      </c>
      <c r="C639" s="50"/>
      <c r="D639" s="10" t="s">
        <v>29</v>
      </c>
      <c r="E639" s="11"/>
      <c r="F639" s="11" t="s">
        <v>18</v>
      </c>
      <c r="G639" s="13"/>
      <c r="H639" s="45" t="s">
        <v>16</v>
      </c>
      <c r="I639" s="47"/>
      <c r="J639" s="12" t="s">
        <v>5387</v>
      </c>
      <c r="K639" s="13" t="s">
        <v>7439</v>
      </c>
      <c r="L639" s="99" t="str">
        <f t="shared" si="40"/>
        <v>W2224.C</v>
      </c>
      <c r="M639" s="13" t="s">
        <v>17</v>
      </c>
      <c r="N639" s="13"/>
      <c r="O639" s="13"/>
      <c r="P639" s="47"/>
      <c r="Q639" s="45" t="s">
        <v>3672</v>
      </c>
      <c r="R639" s="45" t="s">
        <v>5553</v>
      </c>
      <c r="S639" s="48"/>
      <c r="T639" s="49" t="str">
        <f>"["&amp;L609&amp;"]"</f>
        <v>[W2222.E]</v>
      </c>
      <c r="U639" s="12" t="str">
        <f>RIGHT(J609,LEN(J609)-7)</f>
        <v xml:space="preserve"> 플랜징#2 CLAMP 2축(SD246) 에러가 발생했습니다.</v>
      </c>
      <c r="V639" s="49" t="str">
        <f>T609&amp;U609</f>
        <v>[W2222.E] 플랜징#2 CLAMP 2축(SD246) 에러가 발생했습니다.</v>
      </c>
    </row>
    <row r="640" spans="1:22" s="49" customFormat="1" ht="14.15" customHeight="1">
      <c r="A640" s="43" t="s">
        <v>5602</v>
      </c>
      <c r="B640" s="44" t="s">
        <v>157</v>
      </c>
      <c r="C640" s="50"/>
      <c r="D640" s="10" t="s">
        <v>29</v>
      </c>
      <c r="E640" s="11"/>
      <c r="F640" s="11" t="s">
        <v>18</v>
      </c>
      <c r="G640" s="13"/>
      <c r="H640" s="45" t="s">
        <v>16</v>
      </c>
      <c r="I640" s="47"/>
      <c r="J640" s="12" t="s">
        <v>5388</v>
      </c>
      <c r="K640" s="13" t="s">
        <v>7440</v>
      </c>
      <c r="L640" s="99" t="str">
        <f t="shared" si="40"/>
        <v>W2224.D</v>
      </c>
      <c r="M640" s="13" t="s">
        <v>17</v>
      </c>
      <c r="N640" s="13"/>
      <c r="O640" s="13"/>
      <c r="P640" s="47"/>
      <c r="Q640" s="45" t="s">
        <v>3672</v>
      </c>
      <c r="R640" s="45" t="s">
        <v>5553</v>
      </c>
      <c r="S640" s="48"/>
      <c r="T640" s="49" t="str">
        <f t="shared" si="39"/>
        <v>[W2224.D]</v>
      </c>
      <c r="U640" s="12" t="str">
        <f t="shared" si="42"/>
        <v xml:space="preserve"> 가스켓 커팅 Z축(SD250) 운전중에 Ready가 Off 되었습니다.</v>
      </c>
      <c r="V640" s="49" t="str">
        <f t="shared" si="41"/>
        <v>[W2224.D] 가스켓 커팅 Z축(SD250) 운전중에 Ready가 Off 되었습니다.</v>
      </c>
    </row>
    <row r="641" spans="1:22" s="49" customFormat="1" ht="14.15" customHeight="1">
      <c r="A641" s="43" t="s">
        <v>5602</v>
      </c>
      <c r="B641" s="44" t="s">
        <v>157</v>
      </c>
      <c r="C641" s="50"/>
      <c r="D641" s="10" t="s">
        <v>29</v>
      </c>
      <c r="E641" s="11"/>
      <c r="F641" s="11" t="s">
        <v>18</v>
      </c>
      <c r="G641" s="13"/>
      <c r="H641" s="45" t="s">
        <v>16</v>
      </c>
      <c r="I641" s="47"/>
      <c r="J641" s="12" t="s">
        <v>5389</v>
      </c>
      <c r="K641" s="13" t="s">
        <v>7441</v>
      </c>
      <c r="L641" s="99" t="str">
        <f t="shared" si="40"/>
        <v>W2224.E</v>
      </c>
      <c r="M641" s="13" t="s">
        <v>17</v>
      </c>
      <c r="N641" s="13"/>
      <c r="O641" s="13"/>
      <c r="P641" s="47"/>
      <c r="Q641" s="45" t="s">
        <v>3672</v>
      </c>
      <c r="R641" s="45" t="s">
        <v>5553</v>
      </c>
      <c r="S641" s="48"/>
      <c r="T641" s="49" t="str">
        <f t="shared" si="39"/>
        <v>[W2224.E]</v>
      </c>
      <c r="U641" s="12" t="str">
        <f t="shared" si="42"/>
        <v xml:space="preserve"> 가스켓 커팅 Z축(SD250) FLS가 감지되었습니다.</v>
      </c>
      <c r="V641" s="49" t="str">
        <f t="shared" si="41"/>
        <v>[W2224.E] 가스켓 커팅 Z축(SD250) FLS가 감지되었습니다.</v>
      </c>
    </row>
    <row r="642" spans="1:22" s="49" customFormat="1" ht="14.15" customHeight="1">
      <c r="A642" s="43" t="s">
        <v>5602</v>
      </c>
      <c r="B642" s="44" t="s">
        <v>157</v>
      </c>
      <c r="C642" s="50"/>
      <c r="D642" s="10" t="s">
        <v>29</v>
      </c>
      <c r="E642" s="11"/>
      <c r="F642" s="11" t="s">
        <v>18</v>
      </c>
      <c r="G642" s="13"/>
      <c r="H642" s="45" t="s">
        <v>16</v>
      </c>
      <c r="I642" s="47"/>
      <c r="J642" s="12" t="s">
        <v>5390</v>
      </c>
      <c r="K642" s="13" t="s">
        <v>7442</v>
      </c>
      <c r="L642" s="99" t="str">
        <f t="shared" si="40"/>
        <v>W2224.F</v>
      </c>
      <c r="M642" s="13" t="s">
        <v>17</v>
      </c>
      <c r="N642" s="13"/>
      <c r="O642" s="13"/>
      <c r="P642" s="47"/>
      <c r="Q642" s="45" t="s">
        <v>3672</v>
      </c>
      <c r="R642" s="45" t="s">
        <v>5553</v>
      </c>
      <c r="S642" s="48"/>
      <c r="T642" s="49" t="str">
        <f t="shared" si="39"/>
        <v>[W2224.F]</v>
      </c>
      <c r="U642" s="12" t="str">
        <f t="shared" si="42"/>
        <v xml:space="preserve"> 가스켓 커팅 Z축(SD250) RLS가 감지되었습니다.</v>
      </c>
      <c r="V642" s="49" t="str">
        <f t="shared" si="41"/>
        <v>[W2224.F] 가스켓 커팅 Z축(SD250) RLS가 감지되었습니다.</v>
      </c>
    </row>
    <row r="643" spans="1:22" s="49" customFormat="1" ht="14.15" customHeight="1">
      <c r="A643" s="43" t="s">
        <v>5602</v>
      </c>
      <c r="B643" s="44" t="s">
        <v>157</v>
      </c>
      <c r="C643" s="50"/>
      <c r="D643" s="10" t="s">
        <v>29</v>
      </c>
      <c r="E643" s="11"/>
      <c r="F643" s="11" t="s">
        <v>18</v>
      </c>
      <c r="G643" s="13"/>
      <c r="H643" s="45" t="s">
        <v>16</v>
      </c>
      <c r="I643" s="47"/>
      <c r="J643" s="12" t="s">
        <v>5391</v>
      </c>
      <c r="K643" s="13" t="s">
        <v>7443</v>
      </c>
      <c r="L643" s="99" t="str">
        <f t="shared" si="40"/>
        <v>W2225.0</v>
      </c>
      <c r="M643" s="13" t="s">
        <v>17</v>
      </c>
      <c r="N643" s="13"/>
      <c r="O643" s="13"/>
      <c r="P643" s="47"/>
      <c r="Q643" s="45" t="s">
        <v>3672</v>
      </c>
      <c r="R643" s="45" t="s">
        <v>5553</v>
      </c>
      <c r="S643" s="48"/>
      <c r="T643" s="49" t="str">
        <f t="shared" si="39"/>
        <v>[W2225.0]</v>
      </c>
      <c r="U643" s="12" t="str">
        <f t="shared" si="42"/>
        <v xml:space="preserve"> 가스켓 커팅 Z축(SD250) Stop 명령이 On된 상태에서 기동을 시도했습니다.</v>
      </c>
      <c r="V643" s="49" t="str">
        <f t="shared" si="41"/>
        <v>[W2225.0] 가스켓 커팅 Z축(SD250) Stop 명령이 On된 상태에서 기동을 시도했습니다.</v>
      </c>
    </row>
    <row r="644" spans="1:22" s="49" customFormat="1" ht="14.15" customHeight="1">
      <c r="A644" s="43" t="s">
        <v>5602</v>
      </c>
      <c r="B644" s="44" t="s">
        <v>157</v>
      </c>
      <c r="C644" s="50"/>
      <c r="D644" s="10" t="s">
        <v>29</v>
      </c>
      <c r="E644" s="11"/>
      <c r="F644" s="11" t="s">
        <v>18</v>
      </c>
      <c r="G644" s="13"/>
      <c r="H644" s="45" t="s">
        <v>16</v>
      </c>
      <c r="I644" s="47"/>
      <c r="J644" s="12" t="s">
        <v>5392</v>
      </c>
      <c r="K644" s="13" t="s">
        <v>7444</v>
      </c>
      <c r="L644" s="99" t="str">
        <f t="shared" si="40"/>
        <v>W2225.1</v>
      </c>
      <c r="M644" s="13" t="s">
        <v>17</v>
      </c>
      <c r="N644" s="13"/>
      <c r="O644" s="13"/>
      <c r="P644" s="47"/>
      <c r="Q644" s="45" t="s">
        <v>3672</v>
      </c>
      <c r="R644" s="45" t="s">
        <v>5553</v>
      </c>
      <c r="S644" s="48"/>
      <c r="T644" s="49" t="str">
        <f t="shared" si="39"/>
        <v>[W2225.1]</v>
      </c>
      <c r="U644" s="12" t="str">
        <f t="shared" si="42"/>
        <v xml:space="preserve"> 가스켓 커팅 Z축(SD250) 가동 전원이 Off 되었습니다.</v>
      </c>
      <c r="V644" s="49" t="str">
        <f t="shared" si="41"/>
        <v>[W2225.1] 가스켓 커팅 Z축(SD250) 가동 전원이 Off 되었습니다.</v>
      </c>
    </row>
    <row r="645" spans="1:22" s="49" customFormat="1" ht="14.15" customHeight="1">
      <c r="A645" s="43" t="s">
        <v>5602</v>
      </c>
      <c r="B645" s="44" t="s">
        <v>157</v>
      </c>
      <c r="C645" s="50"/>
      <c r="D645" s="10" t="s">
        <v>29</v>
      </c>
      <c r="E645" s="11"/>
      <c r="F645" s="11" t="s">
        <v>18</v>
      </c>
      <c r="G645" s="13"/>
      <c r="H645" s="45" t="s">
        <v>16</v>
      </c>
      <c r="I645" s="47"/>
      <c r="J645" s="12" t="s">
        <v>5393</v>
      </c>
      <c r="K645" s="13" t="s">
        <v>7445</v>
      </c>
      <c r="L645" s="99" t="str">
        <f t="shared" si="40"/>
        <v>W2225.2</v>
      </c>
      <c r="M645" s="13" t="s">
        <v>17</v>
      </c>
      <c r="N645" s="13"/>
      <c r="O645" s="13"/>
      <c r="P645" s="47"/>
      <c r="Q645" s="45" t="s">
        <v>3672</v>
      </c>
      <c r="R645" s="45" t="s">
        <v>5553</v>
      </c>
      <c r="S645" s="48"/>
      <c r="T645" s="49" t="str">
        <f t="shared" si="39"/>
        <v>[W2225.2]</v>
      </c>
      <c r="U645" s="12" t="str">
        <f t="shared" si="42"/>
        <v xml:space="preserve"> 가스켓 커팅 Z축(SD250) 엔코더 이상이 검출되었습니다.</v>
      </c>
      <c r="V645" s="49" t="str">
        <f t="shared" si="41"/>
        <v>[W2225.2] 가스켓 커팅 Z축(SD250) 엔코더 이상이 검출되었습니다.</v>
      </c>
    </row>
    <row r="646" spans="1:22" s="49" customFormat="1" ht="14.15" customHeight="1">
      <c r="A646" s="43" t="s">
        <v>5602</v>
      </c>
      <c r="B646" s="44" t="s">
        <v>157</v>
      </c>
      <c r="C646" s="50"/>
      <c r="D646" s="10" t="s">
        <v>29</v>
      </c>
      <c r="E646" s="11"/>
      <c r="F646" s="11" t="s">
        <v>18</v>
      </c>
      <c r="G646" s="13"/>
      <c r="H646" s="45" t="s">
        <v>16</v>
      </c>
      <c r="I646" s="47"/>
      <c r="J646" s="12" t="s">
        <v>5394</v>
      </c>
      <c r="K646" s="13" t="s">
        <v>7446</v>
      </c>
      <c r="L646" s="99" t="str">
        <f t="shared" si="40"/>
        <v>W2225.3</v>
      </c>
      <c r="M646" s="13" t="s">
        <v>17</v>
      </c>
      <c r="N646" s="13"/>
      <c r="O646" s="13"/>
      <c r="P646" s="47"/>
      <c r="Q646" s="45" t="s">
        <v>3672</v>
      </c>
      <c r="R646" s="45" t="s">
        <v>5553</v>
      </c>
      <c r="S646" s="48"/>
      <c r="T646" s="49" t="str">
        <f t="shared" si="39"/>
        <v>[W2225.3]</v>
      </c>
      <c r="U646" s="12" t="str">
        <f t="shared" si="42"/>
        <v xml:space="preserve"> 가스켓 커팅 Z축(SD250) 과전류가 검출되었습니다.</v>
      </c>
      <c r="V646" s="49" t="str">
        <f t="shared" si="41"/>
        <v>[W2225.3] 가스켓 커팅 Z축(SD250) 과전류가 검출되었습니다.</v>
      </c>
    </row>
    <row r="647" spans="1:22" s="49" customFormat="1" ht="14.15" customHeight="1">
      <c r="A647" s="43" t="s">
        <v>5602</v>
      </c>
      <c r="B647" s="44" t="s">
        <v>157</v>
      </c>
      <c r="C647" s="50"/>
      <c r="D647" s="10" t="s">
        <v>29</v>
      </c>
      <c r="E647" s="11"/>
      <c r="F647" s="11" t="s">
        <v>18</v>
      </c>
      <c r="G647" s="13"/>
      <c r="H647" s="45" t="s">
        <v>16</v>
      </c>
      <c r="I647" s="47"/>
      <c r="J647" s="12" t="s">
        <v>5395</v>
      </c>
      <c r="K647" s="13" t="s">
        <v>7447</v>
      </c>
      <c r="L647" s="99" t="str">
        <f t="shared" si="40"/>
        <v>W2225.4</v>
      </c>
      <c r="M647" s="13" t="s">
        <v>17</v>
      </c>
      <c r="N647" s="13"/>
      <c r="O647" s="13"/>
      <c r="P647" s="47"/>
      <c r="Q647" s="45" t="s">
        <v>3672</v>
      </c>
      <c r="R647" s="45" t="s">
        <v>5553</v>
      </c>
      <c r="S647" s="48"/>
      <c r="T647" s="49" t="str">
        <f t="shared" si="39"/>
        <v>[W2225.4]</v>
      </c>
      <c r="U647" s="12" t="str">
        <f t="shared" si="42"/>
        <v xml:space="preserve"> 가스켓 커팅 Z축(SD250) 과부하가 검출되었습니다.</v>
      </c>
      <c r="V647" s="49" t="str">
        <f t="shared" si="41"/>
        <v>[W2225.4] 가스켓 커팅 Z축(SD250) 과부하가 검출되었습니다.</v>
      </c>
    </row>
    <row r="648" spans="1:22" s="49" customFormat="1" ht="14.15" customHeight="1">
      <c r="A648" s="43" t="s">
        <v>5602</v>
      </c>
      <c r="B648" s="44" t="s">
        <v>157</v>
      </c>
      <c r="C648" s="50"/>
      <c r="D648" s="10" t="s">
        <v>29</v>
      </c>
      <c r="E648" s="11"/>
      <c r="F648" s="11" t="s">
        <v>18</v>
      </c>
      <c r="G648" s="13"/>
      <c r="H648" s="45" t="s">
        <v>16</v>
      </c>
      <c r="I648" s="47"/>
      <c r="J648" s="12" t="s">
        <v>5396</v>
      </c>
      <c r="K648" s="13" t="s">
        <v>7448</v>
      </c>
      <c r="L648" s="99" t="str">
        <f t="shared" si="40"/>
        <v>W2225.5</v>
      </c>
      <c r="M648" s="13" t="s">
        <v>17</v>
      </c>
      <c r="N648" s="13"/>
      <c r="O648" s="13"/>
      <c r="P648" s="47"/>
      <c r="Q648" s="45" t="s">
        <v>3672</v>
      </c>
      <c r="R648" s="45" t="s">
        <v>5553</v>
      </c>
      <c r="S648" s="48"/>
      <c r="T648" s="49" t="str">
        <f t="shared" si="39"/>
        <v>[W2225.5]</v>
      </c>
      <c r="U648" s="12" t="str">
        <f t="shared" si="42"/>
        <v xml:space="preserve"> 가스켓 커팅 Z축(SD250)</v>
      </c>
      <c r="V648" s="49" t="str">
        <f t="shared" si="41"/>
        <v>[W2225.5] 가스켓 커팅 Z축(SD250)</v>
      </c>
    </row>
    <row r="649" spans="1:22" s="49" customFormat="1" ht="14.15" customHeight="1">
      <c r="A649" s="43" t="s">
        <v>5602</v>
      </c>
      <c r="B649" s="44" t="s">
        <v>157</v>
      </c>
      <c r="C649" s="50"/>
      <c r="D649" s="10" t="s">
        <v>29</v>
      </c>
      <c r="E649" s="11"/>
      <c r="F649" s="11" t="s">
        <v>18</v>
      </c>
      <c r="G649" s="13"/>
      <c r="H649" s="45" t="s">
        <v>16</v>
      </c>
      <c r="I649" s="47"/>
      <c r="J649" s="12" t="s">
        <v>5397</v>
      </c>
      <c r="K649" s="13" t="s">
        <v>7449</v>
      </c>
      <c r="L649" s="99" t="str">
        <f t="shared" si="40"/>
        <v>W2225.6</v>
      </c>
      <c r="M649" s="13" t="s">
        <v>17</v>
      </c>
      <c r="N649" s="13"/>
      <c r="O649" s="13"/>
      <c r="P649" s="47"/>
      <c r="Q649" s="45" t="s">
        <v>3672</v>
      </c>
      <c r="R649" s="45" t="s">
        <v>5553</v>
      </c>
      <c r="S649" s="48"/>
      <c r="T649" s="49" t="str">
        <f t="shared" si="39"/>
        <v>[W2225.6]</v>
      </c>
      <c r="U649" s="12" t="str">
        <f t="shared" si="42"/>
        <v xml:space="preserve"> 가스켓 커팅 Z축(SD250) 에러가 발생했습니다.</v>
      </c>
      <c r="V649" s="49" t="str">
        <f t="shared" si="41"/>
        <v>[W2225.6] 가스켓 커팅 Z축(SD250) 에러가 발생했습니다.</v>
      </c>
    </row>
    <row r="650" spans="1:22" s="49" customFormat="1" ht="14.15" customHeight="1">
      <c r="A650" s="43" t="s">
        <v>5603</v>
      </c>
      <c r="B650" s="44" t="s">
        <v>157</v>
      </c>
      <c r="C650" s="50"/>
      <c r="D650" s="10" t="s">
        <v>29</v>
      </c>
      <c r="E650" s="11"/>
      <c r="F650" s="11" t="s">
        <v>18</v>
      </c>
      <c r="G650" s="13"/>
      <c r="H650" s="45" t="s">
        <v>16</v>
      </c>
      <c r="I650" s="47"/>
      <c r="J650" s="12" t="s">
        <v>5398</v>
      </c>
      <c r="K650" s="13" t="s">
        <v>7450</v>
      </c>
      <c r="L650" s="99" t="str">
        <f t="shared" si="40"/>
        <v>W2225.7</v>
      </c>
      <c r="M650" s="13" t="s">
        <v>17</v>
      </c>
      <c r="N650" s="13"/>
      <c r="O650" s="13"/>
      <c r="P650" s="47"/>
      <c r="Q650" s="45" t="s">
        <v>3672</v>
      </c>
      <c r="R650" s="45" t="s">
        <v>5553</v>
      </c>
      <c r="S650" s="48"/>
      <c r="T650" s="49" t="str">
        <f t="shared" si="39"/>
        <v>[W2225.7]</v>
      </c>
      <c r="U650" s="12" t="str">
        <f t="shared" si="42"/>
        <v xml:space="preserve"> U-BENDING 셔틀 X축(SD251) 운전중에 Ready가 Off 되었습니다.</v>
      </c>
      <c r="V650" s="49" t="str">
        <f t="shared" si="41"/>
        <v>[W2225.7] U-BENDING 셔틀 X축(SD251) 운전중에 Ready가 Off 되었습니다.</v>
      </c>
    </row>
    <row r="651" spans="1:22" s="49" customFormat="1" ht="14.15" customHeight="1">
      <c r="A651" s="43" t="s">
        <v>5603</v>
      </c>
      <c r="B651" s="44" t="s">
        <v>157</v>
      </c>
      <c r="C651" s="50"/>
      <c r="D651" s="10" t="s">
        <v>29</v>
      </c>
      <c r="E651" s="11"/>
      <c r="F651" s="11" t="s">
        <v>18</v>
      </c>
      <c r="G651" s="13"/>
      <c r="H651" s="45" t="s">
        <v>16</v>
      </c>
      <c r="I651" s="47"/>
      <c r="J651" s="12" t="s">
        <v>5399</v>
      </c>
      <c r="K651" s="13" t="s">
        <v>7451</v>
      </c>
      <c r="L651" s="99" t="str">
        <f t="shared" si="40"/>
        <v>W2225.8</v>
      </c>
      <c r="M651" s="13" t="s">
        <v>17</v>
      </c>
      <c r="N651" s="13"/>
      <c r="O651" s="13"/>
      <c r="P651" s="47"/>
      <c r="Q651" s="45" t="s">
        <v>3672</v>
      </c>
      <c r="R651" s="45" t="s">
        <v>5553</v>
      </c>
      <c r="S651" s="48"/>
      <c r="T651" s="49" t="str">
        <f t="shared" si="39"/>
        <v>[W2225.8]</v>
      </c>
      <c r="U651" s="12" t="str">
        <f t="shared" si="42"/>
        <v xml:space="preserve"> U-BENDING 셔틀 X축(SD251) FLS가 감지되었습니다.</v>
      </c>
      <c r="V651" s="49" t="str">
        <f t="shared" si="41"/>
        <v>[W2225.8] U-BENDING 셔틀 X축(SD251) FLS가 감지되었습니다.</v>
      </c>
    </row>
    <row r="652" spans="1:22" s="49" customFormat="1" ht="14.15" customHeight="1">
      <c r="A652" s="43" t="s">
        <v>5603</v>
      </c>
      <c r="B652" s="44" t="s">
        <v>157</v>
      </c>
      <c r="C652" s="50"/>
      <c r="D652" s="10" t="s">
        <v>29</v>
      </c>
      <c r="E652" s="11"/>
      <c r="F652" s="11" t="s">
        <v>18</v>
      </c>
      <c r="G652" s="13"/>
      <c r="H652" s="45" t="s">
        <v>16</v>
      </c>
      <c r="I652" s="47"/>
      <c r="J652" s="12" t="s">
        <v>5400</v>
      </c>
      <c r="K652" s="13" t="s">
        <v>7452</v>
      </c>
      <c r="L652" s="99" t="str">
        <f t="shared" si="40"/>
        <v>W2225.9</v>
      </c>
      <c r="M652" s="13" t="s">
        <v>17</v>
      </c>
      <c r="N652" s="13"/>
      <c r="O652" s="13"/>
      <c r="P652" s="47"/>
      <c r="Q652" s="45" t="s">
        <v>3672</v>
      </c>
      <c r="R652" s="45" t="s">
        <v>5553</v>
      </c>
      <c r="S652" s="48"/>
      <c r="T652" s="49" t="str">
        <f t="shared" si="39"/>
        <v>[W2225.9]</v>
      </c>
      <c r="U652" s="12" t="str">
        <f t="shared" si="42"/>
        <v xml:space="preserve"> U-BENDING 셔틀 X축(SD251) RLS가 감지되었습니다.</v>
      </c>
      <c r="V652" s="49" t="str">
        <f t="shared" si="41"/>
        <v>[W2225.9] U-BENDING 셔틀 X축(SD251) RLS가 감지되었습니다.</v>
      </c>
    </row>
    <row r="653" spans="1:22" s="49" customFormat="1" ht="14.15" customHeight="1">
      <c r="A653" s="43" t="s">
        <v>5603</v>
      </c>
      <c r="B653" s="44" t="s">
        <v>157</v>
      </c>
      <c r="C653" s="50"/>
      <c r="D653" s="10" t="s">
        <v>29</v>
      </c>
      <c r="E653" s="11"/>
      <c r="F653" s="11" t="s">
        <v>18</v>
      </c>
      <c r="G653" s="13"/>
      <c r="H653" s="45" t="s">
        <v>16</v>
      </c>
      <c r="I653" s="47"/>
      <c r="J653" s="12" t="s">
        <v>5401</v>
      </c>
      <c r="K653" s="13" t="s">
        <v>7453</v>
      </c>
      <c r="L653" s="99" t="str">
        <f t="shared" si="40"/>
        <v>W2225.A</v>
      </c>
      <c r="M653" s="13" t="s">
        <v>17</v>
      </c>
      <c r="N653" s="13"/>
      <c r="O653" s="13"/>
      <c r="P653" s="47"/>
      <c r="Q653" s="45" t="s">
        <v>3672</v>
      </c>
      <c r="R653" s="45" t="s">
        <v>5553</v>
      </c>
      <c r="S653" s="48"/>
      <c r="T653" s="49" t="str">
        <f t="shared" si="39"/>
        <v>[W2225.A]</v>
      </c>
      <c r="U653" s="12" t="str">
        <f t="shared" si="42"/>
        <v xml:space="preserve"> U-BENDING 셔틀 X축(SD251) Stop 명령이 On된 상태에서 기동을 시도했습니다.</v>
      </c>
      <c r="V653" s="49" t="str">
        <f t="shared" si="41"/>
        <v>[W2225.A] U-BENDING 셔틀 X축(SD251) Stop 명령이 On된 상태에서 기동을 시도했습니다.</v>
      </c>
    </row>
    <row r="654" spans="1:22" s="49" customFormat="1" ht="14.15" customHeight="1">
      <c r="A654" s="43" t="s">
        <v>5603</v>
      </c>
      <c r="B654" s="44" t="s">
        <v>157</v>
      </c>
      <c r="C654" s="50"/>
      <c r="D654" s="10" t="s">
        <v>29</v>
      </c>
      <c r="E654" s="11"/>
      <c r="F654" s="11" t="s">
        <v>18</v>
      </c>
      <c r="G654" s="13"/>
      <c r="H654" s="45" t="s">
        <v>16</v>
      </c>
      <c r="I654" s="47"/>
      <c r="J654" s="12" t="s">
        <v>5402</v>
      </c>
      <c r="K654" s="13" t="s">
        <v>7454</v>
      </c>
      <c r="L654" s="99" t="str">
        <f t="shared" si="40"/>
        <v>W2225.B</v>
      </c>
      <c r="M654" s="13" t="s">
        <v>17</v>
      </c>
      <c r="N654" s="13"/>
      <c r="O654" s="13"/>
      <c r="P654" s="47"/>
      <c r="Q654" s="45" t="s">
        <v>3672</v>
      </c>
      <c r="R654" s="45" t="s">
        <v>5553</v>
      </c>
      <c r="S654" s="48"/>
      <c r="T654" s="49" t="str">
        <f t="shared" si="39"/>
        <v>[W2225.B]</v>
      </c>
      <c r="U654" s="12" t="str">
        <f t="shared" si="42"/>
        <v xml:space="preserve"> U-BENDING 셔틀 X축(SD251) 가동 전원이 Off 되었습니다.</v>
      </c>
      <c r="V654" s="49" t="str">
        <f t="shared" si="41"/>
        <v>[W2225.B] U-BENDING 셔틀 X축(SD251) 가동 전원이 Off 되었습니다.</v>
      </c>
    </row>
    <row r="655" spans="1:22" s="49" customFormat="1" ht="14.15" customHeight="1">
      <c r="A655" s="43" t="s">
        <v>5603</v>
      </c>
      <c r="B655" s="44" t="s">
        <v>157</v>
      </c>
      <c r="C655" s="50"/>
      <c r="D655" s="10" t="s">
        <v>29</v>
      </c>
      <c r="E655" s="11"/>
      <c r="F655" s="11" t="s">
        <v>18</v>
      </c>
      <c r="G655" s="13"/>
      <c r="H655" s="45" t="s">
        <v>16</v>
      </c>
      <c r="I655" s="47"/>
      <c r="J655" s="12" t="s">
        <v>5403</v>
      </c>
      <c r="K655" s="13" t="s">
        <v>7455</v>
      </c>
      <c r="L655" s="99" t="str">
        <f t="shared" si="40"/>
        <v>W2225.C</v>
      </c>
      <c r="M655" s="13" t="s">
        <v>17</v>
      </c>
      <c r="N655" s="13"/>
      <c r="O655" s="13"/>
      <c r="P655" s="47"/>
      <c r="Q655" s="45" t="s">
        <v>3672</v>
      </c>
      <c r="R655" s="45" t="s">
        <v>5553</v>
      </c>
      <c r="S655" s="48"/>
      <c r="T655" s="49" t="str">
        <f t="shared" si="39"/>
        <v>[W2225.C]</v>
      </c>
      <c r="U655" s="12" t="str">
        <f t="shared" si="42"/>
        <v xml:space="preserve"> U-BENDING 셔틀 X축(SD251) 엔코더 이상이 검출되었습니다.</v>
      </c>
      <c r="V655" s="49" t="str">
        <f t="shared" si="41"/>
        <v>[W2225.C] U-BENDING 셔틀 X축(SD251) 엔코더 이상이 검출되었습니다.</v>
      </c>
    </row>
    <row r="656" spans="1:22" s="49" customFormat="1" ht="14.15" customHeight="1">
      <c r="A656" s="43" t="s">
        <v>5603</v>
      </c>
      <c r="B656" s="44" t="s">
        <v>157</v>
      </c>
      <c r="C656" s="50"/>
      <c r="D656" s="10" t="s">
        <v>29</v>
      </c>
      <c r="E656" s="11"/>
      <c r="F656" s="11" t="s">
        <v>18</v>
      </c>
      <c r="G656" s="13"/>
      <c r="H656" s="45" t="s">
        <v>16</v>
      </c>
      <c r="I656" s="47"/>
      <c r="J656" s="12" t="s">
        <v>5404</v>
      </c>
      <c r="K656" s="13" t="s">
        <v>7456</v>
      </c>
      <c r="L656" s="99" t="str">
        <f t="shared" si="40"/>
        <v>W2225.D</v>
      </c>
      <c r="M656" s="13" t="s">
        <v>17</v>
      </c>
      <c r="N656" s="13"/>
      <c r="O656" s="13"/>
      <c r="P656" s="47"/>
      <c r="Q656" s="45" t="s">
        <v>3672</v>
      </c>
      <c r="R656" s="45" t="s">
        <v>5553</v>
      </c>
      <c r="S656" s="48"/>
      <c r="T656" s="49" t="str">
        <f t="shared" si="39"/>
        <v>[W2225.D]</v>
      </c>
      <c r="U656" s="12" t="str">
        <f t="shared" si="42"/>
        <v xml:space="preserve"> U-BENDING 셔틀 X축(SD251) 과전류가 검출되었습니다.</v>
      </c>
      <c r="V656" s="49" t="str">
        <f t="shared" si="41"/>
        <v>[W2225.D] U-BENDING 셔틀 X축(SD251) 과전류가 검출되었습니다.</v>
      </c>
    </row>
    <row r="657" spans="1:22" s="49" customFormat="1" ht="14.15" customHeight="1">
      <c r="A657" s="43" t="s">
        <v>5603</v>
      </c>
      <c r="B657" s="44" t="s">
        <v>157</v>
      </c>
      <c r="C657" s="50"/>
      <c r="D657" s="10" t="s">
        <v>29</v>
      </c>
      <c r="E657" s="11"/>
      <c r="F657" s="11" t="s">
        <v>18</v>
      </c>
      <c r="G657" s="13"/>
      <c r="H657" s="45" t="s">
        <v>16</v>
      </c>
      <c r="I657" s="47"/>
      <c r="J657" s="12" t="s">
        <v>5405</v>
      </c>
      <c r="K657" s="13" t="s">
        <v>7457</v>
      </c>
      <c r="L657" s="99" t="str">
        <f t="shared" si="40"/>
        <v>W2225.E</v>
      </c>
      <c r="M657" s="13" t="s">
        <v>17</v>
      </c>
      <c r="N657" s="13"/>
      <c r="O657" s="13"/>
      <c r="P657" s="47"/>
      <c r="Q657" s="45" t="s">
        <v>3672</v>
      </c>
      <c r="R657" s="45" t="s">
        <v>5553</v>
      </c>
      <c r="S657" s="48"/>
      <c r="T657" s="49" t="str">
        <f t="shared" si="39"/>
        <v>[W2225.E]</v>
      </c>
      <c r="U657" s="12" t="str">
        <f t="shared" si="42"/>
        <v xml:space="preserve"> U-BENDING 셔틀 X축(SD251) 과부하가 검출되었습니다.</v>
      </c>
      <c r="V657" s="49" t="str">
        <f t="shared" si="41"/>
        <v>[W2225.E] U-BENDING 셔틀 X축(SD251) 과부하가 검출되었습니다.</v>
      </c>
    </row>
    <row r="658" spans="1:22" s="49" customFormat="1" ht="14.15" customHeight="1">
      <c r="A658" s="43" t="s">
        <v>5603</v>
      </c>
      <c r="B658" s="44" t="s">
        <v>157</v>
      </c>
      <c r="C658" s="50"/>
      <c r="D658" s="10" t="s">
        <v>29</v>
      </c>
      <c r="E658" s="11"/>
      <c r="F658" s="11" t="s">
        <v>18</v>
      </c>
      <c r="G658" s="13"/>
      <c r="H658" s="45" t="s">
        <v>16</v>
      </c>
      <c r="I658" s="47"/>
      <c r="J658" s="12" t="s">
        <v>5406</v>
      </c>
      <c r="K658" s="13" t="s">
        <v>7458</v>
      </c>
      <c r="L658" s="99" t="str">
        <f t="shared" si="40"/>
        <v>W2225.F</v>
      </c>
      <c r="M658" s="13" t="s">
        <v>17</v>
      </c>
      <c r="N658" s="13"/>
      <c r="O658" s="13"/>
      <c r="P658" s="47"/>
      <c r="Q658" s="45" t="s">
        <v>3672</v>
      </c>
      <c r="R658" s="45" t="s">
        <v>5553</v>
      </c>
      <c r="S658" s="48"/>
      <c r="T658" s="49" t="str">
        <f t="shared" si="39"/>
        <v>[W2225.F]</v>
      </c>
      <c r="U658" s="12" t="str">
        <f t="shared" si="42"/>
        <v xml:space="preserve"> U-BENDING 셔틀 X축(SD251)</v>
      </c>
      <c r="V658" s="49" t="str">
        <f t="shared" si="41"/>
        <v>[W2225.F] U-BENDING 셔틀 X축(SD251)</v>
      </c>
    </row>
    <row r="659" spans="1:22" s="49" customFormat="1" ht="14.15" customHeight="1">
      <c r="A659" s="43" t="s">
        <v>5603</v>
      </c>
      <c r="B659" s="44" t="s">
        <v>157</v>
      </c>
      <c r="C659" s="50"/>
      <c r="D659" s="10" t="s">
        <v>29</v>
      </c>
      <c r="E659" s="11"/>
      <c r="F659" s="11" t="s">
        <v>18</v>
      </c>
      <c r="G659" s="13"/>
      <c r="H659" s="45" t="s">
        <v>16</v>
      </c>
      <c r="I659" s="47"/>
      <c r="J659" s="12" t="s">
        <v>5407</v>
      </c>
      <c r="K659" s="13" t="s">
        <v>7459</v>
      </c>
      <c r="L659" s="99" t="str">
        <f t="shared" si="40"/>
        <v>W2226.0</v>
      </c>
      <c r="M659" s="13" t="s">
        <v>17</v>
      </c>
      <c r="N659" s="13"/>
      <c r="O659" s="13"/>
      <c r="P659" s="47"/>
      <c r="Q659" s="45" t="s">
        <v>3672</v>
      </c>
      <c r="R659" s="45" t="s">
        <v>5553</v>
      </c>
      <c r="S659" s="48"/>
      <c r="T659" s="49" t="str">
        <f t="shared" si="39"/>
        <v>[W2226.0]</v>
      </c>
      <c r="U659" s="12" t="str">
        <f t="shared" si="42"/>
        <v xml:space="preserve"> U-BENDING 셔틀 X축(SD251) 에러가 발생했습니다.</v>
      </c>
      <c r="V659" s="49" t="str">
        <f t="shared" si="41"/>
        <v>[W2226.0] U-BENDING 셔틀 X축(SD251) 에러가 발생했습니다.</v>
      </c>
    </row>
    <row r="660" spans="1:22" s="49" customFormat="1" ht="14.15" customHeight="1">
      <c r="A660" s="43" t="s">
        <v>5603</v>
      </c>
      <c r="B660" s="44" t="s">
        <v>157</v>
      </c>
      <c r="C660" s="50"/>
      <c r="D660" s="10" t="s">
        <v>29</v>
      </c>
      <c r="E660" s="11"/>
      <c r="F660" s="11" t="s">
        <v>18</v>
      </c>
      <c r="G660" s="13"/>
      <c r="H660" s="45" t="s">
        <v>16</v>
      </c>
      <c r="I660" s="47"/>
      <c r="J660" s="12" t="s">
        <v>5408</v>
      </c>
      <c r="K660" s="13" t="s">
        <v>7460</v>
      </c>
      <c r="L660" s="99" t="str">
        <f t="shared" si="40"/>
        <v>W2226.1</v>
      </c>
      <c r="M660" s="13" t="s">
        <v>17</v>
      </c>
      <c r="N660" s="13"/>
      <c r="O660" s="13"/>
      <c r="P660" s="47"/>
      <c r="Q660" s="45" t="s">
        <v>3672</v>
      </c>
      <c r="R660" s="45" t="s">
        <v>5553</v>
      </c>
      <c r="S660" s="48"/>
      <c r="T660" s="49" t="str">
        <f t="shared" si="39"/>
        <v>[W2226.1]</v>
      </c>
      <c r="U660" s="12" t="str">
        <f t="shared" si="42"/>
        <v xml:space="preserve"> 가스켓 TOOL Z축(SD252) 운전중에 Ready가 Off 되었습니다.</v>
      </c>
      <c r="V660" s="49" t="str">
        <f t="shared" si="41"/>
        <v>[W2226.1] 가스켓 TOOL Z축(SD252) 운전중에 Ready가 Off 되었습니다.</v>
      </c>
    </row>
    <row r="661" spans="1:22" s="49" customFormat="1" ht="14.15" customHeight="1">
      <c r="A661" s="43" t="s">
        <v>5603</v>
      </c>
      <c r="B661" s="44" t="s">
        <v>157</v>
      </c>
      <c r="C661" s="54"/>
      <c r="D661" s="10" t="s">
        <v>29</v>
      </c>
      <c r="E661" s="11"/>
      <c r="F661" s="11" t="s">
        <v>18</v>
      </c>
      <c r="G661" s="13"/>
      <c r="H661" s="45" t="s">
        <v>16</v>
      </c>
      <c r="I661" s="47"/>
      <c r="J661" s="12" t="s">
        <v>5409</v>
      </c>
      <c r="K661" s="13" t="s">
        <v>7461</v>
      </c>
      <c r="L661" s="99" t="str">
        <f t="shared" si="40"/>
        <v>W2226.2</v>
      </c>
      <c r="M661" s="13" t="s">
        <v>17</v>
      </c>
      <c r="N661" s="13"/>
      <c r="O661" s="13"/>
      <c r="P661" s="47"/>
      <c r="Q661" s="45" t="s">
        <v>3672</v>
      </c>
      <c r="R661" s="45" t="s">
        <v>5553</v>
      </c>
      <c r="S661" s="48"/>
      <c r="T661" s="49" t="str">
        <f t="shared" si="39"/>
        <v>[W2226.2]</v>
      </c>
      <c r="U661" s="12" t="str">
        <f t="shared" si="42"/>
        <v xml:space="preserve"> 가스켓 TOOL Z축(SD252) FLS가 감지되었습니다.</v>
      </c>
      <c r="V661" s="49" t="str">
        <f t="shared" si="41"/>
        <v>[W2226.2] 가스켓 TOOL Z축(SD252) FLS가 감지되었습니다.</v>
      </c>
    </row>
    <row r="662" spans="1:22" s="49" customFormat="1" ht="14.15" customHeight="1">
      <c r="A662" s="43" t="s">
        <v>5603</v>
      </c>
      <c r="B662" s="44" t="s">
        <v>157</v>
      </c>
      <c r="C662" s="54"/>
      <c r="D662" s="10" t="s">
        <v>29</v>
      </c>
      <c r="E662" s="11"/>
      <c r="F662" s="11" t="s">
        <v>18</v>
      </c>
      <c r="G662" s="13"/>
      <c r="H662" s="45" t="s">
        <v>16</v>
      </c>
      <c r="I662" s="47"/>
      <c r="J662" s="12" t="s">
        <v>5410</v>
      </c>
      <c r="K662" s="13" t="s">
        <v>7462</v>
      </c>
      <c r="L662" s="99" t="str">
        <f t="shared" si="40"/>
        <v>W2226.3</v>
      </c>
      <c r="M662" s="13" t="s">
        <v>17</v>
      </c>
      <c r="N662" s="13"/>
      <c r="O662" s="13"/>
      <c r="P662" s="47"/>
      <c r="Q662" s="45" t="s">
        <v>3672</v>
      </c>
      <c r="R662" s="45" t="s">
        <v>5553</v>
      </c>
      <c r="S662" s="48"/>
      <c r="T662" s="49" t="str">
        <f t="shared" si="39"/>
        <v>[W2226.3]</v>
      </c>
      <c r="U662" s="12" t="str">
        <f t="shared" si="42"/>
        <v xml:space="preserve"> 가스켓 TOOL Z축(SD252) RLS가 감지되었습니다.</v>
      </c>
      <c r="V662" s="49" t="str">
        <f t="shared" si="41"/>
        <v>[W2226.3] 가스켓 TOOL Z축(SD252) RLS가 감지되었습니다.</v>
      </c>
    </row>
    <row r="663" spans="1:22" s="49" customFormat="1" ht="14.15" customHeight="1">
      <c r="A663" s="43" t="s">
        <v>5603</v>
      </c>
      <c r="B663" s="44" t="s">
        <v>157</v>
      </c>
      <c r="C663" s="54"/>
      <c r="D663" s="10" t="s">
        <v>29</v>
      </c>
      <c r="E663" s="11"/>
      <c r="F663" s="11" t="s">
        <v>18</v>
      </c>
      <c r="G663" s="13"/>
      <c r="H663" s="45" t="s">
        <v>16</v>
      </c>
      <c r="I663" s="47"/>
      <c r="J663" s="12" t="s">
        <v>5411</v>
      </c>
      <c r="K663" s="13" t="s">
        <v>7463</v>
      </c>
      <c r="L663" s="99" t="str">
        <f t="shared" si="40"/>
        <v>W2226.4</v>
      </c>
      <c r="M663" s="13" t="s">
        <v>17</v>
      </c>
      <c r="N663" s="13"/>
      <c r="O663" s="13"/>
      <c r="P663" s="47"/>
      <c r="Q663" s="45" t="s">
        <v>3672</v>
      </c>
      <c r="R663" s="45" t="s">
        <v>5553</v>
      </c>
      <c r="S663" s="48"/>
      <c r="T663" s="49" t="str">
        <f t="shared" si="39"/>
        <v>[W2226.4]</v>
      </c>
      <c r="U663" s="12" t="str">
        <f t="shared" si="42"/>
        <v xml:space="preserve"> 가스켓 TOOL Z축(SD252) Stop 명령이 On된 상태에서 기동을 시도했습니다.</v>
      </c>
      <c r="V663" s="49" t="str">
        <f t="shared" si="41"/>
        <v>[W2226.4] 가스켓 TOOL Z축(SD252) Stop 명령이 On된 상태에서 기동을 시도했습니다.</v>
      </c>
    </row>
    <row r="664" spans="1:22" s="49" customFormat="1" ht="14.15" customHeight="1">
      <c r="A664" s="43" t="s">
        <v>5603</v>
      </c>
      <c r="B664" s="44" t="s">
        <v>157</v>
      </c>
      <c r="C664" s="54"/>
      <c r="D664" s="10" t="s">
        <v>29</v>
      </c>
      <c r="E664" s="11"/>
      <c r="F664" s="11" t="s">
        <v>18</v>
      </c>
      <c r="G664" s="13"/>
      <c r="H664" s="45" t="s">
        <v>16</v>
      </c>
      <c r="I664" s="47"/>
      <c r="J664" s="12" t="s">
        <v>5412</v>
      </c>
      <c r="K664" s="13" t="s">
        <v>7464</v>
      </c>
      <c r="L664" s="99" t="str">
        <f t="shared" si="40"/>
        <v>W2226.5</v>
      </c>
      <c r="M664" s="13" t="s">
        <v>17</v>
      </c>
      <c r="N664" s="13"/>
      <c r="O664" s="13"/>
      <c r="P664" s="47"/>
      <c r="Q664" s="45" t="s">
        <v>3672</v>
      </c>
      <c r="R664" s="45" t="s">
        <v>5553</v>
      </c>
      <c r="S664" s="48"/>
      <c r="T664" s="49" t="str">
        <f t="shared" si="39"/>
        <v>[W2226.5]</v>
      </c>
      <c r="U664" s="12" t="str">
        <f t="shared" si="42"/>
        <v xml:space="preserve"> 가스켓 TOOL Z축(SD252) 가동 전원이 Off 되었습니다.</v>
      </c>
      <c r="V664" s="49" t="str">
        <f t="shared" si="41"/>
        <v>[W2226.5] 가스켓 TOOL Z축(SD252) 가동 전원이 Off 되었습니다.</v>
      </c>
    </row>
    <row r="665" spans="1:22" s="49" customFormat="1" ht="14.15" customHeight="1">
      <c r="A665" s="43" t="s">
        <v>5603</v>
      </c>
      <c r="B665" s="44" t="s">
        <v>157</v>
      </c>
      <c r="C665" s="54"/>
      <c r="D665" s="10" t="s">
        <v>29</v>
      </c>
      <c r="E665" s="11"/>
      <c r="F665" s="11" t="s">
        <v>18</v>
      </c>
      <c r="G665" s="13"/>
      <c r="H665" s="45" t="s">
        <v>16</v>
      </c>
      <c r="I665" s="47"/>
      <c r="J665" s="12" t="s">
        <v>5413</v>
      </c>
      <c r="K665" s="13" t="s">
        <v>7465</v>
      </c>
      <c r="L665" s="99" t="str">
        <f t="shared" si="40"/>
        <v>W2226.6</v>
      </c>
      <c r="M665" s="13" t="s">
        <v>17</v>
      </c>
      <c r="N665" s="13"/>
      <c r="O665" s="13"/>
      <c r="P665" s="47"/>
      <c r="Q665" s="45" t="s">
        <v>3672</v>
      </c>
      <c r="R665" s="45" t="s">
        <v>5553</v>
      </c>
      <c r="S665" s="48"/>
      <c r="T665" s="49" t="str">
        <f t="shared" si="39"/>
        <v>[W2226.6]</v>
      </c>
      <c r="U665" s="12" t="str">
        <f t="shared" si="42"/>
        <v xml:space="preserve"> 가스켓 TOOL Z축(SD252) 엔코더 이상이 검출되었습니다.</v>
      </c>
      <c r="V665" s="49" t="str">
        <f t="shared" si="41"/>
        <v>[W2226.6] 가스켓 TOOL Z축(SD252) 엔코더 이상이 검출되었습니다.</v>
      </c>
    </row>
    <row r="666" spans="1:22" s="49" customFormat="1" ht="14.15" customHeight="1">
      <c r="A666" s="43" t="s">
        <v>5603</v>
      </c>
      <c r="B666" s="44" t="s">
        <v>157</v>
      </c>
      <c r="C666" s="54"/>
      <c r="D666" s="10" t="s">
        <v>29</v>
      </c>
      <c r="E666" s="11"/>
      <c r="F666" s="11" t="s">
        <v>18</v>
      </c>
      <c r="G666" s="13"/>
      <c r="H666" s="45" t="s">
        <v>16</v>
      </c>
      <c r="I666" s="47"/>
      <c r="J666" s="12" t="s">
        <v>5414</v>
      </c>
      <c r="K666" s="13" t="s">
        <v>7466</v>
      </c>
      <c r="L666" s="99" t="str">
        <f t="shared" si="40"/>
        <v>W2226.7</v>
      </c>
      <c r="M666" s="13" t="s">
        <v>17</v>
      </c>
      <c r="N666" s="13"/>
      <c r="O666" s="13"/>
      <c r="P666" s="47"/>
      <c r="Q666" s="45" t="s">
        <v>3672</v>
      </c>
      <c r="R666" s="45" t="s">
        <v>5553</v>
      </c>
      <c r="S666" s="48"/>
      <c r="T666" s="49" t="str">
        <f t="shared" si="39"/>
        <v>[W2226.7]</v>
      </c>
      <c r="U666" s="12" t="str">
        <f t="shared" si="42"/>
        <v xml:space="preserve"> 가스켓 TOOL Z축(SD252) 과전류가 검출되었습니다.</v>
      </c>
      <c r="V666" s="49" t="str">
        <f t="shared" si="41"/>
        <v>[W2226.7] 가스켓 TOOL Z축(SD252) 과전류가 검출되었습니다.</v>
      </c>
    </row>
    <row r="667" spans="1:22" s="49" customFormat="1" ht="14.15" customHeight="1">
      <c r="A667" s="43" t="s">
        <v>5603</v>
      </c>
      <c r="B667" s="44" t="s">
        <v>157</v>
      </c>
      <c r="C667" s="54"/>
      <c r="D667" s="10" t="s">
        <v>29</v>
      </c>
      <c r="E667" s="11"/>
      <c r="F667" s="11" t="s">
        <v>18</v>
      </c>
      <c r="G667" s="13"/>
      <c r="H667" s="45" t="s">
        <v>16</v>
      </c>
      <c r="I667" s="47"/>
      <c r="J667" s="12" t="s">
        <v>5415</v>
      </c>
      <c r="K667" s="13" t="s">
        <v>7467</v>
      </c>
      <c r="L667" s="99" t="str">
        <f t="shared" si="40"/>
        <v>W2226.8</v>
      </c>
      <c r="M667" s="13" t="s">
        <v>17</v>
      </c>
      <c r="N667" s="13"/>
      <c r="O667" s="13"/>
      <c r="P667" s="47"/>
      <c r="Q667" s="45" t="s">
        <v>3672</v>
      </c>
      <c r="R667" s="45" t="s">
        <v>5553</v>
      </c>
      <c r="S667" s="48"/>
      <c r="T667" s="49" t="str">
        <f t="shared" si="39"/>
        <v>[W2226.8]</v>
      </c>
      <c r="U667" s="12" t="str">
        <f t="shared" si="42"/>
        <v xml:space="preserve"> 가스켓 TOOL Z축(SD252) 과부하가 검출되었습니다.</v>
      </c>
      <c r="V667" s="49" t="str">
        <f t="shared" si="41"/>
        <v>[W2226.8] 가스켓 TOOL Z축(SD252) 과부하가 검출되었습니다.</v>
      </c>
    </row>
    <row r="668" spans="1:22" s="49" customFormat="1" ht="14.15" customHeight="1">
      <c r="A668" s="43" t="s">
        <v>5603</v>
      </c>
      <c r="B668" s="44" t="s">
        <v>157</v>
      </c>
      <c r="C668" s="54"/>
      <c r="D668" s="10" t="s">
        <v>29</v>
      </c>
      <c r="E668" s="11"/>
      <c r="F668" s="11" t="s">
        <v>18</v>
      </c>
      <c r="G668" s="13"/>
      <c r="H668" s="45" t="s">
        <v>16</v>
      </c>
      <c r="I668" s="47"/>
      <c r="J668" s="12" t="s">
        <v>5416</v>
      </c>
      <c r="K668" s="13" t="s">
        <v>7468</v>
      </c>
      <c r="L668" s="99" t="str">
        <f t="shared" si="40"/>
        <v>W2226.9</v>
      </c>
      <c r="M668" s="13" t="s">
        <v>17</v>
      </c>
      <c r="N668" s="13"/>
      <c r="O668" s="13"/>
      <c r="P668" s="47"/>
      <c r="Q668" s="45" t="s">
        <v>3672</v>
      </c>
      <c r="R668" s="45" t="s">
        <v>5553</v>
      </c>
      <c r="S668" s="48"/>
      <c r="T668" s="49" t="str">
        <f t="shared" si="39"/>
        <v>[W2226.9]</v>
      </c>
      <c r="U668" s="12" t="str">
        <f t="shared" si="42"/>
        <v xml:space="preserve"> 가스켓 TOOL Z축(SD252)</v>
      </c>
      <c r="V668" s="49" t="str">
        <f t="shared" si="41"/>
        <v>[W2226.9] 가스켓 TOOL Z축(SD252)</v>
      </c>
    </row>
    <row r="669" spans="1:22" s="49" customFormat="1" ht="14.15" customHeight="1">
      <c r="A669" s="43" t="s">
        <v>5603</v>
      </c>
      <c r="B669" s="44" t="s">
        <v>157</v>
      </c>
      <c r="C669" s="54"/>
      <c r="D669" s="10" t="s">
        <v>29</v>
      </c>
      <c r="E669" s="11"/>
      <c r="F669" s="11" t="s">
        <v>18</v>
      </c>
      <c r="G669" s="13"/>
      <c r="H669" s="45" t="s">
        <v>16</v>
      </c>
      <c r="I669" s="47"/>
      <c r="J669" s="12" t="s">
        <v>5417</v>
      </c>
      <c r="K669" s="13" t="s">
        <v>7469</v>
      </c>
      <c r="L669" s="99" t="str">
        <f t="shared" si="40"/>
        <v>W2226.A</v>
      </c>
      <c r="M669" s="13" t="s">
        <v>17</v>
      </c>
      <c r="N669" s="13"/>
      <c r="O669" s="13"/>
      <c r="P669" s="47"/>
      <c r="Q669" s="45" t="s">
        <v>3672</v>
      </c>
      <c r="R669" s="45" t="s">
        <v>5553</v>
      </c>
      <c r="S669" s="48"/>
      <c r="T669" s="49" t="str">
        <f t="shared" si="39"/>
        <v>[W2226.A]</v>
      </c>
      <c r="U669" s="12" t="str">
        <f t="shared" si="42"/>
        <v xml:space="preserve"> 가스켓 TOOL Z축(SD252) 에러가 발생했습니다.</v>
      </c>
      <c r="V669" s="49" t="str">
        <f t="shared" si="41"/>
        <v>[W2226.A] 가스켓 TOOL Z축(SD252) 에러가 발생했습니다.</v>
      </c>
    </row>
    <row r="670" spans="1:22" s="49" customFormat="1" ht="14.15" customHeight="1">
      <c r="A670" s="43" t="s">
        <v>5603</v>
      </c>
      <c r="B670" s="44" t="s">
        <v>157</v>
      </c>
      <c r="C670" s="54"/>
      <c r="D670" s="10" t="s">
        <v>29</v>
      </c>
      <c r="E670" s="11"/>
      <c r="F670" s="11" t="s">
        <v>18</v>
      </c>
      <c r="G670" s="13"/>
      <c r="H670" s="45" t="s">
        <v>16</v>
      </c>
      <c r="I670" s="47"/>
      <c r="J670" s="12" t="s">
        <v>5418</v>
      </c>
      <c r="K670" s="13" t="s">
        <v>7470</v>
      </c>
      <c r="L670" s="99" t="str">
        <f t="shared" si="40"/>
        <v>W2226.B</v>
      </c>
      <c r="M670" s="13" t="s">
        <v>17</v>
      </c>
      <c r="N670" s="13"/>
      <c r="O670" s="13"/>
      <c r="P670" s="47"/>
      <c r="Q670" s="45" t="s">
        <v>3672</v>
      </c>
      <c r="R670" s="45" t="s">
        <v>5553</v>
      </c>
      <c r="S670" s="48"/>
      <c r="T670" s="49" t="str">
        <f t="shared" si="39"/>
        <v>[W2226.B]</v>
      </c>
      <c r="U670" s="12" t="str">
        <f t="shared" si="42"/>
        <v xml:space="preserve"> U-BENDING T1축(SD253) 운전중에 Ready가 Off 되었습니다.</v>
      </c>
      <c r="V670" s="49" t="str">
        <f t="shared" si="41"/>
        <v>[W2226.B] U-BENDING T1축(SD253) 운전중에 Ready가 Off 되었습니다.</v>
      </c>
    </row>
    <row r="671" spans="1:22" s="49" customFormat="1" ht="14.15" customHeight="1">
      <c r="A671" s="43" t="s">
        <v>5603</v>
      </c>
      <c r="B671" s="44" t="s">
        <v>157</v>
      </c>
      <c r="C671" s="54"/>
      <c r="D671" s="10" t="s">
        <v>29</v>
      </c>
      <c r="E671" s="11"/>
      <c r="F671" s="11" t="s">
        <v>18</v>
      </c>
      <c r="G671" s="13"/>
      <c r="H671" s="45" t="s">
        <v>16</v>
      </c>
      <c r="I671" s="47"/>
      <c r="J671" s="12" t="s">
        <v>5419</v>
      </c>
      <c r="K671" s="13" t="s">
        <v>7471</v>
      </c>
      <c r="L671" s="99" t="str">
        <f t="shared" si="40"/>
        <v>W2226.C</v>
      </c>
      <c r="M671" s="13" t="s">
        <v>17</v>
      </c>
      <c r="N671" s="13"/>
      <c r="O671" s="13"/>
      <c r="P671" s="47"/>
      <c r="Q671" s="45" t="s">
        <v>3672</v>
      </c>
      <c r="R671" s="45" t="s">
        <v>5553</v>
      </c>
      <c r="S671" s="48"/>
      <c r="T671" s="49" t="str">
        <f t="shared" si="39"/>
        <v>[W2226.C]</v>
      </c>
      <c r="U671" s="12" t="str">
        <f t="shared" si="42"/>
        <v xml:space="preserve"> U-BENDING T1축(SD253) FLS가 감지되었습니다.</v>
      </c>
      <c r="V671" s="49" t="str">
        <f t="shared" si="41"/>
        <v>[W2226.C] U-BENDING T1축(SD253) FLS가 감지되었습니다.</v>
      </c>
    </row>
    <row r="672" spans="1:22" s="49" customFormat="1" ht="14.15" customHeight="1">
      <c r="A672" s="43" t="s">
        <v>5603</v>
      </c>
      <c r="B672" s="44" t="s">
        <v>157</v>
      </c>
      <c r="C672" s="54"/>
      <c r="D672" s="10" t="s">
        <v>29</v>
      </c>
      <c r="E672" s="11"/>
      <c r="F672" s="11" t="s">
        <v>18</v>
      </c>
      <c r="G672" s="13"/>
      <c r="H672" s="45" t="s">
        <v>16</v>
      </c>
      <c r="I672" s="47"/>
      <c r="J672" s="12" t="s">
        <v>5420</v>
      </c>
      <c r="K672" s="13" t="s">
        <v>7472</v>
      </c>
      <c r="L672" s="99" t="str">
        <f t="shared" si="40"/>
        <v>W2226.D</v>
      </c>
      <c r="M672" s="13" t="s">
        <v>17</v>
      </c>
      <c r="N672" s="13"/>
      <c r="O672" s="13"/>
      <c r="P672" s="47"/>
      <c r="Q672" s="45" t="s">
        <v>3672</v>
      </c>
      <c r="R672" s="45" t="s">
        <v>5553</v>
      </c>
      <c r="S672" s="48"/>
      <c r="T672" s="49" t="str">
        <f t="shared" si="39"/>
        <v>[W2226.D]</v>
      </c>
      <c r="U672" s="12" t="str">
        <f t="shared" si="42"/>
        <v xml:space="preserve"> U-BENDING T1축(SD253) RLS가 감지되었습니다.</v>
      </c>
      <c r="V672" s="49" t="str">
        <f t="shared" si="41"/>
        <v>[W2226.D] U-BENDING T1축(SD253) RLS가 감지되었습니다.</v>
      </c>
    </row>
    <row r="673" spans="1:22" s="49" customFormat="1" ht="14.15" customHeight="1">
      <c r="A673" s="43" t="s">
        <v>5603</v>
      </c>
      <c r="B673" s="44" t="s">
        <v>157</v>
      </c>
      <c r="C673" s="54"/>
      <c r="D673" s="10" t="s">
        <v>29</v>
      </c>
      <c r="E673" s="11"/>
      <c r="F673" s="11" t="s">
        <v>18</v>
      </c>
      <c r="G673" s="13"/>
      <c r="H673" s="45" t="s">
        <v>16</v>
      </c>
      <c r="I673" s="47"/>
      <c r="J673" s="12" t="s">
        <v>5421</v>
      </c>
      <c r="K673" s="13" t="s">
        <v>7473</v>
      </c>
      <c r="L673" s="99" t="str">
        <f t="shared" si="40"/>
        <v>W2226.E</v>
      </c>
      <c r="M673" s="13" t="s">
        <v>17</v>
      </c>
      <c r="N673" s="13"/>
      <c r="O673" s="13"/>
      <c r="P673" s="47"/>
      <c r="Q673" s="45" t="s">
        <v>3672</v>
      </c>
      <c r="R673" s="45" t="s">
        <v>5553</v>
      </c>
      <c r="S673" s="48"/>
      <c r="T673" s="49" t="str">
        <f t="shared" si="39"/>
        <v>[W2226.E]</v>
      </c>
      <c r="U673" s="12" t="str">
        <f t="shared" si="42"/>
        <v xml:space="preserve"> U-BENDING T1축(SD253) Stop 명령이 On된 상태에서 기동을 시도했습니다.</v>
      </c>
      <c r="V673" s="49" t="str">
        <f t="shared" si="41"/>
        <v>[W2226.E] U-BENDING T1축(SD253) Stop 명령이 On된 상태에서 기동을 시도했습니다.</v>
      </c>
    </row>
    <row r="674" spans="1:22" s="49" customFormat="1" ht="14.15" customHeight="1">
      <c r="A674" s="43" t="s">
        <v>5603</v>
      </c>
      <c r="B674" s="44" t="s">
        <v>157</v>
      </c>
      <c r="C674" s="54"/>
      <c r="D674" s="10" t="s">
        <v>29</v>
      </c>
      <c r="E674" s="11"/>
      <c r="F674" s="11" t="s">
        <v>18</v>
      </c>
      <c r="G674" s="13"/>
      <c r="H674" s="45" t="s">
        <v>16</v>
      </c>
      <c r="I674" s="47"/>
      <c r="J674" s="12" t="s">
        <v>5422</v>
      </c>
      <c r="K674" s="13" t="s">
        <v>7474</v>
      </c>
      <c r="L674" s="99" t="str">
        <f t="shared" si="40"/>
        <v>W2226.F</v>
      </c>
      <c r="M674" s="13" t="s">
        <v>17</v>
      </c>
      <c r="N674" s="13"/>
      <c r="O674" s="13"/>
      <c r="P674" s="47"/>
      <c r="Q674" s="45" t="s">
        <v>3672</v>
      </c>
      <c r="R674" s="45" t="s">
        <v>5553</v>
      </c>
      <c r="S674" s="48"/>
      <c r="T674" s="49" t="str">
        <f t="shared" si="39"/>
        <v>[W2226.F]</v>
      </c>
      <c r="U674" s="12" t="str">
        <f t="shared" si="42"/>
        <v xml:space="preserve"> U-BENDING T1축(SD253) 가동 전원이 Off 되었습니다.</v>
      </c>
      <c r="V674" s="49" t="str">
        <f t="shared" si="41"/>
        <v>[W2226.F] U-BENDING T1축(SD253) 가동 전원이 Off 되었습니다.</v>
      </c>
    </row>
    <row r="675" spans="1:22" s="49" customFormat="1" ht="14.15" customHeight="1">
      <c r="A675" s="43" t="s">
        <v>5603</v>
      </c>
      <c r="B675" s="44" t="s">
        <v>157</v>
      </c>
      <c r="C675" s="54"/>
      <c r="D675" s="10" t="s">
        <v>29</v>
      </c>
      <c r="E675" s="11"/>
      <c r="F675" s="11" t="s">
        <v>18</v>
      </c>
      <c r="G675" s="13"/>
      <c r="H675" s="45" t="s">
        <v>16</v>
      </c>
      <c r="I675" s="47"/>
      <c r="J675" s="12" t="s">
        <v>5423</v>
      </c>
      <c r="K675" s="13" t="s">
        <v>7475</v>
      </c>
      <c r="L675" s="99" t="str">
        <f t="shared" si="40"/>
        <v>W2227.0</v>
      </c>
      <c r="M675" s="13" t="s">
        <v>17</v>
      </c>
      <c r="N675" s="13"/>
      <c r="O675" s="13"/>
      <c r="P675" s="47"/>
      <c r="Q675" s="45" t="s">
        <v>3672</v>
      </c>
      <c r="R675" s="45" t="s">
        <v>5553</v>
      </c>
      <c r="S675" s="48"/>
      <c r="T675" s="49" t="str">
        <f t="shared" si="39"/>
        <v>[W2227.0]</v>
      </c>
      <c r="U675" s="12" t="str">
        <f t="shared" si="42"/>
        <v xml:space="preserve"> U-BENDING T1축(SD253) 엔코더 이상이 검출되었습니다.</v>
      </c>
      <c r="V675" s="49" t="str">
        <f t="shared" si="41"/>
        <v>[W2227.0] U-BENDING T1축(SD253) 엔코더 이상이 검출되었습니다.</v>
      </c>
    </row>
    <row r="676" spans="1:22" s="49" customFormat="1" ht="14.15" customHeight="1">
      <c r="A676" s="43" t="s">
        <v>5603</v>
      </c>
      <c r="B676" s="44" t="s">
        <v>157</v>
      </c>
      <c r="C676" s="54"/>
      <c r="D676" s="10" t="s">
        <v>29</v>
      </c>
      <c r="E676" s="11"/>
      <c r="F676" s="11" t="s">
        <v>18</v>
      </c>
      <c r="G676" s="13"/>
      <c r="H676" s="45" t="s">
        <v>16</v>
      </c>
      <c r="I676" s="47"/>
      <c r="J676" s="12" t="s">
        <v>5424</v>
      </c>
      <c r="K676" s="13" t="s">
        <v>7476</v>
      </c>
      <c r="L676" s="99" t="str">
        <f t="shared" si="40"/>
        <v>W2227.1</v>
      </c>
      <c r="M676" s="13" t="s">
        <v>17</v>
      </c>
      <c r="N676" s="13"/>
      <c r="O676" s="13"/>
      <c r="P676" s="47"/>
      <c r="Q676" s="45" t="s">
        <v>3672</v>
      </c>
      <c r="R676" s="45" t="s">
        <v>5553</v>
      </c>
      <c r="S676" s="48"/>
      <c r="T676" s="49" t="str">
        <f t="shared" si="39"/>
        <v>[W2227.1]</v>
      </c>
      <c r="U676" s="12" t="str">
        <f t="shared" si="42"/>
        <v xml:space="preserve"> U-BENDING T1축(SD253) 과전류가 검출되었습니다.</v>
      </c>
      <c r="V676" s="49" t="str">
        <f t="shared" si="41"/>
        <v>[W2227.1] U-BENDING T1축(SD253) 과전류가 검출되었습니다.</v>
      </c>
    </row>
    <row r="677" spans="1:22" s="49" customFormat="1" ht="14.15" customHeight="1">
      <c r="A677" s="43" t="s">
        <v>5603</v>
      </c>
      <c r="B677" s="44" t="s">
        <v>157</v>
      </c>
      <c r="C677" s="54"/>
      <c r="D677" s="10" t="s">
        <v>29</v>
      </c>
      <c r="E677" s="11"/>
      <c r="F677" s="11" t="s">
        <v>18</v>
      </c>
      <c r="G677" s="13"/>
      <c r="H677" s="45" t="s">
        <v>16</v>
      </c>
      <c r="I677" s="47"/>
      <c r="J677" s="12" t="s">
        <v>5425</v>
      </c>
      <c r="K677" s="13" t="s">
        <v>7477</v>
      </c>
      <c r="L677" s="99" t="str">
        <f t="shared" si="40"/>
        <v>W2227.2</v>
      </c>
      <c r="M677" s="13" t="s">
        <v>17</v>
      </c>
      <c r="N677" s="13"/>
      <c r="O677" s="13"/>
      <c r="P677" s="47"/>
      <c r="Q677" s="45" t="s">
        <v>3672</v>
      </c>
      <c r="R677" s="45" t="s">
        <v>5553</v>
      </c>
      <c r="S677" s="48"/>
      <c r="T677" s="49" t="str">
        <f t="shared" si="39"/>
        <v>[W2227.2]</v>
      </c>
      <c r="U677" s="12" t="str">
        <f t="shared" si="42"/>
        <v xml:space="preserve"> U-BENDING T1축(SD253) 과부하가 검출되었습니다.</v>
      </c>
      <c r="V677" s="49" t="str">
        <f t="shared" si="41"/>
        <v>[W2227.2] U-BENDING T1축(SD253) 과부하가 검출되었습니다.</v>
      </c>
    </row>
    <row r="678" spans="1:22" s="49" customFormat="1" ht="14.15" customHeight="1">
      <c r="A678" s="43" t="s">
        <v>5603</v>
      </c>
      <c r="B678" s="44" t="s">
        <v>157</v>
      </c>
      <c r="C678" s="54"/>
      <c r="D678" s="10" t="s">
        <v>29</v>
      </c>
      <c r="E678" s="11"/>
      <c r="F678" s="11" t="s">
        <v>18</v>
      </c>
      <c r="G678" s="13"/>
      <c r="H678" s="45" t="s">
        <v>16</v>
      </c>
      <c r="I678" s="47"/>
      <c r="J678" s="12" t="s">
        <v>5426</v>
      </c>
      <c r="K678" s="13" t="s">
        <v>7478</v>
      </c>
      <c r="L678" s="99" t="str">
        <f t="shared" si="40"/>
        <v>W2227.3</v>
      </c>
      <c r="M678" s="13" t="s">
        <v>17</v>
      </c>
      <c r="N678" s="13"/>
      <c r="O678" s="13"/>
      <c r="P678" s="47"/>
      <c r="Q678" s="45" t="s">
        <v>3672</v>
      </c>
      <c r="R678" s="45" t="s">
        <v>5553</v>
      </c>
      <c r="S678" s="48"/>
      <c r="T678" s="49" t="str">
        <f t="shared" si="39"/>
        <v>[W2227.3]</v>
      </c>
      <c r="U678" s="12" t="str">
        <f t="shared" si="42"/>
        <v xml:space="preserve"> U-BENDING T1축(SD253)</v>
      </c>
      <c r="V678" s="49" t="str">
        <f t="shared" si="41"/>
        <v>[W2227.3] U-BENDING T1축(SD253)</v>
      </c>
    </row>
    <row r="679" spans="1:22" s="49" customFormat="1" ht="14.15" customHeight="1">
      <c r="A679" s="43" t="s">
        <v>5603</v>
      </c>
      <c r="B679" s="44" t="s">
        <v>157</v>
      </c>
      <c r="C679" s="54"/>
      <c r="D679" s="10" t="s">
        <v>29</v>
      </c>
      <c r="E679" s="11"/>
      <c r="F679" s="11" t="s">
        <v>18</v>
      </c>
      <c r="G679" s="13"/>
      <c r="H679" s="45" t="s">
        <v>16</v>
      </c>
      <c r="I679" s="47"/>
      <c r="J679" s="12" t="s">
        <v>5427</v>
      </c>
      <c r="K679" s="13" t="s">
        <v>7479</v>
      </c>
      <c r="L679" s="99" t="str">
        <f t="shared" si="40"/>
        <v>W2227.4</v>
      </c>
      <c r="M679" s="13" t="s">
        <v>17</v>
      </c>
      <c r="N679" s="13"/>
      <c r="O679" s="13"/>
      <c r="P679" s="47"/>
      <c r="Q679" s="45" t="s">
        <v>3672</v>
      </c>
      <c r="R679" s="45" t="s">
        <v>5553</v>
      </c>
      <c r="S679" s="48"/>
      <c r="T679" s="49" t="str">
        <f t="shared" si="39"/>
        <v>[W2227.4]</v>
      </c>
      <c r="U679" s="12" t="str">
        <f t="shared" si="42"/>
        <v xml:space="preserve"> U-BENDING T1축(SD253) 에러가 발생했습니다.</v>
      </c>
      <c r="V679" s="49" t="str">
        <f t="shared" si="41"/>
        <v>[W2227.4] U-BENDING T1축(SD253) 에러가 발생했습니다.</v>
      </c>
    </row>
    <row r="680" spans="1:22" s="49" customFormat="1" ht="14.15" customHeight="1">
      <c r="A680" s="43" t="s">
        <v>5603</v>
      </c>
      <c r="B680" s="44" t="s">
        <v>157</v>
      </c>
      <c r="C680" s="54"/>
      <c r="D680" s="10" t="s">
        <v>29</v>
      </c>
      <c r="E680" s="11"/>
      <c r="F680" s="11" t="s">
        <v>18</v>
      </c>
      <c r="G680" s="13"/>
      <c r="H680" s="45" t="s">
        <v>16</v>
      </c>
      <c r="I680" s="47"/>
      <c r="J680" s="12" t="s">
        <v>5428</v>
      </c>
      <c r="K680" s="13" t="s">
        <v>7480</v>
      </c>
      <c r="L680" s="99" t="str">
        <f t="shared" si="40"/>
        <v>W2227.5</v>
      </c>
      <c r="M680" s="13" t="s">
        <v>17</v>
      </c>
      <c r="N680" s="13"/>
      <c r="O680" s="13"/>
      <c r="P680" s="47"/>
      <c r="Q680" s="45" t="s">
        <v>3672</v>
      </c>
      <c r="R680" s="45" t="s">
        <v>5553</v>
      </c>
      <c r="S680" s="48"/>
      <c r="T680" s="49" t="str">
        <f t="shared" si="39"/>
        <v>[W2227.5]</v>
      </c>
      <c r="U680" s="12" t="str">
        <f t="shared" si="42"/>
        <v xml:space="preserve"> U-BENDING T2축(SD254) 운전중에 Ready가 Off 되었습니다.</v>
      </c>
      <c r="V680" s="49" t="str">
        <f t="shared" si="41"/>
        <v>[W2227.5] U-BENDING T2축(SD254) 운전중에 Ready가 Off 되었습니다.</v>
      </c>
    </row>
    <row r="681" spans="1:22" s="49" customFormat="1" ht="14.15" customHeight="1">
      <c r="A681" s="43" t="s">
        <v>5603</v>
      </c>
      <c r="B681" s="44" t="s">
        <v>157</v>
      </c>
      <c r="C681" s="54"/>
      <c r="D681" s="10" t="s">
        <v>29</v>
      </c>
      <c r="E681" s="11"/>
      <c r="F681" s="11" t="s">
        <v>18</v>
      </c>
      <c r="G681" s="13"/>
      <c r="H681" s="45" t="s">
        <v>16</v>
      </c>
      <c r="I681" s="47"/>
      <c r="J681" s="12" t="s">
        <v>5429</v>
      </c>
      <c r="K681" s="13" t="s">
        <v>7481</v>
      </c>
      <c r="L681" s="99" t="str">
        <f t="shared" si="40"/>
        <v>W2227.6</v>
      </c>
      <c r="M681" s="13" t="s">
        <v>17</v>
      </c>
      <c r="N681" s="13"/>
      <c r="O681" s="13"/>
      <c r="P681" s="47"/>
      <c r="Q681" s="45" t="s">
        <v>3672</v>
      </c>
      <c r="R681" s="45" t="s">
        <v>5553</v>
      </c>
      <c r="S681" s="48"/>
      <c r="T681" s="49" t="str">
        <f t="shared" si="39"/>
        <v>[W2227.6]</v>
      </c>
      <c r="U681" s="12" t="str">
        <f t="shared" si="42"/>
        <v xml:space="preserve"> U-BENDING T2축(SD254) FLS가 감지되었습니다.</v>
      </c>
      <c r="V681" s="49" t="str">
        <f t="shared" si="41"/>
        <v>[W2227.6] U-BENDING T2축(SD254) FLS가 감지되었습니다.</v>
      </c>
    </row>
    <row r="682" spans="1:22" s="49" customFormat="1" ht="14.15" customHeight="1">
      <c r="A682" s="43" t="s">
        <v>5603</v>
      </c>
      <c r="B682" s="44" t="s">
        <v>157</v>
      </c>
      <c r="C682" s="54"/>
      <c r="D682" s="10" t="s">
        <v>29</v>
      </c>
      <c r="E682" s="11"/>
      <c r="F682" s="11" t="s">
        <v>18</v>
      </c>
      <c r="G682" s="13"/>
      <c r="H682" s="45" t="s">
        <v>16</v>
      </c>
      <c r="I682" s="47"/>
      <c r="J682" s="12" t="s">
        <v>5430</v>
      </c>
      <c r="K682" s="13" t="s">
        <v>7482</v>
      </c>
      <c r="L682" s="99" t="str">
        <f t="shared" si="40"/>
        <v>W2227.7</v>
      </c>
      <c r="M682" s="13" t="s">
        <v>17</v>
      </c>
      <c r="N682" s="13"/>
      <c r="O682" s="13"/>
      <c r="P682" s="47"/>
      <c r="Q682" s="45" t="s">
        <v>3672</v>
      </c>
      <c r="R682" s="45" t="s">
        <v>5553</v>
      </c>
      <c r="S682" s="48"/>
      <c r="T682" s="49" t="str">
        <f t="shared" si="39"/>
        <v>[W2227.7]</v>
      </c>
      <c r="U682" s="12" t="str">
        <f t="shared" si="42"/>
        <v xml:space="preserve"> U-BENDING T2축(SD254) RLS가 감지되었습니다.</v>
      </c>
      <c r="V682" s="49" t="str">
        <f t="shared" si="41"/>
        <v>[W2227.7] U-BENDING T2축(SD254) RLS가 감지되었습니다.</v>
      </c>
    </row>
    <row r="683" spans="1:22" s="49" customFormat="1" ht="14.15" customHeight="1">
      <c r="A683" s="43" t="s">
        <v>5603</v>
      </c>
      <c r="B683" s="44" t="s">
        <v>157</v>
      </c>
      <c r="C683" s="54"/>
      <c r="D683" s="10" t="s">
        <v>29</v>
      </c>
      <c r="E683" s="11"/>
      <c r="F683" s="11" t="s">
        <v>18</v>
      </c>
      <c r="G683" s="13"/>
      <c r="H683" s="45" t="s">
        <v>16</v>
      </c>
      <c r="I683" s="47"/>
      <c r="J683" s="12" t="s">
        <v>5431</v>
      </c>
      <c r="K683" s="13" t="s">
        <v>7483</v>
      </c>
      <c r="L683" s="99" t="str">
        <f t="shared" si="40"/>
        <v>W2227.8</v>
      </c>
      <c r="M683" s="13" t="s">
        <v>17</v>
      </c>
      <c r="N683" s="13"/>
      <c r="O683" s="13"/>
      <c r="P683" s="47"/>
      <c r="Q683" s="45" t="s">
        <v>3672</v>
      </c>
      <c r="R683" s="45" t="s">
        <v>5553</v>
      </c>
      <c r="S683" s="48"/>
      <c r="T683" s="49" t="str">
        <f t="shared" si="39"/>
        <v>[W2227.8]</v>
      </c>
      <c r="U683" s="12" t="str">
        <f t="shared" si="42"/>
        <v xml:space="preserve"> U-BENDING T2축(SD254) Stop 명령이 On된 상태에서 기동을 시도했습니다.</v>
      </c>
      <c r="V683" s="49" t="str">
        <f t="shared" si="41"/>
        <v>[W2227.8] U-BENDING T2축(SD254) Stop 명령이 On된 상태에서 기동을 시도했습니다.</v>
      </c>
    </row>
    <row r="684" spans="1:22" s="49" customFormat="1" ht="14.15" customHeight="1">
      <c r="A684" s="43" t="s">
        <v>5603</v>
      </c>
      <c r="B684" s="44" t="s">
        <v>157</v>
      </c>
      <c r="C684" s="54"/>
      <c r="D684" s="10" t="s">
        <v>29</v>
      </c>
      <c r="E684" s="11"/>
      <c r="F684" s="11" t="s">
        <v>18</v>
      </c>
      <c r="G684" s="13"/>
      <c r="H684" s="45" t="s">
        <v>16</v>
      </c>
      <c r="I684" s="47"/>
      <c r="J684" s="12" t="s">
        <v>5432</v>
      </c>
      <c r="K684" s="13" t="s">
        <v>7484</v>
      </c>
      <c r="L684" s="99" t="str">
        <f t="shared" si="40"/>
        <v>W2227.9</v>
      </c>
      <c r="M684" s="13" t="s">
        <v>17</v>
      </c>
      <c r="N684" s="13"/>
      <c r="O684" s="13"/>
      <c r="P684" s="47"/>
      <c r="Q684" s="45" t="s">
        <v>3672</v>
      </c>
      <c r="R684" s="45" t="s">
        <v>5553</v>
      </c>
      <c r="S684" s="48"/>
      <c r="T684" s="49" t="str">
        <f t="shared" si="39"/>
        <v>[W2227.9]</v>
      </c>
      <c r="U684" s="12" t="str">
        <f t="shared" si="42"/>
        <v xml:space="preserve"> U-BENDING T2축(SD254) 가동 전원이 Off 되었습니다.</v>
      </c>
      <c r="V684" s="49" t="str">
        <f t="shared" si="41"/>
        <v>[W2227.9] U-BENDING T2축(SD254) 가동 전원이 Off 되었습니다.</v>
      </c>
    </row>
    <row r="685" spans="1:22" s="49" customFormat="1" ht="14.15" customHeight="1">
      <c r="A685" s="43" t="s">
        <v>5603</v>
      </c>
      <c r="B685" s="44" t="s">
        <v>157</v>
      </c>
      <c r="C685" s="54"/>
      <c r="D685" s="10" t="s">
        <v>29</v>
      </c>
      <c r="E685" s="11"/>
      <c r="F685" s="11" t="s">
        <v>18</v>
      </c>
      <c r="G685" s="13"/>
      <c r="H685" s="45" t="s">
        <v>16</v>
      </c>
      <c r="I685" s="47"/>
      <c r="J685" s="12" t="s">
        <v>5433</v>
      </c>
      <c r="K685" s="13" t="s">
        <v>7485</v>
      </c>
      <c r="L685" s="99" t="str">
        <f t="shared" si="40"/>
        <v>W2227.A</v>
      </c>
      <c r="M685" s="13" t="s">
        <v>17</v>
      </c>
      <c r="N685" s="13"/>
      <c r="O685" s="13"/>
      <c r="P685" s="47"/>
      <c r="Q685" s="45" t="s">
        <v>3672</v>
      </c>
      <c r="R685" s="45" t="s">
        <v>5553</v>
      </c>
      <c r="S685" s="48"/>
      <c r="T685" s="49" t="str">
        <f t="shared" si="39"/>
        <v>[W2227.A]</v>
      </c>
      <c r="U685" s="12" t="str">
        <f t="shared" si="42"/>
        <v xml:space="preserve"> U-BENDING T2축(SD254) 엔코더 이상이 검출되었습니다.</v>
      </c>
      <c r="V685" s="49" t="str">
        <f t="shared" si="41"/>
        <v>[W2227.A] U-BENDING T2축(SD254) 엔코더 이상이 검출되었습니다.</v>
      </c>
    </row>
    <row r="686" spans="1:22" s="49" customFormat="1" ht="14.15" customHeight="1">
      <c r="A686" s="43" t="s">
        <v>5603</v>
      </c>
      <c r="B686" s="44" t="s">
        <v>157</v>
      </c>
      <c r="C686" s="54"/>
      <c r="D686" s="10" t="s">
        <v>29</v>
      </c>
      <c r="E686" s="11"/>
      <c r="F686" s="11" t="s">
        <v>18</v>
      </c>
      <c r="G686" s="13"/>
      <c r="H686" s="45" t="s">
        <v>16</v>
      </c>
      <c r="I686" s="47"/>
      <c r="J686" s="12" t="s">
        <v>5434</v>
      </c>
      <c r="K686" s="13" t="s">
        <v>7486</v>
      </c>
      <c r="L686" s="99" t="str">
        <f t="shared" si="40"/>
        <v>W2227.B</v>
      </c>
      <c r="M686" s="13" t="s">
        <v>17</v>
      </c>
      <c r="N686" s="13"/>
      <c r="O686" s="13"/>
      <c r="P686" s="47"/>
      <c r="Q686" s="45" t="s">
        <v>3672</v>
      </c>
      <c r="R686" s="45" t="s">
        <v>5553</v>
      </c>
      <c r="S686" s="48"/>
      <c r="T686" s="49" t="str">
        <f t="shared" si="39"/>
        <v>[W2227.B]</v>
      </c>
      <c r="U686" s="12" t="str">
        <f t="shared" si="42"/>
        <v xml:space="preserve"> U-BENDING T2축(SD254) 과전류가 검출되었습니다.</v>
      </c>
      <c r="V686" s="49" t="str">
        <f t="shared" si="41"/>
        <v>[W2227.B] U-BENDING T2축(SD254) 과전류가 검출되었습니다.</v>
      </c>
    </row>
    <row r="687" spans="1:22" s="49" customFormat="1" ht="14.15" customHeight="1">
      <c r="A687" s="43" t="s">
        <v>5603</v>
      </c>
      <c r="B687" s="44" t="s">
        <v>157</v>
      </c>
      <c r="C687" s="54"/>
      <c r="D687" s="10" t="s">
        <v>29</v>
      </c>
      <c r="E687" s="11"/>
      <c r="F687" s="11" t="s">
        <v>18</v>
      </c>
      <c r="G687" s="13"/>
      <c r="H687" s="45" t="s">
        <v>16</v>
      </c>
      <c r="I687" s="47"/>
      <c r="J687" s="12" t="s">
        <v>5435</v>
      </c>
      <c r="K687" s="13" t="s">
        <v>7487</v>
      </c>
      <c r="L687" s="99" t="str">
        <f t="shared" si="40"/>
        <v>W2227.C</v>
      </c>
      <c r="M687" s="13" t="s">
        <v>17</v>
      </c>
      <c r="N687" s="13"/>
      <c r="O687" s="13"/>
      <c r="P687" s="47"/>
      <c r="Q687" s="45" t="s">
        <v>3672</v>
      </c>
      <c r="R687" s="45" t="s">
        <v>5553</v>
      </c>
      <c r="S687" s="48"/>
      <c r="T687" s="49" t="str">
        <f t="shared" si="39"/>
        <v>[W2227.C]</v>
      </c>
      <c r="U687" s="12" t="str">
        <f t="shared" si="42"/>
        <v xml:space="preserve"> U-BENDING T2축(SD254) 과부하가 검출되었습니다.</v>
      </c>
      <c r="V687" s="49" t="str">
        <f t="shared" si="41"/>
        <v>[W2227.C] U-BENDING T2축(SD254) 과부하가 검출되었습니다.</v>
      </c>
    </row>
    <row r="688" spans="1:22" s="49" customFormat="1" ht="14.15" customHeight="1">
      <c r="A688" s="43" t="s">
        <v>5603</v>
      </c>
      <c r="B688" s="44" t="s">
        <v>157</v>
      </c>
      <c r="C688" s="54"/>
      <c r="D688" s="10" t="s">
        <v>29</v>
      </c>
      <c r="E688" s="11"/>
      <c r="F688" s="11" t="s">
        <v>18</v>
      </c>
      <c r="G688" s="13"/>
      <c r="H688" s="45" t="s">
        <v>16</v>
      </c>
      <c r="I688" s="47"/>
      <c r="J688" s="12" t="s">
        <v>5436</v>
      </c>
      <c r="K688" s="13" t="s">
        <v>7488</v>
      </c>
      <c r="L688" s="99" t="str">
        <f t="shared" si="40"/>
        <v>W2227.D</v>
      </c>
      <c r="M688" s="13" t="s">
        <v>17</v>
      </c>
      <c r="N688" s="13"/>
      <c r="O688" s="13"/>
      <c r="P688" s="47"/>
      <c r="Q688" s="45" t="s">
        <v>3672</v>
      </c>
      <c r="R688" s="45" t="s">
        <v>5553</v>
      </c>
      <c r="S688" s="48"/>
      <c r="T688" s="49" t="str">
        <f t="shared" si="39"/>
        <v>[W2227.D]</v>
      </c>
      <c r="U688" s="12" t="str">
        <f t="shared" si="42"/>
        <v xml:space="preserve"> U-BENDING T2축(SD254)</v>
      </c>
      <c r="V688" s="49" t="str">
        <f t="shared" si="41"/>
        <v>[W2227.D] U-BENDING T2축(SD254)</v>
      </c>
    </row>
    <row r="689" spans="1:22" s="49" customFormat="1" ht="14.15" customHeight="1">
      <c r="A689" s="43" t="s">
        <v>5603</v>
      </c>
      <c r="B689" s="44" t="s">
        <v>157</v>
      </c>
      <c r="C689" s="54"/>
      <c r="D689" s="10" t="s">
        <v>29</v>
      </c>
      <c r="E689" s="11"/>
      <c r="F689" s="11" t="s">
        <v>18</v>
      </c>
      <c r="G689" s="13"/>
      <c r="H689" s="45" t="s">
        <v>16</v>
      </c>
      <c r="I689" s="47"/>
      <c r="J689" s="12" t="s">
        <v>5437</v>
      </c>
      <c r="K689" s="13" t="s">
        <v>7489</v>
      </c>
      <c r="L689" s="99" t="str">
        <f t="shared" si="40"/>
        <v>W2227.E</v>
      </c>
      <c r="M689" s="13" t="s">
        <v>17</v>
      </c>
      <c r="N689" s="13"/>
      <c r="O689" s="13"/>
      <c r="P689" s="47"/>
      <c r="Q689" s="45" t="s">
        <v>3672</v>
      </c>
      <c r="R689" s="45" t="s">
        <v>5553</v>
      </c>
      <c r="S689" s="48"/>
      <c r="T689" s="49" t="str">
        <f t="shared" si="39"/>
        <v>[W2227.E]</v>
      </c>
      <c r="U689" s="12" t="str">
        <f t="shared" si="42"/>
        <v xml:space="preserve"> U-BENDING T2축(SD254) 에러가 발생했습니다.</v>
      </c>
      <c r="V689" s="49" t="str">
        <f t="shared" si="41"/>
        <v>[W2227.E] U-BENDING T2축(SD254) 에러가 발생했습니다.</v>
      </c>
    </row>
    <row r="690" spans="1:22" s="49" customFormat="1" ht="14.15" customHeight="1">
      <c r="A690" s="43" t="s">
        <v>5603</v>
      </c>
      <c r="B690" s="44" t="s">
        <v>157</v>
      </c>
      <c r="C690" s="54"/>
      <c r="D690" s="10" t="s">
        <v>29</v>
      </c>
      <c r="E690" s="11"/>
      <c r="F690" s="11" t="s">
        <v>18</v>
      </c>
      <c r="G690" s="13"/>
      <c r="H690" s="45" t="s">
        <v>16</v>
      </c>
      <c r="I690" s="47"/>
      <c r="J690" s="12" t="s">
        <v>5438</v>
      </c>
      <c r="K690" s="13" t="s">
        <v>7490</v>
      </c>
      <c r="L690" s="99" t="str">
        <f t="shared" si="40"/>
        <v>W2227.F</v>
      </c>
      <c r="M690" s="13" t="s">
        <v>17</v>
      </c>
      <c r="N690" s="13"/>
      <c r="O690" s="13"/>
      <c r="P690" s="47"/>
      <c r="Q690" s="45" t="s">
        <v>3672</v>
      </c>
      <c r="R690" s="45" t="s">
        <v>5553</v>
      </c>
      <c r="S690" s="48"/>
      <c r="T690" s="49" t="str">
        <f t="shared" si="39"/>
        <v>[W2227.F]</v>
      </c>
      <c r="U690" s="12" t="str">
        <f t="shared" si="42"/>
        <v xml:space="preserve"> 가스켓 MOLD X1축(SD255) 운전중에 Ready가 Off 되었습니다.</v>
      </c>
      <c r="V690" s="49" t="str">
        <f t="shared" si="41"/>
        <v>[W2227.F] 가스켓 MOLD X1축(SD255) 운전중에 Ready가 Off 되었습니다.</v>
      </c>
    </row>
    <row r="691" spans="1:22" s="49" customFormat="1" ht="14.15" customHeight="1">
      <c r="A691" s="43" t="s">
        <v>5603</v>
      </c>
      <c r="B691" s="44" t="s">
        <v>157</v>
      </c>
      <c r="C691" s="54"/>
      <c r="D691" s="10" t="s">
        <v>29</v>
      </c>
      <c r="E691" s="11"/>
      <c r="F691" s="11" t="s">
        <v>18</v>
      </c>
      <c r="G691" s="13"/>
      <c r="H691" s="45" t="s">
        <v>16</v>
      </c>
      <c r="I691" s="47"/>
      <c r="J691" s="12" t="s">
        <v>5439</v>
      </c>
      <c r="K691" s="13" t="s">
        <v>7491</v>
      </c>
      <c r="L691" s="99" t="str">
        <f t="shared" si="40"/>
        <v>W2228.0</v>
      </c>
      <c r="M691" s="13" t="s">
        <v>17</v>
      </c>
      <c r="N691" s="13"/>
      <c r="O691" s="13"/>
      <c r="P691" s="47"/>
      <c r="Q691" s="45" t="s">
        <v>3672</v>
      </c>
      <c r="R691" s="45" t="s">
        <v>5553</v>
      </c>
      <c r="S691" s="48"/>
      <c r="T691" s="49" t="str">
        <f t="shared" ref="T691:T754" si="43">"["&amp;L691&amp;"]"</f>
        <v>[W2228.0]</v>
      </c>
      <c r="U691" s="12" t="str">
        <f t="shared" si="42"/>
        <v xml:space="preserve"> 가스켓 MOLD X1축(SD255) FLS가 감지되었습니다.</v>
      </c>
      <c r="V691" s="49" t="str">
        <f t="shared" si="41"/>
        <v>[W2228.0] 가스켓 MOLD X1축(SD255) FLS가 감지되었습니다.</v>
      </c>
    </row>
    <row r="692" spans="1:22" s="49" customFormat="1" ht="14.15" customHeight="1">
      <c r="A692" s="43" t="s">
        <v>5603</v>
      </c>
      <c r="B692" s="44" t="s">
        <v>157</v>
      </c>
      <c r="C692" s="54"/>
      <c r="D692" s="10" t="s">
        <v>29</v>
      </c>
      <c r="E692" s="11"/>
      <c r="F692" s="11" t="s">
        <v>18</v>
      </c>
      <c r="G692" s="13"/>
      <c r="H692" s="45" t="s">
        <v>16</v>
      </c>
      <c r="I692" s="47"/>
      <c r="J692" s="12" t="s">
        <v>5440</v>
      </c>
      <c r="K692" s="13" t="s">
        <v>7492</v>
      </c>
      <c r="L692" s="99" t="str">
        <f t="shared" ref="L692:L755" si="44">"W"&amp;DEC2HEX(8704 + INT((ROW()-51)/16)) &amp; "." &amp; IF(MOD(ROW()-51,16)&lt;10,MOD(ROW()-51,16),CHAR(MOD(ROW()-51,16)+55))</f>
        <v>W2228.1</v>
      </c>
      <c r="M692" s="13" t="s">
        <v>17</v>
      </c>
      <c r="N692" s="13"/>
      <c r="O692" s="13"/>
      <c r="P692" s="47"/>
      <c r="Q692" s="45" t="s">
        <v>3672</v>
      </c>
      <c r="R692" s="45" t="s">
        <v>5553</v>
      </c>
      <c r="S692" s="48"/>
      <c r="T692" s="49" t="str">
        <f t="shared" si="43"/>
        <v>[W2228.1]</v>
      </c>
      <c r="U692" s="12" t="str">
        <f t="shared" si="42"/>
        <v xml:space="preserve"> 가스켓 MOLD X1축(SD255) RLS가 감지되었습니다.</v>
      </c>
      <c r="V692" s="49" t="str">
        <f t="shared" ref="V692:V755" si="45">T692&amp;U692</f>
        <v>[W2228.1] 가스켓 MOLD X1축(SD255) RLS가 감지되었습니다.</v>
      </c>
    </row>
    <row r="693" spans="1:22" s="49" customFormat="1" ht="14.15" customHeight="1">
      <c r="A693" s="43" t="s">
        <v>5603</v>
      </c>
      <c r="B693" s="44" t="s">
        <v>157</v>
      </c>
      <c r="C693" s="54"/>
      <c r="D693" s="10" t="s">
        <v>29</v>
      </c>
      <c r="E693" s="11"/>
      <c r="F693" s="11" t="s">
        <v>18</v>
      </c>
      <c r="G693" s="13"/>
      <c r="H693" s="45" t="s">
        <v>16</v>
      </c>
      <c r="I693" s="47"/>
      <c r="J693" s="12" t="s">
        <v>5441</v>
      </c>
      <c r="K693" s="13" t="s">
        <v>7493</v>
      </c>
      <c r="L693" s="99" t="str">
        <f t="shared" si="44"/>
        <v>W2228.2</v>
      </c>
      <c r="M693" s="13" t="s">
        <v>17</v>
      </c>
      <c r="N693" s="13"/>
      <c r="O693" s="13"/>
      <c r="P693" s="47"/>
      <c r="Q693" s="45" t="s">
        <v>3672</v>
      </c>
      <c r="R693" s="45" t="s">
        <v>5553</v>
      </c>
      <c r="S693" s="48"/>
      <c r="T693" s="49" t="str">
        <f t="shared" si="43"/>
        <v>[W2228.2]</v>
      </c>
      <c r="U693" s="12" t="str">
        <f t="shared" si="42"/>
        <v xml:space="preserve"> 가스켓 MOLD X1축(SD255) Stop 명령이 On된 상태에서 기동을 시도했습니다.</v>
      </c>
      <c r="V693" s="49" t="str">
        <f t="shared" si="45"/>
        <v>[W2228.2] 가스켓 MOLD X1축(SD255) Stop 명령이 On된 상태에서 기동을 시도했습니다.</v>
      </c>
    </row>
    <row r="694" spans="1:22" s="49" customFormat="1" ht="14.15" customHeight="1">
      <c r="A694" s="43" t="s">
        <v>5603</v>
      </c>
      <c r="B694" s="44" t="s">
        <v>157</v>
      </c>
      <c r="C694" s="54"/>
      <c r="D694" s="10" t="s">
        <v>29</v>
      </c>
      <c r="E694" s="11"/>
      <c r="F694" s="11" t="s">
        <v>18</v>
      </c>
      <c r="G694" s="13"/>
      <c r="H694" s="45" t="s">
        <v>16</v>
      </c>
      <c r="I694" s="47"/>
      <c r="J694" s="12" t="s">
        <v>5442</v>
      </c>
      <c r="K694" s="13" t="s">
        <v>7494</v>
      </c>
      <c r="L694" s="99" t="str">
        <f t="shared" si="44"/>
        <v>W2228.3</v>
      </c>
      <c r="M694" s="13" t="s">
        <v>17</v>
      </c>
      <c r="N694" s="13"/>
      <c r="O694" s="13"/>
      <c r="P694" s="47"/>
      <c r="Q694" s="45" t="s">
        <v>3672</v>
      </c>
      <c r="R694" s="45" t="s">
        <v>5553</v>
      </c>
      <c r="S694" s="48"/>
      <c r="T694" s="49" t="str">
        <f t="shared" si="43"/>
        <v>[W2228.3]</v>
      </c>
      <c r="U694" s="12" t="str">
        <f t="shared" si="42"/>
        <v xml:space="preserve"> 가스켓 MOLD X1축(SD255) 가동 전원이 Off 되었습니다.</v>
      </c>
      <c r="V694" s="49" t="str">
        <f t="shared" si="45"/>
        <v>[W2228.3] 가스켓 MOLD X1축(SD255) 가동 전원이 Off 되었습니다.</v>
      </c>
    </row>
    <row r="695" spans="1:22" s="49" customFormat="1" ht="14.15" customHeight="1">
      <c r="A695" s="43" t="s">
        <v>5603</v>
      </c>
      <c r="B695" s="44" t="s">
        <v>157</v>
      </c>
      <c r="C695" s="54"/>
      <c r="D695" s="10" t="s">
        <v>29</v>
      </c>
      <c r="E695" s="11"/>
      <c r="F695" s="11" t="s">
        <v>18</v>
      </c>
      <c r="G695" s="13"/>
      <c r="H695" s="45" t="s">
        <v>16</v>
      </c>
      <c r="I695" s="47"/>
      <c r="J695" s="12" t="s">
        <v>5443</v>
      </c>
      <c r="K695" s="13" t="s">
        <v>7495</v>
      </c>
      <c r="L695" s="99" t="str">
        <f t="shared" si="44"/>
        <v>W2228.4</v>
      </c>
      <c r="M695" s="13" t="s">
        <v>17</v>
      </c>
      <c r="N695" s="13"/>
      <c r="O695" s="13"/>
      <c r="P695" s="47"/>
      <c r="Q695" s="45" t="s">
        <v>3672</v>
      </c>
      <c r="R695" s="45" t="s">
        <v>5553</v>
      </c>
      <c r="S695" s="48"/>
      <c r="T695" s="49" t="str">
        <f t="shared" si="43"/>
        <v>[W2228.4]</v>
      </c>
      <c r="U695" s="12" t="str">
        <f t="shared" si="42"/>
        <v xml:space="preserve"> 가스켓 MOLD X1축(SD255) 엔코더 이상이 검출되었습니다.</v>
      </c>
      <c r="V695" s="49" t="str">
        <f t="shared" si="45"/>
        <v>[W2228.4] 가스켓 MOLD X1축(SD255) 엔코더 이상이 검출되었습니다.</v>
      </c>
    </row>
    <row r="696" spans="1:22" s="49" customFormat="1" ht="14.15" customHeight="1">
      <c r="A696" s="43" t="s">
        <v>5603</v>
      </c>
      <c r="B696" s="44" t="s">
        <v>157</v>
      </c>
      <c r="C696" s="54"/>
      <c r="D696" s="10" t="s">
        <v>29</v>
      </c>
      <c r="E696" s="11"/>
      <c r="F696" s="11" t="s">
        <v>18</v>
      </c>
      <c r="G696" s="13"/>
      <c r="H696" s="45" t="s">
        <v>16</v>
      </c>
      <c r="I696" s="47"/>
      <c r="J696" s="12" t="s">
        <v>5444</v>
      </c>
      <c r="K696" s="13" t="s">
        <v>7496</v>
      </c>
      <c r="L696" s="99" t="str">
        <f t="shared" si="44"/>
        <v>W2228.5</v>
      </c>
      <c r="M696" s="13" t="s">
        <v>17</v>
      </c>
      <c r="N696" s="13"/>
      <c r="O696" s="13"/>
      <c r="P696" s="47"/>
      <c r="Q696" s="45" t="s">
        <v>3672</v>
      </c>
      <c r="R696" s="45" t="s">
        <v>5553</v>
      </c>
      <c r="S696" s="48"/>
      <c r="T696" s="49" t="str">
        <f t="shared" si="43"/>
        <v>[W2228.5]</v>
      </c>
      <c r="U696" s="12" t="str">
        <f t="shared" ref="U696:U759" si="46">RIGHT(J696,LEN(J696)-7)</f>
        <v xml:space="preserve"> 가스켓 MOLD X1축(SD255) 과전류가 검출되었습니다.</v>
      </c>
      <c r="V696" s="49" t="str">
        <f t="shared" si="45"/>
        <v>[W2228.5] 가스켓 MOLD X1축(SD255) 과전류가 검출되었습니다.</v>
      </c>
    </row>
    <row r="697" spans="1:22" s="49" customFormat="1" ht="14.15" customHeight="1">
      <c r="A697" s="43" t="s">
        <v>5603</v>
      </c>
      <c r="B697" s="44" t="s">
        <v>157</v>
      </c>
      <c r="C697" s="54"/>
      <c r="D697" s="10" t="s">
        <v>29</v>
      </c>
      <c r="E697" s="11"/>
      <c r="F697" s="11" t="s">
        <v>18</v>
      </c>
      <c r="G697" s="13"/>
      <c r="H697" s="45" t="s">
        <v>16</v>
      </c>
      <c r="I697" s="47"/>
      <c r="J697" s="12" t="s">
        <v>5445</v>
      </c>
      <c r="K697" s="13" t="s">
        <v>7497</v>
      </c>
      <c r="L697" s="99" t="str">
        <f t="shared" si="44"/>
        <v>W2228.6</v>
      </c>
      <c r="M697" s="13" t="s">
        <v>17</v>
      </c>
      <c r="N697" s="13"/>
      <c r="O697" s="13"/>
      <c r="P697" s="47"/>
      <c r="Q697" s="45" t="s">
        <v>3672</v>
      </c>
      <c r="R697" s="45" t="s">
        <v>5553</v>
      </c>
      <c r="S697" s="48"/>
      <c r="T697" s="49" t="str">
        <f t="shared" si="43"/>
        <v>[W2228.6]</v>
      </c>
      <c r="U697" s="12" t="str">
        <f t="shared" si="46"/>
        <v xml:space="preserve"> 가스켓 MOLD X1축(SD255) 과부하가 검출되었습니다.</v>
      </c>
      <c r="V697" s="49" t="str">
        <f t="shared" si="45"/>
        <v>[W2228.6] 가스켓 MOLD X1축(SD255) 과부하가 검출되었습니다.</v>
      </c>
    </row>
    <row r="698" spans="1:22" s="49" customFormat="1" ht="14.15" customHeight="1">
      <c r="A698" s="43" t="s">
        <v>5603</v>
      </c>
      <c r="B698" s="44" t="s">
        <v>157</v>
      </c>
      <c r="C698" s="54"/>
      <c r="D698" s="10" t="s">
        <v>29</v>
      </c>
      <c r="E698" s="11"/>
      <c r="F698" s="11" t="s">
        <v>18</v>
      </c>
      <c r="G698" s="13"/>
      <c r="H698" s="45" t="s">
        <v>16</v>
      </c>
      <c r="I698" s="47"/>
      <c r="J698" s="12" t="s">
        <v>5446</v>
      </c>
      <c r="K698" s="13" t="s">
        <v>7498</v>
      </c>
      <c r="L698" s="99" t="str">
        <f t="shared" si="44"/>
        <v>W2228.7</v>
      </c>
      <c r="M698" s="13" t="s">
        <v>17</v>
      </c>
      <c r="N698" s="13"/>
      <c r="O698" s="13"/>
      <c r="P698" s="47"/>
      <c r="Q698" s="45" t="s">
        <v>3672</v>
      </c>
      <c r="R698" s="45" t="s">
        <v>5553</v>
      </c>
      <c r="S698" s="48"/>
      <c r="T698" s="49" t="str">
        <f t="shared" si="43"/>
        <v>[W2228.7]</v>
      </c>
      <c r="U698" s="12" t="str">
        <f t="shared" si="46"/>
        <v xml:space="preserve"> 가스켓 MOLD X1축(SD255)</v>
      </c>
      <c r="V698" s="49" t="str">
        <f t="shared" si="45"/>
        <v>[W2228.7] 가스켓 MOLD X1축(SD255)</v>
      </c>
    </row>
    <row r="699" spans="1:22" s="49" customFormat="1" ht="14.15" customHeight="1">
      <c r="A699" s="43" t="s">
        <v>5603</v>
      </c>
      <c r="B699" s="44" t="s">
        <v>157</v>
      </c>
      <c r="C699" s="54"/>
      <c r="D699" s="10" t="s">
        <v>29</v>
      </c>
      <c r="E699" s="11"/>
      <c r="F699" s="11" t="s">
        <v>18</v>
      </c>
      <c r="G699" s="13"/>
      <c r="H699" s="45" t="s">
        <v>16</v>
      </c>
      <c r="I699" s="47"/>
      <c r="J699" s="12" t="s">
        <v>5447</v>
      </c>
      <c r="K699" s="13" t="s">
        <v>7499</v>
      </c>
      <c r="L699" s="99" t="str">
        <f t="shared" si="44"/>
        <v>W2228.8</v>
      </c>
      <c r="M699" s="13" t="s">
        <v>17</v>
      </c>
      <c r="N699" s="13"/>
      <c r="O699" s="13"/>
      <c r="P699" s="47"/>
      <c r="Q699" s="45" t="s">
        <v>3672</v>
      </c>
      <c r="R699" s="45" t="s">
        <v>5553</v>
      </c>
      <c r="S699" s="48"/>
      <c r="T699" s="49" t="str">
        <f t="shared" si="43"/>
        <v>[W2228.8]</v>
      </c>
      <c r="U699" s="12" t="str">
        <f t="shared" si="46"/>
        <v xml:space="preserve"> 가스켓 MOLD X1축(SD255) 에러가 발생했습니다.</v>
      </c>
      <c r="V699" s="49" t="str">
        <f t="shared" si="45"/>
        <v>[W2228.8] 가스켓 MOLD X1축(SD255) 에러가 발생했습니다.</v>
      </c>
    </row>
    <row r="700" spans="1:22" s="49" customFormat="1" ht="14.15" customHeight="1">
      <c r="A700" s="43" t="s">
        <v>5603</v>
      </c>
      <c r="B700" s="44" t="s">
        <v>157</v>
      </c>
      <c r="C700" s="54"/>
      <c r="D700" s="10" t="s">
        <v>29</v>
      </c>
      <c r="E700" s="11"/>
      <c r="F700" s="11" t="s">
        <v>18</v>
      </c>
      <c r="G700" s="13"/>
      <c r="H700" s="45" t="s">
        <v>16</v>
      </c>
      <c r="I700" s="47"/>
      <c r="J700" s="12" t="s">
        <v>5448</v>
      </c>
      <c r="K700" s="13" t="s">
        <v>7500</v>
      </c>
      <c r="L700" s="99" t="str">
        <f t="shared" si="44"/>
        <v>W2228.9</v>
      </c>
      <c r="M700" s="13" t="s">
        <v>17</v>
      </c>
      <c r="N700" s="13"/>
      <c r="O700" s="13"/>
      <c r="P700" s="47"/>
      <c r="Q700" s="45" t="s">
        <v>3672</v>
      </c>
      <c r="R700" s="45" t="s">
        <v>5553</v>
      </c>
      <c r="S700" s="48"/>
      <c r="T700" s="49" t="str">
        <f t="shared" si="43"/>
        <v>[W2228.9]</v>
      </c>
      <c r="U700" s="12" t="str">
        <f t="shared" si="46"/>
        <v xml:space="preserve"> 가스켓 MOLD X2축(SD256) 운전중에 Ready가 Off 되었습니다.</v>
      </c>
      <c r="V700" s="49" t="str">
        <f t="shared" si="45"/>
        <v>[W2228.9] 가스켓 MOLD X2축(SD256) 운전중에 Ready가 Off 되었습니다.</v>
      </c>
    </row>
    <row r="701" spans="1:22" s="49" customFormat="1" ht="14.15" customHeight="1">
      <c r="A701" s="43" t="s">
        <v>5603</v>
      </c>
      <c r="B701" s="44" t="s">
        <v>157</v>
      </c>
      <c r="C701" s="54"/>
      <c r="D701" s="10" t="s">
        <v>29</v>
      </c>
      <c r="E701" s="11"/>
      <c r="F701" s="11" t="s">
        <v>18</v>
      </c>
      <c r="G701" s="13"/>
      <c r="H701" s="45" t="s">
        <v>16</v>
      </c>
      <c r="I701" s="47"/>
      <c r="J701" s="12" t="s">
        <v>5449</v>
      </c>
      <c r="K701" s="13" t="s">
        <v>7501</v>
      </c>
      <c r="L701" s="99" t="str">
        <f t="shared" si="44"/>
        <v>W2228.A</v>
      </c>
      <c r="M701" s="13" t="s">
        <v>17</v>
      </c>
      <c r="N701" s="13"/>
      <c r="O701" s="13"/>
      <c r="P701" s="47"/>
      <c r="Q701" s="45" t="s">
        <v>3672</v>
      </c>
      <c r="R701" s="45" t="s">
        <v>5553</v>
      </c>
      <c r="S701" s="48"/>
      <c r="T701" s="49" t="str">
        <f t="shared" si="43"/>
        <v>[W2228.A]</v>
      </c>
      <c r="U701" s="12" t="str">
        <f t="shared" si="46"/>
        <v xml:space="preserve"> 가스켓 MOLD X2축(SD256) FLS가 감지되었습니다.</v>
      </c>
      <c r="V701" s="49" t="str">
        <f t="shared" si="45"/>
        <v>[W2228.A] 가스켓 MOLD X2축(SD256) FLS가 감지되었습니다.</v>
      </c>
    </row>
    <row r="702" spans="1:22" s="49" customFormat="1" ht="14.15" customHeight="1">
      <c r="A702" s="43" t="s">
        <v>5603</v>
      </c>
      <c r="B702" s="44" t="s">
        <v>157</v>
      </c>
      <c r="C702" s="54"/>
      <c r="D702" s="10" t="s">
        <v>29</v>
      </c>
      <c r="E702" s="11"/>
      <c r="F702" s="11" t="s">
        <v>18</v>
      </c>
      <c r="G702" s="13"/>
      <c r="H702" s="45" t="s">
        <v>16</v>
      </c>
      <c r="I702" s="47"/>
      <c r="J702" s="12" t="s">
        <v>5450</v>
      </c>
      <c r="K702" s="13" t="s">
        <v>7502</v>
      </c>
      <c r="L702" s="99" t="str">
        <f t="shared" si="44"/>
        <v>W2228.B</v>
      </c>
      <c r="M702" s="13" t="s">
        <v>17</v>
      </c>
      <c r="N702" s="13"/>
      <c r="O702" s="13"/>
      <c r="P702" s="47"/>
      <c r="Q702" s="45" t="s">
        <v>3672</v>
      </c>
      <c r="R702" s="45" t="s">
        <v>5553</v>
      </c>
      <c r="S702" s="48"/>
      <c r="T702" s="49" t="str">
        <f t="shared" si="43"/>
        <v>[W2228.B]</v>
      </c>
      <c r="U702" s="12" t="str">
        <f t="shared" si="46"/>
        <v xml:space="preserve"> 가스켓 MOLD X2축(SD256) RLS가 감지되었습니다.</v>
      </c>
      <c r="V702" s="49" t="str">
        <f t="shared" si="45"/>
        <v>[W2228.B] 가스켓 MOLD X2축(SD256) RLS가 감지되었습니다.</v>
      </c>
    </row>
    <row r="703" spans="1:22" s="49" customFormat="1" ht="14.15" customHeight="1">
      <c r="A703" s="43" t="s">
        <v>5603</v>
      </c>
      <c r="B703" s="44" t="s">
        <v>157</v>
      </c>
      <c r="C703" s="54"/>
      <c r="D703" s="10" t="s">
        <v>29</v>
      </c>
      <c r="E703" s="11"/>
      <c r="F703" s="11" t="s">
        <v>18</v>
      </c>
      <c r="G703" s="13"/>
      <c r="H703" s="45" t="s">
        <v>16</v>
      </c>
      <c r="I703" s="47"/>
      <c r="J703" s="12" t="s">
        <v>5451</v>
      </c>
      <c r="K703" s="13" t="s">
        <v>7503</v>
      </c>
      <c r="L703" s="99" t="str">
        <f t="shared" si="44"/>
        <v>W2228.C</v>
      </c>
      <c r="M703" s="13" t="s">
        <v>17</v>
      </c>
      <c r="N703" s="13"/>
      <c r="O703" s="13"/>
      <c r="P703" s="47"/>
      <c r="Q703" s="45" t="s">
        <v>3672</v>
      </c>
      <c r="R703" s="45" t="s">
        <v>5553</v>
      </c>
      <c r="S703" s="48"/>
      <c r="T703" s="49" t="str">
        <f t="shared" si="43"/>
        <v>[W2228.C]</v>
      </c>
      <c r="U703" s="12" t="str">
        <f t="shared" si="46"/>
        <v xml:space="preserve"> 가스켓 MOLD X2축(SD256) Stop 명령이 On된 상태에서 기동을 시도했습니다.</v>
      </c>
      <c r="V703" s="49" t="str">
        <f t="shared" si="45"/>
        <v>[W2228.C] 가스켓 MOLD X2축(SD256) Stop 명령이 On된 상태에서 기동을 시도했습니다.</v>
      </c>
    </row>
    <row r="704" spans="1:22" s="49" customFormat="1" ht="14.15" customHeight="1">
      <c r="A704" s="43" t="s">
        <v>5603</v>
      </c>
      <c r="B704" s="44" t="s">
        <v>157</v>
      </c>
      <c r="C704" s="54"/>
      <c r="D704" s="10" t="s">
        <v>29</v>
      </c>
      <c r="E704" s="11"/>
      <c r="F704" s="11" t="s">
        <v>18</v>
      </c>
      <c r="G704" s="13"/>
      <c r="H704" s="45" t="s">
        <v>16</v>
      </c>
      <c r="I704" s="47"/>
      <c r="J704" s="12" t="s">
        <v>5452</v>
      </c>
      <c r="K704" s="13" t="s">
        <v>7504</v>
      </c>
      <c r="L704" s="99" t="str">
        <f t="shared" si="44"/>
        <v>W2228.D</v>
      </c>
      <c r="M704" s="13" t="s">
        <v>17</v>
      </c>
      <c r="N704" s="13"/>
      <c r="O704" s="13"/>
      <c r="P704" s="47"/>
      <c r="Q704" s="45" t="s">
        <v>3672</v>
      </c>
      <c r="R704" s="45" t="s">
        <v>5553</v>
      </c>
      <c r="S704" s="48"/>
      <c r="T704" s="49" t="str">
        <f t="shared" si="43"/>
        <v>[W2228.D]</v>
      </c>
      <c r="U704" s="12" t="str">
        <f t="shared" si="46"/>
        <v xml:space="preserve"> 가스켓 MOLD X2축(SD256) 가동 전원이 Off 되었습니다.</v>
      </c>
      <c r="V704" s="49" t="str">
        <f t="shared" si="45"/>
        <v>[W2228.D] 가스켓 MOLD X2축(SD256) 가동 전원이 Off 되었습니다.</v>
      </c>
    </row>
    <row r="705" spans="1:22" s="49" customFormat="1" ht="14.15" customHeight="1">
      <c r="A705" s="43" t="s">
        <v>5603</v>
      </c>
      <c r="B705" s="44" t="s">
        <v>157</v>
      </c>
      <c r="C705" s="54"/>
      <c r="D705" s="10" t="s">
        <v>29</v>
      </c>
      <c r="E705" s="11"/>
      <c r="F705" s="11" t="s">
        <v>18</v>
      </c>
      <c r="G705" s="13"/>
      <c r="H705" s="45" t="s">
        <v>16</v>
      </c>
      <c r="I705" s="47"/>
      <c r="J705" s="12" t="s">
        <v>5453</v>
      </c>
      <c r="K705" s="13" t="s">
        <v>7505</v>
      </c>
      <c r="L705" s="99" t="str">
        <f t="shared" si="44"/>
        <v>W2228.E</v>
      </c>
      <c r="M705" s="13" t="s">
        <v>17</v>
      </c>
      <c r="N705" s="13"/>
      <c r="O705" s="13"/>
      <c r="P705" s="47"/>
      <c r="Q705" s="45" t="s">
        <v>3672</v>
      </c>
      <c r="R705" s="45" t="s">
        <v>5553</v>
      </c>
      <c r="S705" s="48"/>
      <c r="T705" s="49" t="str">
        <f t="shared" si="43"/>
        <v>[W2228.E]</v>
      </c>
      <c r="U705" s="12" t="str">
        <f t="shared" si="46"/>
        <v xml:space="preserve"> 가스켓 MOLD X2축(SD256) 엔코더 이상이 검출되었습니다.</v>
      </c>
      <c r="V705" s="49" t="str">
        <f t="shared" si="45"/>
        <v>[W2228.E] 가스켓 MOLD X2축(SD256) 엔코더 이상이 검출되었습니다.</v>
      </c>
    </row>
    <row r="706" spans="1:22" s="49" customFormat="1" ht="14.15" customHeight="1">
      <c r="A706" s="43" t="s">
        <v>5603</v>
      </c>
      <c r="B706" s="44" t="s">
        <v>157</v>
      </c>
      <c r="C706" s="54"/>
      <c r="D706" s="10" t="s">
        <v>29</v>
      </c>
      <c r="E706" s="11"/>
      <c r="F706" s="11" t="s">
        <v>18</v>
      </c>
      <c r="G706" s="13"/>
      <c r="H706" s="45" t="s">
        <v>16</v>
      </c>
      <c r="I706" s="47"/>
      <c r="J706" s="12" t="s">
        <v>5454</v>
      </c>
      <c r="K706" s="13" t="s">
        <v>7506</v>
      </c>
      <c r="L706" s="99" t="str">
        <f t="shared" si="44"/>
        <v>W2228.F</v>
      </c>
      <c r="M706" s="13" t="s">
        <v>17</v>
      </c>
      <c r="N706" s="13"/>
      <c r="O706" s="13"/>
      <c r="P706" s="47"/>
      <c r="Q706" s="45" t="s">
        <v>3672</v>
      </c>
      <c r="R706" s="45" t="s">
        <v>5553</v>
      </c>
      <c r="S706" s="48"/>
      <c r="T706" s="49" t="str">
        <f t="shared" si="43"/>
        <v>[W2228.F]</v>
      </c>
      <c r="U706" s="12" t="str">
        <f t="shared" si="46"/>
        <v xml:space="preserve"> 가스켓 MOLD X2축(SD256) 과전류가 검출되었습니다.</v>
      </c>
      <c r="V706" s="49" t="str">
        <f t="shared" si="45"/>
        <v>[W2228.F] 가스켓 MOLD X2축(SD256) 과전류가 검출되었습니다.</v>
      </c>
    </row>
    <row r="707" spans="1:22" s="49" customFormat="1" ht="14.15" customHeight="1">
      <c r="A707" s="43" t="s">
        <v>5603</v>
      </c>
      <c r="B707" s="44" t="s">
        <v>157</v>
      </c>
      <c r="C707" s="54"/>
      <c r="D707" s="10" t="s">
        <v>29</v>
      </c>
      <c r="E707" s="11"/>
      <c r="F707" s="11" t="s">
        <v>18</v>
      </c>
      <c r="G707" s="13"/>
      <c r="H707" s="45" t="s">
        <v>16</v>
      </c>
      <c r="I707" s="47"/>
      <c r="J707" s="12" t="s">
        <v>5455</v>
      </c>
      <c r="K707" s="13" t="s">
        <v>7507</v>
      </c>
      <c r="L707" s="99" t="str">
        <f t="shared" si="44"/>
        <v>W2229.0</v>
      </c>
      <c r="M707" s="13" t="s">
        <v>17</v>
      </c>
      <c r="N707" s="13"/>
      <c r="O707" s="13"/>
      <c r="P707" s="47"/>
      <c r="Q707" s="45" t="s">
        <v>3672</v>
      </c>
      <c r="R707" s="45" t="s">
        <v>5553</v>
      </c>
      <c r="S707" s="48"/>
      <c r="T707" s="49" t="str">
        <f t="shared" si="43"/>
        <v>[W2229.0]</v>
      </c>
      <c r="U707" s="12" t="str">
        <f t="shared" si="46"/>
        <v xml:space="preserve"> 가스켓 MOLD X2축(SD256) 과부하가 검출되었습니다.</v>
      </c>
      <c r="V707" s="49" t="str">
        <f t="shared" si="45"/>
        <v>[W2229.0] 가스켓 MOLD X2축(SD256) 과부하가 검출되었습니다.</v>
      </c>
    </row>
    <row r="708" spans="1:22" s="49" customFormat="1" ht="14.15" customHeight="1">
      <c r="A708" s="43" t="s">
        <v>5603</v>
      </c>
      <c r="B708" s="44" t="s">
        <v>157</v>
      </c>
      <c r="C708" s="54"/>
      <c r="D708" s="10" t="s">
        <v>29</v>
      </c>
      <c r="E708" s="11"/>
      <c r="F708" s="11" t="s">
        <v>18</v>
      </c>
      <c r="G708" s="13"/>
      <c r="H708" s="45" t="s">
        <v>16</v>
      </c>
      <c r="I708" s="47"/>
      <c r="J708" s="12" t="s">
        <v>5456</v>
      </c>
      <c r="K708" s="13" t="s">
        <v>7508</v>
      </c>
      <c r="L708" s="99" t="str">
        <f t="shared" si="44"/>
        <v>W2229.1</v>
      </c>
      <c r="M708" s="13" t="s">
        <v>17</v>
      </c>
      <c r="N708" s="13"/>
      <c r="O708" s="13"/>
      <c r="P708" s="47"/>
      <c r="Q708" s="45" t="s">
        <v>3672</v>
      </c>
      <c r="R708" s="45" t="s">
        <v>5553</v>
      </c>
      <c r="S708" s="48"/>
      <c r="T708" s="49" t="str">
        <f t="shared" si="43"/>
        <v>[W2229.1]</v>
      </c>
      <c r="U708" s="12" t="str">
        <f t="shared" si="46"/>
        <v xml:space="preserve"> 가스켓 MOLD X2축(SD256)</v>
      </c>
      <c r="V708" s="49" t="str">
        <f t="shared" si="45"/>
        <v>[W2229.1] 가스켓 MOLD X2축(SD256)</v>
      </c>
    </row>
    <row r="709" spans="1:22" s="49" customFormat="1" ht="14.15" customHeight="1">
      <c r="A709" s="43" t="s">
        <v>5603</v>
      </c>
      <c r="B709" s="44" t="s">
        <v>157</v>
      </c>
      <c r="C709" s="54"/>
      <c r="D709" s="10" t="s">
        <v>29</v>
      </c>
      <c r="E709" s="11"/>
      <c r="F709" s="11" t="s">
        <v>18</v>
      </c>
      <c r="G709" s="13"/>
      <c r="H709" s="45" t="s">
        <v>16</v>
      </c>
      <c r="I709" s="47"/>
      <c r="J709" s="12" t="s">
        <v>5457</v>
      </c>
      <c r="K709" s="13" t="s">
        <v>7509</v>
      </c>
      <c r="L709" s="99" t="str">
        <f t="shared" si="44"/>
        <v>W2229.2</v>
      </c>
      <c r="M709" s="13" t="s">
        <v>17</v>
      </c>
      <c r="N709" s="13"/>
      <c r="O709" s="13"/>
      <c r="P709" s="47"/>
      <c r="Q709" s="45" t="s">
        <v>3672</v>
      </c>
      <c r="R709" s="45" t="s">
        <v>5553</v>
      </c>
      <c r="S709" s="48"/>
      <c r="T709" s="49" t="str">
        <f t="shared" si="43"/>
        <v>[W2229.2]</v>
      </c>
      <c r="U709" s="12" t="str">
        <f t="shared" si="46"/>
        <v xml:space="preserve"> 가스켓 MOLD X2축(SD256) 에러가 발생했습니다.</v>
      </c>
      <c r="V709" s="49" t="str">
        <f t="shared" si="45"/>
        <v>[W2229.2] 가스켓 MOLD X2축(SD256) 에러가 발생했습니다.</v>
      </c>
    </row>
    <row r="710" spans="1:22" s="49" customFormat="1" ht="14.15" customHeight="1">
      <c r="A710" s="43" t="s">
        <v>5603</v>
      </c>
      <c r="B710" s="44" t="s">
        <v>157</v>
      </c>
      <c r="C710" s="54"/>
      <c r="D710" s="10" t="s">
        <v>29</v>
      </c>
      <c r="E710" s="11"/>
      <c r="F710" s="11" t="s">
        <v>18</v>
      </c>
      <c r="G710" s="13"/>
      <c r="H710" s="45" t="s">
        <v>16</v>
      </c>
      <c r="I710" s="47"/>
      <c r="J710" s="12" t="s">
        <v>5458</v>
      </c>
      <c r="K710" s="13" t="s">
        <v>7510</v>
      </c>
      <c r="L710" s="99" t="str">
        <f t="shared" si="44"/>
        <v>W2229.3</v>
      </c>
      <c r="M710" s="13" t="s">
        <v>17</v>
      </c>
      <c r="N710" s="13"/>
      <c r="O710" s="13"/>
      <c r="P710" s="47"/>
      <c r="Q710" s="45" t="s">
        <v>3672</v>
      </c>
      <c r="R710" s="45" t="s">
        <v>5553</v>
      </c>
      <c r="S710" s="48"/>
      <c r="T710" s="49" t="str">
        <f t="shared" si="43"/>
        <v>[W2229.3]</v>
      </c>
      <c r="U710" s="12" t="str">
        <f t="shared" si="46"/>
        <v xml:space="preserve"> 가스켓 MOLD X3축(SD257) 운전중에 Ready가 Off 되었습니다.</v>
      </c>
      <c r="V710" s="49" t="str">
        <f t="shared" si="45"/>
        <v>[W2229.3] 가스켓 MOLD X3축(SD257) 운전중에 Ready가 Off 되었습니다.</v>
      </c>
    </row>
    <row r="711" spans="1:22" s="49" customFormat="1" ht="14.15" customHeight="1">
      <c r="A711" s="43" t="s">
        <v>5603</v>
      </c>
      <c r="B711" s="44" t="s">
        <v>157</v>
      </c>
      <c r="C711" s="54"/>
      <c r="D711" s="10" t="s">
        <v>29</v>
      </c>
      <c r="E711" s="11"/>
      <c r="F711" s="11" t="s">
        <v>18</v>
      </c>
      <c r="G711" s="13"/>
      <c r="H711" s="45" t="s">
        <v>16</v>
      </c>
      <c r="I711" s="47"/>
      <c r="J711" s="12" t="s">
        <v>5459</v>
      </c>
      <c r="K711" s="13" t="s">
        <v>7511</v>
      </c>
      <c r="L711" s="99" t="str">
        <f t="shared" si="44"/>
        <v>W2229.4</v>
      </c>
      <c r="M711" s="13" t="s">
        <v>17</v>
      </c>
      <c r="N711" s="13"/>
      <c r="O711" s="13"/>
      <c r="P711" s="47"/>
      <c r="Q711" s="45" t="s">
        <v>3672</v>
      </c>
      <c r="R711" s="45" t="s">
        <v>5553</v>
      </c>
      <c r="S711" s="48"/>
      <c r="T711" s="49" t="str">
        <f t="shared" si="43"/>
        <v>[W2229.4]</v>
      </c>
      <c r="U711" s="12" t="str">
        <f t="shared" si="46"/>
        <v xml:space="preserve"> 가스켓 MOLD X3축(SD257) FLS가 감지되었습니다.</v>
      </c>
      <c r="V711" s="49" t="str">
        <f t="shared" si="45"/>
        <v>[W2229.4] 가스켓 MOLD X3축(SD257) FLS가 감지되었습니다.</v>
      </c>
    </row>
    <row r="712" spans="1:22" s="49" customFormat="1" ht="14.15" customHeight="1">
      <c r="A712" s="43" t="s">
        <v>5603</v>
      </c>
      <c r="B712" s="44" t="s">
        <v>157</v>
      </c>
      <c r="C712" s="54"/>
      <c r="D712" s="10" t="s">
        <v>29</v>
      </c>
      <c r="E712" s="11"/>
      <c r="F712" s="11" t="s">
        <v>18</v>
      </c>
      <c r="G712" s="13"/>
      <c r="H712" s="45" t="s">
        <v>16</v>
      </c>
      <c r="I712" s="47"/>
      <c r="J712" s="12" t="s">
        <v>5460</v>
      </c>
      <c r="K712" s="13" t="s">
        <v>7512</v>
      </c>
      <c r="L712" s="99" t="str">
        <f t="shared" si="44"/>
        <v>W2229.5</v>
      </c>
      <c r="M712" s="13" t="s">
        <v>17</v>
      </c>
      <c r="N712" s="13"/>
      <c r="O712" s="13"/>
      <c r="P712" s="47"/>
      <c r="Q712" s="45" t="s">
        <v>3672</v>
      </c>
      <c r="R712" s="45" t="s">
        <v>5553</v>
      </c>
      <c r="S712" s="48"/>
      <c r="T712" s="49" t="str">
        <f t="shared" si="43"/>
        <v>[W2229.5]</v>
      </c>
      <c r="U712" s="12" t="str">
        <f t="shared" si="46"/>
        <v xml:space="preserve"> 가스켓 MOLD X3축(SD257) RLS가 감지되었습니다.</v>
      </c>
      <c r="V712" s="49" t="str">
        <f t="shared" si="45"/>
        <v>[W2229.5] 가스켓 MOLD X3축(SD257) RLS가 감지되었습니다.</v>
      </c>
    </row>
    <row r="713" spans="1:22" s="49" customFormat="1" ht="14.15" customHeight="1">
      <c r="A713" s="43" t="s">
        <v>5603</v>
      </c>
      <c r="B713" s="44" t="s">
        <v>157</v>
      </c>
      <c r="C713" s="54"/>
      <c r="D713" s="10" t="s">
        <v>29</v>
      </c>
      <c r="E713" s="11"/>
      <c r="F713" s="11" t="s">
        <v>18</v>
      </c>
      <c r="G713" s="13"/>
      <c r="H713" s="45" t="s">
        <v>16</v>
      </c>
      <c r="I713" s="47"/>
      <c r="J713" s="12" t="s">
        <v>5461</v>
      </c>
      <c r="K713" s="13" t="s">
        <v>7513</v>
      </c>
      <c r="L713" s="99" t="str">
        <f t="shared" si="44"/>
        <v>W2229.6</v>
      </c>
      <c r="M713" s="13" t="s">
        <v>17</v>
      </c>
      <c r="N713" s="13"/>
      <c r="O713" s="13"/>
      <c r="P713" s="47"/>
      <c r="Q713" s="45" t="s">
        <v>3672</v>
      </c>
      <c r="R713" s="45" t="s">
        <v>5553</v>
      </c>
      <c r="S713" s="48"/>
      <c r="T713" s="49" t="str">
        <f t="shared" si="43"/>
        <v>[W2229.6]</v>
      </c>
      <c r="U713" s="12" t="str">
        <f t="shared" si="46"/>
        <v xml:space="preserve"> 가스켓 MOLD X3축(SD257) Stop 명령이 On된 상태에서 기동을 시도했습니다.</v>
      </c>
      <c r="V713" s="49" t="str">
        <f t="shared" si="45"/>
        <v>[W2229.6] 가스켓 MOLD X3축(SD257) Stop 명령이 On된 상태에서 기동을 시도했습니다.</v>
      </c>
    </row>
    <row r="714" spans="1:22" s="49" customFormat="1" ht="14.15" customHeight="1">
      <c r="A714" s="43" t="s">
        <v>5603</v>
      </c>
      <c r="B714" s="44" t="s">
        <v>157</v>
      </c>
      <c r="C714" s="54"/>
      <c r="D714" s="10" t="s">
        <v>29</v>
      </c>
      <c r="E714" s="11"/>
      <c r="F714" s="11" t="s">
        <v>18</v>
      </c>
      <c r="G714" s="13"/>
      <c r="H714" s="45" t="s">
        <v>16</v>
      </c>
      <c r="I714" s="47"/>
      <c r="J714" s="12" t="s">
        <v>5462</v>
      </c>
      <c r="K714" s="13" t="s">
        <v>7514</v>
      </c>
      <c r="L714" s="99" t="str">
        <f t="shared" si="44"/>
        <v>W2229.7</v>
      </c>
      <c r="M714" s="13" t="s">
        <v>17</v>
      </c>
      <c r="N714" s="13"/>
      <c r="O714" s="13"/>
      <c r="P714" s="47"/>
      <c r="Q714" s="45" t="s">
        <v>3672</v>
      </c>
      <c r="R714" s="45" t="s">
        <v>5553</v>
      </c>
      <c r="S714" s="48"/>
      <c r="T714" s="49" t="str">
        <f t="shared" si="43"/>
        <v>[W2229.7]</v>
      </c>
      <c r="U714" s="12" t="str">
        <f t="shared" si="46"/>
        <v xml:space="preserve"> 가스켓 MOLD X3축(SD257) 가동 전원이 Off 되었습니다.</v>
      </c>
      <c r="V714" s="49" t="str">
        <f t="shared" si="45"/>
        <v>[W2229.7] 가스켓 MOLD X3축(SD257) 가동 전원이 Off 되었습니다.</v>
      </c>
    </row>
    <row r="715" spans="1:22" s="49" customFormat="1" ht="14.15" customHeight="1">
      <c r="A715" s="43" t="s">
        <v>5603</v>
      </c>
      <c r="B715" s="44" t="s">
        <v>157</v>
      </c>
      <c r="C715" s="54"/>
      <c r="D715" s="10" t="s">
        <v>29</v>
      </c>
      <c r="E715" s="11"/>
      <c r="F715" s="11" t="s">
        <v>18</v>
      </c>
      <c r="G715" s="13"/>
      <c r="H715" s="45" t="s">
        <v>16</v>
      </c>
      <c r="I715" s="47"/>
      <c r="J715" s="12" t="s">
        <v>5463</v>
      </c>
      <c r="K715" s="13" t="s">
        <v>7515</v>
      </c>
      <c r="L715" s="99" t="str">
        <f t="shared" si="44"/>
        <v>W2229.8</v>
      </c>
      <c r="M715" s="13" t="s">
        <v>17</v>
      </c>
      <c r="N715" s="13"/>
      <c r="O715" s="13"/>
      <c r="P715" s="47"/>
      <c r="Q715" s="45" t="s">
        <v>3672</v>
      </c>
      <c r="R715" s="45" t="s">
        <v>5553</v>
      </c>
      <c r="S715" s="48"/>
      <c r="T715" s="49" t="str">
        <f t="shared" si="43"/>
        <v>[W2229.8]</v>
      </c>
      <c r="U715" s="12" t="str">
        <f t="shared" si="46"/>
        <v xml:space="preserve"> 가스켓 MOLD X3축(SD257) 엔코더 이상이 검출되었습니다.</v>
      </c>
      <c r="V715" s="49" t="str">
        <f t="shared" si="45"/>
        <v>[W2229.8] 가스켓 MOLD X3축(SD257) 엔코더 이상이 검출되었습니다.</v>
      </c>
    </row>
    <row r="716" spans="1:22" s="49" customFormat="1" ht="14.15" customHeight="1">
      <c r="A716" s="43" t="s">
        <v>5603</v>
      </c>
      <c r="B716" s="44" t="s">
        <v>157</v>
      </c>
      <c r="C716" s="54"/>
      <c r="D716" s="10" t="s">
        <v>29</v>
      </c>
      <c r="E716" s="11"/>
      <c r="F716" s="11" t="s">
        <v>18</v>
      </c>
      <c r="G716" s="13"/>
      <c r="H716" s="45" t="s">
        <v>16</v>
      </c>
      <c r="I716" s="47"/>
      <c r="J716" s="12" t="s">
        <v>5464</v>
      </c>
      <c r="K716" s="13" t="s">
        <v>7516</v>
      </c>
      <c r="L716" s="99" t="str">
        <f t="shared" si="44"/>
        <v>W2229.9</v>
      </c>
      <c r="M716" s="13" t="s">
        <v>17</v>
      </c>
      <c r="N716" s="13"/>
      <c r="O716" s="13"/>
      <c r="P716" s="47"/>
      <c r="Q716" s="45" t="s">
        <v>3672</v>
      </c>
      <c r="R716" s="45" t="s">
        <v>5553</v>
      </c>
      <c r="S716" s="48"/>
      <c r="T716" s="49" t="str">
        <f t="shared" si="43"/>
        <v>[W2229.9]</v>
      </c>
      <c r="U716" s="12" t="str">
        <f t="shared" si="46"/>
        <v xml:space="preserve"> 가스켓 MOLD X3축(SD257) 과전류가 검출되었습니다.</v>
      </c>
      <c r="V716" s="49" t="str">
        <f t="shared" si="45"/>
        <v>[W2229.9] 가스켓 MOLD X3축(SD257) 과전류가 검출되었습니다.</v>
      </c>
    </row>
    <row r="717" spans="1:22" s="49" customFormat="1" ht="14.15" customHeight="1">
      <c r="A717" s="43" t="s">
        <v>5603</v>
      </c>
      <c r="B717" s="44" t="s">
        <v>157</v>
      </c>
      <c r="C717" s="54"/>
      <c r="D717" s="10" t="s">
        <v>29</v>
      </c>
      <c r="E717" s="11"/>
      <c r="F717" s="11" t="s">
        <v>18</v>
      </c>
      <c r="G717" s="13"/>
      <c r="H717" s="45" t="s">
        <v>16</v>
      </c>
      <c r="I717" s="47"/>
      <c r="J717" s="12" t="s">
        <v>5465</v>
      </c>
      <c r="K717" s="13" t="s">
        <v>7517</v>
      </c>
      <c r="L717" s="99" t="str">
        <f t="shared" si="44"/>
        <v>W2229.A</v>
      </c>
      <c r="M717" s="13" t="s">
        <v>17</v>
      </c>
      <c r="N717" s="13"/>
      <c r="O717" s="13"/>
      <c r="P717" s="47"/>
      <c r="Q717" s="45" t="s">
        <v>3672</v>
      </c>
      <c r="R717" s="45" t="s">
        <v>5553</v>
      </c>
      <c r="S717" s="48"/>
      <c r="T717" s="49" t="str">
        <f t="shared" si="43"/>
        <v>[W2229.A]</v>
      </c>
      <c r="U717" s="12" t="str">
        <f t="shared" si="46"/>
        <v xml:space="preserve"> 가스켓 MOLD X3축(SD257) 과부하가 검출되었습니다.</v>
      </c>
      <c r="V717" s="49" t="str">
        <f t="shared" si="45"/>
        <v>[W2229.A] 가스켓 MOLD X3축(SD257) 과부하가 검출되었습니다.</v>
      </c>
    </row>
    <row r="718" spans="1:22" s="49" customFormat="1" ht="14.15" customHeight="1">
      <c r="A718" s="43" t="s">
        <v>5603</v>
      </c>
      <c r="B718" s="44" t="s">
        <v>157</v>
      </c>
      <c r="C718" s="54"/>
      <c r="D718" s="10" t="s">
        <v>29</v>
      </c>
      <c r="E718" s="11"/>
      <c r="F718" s="11" t="s">
        <v>18</v>
      </c>
      <c r="G718" s="13"/>
      <c r="H718" s="45" t="s">
        <v>16</v>
      </c>
      <c r="I718" s="47"/>
      <c r="J718" s="12" t="s">
        <v>5466</v>
      </c>
      <c r="K718" s="13" t="s">
        <v>7518</v>
      </c>
      <c r="L718" s="99" t="str">
        <f t="shared" si="44"/>
        <v>W2229.B</v>
      </c>
      <c r="M718" s="13" t="s">
        <v>17</v>
      </c>
      <c r="N718" s="13"/>
      <c r="O718" s="13"/>
      <c r="P718" s="47"/>
      <c r="Q718" s="45" t="s">
        <v>3672</v>
      </c>
      <c r="R718" s="45" t="s">
        <v>5553</v>
      </c>
      <c r="S718" s="48"/>
      <c r="T718" s="49" t="str">
        <f t="shared" si="43"/>
        <v>[W2229.B]</v>
      </c>
      <c r="U718" s="12" t="str">
        <f t="shared" si="46"/>
        <v xml:space="preserve"> 가스켓 MOLD X3축(SD257)</v>
      </c>
      <c r="V718" s="49" t="str">
        <f t="shared" si="45"/>
        <v>[W2229.B] 가스켓 MOLD X3축(SD257)</v>
      </c>
    </row>
    <row r="719" spans="1:22" s="49" customFormat="1" ht="14.15" customHeight="1">
      <c r="A719" s="43" t="s">
        <v>5603</v>
      </c>
      <c r="B719" s="44" t="s">
        <v>157</v>
      </c>
      <c r="C719" s="54"/>
      <c r="D719" s="10" t="s">
        <v>29</v>
      </c>
      <c r="E719" s="11"/>
      <c r="F719" s="11" t="s">
        <v>18</v>
      </c>
      <c r="G719" s="13"/>
      <c r="H719" s="45" t="s">
        <v>16</v>
      </c>
      <c r="I719" s="47"/>
      <c r="J719" s="12" t="s">
        <v>5467</v>
      </c>
      <c r="K719" s="13" t="s">
        <v>7519</v>
      </c>
      <c r="L719" s="99" t="str">
        <f t="shared" si="44"/>
        <v>W2229.C</v>
      </c>
      <c r="M719" s="13" t="s">
        <v>17</v>
      </c>
      <c r="N719" s="13"/>
      <c r="O719" s="13"/>
      <c r="P719" s="47"/>
      <c r="Q719" s="45" t="s">
        <v>3672</v>
      </c>
      <c r="R719" s="45" t="s">
        <v>5553</v>
      </c>
      <c r="S719" s="48"/>
      <c r="T719" s="49" t="str">
        <f t="shared" si="43"/>
        <v>[W2229.C]</v>
      </c>
      <c r="U719" s="12" t="str">
        <f t="shared" si="46"/>
        <v xml:space="preserve"> 가스켓 MOLD X3축(SD257) 에러가 발생했습니다.</v>
      </c>
      <c r="V719" s="49" t="str">
        <f t="shared" si="45"/>
        <v>[W2229.C] 가스켓 MOLD X3축(SD257) 에러가 발생했습니다.</v>
      </c>
    </row>
    <row r="720" spans="1:22" s="49" customFormat="1" ht="14.15" customHeight="1">
      <c r="A720" s="43" t="s">
        <v>5603</v>
      </c>
      <c r="B720" s="44" t="s">
        <v>157</v>
      </c>
      <c r="C720" s="54"/>
      <c r="D720" s="10" t="s">
        <v>29</v>
      </c>
      <c r="E720" s="11"/>
      <c r="F720" s="11" t="s">
        <v>18</v>
      </c>
      <c r="G720" s="13"/>
      <c r="H720" s="45" t="s">
        <v>16</v>
      </c>
      <c r="I720" s="47"/>
      <c r="J720" s="12" t="s">
        <v>5468</v>
      </c>
      <c r="K720" s="13" t="s">
        <v>7520</v>
      </c>
      <c r="L720" s="99" t="str">
        <f t="shared" si="44"/>
        <v>W2229.D</v>
      </c>
      <c r="M720" s="13" t="s">
        <v>17</v>
      </c>
      <c r="N720" s="13"/>
      <c r="O720" s="13"/>
      <c r="P720" s="47"/>
      <c r="Q720" s="45" t="s">
        <v>3672</v>
      </c>
      <c r="R720" s="45" t="s">
        <v>5553</v>
      </c>
      <c r="S720" s="48"/>
      <c r="T720" s="49" t="str">
        <f t="shared" si="43"/>
        <v>[W2229.D]</v>
      </c>
      <c r="U720" s="12" t="str">
        <f t="shared" si="46"/>
        <v xml:space="preserve"> 가스켓 MOLD X4축(SD258) 운전중에 Ready가 Off 되었습니다.</v>
      </c>
      <c r="V720" s="49" t="str">
        <f t="shared" si="45"/>
        <v>[W2229.D] 가스켓 MOLD X4축(SD258) 운전중에 Ready가 Off 되었습니다.</v>
      </c>
    </row>
    <row r="721" spans="1:22" s="49" customFormat="1" ht="14.15" customHeight="1">
      <c r="A721" s="43" t="s">
        <v>5603</v>
      </c>
      <c r="B721" s="44" t="s">
        <v>157</v>
      </c>
      <c r="C721" s="54"/>
      <c r="D721" s="10" t="s">
        <v>29</v>
      </c>
      <c r="E721" s="11"/>
      <c r="F721" s="11" t="s">
        <v>18</v>
      </c>
      <c r="G721" s="13"/>
      <c r="H721" s="45" t="s">
        <v>16</v>
      </c>
      <c r="I721" s="47"/>
      <c r="J721" s="12" t="s">
        <v>5469</v>
      </c>
      <c r="K721" s="13" t="s">
        <v>7521</v>
      </c>
      <c r="L721" s="99" t="str">
        <f t="shared" si="44"/>
        <v>W2229.E</v>
      </c>
      <c r="M721" s="13" t="s">
        <v>17</v>
      </c>
      <c r="N721" s="13"/>
      <c r="O721" s="13"/>
      <c r="P721" s="47"/>
      <c r="Q721" s="45" t="s">
        <v>3672</v>
      </c>
      <c r="R721" s="45" t="s">
        <v>5553</v>
      </c>
      <c r="S721" s="48"/>
      <c r="T721" s="49" t="str">
        <f t="shared" si="43"/>
        <v>[W2229.E]</v>
      </c>
      <c r="U721" s="12" t="str">
        <f t="shared" si="46"/>
        <v xml:space="preserve"> 가스켓 MOLD X4축(SD258) FLS가 감지되었습니다.</v>
      </c>
      <c r="V721" s="49" t="str">
        <f t="shared" si="45"/>
        <v>[W2229.E] 가스켓 MOLD X4축(SD258) FLS가 감지되었습니다.</v>
      </c>
    </row>
    <row r="722" spans="1:22" s="49" customFormat="1" ht="14.15" customHeight="1">
      <c r="A722" s="43" t="s">
        <v>5603</v>
      </c>
      <c r="B722" s="44" t="s">
        <v>157</v>
      </c>
      <c r="C722" s="54"/>
      <c r="D722" s="10" t="s">
        <v>29</v>
      </c>
      <c r="E722" s="11"/>
      <c r="F722" s="11" t="s">
        <v>18</v>
      </c>
      <c r="G722" s="13"/>
      <c r="H722" s="45" t="s">
        <v>16</v>
      </c>
      <c r="I722" s="47"/>
      <c r="J722" s="12" t="s">
        <v>5470</v>
      </c>
      <c r="K722" s="13" t="s">
        <v>7522</v>
      </c>
      <c r="L722" s="99" t="str">
        <f t="shared" si="44"/>
        <v>W2229.F</v>
      </c>
      <c r="M722" s="13" t="s">
        <v>17</v>
      </c>
      <c r="N722" s="13"/>
      <c r="O722" s="13"/>
      <c r="P722" s="47"/>
      <c r="Q722" s="45" t="s">
        <v>3672</v>
      </c>
      <c r="R722" s="45" t="s">
        <v>5553</v>
      </c>
      <c r="S722" s="48"/>
      <c r="T722" s="49" t="str">
        <f t="shared" si="43"/>
        <v>[W2229.F]</v>
      </c>
      <c r="U722" s="12" t="str">
        <f t="shared" si="46"/>
        <v xml:space="preserve"> 가스켓 MOLD X4축(SD258) RLS가 감지되었습니다.</v>
      </c>
      <c r="V722" s="49" t="str">
        <f t="shared" si="45"/>
        <v>[W2229.F] 가스켓 MOLD X4축(SD258) RLS가 감지되었습니다.</v>
      </c>
    </row>
    <row r="723" spans="1:22" s="49" customFormat="1" ht="14.15" customHeight="1">
      <c r="A723" s="43" t="s">
        <v>5603</v>
      </c>
      <c r="B723" s="44" t="s">
        <v>157</v>
      </c>
      <c r="C723" s="54"/>
      <c r="D723" s="10" t="s">
        <v>29</v>
      </c>
      <c r="E723" s="11"/>
      <c r="F723" s="11" t="s">
        <v>18</v>
      </c>
      <c r="G723" s="13"/>
      <c r="H723" s="45" t="s">
        <v>16</v>
      </c>
      <c r="I723" s="47"/>
      <c r="J723" s="12" t="s">
        <v>5471</v>
      </c>
      <c r="K723" s="13" t="s">
        <v>7523</v>
      </c>
      <c r="L723" s="99" t="str">
        <f t="shared" si="44"/>
        <v>W222A.0</v>
      </c>
      <c r="M723" s="13" t="s">
        <v>17</v>
      </c>
      <c r="N723" s="13"/>
      <c r="O723" s="13"/>
      <c r="P723" s="47"/>
      <c r="Q723" s="45" t="s">
        <v>3672</v>
      </c>
      <c r="R723" s="45" t="s">
        <v>5553</v>
      </c>
      <c r="S723" s="48"/>
      <c r="T723" s="49" t="str">
        <f t="shared" si="43"/>
        <v>[W222A.0]</v>
      </c>
      <c r="U723" s="12" t="str">
        <f t="shared" si="46"/>
        <v xml:space="preserve"> 가스켓 MOLD X4축(SD258) Stop 명령이 On된 상태에서 기동을 시도했습니다.</v>
      </c>
      <c r="V723" s="49" t="str">
        <f t="shared" si="45"/>
        <v>[W222A.0] 가스켓 MOLD X4축(SD258) Stop 명령이 On된 상태에서 기동을 시도했습니다.</v>
      </c>
    </row>
    <row r="724" spans="1:22" s="49" customFormat="1" ht="14.15" customHeight="1">
      <c r="A724" s="43" t="s">
        <v>5603</v>
      </c>
      <c r="B724" s="44" t="s">
        <v>157</v>
      </c>
      <c r="C724" s="54"/>
      <c r="D724" s="10" t="s">
        <v>29</v>
      </c>
      <c r="E724" s="11"/>
      <c r="F724" s="11" t="s">
        <v>18</v>
      </c>
      <c r="G724" s="13"/>
      <c r="H724" s="45" t="s">
        <v>16</v>
      </c>
      <c r="I724" s="47"/>
      <c r="J724" s="12" t="s">
        <v>5472</v>
      </c>
      <c r="K724" s="13" t="s">
        <v>7524</v>
      </c>
      <c r="L724" s="99" t="str">
        <f t="shared" si="44"/>
        <v>W222A.1</v>
      </c>
      <c r="M724" s="13" t="s">
        <v>17</v>
      </c>
      <c r="N724" s="13"/>
      <c r="O724" s="13"/>
      <c r="P724" s="47"/>
      <c r="Q724" s="45" t="s">
        <v>3672</v>
      </c>
      <c r="R724" s="45" t="s">
        <v>5553</v>
      </c>
      <c r="S724" s="48"/>
      <c r="T724" s="49" t="str">
        <f t="shared" si="43"/>
        <v>[W222A.1]</v>
      </c>
      <c r="U724" s="12" t="str">
        <f t="shared" si="46"/>
        <v xml:space="preserve"> 가스켓 MOLD X4축(SD258) 가동 전원이 Off 되었습니다.</v>
      </c>
      <c r="V724" s="49" t="str">
        <f t="shared" si="45"/>
        <v>[W222A.1] 가스켓 MOLD X4축(SD258) 가동 전원이 Off 되었습니다.</v>
      </c>
    </row>
    <row r="725" spans="1:22" s="49" customFormat="1" ht="14.15" customHeight="1">
      <c r="A725" s="43" t="s">
        <v>5603</v>
      </c>
      <c r="B725" s="44" t="s">
        <v>157</v>
      </c>
      <c r="C725" s="54"/>
      <c r="D725" s="10" t="s">
        <v>29</v>
      </c>
      <c r="E725" s="11"/>
      <c r="F725" s="11" t="s">
        <v>18</v>
      </c>
      <c r="G725" s="13"/>
      <c r="H725" s="45" t="s">
        <v>16</v>
      </c>
      <c r="I725" s="47"/>
      <c r="J725" s="12" t="s">
        <v>5473</v>
      </c>
      <c r="K725" s="13" t="s">
        <v>7525</v>
      </c>
      <c r="L725" s="99" t="str">
        <f t="shared" si="44"/>
        <v>W222A.2</v>
      </c>
      <c r="M725" s="13" t="s">
        <v>17</v>
      </c>
      <c r="N725" s="13"/>
      <c r="O725" s="13"/>
      <c r="P725" s="47"/>
      <c r="Q725" s="45" t="s">
        <v>3672</v>
      </c>
      <c r="R725" s="45" t="s">
        <v>5553</v>
      </c>
      <c r="S725" s="48"/>
      <c r="T725" s="49" t="str">
        <f t="shared" si="43"/>
        <v>[W222A.2]</v>
      </c>
      <c r="U725" s="12" t="str">
        <f t="shared" si="46"/>
        <v xml:space="preserve"> 가스켓 MOLD X4축(SD258) 엔코더 이상이 검출되었습니다.</v>
      </c>
      <c r="V725" s="49" t="str">
        <f t="shared" si="45"/>
        <v>[W222A.2] 가스켓 MOLD X4축(SD258) 엔코더 이상이 검출되었습니다.</v>
      </c>
    </row>
    <row r="726" spans="1:22" s="49" customFormat="1" ht="14.15" customHeight="1">
      <c r="A726" s="43" t="s">
        <v>5603</v>
      </c>
      <c r="B726" s="44" t="s">
        <v>157</v>
      </c>
      <c r="C726" s="54"/>
      <c r="D726" s="10" t="s">
        <v>29</v>
      </c>
      <c r="E726" s="11"/>
      <c r="F726" s="11" t="s">
        <v>18</v>
      </c>
      <c r="G726" s="13"/>
      <c r="H726" s="45" t="s">
        <v>16</v>
      </c>
      <c r="I726" s="47"/>
      <c r="J726" s="12" t="s">
        <v>5474</v>
      </c>
      <c r="K726" s="13" t="s">
        <v>7526</v>
      </c>
      <c r="L726" s="99" t="str">
        <f t="shared" si="44"/>
        <v>W222A.3</v>
      </c>
      <c r="M726" s="13" t="s">
        <v>17</v>
      </c>
      <c r="N726" s="13"/>
      <c r="O726" s="13"/>
      <c r="P726" s="47"/>
      <c r="Q726" s="45" t="s">
        <v>3672</v>
      </c>
      <c r="R726" s="45" t="s">
        <v>5553</v>
      </c>
      <c r="S726" s="48"/>
      <c r="T726" s="49" t="str">
        <f t="shared" si="43"/>
        <v>[W222A.3]</v>
      </c>
      <c r="U726" s="12" t="str">
        <f t="shared" si="46"/>
        <v xml:space="preserve"> 가스켓 MOLD X4축(SD258) 과전류가 검출되었습니다.</v>
      </c>
      <c r="V726" s="49" t="str">
        <f t="shared" si="45"/>
        <v>[W222A.3] 가스켓 MOLD X4축(SD258) 과전류가 검출되었습니다.</v>
      </c>
    </row>
    <row r="727" spans="1:22" s="49" customFormat="1" ht="14.15" customHeight="1">
      <c r="A727" s="43" t="s">
        <v>5603</v>
      </c>
      <c r="B727" s="44" t="s">
        <v>157</v>
      </c>
      <c r="C727" s="54"/>
      <c r="D727" s="10" t="s">
        <v>29</v>
      </c>
      <c r="E727" s="11"/>
      <c r="F727" s="11" t="s">
        <v>18</v>
      </c>
      <c r="G727" s="13"/>
      <c r="H727" s="45" t="s">
        <v>16</v>
      </c>
      <c r="I727" s="47"/>
      <c r="J727" s="12" t="s">
        <v>5475</v>
      </c>
      <c r="K727" s="13" t="s">
        <v>7527</v>
      </c>
      <c r="L727" s="99" t="str">
        <f t="shared" si="44"/>
        <v>W222A.4</v>
      </c>
      <c r="M727" s="13" t="s">
        <v>17</v>
      </c>
      <c r="N727" s="13"/>
      <c r="O727" s="13"/>
      <c r="P727" s="47"/>
      <c r="Q727" s="45" t="s">
        <v>3672</v>
      </c>
      <c r="R727" s="45" t="s">
        <v>5553</v>
      </c>
      <c r="S727" s="48"/>
      <c r="T727" s="49" t="str">
        <f t="shared" si="43"/>
        <v>[W222A.4]</v>
      </c>
      <c r="U727" s="12" t="str">
        <f t="shared" si="46"/>
        <v xml:space="preserve"> 가스켓 MOLD X4축(SD258) 과부하가 검출되었습니다.</v>
      </c>
      <c r="V727" s="49" t="str">
        <f t="shared" si="45"/>
        <v>[W222A.4] 가스켓 MOLD X4축(SD258) 과부하가 검출되었습니다.</v>
      </c>
    </row>
    <row r="728" spans="1:22" s="49" customFormat="1" ht="14.15" customHeight="1">
      <c r="A728" s="43" t="s">
        <v>5603</v>
      </c>
      <c r="B728" s="44" t="s">
        <v>157</v>
      </c>
      <c r="C728" s="54"/>
      <c r="D728" s="10" t="s">
        <v>29</v>
      </c>
      <c r="E728" s="11"/>
      <c r="F728" s="11" t="s">
        <v>18</v>
      </c>
      <c r="G728" s="13"/>
      <c r="H728" s="45" t="s">
        <v>16</v>
      </c>
      <c r="I728" s="47"/>
      <c r="J728" s="12" t="s">
        <v>5476</v>
      </c>
      <c r="K728" s="13" t="s">
        <v>7528</v>
      </c>
      <c r="L728" s="99" t="str">
        <f t="shared" si="44"/>
        <v>W222A.5</v>
      </c>
      <c r="M728" s="13" t="s">
        <v>17</v>
      </c>
      <c r="N728" s="13"/>
      <c r="O728" s="13"/>
      <c r="P728" s="47"/>
      <c r="Q728" s="45" t="s">
        <v>3672</v>
      </c>
      <c r="R728" s="45" t="s">
        <v>5553</v>
      </c>
      <c r="S728" s="48"/>
      <c r="T728" s="49" t="str">
        <f t="shared" si="43"/>
        <v>[W222A.5]</v>
      </c>
      <c r="U728" s="12" t="str">
        <f t="shared" si="46"/>
        <v xml:space="preserve"> 가스켓 MOLD X4축(SD258)</v>
      </c>
      <c r="V728" s="49" t="str">
        <f t="shared" si="45"/>
        <v>[W222A.5] 가스켓 MOLD X4축(SD258)</v>
      </c>
    </row>
    <row r="729" spans="1:22" s="49" customFormat="1" ht="14.15" customHeight="1">
      <c r="A729" s="43" t="s">
        <v>5603</v>
      </c>
      <c r="B729" s="44" t="s">
        <v>157</v>
      </c>
      <c r="C729" s="54"/>
      <c r="D729" s="10" t="s">
        <v>29</v>
      </c>
      <c r="E729" s="11"/>
      <c r="F729" s="11" t="s">
        <v>18</v>
      </c>
      <c r="G729" s="13"/>
      <c r="H729" s="45" t="s">
        <v>16</v>
      </c>
      <c r="I729" s="47"/>
      <c r="J729" s="12" t="s">
        <v>5477</v>
      </c>
      <c r="K729" s="13" t="s">
        <v>7529</v>
      </c>
      <c r="L729" s="99" t="str">
        <f t="shared" si="44"/>
        <v>W222A.6</v>
      </c>
      <c r="M729" s="13" t="s">
        <v>17</v>
      </c>
      <c r="N729" s="13"/>
      <c r="O729" s="13"/>
      <c r="P729" s="47"/>
      <c r="Q729" s="45" t="s">
        <v>3672</v>
      </c>
      <c r="R729" s="45" t="s">
        <v>5553</v>
      </c>
      <c r="S729" s="48"/>
      <c r="T729" s="49" t="str">
        <f t="shared" si="43"/>
        <v>[W222A.6]</v>
      </c>
      <c r="U729" s="12" t="str">
        <f t="shared" si="46"/>
        <v xml:space="preserve"> 가스켓 MOLD X4축(SD258) 에러가 발생했습니다.</v>
      </c>
      <c r="V729" s="49" t="str">
        <f t="shared" si="45"/>
        <v>[W222A.6] 가스켓 MOLD X4축(SD258) 에러가 발생했습니다.</v>
      </c>
    </row>
    <row r="730" spans="1:22" s="49" customFormat="1" ht="14.15" customHeight="1">
      <c r="A730" s="43" t="s">
        <v>5602</v>
      </c>
      <c r="B730" s="44" t="s">
        <v>157</v>
      </c>
      <c r="C730" s="54"/>
      <c r="D730" s="10" t="s">
        <v>29</v>
      </c>
      <c r="E730" s="11"/>
      <c r="F730" s="11" t="s">
        <v>18</v>
      </c>
      <c r="G730" s="13"/>
      <c r="H730" s="45" t="s">
        <v>16</v>
      </c>
      <c r="I730" s="47"/>
      <c r="J730" s="12" t="s">
        <v>5478</v>
      </c>
      <c r="K730" s="13" t="s">
        <v>7530</v>
      </c>
      <c r="L730" s="99" t="str">
        <f t="shared" si="44"/>
        <v>W222A.7</v>
      </c>
      <c r="M730" s="13" t="s">
        <v>17</v>
      </c>
      <c r="N730" s="13"/>
      <c r="O730" s="13"/>
      <c r="P730" s="47"/>
      <c r="Q730" s="45" t="s">
        <v>3672</v>
      </c>
      <c r="R730" s="45" t="s">
        <v>5553</v>
      </c>
      <c r="S730" s="48"/>
      <c r="T730" s="49" t="str">
        <f t="shared" si="43"/>
        <v>[W222A.7]</v>
      </c>
      <c r="U730" s="12" t="str">
        <f t="shared" si="46"/>
        <v xml:space="preserve"> 가스켓 FEEDING축(SD259) 운전중에 Ready가 Off 되었습니다.</v>
      </c>
      <c r="V730" s="49" t="str">
        <f t="shared" si="45"/>
        <v>[W222A.7] 가스켓 FEEDING축(SD259) 운전중에 Ready가 Off 되었습니다.</v>
      </c>
    </row>
    <row r="731" spans="1:22" s="49" customFormat="1" ht="14.15" customHeight="1">
      <c r="A731" s="43" t="s">
        <v>5602</v>
      </c>
      <c r="B731" s="44" t="s">
        <v>157</v>
      </c>
      <c r="C731" s="54"/>
      <c r="D731" s="10" t="s">
        <v>29</v>
      </c>
      <c r="E731" s="11"/>
      <c r="F731" s="11" t="s">
        <v>18</v>
      </c>
      <c r="G731" s="13"/>
      <c r="H731" s="45" t="s">
        <v>16</v>
      </c>
      <c r="I731" s="47"/>
      <c r="J731" s="12" t="s">
        <v>5479</v>
      </c>
      <c r="K731" s="13" t="s">
        <v>7531</v>
      </c>
      <c r="L731" s="99" t="str">
        <f t="shared" si="44"/>
        <v>W222A.8</v>
      </c>
      <c r="M731" s="13" t="s">
        <v>17</v>
      </c>
      <c r="N731" s="13"/>
      <c r="O731" s="13"/>
      <c r="P731" s="47"/>
      <c r="Q731" s="45" t="s">
        <v>3672</v>
      </c>
      <c r="R731" s="45" t="s">
        <v>5553</v>
      </c>
      <c r="S731" s="48"/>
      <c r="T731" s="49" t="str">
        <f t="shared" si="43"/>
        <v>[W222A.8]</v>
      </c>
      <c r="U731" s="12" t="str">
        <f t="shared" si="46"/>
        <v xml:space="preserve"> 가스켓 FEEDING축(SD259) FLS가 감지되었습니다.</v>
      </c>
      <c r="V731" s="49" t="str">
        <f t="shared" si="45"/>
        <v>[W222A.8] 가스켓 FEEDING축(SD259) FLS가 감지되었습니다.</v>
      </c>
    </row>
    <row r="732" spans="1:22" s="49" customFormat="1" ht="14.15" customHeight="1">
      <c r="A732" s="43" t="s">
        <v>5602</v>
      </c>
      <c r="B732" s="44" t="s">
        <v>157</v>
      </c>
      <c r="C732" s="54"/>
      <c r="D732" s="10" t="s">
        <v>29</v>
      </c>
      <c r="E732" s="11"/>
      <c r="F732" s="11" t="s">
        <v>18</v>
      </c>
      <c r="G732" s="13"/>
      <c r="H732" s="45" t="s">
        <v>16</v>
      </c>
      <c r="I732" s="47"/>
      <c r="J732" s="12" t="s">
        <v>5480</v>
      </c>
      <c r="K732" s="13" t="s">
        <v>7532</v>
      </c>
      <c r="L732" s="99" t="str">
        <f t="shared" si="44"/>
        <v>W222A.9</v>
      </c>
      <c r="M732" s="13" t="s">
        <v>17</v>
      </c>
      <c r="N732" s="13"/>
      <c r="O732" s="13"/>
      <c r="P732" s="47"/>
      <c r="Q732" s="45" t="s">
        <v>3672</v>
      </c>
      <c r="R732" s="45" t="s">
        <v>5553</v>
      </c>
      <c r="S732" s="48"/>
      <c r="T732" s="49" t="str">
        <f t="shared" si="43"/>
        <v>[W222A.9]</v>
      </c>
      <c r="U732" s="12" t="str">
        <f t="shared" si="46"/>
        <v xml:space="preserve"> 가스켓 FEEDING축(SD259) RLS가 감지되었습니다.</v>
      </c>
      <c r="V732" s="49" t="str">
        <f t="shared" si="45"/>
        <v>[W222A.9] 가스켓 FEEDING축(SD259) RLS가 감지되었습니다.</v>
      </c>
    </row>
    <row r="733" spans="1:22" s="49" customFormat="1" ht="14.15" customHeight="1">
      <c r="A733" s="43" t="s">
        <v>5602</v>
      </c>
      <c r="B733" s="44" t="s">
        <v>157</v>
      </c>
      <c r="C733" s="54"/>
      <c r="D733" s="10" t="s">
        <v>29</v>
      </c>
      <c r="E733" s="11"/>
      <c r="F733" s="11" t="s">
        <v>18</v>
      </c>
      <c r="G733" s="13"/>
      <c r="H733" s="45" t="s">
        <v>16</v>
      </c>
      <c r="I733" s="47"/>
      <c r="J733" s="12" t="s">
        <v>5481</v>
      </c>
      <c r="K733" s="13" t="s">
        <v>7533</v>
      </c>
      <c r="L733" s="99" t="str">
        <f t="shared" si="44"/>
        <v>W222A.A</v>
      </c>
      <c r="M733" s="13" t="s">
        <v>17</v>
      </c>
      <c r="N733" s="13"/>
      <c r="O733" s="13"/>
      <c r="P733" s="47"/>
      <c r="Q733" s="45" t="s">
        <v>3672</v>
      </c>
      <c r="R733" s="45" t="s">
        <v>5553</v>
      </c>
      <c r="S733" s="48"/>
      <c r="T733" s="49" t="str">
        <f t="shared" si="43"/>
        <v>[W222A.A]</v>
      </c>
      <c r="U733" s="12" t="str">
        <f t="shared" si="46"/>
        <v xml:space="preserve"> 가스켓 FEEDING축(SD259) Stop 명령이 On된 상태에서 기동을 시도했습니다.</v>
      </c>
      <c r="V733" s="49" t="str">
        <f t="shared" si="45"/>
        <v>[W222A.A] 가스켓 FEEDING축(SD259) Stop 명령이 On된 상태에서 기동을 시도했습니다.</v>
      </c>
    </row>
    <row r="734" spans="1:22" s="49" customFormat="1" ht="14.15" customHeight="1">
      <c r="A734" s="43" t="s">
        <v>5602</v>
      </c>
      <c r="B734" s="44" t="s">
        <v>157</v>
      </c>
      <c r="C734" s="54"/>
      <c r="D734" s="10" t="s">
        <v>29</v>
      </c>
      <c r="E734" s="11"/>
      <c r="F734" s="11" t="s">
        <v>18</v>
      </c>
      <c r="G734" s="13"/>
      <c r="H734" s="45" t="s">
        <v>16</v>
      </c>
      <c r="I734" s="47"/>
      <c r="J734" s="12" t="s">
        <v>5482</v>
      </c>
      <c r="K734" s="13" t="s">
        <v>7534</v>
      </c>
      <c r="L734" s="99" t="str">
        <f t="shared" si="44"/>
        <v>W222A.B</v>
      </c>
      <c r="M734" s="13" t="s">
        <v>17</v>
      </c>
      <c r="N734" s="13"/>
      <c r="O734" s="13"/>
      <c r="P734" s="47"/>
      <c r="Q734" s="45" t="s">
        <v>3672</v>
      </c>
      <c r="R734" s="45" t="s">
        <v>5553</v>
      </c>
      <c r="S734" s="48"/>
      <c r="T734" s="49" t="str">
        <f t="shared" si="43"/>
        <v>[W222A.B]</v>
      </c>
      <c r="U734" s="12" t="str">
        <f t="shared" si="46"/>
        <v xml:space="preserve"> 가스켓 FEEDING축(SD259) 가동 전원이 Off 되었습니다.</v>
      </c>
      <c r="V734" s="49" t="str">
        <f t="shared" si="45"/>
        <v>[W222A.B] 가스켓 FEEDING축(SD259) 가동 전원이 Off 되었습니다.</v>
      </c>
    </row>
    <row r="735" spans="1:22" s="49" customFormat="1" ht="14.15" customHeight="1">
      <c r="A735" s="43" t="s">
        <v>5602</v>
      </c>
      <c r="B735" s="44" t="s">
        <v>157</v>
      </c>
      <c r="C735" s="54"/>
      <c r="D735" s="10" t="s">
        <v>29</v>
      </c>
      <c r="E735" s="11"/>
      <c r="F735" s="11" t="s">
        <v>18</v>
      </c>
      <c r="G735" s="13"/>
      <c r="H735" s="45" t="s">
        <v>16</v>
      </c>
      <c r="I735" s="47"/>
      <c r="J735" s="12" t="s">
        <v>5483</v>
      </c>
      <c r="K735" s="13" t="s">
        <v>7535</v>
      </c>
      <c r="L735" s="99" t="str">
        <f t="shared" si="44"/>
        <v>W222A.C</v>
      </c>
      <c r="M735" s="13" t="s">
        <v>17</v>
      </c>
      <c r="N735" s="13"/>
      <c r="O735" s="13"/>
      <c r="P735" s="47"/>
      <c r="Q735" s="45" t="s">
        <v>3672</v>
      </c>
      <c r="R735" s="45" t="s">
        <v>5553</v>
      </c>
      <c r="S735" s="48"/>
      <c r="T735" s="49" t="str">
        <f t="shared" si="43"/>
        <v>[W222A.C]</v>
      </c>
      <c r="U735" s="12" t="str">
        <f t="shared" si="46"/>
        <v xml:space="preserve"> 가스켓 FEEDING축(SD259) 엔코더 이상이 검출되었습니다.</v>
      </c>
      <c r="V735" s="49" t="str">
        <f t="shared" si="45"/>
        <v>[W222A.C] 가스켓 FEEDING축(SD259) 엔코더 이상이 검출되었습니다.</v>
      </c>
    </row>
    <row r="736" spans="1:22" s="49" customFormat="1" ht="14.15" customHeight="1">
      <c r="A736" s="43" t="s">
        <v>5602</v>
      </c>
      <c r="B736" s="44" t="s">
        <v>157</v>
      </c>
      <c r="C736" s="54"/>
      <c r="D736" s="10" t="s">
        <v>29</v>
      </c>
      <c r="E736" s="11"/>
      <c r="F736" s="11" t="s">
        <v>18</v>
      </c>
      <c r="G736" s="13"/>
      <c r="H736" s="45" t="s">
        <v>16</v>
      </c>
      <c r="I736" s="47"/>
      <c r="J736" s="12" t="s">
        <v>5484</v>
      </c>
      <c r="K736" s="13" t="s">
        <v>7536</v>
      </c>
      <c r="L736" s="99" t="str">
        <f t="shared" si="44"/>
        <v>W222A.D</v>
      </c>
      <c r="M736" s="13" t="s">
        <v>17</v>
      </c>
      <c r="N736" s="13"/>
      <c r="O736" s="13"/>
      <c r="P736" s="47"/>
      <c r="Q736" s="45" t="s">
        <v>3672</v>
      </c>
      <c r="R736" s="45" t="s">
        <v>5553</v>
      </c>
      <c r="S736" s="48"/>
      <c r="T736" s="49" t="str">
        <f t="shared" si="43"/>
        <v>[W222A.D]</v>
      </c>
      <c r="U736" s="12" t="str">
        <f t="shared" si="46"/>
        <v xml:space="preserve"> 가스켓 FEEDING축(SD259) 과전류가 검출되었습니다.</v>
      </c>
      <c r="V736" s="49" t="str">
        <f t="shared" si="45"/>
        <v>[W222A.D] 가스켓 FEEDING축(SD259) 과전류가 검출되었습니다.</v>
      </c>
    </row>
    <row r="737" spans="1:22" s="49" customFormat="1" ht="14.15" customHeight="1">
      <c r="A737" s="43" t="s">
        <v>5602</v>
      </c>
      <c r="B737" s="44" t="s">
        <v>157</v>
      </c>
      <c r="C737" s="54"/>
      <c r="D737" s="10" t="s">
        <v>29</v>
      </c>
      <c r="E737" s="11"/>
      <c r="F737" s="11" t="s">
        <v>18</v>
      </c>
      <c r="G737" s="13"/>
      <c r="H737" s="45" t="s">
        <v>16</v>
      </c>
      <c r="I737" s="47"/>
      <c r="J737" s="12" t="s">
        <v>5485</v>
      </c>
      <c r="K737" s="13" t="s">
        <v>7537</v>
      </c>
      <c r="L737" s="99" t="str">
        <f t="shared" si="44"/>
        <v>W222A.E</v>
      </c>
      <c r="M737" s="13" t="s">
        <v>17</v>
      </c>
      <c r="N737" s="13"/>
      <c r="O737" s="13"/>
      <c r="P737" s="47"/>
      <c r="Q737" s="45" t="s">
        <v>3672</v>
      </c>
      <c r="R737" s="45" t="s">
        <v>5553</v>
      </c>
      <c r="S737" s="48"/>
      <c r="T737" s="49" t="str">
        <f t="shared" si="43"/>
        <v>[W222A.E]</v>
      </c>
      <c r="U737" s="12" t="str">
        <f t="shared" si="46"/>
        <v xml:space="preserve"> 가스켓 FEEDING축(SD259) 과부하가 검출되었습니다.</v>
      </c>
      <c r="V737" s="49" t="str">
        <f t="shared" si="45"/>
        <v>[W222A.E] 가스켓 FEEDING축(SD259) 과부하가 검출되었습니다.</v>
      </c>
    </row>
    <row r="738" spans="1:22" s="49" customFormat="1" ht="14.15" customHeight="1">
      <c r="A738" s="43" t="s">
        <v>5602</v>
      </c>
      <c r="B738" s="44" t="s">
        <v>157</v>
      </c>
      <c r="C738" s="54"/>
      <c r="D738" s="10" t="s">
        <v>29</v>
      </c>
      <c r="E738" s="11"/>
      <c r="F738" s="11" t="s">
        <v>18</v>
      </c>
      <c r="G738" s="13"/>
      <c r="H738" s="45" t="s">
        <v>16</v>
      </c>
      <c r="I738" s="47"/>
      <c r="J738" s="12" t="s">
        <v>5486</v>
      </c>
      <c r="K738" s="13" t="s">
        <v>7538</v>
      </c>
      <c r="L738" s="99" t="str">
        <f t="shared" si="44"/>
        <v>W222A.F</v>
      </c>
      <c r="M738" s="13" t="s">
        <v>17</v>
      </c>
      <c r="N738" s="13"/>
      <c r="O738" s="13"/>
      <c r="P738" s="47"/>
      <c r="Q738" s="45" t="s">
        <v>3672</v>
      </c>
      <c r="R738" s="45" t="s">
        <v>5553</v>
      </c>
      <c r="S738" s="48"/>
      <c r="T738" s="49" t="str">
        <f t="shared" si="43"/>
        <v>[W222A.F]</v>
      </c>
      <c r="U738" s="12" t="str">
        <f t="shared" si="46"/>
        <v xml:space="preserve"> 가스켓 FEEDING축(SD259)</v>
      </c>
      <c r="V738" s="49" t="str">
        <f t="shared" si="45"/>
        <v>[W222A.F] 가스켓 FEEDING축(SD259)</v>
      </c>
    </row>
    <row r="739" spans="1:22" s="49" customFormat="1" ht="14.15" customHeight="1">
      <c r="A739" s="43" t="s">
        <v>5602</v>
      </c>
      <c r="B739" s="44" t="s">
        <v>157</v>
      </c>
      <c r="C739" s="54"/>
      <c r="D739" s="10" t="s">
        <v>29</v>
      </c>
      <c r="E739" s="11"/>
      <c r="F739" s="11" t="s">
        <v>18</v>
      </c>
      <c r="G739" s="13"/>
      <c r="H739" s="45" t="s">
        <v>16</v>
      </c>
      <c r="I739" s="47"/>
      <c r="J739" s="12" t="s">
        <v>5487</v>
      </c>
      <c r="K739" s="13" t="s">
        <v>7539</v>
      </c>
      <c r="L739" s="99" t="str">
        <f t="shared" si="44"/>
        <v>W222B.0</v>
      </c>
      <c r="M739" s="13" t="s">
        <v>17</v>
      </c>
      <c r="N739" s="13"/>
      <c r="O739" s="13"/>
      <c r="P739" s="47"/>
      <c r="Q739" s="45" t="s">
        <v>3672</v>
      </c>
      <c r="R739" s="45" t="s">
        <v>5553</v>
      </c>
      <c r="S739" s="48"/>
      <c r="T739" s="49" t="str">
        <f>"["&amp;L709&amp;"]"</f>
        <v>[W2229.2]</v>
      </c>
      <c r="U739" s="12" t="str">
        <f>RIGHT(J709,LEN(J709)-7)</f>
        <v xml:space="preserve"> 가스켓 MOLD X2축(SD256) 에러가 발생했습니다.</v>
      </c>
      <c r="V739" s="49" t="str">
        <f>T709&amp;U709</f>
        <v>[W2229.2] 가스켓 MOLD X2축(SD256) 에러가 발생했습니다.</v>
      </c>
    </row>
    <row r="740" spans="1:22" s="49" customFormat="1" ht="14.15" customHeight="1">
      <c r="A740" s="43" t="s">
        <v>5602</v>
      </c>
      <c r="B740" s="44" t="s">
        <v>157</v>
      </c>
      <c r="C740" s="54"/>
      <c r="D740" s="10" t="s">
        <v>29</v>
      </c>
      <c r="E740" s="11"/>
      <c r="F740" s="11" t="s">
        <v>18</v>
      </c>
      <c r="G740" s="13"/>
      <c r="H740" s="45" t="s">
        <v>16</v>
      </c>
      <c r="I740" s="47"/>
      <c r="J740" s="12" t="s">
        <v>5488</v>
      </c>
      <c r="K740" s="13" t="s">
        <v>7540</v>
      </c>
      <c r="L740" s="99" t="str">
        <f t="shared" si="44"/>
        <v>W222B.1</v>
      </c>
      <c r="M740" s="13" t="s">
        <v>17</v>
      </c>
      <c r="N740" s="13"/>
      <c r="O740" s="13"/>
      <c r="P740" s="47"/>
      <c r="Q740" s="45" t="s">
        <v>3672</v>
      </c>
      <c r="R740" s="45" t="s">
        <v>5553</v>
      </c>
      <c r="S740" s="48"/>
      <c r="T740" s="49" t="str">
        <f t="shared" si="43"/>
        <v>[W222B.1]</v>
      </c>
      <c r="U740" s="12" t="str">
        <f t="shared" si="46"/>
        <v xml:space="preserve"> 가스켓 센터링 X1축(SD260) 운전중에 Ready가 Off 되었습니다.</v>
      </c>
      <c r="V740" s="49" t="str">
        <f t="shared" si="45"/>
        <v>[W222B.1] 가스켓 센터링 X1축(SD260) 운전중에 Ready가 Off 되었습니다.</v>
      </c>
    </row>
    <row r="741" spans="1:22" s="49" customFormat="1" ht="14.15" customHeight="1">
      <c r="A741" s="43" t="s">
        <v>5602</v>
      </c>
      <c r="B741" s="44" t="s">
        <v>157</v>
      </c>
      <c r="C741" s="54"/>
      <c r="D741" s="10" t="s">
        <v>29</v>
      </c>
      <c r="E741" s="11"/>
      <c r="F741" s="11" t="s">
        <v>18</v>
      </c>
      <c r="G741" s="13"/>
      <c r="H741" s="45" t="s">
        <v>16</v>
      </c>
      <c r="I741" s="47"/>
      <c r="J741" s="12" t="s">
        <v>5489</v>
      </c>
      <c r="K741" s="13" t="s">
        <v>7541</v>
      </c>
      <c r="L741" s="99" t="str">
        <f t="shared" si="44"/>
        <v>W222B.2</v>
      </c>
      <c r="M741" s="13" t="s">
        <v>17</v>
      </c>
      <c r="N741" s="13"/>
      <c r="O741" s="13"/>
      <c r="P741" s="47"/>
      <c r="Q741" s="45" t="s">
        <v>3672</v>
      </c>
      <c r="R741" s="45" t="s">
        <v>5553</v>
      </c>
      <c r="S741" s="48"/>
      <c r="T741" s="49" t="str">
        <f t="shared" si="43"/>
        <v>[W222B.2]</v>
      </c>
      <c r="U741" s="12" t="str">
        <f t="shared" si="46"/>
        <v xml:space="preserve"> 가스켓 센터링 X1축(SD260) FLS가 감지되었습니다.</v>
      </c>
      <c r="V741" s="49" t="str">
        <f t="shared" si="45"/>
        <v>[W222B.2] 가스켓 센터링 X1축(SD260) FLS가 감지되었습니다.</v>
      </c>
    </row>
    <row r="742" spans="1:22" s="49" customFormat="1" ht="14.15" customHeight="1">
      <c r="A742" s="43" t="s">
        <v>5602</v>
      </c>
      <c r="B742" s="44" t="s">
        <v>157</v>
      </c>
      <c r="C742" s="54"/>
      <c r="D742" s="10" t="s">
        <v>29</v>
      </c>
      <c r="E742" s="11"/>
      <c r="F742" s="11" t="s">
        <v>18</v>
      </c>
      <c r="G742" s="13"/>
      <c r="H742" s="45" t="s">
        <v>16</v>
      </c>
      <c r="I742" s="47"/>
      <c r="J742" s="12" t="s">
        <v>5490</v>
      </c>
      <c r="K742" s="13" t="s">
        <v>7542</v>
      </c>
      <c r="L742" s="99" t="str">
        <f t="shared" si="44"/>
        <v>W222B.3</v>
      </c>
      <c r="M742" s="13" t="s">
        <v>17</v>
      </c>
      <c r="N742" s="13"/>
      <c r="O742" s="13"/>
      <c r="P742" s="47"/>
      <c r="Q742" s="45" t="s">
        <v>3672</v>
      </c>
      <c r="R742" s="45" t="s">
        <v>5553</v>
      </c>
      <c r="S742" s="48"/>
      <c r="T742" s="49" t="str">
        <f t="shared" si="43"/>
        <v>[W222B.3]</v>
      </c>
      <c r="U742" s="12" t="str">
        <f t="shared" si="46"/>
        <v xml:space="preserve"> 가스켓 센터링 X1축(SD260) RLS가 감지되었습니다.</v>
      </c>
      <c r="V742" s="49" t="str">
        <f t="shared" si="45"/>
        <v>[W222B.3] 가스켓 센터링 X1축(SD260) RLS가 감지되었습니다.</v>
      </c>
    </row>
    <row r="743" spans="1:22" s="49" customFormat="1" ht="14.15" customHeight="1">
      <c r="A743" s="43" t="s">
        <v>5602</v>
      </c>
      <c r="B743" s="44" t="s">
        <v>157</v>
      </c>
      <c r="C743" s="54"/>
      <c r="D743" s="10" t="s">
        <v>29</v>
      </c>
      <c r="E743" s="11"/>
      <c r="F743" s="11" t="s">
        <v>18</v>
      </c>
      <c r="G743" s="13"/>
      <c r="H743" s="45" t="s">
        <v>16</v>
      </c>
      <c r="I743" s="47"/>
      <c r="J743" s="12" t="s">
        <v>5491</v>
      </c>
      <c r="K743" s="13" t="s">
        <v>7543</v>
      </c>
      <c r="L743" s="99" t="str">
        <f t="shared" si="44"/>
        <v>W222B.4</v>
      </c>
      <c r="M743" s="13" t="s">
        <v>17</v>
      </c>
      <c r="N743" s="13"/>
      <c r="O743" s="13"/>
      <c r="P743" s="47"/>
      <c r="Q743" s="45" t="s">
        <v>3672</v>
      </c>
      <c r="R743" s="45" t="s">
        <v>5553</v>
      </c>
      <c r="S743" s="48"/>
      <c r="T743" s="49" t="str">
        <f t="shared" si="43"/>
        <v>[W222B.4]</v>
      </c>
      <c r="U743" s="12" t="str">
        <f t="shared" si="46"/>
        <v xml:space="preserve"> 가스켓 센터링 X1축(SD260) Stop 명령이 On된 상태에서 기동을 시도했습니다.</v>
      </c>
      <c r="V743" s="49" t="str">
        <f t="shared" si="45"/>
        <v>[W222B.4] 가스켓 센터링 X1축(SD260) Stop 명령이 On된 상태에서 기동을 시도했습니다.</v>
      </c>
    </row>
    <row r="744" spans="1:22" s="49" customFormat="1" ht="14.15" customHeight="1">
      <c r="A744" s="43" t="s">
        <v>5602</v>
      </c>
      <c r="B744" s="44" t="s">
        <v>157</v>
      </c>
      <c r="C744" s="54"/>
      <c r="D744" s="10" t="s">
        <v>29</v>
      </c>
      <c r="E744" s="11"/>
      <c r="F744" s="11" t="s">
        <v>18</v>
      </c>
      <c r="G744" s="13"/>
      <c r="H744" s="45" t="s">
        <v>16</v>
      </c>
      <c r="I744" s="47"/>
      <c r="J744" s="12" t="s">
        <v>5492</v>
      </c>
      <c r="K744" s="13" t="s">
        <v>7544</v>
      </c>
      <c r="L744" s="99" t="str">
        <f t="shared" si="44"/>
        <v>W222B.5</v>
      </c>
      <c r="M744" s="13" t="s">
        <v>17</v>
      </c>
      <c r="N744" s="13"/>
      <c r="O744" s="13"/>
      <c r="P744" s="47"/>
      <c r="Q744" s="45" t="s">
        <v>3672</v>
      </c>
      <c r="R744" s="45" t="s">
        <v>5553</v>
      </c>
      <c r="S744" s="48"/>
      <c r="T744" s="49" t="str">
        <f t="shared" si="43"/>
        <v>[W222B.5]</v>
      </c>
      <c r="U744" s="12" t="str">
        <f t="shared" si="46"/>
        <v xml:space="preserve"> 가스켓 센터링 X1축(SD260) 가동 전원이 Off 되었습니다.</v>
      </c>
      <c r="V744" s="49" t="str">
        <f t="shared" si="45"/>
        <v>[W222B.5] 가스켓 센터링 X1축(SD260) 가동 전원이 Off 되었습니다.</v>
      </c>
    </row>
    <row r="745" spans="1:22" s="49" customFormat="1" ht="14.15" customHeight="1">
      <c r="A745" s="43" t="s">
        <v>5602</v>
      </c>
      <c r="B745" s="44" t="s">
        <v>157</v>
      </c>
      <c r="C745" s="54"/>
      <c r="D745" s="10" t="s">
        <v>29</v>
      </c>
      <c r="E745" s="11"/>
      <c r="F745" s="11" t="s">
        <v>18</v>
      </c>
      <c r="G745" s="13"/>
      <c r="H745" s="45" t="s">
        <v>16</v>
      </c>
      <c r="I745" s="47"/>
      <c r="J745" s="12" t="s">
        <v>5493</v>
      </c>
      <c r="K745" s="13" t="s">
        <v>7545</v>
      </c>
      <c r="L745" s="99" t="str">
        <f t="shared" si="44"/>
        <v>W222B.6</v>
      </c>
      <c r="M745" s="13" t="s">
        <v>17</v>
      </c>
      <c r="N745" s="13"/>
      <c r="O745" s="13"/>
      <c r="P745" s="47"/>
      <c r="Q745" s="45" t="s">
        <v>3672</v>
      </c>
      <c r="R745" s="45" t="s">
        <v>5553</v>
      </c>
      <c r="S745" s="48"/>
      <c r="T745" s="49" t="str">
        <f t="shared" si="43"/>
        <v>[W222B.6]</v>
      </c>
      <c r="U745" s="12" t="str">
        <f t="shared" si="46"/>
        <v xml:space="preserve"> 가스켓 센터링 X1축(SD260) 엔코더 이상이 검출되었습니다.</v>
      </c>
      <c r="V745" s="49" t="str">
        <f t="shared" si="45"/>
        <v>[W222B.6] 가스켓 센터링 X1축(SD260) 엔코더 이상이 검출되었습니다.</v>
      </c>
    </row>
    <row r="746" spans="1:22" s="49" customFormat="1" ht="14.15" customHeight="1">
      <c r="A746" s="43" t="s">
        <v>5602</v>
      </c>
      <c r="B746" s="44" t="s">
        <v>157</v>
      </c>
      <c r="C746" s="54"/>
      <c r="D746" s="10" t="s">
        <v>29</v>
      </c>
      <c r="E746" s="11"/>
      <c r="F746" s="11" t="s">
        <v>18</v>
      </c>
      <c r="G746" s="13"/>
      <c r="H746" s="45" t="s">
        <v>16</v>
      </c>
      <c r="I746" s="47"/>
      <c r="J746" s="12" t="s">
        <v>5494</v>
      </c>
      <c r="K746" s="13" t="s">
        <v>7546</v>
      </c>
      <c r="L746" s="99" t="str">
        <f t="shared" si="44"/>
        <v>W222B.7</v>
      </c>
      <c r="M746" s="13" t="s">
        <v>17</v>
      </c>
      <c r="N746" s="13"/>
      <c r="O746" s="13"/>
      <c r="P746" s="47"/>
      <c r="Q746" s="45" t="s">
        <v>3672</v>
      </c>
      <c r="R746" s="45" t="s">
        <v>5553</v>
      </c>
      <c r="S746" s="48"/>
      <c r="T746" s="49" t="str">
        <f t="shared" si="43"/>
        <v>[W222B.7]</v>
      </c>
      <c r="U746" s="12" t="str">
        <f t="shared" si="46"/>
        <v xml:space="preserve"> 가스켓 센터링 X1축(SD260) 과전류가 검출되었습니다.</v>
      </c>
      <c r="V746" s="49" t="str">
        <f t="shared" si="45"/>
        <v>[W222B.7] 가스켓 센터링 X1축(SD260) 과전류가 검출되었습니다.</v>
      </c>
    </row>
    <row r="747" spans="1:22" s="49" customFormat="1" ht="14.15" customHeight="1">
      <c r="A747" s="43" t="s">
        <v>5602</v>
      </c>
      <c r="B747" s="44" t="s">
        <v>157</v>
      </c>
      <c r="C747" s="54"/>
      <c r="D747" s="10" t="s">
        <v>29</v>
      </c>
      <c r="E747" s="11"/>
      <c r="F747" s="11" t="s">
        <v>18</v>
      </c>
      <c r="G747" s="13"/>
      <c r="H747" s="45" t="s">
        <v>16</v>
      </c>
      <c r="I747" s="47"/>
      <c r="J747" s="12" t="s">
        <v>5495</v>
      </c>
      <c r="K747" s="13" t="s">
        <v>7547</v>
      </c>
      <c r="L747" s="99" t="str">
        <f t="shared" si="44"/>
        <v>W222B.8</v>
      </c>
      <c r="M747" s="13" t="s">
        <v>17</v>
      </c>
      <c r="N747" s="13"/>
      <c r="O747" s="13"/>
      <c r="P747" s="47"/>
      <c r="Q747" s="45" t="s">
        <v>3672</v>
      </c>
      <c r="R747" s="45" t="s">
        <v>5553</v>
      </c>
      <c r="S747" s="48"/>
      <c r="T747" s="49" t="str">
        <f t="shared" si="43"/>
        <v>[W222B.8]</v>
      </c>
      <c r="U747" s="12" t="str">
        <f t="shared" si="46"/>
        <v xml:space="preserve"> 가스켓 센터링 X1축(SD260) 과부하가 검출되었습니다.</v>
      </c>
      <c r="V747" s="49" t="str">
        <f t="shared" si="45"/>
        <v>[W222B.8] 가스켓 센터링 X1축(SD260) 과부하가 검출되었습니다.</v>
      </c>
    </row>
    <row r="748" spans="1:22" s="49" customFormat="1" ht="14.15" customHeight="1">
      <c r="A748" s="43" t="s">
        <v>5602</v>
      </c>
      <c r="B748" s="44" t="s">
        <v>157</v>
      </c>
      <c r="C748" s="54"/>
      <c r="D748" s="10" t="s">
        <v>29</v>
      </c>
      <c r="E748" s="11"/>
      <c r="F748" s="11" t="s">
        <v>18</v>
      </c>
      <c r="G748" s="13"/>
      <c r="H748" s="45" t="s">
        <v>16</v>
      </c>
      <c r="I748" s="47"/>
      <c r="J748" s="12" t="s">
        <v>5496</v>
      </c>
      <c r="K748" s="13" t="s">
        <v>7548</v>
      </c>
      <c r="L748" s="99" t="str">
        <f t="shared" si="44"/>
        <v>W222B.9</v>
      </c>
      <c r="M748" s="13" t="s">
        <v>17</v>
      </c>
      <c r="N748" s="13"/>
      <c r="O748" s="13"/>
      <c r="P748" s="47"/>
      <c r="Q748" s="45" t="s">
        <v>3672</v>
      </c>
      <c r="R748" s="45" t="s">
        <v>5553</v>
      </c>
      <c r="S748" s="48"/>
      <c r="T748" s="49" t="str">
        <f t="shared" si="43"/>
        <v>[W222B.9]</v>
      </c>
      <c r="U748" s="12" t="str">
        <f t="shared" si="46"/>
        <v xml:space="preserve"> 가스켓 센터링 X1축(SD260)</v>
      </c>
      <c r="V748" s="49" t="str">
        <f t="shared" si="45"/>
        <v>[W222B.9] 가스켓 센터링 X1축(SD260)</v>
      </c>
    </row>
    <row r="749" spans="1:22" s="49" customFormat="1" ht="14.15" customHeight="1">
      <c r="A749" s="43" t="s">
        <v>5602</v>
      </c>
      <c r="B749" s="44" t="s">
        <v>157</v>
      </c>
      <c r="C749" s="54"/>
      <c r="D749" s="10" t="s">
        <v>29</v>
      </c>
      <c r="E749" s="11"/>
      <c r="F749" s="11" t="s">
        <v>18</v>
      </c>
      <c r="G749" s="13"/>
      <c r="H749" s="45" t="s">
        <v>16</v>
      </c>
      <c r="I749" s="47"/>
      <c r="J749" s="12" t="s">
        <v>5497</v>
      </c>
      <c r="K749" s="13" t="s">
        <v>7549</v>
      </c>
      <c r="L749" s="99" t="str">
        <f t="shared" si="44"/>
        <v>W222B.A</v>
      </c>
      <c r="M749" s="13" t="s">
        <v>17</v>
      </c>
      <c r="N749" s="13"/>
      <c r="O749" s="13"/>
      <c r="P749" s="47"/>
      <c r="Q749" s="45" t="s">
        <v>3672</v>
      </c>
      <c r="R749" s="45" t="s">
        <v>5553</v>
      </c>
      <c r="S749" s="48"/>
      <c r="T749" s="49" t="str">
        <f t="shared" si="43"/>
        <v>[W222B.A]</v>
      </c>
      <c r="U749" s="12" t="str">
        <f t="shared" si="46"/>
        <v xml:space="preserve"> 가스켓 센터링 X1축(SD260) 에러가 발생했습니다.</v>
      </c>
      <c r="V749" s="49" t="str">
        <f t="shared" si="45"/>
        <v>[W222B.A] 가스켓 센터링 X1축(SD260) 에러가 발생했습니다.</v>
      </c>
    </row>
    <row r="750" spans="1:22" s="49" customFormat="1" ht="14.15" customHeight="1">
      <c r="A750" s="43" t="s">
        <v>5603</v>
      </c>
      <c r="B750" s="44" t="s">
        <v>157</v>
      </c>
      <c r="C750" s="54"/>
      <c r="D750" s="10" t="s">
        <v>29</v>
      </c>
      <c r="E750" s="11"/>
      <c r="F750" s="11" t="s">
        <v>18</v>
      </c>
      <c r="G750" s="13"/>
      <c r="H750" s="45" t="s">
        <v>16</v>
      </c>
      <c r="I750" s="47"/>
      <c r="J750" s="12" t="s">
        <v>5498</v>
      </c>
      <c r="K750" s="13" t="s">
        <v>7550</v>
      </c>
      <c r="L750" s="99" t="str">
        <f t="shared" si="44"/>
        <v>W222B.B</v>
      </c>
      <c r="M750" s="13" t="s">
        <v>17</v>
      </c>
      <c r="N750" s="13"/>
      <c r="O750" s="13"/>
      <c r="P750" s="47"/>
      <c r="Q750" s="45" t="s">
        <v>3672</v>
      </c>
      <c r="R750" s="45" t="s">
        <v>5553</v>
      </c>
      <c r="S750" s="48"/>
      <c r="T750" s="49" t="str">
        <f t="shared" si="43"/>
        <v>[W222B.B]</v>
      </c>
      <c r="U750" s="12" t="str">
        <f t="shared" si="46"/>
        <v xml:space="preserve"> 가스켓 센터링 X2축(SD261) 운전중에 Ready가 Off 되었습니다.</v>
      </c>
      <c r="V750" s="49" t="str">
        <f t="shared" si="45"/>
        <v>[W222B.B] 가스켓 센터링 X2축(SD261) 운전중에 Ready가 Off 되었습니다.</v>
      </c>
    </row>
    <row r="751" spans="1:22" s="49" customFormat="1" ht="14.15" customHeight="1">
      <c r="A751" s="43" t="s">
        <v>5603</v>
      </c>
      <c r="B751" s="44" t="s">
        <v>157</v>
      </c>
      <c r="C751" s="54"/>
      <c r="D751" s="10" t="s">
        <v>29</v>
      </c>
      <c r="E751" s="11"/>
      <c r="F751" s="11" t="s">
        <v>18</v>
      </c>
      <c r="G751" s="13"/>
      <c r="H751" s="45" t="s">
        <v>16</v>
      </c>
      <c r="I751" s="47"/>
      <c r="J751" s="12" t="s">
        <v>5499</v>
      </c>
      <c r="K751" s="13" t="s">
        <v>7551</v>
      </c>
      <c r="L751" s="99" t="str">
        <f t="shared" si="44"/>
        <v>W222B.C</v>
      </c>
      <c r="M751" s="13" t="s">
        <v>17</v>
      </c>
      <c r="N751" s="13"/>
      <c r="O751" s="13"/>
      <c r="P751" s="47"/>
      <c r="Q751" s="45" t="s">
        <v>3672</v>
      </c>
      <c r="R751" s="45" t="s">
        <v>5553</v>
      </c>
      <c r="S751" s="48"/>
      <c r="T751" s="49" t="str">
        <f t="shared" si="43"/>
        <v>[W222B.C]</v>
      </c>
      <c r="U751" s="12" t="str">
        <f t="shared" si="46"/>
        <v xml:space="preserve"> 가스켓 센터링 X2축(SD261) FLS가 감지되었습니다.</v>
      </c>
      <c r="V751" s="49" t="str">
        <f t="shared" si="45"/>
        <v>[W222B.C] 가스켓 센터링 X2축(SD261) FLS가 감지되었습니다.</v>
      </c>
    </row>
    <row r="752" spans="1:22" s="49" customFormat="1" ht="14.15" customHeight="1">
      <c r="A752" s="43" t="s">
        <v>5603</v>
      </c>
      <c r="B752" s="44" t="s">
        <v>157</v>
      </c>
      <c r="C752" s="54"/>
      <c r="D752" s="10" t="s">
        <v>29</v>
      </c>
      <c r="E752" s="11"/>
      <c r="F752" s="11" t="s">
        <v>18</v>
      </c>
      <c r="G752" s="13"/>
      <c r="H752" s="45" t="s">
        <v>16</v>
      </c>
      <c r="I752" s="47"/>
      <c r="J752" s="12" t="s">
        <v>5500</v>
      </c>
      <c r="K752" s="13" t="s">
        <v>7552</v>
      </c>
      <c r="L752" s="99" t="str">
        <f t="shared" si="44"/>
        <v>W222B.D</v>
      </c>
      <c r="M752" s="13" t="s">
        <v>17</v>
      </c>
      <c r="N752" s="13"/>
      <c r="O752" s="13"/>
      <c r="P752" s="47"/>
      <c r="Q752" s="45" t="s">
        <v>3672</v>
      </c>
      <c r="R752" s="45" t="s">
        <v>5553</v>
      </c>
      <c r="S752" s="48"/>
      <c r="T752" s="49" t="str">
        <f t="shared" si="43"/>
        <v>[W222B.D]</v>
      </c>
      <c r="U752" s="12" t="str">
        <f t="shared" si="46"/>
        <v xml:space="preserve"> 가스켓 센터링 X2축(SD261) RLS가 감지되었습니다.</v>
      </c>
      <c r="V752" s="49" t="str">
        <f t="shared" si="45"/>
        <v>[W222B.D] 가스켓 센터링 X2축(SD261) RLS가 감지되었습니다.</v>
      </c>
    </row>
    <row r="753" spans="1:22" s="49" customFormat="1" ht="14.15" customHeight="1">
      <c r="A753" s="43" t="s">
        <v>5603</v>
      </c>
      <c r="B753" s="44" t="s">
        <v>157</v>
      </c>
      <c r="C753" s="54"/>
      <c r="D753" s="10" t="s">
        <v>29</v>
      </c>
      <c r="E753" s="11"/>
      <c r="F753" s="11" t="s">
        <v>18</v>
      </c>
      <c r="G753" s="13"/>
      <c r="H753" s="45" t="s">
        <v>16</v>
      </c>
      <c r="I753" s="47"/>
      <c r="J753" s="12" t="s">
        <v>5501</v>
      </c>
      <c r="K753" s="13" t="s">
        <v>7553</v>
      </c>
      <c r="L753" s="99" t="str">
        <f t="shared" si="44"/>
        <v>W222B.E</v>
      </c>
      <c r="M753" s="13" t="s">
        <v>17</v>
      </c>
      <c r="N753" s="13"/>
      <c r="O753" s="13"/>
      <c r="P753" s="47"/>
      <c r="Q753" s="45" t="s">
        <v>3672</v>
      </c>
      <c r="R753" s="45" t="s">
        <v>5553</v>
      </c>
      <c r="S753" s="48"/>
      <c r="T753" s="49" t="str">
        <f t="shared" si="43"/>
        <v>[W222B.E]</v>
      </c>
      <c r="U753" s="12" t="str">
        <f t="shared" si="46"/>
        <v xml:space="preserve"> 가스켓 센터링 X2축(SD261) Stop 명령이 On된 상태에서 기동을 시도했습니다.</v>
      </c>
      <c r="V753" s="49" t="str">
        <f t="shared" si="45"/>
        <v>[W222B.E] 가스켓 센터링 X2축(SD261) Stop 명령이 On된 상태에서 기동을 시도했습니다.</v>
      </c>
    </row>
    <row r="754" spans="1:22" s="49" customFormat="1" ht="14.15" customHeight="1">
      <c r="A754" s="43" t="s">
        <v>5603</v>
      </c>
      <c r="B754" s="44" t="s">
        <v>157</v>
      </c>
      <c r="C754" s="54"/>
      <c r="D754" s="10" t="s">
        <v>29</v>
      </c>
      <c r="E754" s="11"/>
      <c r="F754" s="11" t="s">
        <v>18</v>
      </c>
      <c r="G754" s="13"/>
      <c r="H754" s="45" t="s">
        <v>16</v>
      </c>
      <c r="I754" s="47"/>
      <c r="J754" s="12" t="s">
        <v>5502</v>
      </c>
      <c r="K754" s="13" t="s">
        <v>7554</v>
      </c>
      <c r="L754" s="99" t="str">
        <f t="shared" si="44"/>
        <v>W222B.F</v>
      </c>
      <c r="M754" s="13" t="s">
        <v>17</v>
      </c>
      <c r="N754" s="13"/>
      <c r="O754" s="13"/>
      <c r="P754" s="47"/>
      <c r="Q754" s="45" t="s">
        <v>3672</v>
      </c>
      <c r="R754" s="45" t="s">
        <v>5553</v>
      </c>
      <c r="S754" s="48"/>
      <c r="T754" s="49" t="str">
        <f t="shared" si="43"/>
        <v>[W222B.F]</v>
      </c>
      <c r="U754" s="12" t="str">
        <f t="shared" si="46"/>
        <v xml:space="preserve"> 가스켓 센터링 X2축(SD261) 가동 전원이 Off 되었습니다.</v>
      </c>
      <c r="V754" s="49" t="str">
        <f t="shared" si="45"/>
        <v>[W222B.F] 가스켓 센터링 X2축(SD261) 가동 전원이 Off 되었습니다.</v>
      </c>
    </row>
    <row r="755" spans="1:22" s="49" customFormat="1" ht="14.15" customHeight="1">
      <c r="A755" s="43" t="s">
        <v>5603</v>
      </c>
      <c r="B755" s="44" t="s">
        <v>157</v>
      </c>
      <c r="C755" s="54"/>
      <c r="D755" s="10" t="s">
        <v>29</v>
      </c>
      <c r="E755" s="11"/>
      <c r="F755" s="11" t="s">
        <v>18</v>
      </c>
      <c r="G755" s="13"/>
      <c r="H755" s="45" t="s">
        <v>16</v>
      </c>
      <c r="I755" s="47"/>
      <c r="J755" s="12" t="s">
        <v>5503</v>
      </c>
      <c r="K755" s="13" t="s">
        <v>7555</v>
      </c>
      <c r="L755" s="99" t="str">
        <f t="shared" si="44"/>
        <v>W222C.0</v>
      </c>
      <c r="M755" s="13" t="s">
        <v>17</v>
      </c>
      <c r="N755" s="13"/>
      <c r="O755" s="13"/>
      <c r="P755" s="47"/>
      <c r="Q755" s="45" t="s">
        <v>3672</v>
      </c>
      <c r="R755" s="45" t="s">
        <v>5553</v>
      </c>
      <c r="S755" s="48"/>
      <c r="T755" s="49" t="str">
        <f t="shared" ref="T755:T818" si="47">"["&amp;L755&amp;"]"</f>
        <v>[W222C.0]</v>
      </c>
      <c r="U755" s="12" t="str">
        <f t="shared" si="46"/>
        <v xml:space="preserve"> 가스켓 센터링 X2축(SD261) 엔코더 이상이 검출되었습니다.</v>
      </c>
      <c r="V755" s="49" t="str">
        <f t="shared" si="45"/>
        <v>[W222C.0] 가스켓 센터링 X2축(SD261) 엔코더 이상이 검출되었습니다.</v>
      </c>
    </row>
    <row r="756" spans="1:22" s="49" customFormat="1" ht="14.15" customHeight="1">
      <c r="A756" s="43" t="s">
        <v>5603</v>
      </c>
      <c r="B756" s="44" t="s">
        <v>157</v>
      </c>
      <c r="C756" s="54"/>
      <c r="D756" s="10" t="s">
        <v>29</v>
      </c>
      <c r="E756" s="11"/>
      <c r="F756" s="11" t="s">
        <v>18</v>
      </c>
      <c r="G756" s="13"/>
      <c r="H756" s="45" t="s">
        <v>16</v>
      </c>
      <c r="I756" s="47"/>
      <c r="J756" s="12" t="s">
        <v>5504</v>
      </c>
      <c r="K756" s="13" t="s">
        <v>7556</v>
      </c>
      <c r="L756" s="99" t="str">
        <f t="shared" ref="L756:L819" si="48">"W"&amp;DEC2HEX(8704 + INT((ROW()-51)/16)) &amp; "." &amp; IF(MOD(ROW()-51,16)&lt;10,MOD(ROW()-51,16),CHAR(MOD(ROW()-51,16)+55))</f>
        <v>W222C.1</v>
      </c>
      <c r="M756" s="13" t="s">
        <v>17</v>
      </c>
      <c r="N756" s="13"/>
      <c r="O756" s="13"/>
      <c r="P756" s="47"/>
      <c r="Q756" s="45" t="s">
        <v>3672</v>
      </c>
      <c r="R756" s="45" t="s">
        <v>5553</v>
      </c>
      <c r="S756" s="48"/>
      <c r="T756" s="49" t="str">
        <f t="shared" si="47"/>
        <v>[W222C.1]</v>
      </c>
      <c r="U756" s="12" t="str">
        <f t="shared" si="46"/>
        <v xml:space="preserve"> 가스켓 센터링 X2축(SD261) 과전류가 검출되었습니다.</v>
      </c>
      <c r="V756" s="49" t="str">
        <f t="shared" ref="V756:V819" si="49">T756&amp;U756</f>
        <v>[W222C.1] 가스켓 센터링 X2축(SD261) 과전류가 검출되었습니다.</v>
      </c>
    </row>
    <row r="757" spans="1:22" s="49" customFormat="1" ht="14.15" customHeight="1">
      <c r="A757" s="43" t="s">
        <v>5603</v>
      </c>
      <c r="B757" s="44" t="s">
        <v>157</v>
      </c>
      <c r="C757" s="54"/>
      <c r="D757" s="10" t="s">
        <v>29</v>
      </c>
      <c r="E757" s="11"/>
      <c r="F757" s="11" t="s">
        <v>18</v>
      </c>
      <c r="G757" s="13"/>
      <c r="H757" s="45" t="s">
        <v>16</v>
      </c>
      <c r="I757" s="47"/>
      <c r="J757" s="12" t="s">
        <v>5505</v>
      </c>
      <c r="K757" s="13" t="s">
        <v>7557</v>
      </c>
      <c r="L757" s="99" t="str">
        <f t="shared" si="48"/>
        <v>W222C.2</v>
      </c>
      <c r="M757" s="13" t="s">
        <v>17</v>
      </c>
      <c r="N757" s="13"/>
      <c r="O757" s="13"/>
      <c r="P757" s="47"/>
      <c r="Q757" s="45" t="s">
        <v>3672</v>
      </c>
      <c r="R757" s="45" t="s">
        <v>5553</v>
      </c>
      <c r="S757" s="48"/>
      <c r="T757" s="49" t="str">
        <f t="shared" si="47"/>
        <v>[W222C.2]</v>
      </c>
      <c r="U757" s="12" t="str">
        <f t="shared" si="46"/>
        <v xml:space="preserve"> 가스켓 센터링 X2축(SD261) 과부하가 검출되었습니다.</v>
      </c>
      <c r="V757" s="49" t="str">
        <f t="shared" si="49"/>
        <v>[W222C.2] 가스켓 센터링 X2축(SD261) 과부하가 검출되었습니다.</v>
      </c>
    </row>
    <row r="758" spans="1:22" s="49" customFormat="1" ht="14.15" customHeight="1">
      <c r="A758" s="43" t="s">
        <v>5603</v>
      </c>
      <c r="B758" s="44" t="s">
        <v>157</v>
      </c>
      <c r="C758" s="54"/>
      <c r="D758" s="10" t="s">
        <v>29</v>
      </c>
      <c r="E758" s="11"/>
      <c r="F758" s="11" t="s">
        <v>18</v>
      </c>
      <c r="G758" s="13"/>
      <c r="H758" s="45" t="s">
        <v>16</v>
      </c>
      <c r="I758" s="47"/>
      <c r="J758" s="12" t="s">
        <v>5506</v>
      </c>
      <c r="K758" s="13" t="s">
        <v>7558</v>
      </c>
      <c r="L758" s="99" t="str">
        <f t="shared" si="48"/>
        <v>W222C.3</v>
      </c>
      <c r="M758" s="13" t="s">
        <v>17</v>
      </c>
      <c r="N758" s="13"/>
      <c r="O758" s="13"/>
      <c r="P758" s="47"/>
      <c r="Q758" s="45" t="s">
        <v>3672</v>
      </c>
      <c r="R758" s="45" t="s">
        <v>5553</v>
      </c>
      <c r="S758" s="48"/>
      <c r="T758" s="49" t="str">
        <f t="shared" si="47"/>
        <v>[W222C.3]</v>
      </c>
      <c r="U758" s="12" t="str">
        <f t="shared" si="46"/>
        <v xml:space="preserve"> 가스켓 센터링 X2축(SD261)</v>
      </c>
      <c r="V758" s="49" t="str">
        <f t="shared" si="49"/>
        <v>[W222C.3] 가스켓 센터링 X2축(SD261)</v>
      </c>
    </row>
    <row r="759" spans="1:22" s="49" customFormat="1" ht="14.15" customHeight="1">
      <c r="A759" s="43" t="s">
        <v>5603</v>
      </c>
      <c r="B759" s="44" t="s">
        <v>157</v>
      </c>
      <c r="C759" s="54"/>
      <c r="D759" s="10" t="s">
        <v>29</v>
      </c>
      <c r="E759" s="11"/>
      <c r="F759" s="11" t="s">
        <v>18</v>
      </c>
      <c r="G759" s="13"/>
      <c r="H759" s="45" t="s">
        <v>16</v>
      </c>
      <c r="I759" s="47"/>
      <c r="J759" s="12" t="s">
        <v>5507</v>
      </c>
      <c r="K759" s="13" t="s">
        <v>7559</v>
      </c>
      <c r="L759" s="99" t="str">
        <f t="shared" si="48"/>
        <v>W222C.4</v>
      </c>
      <c r="M759" s="13" t="s">
        <v>17</v>
      </c>
      <c r="N759" s="13"/>
      <c r="O759" s="13"/>
      <c r="P759" s="47"/>
      <c r="Q759" s="45" t="s">
        <v>3672</v>
      </c>
      <c r="R759" s="45" t="s">
        <v>5553</v>
      </c>
      <c r="S759" s="48"/>
      <c r="T759" s="49" t="str">
        <f t="shared" si="47"/>
        <v>[W222C.4]</v>
      </c>
      <c r="U759" s="12" t="str">
        <f t="shared" si="46"/>
        <v xml:space="preserve"> 가스켓 센터링 X2축(SD261) 에러가 발생했습니다.</v>
      </c>
      <c r="V759" s="49" t="str">
        <f t="shared" si="49"/>
        <v>[W222C.4] 가스켓 센터링 X2축(SD261) 에러가 발생했습니다.</v>
      </c>
    </row>
    <row r="760" spans="1:22" s="49" customFormat="1" ht="14.15" customHeight="1">
      <c r="A760" s="43" t="s">
        <v>5603</v>
      </c>
      <c r="B760" s="44" t="s">
        <v>157</v>
      </c>
      <c r="C760" s="54"/>
      <c r="D760" s="10" t="s">
        <v>29</v>
      </c>
      <c r="E760" s="11"/>
      <c r="F760" s="11" t="s">
        <v>18</v>
      </c>
      <c r="G760" s="13"/>
      <c r="H760" s="45" t="s">
        <v>16</v>
      </c>
      <c r="I760" s="47"/>
      <c r="J760" s="12" t="s">
        <v>5508</v>
      </c>
      <c r="K760" s="13" t="s">
        <v>7560</v>
      </c>
      <c r="L760" s="99" t="str">
        <f t="shared" si="48"/>
        <v>W222C.5</v>
      </c>
      <c r="M760" s="13" t="s">
        <v>17</v>
      </c>
      <c r="N760" s="13"/>
      <c r="O760" s="13"/>
      <c r="P760" s="47"/>
      <c r="Q760" s="45" t="s">
        <v>3672</v>
      </c>
      <c r="R760" s="45" t="s">
        <v>5553</v>
      </c>
      <c r="S760" s="48"/>
      <c r="T760" s="49" t="str">
        <f t="shared" si="47"/>
        <v>[W222C.5]</v>
      </c>
      <c r="U760" s="12" t="str">
        <f t="shared" ref="U760:U823" si="50">RIGHT(J760,LEN(J760)-7)</f>
        <v xml:space="preserve"> 가스켓 센터링 X3축(SD262) 운전중에 Ready가 Off 되었습니다.</v>
      </c>
      <c r="V760" s="49" t="str">
        <f t="shared" si="49"/>
        <v>[W222C.5] 가스켓 센터링 X3축(SD262) 운전중에 Ready가 Off 되었습니다.</v>
      </c>
    </row>
    <row r="761" spans="1:22" s="49" customFormat="1" ht="14.15" customHeight="1">
      <c r="A761" s="43" t="s">
        <v>5603</v>
      </c>
      <c r="B761" s="44" t="s">
        <v>157</v>
      </c>
      <c r="C761" s="54"/>
      <c r="D761" s="10" t="s">
        <v>29</v>
      </c>
      <c r="E761" s="11"/>
      <c r="F761" s="11" t="s">
        <v>18</v>
      </c>
      <c r="G761" s="13"/>
      <c r="H761" s="45" t="s">
        <v>16</v>
      </c>
      <c r="I761" s="47"/>
      <c r="J761" s="12" t="s">
        <v>5509</v>
      </c>
      <c r="K761" s="13" t="s">
        <v>7561</v>
      </c>
      <c r="L761" s="99" t="str">
        <f t="shared" si="48"/>
        <v>W222C.6</v>
      </c>
      <c r="M761" s="13" t="s">
        <v>17</v>
      </c>
      <c r="N761" s="13"/>
      <c r="O761" s="13"/>
      <c r="P761" s="47"/>
      <c r="Q761" s="45" t="s">
        <v>3672</v>
      </c>
      <c r="R761" s="45" t="s">
        <v>5553</v>
      </c>
      <c r="S761" s="48"/>
      <c r="T761" s="49" t="str">
        <f t="shared" si="47"/>
        <v>[W222C.6]</v>
      </c>
      <c r="U761" s="12" t="str">
        <f t="shared" si="50"/>
        <v xml:space="preserve"> 가스켓 센터링 X3축(SD262) FLS가 감지되었습니다.</v>
      </c>
      <c r="V761" s="49" t="str">
        <f t="shared" si="49"/>
        <v>[W222C.6] 가스켓 센터링 X3축(SD262) FLS가 감지되었습니다.</v>
      </c>
    </row>
    <row r="762" spans="1:22" s="49" customFormat="1" ht="14.15" customHeight="1">
      <c r="A762" s="43" t="s">
        <v>5603</v>
      </c>
      <c r="B762" s="44" t="s">
        <v>157</v>
      </c>
      <c r="C762" s="54"/>
      <c r="D762" s="10" t="s">
        <v>29</v>
      </c>
      <c r="E762" s="11"/>
      <c r="F762" s="11" t="s">
        <v>18</v>
      </c>
      <c r="G762" s="13"/>
      <c r="H762" s="45" t="s">
        <v>16</v>
      </c>
      <c r="I762" s="47"/>
      <c r="J762" s="12" t="s">
        <v>5510</v>
      </c>
      <c r="K762" s="13" t="s">
        <v>7562</v>
      </c>
      <c r="L762" s="99" t="str">
        <f t="shared" si="48"/>
        <v>W222C.7</v>
      </c>
      <c r="M762" s="13" t="s">
        <v>17</v>
      </c>
      <c r="N762" s="13"/>
      <c r="O762" s="13"/>
      <c r="P762" s="47"/>
      <c r="Q762" s="45" t="s">
        <v>3672</v>
      </c>
      <c r="R762" s="45" t="s">
        <v>5553</v>
      </c>
      <c r="S762" s="48"/>
      <c r="T762" s="49" t="str">
        <f t="shared" si="47"/>
        <v>[W222C.7]</v>
      </c>
      <c r="U762" s="12" t="str">
        <f t="shared" si="50"/>
        <v xml:space="preserve"> 가스켓 센터링 X3축(SD262) RLS가 감지되었습니다.</v>
      </c>
      <c r="V762" s="49" t="str">
        <f t="shared" si="49"/>
        <v>[W222C.7] 가스켓 센터링 X3축(SD262) RLS가 감지되었습니다.</v>
      </c>
    </row>
    <row r="763" spans="1:22" s="49" customFormat="1" ht="14.15" customHeight="1">
      <c r="A763" s="43" t="s">
        <v>5603</v>
      </c>
      <c r="B763" s="44" t="s">
        <v>157</v>
      </c>
      <c r="C763" s="54"/>
      <c r="D763" s="10" t="s">
        <v>29</v>
      </c>
      <c r="E763" s="11"/>
      <c r="F763" s="11" t="s">
        <v>18</v>
      </c>
      <c r="G763" s="13"/>
      <c r="H763" s="45" t="s">
        <v>16</v>
      </c>
      <c r="I763" s="47"/>
      <c r="J763" s="12" t="s">
        <v>5511</v>
      </c>
      <c r="K763" s="13" t="s">
        <v>7563</v>
      </c>
      <c r="L763" s="99" t="str">
        <f t="shared" si="48"/>
        <v>W222C.8</v>
      </c>
      <c r="M763" s="13" t="s">
        <v>17</v>
      </c>
      <c r="N763" s="13"/>
      <c r="O763" s="13"/>
      <c r="P763" s="47"/>
      <c r="Q763" s="45" t="s">
        <v>3672</v>
      </c>
      <c r="R763" s="45" t="s">
        <v>5553</v>
      </c>
      <c r="S763" s="48"/>
      <c r="T763" s="49" t="str">
        <f t="shared" si="47"/>
        <v>[W222C.8]</v>
      </c>
      <c r="U763" s="12" t="str">
        <f t="shared" si="50"/>
        <v xml:space="preserve"> 가스켓 센터링 X3축(SD262) Stop 명령이 On된 상태에서 기동을 시도했습니다.</v>
      </c>
      <c r="V763" s="49" t="str">
        <f t="shared" si="49"/>
        <v>[W222C.8] 가스켓 센터링 X3축(SD262) Stop 명령이 On된 상태에서 기동을 시도했습니다.</v>
      </c>
    </row>
    <row r="764" spans="1:22" s="49" customFormat="1" ht="14.15" customHeight="1">
      <c r="A764" s="43" t="s">
        <v>5603</v>
      </c>
      <c r="B764" s="44" t="s">
        <v>157</v>
      </c>
      <c r="C764" s="54"/>
      <c r="D764" s="10" t="s">
        <v>29</v>
      </c>
      <c r="E764" s="11"/>
      <c r="F764" s="11" t="s">
        <v>18</v>
      </c>
      <c r="G764" s="13"/>
      <c r="H764" s="45" t="s">
        <v>16</v>
      </c>
      <c r="I764" s="47"/>
      <c r="J764" s="12" t="s">
        <v>5512</v>
      </c>
      <c r="K764" s="13" t="s">
        <v>7564</v>
      </c>
      <c r="L764" s="99" t="str">
        <f t="shared" si="48"/>
        <v>W222C.9</v>
      </c>
      <c r="M764" s="13" t="s">
        <v>17</v>
      </c>
      <c r="N764" s="13"/>
      <c r="O764" s="13"/>
      <c r="P764" s="47"/>
      <c r="Q764" s="45" t="s">
        <v>3672</v>
      </c>
      <c r="R764" s="45" t="s">
        <v>5553</v>
      </c>
      <c r="S764" s="48"/>
      <c r="T764" s="49" t="str">
        <f t="shared" si="47"/>
        <v>[W222C.9]</v>
      </c>
      <c r="U764" s="12" t="str">
        <f t="shared" si="50"/>
        <v xml:space="preserve"> 가스켓 센터링 X3축(SD262) 가동 전원이 Off 되었습니다.</v>
      </c>
      <c r="V764" s="49" t="str">
        <f t="shared" si="49"/>
        <v>[W222C.9] 가스켓 센터링 X3축(SD262) 가동 전원이 Off 되었습니다.</v>
      </c>
    </row>
    <row r="765" spans="1:22" s="49" customFormat="1" ht="14.15" customHeight="1">
      <c r="A765" s="43" t="s">
        <v>5603</v>
      </c>
      <c r="B765" s="44" t="s">
        <v>157</v>
      </c>
      <c r="C765" s="54"/>
      <c r="D765" s="10" t="s">
        <v>29</v>
      </c>
      <c r="E765" s="11"/>
      <c r="F765" s="11" t="s">
        <v>18</v>
      </c>
      <c r="G765" s="13"/>
      <c r="H765" s="45" t="s">
        <v>16</v>
      </c>
      <c r="I765" s="47"/>
      <c r="J765" s="12" t="s">
        <v>5513</v>
      </c>
      <c r="K765" s="13" t="s">
        <v>7565</v>
      </c>
      <c r="L765" s="99" t="str">
        <f t="shared" si="48"/>
        <v>W222C.A</v>
      </c>
      <c r="M765" s="13" t="s">
        <v>17</v>
      </c>
      <c r="N765" s="13"/>
      <c r="O765" s="13"/>
      <c r="P765" s="47"/>
      <c r="Q765" s="45" t="s">
        <v>3672</v>
      </c>
      <c r="R765" s="45" t="s">
        <v>5553</v>
      </c>
      <c r="S765" s="48"/>
      <c r="T765" s="49" t="str">
        <f t="shared" si="47"/>
        <v>[W222C.A]</v>
      </c>
      <c r="U765" s="12" t="str">
        <f t="shared" si="50"/>
        <v xml:space="preserve"> 가스켓 센터링 X3축(SD262) 엔코더 이상이 검출되었습니다.</v>
      </c>
      <c r="V765" s="49" t="str">
        <f t="shared" si="49"/>
        <v>[W222C.A] 가스켓 센터링 X3축(SD262) 엔코더 이상이 검출되었습니다.</v>
      </c>
    </row>
    <row r="766" spans="1:22" s="49" customFormat="1" ht="14.15" customHeight="1">
      <c r="A766" s="43" t="s">
        <v>5603</v>
      </c>
      <c r="B766" s="44" t="s">
        <v>157</v>
      </c>
      <c r="C766" s="54"/>
      <c r="D766" s="10" t="s">
        <v>29</v>
      </c>
      <c r="E766" s="11"/>
      <c r="F766" s="11" t="s">
        <v>18</v>
      </c>
      <c r="G766" s="13"/>
      <c r="H766" s="45" t="s">
        <v>16</v>
      </c>
      <c r="I766" s="47"/>
      <c r="J766" s="12" t="s">
        <v>5514</v>
      </c>
      <c r="K766" s="13" t="s">
        <v>7566</v>
      </c>
      <c r="L766" s="99" t="str">
        <f t="shared" si="48"/>
        <v>W222C.B</v>
      </c>
      <c r="M766" s="13" t="s">
        <v>17</v>
      </c>
      <c r="N766" s="13"/>
      <c r="O766" s="13"/>
      <c r="P766" s="47"/>
      <c r="Q766" s="45" t="s">
        <v>3672</v>
      </c>
      <c r="R766" s="45" t="s">
        <v>5553</v>
      </c>
      <c r="S766" s="48"/>
      <c r="T766" s="49" t="str">
        <f t="shared" si="47"/>
        <v>[W222C.B]</v>
      </c>
      <c r="U766" s="12" t="str">
        <f t="shared" si="50"/>
        <v xml:space="preserve"> 가스켓 센터링 X3축(SD262) 과전류가 검출되었습니다.</v>
      </c>
      <c r="V766" s="49" t="str">
        <f t="shared" si="49"/>
        <v>[W222C.B] 가스켓 센터링 X3축(SD262) 과전류가 검출되었습니다.</v>
      </c>
    </row>
    <row r="767" spans="1:22" s="49" customFormat="1" ht="14.15" customHeight="1">
      <c r="A767" s="43" t="s">
        <v>5603</v>
      </c>
      <c r="B767" s="44" t="s">
        <v>157</v>
      </c>
      <c r="C767" s="54"/>
      <c r="D767" s="10" t="s">
        <v>29</v>
      </c>
      <c r="E767" s="11"/>
      <c r="F767" s="11" t="s">
        <v>18</v>
      </c>
      <c r="G767" s="13"/>
      <c r="H767" s="45" t="s">
        <v>16</v>
      </c>
      <c r="I767" s="47"/>
      <c r="J767" s="12" t="s">
        <v>5515</v>
      </c>
      <c r="K767" s="13" t="s">
        <v>7567</v>
      </c>
      <c r="L767" s="99" t="str">
        <f t="shared" si="48"/>
        <v>W222C.C</v>
      </c>
      <c r="M767" s="13" t="s">
        <v>17</v>
      </c>
      <c r="N767" s="13"/>
      <c r="O767" s="13"/>
      <c r="P767" s="47"/>
      <c r="Q767" s="45" t="s">
        <v>3672</v>
      </c>
      <c r="R767" s="45" t="s">
        <v>5553</v>
      </c>
      <c r="S767" s="48"/>
      <c r="T767" s="49" t="str">
        <f t="shared" si="47"/>
        <v>[W222C.C]</v>
      </c>
      <c r="U767" s="12" t="str">
        <f t="shared" si="50"/>
        <v xml:space="preserve"> 가스켓 센터링 X3축(SD262) 과부하가 검출되었습니다.</v>
      </c>
      <c r="V767" s="49" t="str">
        <f t="shared" si="49"/>
        <v>[W222C.C] 가스켓 센터링 X3축(SD262) 과부하가 검출되었습니다.</v>
      </c>
    </row>
    <row r="768" spans="1:22" s="49" customFormat="1" ht="14.15" customHeight="1">
      <c r="A768" s="43" t="s">
        <v>5603</v>
      </c>
      <c r="B768" s="44" t="s">
        <v>157</v>
      </c>
      <c r="C768" s="54"/>
      <c r="D768" s="10" t="s">
        <v>29</v>
      </c>
      <c r="E768" s="11"/>
      <c r="F768" s="11" t="s">
        <v>18</v>
      </c>
      <c r="G768" s="13"/>
      <c r="H768" s="45" t="s">
        <v>16</v>
      </c>
      <c r="I768" s="47"/>
      <c r="J768" s="12" t="s">
        <v>5516</v>
      </c>
      <c r="K768" s="13" t="s">
        <v>7568</v>
      </c>
      <c r="L768" s="99" t="str">
        <f t="shared" si="48"/>
        <v>W222C.D</v>
      </c>
      <c r="M768" s="13" t="s">
        <v>17</v>
      </c>
      <c r="N768" s="13"/>
      <c r="O768" s="13"/>
      <c r="P768" s="47"/>
      <c r="Q768" s="45" t="s">
        <v>3672</v>
      </c>
      <c r="R768" s="45" t="s">
        <v>5553</v>
      </c>
      <c r="S768" s="48"/>
      <c r="T768" s="49" t="str">
        <f t="shared" ref="T768:T777" si="51">"["&amp;L468&amp;"]"</f>
        <v>[W221A.1]</v>
      </c>
      <c r="U768" s="12" t="str">
        <f t="shared" ref="U768:U777" si="52">RIGHT(J468,LEN(J468)-7)</f>
        <v/>
      </c>
      <c r="V768" s="49" t="str">
        <f t="shared" ref="V768:V777" si="53">T468&amp;U468</f>
        <v>[W221A.1]</v>
      </c>
    </row>
    <row r="769" spans="1:22" s="49" customFormat="1" ht="14.15" customHeight="1">
      <c r="A769" s="43" t="s">
        <v>5603</v>
      </c>
      <c r="B769" s="44" t="s">
        <v>157</v>
      </c>
      <c r="C769" s="54"/>
      <c r="D769" s="10" t="s">
        <v>29</v>
      </c>
      <c r="E769" s="11"/>
      <c r="F769" s="11" t="s">
        <v>18</v>
      </c>
      <c r="G769" s="13"/>
      <c r="H769" s="45" t="s">
        <v>16</v>
      </c>
      <c r="I769" s="47"/>
      <c r="J769" s="12" t="s">
        <v>5517</v>
      </c>
      <c r="K769" s="13" t="s">
        <v>7569</v>
      </c>
      <c r="L769" s="99" t="str">
        <f t="shared" si="48"/>
        <v>W222C.E</v>
      </c>
      <c r="M769" s="13" t="s">
        <v>17</v>
      </c>
      <c r="N769" s="13"/>
      <c r="O769" s="13"/>
      <c r="P769" s="47"/>
      <c r="Q769" s="45" t="s">
        <v>3672</v>
      </c>
      <c r="R769" s="45" t="s">
        <v>5553</v>
      </c>
      <c r="S769" s="48"/>
      <c r="T769" s="49" t="str">
        <f t="shared" si="51"/>
        <v>[W221A.2]</v>
      </c>
      <c r="U769" s="12" t="str">
        <f t="shared" si="52"/>
        <v/>
      </c>
      <c r="V769" s="49" t="str">
        <f t="shared" si="53"/>
        <v>[W221A.2]</v>
      </c>
    </row>
    <row r="770" spans="1:22" s="49" customFormat="1" ht="14.15" customHeight="1">
      <c r="A770" s="43"/>
      <c r="B770" s="44" t="s">
        <v>157</v>
      </c>
      <c r="C770" s="54"/>
      <c r="D770" s="10" t="s">
        <v>29</v>
      </c>
      <c r="E770" s="11"/>
      <c r="F770" s="11" t="s">
        <v>18</v>
      </c>
      <c r="G770" s="13"/>
      <c r="H770" s="45" t="s">
        <v>16</v>
      </c>
      <c r="I770" s="47"/>
      <c r="J770" s="12" t="s">
        <v>5607</v>
      </c>
      <c r="K770" s="13" t="s">
        <v>7570</v>
      </c>
      <c r="L770" s="99" t="str">
        <f t="shared" si="48"/>
        <v>W222C.F</v>
      </c>
      <c r="M770" s="13" t="s">
        <v>17</v>
      </c>
      <c r="N770" s="13"/>
      <c r="O770" s="13"/>
      <c r="P770" s="47"/>
      <c r="Q770" s="45" t="s">
        <v>3672</v>
      </c>
      <c r="R770" s="45" t="s">
        <v>5596</v>
      </c>
      <c r="S770" s="48"/>
      <c r="T770" s="49" t="str">
        <f t="shared" si="51"/>
        <v>[W221A.3]</v>
      </c>
      <c r="U770" s="12" t="str">
        <f t="shared" si="52"/>
        <v xml:space="preserve"> 시밍#1 HEAD LOWER X1축(SD233) 운전중에 Ready가 Off 되었습니다.</v>
      </c>
      <c r="V770" s="49" t="str">
        <f t="shared" si="53"/>
        <v>[W221A.3] 시밍#1 HEAD LOWER X1축(SD233) 운전중에 Ready가 Off 되었습니다.</v>
      </c>
    </row>
    <row r="771" spans="1:22" s="49" customFormat="1" ht="14.15" customHeight="1">
      <c r="A771" s="43"/>
      <c r="B771" s="44" t="s">
        <v>157</v>
      </c>
      <c r="C771" s="54"/>
      <c r="D771" s="10" t="s">
        <v>29</v>
      </c>
      <c r="E771" s="11"/>
      <c r="F771" s="11" t="s">
        <v>18</v>
      </c>
      <c r="G771" s="13"/>
      <c r="H771" s="45" t="s">
        <v>16</v>
      </c>
      <c r="I771" s="47"/>
      <c r="J771" s="12" t="s">
        <v>3221</v>
      </c>
      <c r="K771" s="13" t="s">
        <v>7571</v>
      </c>
      <c r="L771" s="99" t="str">
        <f t="shared" si="48"/>
        <v>W222D.0</v>
      </c>
      <c r="M771" s="13" t="s">
        <v>17</v>
      </c>
      <c r="N771" s="13"/>
      <c r="O771" s="13"/>
      <c r="P771" s="47"/>
      <c r="Q771" s="45" t="s">
        <v>3672</v>
      </c>
      <c r="R771" s="45" t="s">
        <v>5596</v>
      </c>
      <c r="S771" s="48"/>
      <c r="T771" s="49" t="str">
        <f t="shared" si="51"/>
        <v>[W221A.4]</v>
      </c>
      <c r="U771" s="12" t="str">
        <f t="shared" si="52"/>
        <v xml:space="preserve"> 시밍#1 HEAD LOWER X1축(SD233) FLS가 감지되었습니다.</v>
      </c>
      <c r="V771" s="49" t="str">
        <f t="shared" si="53"/>
        <v>[W221A.4] 시밍#1 HEAD LOWER X1축(SD233) FLS가 감지되었습니다.</v>
      </c>
    </row>
    <row r="772" spans="1:22" s="49" customFormat="1" ht="14.15" customHeight="1">
      <c r="A772" s="43"/>
      <c r="B772" s="44" t="s">
        <v>157</v>
      </c>
      <c r="C772" s="54"/>
      <c r="D772" s="10" t="s">
        <v>29</v>
      </c>
      <c r="E772" s="11"/>
      <c r="F772" s="11" t="s">
        <v>18</v>
      </c>
      <c r="G772" s="13"/>
      <c r="H772" s="45" t="s">
        <v>16</v>
      </c>
      <c r="I772" s="47"/>
      <c r="J772" s="12" t="s">
        <v>3222</v>
      </c>
      <c r="K772" s="13" t="s">
        <v>7572</v>
      </c>
      <c r="L772" s="99" t="str">
        <f t="shared" si="48"/>
        <v>W222D.1</v>
      </c>
      <c r="M772" s="13" t="s">
        <v>17</v>
      </c>
      <c r="N772" s="13"/>
      <c r="O772" s="13"/>
      <c r="P772" s="47"/>
      <c r="Q772" s="45" t="s">
        <v>3672</v>
      </c>
      <c r="R772" s="45" t="s">
        <v>5596</v>
      </c>
      <c r="S772" s="48"/>
      <c r="T772" s="49" t="str">
        <f t="shared" si="51"/>
        <v>[W221A.5]</v>
      </c>
      <c r="U772" s="12" t="str">
        <f t="shared" si="52"/>
        <v xml:space="preserve"> 시밍#1 HEAD LOWER X1축(SD233) RLS가 감지되었습니다.</v>
      </c>
      <c r="V772" s="49" t="str">
        <f t="shared" si="53"/>
        <v>[W221A.5] 시밍#1 HEAD LOWER X1축(SD233) RLS가 감지되었습니다.</v>
      </c>
    </row>
    <row r="773" spans="1:22" s="49" customFormat="1" ht="14.15" customHeight="1">
      <c r="A773" s="43"/>
      <c r="B773" s="44" t="s">
        <v>157</v>
      </c>
      <c r="C773" s="54"/>
      <c r="D773" s="10" t="s">
        <v>29</v>
      </c>
      <c r="E773" s="11"/>
      <c r="F773" s="11" t="s">
        <v>18</v>
      </c>
      <c r="G773" s="13"/>
      <c r="H773" s="45" t="s">
        <v>16</v>
      </c>
      <c r="I773" s="47"/>
      <c r="J773" s="12" t="s">
        <v>3223</v>
      </c>
      <c r="K773" s="13" t="s">
        <v>7573</v>
      </c>
      <c r="L773" s="99" t="str">
        <f t="shared" si="48"/>
        <v>W222D.2</v>
      </c>
      <c r="M773" s="13" t="s">
        <v>17</v>
      </c>
      <c r="N773" s="13"/>
      <c r="O773" s="13"/>
      <c r="P773" s="47"/>
      <c r="Q773" s="45" t="s">
        <v>3672</v>
      </c>
      <c r="R773" s="45" t="s">
        <v>5596</v>
      </c>
      <c r="S773" s="48"/>
      <c r="T773" s="49" t="str">
        <f t="shared" si="51"/>
        <v>[W221A.6]</v>
      </c>
      <c r="U773" s="12" t="str">
        <f t="shared" si="52"/>
        <v xml:space="preserve"> 시밍#1 HEAD LOWER X1축(SD233) Stop 명령이 On된 상태에서 기동을 시도했습니다.</v>
      </c>
      <c r="V773" s="49" t="str">
        <f t="shared" si="53"/>
        <v>[W221A.6] 시밍#1 HEAD LOWER X1축(SD233) Stop 명령이 On된 상태에서 기동을 시도했습니다.</v>
      </c>
    </row>
    <row r="774" spans="1:22" s="49" customFormat="1" ht="14.15" customHeight="1">
      <c r="A774" s="43"/>
      <c r="B774" s="44" t="s">
        <v>157</v>
      </c>
      <c r="C774" s="54"/>
      <c r="D774" s="10" t="s">
        <v>29</v>
      </c>
      <c r="E774" s="11"/>
      <c r="F774" s="11" t="s">
        <v>18</v>
      </c>
      <c r="G774" s="13"/>
      <c r="H774" s="45" t="s">
        <v>16</v>
      </c>
      <c r="I774" s="47"/>
      <c r="J774" s="12" t="s">
        <v>3224</v>
      </c>
      <c r="K774" s="13" t="s">
        <v>7574</v>
      </c>
      <c r="L774" s="99" t="str">
        <f t="shared" si="48"/>
        <v>W222D.3</v>
      </c>
      <c r="M774" s="13" t="s">
        <v>17</v>
      </c>
      <c r="N774" s="13"/>
      <c r="O774" s="13"/>
      <c r="P774" s="47"/>
      <c r="Q774" s="45" t="s">
        <v>3672</v>
      </c>
      <c r="R774" s="45" t="s">
        <v>5596</v>
      </c>
      <c r="S774" s="48"/>
      <c r="T774" s="49" t="str">
        <f t="shared" si="51"/>
        <v>[W221A.7]</v>
      </c>
      <c r="U774" s="12" t="str">
        <f t="shared" si="52"/>
        <v xml:space="preserve"> 시밍#1 HEAD LOWER X1축(SD233) 가동 전원이 Off 되었습니다.</v>
      </c>
      <c r="V774" s="49" t="str">
        <f t="shared" si="53"/>
        <v>[W221A.7] 시밍#1 HEAD LOWER X1축(SD233) 가동 전원이 Off 되었습니다.</v>
      </c>
    </row>
    <row r="775" spans="1:22" s="49" customFormat="1" ht="14.15" customHeight="1">
      <c r="A775" s="43"/>
      <c r="B775" s="44" t="s">
        <v>157</v>
      </c>
      <c r="C775" s="54"/>
      <c r="D775" s="10" t="s">
        <v>29</v>
      </c>
      <c r="E775" s="11"/>
      <c r="F775" s="11" t="s">
        <v>18</v>
      </c>
      <c r="G775" s="13"/>
      <c r="H775" s="45" t="s">
        <v>16</v>
      </c>
      <c r="I775" s="47"/>
      <c r="J775" s="12" t="s">
        <v>3225</v>
      </c>
      <c r="K775" s="13" t="s">
        <v>7575</v>
      </c>
      <c r="L775" s="99" t="str">
        <f t="shared" si="48"/>
        <v>W222D.4</v>
      </c>
      <c r="M775" s="13" t="s">
        <v>17</v>
      </c>
      <c r="N775" s="13"/>
      <c r="O775" s="13"/>
      <c r="P775" s="47"/>
      <c r="Q775" s="45" t="s">
        <v>3672</v>
      </c>
      <c r="R775" s="45" t="s">
        <v>5596</v>
      </c>
      <c r="S775" s="48"/>
      <c r="T775" s="49" t="str">
        <f t="shared" si="51"/>
        <v>[W221A.8]</v>
      </c>
      <c r="U775" s="12" t="str">
        <f t="shared" si="52"/>
        <v xml:space="preserve"> 시밍#1 HEAD LOWER X1축(SD233) 엔코더 이상이 검출되었습니다.</v>
      </c>
      <c r="V775" s="49" t="str">
        <f t="shared" si="53"/>
        <v>[W221A.8] 시밍#1 HEAD LOWER X1축(SD233) 엔코더 이상이 검출되었습니다.</v>
      </c>
    </row>
    <row r="776" spans="1:22" s="49" customFormat="1" ht="14.15" customHeight="1">
      <c r="A776" s="43"/>
      <c r="B776" s="44" t="s">
        <v>157</v>
      </c>
      <c r="C776" s="54"/>
      <c r="D776" s="10" t="s">
        <v>29</v>
      </c>
      <c r="E776" s="11"/>
      <c r="F776" s="11" t="s">
        <v>18</v>
      </c>
      <c r="G776" s="13"/>
      <c r="H776" s="45" t="s">
        <v>16</v>
      </c>
      <c r="I776" s="47"/>
      <c r="J776" s="12" t="s">
        <v>3226</v>
      </c>
      <c r="K776" s="13" t="s">
        <v>7576</v>
      </c>
      <c r="L776" s="99" t="str">
        <f t="shared" si="48"/>
        <v>W222D.5</v>
      </c>
      <c r="M776" s="13" t="s">
        <v>17</v>
      </c>
      <c r="N776" s="13"/>
      <c r="O776" s="13"/>
      <c r="P776" s="47"/>
      <c r="Q776" s="45" t="s">
        <v>3672</v>
      </c>
      <c r="R776" s="45" t="s">
        <v>5596</v>
      </c>
      <c r="S776" s="48"/>
      <c r="T776" s="49" t="str">
        <f t="shared" si="51"/>
        <v>[W221A.9]</v>
      </c>
      <c r="U776" s="12" t="str">
        <f t="shared" si="52"/>
        <v xml:space="preserve"> 시밍#1 HEAD LOWER X1축(SD233) 과전류가 검출되었습니다.</v>
      </c>
      <c r="V776" s="49" t="str">
        <f t="shared" si="53"/>
        <v>[W221A.9] 시밍#1 HEAD LOWER X1축(SD233) 과전류가 검출되었습니다.</v>
      </c>
    </row>
    <row r="777" spans="1:22" s="49" customFormat="1" ht="14.15" customHeight="1">
      <c r="A777" s="43"/>
      <c r="B777" s="44" t="s">
        <v>157</v>
      </c>
      <c r="C777" s="54"/>
      <c r="D777" s="10" t="s">
        <v>29</v>
      </c>
      <c r="E777" s="11"/>
      <c r="F777" s="11" t="s">
        <v>18</v>
      </c>
      <c r="G777" s="13"/>
      <c r="H777" s="45" t="s">
        <v>16</v>
      </c>
      <c r="I777" s="47"/>
      <c r="J777" s="12" t="s">
        <v>3227</v>
      </c>
      <c r="K777" s="13" t="s">
        <v>7577</v>
      </c>
      <c r="L777" s="99" t="str">
        <f t="shared" si="48"/>
        <v>W222D.6</v>
      </c>
      <c r="M777" s="13" t="s">
        <v>17</v>
      </c>
      <c r="N777" s="13"/>
      <c r="O777" s="13"/>
      <c r="P777" s="47"/>
      <c r="Q777" s="45" t="s">
        <v>3672</v>
      </c>
      <c r="R777" s="45" t="s">
        <v>5596</v>
      </c>
      <c r="S777" s="48"/>
      <c r="T777" s="49" t="str">
        <f t="shared" si="51"/>
        <v>[W221A.A]</v>
      </c>
      <c r="U777" s="12" t="str">
        <f t="shared" si="52"/>
        <v xml:space="preserve"> 시밍#1 HEAD LOWER X1축(SD233) 과부하가 검출되었습니다.</v>
      </c>
      <c r="V777" s="49" t="str">
        <f t="shared" si="53"/>
        <v>[W221A.A] 시밍#1 HEAD LOWER X1축(SD233) 과부하가 검출되었습니다.</v>
      </c>
    </row>
    <row r="778" spans="1:22" s="49" customFormat="1" ht="14.15" customHeight="1">
      <c r="A778" s="43"/>
      <c r="B778" s="44" t="s">
        <v>157</v>
      </c>
      <c r="C778" s="54"/>
      <c r="D778" s="10" t="s">
        <v>29</v>
      </c>
      <c r="E778" s="11"/>
      <c r="F778" s="11" t="s">
        <v>18</v>
      </c>
      <c r="G778" s="13"/>
      <c r="H778" s="45" t="s">
        <v>16</v>
      </c>
      <c r="I778" s="47"/>
      <c r="J778" s="12" t="s">
        <v>3228</v>
      </c>
      <c r="K778" s="13" t="s">
        <v>7578</v>
      </c>
      <c r="L778" s="99" t="str">
        <f t="shared" si="48"/>
        <v>W222D.7</v>
      </c>
      <c r="M778" s="13" t="s">
        <v>17</v>
      </c>
      <c r="N778" s="13"/>
      <c r="O778" s="13"/>
      <c r="P778" s="47"/>
      <c r="Q778" s="45" t="s">
        <v>3672</v>
      </c>
      <c r="R778" s="45" t="s">
        <v>5596</v>
      </c>
      <c r="S778" s="48"/>
      <c r="T778" s="49" t="str">
        <f t="shared" si="47"/>
        <v>[W222D.7]</v>
      </c>
      <c r="U778" s="12" t="str">
        <f t="shared" si="50"/>
        <v/>
      </c>
      <c r="V778" s="49" t="str">
        <f t="shared" si="49"/>
        <v>[W222D.7]</v>
      </c>
    </row>
    <row r="779" spans="1:22" s="49" customFormat="1" ht="14.15" customHeight="1">
      <c r="A779" s="43"/>
      <c r="B779" s="44" t="s">
        <v>157</v>
      </c>
      <c r="C779" s="54"/>
      <c r="D779" s="10" t="s">
        <v>29</v>
      </c>
      <c r="E779" s="11"/>
      <c r="F779" s="11" t="s">
        <v>18</v>
      </c>
      <c r="G779" s="13"/>
      <c r="H779" s="45" t="s">
        <v>16</v>
      </c>
      <c r="I779" s="47"/>
      <c r="J779" s="12" t="s">
        <v>3229</v>
      </c>
      <c r="K779" s="13" t="s">
        <v>7579</v>
      </c>
      <c r="L779" s="99" t="str">
        <f t="shared" si="48"/>
        <v>W222D.8</v>
      </c>
      <c r="M779" s="13" t="s">
        <v>17</v>
      </c>
      <c r="N779" s="13"/>
      <c r="O779" s="13"/>
      <c r="P779" s="47"/>
      <c r="Q779" s="45" t="s">
        <v>3672</v>
      </c>
      <c r="R779" s="45" t="s">
        <v>5596</v>
      </c>
      <c r="S779" s="48"/>
      <c r="T779" s="49" t="str">
        <f t="shared" si="47"/>
        <v>[W222D.8]</v>
      </c>
      <c r="U779" s="12" t="str">
        <f t="shared" si="50"/>
        <v/>
      </c>
      <c r="V779" s="49" t="str">
        <f t="shared" si="49"/>
        <v>[W222D.8]</v>
      </c>
    </row>
    <row r="780" spans="1:22" s="49" customFormat="1" ht="14.15" customHeight="1">
      <c r="A780" s="43"/>
      <c r="B780" s="44" t="s">
        <v>157</v>
      </c>
      <c r="C780" s="54"/>
      <c r="D780" s="10" t="s">
        <v>29</v>
      </c>
      <c r="E780" s="11"/>
      <c r="F780" s="11" t="s">
        <v>18</v>
      </c>
      <c r="G780" s="13"/>
      <c r="H780" s="45" t="s">
        <v>16</v>
      </c>
      <c r="I780" s="47"/>
      <c r="J780" s="12" t="s">
        <v>3230</v>
      </c>
      <c r="K780" s="13" t="s">
        <v>7580</v>
      </c>
      <c r="L780" s="99" t="str">
        <f t="shared" si="48"/>
        <v>W222D.9</v>
      </c>
      <c r="M780" s="13" t="s">
        <v>17</v>
      </c>
      <c r="N780" s="13"/>
      <c r="O780" s="13"/>
      <c r="P780" s="47"/>
      <c r="Q780" s="45" t="s">
        <v>3672</v>
      </c>
      <c r="R780" s="45" t="s">
        <v>5596</v>
      </c>
      <c r="S780" s="48"/>
      <c r="T780" s="49" t="str">
        <f t="shared" si="47"/>
        <v>[W222D.9]</v>
      </c>
      <c r="U780" s="12" t="str">
        <f t="shared" si="50"/>
        <v/>
      </c>
      <c r="V780" s="49" t="str">
        <f t="shared" si="49"/>
        <v>[W222D.9]</v>
      </c>
    </row>
    <row r="781" spans="1:22" s="49" customFormat="1" ht="14.15" customHeight="1">
      <c r="A781" s="43"/>
      <c r="B781" s="44" t="s">
        <v>157</v>
      </c>
      <c r="C781" s="54"/>
      <c r="D781" s="10" t="s">
        <v>29</v>
      </c>
      <c r="E781" s="11"/>
      <c r="F781" s="11" t="s">
        <v>18</v>
      </c>
      <c r="G781" s="13"/>
      <c r="H781" s="45" t="s">
        <v>16</v>
      </c>
      <c r="I781" s="47"/>
      <c r="J781" s="12" t="s">
        <v>3231</v>
      </c>
      <c r="K781" s="13" t="s">
        <v>7581</v>
      </c>
      <c r="L781" s="99" t="str">
        <f t="shared" si="48"/>
        <v>W222D.A</v>
      </c>
      <c r="M781" s="13" t="s">
        <v>17</v>
      </c>
      <c r="N781" s="13"/>
      <c r="O781" s="13"/>
      <c r="P781" s="47"/>
      <c r="Q781" s="45" t="s">
        <v>3672</v>
      </c>
      <c r="R781" s="45" t="s">
        <v>5596</v>
      </c>
      <c r="S781" s="48"/>
      <c r="T781" s="49" t="str">
        <f t="shared" si="47"/>
        <v>[W222D.A]</v>
      </c>
      <c r="U781" s="12" t="str">
        <f t="shared" si="50"/>
        <v/>
      </c>
      <c r="V781" s="49" t="str">
        <f t="shared" si="49"/>
        <v>[W222D.A]</v>
      </c>
    </row>
    <row r="782" spans="1:22" s="49" customFormat="1" ht="14.15" customHeight="1">
      <c r="A782" s="43"/>
      <c r="B782" s="44" t="s">
        <v>157</v>
      </c>
      <c r="C782" s="54"/>
      <c r="D782" s="10" t="s">
        <v>29</v>
      </c>
      <c r="E782" s="11"/>
      <c r="F782" s="11" t="s">
        <v>18</v>
      </c>
      <c r="G782" s="13"/>
      <c r="H782" s="45" t="s">
        <v>16</v>
      </c>
      <c r="I782" s="47"/>
      <c r="J782" s="12" t="s">
        <v>3232</v>
      </c>
      <c r="K782" s="13" t="s">
        <v>7582</v>
      </c>
      <c r="L782" s="99" t="str">
        <f t="shared" si="48"/>
        <v>W222D.B</v>
      </c>
      <c r="M782" s="13" t="s">
        <v>17</v>
      </c>
      <c r="N782" s="13"/>
      <c r="O782" s="13"/>
      <c r="P782" s="47"/>
      <c r="Q782" s="45" t="s">
        <v>3672</v>
      </c>
      <c r="R782" s="45" t="s">
        <v>5596</v>
      </c>
      <c r="S782" s="48"/>
      <c r="T782" s="49" t="str">
        <f t="shared" si="47"/>
        <v>[W222D.B]</v>
      </c>
      <c r="U782" s="12" t="str">
        <f t="shared" si="50"/>
        <v/>
      </c>
      <c r="V782" s="49" t="str">
        <f t="shared" si="49"/>
        <v>[W222D.B]</v>
      </c>
    </row>
    <row r="783" spans="1:22" s="49" customFormat="1" ht="14.15" customHeight="1">
      <c r="A783" s="43"/>
      <c r="B783" s="44" t="s">
        <v>157</v>
      </c>
      <c r="C783" s="54"/>
      <c r="D783" s="10" t="s">
        <v>29</v>
      </c>
      <c r="E783" s="11"/>
      <c r="F783" s="11" t="s">
        <v>18</v>
      </c>
      <c r="G783" s="13"/>
      <c r="H783" s="45" t="s">
        <v>16</v>
      </c>
      <c r="I783" s="47"/>
      <c r="J783" s="12" t="s">
        <v>3233</v>
      </c>
      <c r="K783" s="13" t="s">
        <v>7583</v>
      </c>
      <c r="L783" s="99" t="str">
        <f t="shared" si="48"/>
        <v>W222D.C</v>
      </c>
      <c r="M783" s="13" t="s">
        <v>17</v>
      </c>
      <c r="N783" s="13"/>
      <c r="O783" s="13"/>
      <c r="P783" s="47"/>
      <c r="Q783" s="45" t="s">
        <v>3672</v>
      </c>
      <c r="R783" s="45" t="s">
        <v>5596</v>
      </c>
      <c r="S783" s="48"/>
      <c r="T783" s="49" t="str">
        <f t="shared" si="47"/>
        <v>[W222D.C]</v>
      </c>
      <c r="U783" s="12" t="str">
        <f t="shared" si="50"/>
        <v/>
      </c>
      <c r="V783" s="49" t="str">
        <f t="shared" si="49"/>
        <v>[W222D.C]</v>
      </c>
    </row>
    <row r="784" spans="1:22" s="49" customFormat="1" ht="14.15" customHeight="1">
      <c r="A784" s="43"/>
      <c r="B784" s="44" t="s">
        <v>157</v>
      </c>
      <c r="C784" s="54"/>
      <c r="D784" s="10" t="s">
        <v>29</v>
      </c>
      <c r="E784" s="11"/>
      <c r="F784" s="11" t="s">
        <v>18</v>
      </c>
      <c r="G784" s="13"/>
      <c r="H784" s="45" t="s">
        <v>16</v>
      </c>
      <c r="I784" s="47"/>
      <c r="J784" s="12" t="s">
        <v>3234</v>
      </c>
      <c r="K784" s="13" t="s">
        <v>7584</v>
      </c>
      <c r="L784" s="99" t="str">
        <f t="shared" si="48"/>
        <v>W222D.D</v>
      </c>
      <c r="M784" s="13" t="s">
        <v>17</v>
      </c>
      <c r="N784" s="13"/>
      <c r="O784" s="13"/>
      <c r="P784" s="47"/>
      <c r="Q784" s="45" t="s">
        <v>3672</v>
      </c>
      <c r="R784" s="45" t="s">
        <v>5596</v>
      </c>
      <c r="S784" s="48"/>
      <c r="T784" s="49" t="str">
        <f t="shared" si="47"/>
        <v>[W222D.D]</v>
      </c>
      <c r="U784" s="12" t="str">
        <f t="shared" si="50"/>
        <v/>
      </c>
      <c r="V784" s="49" t="str">
        <f t="shared" si="49"/>
        <v>[W222D.D]</v>
      </c>
    </row>
    <row r="785" spans="1:22" s="49" customFormat="1" ht="14.15" customHeight="1">
      <c r="A785" s="43"/>
      <c r="B785" s="44" t="s">
        <v>157</v>
      </c>
      <c r="C785" s="54"/>
      <c r="D785" s="10" t="s">
        <v>29</v>
      </c>
      <c r="E785" s="11"/>
      <c r="F785" s="11" t="s">
        <v>18</v>
      </c>
      <c r="G785" s="13"/>
      <c r="H785" s="45" t="s">
        <v>16</v>
      </c>
      <c r="I785" s="47"/>
      <c r="J785" s="12" t="s">
        <v>3235</v>
      </c>
      <c r="K785" s="13" t="s">
        <v>7585</v>
      </c>
      <c r="L785" s="99" t="str">
        <f t="shared" si="48"/>
        <v>W222D.E</v>
      </c>
      <c r="M785" s="13" t="s">
        <v>17</v>
      </c>
      <c r="N785" s="13"/>
      <c r="O785" s="13"/>
      <c r="P785" s="47"/>
      <c r="Q785" s="45" t="s">
        <v>3672</v>
      </c>
      <c r="R785" s="45" t="s">
        <v>5596</v>
      </c>
      <c r="S785" s="48"/>
      <c r="T785" s="49" t="str">
        <f t="shared" si="47"/>
        <v>[W222D.E]</v>
      </c>
      <c r="U785" s="12" t="str">
        <f t="shared" si="50"/>
        <v/>
      </c>
      <c r="V785" s="49" t="str">
        <f t="shared" si="49"/>
        <v>[W222D.E]</v>
      </c>
    </row>
    <row r="786" spans="1:22" s="49" customFormat="1" ht="14.15" customHeight="1">
      <c r="A786" s="43"/>
      <c r="B786" s="44" t="s">
        <v>157</v>
      </c>
      <c r="C786" s="54"/>
      <c r="D786" s="10" t="s">
        <v>29</v>
      </c>
      <c r="E786" s="11"/>
      <c r="F786" s="11" t="s">
        <v>18</v>
      </c>
      <c r="G786" s="13"/>
      <c r="H786" s="45" t="s">
        <v>16</v>
      </c>
      <c r="I786" s="47"/>
      <c r="J786" s="12" t="s">
        <v>3236</v>
      </c>
      <c r="K786" s="13" t="s">
        <v>7586</v>
      </c>
      <c r="L786" s="99" t="str">
        <f t="shared" si="48"/>
        <v>W222D.F</v>
      </c>
      <c r="M786" s="13" t="s">
        <v>17</v>
      </c>
      <c r="N786" s="13"/>
      <c r="O786" s="13"/>
      <c r="P786" s="47"/>
      <c r="Q786" s="45" t="s">
        <v>3672</v>
      </c>
      <c r="R786" s="45" t="s">
        <v>5596</v>
      </c>
      <c r="S786" s="48"/>
      <c r="T786" s="49" t="str">
        <f t="shared" si="47"/>
        <v>[W222D.F]</v>
      </c>
      <c r="U786" s="12" t="str">
        <f t="shared" si="50"/>
        <v/>
      </c>
      <c r="V786" s="49" t="str">
        <f t="shared" si="49"/>
        <v>[W222D.F]</v>
      </c>
    </row>
    <row r="787" spans="1:22" s="49" customFormat="1" ht="14.15" customHeight="1">
      <c r="A787" s="43"/>
      <c r="B787" s="44" t="s">
        <v>157</v>
      </c>
      <c r="C787" s="54"/>
      <c r="D787" s="10" t="s">
        <v>29</v>
      </c>
      <c r="E787" s="11"/>
      <c r="F787" s="11" t="s">
        <v>18</v>
      </c>
      <c r="G787" s="13"/>
      <c r="H787" s="45" t="s">
        <v>16</v>
      </c>
      <c r="I787" s="47"/>
      <c r="J787" s="12" t="s">
        <v>3237</v>
      </c>
      <c r="K787" s="13" t="s">
        <v>7587</v>
      </c>
      <c r="L787" s="99" t="str">
        <f t="shared" si="48"/>
        <v>W222E.0</v>
      </c>
      <c r="M787" s="13" t="s">
        <v>17</v>
      </c>
      <c r="N787" s="13"/>
      <c r="O787" s="13"/>
      <c r="P787" s="47"/>
      <c r="Q787" s="45" t="s">
        <v>3672</v>
      </c>
      <c r="R787" s="45" t="s">
        <v>5596</v>
      </c>
      <c r="S787" s="48"/>
      <c r="T787" s="49" t="str">
        <f t="shared" si="47"/>
        <v>[W222E.0]</v>
      </c>
      <c r="U787" s="12" t="str">
        <f t="shared" si="50"/>
        <v/>
      </c>
      <c r="V787" s="49" t="str">
        <f t="shared" si="49"/>
        <v>[W222E.0]</v>
      </c>
    </row>
    <row r="788" spans="1:22" s="49" customFormat="1" ht="14.15" customHeight="1">
      <c r="A788" s="43"/>
      <c r="B788" s="44" t="s">
        <v>157</v>
      </c>
      <c r="C788" s="54"/>
      <c r="D788" s="10" t="s">
        <v>29</v>
      </c>
      <c r="E788" s="11"/>
      <c r="F788" s="11" t="s">
        <v>18</v>
      </c>
      <c r="G788" s="13"/>
      <c r="H788" s="45" t="s">
        <v>16</v>
      </c>
      <c r="I788" s="47"/>
      <c r="J788" s="12" t="s">
        <v>3238</v>
      </c>
      <c r="K788" s="13" t="s">
        <v>7588</v>
      </c>
      <c r="L788" s="99" t="str">
        <f t="shared" si="48"/>
        <v>W222E.1</v>
      </c>
      <c r="M788" s="13" t="s">
        <v>17</v>
      </c>
      <c r="N788" s="13"/>
      <c r="O788" s="13"/>
      <c r="P788" s="47"/>
      <c r="Q788" s="45" t="s">
        <v>3672</v>
      </c>
      <c r="R788" s="45" t="s">
        <v>5596</v>
      </c>
      <c r="S788" s="48"/>
      <c r="T788" s="49" t="str">
        <f t="shared" si="47"/>
        <v>[W222E.1]</v>
      </c>
      <c r="U788" s="12" t="str">
        <f t="shared" si="50"/>
        <v/>
      </c>
      <c r="V788" s="49" t="str">
        <f t="shared" si="49"/>
        <v>[W222E.1]</v>
      </c>
    </row>
    <row r="789" spans="1:22" s="49" customFormat="1" ht="14.15" customHeight="1">
      <c r="A789" s="43"/>
      <c r="B789" s="44" t="s">
        <v>157</v>
      </c>
      <c r="C789" s="54"/>
      <c r="D789" s="10" t="s">
        <v>29</v>
      </c>
      <c r="E789" s="11"/>
      <c r="F789" s="11" t="s">
        <v>18</v>
      </c>
      <c r="G789" s="13"/>
      <c r="H789" s="45" t="s">
        <v>16</v>
      </c>
      <c r="I789" s="47"/>
      <c r="J789" s="12" t="s">
        <v>3239</v>
      </c>
      <c r="K789" s="13" t="s">
        <v>7589</v>
      </c>
      <c r="L789" s="99" t="str">
        <f t="shared" si="48"/>
        <v>W222E.2</v>
      </c>
      <c r="M789" s="13" t="s">
        <v>17</v>
      </c>
      <c r="N789" s="13"/>
      <c r="O789" s="13"/>
      <c r="P789" s="47"/>
      <c r="Q789" s="45" t="s">
        <v>3672</v>
      </c>
      <c r="R789" s="45" t="s">
        <v>5596</v>
      </c>
      <c r="S789" s="48"/>
      <c r="T789" s="49" t="str">
        <f t="shared" si="47"/>
        <v>[W222E.2]</v>
      </c>
      <c r="U789" s="12" t="str">
        <f t="shared" si="50"/>
        <v/>
      </c>
      <c r="V789" s="49" t="str">
        <f t="shared" si="49"/>
        <v>[W222E.2]</v>
      </c>
    </row>
    <row r="790" spans="1:22" s="49" customFormat="1" ht="14.15" customHeight="1">
      <c r="A790" s="43"/>
      <c r="B790" s="44" t="s">
        <v>157</v>
      </c>
      <c r="C790" s="54"/>
      <c r="D790" s="10" t="s">
        <v>29</v>
      </c>
      <c r="E790" s="11"/>
      <c r="F790" s="11" t="s">
        <v>18</v>
      </c>
      <c r="G790" s="13"/>
      <c r="H790" s="45" t="s">
        <v>16</v>
      </c>
      <c r="I790" s="47"/>
      <c r="J790" s="12" t="s">
        <v>3240</v>
      </c>
      <c r="K790" s="13" t="s">
        <v>7590</v>
      </c>
      <c r="L790" s="99" t="str">
        <f t="shared" si="48"/>
        <v>W222E.3</v>
      </c>
      <c r="M790" s="13"/>
      <c r="N790" s="13"/>
      <c r="O790" s="13"/>
      <c r="P790" s="47"/>
      <c r="Q790" s="45"/>
      <c r="R790" s="45"/>
      <c r="S790" s="48"/>
      <c r="T790" s="49" t="str">
        <f t="shared" si="47"/>
        <v>[W222E.3]</v>
      </c>
      <c r="U790" s="12" t="str">
        <f t="shared" si="50"/>
        <v/>
      </c>
      <c r="V790" s="49" t="str">
        <f t="shared" si="49"/>
        <v>[W222E.3]</v>
      </c>
    </row>
    <row r="791" spans="1:22" s="49" customFormat="1" ht="14.15" customHeight="1">
      <c r="A791" s="43"/>
      <c r="B791" s="44" t="s">
        <v>157</v>
      </c>
      <c r="C791" s="54"/>
      <c r="D791" s="10" t="s">
        <v>29</v>
      </c>
      <c r="E791" s="11"/>
      <c r="F791" s="11" t="s">
        <v>18</v>
      </c>
      <c r="G791" s="13"/>
      <c r="H791" s="45" t="s">
        <v>16</v>
      </c>
      <c r="I791" s="47"/>
      <c r="J791" s="12" t="s">
        <v>3241</v>
      </c>
      <c r="K791" s="13" t="s">
        <v>7591</v>
      </c>
      <c r="L791" s="99" t="str">
        <f t="shared" si="48"/>
        <v>W222E.4</v>
      </c>
      <c r="M791" s="13"/>
      <c r="N791" s="13"/>
      <c r="O791" s="13"/>
      <c r="P791" s="47"/>
      <c r="Q791" s="45"/>
      <c r="R791" s="45"/>
      <c r="S791" s="48"/>
      <c r="T791" s="49" t="str">
        <f t="shared" si="47"/>
        <v>[W222E.4]</v>
      </c>
      <c r="U791" s="12" t="str">
        <f t="shared" si="50"/>
        <v/>
      </c>
      <c r="V791" s="49" t="str">
        <f t="shared" si="49"/>
        <v>[W222E.4]</v>
      </c>
    </row>
    <row r="792" spans="1:22" s="49" customFormat="1" ht="14.15" customHeight="1">
      <c r="A792" s="43"/>
      <c r="B792" s="44" t="s">
        <v>157</v>
      </c>
      <c r="C792" s="54"/>
      <c r="D792" s="10" t="s">
        <v>29</v>
      </c>
      <c r="E792" s="11"/>
      <c r="F792" s="11" t="s">
        <v>18</v>
      </c>
      <c r="G792" s="13"/>
      <c r="H792" s="45" t="s">
        <v>16</v>
      </c>
      <c r="I792" s="47"/>
      <c r="J792" s="12" t="s">
        <v>3242</v>
      </c>
      <c r="K792" s="13" t="s">
        <v>7592</v>
      </c>
      <c r="L792" s="99" t="str">
        <f t="shared" si="48"/>
        <v>W222E.5</v>
      </c>
      <c r="M792" s="13"/>
      <c r="N792" s="13"/>
      <c r="O792" s="13"/>
      <c r="P792" s="47"/>
      <c r="Q792" s="45"/>
      <c r="R792" s="45"/>
      <c r="S792" s="48"/>
      <c r="T792" s="49" t="str">
        <f t="shared" si="47"/>
        <v>[W222E.5]</v>
      </c>
      <c r="U792" s="12" t="str">
        <f t="shared" si="50"/>
        <v/>
      </c>
      <c r="V792" s="49" t="str">
        <f t="shared" si="49"/>
        <v>[W222E.5]</v>
      </c>
    </row>
    <row r="793" spans="1:22" s="49" customFormat="1" ht="14.15" customHeight="1">
      <c r="A793" s="43"/>
      <c r="B793" s="44" t="s">
        <v>157</v>
      </c>
      <c r="C793" s="54"/>
      <c r="D793" s="10" t="s">
        <v>29</v>
      </c>
      <c r="E793" s="11"/>
      <c r="F793" s="11" t="s">
        <v>18</v>
      </c>
      <c r="G793" s="13"/>
      <c r="H793" s="45" t="s">
        <v>16</v>
      </c>
      <c r="I793" s="47"/>
      <c r="J793" s="12" t="s">
        <v>3243</v>
      </c>
      <c r="K793" s="13" t="s">
        <v>7593</v>
      </c>
      <c r="L793" s="99" t="str">
        <f t="shared" si="48"/>
        <v>W222E.6</v>
      </c>
      <c r="M793" s="13"/>
      <c r="N793" s="13"/>
      <c r="O793" s="13"/>
      <c r="P793" s="47"/>
      <c r="Q793" s="45"/>
      <c r="R793" s="45"/>
      <c r="S793" s="48"/>
      <c r="T793" s="49" t="str">
        <f t="shared" si="47"/>
        <v>[W222E.6]</v>
      </c>
      <c r="U793" s="12" t="str">
        <f t="shared" si="50"/>
        <v/>
      </c>
      <c r="V793" s="49" t="str">
        <f t="shared" si="49"/>
        <v>[W222E.6]</v>
      </c>
    </row>
    <row r="794" spans="1:22" s="49" customFormat="1" ht="14.15" customHeight="1">
      <c r="A794" s="43"/>
      <c r="B794" s="44" t="s">
        <v>157</v>
      </c>
      <c r="C794" s="54"/>
      <c r="D794" s="10" t="s">
        <v>29</v>
      </c>
      <c r="E794" s="11"/>
      <c r="F794" s="11" t="s">
        <v>18</v>
      </c>
      <c r="G794" s="13"/>
      <c r="H794" s="45" t="s">
        <v>16</v>
      </c>
      <c r="I794" s="47"/>
      <c r="J794" s="12" t="s">
        <v>3244</v>
      </c>
      <c r="K794" s="13" t="s">
        <v>7594</v>
      </c>
      <c r="L794" s="99" t="str">
        <f t="shared" si="48"/>
        <v>W222E.7</v>
      </c>
      <c r="M794" s="13"/>
      <c r="N794" s="13"/>
      <c r="O794" s="13"/>
      <c r="P794" s="47"/>
      <c r="Q794" s="45"/>
      <c r="R794" s="45"/>
      <c r="S794" s="48"/>
      <c r="T794" s="49" t="str">
        <f t="shared" si="47"/>
        <v>[W222E.7]</v>
      </c>
      <c r="U794" s="12" t="str">
        <f t="shared" si="50"/>
        <v/>
      </c>
      <c r="V794" s="49" t="str">
        <f t="shared" si="49"/>
        <v>[W222E.7]</v>
      </c>
    </row>
    <row r="795" spans="1:22" s="49" customFormat="1" ht="14.15" customHeight="1">
      <c r="A795" s="43"/>
      <c r="B795" s="44" t="s">
        <v>157</v>
      </c>
      <c r="C795" s="54"/>
      <c r="D795" s="10" t="s">
        <v>29</v>
      </c>
      <c r="E795" s="11"/>
      <c r="F795" s="11" t="s">
        <v>18</v>
      </c>
      <c r="G795" s="13"/>
      <c r="H795" s="45" t="s">
        <v>16</v>
      </c>
      <c r="I795" s="47"/>
      <c r="J795" s="12" t="s">
        <v>3245</v>
      </c>
      <c r="K795" s="13" t="s">
        <v>7595</v>
      </c>
      <c r="L795" s="99" t="str">
        <f t="shared" si="48"/>
        <v>W222E.8</v>
      </c>
      <c r="M795" s="13"/>
      <c r="N795" s="13"/>
      <c r="O795" s="13"/>
      <c r="P795" s="47"/>
      <c r="Q795" s="45"/>
      <c r="R795" s="45"/>
      <c r="S795" s="48"/>
      <c r="T795" s="49" t="str">
        <f t="shared" si="47"/>
        <v>[W222E.8]</v>
      </c>
      <c r="U795" s="12" t="str">
        <f t="shared" si="50"/>
        <v/>
      </c>
      <c r="V795" s="49" t="str">
        <f t="shared" si="49"/>
        <v>[W222E.8]</v>
      </c>
    </row>
    <row r="796" spans="1:22" s="49" customFormat="1" ht="14.15" customHeight="1">
      <c r="A796" s="43"/>
      <c r="B796" s="44" t="s">
        <v>157</v>
      </c>
      <c r="C796" s="54"/>
      <c r="D796" s="10" t="s">
        <v>29</v>
      </c>
      <c r="E796" s="11"/>
      <c r="F796" s="11" t="s">
        <v>18</v>
      </c>
      <c r="G796" s="13"/>
      <c r="H796" s="45" t="s">
        <v>16</v>
      </c>
      <c r="I796" s="47"/>
      <c r="J796" s="12" t="s">
        <v>3246</v>
      </c>
      <c r="K796" s="13" t="s">
        <v>7596</v>
      </c>
      <c r="L796" s="99" t="str">
        <f t="shared" si="48"/>
        <v>W222E.9</v>
      </c>
      <c r="M796" s="13"/>
      <c r="N796" s="13"/>
      <c r="O796" s="13"/>
      <c r="P796" s="47"/>
      <c r="Q796" s="45"/>
      <c r="R796" s="45"/>
      <c r="S796" s="48"/>
      <c r="T796" s="49" t="str">
        <f t="shared" si="47"/>
        <v>[W222E.9]</v>
      </c>
      <c r="U796" s="12" t="str">
        <f t="shared" si="50"/>
        <v/>
      </c>
      <c r="V796" s="49" t="str">
        <f t="shared" si="49"/>
        <v>[W222E.9]</v>
      </c>
    </row>
    <row r="797" spans="1:22" s="49" customFormat="1" ht="14.15" customHeight="1">
      <c r="A797" s="43"/>
      <c r="B797" s="44" t="s">
        <v>157</v>
      </c>
      <c r="C797" s="54"/>
      <c r="D797" s="10" t="s">
        <v>29</v>
      </c>
      <c r="E797" s="11"/>
      <c r="F797" s="11" t="s">
        <v>18</v>
      </c>
      <c r="G797" s="13"/>
      <c r="H797" s="45" t="s">
        <v>16</v>
      </c>
      <c r="I797" s="47"/>
      <c r="J797" s="12" t="s">
        <v>3247</v>
      </c>
      <c r="K797" s="13" t="s">
        <v>7597</v>
      </c>
      <c r="L797" s="99" t="str">
        <f t="shared" si="48"/>
        <v>W222E.A</v>
      </c>
      <c r="M797" s="13"/>
      <c r="N797" s="13"/>
      <c r="O797" s="13"/>
      <c r="P797" s="47"/>
      <c r="Q797" s="45"/>
      <c r="R797" s="45"/>
      <c r="S797" s="48"/>
      <c r="T797" s="49" t="str">
        <f t="shared" si="47"/>
        <v>[W222E.A]</v>
      </c>
      <c r="U797" s="12" t="str">
        <f t="shared" si="50"/>
        <v/>
      </c>
      <c r="V797" s="49" t="str">
        <f t="shared" si="49"/>
        <v>[W222E.A]</v>
      </c>
    </row>
    <row r="798" spans="1:22" s="49" customFormat="1" ht="14.15" customHeight="1">
      <c r="A798" s="43"/>
      <c r="B798" s="44" t="s">
        <v>157</v>
      </c>
      <c r="C798" s="54"/>
      <c r="D798" s="10" t="s">
        <v>29</v>
      </c>
      <c r="E798" s="11"/>
      <c r="F798" s="11" t="s">
        <v>18</v>
      </c>
      <c r="G798" s="13"/>
      <c r="H798" s="45" t="s">
        <v>16</v>
      </c>
      <c r="I798" s="47"/>
      <c r="J798" s="12" t="s">
        <v>3248</v>
      </c>
      <c r="K798" s="13" t="s">
        <v>7598</v>
      </c>
      <c r="L798" s="99" t="str">
        <f t="shared" si="48"/>
        <v>W222E.B</v>
      </c>
      <c r="M798" s="13"/>
      <c r="N798" s="13"/>
      <c r="O798" s="13"/>
      <c r="P798" s="47"/>
      <c r="Q798" s="45"/>
      <c r="R798" s="45"/>
      <c r="S798" s="48"/>
      <c r="T798" s="49" t="str">
        <f t="shared" si="47"/>
        <v>[W222E.B]</v>
      </c>
      <c r="U798" s="12" t="str">
        <f t="shared" si="50"/>
        <v/>
      </c>
      <c r="V798" s="49" t="str">
        <f t="shared" si="49"/>
        <v>[W222E.B]</v>
      </c>
    </row>
    <row r="799" spans="1:22" s="49" customFormat="1" ht="14.15" customHeight="1">
      <c r="A799" s="43"/>
      <c r="B799" s="44" t="s">
        <v>157</v>
      </c>
      <c r="C799" s="54"/>
      <c r="D799" s="10" t="s">
        <v>29</v>
      </c>
      <c r="E799" s="11"/>
      <c r="F799" s="11" t="s">
        <v>18</v>
      </c>
      <c r="G799" s="13"/>
      <c r="H799" s="45" t="s">
        <v>16</v>
      </c>
      <c r="I799" s="47"/>
      <c r="J799" s="12" t="s">
        <v>3249</v>
      </c>
      <c r="K799" s="13" t="s">
        <v>7599</v>
      </c>
      <c r="L799" s="99" t="str">
        <f t="shared" si="48"/>
        <v>W222E.C</v>
      </c>
      <c r="M799" s="13"/>
      <c r="N799" s="13"/>
      <c r="O799" s="13"/>
      <c r="P799" s="47"/>
      <c r="Q799" s="45"/>
      <c r="R799" s="45"/>
      <c r="S799" s="48"/>
      <c r="T799" s="49" t="str">
        <f t="shared" si="47"/>
        <v>[W222E.C]</v>
      </c>
      <c r="U799" s="12" t="str">
        <f t="shared" si="50"/>
        <v/>
      </c>
      <c r="V799" s="49" t="str">
        <f t="shared" si="49"/>
        <v>[W222E.C]</v>
      </c>
    </row>
    <row r="800" spans="1:22" s="49" customFormat="1" ht="14.15" customHeight="1">
      <c r="A800" s="43"/>
      <c r="B800" s="44" t="s">
        <v>157</v>
      </c>
      <c r="C800" s="54"/>
      <c r="D800" s="10" t="s">
        <v>29</v>
      </c>
      <c r="E800" s="11"/>
      <c r="F800" s="11" t="s">
        <v>18</v>
      </c>
      <c r="G800" s="13"/>
      <c r="H800" s="45" t="s">
        <v>16</v>
      </c>
      <c r="I800" s="47"/>
      <c r="J800" s="12" t="s">
        <v>3250</v>
      </c>
      <c r="K800" s="13" t="s">
        <v>7600</v>
      </c>
      <c r="L800" s="99" t="str">
        <f t="shared" si="48"/>
        <v>W222E.D</v>
      </c>
      <c r="M800" s="13"/>
      <c r="N800" s="13"/>
      <c r="O800" s="13"/>
      <c r="P800" s="47"/>
      <c r="Q800" s="45"/>
      <c r="R800" s="45"/>
      <c r="S800" s="48"/>
      <c r="T800" s="49" t="str">
        <f t="shared" si="47"/>
        <v>[W222E.D]</v>
      </c>
      <c r="U800" s="12" t="str">
        <f t="shared" si="50"/>
        <v/>
      </c>
      <c r="V800" s="49" t="str">
        <f t="shared" si="49"/>
        <v>[W222E.D]</v>
      </c>
    </row>
    <row r="801" spans="1:22" s="49" customFormat="1" ht="14.15" customHeight="1">
      <c r="A801" s="43"/>
      <c r="B801" s="44" t="s">
        <v>157</v>
      </c>
      <c r="C801" s="54"/>
      <c r="D801" s="10" t="s">
        <v>29</v>
      </c>
      <c r="E801" s="11"/>
      <c r="F801" s="11" t="s">
        <v>18</v>
      </c>
      <c r="G801" s="13"/>
      <c r="H801" s="45" t="s">
        <v>16</v>
      </c>
      <c r="I801" s="47"/>
      <c r="J801" s="12" t="s">
        <v>3251</v>
      </c>
      <c r="K801" s="13" t="s">
        <v>7601</v>
      </c>
      <c r="L801" s="99" t="str">
        <f t="shared" si="48"/>
        <v>W222E.E</v>
      </c>
      <c r="M801" s="13"/>
      <c r="N801" s="13"/>
      <c r="O801" s="13"/>
      <c r="P801" s="47"/>
      <c r="Q801" s="45"/>
      <c r="R801" s="45"/>
      <c r="S801" s="48"/>
      <c r="T801" s="49" t="str">
        <f t="shared" si="47"/>
        <v>[W222E.E]</v>
      </c>
      <c r="U801" s="12" t="str">
        <f t="shared" si="50"/>
        <v/>
      </c>
      <c r="V801" s="49" t="str">
        <f t="shared" si="49"/>
        <v>[W222E.E]</v>
      </c>
    </row>
    <row r="802" spans="1:22" s="49" customFormat="1" ht="14.15" customHeight="1">
      <c r="A802" s="43"/>
      <c r="B802" s="44" t="s">
        <v>157</v>
      </c>
      <c r="C802" s="54"/>
      <c r="D802" s="10" t="s">
        <v>29</v>
      </c>
      <c r="E802" s="11"/>
      <c r="F802" s="11" t="s">
        <v>18</v>
      </c>
      <c r="G802" s="13"/>
      <c r="H802" s="45" t="s">
        <v>16</v>
      </c>
      <c r="I802" s="47"/>
      <c r="J802" s="12" t="s">
        <v>3252</v>
      </c>
      <c r="K802" s="13" t="s">
        <v>7602</v>
      </c>
      <c r="L802" s="99" t="str">
        <f t="shared" si="48"/>
        <v>W222E.F</v>
      </c>
      <c r="M802" s="13"/>
      <c r="N802" s="13"/>
      <c r="O802" s="13"/>
      <c r="P802" s="47"/>
      <c r="Q802" s="45"/>
      <c r="R802" s="45"/>
      <c r="S802" s="48"/>
      <c r="T802" s="49" t="str">
        <f t="shared" si="47"/>
        <v>[W222E.F]</v>
      </c>
      <c r="U802" s="12" t="str">
        <f t="shared" si="50"/>
        <v/>
      </c>
      <c r="V802" s="49" t="str">
        <f t="shared" si="49"/>
        <v>[W222E.F]</v>
      </c>
    </row>
    <row r="803" spans="1:22" s="49" customFormat="1" ht="14.15" customHeight="1">
      <c r="A803" s="43"/>
      <c r="B803" s="44" t="s">
        <v>157</v>
      </c>
      <c r="C803" s="54"/>
      <c r="D803" s="10" t="s">
        <v>29</v>
      </c>
      <c r="E803" s="11"/>
      <c r="F803" s="11" t="s">
        <v>18</v>
      </c>
      <c r="G803" s="13"/>
      <c r="H803" s="45" t="s">
        <v>16</v>
      </c>
      <c r="I803" s="47"/>
      <c r="J803" s="12" t="s">
        <v>3253</v>
      </c>
      <c r="K803" s="13" t="s">
        <v>7603</v>
      </c>
      <c r="L803" s="99" t="str">
        <f t="shared" si="48"/>
        <v>W222F.0</v>
      </c>
      <c r="M803" s="13"/>
      <c r="N803" s="13"/>
      <c r="O803" s="13"/>
      <c r="P803" s="47"/>
      <c r="Q803" s="45"/>
      <c r="R803" s="45"/>
      <c r="S803" s="48"/>
      <c r="T803" s="49" t="str">
        <f t="shared" si="47"/>
        <v>[W222F.0]</v>
      </c>
      <c r="U803" s="12" t="str">
        <f t="shared" si="50"/>
        <v/>
      </c>
      <c r="V803" s="49" t="str">
        <f t="shared" si="49"/>
        <v>[W222F.0]</v>
      </c>
    </row>
    <row r="804" spans="1:22" s="49" customFormat="1" ht="14.15" customHeight="1">
      <c r="A804" s="43"/>
      <c r="B804" s="44" t="s">
        <v>157</v>
      </c>
      <c r="C804" s="54"/>
      <c r="D804" s="10" t="s">
        <v>29</v>
      </c>
      <c r="E804" s="11"/>
      <c r="F804" s="11" t="s">
        <v>18</v>
      </c>
      <c r="G804" s="13"/>
      <c r="H804" s="45" t="s">
        <v>16</v>
      </c>
      <c r="I804" s="47"/>
      <c r="J804" s="12" t="s">
        <v>3254</v>
      </c>
      <c r="K804" s="13" t="s">
        <v>7604</v>
      </c>
      <c r="L804" s="99" t="str">
        <f t="shared" si="48"/>
        <v>W222F.1</v>
      </c>
      <c r="M804" s="13"/>
      <c r="N804" s="13"/>
      <c r="O804" s="13"/>
      <c r="P804" s="47"/>
      <c r="Q804" s="45"/>
      <c r="R804" s="45"/>
      <c r="S804" s="48"/>
      <c r="T804" s="49" t="str">
        <f t="shared" si="47"/>
        <v>[W222F.1]</v>
      </c>
      <c r="U804" s="12" t="str">
        <f t="shared" si="50"/>
        <v/>
      </c>
      <c r="V804" s="49" t="str">
        <f t="shared" si="49"/>
        <v>[W222F.1]</v>
      </c>
    </row>
    <row r="805" spans="1:22" s="49" customFormat="1" ht="14.15" customHeight="1">
      <c r="A805" s="43"/>
      <c r="B805" s="44" t="s">
        <v>157</v>
      </c>
      <c r="C805" s="54"/>
      <c r="D805" s="10" t="s">
        <v>29</v>
      </c>
      <c r="E805" s="11"/>
      <c r="F805" s="11" t="s">
        <v>18</v>
      </c>
      <c r="G805" s="13"/>
      <c r="H805" s="45" t="s">
        <v>16</v>
      </c>
      <c r="I805" s="47"/>
      <c r="J805" s="12" t="s">
        <v>3255</v>
      </c>
      <c r="K805" s="13" t="s">
        <v>7605</v>
      </c>
      <c r="L805" s="99" t="str">
        <f t="shared" si="48"/>
        <v>W222F.2</v>
      </c>
      <c r="M805" s="13"/>
      <c r="N805" s="13"/>
      <c r="O805" s="13"/>
      <c r="P805" s="47"/>
      <c r="Q805" s="45"/>
      <c r="R805" s="45"/>
      <c r="S805" s="48"/>
      <c r="T805" s="49" t="str">
        <f t="shared" si="47"/>
        <v>[W222F.2]</v>
      </c>
      <c r="U805" s="12" t="str">
        <f t="shared" si="50"/>
        <v/>
      </c>
      <c r="V805" s="49" t="str">
        <f t="shared" si="49"/>
        <v>[W222F.2]</v>
      </c>
    </row>
    <row r="806" spans="1:22" s="49" customFormat="1" ht="14.15" customHeight="1">
      <c r="A806" s="43"/>
      <c r="B806" s="44" t="s">
        <v>157</v>
      </c>
      <c r="C806" s="54"/>
      <c r="D806" s="10" t="s">
        <v>29</v>
      </c>
      <c r="E806" s="11"/>
      <c r="F806" s="11" t="s">
        <v>18</v>
      </c>
      <c r="G806" s="13"/>
      <c r="H806" s="45" t="s">
        <v>16</v>
      </c>
      <c r="I806" s="47"/>
      <c r="J806" s="12" t="s">
        <v>3256</v>
      </c>
      <c r="K806" s="13" t="s">
        <v>7606</v>
      </c>
      <c r="L806" s="99" t="str">
        <f t="shared" si="48"/>
        <v>W222F.3</v>
      </c>
      <c r="M806" s="13"/>
      <c r="N806" s="13"/>
      <c r="O806" s="13"/>
      <c r="P806" s="47"/>
      <c r="Q806" s="45"/>
      <c r="R806" s="45"/>
      <c r="S806" s="48"/>
      <c r="T806" s="49" t="str">
        <f t="shared" si="47"/>
        <v>[W222F.3]</v>
      </c>
      <c r="U806" s="12" t="str">
        <f t="shared" si="50"/>
        <v/>
      </c>
      <c r="V806" s="49" t="str">
        <f t="shared" si="49"/>
        <v>[W222F.3]</v>
      </c>
    </row>
    <row r="807" spans="1:22" s="49" customFormat="1" ht="14.15" customHeight="1">
      <c r="A807" s="43"/>
      <c r="B807" s="44" t="s">
        <v>157</v>
      </c>
      <c r="C807" s="54"/>
      <c r="D807" s="10" t="s">
        <v>29</v>
      </c>
      <c r="E807" s="11"/>
      <c r="F807" s="11" t="s">
        <v>18</v>
      </c>
      <c r="G807" s="13"/>
      <c r="H807" s="45" t="s">
        <v>16</v>
      </c>
      <c r="I807" s="47"/>
      <c r="J807" s="12" t="s">
        <v>3257</v>
      </c>
      <c r="K807" s="13" t="s">
        <v>7607</v>
      </c>
      <c r="L807" s="99" t="str">
        <f t="shared" si="48"/>
        <v>W222F.4</v>
      </c>
      <c r="M807" s="13"/>
      <c r="N807" s="13"/>
      <c r="O807" s="13"/>
      <c r="P807" s="47"/>
      <c r="Q807" s="45"/>
      <c r="R807" s="45"/>
      <c r="S807" s="48"/>
      <c r="T807" s="49" t="str">
        <f t="shared" si="47"/>
        <v>[W222F.4]</v>
      </c>
      <c r="U807" s="12" t="str">
        <f t="shared" si="50"/>
        <v/>
      </c>
      <c r="V807" s="49" t="str">
        <f t="shared" si="49"/>
        <v>[W222F.4]</v>
      </c>
    </row>
    <row r="808" spans="1:22" s="49" customFormat="1" ht="14.15" customHeight="1">
      <c r="A808" s="43"/>
      <c r="B808" s="44" t="s">
        <v>157</v>
      </c>
      <c r="C808" s="54"/>
      <c r="D808" s="10" t="s">
        <v>29</v>
      </c>
      <c r="E808" s="11"/>
      <c r="F808" s="11" t="s">
        <v>18</v>
      </c>
      <c r="G808" s="13"/>
      <c r="H808" s="45" t="s">
        <v>16</v>
      </c>
      <c r="I808" s="47"/>
      <c r="J808" s="12" t="s">
        <v>3258</v>
      </c>
      <c r="K808" s="13" t="s">
        <v>7608</v>
      </c>
      <c r="L808" s="99" t="str">
        <f t="shared" si="48"/>
        <v>W222F.5</v>
      </c>
      <c r="M808" s="13"/>
      <c r="N808" s="13"/>
      <c r="O808" s="13"/>
      <c r="P808" s="47"/>
      <c r="Q808" s="45"/>
      <c r="R808" s="45"/>
      <c r="S808" s="48"/>
      <c r="T808" s="49" t="str">
        <f t="shared" si="47"/>
        <v>[W222F.5]</v>
      </c>
      <c r="U808" s="12" t="str">
        <f t="shared" si="50"/>
        <v/>
      </c>
      <c r="V808" s="49" t="str">
        <f t="shared" si="49"/>
        <v>[W222F.5]</v>
      </c>
    </row>
    <row r="809" spans="1:22" s="49" customFormat="1" ht="14.15" customHeight="1">
      <c r="A809" s="43"/>
      <c r="B809" s="44" t="s">
        <v>157</v>
      </c>
      <c r="C809" s="54"/>
      <c r="D809" s="10" t="s">
        <v>29</v>
      </c>
      <c r="E809" s="11"/>
      <c r="F809" s="11" t="s">
        <v>18</v>
      </c>
      <c r="G809" s="13"/>
      <c r="H809" s="45" t="s">
        <v>16</v>
      </c>
      <c r="I809" s="47"/>
      <c r="J809" s="12" t="s">
        <v>3259</v>
      </c>
      <c r="K809" s="13" t="s">
        <v>7609</v>
      </c>
      <c r="L809" s="99" t="str">
        <f t="shared" si="48"/>
        <v>W222F.6</v>
      </c>
      <c r="M809" s="13"/>
      <c r="N809" s="13"/>
      <c r="O809" s="13"/>
      <c r="P809" s="47"/>
      <c r="Q809" s="45"/>
      <c r="R809" s="45"/>
      <c r="S809" s="48"/>
      <c r="T809" s="49" t="str">
        <f t="shared" si="47"/>
        <v>[W222F.6]</v>
      </c>
      <c r="U809" s="12" t="str">
        <f t="shared" si="50"/>
        <v/>
      </c>
      <c r="V809" s="49" t="str">
        <f t="shared" si="49"/>
        <v>[W222F.6]</v>
      </c>
    </row>
    <row r="810" spans="1:22" s="49" customFormat="1" ht="14.15" customHeight="1">
      <c r="A810" s="43"/>
      <c r="B810" s="44" t="s">
        <v>157</v>
      </c>
      <c r="C810" s="54"/>
      <c r="D810" s="10" t="s">
        <v>29</v>
      </c>
      <c r="E810" s="11"/>
      <c r="F810" s="11" t="s">
        <v>18</v>
      </c>
      <c r="G810" s="13"/>
      <c r="H810" s="45" t="s">
        <v>16</v>
      </c>
      <c r="I810" s="47"/>
      <c r="J810" s="12" t="s">
        <v>3260</v>
      </c>
      <c r="K810" s="13" t="s">
        <v>7610</v>
      </c>
      <c r="L810" s="99" t="str">
        <f t="shared" si="48"/>
        <v>W222F.7</v>
      </c>
      <c r="M810" s="13"/>
      <c r="N810" s="13"/>
      <c r="O810" s="13"/>
      <c r="P810" s="47"/>
      <c r="Q810" s="45"/>
      <c r="R810" s="45"/>
      <c r="S810" s="48"/>
      <c r="T810" s="49" t="str">
        <f t="shared" si="47"/>
        <v>[W222F.7]</v>
      </c>
      <c r="U810" s="12" t="str">
        <f t="shared" si="50"/>
        <v/>
      </c>
      <c r="V810" s="49" t="str">
        <f t="shared" si="49"/>
        <v>[W222F.7]</v>
      </c>
    </row>
    <row r="811" spans="1:22" s="49" customFormat="1" ht="14.15" customHeight="1">
      <c r="A811" s="43"/>
      <c r="B811" s="44" t="s">
        <v>157</v>
      </c>
      <c r="C811" s="54"/>
      <c r="D811" s="10" t="s">
        <v>29</v>
      </c>
      <c r="E811" s="11"/>
      <c r="F811" s="11" t="s">
        <v>18</v>
      </c>
      <c r="G811" s="13"/>
      <c r="H811" s="45" t="s">
        <v>16</v>
      </c>
      <c r="I811" s="47"/>
      <c r="J811" s="12" t="s">
        <v>3261</v>
      </c>
      <c r="K811" s="13" t="s">
        <v>7611</v>
      </c>
      <c r="L811" s="99" t="str">
        <f t="shared" si="48"/>
        <v>W222F.8</v>
      </c>
      <c r="M811" s="13"/>
      <c r="N811" s="13"/>
      <c r="O811" s="13"/>
      <c r="P811" s="47"/>
      <c r="Q811" s="45"/>
      <c r="R811" s="45"/>
      <c r="S811" s="48"/>
      <c r="T811" s="49" t="str">
        <f t="shared" si="47"/>
        <v>[W222F.8]</v>
      </c>
      <c r="U811" s="12" t="str">
        <f t="shared" si="50"/>
        <v/>
      </c>
      <c r="V811" s="49" t="str">
        <f t="shared" si="49"/>
        <v>[W222F.8]</v>
      </c>
    </row>
    <row r="812" spans="1:22" s="49" customFormat="1" ht="14.15" customHeight="1">
      <c r="A812" s="43"/>
      <c r="B812" s="44" t="s">
        <v>157</v>
      </c>
      <c r="C812" s="54"/>
      <c r="D812" s="10" t="s">
        <v>29</v>
      </c>
      <c r="E812" s="11"/>
      <c r="F812" s="11" t="s">
        <v>18</v>
      </c>
      <c r="G812" s="13"/>
      <c r="H812" s="45" t="s">
        <v>16</v>
      </c>
      <c r="I812" s="47"/>
      <c r="J812" s="12" t="s">
        <v>3262</v>
      </c>
      <c r="K812" s="13" t="s">
        <v>7612</v>
      </c>
      <c r="L812" s="99" t="str">
        <f t="shared" si="48"/>
        <v>W222F.9</v>
      </c>
      <c r="M812" s="13"/>
      <c r="N812" s="13"/>
      <c r="O812" s="13"/>
      <c r="P812" s="47"/>
      <c r="Q812" s="45"/>
      <c r="R812" s="45"/>
      <c r="S812" s="48"/>
      <c r="T812" s="49" t="str">
        <f t="shared" si="47"/>
        <v>[W222F.9]</v>
      </c>
      <c r="U812" s="12" t="str">
        <f t="shared" si="50"/>
        <v/>
      </c>
      <c r="V812" s="49" t="str">
        <f t="shared" si="49"/>
        <v>[W222F.9]</v>
      </c>
    </row>
    <row r="813" spans="1:22" s="49" customFormat="1" ht="14.15" customHeight="1">
      <c r="A813" s="43"/>
      <c r="B813" s="44" t="s">
        <v>157</v>
      </c>
      <c r="C813" s="54"/>
      <c r="D813" s="10" t="s">
        <v>29</v>
      </c>
      <c r="E813" s="11"/>
      <c r="F813" s="11" t="s">
        <v>18</v>
      </c>
      <c r="G813" s="13"/>
      <c r="H813" s="45" t="s">
        <v>16</v>
      </c>
      <c r="I813" s="47"/>
      <c r="J813" s="12" t="s">
        <v>3263</v>
      </c>
      <c r="K813" s="13" t="s">
        <v>7613</v>
      </c>
      <c r="L813" s="99" t="str">
        <f t="shared" si="48"/>
        <v>W222F.A</v>
      </c>
      <c r="M813" s="13"/>
      <c r="N813" s="13"/>
      <c r="O813" s="13"/>
      <c r="P813" s="47"/>
      <c r="Q813" s="45"/>
      <c r="R813" s="45"/>
      <c r="S813" s="48"/>
      <c r="T813" s="49" t="str">
        <f t="shared" si="47"/>
        <v>[W222F.A]</v>
      </c>
      <c r="U813" s="12" t="str">
        <f t="shared" si="50"/>
        <v/>
      </c>
      <c r="V813" s="49" t="str">
        <f t="shared" si="49"/>
        <v>[W222F.A]</v>
      </c>
    </row>
    <row r="814" spans="1:22" s="49" customFormat="1" ht="14.15" customHeight="1">
      <c r="A814" s="43"/>
      <c r="B814" s="44" t="s">
        <v>157</v>
      </c>
      <c r="C814" s="54"/>
      <c r="D814" s="10" t="s">
        <v>29</v>
      </c>
      <c r="E814" s="11"/>
      <c r="F814" s="11" t="s">
        <v>18</v>
      </c>
      <c r="G814" s="13"/>
      <c r="H814" s="45" t="s">
        <v>16</v>
      </c>
      <c r="I814" s="47"/>
      <c r="J814" s="12" t="s">
        <v>3264</v>
      </c>
      <c r="K814" s="13" t="s">
        <v>7614</v>
      </c>
      <c r="L814" s="99" t="str">
        <f t="shared" si="48"/>
        <v>W222F.B</v>
      </c>
      <c r="M814" s="13"/>
      <c r="N814" s="13"/>
      <c r="O814" s="13"/>
      <c r="P814" s="47"/>
      <c r="Q814" s="45"/>
      <c r="R814" s="45"/>
      <c r="S814" s="48"/>
      <c r="T814" s="49" t="str">
        <f t="shared" si="47"/>
        <v>[W222F.B]</v>
      </c>
      <c r="U814" s="12" t="str">
        <f t="shared" si="50"/>
        <v/>
      </c>
      <c r="V814" s="49" t="str">
        <f t="shared" si="49"/>
        <v>[W222F.B]</v>
      </c>
    </row>
    <row r="815" spans="1:22" s="49" customFormat="1" ht="14.15" customHeight="1">
      <c r="A815" s="43"/>
      <c r="B815" s="44" t="s">
        <v>157</v>
      </c>
      <c r="C815" s="54"/>
      <c r="D815" s="10" t="s">
        <v>29</v>
      </c>
      <c r="E815" s="11"/>
      <c r="F815" s="11" t="s">
        <v>18</v>
      </c>
      <c r="G815" s="13"/>
      <c r="H815" s="45" t="s">
        <v>16</v>
      </c>
      <c r="I815" s="47"/>
      <c r="J815" s="12" t="s">
        <v>3265</v>
      </c>
      <c r="K815" s="13" t="s">
        <v>7615</v>
      </c>
      <c r="L815" s="99" t="str">
        <f t="shared" si="48"/>
        <v>W222F.C</v>
      </c>
      <c r="M815" s="13"/>
      <c r="N815" s="13"/>
      <c r="O815" s="13"/>
      <c r="P815" s="47"/>
      <c r="Q815" s="45"/>
      <c r="R815" s="45"/>
      <c r="S815" s="48"/>
      <c r="T815" s="49" t="str">
        <f t="shared" si="47"/>
        <v>[W222F.C]</v>
      </c>
      <c r="U815" s="12" t="str">
        <f t="shared" si="50"/>
        <v/>
      </c>
      <c r="V815" s="49" t="str">
        <f t="shared" si="49"/>
        <v>[W222F.C]</v>
      </c>
    </row>
    <row r="816" spans="1:22" s="49" customFormat="1" ht="14.15" customHeight="1">
      <c r="A816" s="43"/>
      <c r="B816" s="44" t="s">
        <v>157</v>
      </c>
      <c r="C816" s="54"/>
      <c r="D816" s="10" t="s">
        <v>29</v>
      </c>
      <c r="E816" s="11"/>
      <c r="F816" s="11" t="s">
        <v>18</v>
      </c>
      <c r="G816" s="13"/>
      <c r="H816" s="45" t="s">
        <v>16</v>
      </c>
      <c r="I816" s="47"/>
      <c r="J816" s="12" t="s">
        <v>3266</v>
      </c>
      <c r="K816" s="13" t="s">
        <v>7616</v>
      </c>
      <c r="L816" s="99" t="str">
        <f t="shared" si="48"/>
        <v>W222F.D</v>
      </c>
      <c r="M816" s="13"/>
      <c r="N816" s="13"/>
      <c r="O816" s="13"/>
      <c r="P816" s="47"/>
      <c r="Q816" s="45"/>
      <c r="R816" s="45"/>
      <c r="S816" s="48"/>
      <c r="T816" s="49" t="str">
        <f t="shared" si="47"/>
        <v>[W222F.D]</v>
      </c>
      <c r="U816" s="12" t="str">
        <f t="shared" si="50"/>
        <v/>
      </c>
      <c r="V816" s="49" t="str">
        <f t="shared" si="49"/>
        <v>[W222F.D]</v>
      </c>
    </row>
    <row r="817" spans="1:22" s="49" customFormat="1" ht="14.15" customHeight="1">
      <c r="A817" s="44"/>
      <c r="B817" s="44" t="s">
        <v>157</v>
      </c>
      <c r="C817" s="50"/>
      <c r="D817" s="10" t="s">
        <v>29</v>
      </c>
      <c r="E817" s="11"/>
      <c r="F817" s="11" t="s">
        <v>18</v>
      </c>
      <c r="G817" s="13"/>
      <c r="H817" s="45" t="s">
        <v>16</v>
      </c>
      <c r="I817" s="47"/>
      <c r="J817" s="12" t="s">
        <v>3267</v>
      </c>
      <c r="K817" s="13" t="s">
        <v>7617</v>
      </c>
      <c r="L817" s="99" t="str">
        <f t="shared" si="48"/>
        <v>W222F.E</v>
      </c>
      <c r="M817" s="13"/>
      <c r="N817" s="13"/>
      <c r="O817" s="13"/>
      <c r="P817" s="47"/>
      <c r="Q817" s="45"/>
      <c r="R817" s="45"/>
      <c r="S817" s="48"/>
      <c r="T817" s="49" t="str">
        <f t="shared" si="47"/>
        <v>[W222F.E]</v>
      </c>
      <c r="U817" s="12" t="str">
        <f t="shared" si="50"/>
        <v/>
      </c>
      <c r="V817" s="49" t="str">
        <f t="shared" si="49"/>
        <v>[W222F.E]</v>
      </c>
    </row>
    <row r="818" spans="1:22" s="49" customFormat="1" ht="14.15" customHeight="1">
      <c r="A818" s="44"/>
      <c r="B818" s="44" t="s">
        <v>157</v>
      </c>
      <c r="C818" s="50"/>
      <c r="D818" s="10" t="s">
        <v>29</v>
      </c>
      <c r="E818" s="11"/>
      <c r="F818" s="11" t="s">
        <v>18</v>
      </c>
      <c r="G818" s="13"/>
      <c r="H818" s="45" t="s">
        <v>16</v>
      </c>
      <c r="I818" s="47"/>
      <c r="J818" s="12" t="s">
        <v>3268</v>
      </c>
      <c r="K818" s="13" t="s">
        <v>7618</v>
      </c>
      <c r="L818" s="99" t="str">
        <f t="shared" si="48"/>
        <v>W222F.F</v>
      </c>
      <c r="M818" s="13"/>
      <c r="N818" s="13"/>
      <c r="O818" s="13"/>
      <c r="P818" s="47"/>
      <c r="Q818" s="45"/>
      <c r="R818" s="45"/>
      <c r="S818" s="48"/>
      <c r="T818" s="49" t="str">
        <f t="shared" si="47"/>
        <v>[W222F.F]</v>
      </c>
      <c r="U818" s="12" t="str">
        <f t="shared" si="50"/>
        <v/>
      </c>
      <c r="V818" s="49" t="str">
        <f t="shared" si="49"/>
        <v>[W222F.F]</v>
      </c>
    </row>
    <row r="819" spans="1:22" s="49" customFormat="1" ht="14.15" customHeight="1">
      <c r="A819" s="44"/>
      <c r="B819" s="44" t="s">
        <v>157</v>
      </c>
      <c r="C819" s="50"/>
      <c r="D819" s="10" t="s">
        <v>29</v>
      </c>
      <c r="E819" s="11"/>
      <c r="F819" s="11" t="s">
        <v>18</v>
      </c>
      <c r="G819" s="13"/>
      <c r="H819" s="45" t="s">
        <v>16</v>
      </c>
      <c r="I819" s="47"/>
      <c r="J819" s="12" t="s">
        <v>3269</v>
      </c>
      <c r="K819" s="13" t="s">
        <v>7619</v>
      </c>
      <c r="L819" s="99" t="str">
        <f t="shared" si="48"/>
        <v>W2230.0</v>
      </c>
      <c r="M819" s="13"/>
      <c r="N819" s="13"/>
      <c r="O819" s="13"/>
      <c r="P819" s="47"/>
      <c r="Q819" s="45"/>
      <c r="R819" s="45"/>
      <c r="S819" s="48"/>
      <c r="T819" s="49" t="str">
        <f t="shared" ref="T819:T882" si="54">"["&amp;L819&amp;"]"</f>
        <v>[W2230.0]</v>
      </c>
      <c r="U819" s="12" t="str">
        <f t="shared" si="50"/>
        <v/>
      </c>
      <c r="V819" s="49" t="str">
        <f t="shared" si="49"/>
        <v>[W2230.0]</v>
      </c>
    </row>
    <row r="820" spans="1:22" s="49" customFormat="1" ht="14.15" customHeight="1">
      <c r="A820" s="44"/>
      <c r="B820" s="44" t="s">
        <v>157</v>
      </c>
      <c r="C820" s="50"/>
      <c r="D820" s="10" t="s">
        <v>29</v>
      </c>
      <c r="E820" s="11"/>
      <c r="F820" s="11" t="s">
        <v>18</v>
      </c>
      <c r="G820" s="13"/>
      <c r="H820" s="45" t="s">
        <v>16</v>
      </c>
      <c r="I820" s="47"/>
      <c r="J820" s="12" t="s">
        <v>3270</v>
      </c>
      <c r="K820" s="13" t="s">
        <v>7620</v>
      </c>
      <c r="L820" s="99" t="str">
        <f t="shared" ref="L820:L883" si="55">"W"&amp;DEC2HEX(8704 + INT((ROW()-51)/16)) &amp; "." &amp; IF(MOD(ROW()-51,16)&lt;10,MOD(ROW()-51,16),CHAR(MOD(ROW()-51,16)+55))</f>
        <v>W2230.1</v>
      </c>
      <c r="M820" s="13"/>
      <c r="N820" s="13"/>
      <c r="O820" s="13"/>
      <c r="P820" s="47"/>
      <c r="Q820" s="45"/>
      <c r="R820" s="45"/>
      <c r="S820" s="48"/>
      <c r="T820" s="49" t="str">
        <f t="shared" si="54"/>
        <v>[W2230.1]</v>
      </c>
      <c r="U820" s="12" t="str">
        <f t="shared" si="50"/>
        <v/>
      </c>
      <c r="V820" s="49" t="str">
        <f t="shared" ref="V820:V883" si="56">T820&amp;U820</f>
        <v>[W2230.1]</v>
      </c>
    </row>
    <row r="821" spans="1:22" s="49" customFormat="1" ht="14.15" customHeight="1">
      <c r="A821" s="44"/>
      <c r="B821" s="44" t="s">
        <v>157</v>
      </c>
      <c r="C821" s="50"/>
      <c r="D821" s="10" t="s">
        <v>29</v>
      </c>
      <c r="E821" s="11"/>
      <c r="F821" s="11" t="s">
        <v>18</v>
      </c>
      <c r="G821" s="13"/>
      <c r="H821" s="45" t="s">
        <v>16</v>
      </c>
      <c r="I821" s="47"/>
      <c r="J821" s="12" t="s">
        <v>3271</v>
      </c>
      <c r="K821" s="13" t="s">
        <v>7621</v>
      </c>
      <c r="L821" s="99" t="str">
        <f t="shared" si="55"/>
        <v>W2230.2</v>
      </c>
      <c r="M821" s="13"/>
      <c r="N821" s="13"/>
      <c r="O821" s="13"/>
      <c r="P821" s="47"/>
      <c r="Q821" s="45"/>
      <c r="R821" s="45"/>
      <c r="S821" s="48"/>
      <c r="T821" s="49" t="str">
        <f t="shared" si="54"/>
        <v>[W2230.2]</v>
      </c>
      <c r="U821" s="12" t="str">
        <f t="shared" si="50"/>
        <v/>
      </c>
      <c r="V821" s="49" t="str">
        <f t="shared" si="56"/>
        <v>[W2230.2]</v>
      </c>
    </row>
    <row r="822" spans="1:22" s="49" customFormat="1" ht="14.15" customHeight="1">
      <c r="A822" s="44"/>
      <c r="B822" s="44" t="s">
        <v>157</v>
      </c>
      <c r="C822" s="50"/>
      <c r="D822" s="10" t="s">
        <v>29</v>
      </c>
      <c r="E822" s="11"/>
      <c r="F822" s="11" t="s">
        <v>18</v>
      </c>
      <c r="G822" s="13"/>
      <c r="H822" s="45" t="s">
        <v>16</v>
      </c>
      <c r="I822" s="47"/>
      <c r="J822" s="12" t="s">
        <v>3272</v>
      </c>
      <c r="K822" s="13" t="s">
        <v>7622</v>
      </c>
      <c r="L822" s="99" t="str">
        <f t="shared" si="55"/>
        <v>W2230.3</v>
      </c>
      <c r="M822" s="13"/>
      <c r="N822" s="13"/>
      <c r="O822" s="13"/>
      <c r="P822" s="47"/>
      <c r="Q822" s="45"/>
      <c r="R822" s="45"/>
      <c r="S822" s="48"/>
      <c r="T822" s="49" t="str">
        <f t="shared" si="54"/>
        <v>[W2230.3]</v>
      </c>
      <c r="U822" s="12" t="str">
        <f t="shared" si="50"/>
        <v/>
      </c>
      <c r="V822" s="49" t="str">
        <f t="shared" si="56"/>
        <v>[W2230.3]</v>
      </c>
    </row>
    <row r="823" spans="1:22" s="49" customFormat="1" ht="14.15" customHeight="1">
      <c r="A823" s="44"/>
      <c r="B823" s="44" t="s">
        <v>157</v>
      </c>
      <c r="C823" s="50"/>
      <c r="D823" s="10" t="s">
        <v>29</v>
      </c>
      <c r="E823" s="11"/>
      <c r="F823" s="11" t="s">
        <v>18</v>
      </c>
      <c r="G823" s="13"/>
      <c r="H823" s="45" t="s">
        <v>16</v>
      </c>
      <c r="I823" s="47"/>
      <c r="J823" s="12" t="s">
        <v>3273</v>
      </c>
      <c r="K823" s="13" t="s">
        <v>7623</v>
      </c>
      <c r="L823" s="99" t="str">
        <f t="shared" si="55"/>
        <v>W2230.4</v>
      </c>
      <c r="M823" s="13"/>
      <c r="N823" s="13"/>
      <c r="O823" s="13"/>
      <c r="P823" s="47"/>
      <c r="Q823" s="45"/>
      <c r="R823" s="45"/>
      <c r="S823" s="48"/>
      <c r="T823" s="49" t="str">
        <f t="shared" si="54"/>
        <v>[W2230.4]</v>
      </c>
      <c r="U823" s="12" t="str">
        <f t="shared" si="50"/>
        <v/>
      </c>
      <c r="V823" s="49" t="str">
        <f t="shared" si="56"/>
        <v>[W2230.4]</v>
      </c>
    </row>
    <row r="824" spans="1:22" s="49" customFormat="1" ht="14.15" customHeight="1">
      <c r="A824" s="44"/>
      <c r="B824" s="44" t="s">
        <v>157</v>
      </c>
      <c r="C824" s="50"/>
      <c r="D824" s="10" t="s">
        <v>29</v>
      </c>
      <c r="E824" s="11"/>
      <c r="F824" s="11" t="s">
        <v>18</v>
      </c>
      <c r="G824" s="13"/>
      <c r="H824" s="45" t="s">
        <v>16</v>
      </c>
      <c r="I824" s="47"/>
      <c r="J824" s="12" t="s">
        <v>3274</v>
      </c>
      <c r="K824" s="13" t="s">
        <v>7624</v>
      </c>
      <c r="L824" s="99" t="str">
        <f t="shared" si="55"/>
        <v>W2230.5</v>
      </c>
      <c r="M824" s="13"/>
      <c r="N824" s="13"/>
      <c r="O824" s="13"/>
      <c r="P824" s="47"/>
      <c r="Q824" s="45"/>
      <c r="R824" s="45"/>
      <c r="S824" s="48"/>
      <c r="T824" s="49" t="str">
        <f t="shared" si="54"/>
        <v>[W2230.5]</v>
      </c>
      <c r="U824" s="12" t="str">
        <f t="shared" ref="U824:U887" si="57">RIGHT(J824,LEN(J824)-7)</f>
        <v/>
      </c>
      <c r="V824" s="49" t="str">
        <f t="shared" si="56"/>
        <v>[W2230.5]</v>
      </c>
    </row>
    <row r="825" spans="1:22" s="49" customFormat="1" ht="14.15" customHeight="1">
      <c r="A825" s="44"/>
      <c r="B825" s="44" t="s">
        <v>157</v>
      </c>
      <c r="C825" s="50"/>
      <c r="D825" s="10" t="s">
        <v>29</v>
      </c>
      <c r="E825" s="11"/>
      <c r="F825" s="11" t="s">
        <v>18</v>
      </c>
      <c r="G825" s="13"/>
      <c r="H825" s="45" t="s">
        <v>16</v>
      </c>
      <c r="I825" s="47"/>
      <c r="J825" s="12" t="s">
        <v>3275</v>
      </c>
      <c r="K825" s="13" t="s">
        <v>7625</v>
      </c>
      <c r="L825" s="99" t="str">
        <f t="shared" si="55"/>
        <v>W2230.6</v>
      </c>
      <c r="M825" s="13"/>
      <c r="N825" s="13"/>
      <c r="O825" s="13"/>
      <c r="P825" s="47"/>
      <c r="Q825" s="45"/>
      <c r="R825" s="45"/>
      <c r="S825" s="48"/>
      <c r="T825" s="49" t="str">
        <f t="shared" si="54"/>
        <v>[W2230.6]</v>
      </c>
      <c r="U825" s="12" t="str">
        <f t="shared" si="57"/>
        <v/>
      </c>
      <c r="V825" s="49" t="str">
        <f t="shared" si="56"/>
        <v>[W2230.6]</v>
      </c>
    </row>
    <row r="826" spans="1:22" s="49" customFormat="1" ht="14.15" customHeight="1">
      <c r="A826" s="44"/>
      <c r="B826" s="44" t="s">
        <v>157</v>
      </c>
      <c r="C826" s="50"/>
      <c r="D826" s="10" t="s">
        <v>29</v>
      </c>
      <c r="E826" s="11"/>
      <c r="F826" s="11" t="s">
        <v>18</v>
      </c>
      <c r="G826" s="13"/>
      <c r="H826" s="45" t="s">
        <v>16</v>
      </c>
      <c r="I826" s="47"/>
      <c r="J826" s="12" t="s">
        <v>3276</v>
      </c>
      <c r="K826" s="13" t="s">
        <v>7626</v>
      </c>
      <c r="L826" s="99" t="str">
        <f t="shared" si="55"/>
        <v>W2230.7</v>
      </c>
      <c r="M826" s="13"/>
      <c r="N826" s="13"/>
      <c r="O826" s="13"/>
      <c r="P826" s="47"/>
      <c r="Q826" s="45"/>
      <c r="R826" s="45"/>
      <c r="S826" s="48"/>
      <c r="T826" s="49" t="str">
        <f t="shared" si="54"/>
        <v>[W2230.7]</v>
      </c>
      <c r="U826" s="12" t="str">
        <f t="shared" si="57"/>
        <v/>
      </c>
      <c r="V826" s="49" t="str">
        <f t="shared" si="56"/>
        <v>[W2230.7]</v>
      </c>
    </row>
    <row r="827" spans="1:22" s="49" customFormat="1" ht="14.15" customHeight="1">
      <c r="A827" s="44"/>
      <c r="B827" s="44" t="s">
        <v>157</v>
      </c>
      <c r="C827" s="50"/>
      <c r="D827" s="10" t="s">
        <v>29</v>
      </c>
      <c r="E827" s="11"/>
      <c r="F827" s="11" t="s">
        <v>18</v>
      </c>
      <c r="G827" s="13"/>
      <c r="H827" s="45" t="s">
        <v>16</v>
      </c>
      <c r="I827" s="47"/>
      <c r="J827" s="12" t="s">
        <v>3277</v>
      </c>
      <c r="K827" s="13" t="s">
        <v>7627</v>
      </c>
      <c r="L827" s="99" t="str">
        <f t="shared" si="55"/>
        <v>W2230.8</v>
      </c>
      <c r="M827" s="13"/>
      <c r="N827" s="13"/>
      <c r="O827" s="13"/>
      <c r="P827" s="47"/>
      <c r="Q827" s="45"/>
      <c r="R827" s="45"/>
      <c r="S827" s="48"/>
      <c r="T827" s="49" t="str">
        <f t="shared" si="54"/>
        <v>[W2230.8]</v>
      </c>
      <c r="U827" s="12" t="str">
        <f t="shared" si="57"/>
        <v/>
      </c>
      <c r="V827" s="49" t="str">
        <f t="shared" si="56"/>
        <v>[W2230.8]</v>
      </c>
    </row>
    <row r="828" spans="1:22" s="49" customFormat="1" ht="14.15" customHeight="1">
      <c r="A828" s="44"/>
      <c r="B828" s="44" t="s">
        <v>157</v>
      </c>
      <c r="C828" s="50"/>
      <c r="D828" s="10" t="s">
        <v>29</v>
      </c>
      <c r="E828" s="11"/>
      <c r="F828" s="11" t="s">
        <v>18</v>
      </c>
      <c r="G828" s="13"/>
      <c r="H828" s="45" t="s">
        <v>16</v>
      </c>
      <c r="I828" s="47"/>
      <c r="J828" s="12" t="s">
        <v>3278</v>
      </c>
      <c r="K828" s="13" t="s">
        <v>7628</v>
      </c>
      <c r="L828" s="99" t="str">
        <f t="shared" si="55"/>
        <v>W2230.9</v>
      </c>
      <c r="M828" s="13"/>
      <c r="N828" s="13"/>
      <c r="O828" s="13"/>
      <c r="P828" s="47"/>
      <c r="Q828" s="45"/>
      <c r="R828" s="45"/>
      <c r="S828" s="48"/>
      <c r="T828" s="49" t="str">
        <f t="shared" si="54"/>
        <v>[W2230.9]</v>
      </c>
      <c r="U828" s="12" t="str">
        <f t="shared" si="57"/>
        <v/>
      </c>
      <c r="V828" s="49" t="str">
        <f t="shared" si="56"/>
        <v>[W2230.9]</v>
      </c>
    </row>
    <row r="829" spans="1:22" s="49" customFormat="1" ht="14.15" customHeight="1">
      <c r="A829" s="44"/>
      <c r="B829" s="44" t="s">
        <v>157</v>
      </c>
      <c r="C829" s="50"/>
      <c r="D829" s="10" t="s">
        <v>29</v>
      </c>
      <c r="E829" s="11"/>
      <c r="F829" s="11" t="s">
        <v>18</v>
      </c>
      <c r="G829" s="13"/>
      <c r="H829" s="45" t="s">
        <v>16</v>
      </c>
      <c r="I829" s="47"/>
      <c r="J829" s="12" t="s">
        <v>3279</v>
      </c>
      <c r="K829" s="13" t="s">
        <v>7629</v>
      </c>
      <c r="L829" s="99" t="str">
        <f t="shared" si="55"/>
        <v>W2230.A</v>
      </c>
      <c r="M829" s="13"/>
      <c r="N829" s="13"/>
      <c r="O829" s="13"/>
      <c r="P829" s="47"/>
      <c r="Q829" s="45"/>
      <c r="R829" s="45"/>
      <c r="S829" s="48"/>
      <c r="T829" s="49" t="str">
        <f t="shared" si="54"/>
        <v>[W2230.A]</v>
      </c>
      <c r="U829" s="12" t="str">
        <f t="shared" si="57"/>
        <v/>
      </c>
      <c r="V829" s="49" t="str">
        <f t="shared" si="56"/>
        <v>[W2230.A]</v>
      </c>
    </row>
    <row r="830" spans="1:22" s="49" customFormat="1" ht="14.15" customHeight="1">
      <c r="A830" s="44"/>
      <c r="B830" s="44" t="s">
        <v>157</v>
      </c>
      <c r="C830" s="50"/>
      <c r="D830" s="10" t="s">
        <v>29</v>
      </c>
      <c r="E830" s="11"/>
      <c r="F830" s="11" t="s">
        <v>18</v>
      </c>
      <c r="G830" s="13"/>
      <c r="H830" s="45" t="s">
        <v>16</v>
      </c>
      <c r="I830" s="47"/>
      <c r="J830" s="12" t="s">
        <v>3280</v>
      </c>
      <c r="K830" s="13" t="s">
        <v>7630</v>
      </c>
      <c r="L830" s="99" t="str">
        <f t="shared" si="55"/>
        <v>W2230.B</v>
      </c>
      <c r="M830" s="13"/>
      <c r="N830" s="13"/>
      <c r="O830" s="13"/>
      <c r="P830" s="47"/>
      <c r="Q830" s="45"/>
      <c r="R830" s="45"/>
      <c r="S830" s="48"/>
      <c r="T830" s="49" t="str">
        <f t="shared" si="54"/>
        <v>[W2230.B]</v>
      </c>
      <c r="U830" s="12" t="str">
        <f t="shared" si="57"/>
        <v/>
      </c>
      <c r="V830" s="49" t="str">
        <f t="shared" si="56"/>
        <v>[W2230.B]</v>
      </c>
    </row>
    <row r="831" spans="1:22" s="49" customFormat="1" ht="14.15" customHeight="1">
      <c r="A831" s="44"/>
      <c r="B831" s="44" t="s">
        <v>157</v>
      </c>
      <c r="C831" s="50"/>
      <c r="D831" s="10" t="s">
        <v>29</v>
      </c>
      <c r="E831" s="11"/>
      <c r="F831" s="11" t="s">
        <v>18</v>
      </c>
      <c r="G831" s="13"/>
      <c r="H831" s="45" t="s">
        <v>16</v>
      </c>
      <c r="I831" s="47"/>
      <c r="J831" s="12" t="s">
        <v>3920</v>
      </c>
      <c r="K831" s="13" t="s">
        <v>7631</v>
      </c>
      <c r="L831" s="99" t="str">
        <f t="shared" si="55"/>
        <v>W2230.C</v>
      </c>
      <c r="M831" s="13"/>
      <c r="N831" s="13"/>
      <c r="O831" s="13"/>
      <c r="P831" s="47"/>
      <c r="Q831" s="45"/>
      <c r="R831" s="45"/>
      <c r="S831" s="48"/>
      <c r="T831" s="49" t="str">
        <f t="shared" si="54"/>
        <v>[W2230.C]</v>
      </c>
      <c r="U831" s="12" t="str">
        <f t="shared" si="57"/>
        <v/>
      </c>
      <c r="V831" s="49" t="str">
        <f t="shared" si="56"/>
        <v>[W2230.C]</v>
      </c>
    </row>
    <row r="832" spans="1:22" s="49" customFormat="1" ht="14.15" customHeight="1">
      <c r="A832" s="44"/>
      <c r="B832" s="44" t="s">
        <v>157</v>
      </c>
      <c r="C832" s="50"/>
      <c r="D832" s="10" t="s">
        <v>29</v>
      </c>
      <c r="E832" s="11"/>
      <c r="F832" s="11" t="s">
        <v>18</v>
      </c>
      <c r="G832" s="13"/>
      <c r="H832" s="45" t="s">
        <v>16</v>
      </c>
      <c r="I832" s="47"/>
      <c r="J832" s="12" t="s">
        <v>3281</v>
      </c>
      <c r="K832" s="13" t="s">
        <v>7632</v>
      </c>
      <c r="L832" s="99" t="str">
        <f t="shared" si="55"/>
        <v>W2230.D</v>
      </c>
      <c r="M832" s="13"/>
      <c r="N832" s="13"/>
      <c r="O832" s="13"/>
      <c r="P832" s="47"/>
      <c r="Q832" s="45"/>
      <c r="R832" s="45"/>
      <c r="S832" s="48"/>
      <c r="T832" s="49" t="str">
        <f t="shared" si="54"/>
        <v>[W2230.D]</v>
      </c>
      <c r="U832" s="12" t="str">
        <f t="shared" si="57"/>
        <v/>
      </c>
      <c r="V832" s="49" t="str">
        <f t="shared" si="56"/>
        <v>[W2230.D]</v>
      </c>
    </row>
    <row r="833" spans="1:22" s="49" customFormat="1" ht="14.15" customHeight="1">
      <c r="A833" s="44"/>
      <c r="B833" s="44" t="s">
        <v>157</v>
      </c>
      <c r="C833" s="50"/>
      <c r="D833" s="10" t="s">
        <v>29</v>
      </c>
      <c r="E833" s="11"/>
      <c r="F833" s="11" t="s">
        <v>18</v>
      </c>
      <c r="G833" s="13"/>
      <c r="H833" s="45" t="s">
        <v>16</v>
      </c>
      <c r="I833" s="47"/>
      <c r="J833" s="12" t="s">
        <v>3282</v>
      </c>
      <c r="K833" s="13" t="s">
        <v>7633</v>
      </c>
      <c r="L833" s="99" t="str">
        <f t="shared" si="55"/>
        <v>W2230.E</v>
      </c>
      <c r="M833" s="13"/>
      <c r="N833" s="13"/>
      <c r="O833" s="13"/>
      <c r="P833" s="47"/>
      <c r="Q833" s="45"/>
      <c r="R833" s="45"/>
      <c r="S833" s="48"/>
      <c r="T833" s="49" t="str">
        <f t="shared" si="54"/>
        <v>[W2230.E]</v>
      </c>
      <c r="U833" s="12" t="str">
        <f t="shared" si="57"/>
        <v/>
      </c>
      <c r="V833" s="49" t="str">
        <f t="shared" si="56"/>
        <v>[W2230.E]</v>
      </c>
    </row>
    <row r="834" spans="1:22" s="49" customFormat="1" ht="14.15" customHeight="1">
      <c r="A834" s="44"/>
      <c r="B834" s="44" t="s">
        <v>157</v>
      </c>
      <c r="C834" s="50"/>
      <c r="D834" s="10" t="s">
        <v>29</v>
      </c>
      <c r="E834" s="11"/>
      <c r="F834" s="11" t="s">
        <v>18</v>
      </c>
      <c r="G834" s="13"/>
      <c r="H834" s="45" t="s">
        <v>16</v>
      </c>
      <c r="I834" s="47"/>
      <c r="J834" s="12" t="s">
        <v>3283</v>
      </c>
      <c r="K834" s="13" t="s">
        <v>7634</v>
      </c>
      <c r="L834" s="99" t="str">
        <f t="shared" si="55"/>
        <v>W2230.F</v>
      </c>
      <c r="M834" s="13"/>
      <c r="N834" s="13"/>
      <c r="O834" s="13"/>
      <c r="P834" s="47"/>
      <c r="Q834" s="45"/>
      <c r="R834" s="45"/>
      <c r="S834" s="48"/>
      <c r="T834" s="49" t="str">
        <f t="shared" si="54"/>
        <v>[W2230.F]</v>
      </c>
      <c r="U834" s="12" t="str">
        <f t="shared" si="57"/>
        <v/>
      </c>
      <c r="V834" s="49" t="str">
        <f t="shared" si="56"/>
        <v>[W2230.F]</v>
      </c>
    </row>
    <row r="835" spans="1:22" s="49" customFormat="1" ht="14.15" customHeight="1">
      <c r="A835" s="44"/>
      <c r="B835" s="44" t="s">
        <v>157</v>
      </c>
      <c r="C835" s="50"/>
      <c r="D835" s="10" t="s">
        <v>29</v>
      </c>
      <c r="E835" s="11"/>
      <c r="F835" s="11" t="s">
        <v>18</v>
      </c>
      <c r="G835" s="13"/>
      <c r="H835" s="45" t="s">
        <v>16</v>
      </c>
      <c r="I835" s="47"/>
      <c r="J835" s="12" t="s">
        <v>3284</v>
      </c>
      <c r="K835" s="13" t="s">
        <v>7635</v>
      </c>
      <c r="L835" s="99" t="str">
        <f t="shared" si="55"/>
        <v>W2231.0</v>
      </c>
      <c r="M835" s="13"/>
      <c r="N835" s="13"/>
      <c r="O835" s="13"/>
      <c r="P835" s="47"/>
      <c r="Q835" s="45"/>
      <c r="R835" s="45"/>
      <c r="S835" s="48"/>
      <c r="T835" s="49" t="str">
        <f t="shared" si="54"/>
        <v>[W2231.0]</v>
      </c>
      <c r="U835" s="12" t="str">
        <f t="shared" si="57"/>
        <v/>
      </c>
      <c r="V835" s="49" t="str">
        <f t="shared" si="56"/>
        <v>[W2231.0]</v>
      </c>
    </row>
    <row r="836" spans="1:22" s="49" customFormat="1" ht="14.15" customHeight="1">
      <c r="A836" s="44"/>
      <c r="B836" s="44" t="s">
        <v>157</v>
      </c>
      <c r="C836" s="50"/>
      <c r="D836" s="10" t="s">
        <v>29</v>
      </c>
      <c r="E836" s="11"/>
      <c r="F836" s="11" t="s">
        <v>18</v>
      </c>
      <c r="G836" s="13"/>
      <c r="H836" s="45" t="s">
        <v>16</v>
      </c>
      <c r="I836" s="47"/>
      <c r="J836" s="12" t="s">
        <v>3285</v>
      </c>
      <c r="K836" s="13" t="s">
        <v>7636</v>
      </c>
      <c r="L836" s="99" t="str">
        <f t="shared" si="55"/>
        <v>W2231.1</v>
      </c>
      <c r="M836" s="13"/>
      <c r="N836" s="13"/>
      <c r="O836" s="13"/>
      <c r="P836" s="47"/>
      <c r="Q836" s="45"/>
      <c r="R836" s="45"/>
      <c r="S836" s="48"/>
      <c r="T836" s="49" t="str">
        <f t="shared" si="54"/>
        <v>[W2231.1]</v>
      </c>
      <c r="U836" s="12" t="str">
        <f t="shared" si="57"/>
        <v/>
      </c>
      <c r="V836" s="49" t="str">
        <f t="shared" si="56"/>
        <v>[W2231.1]</v>
      </c>
    </row>
    <row r="837" spans="1:22" s="49" customFormat="1" ht="14.15" customHeight="1">
      <c r="A837" s="44"/>
      <c r="B837" s="44" t="s">
        <v>157</v>
      </c>
      <c r="C837" s="50"/>
      <c r="D837" s="10" t="s">
        <v>29</v>
      </c>
      <c r="E837" s="11"/>
      <c r="F837" s="11" t="s">
        <v>18</v>
      </c>
      <c r="G837" s="13"/>
      <c r="H837" s="45" t="s">
        <v>16</v>
      </c>
      <c r="I837" s="47"/>
      <c r="J837" s="12" t="s">
        <v>3286</v>
      </c>
      <c r="K837" s="13" t="s">
        <v>7637</v>
      </c>
      <c r="L837" s="99" t="str">
        <f t="shared" si="55"/>
        <v>W2231.2</v>
      </c>
      <c r="M837" s="13"/>
      <c r="N837" s="13"/>
      <c r="O837" s="13"/>
      <c r="P837" s="47"/>
      <c r="Q837" s="45"/>
      <c r="R837" s="45"/>
      <c r="S837" s="48"/>
      <c r="T837" s="49" t="str">
        <f t="shared" si="54"/>
        <v>[W2231.2]</v>
      </c>
      <c r="U837" s="12" t="str">
        <f t="shared" si="57"/>
        <v/>
      </c>
      <c r="V837" s="49" t="str">
        <f t="shared" si="56"/>
        <v>[W2231.2]</v>
      </c>
    </row>
    <row r="838" spans="1:22" s="49" customFormat="1" ht="14.15" customHeight="1">
      <c r="A838" s="44"/>
      <c r="B838" s="44" t="s">
        <v>157</v>
      </c>
      <c r="C838" s="50"/>
      <c r="D838" s="10" t="s">
        <v>29</v>
      </c>
      <c r="E838" s="11"/>
      <c r="F838" s="11" t="s">
        <v>18</v>
      </c>
      <c r="G838" s="13"/>
      <c r="H838" s="45" t="s">
        <v>16</v>
      </c>
      <c r="I838" s="47"/>
      <c r="J838" s="12" t="s">
        <v>3287</v>
      </c>
      <c r="K838" s="13" t="s">
        <v>7638</v>
      </c>
      <c r="L838" s="99" t="str">
        <f t="shared" si="55"/>
        <v>W2231.3</v>
      </c>
      <c r="M838" s="13"/>
      <c r="N838" s="13"/>
      <c r="O838" s="13"/>
      <c r="P838" s="47"/>
      <c r="Q838" s="45"/>
      <c r="R838" s="45"/>
      <c r="S838" s="48"/>
      <c r="T838" s="49" t="str">
        <f t="shared" si="54"/>
        <v>[W2231.3]</v>
      </c>
      <c r="U838" s="12" t="str">
        <f t="shared" si="57"/>
        <v/>
      </c>
      <c r="V838" s="49" t="str">
        <f t="shared" si="56"/>
        <v>[W2231.3]</v>
      </c>
    </row>
    <row r="839" spans="1:22" s="49" customFormat="1" ht="14.15" customHeight="1">
      <c r="A839" s="44"/>
      <c r="B839" s="44" t="s">
        <v>157</v>
      </c>
      <c r="C839" s="50"/>
      <c r="D839" s="10" t="s">
        <v>29</v>
      </c>
      <c r="E839" s="11"/>
      <c r="F839" s="11" t="s">
        <v>18</v>
      </c>
      <c r="G839" s="13"/>
      <c r="H839" s="45" t="s">
        <v>16</v>
      </c>
      <c r="I839" s="47"/>
      <c r="J839" s="12" t="s">
        <v>3288</v>
      </c>
      <c r="K839" s="13" t="s">
        <v>7639</v>
      </c>
      <c r="L839" s="99" t="str">
        <f t="shared" si="55"/>
        <v>W2231.4</v>
      </c>
      <c r="M839" s="13"/>
      <c r="N839" s="13"/>
      <c r="O839" s="13"/>
      <c r="P839" s="47"/>
      <c r="Q839" s="45"/>
      <c r="R839" s="45"/>
      <c r="S839" s="48"/>
      <c r="T839" s="49" t="str">
        <f>"["&amp;L809&amp;"]"</f>
        <v>[W222F.6]</v>
      </c>
      <c r="U839" s="12" t="str">
        <f>RIGHT(J809,LEN(J809)-7)</f>
        <v/>
      </c>
      <c r="V839" s="49" t="str">
        <f>T809&amp;U809</f>
        <v>[W222F.6]</v>
      </c>
    </row>
    <row r="840" spans="1:22" s="49" customFormat="1" ht="14.15" customHeight="1">
      <c r="A840" s="45" t="s">
        <v>3778</v>
      </c>
      <c r="B840" s="44" t="s">
        <v>157</v>
      </c>
      <c r="C840" s="50"/>
      <c r="D840" s="10" t="s">
        <v>29</v>
      </c>
      <c r="E840" s="11"/>
      <c r="F840" s="11" t="s">
        <v>18</v>
      </c>
      <c r="G840" s="13"/>
      <c r="H840" s="45" t="s">
        <v>16</v>
      </c>
      <c r="I840" s="47"/>
      <c r="J840" s="12" t="s">
        <v>698</v>
      </c>
      <c r="K840" s="13" t="s">
        <v>7640</v>
      </c>
      <c r="L840" s="99" t="str">
        <f t="shared" si="55"/>
        <v>W2231.5</v>
      </c>
      <c r="M840" s="13" t="s">
        <v>153</v>
      </c>
      <c r="N840" s="13"/>
      <c r="O840" s="13"/>
      <c r="P840" s="47"/>
      <c r="Q840" s="45" t="s">
        <v>3672</v>
      </c>
      <c r="R840" s="45" t="s">
        <v>5596</v>
      </c>
      <c r="S840" s="48"/>
      <c r="T840" s="49" t="str">
        <f t="shared" si="54"/>
        <v>[W2231.5]</v>
      </c>
      <c r="U840" s="12" t="str">
        <f t="shared" si="57"/>
        <v xml:space="preserve"> OP#1 서보 비상정지 알람</v>
      </c>
      <c r="V840" s="49" t="str">
        <f t="shared" si="56"/>
        <v>[W2231.5] OP#1 서보 비상정지 알람</v>
      </c>
    </row>
    <row r="841" spans="1:22" s="49" customFormat="1" ht="14.15" customHeight="1">
      <c r="A841" s="45" t="s">
        <v>3778</v>
      </c>
      <c r="B841" s="44" t="s">
        <v>157</v>
      </c>
      <c r="C841" s="50"/>
      <c r="D841" s="10" t="s">
        <v>29</v>
      </c>
      <c r="E841" s="11"/>
      <c r="F841" s="11" t="s">
        <v>18</v>
      </c>
      <c r="G841" s="13"/>
      <c r="H841" s="45" t="s">
        <v>16</v>
      </c>
      <c r="I841" s="47"/>
      <c r="J841" s="12" t="s">
        <v>699</v>
      </c>
      <c r="K841" s="13" t="s">
        <v>7641</v>
      </c>
      <c r="L841" s="99" t="str">
        <f t="shared" si="55"/>
        <v>W2231.6</v>
      </c>
      <c r="M841" s="13" t="s">
        <v>153</v>
      </c>
      <c r="N841" s="13"/>
      <c r="O841" s="13"/>
      <c r="P841" s="47"/>
      <c r="Q841" s="45" t="s">
        <v>3672</v>
      </c>
      <c r="R841" s="45" t="s">
        <v>5553</v>
      </c>
      <c r="S841" s="48"/>
      <c r="T841" s="49" t="str">
        <f t="shared" si="54"/>
        <v>[W2231.6]</v>
      </c>
      <c r="U841" s="12" t="str">
        <f t="shared" si="57"/>
        <v xml:space="preserve"> OP#2 서보 비상정지 알람</v>
      </c>
      <c r="V841" s="49" t="str">
        <f t="shared" si="56"/>
        <v>[W2231.6] OP#2 서보 비상정지 알람</v>
      </c>
    </row>
    <row r="842" spans="1:22" s="49" customFormat="1" ht="14.15" customHeight="1">
      <c r="A842" s="45" t="s">
        <v>3778</v>
      </c>
      <c r="B842" s="44" t="s">
        <v>157</v>
      </c>
      <c r="C842" s="50"/>
      <c r="D842" s="10" t="s">
        <v>29</v>
      </c>
      <c r="E842" s="11"/>
      <c r="F842" s="11" t="s">
        <v>18</v>
      </c>
      <c r="G842" s="13"/>
      <c r="H842" s="45" t="s">
        <v>16</v>
      </c>
      <c r="I842" s="47"/>
      <c r="J842" s="12" t="s">
        <v>2386</v>
      </c>
      <c r="K842" s="13" t="s">
        <v>7642</v>
      </c>
      <c r="L842" s="99" t="str">
        <f t="shared" si="55"/>
        <v>W2231.7</v>
      </c>
      <c r="M842" s="13" t="s">
        <v>153</v>
      </c>
      <c r="N842" s="13"/>
      <c r="O842" s="13"/>
      <c r="P842" s="47"/>
      <c r="Q842" s="45" t="s">
        <v>3672</v>
      </c>
      <c r="R842" s="45" t="s">
        <v>5553</v>
      </c>
      <c r="S842" s="48"/>
      <c r="T842" s="49" t="str">
        <f t="shared" si="54"/>
        <v>[W2231.7]</v>
      </c>
      <c r="U842" s="12" t="str">
        <f t="shared" si="57"/>
        <v xml:space="preserve"> OP#3 서보 비상정지 알람</v>
      </c>
      <c r="V842" s="49" t="str">
        <f t="shared" si="56"/>
        <v>[W2231.7] OP#3 서보 비상정지 알람</v>
      </c>
    </row>
    <row r="843" spans="1:22" s="49" customFormat="1" ht="14.15" customHeight="1">
      <c r="A843" s="44"/>
      <c r="B843" s="44" t="s">
        <v>157</v>
      </c>
      <c r="C843" s="50"/>
      <c r="D843" s="10" t="s">
        <v>29</v>
      </c>
      <c r="E843" s="11"/>
      <c r="F843" s="11" t="s">
        <v>18</v>
      </c>
      <c r="G843" s="13"/>
      <c r="H843" s="45" t="s">
        <v>16</v>
      </c>
      <c r="I843" s="47"/>
      <c r="J843" s="12" t="s">
        <v>3921</v>
      </c>
      <c r="K843" s="13" t="s">
        <v>7643</v>
      </c>
      <c r="L843" s="99" t="str">
        <f t="shared" si="55"/>
        <v>W2231.8</v>
      </c>
      <c r="M843" s="13"/>
      <c r="N843" s="13"/>
      <c r="O843" s="13"/>
      <c r="P843" s="47"/>
      <c r="Q843" s="45"/>
      <c r="R843" s="45"/>
      <c r="S843" s="48"/>
      <c r="T843" s="49" t="str">
        <f t="shared" si="54"/>
        <v>[W2231.8]</v>
      </c>
      <c r="U843" s="12" t="str">
        <f t="shared" si="57"/>
        <v/>
      </c>
      <c r="V843" s="49" t="str">
        <f t="shared" si="56"/>
        <v>[W2231.8]</v>
      </c>
    </row>
    <row r="844" spans="1:22" s="49" customFormat="1" ht="14.15" customHeight="1">
      <c r="A844" s="44"/>
      <c r="B844" s="44" t="s">
        <v>157</v>
      </c>
      <c r="C844" s="50"/>
      <c r="D844" s="10" t="s">
        <v>29</v>
      </c>
      <c r="E844" s="11"/>
      <c r="F844" s="11" t="s">
        <v>18</v>
      </c>
      <c r="G844" s="13"/>
      <c r="H844" s="45" t="s">
        <v>16</v>
      </c>
      <c r="I844" s="47"/>
      <c r="J844" s="12" t="s">
        <v>3289</v>
      </c>
      <c r="K844" s="13" t="s">
        <v>7644</v>
      </c>
      <c r="L844" s="99" t="str">
        <f t="shared" si="55"/>
        <v>W2231.9</v>
      </c>
      <c r="M844" s="13"/>
      <c r="N844" s="13"/>
      <c r="O844" s="13"/>
      <c r="P844" s="47"/>
      <c r="Q844" s="45"/>
      <c r="R844" s="45"/>
      <c r="S844" s="48"/>
      <c r="T844" s="49" t="str">
        <f t="shared" si="54"/>
        <v>[W2231.9]</v>
      </c>
      <c r="U844" s="12" t="str">
        <f t="shared" si="57"/>
        <v/>
      </c>
      <c r="V844" s="49" t="str">
        <f t="shared" si="56"/>
        <v>[W2231.9]</v>
      </c>
    </row>
    <row r="845" spans="1:22" s="49" customFormat="1" ht="14.15" customHeight="1">
      <c r="A845" s="44"/>
      <c r="B845" s="44" t="s">
        <v>157</v>
      </c>
      <c r="C845" s="50"/>
      <c r="D845" s="10" t="s">
        <v>29</v>
      </c>
      <c r="E845" s="11"/>
      <c r="F845" s="11" t="s">
        <v>18</v>
      </c>
      <c r="G845" s="13"/>
      <c r="H845" s="45" t="s">
        <v>16</v>
      </c>
      <c r="I845" s="47"/>
      <c r="J845" s="12" t="s">
        <v>3290</v>
      </c>
      <c r="K845" s="13" t="s">
        <v>7645</v>
      </c>
      <c r="L845" s="99" t="str">
        <f t="shared" si="55"/>
        <v>W2231.A</v>
      </c>
      <c r="M845" s="13"/>
      <c r="N845" s="13"/>
      <c r="O845" s="13"/>
      <c r="P845" s="47"/>
      <c r="Q845" s="45"/>
      <c r="R845" s="45"/>
      <c r="S845" s="48"/>
      <c r="T845" s="49" t="str">
        <f t="shared" si="54"/>
        <v>[W2231.A]</v>
      </c>
      <c r="U845" s="12" t="str">
        <f t="shared" si="57"/>
        <v/>
      </c>
      <c r="V845" s="49" t="str">
        <f t="shared" si="56"/>
        <v>[W2231.A]</v>
      </c>
    </row>
    <row r="846" spans="1:22" s="49" customFormat="1" ht="14.15" customHeight="1">
      <c r="A846" s="44"/>
      <c r="B846" s="44" t="s">
        <v>157</v>
      </c>
      <c r="C846" s="50"/>
      <c r="D846" s="10" t="s">
        <v>29</v>
      </c>
      <c r="E846" s="11"/>
      <c r="F846" s="11" t="s">
        <v>18</v>
      </c>
      <c r="G846" s="13"/>
      <c r="H846" s="45" t="s">
        <v>16</v>
      </c>
      <c r="I846" s="47"/>
      <c r="J846" s="12" t="s">
        <v>3291</v>
      </c>
      <c r="K846" s="13" t="s">
        <v>7646</v>
      </c>
      <c r="L846" s="99" t="str">
        <f t="shared" si="55"/>
        <v>W2231.B</v>
      </c>
      <c r="M846" s="13"/>
      <c r="N846" s="13"/>
      <c r="O846" s="13"/>
      <c r="P846" s="47"/>
      <c r="Q846" s="45"/>
      <c r="R846" s="45"/>
      <c r="S846" s="48"/>
      <c r="T846" s="49" t="str">
        <f t="shared" si="54"/>
        <v>[W2231.B]</v>
      </c>
      <c r="U846" s="12" t="str">
        <f t="shared" si="57"/>
        <v/>
      </c>
      <c r="V846" s="49" t="str">
        <f t="shared" si="56"/>
        <v>[W2231.B]</v>
      </c>
    </row>
    <row r="847" spans="1:22" s="49" customFormat="1" ht="14.15" customHeight="1">
      <c r="A847" s="44"/>
      <c r="B847" s="44" t="s">
        <v>157</v>
      </c>
      <c r="C847" s="50"/>
      <c r="D847" s="10" t="s">
        <v>29</v>
      </c>
      <c r="E847" s="11"/>
      <c r="F847" s="11" t="s">
        <v>18</v>
      </c>
      <c r="G847" s="13"/>
      <c r="H847" s="45" t="s">
        <v>16</v>
      </c>
      <c r="I847" s="47"/>
      <c r="J847" s="12" t="s">
        <v>3292</v>
      </c>
      <c r="K847" s="13" t="s">
        <v>7647</v>
      </c>
      <c r="L847" s="99" t="str">
        <f t="shared" si="55"/>
        <v>W2231.C</v>
      </c>
      <c r="M847" s="13"/>
      <c r="N847" s="13"/>
      <c r="O847" s="13"/>
      <c r="P847" s="47"/>
      <c r="Q847" s="45"/>
      <c r="R847" s="45"/>
      <c r="S847" s="48"/>
      <c r="T847" s="49" t="str">
        <f t="shared" si="54"/>
        <v>[W2231.C]</v>
      </c>
      <c r="U847" s="12" t="str">
        <f t="shared" si="57"/>
        <v/>
      </c>
      <c r="V847" s="49" t="str">
        <f t="shared" si="56"/>
        <v>[W2231.C]</v>
      </c>
    </row>
    <row r="848" spans="1:22" s="49" customFormat="1" ht="14.15" customHeight="1">
      <c r="A848" s="44"/>
      <c r="B848" s="44" t="s">
        <v>157</v>
      </c>
      <c r="C848" s="50"/>
      <c r="D848" s="10" t="s">
        <v>29</v>
      </c>
      <c r="E848" s="11"/>
      <c r="F848" s="11" t="s">
        <v>18</v>
      </c>
      <c r="G848" s="13"/>
      <c r="H848" s="45" t="s">
        <v>16</v>
      </c>
      <c r="I848" s="47"/>
      <c r="J848" s="12" t="s">
        <v>3293</v>
      </c>
      <c r="K848" s="13" t="s">
        <v>7648</v>
      </c>
      <c r="L848" s="99" t="str">
        <f t="shared" si="55"/>
        <v>W2231.D</v>
      </c>
      <c r="M848" s="13"/>
      <c r="N848" s="13"/>
      <c r="O848" s="13"/>
      <c r="P848" s="47"/>
      <c r="Q848" s="45"/>
      <c r="R848" s="45"/>
      <c r="S848" s="48"/>
      <c r="T848" s="49" t="str">
        <f t="shared" si="54"/>
        <v>[W2231.D]</v>
      </c>
      <c r="U848" s="12" t="str">
        <f t="shared" si="57"/>
        <v/>
      </c>
      <c r="V848" s="49" t="str">
        <f t="shared" si="56"/>
        <v>[W2231.D]</v>
      </c>
    </row>
    <row r="849" spans="1:22" s="49" customFormat="1" ht="14.15" customHeight="1">
      <c r="A849" s="44"/>
      <c r="B849" s="44" t="s">
        <v>157</v>
      </c>
      <c r="C849" s="50"/>
      <c r="D849" s="10" t="s">
        <v>29</v>
      </c>
      <c r="E849" s="11"/>
      <c r="F849" s="11" t="s">
        <v>18</v>
      </c>
      <c r="G849" s="13"/>
      <c r="H849" s="45" t="s">
        <v>16</v>
      </c>
      <c r="I849" s="47"/>
      <c r="J849" s="12" t="s">
        <v>3294</v>
      </c>
      <c r="K849" s="13" t="s">
        <v>7649</v>
      </c>
      <c r="L849" s="99" t="str">
        <f t="shared" si="55"/>
        <v>W2231.E</v>
      </c>
      <c r="M849" s="13"/>
      <c r="N849" s="13"/>
      <c r="O849" s="13"/>
      <c r="P849" s="47"/>
      <c r="Q849" s="45"/>
      <c r="R849" s="45"/>
      <c r="S849" s="48"/>
      <c r="T849" s="49" t="str">
        <f t="shared" si="54"/>
        <v>[W2231.E]</v>
      </c>
      <c r="U849" s="12" t="str">
        <f t="shared" si="57"/>
        <v/>
      </c>
      <c r="V849" s="49" t="str">
        <f t="shared" si="56"/>
        <v>[W2231.E]</v>
      </c>
    </row>
    <row r="850" spans="1:22" s="49" customFormat="1" ht="14.15" customHeight="1">
      <c r="A850" s="43" t="s">
        <v>5597</v>
      </c>
      <c r="B850" s="44" t="s">
        <v>157</v>
      </c>
      <c r="C850" s="50"/>
      <c r="D850" s="10" t="s">
        <v>29</v>
      </c>
      <c r="E850" s="11"/>
      <c r="F850" s="11" t="s">
        <v>18</v>
      </c>
      <c r="G850" s="13"/>
      <c r="H850" s="45" t="s">
        <v>16</v>
      </c>
      <c r="I850" s="47"/>
      <c r="J850" s="12" t="s">
        <v>5154</v>
      </c>
      <c r="K850" s="13" t="s">
        <v>7650</v>
      </c>
      <c r="L850" s="99" t="str">
        <f t="shared" si="55"/>
        <v>W2231.F</v>
      </c>
      <c r="M850" s="13" t="s">
        <v>17</v>
      </c>
      <c r="N850" s="13"/>
      <c r="O850" s="13"/>
      <c r="P850" s="47"/>
      <c r="Q850" s="45" t="s">
        <v>3672</v>
      </c>
      <c r="R850" s="45" t="s">
        <v>5596</v>
      </c>
      <c r="S850" s="48"/>
      <c r="T850" s="49" t="str">
        <f t="shared" si="54"/>
        <v>[W2231.F]</v>
      </c>
      <c r="U850" s="12" t="str">
        <f t="shared" si="57"/>
        <v xml:space="preserve"> 공급셔틀#1 상부 클램프 전진 시간초과 (X384, Y3AA)</v>
      </c>
      <c r="V850" s="49" t="str">
        <f t="shared" si="56"/>
        <v>[W2231.F] 공급셔틀#1 상부 클램프 전진 시간초과 (X384, Y3AA)</v>
      </c>
    </row>
    <row r="851" spans="1:22" s="49" customFormat="1" ht="14.15" customHeight="1">
      <c r="A851" s="43" t="s">
        <v>5597</v>
      </c>
      <c r="B851" s="44" t="s">
        <v>157</v>
      </c>
      <c r="C851" s="50"/>
      <c r="D851" s="10" t="s">
        <v>29</v>
      </c>
      <c r="E851" s="11"/>
      <c r="F851" s="11" t="s">
        <v>18</v>
      </c>
      <c r="G851" s="13"/>
      <c r="H851" s="45" t="s">
        <v>16</v>
      </c>
      <c r="I851" s="47"/>
      <c r="J851" s="12" t="s">
        <v>5155</v>
      </c>
      <c r="K851" s="13" t="s">
        <v>7651</v>
      </c>
      <c r="L851" s="99" t="str">
        <f t="shared" si="55"/>
        <v>W2232.0</v>
      </c>
      <c r="M851" s="13" t="s">
        <v>17</v>
      </c>
      <c r="N851" s="13"/>
      <c r="O851" s="13"/>
      <c r="P851" s="47"/>
      <c r="Q851" s="45" t="s">
        <v>3672</v>
      </c>
      <c r="R851" s="45" t="s">
        <v>5596</v>
      </c>
      <c r="S851" s="48"/>
      <c r="T851" s="49" t="str">
        <f t="shared" si="54"/>
        <v>[W2232.0]</v>
      </c>
      <c r="U851" s="12" t="str">
        <f t="shared" si="57"/>
        <v xml:space="preserve"> 공급셔틀#1 상부 클램프 후진 시간초과 (X385, Y3AB)</v>
      </c>
      <c r="V851" s="49" t="str">
        <f t="shared" si="56"/>
        <v>[W2232.0] 공급셔틀#1 상부 클램프 후진 시간초과 (X385, Y3AB)</v>
      </c>
    </row>
    <row r="852" spans="1:22" s="49" customFormat="1" ht="14.15" customHeight="1">
      <c r="A852" s="43" t="s">
        <v>5597</v>
      </c>
      <c r="B852" s="44" t="s">
        <v>157</v>
      </c>
      <c r="C852" s="50"/>
      <c r="D852" s="10" t="s">
        <v>29</v>
      </c>
      <c r="E852" s="11"/>
      <c r="F852" s="11" t="s">
        <v>18</v>
      </c>
      <c r="G852" s="13"/>
      <c r="H852" s="45" t="s">
        <v>16</v>
      </c>
      <c r="I852" s="47"/>
      <c r="J852" s="12" t="s">
        <v>5156</v>
      </c>
      <c r="K852" s="13" t="s">
        <v>7652</v>
      </c>
      <c r="L852" s="99" t="str">
        <f t="shared" si="55"/>
        <v>W2232.1</v>
      </c>
      <c r="M852" s="13" t="s">
        <v>17</v>
      </c>
      <c r="N852" s="13"/>
      <c r="O852" s="13"/>
      <c r="P852" s="47"/>
      <c r="Q852" s="45" t="s">
        <v>3672</v>
      </c>
      <c r="R852" s="45" t="s">
        <v>5596</v>
      </c>
      <c r="S852" s="48"/>
      <c r="T852" s="49" t="str">
        <f t="shared" si="54"/>
        <v>[W2232.1]</v>
      </c>
      <c r="U852" s="12" t="str">
        <f t="shared" si="57"/>
        <v xml:space="preserve"> 공급셔틀#1 상부 클램프 전진/후진 센서이상 (X384, X385)</v>
      </c>
      <c r="V852" s="49" t="str">
        <f t="shared" si="56"/>
        <v>[W2232.1] 공급셔틀#1 상부 클램프 전진/후진 센서이상 (X384, X385)</v>
      </c>
    </row>
    <row r="853" spans="1:22" s="49" customFormat="1" ht="14.15" customHeight="1">
      <c r="A853" s="43" t="s">
        <v>5597</v>
      </c>
      <c r="B853" s="44" t="s">
        <v>157</v>
      </c>
      <c r="C853" s="50"/>
      <c r="D853" s="10" t="s">
        <v>29</v>
      </c>
      <c r="E853" s="11"/>
      <c r="F853" s="11" t="s">
        <v>18</v>
      </c>
      <c r="G853" s="13"/>
      <c r="H853" s="45" t="s">
        <v>16</v>
      </c>
      <c r="I853" s="47"/>
      <c r="J853" s="12" t="s">
        <v>5157</v>
      </c>
      <c r="K853" s="13" t="s">
        <v>7653</v>
      </c>
      <c r="L853" s="99" t="str">
        <f t="shared" si="55"/>
        <v>W2232.2</v>
      </c>
      <c r="M853" s="13" t="s">
        <v>17</v>
      </c>
      <c r="N853" s="13"/>
      <c r="O853" s="13"/>
      <c r="P853" s="47"/>
      <c r="Q853" s="45" t="s">
        <v>3672</v>
      </c>
      <c r="R853" s="45" t="s">
        <v>5596</v>
      </c>
      <c r="S853" s="48"/>
      <c r="T853" s="49" t="str">
        <f t="shared" si="54"/>
        <v>[W2232.2]</v>
      </c>
      <c r="U853" s="12" t="str">
        <f t="shared" si="57"/>
        <v xml:space="preserve"> 공급셔틀#1 센터 클램프 전진 시간초과</v>
      </c>
      <c r="V853" s="49" t="str">
        <f t="shared" si="56"/>
        <v>[W2232.2] 공급셔틀#1 센터 클램프 전진 시간초과</v>
      </c>
    </row>
    <row r="854" spans="1:22" s="49" customFormat="1" ht="14.15" customHeight="1">
      <c r="A854" s="43" t="s">
        <v>5597</v>
      </c>
      <c r="B854" s="44" t="s">
        <v>157</v>
      </c>
      <c r="C854" s="50"/>
      <c r="D854" s="10" t="s">
        <v>29</v>
      </c>
      <c r="E854" s="11"/>
      <c r="F854" s="11" t="s">
        <v>18</v>
      </c>
      <c r="G854" s="13"/>
      <c r="H854" s="45" t="s">
        <v>16</v>
      </c>
      <c r="I854" s="47"/>
      <c r="J854" s="12" t="s">
        <v>5158</v>
      </c>
      <c r="K854" s="13" t="s">
        <v>7654</v>
      </c>
      <c r="L854" s="99" t="str">
        <f t="shared" si="55"/>
        <v>W2232.3</v>
      </c>
      <c r="M854" s="13" t="s">
        <v>17</v>
      </c>
      <c r="N854" s="13"/>
      <c r="O854" s="13"/>
      <c r="P854" s="47"/>
      <c r="Q854" s="45" t="s">
        <v>3672</v>
      </c>
      <c r="R854" s="45" t="s">
        <v>5596</v>
      </c>
      <c r="S854" s="48"/>
      <c r="T854" s="49" t="str">
        <f t="shared" si="54"/>
        <v>[W2232.3]</v>
      </c>
      <c r="U854" s="12" t="str">
        <f t="shared" si="57"/>
        <v xml:space="preserve"> 공급셔틀#1 센터 클램프 후진 시간초과</v>
      </c>
      <c r="V854" s="49" t="str">
        <f t="shared" si="56"/>
        <v>[W2232.3] 공급셔틀#1 센터 클램프 후진 시간초과</v>
      </c>
    </row>
    <row r="855" spans="1:22" s="49" customFormat="1" ht="14.15" customHeight="1">
      <c r="A855" s="43" t="s">
        <v>5597</v>
      </c>
      <c r="B855" s="44" t="s">
        <v>157</v>
      </c>
      <c r="C855" s="50"/>
      <c r="D855" s="10" t="s">
        <v>29</v>
      </c>
      <c r="E855" s="11"/>
      <c r="F855" s="11" t="s">
        <v>18</v>
      </c>
      <c r="G855" s="13"/>
      <c r="H855" s="45" t="s">
        <v>16</v>
      </c>
      <c r="I855" s="47"/>
      <c r="J855" s="12" t="s">
        <v>5159</v>
      </c>
      <c r="K855" s="13" t="s">
        <v>7655</v>
      </c>
      <c r="L855" s="99" t="str">
        <f t="shared" si="55"/>
        <v>W2232.4</v>
      </c>
      <c r="M855" s="13" t="s">
        <v>17</v>
      </c>
      <c r="N855" s="13"/>
      <c r="O855" s="13"/>
      <c r="P855" s="47"/>
      <c r="Q855" s="45" t="s">
        <v>3672</v>
      </c>
      <c r="R855" s="45" t="s">
        <v>5596</v>
      </c>
      <c r="S855" s="48"/>
      <c r="T855" s="49" t="str">
        <f t="shared" si="54"/>
        <v>[W2232.4]</v>
      </c>
      <c r="U855" s="12" t="str">
        <f t="shared" si="57"/>
        <v xml:space="preserve"> 공급셔틀#1 센터 클램프 전진/후진 센서이상</v>
      </c>
      <c r="V855" s="49" t="str">
        <f t="shared" si="56"/>
        <v>[W2232.4] 공급셔틀#1 센터 클램프 전진/후진 센서이상</v>
      </c>
    </row>
    <row r="856" spans="1:22" s="49" customFormat="1" ht="14.15" customHeight="1">
      <c r="A856" s="43" t="s">
        <v>5597</v>
      </c>
      <c r="B856" s="44" t="s">
        <v>157</v>
      </c>
      <c r="C856" s="50"/>
      <c r="D856" s="10" t="s">
        <v>29</v>
      </c>
      <c r="E856" s="11"/>
      <c r="F856" s="11" t="s">
        <v>18</v>
      </c>
      <c r="G856" s="13"/>
      <c r="H856" s="45" t="s">
        <v>16</v>
      </c>
      <c r="I856" s="47"/>
      <c r="J856" s="12" t="s">
        <v>5160</v>
      </c>
      <c r="K856" s="13" t="s">
        <v>7656</v>
      </c>
      <c r="L856" s="99" t="str">
        <f t="shared" si="55"/>
        <v>W2232.5</v>
      </c>
      <c r="M856" s="13" t="s">
        <v>17</v>
      </c>
      <c r="N856" s="13"/>
      <c r="O856" s="13"/>
      <c r="P856" s="47"/>
      <c r="Q856" s="45" t="s">
        <v>3672</v>
      </c>
      <c r="R856" s="45" t="s">
        <v>5596</v>
      </c>
      <c r="S856" s="48"/>
      <c r="T856" s="49" t="str">
        <f t="shared" si="54"/>
        <v>[W2232.5]</v>
      </c>
      <c r="U856" s="12" t="str">
        <f t="shared" si="57"/>
        <v xml:space="preserve"> 공급셔틀#1 하부 클램프 전진 시간초과 (X38A, Y3AE)</v>
      </c>
      <c r="V856" s="49" t="str">
        <f t="shared" si="56"/>
        <v>[W2232.5] 공급셔틀#1 하부 클램프 전진 시간초과 (X38A, Y3AE)</v>
      </c>
    </row>
    <row r="857" spans="1:22" s="49" customFormat="1" ht="14.15" customHeight="1">
      <c r="A857" s="43" t="s">
        <v>5597</v>
      </c>
      <c r="B857" s="44" t="s">
        <v>157</v>
      </c>
      <c r="C857" s="50"/>
      <c r="D857" s="10" t="s">
        <v>29</v>
      </c>
      <c r="E857" s="11"/>
      <c r="F857" s="11" t="s">
        <v>18</v>
      </c>
      <c r="G857" s="13"/>
      <c r="H857" s="45" t="s">
        <v>16</v>
      </c>
      <c r="I857" s="47"/>
      <c r="J857" s="12" t="s">
        <v>5161</v>
      </c>
      <c r="K857" s="13" t="s">
        <v>7657</v>
      </c>
      <c r="L857" s="99" t="str">
        <f t="shared" si="55"/>
        <v>W2232.6</v>
      </c>
      <c r="M857" s="13" t="s">
        <v>17</v>
      </c>
      <c r="N857" s="13"/>
      <c r="O857" s="13"/>
      <c r="P857" s="47"/>
      <c r="Q857" s="45" t="s">
        <v>3672</v>
      </c>
      <c r="R857" s="45" t="s">
        <v>5596</v>
      </c>
      <c r="S857" s="48"/>
      <c r="T857" s="49" t="str">
        <f t="shared" si="54"/>
        <v>[W2232.6]</v>
      </c>
      <c r="U857" s="12" t="str">
        <f t="shared" si="57"/>
        <v xml:space="preserve"> 공급셔틀#1 하부 클램프 후진 시간초과 (X38B, Y3AF)</v>
      </c>
      <c r="V857" s="49" t="str">
        <f t="shared" si="56"/>
        <v>[W2232.6] 공급셔틀#1 하부 클램프 후진 시간초과 (X38B, Y3AF)</v>
      </c>
    </row>
    <row r="858" spans="1:22" s="49" customFormat="1" ht="14.15" customHeight="1">
      <c r="A858" s="43" t="s">
        <v>5597</v>
      </c>
      <c r="B858" s="44" t="s">
        <v>157</v>
      </c>
      <c r="C858" s="50"/>
      <c r="D858" s="10" t="s">
        <v>29</v>
      </c>
      <c r="E858" s="11"/>
      <c r="F858" s="11" t="s">
        <v>18</v>
      </c>
      <c r="G858" s="13"/>
      <c r="H858" s="45" t="s">
        <v>16</v>
      </c>
      <c r="I858" s="47"/>
      <c r="J858" s="12" t="s">
        <v>5162</v>
      </c>
      <c r="K858" s="13" t="s">
        <v>7658</v>
      </c>
      <c r="L858" s="99" t="str">
        <f t="shared" si="55"/>
        <v>W2232.7</v>
      </c>
      <c r="M858" s="13" t="s">
        <v>17</v>
      </c>
      <c r="N858" s="13"/>
      <c r="O858" s="13"/>
      <c r="P858" s="47"/>
      <c r="Q858" s="45" t="s">
        <v>3672</v>
      </c>
      <c r="R858" s="45" t="s">
        <v>5596</v>
      </c>
      <c r="S858" s="48"/>
      <c r="T858" s="49" t="str">
        <f t="shared" si="54"/>
        <v>[W2232.7]</v>
      </c>
      <c r="U858" s="12" t="str">
        <f t="shared" si="57"/>
        <v xml:space="preserve"> 공급셔틀#1 하부 클램프 전진/후진 센서이상 (X38A, X38B)</v>
      </c>
      <c r="V858" s="49" t="str">
        <f t="shared" si="56"/>
        <v>[W2232.7] 공급셔틀#1 하부 클램프 전진/후진 센서이상 (X38A, X38B)</v>
      </c>
    </row>
    <row r="859" spans="1:22" s="49" customFormat="1" ht="14.15" customHeight="1">
      <c r="A859" s="43" t="s">
        <v>5597</v>
      </c>
      <c r="B859" s="44" t="s">
        <v>157</v>
      </c>
      <c r="C859" s="50"/>
      <c r="D859" s="10" t="s">
        <v>29</v>
      </c>
      <c r="E859" s="11"/>
      <c r="F859" s="11" t="s">
        <v>18</v>
      </c>
      <c r="G859" s="13"/>
      <c r="H859" s="45" t="s">
        <v>16</v>
      </c>
      <c r="I859" s="47"/>
      <c r="J859" s="12" t="s">
        <v>717</v>
      </c>
      <c r="K859" s="13" t="s">
        <v>7659</v>
      </c>
      <c r="L859" s="99" t="str">
        <f t="shared" si="55"/>
        <v>W2232.8</v>
      </c>
      <c r="M859" s="13"/>
      <c r="N859" s="13"/>
      <c r="O859" s="13"/>
      <c r="P859" s="47"/>
      <c r="Q859" s="45"/>
      <c r="R859" s="45"/>
      <c r="S859" s="48"/>
      <c r="T859" s="49" t="str">
        <f t="shared" si="54"/>
        <v>[W2232.8]</v>
      </c>
      <c r="U859" s="12" t="str">
        <f t="shared" si="57"/>
        <v xml:space="preserve"> </v>
      </c>
      <c r="V859" s="49" t="str">
        <f t="shared" si="56"/>
        <v xml:space="preserve">[W2232.8] </v>
      </c>
    </row>
    <row r="860" spans="1:22" s="49" customFormat="1" ht="14.15" customHeight="1">
      <c r="A860" s="43" t="s">
        <v>5597</v>
      </c>
      <c r="B860" s="44" t="s">
        <v>157</v>
      </c>
      <c r="C860" s="50"/>
      <c r="D860" s="10" t="s">
        <v>29</v>
      </c>
      <c r="E860" s="11"/>
      <c r="F860" s="11" t="s">
        <v>18</v>
      </c>
      <c r="G860" s="13"/>
      <c r="H860" s="45" t="s">
        <v>16</v>
      </c>
      <c r="I860" s="47"/>
      <c r="J860" s="12" t="s">
        <v>5163</v>
      </c>
      <c r="K860" s="13" t="s">
        <v>7660</v>
      </c>
      <c r="L860" s="99" t="str">
        <f t="shared" si="55"/>
        <v>W2232.9</v>
      </c>
      <c r="M860" s="13" t="s">
        <v>17</v>
      </c>
      <c r="N860" s="13"/>
      <c r="O860" s="13"/>
      <c r="P860" s="47"/>
      <c r="Q860" s="45" t="s">
        <v>3672</v>
      </c>
      <c r="R860" s="45" t="s">
        <v>5596</v>
      </c>
      <c r="S860" s="48"/>
      <c r="T860" s="49" t="str">
        <f t="shared" si="54"/>
        <v>[W2232.9]</v>
      </c>
      <c r="U860" s="12" t="str">
        <f t="shared" si="57"/>
        <v xml:space="preserve"> 공급셔틀#1 상부 진공흡착 시간초과 (X380, X381, Y3A0)</v>
      </c>
      <c r="V860" s="49" t="str">
        <f t="shared" si="56"/>
        <v>[W2232.9] 공급셔틀#1 상부 진공흡착 시간초과 (X380, X381, Y3A0)</v>
      </c>
    </row>
    <row r="861" spans="1:22" s="49" customFormat="1" ht="14.15" customHeight="1">
      <c r="A861" s="43" t="s">
        <v>5597</v>
      </c>
      <c r="B861" s="44" t="s">
        <v>157</v>
      </c>
      <c r="C861" s="50"/>
      <c r="D861" s="10" t="s">
        <v>29</v>
      </c>
      <c r="E861" s="11"/>
      <c r="F861" s="11" t="s">
        <v>18</v>
      </c>
      <c r="G861" s="13"/>
      <c r="H861" s="45" t="s">
        <v>16</v>
      </c>
      <c r="I861" s="47"/>
      <c r="J861" s="12" t="s">
        <v>5164</v>
      </c>
      <c r="K861" s="13" t="s">
        <v>7661</v>
      </c>
      <c r="L861" s="99" t="str">
        <f t="shared" si="55"/>
        <v>W2232.A</v>
      </c>
      <c r="M861" s="13" t="s">
        <v>17</v>
      </c>
      <c r="N861" s="13"/>
      <c r="O861" s="13"/>
      <c r="P861" s="47"/>
      <c r="Q861" s="45" t="s">
        <v>3672</v>
      </c>
      <c r="R861" s="45" t="s">
        <v>5596</v>
      </c>
      <c r="S861" s="48"/>
      <c r="T861" s="49" t="str">
        <f t="shared" si="54"/>
        <v>[W2232.A]</v>
      </c>
      <c r="U861" s="12" t="str">
        <f t="shared" si="57"/>
        <v xml:space="preserve"> 공급셔틀#1 상부 진공파기 시간초과 (X380, X381, Y3A1, Y3A2)</v>
      </c>
      <c r="V861" s="49" t="str">
        <f t="shared" si="56"/>
        <v>[W2232.A] 공급셔틀#1 상부 진공파기 시간초과 (X380, X381, Y3A1, Y3A2)</v>
      </c>
    </row>
    <row r="862" spans="1:22" s="49" customFormat="1" ht="14.15" customHeight="1">
      <c r="A862" s="43" t="s">
        <v>5597</v>
      </c>
      <c r="B862" s="44" t="s">
        <v>157</v>
      </c>
      <c r="C862" s="50"/>
      <c r="D862" s="10" t="s">
        <v>29</v>
      </c>
      <c r="E862" s="11"/>
      <c r="F862" s="11" t="s">
        <v>18</v>
      </c>
      <c r="G862" s="13"/>
      <c r="H862" s="45" t="s">
        <v>16</v>
      </c>
      <c r="I862" s="47"/>
      <c r="J862" s="12" t="s">
        <v>5165</v>
      </c>
      <c r="K862" s="13" t="s">
        <v>7662</v>
      </c>
      <c r="L862" s="99" t="str">
        <f t="shared" si="55"/>
        <v>W2232.B</v>
      </c>
      <c r="M862" s="13" t="s">
        <v>17</v>
      </c>
      <c r="N862" s="13"/>
      <c r="O862" s="13"/>
      <c r="P862" s="47"/>
      <c r="Q862" s="45" t="s">
        <v>3672</v>
      </c>
      <c r="R862" s="45" t="s">
        <v>5596</v>
      </c>
      <c r="S862" s="48"/>
      <c r="T862" s="49" t="str">
        <f t="shared" si="54"/>
        <v>[W2232.B]</v>
      </c>
      <c r="U862" s="12" t="str">
        <f t="shared" si="57"/>
        <v xml:space="preserve"> 공급셔틀#1 센터 진공흡착 시간초과</v>
      </c>
      <c r="V862" s="49" t="str">
        <f t="shared" si="56"/>
        <v>[W2232.B] 공급셔틀#1 센터 진공흡착 시간초과</v>
      </c>
    </row>
    <row r="863" spans="1:22" s="49" customFormat="1" ht="14.15" customHeight="1">
      <c r="A863" s="43" t="s">
        <v>5597</v>
      </c>
      <c r="B863" s="44" t="s">
        <v>157</v>
      </c>
      <c r="C863" s="50"/>
      <c r="D863" s="10" t="s">
        <v>29</v>
      </c>
      <c r="E863" s="11"/>
      <c r="F863" s="11" t="s">
        <v>18</v>
      </c>
      <c r="G863" s="13"/>
      <c r="H863" s="45" t="s">
        <v>16</v>
      </c>
      <c r="I863" s="47"/>
      <c r="J863" s="12" t="s">
        <v>5166</v>
      </c>
      <c r="K863" s="13" t="s">
        <v>7663</v>
      </c>
      <c r="L863" s="99" t="str">
        <f t="shared" si="55"/>
        <v>W2232.C</v>
      </c>
      <c r="M863" s="13" t="s">
        <v>17</v>
      </c>
      <c r="N863" s="13"/>
      <c r="O863" s="13"/>
      <c r="P863" s="47"/>
      <c r="Q863" s="45" t="s">
        <v>3672</v>
      </c>
      <c r="R863" s="45" t="s">
        <v>5596</v>
      </c>
      <c r="S863" s="48"/>
      <c r="T863" s="49" t="str">
        <f t="shared" si="54"/>
        <v>[W2232.C]</v>
      </c>
      <c r="U863" s="12" t="str">
        <f t="shared" si="57"/>
        <v xml:space="preserve"> 공급셔틀#1 센터 진공파기 시간초과</v>
      </c>
      <c r="V863" s="49" t="str">
        <f t="shared" si="56"/>
        <v>[W2232.C] 공급셔틀#1 센터 진공파기 시간초과</v>
      </c>
    </row>
    <row r="864" spans="1:22" s="49" customFormat="1" ht="14.15" customHeight="1">
      <c r="A864" s="43" t="s">
        <v>5597</v>
      </c>
      <c r="B864" s="44" t="s">
        <v>157</v>
      </c>
      <c r="C864" s="50"/>
      <c r="D864" s="10" t="s">
        <v>29</v>
      </c>
      <c r="E864" s="11"/>
      <c r="F864" s="11" t="s">
        <v>18</v>
      </c>
      <c r="G864" s="13"/>
      <c r="H864" s="45" t="s">
        <v>16</v>
      </c>
      <c r="I864" s="47"/>
      <c r="J864" s="12" t="s">
        <v>5167</v>
      </c>
      <c r="K864" s="13" t="s">
        <v>7664</v>
      </c>
      <c r="L864" s="99" t="str">
        <f t="shared" si="55"/>
        <v>W2232.D</v>
      </c>
      <c r="M864" s="13" t="s">
        <v>17</v>
      </c>
      <c r="N864" s="13"/>
      <c r="O864" s="13"/>
      <c r="P864" s="47"/>
      <c r="Q864" s="45" t="s">
        <v>3672</v>
      </c>
      <c r="R864" s="45" t="s">
        <v>5596</v>
      </c>
      <c r="S864" s="48"/>
      <c r="T864" s="49" t="str">
        <f t="shared" si="54"/>
        <v>[W2232.D]</v>
      </c>
      <c r="U864" s="12" t="str">
        <f t="shared" si="57"/>
        <v xml:space="preserve"> 공급셔틀#1 하부 진공흡착 시간초과 (X382, X383, Y3A6)</v>
      </c>
      <c r="V864" s="49" t="str">
        <f t="shared" si="56"/>
        <v>[W2232.D] 공급셔틀#1 하부 진공흡착 시간초과 (X382, X383, Y3A6)</v>
      </c>
    </row>
    <row r="865" spans="1:22" s="49" customFormat="1" ht="14.15" customHeight="1">
      <c r="A865" s="43" t="s">
        <v>5597</v>
      </c>
      <c r="B865" s="44" t="s">
        <v>157</v>
      </c>
      <c r="C865" s="50"/>
      <c r="D865" s="10" t="s">
        <v>29</v>
      </c>
      <c r="E865" s="11"/>
      <c r="F865" s="11" t="s">
        <v>18</v>
      </c>
      <c r="G865" s="13"/>
      <c r="H865" s="45" t="s">
        <v>16</v>
      </c>
      <c r="I865" s="47"/>
      <c r="J865" s="12" t="s">
        <v>5168</v>
      </c>
      <c r="K865" s="13" t="s">
        <v>7665</v>
      </c>
      <c r="L865" s="99" t="str">
        <f t="shared" si="55"/>
        <v>W2232.E</v>
      </c>
      <c r="M865" s="13" t="s">
        <v>17</v>
      </c>
      <c r="N865" s="13"/>
      <c r="O865" s="13"/>
      <c r="P865" s="47"/>
      <c r="Q865" s="45" t="s">
        <v>3672</v>
      </c>
      <c r="R865" s="45" t="s">
        <v>5596</v>
      </c>
      <c r="S865" s="48"/>
      <c r="T865" s="49" t="str">
        <f t="shared" si="54"/>
        <v>[W2232.E]</v>
      </c>
      <c r="U865" s="12" t="str">
        <f t="shared" si="57"/>
        <v xml:space="preserve"> 공급셔틀#1 하부 진공파기 시간초과 (X382, X383, Y3A7, Y3A8)</v>
      </c>
      <c r="V865" s="49" t="str">
        <f t="shared" si="56"/>
        <v>[W2232.E] 공급셔틀#1 하부 진공파기 시간초과 (X382, X383, Y3A7, Y3A8)</v>
      </c>
    </row>
    <row r="866" spans="1:22" s="49" customFormat="1" ht="14.15" customHeight="1">
      <c r="A866" s="43" t="s">
        <v>5597</v>
      </c>
      <c r="B866" s="44" t="s">
        <v>157</v>
      </c>
      <c r="C866" s="50"/>
      <c r="D866" s="10" t="s">
        <v>29</v>
      </c>
      <c r="E866" s="11"/>
      <c r="F866" s="11" t="s">
        <v>18</v>
      </c>
      <c r="G866" s="13"/>
      <c r="H866" s="45" t="s">
        <v>16</v>
      </c>
      <c r="I866" s="47"/>
      <c r="J866" s="12" t="s">
        <v>724</v>
      </c>
      <c r="K866" s="13" t="s">
        <v>7666</v>
      </c>
      <c r="L866" s="99" t="str">
        <f t="shared" si="55"/>
        <v>W2232.F</v>
      </c>
      <c r="M866" s="13"/>
      <c r="N866" s="13"/>
      <c r="O866" s="13"/>
      <c r="P866" s="47"/>
      <c r="Q866" s="45"/>
      <c r="R866" s="45"/>
      <c r="S866" s="48"/>
      <c r="T866" s="49" t="str">
        <f t="shared" si="54"/>
        <v>[W2232.F]</v>
      </c>
      <c r="U866" s="12" t="str">
        <f t="shared" si="57"/>
        <v xml:space="preserve"> </v>
      </c>
      <c r="V866" s="49" t="str">
        <f t="shared" si="56"/>
        <v xml:space="preserve">[W2232.F] </v>
      </c>
    </row>
    <row r="867" spans="1:22" s="49" customFormat="1" ht="14.15" customHeight="1">
      <c r="A867" s="43" t="s">
        <v>5597</v>
      </c>
      <c r="B867" s="44" t="s">
        <v>157</v>
      </c>
      <c r="C867" s="50"/>
      <c r="D867" s="10" t="s">
        <v>29</v>
      </c>
      <c r="E867" s="11"/>
      <c r="F867" s="11" t="s">
        <v>18</v>
      </c>
      <c r="G867" s="13"/>
      <c r="H867" s="45" t="s">
        <v>16</v>
      </c>
      <c r="I867" s="47"/>
      <c r="J867" s="12" t="s">
        <v>725</v>
      </c>
      <c r="K867" s="13" t="s">
        <v>7667</v>
      </c>
      <c r="L867" s="99" t="str">
        <f t="shared" si="55"/>
        <v>W2233.0</v>
      </c>
      <c r="M867" s="13"/>
      <c r="N867" s="13"/>
      <c r="O867" s="13"/>
      <c r="P867" s="47"/>
      <c r="Q867" s="45"/>
      <c r="R867" s="45"/>
      <c r="S867" s="48"/>
      <c r="T867" s="49" t="str">
        <f t="shared" si="54"/>
        <v>[W2233.0]</v>
      </c>
      <c r="U867" s="12" t="str">
        <f t="shared" si="57"/>
        <v xml:space="preserve"> </v>
      </c>
      <c r="V867" s="49" t="str">
        <f t="shared" si="56"/>
        <v xml:space="preserve">[W2233.0] </v>
      </c>
    </row>
    <row r="868" spans="1:22" s="49" customFormat="1" ht="14.15" customHeight="1">
      <c r="A868" s="43" t="s">
        <v>5597</v>
      </c>
      <c r="B868" s="44" t="s">
        <v>157</v>
      </c>
      <c r="C868" s="50"/>
      <c r="D868" s="10" t="s">
        <v>29</v>
      </c>
      <c r="E868" s="11"/>
      <c r="F868" s="11" t="s">
        <v>18</v>
      </c>
      <c r="G868" s="13"/>
      <c r="H868" s="45" t="s">
        <v>16</v>
      </c>
      <c r="I868" s="47"/>
      <c r="J868" s="12" t="s">
        <v>726</v>
      </c>
      <c r="K868" s="13" t="s">
        <v>7668</v>
      </c>
      <c r="L868" s="99" t="str">
        <f t="shared" si="55"/>
        <v>W2233.1</v>
      </c>
      <c r="M868" s="13"/>
      <c r="N868" s="13"/>
      <c r="O868" s="13"/>
      <c r="P868" s="47"/>
      <c r="Q868" s="45"/>
      <c r="R868" s="45"/>
      <c r="S868" s="48"/>
      <c r="T868" s="49" t="str">
        <f t="shared" si="54"/>
        <v>[W2233.1]</v>
      </c>
      <c r="U868" s="12" t="str">
        <f t="shared" si="57"/>
        <v xml:space="preserve"> </v>
      </c>
      <c r="V868" s="49" t="str">
        <f t="shared" si="56"/>
        <v xml:space="preserve">[W2233.1] </v>
      </c>
    </row>
    <row r="869" spans="1:22" s="49" customFormat="1" ht="14.15" customHeight="1">
      <c r="A869" s="43" t="s">
        <v>5597</v>
      </c>
      <c r="B869" s="44" t="s">
        <v>157</v>
      </c>
      <c r="C869" s="50"/>
      <c r="D869" s="10" t="s">
        <v>29</v>
      </c>
      <c r="E869" s="11"/>
      <c r="F869" s="11" t="s">
        <v>18</v>
      </c>
      <c r="G869" s="13"/>
      <c r="H869" s="45" t="s">
        <v>16</v>
      </c>
      <c r="I869" s="47"/>
      <c r="J869" s="12" t="s">
        <v>5169</v>
      </c>
      <c r="K869" s="13" t="s">
        <v>7669</v>
      </c>
      <c r="L869" s="99" t="str">
        <f t="shared" si="55"/>
        <v>W2233.2</v>
      </c>
      <c r="M869" s="13"/>
      <c r="N869" s="13"/>
      <c r="O869" s="13"/>
      <c r="P869" s="47"/>
      <c r="Q869" s="45"/>
      <c r="R869" s="45"/>
      <c r="S869" s="48"/>
      <c r="T869" s="49" t="str">
        <f t="shared" si="54"/>
        <v>[W2233.2]</v>
      </c>
      <c r="U869" s="12" t="str">
        <f t="shared" si="57"/>
        <v xml:space="preserve"> </v>
      </c>
      <c r="V869" s="49" t="str">
        <f t="shared" si="56"/>
        <v xml:space="preserve">[W2233.2] </v>
      </c>
    </row>
    <row r="870" spans="1:22" s="49" customFormat="1" ht="14.15" customHeight="1">
      <c r="A870" s="43" t="s">
        <v>5598</v>
      </c>
      <c r="B870" s="44" t="s">
        <v>157</v>
      </c>
      <c r="C870" s="50"/>
      <c r="D870" s="10" t="s">
        <v>29</v>
      </c>
      <c r="E870" s="11"/>
      <c r="F870" s="11" t="s">
        <v>18</v>
      </c>
      <c r="G870" s="13"/>
      <c r="H870" s="45" t="s">
        <v>16</v>
      </c>
      <c r="I870" s="47"/>
      <c r="J870" s="12" t="s">
        <v>5170</v>
      </c>
      <c r="K870" s="13" t="s">
        <v>7670</v>
      </c>
      <c r="L870" s="99" t="str">
        <f t="shared" si="55"/>
        <v>W2233.3</v>
      </c>
      <c r="M870" s="13" t="s">
        <v>17</v>
      </c>
      <c r="N870" s="13"/>
      <c r="O870" s="13"/>
      <c r="P870" s="47"/>
      <c r="Q870" s="45" t="s">
        <v>3672</v>
      </c>
      <c r="R870" s="45" t="s">
        <v>5596</v>
      </c>
      <c r="S870" s="48"/>
      <c r="T870" s="49" t="str">
        <f t="shared" si="54"/>
        <v>[W2233.3]</v>
      </c>
      <c r="U870" s="12" t="str">
        <f t="shared" si="57"/>
        <v xml:space="preserve"> 터브이송#2-1 상부 진공흡착 시간초과 (X3C2, X3D2, Y3E3)</v>
      </c>
      <c r="V870" s="49" t="str">
        <f t="shared" si="56"/>
        <v>[W2233.3] 터브이송#2-1 상부 진공흡착 시간초과 (X3C2, X3D2, Y3E3)</v>
      </c>
    </row>
    <row r="871" spans="1:22" s="49" customFormat="1" ht="14.15" customHeight="1">
      <c r="A871" s="43" t="s">
        <v>5598</v>
      </c>
      <c r="B871" s="44" t="s">
        <v>157</v>
      </c>
      <c r="C871" s="50"/>
      <c r="D871" s="10" t="s">
        <v>29</v>
      </c>
      <c r="E871" s="11"/>
      <c r="F871" s="11" t="s">
        <v>18</v>
      </c>
      <c r="G871" s="13"/>
      <c r="H871" s="45" t="s">
        <v>16</v>
      </c>
      <c r="I871" s="47"/>
      <c r="J871" s="12" t="s">
        <v>5171</v>
      </c>
      <c r="K871" s="13" t="s">
        <v>7671</v>
      </c>
      <c r="L871" s="99" t="str">
        <f t="shared" si="55"/>
        <v>W2233.4</v>
      </c>
      <c r="M871" s="13" t="s">
        <v>17</v>
      </c>
      <c r="N871" s="13"/>
      <c r="O871" s="13"/>
      <c r="P871" s="47"/>
      <c r="Q871" s="45" t="s">
        <v>3672</v>
      </c>
      <c r="R871" s="45" t="s">
        <v>5596</v>
      </c>
      <c r="S871" s="48"/>
      <c r="T871" s="49" t="str">
        <f t="shared" si="54"/>
        <v>[W2233.4]</v>
      </c>
      <c r="U871" s="12" t="str">
        <f t="shared" si="57"/>
        <v xml:space="preserve"> 터브이송#2-1 상부 진공파기 시간초과 (X3C2, X3D2, Y3E4)</v>
      </c>
      <c r="V871" s="49" t="str">
        <f t="shared" si="56"/>
        <v>[W2233.4] 터브이송#2-1 상부 진공파기 시간초과 (X3C2, X3D2, Y3E4)</v>
      </c>
    </row>
    <row r="872" spans="1:22" s="49" customFormat="1" ht="14.15" customHeight="1">
      <c r="A872" s="43" t="s">
        <v>5598</v>
      </c>
      <c r="B872" s="44" t="s">
        <v>157</v>
      </c>
      <c r="C872" s="50"/>
      <c r="D872" s="10" t="s">
        <v>29</v>
      </c>
      <c r="E872" s="11"/>
      <c r="F872" s="11" t="s">
        <v>18</v>
      </c>
      <c r="G872" s="13"/>
      <c r="H872" s="45" t="s">
        <v>16</v>
      </c>
      <c r="I872" s="47"/>
      <c r="J872" s="12" t="s">
        <v>5172</v>
      </c>
      <c r="K872" s="13" t="s">
        <v>7672</v>
      </c>
      <c r="L872" s="99" t="str">
        <f t="shared" si="55"/>
        <v>W2233.5</v>
      </c>
      <c r="M872" s="13" t="s">
        <v>17</v>
      </c>
      <c r="N872" s="13"/>
      <c r="O872" s="13"/>
      <c r="P872" s="47"/>
      <c r="Q872" s="45" t="s">
        <v>3672</v>
      </c>
      <c r="R872" s="45" t="s">
        <v>5596</v>
      </c>
      <c r="S872" s="48"/>
      <c r="T872" s="49" t="str">
        <f t="shared" si="54"/>
        <v>[W2233.5]</v>
      </c>
      <c r="U872" s="12" t="str">
        <f t="shared" si="57"/>
        <v xml:space="preserve"> 터브이송#2-1 센터 진공흡착 시간초과 (X3C0, X3C1, Y3E0)</v>
      </c>
      <c r="V872" s="49" t="str">
        <f t="shared" si="56"/>
        <v>[W2233.5] 터브이송#2-1 센터 진공흡착 시간초과 (X3C0, X3C1, Y3E0)</v>
      </c>
    </row>
    <row r="873" spans="1:22" s="49" customFormat="1" ht="14.15" customHeight="1">
      <c r="A873" s="43" t="s">
        <v>5598</v>
      </c>
      <c r="B873" s="44" t="s">
        <v>157</v>
      </c>
      <c r="C873" s="50"/>
      <c r="D873" s="10" t="s">
        <v>29</v>
      </c>
      <c r="E873" s="11"/>
      <c r="F873" s="11" t="s">
        <v>18</v>
      </c>
      <c r="G873" s="13"/>
      <c r="H873" s="45" t="s">
        <v>16</v>
      </c>
      <c r="I873" s="47"/>
      <c r="J873" s="12" t="s">
        <v>5173</v>
      </c>
      <c r="K873" s="13" t="s">
        <v>7673</v>
      </c>
      <c r="L873" s="99" t="str">
        <f t="shared" si="55"/>
        <v>W2233.6</v>
      </c>
      <c r="M873" s="13" t="s">
        <v>17</v>
      </c>
      <c r="N873" s="13"/>
      <c r="O873" s="13"/>
      <c r="P873" s="47"/>
      <c r="Q873" s="45" t="s">
        <v>3672</v>
      </c>
      <c r="R873" s="45" t="s">
        <v>5596</v>
      </c>
      <c r="S873" s="48"/>
      <c r="T873" s="49" t="str">
        <f t="shared" si="54"/>
        <v>[W2233.6]</v>
      </c>
      <c r="U873" s="12" t="str">
        <f t="shared" si="57"/>
        <v xml:space="preserve"> 터브이송#2-1 센터 진공파기 시간초과 (X3C0, X3C1, Y3E1)</v>
      </c>
      <c r="V873" s="49" t="str">
        <f t="shared" si="56"/>
        <v>[W2233.6] 터브이송#2-1 센터 진공파기 시간초과 (X3C0, X3C1, Y3E1)</v>
      </c>
    </row>
    <row r="874" spans="1:22" s="49" customFormat="1" ht="14.15" customHeight="1">
      <c r="A874" s="43" t="s">
        <v>5598</v>
      </c>
      <c r="B874" s="44" t="s">
        <v>157</v>
      </c>
      <c r="C874" s="50"/>
      <c r="D874" s="10" t="s">
        <v>29</v>
      </c>
      <c r="E874" s="11"/>
      <c r="F874" s="11" t="s">
        <v>18</v>
      </c>
      <c r="G874" s="13"/>
      <c r="H874" s="45" t="s">
        <v>16</v>
      </c>
      <c r="I874" s="47"/>
      <c r="J874" s="12" t="s">
        <v>5174</v>
      </c>
      <c r="K874" s="13" t="s">
        <v>7674</v>
      </c>
      <c r="L874" s="99" t="str">
        <f t="shared" si="55"/>
        <v>W2233.7</v>
      </c>
      <c r="M874" s="13" t="s">
        <v>17</v>
      </c>
      <c r="N874" s="13"/>
      <c r="O874" s="13"/>
      <c r="P874" s="47"/>
      <c r="Q874" s="45" t="s">
        <v>3672</v>
      </c>
      <c r="R874" s="45" t="s">
        <v>5596</v>
      </c>
      <c r="S874" s="48"/>
      <c r="T874" s="49" t="str">
        <f t="shared" si="54"/>
        <v>[W2233.7]</v>
      </c>
      <c r="U874" s="12" t="str">
        <f t="shared" si="57"/>
        <v xml:space="preserve"> 터브이송#2-1 하부 진공흡착 시간초과 (X3D3, X3D4, Y3E6)</v>
      </c>
      <c r="V874" s="49" t="str">
        <f t="shared" si="56"/>
        <v>[W2233.7] 터브이송#2-1 하부 진공흡착 시간초과 (X3D3, X3D4, Y3E6)</v>
      </c>
    </row>
    <row r="875" spans="1:22" s="49" customFormat="1" ht="14.15" customHeight="1">
      <c r="A875" s="43" t="s">
        <v>5598</v>
      </c>
      <c r="B875" s="44" t="s">
        <v>157</v>
      </c>
      <c r="C875" s="50"/>
      <c r="D875" s="10" t="s">
        <v>29</v>
      </c>
      <c r="E875" s="11"/>
      <c r="F875" s="11" t="s">
        <v>18</v>
      </c>
      <c r="G875" s="13"/>
      <c r="H875" s="45" t="s">
        <v>16</v>
      </c>
      <c r="I875" s="47"/>
      <c r="J875" s="12" t="s">
        <v>5175</v>
      </c>
      <c r="K875" s="13" t="s">
        <v>7675</v>
      </c>
      <c r="L875" s="99" t="str">
        <f t="shared" si="55"/>
        <v>W2233.8</v>
      </c>
      <c r="M875" s="13" t="s">
        <v>17</v>
      </c>
      <c r="N875" s="13"/>
      <c r="O875" s="13"/>
      <c r="P875" s="47"/>
      <c r="Q875" s="45" t="s">
        <v>3672</v>
      </c>
      <c r="R875" s="45" t="s">
        <v>5596</v>
      </c>
      <c r="S875" s="48"/>
      <c r="T875" s="49" t="str">
        <f t="shared" si="54"/>
        <v>[W2233.8]</v>
      </c>
      <c r="U875" s="12" t="str">
        <f t="shared" si="57"/>
        <v xml:space="preserve"> 터브이송#2-1 하부 진공파기 시간초과 (X3D3, X3D4, Y3E7)</v>
      </c>
      <c r="V875" s="49" t="str">
        <f t="shared" si="56"/>
        <v>[W2233.8] 터브이송#2-1 하부 진공파기 시간초과 (X3D3, X3D4, Y3E7)</v>
      </c>
    </row>
    <row r="876" spans="1:22" s="49" customFormat="1" ht="14.15" customHeight="1">
      <c r="A876" s="43" t="s">
        <v>5598</v>
      </c>
      <c r="B876" s="44" t="s">
        <v>157</v>
      </c>
      <c r="C876" s="50"/>
      <c r="D876" s="10" t="s">
        <v>29</v>
      </c>
      <c r="E876" s="11"/>
      <c r="F876" s="11" t="s">
        <v>18</v>
      </c>
      <c r="G876" s="13"/>
      <c r="H876" s="45" t="s">
        <v>16</v>
      </c>
      <c r="I876" s="47"/>
      <c r="J876" s="12" t="s">
        <v>5176</v>
      </c>
      <c r="K876" s="13" t="s">
        <v>7676</v>
      </c>
      <c r="L876" s="99" t="str">
        <f t="shared" si="55"/>
        <v>W2233.9</v>
      </c>
      <c r="M876" s="13" t="s">
        <v>17</v>
      </c>
      <c r="N876" s="13"/>
      <c r="O876" s="13"/>
      <c r="P876" s="47"/>
      <c r="Q876" s="45" t="s">
        <v>3672</v>
      </c>
      <c r="R876" s="45" t="s">
        <v>5596</v>
      </c>
      <c r="S876" s="48"/>
      <c r="T876" s="49" t="str">
        <f t="shared" si="54"/>
        <v>[W2233.9]</v>
      </c>
      <c r="U876" s="12" t="str">
        <f t="shared" si="57"/>
        <v xml:space="preserve"> 터브이송#2-1 터브이송#2-2 지령오류 (M8005, M8026)</v>
      </c>
      <c r="V876" s="49" t="str">
        <f t="shared" si="56"/>
        <v>[W2233.9] 터브이송#2-1 터브이송#2-2 지령오류 (M8005, M8026)</v>
      </c>
    </row>
    <row r="877" spans="1:22" s="49" customFormat="1" ht="14.15" customHeight="1">
      <c r="A877" s="43" t="s">
        <v>5598</v>
      </c>
      <c r="B877" s="44" t="s">
        <v>157</v>
      </c>
      <c r="C877" s="50"/>
      <c r="D877" s="10" t="s">
        <v>29</v>
      </c>
      <c r="E877" s="11"/>
      <c r="F877" s="11" t="s">
        <v>18</v>
      </c>
      <c r="G877" s="13"/>
      <c r="H877" s="45" t="s">
        <v>16</v>
      </c>
      <c r="I877" s="47"/>
      <c r="J877" s="12" t="s">
        <v>5177</v>
      </c>
      <c r="K877" s="13" t="s">
        <v>7677</v>
      </c>
      <c r="L877" s="99" t="str">
        <f t="shared" si="55"/>
        <v>W2233.A</v>
      </c>
      <c r="M877" s="13" t="s">
        <v>17</v>
      </c>
      <c r="N877" s="13"/>
      <c r="O877" s="13"/>
      <c r="P877" s="47"/>
      <c r="Q877" s="45" t="s">
        <v>3672</v>
      </c>
      <c r="R877" s="45" t="s">
        <v>5596</v>
      </c>
      <c r="S877" s="48"/>
      <c r="T877" s="49" t="str">
        <f t="shared" si="54"/>
        <v>[W2233.A]</v>
      </c>
      <c r="U877" s="12" t="str">
        <f t="shared" si="57"/>
        <v xml:space="preserve"> 터브이송#2-1 터브이송#2-2 구동방향오류</v>
      </c>
      <c r="V877" s="49" t="str">
        <f t="shared" si="56"/>
        <v>[W2233.A] 터브이송#2-1 터브이송#2-2 구동방향오류</v>
      </c>
    </row>
    <row r="878" spans="1:22" s="49" customFormat="1" ht="14.15" customHeight="1">
      <c r="A878" s="43" t="s">
        <v>5598</v>
      </c>
      <c r="B878" s="44" t="s">
        <v>157</v>
      </c>
      <c r="C878" s="50"/>
      <c r="D878" s="10" t="s">
        <v>29</v>
      </c>
      <c r="E878" s="11"/>
      <c r="F878" s="11" t="s">
        <v>18</v>
      </c>
      <c r="G878" s="13"/>
      <c r="H878" s="45" t="s">
        <v>16</v>
      </c>
      <c r="I878" s="47"/>
      <c r="J878" s="12" t="s">
        <v>5178</v>
      </c>
      <c r="K878" s="13" t="s">
        <v>7678</v>
      </c>
      <c r="L878" s="99" t="str">
        <f t="shared" si="55"/>
        <v>W2233.B</v>
      </c>
      <c r="M878" s="13" t="s">
        <v>17</v>
      </c>
      <c r="N878" s="13"/>
      <c r="O878" s="13"/>
      <c r="P878" s="47"/>
      <c r="Q878" s="45" t="s">
        <v>3672</v>
      </c>
      <c r="R878" s="45" t="s">
        <v>5596</v>
      </c>
      <c r="S878" s="48"/>
      <c r="T878" s="49" t="str">
        <f t="shared" si="54"/>
        <v>[W2233.B]</v>
      </c>
      <c r="U878" s="12" t="str">
        <f t="shared" si="57"/>
        <v xml:space="preserve"> 터브이송#2-1 터브이송#2-2 간격오류 (D20246, D20244)</v>
      </c>
      <c r="V878" s="49" t="str">
        <f t="shared" si="56"/>
        <v>[W2233.B] 터브이송#2-1 터브이송#2-2 간격오류 (D20246, D20244)</v>
      </c>
    </row>
    <row r="879" spans="1:22" s="49" customFormat="1" ht="14.15" customHeight="1">
      <c r="A879" s="43" t="s">
        <v>5598</v>
      </c>
      <c r="B879" s="44" t="s">
        <v>157</v>
      </c>
      <c r="C879" s="50"/>
      <c r="D879" s="10" t="s">
        <v>29</v>
      </c>
      <c r="E879" s="11"/>
      <c r="F879" s="11" t="s">
        <v>18</v>
      </c>
      <c r="G879" s="13"/>
      <c r="H879" s="45" t="s">
        <v>16</v>
      </c>
      <c r="I879" s="47"/>
      <c r="J879" s="12" t="s">
        <v>5179</v>
      </c>
      <c r="K879" s="13" t="s">
        <v>7679</v>
      </c>
      <c r="L879" s="99" t="str">
        <f t="shared" si="55"/>
        <v>W2233.C</v>
      </c>
      <c r="M879" s="13" t="s">
        <v>17</v>
      </c>
      <c r="N879" s="13"/>
      <c r="O879" s="13"/>
      <c r="P879" s="47"/>
      <c r="Q879" s="45" t="s">
        <v>3672</v>
      </c>
      <c r="R879" s="45" t="s">
        <v>5596</v>
      </c>
      <c r="S879" s="48"/>
      <c r="T879" s="49" t="str">
        <f t="shared" si="54"/>
        <v>[W2233.C]</v>
      </c>
      <c r="U879" s="12" t="str">
        <f t="shared" si="57"/>
        <v xml:space="preserve"> 이송#2 메인공압에러 (X47B)</v>
      </c>
      <c r="V879" s="49" t="str">
        <f t="shared" si="56"/>
        <v>[W2233.C] 이송#2 메인공압에러 (X47B)</v>
      </c>
    </row>
    <row r="880" spans="1:22" s="49" customFormat="1" ht="14.15" customHeight="1">
      <c r="A880" s="43"/>
      <c r="B880" s="44" t="s">
        <v>157</v>
      </c>
      <c r="C880" s="50"/>
      <c r="D880" s="10" t="s">
        <v>29</v>
      </c>
      <c r="E880" s="11"/>
      <c r="F880" s="11" t="s">
        <v>18</v>
      </c>
      <c r="G880" s="13"/>
      <c r="H880" s="45" t="s">
        <v>16</v>
      </c>
      <c r="I880" s="47"/>
      <c r="J880" s="12" t="s">
        <v>3936</v>
      </c>
      <c r="K880" s="13" t="s">
        <v>7680</v>
      </c>
      <c r="L880" s="99" t="str">
        <f t="shared" si="55"/>
        <v>W2233.D</v>
      </c>
      <c r="M880" s="13"/>
      <c r="N880" s="13"/>
      <c r="O880" s="13"/>
      <c r="P880" s="47"/>
      <c r="Q880" s="45"/>
      <c r="R880" s="45"/>
      <c r="S880" s="48"/>
      <c r="T880" s="49" t="str">
        <f t="shared" si="54"/>
        <v>[W2233.D]</v>
      </c>
      <c r="U880" s="12" t="str">
        <f t="shared" si="57"/>
        <v/>
      </c>
      <c r="V880" s="49" t="str">
        <f t="shared" si="56"/>
        <v>[W2233.D]</v>
      </c>
    </row>
    <row r="881" spans="1:22" s="49" customFormat="1" ht="14.15" customHeight="1">
      <c r="A881" s="43"/>
      <c r="B881" s="44" t="s">
        <v>157</v>
      </c>
      <c r="C881" s="50"/>
      <c r="D881" s="10" t="s">
        <v>29</v>
      </c>
      <c r="E881" s="11"/>
      <c r="F881" s="11" t="s">
        <v>18</v>
      </c>
      <c r="G881" s="13"/>
      <c r="H881" s="45" t="s">
        <v>16</v>
      </c>
      <c r="I881" s="47"/>
      <c r="J881" s="12" t="s">
        <v>3937</v>
      </c>
      <c r="K881" s="13" t="s">
        <v>7681</v>
      </c>
      <c r="L881" s="99" t="str">
        <f t="shared" si="55"/>
        <v>W2233.E</v>
      </c>
      <c r="M881" s="13"/>
      <c r="N881" s="13"/>
      <c r="O881" s="13"/>
      <c r="P881" s="47"/>
      <c r="Q881" s="45"/>
      <c r="R881" s="45"/>
      <c r="S881" s="48"/>
      <c r="T881" s="49" t="str">
        <f t="shared" si="54"/>
        <v>[W2233.E]</v>
      </c>
      <c r="U881" s="12" t="str">
        <f t="shared" si="57"/>
        <v/>
      </c>
      <c r="V881" s="49" t="str">
        <f t="shared" si="56"/>
        <v>[W2233.E]</v>
      </c>
    </row>
    <row r="882" spans="1:22" s="49" customFormat="1" ht="14.15" customHeight="1">
      <c r="A882" s="43"/>
      <c r="B882" s="44" t="s">
        <v>157</v>
      </c>
      <c r="C882" s="50"/>
      <c r="D882" s="10" t="s">
        <v>29</v>
      </c>
      <c r="E882" s="11"/>
      <c r="F882" s="11" t="s">
        <v>18</v>
      </c>
      <c r="G882" s="13"/>
      <c r="H882" s="45" t="s">
        <v>16</v>
      </c>
      <c r="I882" s="47"/>
      <c r="J882" s="12" t="s">
        <v>3938</v>
      </c>
      <c r="K882" s="13" t="s">
        <v>7682</v>
      </c>
      <c r="L882" s="99" t="str">
        <f t="shared" si="55"/>
        <v>W2233.F</v>
      </c>
      <c r="M882" s="13"/>
      <c r="N882" s="13"/>
      <c r="O882" s="13"/>
      <c r="P882" s="47"/>
      <c r="Q882" s="45"/>
      <c r="R882" s="45"/>
      <c r="S882" s="48"/>
      <c r="T882" s="49" t="str">
        <f t="shared" si="54"/>
        <v>[W2233.F]</v>
      </c>
      <c r="U882" s="12" t="str">
        <f t="shared" si="57"/>
        <v/>
      </c>
      <c r="V882" s="49" t="str">
        <f t="shared" si="56"/>
        <v>[W2233.F]</v>
      </c>
    </row>
    <row r="883" spans="1:22" s="49" customFormat="1" ht="14.15" customHeight="1">
      <c r="A883" s="44"/>
      <c r="B883" s="44" t="s">
        <v>157</v>
      </c>
      <c r="C883" s="50"/>
      <c r="D883" s="10" t="s">
        <v>29</v>
      </c>
      <c r="E883" s="11"/>
      <c r="F883" s="11" t="s">
        <v>18</v>
      </c>
      <c r="G883" s="13"/>
      <c r="H883" s="45" t="s">
        <v>16</v>
      </c>
      <c r="I883" s="47"/>
      <c r="J883" s="12" t="s">
        <v>3939</v>
      </c>
      <c r="K883" s="13" t="s">
        <v>7683</v>
      </c>
      <c r="L883" s="99" t="str">
        <f t="shared" si="55"/>
        <v>W2234.0</v>
      </c>
      <c r="M883" s="13"/>
      <c r="N883" s="13"/>
      <c r="O883" s="13"/>
      <c r="P883" s="47"/>
      <c r="Q883" s="45"/>
      <c r="R883" s="45"/>
      <c r="S883" s="48"/>
      <c r="T883" s="49" t="str">
        <f t="shared" ref="T883:T946" si="58">"["&amp;L883&amp;"]"</f>
        <v>[W2234.0]</v>
      </c>
      <c r="U883" s="12" t="str">
        <f t="shared" si="57"/>
        <v/>
      </c>
      <c r="V883" s="49" t="str">
        <f t="shared" si="56"/>
        <v>[W2234.0]</v>
      </c>
    </row>
    <row r="884" spans="1:22" s="49" customFormat="1" ht="14.15" customHeight="1">
      <c r="A884" s="43"/>
      <c r="B884" s="44" t="s">
        <v>157</v>
      </c>
      <c r="C884" s="50"/>
      <c r="D884" s="10" t="s">
        <v>29</v>
      </c>
      <c r="E884" s="11"/>
      <c r="F884" s="11" t="s">
        <v>18</v>
      </c>
      <c r="G884" s="13"/>
      <c r="H884" s="45" t="s">
        <v>16</v>
      </c>
      <c r="I884" s="47"/>
      <c r="J884" s="12" t="s">
        <v>3940</v>
      </c>
      <c r="K884" s="13" t="s">
        <v>7684</v>
      </c>
      <c r="L884" s="99" t="str">
        <f t="shared" ref="L884:L947" si="59">"W"&amp;DEC2HEX(8704 + INT((ROW()-51)/16)) &amp; "." &amp; IF(MOD(ROW()-51,16)&lt;10,MOD(ROW()-51,16),CHAR(MOD(ROW()-51,16)+55))</f>
        <v>W2234.1</v>
      </c>
      <c r="M884" s="13"/>
      <c r="N884" s="13"/>
      <c r="O884" s="13"/>
      <c r="P884" s="47"/>
      <c r="Q884" s="45"/>
      <c r="R884" s="45"/>
      <c r="S884" s="48"/>
      <c r="T884" s="49" t="str">
        <f t="shared" si="58"/>
        <v>[W2234.1]</v>
      </c>
      <c r="U884" s="12" t="str">
        <f t="shared" si="57"/>
        <v/>
      </c>
      <c r="V884" s="49" t="str">
        <f t="shared" ref="V884:V947" si="60">T884&amp;U884</f>
        <v>[W2234.1]</v>
      </c>
    </row>
    <row r="885" spans="1:22" s="49" customFormat="1" ht="14.15" customHeight="1">
      <c r="A885" s="44"/>
      <c r="B885" s="44" t="s">
        <v>157</v>
      </c>
      <c r="C885" s="50"/>
      <c r="D885" s="10" t="s">
        <v>29</v>
      </c>
      <c r="E885" s="11"/>
      <c r="F885" s="11" t="s">
        <v>18</v>
      </c>
      <c r="G885" s="13"/>
      <c r="H885" s="45" t="s">
        <v>16</v>
      </c>
      <c r="I885" s="47"/>
      <c r="J885" s="12" t="s">
        <v>3941</v>
      </c>
      <c r="K885" s="13" t="s">
        <v>7685</v>
      </c>
      <c r="L885" s="99" t="str">
        <f t="shared" si="59"/>
        <v>W2234.2</v>
      </c>
      <c r="M885" s="13"/>
      <c r="N885" s="13"/>
      <c r="O885" s="13"/>
      <c r="P885" s="47"/>
      <c r="Q885" s="45"/>
      <c r="R885" s="45"/>
      <c r="S885" s="48"/>
      <c r="T885" s="49" t="str">
        <f t="shared" si="58"/>
        <v>[W2234.2]</v>
      </c>
      <c r="U885" s="12" t="str">
        <f t="shared" si="57"/>
        <v/>
      </c>
      <c r="V885" s="49" t="str">
        <f t="shared" si="60"/>
        <v>[W2234.2]</v>
      </c>
    </row>
    <row r="886" spans="1:22" s="49" customFormat="1" ht="14.15" customHeight="1">
      <c r="A886" s="44"/>
      <c r="B886" s="44" t="s">
        <v>157</v>
      </c>
      <c r="C886" s="50"/>
      <c r="D886" s="10" t="s">
        <v>29</v>
      </c>
      <c r="E886" s="11"/>
      <c r="F886" s="11" t="s">
        <v>18</v>
      </c>
      <c r="G886" s="13"/>
      <c r="H886" s="45" t="s">
        <v>16</v>
      </c>
      <c r="I886" s="47"/>
      <c r="J886" s="12" t="s">
        <v>3942</v>
      </c>
      <c r="K886" s="13" t="s">
        <v>7686</v>
      </c>
      <c r="L886" s="99" t="str">
        <f t="shared" si="59"/>
        <v>W2234.3</v>
      </c>
      <c r="M886" s="13"/>
      <c r="N886" s="13"/>
      <c r="O886" s="13"/>
      <c r="P886" s="47"/>
      <c r="Q886" s="45"/>
      <c r="R886" s="45"/>
      <c r="S886" s="48"/>
      <c r="T886" s="49" t="str">
        <f t="shared" si="58"/>
        <v>[W2234.3]</v>
      </c>
      <c r="U886" s="12" t="str">
        <f t="shared" si="57"/>
        <v/>
      </c>
      <c r="V886" s="49" t="str">
        <f t="shared" si="60"/>
        <v>[W2234.3]</v>
      </c>
    </row>
    <row r="887" spans="1:22" s="49" customFormat="1" ht="14.15" customHeight="1">
      <c r="A887" s="44"/>
      <c r="B887" s="44" t="s">
        <v>157</v>
      </c>
      <c r="C887" s="50"/>
      <c r="D887" s="10" t="s">
        <v>29</v>
      </c>
      <c r="E887" s="11"/>
      <c r="F887" s="11" t="s">
        <v>18</v>
      </c>
      <c r="G887" s="13"/>
      <c r="H887" s="45" t="s">
        <v>16</v>
      </c>
      <c r="I887" s="47"/>
      <c r="J887" s="12" t="s">
        <v>3943</v>
      </c>
      <c r="K887" s="13" t="s">
        <v>7687</v>
      </c>
      <c r="L887" s="99" t="str">
        <f t="shared" si="59"/>
        <v>W2234.4</v>
      </c>
      <c r="M887" s="13"/>
      <c r="N887" s="13"/>
      <c r="O887" s="13"/>
      <c r="P887" s="47"/>
      <c r="Q887" s="45"/>
      <c r="R887" s="45"/>
      <c r="S887" s="48"/>
      <c r="T887" s="49" t="str">
        <f t="shared" si="58"/>
        <v>[W2234.4]</v>
      </c>
      <c r="U887" s="12" t="str">
        <f t="shared" si="57"/>
        <v/>
      </c>
      <c r="V887" s="49" t="str">
        <f t="shared" si="60"/>
        <v>[W2234.4]</v>
      </c>
    </row>
    <row r="888" spans="1:22" s="49" customFormat="1" ht="14.15" customHeight="1">
      <c r="A888" s="44"/>
      <c r="B888" s="44" t="s">
        <v>157</v>
      </c>
      <c r="C888" s="50"/>
      <c r="D888" s="10" t="s">
        <v>29</v>
      </c>
      <c r="E888" s="11"/>
      <c r="F888" s="11" t="s">
        <v>18</v>
      </c>
      <c r="G888" s="13"/>
      <c r="H888" s="45" t="s">
        <v>16</v>
      </c>
      <c r="I888" s="47"/>
      <c r="J888" s="12" t="s">
        <v>3944</v>
      </c>
      <c r="K888" s="13" t="s">
        <v>7688</v>
      </c>
      <c r="L888" s="99" t="str">
        <f t="shared" si="59"/>
        <v>W2234.5</v>
      </c>
      <c r="M888" s="13"/>
      <c r="N888" s="13"/>
      <c r="O888" s="13"/>
      <c r="P888" s="47"/>
      <c r="Q888" s="45"/>
      <c r="R888" s="45"/>
      <c r="S888" s="48"/>
      <c r="T888" s="49" t="str">
        <f t="shared" si="58"/>
        <v>[W2234.5]</v>
      </c>
      <c r="U888" s="12" t="str">
        <f t="shared" ref="U888:U951" si="61">RIGHT(J888,LEN(J888)-7)</f>
        <v/>
      </c>
      <c r="V888" s="49" t="str">
        <f t="shared" si="60"/>
        <v>[W2234.5]</v>
      </c>
    </row>
    <row r="889" spans="1:22" s="49" customFormat="1" ht="14.15" customHeight="1">
      <c r="A889" s="43"/>
      <c r="B889" s="44" t="s">
        <v>157</v>
      </c>
      <c r="C889" s="50"/>
      <c r="D889" s="10" t="s">
        <v>29</v>
      </c>
      <c r="E889" s="11"/>
      <c r="F889" s="11" t="s">
        <v>18</v>
      </c>
      <c r="G889" s="13"/>
      <c r="H889" s="45" t="s">
        <v>16</v>
      </c>
      <c r="I889" s="47"/>
      <c r="J889" s="12" t="s">
        <v>3945</v>
      </c>
      <c r="K889" s="13" t="s">
        <v>7689</v>
      </c>
      <c r="L889" s="99" t="str">
        <f t="shared" si="59"/>
        <v>W2234.6</v>
      </c>
      <c r="M889" s="13"/>
      <c r="N889" s="13"/>
      <c r="O889" s="13"/>
      <c r="P889" s="47"/>
      <c r="Q889" s="45"/>
      <c r="R889" s="45"/>
      <c r="S889" s="48"/>
      <c r="T889" s="49" t="str">
        <f t="shared" si="58"/>
        <v>[W2234.6]</v>
      </c>
      <c r="U889" s="12" t="str">
        <f t="shared" si="61"/>
        <v/>
      </c>
      <c r="V889" s="49" t="str">
        <f t="shared" si="60"/>
        <v>[W2234.6]</v>
      </c>
    </row>
    <row r="890" spans="1:22" s="49" customFormat="1" ht="14.15" customHeight="1">
      <c r="A890" s="43" t="s">
        <v>5598</v>
      </c>
      <c r="B890" s="44" t="s">
        <v>157</v>
      </c>
      <c r="C890" s="50"/>
      <c r="D890" s="10" t="s">
        <v>29</v>
      </c>
      <c r="E890" s="11"/>
      <c r="F890" s="11" t="s">
        <v>18</v>
      </c>
      <c r="G890" s="13"/>
      <c r="H890" s="45" t="s">
        <v>16</v>
      </c>
      <c r="I890" s="47"/>
      <c r="J890" s="12" t="s">
        <v>5180</v>
      </c>
      <c r="K890" s="13" t="s">
        <v>7690</v>
      </c>
      <c r="L890" s="99" t="str">
        <f t="shared" si="59"/>
        <v>W2234.7</v>
      </c>
      <c r="M890" s="13" t="s">
        <v>17</v>
      </c>
      <c r="N890" s="13"/>
      <c r="O890" s="13"/>
      <c r="P890" s="47"/>
      <c r="Q890" s="45" t="s">
        <v>3672</v>
      </c>
      <c r="R890" s="45" t="s">
        <v>5596</v>
      </c>
      <c r="S890" s="48"/>
      <c r="T890" s="49" t="str">
        <f t="shared" si="58"/>
        <v>[W2234.7]</v>
      </c>
      <c r="U890" s="12" t="str">
        <f t="shared" si="61"/>
        <v xml:space="preserve"> 터브이송#2-2 상부 진공흡착 시간초과 (X3D7, X3D8, Y3EC)</v>
      </c>
      <c r="V890" s="49" t="str">
        <f t="shared" si="60"/>
        <v>[W2234.7] 터브이송#2-2 상부 진공흡착 시간초과 (X3D7, X3D8, Y3EC)</v>
      </c>
    </row>
    <row r="891" spans="1:22" s="49" customFormat="1" ht="14.15" customHeight="1">
      <c r="A891" s="43" t="s">
        <v>5598</v>
      </c>
      <c r="B891" s="44" t="s">
        <v>157</v>
      </c>
      <c r="C891" s="50"/>
      <c r="D891" s="10" t="s">
        <v>29</v>
      </c>
      <c r="E891" s="11"/>
      <c r="F891" s="11" t="s">
        <v>18</v>
      </c>
      <c r="G891" s="13"/>
      <c r="H891" s="45" t="s">
        <v>16</v>
      </c>
      <c r="I891" s="47"/>
      <c r="J891" s="12" t="s">
        <v>5181</v>
      </c>
      <c r="K891" s="13" t="s">
        <v>7691</v>
      </c>
      <c r="L891" s="99" t="str">
        <f t="shared" si="59"/>
        <v>W2234.8</v>
      </c>
      <c r="M891" s="13" t="s">
        <v>17</v>
      </c>
      <c r="N891" s="13"/>
      <c r="O891" s="13"/>
      <c r="P891" s="47"/>
      <c r="Q891" s="45" t="s">
        <v>3672</v>
      </c>
      <c r="R891" s="45" t="s">
        <v>5596</v>
      </c>
      <c r="S891" s="48"/>
      <c r="T891" s="49" t="str">
        <f t="shared" si="58"/>
        <v>[W2234.8]</v>
      </c>
      <c r="U891" s="12" t="str">
        <f t="shared" si="61"/>
        <v xml:space="preserve"> 터브이송#2-2 상부 진공파기 시간초과 (X3D7, X3D8, Y3ED)</v>
      </c>
      <c r="V891" s="49" t="str">
        <f t="shared" si="60"/>
        <v>[W2234.8] 터브이송#2-2 상부 진공파기 시간초과 (X3D7, X3D8, Y3ED)</v>
      </c>
    </row>
    <row r="892" spans="1:22" s="49" customFormat="1" ht="14.15" customHeight="1">
      <c r="A892" s="43" t="s">
        <v>5598</v>
      </c>
      <c r="B892" s="44" t="s">
        <v>157</v>
      </c>
      <c r="C892" s="50"/>
      <c r="D892" s="10" t="s">
        <v>29</v>
      </c>
      <c r="E892" s="11"/>
      <c r="F892" s="11" t="s">
        <v>18</v>
      </c>
      <c r="G892" s="13"/>
      <c r="H892" s="45" t="s">
        <v>16</v>
      </c>
      <c r="I892" s="47"/>
      <c r="J892" s="12" t="s">
        <v>5182</v>
      </c>
      <c r="K892" s="13" t="s">
        <v>7692</v>
      </c>
      <c r="L892" s="99" t="str">
        <f t="shared" si="59"/>
        <v>W2234.9</v>
      </c>
      <c r="M892" s="13" t="s">
        <v>17</v>
      </c>
      <c r="N892" s="13"/>
      <c r="O892" s="13"/>
      <c r="P892" s="47"/>
      <c r="Q892" s="45" t="s">
        <v>3672</v>
      </c>
      <c r="R892" s="45" t="s">
        <v>5596</v>
      </c>
      <c r="S892" s="48"/>
      <c r="T892" s="49" t="str">
        <f t="shared" si="58"/>
        <v>[W2234.9]</v>
      </c>
      <c r="U892" s="12" t="str">
        <f t="shared" si="61"/>
        <v xml:space="preserve"> 터브이송#2-2 센터 진공흡착 시간초과 (X3D5, X3D6, Y3E9)</v>
      </c>
      <c r="V892" s="49" t="str">
        <f t="shared" si="60"/>
        <v>[W2234.9] 터브이송#2-2 센터 진공흡착 시간초과 (X3D5, X3D6, Y3E9)</v>
      </c>
    </row>
    <row r="893" spans="1:22" s="49" customFormat="1" ht="14.15" customHeight="1">
      <c r="A893" s="43" t="s">
        <v>5598</v>
      </c>
      <c r="B893" s="44" t="s">
        <v>157</v>
      </c>
      <c r="C893" s="50"/>
      <c r="D893" s="10" t="s">
        <v>29</v>
      </c>
      <c r="E893" s="11"/>
      <c r="F893" s="11" t="s">
        <v>18</v>
      </c>
      <c r="G893" s="13"/>
      <c r="H893" s="45" t="s">
        <v>16</v>
      </c>
      <c r="I893" s="47"/>
      <c r="J893" s="12" t="s">
        <v>5183</v>
      </c>
      <c r="K893" s="13" t="s">
        <v>7693</v>
      </c>
      <c r="L893" s="99" t="str">
        <f t="shared" si="59"/>
        <v>W2234.A</v>
      </c>
      <c r="M893" s="13" t="s">
        <v>17</v>
      </c>
      <c r="N893" s="13"/>
      <c r="O893" s="13"/>
      <c r="P893" s="47"/>
      <c r="Q893" s="45" t="s">
        <v>3672</v>
      </c>
      <c r="R893" s="45" t="s">
        <v>5596</v>
      </c>
      <c r="S893" s="48"/>
      <c r="T893" s="49" t="str">
        <f t="shared" si="58"/>
        <v>[W2234.A]</v>
      </c>
      <c r="U893" s="12" t="str">
        <f t="shared" si="61"/>
        <v xml:space="preserve"> 터브이송#2-2 센터 진공파기 시간초과 (X3D5, X3D6, Y3EA)</v>
      </c>
      <c r="V893" s="49" t="str">
        <f t="shared" si="60"/>
        <v>[W2234.A] 터브이송#2-2 센터 진공파기 시간초과 (X3D5, X3D6, Y3EA)</v>
      </c>
    </row>
    <row r="894" spans="1:22" s="49" customFormat="1" ht="14.15" customHeight="1">
      <c r="A894" s="43" t="s">
        <v>5598</v>
      </c>
      <c r="B894" s="44" t="s">
        <v>157</v>
      </c>
      <c r="C894" s="50"/>
      <c r="D894" s="10" t="s">
        <v>29</v>
      </c>
      <c r="E894" s="11"/>
      <c r="F894" s="11" t="s">
        <v>18</v>
      </c>
      <c r="G894" s="13"/>
      <c r="H894" s="45" t="s">
        <v>16</v>
      </c>
      <c r="I894" s="47"/>
      <c r="J894" s="12" t="s">
        <v>5184</v>
      </c>
      <c r="K894" s="13" t="s">
        <v>7694</v>
      </c>
      <c r="L894" s="99" t="str">
        <f t="shared" si="59"/>
        <v>W2234.B</v>
      </c>
      <c r="M894" s="13" t="s">
        <v>17</v>
      </c>
      <c r="N894" s="13"/>
      <c r="O894" s="13"/>
      <c r="P894" s="47"/>
      <c r="Q894" s="45" t="s">
        <v>3672</v>
      </c>
      <c r="R894" s="45" t="s">
        <v>5596</v>
      </c>
      <c r="S894" s="48"/>
      <c r="T894" s="49" t="str">
        <f t="shared" si="58"/>
        <v>[W2234.B]</v>
      </c>
      <c r="U894" s="12" t="str">
        <f t="shared" si="61"/>
        <v xml:space="preserve"> 터브이송#2-2 하부 진공흡착 시간초과 (X3D9, X3DA, Y3EF)</v>
      </c>
      <c r="V894" s="49" t="str">
        <f t="shared" si="60"/>
        <v>[W2234.B] 터브이송#2-2 하부 진공흡착 시간초과 (X3D9, X3DA, Y3EF)</v>
      </c>
    </row>
    <row r="895" spans="1:22" s="49" customFormat="1" ht="14.15" customHeight="1">
      <c r="A895" s="43" t="s">
        <v>5598</v>
      </c>
      <c r="B895" s="44" t="s">
        <v>157</v>
      </c>
      <c r="C895" s="50"/>
      <c r="D895" s="10" t="s">
        <v>29</v>
      </c>
      <c r="E895" s="11"/>
      <c r="F895" s="11" t="s">
        <v>18</v>
      </c>
      <c r="G895" s="13"/>
      <c r="H895" s="45" t="s">
        <v>16</v>
      </c>
      <c r="I895" s="47"/>
      <c r="J895" s="12" t="s">
        <v>5185</v>
      </c>
      <c r="K895" s="13" t="s">
        <v>7695</v>
      </c>
      <c r="L895" s="99" t="str">
        <f t="shared" si="59"/>
        <v>W2234.C</v>
      </c>
      <c r="M895" s="13" t="s">
        <v>17</v>
      </c>
      <c r="N895" s="13"/>
      <c r="O895" s="13"/>
      <c r="P895" s="47"/>
      <c r="Q895" s="45" t="s">
        <v>3672</v>
      </c>
      <c r="R895" s="45" t="s">
        <v>5596</v>
      </c>
      <c r="S895" s="48"/>
      <c r="T895" s="49" t="str">
        <f t="shared" si="58"/>
        <v>[W2234.C]</v>
      </c>
      <c r="U895" s="12" t="str">
        <f t="shared" si="61"/>
        <v xml:space="preserve"> 터브이송#2-2 하부 진공파기 시간초과 (X3D9, X3DA, Y3F0)</v>
      </c>
      <c r="V895" s="49" t="str">
        <f t="shared" si="60"/>
        <v>[W2234.C] 터브이송#2-2 하부 진공파기 시간초과 (X3D9, X3DA, Y3F0)</v>
      </c>
    </row>
    <row r="896" spans="1:22" s="49" customFormat="1" ht="14.15" customHeight="1">
      <c r="A896" s="43" t="s">
        <v>5598</v>
      </c>
      <c r="B896" s="44" t="s">
        <v>157</v>
      </c>
      <c r="C896" s="50"/>
      <c r="D896" s="10" t="s">
        <v>29</v>
      </c>
      <c r="E896" s="11"/>
      <c r="F896" s="11" t="s">
        <v>18</v>
      </c>
      <c r="G896" s="13"/>
      <c r="H896" s="45" t="s">
        <v>16</v>
      </c>
      <c r="I896" s="47"/>
      <c r="J896" s="12" t="s">
        <v>5186</v>
      </c>
      <c r="K896" s="13" t="s">
        <v>7696</v>
      </c>
      <c r="L896" s="99" t="str">
        <f t="shared" si="59"/>
        <v>W2234.D</v>
      </c>
      <c r="M896" s="13" t="s">
        <v>17</v>
      </c>
      <c r="N896" s="13"/>
      <c r="O896" s="13"/>
      <c r="P896" s="47"/>
      <c r="Q896" s="45" t="s">
        <v>3672</v>
      </c>
      <c r="R896" s="45" t="s">
        <v>5596</v>
      </c>
      <c r="S896" s="48"/>
      <c r="T896" s="49" t="str">
        <f t="shared" si="58"/>
        <v>[W2234.D]</v>
      </c>
      <c r="U896" s="12" t="str">
        <f t="shared" si="61"/>
        <v xml:space="preserve"> 터브이송#2-1 터브이송#2-2 지령오류 (M8005, M8026)</v>
      </c>
      <c r="V896" s="49" t="str">
        <f t="shared" si="60"/>
        <v>[W2234.D] 터브이송#2-1 터브이송#2-2 지령오류 (M8005, M8026)</v>
      </c>
    </row>
    <row r="897" spans="1:22" s="49" customFormat="1" ht="14.15" customHeight="1">
      <c r="A897" s="43" t="s">
        <v>5598</v>
      </c>
      <c r="B897" s="44" t="s">
        <v>157</v>
      </c>
      <c r="C897" s="50"/>
      <c r="D897" s="10" t="s">
        <v>29</v>
      </c>
      <c r="E897" s="11"/>
      <c r="F897" s="11" t="s">
        <v>18</v>
      </c>
      <c r="G897" s="13"/>
      <c r="H897" s="45" t="s">
        <v>16</v>
      </c>
      <c r="I897" s="47"/>
      <c r="J897" s="12" t="s">
        <v>5187</v>
      </c>
      <c r="K897" s="13" t="s">
        <v>7697</v>
      </c>
      <c r="L897" s="99" t="str">
        <f t="shared" si="59"/>
        <v>W2234.E</v>
      </c>
      <c r="M897" s="13" t="s">
        <v>17</v>
      </c>
      <c r="N897" s="13"/>
      <c r="O897" s="13"/>
      <c r="P897" s="47"/>
      <c r="Q897" s="45" t="s">
        <v>3672</v>
      </c>
      <c r="R897" s="45" t="s">
        <v>5596</v>
      </c>
      <c r="S897" s="48"/>
      <c r="T897" s="49" t="str">
        <f t="shared" si="58"/>
        <v>[W2234.E]</v>
      </c>
      <c r="U897" s="12" t="str">
        <f t="shared" si="61"/>
        <v xml:space="preserve"> 터브이송#2-2 터브이송#2-3 지령오류 (M8025, M8046, M8047)</v>
      </c>
      <c r="V897" s="49" t="str">
        <f t="shared" si="60"/>
        <v>[W2234.E] 터브이송#2-2 터브이송#2-3 지령오류 (M8025, M8046, M8047)</v>
      </c>
    </row>
    <row r="898" spans="1:22" s="49" customFormat="1" ht="14.15" customHeight="1">
      <c r="A898" s="43" t="s">
        <v>5598</v>
      </c>
      <c r="B898" s="44" t="s">
        <v>157</v>
      </c>
      <c r="C898" s="50"/>
      <c r="D898" s="10" t="s">
        <v>29</v>
      </c>
      <c r="E898" s="11"/>
      <c r="F898" s="11" t="s">
        <v>18</v>
      </c>
      <c r="G898" s="13"/>
      <c r="H898" s="45" t="s">
        <v>16</v>
      </c>
      <c r="I898" s="47"/>
      <c r="J898" s="12" t="s">
        <v>5188</v>
      </c>
      <c r="K898" s="13" t="s">
        <v>7698</v>
      </c>
      <c r="L898" s="99" t="str">
        <f t="shared" si="59"/>
        <v>W2234.F</v>
      </c>
      <c r="M898" s="13" t="s">
        <v>17</v>
      </c>
      <c r="N898" s="13"/>
      <c r="O898" s="13"/>
      <c r="P898" s="47"/>
      <c r="Q898" s="45" t="s">
        <v>3672</v>
      </c>
      <c r="R898" s="45" t="s">
        <v>5596</v>
      </c>
      <c r="S898" s="48"/>
      <c r="T898" s="49" t="str">
        <f t="shared" si="58"/>
        <v>[W2234.F]</v>
      </c>
      <c r="U898" s="12" t="str">
        <f t="shared" si="61"/>
        <v xml:space="preserve"> 터브이송#2-1 터브이송#2-2 구동방향오류</v>
      </c>
      <c r="V898" s="49" t="str">
        <f t="shared" si="60"/>
        <v>[W2234.F] 터브이송#2-1 터브이송#2-2 구동방향오류</v>
      </c>
    </row>
    <row r="899" spans="1:22" s="49" customFormat="1" ht="14.15" customHeight="1">
      <c r="A899" s="43" t="s">
        <v>5598</v>
      </c>
      <c r="B899" s="44" t="s">
        <v>157</v>
      </c>
      <c r="C899" s="50"/>
      <c r="D899" s="10" t="s">
        <v>29</v>
      </c>
      <c r="E899" s="11"/>
      <c r="F899" s="11" t="s">
        <v>18</v>
      </c>
      <c r="G899" s="13"/>
      <c r="H899" s="45" t="s">
        <v>16</v>
      </c>
      <c r="I899" s="47"/>
      <c r="J899" s="12" t="s">
        <v>5189</v>
      </c>
      <c r="K899" s="13" t="s">
        <v>7699</v>
      </c>
      <c r="L899" s="99" t="str">
        <f t="shared" si="59"/>
        <v>W2235.0</v>
      </c>
      <c r="M899" s="13" t="s">
        <v>17</v>
      </c>
      <c r="N899" s="13"/>
      <c r="O899" s="13"/>
      <c r="P899" s="47"/>
      <c r="Q899" s="45" t="s">
        <v>3672</v>
      </c>
      <c r="R899" s="45" t="s">
        <v>5596</v>
      </c>
      <c r="S899" s="48"/>
      <c r="T899" s="49" t="str">
        <f t="shared" si="58"/>
        <v>[W2235.0]</v>
      </c>
      <c r="U899" s="12" t="str">
        <f t="shared" si="61"/>
        <v xml:space="preserve"> 터브이송#2-2 터브이송#2-3 구동방향오류</v>
      </c>
      <c r="V899" s="49" t="str">
        <f t="shared" si="60"/>
        <v>[W2235.0] 터브이송#2-2 터브이송#2-3 구동방향오류</v>
      </c>
    </row>
    <row r="900" spans="1:22" s="49" customFormat="1" ht="14.15" customHeight="1">
      <c r="A900" s="43" t="s">
        <v>5598</v>
      </c>
      <c r="B900" s="44" t="s">
        <v>157</v>
      </c>
      <c r="C900" s="50"/>
      <c r="D900" s="10" t="s">
        <v>29</v>
      </c>
      <c r="E900" s="11"/>
      <c r="F900" s="11" t="s">
        <v>18</v>
      </c>
      <c r="G900" s="13"/>
      <c r="H900" s="45" t="s">
        <v>16</v>
      </c>
      <c r="I900" s="47"/>
      <c r="J900" s="12" t="s">
        <v>5190</v>
      </c>
      <c r="K900" s="13" t="s">
        <v>7700</v>
      </c>
      <c r="L900" s="99" t="str">
        <f t="shared" si="59"/>
        <v>W2235.1</v>
      </c>
      <c r="M900" s="13" t="s">
        <v>17</v>
      </c>
      <c r="N900" s="13"/>
      <c r="O900" s="13"/>
      <c r="P900" s="47"/>
      <c r="Q900" s="45" t="s">
        <v>3672</v>
      </c>
      <c r="R900" s="45" t="s">
        <v>5596</v>
      </c>
      <c r="S900" s="48"/>
      <c r="T900" s="49" t="str">
        <f t="shared" si="58"/>
        <v>[W2235.1]</v>
      </c>
      <c r="U900" s="12" t="str">
        <f t="shared" si="61"/>
        <v xml:space="preserve"> 터브이송#2-1 터브이송#2-2 간격오류 (D20246, D20244)</v>
      </c>
      <c r="V900" s="49" t="str">
        <f t="shared" si="60"/>
        <v>[W2235.1] 터브이송#2-1 터브이송#2-2 간격오류 (D20246, D20244)</v>
      </c>
    </row>
    <row r="901" spans="1:22" s="49" customFormat="1" ht="14.15" customHeight="1">
      <c r="A901" s="43" t="s">
        <v>5598</v>
      </c>
      <c r="B901" s="44" t="s">
        <v>157</v>
      </c>
      <c r="C901" s="50"/>
      <c r="D901" s="10" t="s">
        <v>29</v>
      </c>
      <c r="E901" s="11"/>
      <c r="F901" s="11" t="s">
        <v>18</v>
      </c>
      <c r="G901" s="13"/>
      <c r="H901" s="45" t="s">
        <v>16</v>
      </c>
      <c r="I901" s="47"/>
      <c r="J901" s="12" t="s">
        <v>5191</v>
      </c>
      <c r="K901" s="13" t="s">
        <v>7701</v>
      </c>
      <c r="L901" s="99" t="str">
        <f t="shared" si="59"/>
        <v>W2235.2</v>
      </c>
      <c r="M901" s="13" t="s">
        <v>17</v>
      </c>
      <c r="N901" s="13"/>
      <c r="O901" s="13"/>
      <c r="P901" s="47"/>
      <c r="Q901" s="45" t="s">
        <v>3672</v>
      </c>
      <c r="R901" s="45" t="s">
        <v>5596</v>
      </c>
      <c r="S901" s="48"/>
      <c r="T901" s="49" t="str">
        <f t="shared" si="58"/>
        <v>[W2235.2]</v>
      </c>
      <c r="U901" s="12" t="str">
        <f t="shared" si="61"/>
        <v xml:space="preserve"> 터브이송#2-2 터브이송#2-3 간격오류 (D20646, D20644)</v>
      </c>
      <c r="V901" s="49" t="str">
        <f t="shared" si="60"/>
        <v>[W2235.2] 터브이송#2-2 터브이송#2-3 간격오류 (D20646, D20644)</v>
      </c>
    </row>
    <row r="902" spans="1:22" s="49" customFormat="1" ht="14.15" customHeight="1">
      <c r="A902" s="43"/>
      <c r="B902" s="44" t="s">
        <v>157</v>
      </c>
      <c r="C902" s="50"/>
      <c r="D902" s="10" t="s">
        <v>29</v>
      </c>
      <c r="E902" s="11"/>
      <c r="F902" s="11" t="s">
        <v>18</v>
      </c>
      <c r="G902" s="13"/>
      <c r="H902" s="45" t="s">
        <v>16</v>
      </c>
      <c r="I902" s="47"/>
      <c r="J902" s="12" t="s">
        <v>5192</v>
      </c>
      <c r="K902" s="13" t="s">
        <v>7702</v>
      </c>
      <c r="L902" s="99" t="str">
        <f t="shared" si="59"/>
        <v>W2235.3</v>
      </c>
      <c r="M902" s="13"/>
      <c r="N902" s="13"/>
      <c r="O902" s="13"/>
      <c r="P902" s="47"/>
      <c r="Q902" s="45"/>
      <c r="R902" s="45"/>
      <c r="S902" s="48"/>
      <c r="T902" s="49" t="str">
        <f t="shared" si="58"/>
        <v>[W2235.3]</v>
      </c>
      <c r="U902" s="12" t="str">
        <f t="shared" si="61"/>
        <v xml:space="preserve"> </v>
      </c>
      <c r="V902" s="49" t="str">
        <f t="shared" si="60"/>
        <v xml:space="preserve">[W2235.3] </v>
      </c>
    </row>
    <row r="903" spans="1:22" s="49" customFormat="1" ht="14.15" customHeight="1">
      <c r="A903" s="44"/>
      <c r="B903" s="44" t="s">
        <v>157</v>
      </c>
      <c r="C903" s="50"/>
      <c r="D903" s="10" t="s">
        <v>29</v>
      </c>
      <c r="E903" s="11"/>
      <c r="F903" s="11" t="s">
        <v>18</v>
      </c>
      <c r="G903" s="13"/>
      <c r="H903" s="45" t="s">
        <v>16</v>
      </c>
      <c r="I903" s="47"/>
      <c r="J903" s="12" t="s">
        <v>2410</v>
      </c>
      <c r="K903" s="13" t="s">
        <v>7703</v>
      </c>
      <c r="L903" s="99" t="str">
        <f t="shared" si="59"/>
        <v>W2235.4</v>
      </c>
      <c r="M903" s="13"/>
      <c r="N903" s="13"/>
      <c r="O903" s="13"/>
      <c r="P903" s="47"/>
      <c r="Q903" s="45"/>
      <c r="R903" s="45"/>
      <c r="S903" s="48"/>
      <c r="T903" s="49" t="str">
        <f t="shared" si="58"/>
        <v>[W2235.4]</v>
      </c>
      <c r="U903" s="12" t="str">
        <f t="shared" si="61"/>
        <v xml:space="preserve"> </v>
      </c>
      <c r="V903" s="49" t="str">
        <f t="shared" si="60"/>
        <v xml:space="preserve">[W2235.4] </v>
      </c>
    </row>
    <row r="904" spans="1:22" s="49" customFormat="1" ht="14.15" customHeight="1">
      <c r="A904" s="43"/>
      <c r="B904" s="44" t="s">
        <v>157</v>
      </c>
      <c r="C904" s="50"/>
      <c r="D904" s="10" t="s">
        <v>29</v>
      </c>
      <c r="E904" s="11"/>
      <c r="F904" s="11" t="s">
        <v>18</v>
      </c>
      <c r="G904" s="13"/>
      <c r="H904" s="45" t="s">
        <v>16</v>
      </c>
      <c r="I904" s="47"/>
      <c r="J904" s="12" t="s">
        <v>5193</v>
      </c>
      <c r="K904" s="13" t="s">
        <v>7704</v>
      </c>
      <c r="L904" s="99" t="str">
        <f t="shared" si="59"/>
        <v>W2235.5</v>
      </c>
      <c r="M904" s="13"/>
      <c r="N904" s="13"/>
      <c r="O904" s="13"/>
      <c r="P904" s="47"/>
      <c r="Q904" s="45"/>
      <c r="R904" s="45"/>
      <c r="S904" s="48"/>
      <c r="T904" s="49" t="str">
        <f t="shared" si="58"/>
        <v>[W2235.5]</v>
      </c>
      <c r="U904" s="12" t="str">
        <f t="shared" si="61"/>
        <v xml:space="preserve"> </v>
      </c>
      <c r="V904" s="49" t="str">
        <f t="shared" si="60"/>
        <v xml:space="preserve">[W2235.5] </v>
      </c>
    </row>
    <row r="905" spans="1:22" s="49" customFormat="1" ht="14.15" customHeight="1">
      <c r="A905" s="44"/>
      <c r="B905" s="44" t="s">
        <v>157</v>
      </c>
      <c r="C905" s="50"/>
      <c r="D905" s="10" t="s">
        <v>29</v>
      </c>
      <c r="E905" s="11"/>
      <c r="F905" s="11" t="s">
        <v>18</v>
      </c>
      <c r="G905" s="13"/>
      <c r="H905" s="45" t="s">
        <v>16</v>
      </c>
      <c r="I905" s="47"/>
      <c r="J905" s="12" t="s">
        <v>763</v>
      </c>
      <c r="K905" s="13" t="s">
        <v>7705</v>
      </c>
      <c r="L905" s="99" t="str">
        <f t="shared" si="59"/>
        <v>W2235.6</v>
      </c>
      <c r="M905" s="13"/>
      <c r="N905" s="13"/>
      <c r="O905" s="13"/>
      <c r="P905" s="47"/>
      <c r="Q905" s="45"/>
      <c r="R905" s="45"/>
      <c r="S905" s="48"/>
      <c r="T905" s="49" t="str">
        <f t="shared" si="58"/>
        <v>[W2235.6]</v>
      </c>
      <c r="U905" s="12" t="str">
        <f t="shared" si="61"/>
        <v xml:space="preserve"> </v>
      </c>
      <c r="V905" s="49" t="str">
        <f t="shared" si="60"/>
        <v xml:space="preserve">[W2235.6] </v>
      </c>
    </row>
    <row r="906" spans="1:22" s="49" customFormat="1" ht="14.15" customHeight="1">
      <c r="A906" s="44"/>
      <c r="B906" s="44" t="s">
        <v>157</v>
      </c>
      <c r="C906" s="50"/>
      <c r="D906" s="10" t="s">
        <v>29</v>
      </c>
      <c r="E906" s="11"/>
      <c r="F906" s="11" t="s">
        <v>18</v>
      </c>
      <c r="G906" s="13"/>
      <c r="H906" s="45" t="s">
        <v>16</v>
      </c>
      <c r="I906" s="47"/>
      <c r="J906" s="12" t="s">
        <v>764</v>
      </c>
      <c r="K906" s="13" t="s">
        <v>7706</v>
      </c>
      <c r="L906" s="99" t="str">
        <f t="shared" si="59"/>
        <v>W2235.7</v>
      </c>
      <c r="M906" s="13"/>
      <c r="N906" s="13"/>
      <c r="O906" s="13"/>
      <c r="P906" s="47"/>
      <c r="Q906" s="45"/>
      <c r="R906" s="45"/>
      <c r="S906" s="48"/>
      <c r="T906" s="49" t="str">
        <f t="shared" si="58"/>
        <v>[W2235.7]</v>
      </c>
      <c r="U906" s="12" t="str">
        <f t="shared" si="61"/>
        <v xml:space="preserve"> </v>
      </c>
      <c r="V906" s="49" t="str">
        <f t="shared" si="60"/>
        <v xml:space="preserve">[W2235.7] </v>
      </c>
    </row>
    <row r="907" spans="1:22" s="49" customFormat="1" ht="14.15" customHeight="1">
      <c r="A907" s="44"/>
      <c r="B907" s="44" t="s">
        <v>157</v>
      </c>
      <c r="C907" s="50"/>
      <c r="D907" s="10" t="s">
        <v>29</v>
      </c>
      <c r="E907" s="11"/>
      <c r="F907" s="11" t="s">
        <v>18</v>
      </c>
      <c r="G907" s="13"/>
      <c r="H907" s="45" t="s">
        <v>16</v>
      </c>
      <c r="I907" s="47"/>
      <c r="J907" s="12" t="s">
        <v>765</v>
      </c>
      <c r="K907" s="13" t="s">
        <v>7707</v>
      </c>
      <c r="L907" s="99" t="str">
        <f t="shared" si="59"/>
        <v>W2235.8</v>
      </c>
      <c r="M907" s="13"/>
      <c r="N907" s="13"/>
      <c r="O907" s="13"/>
      <c r="P907" s="47"/>
      <c r="Q907" s="45"/>
      <c r="R907" s="45"/>
      <c r="S907" s="48"/>
      <c r="T907" s="49" t="str">
        <f t="shared" si="58"/>
        <v>[W2235.8]</v>
      </c>
      <c r="U907" s="12" t="str">
        <f t="shared" si="61"/>
        <v xml:space="preserve"> </v>
      </c>
      <c r="V907" s="49" t="str">
        <f t="shared" si="60"/>
        <v xml:space="preserve">[W2235.8] </v>
      </c>
    </row>
    <row r="908" spans="1:22" s="49" customFormat="1" ht="14.15" customHeight="1">
      <c r="A908" s="44"/>
      <c r="B908" s="44" t="s">
        <v>157</v>
      </c>
      <c r="C908" s="50"/>
      <c r="D908" s="10" t="s">
        <v>29</v>
      </c>
      <c r="E908" s="11"/>
      <c r="F908" s="11" t="s">
        <v>18</v>
      </c>
      <c r="G908" s="13"/>
      <c r="H908" s="45" t="s">
        <v>16</v>
      </c>
      <c r="I908" s="47"/>
      <c r="J908" s="12" t="s">
        <v>766</v>
      </c>
      <c r="K908" s="13" t="s">
        <v>7708</v>
      </c>
      <c r="L908" s="99" t="str">
        <f t="shared" si="59"/>
        <v>W2235.9</v>
      </c>
      <c r="M908" s="13"/>
      <c r="N908" s="13"/>
      <c r="O908" s="13"/>
      <c r="P908" s="47"/>
      <c r="Q908" s="45"/>
      <c r="R908" s="45"/>
      <c r="S908" s="48"/>
      <c r="T908" s="49" t="str">
        <f t="shared" si="58"/>
        <v>[W2235.9]</v>
      </c>
      <c r="U908" s="12" t="str">
        <f t="shared" si="61"/>
        <v xml:space="preserve"> </v>
      </c>
      <c r="V908" s="49" t="str">
        <f t="shared" si="60"/>
        <v xml:space="preserve">[W2235.9] </v>
      </c>
    </row>
    <row r="909" spans="1:22" s="49" customFormat="1" ht="14.15" customHeight="1">
      <c r="A909" s="43"/>
      <c r="B909" s="44" t="s">
        <v>157</v>
      </c>
      <c r="C909" s="50"/>
      <c r="D909" s="10" t="s">
        <v>29</v>
      </c>
      <c r="E909" s="11"/>
      <c r="F909" s="11" t="s">
        <v>18</v>
      </c>
      <c r="G909" s="13"/>
      <c r="H909" s="45" t="s">
        <v>16</v>
      </c>
      <c r="I909" s="47"/>
      <c r="J909" s="12" t="s">
        <v>5194</v>
      </c>
      <c r="K909" s="13" t="s">
        <v>7709</v>
      </c>
      <c r="L909" s="99" t="str">
        <f t="shared" si="59"/>
        <v>W2235.A</v>
      </c>
      <c r="M909" s="13"/>
      <c r="N909" s="13"/>
      <c r="O909" s="13"/>
      <c r="P909" s="47"/>
      <c r="Q909" s="45"/>
      <c r="R909" s="45"/>
      <c r="S909" s="48"/>
      <c r="T909" s="49" t="str">
        <f t="shared" si="58"/>
        <v>[W2235.A]</v>
      </c>
      <c r="U909" s="12" t="str">
        <f t="shared" si="61"/>
        <v xml:space="preserve"> </v>
      </c>
      <c r="V909" s="49" t="str">
        <f t="shared" si="60"/>
        <v xml:space="preserve">[W2235.A] </v>
      </c>
    </row>
    <row r="910" spans="1:22" s="49" customFormat="1" ht="14.15" customHeight="1">
      <c r="A910" s="43" t="s">
        <v>5598</v>
      </c>
      <c r="B910" s="44" t="s">
        <v>157</v>
      </c>
      <c r="C910" s="50"/>
      <c r="D910" s="10" t="s">
        <v>29</v>
      </c>
      <c r="E910" s="11"/>
      <c r="F910" s="11" t="s">
        <v>18</v>
      </c>
      <c r="G910" s="13"/>
      <c r="H910" s="45" t="s">
        <v>16</v>
      </c>
      <c r="I910" s="47"/>
      <c r="J910" s="12" t="s">
        <v>5195</v>
      </c>
      <c r="K910" s="13" t="s">
        <v>7710</v>
      </c>
      <c r="L910" s="99" t="str">
        <f t="shared" si="59"/>
        <v>W2235.B</v>
      </c>
      <c r="M910" s="13" t="s">
        <v>17</v>
      </c>
      <c r="N910" s="13"/>
      <c r="O910" s="13"/>
      <c r="P910" s="47"/>
      <c r="Q910" s="45" t="s">
        <v>3672</v>
      </c>
      <c r="R910" s="45" t="s">
        <v>5596</v>
      </c>
      <c r="S910" s="48"/>
      <c r="T910" s="49" t="str">
        <f t="shared" si="58"/>
        <v>[W2235.B]</v>
      </c>
      <c r="U910" s="12" t="str">
        <f t="shared" si="61"/>
        <v xml:space="preserve"> 터브이송#2-2 터브이송#2-3 지령오류 (M8025, M8046, M8047)</v>
      </c>
      <c r="V910" s="49" t="str">
        <f t="shared" si="60"/>
        <v>[W2235.B] 터브이송#2-2 터브이송#2-3 지령오류 (M8025, M8046, M8047)</v>
      </c>
    </row>
    <row r="911" spans="1:22" s="49" customFormat="1" ht="14.15" customHeight="1">
      <c r="A911" s="43" t="s">
        <v>5598</v>
      </c>
      <c r="B911" s="44" t="s">
        <v>157</v>
      </c>
      <c r="C911" s="50"/>
      <c r="D911" s="10" t="s">
        <v>29</v>
      </c>
      <c r="E911" s="11"/>
      <c r="F911" s="11" t="s">
        <v>18</v>
      </c>
      <c r="G911" s="13"/>
      <c r="H911" s="45" t="s">
        <v>16</v>
      </c>
      <c r="I911" s="47"/>
      <c r="J911" s="12" t="s">
        <v>5196</v>
      </c>
      <c r="K911" s="13" t="s">
        <v>7711</v>
      </c>
      <c r="L911" s="99" t="str">
        <f t="shared" si="59"/>
        <v>W2235.C</v>
      </c>
      <c r="M911" s="13" t="s">
        <v>17</v>
      </c>
      <c r="N911" s="13"/>
      <c r="O911" s="13"/>
      <c r="P911" s="47"/>
      <c r="Q911" s="45" t="s">
        <v>3672</v>
      </c>
      <c r="R911" s="45" t="s">
        <v>5596</v>
      </c>
      <c r="S911" s="48"/>
      <c r="T911" s="49" t="str">
        <f t="shared" si="58"/>
        <v>[W2235.C]</v>
      </c>
      <c r="U911" s="12" t="str">
        <f t="shared" si="61"/>
        <v xml:space="preserve"> 터브이송#2-2 터브이송#2-3 구동방향오류</v>
      </c>
      <c r="V911" s="49" t="str">
        <f t="shared" si="60"/>
        <v>[W2235.C] 터브이송#2-2 터브이송#2-3 구동방향오류</v>
      </c>
    </row>
    <row r="912" spans="1:22" s="49" customFormat="1" ht="14.15" customHeight="1">
      <c r="A912" s="43" t="s">
        <v>5598</v>
      </c>
      <c r="B912" s="44" t="s">
        <v>157</v>
      </c>
      <c r="C912" s="50"/>
      <c r="D912" s="10" t="s">
        <v>29</v>
      </c>
      <c r="E912" s="11"/>
      <c r="F912" s="11" t="s">
        <v>18</v>
      </c>
      <c r="G912" s="13"/>
      <c r="H912" s="45" t="s">
        <v>16</v>
      </c>
      <c r="I912" s="47"/>
      <c r="J912" s="12" t="s">
        <v>5197</v>
      </c>
      <c r="K912" s="13" t="s">
        <v>7712</v>
      </c>
      <c r="L912" s="99" t="str">
        <f t="shared" si="59"/>
        <v>W2235.D</v>
      </c>
      <c r="M912" s="13" t="s">
        <v>17</v>
      </c>
      <c r="N912" s="13"/>
      <c r="O912" s="13"/>
      <c r="P912" s="47"/>
      <c r="Q912" s="45" t="s">
        <v>3672</v>
      </c>
      <c r="R912" s="45" t="s">
        <v>5596</v>
      </c>
      <c r="S912" s="48"/>
      <c r="T912" s="49" t="str">
        <f t="shared" si="58"/>
        <v>[W2235.D]</v>
      </c>
      <c r="U912" s="12" t="str">
        <f t="shared" si="61"/>
        <v xml:space="preserve"> 터브이송#2-2 터브이송#2-3 간격오류 (D20646, D20644)</v>
      </c>
      <c r="V912" s="49" t="str">
        <f t="shared" si="60"/>
        <v>[W2235.D] 터브이송#2-2 터브이송#2-3 간격오류 (D20646, D20644)</v>
      </c>
    </row>
    <row r="913" spans="1:22" s="49" customFormat="1" ht="14.15" customHeight="1">
      <c r="A913" s="44"/>
      <c r="B913" s="44" t="s">
        <v>157</v>
      </c>
      <c r="C913" s="50"/>
      <c r="D913" s="10" t="s">
        <v>29</v>
      </c>
      <c r="E913" s="11"/>
      <c r="F913" s="11" t="s">
        <v>18</v>
      </c>
      <c r="G913" s="13"/>
      <c r="H913" s="45" t="s">
        <v>16</v>
      </c>
      <c r="I913" s="47"/>
      <c r="J913" s="12" t="s">
        <v>3959</v>
      </c>
      <c r="K913" s="13" t="s">
        <v>7713</v>
      </c>
      <c r="L913" s="99" t="str">
        <f t="shared" si="59"/>
        <v>W2235.E</v>
      </c>
      <c r="M913" s="13"/>
      <c r="N913" s="13"/>
      <c r="O913" s="13"/>
      <c r="P913" s="47"/>
      <c r="Q913" s="45"/>
      <c r="R913" s="45"/>
      <c r="S913" s="48"/>
      <c r="T913" s="49" t="str">
        <f t="shared" si="58"/>
        <v>[W2235.E]</v>
      </c>
      <c r="U913" s="12" t="str">
        <f t="shared" si="61"/>
        <v/>
      </c>
      <c r="V913" s="49" t="str">
        <f t="shared" si="60"/>
        <v>[W2235.E]</v>
      </c>
    </row>
    <row r="914" spans="1:22" s="49" customFormat="1" ht="14.15" customHeight="1">
      <c r="A914" s="44"/>
      <c r="B914" s="44" t="s">
        <v>157</v>
      </c>
      <c r="C914" s="50"/>
      <c r="D914" s="10" t="s">
        <v>29</v>
      </c>
      <c r="E914" s="11"/>
      <c r="F914" s="11" t="s">
        <v>18</v>
      </c>
      <c r="G914" s="13"/>
      <c r="H914" s="45" t="s">
        <v>16</v>
      </c>
      <c r="I914" s="47"/>
      <c r="J914" s="12" t="s">
        <v>3960</v>
      </c>
      <c r="K914" s="13" t="s">
        <v>7714</v>
      </c>
      <c r="L914" s="99" t="str">
        <f t="shared" si="59"/>
        <v>W2235.F</v>
      </c>
      <c r="M914" s="13"/>
      <c r="N914" s="13"/>
      <c r="O914" s="13"/>
      <c r="P914" s="47"/>
      <c r="Q914" s="45"/>
      <c r="R914" s="45"/>
      <c r="S914" s="48"/>
      <c r="T914" s="49" t="str">
        <f t="shared" si="58"/>
        <v>[W2235.F]</v>
      </c>
      <c r="U914" s="12" t="str">
        <f t="shared" si="61"/>
        <v/>
      </c>
      <c r="V914" s="49" t="str">
        <f t="shared" si="60"/>
        <v>[W2235.F]</v>
      </c>
    </row>
    <row r="915" spans="1:22" s="49" customFormat="1" ht="14.15" customHeight="1">
      <c r="A915" s="44"/>
      <c r="B915" s="44" t="s">
        <v>157</v>
      </c>
      <c r="C915" s="50"/>
      <c r="D915" s="10" t="s">
        <v>29</v>
      </c>
      <c r="E915" s="11"/>
      <c r="F915" s="11" t="s">
        <v>18</v>
      </c>
      <c r="G915" s="13"/>
      <c r="H915" s="45" t="s">
        <v>16</v>
      </c>
      <c r="I915" s="47"/>
      <c r="J915" s="12" t="s">
        <v>3961</v>
      </c>
      <c r="K915" s="13" t="s">
        <v>7715</v>
      </c>
      <c r="L915" s="99" t="str">
        <f t="shared" si="59"/>
        <v>W2236.0</v>
      </c>
      <c r="M915" s="13"/>
      <c r="N915" s="13"/>
      <c r="O915" s="13"/>
      <c r="P915" s="47"/>
      <c r="Q915" s="45"/>
      <c r="R915" s="45"/>
      <c r="S915" s="48"/>
      <c r="T915" s="49" t="str">
        <f t="shared" si="58"/>
        <v>[W2236.0]</v>
      </c>
      <c r="U915" s="12" t="str">
        <f t="shared" si="61"/>
        <v/>
      </c>
      <c r="V915" s="49" t="str">
        <f t="shared" si="60"/>
        <v>[W2236.0]</v>
      </c>
    </row>
    <row r="916" spans="1:22" s="49" customFormat="1" ht="14.15" customHeight="1">
      <c r="A916" s="44"/>
      <c r="B916" s="44" t="s">
        <v>157</v>
      </c>
      <c r="C916" s="50"/>
      <c r="D916" s="10" t="s">
        <v>29</v>
      </c>
      <c r="E916" s="11"/>
      <c r="F916" s="11" t="s">
        <v>18</v>
      </c>
      <c r="G916" s="13"/>
      <c r="H916" s="45" t="s">
        <v>16</v>
      </c>
      <c r="I916" s="47"/>
      <c r="J916" s="12" t="s">
        <v>3962</v>
      </c>
      <c r="K916" s="13" t="s">
        <v>7716</v>
      </c>
      <c r="L916" s="99" t="str">
        <f t="shared" si="59"/>
        <v>W2236.1</v>
      </c>
      <c r="M916" s="13"/>
      <c r="N916" s="13"/>
      <c r="O916" s="13"/>
      <c r="P916" s="47"/>
      <c r="Q916" s="45"/>
      <c r="R916" s="45"/>
      <c r="S916" s="48"/>
      <c r="T916" s="49" t="str">
        <f t="shared" si="58"/>
        <v>[W2236.1]</v>
      </c>
      <c r="U916" s="12" t="str">
        <f t="shared" si="61"/>
        <v/>
      </c>
      <c r="V916" s="49" t="str">
        <f t="shared" si="60"/>
        <v>[W2236.1]</v>
      </c>
    </row>
    <row r="917" spans="1:22" s="49" customFormat="1" ht="14.15" customHeight="1">
      <c r="A917" s="44"/>
      <c r="B917" s="44" t="s">
        <v>157</v>
      </c>
      <c r="C917" s="50"/>
      <c r="D917" s="10" t="s">
        <v>29</v>
      </c>
      <c r="E917" s="11"/>
      <c r="F917" s="11" t="s">
        <v>18</v>
      </c>
      <c r="G917" s="13"/>
      <c r="H917" s="45" t="s">
        <v>16</v>
      </c>
      <c r="I917" s="47"/>
      <c r="J917" s="12" t="s">
        <v>3963</v>
      </c>
      <c r="K917" s="13" t="s">
        <v>7717</v>
      </c>
      <c r="L917" s="99" t="str">
        <f t="shared" si="59"/>
        <v>W2236.2</v>
      </c>
      <c r="M917" s="13"/>
      <c r="N917" s="13"/>
      <c r="O917" s="13"/>
      <c r="P917" s="47"/>
      <c r="Q917" s="45"/>
      <c r="R917" s="45"/>
      <c r="S917" s="48"/>
      <c r="T917" s="49" t="str">
        <f t="shared" si="58"/>
        <v>[W2236.2]</v>
      </c>
      <c r="U917" s="12" t="str">
        <f t="shared" si="61"/>
        <v/>
      </c>
      <c r="V917" s="49" t="str">
        <f t="shared" si="60"/>
        <v>[W2236.2]</v>
      </c>
    </row>
    <row r="918" spans="1:22" s="49" customFormat="1" ht="14.15" customHeight="1">
      <c r="A918" s="44"/>
      <c r="B918" s="44" t="s">
        <v>157</v>
      </c>
      <c r="C918" s="50"/>
      <c r="D918" s="10" t="s">
        <v>29</v>
      </c>
      <c r="E918" s="11"/>
      <c r="F918" s="11" t="s">
        <v>18</v>
      </c>
      <c r="G918" s="13"/>
      <c r="H918" s="45" t="s">
        <v>16</v>
      </c>
      <c r="I918" s="47"/>
      <c r="J918" s="12" t="s">
        <v>3964</v>
      </c>
      <c r="K918" s="13" t="s">
        <v>7718</v>
      </c>
      <c r="L918" s="99" t="str">
        <f t="shared" si="59"/>
        <v>W2236.3</v>
      </c>
      <c r="M918" s="13"/>
      <c r="N918" s="13"/>
      <c r="O918" s="13"/>
      <c r="P918" s="47"/>
      <c r="Q918" s="45"/>
      <c r="R918" s="45"/>
      <c r="S918" s="48"/>
      <c r="T918" s="49" t="str">
        <f t="shared" si="58"/>
        <v>[W2236.3]</v>
      </c>
      <c r="U918" s="12" t="str">
        <f t="shared" si="61"/>
        <v/>
      </c>
      <c r="V918" s="49" t="str">
        <f t="shared" si="60"/>
        <v>[W2236.3]</v>
      </c>
    </row>
    <row r="919" spans="1:22" s="49" customFormat="1" ht="14.15" customHeight="1">
      <c r="A919" s="44"/>
      <c r="B919" s="44" t="s">
        <v>157</v>
      </c>
      <c r="C919" s="50"/>
      <c r="D919" s="10" t="s">
        <v>29</v>
      </c>
      <c r="E919" s="11"/>
      <c r="F919" s="11" t="s">
        <v>18</v>
      </c>
      <c r="G919" s="13"/>
      <c r="H919" s="45" t="s">
        <v>16</v>
      </c>
      <c r="I919" s="47"/>
      <c r="J919" s="12" t="s">
        <v>3965</v>
      </c>
      <c r="K919" s="13" t="s">
        <v>7719</v>
      </c>
      <c r="L919" s="99" t="str">
        <f t="shared" si="59"/>
        <v>W2236.4</v>
      </c>
      <c r="M919" s="13"/>
      <c r="N919" s="13"/>
      <c r="O919" s="13"/>
      <c r="P919" s="47"/>
      <c r="Q919" s="45"/>
      <c r="R919" s="45"/>
      <c r="S919" s="48"/>
      <c r="T919" s="49" t="str">
        <f t="shared" si="58"/>
        <v>[W2236.4]</v>
      </c>
      <c r="U919" s="12" t="str">
        <f t="shared" si="61"/>
        <v/>
      </c>
      <c r="V919" s="49" t="str">
        <f t="shared" si="60"/>
        <v>[W2236.4]</v>
      </c>
    </row>
    <row r="920" spans="1:22" s="49" customFormat="1" ht="14.15" customHeight="1">
      <c r="A920" s="43"/>
      <c r="B920" s="44" t="s">
        <v>157</v>
      </c>
      <c r="C920" s="50"/>
      <c r="D920" s="10" t="s">
        <v>29</v>
      </c>
      <c r="E920" s="11"/>
      <c r="F920" s="11" t="s">
        <v>18</v>
      </c>
      <c r="G920" s="13"/>
      <c r="H920" s="45" t="s">
        <v>16</v>
      </c>
      <c r="I920" s="47"/>
      <c r="J920" s="12" t="s">
        <v>3966</v>
      </c>
      <c r="K920" s="13" t="s">
        <v>7720</v>
      </c>
      <c r="L920" s="99" t="str">
        <f t="shared" si="59"/>
        <v>W2236.5</v>
      </c>
      <c r="M920" s="13"/>
      <c r="N920" s="13"/>
      <c r="O920" s="13"/>
      <c r="P920" s="47"/>
      <c r="Q920" s="45"/>
      <c r="R920" s="45"/>
      <c r="S920" s="48"/>
      <c r="T920" s="49" t="str">
        <f t="shared" si="58"/>
        <v>[W2236.5]</v>
      </c>
      <c r="U920" s="12" t="str">
        <f t="shared" si="61"/>
        <v/>
      </c>
      <c r="V920" s="49" t="str">
        <f t="shared" si="60"/>
        <v>[W2236.5]</v>
      </c>
    </row>
    <row r="921" spans="1:22" s="49" customFormat="1" ht="14.15" customHeight="1">
      <c r="A921" s="43"/>
      <c r="B921" s="44" t="s">
        <v>157</v>
      </c>
      <c r="C921" s="50"/>
      <c r="D921" s="10" t="s">
        <v>29</v>
      </c>
      <c r="E921" s="11"/>
      <c r="F921" s="11" t="s">
        <v>18</v>
      </c>
      <c r="G921" s="13"/>
      <c r="H921" s="45" t="s">
        <v>16</v>
      </c>
      <c r="I921" s="47"/>
      <c r="J921" s="12" t="s">
        <v>3967</v>
      </c>
      <c r="K921" s="13" t="s">
        <v>7721</v>
      </c>
      <c r="L921" s="99" t="str">
        <f t="shared" si="59"/>
        <v>W2236.6</v>
      </c>
      <c r="M921" s="13"/>
      <c r="N921" s="13"/>
      <c r="O921" s="13"/>
      <c r="P921" s="47"/>
      <c r="Q921" s="45"/>
      <c r="R921" s="45"/>
      <c r="S921" s="48"/>
      <c r="T921" s="49" t="str">
        <f t="shared" si="58"/>
        <v>[W2236.6]</v>
      </c>
      <c r="U921" s="12" t="str">
        <f t="shared" si="61"/>
        <v/>
      </c>
      <c r="V921" s="49" t="str">
        <f t="shared" si="60"/>
        <v>[W2236.6]</v>
      </c>
    </row>
    <row r="922" spans="1:22" s="49" customFormat="1" ht="14.15" customHeight="1">
      <c r="A922" s="43"/>
      <c r="B922" s="44" t="s">
        <v>157</v>
      </c>
      <c r="C922" s="50"/>
      <c r="D922" s="10" t="s">
        <v>29</v>
      </c>
      <c r="E922" s="11"/>
      <c r="F922" s="11" t="s">
        <v>18</v>
      </c>
      <c r="G922" s="13"/>
      <c r="H922" s="45" t="s">
        <v>16</v>
      </c>
      <c r="I922" s="47"/>
      <c r="J922" s="12" t="s">
        <v>3968</v>
      </c>
      <c r="K922" s="13" t="s">
        <v>7722</v>
      </c>
      <c r="L922" s="99" t="str">
        <f t="shared" si="59"/>
        <v>W2236.7</v>
      </c>
      <c r="M922" s="13"/>
      <c r="N922" s="13"/>
      <c r="O922" s="13"/>
      <c r="P922" s="47"/>
      <c r="Q922" s="45"/>
      <c r="R922" s="45"/>
      <c r="S922" s="48"/>
      <c r="T922" s="49" t="str">
        <f t="shared" si="58"/>
        <v>[W2236.7]</v>
      </c>
      <c r="U922" s="12" t="str">
        <f t="shared" si="61"/>
        <v/>
      </c>
      <c r="V922" s="49" t="str">
        <f t="shared" si="60"/>
        <v>[W2236.7]</v>
      </c>
    </row>
    <row r="923" spans="1:22" s="49" customFormat="1" ht="14.15" customHeight="1">
      <c r="A923" s="44"/>
      <c r="B923" s="44" t="s">
        <v>157</v>
      </c>
      <c r="C923" s="50"/>
      <c r="D923" s="10" t="s">
        <v>29</v>
      </c>
      <c r="E923" s="11"/>
      <c r="F923" s="11" t="s">
        <v>18</v>
      </c>
      <c r="G923" s="13"/>
      <c r="H923" s="45" t="s">
        <v>16</v>
      </c>
      <c r="I923" s="47"/>
      <c r="J923" s="12" t="s">
        <v>3969</v>
      </c>
      <c r="K923" s="13" t="s">
        <v>7723</v>
      </c>
      <c r="L923" s="99" t="str">
        <f t="shared" si="59"/>
        <v>W2236.8</v>
      </c>
      <c r="M923" s="13"/>
      <c r="N923" s="13"/>
      <c r="O923" s="13"/>
      <c r="P923" s="47"/>
      <c r="Q923" s="45"/>
      <c r="R923" s="45"/>
      <c r="S923" s="48"/>
      <c r="T923" s="49" t="str">
        <f t="shared" si="58"/>
        <v>[W2236.8]</v>
      </c>
      <c r="U923" s="12" t="str">
        <f t="shared" si="61"/>
        <v/>
      </c>
      <c r="V923" s="49" t="str">
        <f t="shared" si="60"/>
        <v>[W2236.8]</v>
      </c>
    </row>
    <row r="924" spans="1:22" s="49" customFormat="1" ht="14.15" customHeight="1">
      <c r="A924" s="43"/>
      <c r="B924" s="44" t="s">
        <v>157</v>
      </c>
      <c r="C924" s="50"/>
      <c r="D924" s="10" t="s">
        <v>29</v>
      </c>
      <c r="E924" s="11"/>
      <c r="F924" s="11" t="s">
        <v>18</v>
      </c>
      <c r="G924" s="13"/>
      <c r="H924" s="45" t="s">
        <v>16</v>
      </c>
      <c r="I924" s="47"/>
      <c r="J924" s="12" t="s">
        <v>3970</v>
      </c>
      <c r="K924" s="13" t="s">
        <v>7724</v>
      </c>
      <c r="L924" s="99" t="str">
        <f t="shared" si="59"/>
        <v>W2236.9</v>
      </c>
      <c r="M924" s="13"/>
      <c r="N924" s="13"/>
      <c r="O924" s="13"/>
      <c r="P924" s="47"/>
      <c r="Q924" s="45"/>
      <c r="R924" s="45"/>
      <c r="S924" s="48"/>
      <c r="T924" s="49" t="str">
        <f t="shared" si="58"/>
        <v>[W2236.9]</v>
      </c>
      <c r="U924" s="12" t="str">
        <f t="shared" si="61"/>
        <v/>
      </c>
      <c r="V924" s="49" t="str">
        <f t="shared" si="60"/>
        <v>[W2236.9]</v>
      </c>
    </row>
    <row r="925" spans="1:22" s="49" customFormat="1" ht="14.15" customHeight="1">
      <c r="A925" s="44"/>
      <c r="B925" s="44" t="s">
        <v>157</v>
      </c>
      <c r="C925" s="50"/>
      <c r="D925" s="10" t="s">
        <v>29</v>
      </c>
      <c r="E925" s="11"/>
      <c r="F925" s="11" t="s">
        <v>18</v>
      </c>
      <c r="G925" s="13"/>
      <c r="H925" s="45" t="s">
        <v>16</v>
      </c>
      <c r="I925" s="47"/>
      <c r="J925" s="12" t="s">
        <v>3971</v>
      </c>
      <c r="K925" s="13" t="s">
        <v>7725</v>
      </c>
      <c r="L925" s="99" t="str">
        <f t="shared" si="59"/>
        <v>W2236.A</v>
      </c>
      <c r="M925" s="13"/>
      <c r="N925" s="13"/>
      <c r="O925" s="13"/>
      <c r="P925" s="47"/>
      <c r="Q925" s="45"/>
      <c r="R925" s="45"/>
      <c r="S925" s="48"/>
      <c r="T925" s="49" t="str">
        <f t="shared" si="58"/>
        <v>[W2236.A]</v>
      </c>
      <c r="U925" s="12" t="str">
        <f t="shared" si="61"/>
        <v/>
      </c>
      <c r="V925" s="49" t="str">
        <f t="shared" si="60"/>
        <v>[W2236.A]</v>
      </c>
    </row>
    <row r="926" spans="1:22" s="49" customFormat="1" ht="14.15" customHeight="1">
      <c r="A926" s="44"/>
      <c r="B926" s="44" t="s">
        <v>157</v>
      </c>
      <c r="C926" s="50"/>
      <c r="D926" s="10" t="s">
        <v>29</v>
      </c>
      <c r="E926" s="11"/>
      <c r="F926" s="11" t="s">
        <v>18</v>
      </c>
      <c r="G926" s="13"/>
      <c r="H926" s="45" t="s">
        <v>16</v>
      </c>
      <c r="I926" s="47"/>
      <c r="J926" s="12" t="s">
        <v>3972</v>
      </c>
      <c r="K926" s="13" t="s">
        <v>7726</v>
      </c>
      <c r="L926" s="99" t="str">
        <f t="shared" si="59"/>
        <v>W2236.B</v>
      </c>
      <c r="M926" s="13"/>
      <c r="N926" s="13"/>
      <c r="O926" s="13"/>
      <c r="P926" s="47"/>
      <c r="Q926" s="45"/>
      <c r="R926" s="45"/>
      <c r="S926" s="48"/>
      <c r="T926" s="49" t="str">
        <f t="shared" si="58"/>
        <v>[W2236.B]</v>
      </c>
      <c r="U926" s="12" t="str">
        <f t="shared" si="61"/>
        <v/>
      </c>
      <c r="V926" s="49" t="str">
        <f t="shared" si="60"/>
        <v>[W2236.B]</v>
      </c>
    </row>
    <row r="927" spans="1:22" s="49" customFormat="1" ht="14.15" customHeight="1">
      <c r="A927" s="44"/>
      <c r="B927" s="44" t="s">
        <v>157</v>
      </c>
      <c r="C927" s="50"/>
      <c r="D927" s="10" t="s">
        <v>29</v>
      </c>
      <c r="E927" s="11"/>
      <c r="F927" s="11" t="s">
        <v>18</v>
      </c>
      <c r="G927" s="13"/>
      <c r="H927" s="45" t="s">
        <v>16</v>
      </c>
      <c r="I927" s="47"/>
      <c r="J927" s="12" t="s">
        <v>3973</v>
      </c>
      <c r="K927" s="13" t="s">
        <v>7727</v>
      </c>
      <c r="L927" s="99" t="str">
        <f t="shared" si="59"/>
        <v>W2236.C</v>
      </c>
      <c r="M927" s="13"/>
      <c r="N927" s="13"/>
      <c r="O927" s="13"/>
      <c r="P927" s="47"/>
      <c r="Q927" s="45"/>
      <c r="R927" s="45"/>
      <c r="S927" s="48"/>
      <c r="T927" s="49" t="str">
        <f t="shared" si="58"/>
        <v>[W2236.C]</v>
      </c>
      <c r="U927" s="12" t="str">
        <f t="shared" si="61"/>
        <v/>
      </c>
      <c r="V927" s="49" t="str">
        <f t="shared" si="60"/>
        <v>[W2236.C]</v>
      </c>
    </row>
    <row r="928" spans="1:22" s="49" customFormat="1" ht="14.15" customHeight="1">
      <c r="A928" s="44"/>
      <c r="B928" s="44" t="s">
        <v>157</v>
      </c>
      <c r="C928" s="50"/>
      <c r="D928" s="10" t="s">
        <v>29</v>
      </c>
      <c r="E928" s="11"/>
      <c r="F928" s="11" t="s">
        <v>18</v>
      </c>
      <c r="G928" s="13"/>
      <c r="H928" s="45" t="s">
        <v>16</v>
      </c>
      <c r="I928" s="47"/>
      <c r="J928" s="12" t="s">
        <v>3974</v>
      </c>
      <c r="K928" s="13" t="s">
        <v>7728</v>
      </c>
      <c r="L928" s="99" t="str">
        <f t="shared" si="59"/>
        <v>W2236.D</v>
      </c>
      <c r="M928" s="13"/>
      <c r="N928" s="13"/>
      <c r="O928" s="13"/>
      <c r="P928" s="47"/>
      <c r="Q928" s="45"/>
      <c r="R928" s="45"/>
      <c r="S928" s="48"/>
      <c r="T928" s="49" t="str">
        <f t="shared" si="58"/>
        <v>[W2236.D]</v>
      </c>
      <c r="U928" s="12" t="str">
        <f t="shared" si="61"/>
        <v/>
      </c>
      <c r="V928" s="49" t="str">
        <f t="shared" si="60"/>
        <v>[W2236.D]</v>
      </c>
    </row>
    <row r="929" spans="1:22" s="49" customFormat="1" ht="14.15" customHeight="1">
      <c r="A929" s="44"/>
      <c r="B929" s="44" t="s">
        <v>157</v>
      </c>
      <c r="C929" s="50"/>
      <c r="D929" s="10" t="s">
        <v>29</v>
      </c>
      <c r="E929" s="11"/>
      <c r="F929" s="11" t="s">
        <v>18</v>
      </c>
      <c r="G929" s="13"/>
      <c r="H929" s="45" t="s">
        <v>16</v>
      </c>
      <c r="I929" s="47"/>
      <c r="J929" s="12" t="s">
        <v>3975</v>
      </c>
      <c r="K929" s="13" t="s">
        <v>7729</v>
      </c>
      <c r="L929" s="99" t="str">
        <f t="shared" si="59"/>
        <v>W2236.E</v>
      </c>
      <c r="M929" s="13"/>
      <c r="N929" s="13"/>
      <c r="O929" s="13"/>
      <c r="P929" s="47"/>
      <c r="Q929" s="45"/>
      <c r="R929" s="45"/>
      <c r="S929" s="48"/>
      <c r="T929" s="49" t="str">
        <f t="shared" si="58"/>
        <v>[W2236.E]</v>
      </c>
      <c r="U929" s="12" t="str">
        <f t="shared" si="61"/>
        <v/>
      </c>
      <c r="V929" s="49" t="str">
        <f t="shared" si="60"/>
        <v>[W2236.E]</v>
      </c>
    </row>
    <row r="930" spans="1:22" s="49" customFormat="1" ht="14.15" customHeight="1">
      <c r="A930" s="43"/>
      <c r="B930" s="44" t="s">
        <v>157</v>
      </c>
      <c r="C930" s="50"/>
      <c r="D930" s="10" t="s">
        <v>29</v>
      </c>
      <c r="E930" s="11"/>
      <c r="F930" s="11" t="s">
        <v>18</v>
      </c>
      <c r="G930" s="13"/>
      <c r="H930" s="45" t="s">
        <v>16</v>
      </c>
      <c r="I930" s="47"/>
      <c r="J930" s="12" t="s">
        <v>3976</v>
      </c>
      <c r="K930" s="13" t="s">
        <v>7730</v>
      </c>
      <c r="L930" s="99" t="str">
        <f t="shared" si="59"/>
        <v>W2236.F</v>
      </c>
      <c r="M930" s="13"/>
      <c r="N930" s="13"/>
      <c r="O930" s="13"/>
      <c r="P930" s="47"/>
      <c r="Q930" s="45"/>
      <c r="R930" s="45"/>
      <c r="S930" s="48"/>
      <c r="T930" s="49" t="str">
        <f t="shared" si="58"/>
        <v>[W2236.F]</v>
      </c>
      <c r="U930" s="12" t="str">
        <f t="shared" si="61"/>
        <v/>
      </c>
      <c r="V930" s="49" t="str">
        <f t="shared" si="60"/>
        <v>[W2236.F]</v>
      </c>
    </row>
    <row r="931" spans="1:22" s="49" customFormat="1" ht="14.15" customHeight="1">
      <c r="A931" s="43"/>
      <c r="B931" s="44" t="s">
        <v>157</v>
      </c>
      <c r="C931" s="50"/>
      <c r="D931" s="10" t="s">
        <v>29</v>
      </c>
      <c r="E931" s="11"/>
      <c r="F931" s="11" t="s">
        <v>18</v>
      </c>
      <c r="G931" s="13"/>
      <c r="H931" s="45" t="s">
        <v>16</v>
      </c>
      <c r="I931" s="47"/>
      <c r="J931" s="12" t="s">
        <v>3977</v>
      </c>
      <c r="K931" s="13" t="s">
        <v>7731</v>
      </c>
      <c r="L931" s="99" t="str">
        <f t="shared" si="59"/>
        <v>W2237.0</v>
      </c>
      <c r="M931" s="13"/>
      <c r="N931" s="13"/>
      <c r="O931" s="13"/>
      <c r="P931" s="47"/>
      <c r="Q931" s="45"/>
      <c r="R931" s="45"/>
      <c r="S931" s="48"/>
      <c r="T931" s="49" t="str">
        <f t="shared" si="58"/>
        <v>[W2237.0]</v>
      </c>
      <c r="U931" s="12" t="str">
        <f t="shared" si="61"/>
        <v/>
      </c>
      <c r="V931" s="49" t="str">
        <f t="shared" si="60"/>
        <v>[W2237.0]</v>
      </c>
    </row>
    <row r="932" spans="1:22" s="49" customFormat="1" ht="14.15" customHeight="1">
      <c r="A932" s="43"/>
      <c r="B932" s="44" t="s">
        <v>157</v>
      </c>
      <c r="C932" s="50"/>
      <c r="D932" s="10" t="s">
        <v>29</v>
      </c>
      <c r="E932" s="11"/>
      <c r="F932" s="11" t="s">
        <v>18</v>
      </c>
      <c r="G932" s="13"/>
      <c r="H932" s="45" t="s">
        <v>16</v>
      </c>
      <c r="I932" s="47"/>
      <c r="J932" s="12" t="s">
        <v>3978</v>
      </c>
      <c r="K932" s="13" t="s">
        <v>7732</v>
      </c>
      <c r="L932" s="99" t="str">
        <f t="shared" si="59"/>
        <v>W2237.1</v>
      </c>
      <c r="M932" s="13"/>
      <c r="N932" s="13"/>
      <c r="O932" s="13"/>
      <c r="P932" s="47"/>
      <c r="Q932" s="45"/>
      <c r="R932" s="45"/>
      <c r="S932" s="48"/>
      <c r="T932" s="49" t="str">
        <f t="shared" si="58"/>
        <v>[W2237.1]</v>
      </c>
      <c r="U932" s="12" t="str">
        <f t="shared" si="61"/>
        <v/>
      </c>
      <c r="V932" s="49" t="str">
        <f t="shared" si="60"/>
        <v>[W2237.1]</v>
      </c>
    </row>
    <row r="933" spans="1:22" s="49" customFormat="1" ht="14.15" customHeight="1">
      <c r="A933" s="43"/>
      <c r="B933" s="44" t="s">
        <v>157</v>
      </c>
      <c r="C933" s="50"/>
      <c r="D933" s="10" t="s">
        <v>29</v>
      </c>
      <c r="E933" s="11"/>
      <c r="F933" s="11" t="s">
        <v>18</v>
      </c>
      <c r="G933" s="13"/>
      <c r="H933" s="45" t="s">
        <v>16</v>
      </c>
      <c r="I933" s="47"/>
      <c r="J933" s="12" t="s">
        <v>3979</v>
      </c>
      <c r="K933" s="13" t="s">
        <v>7733</v>
      </c>
      <c r="L933" s="99" t="str">
        <f t="shared" si="59"/>
        <v>W2237.2</v>
      </c>
      <c r="M933" s="13"/>
      <c r="N933" s="13"/>
      <c r="O933" s="13"/>
      <c r="P933" s="47"/>
      <c r="Q933" s="45"/>
      <c r="R933" s="45"/>
      <c r="S933" s="48"/>
      <c r="T933" s="49" t="str">
        <f t="shared" si="58"/>
        <v>[W2237.2]</v>
      </c>
      <c r="U933" s="12" t="str">
        <f t="shared" si="61"/>
        <v/>
      </c>
      <c r="V933" s="49" t="str">
        <f t="shared" si="60"/>
        <v>[W2237.2]</v>
      </c>
    </row>
    <row r="934" spans="1:22" s="49" customFormat="1" ht="14.15" customHeight="1">
      <c r="A934" s="43"/>
      <c r="B934" s="44" t="s">
        <v>157</v>
      </c>
      <c r="C934" s="50"/>
      <c r="D934" s="10" t="s">
        <v>29</v>
      </c>
      <c r="E934" s="11"/>
      <c r="F934" s="11" t="s">
        <v>18</v>
      </c>
      <c r="G934" s="13"/>
      <c r="H934" s="45" t="s">
        <v>16</v>
      </c>
      <c r="I934" s="47"/>
      <c r="J934" s="12" t="s">
        <v>3980</v>
      </c>
      <c r="K934" s="13" t="s">
        <v>7734</v>
      </c>
      <c r="L934" s="99" t="str">
        <f t="shared" si="59"/>
        <v>W2237.3</v>
      </c>
      <c r="M934" s="13"/>
      <c r="N934" s="13"/>
      <c r="O934" s="13"/>
      <c r="P934" s="47"/>
      <c r="Q934" s="45"/>
      <c r="R934" s="45"/>
      <c r="S934" s="48"/>
      <c r="T934" s="49" t="str">
        <f t="shared" si="58"/>
        <v>[W2237.3]</v>
      </c>
      <c r="U934" s="12" t="str">
        <f t="shared" si="61"/>
        <v/>
      </c>
      <c r="V934" s="49" t="str">
        <f t="shared" si="60"/>
        <v>[W2237.3]</v>
      </c>
    </row>
    <row r="935" spans="1:22" s="49" customFormat="1" ht="14.15" customHeight="1">
      <c r="A935" s="43"/>
      <c r="B935" s="44" t="s">
        <v>157</v>
      </c>
      <c r="C935" s="50"/>
      <c r="D935" s="10" t="s">
        <v>29</v>
      </c>
      <c r="E935" s="11"/>
      <c r="F935" s="11" t="s">
        <v>18</v>
      </c>
      <c r="G935" s="13"/>
      <c r="H935" s="45" t="s">
        <v>16</v>
      </c>
      <c r="I935" s="47"/>
      <c r="J935" s="12" t="s">
        <v>3981</v>
      </c>
      <c r="K935" s="13" t="s">
        <v>7735</v>
      </c>
      <c r="L935" s="99" t="str">
        <f t="shared" si="59"/>
        <v>W2237.4</v>
      </c>
      <c r="M935" s="13"/>
      <c r="N935" s="13"/>
      <c r="O935" s="13"/>
      <c r="P935" s="47"/>
      <c r="Q935" s="45"/>
      <c r="R935" s="45"/>
      <c r="S935" s="48"/>
      <c r="T935" s="49" t="str">
        <f t="shared" si="58"/>
        <v>[W2237.4]</v>
      </c>
      <c r="U935" s="12" t="str">
        <f t="shared" si="61"/>
        <v/>
      </c>
      <c r="V935" s="49" t="str">
        <f t="shared" si="60"/>
        <v>[W2237.4]</v>
      </c>
    </row>
    <row r="936" spans="1:22" s="49" customFormat="1" ht="14.15" customHeight="1">
      <c r="A936" s="44"/>
      <c r="B936" s="44" t="s">
        <v>157</v>
      </c>
      <c r="C936" s="50"/>
      <c r="D936" s="10" t="s">
        <v>29</v>
      </c>
      <c r="E936" s="11"/>
      <c r="F936" s="11" t="s">
        <v>18</v>
      </c>
      <c r="G936" s="13"/>
      <c r="H936" s="45" t="s">
        <v>16</v>
      </c>
      <c r="I936" s="47"/>
      <c r="J936" s="12" t="s">
        <v>3982</v>
      </c>
      <c r="K936" s="13" t="s">
        <v>7736</v>
      </c>
      <c r="L936" s="99" t="str">
        <f t="shared" si="59"/>
        <v>W2237.5</v>
      </c>
      <c r="M936" s="13"/>
      <c r="N936" s="13"/>
      <c r="O936" s="13"/>
      <c r="P936" s="47"/>
      <c r="Q936" s="45"/>
      <c r="R936" s="45"/>
      <c r="S936" s="48"/>
      <c r="T936" s="49" t="str">
        <f t="shared" si="58"/>
        <v>[W2237.5]</v>
      </c>
      <c r="U936" s="12" t="str">
        <f t="shared" si="61"/>
        <v/>
      </c>
      <c r="V936" s="49" t="str">
        <f t="shared" si="60"/>
        <v>[W2237.5]</v>
      </c>
    </row>
    <row r="937" spans="1:22" s="49" customFormat="1" ht="14.15" customHeight="1">
      <c r="A937" s="44"/>
      <c r="B937" s="44" t="s">
        <v>157</v>
      </c>
      <c r="C937" s="50"/>
      <c r="D937" s="10" t="s">
        <v>29</v>
      </c>
      <c r="E937" s="11"/>
      <c r="F937" s="11" t="s">
        <v>18</v>
      </c>
      <c r="G937" s="13"/>
      <c r="H937" s="45" t="s">
        <v>16</v>
      </c>
      <c r="I937" s="47"/>
      <c r="J937" s="12" t="s">
        <v>3983</v>
      </c>
      <c r="K937" s="13" t="s">
        <v>7737</v>
      </c>
      <c r="L937" s="99" t="str">
        <f t="shared" si="59"/>
        <v>W2237.6</v>
      </c>
      <c r="M937" s="13"/>
      <c r="N937" s="13"/>
      <c r="O937" s="13"/>
      <c r="P937" s="47"/>
      <c r="Q937" s="45"/>
      <c r="R937" s="45"/>
      <c r="S937" s="48"/>
      <c r="T937" s="49" t="str">
        <f t="shared" si="58"/>
        <v>[W2237.6]</v>
      </c>
      <c r="U937" s="12" t="str">
        <f t="shared" si="61"/>
        <v/>
      </c>
      <c r="V937" s="49" t="str">
        <f t="shared" si="60"/>
        <v>[W2237.6]</v>
      </c>
    </row>
    <row r="938" spans="1:22" s="49" customFormat="1" ht="14.15" customHeight="1">
      <c r="A938" s="44"/>
      <c r="B938" s="44" t="s">
        <v>157</v>
      </c>
      <c r="C938" s="50"/>
      <c r="D938" s="10" t="s">
        <v>29</v>
      </c>
      <c r="E938" s="11"/>
      <c r="F938" s="11" t="s">
        <v>18</v>
      </c>
      <c r="G938" s="13"/>
      <c r="H938" s="45" t="s">
        <v>16</v>
      </c>
      <c r="I938" s="47"/>
      <c r="J938" s="12" t="s">
        <v>3984</v>
      </c>
      <c r="K938" s="13" t="s">
        <v>7738</v>
      </c>
      <c r="L938" s="99" t="str">
        <f t="shared" si="59"/>
        <v>W2237.7</v>
      </c>
      <c r="M938" s="13"/>
      <c r="N938" s="13"/>
      <c r="O938" s="13"/>
      <c r="P938" s="47"/>
      <c r="Q938" s="45"/>
      <c r="R938" s="45"/>
      <c r="S938" s="48"/>
      <c r="T938" s="49" t="str">
        <f t="shared" si="58"/>
        <v>[W2237.7]</v>
      </c>
      <c r="U938" s="12" t="str">
        <f t="shared" si="61"/>
        <v/>
      </c>
      <c r="V938" s="49" t="str">
        <f t="shared" si="60"/>
        <v>[W2237.7]</v>
      </c>
    </row>
    <row r="939" spans="1:22" s="49" customFormat="1" ht="14.15" customHeight="1">
      <c r="A939" s="44"/>
      <c r="B939" s="44" t="s">
        <v>157</v>
      </c>
      <c r="C939" s="50"/>
      <c r="D939" s="10" t="s">
        <v>29</v>
      </c>
      <c r="E939" s="11"/>
      <c r="F939" s="11" t="s">
        <v>18</v>
      </c>
      <c r="G939" s="13"/>
      <c r="H939" s="45" t="s">
        <v>16</v>
      </c>
      <c r="I939" s="47"/>
      <c r="J939" s="12" t="s">
        <v>3985</v>
      </c>
      <c r="K939" s="13" t="s">
        <v>7739</v>
      </c>
      <c r="L939" s="99" t="str">
        <f t="shared" si="59"/>
        <v>W2237.8</v>
      </c>
      <c r="M939" s="13"/>
      <c r="N939" s="13"/>
      <c r="O939" s="13"/>
      <c r="P939" s="47"/>
      <c r="Q939" s="45"/>
      <c r="R939" s="45"/>
      <c r="S939" s="48"/>
      <c r="T939" s="49" t="str">
        <f>"["&amp;L909&amp;"]"</f>
        <v>[W2235.A]</v>
      </c>
      <c r="U939" s="12" t="str">
        <f>RIGHT(J909,LEN(J909)-7)</f>
        <v xml:space="preserve"> </v>
      </c>
      <c r="V939" s="49" t="str">
        <f>T909&amp;U909</f>
        <v xml:space="preserve">[W2235.A] </v>
      </c>
    </row>
    <row r="940" spans="1:22" s="49" customFormat="1" ht="14.15" customHeight="1">
      <c r="A940" s="43"/>
      <c r="B940" s="44" t="s">
        <v>157</v>
      </c>
      <c r="C940" s="50"/>
      <c r="D940" s="10" t="s">
        <v>29</v>
      </c>
      <c r="E940" s="11"/>
      <c r="F940" s="11" t="s">
        <v>18</v>
      </c>
      <c r="G940" s="13"/>
      <c r="H940" s="45" t="s">
        <v>16</v>
      </c>
      <c r="I940" s="47"/>
      <c r="J940" s="12" t="s">
        <v>3986</v>
      </c>
      <c r="K940" s="13" t="s">
        <v>7740</v>
      </c>
      <c r="L940" s="99" t="str">
        <f t="shared" si="59"/>
        <v>W2237.9</v>
      </c>
      <c r="M940" s="13"/>
      <c r="N940" s="13"/>
      <c r="O940" s="13"/>
      <c r="P940" s="47"/>
      <c r="Q940" s="45"/>
      <c r="R940" s="45"/>
      <c r="S940" s="48"/>
      <c r="T940" s="49" t="str">
        <f t="shared" si="58"/>
        <v>[W2237.9]</v>
      </c>
      <c r="U940" s="12" t="str">
        <f t="shared" si="61"/>
        <v/>
      </c>
      <c r="V940" s="49" t="str">
        <f t="shared" si="60"/>
        <v>[W2237.9]</v>
      </c>
    </row>
    <row r="941" spans="1:22" s="49" customFormat="1" ht="14.15" customHeight="1">
      <c r="A941" s="43"/>
      <c r="B941" s="44" t="s">
        <v>157</v>
      </c>
      <c r="C941" s="50"/>
      <c r="D941" s="10" t="s">
        <v>29</v>
      </c>
      <c r="E941" s="11"/>
      <c r="F941" s="11" t="s">
        <v>18</v>
      </c>
      <c r="G941" s="13"/>
      <c r="H941" s="45" t="s">
        <v>16</v>
      </c>
      <c r="I941" s="47"/>
      <c r="J941" s="12" t="s">
        <v>3987</v>
      </c>
      <c r="K941" s="13" t="s">
        <v>7741</v>
      </c>
      <c r="L941" s="99" t="str">
        <f t="shared" si="59"/>
        <v>W2237.A</v>
      </c>
      <c r="M941" s="13"/>
      <c r="N941" s="13"/>
      <c r="O941" s="13"/>
      <c r="P941" s="47"/>
      <c r="Q941" s="45"/>
      <c r="R941" s="45"/>
      <c r="S941" s="48"/>
      <c r="T941" s="49" t="str">
        <f t="shared" si="58"/>
        <v>[W2237.A]</v>
      </c>
      <c r="U941" s="12" t="str">
        <f t="shared" si="61"/>
        <v/>
      </c>
      <c r="V941" s="49" t="str">
        <f t="shared" si="60"/>
        <v>[W2237.A]</v>
      </c>
    </row>
    <row r="942" spans="1:22" s="49" customFormat="1" ht="14.15" customHeight="1">
      <c r="A942" s="43"/>
      <c r="B942" s="44" t="s">
        <v>157</v>
      </c>
      <c r="C942" s="50"/>
      <c r="D942" s="10" t="s">
        <v>29</v>
      </c>
      <c r="E942" s="11"/>
      <c r="F942" s="11" t="s">
        <v>18</v>
      </c>
      <c r="G942" s="13"/>
      <c r="H942" s="45" t="s">
        <v>16</v>
      </c>
      <c r="I942" s="47"/>
      <c r="J942" s="12" t="s">
        <v>3988</v>
      </c>
      <c r="K942" s="13" t="s">
        <v>7742</v>
      </c>
      <c r="L942" s="99" t="str">
        <f t="shared" si="59"/>
        <v>W2237.B</v>
      </c>
      <c r="M942" s="13"/>
      <c r="N942" s="13"/>
      <c r="O942" s="13"/>
      <c r="P942" s="47"/>
      <c r="Q942" s="45"/>
      <c r="R942" s="45"/>
      <c r="S942" s="48"/>
      <c r="T942" s="49" t="str">
        <f t="shared" si="58"/>
        <v>[W2237.B]</v>
      </c>
      <c r="U942" s="12" t="str">
        <f t="shared" si="61"/>
        <v/>
      </c>
      <c r="V942" s="49" t="str">
        <f t="shared" si="60"/>
        <v>[W2237.B]</v>
      </c>
    </row>
    <row r="943" spans="1:22" s="49" customFormat="1" ht="14.15" customHeight="1">
      <c r="A943" s="44"/>
      <c r="B943" s="44" t="s">
        <v>157</v>
      </c>
      <c r="C943" s="50"/>
      <c r="D943" s="10" t="s">
        <v>29</v>
      </c>
      <c r="E943" s="11"/>
      <c r="F943" s="11" t="s">
        <v>18</v>
      </c>
      <c r="G943" s="13"/>
      <c r="H943" s="45" t="s">
        <v>16</v>
      </c>
      <c r="I943" s="47"/>
      <c r="J943" s="12" t="s">
        <v>3989</v>
      </c>
      <c r="K943" s="13" t="s">
        <v>7743</v>
      </c>
      <c r="L943" s="99" t="str">
        <f t="shared" si="59"/>
        <v>W2237.C</v>
      </c>
      <c r="M943" s="13"/>
      <c r="N943" s="13"/>
      <c r="O943" s="13"/>
      <c r="P943" s="47"/>
      <c r="Q943" s="45"/>
      <c r="R943" s="45"/>
      <c r="S943" s="48"/>
      <c r="T943" s="49" t="str">
        <f t="shared" si="58"/>
        <v>[W2237.C]</v>
      </c>
      <c r="U943" s="12" t="str">
        <f t="shared" si="61"/>
        <v/>
      </c>
      <c r="V943" s="49" t="str">
        <f t="shared" si="60"/>
        <v>[W2237.C]</v>
      </c>
    </row>
    <row r="944" spans="1:22" s="49" customFormat="1" ht="14.15" customHeight="1">
      <c r="A944" s="43"/>
      <c r="B944" s="44" t="s">
        <v>157</v>
      </c>
      <c r="C944" s="50"/>
      <c r="D944" s="10" t="s">
        <v>29</v>
      </c>
      <c r="E944" s="11"/>
      <c r="F944" s="11" t="s">
        <v>18</v>
      </c>
      <c r="G944" s="13"/>
      <c r="H944" s="45" t="s">
        <v>16</v>
      </c>
      <c r="I944" s="47"/>
      <c r="J944" s="12" t="s">
        <v>3990</v>
      </c>
      <c r="K944" s="13" t="s">
        <v>7744</v>
      </c>
      <c r="L944" s="99" t="str">
        <f t="shared" si="59"/>
        <v>W2237.D</v>
      </c>
      <c r="M944" s="13"/>
      <c r="N944" s="13"/>
      <c r="O944" s="13"/>
      <c r="P944" s="47"/>
      <c r="Q944" s="45"/>
      <c r="R944" s="45"/>
      <c r="S944" s="48"/>
      <c r="T944" s="49" t="str">
        <f t="shared" si="58"/>
        <v>[W2237.D]</v>
      </c>
      <c r="U944" s="12" t="str">
        <f t="shared" si="61"/>
        <v/>
      </c>
      <c r="V944" s="49" t="str">
        <f t="shared" si="60"/>
        <v>[W2237.D]</v>
      </c>
    </row>
    <row r="945" spans="1:22" s="49" customFormat="1" ht="14.15" customHeight="1">
      <c r="A945" s="44"/>
      <c r="B945" s="44" t="s">
        <v>157</v>
      </c>
      <c r="C945" s="50"/>
      <c r="D945" s="10" t="s">
        <v>29</v>
      </c>
      <c r="E945" s="11"/>
      <c r="F945" s="11" t="s">
        <v>18</v>
      </c>
      <c r="G945" s="13"/>
      <c r="H945" s="45" t="s">
        <v>16</v>
      </c>
      <c r="I945" s="47"/>
      <c r="J945" s="12" t="s">
        <v>3991</v>
      </c>
      <c r="K945" s="13" t="s">
        <v>7745</v>
      </c>
      <c r="L945" s="99" t="str">
        <f t="shared" si="59"/>
        <v>W2237.E</v>
      </c>
      <c r="M945" s="13"/>
      <c r="N945" s="13"/>
      <c r="O945" s="13"/>
      <c r="P945" s="47"/>
      <c r="Q945" s="45"/>
      <c r="R945" s="45"/>
      <c r="S945" s="48"/>
      <c r="T945" s="49" t="str">
        <f t="shared" si="58"/>
        <v>[W2237.E]</v>
      </c>
      <c r="U945" s="12" t="str">
        <f t="shared" si="61"/>
        <v/>
      </c>
      <c r="V945" s="49" t="str">
        <f t="shared" si="60"/>
        <v>[W2237.E]</v>
      </c>
    </row>
    <row r="946" spans="1:22" s="49" customFormat="1" ht="14.15" customHeight="1">
      <c r="A946" s="44"/>
      <c r="B946" s="44" t="s">
        <v>157</v>
      </c>
      <c r="C946" s="50"/>
      <c r="D946" s="10" t="s">
        <v>29</v>
      </c>
      <c r="E946" s="11"/>
      <c r="F946" s="11" t="s">
        <v>18</v>
      </c>
      <c r="G946" s="13"/>
      <c r="H946" s="45" t="s">
        <v>16</v>
      </c>
      <c r="I946" s="47"/>
      <c r="J946" s="12" t="s">
        <v>3992</v>
      </c>
      <c r="K946" s="13" t="s">
        <v>7746</v>
      </c>
      <c r="L946" s="99" t="str">
        <f t="shared" si="59"/>
        <v>W2237.F</v>
      </c>
      <c r="M946" s="13"/>
      <c r="N946" s="13"/>
      <c r="O946" s="13"/>
      <c r="P946" s="47"/>
      <c r="Q946" s="45"/>
      <c r="R946" s="45"/>
      <c r="S946" s="48"/>
      <c r="T946" s="49" t="str">
        <f t="shared" si="58"/>
        <v>[W2237.F]</v>
      </c>
      <c r="U946" s="12" t="str">
        <f t="shared" si="61"/>
        <v/>
      </c>
      <c r="V946" s="49" t="str">
        <f t="shared" si="60"/>
        <v>[W2237.F]</v>
      </c>
    </row>
    <row r="947" spans="1:22" s="49" customFormat="1" ht="14.15" customHeight="1">
      <c r="A947" s="44"/>
      <c r="B947" s="44" t="s">
        <v>157</v>
      </c>
      <c r="C947" s="50"/>
      <c r="D947" s="10" t="s">
        <v>29</v>
      </c>
      <c r="E947" s="11"/>
      <c r="F947" s="11" t="s">
        <v>18</v>
      </c>
      <c r="G947" s="13"/>
      <c r="H947" s="45" t="s">
        <v>16</v>
      </c>
      <c r="I947" s="47"/>
      <c r="J947" s="12" t="s">
        <v>3993</v>
      </c>
      <c r="K947" s="13" t="s">
        <v>7747</v>
      </c>
      <c r="L947" s="99" t="str">
        <f t="shared" si="59"/>
        <v>W2238.0</v>
      </c>
      <c r="M947" s="13"/>
      <c r="N947" s="13"/>
      <c r="O947" s="13"/>
      <c r="P947" s="47"/>
      <c r="Q947" s="45"/>
      <c r="R947" s="45"/>
      <c r="S947" s="48"/>
      <c r="T947" s="49" t="str">
        <f t="shared" ref="T947:T1010" si="62">"["&amp;L947&amp;"]"</f>
        <v>[W2238.0]</v>
      </c>
      <c r="U947" s="12" t="str">
        <f t="shared" si="61"/>
        <v/>
      </c>
      <c r="V947" s="49" t="str">
        <f t="shared" si="60"/>
        <v>[W2238.0]</v>
      </c>
    </row>
    <row r="948" spans="1:22" s="49" customFormat="1" ht="14.15" customHeight="1">
      <c r="A948" s="44"/>
      <c r="B948" s="44" t="s">
        <v>157</v>
      </c>
      <c r="C948" s="50"/>
      <c r="D948" s="10" t="s">
        <v>29</v>
      </c>
      <c r="E948" s="11"/>
      <c r="F948" s="11" t="s">
        <v>18</v>
      </c>
      <c r="G948" s="13"/>
      <c r="H948" s="45" t="s">
        <v>16</v>
      </c>
      <c r="I948" s="47"/>
      <c r="J948" s="12" t="s">
        <v>3994</v>
      </c>
      <c r="K948" s="13" t="s">
        <v>7748</v>
      </c>
      <c r="L948" s="99" t="str">
        <f t="shared" ref="L948:L1011" si="63">"W"&amp;DEC2HEX(8704 + INT((ROW()-51)/16)) &amp; "." &amp; IF(MOD(ROW()-51,16)&lt;10,MOD(ROW()-51,16),CHAR(MOD(ROW()-51,16)+55))</f>
        <v>W2238.1</v>
      </c>
      <c r="M948" s="13"/>
      <c r="N948" s="13"/>
      <c r="O948" s="13"/>
      <c r="P948" s="47"/>
      <c r="Q948" s="45"/>
      <c r="R948" s="45"/>
      <c r="S948" s="48"/>
      <c r="T948" s="49" t="str">
        <f t="shared" si="62"/>
        <v>[W2238.1]</v>
      </c>
      <c r="U948" s="12" t="str">
        <f t="shared" si="61"/>
        <v/>
      </c>
      <c r="V948" s="49" t="str">
        <f t="shared" ref="V948:V1011" si="64">T948&amp;U948</f>
        <v>[W2238.1]</v>
      </c>
    </row>
    <row r="949" spans="1:22" s="49" customFormat="1" ht="14.15" customHeight="1">
      <c r="A949" s="43"/>
      <c r="B949" s="44" t="s">
        <v>157</v>
      </c>
      <c r="C949" s="50"/>
      <c r="D949" s="10" t="s">
        <v>29</v>
      </c>
      <c r="E949" s="11"/>
      <c r="F949" s="11" t="s">
        <v>18</v>
      </c>
      <c r="G949" s="13"/>
      <c r="H949" s="45" t="s">
        <v>16</v>
      </c>
      <c r="I949" s="47"/>
      <c r="J949" s="12" t="s">
        <v>3995</v>
      </c>
      <c r="K949" s="13" t="s">
        <v>7749</v>
      </c>
      <c r="L949" s="99" t="str">
        <f t="shared" si="63"/>
        <v>W2238.2</v>
      </c>
      <c r="M949" s="13"/>
      <c r="N949" s="13"/>
      <c r="O949" s="13"/>
      <c r="P949" s="47"/>
      <c r="Q949" s="45"/>
      <c r="R949" s="45"/>
      <c r="S949" s="48"/>
      <c r="T949" s="49" t="str">
        <f t="shared" si="62"/>
        <v>[W2238.2]</v>
      </c>
      <c r="U949" s="12" t="str">
        <f t="shared" si="61"/>
        <v/>
      </c>
      <c r="V949" s="49" t="str">
        <f t="shared" si="64"/>
        <v>[W2238.2]</v>
      </c>
    </row>
    <row r="950" spans="1:22" s="49" customFormat="1" ht="14.15" customHeight="1">
      <c r="A950" s="43" t="s">
        <v>5599</v>
      </c>
      <c r="B950" s="44" t="s">
        <v>157</v>
      </c>
      <c r="C950" s="50"/>
      <c r="D950" s="10" t="s">
        <v>29</v>
      </c>
      <c r="E950" s="11"/>
      <c r="F950" s="11" t="s">
        <v>18</v>
      </c>
      <c r="G950" s="13"/>
      <c r="H950" s="45" t="s">
        <v>16</v>
      </c>
      <c r="I950" s="47"/>
      <c r="J950" s="12" t="s">
        <v>5198</v>
      </c>
      <c r="K950" s="13" t="s">
        <v>7750</v>
      </c>
      <c r="L950" s="99" t="str">
        <f t="shared" si="63"/>
        <v>W2238.3</v>
      </c>
      <c r="M950" s="13" t="s">
        <v>17</v>
      </c>
      <c r="N950" s="13"/>
      <c r="O950" s="13"/>
      <c r="P950" s="47"/>
      <c r="Q950" s="45" t="s">
        <v>3672</v>
      </c>
      <c r="R950" s="45" t="s">
        <v>5596</v>
      </c>
      <c r="S950" s="48"/>
      <c r="T950" s="49" t="str">
        <f t="shared" si="62"/>
        <v>[W2238.3]</v>
      </c>
      <c r="U950" s="12" t="str">
        <f t="shared" si="61"/>
        <v xml:space="preserve"> 시밍#1 제품 클램프 전진 시간초과 (X422, X424, Y440)</v>
      </c>
      <c r="V950" s="49" t="str">
        <f t="shared" si="64"/>
        <v>[W2238.3] 시밍#1 제품 클램프 전진 시간초과 (X422, X424, Y440)</v>
      </c>
    </row>
    <row r="951" spans="1:22" s="49" customFormat="1" ht="14.15" customHeight="1">
      <c r="A951" s="43" t="s">
        <v>5599</v>
      </c>
      <c r="B951" s="44" t="s">
        <v>157</v>
      </c>
      <c r="C951" s="50"/>
      <c r="D951" s="10" t="s">
        <v>29</v>
      </c>
      <c r="E951" s="11"/>
      <c r="F951" s="11" t="s">
        <v>18</v>
      </c>
      <c r="G951" s="13"/>
      <c r="H951" s="45" t="s">
        <v>16</v>
      </c>
      <c r="I951" s="47"/>
      <c r="J951" s="12" t="s">
        <v>5199</v>
      </c>
      <c r="K951" s="13" t="s">
        <v>7751</v>
      </c>
      <c r="L951" s="99" t="str">
        <f t="shared" si="63"/>
        <v>W2238.4</v>
      </c>
      <c r="M951" s="13" t="s">
        <v>17</v>
      </c>
      <c r="N951" s="13"/>
      <c r="O951" s="13"/>
      <c r="P951" s="47"/>
      <c r="Q951" s="45" t="s">
        <v>3672</v>
      </c>
      <c r="R951" s="45" t="s">
        <v>5596</v>
      </c>
      <c r="S951" s="48"/>
      <c r="T951" s="49" t="str">
        <f t="shared" si="62"/>
        <v>[W2238.4]</v>
      </c>
      <c r="U951" s="12" t="str">
        <f t="shared" si="61"/>
        <v xml:space="preserve"> 시밍#1 제품 클램프 후진 시간초과 (X423, X425, Y441)</v>
      </c>
      <c r="V951" s="49" t="str">
        <f t="shared" si="64"/>
        <v>[W2238.4] 시밍#1 제품 클램프 후진 시간초과 (X423, X425, Y441)</v>
      </c>
    </row>
    <row r="952" spans="1:22" s="49" customFormat="1" ht="14.15" customHeight="1">
      <c r="A952" s="43" t="s">
        <v>5599</v>
      </c>
      <c r="B952" s="44" t="s">
        <v>157</v>
      </c>
      <c r="C952" s="50"/>
      <c r="D952" s="10" t="s">
        <v>29</v>
      </c>
      <c r="E952" s="11"/>
      <c r="F952" s="11" t="s">
        <v>18</v>
      </c>
      <c r="G952" s="13"/>
      <c r="H952" s="45" t="s">
        <v>16</v>
      </c>
      <c r="I952" s="47"/>
      <c r="J952" s="12" t="s">
        <v>5200</v>
      </c>
      <c r="K952" s="13" t="s">
        <v>7752</v>
      </c>
      <c r="L952" s="99" t="str">
        <f t="shared" si="63"/>
        <v>W2238.5</v>
      </c>
      <c r="M952" s="13" t="s">
        <v>17</v>
      </c>
      <c r="N952" s="13"/>
      <c r="O952" s="13"/>
      <c r="P952" s="47"/>
      <c r="Q952" s="45" t="s">
        <v>3672</v>
      </c>
      <c r="R952" s="45" t="s">
        <v>5596</v>
      </c>
      <c r="S952" s="48"/>
      <c r="T952" s="49" t="str">
        <f t="shared" si="62"/>
        <v>[W2238.5]</v>
      </c>
      <c r="U952" s="12" t="str">
        <f t="shared" ref="U952:U1015" si="65">RIGHT(J952,LEN(J952)-7)</f>
        <v xml:space="preserve"> 시밍#1 제품 클램프 전진/후진 센서이상 (X422, X423, X424, X425)</v>
      </c>
      <c r="V952" s="49" t="str">
        <f t="shared" si="64"/>
        <v>[W2238.5] 시밍#1 제품 클램프 전진/후진 센서이상 (X422, X423, X424, X425)</v>
      </c>
    </row>
    <row r="953" spans="1:22" s="49" customFormat="1" ht="14.15" customHeight="1">
      <c r="A953" s="43" t="s">
        <v>5599</v>
      </c>
      <c r="B953" s="44" t="s">
        <v>157</v>
      </c>
      <c r="C953" s="50"/>
      <c r="D953" s="10" t="s">
        <v>29</v>
      </c>
      <c r="E953" s="11"/>
      <c r="F953" s="11" t="s">
        <v>18</v>
      </c>
      <c r="G953" s="13"/>
      <c r="H953" s="45" t="s">
        <v>16</v>
      </c>
      <c r="I953" s="47"/>
      <c r="J953" s="12" t="s">
        <v>5201</v>
      </c>
      <c r="K953" s="13" t="s">
        <v>7753</v>
      </c>
      <c r="L953" s="99" t="str">
        <f t="shared" si="63"/>
        <v>W2238.6</v>
      </c>
      <c r="M953" s="13" t="s">
        <v>17</v>
      </c>
      <c r="N953" s="13"/>
      <c r="O953" s="13"/>
      <c r="P953" s="47"/>
      <c r="Q953" s="45" t="s">
        <v>3672</v>
      </c>
      <c r="R953" s="45" t="s">
        <v>5596</v>
      </c>
      <c r="S953" s="48"/>
      <c r="T953" s="49" t="str">
        <f t="shared" si="62"/>
        <v>[W2238.6]</v>
      </c>
      <c r="U953" s="12" t="str">
        <f t="shared" si="65"/>
        <v xml:space="preserve"> 시밍#1 헤드하부 클램프 전진 시간초과 (X420, X428, X42A, Y442)</v>
      </c>
      <c r="V953" s="49" t="str">
        <f t="shared" si="64"/>
        <v>[W2238.6] 시밍#1 헤드하부 클램프 전진 시간초과 (X420, X428, X42A, Y442)</v>
      </c>
    </row>
    <row r="954" spans="1:22" s="49" customFormat="1" ht="14.15" customHeight="1">
      <c r="A954" s="43" t="s">
        <v>5599</v>
      </c>
      <c r="B954" s="44" t="s">
        <v>157</v>
      </c>
      <c r="C954" s="50"/>
      <c r="D954" s="10" t="s">
        <v>29</v>
      </c>
      <c r="E954" s="11"/>
      <c r="F954" s="11" t="s">
        <v>18</v>
      </c>
      <c r="G954" s="13"/>
      <c r="H954" s="45" t="s">
        <v>16</v>
      </c>
      <c r="I954" s="47"/>
      <c r="J954" s="12" t="s">
        <v>5202</v>
      </c>
      <c r="K954" s="13" t="s">
        <v>7754</v>
      </c>
      <c r="L954" s="99" t="str">
        <f t="shared" si="63"/>
        <v>W2238.7</v>
      </c>
      <c r="M954" s="13" t="s">
        <v>17</v>
      </c>
      <c r="N954" s="13"/>
      <c r="O954" s="13"/>
      <c r="P954" s="47"/>
      <c r="Q954" s="45" t="s">
        <v>3672</v>
      </c>
      <c r="R954" s="45" t="s">
        <v>5596</v>
      </c>
      <c r="S954" s="48"/>
      <c r="T954" s="49" t="str">
        <f t="shared" si="62"/>
        <v>[W2238.7]</v>
      </c>
      <c r="U954" s="12" t="str">
        <f t="shared" si="65"/>
        <v xml:space="preserve"> 시밍#1 헤드하부 클램프 후진 시간초과 (X421, X429, X42B, Y443)</v>
      </c>
      <c r="V954" s="49" t="str">
        <f t="shared" si="64"/>
        <v>[W2238.7] 시밍#1 헤드하부 클램프 후진 시간초과 (X421, X429, X42B, Y443)</v>
      </c>
    </row>
    <row r="955" spans="1:22" s="49" customFormat="1" ht="14.15" customHeight="1">
      <c r="A955" s="43" t="s">
        <v>5599</v>
      </c>
      <c r="B955" s="44" t="s">
        <v>157</v>
      </c>
      <c r="C955" s="50"/>
      <c r="D955" s="10" t="s">
        <v>29</v>
      </c>
      <c r="E955" s="11"/>
      <c r="F955" s="11" t="s">
        <v>18</v>
      </c>
      <c r="G955" s="13"/>
      <c r="H955" s="45" t="s">
        <v>16</v>
      </c>
      <c r="I955" s="47"/>
      <c r="J955" s="12" t="s">
        <v>5203</v>
      </c>
      <c r="K955" s="13" t="s">
        <v>7755</v>
      </c>
      <c r="L955" s="99" t="str">
        <f t="shared" si="63"/>
        <v>W2238.8</v>
      </c>
      <c r="M955" s="13" t="s">
        <v>17</v>
      </c>
      <c r="N955" s="13"/>
      <c r="O955" s="13"/>
      <c r="P955" s="47"/>
      <c r="Q955" s="45" t="s">
        <v>3672</v>
      </c>
      <c r="R955" s="45" t="s">
        <v>5596</v>
      </c>
      <c r="S955" s="48"/>
      <c r="T955" s="49" t="str">
        <f t="shared" si="62"/>
        <v>[W2238.8]</v>
      </c>
      <c r="U955" s="12" t="str">
        <f t="shared" si="65"/>
        <v xml:space="preserve"> 시밍#1 헤드하부 클램프 전진/후진 센서이상 (X420, X421, X428, X429, X42A, X42B)</v>
      </c>
      <c r="V955" s="49" t="str">
        <f t="shared" si="64"/>
        <v>[W2238.8] 시밍#1 헤드하부 클램프 전진/후진 센서이상 (X420, X421, X428, X429, X42A, X42B)</v>
      </c>
    </row>
    <row r="956" spans="1:22" s="49" customFormat="1" ht="14.15" customHeight="1">
      <c r="A956" s="43" t="s">
        <v>5599</v>
      </c>
      <c r="B956" s="44" t="s">
        <v>157</v>
      </c>
      <c r="C956" s="50"/>
      <c r="D956" s="10" t="s">
        <v>29</v>
      </c>
      <c r="E956" s="11"/>
      <c r="F956" s="11" t="s">
        <v>18</v>
      </c>
      <c r="G956" s="13"/>
      <c r="H956" s="45" t="s">
        <v>16</v>
      </c>
      <c r="I956" s="47"/>
      <c r="J956" s="12" t="s">
        <v>5204</v>
      </c>
      <c r="K956" s="13" t="s">
        <v>7756</v>
      </c>
      <c r="L956" s="99" t="str">
        <f t="shared" si="63"/>
        <v>W2238.9</v>
      </c>
      <c r="M956" s="13" t="s">
        <v>17</v>
      </c>
      <c r="N956" s="13"/>
      <c r="O956" s="13"/>
      <c r="P956" s="47"/>
      <c r="Q956" s="45" t="s">
        <v>3672</v>
      </c>
      <c r="R956" s="45" t="s">
        <v>5596</v>
      </c>
      <c r="S956" s="48"/>
      <c r="T956" s="49" t="str">
        <f t="shared" si="62"/>
        <v>[W2238.9]</v>
      </c>
      <c r="U956" s="12" t="str">
        <f t="shared" si="65"/>
        <v xml:space="preserve"> 시밍#1 헤드상부 클램프 전진 시간초과 (X426, X42C, X42E, Y444)</v>
      </c>
      <c r="V956" s="49" t="str">
        <f t="shared" si="64"/>
        <v>[W2238.9] 시밍#1 헤드상부 클램프 전진 시간초과 (X426, X42C, X42E, Y444)</v>
      </c>
    </row>
    <row r="957" spans="1:22" s="49" customFormat="1" ht="14.15" customHeight="1">
      <c r="A957" s="43" t="s">
        <v>5599</v>
      </c>
      <c r="B957" s="44" t="s">
        <v>157</v>
      </c>
      <c r="C957" s="50"/>
      <c r="D957" s="10" t="s">
        <v>29</v>
      </c>
      <c r="E957" s="11"/>
      <c r="F957" s="11" t="s">
        <v>18</v>
      </c>
      <c r="G957" s="13"/>
      <c r="H957" s="45" t="s">
        <v>16</v>
      </c>
      <c r="I957" s="47"/>
      <c r="J957" s="12" t="s">
        <v>5205</v>
      </c>
      <c r="K957" s="13" t="s">
        <v>7757</v>
      </c>
      <c r="L957" s="99" t="str">
        <f t="shared" si="63"/>
        <v>W2238.A</v>
      </c>
      <c r="M957" s="13" t="s">
        <v>17</v>
      </c>
      <c r="N957" s="13"/>
      <c r="O957" s="13"/>
      <c r="P957" s="47"/>
      <c r="Q957" s="45" t="s">
        <v>3672</v>
      </c>
      <c r="R957" s="45" t="s">
        <v>5596</v>
      </c>
      <c r="S957" s="48"/>
      <c r="T957" s="49" t="str">
        <f t="shared" si="62"/>
        <v>[W2238.A]</v>
      </c>
      <c r="U957" s="12" t="str">
        <f t="shared" si="65"/>
        <v xml:space="preserve"> 시밍#1 헤드상부 클램프 후진 시간초과 (X427, X42D, X42F, Y445)</v>
      </c>
      <c r="V957" s="49" t="str">
        <f t="shared" si="64"/>
        <v>[W2238.A] 시밍#1 헤드상부 클램프 후진 시간초과 (X427, X42D, X42F, Y445)</v>
      </c>
    </row>
    <row r="958" spans="1:22" s="49" customFormat="1" ht="14.15" customHeight="1">
      <c r="A958" s="43" t="s">
        <v>5599</v>
      </c>
      <c r="B958" s="44" t="s">
        <v>157</v>
      </c>
      <c r="C958" s="50"/>
      <c r="D958" s="10" t="s">
        <v>29</v>
      </c>
      <c r="E958" s="11"/>
      <c r="F958" s="11" t="s">
        <v>18</v>
      </c>
      <c r="G958" s="13"/>
      <c r="H958" s="45" t="s">
        <v>16</v>
      </c>
      <c r="I958" s="47"/>
      <c r="J958" s="12" t="s">
        <v>5206</v>
      </c>
      <c r="K958" s="13" t="s">
        <v>7758</v>
      </c>
      <c r="L958" s="99" t="str">
        <f t="shared" si="63"/>
        <v>W2238.B</v>
      </c>
      <c r="M958" s="13" t="s">
        <v>17</v>
      </c>
      <c r="N958" s="13"/>
      <c r="O958" s="13"/>
      <c r="P958" s="47"/>
      <c r="Q958" s="45" t="s">
        <v>3672</v>
      </c>
      <c r="R958" s="45" t="s">
        <v>5596</v>
      </c>
      <c r="S958" s="48"/>
      <c r="T958" s="49" t="str">
        <f t="shared" si="62"/>
        <v>[W2238.B]</v>
      </c>
      <c r="U958" s="12" t="str">
        <f t="shared" si="65"/>
        <v xml:space="preserve"> 시밍#1 헤드상부 클램프 전진/후진 센서이상 (X426, X427, X42C, X42D, X42E, X42F)</v>
      </c>
      <c r="V958" s="49" t="str">
        <f t="shared" si="64"/>
        <v>[W2238.B] 시밍#1 헤드상부 클램프 전진/후진 센서이상 (X426, X427, X42C, X42D, X42E, X42F)</v>
      </c>
    </row>
    <row r="959" spans="1:22" s="49" customFormat="1" ht="14.15" customHeight="1">
      <c r="A959" s="43" t="s">
        <v>5599</v>
      </c>
      <c r="B959" s="44" t="s">
        <v>157</v>
      </c>
      <c r="C959" s="50"/>
      <c r="D959" s="10" t="s">
        <v>29</v>
      </c>
      <c r="E959" s="11"/>
      <c r="F959" s="11" t="s">
        <v>18</v>
      </c>
      <c r="G959" s="13"/>
      <c r="H959" s="45" t="s">
        <v>16</v>
      </c>
      <c r="I959" s="47"/>
      <c r="J959" s="12" t="s">
        <v>5207</v>
      </c>
      <c r="K959" s="13" t="s">
        <v>7759</v>
      </c>
      <c r="L959" s="99" t="str">
        <f t="shared" si="63"/>
        <v>W2238.C</v>
      </c>
      <c r="M959" s="13" t="s">
        <v>17</v>
      </c>
      <c r="N959" s="13"/>
      <c r="O959" s="13"/>
      <c r="P959" s="47"/>
      <c r="Q959" s="45" t="s">
        <v>3672</v>
      </c>
      <c r="R959" s="45" t="s">
        <v>5596</v>
      </c>
      <c r="S959" s="48"/>
      <c r="T959" s="49" t="str">
        <f t="shared" si="62"/>
        <v>[W2238.C]</v>
      </c>
      <c r="U959" s="12" t="str">
        <f t="shared" si="65"/>
        <v xml:space="preserve"> 시밍#1 지그하부 클램프 전진 시간초과 (X411, X413, Y446)</v>
      </c>
      <c r="V959" s="49" t="str">
        <f t="shared" si="64"/>
        <v>[W2238.C] 시밍#1 지그하부 클램프 전진 시간초과 (X411, X413, Y446)</v>
      </c>
    </row>
    <row r="960" spans="1:22" s="49" customFormat="1" ht="14.15" customHeight="1">
      <c r="A960" s="43" t="s">
        <v>5599</v>
      </c>
      <c r="B960" s="44" t="s">
        <v>157</v>
      </c>
      <c r="C960" s="50"/>
      <c r="D960" s="10" t="s">
        <v>29</v>
      </c>
      <c r="E960" s="11"/>
      <c r="F960" s="11" t="s">
        <v>18</v>
      </c>
      <c r="G960" s="13"/>
      <c r="H960" s="45" t="s">
        <v>16</v>
      </c>
      <c r="I960" s="47"/>
      <c r="J960" s="12" t="s">
        <v>5208</v>
      </c>
      <c r="K960" s="13" t="s">
        <v>7760</v>
      </c>
      <c r="L960" s="99" t="str">
        <f t="shared" si="63"/>
        <v>W2238.D</v>
      </c>
      <c r="M960" s="13" t="s">
        <v>17</v>
      </c>
      <c r="N960" s="13"/>
      <c r="O960" s="13"/>
      <c r="P960" s="47"/>
      <c r="Q960" s="45" t="s">
        <v>3672</v>
      </c>
      <c r="R960" s="45" t="s">
        <v>5596</v>
      </c>
      <c r="S960" s="48"/>
      <c r="T960" s="49" t="str">
        <f t="shared" si="62"/>
        <v>[W2238.D]</v>
      </c>
      <c r="U960" s="12" t="str">
        <f t="shared" si="65"/>
        <v xml:space="preserve"> 시밍#1 지그하부 클램프 후진 시간초과 (X410, X412, Y447)</v>
      </c>
      <c r="V960" s="49" t="str">
        <f t="shared" si="64"/>
        <v>[W2238.D] 시밍#1 지그하부 클램프 후진 시간초과 (X410, X412, Y447)</v>
      </c>
    </row>
    <row r="961" spans="1:22" s="49" customFormat="1" ht="14.15" customHeight="1">
      <c r="A961" s="43" t="s">
        <v>5599</v>
      </c>
      <c r="B961" s="44" t="s">
        <v>157</v>
      </c>
      <c r="C961" s="50"/>
      <c r="D961" s="10" t="s">
        <v>29</v>
      </c>
      <c r="E961" s="11"/>
      <c r="F961" s="11" t="s">
        <v>18</v>
      </c>
      <c r="G961" s="13"/>
      <c r="H961" s="45" t="s">
        <v>16</v>
      </c>
      <c r="I961" s="47"/>
      <c r="J961" s="12" t="s">
        <v>5209</v>
      </c>
      <c r="K961" s="13" t="s">
        <v>7761</v>
      </c>
      <c r="L961" s="99" t="str">
        <f t="shared" si="63"/>
        <v>W2238.E</v>
      </c>
      <c r="M961" s="13" t="s">
        <v>17</v>
      </c>
      <c r="N961" s="13"/>
      <c r="O961" s="13"/>
      <c r="P961" s="47"/>
      <c r="Q961" s="45" t="s">
        <v>3672</v>
      </c>
      <c r="R961" s="45" t="s">
        <v>5596</v>
      </c>
      <c r="S961" s="48"/>
      <c r="T961" s="49" t="str">
        <f t="shared" si="62"/>
        <v>[W2238.E]</v>
      </c>
      <c r="U961" s="12" t="str">
        <f t="shared" si="65"/>
        <v xml:space="preserve"> 시밍#1 지그하부 클램프 전진/후진 센서이상 (X410, X411, X412, X413)</v>
      </c>
      <c r="V961" s="49" t="str">
        <f t="shared" si="64"/>
        <v>[W2238.E] 시밍#1 지그하부 클램프 전진/후진 센서이상 (X410, X411, X412, X413)</v>
      </c>
    </row>
    <row r="962" spans="1:22" s="49" customFormat="1" ht="14.15" customHeight="1">
      <c r="A962" s="43" t="s">
        <v>5599</v>
      </c>
      <c r="B962" s="44" t="s">
        <v>157</v>
      </c>
      <c r="C962" s="50"/>
      <c r="D962" s="10" t="s">
        <v>29</v>
      </c>
      <c r="E962" s="11"/>
      <c r="F962" s="11" t="s">
        <v>18</v>
      </c>
      <c r="G962" s="13"/>
      <c r="H962" s="45" t="s">
        <v>16</v>
      </c>
      <c r="I962" s="47"/>
      <c r="J962" s="12" t="s">
        <v>5210</v>
      </c>
      <c r="K962" s="13" t="s">
        <v>7762</v>
      </c>
      <c r="L962" s="99" t="str">
        <f t="shared" si="63"/>
        <v>W2238.F</v>
      </c>
      <c r="M962" s="13" t="s">
        <v>17</v>
      </c>
      <c r="N962" s="13"/>
      <c r="O962" s="13"/>
      <c r="P962" s="47"/>
      <c r="Q962" s="45" t="s">
        <v>3672</v>
      </c>
      <c r="R962" s="45" t="s">
        <v>5596</v>
      </c>
      <c r="S962" s="48"/>
      <c r="T962" s="49" t="str">
        <f t="shared" si="62"/>
        <v>[W2238.F]</v>
      </c>
      <c r="U962" s="12" t="str">
        <f t="shared" si="65"/>
        <v xml:space="preserve"> 시밍#1 지그상부 클램프 전진 시간초과 (X416, X418, Y449)</v>
      </c>
      <c r="V962" s="49" t="str">
        <f t="shared" si="64"/>
        <v>[W2238.F] 시밍#1 지그상부 클램프 전진 시간초과 (X416, X418, Y449)</v>
      </c>
    </row>
    <row r="963" spans="1:22" s="49" customFormat="1" ht="14.15" customHeight="1">
      <c r="A963" s="43" t="s">
        <v>5599</v>
      </c>
      <c r="B963" s="44" t="s">
        <v>157</v>
      </c>
      <c r="C963" s="50"/>
      <c r="D963" s="10" t="s">
        <v>29</v>
      </c>
      <c r="E963" s="11"/>
      <c r="F963" s="11" t="s">
        <v>18</v>
      </c>
      <c r="G963" s="13"/>
      <c r="H963" s="45" t="s">
        <v>16</v>
      </c>
      <c r="I963" s="47"/>
      <c r="J963" s="12" t="s">
        <v>5211</v>
      </c>
      <c r="K963" s="13" t="s">
        <v>7763</v>
      </c>
      <c r="L963" s="99" t="str">
        <f t="shared" si="63"/>
        <v>W2239.0</v>
      </c>
      <c r="M963" s="13" t="s">
        <v>17</v>
      </c>
      <c r="N963" s="13"/>
      <c r="O963" s="13"/>
      <c r="P963" s="47"/>
      <c r="Q963" s="45" t="s">
        <v>3672</v>
      </c>
      <c r="R963" s="45" t="s">
        <v>5596</v>
      </c>
      <c r="S963" s="48"/>
      <c r="T963" s="49" t="str">
        <f t="shared" si="62"/>
        <v>[W2239.0]</v>
      </c>
      <c r="U963" s="12" t="str">
        <f t="shared" si="65"/>
        <v xml:space="preserve"> 시밍#1 지그상부 클램프 후진 시간초과 (X417, X419, Y448)</v>
      </c>
      <c r="V963" s="49" t="str">
        <f t="shared" si="64"/>
        <v>[W2239.0] 시밍#1 지그상부 클램프 후진 시간초과 (X417, X419, Y448)</v>
      </c>
    </row>
    <row r="964" spans="1:22" s="49" customFormat="1" ht="14.15" customHeight="1">
      <c r="A964" s="43" t="s">
        <v>5599</v>
      </c>
      <c r="B964" s="44" t="s">
        <v>157</v>
      </c>
      <c r="C964" s="50"/>
      <c r="D964" s="10" t="s">
        <v>29</v>
      </c>
      <c r="E964" s="11"/>
      <c r="F964" s="11" t="s">
        <v>18</v>
      </c>
      <c r="G964" s="13"/>
      <c r="H964" s="45" t="s">
        <v>16</v>
      </c>
      <c r="I964" s="47"/>
      <c r="J964" s="12" t="s">
        <v>5212</v>
      </c>
      <c r="K964" s="13" t="s">
        <v>7764</v>
      </c>
      <c r="L964" s="99" t="str">
        <f t="shared" si="63"/>
        <v>W2239.1</v>
      </c>
      <c r="M964" s="13" t="s">
        <v>17</v>
      </c>
      <c r="N964" s="13"/>
      <c r="O964" s="13"/>
      <c r="P964" s="47"/>
      <c r="Q964" s="45" t="s">
        <v>3672</v>
      </c>
      <c r="R964" s="45" t="s">
        <v>5596</v>
      </c>
      <c r="S964" s="48"/>
      <c r="T964" s="49" t="str">
        <f t="shared" si="62"/>
        <v>[W2239.1]</v>
      </c>
      <c r="U964" s="12" t="str">
        <f t="shared" si="65"/>
        <v xml:space="preserve"> 시밍#1 지그상부 클램프 전진/후진 센서이상 (X416, X417, X418, X419)</v>
      </c>
      <c r="V964" s="49" t="str">
        <f t="shared" si="64"/>
        <v>[W2239.1] 시밍#1 지그상부 클램프 전진/후진 센서이상 (X416, X417, X418, X419)</v>
      </c>
    </row>
    <row r="965" spans="1:22" s="49" customFormat="1" ht="14.15" customHeight="1">
      <c r="A965" s="43" t="s">
        <v>5599</v>
      </c>
      <c r="B965" s="44" t="s">
        <v>157</v>
      </c>
      <c r="C965" s="50"/>
      <c r="D965" s="10" t="s">
        <v>29</v>
      </c>
      <c r="E965" s="11"/>
      <c r="F965" s="11" t="s">
        <v>18</v>
      </c>
      <c r="G965" s="13"/>
      <c r="H965" s="45" t="s">
        <v>16</v>
      </c>
      <c r="I965" s="47"/>
      <c r="J965" s="12" t="s">
        <v>5213</v>
      </c>
      <c r="K965" s="13" t="s">
        <v>7765</v>
      </c>
      <c r="L965" s="99" t="str">
        <f t="shared" si="63"/>
        <v>W2239.2</v>
      </c>
      <c r="M965" s="13" t="s">
        <v>17</v>
      </c>
      <c r="N965" s="13"/>
      <c r="O965" s="13"/>
      <c r="P965" s="47"/>
      <c r="Q965" s="45" t="s">
        <v>3672</v>
      </c>
      <c r="R965" s="45" t="s">
        <v>5596</v>
      </c>
      <c r="S965" s="48"/>
      <c r="T965" s="49" t="str">
        <f t="shared" si="62"/>
        <v>[W2239.2]</v>
      </c>
      <c r="U965" s="12" t="str">
        <f t="shared" si="65"/>
        <v xml:space="preserve"> 시밍#1 지그센터링 R 클램프 전진 시간초과 (X40A, Y44B)</v>
      </c>
      <c r="V965" s="49" t="str">
        <f t="shared" si="64"/>
        <v>[W2239.2] 시밍#1 지그센터링 R 클램프 전진 시간초과 (X40A, Y44B)</v>
      </c>
    </row>
    <row r="966" spans="1:22" s="49" customFormat="1" ht="14.15" customHeight="1">
      <c r="A966" s="43" t="s">
        <v>5599</v>
      </c>
      <c r="B966" s="44" t="s">
        <v>157</v>
      </c>
      <c r="C966" s="50"/>
      <c r="D966" s="10" t="s">
        <v>29</v>
      </c>
      <c r="E966" s="11"/>
      <c r="F966" s="11" t="s">
        <v>18</v>
      </c>
      <c r="G966" s="13"/>
      <c r="H966" s="45" t="s">
        <v>16</v>
      </c>
      <c r="I966" s="47"/>
      <c r="J966" s="12" t="s">
        <v>5214</v>
      </c>
      <c r="K966" s="13" t="s">
        <v>7766</v>
      </c>
      <c r="L966" s="99" t="str">
        <f t="shared" si="63"/>
        <v>W2239.3</v>
      </c>
      <c r="M966" s="13" t="s">
        <v>17</v>
      </c>
      <c r="N966" s="13"/>
      <c r="O966" s="13"/>
      <c r="P966" s="47"/>
      <c r="Q966" s="45" t="s">
        <v>3672</v>
      </c>
      <c r="R966" s="45" t="s">
        <v>5596</v>
      </c>
      <c r="S966" s="48"/>
      <c r="T966" s="49" t="str">
        <f t="shared" si="62"/>
        <v>[W2239.3]</v>
      </c>
      <c r="U966" s="12" t="str">
        <f t="shared" si="65"/>
        <v xml:space="preserve"> 시밍#1 지그센터링 R 클램프 후진 시간초과 (X40B, Y44A)</v>
      </c>
      <c r="V966" s="49" t="str">
        <f t="shared" si="64"/>
        <v>[W2239.3] 시밍#1 지그센터링 R 클램프 후진 시간초과 (X40B, Y44A)</v>
      </c>
    </row>
    <row r="967" spans="1:22" s="49" customFormat="1" ht="14.15" customHeight="1">
      <c r="A967" s="43" t="s">
        <v>5599</v>
      </c>
      <c r="B967" s="44" t="s">
        <v>157</v>
      </c>
      <c r="C967" s="50"/>
      <c r="D967" s="10" t="s">
        <v>29</v>
      </c>
      <c r="E967" s="11"/>
      <c r="F967" s="11" t="s">
        <v>18</v>
      </c>
      <c r="G967" s="13"/>
      <c r="H967" s="45" t="s">
        <v>16</v>
      </c>
      <c r="I967" s="47"/>
      <c r="J967" s="12" t="s">
        <v>5215</v>
      </c>
      <c r="K967" s="13" t="s">
        <v>7767</v>
      </c>
      <c r="L967" s="99" t="str">
        <f t="shared" si="63"/>
        <v>W2239.4</v>
      </c>
      <c r="M967" s="13" t="s">
        <v>17</v>
      </c>
      <c r="N967" s="13"/>
      <c r="O967" s="13"/>
      <c r="P967" s="47"/>
      <c r="Q967" s="45" t="s">
        <v>3672</v>
      </c>
      <c r="R967" s="45" t="s">
        <v>5596</v>
      </c>
      <c r="S967" s="48"/>
      <c r="T967" s="49" t="str">
        <f t="shared" si="62"/>
        <v>[W2239.4]</v>
      </c>
      <c r="U967" s="12" t="str">
        <f t="shared" si="65"/>
        <v xml:space="preserve"> 시밍#1 지그센터링 R 클램프 전진/후진 센서이상 (X40A, X40B)</v>
      </c>
      <c r="V967" s="49" t="str">
        <f t="shared" si="64"/>
        <v>[W2239.4] 시밍#1 지그센터링 R 클램프 전진/후진 센서이상 (X40A, X40B)</v>
      </c>
    </row>
    <row r="968" spans="1:22" s="49" customFormat="1" ht="14.15" customHeight="1">
      <c r="A968" s="43" t="s">
        <v>5599</v>
      </c>
      <c r="B968" s="44" t="s">
        <v>157</v>
      </c>
      <c r="C968" s="50"/>
      <c r="D968" s="10" t="s">
        <v>29</v>
      </c>
      <c r="E968" s="11"/>
      <c r="F968" s="11" t="s">
        <v>18</v>
      </c>
      <c r="G968" s="13"/>
      <c r="H968" s="45" t="s">
        <v>16</v>
      </c>
      <c r="I968" s="47"/>
      <c r="J968" s="12" t="s">
        <v>5216</v>
      </c>
      <c r="K968" s="13" t="s">
        <v>7768</v>
      </c>
      <c r="L968" s="99" t="str">
        <f t="shared" si="63"/>
        <v>W2239.5</v>
      </c>
      <c r="M968" s="13" t="s">
        <v>17</v>
      </c>
      <c r="N968" s="13"/>
      <c r="O968" s="13"/>
      <c r="P968" s="47"/>
      <c r="Q968" s="45" t="s">
        <v>3672</v>
      </c>
      <c r="R968" s="45" t="s">
        <v>5596</v>
      </c>
      <c r="S968" s="48"/>
      <c r="T968" s="49" t="str">
        <f t="shared" si="62"/>
        <v>[W2239.5]</v>
      </c>
      <c r="U968" s="12" t="str">
        <f t="shared" si="65"/>
        <v xml:space="preserve"> 시밍#1 지그센터링 L 클램프 전진 시간초과 (X40C, Y44D)</v>
      </c>
      <c r="V968" s="49" t="str">
        <f t="shared" si="64"/>
        <v>[W2239.5] 시밍#1 지그센터링 L 클램프 전진 시간초과 (X40C, Y44D)</v>
      </c>
    </row>
    <row r="969" spans="1:22" s="49" customFormat="1" ht="14.15" customHeight="1">
      <c r="A969" s="43" t="s">
        <v>5599</v>
      </c>
      <c r="B969" s="44" t="s">
        <v>157</v>
      </c>
      <c r="C969" s="50"/>
      <c r="D969" s="10" t="s">
        <v>29</v>
      </c>
      <c r="E969" s="11"/>
      <c r="F969" s="11" t="s">
        <v>18</v>
      </c>
      <c r="G969" s="13"/>
      <c r="H969" s="45" t="s">
        <v>16</v>
      </c>
      <c r="I969" s="47"/>
      <c r="J969" s="12" t="s">
        <v>5217</v>
      </c>
      <c r="K969" s="13" t="s">
        <v>7769</v>
      </c>
      <c r="L969" s="99" t="str">
        <f t="shared" si="63"/>
        <v>W2239.6</v>
      </c>
      <c r="M969" s="13" t="s">
        <v>17</v>
      </c>
      <c r="N969" s="13"/>
      <c r="O969" s="13"/>
      <c r="P969" s="47"/>
      <c r="Q969" s="45" t="s">
        <v>3672</v>
      </c>
      <c r="R969" s="45" t="s">
        <v>5596</v>
      </c>
      <c r="S969" s="48"/>
      <c r="T969" s="49" t="str">
        <f t="shared" si="62"/>
        <v>[W2239.6]</v>
      </c>
      <c r="U969" s="12" t="str">
        <f t="shared" si="65"/>
        <v xml:space="preserve"> 시밍#1 지그센터링 L 클램프 후진 시간초과 (X40D, Y44C)</v>
      </c>
      <c r="V969" s="49" t="str">
        <f t="shared" si="64"/>
        <v>[W2239.6] 시밍#1 지그센터링 L 클램프 후진 시간초과 (X40D, Y44C)</v>
      </c>
    </row>
    <row r="970" spans="1:22" s="49" customFormat="1" ht="14.15" customHeight="1">
      <c r="A970" s="43" t="s">
        <v>5599</v>
      </c>
      <c r="B970" s="44" t="s">
        <v>157</v>
      </c>
      <c r="C970" s="50"/>
      <c r="D970" s="10" t="s">
        <v>29</v>
      </c>
      <c r="E970" s="11"/>
      <c r="F970" s="11" t="s">
        <v>18</v>
      </c>
      <c r="G970" s="13"/>
      <c r="H970" s="45" t="s">
        <v>16</v>
      </c>
      <c r="I970" s="47"/>
      <c r="J970" s="12" t="s">
        <v>5218</v>
      </c>
      <c r="K970" s="13" t="s">
        <v>7770</v>
      </c>
      <c r="L970" s="99" t="str">
        <f t="shared" si="63"/>
        <v>W2239.7</v>
      </c>
      <c r="M970" s="13" t="s">
        <v>17</v>
      </c>
      <c r="N970" s="13"/>
      <c r="O970" s="13"/>
      <c r="P970" s="47"/>
      <c r="Q970" s="45" t="s">
        <v>3672</v>
      </c>
      <c r="R970" s="45" t="s">
        <v>5596</v>
      </c>
      <c r="S970" s="48"/>
      <c r="T970" s="49" t="str">
        <f t="shared" si="62"/>
        <v>[W2239.7]</v>
      </c>
      <c r="U970" s="12" t="str">
        <f t="shared" si="65"/>
        <v xml:space="preserve"> 시밍#1 지그센터링 L 클램프 전진/후진 센서이상 (X40C, X40D)</v>
      </c>
      <c r="V970" s="49" t="str">
        <f t="shared" si="64"/>
        <v>[W2239.7] 시밍#1 지그센터링 L 클램프 전진/후진 센서이상 (X40C, X40D)</v>
      </c>
    </row>
    <row r="971" spans="1:22" s="49" customFormat="1" ht="14.15" customHeight="1">
      <c r="A971" s="43" t="s">
        <v>5599</v>
      </c>
      <c r="B971" s="44" t="s">
        <v>157</v>
      </c>
      <c r="C971" s="50"/>
      <c r="D971" s="10" t="s">
        <v>29</v>
      </c>
      <c r="E971" s="11"/>
      <c r="F971" s="11" t="s">
        <v>18</v>
      </c>
      <c r="G971" s="13"/>
      <c r="H971" s="45" t="s">
        <v>16</v>
      </c>
      <c r="I971" s="47"/>
      <c r="J971" s="12" t="s">
        <v>5219</v>
      </c>
      <c r="K971" s="13" t="s">
        <v>7771</v>
      </c>
      <c r="L971" s="99" t="str">
        <f t="shared" si="63"/>
        <v>W2239.8</v>
      </c>
      <c r="M971" s="13" t="s">
        <v>17</v>
      </c>
      <c r="N971" s="13"/>
      <c r="O971" s="13"/>
      <c r="P971" s="47"/>
      <c r="Q971" s="45" t="s">
        <v>3672</v>
      </c>
      <c r="R971" s="45" t="s">
        <v>5596</v>
      </c>
      <c r="S971" s="48"/>
      <c r="T971" s="49" t="str">
        <f t="shared" si="62"/>
        <v>[W2239.8]</v>
      </c>
      <c r="U971" s="12" t="str">
        <f t="shared" si="65"/>
        <v xml:space="preserve"> 시밍#1 헤드하부 진공흡착 시간초과 (X430, X431, Y450)</v>
      </c>
      <c r="V971" s="49" t="str">
        <f t="shared" si="64"/>
        <v>[W2239.8] 시밍#1 헤드하부 진공흡착 시간초과 (X430, X431, Y450)</v>
      </c>
    </row>
    <row r="972" spans="1:22" s="49" customFormat="1" ht="14.15" customHeight="1">
      <c r="A972" s="43" t="s">
        <v>5599</v>
      </c>
      <c r="B972" s="44" t="s">
        <v>157</v>
      </c>
      <c r="C972" s="50"/>
      <c r="D972" s="10" t="s">
        <v>29</v>
      </c>
      <c r="E972" s="11"/>
      <c r="F972" s="11" t="s">
        <v>18</v>
      </c>
      <c r="G972" s="13"/>
      <c r="H972" s="45" t="s">
        <v>16</v>
      </c>
      <c r="I972" s="47"/>
      <c r="J972" s="12" t="s">
        <v>5220</v>
      </c>
      <c r="K972" s="13" t="s">
        <v>7772</v>
      </c>
      <c r="L972" s="99" t="str">
        <f t="shared" si="63"/>
        <v>W2239.9</v>
      </c>
      <c r="M972" s="13" t="s">
        <v>17</v>
      </c>
      <c r="N972" s="13"/>
      <c r="O972" s="13"/>
      <c r="P972" s="47"/>
      <c r="Q972" s="45" t="s">
        <v>3672</v>
      </c>
      <c r="R972" s="45" t="s">
        <v>5596</v>
      </c>
      <c r="S972" s="48"/>
      <c r="T972" s="49" t="str">
        <f t="shared" si="62"/>
        <v>[W2239.9]</v>
      </c>
      <c r="U972" s="12" t="str">
        <f t="shared" si="65"/>
        <v xml:space="preserve"> 시밍#1 헤드하부 진공파기 시간초과 (X430, X431, Y451, Y452)</v>
      </c>
      <c r="V972" s="49" t="str">
        <f t="shared" si="64"/>
        <v>[W2239.9] 시밍#1 헤드하부 진공파기 시간초과 (X430, X431, Y451, Y452)</v>
      </c>
    </row>
    <row r="973" spans="1:22" s="49" customFormat="1" ht="14.15" customHeight="1">
      <c r="A973" s="43" t="s">
        <v>5599</v>
      </c>
      <c r="B973" s="44" t="s">
        <v>157</v>
      </c>
      <c r="C973" s="50"/>
      <c r="D973" s="10" t="s">
        <v>29</v>
      </c>
      <c r="E973" s="11"/>
      <c r="F973" s="11" t="s">
        <v>18</v>
      </c>
      <c r="G973" s="13"/>
      <c r="H973" s="45" t="s">
        <v>16</v>
      </c>
      <c r="I973" s="47"/>
      <c r="J973" s="12" t="s">
        <v>5221</v>
      </c>
      <c r="K973" s="13" t="s">
        <v>7773</v>
      </c>
      <c r="L973" s="99" t="str">
        <f t="shared" si="63"/>
        <v>W2239.A</v>
      </c>
      <c r="M973" s="13" t="s">
        <v>17</v>
      </c>
      <c r="N973" s="13"/>
      <c r="O973" s="13"/>
      <c r="P973" s="47"/>
      <c r="Q973" s="45" t="s">
        <v>3672</v>
      </c>
      <c r="R973" s="45" t="s">
        <v>5596</v>
      </c>
      <c r="S973" s="48"/>
      <c r="T973" s="49" t="str">
        <f t="shared" si="62"/>
        <v>[W2239.A]</v>
      </c>
      <c r="U973" s="12" t="str">
        <f t="shared" si="65"/>
        <v xml:space="preserve"> 시밍#1 헤드상부 진공흡착 시간초과 (X432, X433, Y453)</v>
      </c>
      <c r="V973" s="49" t="str">
        <f t="shared" si="64"/>
        <v>[W2239.A] 시밍#1 헤드상부 진공흡착 시간초과 (X432, X433, Y453)</v>
      </c>
    </row>
    <row r="974" spans="1:22" s="49" customFormat="1" ht="14.15" customHeight="1">
      <c r="A974" s="43" t="s">
        <v>5599</v>
      </c>
      <c r="B974" s="44" t="s">
        <v>157</v>
      </c>
      <c r="C974" s="50"/>
      <c r="D974" s="10" t="s">
        <v>29</v>
      </c>
      <c r="E974" s="11"/>
      <c r="F974" s="11" t="s">
        <v>18</v>
      </c>
      <c r="G974" s="13"/>
      <c r="H974" s="45" t="s">
        <v>16</v>
      </c>
      <c r="I974" s="47"/>
      <c r="J974" s="12" t="s">
        <v>5222</v>
      </c>
      <c r="K974" s="13" t="s">
        <v>7774</v>
      </c>
      <c r="L974" s="99" t="str">
        <f t="shared" si="63"/>
        <v>W2239.B</v>
      </c>
      <c r="M974" s="13" t="s">
        <v>17</v>
      </c>
      <c r="N974" s="13"/>
      <c r="O974" s="13"/>
      <c r="P974" s="47"/>
      <c r="Q974" s="45" t="s">
        <v>3672</v>
      </c>
      <c r="R974" s="45" t="s">
        <v>5596</v>
      </c>
      <c r="S974" s="48"/>
      <c r="T974" s="49" t="str">
        <f t="shared" si="62"/>
        <v>[W2239.B]</v>
      </c>
      <c r="U974" s="12" t="str">
        <f t="shared" si="65"/>
        <v xml:space="preserve"> 시밍#1 헤드상부 진공파기 시간초과 (X432, X433, Y454, Y455)</v>
      </c>
      <c r="V974" s="49" t="str">
        <f t="shared" si="64"/>
        <v>[W2239.B] 시밍#1 헤드상부 진공파기 시간초과 (X432, X433, Y454, Y455)</v>
      </c>
    </row>
    <row r="975" spans="1:22" s="49" customFormat="1" ht="14.15" customHeight="1">
      <c r="A975" s="43" t="s">
        <v>5599</v>
      </c>
      <c r="B975" s="44" t="s">
        <v>157</v>
      </c>
      <c r="C975" s="50"/>
      <c r="D975" s="10" t="s">
        <v>29</v>
      </c>
      <c r="E975" s="11"/>
      <c r="F975" s="11" t="s">
        <v>18</v>
      </c>
      <c r="G975" s="13"/>
      <c r="H975" s="45" t="s">
        <v>16</v>
      </c>
      <c r="I975" s="47"/>
      <c r="J975" s="12" t="s">
        <v>5223</v>
      </c>
      <c r="K975" s="13" t="s">
        <v>7775</v>
      </c>
      <c r="L975" s="99" t="str">
        <f t="shared" si="63"/>
        <v>W2239.C</v>
      </c>
      <c r="M975" s="13" t="s">
        <v>17</v>
      </c>
      <c r="N975" s="13"/>
      <c r="O975" s="13"/>
      <c r="P975" s="47"/>
      <c r="Q975" s="45" t="s">
        <v>3672</v>
      </c>
      <c r="R975" s="45" t="s">
        <v>5596</v>
      </c>
      <c r="S975" s="48"/>
      <c r="T975" s="49" t="str">
        <f t="shared" si="62"/>
        <v>[W2239.C]</v>
      </c>
      <c r="U975" s="12" t="str">
        <f t="shared" si="65"/>
        <v xml:space="preserve"> 시밍#1 센터RH 진공흡착 시간초과 (X434, Y456)</v>
      </c>
      <c r="V975" s="49" t="str">
        <f t="shared" si="64"/>
        <v>[W2239.C] 시밍#1 센터RH 진공흡착 시간초과 (X434, Y456)</v>
      </c>
    </row>
    <row r="976" spans="1:22" s="49" customFormat="1" ht="14.15" customHeight="1">
      <c r="A976" s="43" t="s">
        <v>5599</v>
      </c>
      <c r="B976" s="44" t="s">
        <v>157</v>
      </c>
      <c r="C976" s="50"/>
      <c r="D976" s="10" t="s">
        <v>29</v>
      </c>
      <c r="E976" s="11"/>
      <c r="F976" s="11" t="s">
        <v>18</v>
      </c>
      <c r="G976" s="13"/>
      <c r="H976" s="45" t="s">
        <v>16</v>
      </c>
      <c r="I976" s="47"/>
      <c r="J976" s="12" t="s">
        <v>5224</v>
      </c>
      <c r="K976" s="13" t="s">
        <v>7776</v>
      </c>
      <c r="L976" s="99" t="str">
        <f t="shared" si="63"/>
        <v>W2239.D</v>
      </c>
      <c r="M976" s="13" t="s">
        <v>17</v>
      </c>
      <c r="N976" s="13"/>
      <c r="O976" s="13"/>
      <c r="P976" s="47"/>
      <c r="Q976" s="45" t="s">
        <v>3672</v>
      </c>
      <c r="R976" s="45" t="s">
        <v>5596</v>
      </c>
      <c r="S976" s="48"/>
      <c r="T976" s="49" t="str">
        <f t="shared" si="62"/>
        <v>[W2239.D]</v>
      </c>
      <c r="U976" s="12" t="str">
        <f t="shared" si="65"/>
        <v xml:space="preserve"> 시밍#1 센터RH 진공파기 시간초과 (X434, Y457, Y458)</v>
      </c>
      <c r="V976" s="49" t="str">
        <f t="shared" si="64"/>
        <v>[W2239.D] 시밍#1 센터RH 진공파기 시간초과 (X434, Y457, Y458)</v>
      </c>
    </row>
    <row r="977" spans="1:22" s="49" customFormat="1" ht="14.15" customHeight="1">
      <c r="A977" s="43" t="s">
        <v>5599</v>
      </c>
      <c r="B977" s="44" t="s">
        <v>157</v>
      </c>
      <c r="C977" s="50"/>
      <c r="D977" s="10" t="s">
        <v>29</v>
      </c>
      <c r="E977" s="11"/>
      <c r="F977" s="11" t="s">
        <v>18</v>
      </c>
      <c r="G977" s="13"/>
      <c r="H977" s="45" t="s">
        <v>16</v>
      </c>
      <c r="I977" s="47"/>
      <c r="J977" s="12" t="s">
        <v>5225</v>
      </c>
      <c r="K977" s="13" t="s">
        <v>7777</v>
      </c>
      <c r="L977" s="99" t="str">
        <f t="shared" si="63"/>
        <v>W2239.E</v>
      </c>
      <c r="M977" s="13" t="s">
        <v>17</v>
      </c>
      <c r="N977" s="13"/>
      <c r="O977" s="13"/>
      <c r="P977" s="47"/>
      <c r="Q977" s="45" t="s">
        <v>3672</v>
      </c>
      <c r="R977" s="45" t="s">
        <v>5596</v>
      </c>
      <c r="S977" s="48"/>
      <c r="T977" s="49" t="str">
        <f t="shared" si="62"/>
        <v>[W2239.E]</v>
      </c>
      <c r="U977" s="12" t="str">
        <f t="shared" si="65"/>
        <v xml:space="preserve"> 시밍#1 센터상부 진공흡착 시간초과 (X436, X437, Y459)</v>
      </c>
      <c r="V977" s="49" t="str">
        <f t="shared" si="64"/>
        <v>[W2239.E] 시밍#1 센터상부 진공흡착 시간초과 (X436, X437, Y459)</v>
      </c>
    </row>
    <row r="978" spans="1:22" s="49" customFormat="1" ht="14.15" customHeight="1">
      <c r="A978" s="43" t="s">
        <v>5599</v>
      </c>
      <c r="B978" s="44" t="s">
        <v>157</v>
      </c>
      <c r="C978" s="50"/>
      <c r="D978" s="10" t="s">
        <v>29</v>
      </c>
      <c r="E978" s="11"/>
      <c r="F978" s="11" t="s">
        <v>18</v>
      </c>
      <c r="G978" s="13"/>
      <c r="H978" s="45" t="s">
        <v>16</v>
      </c>
      <c r="I978" s="47"/>
      <c r="J978" s="12" t="s">
        <v>5226</v>
      </c>
      <c r="K978" s="13" t="s">
        <v>7778</v>
      </c>
      <c r="L978" s="99" t="str">
        <f t="shared" si="63"/>
        <v>W2239.F</v>
      </c>
      <c r="M978" s="13" t="s">
        <v>17</v>
      </c>
      <c r="N978" s="13"/>
      <c r="O978" s="13"/>
      <c r="P978" s="47"/>
      <c r="Q978" s="45" t="s">
        <v>3672</v>
      </c>
      <c r="R978" s="45" t="s">
        <v>5596</v>
      </c>
      <c r="S978" s="48"/>
      <c r="T978" s="49" t="str">
        <f t="shared" si="62"/>
        <v>[W2239.F]</v>
      </c>
      <c r="U978" s="12" t="str">
        <f t="shared" si="65"/>
        <v xml:space="preserve"> 시밍#1 센터상부 진공파기 시간초과 (X436, X437, Y45A, Y45B)</v>
      </c>
      <c r="V978" s="49" t="str">
        <f t="shared" si="64"/>
        <v>[W2239.F] 시밍#1 센터상부 진공파기 시간초과 (X436, X437, Y45A, Y45B)</v>
      </c>
    </row>
    <row r="979" spans="1:22" s="49" customFormat="1" ht="14.15" customHeight="1">
      <c r="A979" s="43" t="s">
        <v>5599</v>
      </c>
      <c r="B979" s="44" t="s">
        <v>157</v>
      </c>
      <c r="C979" s="50"/>
      <c r="D979" s="10" t="s">
        <v>29</v>
      </c>
      <c r="E979" s="11"/>
      <c r="F979" s="11" t="s">
        <v>18</v>
      </c>
      <c r="G979" s="13"/>
      <c r="H979" s="45" t="s">
        <v>16</v>
      </c>
      <c r="I979" s="47"/>
      <c r="J979" s="12" t="s">
        <v>5227</v>
      </c>
      <c r="K979" s="13" t="s">
        <v>7779</v>
      </c>
      <c r="L979" s="99" t="str">
        <f t="shared" si="63"/>
        <v>W223A.0</v>
      </c>
      <c r="M979" s="13" t="s">
        <v>17</v>
      </c>
      <c r="N979" s="13"/>
      <c r="O979" s="13"/>
      <c r="P979" s="47"/>
      <c r="Q979" s="45" t="s">
        <v>3672</v>
      </c>
      <c r="R979" s="45" t="s">
        <v>5596</v>
      </c>
      <c r="S979" s="48"/>
      <c r="T979" s="49" t="str">
        <f t="shared" si="62"/>
        <v>[W223A.0]</v>
      </c>
      <c r="U979" s="12" t="str">
        <f t="shared" si="65"/>
        <v xml:space="preserve"> 시밍#1 센터LH 진공흡착 시간초과 (X435, Y45C)</v>
      </c>
      <c r="V979" s="49" t="str">
        <f t="shared" si="64"/>
        <v>[W223A.0] 시밍#1 센터LH 진공흡착 시간초과 (X435, Y45C)</v>
      </c>
    </row>
    <row r="980" spans="1:22" s="49" customFormat="1" ht="14.15" customHeight="1">
      <c r="A980" s="43" t="s">
        <v>5599</v>
      </c>
      <c r="B980" s="44" t="s">
        <v>157</v>
      </c>
      <c r="C980" s="50"/>
      <c r="D980" s="10" t="s">
        <v>29</v>
      </c>
      <c r="E980" s="11"/>
      <c r="F980" s="11" t="s">
        <v>18</v>
      </c>
      <c r="G980" s="13"/>
      <c r="H980" s="45" t="s">
        <v>16</v>
      </c>
      <c r="I980" s="47"/>
      <c r="J980" s="12" t="s">
        <v>5228</v>
      </c>
      <c r="K980" s="13" t="s">
        <v>7780</v>
      </c>
      <c r="L980" s="99" t="str">
        <f t="shared" si="63"/>
        <v>W223A.1</v>
      </c>
      <c r="M980" s="13" t="s">
        <v>17</v>
      </c>
      <c r="N980" s="13"/>
      <c r="O980" s="13"/>
      <c r="P980" s="47"/>
      <c r="Q980" s="45" t="s">
        <v>3672</v>
      </c>
      <c r="R980" s="45" t="s">
        <v>5596</v>
      </c>
      <c r="S980" s="48"/>
      <c r="T980" s="49" t="str">
        <f t="shared" si="62"/>
        <v>[W223A.1]</v>
      </c>
      <c r="U980" s="12" t="str">
        <f t="shared" si="65"/>
        <v xml:space="preserve"> 시밍#1 센터LH 진공파기 시간초과 (X435, Y45D, Y45E)</v>
      </c>
      <c r="V980" s="49" t="str">
        <f t="shared" si="64"/>
        <v>[W223A.1] 시밍#1 센터LH 진공파기 시간초과 (X435, Y45D, Y45E)</v>
      </c>
    </row>
    <row r="981" spans="1:22" s="49" customFormat="1" ht="14.15" customHeight="1">
      <c r="A981" s="43"/>
      <c r="B981" s="44" t="s">
        <v>157</v>
      </c>
      <c r="C981" s="50"/>
      <c r="D981" s="10" t="s">
        <v>29</v>
      </c>
      <c r="E981" s="11"/>
      <c r="F981" s="11" t="s">
        <v>18</v>
      </c>
      <c r="G981" s="13"/>
      <c r="H981" s="45" t="s">
        <v>16</v>
      </c>
      <c r="I981" s="47"/>
      <c r="J981" s="12" t="s">
        <v>5229</v>
      </c>
      <c r="K981" s="13" t="s">
        <v>7781</v>
      </c>
      <c r="L981" s="99" t="str">
        <f t="shared" si="63"/>
        <v>W223A.2</v>
      </c>
      <c r="M981" s="13"/>
      <c r="N981" s="13"/>
      <c r="O981" s="13"/>
      <c r="P981" s="47"/>
      <c r="Q981" s="45"/>
      <c r="R981" s="45"/>
      <c r="S981" s="48"/>
      <c r="T981" s="49" t="str">
        <f t="shared" si="62"/>
        <v>[W223A.2]</v>
      </c>
      <c r="U981" s="12" t="str">
        <f t="shared" si="65"/>
        <v xml:space="preserve"> </v>
      </c>
      <c r="V981" s="49" t="str">
        <f t="shared" si="64"/>
        <v xml:space="preserve">[W223A.2] </v>
      </c>
    </row>
    <row r="982" spans="1:22" s="49" customFormat="1" ht="14.15" customHeight="1">
      <c r="A982" s="43" t="s">
        <v>5599</v>
      </c>
      <c r="B982" s="44" t="s">
        <v>157</v>
      </c>
      <c r="C982" s="50"/>
      <c r="D982" s="10" t="s">
        <v>29</v>
      </c>
      <c r="E982" s="11"/>
      <c r="F982" s="11" t="s">
        <v>18</v>
      </c>
      <c r="G982" s="13"/>
      <c r="H982" s="45" t="s">
        <v>16</v>
      </c>
      <c r="I982" s="47"/>
      <c r="J982" s="12" t="s">
        <v>5230</v>
      </c>
      <c r="K982" s="13" t="s">
        <v>7782</v>
      </c>
      <c r="L982" s="99" t="str">
        <f t="shared" si="63"/>
        <v>W223A.3</v>
      </c>
      <c r="M982" s="13" t="s">
        <v>17</v>
      </c>
      <c r="N982" s="13"/>
      <c r="O982" s="13"/>
      <c r="P982" s="47"/>
      <c r="Q982" s="45" t="s">
        <v>3672</v>
      </c>
      <c r="R982" s="45" t="s">
        <v>5596</v>
      </c>
      <c r="S982" s="48"/>
      <c r="T982" s="49" t="str">
        <f t="shared" si="62"/>
        <v>[W223A.3]</v>
      </c>
      <c r="U982" s="12" t="str">
        <f t="shared" si="65"/>
        <v xml:space="preserve"> 시밍#1 롤러 UPPER, LOWER 감속단 감지 에러 (X401,X403)</v>
      </c>
      <c r="V982" s="49" t="str">
        <f t="shared" si="64"/>
        <v>[W223A.3] 시밍#1 롤러 UPPER, LOWER 감속단 감지 에러 (X401,X403)</v>
      </c>
    </row>
    <row r="983" spans="1:22" s="49" customFormat="1" ht="14.15" customHeight="1">
      <c r="A983" s="43" t="s">
        <v>5599</v>
      </c>
      <c r="B983" s="44" t="s">
        <v>157</v>
      </c>
      <c r="C983" s="50"/>
      <c r="D983" s="10" t="s">
        <v>29</v>
      </c>
      <c r="E983" s="11"/>
      <c r="F983" s="11" t="s">
        <v>18</v>
      </c>
      <c r="G983" s="13"/>
      <c r="H983" s="45" t="s">
        <v>16</v>
      </c>
      <c r="I983" s="47"/>
      <c r="J983" s="12" t="s">
        <v>5231</v>
      </c>
      <c r="K983" s="13" t="s">
        <v>7783</v>
      </c>
      <c r="L983" s="99" t="str">
        <f t="shared" si="63"/>
        <v>W223A.4</v>
      </c>
      <c r="M983" s="13" t="s">
        <v>153</v>
      </c>
      <c r="N983" s="13"/>
      <c r="O983" s="13"/>
      <c r="P983" s="47"/>
      <c r="Q983" s="45" t="s">
        <v>3672</v>
      </c>
      <c r="R983" s="45" t="s">
        <v>5596</v>
      </c>
      <c r="S983" s="48"/>
      <c r="T983" s="49" t="str">
        <f t="shared" si="62"/>
        <v>[W223A.4]</v>
      </c>
      <c r="U983" s="12" t="str">
        <f t="shared" si="65"/>
        <v xml:space="preserve"> 시밍#1 청소모드 안전발판매트 감지! (X41C)</v>
      </c>
      <c r="V983" s="49" t="str">
        <f t="shared" si="64"/>
        <v>[W223A.4] 시밍#1 청소모드 안전발판매트 감지! (X41C)</v>
      </c>
    </row>
    <row r="984" spans="1:22" s="49" customFormat="1" ht="14.15" customHeight="1">
      <c r="A984" s="43"/>
      <c r="B984" s="44" t="s">
        <v>157</v>
      </c>
      <c r="C984" s="50"/>
      <c r="D984" s="10" t="s">
        <v>29</v>
      </c>
      <c r="E984" s="11"/>
      <c r="F984" s="11" t="s">
        <v>18</v>
      </c>
      <c r="G984" s="13"/>
      <c r="H984" s="45" t="s">
        <v>16</v>
      </c>
      <c r="I984" s="47"/>
      <c r="J984" s="12" t="s">
        <v>5232</v>
      </c>
      <c r="K984" s="13" t="s">
        <v>7784</v>
      </c>
      <c r="L984" s="99" t="str">
        <f t="shared" si="63"/>
        <v>W223A.5</v>
      </c>
      <c r="M984" s="13"/>
      <c r="N984" s="13"/>
      <c r="O984" s="13"/>
      <c r="P984" s="47"/>
      <c r="Q984" s="45"/>
      <c r="R984" s="45"/>
      <c r="S984" s="48"/>
      <c r="T984" s="49" t="str">
        <f t="shared" si="62"/>
        <v>[W223A.5]</v>
      </c>
      <c r="U984" s="12" t="str">
        <f t="shared" si="65"/>
        <v xml:space="preserve"> </v>
      </c>
      <c r="V984" s="49" t="str">
        <f t="shared" si="64"/>
        <v xml:space="preserve">[W223A.5] </v>
      </c>
    </row>
    <row r="985" spans="1:22" s="49" customFormat="1" ht="14.15" customHeight="1">
      <c r="A985" s="44"/>
      <c r="B985" s="44" t="s">
        <v>157</v>
      </c>
      <c r="C985" s="50"/>
      <c r="D985" s="10" t="s">
        <v>29</v>
      </c>
      <c r="E985" s="11"/>
      <c r="F985" s="11" t="s">
        <v>18</v>
      </c>
      <c r="G985" s="13"/>
      <c r="H985" s="45" t="s">
        <v>16</v>
      </c>
      <c r="I985" s="47"/>
      <c r="J985" s="12" t="s">
        <v>843</v>
      </c>
      <c r="K985" s="13" t="s">
        <v>7785</v>
      </c>
      <c r="L985" s="99" t="str">
        <f t="shared" si="63"/>
        <v>W223A.6</v>
      </c>
      <c r="M985" s="13"/>
      <c r="N985" s="13"/>
      <c r="O985" s="13"/>
      <c r="P985" s="47"/>
      <c r="Q985" s="45"/>
      <c r="R985" s="45"/>
      <c r="S985" s="48"/>
      <c r="T985" s="49" t="str">
        <f t="shared" si="62"/>
        <v>[W223A.6]</v>
      </c>
      <c r="U985" s="12" t="str">
        <f t="shared" si="65"/>
        <v xml:space="preserve"> </v>
      </c>
      <c r="V985" s="49" t="str">
        <f t="shared" si="64"/>
        <v xml:space="preserve">[W223A.6] </v>
      </c>
    </row>
    <row r="986" spans="1:22" s="49" customFormat="1" ht="14.15" customHeight="1">
      <c r="A986" s="44"/>
      <c r="B986" s="44" t="s">
        <v>157</v>
      </c>
      <c r="C986" s="50"/>
      <c r="D986" s="10" t="s">
        <v>29</v>
      </c>
      <c r="E986" s="11"/>
      <c r="F986" s="11" t="s">
        <v>18</v>
      </c>
      <c r="G986" s="13"/>
      <c r="H986" s="45" t="s">
        <v>16</v>
      </c>
      <c r="I986" s="47"/>
      <c r="J986" s="12" t="s">
        <v>844</v>
      </c>
      <c r="K986" s="13" t="s">
        <v>7786</v>
      </c>
      <c r="L986" s="99" t="str">
        <f t="shared" si="63"/>
        <v>W223A.7</v>
      </c>
      <c r="M986" s="13"/>
      <c r="N986" s="13"/>
      <c r="O986" s="13"/>
      <c r="P986" s="47"/>
      <c r="Q986" s="45"/>
      <c r="R986" s="45"/>
      <c r="S986" s="48"/>
      <c r="T986" s="49" t="str">
        <f t="shared" si="62"/>
        <v>[W223A.7]</v>
      </c>
      <c r="U986" s="12" t="str">
        <f t="shared" si="65"/>
        <v xml:space="preserve"> </v>
      </c>
      <c r="V986" s="49" t="str">
        <f t="shared" si="64"/>
        <v xml:space="preserve">[W223A.7] </v>
      </c>
    </row>
    <row r="987" spans="1:22" s="49" customFormat="1" ht="14.15" customHeight="1">
      <c r="A987" s="44"/>
      <c r="B987" s="44" t="s">
        <v>157</v>
      </c>
      <c r="C987" s="50"/>
      <c r="D987" s="10" t="s">
        <v>29</v>
      </c>
      <c r="E987" s="11"/>
      <c r="F987" s="11" t="s">
        <v>18</v>
      </c>
      <c r="G987" s="13"/>
      <c r="H987" s="45" t="s">
        <v>16</v>
      </c>
      <c r="I987" s="47"/>
      <c r="J987" s="12" t="s">
        <v>845</v>
      </c>
      <c r="K987" s="13" t="s">
        <v>7787</v>
      </c>
      <c r="L987" s="99" t="str">
        <f t="shared" si="63"/>
        <v>W223A.8</v>
      </c>
      <c r="M987" s="13"/>
      <c r="N987" s="13"/>
      <c r="O987" s="13"/>
      <c r="P987" s="47"/>
      <c r="Q987" s="45"/>
      <c r="R987" s="45"/>
      <c r="S987" s="48"/>
      <c r="T987" s="49" t="str">
        <f t="shared" si="62"/>
        <v>[W223A.8]</v>
      </c>
      <c r="U987" s="12" t="str">
        <f t="shared" si="65"/>
        <v xml:space="preserve"> </v>
      </c>
      <c r="V987" s="49" t="str">
        <f t="shared" si="64"/>
        <v xml:space="preserve">[W223A.8] </v>
      </c>
    </row>
    <row r="988" spans="1:22" s="49" customFormat="1" ht="14.15" customHeight="1">
      <c r="A988" s="44"/>
      <c r="B988" s="44" t="s">
        <v>157</v>
      </c>
      <c r="C988" s="50"/>
      <c r="D988" s="10" t="s">
        <v>29</v>
      </c>
      <c r="E988" s="11"/>
      <c r="F988" s="11" t="s">
        <v>18</v>
      </c>
      <c r="G988" s="13"/>
      <c r="H988" s="45" t="s">
        <v>16</v>
      </c>
      <c r="I988" s="47"/>
      <c r="J988" s="12" t="s">
        <v>846</v>
      </c>
      <c r="K988" s="13" t="s">
        <v>7788</v>
      </c>
      <c r="L988" s="99" t="str">
        <f t="shared" si="63"/>
        <v>W223A.9</v>
      </c>
      <c r="M988" s="13"/>
      <c r="N988" s="13"/>
      <c r="O988" s="13"/>
      <c r="P988" s="47"/>
      <c r="Q988" s="45"/>
      <c r="R988" s="45"/>
      <c r="S988" s="48"/>
      <c r="T988" s="49" t="str">
        <f t="shared" si="62"/>
        <v>[W223A.9]</v>
      </c>
      <c r="U988" s="12" t="str">
        <f t="shared" si="65"/>
        <v xml:space="preserve"> </v>
      </c>
      <c r="V988" s="49" t="str">
        <f t="shared" si="64"/>
        <v xml:space="preserve">[W223A.9] </v>
      </c>
    </row>
    <row r="989" spans="1:22" s="49" customFormat="1" ht="14.15" customHeight="1">
      <c r="A989" s="43"/>
      <c r="B989" s="44" t="s">
        <v>157</v>
      </c>
      <c r="C989" s="50"/>
      <c r="D989" s="10" t="s">
        <v>29</v>
      </c>
      <c r="E989" s="11"/>
      <c r="F989" s="11" t="s">
        <v>18</v>
      </c>
      <c r="G989" s="13"/>
      <c r="H989" s="45" t="s">
        <v>16</v>
      </c>
      <c r="I989" s="47"/>
      <c r="J989" s="12" t="s">
        <v>5233</v>
      </c>
      <c r="K989" s="13" t="s">
        <v>7789</v>
      </c>
      <c r="L989" s="99" t="str">
        <f t="shared" si="63"/>
        <v>W223A.A</v>
      </c>
      <c r="M989" s="13"/>
      <c r="N989" s="13"/>
      <c r="O989" s="13"/>
      <c r="P989" s="47"/>
      <c r="Q989" s="45"/>
      <c r="R989" s="45"/>
      <c r="S989" s="48"/>
      <c r="T989" s="49" t="str">
        <f t="shared" si="62"/>
        <v>[W223A.A]</v>
      </c>
      <c r="U989" s="12" t="str">
        <f t="shared" si="65"/>
        <v xml:space="preserve"> </v>
      </c>
      <c r="V989" s="49" t="str">
        <f t="shared" si="64"/>
        <v xml:space="preserve">[W223A.A] </v>
      </c>
    </row>
    <row r="990" spans="1:22" s="49" customFormat="1" ht="14.15" customHeight="1">
      <c r="A990" s="43" t="s">
        <v>5600</v>
      </c>
      <c r="B990" s="44" t="s">
        <v>157</v>
      </c>
      <c r="C990" s="50"/>
      <c r="D990" s="10" t="s">
        <v>29</v>
      </c>
      <c r="E990" s="11"/>
      <c r="F990" s="11" t="s">
        <v>18</v>
      </c>
      <c r="G990" s="13"/>
      <c r="H990" s="45" t="s">
        <v>16</v>
      </c>
      <c r="I990" s="47"/>
      <c r="J990" s="12" t="s">
        <v>5234</v>
      </c>
      <c r="K990" s="13" t="s">
        <v>7790</v>
      </c>
      <c r="L990" s="99" t="str">
        <f t="shared" si="63"/>
        <v>W223A.B</v>
      </c>
      <c r="M990" s="13" t="s">
        <v>17</v>
      </c>
      <c r="N990" s="13"/>
      <c r="O990" s="13"/>
      <c r="P990" s="47"/>
      <c r="Q990" s="45" t="s">
        <v>3672</v>
      </c>
      <c r="R990" s="45" t="s">
        <v>5596</v>
      </c>
      <c r="S990" s="48"/>
      <c r="T990" s="49" t="str">
        <f t="shared" si="62"/>
        <v>[W223A.B]</v>
      </c>
      <c r="U990" s="12" t="str">
        <f t="shared" si="65"/>
        <v xml:space="preserve"> 플랜징#1 제품 클램프-1 전진 시간초과 (X460, Y480)</v>
      </c>
      <c r="V990" s="49" t="str">
        <f t="shared" si="64"/>
        <v>[W223A.B] 플랜징#1 제품 클램프-1 전진 시간초과 (X460, Y480)</v>
      </c>
    </row>
    <row r="991" spans="1:22" s="49" customFormat="1" ht="14.15" customHeight="1">
      <c r="A991" s="43" t="s">
        <v>5600</v>
      </c>
      <c r="B991" s="44" t="s">
        <v>157</v>
      </c>
      <c r="C991" s="50"/>
      <c r="D991" s="10" t="s">
        <v>29</v>
      </c>
      <c r="E991" s="11"/>
      <c r="F991" s="11" t="s">
        <v>18</v>
      </c>
      <c r="G991" s="13"/>
      <c r="H991" s="45" t="s">
        <v>16</v>
      </c>
      <c r="I991" s="47"/>
      <c r="J991" s="12" t="s">
        <v>5235</v>
      </c>
      <c r="K991" s="13" t="s">
        <v>7791</v>
      </c>
      <c r="L991" s="99" t="str">
        <f t="shared" si="63"/>
        <v>W223A.C</v>
      </c>
      <c r="M991" s="13" t="s">
        <v>17</v>
      </c>
      <c r="N991" s="13"/>
      <c r="O991" s="13"/>
      <c r="P991" s="47"/>
      <c r="Q991" s="45" t="s">
        <v>3672</v>
      </c>
      <c r="R991" s="45" t="s">
        <v>5596</v>
      </c>
      <c r="S991" s="48"/>
      <c r="T991" s="49" t="str">
        <f t="shared" si="62"/>
        <v>[W223A.C]</v>
      </c>
      <c r="U991" s="12" t="str">
        <f t="shared" si="65"/>
        <v xml:space="preserve"> 플랜징#1 제품 클램프-1 후진 시간초과 (X461, Y481)</v>
      </c>
      <c r="V991" s="49" t="str">
        <f t="shared" si="64"/>
        <v>[W223A.C] 플랜징#1 제품 클램프-1 후진 시간초과 (X461, Y481)</v>
      </c>
    </row>
    <row r="992" spans="1:22" s="49" customFormat="1" ht="14.15" customHeight="1">
      <c r="A992" s="43" t="s">
        <v>5600</v>
      </c>
      <c r="B992" s="44" t="s">
        <v>157</v>
      </c>
      <c r="C992" s="50"/>
      <c r="D992" s="10" t="s">
        <v>29</v>
      </c>
      <c r="E992" s="11"/>
      <c r="F992" s="11" t="s">
        <v>18</v>
      </c>
      <c r="G992" s="13"/>
      <c r="H992" s="45" t="s">
        <v>16</v>
      </c>
      <c r="I992" s="47"/>
      <c r="J992" s="12" t="s">
        <v>5236</v>
      </c>
      <c r="K992" s="13" t="s">
        <v>7792</v>
      </c>
      <c r="L992" s="99" t="str">
        <f t="shared" si="63"/>
        <v>W223A.D</v>
      </c>
      <c r="M992" s="13" t="s">
        <v>17</v>
      </c>
      <c r="N992" s="13"/>
      <c r="O992" s="13"/>
      <c r="P992" s="47"/>
      <c r="Q992" s="45" t="s">
        <v>3672</v>
      </c>
      <c r="R992" s="45" t="s">
        <v>5596</v>
      </c>
      <c r="S992" s="48"/>
      <c r="T992" s="49" t="str">
        <f t="shared" si="62"/>
        <v>[W223A.D]</v>
      </c>
      <c r="U992" s="12" t="str">
        <f t="shared" si="65"/>
        <v xml:space="preserve"> 플랜징#1 제품 클램프-1 전진/후진 센서이상 (X460, X461)</v>
      </c>
      <c r="V992" s="49" t="str">
        <f t="shared" si="64"/>
        <v>[W223A.D] 플랜징#1 제품 클램프-1 전진/후진 센서이상 (X460, X461)</v>
      </c>
    </row>
    <row r="993" spans="1:22" s="49" customFormat="1" ht="14.15" customHeight="1">
      <c r="A993" s="43" t="s">
        <v>5600</v>
      </c>
      <c r="B993" s="44" t="s">
        <v>157</v>
      </c>
      <c r="C993" s="50"/>
      <c r="D993" s="10" t="s">
        <v>29</v>
      </c>
      <c r="E993" s="11"/>
      <c r="F993" s="11" t="s">
        <v>18</v>
      </c>
      <c r="G993" s="13"/>
      <c r="H993" s="45" t="s">
        <v>16</v>
      </c>
      <c r="I993" s="47"/>
      <c r="J993" s="12" t="s">
        <v>5237</v>
      </c>
      <c r="K993" s="13" t="s">
        <v>7793</v>
      </c>
      <c r="L993" s="99" t="str">
        <f t="shared" si="63"/>
        <v>W223A.E</v>
      </c>
      <c r="M993" s="13" t="s">
        <v>17</v>
      </c>
      <c r="N993" s="13"/>
      <c r="O993" s="13"/>
      <c r="P993" s="47"/>
      <c r="Q993" s="45" t="s">
        <v>3672</v>
      </c>
      <c r="R993" s="45" t="s">
        <v>5596</v>
      </c>
      <c r="S993" s="48"/>
      <c r="T993" s="49" t="str">
        <f t="shared" si="62"/>
        <v>[W223A.E]</v>
      </c>
      <c r="U993" s="12" t="str">
        <f t="shared" si="65"/>
        <v xml:space="preserve"> 플랜징#1 제품 클램프-2 전진 시간초과 (X462, Y482)</v>
      </c>
      <c r="V993" s="49" t="str">
        <f t="shared" si="64"/>
        <v>[W223A.E] 플랜징#1 제품 클램프-2 전진 시간초과 (X462, Y482)</v>
      </c>
    </row>
    <row r="994" spans="1:22" s="49" customFormat="1" ht="14.15" customHeight="1">
      <c r="A994" s="43" t="s">
        <v>5600</v>
      </c>
      <c r="B994" s="44" t="s">
        <v>157</v>
      </c>
      <c r="C994" s="50"/>
      <c r="D994" s="10" t="s">
        <v>29</v>
      </c>
      <c r="E994" s="11"/>
      <c r="F994" s="11" t="s">
        <v>18</v>
      </c>
      <c r="G994" s="13"/>
      <c r="H994" s="45" t="s">
        <v>16</v>
      </c>
      <c r="I994" s="47"/>
      <c r="J994" s="12" t="s">
        <v>5238</v>
      </c>
      <c r="K994" s="13" t="s">
        <v>7794</v>
      </c>
      <c r="L994" s="99" t="str">
        <f t="shared" si="63"/>
        <v>W223A.F</v>
      </c>
      <c r="M994" s="13" t="s">
        <v>17</v>
      </c>
      <c r="N994" s="13"/>
      <c r="O994" s="13"/>
      <c r="P994" s="47"/>
      <c r="Q994" s="45" t="s">
        <v>3672</v>
      </c>
      <c r="R994" s="45" t="s">
        <v>5596</v>
      </c>
      <c r="S994" s="48"/>
      <c r="T994" s="49" t="str">
        <f t="shared" si="62"/>
        <v>[W223A.F]</v>
      </c>
      <c r="U994" s="12" t="str">
        <f t="shared" si="65"/>
        <v xml:space="preserve"> 플랜징#1 제품 클램프-2 후진 시간초과 (X463, Y483)</v>
      </c>
      <c r="V994" s="49" t="str">
        <f t="shared" si="64"/>
        <v>[W223A.F] 플랜징#1 제품 클램프-2 후진 시간초과 (X463, Y483)</v>
      </c>
    </row>
    <row r="995" spans="1:22" s="49" customFormat="1" ht="14.15" customHeight="1">
      <c r="A995" s="43" t="s">
        <v>5600</v>
      </c>
      <c r="B995" s="44" t="s">
        <v>157</v>
      </c>
      <c r="C995" s="50"/>
      <c r="D995" s="10" t="s">
        <v>29</v>
      </c>
      <c r="E995" s="11"/>
      <c r="F995" s="11" t="s">
        <v>18</v>
      </c>
      <c r="G995" s="13"/>
      <c r="H995" s="45" t="s">
        <v>16</v>
      </c>
      <c r="I995" s="47"/>
      <c r="J995" s="12" t="s">
        <v>5239</v>
      </c>
      <c r="K995" s="13" t="s">
        <v>7795</v>
      </c>
      <c r="L995" s="99" t="str">
        <f t="shared" si="63"/>
        <v>W223B.0</v>
      </c>
      <c r="M995" s="13" t="s">
        <v>17</v>
      </c>
      <c r="N995" s="13"/>
      <c r="O995" s="13"/>
      <c r="P995" s="47"/>
      <c r="Q995" s="45" t="s">
        <v>3672</v>
      </c>
      <c r="R995" s="45" t="s">
        <v>5596</v>
      </c>
      <c r="S995" s="48"/>
      <c r="T995" s="49" t="str">
        <f t="shared" si="62"/>
        <v>[W223B.0]</v>
      </c>
      <c r="U995" s="12" t="str">
        <f t="shared" si="65"/>
        <v xml:space="preserve"> 플랜징#1 제품 클램프-2 전진/후진 센서이상 (X462, X463)</v>
      </c>
      <c r="V995" s="49" t="str">
        <f t="shared" si="64"/>
        <v>[W223B.0] 플랜징#1 제품 클램프-2 전진/후진 센서이상 (X462, X463)</v>
      </c>
    </row>
    <row r="996" spans="1:22" s="49" customFormat="1" ht="14.15" customHeight="1">
      <c r="A996" s="43" t="s">
        <v>5600</v>
      </c>
      <c r="B996" s="44" t="s">
        <v>157</v>
      </c>
      <c r="C996" s="50"/>
      <c r="D996" s="10" t="s">
        <v>29</v>
      </c>
      <c r="E996" s="11"/>
      <c r="F996" s="11" t="s">
        <v>18</v>
      </c>
      <c r="G996" s="13"/>
      <c r="H996" s="45" t="s">
        <v>16</v>
      </c>
      <c r="I996" s="47"/>
      <c r="J996" s="12" t="s">
        <v>5240</v>
      </c>
      <c r="K996" s="13" t="s">
        <v>7796</v>
      </c>
      <c r="L996" s="99" t="str">
        <f t="shared" si="63"/>
        <v>W223B.1</v>
      </c>
      <c r="M996" s="13" t="s">
        <v>17</v>
      </c>
      <c r="N996" s="13"/>
      <c r="O996" s="13"/>
      <c r="P996" s="47"/>
      <c r="Q996" s="45" t="s">
        <v>3672</v>
      </c>
      <c r="R996" s="45" t="s">
        <v>5596</v>
      </c>
      <c r="S996" s="48"/>
      <c r="T996" s="49" t="str">
        <f t="shared" si="62"/>
        <v>[W223B.1]</v>
      </c>
      <c r="U996" s="12" t="str">
        <f t="shared" si="65"/>
        <v xml:space="preserve"> 플랜징#1 클램프-1 락킹 상승 시간초과 (X464, X466, Y485)</v>
      </c>
      <c r="V996" s="49" t="str">
        <f t="shared" si="64"/>
        <v>[W223B.1] 플랜징#1 클램프-1 락킹 상승 시간초과 (X464, X466, Y485)</v>
      </c>
    </row>
    <row r="997" spans="1:22" s="49" customFormat="1" ht="14.15" customHeight="1">
      <c r="A997" s="43" t="s">
        <v>5600</v>
      </c>
      <c r="B997" s="44" t="s">
        <v>157</v>
      </c>
      <c r="C997" s="50"/>
      <c r="D997" s="10" t="s">
        <v>29</v>
      </c>
      <c r="E997" s="11"/>
      <c r="F997" s="11" t="s">
        <v>18</v>
      </c>
      <c r="G997" s="13"/>
      <c r="H997" s="45" t="s">
        <v>16</v>
      </c>
      <c r="I997" s="47"/>
      <c r="J997" s="12" t="s">
        <v>5241</v>
      </c>
      <c r="K997" s="13" t="s">
        <v>7797</v>
      </c>
      <c r="L997" s="99" t="str">
        <f t="shared" si="63"/>
        <v>W223B.2</v>
      </c>
      <c r="M997" s="13" t="s">
        <v>17</v>
      </c>
      <c r="N997" s="13"/>
      <c r="O997" s="13"/>
      <c r="P997" s="47"/>
      <c r="Q997" s="45" t="s">
        <v>3672</v>
      </c>
      <c r="R997" s="45" t="s">
        <v>5596</v>
      </c>
      <c r="S997" s="48"/>
      <c r="T997" s="49" t="str">
        <f t="shared" si="62"/>
        <v>[W223B.2]</v>
      </c>
      <c r="U997" s="12" t="str">
        <f t="shared" si="65"/>
        <v xml:space="preserve"> 플랜징#1 클램프-1 락킹 하강 시간초과 (X465, X467, Y484)</v>
      </c>
      <c r="V997" s="49" t="str">
        <f t="shared" si="64"/>
        <v>[W223B.2] 플랜징#1 클램프-1 락킹 하강 시간초과 (X465, X467, Y484)</v>
      </c>
    </row>
    <row r="998" spans="1:22" s="49" customFormat="1" ht="14.15" customHeight="1">
      <c r="A998" s="43" t="s">
        <v>5600</v>
      </c>
      <c r="B998" s="44" t="s">
        <v>157</v>
      </c>
      <c r="C998" s="50"/>
      <c r="D998" s="10" t="s">
        <v>29</v>
      </c>
      <c r="E998" s="11"/>
      <c r="F998" s="11" t="s">
        <v>18</v>
      </c>
      <c r="G998" s="13"/>
      <c r="H998" s="45" t="s">
        <v>16</v>
      </c>
      <c r="I998" s="47"/>
      <c r="J998" s="12" t="s">
        <v>5242</v>
      </c>
      <c r="K998" s="13" t="s">
        <v>7798</v>
      </c>
      <c r="L998" s="99" t="str">
        <f t="shared" si="63"/>
        <v>W223B.3</v>
      </c>
      <c r="M998" s="13" t="s">
        <v>17</v>
      </c>
      <c r="N998" s="13"/>
      <c r="O998" s="13"/>
      <c r="P998" s="47"/>
      <c r="Q998" s="45" t="s">
        <v>3672</v>
      </c>
      <c r="R998" s="45" t="s">
        <v>5596</v>
      </c>
      <c r="S998" s="48"/>
      <c r="T998" s="49" t="str">
        <f t="shared" si="62"/>
        <v>[W223B.3]</v>
      </c>
      <c r="U998" s="12" t="str">
        <f t="shared" si="65"/>
        <v xml:space="preserve"> 플랜징#1 클램프-1 락킹 상승/하강 센서이상 (X464, X465, X466, X467)</v>
      </c>
      <c r="V998" s="49" t="str">
        <f t="shared" si="64"/>
        <v>[W223B.3] 플랜징#1 클램프-1 락킹 상승/하강 센서이상 (X464, X465, X466, X467)</v>
      </c>
    </row>
    <row r="999" spans="1:22" s="49" customFormat="1" ht="14.15" customHeight="1">
      <c r="A999" s="43" t="s">
        <v>5600</v>
      </c>
      <c r="B999" s="44" t="s">
        <v>157</v>
      </c>
      <c r="C999" s="50"/>
      <c r="D999" s="10" t="s">
        <v>29</v>
      </c>
      <c r="E999" s="11"/>
      <c r="F999" s="11" t="s">
        <v>18</v>
      </c>
      <c r="G999" s="13"/>
      <c r="H999" s="45" t="s">
        <v>16</v>
      </c>
      <c r="I999" s="47"/>
      <c r="J999" s="12" t="s">
        <v>5243</v>
      </c>
      <c r="K999" s="13" t="s">
        <v>7799</v>
      </c>
      <c r="L999" s="99" t="str">
        <f t="shared" si="63"/>
        <v>W223B.4</v>
      </c>
      <c r="M999" s="13" t="s">
        <v>17</v>
      </c>
      <c r="N999" s="13"/>
      <c r="O999" s="13"/>
      <c r="P999" s="47"/>
      <c r="Q999" s="45" t="s">
        <v>3672</v>
      </c>
      <c r="R999" s="45" t="s">
        <v>5596</v>
      </c>
      <c r="S999" s="48"/>
      <c r="T999" s="49" t="str">
        <f t="shared" si="62"/>
        <v>[W223B.4]</v>
      </c>
      <c r="U999" s="12" t="str">
        <f t="shared" si="65"/>
        <v xml:space="preserve"> 플랜징#1 클램프-2 락킹 상승 시간초과 (X468, X46A, Y487)</v>
      </c>
      <c r="V999" s="49" t="str">
        <f t="shared" si="64"/>
        <v>[W223B.4] 플랜징#1 클램프-2 락킹 상승 시간초과 (X468, X46A, Y487)</v>
      </c>
    </row>
    <row r="1000" spans="1:22" s="49" customFormat="1" ht="14.15" customHeight="1">
      <c r="A1000" s="43" t="s">
        <v>5600</v>
      </c>
      <c r="B1000" s="44" t="s">
        <v>157</v>
      </c>
      <c r="C1000" s="50"/>
      <c r="D1000" s="10" t="s">
        <v>29</v>
      </c>
      <c r="E1000" s="11"/>
      <c r="F1000" s="11" t="s">
        <v>18</v>
      </c>
      <c r="G1000" s="13"/>
      <c r="H1000" s="45" t="s">
        <v>16</v>
      </c>
      <c r="I1000" s="47"/>
      <c r="J1000" s="12" t="s">
        <v>5244</v>
      </c>
      <c r="K1000" s="13" t="s">
        <v>7800</v>
      </c>
      <c r="L1000" s="99" t="str">
        <f t="shared" si="63"/>
        <v>W223B.5</v>
      </c>
      <c r="M1000" s="13" t="s">
        <v>17</v>
      </c>
      <c r="N1000" s="13"/>
      <c r="O1000" s="13"/>
      <c r="P1000" s="47"/>
      <c r="Q1000" s="45" t="s">
        <v>3672</v>
      </c>
      <c r="R1000" s="45" t="s">
        <v>5596</v>
      </c>
      <c r="S1000" s="48"/>
      <c r="T1000" s="49" t="str">
        <f t="shared" si="62"/>
        <v>[W223B.5]</v>
      </c>
      <c r="U1000" s="12" t="str">
        <f t="shared" si="65"/>
        <v xml:space="preserve"> 플랜징#1 클램프-2 락킹 하강 시간초과 (X469, X46B, Y486)</v>
      </c>
      <c r="V1000" s="49" t="str">
        <f t="shared" si="64"/>
        <v>[W223B.5] 플랜징#1 클램프-2 락킹 하강 시간초과 (X469, X46B, Y486)</v>
      </c>
    </row>
    <row r="1001" spans="1:22" s="49" customFormat="1" ht="14.15" customHeight="1">
      <c r="A1001" s="43" t="s">
        <v>5600</v>
      </c>
      <c r="B1001" s="44" t="s">
        <v>157</v>
      </c>
      <c r="C1001" s="50"/>
      <c r="D1001" s="10" t="s">
        <v>29</v>
      </c>
      <c r="E1001" s="11"/>
      <c r="F1001" s="11" t="s">
        <v>18</v>
      </c>
      <c r="G1001" s="13"/>
      <c r="H1001" s="45" t="s">
        <v>16</v>
      </c>
      <c r="I1001" s="47"/>
      <c r="J1001" s="12" t="s">
        <v>5245</v>
      </c>
      <c r="K1001" s="13" t="s">
        <v>7801</v>
      </c>
      <c r="L1001" s="99" t="str">
        <f t="shared" si="63"/>
        <v>W223B.6</v>
      </c>
      <c r="M1001" s="13" t="s">
        <v>17</v>
      </c>
      <c r="N1001" s="13"/>
      <c r="O1001" s="13"/>
      <c r="P1001" s="47"/>
      <c r="Q1001" s="45" t="s">
        <v>3672</v>
      </c>
      <c r="R1001" s="45" t="s">
        <v>5596</v>
      </c>
      <c r="S1001" s="48"/>
      <c r="T1001" s="49" t="str">
        <f t="shared" si="62"/>
        <v>[W223B.6]</v>
      </c>
      <c r="U1001" s="12" t="str">
        <f t="shared" si="65"/>
        <v xml:space="preserve"> 플랜징#1 클램프-2 락킹 상승/하강 센서이상 (X468, X469, X46A, X46B)</v>
      </c>
      <c r="V1001" s="49" t="str">
        <f t="shared" si="64"/>
        <v>[W223B.6] 플랜징#1 클램프-2 락킹 상승/하강 센서이상 (X468, X469, X46A, X46B)</v>
      </c>
    </row>
    <row r="1002" spans="1:22" s="49" customFormat="1" ht="14.15" customHeight="1">
      <c r="A1002" s="43" t="s">
        <v>5600</v>
      </c>
      <c r="B1002" s="44" t="s">
        <v>157</v>
      </c>
      <c r="C1002" s="50"/>
      <c r="D1002" s="10" t="s">
        <v>29</v>
      </c>
      <c r="E1002" s="11"/>
      <c r="F1002" s="11" t="s">
        <v>18</v>
      </c>
      <c r="G1002" s="13"/>
      <c r="H1002" s="45" t="s">
        <v>16</v>
      </c>
      <c r="I1002" s="47"/>
      <c r="J1002" s="12" t="s">
        <v>5246</v>
      </c>
      <c r="K1002" s="13" t="s">
        <v>7802</v>
      </c>
      <c r="L1002" s="99" t="str">
        <f t="shared" si="63"/>
        <v>W223B.7</v>
      </c>
      <c r="M1002" s="13" t="s">
        <v>17</v>
      </c>
      <c r="N1002" s="13"/>
      <c r="O1002" s="13"/>
      <c r="P1002" s="47"/>
      <c r="Q1002" s="45" t="s">
        <v>3672</v>
      </c>
      <c r="R1002" s="45" t="s">
        <v>5596</v>
      </c>
      <c r="S1002" s="48"/>
      <c r="T1002" s="49" t="str">
        <f t="shared" si="62"/>
        <v>[W223B.7]</v>
      </c>
      <c r="U1002" s="12" t="str">
        <f t="shared" si="65"/>
        <v xml:space="preserve"> 플랜징#1 클램프-3 락킹 상승 시간초과 (X46C, X46E, Y489)</v>
      </c>
      <c r="V1002" s="49" t="str">
        <f t="shared" si="64"/>
        <v>[W223B.7] 플랜징#1 클램프-3 락킹 상승 시간초과 (X46C, X46E, Y489)</v>
      </c>
    </row>
    <row r="1003" spans="1:22" s="49" customFormat="1" ht="14.15" customHeight="1">
      <c r="A1003" s="43" t="s">
        <v>5600</v>
      </c>
      <c r="B1003" s="44" t="s">
        <v>157</v>
      </c>
      <c r="C1003" s="50"/>
      <c r="D1003" s="10" t="s">
        <v>29</v>
      </c>
      <c r="E1003" s="11"/>
      <c r="F1003" s="11" t="s">
        <v>18</v>
      </c>
      <c r="G1003" s="13"/>
      <c r="H1003" s="45" t="s">
        <v>16</v>
      </c>
      <c r="I1003" s="47"/>
      <c r="J1003" s="12" t="s">
        <v>5247</v>
      </c>
      <c r="K1003" s="13" t="s">
        <v>7803</v>
      </c>
      <c r="L1003" s="99" t="str">
        <f t="shared" si="63"/>
        <v>W223B.8</v>
      </c>
      <c r="M1003" s="13" t="s">
        <v>17</v>
      </c>
      <c r="N1003" s="13"/>
      <c r="O1003" s="13"/>
      <c r="P1003" s="47"/>
      <c r="Q1003" s="45" t="s">
        <v>3672</v>
      </c>
      <c r="R1003" s="45" t="s">
        <v>5596</v>
      </c>
      <c r="S1003" s="48"/>
      <c r="T1003" s="49" t="str">
        <f t="shared" si="62"/>
        <v>[W223B.8]</v>
      </c>
      <c r="U1003" s="12" t="str">
        <f t="shared" si="65"/>
        <v xml:space="preserve"> 플랜징#1 클램프-3 락킹 하강 시간초과 (X46D, X46F, Y488)</v>
      </c>
      <c r="V1003" s="49" t="str">
        <f t="shared" si="64"/>
        <v>[W223B.8] 플랜징#1 클램프-3 락킹 하강 시간초과 (X46D, X46F, Y488)</v>
      </c>
    </row>
    <row r="1004" spans="1:22" s="49" customFormat="1" ht="14.15" customHeight="1">
      <c r="A1004" s="43" t="s">
        <v>5600</v>
      </c>
      <c r="B1004" s="44" t="s">
        <v>157</v>
      </c>
      <c r="C1004" s="50"/>
      <c r="D1004" s="10" t="s">
        <v>29</v>
      </c>
      <c r="E1004" s="11"/>
      <c r="F1004" s="11" t="s">
        <v>18</v>
      </c>
      <c r="G1004" s="13"/>
      <c r="H1004" s="45" t="s">
        <v>16</v>
      </c>
      <c r="I1004" s="47"/>
      <c r="J1004" s="12" t="s">
        <v>5248</v>
      </c>
      <c r="K1004" s="13" t="s">
        <v>7804</v>
      </c>
      <c r="L1004" s="99" t="str">
        <f t="shared" si="63"/>
        <v>W223B.9</v>
      </c>
      <c r="M1004" s="13" t="s">
        <v>17</v>
      </c>
      <c r="N1004" s="13"/>
      <c r="O1004" s="13"/>
      <c r="P1004" s="47"/>
      <c r="Q1004" s="45" t="s">
        <v>3672</v>
      </c>
      <c r="R1004" s="45" t="s">
        <v>5596</v>
      </c>
      <c r="S1004" s="48"/>
      <c r="T1004" s="49" t="str">
        <f t="shared" si="62"/>
        <v>[W223B.9]</v>
      </c>
      <c r="U1004" s="12" t="str">
        <f t="shared" si="65"/>
        <v xml:space="preserve"> 플랜징#1 클램프-3 락킹 상승/하강 센서이상 (X46C, X46D, X46E, X46F)</v>
      </c>
      <c r="V1004" s="49" t="str">
        <f t="shared" si="64"/>
        <v>[W223B.9] 플랜징#1 클램프-3 락킹 상승/하강 센서이상 (X46C, X46D, X46E, X46F)</v>
      </c>
    </row>
    <row r="1005" spans="1:22" s="49" customFormat="1" ht="14.15" customHeight="1">
      <c r="A1005" s="43" t="s">
        <v>5600</v>
      </c>
      <c r="B1005" s="44" t="s">
        <v>157</v>
      </c>
      <c r="C1005" s="50"/>
      <c r="D1005" s="10" t="s">
        <v>29</v>
      </c>
      <c r="E1005" s="11"/>
      <c r="F1005" s="11" t="s">
        <v>18</v>
      </c>
      <c r="G1005" s="13"/>
      <c r="H1005" s="45" t="s">
        <v>16</v>
      </c>
      <c r="I1005" s="47"/>
      <c r="J1005" s="12" t="s">
        <v>5249</v>
      </c>
      <c r="K1005" s="13" t="s">
        <v>7805</v>
      </c>
      <c r="L1005" s="99" t="str">
        <f t="shared" si="63"/>
        <v>W223B.A</v>
      </c>
      <c r="M1005" s="13" t="s">
        <v>17</v>
      </c>
      <c r="N1005" s="13"/>
      <c r="O1005" s="13"/>
      <c r="P1005" s="47"/>
      <c r="Q1005" s="45" t="s">
        <v>3672</v>
      </c>
      <c r="R1005" s="45" t="s">
        <v>5596</v>
      </c>
      <c r="S1005" s="48"/>
      <c r="T1005" s="49" t="str">
        <f t="shared" si="62"/>
        <v>[W223B.A]</v>
      </c>
      <c r="U1005" s="12" t="str">
        <f t="shared" si="65"/>
        <v xml:space="preserve"> 플랜징#1 제품 진공흡착 시간초과 (X470, X471, Y490)</v>
      </c>
      <c r="V1005" s="49" t="str">
        <f t="shared" si="64"/>
        <v>[W223B.A] 플랜징#1 제품 진공흡착 시간초과 (X470, X471, Y490)</v>
      </c>
    </row>
    <row r="1006" spans="1:22" s="49" customFormat="1" ht="14.15" customHeight="1">
      <c r="A1006" s="43" t="s">
        <v>5600</v>
      </c>
      <c r="B1006" s="44" t="s">
        <v>157</v>
      </c>
      <c r="C1006" s="50"/>
      <c r="D1006" s="10" t="s">
        <v>29</v>
      </c>
      <c r="E1006" s="11"/>
      <c r="F1006" s="11" t="s">
        <v>18</v>
      </c>
      <c r="G1006" s="13"/>
      <c r="H1006" s="45" t="s">
        <v>16</v>
      </c>
      <c r="I1006" s="47"/>
      <c r="J1006" s="12" t="s">
        <v>5250</v>
      </c>
      <c r="K1006" s="13" t="s">
        <v>7806</v>
      </c>
      <c r="L1006" s="99" t="str">
        <f t="shared" si="63"/>
        <v>W223B.B</v>
      </c>
      <c r="M1006" s="13" t="s">
        <v>17</v>
      </c>
      <c r="N1006" s="13"/>
      <c r="O1006" s="13"/>
      <c r="P1006" s="47"/>
      <c r="Q1006" s="45" t="s">
        <v>3672</v>
      </c>
      <c r="R1006" s="45" t="s">
        <v>5596</v>
      </c>
      <c r="S1006" s="48"/>
      <c r="T1006" s="49" t="str">
        <f t="shared" si="62"/>
        <v>[W223B.B]</v>
      </c>
      <c r="U1006" s="12" t="str">
        <f t="shared" si="65"/>
        <v xml:space="preserve"> 플랜징#1 제품 진공파기 시간초과 (X470, X471, Y491, Y492)</v>
      </c>
      <c r="V1006" s="49" t="str">
        <f t="shared" si="64"/>
        <v>[W223B.B] 플랜징#1 제품 진공파기 시간초과 (X470, X471, Y491, Y492)</v>
      </c>
    </row>
    <row r="1007" spans="1:22" s="49" customFormat="1" ht="14.15" customHeight="1">
      <c r="A1007" s="44"/>
      <c r="B1007" s="44" t="s">
        <v>157</v>
      </c>
      <c r="C1007" s="50"/>
      <c r="D1007" s="10" t="s">
        <v>29</v>
      </c>
      <c r="E1007" s="11"/>
      <c r="F1007" s="11" t="s">
        <v>18</v>
      </c>
      <c r="G1007" s="13"/>
      <c r="H1007" s="45" t="s">
        <v>16</v>
      </c>
      <c r="I1007" s="47"/>
      <c r="J1007" s="12" t="s">
        <v>865</v>
      </c>
      <c r="K1007" s="13" t="s">
        <v>7807</v>
      </c>
      <c r="L1007" s="99" t="str">
        <f t="shared" si="63"/>
        <v>W223B.C</v>
      </c>
      <c r="M1007" s="13"/>
      <c r="N1007" s="13"/>
      <c r="O1007" s="13"/>
      <c r="P1007" s="47"/>
      <c r="Q1007" s="45"/>
      <c r="R1007" s="45"/>
      <c r="S1007" s="48"/>
      <c r="T1007" s="49" t="str">
        <f t="shared" si="62"/>
        <v>[W223B.C]</v>
      </c>
      <c r="U1007" s="12" t="str">
        <f t="shared" si="65"/>
        <v xml:space="preserve"> </v>
      </c>
      <c r="V1007" s="49" t="str">
        <f t="shared" si="64"/>
        <v xml:space="preserve">[W223B.C] </v>
      </c>
    </row>
    <row r="1008" spans="1:22" s="49" customFormat="1" ht="14.15" customHeight="1">
      <c r="A1008" s="44"/>
      <c r="B1008" s="44" t="s">
        <v>157</v>
      </c>
      <c r="C1008" s="50"/>
      <c r="D1008" s="10" t="s">
        <v>29</v>
      </c>
      <c r="E1008" s="11"/>
      <c r="F1008" s="11" t="s">
        <v>18</v>
      </c>
      <c r="G1008" s="13"/>
      <c r="H1008" s="45" t="s">
        <v>16</v>
      </c>
      <c r="I1008" s="47"/>
      <c r="J1008" s="12" t="s">
        <v>2472</v>
      </c>
      <c r="K1008" s="13" t="s">
        <v>7808</v>
      </c>
      <c r="L1008" s="99" t="str">
        <f t="shared" si="63"/>
        <v>W223B.D</v>
      </c>
      <c r="M1008" s="13"/>
      <c r="N1008" s="13"/>
      <c r="O1008" s="13"/>
      <c r="P1008" s="47"/>
      <c r="Q1008" s="45"/>
      <c r="R1008" s="45"/>
      <c r="S1008" s="48"/>
      <c r="T1008" s="49" t="str">
        <f t="shared" si="62"/>
        <v>[W223B.D]</v>
      </c>
      <c r="U1008" s="12" t="str">
        <f t="shared" si="65"/>
        <v xml:space="preserve"> </v>
      </c>
      <c r="V1008" s="49" t="str">
        <f t="shared" si="64"/>
        <v xml:space="preserve">[W223B.D] </v>
      </c>
    </row>
    <row r="1009" spans="1:22" s="49" customFormat="1" ht="14.15" customHeight="1">
      <c r="A1009" s="43" t="s">
        <v>5600</v>
      </c>
      <c r="B1009" s="44" t="s">
        <v>157</v>
      </c>
      <c r="C1009" s="50"/>
      <c r="D1009" s="10" t="s">
        <v>29</v>
      </c>
      <c r="E1009" s="11"/>
      <c r="F1009" s="11" t="s">
        <v>18</v>
      </c>
      <c r="G1009" s="13"/>
      <c r="H1009" s="45" t="s">
        <v>16</v>
      </c>
      <c r="I1009" s="47"/>
      <c r="J1009" s="12" t="s">
        <v>5251</v>
      </c>
      <c r="K1009" s="13" t="s">
        <v>7809</v>
      </c>
      <c r="L1009" s="99" t="str">
        <f t="shared" si="63"/>
        <v>W223B.E</v>
      </c>
      <c r="M1009" s="13" t="s">
        <v>17</v>
      </c>
      <c r="N1009" s="13"/>
      <c r="O1009" s="13"/>
      <c r="P1009" s="47"/>
      <c r="Q1009" s="45" t="s">
        <v>3672</v>
      </c>
      <c r="R1009" s="45" t="s">
        <v>5596</v>
      </c>
      <c r="S1009" s="48"/>
      <c r="T1009" s="49" t="str">
        <f t="shared" si="62"/>
        <v>[W223B.E]</v>
      </c>
      <c r="U1009" s="12" t="str">
        <f t="shared" si="65"/>
        <v xml:space="preserve"> 플랜징#1 제품 체크 에러 (X479)</v>
      </c>
      <c r="V1009" s="49" t="str">
        <f t="shared" si="64"/>
        <v>[W223B.E] 플랜징#1 제품 체크 에러 (X479)</v>
      </c>
    </row>
    <row r="1010" spans="1:22" s="49" customFormat="1" ht="14.15" customHeight="1">
      <c r="A1010" s="43" t="s">
        <v>5604</v>
      </c>
      <c r="B1010" s="44" t="s">
        <v>157</v>
      </c>
      <c r="C1010" s="50"/>
      <c r="D1010" s="10" t="s">
        <v>29</v>
      </c>
      <c r="E1010" s="11"/>
      <c r="F1010" s="11" t="s">
        <v>18</v>
      </c>
      <c r="G1010" s="13"/>
      <c r="H1010" s="45" t="s">
        <v>16</v>
      </c>
      <c r="I1010" s="47"/>
      <c r="J1010" s="12" t="s">
        <v>5252</v>
      </c>
      <c r="K1010" s="13" t="s">
        <v>7810</v>
      </c>
      <c r="L1010" s="99" t="str">
        <f t="shared" si="63"/>
        <v>W223B.F</v>
      </c>
      <c r="M1010" s="13" t="s">
        <v>17</v>
      </c>
      <c r="N1010" s="13"/>
      <c r="O1010" s="13"/>
      <c r="P1010" s="47"/>
      <c r="Q1010" s="45" t="s">
        <v>3672</v>
      </c>
      <c r="R1010" s="45" t="s">
        <v>5596</v>
      </c>
      <c r="S1010" s="48"/>
      <c r="T1010" s="49" t="str">
        <f t="shared" si="62"/>
        <v>[W223B.F]</v>
      </c>
      <c r="U1010" s="12" t="str">
        <f t="shared" si="65"/>
        <v xml:space="preserve"> 배출 C/V#1-1 스토퍼 상승 시간초과 (X690, Y6A0)</v>
      </c>
      <c r="V1010" s="49" t="str">
        <f t="shared" si="64"/>
        <v>[W223B.F] 배출 C/V#1-1 스토퍼 상승 시간초과 (X690, Y6A0)</v>
      </c>
    </row>
    <row r="1011" spans="1:22" s="49" customFormat="1" ht="14.15" customHeight="1">
      <c r="A1011" s="43" t="s">
        <v>5604</v>
      </c>
      <c r="B1011" s="44" t="s">
        <v>157</v>
      </c>
      <c r="C1011" s="50"/>
      <c r="D1011" s="10" t="s">
        <v>29</v>
      </c>
      <c r="E1011" s="11"/>
      <c r="F1011" s="11" t="s">
        <v>18</v>
      </c>
      <c r="G1011" s="13"/>
      <c r="H1011" s="45" t="s">
        <v>16</v>
      </c>
      <c r="I1011" s="47"/>
      <c r="J1011" s="12" t="s">
        <v>5253</v>
      </c>
      <c r="K1011" s="13" t="s">
        <v>7811</v>
      </c>
      <c r="L1011" s="99" t="str">
        <f t="shared" si="63"/>
        <v>W223C.0</v>
      </c>
      <c r="M1011" s="13" t="s">
        <v>17</v>
      </c>
      <c r="N1011" s="13"/>
      <c r="O1011" s="13"/>
      <c r="P1011" s="47"/>
      <c r="Q1011" s="45" t="s">
        <v>3672</v>
      </c>
      <c r="R1011" s="45" t="s">
        <v>5596</v>
      </c>
      <c r="S1011" s="48"/>
      <c r="T1011" s="49" t="str">
        <f t="shared" ref="T1011:T1074" si="66">"["&amp;L1011&amp;"]"</f>
        <v>[W223C.0]</v>
      </c>
      <c r="U1011" s="12" t="str">
        <f t="shared" si="65"/>
        <v xml:space="preserve"> 배출 C/V#1-1 스토퍼 하강 시간초과 (X691, Y6A1)</v>
      </c>
      <c r="V1011" s="49" t="str">
        <f t="shared" si="64"/>
        <v>[W223C.0] 배출 C/V#1-1 스토퍼 하강 시간초과 (X691, Y6A1)</v>
      </c>
    </row>
    <row r="1012" spans="1:22" s="49" customFormat="1" ht="14.15" customHeight="1">
      <c r="A1012" s="43" t="s">
        <v>5604</v>
      </c>
      <c r="B1012" s="44" t="s">
        <v>157</v>
      </c>
      <c r="C1012" s="50"/>
      <c r="D1012" s="10" t="s">
        <v>29</v>
      </c>
      <c r="E1012" s="11"/>
      <c r="F1012" s="11" t="s">
        <v>18</v>
      </c>
      <c r="G1012" s="13"/>
      <c r="H1012" s="45" t="s">
        <v>16</v>
      </c>
      <c r="I1012" s="47"/>
      <c r="J1012" s="12" t="s">
        <v>5254</v>
      </c>
      <c r="K1012" s="13" t="s">
        <v>7812</v>
      </c>
      <c r="L1012" s="99" t="str">
        <f t="shared" ref="L1012:L1075" si="67">"W"&amp;DEC2HEX(8704 + INT((ROW()-51)/16)) &amp; "." &amp; IF(MOD(ROW()-51,16)&lt;10,MOD(ROW()-51,16),CHAR(MOD(ROW()-51,16)+55))</f>
        <v>W223C.1</v>
      </c>
      <c r="M1012" s="13" t="s">
        <v>17</v>
      </c>
      <c r="N1012" s="13"/>
      <c r="O1012" s="13"/>
      <c r="P1012" s="47"/>
      <c r="Q1012" s="45" t="s">
        <v>3672</v>
      </c>
      <c r="R1012" s="45" t="s">
        <v>5596</v>
      </c>
      <c r="S1012" s="48"/>
      <c r="T1012" s="49" t="str">
        <f t="shared" si="66"/>
        <v>[W223C.1]</v>
      </c>
      <c r="U1012" s="12" t="str">
        <f t="shared" si="65"/>
        <v xml:space="preserve"> 배출 C/V#1-1 스토퍼 상승/하강 센서이상 (X690, X691)</v>
      </c>
      <c r="V1012" s="49" t="str">
        <f t="shared" ref="V1012:V1075" si="68">T1012&amp;U1012</f>
        <v>[W223C.1] 배출 C/V#1-1 스토퍼 상승/하강 센서이상 (X690, X691)</v>
      </c>
    </row>
    <row r="1013" spans="1:22" s="49" customFormat="1" ht="14.15" customHeight="1">
      <c r="A1013" s="44"/>
      <c r="B1013" s="44" t="s">
        <v>157</v>
      </c>
      <c r="C1013" s="50"/>
      <c r="D1013" s="10" t="s">
        <v>29</v>
      </c>
      <c r="E1013" s="11"/>
      <c r="F1013" s="11" t="s">
        <v>18</v>
      </c>
      <c r="G1013" s="13"/>
      <c r="H1013" s="45" t="s">
        <v>16</v>
      </c>
      <c r="I1013" s="47"/>
      <c r="J1013" s="12" t="s">
        <v>4011</v>
      </c>
      <c r="K1013" s="13" t="s">
        <v>7813</v>
      </c>
      <c r="L1013" s="99" t="str">
        <f t="shared" si="67"/>
        <v>W223C.2</v>
      </c>
      <c r="M1013" s="13"/>
      <c r="N1013" s="13"/>
      <c r="O1013" s="13"/>
      <c r="P1013" s="47"/>
      <c r="Q1013" s="45"/>
      <c r="R1013" s="45"/>
      <c r="S1013" s="48"/>
      <c r="T1013" s="49" t="str">
        <f t="shared" si="66"/>
        <v>[W223C.2]</v>
      </c>
      <c r="U1013" s="12" t="str">
        <f t="shared" si="65"/>
        <v/>
      </c>
      <c r="V1013" s="49" t="str">
        <f t="shared" si="68"/>
        <v>[W223C.2]</v>
      </c>
    </row>
    <row r="1014" spans="1:22" s="49" customFormat="1" ht="14.15" customHeight="1">
      <c r="A1014" s="44"/>
      <c r="B1014" s="44" t="s">
        <v>157</v>
      </c>
      <c r="C1014" s="50"/>
      <c r="D1014" s="10" t="s">
        <v>29</v>
      </c>
      <c r="E1014" s="11"/>
      <c r="F1014" s="11" t="s">
        <v>18</v>
      </c>
      <c r="G1014" s="13"/>
      <c r="H1014" s="45" t="s">
        <v>16</v>
      </c>
      <c r="I1014" s="47"/>
      <c r="J1014" s="12" t="s">
        <v>4012</v>
      </c>
      <c r="K1014" s="13" t="s">
        <v>7814</v>
      </c>
      <c r="L1014" s="99" t="str">
        <f t="shared" si="67"/>
        <v>W223C.3</v>
      </c>
      <c r="M1014" s="13"/>
      <c r="N1014" s="13"/>
      <c r="O1014" s="13"/>
      <c r="P1014" s="47"/>
      <c r="Q1014" s="45"/>
      <c r="R1014" s="45"/>
      <c r="S1014" s="48"/>
      <c r="T1014" s="49" t="str">
        <f t="shared" si="66"/>
        <v>[W223C.3]</v>
      </c>
      <c r="U1014" s="12" t="str">
        <f t="shared" si="65"/>
        <v/>
      </c>
      <c r="V1014" s="49" t="str">
        <f t="shared" si="68"/>
        <v>[W223C.3]</v>
      </c>
    </row>
    <row r="1015" spans="1:22" s="49" customFormat="1" ht="14.15" customHeight="1">
      <c r="A1015" s="44"/>
      <c r="B1015" s="44" t="s">
        <v>157</v>
      </c>
      <c r="C1015" s="50"/>
      <c r="D1015" s="10" t="s">
        <v>29</v>
      </c>
      <c r="E1015" s="11"/>
      <c r="F1015" s="11" t="s">
        <v>18</v>
      </c>
      <c r="G1015" s="13"/>
      <c r="H1015" s="45" t="s">
        <v>16</v>
      </c>
      <c r="I1015" s="47"/>
      <c r="J1015" s="12" t="s">
        <v>4013</v>
      </c>
      <c r="K1015" s="13" t="s">
        <v>7815</v>
      </c>
      <c r="L1015" s="99" t="str">
        <f t="shared" si="67"/>
        <v>W223C.4</v>
      </c>
      <c r="M1015" s="13"/>
      <c r="N1015" s="13"/>
      <c r="O1015" s="13"/>
      <c r="P1015" s="47"/>
      <c r="Q1015" s="45"/>
      <c r="R1015" s="45"/>
      <c r="S1015" s="48"/>
      <c r="T1015" s="49" t="str">
        <f t="shared" si="66"/>
        <v>[W223C.4]</v>
      </c>
      <c r="U1015" s="12" t="str">
        <f t="shared" si="65"/>
        <v/>
      </c>
      <c r="V1015" s="49" t="str">
        <f t="shared" si="68"/>
        <v>[W223C.4]</v>
      </c>
    </row>
    <row r="1016" spans="1:22" s="49" customFormat="1" ht="14.15" customHeight="1">
      <c r="A1016" s="44"/>
      <c r="B1016" s="44" t="s">
        <v>157</v>
      </c>
      <c r="C1016" s="50"/>
      <c r="D1016" s="10" t="s">
        <v>29</v>
      </c>
      <c r="E1016" s="11"/>
      <c r="F1016" s="11" t="s">
        <v>18</v>
      </c>
      <c r="G1016" s="13"/>
      <c r="H1016" s="45" t="s">
        <v>16</v>
      </c>
      <c r="I1016" s="47"/>
      <c r="J1016" s="12" t="s">
        <v>4014</v>
      </c>
      <c r="K1016" s="13" t="s">
        <v>7816</v>
      </c>
      <c r="L1016" s="99" t="str">
        <f t="shared" si="67"/>
        <v>W223C.5</v>
      </c>
      <c r="M1016" s="13"/>
      <c r="N1016" s="13"/>
      <c r="O1016" s="13"/>
      <c r="P1016" s="47"/>
      <c r="Q1016" s="45"/>
      <c r="R1016" s="45"/>
      <c r="S1016" s="48"/>
      <c r="T1016" s="49" t="str">
        <f t="shared" si="66"/>
        <v>[W223C.5]</v>
      </c>
      <c r="U1016" s="12" t="str">
        <f t="shared" ref="U1016:U1079" si="69">RIGHT(J1016,LEN(J1016)-7)</f>
        <v/>
      </c>
      <c r="V1016" s="49" t="str">
        <f t="shared" si="68"/>
        <v>[W223C.5]</v>
      </c>
    </row>
    <row r="1017" spans="1:22" s="49" customFormat="1" ht="14.15" customHeight="1">
      <c r="A1017" s="44"/>
      <c r="B1017" s="44" t="s">
        <v>157</v>
      </c>
      <c r="C1017" s="50"/>
      <c r="D1017" s="10" t="s">
        <v>29</v>
      </c>
      <c r="E1017" s="11"/>
      <c r="F1017" s="11" t="s">
        <v>18</v>
      </c>
      <c r="G1017" s="13"/>
      <c r="H1017" s="45" t="s">
        <v>16</v>
      </c>
      <c r="I1017" s="47"/>
      <c r="J1017" s="12" t="s">
        <v>4015</v>
      </c>
      <c r="K1017" s="13" t="s">
        <v>7817</v>
      </c>
      <c r="L1017" s="99" t="str">
        <f t="shared" si="67"/>
        <v>W223C.6</v>
      </c>
      <c r="M1017" s="13"/>
      <c r="N1017" s="13"/>
      <c r="O1017" s="13"/>
      <c r="P1017" s="47"/>
      <c r="Q1017" s="45"/>
      <c r="R1017" s="45"/>
      <c r="S1017" s="48"/>
      <c r="T1017" s="49" t="str">
        <f t="shared" si="66"/>
        <v>[W223C.6]</v>
      </c>
      <c r="U1017" s="12" t="str">
        <f t="shared" si="69"/>
        <v/>
      </c>
      <c r="V1017" s="49" t="str">
        <f t="shared" si="68"/>
        <v>[W223C.6]</v>
      </c>
    </row>
    <row r="1018" spans="1:22" s="49" customFormat="1" ht="14.15" customHeight="1">
      <c r="A1018" s="44"/>
      <c r="B1018" s="44" t="s">
        <v>157</v>
      </c>
      <c r="C1018" s="50"/>
      <c r="D1018" s="10" t="s">
        <v>29</v>
      </c>
      <c r="E1018" s="11"/>
      <c r="F1018" s="11" t="s">
        <v>18</v>
      </c>
      <c r="G1018" s="13"/>
      <c r="H1018" s="45" t="s">
        <v>16</v>
      </c>
      <c r="I1018" s="47"/>
      <c r="J1018" s="12" t="s">
        <v>4016</v>
      </c>
      <c r="K1018" s="13" t="s">
        <v>7818</v>
      </c>
      <c r="L1018" s="99" t="str">
        <f t="shared" si="67"/>
        <v>W223C.7</v>
      </c>
      <c r="M1018" s="13"/>
      <c r="N1018" s="13"/>
      <c r="O1018" s="13"/>
      <c r="P1018" s="47"/>
      <c r="Q1018" s="45"/>
      <c r="R1018" s="45"/>
      <c r="S1018" s="48"/>
      <c r="T1018" s="49" t="str">
        <f t="shared" si="66"/>
        <v>[W223C.7]</v>
      </c>
      <c r="U1018" s="12" t="str">
        <f t="shared" si="69"/>
        <v/>
      </c>
      <c r="V1018" s="49" t="str">
        <f t="shared" si="68"/>
        <v>[W223C.7]</v>
      </c>
    </row>
    <row r="1019" spans="1:22" s="49" customFormat="1" ht="14.15" customHeight="1">
      <c r="A1019" s="44"/>
      <c r="B1019" s="44" t="s">
        <v>157</v>
      </c>
      <c r="C1019" s="50"/>
      <c r="D1019" s="10" t="s">
        <v>29</v>
      </c>
      <c r="E1019" s="11"/>
      <c r="F1019" s="11" t="s">
        <v>18</v>
      </c>
      <c r="G1019" s="13"/>
      <c r="H1019" s="45" t="s">
        <v>16</v>
      </c>
      <c r="I1019" s="47"/>
      <c r="J1019" s="12" t="s">
        <v>4017</v>
      </c>
      <c r="K1019" s="13" t="s">
        <v>7819</v>
      </c>
      <c r="L1019" s="99" t="str">
        <f t="shared" si="67"/>
        <v>W223C.8</v>
      </c>
      <c r="M1019" s="13"/>
      <c r="N1019" s="13"/>
      <c r="O1019" s="13"/>
      <c r="P1019" s="47"/>
      <c r="Q1019" s="45"/>
      <c r="R1019" s="45"/>
      <c r="S1019" s="48"/>
      <c r="T1019" s="49" t="str">
        <f t="shared" si="66"/>
        <v>[W223C.8]</v>
      </c>
      <c r="U1019" s="12" t="str">
        <f t="shared" si="69"/>
        <v/>
      </c>
      <c r="V1019" s="49" t="str">
        <f t="shared" si="68"/>
        <v>[W223C.8]</v>
      </c>
    </row>
    <row r="1020" spans="1:22" s="49" customFormat="1" ht="14.15" customHeight="1">
      <c r="A1020" s="43"/>
      <c r="B1020" s="44" t="s">
        <v>157</v>
      </c>
      <c r="C1020" s="50"/>
      <c r="D1020" s="10" t="s">
        <v>29</v>
      </c>
      <c r="E1020" s="11"/>
      <c r="F1020" s="11" t="s">
        <v>18</v>
      </c>
      <c r="G1020" s="13"/>
      <c r="H1020" s="45" t="s">
        <v>16</v>
      </c>
      <c r="I1020" s="47"/>
      <c r="J1020" s="12" t="s">
        <v>4018</v>
      </c>
      <c r="K1020" s="13" t="s">
        <v>7820</v>
      </c>
      <c r="L1020" s="99" t="str">
        <f t="shared" si="67"/>
        <v>W223C.9</v>
      </c>
      <c r="M1020" s="13"/>
      <c r="N1020" s="13"/>
      <c r="O1020" s="13"/>
      <c r="P1020" s="47"/>
      <c r="Q1020" s="45"/>
      <c r="R1020" s="45"/>
      <c r="S1020" s="48"/>
      <c r="T1020" s="49" t="str">
        <f t="shared" si="66"/>
        <v>[W223C.9]</v>
      </c>
      <c r="U1020" s="12" t="str">
        <f t="shared" si="69"/>
        <v/>
      </c>
      <c r="V1020" s="49" t="str">
        <f t="shared" si="68"/>
        <v>[W223C.9]</v>
      </c>
    </row>
    <row r="1021" spans="1:22" s="49" customFormat="1" ht="14.15" customHeight="1">
      <c r="A1021" s="43"/>
      <c r="B1021" s="44" t="s">
        <v>157</v>
      </c>
      <c r="C1021" s="50"/>
      <c r="D1021" s="10" t="s">
        <v>29</v>
      </c>
      <c r="E1021" s="11"/>
      <c r="F1021" s="11" t="s">
        <v>18</v>
      </c>
      <c r="G1021" s="13"/>
      <c r="H1021" s="45" t="s">
        <v>16</v>
      </c>
      <c r="I1021" s="47"/>
      <c r="J1021" s="12" t="s">
        <v>4019</v>
      </c>
      <c r="K1021" s="13" t="s">
        <v>7821</v>
      </c>
      <c r="L1021" s="99" t="str">
        <f t="shared" si="67"/>
        <v>W223C.A</v>
      </c>
      <c r="M1021" s="13"/>
      <c r="N1021" s="13"/>
      <c r="O1021" s="13"/>
      <c r="P1021" s="47"/>
      <c r="Q1021" s="45"/>
      <c r="R1021" s="45"/>
      <c r="S1021" s="48"/>
      <c r="T1021" s="49" t="str">
        <f t="shared" si="66"/>
        <v>[W223C.A]</v>
      </c>
      <c r="U1021" s="12" t="str">
        <f t="shared" si="69"/>
        <v/>
      </c>
      <c r="V1021" s="49" t="str">
        <f t="shared" si="68"/>
        <v>[W223C.A]</v>
      </c>
    </row>
    <row r="1022" spans="1:22" s="49" customFormat="1" ht="14.15" customHeight="1">
      <c r="A1022" s="43"/>
      <c r="B1022" s="44" t="s">
        <v>157</v>
      </c>
      <c r="C1022" s="50"/>
      <c r="D1022" s="10" t="s">
        <v>29</v>
      </c>
      <c r="E1022" s="11"/>
      <c r="F1022" s="11" t="s">
        <v>18</v>
      </c>
      <c r="G1022" s="13"/>
      <c r="H1022" s="45" t="s">
        <v>16</v>
      </c>
      <c r="I1022" s="47"/>
      <c r="J1022" s="12" t="s">
        <v>4020</v>
      </c>
      <c r="K1022" s="13" t="s">
        <v>7822</v>
      </c>
      <c r="L1022" s="99" t="str">
        <f t="shared" si="67"/>
        <v>W223C.B</v>
      </c>
      <c r="M1022" s="13"/>
      <c r="N1022" s="13"/>
      <c r="O1022" s="13"/>
      <c r="P1022" s="47"/>
      <c r="Q1022" s="45"/>
      <c r="R1022" s="45"/>
      <c r="S1022" s="48"/>
      <c r="T1022" s="49" t="str">
        <f t="shared" si="66"/>
        <v>[W223C.B]</v>
      </c>
      <c r="U1022" s="12" t="str">
        <f t="shared" si="69"/>
        <v/>
      </c>
      <c r="V1022" s="49" t="str">
        <f t="shared" si="68"/>
        <v>[W223C.B]</v>
      </c>
    </row>
    <row r="1023" spans="1:22" s="49" customFormat="1" ht="14.15" customHeight="1">
      <c r="A1023" s="44"/>
      <c r="B1023" s="44" t="s">
        <v>157</v>
      </c>
      <c r="C1023" s="50"/>
      <c r="D1023" s="10" t="s">
        <v>29</v>
      </c>
      <c r="E1023" s="11"/>
      <c r="F1023" s="11" t="s">
        <v>18</v>
      </c>
      <c r="G1023" s="13"/>
      <c r="H1023" s="45" t="s">
        <v>16</v>
      </c>
      <c r="I1023" s="47"/>
      <c r="J1023" s="12" t="s">
        <v>4021</v>
      </c>
      <c r="K1023" s="13" t="s">
        <v>7823</v>
      </c>
      <c r="L1023" s="99" t="str">
        <f t="shared" si="67"/>
        <v>W223C.C</v>
      </c>
      <c r="M1023" s="13"/>
      <c r="N1023" s="13"/>
      <c r="O1023" s="13"/>
      <c r="P1023" s="47"/>
      <c r="Q1023" s="45"/>
      <c r="R1023" s="45"/>
      <c r="S1023" s="48"/>
      <c r="T1023" s="49" t="str">
        <f t="shared" si="66"/>
        <v>[W223C.C]</v>
      </c>
      <c r="U1023" s="12" t="str">
        <f t="shared" si="69"/>
        <v/>
      </c>
      <c r="V1023" s="49" t="str">
        <f t="shared" si="68"/>
        <v>[W223C.C]</v>
      </c>
    </row>
    <row r="1024" spans="1:22" s="49" customFormat="1" ht="14.15" customHeight="1">
      <c r="A1024" s="43"/>
      <c r="B1024" s="44" t="s">
        <v>157</v>
      </c>
      <c r="C1024" s="50"/>
      <c r="D1024" s="10" t="s">
        <v>29</v>
      </c>
      <c r="E1024" s="11"/>
      <c r="F1024" s="11" t="s">
        <v>18</v>
      </c>
      <c r="G1024" s="13"/>
      <c r="H1024" s="45" t="s">
        <v>16</v>
      </c>
      <c r="I1024" s="47"/>
      <c r="J1024" s="12" t="s">
        <v>4022</v>
      </c>
      <c r="K1024" s="13" t="s">
        <v>7824</v>
      </c>
      <c r="L1024" s="99" t="str">
        <f t="shared" si="67"/>
        <v>W223C.D</v>
      </c>
      <c r="M1024" s="13"/>
      <c r="N1024" s="13"/>
      <c r="O1024" s="13"/>
      <c r="P1024" s="47"/>
      <c r="Q1024" s="45"/>
      <c r="R1024" s="45"/>
      <c r="S1024" s="48"/>
      <c r="T1024" s="49" t="str">
        <f t="shared" si="66"/>
        <v>[W223C.D]</v>
      </c>
      <c r="U1024" s="12" t="str">
        <f t="shared" si="69"/>
        <v/>
      </c>
      <c r="V1024" s="49" t="str">
        <f t="shared" si="68"/>
        <v>[W223C.D]</v>
      </c>
    </row>
    <row r="1025" spans="1:22" s="49" customFormat="1" ht="14.15" customHeight="1">
      <c r="A1025" s="44"/>
      <c r="B1025" s="44" t="s">
        <v>157</v>
      </c>
      <c r="C1025" s="50"/>
      <c r="D1025" s="10" t="s">
        <v>29</v>
      </c>
      <c r="E1025" s="11"/>
      <c r="F1025" s="11" t="s">
        <v>18</v>
      </c>
      <c r="G1025" s="13"/>
      <c r="H1025" s="45" t="s">
        <v>16</v>
      </c>
      <c r="I1025" s="47"/>
      <c r="J1025" s="12" t="s">
        <v>4023</v>
      </c>
      <c r="K1025" s="13" t="s">
        <v>7825</v>
      </c>
      <c r="L1025" s="99" t="str">
        <f t="shared" si="67"/>
        <v>W223C.E</v>
      </c>
      <c r="M1025" s="13"/>
      <c r="N1025" s="13"/>
      <c r="O1025" s="13"/>
      <c r="P1025" s="47"/>
      <c r="Q1025" s="45"/>
      <c r="R1025" s="45"/>
      <c r="S1025" s="48"/>
      <c r="T1025" s="49" t="str">
        <f t="shared" si="66"/>
        <v>[W223C.E]</v>
      </c>
      <c r="U1025" s="12" t="str">
        <f t="shared" si="69"/>
        <v/>
      </c>
      <c r="V1025" s="49" t="str">
        <f t="shared" si="68"/>
        <v>[W223C.E]</v>
      </c>
    </row>
    <row r="1026" spans="1:22" s="49" customFormat="1" ht="14.15" customHeight="1">
      <c r="A1026" s="44"/>
      <c r="B1026" s="44" t="s">
        <v>157</v>
      </c>
      <c r="C1026" s="50"/>
      <c r="D1026" s="10" t="s">
        <v>29</v>
      </c>
      <c r="E1026" s="11"/>
      <c r="F1026" s="11" t="s">
        <v>18</v>
      </c>
      <c r="G1026" s="13"/>
      <c r="H1026" s="45" t="s">
        <v>16</v>
      </c>
      <c r="I1026" s="47"/>
      <c r="J1026" s="12" t="s">
        <v>4024</v>
      </c>
      <c r="K1026" s="13" t="s">
        <v>7826</v>
      </c>
      <c r="L1026" s="99" t="str">
        <f t="shared" si="67"/>
        <v>W223C.F</v>
      </c>
      <c r="M1026" s="13"/>
      <c r="N1026" s="13"/>
      <c r="O1026" s="13"/>
      <c r="P1026" s="47"/>
      <c r="Q1026" s="45"/>
      <c r="R1026" s="45"/>
      <c r="S1026" s="48"/>
      <c r="T1026" s="49" t="str">
        <f t="shared" si="66"/>
        <v>[W223C.F]</v>
      </c>
      <c r="U1026" s="12" t="str">
        <f t="shared" si="69"/>
        <v/>
      </c>
      <c r="V1026" s="49" t="str">
        <f t="shared" si="68"/>
        <v>[W223C.F]</v>
      </c>
    </row>
    <row r="1027" spans="1:22" s="49" customFormat="1" ht="14.15" customHeight="1">
      <c r="A1027" s="44"/>
      <c r="B1027" s="44" t="s">
        <v>157</v>
      </c>
      <c r="C1027" s="50"/>
      <c r="D1027" s="10" t="s">
        <v>29</v>
      </c>
      <c r="E1027" s="11"/>
      <c r="F1027" s="11" t="s">
        <v>18</v>
      </c>
      <c r="G1027" s="13"/>
      <c r="H1027" s="45" t="s">
        <v>16</v>
      </c>
      <c r="I1027" s="47"/>
      <c r="J1027" s="12" t="s">
        <v>4025</v>
      </c>
      <c r="K1027" s="13" t="s">
        <v>7827</v>
      </c>
      <c r="L1027" s="99" t="str">
        <f t="shared" si="67"/>
        <v>W223D.0</v>
      </c>
      <c r="M1027" s="13"/>
      <c r="N1027" s="13"/>
      <c r="O1027" s="13"/>
      <c r="P1027" s="47"/>
      <c r="Q1027" s="45"/>
      <c r="R1027" s="45"/>
      <c r="S1027" s="48"/>
      <c r="T1027" s="49" t="str">
        <f t="shared" si="66"/>
        <v>[W223D.0]</v>
      </c>
      <c r="U1027" s="12" t="str">
        <f t="shared" si="69"/>
        <v/>
      </c>
      <c r="V1027" s="49" t="str">
        <f t="shared" si="68"/>
        <v>[W223D.0]</v>
      </c>
    </row>
    <row r="1028" spans="1:22" s="49" customFormat="1" ht="14.15" customHeight="1">
      <c r="A1028" s="44"/>
      <c r="B1028" s="44" t="s">
        <v>157</v>
      </c>
      <c r="C1028" s="50"/>
      <c r="D1028" s="10" t="s">
        <v>29</v>
      </c>
      <c r="E1028" s="11"/>
      <c r="F1028" s="11" t="s">
        <v>18</v>
      </c>
      <c r="G1028" s="13"/>
      <c r="H1028" s="45" t="s">
        <v>16</v>
      </c>
      <c r="I1028" s="47"/>
      <c r="J1028" s="12" t="s">
        <v>4026</v>
      </c>
      <c r="K1028" s="13" t="s">
        <v>7828</v>
      </c>
      <c r="L1028" s="99" t="str">
        <f t="shared" si="67"/>
        <v>W223D.1</v>
      </c>
      <c r="M1028" s="13"/>
      <c r="N1028" s="13"/>
      <c r="O1028" s="13"/>
      <c r="P1028" s="47"/>
      <c r="Q1028" s="45"/>
      <c r="R1028" s="45"/>
      <c r="S1028" s="48"/>
      <c r="T1028" s="49" t="str">
        <f t="shared" si="66"/>
        <v>[W223D.1]</v>
      </c>
      <c r="U1028" s="12" t="str">
        <f t="shared" si="69"/>
        <v/>
      </c>
      <c r="V1028" s="49" t="str">
        <f t="shared" si="68"/>
        <v>[W223D.1]</v>
      </c>
    </row>
    <row r="1029" spans="1:22" s="49" customFormat="1" ht="14.15" customHeight="1">
      <c r="A1029" s="43"/>
      <c r="B1029" s="44" t="s">
        <v>157</v>
      </c>
      <c r="C1029" s="50"/>
      <c r="D1029" s="10" t="s">
        <v>29</v>
      </c>
      <c r="E1029" s="11"/>
      <c r="F1029" s="11" t="s">
        <v>18</v>
      </c>
      <c r="G1029" s="13"/>
      <c r="H1029" s="45" t="s">
        <v>16</v>
      </c>
      <c r="I1029" s="47"/>
      <c r="J1029" s="12" t="s">
        <v>4027</v>
      </c>
      <c r="K1029" s="13" t="s">
        <v>7829</v>
      </c>
      <c r="L1029" s="99" t="str">
        <f t="shared" si="67"/>
        <v>W223D.2</v>
      </c>
      <c r="M1029" s="13"/>
      <c r="N1029" s="13"/>
      <c r="O1029" s="13"/>
      <c r="P1029" s="47"/>
      <c r="Q1029" s="45"/>
      <c r="R1029" s="45"/>
      <c r="S1029" s="48"/>
      <c r="T1029" s="49" t="str">
        <f t="shared" si="66"/>
        <v>[W223D.2]</v>
      </c>
      <c r="U1029" s="12" t="str">
        <f t="shared" si="69"/>
        <v/>
      </c>
      <c r="V1029" s="49" t="str">
        <f t="shared" si="68"/>
        <v>[W223D.2]</v>
      </c>
    </row>
    <row r="1030" spans="1:22" s="49" customFormat="1" ht="14.15" customHeight="1">
      <c r="A1030" s="44"/>
      <c r="B1030" s="44" t="s">
        <v>157</v>
      </c>
      <c r="C1030" s="50"/>
      <c r="D1030" s="10" t="s">
        <v>29</v>
      </c>
      <c r="E1030" s="11"/>
      <c r="F1030" s="11" t="s">
        <v>18</v>
      </c>
      <c r="G1030" s="13"/>
      <c r="H1030" s="45" t="s">
        <v>16</v>
      </c>
      <c r="I1030" s="47"/>
      <c r="J1030" s="12" t="s">
        <v>4028</v>
      </c>
      <c r="K1030" s="13" t="s">
        <v>7830</v>
      </c>
      <c r="L1030" s="99" t="str">
        <f t="shared" si="67"/>
        <v>W223D.3</v>
      </c>
      <c r="M1030" s="13"/>
      <c r="N1030" s="13"/>
      <c r="O1030" s="13"/>
      <c r="P1030" s="47"/>
      <c r="Q1030" s="45"/>
      <c r="R1030" s="45"/>
      <c r="S1030" s="48"/>
      <c r="T1030" s="49" t="str">
        <f t="shared" si="66"/>
        <v>[W223D.3]</v>
      </c>
      <c r="U1030" s="12" t="str">
        <f t="shared" si="69"/>
        <v/>
      </c>
      <c r="V1030" s="49" t="str">
        <f t="shared" si="68"/>
        <v>[W223D.3]</v>
      </c>
    </row>
    <row r="1031" spans="1:22" s="49" customFormat="1" ht="14.15" customHeight="1">
      <c r="A1031" s="44"/>
      <c r="B1031" s="44" t="s">
        <v>157</v>
      </c>
      <c r="C1031" s="50"/>
      <c r="D1031" s="10" t="s">
        <v>29</v>
      </c>
      <c r="E1031" s="11"/>
      <c r="F1031" s="11" t="s">
        <v>18</v>
      </c>
      <c r="G1031" s="13"/>
      <c r="H1031" s="45" t="s">
        <v>16</v>
      </c>
      <c r="I1031" s="47"/>
      <c r="J1031" s="12" t="s">
        <v>4029</v>
      </c>
      <c r="K1031" s="13" t="s">
        <v>7831</v>
      </c>
      <c r="L1031" s="99" t="str">
        <f t="shared" si="67"/>
        <v>W223D.4</v>
      </c>
      <c r="M1031" s="13"/>
      <c r="N1031" s="13"/>
      <c r="O1031" s="13"/>
      <c r="P1031" s="47"/>
      <c r="Q1031" s="45"/>
      <c r="R1031" s="45"/>
      <c r="S1031" s="48"/>
      <c r="T1031" s="49" t="str">
        <f t="shared" si="66"/>
        <v>[W223D.4]</v>
      </c>
      <c r="U1031" s="12" t="str">
        <f t="shared" si="69"/>
        <v/>
      </c>
      <c r="V1031" s="49" t="str">
        <f t="shared" si="68"/>
        <v>[W223D.4]</v>
      </c>
    </row>
    <row r="1032" spans="1:22" s="49" customFormat="1" ht="14.15" customHeight="1">
      <c r="A1032" s="44"/>
      <c r="B1032" s="44" t="s">
        <v>157</v>
      </c>
      <c r="C1032" s="50"/>
      <c r="D1032" s="10" t="s">
        <v>29</v>
      </c>
      <c r="E1032" s="11"/>
      <c r="F1032" s="11" t="s">
        <v>18</v>
      </c>
      <c r="G1032" s="13"/>
      <c r="H1032" s="45" t="s">
        <v>16</v>
      </c>
      <c r="I1032" s="47"/>
      <c r="J1032" s="12" t="s">
        <v>4030</v>
      </c>
      <c r="K1032" s="13" t="s">
        <v>7832</v>
      </c>
      <c r="L1032" s="99" t="str">
        <f t="shared" si="67"/>
        <v>W223D.5</v>
      </c>
      <c r="M1032" s="13"/>
      <c r="N1032" s="13"/>
      <c r="O1032" s="13"/>
      <c r="P1032" s="47"/>
      <c r="Q1032" s="45"/>
      <c r="R1032" s="45"/>
      <c r="S1032" s="48"/>
      <c r="T1032" s="49" t="str">
        <f t="shared" si="66"/>
        <v>[W223D.5]</v>
      </c>
      <c r="U1032" s="12" t="str">
        <f t="shared" si="69"/>
        <v/>
      </c>
      <c r="V1032" s="49" t="str">
        <f t="shared" si="68"/>
        <v>[W223D.5]</v>
      </c>
    </row>
    <row r="1033" spans="1:22" s="49" customFormat="1" ht="14.15" customHeight="1">
      <c r="A1033" s="44"/>
      <c r="B1033" s="44" t="s">
        <v>157</v>
      </c>
      <c r="C1033" s="50"/>
      <c r="D1033" s="10" t="s">
        <v>29</v>
      </c>
      <c r="E1033" s="11"/>
      <c r="F1033" s="11" t="s">
        <v>18</v>
      </c>
      <c r="G1033" s="13"/>
      <c r="H1033" s="45" t="s">
        <v>16</v>
      </c>
      <c r="I1033" s="47"/>
      <c r="J1033" s="12" t="s">
        <v>4031</v>
      </c>
      <c r="K1033" s="13" t="s">
        <v>7833</v>
      </c>
      <c r="L1033" s="99" t="str">
        <f t="shared" si="67"/>
        <v>W223D.6</v>
      </c>
      <c r="M1033" s="13"/>
      <c r="N1033" s="13"/>
      <c r="O1033" s="13"/>
      <c r="P1033" s="47"/>
      <c r="Q1033" s="45"/>
      <c r="R1033" s="45"/>
      <c r="S1033" s="48"/>
      <c r="T1033" s="49" t="str">
        <f t="shared" si="66"/>
        <v>[W223D.6]</v>
      </c>
      <c r="U1033" s="12" t="str">
        <f t="shared" si="69"/>
        <v/>
      </c>
      <c r="V1033" s="49" t="str">
        <f t="shared" si="68"/>
        <v>[W223D.6]</v>
      </c>
    </row>
    <row r="1034" spans="1:22" s="49" customFormat="1" ht="14.15" customHeight="1">
      <c r="A1034" s="44"/>
      <c r="B1034" s="44" t="s">
        <v>157</v>
      </c>
      <c r="C1034" s="50"/>
      <c r="D1034" s="10" t="s">
        <v>29</v>
      </c>
      <c r="E1034" s="11"/>
      <c r="F1034" s="11" t="s">
        <v>18</v>
      </c>
      <c r="G1034" s="13"/>
      <c r="H1034" s="45" t="s">
        <v>16</v>
      </c>
      <c r="I1034" s="47"/>
      <c r="J1034" s="12" t="s">
        <v>4032</v>
      </c>
      <c r="K1034" s="13" t="s">
        <v>7834</v>
      </c>
      <c r="L1034" s="99" t="str">
        <f t="shared" si="67"/>
        <v>W223D.7</v>
      </c>
      <c r="M1034" s="13"/>
      <c r="N1034" s="13"/>
      <c r="O1034" s="13"/>
      <c r="P1034" s="47"/>
      <c r="Q1034" s="45"/>
      <c r="R1034" s="45"/>
      <c r="S1034" s="48"/>
      <c r="T1034" s="49" t="str">
        <f t="shared" si="66"/>
        <v>[W223D.7]</v>
      </c>
      <c r="U1034" s="12" t="str">
        <f t="shared" si="69"/>
        <v/>
      </c>
      <c r="V1034" s="49" t="str">
        <f t="shared" si="68"/>
        <v>[W223D.7]</v>
      </c>
    </row>
    <row r="1035" spans="1:22" s="49" customFormat="1" ht="14.15" customHeight="1">
      <c r="A1035" s="44"/>
      <c r="B1035" s="44" t="s">
        <v>157</v>
      </c>
      <c r="C1035" s="50"/>
      <c r="D1035" s="10" t="s">
        <v>29</v>
      </c>
      <c r="E1035" s="11"/>
      <c r="F1035" s="11" t="s">
        <v>18</v>
      </c>
      <c r="G1035" s="13"/>
      <c r="H1035" s="45" t="s">
        <v>16</v>
      </c>
      <c r="I1035" s="47"/>
      <c r="J1035" s="12" t="s">
        <v>4033</v>
      </c>
      <c r="K1035" s="13" t="s">
        <v>7835</v>
      </c>
      <c r="L1035" s="99" t="str">
        <f t="shared" si="67"/>
        <v>W223D.8</v>
      </c>
      <c r="M1035" s="13"/>
      <c r="N1035" s="13"/>
      <c r="O1035" s="13"/>
      <c r="P1035" s="47"/>
      <c r="Q1035" s="45"/>
      <c r="R1035" s="45"/>
      <c r="S1035" s="48"/>
      <c r="T1035" s="49" t="str">
        <f t="shared" si="66"/>
        <v>[W223D.8]</v>
      </c>
      <c r="U1035" s="12" t="str">
        <f t="shared" si="69"/>
        <v/>
      </c>
      <c r="V1035" s="49" t="str">
        <f t="shared" si="68"/>
        <v>[W223D.8]</v>
      </c>
    </row>
    <row r="1036" spans="1:22" s="49" customFormat="1" ht="14.15" customHeight="1">
      <c r="A1036" s="44"/>
      <c r="B1036" s="44" t="s">
        <v>157</v>
      </c>
      <c r="C1036" s="50"/>
      <c r="D1036" s="10" t="s">
        <v>29</v>
      </c>
      <c r="E1036" s="11"/>
      <c r="F1036" s="11" t="s">
        <v>18</v>
      </c>
      <c r="G1036" s="13"/>
      <c r="H1036" s="45" t="s">
        <v>16</v>
      </c>
      <c r="I1036" s="47"/>
      <c r="J1036" s="12" t="s">
        <v>4034</v>
      </c>
      <c r="K1036" s="13" t="s">
        <v>7836</v>
      </c>
      <c r="L1036" s="99" t="str">
        <f t="shared" si="67"/>
        <v>W223D.9</v>
      </c>
      <c r="M1036" s="13"/>
      <c r="N1036" s="13"/>
      <c r="O1036" s="13"/>
      <c r="P1036" s="47"/>
      <c r="Q1036" s="45"/>
      <c r="R1036" s="45"/>
      <c r="S1036" s="48"/>
      <c r="T1036" s="49" t="str">
        <f t="shared" si="66"/>
        <v>[W223D.9]</v>
      </c>
      <c r="U1036" s="12" t="str">
        <f t="shared" si="69"/>
        <v/>
      </c>
      <c r="V1036" s="49" t="str">
        <f t="shared" si="68"/>
        <v>[W223D.9]</v>
      </c>
    </row>
    <row r="1037" spans="1:22" s="49" customFormat="1" ht="14.15" customHeight="1">
      <c r="A1037" s="44"/>
      <c r="B1037" s="44" t="s">
        <v>157</v>
      </c>
      <c r="C1037" s="50"/>
      <c r="D1037" s="10" t="s">
        <v>29</v>
      </c>
      <c r="E1037" s="11"/>
      <c r="F1037" s="11" t="s">
        <v>18</v>
      </c>
      <c r="G1037" s="13"/>
      <c r="H1037" s="45" t="s">
        <v>16</v>
      </c>
      <c r="I1037" s="47"/>
      <c r="J1037" s="12" t="s">
        <v>4035</v>
      </c>
      <c r="K1037" s="13" t="s">
        <v>7837</v>
      </c>
      <c r="L1037" s="99" t="str">
        <f t="shared" si="67"/>
        <v>W223D.A</v>
      </c>
      <c r="M1037" s="13"/>
      <c r="N1037" s="13"/>
      <c r="O1037" s="13"/>
      <c r="P1037" s="47"/>
      <c r="Q1037" s="45"/>
      <c r="R1037" s="45"/>
      <c r="S1037" s="48"/>
      <c r="T1037" s="49" t="str">
        <f t="shared" si="66"/>
        <v>[W223D.A]</v>
      </c>
      <c r="U1037" s="12" t="str">
        <f t="shared" si="69"/>
        <v/>
      </c>
      <c r="V1037" s="49" t="str">
        <f t="shared" si="68"/>
        <v>[W223D.A]</v>
      </c>
    </row>
    <row r="1038" spans="1:22" s="49" customFormat="1" ht="14.15" customHeight="1">
      <c r="A1038" s="44"/>
      <c r="B1038" s="44" t="s">
        <v>157</v>
      </c>
      <c r="C1038" s="50"/>
      <c r="D1038" s="10" t="s">
        <v>29</v>
      </c>
      <c r="E1038" s="11"/>
      <c r="F1038" s="11" t="s">
        <v>18</v>
      </c>
      <c r="G1038" s="13"/>
      <c r="H1038" s="45" t="s">
        <v>16</v>
      </c>
      <c r="I1038" s="47"/>
      <c r="J1038" s="12" t="s">
        <v>4036</v>
      </c>
      <c r="K1038" s="13" t="s">
        <v>7838</v>
      </c>
      <c r="L1038" s="99" t="str">
        <f t="shared" si="67"/>
        <v>W223D.B</v>
      </c>
      <c r="M1038" s="13"/>
      <c r="N1038" s="13"/>
      <c r="O1038" s="13"/>
      <c r="P1038" s="47"/>
      <c r="Q1038" s="45"/>
      <c r="R1038" s="45"/>
      <c r="S1038" s="48"/>
      <c r="T1038" s="49" t="str">
        <f t="shared" si="66"/>
        <v>[W223D.B]</v>
      </c>
      <c r="U1038" s="12" t="str">
        <f t="shared" si="69"/>
        <v/>
      </c>
      <c r="V1038" s="49" t="str">
        <f t="shared" si="68"/>
        <v>[W223D.B]</v>
      </c>
    </row>
    <row r="1039" spans="1:22" s="49" customFormat="1" ht="14.15" customHeight="1">
      <c r="A1039" s="44"/>
      <c r="B1039" s="44" t="s">
        <v>157</v>
      </c>
      <c r="C1039" s="50"/>
      <c r="D1039" s="10" t="s">
        <v>29</v>
      </c>
      <c r="E1039" s="11"/>
      <c r="F1039" s="11" t="s">
        <v>18</v>
      </c>
      <c r="G1039" s="13"/>
      <c r="H1039" s="45" t="s">
        <v>16</v>
      </c>
      <c r="I1039" s="47"/>
      <c r="J1039" s="12" t="s">
        <v>4037</v>
      </c>
      <c r="K1039" s="13" t="s">
        <v>7839</v>
      </c>
      <c r="L1039" s="99" t="str">
        <f t="shared" si="67"/>
        <v>W223D.C</v>
      </c>
      <c r="M1039" s="13"/>
      <c r="N1039" s="13"/>
      <c r="O1039" s="13"/>
      <c r="P1039" s="47"/>
      <c r="Q1039" s="45"/>
      <c r="R1039" s="45"/>
      <c r="S1039" s="48"/>
      <c r="T1039" s="49" t="str">
        <f>"["&amp;L1009&amp;"]"</f>
        <v>[W223B.E]</v>
      </c>
      <c r="U1039" s="12" t="str">
        <f>RIGHT(J1009,LEN(J1009)-7)</f>
        <v xml:space="preserve"> 플랜징#1 제품 체크 에러 (X479)</v>
      </c>
      <c r="V1039" s="49" t="str">
        <f>T1009&amp;U1009</f>
        <v>[W223B.E] 플랜징#1 제품 체크 에러 (X479)</v>
      </c>
    </row>
    <row r="1040" spans="1:22" s="49" customFormat="1" ht="14.15" customHeight="1">
      <c r="A1040" s="43"/>
      <c r="B1040" s="44" t="s">
        <v>157</v>
      </c>
      <c r="C1040" s="50"/>
      <c r="D1040" s="10" t="s">
        <v>29</v>
      </c>
      <c r="E1040" s="11"/>
      <c r="F1040" s="11" t="s">
        <v>18</v>
      </c>
      <c r="G1040" s="13"/>
      <c r="H1040" s="45" t="s">
        <v>16</v>
      </c>
      <c r="I1040" s="47"/>
      <c r="J1040" s="12" t="s">
        <v>4038</v>
      </c>
      <c r="K1040" s="13" t="s">
        <v>7840</v>
      </c>
      <c r="L1040" s="99" t="str">
        <f t="shared" si="67"/>
        <v>W223D.D</v>
      </c>
      <c r="M1040" s="13"/>
      <c r="N1040" s="13"/>
      <c r="O1040" s="13"/>
      <c r="P1040" s="47"/>
      <c r="Q1040" s="45"/>
      <c r="R1040" s="45"/>
      <c r="S1040" s="48"/>
      <c r="T1040" s="49" t="str">
        <f t="shared" si="66"/>
        <v>[W223D.D]</v>
      </c>
      <c r="U1040" s="12" t="str">
        <f t="shared" si="69"/>
        <v/>
      </c>
      <c r="V1040" s="49" t="str">
        <f t="shared" si="68"/>
        <v>[W223D.D]</v>
      </c>
    </row>
    <row r="1041" spans="1:22" s="49" customFormat="1" ht="14.15" customHeight="1">
      <c r="A1041" s="43"/>
      <c r="B1041" s="44" t="s">
        <v>157</v>
      </c>
      <c r="C1041" s="50"/>
      <c r="D1041" s="10" t="s">
        <v>29</v>
      </c>
      <c r="E1041" s="11"/>
      <c r="F1041" s="11" t="s">
        <v>18</v>
      </c>
      <c r="G1041" s="13"/>
      <c r="H1041" s="45" t="s">
        <v>16</v>
      </c>
      <c r="I1041" s="47"/>
      <c r="J1041" s="12" t="s">
        <v>4039</v>
      </c>
      <c r="K1041" s="13" t="s">
        <v>7841</v>
      </c>
      <c r="L1041" s="99" t="str">
        <f t="shared" si="67"/>
        <v>W223D.E</v>
      </c>
      <c r="M1041" s="13"/>
      <c r="N1041" s="13"/>
      <c r="O1041" s="13"/>
      <c r="P1041" s="47"/>
      <c r="Q1041" s="45"/>
      <c r="R1041" s="45"/>
      <c r="S1041" s="48"/>
      <c r="T1041" s="49" t="str">
        <f t="shared" si="66"/>
        <v>[W223D.E]</v>
      </c>
      <c r="U1041" s="12" t="str">
        <f t="shared" si="69"/>
        <v/>
      </c>
      <c r="V1041" s="49" t="str">
        <f t="shared" si="68"/>
        <v>[W223D.E]</v>
      </c>
    </row>
    <row r="1042" spans="1:22" s="49" customFormat="1" ht="14.15" customHeight="1">
      <c r="A1042" s="43"/>
      <c r="B1042" s="44" t="s">
        <v>157</v>
      </c>
      <c r="C1042" s="50"/>
      <c r="D1042" s="10" t="s">
        <v>29</v>
      </c>
      <c r="E1042" s="11"/>
      <c r="F1042" s="11" t="s">
        <v>18</v>
      </c>
      <c r="G1042" s="13"/>
      <c r="H1042" s="45" t="s">
        <v>16</v>
      </c>
      <c r="I1042" s="47"/>
      <c r="J1042" s="12" t="s">
        <v>4040</v>
      </c>
      <c r="K1042" s="13" t="s">
        <v>7842</v>
      </c>
      <c r="L1042" s="99" t="str">
        <f t="shared" si="67"/>
        <v>W223D.F</v>
      </c>
      <c r="M1042" s="13"/>
      <c r="N1042" s="13"/>
      <c r="O1042" s="13"/>
      <c r="P1042" s="47"/>
      <c r="Q1042" s="45"/>
      <c r="R1042" s="45"/>
      <c r="S1042" s="48"/>
      <c r="T1042" s="49" t="str">
        <f t="shared" si="66"/>
        <v>[W223D.F]</v>
      </c>
      <c r="U1042" s="12" t="str">
        <f t="shared" si="69"/>
        <v/>
      </c>
      <c r="V1042" s="49" t="str">
        <f t="shared" si="68"/>
        <v>[W223D.F]</v>
      </c>
    </row>
    <row r="1043" spans="1:22" s="49" customFormat="1" ht="14.15" customHeight="1">
      <c r="A1043" s="44"/>
      <c r="B1043" s="44" t="s">
        <v>157</v>
      </c>
      <c r="C1043" s="50"/>
      <c r="D1043" s="10" t="s">
        <v>29</v>
      </c>
      <c r="E1043" s="11"/>
      <c r="F1043" s="11" t="s">
        <v>18</v>
      </c>
      <c r="G1043" s="13"/>
      <c r="H1043" s="45" t="s">
        <v>16</v>
      </c>
      <c r="I1043" s="47"/>
      <c r="J1043" s="12" t="s">
        <v>4041</v>
      </c>
      <c r="K1043" s="13" t="s">
        <v>7843</v>
      </c>
      <c r="L1043" s="99" t="str">
        <f t="shared" si="67"/>
        <v>W223E.0</v>
      </c>
      <c r="M1043" s="13"/>
      <c r="N1043" s="13"/>
      <c r="O1043" s="13"/>
      <c r="P1043" s="47"/>
      <c r="Q1043" s="45"/>
      <c r="R1043" s="45"/>
      <c r="S1043" s="48"/>
      <c r="T1043" s="49" t="str">
        <f t="shared" si="66"/>
        <v>[W223E.0]</v>
      </c>
      <c r="U1043" s="12" t="str">
        <f t="shared" si="69"/>
        <v/>
      </c>
      <c r="V1043" s="49" t="str">
        <f t="shared" si="68"/>
        <v>[W223E.0]</v>
      </c>
    </row>
    <row r="1044" spans="1:22" s="49" customFormat="1" ht="14.15" customHeight="1">
      <c r="A1044" s="43"/>
      <c r="B1044" s="44" t="s">
        <v>157</v>
      </c>
      <c r="C1044" s="50"/>
      <c r="D1044" s="10" t="s">
        <v>29</v>
      </c>
      <c r="E1044" s="11"/>
      <c r="F1044" s="11" t="s">
        <v>18</v>
      </c>
      <c r="G1044" s="13"/>
      <c r="H1044" s="45" t="s">
        <v>16</v>
      </c>
      <c r="I1044" s="47"/>
      <c r="J1044" s="12" t="s">
        <v>4042</v>
      </c>
      <c r="K1044" s="13" t="s">
        <v>7844</v>
      </c>
      <c r="L1044" s="99" t="str">
        <f t="shared" si="67"/>
        <v>W223E.1</v>
      </c>
      <c r="M1044" s="13"/>
      <c r="N1044" s="13"/>
      <c r="O1044" s="13"/>
      <c r="P1044" s="47"/>
      <c r="Q1044" s="45"/>
      <c r="R1044" s="45"/>
      <c r="S1044" s="48"/>
      <c r="T1044" s="49" t="str">
        <f t="shared" si="66"/>
        <v>[W223E.1]</v>
      </c>
      <c r="U1044" s="12" t="str">
        <f t="shared" si="69"/>
        <v/>
      </c>
      <c r="V1044" s="49" t="str">
        <f t="shared" si="68"/>
        <v>[W223E.1]</v>
      </c>
    </row>
    <row r="1045" spans="1:22" s="49" customFormat="1" ht="14.15" customHeight="1">
      <c r="A1045" s="44"/>
      <c r="B1045" s="44" t="s">
        <v>157</v>
      </c>
      <c r="C1045" s="50"/>
      <c r="D1045" s="10" t="s">
        <v>29</v>
      </c>
      <c r="E1045" s="11"/>
      <c r="F1045" s="11" t="s">
        <v>18</v>
      </c>
      <c r="G1045" s="13"/>
      <c r="H1045" s="45" t="s">
        <v>16</v>
      </c>
      <c r="I1045" s="47"/>
      <c r="J1045" s="12" t="s">
        <v>4043</v>
      </c>
      <c r="K1045" s="13" t="s">
        <v>7845</v>
      </c>
      <c r="L1045" s="99" t="str">
        <f t="shared" si="67"/>
        <v>W223E.2</v>
      </c>
      <c r="M1045" s="13"/>
      <c r="N1045" s="13"/>
      <c r="O1045" s="13"/>
      <c r="P1045" s="47"/>
      <c r="Q1045" s="45"/>
      <c r="R1045" s="45"/>
      <c r="S1045" s="48"/>
      <c r="T1045" s="49" t="str">
        <f t="shared" si="66"/>
        <v>[W223E.2]</v>
      </c>
      <c r="U1045" s="12" t="str">
        <f t="shared" si="69"/>
        <v/>
      </c>
      <c r="V1045" s="49" t="str">
        <f t="shared" si="68"/>
        <v>[W223E.2]</v>
      </c>
    </row>
    <row r="1046" spans="1:22" s="49" customFormat="1" ht="14.15" customHeight="1">
      <c r="A1046" s="44"/>
      <c r="B1046" s="44" t="s">
        <v>157</v>
      </c>
      <c r="C1046" s="50"/>
      <c r="D1046" s="10" t="s">
        <v>29</v>
      </c>
      <c r="E1046" s="11"/>
      <c r="F1046" s="11" t="s">
        <v>18</v>
      </c>
      <c r="G1046" s="13"/>
      <c r="H1046" s="45" t="s">
        <v>16</v>
      </c>
      <c r="I1046" s="47"/>
      <c r="J1046" s="12" t="s">
        <v>4044</v>
      </c>
      <c r="K1046" s="13" t="s">
        <v>7846</v>
      </c>
      <c r="L1046" s="99" t="str">
        <f t="shared" si="67"/>
        <v>W223E.3</v>
      </c>
      <c r="M1046" s="13"/>
      <c r="N1046" s="13"/>
      <c r="O1046" s="13"/>
      <c r="P1046" s="47"/>
      <c r="Q1046" s="45"/>
      <c r="R1046" s="45"/>
      <c r="S1046" s="48"/>
      <c r="T1046" s="49" t="str">
        <f t="shared" si="66"/>
        <v>[W223E.3]</v>
      </c>
      <c r="U1046" s="12" t="str">
        <f t="shared" si="69"/>
        <v/>
      </c>
      <c r="V1046" s="49" t="str">
        <f t="shared" si="68"/>
        <v>[W223E.3]</v>
      </c>
    </row>
    <row r="1047" spans="1:22" s="49" customFormat="1" ht="14.15" customHeight="1">
      <c r="A1047" s="44"/>
      <c r="B1047" s="44" t="s">
        <v>157</v>
      </c>
      <c r="C1047" s="50"/>
      <c r="D1047" s="10" t="s">
        <v>29</v>
      </c>
      <c r="E1047" s="11"/>
      <c r="F1047" s="11" t="s">
        <v>18</v>
      </c>
      <c r="G1047" s="13"/>
      <c r="H1047" s="45" t="s">
        <v>16</v>
      </c>
      <c r="I1047" s="47"/>
      <c r="J1047" s="12" t="s">
        <v>4045</v>
      </c>
      <c r="K1047" s="13" t="s">
        <v>7847</v>
      </c>
      <c r="L1047" s="99" t="str">
        <f t="shared" si="67"/>
        <v>W223E.4</v>
      </c>
      <c r="M1047" s="13"/>
      <c r="N1047" s="13"/>
      <c r="O1047" s="13"/>
      <c r="P1047" s="47"/>
      <c r="Q1047" s="45"/>
      <c r="R1047" s="45"/>
      <c r="S1047" s="48"/>
      <c r="T1047" s="49" t="str">
        <f t="shared" si="66"/>
        <v>[W223E.4]</v>
      </c>
      <c r="U1047" s="12" t="str">
        <f t="shared" si="69"/>
        <v/>
      </c>
      <c r="V1047" s="49" t="str">
        <f t="shared" si="68"/>
        <v>[W223E.4]</v>
      </c>
    </row>
    <row r="1048" spans="1:22" s="49" customFormat="1" ht="14.15" customHeight="1">
      <c r="A1048" s="44"/>
      <c r="B1048" s="44" t="s">
        <v>157</v>
      </c>
      <c r="C1048" s="50"/>
      <c r="D1048" s="10" t="s">
        <v>29</v>
      </c>
      <c r="E1048" s="11"/>
      <c r="F1048" s="11" t="s">
        <v>18</v>
      </c>
      <c r="G1048" s="13"/>
      <c r="H1048" s="45" t="s">
        <v>16</v>
      </c>
      <c r="I1048" s="47"/>
      <c r="J1048" s="12" t="s">
        <v>4046</v>
      </c>
      <c r="K1048" s="13" t="s">
        <v>7848</v>
      </c>
      <c r="L1048" s="99" t="str">
        <f t="shared" si="67"/>
        <v>W223E.5</v>
      </c>
      <c r="M1048" s="13"/>
      <c r="N1048" s="13"/>
      <c r="O1048" s="13"/>
      <c r="P1048" s="47"/>
      <c r="Q1048" s="45"/>
      <c r="R1048" s="45"/>
      <c r="S1048" s="48"/>
      <c r="T1048" s="49" t="str">
        <f t="shared" si="66"/>
        <v>[W223E.5]</v>
      </c>
      <c r="U1048" s="12" t="str">
        <f t="shared" si="69"/>
        <v/>
      </c>
      <c r="V1048" s="49" t="str">
        <f t="shared" si="68"/>
        <v>[W223E.5]</v>
      </c>
    </row>
    <row r="1049" spans="1:22" s="49" customFormat="1" ht="14.15" customHeight="1">
      <c r="A1049" s="43"/>
      <c r="B1049" s="44" t="s">
        <v>157</v>
      </c>
      <c r="C1049" s="50"/>
      <c r="D1049" s="10" t="s">
        <v>29</v>
      </c>
      <c r="E1049" s="11"/>
      <c r="F1049" s="11" t="s">
        <v>18</v>
      </c>
      <c r="G1049" s="13"/>
      <c r="H1049" s="45" t="s">
        <v>16</v>
      </c>
      <c r="I1049" s="47"/>
      <c r="J1049" s="12" t="s">
        <v>4047</v>
      </c>
      <c r="K1049" s="13" t="s">
        <v>7849</v>
      </c>
      <c r="L1049" s="99" t="str">
        <f t="shared" si="67"/>
        <v>W223E.6</v>
      </c>
      <c r="M1049" s="13"/>
      <c r="N1049" s="13"/>
      <c r="O1049" s="13"/>
      <c r="P1049" s="47"/>
      <c r="Q1049" s="45"/>
      <c r="R1049" s="45"/>
      <c r="S1049" s="48"/>
      <c r="T1049" s="49" t="str">
        <f t="shared" si="66"/>
        <v>[W223E.6]</v>
      </c>
      <c r="U1049" s="12" t="str">
        <f t="shared" si="69"/>
        <v/>
      </c>
      <c r="V1049" s="49" t="str">
        <f t="shared" si="68"/>
        <v>[W223E.6]</v>
      </c>
    </row>
    <row r="1050" spans="1:22" s="49" customFormat="1" ht="14.15" customHeight="1">
      <c r="A1050" s="43" t="s">
        <v>5604</v>
      </c>
      <c r="B1050" s="44" t="s">
        <v>157</v>
      </c>
      <c r="C1050" s="50"/>
      <c r="D1050" s="10" t="s">
        <v>29</v>
      </c>
      <c r="E1050" s="11"/>
      <c r="F1050" s="11" t="s">
        <v>18</v>
      </c>
      <c r="G1050" s="13"/>
      <c r="H1050" s="45" t="s">
        <v>16</v>
      </c>
      <c r="I1050" s="47"/>
      <c r="J1050" s="12" t="s">
        <v>5255</v>
      </c>
      <c r="K1050" s="13" t="s">
        <v>7850</v>
      </c>
      <c r="L1050" s="99" t="str">
        <f t="shared" si="67"/>
        <v>W223E.7</v>
      </c>
      <c r="M1050" s="13" t="s">
        <v>17</v>
      </c>
      <c r="N1050" s="13"/>
      <c r="O1050" s="13"/>
      <c r="P1050" s="47"/>
      <c r="Q1050" s="45" t="s">
        <v>3672</v>
      </c>
      <c r="R1050" s="45" t="s">
        <v>5596</v>
      </c>
      <c r="S1050" s="48"/>
      <c r="T1050" s="49" t="str">
        <f t="shared" si="66"/>
        <v>[W223E.7]</v>
      </c>
      <c r="U1050" s="12" t="str">
        <f t="shared" si="69"/>
        <v xml:space="preserve"> 배출 C/V 얼라인-1 전진 시간초과 (X694, Y6A4)</v>
      </c>
      <c r="V1050" s="49" t="str">
        <f t="shared" si="68"/>
        <v>[W223E.7] 배출 C/V 얼라인-1 전진 시간초과 (X694, Y6A4)</v>
      </c>
    </row>
    <row r="1051" spans="1:22" s="49" customFormat="1" ht="14.15" customHeight="1">
      <c r="A1051" s="43" t="s">
        <v>5604</v>
      </c>
      <c r="B1051" s="44" t="s">
        <v>157</v>
      </c>
      <c r="C1051" s="50"/>
      <c r="D1051" s="10" t="s">
        <v>29</v>
      </c>
      <c r="E1051" s="11"/>
      <c r="F1051" s="11" t="s">
        <v>18</v>
      </c>
      <c r="G1051" s="13"/>
      <c r="H1051" s="45" t="s">
        <v>16</v>
      </c>
      <c r="I1051" s="47"/>
      <c r="J1051" s="12" t="s">
        <v>5256</v>
      </c>
      <c r="K1051" s="13" t="s">
        <v>7851</v>
      </c>
      <c r="L1051" s="99" t="str">
        <f t="shared" si="67"/>
        <v>W223E.8</v>
      </c>
      <c r="M1051" s="13" t="s">
        <v>17</v>
      </c>
      <c r="N1051" s="13"/>
      <c r="O1051" s="13"/>
      <c r="P1051" s="47"/>
      <c r="Q1051" s="45" t="s">
        <v>3672</v>
      </c>
      <c r="R1051" s="45" t="s">
        <v>5596</v>
      </c>
      <c r="S1051" s="48"/>
      <c r="T1051" s="49" t="str">
        <f t="shared" si="66"/>
        <v>[W223E.8]</v>
      </c>
      <c r="U1051" s="12" t="str">
        <f t="shared" si="69"/>
        <v xml:space="preserve"> 배출 C/V 얼라인-1 후진 시간초과 (X695, Y6A5)</v>
      </c>
      <c r="V1051" s="49" t="str">
        <f t="shared" si="68"/>
        <v>[W223E.8] 배출 C/V 얼라인-1 후진 시간초과 (X695, Y6A5)</v>
      </c>
    </row>
    <row r="1052" spans="1:22" s="49" customFormat="1" ht="14.15" customHeight="1">
      <c r="A1052" s="43" t="s">
        <v>5604</v>
      </c>
      <c r="B1052" s="44" t="s">
        <v>157</v>
      </c>
      <c r="C1052" s="50"/>
      <c r="D1052" s="10" t="s">
        <v>29</v>
      </c>
      <c r="E1052" s="11"/>
      <c r="F1052" s="11" t="s">
        <v>18</v>
      </c>
      <c r="G1052" s="13"/>
      <c r="H1052" s="45" t="s">
        <v>16</v>
      </c>
      <c r="I1052" s="47"/>
      <c r="J1052" s="12" t="s">
        <v>5257</v>
      </c>
      <c r="K1052" s="13" t="s">
        <v>7852</v>
      </c>
      <c r="L1052" s="99" t="str">
        <f t="shared" si="67"/>
        <v>W223E.9</v>
      </c>
      <c r="M1052" s="13" t="s">
        <v>17</v>
      </c>
      <c r="N1052" s="13"/>
      <c r="O1052" s="13"/>
      <c r="P1052" s="47"/>
      <c r="Q1052" s="45" t="s">
        <v>3672</v>
      </c>
      <c r="R1052" s="45" t="s">
        <v>5596</v>
      </c>
      <c r="S1052" s="48"/>
      <c r="T1052" s="49" t="str">
        <f t="shared" si="66"/>
        <v>[W223E.9]</v>
      </c>
      <c r="U1052" s="12" t="str">
        <f t="shared" si="69"/>
        <v xml:space="preserve"> 배출 C/V 얼라인-1 전진/후진 센서이상 (X694, X695)</v>
      </c>
      <c r="V1052" s="49" t="str">
        <f t="shared" si="68"/>
        <v>[W223E.9] 배출 C/V 얼라인-1 전진/후진 센서이상 (X694, X695)</v>
      </c>
    </row>
    <row r="1053" spans="1:22" s="49" customFormat="1" ht="14.15" customHeight="1">
      <c r="A1053" s="43" t="s">
        <v>5604</v>
      </c>
      <c r="B1053" s="44" t="s">
        <v>157</v>
      </c>
      <c r="C1053" s="50"/>
      <c r="D1053" s="10" t="s">
        <v>29</v>
      </c>
      <c r="E1053" s="11"/>
      <c r="F1053" s="11" t="s">
        <v>18</v>
      </c>
      <c r="G1053" s="13"/>
      <c r="H1053" s="45" t="s">
        <v>16</v>
      </c>
      <c r="I1053" s="47"/>
      <c r="J1053" s="12" t="s">
        <v>5258</v>
      </c>
      <c r="K1053" s="13" t="s">
        <v>7853</v>
      </c>
      <c r="L1053" s="99" t="str">
        <f t="shared" si="67"/>
        <v>W223E.A</v>
      </c>
      <c r="M1053" s="13" t="s">
        <v>17</v>
      </c>
      <c r="N1053" s="13"/>
      <c r="O1053" s="13"/>
      <c r="P1053" s="47"/>
      <c r="Q1053" s="45" t="s">
        <v>3672</v>
      </c>
      <c r="R1053" s="45" t="s">
        <v>5596</v>
      </c>
      <c r="S1053" s="48"/>
      <c r="T1053" s="49" t="str">
        <f t="shared" si="66"/>
        <v>[W223E.A]</v>
      </c>
      <c r="U1053" s="12" t="str">
        <f t="shared" si="69"/>
        <v xml:space="preserve"> 배출 C/V 얼라인-2 전진 시간초과 (X696, Y6A6)</v>
      </c>
      <c r="V1053" s="49" t="str">
        <f t="shared" si="68"/>
        <v>[W223E.A] 배출 C/V 얼라인-2 전진 시간초과 (X696, Y6A6)</v>
      </c>
    </row>
    <row r="1054" spans="1:22" s="49" customFormat="1" ht="14.15" customHeight="1">
      <c r="A1054" s="43" t="s">
        <v>5604</v>
      </c>
      <c r="B1054" s="44" t="s">
        <v>157</v>
      </c>
      <c r="C1054" s="50"/>
      <c r="D1054" s="10" t="s">
        <v>29</v>
      </c>
      <c r="E1054" s="11"/>
      <c r="F1054" s="11" t="s">
        <v>18</v>
      </c>
      <c r="G1054" s="13"/>
      <c r="H1054" s="45" t="s">
        <v>16</v>
      </c>
      <c r="I1054" s="47"/>
      <c r="J1054" s="12" t="s">
        <v>5259</v>
      </c>
      <c r="K1054" s="13" t="s">
        <v>7854</v>
      </c>
      <c r="L1054" s="99" t="str">
        <f t="shared" si="67"/>
        <v>W223E.B</v>
      </c>
      <c r="M1054" s="13" t="s">
        <v>17</v>
      </c>
      <c r="N1054" s="13"/>
      <c r="O1054" s="13"/>
      <c r="P1054" s="47"/>
      <c r="Q1054" s="45" t="s">
        <v>3672</v>
      </c>
      <c r="R1054" s="45" t="s">
        <v>5596</v>
      </c>
      <c r="S1054" s="48"/>
      <c r="T1054" s="49" t="str">
        <f t="shared" si="66"/>
        <v>[W223E.B]</v>
      </c>
      <c r="U1054" s="12" t="str">
        <f t="shared" si="69"/>
        <v xml:space="preserve"> 배출 C/V 얼라인-2 후진 시간초과 (X697, Y6A7)</v>
      </c>
      <c r="V1054" s="49" t="str">
        <f t="shared" si="68"/>
        <v>[W223E.B] 배출 C/V 얼라인-2 후진 시간초과 (X697, Y6A7)</v>
      </c>
    </row>
    <row r="1055" spans="1:22" s="49" customFormat="1" ht="14.15" customHeight="1">
      <c r="A1055" s="43" t="s">
        <v>5604</v>
      </c>
      <c r="B1055" s="44" t="s">
        <v>157</v>
      </c>
      <c r="C1055" s="50"/>
      <c r="D1055" s="10" t="s">
        <v>29</v>
      </c>
      <c r="E1055" s="11"/>
      <c r="F1055" s="11" t="s">
        <v>18</v>
      </c>
      <c r="G1055" s="13"/>
      <c r="H1055" s="45" t="s">
        <v>16</v>
      </c>
      <c r="I1055" s="47"/>
      <c r="J1055" s="12" t="s">
        <v>5260</v>
      </c>
      <c r="K1055" s="13" t="s">
        <v>7855</v>
      </c>
      <c r="L1055" s="99" t="str">
        <f t="shared" si="67"/>
        <v>W223E.C</v>
      </c>
      <c r="M1055" s="13" t="s">
        <v>17</v>
      </c>
      <c r="N1055" s="13"/>
      <c r="O1055" s="13"/>
      <c r="P1055" s="47"/>
      <c r="Q1055" s="45" t="s">
        <v>3672</v>
      </c>
      <c r="R1055" s="45" t="s">
        <v>5596</v>
      </c>
      <c r="S1055" s="48"/>
      <c r="T1055" s="49" t="str">
        <f t="shared" si="66"/>
        <v>[W223E.C]</v>
      </c>
      <c r="U1055" s="12" t="str">
        <f t="shared" si="69"/>
        <v xml:space="preserve"> 배출 C/V 얼라인-2 전진/후진 센서이상 (X696, X697)</v>
      </c>
      <c r="V1055" s="49" t="str">
        <f t="shared" si="68"/>
        <v>[W223E.C] 배출 C/V 얼라인-2 전진/후진 센서이상 (X696, X697)</v>
      </c>
    </row>
    <row r="1056" spans="1:22" s="49" customFormat="1" ht="14.15" customHeight="1">
      <c r="A1056" s="44"/>
      <c r="B1056" s="44" t="s">
        <v>157</v>
      </c>
      <c r="C1056" s="50"/>
      <c r="D1056" s="10" t="s">
        <v>29</v>
      </c>
      <c r="E1056" s="11"/>
      <c r="F1056" s="11" t="s">
        <v>18</v>
      </c>
      <c r="G1056" s="13"/>
      <c r="H1056" s="45" t="s">
        <v>16</v>
      </c>
      <c r="I1056" s="47"/>
      <c r="J1056" s="12" t="s">
        <v>4048</v>
      </c>
      <c r="K1056" s="13" t="s">
        <v>7856</v>
      </c>
      <c r="L1056" s="99" t="str">
        <f t="shared" si="67"/>
        <v>W223E.D</v>
      </c>
      <c r="M1056" s="13"/>
      <c r="N1056" s="13"/>
      <c r="O1056" s="13"/>
      <c r="P1056" s="47"/>
      <c r="Q1056" s="45"/>
      <c r="R1056" s="45"/>
      <c r="S1056" s="48"/>
      <c r="T1056" s="49" t="str">
        <f t="shared" si="66"/>
        <v>[W223E.D]</v>
      </c>
      <c r="U1056" s="12" t="str">
        <f t="shared" si="69"/>
        <v/>
      </c>
      <c r="V1056" s="49" t="str">
        <f t="shared" si="68"/>
        <v>[W223E.D]</v>
      </c>
    </row>
    <row r="1057" spans="1:22" s="49" customFormat="1" ht="14.15" customHeight="1">
      <c r="A1057" s="44"/>
      <c r="B1057" s="44" t="s">
        <v>157</v>
      </c>
      <c r="C1057" s="50"/>
      <c r="D1057" s="10" t="s">
        <v>29</v>
      </c>
      <c r="E1057" s="11"/>
      <c r="F1057" s="11" t="s">
        <v>18</v>
      </c>
      <c r="G1057" s="13"/>
      <c r="H1057" s="45" t="s">
        <v>16</v>
      </c>
      <c r="I1057" s="47"/>
      <c r="J1057" s="12" t="s">
        <v>4049</v>
      </c>
      <c r="K1057" s="13" t="s">
        <v>7857</v>
      </c>
      <c r="L1057" s="99" t="str">
        <f t="shared" si="67"/>
        <v>W223E.E</v>
      </c>
      <c r="M1057" s="13"/>
      <c r="N1057" s="13"/>
      <c r="O1057" s="13"/>
      <c r="P1057" s="47"/>
      <c r="Q1057" s="45"/>
      <c r="R1057" s="45"/>
      <c r="S1057" s="48"/>
      <c r="T1057" s="49" t="str">
        <f t="shared" si="66"/>
        <v>[W223E.E]</v>
      </c>
      <c r="U1057" s="12" t="str">
        <f t="shared" si="69"/>
        <v/>
      </c>
      <c r="V1057" s="49" t="str">
        <f t="shared" si="68"/>
        <v>[W223E.E]</v>
      </c>
    </row>
    <row r="1058" spans="1:22" s="49" customFormat="1" ht="14.15" customHeight="1">
      <c r="A1058" s="44"/>
      <c r="B1058" s="44" t="s">
        <v>157</v>
      </c>
      <c r="C1058" s="50"/>
      <c r="D1058" s="10" t="s">
        <v>29</v>
      </c>
      <c r="E1058" s="11"/>
      <c r="F1058" s="11" t="s">
        <v>18</v>
      </c>
      <c r="G1058" s="13"/>
      <c r="H1058" s="45" t="s">
        <v>16</v>
      </c>
      <c r="I1058" s="47"/>
      <c r="J1058" s="12" t="s">
        <v>4050</v>
      </c>
      <c r="K1058" s="13" t="s">
        <v>7858</v>
      </c>
      <c r="L1058" s="99" t="str">
        <f t="shared" si="67"/>
        <v>W223E.F</v>
      </c>
      <c r="M1058" s="13"/>
      <c r="N1058" s="13"/>
      <c r="O1058" s="13"/>
      <c r="P1058" s="47"/>
      <c r="Q1058" s="45"/>
      <c r="R1058" s="45"/>
      <c r="S1058" s="48"/>
      <c r="T1058" s="49" t="str">
        <f t="shared" si="66"/>
        <v>[W223E.F]</v>
      </c>
      <c r="U1058" s="12" t="str">
        <f t="shared" si="69"/>
        <v/>
      </c>
      <c r="V1058" s="49" t="str">
        <f t="shared" si="68"/>
        <v>[W223E.F]</v>
      </c>
    </row>
    <row r="1059" spans="1:22" s="49" customFormat="1" ht="14.15" customHeight="1">
      <c r="A1059" s="44"/>
      <c r="B1059" s="44" t="s">
        <v>157</v>
      </c>
      <c r="C1059" s="50"/>
      <c r="D1059" s="10" t="s">
        <v>29</v>
      </c>
      <c r="E1059" s="11"/>
      <c r="F1059" s="11" t="s">
        <v>18</v>
      </c>
      <c r="G1059" s="13"/>
      <c r="H1059" s="45" t="s">
        <v>16</v>
      </c>
      <c r="I1059" s="47"/>
      <c r="J1059" s="12" t="s">
        <v>4051</v>
      </c>
      <c r="K1059" s="13" t="s">
        <v>7859</v>
      </c>
      <c r="L1059" s="99" t="str">
        <f t="shared" si="67"/>
        <v>W223F.0</v>
      </c>
      <c r="M1059" s="13"/>
      <c r="N1059" s="13"/>
      <c r="O1059" s="13"/>
      <c r="P1059" s="47"/>
      <c r="Q1059" s="45"/>
      <c r="R1059" s="45"/>
      <c r="S1059" s="48"/>
      <c r="T1059" s="49" t="str">
        <f t="shared" si="66"/>
        <v>[W223F.0]</v>
      </c>
      <c r="U1059" s="12" t="str">
        <f t="shared" si="69"/>
        <v/>
      </c>
      <c r="V1059" s="49" t="str">
        <f t="shared" si="68"/>
        <v>[W223F.0]</v>
      </c>
    </row>
    <row r="1060" spans="1:22" s="49" customFormat="1" ht="14.15" customHeight="1">
      <c r="A1060" s="43"/>
      <c r="B1060" s="44" t="s">
        <v>157</v>
      </c>
      <c r="C1060" s="50"/>
      <c r="D1060" s="10" t="s">
        <v>29</v>
      </c>
      <c r="E1060" s="11"/>
      <c r="F1060" s="11" t="s">
        <v>18</v>
      </c>
      <c r="G1060" s="13"/>
      <c r="H1060" s="45" t="s">
        <v>16</v>
      </c>
      <c r="I1060" s="47"/>
      <c r="J1060" s="12" t="s">
        <v>4052</v>
      </c>
      <c r="K1060" s="13" t="s">
        <v>7860</v>
      </c>
      <c r="L1060" s="99" t="str">
        <f t="shared" si="67"/>
        <v>W223F.1</v>
      </c>
      <c r="M1060" s="13"/>
      <c r="N1060" s="13"/>
      <c r="O1060" s="13"/>
      <c r="P1060" s="47"/>
      <c r="Q1060" s="45"/>
      <c r="R1060" s="45"/>
      <c r="S1060" s="48"/>
      <c r="T1060" s="49" t="str">
        <f t="shared" si="66"/>
        <v>[W223F.1]</v>
      </c>
      <c r="U1060" s="12" t="str">
        <f t="shared" si="69"/>
        <v/>
      </c>
      <c r="V1060" s="49" t="str">
        <f t="shared" si="68"/>
        <v>[W223F.1]</v>
      </c>
    </row>
    <row r="1061" spans="1:22" s="49" customFormat="1" ht="14.15" customHeight="1">
      <c r="A1061" s="43"/>
      <c r="B1061" s="44" t="s">
        <v>157</v>
      </c>
      <c r="C1061" s="50"/>
      <c r="D1061" s="10" t="s">
        <v>29</v>
      </c>
      <c r="E1061" s="11"/>
      <c r="F1061" s="11" t="s">
        <v>18</v>
      </c>
      <c r="G1061" s="13"/>
      <c r="H1061" s="45" t="s">
        <v>16</v>
      </c>
      <c r="I1061" s="47"/>
      <c r="J1061" s="12" t="s">
        <v>4053</v>
      </c>
      <c r="K1061" s="13" t="s">
        <v>7861</v>
      </c>
      <c r="L1061" s="99" t="str">
        <f t="shared" si="67"/>
        <v>W223F.2</v>
      </c>
      <c r="M1061" s="13"/>
      <c r="N1061" s="13"/>
      <c r="O1061" s="13"/>
      <c r="P1061" s="47"/>
      <c r="Q1061" s="45"/>
      <c r="R1061" s="45"/>
      <c r="S1061" s="48"/>
      <c r="T1061" s="49" t="str">
        <f t="shared" si="66"/>
        <v>[W223F.2]</v>
      </c>
      <c r="U1061" s="12" t="str">
        <f t="shared" si="69"/>
        <v/>
      </c>
      <c r="V1061" s="49" t="str">
        <f t="shared" si="68"/>
        <v>[W223F.2]</v>
      </c>
    </row>
    <row r="1062" spans="1:22" s="49" customFormat="1" ht="14.15" customHeight="1">
      <c r="A1062" s="43"/>
      <c r="B1062" s="44" t="s">
        <v>157</v>
      </c>
      <c r="C1062" s="50"/>
      <c r="D1062" s="10" t="s">
        <v>29</v>
      </c>
      <c r="E1062" s="11"/>
      <c r="F1062" s="11" t="s">
        <v>18</v>
      </c>
      <c r="G1062" s="13"/>
      <c r="H1062" s="45" t="s">
        <v>16</v>
      </c>
      <c r="I1062" s="47"/>
      <c r="J1062" s="12" t="s">
        <v>4054</v>
      </c>
      <c r="K1062" s="13" t="s">
        <v>7862</v>
      </c>
      <c r="L1062" s="99" t="str">
        <f t="shared" si="67"/>
        <v>W223F.3</v>
      </c>
      <c r="M1062" s="13"/>
      <c r="N1062" s="13"/>
      <c r="O1062" s="13"/>
      <c r="P1062" s="47"/>
      <c r="Q1062" s="45"/>
      <c r="R1062" s="45"/>
      <c r="S1062" s="48"/>
      <c r="T1062" s="49" t="str">
        <f t="shared" si="66"/>
        <v>[W223F.3]</v>
      </c>
      <c r="U1062" s="12" t="str">
        <f t="shared" si="69"/>
        <v/>
      </c>
      <c r="V1062" s="49" t="str">
        <f t="shared" si="68"/>
        <v>[W223F.3]</v>
      </c>
    </row>
    <row r="1063" spans="1:22" s="49" customFormat="1" ht="14.15" customHeight="1">
      <c r="A1063" s="44"/>
      <c r="B1063" s="44" t="s">
        <v>157</v>
      </c>
      <c r="C1063" s="50"/>
      <c r="D1063" s="10" t="s">
        <v>29</v>
      </c>
      <c r="E1063" s="11"/>
      <c r="F1063" s="11" t="s">
        <v>18</v>
      </c>
      <c r="G1063" s="13"/>
      <c r="H1063" s="45" t="s">
        <v>16</v>
      </c>
      <c r="I1063" s="47"/>
      <c r="J1063" s="12" t="s">
        <v>4055</v>
      </c>
      <c r="K1063" s="13" t="s">
        <v>7863</v>
      </c>
      <c r="L1063" s="99" t="str">
        <f t="shared" si="67"/>
        <v>W223F.4</v>
      </c>
      <c r="M1063" s="13"/>
      <c r="N1063" s="13"/>
      <c r="O1063" s="13"/>
      <c r="P1063" s="47"/>
      <c r="Q1063" s="45"/>
      <c r="R1063" s="45"/>
      <c r="S1063" s="48"/>
      <c r="T1063" s="49" t="str">
        <f t="shared" si="66"/>
        <v>[W223F.4]</v>
      </c>
      <c r="U1063" s="12" t="str">
        <f t="shared" si="69"/>
        <v/>
      </c>
      <c r="V1063" s="49" t="str">
        <f t="shared" si="68"/>
        <v>[W223F.4]</v>
      </c>
    </row>
    <row r="1064" spans="1:22" s="49" customFormat="1" ht="14.15" customHeight="1">
      <c r="A1064" s="43"/>
      <c r="B1064" s="44" t="s">
        <v>157</v>
      </c>
      <c r="C1064" s="50"/>
      <c r="D1064" s="10" t="s">
        <v>29</v>
      </c>
      <c r="E1064" s="11"/>
      <c r="F1064" s="11" t="s">
        <v>18</v>
      </c>
      <c r="G1064" s="13"/>
      <c r="H1064" s="45" t="s">
        <v>16</v>
      </c>
      <c r="I1064" s="47"/>
      <c r="J1064" s="12" t="s">
        <v>4056</v>
      </c>
      <c r="K1064" s="13" t="s">
        <v>7864</v>
      </c>
      <c r="L1064" s="99" t="str">
        <f t="shared" si="67"/>
        <v>W223F.5</v>
      </c>
      <c r="M1064" s="13"/>
      <c r="N1064" s="13"/>
      <c r="O1064" s="13"/>
      <c r="P1064" s="47"/>
      <c r="Q1064" s="45"/>
      <c r="R1064" s="45"/>
      <c r="S1064" s="48"/>
      <c r="T1064" s="49" t="str">
        <f t="shared" si="66"/>
        <v>[W223F.5]</v>
      </c>
      <c r="U1064" s="12" t="str">
        <f t="shared" si="69"/>
        <v/>
      </c>
      <c r="V1064" s="49" t="str">
        <f t="shared" si="68"/>
        <v>[W223F.5]</v>
      </c>
    </row>
    <row r="1065" spans="1:22" s="49" customFormat="1" ht="14.15" customHeight="1">
      <c r="A1065" s="44"/>
      <c r="B1065" s="44" t="s">
        <v>157</v>
      </c>
      <c r="C1065" s="50"/>
      <c r="D1065" s="10" t="s">
        <v>29</v>
      </c>
      <c r="E1065" s="11"/>
      <c r="F1065" s="11" t="s">
        <v>18</v>
      </c>
      <c r="G1065" s="13"/>
      <c r="H1065" s="45" t="s">
        <v>16</v>
      </c>
      <c r="I1065" s="47"/>
      <c r="J1065" s="12" t="s">
        <v>4057</v>
      </c>
      <c r="K1065" s="13" t="s">
        <v>7865</v>
      </c>
      <c r="L1065" s="99" t="str">
        <f t="shared" si="67"/>
        <v>W223F.6</v>
      </c>
      <c r="M1065" s="13"/>
      <c r="N1065" s="13"/>
      <c r="O1065" s="13"/>
      <c r="P1065" s="47"/>
      <c r="Q1065" s="45"/>
      <c r="R1065" s="45"/>
      <c r="S1065" s="48"/>
      <c r="T1065" s="49" t="str">
        <f t="shared" si="66"/>
        <v>[W223F.6]</v>
      </c>
      <c r="U1065" s="12" t="str">
        <f t="shared" si="69"/>
        <v/>
      </c>
      <c r="V1065" s="49" t="str">
        <f t="shared" si="68"/>
        <v>[W223F.6]</v>
      </c>
    </row>
    <row r="1066" spans="1:22" s="49" customFormat="1" ht="14.15" customHeight="1">
      <c r="A1066" s="44"/>
      <c r="B1066" s="44" t="s">
        <v>157</v>
      </c>
      <c r="C1066" s="50"/>
      <c r="D1066" s="10" t="s">
        <v>29</v>
      </c>
      <c r="E1066" s="11"/>
      <c r="F1066" s="11" t="s">
        <v>18</v>
      </c>
      <c r="G1066" s="13"/>
      <c r="H1066" s="45" t="s">
        <v>16</v>
      </c>
      <c r="I1066" s="47"/>
      <c r="J1066" s="12" t="s">
        <v>4058</v>
      </c>
      <c r="K1066" s="13" t="s">
        <v>7866</v>
      </c>
      <c r="L1066" s="99" t="str">
        <f t="shared" si="67"/>
        <v>W223F.7</v>
      </c>
      <c r="M1066" s="13"/>
      <c r="N1066" s="13"/>
      <c r="O1066" s="13"/>
      <c r="P1066" s="47"/>
      <c r="Q1066" s="45"/>
      <c r="R1066" s="45"/>
      <c r="S1066" s="48"/>
      <c r="T1066" s="49" t="str">
        <f t="shared" si="66"/>
        <v>[W223F.7]</v>
      </c>
      <c r="U1066" s="12" t="str">
        <f t="shared" si="69"/>
        <v/>
      </c>
      <c r="V1066" s="49" t="str">
        <f t="shared" si="68"/>
        <v>[W223F.7]</v>
      </c>
    </row>
    <row r="1067" spans="1:22" s="49" customFormat="1" ht="14.15" customHeight="1">
      <c r="A1067" s="44"/>
      <c r="B1067" s="44" t="s">
        <v>157</v>
      </c>
      <c r="C1067" s="50"/>
      <c r="D1067" s="10" t="s">
        <v>29</v>
      </c>
      <c r="E1067" s="11"/>
      <c r="F1067" s="11" t="s">
        <v>18</v>
      </c>
      <c r="G1067" s="13"/>
      <c r="H1067" s="45" t="s">
        <v>16</v>
      </c>
      <c r="I1067" s="47"/>
      <c r="J1067" s="12" t="s">
        <v>4059</v>
      </c>
      <c r="K1067" s="13" t="s">
        <v>7867</v>
      </c>
      <c r="L1067" s="99" t="str">
        <f t="shared" si="67"/>
        <v>W223F.8</v>
      </c>
      <c r="M1067" s="13"/>
      <c r="N1067" s="13"/>
      <c r="O1067" s="13"/>
      <c r="P1067" s="47"/>
      <c r="Q1067" s="45"/>
      <c r="R1067" s="45"/>
      <c r="S1067" s="48"/>
      <c r="T1067" s="49" t="str">
        <f t="shared" si="66"/>
        <v>[W223F.8]</v>
      </c>
      <c r="U1067" s="12" t="str">
        <f t="shared" si="69"/>
        <v/>
      </c>
      <c r="V1067" s="49" t="str">
        <f t="shared" si="68"/>
        <v>[W223F.8]</v>
      </c>
    </row>
    <row r="1068" spans="1:22" s="49" customFormat="1" ht="14.15" customHeight="1">
      <c r="A1068" s="44"/>
      <c r="B1068" s="44" t="s">
        <v>157</v>
      </c>
      <c r="C1068" s="50"/>
      <c r="D1068" s="10" t="s">
        <v>29</v>
      </c>
      <c r="E1068" s="11"/>
      <c r="F1068" s="11" t="s">
        <v>18</v>
      </c>
      <c r="G1068" s="13"/>
      <c r="H1068" s="45" t="s">
        <v>16</v>
      </c>
      <c r="I1068" s="47"/>
      <c r="J1068" s="12" t="s">
        <v>4060</v>
      </c>
      <c r="K1068" s="13" t="s">
        <v>7868</v>
      </c>
      <c r="L1068" s="99" t="str">
        <f t="shared" si="67"/>
        <v>W223F.9</v>
      </c>
      <c r="M1068" s="13"/>
      <c r="N1068" s="13"/>
      <c r="O1068" s="13"/>
      <c r="P1068" s="47"/>
      <c r="Q1068" s="45"/>
      <c r="R1068" s="45"/>
      <c r="S1068" s="48"/>
      <c r="T1068" s="49" t="str">
        <f t="shared" si="66"/>
        <v>[W223F.9]</v>
      </c>
      <c r="U1068" s="12" t="str">
        <f t="shared" si="69"/>
        <v/>
      </c>
      <c r="V1068" s="49" t="str">
        <f t="shared" si="68"/>
        <v>[W223F.9]</v>
      </c>
    </row>
    <row r="1069" spans="1:22" s="49" customFormat="1" ht="14.15" customHeight="1">
      <c r="A1069" s="43"/>
      <c r="B1069" s="44" t="s">
        <v>157</v>
      </c>
      <c r="C1069" s="50"/>
      <c r="D1069" s="10" t="s">
        <v>29</v>
      </c>
      <c r="E1069" s="11"/>
      <c r="F1069" s="11" t="s">
        <v>18</v>
      </c>
      <c r="G1069" s="13"/>
      <c r="H1069" s="45" t="s">
        <v>16</v>
      </c>
      <c r="I1069" s="47"/>
      <c r="J1069" s="12" t="s">
        <v>4061</v>
      </c>
      <c r="K1069" s="13" t="s">
        <v>7869</v>
      </c>
      <c r="L1069" s="99" t="str">
        <f t="shared" si="67"/>
        <v>W223F.A</v>
      </c>
      <c r="M1069" s="13"/>
      <c r="N1069" s="13"/>
      <c r="O1069" s="13"/>
      <c r="P1069" s="47"/>
      <c r="Q1069" s="45"/>
      <c r="R1069" s="45"/>
      <c r="S1069" s="48"/>
      <c r="T1069" s="49" t="str">
        <f t="shared" si="66"/>
        <v>[W223F.A]</v>
      </c>
      <c r="U1069" s="12" t="str">
        <f t="shared" si="69"/>
        <v/>
      </c>
      <c r="V1069" s="49" t="str">
        <f t="shared" si="68"/>
        <v>[W223F.A]</v>
      </c>
    </row>
    <row r="1070" spans="1:22" s="49" customFormat="1" ht="14.15" customHeight="1">
      <c r="A1070" s="43"/>
      <c r="B1070" s="44" t="s">
        <v>157</v>
      </c>
      <c r="C1070" s="50"/>
      <c r="D1070" s="10" t="s">
        <v>29</v>
      </c>
      <c r="E1070" s="11"/>
      <c r="F1070" s="11" t="s">
        <v>18</v>
      </c>
      <c r="G1070" s="13"/>
      <c r="H1070" s="45" t="s">
        <v>16</v>
      </c>
      <c r="I1070" s="47"/>
      <c r="J1070" s="12" t="s">
        <v>4062</v>
      </c>
      <c r="K1070" s="13" t="s">
        <v>7870</v>
      </c>
      <c r="L1070" s="99" t="str">
        <f t="shared" si="67"/>
        <v>W223F.B</v>
      </c>
      <c r="M1070" s="13"/>
      <c r="N1070" s="13"/>
      <c r="O1070" s="13"/>
      <c r="P1070" s="47"/>
      <c r="Q1070" s="45"/>
      <c r="R1070" s="45"/>
      <c r="S1070" s="48"/>
      <c r="T1070" s="49" t="str">
        <f t="shared" si="66"/>
        <v>[W223F.B]</v>
      </c>
      <c r="U1070" s="12" t="str">
        <f t="shared" si="69"/>
        <v/>
      </c>
      <c r="V1070" s="49" t="str">
        <f t="shared" si="68"/>
        <v>[W223F.B]</v>
      </c>
    </row>
    <row r="1071" spans="1:22" s="49" customFormat="1" ht="14.15" customHeight="1">
      <c r="A1071" s="43"/>
      <c r="B1071" s="44" t="s">
        <v>157</v>
      </c>
      <c r="C1071" s="50"/>
      <c r="D1071" s="10" t="s">
        <v>29</v>
      </c>
      <c r="E1071" s="11"/>
      <c r="F1071" s="11" t="s">
        <v>18</v>
      </c>
      <c r="G1071" s="13"/>
      <c r="H1071" s="45" t="s">
        <v>16</v>
      </c>
      <c r="I1071" s="47"/>
      <c r="J1071" s="12" t="s">
        <v>4063</v>
      </c>
      <c r="K1071" s="13" t="s">
        <v>7871</v>
      </c>
      <c r="L1071" s="99" t="str">
        <f t="shared" si="67"/>
        <v>W223F.C</v>
      </c>
      <c r="M1071" s="13"/>
      <c r="N1071" s="13"/>
      <c r="O1071" s="13"/>
      <c r="P1071" s="47"/>
      <c r="Q1071" s="45"/>
      <c r="R1071" s="45"/>
      <c r="S1071" s="48"/>
      <c r="T1071" s="49" t="str">
        <f t="shared" si="66"/>
        <v>[W223F.C]</v>
      </c>
      <c r="U1071" s="12" t="str">
        <f t="shared" si="69"/>
        <v/>
      </c>
      <c r="V1071" s="49" t="str">
        <f t="shared" si="68"/>
        <v>[W223F.C]</v>
      </c>
    </row>
    <row r="1072" spans="1:22" s="49" customFormat="1" ht="14.15" customHeight="1">
      <c r="A1072" s="43"/>
      <c r="B1072" s="44" t="s">
        <v>157</v>
      </c>
      <c r="C1072" s="50"/>
      <c r="D1072" s="10" t="s">
        <v>29</v>
      </c>
      <c r="E1072" s="11"/>
      <c r="F1072" s="11" t="s">
        <v>18</v>
      </c>
      <c r="G1072" s="13"/>
      <c r="H1072" s="45" t="s">
        <v>16</v>
      </c>
      <c r="I1072" s="47"/>
      <c r="J1072" s="12" t="s">
        <v>4064</v>
      </c>
      <c r="K1072" s="13" t="s">
        <v>7872</v>
      </c>
      <c r="L1072" s="99" t="str">
        <f t="shared" si="67"/>
        <v>W223F.D</v>
      </c>
      <c r="M1072" s="13"/>
      <c r="N1072" s="13"/>
      <c r="O1072" s="13"/>
      <c r="P1072" s="47"/>
      <c r="Q1072" s="45"/>
      <c r="R1072" s="45"/>
      <c r="S1072" s="48"/>
      <c r="T1072" s="49" t="str">
        <f t="shared" si="66"/>
        <v>[W223F.D]</v>
      </c>
      <c r="U1072" s="12" t="str">
        <f t="shared" si="69"/>
        <v/>
      </c>
      <c r="V1072" s="49" t="str">
        <f t="shared" si="68"/>
        <v>[W223F.D]</v>
      </c>
    </row>
    <row r="1073" spans="1:22" s="49" customFormat="1" ht="14.15" customHeight="1">
      <c r="A1073" s="43"/>
      <c r="B1073" s="44" t="s">
        <v>157</v>
      </c>
      <c r="C1073" s="50"/>
      <c r="D1073" s="10" t="s">
        <v>29</v>
      </c>
      <c r="E1073" s="11"/>
      <c r="F1073" s="11" t="s">
        <v>18</v>
      </c>
      <c r="G1073" s="13"/>
      <c r="H1073" s="45" t="s">
        <v>16</v>
      </c>
      <c r="I1073" s="47"/>
      <c r="J1073" s="12" t="s">
        <v>4065</v>
      </c>
      <c r="K1073" s="13" t="s">
        <v>7873</v>
      </c>
      <c r="L1073" s="99" t="str">
        <f t="shared" si="67"/>
        <v>W223F.E</v>
      </c>
      <c r="M1073" s="13"/>
      <c r="N1073" s="13"/>
      <c r="O1073" s="13"/>
      <c r="P1073" s="47"/>
      <c r="Q1073" s="45"/>
      <c r="R1073" s="45"/>
      <c r="S1073" s="48"/>
      <c r="T1073" s="49" t="str">
        <f t="shared" si="66"/>
        <v>[W223F.E]</v>
      </c>
      <c r="U1073" s="12" t="str">
        <f t="shared" si="69"/>
        <v/>
      </c>
      <c r="V1073" s="49" t="str">
        <f t="shared" si="68"/>
        <v>[W223F.E]</v>
      </c>
    </row>
    <row r="1074" spans="1:22" s="49" customFormat="1" ht="14.15" customHeight="1">
      <c r="A1074" s="43"/>
      <c r="B1074" s="44" t="s">
        <v>157</v>
      </c>
      <c r="C1074" s="50"/>
      <c r="D1074" s="10" t="s">
        <v>29</v>
      </c>
      <c r="E1074" s="11"/>
      <c r="F1074" s="11" t="s">
        <v>18</v>
      </c>
      <c r="G1074" s="13"/>
      <c r="H1074" s="45" t="s">
        <v>16</v>
      </c>
      <c r="I1074" s="47"/>
      <c r="J1074" s="12" t="s">
        <v>4066</v>
      </c>
      <c r="K1074" s="13" t="s">
        <v>7874</v>
      </c>
      <c r="L1074" s="99" t="str">
        <f t="shared" si="67"/>
        <v>W223F.F</v>
      </c>
      <c r="M1074" s="13"/>
      <c r="N1074" s="13"/>
      <c r="O1074" s="13"/>
      <c r="P1074" s="47"/>
      <c r="Q1074" s="45"/>
      <c r="R1074" s="45"/>
      <c r="S1074" s="48"/>
      <c r="T1074" s="49" t="str">
        <f t="shared" si="66"/>
        <v>[W223F.F]</v>
      </c>
      <c r="U1074" s="12" t="str">
        <f t="shared" si="69"/>
        <v/>
      </c>
      <c r="V1074" s="49" t="str">
        <f t="shared" si="68"/>
        <v>[W223F.F]</v>
      </c>
    </row>
    <row r="1075" spans="1:22" s="49" customFormat="1" ht="14.15" customHeight="1">
      <c r="A1075" s="43"/>
      <c r="B1075" s="44" t="s">
        <v>157</v>
      </c>
      <c r="C1075" s="50"/>
      <c r="D1075" s="10" t="s">
        <v>29</v>
      </c>
      <c r="E1075" s="11"/>
      <c r="F1075" s="11" t="s">
        <v>18</v>
      </c>
      <c r="G1075" s="13"/>
      <c r="H1075" s="45" t="s">
        <v>16</v>
      </c>
      <c r="I1075" s="47"/>
      <c r="J1075" s="12" t="s">
        <v>4067</v>
      </c>
      <c r="K1075" s="13" t="s">
        <v>7875</v>
      </c>
      <c r="L1075" s="99" t="str">
        <f t="shared" si="67"/>
        <v>W2240.0</v>
      </c>
      <c r="M1075" s="13"/>
      <c r="N1075" s="13"/>
      <c r="O1075" s="13"/>
      <c r="P1075" s="47"/>
      <c r="Q1075" s="45"/>
      <c r="R1075" s="45"/>
      <c r="S1075" s="48"/>
      <c r="T1075" s="49" t="str">
        <f t="shared" ref="T1075:T1138" si="70">"["&amp;L1075&amp;"]"</f>
        <v>[W2240.0]</v>
      </c>
      <c r="U1075" s="12" t="str">
        <f t="shared" si="69"/>
        <v/>
      </c>
      <c r="V1075" s="49" t="str">
        <f t="shared" si="68"/>
        <v>[W2240.0]</v>
      </c>
    </row>
    <row r="1076" spans="1:22" s="49" customFormat="1" ht="14.15" customHeight="1">
      <c r="A1076" s="44"/>
      <c r="B1076" s="44" t="s">
        <v>157</v>
      </c>
      <c r="C1076" s="50"/>
      <c r="D1076" s="10" t="s">
        <v>29</v>
      </c>
      <c r="E1076" s="11"/>
      <c r="F1076" s="11" t="s">
        <v>18</v>
      </c>
      <c r="G1076" s="13"/>
      <c r="H1076" s="45" t="s">
        <v>16</v>
      </c>
      <c r="I1076" s="47"/>
      <c r="J1076" s="12" t="s">
        <v>4068</v>
      </c>
      <c r="K1076" s="13" t="s">
        <v>7876</v>
      </c>
      <c r="L1076" s="99" t="str">
        <f t="shared" ref="L1076:L1139" si="71">"W"&amp;DEC2HEX(8704 + INT((ROW()-51)/16)) &amp; "." &amp; IF(MOD(ROW()-51,16)&lt;10,MOD(ROW()-51,16),CHAR(MOD(ROW()-51,16)+55))</f>
        <v>W2240.1</v>
      </c>
      <c r="M1076" s="13"/>
      <c r="N1076" s="13"/>
      <c r="O1076" s="13"/>
      <c r="P1076" s="47"/>
      <c r="Q1076" s="45"/>
      <c r="R1076" s="45"/>
      <c r="S1076" s="48"/>
      <c r="T1076" s="49" t="str">
        <f t="shared" si="70"/>
        <v>[W2240.1]</v>
      </c>
      <c r="U1076" s="12" t="str">
        <f t="shared" si="69"/>
        <v/>
      </c>
      <c r="V1076" s="49" t="str">
        <f t="shared" ref="V1076:V1138" si="72">T1076&amp;U1076</f>
        <v>[W2240.1]</v>
      </c>
    </row>
    <row r="1077" spans="1:22" s="49" customFormat="1" ht="14.15" customHeight="1">
      <c r="A1077" s="44"/>
      <c r="B1077" s="44" t="s">
        <v>157</v>
      </c>
      <c r="C1077" s="50"/>
      <c r="D1077" s="10" t="s">
        <v>29</v>
      </c>
      <c r="E1077" s="11"/>
      <c r="F1077" s="11" t="s">
        <v>18</v>
      </c>
      <c r="G1077" s="13"/>
      <c r="H1077" s="45" t="s">
        <v>16</v>
      </c>
      <c r="I1077" s="47"/>
      <c r="J1077" s="12" t="s">
        <v>4069</v>
      </c>
      <c r="K1077" s="13" t="s">
        <v>7877</v>
      </c>
      <c r="L1077" s="99" t="str">
        <f t="shared" si="71"/>
        <v>W2240.2</v>
      </c>
      <c r="M1077" s="13"/>
      <c r="N1077" s="13"/>
      <c r="O1077" s="13"/>
      <c r="P1077" s="47"/>
      <c r="Q1077" s="45"/>
      <c r="R1077" s="45"/>
      <c r="S1077" s="48"/>
      <c r="T1077" s="49" t="str">
        <f t="shared" si="70"/>
        <v>[W2240.2]</v>
      </c>
      <c r="U1077" s="12" t="str">
        <f t="shared" si="69"/>
        <v/>
      </c>
      <c r="V1077" s="49" t="str">
        <f t="shared" si="72"/>
        <v>[W2240.2]</v>
      </c>
    </row>
    <row r="1078" spans="1:22" s="49" customFormat="1" ht="14.15" customHeight="1">
      <c r="A1078" s="44"/>
      <c r="B1078" s="44" t="s">
        <v>157</v>
      </c>
      <c r="C1078" s="50"/>
      <c r="D1078" s="10" t="s">
        <v>29</v>
      </c>
      <c r="E1078" s="11"/>
      <c r="F1078" s="11" t="s">
        <v>18</v>
      </c>
      <c r="G1078" s="13"/>
      <c r="H1078" s="45" t="s">
        <v>16</v>
      </c>
      <c r="I1078" s="47"/>
      <c r="J1078" s="12" t="s">
        <v>4070</v>
      </c>
      <c r="K1078" s="13" t="s">
        <v>7878</v>
      </c>
      <c r="L1078" s="99" t="str">
        <f t="shared" si="71"/>
        <v>W2240.3</v>
      </c>
      <c r="M1078" s="13"/>
      <c r="N1078" s="13"/>
      <c r="O1078" s="13"/>
      <c r="P1078" s="47"/>
      <c r="Q1078" s="45"/>
      <c r="R1078" s="45"/>
      <c r="S1078" s="48"/>
      <c r="T1078" s="49" t="str">
        <f t="shared" si="70"/>
        <v>[W2240.3]</v>
      </c>
      <c r="U1078" s="12" t="str">
        <f t="shared" si="69"/>
        <v/>
      </c>
      <c r="V1078" s="49" t="str">
        <f t="shared" si="72"/>
        <v>[W2240.3]</v>
      </c>
    </row>
    <row r="1079" spans="1:22" s="49" customFormat="1" ht="14.15" customHeight="1">
      <c r="A1079" s="44"/>
      <c r="B1079" s="44" t="s">
        <v>157</v>
      </c>
      <c r="C1079" s="50"/>
      <c r="D1079" s="10" t="s">
        <v>29</v>
      </c>
      <c r="E1079" s="11"/>
      <c r="F1079" s="11" t="s">
        <v>18</v>
      </c>
      <c r="G1079" s="13"/>
      <c r="H1079" s="45" t="s">
        <v>16</v>
      </c>
      <c r="I1079" s="47"/>
      <c r="J1079" s="12" t="s">
        <v>4071</v>
      </c>
      <c r="K1079" s="13" t="s">
        <v>7879</v>
      </c>
      <c r="L1079" s="99" t="str">
        <f t="shared" si="71"/>
        <v>W2240.4</v>
      </c>
      <c r="M1079" s="13"/>
      <c r="N1079" s="13"/>
      <c r="O1079" s="13"/>
      <c r="P1079" s="47"/>
      <c r="Q1079" s="45"/>
      <c r="R1079" s="45"/>
      <c r="S1079" s="48"/>
      <c r="T1079" s="49" t="str">
        <f t="shared" si="70"/>
        <v>[W2240.4]</v>
      </c>
      <c r="U1079" s="12" t="str">
        <f t="shared" si="69"/>
        <v/>
      </c>
      <c r="V1079" s="49" t="str">
        <f t="shared" si="72"/>
        <v>[W2240.4]</v>
      </c>
    </row>
    <row r="1080" spans="1:22" s="49" customFormat="1" ht="14.15" customHeight="1">
      <c r="A1080" s="43"/>
      <c r="B1080" s="44" t="s">
        <v>157</v>
      </c>
      <c r="C1080" s="50"/>
      <c r="D1080" s="10" t="s">
        <v>29</v>
      </c>
      <c r="E1080" s="11"/>
      <c r="F1080" s="11" t="s">
        <v>18</v>
      </c>
      <c r="G1080" s="13"/>
      <c r="H1080" s="45" t="s">
        <v>16</v>
      </c>
      <c r="I1080" s="47"/>
      <c r="J1080" s="12" t="s">
        <v>4072</v>
      </c>
      <c r="K1080" s="13" t="s">
        <v>7880</v>
      </c>
      <c r="L1080" s="99" t="str">
        <f t="shared" si="71"/>
        <v>W2240.5</v>
      </c>
      <c r="M1080" s="13"/>
      <c r="N1080" s="13"/>
      <c r="O1080" s="13"/>
      <c r="P1080" s="47"/>
      <c r="Q1080" s="45"/>
      <c r="R1080" s="45"/>
      <c r="S1080" s="48"/>
      <c r="T1080" s="49" t="str">
        <f t="shared" si="70"/>
        <v>[W2240.5]</v>
      </c>
      <c r="U1080" s="12" t="str">
        <f t="shared" ref="U1080:U1138" si="73">RIGHT(J1080,LEN(J1080)-7)</f>
        <v/>
      </c>
      <c r="V1080" s="49" t="str">
        <f t="shared" si="72"/>
        <v>[W2240.5]</v>
      </c>
    </row>
    <row r="1081" spans="1:22" s="49" customFormat="1" ht="14.15" customHeight="1">
      <c r="A1081" s="43"/>
      <c r="B1081" s="44" t="s">
        <v>157</v>
      </c>
      <c r="C1081" s="50"/>
      <c r="D1081" s="10" t="s">
        <v>29</v>
      </c>
      <c r="E1081" s="11"/>
      <c r="F1081" s="11" t="s">
        <v>18</v>
      </c>
      <c r="G1081" s="13"/>
      <c r="H1081" s="45" t="s">
        <v>16</v>
      </c>
      <c r="I1081" s="47"/>
      <c r="J1081" s="12" t="s">
        <v>4073</v>
      </c>
      <c r="K1081" s="13" t="s">
        <v>7881</v>
      </c>
      <c r="L1081" s="99" t="str">
        <f t="shared" si="71"/>
        <v>W2240.6</v>
      </c>
      <c r="M1081" s="13"/>
      <c r="N1081" s="13"/>
      <c r="O1081" s="13"/>
      <c r="P1081" s="47"/>
      <c r="Q1081" s="45"/>
      <c r="R1081" s="45"/>
      <c r="S1081" s="48"/>
      <c r="T1081" s="49" t="str">
        <f t="shared" si="70"/>
        <v>[W2240.6]</v>
      </c>
      <c r="U1081" s="12" t="str">
        <f t="shared" si="73"/>
        <v/>
      </c>
      <c r="V1081" s="49" t="str">
        <f t="shared" si="72"/>
        <v>[W2240.6]</v>
      </c>
    </row>
    <row r="1082" spans="1:22" s="49" customFormat="1" ht="14.15" customHeight="1">
      <c r="A1082" s="43"/>
      <c r="B1082" s="44" t="s">
        <v>157</v>
      </c>
      <c r="C1082" s="50"/>
      <c r="D1082" s="10" t="s">
        <v>29</v>
      </c>
      <c r="E1082" s="11"/>
      <c r="F1082" s="11" t="s">
        <v>18</v>
      </c>
      <c r="G1082" s="13"/>
      <c r="H1082" s="45" t="s">
        <v>16</v>
      </c>
      <c r="I1082" s="47"/>
      <c r="J1082" s="12" t="s">
        <v>4074</v>
      </c>
      <c r="K1082" s="13" t="s">
        <v>7882</v>
      </c>
      <c r="L1082" s="99" t="str">
        <f t="shared" si="71"/>
        <v>W2240.7</v>
      </c>
      <c r="M1082" s="13"/>
      <c r="N1082" s="13"/>
      <c r="O1082" s="13"/>
      <c r="P1082" s="47"/>
      <c r="Q1082" s="45"/>
      <c r="R1082" s="45"/>
      <c r="S1082" s="48"/>
      <c r="T1082" s="49" t="str">
        <f t="shared" si="70"/>
        <v>[W2240.7]</v>
      </c>
      <c r="U1082" s="12" t="str">
        <f t="shared" si="73"/>
        <v/>
      </c>
      <c r="V1082" s="49" t="str">
        <f t="shared" si="72"/>
        <v>[W2240.7]</v>
      </c>
    </row>
    <row r="1083" spans="1:22" s="49" customFormat="1" ht="14.15" customHeight="1">
      <c r="A1083" s="43" t="s">
        <v>5604</v>
      </c>
      <c r="B1083" s="44" t="s">
        <v>157</v>
      </c>
      <c r="C1083" s="50"/>
      <c r="D1083" s="10" t="s">
        <v>29</v>
      </c>
      <c r="E1083" s="11"/>
      <c r="F1083" s="11" t="s">
        <v>18</v>
      </c>
      <c r="G1083" s="13"/>
      <c r="H1083" s="45" t="s">
        <v>16</v>
      </c>
      <c r="I1083" s="47"/>
      <c r="J1083" s="12" t="s">
        <v>5269</v>
      </c>
      <c r="K1083" s="13" t="s">
        <v>7883</v>
      </c>
      <c r="L1083" s="99" t="str">
        <f t="shared" si="71"/>
        <v>W2240.8</v>
      </c>
      <c r="M1083" s="13" t="s">
        <v>17</v>
      </c>
      <c r="N1083" s="13"/>
      <c r="O1083" s="13"/>
      <c r="P1083" s="47"/>
      <c r="Q1083" s="45" t="s">
        <v>3672</v>
      </c>
      <c r="R1083" s="45" t="s">
        <v>5596</v>
      </c>
      <c r="S1083" s="48"/>
      <c r="T1083" s="49" t="str">
        <f t="shared" si="70"/>
        <v>[W2240.8]</v>
      </c>
      <c r="U1083" s="12" t="str">
        <f t="shared" si="73"/>
        <v xml:space="preserve"> 배출 로봇 제품 감지에러 (X79C, L4010)</v>
      </c>
      <c r="V1083" s="49" t="str">
        <f t="shared" si="72"/>
        <v>[W2240.8] 배출 로봇 제품 감지에러 (X79C, L4010)</v>
      </c>
    </row>
    <row r="1084" spans="1:22" s="49" customFormat="1" ht="14.15" customHeight="1">
      <c r="A1084" s="43"/>
      <c r="B1084" s="44" t="s">
        <v>157</v>
      </c>
      <c r="C1084" s="50"/>
      <c r="D1084" s="10" t="s">
        <v>29</v>
      </c>
      <c r="E1084" s="11"/>
      <c r="F1084" s="11" t="s">
        <v>18</v>
      </c>
      <c r="G1084" s="13"/>
      <c r="H1084" s="45" t="s">
        <v>16</v>
      </c>
      <c r="I1084" s="47"/>
      <c r="J1084" s="12" t="s">
        <v>4075</v>
      </c>
      <c r="K1084" s="13" t="s">
        <v>7884</v>
      </c>
      <c r="L1084" s="99" t="str">
        <f t="shared" si="71"/>
        <v>W2240.9</v>
      </c>
      <c r="M1084" s="13"/>
      <c r="N1084" s="13"/>
      <c r="O1084" s="13"/>
      <c r="P1084" s="47"/>
      <c r="Q1084" s="45"/>
      <c r="R1084" s="45"/>
      <c r="S1084" s="48"/>
      <c r="T1084" s="49" t="str">
        <f t="shared" si="70"/>
        <v>[W2240.9]</v>
      </c>
      <c r="U1084" s="12" t="str">
        <f t="shared" si="73"/>
        <v/>
      </c>
      <c r="V1084" s="49" t="str">
        <f t="shared" si="72"/>
        <v>[W2240.9]</v>
      </c>
    </row>
    <row r="1085" spans="1:22" s="49" customFormat="1" ht="14.15" customHeight="1">
      <c r="A1085" s="43" t="s">
        <v>5604</v>
      </c>
      <c r="B1085" s="44" t="s">
        <v>157</v>
      </c>
      <c r="C1085" s="50"/>
      <c r="D1085" s="10" t="s">
        <v>29</v>
      </c>
      <c r="E1085" s="11"/>
      <c r="F1085" s="11" t="s">
        <v>18</v>
      </c>
      <c r="G1085" s="13"/>
      <c r="H1085" s="45" t="s">
        <v>16</v>
      </c>
      <c r="I1085" s="47"/>
      <c r="J1085" s="12" t="s">
        <v>5261</v>
      </c>
      <c r="K1085" s="13" t="s">
        <v>7885</v>
      </c>
      <c r="L1085" s="99" t="str">
        <f t="shared" si="71"/>
        <v>W2240.A</v>
      </c>
      <c r="M1085" s="13" t="s">
        <v>17</v>
      </c>
      <c r="N1085" s="13"/>
      <c r="O1085" s="13"/>
      <c r="P1085" s="47"/>
      <c r="Q1085" s="45" t="s">
        <v>3672</v>
      </c>
      <c r="R1085" s="45" t="s">
        <v>5596</v>
      </c>
      <c r="S1085" s="48"/>
      <c r="T1085" s="49" t="str">
        <f t="shared" si="70"/>
        <v>[W2240.A]</v>
      </c>
      <c r="U1085" s="12" t="str">
        <f t="shared" si="73"/>
        <v xml:space="preserve"> 배출 로봇 리모트 상태이상 (XB05)</v>
      </c>
      <c r="V1085" s="49" t="str">
        <f t="shared" si="72"/>
        <v>[W2240.A] 배출 로봇 리모트 상태이상 (XB05)</v>
      </c>
    </row>
    <row r="1086" spans="1:22" s="49" customFormat="1" ht="14.15" customHeight="1">
      <c r="A1086" s="43" t="s">
        <v>5604</v>
      </c>
      <c r="B1086" s="44" t="s">
        <v>157</v>
      </c>
      <c r="C1086" s="50"/>
      <c r="D1086" s="10" t="s">
        <v>29</v>
      </c>
      <c r="E1086" s="11"/>
      <c r="F1086" s="11" t="s">
        <v>18</v>
      </c>
      <c r="G1086" s="13"/>
      <c r="H1086" s="45" t="s">
        <v>16</v>
      </c>
      <c r="I1086" s="47"/>
      <c r="J1086" s="12" t="s">
        <v>5262</v>
      </c>
      <c r="K1086" s="13" t="s">
        <v>7886</v>
      </c>
      <c r="L1086" s="99" t="str">
        <f t="shared" si="71"/>
        <v>W2240.B</v>
      </c>
      <c r="M1086" s="13" t="s">
        <v>17</v>
      </c>
      <c r="N1086" s="13"/>
      <c r="O1086" s="13"/>
      <c r="P1086" s="47"/>
      <c r="Q1086" s="45" t="s">
        <v>3672</v>
      </c>
      <c r="R1086" s="45" t="s">
        <v>5596</v>
      </c>
      <c r="S1086" s="48"/>
      <c r="T1086" s="49" t="str">
        <f t="shared" si="70"/>
        <v>[W2240.B]</v>
      </c>
      <c r="U1086" s="12" t="str">
        <f t="shared" si="73"/>
        <v xml:space="preserve"> 배출 로봇 서보 On 中 상태이상 (XB01)</v>
      </c>
      <c r="V1086" s="49" t="str">
        <f t="shared" si="72"/>
        <v>[W2240.B] 배출 로봇 서보 On 中 상태이상 (XB01)</v>
      </c>
    </row>
    <row r="1087" spans="1:22" s="49" customFormat="1" ht="14.15" customHeight="1">
      <c r="A1087" s="43" t="s">
        <v>5604</v>
      </c>
      <c r="B1087" s="44" t="s">
        <v>157</v>
      </c>
      <c r="C1087" s="50"/>
      <c r="D1087" s="10" t="s">
        <v>29</v>
      </c>
      <c r="E1087" s="11"/>
      <c r="F1087" s="11" t="s">
        <v>18</v>
      </c>
      <c r="G1087" s="13"/>
      <c r="H1087" s="45" t="s">
        <v>16</v>
      </c>
      <c r="I1087" s="47"/>
      <c r="J1087" s="12" t="s">
        <v>5263</v>
      </c>
      <c r="K1087" s="13" t="s">
        <v>7887</v>
      </c>
      <c r="L1087" s="99" t="str">
        <f t="shared" si="71"/>
        <v>W2240.C</v>
      </c>
      <c r="M1087" s="13" t="s">
        <v>17</v>
      </c>
      <c r="N1087" s="13"/>
      <c r="O1087" s="13"/>
      <c r="P1087" s="47"/>
      <c r="Q1087" s="45" t="s">
        <v>3672</v>
      </c>
      <c r="R1087" s="45" t="s">
        <v>5596</v>
      </c>
      <c r="S1087" s="48"/>
      <c r="T1087" s="49" t="str">
        <f t="shared" si="70"/>
        <v>[W2240.C]</v>
      </c>
      <c r="U1087" s="12" t="str">
        <f t="shared" si="73"/>
        <v xml:space="preserve"> 배출 로봇 초기화 필요 (XB0A)</v>
      </c>
      <c r="V1087" s="49" t="str">
        <f t="shared" si="72"/>
        <v>[W2240.C] 배출 로봇 초기화 필요 (XB0A)</v>
      </c>
    </row>
    <row r="1088" spans="1:22" s="49" customFormat="1" ht="14.15" customHeight="1">
      <c r="A1088" s="43" t="s">
        <v>5604</v>
      </c>
      <c r="B1088" s="44" t="s">
        <v>157</v>
      </c>
      <c r="C1088" s="50"/>
      <c r="D1088" s="10" t="s">
        <v>29</v>
      </c>
      <c r="E1088" s="11"/>
      <c r="F1088" s="11" t="s">
        <v>18</v>
      </c>
      <c r="G1088" s="13"/>
      <c r="H1088" s="45" t="s">
        <v>16</v>
      </c>
      <c r="I1088" s="47"/>
      <c r="J1088" s="12" t="s">
        <v>5264</v>
      </c>
      <c r="K1088" s="13" t="s">
        <v>7888</v>
      </c>
      <c r="L1088" s="99" t="str">
        <f t="shared" si="71"/>
        <v>W2240.D</v>
      </c>
      <c r="M1088" s="13" t="s">
        <v>17</v>
      </c>
      <c r="N1088" s="13"/>
      <c r="O1088" s="13"/>
      <c r="P1088" s="47"/>
      <c r="Q1088" s="45" t="s">
        <v>3672</v>
      </c>
      <c r="R1088" s="45" t="s">
        <v>5596</v>
      </c>
      <c r="S1088" s="48"/>
      <c r="T1088" s="49" t="str">
        <f t="shared" si="70"/>
        <v>[W2240.D]</v>
      </c>
      <c r="U1088" s="12" t="str">
        <f t="shared" si="73"/>
        <v xml:space="preserve"> 배출 로봇 CONTROLLER 비상정지 中 (XB0E)</v>
      </c>
      <c r="V1088" s="49" t="str">
        <f t="shared" si="72"/>
        <v>[W2240.D] 배출 로봇 CONTROLLER 비상정지 中 (XB0E)</v>
      </c>
    </row>
    <row r="1089" spans="1:22" s="49" customFormat="1" ht="14.15" customHeight="1">
      <c r="A1089" s="43" t="s">
        <v>5604</v>
      </c>
      <c r="B1089" s="44" t="s">
        <v>157</v>
      </c>
      <c r="C1089" s="50"/>
      <c r="D1089" s="10" t="s">
        <v>29</v>
      </c>
      <c r="E1089" s="11"/>
      <c r="F1089" s="11" t="s">
        <v>18</v>
      </c>
      <c r="G1089" s="13"/>
      <c r="H1089" s="45" t="s">
        <v>16</v>
      </c>
      <c r="I1089" s="47"/>
      <c r="J1089" s="12" t="s">
        <v>5265</v>
      </c>
      <c r="K1089" s="13" t="s">
        <v>7889</v>
      </c>
      <c r="L1089" s="99" t="str">
        <f t="shared" si="71"/>
        <v>W2240.E</v>
      </c>
      <c r="M1089" s="13" t="s">
        <v>17</v>
      </c>
      <c r="N1089" s="13"/>
      <c r="O1089" s="13"/>
      <c r="P1089" s="47"/>
      <c r="Q1089" s="45" t="s">
        <v>3672</v>
      </c>
      <c r="R1089" s="45" t="s">
        <v>5596</v>
      </c>
      <c r="S1089" s="48"/>
      <c r="T1089" s="49" t="str">
        <f t="shared" si="70"/>
        <v>[W2240.E]</v>
      </c>
      <c r="U1089" s="12" t="str">
        <f t="shared" si="73"/>
        <v xml:space="preserve"> 배출 로봇 PENDANT 비상정지 中 (XB0D)</v>
      </c>
      <c r="V1089" s="49" t="str">
        <f t="shared" si="72"/>
        <v>[W2240.E] 배출 로봇 PENDANT 비상정지 中 (XB0D)</v>
      </c>
    </row>
    <row r="1090" spans="1:22" s="49" customFormat="1" ht="14.15" customHeight="1">
      <c r="A1090" s="43" t="s">
        <v>5604</v>
      </c>
      <c r="B1090" s="44" t="s">
        <v>157</v>
      </c>
      <c r="C1090" s="50"/>
      <c r="D1090" s="10" t="s">
        <v>29</v>
      </c>
      <c r="E1090" s="11"/>
      <c r="F1090" s="11" t="s">
        <v>18</v>
      </c>
      <c r="G1090" s="13"/>
      <c r="H1090" s="45" t="s">
        <v>16</v>
      </c>
      <c r="I1090" s="47"/>
      <c r="J1090" s="12" t="s">
        <v>5266</v>
      </c>
      <c r="K1090" s="13" t="s">
        <v>7890</v>
      </c>
      <c r="L1090" s="99" t="str">
        <f t="shared" si="71"/>
        <v>W2240.F</v>
      </c>
      <c r="M1090" s="13" t="s">
        <v>17</v>
      </c>
      <c r="N1090" s="13"/>
      <c r="O1090" s="13"/>
      <c r="P1090" s="47"/>
      <c r="Q1090" s="45" t="s">
        <v>3672</v>
      </c>
      <c r="R1090" s="45" t="s">
        <v>5596</v>
      </c>
      <c r="S1090" s="48"/>
      <c r="T1090" s="49" t="str">
        <f t="shared" si="70"/>
        <v>[W2240.F]</v>
      </c>
      <c r="U1090" s="12" t="str">
        <f t="shared" si="73"/>
        <v xml:space="preserve"> 배출 C/V#2-1 스토퍼 상승 시간초과 (X69A, Y6B0)</v>
      </c>
      <c r="V1090" s="49" t="str">
        <f t="shared" si="72"/>
        <v>[W2240.F] 배출 C/V#2-1 스토퍼 상승 시간초과 (X69A, Y6B0)</v>
      </c>
    </row>
    <row r="1091" spans="1:22" s="49" customFormat="1" ht="14.15" customHeight="1">
      <c r="A1091" s="43" t="s">
        <v>5604</v>
      </c>
      <c r="B1091" s="44" t="s">
        <v>157</v>
      </c>
      <c r="C1091" s="50"/>
      <c r="D1091" s="10" t="s">
        <v>29</v>
      </c>
      <c r="E1091" s="11"/>
      <c r="F1091" s="11" t="s">
        <v>18</v>
      </c>
      <c r="G1091" s="13"/>
      <c r="H1091" s="45" t="s">
        <v>16</v>
      </c>
      <c r="I1091" s="47"/>
      <c r="J1091" s="12" t="s">
        <v>5267</v>
      </c>
      <c r="K1091" s="13" t="s">
        <v>7891</v>
      </c>
      <c r="L1091" s="99" t="str">
        <f t="shared" si="71"/>
        <v>W2241.0</v>
      </c>
      <c r="M1091" s="13" t="s">
        <v>17</v>
      </c>
      <c r="N1091" s="13"/>
      <c r="O1091" s="13"/>
      <c r="P1091" s="47"/>
      <c r="Q1091" s="45" t="s">
        <v>3672</v>
      </c>
      <c r="R1091" s="45" t="s">
        <v>5596</v>
      </c>
      <c r="S1091" s="48"/>
      <c r="T1091" s="49" t="str">
        <f t="shared" si="70"/>
        <v>[W2241.0]</v>
      </c>
      <c r="U1091" s="12" t="str">
        <f t="shared" si="73"/>
        <v xml:space="preserve"> 배출 C/V#2-1 스토퍼 하강 시간초과 (X69B, Y6B1)</v>
      </c>
      <c r="V1091" s="49" t="str">
        <f t="shared" si="72"/>
        <v>[W2241.0] 배출 C/V#2-1 스토퍼 하강 시간초과 (X69B, Y6B1)</v>
      </c>
    </row>
    <row r="1092" spans="1:22" s="49" customFormat="1" ht="14.15" customHeight="1">
      <c r="A1092" s="43" t="s">
        <v>5604</v>
      </c>
      <c r="B1092" s="44" t="s">
        <v>157</v>
      </c>
      <c r="C1092" s="50"/>
      <c r="D1092" s="10" t="s">
        <v>29</v>
      </c>
      <c r="E1092" s="11"/>
      <c r="F1092" s="11" t="s">
        <v>18</v>
      </c>
      <c r="G1092" s="13"/>
      <c r="H1092" s="45" t="s">
        <v>16</v>
      </c>
      <c r="I1092" s="47"/>
      <c r="J1092" s="12" t="s">
        <v>5268</v>
      </c>
      <c r="K1092" s="13" t="s">
        <v>7892</v>
      </c>
      <c r="L1092" s="99" t="str">
        <f t="shared" si="71"/>
        <v>W2241.1</v>
      </c>
      <c r="M1092" s="13" t="s">
        <v>17</v>
      </c>
      <c r="N1092" s="13"/>
      <c r="O1092" s="13"/>
      <c r="P1092" s="47"/>
      <c r="Q1092" s="45" t="s">
        <v>3672</v>
      </c>
      <c r="R1092" s="45" t="s">
        <v>5596</v>
      </c>
      <c r="S1092" s="48"/>
      <c r="T1092" s="49" t="str">
        <f t="shared" si="70"/>
        <v>[W2241.1]</v>
      </c>
      <c r="U1092" s="12" t="str">
        <f t="shared" si="73"/>
        <v xml:space="preserve"> 배출 C/V#2-1 스토퍼 상승/하강 센서이상 (X69A, X69B)</v>
      </c>
      <c r="V1092" s="49" t="str">
        <f t="shared" si="72"/>
        <v>[W2241.1] 배출 C/V#2-1 스토퍼 상승/하강 센서이상 (X69A, X69B)</v>
      </c>
    </row>
    <row r="1093" spans="1:22" s="49" customFormat="1" ht="14.15" customHeight="1">
      <c r="A1093" s="43"/>
      <c r="B1093" s="44" t="s">
        <v>157</v>
      </c>
      <c r="C1093" s="50"/>
      <c r="D1093" s="10" t="s">
        <v>29</v>
      </c>
      <c r="E1093" s="11"/>
      <c r="F1093" s="11" t="s">
        <v>18</v>
      </c>
      <c r="G1093" s="13"/>
      <c r="H1093" s="45" t="s">
        <v>16</v>
      </c>
      <c r="I1093" s="47"/>
      <c r="J1093" s="12" t="s">
        <v>4076</v>
      </c>
      <c r="K1093" s="13" t="s">
        <v>7893</v>
      </c>
      <c r="L1093" s="99" t="str">
        <f t="shared" si="71"/>
        <v>W2241.2</v>
      </c>
      <c r="M1093" s="13"/>
      <c r="N1093" s="13"/>
      <c r="O1093" s="13"/>
      <c r="P1093" s="47"/>
      <c r="Q1093" s="45"/>
      <c r="R1093" s="45"/>
      <c r="S1093" s="48"/>
      <c r="T1093" s="49" t="str">
        <f t="shared" si="70"/>
        <v>[W2241.2]</v>
      </c>
      <c r="U1093" s="12" t="str">
        <f t="shared" si="73"/>
        <v/>
      </c>
      <c r="V1093" s="49" t="str">
        <f t="shared" si="72"/>
        <v>[W2241.2]</v>
      </c>
    </row>
    <row r="1094" spans="1:22" s="49" customFormat="1" ht="14.15" customHeight="1">
      <c r="A1094" s="43"/>
      <c r="B1094" s="44" t="s">
        <v>157</v>
      </c>
      <c r="C1094" s="50"/>
      <c r="D1094" s="10" t="s">
        <v>29</v>
      </c>
      <c r="E1094" s="11"/>
      <c r="F1094" s="11" t="s">
        <v>18</v>
      </c>
      <c r="G1094" s="13"/>
      <c r="H1094" s="45" t="s">
        <v>16</v>
      </c>
      <c r="I1094" s="47"/>
      <c r="J1094" s="12" t="s">
        <v>4077</v>
      </c>
      <c r="K1094" s="13" t="s">
        <v>7894</v>
      </c>
      <c r="L1094" s="99" t="str">
        <f t="shared" si="71"/>
        <v>W2241.3</v>
      </c>
      <c r="M1094" s="13"/>
      <c r="N1094" s="13"/>
      <c r="O1094" s="13"/>
      <c r="P1094" s="47"/>
      <c r="Q1094" s="45"/>
      <c r="R1094" s="45"/>
      <c r="S1094" s="48"/>
      <c r="T1094" s="49" t="str">
        <f t="shared" si="70"/>
        <v>[W2241.3]</v>
      </c>
      <c r="U1094" s="12" t="str">
        <f t="shared" si="73"/>
        <v/>
      </c>
      <c r="V1094" s="49" t="str">
        <f t="shared" si="72"/>
        <v>[W2241.3]</v>
      </c>
    </row>
    <row r="1095" spans="1:22" s="49" customFormat="1" ht="14.15" customHeight="1">
      <c r="A1095" s="43"/>
      <c r="B1095" s="44" t="s">
        <v>157</v>
      </c>
      <c r="C1095" s="50"/>
      <c r="D1095" s="10" t="s">
        <v>29</v>
      </c>
      <c r="E1095" s="11"/>
      <c r="F1095" s="11" t="s">
        <v>18</v>
      </c>
      <c r="G1095" s="13"/>
      <c r="H1095" s="45" t="s">
        <v>16</v>
      </c>
      <c r="I1095" s="47"/>
      <c r="J1095" s="12" t="s">
        <v>4078</v>
      </c>
      <c r="K1095" s="13" t="s">
        <v>7895</v>
      </c>
      <c r="L1095" s="99" t="str">
        <f t="shared" si="71"/>
        <v>W2241.4</v>
      </c>
      <c r="M1095" s="13"/>
      <c r="N1095" s="13"/>
      <c r="O1095" s="13"/>
      <c r="P1095" s="47"/>
      <c r="Q1095" s="45"/>
      <c r="R1095" s="45"/>
      <c r="S1095" s="48"/>
      <c r="T1095" s="49" t="str">
        <f t="shared" si="70"/>
        <v>[W2241.4]</v>
      </c>
      <c r="U1095" s="12" t="str">
        <f t="shared" si="73"/>
        <v/>
      </c>
      <c r="V1095" s="49" t="str">
        <f t="shared" si="72"/>
        <v>[W2241.4]</v>
      </c>
    </row>
    <row r="1096" spans="1:22" s="49" customFormat="1" ht="14.15" customHeight="1">
      <c r="A1096" s="43"/>
      <c r="B1096" s="44" t="s">
        <v>157</v>
      </c>
      <c r="C1096" s="50"/>
      <c r="D1096" s="10" t="s">
        <v>29</v>
      </c>
      <c r="E1096" s="11"/>
      <c r="F1096" s="11" t="s">
        <v>18</v>
      </c>
      <c r="G1096" s="13"/>
      <c r="H1096" s="45" t="s">
        <v>16</v>
      </c>
      <c r="I1096" s="47"/>
      <c r="J1096" s="12" t="s">
        <v>4079</v>
      </c>
      <c r="K1096" s="13" t="s">
        <v>7896</v>
      </c>
      <c r="L1096" s="99" t="str">
        <f t="shared" si="71"/>
        <v>W2241.5</v>
      </c>
      <c r="M1096" s="13"/>
      <c r="N1096" s="13"/>
      <c r="O1096" s="13"/>
      <c r="P1096" s="47"/>
      <c r="Q1096" s="45"/>
      <c r="R1096" s="45"/>
      <c r="S1096" s="48"/>
      <c r="T1096" s="49" t="str">
        <f t="shared" si="70"/>
        <v>[W2241.5]</v>
      </c>
      <c r="U1096" s="12" t="str">
        <f t="shared" si="73"/>
        <v/>
      </c>
      <c r="V1096" s="49" t="str">
        <f t="shared" si="72"/>
        <v>[W2241.5]</v>
      </c>
    </row>
    <row r="1097" spans="1:22" s="49" customFormat="1" ht="14.15" customHeight="1">
      <c r="A1097" s="43"/>
      <c r="B1097" s="44" t="s">
        <v>157</v>
      </c>
      <c r="C1097" s="50"/>
      <c r="D1097" s="10" t="s">
        <v>29</v>
      </c>
      <c r="E1097" s="11"/>
      <c r="F1097" s="11" t="s">
        <v>18</v>
      </c>
      <c r="G1097" s="13"/>
      <c r="H1097" s="45" t="s">
        <v>16</v>
      </c>
      <c r="I1097" s="47"/>
      <c r="J1097" s="12" t="s">
        <v>4080</v>
      </c>
      <c r="K1097" s="13" t="s">
        <v>7897</v>
      </c>
      <c r="L1097" s="99" t="str">
        <f t="shared" si="71"/>
        <v>W2241.6</v>
      </c>
      <c r="M1097" s="13"/>
      <c r="N1097" s="13"/>
      <c r="O1097" s="13"/>
      <c r="P1097" s="47"/>
      <c r="Q1097" s="45"/>
      <c r="R1097" s="45"/>
      <c r="S1097" s="48"/>
      <c r="T1097" s="49" t="str">
        <f t="shared" si="70"/>
        <v>[W2241.6]</v>
      </c>
      <c r="U1097" s="12" t="str">
        <f t="shared" si="73"/>
        <v/>
      </c>
      <c r="V1097" s="49" t="str">
        <f t="shared" si="72"/>
        <v>[W2241.6]</v>
      </c>
    </row>
    <row r="1098" spans="1:22" s="49" customFormat="1" ht="14.15" customHeight="1">
      <c r="A1098" s="43"/>
      <c r="B1098" s="44" t="s">
        <v>157</v>
      </c>
      <c r="C1098" s="50"/>
      <c r="D1098" s="10" t="s">
        <v>29</v>
      </c>
      <c r="E1098" s="11"/>
      <c r="F1098" s="11" t="s">
        <v>18</v>
      </c>
      <c r="G1098" s="13"/>
      <c r="H1098" s="45" t="s">
        <v>16</v>
      </c>
      <c r="I1098" s="47"/>
      <c r="J1098" s="12" t="s">
        <v>4081</v>
      </c>
      <c r="K1098" s="13" t="s">
        <v>7898</v>
      </c>
      <c r="L1098" s="99" t="str">
        <f t="shared" si="71"/>
        <v>W2241.7</v>
      </c>
      <c r="M1098" s="13"/>
      <c r="N1098" s="13"/>
      <c r="O1098" s="13"/>
      <c r="P1098" s="47"/>
      <c r="Q1098" s="45"/>
      <c r="R1098" s="45"/>
      <c r="S1098" s="48"/>
      <c r="T1098" s="49" t="str">
        <f t="shared" si="70"/>
        <v>[W2241.7]</v>
      </c>
      <c r="U1098" s="12" t="str">
        <f t="shared" si="73"/>
        <v/>
      </c>
      <c r="V1098" s="49" t="str">
        <f t="shared" si="72"/>
        <v>[W2241.7]</v>
      </c>
    </row>
    <row r="1099" spans="1:22" s="49" customFormat="1" ht="14.15" customHeight="1">
      <c r="A1099" s="44"/>
      <c r="B1099" s="44" t="s">
        <v>157</v>
      </c>
      <c r="C1099" s="50"/>
      <c r="D1099" s="10" t="s">
        <v>29</v>
      </c>
      <c r="E1099" s="11"/>
      <c r="F1099" s="11" t="s">
        <v>18</v>
      </c>
      <c r="G1099" s="13"/>
      <c r="H1099" s="45" t="s">
        <v>16</v>
      </c>
      <c r="I1099" s="47"/>
      <c r="J1099" s="12" t="s">
        <v>4082</v>
      </c>
      <c r="K1099" s="13" t="s">
        <v>7899</v>
      </c>
      <c r="L1099" s="99" t="str">
        <f t="shared" si="71"/>
        <v>W2241.8</v>
      </c>
      <c r="M1099" s="13"/>
      <c r="N1099" s="13"/>
      <c r="O1099" s="13"/>
      <c r="P1099" s="47"/>
      <c r="Q1099" s="45"/>
      <c r="R1099" s="45"/>
      <c r="S1099" s="48"/>
      <c r="T1099" s="49" t="str">
        <f t="shared" si="70"/>
        <v>[W2241.8]</v>
      </c>
      <c r="U1099" s="12" t="str">
        <f t="shared" si="73"/>
        <v/>
      </c>
      <c r="V1099" s="49" t="str">
        <f t="shared" si="72"/>
        <v>[W2241.8]</v>
      </c>
    </row>
    <row r="1100" spans="1:22" s="49" customFormat="1" ht="14.15" customHeight="1">
      <c r="A1100" s="43"/>
      <c r="B1100" s="44" t="s">
        <v>157</v>
      </c>
      <c r="C1100" s="50"/>
      <c r="D1100" s="10" t="s">
        <v>29</v>
      </c>
      <c r="E1100" s="11"/>
      <c r="F1100" s="11" t="s">
        <v>18</v>
      </c>
      <c r="G1100" s="13"/>
      <c r="H1100" s="45" t="s">
        <v>16</v>
      </c>
      <c r="I1100" s="47"/>
      <c r="J1100" s="12" t="s">
        <v>4083</v>
      </c>
      <c r="K1100" s="13" t="s">
        <v>7900</v>
      </c>
      <c r="L1100" s="99" t="str">
        <f t="shared" si="71"/>
        <v>W2241.9</v>
      </c>
      <c r="M1100" s="13"/>
      <c r="N1100" s="13"/>
      <c r="O1100" s="13"/>
      <c r="P1100" s="47"/>
      <c r="Q1100" s="45"/>
      <c r="R1100" s="45"/>
      <c r="S1100" s="48"/>
      <c r="T1100" s="49" t="str">
        <f t="shared" si="70"/>
        <v>[W2241.9]</v>
      </c>
      <c r="U1100" s="12" t="str">
        <f t="shared" si="73"/>
        <v/>
      </c>
      <c r="V1100" s="49" t="str">
        <f t="shared" si="72"/>
        <v>[W2241.9]</v>
      </c>
    </row>
    <row r="1101" spans="1:22" s="49" customFormat="1" ht="14.15" customHeight="1">
      <c r="A1101" s="43"/>
      <c r="B1101" s="44" t="s">
        <v>157</v>
      </c>
      <c r="C1101" s="50"/>
      <c r="D1101" s="10" t="s">
        <v>29</v>
      </c>
      <c r="E1101" s="11"/>
      <c r="F1101" s="11" t="s">
        <v>18</v>
      </c>
      <c r="G1101" s="13"/>
      <c r="H1101" s="45" t="s">
        <v>16</v>
      </c>
      <c r="I1101" s="47"/>
      <c r="J1101" s="12" t="s">
        <v>4084</v>
      </c>
      <c r="K1101" s="13" t="s">
        <v>7901</v>
      </c>
      <c r="L1101" s="99" t="str">
        <f t="shared" si="71"/>
        <v>W2241.A</v>
      </c>
      <c r="M1101" s="13"/>
      <c r="N1101" s="13"/>
      <c r="O1101" s="13"/>
      <c r="P1101" s="47"/>
      <c r="Q1101" s="45"/>
      <c r="R1101" s="45"/>
      <c r="S1101" s="48"/>
      <c r="T1101" s="49" t="str">
        <f t="shared" si="70"/>
        <v>[W2241.A]</v>
      </c>
      <c r="U1101" s="12" t="str">
        <f t="shared" si="73"/>
        <v/>
      </c>
      <c r="V1101" s="49" t="str">
        <f t="shared" si="72"/>
        <v>[W2241.A]</v>
      </c>
    </row>
    <row r="1102" spans="1:22" s="49" customFormat="1" ht="14.15" customHeight="1">
      <c r="A1102" s="43"/>
      <c r="B1102" s="44" t="s">
        <v>157</v>
      </c>
      <c r="C1102" s="50"/>
      <c r="D1102" s="10" t="s">
        <v>29</v>
      </c>
      <c r="E1102" s="11"/>
      <c r="F1102" s="11" t="s">
        <v>56</v>
      </c>
      <c r="G1102" s="13"/>
      <c r="H1102" s="45" t="s">
        <v>16</v>
      </c>
      <c r="I1102" s="47"/>
      <c r="J1102" s="12" t="s">
        <v>4085</v>
      </c>
      <c r="K1102" s="13" t="s">
        <v>7902</v>
      </c>
      <c r="L1102" s="99" t="str">
        <f t="shared" si="71"/>
        <v>W2241.B</v>
      </c>
      <c r="M1102" s="13"/>
      <c r="N1102" s="13"/>
      <c r="O1102" s="13"/>
      <c r="P1102" s="47"/>
      <c r="Q1102" s="45"/>
      <c r="R1102" s="45"/>
      <c r="S1102" s="48"/>
      <c r="T1102" s="49" t="str">
        <f t="shared" si="70"/>
        <v>[W2241.B]</v>
      </c>
      <c r="U1102" s="12" t="str">
        <f t="shared" si="73"/>
        <v/>
      </c>
      <c r="V1102" s="49" t="str">
        <f t="shared" si="72"/>
        <v>[W2241.B]</v>
      </c>
    </row>
    <row r="1103" spans="1:22" s="49" customFormat="1" ht="14.15" customHeight="1">
      <c r="A1103" s="44"/>
      <c r="B1103" s="44" t="s">
        <v>157</v>
      </c>
      <c r="C1103" s="50"/>
      <c r="D1103" s="10" t="s">
        <v>29</v>
      </c>
      <c r="E1103" s="11"/>
      <c r="F1103" s="11" t="s">
        <v>18</v>
      </c>
      <c r="G1103" s="13"/>
      <c r="H1103" s="45" t="s">
        <v>16</v>
      </c>
      <c r="I1103" s="47"/>
      <c r="J1103" s="12" t="s">
        <v>4086</v>
      </c>
      <c r="K1103" s="13" t="s">
        <v>7903</v>
      </c>
      <c r="L1103" s="99" t="str">
        <f t="shared" si="71"/>
        <v>W2241.C</v>
      </c>
      <c r="M1103" s="13"/>
      <c r="N1103" s="13"/>
      <c r="O1103" s="13"/>
      <c r="P1103" s="47"/>
      <c r="Q1103" s="45"/>
      <c r="R1103" s="45"/>
      <c r="S1103" s="48"/>
      <c r="T1103" s="49" t="str">
        <f t="shared" si="70"/>
        <v>[W2241.C]</v>
      </c>
      <c r="U1103" s="12" t="str">
        <f t="shared" si="73"/>
        <v/>
      </c>
      <c r="V1103" s="49" t="str">
        <f t="shared" si="72"/>
        <v>[W2241.C]</v>
      </c>
    </row>
    <row r="1104" spans="1:22" s="49" customFormat="1" ht="14.15" customHeight="1">
      <c r="A1104" s="43"/>
      <c r="B1104" s="44" t="s">
        <v>157</v>
      </c>
      <c r="C1104" s="50"/>
      <c r="D1104" s="10" t="s">
        <v>29</v>
      </c>
      <c r="E1104" s="11"/>
      <c r="F1104" s="11" t="s">
        <v>18</v>
      </c>
      <c r="G1104" s="13"/>
      <c r="H1104" s="45" t="s">
        <v>16</v>
      </c>
      <c r="I1104" s="47"/>
      <c r="J1104" s="12" t="s">
        <v>4087</v>
      </c>
      <c r="K1104" s="13" t="s">
        <v>7904</v>
      </c>
      <c r="L1104" s="99" t="str">
        <f t="shared" si="71"/>
        <v>W2241.D</v>
      </c>
      <c r="M1104" s="13"/>
      <c r="N1104" s="13"/>
      <c r="O1104" s="13"/>
      <c r="P1104" s="47"/>
      <c r="Q1104" s="45"/>
      <c r="R1104" s="45"/>
      <c r="S1104" s="48"/>
      <c r="T1104" s="49" t="str">
        <f t="shared" si="70"/>
        <v>[W2241.D]</v>
      </c>
      <c r="U1104" s="12" t="str">
        <f t="shared" si="73"/>
        <v/>
      </c>
      <c r="V1104" s="49" t="str">
        <f t="shared" si="72"/>
        <v>[W2241.D]</v>
      </c>
    </row>
    <row r="1105" spans="1:22" s="49" customFormat="1" ht="14.15" customHeight="1">
      <c r="A1105" s="44"/>
      <c r="B1105" s="44" t="s">
        <v>157</v>
      </c>
      <c r="C1105" s="50"/>
      <c r="D1105" s="10" t="s">
        <v>29</v>
      </c>
      <c r="E1105" s="11"/>
      <c r="F1105" s="11" t="s">
        <v>18</v>
      </c>
      <c r="G1105" s="13"/>
      <c r="H1105" s="45" t="s">
        <v>16</v>
      </c>
      <c r="I1105" s="47"/>
      <c r="J1105" s="12" t="s">
        <v>4088</v>
      </c>
      <c r="K1105" s="13" t="s">
        <v>7905</v>
      </c>
      <c r="L1105" s="99" t="str">
        <f t="shared" si="71"/>
        <v>W2241.E</v>
      </c>
      <c r="M1105" s="13"/>
      <c r="N1105" s="13"/>
      <c r="O1105" s="13"/>
      <c r="P1105" s="47"/>
      <c r="Q1105" s="45"/>
      <c r="R1105" s="45"/>
      <c r="S1105" s="48"/>
      <c r="T1105" s="49" t="str">
        <f t="shared" si="70"/>
        <v>[W2241.E]</v>
      </c>
      <c r="U1105" s="12" t="str">
        <f t="shared" si="73"/>
        <v/>
      </c>
      <c r="V1105" s="49" t="str">
        <f t="shared" si="72"/>
        <v>[W2241.E]</v>
      </c>
    </row>
    <row r="1106" spans="1:22" s="49" customFormat="1" ht="14.15" customHeight="1">
      <c r="A1106" s="44"/>
      <c r="B1106" s="44" t="s">
        <v>157</v>
      </c>
      <c r="C1106" s="50"/>
      <c r="D1106" s="10" t="s">
        <v>29</v>
      </c>
      <c r="E1106" s="11"/>
      <c r="F1106" s="11" t="s">
        <v>18</v>
      </c>
      <c r="G1106" s="13"/>
      <c r="H1106" s="45" t="s">
        <v>16</v>
      </c>
      <c r="I1106" s="47"/>
      <c r="J1106" s="12" t="s">
        <v>4089</v>
      </c>
      <c r="K1106" s="13" t="s">
        <v>7906</v>
      </c>
      <c r="L1106" s="99" t="str">
        <f t="shared" si="71"/>
        <v>W2241.F</v>
      </c>
      <c r="M1106" s="13"/>
      <c r="N1106" s="13"/>
      <c r="O1106" s="13"/>
      <c r="P1106" s="47"/>
      <c r="Q1106" s="45"/>
      <c r="R1106" s="45"/>
      <c r="S1106" s="48"/>
      <c r="T1106" s="49" t="str">
        <f t="shared" si="70"/>
        <v>[W2241.F]</v>
      </c>
      <c r="U1106" s="12" t="str">
        <f t="shared" si="73"/>
        <v/>
      </c>
      <c r="V1106" s="49" t="str">
        <f t="shared" si="72"/>
        <v>[W2241.F]</v>
      </c>
    </row>
    <row r="1107" spans="1:22" s="49" customFormat="1" ht="14.15" customHeight="1">
      <c r="A1107" s="44"/>
      <c r="B1107" s="44" t="s">
        <v>157</v>
      </c>
      <c r="C1107" s="50"/>
      <c r="D1107" s="10" t="s">
        <v>29</v>
      </c>
      <c r="E1107" s="11"/>
      <c r="F1107" s="11" t="s">
        <v>18</v>
      </c>
      <c r="G1107" s="13"/>
      <c r="H1107" s="45" t="s">
        <v>16</v>
      </c>
      <c r="I1107" s="47"/>
      <c r="J1107" s="12" t="s">
        <v>4090</v>
      </c>
      <c r="K1107" s="13" t="s">
        <v>7907</v>
      </c>
      <c r="L1107" s="99" t="str">
        <f t="shared" si="71"/>
        <v>W2242.0</v>
      </c>
      <c r="M1107" s="13"/>
      <c r="N1107" s="13"/>
      <c r="O1107" s="13"/>
      <c r="P1107" s="47"/>
      <c r="Q1107" s="45"/>
      <c r="R1107" s="45"/>
      <c r="S1107" s="48"/>
      <c r="T1107" s="49" t="str">
        <f t="shared" si="70"/>
        <v>[W2242.0]</v>
      </c>
      <c r="U1107" s="12" t="str">
        <f t="shared" si="73"/>
        <v/>
      </c>
      <c r="V1107" s="49" t="str">
        <f t="shared" si="72"/>
        <v>[W2242.0]</v>
      </c>
    </row>
    <row r="1108" spans="1:22" s="49" customFormat="1" ht="14.15" customHeight="1">
      <c r="A1108" s="43" t="s">
        <v>5604</v>
      </c>
      <c r="B1108" s="44" t="s">
        <v>157</v>
      </c>
      <c r="C1108" s="50"/>
      <c r="D1108" s="10" t="s">
        <v>29</v>
      </c>
      <c r="E1108" s="11"/>
      <c r="F1108" s="11" t="s">
        <v>18</v>
      </c>
      <c r="G1108" s="13"/>
      <c r="H1108" s="45" t="s">
        <v>16</v>
      </c>
      <c r="I1108" s="47"/>
      <c r="J1108" s="12" t="s">
        <v>5270</v>
      </c>
      <c r="K1108" s="13" t="s">
        <v>7908</v>
      </c>
      <c r="L1108" s="99" t="str">
        <f t="shared" si="71"/>
        <v>W2242.1</v>
      </c>
      <c r="M1108" s="13" t="s">
        <v>153</v>
      </c>
      <c r="N1108" s="13"/>
      <c r="O1108" s="13"/>
      <c r="P1108" s="47"/>
      <c r="Q1108" s="45" t="s">
        <v>3672</v>
      </c>
      <c r="R1108" s="45" t="s">
        <v>5596</v>
      </c>
      <c r="S1108" s="48"/>
      <c r="T1108" s="49" t="str">
        <f t="shared" si="70"/>
        <v>[W2242.1]</v>
      </c>
      <c r="U1108" s="12" t="str">
        <f t="shared" si="73"/>
        <v xml:space="preserve"> 배출 로봇 CONTROLLER 비상정지 中 (XB0E)</v>
      </c>
      <c r="V1108" s="49" t="str">
        <f t="shared" si="72"/>
        <v>[W2242.1] 배출 로봇 CONTROLLER 비상정지 中 (XB0E)</v>
      </c>
    </row>
    <row r="1109" spans="1:22" s="49" customFormat="1" ht="14.15" customHeight="1">
      <c r="A1109" s="43" t="s">
        <v>5604</v>
      </c>
      <c r="B1109" s="44" t="s">
        <v>157</v>
      </c>
      <c r="C1109" s="50"/>
      <c r="D1109" s="10" t="s">
        <v>29</v>
      </c>
      <c r="E1109" s="11"/>
      <c r="F1109" s="11" t="s">
        <v>18</v>
      </c>
      <c r="G1109" s="13"/>
      <c r="H1109" s="45" t="s">
        <v>16</v>
      </c>
      <c r="I1109" s="47"/>
      <c r="J1109" s="12" t="s">
        <v>5271</v>
      </c>
      <c r="K1109" s="13" t="s">
        <v>7909</v>
      </c>
      <c r="L1109" s="99" t="str">
        <f t="shared" si="71"/>
        <v>W2242.2</v>
      </c>
      <c r="M1109" s="13" t="s">
        <v>153</v>
      </c>
      <c r="N1109" s="13"/>
      <c r="O1109" s="13"/>
      <c r="P1109" s="47"/>
      <c r="Q1109" s="45" t="s">
        <v>3672</v>
      </c>
      <c r="R1109" s="45" t="s">
        <v>5596</v>
      </c>
      <c r="S1109" s="48"/>
      <c r="T1109" s="49" t="str">
        <f t="shared" si="70"/>
        <v>[W2242.2]</v>
      </c>
      <c r="U1109" s="12" t="str">
        <f t="shared" si="73"/>
        <v xml:space="preserve"> 배출 로봇 PENDANT 비상정지 中 (XB0D)</v>
      </c>
      <c r="V1109" s="49" t="str">
        <f t="shared" si="72"/>
        <v>[W2242.2] 배출 로봇 PENDANT 비상정지 中 (XB0D)</v>
      </c>
    </row>
    <row r="1110" spans="1:22" s="49" customFormat="1" ht="14.15" customHeight="1">
      <c r="A1110" s="43"/>
      <c r="B1110" s="44" t="s">
        <v>157</v>
      </c>
      <c r="C1110" s="50"/>
      <c r="D1110" s="10" t="s">
        <v>29</v>
      </c>
      <c r="E1110" s="11"/>
      <c r="F1110" s="11" t="s">
        <v>18</v>
      </c>
      <c r="G1110" s="13"/>
      <c r="H1110" s="45" t="s">
        <v>16</v>
      </c>
      <c r="I1110" s="47"/>
      <c r="J1110" s="12" t="s">
        <v>4091</v>
      </c>
      <c r="K1110" s="13" t="s">
        <v>7910</v>
      </c>
      <c r="L1110" s="99" t="str">
        <f t="shared" si="71"/>
        <v>W2242.3</v>
      </c>
      <c r="M1110" s="13"/>
      <c r="N1110" s="13"/>
      <c r="O1110" s="13"/>
      <c r="P1110" s="47"/>
      <c r="Q1110" s="45"/>
      <c r="R1110" s="45"/>
      <c r="S1110" s="48"/>
      <c r="T1110" s="49" t="str">
        <f t="shared" si="70"/>
        <v>[W2242.3]</v>
      </c>
      <c r="U1110" s="12" t="str">
        <f t="shared" si="73"/>
        <v/>
      </c>
      <c r="V1110" s="49" t="str">
        <f t="shared" si="72"/>
        <v>[W2242.3]</v>
      </c>
    </row>
    <row r="1111" spans="1:22" s="49" customFormat="1" ht="14.15" customHeight="1">
      <c r="A1111" s="43"/>
      <c r="B1111" s="44" t="s">
        <v>157</v>
      </c>
      <c r="C1111" s="50"/>
      <c r="D1111" s="10" t="s">
        <v>29</v>
      </c>
      <c r="E1111" s="11"/>
      <c r="F1111" s="11" t="s">
        <v>18</v>
      </c>
      <c r="G1111" s="13"/>
      <c r="H1111" s="45" t="s">
        <v>16</v>
      </c>
      <c r="I1111" s="47"/>
      <c r="J1111" s="12" t="s">
        <v>4092</v>
      </c>
      <c r="K1111" s="13" t="s">
        <v>7911</v>
      </c>
      <c r="L1111" s="99" t="str">
        <f t="shared" si="71"/>
        <v>W2242.4</v>
      </c>
      <c r="M1111" s="13"/>
      <c r="N1111" s="13"/>
      <c r="O1111" s="13"/>
      <c r="P1111" s="47"/>
      <c r="Q1111" s="45"/>
      <c r="R1111" s="45"/>
      <c r="S1111" s="48"/>
      <c r="T1111" s="49" t="str">
        <f t="shared" si="70"/>
        <v>[W2242.4]</v>
      </c>
      <c r="U1111" s="12" t="str">
        <f t="shared" si="73"/>
        <v/>
      </c>
      <c r="V1111" s="49" t="str">
        <f t="shared" si="72"/>
        <v>[W2242.4]</v>
      </c>
    </row>
    <row r="1112" spans="1:22" s="49" customFormat="1" ht="14.15" customHeight="1">
      <c r="A1112" s="43"/>
      <c r="B1112" s="44" t="s">
        <v>157</v>
      </c>
      <c r="C1112" s="50"/>
      <c r="D1112" s="10" t="s">
        <v>29</v>
      </c>
      <c r="E1112" s="11"/>
      <c r="F1112" s="11" t="s">
        <v>18</v>
      </c>
      <c r="G1112" s="13"/>
      <c r="H1112" s="45" t="s">
        <v>16</v>
      </c>
      <c r="I1112" s="47"/>
      <c r="J1112" s="12" t="s">
        <v>4093</v>
      </c>
      <c r="K1112" s="13" t="s">
        <v>7912</v>
      </c>
      <c r="L1112" s="99" t="str">
        <f t="shared" si="71"/>
        <v>W2242.5</v>
      </c>
      <c r="M1112" s="13"/>
      <c r="N1112" s="13"/>
      <c r="O1112" s="13"/>
      <c r="P1112" s="47"/>
      <c r="Q1112" s="45"/>
      <c r="R1112" s="45"/>
      <c r="S1112" s="48"/>
      <c r="T1112" s="49" t="str">
        <f t="shared" si="70"/>
        <v>[W2242.5]</v>
      </c>
      <c r="U1112" s="12" t="str">
        <f t="shared" si="73"/>
        <v/>
      </c>
      <c r="V1112" s="49" t="str">
        <f t="shared" si="72"/>
        <v>[W2242.5]</v>
      </c>
    </row>
    <row r="1113" spans="1:22" s="49" customFormat="1" ht="14.15" customHeight="1">
      <c r="A1113" s="43"/>
      <c r="B1113" s="44" t="s">
        <v>157</v>
      </c>
      <c r="C1113" s="50"/>
      <c r="D1113" s="10" t="s">
        <v>29</v>
      </c>
      <c r="E1113" s="11"/>
      <c r="F1113" s="11" t="s">
        <v>18</v>
      </c>
      <c r="G1113" s="13"/>
      <c r="H1113" s="45" t="s">
        <v>16</v>
      </c>
      <c r="I1113" s="47"/>
      <c r="J1113" s="12" t="s">
        <v>4094</v>
      </c>
      <c r="K1113" s="13" t="s">
        <v>7913</v>
      </c>
      <c r="L1113" s="99" t="str">
        <f t="shared" si="71"/>
        <v>W2242.6</v>
      </c>
      <c r="M1113" s="13"/>
      <c r="N1113" s="13"/>
      <c r="O1113" s="13"/>
      <c r="P1113" s="47"/>
      <c r="Q1113" s="45"/>
      <c r="R1113" s="45"/>
      <c r="S1113" s="48"/>
      <c r="T1113" s="49" t="str">
        <f t="shared" si="70"/>
        <v>[W2242.6]</v>
      </c>
      <c r="U1113" s="12" t="str">
        <f t="shared" si="73"/>
        <v/>
      </c>
      <c r="V1113" s="49" t="str">
        <f t="shared" si="72"/>
        <v>[W2242.6]</v>
      </c>
    </row>
    <row r="1114" spans="1:22" s="49" customFormat="1" ht="14.15" customHeight="1">
      <c r="A1114" s="43"/>
      <c r="B1114" s="44" t="s">
        <v>157</v>
      </c>
      <c r="C1114" s="50"/>
      <c r="D1114" s="10" t="s">
        <v>29</v>
      </c>
      <c r="E1114" s="11"/>
      <c r="F1114" s="11" t="s">
        <v>18</v>
      </c>
      <c r="G1114" s="13"/>
      <c r="H1114" s="45" t="s">
        <v>16</v>
      </c>
      <c r="I1114" s="47"/>
      <c r="J1114" s="12" t="s">
        <v>4095</v>
      </c>
      <c r="K1114" s="13" t="s">
        <v>7914</v>
      </c>
      <c r="L1114" s="99" t="str">
        <f t="shared" si="71"/>
        <v>W2242.7</v>
      </c>
      <c r="M1114" s="13"/>
      <c r="N1114" s="13"/>
      <c r="O1114" s="13"/>
      <c r="P1114" s="47"/>
      <c r="Q1114" s="45"/>
      <c r="R1114" s="45"/>
      <c r="S1114" s="48"/>
      <c r="T1114" s="49" t="str">
        <f t="shared" si="70"/>
        <v>[W2242.7]</v>
      </c>
      <c r="U1114" s="12" t="str">
        <f t="shared" si="73"/>
        <v/>
      </c>
      <c r="V1114" s="49" t="str">
        <f t="shared" si="72"/>
        <v>[W2242.7]</v>
      </c>
    </row>
    <row r="1115" spans="1:22" s="49" customFormat="1" ht="14.15" customHeight="1">
      <c r="A1115" s="43"/>
      <c r="B1115" s="44" t="s">
        <v>157</v>
      </c>
      <c r="C1115" s="50"/>
      <c r="D1115" s="10" t="s">
        <v>29</v>
      </c>
      <c r="E1115" s="11"/>
      <c r="F1115" s="11" t="s">
        <v>18</v>
      </c>
      <c r="G1115" s="13"/>
      <c r="H1115" s="45" t="s">
        <v>16</v>
      </c>
      <c r="I1115" s="47"/>
      <c r="J1115" s="12" t="s">
        <v>4096</v>
      </c>
      <c r="K1115" s="13" t="s">
        <v>7915</v>
      </c>
      <c r="L1115" s="99" t="str">
        <f t="shared" si="71"/>
        <v>W2242.8</v>
      </c>
      <c r="M1115" s="13"/>
      <c r="N1115" s="13"/>
      <c r="O1115" s="13"/>
      <c r="P1115" s="47"/>
      <c r="Q1115" s="45"/>
      <c r="R1115" s="45"/>
      <c r="S1115" s="48"/>
      <c r="T1115" s="49" t="str">
        <f t="shared" si="70"/>
        <v>[W2242.8]</v>
      </c>
      <c r="U1115" s="12" t="str">
        <f t="shared" si="73"/>
        <v/>
      </c>
      <c r="V1115" s="49" t="str">
        <f t="shared" si="72"/>
        <v>[W2242.8]</v>
      </c>
    </row>
    <row r="1116" spans="1:22" s="49" customFormat="1" ht="14.15" customHeight="1">
      <c r="A1116" s="44"/>
      <c r="B1116" s="44" t="s">
        <v>157</v>
      </c>
      <c r="C1116" s="50"/>
      <c r="D1116" s="10" t="s">
        <v>29</v>
      </c>
      <c r="E1116" s="11"/>
      <c r="F1116" s="11" t="s">
        <v>18</v>
      </c>
      <c r="G1116" s="13"/>
      <c r="H1116" s="45" t="s">
        <v>16</v>
      </c>
      <c r="I1116" s="47"/>
      <c r="J1116" s="12" t="s">
        <v>4097</v>
      </c>
      <c r="K1116" s="13" t="s">
        <v>7916</v>
      </c>
      <c r="L1116" s="99" t="str">
        <f t="shared" si="71"/>
        <v>W2242.9</v>
      </c>
      <c r="M1116" s="13"/>
      <c r="N1116" s="13"/>
      <c r="O1116" s="13"/>
      <c r="P1116" s="47"/>
      <c r="Q1116" s="45"/>
      <c r="R1116" s="45"/>
      <c r="S1116" s="48"/>
      <c r="T1116" s="49" t="str">
        <f t="shared" si="70"/>
        <v>[W2242.9]</v>
      </c>
      <c r="U1116" s="12" t="str">
        <f t="shared" si="73"/>
        <v/>
      </c>
      <c r="V1116" s="49" t="str">
        <f t="shared" si="72"/>
        <v>[W2242.9]</v>
      </c>
    </row>
    <row r="1117" spans="1:22" s="49" customFormat="1" ht="14.15" customHeight="1">
      <c r="A1117" s="44"/>
      <c r="B1117" s="44" t="s">
        <v>157</v>
      </c>
      <c r="C1117" s="50"/>
      <c r="D1117" s="10" t="s">
        <v>29</v>
      </c>
      <c r="E1117" s="11"/>
      <c r="F1117" s="11" t="s">
        <v>18</v>
      </c>
      <c r="G1117" s="13"/>
      <c r="H1117" s="45" t="s">
        <v>16</v>
      </c>
      <c r="I1117" s="47"/>
      <c r="J1117" s="12" t="s">
        <v>4098</v>
      </c>
      <c r="K1117" s="13" t="s">
        <v>7917</v>
      </c>
      <c r="L1117" s="99" t="str">
        <f t="shared" si="71"/>
        <v>W2242.A</v>
      </c>
      <c r="M1117" s="13"/>
      <c r="N1117" s="13"/>
      <c r="O1117" s="13"/>
      <c r="P1117" s="47"/>
      <c r="Q1117" s="45"/>
      <c r="R1117" s="45"/>
      <c r="S1117" s="48"/>
      <c r="T1117" s="49" t="str">
        <f t="shared" si="70"/>
        <v>[W2242.A]</v>
      </c>
      <c r="U1117" s="12" t="str">
        <f t="shared" si="73"/>
        <v/>
      </c>
      <c r="V1117" s="49" t="str">
        <f t="shared" si="72"/>
        <v>[W2242.A]</v>
      </c>
    </row>
    <row r="1118" spans="1:22" s="49" customFormat="1" ht="14.15" customHeight="1">
      <c r="A1118" s="44"/>
      <c r="B1118" s="44" t="s">
        <v>157</v>
      </c>
      <c r="C1118" s="50"/>
      <c r="D1118" s="10" t="s">
        <v>29</v>
      </c>
      <c r="E1118" s="11"/>
      <c r="F1118" s="11" t="s">
        <v>18</v>
      </c>
      <c r="G1118" s="13"/>
      <c r="H1118" s="45" t="s">
        <v>16</v>
      </c>
      <c r="I1118" s="47"/>
      <c r="J1118" s="12" t="s">
        <v>4099</v>
      </c>
      <c r="K1118" s="13" t="s">
        <v>7918</v>
      </c>
      <c r="L1118" s="99" t="str">
        <f t="shared" si="71"/>
        <v>W2242.B</v>
      </c>
      <c r="M1118" s="13"/>
      <c r="N1118" s="13"/>
      <c r="O1118" s="13"/>
      <c r="P1118" s="47"/>
      <c r="Q1118" s="45"/>
      <c r="R1118" s="45"/>
      <c r="S1118" s="48"/>
      <c r="T1118" s="49" t="str">
        <f t="shared" si="70"/>
        <v>[W2242.B]</v>
      </c>
      <c r="U1118" s="12" t="str">
        <f t="shared" si="73"/>
        <v/>
      </c>
      <c r="V1118" s="49" t="str">
        <f t="shared" si="72"/>
        <v>[W2242.B]</v>
      </c>
    </row>
    <row r="1119" spans="1:22" s="49" customFormat="1" ht="14.15" customHeight="1">
      <c r="A1119" s="44"/>
      <c r="B1119" s="44" t="s">
        <v>157</v>
      </c>
      <c r="C1119" s="50"/>
      <c r="D1119" s="10" t="s">
        <v>29</v>
      </c>
      <c r="E1119" s="11"/>
      <c r="F1119" s="11" t="s">
        <v>18</v>
      </c>
      <c r="G1119" s="13"/>
      <c r="H1119" s="45" t="s">
        <v>16</v>
      </c>
      <c r="I1119" s="47"/>
      <c r="J1119" s="12" t="s">
        <v>4100</v>
      </c>
      <c r="K1119" s="13" t="s">
        <v>7919</v>
      </c>
      <c r="L1119" s="99" t="str">
        <f t="shared" si="71"/>
        <v>W2242.C</v>
      </c>
      <c r="M1119" s="13"/>
      <c r="N1119" s="13"/>
      <c r="O1119" s="13"/>
      <c r="P1119" s="47"/>
      <c r="Q1119" s="45"/>
      <c r="R1119" s="45"/>
      <c r="S1119" s="48"/>
      <c r="T1119" s="49" t="str">
        <f t="shared" si="70"/>
        <v>[W2242.C]</v>
      </c>
      <c r="U1119" s="12" t="str">
        <f t="shared" si="73"/>
        <v/>
      </c>
      <c r="V1119" s="49" t="str">
        <f t="shared" si="72"/>
        <v>[W2242.C]</v>
      </c>
    </row>
    <row r="1120" spans="1:22" s="49" customFormat="1" ht="14.15" customHeight="1">
      <c r="A1120" s="43"/>
      <c r="B1120" s="44" t="s">
        <v>157</v>
      </c>
      <c r="C1120" s="50"/>
      <c r="D1120" s="10" t="s">
        <v>29</v>
      </c>
      <c r="E1120" s="11"/>
      <c r="F1120" s="11" t="s">
        <v>18</v>
      </c>
      <c r="G1120" s="13"/>
      <c r="H1120" s="45" t="s">
        <v>16</v>
      </c>
      <c r="I1120" s="47"/>
      <c r="J1120" s="12" t="s">
        <v>4101</v>
      </c>
      <c r="K1120" s="13" t="s">
        <v>7920</v>
      </c>
      <c r="L1120" s="99" t="str">
        <f t="shared" si="71"/>
        <v>W2242.D</v>
      </c>
      <c r="M1120" s="13"/>
      <c r="N1120" s="13"/>
      <c r="O1120" s="13"/>
      <c r="P1120" s="47"/>
      <c r="Q1120" s="45"/>
      <c r="R1120" s="45"/>
      <c r="S1120" s="48"/>
      <c r="T1120" s="49" t="str">
        <f t="shared" si="70"/>
        <v>[W2242.D]</v>
      </c>
      <c r="U1120" s="12" t="str">
        <f t="shared" si="73"/>
        <v/>
      </c>
      <c r="V1120" s="49" t="str">
        <f t="shared" si="72"/>
        <v>[W2242.D]</v>
      </c>
    </row>
    <row r="1121" spans="1:22" s="49" customFormat="1" ht="14.15" customHeight="1">
      <c r="A1121" s="43"/>
      <c r="B1121" s="44" t="s">
        <v>157</v>
      </c>
      <c r="C1121" s="50"/>
      <c r="D1121" s="10" t="s">
        <v>29</v>
      </c>
      <c r="E1121" s="11"/>
      <c r="F1121" s="11" t="s">
        <v>18</v>
      </c>
      <c r="G1121" s="13"/>
      <c r="H1121" s="45" t="s">
        <v>16</v>
      </c>
      <c r="I1121" s="47"/>
      <c r="J1121" s="12" t="s">
        <v>4102</v>
      </c>
      <c r="K1121" s="13" t="s">
        <v>7921</v>
      </c>
      <c r="L1121" s="99" t="str">
        <f t="shared" si="71"/>
        <v>W2242.E</v>
      </c>
      <c r="M1121" s="13"/>
      <c r="N1121" s="13"/>
      <c r="O1121" s="13"/>
      <c r="P1121" s="47"/>
      <c r="Q1121" s="45"/>
      <c r="R1121" s="45"/>
      <c r="S1121" s="48"/>
      <c r="T1121" s="49" t="str">
        <f t="shared" si="70"/>
        <v>[W2242.E]</v>
      </c>
      <c r="U1121" s="12" t="str">
        <f t="shared" si="73"/>
        <v/>
      </c>
      <c r="V1121" s="49" t="str">
        <f t="shared" si="72"/>
        <v>[W2242.E]</v>
      </c>
    </row>
    <row r="1122" spans="1:22" s="49" customFormat="1" ht="14.15" customHeight="1">
      <c r="A1122" s="43"/>
      <c r="B1122" s="44" t="s">
        <v>157</v>
      </c>
      <c r="C1122" s="50"/>
      <c r="D1122" s="10" t="s">
        <v>29</v>
      </c>
      <c r="E1122" s="11"/>
      <c r="F1122" s="11" t="s">
        <v>18</v>
      </c>
      <c r="G1122" s="13"/>
      <c r="H1122" s="45" t="s">
        <v>16</v>
      </c>
      <c r="I1122" s="47"/>
      <c r="J1122" s="12" t="s">
        <v>4103</v>
      </c>
      <c r="K1122" s="13" t="s">
        <v>7922</v>
      </c>
      <c r="L1122" s="99" t="str">
        <f t="shared" si="71"/>
        <v>W2242.F</v>
      </c>
      <c r="M1122" s="13"/>
      <c r="N1122" s="13"/>
      <c r="O1122" s="13"/>
      <c r="P1122" s="47"/>
      <c r="Q1122" s="45"/>
      <c r="R1122" s="45"/>
      <c r="S1122" s="48"/>
      <c r="T1122" s="49" t="str">
        <f t="shared" si="70"/>
        <v>[W2242.F]</v>
      </c>
      <c r="U1122" s="12" t="str">
        <f t="shared" si="73"/>
        <v/>
      </c>
      <c r="V1122" s="49" t="str">
        <f t="shared" si="72"/>
        <v>[W2242.F]</v>
      </c>
    </row>
    <row r="1123" spans="1:22" s="49" customFormat="1" ht="14.15" customHeight="1">
      <c r="A1123" s="44"/>
      <c r="B1123" s="44" t="s">
        <v>157</v>
      </c>
      <c r="C1123" s="50"/>
      <c r="D1123" s="10" t="s">
        <v>29</v>
      </c>
      <c r="E1123" s="11"/>
      <c r="F1123" s="11" t="s">
        <v>18</v>
      </c>
      <c r="G1123" s="13"/>
      <c r="H1123" s="45" t="s">
        <v>16</v>
      </c>
      <c r="I1123" s="47"/>
      <c r="J1123" s="12" t="s">
        <v>4104</v>
      </c>
      <c r="K1123" s="13" t="s">
        <v>7923</v>
      </c>
      <c r="L1123" s="99" t="str">
        <f t="shared" si="71"/>
        <v>W2243.0</v>
      </c>
      <c r="M1123" s="13"/>
      <c r="N1123" s="13"/>
      <c r="O1123" s="13"/>
      <c r="P1123" s="47"/>
      <c r="Q1123" s="45"/>
      <c r="R1123" s="45"/>
      <c r="S1123" s="48"/>
      <c r="T1123" s="49" t="str">
        <f t="shared" si="70"/>
        <v>[W2243.0]</v>
      </c>
      <c r="U1123" s="12" t="str">
        <f t="shared" si="73"/>
        <v/>
      </c>
      <c r="V1123" s="49" t="str">
        <f t="shared" si="72"/>
        <v>[W2243.0]</v>
      </c>
    </row>
    <row r="1124" spans="1:22" s="49" customFormat="1" ht="14.15" customHeight="1">
      <c r="A1124" s="43"/>
      <c r="B1124" s="44" t="s">
        <v>157</v>
      </c>
      <c r="C1124" s="50"/>
      <c r="D1124" s="10" t="s">
        <v>29</v>
      </c>
      <c r="E1124" s="11"/>
      <c r="F1124" s="11" t="s">
        <v>18</v>
      </c>
      <c r="G1124" s="13"/>
      <c r="H1124" s="45" t="s">
        <v>16</v>
      </c>
      <c r="I1124" s="47"/>
      <c r="J1124" s="12" t="s">
        <v>4105</v>
      </c>
      <c r="K1124" s="13" t="s">
        <v>7924</v>
      </c>
      <c r="L1124" s="99" t="str">
        <f t="shared" si="71"/>
        <v>W2243.1</v>
      </c>
      <c r="M1124" s="13"/>
      <c r="N1124" s="13"/>
      <c r="O1124" s="13"/>
      <c r="P1124" s="47"/>
      <c r="Q1124" s="45"/>
      <c r="R1124" s="45"/>
      <c r="S1124" s="48"/>
      <c r="T1124" s="49" t="str">
        <f t="shared" si="70"/>
        <v>[W2243.1]</v>
      </c>
      <c r="U1124" s="12" t="str">
        <f t="shared" si="73"/>
        <v/>
      </c>
      <c r="V1124" s="49" t="str">
        <f t="shared" si="72"/>
        <v>[W2243.1]</v>
      </c>
    </row>
    <row r="1125" spans="1:22" s="49" customFormat="1" ht="14.15" customHeight="1">
      <c r="A1125" s="44"/>
      <c r="B1125" s="44" t="s">
        <v>157</v>
      </c>
      <c r="C1125" s="50"/>
      <c r="D1125" s="10" t="s">
        <v>29</v>
      </c>
      <c r="E1125" s="11"/>
      <c r="F1125" s="11" t="s">
        <v>18</v>
      </c>
      <c r="G1125" s="13"/>
      <c r="H1125" s="45" t="s">
        <v>16</v>
      </c>
      <c r="I1125" s="47"/>
      <c r="J1125" s="12" t="s">
        <v>4106</v>
      </c>
      <c r="K1125" s="13" t="s">
        <v>7925</v>
      </c>
      <c r="L1125" s="99" t="str">
        <f t="shared" si="71"/>
        <v>W2243.2</v>
      </c>
      <c r="M1125" s="13"/>
      <c r="N1125" s="13"/>
      <c r="O1125" s="13"/>
      <c r="P1125" s="47"/>
      <c r="Q1125" s="45"/>
      <c r="R1125" s="45"/>
      <c r="S1125" s="48"/>
      <c r="T1125" s="49" t="str">
        <f t="shared" si="70"/>
        <v>[W2243.2]</v>
      </c>
      <c r="U1125" s="12" t="str">
        <f t="shared" si="73"/>
        <v/>
      </c>
      <c r="V1125" s="49" t="str">
        <f t="shared" si="72"/>
        <v>[W2243.2]</v>
      </c>
    </row>
    <row r="1126" spans="1:22" s="49" customFormat="1" ht="14.15" customHeight="1">
      <c r="A1126" s="44"/>
      <c r="B1126" s="44" t="s">
        <v>157</v>
      </c>
      <c r="C1126" s="50"/>
      <c r="D1126" s="10" t="s">
        <v>29</v>
      </c>
      <c r="E1126" s="11"/>
      <c r="F1126" s="11" t="s">
        <v>18</v>
      </c>
      <c r="G1126" s="13"/>
      <c r="H1126" s="45" t="s">
        <v>16</v>
      </c>
      <c r="I1126" s="47"/>
      <c r="J1126" s="12" t="s">
        <v>4107</v>
      </c>
      <c r="K1126" s="13" t="s">
        <v>7926</v>
      </c>
      <c r="L1126" s="99" t="str">
        <f t="shared" si="71"/>
        <v>W2243.3</v>
      </c>
      <c r="M1126" s="13"/>
      <c r="N1126" s="13"/>
      <c r="O1126" s="13"/>
      <c r="P1126" s="47"/>
      <c r="Q1126" s="45"/>
      <c r="R1126" s="45"/>
      <c r="S1126" s="48"/>
      <c r="T1126" s="49" t="str">
        <f t="shared" si="70"/>
        <v>[W2243.3]</v>
      </c>
      <c r="U1126" s="12" t="str">
        <f t="shared" si="73"/>
        <v/>
      </c>
      <c r="V1126" s="49" t="str">
        <f t="shared" si="72"/>
        <v>[W2243.3]</v>
      </c>
    </row>
    <row r="1127" spans="1:22" s="49" customFormat="1" ht="14.15" customHeight="1">
      <c r="A1127" s="44"/>
      <c r="B1127" s="44" t="s">
        <v>157</v>
      </c>
      <c r="C1127" s="50"/>
      <c r="D1127" s="10" t="s">
        <v>29</v>
      </c>
      <c r="E1127" s="11"/>
      <c r="F1127" s="11" t="s">
        <v>18</v>
      </c>
      <c r="G1127" s="13"/>
      <c r="H1127" s="45" t="s">
        <v>16</v>
      </c>
      <c r="I1127" s="47"/>
      <c r="J1127" s="12" t="s">
        <v>4108</v>
      </c>
      <c r="K1127" s="13" t="s">
        <v>7927</v>
      </c>
      <c r="L1127" s="99" t="str">
        <f t="shared" si="71"/>
        <v>W2243.4</v>
      </c>
      <c r="M1127" s="13"/>
      <c r="N1127" s="13"/>
      <c r="O1127" s="13"/>
      <c r="P1127" s="47"/>
      <c r="Q1127" s="45"/>
      <c r="R1127" s="45"/>
      <c r="S1127" s="48"/>
      <c r="T1127" s="49" t="str">
        <f t="shared" si="70"/>
        <v>[W2243.4]</v>
      </c>
      <c r="U1127" s="12" t="str">
        <f t="shared" si="73"/>
        <v/>
      </c>
      <c r="V1127" s="49" t="str">
        <f t="shared" si="72"/>
        <v>[W2243.4]</v>
      </c>
    </row>
    <row r="1128" spans="1:22" s="49" customFormat="1" ht="14.15" customHeight="1">
      <c r="A1128" s="44"/>
      <c r="B1128" s="44" t="s">
        <v>157</v>
      </c>
      <c r="C1128" s="50"/>
      <c r="D1128" s="10" t="s">
        <v>29</v>
      </c>
      <c r="E1128" s="11"/>
      <c r="F1128" s="11" t="s">
        <v>18</v>
      </c>
      <c r="G1128" s="13"/>
      <c r="H1128" s="45" t="s">
        <v>16</v>
      </c>
      <c r="I1128" s="47"/>
      <c r="J1128" s="12" t="s">
        <v>4109</v>
      </c>
      <c r="K1128" s="13" t="s">
        <v>7928</v>
      </c>
      <c r="L1128" s="99" t="str">
        <f t="shared" si="71"/>
        <v>W2243.5</v>
      </c>
      <c r="M1128" s="13"/>
      <c r="N1128" s="13"/>
      <c r="O1128" s="13"/>
      <c r="P1128" s="47"/>
      <c r="Q1128" s="45"/>
      <c r="R1128" s="45"/>
      <c r="S1128" s="48"/>
      <c r="T1128" s="49" t="str">
        <f t="shared" si="70"/>
        <v>[W2243.5]</v>
      </c>
      <c r="U1128" s="12" t="str">
        <f t="shared" si="73"/>
        <v/>
      </c>
      <c r="V1128" s="49" t="str">
        <f t="shared" si="72"/>
        <v>[W2243.5]</v>
      </c>
    </row>
    <row r="1129" spans="1:22" s="49" customFormat="1" ht="14.15" customHeight="1">
      <c r="A1129" s="43"/>
      <c r="B1129" s="44" t="s">
        <v>157</v>
      </c>
      <c r="C1129" s="50"/>
      <c r="D1129" s="10" t="s">
        <v>29</v>
      </c>
      <c r="E1129" s="11"/>
      <c r="F1129" s="11" t="s">
        <v>18</v>
      </c>
      <c r="G1129" s="13"/>
      <c r="H1129" s="45" t="s">
        <v>16</v>
      </c>
      <c r="I1129" s="47"/>
      <c r="J1129" s="12" t="s">
        <v>4110</v>
      </c>
      <c r="K1129" s="13" t="s">
        <v>7929</v>
      </c>
      <c r="L1129" s="99" t="str">
        <f t="shared" si="71"/>
        <v>W2243.6</v>
      </c>
      <c r="M1129" s="13"/>
      <c r="N1129" s="13"/>
      <c r="O1129" s="13"/>
      <c r="P1129" s="47"/>
      <c r="Q1129" s="45"/>
      <c r="R1129" s="45"/>
      <c r="S1129" s="48"/>
      <c r="T1129" s="49" t="str">
        <f t="shared" si="70"/>
        <v>[W2243.6]</v>
      </c>
      <c r="U1129" s="12" t="str">
        <f t="shared" si="73"/>
        <v/>
      </c>
      <c r="V1129" s="49" t="str">
        <f t="shared" si="72"/>
        <v>[W2243.6]</v>
      </c>
    </row>
    <row r="1130" spans="1:22" s="49" customFormat="1" ht="14.15" customHeight="1">
      <c r="A1130" s="44"/>
      <c r="B1130" s="44" t="s">
        <v>157</v>
      </c>
      <c r="C1130" s="50"/>
      <c r="D1130" s="10" t="s">
        <v>29</v>
      </c>
      <c r="E1130" s="11"/>
      <c r="F1130" s="11" t="s">
        <v>18</v>
      </c>
      <c r="G1130" s="13"/>
      <c r="H1130" s="45" t="s">
        <v>16</v>
      </c>
      <c r="I1130" s="47"/>
      <c r="J1130" s="12" t="s">
        <v>4111</v>
      </c>
      <c r="K1130" s="13" t="s">
        <v>7930</v>
      </c>
      <c r="L1130" s="99" t="str">
        <f t="shared" si="71"/>
        <v>W2243.7</v>
      </c>
      <c r="M1130" s="13"/>
      <c r="N1130" s="13"/>
      <c r="O1130" s="13"/>
      <c r="P1130" s="47"/>
      <c r="Q1130" s="45"/>
      <c r="R1130" s="45"/>
      <c r="S1130" s="48"/>
      <c r="T1130" s="49" t="str">
        <f t="shared" si="70"/>
        <v>[W2243.7]</v>
      </c>
      <c r="U1130" s="12" t="str">
        <f t="shared" si="73"/>
        <v/>
      </c>
      <c r="V1130" s="49" t="str">
        <f t="shared" si="72"/>
        <v>[W2243.7]</v>
      </c>
    </row>
    <row r="1131" spans="1:22" s="49" customFormat="1" ht="14.15" customHeight="1">
      <c r="A1131" s="44"/>
      <c r="B1131" s="44" t="s">
        <v>157</v>
      </c>
      <c r="C1131" s="50"/>
      <c r="D1131" s="10" t="s">
        <v>29</v>
      </c>
      <c r="E1131" s="11"/>
      <c r="F1131" s="11" t="s">
        <v>18</v>
      </c>
      <c r="G1131" s="13"/>
      <c r="H1131" s="45" t="s">
        <v>16</v>
      </c>
      <c r="I1131" s="47"/>
      <c r="J1131" s="12" t="s">
        <v>4112</v>
      </c>
      <c r="K1131" s="13" t="s">
        <v>7931</v>
      </c>
      <c r="L1131" s="99" t="str">
        <f t="shared" si="71"/>
        <v>W2243.8</v>
      </c>
      <c r="M1131" s="13"/>
      <c r="N1131" s="13"/>
      <c r="O1131" s="13"/>
      <c r="P1131" s="47"/>
      <c r="Q1131" s="45"/>
      <c r="R1131" s="45"/>
      <c r="S1131" s="48"/>
      <c r="T1131" s="49" t="str">
        <f t="shared" si="70"/>
        <v>[W2243.8]</v>
      </c>
      <c r="U1131" s="12" t="str">
        <f t="shared" si="73"/>
        <v/>
      </c>
      <c r="V1131" s="49" t="str">
        <f t="shared" si="72"/>
        <v>[W2243.8]</v>
      </c>
    </row>
    <row r="1132" spans="1:22" s="49" customFormat="1" ht="14.15" customHeight="1">
      <c r="A1132" s="44"/>
      <c r="B1132" s="44" t="s">
        <v>157</v>
      </c>
      <c r="C1132" s="50"/>
      <c r="D1132" s="10" t="s">
        <v>29</v>
      </c>
      <c r="E1132" s="11"/>
      <c r="F1132" s="11" t="s">
        <v>18</v>
      </c>
      <c r="G1132" s="13"/>
      <c r="H1132" s="45" t="s">
        <v>16</v>
      </c>
      <c r="I1132" s="47"/>
      <c r="J1132" s="12" t="s">
        <v>4113</v>
      </c>
      <c r="K1132" s="13" t="s">
        <v>7932</v>
      </c>
      <c r="L1132" s="99" t="str">
        <f t="shared" si="71"/>
        <v>W2243.9</v>
      </c>
      <c r="M1132" s="13"/>
      <c r="N1132" s="13"/>
      <c r="O1132" s="13"/>
      <c r="P1132" s="47"/>
      <c r="Q1132" s="45"/>
      <c r="R1132" s="45"/>
      <c r="S1132" s="48"/>
      <c r="T1132" s="49" t="str">
        <f t="shared" si="70"/>
        <v>[W2243.9]</v>
      </c>
      <c r="U1132" s="12" t="str">
        <f t="shared" si="73"/>
        <v/>
      </c>
      <c r="V1132" s="49" t="str">
        <f t="shared" si="72"/>
        <v>[W2243.9]</v>
      </c>
    </row>
    <row r="1133" spans="1:22" s="49" customFormat="1" ht="14.15" customHeight="1">
      <c r="A1133" s="44"/>
      <c r="B1133" s="44" t="s">
        <v>157</v>
      </c>
      <c r="C1133" s="50"/>
      <c r="D1133" s="10" t="s">
        <v>29</v>
      </c>
      <c r="E1133" s="11"/>
      <c r="F1133" s="11" t="s">
        <v>18</v>
      </c>
      <c r="G1133" s="13"/>
      <c r="H1133" s="45" t="s">
        <v>16</v>
      </c>
      <c r="I1133" s="47"/>
      <c r="J1133" s="12" t="s">
        <v>4114</v>
      </c>
      <c r="K1133" s="13" t="s">
        <v>7933</v>
      </c>
      <c r="L1133" s="99" t="str">
        <f t="shared" si="71"/>
        <v>W2243.A</v>
      </c>
      <c r="M1133" s="13"/>
      <c r="N1133" s="13"/>
      <c r="O1133" s="13"/>
      <c r="P1133" s="47"/>
      <c r="Q1133" s="45"/>
      <c r="R1133" s="45"/>
      <c r="S1133" s="48"/>
      <c r="T1133" s="49" t="str">
        <f t="shared" si="70"/>
        <v>[W2243.A]</v>
      </c>
      <c r="U1133" s="12" t="str">
        <f t="shared" si="73"/>
        <v/>
      </c>
      <c r="V1133" s="49" t="str">
        <f t="shared" si="72"/>
        <v>[W2243.A]</v>
      </c>
    </row>
    <row r="1134" spans="1:22" s="49" customFormat="1" ht="14.15" customHeight="1">
      <c r="A1134" s="44"/>
      <c r="B1134" s="44" t="s">
        <v>157</v>
      </c>
      <c r="C1134" s="50"/>
      <c r="D1134" s="10" t="s">
        <v>29</v>
      </c>
      <c r="E1134" s="11"/>
      <c r="F1134" s="11" t="s">
        <v>18</v>
      </c>
      <c r="G1134" s="13"/>
      <c r="H1134" s="45" t="s">
        <v>16</v>
      </c>
      <c r="I1134" s="47"/>
      <c r="J1134" s="12" t="s">
        <v>4115</v>
      </c>
      <c r="K1134" s="13" t="s">
        <v>7934</v>
      </c>
      <c r="L1134" s="99" t="str">
        <f t="shared" si="71"/>
        <v>W2243.B</v>
      </c>
      <c r="M1134" s="13"/>
      <c r="N1134" s="13"/>
      <c r="O1134" s="13"/>
      <c r="P1134" s="47"/>
      <c r="Q1134" s="45"/>
      <c r="R1134" s="45"/>
      <c r="S1134" s="48"/>
      <c r="T1134" s="49" t="str">
        <f t="shared" si="70"/>
        <v>[W2243.B]</v>
      </c>
      <c r="U1134" s="12" t="str">
        <f t="shared" si="73"/>
        <v/>
      </c>
      <c r="V1134" s="49" t="str">
        <f t="shared" si="72"/>
        <v>[W2243.B]</v>
      </c>
    </row>
    <row r="1135" spans="1:22" s="49" customFormat="1" ht="14.15" customHeight="1">
      <c r="A1135" s="44"/>
      <c r="B1135" s="44" t="s">
        <v>157</v>
      </c>
      <c r="C1135" s="50"/>
      <c r="D1135" s="10" t="s">
        <v>29</v>
      </c>
      <c r="E1135" s="11"/>
      <c r="F1135" s="11" t="s">
        <v>18</v>
      </c>
      <c r="G1135" s="13"/>
      <c r="H1135" s="45" t="s">
        <v>16</v>
      </c>
      <c r="I1135" s="47"/>
      <c r="J1135" s="12" t="s">
        <v>4116</v>
      </c>
      <c r="K1135" s="13" t="s">
        <v>7935</v>
      </c>
      <c r="L1135" s="99" t="str">
        <f t="shared" si="71"/>
        <v>W2243.C</v>
      </c>
      <c r="M1135" s="13"/>
      <c r="N1135" s="13"/>
      <c r="O1135" s="13"/>
      <c r="P1135" s="47"/>
      <c r="Q1135" s="45"/>
      <c r="R1135" s="45"/>
      <c r="S1135" s="48"/>
      <c r="T1135" s="49" t="str">
        <f t="shared" si="70"/>
        <v>[W2243.C]</v>
      </c>
      <c r="U1135" s="12" t="str">
        <f t="shared" si="73"/>
        <v/>
      </c>
      <c r="V1135" s="49" t="str">
        <f t="shared" si="72"/>
        <v>[W2243.C]</v>
      </c>
    </row>
    <row r="1136" spans="1:22" s="49" customFormat="1" ht="14.15" customHeight="1">
      <c r="A1136" s="43"/>
      <c r="B1136" s="44" t="s">
        <v>157</v>
      </c>
      <c r="C1136" s="50"/>
      <c r="D1136" s="10" t="s">
        <v>29</v>
      </c>
      <c r="E1136" s="11"/>
      <c r="F1136" s="11" t="s">
        <v>18</v>
      </c>
      <c r="G1136" s="13"/>
      <c r="H1136" s="45" t="s">
        <v>16</v>
      </c>
      <c r="I1136" s="47"/>
      <c r="J1136" s="12" t="s">
        <v>4117</v>
      </c>
      <c r="K1136" s="13" t="s">
        <v>7936</v>
      </c>
      <c r="L1136" s="99" t="str">
        <f t="shared" si="71"/>
        <v>W2243.D</v>
      </c>
      <c r="M1136" s="13"/>
      <c r="N1136" s="13"/>
      <c r="O1136" s="13"/>
      <c r="P1136" s="47"/>
      <c r="Q1136" s="45"/>
      <c r="R1136" s="45"/>
      <c r="S1136" s="48"/>
      <c r="T1136" s="49" t="str">
        <f t="shared" si="70"/>
        <v>[W2243.D]</v>
      </c>
      <c r="U1136" s="12" t="str">
        <f t="shared" si="73"/>
        <v/>
      </c>
      <c r="V1136" s="49" t="str">
        <f t="shared" si="72"/>
        <v>[W2243.D]</v>
      </c>
    </row>
    <row r="1137" spans="1:22" s="49" customFormat="1" ht="14.15" customHeight="1">
      <c r="A1137" s="43"/>
      <c r="B1137" s="44" t="s">
        <v>157</v>
      </c>
      <c r="C1137" s="50"/>
      <c r="D1137" s="10" t="s">
        <v>29</v>
      </c>
      <c r="E1137" s="11"/>
      <c r="F1137" s="11" t="s">
        <v>18</v>
      </c>
      <c r="G1137" s="13"/>
      <c r="H1137" s="45" t="s">
        <v>16</v>
      </c>
      <c r="I1137" s="47"/>
      <c r="J1137" s="12" t="s">
        <v>4118</v>
      </c>
      <c r="K1137" s="13" t="s">
        <v>7937</v>
      </c>
      <c r="L1137" s="99" t="str">
        <f t="shared" si="71"/>
        <v>W2243.E</v>
      </c>
      <c r="M1137" s="13"/>
      <c r="N1137" s="13"/>
      <c r="O1137" s="13"/>
      <c r="P1137" s="47"/>
      <c r="Q1137" s="45"/>
      <c r="R1137" s="45"/>
      <c r="S1137" s="48"/>
      <c r="T1137" s="49" t="str">
        <f t="shared" si="70"/>
        <v>[W2243.E]</v>
      </c>
      <c r="U1137" s="12" t="str">
        <f t="shared" si="73"/>
        <v/>
      </c>
      <c r="V1137" s="49" t="str">
        <f t="shared" si="72"/>
        <v>[W2243.E]</v>
      </c>
    </row>
    <row r="1138" spans="1:22" s="49" customFormat="1" ht="14.15" customHeight="1">
      <c r="A1138" s="43"/>
      <c r="B1138" s="44" t="s">
        <v>157</v>
      </c>
      <c r="C1138" s="50"/>
      <c r="D1138" s="10" t="s">
        <v>29</v>
      </c>
      <c r="E1138" s="11"/>
      <c r="F1138" s="11" t="s">
        <v>18</v>
      </c>
      <c r="G1138" s="13"/>
      <c r="H1138" s="45" t="s">
        <v>16</v>
      </c>
      <c r="I1138" s="47"/>
      <c r="J1138" s="12" t="s">
        <v>4119</v>
      </c>
      <c r="K1138" s="13" t="s">
        <v>7938</v>
      </c>
      <c r="L1138" s="99" t="str">
        <f t="shared" si="71"/>
        <v>W2243.F</v>
      </c>
      <c r="M1138" s="13"/>
      <c r="N1138" s="13"/>
      <c r="O1138" s="13"/>
      <c r="P1138" s="47"/>
      <c r="Q1138" s="45"/>
      <c r="R1138" s="45"/>
      <c r="S1138" s="48"/>
      <c r="T1138" s="49" t="str">
        <f t="shared" si="70"/>
        <v>[W2243.F]</v>
      </c>
      <c r="U1138" s="12" t="str">
        <f t="shared" si="73"/>
        <v/>
      </c>
      <c r="V1138" s="49" t="str">
        <f t="shared" si="72"/>
        <v>[W2243.F]</v>
      </c>
    </row>
    <row r="1139" spans="1:22" s="49" customFormat="1" ht="14.15" customHeight="1">
      <c r="A1139" s="44"/>
      <c r="B1139" s="44" t="s">
        <v>157</v>
      </c>
      <c r="C1139" s="50"/>
      <c r="D1139" s="10" t="s">
        <v>29</v>
      </c>
      <c r="E1139" s="11"/>
      <c r="F1139" s="11" t="s">
        <v>18</v>
      </c>
      <c r="G1139" s="13"/>
      <c r="H1139" s="45" t="s">
        <v>16</v>
      </c>
      <c r="I1139" s="47"/>
      <c r="J1139" s="12" t="s">
        <v>4120</v>
      </c>
      <c r="K1139" s="13" t="s">
        <v>7939</v>
      </c>
      <c r="L1139" s="99" t="str">
        <f t="shared" si="71"/>
        <v>W2244.0</v>
      </c>
      <c r="M1139" s="13"/>
      <c r="N1139" s="13"/>
      <c r="O1139" s="13"/>
      <c r="P1139" s="47"/>
      <c r="Q1139" s="45"/>
      <c r="R1139" s="45"/>
      <c r="S1139" s="48"/>
      <c r="T1139" s="49" t="str">
        <f>"["&amp;L1109&amp;"]"</f>
        <v>[W2242.2]</v>
      </c>
      <c r="U1139" s="12" t="str">
        <f>RIGHT(J1109,LEN(J1109)-7)</f>
        <v xml:space="preserve"> 배출 로봇 PENDANT 비상정지 中 (XB0D)</v>
      </c>
      <c r="V1139" s="49" t="str">
        <f>T1109&amp;U1109</f>
        <v>[W2242.2] 배출 로봇 PENDANT 비상정지 中 (XB0D)</v>
      </c>
    </row>
    <row r="1140" spans="1:22" s="49" customFormat="1" ht="14.15" customHeight="1">
      <c r="A1140" s="44"/>
      <c r="B1140" s="44" t="s">
        <v>157</v>
      </c>
      <c r="C1140" s="50"/>
      <c r="D1140" s="10" t="s">
        <v>29</v>
      </c>
      <c r="E1140" s="11"/>
      <c r="F1140" s="11" t="s">
        <v>18</v>
      </c>
      <c r="G1140" s="13"/>
      <c r="H1140" s="45" t="s">
        <v>16</v>
      </c>
      <c r="I1140" s="47"/>
      <c r="J1140" s="12" t="s">
        <v>4121</v>
      </c>
      <c r="K1140" s="13" t="s">
        <v>7940</v>
      </c>
      <c r="L1140" s="99" t="str">
        <f t="shared" ref="L1140:L1203" si="74">"W"&amp;DEC2HEX(8704 + INT((ROW()-51)/16)) &amp; "." &amp; IF(MOD(ROW()-51,16)&lt;10,MOD(ROW()-51,16),CHAR(MOD(ROW()-51,16)+55))</f>
        <v>W2244.1</v>
      </c>
      <c r="M1140" s="13"/>
      <c r="N1140" s="13"/>
      <c r="O1140" s="13"/>
      <c r="P1140" s="47"/>
      <c r="Q1140" s="45"/>
      <c r="R1140" s="45"/>
      <c r="S1140" s="48"/>
      <c r="T1140" s="49" t="str">
        <f t="shared" ref="T1140:T1203" si="75">"["&amp;L1140&amp;"]"</f>
        <v>[W2244.1]</v>
      </c>
      <c r="U1140" s="12" t="str">
        <f t="shared" ref="U1140:U1203" si="76">RIGHT(J1140,LEN(J1140)-7)</f>
        <v/>
      </c>
      <c r="V1140" s="49" t="str">
        <f t="shared" ref="V1140:V1203" si="77">T1140&amp;U1140</f>
        <v>[W2244.1]</v>
      </c>
    </row>
    <row r="1141" spans="1:22" s="49" customFormat="1" ht="14.15" customHeight="1">
      <c r="A1141" s="44"/>
      <c r="B1141" s="44" t="s">
        <v>157</v>
      </c>
      <c r="C1141" s="50"/>
      <c r="D1141" s="10" t="s">
        <v>29</v>
      </c>
      <c r="E1141" s="11"/>
      <c r="F1141" s="11" t="s">
        <v>18</v>
      </c>
      <c r="G1141" s="13"/>
      <c r="H1141" s="45" t="s">
        <v>16</v>
      </c>
      <c r="I1141" s="47"/>
      <c r="J1141" s="12" t="s">
        <v>4122</v>
      </c>
      <c r="K1141" s="13" t="s">
        <v>7941</v>
      </c>
      <c r="L1141" s="99" t="str">
        <f t="shared" si="74"/>
        <v>W2244.2</v>
      </c>
      <c r="M1141" s="13"/>
      <c r="N1141" s="13"/>
      <c r="O1141" s="13"/>
      <c r="P1141" s="47"/>
      <c r="Q1141" s="45"/>
      <c r="R1141" s="45"/>
      <c r="S1141" s="48"/>
      <c r="T1141" s="49" t="str">
        <f t="shared" si="75"/>
        <v>[W2244.2]</v>
      </c>
      <c r="U1141" s="12" t="str">
        <f t="shared" si="76"/>
        <v/>
      </c>
      <c r="V1141" s="49" t="str">
        <f t="shared" si="77"/>
        <v>[W2244.2]</v>
      </c>
    </row>
    <row r="1142" spans="1:22" s="49" customFormat="1" ht="14.15" customHeight="1">
      <c r="A1142" s="44"/>
      <c r="B1142" s="44" t="s">
        <v>157</v>
      </c>
      <c r="C1142" s="50"/>
      <c r="D1142" s="10" t="s">
        <v>29</v>
      </c>
      <c r="E1142" s="11"/>
      <c r="F1142" s="11" t="s">
        <v>18</v>
      </c>
      <c r="G1142" s="13"/>
      <c r="H1142" s="45" t="s">
        <v>16</v>
      </c>
      <c r="I1142" s="47"/>
      <c r="J1142" s="12" t="s">
        <v>4123</v>
      </c>
      <c r="K1142" s="13" t="s">
        <v>7942</v>
      </c>
      <c r="L1142" s="99" t="str">
        <f t="shared" si="74"/>
        <v>W2244.3</v>
      </c>
      <c r="M1142" s="13"/>
      <c r="N1142" s="13"/>
      <c r="O1142" s="13"/>
      <c r="P1142" s="47"/>
      <c r="Q1142" s="45"/>
      <c r="R1142" s="45"/>
      <c r="S1142" s="48"/>
      <c r="T1142" s="49" t="str">
        <f t="shared" si="75"/>
        <v>[W2244.3]</v>
      </c>
      <c r="U1142" s="12" t="str">
        <f t="shared" si="76"/>
        <v/>
      </c>
      <c r="V1142" s="49" t="str">
        <f t="shared" si="77"/>
        <v>[W2244.3]</v>
      </c>
    </row>
    <row r="1143" spans="1:22" s="49" customFormat="1" ht="14.15" customHeight="1">
      <c r="A1143" s="44"/>
      <c r="B1143" s="44" t="s">
        <v>157</v>
      </c>
      <c r="C1143" s="50"/>
      <c r="D1143" s="10" t="s">
        <v>29</v>
      </c>
      <c r="E1143" s="11"/>
      <c r="F1143" s="11" t="s">
        <v>18</v>
      </c>
      <c r="G1143" s="13"/>
      <c r="H1143" s="45" t="s">
        <v>16</v>
      </c>
      <c r="I1143" s="47"/>
      <c r="J1143" s="12" t="s">
        <v>4124</v>
      </c>
      <c r="K1143" s="13" t="s">
        <v>7943</v>
      </c>
      <c r="L1143" s="99" t="str">
        <f t="shared" si="74"/>
        <v>W2244.4</v>
      </c>
      <c r="M1143" s="13"/>
      <c r="N1143" s="13"/>
      <c r="O1143" s="13"/>
      <c r="P1143" s="47"/>
      <c r="Q1143" s="45"/>
      <c r="R1143" s="45"/>
      <c r="S1143" s="48"/>
      <c r="T1143" s="49" t="str">
        <f t="shared" si="75"/>
        <v>[W2244.4]</v>
      </c>
      <c r="U1143" s="12" t="str">
        <f t="shared" si="76"/>
        <v/>
      </c>
      <c r="V1143" s="49" t="str">
        <f t="shared" si="77"/>
        <v>[W2244.4]</v>
      </c>
    </row>
    <row r="1144" spans="1:22" s="49" customFormat="1" ht="14.15" customHeight="1">
      <c r="A1144" s="44"/>
      <c r="B1144" s="44" t="s">
        <v>157</v>
      </c>
      <c r="C1144" s="50"/>
      <c r="D1144" s="10" t="s">
        <v>29</v>
      </c>
      <c r="E1144" s="11"/>
      <c r="F1144" s="11" t="s">
        <v>18</v>
      </c>
      <c r="G1144" s="13"/>
      <c r="H1144" s="45" t="s">
        <v>16</v>
      </c>
      <c r="I1144" s="47"/>
      <c r="J1144" s="12" t="s">
        <v>4125</v>
      </c>
      <c r="K1144" s="13" t="s">
        <v>7944</v>
      </c>
      <c r="L1144" s="99" t="str">
        <f t="shared" si="74"/>
        <v>W2244.5</v>
      </c>
      <c r="M1144" s="13"/>
      <c r="N1144" s="13"/>
      <c r="O1144" s="13"/>
      <c r="P1144" s="47"/>
      <c r="Q1144" s="45"/>
      <c r="R1144" s="45"/>
      <c r="S1144" s="48"/>
      <c r="T1144" s="49" t="str">
        <f t="shared" si="75"/>
        <v>[W2244.5]</v>
      </c>
      <c r="U1144" s="12" t="str">
        <f t="shared" si="76"/>
        <v/>
      </c>
      <c r="V1144" s="49" t="str">
        <f t="shared" si="77"/>
        <v>[W2244.5]</v>
      </c>
    </row>
    <row r="1145" spans="1:22" s="49" customFormat="1" ht="14.15" customHeight="1">
      <c r="A1145" s="44"/>
      <c r="B1145" s="44" t="s">
        <v>157</v>
      </c>
      <c r="C1145" s="50"/>
      <c r="D1145" s="10" t="s">
        <v>29</v>
      </c>
      <c r="E1145" s="11"/>
      <c r="F1145" s="11" t="s">
        <v>18</v>
      </c>
      <c r="G1145" s="13"/>
      <c r="H1145" s="45" t="s">
        <v>16</v>
      </c>
      <c r="I1145" s="47"/>
      <c r="J1145" s="12" t="s">
        <v>4126</v>
      </c>
      <c r="K1145" s="13" t="s">
        <v>7945</v>
      </c>
      <c r="L1145" s="99" t="str">
        <f t="shared" si="74"/>
        <v>W2244.6</v>
      </c>
      <c r="M1145" s="13"/>
      <c r="N1145" s="13"/>
      <c r="O1145" s="13"/>
      <c r="P1145" s="47"/>
      <c r="Q1145" s="45"/>
      <c r="R1145" s="45"/>
      <c r="S1145" s="48"/>
      <c r="T1145" s="49" t="str">
        <f t="shared" si="75"/>
        <v>[W2244.6]</v>
      </c>
      <c r="U1145" s="12" t="str">
        <f t="shared" si="76"/>
        <v/>
      </c>
      <c r="V1145" s="49" t="str">
        <f t="shared" si="77"/>
        <v>[W2244.6]</v>
      </c>
    </row>
    <row r="1146" spans="1:22" s="49" customFormat="1" ht="14.15" customHeight="1">
      <c r="A1146" s="44"/>
      <c r="B1146" s="44" t="s">
        <v>157</v>
      </c>
      <c r="C1146" s="50"/>
      <c r="D1146" s="10" t="s">
        <v>29</v>
      </c>
      <c r="E1146" s="11"/>
      <c r="F1146" s="11" t="s">
        <v>18</v>
      </c>
      <c r="G1146" s="13"/>
      <c r="H1146" s="45" t="s">
        <v>16</v>
      </c>
      <c r="I1146" s="47"/>
      <c r="J1146" s="12" t="s">
        <v>4127</v>
      </c>
      <c r="K1146" s="13" t="s">
        <v>7946</v>
      </c>
      <c r="L1146" s="99" t="str">
        <f t="shared" si="74"/>
        <v>W2244.7</v>
      </c>
      <c r="M1146" s="13"/>
      <c r="N1146" s="13"/>
      <c r="O1146" s="13"/>
      <c r="P1146" s="47"/>
      <c r="Q1146" s="45"/>
      <c r="R1146" s="45"/>
      <c r="S1146" s="48"/>
      <c r="T1146" s="49" t="str">
        <f t="shared" si="75"/>
        <v>[W2244.7]</v>
      </c>
      <c r="U1146" s="12" t="str">
        <f t="shared" si="76"/>
        <v/>
      </c>
      <c r="V1146" s="49" t="str">
        <f t="shared" si="77"/>
        <v>[W2244.7]</v>
      </c>
    </row>
    <row r="1147" spans="1:22" s="49" customFormat="1" ht="14.15" customHeight="1">
      <c r="A1147" s="44"/>
      <c r="B1147" s="44" t="s">
        <v>157</v>
      </c>
      <c r="C1147" s="50"/>
      <c r="D1147" s="10" t="s">
        <v>29</v>
      </c>
      <c r="E1147" s="11"/>
      <c r="F1147" s="11" t="s">
        <v>18</v>
      </c>
      <c r="G1147" s="13"/>
      <c r="H1147" s="45" t="s">
        <v>16</v>
      </c>
      <c r="I1147" s="47"/>
      <c r="J1147" s="12" t="s">
        <v>4128</v>
      </c>
      <c r="K1147" s="13" t="s">
        <v>7947</v>
      </c>
      <c r="L1147" s="99" t="str">
        <f t="shared" si="74"/>
        <v>W2244.8</v>
      </c>
      <c r="M1147" s="13"/>
      <c r="N1147" s="13"/>
      <c r="O1147" s="13"/>
      <c r="P1147" s="47"/>
      <c r="Q1147" s="45"/>
      <c r="R1147" s="45"/>
      <c r="S1147" s="48"/>
      <c r="T1147" s="49" t="str">
        <f t="shared" si="75"/>
        <v>[W2244.8]</v>
      </c>
      <c r="U1147" s="12" t="str">
        <f t="shared" si="76"/>
        <v/>
      </c>
      <c r="V1147" s="49" t="str">
        <f t="shared" si="77"/>
        <v>[W2244.8]</v>
      </c>
    </row>
    <row r="1148" spans="1:22" s="49" customFormat="1" ht="14.15" customHeight="1">
      <c r="A1148" s="44"/>
      <c r="B1148" s="44" t="s">
        <v>157</v>
      </c>
      <c r="C1148" s="50"/>
      <c r="D1148" s="10" t="s">
        <v>29</v>
      </c>
      <c r="E1148" s="11"/>
      <c r="F1148" s="11" t="s">
        <v>18</v>
      </c>
      <c r="G1148" s="13"/>
      <c r="H1148" s="45" t="s">
        <v>16</v>
      </c>
      <c r="I1148" s="47"/>
      <c r="J1148" s="12" t="s">
        <v>4129</v>
      </c>
      <c r="K1148" s="13" t="s">
        <v>7948</v>
      </c>
      <c r="L1148" s="99" t="str">
        <f t="shared" si="74"/>
        <v>W2244.9</v>
      </c>
      <c r="M1148" s="13"/>
      <c r="N1148" s="13"/>
      <c r="O1148" s="13"/>
      <c r="P1148" s="47"/>
      <c r="Q1148" s="45"/>
      <c r="R1148" s="45"/>
      <c r="S1148" s="48"/>
      <c r="T1148" s="49" t="str">
        <f t="shared" si="75"/>
        <v>[W2244.9]</v>
      </c>
      <c r="U1148" s="12" t="str">
        <f t="shared" si="76"/>
        <v/>
      </c>
      <c r="V1148" s="49" t="str">
        <f t="shared" si="77"/>
        <v>[W2244.9]</v>
      </c>
    </row>
    <row r="1149" spans="1:22" s="49" customFormat="1" ht="14.15" customHeight="1">
      <c r="A1149" s="44"/>
      <c r="B1149" s="44" t="s">
        <v>157</v>
      </c>
      <c r="C1149" s="50"/>
      <c r="D1149" s="10" t="s">
        <v>29</v>
      </c>
      <c r="E1149" s="11"/>
      <c r="F1149" s="11" t="s">
        <v>18</v>
      </c>
      <c r="G1149" s="13"/>
      <c r="H1149" s="45" t="s">
        <v>16</v>
      </c>
      <c r="I1149" s="47"/>
      <c r="J1149" s="12" t="s">
        <v>4130</v>
      </c>
      <c r="K1149" s="13" t="s">
        <v>7949</v>
      </c>
      <c r="L1149" s="99" t="str">
        <f t="shared" si="74"/>
        <v>W2244.A</v>
      </c>
      <c r="M1149" s="13"/>
      <c r="N1149" s="13"/>
      <c r="O1149" s="13"/>
      <c r="P1149" s="47"/>
      <c r="Q1149" s="45"/>
      <c r="R1149" s="45"/>
      <c r="S1149" s="48"/>
      <c r="T1149" s="49" t="str">
        <f t="shared" si="75"/>
        <v>[W2244.A]</v>
      </c>
      <c r="U1149" s="12" t="str">
        <f t="shared" si="76"/>
        <v/>
      </c>
      <c r="V1149" s="49" t="str">
        <f t="shared" si="77"/>
        <v>[W2244.A]</v>
      </c>
    </row>
    <row r="1150" spans="1:22" s="49" customFormat="1" ht="14.15" customHeight="1">
      <c r="A1150" s="43" t="s">
        <v>5597</v>
      </c>
      <c r="B1150" s="44" t="s">
        <v>157</v>
      </c>
      <c r="C1150" s="50"/>
      <c r="D1150" s="10" t="s">
        <v>29</v>
      </c>
      <c r="E1150" s="11"/>
      <c r="F1150" s="11" t="s">
        <v>18</v>
      </c>
      <c r="G1150" s="13"/>
      <c r="H1150" s="45" t="s">
        <v>16</v>
      </c>
      <c r="I1150" s="47"/>
      <c r="J1150" s="12" t="s">
        <v>5272</v>
      </c>
      <c r="K1150" s="13" t="s">
        <v>7950</v>
      </c>
      <c r="L1150" s="99" t="str">
        <f t="shared" si="74"/>
        <v>W2244.B</v>
      </c>
      <c r="M1150" s="13" t="s">
        <v>17</v>
      </c>
      <c r="N1150" s="13"/>
      <c r="O1150" s="13"/>
      <c r="P1150" s="47"/>
      <c r="Q1150" s="45" t="s">
        <v>3672</v>
      </c>
      <c r="R1150" s="45" t="s">
        <v>5596</v>
      </c>
      <c r="S1150" s="48"/>
      <c r="T1150" s="49" t="str">
        <f t="shared" si="75"/>
        <v>[W2244.B]</v>
      </c>
      <c r="U1150" s="12" t="str">
        <f t="shared" si="76"/>
        <v xml:space="preserve"> 공급셔틀#2 상부 클램프 전진 시간초과</v>
      </c>
      <c r="V1150" s="49" t="str">
        <f t="shared" si="77"/>
        <v>[W2244.B] 공급셔틀#2 상부 클램프 전진 시간초과</v>
      </c>
    </row>
    <row r="1151" spans="1:22" s="49" customFormat="1" ht="14.15" customHeight="1">
      <c r="A1151" s="43" t="s">
        <v>5597</v>
      </c>
      <c r="B1151" s="44" t="s">
        <v>157</v>
      </c>
      <c r="C1151" s="50"/>
      <c r="D1151" s="10" t="s">
        <v>29</v>
      </c>
      <c r="E1151" s="11"/>
      <c r="F1151" s="11" t="s">
        <v>18</v>
      </c>
      <c r="G1151" s="13"/>
      <c r="H1151" s="45" t="s">
        <v>16</v>
      </c>
      <c r="I1151" s="47"/>
      <c r="J1151" s="12" t="s">
        <v>5273</v>
      </c>
      <c r="K1151" s="13" t="s">
        <v>7951</v>
      </c>
      <c r="L1151" s="99" t="str">
        <f t="shared" si="74"/>
        <v>W2244.C</v>
      </c>
      <c r="M1151" s="13" t="s">
        <v>17</v>
      </c>
      <c r="N1151" s="13"/>
      <c r="O1151" s="13"/>
      <c r="P1151" s="47"/>
      <c r="Q1151" s="45" t="s">
        <v>3672</v>
      </c>
      <c r="R1151" s="45" t="s">
        <v>5596</v>
      </c>
      <c r="S1151" s="48"/>
      <c r="T1151" s="49" t="str">
        <f t="shared" si="75"/>
        <v>[W2244.C]</v>
      </c>
      <c r="U1151" s="12" t="str">
        <f t="shared" si="76"/>
        <v xml:space="preserve"> 공급셔틀#2 상부 클램프 후진 시간초과</v>
      </c>
      <c r="V1151" s="49" t="str">
        <f t="shared" si="77"/>
        <v>[W2244.C] 공급셔틀#2 상부 클램프 후진 시간초과</v>
      </c>
    </row>
    <row r="1152" spans="1:22" s="49" customFormat="1" ht="14.15" customHeight="1">
      <c r="A1152" s="43" t="s">
        <v>5597</v>
      </c>
      <c r="B1152" s="44" t="s">
        <v>157</v>
      </c>
      <c r="C1152" s="50"/>
      <c r="D1152" s="10" t="s">
        <v>29</v>
      </c>
      <c r="E1152" s="11"/>
      <c r="F1152" s="11" t="s">
        <v>18</v>
      </c>
      <c r="G1152" s="13"/>
      <c r="H1152" s="45" t="s">
        <v>16</v>
      </c>
      <c r="I1152" s="47"/>
      <c r="J1152" s="12" t="s">
        <v>5274</v>
      </c>
      <c r="K1152" s="13" t="s">
        <v>7952</v>
      </c>
      <c r="L1152" s="99" t="str">
        <f t="shared" si="74"/>
        <v>W2244.D</v>
      </c>
      <c r="M1152" s="13" t="s">
        <v>17</v>
      </c>
      <c r="N1152" s="13"/>
      <c r="O1152" s="13"/>
      <c r="P1152" s="47"/>
      <c r="Q1152" s="45" t="s">
        <v>3672</v>
      </c>
      <c r="R1152" s="45" t="s">
        <v>5596</v>
      </c>
      <c r="S1152" s="48"/>
      <c r="T1152" s="49" t="str">
        <f t="shared" si="75"/>
        <v>[W2244.D]</v>
      </c>
      <c r="U1152" s="12" t="str">
        <f t="shared" si="76"/>
        <v xml:space="preserve"> 공급셔틀#2 상부 클램프 전진/후진 센서이상</v>
      </c>
      <c r="V1152" s="49" t="str">
        <f t="shared" si="77"/>
        <v>[W2244.D] 공급셔틀#2 상부 클램프 전진/후진 센서이상</v>
      </c>
    </row>
    <row r="1153" spans="1:22" s="49" customFormat="1" ht="14.15" customHeight="1">
      <c r="A1153" s="43" t="s">
        <v>5597</v>
      </c>
      <c r="B1153" s="44" t="s">
        <v>157</v>
      </c>
      <c r="C1153" s="50"/>
      <c r="D1153" s="10" t="s">
        <v>29</v>
      </c>
      <c r="E1153" s="11"/>
      <c r="F1153" s="11" t="s">
        <v>18</v>
      </c>
      <c r="G1153" s="13"/>
      <c r="H1153" s="45" t="s">
        <v>16</v>
      </c>
      <c r="I1153" s="47"/>
      <c r="J1153" s="12" t="s">
        <v>5275</v>
      </c>
      <c r="K1153" s="13" t="s">
        <v>7953</v>
      </c>
      <c r="L1153" s="99" t="str">
        <f t="shared" si="74"/>
        <v>W2244.E</v>
      </c>
      <c r="M1153" s="13" t="s">
        <v>17</v>
      </c>
      <c r="N1153" s="13"/>
      <c r="O1153" s="13"/>
      <c r="P1153" s="47"/>
      <c r="Q1153" s="45" t="s">
        <v>3672</v>
      </c>
      <c r="R1153" s="45" t="s">
        <v>5596</v>
      </c>
      <c r="S1153" s="48"/>
      <c r="T1153" s="49" t="str">
        <f t="shared" si="75"/>
        <v>[W2244.E]</v>
      </c>
      <c r="U1153" s="12" t="str">
        <f t="shared" si="76"/>
        <v xml:space="preserve"> 공급셔틀#2 센터 클램프 전진 시간초과</v>
      </c>
      <c r="V1153" s="49" t="str">
        <f t="shared" si="77"/>
        <v>[W2244.E] 공급셔틀#2 센터 클램프 전진 시간초과</v>
      </c>
    </row>
    <row r="1154" spans="1:22" s="49" customFormat="1" ht="14.15" customHeight="1">
      <c r="A1154" s="43" t="s">
        <v>5597</v>
      </c>
      <c r="B1154" s="44" t="s">
        <v>157</v>
      </c>
      <c r="C1154" s="50"/>
      <c r="D1154" s="10" t="s">
        <v>29</v>
      </c>
      <c r="E1154" s="11"/>
      <c r="F1154" s="11" t="s">
        <v>18</v>
      </c>
      <c r="G1154" s="13"/>
      <c r="H1154" s="45" t="s">
        <v>16</v>
      </c>
      <c r="I1154" s="47"/>
      <c r="J1154" s="12" t="s">
        <v>5276</v>
      </c>
      <c r="K1154" s="13" t="s">
        <v>7954</v>
      </c>
      <c r="L1154" s="99" t="str">
        <f t="shared" si="74"/>
        <v>W2244.F</v>
      </c>
      <c r="M1154" s="13" t="s">
        <v>17</v>
      </c>
      <c r="N1154" s="13"/>
      <c r="O1154" s="13"/>
      <c r="P1154" s="47"/>
      <c r="Q1154" s="45" t="s">
        <v>3672</v>
      </c>
      <c r="R1154" s="45" t="s">
        <v>5596</v>
      </c>
      <c r="S1154" s="48"/>
      <c r="T1154" s="49" t="str">
        <f t="shared" si="75"/>
        <v>[W2244.F]</v>
      </c>
      <c r="U1154" s="12" t="str">
        <f t="shared" si="76"/>
        <v xml:space="preserve"> 공급셔틀#2 센터 클램프 후진 시간초과</v>
      </c>
      <c r="V1154" s="49" t="str">
        <f t="shared" si="77"/>
        <v>[W2244.F] 공급셔틀#2 센터 클램프 후진 시간초과</v>
      </c>
    </row>
    <row r="1155" spans="1:22" s="49" customFormat="1" ht="14.15" customHeight="1">
      <c r="A1155" s="43" t="s">
        <v>5597</v>
      </c>
      <c r="B1155" s="44" t="s">
        <v>157</v>
      </c>
      <c r="C1155" s="50"/>
      <c r="D1155" s="10" t="s">
        <v>29</v>
      </c>
      <c r="E1155" s="11"/>
      <c r="F1155" s="11" t="s">
        <v>18</v>
      </c>
      <c r="G1155" s="13"/>
      <c r="H1155" s="45" t="s">
        <v>16</v>
      </c>
      <c r="I1155" s="47"/>
      <c r="J1155" s="12" t="s">
        <v>5277</v>
      </c>
      <c r="K1155" s="13" t="s">
        <v>7955</v>
      </c>
      <c r="L1155" s="99" t="str">
        <f t="shared" si="74"/>
        <v>W2245.0</v>
      </c>
      <c r="M1155" s="13" t="s">
        <v>17</v>
      </c>
      <c r="N1155" s="13"/>
      <c r="O1155" s="13"/>
      <c r="P1155" s="47"/>
      <c r="Q1155" s="45" t="s">
        <v>3672</v>
      </c>
      <c r="R1155" s="45" t="s">
        <v>5596</v>
      </c>
      <c r="S1155" s="48"/>
      <c r="T1155" s="49" t="str">
        <f t="shared" si="75"/>
        <v>[W2245.0]</v>
      </c>
      <c r="U1155" s="12" t="str">
        <f t="shared" si="76"/>
        <v xml:space="preserve"> 공급셔틀#2 센터 클램프 전진/후진 센서이상</v>
      </c>
      <c r="V1155" s="49" t="str">
        <f t="shared" si="77"/>
        <v>[W2245.0] 공급셔틀#2 센터 클램프 전진/후진 센서이상</v>
      </c>
    </row>
    <row r="1156" spans="1:22" s="49" customFormat="1" ht="14.15" customHeight="1">
      <c r="A1156" s="43" t="s">
        <v>5597</v>
      </c>
      <c r="B1156" s="44" t="s">
        <v>157</v>
      </c>
      <c r="C1156" s="50"/>
      <c r="D1156" s="10" t="s">
        <v>29</v>
      </c>
      <c r="E1156" s="11"/>
      <c r="F1156" s="11" t="s">
        <v>18</v>
      </c>
      <c r="G1156" s="13"/>
      <c r="H1156" s="45" t="s">
        <v>16</v>
      </c>
      <c r="I1156" s="47"/>
      <c r="J1156" s="12" t="s">
        <v>5278</v>
      </c>
      <c r="K1156" s="13" t="s">
        <v>7956</v>
      </c>
      <c r="L1156" s="99" t="str">
        <f t="shared" si="74"/>
        <v>W2245.1</v>
      </c>
      <c r="M1156" s="13" t="s">
        <v>17</v>
      </c>
      <c r="N1156" s="13"/>
      <c r="O1156" s="13"/>
      <c r="P1156" s="47"/>
      <c r="Q1156" s="45" t="s">
        <v>3672</v>
      </c>
      <c r="R1156" s="45" t="s">
        <v>5596</v>
      </c>
      <c r="S1156" s="48"/>
      <c r="T1156" s="49" t="str">
        <f t="shared" si="75"/>
        <v>[W2245.1]</v>
      </c>
      <c r="U1156" s="12" t="str">
        <f t="shared" si="76"/>
        <v xml:space="preserve"> 공급셔틀#2 하부 클램프 전진 시간초과</v>
      </c>
      <c r="V1156" s="49" t="str">
        <f t="shared" si="77"/>
        <v>[W2245.1] 공급셔틀#2 하부 클램프 전진 시간초과</v>
      </c>
    </row>
    <row r="1157" spans="1:22" s="49" customFormat="1" ht="14.15" customHeight="1">
      <c r="A1157" s="43" t="s">
        <v>5597</v>
      </c>
      <c r="B1157" s="44" t="s">
        <v>157</v>
      </c>
      <c r="C1157" s="50"/>
      <c r="D1157" s="10" t="s">
        <v>29</v>
      </c>
      <c r="E1157" s="11"/>
      <c r="F1157" s="11" t="s">
        <v>18</v>
      </c>
      <c r="G1157" s="13"/>
      <c r="H1157" s="45" t="s">
        <v>16</v>
      </c>
      <c r="I1157" s="47"/>
      <c r="J1157" s="12" t="s">
        <v>5279</v>
      </c>
      <c r="K1157" s="13" t="s">
        <v>7957</v>
      </c>
      <c r="L1157" s="99" t="str">
        <f t="shared" si="74"/>
        <v>W2245.2</v>
      </c>
      <c r="M1157" s="13" t="s">
        <v>17</v>
      </c>
      <c r="N1157" s="13"/>
      <c r="O1157" s="13"/>
      <c r="P1157" s="47"/>
      <c r="Q1157" s="45" t="s">
        <v>3672</v>
      </c>
      <c r="R1157" s="45" t="s">
        <v>5596</v>
      </c>
      <c r="S1157" s="48"/>
      <c r="T1157" s="49" t="str">
        <f t="shared" si="75"/>
        <v>[W2245.2]</v>
      </c>
      <c r="U1157" s="12" t="str">
        <f t="shared" si="76"/>
        <v xml:space="preserve"> 공급셔틀#2 하부 클램프 후진 시간초과</v>
      </c>
      <c r="V1157" s="49" t="str">
        <f t="shared" si="77"/>
        <v>[W2245.2] 공급셔틀#2 하부 클램프 후진 시간초과</v>
      </c>
    </row>
    <row r="1158" spans="1:22" s="49" customFormat="1" ht="14.15" customHeight="1">
      <c r="A1158" s="43" t="s">
        <v>5597</v>
      </c>
      <c r="B1158" s="44" t="s">
        <v>157</v>
      </c>
      <c r="C1158" s="50"/>
      <c r="D1158" s="10" t="s">
        <v>29</v>
      </c>
      <c r="E1158" s="11"/>
      <c r="F1158" s="11" t="s">
        <v>18</v>
      </c>
      <c r="G1158" s="13"/>
      <c r="H1158" s="45" t="s">
        <v>16</v>
      </c>
      <c r="I1158" s="47"/>
      <c r="J1158" s="12" t="s">
        <v>5280</v>
      </c>
      <c r="K1158" s="13" t="s">
        <v>7958</v>
      </c>
      <c r="L1158" s="99" t="str">
        <f t="shared" si="74"/>
        <v>W2245.3</v>
      </c>
      <c r="M1158" s="13" t="s">
        <v>17</v>
      </c>
      <c r="N1158" s="13"/>
      <c r="O1158" s="13"/>
      <c r="P1158" s="47"/>
      <c r="Q1158" s="45" t="s">
        <v>3672</v>
      </c>
      <c r="R1158" s="45" t="s">
        <v>5596</v>
      </c>
      <c r="S1158" s="48"/>
      <c r="T1158" s="49" t="str">
        <f t="shared" si="75"/>
        <v>[W2245.3]</v>
      </c>
      <c r="U1158" s="12" t="str">
        <f t="shared" si="76"/>
        <v xml:space="preserve"> 공급셔틀#2 하부 클램프 전진/후진 센서이상</v>
      </c>
      <c r="V1158" s="49" t="str">
        <f t="shared" si="77"/>
        <v>[W2245.3] 공급셔틀#2 하부 클램프 전진/후진 센서이상</v>
      </c>
    </row>
    <row r="1159" spans="1:22" s="49" customFormat="1" ht="14.15" customHeight="1">
      <c r="A1159" s="43"/>
      <c r="B1159" s="44" t="s">
        <v>157</v>
      </c>
      <c r="C1159" s="50"/>
      <c r="D1159" s="10" t="s">
        <v>29</v>
      </c>
      <c r="E1159" s="11"/>
      <c r="F1159" s="11" t="s">
        <v>18</v>
      </c>
      <c r="G1159" s="13"/>
      <c r="H1159" s="45" t="s">
        <v>16</v>
      </c>
      <c r="I1159" s="47"/>
      <c r="J1159" s="12" t="s">
        <v>948</v>
      </c>
      <c r="K1159" s="13" t="s">
        <v>7959</v>
      </c>
      <c r="L1159" s="99" t="str">
        <f t="shared" si="74"/>
        <v>W2245.4</v>
      </c>
      <c r="M1159" s="13"/>
      <c r="N1159" s="13"/>
      <c r="O1159" s="13"/>
      <c r="P1159" s="47"/>
      <c r="Q1159" s="45"/>
      <c r="R1159" s="45"/>
      <c r="S1159" s="48"/>
      <c r="T1159" s="49" t="str">
        <f t="shared" si="75"/>
        <v>[W2245.4]</v>
      </c>
      <c r="U1159" s="12" t="str">
        <f t="shared" si="76"/>
        <v xml:space="preserve"> </v>
      </c>
      <c r="V1159" s="49" t="str">
        <f t="shared" si="77"/>
        <v xml:space="preserve">[W2245.4] </v>
      </c>
    </row>
    <row r="1160" spans="1:22" s="49" customFormat="1" ht="14.15" customHeight="1">
      <c r="A1160" s="43" t="s">
        <v>5597</v>
      </c>
      <c r="B1160" s="44" t="s">
        <v>157</v>
      </c>
      <c r="C1160" s="50"/>
      <c r="D1160" s="10" t="s">
        <v>29</v>
      </c>
      <c r="E1160" s="11"/>
      <c r="F1160" s="11" t="s">
        <v>18</v>
      </c>
      <c r="G1160" s="13"/>
      <c r="H1160" s="45" t="s">
        <v>16</v>
      </c>
      <c r="I1160" s="47"/>
      <c r="J1160" s="12" t="s">
        <v>5281</v>
      </c>
      <c r="K1160" s="13" t="s">
        <v>7960</v>
      </c>
      <c r="L1160" s="99" t="str">
        <f t="shared" si="74"/>
        <v>W2245.5</v>
      </c>
      <c r="M1160" s="13" t="s">
        <v>17</v>
      </c>
      <c r="N1160" s="13"/>
      <c r="O1160" s="13"/>
      <c r="P1160" s="47"/>
      <c r="Q1160" s="45" t="s">
        <v>3672</v>
      </c>
      <c r="R1160" s="45" t="s">
        <v>5596</v>
      </c>
      <c r="S1160" s="48"/>
      <c r="T1160" s="49" t="str">
        <f t="shared" si="75"/>
        <v>[W2245.5]</v>
      </c>
      <c r="U1160" s="12" t="str">
        <f t="shared" si="76"/>
        <v xml:space="preserve"> 공급셔틀#2 상부 진공흡착 시간초과</v>
      </c>
      <c r="V1160" s="49" t="str">
        <f t="shared" si="77"/>
        <v>[W2245.5] 공급셔틀#2 상부 진공흡착 시간초과</v>
      </c>
    </row>
    <row r="1161" spans="1:22" s="49" customFormat="1" ht="14.15" customHeight="1">
      <c r="A1161" s="43" t="s">
        <v>5597</v>
      </c>
      <c r="B1161" s="44" t="s">
        <v>157</v>
      </c>
      <c r="C1161" s="50"/>
      <c r="D1161" s="10" t="s">
        <v>29</v>
      </c>
      <c r="E1161" s="11"/>
      <c r="F1161" s="11" t="s">
        <v>18</v>
      </c>
      <c r="G1161" s="13"/>
      <c r="H1161" s="45" t="s">
        <v>16</v>
      </c>
      <c r="I1161" s="47"/>
      <c r="J1161" s="12" t="s">
        <v>5282</v>
      </c>
      <c r="K1161" s="13" t="s">
        <v>7961</v>
      </c>
      <c r="L1161" s="99" t="str">
        <f t="shared" si="74"/>
        <v>W2245.6</v>
      </c>
      <c r="M1161" s="13" t="s">
        <v>17</v>
      </c>
      <c r="N1161" s="13"/>
      <c r="O1161" s="13"/>
      <c r="P1161" s="47"/>
      <c r="Q1161" s="45" t="s">
        <v>3672</v>
      </c>
      <c r="R1161" s="45" t="s">
        <v>5596</v>
      </c>
      <c r="S1161" s="48"/>
      <c r="T1161" s="49" t="str">
        <f t="shared" si="75"/>
        <v>[W2245.6]</v>
      </c>
      <c r="U1161" s="12" t="str">
        <f t="shared" si="76"/>
        <v xml:space="preserve"> 공급셔틀#2 상부 진공파기 시간초과</v>
      </c>
      <c r="V1161" s="49" t="str">
        <f t="shared" si="77"/>
        <v>[W2245.6] 공급셔틀#2 상부 진공파기 시간초과</v>
      </c>
    </row>
    <row r="1162" spans="1:22" s="49" customFormat="1" ht="14.15" customHeight="1">
      <c r="A1162" s="43" t="s">
        <v>5597</v>
      </c>
      <c r="B1162" s="44" t="s">
        <v>157</v>
      </c>
      <c r="C1162" s="50"/>
      <c r="D1162" s="10" t="s">
        <v>29</v>
      </c>
      <c r="E1162" s="11"/>
      <c r="F1162" s="11" t="s">
        <v>18</v>
      </c>
      <c r="G1162" s="13"/>
      <c r="H1162" s="45" t="s">
        <v>16</v>
      </c>
      <c r="I1162" s="47"/>
      <c r="J1162" s="12" t="s">
        <v>5283</v>
      </c>
      <c r="K1162" s="13" t="s">
        <v>7962</v>
      </c>
      <c r="L1162" s="99" t="str">
        <f t="shared" si="74"/>
        <v>W2245.7</v>
      </c>
      <c r="M1162" s="13" t="s">
        <v>17</v>
      </c>
      <c r="N1162" s="13"/>
      <c r="O1162" s="13"/>
      <c r="P1162" s="47"/>
      <c r="Q1162" s="45" t="s">
        <v>3672</v>
      </c>
      <c r="R1162" s="45" t="s">
        <v>5596</v>
      </c>
      <c r="S1162" s="48"/>
      <c r="T1162" s="49" t="str">
        <f t="shared" si="75"/>
        <v>[W2245.7]</v>
      </c>
      <c r="U1162" s="12" t="str">
        <f t="shared" si="76"/>
        <v xml:space="preserve"> 공급셔틀#2 센터 진공흡착 시간초과</v>
      </c>
      <c r="V1162" s="49" t="str">
        <f t="shared" si="77"/>
        <v>[W2245.7] 공급셔틀#2 센터 진공흡착 시간초과</v>
      </c>
    </row>
    <row r="1163" spans="1:22" s="49" customFormat="1" ht="14.15" customHeight="1">
      <c r="A1163" s="43" t="s">
        <v>5597</v>
      </c>
      <c r="B1163" s="44" t="s">
        <v>157</v>
      </c>
      <c r="C1163" s="50"/>
      <c r="D1163" s="10" t="s">
        <v>29</v>
      </c>
      <c r="E1163" s="11"/>
      <c r="F1163" s="11" t="s">
        <v>18</v>
      </c>
      <c r="G1163" s="13"/>
      <c r="H1163" s="45" t="s">
        <v>16</v>
      </c>
      <c r="I1163" s="47"/>
      <c r="J1163" s="12" t="s">
        <v>5284</v>
      </c>
      <c r="K1163" s="13" t="s">
        <v>7963</v>
      </c>
      <c r="L1163" s="99" t="str">
        <f t="shared" si="74"/>
        <v>W2245.8</v>
      </c>
      <c r="M1163" s="13" t="s">
        <v>17</v>
      </c>
      <c r="N1163" s="13"/>
      <c r="O1163" s="13"/>
      <c r="P1163" s="47"/>
      <c r="Q1163" s="45" t="s">
        <v>3672</v>
      </c>
      <c r="R1163" s="45" t="s">
        <v>5596</v>
      </c>
      <c r="S1163" s="48"/>
      <c r="T1163" s="49" t="str">
        <f t="shared" si="75"/>
        <v>[W2245.8]</v>
      </c>
      <c r="U1163" s="12" t="str">
        <f t="shared" si="76"/>
        <v xml:space="preserve"> 공급셔틀#2 센터 진공파기 시간초과</v>
      </c>
      <c r="V1163" s="49" t="str">
        <f t="shared" si="77"/>
        <v>[W2245.8] 공급셔틀#2 센터 진공파기 시간초과</v>
      </c>
    </row>
    <row r="1164" spans="1:22" s="49" customFormat="1" ht="14.15" customHeight="1">
      <c r="A1164" s="43" t="s">
        <v>5597</v>
      </c>
      <c r="B1164" s="44" t="s">
        <v>157</v>
      </c>
      <c r="C1164" s="50"/>
      <c r="D1164" s="10" t="s">
        <v>29</v>
      </c>
      <c r="E1164" s="11"/>
      <c r="F1164" s="11" t="s">
        <v>18</v>
      </c>
      <c r="G1164" s="13"/>
      <c r="H1164" s="45" t="s">
        <v>16</v>
      </c>
      <c r="I1164" s="47"/>
      <c r="J1164" s="12" t="s">
        <v>5285</v>
      </c>
      <c r="K1164" s="13" t="s">
        <v>7964</v>
      </c>
      <c r="L1164" s="99" t="str">
        <f t="shared" si="74"/>
        <v>W2245.9</v>
      </c>
      <c r="M1164" s="13" t="s">
        <v>17</v>
      </c>
      <c r="N1164" s="13"/>
      <c r="O1164" s="13"/>
      <c r="P1164" s="47"/>
      <c r="Q1164" s="45" t="s">
        <v>3672</v>
      </c>
      <c r="R1164" s="45" t="s">
        <v>5596</v>
      </c>
      <c r="S1164" s="48"/>
      <c r="T1164" s="49" t="str">
        <f t="shared" si="75"/>
        <v>[W2245.9]</v>
      </c>
      <c r="U1164" s="12" t="str">
        <f t="shared" si="76"/>
        <v xml:space="preserve"> 공급셔틀#2 하부 진공흡착 시간초과</v>
      </c>
      <c r="V1164" s="49" t="str">
        <f t="shared" si="77"/>
        <v>[W2245.9] 공급셔틀#2 하부 진공흡착 시간초과</v>
      </c>
    </row>
    <row r="1165" spans="1:22" s="49" customFormat="1" ht="14.15" customHeight="1">
      <c r="A1165" s="43" t="s">
        <v>5597</v>
      </c>
      <c r="B1165" s="44" t="s">
        <v>157</v>
      </c>
      <c r="C1165" s="50"/>
      <c r="D1165" s="10" t="s">
        <v>29</v>
      </c>
      <c r="E1165" s="11"/>
      <c r="F1165" s="11" t="s">
        <v>18</v>
      </c>
      <c r="G1165" s="13"/>
      <c r="H1165" s="45" t="s">
        <v>16</v>
      </c>
      <c r="I1165" s="47"/>
      <c r="J1165" s="12" t="s">
        <v>5286</v>
      </c>
      <c r="K1165" s="13" t="s">
        <v>7965</v>
      </c>
      <c r="L1165" s="99" t="str">
        <f t="shared" si="74"/>
        <v>W2245.A</v>
      </c>
      <c r="M1165" s="13" t="s">
        <v>17</v>
      </c>
      <c r="N1165" s="13"/>
      <c r="O1165" s="13"/>
      <c r="P1165" s="47"/>
      <c r="Q1165" s="45" t="s">
        <v>3672</v>
      </c>
      <c r="R1165" s="45" t="s">
        <v>5596</v>
      </c>
      <c r="S1165" s="48"/>
      <c r="T1165" s="49" t="str">
        <f t="shared" si="75"/>
        <v>[W2245.A]</v>
      </c>
      <c r="U1165" s="12" t="str">
        <f t="shared" si="76"/>
        <v xml:space="preserve"> 공급셔틀#2 하부 진공파기 시간초과</v>
      </c>
      <c r="V1165" s="49" t="str">
        <f t="shared" si="77"/>
        <v>[W2245.A] 공급셔틀#2 하부 진공파기 시간초과</v>
      </c>
    </row>
    <row r="1166" spans="1:22" s="49" customFormat="1" ht="14.15" customHeight="1">
      <c r="A1166" s="44"/>
      <c r="B1166" s="44" t="s">
        <v>157</v>
      </c>
      <c r="C1166" s="50"/>
      <c r="D1166" s="10" t="s">
        <v>29</v>
      </c>
      <c r="E1166" s="11"/>
      <c r="F1166" s="11" t="s">
        <v>18</v>
      </c>
      <c r="G1166" s="13"/>
      <c r="H1166" s="45" t="s">
        <v>16</v>
      </c>
      <c r="I1166" s="47"/>
      <c r="J1166" s="12" t="s">
        <v>4131</v>
      </c>
      <c r="K1166" s="13" t="s">
        <v>7966</v>
      </c>
      <c r="L1166" s="99" t="str">
        <f t="shared" si="74"/>
        <v>W2245.B</v>
      </c>
      <c r="M1166" s="13"/>
      <c r="N1166" s="13"/>
      <c r="O1166" s="13"/>
      <c r="P1166" s="47"/>
      <c r="Q1166" s="45"/>
      <c r="R1166" s="45"/>
      <c r="S1166" s="48"/>
      <c r="T1166" s="49" t="str">
        <f t="shared" si="75"/>
        <v>[W2245.B]</v>
      </c>
      <c r="U1166" s="12" t="str">
        <f t="shared" si="76"/>
        <v/>
      </c>
      <c r="V1166" s="49" t="str">
        <f t="shared" si="77"/>
        <v>[W2245.B]</v>
      </c>
    </row>
    <row r="1167" spans="1:22" s="49" customFormat="1" ht="14.15" customHeight="1">
      <c r="A1167" s="44"/>
      <c r="B1167" s="44" t="s">
        <v>157</v>
      </c>
      <c r="C1167" s="50"/>
      <c r="D1167" s="10" t="s">
        <v>29</v>
      </c>
      <c r="E1167" s="11"/>
      <c r="F1167" s="11" t="s">
        <v>18</v>
      </c>
      <c r="G1167" s="13"/>
      <c r="H1167" s="45" t="s">
        <v>16</v>
      </c>
      <c r="I1167" s="47"/>
      <c r="J1167" s="12" t="s">
        <v>4132</v>
      </c>
      <c r="K1167" s="13" t="s">
        <v>7967</v>
      </c>
      <c r="L1167" s="99" t="str">
        <f t="shared" si="74"/>
        <v>W2245.C</v>
      </c>
      <c r="M1167" s="13"/>
      <c r="N1167" s="13"/>
      <c r="O1167" s="13"/>
      <c r="P1167" s="47"/>
      <c r="Q1167" s="45"/>
      <c r="R1167" s="45"/>
      <c r="S1167" s="48"/>
      <c r="T1167" s="49" t="str">
        <f t="shared" si="75"/>
        <v>[W2245.C]</v>
      </c>
      <c r="U1167" s="12" t="str">
        <f t="shared" si="76"/>
        <v/>
      </c>
      <c r="V1167" s="49" t="str">
        <f t="shared" si="77"/>
        <v>[W2245.C]</v>
      </c>
    </row>
    <row r="1168" spans="1:22" s="49" customFormat="1" ht="14.15" customHeight="1">
      <c r="A1168" s="44"/>
      <c r="B1168" s="44" t="s">
        <v>157</v>
      </c>
      <c r="C1168" s="50"/>
      <c r="D1168" s="10" t="s">
        <v>29</v>
      </c>
      <c r="E1168" s="11"/>
      <c r="F1168" s="11" t="s">
        <v>18</v>
      </c>
      <c r="G1168" s="13"/>
      <c r="H1168" s="45" t="s">
        <v>16</v>
      </c>
      <c r="I1168" s="47"/>
      <c r="J1168" s="12" t="s">
        <v>4133</v>
      </c>
      <c r="K1168" s="13" t="s">
        <v>7968</v>
      </c>
      <c r="L1168" s="99" t="str">
        <f t="shared" si="74"/>
        <v>W2245.D</v>
      </c>
      <c r="M1168" s="13"/>
      <c r="N1168" s="13"/>
      <c r="O1168" s="13"/>
      <c r="P1168" s="47"/>
      <c r="Q1168" s="45"/>
      <c r="R1168" s="45"/>
      <c r="S1168" s="48"/>
      <c r="T1168" s="49" t="str">
        <f t="shared" si="75"/>
        <v>[W2245.D]</v>
      </c>
      <c r="U1168" s="12" t="str">
        <f t="shared" si="76"/>
        <v/>
      </c>
      <c r="V1168" s="49" t="str">
        <f t="shared" si="77"/>
        <v>[W2245.D]</v>
      </c>
    </row>
    <row r="1169" spans="1:22" s="49" customFormat="1" ht="14.15" customHeight="1">
      <c r="A1169" s="43"/>
      <c r="B1169" s="44" t="s">
        <v>157</v>
      </c>
      <c r="C1169" s="50"/>
      <c r="D1169" s="10" t="s">
        <v>29</v>
      </c>
      <c r="E1169" s="11"/>
      <c r="F1169" s="11" t="s">
        <v>18</v>
      </c>
      <c r="G1169" s="13"/>
      <c r="H1169" s="45" t="s">
        <v>16</v>
      </c>
      <c r="I1169" s="47"/>
      <c r="J1169" s="12" t="s">
        <v>4134</v>
      </c>
      <c r="K1169" s="13" t="s">
        <v>7969</v>
      </c>
      <c r="L1169" s="99" t="str">
        <f t="shared" si="74"/>
        <v>W2245.E</v>
      </c>
      <c r="M1169" s="13"/>
      <c r="N1169" s="13"/>
      <c r="O1169" s="13"/>
      <c r="P1169" s="47"/>
      <c r="Q1169" s="45"/>
      <c r="R1169" s="45"/>
      <c r="S1169" s="48"/>
      <c r="T1169" s="49" t="str">
        <f t="shared" si="75"/>
        <v>[W2245.E]</v>
      </c>
      <c r="U1169" s="12" t="str">
        <f t="shared" si="76"/>
        <v/>
      </c>
      <c r="V1169" s="49" t="str">
        <f t="shared" si="77"/>
        <v>[W2245.E]</v>
      </c>
    </row>
    <row r="1170" spans="1:22" s="49" customFormat="1" ht="14.15" customHeight="1">
      <c r="A1170" s="43" t="s">
        <v>5598</v>
      </c>
      <c r="B1170" s="44" t="s">
        <v>157</v>
      </c>
      <c r="C1170" s="50"/>
      <c r="D1170" s="10" t="s">
        <v>29</v>
      </c>
      <c r="E1170" s="11"/>
      <c r="F1170" s="11" t="s">
        <v>18</v>
      </c>
      <c r="G1170" s="13"/>
      <c r="H1170" s="45" t="s">
        <v>16</v>
      </c>
      <c r="I1170" s="47"/>
      <c r="J1170" s="12" t="s">
        <v>5287</v>
      </c>
      <c r="K1170" s="13" t="s">
        <v>7970</v>
      </c>
      <c r="L1170" s="99" t="str">
        <f t="shared" si="74"/>
        <v>W2245.F</v>
      </c>
      <c r="M1170" s="13" t="s">
        <v>17</v>
      </c>
      <c r="N1170" s="13"/>
      <c r="O1170" s="13"/>
      <c r="P1170" s="47"/>
      <c r="Q1170" s="45" t="s">
        <v>3672</v>
      </c>
      <c r="R1170" s="45" t="s">
        <v>5596</v>
      </c>
      <c r="S1170" s="48"/>
      <c r="T1170" s="49" t="str">
        <f t="shared" si="75"/>
        <v>[W2245.F]</v>
      </c>
      <c r="U1170" s="12" t="str">
        <f t="shared" si="76"/>
        <v xml:space="preserve"> 터브이송#4-1 상부 진공흡착 시간초과</v>
      </c>
      <c r="V1170" s="49" t="str">
        <f t="shared" si="77"/>
        <v>[W2245.F] 터브이송#4-1 상부 진공흡착 시간초과</v>
      </c>
    </row>
    <row r="1171" spans="1:22" s="49" customFormat="1" ht="14.15" customHeight="1">
      <c r="A1171" s="43" t="s">
        <v>5598</v>
      </c>
      <c r="B1171" s="44" t="s">
        <v>157</v>
      </c>
      <c r="C1171" s="50"/>
      <c r="D1171" s="10" t="s">
        <v>29</v>
      </c>
      <c r="E1171" s="11"/>
      <c r="F1171" s="11" t="s">
        <v>18</v>
      </c>
      <c r="G1171" s="13"/>
      <c r="H1171" s="45" t="s">
        <v>16</v>
      </c>
      <c r="I1171" s="47"/>
      <c r="J1171" s="12" t="s">
        <v>5288</v>
      </c>
      <c r="K1171" s="13" t="s">
        <v>7971</v>
      </c>
      <c r="L1171" s="99" t="str">
        <f t="shared" si="74"/>
        <v>W2246.0</v>
      </c>
      <c r="M1171" s="13" t="s">
        <v>17</v>
      </c>
      <c r="N1171" s="13"/>
      <c r="O1171" s="13"/>
      <c r="P1171" s="47"/>
      <c r="Q1171" s="45" t="s">
        <v>3672</v>
      </c>
      <c r="R1171" s="45" t="s">
        <v>5596</v>
      </c>
      <c r="S1171" s="48"/>
      <c r="T1171" s="49" t="str">
        <f t="shared" si="75"/>
        <v>[W2246.0]</v>
      </c>
      <c r="U1171" s="12" t="str">
        <f t="shared" si="76"/>
        <v xml:space="preserve"> 터브이송#4-1 상부 진공파기 시간초과</v>
      </c>
      <c r="V1171" s="49" t="str">
        <f t="shared" si="77"/>
        <v>[W2246.0] 터브이송#4-1 상부 진공파기 시간초과</v>
      </c>
    </row>
    <row r="1172" spans="1:22" s="49" customFormat="1" ht="14.15" customHeight="1">
      <c r="A1172" s="43" t="s">
        <v>5598</v>
      </c>
      <c r="B1172" s="44" t="s">
        <v>157</v>
      </c>
      <c r="C1172" s="50"/>
      <c r="D1172" s="10" t="s">
        <v>29</v>
      </c>
      <c r="E1172" s="11"/>
      <c r="F1172" s="11" t="s">
        <v>18</v>
      </c>
      <c r="G1172" s="13"/>
      <c r="H1172" s="45" t="s">
        <v>16</v>
      </c>
      <c r="I1172" s="47"/>
      <c r="J1172" s="12" t="s">
        <v>5289</v>
      </c>
      <c r="K1172" s="13" t="s">
        <v>7972</v>
      </c>
      <c r="L1172" s="99" t="str">
        <f t="shared" si="74"/>
        <v>W2246.1</v>
      </c>
      <c r="M1172" s="13" t="s">
        <v>17</v>
      </c>
      <c r="N1172" s="13"/>
      <c r="O1172" s="13"/>
      <c r="P1172" s="47"/>
      <c r="Q1172" s="45" t="s">
        <v>3672</v>
      </c>
      <c r="R1172" s="45" t="s">
        <v>5596</v>
      </c>
      <c r="S1172" s="48"/>
      <c r="T1172" s="49" t="str">
        <f t="shared" si="75"/>
        <v>[W2246.1]</v>
      </c>
      <c r="U1172" s="12" t="str">
        <f t="shared" si="76"/>
        <v xml:space="preserve"> 터브이송#4-1 센터 진공흡착 시간초과</v>
      </c>
      <c r="V1172" s="49" t="str">
        <f t="shared" si="77"/>
        <v>[W2246.1] 터브이송#4-1 센터 진공흡착 시간초과</v>
      </c>
    </row>
    <row r="1173" spans="1:22" s="49" customFormat="1" ht="14.15" customHeight="1">
      <c r="A1173" s="43" t="s">
        <v>5598</v>
      </c>
      <c r="B1173" s="44" t="s">
        <v>157</v>
      </c>
      <c r="C1173" s="50"/>
      <c r="D1173" s="10" t="s">
        <v>29</v>
      </c>
      <c r="E1173" s="11"/>
      <c r="F1173" s="11" t="s">
        <v>18</v>
      </c>
      <c r="G1173" s="13"/>
      <c r="H1173" s="45" t="s">
        <v>16</v>
      </c>
      <c r="I1173" s="47"/>
      <c r="J1173" s="12" t="s">
        <v>5290</v>
      </c>
      <c r="K1173" s="13" t="s">
        <v>7973</v>
      </c>
      <c r="L1173" s="99" t="str">
        <f t="shared" si="74"/>
        <v>W2246.2</v>
      </c>
      <c r="M1173" s="13" t="s">
        <v>17</v>
      </c>
      <c r="N1173" s="13"/>
      <c r="O1173" s="13"/>
      <c r="P1173" s="47"/>
      <c r="Q1173" s="45" t="s">
        <v>3672</v>
      </c>
      <c r="R1173" s="45" t="s">
        <v>5596</v>
      </c>
      <c r="S1173" s="48"/>
      <c r="T1173" s="49" t="str">
        <f t="shared" si="75"/>
        <v>[W2246.2]</v>
      </c>
      <c r="U1173" s="12" t="str">
        <f t="shared" si="76"/>
        <v xml:space="preserve"> 터브이송#4-1 센터 진공파기 시간초과</v>
      </c>
      <c r="V1173" s="49" t="str">
        <f t="shared" si="77"/>
        <v>[W2246.2] 터브이송#4-1 센터 진공파기 시간초과</v>
      </c>
    </row>
    <row r="1174" spans="1:22" s="49" customFormat="1" ht="14.15" customHeight="1">
      <c r="A1174" s="43" t="s">
        <v>5598</v>
      </c>
      <c r="B1174" s="44" t="s">
        <v>157</v>
      </c>
      <c r="C1174" s="50"/>
      <c r="D1174" s="10" t="s">
        <v>29</v>
      </c>
      <c r="E1174" s="11"/>
      <c r="F1174" s="11" t="s">
        <v>18</v>
      </c>
      <c r="G1174" s="13"/>
      <c r="H1174" s="45" t="s">
        <v>16</v>
      </c>
      <c r="I1174" s="47"/>
      <c r="J1174" s="12" t="s">
        <v>5291</v>
      </c>
      <c r="K1174" s="13" t="s">
        <v>7974</v>
      </c>
      <c r="L1174" s="99" t="str">
        <f t="shared" si="74"/>
        <v>W2246.3</v>
      </c>
      <c r="M1174" s="13" t="s">
        <v>17</v>
      </c>
      <c r="N1174" s="13"/>
      <c r="O1174" s="13"/>
      <c r="P1174" s="47"/>
      <c r="Q1174" s="45" t="s">
        <v>3672</v>
      </c>
      <c r="R1174" s="45" t="s">
        <v>5596</v>
      </c>
      <c r="S1174" s="48"/>
      <c r="T1174" s="49" t="str">
        <f t="shared" si="75"/>
        <v>[W2246.3]</v>
      </c>
      <c r="U1174" s="12" t="str">
        <f t="shared" si="76"/>
        <v xml:space="preserve"> 터브이송#4-1 하부 진공흡착 시간초과</v>
      </c>
      <c r="V1174" s="49" t="str">
        <f t="shared" si="77"/>
        <v>[W2246.3] 터브이송#4-1 하부 진공흡착 시간초과</v>
      </c>
    </row>
    <row r="1175" spans="1:22" s="49" customFormat="1" ht="14.15" customHeight="1">
      <c r="A1175" s="43" t="s">
        <v>5598</v>
      </c>
      <c r="B1175" s="44" t="s">
        <v>157</v>
      </c>
      <c r="C1175" s="50"/>
      <c r="D1175" s="10" t="s">
        <v>29</v>
      </c>
      <c r="E1175" s="11"/>
      <c r="F1175" s="11" t="s">
        <v>18</v>
      </c>
      <c r="G1175" s="13"/>
      <c r="H1175" s="45" t="s">
        <v>16</v>
      </c>
      <c r="I1175" s="47"/>
      <c r="J1175" s="12" t="s">
        <v>5292</v>
      </c>
      <c r="K1175" s="13" t="s">
        <v>7975</v>
      </c>
      <c r="L1175" s="99" t="str">
        <f t="shared" si="74"/>
        <v>W2246.4</v>
      </c>
      <c r="M1175" s="13" t="s">
        <v>17</v>
      </c>
      <c r="N1175" s="13"/>
      <c r="O1175" s="13"/>
      <c r="P1175" s="47"/>
      <c r="Q1175" s="45" t="s">
        <v>3672</v>
      </c>
      <c r="R1175" s="45" t="s">
        <v>5596</v>
      </c>
      <c r="S1175" s="48"/>
      <c r="T1175" s="49" t="str">
        <f t="shared" si="75"/>
        <v>[W2246.4]</v>
      </c>
      <c r="U1175" s="12" t="str">
        <f t="shared" si="76"/>
        <v xml:space="preserve"> 터브이송#4-1 하부 진공파기 시간초과</v>
      </c>
      <c r="V1175" s="49" t="str">
        <f t="shared" si="77"/>
        <v>[W2246.4] 터브이송#4-1 하부 진공파기 시간초과</v>
      </c>
    </row>
    <row r="1176" spans="1:22" s="49" customFormat="1" ht="14.15" customHeight="1">
      <c r="A1176" s="43" t="s">
        <v>5598</v>
      </c>
      <c r="B1176" s="44" t="s">
        <v>157</v>
      </c>
      <c r="C1176" s="50"/>
      <c r="D1176" s="10" t="s">
        <v>29</v>
      </c>
      <c r="E1176" s="11"/>
      <c r="F1176" s="11" t="s">
        <v>18</v>
      </c>
      <c r="G1176" s="13"/>
      <c r="H1176" s="45" t="s">
        <v>16</v>
      </c>
      <c r="I1176" s="47"/>
      <c r="J1176" s="12" t="s">
        <v>5293</v>
      </c>
      <c r="K1176" s="13" t="s">
        <v>7976</v>
      </c>
      <c r="L1176" s="99" t="str">
        <f t="shared" si="74"/>
        <v>W2246.5</v>
      </c>
      <c r="M1176" s="13" t="s">
        <v>17</v>
      </c>
      <c r="N1176" s="13"/>
      <c r="O1176" s="13"/>
      <c r="P1176" s="47"/>
      <c r="Q1176" s="45" t="s">
        <v>3672</v>
      </c>
      <c r="R1176" s="45" t="s">
        <v>5596</v>
      </c>
      <c r="S1176" s="48"/>
      <c r="T1176" s="49" t="str">
        <f t="shared" si="75"/>
        <v>[W2246.5]</v>
      </c>
      <c r="U1176" s="12" t="str">
        <f t="shared" si="76"/>
        <v xml:space="preserve"> 터브이송#4-1 터브이송#4-2 지령오류</v>
      </c>
      <c r="V1176" s="49" t="str">
        <f t="shared" si="77"/>
        <v>[W2246.5] 터브이송#4-1 터브이송#4-2 지령오류</v>
      </c>
    </row>
    <row r="1177" spans="1:22" s="49" customFormat="1" ht="14.15" customHeight="1">
      <c r="A1177" s="43" t="s">
        <v>5598</v>
      </c>
      <c r="B1177" s="44" t="s">
        <v>157</v>
      </c>
      <c r="C1177" s="50"/>
      <c r="D1177" s="10" t="s">
        <v>29</v>
      </c>
      <c r="E1177" s="11"/>
      <c r="F1177" s="11" t="s">
        <v>18</v>
      </c>
      <c r="G1177" s="13"/>
      <c r="H1177" s="45" t="s">
        <v>16</v>
      </c>
      <c r="I1177" s="47"/>
      <c r="J1177" s="12" t="s">
        <v>5294</v>
      </c>
      <c r="K1177" s="13" t="s">
        <v>7977</v>
      </c>
      <c r="L1177" s="99" t="str">
        <f t="shared" si="74"/>
        <v>W2246.6</v>
      </c>
      <c r="M1177" s="13" t="s">
        <v>17</v>
      </c>
      <c r="N1177" s="13"/>
      <c r="O1177" s="13"/>
      <c r="P1177" s="47"/>
      <c r="Q1177" s="45" t="s">
        <v>3672</v>
      </c>
      <c r="R1177" s="45" t="s">
        <v>5596</v>
      </c>
      <c r="S1177" s="48"/>
      <c r="T1177" s="49" t="str">
        <f t="shared" si="75"/>
        <v>[W2246.6]</v>
      </c>
      <c r="U1177" s="12" t="str">
        <f t="shared" si="76"/>
        <v xml:space="preserve"> 터브이송#4-1 터브이송#4-2 구동방향오류</v>
      </c>
      <c r="V1177" s="49" t="str">
        <f t="shared" si="77"/>
        <v>[W2246.6] 터브이송#4-1 터브이송#4-2 구동방향오류</v>
      </c>
    </row>
    <row r="1178" spans="1:22" s="49" customFormat="1" ht="14.15" customHeight="1">
      <c r="A1178" s="43" t="s">
        <v>5598</v>
      </c>
      <c r="B1178" s="44" t="s">
        <v>157</v>
      </c>
      <c r="C1178" s="50"/>
      <c r="D1178" s="10" t="s">
        <v>29</v>
      </c>
      <c r="E1178" s="11"/>
      <c r="F1178" s="11" t="s">
        <v>18</v>
      </c>
      <c r="G1178" s="13"/>
      <c r="H1178" s="45" t="s">
        <v>16</v>
      </c>
      <c r="I1178" s="47"/>
      <c r="J1178" s="12" t="s">
        <v>5295</v>
      </c>
      <c r="K1178" s="13" t="s">
        <v>7978</v>
      </c>
      <c r="L1178" s="99" t="str">
        <f t="shared" si="74"/>
        <v>W2246.7</v>
      </c>
      <c r="M1178" s="13" t="s">
        <v>17</v>
      </c>
      <c r="N1178" s="13"/>
      <c r="O1178" s="13"/>
      <c r="P1178" s="47"/>
      <c r="Q1178" s="45" t="s">
        <v>3672</v>
      </c>
      <c r="R1178" s="45" t="s">
        <v>5596</v>
      </c>
      <c r="S1178" s="48"/>
      <c r="T1178" s="49" t="str">
        <f t="shared" si="75"/>
        <v>[W2246.7]</v>
      </c>
      <c r="U1178" s="12" t="str">
        <f t="shared" si="76"/>
        <v xml:space="preserve"> 터브이송#4-1 터브이송#4-2 간격오류</v>
      </c>
      <c r="V1178" s="49" t="str">
        <f t="shared" si="77"/>
        <v>[W2246.7] 터브이송#4-1 터브이송#4-2 간격오류</v>
      </c>
    </row>
    <row r="1179" spans="1:22" s="49" customFormat="1" ht="14.15" customHeight="1">
      <c r="A1179" s="43"/>
      <c r="B1179" s="44" t="s">
        <v>157</v>
      </c>
      <c r="C1179" s="50"/>
      <c r="D1179" s="10" t="s">
        <v>29</v>
      </c>
      <c r="E1179" s="11"/>
      <c r="F1179" s="11" t="s">
        <v>18</v>
      </c>
      <c r="G1179" s="13"/>
      <c r="H1179" s="45" t="s">
        <v>16</v>
      </c>
      <c r="I1179" s="47"/>
      <c r="J1179" s="12" t="s">
        <v>4135</v>
      </c>
      <c r="K1179" s="13" t="s">
        <v>7979</v>
      </c>
      <c r="L1179" s="99" t="str">
        <f t="shared" si="74"/>
        <v>W2246.8</v>
      </c>
      <c r="M1179" s="13"/>
      <c r="N1179" s="13"/>
      <c r="O1179" s="13"/>
      <c r="P1179" s="47"/>
      <c r="Q1179" s="45"/>
      <c r="R1179" s="45"/>
      <c r="S1179" s="48"/>
      <c r="T1179" s="49" t="str">
        <f t="shared" si="75"/>
        <v>[W2246.8]</v>
      </c>
      <c r="U1179" s="12" t="str">
        <f t="shared" si="76"/>
        <v/>
      </c>
      <c r="V1179" s="49" t="str">
        <f t="shared" si="77"/>
        <v>[W2246.8]</v>
      </c>
    </row>
    <row r="1180" spans="1:22" s="49" customFormat="1" ht="14.15" customHeight="1">
      <c r="A1180" s="43"/>
      <c r="B1180" s="44" t="s">
        <v>157</v>
      </c>
      <c r="C1180" s="50"/>
      <c r="D1180" s="10" t="s">
        <v>29</v>
      </c>
      <c r="E1180" s="11"/>
      <c r="F1180" s="11" t="s">
        <v>18</v>
      </c>
      <c r="G1180" s="13"/>
      <c r="H1180" s="45" t="s">
        <v>16</v>
      </c>
      <c r="I1180" s="47"/>
      <c r="J1180" s="12" t="s">
        <v>4136</v>
      </c>
      <c r="K1180" s="13" t="s">
        <v>7980</v>
      </c>
      <c r="L1180" s="99" t="str">
        <f t="shared" si="74"/>
        <v>W2246.9</v>
      </c>
      <c r="M1180" s="13"/>
      <c r="N1180" s="13"/>
      <c r="O1180" s="13"/>
      <c r="P1180" s="47"/>
      <c r="Q1180" s="45"/>
      <c r="R1180" s="45"/>
      <c r="S1180" s="48"/>
      <c r="T1180" s="49" t="str">
        <f t="shared" si="75"/>
        <v>[W2246.9]</v>
      </c>
      <c r="U1180" s="12" t="str">
        <f t="shared" si="76"/>
        <v/>
      </c>
      <c r="V1180" s="49" t="str">
        <f t="shared" si="77"/>
        <v>[W2246.9]</v>
      </c>
    </row>
    <row r="1181" spans="1:22" s="49" customFormat="1" ht="14.15" customHeight="1">
      <c r="A1181" s="43"/>
      <c r="B1181" s="44" t="s">
        <v>157</v>
      </c>
      <c r="C1181" s="50"/>
      <c r="D1181" s="10" t="s">
        <v>29</v>
      </c>
      <c r="E1181" s="11"/>
      <c r="F1181" s="11" t="s">
        <v>18</v>
      </c>
      <c r="G1181" s="13"/>
      <c r="H1181" s="45" t="s">
        <v>16</v>
      </c>
      <c r="I1181" s="47"/>
      <c r="J1181" s="12" t="s">
        <v>4137</v>
      </c>
      <c r="K1181" s="13" t="s">
        <v>7981</v>
      </c>
      <c r="L1181" s="99" t="str">
        <f t="shared" si="74"/>
        <v>W2246.A</v>
      </c>
      <c r="M1181" s="13"/>
      <c r="N1181" s="13"/>
      <c r="O1181" s="13"/>
      <c r="P1181" s="47"/>
      <c r="Q1181" s="45"/>
      <c r="R1181" s="45"/>
      <c r="S1181" s="48"/>
      <c r="T1181" s="49" t="str">
        <f t="shared" si="75"/>
        <v>[W2246.A]</v>
      </c>
      <c r="U1181" s="12" t="str">
        <f t="shared" si="76"/>
        <v/>
      </c>
      <c r="V1181" s="49" t="str">
        <f t="shared" si="77"/>
        <v>[W2246.A]</v>
      </c>
    </row>
    <row r="1182" spans="1:22" s="49" customFormat="1" ht="14.15" customHeight="1">
      <c r="A1182" s="43"/>
      <c r="B1182" s="44" t="s">
        <v>157</v>
      </c>
      <c r="C1182" s="50"/>
      <c r="D1182" s="10" t="s">
        <v>29</v>
      </c>
      <c r="E1182" s="11"/>
      <c r="F1182" s="11" t="s">
        <v>18</v>
      </c>
      <c r="G1182" s="13"/>
      <c r="H1182" s="45" t="s">
        <v>16</v>
      </c>
      <c r="I1182" s="47"/>
      <c r="J1182" s="12" t="s">
        <v>4138</v>
      </c>
      <c r="K1182" s="13" t="s">
        <v>7982</v>
      </c>
      <c r="L1182" s="99" t="str">
        <f t="shared" si="74"/>
        <v>W2246.B</v>
      </c>
      <c r="M1182" s="13"/>
      <c r="N1182" s="13"/>
      <c r="O1182" s="13"/>
      <c r="P1182" s="47"/>
      <c r="Q1182" s="45"/>
      <c r="R1182" s="45"/>
      <c r="S1182" s="48"/>
      <c r="T1182" s="49" t="str">
        <f t="shared" si="75"/>
        <v>[W2246.B]</v>
      </c>
      <c r="U1182" s="12" t="str">
        <f t="shared" si="76"/>
        <v/>
      </c>
      <c r="V1182" s="49" t="str">
        <f t="shared" si="77"/>
        <v>[W2246.B]</v>
      </c>
    </row>
    <row r="1183" spans="1:22" s="49" customFormat="1" ht="14.15" customHeight="1">
      <c r="A1183" s="43"/>
      <c r="B1183" s="44" t="s">
        <v>157</v>
      </c>
      <c r="C1183" s="50"/>
      <c r="D1183" s="10" t="s">
        <v>29</v>
      </c>
      <c r="E1183" s="11"/>
      <c r="F1183" s="11" t="s">
        <v>18</v>
      </c>
      <c r="G1183" s="13"/>
      <c r="H1183" s="45" t="s">
        <v>16</v>
      </c>
      <c r="I1183" s="47"/>
      <c r="J1183" s="12" t="s">
        <v>4139</v>
      </c>
      <c r="K1183" s="13" t="s">
        <v>7983</v>
      </c>
      <c r="L1183" s="99" t="str">
        <f t="shared" si="74"/>
        <v>W2246.C</v>
      </c>
      <c r="M1183" s="13"/>
      <c r="N1183" s="13"/>
      <c r="O1183" s="13"/>
      <c r="P1183" s="47"/>
      <c r="Q1183" s="45"/>
      <c r="R1183" s="45"/>
      <c r="S1183" s="48"/>
      <c r="T1183" s="49" t="str">
        <f t="shared" si="75"/>
        <v>[W2246.C]</v>
      </c>
      <c r="U1183" s="12" t="str">
        <f t="shared" si="76"/>
        <v/>
      </c>
      <c r="V1183" s="49" t="str">
        <f t="shared" si="77"/>
        <v>[W2246.C]</v>
      </c>
    </row>
    <row r="1184" spans="1:22" s="49" customFormat="1" ht="14.15" customHeight="1">
      <c r="A1184" s="43"/>
      <c r="B1184" s="44" t="s">
        <v>157</v>
      </c>
      <c r="C1184" s="50"/>
      <c r="D1184" s="10" t="s">
        <v>29</v>
      </c>
      <c r="E1184" s="11"/>
      <c r="F1184" s="11" t="s">
        <v>18</v>
      </c>
      <c r="G1184" s="13"/>
      <c r="H1184" s="45" t="s">
        <v>16</v>
      </c>
      <c r="I1184" s="47"/>
      <c r="J1184" s="12" t="s">
        <v>4140</v>
      </c>
      <c r="K1184" s="13" t="s">
        <v>7984</v>
      </c>
      <c r="L1184" s="99" t="str">
        <f t="shared" si="74"/>
        <v>W2246.D</v>
      </c>
      <c r="M1184" s="13"/>
      <c r="N1184" s="13"/>
      <c r="O1184" s="13"/>
      <c r="P1184" s="47"/>
      <c r="Q1184" s="45"/>
      <c r="R1184" s="45"/>
      <c r="S1184" s="48"/>
      <c r="T1184" s="49" t="str">
        <f t="shared" si="75"/>
        <v>[W2246.D]</v>
      </c>
      <c r="U1184" s="12" t="str">
        <f t="shared" si="76"/>
        <v/>
      </c>
      <c r="V1184" s="49" t="str">
        <f t="shared" si="77"/>
        <v>[W2246.D]</v>
      </c>
    </row>
    <row r="1185" spans="1:22" s="49" customFormat="1" ht="14.15" customHeight="1">
      <c r="A1185" s="43"/>
      <c r="B1185" s="44" t="s">
        <v>157</v>
      </c>
      <c r="C1185" s="50"/>
      <c r="D1185" s="10" t="s">
        <v>29</v>
      </c>
      <c r="E1185" s="11"/>
      <c r="F1185" s="11" t="s">
        <v>18</v>
      </c>
      <c r="G1185" s="13"/>
      <c r="H1185" s="45" t="s">
        <v>16</v>
      </c>
      <c r="I1185" s="47"/>
      <c r="J1185" s="12" t="s">
        <v>4141</v>
      </c>
      <c r="K1185" s="13" t="s">
        <v>7985</v>
      </c>
      <c r="L1185" s="99" t="str">
        <f t="shared" si="74"/>
        <v>W2246.E</v>
      </c>
      <c r="M1185" s="13"/>
      <c r="N1185" s="13"/>
      <c r="O1185" s="13"/>
      <c r="P1185" s="47"/>
      <c r="Q1185" s="45"/>
      <c r="R1185" s="45"/>
      <c r="S1185" s="48"/>
      <c r="T1185" s="49" t="str">
        <f t="shared" si="75"/>
        <v>[W2246.E]</v>
      </c>
      <c r="U1185" s="12" t="str">
        <f t="shared" si="76"/>
        <v/>
      </c>
      <c r="V1185" s="49" t="str">
        <f t="shared" si="77"/>
        <v>[W2246.E]</v>
      </c>
    </row>
    <row r="1186" spans="1:22" s="49" customFormat="1" ht="14.15" customHeight="1">
      <c r="A1186" s="43"/>
      <c r="B1186" s="44" t="s">
        <v>157</v>
      </c>
      <c r="C1186" s="50"/>
      <c r="D1186" s="10" t="s">
        <v>29</v>
      </c>
      <c r="E1186" s="11"/>
      <c r="F1186" s="11" t="s">
        <v>18</v>
      </c>
      <c r="G1186" s="13"/>
      <c r="H1186" s="45" t="s">
        <v>16</v>
      </c>
      <c r="I1186" s="47"/>
      <c r="J1186" s="12" t="s">
        <v>4142</v>
      </c>
      <c r="K1186" s="13" t="s">
        <v>7986</v>
      </c>
      <c r="L1186" s="99" t="str">
        <f t="shared" si="74"/>
        <v>W2246.F</v>
      </c>
      <c r="M1186" s="13"/>
      <c r="N1186" s="13"/>
      <c r="O1186" s="13"/>
      <c r="P1186" s="47"/>
      <c r="Q1186" s="45"/>
      <c r="R1186" s="45"/>
      <c r="S1186" s="48"/>
      <c r="T1186" s="49" t="str">
        <f t="shared" si="75"/>
        <v>[W2246.F]</v>
      </c>
      <c r="U1186" s="12" t="str">
        <f t="shared" si="76"/>
        <v/>
      </c>
      <c r="V1186" s="49" t="str">
        <f t="shared" si="77"/>
        <v>[W2246.F]</v>
      </c>
    </row>
    <row r="1187" spans="1:22" s="49" customFormat="1" ht="14.15" customHeight="1">
      <c r="A1187" s="43"/>
      <c r="B1187" s="44" t="s">
        <v>157</v>
      </c>
      <c r="C1187" s="50"/>
      <c r="D1187" s="10" t="s">
        <v>29</v>
      </c>
      <c r="E1187" s="11"/>
      <c r="F1187" s="11" t="s">
        <v>18</v>
      </c>
      <c r="G1187" s="13"/>
      <c r="H1187" s="45" t="s">
        <v>16</v>
      </c>
      <c r="I1187" s="47"/>
      <c r="J1187" s="12" t="s">
        <v>4143</v>
      </c>
      <c r="K1187" s="13" t="s">
        <v>7987</v>
      </c>
      <c r="L1187" s="99" t="str">
        <f t="shared" si="74"/>
        <v>W2247.0</v>
      </c>
      <c r="M1187" s="13"/>
      <c r="N1187" s="13"/>
      <c r="O1187" s="13"/>
      <c r="P1187" s="47"/>
      <c r="Q1187" s="45"/>
      <c r="R1187" s="45"/>
      <c r="S1187" s="48"/>
      <c r="T1187" s="49" t="str">
        <f t="shared" si="75"/>
        <v>[W2247.0]</v>
      </c>
      <c r="U1187" s="12" t="str">
        <f t="shared" si="76"/>
        <v/>
      </c>
      <c r="V1187" s="49" t="str">
        <f t="shared" si="77"/>
        <v>[W2247.0]</v>
      </c>
    </row>
    <row r="1188" spans="1:22" s="49" customFormat="1" ht="14.15" customHeight="1">
      <c r="A1188" s="43"/>
      <c r="B1188" s="44" t="s">
        <v>157</v>
      </c>
      <c r="C1188" s="50"/>
      <c r="D1188" s="10" t="s">
        <v>29</v>
      </c>
      <c r="E1188" s="11"/>
      <c r="F1188" s="11" t="s">
        <v>18</v>
      </c>
      <c r="G1188" s="13"/>
      <c r="H1188" s="45" t="s">
        <v>16</v>
      </c>
      <c r="I1188" s="47"/>
      <c r="J1188" s="12" t="s">
        <v>4144</v>
      </c>
      <c r="K1188" s="13" t="s">
        <v>7988</v>
      </c>
      <c r="L1188" s="99" t="str">
        <f t="shared" si="74"/>
        <v>W2247.1</v>
      </c>
      <c r="M1188" s="13"/>
      <c r="N1188" s="13"/>
      <c r="O1188" s="13"/>
      <c r="P1188" s="47"/>
      <c r="Q1188" s="45"/>
      <c r="R1188" s="45"/>
      <c r="S1188" s="48"/>
      <c r="T1188" s="49" t="str">
        <f t="shared" si="75"/>
        <v>[W2247.1]</v>
      </c>
      <c r="U1188" s="12" t="str">
        <f t="shared" si="76"/>
        <v/>
      </c>
      <c r="V1188" s="49" t="str">
        <f t="shared" si="77"/>
        <v>[W2247.1]</v>
      </c>
    </row>
    <row r="1189" spans="1:22" s="49" customFormat="1" ht="14.15" customHeight="1">
      <c r="A1189" s="43"/>
      <c r="B1189" s="44" t="s">
        <v>157</v>
      </c>
      <c r="C1189" s="50"/>
      <c r="D1189" s="10" t="s">
        <v>29</v>
      </c>
      <c r="E1189" s="11"/>
      <c r="F1189" s="11" t="s">
        <v>18</v>
      </c>
      <c r="G1189" s="13"/>
      <c r="H1189" s="45" t="s">
        <v>16</v>
      </c>
      <c r="I1189" s="47"/>
      <c r="J1189" s="12" t="s">
        <v>4145</v>
      </c>
      <c r="K1189" s="13" t="s">
        <v>7989</v>
      </c>
      <c r="L1189" s="99" t="str">
        <f t="shared" si="74"/>
        <v>W2247.2</v>
      </c>
      <c r="M1189" s="13"/>
      <c r="N1189" s="13"/>
      <c r="O1189" s="13"/>
      <c r="P1189" s="47"/>
      <c r="Q1189" s="45"/>
      <c r="R1189" s="45"/>
      <c r="S1189" s="48"/>
      <c r="T1189" s="49" t="str">
        <f t="shared" si="75"/>
        <v>[W2247.2]</v>
      </c>
      <c r="U1189" s="12" t="str">
        <f t="shared" si="76"/>
        <v/>
      </c>
      <c r="V1189" s="49" t="str">
        <f t="shared" si="77"/>
        <v>[W2247.2]</v>
      </c>
    </row>
    <row r="1190" spans="1:22" s="49" customFormat="1" ht="14.15" customHeight="1">
      <c r="A1190" s="43" t="s">
        <v>5598</v>
      </c>
      <c r="B1190" s="44" t="s">
        <v>157</v>
      </c>
      <c r="C1190" s="50"/>
      <c r="D1190" s="10" t="s">
        <v>29</v>
      </c>
      <c r="E1190" s="11"/>
      <c r="F1190" s="11" t="s">
        <v>18</v>
      </c>
      <c r="G1190" s="13"/>
      <c r="H1190" s="45" t="s">
        <v>16</v>
      </c>
      <c r="I1190" s="47"/>
      <c r="J1190" s="12" t="s">
        <v>5296</v>
      </c>
      <c r="K1190" s="13" t="s">
        <v>7990</v>
      </c>
      <c r="L1190" s="99" t="str">
        <f t="shared" si="74"/>
        <v>W2247.3</v>
      </c>
      <c r="M1190" s="13" t="s">
        <v>17</v>
      </c>
      <c r="N1190" s="13"/>
      <c r="O1190" s="13"/>
      <c r="P1190" s="47"/>
      <c r="Q1190" s="45" t="s">
        <v>3672</v>
      </c>
      <c r="R1190" s="45" t="s">
        <v>5596</v>
      </c>
      <c r="S1190" s="48"/>
      <c r="T1190" s="49" t="str">
        <f t="shared" si="75"/>
        <v>[W2247.3]</v>
      </c>
      <c r="U1190" s="12" t="str">
        <f t="shared" si="76"/>
        <v xml:space="preserve"> 터브이송#4-2 상부 진공흡착 시간초과</v>
      </c>
      <c r="V1190" s="49" t="str">
        <f t="shared" si="77"/>
        <v>[W2247.3] 터브이송#4-2 상부 진공흡착 시간초과</v>
      </c>
    </row>
    <row r="1191" spans="1:22" s="49" customFormat="1" ht="14.15" customHeight="1">
      <c r="A1191" s="43" t="s">
        <v>5598</v>
      </c>
      <c r="B1191" s="44" t="s">
        <v>157</v>
      </c>
      <c r="C1191" s="50"/>
      <c r="D1191" s="10" t="s">
        <v>29</v>
      </c>
      <c r="E1191" s="11"/>
      <c r="F1191" s="11" t="s">
        <v>18</v>
      </c>
      <c r="G1191" s="13"/>
      <c r="H1191" s="45" t="s">
        <v>16</v>
      </c>
      <c r="I1191" s="47"/>
      <c r="J1191" s="12" t="s">
        <v>5297</v>
      </c>
      <c r="K1191" s="13" t="s">
        <v>7991</v>
      </c>
      <c r="L1191" s="99" t="str">
        <f t="shared" si="74"/>
        <v>W2247.4</v>
      </c>
      <c r="M1191" s="13" t="s">
        <v>17</v>
      </c>
      <c r="N1191" s="13"/>
      <c r="O1191" s="13"/>
      <c r="P1191" s="47"/>
      <c r="Q1191" s="45" t="s">
        <v>3672</v>
      </c>
      <c r="R1191" s="45" t="s">
        <v>5596</v>
      </c>
      <c r="S1191" s="48"/>
      <c r="T1191" s="49" t="str">
        <f t="shared" si="75"/>
        <v>[W2247.4]</v>
      </c>
      <c r="U1191" s="12" t="str">
        <f t="shared" si="76"/>
        <v xml:space="preserve"> 터브이송#4-2 상부 진공파기 시간초과</v>
      </c>
      <c r="V1191" s="49" t="str">
        <f t="shared" si="77"/>
        <v>[W2247.4] 터브이송#4-2 상부 진공파기 시간초과</v>
      </c>
    </row>
    <row r="1192" spans="1:22" s="49" customFormat="1" ht="14.15" customHeight="1">
      <c r="A1192" s="43" t="s">
        <v>5598</v>
      </c>
      <c r="B1192" s="44" t="s">
        <v>157</v>
      </c>
      <c r="C1192" s="50"/>
      <c r="D1192" s="10" t="s">
        <v>29</v>
      </c>
      <c r="E1192" s="11"/>
      <c r="F1192" s="11" t="s">
        <v>18</v>
      </c>
      <c r="G1192" s="13"/>
      <c r="H1192" s="45" t="s">
        <v>16</v>
      </c>
      <c r="I1192" s="47"/>
      <c r="J1192" s="12" t="s">
        <v>5298</v>
      </c>
      <c r="K1192" s="13" t="s">
        <v>7992</v>
      </c>
      <c r="L1192" s="99" t="str">
        <f t="shared" si="74"/>
        <v>W2247.5</v>
      </c>
      <c r="M1192" s="13" t="s">
        <v>17</v>
      </c>
      <c r="N1192" s="13"/>
      <c r="O1192" s="13"/>
      <c r="P1192" s="47"/>
      <c r="Q1192" s="45" t="s">
        <v>3672</v>
      </c>
      <c r="R1192" s="45" t="s">
        <v>5596</v>
      </c>
      <c r="S1192" s="48"/>
      <c r="T1192" s="49" t="str">
        <f t="shared" si="75"/>
        <v>[W2247.5]</v>
      </c>
      <c r="U1192" s="12" t="str">
        <f t="shared" si="76"/>
        <v xml:space="preserve"> 터브이송#4-2 센터 진공흡착 시간초과</v>
      </c>
      <c r="V1192" s="49" t="str">
        <f t="shared" si="77"/>
        <v>[W2247.5] 터브이송#4-2 센터 진공흡착 시간초과</v>
      </c>
    </row>
    <row r="1193" spans="1:22" s="49" customFormat="1" ht="14.15" customHeight="1">
      <c r="A1193" s="43" t="s">
        <v>5598</v>
      </c>
      <c r="B1193" s="44" t="s">
        <v>157</v>
      </c>
      <c r="C1193" s="50"/>
      <c r="D1193" s="10" t="s">
        <v>29</v>
      </c>
      <c r="E1193" s="11"/>
      <c r="F1193" s="11" t="s">
        <v>18</v>
      </c>
      <c r="G1193" s="13"/>
      <c r="H1193" s="45" t="s">
        <v>16</v>
      </c>
      <c r="I1193" s="47"/>
      <c r="J1193" s="12" t="s">
        <v>5299</v>
      </c>
      <c r="K1193" s="13" t="s">
        <v>7993</v>
      </c>
      <c r="L1193" s="99" t="str">
        <f t="shared" si="74"/>
        <v>W2247.6</v>
      </c>
      <c r="M1193" s="13" t="s">
        <v>17</v>
      </c>
      <c r="N1193" s="13"/>
      <c r="O1193" s="13"/>
      <c r="P1193" s="47"/>
      <c r="Q1193" s="45" t="s">
        <v>3672</v>
      </c>
      <c r="R1193" s="45" t="s">
        <v>5596</v>
      </c>
      <c r="S1193" s="48"/>
      <c r="T1193" s="49" t="str">
        <f t="shared" si="75"/>
        <v>[W2247.6]</v>
      </c>
      <c r="U1193" s="12" t="str">
        <f t="shared" si="76"/>
        <v xml:space="preserve"> 터브이송#4-2 센터 진공파기 시간초과</v>
      </c>
      <c r="V1193" s="49" t="str">
        <f t="shared" si="77"/>
        <v>[W2247.6] 터브이송#4-2 센터 진공파기 시간초과</v>
      </c>
    </row>
    <row r="1194" spans="1:22" s="49" customFormat="1" ht="14.15" customHeight="1">
      <c r="A1194" s="43" t="s">
        <v>5598</v>
      </c>
      <c r="B1194" s="44" t="s">
        <v>157</v>
      </c>
      <c r="C1194" s="50"/>
      <c r="D1194" s="10" t="s">
        <v>29</v>
      </c>
      <c r="E1194" s="11"/>
      <c r="F1194" s="11" t="s">
        <v>18</v>
      </c>
      <c r="G1194" s="13"/>
      <c r="H1194" s="45" t="s">
        <v>16</v>
      </c>
      <c r="I1194" s="47"/>
      <c r="J1194" s="12" t="s">
        <v>5300</v>
      </c>
      <c r="K1194" s="13" t="s">
        <v>7994</v>
      </c>
      <c r="L1194" s="99" t="str">
        <f t="shared" si="74"/>
        <v>W2247.7</v>
      </c>
      <c r="M1194" s="13" t="s">
        <v>17</v>
      </c>
      <c r="N1194" s="13"/>
      <c r="O1194" s="13"/>
      <c r="P1194" s="47"/>
      <c r="Q1194" s="45" t="s">
        <v>3672</v>
      </c>
      <c r="R1194" s="45" t="s">
        <v>5596</v>
      </c>
      <c r="S1194" s="48"/>
      <c r="T1194" s="49" t="str">
        <f t="shared" si="75"/>
        <v>[W2247.7]</v>
      </c>
      <c r="U1194" s="12" t="str">
        <f t="shared" si="76"/>
        <v xml:space="preserve"> 터브이송#4-2 하부 진공흡착 시간초과</v>
      </c>
      <c r="V1194" s="49" t="str">
        <f t="shared" si="77"/>
        <v>[W2247.7] 터브이송#4-2 하부 진공흡착 시간초과</v>
      </c>
    </row>
    <row r="1195" spans="1:22" s="49" customFormat="1" ht="14.15" customHeight="1">
      <c r="A1195" s="43" t="s">
        <v>5598</v>
      </c>
      <c r="B1195" s="44" t="s">
        <v>157</v>
      </c>
      <c r="C1195" s="50"/>
      <c r="D1195" s="10" t="s">
        <v>29</v>
      </c>
      <c r="E1195" s="11"/>
      <c r="F1195" s="11" t="s">
        <v>18</v>
      </c>
      <c r="G1195" s="13"/>
      <c r="H1195" s="45" t="s">
        <v>16</v>
      </c>
      <c r="I1195" s="47"/>
      <c r="J1195" s="12" t="s">
        <v>5301</v>
      </c>
      <c r="K1195" s="13" t="s">
        <v>7995</v>
      </c>
      <c r="L1195" s="99" t="str">
        <f t="shared" si="74"/>
        <v>W2247.8</v>
      </c>
      <c r="M1195" s="13" t="s">
        <v>17</v>
      </c>
      <c r="N1195" s="13"/>
      <c r="O1195" s="13"/>
      <c r="P1195" s="47"/>
      <c r="Q1195" s="45" t="s">
        <v>3672</v>
      </c>
      <c r="R1195" s="45" t="s">
        <v>5596</v>
      </c>
      <c r="S1195" s="48"/>
      <c r="T1195" s="49" t="str">
        <f t="shared" si="75"/>
        <v>[W2247.8]</v>
      </c>
      <c r="U1195" s="12" t="str">
        <f t="shared" si="76"/>
        <v xml:space="preserve"> 터브이송#4-2 하부 진공파기 시간초과</v>
      </c>
      <c r="V1195" s="49" t="str">
        <f t="shared" si="77"/>
        <v>[W2247.8] 터브이송#4-2 하부 진공파기 시간초과</v>
      </c>
    </row>
    <row r="1196" spans="1:22" s="49" customFormat="1" ht="14.15" customHeight="1">
      <c r="A1196" s="43" t="s">
        <v>5598</v>
      </c>
      <c r="B1196" s="44" t="s">
        <v>157</v>
      </c>
      <c r="C1196" s="50"/>
      <c r="D1196" s="10" t="s">
        <v>29</v>
      </c>
      <c r="E1196" s="11"/>
      <c r="F1196" s="11" t="s">
        <v>18</v>
      </c>
      <c r="G1196" s="13"/>
      <c r="H1196" s="45" t="s">
        <v>16</v>
      </c>
      <c r="I1196" s="47"/>
      <c r="J1196" s="12" t="s">
        <v>5302</v>
      </c>
      <c r="K1196" s="13" t="s">
        <v>7996</v>
      </c>
      <c r="L1196" s="99" t="str">
        <f t="shared" si="74"/>
        <v>W2247.9</v>
      </c>
      <c r="M1196" s="13" t="s">
        <v>17</v>
      </c>
      <c r="N1196" s="13"/>
      <c r="O1196" s="13"/>
      <c r="P1196" s="47"/>
      <c r="Q1196" s="45" t="s">
        <v>3672</v>
      </c>
      <c r="R1196" s="45" t="s">
        <v>5596</v>
      </c>
      <c r="S1196" s="48"/>
      <c r="T1196" s="49" t="str">
        <f t="shared" si="75"/>
        <v>[W2247.9]</v>
      </c>
      <c r="U1196" s="12" t="str">
        <f t="shared" si="76"/>
        <v xml:space="preserve"> 터브이송#4-1 터브이송#4-2 지령오류</v>
      </c>
      <c r="V1196" s="49" t="str">
        <f t="shared" si="77"/>
        <v>[W2247.9] 터브이송#4-1 터브이송#4-2 지령오류</v>
      </c>
    </row>
    <row r="1197" spans="1:22" s="49" customFormat="1" ht="14.15" customHeight="1">
      <c r="A1197" s="43" t="s">
        <v>5598</v>
      </c>
      <c r="B1197" s="44" t="s">
        <v>157</v>
      </c>
      <c r="C1197" s="50"/>
      <c r="D1197" s="10" t="s">
        <v>29</v>
      </c>
      <c r="E1197" s="11"/>
      <c r="F1197" s="11" t="s">
        <v>18</v>
      </c>
      <c r="G1197" s="13"/>
      <c r="H1197" s="45" t="s">
        <v>16</v>
      </c>
      <c r="I1197" s="47"/>
      <c r="J1197" s="12" t="s">
        <v>5303</v>
      </c>
      <c r="K1197" s="13" t="s">
        <v>7997</v>
      </c>
      <c r="L1197" s="99" t="str">
        <f t="shared" si="74"/>
        <v>W2247.A</v>
      </c>
      <c r="M1197" s="13" t="s">
        <v>17</v>
      </c>
      <c r="N1197" s="13"/>
      <c r="O1197" s="13"/>
      <c r="P1197" s="47"/>
      <c r="Q1197" s="45" t="s">
        <v>3672</v>
      </c>
      <c r="R1197" s="45" t="s">
        <v>5596</v>
      </c>
      <c r="S1197" s="48"/>
      <c r="T1197" s="49" t="str">
        <f t="shared" si="75"/>
        <v>[W2247.A]</v>
      </c>
      <c r="U1197" s="12" t="str">
        <f t="shared" si="76"/>
        <v xml:space="preserve"> 터브이송#4-2 터브이송#4-3 지령오류</v>
      </c>
      <c r="V1197" s="49" t="str">
        <f t="shared" si="77"/>
        <v>[W2247.A] 터브이송#4-2 터브이송#4-3 지령오류</v>
      </c>
    </row>
    <row r="1198" spans="1:22" s="49" customFormat="1" ht="14.15" customHeight="1">
      <c r="A1198" s="43" t="s">
        <v>5598</v>
      </c>
      <c r="B1198" s="44" t="s">
        <v>157</v>
      </c>
      <c r="C1198" s="50"/>
      <c r="D1198" s="10" t="s">
        <v>29</v>
      </c>
      <c r="E1198" s="11"/>
      <c r="F1198" s="11" t="s">
        <v>18</v>
      </c>
      <c r="G1198" s="13"/>
      <c r="H1198" s="45" t="s">
        <v>16</v>
      </c>
      <c r="I1198" s="47"/>
      <c r="J1198" s="12" t="s">
        <v>5304</v>
      </c>
      <c r="K1198" s="13" t="s">
        <v>7998</v>
      </c>
      <c r="L1198" s="99" t="str">
        <f t="shared" si="74"/>
        <v>W2247.B</v>
      </c>
      <c r="M1198" s="13" t="s">
        <v>17</v>
      </c>
      <c r="N1198" s="13"/>
      <c r="O1198" s="13"/>
      <c r="P1198" s="47"/>
      <c r="Q1198" s="45" t="s">
        <v>3672</v>
      </c>
      <c r="R1198" s="45" t="s">
        <v>5596</v>
      </c>
      <c r="S1198" s="48"/>
      <c r="T1198" s="49" t="str">
        <f t="shared" si="75"/>
        <v>[W2247.B]</v>
      </c>
      <c r="U1198" s="12" t="str">
        <f t="shared" si="76"/>
        <v xml:space="preserve"> 터브이송#4-1 터브이송#4-2 구동방향오류</v>
      </c>
      <c r="V1198" s="49" t="str">
        <f t="shared" si="77"/>
        <v>[W2247.B] 터브이송#4-1 터브이송#4-2 구동방향오류</v>
      </c>
    </row>
    <row r="1199" spans="1:22" s="49" customFormat="1" ht="14.15" customHeight="1">
      <c r="A1199" s="43" t="s">
        <v>5598</v>
      </c>
      <c r="B1199" s="44" t="s">
        <v>157</v>
      </c>
      <c r="C1199" s="50"/>
      <c r="D1199" s="10" t="s">
        <v>29</v>
      </c>
      <c r="E1199" s="11"/>
      <c r="F1199" s="11" t="s">
        <v>18</v>
      </c>
      <c r="G1199" s="13"/>
      <c r="H1199" s="45" t="s">
        <v>16</v>
      </c>
      <c r="I1199" s="47"/>
      <c r="J1199" s="12" t="s">
        <v>5305</v>
      </c>
      <c r="K1199" s="13" t="s">
        <v>7999</v>
      </c>
      <c r="L1199" s="99" t="str">
        <f t="shared" si="74"/>
        <v>W2247.C</v>
      </c>
      <c r="M1199" s="13" t="s">
        <v>17</v>
      </c>
      <c r="N1199" s="13"/>
      <c r="O1199" s="13"/>
      <c r="P1199" s="47"/>
      <c r="Q1199" s="45" t="s">
        <v>3672</v>
      </c>
      <c r="R1199" s="45" t="s">
        <v>5596</v>
      </c>
      <c r="S1199" s="48"/>
      <c r="T1199" s="49" t="str">
        <f t="shared" si="75"/>
        <v>[W2247.C]</v>
      </c>
      <c r="U1199" s="12" t="str">
        <f t="shared" si="76"/>
        <v xml:space="preserve"> 터브이송#4-2 터브이송#4-3 구동방향오류</v>
      </c>
      <c r="V1199" s="49" t="str">
        <f t="shared" si="77"/>
        <v>[W2247.C] 터브이송#4-2 터브이송#4-3 구동방향오류</v>
      </c>
    </row>
    <row r="1200" spans="1:22" s="49" customFormat="1" ht="14.15" customHeight="1">
      <c r="A1200" s="43" t="s">
        <v>5598</v>
      </c>
      <c r="B1200" s="44" t="s">
        <v>157</v>
      </c>
      <c r="C1200" s="50"/>
      <c r="D1200" s="10" t="s">
        <v>29</v>
      </c>
      <c r="E1200" s="11"/>
      <c r="F1200" s="11" t="s">
        <v>18</v>
      </c>
      <c r="G1200" s="13"/>
      <c r="H1200" s="45" t="s">
        <v>16</v>
      </c>
      <c r="I1200" s="47"/>
      <c r="J1200" s="12" t="s">
        <v>5306</v>
      </c>
      <c r="K1200" s="13" t="s">
        <v>8000</v>
      </c>
      <c r="L1200" s="99" t="str">
        <f t="shared" si="74"/>
        <v>W2247.D</v>
      </c>
      <c r="M1200" s="13" t="s">
        <v>17</v>
      </c>
      <c r="N1200" s="13"/>
      <c r="O1200" s="13"/>
      <c r="P1200" s="47"/>
      <c r="Q1200" s="45" t="s">
        <v>3672</v>
      </c>
      <c r="R1200" s="45" t="s">
        <v>5596</v>
      </c>
      <c r="S1200" s="48"/>
      <c r="T1200" s="49" t="str">
        <f t="shared" si="75"/>
        <v>[W2247.D]</v>
      </c>
      <c r="U1200" s="12" t="str">
        <f t="shared" si="76"/>
        <v xml:space="preserve"> 터브이송#4-1 터브이송#4-2 간격오류</v>
      </c>
      <c r="V1200" s="49" t="str">
        <f t="shared" si="77"/>
        <v>[W2247.D] 터브이송#4-1 터브이송#4-2 간격오류</v>
      </c>
    </row>
    <row r="1201" spans="1:22" s="49" customFormat="1" ht="14.15" customHeight="1">
      <c r="A1201" s="43" t="s">
        <v>5598</v>
      </c>
      <c r="B1201" s="44" t="s">
        <v>157</v>
      </c>
      <c r="C1201" s="50"/>
      <c r="D1201" s="10" t="s">
        <v>29</v>
      </c>
      <c r="E1201" s="11"/>
      <c r="F1201" s="11" t="s">
        <v>18</v>
      </c>
      <c r="G1201" s="13"/>
      <c r="H1201" s="45" t="s">
        <v>16</v>
      </c>
      <c r="I1201" s="47"/>
      <c r="J1201" s="12" t="s">
        <v>5307</v>
      </c>
      <c r="K1201" s="13" t="s">
        <v>8001</v>
      </c>
      <c r="L1201" s="99" t="str">
        <f t="shared" si="74"/>
        <v>W2247.E</v>
      </c>
      <c r="M1201" s="13" t="s">
        <v>17</v>
      </c>
      <c r="N1201" s="13"/>
      <c r="O1201" s="13"/>
      <c r="P1201" s="47"/>
      <c r="Q1201" s="45" t="s">
        <v>3672</v>
      </c>
      <c r="R1201" s="45" t="s">
        <v>5596</v>
      </c>
      <c r="S1201" s="48"/>
      <c r="T1201" s="49" t="str">
        <f t="shared" si="75"/>
        <v>[W2247.E]</v>
      </c>
      <c r="U1201" s="12" t="str">
        <f t="shared" si="76"/>
        <v xml:space="preserve"> 터브이송#4-2 터브이송#4-3 간격오류</v>
      </c>
      <c r="V1201" s="49" t="str">
        <f t="shared" si="77"/>
        <v>[W2247.E] 터브이송#4-2 터브이송#4-3 간격오류</v>
      </c>
    </row>
    <row r="1202" spans="1:22" s="49" customFormat="1" ht="14.15" customHeight="1">
      <c r="A1202" s="43"/>
      <c r="B1202" s="44" t="s">
        <v>157</v>
      </c>
      <c r="C1202" s="50"/>
      <c r="D1202" s="10" t="s">
        <v>29</v>
      </c>
      <c r="E1202" s="11"/>
      <c r="F1202" s="11" t="s">
        <v>18</v>
      </c>
      <c r="G1202" s="13"/>
      <c r="H1202" s="45" t="s">
        <v>16</v>
      </c>
      <c r="I1202" s="47"/>
      <c r="J1202" s="12" t="s">
        <v>4146</v>
      </c>
      <c r="K1202" s="13" t="s">
        <v>8002</v>
      </c>
      <c r="L1202" s="99" t="str">
        <f t="shared" si="74"/>
        <v>W2247.F</v>
      </c>
      <c r="M1202" s="13"/>
      <c r="N1202" s="13"/>
      <c r="O1202" s="13"/>
      <c r="P1202" s="47"/>
      <c r="Q1202" s="45"/>
      <c r="R1202" s="45"/>
      <c r="S1202" s="48"/>
      <c r="T1202" s="49" t="str">
        <f t="shared" si="75"/>
        <v>[W2247.F]</v>
      </c>
      <c r="U1202" s="12" t="str">
        <f t="shared" si="76"/>
        <v/>
      </c>
      <c r="V1202" s="49" t="str">
        <f t="shared" si="77"/>
        <v>[W2247.F]</v>
      </c>
    </row>
    <row r="1203" spans="1:22" s="49" customFormat="1" ht="14.15" customHeight="1">
      <c r="A1203" s="43"/>
      <c r="B1203" s="44" t="s">
        <v>157</v>
      </c>
      <c r="C1203" s="50"/>
      <c r="D1203" s="10" t="s">
        <v>29</v>
      </c>
      <c r="E1203" s="11"/>
      <c r="F1203" s="11" t="s">
        <v>18</v>
      </c>
      <c r="G1203" s="13"/>
      <c r="H1203" s="45" t="s">
        <v>16</v>
      </c>
      <c r="I1203" s="47"/>
      <c r="J1203" s="12" t="s">
        <v>4147</v>
      </c>
      <c r="K1203" s="13" t="s">
        <v>8003</v>
      </c>
      <c r="L1203" s="99" t="str">
        <f t="shared" si="74"/>
        <v>W2248.0</v>
      </c>
      <c r="M1203" s="13"/>
      <c r="N1203" s="13"/>
      <c r="O1203" s="13"/>
      <c r="P1203" s="47"/>
      <c r="Q1203" s="45"/>
      <c r="R1203" s="45"/>
      <c r="S1203" s="48"/>
      <c r="T1203" s="49" t="str">
        <f t="shared" si="75"/>
        <v>[W2248.0]</v>
      </c>
      <c r="U1203" s="12" t="str">
        <f t="shared" si="76"/>
        <v/>
      </c>
      <c r="V1203" s="49" t="str">
        <f t="shared" si="77"/>
        <v>[W2248.0]</v>
      </c>
    </row>
    <row r="1204" spans="1:22" s="49" customFormat="1" ht="14.15" customHeight="1">
      <c r="A1204" s="43"/>
      <c r="B1204" s="44" t="s">
        <v>157</v>
      </c>
      <c r="C1204" s="50"/>
      <c r="D1204" s="10" t="s">
        <v>29</v>
      </c>
      <c r="E1204" s="11"/>
      <c r="F1204" s="11" t="s">
        <v>18</v>
      </c>
      <c r="G1204" s="13"/>
      <c r="H1204" s="45" t="s">
        <v>16</v>
      </c>
      <c r="I1204" s="47"/>
      <c r="J1204" s="12" t="s">
        <v>4148</v>
      </c>
      <c r="K1204" s="13" t="s">
        <v>8004</v>
      </c>
      <c r="L1204" s="99" t="str">
        <f t="shared" ref="L1204:L1267" si="78">"W"&amp;DEC2HEX(8704 + INT((ROW()-51)/16)) &amp; "." &amp; IF(MOD(ROW()-51,16)&lt;10,MOD(ROW()-51,16),CHAR(MOD(ROW()-51,16)+55))</f>
        <v>W2248.1</v>
      </c>
      <c r="M1204" s="13"/>
      <c r="N1204" s="13"/>
      <c r="O1204" s="13"/>
      <c r="P1204" s="47"/>
      <c r="Q1204" s="45"/>
      <c r="R1204" s="45"/>
      <c r="S1204" s="48"/>
      <c r="T1204" s="49" t="str">
        <f t="shared" ref="T1204:T1267" si="79">"["&amp;L1204&amp;"]"</f>
        <v>[W2248.1]</v>
      </c>
      <c r="U1204" s="12" t="str">
        <f t="shared" ref="U1204:U1267" si="80">RIGHT(J1204,LEN(J1204)-7)</f>
        <v/>
      </c>
      <c r="V1204" s="49" t="str">
        <f t="shared" ref="V1204:V1267" si="81">T1204&amp;U1204</f>
        <v>[W2248.1]</v>
      </c>
    </row>
    <row r="1205" spans="1:22" s="49" customFormat="1" ht="14.15" customHeight="1">
      <c r="A1205" s="43"/>
      <c r="B1205" s="44" t="s">
        <v>157</v>
      </c>
      <c r="C1205" s="50"/>
      <c r="D1205" s="10" t="s">
        <v>29</v>
      </c>
      <c r="E1205" s="11"/>
      <c r="F1205" s="11" t="s">
        <v>18</v>
      </c>
      <c r="G1205" s="13"/>
      <c r="H1205" s="45" t="s">
        <v>16</v>
      </c>
      <c r="I1205" s="47"/>
      <c r="J1205" s="12" t="s">
        <v>4149</v>
      </c>
      <c r="K1205" s="13" t="s">
        <v>8005</v>
      </c>
      <c r="L1205" s="99" t="str">
        <f t="shared" si="78"/>
        <v>W2248.2</v>
      </c>
      <c r="M1205" s="13"/>
      <c r="N1205" s="13"/>
      <c r="O1205" s="13"/>
      <c r="P1205" s="47"/>
      <c r="Q1205" s="45"/>
      <c r="R1205" s="45"/>
      <c r="S1205" s="48"/>
      <c r="T1205" s="49" t="str">
        <f t="shared" si="79"/>
        <v>[W2248.2]</v>
      </c>
      <c r="U1205" s="12" t="str">
        <f t="shared" si="80"/>
        <v/>
      </c>
      <c r="V1205" s="49" t="str">
        <f t="shared" si="81"/>
        <v>[W2248.2]</v>
      </c>
    </row>
    <row r="1206" spans="1:22" s="49" customFormat="1" ht="14.15" customHeight="1">
      <c r="A1206" s="43"/>
      <c r="B1206" s="44" t="s">
        <v>157</v>
      </c>
      <c r="C1206" s="50"/>
      <c r="D1206" s="10" t="s">
        <v>29</v>
      </c>
      <c r="E1206" s="11"/>
      <c r="F1206" s="11" t="s">
        <v>18</v>
      </c>
      <c r="G1206" s="13"/>
      <c r="H1206" s="45" t="s">
        <v>16</v>
      </c>
      <c r="I1206" s="47"/>
      <c r="J1206" s="12" t="s">
        <v>4150</v>
      </c>
      <c r="K1206" s="13" t="s">
        <v>8006</v>
      </c>
      <c r="L1206" s="99" t="str">
        <f t="shared" si="78"/>
        <v>W2248.3</v>
      </c>
      <c r="M1206" s="13"/>
      <c r="N1206" s="13"/>
      <c r="O1206" s="13"/>
      <c r="P1206" s="47"/>
      <c r="Q1206" s="45"/>
      <c r="R1206" s="45"/>
      <c r="S1206" s="48"/>
      <c r="T1206" s="49" t="str">
        <f t="shared" si="79"/>
        <v>[W2248.3]</v>
      </c>
      <c r="U1206" s="12" t="str">
        <f t="shared" si="80"/>
        <v/>
      </c>
      <c r="V1206" s="49" t="str">
        <f t="shared" si="81"/>
        <v>[W2248.3]</v>
      </c>
    </row>
    <row r="1207" spans="1:22" s="49" customFormat="1" ht="14.15" customHeight="1">
      <c r="A1207" s="43"/>
      <c r="B1207" s="44" t="s">
        <v>157</v>
      </c>
      <c r="C1207" s="50"/>
      <c r="D1207" s="10" t="s">
        <v>29</v>
      </c>
      <c r="E1207" s="11"/>
      <c r="F1207" s="11" t="s">
        <v>18</v>
      </c>
      <c r="G1207" s="13"/>
      <c r="H1207" s="45" t="s">
        <v>16</v>
      </c>
      <c r="I1207" s="47"/>
      <c r="J1207" s="12" t="s">
        <v>4151</v>
      </c>
      <c r="K1207" s="13" t="s">
        <v>8007</v>
      </c>
      <c r="L1207" s="99" t="str">
        <f t="shared" si="78"/>
        <v>W2248.4</v>
      </c>
      <c r="M1207" s="13"/>
      <c r="N1207" s="13"/>
      <c r="O1207" s="13"/>
      <c r="P1207" s="47"/>
      <c r="Q1207" s="45"/>
      <c r="R1207" s="45"/>
      <c r="S1207" s="48"/>
      <c r="T1207" s="49" t="str">
        <f t="shared" si="79"/>
        <v>[W2248.4]</v>
      </c>
      <c r="U1207" s="12" t="str">
        <f t="shared" si="80"/>
        <v/>
      </c>
      <c r="V1207" s="49" t="str">
        <f t="shared" si="81"/>
        <v>[W2248.4]</v>
      </c>
    </row>
    <row r="1208" spans="1:22" s="49" customFormat="1" ht="14.15" customHeight="1">
      <c r="A1208" s="43"/>
      <c r="B1208" s="44" t="s">
        <v>157</v>
      </c>
      <c r="C1208" s="50"/>
      <c r="D1208" s="10" t="s">
        <v>29</v>
      </c>
      <c r="E1208" s="11"/>
      <c r="F1208" s="11" t="s">
        <v>18</v>
      </c>
      <c r="G1208" s="13"/>
      <c r="H1208" s="45" t="s">
        <v>16</v>
      </c>
      <c r="I1208" s="47"/>
      <c r="J1208" s="12" t="s">
        <v>4152</v>
      </c>
      <c r="K1208" s="13" t="s">
        <v>8008</v>
      </c>
      <c r="L1208" s="99" t="str">
        <f t="shared" si="78"/>
        <v>W2248.5</v>
      </c>
      <c r="M1208" s="13"/>
      <c r="N1208" s="13"/>
      <c r="O1208" s="13"/>
      <c r="P1208" s="47"/>
      <c r="Q1208" s="45"/>
      <c r="R1208" s="45"/>
      <c r="S1208" s="48"/>
      <c r="T1208" s="49" t="str">
        <f t="shared" si="79"/>
        <v>[W2248.5]</v>
      </c>
      <c r="U1208" s="12" t="str">
        <f t="shared" si="80"/>
        <v/>
      </c>
      <c r="V1208" s="49" t="str">
        <f t="shared" si="81"/>
        <v>[W2248.5]</v>
      </c>
    </row>
    <row r="1209" spans="1:22" s="49" customFormat="1" ht="14.15" customHeight="1">
      <c r="A1209" s="43"/>
      <c r="B1209" s="44" t="s">
        <v>157</v>
      </c>
      <c r="C1209" s="50"/>
      <c r="D1209" s="10" t="s">
        <v>29</v>
      </c>
      <c r="E1209" s="11"/>
      <c r="F1209" s="11" t="s">
        <v>18</v>
      </c>
      <c r="G1209" s="13"/>
      <c r="H1209" s="45" t="s">
        <v>16</v>
      </c>
      <c r="I1209" s="47"/>
      <c r="J1209" s="12" t="s">
        <v>4153</v>
      </c>
      <c r="K1209" s="13" t="s">
        <v>8009</v>
      </c>
      <c r="L1209" s="99" t="str">
        <f t="shared" si="78"/>
        <v>W2248.6</v>
      </c>
      <c r="M1209" s="13"/>
      <c r="N1209" s="13"/>
      <c r="O1209" s="13"/>
      <c r="P1209" s="47"/>
      <c r="Q1209" s="45"/>
      <c r="R1209" s="45"/>
      <c r="S1209" s="48"/>
      <c r="T1209" s="49" t="str">
        <f t="shared" si="79"/>
        <v>[W2248.6]</v>
      </c>
      <c r="U1209" s="12" t="str">
        <f t="shared" si="80"/>
        <v/>
      </c>
      <c r="V1209" s="49" t="str">
        <f t="shared" si="81"/>
        <v>[W2248.6]</v>
      </c>
    </row>
    <row r="1210" spans="1:22" s="49" customFormat="1" ht="14.15" customHeight="1">
      <c r="A1210" s="43" t="s">
        <v>5598</v>
      </c>
      <c r="B1210" s="44" t="s">
        <v>157</v>
      </c>
      <c r="C1210" s="50"/>
      <c r="D1210" s="10" t="s">
        <v>29</v>
      </c>
      <c r="E1210" s="11"/>
      <c r="F1210" s="11" t="s">
        <v>18</v>
      </c>
      <c r="G1210" s="13"/>
      <c r="H1210" s="45" t="s">
        <v>16</v>
      </c>
      <c r="I1210" s="47"/>
      <c r="J1210" s="12" t="s">
        <v>5308</v>
      </c>
      <c r="K1210" s="13" t="s">
        <v>8010</v>
      </c>
      <c r="L1210" s="99" t="str">
        <f t="shared" si="78"/>
        <v>W2248.7</v>
      </c>
      <c r="M1210" s="13" t="s">
        <v>17</v>
      </c>
      <c r="N1210" s="13"/>
      <c r="O1210" s="13"/>
      <c r="P1210" s="47"/>
      <c r="Q1210" s="45" t="s">
        <v>3672</v>
      </c>
      <c r="R1210" s="45" t="s">
        <v>5596</v>
      </c>
      <c r="S1210" s="48"/>
      <c r="T1210" s="49" t="str">
        <f t="shared" si="79"/>
        <v>[W2248.7]</v>
      </c>
      <c r="U1210" s="12" t="str">
        <f t="shared" si="80"/>
        <v xml:space="preserve"> 터브이송#4-2 터브이송#4-3 지령오류</v>
      </c>
      <c r="V1210" s="49" t="str">
        <f t="shared" si="81"/>
        <v>[W2248.7] 터브이송#4-2 터브이송#4-3 지령오류</v>
      </c>
    </row>
    <row r="1211" spans="1:22" s="49" customFormat="1" ht="14.15" customHeight="1">
      <c r="A1211" s="43" t="s">
        <v>5598</v>
      </c>
      <c r="B1211" s="44" t="s">
        <v>157</v>
      </c>
      <c r="C1211" s="50"/>
      <c r="D1211" s="10" t="s">
        <v>29</v>
      </c>
      <c r="E1211" s="11"/>
      <c r="F1211" s="11" t="s">
        <v>18</v>
      </c>
      <c r="G1211" s="13"/>
      <c r="H1211" s="45" t="s">
        <v>16</v>
      </c>
      <c r="I1211" s="47"/>
      <c r="J1211" s="12" t="s">
        <v>5309</v>
      </c>
      <c r="K1211" s="13" t="s">
        <v>8011</v>
      </c>
      <c r="L1211" s="99" t="str">
        <f t="shared" si="78"/>
        <v>W2248.8</v>
      </c>
      <c r="M1211" s="13" t="s">
        <v>17</v>
      </c>
      <c r="N1211" s="13"/>
      <c r="O1211" s="13"/>
      <c r="P1211" s="47"/>
      <c r="Q1211" s="45" t="s">
        <v>3672</v>
      </c>
      <c r="R1211" s="45" t="s">
        <v>5596</v>
      </c>
      <c r="S1211" s="48"/>
      <c r="T1211" s="49" t="str">
        <f t="shared" si="79"/>
        <v>[W2248.8]</v>
      </c>
      <c r="U1211" s="12" t="str">
        <f t="shared" si="80"/>
        <v xml:space="preserve"> 터브이송#4-2 터브이송#4-3 구동방향오류</v>
      </c>
      <c r="V1211" s="49" t="str">
        <f t="shared" si="81"/>
        <v>[W2248.8] 터브이송#4-2 터브이송#4-3 구동방향오류</v>
      </c>
    </row>
    <row r="1212" spans="1:22" s="49" customFormat="1" ht="14.15" customHeight="1">
      <c r="A1212" s="43" t="s">
        <v>5598</v>
      </c>
      <c r="B1212" s="44" t="s">
        <v>157</v>
      </c>
      <c r="C1212" s="50"/>
      <c r="D1212" s="10" t="s">
        <v>29</v>
      </c>
      <c r="E1212" s="11"/>
      <c r="F1212" s="11" t="s">
        <v>18</v>
      </c>
      <c r="G1212" s="13"/>
      <c r="H1212" s="45" t="s">
        <v>16</v>
      </c>
      <c r="I1212" s="47"/>
      <c r="J1212" s="12" t="s">
        <v>5310</v>
      </c>
      <c r="K1212" s="13" t="s">
        <v>8012</v>
      </c>
      <c r="L1212" s="99" t="str">
        <f t="shared" si="78"/>
        <v>W2248.9</v>
      </c>
      <c r="M1212" s="13" t="s">
        <v>17</v>
      </c>
      <c r="N1212" s="13"/>
      <c r="O1212" s="13"/>
      <c r="P1212" s="47"/>
      <c r="Q1212" s="45" t="s">
        <v>3672</v>
      </c>
      <c r="R1212" s="45" t="s">
        <v>5596</v>
      </c>
      <c r="S1212" s="48"/>
      <c r="T1212" s="49" t="str">
        <f t="shared" si="79"/>
        <v>[W2248.9]</v>
      </c>
      <c r="U1212" s="12" t="str">
        <f t="shared" si="80"/>
        <v xml:space="preserve"> 터브이송#4-2 터브이송#4-3 간격오류</v>
      </c>
      <c r="V1212" s="49" t="str">
        <f t="shared" si="81"/>
        <v>[W2248.9] 터브이송#4-2 터브이송#4-3 간격오류</v>
      </c>
    </row>
    <row r="1213" spans="1:22" s="49" customFormat="1" ht="14.15" customHeight="1">
      <c r="A1213" s="44"/>
      <c r="B1213" s="44" t="s">
        <v>157</v>
      </c>
      <c r="C1213" s="50"/>
      <c r="D1213" s="10" t="s">
        <v>29</v>
      </c>
      <c r="E1213" s="11"/>
      <c r="F1213" s="11" t="s">
        <v>18</v>
      </c>
      <c r="G1213" s="13"/>
      <c r="H1213" s="45" t="s">
        <v>16</v>
      </c>
      <c r="I1213" s="47"/>
      <c r="J1213" s="12" t="s">
        <v>4154</v>
      </c>
      <c r="K1213" s="13" t="s">
        <v>8013</v>
      </c>
      <c r="L1213" s="99" t="str">
        <f t="shared" si="78"/>
        <v>W2248.A</v>
      </c>
      <c r="M1213" s="13"/>
      <c r="N1213" s="13"/>
      <c r="O1213" s="13"/>
      <c r="P1213" s="47"/>
      <c r="Q1213" s="45"/>
      <c r="R1213" s="45"/>
      <c r="S1213" s="48"/>
      <c r="T1213" s="49" t="str">
        <f t="shared" si="79"/>
        <v>[W2248.A]</v>
      </c>
      <c r="U1213" s="12" t="str">
        <f t="shared" si="80"/>
        <v/>
      </c>
      <c r="V1213" s="49" t="str">
        <f t="shared" si="81"/>
        <v>[W2248.A]</v>
      </c>
    </row>
    <row r="1214" spans="1:22" s="49" customFormat="1" ht="14.15" customHeight="1">
      <c r="A1214" s="44"/>
      <c r="B1214" s="44" t="s">
        <v>157</v>
      </c>
      <c r="C1214" s="50"/>
      <c r="D1214" s="10" t="s">
        <v>29</v>
      </c>
      <c r="E1214" s="11"/>
      <c r="F1214" s="11" t="s">
        <v>18</v>
      </c>
      <c r="G1214" s="13"/>
      <c r="H1214" s="45" t="s">
        <v>16</v>
      </c>
      <c r="I1214" s="47"/>
      <c r="J1214" s="12" t="s">
        <v>4155</v>
      </c>
      <c r="K1214" s="13" t="s">
        <v>8014</v>
      </c>
      <c r="L1214" s="99" t="str">
        <f t="shared" si="78"/>
        <v>W2248.B</v>
      </c>
      <c r="M1214" s="13"/>
      <c r="N1214" s="13"/>
      <c r="O1214" s="13"/>
      <c r="P1214" s="47"/>
      <c r="Q1214" s="45"/>
      <c r="R1214" s="45"/>
      <c r="S1214" s="48"/>
      <c r="T1214" s="49" t="str">
        <f t="shared" si="79"/>
        <v>[W2248.B]</v>
      </c>
      <c r="U1214" s="12" t="str">
        <f t="shared" si="80"/>
        <v/>
      </c>
      <c r="V1214" s="49" t="str">
        <f t="shared" si="81"/>
        <v>[W2248.B]</v>
      </c>
    </row>
    <row r="1215" spans="1:22" s="49" customFormat="1" ht="14.15" customHeight="1">
      <c r="A1215" s="44"/>
      <c r="B1215" s="44" t="s">
        <v>157</v>
      </c>
      <c r="C1215" s="50"/>
      <c r="D1215" s="10" t="s">
        <v>29</v>
      </c>
      <c r="E1215" s="11"/>
      <c r="F1215" s="11" t="s">
        <v>18</v>
      </c>
      <c r="G1215" s="13"/>
      <c r="H1215" s="45" t="s">
        <v>16</v>
      </c>
      <c r="I1215" s="47"/>
      <c r="J1215" s="12" t="s">
        <v>4156</v>
      </c>
      <c r="K1215" s="13" t="s">
        <v>8015</v>
      </c>
      <c r="L1215" s="99" t="str">
        <f t="shared" si="78"/>
        <v>W2248.C</v>
      </c>
      <c r="M1215" s="13"/>
      <c r="N1215" s="13"/>
      <c r="O1215" s="13"/>
      <c r="P1215" s="47"/>
      <c r="Q1215" s="45"/>
      <c r="R1215" s="45"/>
      <c r="S1215" s="48"/>
      <c r="T1215" s="49" t="str">
        <f t="shared" si="79"/>
        <v>[W2248.C]</v>
      </c>
      <c r="U1215" s="12" t="str">
        <f t="shared" si="80"/>
        <v/>
      </c>
      <c r="V1215" s="49" t="str">
        <f t="shared" si="81"/>
        <v>[W2248.C]</v>
      </c>
    </row>
    <row r="1216" spans="1:22" s="49" customFormat="1" ht="14.15" customHeight="1">
      <c r="A1216" s="44"/>
      <c r="B1216" s="44" t="s">
        <v>157</v>
      </c>
      <c r="C1216" s="50"/>
      <c r="D1216" s="10" t="s">
        <v>29</v>
      </c>
      <c r="E1216" s="11"/>
      <c r="F1216" s="11" t="s">
        <v>18</v>
      </c>
      <c r="G1216" s="13"/>
      <c r="H1216" s="45" t="s">
        <v>16</v>
      </c>
      <c r="I1216" s="47"/>
      <c r="J1216" s="12" t="s">
        <v>4157</v>
      </c>
      <c r="K1216" s="13" t="s">
        <v>8016</v>
      </c>
      <c r="L1216" s="99" t="str">
        <f t="shared" si="78"/>
        <v>W2248.D</v>
      </c>
      <c r="M1216" s="13"/>
      <c r="N1216" s="13"/>
      <c r="O1216" s="13"/>
      <c r="P1216" s="47"/>
      <c r="Q1216" s="45"/>
      <c r="R1216" s="45"/>
      <c r="S1216" s="48"/>
      <c r="T1216" s="49" t="str">
        <f t="shared" si="79"/>
        <v>[W2248.D]</v>
      </c>
      <c r="U1216" s="12" t="str">
        <f t="shared" si="80"/>
        <v/>
      </c>
      <c r="V1216" s="49" t="str">
        <f t="shared" si="81"/>
        <v>[W2248.D]</v>
      </c>
    </row>
    <row r="1217" spans="1:22" s="49" customFormat="1" ht="14.15" customHeight="1">
      <c r="A1217" s="44"/>
      <c r="B1217" s="44" t="s">
        <v>157</v>
      </c>
      <c r="C1217" s="50"/>
      <c r="D1217" s="10" t="s">
        <v>29</v>
      </c>
      <c r="E1217" s="11"/>
      <c r="F1217" s="11" t="s">
        <v>18</v>
      </c>
      <c r="G1217" s="13"/>
      <c r="H1217" s="45" t="s">
        <v>16</v>
      </c>
      <c r="I1217" s="47"/>
      <c r="J1217" s="12" t="s">
        <v>4158</v>
      </c>
      <c r="K1217" s="13" t="s">
        <v>8017</v>
      </c>
      <c r="L1217" s="99" t="str">
        <f t="shared" si="78"/>
        <v>W2248.E</v>
      </c>
      <c r="M1217" s="13"/>
      <c r="N1217" s="13"/>
      <c r="O1217" s="13"/>
      <c r="P1217" s="47"/>
      <c r="Q1217" s="45"/>
      <c r="R1217" s="45"/>
      <c r="S1217" s="48"/>
      <c r="T1217" s="49" t="str">
        <f t="shared" si="79"/>
        <v>[W2248.E]</v>
      </c>
      <c r="U1217" s="12" t="str">
        <f t="shared" si="80"/>
        <v/>
      </c>
      <c r="V1217" s="49" t="str">
        <f t="shared" si="81"/>
        <v>[W2248.E]</v>
      </c>
    </row>
    <row r="1218" spans="1:22" s="49" customFormat="1" ht="14.15" customHeight="1">
      <c r="A1218" s="44"/>
      <c r="B1218" s="44" t="s">
        <v>157</v>
      </c>
      <c r="C1218" s="50"/>
      <c r="D1218" s="10" t="s">
        <v>29</v>
      </c>
      <c r="E1218" s="11"/>
      <c r="F1218" s="11" t="s">
        <v>18</v>
      </c>
      <c r="G1218" s="13"/>
      <c r="H1218" s="45" t="s">
        <v>16</v>
      </c>
      <c r="I1218" s="47"/>
      <c r="J1218" s="12" t="s">
        <v>4159</v>
      </c>
      <c r="K1218" s="13" t="s">
        <v>8018</v>
      </c>
      <c r="L1218" s="99" t="str">
        <f t="shared" si="78"/>
        <v>W2248.F</v>
      </c>
      <c r="M1218" s="13"/>
      <c r="N1218" s="13"/>
      <c r="O1218" s="13"/>
      <c r="P1218" s="47"/>
      <c r="Q1218" s="45"/>
      <c r="R1218" s="45"/>
      <c r="S1218" s="48"/>
      <c r="T1218" s="49" t="str">
        <f t="shared" si="79"/>
        <v>[W2248.F]</v>
      </c>
      <c r="U1218" s="12" t="str">
        <f t="shared" si="80"/>
        <v/>
      </c>
      <c r="V1218" s="49" t="str">
        <f t="shared" si="81"/>
        <v>[W2248.F]</v>
      </c>
    </row>
    <row r="1219" spans="1:22" s="49" customFormat="1" ht="14.15" customHeight="1">
      <c r="A1219" s="44"/>
      <c r="B1219" s="44" t="s">
        <v>157</v>
      </c>
      <c r="C1219" s="50"/>
      <c r="D1219" s="10" t="s">
        <v>29</v>
      </c>
      <c r="E1219" s="11"/>
      <c r="F1219" s="11" t="s">
        <v>18</v>
      </c>
      <c r="G1219" s="13"/>
      <c r="H1219" s="45" t="s">
        <v>16</v>
      </c>
      <c r="I1219" s="47"/>
      <c r="J1219" s="12" t="s">
        <v>4160</v>
      </c>
      <c r="K1219" s="13" t="s">
        <v>8019</v>
      </c>
      <c r="L1219" s="99" t="str">
        <f t="shared" si="78"/>
        <v>W2249.0</v>
      </c>
      <c r="M1219" s="13"/>
      <c r="N1219" s="13"/>
      <c r="O1219" s="13"/>
      <c r="P1219" s="47"/>
      <c r="Q1219" s="45"/>
      <c r="R1219" s="45"/>
      <c r="S1219" s="48"/>
      <c r="T1219" s="49" t="str">
        <f t="shared" si="79"/>
        <v>[W2249.0]</v>
      </c>
      <c r="U1219" s="12" t="str">
        <f t="shared" si="80"/>
        <v/>
      </c>
      <c r="V1219" s="49" t="str">
        <f t="shared" si="81"/>
        <v>[W2249.0]</v>
      </c>
    </row>
    <row r="1220" spans="1:22" s="49" customFormat="1" ht="14.15" customHeight="1">
      <c r="A1220" s="44"/>
      <c r="B1220" s="44" t="s">
        <v>157</v>
      </c>
      <c r="C1220" s="50"/>
      <c r="D1220" s="10" t="s">
        <v>29</v>
      </c>
      <c r="E1220" s="11"/>
      <c r="F1220" s="11" t="s">
        <v>18</v>
      </c>
      <c r="G1220" s="13"/>
      <c r="H1220" s="45" t="s">
        <v>16</v>
      </c>
      <c r="I1220" s="47"/>
      <c r="J1220" s="12" t="s">
        <v>4161</v>
      </c>
      <c r="K1220" s="13" t="s">
        <v>8020</v>
      </c>
      <c r="L1220" s="99" t="str">
        <f t="shared" si="78"/>
        <v>W2249.1</v>
      </c>
      <c r="M1220" s="13"/>
      <c r="N1220" s="13"/>
      <c r="O1220" s="13"/>
      <c r="P1220" s="47"/>
      <c r="Q1220" s="45"/>
      <c r="R1220" s="45"/>
      <c r="S1220" s="48"/>
      <c r="T1220" s="49" t="str">
        <f t="shared" si="79"/>
        <v>[W2249.1]</v>
      </c>
      <c r="U1220" s="12" t="str">
        <f t="shared" si="80"/>
        <v/>
      </c>
      <c r="V1220" s="49" t="str">
        <f t="shared" si="81"/>
        <v>[W2249.1]</v>
      </c>
    </row>
    <row r="1221" spans="1:22" s="49" customFormat="1" ht="14.15" customHeight="1">
      <c r="A1221" s="44"/>
      <c r="B1221" s="44" t="s">
        <v>157</v>
      </c>
      <c r="C1221" s="50"/>
      <c r="D1221" s="10" t="s">
        <v>29</v>
      </c>
      <c r="E1221" s="11"/>
      <c r="F1221" s="11" t="s">
        <v>18</v>
      </c>
      <c r="G1221" s="13"/>
      <c r="H1221" s="45" t="s">
        <v>16</v>
      </c>
      <c r="I1221" s="47"/>
      <c r="J1221" s="12" t="s">
        <v>4162</v>
      </c>
      <c r="K1221" s="13" t="s">
        <v>8021</v>
      </c>
      <c r="L1221" s="99" t="str">
        <f t="shared" si="78"/>
        <v>W2249.2</v>
      </c>
      <c r="M1221" s="13"/>
      <c r="N1221" s="13"/>
      <c r="O1221" s="13"/>
      <c r="P1221" s="47"/>
      <c r="Q1221" s="45"/>
      <c r="R1221" s="45"/>
      <c r="S1221" s="48"/>
      <c r="T1221" s="49" t="str">
        <f t="shared" si="79"/>
        <v>[W2249.2]</v>
      </c>
      <c r="U1221" s="12" t="str">
        <f t="shared" si="80"/>
        <v/>
      </c>
      <c r="V1221" s="49" t="str">
        <f t="shared" si="81"/>
        <v>[W2249.2]</v>
      </c>
    </row>
    <row r="1222" spans="1:22" s="49" customFormat="1" ht="14.15" customHeight="1">
      <c r="A1222" s="44"/>
      <c r="B1222" s="44" t="s">
        <v>157</v>
      </c>
      <c r="C1222" s="50"/>
      <c r="D1222" s="10" t="s">
        <v>29</v>
      </c>
      <c r="E1222" s="11"/>
      <c r="F1222" s="11" t="s">
        <v>18</v>
      </c>
      <c r="G1222" s="13"/>
      <c r="H1222" s="45" t="s">
        <v>16</v>
      </c>
      <c r="I1222" s="47"/>
      <c r="J1222" s="12" t="s">
        <v>4163</v>
      </c>
      <c r="K1222" s="13" t="s">
        <v>8022</v>
      </c>
      <c r="L1222" s="99" t="str">
        <f t="shared" si="78"/>
        <v>W2249.3</v>
      </c>
      <c r="M1222" s="13"/>
      <c r="N1222" s="13"/>
      <c r="O1222" s="13"/>
      <c r="P1222" s="47"/>
      <c r="Q1222" s="45"/>
      <c r="R1222" s="45"/>
      <c r="S1222" s="48"/>
      <c r="T1222" s="49" t="str">
        <f t="shared" si="79"/>
        <v>[W2249.3]</v>
      </c>
      <c r="U1222" s="12" t="str">
        <f t="shared" si="80"/>
        <v/>
      </c>
      <c r="V1222" s="49" t="str">
        <f t="shared" si="81"/>
        <v>[W2249.3]</v>
      </c>
    </row>
    <row r="1223" spans="1:22" s="49" customFormat="1" ht="14.15" customHeight="1">
      <c r="A1223" s="44"/>
      <c r="B1223" s="44" t="s">
        <v>157</v>
      </c>
      <c r="C1223" s="50"/>
      <c r="D1223" s="10" t="s">
        <v>29</v>
      </c>
      <c r="E1223" s="11"/>
      <c r="F1223" s="11" t="s">
        <v>18</v>
      </c>
      <c r="G1223" s="13"/>
      <c r="H1223" s="45" t="s">
        <v>16</v>
      </c>
      <c r="I1223" s="47"/>
      <c r="J1223" s="12" t="s">
        <v>4164</v>
      </c>
      <c r="K1223" s="13" t="s">
        <v>8023</v>
      </c>
      <c r="L1223" s="99" t="str">
        <f t="shared" si="78"/>
        <v>W2249.4</v>
      </c>
      <c r="M1223" s="13"/>
      <c r="N1223" s="13"/>
      <c r="O1223" s="13"/>
      <c r="P1223" s="47"/>
      <c r="Q1223" s="45"/>
      <c r="R1223" s="45"/>
      <c r="S1223" s="48"/>
      <c r="T1223" s="49" t="str">
        <f t="shared" si="79"/>
        <v>[W2249.4]</v>
      </c>
      <c r="U1223" s="12" t="str">
        <f t="shared" si="80"/>
        <v/>
      </c>
      <c r="V1223" s="49" t="str">
        <f t="shared" si="81"/>
        <v>[W2249.4]</v>
      </c>
    </row>
    <row r="1224" spans="1:22" s="49" customFormat="1" ht="14.15" customHeight="1">
      <c r="A1224" s="44"/>
      <c r="B1224" s="44" t="s">
        <v>157</v>
      </c>
      <c r="C1224" s="50"/>
      <c r="D1224" s="10" t="s">
        <v>29</v>
      </c>
      <c r="E1224" s="11"/>
      <c r="F1224" s="11" t="s">
        <v>18</v>
      </c>
      <c r="G1224" s="13"/>
      <c r="H1224" s="45" t="s">
        <v>16</v>
      </c>
      <c r="I1224" s="47"/>
      <c r="J1224" s="12" t="s">
        <v>4165</v>
      </c>
      <c r="K1224" s="13" t="s">
        <v>8024</v>
      </c>
      <c r="L1224" s="99" t="str">
        <f t="shared" si="78"/>
        <v>W2249.5</v>
      </c>
      <c r="M1224" s="13"/>
      <c r="N1224" s="13"/>
      <c r="O1224" s="13"/>
      <c r="P1224" s="47"/>
      <c r="Q1224" s="45"/>
      <c r="R1224" s="45"/>
      <c r="S1224" s="48"/>
      <c r="T1224" s="49" t="str">
        <f t="shared" si="79"/>
        <v>[W2249.5]</v>
      </c>
      <c r="U1224" s="12" t="str">
        <f t="shared" si="80"/>
        <v/>
      </c>
      <c r="V1224" s="49" t="str">
        <f t="shared" si="81"/>
        <v>[W2249.5]</v>
      </c>
    </row>
    <row r="1225" spans="1:22" s="49" customFormat="1" ht="14.15" customHeight="1">
      <c r="A1225" s="44"/>
      <c r="B1225" s="44" t="s">
        <v>157</v>
      </c>
      <c r="C1225" s="50"/>
      <c r="D1225" s="10" t="s">
        <v>29</v>
      </c>
      <c r="E1225" s="11"/>
      <c r="F1225" s="11" t="s">
        <v>18</v>
      </c>
      <c r="G1225" s="13"/>
      <c r="H1225" s="45" t="s">
        <v>16</v>
      </c>
      <c r="I1225" s="47"/>
      <c r="J1225" s="12" t="s">
        <v>4166</v>
      </c>
      <c r="K1225" s="13" t="s">
        <v>8025</v>
      </c>
      <c r="L1225" s="99" t="str">
        <f t="shared" si="78"/>
        <v>W2249.6</v>
      </c>
      <c r="M1225" s="13"/>
      <c r="N1225" s="13"/>
      <c r="O1225" s="13"/>
      <c r="P1225" s="47"/>
      <c r="Q1225" s="45"/>
      <c r="R1225" s="45"/>
      <c r="S1225" s="48"/>
      <c r="T1225" s="49" t="str">
        <f t="shared" si="79"/>
        <v>[W2249.6]</v>
      </c>
      <c r="U1225" s="12" t="str">
        <f t="shared" si="80"/>
        <v/>
      </c>
      <c r="V1225" s="49" t="str">
        <f t="shared" si="81"/>
        <v>[W2249.6]</v>
      </c>
    </row>
    <row r="1226" spans="1:22" s="49" customFormat="1" ht="14.15" customHeight="1">
      <c r="A1226" s="44"/>
      <c r="B1226" s="44" t="s">
        <v>157</v>
      </c>
      <c r="C1226" s="50"/>
      <c r="D1226" s="10" t="s">
        <v>29</v>
      </c>
      <c r="E1226" s="11"/>
      <c r="F1226" s="11" t="s">
        <v>18</v>
      </c>
      <c r="G1226" s="13"/>
      <c r="H1226" s="45" t="s">
        <v>16</v>
      </c>
      <c r="I1226" s="47"/>
      <c r="J1226" s="12" t="s">
        <v>4167</v>
      </c>
      <c r="K1226" s="13" t="s">
        <v>8026</v>
      </c>
      <c r="L1226" s="99" t="str">
        <f t="shared" si="78"/>
        <v>W2249.7</v>
      </c>
      <c r="M1226" s="13"/>
      <c r="N1226" s="13"/>
      <c r="O1226" s="13"/>
      <c r="P1226" s="47"/>
      <c r="Q1226" s="45"/>
      <c r="R1226" s="45"/>
      <c r="S1226" s="48"/>
      <c r="T1226" s="49" t="str">
        <f t="shared" si="79"/>
        <v>[W2249.7]</v>
      </c>
      <c r="U1226" s="12" t="str">
        <f t="shared" si="80"/>
        <v/>
      </c>
      <c r="V1226" s="49" t="str">
        <f t="shared" si="81"/>
        <v>[W2249.7]</v>
      </c>
    </row>
    <row r="1227" spans="1:22" s="49" customFormat="1" ht="14.15" customHeight="1">
      <c r="A1227" s="44"/>
      <c r="B1227" s="44" t="s">
        <v>157</v>
      </c>
      <c r="C1227" s="50"/>
      <c r="D1227" s="10" t="s">
        <v>29</v>
      </c>
      <c r="E1227" s="11"/>
      <c r="F1227" s="11" t="s">
        <v>18</v>
      </c>
      <c r="G1227" s="13"/>
      <c r="H1227" s="45" t="s">
        <v>16</v>
      </c>
      <c r="I1227" s="47"/>
      <c r="J1227" s="12" t="s">
        <v>4168</v>
      </c>
      <c r="K1227" s="13" t="s">
        <v>8027</v>
      </c>
      <c r="L1227" s="99" t="str">
        <f t="shared" si="78"/>
        <v>W2249.8</v>
      </c>
      <c r="M1227" s="13"/>
      <c r="N1227" s="13"/>
      <c r="O1227" s="13"/>
      <c r="P1227" s="47"/>
      <c r="Q1227" s="45"/>
      <c r="R1227" s="45"/>
      <c r="S1227" s="48"/>
      <c r="T1227" s="49" t="str">
        <f t="shared" si="79"/>
        <v>[W2249.8]</v>
      </c>
      <c r="U1227" s="12" t="str">
        <f t="shared" si="80"/>
        <v/>
      </c>
      <c r="V1227" s="49" t="str">
        <f t="shared" si="81"/>
        <v>[W2249.8]</v>
      </c>
    </row>
    <row r="1228" spans="1:22" s="49" customFormat="1" ht="14.15" customHeight="1">
      <c r="A1228" s="44"/>
      <c r="B1228" s="44" t="s">
        <v>157</v>
      </c>
      <c r="C1228" s="50"/>
      <c r="D1228" s="10" t="s">
        <v>29</v>
      </c>
      <c r="E1228" s="11"/>
      <c r="F1228" s="11" t="s">
        <v>18</v>
      </c>
      <c r="G1228" s="13"/>
      <c r="H1228" s="45" t="s">
        <v>16</v>
      </c>
      <c r="I1228" s="47"/>
      <c r="J1228" s="12" t="s">
        <v>4169</v>
      </c>
      <c r="K1228" s="13" t="s">
        <v>8028</v>
      </c>
      <c r="L1228" s="99" t="str">
        <f t="shared" si="78"/>
        <v>W2249.9</v>
      </c>
      <c r="M1228" s="13"/>
      <c r="N1228" s="13"/>
      <c r="O1228" s="13"/>
      <c r="P1228" s="47"/>
      <c r="Q1228" s="45"/>
      <c r="R1228" s="45"/>
      <c r="S1228" s="48"/>
      <c r="T1228" s="49" t="str">
        <f t="shared" si="79"/>
        <v>[W2249.9]</v>
      </c>
      <c r="U1228" s="12" t="str">
        <f t="shared" si="80"/>
        <v/>
      </c>
      <c r="V1228" s="49" t="str">
        <f t="shared" si="81"/>
        <v>[W2249.9]</v>
      </c>
    </row>
    <row r="1229" spans="1:22" s="49" customFormat="1" ht="14.15" customHeight="1">
      <c r="A1229" s="44"/>
      <c r="B1229" s="44" t="s">
        <v>157</v>
      </c>
      <c r="C1229" s="50"/>
      <c r="D1229" s="10" t="s">
        <v>29</v>
      </c>
      <c r="E1229" s="11"/>
      <c r="F1229" s="11" t="s">
        <v>18</v>
      </c>
      <c r="G1229" s="13"/>
      <c r="H1229" s="45" t="s">
        <v>16</v>
      </c>
      <c r="I1229" s="47"/>
      <c r="J1229" s="12" t="s">
        <v>4170</v>
      </c>
      <c r="K1229" s="13" t="s">
        <v>8029</v>
      </c>
      <c r="L1229" s="99" t="str">
        <f t="shared" si="78"/>
        <v>W2249.A</v>
      </c>
      <c r="M1229" s="13"/>
      <c r="N1229" s="13"/>
      <c r="O1229" s="13"/>
      <c r="P1229" s="47"/>
      <c r="Q1229" s="45"/>
      <c r="R1229" s="45"/>
      <c r="S1229" s="48"/>
      <c r="T1229" s="49" t="str">
        <f t="shared" si="79"/>
        <v>[W2249.A]</v>
      </c>
      <c r="U1229" s="12" t="str">
        <f t="shared" si="80"/>
        <v/>
      </c>
      <c r="V1229" s="49" t="str">
        <f t="shared" si="81"/>
        <v>[W2249.A]</v>
      </c>
    </row>
    <row r="1230" spans="1:22" s="49" customFormat="1" ht="14.15" customHeight="1">
      <c r="A1230" s="44"/>
      <c r="B1230" s="44" t="s">
        <v>157</v>
      </c>
      <c r="C1230" s="50"/>
      <c r="D1230" s="10" t="s">
        <v>29</v>
      </c>
      <c r="E1230" s="11"/>
      <c r="F1230" s="11" t="s">
        <v>18</v>
      </c>
      <c r="G1230" s="13"/>
      <c r="H1230" s="45" t="s">
        <v>16</v>
      </c>
      <c r="I1230" s="47"/>
      <c r="J1230" s="12" t="s">
        <v>4171</v>
      </c>
      <c r="K1230" s="13" t="s">
        <v>8030</v>
      </c>
      <c r="L1230" s="99" t="str">
        <f t="shared" si="78"/>
        <v>W2249.B</v>
      </c>
      <c r="M1230" s="13"/>
      <c r="N1230" s="13"/>
      <c r="O1230" s="13"/>
      <c r="P1230" s="47"/>
      <c r="Q1230" s="45"/>
      <c r="R1230" s="45"/>
      <c r="S1230" s="48"/>
      <c r="T1230" s="49" t="str">
        <f t="shared" si="79"/>
        <v>[W2249.B]</v>
      </c>
      <c r="U1230" s="12" t="str">
        <f t="shared" si="80"/>
        <v/>
      </c>
      <c r="V1230" s="49" t="str">
        <f t="shared" si="81"/>
        <v>[W2249.B]</v>
      </c>
    </row>
    <row r="1231" spans="1:22" s="49" customFormat="1" ht="14.15" customHeight="1">
      <c r="A1231" s="44"/>
      <c r="B1231" s="44" t="s">
        <v>157</v>
      </c>
      <c r="C1231" s="50"/>
      <c r="D1231" s="10" t="s">
        <v>29</v>
      </c>
      <c r="E1231" s="11"/>
      <c r="F1231" s="11" t="s">
        <v>18</v>
      </c>
      <c r="G1231" s="13"/>
      <c r="H1231" s="45" t="s">
        <v>16</v>
      </c>
      <c r="I1231" s="47"/>
      <c r="J1231" s="12" t="s">
        <v>4172</v>
      </c>
      <c r="K1231" s="13" t="s">
        <v>8031</v>
      </c>
      <c r="L1231" s="99" t="str">
        <f t="shared" si="78"/>
        <v>W2249.C</v>
      </c>
      <c r="M1231" s="13"/>
      <c r="N1231" s="13"/>
      <c r="O1231" s="13"/>
      <c r="P1231" s="47"/>
      <c r="Q1231" s="45"/>
      <c r="R1231" s="45"/>
      <c r="S1231" s="48"/>
      <c r="T1231" s="49" t="str">
        <f t="shared" si="79"/>
        <v>[W2249.C]</v>
      </c>
      <c r="U1231" s="12" t="str">
        <f t="shared" si="80"/>
        <v/>
      </c>
      <c r="V1231" s="49" t="str">
        <f t="shared" si="81"/>
        <v>[W2249.C]</v>
      </c>
    </row>
    <row r="1232" spans="1:22" s="49" customFormat="1" ht="14.15" customHeight="1">
      <c r="A1232" s="44"/>
      <c r="B1232" s="44" t="s">
        <v>157</v>
      </c>
      <c r="C1232" s="50"/>
      <c r="D1232" s="10" t="s">
        <v>29</v>
      </c>
      <c r="E1232" s="11"/>
      <c r="F1232" s="11" t="s">
        <v>18</v>
      </c>
      <c r="G1232" s="13"/>
      <c r="H1232" s="45" t="s">
        <v>16</v>
      </c>
      <c r="I1232" s="47"/>
      <c r="J1232" s="12" t="s">
        <v>4173</v>
      </c>
      <c r="K1232" s="13" t="s">
        <v>8032</v>
      </c>
      <c r="L1232" s="99" t="str">
        <f t="shared" si="78"/>
        <v>W2249.D</v>
      </c>
      <c r="M1232" s="13"/>
      <c r="N1232" s="13"/>
      <c r="O1232" s="13"/>
      <c r="P1232" s="47"/>
      <c r="Q1232" s="45"/>
      <c r="R1232" s="45"/>
      <c r="S1232" s="48"/>
      <c r="T1232" s="49" t="str">
        <f t="shared" si="79"/>
        <v>[W2249.D]</v>
      </c>
      <c r="U1232" s="12" t="str">
        <f t="shared" si="80"/>
        <v/>
      </c>
      <c r="V1232" s="49" t="str">
        <f t="shared" si="81"/>
        <v>[W2249.D]</v>
      </c>
    </row>
    <row r="1233" spans="1:22" s="49" customFormat="1" ht="14.15" customHeight="1">
      <c r="A1233" s="44"/>
      <c r="B1233" s="44" t="s">
        <v>157</v>
      </c>
      <c r="C1233" s="50"/>
      <c r="D1233" s="10" t="s">
        <v>29</v>
      </c>
      <c r="E1233" s="11"/>
      <c r="F1233" s="11" t="s">
        <v>18</v>
      </c>
      <c r="G1233" s="13"/>
      <c r="H1233" s="45" t="s">
        <v>16</v>
      </c>
      <c r="I1233" s="47"/>
      <c r="J1233" s="12" t="s">
        <v>4174</v>
      </c>
      <c r="K1233" s="13" t="s">
        <v>8033</v>
      </c>
      <c r="L1233" s="99" t="str">
        <f t="shared" si="78"/>
        <v>W2249.E</v>
      </c>
      <c r="M1233" s="13"/>
      <c r="N1233" s="13"/>
      <c r="O1233" s="13"/>
      <c r="P1233" s="47"/>
      <c r="Q1233" s="45"/>
      <c r="R1233" s="45"/>
      <c r="S1233" s="48"/>
      <c r="T1233" s="49" t="str">
        <f t="shared" si="79"/>
        <v>[W2249.E]</v>
      </c>
      <c r="U1233" s="12" t="str">
        <f t="shared" si="80"/>
        <v/>
      </c>
      <c r="V1233" s="49" t="str">
        <f t="shared" si="81"/>
        <v>[W2249.E]</v>
      </c>
    </row>
    <row r="1234" spans="1:22" s="49" customFormat="1" ht="14.15" customHeight="1">
      <c r="A1234" s="44"/>
      <c r="B1234" s="44" t="s">
        <v>157</v>
      </c>
      <c r="C1234" s="50"/>
      <c r="D1234" s="10" t="s">
        <v>29</v>
      </c>
      <c r="E1234" s="11"/>
      <c r="F1234" s="11" t="s">
        <v>18</v>
      </c>
      <c r="G1234" s="13"/>
      <c r="H1234" s="45" t="s">
        <v>16</v>
      </c>
      <c r="I1234" s="47"/>
      <c r="J1234" s="12" t="s">
        <v>4175</v>
      </c>
      <c r="K1234" s="13" t="s">
        <v>8034</v>
      </c>
      <c r="L1234" s="99" t="str">
        <f t="shared" si="78"/>
        <v>W2249.F</v>
      </c>
      <c r="M1234" s="13"/>
      <c r="N1234" s="13"/>
      <c r="O1234" s="13"/>
      <c r="P1234" s="47"/>
      <c r="Q1234" s="45"/>
      <c r="R1234" s="45"/>
      <c r="S1234" s="48"/>
      <c r="T1234" s="49" t="str">
        <f t="shared" si="79"/>
        <v>[W2249.F]</v>
      </c>
      <c r="U1234" s="12" t="str">
        <f t="shared" si="80"/>
        <v/>
      </c>
      <c r="V1234" s="49" t="str">
        <f t="shared" si="81"/>
        <v>[W2249.F]</v>
      </c>
    </row>
    <row r="1235" spans="1:22" s="49" customFormat="1" ht="14.15" customHeight="1">
      <c r="A1235" s="44"/>
      <c r="B1235" s="44" t="s">
        <v>157</v>
      </c>
      <c r="C1235" s="50"/>
      <c r="D1235" s="10" t="s">
        <v>29</v>
      </c>
      <c r="E1235" s="11"/>
      <c r="F1235" s="11" t="s">
        <v>18</v>
      </c>
      <c r="G1235" s="13"/>
      <c r="H1235" s="45" t="s">
        <v>16</v>
      </c>
      <c r="I1235" s="47"/>
      <c r="J1235" s="12" t="s">
        <v>4176</v>
      </c>
      <c r="K1235" s="13" t="s">
        <v>8035</v>
      </c>
      <c r="L1235" s="99" t="str">
        <f t="shared" si="78"/>
        <v>W224A.0</v>
      </c>
      <c r="M1235" s="13"/>
      <c r="N1235" s="13"/>
      <c r="O1235" s="13"/>
      <c r="P1235" s="47"/>
      <c r="Q1235" s="45"/>
      <c r="R1235" s="45"/>
      <c r="S1235" s="48"/>
      <c r="T1235" s="49" t="str">
        <f t="shared" si="79"/>
        <v>[W224A.0]</v>
      </c>
      <c r="U1235" s="12" t="str">
        <f t="shared" si="80"/>
        <v/>
      </c>
      <c r="V1235" s="49" t="str">
        <f t="shared" si="81"/>
        <v>[W224A.0]</v>
      </c>
    </row>
    <row r="1236" spans="1:22" s="49" customFormat="1" ht="14.15" customHeight="1">
      <c r="A1236" s="44"/>
      <c r="B1236" s="44" t="s">
        <v>157</v>
      </c>
      <c r="C1236" s="50"/>
      <c r="D1236" s="10" t="s">
        <v>29</v>
      </c>
      <c r="E1236" s="11"/>
      <c r="F1236" s="11" t="s">
        <v>18</v>
      </c>
      <c r="G1236" s="13"/>
      <c r="H1236" s="45" t="s">
        <v>16</v>
      </c>
      <c r="I1236" s="47"/>
      <c r="J1236" s="12" t="s">
        <v>4177</v>
      </c>
      <c r="K1236" s="13" t="s">
        <v>8036</v>
      </c>
      <c r="L1236" s="99" t="str">
        <f t="shared" si="78"/>
        <v>W224A.1</v>
      </c>
      <c r="M1236" s="13"/>
      <c r="N1236" s="13"/>
      <c r="O1236" s="13"/>
      <c r="P1236" s="47"/>
      <c r="Q1236" s="45"/>
      <c r="R1236" s="45"/>
      <c r="S1236" s="48"/>
      <c r="T1236" s="49" t="str">
        <f t="shared" si="79"/>
        <v>[W224A.1]</v>
      </c>
      <c r="U1236" s="12" t="str">
        <f t="shared" si="80"/>
        <v/>
      </c>
      <c r="V1236" s="49" t="str">
        <f t="shared" si="81"/>
        <v>[W224A.1]</v>
      </c>
    </row>
    <row r="1237" spans="1:22" s="49" customFormat="1" ht="14.15" customHeight="1">
      <c r="A1237" s="43"/>
      <c r="B1237" s="44" t="s">
        <v>157</v>
      </c>
      <c r="C1237" s="50"/>
      <c r="D1237" s="10" t="s">
        <v>29</v>
      </c>
      <c r="E1237" s="11"/>
      <c r="F1237" s="11" t="s">
        <v>18</v>
      </c>
      <c r="G1237" s="13"/>
      <c r="H1237" s="45" t="s">
        <v>16</v>
      </c>
      <c r="I1237" s="47"/>
      <c r="J1237" s="12" t="s">
        <v>4178</v>
      </c>
      <c r="K1237" s="13" t="s">
        <v>8037</v>
      </c>
      <c r="L1237" s="99" t="str">
        <f t="shared" si="78"/>
        <v>W224A.2</v>
      </c>
      <c r="M1237" s="13"/>
      <c r="N1237" s="13"/>
      <c r="O1237" s="13"/>
      <c r="P1237" s="47"/>
      <c r="Q1237" s="45"/>
      <c r="R1237" s="45"/>
      <c r="S1237" s="48"/>
      <c r="T1237" s="49" t="str">
        <f t="shared" si="79"/>
        <v>[W224A.2]</v>
      </c>
      <c r="U1237" s="12" t="str">
        <f t="shared" si="80"/>
        <v/>
      </c>
      <c r="V1237" s="49" t="str">
        <f t="shared" si="81"/>
        <v>[W224A.2]</v>
      </c>
    </row>
    <row r="1238" spans="1:22" s="49" customFormat="1" ht="14.15" customHeight="1">
      <c r="A1238" s="43"/>
      <c r="B1238" s="44" t="s">
        <v>157</v>
      </c>
      <c r="C1238" s="50"/>
      <c r="D1238" s="10" t="s">
        <v>29</v>
      </c>
      <c r="E1238" s="11"/>
      <c r="F1238" s="11" t="s">
        <v>18</v>
      </c>
      <c r="G1238" s="13"/>
      <c r="H1238" s="45" t="s">
        <v>16</v>
      </c>
      <c r="I1238" s="47"/>
      <c r="J1238" s="12" t="s">
        <v>4179</v>
      </c>
      <c r="K1238" s="13" t="s">
        <v>8038</v>
      </c>
      <c r="L1238" s="99" t="str">
        <f t="shared" si="78"/>
        <v>W224A.3</v>
      </c>
      <c r="M1238" s="13"/>
      <c r="N1238" s="13"/>
      <c r="O1238" s="13"/>
      <c r="P1238" s="47"/>
      <c r="Q1238" s="45"/>
      <c r="R1238" s="45"/>
      <c r="S1238" s="48"/>
      <c r="T1238" s="49" t="str">
        <f t="shared" si="79"/>
        <v>[W224A.3]</v>
      </c>
      <c r="U1238" s="12" t="str">
        <f t="shared" si="80"/>
        <v/>
      </c>
      <c r="V1238" s="49" t="str">
        <f t="shared" si="81"/>
        <v>[W224A.3]</v>
      </c>
    </row>
    <row r="1239" spans="1:22" s="49" customFormat="1" ht="14.15" customHeight="1">
      <c r="A1239" s="43"/>
      <c r="B1239" s="44" t="s">
        <v>157</v>
      </c>
      <c r="C1239" s="50"/>
      <c r="D1239" s="10" t="s">
        <v>29</v>
      </c>
      <c r="E1239" s="11"/>
      <c r="F1239" s="11" t="s">
        <v>18</v>
      </c>
      <c r="G1239" s="13"/>
      <c r="H1239" s="45" t="s">
        <v>16</v>
      </c>
      <c r="I1239" s="47"/>
      <c r="J1239" s="12" t="s">
        <v>4180</v>
      </c>
      <c r="K1239" s="13" t="s">
        <v>8039</v>
      </c>
      <c r="L1239" s="99" t="str">
        <f t="shared" si="78"/>
        <v>W224A.4</v>
      </c>
      <c r="M1239" s="13"/>
      <c r="N1239" s="13"/>
      <c r="O1239" s="13"/>
      <c r="P1239" s="47"/>
      <c r="Q1239" s="45"/>
      <c r="R1239" s="45"/>
      <c r="S1239" s="48"/>
      <c r="T1239" s="49" t="str">
        <f>"["&amp;L1209&amp;"]"</f>
        <v>[W2248.6]</v>
      </c>
      <c r="U1239" s="12" t="str">
        <f>RIGHT(J1209,LEN(J1209)-7)</f>
        <v/>
      </c>
      <c r="V1239" s="49" t="str">
        <f>T1209&amp;U1209</f>
        <v>[W2248.6]</v>
      </c>
    </row>
    <row r="1240" spans="1:22" s="49" customFormat="1" ht="14.15" customHeight="1">
      <c r="A1240" s="43"/>
      <c r="B1240" s="44" t="s">
        <v>157</v>
      </c>
      <c r="C1240" s="50"/>
      <c r="D1240" s="10" t="s">
        <v>29</v>
      </c>
      <c r="E1240" s="11"/>
      <c r="F1240" s="11" t="s">
        <v>18</v>
      </c>
      <c r="G1240" s="13"/>
      <c r="H1240" s="45" t="s">
        <v>16</v>
      </c>
      <c r="I1240" s="47"/>
      <c r="J1240" s="12" t="s">
        <v>4181</v>
      </c>
      <c r="K1240" s="13" t="s">
        <v>8040</v>
      </c>
      <c r="L1240" s="99" t="str">
        <f t="shared" si="78"/>
        <v>W224A.5</v>
      </c>
      <c r="M1240" s="13"/>
      <c r="N1240" s="13"/>
      <c r="O1240" s="13"/>
      <c r="P1240" s="47"/>
      <c r="Q1240" s="45"/>
      <c r="R1240" s="45"/>
      <c r="S1240" s="48"/>
      <c r="T1240" s="49" t="str">
        <f t="shared" si="79"/>
        <v>[W224A.5]</v>
      </c>
      <c r="U1240" s="12" t="str">
        <f t="shared" si="80"/>
        <v/>
      </c>
      <c r="V1240" s="49" t="str">
        <f t="shared" si="81"/>
        <v>[W224A.5]</v>
      </c>
    </row>
    <row r="1241" spans="1:22" s="49" customFormat="1" ht="14.15" customHeight="1">
      <c r="A1241" s="43"/>
      <c r="B1241" s="44" t="s">
        <v>157</v>
      </c>
      <c r="C1241" s="50"/>
      <c r="D1241" s="10" t="s">
        <v>29</v>
      </c>
      <c r="E1241" s="11"/>
      <c r="F1241" s="11" t="s">
        <v>18</v>
      </c>
      <c r="G1241" s="13"/>
      <c r="H1241" s="45" t="s">
        <v>16</v>
      </c>
      <c r="I1241" s="47"/>
      <c r="J1241" s="12" t="s">
        <v>4182</v>
      </c>
      <c r="K1241" s="13" t="s">
        <v>8041</v>
      </c>
      <c r="L1241" s="99" t="str">
        <f t="shared" si="78"/>
        <v>W224A.6</v>
      </c>
      <c r="M1241" s="13"/>
      <c r="N1241" s="13"/>
      <c r="O1241" s="13"/>
      <c r="P1241" s="47"/>
      <c r="Q1241" s="45"/>
      <c r="R1241" s="45"/>
      <c r="S1241" s="48"/>
      <c r="T1241" s="49" t="str">
        <f t="shared" si="79"/>
        <v>[W224A.6]</v>
      </c>
      <c r="U1241" s="12" t="str">
        <f t="shared" si="80"/>
        <v/>
      </c>
      <c r="V1241" s="49" t="str">
        <f t="shared" si="81"/>
        <v>[W224A.6]</v>
      </c>
    </row>
    <row r="1242" spans="1:22" s="49" customFormat="1" ht="14.15" customHeight="1">
      <c r="A1242" s="43"/>
      <c r="B1242" s="44" t="s">
        <v>157</v>
      </c>
      <c r="C1242" s="50"/>
      <c r="D1242" s="10" t="s">
        <v>29</v>
      </c>
      <c r="E1242" s="11"/>
      <c r="F1242" s="11" t="s">
        <v>18</v>
      </c>
      <c r="G1242" s="13"/>
      <c r="H1242" s="45" t="s">
        <v>16</v>
      </c>
      <c r="I1242" s="47"/>
      <c r="J1242" s="12" t="s">
        <v>4183</v>
      </c>
      <c r="K1242" s="13" t="s">
        <v>8042</v>
      </c>
      <c r="L1242" s="99" t="str">
        <f t="shared" si="78"/>
        <v>W224A.7</v>
      </c>
      <c r="M1242" s="13"/>
      <c r="N1242" s="13"/>
      <c r="O1242" s="13"/>
      <c r="P1242" s="47"/>
      <c r="Q1242" s="45"/>
      <c r="R1242" s="45"/>
      <c r="S1242" s="48"/>
      <c r="T1242" s="49" t="str">
        <f t="shared" si="79"/>
        <v>[W224A.7]</v>
      </c>
      <c r="U1242" s="12" t="str">
        <f t="shared" si="80"/>
        <v/>
      </c>
      <c r="V1242" s="49" t="str">
        <f t="shared" si="81"/>
        <v>[W224A.7]</v>
      </c>
    </row>
    <row r="1243" spans="1:22" s="49" customFormat="1" ht="14.15" customHeight="1">
      <c r="A1243" s="43"/>
      <c r="B1243" s="44" t="s">
        <v>157</v>
      </c>
      <c r="C1243" s="50"/>
      <c r="D1243" s="10" t="s">
        <v>29</v>
      </c>
      <c r="E1243" s="11"/>
      <c r="F1243" s="11" t="s">
        <v>18</v>
      </c>
      <c r="G1243" s="13"/>
      <c r="H1243" s="45" t="s">
        <v>16</v>
      </c>
      <c r="I1243" s="47"/>
      <c r="J1243" s="12" t="s">
        <v>4184</v>
      </c>
      <c r="K1243" s="13" t="s">
        <v>8043</v>
      </c>
      <c r="L1243" s="99" t="str">
        <f t="shared" si="78"/>
        <v>W224A.8</v>
      </c>
      <c r="M1243" s="13"/>
      <c r="N1243" s="13"/>
      <c r="O1243" s="13"/>
      <c r="P1243" s="47"/>
      <c r="Q1243" s="45"/>
      <c r="R1243" s="45"/>
      <c r="S1243" s="48"/>
      <c r="T1243" s="49" t="str">
        <f t="shared" si="79"/>
        <v>[W224A.8]</v>
      </c>
      <c r="U1243" s="12" t="str">
        <f t="shared" si="80"/>
        <v/>
      </c>
      <c r="V1243" s="49" t="str">
        <f t="shared" si="81"/>
        <v>[W224A.8]</v>
      </c>
    </row>
    <row r="1244" spans="1:22" s="49" customFormat="1" ht="14.15" customHeight="1">
      <c r="A1244" s="43"/>
      <c r="B1244" s="44" t="s">
        <v>157</v>
      </c>
      <c r="C1244" s="50"/>
      <c r="D1244" s="10" t="s">
        <v>29</v>
      </c>
      <c r="E1244" s="11"/>
      <c r="F1244" s="11" t="s">
        <v>18</v>
      </c>
      <c r="G1244" s="13"/>
      <c r="H1244" s="45" t="s">
        <v>16</v>
      </c>
      <c r="I1244" s="47"/>
      <c r="J1244" s="12" t="s">
        <v>4185</v>
      </c>
      <c r="K1244" s="13" t="s">
        <v>8044</v>
      </c>
      <c r="L1244" s="99" t="str">
        <f t="shared" si="78"/>
        <v>W224A.9</v>
      </c>
      <c r="M1244" s="13"/>
      <c r="N1244" s="13"/>
      <c r="O1244" s="13"/>
      <c r="P1244" s="47"/>
      <c r="Q1244" s="45"/>
      <c r="R1244" s="45"/>
      <c r="S1244" s="48"/>
      <c r="T1244" s="49" t="str">
        <f t="shared" si="79"/>
        <v>[W224A.9]</v>
      </c>
      <c r="U1244" s="12" t="str">
        <f t="shared" si="80"/>
        <v/>
      </c>
      <c r="V1244" s="49" t="str">
        <f t="shared" si="81"/>
        <v>[W224A.9]</v>
      </c>
    </row>
    <row r="1245" spans="1:22" s="49" customFormat="1" ht="14.15" customHeight="1">
      <c r="A1245" s="44"/>
      <c r="B1245" s="44" t="s">
        <v>157</v>
      </c>
      <c r="C1245" s="50"/>
      <c r="D1245" s="10" t="s">
        <v>29</v>
      </c>
      <c r="E1245" s="11"/>
      <c r="F1245" s="11" t="s">
        <v>18</v>
      </c>
      <c r="G1245" s="13"/>
      <c r="H1245" s="45" t="s">
        <v>16</v>
      </c>
      <c r="I1245" s="47"/>
      <c r="J1245" s="12" t="s">
        <v>4186</v>
      </c>
      <c r="K1245" s="13" t="s">
        <v>8045</v>
      </c>
      <c r="L1245" s="99" t="str">
        <f t="shared" si="78"/>
        <v>W224A.A</v>
      </c>
      <c r="M1245" s="13"/>
      <c r="N1245" s="13"/>
      <c r="O1245" s="13"/>
      <c r="P1245" s="47"/>
      <c r="Q1245" s="45"/>
      <c r="R1245" s="45"/>
      <c r="S1245" s="48"/>
      <c r="T1245" s="49" t="str">
        <f t="shared" si="79"/>
        <v>[W224A.A]</v>
      </c>
      <c r="U1245" s="12" t="str">
        <f t="shared" si="80"/>
        <v/>
      </c>
      <c r="V1245" s="49" t="str">
        <f t="shared" si="81"/>
        <v>[W224A.A]</v>
      </c>
    </row>
    <row r="1246" spans="1:22" s="49" customFormat="1" ht="14.15" customHeight="1">
      <c r="A1246" s="44"/>
      <c r="B1246" s="44" t="s">
        <v>157</v>
      </c>
      <c r="C1246" s="50"/>
      <c r="D1246" s="10" t="s">
        <v>29</v>
      </c>
      <c r="E1246" s="11"/>
      <c r="F1246" s="11" t="s">
        <v>18</v>
      </c>
      <c r="G1246" s="13"/>
      <c r="H1246" s="45" t="s">
        <v>16</v>
      </c>
      <c r="I1246" s="47"/>
      <c r="J1246" s="12" t="s">
        <v>4187</v>
      </c>
      <c r="K1246" s="13" t="s">
        <v>8046</v>
      </c>
      <c r="L1246" s="99" t="str">
        <f t="shared" si="78"/>
        <v>W224A.B</v>
      </c>
      <c r="M1246" s="13"/>
      <c r="N1246" s="13"/>
      <c r="O1246" s="13"/>
      <c r="P1246" s="47"/>
      <c r="Q1246" s="45"/>
      <c r="R1246" s="45"/>
      <c r="S1246" s="48"/>
      <c r="T1246" s="49" t="str">
        <f t="shared" si="79"/>
        <v>[W224A.B]</v>
      </c>
      <c r="U1246" s="12" t="str">
        <f t="shared" si="80"/>
        <v/>
      </c>
      <c r="V1246" s="49" t="str">
        <f t="shared" si="81"/>
        <v>[W224A.B]</v>
      </c>
    </row>
    <row r="1247" spans="1:22" s="49" customFormat="1" ht="14.15" customHeight="1">
      <c r="A1247" s="44"/>
      <c r="B1247" s="44" t="s">
        <v>157</v>
      </c>
      <c r="C1247" s="50"/>
      <c r="D1247" s="10" t="s">
        <v>29</v>
      </c>
      <c r="E1247" s="11"/>
      <c r="F1247" s="11" t="s">
        <v>18</v>
      </c>
      <c r="G1247" s="13"/>
      <c r="H1247" s="45" t="s">
        <v>16</v>
      </c>
      <c r="I1247" s="47"/>
      <c r="J1247" s="12" t="s">
        <v>4188</v>
      </c>
      <c r="K1247" s="13" t="s">
        <v>8047</v>
      </c>
      <c r="L1247" s="99" t="str">
        <f t="shared" si="78"/>
        <v>W224A.C</v>
      </c>
      <c r="M1247" s="13"/>
      <c r="N1247" s="13"/>
      <c r="O1247" s="13"/>
      <c r="P1247" s="47"/>
      <c r="Q1247" s="45"/>
      <c r="R1247" s="45"/>
      <c r="S1247" s="48"/>
      <c r="T1247" s="49" t="str">
        <f t="shared" si="79"/>
        <v>[W224A.C]</v>
      </c>
      <c r="U1247" s="12" t="str">
        <f t="shared" si="80"/>
        <v/>
      </c>
      <c r="V1247" s="49" t="str">
        <f t="shared" si="81"/>
        <v>[W224A.C]</v>
      </c>
    </row>
    <row r="1248" spans="1:22" s="49" customFormat="1" ht="14.15" customHeight="1">
      <c r="A1248" s="44"/>
      <c r="B1248" s="44" t="s">
        <v>157</v>
      </c>
      <c r="C1248" s="50"/>
      <c r="D1248" s="10" t="s">
        <v>29</v>
      </c>
      <c r="E1248" s="11"/>
      <c r="F1248" s="11" t="s">
        <v>18</v>
      </c>
      <c r="G1248" s="13"/>
      <c r="H1248" s="45" t="s">
        <v>16</v>
      </c>
      <c r="I1248" s="47"/>
      <c r="J1248" s="12" t="s">
        <v>4189</v>
      </c>
      <c r="K1248" s="13" t="s">
        <v>8048</v>
      </c>
      <c r="L1248" s="99" t="str">
        <f t="shared" si="78"/>
        <v>W224A.D</v>
      </c>
      <c r="M1248" s="13"/>
      <c r="N1248" s="13"/>
      <c r="O1248" s="13"/>
      <c r="P1248" s="47"/>
      <c r="Q1248" s="45"/>
      <c r="R1248" s="45"/>
      <c r="S1248" s="48"/>
      <c r="T1248" s="49" t="str">
        <f t="shared" si="79"/>
        <v>[W224A.D]</v>
      </c>
      <c r="U1248" s="12" t="str">
        <f t="shared" si="80"/>
        <v/>
      </c>
      <c r="V1248" s="49" t="str">
        <f t="shared" si="81"/>
        <v>[W224A.D]</v>
      </c>
    </row>
    <row r="1249" spans="1:22" s="49" customFormat="1" ht="14.15" customHeight="1">
      <c r="A1249" s="43"/>
      <c r="B1249" s="44" t="s">
        <v>157</v>
      </c>
      <c r="C1249" s="50"/>
      <c r="D1249" s="10" t="s">
        <v>29</v>
      </c>
      <c r="E1249" s="11"/>
      <c r="F1249" s="11" t="s">
        <v>18</v>
      </c>
      <c r="G1249" s="13"/>
      <c r="H1249" s="45" t="s">
        <v>16</v>
      </c>
      <c r="I1249" s="47"/>
      <c r="J1249" s="12" t="s">
        <v>4190</v>
      </c>
      <c r="K1249" s="13" t="s">
        <v>8049</v>
      </c>
      <c r="L1249" s="99" t="str">
        <f t="shared" si="78"/>
        <v>W224A.E</v>
      </c>
      <c r="M1249" s="13"/>
      <c r="N1249" s="13"/>
      <c r="O1249" s="13"/>
      <c r="P1249" s="47"/>
      <c r="Q1249" s="45"/>
      <c r="R1249" s="45"/>
      <c r="S1249" s="48"/>
      <c r="T1249" s="49" t="str">
        <f t="shared" si="79"/>
        <v>[W224A.E]</v>
      </c>
      <c r="U1249" s="12" t="str">
        <f t="shared" si="80"/>
        <v/>
      </c>
      <c r="V1249" s="49" t="str">
        <f t="shared" si="81"/>
        <v>[W224A.E]</v>
      </c>
    </row>
    <row r="1250" spans="1:22" s="49" customFormat="1" ht="14.15" customHeight="1">
      <c r="A1250" s="43" t="s">
        <v>5599</v>
      </c>
      <c r="B1250" s="44" t="s">
        <v>157</v>
      </c>
      <c r="C1250" s="50"/>
      <c r="D1250" s="10" t="s">
        <v>29</v>
      </c>
      <c r="E1250" s="11"/>
      <c r="F1250" s="11" t="s">
        <v>18</v>
      </c>
      <c r="G1250" s="13"/>
      <c r="H1250" s="45" t="s">
        <v>16</v>
      </c>
      <c r="I1250" s="47"/>
      <c r="J1250" s="12" t="s">
        <v>5311</v>
      </c>
      <c r="K1250" s="13" t="s">
        <v>8050</v>
      </c>
      <c r="L1250" s="99" t="str">
        <f t="shared" si="78"/>
        <v>W224A.F</v>
      </c>
      <c r="M1250" s="13" t="s">
        <v>17</v>
      </c>
      <c r="N1250" s="13"/>
      <c r="O1250" s="13"/>
      <c r="P1250" s="47"/>
      <c r="Q1250" s="45" t="s">
        <v>3672</v>
      </c>
      <c r="R1250" s="45" t="s">
        <v>5596</v>
      </c>
      <c r="S1250" s="48"/>
      <c r="T1250" s="49" t="str">
        <f t="shared" si="79"/>
        <v>[W224A.F]</v>
      </c>
      <c r="U1250" s="12" t="str">
        <f t="shared" si="80"/>
        <v xml:space="preserve"> 시밍#2 제품 클램프 전진 시간초과</v>
      </c>
      <c r="V1250" s="49" t="str">
        <f t="shared" si="81"/>
        <v>[W224A.F] 시밍#2 제품 클램프 전진 시간초과</v>
      </c>
    </row>
    <row r="1251" spans="1:22" s="49" customFormat="1" ht="14.15" customHeight="1">
      <c r="A1251" s="43" t="s">
        <v>5599</v>
      </c>
      <c r="B1251" s="44" t="s">
        <v>157</v>
      </c>
      <c r="C1251" s="50"/>
      <c r="D1251" s="10" t="s">
        <v>29</v>
      </c>
      <c r="E1251" s="11"/>
      <c r="F1251" s="11" t="s">
        <v>18</v>
      </c>
      <c r="G1251" s="13"/>
      <c r="H1251" s="45" t="s">
        <v>16</v>
      </c>
      <c r="I1251" s="47"/>
      <c r="J1251" s="12" t="s">
        <v>5312</v>
      </c>
      <c r="K1251" s="13" t="s">
        <v>8051</v>
      </c>
      <c r="L1251" s="99" t="str">
        <f t="shared" si="78"/>
        <v>W224B.0</v>
      </c>
      <c r="M1251" s="13" t="s">
        <v>17</v>
      </c>
      <c r="N1251" s="13"/>
      <c r="O1251" s="13"/>
      <c r="P1251" s="47"/>
      <c r="Q1251" s="45" t="s">
        <v>3672</v>
      </c>
      <c r="R1251" s="45" t="s">
        <v>5596</v>
      </c>
      <c r="S1251" s="48"/>
      <c r="T1251" s="49" t="str">
        <f t="shared" si="79"/>
        <v>[W224B.0]</v>
      </c>
      <c r="U1251" s="12" t="str">
        <f t="shared" si="80"/>
        <v xml:space="preserve"> 시밍#2 제품 클램프 후진 시간초과</v>
      </c>
      <c r="V1251" s="49" t="str">
        <f t="shared" si="81"/>
        <v>[W224B.0] 시밍#2 제품 클램프 후진 시간초과</v>
      </c>
    </row>
    <row r="1252" spans="1:22" s="49" customFormat="1" ht="14.15" customHeight="1">
      <c r="A1252" s="43" t="s">
        <v>5599</v>
      </c>
      <c r="B1252" s="44" t="s">
        <v>157</v>
      </c>
      <c r="C1252" s="50"/>
      <c r="D1252" s="10" t="s">
        <v>29</v>
      </c>
      <c r="E1252" s="11"/>
      <c r="F1252" s="11" t="s">
        <v>18</v>
      </c>
      <c r="G1252" s="13"/>
      <c r="H1252" s="45" t="s">
        <v>16</v>
      </c>
      <c r="I1252" s="47"/>
      <c r="J1252" s="12" t="s">
        <v>5313</v>
      </c>
      <c r="K1252" s="13" t="s">
        <v>8052</v>
      </c>
      <c r="L1252" s="99" t="str">
        <f t="shared" si="78"/>
        <v>W224B.1</v>
      </c>
      <c r="M1252" s="13" t="s">
        <v>17</v>
      </c>
      <c r="N1252" s="13"/>
      <c r="O1252" s="13"/>
      <c r="P1252" s="47"/>
      <c r="Q1252" s="45" t="s">
        <v>3672</v>
      </c>
      <c r="R1252" s="45" t="s">
        <v>5596</v>
      </c>
      <c r="S1252" s="48"/>
      <c r="T1252" s="49" t="str">
        <f t="shared" si="79"/>
        <v>[W224B.1]</v>
      </c>
      <c r="U1252" s="12" t="str">
        <f t="shared" si="80"/>
        <v xml:space="preserve"> 시밍#2 제품 클램프 전진/후진 센서이상</v>
      </c>
      <c r="V1252" s="49" t="str">
        <f t="shared" si="81"/>
        <v>[W224B.1] 시밍#2 제품 클램프 전진/후진 센서이상</v>
      </c>
    </row>
    <row r="1253" spans="1:22" s="49" customFormat="1" ht="14.15" customHeight="1">
      <c r="A1253" s="43" t="s">
        <v>5599</v>
      </c>
      <c r="B1253" s="44" t="s">
        <v>157</v>
      </c>
      <c r="C1253" s="50"/>
      <c r="D1253" s="10" t="s">
        <v>29</v>
      </c>
      <c r="E1253" s="11"/>
      <c r="F1253" s="11" t="s">
        <v>18</v>
      </c>
      <c r="G1253" s="13"/>
      <c r="H1253" s="45" t="s">
        <v>16</v>
      </c>
      <c r="I1253" s="47"/>
      <c r="J1253" s="12" t="s">
        <v>5314</v>
      </c>
      <c r="K1253" s="13" t="s">
        <v>8053</v>
      </c>
      <c r="L1253" s="99" t="str">
        <f t="shared" si="78"/>
        <v>W224B.2</v>
      </c>
      <c r="M1253" s="13" t="s">
        <v>17</v>
      </c>
      <c r="N1253" s="13"/>
      <c r="O1253" s="13"/>
      <c r="P1253" s="47"/>
      <c r="Q1253" s="45" t="s">
        <v>3672</v>
      </c>
      <c r="R1253" s="45" t="s">
        <v>5596</v>
      </c>
      <c r="S1253" s="48"/>
      <c r="T1253" s="49" t="str">
        <f t="shared" si="79"/>
        <v>[W224B.2]</v>
      </c>
      <c r="U1253" s="12" t="str">
        <f t="shared" si="80"/>
        <v xml:space="preserve"> 시밍#2 헤드하부 클램프 전진 시간초과</v>
      </c>
      <c r="V1253" s="49" t="str">
        <f t="shared" si="81"/>
        <v>[W224B.2] 시밍#2 헤드하부 클램프 전진 시간초과</v>
      </c>
    </row>
    <row r="1254" spans="1:22" s="49" customFormat="1" ht="14.15" customHeight="1">
      <c r="A1254" s="43" t="s">
        <v>5599</v>
      </c>
      <c r="B1254" s="44" t="s">
        <v>157</v>
      </c>
      <c r="C1254" s="50"/>
      <c r="D1254" s="10" t="s">
        <v>29</v>
      </c>
      <c r="E1254" s="11"/>
      <c r="F1254" s="11" t="s">
        <v>18</v>
      </c>
      <c r="G1254" s="13"/>
      <c r="H1254" s="45" t="s">
        <v>16</v>
      </c>
      <c r="I1254" s="47"/>
      <c r="J1254" s="12" t="s">
        <v>5315</v>
      </c>
      <c r="K1254" s="13" t="s">
        <v>8054</v>
      </c>
      <c r="L1254" s="99" t="str">
        <f t="shared" si="78"/>
        <v>W224B.3</v>
      </c>
      <c r="M1254" s="13" t="s">
        <v>17</v>
      </c>
      <c r="N1254" s="13"/>
      <c r="O1254" s="13"/>
      <c r="P1254" s="47"/>
      <c r="Q1254" s="45" t="s">
        <v>3672</v>
      </c>
      <c r="R1254" s="45" t="s">
        <v>5596</v>
      </c>
      <c r="S1254" s="48"/>
      <c r="T1254" s="49" t="str">
        <f t="shared" si="79"/>
        <v>[W224B.3]</v>
      </c>
      <c r="U1254" s="12" t="str">
        <f t="shared" si="80"/>
        <v xml:space="preserve"> 시밍#2 헤드하부 클램프 후진 시간초과</v>
      </c>
      <c r="V1254" s="49" t="str">
        <f t="shared" si="81"/>
        <v>[W224B.3] 시밍#2 헤드하부 클램프 후진 시간초과</v>
      </c>
    </row>
    <row r="1255" spans="1:22" s="49" customFormat="1" ht="14.15" customHeight="1">
      <c r="A1255" s="43" t="s">
        <v>5599</v>
      </c>
      <c r="B1255" s="44" t="s">
        <v>157</v>
      </c>
      <c r="C1255" s="50"/>
      <c r="D1255" s="10" t="s">
        <v>29</v>
      </c>
      <c r="E1255" s="11"/>
      <c r="F1255" s="11" t="s">
        <v>18</v>
      </c>
      <c r="G1255" s="13"/>
      <c r="H1255" s="45" t="s">
        <v>16</v>
      </c>
      <c r="I1255" s="47"/>
      <c r="J1255" s="12" t="s">
        <v>5316</v>
      </c>
      <c r="K1255" s="13" t="s">
        <v>8055</v>
      </c>
      <c r="L1255" s="99" t="str">
        <f t="shared" si="78"/>
        <v>W224B.4</v>
      </c>
      <c r="M1255" s="13" t="s">
        <v>17</v>
      </c>
      <c r="N1255" s="13"/>
      <c r="O1255" s="13"/>
      <c r="P1255" s="47"/>
      <c r="Q1255" s="45" t="s">
        <v>3672</v>
      </c>
      <c r="R1255" s="45" t="s">
        <v>5596</v>
      </c>
      <c r="S1255" s="48"/>
      <c r="T1255" s="49" t="str">
        <f t="shared" si="79"/>
        <v>[W224B.4]</v>
      </c>
      <c r="U1255" s="12" t="str">
        <f t="shared" si="80"/>
        <v xml:space="preserve"> 시밍#2 헤드하부 클램프 전진/후진 센서이상</v>
      </c>
      <c r="V1255" s="49" t="str">
        <f t="shared" si="81"/>
        <v>[W224B.4] 시밍#2 헤드하부 클램프 전진/후진 센서이상</v>
      </c>
    </row>
    <row r="1256" spans="1:22" s="49" customFormat="1" ht="14.15" customHeight="1">
      <c r="A1256" s="43" t="s">
        <v>5599</v>
      </c>
      <c r="B1256" s="44" t="s">
        <v>157</v>
      </c>
      <c r="C1256" s="50"/>
      <c r="D1256" s="10" t="s">
        <v>29</v>
      </c>
      <c r="E1256" s="11"/>
      <c r="F1256" s="11" t="s">
        <v>18</v>
      </c>
      <c r="G1256" s="13"/>
      <c r="H1256" s="45" t="s">
        <v>16</v>
      </c>
      <c r="I1256" s="47"/>
      <c r="J1256" s="12" t="s">
        <v>5317</v>
      </c>
      <c r="K1256" s="13" t="s">
        <v>8056</v>
      </c>
      <c r="L1256" s="99" t="str">
        <f t="shared" si="78"/>
        <v>W224B.5</v>
      </c>
      <c r="M1256" s="13" t="s">
        <v>17</v>
      </c>
      <c r="N1256" s="13"/>
      <c r="O1256" s="13"/>
      <c r="P1256" s="47"/>
      <c r="Q1256" s="45" t="s">
        <v>3672</v>
      </c>
      <c r="R1256" s="45" t="s">
        <v>5596</v>
      </c>
      <c r="S1256" s="48"/>
      <c r="T1256" s="49" t="str">
        <f t="shared" si="79"/>
        <v>[W224B.5]</v>
      </c>
      <c r="U1256" s="12" t="str">
        <f t="shared" si="80"/>
        <v xml:space="preserve"> 시밍#2 헤드상부 클램프 전진 시간초과</v>
      </c>
      <c r="V1256" s="49" t="str">
        <f t="shared" si="81"/>
        <v>[W224B.5] 시밍#2 헤드상부 클램프 전진 시간초과</v>
      </c>
    </row>
    <row r="1257" spans="1:22" s="49" customFormat="1" ht="14.15" customHeight="1">
      <c r="A1257" s="43" t="s">
        <v>5599</v>
      </c>
      <c r="B1257" s="44" t="s">
        <v>157</v>
      </c>
      <c r="C1257" s="50"/>
      <c r="D1257" s="10" t="s">
        <v>29</v>
      </c>
      <c r="E1257" s="11"/>
      <c r="F1257" s="11" t="s">
        <v>18</v>
      </c>
      <c r="G1257" s="13"/>
      <c r="H1257" s="45" t="s">
        <v>16</v>
      </c>
      <c r="I1257" s="47"/>
      <c r="J1257" s="12" t="s">
        <v>5318</v>
      </c>
      <c r="K1257" s="13" t="s">
        <v>8057</v>
      </c>
      <c r="L1257" s="99" t="str">
        <f t="shared" si="78"/>
        <v>W224B.6</v>
      </c>
      <c r="M1257" s="13" t="s">
        <v>17</v>
      </c>
      <c r="N1257" s="13"/>
      <c r="O1257" s="13"/>
      <c r="P1257" s="47"/>
      <c r="Q1257" s="45" t="s">
        <v>3672</v>
      </c>
      <c r="R1257" s="45" t="s">
        <v>5596</v>
      </c>
      <c r="S1257" s="48"/>
      <c r="T1257" s="49" t="str">
        <f t="shared" si="79"/>
        <v>[W224B.6]</v>
      </c>
      <c r="U1257" s="12" t="str">
        <f t="shared" si="80"/>
        <v xml:space="preserve"> 시밍#2 헤드상부 클램프 후진 시간초과</v>
      </c>
      <c r="V1257" s="49" t="str">
        <f t="shared" si="81"/>
        <v>[W224B.6] 시밍#2 헤드상부 클램프 후진 시간초과</v>
      </c>
    </row>
    <row r="1258" spans="1:22" s="49" customFormat="1" ht="14.15" customHeight="1">
      <c r="A1258" s="43" t="s">
        <v>5599</v>
      </c>
      <c r="B1258" s="44" t="s">
        <v>157</v>
      </c>
      <c r="C1258" s="50"/>
      <c r="D1258" s="10" t="s">
        <v>29</v>
      </c>
      <c r="E1258" s="11"/>
      <c r="F1258" s="11" t="s">
        <v>18</v>
      </c>
      <c r="G1258" s="13"/>
      <c r="H1258" s="45" t="s">
        <v>16</v>
      </c>
      <c r="I1258" s="47"/>
      <c r="J1258" s="12" t="s">
        <v>5319</v>
      </c>
      <c r="K1258" s="13" t="s">
        <v>8058</v>
      </c>
      <c r="L1258" s="99" t="str">
        <f t="shared" si="78"/>
        <v>W224B.7</v>
      </c>
      <c r="M1258" s="13" t="s">
        <v>17</v>
      </c>
      <c r="N1258" s="13"/>
      <c r="O1258" s="13"/>
      <c r="P1258" s="47"/>
      <c r="Q1258" s="45" t="s">
        <v>3672</v>
      </c>
      <c r="R1258" s="45" t="s">
        <v>5596</v>
      </c>
      <c r="S1258" s="48"/>
      <c r="T1258" s="49" t="str">
        <f t="shared" si="79"/>
        <v>[W224B.7]</v>
      </c>
      <c r="U1258" s="12" t="str">
        <f t="shared" si="80"/>
        <v xml:space="preserve"> 시밍#2 헤드상부 클램프 전진/후진 센서이상</v>
      </c>
      <c r="V1258" s="49" t="str">
        <f t="shared" si="81"/>
        <v>[W224B.7] 시밍#2 헤드상부 클램프 전진/후진 센서이상</v>
      </c>
    </row>
    <row r="1259" spans="1:22" s="49" customFormat="1" ht="14.15" customHeight="1">
      <c r="A1259" s="43" t="s">
        <v>5599</v>
      </c>
      <c r="B1259" s="44" t="s">
        <v>157</v>
      </c>
      <c r="C1259" s="50"/>
      <c r="D1259" s="10" t="s">
        <v>29</v>
      </c>
      <c r="E1259" s="11"/>
      <c r="F1259" s="11" t="s">
        <v>18</v>
      </c>
      <c r="G1259" s="13"/>
      <c r="H1259" s="45" t="s">
        <v>16</v>
      </c>
      <c r="I1259" s="47"/>
      <c r="J1259" s="12" t="s">
        <v>5320</v>
      </c>
      <c r="K1259" s="13" t="s">
        <v>8059</v>
      </c>
      <c r="L1259" s="99" t="str">
        <f t="shared" si="78"/>
        <v>W224B.8</v>
      </c>
      <c r="M1259" s="13" t="s">
        <v>17</v>
      </c>
      <c r="N1259" s="13"/>
      <c r="O1259" s="13"/>
      <c r="P1259" s="47"/>
      <c r="Q1259" s="45" t="s">
        <v>3672</v>
      </c>
      <c r="R1259" s="45" t="s">
        <v>5596</v>
      </c>
      <c r="S1259" s="48"/>
      <c r="T1259" s="49" t="str">
        <f t="shared" si="79"/>
        <v>[W224B.8]</v>
      </c>
      <c r="U1259" s="12" t="str">
        <f t="shared" si="80"/>
        <v xml:space="preserve"> 시밍#2 지그하부 클램프 전진 시간초과</v>
      </c>
      <c r="V1259" s="49" t="str">
        <f t="shared" si="81"/>
        <v>[W224B.8] 시밍#2 지그하부 클램프 전진 시간초과</v>
      </c>
    </row>
    <row r="1260" spans="1:22" s="49" customFormat="1" ht="14.15" customHeight="1">
      <c r="A1260" s="43" t="s">
        <v>5599</v>
      </c>
      <c r="B1260" s="44" t="s">
        <v>157</v>
      </c>
      <c r="C1260" s="50"/>
      <c r="D1260" s="10" t="s">
        <v>29</v>
      </c>
      <c r="E1260" s="11"/>
      <c r="F1260" s="11" t="s">
        <v>18</v>
      </c>
      <c r="G1260" s="13"/>
      <c r="H1260" s="45" t="s">
        <v>16</v>
      </c>
      <c r="I1260" s="47"/>
      <c r="J1260" s="12" t="s">
        <v>5321</v>
      </c>
      <c r="K1260" s="13" t="s">
        <v>8060</v>
      </c>
      <c r="L1260" s="99" t="str">
        <f t="shared" si="78"/>
        <v>W224B.9</v>
      </c>
      <c r="M1260" s="13" t="s">
        <v>17</v>
      </c>
      <c r="N1260" s="13"/>
      <c r="O1260" s="13"/>
      <c r="P1260" s="47"/>
      <c r="Q1260" s="45" t="s">
        <v>3672</v>
      </c>
      <c r="R1260" s="45" t="s">
        <v>5596</v>
      </c>
      <c r="S1260" s="48"/>
      <c r="T1260" s="49" t="str">
        <f t="shared" si="79"/>
        <v>[W224B.9]</v>
      </c>
      <c r="U1260" s="12" t="str">
        <f t="shared" si="80"/>
        <v xml:space="preserve"> 시밍#2 지그하부 클램프 후진 시간초과</v>
      </c>
      <c r="V1260" s="49" t="str">
        <f t="shared" si="81"/>
        <v>[W224B.9] 시밍#2 지그하부 클램프 후진 시간초과</v>
      </c>
    </row>
    <row r="1261" spans="1:22" s="49" customFormat="1" ht="14.15" customHeight="1">
      <c r="A1261" s="43" t="s">
        <v>5599</v>
      </c>
      <c r="B1261" s="44" t="s">
        <v>157</v>
      </c>
      <c r="C1261" s="50"/>
      <c r="D1261" s="10" t="s">
        <v>29</v>
      </c>
      <c r="E1261" s="11"/>
      <c r="F1261" s="11" t="s">
        <v>18</v>
      </c>
      <c r="G1261" s="13"/>
      <c r="H1261" s="45" t="s">
        <v>16</v>
      </c>
      <c r="I1261" s="47"/>
      <c r="J1261" s="12" t="s">
        <v>5322</v>
      </c>
      <c r="K1261" s="13" t="s">
        <v>8061</v>
      </c>
      <c r="L1261" s="99" t="str">
        <f t="shared" si="78"/>
        <v>W224B.A</v>
      </c>
      <c r="M1261" s="13" t="s">
        <v>17</v>
      </c>
      <c r="N1261" s="13"/>
      <c r="O1261" s="13"/>
      <c r="P1261" s="47"/>
      <c r="Q1261" s="45" t="s">
        <v>3672</v>
      </c>
      <c r="R1261" s="45" t="s">
        <v>5596</v>
      </c>
      <c r="S1261" s="48"/>
      <c r="T1261" s="49" t="str">
        <f t="shared" si="79"/>
        <v>[W224B.A]</v>
      </c>
      <c r="U1261" s="12" t="str">
        <f t="shared" si="80"/>
        <v xml:space="preserve"> 시밍#2 지그하부 클램프 전진/후진 센서이상</v>
      </c>
      <c r="V1261" s="49" t="str">
        <f t="shared" si="81"/>
        <v>[W224B.A] 시밍#2 지그하부 클램프 전진/후진 센서이상</v>
      </c>
    </row>
    <row r="1262" spans="1:22" s="49" customFormat="1" ht="14.15" customHeight="1">
      <c r="A1262" s="43" t="s">
        <v>5599</v>
      </c>
      <c r="B1262" s="44" t="s">
        <v>157</v>
      </c>
      <c r="C1262" s="50"/>
      <c r="D1262" s="10" t="s">
        <v>29</v>
      </c>
      <c r="E1262" s="11"/>
      <c r="F1262" s="11" t="s">
        <v>18</v>
      </c>
      <c r="G1262" s="13"/>
      <c r="H1262" s="45" t="s">
        <v>16</v>
      </c>
      <c r="I1262" s="47"/>
      <c r="J1262" s="12" t="s">
        <v>5323</v>
      </c>
      <c r="K1262" s="13" t="s">
        <v>8062</v>
      </c>
      <c r="L1262" s="99" t="str">
        <f t="shared" si="78"/>
        <v>W224B.B</v>
      </c>
      <c r="M1262" s="13" t="s">
        <v>17</v>
      </c>
      <c r="N1262" s="13"/>
      <c r="O1262" s="13"/>
      <c r="P1262" s="47"/>
      <c r="Q1262" s="45" t="s">
        <v>3672</v>
      </c>
      <c r="R1262" s="45" t="s">
        <v>5596</v>
      </c>
      <c r="S1262" s="48"/>
      <c r="T1262" s="49" t="str">
        <f t="shared" si="79"/>
        <v>[W224B.B]</v>
      </c>
      <c r="U1262" s="12" t="str">
        <f t="shared" si="80"/>
        <v xml:space="preserve"> 시밍#2 지그상부 클램프 전진 시간초과</v>
      </c>
      <c r="V1262" s="49" t="str">
        <f t="shared" si="81"/>
        <v>[W224B.B] 시밍#2 지그상부 클램프 전진 시간초과</v>
      </c>
    </row>
    <row r="1263" spans="1:22" s="49" customFormat="1" ht="14.15" customHeight="1">
      <c r="A1263" s="43" t="s">
        <v>5599</v>
      </c>
      <c r="B1263" s="44" t="s">
        <v>157</v>
      </c>
      <c r="C1263" s="50"/>
      <c r="D1263" s="10" t="s">
        <v>29</v>
      </c>
      <c r="E1263" s="11"/>
      <c r="F1263" s="11" t="s">
        <v>18</v>
      </c>
      <c r="G1263" s="13"/>
      <c r="H1263" s="45" t="s">
        <v>16</v>
      </c>
      <c r="I1263" s="47"/>
      <c r="J1263" s="12" t="s">
        <v>5324</v>
      </c>
      <c r="K1263" s="13" t="s">
        <v>8063</v>
      </c>
      <c r="L1263" s="99" t="str">
        <f t="shared" si="78"/>
        <v>W224B.C</v>
      </c>
      <c r="M1263" s="13" t="s">
        <v>17</v>
      </c>
      <c r="N1263" s="13"/>
      <c r="O1263" s="13"/>
      <c r="P1263" s="47"/>
      <c r="Q1263" s="45" t="s">
        <v>3672</v>
      </c>
      <c r="R1263" s="45" t="s">
        <v>5596</v>
      </c>
      <c r="S1263" s="48"/>
      <c r="T1263" s="49" t="str">
        <f t="shared" si="79"/>
        <v>[W224B.C]</v>
      </c>
      <c r="U1263" s="12" t="str">
        <f t="shared" si="80"/>
        <v xml:space="preserve"> 시밍#2 지그상부 클램프 후진 시간초과</v>
      </c>
      <c r="V1263" s="49" t="str">
        <f t="shared" si="81"/>
        <v>[W224B.C] 시밍#2 지그상부 클램프 후진 시간초과</v>
      </c>
    </row>
    <row r="1264" spans="1:22" s="49" customFormat="1" ht="14.15" customHeight="1">
      <c r="A1264" s="43" t="s">
        <v>5599</v>
      </c>
      <c r="B1264" s="44" t="s">
        <v>157</v>
      </c>
      <c r="C1264" s="50"/>
      <c r="D1264" s="10" t="s">
        <v>29</v>
      </c>
      <c r="E1264" s="11"/>
      <c r="F1264" s="11" t="s">
        <v>18</v>
      </c>
      <c r="G1264" s="13"/>
      <c r="H1264" s="45" t="s">
        <v>16</v>
      </c>
      <c r="I1264" s="47"/>
      <c r="J1264" s="12" t="s">
        <v>5325</v>
      </c>
      <c r="K1264" s="13" t="s">
        <v>8064</v>
      </c>
      <c r="L1264" s="99" t="str">
        <f t="shared" si="78"/>
        <v>W224B.D</v>
      </c>
      <c r="M1264" s="13" t="s">
        <v>17</v>
      </c>
      <c r="N1264" s="13"/>
      <c r="O1264" s="13"/>
      <c r="P1264" s="47"/>
      <c r="Q1264" s="45" t="s">
        <v>3672</v>
      </c>
      <c r="R1264" s="45" t="s">
        <v>5596</v>
      </c>
      <c r="S1264" s="48"/>
      <c r="T1264" s="49" t="str">
        <f t="shared" si="79"/>
        <v>[W224B.D]</v>
      </c>
      <c r="U1264" s="12" t="str">
        <f t="shared" si="80"/>
        <v xml:space="preserve"> 시밍#2 지그상부 클램프 전진/후진 센서이상</v>
      </c>
      <c r="V1264" s="49" t="str">
        <f t="shared" si="81"/>
        <v>[W224B.D] 시밍#2 지그상부 클램프 전진/후진 센서이상</v>
      </c>
    </row>
    <row r="1265" spans="1:22" s="49" customFormat="1" ht="14.15" customHeight="1">
      <c r="A1265" s="43" t="s">
        <v>5599</v>
      </c>
      <c r="B1265" s="44" t="s">
        <v>157</v>
      </c>
      <c r="C1265" s="50"/>
      <c r="D1265" s="10" t="s">
        <v>29</v>
      </c>
      <c r="E1265" s="11"/>
      <c r="F1265" s="11" t="s">
        <v>18</v>
      </c>
      <c r="G1265" s="13"/>
      <c r="H1265" s="45" t="s">
        <v>16</v>
      </c>
      <c r="I1265" s="47"/>
      <c r="J1265" s="12" t="s">
        <v>5326</v>
      </c>
      <c r="K1265" s="13" t="s">
        <v>8065</v>
      </c>
      <c r="L1265" s="99" t="str">
        <f t="shared" si="78"/>
        <v>W224B.E</v>
      </c>
      <c r="M1265" s="13" t="s">
        <v>17</v>
      </c>
      <c r="N1265" s="13"/>
      <c r="O1265" s="13"/>
      <c r="P1265" s="47"/>
      <c r="Q1265" s="45" t="s">
        <v>3672</v>
      </c>
      <c r="R1265" s="45" t="s">
        <v>5596</v>
      </c>
      <c r="S1265" s="48"/>
      <c r="T1265" s="49" t="str">
        <f t="shared" si="79"/>
        <v>[W224B.E]</v>
      </c>
      <c r="U1265" s="12" t="str">
        <f t="shared" si="80"/>
        <v xml:space="preserve"> 시밍#2 지그센터링 R 클램프 전진 시간초과</v>
      </c>
      <c r="V1265" s="49" t="str">
        <f t="shared" si="81"/>
        <v>[W224B.E] 시밍#2 지그센터링 R 클램프 전진 시간초과</v>
      </c>
    </row>
    <row r="1266" spans="1:22" s="49" customFormat="1" ht="14.15" customHeight="1">
      <c r="A1266" s="43" t="s">
        <v>5599</v>
      </c>
      <c r="B1266" s="44" t="s">
        <v>157</v>
      </c>
      <c r="C1266" s="50"/>
      <c r="D1266" s="10" t="s">
        <v>29</v>
      </c>
      <c r="E1266" s="11"/>
      <c r="F1266" s="11" t="s">
        <v>18</v>
      </c>
      <c r="G1266" s="13"/>
      <c r="H1266" s="45" t="s">
        <v>16</v>
      </c>
      <c r="I1266" s="47"/>
      <c r="J1266" s="12" t="s">
        <v>5327</v>
      </c>
      <c r="K1266" s="13" t="s">
        <v>8066</v>
      </c>
      <c r="L1266" s="99" t="str">
        <f t="shared" si="78"/>
        <v>W224B.F</v>
      </c>
      <c r="M1266" s="13" t="s">
        <v>17</v>
      </c>
      <c r="N1266" s="13"/>
      <c r="O1266" s="13"/>
      <c r="P1266" s="47"/>
      <c r="Q1266" s="45" t="s">
        <v>3672</v>
      </c>
      <c r="R1266" s="45" t="s">
        <v>5596</v>
      </c>
      <c r="S1266" s="48"/>
      <c r="T1266" s="49" t="str">
        <f t="shared" si="79"/>
        <v>[W224B.F]</v>
      </c>
      <c r="U1266" s="12" t="str">
        <f t="shared" si="80"/>
        <v xml:space="preserve"> 시밍#2 지그센터링 R 클램프 후진 시간초과</v>
      </c>
      <c r="V1266" s="49" t="str">
        <f t="shared" si="81"/>
        <v>[W224B.F] 시밍#2 지그센터링 R 클램프 후진 시간초과</v>
      </c>
    </row>
    <row r="1267" spans="1:22" s="49" customFormat="1" ht="14.15" customHeight="1">
      <c r="A1267" s="43" t="s">
        <v>5599</v>
      </c>
      <c r="B1267" s="44" t="s">
        <v>157</v>
      </c>
      <c r="C1267" s="50"/>
      <c r="D1267" s="10" t="s">
        <v>29</v>
      </c>
      <c r="E1267" s="11"/>
      <c r="F1267" s="11" t="s">
        <v>18</v>
      </c>
      <c r="G1267" s="13"/>
      <c r="H1267" s="45" t="s">
        <v>16</v>
      </c>
      <c r="I1267" s="47"/>
      <c r="J1267" s="12" t="s">
        <v>5328</v>
      </c>
      <c r="K1267" s="13" t="s">
        <v>8067</v>
      </c>
      <c r="L1267" s="99" t="str">
        <f t="shared" si="78"/>
        <v>W224C.0</v>
      </c>
      <c r="M1267" s="13" t="s">
        <v>17</v>
      </c>
      <c r="N1267" s="13"/>
      <c r="O1267" s="13"/>
      <c r="P1267" s="47"/>
      <c r="Q1267" s="45" t="s">
        <v>3672</v>
      </c>
      <c r="R1267" s="45" t="s">
        <v>5596</v>
      </c>
      <c r="S1267" s="48"/>
      <c r="T1267" s="49" t="str">
        <f t="shared" si="79"/>
        <v>[W224C.0]</v>
      </c>
      <c r="U1267" s="12" t="str">
        <f t="shared" si="80"/>
        <v xml:space="preserve"> 시밍#2 지그센터링 R 클램프 전진/후진 센서이상</v>
      </c>
      <c r="V1267" s="49" t="str">
        <f t="shared" si="81"/>
        <v>[W224C.0] 시밍#2 지그센터링 R 클램프 전진/후진 센서이상</v>
      </c>
    </row>
    <row r="1268" spans="1:22" s="49" customFormat="1" ht="14.15" customHeight="1">
      <c r="A1268" s="43" t="s">
        <v>5599</v>
      </c>
      <c r="B1268" s="44" t="s">
        <v>157</v>
      </c>
      <c r="C1268" s="50"/>
      <c r="D1268" s="10" t="s">
        <v>29</v>
      </c>
      <c r="E1268" s="11"/>
      <c r="F1268" s="11" t="s">
        <v>18</v>
      </c>
      <c r="G1268" s="13"/>
      <c r="H1268" s="45" t="s">
        <v>16</v>
      </c>
      <c r="I1268" s="47"/>
      <c r="J1268" s="12" t="s">
        <v>5329</v>
      </c>
      <c r="K1268" s="13" t="s">
        <v>8068</v>
      </c>
      <c r="L1268" s="99" t="str">
        <f t="shared" ref="L1268:L1331" si="82">"W"&amp;DEC2HEX(8704 + INT((ROW()-51)/16)) &amp; "." &amp; IF(MOD(ROW()-51,16)&lt;10,MOD(ROW()-51,16),CHAR(MOD(ROW()-51,16)+55))</f>
        <v>W224C.1</v>
      </c>
      <c r="M1268" s="13" t="s">
        <v>17</v>
      </c>
      <c r="N1268" s="13"/>
      <c r="O1268" s="13"/>
      <c r="P1268" s="47"/>
      <c r="Q1268" s="45" t="s">
        <v>3672</v>
      </c>
      <c r="R1268" s="45" t="s">
        <v>5596</v>
      </c>
      <c r="S1268" s="48"/>
      <c r="T1268" s="49" t="str">
        <f t="shared" ref="T1268:T1331" si="83">"["&amp;L1268&amp;"]"</f>
        <v>[W224C.1]</v>
      </c>
      <c r="U1268" s="12" t="str">
        <f t="shared" ref="U1268:U1282" si="84">RIGHT(J1268,LEN(J1268)-7)</f>
        <v xml:space="preserve"> 시밍#2 지그센터링 L 클램프 전진 시간초과</v>
      </c>
      <c r="V1268" s="49" t="str">
        <f t="shared" ref="V1268:V1331" si="85">T1268&amp;U1268</f>
        <v>[W224C.1] 시밍#2 지그센터링 L 클램프 전진 시간초과</v>
      </c>
    </row>
    <row r="1269" spans="1:22" s="49" customFormat="1" ht="14.15" customHeight="1">
      <c r="A1269" s="43" t="s">
        <v>5599</v>
      </c>
      <c r="B1269" s="44" t="s">
        <v>157</v>
      </c>
      <c r="C1269" s="50"/>
      <c r="D1269" s="10" t="s">
        <v>29</v>
      </c>
      <c r="E1269" s="11"/>
      <c r="F1269" s="11" t="s">
        <v>18</v>
      </c>
      <c r="G1269" s="13"/>
      <c r="H1269" s="45" t="s">
        <v>16</v>
      </c>
      <c r="I1269" s="47"/>
      <c r="J1269" s="12" t="s">
        <v>5330</v>
      </c>
      <c r="K1269" s="13" t="s">
        <v>8069</v>
      </c>
      <c r="L1269" s="99" t="str">
        <f t="shared" si="82"/>
        <v>W224C.2</v>
      </c>
      <c r="M1269" s="13" t="s">
        <v>17</v>
      </c>
      <c r="N1269" s="13"/>
      <c r="O1269" s="13"/>
      <c r="P1269" s="47"/>
      <c r="Q1269" s="45" t="s">
        <v>3672</v>
      </c>
      <c r="R1269" s="45" t="s">
        <v>5596</v>
      </c>
      <c r="S1269" s="48"/>
      <c r="T1269" s="49" t="str">
        <f t="shared" si="83"/>
        <v>[W224C.2]</v>
      </c>
      <c r="U1269" s="12" t="str">
        <f t="shared" si="84"/>
        <v xml:space="preserve"> 시밍#2 지그센터링 L 클램프 후진 시간초과</v>
      </c>
      <c r="V1269" s="49" t="str">
        <f t="shared" si="85"/>
        <v>[W224C.2] 시밍#2 지그센터링 L 클램프 후진 시간초과</v>
      </c>
    </row>
    <row r="1270" spans="1:22" s="49" customFormat="1" ht="14.15" customHeight="1">
      <c r="A1270" s="43" t="s">
        <v>5599</v>
      </c>
      <c r="B1270" s="44" t="s">
        <v>157</v>
      </c>
      <c r="C1270" s="50"/>
      <c r="D1270" s="10" t="s">
        <v>29</v>
      </c>
      <c r="E1270" s="11"/>
      <c r="F1270" s="11" t="s">
        <v>18</v>
      </c>
      <c r="G1270" s="13"/>
      <c r="H1270" s="45" t="s">
        <v>16</v>
      </c>
      <c r="I1270" s="47"/>
      <c r="J1270" s="12" t="s">
        <v>5331</v>
      </c>
      <c r="K1270" s="13" t="s">
        <v>8070</v>
      </c>
      <c r="L1270" s="99" t="str">
        <f t="shared" si="82"/>
        <v>W224C.3</v>
      </c>
      <c r="M1270" s="13" t="s">
        <v>17</v>
      </c>
      <c r="N1270" s="13"/>
      <c r="O1270" s="13"/>
      <c r="P1270" s="47"/>
      <c r="Q1270" s="45" t="s">
        <v>3672</v>
      </c>
      <c r="R1270" s="45" t="s">
        <v>5596</v>
      </c>
      <c r="S1270" s="48"/>
      <c r="T1270" s="49" t="str">
        <f t="shared" si="83"/>
        <v>[W224C.3]</v>
      </c>
      <c r="U1270" s="12" t="str">
        <f t="shared" si="84"/>
        <v xml:space="preserve"> 시밍#2 지그센터링 L 클램프 전진/후진 센서이상</v>
      </c>
      <c r="V1270" s="49" t="str">
        <f t="shared" si="85"/>
        <v>[W224C.3] 시밍#2 지그센터링 L 클램프 전진/후진 센서이상</v>
      </c>
    </row>
    <row r="1271" spans="1:22" s="49" customFormat="1" ht="14.15" customHeight="1">
      <c r="A1271" s="43" t="s">
        <v>5599</v>
      </c>
      <c r="B1271" s="44" t="s">
        <v>157</v>
      </c>
      <c r="C1271" s="50"/>
      <c r="D1271" s="10" t="s">
        <v>29</v>
      </c>
      <c r="E1271" s="11"/>
      <c r="F1271" s="11" t="s">
        <v>18</v>
      </c>
      <c r="G1271" s="13"/>
      <c r="H1271" s="45" t="s">
        <v>16</v>
      </c>
      <c r="I1271" s="47"/>
      <c r="J1271" s="12" t="s">
        <v>5332</v>
      </c>
      <c r="K1271" s="13" t="s">
        <v>8071</v>
      </c>
      <c r="L1271" s="99" t="str">
        <f t="shared" si="82"/>
        <v>W224C.4</v>
      </c>
      <c r="M1271" s="13" t="s">
        <v>17</v>
      </c>
      <c r="N1271" s="13"/>
      <c r="O1271" s="13"/>
      <c r="P1271" s="47"/>
      <c r="Q1271" s="45" t="s">
        <v>3672</v>
      </c>
      <c r="R1271" s="45" t="s">
        <v>5596</v>
      </c>
      <c r="S1271" s="48"/>
      <c r="T1271" s="49" t="str">
        <f t="shared" si="83"/>
        <v>[W224C.4]</v>
      </c>
      <c r="U1271" s="12" t="str">
        <f t="shared" si="84"/>
        <v xml:space="preserve"> 시밍#2 헤드하부 진공흡착 시간초과</v>
      </c>
      <c r="V1271" s="49" t="str">
        <f t="shared" si="85"/>
        <v>[W224C.4] 시밍#2 헤드하부 진공흡착 시간초과</v>
      </c>
    </row>
    <row r="1272" spans="1:22" s="49" customFormat="1" ht="14.15" customHeight="1">
      <c r="A1272" s="43" t="s">
        <v>5599</v>
      </c>
      <c r="B1272" s="44" t="s">
        <v>157</v>
      </c>
      <c r="C1272" s="50"/>
      <c r="D1272" s="10" t="s">
        <v>29</v>
      </c>
      <c r="E1272" s="11"/>
      <c r="F1272" s="11" t="s">
        <v>18</v>
      </c>
      <c r="G1272" s="13"/>
      <c r="H1272" s="45" t="s">
        <v>16</v>
      </c>
      <c r="I1272" s="47"/>
      <c r="J1272" s="12" t="s">
        <v>5333</v>
      </c>
      <c r="K1272" s="13" t="s">
        <v>8072</v>
      </c>
      <c r="L1272" s="99" t="str">
        <f t="shared" si="82"/>
        <v>W224C.5</v>
      </c>
      <c r="M1272" s="13" t="s">
        <v>17</v>
      </c>
      <c r="N1272" s="13"/>
      <c r="O1272" s="13"/>
      <c r="P1272" s="47"/>
      <c r="Q1272" s="45" t="s">
        <v>3672</v>
      </c>
      <c r="R1272" s="45" t="s">
        <v>5596</v>
      </c>
      <c r="S1272" s="48"/>
      <c r="T1272" s="49" t="str">
        <f t="shared" si="83"/>
        <v>[W224C.5]</v>
      </c>
      <c r="U1272" s="12" t="str">
        <f t="shared" si="84"/>
        <v xml:space="preserve"> 시밍#2 헤드하부 진공파기 시간초과</v>
      </c>
      <c r="V1272" s="49" t="str">
        <f t="shared" si="85"/>
        <v>[W224C.5] 시밍#2 헤드하부 진공파기 시간초과</v>
      </c>
    </row>
    <row r="1273" spans="1:22" s="49" customFormat="1" ht="14.15" customHeight="1">
      <c r="A1273" s="43" t="s">
        <v>5599</v>
      </c>
      <c r="B1273" s="44" t="s">
        <v>157</v>
      </c>
      <c r="C1273" s="50"/>
      <c r="D1273" s="10" t="s">
        <v>29</v>
      </c>
      <c r="E1273" s="11"/>
      <c r="F1273" s="11" t="s">
        <v>18</v>
      </c>
      <c r="G1273" s="13"/>
      <c r="H1273" s="45" t="s">
        <v>16</v>
      </c>
      <c r="I1273" s="47"/>
      <c r="J1273" s="12" t="s">
        <v>5334</v>
      </c>
      <c r="K1273" s="13" t="s">
        <v>8073</v>
      </c>
      <c r="L1273" s="99" t="str">
        <f t="shared" si="82"/>
        <v>W224C.6</v>
      </c>
      <c r="M1273" s="13" t="s">
        <v>17</v>
      </c>
      <c r="N1273" s="13"/>
      <c r="O1273" s="13"/>
      <c r="P1273" s="47"/>
      <c r="Q1273" s="45" t="s">
        <v>3672</v>
      </c>
      <c r="R1273" s="45" t="s">
        <v>5596</v>
      </c>
      <c r="S1273" s="48"/>
      <c r="T1273" s="49" t="str">
        <f t="shared" si="83"/>
        <v>[W224C.6]</v>
      </c>
      <c r="U1273" s="12" t="str">
        <f t="shared" si="84"/>
        <v xml:space="preserve"> 시밍#2 헤드상부 진공흡착 시간초과</v>
      </c>
      <c r="V1273" s="49" t="str">
        <f t="shared" si="85"/>
        <v>[W224C.6] 시밍#2 헤드상부 진공흡착 시간초과</v>
      </c>
    </row>
    <row r="1274" spans="1:22" s="49" customFormat="1" ht="14.15" customHeight="1">
      <c r="A1274" s="43" t="s">
        <v>5599</v>
      </c>
      <c r="B1274" s="44" t="s">
        <v>157</v>
      </c>
      <c r="C1274" s="50"/>
      <c r="D1274" s="10" t="s">
        <v>29</v>
      </c>
      <c r="E1274" s="11"/>
      <c r="F1274" s="11" t="s">
        <v>18</v>
      </c>
      <c r="G1274" s="13"/>
      <c r="H1274" s="45" t="s">
        <v>16</v>
      </c>
      <c r="I1274" s="47"/>
      <c r="J1274" s="12" t="s">
        <v>5335</v>
      </c>
      <c r="K1274" s="13" t="s">
        <v>8074</v>
      </c>
      <c r="L1274" s="99" t="str">
        <f t="shared" si="82"/>
        <v>W224C.7</v>
      </c>
      <c r="M1274" s="13" t="s">
        <v>17</v>
      </c>
      <c r="N1274" s="13"/>
      <c r="O1274" s="13"/>
      <c r="P1274" s="47"/>
      <c r="Q1274" s="45" t="s">
        <v>3672</v>
      </c>
      <c r="R1274" s="45" t="s">
        <v>5596</v>
      </c>
      <c r="S1274" s="48"/>
      <c r="T1274" s="49" t="str">
        <f t="shared" si="83"/>
        <v>[W224C.7]</v>
      </c>
      <c r="U1274" s="12" t="str">
        <f t="shared" si="84"/>
        <v xml:space="preserve"> 시밍#2 헤드상부 진공파기 시간초과</v>
      </c>
      <c r="V1274" s="49" t="str">
        <f t="shared" si="85"/>
        <v>[W224C.7] 시밍#2 헤드상부 진공파기 시간초과</v>
      </c>
    </row>
    <row r="1275" spans="1:22" s="49" customFormat="1" ht="14.15" customHeight="1">
      <c r="A1275" s="43" t="s">
        <v>5599</v>
      </c>
      <c r="B1275" s="44" t="s">
        <v>157</v>
      </c>
      <c r="C1275" s="50"/>
      <c r="D1275" s="10" t="s">
        <v>29</v>
      </c>
      <c r="E1275" s="11"/>
      <c r="F1275" s="11" t="s">
        <v>18</v>
      </c>
      <c r="G1275" s="13"/>
      <c r="H1275" s="45" t="s">
        <v>16</v>
      </c>
      <c r="I1275" s="47"/>
      <c r="J1275" s="12" t="s">
        <v>5336</v>
      </c>
      <c r="K1275" s="13" t="s">
        <v>8075</v>
      </c>
      <c r="L1275" s="99" t="str">
        <f t="shared" si="82"/>
        <v>W224C.8</v>
      </c>
      <c r="M1275" s="13" t="s">
        <v>17</v>
      </c>
      <c r="N1275" s="13"/>
      <c r="O1275" s="13"/>
      <c r="P1275" s="47"/>
      <c r="Q1275" s="45" t="s">
        <v>3672</v>
      </c>
      <c r="R1275" s="45" t="s">
        <v>5596</v>
      </c>
      <c r="S1275" s="48"/>
      <c r="T1275" s="49" t="str">
        <f t="shared" si="83"/>
        <v>[W224C.8]</v>
      </c>
      <c r="U1275" s="12" t="str">
        <f t="shared" si="84"/>
        <v xml:space="preserve"> 시밍#2 센터RH 진공흡착 시간초과</v>
      </c>
      <c r="V1275" s="49" t="str">
        <f t="shared" si="85"/>
        <v>[W224C.8] 시밍#2 센터RH 진공흡착 시간초과</v>
      </c>
    </row>
    <row r="1276" spans="1:22" s="49" customFormat="1" ht="14.15" customHeight="1">
      <c r="A1276" s="43" t="s">
        <v>5599</v>
      </c>
      <c r="B1276" s="44" t="s">
        <v>157</v>
      </c>
      <c r="C1276" s="50"/>
      <c r="D1276" s="10" t="s">
        <v>29</v>
      </c>
      <c r="E1276" s="11"/>
      <c r="F1276" s="11" t="s">
        <v>18</v>
      </c>
      <c r="G1276" s="13"/>
      <c r="H1276" s="45" t="s">
        <v>16</v>
      </c>
      <c r="I1276" s="47"/>
      <c r="J1276" s="12" t="s">
        <v>5337</v>
      </c>
      <c r="K1276" s="13" t="s">
        <v>8076</v>
      </c>
      <c r="L1276" s="99" t="str">
        <f t="shared" si="82"/>
        <v>W224C.9</v>
      </c>
      <c r="M1276" s="13" t="s">
        <v>17</v>
      </c>
      <c r="N1276" s="13"/>
      <c r="O1276" s="13"/>
      <c r="P1276" s="47"/>
      <c r="Q1276" s="45" t="s">
        <v>3672</v>
      </c>
      <c r="R1276" s="45" t="s">
        <v>5596</v>
      </c>
      <c r="S1276" s="48"/>
      <c r="T1276" s="49" t="str">
        <f t="shared" si="83"/>
        <v>[W224C.9]</v>
      </c>
      <c r="U1276" s="12" t="str">
        <f t="shared" si="84"/>
        <v xml:space="preserve"> 시밍#2 센터RH 진공파기 시간초과</v>
      </c>
      <c r="V1276" s="49" t="str">
        <f t="shared" si="85"/>
        <v>[W224C.9] 시밍#2 센터RH 진공파기 시간초과</v>
      </c>
    </row>
    <row r="1277" spans="1:22" s="49" customFormat="1" ht="14.15" customHeight="1">
      <c r="A1277" s="43" t="s">
        <v>5599</v>
      </c>
      <c r="B1277" s="44" t="s">
        <v>157</v>
      </c>
      <c r="C1277" s="50"/>
      <c r="D1277" s="10" t="s">
        <v>29</v>
      </c>
      <c r="E1277" s="11"/>
      <c r="F1277" s="11" t="s">
        <v>18</v>
      </c>
      <c r="G1277" s="13"/>
      <c r="H1277" s="45" t="s">
        <v>16</v>
      </c>
      <c r="I1277" s="47"/>
      <c r="J1277" s="12" t="s">
        <v>5338</v>
      </c>
      <c r="K1277" s="13" t="s">
        <v>8077</v>
      </c>
      <c r="L1277" s="99" t="str">
        <f t="shared" si="82"/>
        <v>W224C.A</v>
      </c>
      <c r="M1277" s="13" t="s">
        <v>17</v>
      </c>
      <c r="N1277" s="13"/>
      <c r="O1277" s="13"/>
      <c r="P1277" s="47"/>
      <c r="Q1277" s="45" t="s">
        <v>3672</v>
      </c>
      <c r="R1277" s="45" t="s">
        <v>5596</v>
      </c>
      <c r="S1277" s="48"/>
      <c r="T1277" s="49" t="str">
        <f t="shared" si="83"/>
        <v>[W224C.A]</v>
      </c>
      <c r="U1277" s="12" t="str">
        <f t="shared" si="84"/>
        <v xml:space="preserve"> 시밍#2 센터상부 진공흡착 시간초과</v>
      </c>
      <c r="V1277" s="49" t="str">
        <f t="shared" si="85"/>
        <v>[W224C.A] 시밍#2 센터상부 진공흡착 시간초과</v>
      </c>
    </row>
    <row r="1278" spans="1:22" s="49" customFormat="1" ht="14.15" customHeight="1">
      <c r="A1278" s="43" t="s">
        <v>5599</v>
      </c>
      <c r="B1278" s="44" t="s">
        <v>157</v>
      </c>
      <c r="C1278" s="50"/>
      <c r="D1278" s="10" t="s">
        <v>29</v>
      </c>
      <c r="E1278" s="11"/>
      <c r="F1278" s="11" t="s">
        <v>18</v>
      </c>
      <c r="G1278" s="13"/>
      <c r="H1278" s="45" t="s">
        <v>16</v>
      </c>
      <c r="I1278" s="47"/>
      <c r="J1278" s="12" t="s">
        <v>5339</v>
      </c>
      <c r="K1278" s="13" t="s">
        <v>8078</v>
      </c>
      <c r="L1278" s="99" t="str">
        <f t="shared" si="82"/>
        <v>W224C.B</v>
      </c>
      <c r="M1278" s="13" t="s">
        <v>17</v>
      </c>
      <c r="N1278" s="13"/>
      <c r="O1278" s="13"/>
      <c r="P1278" s="47"/>
      <c r="Q1278" s="45" t="s">
        <v>3672</v>
      </c>
      <c r="R1278" s="45" t="s">
        <v>5596</v>
      </c>
      <c r="S1278" s="48"/>
      <c r="T1278" s="49" t="str">
        <f t="shared" si="83"/>
        <v>[W224C.B]</v>
      </c>
      <c r="U1278" s="12" t="str">
        <f t="shared" si="84"/>
        <v xml:space="preserve"> 시밍#2 센터상부 진공파기 시간초과</v>
      </c>
      <c r="V1278" s="49" t="str">
        <f t="shared" si="85"/>
        <v>[W224C.B] 시밍#2 센터상부 진공파기 시간초과</v>
      </c>
    </row>
    <row r="1279" spans="1:22" s="49" customFormat="1" ht="14.15" customHeight="1">
      <c r="A1279" s="43" t="s">
        <v>5599</v>
      </c>
      <c r="B1279" s="44" t="s">
        <v>157</v>
      </c>
      <c r="C1279" s="50"/>
      <c r="D1279" s="10" t="s">
        <v>29</v>
      </c>
      <c r="E1279" s="11"/>
      <c r="F1279" s="11" t="s">
        <v>18</v>
      </c>
      <c r="G1279" s="13"/>
      <c r="H1279" s="45" t="s">
        <v>16</v>
      </c>
      <c r="I1279" s="47"/>
      <c r="J1279" s="12" t="s">
        <v>5340</v>
      </c>
      <c r="K1279" s="13" t="s">
        <v>8079</v>
      </c>
      <c r="L1279" s="99" t="str">
        <f t="shared" si="82"/>
        <v>W224C.C</v>
      </c>
      <c r="M1279" s="13" t="s">
        <v>17</v>
      </c>
      <c r="N1279" s="13"/>
      <c r="O1279" s="13"/>
      <c r="P1279" s="47"/>
      <c r="Q1279" s="45" t="s">
        <v>3672</v>
      </c>
      <c r="R1279" s="45" t="s">
        <v>5596</v>
      </c>
      <c r="S1279" s="48"/>
      <c r="T1279" s="49" t="str">
        <f t="shared" si="83"/>
        <v>[W224C.C]</v>
      </c>
      <c r="U1279" s="12" t="str">
        <f t="shared" si="84"/>
        <v xml:space="preserve"> 시밍#2 센터LH 진공흡착 시간초과</v>
      </c>
      <c r="V1279" s="49" t="str">
        <f t="shared" si="85"/>
        <v>[W224C.C] 시밍#2 센터LH 진공흡착 시간초과</v>
      </c>
    </row>
    <row r="1280" spans="1:22" s="49" customFormat="1" ht="14.15" customHeight="1">
      <c r="A1280" s="43"/>
      <c r="B1280" s="44" t="s">
        <v>157</v>
      </c>
      <c r="C1280" s="50"/>
      <c r="D1280" s="10" t="s">
        <v>29</v>
      </c>
      <c r="E1280" s="11"/>
      <c r="F1280" s="11" t="s">
        <v>18</v>
      </c>
      <c r="G1280" s="13"/>
      <c r="H1280" s="45" t="s">
        <v>16</v>
      </c>
      <c r="I1280" s="47"/>
      <c r="J1280" s="12" t="s">
        <v>5341</v>
      </c>
      <c r="K1280" s="13" t="s">
        <v>8080</v>
      </c>
      <c r="L1280" s="99" t="str">
        <f t="shared" si="82"/>
        <v>W224C.D</v>
      </c>
      <c r="M1280" s="13" t="s">
        <v>17</v>
      </c>
      <c r="N1280" s="13"/>
      <c r="O1280" s="13"/>
      <c r="P1280" s="47"/>
      <c r="Q1280" s="45" t="s">
        <v>3672</v>
      </c>
      <c r="R1280" s="45" t="s">
        <v>5596</v>
      </c>
      <c r="S1280" s="48"/>
      <c r="T1280" s="49" t="str">
        <f t="shared" si="83"/>
        <v>[W224C.D]</v>
      </c>
      <c r="U1280" s="12" t="str">
        <f t="shared" si="84"/>
        <v xml:space="preserve"> 시밍#2 센터LH 진공파기 시간초과</v>
      </c>
      <c r="V1280" s="49" t="str">
        <f t="shared" si="85"/>
        <v>[W224C.D] 시밍#2 센터LH 진공파기 시간초과</v>
      </c>
    </row>
    <row r="1281" spans="1:22" s="49" customFormat="1" ht="14.15" customHeight="1">
      <c r="A1281" s="43"/>
      <c r="B1281" s="44" t="s">
        <v>157</v>
      </c>
      <c r="C1281" s="50"/>
      <c r="D1281" s="10" t="s">
        <v>29</v>
      </c>
      <c r="E1281" s="11"/>
      <c r="F1281" s="11" t="s">
        <v>18</v>
      </c>
      <c r="G1281" s="13"/>
      <c r="H1281" s="45" t="s">
        <v>16</v>
      </c>
      <c r="I1281" s="47"/>
      <c r="J1281" s="12" t="s">
        <v>4191</v>
      </c>
      <c r="K1281" s="13" t="s">
        <v>8081</v>
      </c>
      <c r="L1281" s="99" t="str">
        <f t="shared" si="82"/>
        <v>W224C.E</v>
      </c>
      <c r="M1281" s="13"/>
      <c r="N1281" s="13"/>
      <c r="O1281" s="13"/>
      <c r="P1281" s="47"/>
      <c r="Q1281" s="45"/>
      <c r="R1281" s="45"/>
      <c r="S1281" s="48"/>
      <c r="T1281" s="49" t="str">
        <f t="shared" si="83"/>
        <v>[W224C.E]</v>
      </c>
      <c r="U1281" s="12" t="str">
        <f t="shared" si="84"/>
        <v/>
      </c>
      <c r="V1281" s="49" t="str">
        <f t="shared" si="85"/>
        <v>[W224C.E]</v>
      </c>
    </row>
    <row r="1282" spans="1:22" s="49" customFormat="1" ht="14.15" customHeight="1">
      <c r="A1282" s="43"/>
      <c r="B1282" s="44" t="s">
        <v>157</v>
      </c>
      <c r="C1282" s="50"/>
      <c r="D1282" s="10" t="s">
        <v>29</v>
      </c>
      <c r="E1282" s="11"/>
      <c r="F1282" s="11" t="s">
        <v>18</v>
      </c>
      <c r="G1282" s="13"/>
      <c r="H1282" s="45" t="s">
        <v>16</v>
      </c>
      <c r="I1282" s="47"/>
      <c r="J1282" s="12" t="s">
        <v>4192</v>
      </c>
      <c r="K1282" s="13" t="s">
        <v>8082</v>
      </c>
      <c r="L1282" s="99" t="str">
        <f t="shared" si="82"/>
        <v>W224C.F</v>
      </c>
      <c r="M1282" s="13"/>
      <c r="N1282" s="13"/>
      <c r="O1282" s="13"/>
      <c r="P1282" s="47"/>
      <c r="Q1282" s="45"/>
      <c r="R1282" s="45"/>
      <c r="S1282" s="48"/>
      <c r="T1282" s="49" t="str">
        <f t="shared" si="83"/>
        <v>[W224C.F]</v>
      </c>
      <c r="U1282" s="12" t="str">
        <f t="shared" si="84"/>
        <v/>
      </c>
      <c r="V1282" s="49" t="str">
        <f t="shared" si="85"/>
        <v>[W224C.F]</v>
      </c>
    </row>
    <row r="1283" spans="1:22" s="49" customFormat="1" ht="14.15" customHeight="1">
      <c r="A1283" s="43"/>
      <c r="B1283" s="44" t="s">
        <v>157</v>
      </c>
      <c r="C1283" s="50"/>
      <c r="D1283" s="10" t="s">
        <v>29</v>
      </c>
      <c r="E1283" s="11"/>
      <c r="F1283" s="11" t="s">
        <v>18</v>
      </c>
      <c r="G1283" s="13"/>
      <c r="H1283" s="45" t="s">
        <v>16</v>
      </c>
      <c r="I1283" s="47"/>
      <c r="J1283" s="12" t="s">
        <v>4193</v>
      </c>
      <c r="K1283" s="13" t="s">
        <v>8083</v>
      </c>
      <c r="L1283" s="99" t="str">
        <f t="shared" si="82"/>
        <v>W224D.0</v>
      </c>
      <c r="M1283" s="13"/>
      <c r="N1283" s="13"/>
      <c r="O1283" s="56"/>
      <c r="P1283" s="47"/>
      <c r="Q1283" s="45"/>
      <c r="R1283" s="45"/>
      <c r="S1283" s="48"/>
      <c r="T1283" s="49" t="str">
        <f t="shared" si="83"/>
        <v>[W224D.0]</v>
      </c>
      <c r="U1283" s="12" t="str">
        <f>RIGHT(J1283,LEN(J1283)-6)</f>
        <v>]</v>
      </c>
      <c r="V1283" s="49" t="str">
        <f t="shared" si="85"/>
        <v>[W224D.0]]</v>
      </c>
    </row>
    <row r="1284" spans="1:22" s="49" customFormat="1" ht="14.15" customHeight="1">
      <c r="A1284" s="43"/>
      <c r="B1284" s="44" t="s">
        <v>157</v>
      </c>
      <c r="C1284" s="50"/>
      <c r="D1284" s="10" t="s">
        <v>29</v>
      </c>
      <c r="E1284" s="11"/>
      <c r="F1284" s="11" t="s">
        <v>18</v>
      </c>
      <c r="G1284" s="13"/>
      <c r="H1284" s="45" t="s">
        <v>16</v>
      </c>
      <c r="I1284" s="47"/>
      <c r="J1284" s="12" t="s">
        <v>4194</v>
      </c>
      <c r="K1284" s="13" t="s">
        <v>8084</v>
      </c>
      <c r="L1284" s="99" t="str">
        <f t="shared" si="82"/>
        <v>W224D.1</v>
      </c>
      <c r="M1284" s="13"/>
      <c r="N1284" s="13"/>
      <c r="O1284" s="56"/>
      <c r="P1284" s="47"/>
      <c r="Q1284" s="45"/>
      <c r="R1284" s="45"/>
      <c r="S1284" s="48"/>
      <c r="T1284" s="49" t="str">
        <f t="shared" si="83"/>
        <v>[W224D.1]</v>
      </c>
      <c r="U1284" s="12" t="str">
        <f t="shared" ref="U1284:U1347" si="86">RIGHT(J1284,LEN(J1284)-6)</f>
        <v>]</v>
      </c>
      <c r="V1284" s="49" t="str">
        <f t="shared" si="85"/>
        <v>[W224D.1]]</v>
      </c>
    </row>
    <row r="1285" spans="1:22" s="49" customFormat="1" ht="14.15" customHeight="1">
      <c r="A1285" s="43"/>
      <c r="B1285" s="44" t="s">
        <v>157</v>
      </c>
      <c r="C1285" s="50"/>
      <c r="D1285" s="10" t="s">
        <v>29</v>
      </c>
      <c r="E1285" s="11"/>
      <c r="F1285" s="11" t="s">
        <v>18</v>
      </c>
      <c r="G1285" s="13"/>
      <c r="H1285" s="45" t="s">
        <v>16</v>
      </c>
      <c r="I1285" s="47"/>
      <c r="J1285" s="12" t="s">
        <v>4195</v>
      </c>
      <c r="K1285" s="13" t="s">
        <v>8085</v>
      </c>
      <c r="L1285" s="99" t="str">
        <f t="shared" si="82"/>
        <v>W224D.2</v>
      </c>
      <c r="M1285" s="13"/>
      <c r="N1285" s="13"/>
      <c r="O1285" s="56"/>
      <c r="P1285" s="47"/>
      <c r="Q1285" s="45"/>
      <c r="R1285" s="45"/>
      <c r="S1285" s="48"/>
      <c r="T1285" s="49" t="str">
        <f t="shared" si="83"/>
        <v>[W224D.2]</v>
      </c>
      <c r="U1285" s="12" t="str">
        <f t="shared" si="86"/>
        <v>]</v>
      </c>
      <c r="V1285" s="49" t="str">
        <f t="shared" si="85"/>
        <v>[W224D.2]]</v>
      </c>
    </row>
    <row r="1286" spans="1:22" s="49" customFormat="1" ht="14.15" customHeight="1">
      <c r="A1286" s="43"/>
      <c r="B1286" s="44" t="s">
        <v>157</v>
      </c>
      <c r="C1286" s="50"/>
      <c r="D1286" s="10" t="s">
        <v>29</v>
      </c>
      <c r="E1286" s="11"/>
      <c r="F1286" s="11" t="s">
        <v>18</v>
      </c>
      <c r="G1286" s="13"/>
      <c r="H1286" s="45" t="s">
        <v>16</v>
      </c>
      <c r="I1286" s="47"/>
      <c r="J1286" s="12" t="s">
        <v>4196</v>
      </c>
      <c r="K1286" s="13" t="s">
        <v>8086</v>
      </c>
      <c r="L1286" s="99" t="str">
        <f t="shared" si="82"/>
        <v>W224D.3</v>
      </c>
      <c r="M1286" s="13"/>
      <c r="N1286" s="13"/>
      <c r="O1286" s="56"/>
      <c r="P1286" s="47"/>
      <c r="Q1286" s="45"/>
      <c r="R1286" s="45"/>
      <c r="S1286" s="48"/>
      <c r="T1286" s="49" t="str">
        <f t="shared" si="83"/>
        <v>[W224D.3]</v>
      </c>
      <c r="U1286" s="12" t="str">
        <f t="shared" si="86"/>
        <v>]</v>
      </c>
      <c r="V1286" s="49" t="str">
        <f t="shared" si="85"/>
        <v>[W224D.3]]</v>
      </c>
    </row>
    <row r="1287" spans="1:22" s="49" customFormat="1" ht="14.15" customHeight="1">
      <c r="A1287" s="43"/>
      <c r="B1287" s="44" t="s">
        <v>157</v>
      </c>
      <c r="C1287" s="50"/>
      <c r="D1287" s="10" t="s">
        <v>29</v>
      </c>
      <c r="E1287" s="11"/>
      <c r="F1287" s="11" t="s">
        <v>18</v>
      </c>
      <c r="G1287" s="13"/>
      <c r="H1287" s="45" t="s">
        <v>16</v>
      </c>
      <c r="I1287" s="47"/>
      <c r="J1287" s="12" t="s">
        <v>4197</v>
      </c>
      <c r="K1287" s="13" t="s">
        <v>8087</v>
      </c>
      <c r="L1287" s="99" t="str">
        <f t="shared" si="82"/>
        <v>W224D.4</v>
      </c>
      <c r="M1287" s="13"/>
      <c r="N1287" s="13"/>
      <c r="O1287" s="56"/>
      <c r="P1287" s="47"/>
      <c r="Q1287" s="45"/>
      <c r="R1287" s="45"/>
      <c r="S1287" s="48"/>
      <c r="T1287" s="49" t="str">
        <f t="shared" si="83"/>
        <v>[W224D.4]</v>
      </c>
      <c r="U1287" s="12" t="str">
        <f t="shared" si="86"/>
        <v>]</v>
      </c>
      <c r="V1287" s="49" t="str">
        <f t="shared" si="85"/>
        <v>[W224D.4]]</v>
      </c>
    </row>
    <row r="1288" spans="1:22" s="49" customFormat="1" ht="14.15" customHeight="1">
      <c r="A1288" s="43"/>
      <c r="B1288" s="44" t="s">
        <v>157</v>
      </c>
      <c r="C1288" s="50"/>
      <c r="D1288" s="10" t="s">
        <v>29</v>
      </c>
      <c r="E1288" s="11"/>
      <c r="F1288" s="11" t="s">
        <v>18</v>
      </c>
      <c r="G1288" s="13"/>
      <c r="H1288" s="45" t="s">
        <v>16</v>
      </c>
      <c r="I1288" s="47"/>
      <c r="J1288" s="12" t="s">
        <v>4198</v>
      </c>
      <c r="K1288" s="13" t="s">
        <v>8088</v>
      </c>
      <c r="L1288" s="99" t="str">
        <f t="shared" si="82"/>
        <v>W224D.5</v>
      </c>
      <c r="M1288" s="13"/>
      <c r="N1288" s="13"/>
      <c r="O1288" s="56"/>
      <c r="P1288" s="47"/>
      <c r="Q1288" s="45"/>
      <c r="R1288" s="45"/>
      <c r="S1288" s="48"/>
      <c r="T1288" s="49" t="str">
        <f t="shared" si="83"/>
        <v>[W224D.5]</v>
      </c>
      <c r="U1288" s="12" t="str">
        <f t="shared" si="86"/>
        <v>]</v>
      </c>
      <c r="V1288" s="49" t="str">
        <f t="shared" si="85"/>
        <v>[W224D.5]]</v>
      </c>
    </row>
    <row r="1289" spans="1:22" s="49" customFormat="1" ht="14.15" customHeight="1">
      <c r="A1289" s="43"/>
      <c r="B1289" s="44" t="s">
        <v>157</v>
      </c>
      <c r="C1289" s="50"/>
      <c r="D1289" s="10" t="s">
        <v>29</v>
      </c>
      <c r="E1289" s="11"/>
      <c r="F1289" s="11" t="s">
        <v>18</v>
      </c>
      <c r="G1289" s="13"/>
      <c r="H1289" s="45" t="s">
        <v>16</v>
      </c>
      <c r="I1289" s="47"/>
      <c r="J1289" s="12" t="s">
        <v>4199</v>
      </c>
      <c r="K1289" s="13" t="s">
        <v>8089</v>
      </c>
      <c r="L1289" s="99" t="str">
        <f t="shared" si="82"/>
        <v>W224D.6</v>
      </c>
      <c r="M1289" s="13"/>
      <c r="N1289" s="13"/>
      <c r="O1289" s="56"/>
      <c r="P1289" s="47"/>
      <c r="Q1289" s="45"/>
      <c r="R1289" s="45"/>
      <c r="S1289" s="48"/>
      <c r="T1289" s="49" t="str">
        <f t="shared" si="83"/>
        <v>[W224D.6]</v>
      </c>
      <c r="U1289" s="12" t="str">
        <f t="shared" si="86"/>
        <v>]</v>
      </c>
      <c r="V1289" s="49" t="str">
        <f t="shared" si="85"/>
        <v>[W224D.6]]</v>
      </c>
    </row>
    <row r="1290" spans="1:22" s="49" customFormat="1" ht="14.15" customHeight="1">
      <c r="A1290" s="43" t="s">
        <v>5600</v>
      </c>
      <c r="B1290" s="44" t="s">
        <v>157</v>
      </c>
      <c r="C1290" s="50"/>
      <c r="D1290" s="10" t="s">
        <v>29</v>
      </c>
      <c r="E1290" s="11"/>
      <c r="F1290" s="11" t="s">
        <v>18</v>
      </c>
      <c r="G1290" s="13"/>
      <c r="H1290" s="45" t="s">
        <v>16</v>
      </c>
      <c r="I1290" s="47"/>
      <c r="J1290" s="12" t="s">
        <v>5346</v>
      </c>
      <c r="K1290" s="13" t="s">
        <v>8090</v>
      </c>
      <c r="L1290" s="99" t="str">
        <f t="shared" si="82"/>
        <v>W224D.7</v>
      </c>
      <c r="M1290" s="13" t="s">
        <v>17</v>
      </c>
      <c r="N1290" s="13"/>
      <c r="O1290" s="56"/>
      <c r="P1290" s="47"/>
      <c r="Q1290" s="45" t="s">
        <v>142</v>
      </c>
      <c r="R1290" s="45" t="s">
        <v>5596</v>
      </c>
      <c r="S1290" s="48"/>
      <c r="T1290" s="49" t="str">
        <f t="shared" si="83"/>
        <v>[W224D.7]</v>
      </c>
      <c r="U1290" s="12" t="str">
        <f t="shared" si="86"/>
        <v>] 플랜징#2 제품 클램프-1 전진 시간초과</v>
      </c>
      <c r="V1290" s="49" t="str">
        <f t="shared" si="85"/>
        <v>[W224D.7]] 플랜징#2 제품 클램프-1 전진 시간초과</v>
      </c>
    </row>
    <row r="1291" spans="1:22" s="49" customFormat="1" ht="14.15" customHeight="1">
      <c r="A1291" s="43" t="s">
        <v>5600</v>
      </c>
      <c r="B1291" s="44" t="s">
        <v>157</v>
      </c>
      <c r="C1291" s="50"/>
      <c r="D1291" s="10" t="s">
        <v>29</v>
      </c>
      <c r="E1291" s="11"/>
      <c r="F1291" s="11" t="s">
        <v>18</v>
      </c>
      <c r="G1291" s="13"/>
      <c r="H1291" s="45" t="s">
        <v>16</v>
      </c>
      <c r="I1291" s="47"/>
      <c r="J1291" s="12" t="s">
        <v>5347</v>
      </c>
      <c r="K1291" s="13" t="s">
        <v>8091</v>
      </c>
      <c r="L1291" s="99" t="str">
        <f t="shared" si="82"/>
        <v>W224D.8</v>
      </c>
      <c r="M1291" s="13" t="s">
        <v>17</v>
      </c>
      <c r="N1291" s="13"/>
      <c r="O1291" s="56"/>
      <c r="P1291" s="47"/>
      <c r="Q1291" s="45" t="s">
        <v>142</v>
      </c>
      <c r="R1291" s="45" t="s">
        <v>5596</v>
      </c>
      <c r="S1291" s="48"/>
      <c r="T1291" s="49" t="str">
        <f t="shared" si="83"/>
        <v>[W224D.8]</v>
      </c>
      <c r="U1291" s="12" t="str">
        <f t="shared" si="86"/>
        <v>] 플랜징#2 제품 클램프-1 후진 시간초과</v>
      </c>
      <c r="V1291" s="49" t="str">
        <f t="shared" si="85"/>
        <v>[W224D.8]] 플랜징#2 제품 클램프-1 후진 시간초과</v>
      </c>
    </row>
    <row r="1292" spans="1:22" s="49" customFormat="1" ht="14.15" customHeight="1">
      <c r="A1292" s="43" t="s">
        <v>5600</v>
      </c>
      <c r="B1292" s="44" t="s">
        <v>157</v>
      </c>
      <c r="C1292" s="50"/>
      <c r="D1292" s="10" t="s">
        <v>29</v>
      </c>
      <c r="E1292" s="11"/>
      <c r="F1292" s="11" t="s">
        <v>18</v>
      </c>
      <c r="G1292" s="13"/>
      <c r="H1292" s="45" t="s">
        <v>16</v>
      </c>
      <c r="I1292" s="47"/>
      <c r="J1292" s="12" t="s">
        <v>5348</v>
      </c>
      <c r="K1292" s="13" t="s">
        <v>8092</v>
      </c>
      <c r="L1292" s="99" t="str">
        <f t="shared" si="82"/>
        <v>W224D.9</v>
      </c>
      <c r="M1292" s="13" t="s">
        <v>17</v>
      </c>
      <c r="N1292" s="13"/>
      <c r="O1292" s="57"/>
      <c r="P1292" s="47"/>
      <c r="Q1292" s="45" t="s">
        <v>142</v>
      </c>
      <c r="R1292" s="45" t="s">
        <v>5596</v>
      </c>
      <c r="S1292" s="48"/>
      <c r="T1292" s="49" t="str">
        <f t="shared" si="83"/>
        <v>[W224D.9]</v>
      </c>
      <c r="U1292" s="12" t="str">
        <f t="shared" si="86"/>
        <v>] 플랜징#2 제품 클램프-1 전진/후진 센서이상</v>
      </c>
      <c r="V1292" s="49" t="str">
        <f t="shared" si="85"/>
        <v>[W224D.9]] 플랜징#2 제품 클램프-1 전진/후진 센서이상</v>
      </c>
    </row>
    <row r="1293" spans="1:22" s="49" customFormat="1" ht="14.15" customHeight="1">
      <c r="A1293" s="43" t="s">
        <v>5600</v>
      </c>
      <c r="B1293" s="44" t="s">
        <v>157</v>
      </c>
      <c r="C1293" s="50"/>
      <c r="D1293" s="10" t="s">
        <v>29</v>
      </c>
      <c r="E1293" s="11"/>
      <c r="F1293" s="11" t="s">
        <v>18</v>
      </c>
      <c r="G1293" s="13"/>
      <c r="H1293" s="45" t="s">
        <v>16</v>
      </c>
      <c r="I1293" s="46"/>
      <c r="J1293" s="12" t="s">
        <v>5349</v>
      </c>
      <c r="K1293" s="13" t="s">
        <v>8093</v>
      </c>
      <c r="L1293" s="99" t="str">
        <f t="shared" si="82"/>
        <v>W224D.A</v>
      </c>
      <c r="M1293" s="13" t="s">
        <v>17</v>
      </c>
      <c r="N1293" s="13"/>
      <c r="O1293" s="57"/>
      <c r="P1293" s="47"/>
      <c r="Q1293" s="45" t="s">
        <v>142</v>
      </c>
      <c r="R1293" s="45" t="s">
        <v>5596</v>
      </c>
      <c r="S1293" s="48"/>
      <c r="T1293" s="49" t="str">
        <f t="shared" si="83"/>
        <v>[W224D.A]</v>
      </c>
      <c r="U1293" s="12" t="str">
        <f t="shared" si="86"/>
        <v>] 플랜징#2 제품 클램프-2 전진 시간초과</v>
      </c>
      <c r="V1293" s="49" t="str">
        <f t="shared" si="85"/>
        <v>[W224D.A]] 플랜징#2 제품 클램프-2 전진 시간초과</v>
      </c>
    </row>
    <row r="1294" spans="1:22" s="49" customFormat="1" ht="14.15" customHeight="1">
      <c r="A1294" s="43" t="s">
        <v>5600</v>
      </c>
      <c r="B1294" s="44" t="s">
        <v>157</v>
      </c>
      <c r="C1294" s="50"/>
      <c r="D1294" s="10" t="s">
        <v>29</v>
      </c>
      <c r="E1294" s="11"/>
      <c r="F1294" s="11" t="s">
        <v>18</v>
      </c>
      <c r="G1294" s="13"/>
      <c r="H1294" s="45" t="s">
        <v>16</v>
      </c>
      <c r="I1294" s="47"/>
      <c r="J1294" s="12" t="s">
        <v>5350</v>
      </c>
      <c r="K1294" s="13" t="s">
        <v>8094</v>
      </c>
      <c r="L1294" s="99" t="str">
        <f t="shared" si="82"/>
        <v>W224D.B</v>
      </c>
      <c r="M1294" s="13" t="s">
        <v>17</v>
      </c>
      <c r="N1294" s="13"/>
      <c r="O1294" s="57"/>
      <c r="P1294" s="47"/>
      <c r="Q1294" s="45" t="s">
        <v>142</v>
      </c>
      <c r="R1294" s="45" t="s">
        <v>5596</v>
      </c>
      <c r="S1294" s="48"/>
      <c r="T1294" s="49" t="str">
        <f t="shared" si="83"/>
        <v>[W224D.B]</v>
      </c>
      <c r="U1294" s="12" t="str">
        <f t="shared" si="86"/>
        <v>] 플랜징#2 제품 클램프-2 후진 시간초과</v>
      </c>
      <c r="V1294" s="49" t="str">
        <f t="shared" si="85"/>
        <v>[W224D.B]] 플랜징#2 제품 클램프-2 후진 시간초과</v>
      </c>
    </row>
    <row r="1295" spans="1:22" s="49" customFormat="1" ht="14.15" customHeight="1">
      <c r="A1295" s="43" t="s">
        <v>5600</v>
      </c>
      <c r="B1295" s="44" t="s">
        <v>157</v>
      </c>
      <c r="C1295" s="50"/>
      <c r="D1295" s="10" t="s">
        <v>29</v>
      </c>
      <c r="E1295" s="11"/>
      <c r="F1295" s="11" t="s">
        <v>18</v>
      </c>
      <c r="G1295" s="13"/>
      <c r="H1295" s="45" t="s">
        <v>16</v>
      </c>
      <c r="I1295" s="46"/>
      <c r="J1295" s="12" t="s">
        <v>5351</v>
      </c>
      <c r="K1295" s="13" t="s">
        <v>8095</v>
      </c>
      <c r="L1295" s="99" t="str">
        <f t="shared" si="82"/>
        <v>W224D.C</v>
      </c>
      <c r="M1295" s="13" t="s">
        <v>17</v>
      </c>
      <c r="N1295" s="13"/>
      <c r="O1295" s="57"/>
      <c r="P1295" s="47"/>
      <c r="Q1295" s="45" t="s">
        <v>142</v>
      </c>
      <c r="R1295" s="45" t="s">
        <v>5596</v>
      </c>
      <c r="S1295" s="48"/>
      <c r="T1295" s="49" t="str">
        <f t="shared" si="83"/>
        <v>[W224D.C]</v>
      </c>
      <c r="U1295" s="12" t="str">
        <f t="shared" si="86"/>
        <v>] 플랜징#2 제품 클램프-2 전진/후진 센서이상</v>
      </c>
      <c r="V1295" s="49" t="str">
        <f t="shared" si="85"/>
        <v>[W224D.C]] 플랜징#2 제품 클램프-2 전진/후진 센서이상</v>
      </c>
    </row>
    <row r="1296" spans="1:22" s="49" customFormat="1" ht="14.15" customHeight="1">
      <c r="A1296" s="43" t="s">
        <v>5600</v>
      </c>
      <c r="B1296" s="44" t="s">
        <v>157</v>
      </c>
      <c r="C1296" s="50"/>
      <c r="D1296" s="10" t="s">
        <v>29</v>
      </c>
      <c r="E1296" s="11"/>
      <c r="F1296" s="11" t="s">
        <v>18</v>
      </c>
      <c r="G1296" s="13"/>
      <c r="H1296" s="45" t="s">
        <v>16</v>
      </c>
      <c r="I1296" s="47"/>
      <c r="J1296" s="12" t="s">
        <v>5352</v>
      </c>
      <c r="K1296" s="13" t="s">
        <v>8096</v>
      </c>
      <c r="L1296" s="99" t="str">
        <f t="shared" si="82"/>
        <v>W224D.D</v>
      </c>
      <c r="M1296" s="13" t="s">
        <v>17</v>
      </c>
      <c r="N1296" s="13"/>
      <c r="O1296" s="13"/>
      <c r="P1296" s="47"/>
      <c r="Q1296" s="45" t="s">
        <v>142</v>
      </c>
      <c r="R1296" s="45" t="s">
        <v>5596</v>
      </c>
      <c r="S1296" s="48"/>
      <c r="U1296" s="12"/>
    </row>
    <row r="1297" spans="1:22" s="49" customFormat="1" ht="14.15" customHeight="1">
      <c r="A1297" s="43" t="s">
        <v>5600</v>
      </c>
      <c r="B1297" s="44" t="s">
        <v>157</v>
      </c>
      <c r="C1297" s="50"/>
      <c r="D1297" s="10" t="s">
        <v>29</v>
      </c>
      <c r="E1297" s="11"/>
      <c r="F1297" s="11" t="s">
        <v>18</v>
      </c>
      <c r="G1297" s="13"/>
      <c r="H1297" s="45" t="s">
        <v>16</v>
      </c>
      <c r="I1297" s="47"/>
      <c r="J1297" s="12" t="s">
        <v>5353</v>
      </c>
      <c r="K1297" s="13" t="s">
        <v>8097</v>
      </c>
      <c r="L1297" s="99" t="str">
        <f t="shared" si="82"/>
        <v>W224D.E</v>
      </c>
      <c r="M1297" s="13" t="s">
        <v>17</v>
      </c>
      <c r="N1297" s="13"/>
      <c r="O1297" s="13"/>
      <c r="P1297" s="47"/>
      <c r="Q1297" s="45" t="s">
        <v>142</v>
      </c>
      <c r="R1297" s="45" t="s">
        <v>5596</v>
      </c>
      <c r="S1297" s="48"/>
      <c r="U1297" s="12"/>
    </row>
    <row r="1298" spans="1:22" s="49" customFormat="1" ht="14.15" customHeight="1">
      <c r="A1298" s="43" t="s">
        <v>5600</v>
      </c>
      <c r="B1298" s="44" t="s">
        <v>157</v>
      </c>
      <c r="C1298" s="50"/>
      <c r="D1298" s="10" t="s">
        <v>29</v>
      </c>
      <c r="E1298" s="11"/>
      <c r="F1298" s="11" t="s">
        <v>18</v>
      </c>
      <c r="G1298" s="13"/>
      <c r="H1298" s="45" t="s">
        <v>16</v>
      </c>
      <c r="I1298" s="47"/>
      <c r="J1298" s="12" t="s">
        <v>5354</v>
      </c>
      <c r="K1298" s="13" t="s">
        <v>8098</v>
      </c>
      <c r="L1298" s="99" t="str">
        <f t="shared" si="82"/>
        <v>W224D.F</v>
      </c>
      <c r="M1298" s="13" t="s">
        <v>17</v>
      </c>
      <c r="N1298" s="13"/>
      <c r="O1298" s="13"/>
      <c r="P1298" s="47"/>
      <c r="Q1298" s="45" t="s">
        <v>142</v>
      </c>
      <c r="R1298" s="45" t="s">
        <v>5596</v>
      </c>
      <c r="S1298" s="48"/>
      <c r="U1298" s="12"/>
    </row>
    <row r="1299" spans="1:22" s="49" customFormat="1" ht="14.15" customHeight="1">
      <c r="A1299" s="43" t="s">
        <v>5600</v>
      </c>
      <c r="B1299" s="44" t="s">
        <v>157</v>
      </c>
      <c r="C1299" s="50"/>
      <c r="D1299" s="10" t="s">
        <v>29</v>
      </c>
      <c r="E1299" s="11"/>
      <c r="F1299" s="11" t="s">
        <v>18</v>
      </c>
      <c r="G1299" s="13"/>
      <c r="H1299" s="45" t="s">
        <v>16</v>
      </c>
      <c r="I1299" s="47"/>
      <c r="J1299" s="12" t="s">
        <v>5355</v>
      </c>
      <c r="K1299" s="13" t="s">
        <v>8099</v>
      </c>
      <c r="L1299" s="99" t="str">
        <f t="shared" si="82"/>
        <v>W224E.0</v>
      </c>
      <c r="M1299" s="13" t="s">
        <v>17</v>
      </c>
      <c r="N1299" s="13"/>
      <c r="O1299" s="13"/>
      <c r="P1299" s="47"/>
      <c r="Q1299" s="45" t="s">
        <v>142</v>
      </c>
      <c r="R1299" s="45" t="s">
        <v>5596</v>
      </c>
      <c r="S1299" s="48"/>
      <c r="U1299" s="12"/>
    </row>
    <row r="1300" spans="1:22" s="49" customFormat="1" ht="14.15" customHeight="1">
      <c r="A1300" s="43" t="s">
        <v>5600</v>
      </c>
      <c r="B1300" s="44" t="s">
        <v>157</v>
      </c>
      <c r="C1300" s="50"/>
      <c r="D1300" s="10" t="s">
        <v>29</v>
      </c>
      <c r="E1300" s="11"/>
      <c r="F1300" s="11" t="s">
        <v>18</v>
      </c>
      <c r="G1300" s="13"/>
      <c r="H1300" s="45" t="s">
        <v>16</v>
      </c>
      <c r="I1300" s="47"/>
      <c r="J1300" s="12" t="s">
        <v>5356</v>
      </c>
      <c r="K1300" s="13" t="s">
        <v>8100</v>
      </c>
      <c r="L1300" s="99" t="str">
        <f t="shared" si="82"/>
        <v>W224E.1</v>
      </c>
      <c r="M1300" s="13" t="s">
        <v>17</v>
      </c>
      <c r="N1300" s="13"/>
      <c r="O1300" s="13"/>
      <c r="P1300" s="47"/>
      <c r="Q1300" s="45" t="s">
        <v>142</v>
      </c>
      <c r="R1300" s="45" t="s">
        <v>5596</v>
      </c>
      <c r="S1300" s="48"/>
      <c r="U1300" s="12"/>
    </row>
    <row r="1301" spans="1:22" s="49" customFormat="1" ht="14.15" customHeight="1">
      <c r="A1301" s="43" t="s">
        <v>5600</v>
      </c>
      <c r="B1301" s="44" t="s">
        <v>157</v>
      </c>
      <c r="C1301" s="50"/>
      <c r="D1301" s="10" t="s">
        <v>29</v>
      </c>
      <c r="E1301" s="11"/>
      <c r="F1301" s="11" t="s">
        <v>18</v>
      </c>
      <c r="G1301" s="13"/>
      <c r="H1301" s="45" t="s">
        <v>16</v>
      </c>
      <c r="I1301" s="47"/>
      <c r="J1301" s="12" t="s">
        <v>5357</v>
      </c>
      <c r="K1301" s="13" t="s">
        <v>8101</v>
      </c>
      <c r="L1301" s="99" t="str">
        <f t="shared" si="82"/>
        <v>W224E.2</v>
      </c>
      <c r="M1301" s="13" t="s">
        <v>17</v>
      </c>
      <c r="N1301" s="13"/>
      <c r="O1301" s="13"/>
      <c r="P1301" s="47"/>
      <c r="Q1301" s="45" t="s">
        <v>142</v>
      </c>
      <c r="R1301" s="45" t="s">
        <v>5596</v>
      </c>
      <c r="S1301" s="48"/>
      <c r="U1301" s="12"/>
    </row>
    <row r="1302" spans="1:22" s="49" customFormat="1" ht="14.15" customHeight="1">
      <c r="A1302" s="43" t="s">
        <v>5600</v>
      </c>
      <c r="B1302" s="44" t="s">
        <v>157</v>
      </c>
      <c r="C1302" s="50"/>
      <c r="D1302" s="10" t="s">
        <v>29</v>
      </c>
      <c r="E1302" s="11"/>
      <c r="F1302" s="11" t="s">
        <v>18</v>
      </c>
      <c r="G1302" s="13"/>
      <c r="H1302" s="45" t="s">
        <v>16</v>
      </c>
      <c r="I1302" s="47"/>
      <c r="J1302" s="12" t="s">
        <v>5358</v>
      </c>
      <c r="K1302" s="13" t="s">
        <v>8102</v>
      </c>
      <c r="L1302" s="99" t="str">
        <f t="shared" si="82"/>
        <v>W224E.3</v>
      </c>
      <c r="M1302" s="13" t="s">
        <v>17</v>
      </c>
      <c r="N1302" s="13"/>
      <c r="O1302" s="13"/>
      <c r="P1302" s="47"/>
      <c r="Q1302" s="45" t="s">
        <v>142</v>
      </c>
      <c r="R1302" s="45" t="s">
        <v>5596</v>
      </c>
      <c r="S1302" s="48"/>
      <c r="U1302" s="12"/>
    </row>
    <row r="1303" spans="1:22" s="49" customFormat="1" ht="14.15" customHeight="1">
      <c r="A1303" s="43" t="s">
        <v>5600</v>
      </c>
      <c r="B1303" s="44" t="s">
        <v>157</v>
      </c>
      <c r="C1303" s="50"/>
      <c r="D1303" s="10" t="s">
        <v>29</v>
      </c>
      <c r="E1303" s="11"/>
      <c r="F1303" s="11" t="s">
        <v>18</v>
      </c>
      <c r="G1303" s="13"/>
      <c r="H1303" s="45" t="s">
        <v>16</v>
      </c>
      <c r="I1303" s="47"/>
      <c r="J1303" s="12" t="s">
        <v>5359</v>
      </c>
      <c r="K1303" s="13" t="s">
        <v>8103</v>
      </c>
      <c r="L1303" s="99" t="str">
        <f t="shared" si="82"/>
        <v>W224E.4</v>
      </c>
      <c r="M1303" s="13" t="s">
        <v>17</v>
      </c>
      <c r="N1303" s="13"/>
      <c r="O1303" s="13"/>
      <c r="P1303" s="47"/>
      <c r="Q1303" s="45" t="s">
        <v>142</v>
      </c>
      <c r="R1303" s="45" t="s">
        <v>5596</v>
      </c>
      <c r="S1303" s="48"/>
      <c r="U1303" s="12"/>
    </row>
    <row r="1304" spans="1:22" s="49" customFormat="1" ht="14.15" customHeight="1">
      <c r="A1304" s="43" t="s">
        <v>5600</v>
      </c>
      <c r="B1304" s="44" t="s">
        <v>157</v>
      </c>
      <c r="C1304" s="50"/>
      <c r="D1304" s="10" t="s">
        <v>29</v>
      </c>
      <c r="E1304" s="11"/>
      <c r="F1304" s="11" t="s">
        <v>18</v>
      </c>
      <c r="G1304" s="13"/>
      <c r="H1304" s="45" t="s">
        <v>16</v>
      </c>
      <c r="I1304" s="47"/>
      <c r="J1304" s="12" t="s">
        <v>5360</v>
      </c>
      <c r="K1304" s="13" t="s">
        <v>8104</v>
      </c>
      <c r="L1304" s="99" t="str">
        <f t="shared" si="82"/>
        <v>W224E.5</v>
      </c>
      <c r="M1304" s="13" t="s">
        <v>17</v>
      </c>
      <c r="N1304" s="13"/>
      <c r="O1304" s="13"/>
      <c r="P1304" s="47"/>
      <c r="Q1304" s="45" t="s">
        <v>142</v>
      </c>
      <c r="R1304" s="45" t="s">
        <v>5596</v>
      </c>
      <c r="S1304" s="48"/>
      <c r="U1304" s="12"/>
    </row>
    <row r="1305" spans="1:22" s="49" customFormat="1" ht="14.15" customHeight="1">
      <c r="A1305" s="43" t="s">
        <v>5600</v>
      </c>
      <c r="B1305" s="44" t="s">
        <v>157</v>
      </c>
      <c r="C1305" s="50"/>
      <c r="D1305" s="10" t="s">
        <v>29</v>
      </c>
      <c r="E1305" s="11"/>
      <c r="F1305" s="11" t="s">
        <v>18</v>
      </c>
      <c r="G1305" s="13"/>
      <c r="H1305" s="45" t="s">
        <v>16</v>
      </c>
      <c r="I1305" s="47"/>
      <c r="J1305" s="12" t="s">
        <v>5361</v>
      </c>
      <c r="K1305" s="13" t="s">
        <v>8105</v>
      </c>
      <c r="L1305" s="99" t="str">
        <f t="shared" si="82"/>
        <v>W224E.6</v>
      </c>
      <c r="M1305" s="13" t="s">
        <v>17</v>
      </c>
      <c r="N1305" s="13"/>
      <c r="O1305" s="57"/>
      <c r="P1305" s="47"/>
      <c r="Q1305" s="45" t="s">
        <v>142</v>
      </c>
      <c r="R1305" s="45" t="s">
        <v>5596</v>
      </c>
      <c r="S1305" s="48"/>
      <c r="T1305" s="49" t="str">
        <f t="shared" si="83"/>
        <v>[W224E.6]</v>
      </c>
      <c r="U1305" s="12" t="str">
        <f t="shared" si="86"/>
        <v>] 플랜징#2 제품 진공흡착 시간초과</v>
      </c>
      <c r="V1305" s="49" t="str">
        <f t="shared" si="85"/>
        <v>[W224E.6]] 플랜징#2 제품 진공흡착 시간초과</v>
      </c>
    </row>
    <row r="1306" spans="1:22" s="49" customFormat="1" ht="14.15" customHeight="1">
      <c r="A1306" s="43" t="s">
        <v>5600</v>
      </c>
      <c r="B1306" s="44" t="s">
        <v>157</v>
      </c>
      <c r="C1306" s="50"/>
      <c r="D1306" s="10" t="s">
        <v>29</v>
      </c>
      <c r="E1306" s="11"/>
      <c r="F1306" s="11" t="s">
        <v>18</v>
      </c>
      <c r="G1306" s="13"/>
      <c r="H1306" s="45" t="s">
        <v>16</v>
      </c>
      <c r="I1306" s="46"/>
      <c r="J1306" s="12" t="s">
        <v>5362</v>
      </c>
      <c r="K1306" s="13" t="s">
        <v>8106</v>
      </c>
      <c r="L1306" s="99" t="str">
        <f t="shared" si="82"/>
        <v>W224E.7</v>
      </c>
      <c r="M1306" s="13" t="s">
        <v>17</v>
      </c>
      <c r="N1306" s="13"/>
      <c r="O1306" s="57"/>
      <c r="P1306" s="47"/>
      <c r="Q1306" s="45" t="s">
        <v>142</v>
      </c>
      <c r="R1306" s="45" t="s">
        <v>5596</v>
      </c>
      <c r="S1306" s="48"/>
      <c r="T1306" s="49" t="str">
        <f t="shared" si="83"/>
        <v>[W224E.7]</v>
      </c>
      <c r="U1306" s="12" t="str">
        <f t="shared" si="86"/>
        <v>] 플랜징#2 제품 진공파기 시간초과</v>
      </c>
      <c r="V1306" s="49" t="str">
        <f t="shared" si="85"/>
        <v>[W224E.7]] 플랜징#2 제품 진공파기 시간초과</v>
      </c>
    </row>
    <row r="1307" spans="1:22" s="49" customFormat="1" ht="14.15" customHeight="1">
      <c r="A1307" s="55"/>
      <c r="B1307" s="44" t="s">
        <v>157</v>
      </c>
      <c r="C1307" s="50"/>
      <c r="D1307" s="10" t="s">
        <v>29</v>
      </c>
      <c r="E1307" s="11"/>
      <c r="F1307" s="11" t="s">
        <v>18</v>
      </c>
      <c r="G1307" s="13"/>
      <c r="H1307" s="45" t="s">
        <v>16</v>
      </c>
      <c r="I1307" s="47"/>
      <c r="J1307" s="12" t="s">
        <v>4200</v>
      </c>
      <c r="K1307" s="13" t="s">
        <v>8107</v>
      </c>
      <c r="L1307" s="99" t="str">
        <f t="shared" si="82"/>
        <v>W224E.8</v>
      </c>
      <c r="M1307" s="13"/>
      <c r="N1307" s="13"/>
      <c r="O1307" s="57"/>
      <c r="P1307" s="47"/>
      <c r="Q1307" s="45"/>
      <c r="R1307" s="45"/>
      <c r="S1307" s="48"/>
      <c r="T1307" s="49" t="str">
        <f t="shared" si="83"/>
        <v>[W224E.8]</v>
      </c>
      <c r="U1307" s="12" t="str">
        <f t="shared" si="86"/>
        <v>]</v>
      </c>
      <c r="V1307" s="49" t="str">
        <f t="shared" si="85"/>
        <v>[W224E.8]]</v>
      </c>
    </row>
    <row r="1308" spans="1:22" s="49" customFormat="1" ht="14.15" customHeight="1">
      <c r="A1308" s="55"/>
      <c r="B1308" s="44" t="s">
        <v>157</v>
      </c>
      <c r="C1308" s="50"/>
      <c r="D1308" s="10" t="s">
        <v>29</v>
      </c>
      <c r="E1308" s="11"/>
      <c r="F1308" s="11" t="s">
        <v>18</v>
      </c>
      <c r="G1308" s="13"/>
      <c r="H1308" s="45" t="s">
        <v>16</v>
      </c>
      <c r="I1308" s="46"/>
      <c r="J1308" s="12" t="s">
        <v>4201</v>
      </c>
      <c r="K1308" s="13" t="s">
        <v>8108</v>
      </c>
      <c r="L1308" s="99" t="str">
        <f t="shared" si="82"/>
        <v>W224E.9</v>
      </c>
      <c r="M1308" s="13"/>
      <c r="N1308" s="13"/>
      <c r="O1308" s="57"/>
      <c r="P1308" s="47"/>
      <c r="Q1308" s="45"/>
      <c r="R1308" s="45"/>
      <c r="S1308" s="48"/>
      <c r="T1308" s="49" t="str">
        <f t="shared" si="83"/>
        <v>[W224E.9]</v>
      </c>
      <c r="U1308" s="12" t="str">
        <f t="shared" si="86"/>
        <v>]</v>
      </c>
      <c r="V1308" s="49" t="str">
        <f t="shared" si="85"/>
        <v>[W224E.9]]</v>
      </c>
    </row>
    <row r="1309" spans="1:22" s="49" customFormat="1" ht="14.15" customHeight="1">
      <c r="A1309" s="43"/>
      <c r="B1309" s="44" t="s">
        <v>157</v>
      </c>
      <c r="C1309" s="50"/>
      <c r="D1309" s="10" t="s">
        <v>29</v>
      </c>
      <c r="E1309" s="11"/>
      <c r="F1309" s="11" t="s">
        <v>18</v>
      </c>
      <c r="G1309" s="13"/>
      <c r="H1309" s="45" t="s">
        <v>16</v>
      </c>
      <c r="I1309" s="47"/>
      <c r="J1309" s="12" t="s">
        <v>4202</v>
      </c>
      <c r="K1309" s="13" t="s">
        <v>8109</v>
      </c>
      <c r="L1309" s="99" t="str">
        <f t="shared" si="82"/>
        <v>W224E.A</v>
      </c>
      <c r="M1309" s="13"/>
      <c r="N1309" s="13"/>
      <c r="O1309" s="13"/>
      <c r="P1309" s="47"/>
      <c r="Q1309" s="45"/>
      <c r="R1309" s="45"/>
      <c r="S1309" s="48"/>
      <c r="U1309" s="12"/>
    </row>
    <row r="1310" spans="1:22" s="49" customFormat="1" ht="14.15" customHeight="1">
      <c r="A1310" s="43"/>
      <c r="B1310" s="44" t="s">
        <v>157</v>
      </c>
      <c r="C1310" s="50"/>
      <c r="D1310" s="10" t="s">
        <v>29</v>
      </c>
      <c r="E1310" s="11"/>
      <c r="F1310" s="11" t="s">
        <v>18</v>
      </c>
      <c r="G1310" s="13"/>
      <c r="H1310" s="45" t="s">
        <v>16</v>
      </c>
      <c r="I1310" s="47"/>
      <c r="J1310" s="12" t="s">
        <v>4203</v>
      </c>
      <c r="K1310" s="13" t="s">
        <v>8110</v>
      </c>
      <c r="L1310" s="99" t="str">
        <f t="shared" si="82"/>
        <v>W224E.B</v>
      </c>
      <c r="M1310" s="13"/>
      <c r="N1310" s="13"/>
      <c r="O1310" s="13"/>
      <c r="P1310" s="47"/>
      <c r="Q1310" s="45"/>
      <c r="R1310" s="45"/>
      <c r="S1310" s="48"/>
      <c r="U1310" s="12"/>
    </row>
    <row r="1311" spans="1:22" s="49" customFormat="1" ht="14.15" customHeight="1">
      <c r="A1311" s="43"/>
      <c r="B1311" s="44" t="s">
        <v>157</v>
      </c>
      <c r="C1311" s="50"/>
      <c r="D1311" s="10" t="s">
        <v>29</v>
      </c>
      <c r="E1311" s="11"/>
      <c r="F1311" s="11" t="s">
        <v>18</v>
      </c>
      <c r="G1311" s="13"/>
      <c r="H1311" s="45" t="s">
        <v>16</v>
      </c>
      <c r="I1311" s="47"/>
      <c r="J1311" s="12" t="s">
        <v>4204</v>
      </c>
      <c r="K1311" s="13" t="s">
        <v>8111</v>
      </c>
      <c r="L1311" s="99" t="str">
        <f t="shared" si="82"/>
        <v>W224E.C</v>
      </c>
      <c r="M1311" s="13"/>
      <c r="N1311" s="13"/>
      <c r="O1311" s="13"/>
      <c r="P1311" s="47"/>
      <c r="Q1311" s="45"/>
      <c r="R1311" s="45"/>
      <c r="S1311" s="48"/>
      <c r="U1311" s="12"/>
    </row>
    <row r="1312" spans="1:22" s="49" customFormat="1" ht="14.15" customHeight="1">
      <c r="A1312" s="43"/>
      <c r="B1312" s="44" t="s">
        <v>157</v>
      </c>
      <c r="C1312" s="50"/>
      <c r="D1312" s="10" t="s">
        <v>29</v>
      </c>
      <c r="E1312" s="11"/>
      <c r="F1312" s="11" t="s">
        <v>18</v>
      </c>
      <c r="G1312" s="13"/>
      <c r="H1312" s="45" t="s">
        <v>16</v>
      </c>
      <c r="I1312" s="47"/>
      <c r="J1312" s="12" t="s">
        <v>4205</v>
      </c>
      <c r="K1312" s="13" t="s">
        <v>8112</v>
      </c>
      <c r="L1312" s="99" t="str">
        <f t="shared" si="82"/>
        <v>W224E.D</v>
      </c>
      <c r="M1312" s="13"/>
      <c r="N1312" s="13"/>
      <c r="O1312" s="13"/>
      <c r="P1312" s="47"/>
      <c r="Q1312" s="45"/>
      <c r="R1312" s="45"/>
      <c r="S1312" s="48"/>
      <c r="U1312" s="12"/>
    </row>
    <row r="1313" spans="1:22" s="49" customFormat="1" ht="14.15" customHeight="1">
      <c r="A1313" s="43"/>
      <c r="B1313" s="44" t="s">
        <v>157</v>
      </c>
      <c r="C1313" s="50"/>
      <c r="D1313" s="10" t="s">
        <v>29</v>
      </c>
      <c r="E1313" s="11"/>
      <c r="F1313" s="11" t="s">
        <v>18</v>
      </c>
      <c r="G1313" s="13"/>
      <c r="H1313" s="45" t="s">
        <v>16</v>
      </c>
      <c r="I1313" s="47"/>
      <c r="J1313" s="12" t="s">
        <v>4206</v>
      </c>
      <c r="K1313" s="13" t="s">
        <v>8113</v>
      </c>
      <c r="L1313" s="99" t="str">
        <f t="shared" si="82"/>
        <v>W224E.E</v>
      </c>
      <c r="M1313" s="13"/>
      <c r="N1313" s="13"/>
      <c r="O1313" s="13"/>
      <c r="P1313" s="47"/>
      <c r="Q1313" s="45"/>
      <c r="R1313" s="45"/>
      <c r="S1313" s="48"/>
      <c r="U1313" s="12"/>
    </row>
    <row r="1314" spans="1:22" s="49" customFormat="1" ht="14.15" customHeight="1">
      <c r="A1314" s="43"/>
      <c r="B1314" s="44" t="s">
        <v>157</v>
      </c>
      <c r="C1314" s="50"/>
      <c r="D1314" s="10" t="s">
        <v>29</v>
      </c>
      <c r="E1314" s="11"/>
      <c r="F1314" s="11" t="s">
        <v>18</v>
      </c>
      <c r="G1314" s="13"/>
      <c r="H1314" s="45" t="s">
        <v>16</v>
      </c>
      <c r="I1314" s="47"/>
      <c r="J1314" s="12" t="s">
        <v>4207</v>
      </c>
      <c r="K1314" s="13" t="s">
        <v>8114</v>
      </c>
      <c r="L1314" s="99" t="str">
        <f t="shared" si="82"/>
        <v>W224E.F</v>
      </c>
      <c r="M1314" s="13"/>
      <c r="N1314" s="13"/>
      <c r="O1314" s="13"/>
      <c r="P1314" s="47"/>
      <c r="Q1314" s="45"/>
      <c r="R1314" s="45"/>
      <c r="S1314" s="48"/>
      <c r="U1314" s="12"/>
    </row>
    <row r="1315" spans="1:22" s="49" customFormat="1" ht="14.15" customHeight="1">
      <c r="A1315" s="43"/>
      <c r="B1315" s="44" t="s">
        <v>157</v>
      </c>
      <c r="C1315" s="50"/>
      <c r="D1315" s="10" t="s">
        <v>29</v>
      </c>
      <c r="E1315" s="11"/>
      <c r="F1315" s="11" t="s">
        <v>18</v>
      </c>
      <c r="G1315" s="13"/>
      <c r="H1315" s="45" t="s">
        <v>16</v>
      </c>
      <c r="I1315" s="47"/>
      <c r="J1315" s="12" t="s">
        <v>4208</v>
      </c>
      <c r="K1315" s="13" t="s">
        <v>8115</v>
      </c>
      <c r="L1315" s="99" t="str">
        <f t="shared" si="82"/>
        <v>W224F.0</v>
      </c>
      <c r="M1315" s="13"/>
      <c r="N1315" s="13"/>
      <c r="O1315" s="13"/>
      <c r="P1315" s="47"/>
      <c r="Q1315" s="45"/>
      <c r="R1315" s="45"/>
      <c r="S1315" s="48"/>
      <c r="U1315" s="12"/>
    </row>
    <row r="1316" spans="1:22" s="49" customFormat="1" ht="14.15" customHeight="1">
      <c r="A1316" s="43"/>
      <c r="B1316" s="44" t="s">
        <v>157</v>
      </c>
      <c r="C1316" s="50"/>
      <c r="D1316" s="10" t="s">
        <v>29</v>
      </c>
      <c r="E1316" s="11"/>
      <c r="F1316" s="11" t="s">
        <v>18</v>
      </c>
      <c r="G1316" s="13"/>
      <c r="H1316" s="45" t="s">
        <v>16</v>
      </c>
      <c r="I1316" s="47"/>
      <c r="J1316" s="12" t="s">
        <v>4209</v>
      </c>
      <c r="K1316" s="13" t="s">
        <v>8116</v>
      </c>
      <c r="L1316" s="99" t="str">
        <f t="shared" si="82"/>
        <v>W224F.1</v>
      </c>
      <c r="M1316" s="13"/>
      <c r="N1316" s="13"/>
      <c r="O1316" s="13"/>
      <c r="P1316" s="47"/>
      <c r="Q1316" s="45"/>
      <c r="R1316" s="45"/>
      <c r="S1316" s="48"/>
      <c r="U1316" s="12"/>
    </row>
    <row r="1317" spans="1:22" s="49" customFormat="1" ht="14.15" customHeight="1">
      <c r="A1317" s="43"/>
      <c r="B1317" s="44" t="s">
        <v>157</v>
      </c>
      <c r="C1317" s="50"/>
      <c r="D1317" s="10" t="s">
        <v>29</v>
      </c>
      <c r="E1317" s="11"/>
      <c r="F1317" s="11" t="s">
        <v>18</v>
      </c>
      <c r="G1317" s="13"/>
      <c r="H1317" s="45" t="s">
        <v>16</v>
      </c>
      <c r="I1317" s="47"/>
      <c r="J1317" s="12" t="s">
        <v>4210</v>
      </c>
      <c r="K1317" s="13" t="s">
        <v>8117</v>
      </c>
      <c r="L1317" s="99" t="str">
        <f t="shared" si="82"/>
        <v>W224F.2</v>
      </c>
      <c r="M1317" s="13"/>
      <c r="N1317" s="13"/>
      <c r="O1317" s="13"/>
      <c r="P1317" s="47"/>
      <c r="Q1317" s="45"/>
      <c r="R1317" s="45"/>
      <c r="S1317" s="48"/>
      <c r="U1317" s="12"/>
    </row>
    <row r="1318" spans="1:22" s="49" customFormat="1" ht="14.15" customHeight="1">
      <c r="A1318" s="55"/>
      <c r="B1318" s="44" t="s">
        <v>157</v>
      </c>
      <c r="C1318" s="50"/>
      <c r="D1318" s="10" t="s">
        <v>29</v>
      </c>
      <c r="E1318" s="11"/>
      <c r="F1318" s="11" t="s">
        <v>18</v>
      </c>
      <c r="G1318" s="13"/>
      <c r="H1318" s="45" t="s">
        <v>16</v>
      </c>
      <c r="I1318" s="47"/>
      <c r="J1318" s="12" t="s">
        <v>4211</v>
      </c>
      <c r="K1318" s="13" t="s">
        <v>8118</v>
      </c>
      <c r="L1318" s="99" t="str">
        <f t="shared" si="82"/>
        <v>W224F.3</v>
      </c>
      <c r="M1318" s="13"/>
      <c r="N1318" s="13"/>
      <c r="O1318" s="57"/>
      <c r="P1318" s="47"/>
      <c r="Q1318" s="45"/>
      <c r="R1318" s="45"/>
      <c r="S1318" s="48"/>
      <c r="T1318" s="49" t="str">
        <f t="shared" si="83"/>
        <v>[W224F.3]</v>
      </c>
      <c r="U1318" s="12" t="str">
        <f t="shared" si="86"/>
        <v>]</v>
      </c>
      <c r="V1318" s="49" t="str">
        <f t="shared" si="85"/>
        <v>[W224F.3]]</v>
      </c>
    </row>
    <row r="1319" spans="1:22" s="49" customFormat="1" ht="14.15" customHeight="1">
      <c r="A1319" s="55"/>
      <c r="B1319" s="44" t="s">
        <v>157</v>
      </c>
      <c r="C1319" s="50"/>
      <c r="D1319" s="10" t="s">
        <v>29</v>
      </c>
      <c r="E1319" s="11"/>
      <c r="F1319" s="11" t="s">
        <v>18</v>
      </c>
      <c r="G1319" s="13"/>
      <c r="H1319" s="45" t="s">
        <v>16</v>
      </c>
      <c r="I1319" s="46"/>
      <c r="J1319" s="12" t="s">
        <v>4212</v>
      </c>
      <c r="K1319" s="13" t="s">
        <v>8119</v>
      </c>
      <c r="L1319" s="99" t="str">
        <f t="shared" si="82"/>
        <v>W224F.4</v>
      </c>
      <c r="M1319" s="13"/>
      <c r="N1319" s="13"/>
      <c r="O1319" s="57"/>
      <c r="P1319" s="47"/>
      <c r="Q1319" s="45"/>
      <c r="R1319" s="45"/>
      <c r="S1319" s="48"/>
      <c r="T1319" s="49" t="str">
        <f t="shared" si="83"/>
        <v>[W224F.4]</v>
      </c>
      <c r="U1319" s="12" t="str">
        <f t="shared" si="86"/>
        <v>]</v>
      </c>
      <c r="V1319" s="49" t="str">
        <f t="shared" si="85"/>
        <v>[W224F.4]]</v>
      </c>
    </row>
    <row r="1320" spans="1:22" s="49" customFormat="1" ht="14.15" customHeight="1">
      <c r="A1320" s="43"/>
      <c r="B1320" s="44" t="s">
        <v>157</v>
      </c>
      <c r="C1320" s="50"/>
      <c r="D1320" s="10" t="s">
        <v>29</v>
      </c>
      <c r="E1320" s="11"/>
      <c r="F1320" s="11" t="s">
        <v>18</v>
      </c>
      <c r="G1320" s="13"/>
      <c r="H1320" s="45" t="s">
        <v>16</v>
      </c>
      <c r="I1320" s="47"/>
      <c r="J1320" s="12" t="s">
        <v>4213</v>
      </c>
      <c r="K1320" s="13" t="s">
        <v>8120</v>
      </c>
      <c r="L1320" s="99" t="str">
        <f t="shared" si="82"/>
        <v>W224F.5</v>
      </c>
      <c r="M1320" s="13"/>
      <c r="N1320" s="13"/>
      <c r="O1320" s="57"/>
      <c r="P1320" s="47"/>
      <c r="Q1320" s="45"/>
      <c r="R1320" s="45"/>
      <c r="S1320" s="48"/>
      <c r="T1320" s="49" t="str">
        <f t="shared" si="83"/>
        <v>[W224F.5]</v>
      </c>
      <c r="U1320" s="12" t="str">
        <f t="shared" si="86"/>
        <v>]</v>
      </c>
      <c r="V1320" s="49" t="str">
        <f t="shared" si="85"/>
        <v>[W224F.5]]</v>
      </c>
    </row>
    <row r="1321" spans="1:22" s="49" customFormat="1" ht="14.15" customHeight="1">
      <c r="A1321" s="43"/>
      <c r="B1321" s="44" t="s">
        <v>157</v>
      </c>
      <c r="C1321" s="50"/>
      <c r="D1321" s="10" t="s">
        <v>29</v>
      </c>
      <c r="E1321" s="11"/>
      <c r="F1321" s="11" t="s">
        <v>18</v>
      </c>
      <c r="G1321" s="13"/>
      <c r="H1321" s="45" t="s">
        <v>16</v>
      </c>
      <c r="I1321" s="46"/>
      <c r="J1321" s="12" t="s">
        <v>4214</v>
      </c>
      <c r="K1321" s="13" t="s">
        <v>8121</v>
      </c>
      <c r="L1321" s="99" t="str">
        <f t="shared" si="82"/>
        <v>W224F.6</v>
      </c>
      <c r="M1321" s="13"/>
      <c r="N1321" s="13"/>
      <c r="O1321" s="57"/>
      <c r="P1321" s="47"/>
      <c r="Q1321" s="45"/>
      <c r="R1321" s="45"/>
      <c r="S1321" s="48"/>
      <c r="T1321" s="49" t="str">
        <f t="shared" si="83"/>
        <v>[W224F.6]</v>
      </c>
      <c r="U1321" s="12" t="str">
        <f t="shared" si="86"/>
        <v>]</v>
      </c>
      <c r="V1321" s="49" t="str">
        <f t="shared" si="85"/>
        <v>[W224F.6]]</v>
      </c>
    </row>
    <row r="1322" spans="1:22" s="49" customFormat="1" ht="14.15" customHeight="1">
      <c r="A1322" s="43"/>
      <c r="B1322" s="44" t="s">
        <v>157</v>
      </c>
      <c r="C1322" s="50"/>
      <c r="D1322" s="10" t="s">
        <v>29</v>
      </c>
      <c r="E1322" s="11"/>
      <c r="F1322" s="11" t="s">
        <v>18</v>
      </c>
      <c r="G1322" s="13"/>
      <c r="H1322" s="45" t="s">
        <v>16</v>
      </c>
      <c r="I1322" s="47"/>
      <c r="J1322" s="12" t="s">
        <v>4215</v>
      </c>
      <c r="K1322" s="13" t="s">
        <v>8122</v>
      </c>
      <c r="L1322" s="99" t="str">
        <f t="shared" si="82"/>
        <v>W224F.7</v>
      </c>
      <c r="M1322" s="13"/>
      <c r="N1322" s="13"/>
      <c r="O1322" s="56"/>
      <c r="P1322" s="47"/>
      <c r="Q1322" s="45"/>
      <c r="R1322" s="45"/>
      <c r="S1322" s="48"/>
      <c r="T1322" s="49" t="str">
        <f t="shared" si="83"/>
        <v>[W224F.7]</v>
      </c>
      <c r="U1322" s="12" t="str">
        <f t="shared" si="86"/>
        <v>]</v>
      </c>
      <c r="V1322" s="49" t="str">
        <f t="shared" si="85"/>
        <v>[W224F.7]]</v>
      </c>
    </row>
    <row r="1323" spans="1:22" s="49" customFormat="1" ht="14.15" customHeight="1">
      <c r="A1323" s="43"/>
      <c r="B1323" s="44" t="s">
        <v>157</v>
      </c>
      <c r="C1323" s="50"/>
      <c r="D1323" s="10" t="s">
        <v>29</v>
      </c>
      <c r="E1323" s="11"/>
      <c r="F1323" s="11" t="s">
        <v>18</v>
      </c>
      <c r="G1323" s="13"/>
      <c r="H1323" s="45" t="s">
        <v>16</v>
      </c>
      <c r="I1323" s="47"/>
      <c r="J1323" s="12" t="s">
        <v>4216</v>
      </c>
      <c r="K1323" s="13" t="s">
        <v>8123</v>
      </c>
      <c r="L1323" s="99" t="str">
        <f t="shared" si="82"/>
        <v>W224F.8</v>
      </c>
      <c r="M1323" s="13"/>
      <c r="N1323" s="13"/>
      <c r="O1323" s="56"/>
      <c r="P1323" s="47"/>
      <c r="Q1323" s="45"/>
      <c r="R1323" s="45"/>
      <c r="S1323" s="48"/>
      <c r="T1323" s="49" t="str">
        <f t="shared" si="83"/>
        <v>[W224F.8]</v>
      </c>
      <c r="U1323" s="12" t="str">
        <f t="shared" si="86"/>
        <v>]</v>
      </c>
      <c r="V1323" s="49" t="str">
        <f t="shared" si="85"/>
        <v>[W224F.8]]</v>
      </c>
    </row>
    <row r="1324" spans="1:22" s="49" customFormat="1" ht="14.15" customHeight="1">
      <c r="A1324" s="43"/>
      <c r="B1324" s="44" t="s">
        <v>157</v>
      </c>
      <c r="C1324" s="50"/>
      <c r="D1324" s="10" t="s">
        <v>29</v>
      </c>
      <c r="E1324" s="11"/>
      <c r="F1324" s="11" t="s">
        <v>18</v>
      </c>
      <c r="G1324" s="13"/>
      <c r="H1324" s="45" t="s">
        <v>16</v>
      </c>
      <c r="I1324" s="47"/>
      <c r="J1324" s="12" t="s">
        <v>4217</v>
      </c>
      <c r="K1324" s="13" t="s">
        <v>8124</v>
      </c>
      <c r="L1324" s="99" t="str">
        <f t="shared" si="82"/>
        <v>W224F.9</v>
      </c>
      <c r="M1324" s="13"/>
      <c r="N1324" s="13"/>
      <c r="O1324" s="56"/>
      <c r="P1324" s="47"/>
      <c r="Q1324" s="45"/>
      <c r="R1324" s="45"/>
      <c r="S1324" s="48"/>
      <c r="T1324" s="49" t="str">
        <f t="shared" si="83"/>
        <v>[W224F.9]</v>
      </c>
      <c r="U1324" s="12" t="str">
        <f t="shared" si="86"/>
        <v>]</v>
      </c>
      <c r="V1324" s="49" t="str">
        <f t="shared" si="85"/>
        <v>[W224F.9]]</v>
      </c>
    </row>
    <row r="1325" spans="1:22" s="49" customFormat="1" ht="14.15" customHeight="1">
      <c r="A1325" s="43"/>
      <c r="B1325" s="44" t="s">
        <v>157</v>
      </c>
      <c r="C1325" s="50"/>
      <c r="D1325" s="10" t="s">
        <v>29</v>
      </c>
      <c r="E1325" s="11"/>
      <c r="F1325" s="11" t="s">
        <v>18</v>
      </c>
      <c r="G1325" s="13"/>
      <c r="H1325" s="45" t="s">
        <v>16</v>
      </c>
      <c r="I1325" s="47"/>
      <c r="J1325" s="12" t="s">
        <v>4218</v>
      </c>
      <c r="K1325" s="13" t="s">
        <v>8125</v>
      </c>
      <c r="L1325" s="99" t="str">
        <f t="shared" si="82"/>
        <v>W224F.A</v>
      </c>
      <c r="M1325" s="13"/>
      <c r="N1325" s="13"/>
      <c r="O1325" s="56"/>
      <c r="P1325" s="47"/>
      <c r="Q1325" s="45"/>
      <c r="R1325" s="45"/>
      <c r="S1325" s="48"/>
      <c r="T1325" s="49" t="str">
        <f t="shared" si="83"/>
        <v>[W224F.A]</v>
      </c>
      <c r="U1325" s="12" t="str">
        <f t="shared" si="86"/>
        <v>]</v>
      </c>
      <c r="V1325" s="49" t="str">
        <f t="shared" si="85"/>
        <v>[W224F.A]]</v>
      </c>
    </row>
    <row r="1326" spans="1:22" s="49" customFormat="1" ht="14.15" customHeight="1">
      <c r="A1326" s="43"/>
      <c r="B1326" s="44" t="s">
        <v>157</v>
      </c>
      <c r="C1326" s="50"/>
      <c r="D1326" s="10" t="s">
        <v>29</v>
      </c>
      <c r="E1326" s="11"/>
      <c r="F1326" s="11" t="s">
        <v>18</v>
      </c>
      <c r="G1326" s="13"/>
      <c r="H1326" s="45" t="s">
        <v>16</v>
      </c>
      <c r="I1326" s="47"/>
      <c r="J1326" s="12" t="s">
        <v>4219</v>
      </c>
      <c r="K1326" s="13" t="s">
        <v>8126</v>
      </c>
      <c r="L1326" s="99" t="str">
        <f t="shared" si="82"/>
        <v>W224F.B</v>
      </c>
      <c r="M1326" s="13"/>
      <c r="N1326" s="13"/>
      <c r="O1326" s="56"/>
      <c r="P1326" s="47"/>
      <c r="Q1326" s="45"/>
      <c r="R1326" s="45"/>
      <c r="S1326" s="48"/>
      <c r="T1326" s="49" t="str">
        <f t="shared" si="83"/>
        <v>[W224F.B]</v>
      </c>
      <c r="U1326" s="12" t="str">
        <f t="shared" si="86"/>
        <v>]</v>
      </c>
      <c r="V1326" s="49" t="str">
        <f t="shared" si="85"/>
        <v>[W224F.B]]</v>
      </c>
    </row>
    <row r="1327" spans="1:22" s="49" customFormat="1" ht="14.15" customHeight="1">
      <c r="A1327" s="43"/>
      <c r="B1327" s="44" t="s">
        <v>157</v>
      </c>
      <c r="C1327" s="50"/>
      <c r="D1327" s="10" t="s">
        <v>29</v>
      </c>
      <c r="E1327" s="11"/>
      <c r="F1327" s="11" t="s">
        <v>18</v>
      </c>
      <c r="G1327" s="13"/>
      <c r="H1327" s="45" t="s">
        <v>16</v>
      </c>
      <c r="I1327" s="47"/>
      <c r="J1327" s="12" t="s">
        <v>4220</v>
      </c>
      <c r="K1327" s="13" t="s">
        <v>8127</v>
      </c>
      <c r="L1327" s="99" t="str">
        <f t="shared" si="82"/>
        <v>W224F.C</v>
      </c>
      <c r="M1327" s="13"/>
      <c r="N1327" s="13"/>
      <c r="O1327" s="56"/>
      <c r="P1327" s="47"/>
      <c r="Q1327" s="45"/>
      <c r="R1327" s="45"/>
      <c r="S1327" s="48"/>
      <c r="T1327" s="49" t="str">
        <f t="shared" si="83"/>
        <v>[W224F.C]</v>
      </c>
      <c r="U1327" s="12" t="str">
        <f t="shared" si="86"/>
        <v>]</v>
      </c>
      <c r="V1327" s="49" t="str">
        <f t="shared" si="85"/>
        <v>[W224F.C]]</v>
      </c>
    </row>
    <row r="1328" spans="1:22" s="49" customFormat="1" ht="14.15" customHeight="1">
      <c r="A1328" s="43" t="s">
        <v>5602</v>
      </c>
      <c r="B1328" s="44" t="s">
        <v>157</v>
      </c>
      <c r="C1328" s="50"/>
      <c r="D1328" s="10" t="s">
        <v>29</v>
      </c>
      <c r="E1328" s="11"/>
      <c r="F1328" s="11" t="s">
        <v>18</v>
      </c>
      <c r="G1328" s="13"/>
      <c r="H1328" s="45" t="s">
        <v>16</v>
      </c>
      <c r="I1328" s="47"/>
      <c r="J1328" s="12" t="s">
        <v>5363</v>
      </c>
      <c r="K1328" s="13" t="s">
        <v>8128</v>
      </c>
      <c r="L1328" s="99" t="str">
        <f t="shared" si="82"/>
        <v>W224F.D</v>
      </c>
      <c r="M1328" s="13" t="s">
        <v>17</v>
      </c>
      <c r="N1328" s="13"/>
      <c r="O1328" s="56"/>
      <c r="P1328" s="47"/>
      <c r="Q1328" s="45"/>
      <c r="R1328" s="45" t="s">
        <v>5553</v>
      </c>
      <c r="S1328" s="48"/>
      <c r="T1328" s="49" t="str">
        <f t="shared" si="83"/>
        <v>[W224F.D]</v>
      </c>
      <c r="U1328" s="12" t="str">
        <f t="shared" si="86"/>
        <v>] 언코일 루프 정지 시간 초과 (YAB0, YAB1)</v>
      </c>
      <c r="V1328" s="49" t="str">
        <f t="shared" si="85"/>
        <v>[W224F.D]] 언코일 루프 정지 시간 초과 (YAB0, YAB1)</v>
      </c>
    </row>
    <row r="1329" spans="1:22" s="49" customFormat="1" ht="14.15" customHeight="1">
      <c r="A1329" s="43"/>
      <c r="B1329" s="44" t="s">
        <v>157</v>
      </c>
      <c r="C1329" s="50"/>
      <c r="D1329" s="10" t="s">
        <v>29</v>
      </c>
      <c r="E1329" s="11"/>
      <c r="F1329" s="11" t="s">
        <v>18</v>
      </c>
      <c r="G1329" s="13"/>
      <c r="H1329" s="45" t="s">
        <v>16</v>
      </c>
      <c r="I1329" s="47"/>
      <c r="J1329" s="12" t="s">
        <v>4222</v>
      </c>
      <c r="K1329" s="13" t="s">
        <v>8129</v>
      </c>
      <c r="L1329" s="99" t="str">
        <f t="shared" si="82"/>
        <v>W224F.E</v>
      </c>
      <c r="M1329" s="13"/>
      <c r="N1329" s="13"/>
      <c r="O1329" s="56"/>
      <c r="P1329" s="47"/>
      <c r="Q1329" s="45"/>
      <c r="R1329" s="45"/>
      <c r="S1329" s="48"/>
      <c r="T1329" s="49" t="str">
        <f t="shared" si="83"/>
        <v>[W224F.E]</v>
      </c>
      <c r="U1329" s="12" t="str">
        <f t="shared" si="86"/>
        <v>]</v>
      </c>
      <c r="V1329" s="49" t="str">
        <f t="shared" si="85"/>
        <v>[W224F.E]]</v>
      </c>
    </row>
    <row r="1330" spans="1:22" s="49" customFormat="1" ht="14.15" customHeight="1">
      <c r="A1330" s="43" t="s">
        <v>5602</v>
      </c>
      <c r="B1330" s="44" t="s">
        <v>157</v>
      </c>
      <c r="C1330" s="50"/>
      <c r="D1330" s="10" t="s">
        <v>29</v>
      </c>
      <c r="E1330" s="11"/>
      <c r="F1330" s="11" t="s">
        <v>18</v>
      </c>
      <c r="G1330" s="13"/>
      <c r="H1330" s="45" t="s">
        <v>16</v>
      </c>
      <c r="I1330" s="47"/>
      <c r="J1330" s="12" t="s">
        <v>5518</v>
      </c>
      <c r="K1330" s="13" t="s">
        <v>8130</v>
      </c>
      <c r="L1330" s="99" t="str">
        <f t="shared" si="82"/>
        <v>W224F.F</v>
      </c>
      <c r="M1330" s="13" t="s">
        <v>17</v>
      </c>
      <c r="N1330" s="13"/>
      <c r="O1330" s="56"/>
      <c r="P1330" s="47"/>
      <c r="Q1330" s="45"/>
      <c r="R1330" s="45" t="s">
        <v>5553</v>
      </c>
      <c r="S1330" s="48"/>
      <c r="T1330" s="49" t="str">
        <f t="shared" si="83"/>
        <v>[W224F.F]</v>
      </c>
      <c r="U1330" s="12" t="str">
        <f t="shared" si="86"/>
        <v>] U-밴딩 가스켓 롤러 R축 푸셔 상승 시간초과 (X785, Y7C1)</v>
      </c>
      <c r="V1330" s="49" t="str">
        <f t="shared" si="85"/>
        <v>[W224F.F]] U-밴딩 가스켓 롤러 R축 푸셔 상승 시간초과 (X785, Y7C1)</v>
      </c>
    </row>
    <row r="1331" spans="1:22" s="49" customFormat="1" ht="14.15" customHeight="1">
      <c r="A1331" s="43" t="s">
        <v>5602</v>
      </c>
      <c r="B1331" s="44" t="s">
        <v>157</v>
      </c>
      <c r="C1331" s="50"/>
      <c r="D1331" s="10" t="s">
        <v>29</v>
      </c>
      <c r="E1331" s="11"/>
      <c r="F1331" s="11" t="s">
        <v>18</v>
      </c>
      <c r="G1331" s="13"/>
      <c r="H1331" s="45" t="s">
        <v>16</v>
      </c>
      <c r="I1331" s="47"/>
      <c r="J1331" s="12" t="s">
        <v>5519</v>
      </c>
      <c r="K1331" s="13" t="s">
        <v>8131</v>
      </c>
      <c r="L1331" s="99" t="str">
        <f t="shared" si="82"/>
        <v>W2250.0</v>
      </c>
      <c r="M1331" s="13" t="s">
        <v>17</v>
      </c>
      <c r="N1331" s="13"/>
      <c r="O1331" s="57"/>
      <c r="P1331" s="47"/>
      <c r="Q1331" s="45"/>
      <c r="R1331" s="45" t="s">
        <v>5553</v>
      </c>
      <c r="S1331" s="48"/>
      <c r="T1331" s="49" t="str">
        <f t="shared" si="83"/>
        <v>[W2250.0]</v>
      </c>
      <c r="U1331" s="12" t="str">
        <f t="shared" si="86"/>
        <v>] U-밴딩 가스켓 롤러 R축 푸셔 하강 시간초과 (X784, Y7C0)</v>
      </c>
      <c r="V1331" s="49" t="str">
        <f t="shared" si="85"/>
        <v>[W2250.0]] U-밴딩 가스켓 롤러 R축 푸셔 하강 시간초과 (X784, Y7C0)</v>
      </c>
    </row>
    <row r="1332" spans="1:22" s="49" customFormat="1" ht="14.15" customHeight="1">
      <c r="A1332" s="43" t="s">
        <v>5602</v>
      </c>
      <c r="B1332" s="44" t="s">
        <v>157</v>
      </c>
      <c r="C1332" s="50"/>
      <c r="D1332" s="10" t="s">
        <v>29</v>
      </c>
      <c r="E1332" s="11"/>
      <c r="F1332" s="11" t="s">
        <v>18</v>
      </c>
      <c r="G1332" s="13"/>
      <c r="H1332" s="45" t="s">
        <v>16</v>
      </c>
      <c r="I1332" s="46"/>
      <c r="J1332" s="12" t="s">
        <v>5520</v>
      </c>
      <c r="K1332" s="13" t="s">
        <v>8132</v>
      </c>
      <c r="L1332" s="99" t="str">
        <f t="shared" ref="L1332:L1395" si="87">"W"&amp;DEC2HEX(8704 + INT((ROW()-51)/16)) &amp; "." &amp; IF(MOD(ROW()-51,16)&lt;10,MOD(ROW()-51,16),CHAR(MOD(ROW()-51,16)+55))</f>
        <v>W2250.1</v>
      </c>
      <c r="M1332" s="13" t="s">
        <v>17</v>
      </c>
      <c r="N1332" s="13"/>
      <c r="O1332" s="57"/>
      <c r="P1332" s="47"/>
      <c r="Q1332" s="45"/>
      <c r="R1332" s="45" t="s">
        <v>5553</v>
      </c>
      <c r="S1332" s="48"/>
      <c r="T1332" s="49" t="str">
        <f t="shared" ref="T1332:T1347" si="88">"["&amp;L1332&amp;"]"</f>
        <v>[W2250.1]</v>
      </c>
      <c r="U1332" s="12" t="str">
        <f t="shared" si="86"/>
        <v>] U-밴딩 가스켓 롤러 R축 푸셔 상승/하강 센서이상 (X784, X785)</v>
      </c>
      <c r="V1332" s="49" t="str">
        <f t="shared" ref="V1332:V1347" si="89">T1332&amp;U1332</f>
        <v>[W2250.1]] U-밴딩 가스켓 롤러 R축 푸셔 상승/하강 센서이상 (X784, X785)</v>
      </c>
    </row>
    <row r="1333" spans="1:22" s="49" customFormat="1" ht="14.15" customHeight="1">
      <c r="A1333" s="43" t="s">
        <v>5602</v>
      </c>
      <c r="B1333" s="44" t="s">
        <v>157</v>
      </c>
      <c r="C1333" s="50"/>
      <c r="D1333" s="10" t="s">
        <v>29</v>
      </c>
      <c r="E1333" s="11"/>
      <c r="F1333" s="11" t="s">
        <v>18</v>
      </c>
      <c r="G1333" s="13"/>
      <c r="H1333" s="45" t="s">
        <v>16</v>
      </c>
      <c r="I1333" s="47"/>
      <c r="J1333" s="12" t="s">
        <v>5606</v>
      </c>
      <c r="K1333" s="13" t="s">
        <v>8133</v>
      </c>
      <c r="L1333" s="99" t="str">
        <f t="shared" si="87"/>
        <v>W2250.2</v>
      </c>
      <c r="M1333" s="13" t="s">
        <v>17</v>
      </c>
      <c r="N1333" s="13"/>
      <c r="O1333" s="57"/>
      <c r="P1333" s="47"/>
      <c r="Q1333" s="45"/>
      <c r="R1333" s="45" t="s">
        <v>5553</v>
      </c>
      <c r="S1333" s="48"/>
      <c r="T1333" s="49" t="str">
        <f t="shared" si="88"/>
        <v>[W2250.2]</v>
      </c>
      <c r="U1333" s="12" t="str">
        <f t="shared" si="86"/>
        <v>] U-밴딩가스켓 메인공압에러 (X80C)</v>
      </c>
      <c r="V1333" s="49" t="str">
        <f t="shared" si="89"/>
        <v>[W2250.2]] U-밴딩가스켓 메인공압에러 (X80C)</v>
      </c>
    </row>
    <row r="1334" spans="1:22" s="49" customFormat="1" ht="14.15" customHeight="1">
      <c r="A1334" s="55"/>
      <c r="B1334" s="44" t="s">
        <v>157</v>
      </c>
      <c r="C1334" s="50"/>
      <c r="D1334" s="10" t="s">
        <v>29</v>
      </c>
      <c r="E1334" s="11"/>
      <c r="F1334" s="11" t="s">
        <v>18</v>
      </c>
      <c r="G1334" s="13"/>
      <c r="H1334" s="45" t="s">
        <v>16</v>
      </c>
      <c r="I1334" s="46"/>
      <c r="J1334" s="12" t="s">
        <v>4227</v>
      </c>
      <c r="K1334" s="13" t="s">
        <v>8134</v>
      </c>
      <c r="L1334" s="99" t="str">
        <f t="shared" si="87"/>
        <v>W2250.3</v>
      </c>
      <c r="M1334" s="13"/>
      <c r="N1334" s="13"/>
      <c r="O1334" s="57"/>
      <c r="P1334" s="47"/>
      <c r="Q1334" s="45"/>
      <c r="R1334" s="45"/>
      <c r="S1334" s="48"/>
      <c r="T1334" s="49" t="str">
        <f t="shared" si="88"/>
        <v>[W2250.3]</v>
      </c>
      <c r="U1334" s="12" t="str">
        <f t="shared" si="86"/>
        <v>]</v>
      </c>
      <c r="V1334" s="49" t="str">
        <f t="shared" si="89"/>
        <v>[W2250.3]]</v>
      </c>
    </row>
    <row r="1335" spans="1:22" s="49" customFormat="1" ht="14.15" customHeight="1">
      <c r="A1335" s="55"/>
      <c r="B1335" s="44" t="s">
        <v>157</v>
      </c>
      <c r="C1335" s="50"/>
      <c r="D1335" s="10" t="s">
        <v>29</v>
      </c>
      <c r="E1335" s="11"/>
      <c r="F1335" s="11" t="s">
        <v>18</v>
      </c>
      <c r="G1335" s="13"/>
      <c r="H1335" s="45" t="s">
        <v>16</v>
      </c>
      <c r="I1335" s="47"/>
      <c r="J1335" s="12" t="s">
        <v>4228</v>
      </c>
      <c r="K1335" s="13" t="s">
        <v>8135</v>
      </c>
      <c r="L1335" s="99" t="str">
        <f t="shared" si="87"/>
        <v>W2250.4</v>
      </c>
      <c r="M1335" s="13"/>
      <c r="N1335" s="13"/>
      <c r="O1335" s="56"/>
      <c r="P1335" s="47"/>
      <c r="Q1335" s="45"/>
      <c r="R1335" s="45"/>
      <c r="S1335" s="48"/>
      <c r="T1335" s="49" t="str">
        <f t="shared" si="88"/>
        <v>[W2250.4]</v>
      </c>
      <c r="U1335" s="12" t="str">
        <f t="shared" si="86"/>
        <v>]</v>
      </c>
      <c r="V1335" s="49" t="str">
        <f t="shared" si="89"/>
        <v>[W2250.4]]</v>
      </c>
    </row>
    <row r="1336" spans="1:22" s="49" customFormat="1" ht="14.15" customHeight="1">
      <c r="A1336" s="55"/>
      <c r="B1336" s="44" t="s">
        <v>157</v>
      </c>
      <c r="C1336" s="50"/>
      <c r="D1336" s="10" t="s">
        <v>29</v>
      </c>
      <c r="E1336" s="11"/>
      <c r="F1336" s="11" t="s">
        <v>18</v>
      </c>
      <c r="G1336" s="13"/>
      <c r="H1336" s="45" t="s">
        <v>16</v>
      </c>
      <c r="I1336" s="47"/>
      <c r="J1336" s="12" t="s">
        <v>4229</v>
      </c>
      <c r="K1336" s="13" t="s">
        <v>8136</v>
      </c>
      <c r="L1336" s="99" t="str">
        <f t="shared" si="87"/>
        <v>W2250.5</v>
      </c>
      <c r="M1336" s="13"/>
      <c r="N1336" s="13"/>
      <c r="O1336" s="56"/>
      <c r="P1336" s="47"/>
      <c r="Q1336" s="45"/>
      <c r="R1336" s="45"/>
      <c r="S1336" s="48"/>
      <c r="T1336" s="49" t="str">
        <f t="shared" si="88"/>
        <v>[W2250.5]</v>
      </c>
      <c r="U1336" s="12" t="str">
        <f t="shared" si="86"/>
        <v>]</v>
      </c>
      <c r="V1336" s="49" t="str">
        <f t="shared" si="89"/>
        <v>[W2250.5]]</v>
      </c>
    </row>
    <row r="1337" spans="1:22" s="49" customFormat="1" ht="14.15" customHeight="1">
      <c r="A1337" s="55"/>
      <c r="B1337" s="44" t="s">
        <v>157</v>
      </c>
      <c r="C1337" s="50"/>
      <c r="D1337" s="10" t="s">
        <v>29</v>
      </c>
      <c r="E1337" s="11"/>
      <c r="F1337" s="11" t="s">
        <v>18</v>
      </c>
      <c r="G1337" s="13"/>
      <c r="H1337" s="45" t="s">
        <v>16</v>
      </c>
      <c r="I1337" s="47"/>
      <c r="J1337" s="12" t="s">
        <v>4230</v>
      </c>
      <c r="K1337" s="13" t="s">
        <v>8137</v>
      </c>
      <c r="L1337" s="99" t="str">
        <f t="shared" si="87"/>
        <v>W2250.6</v>
      </c>
      <c r="M1337" s="13"/>
      <c r="N1337" s="13"/>
      <c r="O1337" s="56"/>
      <c r="P1337" s="47"/>
      <c r="Q1337" s="45"/>
      <c r="R1337" s="45"/>
      <c r="S1337" s="48"/>
      <c r="T1337" s="49" t="str">
        <f t="shared" si="88"/>
        <v>[W2250.6]</v>
      </c>
      <c r="U1337" s="12" t="str">
        <f t="shared" si="86"/>
        <v>]</v>
      </c>
      <c r="V1337" s="49" t="str">
        <f t="shared" si="89"/>
        <v>[W2250.6]]</v>
      </c>
    </row>
    <row r="1338" spans="1:22" s="49" customFormat="1" ht="14.15" customHeight="1">
      <c r="A1338" s="55"/>
      <c r="B1338" s="44" t="s">
        <v>157</v>
      </c>
      <c r="C1338" s="50"/>
      <c r="D1338" s="10" t="s">
        <v>29</v>
      </c>
      <c r="E1338" s="11"/>
      <c r="F1338" s="11" t="s">
        <v>18</v>
      </c>
      <c r="G1338" s="13"/>
      <c r="H1338" s="45" t="s">
        <v>16</v>
      </c>
      <c r="I1338" s="47"/>
      <c r="J1338" s="12" t="s">
        <v>4231</v>
      </c>
      <c r="K1338" s="13" t="s">
        <v>8138</v>
      </c>
      <c r="L1338" s="99" t="str">
        <f t="shared" si="87"/>
        <v>W2250.7</v>
      </c>
      <c r="M1338" s="13"/>
      <c r="N1338" s="13"/>
      <c r="O1338" s="56"/>
      <c r="P1338" s="47"/>
      <c r="Q1338" s="45"/>
      <c r="R1338" s="45"/>
      <c r="S1338" s="48"/>
      <c r="T1338" s="49" t="str">
        <f t="shared" si="88"/>
        <v>[W2250.7]</v>
      </c>
      <c r="U1338" s="12" t="str">
        <f t="shared" si="86"/>
        <v>]</v>
      </c>
      <c r="V1338" s="49" t="str">
        <f t="shared" si="89"/>
        <v>[W2250.7]]</v>
      </c>
    </row>
    <row r="1339" spans="1:22" s="49" customFormat="1" ht="14.15" customHeight="1">
      <c r="A1339" s="55"/>
      <c r="B1339" s="44" t="s">
        <v>157</v>
      </c>
      <c r="C1339" s="50"/>
      <c r="D1339" s="10" t="s">
        <v>29</v>
      </c>
      <c r="E1339" s="11"/>
      <c r="F1339" s="11" t="s">
        <v>18</v>
      </c>
      <c r="G1339" s="13"/>
      <c r="H1339" s="45" t="s">
        <v>16</v>
      </c>
      <c r="I1339" s="47"/>
      <c r="J1339" s="12" t="s">
        <v>4232</v>
      </c>
      <c r="K1339" s="13" t="s">
        <v>8139</v>
      </c>
      <c r="L1339" s="99" t="str">
        <f t="shared" si="87"/>
        <v>W2250.8</v>
      </c>
      <c r="M1339" s="13"/>
      <c r="N1339" s="13"/>
      <c r="O1339" s="56"/>
      <c r="P1339" s="47"/>
      <c r="Q1339" s="45"/>
      <c r="R1339" s="45"/>
      <c r="S1339" s="48"/>
      <c r="T1339" s="49" t="str">
        <f>"["&amp;L1309&amp;"]"</f>
        <v>[W224E.A]</v>
      </c>
      <c r="U1339" s="12" t="str">
        <f>RIGHT(J1309,LEN(J1309)-6)</f>
        <v>]</v>
      </c>
      <c r="V1339" s="49" t="str">
        <f>T1309&amp;U1309</f>
        <v/>
      </c>
    </row>
    <row r="1340" spans="1:22" s="49" customFormat="1" ht="14.15" customHeight="1">
      <c r="A1340" s="55"/>
      <c r="B1340" s="44" t="s">
        <v>157</v>
      </c>
      <c r="C1340" s="50"/>
      <c r="D1340" s="10" t="s">
        <v>29</v>
      </c>
      <c r="E1340" s="11"/>
      <c r="F1340" s="11" t="s">
        <v>18</v>
      </c>
      <c r="G1340" s="13"/>
      <c r="H1340" s="45" t="s">
        <v>16</v>
      </c>
      <c r="I1340" s="47"/>
      <c r="J1340" s="12" t="s">
        <v>4233</v>
      </c>
      <c r="K1340" s="13" t="s">
        <v>8140</v>
      </c>
      <c r="L1340" s="99" t="str">
        <f t="shared" si="87"/>
        <v>W2250.9</v>
      </c>
      <c r="M1340" s="13"/>
      <c r="N1340" s="13"/>
      <c r="O1340" s="56"/>
      <c r="P1340" s="47"/>
      <c r="Q1340" s="45"/>
      <c r="R1340" s="45"/>
      <c r="S1340" s="48"/>
      <c r="T1340" s="49" t="str">
        <f t="shared" si="88"/>
        <v>[W2250.9]</v>
      </c>
      <c r="U1340" s="12" t="str">
        <f t="shared" si="86"/>
        <v>]</v>
      </c>
      <c r="V1340" s="49" t="str">
        <f t="shared" si="89"/>
        <v>[W2250.9]]</v>
      </c>
    </row>
    <row r="1341" spans="1:22" s="49" customFormat="1" ht="14.15" customHeight="1">
      <c r="A1341" s="55"/>
      <c r="B1341" s="44" t="s">
        <v>157</v>
      </c>
      <c r="C1341" s="50"/>
      <c r="D1341" s="10" t="s">
        <v>29</v>
      </c>
      <c r="E1341" s="11"/>
      <c r="F1341" s="11" t="s">
        <v>18</v>
      </c>
      <c r="G1341" s="13"/>
      <c r="H1341" s="45" t="s">
        <v>16</v>
      </c>
      <c r="I1341" s="47"/>
      <c r="J1341" s="12" t="s">
        <v>4234</v>
      </c>
      <c r="K1341" s="13" t="s">
        <v>8141</v>
      </c>
      <c r="L1341" s="99" t="str">
        <f t="shared" si="87"/>
        <v>W2250.A</v>
      </c>
      <c r="M1341" s="13"/>
      <c r="N1341" s="13"/>
      <c r="O1341" s="56"/>
      <c r="P1341" s="47"/>
      <c r="Q1341" s="45"/>
      <c r="R1341" s="45"/>
      <c r="S1341" s="48"/>
      <c r="T1341" s="49" t="str">
        <f t="shared" si="88"/>
        <v>[W2250.A]</v>
      </c>
      <c r="U1341" s="12" t="str">
        <f t="shared" si="86"/>
        <v>]</v>
      </c>
      <c r="V1341" s="49" t="str">
        <f t="shared" si="89"/>
        <v>[W2250.A]]</v>
      </c>
    </row>
    <row r="1342" spans="1:22" s="49" customFormat="1" ht="14.15" customHeight="1">
      <c r="A1342" s="55"/>
      <c r="B1342" s="44" t="s">
        <v>157</v>
      </c>
      <c r="C1342" s="50"/>
      <c r="D1342" s="10" t="s">
        <v>29</v>
      </c>
      <c r="E1342" s="11"/>
      <c r="F1342" s="11" t="s">
        <v>18</v>
      </c>
      <c r="G1342" s="13"/>
      <c r="H1342" s="45" t="s">
        <v>16</v>
      </c>
      <c r="I1342" s="47"/>
      <c r="J1342" s="12" t="s">
        <v>4235</v>
      </c>
      <c r="K1342" s="13" t="s">
        <v>8142</v>
      </c>
      <c r="L1342" s="99" t="str">
        <f t="shared" si="87"/>
        <v>W2250.B</v>
      </c>
      <c r="M1342" s="13"/>
      <c r="N1342" s="13"/>
      <c r="O1342" s="56"/>
      <c r="P1342" s="47"/>
      <c r="Q1342" s="45"/>
      <c r="R1342" s="45"/>
      <c r="S1342" s="48"/>
      <c r="T1342" s="49" t="str">
        <f t="shared" si="88"/>
        <v>[W2250.B]</v>
      </c>
      <c r="U1342" s="12" t="str">
        <f t="shared" si="86"/>
        <v>]</v>
      </c>
      <c r="V1342" s="49" t="str">
        <f t="shared" si="89"/>
        <v>[W2250.B]]</v>
      </c>
    </row>
    <row r="1343" spans="1:22" s="49" customFormat="1" ht="14.15" customHeight="1">
      <c r="A1343" s="55"/>
      <c r="B1343" s="44" t="s">
        <v>157</v>
      </c>
      <c r="C1343" s="50"/>
      <c r="D1343" s="10" t="s">
        <v>29</v>
      </c>
      <c r="E1343" s="11"/>
      <c r="F1343" s="11" t="s">
        <v>18</v>
      </c>
      <c r="G1343" s="13"/>
      <c r="H1343" s="45" t="s">
        <v>16</v>
      </c>
      <c r="I1343" s="47"/>
      <c r="J1343" s="12" t="s">
        <v>4236</v>
      </c>
      <c r="K1343" s="13" t="s">
        <v>8143</v>
      </c>
      <c r="L1343" s="99" t="str">
        <f t="shared" si="87"/>
        <v>W2250.C</v>
      </c>
      <c r="M1343" s="13"/>
      <c r="N1343" s="13"/>
      <c r="O1343" s="56"/>
      <c r="P1343" s="47"/>
      <c r="Q1343" s="45"/>
      <c r="R1343" s="45"/>
      <c r="S1343" s="48"/>
      <c r="T1343" s="49" t="str">
        <f t="shared" si="88"/>
        <v>[W2250.C]</v>
      </c>
      <c r="U1343" s="12" t="str">
        <f t="shared" si="86"/>
        <v>]</v>
      </c>
      <c r="V1343" s="49" t="str">
        <f t="shared" si="89"/>
        <v>[W2250.C]]</v>
      </c>
    </row>
    <row r="1344" spans="1:22" s="49" customFormat="1" ht="14.15" customHeight="1">
      <c r="A1344" s="55"/>
      <c r="B1344" s="44" t="s">
        <v>157</v>
      </c>
      <c r="C1344" s="50"/>
      <c r="D1344" s="10" t="s">
        <v>29</v>
      </c>
      <c r="E1344" s="11"/>
      <c r="F1344" s="11" t="s">
        <v>18</v>
      </c>
      <c r="G1344" s="13"/>
      <c r="H1344" s="45" t="s">
        <v>16</v>
      </c>
      <c r="I1344" s="47"/>
      <c r="J1344" s="12" t="s">
        <v>4237</v>
      </c>
      <c r="K1344" s="13" t="s">
        <v>8144</v>
      </c>
      <c r="L1344" s="99" t="str">
        <f t="shared" si="87"/>
        <v>W2250.D</v>
      </c>
      <c r="M1344" s="13"/>
      <c r="N1344" s="13"/>
      <c r="O1344" s="57"/>
      <c r="P1344" s="47"/>
      <c r="Q1344" s="45"/>
      <c r="R1344" s="45"/>
      <c r="S1344" s="48"/>
      <c r="T1344" s="49" t="str">
        <f t="shared" si="88"/>
        <v>[W2250.D]</v>
      </c>
      <c r="U1344" s="12" t="str">
        <f t="shared" si="86"/>
        <v>]</v>
      </c>
      <c r="V1344" s="49" t="str">
        <f t="shared" si="89"/>
        <v>[W2250.D]]</v>
      </c>
    </row>
    <row r="1345" spans="1:22" s="49" customFormat="1" ht="14.15" customHeight="1">
      <c r="A1345" s="55"/>
      <c r="B1345" s="44" t="s">
        <v>157</v>
      </c>
      <c r="C1345" s="50"/>
      <c r="D1345" s="10" t="s">
        <v>29</v>
      </c>
      <c r="E1345" s="11"/>
      <c r="F1345" s="11" t="s">
        <v>18</v>
      </c>
      <c r="G1345" s="13"/>
      <c r="H1345" s="45" t="s">
        <v>16</v>
      </c>
      <c r="I1345" s="46"/>
      <c r="J1345" s="12" t="s">
        <v>4238</v>
      </c>
      <c r="K1345" s="13" t="s">
        <v>8145</v>
      </c>
      <c r="L1345" s="99" t="str">
        <f t="shared" si="87"/>
        <v>W2250.E</v>
      </c>
      <c r="M1345" s="13"/>
      <c r="N1345" s="13"/>
      <c r="O1345" s="57"/>
      <c r="P1345" s="47"/>
      <c r="Q1345" s="45"/>
      <c r="R1345" s="45"/>
      <c r="S1345" s="48"/>
      <c r="T1345" s="49" t="str">
        <f t="shared" si="88"/>
        <v>[W2250.E]</v>
      </c>
      <c r="U1345" s="12" t="str">
        <f t="shared" si="86"/>
        <v>]</v>
      </c>
      <c r="V1345" s="49" t="str">
        <f t="shared" si="89"/>
        <v>[W2250.E]]</v>
      </c>
    </row>
    <row r="1346" spans="1:22" s="49" customFormat="1" ht="14.15" customHeight="1">
      <c r="A1346" s="55"/>
      <c r="B1346" s="44" t="s">
        <v>157</v>
      </c>
      <c r="C1346" s="50"/>
      <c r="D1346" s="10" t="s">
        <v>29</v>
      </c>
      <c r="E1346" s="11"/>
      <c r="F1346" s="11" t="s">
        <v>18</v>
      </c>
      <c r="G1346" s="13"/>
      <c r="H1346" s="45" t="s">
        <v>16</v>
      </c>
      <c r="I1346" s="47"/>
      <c r="J1346" s="12" t="s">
        <v>4239</v>
      </c>
      <c r="K1346" s="13" t="s">
        <v>8146</v>
      </c>
      <c r="L1346" s="99" t="str">
        <f t="shared" si="87"/>
        <v>W2250.F</v>
      </c>
      <c r="M1346" s="13"/>
      <c r="N1346" s="13"/>
      <c r="O1346" s="57"/>
      <c r="P1346" s="47"/>
      <c r="Q1346" s="45"/>
      <c r="R1346" s="45"/>
      <c r="S1346" s="48"/>
      <c r="T1346" s="49" t="str">
        <f t="shared" si="88"/>
        <v>[W2250.F]</v>
      </c>
      <c r="U1346" s="12" t="str">
        <f t="shared" si="86"/>
        <v>]</v>
      </c>
      <c r="V1346" s="49" t="str">
        <f t="shared" si="89"/>
        <v>[W2250.F]]</v>
      </c>
    </row>
    <row r="1347" spans="1:22" s="49" customFormat="1" ht="14.15" customHeight="1">
      <c r="A1347" s="55"/>
      <c r="B1347" s="44" t="s">
        <v>157</v>
      </c>
      <c r="C1347" s="50"/>
      <c r="D1347" s="10" t="s">
        <v>29</v>
      </c>
      <c r="E1347" s="11"/>
      <c r="F1347" s="11" t="s">
        <v>18</v>
      </c>
      <c r="G1347" s="13"/>
      <c r="H1347" s="45" t="s">
        <v>16</v>
      </c>
      <c r="I1347" s="46"/>
      <c r="J1347" s="12" t="s">
        <v>4240</v>
      </c>
      <c r="K1347" s="13" t="s">
        <v>8147</v>
      </c>
      <c r="L1347" s="99" t="str">
        <f t="shared" si="87"/>
        <v>W2251.0</v>
      </c>
      <c r="M1347" s="13"/>
      <c r="N1347" s="13"/>
      <c r="O1347" s="57"/>
      <c r="P1347" s="47"/>
      <c r="Q1347" s="45"/>
      <c r="R1347" s="45"/>
      <c r="S1347" s="48"/>
      <c r="T1347" s="49" t="str">
        <f t="shared" si="88"/>
        <v>[W2251.0]</v>
      </c>
      <c r="U1347" s="12" t="str">
        <f t="shared" si="86"/>
        <v>]</v>
      </c>
      <c r="V1347" s="49" t="str">
        <f t="shared" si="89"/>
        <v>[W2251.0]]</v>
      </c>
    </row>
    <row r="1348" spans="1:22" s="49" customFormat="1" ht="14.15" customHeight="1">
      <c r="A1348" s="55"/>
      <c r="B1348" s="44" t="s">
        <v>157</v>
      </c>
      <c r="C1348" s="50"/>
      <c r="D1348" s="10" t="s">
        <v>29</v>
      </c>
      <c r="E1348" s="11"/>
      <c r="F1348" s="11" t="s">
        <v>18</v>
      </c>
      <c r="G1348" s="13"/>
      <c r="H1348" s="45" t="s">
        <v>16</v>
      </c>
      <c r="I1348" s="47"/>
      <c r="J1348" s="12" t="s">
        <v>4241</v>
      </c>
      <c r="K1348" s="13" t="s">
        <v>8148</v>
      </c>
      <c r="L1348" s="99" t="str">
        <f t="shared" si="87"/>
        <v>W2251.1</v>
      </c>
      <c r="M1348" s="13"/>
      <c r="N1348" s="13"/>
      <c r="O1348" s="13"/>
      <c r="P1348" s="47"/>
      <c r="Q1348" s="45"/>
      <c r="R1348" s="45"/>
      <c r="S1348" s="48"/>
      <c r="U1348" s="12"/>
    </row>
    <row r="1349" spans="1:22" s="49" customFormat="1" ht="14.15" customHeight="1">
      <c r="A1349" s="55"/>
      <c r="B1349" s="44" t="s">
        <v>157</v>
      </c>
      <c r="C1349" s="50"/>
      <c r="D1349" s="10" t="s">
        <v>29</v>
      </c>
      <c r="E1349" s="11"/>
      <c r="F1349" s="11" t="s">
        <v>18</v>
      </c>
      <c r="G1349" s="13"/>
      <c r="H1349" s="45" t="s">
        <v>16</v>
      </c>
      <c r="I1349" s="47"/>
      <c r="J1349" s="12" t="s">
        <v>4242</v>
      </c>
      <c r="K1349" s="13" t="s">
        <v>8149</v>
      </c>
      <c r="L1349" s="99" t="str">
        <f t="shared" si="87"/>
        <v>W2251.2</v>
      </c>
      <c r="M1349" s="13"/>
      <c r="N1349" s="13"/>
      <c r="O1349" s="13"/>
      <c r="P1349" s="47"/>
      <c r="Q1349" s="45"/>
      <c r="R1349" s="45"/>
      <c r="S1349" s="48"/>
      <c r="U1349" s="12"/>
    </row>
    <row r="1350" spans="1:22" s="49" customFormat="1" ht="14.15" customHeight="1">
      <c r="A1350" s="43" t="s">
        <v>5603</v>
      </c>
      <c r="B1350" s="44" t="s">
        <v>157</v>
      </c>
      <c r="C1350" s="50"/>
      <c r="D1350" s="10" t="s">
        <v>29</v>
      </c>
      <c r="E1350" s="11"/>
      <c r="F1350" s="11" t="s">
        <v>18</v>
      </c>
      <c r="G1350" s="13"/>
      <c r="H1350" s="45" t="s">
        <v>16</v>
      </c>
      <c r="I1350" s="47"/>
      <c r="J1350" s="12" t="s">
        <v>5521</v>
      </c>
      <c r="K1350" s="13" t="s">
        <v>8150</v>
      </c>
      <c r="L1350" s="99" t="str">
        <f t="shared" si="87"/>
        <v>W2251.3</v>
      </c>
      <c r="M1350" s="13" t="s">
        <v>17</v>
      </c>
      <c r="N1350" s="13"/>
      <c r="O1350" s="13"/>
      <c r="P1350" s="47"/>
      <c r="Q1350" s="45" t="s">
        <v>142</v>
      </c>
      <c r="R1350" s="45" t="s">
        <v>5553</v>
      </c>
      <c r="S1350" s="45" t="s">
        <v>5554</v>
      </c>
      <c r="T1350" s="45" t="s">
        <v>5556</v>
      </c>
      <c r="U1350" s="45" t="s">
        <v>5557</v>
      </c>
      <c r="V1350" s="45" t="s">
        <v>5555</v>
      </c>
    </row>
    <row r="1351" spans="1:22" s="49" customFormat="1" ht="14.15" customHeight="1">
      <c r="A1351" s="43" t="s">
        <v>5603</v>
      </c>
      <c r="B1351" s="44" t="s">
        <v>157</v>
      </c>
      <c r="C1351" s="50"/>
      <c r="D1351" s="10" t="s">
        <v>29</v>
      </c>
      <c r="E1351" s="11"/>
      <c r="F1351" s="11" t="s">
        <v>18</v>
      </c>
      <c r="G1351" s="13"/>
      <c r="H1351" s="45" t="s">
        <v>16</v>
      </c>
      <c r="I1351" s="47"/>
      <c r="J1351" s="12" t="s">
        <v>5522</v>
      </c>
      <c r="K1351" s="13" t="s">
        <v>8151</v>
      </c>
      <c r="L1351" s="99" t="str">
        <f t="shared" si="87"/>
        <v>W2251.4</v>
      </c>
      <c r="M1351" s="13" t="s">
        <v>17</v>
      </c>
      <c r="N1351" s="13"/>
      <c r="O1351" s="13"/>
      <c r="P1351" s="47"/>
      <c r="Q1351" s="45" t="s">
        <v>142</v>
      </c>
      <c r="R1351" s="45" t="s">
        <v>5553</v>
      </c>
      <c r="S1351" s="48"/>
      <c r="U1351" s="12"/>
    </row>
    <row r="1352" spans="1:22" s="49" customFormat="1" ht="14.15" customHeight="1">
      <c r="A1352" s="43" t="s">
        <v>5603</v>
      </c>
      <c r="B1352" s="44" t="s">
        <v>157</v>
      </c>
      <c r="C1352" s="50"/>
      <c r="D1352" s="10" t="s">
        <v>29</v>
      </c>
      <c r="E1352" s="11"/>
      <c r="F1352" s="11" t="s">
        <v>18</v>
      </c>
      <c r="G1352" s="13"/>
      <c r="H1352" s="45" t="s">
        <v>16</v>
      </c>
      <c r="I1352" s="47"/>
      <c r="J1352" s="12" t="s">
        <v>5523</v>
      </c>
      <c r="K1352" s="13" t="s">
        <v>8152</v>
      </c>
      <c r="L1352" s="99" t="str">
        <f t="shared" si="87"/>
        <v>W2251.5</v>
      </c>
      <c r="M1352" s="13" t="s">
        <v>17</v>
      </c>
      <c r="N1352" s="13"/>
      <c r="O1352" s="13"/>
      <c r="P1352" s="47"/>
      <c r="Q1352" s="45" t="s">
        <v>142</v>
      </c>
      <c r="R1352" s="45" t="s">
        <v>5553</v>
      </c>
      <c r="S1352" s="45" t="s">
        <v>5554</v>
      </c>
      <c r="T1352" s="45" t="s">
        <v>5556</v>
      </c>
      <c r="U1352" s="45" t="s">
        <v>5557</v>
      </c>
      <c r="V1352" s="45" t="s">
        <v>5555</v>
      </c>
    </row>
    <row r="1353" spans="1:22" s="49" customFormat="1" ht="14.15" customHeight="1">
      <c r="A1353" s="43" t="s">
        <v>5603</v>
      </c>
      <c r="B1353" s="44" t="s">
        <v>157</v>
      </c>
      <c r="C1353" s="50"/>
      <c r="D1353" s="10" t="s">
        <v>29</v>
      </c>
      <c r="E1353" s="11"/>
      <c r="F1353" s="11" t="s">
        <v>18</v>
      </c>
      <c r="G1353" s="13"/>
      <c r="H1353" s="45" t="s">
        <v>16</v>
      </c>
      <c r="I1353" s="47"/>
      <c r="J1353" s="12" t="s">
        <v>5524</v>
      </c>
      <c r="K1353" s="13" t="s">
        <v>8153</v>
      </c>
      <c r="L1353" s="99" t="str">
        <f t="shared" si="87"/>
        <v>W2251.6</v>
      </c>
      <c r="M1353" s="13" t="s">
        <v>17</v>
      </c>
      <c r="N1353" s="13"/>
      <c r="O1353" s="13"/>
      <c r="P1353" s="47"/>
      <c r="Q1353" s="45" t="s">
        <v>142</v>
      </c>
      <c r="R1353" s="45" t="s">
        <v>5553</v>
      </c>
      <c r="S1353" s="48"/>
      <c r="U1353" s="12"/>
    </row>
    <row r="1354" spans="1:22" s="49" customFormat="1" ht="14.15" customHeight="1">
      <c r="A1354" s="43" t="s">
        <v>5603</v>
      </c>
      <c r="B1354" s="44" t="s">
        <v>157</v>
      </c>
      <c r="C1354" s="50"/>
      <c r="D1354" s="10" t="s">
        <v>29</v>
      </c>
      <c r="E1354" s="11"/>
      <c r="F1354" s="11" t="s">
        <v>18</v>
      </c>
      <c r="G1354" s="13"/>
      <c r="H1354" s="45" t="s">
        <v>16</v>
      </c>
      <c r="I1354" s="47"/>
      <c r="J1354" s="12" t="s">
        <v>5525</v>
      </c>
      <c r="K1354" s="13" t="s">
        <v>8154</v>
      </c>
      <c r="L1354" s="99" t="str">
        <f t="shared" si="87"/>
        <v>W2251.7</v>
      </c>
      <c r="M1354" s="13" t="s">
        <v>17</v>
      </c>
      <c r="N1354" s="13"/>
      <c r="O1354" s="13"/>
      <c r="P1354" s="47"/>
      <c r="Q1354" s="45" t="s">
        <v>142</v>
      </c>
      <c r="R1354" s="45" t="s">
        <v>5553</v>
      </c>
      <c r="S1354" s="48"/>
      <c r="U1354" s="12"/>
    </row>
    <row r="1355" spans="1:22" s="49" customFormat="1" ht="14.15" customHeight="1">
      <c r="A1355" s="43" t="s">
        <v>5603</v>
      </c>
      <c r="B1355" s="44" t="s">
        <v>157</v>
      </c>
      <c r="C1355" s="50"/>
      <c r="D1355" s="10" t="s">
        <v>29</v>
      </c>
      <c r="E1355" s="11"/>
      <c r="F1355" s="11" t="s">
        <v>18</v>
      </c>
      <c r="G1355" s="13"/>
      <c r="H1355" s="45" t="s">
        <v>16</v>
      </c>
      <c r="I1355" s="47"/>
      <c r="J1355" s="12" t="s">
        <v>5526</v>
      </c>
      <c r="K1355" s="13" t="s">
        <v>8155</v>
      </c>
      <c r="L1355" s="99" t="str">
        <f t="shared" si="87"/>
        <v>W2251.8</v>
      </c>
      <c r="M1355" s="13" t="s">
        <v>17</v>
      </c>
      <c r="N1355" s="13"/>
      <c r="O1355" s="13"/>
      <c r="P1355" s="47"/>
      <c r="Q1355" s="45" t="s">
        <v>142</v>
      </c>
      <c r="R1355" s="45" t="s">
        <v>5553</v>
      </c>
      <c r="S1355" s="48"/>
      <c r="U1355" s="12"/>
    </row>
    <row r="1356" spans="1:22" s="49" customFormat="1" ht="14.15" customHeight="1">
      <c r="A1356" s="43" t="s">
        <v>5603</v>
      </c>
      <c r="B1356" s="44" t="s">
        <v>157</v>
      </c>
      <c r="C1356" s="50"/>
      <c r="D1356" s="10" t="s">
        <v>29</v>
      </c>
      <c r="E1356" s="11"/>
      <c r="F1356" s="11" t="s">
        <v>18</v>
      </c>
      <c r="G1356" s="13"/>
      <c r="H1356" s="45" t="s">
        <v>16</v>
      </c>
      <c r="I1356" s="47"/>
      <c r="J1356" s="12" t="s">
        <v>5527</v>
      </c>
      <c r="K1356" s="13" t="s">
        <v>8156</v>
      </c>
      <c r="L1356" s="99" t="str">
        <f t="shared" si="87"/>
        <v>W2251.9</v>
      </c>
      <c r="M1356" s="13" t="s">
        <v>17</v>
      </c>
      <c r="N1356" s="13"/>
      <c r="O1356" s="13"/>
      <c r="P1356" s="47"/>
      <c r="Q1356" s="45" t="s">
        <v>142</v>
      </c>
      <c r="R1356" s="45" t="s">
        <v>5553</v>
      </c>
      <c r="S1356" s="48"/>
      <c r="U1356" s="12"/>
    </row>
    <row r="1357" spans="1:22" s="49" customFormat="1" ht="14.15" customHeight="1">
      <c r="A1357" s="43" t="s">
        <v>5603</v>
      </c>
      <c r="B1357" s="44" t="s">
        <v>157</v>
      </c>
      <c r="C1357" s="50"/>
      <c r="D1357" s="10" t="s">
        <v>29</v>
      </c>
      <c r="E1357" s="11"/>
      <c r="F1357" s="11" t="s">
        <v>18</v>
      </c>
      <c r="G1357" s="13"/>
      <c r="H1357" s="45" t="s">
        <v>16</v>
      </c>
      <c r="I1357" s="47"/>
      <c r="J1357" s="12" t="s">
        <v>5528</v>
      </c>
      <c r="K1357" s="13" t="s">
        <v>8157</v>
      </c>
      <c r="L1357" s="99" t="str">
        <f t="shared" si="87"/>
        <v>W2251.A</v>
      </c>
      <c r="M1357" s="13" t="s">
        <v>17</v>
      </c>
      <c r="N1357" s="13"/>
      <c r="O1357" s="57"/>
      <c r="P1357" s="47"/>
      <c r="Q1357" s="45" t="s">
        <v>142</v>
      </c>
      <c r="R1357" s="45" t="s">
        <v>5553</v>
      </c>
      <c r="S1357" s="48"/>
      <c r="T1357" s="49" t="str">
        <f t="shared" ref="T1357:T1412" si="90">"["&amp;L1357&amp;"]"</f>
        <v>[W2251.A]</v>
      </c>
      <c r="U1357" s="12" t="str">
        <f t="shared" ref="U1357:U1412" si="91">RIGHT(J1357,LEN(J1357)-6)</f>
        <v>] U-밴딩 가스켓 디버링 가이드 후진 시간초과 (X7A1, X7A3, Y7D1)</v>
      </c>
      <c r="V1357" s="49" t="str">
        <f t="shared" ref="V1357:V1412" si="92">T1357&amp;U1357</f>
        <v>[W2251.A]] U-밴딩 가스켓 디버링 가이드 후진 시간초과 (X7A1, X7A3, Y7D1)</v>
      </c>
    </row>
    <row r="1358" spans="1:22" s="49" customFormat="1" ht="14.15" customHeight="1">
      <c r="A1358" s="43" t="s">
        <v>5603</v>
      </c>
      <c r="B1358" s="44" t="s">
        <v>157</v>
      </c>
      <c r="C1358" s="50"/>
      <c r="D1358" s="10" t="s">
        <v>29</v>
      </c>
      <c r="E1358" s="11"/>
      <c r="F1358" s="11" t="s">
        <v>18</v>
      </c>
      <c r="G1358" s="13"/>
      <c r="H1358" s="45" t="s">
        <v>16</v>
      </c>
      <c r="I1358" s="46"/>
      <c r="J1358" s="12" t="s">
        <v>5529</v>
      </c>
      <c r="K1358" s="13" t="s">
        <v>8158</v>
      </c>
      <c r="L1358" s="99" t="str">
        <f t="shared" si="87"/>
        <v>W2251.B</v>
      </c>
      <c r="M1358" s="13" t="s">
        <v>17</v>
      </c>
      <c r="N1358" s="13"/>
      <c r="O1358" s="57"/>
      <c r="P1358" s="47"/>
      <c r="Q1358" s="45" t="s">
        <v>142</v>
      </c>
      <c r="R1358" s="45" t="s">
        <v>5553</v>
      </c>
      <c r="S1358" s="48"/>
      <c r="T1358" s="49" t="str">
        <f t="shared" si="90"/>
        <v>[W2251.B]</v>
      </c>
      <c r="U1358" s="12" t="str">
        <f t="shared" si="91"/>
        <v>] U-밴딩 가스켓 디버링 가이드 전진/후진 센서이상 (X7A0, X7A1, X7A2, X7A3)</v>
      </c>
      <c r="V1358" s="49" t="str">
        <f t="shared" si="92"/>
        <v>[W2251.B]] U-밴딩 가스켓 디버링 가이드 전진/후진 센서이상 (X7A0, X7A1, X7A2, X7A3)</v>
      </c>
    </row>
    <row r="1359" spans="1:22" s="49" customFormat="1" ht="14.15" customHeight="1">
      <c r="A1359" s="43" t="s">
        <v>5603</v>
      </c>
      <c r="B1359" s="44" t="s">
        <v>157</v>
      </c>
      <c r="C1359" s="50"/>
      <c r="D1359" s="10" t="s">
        <v>29</v>
      </c>
      <c r="E1359" s="11"/>
      <c r="F1359" s="11" t="s">
        <v>18</v>
      </c>
      <c r="G1359" s="13"/>
      <c r="H1359" s="45" t="s">
        <v>16</v>
      </c>
      <c r="I1359" s="47"/>
      <c r="J1359" s="12" t="s">
        <v>5530</v>
      </c>
      <c r="K1359" s="13" t="s">
        <v>8159</v>
      </c>
      <c r="L1359" s="99" t="str">
        <f t="shared" si="87"/>
        <v>W2251.C</v>
      </c>
      <c r="M1359" s="13" t="s">
        <v>17</v>
      </c>
      <c r="N1359" s="13"/>
      <c r="O1359" s="57"/>
      <c r="P1359" s="47"/>
      <c r="Q1359" s="45" t="s">
        <v>142</v>
      </c>
      <c r="R1359" s="45" t="s">
        <v>5553</v>
      </c>
      <c r="S1359" s="48"/>
      <c r="T1359" s="49" t="str">
        <f t="shared" si="90"/>
        <v>[W2251.C]</v>
      </c>
      <c r="U1359" s="12" t="str">
        <f t="shared" si="91"/>
        <v>] U-밴딩 가스켓 디버링 디버링 상승 시간초과 (X7A4, X7A6, Y7D2)</v>
      </c>
      <c r="V1359" s="49" t="str">
        <f t="shared" si="92"/>
        <v>[W2251.C]] U-밴딩 가스켓 디버링 디버링 상승 시간초과 (X7A4, X7A6, Y7D2)</v>
      </c>
    </row>
    <row r="1360" spans="1:22" s="49" customFormat="1" ht="14.15" customHeight="1">
      <c r="A1360" s="43" t="s">
        <v>5603</v>
      </c>
      <c r="B1360" s="44" t="s">
        <v>157</v>
      </c>
      <c r="C1360" s="50"/>
      <c r="D1360" s="10" t="s">
        <v>29</v>
      </c>
      <c r="E1360" s="11"/>
      <c r="F1360" s="11" t="s">
        <v>18</v>
      </c>
      <c r="G1360" s="13"/>
      <c r="H1360" s="45" t="s">
        <v>16</v>
      </c>
      <c r="I1360" s="46"/>
      <c r="J1360" s="12" t="s">
        <v>5531</v>
      </c>
      <c r="K1360" s="13" t="s">
        <v>8160</v>
      </c>
      <c r="L1360" s="99" t="str">
        <f t="shared" si="87"/>
        <v>W2251.D</v>
      </c>
      <c r="M1360" s="13" t="s">
        <v>17</v>
      </c>
      <c r="N1360" s="13"/>
      <c r="O1360" s="57"/>
      <c r="P1360" s="47"/>
      <c r="Q1360" s="45" t="s">
        <v>142</v>
      </c>
      <c r="R1360" s="45" t="s">
        <v>5553</v>
      </c>
      <c r="S1360" s="48"/>
      <c r="T1360" s="49" t="str">
        <f t="shared" si="90"/>
        <v>[W2251.D]</v>
      </c>
      <c r="U1360" s="12" t="str">
        <f t="shared" si="91"/>
        <v>] U-밴딩 가스켓 디버링 디버링 하강 시간초과 (X7A5, X7A7, Y7D3)</v>
      </c>
      <c r="V1360" s="49" t="str">
        <f t="shared" si="92"/>
        <v>[W2251.D]] U-밴딩 가스켓 디버링 디버링 하강 시간초과 (X7A5, X7A7, Y7D3)</v>
      </c>
    </row>
    <row r="1361" spans="1:22" s="49" customFormat="1" ht="14.15" customHeight="1">
      <c r="A1361" s="43" t="s">
        <v>5603</v>
      </c>
      <c r="B1361" s="44" t="s">
        <v>157</v>
      </c>
      <c r="C1361" s="50"/>
      <c r="D1361" s="10" t="s">
        <v>29</v>
      </c>
      <c r="E1361" s="11"/>
      <c r="F1361" s="11" t="s">
        <v>18</v>
      </c>
      <c r="G1361" s="13"/>
      <c r="H1361" s="45" t="s">
        <v>16</v>
      </c>
      <c r="I1361" s="47"/>
      <c r="J1361" s="12" t="s">
        <v>5532</v>
      </c>
      <c r="K1361" s="13" t="s">
        <v>8161</v>
      </c>
      <c r="L1361" s="99" t="str">
        <f t="shared" si="87"/>
        <v>W2251.E</v>
      </c>
      <c r="M1361" s="13" t="s">
        <v>17</v>
      </c>
      <c r="N1361" s="13"/>
      <c r="O1361" s="13"/>
      <c r="P1361" s="47"/>
      <c r="Q1361" s="45" t="s">
        <v>142</v>
      </c>
      <c r="R1361" s="45" t="s">
        <v>5553</v>
      </c>
      <c r="S1361" s="48"/>
      <c r="U1361" s="12"/>
    </row>
    <row r="1362" spans="1:22" s="49" customFormat="1" ht="14.15" customHeight="1">
      <c r="A1362" s="43" t="s">
        <v>5603</v>
      </c>
      <c r="B1362" s="44" t="s">
        <v>157</v>
      </c>
      <c r="C1362" s="50"/>
      <c r="D1362" s="10" t="s">
        <v>29</v>
      </c>
      <c r="E1362" s="11"/>
      <c r="F1362" s="11" t="s">
        <v>18</v>
      </c>
      <c r="G1362" s="13"/>
      <c r="H1362" s="45" t="s">
        <v>16</v>
      </c>
      <c r="I1362" s="47"/>
      <c r="J1362" s="12" t="s">
        <v>5533</v>
      </c>
      <c r="K1362" s="13" t="s">
        <v>8162</v>
      </c>
      <c r="L1362" s="99" t="str">
        <f t="shared" si="87"/>
        <v>W2251.F</v>
      </c>
      <c r="M1362" s="13" t="s">
        <v>17</v>
      </c>
      <c r="N1362" s="13"/>
      <c r="O1362" s="13"/>
      <c r="P1362" s="47"/>
      <c r="Q1362" s="45" t="s">
        <v>142</v>
      </c>
      <c r="R1362" s="45" t="s">
        <v>5553</v>
      </c>
      <c r="S1362" s="48"/>
      <c r="U1362" s="12"/>
    </row>
    <row r="1363" spans="1:22" s="49" customFormat="1" ht="14.15" customHeight="1">
      <c r="A1363" s="43" t="s">
        <v>5603</v>
      </c>
      <c r="B1363" s="44" t="s">
        <v>157</v>
      </c>
      <c r="C1363" s="50"/>
      <c r="D1363" s="10" t="s">
        <v>29</v>
      </c>
      <c r="E1363" s="11"/>
      <c r="F1363" s="11" t="s">
        <v>18</v>
      </c>
      <c r="G1363" s="13"/>
      <c r="H1363" s="45" t="s">
        <v>16</v>
      </c>
      <c r="I1363" s="47"/>
      <c r="J1363" s="12" t="s">
        <v>5534</v>
      </c>
      <c r="K1363" s="13" t="s">
        <v>8163</v>
      </c>
      <c r="L1363" s="99" t="str">
        <f t="shared" si="87"/>
        <v>W2252.0</v>
      </c>
      <c r="M1363" s="13" t="s">
        <v>17</v>
      </c>
      <c r="N1363" s="13"/>
      <c r="O1363" s="13"/>
      <c r="P1363" s="47"/>
      <c r="Q1363" s="45" t="s">
        <v>142</v>
      </c>
      <c r="R1363" s="45" t="s">
        <v>5553</v>
      </c>
      <c r="S1363" s="48"/>
      <c r="U1363" s="12"/>
    </row>
    <row r="1364" spans="1:22" s="49" customFormat="1" ht="14.15" customHeight="1">
      <c r="A1364" s="43" t="s">
        <v>5603</v>
      </c>
      <c r="B1364" s="44" t="s">
        <v>157</v>
      </c>
      <c r="C1364" s="50"/>
      <c r="D1364" s="10" t="s">
        <v>29</v>
      </c>
      <c r="E1364" s="11"/>
      <c r="F1364" s="11" t="s">
        <v>18</v>
      </c>
      <c r="G1364" s="13"/>
      <c r="H1364" s="45" t="s">
        <v>16</v>
      </c>
      <c r="I1364" s="47"/>
      <c r="J1364" s="12" t="s">
        <v>5535</v>
      </c>
      <c r="K1364" s="13" t="s">
        <v>8164</v>
      </c>
      <c r="L1364" s="99" t="str">
        <f t="shared" si="87"/>
        <v>W2252.1</v>
      </c>
      <c r="M1364" s="13" t="s">
        <v>17</v>
      </c>
      <c r="N1364" s="13"/>
      <c r="O1364" s="13"/>
      <c r="P1364" s="47"/>
      <c r="Q1364" s="45" t="s">
        <v>142</v>
      </c>
      <c r="R1364" s="45" t="s">
        <v>5553</v>
      </c>
      <c r="S1364" s="48"/>
      <c r="U1364" s="12"/>
    </row>
    <row r="1365" spans="1:22" s="49" customFormat="1" ht="14.15" customHeight="1">
      <c r="A1365" s="43" t="s">
        <v>5603</v>
      </c>
      <c r="B1365" s="44" t="s">
        <v>157</v>
      </c>
      <c r="C1365" s="50"/>
      <c r="D1365" s="10" t="s">
        <v>29</v>
      </c>
      <c r="E1365" s="11"/>
      <c r="F1365" s="11" t="s">
        <v>18</v>
      </c>
      <c r="G1365" s="13"/>
      <c r="H1365" s="45" t="s">
        <v>16</v>
      </c>
      <c r="I1365" s="47"/>
      <c r="J1365" s="12" t="s">
        <v>5536</v>
      </c>
      <c r="K1365" s="13" t="s">
        <v>8165</v>
      </c>
      <c r="L1365" s="99" t="str">
        <f t="shared" si="87"/>
        <v>W2252.2</v>
      </c>
      <c r="M1365" s="13" t="s">
        <v>17</v>
      </c>
      <c r="N1365" s="13"/>
      <c r="O1365" s="13"/>
      <c r="P1365" s="47"/>
      <c r="Q1365" s="45" t="s">
        <v>142</v>
      </c>
      <c r="R1365" s="45" t="s">
        <v>5553</v>
      </c>
      <c r="S1365" s="48"/>
      <c r="U1365" s="12"/>
    </row>
    <row r="1366" spans="1:22" s="49" customFormat="1" ht="14.15" customHeight="1">
      <c r="A1366" s="43" t="s">
        <v>5603</v>
      </c>
      <c r="B1366" s="44" t="s">
        <v>157</v>
      </c>
      <c r="C1366" s="50"/>
      <c r="D1366" s="10" t="s">
        <v>29</v>
      </c>
      <c r="E1366" s="11"/>
      <c r="F1366" s="11" t="s">
        <v>18</v>
      </c>
      <c r="G1366" s="13"/>
      <c r="H1366" s="45" t="s">
        <v>16</v>
      </c>
      <c r="I1366" s="47"/>
      <c r="J1366" s="12" t="s">
        <v>5537</v>
      </c>
      <c r="K1366" s="13" t="s">
        <v>8166</v>
      </c>
      <c r="L1366" s="99" t="str">
        <f t="shared" si="87"/>
        <v>W2252.3</v>
      </c>
      <c r="M1366" s="13" t="s">
        <v>17</v>
      </c>
      <c r="N1366" s="13"/>
      <c r="O1366" s="13"/>
      <c r="P1366" s="47"/>
      <c r="Q1366" s="45" t="s">
        <v>142</v>
      </c>
      <c r="R1366" s="45" t="s">
        <v>5553</v>
      </c>
      <c r="S1366" s="48"/>
      <c r="U1366" s="12"/>
    </row>
    <row r="1367" spans="1:22" s="49" customFormat="1" ht="14.15" customHeight="1">
      <c r="A1367" s="43" t="s">
        <v>5603</v>
      </c>
      <c r="B1367" s="44" t="s">
        <v>157</v>
      </c>
      <c r="C1367" s="50"/>
      <c r="D1367" s="10" t="s">
        <v>29</v>
      </c>
      <c r="E1367" s="11"/>
      <c r="F1367" s="11" t="s">
        <v>18</v>
      </c>
      <c r="G1367" s="13"/>
      <c r="H1367" s="45" t="s">
        <v>16</v>
      </c>
      <c r="I1367" s="47"/>
      <c r="J1367" s="12" t="s">
        <v>5538</v>
      </c>
      <c r="K1367" s="13" t="s">
        <v>8167</v>
      </c>
      <c r="L1367" s="99" t="str">
        <f t="shared" si="87"/>
        <v>W2252.4</v>
      </c>
      <c r="M1367" s="13" t="s">
        <v>17</v>
      </c>
      <c r="N1367" s="13"/>
      <c r="O1367" s="13"/>
      <c r="P1367" s="47"/>
      <c r="Q1367" s="45" t="s">
        <v>142</v>
      </c>
      <c r="R1367" s="45" t="s">
        <v>5553</v>
      </c>
      <c r="S1367" s="48"/>
      <c r="U1367" s="12"/>
    </row>
    <row r="1368" spans="1:22" s="49" customFormat="1" ht="14.15" customHeight="1">
      <c r="A1368" s="58"/>
      <c r="B1368" s="44" t="s">
        <v>157</v>
      </c>
      <c r="C1368" s="50"/>
      <c r="D1368" s="10" t="s">
        <v>29</v>
      </c>
      <c r="E1368" s="11"/>
      <c r="F1368" s="11" t="s">
        <v>18</v>
      </c>
      <c r="G1368" s="13"/>
      <c r="H1368" s="45" t="s">
        <v>16</v>
      </c>
      <c r="I1368" s="47"/>
      <c r="J1368" s="12" t="s">
        <v>1067</v>
      </c>
      <c r="K1368" s="13" t="s">
        <v>8168</v>
      </c>
      <c r="L1368" s="99" t="str">
        <f t="shared" si="87"/>
        <v>W2252.5</v>
      </c>
      <c r="M1368" s="13"/>
      <c r="N1368" s="13"/>
      <c r="O1368" s="13"/>
      <c r="P1368" s="47"/>
      <c r="Q1368" s="45"/>
      <c r="R1368" s="45"/>
      <c r="S1368" s="48"/>
      <c r="U1368" s="12"/>
    </row>
    <row r="1369" spans="1:22" s="49" customFormat="1" ht="14.15" customHeight="1">
      <c r="A1369" s="58"/>
      <c r="B1369" s="44" t="s">
        <v>157</v>
      </c>
      <c r="C1369" s="50"/>
      <c r="D1369" s="10" t="s">
        <v>29</v>
      </c>
      <c r="E1369" s="11"/>
      <c r="F1369" s="11" t="s">
        <v>18</v>
      </c>
      <c r="G1369" s="13"/>
      <c r="H1369" s="45" t="s">
        <v>16</v>
      </c>
      <c r="I1369" s="47"/>
      <c r="J1369" s="12" t="s">
        <v>1068</v>
      </c>
      <c r="K1369" s="13" t="s">
        <v>8169</v>
      </c>
      <c r="L1369" s="99" t="str">
        <f t="shared" si="87"/>
        <v>W2252.6</v>
      </c>
      <c r="M1369" s="13"/>
      <c r="N1369" s="13"/>
      <c r="O1369" s="13"/>
      <c r="P1369" s="47"/>
      <c r="Q1369" s="45"/>
      <c r="R1369" s="45"/>
      <c r="S1369" s="48"/>
      <c r="U1369" s="12"/>
    </row>
    <row r="1370" spans="1:22" s="49" customFormat="1" ht="14.15" customHeight="1">
      <c r="A1370" s="43" t="s">
        <v>5603</v>
      </c>
      <c r="B1370" s="44" t="s">
        <v>157</v>
      </c>
      <c r="C1370" s="50"/>
      <c r="D1370" s="10" t="s">
        <v>29</v>
      </c>
      <c r="E1370" s="11"/>
      <c r="F1370" s="11" t="s">
        <v>18</v>
      </c>
      <c r="G1370" s="13"/>
      <c r="H1370" s="45" t="s">
        <v>16</v>
      </c>
      <c r="I1370" s="47"/>
      <c r="J1370" s="12" t="s">
        <v>5539</v>
      </c>
      <c r="K1370" s="13" t="s">
        <v>8170</v>
      </c>
      <c r="L1370" s="99" t="str">
        <f t="shared" si="87"/>
        <v>W2252.7</v>
      </c>
      <c r="M1370" s="13" t="s">
        <v>17</v>
      </c>
      <c r="N1370" s="13"/>
      <c r="O1370" s="57"/>
      <c r="P1370" s="47"/>
      <c r="Q1370" s="45" t="s">
        <v>142</v>
      </c>
      <c r="R1370" s="45" t="s">
        <v>5553</v>
      </c>
      <c r="S1370" s="48"/>
      <c r="T1370" s="49" t="str">
        <f t="shared" si="90"/>
        <v>[W2252.7]</v>
      </c>
      <c r="U1370" s="12" t="str">
        <f t="shared" si="91"/>
        <v>] U-밴딩 RH-T축 클램프 전진 시간초과 (X7B0, Y7D6)</v>
      </c>
      <c r="V1370" s="49" t="str">
        <f t="shared" si="92"/>
        <v>[W2252.7]] U-밴딩 RH-T축 클램프 전진 시간초과 (X7B0, Y7D6)</v>
      </c>
    </row>
    <row r="1371" spans="1:22" s="49" customFormat="1" ht="14.15" customHeight="1">
      <c r="A1371" s="43" t="s">
        <v>5603</v>
      </c>
      <c r="B1371" s="44" t="s">
        <v>157</v>
      </c>
      <c r="C1371" s="50"/>
      <c r="D1371" s="10" t="s">
        <v>29</v>
      </c>
      <c r="E1371" s="11"/>
      <c r="F1371" s="11" t="s">
        <v>18</v>
      </c>
      <c r="G1371" s="13"/>
      <c r="H1371" s="45" t="s">
        <v>16</v>
      </c>
      <c r="I1371" s="46"/>
      <c r="J1371" s="12" t="s">
        <v>5540</v>
      </c>
      <c r="K1371" s="13" t="s">
        <v>8171</v>
      </c>
      <c r="L1371" s="99" t="str">
        <f t="shared" si="87"/>
        <v>W2252.8</v>
      </c>
      <c r="M1371" s="13" t="s">
        <v>17</v>
      </c>
      <c r="N1371" s="13"/>
      <c r="O1371" s="57"/>
      <c r="P1371" s="47"/>
      <c r="Q1371" s="45" t="s">
        <v>142</v>
      </c>
      <c r="R1371" s="45" t="s">
        <v>5553</v>
      </c>
      <c r="S1371" s="48"/>
      <c r="T1371" s="49" t="str">
        <f t="shared" si="90"/>
        <v>[W2252.8]</v>
      </c>
      <c r="U1371" s="12" t="str">
        <f t="shared" si="91"/>
        <v>] U-밴딩 RH-T축 클램프 후진 시간초과 (X7B1, Y7D7)</v>
      </c>
      <c r="V1371" s="49" t="str">
        <f t="shared" si="92"/>
        <v>[W2252.8]] U-밴딩 RH-T축 클램프 후진 시간초과 (X7B1, Y7D7)</v>
      </c>
    </row>
    <row r="1372" spans="1:22" s="49" customFormat="1" ht="14.15" customHeight="1">
      <c r="A1372" s="43" t="s">
        <v>5603</v>
      </c>
      <c r="B1372" s="44" t="s">
        <v>157</v>
      </c>
      <c r="C1372" s="50"/>
      <c r="D1372" s="10" t="s">
        <v>29</v>
      </c>
      <c r="E1372" s="11"/>
      <c r="F1372" s="11" t="s">
        <v>18</v>
      </c>
      <c r="G1372" s="13"/>
      <c r="H1372" s="45" t="s">
        <v>16</v>
      </c>
      <c r="I1372" s="47"/>
      <c r="J1372" s="12" t="s">
        <v>5541</v>
      </c>
      <c r="K1372" s="13" t="s">
        <v>8172</v>
      </c>
      <c r="L1372" s="99" t="str">
        <f t="shared" si="87"/>
        <v>W2252.9</v>
      </c>
      <c r="M1372" s="13" t="s">
        <v>17</v>
      </c>
      <c r="N1372" s="13"/>
      <c r="O1372" s="57"/>
      <c r="P1372" s="47"/>
      <c r="Q1372" s="45" t="s">
        <v>142</v>
      </c>
      <c r="R1372" s="45" t="s">
        <v>5553</v>
      </c>
      <c r="S1372" s="48"/>
      <c r="T1372" s="49" t="str">
        <f t="shared" si="90"/>
        <v>[W2252.9]</v>
      </c>
      <c r="U1372" s="12" t="str">
        <f t="shared" si="91"/>
        <v>] U-밴딩 RH-T축 클램프 전진/후진 센서이상 (X7B0, X7B1)</v>
      </c>
      <c r="V1372" s="49" t="str">
        <f t="shared" si="92"/>
        <v>[W2252.9]] U-밴딩 RH-T축 클램프 전진/후진 센서이상 (X7B0, X7B1)</v>
      </c>
    </row>
    <row r="1373" spans="1:22" s="49" customFormat="1" ht="14.15" customHeight="1">
      <c r="A1373" s="43" t="s">
        <v>5603</v>
      </c>
      <c r="B1373" s="44" t="s">
        <v>157</v>
      </c>
      <c r="C1373" s="50"/>
      <c r="D1373" s="10" t="s">
        <v>29</v>
      </c>
      <c r="E1373" s="11"/>
      <c r="F1373" s="11" t="s">
        <v>18</v>
      </c>
      <c r="G1373" s="13"/>
      <c r="H1373" s="45" t="s">
        <v>16</v>
      </c>
      <c r="I1373" s="46"/>
      <c r="J1373" s="12" t="s">
        <v>5542</v>
      </c>
      <c r="K1373" s="13" t="s">
        <v>8173</v>
      </c>
      <c r="L1373" s="99" t="str">
        <f t="shared" si="87"/>
        <v>W2252.A</v>
      </c>
      <c r="M1373" s="13" t="s">
        <v>17</v>
      </c>
      <c r="N1373" s="13"/>
      <c r="O1373" s="57"/>
      <c r="P1373" s="47"/>
      <c r="Q1373" s="45" t="s">
        <v>142</v>
      </c>
      <c r="R1373" s="45" t="s">
        <v>5553</v>
      </c>
      <c r="S1373" s="48"/>
      <c r="T1373" s="49" t="str">
        <f t="shared" si="90"/>
        <v>[W2252.A]</v>
      </c>
      <c r="U1373" s="12" t="str">
        <f t="shared" si="91"/>
        <v>] U-밴딩 LH-T축 클램프 전진 시간초과 (X7B2, Y7D8)</v>
      </c>
      <c r="V1373" s="49" t="str">
        <f t="shared" si="92"/>
        <v>[W2252.A]] U-밴딩 LH-T축 클램프 전진 시간초과 (X7B2, Y7D8)</v>
      </c>
    </row>
    <row r="1374" spans="1:22" s="49" customFormat="1" ht="14.15" customHeight="1">
      <c r="A1374" s="43" t="s">
        <v>5603</v>
      </c>
      <c r="B1374" s="44" t="s">
        <v>157</v>
      </c>
      <c r="C1374" s="50"/>
      <c r="D1374" s="10" t="s">
        <v>29</v>
      </c>
      <c r="E1374" s="11"/>
      <c r="F1374" s="11" t="s">
        <v>18</v>
      </c>
      <c r="G1374" s="13"/>
      <c r="H1374" s="45" t="s">
        <v>16</v>
      </c>
      <c r="I1374" s="47"/>
      <c r="J1374" s="12" t="s">
        <v>5543</v>
      </c>
      <c r="K1374" s="13" t="s">
        <v>8174</v>
      </c>
      <c r="L1374" s="99" t="str">
        <f t="shared" si="87"/>
        <v>W2252.B</v>
      </c>
      <c r="M1374" s="13" t="s">
        <v>17</v>
      </c>
      <c r="N1374" s="13"/>
      <c r="O1374" s="13"/>
      <c r="P1374" s="47"/>
      <c r="Q1374" s="45" t="s">
        <v>142</v>
      </c>
      <c r="R1374" s="45" t="s">
        <v>5553</v>
      </c>
      <c r="S1374" s="48"/>
      <c r="U1374" s="12"/>
    </row>
    <row r="1375" spans="1:22" s="49" customFormat="1" ht="14.15" customHeight="1">
      <c r="A1375" s="43" t="s">
        <v>5603</v>
      </c>
      <c r="B1375" s="44" t="s">
        <v>157</v>
      </c>
      <c r="C1375" s="50"/>
      <c r="D1375" s="10" t="s">
        <v>29</v>
      </c>
      <c r="E1375" s="11"/>
      <c r="F1375" s="11" t="s">
        <v>18</v>
      </c>
      <c r="G1375" s="13"/>
      <c r="H1375" s="45" t="s">
        <v>16</v>
      </c>
      <c r="I1375" s="47"/>
      <c r="J1375" s="12" t="s">
        <v>5544</v>
      </c>
      <c r="K1375" s="13" t="s">
        <v>8175</v>
      </c>
      <c r="L1375" s="99" t="str">
        <f t="shared" si="87"/>
        <v>W2252.C</v>
      </c>
      <c r="M1375" s="13" t="s">
        <v>17</v>
      </c>
      <c r="N1375" s="13"/>
      <c r="O1375" s="13"/>
      <c r="P1375" s="47"/>
      <c r="Q1375" s="45" t="s">
        <v>142</v>
      </c>
      <c r="R1375" s="45" t="s">
        <v>5553</v>
      </c>
      <c r="S1375" s="48"/>
      <c r="U1375" s="12"/>
    </row>
    <row r="1376" spans="1:22" s="49" customFormat="1" ht="14.15" customHeight="1">
      <c r="A1376" s="43" t="s">
        <v>5603</v>
      </c>
      <c r="B1376" s="44" t="s">
        <v>157</v>
      </c>
      <c r="C1376" s="50"/>
      <c r="D1376" s="10" t="s">
        <v>29</v>
      </c>
      <c r="E1376" s="11"/>
      <c r="F1376" s="11" t="s">
        <v>18</v>
      </c>
      <c r="G1376" s="13"/>
      <c r="H1376" s="45" t="s">
        <v>16</v>
      </c>
      <c r="I1376" s="47"/>
      <c r="J1376" s="12" t="s">
        <v>5545</v>
      </c>
      <c r="K1376" s="13" t="s">
        <v>8176</v>
      </c>
      <c r="L1376" s="99" t="str">
        <f t="shared" si="87"/>
        <v>W2252.D</v>
      </c>
      <c r="M1376" s="13" t="s">
        <v>17</v>
      </c>
      <c r="N1376" s="13"/>
      <c r="O1376" s="13"/>
      <c r="P1376" s="47"/>
      <c r="Q1376" s="45" t="s">
        <v>142</v>
      </c>
      <c r="R1376" s="45" t="s">
        <v>5553</v>
      </c>
      <c r="S1376" s="48"/>
      <c r="U1376" s="12"/>
    </row>
    <row r="1377" spans="1:22" s="49" customFormat="1" ht="14.15" customHeight="1">
      <c r="A1377" s="43" t="s">
        <v>5603</v>
      </c>
      <c r="B1377" s="44" t="s">
        <v>157</v>
      </c>
      <c r="C1377" s="50"/>
      <c r="D1377" s="10" t="s">
        <v>29</v>
      </c>
      <c r="E1377" s="11"/>
      <c r="F1377" s="11" t="s">
        <v>18</v>
      </c>
      <c r="G1377" s="13"/>
      <c r="H1377" s="45" t="s">
        <v>16</v>
      </c>
      <c r="I1377" s="47"/>
      <c r="J1377" s="12" t="s">
        <v>5546</v>
      </c>
      <c r="K1377" s="13" t="s">
        <v>8177</v>
      </c>
      <c r="L1377" s="99" t="str">
        <f t="shared" si="87"/>
        <v>W2252.E</v>
      </c>
      <c r="M1377" s="13" t="s">
        <v>17</v>
      </c>
      <c r="N1377" s="13"/>
      <c r="O1377" s="13"/>
      <c r="P1377" s="47"/>
      <c r="Q1377" s="45" t="s">
        <v>142</v>
      </c>
      <c r="R1377" s="45" t="s">
        <v>5553</v>
      </c>
      <c r="S1377" s="48"/>
      <c r="U1377" s="12"/>
    </row>
    <row r="1378" spans="1:22" s="49" customFormat="1" ht="14.15" customHeight="1">
      <c r="A1378" s="43" t="s">
        <v>5603</v>
      </c>
      <c r="B1378" s="44" t="s">
        <v>157</v>
      </c>
      <c r="C1378" s="50"/>
      <c r="D1378" s="10" t="s">
        <v>29</v>
      </c>
      <c r="E1378" s="11"/>
      <c r="F1378" s="11" t="s">
        <v>18</v>
      </c>
      <c r="G1378" s="13"/>
      <c r="H1378" s="45" t="s">
        <v>16</v>
      </c>
      <c r="I1378" s="47"/>
      <c r="J1378" s="12" t="s">
        <v>5547</v>
      </c>
      <c r="K1378" s="13" t="s">
        <v>8178</v>
      </c>
      <c r="L1378" s="99" t="str">
        <f t="shared" si="87"/>
        <v>W2252.F</v>
      </c>
      <c r="M1378" s="13" t="s">
        <v>17</v>
      </c>
      <c r="N1378" s="13"/>
      <c r="O1378" s="13"/>
      <c r="P1378" s="47"/>
      <c r="Q1378" s="45" t="s">
        <v>142</v>
      </c>
      <c r="R1378" s="45" t="s">
        <v>5553</v>
      </c>
      <c r="S1378" s="48"/>
      <c r="U1378" s="12"/>
    </row>
    <row r="1379" spans="1:22" s="49" customFormat="1" ht="14.15" customHeight="1">
      <c r="A1379" s="43" t="s">
        <v>5603</v>
      </c>
      <c r="B1379" s="44" t="s">
        <v>157</v>
      </c>
      <c r="C1379" s="50"/>
      <c r="D1379" s="10" t="s">
        <v>29</v>
      </c>
      <c r="E1379" s="11"/>
      <c r="F1379" s="11" t="s">
        <v>18</v>
      </c>
      <c r="G1379" s="13"/>
      <c r="H1379" s="45" t="s">
        <v>16</v>
      </c>
      <c r="I1379" s="47"/>
      <c r="J1379" s="12" t="s">
        <v>5548</v>
      </c>
      <c r="K1379" s="13" t="s">
        <v>8179</v>
      </c>
      <c r="L1379" s="99" t="str">
        <f t="shared" si="87"/>
        <v>W2253.0</v>
      </c>
      <c r="M1379" s="13" t="s">
        <v>17</v>
      </c>
      <c r="N1379" s="13"/>
      <c r="O1379" s="13"/>
      <c r="P1379" s="47"/>
      <c r="Q1379" s="45" t="s">
        <v>142</v>
      </c>
      <c r="R1379" s="45" t="s">
        <v>5553</v>
      </c>
      <c r="S1379" s="48"/>
      <c r="U1379" s="12"/>
    </row>
    <row r="1380" spans="1:22" s="49" customFormat="1" ht="14.15" customHeight="1">
      <c r="A1380" s="43" t="s">
        <v>5603</v>
      </c>
      <c r="B1380" s="44" t="s">
        <v>157</v>
      </c>
      <c r="C1380" s="50"/>
      <c r="D1380" s="10" t="s">
        <v>29</v>
      </c>
      <c r="E1380" s="11"/>
      <c r="F1380" s="11" t="s">
        <v>18</v>
      </c>
      <c r="G1380" s="13"/>
      <c r="H1380" s="45" t="s">
        <v>16</v>
      </c>
      <c r="I1380" s="47"/>
      <c r="J1380" s="12" t="s">
        <v>5549</v>
      </c>
      <c r="K1380" s="13" t="s">
        <v>8180</v>
      </c>
      <c r="L1380" s="99" t="str">
        <f t="shared" si="87"/>
        <v>W2253.1</v>
      </c>
      <c r="M1380" s="13" t="s">
        <v>17</v>
      </c>
      <c r="N1380" s="13"/>
      <c r="O1380" s="13"/>
      <c r="P1380" s="47"/>
      <c r="Q1380" s="45" t="s">
        <v>142</v>
      </c>
      <c r="R1380" s="45" t="s">
        <v>5553</v>
      </c>
      <c r="S1380" s="48"/>
      <c r="U1380" s="12"/>
    </row>
    <row r="1381" spans="1:22" s="49" customFormat="1" ht="14.15" customHeight="1">
      <c r="A1381" s="58"/>
      <c r="B1381" s="44" t="s">
        <v>157</v>
      </c>
      <c r="C1381" s="50"/>
      <c r="D1381" s="10" t="s">
        <v>29</v>
      </c>
      <c r="E1381" s="11"/>
      <c r="F1381" s="11" t="s">
        <v>18</v>
      </c>
      <c r="G1381" s="13"/>
      <c r="H1381" s="45" t="s">
        <v>16</v>
      </c>
      <c r="I1381" s="47"/>
      <c r="J1381" s="12" t="s">
        <v>1080</v>
      </c>
      <c r="K1381" s="13" t="s">
        <v>8181</v>
      </c>
      <c r="L1381" s="99" t="str">
        <f t="shared" si="87"/>
        <v>W2253.2</v>
      </c>
      <c r="M1381" s="13"/>
      <c r="N1381" s="13"/>
      <c r="O1381" s="13"/>
      <c r="P1381" s="47"/>
      <c r="Q1381" s="45"/>
      <c r="R1381" s="45"/>
      <c r="S1381" s="48"/>
      <c r="U1381" s="12"/>
    </row>
    <row r="1382" spans="1:22" s="49" customFormat="1" ht="14.15" customHeight="1">
      <c r="A1382" s="43" t="s">
        <v>5603</v>
      </c>
      <c r="B1382" s="44" t="s">
        <v>157</v>
      </c>
      <c r="C1382" s="50"/>
      <c r="D1382" s="10" t="s">
        <v>29</v>
      </c>
      <c r="E1382" s="11"/>
      <c r="F1382" s="11" t="s">
        <v>18</v>
      </c>
      <c r="G1382" s="13"/>
      <c r="H1382" s="45" t="s">
        <v>16</v>
      </c>
      <c r="I1382" s="47"/>
      <c r="J1382" s="12" t="s">
        <v>5550</v>
      </c>
      <c r="K1382" s="13" t="s">
        <v>8182</v>
      </c>
      <c r="L1382" s="99" t="str">
        <f t="shared" si="87"/>
        <v>W2253.3</v>
      </c>
      <c r="M1382" s="13" t="s">
        <v>17</v>
      </c>
      <c r="N1382" s="13"/>
      <c r="O1382" s="13"/>
      <c r="P1382" s="47"/>
      <c r="Q1382" s="45" t="s">
        <v>142</v>
      </c>
      <c r="R1382" s="45" t="s">
        <v>5553</v>
      </c>
      <c r="S1382" s="48"/>
      <c r="U1382" s="12"/>
    </row>
    <row r="1383" spans="1:22" s="49" customFormat="1" ht="14.15" customHeight="1">
      <c r="A1383" s="43" t="s">
        <v>5603</v>
      </c>
      <c r="B1383" s="44" t="s">
        <v>157</v>
      </c>
      <c r="C1383" s="50"/>
      <c r="D1383" s="10" t="s">
        <v>29</v>
      </c>
      <c r="E1383" s="11"/>
      <c r="F1383" s="11" t="s">
        <v>18</v>
      </c>
      <c r="G1383" s="13"/>
      <c r="H1383" s="45" t="s">
        <v>16</v>
      </c>
      <c r="I1383" s="47"/>
      <c r="J1383" s="12" t="s">
        <v>5551</v>
      </c>
      <c r="K1383" s="13" t="s">
        <v>8183</v>
      </c>
      <c r="L1383" s="99" t="str">
        <f t="shared" si="87"/>
        <v>W2253.4</v>
      </c>
      <c r="M1383" s="13" t="s">
        <v>17</v>
      </c>
      <c r="N1383" s="13"/>
      <c r="O1383" s="57"/>
      <c r="P1383" s="47"/>
      <c r="Q1383" s="45" t="s">
        <v>142</v>
      </c>
      <c r="R1383" s="45" t="s">
        <v>5553</v>
      </c>
      <c r="S1383" s="48"/>
      <c r="T1383" s="49" t="str">
        <f t="shared" si="90"/>
        <v>[W2253.4]</v>
      </c>
      <c r="U1383" s="12" t="str">
        <f t="shared" si="91"/>
        <v>] U-밴딩 가스켓 워크아웃 후진 시간초과 (X796, X797, Y7CD)</v>
      </c>
      <c r="V1383" s="49" t="str">
        <f t="shared" si="92"/>
        <v>[W2253.4]] U-밴딩 가스켓 워크아웃 후진 시간초과 (X796, X797, Y7CD)</v>
      </c>
    </row>
    <row r="1384" spans="1:22" s="49" customFormat="1" ht="14.15" customHeight="1">
      <c r="A1384" s="58"/>
      <c r="B1384" s="44" t="s">
        <v>157</v>
      </c>
      <c r="C1384" s="50"/>
      <c r="D1384" s="10" t="s">
        <v>29</v>
      </c>
      <c r="E1384" s="11"/>
      <c r="F1384" s="11" t="s">
        <v>18</v>
      </c>
      <c r="G1384" s="13"/>
      <c r="H1384" s="45" t="s">
        <v>16</v>
      </c>
      <c r="I1384" s="46"/>
      <c r="J1384" s="12" t="s">
        <v>3319</v>
      </c>
      <c r="K1384" s="13" t="s">
        <v>8184</v>
      </c>
      <c r="L1384" s="99" t="str">
        <f t="shared" si="87"/>
        <v>W2253.5</v>
      </c>
      <c r="M1384" s="13"/>
      <c r="N1384" s="13"/>
      <c r="O1384" s="57"/>
      <c r="P1384" s="47"/>
      <c r="Q1384" s="45"/>
      <c r="R1384" s="45"/>
      <c r="S1384" s="48"/>
      <c r="T1384" s="49" t="str">
        <f t="shared" si="90"/>
        <v>[W2253.5]</v>
      </c>
      <c r="U1384" s="12" t="str">
        <f t="shared" si="91"/>
        <v>]</v>
      </c>
      <c r="V1384" s="49" t="str">
        <f t="shared" si="92"/>
        <v>[W2253.5]]</v>
      </c>
    </row>
    <row r="1385" spans="1:22" s="49" customFormat="1" ht="14.15" customHeight="1">
      <c r="A1385" s="58"/>
      <c r="B1385" s="44" t="s">
        <v>157</v>
      </c>
      <c r="C1385" s="50"/>
      <c r="D1385" s="10" t="s">
        <v>29</v>
      </c>
      <c r="E1385" s="11"/>
      <c r="F1385" s="11" t="s">
        <v>18</v>
      </c>
      <c r="G1385" s="13"/>
      <c r="H1385" s="45" t="s">
        <v>16</v>
      </c>
      <c r="I1385" s="47"/>
      <c r="J1385" s="12" t="s">
        <v>3320</v>
      </c>
      <c r="K1385" s="13" t="s">
        <v>8185</v>
      </c>
      <c r="L1385" s="99" t="str">
        <f t="shared" si="87"/>
        <v>W2253.6</v>
      </c>
      <c r="M1385" s="13"/>
      <c r="N1385" s="13"/>
      <c r="O1385" s="57"/>
      <c r="P1385" s="47"/>
      <c r="Q1385" s="45"/>
      <c r="R1385" s="45"/>
      <c r="S1385" s="48"/>
      <c r="T1385" s="49" t="str">
        <f t="shared" si="90"/>
        <v>[W2253.6]</v>
      </c>
      <c r="U1385" s="12" t="str">
        <f t="shared" si="91"/>
        <v>]</v>
      </c>
      <c r="V1385" s="49" t="str">
        <f t="shared" si="92"/>
        <v>[W2253.6]]</v>
      </c>
    </row>
    <row r="1386" spans="1:22" s="49" customFormat="1" ht="14.15" customHeight="1">
      <c r="A1386" s="58"/>
      <c r="B1386" s="44" t="s">
        <v>157</v>
      </c>
      <c r="C1386" s="50"/>
      <c r="D1386" s="10" t="s">
        <v>29</v>
      </c>
      <c r="E1386" s="11"/>
      <c r="F1386" s="11" t="s">
        <v>18</v>
      </c>
      <c r="G1386" s="13"/>
      <c r="H1386" s="45" t="s">
        <v>16</v>
      </c>
      <c r="I1386" s="46"/>
      <c r="J1386" s="12" t="s">
        <v>3321</v>
      </c>
      <c r="K1386" s="13" t="s">
        <v>8186</v>
      </c>
      <c r="L1386" s="99" t="str">
        <f t="shared" si="87"/>
        <v>W2253.7</v>
      </c>
      <c r="M1386" s="13"/>
      <c r="N1386" s="13"/>
      <c r="O1386" s="57"/>
      <c r="P1386" s="47"/>
      <c r="Q1386" s="45"/>
      <c r="R1386" s="45"/>
      <c r="S1386" s="48"/>
      <c r="T1386" s="49" t="str">
        <f t="shared" si="90"/>
        <v>[W2253.7]</v>
      </c>
      <c r="U1386" s="12" t="str">
        <f t="shared" si="91"/>
        <v>]</v>
      </c>
      <c r="V1386" s="49" t="str">
        <f t="shared" si="92"/>
        <v>[W2253.7]]</v>
      </c>
    </row>
    <row r="1387" spans="1:22" s="49" customFormat="1" ht="14.15" customHeight="1">
      <c r="A1387" s="59"/>
      <c r="B1387" s="44" t="s">
        <v>157</v>
      </c>
      <c r="C1387" s="50"/>
      <c r="D1387" s="10" t="s">
        <v>29</v>
      </c>
      <c r="E1387" s="11"/>
      <c r="F1387" s="11" t="s">
        <v>18</v>
      </c>
      <c r="G1387" s="13"/>
      <c r="H1387" s="45" t="s">
        <v>16</v>
      </c>
      <c r="I1387" s="46"/>
      <c r="J1387" s="12" t="s">
        <v>3322</v>
      </c>
      <c r="K1387" s="13" t="s">
        <v>8187</v>
      </c>
      <c r="L1387" s="99" t="str">
        <f t="shared" si="87"/>
        <v>W2253.8</v>
      </c>
      <c r="M1387" s="13"/>
      <c r="N1387" s="13"/>
      <c r="O1387" s="13"/>
      <c r="P1387" s="47"/>
      <c r="Q1387" s="45"/>
      <c r="R1387" s="45"/>
      <c r="S1387" s="48"/>
      <c r="U1387" s="12"/>
    </row>
    <row r="1388" spans="1:22" s="49" customFormat="1" ht="14.15" customHeight="1">
      <c r="A1388" s="59"/>
      <c r="B1388" s="44" t="s">
        <v>157</v>
      </c>
      <c r="C1388" s="50"/>
      <c r="D1388" s="10" t="s">
        <v>29</v>
      </c>
      <c r="E1388" s="11"/>
      <c r="F1388" s="11" t="s">
        <v>18</v>
      </c>
      <c r="G1388" s="13"/>
      <c r="H1388" s="45" t="s">
        <v>16</v>
      </c>
      <c r="I1388" s="46"/>
      <c r="J1388" s="12" t="s">
        <v>3323</v>
      </c>
      <c r="K1388" s="13" t="s">
        <v>8188</v>
      </c>
      <c r="L1388" s="99" t="str">
        <f t="shared" si="87"/>
        <v>W2253.9</v>
      </c>
      <c r="M1388" s="13"/>
      <c r="N1388" s="13"/>
      <c r="O1388" s="13"/>
      <c r="P1388" s="47"/>
      <c r="Q1388" s="45"/>
      <c r="R1388" s="45"/>
      <c r="S1388" s="48"/>
      <c r="U1388" s="12"/>
    </row>
    <row r="1389" spans="1:22" s="49" customFormat="1" ht="14.15" customHeight="1">
      <c r="A1389" s="59"/>
      <c r="B1389" s="44" t="s">
        <v>157</v>
      </c>
      <c r="C1389" s="50"/>
      <c r="D1389" s="10" t="s">
        <v>29</v>
      </c>
      <c r="E1389" s="11"/>
      <c r="F1389" s="11" t="s">
        <v>18</v>
      </c>
      <c r="G1389" s="13"/>
      <c r="H1389" s="45" t="s">
        <v>16</v>
      </c>
      <c r="I1389" s="46"/>
      <c r="J1389" s="12" t="s">
        <v>4263</v>
      </c>
      <c r="K1389" s="13" t="s">
        <v>8189</v>
      </c>
      <c r="L1389" s="99" t="str">
        <f t="shared" si="87"/>
        <v>W2253.A</v>
      </c>
      <c r="M1389" s="13"/>
      <c r="N1389" s="13"/>
      <c r="O1389" s="13"/>
      <c r="P1389" s="47"/>
      <c r="Q1389" s="45"/>
      <c r="R1389" s="45"/>
      <c r="S1389" s="48"/>
      <c r="U1389" s="12"/>
    </row>
    <row r="1390" spans="1:22" s="49" customFormat="1" ht="14.15" customHeight="1">
      <c r="A1390" s="59"/>
      <c r="B1390" s="44" t="s">
        <v>157</v>
      </c>
      <c r="C1390" s="50"/>
      <c r="D1390" s="10" t="s">
        <v>29</v>
      </c>
      <c r="E1390" s="11"/>
      <c r="F1390" s="11" t="s">
        <v>18</v>
      </c>
      <c r="G1390" s="13"/>
      <c r="H1390" s="45" t="s">
        <v>16</v>
      </c>
      <c r="I1390" s="46"/>
      <c r="J1390" s="12" t="s">
        <v>4264</v>
      </c>
      <c r="K1390" s="13" t="s">
        <v>8190</v>
      </c>
      <c r="L1390" s="99" t="str">
        <f t="shared" si="87"/>
        <v>W2253.B</v>
      </c>
      <c r="M1390" s="13"/>
      <c r="N1390" s="13"/>
      <c r="O1390" s="13"/>
      <c r="P1390" s="47"/>
      <c r="Q1390" s="45"/>
      <c r="R1390" s="45"/>
      <c r="S1390" s="48"/>
      <c r="U1390" s="12"/>
    </row>
    <row r="1391" spans="1:22" s="49" customFormat="1" ht="14.15" customHeight="1">
      <c r="A1391" s="59"/>
      <c r="B1391" s="44" t="s">
        <v>157</v>
      </c>
      <c r="C1391" s="50"/>
      <c r="D1391" s="10" t="s">
        <v>29</v>
      </c>
      <c r="E1391" s="11"/>
      <c r="F1391" s="11" t="s">
        <v>18</v>
      </c>
      <c r="G1391" s="13"/>
      <c r="H1391" s="45" t="s">
        <v>16</v>
      </c>
      <c r="I1391" s="46"/>
      <c r="J1391" s="12" t="s">
        <v>4265</v>
      </c>
      <c r="K1391" s="13" t="s">
        <v>8191</v>
      </c>
      <c r="L1391" s="99" t="str">
        <f t="shared" si="87"/>
        <v>W2253.C</v>
      </c>
      <c r="M1391" s="13"/>
      <c r="N1391" s="13"/>
      <c r="O1391" s="13"/>
      <c r="P1391" s="47"/>
      <c r="Q1391" s="45"/>
      <c r="R1391" s="45"/>
      <c r="S1391" s="48"/>
      <c r="U1391" s="12"/>
    </row>
    <row r="1392" spans="1:22" s="49" customFormat="1" ht="14.15" customHeight="1">
      <c r="A1392" s="59"/>
      <c r="B1392" s="44" t="s">
        <v>157</v>
      </c>
      <c r="C1392" s="50"/>
      <c r="D1392" s="10" t="s">
        <v>29</v>
      </c>
      <c r="E1392" s="11"/>
      <c r="F1392" s="11" t="s">
        <v>18</v>
      </c>
      <c r="G1392" s="13"/>
      <c r="H1392" s="45" t="s">
        <v>16</v>
      </c>
      <c r="I1392" s="46"/>
      <c r="J1392" s="12" t="s">
        <v>4266</v>
      </c>
      <c r="K1392" s="13" t="s">
        <v>8192</v>
      </c>
      <c r="L1392" s="99" t="str">
        <f t="shared" si="87"/>
        <v>W2253.D</v>
      </c>
      <c r="M1392" s="13"/>
      <c r="N1392" s="13"/>
      <c r="O1392" s="13"/>
      <c r="P1392" s="47"/>
      <c r="Q1392" s="45"/>
      <c r="R1392" s="45"/>
      <c r="S1392" s="48"/>
      <c r="U1392" s="12"/>
    </row>
    <row r="1393" spans="1:22" s="49" customFormat="1" ht="14.15" customHeight="1">
      <c r="A1393" s="59"/>
      <c r="B1393" s="44" t="s">
        <v>157</v>
      </c>
      <c r="C1393" s="50"/>
      <c r="D1393" s="10" t="s">
        <v>29</v>
      </c>
      <c r="E1393" s="11"/>
      <c r="F1393" s="11" t="s">
        <v>18</v>
      </c>
      <c r="G1393" s="13"/>
      <c r="H1393" s="45" t="s">
        <v>16</v>
      </c>
      <c r="I1393" s="46"/>
      <c r="J1393" s="12" t="s">
        <v>4267</v>
      </c>
      <c r="K1393" s="13" t="s">
        <v>8193</v>
      </c>
      <c r="L1393" s="99" t="str">
        <f t="shared" si="87"/>
        <v>W2253.E</v>
      </c>
      <c r="M1393" s="13"/>
      <c r="N1393" s="13"/>
      <c r="O1393" s="13"/>
      <c r="P1393" s="47"/>
      <c r="Q1393" s="45"/>
      <c r="R1393" s="45"/>
      <c r="S1393" s="48"/>
      <c r="U1393" s="12"/>
    </row>
    <row r="1394" spans="1:22" s="49" customFormat="1" ht="14.15" customHeight="1">
      <c r="A1394" s="59"/>
      <c r="B1394" s="44" t="s">
        <v>157</v>
      </c>
      <c r="C1394" s="50"/>
      <c r="D1394" s="10" t="s">
        <v>29</v>
      </c>
      <c r="E1394" s="11"/>
      <c r="F1394" s="11" t="s">
        <v>18</v>
      </c>
      <c r="G1394" s="13"/>
      <c r="H1394" s="45" t="s">
        <v>16</v>
      </c>
      <c r="I1394" s="46"/>
      <c r="J1394" s="12" t="s">
        <v>4268</v>
      </c>
      <c r="K1394" s="13" t="s">
        <v>8194</v>
      </c>
      <c r="L1394" s="99" t="str">
        <f t="shared" si="87"/>
        <v>W2253.F</v>
      </c>
      <c r="M1394" s="13"/>
      <c r="N1394" s="13"/>
      <c r="O1394" s="13"/>
      <c r="P1394" s="47"/>
      <c r="Q1394" s="45"/>
      <c r="R1394" s="45"/>
      <c r="S1394" s="48"/>
      <c r="U1394" s="12"/>
    </row>
    <row r="1395" spans="1:22" s="49" customFormat="1" ht="14.15" customHeight="1">
      <c r="A1395" s="59"/>
      <c r="B1395" s="44" t="s">
        <v>157</v>
      </c>
      <c r="C1395" s="50"/>
      <c r="D1395" s="10" t="s">
        <v>29</v>
      </c>
      <c r="E1395" s="11"/>
      <c r="F1395" s="11" t="s">
        <v>18</v>
      </c>
      <c r="G1395" s="13"/>
      <c r="H1395" s="45" t="s">
        <v>16</v>
      </c>
      <c r="I1395" s="46"/>
      <c r="J1395" s="12" t="s">
        <v>4269</v>
      </c>
      <c r="K1395" s="13" t="s">
        <v>8195</v>
      </c>
      <c r="L1395" s="99" t="str">
        <f t="shared" si="87"/>
        <v>W2254.0</v>
      </c>
      <c r="M1395" s="13"/>
      <c r="N1395" s="13"/>
      <c r="O1395" s="13"/>
      <c r="P1395" s="47"/>
      <c r="Q1395" s="45"/>
      <c r="R1395" s="45"/>
      <c r="S1395" s="48"/>
      <c r="U1395" s="12"/>
    </row>
    <row r="1396" spans="1:22" s="49" customFormat="1" ht="14.15" customHeight="1">
      <c r="A1396" s="59"/>
      <c r="B1396" s="44" t="s">
        <v>157</v>
      </c>
      <c r="C1396" s="50"/>
      <c r="D1396" s="10" t="s">
        <v>29</v>
      </c>
      <c r="E1396" s="11"/>
      <c r="F1396" s="11" t="s">
        <v>18</v>
      </c>
      <c r="G1396" s="13"/>
      <c r="H1396" s="45" t="s">
        <v>16</v>
      </c>
      <c r="I1396" s="46"/>
      <c r="J1396" s="12" t="s">
        <v>4270</v>
      </c>
      <c r="K1396" s="13" t="s">
        <v>8196</v>
      </c>
      <c r="L1396" s="99" t="str">
        <f t="shared" ref="L1396:L1459" si="93">"W"&amp;DEC2HEX(8704 + INT((ROW()-51)/16)) &amp; "." &amp; IF(MOD(ROW()-51,16)&lt;10,MOD(ROW()-51,16),CHAR(MOD(ROW()-51,16)+55))</f>
        <v>W2254.1</v>
      </c>
      <c r="M1396" s="13"/>
      <c r="N1396" s="13"/>
      <c r="O1396" s="57"/>
      <c r="P1396" s="47"/>
      <c r="Q1396" s="45"/>
      <c r="R1396" s="45"/>
      <c r="S1396" s="48"/>
      <c r="T1396" s="49" t="str">
        <f t="shared" si="90"/>
        <v>[W2254.1]</v>
      </c>
      <c r="U1396" s="12" t="str">
        <f t="shared" si="91"/>
        <v>]</v>
      </c>
      <c r="V1396" s="49" t="str">
        <f t="shared" si="92"/>
        <v>[W2254.1]]</v>
      </c>
    </row>
    <row r="1397" spans="1:22" s="49" customFormat="1" ht="14.15" customHeight="1">
      <c r="A1397" s="59"/>
      <c r="B1397" s="44" t="s">
        <v>157</v>
      </c>
      <c r="C1397" s="50"/>
      <c r="D1397" s="10" t="s">
        <v>29</v>
      </c>
      <c r="E1397" s="11"/>
      <c r="F1397" s="11" t="s">
        <v>18</v>
      </c>
      <c r="G1397" s="13"/>
      <c r="H1397" s="45" t="s">
        <v>16</v>
      </c>
      <c r="I1397" s="46"/>
      <c r="J1397" s="12" t="s">
        <v>4271</v>
      </c>
      <c r="K1397" s="13" t="s">
        <v>8197</v>
      </c>
      <c r="L1397" s="99" t="str">
        <f t="shared" si="93"/>
        <v>W2254.2</v>
      </c>
      <c r="M1397" s="13"/>
      <c r="N1397" s="13"/>
      <c r="O1397" s="57"/>
      <c r="P1397" s="47"/>
      <c r="Q1397" s="45"/>
      <c r="R1397" s="45"/>
      <c r="S1397" s="48"/>
      <c r="T1397" s="49" t="str">
        <f t="shared" si="90"/>
        <v>[W2254.2]</v>
      </c>
      <c r="U1397" s="12" t="str">
        <f t="shared" si="91"/>
        <v>]</v>
      </c>
      <c r="V1397" s="49" t="str">
        <f t="shared" si="92"/>
        <v>[W2254.2]]</v>
      </c>
    </row>
    <row r="1398" spans="1:22" s="49" customFormat="1" ht="14.15" customHeight="1">
      <c r="A1398" s="59"/>
      <c r="B1398" s="44" t="s">
        <v>157</v>
      </c>
      <c r="C1398" s="50"/>
      <c r="D1398" s="10" t="s">
        <v>29</v>
      </c>
      <c r="E1398" s="11"/>
      <c r="F1398" s="11" t="s">
        <v>18</v>
      </c>
      <c r="G1398" s="13"/>
      <c r="H1398" s="45" t="s">
        <v>16</v>
      </c>
      <c r="I1398" s="46"/>
      <c r="J1398" s="12" t="s">
        <v>4272</v>
      </c>
      <c r="K1398" s="13" t="s">
        <v>8198</v>
      </c>
      <c r="L1398" s="99" t="str">
        <f t="shared" si="93"/>
        <v>W2254.3</v>
      </c>
      <c r="M1398" s="13"/>
      <c r="N1398" s="13"/>
      <c r="O1398" s="57"/>
      <c r="P1398" s="47"/>
      <c r="Q1398" s="45"/>
      <c r="R1398" s="45"/>
      <c r="S1398" s="48"/>
      <c r="T1398" s="49" t="str">
        <f t="shared" si="90"/>
        <v>[W2254.3]</v>
      </c>
      <c r="U1398" s="12" t="str">
        <f t="shared" si="91"/>
        <v>]</v>
      </c>
      <c r="V1398" s="49" t="str">
        <f t="shared" si="92"/>
        <v>[W2254.3]]</v>
      </c>
    </row>
    <row r="1399" spans="1:22" s="49" customFormat="1" ht="14.15" customHeight="1">
      <c r="A1399" s="59"/>
      <c r="B1399" s="44" t="s">
        <v>157</v>
      </c>
      <c r="C1399" s="50"/>
      <c r="D1399" s="10" t="s">
        <v>29</v>
      </c>
      <c r="E1399" s="11"/>
      <c r="F1399" s="11" t="s">
        <v>18</v>
      </c>
      <c r="G1399" s="13"/>
      <c r="H1399" s="45" t="s">
        <v>16</v>
      </c>
      <c r="I1399" s="46"/>
      <c r="J1399" s="12" t="s">
        <v>4273</v>
      </c>
      <c r="K1399" s="13" t="s">
        <v>8199</v>
      </c>
      <c r="L1399" s="99" t="str">
        <f t="shared" si="93"/>
        <v>W2254.4</v>
      </c>
      <c r="M1399" s="13"/>
      <c r="N1399" s="13"/>
      <c r="O1399" s="57"/>
      <c r="P1399" s="47"/>
      <c r="Q1399" s="45"/>
      <c r="R1399" s="45"/>
      <c r="S1399" s="48"/>
      <c r="T1399" s="49" t="str">
        <f t="shared" si="90"/>
        <v>[W2254.4]</v>
      </c>
      <c r="U1399" s="12" t="str">
        <f t="shared" si="91"/>
        <v>]</v>
      </c>
      <c r="V1399" s="49" t="str">
        <f t="shared" si="92"/>
        <v>[W2254.4]]</v>
      </c>
    </row>
    <row r="1400" spans="1:22" s="49" customFormat="1" ht="14.15" customHeight="1">
      <c r="A1400" s="60"/>
      <c r="B1400" s="44" t="s">
        <v>157</v>
      </c>
      <c r="C1400" s="50"/>
      <c r="D1400" s="10" t="s">
        <v>29</v>
      </c>
      <c r="E1400" s="11"/>
      <c r="F1400" s="11" t="s">
        <v>18</v>
      </c>
      <c r="G1400" s="13"/>
      <c r="H1400" s="45" t="s">
        <v>16</v>
      </c>
      <c r="I1400" s="47"/>
      <c r="J1400" s="12" t="s">
        <v>4274</v>
      </c>
      <c r="K1400" s="13" t="s">
        <v>8200</v>
      </c>
      <c r="L1400" s="99" t="str">
        <f t="shared" si="93"/>
        <v>W2254.5</v>
      </c>
      <c r="M1400" s="13"/>
      <c r="N1400" s="13"/>
      <c r="O1400" s="56"/>
      <c r="P1400" s="53"/>
      <c r="Q1400" s="45"/>
      <c r="R1400" s="45"/>
      <c r="S1400" s="48"/>
      <c r="T1400" s="49" t="str">
        <f t="shared" si="90"/>
        <v>[W2254.5]</v>
      </c>
      <c r="U1400" s="12" t="str">
        <f t="shared" si="91"/>
        <v>]</v>
      </c>
      <c r="V1400" s="49" t="str">
        <f t="shared" si="92"/>
        <v>[W2254.5]]</v>
      </c>
    </row>
    <row r="1401" spans="1:22" s="49" customFormat="1" ht="14.15" customHeight="1">
      <c r="A1401" s="60"/>
      <c r="B1401" s="44" t="s">
        <v>157</v>
      </c>
      <c r="C1401" s="50"/>
      <c r="D1401" s="10" t="s">
        <v>29</v>
      </c>
      <c r="E1401" s="11"/>
      <c r="F1401" s="11" t="s">
        <v>18</v>
      </c>
      <c r="G1401" s="13"/>
      <c r="H1401" s="45" t="s">
        <v>16</v>
      </c>
      <c r="I1401" s="47"/>
      <c r="J1401" s="12" t="s">
        <v>3324</v>
      </c>
      <c r="K1401" s="13" t="s">
        <v>8201</v>
      </c>
      <c r="L1401" s="99" t="str">
        <f t="shared" si="93"/>
        <v>W2254.6</v>
      </c>
      <c r="M1401" s="13"/>
      <c r="N1401" s="13"/>
      <c r="O1401" s="56"/>
      <c r="P1401" s="53"/>
      <c r="Q1401" s="45"/>
      <c r="R1401" s="45"/>
      <c r="S1401" s="48"/>
      <c r="T1401" s="49" t="str">
        <f t="shared" si="90"/>
        <v>[W2254.6]</v>
      </c>
      <c r="U1401" s="12" t="str">
        <f t="shared" si="91"/>
        <v>]</v>
      </c>
      <c r="V1401" s="49" t="str">
        <f t="shared" si="92"/>
        <v>[W2254.6]]</v>
      </c>
    </row>
    <row r="1402" spans="1:22" s="49" customFormat="1" ht="14.15" customHeight="1">
      <c r="A1402" s="60"/>
      <c r="B1402" s="44" t="s">
        <v>157</v>
      </c>
      <c r="C1402" s="50"/>
      <c r="D1402" s="10" t="s">
        <v>29</v>
      </c>
      <c r="E1402" s="11"/>
      <c r="F1402" s="11" t="s">
        <v>18</v>
      </c>
      <c r="G1402" s="13"/>
      <c r="H1402" s="45" t="s">
        <v>16</v>
      </c>
      <c r="I1402" s="47"/>
      <c r="J1402" s="12" t="s">
        <v>4275</v>
      </c>
      <c r="K1402" s="13" t="s">
        <v>8202</v>
      </c>
      <c r="L1402" s="99" t="str">
        <f t="shared" si="93"/>
        <v>W2254.7</v>
      </c>
      <c r="M1402" s="13"/>
      <c r="N1402" s="13"/>
      <c r="O1402" s="56"/>
      <c r="P1402" s="53"/>
      <c r="Q1402" s="45"/>
      <c r="R1402" s="45"/>
      <c r="S1402" s="48"/>
      <c r="T1402" s="49" t="str">
        <f t="shared" si="90"/>
        <v>[W2254.7]</v>
      </c>
      <c r="U1402" s="12" t="str">
        <f t="shared" si="91"/>
        <v>]</v>
      </c>
      <c r="V1402" s="49" t="str">
        <f t="shared" si="92"/>
        <v>[W2254.7]]</v>
      </c>
    </row>
    <row r="1403" spans="1:22" s="49" customFormat="1" ht="14.15" customHeight="1">
      <c r="A1403" s="60"/>
      <c r="B1403" s="44" t="s">
        <v>157</v>
      </c>
      <c r="C1403" s="50"/>
      <c r="D1403" s="10" t="s">
        <v>29</v>
      </c>
      <c r="E1403" s="11"/>
      <c r="F1403" s="11" t="s">
        <v>18</v>
      </c>
      <c r="G1403" s="13"/>
      <c r="H1403" s="45" t="s">
        <v>16</v>
      </c>
      <c r="I1403" s="47"/>
      <c r="J1403" s="12" t="s">
        <v>4276</v>
      </c>
      <c r="K1403" s="13" t="s">
        <v>8203</v>
      </c>
      <c r="L1403" s="99" t="str">
        <f t="shared" si="93"/>
        <v>W2254.8</v>
      </c>
      <c r="M1403" s="13"/>
      <c r="N1403" s="13"/>
      <c r="O1403" s="56"/>
      <c r="P1403" s="53"/>
      <c r="Q1403" s="45"/>
      <c r="R1403" s="45"/>
      <c r="S1403" s="48"/>
      <c r="T1403" s="49" t="str">
        <f t="shared" si="90"/>
        <v>[W2254.8]</v>
      </c>
      <c r="U1403" s="12" t="str">
        <f t="shared" si="91"/>
        <v>]</v>
      </c>
      <c r="V1403" s="49" t="str">
        <f t="shared" si="92"/>
        <v>[W2254.8]]</v>
      </c>
    </row>
    <row r="1404" spans="1:22" s="49" customFormat="1" ht="14.15" customHeight="1">
      <c r="A1404" s="60"/>
      <c r="B1404" s="44" t="s">
        <v>157</v>
      </c>
      <c r="C1404" s="50"/>
      <c r="D1404" s="10" t="s">
        <v>29</v>
      </c>
      <c r="E1404" s="11"/>
      <c r="F1404" s="11" t="s">
        <v>18</v>
      </c>
      <c r="G1404" s="13"/>
      <c r="H1404" s="45" t="s">
        <v>16</v>
      </c>
      <c r="I1404" s="47"/>
      <c r="J1404" s="12" t="s">
        <v>4277</v>
      </c>
      <c r="K1404" s="13" t="s">
        <v>8204</v>
      </c>
      <c r="L1404" s="99" t="str">
        <f t="shared" si="93"/>
        <v>W2254.9</v>
      </c>
      <c r="M1404" s="13"/>
      <c r="N1404" s="13"/>
      <c r="O1404" s="56"/>
      <c r="P1404" s="53"/>
      <c r="Q1404" s="45"/>
      <c r="R1404" s="45"/>
      <c r="S1404" s="48"/>
      <c r="T1404" s="49" t="str">
        <f t="shared" si="90"/>
        <v>[W2254.9]</v>
      </c>
      <c r="U1404" s="12" t="str">
        <f t="shared" si="91"/>
        <v>]</v>
      </c>
      <c r="V1404" s="49" t="str">
        <f t="shared" si="92"/>
        <v>[W2254.9]]</v>
      </c>
    </row>
    <row r="1405" spans="1:22" s="49" customFormat="1" ht="14.15" customHeight="1">
      <c r="A1405" s="60"/>
      <c r="B1405" s="44" t="s">
        <v>157</v>
      </c>
      <c r="C1405" s="50"/>
      <c r="D1405" s="10" t="s">
        <v>29</v>
      </c>
      <c r="E1405" s="11"/>
      <c r="F1405" s="11" t="s">
        <v>18</v>
      </c>
      <c r="G1405" s="13"/>
      <c r="H1405" s="45" t="s">
        <v>16</v>
      </c>
      <c r="I1405" s="47"/>
      <c r="J1405" s="12" t="s">
        <v>4278</v>
      </c>
      <c r="K1405" s="13" t="s">
        <v>8205</v>
      </c>
      <c r="L1405" s="99" t="str">
        <f t="shared" si="93"/>
        <v>W2254.A</v>
      </c>
      <c r="M1405" s="13"/>
      <c r="N1405" s="13"/>
      <c r="O1405" s="56"/>
      <c r="P1405" s="53"/>
      <c r="Q1405" s="45"/>
      <c r="R1405" s="45"/>
      <c r="S1405" s="48"/>
      <c r="T1405" s="49" t="str">
        <f t="shared" si="90"/>
        <v>[W2254.A]</v>
      </c>
      <c r="U1405" s="12" t="str">
        <f t="shared" si="91"/>
        <v>]</v>
      </c>
      <c r="V1405" s="49" t="str">
        <f t="shared" si="92"/>
        <v>[W2254.A]]</v>
      </c>
    </row>
    <row r="1406" spans="1:22" s="49" customFormat="1" ht="14.15" customHeight="1">
      <c r="A1406" s="60"/>
      <c r="B1406" s="44" t="s">
        <v>157</v>
      </c>
      <c r="C1406" s="50"/>
      <c r="D1406" s="10" t="s">
        <v>29</v>
      </c>
      <c r="E1406" s="11"/>
      <c r="F1406" s="11" t="s">
        <v>18</v>
      </c>
      <c r="G1406" s="13"/>
      <c r="H1406" s="45" t="s">
        <v>16</v>
      </c>
      <c r="I1406" s="47"/>
      <c r="J1406" s="12" t="s">
        <v>4279</v>
      </c>
      <c r="K1406" s="13" t="s">
        <v>8206</v>
      </c>
      <c r="L1406" s="99" t="str">
        <f t="shared" si="93"/>
        <v>W2254.B</v>
      </c>
      <c r="M1406" s="13"/>
      <c r="N1406" s="13"/>
      <c r="O1406" s="56"/>
      <c r="P1406" s="53"/>
      <c r="Q1406" s="45"/>
      <c r="R1406" s="45"/>
      <c r="S1406" s="48"/>
      <c r="T1406" s="49" t="str">
        <f t="shared" si="90"/>
        <v>[W2254.B]</v>
      </c>
      <c r="U1406" s="12" t="str">
        <f t="shared" si="91"/>
        <v>]</v>
      </c>
      <c r="V1406" s="49" t="str">
        <f t="shared" si="92"/>
        <v>[W2254.B]]</v>
      </c>
    </row>
    <row r="1407" spans="1:22" s="49" customFormat="1" ht="14.15" customHeight="1">
      <c r="A1407" s="60"/>
      <c r="B1407" s="44" t="s">
        <v>157</v>
      </c>
      <c r="C1407" s="50"/>
      <c r="D1407" s="10" t="s">
        <v>29</v>
      </c>
      <c r="E1407" s="11"/>
      <c r="F1407" s="11" t="s">
        <v>18</v>
      </c>
      <c r="G1407" s="13"/>
      <c r="H1407" s="45" t="s">
        <v>16</v>
      </c>
      <c r="I1407" s="47"/>
      <c r="J1407" s="12" t="s">
        <v>4280</v>
      </c>
      <c r="K1407" s="13" t="s">
        <v>8207</v>
      </c>
      <c r="L1407" s="99" t="str">
        <f t="shared" si="93"/>
        <v>W2254.C</v>
      </c>
      <c r="M1407" s="13"/>
      <c r="N1407" s="13"/>
      <c r="O1407" s="56"/>
      <c r="P1407" s="53"/>
      <c r="Q1407" s="45"/>
      <c r="R1407" s="45"/>
      <c r="S1407" s="48"/>
      <c r="T1407" s="49" t="str">
        <f t="shared" si="90"/>
        <v>[W2254.C]</v>
      </c>
      <c r="U1407" s="12" t="str">
        <f t="shared" si="91"/>
        <v>]</v>
      </c>
      <c r="V1407" s="49" t="str">
        <f t="shared" si="92"/>
        <v>[W2254.C]]</v>
      </c>
    </row>
    <row r="1408" spans="1:22" s="49" customFormat="1" ht="14.15" customHeight="1">
      <c r="A1408" s="60"/>
      <c r="B1408" s="44" t="s">
        <v>157</v>
      </c>
      <c r="C1408" s="50"/>
      <c r="D1408" s="10" t="s">
        <v>29</v>
      </c>
      <c r="E1408" s="11"/>
      <c r="F1408" s="11" t="s">
        <v>18</v>
      </c>
      <c r="G1408" s="13"/>
      <c r="H1408" s="45" t="s">
        <v>16</v>
      </c>
      <c r="I1408" s="47"/>
      <c r="J1408" s="12" t="s">
        <v>4281</v>
      </c>
      <c r="K1408" s="13" t="s">
        <v>8208</v>
      </c>
      <c r="L1408" s="99" t="str">
        <f t="shared" si="93"/>
        <v>W2254.D</v>
      </c>
      <c r="M1408" s="13"/>
      <c r="N1408" s="13"/>
      <c r="O1408" s="56"/>
      <c r="P1408" s="53"/>
      <c r="Q1408" s="45"/>
      <c r="R1408" s="45"/>
      <c r="S1408" s="48"/>
      <c r="T1408" s="49" t="str">
        <f t="shared" si="90"/>
        <v>[W2254.D]</v>
      </c>
      <c r="U1408" s="12" t="str">
        <f t="shared" si="91"/>
        <v>]</v>
      </c>
      <c r="V1408" s="49" t="str">
        <f t="shared" si="92"/>
        <v>[W2254.D]]</v>
      </c>
    </row>
    <row r="1409" spans="1:22" s="49" customFormat="1" ht="14.15" customHeight="1">
      <c r="A1409" s="60"/>
      <c r="B1409" s="44" t="s">
        <v>157</v>
      </c>
      <c r="C1409" s="50"/>
      <c r="D1409" s="10" t="s">
        <v>29</v>
      </c>
      <c r="E1409" s="11"/>
      <c r="F1409" s="11" t="s">
        <v>18</v>
      </c>
      <c r="G1409" s="13"/>
      <c r="H1409" s="45" t="s">
        <v>16</v>
      </c>
      <c r="I1409" s="47"/>
      <c r="J1409" s="12" t="s">
        <v>4282</v>
      </c>
      <c r="K1409" s="13" t="s">
        <v>8209</v>
      </c>
      <c r="L1409" s="99" t="str">
        <f t="shared" si="93"/>
        <v>W2254.E</v>
      </c>
      <c r="M1409" s="13"/>
      <c r="N1409" s="13"/>
      <c r="O1409" s="57"/>
      <c r="P1409" s="53"/>
      <c r="Q1409" s="45"/>
      <c r="R1409" s="45"/>
      <c r="S1409" s="48"/>
      <c r="T1409" s="49" t="str">
        <f t="shared" si="90"/>
        <v>[W2254.E]</v>
      </c>
      <c r="U1409" s="12" t="str">
        <f t="shared" si="91"/>
        <v>]</v>
      </c>
      <c r="V1409" s="49" t="str">
        <f t="shared" si="92"/>
        <v>[W2254.E]]</v>
      </c>
    </row>
    <row r="1410" spans="1:22" s="49" customFormat="1" ht="14.15" customHeight="1">
      <c r="A1410" s="60"/>
      <c r="B1410" s="44" t="s">
        <v>157</v>
      </c>
      <c r="C1410" s="50"/>
      <c r="D1410" s="10" t="s">
        <v>29</v>
      </c>
      <c r="E1410" s="11"/>
      <c r="F1410" s="11" t="s">
        <v>18</v>
      </c>
      <c r="G1410" s="13"/>
      <c r="H1410" s="45" t="s">
        <v>16</v>
      </c>
      <c r="I1410" s="46"/>
      <c r="J1410" s="12" t="s">
        <v>4283</v>
      </c>
      <c r="K1410" s="13" t="s">
        <v>8210</v>
      </c>
      <c r="L1410" s="99" t="str">
        <f t="shared" si="93"/>
        <v>W2254.F</v>
      </c>
      <c r="M1410" s="13"/>
      <c r="N1410" s="13"/>
      <c r="O1410" s="57"/>
      <c r="P1410" s="53"/>
      <c r="Q1410" s="45"/>
      <c r="R1410" s="45"/>
      <c r="S1410" s="48"/>
      <c r="T1410" s="49" t="str">
        <f t="shared" si="90"/>
        <v>[W2254.F]</v>
      </c>
      <c r="U1410" s="12" t="str">
        <f t="shared" si="91"/>
        <v>]</v>
      </c>
      <c r="V1410" s="49" t="str">
        <f t="shared" si="92"/>
        <v>[W2254.F]]</v>
      </c>
    </row>
    <row r="1411" spans="1:22" s="49" customFormat="1" ht="14.15" customHeight="1">
      <c r="A1411" s="60"/>
      <c r="B1411" s="44" t="s">
        <v>157</v>
      </c>
      <c r="C1411" s="50"/>
      <c r="D1411" s="10" t="s">
        <v>29</v>
      </c>
      <c r="E1411" s="11"/>
      <c r="F1411" s="11" t="s">
        <v>18</v>
      </c>
      <c r="G1411" s="13"/>
      <c r="H1411" s="45" t="s">
        <v>16</v>
      </c>
      <c r="I1411" s="47"/>
      <c r="J1411" s="12" t="s">
        <v>4284</v>
      </c>
      <c r="K1411" s="13" t="s">
        <v>8211</v>
      </c>
      <c r="L1411" s="99" t="str">
        <f t="shared" si="93"/>
        <v>W2255.0</v>
      </c>
      <c r="M1411" s="13"/>
      <c r="N1411" s="13"/>
      <c r="O1411" s="57"/>
      <c r="P1411" s="53"/>
      <c r="Q1411" s="45"/>
      <c r="R1411" s="45"/>
      <c r="S1411" s="48"/>
      <c r="T1411" s="49" t="str">
        <f t="shared" si="90"/>
        <v>[W2255.0]</v>
      </c>
      <c r="U1411" s="12" t="str">
        <f t="shared" si="91"/>
        <v>]</v>
      </c>
      <c r="V1411" s="49" t="str">
        <f t="shared" si="92"/>
        <v>[W2255.0]]</v>
      </c>
    </row>
    <row r="1412" spans="1:22" s="49" customFormat="1" ht="14.15" customHeight="1">
      <c r="A1412" s="60"/>
      <c r="B1412" s="44" t="s">
        <v>157</v>
      </c>
      <c r="C1412" s="50"/>
      <c r="D1412" s="10" t="s">
        <v>29</v>
      </c>
      <c r="E1412" s="11"/>
      <c r="F1412" s="11" t="s">
        <v>18</v>
      </c>
      <c r="G1412" s="13"/>
      <c r="H1412" s="45" t="s">
        <v>16</v>
      </c>
      <c r="I1412" s="46"/>
      <c r="J1412" s="12" t="s">
        <v>4285</v>
      </c>
      <c r="K1412" s="13" t="s">
        <v>8212</v>
      </c>
      <c r="L1412" s="99" t="str">
        <f t="shared" si="93"/>
        <v>W2255.1</v>
      </c>
      <c r="M1412" s="13"/>
      <c r="N1412" s="13"/>
      <c r="O1412" s="57"/>
      <c r="P1412" s="53"/>
      <c r="Q1412" s="45"/>
      <c r="R1412" s="45"/>
      <c r="S1412" s="48"/>
      <c r="T1412" s="49" t="str">
        <f t="shared" si="90"/>
        <v>[W2255.1]</v>
      </c>
      <c r="U1412" s="12" t="str">
        <f t="shared" si="91"/>
        <v>]</v>
      </c>
      <c r="V1412" s="49" t="str">
        <f t="shared" si="92"/>
        <v>[W2255.1]]</v>
      </c>
    </row>
    <row r="1413" spans="1:22" s="49" customFormat="1" ht="14.15" customHeight="1">
      <c r="A1413" s="45"/>
      <c r="B1413" s="44" t="s">
        <v>157</v>
      </c>
      <c r="C1413" s="50"/>
      <c r="D1413" s="10" t="s">
        <v>29</v>
      </c>
      <c r="E1413" s="11"/>
      <c r="F1413" s="11" t="s">
        <v>18</v>
      </c>
      <c r="G1413" s="13"/>
      <c r="H1413" s="45" t="s">
        <v>16</v>
      </c>
      <c r="I1413" s="47"/>
      <c r="J1413" s="12" t="s">
        <v>4286</v>
      </c>
      <c r="K1413" s="13" t="s">
        <v>8213</v>
      </c>
      <c r="L1413" s="99" t="str">
        <f t="shared" si="93"/>
        <v>W2255.2</v>
      </c>
      <c r="M1413" s="45"/>
      <c r="N1413" s="47"/>
      <c r="O1413" s="47"/>
      <c r="P1413" s="47"/>
      <c r="Q1413" s="45"/>
      <c r="R1413" s="45"/>
      <c r="S1413" s="48"/>
    </row>
    <row r="1414" spans="1:22" s="49" customFormat="1" ht="14.15" customHeight="1">
      <c r="A1414" s="45"/>
      <c r="B1414" s="44" t="s">
        <v>157</v>
      </c>
      <c r="C1414" s="50"/>
      <c r="D1414" s="10" t="s">
        <v>29</v>
      </c>
      <c r="E1414" s="11"/>
      <c r="F1414" s="11" t="s">
        <v>18</v>
      </c>
      <c r="G1414" s="13"/>
      <c r="H1414" s="45" t="s">
        <v>16</v>
      </c>
      <c r="I1414" s="47"/>
      <c r="J1414" s="12" t="s">
        <v>4287</v>
      </c>
      <c r="K1414" s="13" t="s">
        <v>8214</v>
      </c>
      <c r="L1414" s="99" t="str">
        <f t="shared" si="93"/>
        <v>W2255.3</v>
      </c>
      <c r="M1414" s="13"/>
      <c r="N1414" s="47"/>
      <c r="O1414" s="47"/>
      <c r="P1414" s="47"/>
      <c r="Q1414" s="45"/>
      <c r="R1414" s="45"/>
      <c r="S1414" s="48"/>
    </row>
    <row r="1415" spans="1:22" s="49" customFormat="1" ht="14.15" customHeight="1">
      <c r="A1415" s="45"/>
      <c r="B1415" s="44" t="s">
        <v>157</v>
      </c>
      <c r="C1415" s="50"/>
      <c r="D1415" s="10" t="s">
        <v>29</v>
      </c>
      <c r="E1415" s="11"/>
      <c r="F1415" s="11" t="s">
        <v>18</v>
      </c>
      <c r="G1415" s="13"/>
      <c r="H1415" s="45" t="s">
        <v>16</v>
      </c>
      <c r="I1415" s="47"/>
      <c r="J1415" s="12" t="s">
        <v>4288</v>
      </c>
      <c r="K1415" s="13" t="s">
        <v>8215</v>
      </c>
      <c r="L1415" s="99" t="str">
        <f t="shared" si="93"/>
        <v>W2255.4</v>
      </c>
      <c r="M1415" s="13"/>
      <c r="N1415" s="47"/>
      <c r="O1415" s="47"/>
      <c r="P1415" s="47"/>
      <c r="Q1415" s="45"/>
      <c r="R1415" s="45"/>
      <c r="S1415" s="48"/>
    </row>
    <row r="1416" spans="1:22" s="49" customFormat="1" ht="14.15" customHeight="1">
      <c r="A1416" s="45"/>
      <c r="B1416" s="44" t="s">
        <v>157</v>
      </c>
      <c r="C1416" s="50"/>
      <c r="D1416" s="10" t="s">
        <v>29</v>
      </c>
      <c r="E1416" s="11"/>
      <c r="F1416" s="11" t="s">
        <v>18</v>
      </c>
      <c r="G1416" s="13"/>
      <c r="H1416" s="45" t="s">
        <v>16</v>
      </c>
      <c r="I1416" s="47"/>
      <c r="J1416" s="12" t="s">
        <v>4289</v>
      </c>
      <c r="K1416" s="13" t="s">
        <v>8216</v>
      </c>
      <c r="L1416" s="99" t="str">
        <f t="shared" si="93"/>
        <v>W2255.5</v>
      </c>
      <c r="M1416" s="45"/>
      <c r="N1416" s="47"/>
      <c r="O1416" s="47"/>
      <c r="P1416" s="47"/>
      <c r="Q1416" s="45"/>
      <c r="R1416" s="45"/>
      <c r="S1416" s="48"/>
    </row>
    <row r="1417" spans="1:22" s="49" customFormat="1" ht="14.15" customHeight="1">
      <c r="A1417" s="45"/>
      <c r="B1417" s="44" t="s">
        <v>157</v>
      </c>
      <c r="C1417" s="50"/>
      <c r="D1417" s="10" t="s">
        <v>29</v>
      </c>
      <c r="E1417" s="11"/>
      <c r="F1417" s="11" t="s">
        <v>18</v>
      </c>
      <c r="G1417" s="13"/>
      <c r="H1417" s="45" t="s">
        <v>16</v>
      </c>
      <c r="I1417" s="47"/>
      <c r="J1417" s="12" t="s">
        <v>4290</v>
      </c>
      <c r="K1417" s="13" t="s">
        <v>8217</v>
      </c>
      <c r="L1417" s="99" t="str">
        <f t="shared" si="93"/>
        <v>W2255.6</v>
      </c>
      <c r="M1417" s="45"/>
      <c r="N1417" s="47"/>
      <c r="O1417" s="47"/>
      <c r="P1417" s="47"/>
      <c r="Q1417" s="45"/>
      <c r="R1417" s="45"/>
      <c r="S1417" s="48"/>
    </row>
    <row r="1418" spans="1:22" s="49" customFormat="1" ht="14.15" customHeight="1">
      <c r="A1418" s="45"/>
      <c r="B1418" s="44" t="s">
        <v>157</v>
      </c>
      <c r="C1418" s="50"/>
      <c r="D1418" s="10" t="s">
        <v>29</v>
      </c>
      <c r="E1418" s="11"/>
      <c r="F1418" s="11" t="s">
        <v>18</v>
      </c>
      <c r="G1418" s="13"/>
      <c r="H1418" s="45" t="s">
        <v>16</v>
      </c>
      <c r="I1418" s="47"/>
      <c r="J1418" s="12" t="s">
        <v>4291</v>
      </c>
      <c r="K1418" s="13" t="s">
        <v>8218</v>
      </c>
      <c r="L1418" s="99" t="str">
        <f t="shared" si="93"/>
        <v>W2255.7</v>
      </c>
      <c r="M1418" s="45"/>
      <c r="N1418" s="47"/>
      <c r="O1418" s="47"/>
      <c r="P1418" s="47"/>
      <c r="Q1418" s="45"/>
      <c r="R1418" s="45"/>
      <c r="S1418" s="48"/>
    </row>
    <row r="1419" spans="1:22" s="49" customFormat="1" ht="14.15" customHeight="1">
      <c r="A1419" s="45"/>
      <c r="B1419" s="44" t="s">
        <v>157</v>
      </c>
      <c r="C1419" s="50"/>
      <c r="D1419" s="10" t="s">
        <v>29</v>
      </c>
      <c r="E1419" s="11"/>
      <c r="F1419" s="11" t="s">
        <v>18</v>
      </c>
      <c r="G1419" s="13"/>
      <c r="H1419" s="45" t="s">
        <v>16</v>
      </c>
      <c r="I1419" s="47"/>
      <c r="J1419" s="12" t="s">
        <v>4292</v>
      </c>
      <c r="K1419" s="13" t="s">
        <v>8219</v>
      </c>
      <c r="L1419" s="99" t="str">
        <f t="shared" si="93"/>
        <v>W2255.8</v>
      </c>
      <c r="M1419" s="45"/>
      <c r="N1419" s="47"/>
      <c r="O1419" s="47"/>
      <c r="P1419" s="47"/>
      <c r="Q1419" s="45"/>
      <c r="R1419" s="45"/>
      <c r="S1419" s="48"/>
    </row>
    <row r="1420" spans="1:22" s="49" customFormat="1" ht="14.15" customHeight="1">
      <c r="A1420" s="45"/>
      <c r="B1420" s="44" t="s">
        <v>157</v>
      </c>
      <c r="C1420" s="50"/>
      <c r="D1420" s="10" t="s">
        <v>29</v>
      </c>
      <c r="E1420" s="11"/>
      <c r="F1420" s="11" t="s">
        <v>18</v>
      </c>
      <c r="G1420" s="13"/>
      <c r="H1420" s="45" t="s">
        <v>16</v>
      </c>
      <c r="I1420" s="47"/>
      <c r="J1420" s="12" t="s">
        <v>4293</v>
      </c>
      <c r="K1420" s="13" t="s">
        <v>8220</v>
      </c>
      <c r="L1420" s="99" t="str">
        <f t="shared" si="93"/>
        <v>W2255.9</v>
      </c>
      <c r="M1420" s="13"/>
      <c r="N1420" s="47"/>
      <c r="O1420" s="47"/>
      <c r="P1420" s="47"/>
      <c r="Q1420" s="45"/>
      <c r="R1420" s="45"/>
      <c r="S1420" s="48"/>
    </row>
    <row r="1421" spans="1:22" s="49" customFormat="1" ht="14.15" customHeight="1">
      <c r="A1421" s="45"/>
      <c r="B1421" s="44" t="s">
        <v>157</v>
      </c>
      <c r="C1421" s="50"/>
      <c r="D1421" s="10" t="s">
        <v>29</v>
      </c>
      <c r="E1421" s="11"/>
      <c r="F1421" s="11" t="s">
        <v>18</v>
      </c>
      <c r="G1421" s="13"/>
      <c r="H1421" s="45" t="s">
        <v>16</v>
      </c>
      <c r="I1421" s="47"/>
      <c r="J1421" s="12" t="s">
        <v>4294</v>
      </c>
      <c r="K1421" s="13" t="s">
        <v>8221</v>
      </c>
      <c r="L1421" s="99" t="str">
        <f t="shared" si="93"/>
        <v>W2255.A</v>
      </c>
      <c r="M1421" s="13"/>
      <c r="N1421" s="47"/>
      <c r="O1421" s="47"/>
      <c r="P1421" s="47"/>
      <c r="Q1421" s="45"/>
      <c r="R1421" s="45"/>
      <c r="S1421" s="48"/>
    </row>
    <row r="1422" spans="1:22" s="49" customFormat="1" ht="14.15" customHeight="1">
      <c r="A1422" s="45"/>
      <c r="B1422" s="44" t="s">
        <v>157</v>
      </c>
      <c r="C1422" s="50"/>
      <c r="D1422" s="10" t="s">
        <v>29</v>
      </c>
      <c r="E1422" s="11"/>
      <c r="F1422" s="11" t="s">
        <v>18</v>
      </c>
      <c r="G1422" s="13"/>
      <c r="H1422" s="45" t="s">
        <v>16</v>
      </c>
      <c r="I1422" s="47"/>
      <c r="J1422" s="12" t="s">
        <v>4295</v>
      </c>
      <c r="K1422" s="13" t="s">
        <v>8222</v>
      </c>
      <c r="L1422" s="99" t="str">
        <f t="shared" si="93"/>
        <v>W2255.B</v>
      </c>
      <c r="M1422" s="13"/>
      <c r="N1422" s="47"/>
      <c r="O1422" s="47"/>
      <c r="P1422" s="47"/>
      <c r="Q1422" s="45"/>
      <c r="R1422" s="45"/>
      <c r="S1422" s="48"/>
    </row>
    <row r="1423" spans="1:22" s="49" customFormat="1" ht="14.15" customHeight="1">
      <c r="A1423" s="45"/>
      <c r="B1423" s="44" t="s">
        <v>157</v>
      </c>
      <c r="C1423" s="50"/>
      <c r="D1423" s="10" t="s">
        <v>29</v>
      </c>
      <c r="E1423" s="11"/>
      <c r="F1423" s="11" t="s">
        <v>18</v>
      </c>
      <c r="G1423" s="13"/>
      <c r="H1423" s="45" t="s">
        <v>16</v>
      </c>
      <c r="I1423" s="47"/>
      <c r="J1423" s="12" t="s">
        <v>4296</v>
      </c>
      <c r="K1423" s="13" t="s">
        <v>8223</v>
      </c>
      <c r="L1423" s="99" t="str">
        <f t="shared" si="93"/>
        <v>W2255.C</v>
      </c>
      <c r="M1423" s="45"/>
      <c r="N1423" s="47"/>
      <c r="O1423" s="47"/>
      <c r="P1423" s="47"/>
      <c r="Q1423" s="45"/>
      <c r="R1423" s="45"/>
      <c r="S1423" s="48"/>
    </row>
    <row r="1424" spans="1:22" s="49" customFormat="1" ht="14.15" customHeight="1">
      <c r="A1424" s="45"/>
      <c r="B1424" s="44" t="s">
        <v>157</v>
      </c>
      <c r="C1424" s="50"/>
      <c r="D1424" s="10" t="s">
        <v>29</v>
      </c>
      <c r="E1424" s="11"/>
      <c r="F1424" s="11" t="s">
        <v>18</v>
      </c>
      <c r="G1424" s="13"/>
      <c r="H1424" s="45" t="s">
        <v>16</v>
      </c>
      <c r="I1424" s="47"/>
      <c r="J1424" s="12" t="s">
        <v>4297</v>
      </c>
      <c r="K1424" s="13" t="s">
        <v>8224</v>
      </c>
      <c r="L1424" s="99" t="str">
        <f t="shared" si="93"/>
        <v>W2255.D</v>
      </c>
      <c r="M1424" s="13"/>
      <c r="N1424" s="47"/>
      <c r="O1424" s="47"/>
      <c r="P1424" s="47"/>
      <c r="Q1424" s="45"/>
      <c r="R1424" s="45"/>
      <c r="S1424" s="48"/>
    </row>
    <row r="1425" spans="1:19" s="49" customFormat="1" ht="14.15" customHeight="1">
      <c r="A1425" s="45"/>
      <c r="B1425" s="44" t="s">
        <v>157</v>
      </c>
      <c r="C1425" s="50"/>
      <c r="D1425" s="10" t="s">
        <v>29</v>
      </c>
      <c r="E1425" s="11"/>
      <c r="F1425" s="11" t="s">
        <v>18</v>
      </c>
      <c r="G1425" s="13"/>
      <c r="H1425" s="45" t="s">
        <v>16</v>
      </c>
      <c r="I1425" s="47"/>
      <c r="J1425" s="12" t="s">
        <v>4298</v>
      </c>
      <c r="K1425" s="13" t="s">
        <v>8225</v>
      </c>
      <c r="L1425" s="99" t="str">
        <f t="shared" si="93"/>
        <v>W2255.E</v>
      </c>
      <c r="M1425" s="45"/>
      <c r="N1425" s="47"/>
      <c r="O1425" s="47"/>
      <c r="P1425" s="47"/>
      <c r="Q1425" s="45"/>
      <c r="R1425" s="45"/>
      <c r="S1425" s="48"/>
    </row>
    <row r="1426" spans="1:19" s="49" customFormat="1" ht="14.15" customHeight="1">
      <c r="A1426" s="45"/>
      <c r="B1426" s="44" t="s">
        <v>157</v>
      </c>
      <c r="C1426" s="50"/>
      <c r="D1426" s="10" t="s">
        <v>29</v>
      </c>
      <c r="E1426" s="11"/>
      <c r="F1426" s="11" t="s">
        <v>18</v>
      </c>
      <c r="G1426" s="13"/>
      <c r="H1426" s="45" t="s">
        <v>16</v>
      </c>
      <c r="I1426" s="47"/>
      <c r="J1426" s="12" t="s">
        <v>4299</v>
      </c>
      <c r="K1426" s="13" t="s">
        <v>8226</v>
      </c>
      <c r="L1426" s="99" t="str">
        <f t="shared" si="93"/>
        <v>W2255.F</v>
      </c>
      <c r="M1426" s="45"/>
      <c r="N1426" s="47"/>
      <c r="O1426" s="47"/>
      <c r="P1426" s="47"/>
      <c r="Q1426" s="45"/>
      <c r="R1426" s="45"/>
      <c r="S1426" s="48"/>
    </row>
    <row r="1427" spans="1:19" s="49" customFormat="1" ht="14.15" customHeight="1">
      <c r="A1427" s="45"/>
      <c r="B1427" s="44" t="s">
        <v>157</v>
      </c>
      <c r="C1427" s="50"/>
      <c r="D1427" s="10" t="s">
        <v>29</v>
      </c>
      <c r="E1427" s="11"/>
      <c r="F1427" s="11" t="s">
        <v>18</v>
      </c>
      <c r="G1427" s="13"/>
      <c r="H1427" s="45" t="s">
        <v>16</v>
      </c>
      <c r="I1427" s="47"/>
      <c r="J1427" s="12" t="s">
        <v>4300</v>
      </c>
      <c r="K1427" s="13" t="s">
        <v>8227</v>
      </c>
      <c r="L1427" s="99" t="str">
        <f t="shared" si="93"/>
        <v>W2256.0</v>
      </c>
      <c r="M1427" s="45"/>
      <c r="N1427" s="47"/>
      <c r="O1427" s="47"/>
      <c r="P1427" s="47"/>
      <c r="Q1427" s="45"/>
      <c r="R1427" s="45"/>
      <c r="S1427" s="48"/>
    </row>
    <row r="1428" spans="1:19" s="49" customFormat="1" ht="14.15" customHeight="1">
      <c r="A1428" s="45"/>
      <c r="B1428" s="44" t="s">
        <v>157</v>
      </c>
      <c r="C1428" s="50"/>
      <c r="D1428" s="10" t="s">
        <v>29</v>
      </c>
      <c r="E1428" s="11"/>
      <c r="F1428" s="11" t="s">
        <v>18</v>
      </c>
      <c r="G1428" s="13"/>
      <c r="H1428" s="45" t="s">
        <v>16</v>
      </c>
      <c r="I1428" s="47"/>
      <c r="J1428" s="12" t="s">
        <v>4301</v>
      </c>
      <c r="K1428" s="13" t="s">
        <v>8228</v>
      </c>
      <c r="L1428" s="99" t="str">
        <f t="shared" si="93"/>
        <v>W2256.1</v>
      </c>
      <c r="M1428" s="45"/>
      <c r="N1428" s="47"/>
      <c r="O1428" s="47"/>
      <c r="P1428" s="47"/>
      <c r="Q1428" s="45"/>
      <c r="R1428" s="45"/>
      <c r="S1428" s="48"/>
    </row>
    <row r="1429" spans="1:19" s="49" customFormat="1" ht="14.15" customHeight="1">
      <c r="A1429" s="45"/>
      <c r="B1429" s="44" t="s">
        <v>157</v>
      </c>
      <c r="C1429" s="50"/>
      <c r="D1429" s="10" t="s">
        <v>29</v>
      </c>
      <c r="E1429" s="11"/>
      <c r="F1429" s="11" t="s">
        <v>18</v>
      </c>
      <c r="G1429" s="13"/>
      <c r="H1429" s="45" t="s">
        <v>16</v>
      </c>
      <c r="I1429" s="47"/>
      <c r="J1429" s="12" t="s">
        <v>4302</v>
      </c>
      <c r="K1429" s="13" t="s">
        <v>8229</v>
      </c>
      <c r="L1429" s="99" t="str">
        <f t="shared" si="93"/>
        <v>W2256.2</v>
      </c>
      <c r="M1429" s="13"/>
      <c r="N1429" s="47"/>
      <c r="O1429" s="47"/>
      <c r="P1429" s="47"/>
      <c r="Q1429" s="45"/>
      <c r="R1429" s="45"/>
      <c r="S1429" s="48"/>
    </row>
    <row r="1430" spans="1:19" s="49" customFormat="1" ht="14.15" customHeight="1">
      <c r="A1430" s="43" t="s">
        <v>5604</v>
      </c>
      <c r="B1430" s="44" t="s">
        <v>157</v>
      </c>
      <c r="C1430" s="50"/>
      <c r="D1430" s="10" t="s">
        <v>29</v>
      </c>
      <c r="E1430" s="11"/>
      <c r="F1430" s="11" t="s">
        <v>18</v>
      </c>
      <c r="G1430" s="13"/>
      <c r="H1430" s="45" t="s">
        <v>16</v>
      </c>
      <c r="I1430" s="47"/>
      <c r="J1430" s="12" t="s">
        <v>5558</v>
      </c>
      <c r="K1430" s="13" t="s">
        <v>8230</v>
      </c>
      <c r="L1430" s="99" t="str">
        <f t="shared" si="93"/>
        <v>W2256.3</v>
      </c>
      <c r="M1430" s="13" t="s">
        <v>17</v>
      </c>
      <c r="N1430" s="47"/>
      <c r="O1430" s="47"/>
      <c r="P1430" s="47"/>
      <c r="Q1430" s="45" t="s">
        <v>142</v>
      </c>
      <c r="R1430" s="45" t="s">
        <v>5553</v>
      </c>
      <c r="S1430" s="48"/>
    </row>
    <row r="1431" spans="1:19" s="49" customFormat="1" ht="14.15" customHeight="1">
      <c r="A1431" s="43" t="s">
        <v>5604</v>
      </c>
      <c r="B1431" s="44" t="s">
        <v>157</v>
      </c>
      <c r="C1431" s="50"/>
      <c r="D1431" s="10" t="s">
        <v>29</v>
      </c>
      <c r="E1431" s="11"/>
      <c r="F1431" s="11" t="s">
        <v>18</v>
      </c>
      <c r="G1431" s="13"/>
      <c r="H1431" s="45" t="s">
        <v>16</v>
      </c>
      <c r="I1431" s="47"/>
      <c r="J1431" s="12" t="s">
        <v>5559</v>
      </c>
      <c r="K1431" s="13" t="s">
        <v>8231</v>
      </c>
      <c r="L1431" s="99" t="str">
        <f t="shared" si="93"/>
        <v>W2256.4</v>
      </c>
      <c r="M1431" s="13" t="s">
        <v>17</v>
      </c>
      <c r="N1431" s="47"/>
      <c r="O1431" s="47"/>
      <c r="P1431" s="47"/>
      <c r="Q1431" s="45" t="s">
        <v>142</v>
      </c>
      <c r="R1431" s="45" t="s">
        <v>5553</v>
      </c>
      <c r="S1431" s="48"/>
    </row>
    <row r="1432" spans="1:19" s="49" customFormat="1" ht="14.15" customHeight="1">
      <c r="A1432" s="45"/>
      <c r="B1432" s="44" t="s">
        <v>157</v>
      </c>
      <c r="C1432" s="50"/>
      <c r="D1432" s="10" t="s">
        <v>29</v>
      </c>
      <c r="E1432" s="11"/>
      <c r="F1432" s="11" t="s">
        <v>18</v>
      </c>
      <c r="G1432" s="13"/>
      <c r="H1432" s="45" t="s">
        <v>16</v>
      </c>
      <c r="I1432" s="47"/>
      <c r="J1432" s="12" t="s">
        <v>1131</v>
      </c>
      <c r="K1432" s="13" t="s">
        <v>8232</v>
      </c>
      <c r="L1432" s="99" t="str">
        <f t="shared" si="93"/>
        <v>W2256.5</v>
      </c>
      <c r="M1432" s="45"/>
      <c r="N1432" s="47"/>
      <c r="O1432" s="47"/>
      <c r="P1432" s="47"/>
      <c r="Q1432" s="45"/>
      <c r="R1432" s="45"/>
      <c r="S1432" s="48"/>
    </row>
    <row r="1433" spans="1:19" s="49" customFormat="1" ht="14.15" customHeight="1">
      <c r="A1433" s="43" t="s">
        <v>5604</v>
      </c>
      <c r="B1433" s="44" t="s">
        <v>157</v>
      </c>
      <c r="C1433" s="50"/>
      <c r="D1433" s="10" t="s">
        <v>29</v>
      </c>
      <c r="E1433" s="11"/>
      <c r="F1433" s="11" t="s">
        <v>18</v>
      </c>
      <c r="G1433" s="13"/>
      <c r="H1433" s="45" t="s">
        <v>16</v>
      </c>
      <c r="I1433" s="47"/>
      <c r="J1433" s="12" t="s">
        <v>5560</v>
      </c>
      <c r="K1433" s="13" t="s">
        <v>8233</v>
      </c>
      <c r="L1433" s="99" t="str">
        <f t="shared" si="93"/>
        <v>W2256.6</v>
      </c>
      <c r="M1433" s="13" t="s">
        <v>17</v>
      </c>
      <c r="N1433" s="47"/>
      <c r="O1433" s="47"/>
      <c r="P1433" s="47"/>
      <c r="Q1433" s="45" t="s">
        <v>142</v>
      </c>
      <c r="R1433" s="45" t="s">
        <v>5553</v>
      </c>
      <c r="S1433" s="48"/>
    </row>
    <row r="1434" spans="1:19" s="49" customFormat="1" ht="14.15" customHeight="1">
      <c r="A1434" s="43" t="s">
        <v>5604</v>
      </c>
      <c r="B1434" s="44" t="s">
        <v>157</v>
      </c>
      <c r="C1434" s="50"/>
      <c r="D1434" s="10" t="s">
        <v>29</v>
      </c>
      <c r="E1434" s="11"/>
      <c r="F1434" s="11" t="s">
        <v>18</v>
      </c>
      <c r="G1434" s="13"/>
      <c r="H1434" s="45" t="s">
        <v>16</v>
      </c>
      <c r="I1434" s="47"/>
      <c r="J1434" s="12" t="s">
        <v>5561</v>
      </c>
      <c r="K1434" s="13" t="s">
        <v>8234</v>
      </c>
      <c r="L1434" s="99" t="str">
        <f t="shared" si="93"/>
        <v>W2256.7</v>
      </c>
      <c r="M1434" s="13" t="s">
        <v>17</v>
      </c>
      <c r="N1434" s="47"/>
      <c r="O1434" s="47"/>
      <c r="P1434" s="47"/>
      <c r="Q1434" s="45" t="s">
        <v>142</v>
      </c>
      <c r="R1434" s="45" t="s">
        <v>5553</v>
      </c>
      <c r="S1434" s="48"/>
    </row>
    <row r="1435" spans="1:19" s="49" customFormat="1" ht="14.15" customHeight="1">
      <c r="A1435" s="45"/>
      <c r="B1435" s="44" t="s">
        <v>157</v>
      </c>
      <c r="C1435" s="50"/>
      <c r="D1435" s="10" t="s">
        <v>29</v>
      </c>
      <c r="E1435" s="11"/>
      <c r="F1435" s="11" t="s">
        <v>18</v>
      </c>
      <c r="G1435" s="13"/>
      <c r="H1435" s="45" t="s">
        <v>16</v>
      </c>
      <c r="I1435" s="47"/>
      <c r="J1435" s="12" t="s">
        <v>1134</v>
      </c>
      <c r="K1435" s="13" t="s">
        <v>8235</v>
      </c>
      <c r="L1435" s="99" t="str">
        <f t="shared" si="93"/>
        <v>W2256.8</v>
      </c>
      <c r="M1435" s="45"/>
      <c r="N1435" s="47"/>
      <c r="O1435" s="47"/>
      <c r="P1435" s="47"/>
      <c r="Q1435" s="45"/>
      <c r="R1435" s="45"/>
      <c r="S1435" s="48"/>
    </row>
    <row r="1436" spans="1:19" s="49" customFormat="1" ht="14.15" customHeight="1">
      <c r="A1436" s="43" t="s">
        <v>5604</v>
      </c>
      <c r="B1436" s="44" t="s">
        <v>157</v>
      </c>
      <c r="C1436" s="50"/>
      <c r="D1436" s="10" t="s">
        <v>29</v>
      </c>
      <c r="E1436" s="11"/>
      <c r="F1436" s="11" t="s">
        <v>18</v>
      </c>
      <c r="G1436" s="13"/>
      <c r="H1436" s="45" t="s">
        <v>16</v>
      </c>
      <c r="I1436" s="47"/>
      <c r="J1436" s="12" t="s">
        <v>5562</v>
      </c>
      <c r="K1436" s="13" t="s">
        <v>8236</v>
      </c>
      <c r="L1436" s="99" t="str">
        <f t="shared" si="93"/>
        <v>W2256.9</v>
      </c>
      <c r="M1436" s="13" t="s">
        <v>17</v>
      </c>
      <c r="N1436" s="47"/>
      <c r="O1436" s="47"/>
      <c r="P1436" s="47"/>
      <c r="Q1436" s="45" t="s">
        <v>142</v>
      </c>
      <c r="R1436" s="45" t="s">
        <v>5553</v>
      </c>
      <c r="S1436" s="48"/>
    </row>
    <row r="1437" spans="1:19" s="49" customFormat="1" ht="14.15" customHeight="1">
      <c r="A1437" s="43" t="s">
        <v>5604</v>
      </c>
      <c r="B1437" s="44" t="s">
        <v>157</v>
      </c>
      <c r="C1437" s="50"/>
      <c r="D1437" s="10" t="s">
        <v>29</v>
      </c>
      <c r="E1437" s="11"/>
      <c r="F1437" s="11" t="s">
        <v>18</v>
      </c>
      <c r="G1437" s="13"/>
      <c r="H1437" s="45" t="s">
        <v>16</v>
      </c>
      <c r="I1437" s="47"/>
      <c r="J1437" s="12" t="s">
        <v>5563</v>
      </c>
      <c r="K1437" s="13" t="s">
        <v>8237</v>
      </c>
      <c r="L1437" s="99" t="str">
        <f t="shared" si="93"/>
        <v>W2256.A</v>
      </c>
      <c r="M1437" s="13" t="s">
        <v>17</v>
      </c>
      <c r="N1437" s="47"/>
      <c r="O1437" s="47"/>
      <c r="P1437" s="47"/>
      <c r="Q1437" s="45" t="s">
        <v>142</v>
      </c>
      <c r="R1437" s="45" t="s">
        <v>5553</v>
      </c>
      <c r="S1437" s="48"/>
    </row>
    <row r="1438" spans="1:19" s="49" customFormat="1" ht="14.15" customHeight="1">
      <c r="A1438" s="45"/>
      <c r="B1438" s="44" t="s">
        <v>157</v>
      </c>
      <c r="C1438" s="50"/>
      <c r="D1438" s="10" t="s">
        <v>29</v>
      </c>
      <c r="E1438" s="11"/>
      <c r="F1438" s="11" t="s">
        <v>18</v>
      </c>
      <c r="G1438" s="13"/>
      <c r="H1438" s="45" t="s">
        <v>16</v>
      </c>
      <c r="I1438" s="47"/>
      <c r="J1438" s="12" t="s">
        <v>1137</v>
      </c>
      <c r="K1438" s="13" t="s">
        <v>8238</v>
      </c>
      <c r="L1438" s="99" t="str">
        <f t="shared" si="93"/>
        <v>W2256.B</v>
      </c>
      <c r="M1438" s="45"/>
      <c r="N1438" s="47"/>
      <c r="O1438" s="47"/>
      <c r="P1438" s="47"/>
      <c r="R1438" s="45"/>
      <c r="S1438" s="48"/>
    </row>
    <row r="1439" spans="1:19" s="49" customFormat="1" ht="14.15" customHeight="1">
      <c r="A1439" s="43" t="s">
        <v>5604</v>
      </c>
      <c r="B1439" s="44" t="s">
        <v>157</v>
      </c>
      <c r="C1439" s="50"/>
      <c r="D1439" s="10" t="s">
        <v>29</v>
      </c>
      <c r="E1439" s="11"/>
      <c r="F1439" s="11" t="s">
        <v>18</v>
      </c>
      <c r="G1439" s="13"/>
      <c r="H1439" s="45" t="s">
        <v>16</v>
      </c>
      <c r="I1439" s="47"/>
      <c r="J1439" s="12" t="s">
        <v>5564</v>
      </c>
      <c r="K1439" s="13" t="s">
        <v>8239</v>
      </c>
      <c r="L1439" s="99" t="str">
        <f t="shared" si="93"/>
        <v>W2256.C</v>
      </c>
      <c r="M1439" s="13" t="s">
        <v>17</v>
      </c>
      <c r="N1439" s="47"/>
      <c r="O1439" s="47"/>
      <c r="P1439" s="47"/>
      <c r="Q1439" s="45" t="s">
        <v>142</v>
      </c>
      <c r="R1439" s="45" t="s">
        <v>5553</v>
      </c>
      <c r="S1439" s="48"/>
    </row>
    <row r="1440" spans="1:19" s="49" customFormat="1" ht="14.15" customHeight="1">
      <c r="A1440" s="43" t="s">
        <v>5604</v>
      </c>
      <c r="B1440" s="44" t="s">
        <v>157</v>
      </c>
      <c r="C1440" s="50"/>
      <c r="D1440" s="10" t="s">
        <v>29</v>
      </c>
      <c r="E1440" s="11"/>
      <c r="F1440" s="11" t="s">
        <v>18</v>
      </c>
      <c r="G1440" s="13"/>
      <c r="H1440" s="45" t="s">
        <v>16</v>
      </c>
      <c r="I1440" s="47"/>
      <c r="J1440" s="12" t="s">
        <v>5565</v>
      </c>
      <c r="K1440" s="13" t="s">
        <v>8240</v>
      </c>
      <c r="L1440" s="99" t="str">
        <f t="shared" si="93"/>
        <v>W2256.D</v>
      </c>
      <c r="M1440" s="13" t="s">
        <v>17</v>
      </c>
      <c r="N1440" s="47"/>
      <c r="O1440" s="47"/>
      <c r="P1440" s="47"/>
      <c r="Q1440" s="45" t="s">
        <v>142</v>
      </c>
      <c r="R1440" s="45" t="s">
        <v>5553</v>
      </c>
      <c r="S1440" s="48"/>
    </row>
    <row r="1441" spans="1:19" s="49" customFormat="1" ht="14.15" customHeight="1">
      <c r="A1441" s="45"/>
      <c r="B1441" s="44" t="s">
        <v>157</v>
      </c>
      <c r="C1441" s="50"/>
      <c r="D1441" s="10" t="s">
        <v>29</v>
      </c>
      <c r="E1441" s="11"/>
      <c r="F1441" s="11" t="s">
        <v>18</v>
      </c>
      <c r="G1441" s="13"/>
      <c r="H1441" s="45" t="s">
        <v>16</v>
      </c>
      <c r="I1441" s="47"/>
      <c r="J1441" s="12" t="s">
        <v>1140</v>
      </c>
      <c r="K1441" s="13" t="s">
        <v>8241</v>
      </c>
      <c r="L1441" s="99" t="str">
        <f t="shared" si="93"/>
        <v>W2256.E</v>
      </c>
      <c r="M1441" s="13"/>
      <c r="N1441" s="47"/>
      <c r="O1441" s="47"/>
      <c r="P1441" s="47"/>
      <c r="Q1441" s="45"/>
      <c r="R1441" s="45"/>
      <c r="S1441" s="48"/>
    </row>
    <row r="1442" spans="1:19" s="49" customFormat="1" ht="14.15" customHeight="1">
      <c r="A1442" s="43" t="s">
        <v>5604</v>
      </c>
      <c r="B1442" s="44" t="s">
        <v>157</v>
      </c>
      <c r="C1442" s="50"/>
      <c r="D1442" s="10" t="s">
        <v>29</v>
      </c>
      <c r="E1442" s="11"/>
      <c r="F1442" s="11" t="s">
        <v>18</v>
      </c>
      <c r="G1442" s="13"/>
      <c r="H1442" s="45" t="s">
        <v>16</v>
      </c>
      <c r="I1442" s="47"/>
      <c r="J1442" s="12" t="s">
        <v>5566</v>
      </c>
      <c r="K1442" s="13" t="s">
        <v>8242</v>
      </c>
      <c r="L1442" s="99" t="str">
        <f t="shared" si="93"/>
        <v>W2256.F</v>
      </c>
      <c r="M1442" s="13" t="s">
        <v>17</v>
      </c>
      <c r="N1442" s="47"/>
      <c r="O1442" s="47"/>
      <c r="P1442" s="47"/>
      <c r="Q1442" s="45" t="s">
        <v>142</v>
      </c>
      <c r="R1442" s="45" t="s">
        <v>5553</v>
      </c>
      <c r="S1442" s="48"/>
    </row>
    <row r="1443" spans="1:19" s="49" customFormat="1" ht="14.15" customHeight="1">
      <c r="A1443" s="43" t="s">
        <v>5604</v>
      </c>
      <c r="B1443" s="44" t="s">
        <v>157</v>
      </c>
      <c r="C1443" s="50"/>
      <c r="D1443" s="10" t="s">
        <v>29</v>
      </c>
      <c r="E1443" s="11"/>
      <c r="F1443" s="11" t="s">
        <v>18</v>
      </c>
      <c r="G1443" s="13"/>
      <c r="H1443" s="45" t="s">
        <v>16</v>
      </c>
      <c r="I1443" s="47"/>
      <c r="J1443" s="12" t="s">
        <v>5567</v>
      </c>
      <c r="K1443" s="13" t="s">
        <v>8243</v>
      </c>
      <c r="L1443" s="99" t="str">
        <f t="shared" si="93"/>
        <v>W2257.0</v>
      </c>
      <c r="M1443" s="13" t="s">
        <v>17</v>
      </c>
      <c r="N1443" s="47"/>
      <c r="O1443" s="47"/>
      <c r="P1443" s="47"/>
      <c r="Q1443" s="45" t="s">
        <v>142</v>
      </c>
      <c r="R1443" s="45" t="s">
        <v>5553</v>
      </c>
      <c r="S1443" s="48"/>
    </row>
    <row r="1444" spans="1:19" s="49" customFormat="1" ht="14.15" customHeight="1">
      <c r="A1444" s="45"/>
      <c r="B1444" s="44" t="s">
        <v>157</v>
      </c>
      <c r="C1444" s="50"/>
      <c r="D1444" s="10" t="s">
        <v>29</v>
      </c>
      <c r="E1444" s="11"/>
      <c r="F1444" s="11" t="s">
        <v>18</v>
      </c>
      <c r="G1444" s="13"/>
      <c r="H1444" s="45" t="s">
        <v>16</v>
      </c>
      <c r="I1444" s="47"/>
      <c r="J1444" s="12" t="s">
        <v>1143</v>
      </c>
      <c r="K1444" s="13" t="s">
        <v>8244</v>
      </c>
      <c r="L1444" s="99" t="str">
        <f t="shared" si="93"/>
        <v>W2257.1</v>
      </c>
      <c r="M1444" s="13"/>
      <c r="N1444" s="47"/>
      <c r="O1444" s="47"/>
      <c r="P1444" s="47"/>
      <c r="Q1444" s="45"/>
      <c r="R1444" s="45"/>
      <c r="S1444" s="48"/>
    </row>
    <row r="1445" spans="1:19" s="49" customFormat="1" ht="14.15" customHeight="1">
      <c r="A1445" s="43" t="s">
        <v>5604</v>
      </c>
      <c r="B1445" s="44" t="s">
        <v>157</v>
      </c>
      <c r="C1445" s="50"/>
      <c r="D1445" s="10" t="s">
        <v>29</v>
      </c>
      <c r="E1445" s="11"/>
      <c r="F1445" s="11" t="s">
        <v>18</v>
      </c>
      <c r="G1445" s="13"/>
      <c r="H1445" s="45" t="s">
        <v>16</v>
      </c>
      <c r="I1445" s="47"/>
      <c r="J1445" s="12" t="s">
        <v>5568</v>
      </c>
      <c r="K1445" s="13" t="s">
        <v>8245</v>
      </c>
      <c r="L1445" s="99" t="str">
        <f t="shared" si="93"/>
        <v>W2257.2</v>
      </c>
      <c r="M1445" s="13" t="s">
        <v>17</v>
      </c>
      <c r="N1445" s="47"/>
      <c r="O1445" s="47"/>
      <c r="P1445" s="47"/>
      <c r="Q1445" s="45" t="s">
        <v>142</v>
      </c>
      <c r="R1445" s="45" t="s">
        <v>5553</v>
      </c>
      <c r="S1445" s="48"/>
    </row>
    <row r="1446" spans="1:19" s="49" customFormat="1" ht="14.15" customHeight="1">
      <c r="A1446" s="43" t="s">
        <v>5604</v>
      </c>
      <c r="B1446" s="44" t="s">
        <v>157</v>
      </c>
      <c r="C1446" s="50"/>
      <c r="D1446" s="10" t="s">
        <v>29</v>
      </c>
      <c r="E1446" s="11"/>
      <c r="F1446" s="11" t="s">
        <v>18</v>
      </c>
      <c r="G1446" s="13"/>
      <c r="H1446" s="45" t="s">
        <v>16</v>
      </c>
      <c r="I1446" s="47"/>
      <c r="J1446" s="12" t="s">
        <v>5569</v>
      </c>
      <c r="K1446" s="13" t="s">
        <v>8246</v>
      </c>
      <c r="L1446" s="99" t="str">
        <f t="shared" si="93"/>
        <v>W2257.3</v>
      </c>
      <c r="M1446" s="13" t="s">
        <v>17</v>
      </c>
      <c r="N1446" s="47"/>
      <c r="O1446" s="47"/>
      <c r="P1446" s="47"/>
      <c r="Q1446" s="45" t="s">
        <v>142</v>
      </c>
      <c r="R1446" s="45" t="s">
        <v>5553</v>
      </c>
      <c r="S1446" s="48"/>
    </row>
    <row r="1447" spans="1:19" s="49" customFormat="1" ht="14.15" customHeight="1">
      <c r="A1447" s="45"/>
      <c r="B1447" s="44" t="s">
        <v>157</v>
      </c>
      <c r="C1447" s="50"/>
      <c r="D1447" s="10" t="s">
        <v>29</v>
      </c>
      <c r="E1447" s="11"/>
      <c r="F1447" s="11" t="s">
        <v>18</v>
      </c>
      <c r="G1447" s="13"/>
      <c r="H1447" s="45" t="s">
        <v>16</v>
      </c>
      <c r="I1447" s="47"/>
      <c r="J1447" s="12" t="s">
        <v>1146</v>
      </c>
      <c r="K1447" s="13" t="s">
        <v>8247</v>
      </c>
      <c r="L1447" s="99" t="str">
        <f t="shared" si="93"/>
        <v>W2257.4</v>
      </c>
      <c r="M1447" s="45"/>
      <c r="N1447" s="47"/>
      <c r="O1447" s="47"/>
      <c r="P1447" s="47"/>
      <c r="Q1447" s="45"/>
      <c r="R1447" s="45"/>
      <c r="S1447" s="48"/>
    </row>
    <row r="1448" spans="1:19" s="49" customFormat="1" ht="14.15" customHeight="1">
      <c r="A1448" s="43" t="s">
        <v>5604</v>
      </c>
      <c r="B1448" s="44" t="s">
        <v>157</v>
      </c>
      <c r="C1448" s="50"/>
      <c r="D1448" s="10" t="s">
        <v>29</v>
      </c>
      <c r="E1448" s="11"/>
      <c r="F1448" s="11" t="s">
        <v>18</v>
      </c>
      <c r="G1448" s="13"/>
      <c r="H1448" s="45" t="s">
        <v>16</v>
      </c>
      <c r="I1448" s="47"/>
      <c r="J1448" s="12" t="s">
        <v>5570</v>
      </c>
      <c r="K1448" s="13" t="s">
        <v>8248</v>
      </c>
      <c r="L1448" s="99" t="str">
        <f t="shared" si="93"/>
        <v>W2257.5</v>
      </c>
      <c r="M1448" s="13" t="s">
        <v>17</v>
      </c>
      <c r="N1448" s="47"/>
      <c r="O1448" s="47"/>
      <c r="P1448" s="47"/>
      <c r="Q1448" s="45" t="s">
        <v>142</v>
      </c>
      <c r="R1448" s="45" t="s">
        <v>5553</v>
      </c>
      <c r="S1448" s="48"/>
    </row>
    <row r="1449" spans="1:19" s="49" customFormat="1" ht="14.15" customHeight="1">
      <c r="A1449" s="43" t="s">
        <v>5604</v>
      </c>
      <c r="B1449" s="44" t="s">
        <v>157</v>
      </c>
      <c r="C1449" s="50"/>
      <c r="D1449" s="10" t="s">
        <v>29</v>
      </c>
      <c r="E1449" s="11"/>
      <c r="F1449" s="11" t="s">
        <v>18</v>
      </c>
      <c r="G1449" s="13"/>
      <c r="H1449" s="45" t="s">
        <v>16</v>
      </c>
      <c r="I1449" s="47"/>
      <c r="J1449" s="12" t="s">
        <v>5571</v>
      </c>
      <c r="K1449" s="13" t="s">
        <v>8249</v>
      </c>
      <c r="L1449" s="99" t="str">
        <f t="shared" si="93"/>
        <v>W2257.6</v>
      </c>
      <c r="M1449" s="13" t="s">
        <v>17</v>
      </c>
      <c r="N1449" s="47"/>
      <c r="O1449" s="47"/>
      <c r="P1449" s="47"/>
      <c r="Q1449" s="45" t="s">
        <v>142</v>
      </c>
      <c r="R1449" s="45" t="s">
        <v>5553</v>
      </c>
      <c r="S1449" s="48"/>
    </row>
    <row r="1450" spans="1:19" s="49" customFormat="1" ht="14.15" customHeight="1">
      <c r="A1450" s="45"/>
      <c r="B1450" s="44" t="s">
        <v>157</v>
      </c>
      <c r="C1450" s="50"/>
      <c r="D1450" s="10" t="s">
        <v>29</v>
      </c>
      <c r="E1450" s="11"/>
      <c r="F1450" s="11" t="s">
        <v>18</v>
      </c>
      <c r="G1450" s="13"/>
      <c r="H1450" s="45" t="s">
        <v>16</v>
      </c>
      <c r="I1450" s="47"/>
      <c r="J1450" s="12" t="s">
        <v>1149</v>
      </c>
      <c r="K1450" s="13" t="s">
        <v>8250</v>
      </c>
      <c r="L1450" s="99" t="str">
        <f t="shared" si="93"/>
        <v>W2257.7</v>
      </c>
      <c r="M1450" s="13"/>
      <c r="N1450" s="47"/>
      <c r="O1450" s="47"/>
      <c r="P1450" s="47"/>
      <c r="Q1450" s="45"/>
      <c r="R1450" s="45"/>
      <c r="S1450" s="48"/>
    </row>
    <row r="1451" spans="1:19" s="49" customFormat="1" ht="14.15" customHeight="1">
      <c r="A1451" s="43" t="s">
        <v>5604</v>
      </c>
      <c r="B1451" s="44" t="s">
        <v>157</v>
      </c>
      <c r="C1451" s="50"/>
      <c r="D1451" s="10" t="s">
        <v>29</v>
      </c>
      <c r="E1451" s="11"/>
      <c r="F1451" s="11" t="s">
        <v>18</v>
      </c>
      <c r="G1451" s="13"/>
      <c r="H1451" s="45" t="s">
        <v>16</v>
      </c>
      <c r="I1451" s="47"/>
      <c r="J1451" s="12" t="s">
        <v>5572</v>
      </c>
      <c r="K1451" s="13" t="s">
        <v>8251</v>
      </c>
      <c r="L1451" s="99" t="str">
        <f t="shared" si="93"/>
        <v>W2257.8</v>
      </c>
      <c r="M1451" s="13" t="s">
        <v>17</v>
      </c>
      <c r="N1451" s="47"/>
      <c r="O1451" s="47"/>
      <c r="P1451" s="47"/>
      <c r="Q1451" s="45" t="s">
        <v>142</v>
      </c>
      <c r="R1451" s="45" t="s">
        <v>5553</v>
      </c>
      <c r="S1451" s="48"/>
    </row>
    <row r="1452" spans="1:19" s="49" customFormat="1" ht="14.15" customHeight="1">
      <c r="A1452" s="43" t="s">
        <v>5604</v>
      </c>
      <c r="B1452" s="44" t="s">
        <v>157</v>
      </c>
      <c r="C1452" s="50"/>
      <c r="D1452" s="10" t="s">
        <v>29</v>
      </c>
      <c r="E1452" s="11"/>
      <c r="F1452" s="11" t="s">
        <v>18</v>
      </c>
      <c r="G1452" s="13"/>
      <c r="H1452" s="45" t="s">
        <v>16</v>
      </c>
      <c r="I1452" s="47"/>
      <c r="J1452" s="12" t="s">
        <v>5573</v>
      </c>
      <c r="K1452" s="13" t="s">
        <v>8252</v>
      </c>
      <c r="L1452" s="99" t="str">
        <f t="shared" si="93"/>
        <v>W2257.9</v>
      </c>
      <c r="M1452" s="13" t="s">
        <v>17</v>
      </c>
      <c r="N1452" s="47"/>
      <c r="O1452" s="47"/>
      <c r="P1452" s="47"/>
      <c r="Q1452" s="45" t="s">
        <v>142</v>
      </c>
      <c r="R1452" s="45" t="s">
        <v>5553</v>
      </c>
      <c r="S1452" s="48"/>
    </row>
    <row r="1453" spans="1:19" s="49" customFormat="1" ht="14.15" customHeight="1">
      <c r="A1453" s="43" t="s">
        <v>5604</v>
      </c>
      <c r="B1453" s="44" t="s">
        <v>157</v>
      </c>
      <c r="C1453" s="50"/>
      <c r="D1453" s="10" t="s">
        <v>29</v>
      </c>
      <c r="E1453" s="11"/>
      <c r="F1453" s="11" t="s">
        <v>18</v>
      </c>
      <c r="G1453" s="13"/>
      <c r="H1453" s="45" t="s">
        <v>16</v>
      </c>
      <c r="I1453" s="47"/>
      <c r="J1453" s="12" t="s">
        <v>5574</v>
      </c>
      <c r="K1453" s="13" t="s">
        <v>8253</v>
      </c>
      <c r="L1453" s="99" t="str">
        <f t="shared" si="93"/>
        <v>W2257.A</v>
      </c>
      <c r="M1453" s="13" t="s">
        <v>17</v>
      </c>
      <c r="N1453" s="47"/>
      <c r="O1453" s="47"/>
      <c r="P1453" s="47"/>
      <c r="Q1453" s="45" t="s">
        <v>142</v>
      </c>
      <c r="R1453" s="45" t="s">
        <v>5553</v>
      </c>
      <c r="S1453" s="48"/>
    </row>
    <row r="1454" spans="1:19" s="49" customFormat="1" ht="14.15" customHeight="1">
      <c r="A1454" s="43" t="s">
        <v>5604</v>
      </c>
      <c r="B1454" s="44" t="s">
        <v>157</v>
      </c>
      <c r="C1454" s="50"/>
      <c r="D1454" s="10" t="s">
        <v>29</v>
      </c>
      <c r="E1454" s="11"/>
      <c r="F1454" s="11" t="s">
        <v>18</v>
      </c>
      <c r="G1454" s="13"/>
      <c r="H1454" s="45" t="s">
        <v>16</v>
      </c>
      <c r="I1454" s="47"/>
      <c r="J1454" s="12" t="s">
        <v>5575</v>
      </c>
      <c r="K1454" s="13" t="s">
        <v>8254</v>
      </c>
      <c r="L1454" s="99" t="str">
        <f t="shared" si="93"/>
        <v>W2257.B</v>
      </c>
      <c r="M1454" s="13" t="s">
        <v>17</v>
      </c>
      <c r="N1454" s="47"/>
      <c r="O1454" s="47"/>
      <c r="P1454" s="47"/>
      <c r="Q1454" s="45" t="s">
        <v>142</v>
      </c>
      <c r="R1454" s="45" t="s">
        <v>5553</v>
      </c>
      <c r="S1454" s="48"/>
    </row>
    <row r="1455" spans="1:19" s="49" customFormat="1" ht="14.15" customHeight="1">
      <c r="A1455" s="43" t="s">
        <v>5604</v>
      </c>
      <c r="B1455" s="44" t="s">
        <v>157</v>
      </c>
      <c r="C1455" s="50"/>
      <c r="D1455" s="10" t="s">
        <v>29</v>
      </c>
      <c r="E1455" s="11"/>
      <c r="F1455" s="11" t="s">
        <v>18</v>
      </c>
      <c r="G1455" s="13"/>
      <c r="H1455" s="45" t="s">
        <v>16</v>
      </c>
      <c r="I1455" s="47"/>
      <c r="J1455" s="12" t="s">
        <v>5576</v>
      </c>
      <c r="K1455" s="13" t="s">
        <v>8255</v>
      </c>
      <c r="L1455" s="99" t="str">
        <f t="shared" si="93"/>
        <v>W2257.C</v>
      </c>
      <c r="M1455" s="13" t="s">
        <v>17</v>
      </c>
      <c r="N1455" s="47"/>
      <c r="O1455" s="47"/>
      <c r="P1455" s="47"/>
      <c r="Q1455" s="45" t="s">
        <v>142</v>
      </c>
      <c r="R1455" s="45" t="s">
        <v>5553</v>
      </c>
      <c r="S1455" s="48"/>
    </row>
    <row r="1456" spans="1:19" s="49" customFormat="1" ht="14.15" customHeight="1">
      <c r="A1456" s="43" t="s">
        <v>5604</v>
      </c>
      <c r="B1456" s="44" t="s">
        <v>157</v>
      </c>
      <c r="C1456" s="50"/>
      <c r="D1456" s="10" t="s">
        <v>29</v>
      </c>
      <c r="E1456" s="11"/>
      <c r="F1456" s="11" t="s">
        <v>18</v>
      </c>
      <c r="G1456" s="13"/>
      <c r="H1456" s="45" t="s">
        <v>16</v>
      </c>
      <c r="I1456" s="47"/>
      <c r="J1456" s="12" t="s">
        <v>5577</v>
      </c>
      <c r="K1456" s="13" t="s">
        <v>8256</v>
      </c>
      <c r="L1456" s="99" t="str">
        <f t="shared" si="93"/>
        <v>W2257.D</v>
      </c>
      <c r="M1456" s="13" t="s">
        <v>17</v>
      </c>
      <c r="N1456" s="47"/>
      <c r="O1456" s="47"/>
      <c r="P1456" s="47"/>
      <c r="Q1456" s="45" t="s">
        <v>142</v>
      </c>
      <c r="R1456" s="45" t="s">
        <v>5553</v>
      </c>
      <c r="S1456" s="48"/>
    </row>
    <row r="1457" spans="1:19" s="49" customFormat="1" ht="14.15" customHeight="1">
      <c r="A1457" s="43" t="s">
        <v>5604</v>
      </c>
      <c r="B1457" s="44" t="s">
        <v>157</v>
      </c>
      <c r="C1457" s="50"/>
      <c r="D1457" s="10" t="s">
        <v>29</v>
      </c>
      <c r="E1457" s="11"/>
      <c r="F1457" s="11" t="s">
        <v>18</v>
      </c>
      <c r="G1457" s="13"/>
      <c r="H1457" s="45" t="s">
        <v>16</v>
      </c>
      <c r="I1457" s="47"/>
      <c r="J1457" s="12" t="s">
        <v>5578</v>
      </c>
      <c r="K1457" s="13" t="s">
        <v>8257</v>
      </c>
      <c r="L1457" s="99" t="str">
        <f t="shared" si="93"/>
        <v>W2257.E</v>
      </c>
      <c r="M1457" s="13" t="s">
        <v>17</v>
      </c>
      <c r="N1457" s="47"/>
      <c r="O1457" s="47"/>
      <c r="P1457" s="47"/>
      <c r="Q1457" s="45" t="s">
        <v>142</v>
      </c>
      <c r="R1457" s="45" t="s">
        <v>5553</v>
      </c>
      <c r="S1457" s="48"/>
    </row>
    <row r="1458" spans="1:19" s="49" customFormat="1" ht="14.15" customHeight="1">
      <c r="A1458" s="43" t="s">
        <v>5604</v>
      </c>
      <c r="B1458" s="44" t="s">
        <v>157</v>
      </c>
      <c r="C1458" s="50"/>
      <c r="D1458" s="10" t="s">
        <v>29</v>
      </c>
      <c r="E1458" s="11"/>
      <c r="F1458" s="11" t="s">
        <v>18</v>
      </c>
      <c r="G1458" s="13"/>
      <c r="H1458" s="45" t="s">
        <v>16</v>
      </c>
      <c r="I1458" s="47"/>
      <c r="J1458" s="12" t="s">
        <v>5579</v>
      </c>
      <c r="K1458" s="13" t="s">
        <v>8258</v>
      </c>
      <c r="L1458" s="99" t="str">
        <f t="shared" si="93"/>
        <v>W2257.F</v>
      </c>
      <c r="M1458" s="13" t="s">
        <v>17</v>
      </c>
      <c r="N1458" s="47"/>
      <c r="O1458" s="47"/>
      <c r="P1458" s="47"/>
      <c r="Q1458" s="45" t="s">
        <v>142</v>
      </c>
      <c r="R1458" s="45" t="s">
        <v>5553</v>
      </c>
      <c r="S1458" s="48"/>
    </row>
    <row r="1459" spans="1:19" s="49" customFormat="1" ht="14.15" customHeight="1">
      <c r="A1459" s="43" t="s">
        <v>5604</v>
      </c>
      <c r="B1459" s="44" t="s">
        <v>157</v>
      </c>
      <c r="C1459" s="50"/>
      <c r="D1459" s="10" t="s">
        <v>29</v>
      </c>
      <c r="E1459" s="11"/>
      <c r="F1459" s="11" t="s">
        <v>18</v>
      </c>
      <c r="G1459" s="13"/>
      <c r="H1459" s="45" t="s">
        <v>16</v>
      </c>
      <c r="I1459" s="47"/>
      <c r="J1459" s="12" t="s">
        <v>5580</v>
      </c>
      <c r="K1459" s="13" t="s">
        <v>8259</v>
      </c>
      <c r="L1459" s="99" t="str">
        <f t="shared" si="93"/>
        <v>W2258.0</v>
      </c>
      <c r="M1459" s="13" t="s">
        <v>17</v>
      </c>
      <c r="N1459" s="47"/>
      <c r="O1459" s="47"/>
      <c r="P1459" s="47"/>
      <c r="Q1459" s="45" t="s">
        <v>142</v>
      </c>
      <c r="R1459" s="45" t="s">
        <v>5553</v>
      </c>
      <c r="S1459" s="48"/>
    </row>
    <row r="1460" spans="1:19" s="49" customFormat="1" ht="14.15" customHeight="1">
      <c r="A1460" s="43" t="s">
        <v>5604</v>
      </c>
      <c r="B1460" s="44" t="s">
        <v>157</v>
      </c>
      <c r="C1460" s="50"/>
      <c r="D1460" s="10" t="s">
        <v>29</v>
      </c>
      <c r="E1460" s="11"/>
      <c r="F1460" s="11" t="s">
        <v>18</v>
      </c>
      <c r="G1460" s="13"/>
      <c r="H1460" s="45" t="s">
        <v>16</v>
      </c>
      <c r="I1460" s="47"/>
      <c r="J1460" s="12" t="s">
        <v>5581</v>
      </c>
      <c r="K1460" s="13" t="s">
        <v>8260</v>
      </c>
      <c r="L1460" s="99" t="str">
        <f t="shared" ref="L1460:L1523" si="94">"W"&amp;DEC2HEX(8704 + INT((ROW()-51)/16)) &amp; "." &amp; IF(MOD(ROW()-51,16)&lt;10,MOD(ROW()-51,16),CHAR(MOD(ROW()-51,16)+55))</f>
        <v>W2258.1</v>
      </c>
      <c r="M1460" s="13" t="s">
        <v>17</v>
      </c>
      <c r="N1460" s="47"/>
      <c r="O1460" s="47"/>
      <c r="P1460" s="47"/>
      <c r="Q1460" s="45" t="s">
        <v>142</v>
      </c>
      <c r="R1460" s="45" t="s">
        <v>5553</v>
      </c>
      <c r="S1460" s="48"/>
    </row>
    <row r="1461" spans="1:19" s="49" customFormat="1" ht="14.15" customHeight="1">
      <c r="A1461" s="43" t="s">
        <v>5604</v>
      </c>
      <c r="B1461" s="44" t="s">
        <v>157</v>
      </c>
      <c r="C1461" s="50"/>
      <c r="D1461" s="10" t="s">
        <v>29</v>
      </c>
      <c r="E1461" s="11"/>
      <c r="F1461" s="11" t="s">
        <v>18</v>
      </c>
      <c r="G1461" s="13"/>
      <c r="H1461" s="45" t="s">
        <v>16</v>
      </c>
      <c r="I1461" s="47"/>
      <c r="J1461" s="12" t="s">
        <v>5582</v>
      </c>
      <c r="K1461" s="13" t="s">
        <v>8261</v>
      </c>
      <c r="L1461" s="99" t="str">
        <f t="shared" si="94"/>
        <v>W2258.2</v>
      </c>
      <c r="M1461" s="13" t="s">
        <v>17</v>
      </c>
      <c r="N1461" s="47"/>
      <c r="O1461" s="47"/>
      <c r="P1461" s="47"/>
      <c r="Q1461" s="45" t="s">
        <v>142</v>
      </c>
      <c r="R1461" s="45" t="s">
        <v>5553</v>
      </c>
      <c r="S1461" s="48"/>
    </row>
    <row r="1462" spans="1:19" s="49" customFormat="1" ht="14.15" customHeight="1">
      <c r="A1462" s="43" t="s">
        <v>5604</v>
      </c>
      <c r="B1462" s="44" t="s">
        <v>157</v>
      </c>
      <c r="C1462" s="50"/>
      <c r="D1462" s="10" t="s">
        <v>29</v>
      </c>
      <c r="E1462" s="11"/>
      <c r="F1462" s="11" t="s">
        <v>18</v>
      </c>
      <c r="G1462" s="13"/>
      <c r="H1462" s="45" t="s">
        <v>16</v>
      </c>
      <c r="I1462" s="47"/>
      <c r="J1462" s="12" t="s">
        <v>5583</v>
      </c>
      <c r="K1462" s="13" t="s">
        <v>8262</v>
      </c>
      <c r="L1462" s="99" t="str">
        <f t="shared" si="94"/>
        <v>W2258.3</v>
      </c>
      <c r="M1462" s="13" t="s">
        <v>17</v>
      </c>
      <c r="N1462" s="47"/>
      <c r="O1462" s="47"/>
      <c r="P1462" s="47"/>
      <c r="Q1462" s="45" t="s">
        <v>142</v>
      </c>
      <c r="R1462" s="45" t="s">
        <v>5553</v>
      </c>
      <c r="S1462" s="48"/>
    </row>
    <row r="1463" spans="1:19" s="49" customFormat="1" ht="14.15" customHeight="1">
      <c r="A1463" s="43" t="s">
        <v>5604</v>
      </c>
      <c r="B1463" s="44" t="s">
        <v>157</v>
      </c>
      <c r="C1463" s="50"/>
      <c r="D1463" s="10" t="s">
        <v>29</v>
      </c>
      <c r="E1463" s="11"/>
      <c r="F1463" s="11" t="s">
        <v>18</v>
      </c>
      <c r="G1463" s="13"/>
      <c r="H1463" s="45" t="s">
        <v>16</v>
      </c>
      <c r="I1463" s="47"/>
      <c r="J1463" s="12" t="s">
        <v>5584</v>
      </c>
      <c r="K1463" s="13" t="s">
        <v>8263</v>
      </c>
      <c r="L1463" s="99" t="str">
        <f t="shared" si="94"/>
        <v>W2258.4</v>
      </c>
      <c r="M1463" s="13" t="s">
        <v>17</v>
      </c>
      <c r="N1463" s="47"/>
      <c r="O1463" s="47"/>
      <c r="P1463" s="47"/>
      <c r="Q1463" s="45" t="s">
        <v>142</v>
      </c>
      <c r="R1463" s="45" t="s">
        <v>5553</v>
      </c>
      <c r="S1463" s="48"/>
    </row>
    <row r="1464" spans="1:19" s="49" customFormat="1" ht="14.15" customHeight="1">
      <c r="A1464" s="43" t="s">
        <v>5604</v>
      </c>
      <c r="B1464" s="44" t="s">
        <v>157</v>
      </c>
      <c r="C1464" s="50"/>
      <c r="D1464" s="10" t="s">
        <v>29</v>
      </c>
      <c r="E1464" s="11"/>
      <c r="F1464" s="11" t="s">
        <v>18</v>
      </c>
      <c r="G1464" s="13"/>
      <c r="H1464" s="45" t="s">
        <v>16</v>
      </c>
      <c r="I1464" s="47"/>
      <c r="J1464" s="12" t="s">
        <v>5585</v>
      </c>
      <c r="K1464" s="13" t="s">
        <v>8264</v>
      </c>
      <c r="L1464" s="99" t="str">
        <f t="shared" si="94"/>
        <v>W2258.5</v>
      </c>
      <c r="M1464" s="13" t="s">
        <v>17</v>
      </c>
      <c r="N1464" s="47"/>
      <c r="O1464" s="47"/>
      <c r="P1464" s="47"/>
      <c r="Q1464" s="45" t="s">
        <v>142</v>
      </c>
      <c r="R1464" s="45" t="s">
        <v>5553</v>
      </c>
      <c r="S1464" s="48"/>
    </row>
    <row r="1465" spans="1:19" s="49" customFormat="1" ht="14.15" customHeight="1">
      <c r="A1465" s="43" t="s">
        <v>5604</v>
      </c>
      <c r="B1465" s="44" t="s">
        <v>157</v>
      </c>
      <c r="C1465" s="50"/>
      <c r="D1465" s="10" t="s">
        <v>29</v>
      </c>
      <c r="E1465" s="11"/>
      <c r="F1465" s="11" t="s">
        <v>18</v>
      </c>
      <c r="G1465" s="13"/>
      <c r="H1465" s="45" t="s">
        <v>16</v>
      </c>
      <c r="I1465" s="47"/>
      <c r="J1465" s="12" t="s">
        <v>5586</v>
      </c>
      <c r="K1465" s="13" t="s">
        <v>8265</v>
      </c>
      <c r="L1465" s="99" t="str">
        <f t="shared" si="94"/>
        <v>W2258.6</v>
      </c>
      <c r="M1465" s="13" t="s">
        <v>17</v>
      </c>
      <c r="N1465" s="47"/>
      <c r="O1465" s="47"/>
      <c r="P1465" s="47"/>
      <c r="Q1465" s="45" t="s">
        <v>142</v>
      </c>
      <c r="R1465" s="45" t="s">
        <v>5553</v>
      </c>
      <c r="S1465" s="48"/>
    </row>
    <row r="1466" spans="1:19" s="49" customFormat="1" ht="14.15" customHeight="1">
      <c r="A1466" s="45"/>
      <c r="B1466" s="44" t="s">
        <v>157</v>
      </c>
      <c r="C1466" s="50"/>
      <c r="D1466" s="10" t="s">
        <v>29</v>
      </c>
      <c r="E1466" s="11"/>
      <c r="F1466" s="11" t="s">
        <v>18</v>
      </c>
      <c r="G1466" s="13"/>
      <c r="H1466" s="45" t="s">
        <v>16</v>
      </c>
      <c r="I1466" s="47"/>
      <c r="J1466" s="12" t="s">
        <v>4314</v>
      </c>
      <c r="K1466" s="13" t="s">
        <v>8266</v>
      </c>
      <c r="L1466" s="99" t="str">
        <f t="shared" si="94"/>
        <v>W2258.7</v>
      </c>
      <c r="M1466" s="45"/>
      <c r="N1466" s="47"/>
      <c r="O1466" s="47"/>
      <c r="P1466" s="47"/>
      <c r="Q1466" s="45"/>
      <c r="R1466" s="45"/>
      <c r="S1466" s="48"/>
    </row>
    <row r="1467" spans="1:19" s="49" customFormat="1" ht="14.15" customHeight="1">
      <c r="A1467" s="45"/>
      <c r="B1467" s="44" t="s">
        <v>157</v>
      </c>
      <c r="C1467" s="50"/>
      <c r="D1467" s="10" t="s">
        <v>29</v>
      </c>
      <c r="E1467" s="11"/>
      <c r="F1467" s="11" t="s">
        <v>18</v>
      </c>
      <c r="G1467" s="13"/>
      <c r="H1467" s="45" t="s">
        <v>16</v>
      </c>
      <c r="I1467" s="47"/>
      <c r="J1467" s="12" t="s">
        <v>4315</v>
      </c>
      <c r="K1467" s="13" t="s">
        <v>8267</v>
      </c>
      <c r="L1467" s="99" t="str">
        <f t="shared" si="94"/>
        <v>W2258.8</v>
      </c>
      <c r="M1467" s="45"/>
      <c r="N1467" s="47"/>
      <c r="O1467" s="47"/>
      <c r="P1467" s="47"/>
      <c r="Q1467" s="45"/>
      <c r="R1467" s="45"/>
      <c r="S1467" s="48"/>
    </row>
    <row r="1468" spans="1:19" s="49" customFormat="1" ht="14.15" customHeight="1">
      <c r="A1468" s="45"/>
      <c r="B1468" s="44" t="s">
        <v>157</v>
      </c>
      <c r="C1468" s="50"/>
      <c r="D1468" s="10" t="s">
        <v>29</v>
      </c>
      <c r="E1468" s="11"/>
      <c r="F1468" s="11" t="s">
        <v>18</v>
      </c>
      <c r="G1468" s="13"/>
      <c r="H1468" s="45" t="s">
        <v>16</v>
      </c>
      <c r="I1468" s="47"/>
      <c r="J1468" s="12" t="s">
        <v>4316</v>
      </c>
      <c r="K1468" s="13" t="s">
        <v>8268</v>
      </c>
      <c r="L1468" s="99" t="str">
        <f t="shared" si="94"/>
        <v>W2258.9</v>
      </c>
      <c r="M1468" s="45"/>
      <c r="N1468" s="47"/>
      <c r="O1468" s="47"/>
      <c r="P1468" s="47"/>
      <c r="Q1468" s="45"/>
      <c r="R1468" s="45"/>
      <c r="S1468" s="48"/>
    </row>
    <row r="1469" spans="1:19" s="49" customFormat="1" ht="14.15" customHeight="1">
      <c r="A1469" s="45"/>
      <c r="B1469" s="44" t="s">
        <v>157</v>
      </c>
      <c r="C1469" s="50"/>
      <c r="D1469" s="10" t="s">
        <v>29</v>
      </c>
      <c r="E1469" s="11"/>
      <c r="F1469" s="11" t="s">
        <v>18</v>
      </c>
      <c r="G1469" s="13"/>
      <c r="H1469" s="45" t="s">
        <v>16</v>
      </c>
      <c r="I1469" s="47"/>
      <c r="J1469" s="12" t="s">
        <v>4317</v>
      </c>
      <c r="K1469" s="13" t="s">
        <v>8269</v>
      </c>
      <c r="L1469" s="99" t="str">
        <f t="shared" si="94"/>
        <v>W2258.A</v>
      </c>
      <c r="M1469" s="13"/>
      <c r="N1469" s="47"/>
      <c r="O1469" s="47"/>
      <c r="P1469" s="47"/>
      <c r="Q1469" s="45"/>
      <c r="R1469" s="45"/>
      <c r="S1469" s="48"/>
    </row>
    <row r="1470" spans="1:19" s="49" customFormat="1" ht="14.15" customHeight="1">
      <c r="A1470" s="43" t="s">
        <v>5604</v>
      </c>
      <c r="B1470" s="44" t="s">
        <v>157</v>
      </c>
      <c r="C1470" s="50"/>
      <c r="D1470" s="10" t="s">
        <v>29</v>
      </c>
      <c r="E1470" s="11"/>
      <c r="F1470" s="11" t="s">
        <v>18</v>
      </c>
      <c r="G1470" s="13"/>
      <c r="H1470" s="45" t="s">
        <v>16</v>
      </c>
      <c r="I1470" s="47"/>
      <c r="J1470" s="12" t="s">
        <v>5587</v>
      </c>
      <c r="K1470" s="13" t="s">
        <v>8270</v>
      </c>
      <c r="L1470" s="99" t="str">
        <f t="shared" si="94"/>
        <v>W2258.B</v>
      </c>
      <c r="M1470" s="13" t="s">
        <v>17</v>
      </c>
      <c r="N1470" s="47"/>
      <c r="O1470" s="47"/>
      <c r="P1470" s="47"/>
      <c r="Q1470" s="45" t="s">
        <v>142</v>
      </c>
      <c r="R1470" s="45" t="s">
        <v>5553</v>
      </c>
      <c r="S1470" s="48"/>
    </row>
    <row r="1471" spans="1:19" s="49" customFormat="1" ht="14.15" customHeight="1">
      <c r="A1471" s="45"/>
      <c r="B1471" s="44" t="s">
        <v>157</v>
      </c>
      <c r="C1471" s="50"/>
      <c r="D1471" s="10" t="s">
        <v>29</v>
      </c>
      <c r="E1471" s="11"/>
      <c r="F1471" s="11" t="s">
        <v>18</v>
      </c>
      <c r="G1471" s="13"/>
      <c r="H1471" s="45" t="s">
        <v>16</v>
      </c>
      <c r="I1471" s="47"/>
      <c r="J1471" s="12" t="s">
        <v>4319</v>
      </c>
      <c r="K1471" s="13" t="s">
        <v>8271</v>
      </c>
      <c r="L1471" s="99" t="str">
        <f t="shared" si="94"/>
        <v>W2258.C</v>
      </c>
      <c r="M1471" s="13"/>
      <c r="N1471" s="47"/>
      <c r="O1471" s="47"/>
      <c r="P1471" s="47"/>
      <c r="Q1471" s="45"/>
      <c r="R1471" s="45"/>
      <c r="S1471" s="48"/>
    </row>
    <row r="1472" spans="1:19" s="49" customFormat="1" ht="14.15" customHeight="1">
      <c r="A1472" s="45"/>
      <c r="B1472" s="44" t="s">
        <v>157</v>
      </c>
      <c r="C1472" s="50"/>
      <c r="D1472" s="10" t="s">
        <v>29</v>
      </c>
      <c r="E1472" s="11"/>
      <c r="F1472" s="11" t="s">
        <v>18</v>
      </c>
      <c r="G1472" s="13"/>
      <c r="H1472" s="45" t="s">
        <v>16</v>
      </c>
      <c r="I1472" s="47"/>
      <c r="J1472" s="12" t="s">
        <v>4320</v>
      </c>
      <c r="K1472" s="13" t="s">
        <v>8272</v>
      </c>
      <c r="L1472" s="99" t="str">
        <f t="shared" si="94"/>
        <v>W2258.D</v>
      </c>
      <c r="M1472" s="13"/>
      <c r="N1472" s="47"/>
      <c r="O1472" s="47"/>
      <c r="P1472" s="47"/>
      <c r="Q1472" s="45"/>
      <c r="R1472" s="45"/>
      <c r="S1472" s="48"/>
    </row>
    <row r="1473" spans="1:19" s="49" customFormat="1" ht="14.15" customHeight="1">
      <c r="A1473" s="45"/>
      <c r="B1473" s="44" t="s">
        <v>157</v>
      </c>
      <c r="C1473" s="50"/>
      <c r="D1473" s="10" t="s">
        <v>29</v>
      </c>
      <c r="E1473" s="11"/>
      <c r="F1473" s="11" t="s">
        <v>18</v>
      </c>
      <c r="G1473" s="13"/>
      <c r="H1473" s="45" t="s">
        <v>16</v>
      </c>
      <c r="I1473" s="47"/>
      <c r="J1473" s="12" t="s">
        <v>4321</v>
      </c>
      <c r="K1473" s="13" t="s">
        <v>8273</v>
      </c>
      <c r="L1473" s="99" t="str">
        <f t="shared" si="94"/>
        <v>W2258.E</v>
      </c>
      <c r="M1473" s="13"/>
      <c r="N1473" s="47"/>
      <c r="O1473" s="47"/>
      <c r="P1473" s="47"/>
      <c r="Q1473" s="45"/>
      <c r="R1473" s="45"/>
      <c r="S1473" s="48"/>
    </row>
    <row r="1474" spans="1:19" s="49" customFormat="1" ht="14.15" customHeight="1">
      <c r="A1474" s="45"/>
      <c r="B1474" s="44" t="s">
        <v>157</v>
      </c>
      <c r="C1474" s="50"/>
      <c r="D1474" s="10" t="s">
        <v>29</v>
      </c>
      <c r="E1474" s="11"/>
      <c r="F1474" s="11" t="s">
        <v>18</v>
      </c>
      <c r="G1474" s="13"/>
      <c r="H1474" s="45" t="s">
        <v>16</v>
      </c>
      <c r="I1474" s="47"/>
      <c r="J1474" s="12" t="s">
        <v>4322</v>
      </c>
      <c r="K1474" s="13" t="s">
        <v>8274</v>
      </c>
      <c r="L1474" s="99" t="str">
        <f t="shared" si="94"/>
        <v>W2258.F</v>
      </c>
      <c r="M1474" s="13"/>
      <c r="N1474" s="47"/>
      <c r="O1474" s="47"/>
      <c r="P1474" s="47"/>
      <c r="Q1474" s="45"/>
      <c r="R1474" s="45"/>
      <c r="S1474" s="48"/>
    </row>
    <row r="1475" spans="1:19" s="49" customFormat="1" ht="14.15" customHeight="1">
      <c r="A1475" s="45"/>
      <c r="B1475" s="44" t="s">
        <v>157</v>
      </c>
      <c r="C1475" s="50"/>
      <c r="D1475" s="10" t="s">
        <v>29</v>
      </c>
      <c r="E1475" s="11"/>
      <c r="F1475" s="11" t="s">
        <v>18</v>
      </c>
      <c r="G1475" s="13"/>
      <c r="H1475" s="45" t="s">
        <v>16</v>
      </c>
      <c r="I1475" s="47"/>
      <c r="J1475" s="12" t="s">
        <v>4323</v>
      </c>
      <c r="K1475" s="13" t="s">
        <v>8275</v>
      </c>
      <c r="L1475" s="99" t="str">
        <f t="shared" si="94"/>
        <v>W2259.0</v>
      </c>
      <c r="M1475" s="13"/>
      <c r="N1475" s="47"/>
      <c r="O1475" s="47"/>
      <c r="P1475" s="47"/>
      <c r="Q1475" s="45"/>
      <c r="R1475" s="45"/>
      <c r="S1475" s="48"/>
    </row>
    <row r="1476" spans="1:19" s="49" customFormat="1" ht="14.15" customHeight="1">
      <c r="A1476" s="45"/>
      <c r="B1476" s="44" t="s">
        <v>157</v>
      </c>
      <c r="C1476" s="50"/>
      <c r="D1476" s="10" t="s">
        <v>29</v>
      </c>
      <c r="E1476" s="11"/>
      <c r="F1476" s="11" t="s">
        <v>18</v>
      </c>
      <c r="G1476" s="13"/>
      <c r="H1476" s="45" t="s">
        <v>16</v>
      </c>
      <c r="I1476" s="47"/>
      <c r="J1476" s="12" t="s">
        <v>4324</v>
      </c>
      <c r="K1476" s="13" t="s">
        <v>8276</v>
      </c>
      <c r="L1476" s="99" t="str">
        <f t="shared" si="94"/>
        <v>W2259.1</v>
      </c>
      <c r="M1476" s="45"/>
      <c r="N1476" s="47"/>
      <c r="O1476" s="47"/>
      <c r="P1476" s="47"/>
      <c r="Q1476" s="45"/>
      <c r="R1476" s="45"/>
      <c r="S1476" s="48"/>
    </row>
    <row r="1477" spans="1:19" s="49" customFormat="1" ht="14.15" customHeight="1">
      <c r="A1477" s="45"/>
      <c r="B1477" s="44" t="s">
        <v>157</v>
      </c>
      <c r="C1477" s="50"/>
      <c r="D1477" s="10" t="s">
        <v>29</v>
      </c>
      <c r="E1477" s="11"/>
      <c r="F1477" s="11" t="s">
        <v>18</v>
      </c>
      <c r="G1477" s="13"/>
      <c r="H1477" s="45" t="s">
        <v>16</v>
      </c>
      <c r="I1477" s="47"/>
      <c r="J1477" s="12" t="s">
        <v>4325</v>
      </c>
      <c r="K1477" s="13" t="s">
        <v>8277</v>
      </c>
      <c r="L1477" s="99" t="str">
        <f t="shared" si="94"/>
        <v>W2259.2</v>
      </c>
      <c r="M1477" s="45"/>
      <c r="N1477" s="47"/>
      <c r="O1477" s="47"/>
      <c r="P1477" s="47"/>
      <c r="Q1477" s="45"/>
      <c r="R1477" s="45"/>
      <c r="S1477" s="48"/>
    </row>
    <row r="1478" spans="1:19" s="49" customFormat="1" ht="14.15" customHeight="1">
      <c r="A1478" s="45"/>
      <c r="B1478" s="44" t="s">
        <v>157</v>
      </c>
      <c r="C1478" s="50"/>
      <c r="D1478" s="10" t="s">
        <v>29</v>
      </c>
      <c r="E1478" s="11"/>
      <c r="F1478" s="11" t="s">
        <v>18</v>
      </c>
      <c r="G1478" s="13"/>
      <c r="H1478" s="45" t="s">
        <v>16</v>
      </c>
      <c r="I1478" s="47"/>
      <c r="J1478" s="12" t="s">
        <v>4326</v>
      </c>
      <c r="K1478" s="13" t="s">
        <v>8278</v>
      </c>
      <c r="L1478" s="99" t="str">
        <f t="shared" si="94"/>
        <v>W2259.3</v>
      </c>
      <c r="M1478" s="45"/>
      <c r="N1478" s="47"/>
      <c r="O1478" s="47"/>
      <c r="P1478" s="47"/>
      <c r="Q1478" s="45"/>
      <c r="R1478" s="45"/>
      <c r="S1478" s="48"/>
    </row>
    <row r="1479" spans="1:19" s="49" customFormat="1" ht="14.15" customHeight="1">
      <c r="A1479" s="45"/>
      <c r="B1479" s="44" t="s">
        <v>157</v>
      </c>
      <c r="C1479" s="50"/>
      <c r="D1479" s="10" t="s">
        <v>29</v>
      </c>
      <c r="E1479" s="11"/>
      <c r="F1479" s="11" t="s">
        <v>18</v>
      </c>
      <c r="G1479" s="13"/>
      <c r="H1479" s="45" t="s">
        <v>16</v>
      </c>
      <c r="I1479" s="47"/>
      <c r="J1479" s="12" t="s">
        <v>4327</v>
      </c>
      <c r="K1479" s="13" t="s">
        <v>8279</v>
      </c>
      <c r="L1479" s="99" t="str">
        <f t="shared" si="94"/>
        <v>W2259.4</v>
      </c>
      <c r="M1479" s="45"/>
      <c r="N1479" s="47"/>
      <c r="O1479" s="47"/>
      <c r="P1479" s="47"/>
      <c r="Q1479" s="45"/>
      <c r="R1479" s="45"/>
      <c r="S1479" s="48"/>
    </row>
    <row r="1480" spans="1:19" s="49" customFormat="1" ht="14.15" customHeight="1">
      <c r="A1480" s="45"/>
      <c r="B1480" s="44" t="s">
        <v>157</v>
      </c>
      <c r="C1480" s="50"/>
      <c r="D1480" s="10" t="s">
        <v>29</v>
      </c>
      <c r="E1480" s="11"/>
      <c r="F1480" s="11" t="s">
        <v>18</v>
      </c>
      <c r="G1480" s="13"/>
      <c r="H1480" s="45" t="s">
        <v>16</v>
      </c>
      <c r="I1480" s="47"/>
      <c r="J1480" s="12" t="s">
        <v>4328</v>
      </c>
      <c r="K1480" s="13" t="s">
        <v>8280</v>
      </c>
      <c r="L1480" s="99" t="str">
        <f t="shared" si="94"/>
        <v>W2259.5</v>
      </c>
      <c r="M1480" s="13"/>
      <c r="N1480" s="47"/>
      <c r="O1480" s="47"/>
      <c r="P1480" s="47"/>
      <c r="Q1480" s="45"/>
      <c r="R1480" s="45"/>
      <c r="S1480" s="48"/>
    </row>
    <row r="1481" spans="1:19" s="49" customFormat="1" ht="14.15" customHeight="1">
      <c r="A1481" s="45"/>
      <c r="B1481" s="44" t="s">
        <v>157</v>
      </c>
      <c r="C1481" s="50"/>
      <c r="D1481" s="10" t="s">
        <v>29</v>
      </c>
      <c r="E1481" s="11"/>
      <c r="F1481" s="11" t="s">
        <v>18</v>
      </c>
      <c r="G1481" s="13"/>
      <c r="H1481" s="45" t="s">
        <v>16</v>
      </c>
      <c r="I1481" s="47"/>
      <c r="J1481" s="12" t="s">
        <v>4329</v>
      </c>
      <c r="K1481" s="13" t="s">
        <v>8281</v>
      </c>
      <c r="L1481" s="99" t="str">
        <f t="shared" si="94"/>
        <v>W2259.6</v>
      </c>
      <c r="M1481" s="13"/>
      <c r="N1481" s="47"/>
      <c r="O1481" s="47"/>
      <c r="P1481" s="47"/>
      <c r="Q1481" s="45"/>
      <c r="R1481" s="45"/>
      <c r="S1481" s="48"/>
    </row>
    <row r="1482" spans="1:19" s="49" customFormat="1" ht="14.15" customHeight="1">
      <c r="A1482" s="45"/>
      <c r="B1482" s="44" t="s">
        <v>157</v>
      </c>
      <c r="C1482" s="50"/>
      <c r="D1482" s="10" t="s">
        <v>29</v>
      </c>
      <c r="E1482" s="11"/>
      <c r="F1482" s="11" t="s">
        <v>18</v>
      </c>
      <c r="G1482" s="13"/>
      <c r="H1482" s="45" t="s">
        <v>16</v>
      </c>
      <c r="I1482" s="47"/>
      <c r="J1482" s="12" t="s">
        <v>4330</v>
      </c>
      <c r="K1482" s="13" t="s">
        <v>8282</v>
      </c>
      <c r="L1482" s="99" t="str">
        <f t="shared" si="94"/>
        <v>W2259.7</v>
      </c>
      <c r="M1482" s="13"/>
      <c r="N1482" s="47"/>
      <c r="O1482" s="47"/>
      <c r="P1482" s="47"/>
      <c r="Q1482" s="45"/>
      <c r="R1482" s="45"/>
      <c r="S1482" s="48"/>
    </row>
    <row r="1483" spans="1:19" s="49" customFormat="1" ht="14.15" customHeight="1">
      <c r="A1483" s="45"/>
      <c r="B1483" s="44" t="s">
        <v>157</v>
      </c>
      <c r="C1483" s="50"/>
      <c r="D1483" s="10" t="s">
        <v>29</v>
      </c>
      <c r="E1483" s="11"/>
      <c r="F1483" s="11" t="s">
        <v>18</v>
      </c>
      <c r="G1483" s="13"/>
      <c r="H1483" s="45" t="s">
        <v>16</v>
      </c>
      <c r="I1483" s="47"/>
      <c r="J1483" s="12" t="s">
        <v>4331</v>
      </c>
      <c r="K1483" s="13" t="s">
        <v>8283</v>
      </c>
      <c r="L1483" s="99" t="str">
        <f t="shared" si="94"/>
        <v>W2259.8</v>
      </c>
      <c r="M1483" s="45"/>
      <c r="N1483" s="47"/>
      <c r="O1483" s="47"/>
      <c r="P1483" s="47"/>
      <c r="Q1483" s="45"/>
      <c r="R1483" s="45"/>
      <c r="S1483" s="48"/>
    </row>
    <row r="1484" spans="1:19" s="49" customFormat="1" ht="14.15" customHeight="1">
      <c r="A1484" s="45"/>
      <c r="B1484" s="44" t="s">
        <v>157</v>
      </c>
      <c r="C1484" s="50"/>
      <c r="D1484" s="10" t="s">
        <v>29</v>
      </c>
      <c r="E1484" s="11"/>
      <c r="F1484" s="11" t="s">
        <v>18</v>
      </c>
      <c r="G1484" s="13"/>
      <c r="H1484" s="45" t="s">
        <v>16</v>
      </c>
      <c r="I1484" s="47"/>
      <c r="J1484" s="12" t="s">
        <v>4332</v>
      </c>
      <c r="K1484" s="13" t="s">
        <v>8284</v>
      </c>
      <c r="L1484" s="99" t="str">
        <f t="shared" si="94"/>
        <v>W2259.9</v>
      </c>
      <c r="M1484" s="13"/>
      <c r="N1484" s="47"/>
      <c r="O1484" s="47"/>
      <c r="P1484" s="47"/>
      <c r="Q1484" s="45"/>
      <c r="R1484" s="45"/>
      <c r="S1484" s="48"/>
    </row>
    <row r="1485" spans="1:19" s="49" customFormat="1" ht="14.15" customHeight="1">
      <c r="A1485" s="45"/>
      <c r="B1485" s="44" t="s">
        <v>157</v>
      </c>
      <c r="C1485" s="50"/>
      <c r="D1485" s="10" t="s">
        <v>29</v>
      </c>
      <c r="E1485" s="11"/>
      <c r="F1485" s="11" t="s">
        <v>18</v>
      </c>
      <c r="G1485" s="13"/>
      <c r="H1485" s="45" t="s">
        <v>16</v>
      </c>
      <c r="I1485" s="47"/>
      <c r="J1485" s="12" t="s">
        <v>4333</v>
      </c>
      <c r="K1485" s="13" t="s">
        <v>8285</v>
      </c>
      <c r="L1485" s="99" t="str">
        <f t="shared" si="94"/>
        <v>W2259.A</v>
      </c>
      <c r="M1485" s="45"/>
      <c r="N1485" s="47"/>
      <c r="O1485" s="47"/>
      <c r="P1485" s="47"/>
      <c r="Q1485" s="45"/>
      <c r="R1485" s="45"/>
      <c r="S1485" s="48"/>
    </row>
    <row r="1486" spans="1:19" s="49" customFormat="1" ht="14.15" customHeight="1">
      <c r="A1486" s="45"/>
      <c r="B1486" s="44" t="s">
        <v>157</v>
      </c>
      <c r="C1486" s="50"/>
      <c r="D1486" s="10" t="s">
        <v>29</v>
      </c>
      <c r="E1486" s="11"/>
      <c r="F1486" s="11" t="s">
        <v>18</v>
      </c>
      <c r="G1486" s="13"/>
      <c r="H1486" s="45" t="s">
        <v>16</v>
      </c>
      <c r="I1486" s="47"/>
      <c r="J1486" s="12" t="s">
        <v>4334</v>
      </c>
      <c r="K1486" s="13" t="s">
        <v>8286</v>
      </c>
      <c r="L1486" s="99" t="str">
        <f t="shared" si="94"/>
        <v>W2259.B</v>
      </c>
      <c r="M1486" s="45"/>
      <c r="N1486" s="47"/>
      <c r="O1486" s="47"/>
      <c r="P1486" s="47"/>
      <c r="Q1486" s="45"/>
      <c r="R1486" s="45"/>
      <c r="S1486" s="48"/>
    </row>
    <row r="1487" spans="1:19" s="49" customFormat="1" ht="14.15" customHeight="1">
      <c r="A1487" s="45"/>
      <c r="B1487" s="44" t="s">
        <v>157</v>
      </c>
      <c r="C1487" s="50"/>
      <c r="D1487" s="10" t="s">
        <v>29</v>
      </c>
      <c r="E1487" s="11"/>
      <c r="F1487" s="11" t="s">
        <v>18</v>
      </c>
      <c r="G1487" s="13"/>
      <c r="H1487" s="45" t="s">
        <v>16</v>
      </c>
      <c r="I1487" s="47"/>
      <c r="J1487" s="12" t="s">
        <v>4335</v>
      </c>
      <c r="K1487" s="13" t="s">
        <v>8287</v>
      </c>
      <c r="L1487" s="99" t="str">
        <f t="shared" si="94"/>
        <v>W2259.C</v>
      </c>
      <c r="M1487" s="45"/>
      <c r="N1487" s="47"/>
      <c r="O1487" s="47"/>
      <c r="P1487" s="47"/>
      <c r="Q1487" s="45"/>
      <c r="R1487" s="45"/>
      <c r="S1487" s="48"/>
    </row>
    <row r="1488" spans="1:19" s="49" customFormat="1" ht="14.15" customHeight="1">
      <c r="A1488" s="45"/>
      <c r="B1488" s="44" t="s">
        <v>157</v>
      </c>
      <c r="C1488" s="50"/>
      <c r="D1488" s="10" t="s">
        <v>29</v>
      </c>
      <c r="E1488" s="11"/>
      <c r="F1488" s="11" t="s">
        <v>18</v>
      </c>
      <c r="G1488" s="13"/>
      <c r="H1488" s="45" t="s">
        <v>16</v>
      </c>
      <c r="I1488" s="47"/>
      <c r="J1488" s="12" t="s">
        <v>4336</v>
      </c>
      <c r="K1488" s="13" t="s">
        <v>8288</v>
      </c>
      <c r="L1488" s="99" t="str">
        <f t="shared" si="94"/>
        <v>W2259.D</v>
      </c>
      <c r="M1488" s="45"/>
      <c r="N1488" s="47"/>
      <c r="O1488" s="47"/>
      <c r="P1488" s="47"/>
      <c r="Q1488" s="45"/>
      <c r="R1488" s="45"/>
      <c r="S1488" s="48"/>
    </row>
    <row r="1489" spans="1:19" s="49" customFormat="1" ht="14.15" customHeight="1">
      <c r="A1489" s="45"/>
      <c r="B1489" s="44" t="s">
        <v>157</v>
      </c>
      <c r="C1489" s="50"/>
      <c r="D1489" s="10" t="s">
        <v>29</v>
      </c>
      <c r="E1489" s="11"/>
      <c r="F1489" s="11" t="s">
        <v>18</v>
      </c>
      <c r="G1489" s="13"/>
      <c r="H1489" s="45" t="s">
        <v>16</v>
      </c>
      <c r="I1489" s="47"/>
      <c r="J1489" s="12" t="s">
        <v>4337</v>
      </c>
      <c r="K1489" s="13" t="s">
        <v>8289</v>
      </c>
      <c r="L1489" s="99" t="str">
        <f t="shared" si="94"/>
        <v>W2259.E</v>
      </c>
      <c r="M1489" s="13"/>
      <c r="N1489" s="47"/>
      <c r="O1489" s="47"/>
      <c r="P1489" s="47"/>
      <c r="Q1489" s="45"/>
      <c r="R1489" s="45"/>
      <c r="S1489" s="48"/>
    </row>
    <row r="1490" spans="1:19" s="49" customFormat="1" ht="14.15" customHeight="1">
      <c r="A1490" s="45"/>
      <c r="B1490" s="44" t="s">
        <v>157</v>
      </c>
      <c r="C1490" s="50"/>
      <c r="D1490" s="10" t="s">
        <v>29</v>
      </c>
      <c r="E1490" s="11"/>
      <c r="F1490" s="11" t="s">
        <v>18</v>
      </c>
      <c r="G1490" s="13"/>
      <c r="H1490" s="45" t="s">
        <v>16</v>
      </c>
      <c r="I1490" s="47"/>
      <c r="J1490" s="12" t="s">
        <v>4338</v>
      </c>
      <c r="K1490" s="13" t="s">
        <v>8290</v>
      </c>
      <c r="L1490" s="99" t="str">
        <f t="shared" si="94"/>
        <v>W2259.F</v>
      </c>
      <c r="M1490" s="13"/>
      <c r="N1490" s="47"/>
      <c r="O1490" s="47"/>
      <c r="P1490" s="47"/>
      <c r="Q1490" s="45"/>
      <c r="R1490" s="45"/>
      <c r="S1490" s="48"/>
    </row>
    <row r="1491" spans="1:19" s="49" customFormat="1" ht="14.15" customHeight="1">
      <c r="A1491" s="45"/>
      <c r="B1491" s="44" t="s">
        <v>157</v>
      </c>
      <c r="C1491" s="50"/>
      <c r="D1491" s="10" t="s">
        <v>29</v>
      </c>
      <c r="E1491" s="11"/>
      <c r="F1491" s="11" t="s">
        <v>18</v>
      </c>
      <c r="G1491" s="13"/>
      <c r="H1491" s="45" t="s">
        <v>16</v>
      </c>
      <c r="I1491" s="47"/>
      <c r="J1491" s="12" t="s">
        <v>4339</v>
      </c>
      <c r="K1491" s="13" t="s">
        <v>8291</v>
      </c>
      <c r="L1491" s="99" t="str">
        <f t="shared" si="94"/>
        <v>W225A.0</v>
      </c>
      <c r="M1491" s="13"/>
      <c r="N1491" s="47"/>
      <c r="O1491" s="47"/>
      <c r="P1491" s="47"/>
      <c r="Q1491" s="45"/>
      <c r="R1491" s="45"/>
      <c r="S1491" s="48"/>
    </row>
    <row r="1492" spans="1:19" s="49" customFormat="1" ht="14.15" customHeight="1">
      <c r="A1492" s="45"/>
      <c r="B1492" s="44" t="s">
        <v>157</v>
      </c>
      <c r="C1492" s="50"/>
      <c r="D1492" s="10" t="s">
        <v>29</v>
      </c>
      <c r="E1492" s="11"/>
      <c r="F1492" s="11" t="s">
        <v>18</v>
      </c>
      <c r="G1492" s="13"/>
      <c r="H1492" s="45" t="s">
        <v>16</v>
      </c>
      <c r="I1492" s="47"/>
      <c r="J1492" s="12" t="s">
        <v>4340</v>
      </c>
      <c r="K1492" s="13" t="s">
        <v>8292</v>
      </c>
      <c r="L1492" s="99" t="str">
        <f t="shared" si="94"/>
        <v>W225A.1</v>
      </c>
      <c r="M1492" s="45"/>
      <c r="N1492" s="47"/>
      <c r="O1492" s="47"/>
      <c r="P1492" s="47"/>
      <c r="Q1492" s="45"/>
      <c r="R1492" s="45"/>
      <c r="S1492" s="48"/>
    </row>
    <row r="1493" spans="1:19" s="49" customFormat="1" ht="14.15" customHeight="1">
      <c r="A1493" s="45"/>
      <c r="B1493" s="44" t="s">
        <v>157</v>
      </c>
      <c r="C1493" s="50"/>
      <c r="D1493" s="10" t="s">
        <v>29</v>
      </c>
      <c r="E1493" s="11"/>
      <c r="F1493" s="11" t="s">
        <v>18</v>
      </c>
      <c r="G1493" s="13"/>
      <c r="H1493" s="45" t="s">
        <v>16</v>
      </c>
      <c r="I1493" s="47"/>
      <c r="J1493" s="12" t="s">
        <v>4341</v>
      </c>
      <c r="K1493" s="13" t="s">
        <v>8293</v>
      </c>
      <c r="L1493" s="99" t="str">
        <f t="shared" si="94"/>
        <v>W225A.2</v>
      </c>
      <c r="M1493" s="45"/>
      <c r="N1493" s="47"/>
      <c r="O1493" s="47"/>
      <c r="P1493" s="47"/>
      <c r="Q1493" s="45"/>
      <c r="R1493" s="45"/>
      <c r="S1493" s="48"/>
    </row>
    <row r="1494" spans="1:19" s="49" customFormat="1" ht="14.15" customHeight="1">
      <c r="A1494" s="45"/>
      <c r="B1494" s="44" t="s">
        <v>157</v>
      </c>
      <c r="C1494" s="50"/>
      <c r="D1494" s="10" t="s">
        <v>29</v>
      </c>
      <c r="E1494" s="11"/>
      <c r="F1494" s="11" t="s">
        <v>18</v>
      </c>
      <c r="G1494" s="13"/>
      <c r="H1494" s="45" t="s">
        <v>16</v>
      </c>
      <c r="I1494" s="47"/>
      <c r="J1494" s="12" t="s">
        <v>4342</v>
      </c>
      <c r="K1494" s="13" t="s">
        <v>8294</v>
      </c>
      <c r="L1494" s="99" t="str">
        <f t="shared" si="94"/>
        <v>W225A.3</v>
      </c>
      <c r="M1494" s="45"/>
      <c r="N1494" s="47"/>
      <c r="O1494" s="47"/>
      <c r="P1494" s="47"/>
      <c r="Q1494" s="45"/>
      <c r="R1494" s="45"/>
      <c r="S1494" s="48"/>
    </row>
    <row r="1495" spans="1:19" s="49" customFormat="1" ht="14.15" customHeight="1">
      <c r="A1495" s="45"/>
      <c r="B1495" s="44" t="s">
        <v>157</v>
      </c>
      <c r="C1495" s="50"/>
      <c r="D1495" s="10" t="s">
        <v>29</v>
      </c>
      <c r="E1495" s="11"/>
      <c r="F1495" s="11" t="s">
        <v>18</v>
      </c>
      <c r="G1495" s="13"/>
      <c r="H1495" s="45" t="s">
        <v>16</v>
      </c>
      <c r="I1495" s="47"/>
      <c r="J1495" s="12" t="s">
        <v>4343</v>
      </c>
      <c r="K1495" s="13" t="s">
        <v>8295</v>
      </c>
      <c r="L1495" s="99" t="str">
        <f t="shared" si="94"/>
        <v>W225A.4</v>
      </c>
      <c r="M1495" s="45"/>
      <c r="N1495" s="47"/>
      <c r="O1495" s="47"/>
      <c r="P1495" s="47"/>
      <c r="Q1495" s="45"/>
      <c r="R1495" s="45"/>
      <c r="S1495" s="48"/>
    </row>
    <row r="1496" spans="1:19" s="49" customFormat="1" ht="14.15" customHeight="1">
      <c r="A1496" s="45"/>
      <c r="B1496" s="44" t="s">
        <v>157</v>
      </c>
      <c r="C1496" s="50"/>
      <c r="D1496" s="10" t="s">
        <v>29</v>
      </c>
      <c r="E1496" s="11"/>
      <c r="F1496" s="11" t="s">
        <v>18</v>
      </c>
      <c r="G1496" s="13"/>
      <c r="H1496" s="45" t="s">
        <v>16</v>
      </c>
      <c r="I1496" s="47"/>
      <c r="J1496" s="12" t="s">
        <v>4344</v>
      </c>
      <c r="K1496" s="13" t="s">
        <v>8296</v>
      </c>
      <c r="L1496" s="99" t="str">
        <f t="shared" si="94"/>
        <v>W225A.5</v>
      </c>
      <c r="M1496" s="45"/>
      <c r="N1496" s="47"/>
      <c r="O1496" s="47"/>
      <c r="P1496" s="47"/>
      <c r="Q1496" s="45"/>
      <c r="R1496" s="45"/>
      <c r="S1496" s="48"/>
    </row>
    <row r="1497" spans="1:19" s="49" customFormat="1" ht="14.15" customHeight="1">
      <c r="A1497" s="45"/>
      <c r="B1497" s="44" t="s">
        <v>157</v>
      </c>
      <c r="C1497" s="50"/>
      <c r="D1497" s="10" t="s">
        <v>29</v>
      </c>
      <c r="E1497" s="11"/>
      <c r="F1497" s="11" t="s">
        <v>18</v>
      </c>
      <c r="G1497" s="13"/>
      <c r="H1497" s="45" t="s">
        <v>16</v>
      </c>
      <c r="I1497" s="47"/>
      <c r="J1497" s="12" t="s">
        <v>4345</v>
      </c>
      <c r="K1497" s="13" t="s">
        <v>8297</v>
      </c>
      <c r="L1497" s="99" t="str">
        <f t="shared" si="94"/>
        <v>W225A.6</v>
      </c>
      <c r="M1497" s="45"/>
      <c r="N1497" s="47"/>
      <c r="O1497" s="47"/>
      <c r="P1497" s="47"/>
      <c r="Q1497" s="45"/>
      <c r="R1497" s="45"/>
      <c r="S1497" s="48"/>
    </row>
    <row r="1498" spans="1:19" s="49" customFormat="1" ht="14.15" customHeight="1">
      <c r="A1498" s="45"/>
      <c r="B1498" s="44" t="s">
        <v>157</v>
      </c>
      <c r="C1498" s="50"/>
      <c r="D1498" s="10" t="s">
        <v>29</v>
      </c>
      <c r="E1498" s="11"/>
      <c r="F1498" s="11" t="s">
        <v>18</v>
      </c>
      <c r="G1498" s="13"/>
      <c r="H1498" s="45" t="s">
        <v>16</v>
      </c>
      <c r="I1498" s="47"/>
      <c r="J1498" s="12" t="s">
        <v>4346</v>
      </c>
      <c r="K1498" s="13" t="s">
        <v>8298</v>
      </c>
      <c r="L1498" s="99" t="str">
        <f t="shared" si="94"/>
        <v>W225A.7</v>
      </c>
      <c r="M1498" s="45"/>
      <c r="N1498" s="47"/>
      <c r="O1498" s="47"/>
      <c r="P1498" s="47"/>
      <c r="Q1498" s="45"/>
      <c r="R1498" s="45"/>
      <c r="S1498" s="48"/>
    </row>
    <row r="1499" spans="1:19" s="49" customFormat="1" ht="14.15" customHeight="1">
      <c r="A1499" s="45"/>
      <c r="B1499" s="44" t="s">
        <v>157</v>
      </c>
      <c r="C1499" s="50"/>
      <c r="D1499" s="10" t="s">
        <v>29</v>
      </c>
      <c r="E1499" s="11"/>
      <c r="F1499" s="11" t="s">
        <v>18</v>
      </c>
      <c r="G1499" s="13"/>
      <c r="H1499" s="45" t="s">
        <v>16</v>
      </c>
      <c r="I1499" s="47"/>
      <c r="J1499" s="12" t="s">
        <v>4347</v>
      </c>
      <c r="K1499" s="13" t="s">
        <v>8299</v>
      </c>
      <c r="L1499" s="99" t="str">
        <f t="shared" si="94"/>
        <v>W225A.8</v>
      </c>
      <c r="M1499" s="45"/>
      <c r="N1499" s="47"/>
      <c r="O1499" s="47"/>
      <c r="P1499" s="47"/>
      <c r="Q1499" s="45"/>
      <c r="R1499" s="45"/>
      <c r="S1499" s="48"/>
    </row>
    <row r="1500" spans="1:19" s="49" customFormat="1" ht="14.15" customHeight="1">
      <c r="A1500" s="45"/>
      <c r="B1500" s="44" t="s">
        <v>157</v>
      </c>
      <c r="C1500" s="50"/>
      <c r="D1500" s="10" t="s">
        <v>29</v>
      </c>
      <c r="E1500" s="11"/>
      <c r="F1500" s="11" t="s">
        <v>18</v>
      </c>
      <c r="G1500" s="13"/>
      <c r="H1500" s="45" t="s">
        <v>16</v>
      </c>
      <c r="I1500" s="47"/>
      <c r="J1500" s="12" t="s">
        <v>4348</v>
      </c>
      <c r="K1500" s="13" t="s">
        <v>8300</v>
      </c>
      <c r="L1500" s="99" t="str">
        <f t="shared" si="94"/>
        <v>W225A.9</v>
      </c>
      <c r="M1500" s="13"/>
      <c r="N1500" s="47"/>
      <c r="O1500" s="47"/>
      <c r="P1500" s="47"/>
      <c r="Q1500" s="45"/>
      <c r="R1500" s="45"/>
      <c r="S1500" s="48"/>
    </row>
    <row r="1501" spans="1:19" s="49" customFormat="1" ht="14.15" customHeight="1">
      <c r="A1501" s="45"/>
      <c r="B1501" s="44" t="s">
        <v>157</v>
      </c>
      <c r="C1501" s="50"/>
      <c r="D1501" s="10" t="s">
        <v>29</v>
      </c>
      <c r="E1501" s="11"/>
      <c r="F1501" s="11" t="s">
        <v>18</v>
      </c>
      <c r="G1501" s="13"/>
      <c r="H1501" s="45" t="s">
        <v>16</v>
      </c>
      <c r="I1501" s="47"/>
      <c r="J1501" s="12" t="s">
        <v>4349</v>
      </c>
      <c r="K1501" s="13" t="s">
        <v>8301</v>
      </c>
      <c r="L1501" s="99" t="str">
        <f t="shared" si="94"/>
        <v>W225A.A</v>
      </c>
      <c r="M1501" s="13"/>
      <c r="N1501" s="47"/>
      <c r="O1501" s="47"/>
      <c r="P1501" s="47"/>
      <c r="Q1501" s="45"/>
      <c r="R1501" s="45"/>
      <c r="S1501" s="48"/>
    </row>
    <row r="1502" spans="1:19" s="49" customFormat="1" ht="14.15" customHeight="1">
      <c r="A1502" s="45"/>
      <c r="B1502" s="44" t="s">
        <v>157</v>
      </c>
      <c r="C1502" s="50"/>
      <c r="D1502" s="10" t="s">
        <v>29</v>
      </c>
      <c r="E1502" s="11"/>
      <c r="F1502" s="11" t="s">
        <v>18</v>
      </c>
      <c r="G1502" s="13"/>
      <c r="H1502" s="45" t="s">
        <v>16</v>
      </c>
      <c r="I1502" s="47"/>
      <c r="J1502" s="12" t="s">
        <v>4350</v>
      </c>
      <c r="K1502" s="13" t="s">
        <v>8302</v>
      </c>
      <c r="L1502" s="99" t="str">
        <f t="shared" si="94"/>
        <v>W225A.B</v>
      </c>
      <c r="M1502" s="45"/>
      <c r="N1502" s="47"/>
      <c r="O1502" s="47"/>
      <c r="P1502" s="47"/>
      <c r="Q1502" s="45"/>
      <c r="R1502" s="45"/>
      <c r="S1502" s="48"/>
    </row>
    <row r="1503" spans="1:19" s="49" customFormat="1" ht="14.15" customHeight="1">
      <c r="A1503" s="45"/>
      <c r="B1503" s="44" t="s">
        <v>157</v>
      </c>
      <c r="C1503" s="50"/>
      <c r="D1503" s="10" t="s">
        <v>29</v>
      </c>
      <c r="E1503" s="11"/>
      <c r="F1503" s="11" t="s">
        <v>18</v>
      </c>
      <c r="G1503" s="13"/>
      <c r="H1503" s="45" t="s">
        <v>16</v>
      </c>
      <c r="I1503" s="47"/>
      <c r="J1503" s="12" t="s">
        <v>4351</v>
      </c>
      <c r="K1503" s="13" t="s">
        <v>8303</v>
      </c>
      <c r="L1503" s="99" t="str">
        <f t="shared" si="94"/>
        <v>W225A.C</v>
      </c>
      <c r="M1503" s="45"/>
      <c r="N1503" s="47"/>
      <c r="O1503" s="47"/>
      <c r="P1503" s="47"/>
      <c r="Q1503" s="45"/>
      <c r="R1503" s="45"/>
      <c r="S1503" s="48"/>
    </row>
    <row r="1504" spans="1:19" s="49" customFormat="1" ht="14.15" customHeight="1">
      <c r="A1504" s="45"/>
      <c r="B1504" s="44" t="s">
        <v>157</v>
      </c>
      <c r="C1504" s="50"/>
      <c r="D1504" s="10" t="s">
        <v>29</v>
      </c>
      <c r="E1504" s="11"/>
      <c r="F1504" s="11" t="s">
        <v>18</v>
      </c>
      <c r="G1504" s="13"/>
      <c r="H1504" s="45" t="s">
        <v>16</v>
      </c>
      <c r="I1504" s="47"/>
      <c r="J1504" s="12" t="s">
        <v>4352</v>
      </c>
      <c r="K1504" s="13" t="s">
        <v>8304</v>
      </c>
      <c r="L1504" s="99" t="str">
        <f t="shared" si="94"/>
        <v>W225A.D</v>
      </c>
      <c r="M1504" s="45"/>
      <c r="N1504" s="47"/>
      <c r="O1504" s="47"/>
      <c r="P1504" s="47"/>
      <c r="Q1504" s="45"/>
      <c r="R1504" s="45"/>
      <c r="S1504" s="48"/>
    </row>
    <row r="1505" spans="1:19" s="49" customFormat="1" ht="14.15" customHeight="1">
      <c r="A1505" s="45"/>
      <c r="B1505" s="44" t="s">
        <v>157</v>
      </c>
      <c r="C1505" s="50"/>
      <c r="D1505" s="10" t="s">
        <v>29</v>
      </c>
      <c r="E1505" s="11"/>
      <c r="F1505" s="11" t="s">
        <v>18</v>
      </c>
      <c r="G1505" s="13"/>
      <c r="H1505" s="45" t="s">
        <v>16</v>
      </c>
      <c r="I1505" s="47"/>
      <c r="J1505" s="12" t="s">
        <v>4353</v>
      </c>
      <c r="K1505" s="13" t="s">
        <v>8305</v>
      </c>
      <c r="L1505" s="99" t="str">
        <f t="shared" si="94"/>
        <v>W225A.E</v>
      </c>
      <c r="M1505" s="45"/>
      <c r="N1505" s="47"/>
      <c r="O1505" s="47"/>
      <c r="P1505" s="47"/>
      <c r="Q1505" s="45"/>
      <c r="R1505" s="45"/>
      <c r="S1505" s="48"/>
    </row>
    <row r="1506" spans="1:19" s="49" customFormat="1" ht="14.15" customHeight="1">
      <c r="A1506" s="45"/>
      <c r="B1506" s="44" t="s">
        <v>157</v>
      </c>
      <c r="C1506" s="50"/>
      <c r="D1506" s="10" t="s">
        <v>29</v>
      </c>
      <c r="E1506" s="11"/>
      <c r="F1506" s="11" t="s">
        <v>18</v>
      </c>
      <c r="G1506" s="13"/>
      <c r="H1506" s="45" t="s">
        <v>16</v>
      </c>
      <c r="I1506" s="47"/>
      <c r="J1506" s="12" t="s">
        <v>4354</v>
      </c>
      <c r="K1506" s="13" t="s">
        <v>8306</v>
      </c>
      <c r="L1506" s="99" t="str">
        <f t="shared" si="94"/>
        <v>W225A.F</v>
      </c>
      <c r="M1506" s="45"/>
      <c r="N1506" s="47"/>
      <c r="O1506" s="47"/>
      <c r="P1506" s="47"/>
      <c r="Q1506" s="45"/>
      <c r="R1506" s="45"/>
      <c r="S1506" s="48"/>
    </row>
    <row r="1507" spans="1:19" s="49" customFormat="1" ht="14.15" customHeight="1">
      <c r="A1507" s="45"/>
      <c r="B1507" s="44" t="s">
        <v>157</v>
      </c>
      <c r="C1507" s="50"/>
      <c r="D1507" s="10" t="s">
        <v>29</v>
      </c>
      <c r="E1507" s="11"/>
      <c r="F1507" s="11" t="s">
        <v>18</v>
      </c>
      <c r="G1507" s="13"/>
      <c r="H1507" s="45" t="s">
        <v>16</v>
      </c>
      <c r="I1507" s="47"/>
      <c r="J1507" s="12" t="s">
        <v>4355</v>
      </c>
      <c r="K1507" s="13" t="s">
        <v>8307</v>
      </c>
      <c r="L1507" s="99" t="str">
        <f t="shared" si="94"/>
        <v>W225B.0</v>
      </c>
      <c r="M1507" s="45"/>
      <c r="N1507" s="47"/>
      <c r="O1507" s="47"/>
      <c r="P1507" s="47"/>
      <c r="Q1507" s="45"/>
      <c r="R1507" s="45"/>
      <c r="S1507" s="48"/>
    </row>
    <row r="1508" spans="1:19" s="49" customFormat="1" ht="14.15" customHeight="1">
      <c r="A1508" s="45"/>
      <c r="B1508" s="44" t="s">
        <v>157</v>
      </c>
      <c r="C1508" s="50"/>
      <c r="D1508" s="10" t="s">
        <v>29</v>
      </c>
      <c r="E1508" s="11"/>
      <c r="F1508" s="11" t="s">
        <v>18</v>
      </c>
      <c r="G1508" s="13"/>
      <c r="H1508" s="45" t="s">
        <v>16</v>
      </c>
      <c r="I1508" s="47"/>
      <c r="J1508" s="12" t="s">
        <v>4356</v>
      </c>
      <c r="K1508" s="13" t="s">
        <v>8308</v>
      </c>
      <c r="L1508" s="99" t="str">
        <f t="shared" si="94"/>
        <v>W225B.1</v>
      </c>
      <c r="M1508" s="13"/>
      <c r="N1508" s="47"/>
      <c r="O1508" s="47"/>
      <c r="P1508" s="47"/>
      <c r="Q1508" s="45"/>
      <c r="R1508" s="45"/>
      <c r="S1508" s="48"/>
    </row>
    <row r="1509" spans="1:19" s="49" customFormat="1" ht="14.15" customHeight="1">
      <c r="A1509" s="45"/>
      <c r="B1509" s="44" t="s">
        <v>157</v>
      </c>
      <c r="C1509" s="50"/>
      <c r="D1509" s="10" t="s">
        <v>29</v>
      </c>
      <c r="E1509" s="11"/>
      <c r="F1509" s="11" t="s">
        <v>18</v>
      </c>
      <c r="G1509" s="13"/>
      <c r="H1509" s="45" t="s">
        <v>16</v>
      </c>
      <c r="I1509" s="47"/>
      <c r="J1509" s="12" t="s">
        <v>4357</v>
      </c>
      <c r="K1509" s="13" t="s">
        <v>8309</v>
      </c>
      <c r="L1509" s="99" t="str">
        <f t="shared" si="94"/>
        <v>W225B.2</v>
      </c>
      <c r="M1509" s="13"/>
      <c r="N1509" s="47"/>
      <c r="O1509" s="47"/>
      <c r="P1509" s="47"/>
      <c r="Q1509" s="45"/>
      <c r="R1509" s="45"/>
      <c r="S1509" s="48"/>
    </row>
    <row r="1510" spans="1:19" s="49" customFormat="1" ht="14.15" customHeight="1">
      <c r="A1510" s="45"/>
      <c r="B1510" s="44" t="s">
        <v>157</v>
      </c>
      <c r="C1510" s="50"/>
      <c r="D1510" s="10" t="s">
        <v>29</v>
      </c>
      <c r="E1510" s="11"/>
      <c r="F1510" s="11" t="s">
        <v>18</v>
      </c>
      <c r="G1510" s="13"/>
      <c r="H1510" s="45" t="s">
        <v>16</v>
      </c>
      <c r="I1510" s="47"/>
      <c r="J1510" s="12" t="s">
        <v>4358</v>
      </c>
      <c r="K1510" s="13" t="s">
        <v>8310</v>
      </c>
      <c r="L1510" s="99" t="str">
        <f t="shared" si="94"/>
        <v>W225B.3</v>
      </c>
      <c r="M1510" s="45"/>
      <c r="N1510" s="47"/>
      <c r="O1510" s="47"/>
      <c r="P1510" s="47"/>
      <c r="Q1510" s="45"/>
      <c r="R1510" s="45"/>
      <c r="S1510" s="48"/>
    </row>
    <row r="1511" spans="1:19" s="49" customFormat="1" ht="14.15" customHeight="1">
      <c r="A1511" s="45"/>
      <c r="B1511" s="44" t="s">
        <v>157</v>
      </c>
      <c r="C1511" s="50"/>
      <c r="D1511" s="10" t="s">
        <v>29</v>
      </c>
      <c r="E1511" s="11"/>
      <c r="F1511" s="11" t="s">
        <v>18</v>
      </c>
      <c r="G1511" s="13"/>
      <c r="H1511" s="45" t="s">
        <v>16</v>
      </c>
      <c r="I1511" s="47"/>
      <c r="J1511" s="12" t="s">
        <v>4359</v>
      </c>
      <c r="K1511" s="13" t="s">
        <v>8311</v>
      </c>
      <c r="L1511" s="99" t="str">
        <f t="shared" si="94"/>
        <v>W225B.4</v>
      </c>
      <c r="M1511" s="45"/>
      <c r="N1511" s="47"/>
      <c r="O1511" s="47"/>
      <c r="P1511" s="47"/>
      <c r="Q1511" s="45"/>
      <c r="R1511" s="45"/>
      <c r="S1511" s="48"/>
    </row>
    <row r="1512" spans="1:19" s="49" customFormat="1" ht="14.15" customHeight="1">
      <c r="A1512" s="45"/>
      <c r="B1512" s="44" t="s">
        <v>157</v>
      </c>
      <c r="C1512" s="50"/>
      <c r="D1512" s="10" t="s">
        <v>29</v>
      </c>
      <c r="E1512" s="11"/>
      <c r="F1512" s="11" t="s">
        <v>18</v>
      </c>
      <c r="G1512" s="13"/>
      <c r="H1512" s="45" t="s">
        <v>16</v>
      </c>
      <c r="I1512" s="47"/>
      <c r="J1512" s="12" t="s">
        <v>4360</v>
      </c>
      <c r="K1512" s="13" t="s">
        <v>8312</v>
      </c>
      <c r="L1512" s="99" t="str">
        <f t="shared" si="94"/>
        <v>W225B.5</v>
      </c>
      <c r="M1512" s="45"/>
      <c r="N1512" s="47"/>
      <c r="O1512" s="47"/>
      <c r="P1512" s="47"/>
      <c r="Q1512" s="45"/>
      <c r="R1512" s="45"/>
      <c r="S1512" s="48"/>
    </row>
    <row r="1513" spans="1:19" s="49" customFormat="1" ht="14.15" customHeight="1">
      <c r="A1513" s="45"/>
      <c r="B1513" s="44" t="s">
        <v>157</v>
      </c>
      <c r="C1513" s="50"/>
      <c r="D1513" s="10" t="s">
        <v>29</v>
      </c>
      <c r="E1513" s="11"/>
      <c r="F1513" s="11" t="s">
        <v>18</v>
      </c>
      <c r="G1513" s="13"/>
      <c r="H1513" s="45" t="s">
        <v>16</v>
      </c>
      <c r="I1513" s="47"/>
      <c r="J1513" s="12" t="s">
        <v>4361</v>
      </c>
      <c r="K1513" s="13" t="s">
        <v>8313</v>
      </c>
      <c r="L1513" s="99" t="str">
        <f t="shared" si="94"/>
        <v>W225B.6</v>
      </c>
      <c r="M1513" s="45"/>
      <c r="N1513" s="47"/>
      <c r="O1513" s="47"/>
      <c r="P1513" s="47"/>
      <c r="Q1513" s="45"/>
      <c r="R1513" s="45"/>
      <c r="S1513" s="48"/>
    </row>
    <row r="1514" spans="1:19" s="49" customFormat="1" ht="14.15" customHeight="1">
      <c r="A1514" s="45"/>
      <c r="B1514" s="44" t="s">
        <v>157</v>
      </c>
      <c r="C1514" s="50"/>
      <c r="D1514" s="10" t="s">
        <v>29</v>
      </c>
      <c r="E1514" s="11"/>
      <c r="F1514" s="11" t="s">
        <v>18</v>
      </c>
      <c r="G1514" s="13"/>
      <c r="H1514" s="45" t="s">
        <v>16</v>
      </c>
      <c r="I1514" s="47"/>
      <c r="J1514" s="12" t="s">
        <v>4362</v>
      </c>
      <c r="K1514" s="13" t="s">
        <v>8314</v>
      </c>
      <c r="L1514" s="99" t="str">
        <f t="shared" si="94"/>
        <v>W225B.7</v>
      </c>
      <c r="M1514" s="45"/>
      <c r="N1514" s="47"/>
      <c r="O1514" s="47"/>
      <c r="P1514" s="47"/>
      <c r="Q1514" s="45"/>
      <c r="R1514" s="45"/>
      <c r="S1514" s="48"/>
    </row>
    <row r="1515" spans="1:19" s="49" customFormat="1" ht="14.15" customHeight="1">
      <c r="A1515" s="45"/>
      <c r="B1515" s="44" t="s">
        <v>157</v>
      </c>
      <c r="C1515" s="50"/>
      <c r="D1515" s="10" t="s">
        <v>29</v>
      </c>
      <c r="E1515" s="11"/>
      <c r="F1515" s="11" t="s">
        <v>18</v>
      </c>
      <c r="G1515" s="13"/>
      <c r="H1515" s="45" t="s">
        <v>16</v>
      </c>
      <c r="I1515" s="47"/>
      <c r="J1515" s="12" t="s">
        <v>4363</v>
      </c>
      <c r="K1515" s="13" t="s">
        <v>8315</v>
      </c>
      <c r="L1515" s="99" t="str">
        <f t="shared" si="94"/>
        <v>W225B.8</v>
      </c>
      <c r="M1515" s="45"/>
      <c r="N1515" s="47"/>
      <c r="O1515" s="47"/>
      <c r="P1515" s="47"/>
      <c r="Q1515" s="45"/>
      <c r="R1515" s="45"/>
      <c r="S1515" s="48"/>
    </row>
    <row r="1516" spans="1:19" s="49" customFormat="1" ht="14.15" customHeight="1">
      <c r="A1516" s="45"/>
      <c r="B1516" s="44" t="s">
        <v>157</v>
      </c>
      <c r="C1516" s="50"/>
      <c r="D1516" s="10" t="s">
        <v>29</v>
      </c>
      <c r="E1516" s="11"/>
      <c r="F1516" s="11" t="s">
        <v>18</v>
      </c>
      <c r="G1516" s="13"/>
      <c r="H1516" s="45" t="s">
        <v>16</v>
      </c>
      <c r="I1516" s="47"/>
      <c r="J1516" s="12" t="s">
        <v>4364</v>
      </c>
      <c r="K1516" s="13" t="s">
        <v>8316</v>
      </c>
      <c r="L1516" s="99" t="str">
        <f t="shared" si="94"/>
        <v>W225B.9</v>
      </c>
      <c r="M1516" s="45"/>
      <c r="N1516" s="47"/>
      <c r="O1516" s="47"/>
      <c r="P1516" s="47"/>
      <c r="Q1516" s="45"/>
      <c r="R1516" s="45"/>
      <c r="S1516" s="48"/>
    </row>
    <row r="1517" spans="1:19" s="49" customFormat="1" ht="14.15" customHeight="1">
      <c r="A1517" s="45"/>
      <c r="B1517" s="44" t="s">
        <v>157</v>
      </c>
      <c r="C1517" s="50"/>
      <c r="D1517" s="10" t="s">
        <v>29</v>
      </c>
      <c r="E1517" s="11"/>
      <c r="F1517" s="11" t="s">
        <v>18</v>
      </c>
      <c r="G1517" s="13"/>
      <c r="H1517" s="45" t="s">
        <v>16</v>
      </c>
      <c r="I1517" s="47"/>
      <c r="J1517" s="12" t="s">
        <v>4365</v>
      </c>
      <c r="K1517" s="13" t="s">
        <v>8317</v>
      </c>
      <c r="L1517" s="99" t="str">
        <f t="shared" si="94"/>
        <v>W225B.A</v>
      </c>
      <c r="M1517" s="45"/>
      <c r="N1517" s="47"/>
      <c r="O1517" s="47"/>
      <c r="P1517" s="47"/>
      <c r="Q1517" s="45"/>
      <c r="R1517" s="45"/>
      <c r="S1517" s="48"/>
    </row>
    <row r="1518" spans="1:19" s="49" customFormat="1" ht="14.15" customHeight="1">
      <c r="A1518" s="45"/>
      <c r="B1518" s="44" t="s">
        <v>157</v>
      </c>
      <c r="C1518" s="50"/>
      <c r="D1518" s="10" t="s">
        <v>29</v>
      </c>
      <c r="E1518" s="11"/>
      <c r="F1518" s="11" t="s">
        <v>18</v>
      </c>
      <c r="G1518" s="13"/>
      <c r="H1518" s="45" t="s">
        <v>16</v>
      </c>
      <c r="I1518" s="47"/>
      <c r="J1518" s="12" t="s">
        <v>4366</v>
      </c>
      <c r="K1518" s="13" t="s">
        <v>8318</v>
      </c>
      <c r="L1518" s="99" t="str">
        <f t="shared" si="94"/>
        <v>W225B.B</v>
      </c>
      <c r="M1518" s="45"/>
      <c r="N1518" s="47"/>
      <c r="O1518" s="47"/>
      <c r="P1518" s="47"/>
      <c r="Q1518" s="45"/>
      <c r="R1518" s="45"/>
      <c r="S1518" s="48"/>
    </row>
    <row r="1519" spans="1:19" s="49" customFormat="1" ht="14.15" customHeight="1">
      <c r="A1519" s="45"/>
      <c r="B1519" s="44" t="s">
        <v>157</v>
      </c>
      <c r="C1519" s="50"/>
      <c r="D1519" s="10" t="s">
        <v>29</v>
      </c>
      <c r="E1519" s="11"/>
      <c r="F1519" s="11" t="s">
        <v>18</v>
      </c>
      <c r="G1519" s="13"/>
      <c r="H1519" s="45" t="s">
        <v>16</v>
      </c>
      <c r="I1519" s="47"/>
      <c r="J1519" s="12" t="s">
        <v>4367</v>
      </c>
      <c r="K1519" s="13" t="s">
        <v>8319</v>
      </c>
      <c r="L1519" s="99" t="str">
        <f t="shared" si="94"/>
        <v>W225B.C</v>
      </c>
      <c r="M1519" s="45"/>
      <c r="N1519" s="47"/>
      <c r="O1519" s="47"/>
      <c r="P1519" s="47"/>
      <c r="Q1519" s="45"/>
      <c r="R1519" s="45"/>
      <c r="S1519" s="48"/>
    </row>
    <row r="1520" spans="1:19" s="49" customFormat="1" ht="14.15" customHeight="1">
      <c r="A1520" s="45"/>
      <c r="B1520" s="44" t="s">
        <v>157</v>
      </c>
      <c r="C1520" s="50"/>
      <c r="D1520" s="10" t="s">
        <v>29</v>
      </c>
      <c r="E1520" s="11"/>
      <c r="F1520" s="11" t="s">
        <v>18</v>
      </c>
      <c r="G1520" s="13"/>
      <c r="H1520" s="45" t="s">
        <v>16</v>
      </c>
      <c r="I1520" s="47"/>
      <c r="J1520" s="12" t="s">
        <v>4368</v>
      </c>
      <c r="K1520" s="13" t="s">
        <v>8320</v>
      </c>
      <c r="L1520" s="99" t="str">
        <f t="shared" si="94"/>
        <v>W225B.D</v>
      </c>
      <c r="M1520" s="13"/>
      <c r="N1520" s="47"/>
      <c r="O1520" s="47"/>
      <c r="P1520" s="47"/>
      <c r="Q1520" s="45"/>
      <c r="R1520" s="45"/>
      <c r="S1520" s="48"/>
    </row>
    <row r="1521" spans="1:19" s="49" customFormat="1" ht="14.15" customHeight="1">
      <c r="A1521" s="45"/>
      <c r="B1521" s="44" t="s">
        <v>157</v>
      </c>
      <c r="C1521" s="50"/>
      <c r="D1521" s="10" t="s">
        <v>29</v>
      </c>
      <c r="E1521" s="11"/>
      <c r="F1521" s="11" t="s">
        <v>18</v>
      </c>
      <c r="G1521" s="13"/>
      <c r="H1521" s="45" t="s">
        <v>16</v>
      </c>
      <c r="I1521" s="47"/>
      <c r="J1521" s="12" t="s">
        <v>4369</v>
      </c>
      <c r="K1521" s="13" t="s">
        <v>8321</v>
      </c>
      <c r="L1521" s="99" t="str">
        <f t="shared" si="94"/>
        <v>W225B.E</v>
      </c>
      <c r="M1521" s="13"/>
      <c r="N1521" s="47"/>
      <c r="O1521" s="47"/>
      <c r="P1521" s="47"/>
      <c r="Q1521" s="45"/>
      <c r="R1521" s="45"/>
      <c r="S1521" s="48"/>
    </row>
    <row r="1522" spans="1:19" s="49" customFormat="1" ht="14.15" customHeight="1">
      <c r="A1522" s="45"/>
      <c r="B1522" s="44" t="s">
        <v>157</v>
      </c>
      <c r="C1522" s="50"/>
      <c r="D1522" s="10" t="s">
        <v>29</v>
      </c>
      <c r="E1522" s="11"/>
      <c r="F1522" s="11" t="s">
        <v>18</v>
      </c>
      <c r="G1522" s="13"/>
      <c r="H1522" s="45" t="s">
        <v>16</v>
      </c>
      <c r="I1522" s="47"/>
      <c r="J1522" s="12" t="s">
        <v>4370</v>
      </c>
      <c r="K1522" s="13" t="s">
        <v>8322</v>
      </c>
      <c r="L1522" s="99" t="str">
        <f t="shared" si="94"/>
        <v>W225B.F</v>
      </c>
      <c r="M1522" s="13"/>
      <c r="N1522" s="47"/>
      <c r="O1522" s="47"/>
      <c r="P1522" s="47"/>
      <c r="Q1522" s="45"/>
      <c r="R1522" s="45"/>
      <c r="S1522" s="48"/>
    </row>
    <row r="1523" spans="1:19" s="49" customFormat="1" ht="14.15" customHeight="1">
      <c r="A1523" s="45"/>
      <c r="B1523" s="44" t="s">
        <v>157</v>
      </c>
      <c r="C1523" s="50"/>
      <c r="D1523" s="10" t="s">
        <v>29</v>
      </c>
      <c r="E1523" s="11"/>
      <c r="F1523" s="11" t="s">
        <v>18</v>
      </c>
      <c r="G1523" s="13"/>
      <c r="H1523" s="45" t="s">
        <v>16</v>
      </c>
      <c r="I1523" s="47"/>
      <c r="J1523" s="12" t="s">
        <v>4371</v>
      </c>
      <c r="K1523" s="13" t="s">
        <v>8323</v>
      </c>
      <c r="L1523" s="99" t="str">
        <f t="shared" si="94"/>
        <v>W225C.0</v>
      </c>
      <c r="M1523" s="45"/>
      <c r="N1523" s="47"/>
      <c r="O1523" s="47"/>
      <c r="P1523" s="47"/>
      <c r="Q1523" s="45"/>
      <c r="R1523" s="45"/>
      <c r="S1523" s="48"/>
    </row>
    <row r="1524" spans="1:19" s="49" customFormat="1" ht="14.15" customHeight="1">
      <c r="A1524" s="45"/>
      <c r="B1524" s="44" t="s">
        <v>157</v>
      </c>
      <c r="C1524" s="50"/>
      <c r="D1524" s="10" t="s">
        <v>29</v>
      </c>
      <c r="E1524" s="11"/>
      <c r="F1524" s="11" t="s">
        <v>18</v>
      </c>
      <c r="G1524" s="13"/>
      <c r="H1524" s="45" t="s">
        <v>16</v>
      </c>
      <c r="I1524" s="47"/>
      <c r="J1524" s="12" t="s">
        <v>4372</v>
      </c>
      <c r="K1524" s="13" t="s">
        <v>8324</v>
      </c>
      <c r="L1524" s="99" t="str">
        <f t="shared" ref="L1524:L1587" si="95">"W"&amp;DEC2HEX(8704 + INT((ROW()-51)/16)) &amp; "." &amp; IF(MOD(ROW()-51,16)&lt;10,MOD(ROW()-51,16),CHAR(MOD(ROW()-51,16)+55))</f>
        <v>W225C.1</v>
      </c>
      <c r="M1524" s="13"/>
      <c r="N1524" s="47"/>
      <c r="O1524" s="47"/>
      <c r="P1524" s="47"/>
      <c r="Q1524" s="45"/>
      <c r="R1524" s="45"/>
      <c r="S1524" s="48"/>
    </row>
    <row r="1525" spans="1:19" s="49" customFormat="1" ht="14.15" customHeight="1">
      <c r="A1525" s="45"/>
      <c r="B1525" s="44" t="s">
        <v>157</v>
      </c>
      <c r="C1525" s="50"/>
      <c r="D1525" s="10" t="s">
        <v>29</v>
      </c>
      <c r="E1525" s="11"/>
      <c r="F1525" s="11" t="s">
        <v>18</v>
      </c>
      <c r="G1525" s="13"/>
      <c r="H1525" s="45" t="s">
        <v>16</v>
      </c>
      <c r="I1525" s="47"/>
      <c r="J1525" s="12" t="s">
        <v>4373</v>
      </c>
      <c r="K1525" s="13" t="s">
        <v>8325</v>
      </c>
      <c r="L1525" s="99" t="str">
        <f t="shared" si="95"/>
        <v>W225C.2</v>
      </c>
      <c r="M1525" s="45"/>
      <c r="N1525" s="47"/>
      <c r="O1525" s="47"/>
      <c r="P1525" s="47"/>
      <c r="Q1525" s="45"/>
      <c r="R1525" s="45"/>
      <c r="S1525" s="48"/>
    </row>
    <row r="1526" spans="1:19" s="49" customFormat="1" ht="14.15" customHeight="1">
      <c r="A1526" s="45"/>
      <c r="B1526" s="44" t="s">
        <v>157</v>
      </c>
      <c r="C1526" s="50"/>
      <c r="D1526" s="10" t="s">
        <v>29</v>
      </c>
      <c r="E1526" s="11"/>
      <c r="F1526" s="11" t="s">
        <v>18</v>
      </c>
      <c r="G1526" s="13"/>
      <c r="H1526" s="45" t="s">
        <v>16</v>
      </c>
      <c r="I1526" s="47"/>
      <c r="J1526" s="12" t="s">
        <v>4374</v>
      </c>
      <c r="K1526" s="13" t="s">
        <v>8326</v>
      </c>
      <c r="L1526" s="99" t="str">
        <f t="shared" si="95"/>
        <v>W225C.3</v>
      </c>
      <c r="M1526" s="45"/>
      <c r="N1526" s="47"/>
      <c r="O1526" s="47"/>
      <c r="P1526" s="47"/>
      <c r="Q1526" s="45"/>
      <c r="R1526" s="45"/>
      <c r="S1526" s="48"/>
    </row>
    <row r="1527" spans="1:19" s="49" customFormat="1" ht="14.15" customHeight="1">
      <c r="A1527" s="45"/>
      <c r="B1527" s="44" t="s">
        <v>157</v>
      </c>
      <c r="C1527" s="50"/>
      <c r="D1527" s="10" t="s">
        <v>29</v>
      </c>
      <c r="E1527" s="11"/>
      <c r="F1527" s="11" t="s">
        <v>18</v>
      </c>
      <c r="G1527" s="13"/>
      <c r="H1527" s="45" t="s">
        <v>16</v>
      </c>
      <c r="I1527" s="47"/>
      <c r="J1527" s="12" t="s">
        <v>4375</v>
      </c>
      <c r="K1527" s="13" t="s">
        <v>8327</v>
      </c>
      <c r="L1527" s="99" t="str">
        <f t="shared" si="95"/>
        <v>W225C.4</v>
      </c>
      <c r="M1527" s="45"/>
      <c r="N1527" s="47"/>
      <c r="O1527" s="47"/>
      <c r="P1527" s="47"/>
      <c r="Q1527" s="45"/>
      <c r="R1527" s="45"/>
      <c r="S1527" s="48"/>
    </row>
    <row r="1528" spans="1:19" s="49" customFormat="1" ht="14.15" customHeight="1">
      <c r="A1528" s="45"/>
      <c r="B1528" s="44" t="s">
        <v>157</v>
      </c>
      <c r="C1528" s="50"/>
      <c r="D1528" s="10" t="s">
        <v>29</v>
      </c>
      <c r="E1528" s="11"/>
      <c r="F1528" s="11" t="s">
        <v>18</v>
      </c>
      <c r="G1528" s="13"/>
      <c r="H1528" s="45" t="s">
        <v>16</v>
      </c>
      <c r="I1528" s="47"/>
      <c r="J1528" s="12" t="s">
        <v>4376</v>
      </c>
      <c r="K1528" s="13" t="s">
        <v>8328</v>
      </c>
      <c r="L1528" s="99" t="str">
        <f t="shared" si="95"/>
        <v>W225C.5</v>
      </c>
      <c r="M1528" s="45"/>
      <c r="N1528" s="47"/>
      <c r="O1528" s="47"/>
      <c r="P1528" s="47"/>
      <c r="Q1528" s="45"/>
      <c r="R1528" s="45"/>
      <c r="S1528" s="48"/>
    </row>
    <row r="1529" spans="1:19" s="49" customFormat="1" ht="14.15" customHeight="1">
      <c r="A1529" s="45"/>
      <c r="B1529" s="44" t="s">
        <v>157</v>
      </c>
      <c r="C1529" s="50"/>
      <c r="D1529" s="10" t="s">
        <v>29</v>
      </c>
      <c r="E1529" s="11"/>
      <c r="F1529" s="11" t="s">
        <v>18</v>
      </c>
      <c r="G1529" s="13"/>
      <c r="H1529" s="45" t="s">
        <v>16</v>
      </c>
      <c r="I1529" s="47"/>
      <c r="J1529" s="12" t="s">
        <v>4377</v>
      </c>
      <c r="K1529" s="13" t="s">
        <v>8329</v>
      </c>
      <c r="L1529" s="99" t="str">
        <f t="shared" si="95"/>
        <v>W225C.6</v>
      </c>
      <c r="M1529" s="45"/>
      <c r="N1529" s="47"/>
      <c r="O1529" s="47"/>
      <c r="P1529" s="47"/>
      <c r="Q1529" s="45"/>
      <c r="R1529" s="45"/>
      <c r="S1529" s="48"/>
    </row>
    <row r="1530" spans="1:19" s="49" customFormat="1" ht="14.15" customHeight="1">
      <c r="A1530" s="45"/>
      <c r="B1530" s="44" t="s">
        <v>157</v>
      </c>
      <c r="C1530" s="50"/>
      <c r="D1530" s="10" t="s">
        <v>29</v>
      </c>
      <c r="E1530" s="11"/>
      <c r="F1530" s="11" t="s">
        <v>18</v>
      </c>
      <c r="G1530" s="13"/>
      <c r="H1530" s="45" t="s">
        <v>16</v>
      </c>
      <c r="I1530" s="47"/>
      <c r="J1530" s="12" t="s">
        <v>4378</v>
      </c>
      <c r="K1530" s="13" t="s">
        <v>8330</v>
      </c>
      <c r="L1530" s="99" t="str">
        <f t="shared" si="95"/>
        <v>W225C.7</v>
      </c>
      <c r="M1530" s="13"/>
      <c r="N1530" s="47"/>
      <c r="O1530" s="47"/>
      <c r="P1530" s="47"/>
      <c r="Q1530" s="45"/>
      <c r="R1530" s="45"/>
      <c r="S1530" s="48"/>
    </row>
    <row r="1531" spans="1:19" s="49" customFormat="1" ht="14.15" customHeight="1">
      <c r="A1531" s="45"/>
      <c r="B1531" s="44" t="s">
        <v>157</v>
      </c>
      <c r="C1531" s="50"/>
      <c r="D1531" s="10" t="s">
        <v>29</v>
      </c>
      <c r="E1531" s="11"/>
      <c r="F1531" s="11" t="s">
        <v>18</v>
      </c>
      <c r="G1531" s="13"/>
      <c r="H1531" s="45" t="s">
        <v>16</v>
      </c>
      <c r="I1531" s="47"/>
      <c r="J1531" s="12" t="s">
        <v>4379</v>
      </c>
      <c r="K1531" s="13" t="s">
        <v>8331</v>
      </c>
      <c r="L1531" s="99" t="str">
        <f t="shared" si="95"/>
        <v>W225C.8</v>
      </c>
      <c r="M1531" s="13"/>
      <c r="N1531" s="47"/>
      <c r="O1531" s="47"/>
      <c r="P1531" s="47"/>
      <c r="Q1531" s="45"/>
      <c r="R1531" s="45"/>
      <c r="S1531" s="48"/>
    </row>
    <row r="1532" spans="1:19" s="49" customFormat="1" ht="14.15" customHeight="1">
      <c r="A1532" s="45"/>
      <c r="B1532" s="44" t="s">
        <v>157</v>
      </c>
      <c r="C1532" s="50"/>
      <c r="D1532" s="10" t="s">
        <v>29</v>
      </c>
      <c r="E1532" s="11"/>
      <c r="F1532" s="11" t="s">
        <v>18</v>
      </c>
      <c r="G1532" s="13"/>
      <c r="H1532" s="45" t="s">
        <v>16</v>
      </c>
      <c r="I1532" s="47"/>
      <c r="J1532" s="12" t="s">
        <v>4380</v>
      </c>
      <c r="K1532" s="13" t="s">
        <v>8332</v>
      </c>
      <c r="L1532" s="99" t="str">
        <f t="shared" si="95"/>
        <v>W225C.9</v>
      </c>
      <c r="M1532" s="13"/>
      <c r="N1532" s="47"/>
      <c r="O1532" s="47"/>
      <c r="P1532" s="47"/>
      <c r="Q1532" s="45"/>
      <c r="R1532" s="45"/>
      <c r="S1532" s="48"/>
    </row>
    <row r="1533" spans="1:19" s="49" customFormat="1" ht="14.15" customHeight="1">
      <c r="A1533" s="45"/>
      <c r="B1533" s="44" t="s">
        <v>157</v>
      </c>
      <c r="C1533" s="50"/>
      <c r="D1533" s="10" t="s">
        <v>29</v>
      </c>
      <c r="E1533" s="11"/>
      <c r="F1533" s="11" t="s">
        <v>18</v>
      </c>
      <c r="G1533" s="13"/>
      <c r="H1533" s="45" t="s">
        <v>16</v>
      </c>
      <c r="I1533" s="47"/>
      <c r="J1533" s="12" t="s">
        <v>4381</v>
      </c>
      <c r="K1533" s="13" t="s">
        <v>8333</v>
      </c>
      <c r="L1533" s="99" t="str">
        <f t="shared" si="95"/>
        <v>W225C.A</v>
      </c>
      <c r="M1533" s="13"/>
      <c r="N1533" s="47"/>
      <c r="O1533" s="47"/>
      <c r="P1533" s="47"/>
      <c r="Q1533" s="45"/>
      <c r="R1533" s="45"/>
      <c r="S1533" s="48"/>
    </row>
    <row r="1534" spans="1:19" s="49" customFormat="1" ht="14.15" customHeight="1">
      <c r="A1534" s="45"/>
      <c r="B1534" s="44" t="s">
        <v>157</v>
      </c>
      <c r="C1534" s="50"/>
      <c r="D1534" s="10" t="s">
        <v>29</v>
      </c>
      <c r="E1534" s="11"/>
      <c r="F1534" s="11" t="s">
        <v>18</v>
      </c>
      <c r="G1534" s="13"/>
      <c r="H1534" s="45" t="s">
        <v>16</v>
      </c>
      <c r="I1534" s="47"/>
      <c r="J1534" s="12" t="s">
        <v>4382</v>
      </c>
      <c r="K1534" s="13" t="s">
        <v>8334</v>
      </c>
      <c r="L1534" s="99" t="str">
        <f t="shared" si="95"/>
        <v>W225C.B</v>
      </c>
      <c r="M1534" s="13"/>
      <c r="N1534" s="47"/>
      <c r="O1534" s="47"/>
      <c r="P1534" s="47"/>
      <c r="Q1534" s="45"/>
      <c r="R1534" s="45"/>
      <c r="S1534" s="48"/>
    </row>
    <row r="1535" spans="1:19" s="49" customFormat="1" ht="14.15" customHeight="1">
      <c r="A1535" s="45"/>
      <c r="B1535" s="44" t="s">
        <v>157</v>
      </c>
      <c r="C1535" s="50"/>
      <c r="D1535" s="10" t="s">
        <v>29</v>
      </c>
      <c r="E1535" s="11"/>
      <c r="F1535" s="11" t="s">
        <v>18</v>
      </c>
      <c r="G1535" s="13"/>
      <c r="H1535" s="45" t="s">
        <v>16</v>
      </c>
      <c r="I1535" s="47"/>
      <c r="J1535" s="12" t="s">
        <v>4383</v>
      </c>
      <c r="K1535" s="13" t="s">
        <v>8335</v>
      </c>
      <c r="L1535" s="99" t="str">
        <f t="shared" si="95"/>
        <v>W225C.C</v>
      </c>
      <c r="M1535" s="13"/>
      <c r="N1535" s="47"/>
      <c r="O1535" s="47"/>
      <c r="P1535" s="47"/>
      <c r="Q1535" s="45"/>
      <c r="R1535" s="45"/>
      <c r="S1535" s="48"/>
    </row>
    <row r="1536" spans="1:19" s="49" customFormat="1" ht="14.15" customHeight="1">
      <c r="A1536" s="45"/>
      <c r="B1536" s="44" t="s">
        <v>157</v>
      </c>
      <c r="C1536" s="50"/>
      <c r="D1536" s="10" t="s">
        <v>29</v>
      </c>
      <c r="E1536" s="11"/>
      <c r="F1536" s="11" t="s">
        <v>18</v>
      </c>
      <c r="G1536" s="13"/>
      <c r="H1536" s="45" t="s">
        <v>16</v>
      </c>
      <c r="I1536" s="47"/>
      <c r="J1536" s="12" t="s">
        <v>4384</v>
      </c>
      <c r="K1536" s="13" t="s">
        <v>8336</v>
      </c>
      <c r="L1536" s="99" t="str">
        <f t="shared" si="95"/>
        <v>W225C.D</v>
      </c>
      <c r="M1536" s="45"/>
      <c r="N1536" s="47"/>
      <c r="O1536" s="47"/>
      <c r="P1536" s="47"/>
      <c r="Q1536" s="45"/>
      <c r="R1536" s="45"/>
      <c r="S1536" s="48"/>
    </row>
    <row r="1537" spans="1:19" s="49" customFormat="1" ht="14.15" customHeight="1">
      <c r="A1537" s="45"/>
      <c r="B1537" s="44" t="s">
        <v>157</v>
      </c>
      <c r="C1537" s="50"/>
      <c r="D1537" s="10" t="s">
        <v>29</v>
      </c>
      <c r="E1537" s="11"/>
      <c r="F1537" s="11" t="s">
        <v>18</v>
      </c>
      <c r="G1537" s="13"/>
      <c r="H1537" s="45" t="s">
        <v>16</v>
      </c>
      <c r="I1537" s="47"/>
      <c r="J1537" s="12" t="s">
        <v>4385</v>
      </c>
      <c r="K1537" s="13" t="s">
        <v>8337</v>
      </c>
      <c r="L1537" s="99" t="str">
        <f t="shared" si="95"/>
        <v>W225C.E</v>
      </c>
      <c r="M1537" s="45"/>
      <c r="N1537" s="47"/>
      <c r="O1537" s="47"/>
      <c r="P1537" s="47"/>
      <c r="Q1537" s="45"/>
      <c r="R1537" s="45"/>
      <c r="S1537" s="48"/>
    </row>
    <row r="1538" spans="1:19" s="49" customFormat="1" ht="14.15" customHeight="1">
      <c r="A1538" s="45"/>
      <c r="B1538" s="44" t="s">
        <v>157</v>
      </c>
      <c r="C1538" s="50"/>
      <c r="D1538" s="10" t="s">
        <v>29</v>
      </c>
      <c r="E1538" s="11"/>
      <c r="F1538" s="11" t="s">
        <v>18</v>
      </c>
      <c r="G1538" s="13"/>
      <c r="H1538" s="45" t="s">
        <v>16</v>
      </c>
      <c r="I1538" s="47"/>
      <c r="J1538" s="12" t="s">
        <v>4386</v>
      </c>
      <c r="K1538" s="13" t="s">
        <v>8338</v>
      </c>
      <c r="L1538" s="99" t="str">
        <f t="shared" si="95"/>
        <v>W225C.F</v>
      </c>
      <c r="M1538" s="45"/>
      <c r="N1538" s="47"/>
      <c r="O1538" s="47"/>
      <c r="P1538" s="47"/>
      <c r="Q1538" s="45"/>
      <c r="R1538" s="45"/>
      <c r="S1538" s="48"/>
    </row>
    <row r="1539" spans="1:19" s="49" customFormat="1" ht="14.15" customHeight="1">
      <c r="A1539" s="45"/>
      <c r="B1539" s="44" t="s">
        <v>157</v>
      </c>
      <c r="C1539" s="50"/>
      <c r="D1539" s="10" t="s">
        <v>29</v>
      </c>
      <c r="E1539" s="11"/>
      <c r="F1539" s="11" t="s">
        <v>18</v>
      </c>
      <c r="G1539" s="13"/>
      <c r="H1539" s="45" t="s">
        <v>16</v>
      </c>
      <c r="I1539" s="47"/>
      <c r="J1539" s="12" t="s">
        <v>4387</v>
      </c>
      <c r="K1539" s="13" t="s">
        <v>8339</v>
      </c>
      <c r="L1539" s="99" t="str">
        <f t="shared" si="95"/>
        <v>W225D.0</v>
      </c>
      <c r="M1539" s="45"/>
      <c r="N1539" s="47"/>
      <c r="O1539" s="47"/>
      <c r="P1539" s="47"/>
      <c r="Q1539" s="45"/>
      <c r="R1539" s="45"/>
      <c r="S1539" s="48"/>
    </row>
    <row r="1540" spans="1:19" s="49" customFormat="1" ht="14.15" customHeight="1">
      <c r="A1540" s="45"/>
      <c r="B1540" s="44" t="s">
        <v>157</v>
      </c>
      <c r="C1540" s="50"/>
      <c r="D1540" s="10" t="s">
        <v>29</v>
      </c>
      <c r="E1540" s="11"/>
      <c r="F1540" s="11" t="s">
        <v>18</v>
      </c>
      <c r="G1540" s="13"/>
      <c r="H1540" s="45" t="s">
        <v>16</v>
      </c>
      <c r="I1540" s="47"/>
      <c r="J1540" s="12" t="s">
        <v>4388</v>
      </c>
      <c r="K1540" s="13" t="s">
        <v>8340</v>
      </c>
      <c r="L1540" s="99" t="str">
        <f t="shared" si="95"/>
        <v>W225D.1</v>
      </c>
      <c r="M1540" s="13"/>
      <c r="N1540" s="47"/>
      <c r="O1540" s="47"/>
      <c r="P1540" s="47"/>
      <c r="Q1540" s="45"/>
      <c r="R1540" s="45"/>
      <c r="S1540" s="48"/>
    </row>
    <row r="1541" spans="1:19" s="49" customFormat="1" ht="14.15" customHeight="1">
      <c r="A1541" s="45"/>
      <c r="B1541" s="44" t="s">
        <v>157</v>
      </c>
      <c r="C1541" s="50"/>
      <c r="D1541" s="10" t="s">
        <v>29</v>
      </c>
      <c r="E1541" s="11"/>
      <c r="F1541" s="11" t="s">
        <v>18</v>
      </c>
      <c r="G1541" s="13"/>
      <c r="H1541" s="45" t="s">
        <v>16</v>
      </c>
      <c r="I1541" s="47"/>
      <c r="J1541" s="12" t="s">
        <v>4389</v>
      </c>
      <c r="K1541" s="13" t="s">
        <v>8341</v>
      </c>
      <c r="L1541" s="99" t="str">
        <f t="shared" si="95"/>
        <v>W225D.2</v>
      </c>
      <c r="M1541" s="13"/>
      <c r="N1541" s="47"/>
      <c r="O1541" s="47"/>
      <c r="P1541" s="47"/>
      <c r="Q1541" s="45"/>
      <c r="R1541" s="45"/>
      <c r="S1541" s="48"/>
    </row>
    <row r="1542" spans="1:19" s="49" customFormat="1" ht="14.15" customHeight="1">
      <c r="A1542" s="45"/>
      <c r="B1542" s="44" t="s">
        <v>157</v>
      </c>
      <c r="C1542" s="50"/>
      <c r="D1542" s="10" t="s">
        <v>29</v>
      </c>
      <c r="E1542" s="11"/>
      <c r="F1542" s="11" t="s">
        <v>18</v>
      </c>
      <c r="G1542" s="13"/>
      <c r="H1542" s="45" t="s">
        <v>16</v>
      </c>
      <c r="I1542" s="47"/>
      <c r="J1542" s="12" t="s">
        <v>4390</v>
      </c>
      <c r="K1542" s="13" t="s">
        <v>8342</v>
      </c>
      <c r="L1542" s="99" t="str">
        <f t="shared" si="95"/>
        <v>W225D.3</v>
      </c>
      <c r="M1542" s="13"/>
      <c r="N1542" s="47"/>
      <c r="O1542" s="47"/>
      <c r="P1542" s="47"/>
      <c r="Q1542" s="45"/>
      <c r="R1542" s="45"/>
      <c r="S1542" s="48"/>
    </row>
    <row r="1543" spans="1:19" s="49" customFormat="1" ht="14.15" customHeight="1">
      <c r="A1543" s="45"/>
      <c r="B1543" s="44" t="s">
        <v>157</v>
      </c>
      <c r="C1543" s="50"/>
      <c r="D1543" s="10" t="s">
        <v>29</v>
      </c>
      <c r="E1543" s="11"/>
      <c r="F1543" s="11" t="s">
        <v>18</v>
      </c>
      <c r="G1543" s="13"/>
      <c r="H1543" s="45" t="s">
        <v>16</v>
      </c>
      <c r="I1543" s="47"/>
      <c r="J1543" s="12" t="s">
        <v>4391</v>
      </c>
      <c r="K1543" s="13" t="s">
        <v>8343</v>
      </c>
      <c r="L1543" s="99" t="str">
        <f t="shared" si="95"/>
        <v>W225D.4</v>
      </c>
      <c r="M1543" s="45"/>
      <c r="N1543" s="47"/>
      <c r="O1543" s="47"/>
      <c r="P1543" s="47"/>
      <c r="Q1543" s="45"/>
      <c r="R1543" s="45"/>
      <c r="S1543" s="48"/>
    </row>
    <row r="1544" spans="1:19" s="49" customFormat="1" ht="14.15" customHeight="1">
      <c r="A1544" s="45"/>
      <c r="B1544" s="44" t="s">
        <v>157</v>
      </c>
      <c r="C1544" s="50"/>
      <c r="D1544" s="10" t="s">
        <v>29</v>
      </c>
      <c r="E1544" s="11"/>
      <c r="F1544" s="11" t="s">
        <v>18</v>
      </c>
      <c r="G1544" s="13"/>
      <c r="H1544" s="45" t="s">
        <v>16</v>
      </c>
      <c r="I1544" s="47"/>
      <c r="J1544" s="12" t="s">
        <v>4392</v>
      </c>
      <c r="K1544" s="13" t="s">
        <v>8344</v>
      </c>
      <c r="L1544" s="99" t="str">
        <f t="shared" si="95"/>
        <v>W225D.5</v>
      </c>
      <c r="M1544" s="13"/>
      <c r="N1544" s="47"/>
      <c r="O1544" s="47"/>
      <c r="P1544" s="47"/>
      <c r="Q1544" s="45"/>
      <c r="R1544" s="45"/>
      <c r="S1544" s="48"/>
    </row>
    <row r="1545" spans="1:19" s="49" customFormat="1" ht="14.15" customHeight="1">
      <c r="A1545" s="45"/>
      <c r="B1545" s="44" t="s">
        <v>157</v>
      </c>
      <c r="C1545" s="50"/>
      <c r="D1545" s="10" t="s">
        <v>29</v>
      </c>
      <c r="E1545" s="11"/>
      <c r="F1545" s="11" t="s">
        <v>18</v>
      </c>
      <c r="G1545" s="13"/>
      <c r="H1545" s="45" t="s">
        <v>16</v>
      </c>
      <c r="I1545" s="47"/>
      <c r="J1545" s="12" t="s">
        <v>4393</v>
      </c>
      <c r="K1545" s="13" t="s">
        <v>8345</v>
      </c>
      <c r="L1545" s="99" t="str">
        <f t="shared" si="95"/>
        <v>W225D.6</v>
      </c>
      <c r="M1545" s="45"/>
      <c r="N1545" s="47"/>
      <c r="O1545" s="47"/>
      <c r="P1545" s="47"/>
      <c r="Q1545" s="45"/>
      <c r="R1545" s="45"/>
      <c r="S1545" s="48"/>
    </row>
    <row r="1546" spans="1:19" s="49" customFormat="1" ht="14.15" customHeight="1">
      <c r="A1546" s="45"/>
      <c r="B1546" s="44" t="s">
        <v>157</v>
      </c>
      <c r="C1546" s="50"/>
      <c r="D1546" s="10" t="s">
        <v>29</v>
      </c>
      <c r="E1546" s="11"/>
      <c r="F1546" s="11" t="s">
        <v>18</v>
      </c>
      <c r="G1546" s="13"/>
      <c r="H1546" s="45" t="s">
        <v>16</v>
      </c>
      <c r="I1546" s="47"/>
      <c r="J1546" s="12" t="s">
        <v>4394</v>
      </c>
      <c r="K1546" s="13" t="s">
        <v>8346</v>
      </c>
      <c r="L1546" s="99" t="str">
        <f t="shared" si="95"/>
        <v>W225D.7</v>
      </c>
      <c r="M1546" s="45"/>
      <c r="N1546" s="47"/>
      <c r="O1546" s="47"/>
      <c r="P1546" s="47"/>
      <c r="Q1546" s="45"/>
      <c r="R1546" s="45"/>
      <c r="S1546" s="48"/>
    </row>
    <row r="1547" spans="1:19" s="49" customFormat="1" ht="14.15" customHeight="1">
      <c r="A1547" s="45"/>
      <c r="B1547" s="44" t="s">
        <v>157</v>
      </c>
      <c r="C1547" s="50"/>
      <c r="D1547" s="10" t="s">
        <v>29</v>
      </c>
      <c r="E1547" s="11"/>
      <c r="F1547" s="11" t="s">
        <v>18</v>
      </c>
      <c r="G1547" s="13"/>
      <c r="H1547" s="45" t="s">
        <v>16</v>
      </c>
      <c r="I1547" s="47"/>
      <c r="J1547" s="12" t="s">
        <v>4395</v>
      </c>
      <c r="K1547" s="13" t="s">
        <v>8347</v>
      </c>
      <c r="L1547" s="99" t="str">
        <f t="shared" si="95"/>
        <v>W225D.8</v>
      </c>
      <c r="M1547" s="45"/>
      <c r="N1547" s="47"/>
      <c r="O1547" s="47"/>
      <c r="P1547" s="47"/>
      <c r="Q1547" s="45"/>
      <c r="R1547" s="45"/>
      <c r="S1547" s="48"/>
    </row>
    <row r="1548" spans="1:19" s="49" customFormat="1" ht="14.15" customHeight="1">
      <c r="A1548" s="45"/>
      <c r="B1548" s="44" t="s">
        <v>157</v>
      </c>
      <c r="C1548" s="50"/>
      <c r="D1548" s="10" t="s">
        <v>29</v>
      </c>
      <c r="E1548" s="11"/>
      <c r="F1548" s="11" t="s">
        <v>18</v>
      </c>
      <c r="G1548" s="13"/>
      <c r="H1548" s="45" t="s">
        <v>16</v>
      </c>
      <c r="I1548" s="47"/>
      <c r="J1548" s="12" t="s">
        <v>4396</v>
      </c>
      <c r="K1548" s="13" t="s">
        <v>8348</v>
      </c>
      <c r="L1548" s="99" t="str">
        <f t="shared" si="95"/>
        <v>W225D.9</v>
      </c>
      <c r="M1548" s="45"/>
      <c r="N1548" s="47"/>
      <c r="O1548" s="47"/>
      <c r="P1548" s="47"/>
      <c r="Q1548" s="45"/>
      <c r="R1548" s="45"/>
      <c r="S1548" s="48"/>
    </row>
    <row r="1549" spans="1:19" s="49" customFormat="1" ht="14.15" customHeight="1">
      <c r="A1549" s="45"/>
      <c r="B1549" s="44" t="s">
        <v>157</v>
      </c>
      <c r="C1549" s="50"/>
      <c r="D1549" s="10" t="s">
        <v>29</v>
      </c>
      <c r="E1549" s="11"/>
      <c r="F1549" s="11" t="s">
        <v>18</v>
      </c>
      <c r="G1549" s="13"/>
      <c r="H1549" s="45" t="s">
        <v>16</v>
      </c>
      <c r="I1549" s="47"/>
      <c r="J1549" s="12" t="s">
        <v>4397</v>
      </c>
      <c r="K1549" s="13" t="s">
        <v>8349</v>
      </c>
      <c r="L1549" s="99" t="str">
        <f t="shared" si="95"/>
        <v>W225D.A</v>
      </c>
      <c r="M1549" s="13"/>
      <c r="N1549" s="47"/>
      <c r="O1549" s="47"/>
      <c r="P1549" s="47"/>
      <c r="Q1549" s="45"/>
      <c r="R1549" s="45"/>
      <c r="S1549" s="48"/>
    </row>
    <row r="1550" spans="1:19" s="49" customFormat="1" ht="14.15" customHeight="1">
      <c r="A1550" s="45"/>
      <c r="B1550" s="44" t="s">
        <v>157</v>
      </c>
      <c r="C1550" s="50"/>
      <c r="D1550" s="10" t="s">
        <v>29</v>
      </c>
      <c r="E1550" s="11"/>
      <c r="F1550" s="11" t="s">
        <v>18</v>
      </c>
      <c r="G1550" s="13"/>
      <c r="H1550" s="45" t="s">
        <v>16</v>
      </c>
      <c r="I1550" s="47"/>
      <c r="J1550" s="12" t="s">
        <v>4398</v>
      </c>
      <c r="K1550" s="13" t="s">
        <v>8350</v>
      </c>
      <c r="L1550" s="99" t="str">
        <f t="shared" si="95"/>
        <v>W225D.B</v>
      </c>
      <c r="M1550" s="13"/>
      <c r="N1550" s="47"/>
      <c r="O1550" s="47"/>
      <c r="P1550" s="47"/>
      <c r="Q1550" s="45"/>
      <c r="R1550" s="45"/>
      <c r="S1550" s="48"/>
    </row>
    <row r="1551" spans="1:19" s="49" customFormat="1" ht="14.15" customHeight="1">
      <c r="A1551" s="45"/>
      <c r="B1551" s="44" t="s">
        <v>157</v>
      </c>
      <c r="C1551" s="50"/>
      <c r="D1551" s="10" t="s">
        <v>29</v>
      </c>
      <c r="E1551" s="11"/>
      <c r="F1551" s="11" t="s">
        <v>18</v>
      </c>
      <c r="G1551" s="13"/>
      <c r="H1551" s="45" t="s">
        <v>16</v>
      </c>
      <c r="I1551" s="47"/>
      <c r="J1551" s="12" t="s">
        <v>4399</v>
      </c>
      <c r="K1551" s="13" t="s">
        <v>8351</v>
      </c>
      <c r="L1551" s="99" t="str">
        <f t="shared" si="95"/>
        <v>W225D.C</v>
      </c>
      <c r="M1551" s="13"/>
      <c r="N1551" s="47"/>
      <c r="O1551" s="47"/>
      <c r="P1551" s="47"/>
      <c r="Q1551" s="45"/>
      <c r="R1551" s="45"/>
      <c r="S1551" s="48"/>
    </row>
    <row r="1552" spans="1:19" s="49" customFormat="1" ht="14.15" customHeight="1">
      <c r="A1552" s="45"/>
      <c r="B1552" s="44" t="s">
        <v>157</v>
      </c>
      <c r="C1552" s="50"/>
      <c r="D1552" s="10" t="s">
        <v>29</v>
      </c>
      <c r="E1552" s="11"/>
      <c r="F1552" s="11" t="s">
        <v>18</v>
      </c>
      <c r="G1552" s="13"/>
      <c r="H1552" s="45" t="s">
        <v>16</v>
      </c>
      <c r="I1552" s="47"/>
      <c r="J1552" s="12" t="s">
        <v>4400</v>
      </c>
      <c r="K1552" s="13" t="s">
        <v>8352</v>
      </c>
      <c r="L1552" s="99" t="str">
        <f t="shared" si="95"/>
        <v>W225D.D</v>
      </c>
      <c r="M1552" s="13"/>
      <c r="N1552" s="47"/>
      <c r="O1552" s="47"/>
      <c r="P1552" s="47"/>
      <c r="Q1552" s="45"/>
      <c r="R1552" s="45"/>
      <c r="S1552" s="48"/>
    </row>
    <row r="1553" spans="1:19" s="49" customFormat="1" ht="14.15" customHeight="1">
      <c r="A1553" s="45"/>
      <c r="B1553" s="44" t="s">
        <v>157</v>
      </c>
      <c r="C1553" s="50"/>
      <c r="D1553" s="10" t="s">
        <v>29</v>
      </c>
      <c r="E1553" s="11"/>
      <c r="F1553" s="11" t="s">
        <v>18</v>
      </c>
      <c r="G1553" s="13"/>
      <c r="H1553" s="45" t="s">
        <v>16</v>
      </c>
      <c r="I1553" s="47"/>
      <c r="J1553" s="12" t="s">
        <v>4401</v>
      </c>
      <c r="K1553" s="13" t="s">
        <v>8353</v>
      </c>
      <c r="L1553" s="99" t="str">
        <f t="shared" si="95"/>
        <v>W225D.E</v>
      </c>
      <c r="M1553" s="45"/>
      <c r="N1553" s="47"/>
      <c r="O1553" s="47"/>
      <c r="P1553" s="47"/>
      <c r="Q1553" s="45"/>
      <c r="R1553" s="45"/>
      <c r="S1553" s="48"/>
    </row>
    <row r="1554" spans="1:19" s="49" customFormat="1" ht="14.15" customHeight="1">
      <c r="A1554" s="45"/>
      <c r="B1554" s="44" t="s">
        <v>157</v>
      </c>
      <c r="C1554" s="50"/>
      <c r="D1554" s="10" t="s">
        <v>29</v>
      </c>
      <c r="E1554" s="11"/>
      <c r="F1554" s="11" t="s">
        <v>18</v>
      </c>
      <c r="G1554" s="13"/>
      <c r="H1554" s="45" t="s">
        <v>16</v>
      </c>
      <c r="I1554" s="47"/>
      <c r="J1554" s="12" t="s">
        <v>4402</v>
      </c>
      <c r="K1554" s="13" t="s">
        <v>8354</v>
      </c>
      <c r="L1554" s="99" t="str">
        <f t="shared" si="95"/>
        <v>W225D.F</v>
      </c>
      <c r="M1554" s="45"/>
      <c r="N1554" s="47"/>
      <c r="O1554" s="47"/>
      <c r="P1554" s="47"/>
      <c r="Q1554" s="45"/>
      <c r="R1554" s="45"/>
      <c r="S1554" s="48"/>
    </row>
    <row r="1555" spans="1:19" s="49" customFormat="1" ht="14.15" customHeight="1">
      <c r="A1555" s="45"/>
      <c r="B1555" s="44" t="s">
        <v>157</v>
      </c>
      <c r="C1555" s="50"/>
      <c r="D1555" s="10" t="s">
        <v>29</v>
      </c>
      <c r="E1555" s="11"/>
      <c r="F1555" s="11" t="s">
        <v>18</v>
      </c>
      <c r="G1555" s="13"/>
      <c r="H1555" s="45" t="s">
        <v>16</v>
      </c>
      <c r="I1555" s="47"/>
      <c r="J1555" s="12" t="s">
        <v>4403</v>
      </c>
      <c r="K1555" s="13" t="s">
        <v>8355</v>
      </c>
      <c r="L1555" s="99" t="str">
        <f t="shared" si="95"/>
        <v>W225E.0</v>
      </c>
      <c r="M1555" s="13"/>
      <c r="N1555" s="47"/>
      <c r="O1555" s="47"/>
      <c r="P1555" s="47"/>
      <c r="Q1555" s="45"/>
      <c r="R1555" s="45"/>
      <c r="S1555" s="48"/>
    </row>
    <row r="1556" spans="1:19" s="49" customFormat="1" ht="14.15" customHeight="1">
      <c r="A1556" s="45"/>
      <c r="B1556" s="44" t="s">
        <v>157</v>
      </c>
      <c r="C1556" s="50"/>
      <c r="D1556" s="10" t="s">
        <v>29</v>
      </c>
      <c r="E1556" s="11"/>
      <c r="F1556" s="11" t="s">
        <v>18</v>
      </c>
      <c r="G1556" s="13"/>
      <c r="H1556" s="45" t="s">
        <v>16</v>
      </c>
      <c r="I1556" s="47"/>
      <c r="J1556" s="12" t="s">
        <v>4404</v>
      </c>
      <c r="K1556" s="13" t="s">
        <v>8356</v>
      </c>
      <c r="L1556" s="99" t="str">
        <f t="shared" si="95"/>
        <v>W225E.1</v>
      </c>
      <c r="M1556" s="13"/>
      <c r="N1556" s="47"/>
      <c r="O1556" s="47"/>
      <c r="P1556" s="47"/>
      <c r="Q1556" s="45"/>
      <c r="R1556" s="45"/>
      <c r="S1556" s="48"/>
    </row>
    <row r="1557" spans="1:19" s="49" customFormat="1" ht="14.15" customHeight="1">
      <c r="A1557" s="45"/>
      <c r="B1557" s="44" t="s">
        <v>157</v>
      </c>
      <c r="C1557" s="50"/>
      <c r="D1557" s="10" t="s">
        <v>29</v>
      </c>
      <c r="E1557" s="11"/>
      <c r="F1557" s="11" t="s">
        <v>18</v>
      </c>
      <c r="G1557" s="13"/>
      <c r="H1557" s="45" t="s">
        <v>16</v>
      </c>
      <c r="I1557" s="47"/>
      <c r="J1557" s="12" t="s">
        <v>4405</v>
      </c>
      <c r="K1557" s="13" t="s">
        <v>8357</v>
      </c>
      <c r="L1557" s="99" t="str">
        <f t="shared" si="95"/>
        <v>W225E.2</v>
      </c>
      <c r="M1557" s="13"/>
      <c r="N1557" s="47"/>
      <c r="O1557" s="47"/>
      <c r="P1557" s="47"/>
      <c r="Q1557" s="45"/>
      <c r="R1557" s="45"/>
      <c r="S1557" s="48"/>
    </row>
    <row r="1558" spans="1:19" s="49" customFormat="1" ht="14.15" customHeight="1">
      <c r="A1558" s="45"/>
      <c r="B1558" s="44" t="s">
        <v>157</v>
      </c>
      <c r="C1558" s="50"/>
      <c r="D1558" s="10" t="s">
        <v>29</v>
      </c>
      <c r="E1558" s="11"/>
      <c r="F1558" s="11" t="s">
        <v>18</v>
      </c>
      <c r="G1558" s="13"/>
      <c r="H1558" s="45" t="s">
        <v>16</v>
      </c>
      <c r="I1558" s="47"/>
      <c r="J1558" s="12" t="s">
        <v>4406</v>
      </c>
      <c r="K1558" s="13" t="s">
        <v>8358</v>
      </c>
      <c r="L1558" s="99" t="str">
        <f t="shared" si="95"/>
        <v>W225E.3</v>
      </c>
      <c r="M1558" s="13"/>
      <c r="N1558" s="47"/>
      <c r="O1558" s="47"/>
      <c r="P1558" s="47"/>
      <c r="Q1558" s="45"/>
      <c r="R1558" s="45"/>
      <c r="S1558" s="48"/>
    </row>
    <row r="1559" spans="1:19" s="49" customFormat="1" ht="14.15" customHeight="1">
      <c r="A1559" s="45"/>
      <c r="B1559" s="44" t="s">
        <v>157</v>
      </c>
      <c r="C1559" s="50"/>
      <c r="D1559" s="10" t="s">
        <v>29</v>
      </c>
      <c r="E1559" s="11"/>
      <c r="F1559" s="11" t="s">
        <v>18</v>
      </c>
      <c r="G1559" s="13"/>
      <c r="H1559" s="45" t="s">
        <v>16</v>
      </c>
      <c r="I1559" s="47"/>
      <c r="J1559" s="12" t="s">
        <v>4407</v>
      </c>
      <c r="K1559" s="13" t="s">
        <v>8359</v>
      </c>
      <c r="L1559" s="99" t="str">
        <f t="shared" si="95"/>
        <v>W225E.4</v>
      </c>
      <c r="M1559" s="45"/>
      <c r="N1559" s="47"/>
      <c r="O1559" s="47"/>
      <c r="P1559" s="47"/>
      <c r="Q1559" s="45"/>
      <c r="R1559" s="45"/>
      <c r="S1559" s="48"/>
    </row>
    <row r="1560" spans="1:19" s="49" customFormat="1" ht="14.15" customHeight="1">
      <c r="A1560" s="45"/>
      <c r="B1560" s="44" t="s">
        <v>157</v>
      </c>
      <c r="C1560" s="50"/>
      <c r="D1560" s="10" t="s">
        <v>29</v>
      </c>
      <c r="E1560" s="11"/>
      <c r="F1560" s="11" t="s">
        <v>18</v>
      </c>
      <c r="G1560" s="13"/>
      <c r="H1560" s="45" t="s">
        <v>16</v>
      </c>
      <c r="I1560" s="47"/>
      <c r="J1560" s="12" t="s">
        <v>3334</v>
      </c>
      <c r="K1560" s="13" t="s">
        <v>8360</v>
      </c>
      <c r="L1560" s="99" t="str">
        <f t="shared" si="95"/>
        <v>W225E.5</v>
      </c>
      <c r="M1560" s="13"/>
      <c r="N1560" s="47"/>
      <c r="O1560" s="47"/>
      <c r="P1560" s="47"/>
      <c r="Q1560" s="45"/>
      <c r="R1560" s="45"/>
      <c r="S1560" s="48"/>
    </row>
    <row r="1561" spans="1:19" s="49" customFormat="1" ht="14.15" customHeight="1">
      <c r="A1561" s="45"/>
      <c r="B1561" s="44" t="s">
        <v>157</v>
      </c>
      <c r="C1561" s="50"/>
      <c r="D1561" s="10" t="s">
        <v>29</v>
      </c>
      <c r="E1561" s="11"/>
      <c r="F1561" s="11" t="s">
        <v>18</v>
      </c>
      <c r="G1561" s="13"/>
      <c r="H1561" s="45" t="s">
        <v>16</v>
      </c>
      <c r="I1561" s="47"/>
      <c r="J1561" s="12" t="s">
        <v>3335</v>
      </c>
      <c r="K1561" s="13" t="s">
        <v>8361</v>
      </c>
      <c r="L1561" s="99" t="str">
        <f t="shared" si="95"/>
        <v>W225E.6</v>
      </c>
      <c r="M1561" s="13"/>
      <c r="N1561" s="47"/>
      <c r="O1561" s="47"/>
      <c r="P1561" s="47"/>
      <c r="Q1561" s="45"/>
      <c r="R1561" s="45"/>
      <c r="S1561" s="48"/>
    </row>
    <row r="1562" spans="1:19" s="49" customFormat="1" ht="14.15" customHeight="1">
      <c r="A1562" s="45"/>
      <c r="B1562" s="44" t="s">
        <v>157</v>
      </c>
      <c r="C1562" s="50"/>
      <c r="D1562" s="10" t="s">
        <v>29</v>
      </c>
      <c r="E1562" s="11"/>
      <c r="F1562" s="11" t="s">
        <v>18</v>
      </c>
      <c r="G1562" s="13"/>
      <c r="H1562" s="45" t="s">
        <v>16</v>
      </c>
      <c r="I1562" s="47"/>
      <c r="J1562" s="12" t="s">
        <v>3336</v>
      </c>
      <c r="K1562" s="13" t="s">
        <v>8362</v>
      </c>
      <c r="L1562" s="99" t="str">
        <f t="shared" si="95"/>
        <v>W225E.7</v>
      </c>
      <c r="M1562" s="13"/>
      <c r="N1562" s="47"/>
      <c r="O1562" s="47"/>
      <c r="P1562" s="47"/>
      <c r="Q1562" s="45"/>
      <c r="R1562" s="45"/>
      <c r="S1562" s="48"/>
    </row>
    <row r="1563" spans="1:19" s="49" customFormat="1" ht="14.15" customHeight="1">
      <c r="A1563" s="45"/>
      <c r="B1563" s="44" t="s">
        <v>157</v>
      </c>
      <c r="C1563" s="50"/>
      <c r="D1563" s="10" t="s">
        <v>29</v>
      </c>
      <c r="E1563" s="11"/>
      <c r="F1563" s="11" t="s">
        <v>18</v>
      </c>
      <c r="G1563" s="13"/>
      <c r="H1563" s="45" t="s">
        <v>16</v>
      </c>
      <c r="I1563" s="47"/>
      <c r="J1563" s="12" t="s">
        <v>3337</v>
      </c>
      <c r="K1563" s="13" t="s">
        <v>8363</v>
      </c>
      <c r="L1563" s="99" t="str">
        <f t="shared" si="95"/>
        <v>W225E.8</v>
      </c>
      <c r="M1563" s="45"/>
      <c r="N1563" s="47"/>
      <c r="O1563" s="47"/>
      <c r="P1563" s="47"/>
      <c r="Q1563" s="45"/>
      <c r="R1563" s="45"/>
      <c r="S1563" s="48"/>
    </row>
    <row r="1564" spans="1:19" s="49" customFormat="1" ht="14.15" customHeight="1">
      <c r="A1564" s="45"/>
      <c r="B1564" s="44" t="s">
        <v>157</v>
      </c>
      <c r="C1564" s="50"/>
      <c r="D1564" s="10" t="s">
        <v>29</v>
      </c>
      <c r="E1564" s="11"/>
      <c r="F1564" s="11" t="s">
        <v>18</v>
      </c>
      <c r="G1564" s="13"/>
      <c r="H1564" s="45" t="s">
        <v>16</v>
      </c>
      <c r="I1564" s="47"/>
      <c r="J1564" s="12" t="s">
        <v>3338</v>
      </c>
      <c r="K1564" s="13" t="s">
        <v>8364</v>
      </c>
      <c r="L1564" s="99" t="str">
        <f t="shared" si="95"/>
        <v>W225E.9</v>
      </c>
      <c r="M1564" s="13"/>
      <c r="N1564" s="47"/>
      <c r="O1564" s="47"/>
      <c r="P1564" s="47"/>
      <c r="Q1564" s="45"/>
      <c r="R1564" s="45"/>
      <c r="S1564" s="48"/>
    </row>
    <row r="1565" spans="1:19" s="49" customFormat="1" ht="14.15" customHeight="1">
      <c r="A1565" s="45"/>
      <c r="B1565" s="44" t="s">
        <v>157</v>
      </c>
      <c r="C1565" s="50"/>
      <c r="D1565" s="10" t="s">
        <v>29</v>
      </c>
      <c r="E1565" s="11"/>
      <c r="F1565" s="11" t="s">
        <v>18</v>
      </c>
      <c r="G1565" s="13"/>
      <c r="H1565" s="45" t="s">
        <v>16</v>
      </c>
      <c r="I1565" s="47"/>
      <c r="J1565" s="12" t="s">
        <v>3339</v>
      </c>
      <c r="K1565" s="13" t="s">
        <v>8365</v>
      </c>
      <c r="L1565" s="99" t="str">
        <f t="shared" si="95"/>
        <v>W225E.A</v>
      </c>
      <c r="M1565" s="45"/>
      <c r="N1565" s="47"/>
      <c r="O1565" s="47"/>
      <c r="P1565" s="47"/>
      <c r="Q1565" s="45"/>
      <c r="R1565" s="45"/>
      <c r="S1565" s="48"/>
    </row>
    <row r="1566" spans="1:19" s="49" customFormat="1" ht="14.15" customHeight="1">
      <c r="A1566" s="45"/>
      <c r="B1566" s="44" t="s">
        <v>157</v>
      </c>
      <c r="C1566" s="50"/>
      <c r="D1566" s="10" t="s">
        <v>29</v>
      </c>
      <c r="E1566" s="11"/>
      <c r="F1566" s="11" t="s">
        <v>18</v>
      </c>
      <c r="G1566" s="13"/>
      <c r="H1566" s="45" t="s">
        <v>16</v>
      </c>
      <c r="I1566" s="47"/>
      <c r="J1566" s="12" t="s">
        <v>3340</v>
      </c>
      <c r="K1566" s="13" t="s">
        <v>8366</v>
      </c>
      <c r="L1566" s="99" t="str">
        <f t="shared" si="95"/>
        <v>W225E.B</v>
      </c>
      <c r="M1566" s="45"/>
      <c r="N1566" s="47"/>
      <c r="O1566" s="47"/>
      <c r="P1566" s="47"/>
      <c r="Q1566" s="45"/>
      <c r="R1566" s="45"/>
      <c r="S1566" s="48"/>
    </row>
    <row r="1567" spans="1:19" s="49" customFormat="1" ht="14.15" customHeight="1">
      <c r="A1567" s="45"/>
      <c r="B1567" s="44" t="s">
        <v>157</v>
      </c>
      <c r="C1567" s="50"/>
      <c r="D1567" s="10" t="s">
        <v>29</v>
      </c>
      <c r="E1567" s="11"/>
      <c r="F1567" s="11" t="s">
        <v>18</v>
      </c>
      <c r="G1567" s="13"/>
      <c r="H1567" s="45" t="s">
        <v>16</v>
      </c>
      <c r="I1567" s="47"/>
      <c r="J1567" s="12" t="s">
        <v>3341</v>
      </c>
      <c r="K1567" s="13" t="s">
        <v>8367</v>
      </c>
      <c r="L1567" s="99" t="str">
        <f t="shared" si="95"/>
        <v>W225E.C</v>
      </c>
      <c r="M1567" s="45"/>
      <c r="N1567" s="47"/>
      <c r="O1567" s="47"/>
      <c r="P1567" s="47"/>
      <c r="Q1567" s="45"/>
      <c r="R1567" s="45"/>
      <c r="S1567" s="48"/>
    </row>
    <row r="1568" spans="1:19" s="49" customFormat="1" ht="14.15" customHeight="1">
      <c r="A1568" s="45"/>
      <c r="B1568" s="44" t="s">
        <v>157</v>
      </c>
      <c r="C1568" s="50"/>
      <c r="D1568" s="10" t="s">
        <v>29</v>
      </c>
      <c r="E1568" s="11"/>
      <c r="F1568" s="11" t="s">
        <v>18</v>
      </c>
      <c r="G1568" s="13"/>
      <c r="H1568" s="45" t="s">
        <v>16</v>
      </c>
      <c r="I1568" s="47"/>
      <c r="J1568" s="12" t="s">
        <v>3342</v>
      </c>
      <c r="K1568" s="13" t="s">
        <v>8368</v>
      </c>
      <c r="L1568" s="99" t="str">
        <f t="shared" si="95"/>
        <v>W225E.D</v>
      </c>
      <c r="M1568" s="45"/>
      <c r="N1568" s="47"/>
      <c r="O1568" s="47"/>
      <c r="P1568" s="47"/>
      <c r="Q1568" s="45"/>
      <c r="R1568" s="45"/>
      <c r="S1568" s="48"/>
    </row>
    <row r="1569" spans="1:19" s="49" customFormat="1" ht="14.15" customHeight="1">
      <c r="A1569" s="45"/>
      <c r="B1569" s="44" t="s">
        <v>157</v>
      </c>
      <c r="C1569" s="50"/>
      <c r="D1569" s="10" t="s">
        <v>29</v>
      </c>
      <c r="E1569" s="11"/>
      <c r="F1569" s="11" t="s">
        <v>18</v>
      </c>
      <c r="G1569" s="13"/>
      <c r="H1569" s="45" t="s">
        <v>16</v>
      </c>
      <c r="I1569" s="47"/>
      <c r="J1569" s="12" t="s">
        <v>3343</v>
      </c>
      <c r="K1569" s="13" t="s">
        <v>8369</v>
      </c>
      <c r="L1569" s="99" t="str">
        <f t="shared" si="95"/>
        <v>W225E.E</v>
      </c>
      <c r="M1569" s="13"/>
      <c r="N1569" s="47"/>
      <c r="O1569" s="47"/>
      <c r="P1569" s="47"/>
      <c r="Q1569" s="45"/>
      <c r="R1569" s="45"/>
      <c r="S1569" s="48"/>
    </row>
    <row r="1570" spans="1:19" s="49" customFormat="1" ht="14.15" customHeight="1">
      <c r="A1570" s="45"/>
      <c r="B1570" s="44" t="s">
        <v>157</v>
      </c>
      <c r="C1570" s="50"/>
      <c r="D1570" s="10" t="s">
        <v>29</v>
      </c>
      <c r="E1570" s="11"/>
      <c r="F1570" s="11" t="s">
        <v>18</v>
      </c>
      <c r="G1570" s="13"/>
      <c r="H1570" s="45" t="s">
        <v>16</v>
      </c>
      <c r="I1570" s="47"/>
      <c r="J1570" s="12" t="s">
        <v>4408</v>
      </c>
      <c r="K1570" s="13" t="s">
        <v>8370</v>
      </c>
      <c r="L1570" s="99" t="str">
        <f t="shared" si="95"/>
        <v>W225E.F</v>
      </c>
      <c r="M1570" s="13"/>
      <c r="N1570" s="47"/>
      <c r="O1570" s="47"/>
      <c r="P1570" s="47"/>
      <c r="Q1570" s="45"/>
      <c r="R1570" s="45"/>
      <c r="S1570" s="48"/>
    </row>
    <row r="1571" spans="1:19" s="49" customFormat="1" ht="14.15" customHeight="1">
      <c r="A1571" s="45"/>
      <c r="B1571" s="44" t="s">
        <v>157</v>
      </c>
      <c r="C1571" s="50"/>
      <c r="D1571" s="10" t="s">
        <v>29</v>
      </c>
      <c r="E1571" s="11"/>
      <c r="F1571" s="11" t="s">
        <v>18</v>
      </c>
      <c r="G1571" s="13"/>
      <c r="H1571" s="45" t="s">
        <v>16</v>
      </c>
      <c r="I1571" s="47"/>
      <c r="J1571" s="12" t="s">
        <v>4409</v>
      </c>
      <c r="K1571" s="13" t="s">
        <v>8371</v>
      </c>
      <c r="L1571" s="99" t="str">
        <f t="shared" si="95"/>
        <v>W225F.0</v>
      </c>
      <c r="M1571" s="13"/>
      <c r="N1571" s="47"/>
      <c r="O1571" s="47"/>
      <c r="P1571" s="47"/>
      <c r="Q1571" s="45"/>
      <c r="R1571" s="45"/>
      <c r="S1571" s="48"/>
    </row>
    <row r="1572" spans="1:19" s="49" customFormat="1" ht="14.15" customHeight="1">
      <c r="A1572" s="45"/>
      <c r="B1572" s="44" t="s">
        <v>157</v>
      </c>
      <c r="C1572" s="50"/>
      <c r="D1572" s="10" t="s">
        <v>29</v>
      </c>
      <c r="E1572" s="11"/>
      <c r="F1572" s="11" t="s">
        <v>18</v>
      </c>
      <c r="G1572" s="13"/>
      <c r="H1572" s="45" t="s">
        <v>16</v>
      </c>
      <c r="I1572" s="47"/>
      <c r="J1572" s="12" t="s">
        <v>4410</v>
      </c>
      <c r="K1572" s="13" t="s">
        <v>8372</v>
      </c>
      <c r="L1572" s="99" t="str">
        <f t="shared" si="95"/>
        <v>W225F.1</v>
      </c>
      <c r="M1572" s="13"/>
      <c r="N1572" s="47"/>
      <c r="O1572" s="47"/>
      <c r="P1572" s="47"/>
      <c r="Q1572" s="45"/>
      <c r="R1572" s="45"/>
      <c r="S1572" s="48"/>
    </row>
    <row r="1573" spans="1:19" s="49" customFormat="1" ht="14.15" customHeight="1">
      <c r="A1573" s="45"/>
      <c r="B1573" s="44" t="s">
        <v>157</v>
      </c>
      <c r="C1573" s="50"/>
      <c r="D1573" s="10" t="s">
        <v>29</v>
      </c>
      <c r="E1573" s="11"/>
      <c r="F1573" s="11" t="s">
        <v>18</v>
      </c>
      <c r="G1573" s="13"/>
      <c r="H1573" s="45" t="s">
        <v>16</v>
      </c>
      <c r="I1573" s="47"/>
      <c r="J1573" s="12" t="s">
        <v>4411</v>
      </c>
      <c r="K1573" s="13" t="s">
        <v>8373</v>
      </c>
      <c r="L1573" s="99" t="str">
        <f t="shared" si="95"/>
        <v>W225F.2</v>
      </c>
      <c r="M1573" s="45"/>
      <c r="N1573" s="47"/>
      <c r="O1573" s="47"/>
      <c r="P1573" s="47"/>
      <c r="Q1573" s="45"/>
      <c r="R1573" s="45"/>
      <c r="S1573" s="48"/>
    </row>
    <row r="1574" spans="1:19" s="49" customFormat="1" ht="14.15" customHeight="1">
      <c r="A1574" s="45"/>
      <c r="B1574" s="44" t="s">
        <v>157</v>
      </c>
      <c r="C1574" s="50"/>
      <c r="D1574" s="10" t="s">
        <v>29</v>
      </c>
      <c r="E1574" s="11"/>
      <c r="F1574" s="11" t="s">
        <v>18</v>
      </c>
      <c r="G1574" s="13"/>
      <c r="H1574" s="45" t="s">
        <v>16</v>
      </c>
      <c r="I1574" s="47"/>
      <c r="J1574" s="12" t="s">
        <v>4412</v>
      </c>
      <c r="K1574" s="13" t="s">
        <v>8374</v>
      </c>
      <c r="L1574" s="99" t="str">
        <f t="shared" si="95"/>
        <v>W225F.3</v>
      </c>
      <c r="M1574" s="45"/>
      <c r="N1574" s="47"/>
      <c r="O1574" s="47"/>
      <c r="P1574" s="47"/>
      <c r="Q1574" s="45"/>
      <c r="R1574" s="45"/>
      <c r="S1574" s="48"/>
    </row>
    <row r="1575" spans="1:19" s="49" customFormat="1" ht="14.15" customHeight="1">
      <c r="A1575" s="45"/>
      <c r="B1575" s="44" t="s">
        <v>157</v>
      </c>
      <c r="C1575" s="50"/>
      <c r="D1575" s="10" t="s">
        <v>29</v>
      </c>
      <c r="E1575" s="11"/>
      <c r="F1575" s="11" t="s">
        <v>18</v>
      </c>
      <c r="G1575" s="13"/>
      <c r="H1575" s="45" t="s">
        <v>16</v>
      </c>
      <c r="I1575" s="47"/>
      <c r="J1575" s="12" t="s">
        <v>4413</v>
      </c>
      <c r="K1575" s="13" t="s">
        <v>8375</v>
      </c>
      <c r="L1575" s="99" t="str">
        <f t="shared" si="95"/>
        <v>W225F.4</v>
      </c>
      <c r="M1575" s="45"/>
      <c r="N1575" s="47"/>
      <c r="O1575" s="47"/>
      <c r="P1575" s="47"/>
      <c r="Q1575" s="45"/>
      <c r="R1575" s="45"/>
      <c r="S1575" s="48"/>
    </row>
    <row r="1576" spans="1:19" s="49" customFormat="1" ht="14.15" customHeight="1">
      <c r="A1576" s="45"/>
      <c r="B1576" s="44" t="s">
        <v>157</v>
      </c>
      <c r="C1576" s="50"/>
      <c r="D1576" s="10" t="s">
        <v>29</v>
      </c>
      <c r="E1576" s="11"/>
      <c r="F1576" s="11" t="s">
        <v>18</v>
      </c>
      <c r="G1576" s="13"/>
      <c r="H1576" s="45" t="s">
        <v>16</v>
      </c>
      <c r="I1576" s="47"/>
      <c r="J1576" s="12" t="s">
        <v>4414</v>
      </c>
      <c r="K1576" s="13" t="s">
        <v>8376</v>
      </c>
      <c r="L1576" s="99" t="str">
        <f t="shared" si="95"/>
        <v>W225F.5</v>
      </c>
      <c r="M1576" s="45"/>
      <c r="N1576" s="47"/>
      <c r="O1576" s="47"/>
      <c r="P1576" s="47"/>
      <c r="Q1576" s="45"/>
      <c r="R1576" s="45"/>
      <c r="S1576" s="48"/>
    </row>
    <row r="1577" spans="1:19" s="49" customFormat="1" ht="14.15" customHeight="1">
      <c r="A1577" s="45"/>
      <c r="B1577" s="44" t="s">
        <v>157</v>
      </c>
      <c r="C1577" s="50"/>
      <c r="D1577" s="10" t="s">
        <v>29</v>
      </c>
      <c r="E1577" s="11"/>
      <c r="F1577" s="11" t="s">
        <v>18</v>
      </c>
      <c r="G1577" s="13"/>
      <c r="H1577" s="45" t="s">
        <v>16</v>
      </c>
      <c r="I1577" s="47"/>
      <c r="J1577" s="12" t="s">
        <v>4415</v>
      </c>
      <c r="K1577" s="13" t="s">
        <v>8377</v>
      </c>
      <c r="L1577" s="99" t="str">
        <f t="shared" si="95"/>
        <v>W225F.6</v>
      </c>
      <c r="M1577" s="45"/>
      <c r="N1577" s="47"/>
      <c r="O1577" s="47"/>
      <c r="P1577" s="47"/>
      <c r="Q1577" s="45"/>
      <c r="R1577" s="45"/>
      <c r="S1577" s="48"/>
    </row>
    <row r="1578" spans="1:19" s="49" customFormat="1" ht="14.15" customHeight="1">
      <c r="A1578" s="45"/>
      <c r="B1578" s="44" t="s">
        <v>157</v>
      </c>
      <c r="C1578" s="50"/>
      <c r="D1578" s="10" t="s">
        <v>29</v>
      </c>
      <c r="E1578" s="11"/>
      <c r="F1578" s="11" t="s">
        <v>18</v>
      </c>
      <c r="G1578" s="13"/>
      <c r="H1578" s="45" t="s">
        <v>16</v>
      </c>
      <c r="I1578" s="47"/>
      <c r="J1578" s="12" t="s">
        <v>4416</v>
      </c>
      <c r="K1578" s="13" t="s">
        <v>8378</v>
      </c>
      <c r="L1578" s="99" t="str">
        <f t="shared" si="95"/>
        <v>W225F.7</v>
      </c>
      <c r="M1578" s="45"/>
      <c r="N1578" s="47"/>
      <c r="O1578" s="47"/>
      <c r="P1578" s="47"/>
      <c r="Q1578" s="45"/>
      <c r="R1578" s="45"/>
      <c r="S1578" s="48"/>
    </row>
    <row r="1579" spans="1:19" s="49" customFormat="1" ht="14.15" customHeight="1">
      <c r="A1579" s="45"/>
      <c r="B1579" s="44" t="s">
        <v>157</v>
      </c>
      <c r="C1579" s="50"/>
      <c r="D1579" s="10" t="s">
        <v>29</v>
      </c>
      <c r="E1579" s="11"/>
      <c r="F1579" s="11" t="s">
        <v>18</v>
      </c>
      <c r="G1579" s="13"/>
      <c r="H1579" s="45" t="s">
        <v>16</v>
      </c>
      <c r="I1579" s="47"/>
      <c r="J1579" s="12" t="s">
        <v>4417</v>
      </c>
      <c r="K1579" s="13" t="s">
        <v>8379</v>
      </c>
      <c r="L1579" s="99" t="str">
        <f t="shared" si="95"/>
        <v>W225F.8</v>
      </c>
      <c r="M1579" s="45"/>
      <c r="N1579" s="47"/>
      <c r="O1579" s="47"/>
      <c r="P1579" s="47"/>
      <c r="Q1579" s="45"/>
      <c r="R1579" s="45"/>
      <c r="S1579" s="48"/>
    </row>
    <row r="1580" spans="1:19" s="49" customFormat="1" ht="14.15" customHeight="1">
      <c r="A1580" s="45"/>
      <c r="B1580" s="44" t="s">
        <v>157</v>
      </c>
      <c r="C1580" s="50"/>
      <c r="D1580" s="10" t="s">
        <v>29</v>
      </c>
      <c r="E1580" s="11"/>
      <c r="F1580" s="11" t="s">
        <v>18</v>
      </c>
      <c r="G1580" s="13"/>
      <c r="H1580" s="45" t="s">
        <v>16</v>
      </c>
      <c r="I1580" s="47"/>
      <c r="J1580" s="12" t="s">
        <v>4418</v>
      </c>
      <c r="K1580" s="13" t="s">
        <v>8380</v>
      </c>
      <c r="L1580" s="99" t="str">
        <f t="shared" si="95"/>
        <v>W225F.9</v>
      </c>
      <c r="M1580" s="13"/>
      <c r="N1580" s="47"/>
      <c r="O1580" s="47"/>
      <c r="P1580" s="47"/>
      <c r="Q1580" s="45"/>
      <c r="R1580" s="45"/>
      <c r="S1580" s="48"/>
    </row>
    <row r="1581" spans="1:19" s="49" customFormat="1" ht="14.15" customHeight="1">
      <c r="A1581" s="45"/>
      <c r="B1581" s="44" t="s">
        <v>157</v>
      </c>
      <c r="C1581" s="50"/>
      <c r="D1581" s="10" t="s">
        <v>29</v>
      </c>
      <c r="E1581" s="11"/>
      <c r="F1581" s="11" t="s">
        <v>18</v>
      </c>
      <c r="G1581" s="13"/>
      <c r="H1581" s="45" t="s">
        <v>16</v>
      </c>
      <c r="I1581" s="47"/>
      <c r="J1581" s="12" t="s">
        <v>4419</v>
      </c>
      <c r="K1581" s="13" t="s">
        <v>8381</v>
      </c>
      <c r="L1581" s="99" t="str">
        <f t="shared" si="95"/>
        <v>W225F.A</v>
      </c>
      <c r="M1581" s="13"/>
      <c r="N1581" s="47"/>
      <c r="O1581" s="47"/>
      <c r="P1581" s="47"/>
      <c r="Q1581" s="45"/>
      <c r="R1581" s="45"/>
      <c r="S1581" s="48"/>
    </row>
    <row r="1582" spans="1:19" s="49" customFormat="1" ht="14.15" customHeight="1">
      <c r="A1582" s="45"/>
      <c r="B1582" s="44" t="s">
        <v>157</v>
      </c>
      <c r="C1582" s="50"/>
      <c r="D1582" s="10" t="s">
        <v>29</v>
      </c>
      <c r="E1582" s="11"/>
      <c r="F1582" s="11" t="s">
        <v>18</v>
      </c>
      <c r="G1582" s="13"/>
      <c r="H1582" s="45" t="s">
        <v>16</v>
      </c>
      <c r="I1582" s="47"/>
      <c r="J1582" s="12" t="s">
        <v>4420</v>
      </c>
      <c r="K1582" s="13" t="s">
        <v>8382</v>
      </c>
      <c r="L1582" s="99" t="str">
        <f t="shared" si="95"/>
        <v>W225F.B</v>
      </c>
      <c r="M1582" s="13"/>
      <c r="N1582" s="47"/>
      <c r="O1582" s="47"/>
      <c r="P1582" s="47"/>
      <c r="Q1582" s="45"/>
      <c r="R1582" s="45"/>
      <c r="S1582" s="48"/>
    </row>
    <row r="1583" spans="1:19" s="49" customFormat="1" ht="14.15" customHeight="1">
      <c r="A1583" s="45"/>
      <c r="B1583" s="44" t="s">
        <v>157</v>
      </c>
      <c r="C1583" s="50"/>
      <c r="D1583" s="10" t="s">
        <v>29</v>
      </c>
      <c r="E1583" s="11"/>
      <c r="F1583" s="11" t="s">
        <v>18</v>
      </c>
      <c r="G1583" s="13"/>
      <c r="H1583" s="45" t="s">
        <v>16</v>
      </c>
      <c r="I1583" s="47"/>
      <c r="J1583" s="12" t="s">
        <v>4421</v>
      </c>
      <c r="K1583" s="13" t="s">
        <v>8383</v>
      </c>
      <c r="L1583" s="99" t="str">
        <f t="shared" si="95"/>
        <v>W225F.C</v>
      </c>
      <c r="M1583" s="45"/>
      <c r="N1583" s="47"/>
      <c r="O1583" s="47"/>
      <c r="P1583" s="47"/>
      <c r="Q1583" s="45"/>
      <c r="R1583" s="45"/>
      <c r="S1583" s="48"/>
    </row>
    <row r="1584" spans="1:19" s="49" customFormat="1" ht="14.15" customHeight="1">
      <c r="A1584" s="45"/>
      <c r="B1584" s="44" t="s">
        <v>157</v>
      </c>
      <c r="C1584" s="50"/>
      <c r="D1584" s="10" t="s">
        <v>29</v>
      </c>
      <c r="E1584" s="11"/>
      <c r="F1584" s="11" t="s">
        <v>18</v>
      </c>
      <c r="G1584" s="13"/>
      <c r="H1584" s="45" t="s">
        <v>16</v>
      </c>
      <c r="I1584" s="47"/>
      <c r="J1584" s="12" t="s">
        <v>4422</v>
      </c>
      <c r="K1584" s="13" t="s">
        <v>8384</v>
      </c>
      <c r="L1584" s="99" t="str">
        <f t="shared" si="95"/>
        <v>W225F.D</v>
      </c>
      <c r="M1584" s="13"/>
      <c r="N1584" s="47"/>
      <c r="O1584" s="47"/>
      <c r="P1584" s="47"/>
      <c r="Q1584" s="45"/>
      <c r="R1584" s="45"/>
      <c r="S1584" s="48"/>
    </row>
    <row r="1585" spans="1:19" s="49" customFormat="1" ht="14.15" customHeight="1">
      <c r="A1585" s="45"/>
      <c r="B1585" s="44" t="s">
        <v>157</v>
      </c>
      <c r="C1585" s="50"/>
      <c r="D1585" s="10" t="s">
        <v>29</v>
      </c>
      <c r="E1585" s="11"/>
      <c r="F1585" s="11" t="s">
        <v>18</v>
      </c>
      <c r="G1585" s="13"/>
      <c r="H1585" s="45" t="s">
        <v>16</v>
      </c>
      <c r="I1585" s="47"/>
      <c r="J1585" s="12" t="s">
        <v>4423</v>
      </c>
      <c r="K1585" s="13" t="s">
        <v>8385</v>
      </c>
      <c r="L1585" s="99" t="str">
        <f t="shared" si="95"/>
        <v>W225F.E</v>
      </c>
      <c r="M1585" s="45"/>
      <c r="N1585" s="47"/>
      <c r="O1585" s="47"/>
      <c r="P1585" s="47"/>
      <c r="Q1585" s="45"/>
      <c r="R1585" s="45"/>
      <c r="S1585" s="48"/>
    </row>
    <row r="1586" spans="1:19" s="49" customFormat="1" ht="14.15" customHeight="1">
      <c r="A1586" s="45"/>
      <c r="B1586" s="44" t="s">
        <v>157</v>
      </c>
      <c r="C1586" s="50"/>
      <c r="D1586" s="10" t="s">
        <v>29</v>
      </c>
      <c r="E1586" s="11"/>
      <c r="F1586" s="11" t="s">
        <v>18</v>
      </c>
      <c r="G1586" s="13"/>
      <c r="H1586" s="45" t="s">
        <v>16</v>
      </c>
      <c r="I1586" s="47"/>
      <c r="J1586" s="12" t="s">
        <v>4424</v>
      </c>
      <c r="K1586" s="13" t="s">
        <v>8386</v>
      </c>
      <c r="L1586" s="99" t="str">
        <f t="shared" si="95"/>
        <v>W225F.F</v>
      </c>
      <c r="M1586" s="45"/>
      <c r="N1586" s="47"/>
      <c r="O1586" s="47"/>
      <c r="P1586" s="47"/>
      <c r="Q1586" s="45"/>
      <c r="R1586" s="45"/>
      <c r="S1586" s="48"/>
    </row>
    <row r="1587" spans="1:19" s="49" customFormat="1" ht="14.15" customHeight="1">
      <c r="A1587" s="45"/>
      <c r="B1587" s="44" t="s">
        <v>157</v>
      </c>
      <c r="C1587" s="50"/>
      <c r="D1587" s="10" t="s">
        <v>29</v>
      </c>
      <c r="E1587" s="11"/>
      <c r="F1587" s="11" t="s">
        <v>18</v>
      </c>
      <c r="G1587" s="13"/>
      <c r="H1587" s="45" t="s">
        <v>16</v>
      </c>
      <c r="I1587" s="47"/>
      <c r="J1587" s="12" t="s">
        <v>4425</v>
      </c>
      <c r="K1587" s="13" t="s">
        <v>8387</v>
      </c>
      <c r="L1587" s="99" t="str">
        <f t="shared" si="95"/>
        <v>W2260.0</v>
      </c>
      <c r="M1587" s="45"/>
      <c r="N1587" s="47"/>
      <c r="O1587" s="47"/>
      <c r="P1587" s="47"/>
      <c r="Q1587" s="45"/>
      <c r="R1587" s="45"/>
      <c r="S1587" s="48"/>
    </row>
    <row r="1588" spans="1:19" s="49" customFormat="1" ht="14.15" customHeight="1">
      <c r="A1588" s="45"/>
      <c r="B1588" s="44" t="s">
        <v>157</v>
      </c>
      <c r="C1588" s="50"/>
      <c r="D1588" s="10" t="s">
        <v>29</v>
      </c>
      <c r="E1588" s="11"/>
      <c r="F1588" s="11" t="s">
        <v>18</v>
      </c>
      <c r="G1588" s="13"/>
      <c r="H1588" s="45" t="s">
        <v>16</v>
      </c>
      <c r="I1588" s="47"/>
      <c r="J1588" s="12" t="s">
        <v>4426</v>
      </c>
      <c r="K1588" s="13" t="s">
        <v>8388</v>
      </c>
      <c r="L1588" s="99" t="str">
        <f t="shared" ref="L1588:L1651" si="96">"W"&amp;DEC2HEX(8704 + INT((ROW()-51)/16)) &amp; "." &amp; IF(MOD(ROW()-51,16)&lt;10,MOD(ROW()-51,16),CHAR(MOD(ROW()-51,16)+55))</f>
        <v>W2260.1</v>
      </c>
      <c r="M1588" s="45"/>
      <c r="N1588" s="47"/>
      <c r="O1588" s="47"/>
      <c r="P1588" s="47"/>
      <c r="Q1588" s="45"/>
      <c r="R1588" s="45"/>
      <c r="S1588" s="48"/>
    </row>
    <row r="1589" spans="1:19" s="49" customFormat="1" ht="14.15" customHeight="1">
      <c r="A1589" s="45"/>
      <c r="B1589" s="44" t="s">
        <v>157</v>
      </c>
      <c r="C1589" s="50"/>
      <c r="D1589" s="10" t="s">
        <v>29</v>
      </c>
      <c r="E1589" s="11"/>
      <c r="F1589" s="11" t="s">
        <v>18</v>
      </c>
      <c r="G1589" s="13"/>
      <c r="H1589" s="45" t="s">
        <v>16</v>
      </c>
      <c r="I1589" s="47"/>
      <c r="J1589" s="12" t="s">
        <v>4427</v>
      </c>
      <c r="K1589" s="13" t="s">
        <v>8389</v>
      </c>
      <c r="L1589" s="99" t="str">
        <f t="shared" si="96"/>
        <v>W2260.2</v>
      </c>
      <c r="M1589" s="13"/>
      <c r="N1589" s="47"/>
      <c r="O1589" s="47"/>
      <c r="P1589" s="47"/>
      <c r="Q1589" s="45"/>
      <c r="R1589" s="45"/>
      <c r="S1589" s="48"/>
    </row>
    <row r="1590" spans="1:19" s="49" customFormat="1" ht="14.15" customHeight="1">
      <c r="A1590" s="45"/>
      <c r="B1590" s="44" t="s">
        <v>157</v>
      </c>
      <c r="C1590" s="50"/>
      <c r="D1590" s="10" t="s">
        <v>29</v>
      </c>
      <c r="E1590" s="11"/>
      <c r="F1590" s="11" t="s">
        <v>18</v>
      </c>
      <c r="G1590" s="13"/>
      <c r="H1590" s="45" t="s">
        <v>16</v>
      </c>
      <c r="I1590" s="47"/>
      <c r="J1590" s="12" t="s">
        <v>4428</v>
      </c>
      <c r="K1590" s="13" t="s">
        <v>8390</v>
      </c>
      <c r="L1590" s="99" t="str">
        <f t="shared" si="96"/>
        <v>W2260.3</v>
      </c>
      <c r="M1590" s="13"/>
      <c r="N1590" s="47"/>
      <c r="O1590" s="47"/>
      <c r="P1590" s="47"/>
      <c r="Q1590" s="45"/>
      <c r="R1590" s="45"/>
      <c r="S1590" s="48"/>
    </row>
    <row r="1591" spans="1:19" s="49" customFormat="1" ht="14.15" customHeight="1">
      <c r="A1591" s="45"/>
      <c r="B1591" s="44" t="s">
        <v>157</v>
      </c>
      <c r="C1591" s="50"/>
      <c r="D1591" s="10" t="s">
        <v>29</v>
      </c>
      <c r="E1591" s="11"/>
      <c r="F1591" s="11" t="s">
        <v>18</v>
      </c>
      <c r="G1591" s="13"/>
      <c r="H1591" s="45" t="s">
        <v>16</v>
      </c>
      <c r="I1591" s="47"/>
      <c r="J1591" s="12" t="s">
        <v>4429</v>
      </c>
      <c r="K1591" s="13" t="s">
        <v>8391</v>
      </c>
      <c r="L1591" s="99" t="str">
        <f t="shared" si="96"/>
        <v>W2260.4</v>
      </c>
      <c r="M1591" s="13"/>
      <c r="N1591" s="47"/>
      <c r="O1591" s="47"/>
      <c r="P1591" s="47"/>
      <c r="Q1591" s="45"/>
      <c r="R1591" s="45"/>
      <c r="S1591" s="48"/>
    </row>
    <row r="1592" spans="1:19" s="49" customFormat="1" ht="14.15" customHeight="1">
      <c r="A1592" s="45"/>
      <c r="B1592" s="44" t="s">
        <v>157</v>
      </c>
      <c r="C1592" s="50"/>
      <c r="D1592" s="10" t="s">
        <v>29</v>
      </c>
      <c r="E1592" s="11"/>
      <c r="F1592" s="11" t="s">
        <v>18</v>
      </c>
      <c r="G1592" s="13"/>
      <c r="H1592" s="45" t="s">
        <v>16</v>
      </c>
      <c r="I1592" s="47"/>
      <c r="J1592" s="12" t="s">
        <v>4430</v>
      </c>
      <c r="K1592" s="13" t="s">
        <v>8392</v>
      </c>
      <c r="L1592" s="99" t="str">
        <f t="shared" si="96"/>
        <v>W2260.5</v>
      </c>
      <c r="M1592" s="13"/>
      <c r="N1592" s="47"/>
      <c r="O1592" s="47"/>
      <c r="P1592" s="47"/>
      <c r="Q1592" s="45"/>
      <c r="R1592" s="45"/>
      <c r="S1592" s="48"/>
    </row>
    <row r="1593" spans="1:19" s="49" customFormat="1" ht="14.15" customHeight="1">
      <c r="A1593" s="45"/>
      <c r="B1593" s="44" t="s">
        <v>157</v>
      </c>
      <c r="C1593" s="50"/>
      <c r="D1593" s="10" t="s">
        <v>29</v>
      </c>
      <c r="E1593" s="11"/>
      <c r="F1593" s="11" t="s">
        <v>18</v>
      </c>
      <c r="G1593" s="13"/>
      <c r="H1593" s="45" t="s">
        <v>16</v>
      </c>
      <c r="I1593" s="47"/>
      <c r="J1593" s="12" t="s">
        <v>4431</v>
      </c>
      <c r="K1593" s="13" t="s">
        <v>8393</v>
      </c>
      <c r="L1593" s="99" t="str">
        <f t="shared" si="96"/>
        <v>W2260.6</v>
      </c>
      <c r="M1593" s="13"/>
      <c r="N1593" s="47"/>
      <c r="O1593" s="47"/>
      <c r="P1593" s="47"/>
      <c r="Q1593" s="45"/>
      <c r="R1593" s="45"/>
      <c r="S1593" s="48"/>
    </row>
    <row r="1594" spans="1:19" s="49" customFormat="1" ht="14.15" customHeight="1">
      <c r="A1594" s="45"/>
      <c r="B1594" s="44" t="s">
        <v>157</v>
      </c>
      <c r="C1594" s="50"/>
      <c r="D1594" s="10" t="s">
        <v>29</v>
      </c>
      <c r="E1594" s="11"/>
      <c r="F1594" s="11" t="s">
        <v>18</v>
      </c>
      <c r="G1594" s="13"/>
      <c r="H1594" s="45" t="s">
        <v>16</v>
      </c>
      <c r="I1594" s="47"/>
      <c r="J1594" s="12" t="s">
        <v>4432</v>
      </c>
      <c r="K1594" s="13" t="s">
        <v>8394</v>
      </c>
      <c r="L1594" s="99" t="str">
        <f t="shared" si="96"/>
        <v>W2260.7</v>
      </c>
      <c r="M1594" s="13"/>
      <c r="N1594" s="47"/>
      <c r="O1594" s="47"/>
      <c r="P1594" s="47"/>
      <c r="Q1594" s="45"/>
      <c r="R1594" s="45"/>
      <c r="S1594" s="48"/>
    </row>
    <row r="1595" spans="1:19" s="49" customFormat="1" ht="14.15" customHeight="1">
      <c r="A1595" s="45"/>
      <c r="B1595" s="44" t="s">
        <v>157</v>
      </c>
      <c r="C1595" s="50"/>
      <c r="D1595" s="10" t="s">
        <v>29</v>
      </c>
      <c r="E1595" s="11"/>
      <c r="F1595" s="11" t="s">
        <v>18</v>
      </c>
      <c r="G1595" s="13"/>
      <c r="H1595" s="45" t="s">
        <v>16</v>
      </c>
      <c r="I1595" s="47"/>
      <c r="J1595" s="12" t="s">
        <v>4433</v>
      </c>
      <c r="K1595" s="13" t="s">
        <v>8395</v>
      </c>
      <c r="L1595" s="99" t="str">
        <f t="shared" si="96"/>
        <v>W2260.8</v>
      </c>
      <c r="M1595" s="13"/>
      <c r="N1595" s="47"/>
      <c r="O1595" s="47"/>
      <c r="P1595" s="47"/>
      <c r="Q1595" s="45"/>
      <c r="R1595" s="45"/>
      <c r="S1595" s="48"/>
    </row>
    <row r="1596" spans="1:19" s="49" customFormat="1" ht="14.15" customHeight="1">
      <c r="A1596" s="45"/>
      <c r="B1596" s="44" t="s">
        <v>157</v>
      </c>
      <c r="C1596" s="50"/>
      <c r="D1596" s="10" t="s">
        <v>29</v>
      </c>
      <c r="E1596" s="11"/>
      <c r="F1596" s="11" t="s">
        <v>18</v>
      </c>
      <c r="G1596" s="13"/>
      <c r="H1596" s="45" t="s">
        <v>16</v>
      </c>
      <c r="I1596" s="47"/>
      <c r="J1596" s="12" t="s">
        <v>4434</v>
      </c>
      <c r="K1596" s="13" t="s">
        <v>8396</v>
      </c>
      <c r="L1596" s="99" t="str">
        <f t="shared" si="96"/>
        <v>W2260.9</v>
      </c>
      <c r="M1596" s="45"/>
      <c r="N1596" s="47"/>
      <c r="O1596" s="47"/>
      <c r="P1596" s="47"/>
      <c r="Q1596" s="45"/>
      <c r="R1596" s="45"/>
      <c r="S1596" s="48"/>
    </row>
    <row r="1597" spans="1:19" s="49" customFormat="1" ht="14.15" customHeight="1">
      <c r="A1597" s="45"/>
      <c r="B1597" s="44" t="s">
        <v>157</v>
      </c>
      <c r="C1597" s="50"/>
      <c r="D1597" s="10" t="s">
        <v>29</v>
      </c>
      <c r="E1597" s="11"/>
      <c r="F1597" s="11" t="s">
        <v>18</v>
      </c>
      <c r="G1597" s="13"/>
      <c r="H1597" s="45" t="s">
        <v>16</v>
      </c>
      <c r="I1597" s="47"/>
      <c r="J1597" s="12" t="s">
        <v>4435</v>
      </c>
      <c r="K1597" s="13" t="s">
        <v>8397</v>
      </c>
      <c r="L1597" s="99" t="str">
        <f t="shared" si="96"/>
        <v>W2260.A</v>
      </c>
      <c r="M1597" s="45"/>
      <c r="N1597" s="47"/>
      <c r="O1597" s="47"/>
      <c r="P1597" s="47"/>
      <c r="Q1597" s="45"/>
      <c r="R1597" s="45"/>
      <c r="S1597" s="48"/>
    </row>
    <row r="1598" spans="1:19" s="49" customFormat="1" ht="14.15" customHeight="1">
      <c r="A1598" s="45"/>
      <c r="B1598" s="44" t="s">
        <v>157</v>
      </c>
      <c r="C1598" s="50"/>
      <c r="D1598" s="10" t="s">
        <v>29</v>
      </c>
      <c r="E1598" s="11"/>
      <c r="F1598" s="11" t="s">
        <v>18</v>
      </c>
      <c r="G1598" s="13"/>
      <c r="H1598" s="45" t="s">
        <v>16</v>
      </c>
      <c r="I1598" s="47"/>
      <c r="J1598" s="12" t="s">
        <v>4436</v>
      </c>
      <c r="K1598" s="13" t="s">
        <v>8398</v>
      </c>
      <c r="L1598" s="99" t="str">
        <f t="shared" si="96"/>
        <v>W2260.B</v>
      </c>
      <c r="M1598" s="45"/>
      <c r="N1598" s="47"/>
      <c r="O1598" s="47"/>
      <c r="P1598" s="47"/>
      <c r="Q1598" s="45"/>
      <c r="R1598" s="45"/>
      <c r="S1598" s="48"/>
    </row>
    <row r="1599" spans="1:19" s="49" customFormat="1" ht="14.15" customHeight="1">
      <c r="A1599" s="45"/>
      <c r="B1599" s="44" t="s">
        <v>157</v>
      </c>
      <c r="C1599" s="50"/>
      <c r="D1599" s="10" t="s">
        <v>29</v>
      </c>
      <c r="E1599" s="11"/>
      <c r="F1599" s="11" t="s">
        <v>18</v>
      </c>
      <c r="G1599" s="13"/>
      <c r="H1599" s="45" t="s">
        <v>16</v>
      </c>
      <c r="I1599" s="47"/>
      <c r="J1599" s="12" t="s">
        <v>4437</v>
      </c>
      <c r="K1599" s="13" t="s">
        <v>8399</v>
      </c>
      <c r="L1599" s="99" t="str">
        <f t="shared" si="96"/>
        <v>W2260.C</v>
      </c>
      <c r="M1599" s="45"/>
      <c r="N1599" s="47"/>
      <c r="O1599" s="47"/>
      <c r="P1599" s="47"/>
      <c r="Q1599" s="45"/>
      <c r="R1599" s="45"/>
      <c r="S1599" s="48"/>
    </row>
    <row r="1600" spans="1:19" s="49" customFormat="1" ht="14.15" customHeight="1">
      <c r="A1600" s="45"/>
      <c r="B1600" s="44" t="s">
        <v>157</v>
      </c>
      <c r="C1600" s="50"/>
      <c r="D1600" s="10" t="s">
        <v>29</v>
      </c>
      <c r="E1600" s="11"/>
      <c r="F1600" s="11" t="s">
        <v>18</v>
      </c>
      <c r="G1600" s="13"/>
      <c r="H1600" s="45" t="s">
        <v>16</v>
      </c>
      <c r="I1600" s="47"/>
      <c r="J1600" s="12" t="s">
        <v>4438</v>
      </c>
      <c r="K1600" s="13" t="s">
        <v>8400</v>
      </c>
      <c r="L1600" s="99" t="str">
        <f t="shared" si="96"/>
        <v>W2260.D</v>
      </c>
      <c r="M1600" s="13"/>
      <c r="N1600" s="47"/>
      <c r="O1600" s="47"/>
      <c r="P1600" s="47"/>
      <c r="Q1600" s="45"/>
      <c r="R1600" s="45"/>
      <c r="S1600" s="48"/>
    </row>
    <row r="1601" spans="1:19" s="49" customFormat="1" ht="14.15" customHeight="1">
      <c r="A1601" s="45"/>
      <c r="B1601" s="44" t="s">
        <v>157</v>
      </c>
      <c r="C1601" s="50"/>
      <c r="D1601" s="10" t="s">
        <v>29</v>
      </c>
      <c r="E1601" s="11"/>
      <c r="F1601" s="11" t="s">
        <v>18</v>
      </c>
      <c r="G1601" s="13"/>
      <c r="H1601" s="45" t="s">
        <v>16</v>
      </c>
      <c r="I1601" s="47"/>
      <c r="J1601" s="12" t="s">
        <v>4439</v>
      </c>
      <c r="K1601" s="13" t="s">
        <v>8401</v>
      </c>
      <c r="L1601" s="99" t="str">
        <f t="shared" si="96"/>
        <v>W2260.E</v>
      </c>
      <c r="M1601" s="13"/>
      <c r="N1601" s="47"/>
      <c r="O1601" s="47"/>
      <c r="P1601" s="47"/>
      <c r="Q1601" s="45"/>
      <c r="R1601" s="45"/>
      <c r="S1601" s="48"/>
    </row>
    <row r="1602" spans="1:19" s="49" customFormat="1" ht="14.15" customHeight="1">
      <c r="A1602" s="45"/>
      <c r="B1602" s="44" t="s">
        <v>157</v>
      </c>
      <c r="C1602" s="50"/>
      <c r="D1602" s="10" t="s">
        <v>29</v>
      </c>
      <c r="E1602" s="11"/>
      <c r="F1602" s="11" t="s">
        <v>18</v>
      </c>
      <c r="G1602" s="13"/>
      <c r="H1602" s="45" t="s">
        <v>16</v>
      </c>
      <c r="I1602" s="47"/>
      <c r="J1602" s="12" t="s">
        <v>4440</v>
      </c>
      <c r="K1602" s="13" t="s">
        <v>8402</v>
      </c>
      <c r="L1602" s="99" t="str">
        <f t="shared" si="96"/>
        <v>W2260.F</v>
      </c>
      <c r="M1602" s="13"/>
      <c r="N1602" s="47"/>
      <c r="O1602" s="47"/>
      <c r="P1602" s="47"/>
      <c r="Q1602" s="45"/>
      <c r="R1602" s="45"/>
      <c r="S1602" s="48"/>
    </row>
    <row r="1603" spans="1:19" s="49" customFormat="1" ht="14.15" customHeight="1">
      <c r="A1603" s="45"/>
      <c r="B1603" s="44" t="s">
        <v>157</v>
      </c>
      <c r="C1603" s="50"/>
      <c r="D1603" s="10" t="s">
        <v>29</v>
      </c>
      <c r="E1603" s="11"/>
      <c r="F1603" s="11" t="s">
        <v>18</v>
      </c>
      <c r="G1603" s="13"/>
      <c r="H1603" s="45" t="s">
        <v>16</v>
      </c>
      <c r="I1603" s="47"/>
      <c r="J1603" s="12" t="s">
        <v>4441</v>
      </c>
      <c r="K1603" s="13" t="s">
        <v>8403</v>
      </c>
      <c r="L1603" s="99" t="str">
        <f t="shared" si="96"/>
        <v>W2261.0</v>
      </c>
      <c r="M1603" s="45"/>
      <c r="N1603" s="47"/>
      <c r="O1603" s="47"/>
      <c r="P1603" s="47"/>
      <c r="Q1603" s="45"/>
      <c r="R1603" s="45"/>
      <c r="S1603" s="48"/>
    </row>
    <row r="1604" spans="1:19" s="49" customFormat="1" ht="14.15" customHeight="1">
      <c r="A1604" s="45"/>
      <c r="B1604" s="44" t="s">
        <v>157</v>
      </c>
      <c r="C1604" s="50"/>
      <c r="D1604" s="10" t="s">
        <v>29</v>
      </c>
      <c r="E1604" s="11"/>
      <c r="F1604" s="11" t="s">
        <v>18</v>
      </c>
      <c r="G1604" s="13"/>
      <c r="H1604" s="45" t="s">
        <v>16</v>
      </c>
      <c r="I1604" s="47"/>
      <c r="J1604" s="12" t="s">
        <v>4442</v>
      </c>
      <c r="K1604" s="13" t="s">
        <v>8404</v>
      </c>
      <c r="L1604" s="99" t="str">
        <f t="shared" si="96"/>
        <v>W2261.1</v>
      </c>
      <c r="M1604" s="13"/>
      <c r="N1604" s="47"/>
      <c r="O1604" s="47"/>
      <c r="P1604" s="47"/>
      <c r="Q1604" s="45"/>
      <c r="R1604" s="45"/>
      <c r="S1604" s="48"/>
    </row>
    <row r="1605" spans="1:19" s="49" customFormat="1" ht="14.15" customHeight="1">
      <c r="A1605" s="45"/>
      <c r="B1605" s="44" t="s">
        <v>157</v>
      </c>
      <c r="C1605" s="50"/>
      <c r="D1605" s="10" t="s">
        <v>29</v>
      </c>
      <c r="E1605" s="11"/>
      <c r="F1605" s="11" t="s">
        <v>18</v>
      </c>
      <c r="G1605" s="13"/>
      <c r="H1605" s="45" t="s">
        <v>16</v>
      </c>
      <c r="I1605" s="47"/>
      <c r="J1605" s="12" t="s">
        <v>4443</v>
      </c>
      <c r="K1605" s="13" t="s">
        <v>8405</v>
      </c>
      <c r="L1605" s="99" t="str">
        <f t="shared" si="96"/>
        <v>W2261.2</v>
      </c>
      <c r="M1605" s="45"/>
      <c r="N1605" s="47"/>
      <c r="O1605" s="47"/>
      <c r="P1605" s="47"/>
      <c r="Q1605" s="45"/>
      <c r="R1605" s="45"/>
      <c r="S1605" s="48"/>
    </row>
    <row r="1606" spans="1:19" s="49" customFormat="1" ht="14.15" customHeight="1">
      <c r="A1606" s="45"/>
      <c r="B1606" s="44" t="s">
        <v>157</v>
      </c>
      <c r="C1606" s="50"/>
      <c r="D1606" s="10" t="s">
        <v>29</v>
      </c>
      <c r="E1606" s="11"/>
      <c r="F1606" s="11" t="s">
        <v>18</v>
      </c>
      <c r="G1606" s="13"/>
      <c r="H1606" s="45" t="s">
        <v>16</v>
      </c>
      <c r="I1606" s="47"/>
      <c r="J1606" s="12" t="s">
        <v>4444</v>
      </c>
      <c r="K1606" s="13" t="s">
        <v>8406</v>
      </c>
      <c r="L1606" s="99" t="str">
        <f t="shared" si="96"/>
        <v>W2261.3</v>
      </c>
      <c r="M1606" s="45"/>
      <c r="N1606" s="47"/>
      <c r="O1606" s="47"/>
      <c r="P1606" s="47"/>
      <c r="Q1606" s="45"/>
      <c r="R1606" s="45"/>
      <c r="S1606" s="48"/>
    </row>
    <row r="1607" spans="1:19" s="49" customFormat="1" ht="14.15" customHeight="1">
      <c r="A1607" s="45"/>
      <c r="B1607" s="44" t="s">
        <v>157</v>
      </c>
      <c r="C1607" s="50"/>
      <c r="D1607" s="10" t="s">
        <v>29</v>
      </c>
      <c r="E1607" s="11"/>
      <c r="F1607" s="11" t="s">
        <v>18</v>
      </c>
      <c r="G1607" s="13"/>
      <c r="H1607" s="45" t="s">
        <v>16</v>
      </c>
      <c r="I1607" s="47"/>
      <c r="J1607" s="12" t="s">
        <v>4445</v>
      </c>
      <c r="K1607" s="13" t="s">
        <v>8407</v>
      </c>
      <c r="L1607" s="99" t="str">
        <f t="shared" si="96"/>
        <v>W2261.4</v>
      </c>
      <c r="M1607" s="45"/>
      <c r="N1607" s="47"/>
      <c r="O1607" s="47"/>
      <c r="P1607" s="47"/>
      <c r="Q1607" s="45"/>
      <c r="R1607" s="45"/>
      <c r="S1607" s="48"/>
    </row>
    <row r="1608" spans="1:19" s="49" customFormat="1" ht="14.15" customHeight="1">
      <c r="A1608" s="45"/>
      <c r="B1608" s="44" t="s">
        <v>157</v>
      </c>
      <c r="C1608" s="50"/>
      <c r="D1608" s="10" t="s">
        <v>29</v>
      </c>
      <c r="E1608" s="11"/>
      <c r="F1608" s="11" t="s">
        <v>18</v>
      </c>
      <c r="G1608" s="13"/>
      <c r="H1608" s="45" t="s">
        <v>16</v>
      </c>
      <c r="I1608" s="47"/>
      <c r="J1608" s="12" t="s">
        <v>4446</v>
      </c>
      <c r="K1608" s="13" t="s">
        <v>8408</v>
      </c>
      <c r="L1608" s="99" t="str">
        <f t="shared" si="96"/>
        <v>W2261.5</v>
      </c>
      <c r="M1608" s="45"/>
      <c r="N1608" s="47"/>
      <c r="O1608" s="47"/>
      <c r="P1608" s="47"/>
      <c r="Q1608" s="45"/>
      <c r="R1608" s="45"/>
      <c r="S1608" s="48"/>
    </row>
    <row r="1609" spans="1:19" s="49" customFormat="1" ht="14.15" customHeight="1">
      <c r="A1609" s="45"/>
      <c r="B1609" s="44" t="s">
        <v>157</v>
      </c>
      <c r="C1609" s="50"/>
      <c r="D1609" s="10" t="s">
        <v>29</v>
      </c>
      <c r="E1609" s="11"/>
      <c r="F1609" s="11" t="s">
        <v>18</v>
      </c>
      <c r="G1609" s="13"/>
      <c r="H1609" s="45" t="s">
        <v>16</v>
      </c>
      <c r="I1609" s="47"/>
      <c r="J1609" s="12" t="s">
        <v>4447</v>
      </c>
      <c r="K1609" s="13" t="s">
        <v>8409</v>
      </c>
      <c r="L1609" s="99" t="str">
        <f t="shared" si="96"/>
        <v>W2261.6</v>
      </c>
      <c r="M1609" s="13"/>
      <c r="N1609" s="47"/>
      <c r="O1609" s="47"/>
      <c r="P1609" s="47"/>
      <c r="Q1609" s="45"/>
      <c r="R1609" s="45"/>
      <c r="S1609" s="48"/>
    </row>
    <row r="1610" spans="1:19" s="49" customFormat="1" ht="14.15" customHeight="1">
      <c r="A1610" s="45" t="s">
        <v>5604</v>
      </c>
      <c r="B1610" s="44" t="s">
        <v>157</v>
      </c>
      <c r="C1610" s="50"/>
      <c r="D1610" s="10" t="s">
        <v>29</v>
      </c>
      <c r="E1610" s="11"/>
      <c r="F1610" s="11" t="s">
        <v>18</v>
      </c>
      <c r="G1610" s="13"/>
      <c r="H1610" s="45" t="s">
        <v>16</v>
      </c>
      <c r="I1610" s="47"/>
      <c r="J1610" s="12" t="s">
        <v>5588</v>
      </c>
      <c r="K1610" s="13" t="s">
        <v>8410</v>
      </c>
      <c r="L1610" s="99" t="str">
        <f t="shared" si="96"/>
        <v>W2261.7</v>
      </c>
      <c r="M1610" s="13" t="s">
        <v>17</v>
      </c>
      <c r="N1610" s="47"/>
      <c r="O1610" s="47"/>
      <c r="P1610" s="47"/>
      <c r="Q1610" s="45" t="s">
        <v>142</v>
      </c>
      <c r="R1610" s="45" t="s">
        <v>5553</v>
      </c>
      <c r="S1610" s="48"/>
    </row>
    <row r="1611" spans="1:19" s="49" customFormat="1" ht="14.15" customHeight="1">
      <c r="A1611" s="45" t="s">
        <v>5604</v>
      </c>
      <c r="B1611" s="44" t="s">
        <v>157</v>
      </c>
      <c r="C1611" s="50"/>
      <c r="D1611" s="10" t="s">
        <v>29</v>
      </c>
      <c r="E1611" s="11"/>
      <c r="F1611" s="11" t="s">
        <v>18</v>
      </c>
      <c r="G1611" s="13"/>
      <c r="H1611" s="45" t="s">
        <v>16</v>
      </c>
      <c r="I1611" s="47"/>
      <c r="J1611" s="12" t="s">
        <v>5589</v>
      </c>
      <c r="K1611" s="13" t="s">
        <v>8411</v>
      </c>
      <c r="L1611" s="99" t="str">
        <f t="shared" si="96"/>
        <v>W2261.8</v>
      </c>
      <c r="M1611" s="13" t="s">
        <v>17</v>
      </c>
      <c r="N1611" s="47"/>
      <c r="O1611" s="47"/>
      <c r="P1611" s="47"/>
      <c r="Q1611" s="45" t="s">
        <v>142</v>
      </c>
      <c r="R1611" s="45" t="s">
        <v>5553</v>
      </c>
      <c r="S1611" s="48"/>
    </row>
    <row r="1612" spans="1:19" s="49" customFormat="1" ht="14.15" customHeight="1">
      <c r="A1612" s="45"/>
      <c r="B1612" s="44" t="s">
        <v>157</v>
      </c>
      <c r="C1612" s="50"/>
      <c r="D1612" s="10" t="s">
        <v>29</v>
      </c>
      <c r="E1612" s="11"/>
      <c r="F1612" s="11" t="s">
        <v>18</v>
      </c>
      <c r="G1612" s="13"/>
      <c r="H1612" s="45" t="s">
        <v>16</v>
      </c>
      <c r="I1612" s="47"/>
      <c r="J1612" s="12" t="s">
        <v>4450</v>
      </c>
      <c r="K1612" s="13" t="s">
        <v>8412</v>
      </c>
      <c r="L1612" s="99" t="str">
        <f t="shared" si="96"/>
        <v>W2261.9</v>
      </c>
      <c r="M1612" s="13"/>
      <c r="N1612" s="47"/>
      <c r="O1612" s="47"/>
      <c r="P1612" s="47"/>
      <c r="Q1612" s="45"/>
      <c r="R1612" s="45"/>
      <c r="S1612" s="48"/>
    </row>
    <row r="1613" spans="1:19" s="49" customFormat="1" ht="14.15" customHeight="1">
      <c r="A1613" s="45"/>
      <c r="B1613" s="44" t="s">
        <v>157</v>
      </c>
      <c r="C1613" s="50"/>
      <c r="D1613" s="10" t="s">
        <v>29</v>
      </c>
      <c r="E1613" s="11"/>
      <c r="F1613" s="11" t="s">
        <v>18</v>
      </c>
      <c r="G1613" s="13"/>
      <c r="H1613" s="45" t="s">
        <v>16</v>
      </c>
      <c r="I1613" s="47"/>
      <c r="J1613" s="12" t="s">
        <v>4451</v>
      </c>
      <c r="K1613" s="13" t="s">
        <v>8413</v>
      </c>
      <c r="L1613" s="99" t="str">
        <f t="shared" si="96"/>
        <v>W2261.A</v>
      </c>
      <c r="M1613" s="45"/>
      <c r="N1613" s="47"/>
      <c r="O1613" s="47"/>
      <c r="P1613" s="47"/>
      <c r="Q1613" s="45"/>
      <c r="R1613" s="45"/>
      <c r="S1613" s="48"/>
    </row>
    <row r="1614" spans="1:19" s="49" customFormat="1" ht="14.15" customHeight="1">
      <c r="A1614" s="45"/>
      <c r="B1614" s="44" t="s">
        <v>157</v>
      </c>
      <c r="C1614" s="50"/>
      <c r="D1614" s="10" t="s">
        <v>29</v>
      </c>
      <c r="E1614" s="11"/>
      <c r="F1614" s="11" t="s">
        <v>18</v>
      </c>
      <c r="G1614" s="13"/>
      <c r="H1614" s="45" t="s">
        <v>16</v>
      </c>
      <c r="I1614" s="47"/>
      <c r="J1614" s="12" t="s">
        <v>4452</v>
      </c>
      <c r="K1614" s="13" t="s">
        <v>8414</v>
      </c>
      <c r="L1614" s="99" t="str">
        <f t="shared" si="96"/>
        <v>W2261.B</v>
      </c>
      <c r="M1614" s="45"/>
      <c r="N1614" s="47"/>
      <c r="O1614" s="47"/>
      <c r="P1614" s="47"/>
      <c r="Q1614" s="45"/>
      <c r="R1614" s="45"/>
      <c r="S1614" s="48"/>
    </row>
    <row r="1615" spans="1:19" s="49" customFormat="1" ht="14.15" customHeight="1">
      <c r="A1615" s="45"/>
      <c r="B1615" s="44" t="s">
        <v>157</v>
      </c>
      <c r="C1615" s="50"/>
      <c r="D1615" s="10" t="s">
        <v>29</v>
      </c>
      <c r="E1615" s="11"/>
      <c r="F1615" s="11" t="s">
        <v>18</v>
      </c>
      <c r="G1615" s="13"/>
      <c r="H1615" s="45" t="s">
        <v>16</v>
      </c>
      <c r="I1615" s="47"/>
      <c r="J1615" s="12" t="s">
        <v>4453</v>
      </c>
      <c r="K1615" s="13" t="s">
        <v>8415</v>
      </c>
      <c r="L1615" s="99" t="str">
        <f t="shared" si="96"/>
        <v>W2261.C</v>
      </c>
      <c r="M1615" s="45"/>
      <c r="N1615" s="47"/>
      <c r="O1615" s="47"/>
      <c r="P1615" s="47"/>
      <c r="Q1615" s="45"/>
      <c r="R1615" s="45"/>
      <c r="S1615" s="48"/>
    </row>
    <row r="1616" spans="1:19" s="49" customFormat="1" ht="14.15" customHeight="1">
      <c r="A1616" s="45"/>
      <c r="B1616" s="44" t="s">
        <v>157</v>
      </c>
      <c r="C1616" s="50"/>
      <c r="D1616" s="10" t="s">
        <v>29</v>
      </c>
      <c r="E1616" s="11"/>
      <c r="F1616" s="11" t="s">
        <v>18</v>
      </c>
      <c r="G1616" s="13"/>
      <c r="H1616" s="45" t="s">
        <v>16</v>
      </c>
      <c r="I1616" s="47"/>
      <c r="J1616" s="12" t="s">
        <v>4454</v>
      </c>
      <c r="K1616" s="13" t="s">
        <v>8416</v>
      </c>
      <c r="L1616" s="99" t="str">
        <f t="shared" si="96"/>
        <v>W2261.D</v>
      </c>
      <c r="M1616" s="45"/>
      <c r="N1616" s="47"/>
      <c r="O1616" s="47"/>
      <c r="P1616" s="47"/>
      <c r="Q1616" s="45"/>
      <c r="R1616" s="45"/>
      <c r="S1616" s="48"/>
    </row>
    <row r="1617" spans="1:19" s="49" customFormat="1" ht="14.15" customHeight="1">
      <c r="A1617" s="45"/>
      <c r="B1617" s="44" t="s">
        <v>157</v>
      </c>
      <c r="C1617" s="50"/>
      <c r="D1617" s="10" t="s">
        <v>29</v>
      </c>
      <c r="E1617" s="11"/>
      <c r="F1617" s="11" t="s">
        <v>18</v>
      </c>
      <c r="G1617" s="13"/>
      <c r="H1617" s="45" t="s">
        <v>16</v>
      </c>
      <c r="I1617" s="47"/>
      <c r="J1617" s="12" t="s">
        <v>4455</v>
      </c>
      <c r="K1617" s="13" t="s">
        <v>8417</v>
      </c>
      <c r="L1617" s="99" t="str">
        <f t="shared" si="96"/>
        <v>W2261.E</v>
      </c>
      <c r="M1617" s="45"/>
      <c r="N1617" s="47"/>
      <c r="O1617" s="47"/>
      <c r="P1617" s="47"/>
      <c r="Q1617" s="45"/>
      <c r="R1617" s="45"/>
      <c r="S1617" s="48"/>
    </row>
    <row r="1618" spans="1:19" s="49" customFormat="1" ht="14.15" customHeight="1">
      <c r="A1618" s="45"/>
      <c r="B1618" s="44" t="s">
        <v>157</v>
      </c>
      <c r="C1618" s="50"/>
      <c r="D1618" s="10" t="s">
        <v>29</v>
      </c>
      <c r="E1618" s="11"/>
      <c r="F1618" s="11" t="s">
        <v>18</v>
      </c>
      <c r="G1618" s="13"/>
      <c r="H1618" s="45" t="s">
        <v>16</v>
      </c>
      <c r="I1618" s="47"/>
      <c r="J1618" s="12" t="s">
        <v>4456</v>
      </c>
      <c r="K1618" s="13" t="s">
        <v>8418</v>
      </c>
      <c r="L1618" s="99" t="str">
        <f t="shared" si="96"/>
        <v>W2261.F</v>
      </c>
      <c r="M1618" s="45"/>
      <c r="N1618" s="47"/>
      <c r="O1618" s="47"/>
      <c r="P1618" s="47"/>
      <c r="Q1618" s="45"/>
      <c r="R1618" s="45"/>
      <c r="S1618" s="48"/>
    </row>
    <row r="1619" spans="1:19" s="49" customFormat="1" ht="14.15" customHeight="1">
      <c r="A1619" s="45"/>
      <c r="B1619" s="44" t="s">
        <v>157</v>
      </c>
      <c r="C1619" s="50"/>
      <c r="D1619" s="10" t="s">
        <v>29</v>
      </c>
      <c r="E1619" s="11"/>
      <c r="F1619" s="11" t="s">
        <v>18</v>
      </c>
      <c r="G1619" s="13"/>
      <c r="H1619" s="45" t="s">
        <v>16</v>
      </c>
      <c r="I1619" s="47"/>
      <c r="J1619" s="12" t="s">
        <v>4457</v>
      </c>
      <c r="K1619" s="13" t="s">
        <v>8419</v>
      </c>
      <c r="L1619" s="99" t="str">
        <f t="shared" si="96"/>
        <v>W2262.0</v>
      </c>
      <c r="M1619" s="45"/>
      <c r="N1619" s="47"/>
      <c r="O1619" s="47"/>
      <c r="P1619" s="47"/>
      <c r="Q1619" s="45"/>
      <c r="R1619" s="45"/>
      <c r="S1619" s="48"/>
    </row>
    <row r="1620" spans="1:19" s="49" customFormat="1" ht="14.15" customHeight="1">
      <c r="A1620" s="45"/>
      <c r="B1620" s="44" t="s">
        <v>157</v>
      </c>
      <c r="C1620" s="50"/>
      <c r="D1620" s="10" t="s">
        <v>29</v>
      </c>
      <c r="E1620" s="11"/>
      <c r="F1620" s="11" t="s">
        <v>18</v>
      </c>
      <c r="G1620" s="13"/>
      <c r="H1620" s="45" t="s">
        <v>16</v>
      </c>
      <c r="I1620" s="47"/>
      <c r="J1620" s="12" t="s">
        <v>4458</v>
      </c>
      <c r="K1620" s="13" t="s">
        <v>8420</v>
      </c>
      <c r="L1620" s="99" t="str">
        <f t="shared" si="96"/>
        <v>W2262.1</v>
      </c>
      <c r="M1620" s="13"/>
      <c r="N1620" s="47"/>
      <c r="O1620" s="47"/>
      <c r="P1620" s="47"/>
      <c r="Q1620" s="45"/>
      <c r="R1620" s="45"/>
      <c r="S1620" s="48"/>
    </row>
    <row r="1621" spans="1:19" s="49" customFormat="1" ht="14.15" customHeight="1">
      <c r="A1621" s="45"/>
      <c r="B1621" s="44" t="s">
        <v>157</v>
      </c>
      <c r="C1621" s="50"/>
      <c r="D1621" s="10" t="s">
        <v>29</v>
      </c>
      <c r="E1621" s="11"/>
      <c r="F1621" s="11" t="s">
        <v>18</v>
      </c>
      <c r="G1621" s="13"/>
      <c r="H1621" s="45" t="s">
        <v>16</v>
      </c>
      <c r="I1621" s="47"/>
      <c r="J1621" s="12" t="s">
        <v>4459</v>
      </c>
      <c r="K1621" s="13" t="s">
        <v>8421</v>
      </c>
      <c r="L1621" s="99" t="str">
        <f t="shared" si="96"/>
        <v>W2262.2</v>
      </c>
      <c r="M1621" s="13"/>
      <c r="N1621" s="47"/>
      <c r="O1621" s="47"/>
      <c r="P1621" s="47"/>
      <c r="Q1621" s="45"/>
      <c r="R1621" s="45"/>
      <c r="S1621" s="48"/>
    </row>
    <row r="1622" spans="1:19" s="49" customFormat="1" ht="14.15" customHeight="1">
      <c r="A1622" s="45"/>
      <c r="B1622" s="44" t="s">
        <v>157</v>
      </c>
      <c r="C1622" s="50"/>
      <c r="D1622" s="10" t="s">
        <v>29</v>
      </c>
      <c r="E1622" s="11"/>
      <c r="F1622" s="11" t="s">
        <v>18</v>
      </c>
      <c r="G1622" s="13"/>
      <c r="H1622" s="45" t="s">
        <v>16</v>
      </c>
      <c r="I1622" s="47"/>
      <c r="J1622" s="12" t="s">
        <v>4460</v>
      </c>
      <c r="K1622" s="13" t="s">
        <v>8422</v>
      </c>
      <c r="L1622" s="99" t="str">
        <f t="shared" si="96"/>
        <v>W2262.3</v>
      </c>
      <c r="M1622" s="13"/>
      <c r="N1622" s="47"/>
      <c r="O1622" s="47"/>
      <c r="P1622" s="47"/>
      <c r="Q1622" s="45"/>
      <c r="R1622" s="45"/>
      <c r="S1622" s="48"/>
    </row>
    <row r="1623" spans="1:19" s="49" customFormat="1" ht="14.15" customHeight="1">
      <c r="A1623" s="45" t="s">
        <v>5604</v>
      </c>
      <c r="B1623" s="44" t="s">
        <v>157</v>
      </c>
      <c r="C1623" s="50"/>
      <c r="D1623" s="10" t="s">
        <v>29</v>
      </c>
      <c r="E1623" s="11"/>
      <c r="F1623" s="11" t="s">
        <v>18</v>
      </c>
      <c r="G1623" s="13"/>
      <c r="H1623" s="45" t="s">
        <v>16</v>
      </c>
      <c r="I1623" s="47"/>
      <c r="J1623" s="12" t="s">
        <v>5590</v>
      </c>
      <c r="K1623" s="13" t="s">
        <v>8423</v>
      </c>
      <c r="L1623" s="99" t="str">
        <f t="shared" si="96"/>
        <v>W2262.4</v>
      </c>
      <c r="M1623" s="13" t="s">
        <v>17</v>
      </c>
      <c r="N1623" s="47"/>
      <c r="O1623" s="47"/>
      <c r="P1623" s="47"/>
      <c r="Q1623" s="45" t="s">
        <v>142</v>
      </c>
      <c r="R1623" s="45" t="s">
        <v>5553</v>
      </c>
      <c r="S1623" s="48"/>
    </row>
    <row r="1624" spans="1:19" s="49" customFormat="1" ht="14.15" customHeight="1">
      <c r="A1624" s="45"/>
      <c r="B1624" s="44" t="s">
        <v>157</v>
      </c>
      <c r="C1624" s="50"/>
      <c r="D1624" s="10" t="s">
        <v>29</v>
      </c>
      <c r="E1624" s="11"/>
      <c r="F1624" s="11" t="s">
        <v>18</v>
      </c>
      <c r="G1624" s="13"/>
      <c r="H1624" s="45" t="s">
        <v>16</v>
      </c>
      <c r="I1624" s="47"/>
      <c r="J1624" s="12" t="s">
        <v>1323</v>
      </c>
      <c r="K1624" s="13" t="s">
        <v>8424</v>
      </c>
      <c r="L1624" s="99" t="str">
        <f t="shared" si="96"/>
        <v>W2262.5</v>
      </c>
      <c r="M1624" s="13"/>
      <c r="N1624" s="47"/>
      <c r="O1624" s="47"/>
      <c r="P1624" s="47"/>
      <c r="Q1624" s="45"/>
      <c r="R1624" s="45"/>
      <c r="S1624" s="48"/>
    </row>
    <row r="1625" spans="1:19" s="49" customFormat="1" ht="14.15" customHeight="1">
      <c r="A1625" s="45" t="s">
        <v>5604</v>
      </c>
      <c r="B1625" s="44" t="s">
        <v>157</v>
      </c>
      <c r="C1625" s="50"/>
      <c r="D1625" s="10" t="s">
        <v>29</v>
      </c>
      <c r="E1625" s="11"/>
      <c r="F1625" s="11" t="s">
        <v>18</v>
      </c>
      <c r="G1625" s="13"/>
      <c r="H1625" s="45" t="s">
        <v>16</v>
      </c>
      <c r="I1625" s="47"/>
      <c r="J1625" s="12" t="s">
        <v>5591</v>
      </c>
      <c r="K1625" s="13" t="s">
        <v>8425</v>
      </c>
      <c r="L1625" s="99" t="str">
        <f t="shared" si="96"/>
        <v>W2262.6</v>
      </c>
      <c r="M1625" s="13" t="s">
        <v>17</v>
      </c>
      <c r="N1625" s="47"/>
      <c r="O1625" s="47"/>
      <c r="P1625" s="47"/>
      <c r="Q1625" s="45" t="s">
        <v>142</v>
      </c>
      <c r="R1625" s="45" t="s">
        <v>5553</v>
      </c>
      <c r="S1625" s="48"/>
    </row>
    <row r="1626" spans="1:19" s="49" customFormat="1" ht="14.15" customHeight="1">
      <c r="A1626" s="45" t="s">
        <v>5604</v>
      </c>
      <c r="B1626" s="44" t="s">
        <v>157</v>
      </c>
      <c r="C1626" s="50"/>
      <c r="D1626" s="10" t="s">
        <v>29</v>
      </c>
      <c r="E1626" s="11"/>
      <c r="F1626" s="11" t="s">
        <v>18</v>
      </c>
      <c r="G1626" s="13"/>
      <c r="H1626" s="45" t="s">
        <v>16</v>
      </c>
      <c r="I1626" s="47"/>
      <c r="J1626" s="12" t="s">
        <v>5592</v>
      </c>
      <c r="K1626" s="13" t="s">
        <v>8426</v>
      </c>
      <c r="L1626" s="99" t="str">
        <f t="shared" si="96"/>
        <v>W2262.7</v>
      </c>
      <c r="M1626" s="13" t="s">
        <v>17</v>
      </c>
      <c r="N1626" s="47"/>
      <c r="O1626" s="47"/>
      <c r="P1626" s="47"/>
      <c r="Q1626" s="45" t="s">
        <v>142</v>
      </c>
      <c r="R1626" s="45" t="s">
        <v>5553</v>
      </c>
      <c r="S1626" s="48"/>
    </row>
    <row r="1627" spans="1:19" s="49" customFormat="1" ht="14.15" customHeight="1">
      <c r="A1627" s="45" t="s">
        <v>5604</v>
      </c>
      <c r="B1627" s="44" t="s">
        <v>157</v>
      </c>
      <c r="C1627" s="50"/>
      <c r="D1627" s="10" t="s">
        <v>29</v>
      </c>
      <c r="E1627" s="11"/>
      <c r="F1627" s="11" t="s">
        <v>18</v>
      </c>
      <c r="G1627" s="13"/>
      <c r="H1627" s="45" t="s">
        <v>16</v>
      </c>
      <c r="I1627" s="47"/>
      <c r="J1627" s="12" t="s">
        <v>5593</v>
      </c>
      <c r="K1627" s="13" t="s">
        <v>8427</v>
      </c>
      <c r="L1627" s="99" t="str">
        <f t="shared" si="96"/>
        <v>W2262.8</v>
      </c>
      <c r="M1627" s="13" t="s">
        <v>17</v>
      </c>
      <c r="N1627" s="47"/>
      <c r="O1627" s="47"/>
      <c r="P1627" s="47"/>
      <c r="Q1627" s="45" t="s">
        <v>142</v>
      </c>
      <c r="R1627" s="45" t="s">
        <v>5553</v>
      </c>
      <c r="S1627" s="48"/>
    </row>
    <row r="1628" spans="1:19" s="49" customFormat="1" ht="14.15" customHeight="1">
      <c r="A1628" s="45" t="s">
        <v>5604</v>
      </c>
      <c r="B1628" s="44" t="s">
        <v>157</v>
      </c>
      <c r="C1628" s="50"/>
      <c r="D1628" s="10" t="s">
        <v>29</v>
      </c>
      <c r="E1628" s="11"/>
      <c r="F1628" s="11" t="s">
        <v>18</v>
      </c>
      <c r="G1628" s="13"/>
      <c r="H1628" s="45" t="s">
        <v>16</v>
      </c>
      <c r="I1628" s="47"/>
      <c r="J1628" s="12" t="s">
        <v>5594</v>
      </c>
      <c r="K1628" s="13" t="s">
        <v>8428</v>
      </c>
      <c r="L1628" s="99" t="str">
        <f t="shared" si="96"/>
        <v>W2262.9</v>
      </c>
      <c r="M1628" s="13" t="s">
        <v>153</v>
      </c>
      <c r="N1628" s="47"/>
      <c r="O1628" s="47"/>
      <c r="P1628" s="47"/>
      <c r="Q1628" s="45" t="s">
        <v>142</v>
      </c>
      <c r="R1628" s="45" t="s">
        <v>5553</v>
      </c>
      <c r="S1628" s="48"/>
    </row>
    <row r="1629" spans="1:19" s="49" customFormat="1" ht="14.15" customHeight="1">
      <c r="A1629" s="45" t="s">
        <v>5604</v>
      </c>
      <c r="B1629" s="44" t="s">
        <v>157</v>
      </c>
      <c r="C1629" s="50"/>
      <c r="D1629" s="10" t="s">
        <v>29</v>
      </c>
      <c r="E1629" s="11"/>
      <c r="F1629" s="11" t="s">
        <v>18</v>
      </c>
      <c r="G1629" s="13"/>
      <c r="H1629" s="45" t="s">
        <v>16</v>
      </c>
      <c r="I1629" s="47"/>
      <c r="J1629" s="12" t="s">
        <v>5595</v>
      </c>
      <c r="K1629" s="13" t="s">
        <v>8429</v>
      </c>
      <c r="L1629" s="99" t="str">
        <f t="shared" si="96"/>
        <v>W2262.A</v>
      </c>
      <c r="M1629" s="13" t="s">
        <v>153</v>
      </c>
      <c r="N1629" s="47"/>
      <c r="O1629" s="47"/>
      <c r="P1629" s="47"/>
      <c r="Q1629" s="45" t="s">
        <v>142</v>
      </c>
      <c r="R1629" s="45" t="s">
        <v>5553</v>
      </c>
      <c r="S1629" s="48"/>
    </row>
    <row r="1630" spans="1:19" s="49" customFormat="1" ht="14.15" customHeight="1">
      <c r="A1630" s="45"/>
      <c r="B1630" s="44" t="s">
        <v>157</v>
      </c>
      <c r="C1630" s="50"/>
      <c r="D1630" s="10" t="s">
        <v>29</v>
      </c>
      <c r="E1630" s="11"/>
      <c r="F1630" s="11" t="s">
        <v>18</v>
      </c>
      <c r="G1630" s="13"/>
      <c r="H1630" s="45" t="s">
        <v>16</v>
      </c>
      <c r="I1630" s="47"/>
      <c r="J1630" s="12" t="s">
        <v>4468</v>
      </c>
      <c r="K1630" s="13" t="s">
        <v>8430</v>
      </c>
      <c r="L1630" s="99" t="str">
        <f t="shared" si="96"/>
        <v>W2262.B</v>
      </c>
      <c r="M1630" s="13"/>
      <c r="N1630" s="47"/>
      <c r="O1630" s="47"/>
      <c r="P1630" s="47"/>
      <c r="Q1630" s="45"/>
      <c r="R1630" s="45"/>
      <c r="S1630" s="48"/>
    </row>
    <row r="1631" spans="1:19" s="49" customFormat="1" ht="14.15" customHeight="1">
      <c r="A1631" s="45"/>
      <c r="B1631" s="44" t="s">
        <v>157</v>
      </c>
      <c r="C1631" s="50"/>
      <c r="D1631" s="10" t="s">
        <v>29</v>
      </c>
      <c r="E1631" s="11"/>
      <c r="F1631" s="11" t="s">
        <v>18</v>
      </c>
      <c r="G1631" s="13"/>
      <c r="H1631" s="45" t="s">
        <v>16</v>
      </c>
      <c r="I1631" s="47"/>
      <c r="J1631" s="12" t="s">
        <v>4469</v>
      </c>
      <c r="K1631" s="13" t="s">
        <v>8431</v>
      </c>
      <c r="L1631" s="99" t="str">
        <f t="shared" si="96"/>
        <v>W2262.C</v>
      </c>
      <c r="M1631" s="13"/>
      <c r="N1631" s="47"/>
      <c r="O1631" s="47"/>
      <c r="P1631" s="47"/>
      <c r="Q1631" s="45"/>
      <c r="R1631" s="45"/>
      <c r="S1631" s="48"/>
    </row>
    <row r="1632" spans="1:19" s="49" customFormat="1" ht="14.15" customHeight="1">
      <c r="A1632" s="45"/>
      <c r="B1632" s="44" t="s">
        <v>157</v>
      </c>
      <c r="C1632" s="50"/>
      <c r="D1632" s="10" t="s">
        <v>29</v>
      </c>
      <c r="E1632" s="11"/>
      <c r="F1632" s="11" t="s">
        <v>18</v>
      </c>
      <c r="G1632" s="13"/>
      <c r="H1632" s="45" t="s">
        <v>16</v>
      </c>
      <c r="I1632" s="47"/>
      <c r="J1632" s="12" t="s">
        <v>4470</v>
      </c>
      <c r="K1632" s="13" t="s">
        <v>8432</v>
      </c>
      <c r="L1632" s="99" t="str">
        <f t="shared" si="96"/>
        <v>W2262.D</v>
      </c>
      <c r="M1632" s="13"/>
      <c r="N1632" s="47"/>
      <c r="O1632" s="47"/>
      <c r="P1632" s="47"/>
      <c r="Q1632" s="45"/>
      <c r="R1632" s="45"/>
      <c r="S1632" s="48"/>
    </row>
    <row r="1633" spans="1:19" s="49" customFormat="1" ht="14.15" customHeight="1">
      <c r="A1633" s="45"/>
      <c r="B1633" s="44" t="s">
        <v>157</v>
      </c>
      <c r="C1633" s="50"/>
      <c r="D1633" s="10" t="s">
        <v>29</v>
      </c>
      <c r="E1633" s="11"/>
      <c r="F1633" s="11" t="s">
        <v>18</v>
      </c>
      <c r="G1633" s="13"/>
      <c r="H1633" s="45" t="s">
        <v>16</v>
      </c>
      <c r="I1633" s="47"/>
      <c r="J1633" s="12" t="s">
        <v>4471</v>
      </c>
      <c r="K1633" s="13" t="s">
        <v>8433</v>
      </c>
      <c r="L1633" s="99" t="str">
        <f t="shared" si="96"/>
        <v>W2262.E</v>
      </c>
      <c r="M1633" s="13"/>
      <c r="N1633" s="47"/>
      <c r="O1633" s="47"/>
      <c r="P1633" s="47"/>
      <c r="Q1633" s="45"/>
      <c r="R1633" s="45"/>
      <c r="S1633" s="48"/>
    </row>
    <row r="1634" spans="1:19" s="49" customFormat="1" ht="14.15" customHeight="1">
      <c r="A1634" s="45"/>
      <c r="B1634" s="44" t="s">
        <v>157</v>
      </c>
      <c r="C1634" s="50"/>
      <c r="D1634" s="10" t="s">
        <v>29</v>
      </c>
      <c r="E1634" s="11"/>
      <c r="F1634" s="11" t="s">
        <v>18</v>
      </c>
      <c r="G1634" s="13"/>
      <c r="H1634" s="45" t="s">
        <v>16</v>
      </c>
      <c r="I1634" s="47"/>
      <c r="J1634" s="12" t="s">
        <v>4472</v>
      </c>
      <c r="K1634" s="13" t="s">
        <v>8434</v>
      </c>
      <c r="L1634" s="99" t="str">
        <f t="shared" si="96"/>
        <v>W2262.F</v>
      </c>
      <c r="M1634" s="13"/>
      <c r="N1634" s="47"/>
      <c r="O1634" s="47"/>
      <c r="P1634" s="47"/>
      <c r="Q1634" s="45"/>
      <c r="R1634" s="45"/>
      <c r="S1634" s="48"/>
    </row>
    <row r="1635" spans="1:19" s="49" customFormat="1" ht="14.15" customHeight="1">
      <c r="A1635" s="45"/>
      <c r="B1635" s="44" t="s">
        <v>157</v>
      </c>
      <c r="C1635" s="50"/>
      <c r="D1635" s="10" t="s">
        <v>29</v>
      </c>
      <c r="E1635" s="11"/>
      <c r="F1635" s="11" t="s">
        <v>18</v>
      </c>
      <c r="G1635" s="13"/>
      <c r="H1635" s="45" t="s">
        <v>16</v>
      </c>
      <c r="I1635" s="47"/>
      <c r="J1635" s="12" t="s">
        <v>4473</v>
      </c>
      <c r="K1635" s="13" t="s">
        <v>8435</v>
      </c>
      <c r="L1635" s="99" t="str">
        <f t="shared" si="96"/>
        <v>W2263.0</v>
      </c>
      <c r="M1635" s="13"/>
      <c r="N1635" s="47"/>
      <c r="O1635" s="47"/>
      <c r="P1635" s="47"/>
      <c r="Q1635" s="45"/>
      <c r="R1635" s="45"/>
      <c r="S1635" s="48"/>
    </row>
    <row r="1636" spans="1:19" s="49" customFormat="1" ht="14.15" customHeight="1">
      <c r="A1636" s="45"/>
      <c r="B1636" s="44" t="s">
        <v>157</v>
      </c>
      <c r="C1636" s="50"/>
      <c r="D1636" s="10" t="s">
        <v>29</v>
      </c>
      <c r="E1636" s="11"/>
      <c r="F1636" s="11" t="s">
        <v>18</v>
      </c>
      <c r="G1636" s="13"/>
      <c r="H1636" s="45" t="s">
        <v>16</v>
      </c>
      <c r="I1636" s="47"/>
      <c r="J1636" s="12" t="s">
        <v>4474</v>
      </c>
      <c r="K1636" s="13" t="s">
        <v>8436</v>
      </c>
      <c r="L1636" s="99" t="str">
        <f t="shared" si="96"/>
        <v>W2263.1</v>
      </c>
      <c r="M1636" s="13"/>
      <c r="N1636" s="47"/>
      <c r="O1636" s="47"/>
      <c r="P1636" s="47"/>
      <c r="Q1636" s="45"/>
      <c r="R1636" s="45"/>
      <c r="S1636" s="48"/>
    </row>
    <row r="1637" spans="1:19" s="49" customFormat="1" ht="14.15" customHeight="1">
      <c r="A1637" s="45"/>
      <c r="B1637" s="44" t="s">
        <v>157</v>
      </c>
      <c r="C1637" s="50"/>
      <c r="D1637" s="10" t="s">
        <v>29</v>
      </c>
      <c r="E1637" s="11"/>
      <c r="F1637" s="11" t="s">
        <v>18</v>
      </c>
      <c r="G1637" s="13"/>
      <c r="H1637" s="45" t="s">
        <v>16</v>
      </c>
      <c r="I1637" s="47"/>
      <c r="J1637" s="12" t="s">
        <v>4475</v>
      </c>
      <c r="K1637" s="13" t="s">
        <v>8437</v>
      </c>
      <c r="L1637" s="99" t="str">
        <f t="shared" si="96"/>
        <v>W2263.2</v>
      </c>
      <c r="M1637" s="13"/>
      <c r="N1637" s="47"/>
      <c r="O1637" s="47"/>
      <c r="P1637" s="47"/>
      <c r="Q1637" s="45"/>
      <c r="R1637" s="45"/>
      <c r="S1637" s="48"/>
    </row>
    <row r="1638" spans="1:19" s="49" customFormat="1" ht="14.15" customHeight="1">
      <c r="A1638" s="45"/>
      <c r="B1638" s="44" t="s">
        <v>157</v>
      </c>
      <c r="C1638" s="50"/>
      <c r="D1638" s="10" t="s">
        <v>29</v>
      </c>
      <c r="E1638" s="11"/>
      <c r="F1638" s="11" t="s">
        <v>18</v>
      </c>
      <c r="G1638" s="13"/>
      <c r="H1638" s="45" t="s">
        <v>16</v>
      </c>
      <c r="I1638" s="47"/>
      <c r="J1638" s="12" t="s">
        <v>4476</v>
      </c>
      <c r="K1638" s="13" t="s">
        <v>8438</v>
      </c>
      <c r="L1638" s="99" t="str">
        <f t="shared" si="96"/>
        <v>W2263.3</v>
      </c>
      <c r="M1638" s="13"/>
      <c r="N1638" s="47"/>
      <c r="O1638" s="47"/>
      <c r="P1638" s="47"/>
      <c r="Q1638" s="45"/>
      <c r="R1638" s="45"/>
      <c r="S1638" s="48"/>
    </row>
    <row r="1639" spans="1:19" s="49" customFormat="1" ht="14.15" customHeight="1">
      <c r="A1639" s="45"/>
      <c r="B1639" s="44" t="s">
        <v>157</v>
      </c>
      <c r="C1639" s="50"/>
      <c r="D1639" s="10" t="s">
        <v>29</v>
      </c>
      <c r="E1639" s="11"/>
      <c r="F1639" s="11" t="s">
        <v>18</v>
      </c>
      <c r="G1639" s="13"/>
      <c r="H1639" s="45" t="s">
        <v>16</v>
      </c>
      <c r="I1639" s="47"/>
      <c r="J1639" s="12" t="s">
        <v>4477</v>
      </c>
      <c r="K1639" s="13" t="s">
        <v>8439</v>
      </c>
      <c r="L1639" s="99" t="str">
        <f t="shared" si="96"/>
        <v>W2263.4</v>
      </c>
      <c r="M1639" s="45"/>
      <c r="N1639" s="47"/>
      <c r="O1639" s="47"/>
      <c r="P1639" s="47"/>
      <c r="Q1639" s="45"/>
      <c r="R1639" s="45"/>
      <c r="S1639" s="48"/>
    </row>
    <row r="1640" spans="1:19" s="49" customFormat="1" ht="14.15" customHeight="1">
      <c r="A1640" s="45"/>
      <c r="B1640" s="44" t="s">
        <v>157</v>
      </c>
      <c r="C1640" s="50"/>
      <c r="D1640" s="10" t="s">
        <v>29</v>
      </c>
      <c r="E1640" s="11"/>
      <c r="F1640" s="11" t="s">
        <v>18</v>
      </c>
      <c r="G1640" s="13"/>
      <c r="H1640" s="45" t="s">
        <v>16</v>
      </c>
      <c r="I1640" s="47"/>
      <c r="J1640" s="12" t="s">
        <v>4478</v>
      </c>
      <c r="K1640" s="13" t="s">
        <v>8440</v>
      </c>
      <c r="L1640" s="99" t="str">
        <f t="shared" si="96"/>
        <v>W2263.5</v>
      </c>
      <c r="M1640" s="13"/>
      <c r="N1640" s="47"/>
      <c r="O1640" s="47"/>
      <c r="P1640" s="47"/>
      <c r="Q1640" s="45"/>
      <c r="R1640" s="45"/>
      <c r="S1640" s="48"/>
    </row>
    <row r="1641" spans="1:19" s="49" customFormat="1" ht="14.15" customHeight="1">
      <c r="A1641" s="45"/>
      <c r="B1641" s="44" t="s">
        <v>157</v>
      </c>
      <c r="C1641" s="50"/>
      <c r="D1641" s="10" t="s">
        <v>29</v>
      </c>
      <c r="E1641" s="11"/>
      <c r="F1641" s="11" t="s">
        <v>18</v>
      </c>
      <c r="G1641" s="13"/>
      <c r="H1641" s="45" t="s">
        <v>16</v>
      </c>
      <c r="I1641" s="47"/>
      <c r="J1641" s="12" t="s">
        <v>4479</v>
      </c>
      <c r="K1641" s="13" t="s">
        <v>8441</v>
      </c>
      <c r="L1641" s="99" t="str">
        <f t="shared" si="96"/>
        <v>W2263.6</v>
      </c>
      <c r="M1641" s="13"/>
      <c r="N1641" s="47"/>
      <c r="O1641" s="47"/>
      <c r="P1641" s="47"/>
      <c r="Q1641" s="45"/>
      <c r="R1641" s="45"/>
      <c r="S1641" s="48"/>
    </row>
    <row r="1642" spans="1:19" s="49" customFormat="1" ht="14.15" customHeight="1">
      <c r="A1642" s="45"/>
      <c r="B1642" s="44" t="s">
        <v>157</v>
      </c>
      <c r="C1642" s="50"/>
      <c r="D1642" s="10" t="s">
        <v>29</v>
      </c>
      <c r="E1642" s="11"/>
      <c r="F1642" s="11" t="s">
        <v>18</v>
      </c>
      <c r="G1642" s="13"/>
      <c r="H1642" s="45" t="s">
        <v>16</v>
      </c>
      <c r="I1642" s="47"/>
      <c r="J1642" s="12" t="s">
        <v>4480</v>
      </c>
      <c r="K1642" s="13" t="s">
        <v>8442</v>
      </c>
      <c r="L1642" s="99" t="str">
        <f t="shared" si="96"/>
        <v>W2263.7</v>
      </c>
      <c r="M1642" s="13"/>
      <c r="N1642" s="47"/>
      <c r="O1642" s="47"/>
      <c r="P1642" s="47"/>
      <c r="Q1642" s="45"/>
      <c r="R1642" s="45"/>
      <c r="S1642" s="48"/>
    </row>
    <row r="1643" spans="1:19" s="49" customFormat="1" ht="14.15" customHeight="1">
      <c r="A1643" s="45"/>
      <c r="B1643" s="44" t="s">
        <v>157</v>
      </c>
      <c r="C1643" s="50"/>
      <c r="D1643" s="10" t="s">
        <v>29</v>
      </c>
      <c r="E1643" s="11"/>
      <c r="F1643" s="11" t="s">
        <v>18</v>
      </c>
      <c r="G1643" s="13"/>
      <c r="H1643" s="45" t="s">
        <v>16</v>
      </c>
      <c r="I1643" s="47"/>
      <c r="J1643" s="12" t="s">
        <v>4481</v>
      </c>
      <c r="K1643" s="13" t="s">
        <v>8443</v>
      </c>
      <c r="L1643" s="99" t="str">
        <f t="shared" si="96"/>
        <v>W2263.8</v>
      </c>
      <c r="M1643" s="45"/>
      <c r="N1643" s="47"/>
      <c r="O1643" s="47"/>
      <c r="P1643" s="47"/>
      <c r="Q1643" s="45"/>
      <c r="R1643" s="45"/>
      <c r="S1643" s="48"/>
    </row>
    <row r="1644" spans="1:19" s="49" customFormat="1" ht="14.15" customHeight="1">
      <c r="A1644" s="45"/>
      <c r="B1644" s="44" t="s">
        <v>157</v>
      </c>
      <c r="C1644" s="50"/>
      <c r="D1644" s="10" t="s">
        <v>29</v>
      </c>
      <c r="E1644" s="11"/>
      <c r="F1644" s="11" t="s">
        <v>18</v>
      </c>
      <c r="G1644" s="13"/>
      <c r="H1644" s="45" t="s">
        <v>16</v>
      </c>
      <c r="I1644" s="47"/>
      <c r="J1644" s="12" t="s">
        <v>4482</v>
      </c>
      <c r="K1644" s="13" t="s">
        <v>8444</v>
      </c>
      <c r="L1644" s="99" t="str">
        <f t="shared" si="96"/>
        <v>W2263.9</v>
      </c>
      <c r="M1644" s="13"/>
      <c r="N1644" s="47"/>
      <c r="O1644" s="47"/>
      <c r="P1644" s="47"/>
      <c r="Q1644" s="45"/>
      <c r="R1644" s="45"/>
      <c r="S1644" s="48"/>
    </row>
    <row r="1645" spans="1:19" s="49" customFormat="1" ht="14.15" customHeight="1">
      <c r="A1645" s="45"/>
      <c r="B1645" s="44" t="s">
        <v>157</v>
      </c>
      <c r="C1645" s="50"/>
      <c r="D1645" s="10" t="s">
        <v>29</v>
      </c>
      <c r="E1645" s="11"/>
      <c r="F1645" s="11" t="s">
        <v>18</v>
      </c>
      <c r="G1645" s="13"/>
      <c r="H1645" s="45" t="s">
        <v>16</v>
      </c>
      <c r="I1645" s="47"/>
      <c r="J1645" s="12" t="s">
        <v>4483</v>
      </c>
      <c r="K1645" s="13" t="s">
        <v>8445</v>
      </c>
      <c r="L1645" s="99" t="str">
        <f t="shared" si="96"/>
        <v>W2263.A</v>
      </c>
      <c r="M1645" s="45"/>
      <c r="N1645" s="47"/>
      <c r="O1645" s="47"/>
      <c r="P1645" s="47"/>
      <c r="Q1645" s="45"/>
      <c r="R1645" s="45"/>
      <c r="S1645" s="48"/>
    </row>
    <row r="1646" spans="1:19" s="49" customFormat="1" ht="14.15" customHeight="1">
      <c r="A1646" s="45"/>
      <c r="B1646" s="44" t="s">
        <v>157</v>
      </c>
      <c r="C1646" s="50"/>
      <c r="D1646" s="10" t="s">
        <v>29</v>
      </c>
      <c r="E1646" s="11"/>
      <c r="F1646" s="11" t="s">
        <v>18</v>
      </c>
      <c r="G1646" s="13"/>
      <c r="H1646" s="45" t="s">
        <v>16</v>
      </c>
      <c r="I1646" s="47"/>
      <c r="J1646" s="12" t="s">
        <v>4484</v>
      </c>
      <c r="K1646" s="13" t="s">
        <v>8446</v>
      </c>
      <c r="L1646" s="99" t="str">
        <f t="shared" si="96"/>
        <v>W2263.B</v>
      </c>
      <c r="M1646" s="45"/>
      <c r="N1646" s="47"/>
      <c r="O1646" s="47"/>
      <c r="P1646" s="47"/>
      <c r="Q1646" s="45"/>
      <c r="R1646" s="45"/>
      <c r="S1646" s="48"/>
    </row>
    <row r="1647" spans="1:19" s="49" customFormat="1" ht="14.15" customHeight="1">
      <c r="A1647" s="45"/>
      <c r="B1647" s="44" t="s">
        <v>157</v>
      </c>
      <c r="C1647" s="50"/>
      <c r="D1647" s="10" t="s">
        <v>29</v>
      </c>
      <c r="E1647" s="11"/>
      <c r="F1647" s="11" t="s">
        <v>18</v>
      </c>
      <c r="G1647" s="13"/>
      <c r="H1647" s="45" t="s">
        <v>16</v>
      </c>
      <c r="I1647" s="47"/>
      <c r="J1647" s="12" t="s">
        <v>4485</v>
      </c>
      <c r="K1647" s="13" t="s">
        <v>8447</v>
      </c>
      <c r="L1647" s="99" t="str">
        <f t="shared" si="96"/>
        <v>W2263.C</v>
      </c>
      <c r="M1647" s="45"/>
      <c r="N1647" s="47"/>
      <c r="O1647" s="47"/>
      <c r="P1647" s="47"/>
      <c r="Q1647" s="45"/>
      <c r="R1647" s="45"/>
      <c r="S1647" s="48"/>
    </row>
    <row r="1648" spans="1:19" s="49" customFormat="1" ht="14.15" customHeight="1">
      <c r="A1648" s="45"/>
      <c r="B1648" s="44" t="s">
        <v>157</v>
      </c>
      <c r="C1648" s="50"/>
      <c r="D1648" s="10" t="s">
        <v>29</v>
      </c>
      <c r="E1648" s="11"/>
      <c r="F1648" s="11" t="s">
        <v>18</v>
      </c>
      <c r="G1648" s="13"/>
      <c r="H1648" s="45" t="s">
        <v>16</v>
      </c>
      <c r="I1648" s="47"/>
      <c r="J1648" s="12" t="s">
        <v>4486</v>
      </c>
      <c r="K1648" s="13" t="s">
        <v>8448</v>
      </c>
      <c r="L1648" s="99" t="str">
        <f t="shared" si="96"/>
        <v>W2263.D</v>
      </c>
      <c r="M1648" s="45"/>
      <c r="N1648" s="47"/>
      <c r="O1648" s="47"/>
      <c r="P1648" s="47"/>
      <c r="Q1648" s="45"/>
      <c r="R1648" s="45"/>
      <c r="S1648" s="48"/>
    </row>
    <row r="1649" spans="1:19" s="49" customFormat="1" ht="14.15" customHeight="1">
      <c r="A1649" s="45"/>
      <c r="B1649" s="44" t="s">
        <v>157</v>
      </c>
      <c r="C1649" s="50"/>
      <c r="D1649" s="10" t="s">
        <v>29</v>
      </c>
      <c r="E1649" s="11"/>
      <c r="F1649" s="11" t="s">
        <v>18</v>
      </c>
      <c r="G1649" s="13"/>
      <c r="H1649" s="45" t="s">
        <v>16</v>
      </c>
      <c r="I1649" s="47"/>
      <c r="J1649" s="12" t="s">
        <v>4487</v>
      </c>
      <c r="K1649" s="13" t="s">
        <v>8449</v>
      </c>
      <c r="L1649" s="99" t="str">
        <f t="shared" si="96"/>
        <v>W2263.E</v>
      </c>
      <c r="M1649" s="13"/>
      <c r="N1649" s="47"/>
      <c r="O1649" s="47"/>
      <c r="P1649" s="47"/>
      <c r="Q1649" s="45"/>
      <c r="R1649" s="45"/>
      <c r="S1649" s="48"/>
    </row>
    <row r="1650" spans="1:19" s="49" customFormat="1" ht="14.15" customHeight="1">
      <c r="A1650" s="45"/>
      <c r="B1650" s="44" t="s">
        <v>157</v>
      </c>
      <c r="C1650" s="50"/>
      <c r="D1650" s="10" t="s">
        <v>29</v>
      </c>
      <c r="E1650" s="11"/>
      <c r="F1650" s="11" t="s">
        <v>18</v>
      </c>
      <c r="G1650" s="13"/>
      <c r="H1650" s="45" t="s">
        <v>16</v>
      </c>
      <c r="I1650" s="47"/>
      <c r="J1650" s="12" t="s">
        <v>4488</v>
      </c>
      <c r="K1650" s="13" t="s">
        <v>8450</v>
      </c>
      <c r="L1650" s="99" t="str">
        <f t="shared" si="96"/>
        <v>W2263.F</v>
      </c>
      <c r="M1650" s="13"/>
      <c r="N1650" s="47"/>
      <c r="O1650" s="47"/>
      <c r="P1650" s="47"/>
      <c r="Q1650" s="45"/>
      <c r="R1650" s="45"/>
      <c r="S1650" s="48"/>
    </row>
    <row r="1651" spans="1:19" s="49" customFormat="1" ht="14.15" customHeight="1">
      <c r="A1651" s="45"/>
      <c r="B1651" s="44" t="s">
        <v>157</v>
      </c>
      <c r="C1651" s="50"/>
      <c r="D1651" s="10" t="s">
        <v>29</v>
      </c>
      <c r="E1651" s="11"/>
      <c r="F1651" s="11" t="s">
        <v>18</v>
      </c>
      <c r="G1651" s="13"/>
      <c r="H1651" s="45" t="s">
        <v>16</v>
      </c>
      <c r="I1651" s="47"/>
      <c r="J1651" s="12" t="s">
        <v>4489</v>
      </c>
      <c r="K1651" s="13" t="s">
        <v>8451</v>
      </c>
      <c r="L1651" s="99" t="str">
        <f t="shared" si="96"/>
        <v>W2264.0</v>
      </c>
      <c r="M1651" s="13"/>
      <c r="N1651" s="47"/>
      <c r="O1651" s="47"/>
      <c r="P1651" s="47"/>
      <c r="Q1651" s="45"/>
      <c r="R1651" s="45"/>
      <c r="S1651" s="48"/>
    </row>
    <row r="1652" spans="1:19" s="49" customFormat="1" ht="14.15" customHeight="1">
      <c r="A1652" s="45"/>
      <c r="B1652" s="44" t="s">
        <v>157</v>
      </c>
      <c r="C1652" s="50"/>
      <c r="D1652" s="10" t="s">
        <v>29</v>
      </c>
      <c r="E1652" s="11"/>
      <c r="F1652" s="11" t="s">
        <v>18</v>
      </c>
      <c r="G1652" s="13"/>
      <c r="H1652" s="45" t="s">
        <v>16</v>
      </c>
      <c r="I1652" s="47"/>
      <c r="J1652" s="12" t="s">
        <v>4490</v>
      </c>
      <c r="K1652" s="13" t="s">
        <v>8452</v>
      </c>
      <c r="L1652" s="99" t="str">
        <f t="shared" ref="L1652:L1715" si="97">"W"&amp;DEC2HEX(8704 + INT((ROW()-51)/16)) &amp; "." &amp; IF(MOD(ROW()-51,16)&lt;10,MOD(ROW()-51,16),CHAR(MOD(ROW()-51,16)+55))</f>
        <v>W2264.1</v>
      </c>
      <c r="M1652" s="13"/>
      <c r="N1652" s="47"/>
      <c r="O1652" s="47"/>
      <c r="P1652" s="47"/>
      <c r="Q1652" s="45"/>
      <c r="R1652" s="45"/>
      <c r="S1652" s="48"/>
    </row>
    <row r="1653" spans="1:19" s="49" customFormat="1" ht="14.15" customHeight="1">
      <c r="A1653" s="45"/>
      <c r="B1653" s="44" t="s">
        <v>157</v>
      </c>
      <c r="C1653" s="50"/>
      <c r="D1653" s="10" t="s">
        <v>29</v>
      </c>
      <c r="E1653" s="11"/>
      <c r="F1653" s="11" t="s">
        <v>18</v>
      </c>
      <c r="G1653" s="13"/>
      <c r="H1653" s="45" t="s">
        <v>16</v>
      </c>
      <c r="I1653" s="47"/>
      <c r="J1653" s="12" t="s">
        <v>4491</v>
      </c>
      <c r="K1653" s="13" t="s">
        <v>8453</v>
      </c>
      <c r="L1653" s="99" t="str">
        <f t="shared" si="97"/>
        <v>W2264.2</v>
      </c>
      <c r="M1653" s="13"/>
      <c r="N1653" s="47"/>
      <c r="O1653" s="47"/>
      <c r="P1653" s="47"/>
      <c r="Q1653" s="45"/>
      <c r="R1653" s="45"/>
      <c r="S1653" s="48"/>
    </row>
    <row r="1654" spans="1:19" s="49" customFormat="1" ht="14.15" customHeight="1">
      <c r="A1654" s="45"/>
      <c r="B1654" s="44" t="s">
        <v>157</v>
      </c>
      <c r="C1654" s="50"/>
      <c r="D1654" s="10" t="s">
        <v>29</v>
      </c>
      <c r="E1654" s="11"/>
      <c r="F1654" s="11" t="s">
        <v>18</v>
      </c>
      <c r="G1654" s="13"/>
      <c r="H1654" s="45" t="s">
        <v>16</v>
      </c>
      <c r="I1654" s="47"/>
      <c r="J1654" s="12" t="s">
        <v>4492</v>
      </c>
      <c r="K1654" s="13" t="s">
        <v>8454</v>
      </c>
      <c r="L1654" s="99" t="str">
        <f t="shared" si="97"/>
        <v>W2264.3</v>
      </c>
      <c r="M1654" s="13"/>
      <c r="N1654" s="47"/>
      <c r="O1654" s="47"/>
      <c r="P1654" s="47"/>
      <c r="Q1654" s="45"/>
      <c r="R1654" s="45"/>
      <c r="S1654" s="48"/>
    </row>
    <row r="1655" spans="1:19" s="49" customFormat="1" ht="14.15" customHeight="1">
      <c r="A1655" s="45"/>
      <c r="B1655" s="44" t="s">
        <v>157</v>
      </c>
      <c r="C1655" s="50"/>
      <c r="D1655" s="10" t="s">
        <v>29</v>
      </c>
      <c r="E1655" s="11"/>
      <c r="F1655" s="11" t="s">
        <v>18</v>
      </c>
      <c r="G1655" s="13"/>
      <c r="H1655" s="45" t="s">
        <v>16</v>
      </c>
      <c r="I1655" s="47"/>
      <c r="J1655" s="12" t="s">
        <v>4493</v>
      </c>
      <c r="K1655" s="13" t="s">
        <v>8455</v>
      </c>
      <c r="L1655" s="99" t="str">
        <f t="shared" si="97"/>
        <v>W2264.4</v>
      </c>
      <c r="M1655" s="13"/>
      <c r="N1655" s="47"/>
      <c r="O1655" s="47"/>
      <c r="P1655" s="47"/>
      <c r="Q1655" s="45"/>
      <c r="R1655" s="45"/>
      <c r="S1655" s="48"/>
    </row>
    <row r="1656" spans="1:19" s="49" customFormat="1" ht="14.15" customHeight="1">
      <c r="A1656" s="45"/>
      <c r="B1656" s="44" t="s">
        <v>157</v>
      </c>
      <c r="C1656" s="50"/>
      <c r="D1656" s="10" t="s">
        <v>29</v>
      </c>
      <c r="E1656" s="11"/>
      <c r="F1656" s="11" t="s">
        <v>18</v>
      </c>
      <c r="G1656" s="13"/>
      <c r="H1656" s="45" t="s">
        <v>16</v>
      </c>
      <c r="I1656" s="47"/>
      <c r="J1656" s="12" t="s">
        <v>4494</v>
      </c>
      <c r="K1656" s="13" t="s">
        <v>8456</v>
      </c>
      <c r="L1656" s="99" t="str">
        <f t="shared" si="97"/>
        <v>W2264.5</v>
      </c>
      <c r="M1656" s="45"/>
      <c r="N1656" s="47"/>
      <c r="O1656" s="47"/>
      <c r="P1656" s="47"/>
      <c r="Q1656" s="45"/>
      <c r="R1656" s="45"/>
      <c r="S1656" s="48"/>
    </row>
    <row r="1657" spans="1:19" s="49" customFormat="1" ht="14.15" customHeight="1">
      <c r="A1657" s="45"/>
      <c r="B1657" s="44" t="s">
        <v>157</v>
      </c>
      <c r="C1657" s="50"/>
      <c r="D1657" s="10" t="s">
        <v>29</v>
      </c>
      <c r="E1657" s="11"/>
      <c r="F1657" s="11" t="s">
        <v>18</v>
      </c>
      <c r="G1657" s="13"/>
      <c r="H1657" s="45" t="s">
        <v>16</v>
      </c>
      <c r="I1657" s="47"/>
      <c r="J1657" s="12" t="s">
        <v>4495</v>
      </c>
      <c r="K1657" s="13" t="s">
        <v>8457</v>
      </c>
      <c r="L1657" s="99" t="str">
        <f t="shared" si="97"/>
        <v>W2264.6</v>
      </c>
      <c r="M1657" s="45"/>
      <c r="N1657" s="47"/>
      <c r="O1657" s="47"/>
      <c r="P1657" s="47"/>
      <c r="Q1657" s="45"/>
      <c r="R1657" s="45"/>
      <c r="S1657" s="48"/>
    </row>
    <row r="1658" spans="1:19" s="49" customFormat="1" ht="14.15" customHeight="1">
      <c r="A1658" s="45"/>
      <c r="B1658" s="44" t="s">
        <v>157</v>
      </c>
      <c r="C1658" s="50"/>
      <c r="D1658" s="10" t="s">
        <v>29</v>
      </c>
      <c r="E1658" s="11"/>
      <c r="F1658" s="11" t="s">
        <v>18</v>
      </c>
      <c r="G1658" s="13"/>
      <c r="H1658" s="45" t="s">
        <v>16</v>
      </c>
      <c r="I1658" s="47"/>
      <c r="J1658" s="12" t="s">
        <v>4496</v>
      </c>
      <c r="K1658" s="13" t="s">
        <v>8458</v>
      </c>
      <c r="L1658" s="99" t="str">
        <f t="shared" si="97"/>
        <v>W2264.7</v>
      </c>
      <c r="M1658" s="45"/>
      <c r="N1658" s="47"/>
      <c r="O1658" s="47"/>
      <c r="P1658" s="47"/>
      <c r="Q1658" s="45"/>
      <c r="R1658" s="45"/>
      <c r="S1658" s="48"/>
    </row>
    <row r="1659" spans="1:19" s="49" customFormat="1" ht="14.15" customHeight="1">
      <c r="A1659" s="45"/>
      <c r="B1659" s="44" t="s">
        <v>157</v>
      </c>
      <c r="C1659" s="50"/>
      <c r="D1659" s="10" t="s">
        <v>29</v>
      </c>
      <c r="E1659" s="11"/>
      <c r="F1659" s="11" t="s">
        <v>18</v>
      </c>
      <c r="G1659" s="13"/>
      <c r="H1659" s="45" t="s">
        <v>16</v>
      </c>
      <c r="I1659" s="47"/>
      <c r="J1659" s="12" t="s">
        <v>4497</v>
      </c>
      <c r="K1659" s="13" t="s">
        <v>8459</v>
      </c>
      <c r="L1659" s="99" t="str">
        <f t="shared" si="97"/>
        <v>W2264.8</v>
      </c>
      <c r="M1659" s="45"/>
      <c r="N1659" s="47"/>
      <c r="O1659" s="47"/>
      <c r="P1659" s="47"/>
      <c r="Q1659" s="45"/>
      <c r="R1659" s="45"/>
      <c r="S1659" s="48"/>
    </row>
    <row r="1660" spans="1:19" s="49" customFormat="1" ht="14.15" customHeight="1">
      <c r="A1660" s="45"/>
      <c r="B1660" s="44" t="s">
        <v>157</v>
      </c>
      <c r="C1660" s="50"/>
      <c r="D1660" s="10" t="s">
        <v>29</v>
      </c>
      <c r="E1660" s="11"/>
      <c r="F1660" s="11" t="s">
        <v>18</v>
      </c>
      <c r="G1660" s="13"/>
      <c r="H1660" s="45" t="s">
        <v>16</v>
      </c>
      <c r="I1660" s="47"/>
      <c r="J1660" s="12" t="s">
        <v>4498</v>
      </c>
      <c r="K1660" s="13" t="s">
        <v>8460</v>
      </c>
      <c r="L1660" s="99" t="str">
        <f t="shared" si="97"/>
        <v>W2264.9</v>
      </c>
      <c r="M1660" s="13"/>
      <c r="N1660" s="47"/>
      <c r="O1660" s="47"/>
      <c r="P1660" s="47"/>
      <c r="Q1660" s="45"/>
      <c r="R1660" s="45"/>
      <c r="S1660" s="48"/>
    </row>
    <row r="1661" spans="1:19" s="49" customFormat="1" ht="14.15" customHeight="1">
      <c r="A1661" s="45"/>
      <c r="B1661" s="44" t="s">
        <v>157</v>
      </c>
      <c r="C1661" s="50"/>
      <c r="D1661" s="10" t="s">
        <v>29</v>
      </c>
      <c r="E1661" s="11"/>
      <c r="F1661" s="11" t="s">
        <v>18</v>
      </c>
      <c r="G1661" s="13"/>
      <c r="H1661" s="45" t="s">
        <v>16</v>
      </c>
      <c r="I1661" s="47"/>
      <c r="J1661" s="12" t="s">
        <v>4499</v>
      </c>
      <c r="K1661" s="13" t="s">
        <v>8461</v>
      </c>
      <c r="L1661" s="99" t="str">
        <f t="shared" si="97"/>
        <v>W2264.A</v>
      </c>
      <c r="M1661" s="13"/>
      <c r="N1661" s="47"/>
      <c r="O1661" s="47"/>
      <c r="P1661" s="47"/>
      <c r="Q1661" s="45"/>
      <c r="R1661" s="45"/>
      <c r="S1661" s="48"/>
    </row>
    <row r="1662" spans="1:19" s="49" customFormat="1" ht="14.15" customHeight="1">
      <c r="A1662" s="45"/>
      <c r="B1662" s="44" t="s">
        <v>157</v>
      </c>
      <c r="C1662" s="50"/>
      <c r="D1662" s="10" t="s">
        <v>29</v>
      </c>
      <c r="E1662" s="11"/>
      <c r="F1662" s="11" t="s">
        <v>18</v>
      </c>
      <c r="G1662" s="13"/>
      <c r="H1662" s="45" t="s">
        <v>16</v>
      </c>
      <c r="I1662" s="47"/>
      <c r="J1662" s="12" t="s">
        <v>4500</v>
      </c>
      <c r="K1662" s="13" t="s">
        <v>8462</v>
      </c>
      <c r="L1662" s="99" t="str">
        <f t="shared" si="97"/>
        <v>W2264.B</v>
      </c>
      <c r="M1662" s="13"/>
      <c r="N1662" s="47"/>
      <c r="O1662" s="47"/>
      <c r="P1662" s="47"/>
      <c r="Q1662" s="45"/>
      <c r="R1662" s="45"/>
      <c r="S1662" s="48"/>
    </row>
    <row r="1663" spans="1:19" s="49" customFormat="1" ht="14.15" customHeight="1">
      <c r="A1663" s="45"/>
      <c r="B1663" s="44" t="s">
        <v>157</v>
      </c>
      <c r="C1663" s="50"/>
      <c r="D1663" s="10" t="s">
        <v>29</v>
      </c>
      <c r="E1663" s="11"/>
      <c r="F1663" s="11" t="s">
        <v>18</v>
      </c>
      <c r="G1663" s="13"/>
      <c r="H1663" s="45" t="s">
        <v>16</v>
      </c>
      <c r="I1663" s="47"/>
      <c r="J1663" s="12" t="s">
        <v>4501</v>
      </c>
      <c r="K1663" s="13" t="s">
        <v>8463</v>
      </c>
      <c r="L1663" s="99" t="str">
        <f t="shared" si="97"/>
        <v>W2264.C</v>
      </c>
      <c r="M1663" s="45"/>
      <c r="N1663" s="47"/>
      <c r="O1663" s="47"/>
      <c r="P1663" s="47"/>
      <c r="Q1663" s="45"/>
      <c r="R1663" s="45"/>
      <c r="S1663" s="48"/>
    </row>
    <row r="1664" spans="1:19" s="49" customFormat="1" ht="14.15" customHeight="1">
      <c r="A1664" s="45"/>
      <c r="B1664" s="44" t="s">
        <v>157</v>
      </c>
      <c r="C1664" s="50"/>
      <c r="D1664" s="10" t="s">
        <v>29</v>
      </c>
      <c r="E1664" s="11"/>
      <c r="F1664" s="11" t="s">
        <v>18</v>
      </c>
      <c r="G1664" s="13"/>
      <c r="H1664" s="45" t="s">
        <v>16</v>
      </c>
      <c r="I1664" s="47"/>
      <c r="J1664" s="12" t="s">
        <v>4502</v>
      </c>
      <c r="K1664" s="13" t="s">
        <v>8464</v>
      </c>
      <c r="L1664" s="99" t="str">
        <f t="shared" si="97"/>
        <v>W2264.D</v>
      </c>
      <c r="M1664" s="13"/>
      <c r="N1664" s="47"/>
      <c r="O1664" s="47"/>
      <c r="P1664" s="47"/>
      <c r="Q1664" s="45"/>
      <c r="R1664" s="45"/>
      <c r="S1664" s="48"/>
    </row>
    <row r="1665" spans="1:19" s="49" customFormat="1" ht="14.15" customHeight="1">
      <c r="A1665" s="45"/>
      <c r="B1665" s="44" t="s">
        <v>157</v>
      </c>
      <c r="C1665" s="50"/>
      <c r="D1665" s="10" t="s">
        <v>29</v>
      </c>
      <c r="E1665" s="11"/>
      <c r="F1665" s="11" t="s">
        <v>18</v>
      </c>
      <c r="G1665" s="13"/>
      <c r="H1665" s="45" t="s">
        <v>16</v>
      </c>
      <c r="I1665" s="47"/>
      <c r="J1665" s="12" t="s">
        <v>4503</v>
      </c>
      <c r="K1665" s="13" t="s">
        <v>8465</v>
      </c>
      <c r="L1665" s="99" t="str">
        <f t="shared" si="97"/>
        <v>W2264.E</v>
      </c>
      <c r="M1665" s="45"/>
      <c r="N1665" s="47"/>
      <c r="O1665" s="47"/>
      <c r="P1665" s="47"/>
      <c r="Q1665" s="45"/>
      <c r="R1665" s="45"/>
      <c r="S1665" s="48"/>
    </row>
    <row r="1666" spans="1:19" s="49" customFormat="1" ht="14.15" customHeight="1">
      <c r="A1666" s="45"/>
      <c r="B1666" s="44" t="s">
        <v>157</v>
      </c>
      <c r="C1666" s="50"/>
      <c r="D1666" s="10" t="s">
        <v>29</v>
      </c>
      <c r="E1666" s="11"/>
      <c r="F1666" s="11" t="s">
        <v>18</v>
      </c>
      <c r="G1666" s="13"/>
      <c r="H1666" s="45" t="s">
        <v>16</v>
      </c>
      <c r="I1666" s="47"/>
      <c r="J1666" s="12" t="s">
        <v>4504</v>
      </c>
      <c r="K1666" s="13" t="s">
        <v>8466</v>
      </c>
      <c r="L1666" s="99" t="str">
        <f t="shared" si="97"/>
        <v>W2264.F</v>
      </c>
      <c r="M1666" s="45"/>
      <c r="N1666" s="47"/>
      <c r="O1666" s="47"/>
      <c r="P1666" s="47"/>
      <c r="Q1666" s="45"/>
      <c r="R1666" s="45"/>
      <c r="S1666" s="48"/>
    </row>
    <row r="1667" spans="1:19" s="49" customFormat="1" ht="14.15" customHeight="1">
      <c r="A1667" s="45"/>
      <c r="B1667" s="44" t="s">
        <v>157</v>
      </c>
      <c r="C1667" s="50"/>
      <c r="D1667" s="10" t="s">
        <v>29</v>
      </c>
      <c r="E1667" s="11"/>
      <c r="F1667" s="11" t="s">
        <v>18</v>
      </c>
      <c r="G1667" s="13"/>
      <c r="H1667" s="45" t="s">
        <v>16</v>
      </c>
      <c r="I1667" s="47"/>
      <c r="J1667" s="12" t="s">
        <v>4505</v>
      </c>
      <c r="K1667" s="13" t="s">
        <v>8467</v>
      </c>
      <c r="L1667" s="99" t="str">
        <f t="shared" si="97"/>
        <v>W2265.0</v>
      </c>
      <c r="M1667" s="45"/>
      <c r="N1667" s="47"/>
      <c r="O1667" s="47"/>
      <c r="P1667" s="47"/>
      <c r="Q1667" s="45"/>
      <c r="R1667" s="45"/>
      <c r="S1667" s="48"/>
    </row>
    <row r="1668" spans="1:19" s="49" customFormat="1" ht="14.15" customHeight="1">
      <c r="A1668" s="45"/>
      <c r="B1668" s="44" t="s">
        <v>157</v>
      </c>
      <c r="C1668" s="50"/>
      <c r="D1668" s="10" t="s">
        <v>29</v>
      </c>
      <c r="E1668" s="11"/>
      <c r="F1668" s="11" t="s">
        <v>18</v>
      </c>
      <c r="G1668" s="13"/>
      <c r="H1668" s="45" t="s">
        <v>16</v>
      </c>
      <c r="I1668" s="47"/>
      <c r="J1668" s="12" t="s">
        <v>4506</v>
      </c>
      <c r="K1668" s="13" t="s">
        <v>8468</v>
      </c>
      <c r="L1668" s="99" t="str">
        <f t="shared" si="97"/>
        <v>W2265.1</v>
      </c>
      <c r="M1668" s="45"/>
      <c r="N1668" s="47"/>
      <c r="O1668" s="47"/>
      <c r="P1668" s="47"/>
      <c r="Q1668" s="45"/>
      <c r="R1668" s="45"/>
      <c r="S1668" s="48"/>
    </row>
    <row r="1669" spans="1:19" s="49" customFormat="1" ht="14.15" customHeight="1">
      <c r="A1669" s="45"/>
      <c r="B1669" s="44" t="s">
        <v>157</v>
      </c>
      <c r="C1669" s="50"/>
      <c r="D1669" s="10" t="s">
        <v>29</v>
      </c>
      <c r="E1669" s="11"/>
      <c r="F1669" s="11" t="s">
        <v>18</v>
      </c>
      <c r="G1669" s="13"/>
      <c r="H1669" s="45" t="s">
        <v>16</v>
      </c>
      <c r="I1669" s="47"/>
      <c r="J1669" s="12" t="s">
        <v>4507</v>
      </c>
      <c r="K1669" s="13" t="s">
        <v>8469</v>
      </c>
      <c r="L1669" s="99" t="str">
        <f t="shared" si="97"/>
        <v>W2265.2</v>
      </c>
      <c r="M1669" s="13"/>
      <c r="N1669" s="47"/>
      <c r="O1669" s="47"/>
      <c r="P1669" s="47"/>
      <c r="Q1669" s="45"/>
      <c r="R1669" s="45"/>
      <c r="S1669" s="48"/>
    </row>
    <row r="1670" spans="1:19" s="49" customFormat="1" ht="14.15" customHeight="1">
      <c r="A1670" s="45"/>
      <c r="B1670" s="44" t="s">
        <v>157</v>
      </c>
      <c r="C1670" s="50"/>
      <c r="D1670" s="10" t="s">
        <v>29</v>
      </c>
      <c r="E1670" s="11"/>
      <c r="F1670" s="11" t="s">
        <v>18</v>
      </c>
      <c r="G1670" s="13"/>
      <c r="H1670" s="45" t="s">
        <v>16</v>
      </c>
      <c r="I1670" s="47"/>
      <c r="J1670" s="12" t="s">
        <v>4508</v>
      </c>
      <c r="K1670" s="13" t="s">
        <v>8470</v>
      </c>
      <c r="L1670" s="99" t="str">
        <f t="shared" si="97"/>
        <v>W2265.3</v>
      </c>
      <c r="M1670" s="13"/>
      <c r="N1670" s="47"/>
      <c r="O1670" s="47"/>
      <c r="P1670" s="47"/>
      <c r="Q1670" s="45"/>
      <c r="R1670" s="45"/>
      <c r="S1670" s="48"/>
    </row>
    <row r="1671" spans="1:19" s="49" customFormat="1" ht="14.15" customHeight="1">
      <c r="A1671" s="45"/>
      <c r="B1671" s="44" t="s">
        <v>157</v>
      </c>
      <c r="C1671" s="50"/>
      <c r="D1671" s="10" t="s">
        <v>29</v>
      </c>
      <c r="E1671" s="11"/>
      <c r="F1671" s="11" t="s">
        <v>18</v>
      </c>
      <c r="G1671" s="13"/>
      <c r="H1671" s="45" t="s">
        <v>16</v>
      </c>
      <c r="I1671" s="47"/>
      <c r="J1671" s="12" t="s">
        <v>4509</v>
      </c>
      <c r="K1671" s="13" t="s">
        <v>8471</v>
      </c>
      <c r="L1671" s="99" t="str">
        <f t="shared" si="97"/>
        <v>W2265.4</v>
      </c>
      <c r="M1671" s="13"/>
      <c r="N1671" s="47"/>
      <c r="O1671" s="47"/>
      <c r="P1671" s="47"/>
      <c r="Q1671" s="45"/>
      <c r="R1671" s="45"/>
      <c r="S1671" s="48"/>
    </row>
    <row r="1672" spans="1:19" s="49" customFormat="1" ht="14.15" customHeight="1">
      <c r="A1672" s="45"/>
      <c r="B1672" s="44" t="s">
        <v>157</v>
      </c>
      <c r="C1672" s="50"/>
      <c r="D1672" s="10" t="s">
        <v>29</v>
      </c>
      <c r="E1672" s="11"/>
      <c r="F1672" s="11" t="s">
        <v>18</v>
      </c>
      <c r="G1672" s="13"/>
      <c r="H1672" s="45" t="s">
        <v>16</v>
      </c>
      <c r="I1672" s="47"/>
      <c r="J1672" s="12" t="s">
        <v>4510</v>
      </c>
      <c r="K1672" s="13" t="s">
        <v>8472</v>
      </c>
      <c r="L1672" s="99" t="str">
        <f t="shared" si="97"/>
        <v>W2265.5</v>
      </c>
      <c r="M1672" s="13"/>
      <c r="N1672" s="47"/>
      <c r="O1672" s="47"/>
      <c r="P1672" s="47"/>
      <c r="Q1672" s="45"/>
      <c r="R1672" s="45"/>
      <c r="S1672" s="48"/>
    </row>
    <row r="1673" spans="1:19" s="49" customFormat="1" ht="14.15" customHeight="1">
      <c r="A1673" s="45"/>
      <c r="B1673" s="44" t="s">
        <v>157</v>
      </c>
      <c r="C1673" s="50"/>
      <c r="D1673" s="10" t="s">
        <v>29</v>
      </c>
      <c r="E1673" s="11"/>
      <c r="F1673" s="11" t="s">
        <v>18</v>
      </c>
      <c r="G1673" s="13"/>
      <c r="H1673" s="45" t="s">
        <v>16</v>
      </c>
      <c r="I1673" s="47"/>
      <c r="J1673" s="12" t="s">
        <v>4511</v>
      </c>
      <c r="K1673" s="13" t="s">
        <v>8473</v>
      </c>
      <c r="L1673" s="99" t="str">
        <f t="shared" si="97"/>
        <v>W2265.6</v>
      </c>
      <c r="M1673" s="13"/>
      <c r="N1673" s="47"/>
      <c r="O1673" s="47"/>
      <c r="P1673" s="47"/>
      <c r="Q1673" s="45"/>
      <c r="R1673" s="45"/>
      <c r="S1673" s="48"/>
    </row>
    <row r="1674" spans="1:19" s="49" customFormat="1" ht="14.15" customHeight="1">
      <c r="A1674" s="45"/>
      <c r="B1674" s="44" t="s">
        <v>157</v>
      </c>
      <c r="C1674" s="50"/>
      <c r="D1674" s="10" t="s">
        <v>29</v>
      </c>
      <c r="E1674" s="11"/>
      <c r="F1674" s="11" t="s">
        <v>18</v>
      </c>
      <c r="G1674" s="13"/>
      <c r="H1674" s="45" t="s">
        <v>16</v>
      </c>
      <c r="I1674" s="47"/>
      <c r="J1674" s="12" t="s">
        <v>4512</v>
      </c>
      <c r="K1674" s="13" t="s">
        <v>8474</v>
      </c>
      <c r="L1674" s="99" t="str">
        <f t="shared" si="97"/>
        <v>W2265.7</v>
      </c>
      <c r="M1674" s="13"/>
      <c r="N1674" s="47"/>
      <c r="O1674" s="47"/>
      <c r="P1674" s="47"/>
      <c r="Q1674" s="45"/>
      <c r="R1674" s="45"/>
      <c r="S1674" s="48"/>
    </row>
    <row r="1675" spans="1:19" s="49" customFormat="1" ht="14.15" customHeight="1">
      <c r="A1675" s="45"/>
      <c r="B1675" s="44" t="s">
        <v>157</v>
      </c>
      <c r="C1675" s="50"/>
      <c r="D1675" s="10" t="s">
        <v>29</v>
      </c>
      <c r="E1675" s="11"/>
      <c r="F1675" s="11" t="s">
        <v>18</v>
      </c>
      <c r="G1675" s="13"/>
      <c r="H1675" s="45" t="s">
        <v>16</v>
      </c>
      <c r="I1675" s="47"/>
      <c r="J1675" s="12" t="s">
        <v>4513</v>
      </c>
      <c r="K1675" s="13" t="s">
        <v>8475</v>
      </c>
      <c r="L1675" s="99" t="str">
        <f t="shared" si="97"/>
        <v>W2265.8</v>
      </c>
      <c r="M1675" s="13"/>
      <c r="N1675" s="47"/>
      <c r="O1675" s="47"/>
      <c r="P1675" s="47"/>
      <c r="Q1675" s="45"/>
      <c r="R1675" s="45"/>
      <c r="S1675" s="48"/>
    </row>
    <row r="1676" spans="1:19" s="49" customFormat="1" ht="14.15" customHeight="1">
      <c r="A1676" s="45"/>
      <c r="B1676" s="44" t="s">
        <v>157</v>
      </c>
      <c r="C1676" s="50"/>
      <c r="D1676" s="10" t="s">
        <v>29</v>
      </c>
      <c r="E1676" s="11"/>
      <c r="F1676" s="11" t="s">
        <v>18</v>
      </c>
      <c r="G1676" s="13"/>
      <c r="H1676" s="45" t="s">
        <v>16</v>
      </c>
      <c r="I1676" s="47"/>
      <c r="J1676" s="12" t="s">
        <v>4514</v>
      </c>
      <c r="K1676" s="13" t="s">
        <v>8476</v>
      </c>
      <c r="L1676" s="99" t="str">
        <f t="shared" si="97"/>
        <v>W2265.9</v>
      </c>
      <c r="M1676" s="45"/>
      <c r="N1676" s="47"/>
      <c r="O1676" s="47"/>
      <c r="P1676" s="47"/>
      <c r="Q1676" s="45"/>
      <c r="R1676" s="45"/>
      <c r="S1676" s="48"/>
    </row>
    <row r="1677" spans="1:19" s="49" customFormat="1" ht="14.15" customHeight="1">
      <c r="A1677" s="45"/>
      <c r="B1677" s="44" t="s">
        <v>157</v>
      </c>
      <c r="C1677" s="50"/>
      <c r="D1677" s="10" t="s">
        <v>29</v>
      </c>
      <c r="E1677" s="11"/>
      <c r="F1677" s="11" t="s">
        <v>18</v>
      </c>
      <c r="G1677" s="13"/>
      <c r="H1677" s="45" t="s">
        <v>16</v>
      </c>
      <c r="I1677" s="47"/>
      <c r="J1677" s="12" t="s">
        <v>4515</v>
      </c>
      <c r="K1677" s="13" t="s">
        <v>8477</v>
      </c>
      <c r="L1677" s="99" t="str">
        <f t="shared" si="97"/>
        <v>W2265.A</v>
      </c>
      <c r="M1677" s="45"/>
      <c r="N1677" s="47"/>
      <c r="O1677" s="47"/>
      <c r="P1677" s="47"/>
      <c r="Q1677" s="45"/>
      <c r="R1677" s="45"/>
      <c r="S1677" s="48"/>
    </row>
    <row r="1678" spans="1:19" s="49" customFormat="1" ht="14.15" customHeight="1">
      <c r="A1678" s="45"/>
      <c r="B1678" s="44" t="s">
        <v>157</v>
      </c>
      <c r="C1678" s="50"/>
      <c r="D1678" s="10" t="s">
        <v>29</v>
      </c>
      <c r="E1678" s="11"/>
      <c r="F1678" s="11" t="s">
        <v>18</v>
      </c>
      <c r="G1678" s="13"/>
      <c r="H1678" s="45" t="s">
        <v>16</v>
      </c>
      <c r="I1678" s="47"/>
      <c r="J1678" s="12" t="s">
        <v>4516</v>
      </c>
      <c r="K1678" s="13" t="s">
        <v>8478</v>
      </c>
      <c r="L1678" s="99" t="str">
        <f t="shared" si="97"/>
        <v>W2265.B</v>
      </c>
      <c r="M1678" s="45"/>
      <c r="N1678" s="47"/>
      <c r="O1678" s="47"/>
      <c r="P1678" s="47"/>
      <c r="Q1678" s="45"/>
      <c r="R1678" s="45"/>
      <c r="S1678" s="48"/>
    </row>
    <row r="1679" spans="1:19" s="49" customFormat="1" ht="14.15" customHeight="1">
      <c r="A1679" s="45"/>
      <c r="B1679" s="44" t="s">
        <v>157</v>
      </c>
      <c r="C1679" s="50"/>
      <c r="D1679" s="10" t="s">
        <v>29</v>
      </c>
      <c r="E1679" s="11"/>
      <c r="F1679" s="11" t="s">
        <v>18</v>
      </c>
      <c r="G1679" s="13"/>
      <c r="H1679" s="45" t="s">
        <v>16</v>
      </c>
      <c r="I1679" s="47"/>
      <c r="J1679" s="12" t="s">
        <v>4517</v>
      </c>
      <c r="K1679" s="13" t="s">
        <v>8479</v>
      </c>
      <c r="L1679" s="99" t="str">
        <f t="shared" si="97"/>
        <v>W2265.C</v>
      </c>
      <c r="M1679" s="45"/>
      <c r="N1679" s="47"/>
      <c r="O1679" s="47"/>
      <c r="P1679" s="47"/>
      <c r="Q1679" s="45"/>
      <c r="R1679" s="45"/>
      <c r="S1679" s="48"/>
    </row>
    <row r="1680" spans="1:19" s="49" customFormat="1" ht="14.15" customHeight="1">
      <c r="A1680" s="45"/>
      <c r="B1680" s="44" t="s">
        <v>157</v>
      </c>
      <c r="C1680" s="50"/>
      <c r="D1680" s="10" t="s">
        <v>29</v>
      </c>
      <c r="E1680" s="11"/>
      <c r="F1680" s="11" t="s">
        <v>18</v>
      </c>
      <c r="G1680" s="13"/>
      <c r="H1680" s="45" t="s">
        <v>16</v>
      </c>
      <c r="I1680" s="47"/>
      <c r="J1680" s="12" t="s">
        <v>4518</v>
      </c>
      <c r="K1680" s="13" t="s">
        <v>8480</v>
      </c>
      <c r="L1680" s="99" t="str">
        <f t="shared" si="97"/>
        <v>W2265.D</v>
      </c>
      <c r="M1680" s="13"/>
      <c r="N1680" s="47"/>
      <c r="O1680" s="47"/>
      <c r="P1680" s="47"/>
      <c r="Q1680" s="45"/>
      <c r="R1680" s="45"/>
      <c r="S1680" s="48"/>
    </row>
    <row r="1681" spans="1:19" s="49" customFormat="1" ht="14.15" customHeight="1">
      <c r="A1681" s="45"/>
      <c r="B1681" s="44" t="s">
        <v>157</v>
      </c>
      <c r="C1681" s="50"/>
      <c r="D1681" s="10" t="s">
        <v>29</v>
      </c>
      <c r="E1681" s="11"/>
      <c r="F1681" s="11" t="s">
        <v>18</v>
      </c>
      <c r="G1681" s="13"/>
      <c r="H1681" s="45" t="s">
        <v>16</v>
      </c>
      <c r="I1681" s="47"/>
      <c r="J1681" s="12" t="s">
        <v>4519</v>
      </c>
      <c r="K1681" s="13" t="s">
        <v>8481</v>
      </c>
      <c r="L1681" s="99" t="str">
        <f t="shared" si="97"/>
        <v>W2265.E</v>
      </c>
      <c r="M1681" s="13"/>
      <c r="N1681" s="47"/>
      <c r="O1681" s="47"/>
      <c r="P1681" s="47"/>
      <c r="Q1681" s="45"/>
      <c r="R1681" s="45"/>
      <c r="S1681" s="48"/>
    </row>
    <row r="1682" spans="1:19" s="49" customFormat="1" ht="14.15" customHeight="1">
      <c r="A1682" s="45"/>
      <c r="B1682" s="44" t="s">
        <v>157</v>
      </c>
      <c r="C1682" s="50"/>
      <c r="D1682" s="10" t="s">
        <v>29</v>
      </c>
      <c r="E1682" s="11"/>
      <c r="F1682" s="11" t="s">
        <v>18</v>
      </c>
      <c r="G1682" s="13"/>
      <c r="H1682" s="45" t="s">
        <v>16</v>
      </c>
      <c r="I1682" s="47"/>
      <c r="J1682" s="12" t="s">
        <v>4520</v>
      </c>
      <c r="K1682" s="13" t="s">
        <v>8482</v>
      </c>
      <c r="L1682" s="99" t="str">
        <f t="shared" si="97"/>
        <v>W2265.F</v>
      </c>
      <c r="M1682" s="13"/>
      <c r="N1682" s="47"/>
      <c r="O1682" s="47"/>
      <c r="P1682" s="47"/>
      <c r="Q1682" s="45"/>
      <c r="R1682" s="45"/>
      <c r="S1682" s="48"/>
    </row>
    <row r="1683" spans="1:19" s="49" customFormat="1" ht="14.15" customHeight="1">
      <c r="A1683" s="45"/>
      <c r="B1683" s="44" t="s">
        <v>157</v>
      </c>
      <c r="C1683" s="50"/>
      <c r="D1683" s="10" t="s">
        <v>29</v>
      </c>
      <c r="E1683" s="11"/>
      <c r="F1683" s="11" t="s">
        <v>18</v>
      </c>
      <c r="G1683" s="13"/>
      <c r="H1683" s="45" t="s">
        <v>16</v>
      </c>
      <c r="I1683" s="47"/>
      <c r="J1683" s="12" t="s">
        <v>4521</v>
      </c>
      <c r="K1683" s="13" t="s">
        <v>8483</v>
      </c>
      <c r="L1683" s="99" t="str">
        <f t="shared" si="97"/>
        <v>W2266.0</v>
      </c>
      <c r="M1683" s="45"/>
      <c r="N1683" s="47"/>
      <c r="O1683" s="47"/>
      <c r="P1683" s="47"/>
      <c r="Q1683" s="45"/>
      <c r="R1683" s="45"/>
      <c r="S1683" s="48"/>
    </row>
    <row r="1684" spans="1:19" s="49" customFormat="1" ht="14.15" customHeight="1">
      <c r="A1684" s="45"/>
      <c r="B1684" s="44" t="s">
        <v>157</v>
      </c>
      <c r="C1684" s="50"/>
      <c r="D1684" s="10" t="s">
        <v>29</v>
      </c>
      <c r="E1684" s="11"/>
      <c r="F1684" s="11" t="s">
        <v>18</v>
      </c>
      <c r="G1684" s="13"/>
      <c r="H1684" s="45" t="s">
        <v>16</v>
      </c>
      <c r="I1684" s="47"/>
      <c r="J1684" s="12" t="s">
        <v>4522</v>
      </c>
      <c r="K1684" s="13" t="s">
        <v>8484</v>
      </c>
      <c r="L1684" s="99" t="str">
        <f t="shared" si="97"/>
        <v>W2266.1</v>
      </c>
      <c r="M1684" s="13"/>
      <c r="N1684" s="47"/>
      <c r="O1684" s="47"/>
      <c r="P1684" s="47"/>
      <c r="Q1684" s="45"/>
      <c r="R1684" s="45"/>
      <c r="S1684" s="48"/>
    </row>
    <row r="1685" spans="1:19" s="49" customFormat="1" ht="14.15" customHeight="1">
      <c r="A1685" s="45"/>
      <c r="B1685" s="44" t="s">
        <v>157</v>
      </c>
      <c r="C1685" s="50"/>
      <c r="D1685" s="10" t="s">
        <v>29</v>
      </c>
      <c r="E1685" s="11"/>
      <c r="F1685" s="11" t="s">
        <v>18</v>
      </c>
      <c r="G1685" s="13"/>
      <c r="H1685" s="45" t="s">
        <v>16</v>
      </c>
      <c r="I1685" s="47"/>
      <c r="J1685" s="12" t="s">
        <v>4523</v>
      </c>
      <c r="K1685" s="13" t="s">
        <v>8485</v>
      </c>
      <c r="L1685" s="99" t="str">
        <f t="shared" si="97"/>
        <v>W2266.2</v>
      </c>
      <c r="M1685" s="45"/>
      <c r="N1685" s="47"/>
      <c r="O1685" s="47"/>
      <c r="P1685" s="47"/>
      <c r="Q1685" s="45"/>
      <c r="R1685" s="45"/>
      <c r="S1685" s="48"/>
    </row>
    <row r="1686" spans="1:19" s="49" customFormat="1" ht="14.15" customHeight="1">
      <c r="A1686" s="45"/>
      <c r="B1686" s="44" t="s">
        <v>157</v>
      </c>
      <c r="C1686" s="50"/>
      <c r="D1686" s="10" t="s">
        <v>29</v>
      </c>
      <c r="E1686" s="11"/>
      <c r="F1686" s="11" t="s">
        <v>18</v>
      </c>
      <c r="G1686" s="13"/>
      <c r="H1686" s="45" t="s">
        <v>16</v>
      </c>
      <c r="I1686" s="47"/>
      <c r="J1686" s="12" t="s">
        <v>4524</v>
      </c>
      <c r="K1686" s="13" t="s">
        <v>8486</v>
      </c>
      <c r="L1686" s="99" t="str">
        <f t="shared" si="97"/>
        <v>W2266.3</v>
      </c>
      <c r="M1686" s="45"/>
      <c r="N1686" s="47"/>
      <c r="O1686" s="47"/>
      <c r="P1686" s="47"/>
      <c r="Q1686" s="45"/>
      <c r="R1686" s="45"/>
      <c r="S1686" s="48"/>
    </row>
    <row r="1687" spans="1:19" s="49" customFormat="1" ht="14.15" customHeight="1">
      <c r="A1687" s="45"/>
      <c r="B1687" s="44" t="s">
        <v>157</v>
      </c>
      <c r="C1687" s="50"/>
      <c r="D1687" s="10" t="s">
        <v>29</v>
      </c>
      <c r="E1687" s="11"/>
      <c r="F1687" s="11" t="s">
        <v>18</v>
      </c>
      <c r="G1687" s="13"/>
      <c r="H1687" s="45" t="s">
        <v>16</v>
      </c>
      <c r="I1687" s="47"/>
      <c r="J1687" s="12" t="s">
        <v>4525</v>
      </c>
      <c r="K1687" s="13" t="s">
        <v>8487</v>
      </c>
      <c r="L1687" s="99" t="str">
        <f t="shared" si="97"/>
        <v>W2266.4</v>
      </c>
      <c r="M1687" s="45"/>
      <c r="N1687" s="47"/>
      <c r="O1687" s="47"/>
      <c r="P1687" s="47"/>
      <c r="Q1687" s="45"/>
      <c r="R1687" s="45"/>
      <c r="S1687" s="48"/>
    </row>
    <row r="1688" spans="1:19" s="49" customFormat="1" ht="14.15" customHeight="1">
      <c r="A1688" s="45"/>
      <c r="B1688" s="44" t="s">
        <v>157</v>
      </c>
      <c r="C1688" s="50"/>
      <c r="D1688" s="10" t="s">
        <v>29</v>
      </c>
      <c r="E1688" s="11"/>
      <c r="F1688" s="11" t="s">
        <v>18</v>
      </c>
      <c r="G1688" s="13"/>
      <c r="H1688" s="45" t="s">
        <v>16</v>
      </c>
      <c r="I1688" s="47"/>
      <c r="J1688" s="12" t="s">
        <v>4526</v>
      </c>
      <c r="K1688" s="13" t="s">
        <v>8488</v>
      </c>
      <c r="L1688" s="99" t="str">
        <f t="shared" si="97"/>
        <v>W2266.5</v>
      </c>
      <c r="M1688" s="45"/>
      <c r="N1688" s="47"/>
      <c r="O1688" s="47"/>
      <c r="P1688" s="47"/>
      <c r="Q1688" s="45"/>
      <c r="R1688" s="45"/>
      <c r="S1688" s="48"/>
    </row>
    <row r="1689" spans="1:19" s="49" customFormat="1" ht="14.15" customHeight="1">
      <c r="A1689" s="45"/>
      <c r="B1689" s="44" t="s">
        <v>157</v>
      </c>
      <c r="C1689" s="50"/>
      <c r="D1689" s="10" t="s">
        <v>29</v>
      </c>
      <c r="E1689" s="11"/>
      <c r="F1689" s="11" t="s">
        <v>18</v>
      </c>
      <c r="G1689" s="13"/>
      <c r="H1689" s="45" t="s">
        <v>16</v>
      </c>
      <c r="I1689" s="47"/>
      <c r="J1689" s="12" t="s">
        <v>4527</v>
      </c>
      <c r="K1689" s="13" t="s">
        <v>8489</v>
      </c>
      <c r="L1689" s="99" t="str">
        <f t="shared" si="97"/>
        <v>W2266.6</v>
      </c>
      <c r="M1689" s="13"/>
      <c r="N1689" s="47"/>
      <c r="O1689" s="47"/>
      <c r="P1689" s="47"/>
      <c r="Q1689" s="45"/>
      <c r="R1689" s="45"/>
      <c r="S1689" s="48"/>
    </row>
    <row r="1690" spans="1:19" s="49" customFormat="1" ht="14.15" customHeight="1">
      <c r="A1690" s="45"/>
      <c r="B1690" s="44" t="s">
        <v>157</v>
      </c>
      <c r="C1690" s="50"/>
      <c r="D1690" s="10" t="s">
        <v>29</v>
      </c>
      <c r="E1690" s="11"/>
      <c r="F1690" s="11" t="s">
        <v>18</v>
      </c>
      <c r="G1690" s="13"/>
      <c r="H1690" s="45" t="s">
        <v>16</v>
      </c>
      <c r="I1690" s="47"/>
      <c r="J1690" s="12" t="s">
        <v>4528</v>
      </c>
      <c r="K1690" s="13" t="s">
        <v>8490</v>
      </c>
      <c r="L1690" s="99" t="str">
        <f t="shared" si="97"/>
        <v>W2266.7</v>
      </c>
      <c r="M1690" s="45"/>
      <c r="N1690" s="47"/>
      <c r="O1690" s="47"/>
      <c r="P1690" s="47"/>
      <c r="Q1690" s="45"/>
      <c r="R1690" s="45"/>
      <c r="S1690" s="48"/>
    </row>
    <row r="1691" spans="1:19" s="49" customFormat="1" ht="14.15" customHeight="1">
      <c r="A1691" s="45"/>
      <c r="B1691" s="44" t="s">
        <v>157</v>
      </c>
      <c r="C1691" s="50"/>
      <c r="D1691" s="10" t="s">
        <v>29</v>
      </c>
      <c r="E1691" s="11"/>
      <c r="F1691" s="11" t="s">
        <v>18</v>
      </c>
      <c r="G1691" s="13"/>
      <c r="H1691" s="45" t="s">
        <v>16</v>
      </c>
      <c r="I1691" s="47"/>
      <c r="J1691" s="12" t="s">
        <v>4529</v>
      </c>
      <c r="K1691" s="13" t="s">
        <v>8491</v>
      </c>
      <c r="L1691" s="99" t="str">
        <f t="shared" si="97"/>
        <v>W2266.8</v>
      </c>
      <c r="M1691" s="45"/>
      <c r="N1691" s="47"/>
      <c r="O1691" s="47"/>
      <c r="P1691" s="47"/>
      <c r="Q1691" s="45"/>
      <c r="R1691" s="45"/>
      <c r="S1691" s="48"/>
    </row>
    <row r="1692" spans="1:19" s="49" customFormat="1" ht="14.15" customHeight="1">
      <c r="A1692" s="45"/>
      <c r="B1692" s="44" t="s">
        <v>157</v>
      </c>
      <c r="C1692" s="50"/>
      <c r="D1692" s="10" t="s">
        <v>29</v>
      </c>
      <c r="E1692" s="11"/>
      <c r="F1692" s="11" t="s">
        <v>18</v>
      </c>
      <c r="G1692" s="13"/>
      <c r="H1692" s="45" t="s">
        <v>16</v>
      </c>
      <c r="I1692" s="47"/>
      <c r="J1692" s="12" t="s">
        <v>4530</v>
      </c>
      <c r="K1692" s="13" t="s">
        <v>8492</v>
      </c>
      <c r="L1692" s="99" t="str">
        <f t="shared" si="97"/>
        <v>W2266.9</v>
      </c>
      <c r="M1692" s="45"/>
      <c r="N1692" s="47"/>
      <c r="O1692" s="47"/>
      <c r="P1692" s="47"/>
      <c r="Q1692" s="45"/>
      <c r="R1692" s="45"/>
      <c r="S1692" s="48"/>
    </row>
    <row r="1693" spans="1:19" s="49" customFormat="1" ht="14.15" customHeight="1">
      <c r="A1693" s="45"/>
      <c r="B1693" s="44" t="s">
        <v>157</v>
      </c>
      <c r="C1693" s="50"/>
      <c r="D1693" s="10" t="s">
        <v>29</v>
      </c>
      <c r="E1693" s="11"/>
      <c r="F1693" s="11" t="s">
        <v>18</v>
      </c>
      <c r="G1693" s="13"/>
      <c r="H1693" s="45" t="s">
        <v>16</v>
      </c>
      <c r="I1693" s="47"/>
      <c r="J1693" s="12" t="s">
        <v>4531</v>
      </c>
      <c r="K1693" s="13" t="s">
        <v>8493</v>
      </c>
      <c r="L1693" s="99" t="str">
        <f t="shared" si="97"/>
        <v>W2266.A</v>
      </c>
      <c r="M1693" s="45"/>
      <c r="N1693" s="47"/>
      <c r="O1693" s="47"/>
      <c r="P1693" s="47"/>
      <c r="Q1693" s="45"/>
      <c r="R1693" s="45"/>
      <c r="S1693" s="48"/>
    </row>
    <row r="1694" spans="1:19" s="49" customFormat="1" ht="14.15" customHeight="1">
      <c r="A1694" s="45"/>
      <c r="B1694" s="44" t="s">
        <v>157</v>
      </c>
      <c r="C1694" s="50"/>
      <c r="D1694" s="10" t="s">
        <v>29</v>
      </c>
      <c r="E1694" s="11"/>
      <c r="F1694" s="11" t="s">
        <v>18</v>
      </c>
      <c r="G1694" s="13"/>
      <c r="H1694" s="45" t="s">
        <v>16</v>
      </c>
      <c r="I1694" s="47"/>
      <c r="J1694" s="12" t="s">
        <v>4532</v>
      </c>
      <c r="K1694" s="13" t="s">
        <v>8494</v>
      </c>
      <c r="L1694" s="99" t="str">
        <f t="shared" si="97"/>
        <v>W2266.B</v>
      </c>
      <c r="M1694" s="45"/>
      <c r="N1694" s="47"/>
      <c r="O1694" s="47"/>
      <c r="P1694" s="47"/>
      <c r="Q1694" s="45"/>
      <c r="R1694" s="45"/>
      <c r="S1694" s="48"/>
    </row>
    <row r="1695" spans="1:19" s="49" customFormat="1" ht="14.15" customHeight="1">
      <c r="A1695" s="45"/>
      <c r="B1695" s="44" t="s">
        <v>157</v>
      </c>
      <c r="C1695" s="50"/>
      <c r="D1695" s="10" t="s">
        <v>29</v>
      </c>
      <c r="E1695" s="11"/>
      <c r="F1695" s="11" t="s">
        <v>18</v>
      </c>
      <c r="G1695" s="13"/>
      <c r="H1695" s="45" t="s">
        <v>16</v>
      </c>
      <c r="I1695" s="47"/>
      <c r="J1695" s="12" t="s">
        <v>4533</v>
      </c>
      <c r="K1695" s="13" t="s">
        <v>8495</v>
      </c>
      <c r="L1695" s="99" t="str">
        <f t="shared" si="97"/>
        <v>W2266.C</v>
      </c>
      <c r="M1695" s="45"/>
      <c r="N1695" s="47"/>
      <c r="O1695" s="47"/>
      <c r="P1695" s="47"/>
      <c r="Q1695" s="45"/>
      <c r="R1695" s="45"/>
      <c r="S1695" s="48"/>
    </row>
    <row r="1696" spans="1:19" s="49" customFormat="1" ht="14.15" customHeight="1">
      <c r="A1696" s="45"/>
      <c r="B1696" s="44" t="s">
        <v>157</v>
      </c>
      <c r="C1696" s="50"/>
      <c r="D1696" s="10" t="s">
        <v>29</v>
      </c>
      <c r="E1696" s="11"/>
      <c r="F1696" s="11" t="s">
        <v>18</v>
      </c>
      <c r="G1696" s="13"/>
      <c r="H1696" s="45" t="s">
        <v>16</v>
      </c>
      <c r="I1696" s="47"/>
      <c r="J1696" s="12" t="s">
        <v>4534</v>
      </c>
      <c r="K1696" s="13" t="s">
        <v>8496</v>
      </c>
      <c r="L1696" s="99" t="str">
        <f t="shared" si="97"/>
        <v>W2266.D</v>
      </c>
      <c r="M1696" s="45"/>
      <c r="N1696" s="47"/>
      <c r="O1696" s="47"/>
      <c r="P1696" s="47"/>
      <c r="Q1696" s="45"/>
      <c r="R1696" s="45"/>
      <c r="S1696" s="48"/>
    </row>
    <row r="1697" spans="1:19" s="49" customFormat="1" ht="14.15" customHeight="1">
      <c r="A1697" s="45"/>
      <c r="B1697" s="44" t="s">
        <v>157</v>
      </c>
      <c r="C1697" s="50"/>
      <c r="D1697" s="10" t="s">
        <v>29</v>
      </c>
      <c r="E1697" s="11"/>
      <c r="F1697" s="11" t="s">
        <v>18</v>
      </c>
      <c r="G1697" s="13"/>
      <c r="H1697" s="45" t="s">
        <v>16</v>
      </c>
      <c r="I1697" s="47"/>
      <c r="J1697" s="12" t="s">
        <v>4535</v>
      </c>
      <c r="K1697" s="13" t="s">
        <v>8497</v>
      </c>
      <c r="L1697" s="99" t="str">
        <f t="shared" si="97"/>
        <v>W2266.E</v>
      </c>
      <c r="M1697" s="45"/>
      <c r="N1697" s="47"/>
      <c r="O1697" s="47"/>
      <c r="P1697" s="47"/>
      <c r="Q1697" s="45"/>
      <c r="R1697" s="45"/>
      <c r="S1697" s="48"/>
    </row>
    <row r="1698" spans="1:19" s="49" customFormat="1" ht="14.15" customHeight="1">
      <c r="A1698" s="45"/>
      <c r="B1698" s="44" t="s">
        <v>157</v>
      </c>
      <c r="C1698" s="50"/>
      <c r="D1698" s="10" t="s">
        <v>29</v>
      </c>
      <c r="E1698" s="11"/>
      <c r="F1698" s="11" t="s">
        <v>18</v>
      </c>
      <c r="G1698" s="13"/>
      <c r="H1698" s="45" t="s">
        <v>16</v>
      </c>
      <c r="I1698" s="47"/>
      <c r="J1698" s="12" t="s">
        <v>4536</v>
      </c>
      <c r="K1698" s="13" t="s">
        <v>8498</v>
      </c>
      <c r="L1698" s="99" t="str">
        <f t="shared" si="97"/>
        <v>W2266.F</v>
      </c>
      <c r="M1698" s="45"/>
      <c r="N1698" s="47"/>
      <c r="O1698" s="47"/>
      <c r="P1698" s="47"/>
      <c r="Q1698" s="45"/>
      <c r="R1698" s="45"/>
      <c r="S1698" s="48"/>
    </row>
    <row r="1699" spans="1:19" s="49" customFormat="1" ht="14.15" customHeight="1">
      <c r="A1699" s="45"/>
      <c r="B1699" s="44" t="s">
        <v>157</v>
      </c>
      <c r="C1699" s="50"/>
      <c r="D1699" s="10" t="s">
        <v>29</v>
      </c>
      <c r="E1699" s="11"/>
      <c r="F1699" s="11" t="s">
        <v>18</v>
      </c>
      <c r="G1699" s="13"/>
      <c r="H1699" s="45" t="s">
        <v>16</v>
      </c>
      <c r="I1699" s="47"/>
      <c r="J1699" s="12" t="s">
        <v>4537</v>
      </c>
      <c r="K1699" s="13" t="s">
        <v>8499</v>
      </c>
      <c r="L1699" s="99" t="str">
        <f t="shared" si="97"/>
        <v>W2267.0</v>
      </c>
      <c r="M1699" s="45"/>
      <c r="N1699" s="47"/>
      <c r="O1699" s="47"/>
      <c r="P1699" s="47"/>
      <c r="Q1699" s="45"/>
      <c r="R1699" s="45"/>
      <c r="S1699" s="48"/>
    </row>
    <row r="1700" spans="1:19" s="49" customFormat="1" ht="14.15" customHeight="1">
      <c r="A1700" s="45"/>
      <c r="B1700" s="44" t="s">
        <v>157</v>
      </c>
      <c r="C1700" s="50"/>
      <c r="D1700" s="10" t="s">
        <v>29</v>
      </c>
      <c r="E1700" s="11"/>
      <c r="F1700" s="11" t="s">
        <v>18</v>
      </c>
      <c r="G1700" s="13"/>
      <c r="H1700" s="45" t="s">
        <v>16</v>
      </c>
      <c r="I1700" s="47"/>
      <c r="J1700" s="12" t="s">
        <v>4538</v>
      </c>
      <c r="K1700" s="13" t="s">
        <v>8500</v>
      </c>
      <c r="L1700" s="99" t="str">
        <f t="shared" si="97"/>
        <v>W2267.1</v>
      </c>
      <c r="M1700" s="45"/>
      <c r="N1700" s="47"/>
      <c r="O1700" s="47"/>
      <c r="P1700" s="47"/>
      <c r="Q1700" s="45"/>
      <c r="R1700" s="45"/>
      <c r="S1700" s="48"/>
    </row>
    <row r="1701" spans="1:19" s="49" customFormat="1" ht="14.15" customHeight="1">
      <c r="A1701" s="45"/>
      <c r="B1701" s="44" t="s">
        <v>157</v>
      </c>
      <c r="C1701" s="50"/>
      <c r="D1701" s="10" t="s">
        <v>29</v>
      </c>
      <c r="E1701" s="11"/>
      <c r="F1701" s="11" t="s">
        <v>18</v>
      </c>
      <c r="G1701" s="13"/>
      <c r="H1701" s="45" t="s">
        <v>16</v>
      </c>
      <c r="I1701" s="47"/>
      <c r="J1701" s="12" t="s">
        <v>4539</v>
      </c>
      <c r="K1701" s="13" t="s">
        <v>8501</v>
      </c>
      <c r="L1701" s="99" t="str">
        <f t="shared" si="97"/>
        <v>W2267.2</v>
      </c>
      <c r="M1701" s="45"/>
      <c r="N1701" s="47"/>
      <c r="O1701" s="47"/>
      <c r="P1701" s="47"/>
      <c r="Q1701" s="45"/>
      <c r="R1701" s="45"/>
      <c r="S1701" s="48"/>
    </row>
    <row r="1702" spans="1:19" s="49" customFormat="1" ht="14.15" customHeight="1">
      <c r="A1702" s="45"/>
      <c r="B1702" s="44" t="s">
        <v>157</v>
      </c>
      <c r="C1702" s="50"/>
      <c r="D1702" s="10" t="s">
        <v>29</v>
      </c>
      <c r="E1702" s="11"/>
      <c r="F1702" s="11" t="s">
        <v>18</v>
      </c>
      <c r="G1702" s="13"/>
      <c r="H1702" s="45" t="s">
        <v>16</v>
      </c>
      <c r="I1702" s="47"/>
      <c r="J1702" s="12" t="s">
        <v>4540</v>
      </c>
      <c r="K1702" s="13" t="s">
        <v>8502</v>
      </c>
      <c r="L1702" s="99" t="str">
        <f t="shared" si="97"/>
        <v>W2267.3</v>
      </c>
      <c r="M1702" s="45"/>
      <c r="N1702" s="47"/>
      <c r="O1702" s="47"/>
      <c r="P1702" s="47"/>
      <c r="Q1702" s="45"/>
      <c r="R1702" s="45"/>
      <c r="S1702" s="48"/>
    </row>
    <row r="1703" spans="1:19" s="49" customFormat="1" ht="14.15" customHeight="1">
      <c r="A1703" s="45"/>
      <c r="B1703" s="44" t="s">
        <v>157</v>
      </c>
      <c r="C1703" s="50"/>
      <c r="D1703" s="10" t="s">
        <v>29</v>
      </c>
      <c r="E1703" s="11"/>
      <c r="F1703" s="11" t="s">
        <v>18</v>
      </c>
      <c r="G1703" s="13"/>
      <c r="H1703" s="45" t="s">
        <v>16</v>
      </c>
      <c r="I1703" s="47"/>
      <c r="J1703" s="12" t="s">
        <v>4541</v>
      </c>
      <c r="K1703" s="13" t="s">
        <v>8503</v>
      </c>
      <c r="L1703" s="99" t="str">
        <f t="shared" si="97"/>
        <v>W2267.4</v>
      </c>
      <c r="M1703" s="45"/>
      <c r="N1703" s="47"/>
      <c r="O1703" s="47"/>
      <c r="P1703" s="47"/>
      <c r="Q1703" s="45"/>
      <c r="R1703" s="45"/>
      <c r="S1703" s="48"/>
    </row>
    <row r="1704" spans="1:19" s="49" customFormat="1" ht="14.15" customHeight="1">
      <c r="A1704" s="45"/>
      <c r="B1704" s="44" t="s">
        <v>157</v>
      </c>
      <c r="C1704" s="50"/>
      <c r="D1704" s="10" t="s">
        <v>29</v>
      </c>
      <c r="E1704" s="11"/>
      <c r="F1704" s="11" t="s">
        <v>18</v>
      </c>
      <c r="G1704" s="13"/>
      <c r="H1704" s="45" t="s">
        <v>16</v>
      </c>
      <c r="I1704" s="47"/>
      <c r="J1704" s="12" t="s">
        <v>4542</v>
      </c>
      <c r="K1704" s="13" t="s">
        <v>8504</v>
      </c>
      <c r="L1704" s="99" t="str">
        <f t="shared" si="97"/>
        <v>W2267.5</v>
      </c>
      <c r="M1704" s="45"/>
      <c r="N1704" s="47"/>
      <c r="O1704" s="47"/>
      <c r="P1704" s="47"/>
      <c r="Q1704" s="45"/>
      <c r="R1704" s="45"/>
      <c r="S1704" s="48"/>
    </row>
    <row r="1705" spans="1:19" s="49" customFormat="1" ht="14.15" customHeight="1">
      <c r="A1705" s="45"/>
      <c r="B1705" s="44" t="s">
        <v>157</v>
      </c>
      <c r="C1705" s="50"/>
      <c r="D1705" s="10" t="s">
        <v>29</v>
      </c>
      <c r="E1705" s="11"/>
      <c r="F1705" s="11" t="s">
        <v>18</v>
      </c>
      <c r="G1705" s="13"/>
      <c r="H1705" s="45" t="s">
        <v>16</v>
      </c>
      <c r="I1705" s="47"/>
      <c r="J1705" s="12" t="s">
        <v>4543</v>
      </c>
      <c r="K1705" s="13" t="s">
        <v>8505</v>
      </c>
      <c r="L1705" s="99" t="str">
        <f t="shared" si="97"/>
        <v>W2267.6</v>
      </c>
      <c r="M1705" s="45"/>
      <c r="N1705" s="47"/>
      <c r="O1705" s="47"/>
      <c r="P1705" s="47"/>
      <c r="Q1705" s="45"/>
      <c r="R1705" s="45"/>
      <c r="S1705" s="48"/>
    </row>
    <row r="1706" spans="1:19" s="49" customFormat="1" ht="14.15" customHeight="1">
      <c r="A1706" s="45"/>
      <c r="B1706" s="44" t="s">
        <v>157</v>
      </c>
      <c r="C1706" s="50"/>
      <c r="D1706" s="10" t="s">
        <v>29</v>
      </c>
      <c r="E1706" s="11"/>
      <c r="F1706" s="11" t="s">
        <v>18</v>
      </c>
      <c r="G1706" s="13"/>
      <c r="H1706" s="45" t="s">
        <v>16</v>
      </c>
      <c r="I1706" s="47"/>
      <c r="J1706" s="12" t="s">
        <v>4544</v>
      </c>
      <c r="K1706" s="13" t="s">
        <v>8506</v>
      </c>
      <c r="L1706" s="99" t="str">
        <f t="shared" si="97"/>
        <v>W2267.7</v>
      </c>
      <c r="M1706" s="45"/>
      <c r="N1706" s="47"/>
      <c r="O1706" s="47"/>
      <c r="P1706" s="47"/>
      <c r="Q1706" s="45"/>
      <c r="R1706" s="45"/>
      <c r="S1706" s="48"/>
    </row>
    <row r="1707" spans="1:19" s="49" customFormat="1" ht="14.15" customHeight="1">
      <c r="A1707" s="45"/>
      <c r="B1707" s="44" t="s">
        <v>157</v>
      </c>
      <c r="C1707" s="50"/>
      <c r="D1707" s="10" t="s">
        <v>29</v>
      </c>
      <c r="E1707" s="11"/>
      <c r="F1707" s="11" t="s">
        <v>18</v>
      </c>
      <c r="G1707" s="13"/>
      <c r="H1707" s="45" t="s">
        <v>16</v>
      </c>
      <c r="I1707" s="47"/>
      <c r="J1707" s="12" t="s">
        <v>4545</v>
      </c>
      <c r="K1707" s="13" t="s">
        <v>8507</v>
      </c>
      <c r="L1707" s="99" t="str">
        <f t="shared" si="97"/>
        <v>W2267.8</v>
      </c>
      <c r="M1707" s="45"/>
      <c r="N1707" s="47"/>
      <c r="O1707" s="47"/>
      <c r="P1707" s="47"/>
      <c r="Q1707" s="45"/>
      <c r="R1707" s="45"/>
      <c r="S1707" s="48"/>
    </row>
    <row r="1708" spans="1:19" s="49" customFormat="1" ht="14.15" customHeight="1">
      <c r="A1708" s="45"/>
      <c r="B1708" s="44" t="s">
        <v>157</v>
      </c>
      <c r="C1708" s="50"/>
      <c r="D1708" s="10" t="s">
        <v>29</v>
      </c>
      <c r="E1708" s="11"/>
      <c r="F1708" s="11" t="s">
        <v>18</v>
      </c>
      <c r="G1708" s="13"/>
      <c r="H1708" s="45" t="s">
        <v>16</v>
      </c>
      <c r="I1708" s="47"/>
      <c r="J1708" s="12" t="s">
        <v>4546</v>
      </c>
      <c r="K1708" s="13" t="s">
        <v>8508</v>
      </c>
      <c r="L1708" s="99" t="str">
        <f t="shared" si="97"/>
        <v>W2267.9</v>
      </c>
      <c r="M1708" s="45"/>
      <c r="N1708" s="47"/>
      <c r="O1708" s="47"/>
      <c r="P1708" s="47"/>
      <c r="Q1708" s="45"/>
      <c r="R1708" s="45"/>
      <c r="S1708" s="48"/>
    </row>
    <row r="1709" spans="1:19" s="49" customFormat="1" ht="14.15" customHeight="1">
      <c r="A1709" s="45"/>
      <c r="B1709" s="44" t="s">
        <v>157</v>
      </c>
      <c r="C1709" s="50"/>
      <c r="D1709" s="10" t="s">
        <v>29</v>
      </c>
      <c r="E1709" s="11"/>
      <c r="F1709" s="11" t="s">
        <v>18</v>
      </c>
      <c r="G1709" s="13"/>
      <c r="H1709" s="45" t="s">
        <v>16</v>
      </c>
      <c r="I1709" s="47"/>
      <c r="J1709" s="12" t="s">
        <v>4547</v>
      </c>
      <c r="K1709" s="13" t="s">
        <v>8509</v>
      </c>
      <c r="L1709" s="99" t="str">
        <f t="shared" si="97"/>
        <v>W2267.A</v>
      </c>
      <c r="M1709" s="45"/>
      <c r="N1709" s="47"/>
      <c r="O1709" s="47"/>
      <c r="P1709" s="47"/>
      <c r="Q1709" s="45"/>
      <c r="R1709" s="45"/>
      <c r="S1709" s="48"/>
    </row>
    <row r="1710" spans="1:19" s="49" customFormat="1" ht="14.15" customHeight="1">
      <c r="A1710" s="45"/>
      <c r="B1710" s="44" t="s">
        <v>157</v>
      </c>
      <c r="C1710" s="50"/>
      <c r="D1710" s="10" t="s">
        <v>29</v>
      </c>
      <c r="E1710" s="11"/>
      <c r="F1710" s="11" t="s">
        <v>18</v>
      </c>
      <c r="G1710" s="13"/>
      <c r="H1710" s="45" t="s">
        <v>16</v>
      </c>
      <c r="I1710" s="47"/>
      <c r="J1710" s="12" t="s">
        <v>4548</v>
      </c>
      <c r="K1710" s="13" t="s">
        <v>8510</v>
      </c>
      <c r="L1710" s="99" t="str">
        <f t="shared" si="97"/>
        <v>W2267.B</v>
      </c>
      <c r="M1710" s="13"/>
      <c r="N1710" s="47"/>
      <c r="O1710" s="47"/>
      <c r="P1710" s="47"/>
      <c r="Q1710" s="45"/>
      <c r="R1710" s="45"/>
      <c r="S1710" s="48"/>
    </row>
    <row r="1711" spans="1:19" s="49" customFormat="1" ht="14.15" customHeight="1">
      <c r="A1711" s="45"/>
      <c r="B1711" s="44" t="s">
        <v>157</v>
      </c>
      <c r="C1711" s="50"/>
      <c r="D1711" s="10" t="s">
        <v>29</v>
      </c>
      <c r="E1711" s="11"/>
      <c r="F1711" s="11" t="s">
        <v>18</v>
      </c>
      <c r="G1711" s="13"/>
      <c r="H1711" s="45" t="s">
        <v>16</v>
      </c>
      <c r="I1711" s="47"/>
      <c r="J1711" s="12" t="s">
        <v>4549</v>
      </c>
      <c r="K1711" s="13" t="s">
        <v>8511</v>
      </c>
      <c r="L1711" s="99" t="str">
        <f t="shared" si="97"/>
        <v>W2267.C</v>
      </c>
      <c r="M1711" s="13"/>
      <c r="N1711" s="47"/>
      <c r="O1711" s="47"/>
      <c r="P1711" s="47"/>
      <c r="Q1711" s="45"/>
      <c r="R1711" s="45"/>
      <c r="S1711" s="48"/>
    </row>
    <row r="1712" spans="1:19" s="49" customFormat="1" ht="14.15" customHeight="1">
      <c r="A1712" s="45"/>
      <c r="B1712" s="44" t="s">
        <v>157</v>
      </c>
      <c r="C1712" s="50"/>
      <c r="D1712" s="10" t="s">
        <v>29</v>
      </c>
      <c r="E1712" s="11"/>
      <c r="F1712" s="11" t="s">
        <v>18</v>
      </c>
      <c r="G1712" s="13"/>
      <c r="H1712" s="45" t="s">
        <v>16</v>
      </c>
      <c r="I1712" s="47"/>
      <c r="J1712" s="12" t="s">
        <v>4550</v>
      </c>
      <c r="K1712" s="13" t="s">
        <v>8512</v>
      </c>
      <c r="L1712" s="99" t="str">
        <f t="shared" si="97"/>
        <v>W2267.D</v>
      </c>
      <c r="M1712" s="13"/>
      <c r="N1712" s="47"/>
      <c r="O1712" s="47"/>
      <c r="P1712" s="47"/>
      <c r="Q1712" s="45"/>
      <c r="R1712" s="45"/>
      <c r="S1712" s="48"/>
    </row>
    <row r="1713" spans="1:19" s="49" customFormat="1" ht="14.15" customHeight="1">
      <c r="A1713" s="45"/>
      <c r="B1713" s="44" t="s">
        <v>157</v>
      </c>
      <c r="C1713" s="50"/>
      <c r="D1713" s="10" t="s">
        <v>29</v>
      </c>
      <c r="E1713" s="11"/>
      <c r="F1713" s="11" t="s">
        <v>18</v>
      </c>
      <c r="G1713" s="13"/>
      <c r="H1713" s="45" t="s">
        <v>16</v>
      </c>
      <c r="I1713" s="47"/>
      <c r="J1713" s="12" t="s">
        <v>4551</v>
      </c>
      <c r="K1713" s="13" t="s">
        <v>8513</v>
      </c>
      <c r="L1713" s="99" t="str">
        <f t="shared" si="97"/>
        <v>W2267.E</v>
      </c>
      <c r="M1713" s="13"/>
      <c r="N1713" s="47"/>
      <c r="O1713" s="47"/>
      <c r="P1713" s="47"/>
      <c r="Q1713" s="45"/>
      <c r="R1713" s="45"/>
      <c r="S1713" s="48"/>
    </row>
    <row r="1714" spans="1:19" s="49" customFormat="1" ht="14.15" customHeight="1">
      <c r="A1714" s="45"/>
      <c r="B1714" s="44" t="s">
        <v>157</v>
      </c>
      <c r="C1714" s="50"/>
      <c r="D1714" s="10" t="s">
        <v>29</v>
      </c>
      <c r="E1714" s="11"/>
      <c r="F1714" s="11" t="s">
        <v>18</v>
      </c>
      <c r="G1714" s="13"/>
      <c r="H1714" s="45" t="s">
        <v>16</v>
      </c>
      <c r="I1714" s="47"/>
      <c r="J1714" s="12" t="s">
        <v>4552</v>
      </c>
      <c r="K1714" s="13" t="s">
        <v>8514</v>
      </c>
      <c r="L1714" s="99" t="str">
        <f t="shared" si="97"/>
        <v>W2267.F</v>
      </c>
      <c r="M1714" s="13"/>
      <c r="N1714" s="47"/>
      <c r="O1714" s="47"/>
      <c r="P1714" s="47"/>
      <c r="Q1714" s="45"/>
      <c r="R1714" s="45"/>
      <c r="S1714" s="48"/>
    </row>
    <row r="1715" spans="1:19" s="49" customFormat="1" ht="14.15" customHeight="1">
      <c r="A1715" s="45"/>
      <c r="B1715" s="44" t="s">
        <v>157</v>
      </c>
      <c r="C1715" s="50"/>
      <c r="D1715" s="10" t="s">
        <v>29</v>
      </c>
      <c r="E1715" s="11"/>
      <c r="F1715" s="11" t="s">
        <v>18</v>
      </c>
      <c r="G1715" s="13"/>
      <c r="H1715" s="45" t="s">
        <v>16</v>
      </c>
      <c r="I1715" s="47"/>
      <c r="J1715" s="12" t="s">
        <v>4553</v>
      </c>
      <c r="K1715" s="13" t="s">
        <v>8515</v>
      </c>
      <c r="L1715" s="99" t="str">
        <f t="shared" si="97"/>
        <v>W2268.0</v>
      </c>
      <c r="M1715" s="13"/>
      <c r="N1715" s="47"/>
      <c r="O1715" s="47"/>
      <c r="P1715" s="47"/>
      <c r="Q1715" s="45"/>
      <c r="R1715" s="45"/>
      <c r="S1715" s="48"/>
    </row>
    <row r="1716" spans="1:19" s="49" customFormat="1" ht="14.15" customHeight="1">
      <c r="A1716" s="45"/>
      <c r="B1716" s="44" t="s">
        <v>157</v>
      </c>
      <c r="C1716" s="50"/>
      <c r="D1716" s="10" t="s">
        <v>29</v>
      </c>
      <c r="E1716" s="11"/>
      <c r="F1716" s="11" t="s">
        <v>18</v>
      </c>
      <c r="G1716" s="13"/>
      <c r="H1716" s="45" t="s">
        <v>16</v>
      </c>
      <c r="I1716" s="47"/>
      <c r="J1716" s="12" t="s">
        <v>4554</v>
      </c>
      <c r="K1716" s="13" t="s">
        <v>8516</v>
      </c>
      <c r="L1716" s="99" t="str">
        <f t="shared" ref="L1716:L1779" si="98">"W"&amp;DEC2HEX(8704 + INT((ROW()-51)/16)) &amp; "." &amp; IF(MOD(ROW()-51,16)&lt;10,MOD(ROW()-51,16),CHAR(MOD(ROW()-51,16)+55))</f>
        <v>W2268.1</v>
      </c>
      <c r="M1716" s="13"/>
      <c r="N1716" s="47"/>
      <c r="O1716" s="47"/>
      <c r="P1716" s="47"/>
      <c r="Q1716" s="45"/>
      <c r="R1716" s="45"/>
      <c r="S1716" s="48"/>
    </row>
    <row r="1717" spans="1:19" s="49" customFormat="1" ht="14.15" customHeight="1">
      <c r="A1717" s="45"/>
      <c r="B1717" s="44" t="s">
        <v>157</v>
      </c>
      <c r="C1717" s="50"/>
      <c r="D1717" s="10" t="s">
        <v>29</v>
      </c>
      <c r="E1717" s="11"/>
      <c r="F1717" s="11" t="s">
        <v>18</v>
      </c>
      <c r="G1717" s="13"/>
      <c r="H1717" s="45" t="s">
        <v>16</v>
      </c>
      <c r="I1717" s="47"/>
      <c r="J1717" s="12" t="s">
        <v>4555</v>
      </c>
      <c r="K1717" s="13" t="s">
        <v>8517</v>
      </c>
      <c r="L1717" s="99" t="str">
        <f t="shared" si="98"/>
        <v>W2268.2</v>
      </c>
      <c r="M1717" s="13"/>
      <c r="N1717" s="47"/>
      <c r="O1717" s="47"/>
      <c r="P1717" s="47"/>
      <c r="Q1717" s="45"/>
      <c r="R1717" s="45"/>
      <c r="S1717" s="48"/>
    </row>
    <row r="1718" spans="1:19" s="49" customFormat="1" ht="14.15" customHeight="1">
      <c r="A1718" s="45"/>
      <c r="B1718" s="44" t="s">
        <v>157</v>
      </c>
      <c r="C1718" s="50"/>
      <c r="D1718" s="10" t="s">
        <v>29</v>
      </c>
      <c r="E1718" s="11"/>
      <c r="F1718" s="11" t="s">
        <v>18</v>
      </c>
      <c r="G1718" s="13"/>
      <c r="H1718" s="45" t="s">
        <v>16</v>
      </c>
      <c r="I1718" s="47"/>
      <c r="J1718" s="12" t="s">
        <v>4556</v>
      </c>
      <c r="K1718" s="13" t="s">
        <v>8518</v>
      </c>
      <c r="L1718" s="99" t="str">
        <f t="shared" si="98"/>
        <v>W2268.3</v>
      </c>
      <c r="M1718" s="13"/>
      <c r="N1718" s="47"/>
      <c r="O1718" s="47"/>
      <c r="P1718" s="47"/>
      <c r="Q1718" s="45"/>
      <c r="R1718" s="45"/>
      <c r="S1718" s="48"/>
    </row>
    <row r="1719" spans="1:19" s="49" customFormat="1" ht="14.15" customHeight="1">
      <c r="A1719" s="45"/>
      <c r="B1719" s="44" t="s">
        <v>157</v>
      </c>
      <c r="C1719" s="50"/>
      <c r="D1719" s="10" t="s">
        <v>29</v>
      </c>
      <c r="E1719" s="11"/>
      <c r="F1719" s="11" t="s">
        <v>18</v>
      </c>
      <c r="G1719" s="13"/>
      <c r="H1719" s="45" t="s">
        <v>16</v>
      </c>
      <c r="I1719" s="47"/>
      <c r="J1719" s="12" t="s">
        <v>4557</v>
      </c>
      <c r="K1719" s="13" t="s">
        <v>8519</v>
      </c>
      <c r="L1719" s="99" t="str">
        <f t="shared" si="98"/>
        <v>W2268.4</v>
      </c>
      <c r="M1719" s="45"/>
      <c r="N1719" s="47"/>
      <c r="O1719" s="47"/>
      <c r="P1719" s="47"/>
      <c r="Q1719" s="45"/>
      <c r="R1719" s="45"/>
      <c r="S1719" s="48"/>
    </row>
    <row r="1720" spans="1:19" s="49" customFormat="1" ht="14.15" customHeight="1">
      <c r="A1720" s="45"/>
      <c r="B1720" s="44" t="s">
        <v>157</v>
      </c>
      <c r="C1720" s="50"/>
      <c r="D1720" s="10" t="s">
        <v>29</v>
      </c>
      <c r="E1720" s="11"/>
      <c r="F1720" s="11" t="s">
        <v>18</v>
      </c>
      <c r="G1720" s="13"/>
      <c r="H1720" s="45" t="s">
        <v>16</v>
      </c>
      <c r="I1720" s="47"/>
      <c r="J1720" s="12" t="s">
        <v>4558</v>
      </c>
      <c r="K1720" s="13" t="s">
        <v>8520</v>
      </c>
      <c r="L1720" s="99" t="str">
        <f t="shared" si="98"/>
        <v>W2268.5</v>
      </c>
      <c r="M1720" s="45"/>
      <c r="N1720" s="47"/>
      <c r="O1720" s="47"/>
      <c r="P1720" s="47"/>
      <c r="Q1720" s="45"/>
      <c r="R1720" s="45"/>
      <c r="S1720" s="48"/>
    </row>
    <row r="1721" spans="1:19" s="49" customFormat="1" ht="14.15" customHeight="1">
      <c r="A1721" s="45"/>
      <c r="B1721" s="44" t="s">
        <v>157</v>
      </c>
      <c r="C1721" s="50"/>
      <c r="D1721" s="10" t="s">
        <v>29</v>
      </c>
      <c r="E1721" s="11"/>
      <c r="F1721" s="11" t="s">
        <v>18</v>
      </c>
      <c r="G1721" s="13"/>
      <c r="H1721" s="45" t="s">
        <v>16</v>
      </c>
      <c r="I1721" s="47"/>
      <c r="J1721" s="12" t="s">
        <v>4559</v>
      </c>
      <c r="K1721" s="13" t="s">
        <v>8521</v>
      </c>
      <c r="L1721" s="99" t="str">
        <f t="shared" si="98"/>
        <v>W2268.6</v>
      </c>
      <c r="M1721" s="45"/>
      <c r="N1721" s="47"/>
      <c r="O1721" s="47"/>
      <c r="P1721" s="47"/>
      <c r="Q1721" s="45"/>
      <c r="R1721" s="45"/>
      <c r="S1721" s="48"/>
    </row>
    <row r="1722" spans="1:19" s="49" customFormat="1" ht="14.15" customHeight="1">
      <c r="A1722" s="45"/>
      <c r="B1722" s="44" t="s">
        <v>157</v>
      </c>
      <c r="C1722" s="50"/>
      <c r="D1722" s="10" t="s">
        <v>29</v>
      </c>
      <c r="E1722" s="11"/>
      <c r="F1722" s="11" t="s">
        <v>18</v>
      </c>
      <c r="G1722" s="13"/>
      <c r="H1722" s="45" t="s">
        <v>16</v>
      </c>
      <c r="I1722" s="47"/>
      <c r="J1722" s="12" t="s">
        <v>4560</v>
      </c>
      <c r="K1722" s="13" t="s">
        <v>8522</v>
      </c>
      <c r="L1722" s="99" t="str">
        <f t="shared" si="98"/>
        <v>W2268.7</v>
      </c>
      <c r="M1722" s="45"/>
      <c r="N1722" s="47"/>
      <c r="O1722" s="47"/>
      <c r="P1722" s="47"/>
      <c r="Q1722" s="45"/>
      <c r="R1722" s="45"/>
      <c r="S1722" s="48"/>
    </row>
    <row r="1723" spans="1:19" s="49" customFormat="1" ht="14.15" customHeight="1">
      <c r="A1723" s="45"/>
      <c r="B1723" s="44" t="s">
        <v>157</v>
      </c>
      <c r="C1723" s="50"/>
      <c r="D1723" s="10" t="s">
        <v>29</v>
      </c>
      <c r="E1723" s="11"/>
      <c r="F1723" s="11" t="s">
        <v>18</v>
      </c>
      <c r="G1723" s="13"/>
      <c r="H1723" s="45" t="s">
        <v>16</v>
      </c>
      <c r="I1723" s="47"/>
      <c r="J1723" s="12" t="s">
        <v>4561</v>
      </c>
      <c r="K1723" s="13" t="s">
        <v>8523</v>
      </c>
      <c r="L1723" s="99" t="str">
        <f t="shared" si="98"/>
        <v>W2268.8</v>
      </c>
      <c r="M1723" s="45"/>
      <c r="N1723" s="47"/>
      <c r="O1723" s="47"/>
      <c r="P1723" s="47"/>
      <c r="Q1723" s="45"/>
      <c r="R1723" s="45"/>
      <c r="S1723" s="48"/>
    </row>
    <row r="1724" spans="1:19" s="49" customFormat="1" ht="14.15" customHeight="1">
      <c r="A1724" s="45"/>
      <c r="B1724" s="44" t="s">
        <v>157</v>
      </c>
      <c r="C1724" s="50"/>
      <c r="D1724" s="10" t="s">
        <v>29</v>
      </c>
      <c r="E1724" s="11"/>
      <c r="F1724" s="11" t="s">
        <v>18</v>
      </c>
      <c r="G1724" s="13"/>
      <c r="H1724" s="45" t="s">
        <v>16</v>
      </c>
      <c r="I1724" s="47"/>
      <c r="J1724" s="12" t="s">
        <v>4562</v>
      </c>
      <c r="K1724" s="13" t="s">
        <v>8524</v>
      </c>
      <c r="L1724" s="99" t="str">
        <f t="shared" si="98"/>
        <v>W2268.9</v>
      </c>
      <c r="M1724" s="45"/>
      <c r="N1724" s="47"/>
      <c r="O1724" s="47"/>
      <c r="P1724" s="47"/>
      <c r="Q1724" s="45"/>
      <c r="R1724" s="45"/>
      <c r="S1724" s="48"/>
    </row>
    <row r="1725" spans="1:19" s="49" customFormat="1" ht="14.15" customHeight="1">
      <c r="A1725" s="45"/>
      <c r="B1725" s="44" t="s">
        <v>157</v>
      </c>
      <c r="C1725" s="50"/>
      <c r="D1725" s="10" t="s">
        <v>29</v>
      </c>
      <c r="E1725" s="11"/>
      <c r="F1725" s="11" t="s">
        <v>18</v>
      </c>
      <c r="G1725" s="13"/>
      <c r="H1725" s="45" t="s">
        <v>16</v>
      </c>
      <c r="I1725" s="47"/>
      <c r="J1725" s="12" t="s">
        <v>4563</v>
      </c>
      <c r="K1725" s="13" t="s">
        <v>8525</v>
      </c>
      <c r="L1725" s="99" t="str">
        <f t="shared" si="98"/>
        <v>W2268.A</v>
      </c>
      <c r="M1725" s="45"/>
      <c r="N1725" s="47"/>
      <c r="O1725" s="47"/>
      <c r="P1725" s="47"/>
      <c r="Q1725" s="45"/>
      <c r="R1725" s="45"/>
      <c r="S1725" s="48"/>
    </row>
    <row r="1726" spans="1:19" s="49" customFormat="1" ht="14.15" customHeight="1">
      <c r="A1726" s="45"/>
      <c r="B1726" s="44" t="s">
        <v>157</v>
      </c>
      <c r="C1726" s="50"/>
      <c r="D1726" s="10" t="s">
        <v>29</v>
      </c>
      <c r="E1726" s="11"/>
      <c r="F1726" s="11" t="s">
        <v>18</v>
      </c>
      <c r="G1726" s="13"/>
      <c r="H1726" s="45" t="s">
        <v>16</v>
      </c>
      <c r="I1726" s="47"/>
      <c r="J1726" s="12" t="s">
        <v>4564</v>
      </c>
      <c r="K1726" s="13" t="s">
        <v>8526</v>
      </c>
      <c r="L1726" s="99" t="str">
        <f t="shared" si="98"/>
        <v>W2268.B</v>
      </c>
      <c r="M1726" s="45"/>
      <c r="N1726" s="47"/>
      <c r="O1726" s="47"/>
      <c r="P1726" s="47"/>
      <c r="Q1726" s="45"/>
      <c r="R1726" s="45"/>
      <c r="S1726" s="48"/>
    </row>
    <row r="1727" spans="1:19" s="49" customFormat="1" ht="14.15" customHeight="1">
      <c r="A1727" s="45"/>
      <c r="B1727" s="44" t="s">
        <v>157</v>
      </c>
      <c r="C1727" s="50"/>
      <c r="D1727" s="10" t="s">
        <v>29</v>
      </c>
      <c r="E1727" s="11"/>
      <c r="F1727" s="11" t="s">
        <v>18</v>
      </c>
      <c r="G1727" s="13"/>
      <c r="H1727" s="45" t="s">
        <v>16</v>
      </c>
      <c r="I1727" s="47"/>
      <c r="J1727" s="12" t="s">
        <v>4565</v>
      </c>
      <c r="K1727" s="13" t="s">
        <v>8527</v>
      </c>
      <c r="L1727" s="99" t="str">
        <f t="shared" si="98"/>
        <v>W2268.C</v>
      </c>
      <c r="M1727" s="45"/>
      <c r="N1727" s="47"/>
      <c r="O1727" s="47"/>
      <c r="P1727" s="47"/>
      <c r="Q1727" s="45"/>
      <c r="R1727" s="45"/>
      <c r="S1727" s="48"/>
    </row>
    <row r="1728" spans="1:19" s="49" customFormat="1" ht="14.15" customHeight="1">
      <c r="A1728" s="45"/>
      <c r="B1728" s="44" t="s">
        <v>157</v>
      </c>
      <c r="C1728" s="50"/>
      <c r="D1728" s="10" t="s">
        <v>29</v>
      </c>
      <c r="E1728" s="11"/>
      <c r="F1728" s="11" t="s">
        <v>18</v>
      </c>
      <c r="G1728" s="13"/>
      <c r="H1728" s="45" t="s">
        <v>16</v>
      </c>
      <c r="I1728" s="47"/>
      <c r="J1728" s="12" t="s">
        <v>4566</v>
      </c>
      <c r="K1728" s="13" t="s">
        <v>8528</v>
      </c>
      <c r="L1728" s="99" t="str">
        <f t="shared" si="98"/>
        <v>W2268.D</v>
      </c>
      <c r="M1728" s="45"/>
      <c r="N1728" s="47"/>
      <c r="O1728" s="47"/>
      <c r="P1728" s="47"/>
      <c r="Q1728" s="45"/>
      <c r="R1728" s="45"/>
      <c r="S1728" s="48"/>
    </row>
    <row r="1729" spans="1:19" s="49" customFormat="1" ht="14.15" customHeight="1">
      <c r="A1729" s="45"/>
      <c r="B1729" s="44" t="s">
        <v>157</v>
      </c>
      <c r="C1729" s="50"/>
      <c r="D1729" s="10" t="s">
        <v>29</v>
      </c>
      <c r="E1729" s="11"/>
      <c r="F1729" s="11" t="s">
        <v>18</v>
      </c>
      <c r="G1729" s="13"/>
      <c r="H1729" s="45" t="s">
        <v>16</v>
      </c>
      <c r="I1729" s="47"/>
      <c r="J1729" s="12" t="s">
        <v>4567</v>
      </c>
      <c r="K1729" s="13" t="s">
        <v>8529</v>
      </c>
      <c r="L1729" s="99" t="str">
        <f t="shared" si="98"/>
        <v>W2268.E</v>
      </c>
      <c r="M1729" s="45"/>
      <c r="N1729" s="47"/>
      <c r="O1729" s="47"/>
      <c r="P1729" s="47"/>
      <c r="Q1729" s="45"/>
      <c r="R1729" s="45"/>
      <c r="S1729" s="48"/>
    </row>
    <row r="1730" spans="1:19" s="49" customFormat="1" ht="14.15" customHeight="1">
      <c r="A1730" s="45"/>
      <c r="B1730" s="44" t="s">
        <v>157</v>
      </c>
      <c r="C1730" s="50"/>
      <c r="D1730" s="10" t="s">
        <v>29</v>
      </c>
      <c r="E1730" s="11"/>
      <c r="F1730" s="11" t="s">
        <v>18</v>
      </c>
      <c r="G1730" s="13"/>
      <c r="H1730" s="45" t="s">
        <v>16</v>
      </c>
      <c r="I1730" s="47"/>
      <c r="J1730" s="12" t="s">
        <v>4568</v>
      </c>
      <c r="K1730" s="13" t="s">
        <v>8530</v>
      </c>
      <c r="L1730" s="99" t="str">
        <f t="shared" si="98"/>
        <v>W2268.F</v>
      </c>
      <c r="M1730" s="45"/>
      <c r="N1730" s="47"/>
      <c r="O1730" s="47"/>
      <c r="P1730" s="47"/>
      <c r="Q1730" s="45"/>
      <c r="R1730" s="45"/>
      <c r="S1730" s="48"/>
    </row>
    <row r="1731" spans="1:19" s="49" customFormat="1" ht="14.15" customHeight="1">
      <c r="A1731" s="45"/>
      <c r="B1731" s="44" t="s">
        <v>157</v>
      </c>
      <c r="C1731" s="50"/>
      <c r="D1731" s="10" t="s">
        <v>29</v>
      </c>
      <c r="E1731" s="11"/>
      <c r="F1731" s="11" t="s">
        <v>18</v>
      </c>
      <c r="G1731" s="13"/>
      <c r="H1731" s="45" t="s">
        <v>16</v>
      </c>
      <c r="I1731" s="47"/>
      <c r="J1731" s="12" t="s">
        <v>4569</v>
      </c>
      <c r="K1731" s="13" t="s">
        <v>8531</v>
      </c>
      <c r="L1731" s="99" t="str">
        <f t="shared" si="98"/>
        <v>W2269.0</v>
      </c>
      <c r="M1731" s="45"/>
      <c r="N1731" s="47"/>
      <c r="O1731" s="47"/>
      <c r="P1731" s="47"/>
      <c r="Q1731" s="45"/>
      <c r="R1731" s="45"/>
      <c r="S1731" s="48"/>
    </row>
    <row r="1732" spans="1:19" s="49" customFormat="1" ht="14.15" customHeight="1">
      <c r="A1732" s="45"/>
      <c r="B1732" s="44" t="s">
        <v>157</v>
      </c>
      <c r="C1732" s="50"/>
      <c r="D1732" s="10" t="s">
        <v>29</v>
      </c>
      <c r="E1732" s="11"/>
      <c r="F1732" s="11" t="s">
        <v>18</v>
      </c>
      <c r="G1732" s="13"/>
      <c r="H1732" s="45" t="s">
        <v>16</v>
      </c>
      <c r="I1732" s="47"/>
      <c r="J1732" s="12" t="s">
        <v>4570</v>
      </c>
      <c r="K1732" s="13" t="s">
        <v>8532</v>
      </c>
      <c r="L1732" s="99" t="str">
        <f t="shared" si="98"/>
        <v>W2269.1</v>
      </c>
      <c r="M1732" s="45"/>
      <c r="N1732" s="47"/>
      <c r="O1732" s="47"/>
      <c r="P1732" s="47"/>
      <c r="Q1732" s="45"/>
      <c r="R1732" s="45"/>
      <c r="S1732" s="48"/>
    </row>
    <row r="1733" spans="1:19" s="49" customFormat="1" ht="14.15" customHeight="1">
      <c r="A1733" s="45"/>
      <c r="B1733" s="44" t="s">
        <v>157</v>
      </c>
      <c r="C1733" s="50"/>
      <c r="D1733" s="10" t="s">
        <v>29</v>
      </c>
      <c r="E1733" s="11"/>
      <c r="F1733" s="11" t="s">
        <v>18</v>
      </c>
      <c r="G1733" s="13"/>
      <c r="H1733" s="45" t="s">
        <v>16</v>
      </c>
      <c r="I1733" s="47"/>
      <c r="J1733" s="12" t="s">
        <v>4571</v>
      </c>
      <c r="K1733" s="13" t="s">
        <v>8533</v>
      </c>
      <c r="L1733" s="99" t="str">
        <f t="shared" si="98"/>
        <v>W2269.2</v>
      </c>
      <c r="M1733" s="45"/>
      <c r="N1733" s="47"/>
      <c r="O1733" s="47"/>
      <c r="P1733" s="47"/>
      <c r="Q1733" s="45"/>
      <c r="R1733" s="45"/>
      <c r="S1733" s="48"/>
    </row>
    <row r="1734" spans="1:19" s="49" customFormat="1" ht="14.15" customHeight="1">
      <c r="A1734" s="45"/>
      <c r="B1734" s="44" t="s">
        <v>157</v>
      </c>
      <c r="C1734" s="50"/>
      <c r="D1734" s="10" t="s">
        <v>29</v>
      </c>
      <c r="E1734" s="11"/>
      <c r="F1734" s="11" t="s">
        <v>18</v>
      </c>
      <c r="G1734" s="13"/>
      <c r="H1734" s="45" t="s">
        <v>16</v>
      </c>
      <c r="I1734" s="47"/>
      <c r="J1734" s="12" t="s">
        <v>4572</v>
      </c>
      <c r="K1734" s="13" t="s">
        <v>8534</v>
      </c>
      <c r="L1734" s="99" t="str">
        <f t="shared" si="98"/>
        <v>W2269.3</v>
      </c>
      <c r="M1734" s="45"/>
      <c r="N1734" s="47"/>
      <c r="O1734" s="47"/>
      <c r="P1734" s="47"/>
      <c r="Q1734" s="45"/>
      <c r="R1734" s="45"/>
      <c r="S1734" s="48"/>
    </row>
    <row r="1735" spans="1:19" s="49" customFormat="1" ht="14.15" customHeight="1">
      <c r="A1735" s="45"/>
      <c r="B1735" s="44" t="s">
        <v>157</v>
      </c>
      <c r="C1735" s="50"/>
      <c r="D1735" s="10" t="s">
        <v>29</v>
      </c>
      <c r="E1735" s="11"/>
      <c r="F1735" s="11" t="s">
        <v>18</v>
      </c>
      <c r="G1735" s="13"/>
      <c r="H1735" s="45" t="s">
        <v>16</v>
      </c>
      <c r="I1735" s="47"/>
      <c r="J1735" s="12" t="s">
        <v>4573</v>
      </c>
      <c r="K1735" s="13" t="s">
        <v>8535</v>
      </c>
      <c r="L1735" s="99" t="str">
        <f t="shared" si="98"/>
        <v>W2269.4</v>
      </c>
      <c r="M1735" s="45"/>
      <c r="N1735" s="47"/>
      <c r="O1735" s="47"/>
      <c r="P1735" s="47"/>
      <c r="Q1735" s="45"/>
      <c r="R1735" s="45"/>
      <c r="S1735" s="48"/>
    </row>
    <row r="1736" spans="1:19" s="49" customFormat="1" ht="14.15" customHeight="1">
      <c r="A1736" s="45"/>
      <c r="B1736" s="44" t="s">
        <v>157</v>
      </c>
      <c r="C1736" s="50"/>
      <c r="D1736" s="10" t="s">
        <v>29</v>
      </c>
      <c r="E1736" s="11"/>
      <c r="F1736" s="11" t="s">
        <v>18</v>
      </c>
      <c r="G1736" s="13"/>
      <c r="H1736" s="45" t="s">
        <v>16</v>
      </c>
      <c r="I1736" s="47"/>
      <c r="J1736" s="12" t="s">
        <v>4574</v>
      </c>
      <c r="K1736" s="13" t="s">
        <v>8536</v>
      </c>
      <c r="L1736" s="99" t="str">
        <f t="shared" si="98"/>
        <v>W2269.5</v>
      </c>
      <c r="M1736" s="45"/>
      <c r="N1736" s="47"/>
      <c r="O1736" s="47"/>
      <c r="P1736" s="47"/>
      <c r="Q1736" s="45"/>
      <c r="R1736" s="45"/>
      <c r="S1736" s="48"/>
    </row>
    <row r="1737" spans="1:19" s="49" customFormat="1" ht="14.15" customHeight="1">
      <c r="A1737" s="45"/>
      <c r="B1737" s="44" t="s">
        <v>157</v>
      </c>
      <c r="C1737" s="50"/>
      <c r="D1737" s="10" t="s">
        <v>29</v>
      </c>
      <c r="E1737" s="11"/>
      <c r="F1737" s="11" t="s">
        <v>18</v>
      </c>
      <c r="G1737" s="13"/>
      <c r="H1737" s="45" t="s">
        <v>16</v>
      </c>
      <c r="I1737" s="47"/>
      <c r="J1737" s="12" t="s">
        <v>4575</v>
      </c>
      <c r="K1737" s="13" t="s">
        <v>8537</v>
      </c>
      <c r="L1737" s="99" t="str">
        <f t="shared" si="98"/>
        <v>W2269.6</v>
      </c>
      <c r="M1737" s="45"/>
      <c r="N1737" s="47"/>
      <c r="O1737" s="47"/>
      <c r="P1737" s="47"/>
      <c r="Q1737" s="45"/>
      <c r="R1737" s="45"/>
      <c r="S1737" s="48"/>
    </row>
    <row r="1738" spans="1:19" s="49" customFormat="1" ht="14.15" customHeight="1">
      <c r="A1738" s="45"/>
      <c r="B1738" s="44" t="s">
        <v>157</v>
      </c>
      <c r="C1738" s="50"/>
      <c r="D1738" s="10" t="s">
        <v>29</v>
      </c>
      <c r="E1738" s="11"/>
      <c r="F1738" s="11" t="s">
        <v>18</v>
      </c>
      <c r="G1738" s="13"/>
      <c r="H1738" s="45" t="s">
        <v>16</v>
      </c>
      <c r="I1738" s="47"/>
      <c r="J1738" s="12" t="s">
        <v>4576</v>
      </c>
      <c r="K1738" s="13" t="s">
        <v>8538</v>
      </c>
      <c r="L1738" s="99" t="str">
        <f t="shared" si="98"/>
        <v>W2269.7</v>
      </c>
      <c r="M1738" s="45"/>
      <c r="N1738" s="47"/>
      <c r="O1738" s="47"/>
      <c r="P1738" s="47"/>
      <c r="Q1738" s="45"/>
      <c r="R1738" s="45"/>
      <c r="S1738" s="48"/>
    </row>
    <row r="1739" spans="1:19" s="49" customFormat="1" ht="14.15" customHeight="1">
      <c r="A1739" s="45"/>
      <c r="B1739" s="44" t="s">
        <v>157</v>
      </c>
      <c r="C1739" s="50"/>
      <c r="D1739" s="10" t="s">
        <v>29</v>
      </c>
      <c r="E1739" s="11"/>
      <c r="F1739" s="11" t="s">
        <v>18</v>
      </c>
      <c r="G1739" s="13"/>
      <c r="H1739" s="45" t="s">
        <v>16</v>
      </c>
      <c r="I1739" s="47"/>
      <c r="J1739" s="12" t="s">
        <v>4577</v>
      </c>
      <c r="K1739" s="13" t="s">
        <v>8539</v>
      </c>
      <c r="L1739" s="99" t="str">
        <f t="shared" si="98"/>
        <v>W2269.8</v>
      </c>
      <c r="M1739" s="45"/>
      <c r="N1739" s="47"/>
      <c r="O1739" s="47"/>
      <c r="P1739" s="47"/>
      <c r="Q1739" s="45"/>
      <c r="R1739" s="45"/>
      <c r="S1739" s="48"/>
    </row>
    <row r="1740" spans="1:19" s="49" customFormat="1" ht="14.15" customHeight="1">
      <c r="A1740" s="45"/>
      <c r="B1740" s="44" t="s">
        <v>157</v>
      </c>
      <c r="C1740" s="50"/>
      <c r="D1740" s="10" t="s">
        <v>29</v>
      </c>
      <c r="E1740" s="11"/>
      <c r="F1740" s="11" t="s">
        <v>18</v>
      </c>
      <c r="G1740" s="13"/>
      <c r="H1740" s="45" t="s">
        <v>16</v>
      </c>
      <c r="I1740" s="47"/>
      <c r="J1740" s="12" t="s">
        <v>4578</v>
      </c>
      <c r="K1740" s="13" t="s">
        <v>8540</v>
      </c>
      <c r="L1740" s="99" t="str">
        <f t="shared" si="98"/>
        <v>W2269.9</v>
      </c>
      <c r="M1740" s="13"/>
      <c r="N1740" s="47"/>
      <c r="O1740" s="47"/>
      <c r="P1740" s="47"/>
      <c r="Q1740" s="45"/>
      <c r="R1740" s="45"/>
      <c r="S1740" s="48"/>
    </row>
    <row r="1741" spans="1:19" s="49" customFormat="1" ht="14.15" customHeight="1">
      <c r="A1741" s="45"/>
      <c r="B1741" s="44" t="s">
        <v>157</v>
      </c>
      <c r="C1741" s="50"/>
      <c r="D1741" s="10" t="s">
        <v>29</v>
      </c>
      <c r="E1741" s="11"/>
      <c r="F1741" s="11" t="s">
        <v>18</v>
      </c>
      <c r="G1741" s="13"/>
      <c r="H1741" s="45" t="s">
        <v>16</v>
      </c>
      <c r="I1741" s="47"/>
      <c r="J1741" s="12" t="s">
        <v>4579</v>
      </c>
      <c r="K1741" s="13" t="s">
        <v>8541</v>
      </c>
      <c r="L1741" s="99" t="str">
        <f t="shared" si="98"/>
        <v>W2269.A</v>
      </c>
      <c r="M1741" s="13"/>
      <c r="N1741" s="47"/>
      <c r="O1741" s="47"/>
      <c r="P1741" s="47"/>
      <c r="Q1741" s="45"/>
      <c r="R1741" s="45"/>
      <c r="S1741" s="48"/>
    </row>
    <row r="1742" spans="1:19" s="49" customFormat="1" ht="14.15" customHeight="1">
      <c r="A1742" s="45"/>
      <c r="B1742" s="44" t="s">
        <v>157</v>
      </c>
      <c r="C1742" s="50"/>
      <c r="D1742" s="10" t="s">
        <v>29</v>
      </c>
      <c r="E1742" s="11"/>
      <c r="F1742" s="11" t="s">
        <v>18</v>
      </c>
      <c r="G1742" s="13"/>
      <c r="H1742" s="45" t="s">
        <v>16</v>
      </c>
      <c r="I1742" s="47"/>
      <c r="J1742" s="12" t="s">
        <v>4580</v>
      </c>
      <c r="K1742" s="13" t="s">
        <v>8542</v>
      </c>
      <c r="L1742" s="99" t="str">
        <f t="shared" si="98"/>
        <v>W2269.B</v>
      </c>
      <c r="M1742" s="13"/>
      <c r="N1742" s="47"/>
      <c r="O1742" s="47"/>
      <c r="P1742" s="47"/>
      <c r="Q1742" s="45"/>
      <c r="R1742" s="45"/>
      <c r="S1742" s="48"/>
    </row>
    <row r="1743" spans="1:19" s="49" customFormat="1" ht="14.15" customHeight="1">
      <c r="A1743" s="45"/>
      <c r="B1743" s="44" t="s">
        <v>157</v>
      </c>
      <c r="C1743" s="50"/>
      <c r="D1743" s="10" t="s">
        <v>29</v>
      </c>
      <c r="E1743" s="11"/>
      <c r="F1743" s="11" t="s">
        <v>18</v>
      </c>
      <c r="G1743" s="13"/>
      <c r="H1743" s="45" t="s">
        <v>16</v>
      </c>
      <c r="I1743" s="47"/>
      <c r="J1743" s="12" t="s">
        <v>4581</v>
      </c>
      <c r="K1743" s="13" t="s">
        <v>8543</v>
      </c>
      <c r="L1743" s="99" t="str">
        <f t="shared" si="98"/>
        <v>W2269.C</v>
      </c>
      <c r="M1743" s="45"/>
      <c r="N1743" s="47"/>
      <c r="O1743" s="47"/>
      <c r="P1743" s="47"/>
      <c r="Q1743" s="45"/>
      <c r="R1743" s="45"/>
      <c r="S1743" s="48"/>
    </row>
    <row r="1744" spans="1:19" s="49" customFormat="1" ht="14.15" customHeight="1">
      <c r="A1744" s="45"/>
      <c r="B1744" s="44" t="s">
        <v>157</v>
      </c>
      <c r="C1744" s="50"/>
      <c r="D1744" s="10" t="s">
        <v>29</v>
      </c>
      <c r="E1744" s="11"/>
      <c r="F1744" s="11" t="s">
        <v>18</v>
      </c>
      <c r="G1744" s="13"/>
      <c r="H1744" s="45" t="s">
        <v>16</v>
      </c>
      <c r="I1744" s="47"/>
      <c r="J1744" s="12" t="s">
        <v>4582</v>
      </c>
      <c r="K1744" s="13" t="s">
        <v>8544</v>
      </c>
      <c r="L1744" s="99" t="str">
        <f t="shared" si="98"/>
        <v>W2269.D</v>
      </c>
      <c r="M1744" s="13"/>
      <c r="N1744" s="47"/>
      <c r="O1744" s="47"/>
      <c r="P1744" s="47"/>
      <c r="Q1744" s="45"/>
      <c r="R1744" s="45"/>
      <c r="S1744" s="48"/>
    </row>
    <row r="1745" spans="1:19" s="49" customFormat="1" ht="14.15" customHeight="1">
      <c r="A1745" s="45"/>
      <c r="B1745" s="44" t="s">
        <v>157</v>
      </c>
      <c r="C1745" s="50"/>
      <c r="D1745" s="10" t="s">
        <v>29</v>
      </c>
      <c r="E1745" s="11"/>
      <c r="F1745" s="11" t="s">
        <v>18</v>
      </c>
      <c r="G1745" s="13"/>
      <c r="H1745" s="45" t="s">
        <v>16</v>
      </c>
      <c r="I1745" s="47"/>
      <c r="J1745" s="12" t="s">
        <v>4583</v>
      </c>
      <c r="K1745" s="13" t="s">
        <v>8545</v>
      </c>
      <c r="L1745" s="99" t="str">
        <f t="shared" si="98"/>
        <v>W2269.E</v>
      </c>
      <c r="M1745" s="45"/>
      <c r="N1745" s="47"/>
      <c r="O1745" s="47"/>
      <c r="P1745" s="47"/>
      <c r="Q1745" s="45"/>
      <c r="R1745" s="45"/>
      <c r="S1745" s="48"/>
    </row>
    <row r="1746" spans="1:19" s="49" customFormat="1" ht="14.15" customHeight="1">
      <c r="A1746" s="45"/>
      <c r="B1746" s="44" t="s">
        <v>157</v>
      </c>
      <c r="C1746" s="50"/>
      <c r="D1746" s="10" t="s">
        <v>29</v>
      </c>
      <c r="E1746" s="11"/>
      <c r="F1746" s="11" t="s">
        <v>18</v>
      </c>
      <c r="G1746" s="13"/>
      <c r="H1746" s="45" t="s">
        <v>16</v>
      </c>
      <c r="I1746" s="47"/>
      <c r="J1746" s="12" t="s">
        <v>4584</v>
      </c>
      <c r="K1746" s="13" t="s">
        <v>8546</v>
      </c>
      <c r="L1746" s="99" t="str">
        <f t="shared" si="98"/>
        <v>W2269.F</v>
      </c>
      <c r="M1746" s="45"/>
      <c r="N1746" s="47"/>
      <c r="O1746" s="47"/>
      <c r="P1746" s="47"/>
      <c r="Q1746" s="45"/>
      <c r="R1746" s="45"/>
      <c r="S1746" s="48"/>
    </row>
    <row r="1747" spans="1:19" s="49" customFormat="1" ht="14.15" customHeight="1">
      <c r="A1747" s="45"/>
      <c r="B1747" s="44" t="s">
        <v>157</v>
      </c>
      <c r="C1747" s="50"/>
      <c r="D1747" s="10" t="s">
        <v>29</v>
      </c>
      <c r="E1747" s="11"/>
      <c r="F1747" s="11" t="s">
        <v>18</v>
      </c>
      <c r="G1747" s="13"/>
      <c r="H1747" s="45" t="s">
        <v>16</v>
      </c>
      <c r="I1747" s="47"/>
      <c r="J1747" s="12" t="s">
        <v>4585</v>
      </c>
      <c r="K1747" s="13" t="s">
        <v>8547</v>
      </c>
      <c r="L1747" s="99" t="str">
        <f t="shared" si="98"/>
        <v>W226A.0</v>
      </c>
      <c r="M1747" s="45"/>
      <c r="N1747" s="47"/>
      <c r="O1747" s="47"/>
      <c r="P1747" s="47"/>
      <c r="Q1747" s="45"/>
      <c r="R1747" s="45"/>
      <c r="S1747" s="48"/>
    </row>
    <row r="1748" spans="1:19" s="49" customFormat="1" ht="14.15" customHeight="1">
      <c r="A1748" s="45"/>
      <c r="B1748" s="44" t="s">
        <v>157</v>
      </c>
      <c r="C1748" s="50"/>
      <c r="D1748" s="10" t="s">
        <v>29</v>
      </c>
      <c r="E1748" s="11"/>
      <c r="F1748" s="11" t="s">
        <v>18</v>
      </c>
      <c r="G1748" s="13"/>
      <c r="H1748" s="45" t="s">
        <v>16</v>
      </c>
      <c r="I1748" s="47"/>
      <c r="J1748" s="12" t="s">
        <v>4586</v>
      </c>
      <c r="K1748" s="13" t="s">
        <v>8548</v>
      </c>
      <c r="L1748" s="99" t="str">
        <f t="shared" si="98"/>
        <v>W226A.1</v>
      </c>
      <c r="M1748" s="45"/>
      <c r="N1748" s="47"/>
      <c r="O1748" s="47"/>
      <c r="P1748" s="47"/>
      <c r="Q1748" s="45"/>
      <c r="R1748" s="45"/>
      <c r="S1748" s="48"/>
    </row>
    <row r="1749" spans="1:19" s="49" customFormat="1" ht="14.15" customHeight="1">
      <c r="A1749" s="45"/>
      <c r="B1749" s="44" t="s">
        <v>157</v>
      </c>
      <c r="C1749" s="50"/>
      <c r="D1749" s="10" t="s">
        <v>29</v>
      </c>
      <c r="E1749" s="11"/>
      <c r="F1749" s="11" t="s">
        <v>18</v>
      </c>
      <c r="G1749" s="13"/>
      <c r="H1749" s="45" t="s">
        <v>16</v>
      </c>
      <c r="I1749" s="47"/>
      <c r="J1749" s="12" t="s">
        <v>4587</v>
      </c>
      <c r="K1749" s="13" t="s">
        <v>8549</v>
      </c>
      <c r="L1749" s="99" t="str">
        <f t="shared" si="98"/>
        <v>W226A.2</v>
      </c>
      <c r="M1749" s="13"/>
      <c r="N1749" s="47"/>
      <c r="O1749" s="47"/>
      <c r="P1749" s="47"/>
      <c r="Q1749" s="45"/>
      <c r="R1749" s="45"/>
      <c r="S1749" s="48"/>
    </row>
    <row r="1750" spans="1:19" s="49" customFormat="1" ht="14.15" customHeight="1">
      <c r="A1750" s="45"/>
      <c r="B1750" s="44" t="s">
        <v>157</v>
      </c>
      <c r="C1750" s="50"/>
      <c r="D1750" s="10" t="s">
        <v>29</v>
      </c>
      <c r="E1750" s="11"/>
      <c r="F1750" s="11" t="s">
        <v>18</v>
      </c>
      <c r="G1750" s="13"/>
      <c r="H1750" s="45" t="s">
        <v>16</v>
      </c>
      <c r="I1750" s="47"/>
      <c r="J1750" s="12" t="s">
        <v>4588</v>
      </c>
      <c r="K1750" s="13" t="s">
        <v>8550</v>
      </c>
      <c r="L1750" s="99" t="str">
        <f t="shared" si="98"/>
        <v>W226A.3</v>
      </c>
      <c r="M1750" s="45"/>
      <c r="N1750" s="47"/>
      <c r="O1750" s="47"/>
      <c r="P1750" s="47"/>
      <c r="Q1750" s="45"/>
      <c r="R1750" s="45"/>
      <c r="S1750" s="48"/>
    </row>
    <row r="1751" spans="1:19" s="49" customFormat="1" ht="14.15" customHeight="1">
      <c r="A1751" s="45"/>
      <c r="B1751" s="44" t="s">
        <v>157</v>
      </c>
      <c r="C1751" s="50"/>
      <c r="D1751" s="10" t="s">
        <v>29</v>
      </c>
      <c r="E1751" s="11"/>
      <c r="F1751" s="11" t="s">
        <v>18</v>
      </c>
      <c r="G1751" s="13"/>
      <c r="H1751" s="45" t="s">
        <v>16</v>
      </c>
      <c r="I1751" s="47"/>
      <c r="J1751" s="12" t="s">
        <v>4589</v>
      </c>
      <c r="K1751" s="13" t="s">
        <v>8551</v>
      </c>
      <c r="L1751" s="99" t="str">
        <f t="shared" si="98"/>
        <v>W226A.4</v>
      </c>
      <c r="M1751" s="45"/>
      <c r="N1751" s="47"/>
      <c r="O1751" s="47"/>
      <c r="P1751" s="47"/>
      <c r="Q1751" s="45"/>
      <c r="R1751" s="45"/>
      <c r="S1751" s="48"/>
    </row>
    <row r="1752" spans="1:19" s="49" customFormat="1" ht="14.15" customHeight="1">
      <c r="A1752" s="45"/>
      <c r="B1752" s="44" t="s">
        <v>157</v>
      </c>
      <c r="C1752" s="50"/>
      <c r="D1752" s="10" t="s">
        <v>29</v>
      </c>
      <c r="E1752" s="11"/>
      <c r="F1752" s="11" t="s">
        <v>18</v>
      </c>
      <c r="G1752" s="13"/>
      <c r="H1752" s="45" t="s">
        <v>16</v>
      </c>
      <c r="I1752" s="47"/>
      <c r="J1752" s="12" t="s">
        <v>4590</v>
      </c>
      <c r="K1752" s="13" t="s">
        <v>8552</v>
      </c>
      <c r="L1752" s="99" t="str">
        <f t="shared" si="98"/>
        <v>W226A.5</v>
      </c>
      <c r="M1752" s="45"/>
      <c r="N1752" s="47"/>
      <c r="O1752" s="47"/>
      <c r="P1752" s="47"/>
      <c r="Q1752" s="45"/>
      <c r="R1752" s="45"/>
      <c r="S1752" s="48"/>
    </row>
    <row r="1753" spans="1:19" s="49" customFormat="1" ht="14.15" customHeight="1">
      <c r="A1753" s="45"/>
      <c r="B1753" s="44" t="s">
        <v>157</v>
      </c>
      <c r="C1753" s="50"/>
      <c r="D1753" s="10" t="s">
        <v>29</v>
      </c>
      <c r="E1753" s="11"/>
      <c r="F1753" s="11" t="s">
        <v>18</v>
      </c>
      <c r="G1753" s="13"/>
      <c r="H1753" s="45" t="s">
        <v>16</v>
      </c>
      <c r="I1753" s="47"/>
      <c r="J1753" s="12" t="s">
        <v>4591</v>
      </c>
      <c r="K1753" s="13" t="s">
        <v>8553</v>
      </c>
      <c r="L1753" s="99" t="str">
        <f t="shared" si="98"/>
        <v>W226A.6</v>
      </c>
      <c r="M1753" s="45"/>
      <c r="N1753" s="47"/>
      <c r="O1753" s="47"/>
      <c r="P1753" s="47"/>
      <c r="Q1753" s="45"/>
      <c r="R1753" s="45"/>
      <c r="S1753" s="48"/>
    </row>
    <row r="1754" spans="1:19" s="49" customFormat="1" ht="14.15" customHeight="1">
      <c r="A1754" s="45"/>
      <c r="B1754" s="44" t="s">
        <v>157</v>
      </c>
      <c r="C1754" s="50"/>
      <c r="D1754" s="10" t="s">
        <v>29</v>
      </c>
      <c r="E1754" s="11"/>
      <c r="F1754" s="11" t="s">
        <v>18</v>
      </c>
      <c r="G1754" s="13"/>
      <c r="H1754" s="45" t="s">
        <v>16</v>
      </c>
      <c r="I1754" s="47"/>
      <c r="J1754" s="12" t="s">
        <v>4592</v>
      </c>
      <c r="K1754" s="13" t="s">
        <v>8554</v>
      </c>
      <c r="L1754" s="99" t="str">
        <f t="shared" si="98"/>
        <v>W226A.7</v>
      </c>
      <c r="M1754" s="45"/>
      <c r="N1754" s="47"/>
      <c r="O1754" s="47"/>
      <c r="P1754" s="47"/>
      <c r="Q1754" s="45"/>
      <c r="R1754" s="45"/>
      <c r="S1754" s="48"/>
    </row>
    <row r="1755" spans="1:19" s="49" customFormat="1" ht="14.15" customHeight="1">
      <c r="A1755" s="45"/>
      <c r="B1755" s="44" t="s">
        <v>157</v>
      </c>
      <c r="C1755" s="50"/>
      <c r="D1755" s="10" t="s">
        <v>29</v>
      </c>
      <c r="E1755" s="11"/>
      <c r="F1755" s="11" t="s">
        <v>18</v>
      </c>
      <c r="G1755" s="13"/>
      <c r="H1755" s="45" t="s">
        <v>16</v>
      </c>
      <c r="I1755" s="47"/>
      <c r="J1755" s="12" t="s">
        <v>4593</v>
      </c>
      <c r="K1755" s="13" t="s">
        <v>8555</v>
      </c>
      <c r="L1755" s="99" t="str">
        <f t="shared" si="98"/>
        <v>W226A.8</v>
      </c>
      <c r="M1755" s="45"/>
      <c r="N1755" s="47"/>
      <c r="O1755" s="47"/>
      <c r="P1755" s="47"/>
      <c r="Q1755" s="45"/>
      <c r="R1755" s="45"/>
      <c r="S1755" s="48"/>
    </row>
    <row r="1756" spans="1:19" s="49" customFormat="1" ht="14.15" customHeight="1">
      <c r="A1756" s="45"/>
      <c r="B1756" s="44" t="s">
        <v>157</v>
      </c>
      <c r="C1756" s="50"/>
      <c r="D1756" s="10" t="s">
        <v>29</v>
      </c>
      <c r="E1756" s="11"/>
      <c r="F1756" s="11" t="s">
        <v>18</v>
      </c>
      <c r="G1756" s="13"/>
      <c r="H1756" s="45" t="s">
        <v>16</v>
      </c>
      <c r="I1756" s="47"/>
      <c r="J1756" s="12" t="s">
        <v>4594</v>
      </c>
      <c r="K1756" s="13" t="s">
        <v>8556</v>
      </c>
      <c r="L1756" s="99" t="str">
        <f t="shared" si="98"/>
        <v>W226A.9</v>
      </c>
      <c r="M1756" s="45"/>
      <c r="N1756" s="47"/>
      <c r="O1756" s="47"/>
      <c r="P1756" s="47"/>
      <c r="Q1756" s="45"/>
      <c r="R1756" s="45"/>
      <c r="S1756" s="48"/>
    </row>
    <row r="1757" spans="1:19" s="49" customFormat="1" ht="14.15" customHeight="1">
      <c r="A1757" s="45"/>
      <c r="B1757" s="44" t="s">
        <v>157</v>
      </c>
      <c r="C1757" s="50"/>
      <c r="D1757" s="10" t="s">
        <v>29</v>
      </c>
      <c r="E1757" s="11"/>
      <c r="F1757" s="11" t="s">
        <v>18</v>
      </c>
      <c r="G1757" s="13"/>
      <c r="H1757" s="45" t="s">
        <v>16</v>
      </c>
      <c r="I1757" s="47"/>
      <c r="J1757" s="12" t="s">
        <v>4595</v>
      </c>
      <c r="K1757" s="13" t="s">
        <v>8557</v>
      </c>
      <c r="L1757" s="99" t="str">
        <f t="shared" si="98"/>
        <v>W226A.A</v>
      </c>
      <c r="M1757" s="45"/>
      <c r="N1757" s="47"/>
      <c r="O1757" s="47"/>
      <c r="P1757" s="47"/>
      <c r="Q1757" s="45"/>
      <c r="R1757" s="45"/>
      <c r="S1757" s="48"/>
    </row>
    <row r="1758" spans="1:19" s="49" customFormat="1" ht="14.15" customHeight="1">
      <c r="A1758" s="45"/>
      <c r="B1758" s="44" t="s">
        <v>157</v>
      </c>
      <c r="C1758" s="50"/>
      <c r="D1758" s="10" t="s">
        <v>29</v>
      </c>
      <c r="E1758" s="11"/>
      <c r="F1758" s="11" t="s">
        <v>18</v>
      </c>
      <c r="G1758" s="13"/>
      <c r="H1758" s="45" t="s">
        <v>16</v>
      </c>
      <c r="I1758" s="47"/>
      <c r="J1758" s="12" t="s">
        <v>4596</v>
      </c>
      <c r="K1758" s="13" t="s">
        <v>8558</v>
      </c>
      <c r="L1758" s="99" t="str">
        <f t="shared" si="98"/>
        <v>W226A.B</v>
      </c>
      <c r="M1758" s="45"/>
      <c r="N1758" s="47"/>
      <c r="O1758" s="47"/>
      <c r="P1758" s="47"/>
      <c r="Q1758" s="45"/>
      <c r="R1758" s="45"/>
      <c r="S1758" s="48"/>
    </row>
    <row r="1759" spans="1:19" s="49" customFormat="1" ht="14.15" customHeight="1">
      <c r="A1759" s="45"/>
      <c r="B1759" s="44" t="s">
        <v>157</v>
      </c>
      <c r="C1759" s="50"/>
      <c r="D1759" s="10" t="s">
        <v>29</v>
      </c>
      <c r="E1759" s="11"/>
      <c r="F1759" s="11" t="s">
        <v>18</v>
      </c>
      <c r="G1759" s="13"/>
      <c r="H1759" s="45" t="s">
        <v>16</v>
      </c>
      <c r="I1759" s="47"/>
      <c r="J1759" s="12" t="s">
        <v>4597</v>
      </c>
      <c r="K1759" s="13" t="s">
        <v>8559</v>
      </c>
      <c r="L1759" s="99" t="str">
        <f t="shared" si="98"/>
        <v>W226A.C</v>
      </c>
      <c r="M1759" s="45"/>
      <c r="N1759" s="47"/>
      <c r="O1759" s="47"/>
      <c r="P1759" s="47"/>
      <c r="Q1759" s="45"/>
      <c r="R1759" s="45"/>
      <c r="S1759" s="48"/>
    </row>
    <row r="1760" spans="1:19" s="49" customFormat="1" ht="14.15" customHeight="1">
      <c r="A1760" s="45"/>
      <c r="B1760" s="44" t="s">
        <v>157</v>
      </c>
      <c r="C1760" s="50"/>
      <c r="D1760" s="10" t="s">
        <v>29</v>
      </c>
      <c r="E1760" s="11"/>
      <c r="F1760" s="11" t="s">
        <v>18</v>
      </c>
      <c r="G1760" s="13"/>
      <c r="H1760" s="45" t="s">
        <v>16</v>
      </c>
      <c r="I1760" s="47"/>
      <c r="J1760" s="12" t="s">
        <v>4598</v>
      </c>
      <c r="K1760" s="13" t="s">
        <v>8560</v>
      </c>
      <c r="L1760" s="99" t="str">
        <f t="shared" si="98"/>
        <v>W226A.D</v>
      </c>
      <c r="M1760" s="45"/>
      <c r="N1760" s="47"/>
      <c r="O1760" s="47"/>
      <c r="P1760" s="47"/>
      <c r="Q1760" s="45"/>
      <c r="R1760" s="45"/>
      <c r="S1760" s="48"/>
    </row>
    <row r="1761" spans="1:19" s="49" customFormat="1" ht="14.15" customHeight="1">
      <c r="A1761" s="45"/>
      <c r="B1761" s="44" t="s">
        <v>157</v>
      </c>
      <c r="C1761" s="50"/>
      <c r="D1761" s="10" t="s">
        <v>29</v>
      </c>
      <c r="E1761" s="11"/>
      <c r="F1761" s="11" t="s">
        <v>18</v>
      </c>
      <c r="G1761" s="13"/>
      <c r="H1761" s="45" t="s">
        <v>16</v>
      </c>
      <c r="I1761" s="47"/>
      <c r="J1761" s="12" t="s">
        <v>4599</v>
      </c>
      <c r="K1761" s="13" t="s">
        <v>8561</v>
      </c>
      <c r="L1761" s="99" t="str">
        <f t="shared" si="98"/>
        <v>W226A.E</v>
      </c>
      <c r="M1761" s="45"/>
      <c r="N1761" s="47"/>
      <c r="O1761" s="47"/>
      <c r="P1761" s="47"/>
      <c r="Q1761" s="45"/>
      <c r="R1761" s="45"/>
      <c r="S1761" s="48"/>
    </row>
    <row r="1762" spans="1:19" s="49" customFormat="1" ht="14.15" customHeight="1">
      <c r="A1762" s="45"/>
      <c r="B1762" s="44" t="s">
        <v>157</v>
      </c>
      <c r="C1762" s="50"/>
      <c r="D1762" s="10" t="s">
        <v>29</v>
      </c>
      <c r="E1762" s="11"/>
      <c r="F1762" s="11" t="s">
        <v>18</v>
      </c>
      <c r="G1762" s="13"/>
      <c r="H1762" s="45" t="s">
        <v>16</v>
      </c>
      <c r="I1762" s="47"/>
      <c r="J1762" s="12" t="s">
        <v>4600</v>
      </c>
      <c r="K1762" s="13" t="s">
        <v>8562</v>
      </c>
      <c r="L1762" s="99" t="str">
        <f t="shared" si="98"/>
        <v>W226A.F</v>
      </c>
      <c r="M1762" s="45"/>
      <c r="N1762" s="47"/>
      <c r="O1762" s="47"/>
      <c r="P1762" s="47"/>
      <c r="Q1762" s="45"/>
      <c r="R1762" s="45"/>
      <c r="S1762" s="48"/>
    </row>
    <row r="1763" spans="1:19" s="49" customFormat="1" ht="14.15" customHeight="1">
      <c r="A1763" s="45"/>
      <c r="B1763" s="44" t="s">
        <v>157</v>
      </c>
      <c r="C1763" s="50"/>
      <c r="D1763" s="10" t="s">
        <v>29</v>
      </c>
      <c r="E1763" s="11"/>
      <c r="F1763" s="11" t="s">
        <v>18</v>
      </c>
      <c r="G1763" s="13"/>
      <c r="H1763" s="45" t="s">
        <v>16</v>
      </c>
      <c r="I1763" s="47"/>
      <c r="J1763" s="12" t="s">
        <v>4601</v>
      </c>
      <c r="K1763" s="13" t="s">
        <v>8563</v>
      </c>
      <c r="L1763" s="99" t="str">
        <f t="shared" si="98"/>
        <v>W226B.0</v>
      </c>
      <c r="M1763" s="13"/>
      <c r="N1763" s="47"/>
      <c r="O1763" s="47"/>
      <c r="P1763" s="47"/>
      <c r="Q1763" s="45"/>
      <c r="R1763" s="45"/>
      <c r="S1763" s="48"/>
    </row>
    <row r="1764" spans="1:19" s="49" customFormat="1" ht="14.15" customHeight="1">
      <c r="A1764" s="45"/>
      <c r="B1764" s="44" t="s">
        <v>157</v>
      </c>
      <c r="C1764" s="50"/>
      <c r="D1764" s="10" t="s">
        <v>29</v>
      </c>
      <c r="E1764" s="11"/>
      <c r="F1764" s="11" t="s">
        <v>18</v>
      </c>
      <c r="G1764" s="13"/>
      <c r="H1764" s="45" t="s">
        <v>16</v>
      </c>
      <c r="I1764" s="47"/>
      <c r="J1764" s="12" t="s">
        <v>4602</v>
      </c>
      <c r="K1764" s="13" t="s">
        <v>8564</v>
      </c>
      <c r="L1764" s="99" t="str">
        <f t="shared" si="98"/>
        <v>W226B.1</v>
      </c>
      <c r="M1764" s="45"/>
      <c r="N1764" s="47"/>
      <c r="O1764" s="47"/>
      <c r="P1764" s="47"/>
      <c r="Q1764" s="45"/>
      <c r="R1764" s="45"/>
      <c r="S1764" s="48"/>
    </row>
    <row r="1765" spans="1:19" s="49" customFormat="1" ht="14.15" customHeight="1">
      <c r="A1765" s="45"/>
      <c r="B1765" s="44" t="s">
        <v>157</v>
      </c>
      <c r="C1765" s="50"/>
      <c r="D1765" s="10" t="s">
        <v>29</v>
      </c>
      <c r="E1765" s="11"/>
      <c r="F1765" s="11" t="s">
        <v>18</v>
      </c>
      <c r="G1765" s="13"/>
      <c r="H1765" s="45" t="s">
        <v>16</v>
      </c>
      <c r="I1765" s="47"/>
      <c r="J1765" s="12" t="s">
        <v>4603</v>
      </c>
      <c r="K1765" s="13" t="s">
        <v>8565</v>
      </c>
      <c r="L1765" s="99" t="str">
        <f t="shared" si="98"/>
        <v>W226B.2</v>
      </c>
      <c r="M1765" s="13"/>
      <c r="N1765" s="47"/>
      <c r="O1765" s="47"/>
      <c r="P1765" s="47"/>
      <c r="Q1765" s="45"/>
      <c r="R1765" s="45"/>
      <c r="S1765" s="48"/>
    </row>
    <row r="1766" spans="1:19" s="49" customFormat="1" ht="14.15" customHeight="1">
      <c r="A1766" s="45"/>
      <c r="B1766" s="44" t="s">
        <v>157</v>
      </c>
      <c r="C1766" s="50"/>
      <c r="D1766" s="10" t="s">
        <v>29</v>
      </c>
      <c r="E1766" s="11"/>
      <c r="F1766" s="11" t="s">
        <v>18</v>
      </c>
      <c r="G1766" s="13"/>
      <c r="H1766" s="45" t="s">
        <v>16</v>
      </c>
      <c r="I1766" s="47"/>
      <c r="J1766" s="12" t="s">
        <v>4604</v>
      </c>
      <c r="K1766" s="13" t="s">
        <v>8566</v>
      </c>
      <c r="L1766" s="99" t="str">
        <f t="shared" si="98"/>
        <v>W226B.3</v>
      </c>
      <c r="M1766" s="13"/>
      <c r="N1766" s="47"/>
      <c r="O1766" s="47"/>
      <c r="P1766" s="47"/>
      <c r="Q1766" s="45"/>
      <c r="R1766" s="45"/>
      <c r="S1766" s="48"/>
    </row>
    <row r="1767" spans="1:19" s="49" customFormat="1" ht="14.15" customHeight="1">
      <c r="A1767" s="45"/>
      <c r="B1767" s="44" t="s">
        <v>157</v>
      </c>
      <c r="C1767" s="50"/>
      <c r="D1767" s="10" t="s">
        <v>29</v>
      </c>
      <c r="E1767" s="11"/>
      <c r="F1767" s="11" t="s">
        <v>18</v>
      </c>
      <c r="G1767" s="13"/>
      <c r="H1767" s="45" t="s">
        <v>16</v>
      </c>
      <c r="I1767" s="47"/>
      <c r="J1767" s="12" t="s">
        <v>4605</v>
      </c>
      <c r="K1767" s="13" t="s">
        <v>8567</v>
      </c>
      <c r="L1767" s="99" t="str">
        <f t="shared" si="98"/>
        <v>W226B.4</v>
      </c>
      <c r="M1767" s="13"/>
      <c r="N1767" s="47"/>
      <c r="O1767" s="47"/>
      <c r="P1767" s="47"/>
      <c r="Q1767" s="45"/>
      <c r="R1767" s="45"/>
      <c r="S1767" s="48"/>
    </row>
    <row r="1768" spans="1:19" s="49" customFormat="1" ht="14.15" customHeight="1">
      <c r="A1768" s="45"/>
      <c r="B1768" s="44" t="s">
        <v>157</v>
      </c>
      <c r="C1768" s="50"/>
      <c r="D1768" s="10" t="s">
        <v>29</v>
      </c>
      <c r="E1768" s="11"/>
      <c r="F1768" s="11" t="s">
        <v>18</v>
      </c>
      <c r="G1768" s="13"/>
      <c r="H1768" s="45" t="s">
        <v>16</v>
      </c>
      <c r="I1768" s="47"/>
      <c r="J1768" s="12" t="s">
        <v>4606</v>
      </c>
      <c r="K1768" s="13" t="s">
        <v>8568</v>
      </c>
      <c r="L1768" s="99" t="str">
        <f t="shared" si="98"/>
        <v>W226B.5</v>
      </c>
      <c r="M1768" s="13"/>
      <c r="N1768" s="47"/>
      <c r="O1768" s="47"/>
      <c r="P1768" s="47"/>
      <c r="Q1768" s="45"/>
      <c r="R1768" s="45"/>
      <c r="S1768" s="48"/>
    </row>
    <row r="1769" spans="1:19" s="49" customFormat="1" ht="14.15" customHeight="1">
      <c r="A1769" s="45"/>
      <c r="B1769" s="44" t="s">
        <v>157</v>
      </c>
      <c r="C1769" s="50"/>
      <c r="D1769" s="10" t="s">
        <v>29</v>
      </c>
      <c r="E1769" s="11"/>
      <c r="F1769" s="11" t="s">
        <v>18</v>
      </c>
      <c r="G1769" s="13"/>
      <c r="H1769" s="45" t="s">
        <v>16</v>
      </c>
      <c r="I1769" s="47"/>
      <c r="J1769" s="12" t="s">
        <v>4607</v>
      </c>
      <c r="K1769" s="13" t="s">
        <v>8569</v>
      </c>
      <c r="L1769" s="99" t="str">
        <f t="shared" si="98"/>
        <v>W226B.6</v>
      </c>
      <c r="M1769" s="13"/>
      <c r="N1769" s="47"/>
      <c r="O1769" s="47"/>
      <c r="P1769" s="47"/>
      <c r="Q1769" s="45"/>
      <c r="R1769" s="45"/>
      <c r="S1769" s="48"/>
    </row>
    <row r="1770" spans="1:19" s="49" customFormat="1" ht="14.15" customHeight="1">
      <c r="A1770" s="45"/>
      <c r="B1770" s="44" t="s">
        <v>157</v>
      </c>
      <c r="C1770" s="50"/>
      <c r="D1770" s="10" t="s">
        <v>29</v>
      </c>
      <c r="E1770" s="11"/>
      <c r="F1770" s="11" t="s">
        <v>18</v>
      </c>
      <c r="G1770" s="13"/>
      <c r="H1770" s="45" t="s">
        <v>16</v>
      </c>
      <c r="I1770" s="47"/>
      <c r="J1770" s="12" t="s">
        <v>4608</v>
      </c>
      <c r="K1770" s="13" t="s">
        <v>8570</v>
      </c>
      <c r="L1770" s="99" t="str">
        <f t="shared" si="98"/>
        <v>W226B.7</v>
      </c>
      <c r="M1770" s="45"/>
      <c r="N1770" s="47"/>
      <c r="O1770" s="47"/>
      <c r="P1770" s="47"/>
      <c r="Q1770" s="45"/>
      <c r="R1770" s="45"/>
      <c r="S1770" s="48"/>
    </row>
    <row r="1771" spans="1:19" s="49" customFormat="1" ht="14.15" customHeight="1">
      <c r="A1771" s="45"/>
      <c r="B1771" s="44" t="s">
        <v>157</v>
      </c>
      <c r="C1771" s="50"/>
      <c r="D1771" s="10" t="s">
        <v>29</v>
      </c>
      <c r="E1771" s="11"/>
      <c r="F1771" s="11" t="s">
        <v>18</v>
      </c>
      <c r="G1771" s="13"/>
      <c r="H1771" s="45" t="s">
        <v>16</v>
      </c>
      <c r="I1771" s="47"/>
      <c r="J1771" s="12" t="s">
        <v>4609</v>
      </c>
      <c r="K1771" s="13" t="s">
        <v>8571</v>
      </c>
      <c r="L1771" s="99" t="str">
        <f t="shared" si="98"/>
        <v>W226B.8</v>
      </c>
      <c r="M1771" s="45"/>
      <c r="N1771" s="47"/>
      <c r="O1771" s="47"/>
      <c r="P1771" s="47"/>
      <c r="Q1771" s="45"/>
      <c r="R1771" s="45"/>
      <c r="S1771" s="48"/>
    </row>
    <row r="1772" spans="1:19" s="49" customFormat="1" ht="14.15" customHeight="1">
      <c r="A1772" s="45"/>
      <c r="B1772" s="44" t="s">
        <v>157</v>
      </c>
      <c r="C1772" s="50"/>
      <c r="D1772" s="10" t="s">
        <v>29</v>
      </c>
      <c r="E1772" s="11"/>
      <c r="F1772" s="11" t="s">
        <v>18</v>
      </c>
      <c r="G1772" s="13"/>
      <c r="H1772" s="45" t="s">
        <v>16</v>
      </c>
      <c r="I1772" s="47"/>
      <c r="J1772" s="12" t="s">
        <v>4610</v>
      </c>
      <c r="K1772" s="13" t="s">
        <v>8572</v>
      </c>
      <c r="L1772" s="99" t="str">
        <f t="shared" si="98"/>
        <v>W226B.9</v>
      </c>
      <c r="M1772" s="45"/>
      <c r="N1772" s="47"/>
      <c r="O1772" s="47"/>
      <c r="P1772" s="47"/>
      <c r="Q1772" s="45"/>
      <c r="R1772" s="45"/>
      <c r="S1772" s="48"/>
    </row>
    <row r="1773" spans="1:19" s="49" customFormat="1" ht="14.15" customHeight="1">
      <c r="A1773" s="45"/>
      <c r="B1773" s="44" t="s">
        <v>157</v>
      </c>
      <c r="C1773" s="50"/>
      <c r="D1773" s="10" t="s">
        <v>29</v>
      </c>
      <c r="E1773" s="11"/>
      <c r="F1773" s="11" t="s">
        <v>18</v>
      </c>
      <c r="G1773" s="13"/>
      <c r="H1773" s="45" t="s">
        <v>16</v>
      </c>
      <c r="I1773" s="47"/>
      <c r="J1773" s="12" t="s">
        <v>4611</v>
      </c>
      <c r="K1773" s="13" t="s">
        <v>8573</v>
      </c>
      <c r="L1773" s="99" t="str">
        <f t="shared" si="98"/>
        <v>W226B.A</v>
      </c>
      <c r="M1773" s="45"/>
      <c r="N1773" s="47"/>
      <c r="O1773" s="47"/>
      <c r="P1773" s="47"/>
      <c r="Q1773" s="45"/>
      <c r="R1773" s="45"/>
      <c r="S1773" s="48"/>
    </row>
    <row r="1774" spans="1:19" s="49" customFormat="1" ht="14.15" customHeight="1">
      <c r="A1774" s="45"/>
      <c r="B1774" s="44" t="s">
        <v>157</v>
      </c>
      <c r="C1774" s="50"/>
      <c r="D1774" s="10" t="s">
        <v>29</v>
      </c>
      <c r="E1774" s="11"/>
      <c r="F1774" s="11" t="s">
        <v>18</v>
      </c>
      <c r="G1774" s="13"/>
      <c r="H1774" s="45" t="s">
        <v>16</v>
      </c>
      <c r="I1774" s="47"/>
      <c r="J1774" s="12" t="s">
        <v>4612</v>
      </c>
      <c r="K1774" s="13" t="s">
        <v>8574</v>
      </c>
      <c r="L1774" s="99" t="str">
        <f t="shared" si="98"/>
        <v>W226B.B</v>
      </c>
      <c r="M1774" s="45"/>
      <c r="N1774" s="47"/>
      <c r="O1774" s="47"/>
      <c r="P1774" s="47"/>
      <c r="Q1774" s="45"/>
      <c r="R1774" s="45"/>
      <c r="S1774" s="48"/>
    </row>
    <row r="1775" spans="1:19" s="49" customFormat="1" ht="14.15" customHeight="1">
      <c r="A1775" s="45"/>
      <c r="B1775" s="44" t="s">
        <v>157</v>
      </c>
      <c r="C1775" s="50"/>
      <c r="D1775" s="10" t="s">
        <v>29</v>
      </c>
      <c r="E1775" s="11"/>
      <c r="F1775" s="11" t="s">
        <v>18</v>
      </c>
      <c r="G1775" s="13"/>
      <c r="H1775" s="45" t="s">
        <v>16</v>
      </c>
      <c r="I1775" s="47"/>
      <c r="J1775" s="12" t="s">
        <v>4613</v>
      </c>
      <c r="K1775" s="13" t="s">
        <v>8575</v>
      </c>
      <c r="L1775" s="99" t="str">
        <f t="shared" si="98"/>
        <v>W226B.C</v>
      </c>
      <c r="M1775" s="45"/>
      <c r="N1775" s="47"/>
      <c r="O1775" s="47"/>
      <c r="P1775" s="47"/>
      <c r="Q1775" s="45"/>
      <c r="R1775" s="45"/>
      <c r="S1775" s="48"/>
    </row>
    <row r="1776" spans="1:19" s="49" customFormat="1" ht="14.15" customHeight="1">
      <c r="A1776" s="45"/>
      <c r="B1776" s="44" t="s">
        <v>157</v>
      </c>
      <c r="C1776" s="50"/>
      <c r="D1776" s="10" t="s">
        <v>29</v>
      </c>
      <c r="E1776" s="11"/>
      <c r="F1776" s="11" t="s">
        <v>18</v>
      </c>
      <c r="G1776" s="13"/>
      <c r="H1776" s="45" t="s">
        <v>16</v>
      </c>
      <c r="I1776" s="47"/>
      <c r="J1776" s="12" t="s">
        <v>4614</v>
      </c>
      <c r="K1776" s="13" t="s">
        <v>8576</v>
      </c>
      <c r="L1776" s="99" t="str">
        <f t="shared" si="98"/>
        <v>W226B.D</v>
      </c>
      <c r="M1776" s="45"/>
      <c r="N1776" s="47"/>
      <c r="O1776" s="47"/>
      <c r="P1776" s="47"/>
      <c r="Q1776" s="45"/>
      <c r="R1776" s="45"/>
      <c r="S1776" s="48"/>
    </row>
    <row r="1777" spans="1:19" s="49" customFormat="1" ht="14.15" customHeight="1">
      <c r="A1777" s="45"/>
      <c r="B1777" s="44" t="s">
        <v>157</v>
      </c>
      <c r="C1777" s="50"/>
      <c r="D1777" s="10" t="s">
        <v>29</v>
      </c>
      <c r="E1777" s="11"/>
      <c r="F1777" s="11" t="s">
        <v>18</v>
      </c>
      <c r="G1777" s="13"/>
      <c r="H1777" s="45" t="s">
        <v>16</v>
      </c>
      <c r="I1777" s="47"/>
      <c r="J1777" s="12" t="s">
        <v>4615</v>
      </c>
      <c r="K1777" s="13" t="s">
        <v>8577</v>
      </c>
      <c r="L1777" s="99" t="str">
        <f t="shared" si="98"/>
        <v>W226B.E</v>
      </c>
      <c r="M1777" s="45"/>
      <c r="N1777" s="47"/>
      <c r="O1777" s="47"/>
      <c r="P1777" s="47"/>
      <c r="Q1777" s="45"/>
      <c r="R1777" s="45"/>
      <c r="S1777" s="48"/>
    </row>
    <row r="1778" spans="1:19" s="49" customFormat="1" ht="14.15" customHeight="1">
      <c r="A1778" s="45"/>
      <c r="B1778" s="44" t="s">
        <v>157</v>
      </c>
      <c r="C1778" s="50"/>
      <c r="D1778" s="10" t="s">
        <v>29</v>
      </c>
      <c r="E1778" s="11"/>
      <c r="F1778" s="11" t="s">
        <v>18</v>
      </c>
      <c r="G1778" s="13"/>
      <c r="H1778" s="45" t="s">
        <v>16</v>
      </c>
      <c r="I1778" s="47"/>
      <c r="J1778" s="12" t="s">
        <v>4616</v>
      </c>
      <c r="K1778" s="13" t="s">
        <v>8578</v>
      </c>
      <c r="L1778" s="99" t="str">
        <f t="shared" si="98"/>
        <v>W226B.F</v>
      </c>
      <c r="M1778" s="45"/>
      <c r="N1778" s="47"/>
      <c r="O1778" s="47"/>
      <c r="P1778" s="47"/>
      <c r="Q1778" s="45"/>
      <c r="R1778" s="45"/>
      <c r="S1778" s="48"/>
    </row>
    <row r="1779" spans="1:19" s="49" customFormat="1" ht="14.15" customHeight="1">
      <c r="A1779" s="45"/>
      <c r="B1779" s="44" t="s">
        <v>157</v>
      </c>
      <c r="C1779" s="50"/>
      <c r="D1779" s="10" t="s">
        <v>29</v>
      </c>
      <c r="E1779" s="11"/>
      <c r="F1779" s="11" t="s">
        <v>18</v>
      </c>
      <c r="G1779" s="13"/>
      <c r="H1779" s="45" t="s">
        <v>16</v>
      </c>
      <c r="I1779" s="47"/>
      <c r="J1779" s="12" t="s">
        <v>4617</v>
      </c>
      <c r="K1779" s="13" t="s">
        <v>8579</v>
      </c>
      <c r="L1779" s="99" t="str">
        <f t="shared" si="98"/>
        <v>W226C.0</v>
      </c>
      <c r="M1779" s="45"/>
      <c r="N1779" s="47"/>
      <c r="O1779" s="47"/>
      <c r="P1779" s="47"/>
      <c r="Q1779" s="45"/>
      <c r="R1779" s="45"/>
      <c r="S1779" s="48"/>
    </row>
    <row r="1780" spans="1:19" s="49" customFormat="1" ht="14.15" customHeight="1">
      <c r="A1780" s="45"/>
      <c r="B1780" s="44" t="s">
        <v>157</v>
      </c>
      <c r="C1780" s="50"/>
      <c r="D1780" s="10" t="s">
        <v>29</v>
      </c>
      <c r="E1780" s="11"/>
      <c r="F1780" s="11" t="s">
        <v>18</v>
      </c>
      <c r="G1780" s="13"/>
      <c r="H1780" s="45" t="s">
        <v>16</v>
      </c>
      <c r="I1780" s="47"/>
      <c r="J1780" s="12" t="s">
        <v>4618</v>
      </c>
      <c r="K1780" s="13" t="s">
        <v>8580</v>
      </c>
      <c r="L1780" s="99" t="str">
        <f t="shared" ref="L1780:L1843" si="99">"W"&amp;DEC2HEX(8704 + INT((ROW()-51)/16)) &amp; "." &amp; IF(MOD(ROW()-51,16)&lt;10,MOD(ROW()-51,16),CHAR(MOD(ROW()-51,16)+55))</f>
        <v>W226C.1</v>
      </c>
      <c r="M1780" s="45"/>
      <c r="N1780" s="47"/>
      <c r="O1780" s="47"/>
      <c r="P1780" s="47"/>
      <c r="Q1780" s="45"/>
      <c r="R1780" s="45"/>
      <c r="S1780" s="48"/>
    </row>
    <row r="1781" spans="1:19" s="49" customFormat="1" ht="14.15" customHeight="1">
      <c r="A1781" s="45"/>
      <c r="B1781" s="44" t="s">
        <v>157</v>
      </c>
      <c r="C1781" s="50"/>
      <c r="D1781" s="10" t="s">
        <v>29</v>
      </c>
      <c r="E1781" s="11"/>
      <c r="F1781" s="11" t="s">
        <v>18</v>
      </c>
      <c r="G1781" s="13"/>
      <c r="H1781" s="45" t="s">
        <v>16</v>
      </c>
      <c r="I1781" s="47"/>
      <c r="J1781" s="12" t="s">
        <v>4619</v>
      </c>
      <c r="K1781" s="13" t="s">
        <v>8581</v>
      </c>
      <c r="L1781" s="99" t="str">
        <f t="shared" si="99"/>
        <v>W226C.2</v>
      </c>
      <c r="M1781" s="45"/>
      <c r="N1781" s="47"/>
      <c r="O1781" s="47"/>
      <c r="P1781" s="47"/>
      <c r="Q1781" s="45"/>
      <c r="R1781" s="45"/>
      <c r="S1781" s="48"/>
    </row>
    <row r="1782" spans="1:19" s="49" customFormat="1" ht="14.15" customHeight="1">
      <c r="A1782" s="45"/>
      <c r="B1782" s="44" t="s">
        <v>157</v>
      </c>
      <c r="C1782" s="50"/>
      <c r="D1782" s="10" t="s">
        <v>29</v>
      </c>
      <c r="E1782" s="11"/>
      <c r="F1782" s="11" t="s">
        <v>18</v>
      </c>
      <c r="G1782" s="13"/>
      <c r="H1782" s="45" t="s">
        <v>16</v>
      </c>
      <c r="I1782" s="47"/>
      <c r="J1782" s="12" t="s">
        <v>4620</v>
      </c>
      <c r="K1782" s="13" t="s">
        <v>8582</v>
      </c>
      <c r="L1782" s="99" t="str">
        <f t="shared" si="99"/>
        <v>W226C.3</v>
      </c>
      <c r="M1782" s="45"/>
      <c r="N1782" s="47"/>
      <c r="O1782" s="47"/>
      <c r="P1782" s="47"/>
      <c r="Q1782" s="45"/>
      <c r="R1782" s="45"/>
      <c r="S1782" s="48"/>
    </row>
    <row r="1783" spans="1:19" s="49" customFormat="1" ht="14.15" customHeight="1">
      <c r="A1783" s="45"/>
      <c r="B1783" s="44" t="s">
        <v>157</v>
      </c>
      <c r="C1783" s="50"/>
      <c r="D1783" s="10" t="s">
        <v>29</v>
      </c>
      <c r="E1783" s="11"/>
      <c r="F1783" s="11" t="s">
        <v>18</v>
      </c>
      <c r="G1783" s="13"/>
      <c r="H1783" s="45" t="s">
        <v>16</v>
      </c>
      <c r="I1783" s="47"/>
      <c r="J1783" s="12" t="s">
        <v>4621</v>
      </c>
      <c r="K1783" s="13" t="s">
        <v>8583</v>
      </c>
      <c r="L1783" s="99" t="str">
        <f t="shared" si="99"/>
        <v>W226C.4</v>
      </c>
      <c r="M1783" s="13"/>
      <c r="N1783" s="47"/>
      <c r="O1783" s="47"/>
      <c r="P1783" s="47"/>
      <c r="Q1783" s="45"/>
      <c r="R1783" s="45"/>
      <c r="S1783" s="48"/>
    </row>
    <row r="1784" spans="1:19" s="49" customFormat="1" ht="14.15" customHeight="1">
      <c r="A1784" s="45"/>
      <c r="B1784" s="44" t="s">
        <v>157</v>
      </c>
      <c r="C1784" s="50"/>
      <c r="D1784" s="10" t="s">
        <v>29</v>
      </c>
      <c r="E1784" s="11"/>
      <c r="F1784" s="11" t="s">
        <v>18</v>
      </c>
      <c r="G1784" s="13"/>
      <c r="H1784" s="45" t="s">
        <v>16</v>
      </c>
      <c r="I1784" s="47"/>
      <c r="J1784" s="12" t="s">
        <v>4622</v>
      </c>
      <c r="K1784" s="13" t="s">
        <v>8584</v>
      </c>
      <c r="L1784" s="99" t="str">
        <f t="shared" si="99"/>
        <v>W226C.5</v>
      </c>
      <c r="M1784" s="45"/>
      <c r="N1784" s="47"/>
      <c r="O1784" s="47"/>
      <c r="P1784" s="47"/>
      <c r="Q1784" s="45"/>
      <c r="R1784" s="45"/>
      <c r="S1784" s="48"/>
    </row>
    <row r="1785" spans="1:19" s="49" customFormat="1" ht="14.15" customHeight="1">
      <c r="A1785" s="45"/>
      <c r="B1785" s="44" t="s">
        <v>157</v>
      </c>
      <c r="C1785" s="50"/>
      <c r="D1785" s="10" t="s">
        <v>29</v>
      </c>
      <c r="E1785" s="11"/>
      <c r="F1785" s="11" t="s">
        <v>18</v>
      </c>
      <c r="G1785" s="13"/>
      <c r="H1785" s="45" t="s">
        <v>16</v>
      </c>
      <c r="I1785" s="47"/>
      <c r="J1785" s="12" t="s">
        <v>4623</v>
      </c>
      <c r="K1785" s="13" t="s">
        <v>8585</v>
      </c>
      <c r="L1785" s="99" t="str">
        <f t="shared" si="99"/>
        <v>W226C.6</v>
      </c>
      <c r="M1785" s="13"/>
      <c r="N1785" s="47"/>
      <c r="O1785" s="47"/>
      <c r="P1785" s="47"/>
      <c r="Q1785" s="45"/>
      <c r="R1785" s="45"/>
      <c r="S1785" s="48"/>
    </row>
    <row r="1786" spans="1:19" s="49" customFormat="1" ht="14.15" customHeight="1">
      <c r="A1786" s="45"/>
      <c r="B1786" s="44" t="s">
        <v>157</v>
      </c>
      <c r="C1786" s="50"/>
      <c r="D1786" s="10" t="s">
        <v>29</v>
      </c>
      <c r="E1786" s="11"/>
      <c r="F1786" s="11" t="s">
        <v>18</v>
      </c>
      <c r="G1786" s="13"/>
      <c r="H1786" s="45" t="s">
        <v>16</v>
      </c>
      <c r="I1786" s="47"/>
      <c r="J1786" s="12" t="s">
        <v>4624</v>
      </c>
      <c r="K1786" s="13" t="s">
        <v>8586</v>
      </c>
      <c r="L1786" s="99" t="str">
        <f t="shared" si="99"/>
        <v>W226C.7</v>
      </c>
      <c r="M1786" s="13"/>
      <c r="N1786" s="47"/>
      <c r="O1786" s="47"/>
      <c r="P1786" s="47"/>
      <c r="Q1786" s="45"/>
      <c r="R1786" s="45"/>
      <c r="S1786" s="48"/>
    </row>
    <row r="1787" spans="1:19" s="49" customFormat="1" ht="14.15" customHeight="1">
      <c r="A1787" s="45"/>
      <c r="B1787" s="44" t="s">
        <v>157</v>
      </c>
      <c r="C1787" s="50"/>
      <c r="D1787" s="10" t="s">
        <v>29</v>
      </c>
      <c r="E1787" s="11"/>
      <c r="F1787" s="11" t="s">
        <v>18</v>
      </c>
      <c r="G1787" s="13"/>
      <c r="H1787" s="45" t="s">
        <v>16</v>
      </c>
      <c r="I1787" s="47"/>
      <c r="J1787" s="12" t="s">
        <v>4625</v>
      </c>
      <c r="K1787" s="13" t="s">
        <v>8587</v>
      </c>
      <c r="L1787" s="99" t="str">
        <f t="shared" si="99"/>
        <v>W226C.8</v>
      </c>
      <c r="M1787" s="13"/>
      <c r="N1787" s="47"/>
      <c r="O1787" s="47"/>
      <c r="P1787" s="47"/>
      <c r="Q1787" s="45"/>
      <c r="R1787" s="45"/>
      <c r="S1787" s="48"/>
    </row>
    <row r="1788" spans="1:19" s="49" customFormat="1" ht="14.15" customHeight="1">
      <c r="A1788" s="45"/>
      <c r="B1788" s="44" t="s">
        <v>157</v>
      </c>
      <c r="C1788" s="50"/>
      <c r="D1788" s="10" t="s">
        <v>29</v>
      </c>
      <c r="E1788" s="11"/>
      <c r="F1788" s="11" t="s">
        <v>18</v>
      </c>
      <c r="G1788" s="13"/>
      <c r="H1788" s="45" t="s">
        <v>16</v>
      </c>
      <c r="I1788" s="47"/>
      <c r="J1788" s="12" t="s">
        <v>4626</v>
      </c>
      <c r="K1788" s="13" t="s">
        <v>8588</v>
      </c>
      <c r="L1788" s="99" t="str">
        <f t="shared" si="99"/>
        <v>W226C.9</v>
      </c>
      <c r="M1788" s="45"/>
      <c r="N1788" s="47"/>
      <c r="O1788" s="47"/>
      <c r="P1788" s="47"/>
      <c r="Q1788" s="45"/>
      <c r="R1788" s="45"/>
      <c r="S1788" s="48"/>
    </row>
    <row r="1789" spans="1:19" s="49" customFormat="1" ht="14.15" customHeight="1">
      <c r="A1789" s="45"/>
      <c r="B1789" s="44" t="s">
        <v>157</v>
      </c>
      <c r="C1789" s="50"/>
      <c r="D1789" s="10" t="s">
        <v>29</v>
      </c>
      <c r="E1789" s="11"/>
      <c r="F1789" s="11" t="s">
        <v>18</v>
      </c>
      <c r="G1789" s="13"/>
      <c r="H1789" s="45" t="s">
        <v>16</v>
      </c>
      <c r="I1789" s="47"/>
      <c r="J1789" s="12" t="s">
        <v>4627</v>
      </c>
      <c r="K1789" s="13" t="s">
        <v>8589</v>
      </c>
      <c r="L1789" s="99" t="str">
        <f t="shared" si="99"/>
        <v>W226C.A</v>
      </c>
      <c r="M1789" s="45"/>
      <c r="N1789" s="47"/>
      <c r="O1789" s="47"/>
      <c r="P1789" s="47"/>
      <c r="Q1789" s="45"/>
      <c r="R1789" s="45"/>
      <c r="S1789" s="48"/>
    </row>
    <row r="1790" spans="1:19" s="49" customFormat="1" ht="14.15" customHeight="1">
      <c r="A1790" s="45"/>
      <c r="B1790" s="44" t="s">
        <v>157</v>
      </c>
      <c r="C1790" s="50"/>
      <c r="D1790" s="10" t="s">
        <v>29</v>
      </c>
      <c r="E1790" s="11"/>
      <c r="F1790" s="11" t="s">
        <v>18</v>
      </c>
      <c r="G1790" s="13"/>
      <c r="H1790" s="45" t="s">
        <v>16</v>
      </c>
      <c r="I1790" s="47"/>
      <c r="J1790" s="12" t="s">
        <v>4628</v>
      </c>
      <c r="K1790" s="13" t="s">
        <v>8590</v>
      </c>
      <c r="L1790" s="99" t="str">
        <f t="shared" si="99"/>
        <v>W226C.B</v>
      </c>
      <c r="M1790" s="45"/>
      <c r="N1790" s="47"/>
      <c r="O1790" s="47"/>
      <c r="P1790" s="47"/>
      <c r="Q1790" s="45"/>
      <c r="R1790" s="45"/>
      <c r="S1790" s="48"/>
    </row>
    <row r="1791" spans="1:19" s="49" customFormat="1" ht="14.15" customHeight="1">
      <c r="A1791" s="45"/>
      <c r="B1791" s="44" t="s">
        <v>157</v>
      </c>
      <c r="C1791" s="50"/>
      <c r="D1791" s="10" t="s">
        <v>29</v>
      </c>
      <c r="E1791" s="11"/>
      <c r="F1791" s="11" t="s">
        <v>18</v>
      </c>
      <c r="G1791" s="13"/>
      <c r="H1791" s="45" t="s">
        <v>16</v>
      </c>
      <c r="I1791" s="47"/>
      <c r="J1791" s="12" t="s">
        <v>4629</v>
      </c>
      <c r="K1791" s="13" t="s">
        <v>8591</v>
      </c>
      <c r="L1791" s="99" t="str">
        <f t="shared" si="99"/>
        <v>W226C.C</v>
      </c>
      <c r="M1791" s="45"/>
      <c r="N1791" s="47"/>
      <c r="O1791" s="47"/>
      <c r="P1791" s="47"/>
      <c r="Q1791" s="45"/>
      <c r="R1791" s="45"/>
      <c r="S1791" s="48"/>
    </row>
    <row r="1792" spans="1:19" s="49" customFormat="1" ht="14.15" customHeight="1">
      <c r="A1792" s="45"/>
      <c r="B1792" s="44" t="s">
        <v>157</v>
      </c>
      <c r="C1792" s="50"/>
      <c r="D1792" s="10" t="s">
        <v>29</v>
      </c>
      <c r="E1792" s="11"/>
      <c r="F1792" s="11" t="s">
        <v>18</v>
      </c>
      <c r="G1792" s="13"/>
      <c r="H1792" s="45" t="s">
        <v>16</v>
      </c>
      <c r="I1792" s="47"/>
      <c r="J1792" s="12" t="s">
        <v>4630</v>
      </c>
      <c r="K1792" s="13" t="s">
        <v>8592</v>
      </c>
      <c r="L1792" s="99" t="str">
        <f t="shared" si="99"/>
        <v>W226C.D</v>
      </c>
      <c r="M1792" s="45"/>
      <c r="N1792" s="47"/>
      <c r="O1792" s="47"/>
      <c r="P1792" s="47"/>
      <c r="Q1792" s="45"/>
      <c r="R1792" s="45"/>
      <c r="S1792" s="48"/>
    </row>
    <row r="1793" spans="1:19" s="49" customFormat="1" ht="14.15" customHeight="1">
      <c r="A1793" s="45"/>
      <c r="B1793" s="44" t="s">
        <v>157</v>
      </c>
      <c r="C1793" s="50"/>
      <c r="D1793" s="10" t="s">
        <v>29</v>
      </c>
      <c r="E1793" s="11"/>
      <c r="F1793" s="11" t="s">
        <v>18</v>
      </c>
      <c r="G1793" s="13"/>
      <c r="H1793" s="45" t="s">
        <v>16</v>
      </c>
      <c r="I1793" s="47"/>
      <c r="J1793" s="12" t="s">
        <v>4631</v>
      </c>
      <c r="K1793" s="13" t="s">
        <v>8593</v>
      </c>
      <c r="L1793" s="99" t="str">
        <f t="shared" si="99"/>
        <v>W226C.E</v>
      </c>
      <c r="M1793" s="45"/>
      <c r="N1793" s="47"/>
      <c r="O1793" s="47"/>
      <c r="P1793" s="47"/>
      <c r="Q1793" s="45"/>
      <c r="R1793" s="45"/>
      <c r="S1793" s="48"/>
    </row>
    <row r="1794" spans="1:19" s="49" customFormat="1" ht="14.15" customHeight="1">
      <c r="A1794" s="45"/>
      <c r="B1794" s="44" t="s">
        <v>157</v>
      </c>
      <c r="C1794" s="50"/>
      <c r="D1794" s="10" t="s">
        <v>29</v>
      </c>
      <c r="E1794" s="11"/>
      <c r="F1794" s="11" t="s">
        <v>18</v>
      </c>
      <c r="G1794" s="13"/>
      <c r="H1794" s="45" t="s">
        <v>16</v>
      </c>
      <c r="I1794" s="47"/>
      <c r="J1794" s="12" t="s">
        <v>4632</v>
      </c>
      <c r="K1794" s="13" t="s">
        <v>8594</v>
      </c>
      <c r="L1794" s="99" t="str">
        <f t="shared" si="99"/>
        <v>W226C.F</v>
      </c>
      <c r="M1794" s="45"/>
      <c r="N1794" s="47"/>
      <c r="O1794" s="47"/>
      <c r="P1794" s="47"/>
      <c r="Q1794" s="45"/>
      <c r="R1794" s="45"/>
      <c r="S1794" s="48"/>
    </row>
    <row r="1795" spans="1:19" s="49" customFormat="1" ht="14.15" customHeight="1">
      <c r="A1795" s="45"/>
      <c r="B1795" s="44" t="s">
        <v>157</v>
      </c>
      <c r="C1795" s="50"/>
      <c r="D1795" s="10" t="s">
        <v>29</v>
      </c>
      <c r="E1795" s="11"/>
      <c r="F1795" s="11" t="s">
        <v>18</v>
      </c>
      <c r="G1795" s="13"/>
      <c r="H1795" s="45" t="s">
        <v>16</v>
      </c>
      <c r="I1795" s="47"/>
      <c r="J1795" s="12" t="s">
        <v>4633</v>
      </c>
      <c r="K1795" s="13" t="s">
        <v>8595</v>
      </c>
      <c r="L1795" s="99" t="str">
        <f t="shared" si="99"/>
        <v>W226D.0</v>
      </c>
      <c r="M1795" s="45"/>
      <c r="N1795" s="47"/>
      <c r="O1795" s="47"/>
      <c r="P1795" s="47"/>
      <c r="Q1795" s="45"/>
      <c r="R1795" s="45"/>
      <c r="S1795" s="48"/>
    </row>
    <row r="1796" spans="1:19" s="49" customFormat="1" ht="14.15" customHeight="1">
      <c r="A1796" s="45"/>
      <c r="B1796" s="44" t="s">
        <v>157</v>
      </c>
      <c r="C1796" s="50"/>
      <c r="D1796" s="10" t="s">
        <v>29</v>
      </c>
      <c r="E1796" s="11"/>
      <c r="F1796" s="11" t="s">
        <v>18</v>
      </c>
      <c r="G1796" s="13"/>
      <c r="H1796" s="45" t="s">
        <v>16</v>
      </c>
      <c r="I1796" s="47"/>
      <c r="J1796" s="12" t="s">
        <v>4634</v>
      </c>
      <c r="K1796" s="13" t="s">
        <v>8596</v>
      </c>
      <c r="L1796" s="99" t="str">
        <f t="shared" si="99"/>
        <v>W226D.1</v>
      </c>
      <c r="M1796" s="45"/>
      <c r="N1796" s="47"/>
      <c r="O1796" s="47"/>
      <c r="P1796" s="47"/>
      <c r="Q1796" s="45"/>
      <c r="R1796" s="45"/>
      <c r="S1796" s="48"/>
    </row>
    <row r="1797" spans="1:19" s="49" customFormat="1" ht="14.15" customHeight="1">
      <c r="A1797" s="45"/>
      <c r="B1797" s="44" t="s">
        <v>157</v>
      </c>
      <c r="C1797" s="50"/>
      <c r="D1797" s="10" t="s">
        <v>29</v>
      </c>
      <c r="E1797" s="11"/>
      <c r="F1797" s="11" t="s">
        <v>18</v>
      </c>
      <c r="G1797" s="13"/>
      <c r="H1797" s="45" t="s">
        <v>16</v>
      </c>
      <c r="I1797" s="47"/>
      <c r="J1797" s="12" t="s">
        <v>4635</v>
      </c>
      <c r="K1797" s="13" t="s">
        <v>8597</v>
      </c>
      <c r="L1797" s="99" t="str">
        <f t="shared" si="99"/>
        <v>W226D.2</v>
      </c>
      <c r="M1797" s="45"/>
      <c r="N1797" s="47"/>
      <c r="O1797" s="47"/>
      <c r="P1797" s="47"/>
      <c r="Q1797" s="45"/>
      <c r="R1797" s="45"/>
      <c r="S1797" s="48"/>
    </row>
    <row r="1798" spans="1:19" s="49" customFormat="1" ht="14.15" customHeight="1">
      <c r="A1798" s="45"/>
      <c r="B1798" s="44" t="s">
        <v>157</v>
      </c>
      <c r="C1798" s="50"/>
      <c r="D1798" s="10" t="s">
        <v>29</v>
      </c>
      <c r="E1798" s="11"/>
      <c r="F1798" s="11" t="s">
        <v>18</v>
      </c>
      <c r="G1798" s="13"/>
      <c r="H1798" s="45" t="s">
        <v>16</v>
      </c>
      <c r="I1798" s="47"/>
      <c r="J1798" s="12" t="s">
        <v>4636</v>
      </c>
      <c r="K1798" s="13" t="s">
        <v>8598</v>
      </c>
      <c r="L1798" s="99" t="str">
        <f t="shared" si="99"/>
        <v>W226D.3</v>
      </c>
      <c r="M1798" s="45"/>
      <c r="N1798" s="47"/>
      <c r="O1798" s="47"/>
      <c r="P1798" s="47"/>
      <c r="Q1798" s="45"/>
      <c r="R1798" s="45"/>
      <c r="S1798" s="48"/>
    </row>
    <row r="1799" spans="1:19" s="49" customFormat="1" ht="14.15" customHeight="1">
      <c r="A1799" s="45"/>
      <c r="B1799" s="44" t="s">
        <v>157</v>
      </c>
      <c r="C1799" s="50"/>
      <c r="D1799" s="10" t="s">
        <v>29</v>
      </c>
      <c r="E1799" s="11"/>
      <c r="F1799" s="11" t="s">
        <v>18</v>
      </c>
      <c r="G1799" s="13"/>
      <c r="H1799" s="45" t="s">
        <v>16</v>
      </c>
      <c r="I1799" s="47"/>
      <c r="J1799" s="12" t="s">
        <v>4637</v>
      </c>
      <c r="K1799" s="13" t="s">
        <v>8599</v>
      </c>
      <c r="L1799" s="99" t="str">
        <f t="shared" si="99"/>
        <v>W226D.4</v>
      </c>
      <c r="M1799" s="45"/>
      <c r="N1799" s="47"/>
      <c r="O1799" s="47"/>
      <c r="P1799" s="47"/>
      <c r="Q1799" s="45"/>
      <c r="R1799" s="45"/>
      <c r="S1799" s="48"/>
    </row>
    <row r="1800" spans="1:19" s="49" customFormat="1" ht="14.15" customHeight="1">
      <c r="A1800" s="45"/>
      <c r="B1800" s="44" t="s">
        <v>157</v>
      </c>
      <c r="C1800" s="50"/>
      <c r="D1800" s="10" t="s">
        <v>29</v>
      </c>
      <c r="E1800" s="11"/>
      <c r="F1800" s="11" t="s">
        <v>18</v>
      </c>
      <c r="G1800" s="13"/>
      <c r="H1800" s="45" t="s">
        <v>16</v>
      </c>
      <c r="I1800" s="47"/>
      <c r="J1800" s="12" t="s">
        <v>4638</v>
      </c>
      <c r="K1800" s="13" t="s">
        <v>8600</v>
      </c>
      <c r="L1800" s="99" t="str">
        <f t="shared" si="99"/>
        <v>W226D.5</v>
      </c>
      <c r="M1800" s="45"/>
      <c r="N1800" s="47"/>
      <c r="O1800" s="47"/>
      <c r="P1800" s="47"/>
      <c r="Q1800" s="45"/>
      <c r="R1800" s="45"/>
      <c r="S1800" s="48"/>
    </row>
    <row r="1801" spans="1:19" s="49" customFormat="1" ht="14.15" customHeight="1">
      <c r="A1801" s="45"/>
      <c r="B1801" s="44" t="s">
        <v>157</v>
      </c>
      <c r="C1801" s="50"/>
      <c r="D1801" s="10" t="s">
        <v>29</v>
      </c>
      <c r="E1801" s="11"/>
      <c r="F1801" s="11" t="s">
        <v>18</v>
      </c>
      <c r="G1801" s="13"/>
      <c r="H1801" s="45" t="s">
        <v>16</v>
      </c>
      <c r="I1801" s="47"/>
      <c r="J1801" s="12" t="s">
        <v>4639</v>
      </c>
      <c r="K1801" s="13" t="s">
        <v>8601</v>
      </c>
      <c r="L1801" s="99" t="str">
        <f t="shared" si="99"/>
        <v>W226D.6</v>
      </c>
      <c r="M1801" s="45"/>
      <c r="N1801" s="47"/>
      <c r="O1801" s="47"/>
      <c r="P1801" s="47"/>
      <c r="Q1801" s="45"/>
      <c r="R1801" s="45"/>
      <c r="S1801" s="48"/>
    </row>
    <row r="1802" spans="1:19" s="49" customFormat="1" ht="14.15" customHeight="1">
      <c r="A1802" s="45"/>
      <c r="B1802" s="44" t="s">
        <v>157</v>
      </c>
      <c r="C1802" s="50"/>
      <c r="D1802" s="10" t="s">
        <v>29</v>
      </c>
      <c r="E1802" s="11"/>
      <c r="F1802" s="11" t="s">
        <v>18</v>
      </c>
      <c r="G1802" s="13"/>
      <c r="H1802" s="45" t="s">
        <v>16</v>
      </c>
      <c r="I1802" s="47"/>
      <c r="J1802" s="12" t="s">
        <v>4640</v>
      </c>
      <c r="K1802" s="13" t="s">
        <v>8602</v>
      </c>
      <c r="L1802" s="99" t="str">
        <f t="shared" si="99"/>
        <v>W226D.7</v>
      </c>
      <c r="M1802" s="45"/>
      <c r="N1802" s="47"/>
      <c r="O1802" s="47"/>
      <c r="P1802" s="47"/>
      <c r="Q1802" s="45"/>
      <c r="R1802" s="45"/>
      <c r="S1802" s="48"/>
    </row>
    <row r="1803" spans="1:19" s="49" customFormat="1" ht="14.15" customHeight="1">
      <c r="A1803" s="45"/>
      <c r="B1803" s="44" t="s">
        <v>157</v>
      </c>
      <c r="C1803" s="50"/>
      <c r="D1803" s="10" t="s">
        <v>29</v>
      </c>
      <c r="E1803" s="11"/>
      <c r="F1803" s="11" t="s">
        <v>18</v>
      </c>
      <c r="G1803" s="13"/>
      <c r="H1803" s="45" t="s">
        <v>16</v>
      </c>
      <c r="I1803" s="47"/>
      <c r="J1803" s="12" t="s">
        <v>4641</v>
      </c>
      <c r="K1803" s="13" t="s">
        <v>8603</v>
      </c>
      <c r="L1803" s="99" t="str">
        <f t="shared" si="99"/>
        <v>W226D.8</v>
      </c>
      <c r="M1803" s="45"/>
      <c r="N1803" s="47"/>
      <c r="O1803" s="47"/>
      <c r="P1803" s="47"/>
      <c r="Q1803" s="45"/>
      <c r="R1803" s="45"/>
      <c r="S1803" s="48"/>
    </row>
    <row r="1804" spans="1:19" s="49" customFormat="1" ht="14.15" customHeight="1">
      <c r="A1804" s="45"/>
      <c r="B1804" s="44" t="s">
        <v>157</v>
      </c>
      <c r="C1804" s="50"/>
      <c r="D1804" s="10" t="s">
        <v>29</v>
      </c>
      <c r="E1804" s="11"/>
      <c r="F1804" s="11" t="s">
        <v>18</v>
      </c>
      <c r="G1804" s="13"/>
      <c r="H1804" s="45" t="s">
        <v>16</v>
      </c>
      <c r="I1804" s="47"/>
      <c r="J1804" s="12" t="s">
        <v>4642</v>
      </c>
      <c r="K1804" s="13" t="s">
        <v>8604</v>
      </c>
      <c r="L1804" s="99" t="str">
        <f t="shared" si="99"/>
        <v>W226D.9</v>
      </c>
      <c r="M1804" s="45"/>
      <c r="N1804" s="47"/>
      <c r="O1804" s="47"/>
      <c r="P1804" s="47"/>
      <c r="Q1804" s="45"/>
      <c r="R1804" s="45"/>
      <c r="S1804" s="48"/>
    </row>
    <row r="1805" spans="1:19" s="49" customFormat="1" ht="14.15" customHeight="1">
      <c r="A1805" s="45"/>
      <c r="B1805" s="44" t="s">
        <v>157</v>
      </c>
      <c r="C1805" s="50"/>
      <c r="D1805" s="10" t="s">
        <v>29</v>
      </c>
      <c r="E1805" s="11"/>
      <c r="F1805" s="11" t="s">
        <v>18</v>
      </c>
      <c r="G1805" s="13"/>
      <c r="H1805" s="45" t="s">
        <v>16</v>
      </c>
      <c r="I1805" s="47"/>
      <c r="J1805" s="12" t="s">
        <v>4643</v>
      </c>
      <c r="K1805" s="13" t="s">
        <v>8605</v>
      </c>
      <c r="L1805" s="99" t="str">
        <f t="shared" si="99"/>
        <v>W226D.A</v>
      </c>
      <c r="M1805" s="45"/>
      <c r="N1805" s="47"/>
      <c r="O1805" s="47"/>
      <c r="P1805" s="47"/>
      <c r="Q1805" s="45"/>
      <c r="R1805" s="45"/>
      <c r="S1805" s="48"/>
    </row>
    <row r="1806" spans="1:19" s="49" customFormat="1" ht="14.15" customHeight="1">
      <c r="A1806" s="45"/>
      <c r="B1806" s="44" t="s">
        <v>157</v>
      </c>
      <c r="C1806" s="50"/>
      <c r="D1806" s="10" t="s">
        <v>29</v>
      </c>
      <c r="E1806" s="11"/>
      <c r="F1806" s="11" t="s">
        <v>18</v>
      </c>
      <c r="G1806" s="13"/>
      <c r="H1806" s="45" t="s">
        <v>16</v>
      </c>
      <c r="I1806" s="47"/>
      <c r="J1806" s="12" t="s">
        <v>4644</v>
      </c>
      <c r="K1806" s="13" t="s">
        <v>8606</v>
      </c>
      <c r="L1806" s="99" t="str">
        <f t="shared" si="99"/>
        <v>W226D.B</v>
      </c>
      <c r="M1806" s="45"/>
      <c r="N1806" s="47"/>
      <c r="O1806" s="47"/>
      <c r="P1806" s="47"/>
      <c r="Q1806" s="45"/>
      <c r="R1806" s="45"/>
      <c r="S1806" s="48"/>
    </row>
    <row r="1807" spans="1:19" s="49" customFormat="1" ht="14.15" customHeight="1">
      <c r="A1807" s="45"/>
      <c r="B1807" s="44" t="s">
        <v>157</v>
      </c>
      <c r="C1807" s="50"/>
      <c r="D1807" s="10" t="s">
        <v>29</v>
      </c>
      <c r="E1807" s="11"/>
      <c r="F1807" s="11" t="s">
        <v>18</v>
      </c>
      <c r="G1807" s="13"/>
      <c r="H1807" s="45" t="s">
        <v>16</v>
      </c>
      <c r="I1807" s="47"/>
      <c r="J1807" s="12" t="s">
        <v>4645</v>
      </c>
      <c r="K1807" s="13" t="s">
        <v>8607</v>
      </c>
      <c r="L1807" s="99" t="str">
        <f t="shared" si="99"/>
        <v>W226D.C</v>
      </c>
      <c r="M1807" s="45"/>
      <c r="N1807" s="47"/>
      <c r="O1807" s="47"/>
      <c r="P1807" s="47"/>
      <c r="Q1807" s="45"/>
      <c r="R1807" s="45"/>
      <c r="S1807" s="48"/>
    </row>
    <row r="1808" spans="1:19" s="49" customFormat="1" ht="14.15" customHeight="1">
      <c r="A1808" s="45"/>
      <c r="B1808" s="44" t="s">
        <v>157</v>
      </c>
      <c r="C1808" s="50"/>
      <c r="D1808" s="10" t="s">
        <v>29</v>
      </c>
      <c r="E1808" s="11"/>
      <c r="F1808" s="11" t="s">
        <v>18</v>
      </c>
      <c r="G1808" s="13"/>
      <c r="H1808" s="45" t="s">
        <v>16</v>
      </c>
      <c r="I1808" s="47"/>
      <c r="J1808" s="12" t="s">
        <v>4646</v>
      </c>
      <c r="K1808" s="13" t="s">
        <v>8608</v>
      </c>
      <c r="L1808" s="99" t="str">
        <f t="shared" si="99"/>
        <v>W226D.D</v>
      </c>
      <c r="M1808" s="45"/>
      <c r="N1808" s="47"/>
      <c r="O1808" s="47"/>
      <c r="P1808" s="47"/>
      <c r="Q1808" s="45"/>
      <c r="R1808" s="45"/>
      <c r="S1808" s="48"/>
    </row>
    <row r="1809" spans="1:19" s="49" customFormat="1" ht="14.15" customHeight="1">
      <c r="A1809" s="45"/>
      <c r="B1809" s="44" t="s">
        <v>157</v>
      </c>
      <c r="C1809" s="50"/>
      <c r="D1809" s="10" t="s">
        <v>29</v>
      </c>
      <c r="E1809" s="11"/>
      <c r="F1809" s="11" t="s">
        <v>18</v>
      </c>
      <c r="G1809" s="13"/>
      <c r="H1809" s="45" t="s">
        <v>16</v>
      </c>
      <c r="I1809" s="47"/>
      <c r="J1809" s="12" t="s">
        <v>4647</v>
      </c>
      <c r="K1809" s="13" t="s">
        <v>8609</v>
      </c>
      <c r="L1809" s="99" t="str">
        <f t="shared" si="99"/>
        <v>W226D.E</v>
      </c>
      <c r="M1809" s="45"/>
      <c r="N1809" s="47"/>
      <c r="O1809" s="47"/>
      <c r="P1809" s="47"/>
      <c r="Q1809" s="45"/>
      <c r="R1809" s="45"/>
      <c r="S1809" s="48"/>
    </row>
    <row r="1810" spans="1:19" s="49" customFormat="1" ht="14.15" customHeight="1">
      <c r="A1810" s="45"/>
      <c r="B1810" s="44" t="s">
        <v>157</v>
      </c>
      <c r="C1810" s="50"/>
      <c r="D1810" s="10" t="s">
        <v>29</v>
      </c>
      <c r="E1810" s="11"/>
      <c r="F1810" s="11" t="s">
        <v>18</v>
      </c>
      <c r="G1810" s="13"/>
      <c r="H1810" s="45" t="s">
        <v>16</v>
      </c>
      <c r="I1810" s="47"/>
      <c r="J1810" s="12" t="s">
        <v>4648</v>
      </c>
      <c r="K1810" s="13" t="s">
        <v>8610</v>
      </c>
      <c r="L1810" s="99" t="str">
        <f t="shared" si="99"/>
        <v>W226D.F</v>
      </c>
      <c r="M1810" s="45"/>
      <c r="N1810" s="47"/>
      <c r="O1810" s="47"/>
      <c r="P1810" s="47"/>
      <c r="Q1810" s="45"/>
      <c r="R1810" s="45"/>
      <c r="S1810" s="48"/>
    </row>
    <row r="1811" spans="1:19" s="49" customFormat="1" ht="14.15" customHeight="1">
      <c r="A1811" s="45"/>
      <c r="B1811" s="44" t="s">
        <v>157</v>
      </c>
      <c r="C1811" s="50"/>
      <c r="D1811" s="10" t="s">
        <v>29</v>
      </c>
      <c r="E1811" s="11"/>
      <c r="F1811" s="11" t="s">
        <v>18</v>
      </c>
      <c r="G1811" s="13"/>
      <c r="H1811" s="45" t="s">
        <v>16</v>
      </c>
      <c r="I1811" s="47"/>
      <c r="J1811" s="12" t="s">
        <v>4649</v>
      </c>
      <c r="K1811" s="13" t="s">
        <v>8611</v>
      </c>
      <c r="L1811" s="99" t="str">
        <f t="shared" si="99"/>
        <v>W226E.0</v>
      </c>
      <c r="M1811" s="45"/>
      <c r="N1811" s="47"/>
      <c r="O1811" s="47"/>
      <c r="P1811" s="47"/>
      <c r="Q1811" s="45"/>
      <c r="R1811" s="45"/>
      <c r="S1811" s="48"/>
    </row>
    <row r="1812" spans="1:19" s="49" customFormat="1" ht="14.15" customHeight="1">
      <c r="A1812" s="45"/>
      <c r="B1812" s="44" t="s">
        <v>157</v>
      </c>
      <c r="C1812" s="50"/>
      <c r="D1812" s="10" t="s">
        <v>29</v>
      </c>
      <c r="E1812" s="11"/>
      <c r="F1812" s="11" t="s">
        <v>18</v>
      </c>
      <c r="G1812" s="13"/>
      <c r="H1812" s="45" t="s">
        <v>16</v>
      </c>
      <c r="I1812" s="47"/>
      <c r="J1812" s="12" t="s">
        <v>4650</v>
      </c>
      <c r="K1812" s="13" t="s">
        <v>8612</v>
      </c>
      <c r="L1812" s="99" t="str">
        <f t="shared" si="99"/>
        <v>W226E.1</v>
      </c>
      <c r="M1812" s="45"/>
      <c r="N1812" s="47"/>
      <c r="O1812" s="47"/>
      <c r="P1812" s="47"/>
      <c r="Q1812" s="45"/>
      <c r="R1812" s="45"/>
      <c r="S1812" s="48"/>
    </row>
    <row r="1813" spans="1:19" s="49" customFormat="1" ht="14.15" customHeight="1">
      <c r="A1813" s="45"/>
      <c r="B1813" s="44" t="s">
        <v>157</v>
      </c>
      <c r="C1813" s="50"/>
      <c r="D1813" s="10" t="s">
        <v>29</v>
      </c>
      <c r="E1813" s="11"/>
      <c r="F1813" s="11" t="s">
        <v>18</v>
      </c>
      <c r="G1813" s="13"/>
      <c r="H1813" s="45" t="s">
        <v>16</v>
      </c>
      <c r="I1813" s="47"/>
      <c r="J1813" s="12" t="s">
        <v>4651</v>
      </c>
      <c r="K1813" s="13" t="s">
        <v>8613</v>
      </c>
      <c r="L1813" s="99" t="str">
        <f t="shared" si="99"/>
        <v>W226E.2</v>
      </c>
      <c r="M1813" s="45"/>
      <c r="N1813" s="47"/>
      <c r="O1813" s="47"/>
      <c r="P1813" s="47"/>
      <c r="Q1813" s="45"/>
      <c r="R1813" s="45"/>
      <c r="S1813" s="48"/>
    </row>
    <row r="1814" spans="1:19" s="49" customFormat="1" ht="14.15" customHeight="1">
      <c r="A1814" s="45"/>
      <c r="B1814" s="44" t="s">
        <v>157</v>
      </c>
      <c r="C1814" s="50"/>
      <c r="D1814" s="10" t="s">
        <v>29</v>
      </c>
      <c r="E1814" s="11"/>
      <c r="F1814" s="11" t="s">
        <v>18</v>
      </c>
      <c r="G1814" s="13"/>
      <c r="H1814" s="45" t="s">
        <v>16</v>
      </c>
      <c r="I1814" s="47"/>
      <c r="J1814" s="12" t="s">
        <v>4652</v>
      </c>
      <c r="K1814" s="13" t="s">
        <v>8614</v>
      </c>
      <c r="L1814" s="99" t="str">
        <f t="shared" si="99"/>
        <v>W226E.3</v>
      </c>
      <c r="M1814" s="45"/>
      <c r="N1814" s="47"/>
      <c r="O1814" s="47"/>
      <c r="P1814" s="47"/>
      <c r="Q1814" s="45"/>
      <c r="R1814" s="45"/>
      <c r="S1814" s="48"/>
    </row>
    <row r="1815" spans="1:19" s="49" customFormat="1" ht="14.15" customHeight="1">
      <c r="A1815" s="45"/>
      <c r="B1815" s="44" t="s">
        <v>157</v>
      </c>
      <c r="C1815" s="50"/>
      <c r="D1815" s="10" t="s">
        <v>29</v>
      </c>
      <c r="E1815" s="11"/>
      <c r="F1815" s="11" t="s">
        <v>18</v>
      </c>
      <c r="G1815" s="13"/>
      <c r="H1815" s="45" t="s">
        <v>16</v>
      </c>
      <c r="I1815" s="47"/>
      <c r="J1815" s="12" t="s">
        <v>4653</v>
      </c>
      <c r="K1815" s="13" t="s">
        <v>8615</v>
      </c>
      <c r="L1815" s="99" t="str">
        <f t="shared" si="99"/>
        <v>W226E.4</v>
      </c>
      <c r="M1815" s="45"/>
      <c r="N1815" s="47"/>
      <c r="O1815" s="47"/>
      <c r="P1815" s="47"/>
      <c r="Q1815" s="45"/>
      <c r="R1815" s="45"/>
      <c r="S1815" s="48"/>
    </row>
    <row r="1816" spans="1:19" s="49" customFormat="1" ht="14.15" customHeight="1">
      <c r="A1816" s="45"/>
      <c r="B1816" s="44" t="s">
        <v>157</v>
      </c>
      <c r="C1816" s="50"/>
      <c r="D1816" s="10" t="s">
        <v>29</v>
      </c>
      <c r="E1816" s="11"/>
      <c r="F1816" s="11" t="s">
        <v>18</v>
      </c>
      <c r="G1816" s="13"/>
      <c r="H1816" s="45" t="s">
        <v>16</v>
      </c>
      <c r="I1816" s="47"/>
      <c r="J1816" s="12" t="s">
        <v>4654</v>
      </c>
      <c r="K1816" s="13" t="s">
        <v>8616</v>
      </c>
      <c r="L1816" s="99" t="str">
        <f t="shared" si="99"/>
        <v>W226E.5</v>
      </c>
      <c r="M1816" s="45"/>
      <c r="N1816" s="47"/>
      <c r="O1816" s="47"/>
      <c r="P1816" s="47"/>
      <c r="Q1816" s="45"/>
      <c r="R1816" s="45"/>
      <c r="S1816" s="48"/>
    </row>
    <row r="1817" spans="1:19" s="49" customFormat="1" ht="14.15" customHeight="1">
      <c r="A1817" s="45"/>
      <c r="B1817" s="44" t="s">
        <v>157</v>
      </c>
      <c r="C1817" s="50"/>
      <c r="D1817" s="10" t="s">
        <v>29</v>
      </c>
      <c r="E1817" s="11"/>
      <c r="F1817" s="11" t="s">
        <v>18</v>
      </c>
      <c r="G1817" s="13"/>
      <c r="H1817" s="45" t="s">
        <v>16</v>
      </c>
      <c r="I1817" s="47"/>
      <c r="J1817" s="12" t="s">
        <v>4655</v>
      </c>
      <c r="K1817" s="13" t="s">
        <v>8617</v>
      </c>
      <c r="L1817" s="99" t="str">
        <f t="shared" si="99"/>
        <v>W226E.6</v>
      </c>
      <c r="M1817" s="45"/>
      <c r="N1817" s="47"/>
      <c r="O1817" s="47"/>
      <c r="P1817" s="47"/>
      <c r="Q1817" s="45"/>
      <c r="R1817" s="45"/>
      <c r="S1817" s="48"/>
    </row>
    <row r="1818" spans="1:19" s="49" customFormat="1" ht="14.15" customHeight="1">
      <c r="A1818" s="45"/>
      <c r="B1818" s="44" t="s">
        <v>157</v>
      </c>
      <c r="C1818" s="50"/>
      <c r="D1818" s="10" t="s">
        <v>29</v>
      </c>
      <c r="E1818" s="11"/>
      <c r="F1818" s="11" t="s">
        <v>18</v>
      </c>
      <c r="G1818" s="13"/>
      <c r="H1818" s="45" t="s">
        <v>16</v>
      </c>
      <c r="I1818" s="47"/>
      <c r="J1818" s="12" t="s">
        <v>4656</v>
      </c>
      <c r="K1818" s="13" t="s">
        <v>8618</v>
      </c>
      <c r="L1818" s="99" t="str">
        <f t="shared" si="99"/>
        <v>W226E.7</v>
      </c>
      <c r="M1818" s="45"/>
      <c r="N1818" s="47"/>
      <c r="O1818" s="47"/>
      <c r="P1818" s="47"/>
      <c r="Q1818" s="45"/>
      <c r="R1818" s="45"/>
      <c r="S1818" s="48"/>
    </row>
    <row r="1819" spans="1:19" s="49" customFormat="1" ht="14.15" customHeight="1">
      <c r="A1819" s="45"/>
      <c r="B1819" s="44" t="s">
        <v>157</v>
      </c>
      <c r="C1819" s="50"/>
      <c r="D1819" s="10" t="s">
        <v>29</v>
      </c>
      <c r="E1819" s="11"/>
      <c r="F1819" s="11" t="s">
        <v>18</v>
      </c>
      <c r="G1819" s="13"/>
      <c r="H1819" s="45" t="s">
        <v>16</v>
      </c>
      <c r="I1819" s="47"/>
      <c r="J1819" s="12" t="s">
        <v>4657</v>
      </c>
      <c r="K1819" s="13" t="s">
        <v>8619</v>
      </c>
      <c r="L1819" s="99" t="str">
        <f t="shared" si="99"/>
        <v>W226E.8</v>
      </c>
      <c r="M1819" s="45"/>
      <c r="N1819" s="47"/>
      <c r="O1819" s="47"/>
      <c r="P1819" s="47"/>
      <c r="Q1819" s="45"/>
      <c r="R1819" s="45"/>
      <c r="S1819" s="48"/>
    </row>
    <row r="1820" spans="1:19" s="49" customFormat="1" ht="14.15" customHeight="1">
      <c r="A1820" s="45"/>
      <c r="B1820" s="44" t="s">
        <v>157</v>
      </c>
      <c r="C1820" s="50"/>
      <c r="D1820" s="10" t="s">
        <v>29</v>
      </c>
      <c r="E1820" s="11"/>
      <c r="F1820" s="11" t="s">
        <v>18</v>
      </c>
      <c r="G1820" s="13"/>
      <c r="H1820" s="45" t="s">
        <v>16</v>
      </c>
      <c r="I1820" s="47"/>
      <c r="J1820" s="12" t="s">
        <v>4658</v>
      </c>
      <c r="K1820" s="13" t="s">
        <v>8620</v>
      </c>
      <c r="L1820" s="99" t="str">
        <f t="shared" si="99"/>
        <v>W226E.9</v>
      </c>
      <c r="M1820" s="45"/>
      <c r="N1820" s="47"/>
      <c r="O1820" s="47"/>
      <c r="P1820" s="47"/>
      <c r="Q1820" s="45"/>
      <c r="R1820" s="45"/>
      <c r="S1820" s="48"/>
    </row>
    <row r="1821" spans="1:19" s="49" customFormat="1" ht="14.15" customHeight="1">
      <c r="A1821" s="45"/>
      <c r="B1821" s="44" t="s">
        <v>157</v>
      </c>
      <c r="C1821" s="50"/>
      <c r="D1821" s="10" t="s">
        <v>29</v>
      </c>
      <c r="E1821" s="11"/>
      <c r="F1821" s="11" t="s">
        <v>18</v>
      </c>
      <c r="G1821" s="13"/>
      <c r="H1821" s="45" t="s">
        <v>16</v>
      </c>
      <c r="I1821" s="47"/>
      <c r="J1821" s="12" t="s">
        <v>4659</v>
      </c>
      <c r="K1821" s="13" t="s">
        <v>8621</v>
      </c>
      <c r="L1821" s="99" t="str">
        <f t="shared" si="99"/>
        <v>W226E.A</v>
      </c>
      <c r="M1821" s="45"/>
      <c r="N1821" s="47"/>
      <c r="O1821" s="47"/>
      <c r="P1821" s="47"/>
      <c r="Q1821" s="45"/>
      <c r="R1821" s="45"/>
      <c r="S1821" s="48"/>
    </row>
    <row r="1822" spans="1:19" s="49" customFormat="1" ht="14.15" customHeight="1">
      <c r="A1822" s="45"/>
      <c r="B1822" s="44" t="s">
        <v>157</v>
      </c>
      <c r="C1822" s="50"/>
      <c r="D1822" s="10" t="s">
        <v>29</v>
      </c>
      <c r="E1822" s="11"/>
      <c r="F1822" s="11" t="s">
        <v>18</v>
      </c>
      <c r="G1822" s="13"/>
      <c r="H1822" s="45" t="s">
        <v>16</v>
      </c>
      <c r="I1822" s="47"/>
      <c r="J1822" s="12" t="s">
        <v>4660</v>
      </c>
      <c r="K1822" s="13" t="s">
        <v>8622</v>
      </c>
      <c r="L1822" s="99" t="str">
        <f t="shared" si="99"/>
        <v>W226E.B</v>
      </c>
      <c r="M1822" s="45"/>
      <c r="N1822" s="47"/>
      <c r="O1822" s="47"/>
      <c r="P1822" s="47"/>
      <c r="Q1822" s="45"/>
      <c r="R1822" s="45"/>
      <c r="S1822" s="48"/>
    </row>
    <row r="1823" spans="1:19" s="49" customFormat="1" ht="14.15" customHeight="1">
      <c r="A1823" s="45"/>
      <c r="B1823" s="44" t="s">
        <v>157</v>
      </c>
      <c r="C1823" s="50"/>
      <c r="D1823" s="10" t="s">
        <v>29</v>
      </c>
      <c r="E1823" s="11"/>
      <c r="F1823" s="11" t="s">
        <v>18</v>
      </c>
      <c r="G1823" s="13"/>
      <c r="H1823" s="45" t="s">
        <v>16</v>
      </c>
      <c r="I1823" s="47"/>
      <c r="J1823" s="12" t="s">
        <v>4661</v>
      </c>
      <c r="K1823" s="13" t="s">
        <v>8623</v>
      </c>
      <c r="L1823" s="99" t="str">
        <f t="shared" si="99"/>
        <v>W226E.C</v>
      </c>
      <c r="M1823" s="45"/>
      <c r="N1823" s="47"/>
      <c r="O1823" s="47"/>
      <c r="P1823" s="47"/>
      <c r="Q1823" s="45"/>
      <c r="R1823" s="45"/>
      <c r="S1823" s="48"/>
    </row>
    <row r="1824" spans="1:19" s="49" customFormat="1" ht="14.15" customHeight="1">
      <c r="A1824" s="45"/>
      <c r="B1824" s="44" t="s">
        <v>157</v>
      </c>
      <c r="C1824" s="50"/>
      <c r="D1824" s="10" t="s">
        <v>29</v>
      </c>
      <c r="E1824" s="11"/>
      <c r="F1824" s="11" t="s">
        <v>18</v>
      </c>
      <c r="G1824" s="13"/>
      <c r="H1824" s="45" t="s">
        <v>16</v>
      </c>
      <c r="I1824" s="47"/>
      <c r="J1824" s="12" t="s">
        <v>4662</v>
      </c>
      <c r="K1824" s="13" t="s">
        <v>8624</v>
      </c>
      <c r="L1824" s="99" t="str">
        <f t="shared" si="99"/>
        <v>W226E.D</v>
      </c>
      <c r="M1824" s="45"/>
      <c r="N1824" s="47"/>
      <c r="O1824" s="47"/>
      <c r="P1824" s="47"/>
      <c r="Q1824" s="45"/>
      <c r="R1824" s="45"/>
      <c r="S1824" s="48"/>
    </row>
    <row r="1825" spans="1:19" s="49" customFormat="1" ht="14.15" customHeight="1">
      <c r="A1825" s="45"/>
      <c r="B1825" s="44" t="s">
        <v>157</v>
      </c>
      <c r="C1825" s="50"/>
      <c r="D1825" s="10" t="s">
        <v>29</v>
      </c>
      <c r="E1825" s="11"/>
      <c r="F1825" s="11" t="s">
        <v>18</v>
      </c>
      <c r="G1825" s="13"/>
      <c r="H1825" s="45" t="s">
        <v>16</v>
      </c>
      <c r="I1825" s="47"/>
      <c r="J1825" s="12" t="s">
        <v>4663</v>
      </c>
      <c r="K1825" s="13" t="s">
        <v>8625</v>
      </c>
      <c r="L1825" s="99" t="str">
        <f t="shared" si="99"/>
        <v>W226E.E</v>
      </c>
      <c r="M1825" s="45"/>
      <c r="N1825" s="47"/>
      <c r="O1825" s="47"/>
      <c r="P1825" s="47"/>
      <c r="Q1825" s="45"/>
      <c r="R1825" s="45"/>
      <c r="S1825" s="48"/>
    </row>
    <row r="1826" spans="1:19" s="49" customFormat="1" ht="14.15" customHeight="1">
      <c r="A1826" s="45"/>
      <c r="B1826" s="44" t="s">
        <v>157</v>
      </c>
      <c r="C1826" s="50"/>
      <c r="D1826" s="10" t="s">
        <v>29</v>
      </c>
      <c r="E1826" s="11"/>
      <c r="F1826" s="11" t="s">
        <v>18</v>
      </c>
      <c r="G1826" s="13"/>
      <c r="H1826" s="45" t="s">
        <v>16</v>
      </c>
      <c r="I1826" s="47"/>
      <c r="J1826" s="12" t="s">
        <v>4664</v>
      </c>
      <c r="K1826" s="13" t="s">
        <v>8626</v>
      </c>
      <c r="L1826" s="99" t="str">
        <f t="shared" si="99"/>
        <v>W226E.F</v>
      </c>
      <c r="M1826" s="45"/>
      <c r="N1826" s="47"/>
      <c r="O1826" s="47"/>
      <c r="P1826" s="47"/>
      <c r="Q1826" s="45"/>
      <c r="R1826" s="45"/>
      <c r="S1826" s="48"/>
    </row>
    <row r="1827" spans="1:19" s="49" customFormat="1" ht="14.15" customHeight="1">
      <c r="A1827" s="45"/>
      <c r="B1827" s="44" t="s">
        <v>157</v>
      </c>
      <c r="C1827" s="50"/>
      <c r="D1827" s="10" t="s">
        <v>29</v>
      </c>
      <c r="E1827" s="11"/>
      <c r="F1827" s="11" t="s">
        <v>18</v>
      </c>
      <c r="G1827" s="13"/>
      <c r="H1827" s="45" t="s">
        <v>16</v>
      </c>
      <c r="I1827" s="47"/>
      <c r="J1827" s="12" t="s">
        <v>4665</v>
      </c>
      <c r="K1827" s="13" t="s">
        <v>8627</v>
      </c>
      <c r="L1827" s="99" t="str">
        <f t="shared" si="99"/>
        <v>W226F.0</v>
      </c>
      <c r="M1827" s="45"/>
      <c r="N1827" s="47"/>
      <c r="O1827" s="47"/>
      <c r="P1827" s="47"/>
      <c r="Q1827" s="45"/>
      <c r="R1827" s="45"/>
      <c r="S1827" s="48"/>
    </row>
    <row r="1828" spans="1:19" s="49" customFormat="1" ht="14.15" customHeight="1">
      <c r="A1828" s="45"/>
      <c r="B1828" s="44" t="s">
        <v>157</v>
      </c>
      <c r="C1828" s="50"/>
      <c r="D1828" s="10" t="s">
        <v>29</v>
      </c>
      <c r="E1828" s="11"/>
      <c r="F1828" s="11" t="s">
        <v>18</v>
      </c>
      <c r="G1828" s="13"/>
      <c r="H1828" s="45" t="s">
        <v>16</v>
      </c>
      <c r="I1828" s="47"/>
      <c r="J1828" s="12" t="s">
        <v>4666</v>
      </c>
      <c r="K1828" s="13" t="s">
        <v>8628</v>
      </c>
      <c r="L1828" s="99" t="str">
        <f t="shared" si="99"/>
        <v>W226F.1</v>
      </c>
      <c r="M1828" s="45"/>
      <c r="N1828" s="47"/>
      <c r="O1828" s="47"/>
      <c r="P1828" s="47"/>
      <c r="Q1828" s="45"/>
      <c r="R1828" s="45"/>
      <c r="S1828" s="48"/>
    </row>
    <row r="1829" spans="1:19" s="49" customFormat="1" ht="14.15" customHeight="1">
      <c r="A1829" s="45"/>
      <c r="B1829" s="44" t="s">
        <v>157</v>
      </c>
      <c r="C1829" s="50"/>
      <c r="D1829" s="10" t="s">
        <v>29</v>
      </c>
      <c r="E1829" s="11"/>
      <c r="F1829" s="11" t="s">
        <v>18</v>
      </c>
      <c r="G1829" s="13"/>
      <c r="H1829" s="45" t="s">
        <v>16</v>
      </c>
      <c r="I1829" s="47"/>
      <c r="J1829" s="12" t="s">
        <v>4667</v>
      </c>
      <c r="K1829" s="13" t="s">
        <v>8629</v>
      </c>
      <c r="L1829" s="99" t="str">
        <f t="shared" si="99"/>
        <v>W226F.2</v>
      </c>
      <c r="M1829" s="45"/>
      <c r="N1829" s="47"/>
      <c r="O1829" s="47"/>
      <c r="P1829" s="47"/>
      <c r="Q1829" s="45"/>
      <c r="R1829" s="45"/>
      <c r="S1829" s="48"/>
    </row>
    <row r="1830" spans="1:19" s="49" customFormat="1" ht="14.15" customHeight="1">
      <c r="A1830" s="45"/>
      <c r="B1830" s="44" t="s">
        <v>157</v>
      </c>
      <c r="C1830" s="50"/>
      <c r="D1830" s="10" t="s">
        <v>29</v>
      </c>
      <c r="E1830" s="11"/>
      <c r="F1830" s="11" t="s">
        <v>18</v>
      </c>
      <c r="G1830" s="13"/>
      <c r="H1830" s="45" t="s">
        <v>16</v>
      </c>
      <c r="I1830" s="47"/>
      <c r="J1830" s="12" t="s">
        <v>4668</v>
      </c>
      <c r="K1830" s="13" t="s">
        <v>8630</v>
      </c>
      <c r="L1830" s="99" t="str">
        <f t="shared" si="99"/>
        <v>W226F.3</v>
      </c>
      <c r="M1830" s="45"/>
      <c r="N1830" s="47"/>
      <c r="O1830" s="47"/>
      <c r="P1830" s="47"/>
      <c r="Q1830" s="45"/>
      <c r="R1830" s="45"/>
      <c r="S1830" s="48"/>
    </row>
    <row r="1831" spans="1:19" s="49" customFormat="1" ht="14.15" customHeight="1">
      <c r="A1831" s="45"/>
      <c r="B1831" s="44" t="s">
        <v>157</v>
      </c>
      <c r="C1831" s="50"/>
      <c r="D1831" s="10" t="s">
        <v>29</v>
      </c>
      <c r="E1831" s="11"/>
      <c r="F1831" s="11" t="s">
        <v>18</v>
      </c>
      <c r="G1831" s="13"/>
      <c r="H1831" s="45" t="s">
        <v>16</v>
      </c>
      <c r="I1831" s="47"/>
      <c r="J1831" s="12" t="s">
        <v>4669</v>
      </c>
      <c r="K1831" s="13" t="s">
        <v>8631</v>
      </c>
      <c r="L1831" s="99" t="str">
        <f t="shared" si="99"/>
        <v>W226F.4</v>
      </c>
      <c r="M1831" s="45"/>
      <c r="N1831" s="47"/>
      <c r="O1831" s="47"/>
      <c r="P1831" s="47"/>
      <c r="Q1831" s="45"/>
      <c r="R1831" s="45"/>
      <c r="S1831" s="48"/>
    </row>
    <row r="1832" spans="1:19" s="49" customFormat="1" ht="14.15" customHeight="1">
      <c r="A1832" s="45"/>
      <c r="B1832" s="44" t="s">
        <v>157</v>
      </c>
      <c r="C1832" s="50"/>
      <c r="D1832" s="10" t="s">
        <v>29</v>
      </c>
      <c r="E1832" s="11"/>
      <c r="F1832" s="11" t="s">
        <v>18</v>
      </c>
      <c r="G1832" s="13"/>
      <c r="H1832" s="45" t="s">
        <v>16</v>
      </c>
      <c r="I1832" s="47"/>
      <c r="J1832" s="12" t="s">
        <v>4670</v>
      </c>
      <c r="K1832" s="13" t="s">
        <v>8632</v>
      </c>
      <c r="L1832" s="99" t="str">
        <f t="shared" si="99"/>
        <v>W226F.5</v>
      </c>
      <c r="M1832" s="45"/>
      <c r="N1832" s="47"/>
      <c r="O1832" s="47"/>
      <c r="P1832" s="47"/>
      <c r="Q1832" s="45"/>
      <c r="R1832" s="45"/>
      <c r="S1832" s="48"/>
    </row>
    <row r="1833" spans="1:19" s="49" customFormat="1" ht="14.15" customHeight="1">
      <c r="A1833" s="45"/>
      <c r="B1833" s="44" t="s">
        <v>157</v>
      </c>
      <c r="C1833" s="50"/>
      <c r="D1833" s="10" t="s">
        <v>29</v>
      </c>
      <c r="E1833" s="11"/>
      <c r="F1833" s="11" t="s">
        <v>18</v>
      </c>
      <c r="G1833" s="13"/>
      <c r="H1833" s="45" t="s">
        <v>16</v>
      </c>
      <c r="I1833" s="47"/>
      <c r="J1833" s="12" t="s">
        <v>4671</v>
      </c>
      <c r="K1833" s="13" t="s">
        <v>8633</v>
      </c>
      <c r="L1833" s="99" t="str">
        <f t="shared" si="99"/>
        <v>W226F.6</v>
      </c>
      <c r="M1833" s="45"/>
      <c r="N1833" s="47"/>
      <c r="O1833" s="47"/>
      <c r="P1833" s="47"/>
      <c r="Q1833" s="45"/>
      <c r="R1833" s="45"/>
      <c r="S1833" s="48"/>
    </row>
    <row r="1834" spans="1:19" s="49" customFormat="1" ht="14.15" customHeight="1">
      <c r="A1834" s="45"/>
      <c r="B1834" s="44" t="s">
        <v>157</v>
      </c>
      <c r="C1834" s="50"/>
      <c r="D1834" s="10" t="s">
        <v>29</v>
      </c>
      <c r="E1834" s="11"/>
      <c r="F1834" s="11" t="s">
        <v>18</v>
      </c>
      <c r="G1834" s="13"/>
      <c r="H1834" s="45" t="s">
        <v>16</v>
      </c>
      <c r="I1834" s="47"/>
      <c r="J1834" s="12" t="s">
        <v>4672</v>
      </c>
      <c r="K1834" s="13" t="s">
        <v>8634</v>
      </c>
      <c r="L1834" s="99" t="str">
        <f t="shared" si="99"/>
        <v>W226F.7</v>
      </c>
      <c r="M1834" s="45"/>
      <c r="N1834" s="47"/>
      <c r="O1834" s="47"/>
      <c r="P1834" s="47"/>
      <c r="Q1834" s="45"/>
      <c r="R1834" s="45"/>
      <c r="S1834" s="48"/>
    </row>
    <row r="1835" spans="1:19" s="49" customFormat="1" ht="14.15" customHeight="1">
      <c r="A1835" s="45"/>
      <c r="B1835" s="44" t="s">
        <v>157</v>
      </c>
      <c r="C1835" s="50"/>
      <c r="D1835" s="10" t="s">
        <v>29</v>
      </c>
      <c r="E1835" s="11"/>
      <c r="F1835" s="11" t="s">
        <v>18</v>
      </c>
      <c r="G1835" s="13"/>
      <c r="H1835" s="45" t="s">
        <v>16</v>
      </c>
      <c r="I1835" s="47"/>
      <c r="J1835" s="12" t="s">
        <v>4673</v>
      </c>
      <c r="K1835" s="13" t="s">
        <v>8635</v>
      </c>
      <c r="L1835" s="99" t="str">
        <f t="shared" si="99"/>
        <v>W226F.8</v>
      </c>
      <c r="M1835" s="45"/>
      <c r="N1835" s="47"/>
      <c r="O1835" s="47"/>
      <c r="P1835" s="47"/>
      <c r="Q1835" s="45"/>
      <c r="R1835" s="45"/>
      <c r="S1835" s="48"/>
    </row>
    <row r="1836" spans="1:19" s="49" customFormat="1" ht="14.15" customHeight="1">
      <c r="A1836" s="45"/>
      <c r="B1836" s="44" t="s">
        <v>157</v>
      </c>
      <c r="C1836" s="50"/>
      <c r="D1836" s="10" t="s">
        <v>29</v>
      </c>
      <c r="E1836" s="11"/>
      <c r="F1836" s="11" t="s">
        <v>18</v>
      </c>
      <c r="G1836" s="13"/>
      <c r="H1836" s="45" t="s">
        <v>16</v>
      </c>
      <c r="I1836" s="47"/>
      <c r="J1836" s="12" t="s">
        <v>4674</v>
      </c>
      <c r="K1836" s="13" t="s">
        <v>8636</v>
      </c>
      <c r="L1836" s="99" t="str">
        <f t="shared" si="99"/>
        <v>W226F.9</v>
      </c>
      <c r="M1836" s="45"/>
      <c r="N1836" s="47"/>
      <c r="O1836" s="47"/>
      <c r="P1836" s="47"/>
      <c r="Q1836" s="45"/>
      <c r="R1836" s="45"/>
      <c r="S1836" s="48"/>
    </row>
    <row r="1837" spans="1:19" s="49" customFormat="1" ht="14.15" customHeight="1">
      <c r="A1837" s="45"/>
      <c r="B1837" s="44" t="s">
        <v>157</v>
      </c>
      <c r="C1837" s="50"/>
      <c r="D1837" s="10" t="s">
        <v>29</v>
      </c>
      <c r="E1837" s="11"/>
      <c r="F1837" s="11" t="s">
        <v>18</v>
      </c>
      <c r="G1837" s="13"/>
      <c r="H1837" s="45" t="s">
        <v>16</v>
      </c>
      <c r="I1837" s="47"/>
      <c r="J1837" s="12" t="s">
        <v>4675</v>
      </c>
      <c r="K1837" s="13" t="s">
        <v>8637</v>
      </c>
      <c r="L1837" s="99" t="str">
        <f t="shared" si="99"/>
        <v>W226F.A</v>
      </c>
      <c r="M1837" s="45"/>
      <c r="N1837" s="47"/>
      <c r="O1837" s="47"/>
      <c r="P1837" s="47"/>
      <c r="Q1837" s="45"/>
      <c r="R1837" s="45"/>
      <c r="S1837" s="48"/>
    </row>
    <row r="1838" spans="1:19" s="49" customFormat="1" ht="14.15" customHeight="1">
      <c r="A1838" s="45"/>
      <c r="B1838" s="44" t="s">
        <v>157</v>
      </c>
      <c r="C1838" s="50"/>
      <c r="D1838" s="10" t="s">
        <v>29</v>
      </c>
      <c r="E1838" s="11"/>
      <c r="F1838" s="11" t="s">
        <v>18</v>
      </c>
      <c r="G1838" s="13"/>
      <c r="H1838" s="45" t="s">
        <v>16</v>
      </c>
      <c r="I1838" s="47"/>
      <c r="J1838" s="12" t="s">
        <v>4676</v>
      </c>
      <c r="K1838" s="13" t="s">
        <v>8638</v>
      </c>
      <c r="L1838" s="99" t="str">
        <f t="shared" si="99"/>
        <v>W226F.B</v>
      </c>
      <c r="M1838" s="45"/>
      <c r="N1838" s="47"/>
      <c r="O1838" s="47"/>
      <c r="P1838" s="47"/>
      <c r="Q1838" s="45"/>
      <c r="R1838" s="45"/>
      <c r="S1838" s="48"/>
    </row>
    <row r="1839" spans="1:19" s="49" customFormat="1" ht="14.15" customHeight="1">
      <c r="A1839" s="45"/>
      <c r="B1839" s="44" t="s">
        <v>157</v>
      </c>
      <c r="C1839" s="50"/>
      <c r="D1839" s="10" t="s">
        <v>29</v>
      </c>
      <c r="E1839" s="11"/>
      <c r="F1839" s="11" t="s">
        <v>18</v>
      </c>
      <c r="G1839" s="13"/>
      <c r="H1839" s="45" t="s">
        <v>16</v>
      </c>
      <c r="I1839" s="47"/>
      <c r="J1839" s="12" t="s">
        <v>4677</v>
      </c>
      <c r="K1839" s="13" t="s">
        <v>8639</v>
      </c>
      <c r="L1839" s="99" t="str">
        <f t="shared" si="99"/>
        <v>W226F.C</v>
      </c>
      <c r="M1839" s="45"/>
      <c r="N1839" s="47"/>
      <c r="O1839" s="47"/>
      <c r="P1839" s="47"/>
      <c r="Q1839" s="45"/>
      <c r="R1839" s="45"/>
      <c r="S1839" s="48"/>
    </row>
    <row r="1840" spans="1:19" s="49" customFormat="1" ht="14.15" customHeight="1">
      <c r="A1840" s="45"/>
      <c r="B1840" s="44" t="s">
        <v>157</v>
      </c>
      <c r="C1840" s="50"/>
      <c r="D1840" s="10" t="s">
        <v>29</v>
      </c>
      <c r="E1840" s="11"/>
      <c r="F1840" s="11" t="s">
        <v>18</v>
      </c>
      <c r="G1840" s="13"/>
      <c r="H1840" s="45" t="s">
        <v>16</v>
      </c>
      <c r="I1840" s="47"/>
      <c r="J1840" s="12" t="s">
        <v>4678</v>
      </c>
      <c r="K1840" s="13" t="s">
        <v>8640</v>
      </c>
      <c r="L1840" s="99" t="str">
        <f t="shared" si="99"/>
        <v>W226F.D</v>
      </c>
      <c r="M1840" s="45"/>
      <c r="N1840" s="47"/>
      <c r="O1840" s="47"/>
      <c r="P1840" s="47"/>
      <c r="Q1840" s="45"/>
      <c r="R1840" s="45"/>
      <c r="S1840" s="48"/>
    </row>
    <row r="1841" spans="1:19" s="49" customFormat="1" ht="14.15" customHeight="1">
      <c r="A1841" s="45"/>
      <c r="B1841" s="44" t="s">
        <v>157</v>
      </c>
      <c r="C1841" s="50"/>
      <c r="D1841" s="10" t="s">
        <v>29</v>
      </c>
      <c r="E1841" s="11"/>
      <c r="F1841" s="11" t="s">
        <v>18</v>
      </c>
      <c r="G1841" s="13"/>
      <c r="H1841" s="45" t="s">
        <v>16</v>
      </c>
      <c r="I1841" s="47"/>
      <c r="J1841" s="12" t="s">
        <v>4679</v>
      </c>
      <c r="K1841" s="13" t="s">
        <v>8641</v>
      </c>
      <c r="L1841" s="99" t="str">
        <f t="shared" si="99"/>
        <v>W226F.E</v>
      </c>
      <c r="M1841" s="45"/>
      <c r="N1841" s="47"/>
      <c r="O1841" s="47"/>
      <c r="P1841" s="47"/>
      <c r="Q1841" s="45"/>
      <c r="R1841" s="45"/>
      <c r="S1841" s="48"/>
    </row>
    <row r="1842" spans="1:19" s="49" customFormat="1" ht="14.15" customHeight="1">
      <c r="A1842" s="45"/>
      <c r="B1842" s="44" t="s">
        <v>157</v>
      </c>
      <c r="C1842" s="50"/>
      <c r="D1842" s="10" t="s">
        <v>29</v>
      </c>
      <c r="E1842" s="11"/>
      <c r="F1842" s="11" t="s">
        <v>18</v>
      </c>
      <c r="G1842" s="13"/>
      <c r="H1842" s="45" t="s">
        <v>16</v>
      </c>
      <c r="I1842" s="47"/>
      <c r="J1842" s="12" t="s">
        <v>4680</v>
      </c>
      <c r="K1842" s="13" t="s">
        <v>8642</v>
      </c>
      <c r="L1842" s="99" t="str">
        <f t="shared" si="99"/>
        <v>W226F.F</v>
      </c>
      <c r="M1842" s="45"/>
      <c r="N1842" s="47"/>
      <c r="O1842" s="47"/>
      <c r="P1842" s="47"/>
      <c r="Q1842" s="45"/>
      <c r="R1842" s="45"/>
      <c r="S1842" s="48"/>
    </row>
    <row r="1843" spans="1:19" s="49" customFormat="1" ht="14.15" customHeight="1">
      <c r="A1843" s="45"/>
      <c r="B1843" s="44" t="s">
        <v>157</v>
      </c>
      <c r="C1843" s="50"/>
      <c r="D1843" s="10" t="s">
        <v>29</v>
      </c>
      <c r="E1843" s="11"/>
      <c r="F1843" s="11" t="s">
        <v>18</v>
      </c>
      <c r="G1843" s="13"/>
      <c r="H1843" s="45" t="s">
        <v>16</v>
      </c>
      <c r="I1843" s="47"/>
      <c r="J1843" s="12" t="s">
        <v>4681</v>
      </c>
      <c r="K1843" s="13" t="s">
        <v>8643</v>
      </c>
      <c r="L1843" s="99" t="str">
        <f t="shared" si="99"/>
        <v>W2270.0</v>
      </c>
      <c r="M1843" s="45"/>
      <c r="N1843" s="47"/>
      <c r="O1843" s="47"/>
      <c r="P1843" s="47"/>
      <c r="Q1843" s="45"/>
      <c r="R1843" s="45"/>
      <c r="S1843" s="48"/>
    </row>
    <row r="1844" spans="1:19" s="49" customFormat="1" ht="14.15" customHeight="1">
      <c r="A1844" s="45"/>
      <c r="B1844" s="44" t="s">
        <v>157</v>
      </c>
      <c r="C1844" s="50"/>
      <c r="D1844" s="10" t="s">
        <v>29</v>
      </c>
      <c r="E1844" s="11"/>
      <c r="F1844" s="11" t="s">
        <v>18</v>
      </c>
      <c r="G1844" s="13"/>
      <c r="H1844" s="45" t="s">
        <v>16</v>
      </c>
      <c r="I1844" s="47"/>
      <c r="J1844" s="12" t="s">
        <v>4682</v>
      </c>
      <c r="K1844" s="13" t="s">
        <v>8644</v>
      </c>
      <c r="L1844" s="99" t="str">
        <f t="shared" ref="L1844:L1907" si="100">"W"&amp;DEC2HEX(8704 + INT((ROW()-51)/16)) &amp; "." &amp; IF(MOD(ROW()-51,16)&lt;10,MOD(ROW()-51,16),CHAR(MOD(ROW()-51,16)+55))</f>
        <v>W2270.1</v>
      </c>
      <c r="M1844" s="45"/>
      <c r="N1844" s="47"/>
      <c r="O1844" s="47"/>
      <c r="P1844" s="47"/>
      <c r="Q1844" s="45"/>
      <c r="R1844" s="45"/>
      <c r="S1844" s="48"/>
    </row>
    <row r="1845" spans="1:19" s="49" customFormat="1" ht="14.15" customHeight="1">
      <c r="A1845" s="45"/>
      <c r="B1845" s="44" t="s">
        <v>157</v>
      </c>
      <c r="C1845" s="50"/>
      <c r="D1845" s="10" t="s">
        <v>29</v>
      </c>
      <c r="E1845" s="11"/>
      <c r="F1845" s="11" t="s">
        <v>18</v>
      </c>
      <c r="G1845" s="13"/>
      <c r="H1845" s="45" t="s">
        <v>16</v>
      </c>
      <c r="I1845" s="47"/>
      <c r="J1845" s="12" t="s">
        <v>4683</v>
      </c>
      <c r="K1845" s="13" t="s">
        <v>8645</v>
      </c>
      <c r="L1845" s="99" t="str">
        <f t="shared" si="100"/>
        <v>W2270.2</v>
      </c>
      <c r="M1845" s="45"/>
      <c r="N1845" s="47"/>
      <c r="O1845" s="47"/>
      <c r="P1845" s="47"/>
      <c r="Q1845" s="45"/>
      <c r="R1845" s="45"/>
      <c r="S1845" s="48"/>
    </row>
    <row r="1846" spans="1:19" s="49" customFormat="1" ht="14.15" customHeight="1">
      <c r="A1846" s="45"/>
      <c r="B1846" s="44" t="s">
        <v>157</v>
      </c>
      <c r="C1846" s="50"/>
      <c r="D1846" s="10" t="s">
        <v>29</v>
      </c>
      <c r="E1846" s="11"/>
      <c r="F1846" s="11" t="s">
        <v>18</v>
      </c>
      <c r="G1846" s="13"/>
      <c r="H1846" s="45" t="s">
        <v>16</v>
      </c>
      <c r="I1846" s="47"/>
      <c r="J1846" s="12" t="s">
        <v>4684</v>
      </c>
      <c r="K1846" s="13" t="s">
        <v>8646</v>
      </c>
      <c r="L1846" s="99" t="str">
        <f t="shared" si="100"/>
        <v>W2270.3</v>
      </c>
      <c r="M1846" s="45"/>
      <c r="N1846" s="47"/>
      <c r="O1846" s="47"/>
      <c r="P1846" s="47"/>
      <c r="Q1846" s="45"/>
      <c r="R1846" s="45"/>
      <c r="S1846" s="48"/>
    </row>
    <row r="1847" spans="1:19" s="49" customFormat="1" ht="14.15" customHeight="1">
      <c r="A1847" s="45"/>
      <c r="B1847" s="44" t="s">
        <v>157</v>
      </c>
      <c r="C1847" s="50"/>
      <c r="D1847" s="10" t="s">
        <v>29</v>
      </c>
      <c r="E1847" s="11"/>
      <c r="F1847" s="11" t="s">
        <v>18</v>
      </c>
      <c r="G1847" s="13"/>
      <c r="H1847" s="45" t="s">
        <v>16</v>
      </c>
      <c r="I1847" s="47"/>
      <c r="J1847" s="12" t="s">
        <v>4685</v>
      </c>
      <c r="K1847" s="13" t="s">
        <v>8647</v>
      </c>
      <c r="L1847" s="99" t="str">
        <f t="shared" si="100"/>
        <v>W2270.4</v>
      </c>
      <c r="M1847" s="45"/>
      <c r="N1847" s="47"/>
      <c r="O1847" s="47"/>
      <c r="P1847" s="47"/>
      <c r="Q1847" s="45"/>
      <c r="R1847" s="45"/>
      <c r="S1847" s="48"/>
    </row>
    <row r="1848" spans="1:19" s="49" customFormat="1" ht="14.15" customHeight="1">
      <c r="A1848" s="45"/>
      <c r="B1848" s="44" t="s">
        <v>157</v>
      </c>
      <c r="C1848" s="50"/>
      <c r="D1848" s="10" t="s">
        <v>29</v>
      </c>
      <c r="E1848" s="11"/>
      <c r="F1848" s="11" t="s">
        <v>18</v>
      </c>
      <c r="G1848" s="13"/>
      <c r="H1848" s="45" t="s">
        <v>16</v>
      </c>
      <c r="I1848" s="47"/>
      <c r="J1848" s="12" t="s">
        <v>4686</v>
      </c>
      <c r="K1848" s="13" t="s">
        <v>8648</v>
      </c>
      <c r="L1848" s="99" t="str">
        <f t="shared" si="100"/>
        <v>W2270.5</v>
      </c>
      <c r="M1848" s="45"/>
      <c r="N1848" s="47"/>
      <c r="O1848" s="47"/>
      <c r="P1848" s="47"/>
      <c r="Q1848" s="45"/>
      <c r="R1848" s="45"/>
      <c r="S1848" s="48"/>
    </row>
    <row r="1849" spans="1:19" s="49" customFormat="1" ht="14.15" customHeight="1">
      <c r="A1849" s="45"/>
      <c r="B1849" s="44" t="s">
        <v>157</v>
      </c>
      <c r="C1849" s="50"/>
      <c r="D1849" s="10" t="s">
        <v>29</v>
      </c>
      <c r="E1849" s="11"/>
      <c r="F1849" s="11" t="s">
        <v>18</v>
      </c>
      <c r="G1849" s="13"/>
      <c r="H1849" s="45" t="s">
        <v>16</v>
      </c>
      <c r="I1849" s="47"/>
      <c r="J1849" s="12" t="s">
        <v>4687</v>
      </c>
      <c r="K1849" s="13" t="s">
        <v>8649</v>
      </c>
      <c r="L1849" s="99" t="str">
        <f t="shared" si="100"/>
        <v>W2270.6</v>
      </c>
      <c r="M1849" s="45"/>
      <c r="N1849" s="47"/>
      <c r="O1849" s="47"/>
      <c r="P1849" s="47"/>
      <c r="Q1849" s="45"/>
      <c r="R1849" s="45"/>
      <c r="S1849" s="48"/>
    </row>
    <row r="1850" spans="1:19" s="49" customFormat="1" ht="14.15" customHeight="1">
      <c r="A1850" s="45"/>
      <c r="B1850" s="44" t="s">
        <v>157</v>
      </c>
      <c r="C1850" s="50"/>
      <c r="D1850" s="10" t="s">
        <v>29</v>
      </c>
      <c r="E1850" s="11"/>
      <c r="F1850" s="11" t="s">
        <v>18</v>
      </c>
      <c r="G1850" s="13"/>
      <c r="H1850" s="45" t="s">
        <v>16</v>
      </c>
      <c r="I1850" s="47"/>
      <c r="J1850" s="12" t="s">
        <v>4688</v>
      </c>
      <c r="K1850" s="13" t="s">
        <v>8650</v>
      </c>
      <c r="L1850" s="99" t="str">
        <f t="shared" si="100"/>
        <v>W2270.7</v>
      </c>
      <c r="M1850" s="45"/>
      <c r="N1850" s="47"/>
      <c r="O1850" s="47"/>
      <c r="P1850" s="47"/>
      <c r="Q1850" s="45"/>
      <c r="R1850" s="45"/>
      <c r="S1850" s="48"/>
    </row>
    <row r="1851" spans="1:19" s="49" customFormat="1" ht="14.15" customHeight="1">
      <c r="A1851" s="45"/>
      <c r="B1851" s="44" t="s">
        <v>157</v>
      </c>
      <c r="C1851" s="50"/>
      <c r="D1851" s="10" t="s">
        <v>29</v>
      </c>
      <c r="E1851" s="11"/>
      <c r="F1851" s="11" t="s">
        <v>18</v>
      </c>
      <c r="G1851" s="13"/>
      <c r="H1851" s="45" t="s">
        <v>16</v>
      </c>
      <c r="I1851" s="47"/>
      <c r="J1851" s="12" t="s">
        <v>4689</v>
      </c>
      <c r="K1851" s="13" t="s">
        <v>8651</v>
      </c>
      <c r="L1851" s="99" t="str">
        <f t="shared" si="100"/>
        <v>W2270.8</v>
      </c>
      <c r="M1851" s="45"/>
      <c r="N1851" s="47"/>
      <c r="O1851" s="47"/>
      <c r="P1851" s="47"/>
      <c r="Q1851" s="45"/>
      <c r="R1851" s="45"/>
      <c r="S1851" s="48"/>
    </row>
    <row r="1852" spans="1:19" s="49" customFormat="1" ht="14.15" customHeight="1">
      <c r="A1852" s="45"/>
      <c r="B1852" s="44" t="s">
        <v>157</v>
      </c>
      <c r="C1852" s="50"/>
      <c r="D1852" s="10" t="s">
        <v>29</v>
      </c>
      <c r="E1852" s="11"/>
      <c r="F1852" s="11" t="s">
        <v>18</v>
      </c>
      <c r="G1852" s="13"/>
      <c r="H1852" s="45" t="s">
        <v>16</v>
      </c>
      <c r="I1852" s="47"/>
      <c r="J1852" s="12" t="s">
        <v>4690</v>
      </c>
      <c r="K1852" s="13" t="s">
        <v>8652</v>
      </c>
      <c r="L1852" s="99" t="str">
        <f t="shared" si="100"/>
        <v>W2270.9</v>
      </c>
      <c r="M1852" s="45"/>
      <c r="N1852" s="47"/>
      <c r="O1852" s="47"/>
      <c r="P1852" s="47"/>
      <c r="Q1852" s="45"/>
      <c r="R1852" s="45"/>
      <c r="S1852" s="48"/>
    </row>
    <row r="1853" spans="1:19" s="49" customFormat="1" ht="14.15" customHeight="1">
      <c r="A1853" s="45"/>
      <c r="B1853" s="44" t="s">
        <v>157</v>
      </c>
      <c r="C1853" s="50"/>
      <c r="D1853" s="10" t="s">
        <v>29</v>
      </c>
      <c r="E1853" s="11"/>
      <c r="F1853" s="11" t="s">
        <v>18</v>
      </c>
      <c r="G1853" s="13"/>
      <c r="H1853" s="45" t="s">
        <v>16</v>
      </c>
      <c r="I1853" s="47"/>
      <c r="J1853" s="12" t="s">
        <v>4691</v>
      </c>
      <c r="K1853" s="13" t="s">
        <v>8653</v>
      </c>
      <c r="L1853" s="99" t="str">
        <f t="shared" si="100"/>
        <v>W2270.A</v>
      </c>
      <c r="M1853" s="45"/>
      <c r="N1853" s="47"/>
      <c r="O1853" s="47"/>
      <c r="P1853" s="47"/>
      <c r="Q1853" s="45"/>
      <c r="R1853" s="45"/>
      <c r="S1853" s="48"/>
    </row>
    <row r="1854" spans="1:19" s="49" customFormat="1" ht="14.15" customHeight="1">
      <c r="A1854" s="45"/>
      <c r="B1854" s="44" t="s">
        <v>157</v>
      </c>
      <c r="C1854" s="50"/>
      <c r="D1854" s="10" t="s">
        <v>29</v>
      </c>
      <c r="E1854" s="11"/>
      <c r="F1854" s="11" t="s">
        <v>18</v>
      </c>
      <c r="G1854" s="13"/>
      <c r="H1854" s="45" t="s">
        <v>16</v>
      </c>
      <c r="I1854" s="47"/>
      <c r="J1854" s="12" t="s">
        <v>4692</v>
      </c>
      <c r="K1854" s="13" t="s">
        <v>8654</v>
      </c>
      <c r="L1854" s="99" t="str">
        <f t="shared" si="100"/>
        <v>W2270.B</v>
      </c>
      <c r="M1854" s="45"/>
      <c r="N1854" s="47"/>
      <c r="O1854" s="47"/>
      <c r="P1854" s="47"/>
      <c r="Q1854" s="45"/>
      <c r="R1854" s="45"/>
      <c r="S1854" s="48"/>
    </row>
    <row r="1855" spans="1:19" s="49" customFormat="1" ht="14.15" customHeight="1">
      <c r="A1855" s="45"/>
      <c r="B1855" s="44" t="s">
        <v>157</v>
      </c>
      <c r="C1855" s="50"/>
      <c r="D1855" s="10" t="s">
        <v>29</v>
      </c>
      <c r="E1855" s="11"/>
      <c r="F1855" s="11" t="s">
        <v>18</v>
      </c>
      <c r="G1855" s="13"/>
      <c r="H1855" s="45" t="s">
        <v>16</v>
      </c>
      <c r="I1855" s="47"/>
      <c r="J1855" s="12" t="s">
        <v>4693</v>
      </c>
      <c r="K1855" s="13" t="s">
        <v>8655</v>
      </c>
      <c r="L1855" s="99" t="str">
        <f t="shared" si="100"/>
        <v>W2270.C</v>
      </c>
      <c r="M1855" s="45"/>
      <c r="N1855" s="47"/>
      <c r="O1855" s="47"/>
      <c r="P1855" s="47"/>
      <c r="Q1855" s="45"/>
      <c r="R1855" s="45"/>
      <c r="S1855" s="48"/>
    </row>
    <row r="1856" spans="1:19" s="49" customFormat="1" ht="14.15" customHeight="1">
      <c r="A1856" s="45"/>
      <c r="B1856" s="44" t="s">
        <v>157</v>
      </c>
      <c r="C1856" s="50"/>
      <c r="D1856" s="10" t="s">
        <v>29</v>
      </c>
      <c r="E1856" s="11"/>
      <c r="F1856" s="11" t="s">
        <v>18</v>
      </c>
      <c r="G1856" s="13"/>
      <c r="H1856" s="45" t="s">
        <v>16</v>
      </c>
      <c r="I1856" s="47"/>
      <c r="J1856" s="12" t="s">
        <v>3344</v>
      </c>
      <c r="K1856" s="13" t="s">
        <v>8656</v>
      </c>
      <c r="L1856" s="99" t="str">
        <f t="shared" si="100"/>
        <v>W2270.D</v>
      </c>
      <c r="M1856" s="45"/>
      <c r="N1856" s="47"/>
      <c r="O1856" s="47"/>
      <c r="P1856" s="47"/>
      <c r="Q1856" s="45"/>
      <c r="R1856" s="45"/>
      <c r="S1856" s="48"/>
    </row>
    <row r="1857" spans="1:19" s="49" customFormat="1" ht="14.15" customHeight="1">
      <c r="A1857" s="45"/>
      <c r="B1857" s="44" t="s">
        <v>157</v>
      </c>
      <c r="C1857" s="50"/>
      <c r="D1857" s="10" t="s">
        <v>29</v>
      </c>
      <c r="E1857" s="11"/>
      <c r="F1857" s="11" t="s">
        <v>18</v>
      </c>
      <c r="G1857" s="13"/>
      <c r="H1857" s="45" t="s">
        <v>16</v>
      </c>
      <c r="I1857" s="47"/>
      <c r="J1857" s="12" t="s">
        <v>3345</v>
      </c>
      <c r="K1857" s="13" t="s">
        <v>8657</v>
      </c>
      <c r="L1857" s="99" t="str">
        <f t="shared" si="100"/>
        <v>W2270.E</v>
      </c>
      <c r="M1857" s="45"/>
      <c r="N1857" s="47"/>
      <c r="O1857" s="47"/>
      <c r="P1857" s="47"/>
      <c r="Q1857" s="45"/>
      <c r="R1857" s="45"/>
      <c r="S1857" s="48"/>
    </row>
    <row r="1858" spans="1:19" s="49" customFormat="1" ht="14.15" customHeight="1">
      <c r="A1858" s="45"/>
      <c r="B1858" s="44" t="s">
        <v>157</v>
      </c>
      <c r="C1858" s="50"/>
      <c r="D1858" s="10" t="s">
        <v>29</v>
      </c>
      <c r="E1858" s="11"/>
      <c r="F1858" s="11" t="s">
        <v>18</v>
      </c>
      <c r="G1858" s="13"/>
      <c r="H1858" s="45" t="s">
        <v>16</v>
      </c>
      <c r="I1858" s="47"/>
      <c r="J1858" s="12" t="s">
        <v>3346</v>
      </c>
      <c r="K1858" s="13" t="s">
        <v>8658</v>
      </c>
      <c r="L1858" s="99" t="str">
        <f t="shared" si="100"/>
        <v>W2270.F</v>
      </c>
      <c r="M1858" s="45"/>
      <c r="N1858" s="47"/>
      <c r="O1858" s="47"/>
      <c r="P1858" s="47"/>
      <c r="Q1858" s="45"/>
      <c r="R1858" s="45"/>
      <c r="S1858" s="48"/>
    </row>
    <row r="1859" spans="1:19" s="49" customFormat="1" ht="14.15" customHeight="1">
      <c r="A1859" s="45"/>
      <c r="B1859" s="44" t="s">
        <v>157</v>
      </c>
      <c r="C1859" s="50"/>
      <c r="D1859" s="10" t="s">
        <v>29</v>
      </c>
      <c r="E1859" s="11"/>
      <c r="F1859" s="11" t="s">
        <v>18</v>
      </c>
      <c r="G1859" s="13"/>
      <c r="H1859" s="45" t="s">
        <v>16</v>
      </c>
      <c r="I1859" s="47"/>
      <c r="J1859" s="12" t="s">
        <v>3347</v>
      </c>
      <c r="K1859" s="13" t="s">
        <v>8659</v>
      </c>
      <c r="L1859" s="99" t="str">
        <f t="shared" si="100"/>
        <v>W2271.0</v>
      </c>
      <c r="M1859" s="45"/>
      <c r="N1859" s="47"/>
      <c r="O1859" s="47"/>
      <c r="P1859" s="47"/>
      <c r="Q1859" s="45"/>
      <c r="R1859" s="45"/>
      <c r="S1859" s="48"/>
    </row>
    <row r="1860" spans="1:19" s="49" customFormat="1" ht="14.15" customHeight="1">
      <c r="A1860" s="45"/>
      <c r="B1860" s="44" t="s">
        <v>157</v>
      </c>
      <c r="C1860" s="50"/>
      <c r="D1860" s="10" t="s">
        <v>29</v>
      </c>
      <c r="E1860" s="11"/>
      <c r="F1860" s="11" t="s">
        <v>18</v>
      </c>
      <c r="G1860" s="13"/>
      <c r="H1860" s="45" t="s">
        <v>16</v>
      </c>
      <c r="I1860" s="47"/>
      <c r="J1860" s="12" t="s">
        <v>4694</v>
      </c>
      <c r="K1860" s="13" t="s">
        <v>8660</v>
      </c>
      <c r="L1860" s="99" t="str">
        <f t="shared" si="100"/>
        <v>W2271.1</v>
      </c>
      <c r="M1860" s="45"/>
      <c r="N1860" s="47"/>
      <c r="O1860" s="47"/>
      <c r="P1860" s="47"/>
      <c r="Q1860" s="45"/>
      <c r="R1860" s="45"/>
      <c r="S1860" s="48"/>
    </row>
    <row r="1861" spans="1:19" s="49" customFormat="1" ht="14.15" customHeight="1">
      <c r="A1861" s="45"/>
      <c r="B1861" s="44" t="s">
        <v>157</v>
      </c>
      <c r="C1861" s="50"/>
      <c r="D1861" s="10" t="s">
        <v>29</v>
      </c>
      <c r="E1861" s="11"/>
      <c r="F1861" s="11" t="s">
        <v>18</v>
      </c>
      <c r="G1861" s="13"/>
      <c r="H1861" s="45" t="s">
        <v>16</v>
      </c>
      <c r="I1861" s="47"/>
      <c r="J1861" s="12" t="s">
        <v>4695</v>
      </c>
      <c r="K1861" s="13" t="s">
        <v>8661</v>
      </c>
      <c r="L1861" s="99" t="str">
        <f t="shared" si="100"/>
        <v>W2271.2</v>
      </c>
      <c r="M1861" s="45"/>
      <c r="N1861" s="47"/>
      <c r="O1861" s="47"/>
      <c r="P1861" s="47"/>
      <c r="Q1861" s="45"/>
      <c r="R1861" s="45"/>
      <c r="S1861" s="48"/>
    </row>
    <row r="1862" spans="1:19" s="49" customFormat="1" ht="14.15" customHeight="1">
      <c r="A1862" s="45"/>
      <c r="B1862" s="44" t="s">
        <v>157</v>
      </c>
      <c r="C1862" s="50"/>
      <c r="D1862" s="10" t="s">
        <v>29</v>
      </c>
      <c r="E1862" s="11"/>
      <c r="F1862" s="11" t="s">
        <v>18</v>
      </c>
      <c r="G1862" s="13"/>
      <c r="H1862" s="45" t="s">
        <v>16</v>
      </c>
      <c r="I1862" s="47"/>
      <c r="J1862" s="12" t="s">
        <v>4696</v>
      </c>
      <c r="K1862" s="13" t="s">
        <v>8662</v>
      </c>
      <c r="L1862" s="99" t="str">
        <f t="shared" si="100"/>
        <v>W2271.3</v>
      </c>
      <c r="M1862" s="45"/>
      <c r="N1862" s="47"/>
      <c r="O1862" s="47"/>
      <c r="P1862" s="47"/>
      <c r="Q1862" s="45"/>
      <c r="R1862" s="45"/>
      <c r="S1862" s="48"/>
    </row>
    <row r="1863" spans="1:19" s="49" customFormat="1" ht="14.15" customHeight="1">
      <c r="A1863" s="45"/>
      <c r="B1863" s="44" t="s">
        <v>157</v>
      </c>
      <c r="C1863" s="50"/>
      <c r="D1863" s="10" t="s">
        <v>29</v>
      </c>
      <c r="E1863" s="11"/>
      <c r="F1863" s="11" t="s">
        <v>18</v>
      </c>
      <c r="G1863" s="13"/>
      <c r="H1863" s="45" t="s">
        <v>16</v>
      </c>
      <c r="I1863" s="47"/>
      <c r="J1863" s="12" t="s">
        <v>4697</v>
      </c>
      <c r="K1863" s="13" t="s">
        <v>8663</v>
      </c>
      <c r="L1863" s="99" t="str">
        <f t="shared" si="100"/>
        <v>W2271.4</v>
      </c>
      <c r="M1863" s="45"/>
      <c r="N1863" s="47"/>
      <c r="O1863" s="47"/>
      <c r="P1863" s="47"/>
      <c r="Q1863" s="45"/>
      <c r="R1863" s="45"/>
      <c r="S1863" s="48"/>
    </row>
    <row r="1864" spans="1:19" s="49" customFormat="1" ht="14.15" customHeight="1">
      <c r="A1864" s="45"/>
      <c r="B1864" s="44" t="s">
        <v>157</v>
      </c>
      <c r="C1864" s="50"/>
      <c r="D1864" s="10" t="s">
        <v>29</v>
      </c>
      <c r="E1864" s="11"/>
      <c r="F1864" s="11" t="s">
        <v>18</v>
      </c>
      <c r="G1864" s="13"/>
      <c r="H1864" s="45" t="s">
        <v>16</v>
      </c>
      <c r="I1864" s="47"/>
      <c r="J1864" s="12" t="s">
        <v>4698</v>
      </c>
      <c r="K1864" s="13" t="s">
        <v>8664</v>
      </c>
      <c r="L1864" s="99" t="str">
        <f t="shared" si="100"/>
        <v>W2271.5</v>
      </c>
      <c r="M1864" s="45"/>
      <c r="N1864" s="47"/>
      <c r="O1864" s="47"/>
      <c r="P1864" s="47"/>
      <c r="Q1864" s="45"/>
      <c r="R1864" s="45"/>
      <c r="S1864" s="48"/>
    </row>
    <row r="1865" spans="1:19" s="49" customFormat="1" ht="14.15" customHeight="1">
      <c r="A1865" s="45"/>
      <c r="B1865" s="44" t="s">
        <v>157</v>
      </c>
      <c r="C1865" s="50"/>
      <c r="D1865" s="10" t="s">
        <v>29</v>
      </c>
      <c r="E1865" s="11"/>
      <c r="F1865" s="11" t="s">
        <v>18</v>
      </c>
      <c r="G1865" s="13"/>
      <c r="H1865" s="45" t="s">
        <v>16</v>
      </c>
      <c r="I1865" s="47"/>
      <c r="J1865" s="12" t="s">
        <v>4699</v>
      </c>
      <c r="K1865" s="13" t="s">
        <v>8665</v>
      </c>
      <c r="L1865" s="99" t="str">
        <f t="shared" si="100"/>
        <v>W2271.6</v>
      </c>
      <c r="M1865" s="45"/>
      <c r="N1865" s="47"/>
      <c r="O1865" s="47"/>
      <c r="P1865" s="47"/>
      <c r="Q1865" s="45"/>
      <c r="R1865" s="45"/>
      <c r="S1865" s="48"/>
    </row>
    <row r="1866" spans="1:19" s="49" customFormat="1" ht="14.15" customHeight="1">
      <c r="A1866" s="45"/>
      <c r="B1866" s="44" t="s">
        <v>157</v>
      </c>
      <c r="C1866" s="50"/>
      <c r="D1866" s="10" t="s">
        <v>29</v>
      </c>
      <c r="E1866" s="11"/>
      <c r="F1866" s="11" t="s">
        <v>18</v>
      </c>
      <c r="G1866" s="13"/>
      <c r="H1866" s="45" t="s">
        <v>16</v>
      </c>
      <c r="I1866" s="47"/>
      <c r="J1866" s="12" t="s">
        <v>4700</v>
      </c>
      <c r="K1866" s="13" t="s">
        <v>8666</v>
      </c>
      <c r="L1866" s="99" t="str">
        <f t="shared" si="100"/>
        <v>W2271.7</v>
      </c>
      <c r="M1866" s="45"/>
      <c r="N1866" s="47"/>
      <c r="O1866" s="47"/>
      <c r="P1866" s="47"/>
      <c r="Q1866" s="45"/>
      <c r="R1866" s="45"/>
      <c r="S1866" s="48"/>
    </row>
    <row r="1867" spans="1:19" s="49" customFormat="1" ht="14.15" customHeight="1">
      <c r="A1867" s="45"/>
      <c r="B1867" s="44" t="s">
        <v>157</v>
      </c>
      <c r="C1867" s="50"/>
      <c r="D1867" s="10" t="s">
        <v>29</v>
      </c>
      <c r="E1867" s="11"/>
      <c r="F1867" s="11" t="s">
        <v>18</v>
      </c>
      <c r="G1867" s="13"/>
      <c r="H1867" s="45" t="s">
        <v>16</v>
      </c>
      <c r="I1867" s="47"/>
      <c r="J1867" s="12" t="s">
        <v>4701</v>
      </c>
      <c r="K1867" s="13" t="s">
        <v>8667</v>
      </c>
      <c r="L1867" s="99" t="str">
        <f t="shared" si="100"/>
        <v>W2271.8</v>
      </c>
      <c r="M1867" s="45"/>
      <c r="N1867" s="47"/>
      <c r="O1867" s="47"/>
      <c r="P1867" s="47"/>
      <c r="Q1867" s="45"/>
      <c r="R1867" s="45"/>
      <c r="S1867" s="48"/>
    </row>
    <row r="1868" spans="1:19" s="49" customFormat="1" ht="14.15" customHeight="1">
      <c r="A1868" s="45"/>
      <c r="B1868" s="44" t="s">
        <v>157</v>
      </c>
      <c r="C1868" s="50"/>
      <c r="D1868" s="10" t="s">
        <v>29</v>
      </c>
      <c r="E1868" s="11"/>
      <c r="F1868" s="11" t="s">
        <v>18</v>
      </c>
      <c r="G1868" s="13"/>
      <c r="H1868" s="45" t="s">
        <v>16</v>
      </c>
      <c r="I1868" s="47"/>
      <c r="J1868" s="12" t="s">
        <v>4702</v>
      </c>
      <c r="K1868" s="13" t="s">
        <v>8668</v>
      </c>
      <c r="L1868" s="99" t="str">
        <f t="shared" si="100"/>
        <v>W2271.9</v>
      </c>
      <c r="M1868" s="45"/>
      <c r="N1868" s="47"/>
      <c r="O1868" s="47"/>
      <c r="P1868" s="47"/>
      <c r="Q1868" s="45"/>
      <c r="R1868" s="45"/>
      <c r="S1868" s="48"/>
    </row>
    <row r="1869" spans="1:19" s="49" customFormat="1" ht="14.15" customHeight="1">
      <c r="A1869" s="45"/>
      <c r="B1869" s="44" t="s">
        <v>157</v>
      </c>
      <c r="C1869" s="50"/>
      <c r="D1869" s="10" t="s">
        <v>29</v>
      </c>
      <c r="E1869" s="11"/>
      <c r="F1869" s="11" t="s">
        <v>18</v>
      </c>
      <c r="G1869" s="13"/>
      <c r="H1869" s="45" t="s">
        <v>16</v>
      </c>
      <c r="I1869" s="47"/>
      <c r="J1869" s="12" t="s">
        <v>4703</v>
      </c>
      <c r="K1869" s="13" t="s">
        <v>8669</v>
      </c>
      <c r="L1869" s="99" t="str">
        <f t="shared" si="100"/>
        <v>W2271.A</v>
      </c>
      <c r="M1869" s="45"/>
      <c r="N1869" s="47"/>
      <c r="O1869" s="47"/>
      <c r="P1869" s="47"/>
      <c r="Q1869" s="45"/>
      <c r="R1869" s="45"/>
      <c r="S1869" s="48"/>
    </row>
    <row r="1870" spans="1:19" s="49" customFormat="1" ht="14.15" customHeight="1">
      <c r="A1870" s="45"/>
      <c r="B1870" s="44" t="s">
        <v>157</v>
      </c>
      <c r="C1870" s="50"/>
      <c r="D1870" s="10" t="s">
        <v>29</v>
      </c>
      <c r="E1870" s="11"/>
      <c r="F1870" s="11" t="s">
        <v>18</v>
      </c>
      <c r="G1870" s="13"/>
      <c r="H1870" s="45" t="s">
        <v>16</v>
      </c>
      <c r="I1870" s="47"/>
      <c r="J1870" s="12" t="s">
        <v>3348</v>
      </c>
      <c r="K1870" s="13" t="s">
        <v>8670</v>
      </c>
      <c r="L1870" s="99" t="str">
        <f t="shared" si="100"/>
        <v>W2271.B</v>
      </c>
      <c r="M1870" s="45"/>
      <c r="N1870" s="47"/>
      <c r="O1870" s="47"/>
      <c r="P1870" s="47"/>
      <c r="Q1870" s="45"/>
      <c r="R1870" s="45"/>
      <c r="S1870" s="48"/>
    </row>
    <row r="1871" spans="1:19" s="49" customFormat="1" ht="14.15" customHeight="1">
      <c r="A1871" s="45"/>
      <c r="B1871" s="44" t="s">
        <v>157</v>
      </c>
      <c r="C1871" s="50"/>
      <c r="D1871" s="10" t="s">
        <v>29</v>
      </c>
      <c r="E1871" s="11"/>
      <c r="F1871" s="11" t="s">
        <v>18</v>
      </c>
      <c r="G1871" s="13"/>
      <c r="H1871" s="45" t="s">
        <v>16</v>
      </c>
      <c r="I1871" s="47"/>
      <c r="J1871" s="12" t="s">
        <v>3349</v>
      </c>
      <c r="K1871" s="13" t="s">
        <v>8671</v>
      </c>
      <c r="L1871" s="99" t="str">
        <f t="shared" si="100"/>
        <v>W2271.C</v>
      </c>
      <c r="M1871" s="45"/>
      <c r="N1871" s="47"/>
      <c r="O1871" s="47"/>
      <c r="P1871" s="47"/>
      <c r="Q1871" s="45"/>
      <c r="R1871" s="45"/>
      <c r="S1871" s="48"/>
    </row>
    <row r="1872" spans="1:19" s="49" customFormat="1" ht="14.15" customHeight="1">
      <c r="A1872" s="45"/>
      <c r="B1872" s="44" t="s">
        <v>157</v>
      </c>
      <c r="C1872" s="50"/>
      <c r="D1872" s="10" t="s">
        <v>29</v>
      </c>
      <c r="E1872" s="11"/>
      <c r="F1872" s="11" t="s">
        <v>18</v>
      </c>
      <c r="G1872" s="13"/>
      <c r="H1872" s="45" t="s">
        <v>16</v>
      </c>
      <c r="I1872" s="47"/>
      <c r="J1872" s="12" t="s">
        <v>3350</v>
      </c>
      <c r="K1872" s="13" t="s">
        <v>8672</v>
      </c>
      <c r="L1872" s="99" t="str">
        <f t="shared" si="100"/>
        <v>W2271.D</v>
      </c>
      <c r="M1872" s="45"/>
      <c r="N1872" s="47"/>
      <c r="O1872" s="47"/>
      <c r="P1872" s="47"/>
      <c r="Q1872" s="45"/>
      <c r="R1872" s="45"/>
      <c r="S1872" s="48"/>
    </row>
    <row r="1873" spans="1:19" s="49" customFormat="1" ht="14.15" customHeight="1">
      <c r="A1873" s="45"/>
      <c r="B1873" s="44" t="s">
        <v>157</v>
      </c>
      <c r="C1873" s="50"/>
      <c r="D1873" s="10" t="s">
        <v>29</v>
      </c>
      <c r="E1873" s="11"/>
      <c r="F1873" s="11" t="s">
        <v>18</v>
      </c>
      <c r="G1873" s="13"/>
      <c r="H1873" s="45" t="s">
        <v>16</v>
      </c>
      <c r="I1873" s="47"/>
      <c r="J1873" s="12" t="s">
        <v>3351</v>
      </c>
      <c r="K1873" s="13" t="s">
        <v>8673</v>
      </c>
      <c r="L1873" s="99" t="str">
        <f t="shared" si="100"/>
        <v>W2271.E</v>
      </c>
      <c r="M1873" s="45"/>
      <c r="N1873" s="47"/>
      <c r="O1873" s="47"/>
      <c r="P1873" s="47"/>
      <c r="Q1873" s="45"/>
      <c r="R1873" s="45"/>
      <c r="S1873" s="48"/>
    </row>
    <row r="1874" spans="1:19" s="49" customFormat="1" ht="14.15" customHeight="1">
      <c r="A1874" s="45"/>
      <c r="B1874" s="44" t="s">
        <v>157</v>
      </c>
      <c r="C1874" s="50"/>
      <c r="D1874" s="10" t="s">
        <v>29</v>
      </c>
      <c r="E1874" s="11"/>
      <c r="F1874" s="11" t="s">
        <v>18</v>
      </c>
      <c r="G1874" s="13"/>
      <c r="H1874" s="45" t="s">
        <v>16</v>
      </c>
      <c r="I1874" s="47"/>
      <c r="J1874" s="12" t="s">
        <v>3352</v>
      </c>
      <c r="K1874" s="13" t="s">
        <v>8674</v>
      </c>
      <c r="L1874" s="99" t="str">
        <f t="shared" si="100"/>
        <v>W2271.F</v>
      </c>
      <c r="M1874" s="45"/>
      <c r="N1874" s="47"/>
      <c r="O1874" s="47"/>
      <c r="P1874" s="47"/>
      <c r="Q1874" s="45"/>
      <c r="R1874" s="45"/>
      <c r="S1874" s="48"/>
    </row>
    <row r="1875" spans="1:19" s="49" customFormat="1" ht="14.15" customHeight="1">
      <c r="A1875" s="45"/>
      <c r="B1875" s="44" t="s">
        <v>157</v>
      </c>
      <c r="C1875" s="50"/>
      <c r="D1875" s="10" t="s">
        <v>29</v>
      </c>
      <c r="E1875" s="11"/>
      <c r="F1875" s="11" t="s">
        <v>18</v>
      </c>
      <c r="G1875" s="13"/>
      <c r="H1875" s="45" t="s">
        <v>16</v>
      </c>
      <c r="I1875" s="47"/>
      <c r="J1875" s="12" t="s">
        <v>3353</v>
      </c>
      <c r="K1875" s="13" t="s">
        <v>8675</v>
      </c>
      <c r="L1875" s="99" t="str">
        <f t="shared" si="100"/>
        <v>W2272.0</v>
      </c>
      <c r="M1875" s="45"/>
      <c r="N1875" s="47"/>
      <c r="O1875" s="47"/>
      <c r="P1875" s="47"/>
      <c r="Q1875" s="45"/>
      <c r="R1875" s="45"/>
      <c r="S1875" s="48"/>
    </row>
    <row r="1876" spans="1:19" s="49" customFormat="1" ht="14.15" customHeight="1">
      <c r="A1876" s="45"/>
      <c r="B1876" s="44" t="s">
        <v>157</v>
      </c>
      <c r="C1876" s="50"/>
      <c r="D1876" s="10" t="s">
        <v>29</v>
      </c>
      <c r="E1876" s="11"/>
      <c r="F1876" s="11" t="s">
        <v>18</v>
      </c>
      <c r="G1876" s="13"/>
      <c r="H1876" s="45" t="s">
        <v>16</v>
      </c>
      <c r="I1876" s="47"/>
      <c r="J1876" s="12" t="s">
        <v>3354</v>
      </c>
      <c r="K1876" s="13" t="s">
        <v>8676</v>
      </c>
      <c r="L1876" s="99" t="str">
        <f t="shared" si="100"/>
        <v>W2272.1</v>
      </c>
      <c r="M1876" s="45"/>
      <c r="N1876" s="47"/>
      <c r="O1876" s="47"/>
      <c r="P1876" s="47"/>
      <c r="Q1876" s="45"/>
      <c r="R1876" s="45"/>
      <c r="S1876" s="48"/>
    </row>
    <row r="1877" spans="1:19" s="49" customFormat="1" ht="14.15" customHeight="1">
      <c r="A1877" s="45"/>
      <c r="B1877" s="44" t="s">
        <v>157</v>
      </c>
      <c r="C1877" s="50"/>
      <c r="D1877" s="10" t="s">
        <v>29</v>
      </c>
      <c r="E1877" s="11"/>
      <c r="F1877" s="11" t="s">
        <v>18</v>
      </c>
      <c r="G1877" s="13"/>
      <c r="H1877" s="45" t="s">
        <v>16</v>
      </c>
      <c r="I1877" s="47"/>
      <c r="J1877" s="12" t="s">
        <v>3355</v>
      </c>
      <c r="K1877" s="13" t="s">
        <v>8677</v>
      </c>
      <c r="L1877" s="99" t="str">
        <f t="shared" si="100"/>
        <v>W2272.2</v>
      </c>
      <c r="M1877" s="45"/>
      <c r="N1877" s="47"/>
      <c r="O1877" s="47"/>
      <c r="P1877" s="47"/>
      <c r="Q1877" s="45"/>
      <c r="R1877" s="45"/>
      <c r="S1877" s="48"/>
    </row>
    <row r="1878" spans="1:19" s="49" customFormat="1" ht="14.15" customHeight="1">
      <c r="A1878" s="45"/>
      <c r="B1878" s="44" t="s">
        <v>157</v>
      </c>
      <c r="C1878" s="50"/>
      <c r="D1878" s="10" t="s">
        <v>29</v>
      </c>
      <c r="E1878" s="11"/>
      <c r="F1878" s="11" t="s">
        <v>18</v>
      </c>
      <c r="G1878" s="13"/>
      <c r="H1878" s="45" t="s">
        <v>16</v>
      </c>
      <c r="I1878" s="47"/>
      <c r="J1878" s="12" t="s">
        <v>3356</v>
      </c>
      <c r="K1878" s="13" t="s">
        <v>8678</v>
      </c>
      <c r="L1878" s="99" t="str">
        <f t="shared" si="100"/>
        <v>W2272.3</v>
      </c>
      <c r="M1878" s="45"/>
      <c r="N1878" s="47"/>
      <c r="O1878" s="47"/>
      <c r="P1878" s="47"/>
      <c r="Q1878" s="45"/>
      <c r="R1878" s="45"/>
      <c r="S1878" s="48"/>
    </row>
    <row r="1879" spans="1:19" s="49" customFormat="1" ht="14.15" customHeight="1">
      <c r="A1879" s="45"/>
      <c r="B1879" s="44" t="s">
        <v>157</v>
      </c>
      <c r="C1879" s="50"/>
      <c r="D1879" s="10" t="s">
        <v>29</v>
      </c>
      <c r="E1879" s="11"/>
      <c r="F1879" s="11" t="s">
        <v>18</v>
      </c>
      <c r="G1879" s="13"/>
      <c r="H1879" s="45" t="s">
        <v>16</v>
      </c>
      <c r="I1879" s="47"/>
      <c r="J1879" s="12" t="s">
        <v>3357</v>
      </c>
      <c r="K1879" s="13" t="s">
        <v>8679</v>
      </c>
      <c r="L1879" s="99" t="str">
        <f t="shared" si="100"/>
        <v>W2272.4</v>
      </c>
      <c r="M1879" s="45"/>
      <c r="N1879" s="47"/>
      <c r="O1879" s="47"/>
      <c r="P1879" s="47"/>
      <c r="Q1879" s="45"/>
      <c r="R1879" s="45"/>
      <c r="S1879" s="48"/>
    </row>
    <row r="1880" spans="1:19" s="49" customFormat="1" ht="14.15" customHeight="1">
      <c r="A1880" s="45"/>
      <c r="B1880" s="44" t="s">
        <v>157</v>
      </c>
      <c r="C1880" s="50"/>
      <c r="D1880" s="10" t="s">
        <v>29</v>
      </c>
      <c r="E1880" s="11"/>
      <c r="F1880" s="11" t="s">
        <v>18</v>
      </c>
      <c r="G1880" s="13"/>
      <c r="H1880" s="45" t="s">
        <v>16</v>
      </c>
      <c r="I1880" s="47"/>
      <c r="J1880" s="12" t="s">
        <v>3358</v>
      </c>
      <c r="K1880" s="13" t="s">
        <v>8680</v>
      </c>
      <c r="L1880" s="99" t="str">
        <f t="shared" si="100"/>
        <v>W2272.5</v>
      </c>
      <c r="M1880" s="45"/>
      <c r="N1880" s="47"/>
      <c r="O1880" s="47"/>
      <c r="P1880" s="47"/>
      <c r="Q1880" s="45"/>
      <c r="R1880" s="45"/>
      <c r="S1880" s="48"/>
    </row>
    <row r="1881" spans="1:19" s="49" customFormat="1" ht="14.15" customHeight="1">
      <c r="A1881" s="45"/>
      <c r="B1881" s="44" t="s">
        <v>157</v>
      </c>
      <c r="C1881" s="50"/>
      <c r="D1881" s="10" t="s">
        <v>29</v>
      </c>
      <c r="E1881" s="11"/>
      <c r="F1881" s="11" t="s">
        <v>18</v>
      </c>
      <c r="G1881" s="13"/>
      <c r="H1881" s="45" t="s">
        <v>16</v>
      </c>
      <c r="I1881" s="47"/>
      <c r="J1881" s="12" t="s">
        <v>3359</v>
      </c>
      <c r="K1881" s="13" t="s">
        <v>8681</v>
      </c>
      <c r="L1881" s="99" t="str">
        <f t="shared" si="100"/>
        <v>W2272.6</v>
      </c>
      <c r="M1881" s="45"/>
      <c r="N1881" s="47"/>
      <c r="O1881" s="47"/>
      <c r="P1881" s="47"/>
      <c r="Q1881" s="45"/>
      <c r="R1881" s="45"/>
      <c r="S1881" s="48"/>
    </row>
    <row r="1882" spans="1:19" s="49" customFormat="1" ht="14.15" customHeight="1">
      <c r="A1882" s="45"/>
      <c r="B1882" s="44" t="s">
        <v>157</v>
      </c>
      <c r="C1882" s="50"/>
      <c r="D1882" s="10" t="s">
        <v>29</v>
      </c>
      <c r="E1882" s="11"/>
      <c r="F1882" s="11" t="s">
        <v>18</v>
      </c>
      <c r="G1882" s="13"/>
      <c r="H1882" s="45" t="s">
        <v>16</v>
      </c>
      <c r="I1882" s="47"/>
      <c r="J1882" s="12" t="s">
        <v>3360</v>
      </c>
      <c r="K1882" s="13" t="s">
        <v>8682</v>
      </c>
      <c r="L1882" s="99" t="str">
        <f t="shared" si="100"/>
        <v>W2272.7</v>
      </c>
      <c r="M1882" s="45"/>
      <c r="N1882" s="47"/>
      <c r="O1882" s="47"/>
      <c r="P1882" s="47"/>
      <c r="Q1882" s="45"/>
      <c r="R1882" s="45"/>
      <c r="S1882" s="48"/>
    </row>
    <row r="1883" spans="1:19" s="49" customFormat="1" ht="14.15" customHeight="1">
      <c r="A1883" s="45"/>
      <c r="B1883" s="44" t="s">
        <v>157</v>
      </c>
      <c r="C1883" s="50"/>
      <c r="D1883" s="10" t="s">
        <v>29</v>
      </c>
      <c r="E1883" s="11"/>
      <c r="F1883" s="11" t="s">
        <v>18</v>
      </c>
      <c r="G1883" s="13"/>
      <c r="H1883" s="45" t="s">
        <v>16</v>
      </c>
      <c r="I1883" s="47"/>
      <c r="J1883" s="12" t="s">
        <v>3361</v>
      </c>
      <c r="K1883" s="13" t="s">
        <v>8683</v>
      </c>
      <c r="L1883" s="99" t="str">
        <f t="shared" si="100"/>
        <v>W2272.8</v>
      </c>
      <c r="M1883" s="45"/>
      <c r="N1883" s="47"/>
      <c r="O1883" s="47"/>
      <c r="P1883" s="47"/>
      <c r="Q1883" s="45"/>
      <c r="R1883" s="45"/>
      <c r="S1883" s="48"/>
    </row>
    <row r="1884" spans="1:19" s="49" customFormat="1" ht="14.15" customHeight="1">
      <c r="A1884" s="45"/>
      <c r="B1884" s="44" t="s">
        <v>157</v>
      </c>
      <c r="C1884" s="50"/>
      <c r="D1884" s="10" t="s">
        <v>29</v>
      </c>
      <c r="E1884" s="11"/>
      <c r="F1884" s="11" t="s">
        <v>18</v>
      </c>
      <c r="G1884" s="13"/>
      <c r="H1884" s="45" t="s">
        <v>16</v>
      </c>
      <c r="I1884" s="47"/>
      <c r="J1884" s="12" t="s">
        <v>3362</v>
      </c>
      <c r="K1884" s="13" t="s">
        <v>8684</v>
      </c>
      <c r="L1884" s="99" t="str">
        <f t="shared" si="100"/>
        <v>W2272.9</v>
      </c>
      <c r="M1884" s="45"/>
      <c r="N1884" s="47"/>
      <c r="O1884" s="47"/>
      <c r="P1884" s="47"/>
      <c r="Q1884" s="45"/>
      <c r="R1884" s="45"/>
      <c r="S1884" s="48"/>
    </row>
    <row r="1885" spans="1:19" s="49" customFormat="1" ht="14.15" customHeight="1">
      <c r="A1885" s="45"/>
      <c r="B1885" s="44" t="s">
        <v>157</v>
      </c>
      <c r="C1885" s="50"/>
      <c r="D1885" s="10" t="s">
        <v>29</v>
      </c>
      <c r="E1885" s="11"/>
      <c r="F1885" s="11" t="s">
        <v>18</v>
      </c>
      <c r="G1885" s="13"/>
      <c r="H1885" s="45" t="s">
        <v>16</v>
      </c>
      <c r="I1885" s="47"/>
      <c r="J1885" s="12" t="s">
        <v>3363</v>
      </c>
      <c r="K1885" s="13" t="s">
        <v>8685</v>
      </c>
      <c r="L1885" s="99" t="str">
        <f t="shared" si="100"/>
        <v>W2272.A</v>
      </c>
      <c r="M1885" s="45"/>
      <c r="N1885" s="47"/>
      <c r="O1885" s="47"/>
      <c r="P1885" s="47"/>
      <c r="Q1885" s="45"/>
      <c r="R1885" s="45"/>
      <c r="S1885" s="48"/>
    </row>
    <row r="1886" spans="1:19" s="49" customFormat="1" ht="14.15" customHeight="1">
      <c r="A1886" s="45"/>
      <c r="B1886" s="44" t="s">
        <v>157</v>
      </c>
      <c r="C1886" s="50"/>
      <c r="D1886" s="10" t="s">
        <v>29</v>
      </c>
      <c r="E1886" s="11"/>
      <c r="F1886" s="11" t="s">
        <v>18</v>
      </c>
      <c r="G1886" s="13"/>
      <c r="H1886" s="45" t="s">
        <v>16</v>
      </c>
      <c r="I1886" s="47"/>
      <c r="J1886" s="12" t="s">
        <v>3364</v>
      </c>
      <c r="K1886" s="13" t="s">
        <v>8686</v>
      </c>
      <c r="L1886" s="99" t="str">
        <f t="shared" si="100"/>
        <v>W2272.B</v>
      </c>
      <c r="M1886" s="45"/>
      <c r="N1886" s="47"/>
      <c r="O1886" s="47"/>
      <c r="P1886" s="47"/>
      <c r="Q1886" s="45"/>
      <c r="R1886" s="45"/>
      <c r="S1886" s="48"/>
    </row>
    <row r="1887" spans="1:19" s="49" customFormat="1" ht="14.15" customHeight="1">
      <c r="A1887" s="45"/>
      <c r="B1887" s="44" t="s">
        <v>157</v>
      </c>
      <c r="C1887" s="50"/>
      <c r="D1887" s="10" t="s">
        <v>29</v>
      </c>
      <c r="E1887" s="11"/>
      <c r="F1887" s="11" t="s">
        <v>18</v>
      </c>
      <c r="G1887" s="13"/>
      <c r="H1887" s="45" t="s">
        <v>16</v>
      </c>
      <c r="I1887" s="47"/>
      <c r="J1887" s="12" t="s">
        <v>3365</v>
      </c>
      <c r="K1887" s="13" t="s">
        <v>8687</v>
      </c>
      <c r="L1887" s="99" t="str">
        <f t="shared" si="100"/>
        <v>W2272.C</v>
      </c>
      <c r="M1887" s="45"/>
      <c r="N1887" s="47"/>
      <c r="O1887" s="47"/>
      <c r="P1887" s="47"/>
      <c r="Q1887" s="45"/>
      <c r="R1887" s="45"/>
      <c r="S1887" s="48"/>
    </row>
    <row r="1888" spans="1:19" s="49" customFormat="1" ht="14.15" customHeight="1">
      <c r="A1888" s="45"/>
      <c r="B1888" s="44" t="s">
        <v>157</v>
      </c>
      <c r="C1888" s="50"/>
      <c r="D1888" s="10" t="s">
        <v>29</v>
      </c>
      <c r="E1888" s="11"/>
      <c r="F1888" s="11" t="s">
        <v>18</v>
      </c>
      <c r="G1888" s="13"/>
      <c r="H1888" s="45" t="s">
        <v>16</v>
      </c>
      <c r="I1888" s="47"/>
      <c r="J1888" s="12" t="s">
        <v>3366</v>
      </c>
      <c r="K1888" s="13" t="s">
        <v>8688</v>
      </c>
      <c r="L1888" s="99" t="str">
        <f t="shared" si="100"/>
        <v>W2272.D</v>
      </c>
      <c r="M1888" s="45"/>
      <c r="N1888" s="47"/>
      <c r="O1888" s="47"/>
      <c r="P1888" s="47"/>
      <c r="Q1888" s="45"/>
      <c r="R1888" s="45"/>
      <c r="S1888" s="48"/>
    </row>
    <row r="1889" spans="1:19" s="49" customFormat="1" ht="14.15" customHeight="1">
      <c r="A1889" s="45"/>
      <c r="B1889" s="44" t="s">
        <v>157</v>
      </c>
      <c r="C1889" s="50"/>
      <c r="D1889" s="10" t="s">
        <v>29</v>
      </c>
      <c r="E1889" s="11"/>
      <c r="F1889" s="11" t="s">
        <v>18</v>
      </c>
      <c r="G1889" s="13"/>
      <c r="H1889" s="45" t="s">
        <v>16</v>
      </c>
      <c r="I1889" s="47"/>
      <c r="J1889" s="12" t="s">
        <v>3367</v>
      </c>
      <c r="K1889" s="13" t="s">
        <v>8689</v>
      </c>
      <c r="L1889" s="99" t="str">
        <f t="shared" si="100"/>
        <v>W2272.E</v>
      </c>
      <c r="M1889" s="45"/>
      <c r="N1889" s="47"/>
      <c r="O1889" s="47"/>
      <c r="P1889" s="47"/>
      <c r="Q1889" s="45"/>
      <c r="R1889" s="45"/>
      <c r="S1889" s="48"/>
    </row>
    <row r="1890" spans="1:19" s="49" customFormat="1" ht="14.15" customHeight="1">
      <c r="A1890" s="45"/>
      <c r="B1890" s="44" t="s">
        <v>157</v>
      </c>
      <c r="C1890" s="50"/>
      <c r="D1890" s="10" t="s">
        <v>29</v>
      </c>
      <c r="E1890" s="11"/>
      <c r="F1890" s="11" t="s">
        <v>18</v>
      </c>
      <c r="G1890" s="13"/>
      <c r="H1890" s="45" t="s">
        <v>16</v>
      </c>
      <c r="I1890" s="47"/>
      <c r="J1890" s="12" t="s">
        <v>3368</v>
      </c>
      <c r="K1890" s="13" t="s">
        <v>8690</v>
      </c>
      <c r="L1890" s="99" t="str">
        <f t="shared" si="100"/>
        <v>W2272.F</v>
      </c>
      <c r="M1890" s="45"/>
      <c r="N1890" s="47"/>
      <c r="O1890" s="47"/>
      <c r="P1890" s="47"/>
      <c r="Q1890" s="45"/>
      <c r="R1890" s="45"/>
      <c r="S1890" s="48"/>
    </row>
    <row r="1891" spans="1:19" s="49" customFormat="1" ht="14.15" customHeight="1">
      <c r="A1891" s="45"/>
      <c r="B1891" s="44" t="s">
        <v>157</v>
      </c>
      <c r="C1891" s="50"/>
      <c r="D1891" s="10" t="s">
        <v>29</v>
      </c>
      <c r="E1891" s="11"/>
      <c r="F1891" s="11" t="s">
        <v>18</v>
      </c>
      <c r="G1891" s="13"/>
      <c r="H1891" s="45" t="s">
        <v>16</v>
      </c>
      <c r="I1891" s="47"/>
      <c r="J1891" s="12" t="s">
        <v>3369</v>
      </c>
      <c r="K1891" s="13" t="s">
        <v>8691</v>
      </c>
      <c r="L1891" s="99" t="str">
        <f t="shared" si="100"/>
        <v>W2273.0</v>
      </c>
      <c r="M1891" s="45"/>
      <c r="N1891" s="47"/>
      <c r="O1891" s="47"/>
      <c r="P1891" s="47"/>
      <c r="Q1891" s="45"/>
      <c r="R1891" s="45"/>
      <c r="S1891" s="48"/>
    </row>
    <row r="1892" spans="1:19" s="49" customFormat="1" ht="14.15" customHeight="1">
      <c r="A1892" s="45"/>
      <c r="B1892" s="44" t="s">
        <v>157</v>
      </c>
      <c r="C1892" s="50"/>
      <c r="D1892" s="10" t="s">
        <v>29</v>
      </c>
      <c r="E1892" s="11"/>
      <c r="F1892" s="11" t="s">
        <v>18</v>
      </c>
      <c r="G1892" s="13"/>
      <c r="H1892" s="45" t="s">
        <v>16</v>
      </c>
      <c r="I1892" s="47"/>
      <c r="J1892" s="12" t="s">
        <v>3370</v>
      </c>
      <c r="K1892" s="13" t="s">
        <v>8692</v>
      </c>
      <c r="L1892" s="99" t="str">
        <f t="shared" si="100"/>
        <v>W2273.1</v>
      </c>
      <c r="M1892" s="45"/>
      <c r="N1892" s="47"/>
      <c r="O1892" s="47"/>
      <c r="P1892" s="47"/>
      <c r="Q1892" s="45"/>
      <c r="R1892" s="45"/>
      <c r="S1892" s="48"/>
    </row>
    <row r="1893" spans="1:19" s="49" customFormat="1" ht="14.15" customHeight="1">
      <c r="A1893" s="45"/>
      <c r="B1893" s="44" t="s">
        <v>157</v>
      </c>
      <c r="C1893" s="50"/>
      <c r="D1893" s="10" t="s">
        <v>29</v>
      </c>
      <c r="E1893" s="11"/>
      <c r="F1893" s="11" t="s">
        <v>18</v>
      </c>
      <c r="G1893" s="13"/>
      <c r="H1893" s="45" t="s">
        <v>16</v>
      </c>
      <c r="I1893" s="47"/>
      <c r="J1893" s="12" t="s">
        <v>3371</v>
      </c>
      <c r="K1893" s="13" t="s">
        <v>8693</v>
      </c>
      <c r="L1893" s="99" t="str">
        <f t="shared" si="100"/>
        <v>W2273.2</v>
      </c>
      <c r="M1893" s="45"/>
      <c r="N1893" s="47"/>
      <c r="O1893" s="47"/>
      <c r="P1893" s="47"/>
      <c r="Q1893" s="45"/>
      <c r="R1893" s="45"/>
      <c r="S1893" s="48"/>
    </row>
    <row r="1894" spans="1:19" s="49" customFormat="1" ht="14.15" customHeight="1">
      <c r="A1894" s="45"/>
      <c r="B1894" s="44" t="s">
        <v>157</v>
      </c>
      <c r="C1894" s="50"/>
      <c r="D1894" s="10" t="s">
        <v>29</v>
      </c>
      <c r="E1894" s="11"/>
      <c r="F1894" s="11" t="s">
        <v>18</v>
      </c>
      <c r="G1894" s="13"/>
      <c r="H1894" s="45" t="s">
        <v>16</v>
      </c>
      <c r="I1894" s="47"/>
      <c r="J1894" s="12" t="s">
        <v>3372</v>
      </c>
      <c r="K1894" s="13" t="s">
        <v>8694</v>
      </c>
      <c r="L1894" s="99" t="str">
        <f t="shared" si="100"/>
        <v>W2273.3</v>
      </c>
      <c r="M1894" s="45"/>
      <c r="N1894" s="47"/>
      <c r="O1894" s="47"/>
      <c r="P1894" s="47"/>
      <c r="Q1894" s="45"/>
      <c r="R1894" s="45"/>
      <c r="S1894" s="48"/>
    </row>
    <row r="1895" spans="1:19" s="49" customFormat="1" ht="14.15" customHeight="1">
      <c r="A1895" s="45"/>
      <c r="B1895" s="44" t="s">
        <v>157</v>
      </c>
      <c r="C1895" s="50"/>
      <c r="D1895" s="10" t="s">
        <v>29</v>
      </c>
      <c r="E1895" s="11"/>
      <c r="F1895" s="11" t="s">
        <v>18</v>
      </c>
      <c r="G1895" s="13"/>
      <c r="H1895" s="45" t="s">
        <v>16</v>
      </c>
      <c r="I1895" s="47"/>
      <c r="J1895" s="12" t="s">
        <v>3373</v>
      </c>
      <c r="K1895" s="13" t="s">
        <v>8695</v>
      </c>
      <c r="L1895" s="99" t="str">
        <f t="shared" si="100"/>
        <v>W2273.4</v>
      </c>
      <c r="M1895" s="45"/>
      <c r="N1895" s="47"/>
      <c r="O1895" s="47"/>
      <c r="P1895" s="47"/>
      <c r="Q1895" s="45"/>
      <c r="R1895" s="45"/>
      <c r="S1895" s="48"/>
    </row>
    <row r="1896" spans="1:19" s="49" customFormat="1" ht="14.15" customHeight="1">
      <c r="A1896" s="45"/>
      <c r="B1896" s="44" t="s">
        <v>157</v>
      </c>
      <c r="C1896" s="50"/>
      <c r="D1896" s="10" t="s">
        <v>29</v>
      </c>
      <c r="E1896" s="11"/>
      <c r="F1896" s="11" t="s">
        <v>18</v>
      </c>
      <c r="G1896" s="13"/>
      <c r="H1896" s="45" t="s">
        <v>16</v>
      </c>
      <c r="I1896" s="47"/>
      <c r="J1896" s="12" t="s">
        <v>3374</v>
      </c>
      <c r="K1896" s="13" t="s">
        <v>8696</v>
      </c>
      <c r="L1896" s="99" t="str">
        <f t="shared" si="100"/>
        <v>W2273.5</v>
      </c>
      <c r="M1896" s="45"/>
      <c r="N1896" s="47"/>
      <c r="O1896" s="47"/>
      <c r="P1896" s="47"/>
      <c r="Q1896" s="45"/>
      <c r="R1896" s="45"/>
      <c r="S1896" s="48"/>
    </row>
    <row r="1897" spans="1:19" s="49" customFormat="1" ht="14.15" customHeight="1">
      <c r="A1897" s="45"/>
      <c r="B1897" s="44" t="s">
        <v>157</v>
      </c>
      <c r="C1897" s="50"/>
      <c r="D1897" s="10" t="s">
        <v>29</v>
      </c>
      <c r="E1897" s="11"/>
      <c r="F1897" s="11" t="s">
        <v>18</v>
      </c>
      <c r="G1897" s="13"/>
      <c r="H1897" s="45" t="s">
        <v>16</v>
      </c>
      <c r="I1897" s="47"/>
      <c r="J1897" s="12" t="s">
        <v>3375</v>
      </c>
      <c r="K1897" s="13" t="s">
        <v>8697</v>
      </c>
      <c r="L1897" s="99" t="str">
        <f t="shared" si="100"/>
        <v>W2273.6</v>
      </c>
      <c r="M1897" s="45"/>
      <c r="N1897" s="47"/>
      <c r="O1897" s="47"/>
      <c r="P1897" s="47"/>
      <c r="Q1897" s="45"/>
      <c r="R1897" s="45"/>
      <c r="S1897" s="48"/>
    </row>
    <row r="1898" spans="1:19" s="49" customFormat="1" ht="14.15" customHeight="1">
      <c r="A1898" s="45"/>
      <c r="B1898" s="44" t="s">
        <v>157</v>
      </c>
      <c r="C1898" s="50"/>
      <c r="D1898" s="10" t="s">
        <v>29</v>
      </c>
      <c r="E1898" s="11"/>
      <c r="F1898" s="11" t="s">
        <v>18</v>
      </c>
      <c r="G1898" s="13"/>
      <c r="H1898" s="45" t="s">
        <v>16</v>
      </c>
      <c r="I1898" s="47"/>
      <c r="J1898" s="12" t="s">
        <v>3376</v>
      </c>
      <c r="K1898" s="13" t="s">
        <v>8698</v>
      </c>
      <c r="L1898" s="99" t="str">
        <f t="shared" si="100"/>
        <v>W2273.7</v>
      </c>
      <c r="M1898" s="45"/>
      <c r="N1898" s="47"/>
      <c r="O1898" s="47"/>
      <c r="P1898" s="47"/>
      <c r="Q1898" s="45"/>
      <c r="R1898" s="45"/>
      <c r="S1898" s="48"/>
    </row>
    <row r="1899" spans="1:19" s="49" customFormat="1" ht="14.15" customHeight="1">
      <c r="A1899" s="45"/>
      <c r="B1899" s="44" t="s">
        <v>157</v>
      </c>
      <c r="C1899" s="50"/>
      <c r="D1899" s="10" t="s">
        <v>29</v>
      </c>
      <c r="E1899" s="11"/>
      <c r="F1899" s="11" t="s">
        <v>18</v>
      </c>
      <c r="G1899" s="13"/>
      <c r="H1899" s="45" t="s">
        <v>16</v>
      </c>
      <c r="I1899" s="47"/>
      <c r="J1899" s="12" t="s">
        <v>3377</v>
      </c>
      <c r="K1899" s="13" t="s">
        <v>8699</v>
      </c>
      <c r="L1899" s="99" t="str">
        <f t="shared" si="100"/>
        <v>W2273.8</v>
      </c>
      <c r="M1899" s="45"/>
      <c r="N1899" s="47"/>
      <c r="O1899" s="47"/>
      <c r="P1899" s="47"/>
      <c r="Q1899" s="45"/>
      <c r="R1899" s="45"/>
      <c r="S1899" s="48"/>
    </row>
    <row r="1900" spans="1:19" s="49" customFormat="1" ht="14.15" customHeight="1">
      <c r="A1900" s="45"/>
      <c r="B1900" s="44" t="s">
        <v>157</v>
      </c>
      <c r="C1900" s="50"/>
      <c r="D1900" s="10" t="s">
        <v>29</v>
      </c>
      <c r="E1900" s="11"/>
      <c r="F1900" s="11" t="s">
        <v>18</v>
      </c>
      <c r="G1900" s="13"/>
      <c r="H1900" s="45" t="s">
        <v>16</v>
      </c>
      <c r="I1900" s="47"/>
      <c r="J1900" s="12" t="s">
        <v>3378</v>
      </c>
      <c r="K1900" s="13" t="s">
        <v>8700</v>
      </c>
      <c r="L1900" s="99" t="str">
        <f t="shared" si="100"/>
        <v>W2273.9</v>
      </c>
      <c r="M1900" s="45"/>
      <c r="N1900" s="47"/>
      <c r="O1900" s="47"/>
      <c r="P1900" s="47"/>
      <c r="Q1900" s="45"/>
      <c r="R1900" s="45"/>
      <c r="S1900" s="48"/>
    </row>
    <row r="1901" spans="1:19" s="49" customFormat="1" ht="14.15" customHeight="1">
      <c r="A1901" s="45"/>
      <c r="B1901" s="44" t="s">
        <v>157</v>
      </c>
      <c r="C1901" s="50"/>
      <c r="D1901" s="10" t="s">
        <v>29</v>
      </c>
      <c r="E1901" s="11"/>
      <c r="F1901" s="11" t="s">
        <v>18</v>
      </c>
      <c r="G1901" s="13"/>
      <c r="H1901" s="45" t="s">
        <v>16</v>
      </c>
      <c r="I1901" s="47"/>
      <c r="J1901" s="12" t="s">
        <v>3379</v>
      </c>
      <c r="K1901" s="13" t="s">
        <v>8701</v>
      </c>
      <c r="L1901" s="99" t="str">
        <f t="shared" si="100"/>
        <v>W2273.A</v>
      </c>
      <c r="M1901" s="45"/>
      <c r="N1901" s="47"/>
      <c r="O1901" s="47"/>
      <c r="P1901" s="47"/>
      <c r="Q1901" s="45"/>
      <c r="R1901" s="45"/>
      <c r="S1901" s="48"/>
    </row>
    <row r="1902" spans="1:19" s="49" customFormat="1" ht="14.15" customHeight="1">
      <c r="A1902" s="45"/>
      <c r="B1902" s="44" t="s">
        <v>157</v>
      </c>
      <c r="C1902" s="50"/>
      <c r="D1902" s="10" t="s">
        <v>29</v>
      </c>
      <c r="E1902" s="11"/>
      <c r="F1902" s="11" t="s">
        <v>18</v>
      </c>
      <c r="G1902" s="13"/>
      <c r="H1902" s="45" t="s">
        <v>16</v>
      </c>
      <c r="I1902" s="47"/>
      <c r="J1902" s="12" t="s">
        <v>3380</v>
      </c>
      <c r="K1902" s="13" t="s">
        <v>8702</v>
      </c>
      <c r="L1902" s="99" t="str">
        <f t="shared" si="100"/>
        <v>W2273.B</v>
      </c>
      <c r="M1902" s="45"/>
      <c r="N1902" s="47"/>
      <c r="O1902" s="47"/>
      <c r="P1902" s="47"/>
      <c r="Q1902" s="45"/>
      <c r="R1902" s="45"/>
      <c r="S1902" s="48"/>
    </row>
    <row r="1903" spans="1:19" s="49" customFormat="1" ht="14.15" customHeight="1">
      <c r="A1903" s="45"/>
      <c r="B1903" s="44" t="s">
        <v>157</v>
      </c>
      <c r="C1903" s="50"/>
      <c r="D1903" s="10" t="s">
        <v>29</v>
      </c>
      <c r="E1903" s="11"/>
      <c r="F1903" s="11" t="s">
        <v>18</v>
      </c>
      <c r="G1903" s="13"/>
      <c r="H1903" s="45" t="s">
        <v>16</v>
      </c>
      <c r="I1903" s="47"/>
      <c r="J1903" s="12" t="s">
        <v>3381</v>
      </c>
      <c r="K1903" s="13" t="s">
        <v>8703</v>
      </c>
      <c r="L1903" s="99" t="str">
        <f t="shared" si="100"/>
        <v>W2273.C</v>
      </c>
      <c r="M1903" s="45"/>
      <c r="N1903" s="47"/>
      <c r="O1903" s="47"/>
      <c r="P1903" s="47"/>
      <c r="Q1903" s="45"/>
      <c r="R1903" s="45"/>
      <c r="S1903" s="48"/>
    </row>
    <row r="1904" spans="1:19" s="49" customFormat="1" ht="14.15" customHeight="1">
      <c r="A1904" s="45"/>
      <c r="B1904" s="44" t="s">
        <v>157</v>
      </c>
      <c r="C1904" s="50"/>
      <c r="D1904" s="10" t="s">
        <v>29</v>
      </c>
      <c r="E1904" s="11"/>
      <c r="F1904" s="11" t="s">
        <v>18</v>
      </c>
      <c r="G1904" s="13"/>
      <c r="H1904" s="45" t="s">
        <v>16</v>
      </c>
      <c r="I1904" s="47"/>
      <c r="J1904" s="12" t="s">
        <v>3382</v>
      </c>
      <c r="K1904" s="13" t="s">
        <v>8704</v>
      </c>
      <c r="L1904" s="99" t="str">
        <f t="shared" si="100"/>
        <v>W2273.D</v>
      </c>
      <c r="M1904" s="45"/>
      <c r="N1904" s="47"/>
      <c r="O1904" s="47"/>
      <c r="P1904" s="47"/>
      <c r="Q1904" s="45"/>
      <c r="R1904" s="45"/>
      <c r="S1904" s="48"/>
    </row>
    <row r="1905" spans="1:19" s="49" customFormat="1" ht="14.15" customHeight="1">
      <c r="A1905" s="45"/>
      <c r="B1905" s="44" t="s">
        <v>157</v>
      </c>
      <c r="C1905" s="50"/>
      <c r="D1905" s="10" t="s">
        <v>29</v>
      </c>
      <c r="E1905" s="11"/>
      <c r="F1905" s="11" t="s">
        <v>18</v>
      </c>
      <c r="G1905" s="13"/>
      <c r="H1905" s="45" t="s">
        <v>16</v>
      </c>
      <c r="I1905" s="47"/>
      <c r="J1905" s="12" t="s">
        <v>3383</v>
      </c>
      <c r="K1905" s="13" t="s">
        <v>8705</v>
      </c>
      <c r="L1905" s="99" t="str">
        <f t="shared" si="100"/>
        <v>W2273.E</v>
      </c>
      <c r="M1905" s="45"/>
      <c r="N1905" s="47"/>
      <c r="O1905" s="47"/>
      <c r="P1905" s="47"/>
      <c r="Q1905" s="45"/>
      <c r="R1905" s="45"/>
      <c r="S1905" s="48"/>
    </row>
    <row r="1906" spans="1:19" s="49" customFormat="1" ht="14.15" customHeight="1">
      <c r="A1906" s="45"/>
      <c r="B1906" s="44" t="s">
        <v>157</v>
      </c>
      <c r="C1906" s="50"/>
      <c r="D1906" s="10" t="s">
        <v>29</v>
      </c>
      <c r="E1906" s="11"/>
      <c r="F1906" s="11" t="s">
        <v>18</v>
      </c>
      <c r="G1906" s="13"/>
      <c r="H1906" s="45" t="s">
        <v>16</v>
      </c>
      <c r="I1906" s="47"/>
      <c r="J1906" s="12" t="s">
        <v>3384</v>
      </c>
      <c r="K1906" s="13" t="s">
        <v>8706</v>
      </c>
      <c r="L1906" s="99" t="str">
        <f t="shared" si="100"/>
        <v>W2273.F</v>
      </c>
      <c r="M1906" s="45"/>
      <c r="N1906" s="47"/>
      <c r="O1906" s="47"/>
      <c r="P1906" s="47"/>
      <c r="Q1906" s="45"/>
      <c r="R1906" s="45"/>
      <c r="S1906" s="48"/>
    </row>
    <row r="1907" spans="1:19" s="49" customFormat="1" ht="14.15" customHeight="1">
      <c r="A1907" s="45"/>
      <c r="B1907" s="44" t="s">
        <v>157</v>
      </c>
      <c r="C1907" s="50"/>
      <c r="D1907" s="10" t="s">
        <v>29</v>
      </c>
      <c r="E1907" s="11"/>
      <c r="F1907" s="11" t="s">
        <v>18</v>
      </c>
      <c r="G1907" s="13"/>
      <c r="H1907" s="45" t="s">
        <v>16</v>
      </c>
      <c r="I1907" s="47"/>
      <c r="J1907" s="12" t="s">
        <v>3385</v>
      </c>
      <c r="K1907" s="13" t="s">
        <v>8707</v>
      </c>
      <c r="L1907" s="99" t="str">
        <f t="shared" si="100"/>
        <v>W2274.0</v>
      </c>
      <c r="M1907" s="45"/>
      <c r="N1907" s="47"/>
      <c r="O1907" s="47"/>
      <c r="P1907" s="47"/>
      <c r="Q1907" s="45"/>
      <c r="R1907" s="45"/>
      <c r="S1907" s="48"/>
    </row>
    <row r="1908" spans="1:19" s="49" customFormat="1" ht="14.15" customHeight="1">
      <c r="A1908" s="45"/>
      <c r="B1908" s="44" t="s">
        <v>157</v>
      </c>
      <c r="C1908" s="50"/>
      <c r="D1908" s="10" t="s">
        <v>29</v>
      </c>
      <c r="E1908" s="11"/>
      <c r="F1908" s="11" t="s">
        <v>18</v>
      </c>
      <c r="G1908" s="13"/>
      <c r="H1908" s="45" t="s">
        <v>16</v>
      </c>
      <c r="I1908" s="47"/>
      <c r="J1908" s="12" t="s">
        <v>3386</v>
      </c>
      <c r="K1908" s="13" t="s">
        <v>8708</v>
      </c>
      <c r="L1908" s="99" t="str">
        <f t="shared" ref="L1908:L1971" si="101">"W"&amp;DEC2HEX(8704 + INT((ROW()-51)/16)) &amp; "." &amp; IF(MOD(ROW()-51,16)&lt;10,MOD(ROW()-51,16),CHAR(MOD(ROW()-51,16)+55))</f>
        <v>W2274.1</v>
      </c>
      <c r="M1908" s="45"/>
      <c r="N1908" s="47"/>
      <c r="O1908" s="47"/>
      <c r="P1908" s="47"/>
      <c r="Q1908" s="45"/>
      <c r="R1908" s="45"/>
      <c r="S1908" s="48"/>
    </row>
    <row r="1909" spans="1:19" s="49" customFormat="1" ht="14.15" customHeight="1">
      <c r="A1909" s="45"/>
      <c r="B1909" s="44" t="s">
        <v>157</v>
      </c>
      <c r="C1909" s="50"/>
      <c r="D1909" s="10" t="s">
        <v>29</v>
      </c>
      <c r="E1909" s="11"/>
      <c r="F1909" s="11" t="s">
        <v>18</v>
      </c>
      <c r="G1909" s="13"/>
      <c r="H1909" s="45" t="s">
        <v>16</v>
      </c>
      <c r="I1909" s="47"/>
      <c r="J1909" s="12" t="s">
        <v>3387</v>
      </c>
      <c r="K1909" s="13" t="s">
        <v>8709</v>
      </c>
      <c r="L1909" s="99" t="str">
        <f t="shared" si="101"/>
        <v>W2274.2</v>
      </c>
      <c r="M1909" s="45"/>
      <c r="N1909" s="47"/>
      <c r="O1909" s="47"/>
      <c r="P1909" s="47"/>
      <c r="Q1909" s="45"/>
      <c r="R1909" s="45"/>
      <c r="S1909" s="48"/>
    </row>
    <row r="1910" spans="1:19" s="49" customFormat="1" ht="14.15" customHeight="1">
      <c r="A1910" s="45"/>
      <c r="B1910" s="44" t="s">
        <v>157</v>
      </c>
      <c r="C1910" s="50"/>
      <c r="D1910" s="10" t="s">
        <v>29</v>
      </c>
      <c r="E1910" s="11"/>
      <c r="F1910" s="11" t="s">
        <v>18</v>
      </c>
      <c r="G1910" s="13"/>
      <c r="H1910" s="45" t="s">
        <v>16</v>
      </c>
      <c r="I1910" s="47"/>
      <c r="J1910" s="12" t="s">
        <v>3388</v>
      </c>
      <c r="K1910" s="13" t="s">
        <v>8710</v>
      </c>
      <c r="L1910" s="99" t="str">
        <f t="shared" si="101"/>
        <v>W2274.3</v>
      </c>
      <c r="M1910" s="45"/>
      <c r="N1910" s="47"/>
      <c r="O1910" s="47"/>
      <c r="P1910" s="47"/>
      <c r="Q1910" s="45"/>
      <c r="R1910" s="45"/>
      <c r="S1910" s="48"/>
    </row>
    <row r="1911" spans="1:19" s="49" customFormat="1" ht="14.15" customHeight="1">
      <c r="A1911" s="45"/>
      <c r="B1911" s="44" t="s">
        <v>157</v>
      </c>
      <c r="C1911" s="50"/>
      <c r="D1911" s="10" t="s">
        <v>29</v>
      </c>
      <c r="E1911" s="11"/>
      <c r="F1911" s="11" t="s">
        <v>18</v>
      </c>
      <c r="G1911" s="13"/>
      <c r="H1911" s="45" t="s">
        <v>16</v>
      </c>
      <c r="I1911" s="47"/>
      <c r="J1911" s="12" t="s">
        <v>3389</v>
      </c>
      <c r="K1911" s="13" t="s">
        <v>8711</v>
      </c>
      <c r="L1911" s="99" t="str">
        <f t="shared" si="101"/>
        <v>W2274.4</v>
      </c>
      <c r="M1911" s="45"/>
      <c r="N1911" s="47"/>
      <c r="O1911" s="47"/>
      <c r="P1911" s="47"/>
      <c r="Q1911" s="45"/>
      <c r="R1911" s="45"/>
      <c r="S1911" s="48"/>
    </row>
    <row r="1912" spans="1:19" s="49" customFormat="1" ht="14.15" customHeight="1">
      <c r="A1912" s="45"/>
      <c r="B1912" s="44" t="s">
        <v>157</v>
      </c>
      <c r="C1912" s="50"/>
      <c r="D1912" s="10" t="s">
        <v>29</v>
      </c>
      <c r="E1912" s="11"/>
      <c r="F1912" s="11" t="s">
        <v>18</v>
      </c>
      <c r="G1912" s="13"/>
      <c r="H1912" s="45" t="s">
        <v>16</v>
      </c>
      <c r="I1912" s="47"/>
      <c r="J1912" s="12" t="s">
        <v>3390</v>
      </c>
      <c r="K1912" s="13" t="s">
        <v>8712</v>
      </c>
      <c r="L1912" s="99" t="str">
        <f t="shared" si="101"/>
        <v>W2274.5</v>
      </c>
      <c r="M1912" s="45"/>
      <c r="N1912" s="47"/>
      <c r="O1912" s="47"/>
      <c r="P1912" s="47"/>
      <c r="Q1912" s="45"/>
      <c r="R1912" s="45"/>
      <c r="S1912" s="48"/>
    </row>
    <row r="1913" spans="1:19" s="49" customFormat="1" ht="14.15" customHeight="1">
      <c r="A1913" s="45"/>
      <c r="B1913" s="44" t="s">
        <v>157</v>
      </c>
      <c r="C1913" s="50"/>
      <c r="D1913" s="10" t="s">
        <v>29</v>
      </c>
      <c r="E1913" s="11"/>
      <c r="F1913" s="11" t="s">
        <v>18</v>
      </c>
      <c r="G1913" s="13"/>
      <c r="H1913" s="45" t="s">
        <v>16</v>
      </c>
      <c r="I1913" s="47"/>
      <c r="J1913" s="12" t="s">
        <v>3391</v>
      </c>
      <c r="K1913" s="13" t="s">
        <v>8713</v>
      </c>
      <c r="L1913" s="99" t="str">
        <f t="shared" si="101"/>
        <v>W2274.6</v>
      </c>
      <c r="M1913" s="45"/>
      <c r="N1913" s="47"/>
      <c r="O1913" s="47"/>
      <c r="P1913" s="47"/>
      <c r="Q1913" s="45"/>
      <c r="R1913" s="45"/>
      <c r="S1913" s="48"/>
    </row>
    <row r="1914" spans="1:19" s="49" customFormat="1" ht="14.15" customHeight="1">
      <c r="A1914" s="45"/>
      <c r="B1914" s="44" t="s">
        <v>157</v>
      </c>
      <c r="C1914" s="50"/>
      <c r="D1914" s="10" t="s">
        <v>29</v>
      </c>
      <c r="E1914" s="11"/>
      <c r="F1914" s="11" t="s">
        <v>18</v>
      </c>
      <c r="G1914" s="13"/>
      <c r="H1914" s="45" t="s">
        <v>16</v>
      </c>
      <c r="I1914" s="47"/>
      <c r="J1914" s="12" t="s">
        <v>3392</v>
      </c>
      <c r="K1914" s="13" t="s">
        <v>8714</v>
      </c>
      <c r="L1914" s="99" t="str">
        <f t="shared" si="101"/>
        <v>W2274.7</v>
      </c>
      <c r="M1914" s="45"/>
      <c r="N1914" s="47"/>
      <c r="O1914" s="47"/>
      <c r="P1914" s="47"/>
      <c r="Q1914" s="45"/>
      <c r="R1914" s="45"/>
      <c r="S1914" s="48"/>
    </row>
    <row r="1915" spans="1:19" s="49" customFormat="1" ht="14.15" customHeight="1">
      <c r="A1915" s="45"/>
      <c r="B1915" s="44" t="s">
        <v>157</v>
      </c>
      <c r="C1915" s="50"/>
      <c r="D1915" s="10" t="s">
        <v>29</v>
      </c>
      <c r="E1915" s="11"/>
      <c r="F1915" s="11" t="s">
        <v>18</v>
      </c>
      <c r="G1915" s="13"/>
      <c r="H1915" s="45" t="s">
        <v>16</v>
      </c>
      <c r="I1915" s="47"/>
      <c r="J1915" s="12" t="s">
        <v>3393</v>
      </c>
      <c r="K1915" s="13" t="s">
        <v>8715</v>
      </c>
      <c r="L1915" s="99" t="str">
        <f t="shared" si="101"/>
        <v>W2274.8</v>
      </c>
      <c r="M1915" s="45"/>
      <c r="N1915" s="47"/>
      <c r="O1915" s="47"/>
      <c r="P1915" s="47"/>
      <c r="Q1915" s="45"/>
      <c r="R1915" s="45"/>
      <c r="S1915" s="48"/>
    </row>
    <row r="1916" spans="1:19" s="49" customFormat="1" ht="14.15" customHeight="1">
      <c r="A1916" s="45"/>
      <c r="B1916" s="44" t="s">
        <v>157</v>
      </c>
      <c r="C1916" s="50"/>
      <c r="D1916" s="10" t="s">
        <v>29</v>
      </c>
      <c r="E1916" s="11"/>
      <c r="F1916" s="11" t="s">
        <v>18</v>
      </c>
      <c r="G1916" s="13"/>
      <c r="H1916" s="45" t="s">
        <v>16</v>
      </c>
      <c r="I1916" s="47"/>
      <c r="J1916" s="12" t="s">
        <v>3394</v>
      </c>
      <c r="K1916" s="13" t="s">
        <v>8716</v>
      </c>
      <c r="L1916" s="99" t="str">
        <f t="shared" si="101"/>
        <v>W2274.9</v>
      </c>
      <c r="M1916" s="45"/>
      <c r="N1916" s="47"/>
      <c r="O1916" s="47"/>
      <c r="P1916" s="47"/>
      <c r="Q1916" s="45"/>
      <c r="R1916" s="45"/>
      <c r="S1916" s="48"/>
    </row>
    <row r="1917" spans="1:19" s="49" customFormat="1" ht="14.15" customHeight="1">
      <c r="A1917" s="45"/>
      <c r="B1917" s="44" t="s">
        <v>157</v>
      </c>
      <c r="C1917" s="50"/>
      <c r="D1917" s="10" t="s">
        <v>29</v>
      </c>
      <c r="E1917" s="11"/>
      <c r="F1917" s="11" t="s">
        <v>18</v>
      </c>
      <c r="G1917" s="13"/>
      <c r="H1917" s="45" t="s">
        <v>16</v>
      </c>
      <c r="I1917" s="47"/>
      <c r="J1917" s="12" t="s">
        <v>3395</v>
      </c>
      <c r="K1917" s="13" t="s">
        <v>8717</v>
      </c>
      <c r="L1917" s="99" t="str">
        <f t="shared" si="101"/>
        <v>W2274.A</v>
      </c>
      <c r="M1917" s="45"/>
      <c r="N1917" s="47"/>
      <c r="O1917" s="47"/>
      <c r="P1917" s="47"/>
      <c r="Q1917" s="45"/>
      <c r="R1917" s="45"/>
      <c r="S1917" s="48"/>
    </row>
    <row r="1918" spans="1:19" s="49" customFormat="1" ht="14.15" customHeight="1">
      <c r="A1918" s="45"/>
      <c r="B1918" s="44" t="s">
        <v>157</v>
      </c>
      <c r="C1918" s="50"/>
      <c r="D1918" s="10" t="s">
        <v>29</v>
      </c>
      <c r="E1918" s="11"/>
      <c r="F1918" s="11" t="s">
        <v>18</v>
      </c>
      <c r="G1918" s="13"/>
      <c r="H1918" s="45" t="s">
        <v>16</v>
      </c>
      <c r="I1918" s="47"/>
      <c r="J1918" s="12" t="s">
        <v>3396</v>
      </c>
      <c r="K1918" s="13" t="s">
        <v>8718</v>
      </c>
      <c r="L1918" s="99" t="str">
        <f t="shared" si="101"/>
        <v>W2274.B</v>
      </c>
      <c r="M1918" s="45"/>
      <c r="N1918" s="47"/>
      <c r="O1918" s="47"/>
      <c r="P1918" s="47"/>
      <c r="Q1918" s="45"/>
      <c r="R1918" s="45"/>
      <c r="S1918" s="48"/>
    </row>
    <row r="1919" spans="1:19" s="49" customFormat="1" ht="14.15" customHeight="1">
      <c r="A1919" s="45"/>
      <c r="B1919" s="44" t="s">
        <v>157</v>
      </c>
      <c r="C1919" s="50"/>
      <c r="D1919" s="10" t="s">
        <v>29</v>
      </c>
      <c r="E1919" s="11"/>
      <c r="F1919" s="11" t="s">
        <v>18</v>
      </c>
      <c r="G1919" s="13"/>
      <c r="H1919" s="45" t="s">
        <v>16</v>
      </c>
      <c r="I1919" s="47"/>
      <c r="J1919" s="12" t="s">
        <v>3397</v>
      </c>
      <c r="K1919" s="13" t="s">
        <v>8719</v>
      </c>
      <c r="L1919" s="99" t="str">
        <f t="shared" si="101"/>
        <v>W2274.C</v>
      </c>
      <c r="M1919" s="45"/>
      <c r="N1919" s="47"/>
      <c r="O1919" s="47"/>
      <c r="P1919" s="47"/>
      <c r="Q1919" s="45"/>
      <c r="R1919" s="45"/>
      <c r="S1919" s="48"/>
    </row>
    <row r="1920" spans="1:19" s="49" customFormat="1" ht="14.15" customHeight="1">
      <c r="A1920" s="45"/>
      <c r="B1920" s="44" t="s">
        <v>157</v>
      </c>
      <c r="C1920" s="50"/>
      <c r="D1920" s="10" t="s">
        <v>29</v>
      </c>
      <c r="E1920" s="11"/>
      <c r="F1920" s="11" t="s">
        <v>18</v>
      </c>
      <c r="G1920" s="13"/>
      <c r="H1920" s="45" t="s">
        <v>16</v>
      </c>
      <c r="I1920" s="47"/>
      <c r="J1920" s="12" t="s">
        <v>3398</v>
      </c>
      <c r="K1920" s="13" t="s">
        <v>8720</v>
      </c>
      <c r="L1920" s="99" t="str">
        <f t="shared" si="101"/>
        <v>W2274.D</v>
      </c>
      <c r="M1920" s="45"/>
      <c r="N1920" s="47"/>
      <c r="O1920" s="47"/>
      <c r="P1920" s="47"/>
      <c r="Q1920" s="45"/>
      <c r="R1920" s="45"/>
      <c r="S1920" s="48"/>
    </row>
    <row r="1921" spans="1:19" s="49" customFormat="1" ht="14.15" customHeight="1">
      <c r="A1921" s="45"/>
      <c r="B1921" s="44" t="s">
        <v>157</v>
      </c>
      <c r="C1921" s="50"/>
      <c r="D1921" s="10" t="s">
        <v>29</v>
      </c>
      <c r="E1921" s="11"/>
      <c r="F1921" s="11" t="s">
        <v>18</v>
      </c>
      <c r="G1921" s="13"/>
      <c r="H1921" s="45" t="s">
        <v>16</v>
      </c>
      <c r="I1921" s="47"/>
      <c r="J1921" s="12" t="s">
        <v>3399</v>
      </c>
      <c r="K1921" s="13" t="s">
        <v>8721</v>
      </c>
      <c r="L1921" s="99" t="str">
        <f t="shared" si="101"/>
        <v>W2274.E</v>
      </c>
      <c r="M1921" s="45"/>
      <c r="N1921" s="47"/>
      <c r="O1921" s="47"/>
      <c r="P1921" s="47"/>
      <c r="Q1921" s="45"/>
      <c r="R1921" s="45"/>
      <c r="S1921" s="48"/>
    </row>
    <row r="1922" spans="1:19" s="49" customFormat="1" ht="14.15" customHeight="1">
      <c r="A1922" s="45"/>
      <c r="B1922" s="44" t="s">
        <v>157</v>
      </c>
      <c r="C1922" s="50"/>
      <c r="D1922" s="10" t="s">
        <v>29</v>
      </c>
      <c r="E1922" s="11"/>
      <c r="F1922" s="11" t="s">
        <v>18</v>
      </c>
      <c r="G1922" s="13"/>
      <c r="H1922" s="45" t="s">
        <v>16</v>
      </c>
      <c r="I1922" s="47"/>
      <c r="J1922" s="12" t="s">
        <v>3400</v>
      </c>
      <c r="K1922" s="13" t="s">
        <v>8722</v>
      </c>
      <c r="L1922" s="99" t="str">
        <f t="shared" si="101"/>
        <v>W2274.F</v>
      </c>
      <c r="M1922" s="45"/>
      <c r="N1922" s="47"/>
      <c r="O1922" s="47"/>
      <c r="P1922" s="47"/>
      <c r="Q1922" s="45"/>
      <c r="R1922" s="45"/>
      <c r="S1922" s="48"/>
    </row>
    <row r="1923" spans="1:19" s="49" customFormat="1" ht="14.15" customHeight="1">
      <c r="A1923" s="45"/>
      <c r="B1923" s="44" t="s">
        <v>157</v>
      </c>
      <c r="C1923" s="50"/>
      <c r="D1923" s="10" t="s">
        <v>29</v>
      </c>
      <c r="E1923" s="11"/>
      <c r="F1923" s="11" t="s">
        <v>18</v>
      </c>
      <c r="G1923" s="13"/>
      <c r="H1923" s="45" t="s">
        <v>16</v>
      </c>
      <c r="I1923" s="47"/>
      <c r="J1923" s="12" t="s">
        <v>3401</v>
      </c>
      <c r="K1923" s="13" t="s">
        <v>8723</v>
      </c>
      <c r="L1923" s="99" t="str">
        <f t="shared" si="101"/>
        <v>W2275.0</v>
      </c>
      <c r="M1923" s="45"/>
      <c r="N1923" s="47"/>
      <c r="O1923" s="47"/>
      <c r="P1923" s="47"/>
      <c r="Q1923" s="45"/>
      <c r="R1923" s="45"/>
      <c r="S1923" s="48"/>
    </row>
    <row r="1924" spans="1:19" s="49" customFormat="1" ht="14.15" customHeight="1">
      <c r="A1924" s="45"/>
      <c r="B1924" s="44" t="s">
        <v>157</v>
      </c>
      <c r="C1924" s="50"/>
      <c r="D1924" s="10" t="s">
        <v>29</v>
      </c>
      <c r="E1924" s="11"/>
      <c r="F1924" s="11" t="s">
        <v>18</v>
      </c>
      <c r="G1924" s="13"/>
      <c r="H1924" s="45" t="s">
        <v>16</v>
      </c>
      <c r="I1924" s="47"/>
      <c r="J1924" s="12" t="s">
        <v>3402</v>
      </c>
      <c r="K1924" s="13" t="s">
        <v>8724</v>
      </c>
      <c r="L1924" s="99" t="str">
        <f t="shared" si="101"/>
        <v>W2275.1</v>
      </c>
      <c r="M1924" s="45"/>
      <c r="N1924" s="47"/>
      <c r="O1924" s="47"/>
      <c r="P1924" s="47"/>
      <c r="Q1924" s="45"/>
      <c r="R1924" s="45"/>
      <c r="S1924" s="48"/>
    </row>
    <row r="1925" spans="1:19" s="49" customFormat="1" ht="14.15" customHeight="1">
      <c r="A1925" s="45"/>
      <c r="B1925" s="44" t="s">
        <v>157</v>
      </c>
      <c r="C1925" s="50"/>
      <c r="D1925" s="10" t="s">
        <v>29</v>
      </c>
      <c r="E1925" s="11"/>
      <c r="F1925" s="11" t="s">
        <v>18</v>
      </c>
      <c r="G1925" s="13"/>
      <c r="H1925" s="45" t="s">
        <v>16</v>
      </c>
      <c r="I1925" s="47"/>
      <c r="J1925" s="12" t="s">
        <v>3403</v>
      </c>
      <c r="K1925" s="13" t="s">
        <v>8725</v>
      </c>
      <c r="L1925" s="99" t="str">
        <f t="shared" si="101"/>
        <v>W2275.2</v>
      </c>
      <c r="M1925" s="45"/>
      <c r="N1925" s="47"/>
      <c r="O1925" s="47"/>
      <c r="P1925" s="47"/>
      <c r="Q1925" s="45"/>
      <c r="R1925" s="45"/>
      <c r="S1925" s="48"/>
    </row>
    <row r="1926" spans="1:19" s="49" customFormat="1" ht="14.15" customHeight="1">
      <c r="A1926" s="45"/>
      <c r="B1926" s="44" t="s">
        <v>157</v>
      </c>
      <c r="C1926" s="50"/>
      <c r="D1926" s="10" t="s">
        <v>29</v>
      </c>
      <c r="E1926" s="11"/>
      <c r="F1926" s="11" t="s">
        <v>18</v>
      </c>
      <c r="G1926" s="13"/>
      <c r="H1926" s="45" t="s">
        <v>16</v>
      </c>
      <c r="I1926" s="47"/>
      <c r="J1926" s="12" t="s">
        <v>3404</v>
      </c>
      <c r="K1926" s="13" t="s">
        <v>8726</v>
      </c>
      <c r="L1926" s="99" t="str">
        <f t="shared" si="101"/>
        <v>W2275.3</v>
      </c>
      <c r="M1926" s="45"/>
      <c r="N1926" s="47"/>
      <c r="O1926" s="47"/>
      <c r="P1926" s="47"/>
      <c r="Q1926" s="45"/>
      <c r="R1926" s="45"/>
      <c r="S1926" s="48"/>
    </row>
    <row r="1927" spans="1:19" s="49" customFormat="1" ht="14.15" customHeight="1">
      <c r="A1927" s="45"/>
      <c r="B1927" s="44" t="s">
        <v>157</v>
      </c>
      <c r="C1927" s="50"/>
      <c r="D1927" s="10" t="s">
        <v>29</v>
      </c>
      <c r="E1927" s="11"/>
      <c r="F1927" s="11" t="s">
        <v>18</v>
      </c>
      <c r="G1927" s="13"/>
      <c r="H1927" s="45" t="s">
        <v>16</v>
      </c>
      <c r="I1927" s="47"/>
      <c r="J1927" s="12" t="s">
        <v>3405</v>
      </c>
      <c r="K1927" s="13" t="s">
        <v>8727</v>
      </c>
      <c r="L1927" s="99" t="str">
        <f t="shared" si="101"/>
        <v>W2275.4</v>
      </c>
      <c r="M1927" s="45"/>
      <c r="N1927" s="47"/>
      <c r="O1927" s="47"/>
      <c r="P1927" s="47"/>
      <c r="Q1927" s="45"/>
      <c r="R1927" s="45"/>
      <c r="S1927" s="48"/>
    </row>
    <row r="1928" spans="1:19" s="49" customFormat="1" ht="14.15" customHeight="1">
      <c r="A1928" s="45"/>
      <c r="B1928" s="44" t="s">
        <v>157</v>
      </c>
      <c r="C1928" s="50"/>
      <c r="D1928" s="10" t="s">
        <v>29</v>
      </c>
      <c r="E1928" s="11"/>
      <c r="F1928" s="11" t="s">
        <v>18</v>
      </c>
      <c r="G1928" s="13"/>
      <c r="H1928" s="45" t="s">
        <v>16</v>
      </c>
      <c r="I1928" s="47"/>
      <c r="J1928" s="12" t="s">
        <v>3406</v>
      </c>
      <c r="K1928" s="13" t="s">
        <v>8728</v>
      </c>
      <c r="L1928" s="99" t="str">
        <f t="shared" si="101"/>
        <v>W2275.5</v>
      </c>
      <c r="M1928" s="45"/>
      <c r="N1928" s="47"/>
      <c r="O1928" s="47"/>
      <c r="P1928" s="47"/>
      <c r="Q1928" s="45"/>
      <c r="R1928" s="45"/>
      <c r="S1928" s="48"/>
    </row>
    <row r="1929" spans="1:19" s="49" customFormat="1" ht="14.15" customHeight="1">
      <c r="A1929" s="45"/>
      <c r="B1929" s="44" t="s">
        <v>157</v>
      </c>
      <c r="C1929" s="50"/>
      <c r="D1929" s="10" t="s">
        <v>29</v>
      </c>
      <c r="E1929" s="11"/>
      <c r="F1929" s="11" t="s">
        <v>18</v>
      </c>
      <c r="G1929" s="13"/>
      <c r="H1929" s="45" t="s">
        <v>16</v>
      </c>
      <c r="I1929" s="47"/>
      <c r="J1929" s="12" t="s">
        <v>3407</v>
      </c>
      <c r="K1929" s="13" t="s">
        <v>8729</v>
      </c>
      <c r="L1929" s="99" t="str">
        <f t="shared" si="101"/>
        <v>W2275.6</v>
      </c>
      <c r="M1929" s="45"/>
      <c r="N1929" s="47"/>
      <c r="O1929" s="47"/>
      <c r="P1929" s="47"/>
      <c r="Q1929" s="45"/>
      <c r="R1929" s="45"/>
      <c r="S1929" s="48"/>
    </row>
    <row r="1930" spans="1:19" s="49" customFormat="1" ht="14.15" customHeight="1">
      <c r="A1930" s="45"/>
      <c r="B1930" s="44" t="s">
        <v>157</v>
      </c>
      <c r="C1930" s="50"/>
      <c r="D1930" s="10" t="s">
        <v>29</v>
      </c>
      <c r="E1930" s="11"/>
      <c r="F1930" s="11" t="s">
        <v>18</v>
      </c>
      <c r="G1930" s="13"/>
      <c r="H1930" s="45" t="s">
        <v>16</v>
      </c>
      <c r="I1930" s="47"/>
      <c r="J1930" s="12" t="s">
        <v>3408</v>
      </c>
      <c r="K1930" s="13" t="s">
        <v>8730</v>
      </c>
      <c r="L1930" s="99" t="str">
        <f t="shared" si="101"/>
        <v>W2275.7</v>
      </c>
      <c r="M1930" s="45"/>
      <c r="N1930" s="47"/>
      <c r="O1930" s="47"/>
      <c r="P1930" s="47"/>
      <c r="Q1930" s="45"/>
      <c r="R1930" s="45"/>
      <c r="S1930" s="48"/>
    </row>
    <row r="1931" spans="1:19" s="49" customFormat="1" ht="14.15" customHeight="1">
      <c r="A1931" s="45"/>
      <c r="B1931" s="44" t="s">
        <v>157</v>
      </c>
      <c r="C1931" s="50"/>
      <c r="D1931" s="10" t="s">
        <v>29</v>
      </c>
      <c r="E1931" s="11"/>
      <c r="F1931" s="11" t="s">
        <v>18</v>
      </c>
      <c r="G1931" s="13"/>
      <c r="H1931" s="45" t="s">
        <v>16</v>
      </c>
      <c r="I1931" s="47"/>
      <c r="J1931" s="12" t="s">
        <v>4704</v>
      </c>
      <c r="K1931" s="13" t="s">
        <v>8731</v>
      </c>
      <c r="L1931" s="99" t="str">
        <f t="shared" si="101"/>
        <v>W2275.8</v>
      </c>
      <c r="M1931" s="45"/>
      <c r="N1931" s="47"/>
      <c r="O1931" s="47"/>
      <c r="P1931" s="47"/>
      <c r="Q1931" s="45"/>
      <c r="R1931" s="45"/>
      <c r="S1931" s="48"/>
    </row>
    <row r="1932" spans="1:19" s="49" customFormat="1" ht="14.15" customHeight="1">
      <c r="A1932" s="45"/>
      <c r="B1932" s="44" t="s">
        <v>157</v>
      </c>
      <c r="C1932" s="50"/>
      <c r="D1932" s="10" t="s">
        <v>29</v>
      </c>
      <c r="E1932" s="11"/>
      <c r="F1932" s="11" t="s">
        <v>18</v>
      </c>
      <c r="G1932" s="13"/>
      <c r="H1932" s="45" t="s">
        <v>16</v>
      </c>
      <c r="I1932" s="47"/>
      <c r="J1932" s="12" t="s">
        <v>3409</v>
      </c>
      <c r="K1932" s="13" t="s">
        <v>8732</v>
      </c>
      <c r="L1932" s="99" t="str">
        <f t="shared" si="101"/>
        <v>W2275.9</v>
      </c>
      <c r="M1932" s="45"/>
      <c r="N1932" s="47"/>
      <c r="O1932" s="47"/>
      <c r="P1932" s="47"/>
      <c r="Q1932" s="45"/>
      <c r="R1932" s="45"/>
      <c r="S1932" s="48"/>
    </row>
    <row r="1933" spans="1:19" s="49" customFormat="1" ht="14.15" customHeight="1">
      <c r="A1933" s="45"/>
      <c r="B1933" s="44" t="s">
        <v>157</v>
      </c>
      <c r="C1933" s="50"/>
      <c r="D1933" s="10" t="s">
        <v>29</v>
      </c>
      <c r="E1933" s="11"/>
      <c r="F1933" s="11" t="s">
        <v>18</v>
      </c>
      <c r="G1933" s="13"/>
      <c r="H1933" s="45" t="s">
        <v>16</v>
      </c>
      <c r="I1933" s="47"/>
      <c r="J1933" s="12" t="s">
        <v>3410</v>
      </c>
      <c r="K1933" s="13" t="s">
        <v>8733</v>
      </c>
      <c r="L1933" s="99" t="str">
        <f t="shared" si="101"/>
        <v>W2275.A</v>
      </c>
      <c r="M1933" s="45"/>
      <c r="N1933" s="47"/>
      <c r="O1933" s="47"/>
      <c r="P1933" s="47"/>
      <c r="Q1933" s="45"/>
      <c r="R1933" s="45"/>
      <c r="S1933" s="48"/>
    </row>
    <row r="1934" spans="1:19" s="49" customFormat="1" ht="14.15" customHeight="1">
      <c r="A1934" s="45"/>
      <c r="B1934" s="44" t="s">
        <v>157</v>
      </c>
      <c r="C1934" s="50"/>
      <c r="D1934" s="10" t="s">
        <v>29</v>
      </c>
      <c r="E1934" s="11"/>
      <c r="F1934" s="11" t="s">
        <v>18</v>
      </c>
      <c r="G1934" s="13"/>
      <c r="H1934" s="45" t="s">
        <v>16</v>
      </c>
      <c r="I1934" s="47"/>
      <c r="J1934" s="12" t="s">
        <v>3411</v>
      </c>
      <c r="K1934" s="13" t="s">
        <v>8734</v>
      </c>
      <c r="L1934" s="99" t="str">
        <f t="shared" si="101"/>
        <v>W2275.B</v>
      </c>
      <c r="M1934" s="45"/>
      <c r="N1934" s="47"/>
      <c r="O1934" s="47"/>
      <c r="P1934" s="47"/>
      <c r="Q1934" s="45"/>
      <c r="R1934" s="45"/>
      <c r="S1934" s="48"/>
    </row>
    <row r="1935" spans="1:19" s="49" customFormat="1" ht="14.15" customHeight="1">
      <c r="A1935" s="45"/>
      <c r="B1935" s="44" t="s">
        <v>157</v>
      </c>
      <c r="C1935" s="50"/>
      <c r="D1935" s="10" t="s">
        <v>29</v>
      </c>
      <c r="E1935" s="11"/>
      <c r="F1935" s="11" t="s">
        <v>18</v>
      </c>
      <c r="G1935" s="13"/>
      <c r="H1935" s="45" t="s">
        <v>16</v>
      </c>
      <c r="I1935" s="47"/>
      <c r="J1935" s="12" t="s">
        <v>3412</v>
      </c>
      <c r="K1935" s="13" t="s">
        <v>8735</v>
      </c>
      <c r="L1935" s="99" t="str">
        <f t="shared" si="101"/>
        <v>W2275.C</v>
      </c>
      <c r="M1935" s="45"/>
      <c r="N1935" s="47"/>
      <c r="O1935" s="47"/>
      <c r="P1935" s="47"/>
      <c r="Q1935" s="45"/>
      <c r="R1935" s="45"/>
      <c r="S1935" s="48"/>
    </row>
    <row r="1936" spans="1:19" s="49" customFormat="1" ht="14.15" customHeight="1">
      <c r="A1936" s="45"/>
      <c r="B1936" s="44" t="s">
        <v>157</v>
      </c>
      <c r="C1936" s="50"/>
      <c r="D1936" s="10" t="s">
        <v>29</v>
      </c>
      <c r="E1936" s="11"/>
      <c r="F1936" s="11" t="s">
        <v>18</v>
      </c>
      <c r="G1936" s="13"/>
      <c r="H1936" s="45" t="s">
        <v>16</v>
      </c>
      <c r="I1936" s="47"/>
      <c r="J1936" s="12" t="s">
        <v>3413</v>
      </c>
      <c r="K1936" s="13" t="s">
        <v>8736</v>
      </c>
      <c r="L1936" s="99" t="str">
        <f t="shared" si="101"/>
        <v>W2275.D</v>
      </c>
      <c r="M1936" s="45"/>
      <c r="N1936" s="47"/>
      <c r="O1936" s="47"/>
      <c r="P1936" s="47"/>
      <c r="Q1936" s="45"/>
      <c r="R1936" s="45"/>
      <c r="S1936" s="48"/>
    </row>
    <row r="1937" spans="1:19" s="49" customFormat="1" ht="14.15" customHeight="1">
      <c r="A1937" s="45"/>
      <c r="B1937" s="44" t="s">
        <v>157</v>
      </c>
      <c r="C1937" s="50"/>
      <c r="D1937" s="10" t="s">
        <v>29</v>
      </c>
      <c r="E1937" s="11"/>
      <c r="F1937" s="11" t="s">
        <v>18</v>
      </c>
      <c r="G1937" s="13"/>
      <c r="H1937" s="45" t="s">
        <v>16</v>
      </c>
      <c r="I1937" s="47"/>
      <c r="J1937" s="12" t="s">
        <v>3414</v>
      </c>
      <c r="K1937" s="13" t="s">
        <v>8737</v>
      </c>
      <c r="L1937" s="99" t="str">
        <f t="shared" si="101"/>
        <v>W2275.E</v>
      </c>
      <c r="M1937" s="45"/>
      <c r="N1937" s="47"/>
      <c r="O1937" s="47"/>
      <c r="P1937" s="47"/>
      <c r="Q1937" s="45"/>
      <c r="R1937" s="45"/>
      <c r="S1937" s="48"/>
    </row>
    <row r="1938" spans="1:19" s="49" customFormat="1" ht="14.15" customHeight="1">
      <c r="A1938" s="45"/>
      <c r="B1938" s="44" t="s">
        <v>157</v>
      </c>
      <c r="C1938" s="50"/>
      <c r="D1938" s="10" t="s">
        <v>29</v>
      </c>
      <c r="E1938" s="11"/>
      <c r="F1938" s="11" t="s">
        <v>18</v>
      </c>
      <c r="G1938" s="13"/>
      <c r="H1938" s="45" t="s">
        <v>16</v>
      </c>
      <c r="I1938" s="47"/>
      <c r="J1938" s="12" t="s">
        <v>3415</v>
      </c>
      <c r="K1938" s="13" t="s">
        <v>8738</v>
      </c>
      <c r="L1938" s="99" t="str">
        <f t="shared" si="101"/>
        <v>W2275.F</v>
      </c>
      <c r="M1938" s="45"/>
      <c r="N1938" s="47"/>
      <c r="O1938" s="47"/>
      <c r="P1938" s="47"/>
      <c r="Q1938" s="45"/>
      <c r="R1938" s="45"/>
      <c r="S1938" s="48"/>
    </row>
    <row r="1939" spans="1:19" s="49" customFormat="1" ht="14.15" customHeight="1">
      <c r="A1939" s="45"/>
      <c r="B1939" s="44" t="s">
        <v>157</v>
      </c>
      <c r="C1939" s="50"/>
      <c r="D1939" s="10" t="s">
        <v>29</v>
      </c>
      <c r="E1939" s="11"/>
      <c r="F1939" s="11" t="s">
        <v>18</v>
      </c>
      <c r="G1939" s="13"/>
      <c r="H1939" s="45" t="s">
        <v>16</v>
      </c>
      <c r="I1939" s="47"/>
      <c r="J1939" s="12" t="s">
        <v>3416</v>
      </c>
      <c r="K1939" s="13" t="s">
        <v>8739</v>
      </c>
      <c r="L1939" s="99" t="str">
        <f t="shared" si="101"/>
        <v>W2276.0</v>
      </c>
      <c r="M1939" s="45"/>
      <c r="N1939" s="47"/>
      <c r="O1939" s="47"/>
      <c r="P1939" s="47"/>
      <c r="Q1939" s="45"/>
      <c r="R1939" s="45"/>
      <c r="S1939" s="48"/>
    </row>
    <row r="1940" spans="1:19" s="49" customFormat="1" ht="14.15" customHeight="1">
      <c r="A1940" s="45"/>
      <c r="B1940" s="44" t="s">
        <v>157</v>
      </c>
      <c r="C1940" s="50"/>
      <c r="D1940" s="10" t="s">
        <v>29</v>
      </c>
      <c r="E1940" s="11"/>
      <c r="F1940" s="11" t="s">
        <v>18</v>
      </c>
      <c r="G1940" s="13"/>
      <c r="H1940" s="45" t="s">
        <v>16</v>
      </c>
      <c r="I1940" s="47"/>
      <c r="J1940" s="12" t="s">
        <v>3417</v>
      </c>
      <c r="K1940" s="13" t="s">
        <v>8740</v>
      </c>
      <c r="L1940" s="99" t="str">
        <f t="shared" si="101"/>
        <v>W2276.1</v>
      </c>
      <c r="M1940" s="45"/>
      <c r="N1940" s="47"/>
      <c r="O1940" s="47"/>
      <c r="P1940" s="47"/>
      <c r="Q1940" s="45"/>
      <c r="R1940" s="45"/>
      <c r="S1940" s="48"/>
    </row>
    <row r="1941" spans="1:19" s="49" customFormat="1" ht="14.15" customHeight="1">
      <c r="A1941" s="45"/>
      <c r="B1941" s="44" t="s">
        <v>157</v>
      </c>
      <c r="C1941" s="50"/>
      <c r="D1941" s="10" t="s">
        <v>29</v>
      </c>
      <c r="E1941" s="11"/>
      <c r="F1941" s="11" t="s">
        <v>18</v>
      </c>
      <c r="G1941" s="13"/>
      <c r="H1941" s="45" t="s">
        <v>16</v>
      </c>
      <c r="I1941" s="47"/>
      <c r="J1941" s="12" t="s">
        <v>3418</v>
      </c>
      <c r="K1941" s="13" t="s">
        <v>8741</v>
      </c>
      <c r="L1941" s="99" t="str">
        <f t="shared" si="101"/>
        <v>W2276.2</v>
      </c>
      <c r="M1941" s="45"/>
      <c r="N1941" s="47"/>
      <c r="O1941" s="47"/>
      <c r="P1941" s="47"/>
      <c r="Q1941" s="45"/>
      <c r="R1941" s="45"/>
      <c r="S1941" s="48"/>
    </row>
    <row r="1942" spans="1:19" s="49" customFormat="1" ht="14.15" customHeight="1">
      <c r="A1942" s="45"/>
      <c r="B1942" s="44" t="s">
        <v>157</v>
      </c>
      <c r="C1942" s="50"/>
      <c r="D1942" s="10" t="s">
        <v>29</v>
      </c>
      <c r="E1942" s="11"/>
      <c r="F1942" s="11" t="s">
        <v>18</v>
      </c>
      <c r="G1942" s="13"/>
      <c r="H1942" s="45" t="s">
        <v>16</v>
      </c>
      <c r="I1942" s="47"/>
      <c r="J1942" s="12" t="s">
        <v>3419</v>
      </c>
      <c r="K1942" s="13" t="s">
        <v>8742</v>
      </c>
      <c r="L1942" s="99" t="str">
        <f t="shared" si="101"/>
        <v>W2276.3</v>
      </c>
      <c r="M1942" s="45"/>
      <c r="N1942" s="47"/>
      <c r="O1942" s="47"/>
      <c r="P1942" s="47"/>
      <c r="Q1942" s="45"/>
      <c r="R1942" s="45"/>
      <c r="S1942" s="48"/>
    </row>
    <row r="1943" spans="1:19" s="49" customFormat="1" ht="14.15" customHeight="1">
      <c r="A1943" s="45"/>
      <c r="B1943" s="44" t="s">
        <v>157</v>
      </c>
      <c r="C1943" s="50"/>
      <c r="D1943" s="10" t="s">
        <v>29</v>
      </c>
      <c r="E1943" s="11"/>
      <c r="F1943" s="11" t="s">
        <v>18</v>
      </c>
      <c r="G1943" s="13"/>
      <c r="H1943" s="45" t="s">
        <v>16</v>
      </c>
      <c r="I1943" s="47"/>
      <c r="J1943" s="12" t="s">
        <v>3420</v>
      </c>
      <c r="K1943" s="13" t="s">
        <v>8743</v>
      </c>
      <c r="L1943" s="99" t="str">
        <f t="shared" si="101"/>
        <v>W2276.4</v>
      </c>
      <c r="M1943" s="45"/>
      <c r="N1943" s="47"/>
      <c r="O1943" s="47"/>
      <c r="P1943" s="47"/>
      <c r="Q1943" s="45"/>
      <c r="R1943" s="45"/>
      <c r="S1943" s="48"/>
    </row>
    <row r="1944" spans="1:19" s="49" customFormat="1" ht="14.15" customHeight="1">
      <c r="A1944" s="45"/>
      <c r="B1944" s="44" t="s">
        <v>157</v>
      </c>
      <c r="C1944" s="50"/>
      <c r="D1944" s="10" t="s">
        <v>29</v>
      </c>
      <c r="E1944" s="11"/>
      <c r="F1944" s="11" t="s">
        <v>18</v>
      </c>
      <c r="G1944" s="13"/>
      <c r="H1944" s="45" t="s">
        <v>16</v>
      </c>
      <c r="I1944" s="47"/>
      <c r="J1944" s="12" t="s">
        <v>3421</v>
      </c>
      <c r="K1944" s="13" t="s">
        <v>8744</v>
      </c>
      <c r="L1944" s="99" t="str">
        <f t="shared" si="101"/>
        <v>W2276.5</v>
      </c>
      <c r="M1944" s="45"/>
      <c r="N1944" s="47"/>
      <c r="O1944" s="47"/>
      <c r="P1944" s="47"/>
      <c r="Q1944" s="45"/>
      <c r="R1944" s="45"/>
      <c r="S1944" s="48"/>
    </row>
    <row r="1945" spans="1:19" s="49" customFormat="1" ht="14.15" customHeight="1">
      <c r="A1945" s="45"/>
      <c r="B1945" s="44" t="s">
        <v>157</v>
      </c>
      <c r="C1945" s="50"/>
      <c r="D1945" s="10" t="s">
        <v>29</v>
      </c>
      <c r="E1945" s="11"/>
      <c r="F1945" s="11" t="s">
        <v>18</v>
      </c>
      <c r="G1945" s="13"/>
      <c r="H1945" s="45" t="s">
        <v>16</v>
      </c>
      <c r="I1945" s="47"/>
      <c r="J1945" s="12" t="s">
        <v>3422</v>
      </c>
      <c r="K1945" s="13" t="s">
        <v>8745</v>
      </c>
      <c r="L1945" s="99" t="str">
        <f t="shared" si="101"/>
        <v>W2276.6</v>
      </c>
      <c r="M1945" s="45"/>
      <c r="N1945" s="47"/>
      <c r="O1945" s="47"/>
      <c r="P1945" s="47"/>
      <c r="Q1945" s="45"/>
      <c r="R1945" s="45"/>
      <c r="S1945" s="48"/>
    </row>
    <row r="1946" spans="1:19" s="49" customFormat="1" ht="14.15" customHeight="1">
      <c r="A1946" s="45"/>
      <c r="B1946" s="44" t="s">
        <v>157</v>
      </c>
      <c r="C1946" s="50"/>
      <c r="D1946" s="10" t="s">
        <v>29</v>
      </c>
      <c r="E1946" s="11"/>
      <c r="F1946" s="11" t="s">
        <v>18</v>
      </c>
      <c r="G1946" s="13"/>
      <c r="H1946" s="45" t="s">
        <v>16</v>
      </c>
      <c r="I1946" s="47"/>
      <c r="J1946" s="12" t="s">
        <v>3423</v>
      </c>
      <c r="K1946" s="13" t="s">
        <v>8746</v>
      </c>
      <c r="L1946" s="99" t="str">
        <f t="shared" si="101"/>
        <v>W2276.7</v>
      </c>
      <c r="M1946" s="45"/>
      <c r="N1946" s="47"/>
      <c r="O1946" s="47"/>
      <c r="P1946" s="47"/>
      <c r="Q1946" s="45"/>
      <c r="R1946" s="45"/>
      <c r="S1946" s="48"/>
    </row>
    <row r="1947" spans="1:19" s="49" customFormat="1" ht="14.15" customHeight="1">
      <c r="A1947" s="45"/>
      <c r="B1947" s="44" t="s">
        <v>157</v>
      </c>
      <c r="C1947" s="50"/>
      <c r="D1947" s="10" t="s">
        <v>29</v>
      </c>
      <c r="E1947" s="11"/>
      <c r="F1947" s="11" t="s">
        <v>18</v>
      </c>
      <c r="G1947" s="13"/>
      <c r="H1947" s="45" t="s">
        <v>16</v>
      </c>
      <c r="I1947" s="47"/>
      <c r="J1947" s="12" t="s">
        <v>3424</v>
      </c>
      <c r="K1947" s="13" t="s">
        <v>8747</v>
      </c>
      <c r="L1947" s="99" t="str">
        <f t="shared" si="101"/>
        <v>W2276.8</v>
      </c>
      <c r="M1947" s="45"/>
      <c r="N1947" s="47"/>
      <c r="O1947" s="47"/>
      <c r="P1947" s="47"/>
      <c r="Q1947" s="45"/>
      <c r="R1947" s="45"/>
      <c r="S1947" s="48"/>
    </row>
    <row r="1948" spans="1:19" s="49" customFormat="1" ht="14.15" customHeight="1">
      <c r="A1948" s="45"/>
      <c r="B1948" s="44" t="s">
        <v>157</v>
      </c>
      <c r="C1948" s="50"/>
      <c r="D1948" s="10" t="s">
        <v>29</v>
      </c>
      <c r="E1948" s="11"/>
      <c r="F1948" s="11" t="s">
        <v>18</v>
      </c>
      <c r="G1948" s="13"/>
      <c r="H1948" s="45" t="s">
        <v>16</v>
      </c>
      <c r="I1948" s="47"/>
      <c r="J1948" s="12" t="s">
        <v>3425</v>
      </c>
      <c r="K1948" s="13" t="s">
        <v>8748</v>
      </c>
      <c r="L1948" s="99" t="str">
        <f t="shared" si="101"/>
        <v>W2276.9</v>
      </c>
      <c r="M1948" s="45"/>
      <c r="N1948" s="47"/>
      <c r="O1948" s="47"/>
      <c r="P1948" s="47"/>
      <c r="Q1948" s="45"/>
      <c r="R1948" s="45"/>
      <c r="S1948" s="48"/>
    </row>
    <row r="1949" spans="1:19" s="49" customFormat="1" ht="14.15" customHeight="1">
      <c r="A1949" s="45"/>
      <c r="B1949" s="44" t="s">
        <v>157</v>
      </c>
      <c r="C1949" s="50"/>
      <c r="D1949" s="10" t="s">
        <v>29</v>
      </c>
      <c r="E1949" s="11"/>
      <c r="F1949" s="11" t="s">
        <v>18</v>
      </c>
      <c r="G1949" s="13"/>
      <c r="H1949" s="45" t="s">
        <v>16</v>
      </c>
      <c r="I1949" s="47"/>
      <c r="J1949" s="12" t="s">
        <v>3426</v>
      </c>
      <c r="K1949" s="13" t="s">
        <v>8749</v>
      </c>
      <c r="L1949" s="99" t="str">
        <f t="shared" si="101"/>
        <v>W2276.A</v>
      </c>
      <c r="M1949" s="45"/>
      <c r="N1949" s="47"/>
      <c r="O1949" s="47"/>
      <c r="P1949" s="47"/>
      <c r="Q1949" s="45"/>
      <c r="R1949" s="45"/>
      <c r="S1949" s="48"/>
    </row>
    <row r="1950" spans="1:19" s="49" customFormat="1" ht="14.15" customHeight="1">
      <c r="A1950" s="45" t="s">
        <v>3778</v>
      </c>
      <c r="B1950" s="44" t="s">
        <v>157</v>
      </c>
      <c r="C1950" s="50"/>
      <c r="D1950" s="10" t="s">
        <v>29</v>
      </c>
      <c r="E1950" s="11"/>
      <c r="F1950" s="11" t="s">
        <v>18</v>
      </c>
      <c r="G1950" s="13"/>
      <c r="H1950" s="45" t="s">
        <v>16</v>
      </c>
      <c r="I1950" s="47"/>
      <c r="J1950" s="12" t="s">
        <v>1647</v>
      </c>
      <c r="K1950" s="13" t="s">
        <v>8750</v>
      </c>
      <c r="L1950" s="99" t="str">
        <f t="shared" si="101"/>
        <v>W2276.B</v>
      </c>
      <c r="M1950" s="45" t="s">
        <v>3668</v>
      </c>
      <c r="N1950" s="47"/>
      <c r="O1950" s="47"/>
      <c r="P1950" s="47"/>
      <c r="Q1950" s="45" t="s">
        <v>142</v>
      </c>
      <c r="R1950" s="45" t="s">
        <v>5596</v>
      </c>
      <c r="S1950" s="48"/>
    </row>
    <row r="1951" spans="1:19" s="49" customFormat="1" ht="14.15" customHeight="1">
      <c r="A1951" s="45" t="s">
        <v>3778</v>
      </c>
      <c r="B1951" s="44" t="s">
        <v>157</v>
      </c>
      <c r="C1951" s="50"/>
      <c r="D1951" s="10" t="s">
        <v>29</v>
      </c>
      <c r="E1951" s="11"/>
      <c r="F1951" s="11" t="s">
        <v>18</v>
      </c>
      <c r="G1951" s="13"/>
      <c r="H1951" s="45" t="s">
        <v>16</v>
      </c>
      <c r="I1951" s="47"/>
      <c r="J1951" s="12" t="s">
        <v>1648</v>
      </c>
      <c r="K1951" s="13" t="s">
        <v>8751</v>
      </c>
      <c r="L1951" s="99" t="str">
        <f t="shared" si="101"/>
        <v>W2276.C</v>
      </c>
      <c r="M1951" s="45" t="s">
        <v>3668</v>
      </c>
      <c r="N1951" s="47"/>
      <c r="O1951" s="47"/>
      <c r="P1951" s="47"/>
      <c r="Q1951" s="45" t="s">
        <v>142</v>
      </c>
      <c r="R1951" s="45" t="s">
        <v>5596</v>
      </c>
      <c r="S1951" s="48"/>
    </row>
    <row r="1952" spans="1:19" s="49" customFormat="1" ht="14.15" customHeight="1">
      <c r="A1952" s="45" t="s">
        <v>3778</v>
      </c>
      <c r="B1952" s="44" t="s">
        <v>157</v>
      </c>
      <c r="C1952" s="50"/>
      <c r="D1952" s="10" t="s">
        <v>29</v>
      </c>
      <c r="E1952" s="11"/>
      <c r="F1952" s="11" t="s">
        <v>18</v>
      </c>
      <c r="G1952" s="13"/>
      <c r="H1952" s="45" t="s">
        <v>16</v>
      </c>
      <c r="I1952" s="47"/>
      <c r="J1952" s="12" t="s">
        <v>1649</v>
      </c>
      <c r="K1952" s="13" t="s">
        <v>8752</v>
      </c>
      <c r="L1952" s="99" t="str">
        <f t="shared" si="101"/>
        <v>W2276.D</v>
      </c>
      <c r="M1952" s="45" t="s">
        <v>3668</v>
      </c>
      <c r="N1952" s="47"/>
      <c r="O1952" s="47"/>
      <c r="P1952" s="47"/>
      <c r="Q1952" s="45" t="s">
        <v>142</v>
      </c>
      <c r="R1952" s="45" t="s">
        <v>5596</v>
      </c>
      <c r="S1952" s="48"/>
    </row>
    <row r="1953" spans="1:19" s="49" customFormat="1" ht="14.15" customHeight="1">
      <c r="A1953" s="45" t="s">
        <v>3778</v>
      </c>
      <c r="B1953" s="44" t="s">
        <v>157</v>
      </c>
      <c r="C1953" s="50"/>
      <c r="D1953" s="10" t="s">
        <v>29</v>
      </c>
      <c r="E1953" s="11"/>
      <c r="F1953" s="11" t="s">
        <v>18</v>
      </c>
      <c r="G1953" s="13"/>
      <c r="H1953" s="45" t="s">
        <v>16</v>
      </c>
      <c r="I1953" s="47"/>
      <c r="J1953" s="12" t="s">
        <v>1650</v>
      </c>
      <c r="K1953" s="13" t="s">
        <v>8753</v>
      </c>
      <c r="L1953" s="99" t="str">
        <f t="shared" si="101"/>
        <v>W2276.E</v>
      </c>
      <c r="M1953" s="45" t="s">
        <v>3668</v>
      </c>
      <c r="N1953" s="47"/>
      <c r="O1953" s="47"/>
      <c r="P1953" s="47"/>
      <c r="Q1953" s="45" t="s">
        <v>142</v>
      </c>
      <c r="R1953" s="45" t="s">
        <v>5596</v>
      </c>
      <c r="S1953" s="48"/>
    </row>
    <row r="1954" spans="1:19" s="49" customFormat="1" ht="14.15" customHeight="1">
      <c r="A1954" s="45" t="s">
        <v>3778</v>
      </c>
      <c r="B1954" s="44" t="s">
        <v>157</v>
      </c>
      <c r="C1954" s="50"/>
      <c r="D1954" s="10" t="s">
        <v>29</v>
      </c>
      <c r="E1954" s="11"/>
      <c r="F1954" s="11" t="s">
        <v>18</v>
      </c>
      <c r="G1954" s="13"/>
      <c r="H1954" s="45" t="s">
        <v>16</v>
      </c>
      <c r="I1954" s="47"/>
      <c r="J1954" s="12" t="s">
        <v>1651</v>
      </c>
      <c r="K1954" s="13" t="s">
        <v>8754</v>
      </c>
      <c r="L1954" s="99" t="str">
        <f t="shared" si="101"/>
        <v>W2276.F</v>
      </c>
      <c r="M1954" s="45" t="s">
        <v>3668</v>
      </c>
      <c r="N1954" s="47"/>
      <c r="O1954" s="47"/>
      <c r="P1954" s="47"/>
      <c r="Q1954" s="45" t="s">
        <v>142</v>
      </c>
      <c r="R1954" s="45" t="s">
        <v>5596</v>
      </c>
      <c r="S1954" s="48"/>
    </row>
    <row r="1955" spans="1:19" s="49" customFormat="1" ht="14.15" customHeight="1">
      <c r="A1955" s="45" t="s">
        <v>3778</v>
      </c>
      <c r="B1955" s="44" t="s">
        <v>157</v>
      </c>
      <c r="C1955" s="50"/>
      <c r="D1955" s="10" t="s">
        <v>29</v>
      </c>
      <c r="E1955" s="11"/>
      <c r="F1955" s="11" t="s">
        <v>18</v>
      </c>
      <c r="G1955" s="13"/>
      <c r="H1955" s="45" t="s">
        <v>16</v>
      </c>
      <c r="I1955" s="47"/>
      <c r="J1955" s="12" t="s">
        <v>1652</v>
      </c>
      <c r="K1955" s="13" t="s">
        <v>8755</v>
      </c>
      <c r="L1955" s="99" t="str">
        <f t="shared" si="101"/>
        <v>W2277.0</v>
      </c>
      <c r="M1955" s="45" t="s">
        <v>3668</v>
      </c>
      <c r="N1955" s="47"/>
      <c r="O1955" s="47"/>
      <c r="P1955" s="47"/>
      <c r="Q1955" s="45" t="s">
        <v>142</v>
      </c>
      <c r="R1955" s="45" t="s">
        <v>5596</v>
      </c>
      <c r="S1955" s="48"/>
    </row>
    <row r="1956" spans="1:19" s="49" customFormat="1" ht="14.15" customHeight="1">
      <c r="A1956" s="45" t="s">
        <v>3778</v>
      </c>
      <c r="B1956" s="44" t="s">
        <v>157</v>
      </c>
      <c r="C1956" s="50"/>
      <c r="D1956" s="10" t="s">
        <v>29</v>
      </c>
      <c r="E1956" s="11"/>
      <c r="F1956" s="11" t="s">
        <v>18</v>
      </c>
      <c r="G1956" s="13"/>
      <c r="H1956" s="45" t="s">
        <v>16</v>
      </c>
      <c r="I1956" s="47"/>
      <c r="J1956" s="12" t="s">
        <v>1653</v>
      </c>
      <c r="K1956" s="13" t="s">
        <v>8756</v>
      </c>
      <c r="L1956" s="99" t="str">
        <f t="shared" si="101"/>
        <v>W2277.1</v>
      </c>
      <c r="M1956" s="45" t="s">
        <v>3668</v>
      </c>
      <c r="N1956" s="47"/>
      <c r="O1956" s="47"/>
      <c r="P1956" s="47"/>
      <c r="Q1956" s="45" t="s">
        <v>142</v>
      </c>
      <c r="R1956" s="45" t="s">
        <v>5596</v>
      </c>
      <c r="S1956" s="48"/>
    </row>
    <row r="1957" spans="1:19" s="49" customFormat="1" ht="14.15" customHeight="1">
      <c r="A1957" s="45" t="s">
        <v>3778</v>
      </c>
      <c r="B1957" s="44" t="s">
        <v>157</v>
      </c>
      <c r="C1957" s="50"/>
      <c r="D1957" s="10" t="s">
        <v>29</v>
      </c>
      <c r="E1957" s="11"/>
      <c r="F1957" s="11" t="s">
        <v>18</v>
      </c>
      <c r="G1957" s="13"/>
      <c r="H1957" s="45" t="s">
        <v>16</v>
      </c>
      <c r="I1957" s="47"/>
      <c r="J1957" s="12" t="s">
        <v>1654</v>
      </c>
      <c r="K1957" s="13" t="s">
        <v>8757</v>
      </c>
      <c r="L1957" s="99" t="str">
        <f t="shared" si="101"/>
        <v>W2277.2</v>
      </c>
      <c r="M1957" s="45" t="s">
        <v>3668</v>
      </c>
      <c r="N1957" s="47"/>
      <c r="O1957" s="47"/>
      <c r="P1957" s="47"/>
      <c r="Q1957" s="45" t="s">
        <v>142</v>
      </c>
      <c r="R1957" s="45" t="s">
        <v>5596</v>
      </c>
      <c r="S1957" s="48"/>
    </row>
    <row r="1958" spans="1:19" s="49" customFormat="1" ht="14.15" customHeight="1">
      <c r="A1958" s="45" t="s">
        <v>3778</v>
      </c>
      <c r="B1958" s="44" t="s">
        <v>157</v>
      </c>
      <c r="C1958" s="50"/>
      <c r="D1958" s="10" t="s">
        <v>29</v>
      </c>
      <c r="E1958" s="11"/>
      <c r="F1958" s="11" t="s">
        <v>18</v>
      </c>
      <c r="G1958" s="13"/>
      <c r="H1958" s="45" t="s">
        <v>16</v>
      </c>
      <c r="I1958" s="47"/>
      <c r="J1958" s="12" t="s">
        <v>1655</v>
      </c>
      <c r="K1958" s="13" t="s">
        <v>8758</v>
      </c>
      <c r="L1958" s="99" t="str">
        <f t="shared" si="101"/>
        <v>W2277.3</v>
      </c>
      <c r="M1958" s="45" t="s">
        <v>3668</v>
      </c>
      <c r="N1958" s="47"/>
      <c r="O1958" s="47"/>
      <c r="P1958" s="47"/>
      <c r="Q1958" s="45" t="s">
        <v>142</v>
      </c>
      <c r="R1958" s="45" t="s">
        <v>5596</v>
      </c>
      <c r="S1958" s="48"/>
    </row>
    <row r="1959" spans="1:19" s="49" customFormat="1" ht="14.15" customHeight="1">
      <c r="A1959" s="45" t="s">
        <v>3778</v>
      </c>
      <c r="B1959" s="44" t="s">
        <v>157</v>
      </c>
      <c r="C1959" s="50"/>
      <c r="D1959" s="10" t="s">
        <v>29</v>
      </c>
      <c r="E1959" s="11"/>
      <c r="F1959" s="11" t="s">
        <v>18</v>
      </c>
      <c r="G1959" s="13"/>
      <c r="H1959" s="45" t="s">
        <v>16</v>
      </c>
      <c r="I1959" s="47"/>
      <c r="J1959" s="12" t="s">
        <v>5364</v>
      </c>
      <c r="K1959" s="13" t="s">
        <v>8759</v>
      </c>
      <c r="L1959" s="99" t="str">
        <f t="shared" si="101"/>
        <v>W2277.4</v>
      </c>
      <c r="M1959" s="45" t="s">
        <v>3668</v>
      </c>
      <c r="N1959" s="47"/>
      <c r="O1959" s="47"/>
      <c r="P1959" s="47"/>
      <c r="Q1959" s="45" t="s">
        <v>142</v>
      </c>
      <c r="R1959" s="45" t="s">
        <v>5596</v>
      </c>
      <c r="S1959" s="48"/>
    </row>
    <row r="1960" spans="1:19" s="49" customFormat="1" ht="14.15" customHeight="1">
      <c r="A1960" s="45" t="s">
        <v>3778</v>
      </c>
      <c r="B1960" s="44" t="s">
        <v>157</v>
      </c>
      <c r="C1960" s="50"/>
      <c r="D1960" s="10" t="s">
        <v>29</v>
      </c>
      <c r="E1960" s="11"/>
      <c r="F1960" s="11" t="s">
        <v>18</v>
      </c>
      <c r="G1960" s="13"/>
      <c r="H1960" s="45" t="s">
        <v>16</v>
      </c>
      <c r="I1960" s="47"/>
      <c r="J1960" s="12" t="s">
        <v>5365</v>
      </c>
      <c r="K1960" s="13" t="s">
        <v>8760</v>
      </c>
      <c r="L1960" s="99" t="str">
        <f t="shared" si="101"/>
        <v>W2277.5</v>
      </c>
      <c r="M1960" s="45" t="s">
        <v>3668</v>
      </c>
      <c r="N1960" s="47"/>
      <c r="O1960" s="47"/>
      <c r="P1960" s="47"/>
      <c r="Q1960" s="45" t="s">
        <v>142</v>
      </c>
      <c r="R1960" s="45" t="s">
        <v>5596</v>
      </c>
      <c r="S1960" s="48"/>
    </row>
    <row r="1961" spans="1:19" s="49" customFormat="1" ht="14.15" customHeight="1">
      <c r="A1961" s="45" t="s">
        <v>3778</v>
      </c>
      <c r="B1961" s="44" t="s">
        <v>157</v>
      </c>
      <c r="C1961" s="50"/>
      <c r="D1961" s="10" t="s">
        <v>29</v>
      </c>
      <c r="E1961" s="11"/>
      <c r="F1961" s="11" t="s">
        <v>18</v>
      </c>
      <c r="G1961" s="13"/>
      <c r="H1961" s="45" t="s">
        <v>16</v>
      </c>
      <c r="I1961" s="47"/>
      <c r="J1961" s="12" t="s">
        <v>5366</v>
      </c>
      <c r="K1961" s="13" t="s">
        <v>8761</v>
      </c>
      <c r="L1961" s="99" t="str">
        <f t="shared" si="101"/>
        <v>W2277.6</v>
      </c>
      <c r="M1961" s="45" t="s">
        <v>3668</v>
      </c>
      <c r="N1961" s="47"/>
      <c r="O1961" s="47"/>
      <c r="P1961" s="47"/>
      <c r="Q1961" s="45" t="s">
        <v>142</v>
      </c>
      <c r="R1961" s="45" t="s">
        <v>5596</v>
      </c>
      <c r="S1961" s="48"/>
    </row>
    <row r="1962" spans="1:19" s="49" customFormat="1" ht="14.15" customHeight="1">
      <c r="A1962" s="45" t="s">
        <v>3778</v>
      </c>
      <c r="B1962" s="44" t="s">
        <v>157</v>
      </c>
      <c r="C1962" s="50"/>
      <c r="D1962" s="10" t="s">
        <v>29</v>
      </c>
      <c r="E1962" s="11"/>
      <c r="F1962" s="11" t="s">
        <v>18</v>
      </c>
      <c r="G1962" s="13"/>
      <c r="H1962" s="45" t="s">
        <v>16</v>
      </c>
      <c r="I1962" s="47"/>
      <c r="J1962" s="12" t="s">
        <v>5367</v>
      </c>
      <c r="K1962" s="13" t="s">
        <v>8762</v>
      </c>
      <c r="L1962" s="99" t="str">
        <f t="shared" si="101"/>
        <v>W2277.7</v>
      </c>
      <c r="M1962" s="45" t="s">
        <v>3668</v>
      </c>
      <c r="N1962" s="47"/>
      <c r="O1962" s="47"/>
      <c r="P1962" s="47"/>
      <c r="Q1962" s="45" t="s">
        <v>142</v>
      </c>
      <c r="R1962" s="45" t="s">
        <v>5596</v>
      </c>
      <c r="S1962" s="48"/>
    </row>
    <row r="1963" spans="1:19" s="49" customFormat="1" ht="14.15" customHeight="1">
      <c r="A1963" s="45" t="s">
        <v>3778</v>
      </c>
      <c r="B1963" s="44" t="s">
        <v>157</v>
      </c>
      <c r="C1963" s="50"/>
      <c r="D1963" s="10" t="s">
        <v>29</v>
      </c>
      <c r="E1963" s="11"/>
      <c r="F1963" s="11" t="s">
        <v>18</v>
      </c>
      <c r="G1963" s="13"/>
      <c r="H1963" s="45" t="s">
        <v>16</v>
      </c>
      <c r="I1963" s="47"/>
      <c r="J1963" s="12" t="s">
        <v>5368</v>
      </c>
      <c r="K1963" s="13" t="s">
        <v>8763</v>
      </c>
      <c r="L1963" s="99" t="str">
        <f t="shared" si="101"/>
        <v>W2277.8</v>
      </c>
      <c r="M1963" s="45" t="s">
        <v>3668</v>
      </c>
      <c r="N1963" s="47"/>
      <c r="O1963" s="47"/>
      <c r="P1963" s="47"/>
      <c r="Q1963" s="45" t="s">
        <v>142</v>
      </c>
      <c r="R1963" s="45" t="s">
        <v>5596</v>
      </c>
      <c r="S1963" s="48"/>
    </row>
    <row r="1964" spans="1:19" s="49" customFormat="1" ht="14.15" customHeight="1">
      <c r="A1964" s="45" t="s">
        <v>3778</v>
      </c>
      <c r="B1964" s="44" t="s">
        <v>157</v>
      </c>
      <c r="C1964" s="50"/>
      <c r="D1964" s="10" t="s">
        <v>29</v>
      </c>
      <c r="E1964" s="11"/>
      <c r="F1964" s="11" t="s">
        <v>18</v>
      </c>
      <c r="G1964" s="13"/>
      <c r="H1964" s="45" t="s">
        <v>16</v>
      </c>
      <c r="I1964" s="47"/>
      <c r="J1964" s="12" t="s">
        <v>5369</v>
      </c>
      <c r="K1964" s="13" t="s">
        <v>8764</v>
      </c>
      <c r="L1964" s="99" t="str">
        <f t="shared" si="101"/>
        <v>W2277.9</v>
      </c>
      <c r="M1964" s="45" t="s">
        <v>3668</v>
      </c>
      <c r="N1964" s="47"/>
      <c r="O1964" s="47"/>
      <c r="P1964" s="47"/>
      <c r="Q1964" s="45" t="s">
        <v>142</v>
      </c>
      <c r="R1964" s="45" t="s">
        <v>5596</v>
      </c>
      <c r="S1964" s="48"/>
    </row>
    <row r="1965" spans="1:19" s="49" customFormat="1" ht="14.15" customHeight="1">
      <c r="A1965" s="45" t="s">
        <v>3778</v>
      </c>
      <c r="B1965" s="44" t="s">
        <v>157</v>
      </c>
      <c r="C1965" s="50"/>
      <c r="D1965" s="10" t="s">
        <v>29</v>
      </c>
      <c r="E1965" s="11"/>
      <c r="F1965" s="11" t="s">
        <v>18</v>
      </c>
      <c r="G1965" s="13"/>
      <c r="H1965" s="45" t="s">
        <v>16</v>
      </c>
      <c r="I1965" s="47"/>
      <c r="J1965" s="12" t="s">
        <v>5370</v>
      </c>
      <c r="K1965" s="13" t="s">
        <v>8765</v>
      </c>
      <c r="L1965" s="99" t="str">
        <f t="shared" si="101"/>
        <v>W2277.A</v>
      </c>
      <c r="M1965" s="45" t="s">
        <v>3668</v>
      </c>
      <c r="N1965" s="47"/>
      <c r="O1965" s="47"/>
      <c r="P1965" s="47"/>
      <c r="Q1965" s="45" t="s">
        <v>142</v>
      </c>
      <c r="R1965" s="45" t="s">
        <v>5596</v>
      </c>
      <c r="S1965" s="48"/>
    </row>
    <row r="1966" spans="1:19" s="49" customFormat="1" ht="14.15" customHeight="1">
      <c r="A1966" s="45" t="s">
        <v>3778</v>
      </c>
      <c r="B1966" s="44" t="s">
        <v>157</v>
      </c>
      <c r="C1966" s="50"/>
      <c r="D1966" s="10" t="s">
        <v>29</v>
      </c>
      <c r="E1966" s="11"/>
      <c r="F1966" s="11" t="s">
        <v>18</v>
      </c>
      <c r="G1966" s="13"/>
      <c r="H1966" s="45" t="s">
        <v>16</v>
      </c>
      <c r="I1966" s="47"/>
      <c r="J1966" s="12" t="s">
        <v>5371</v>
      </c>
      <c r="K1966" s="13" t="s">
        <v>8766</v>
      </c>
      <c r="L1966" s="99" t="str">
        <f t="shared" si="101"/>
        <v>W2277.B</v>
      </c>
      <c r="M1966" s="45" t="s">
        <v>3668</v>
      </c>
      <c r="N1966" s="47"/>
      <c r="O1966" s="47"/>
      <c r="P1966" s="47"/>
      <c r="Q1966" s="45" t="s">
        <v>142</v>
      </c>
      <c r="R1966" s="45" t="s">
        <v>5596</v>
      </c>
      <c r="S1966" s="48"/>
    </row>
    <row r="1967" spans="1:19" s="49" customFormat="1" ht="14.15" customHeight="1">
      <c r="A1967" s="45"/>
      <c r="B1967" s="44" t="s">
        <v>157</v>
      </c>
      <c r="C1967" s="50"/>
      <c r="D1967" s="10" t="s">
        <v>29</v>
      </c>
      <c r="E1967" s="11"/>
      <c r="F1967" s="11" t="s">
        <v>18</v>
      </c>
      <c r="G1967" s="13"/>
      <c r="H1967" s="45" t="s">
        <v>16</v>
      </c>
      <c r="I1967" s="47"/>
      <c r="J1967" s="12" t="s">
        <v>4705</v>
      </c>
      <c r="K1967" s="13" t="s">
        <v>8767</v>
      </c>
      <c r="L1967" s="99" t="str">
        <f t="shared" si="101"/>
        <v>W2277.C</v>
      </c>
      <c r="M1967" s="45"/>
      <c r="N1967" s="47"/>
      <c r="O1967" s="47"/>
      <c r="P1967" s="47"/>
      <c r="Q1967" s="45"/>
      <c r="R1967" s="45"/>
      <c r="S1967" s="48"/>
    </row>
    <row r="1968" spans="1:19" s="49" customFormat="1" ht="14.15" customHeight="1">
      <c r="A1968" s="45"/>
      <c r="B1968" s="44" t="s">
        <v>157</v>
      </c>
      <c r="C1968" s="50"/>
      <c r="D1968" s="10" t="s">
        <v>29</v>
      </c>
      <c r="E1968" s="11"/>
      <c r="F1968" s="11" t="s">
        <v>18</v>
      </c>
      <c r="G1968" s="13"/>
      <c r="H1968" s="45" t="s">
        <v>16</v>
      </c>
      <c r="I1968" s="47"/>
      <c r="J1968" s="12" t="s">
        <v>4706</v>
      </c>
      <c r="K1968" s="13" t="s">
        <v>8768</v>
      </c>
      <c r="L1968" s="99" t="str">
        <f t="shared" si="101"/>
        <v>W2277.D</v>
      </c>
      <c r="M1968" s="45"/>
      <c r="N1968" s="47"/>
      <c r="O1968" s="47"/>
      <c r="P1968" s="47"/>
      <c r="Q1968" s="45"/>
      <c r="R1968" s="45"/>
      <c r="S1968" s="48"/>
    </row>
    <row r="1969" spans="1:19" s="49" customFormat="1" ht="14.15" customHeight="1">
      <c r="A1969" s="45"/>
      <c r="B1969" s="44" t="s">
        <v>157</v>
      </c>
      <c r="C1969" s="50"/>
      <c r="D1969" s="10" t="s">
        <v>29</v>
      </c>
      <c r="E1969" s="11"/>
      <c r="F1969" s="11" t="s">
        <v>18</v>
      </c>
      <c r="G1969" s="13"/>
      <c r="H1969" s="45" t="s">
        <v>16</v>
      </c>
      <c r="I1969" s="47"/>
      <c r="J1969" s="12" t="s">
        <v>4707</v>
      </c>
      <c r="K1969" s="13" t="s">
        <v>8769</v>
      </c>
      <c r="L1969" s="99" t="str">
        <f t="shared" si="101"/>
        <v>W2277.E</v>
      </c>
      <c r="M1969" s="45"/>
      <c r="N1969" s="47"/>
      <c r="O1969" s="47"/>
      <c r="P1969" s="47"/>
      <c r="Q1969" s="45"/>
      <c r="R1969" s="45"/>
      <c r="S1969" s="48"/>
    </row>
    <row r="1970" spans="1:19" s="49" customFormat="1" ht="14.15" customHeight="1">
      <c r="A1970" s="45"/>
      <c r="B1970" s="44" t="s">
        <v>157</v>
      </c>
      <c r="C1970" s="50"/>
      <c r="D1970" s="10" t="s">
        <v>29</v>
      </c>
      <c r="E1970" s="11"/>
      <c r="F1970" s="11" t="s">
        <v>18</v>
      </c>
      <c r="G1970" s="13"/>
      <c r="H1970" s="45" t="s">
        <v>16</v>
      </c>
      <c r="I1970" s="47"/>
      <c r="J1970" s="12" t="s">
        <v>4708</v>
      </c>
      <c r="K1970" s="13" t="s">
        <v>8770</v>
      </c>
      <c r="L1970" s="99" t="str">
        <f t="shared" si="101"/>
        <v>W2277.F</v>
      </c>
      <c r="M1970" s="45"/>
      <c r="N1970" s="47"/>
      <c r="O1970" s="47"/>
      <c r="P1970" s="47"/>
      <c r="Q1970" s="45"/>
      <c r="R1970" s="45"/>
      <c r="S1970" s="48"/>
    </row>
    <row r="1971" spans="1:19" s="49" customFormat="1" ht="14.15" customHeight="1">
      <c r="A1971" s="45"/>
      <c r="B1971" s="44" t="s">
        <v>157</v>
      </c>
      <c r="C1971" s="50"/>
      <c r="D1971" s="10" t="s">
        <v>29</v>
      </c>
      <c r="E1971" s="11"/>
      <c r="F1971" s="11" t="s">
        <v>18</v>
      </c>
      <c r="G1971" s="13"/>
      <c r="H1971" s="45" t="s">
        <v>16</v>
      </c>
      <c r="I1971" s="47"/>
      <c r="J1971" s="12" t="s">
        <v>4709</v>
      </c>
      <c r="K1971" s="13" t="s">
        <v>8771</v>
      </c>
      <c r="L1971" s="99" t="str">
        <f t="shared" si="101"/>
        <v>W2278.0</v>
      </c>
      <c r="M1971" s="45"/>
      <c r="N1971" s="47"/>
      <c r="O1971" s="47"/>
      <c r="P1971" s="47"/>
      <c r="Q1971" s="45"/>
      <c r="R1971" s="45"/>
      <c r="S1971" s="48"/>
    </row>
    <row r="1972" spans="1:19" s="49" customFormat="1" ht="14.15" customHeight="1">
      <c r="A1972" s="45"/>
      <c r="B1972" s="44" t="s">
        <v>157</v>
      </c>
      <c r="C1972" s="50"/>
      <c r="D1972" s="10" t="s">
        <v>29</v>
      </c>
      <c r="E1972" s="11"/>
      <c r="F1972" s="11" t="s">
        <v>18</v>
      </c>
      <c r="G1972" s="13"/>
      <c r="H1972" s="45" t="s">
        <v>16</v>
      </c>
      <c r="I1972" s="47"/>
      <c r="J1972" s="12" t="s">
        <v>4710</v>
      </c>
      <c r="K1972" s="13" t="s">
        <v>8772</v>
      </c>
      <c r="L1972" s="99" t="str">
        <f t="shared" ref="L1972:L2035" si="102">"W"&amp;DEC2HEX(8704 + INT((ROW()-51)/16)) &amp; "." &amp; IF(MOD(ROW()-51,16)&lt;10,MOD(ROW()-51,16),CHAR(MOD(ROW()-51,16)+55))</f>
        <v>W2278.1</v>
      </c>
      <c r="M1972" s="45"/>
      <c r="N1972" s="47"/>
      <c r="O1972" s="47"/>
      <c r="P1972" s="47"/>
      <c r="Q1972" s="45"/>
      <c r="R1972" s="45"/>
      <c r="S1972" s="48"/>
    </row>
    <row r="1973" spans="1:19" s="49" customFormat="1" ht="14.15" customHeight="1">
      <c r="A1973" s="45"/>
      <c r="B1973" s="44" t="s">
        <v>157</v>
      </c>
      <c r="C1973" s="50"/>
      <c r="D1973" s="10" t="s">
        <v>29</v>
      </c>
      <c r="E1973" s="11"/>
      <c r="F1973" s="11" t="s">
        <v>18</v>
      </c>
      <c r="G1973" s="13"/>
      <c r="H1973" s="45" t="s">
        <v>16</v>
      </c>
      <c r="I1973" s="47"/>
      <c r="J1973" s="12" t="s">
        <v>4711</v>
      </c>
      <c r="K1973" s="13" t="s">
        <v>8773</v>
      </c>
      <c r="L1973" s="99" t="str">
        <f t="shared" si="102"/>
        <v>W2278.2</v>
      </c>
      <c r="M1973" s="45"/>
      <c r="N1973" s="47"/>
      <c r="O1973" s="47"/>
      <c r="P1973" s="47"/>
      <c r="Q1973" s="45"/>
      <c r="R1973" s="45"/>
      <c r="S1973" s="48"/>
    </row>
    <row r="1974" spans="1:19" s="49" customFormat="1" ht="14.15" customHeight="1">
      <c r="A1974" s="45"/>
      <c r="B1974" s="44" t="s">
        <v>157</v>
      </c>
      <c r="C1974" s="50"/>
      <c r="D1974" s="10" t="s">
        <v>29</v>
      </c>
      <c r="E1974" s="11"/>
      <c r="F1974" s="11" t="s">
        <v>18</v>
      </c>
      <c r="G1974" s="13"/>
      <c r="H1974" s="45" t="s">
        <v>16</v>
      </c>
      <c r="I1974" s="47"/>
      <c r="J1974" s="12" t="s">
        <v>4712</v>
      </c>
      <c r="K1974" s="13" t="s">
        <v>8774</v>
      </c>
      <c r="L1974" s="99" t="str">
        <f t="shared" si="102"/>
        <v>W2278.3</v>
      </c>
      <c r="M1974" s="45"/>
      <c r="N1974" s="47"/>
      <c r="O1974" s="47"/>
      <c r="P1974" s="47"/>
      <c r="Q1974" s="45"/>
      <c r="R1974" s="45"/>
      <c r="S1974" s="48"/>
    </row>
    <row r="1975" spans="1:19" s="49" customFormat="1" ht="14.15" customHeight="1">
      <c r="A1975" s="45"/>
      <c r="B1975" s="44" t="s">
        <v>157</v>
      </c>
      <c r="C1975" s="50"/>
      <c r="D1975" s="10" t="s">
        <v>29</v>
      </c>
      <c r="E1975" s="11"/>
      <c r="F1975" s="11" t="s">
        <v>18</v>
      </c>
      <c r="G1975" s="13"/>
      <c r="H1975" s="45" t="s">
        <v>16</v>
      </c>
      <c r="I1975" s="47"/>
      <c r="J1975" s="12" t="s">
        <v>4713</v>
      </c>
      <c r="K1975" s="13" t="s">
        <v>8775</v>
      </c>
      <c r="L1975" s="99" t="str">
        <f t="shared" si="102"/>
        <v>W2278.4</v>
      </c>
      <c r="M1975" s="45"/>
      <c r="N1975" s="47"/>
      <c r="O1975" s="47"/>
      <c r="P1975" s="47"/>
      <c r="Q1975" s="45"/>
      <c r="R1975" s="45"/>
      <c r="S1975" s="48"/>
    </row>
    <row r="1976" spans="1:19" s="49" customFormat="1" ht="14.15" customHeight="1">
      <c r="A1976" s="45"/>
      <c r="B1976" s="44" t="s">
        <v>157</v>
      </c>
      <c r="C1976" s="50"/>
      <c r="D1976" s="10" t="s">
        <v>29</v>
      </c>
      <c r="E1976" s="11"/>
      <c r="F1976" s="11" t="s">
        <v>18</v>
      </c>
      <c r="G1976" s="13"/>
      <c r="H1976" s="45" t="s">
        <v>16</v>
      </c>
      <c r="I1976" s="47"/>
      <c r="J1976" s="12" t="s">
        <v>4714</v>
      </c>
      <c r="K1976" s="13" t="s">
        <v>8776</v>
      </c>
      <c r="L1976" s="99" t="str">
        <f t="shared" si="102"/>
        <v>W2278.5</v>
      </c>
      <c r="M1976" s="45"/>
      <c r="N1976" s="47"/>
      <c r="O1976" s="47"/>
      <c r="P1976" s="47"/>
      <c r="Q1976" s="45"/>
      <c r="R1976" s="45"/>
      <c r="S1976" s="48"/>
    </row>
    <row r="1977" spans="1:19" s="49" customFormat="1" ht="14.15" customHeight="1">
      <c r="A1977" s="45"/>
      <c r="B1977" s="44" t="s">
        <v>157</v>
      </c>
      <c r="C1977" s="50"/>
      <c r="D1977" s="10" t="s">
        <v>29</v>
      </c>
      <c r="E1977" s="11"/>
      <c r="F1977" s="11" t="s">
        <v>18</v>
      </c>
      <c r="G1977" s="13"/>
      <c r="H1977" s="45" t="s">
        <v>16</v>
      </c>
      <c r="I1977" s="47"/>
      <c r="J1977" s="12" t="s">
        <v>4715</v>
      </c>
      <c r="K1977" s="13" t="s">
        <v>8777</v>
      </c>
      <c r="L1977" s="99" t="str">
        <f t="shared" si="102"/>
        <v>W2278.6</v>
      </c>
      <c r="M1977" s="45"/>
      <c r="N1977" s="47"/>
      <c r="O1977" s="47"/>
      <c r="P1977" s="47"/>
      <c r="Q1977" s="45"/>
      <c r="R1977" s="45"/>
      <c r="S1977" s="48"/>
    </row>
    <row r="1978" spans="1:19" s="49" customFormat="1" ht="14.15" customHeight="1">
      <c r="A1978" s="45"/>
      <c r="B1978" s="44" t="s">
        <v>157</v>
      </c>
      <c r="C1978" s="50"/>
      <c r="D1978" s="10" t="s">
        <v>29</v>
      </c>
      <c r="E1978" s="11"/>
      <c r="F1978" s="11" t="s">
        <v>18</v>
      </c>
      <c r="G1978" s="13"/>
      <c r="H1978" s="45" t="s">
        <v>16</v>
      </c>
      <c r="I1978" s="47"/>
      <c r="J1978" s="12" t="s">
        <v>4716</v>
      </c>
      <c r="K1978" s="13" t="s">
        <v>8778</v>
      </c>
      <c r="L1978" s="99" t="str">
        <f t="shared" si="102"/>
        <v>W2278.7</v>
      </c>
      <c r="M1978" s="45"/>
      <c r="N1978" s="47"/>
      <c r="O1978" s="47"/>
      <c r="P1978" s="47"/>
      <c r="Q1978" s="45"/>
      <c r="R1978" s="45"/>
      <c r="S1978" s="48"/>
    </row>
    <row r="1979" spans="1:19" s="49" customFormat="1" ht="14.15" customHeight="1">
      <c r="A1979" s="45"/>
      <c r="B1979" s="44" t="s">
        <v>157</v>
      </c>
      <c r="C1979" s="50"/>
      <c r="D1979" s="10" t="s">
        <v>29</v>
      </c>
      <c r="E1979" s="11"/>
      <c r="F1979" s="11" t="s">
        <v>18</v>
      </c>
      <c r="G1979" s="13"/>
      <c r="H1979" s="45" t="s">
        <v>16</v>
      </c>
      <c r="I1979" s="47"/>
      <c r="J1979" s="12" t="s">
        <v>4717</v>
      </c>
      <c r="K1979" s="13" t="s">
        <v>8779</v>
      </c>
      <c r="L1979" s="99" t="str">
        <f t="shared" si="102"/>
        <v>W2278.8</v>
      </c>
      <c r="M1979" s="45"/>
      <c r="N1979" s="47"/>
      <c r="O1979" s="47"/>
      <c r="P1979" s="47"/>
      <c r="Q1979" s="45"/>
      <c r="R1979" s="45"/>
      <c r="S1979" s="48"/>
    </row>
    <row r="1980" spans="1:19" s="49" customFormat="1" ht="14.15" customHeight="1">
      <c r="A1980" s="45"/>
      <c r="B1980" s="44" t="s">
        <v>157</v>
      </c>
      <c r="C1980" s="50"/>
      <c r="D1980" s="10" t="s">
        <v>29</v>
      </c>
      <c r="E1980" s="11"/>
      <c r="F1980" s="11" t="s">
        <v>18</v>
      </c>
      <c r="G1980" s="13"/>
      <c r="H1980" s="45" t="s">
        <v>16</v>
      </c>
      <c r="I1980" s="47"/>
      <c r="J1980" s="12" t="s">
        <v>4718</v>
      </c>
      <c r="K1980" s="13" t="s">
        <v>8780</v>
      </c>
      <c r="L1980" s="99" t="str">
        <f t="shared" si="102"/>
        <v>W2278.9</v>
      </c>
      <c r="M1980" s="45"/>
      <c r="N1980" s="47"/>
      <c r="O1980" s="47"/>
      <c r="P1980" s="47"/>
      <c r="Q1980" s="45"/>
      <c r="R1980" s="45"/>
      <c r="S1980" s="48"/>
    </row>
    <row r="1981" spans="1:19" s="49" customFormat="1" ht="14.15" customHeight="1">
      <c r="A1981" s="45"/>
      <c r="B1981" s="44" t="s">
        <v>157</v>
      </c>
      <c r="C1981" s="50"/>
      <c r="D1981" s="10" t="s">
        <v>29</v>
      </c>
      <c r="E1981" s="11"/>
      <c r="F1981" s="11" t="s">
        <v>18</v>
      </c>
      <c r="G1981" s="13"/>
      <c r="H1981" s="45" t="s">
        <v>16</v>
      </c>
      <c r="I1981" s="47"/>
      <c r="J1981" s="12" t="s">
        <v>4719</v>
      </c>
      <c r="K1981" s="13" t="s">
        <v>8781</v>
      </c>
      <c r="L1981" s="99" t="str">
        <f t="shared" si="102"/>
        <v>W2278.A</v>
      </c>
      <c r="M1981" s="45"/>
      <c r="N1981" s="47"/>
      <c r="O1981" s="47"/>
      <c r="P1981" s="47"/>
      <c r="Q1981" s="45"/>
      <c r="R1981" s="45"/>
      <c r="S1981" s="48"/>
    </row>
    <row r="1982" spans="1:19" s="49" customFormat="1" ht="14.15" customHeight="1">
      <c r="A1982" s="45"/>
      <c r="B1982" s="44" t="s">
        <v>157</v>
      </c>
      <c r="C1982" s="50"/>
      <c r="D1982" s="10" t="s">
        <v>29</v>
      </c>
      <c r="E1982" s="11"/>
      <c r="F1982" s="11" t="s">
        <v>18</v>
      </c>
      <c r="G1982" s="13"/>
      <c r="H1982" s="45" t="s">
        <v>16</v>
      </c>
      <c r="I1982" s="47"/>
      <c r="J1982" s="12" t="s">
        <v>4720</v>
      </c>
      <c r="K1982" s="13" t="s">
        <v>8782</v>
      </c>
      <c r="L1982" s="99" t="str">
        <f t="shared" si="102"/>
        <v>W2278.B</v>
      </c>
      <c r="M1982" s="45"/>
      <c r="N1982" s="47"/>
      <c r="O1982" s="47"/>
      <c r="P1982" s="47"/>
      <c r="Q1982" s="45"/>
      <c r="R1982" s="45"/>
      <c r="S1982" s="48"/>
    </row>
    <row r="1983" spans="1:19" s="49" customFormat="1" ht="14.15" customHeight="1">
      <c r="A1983" s="45"/>
      <c r="B1983" s="44" t="s">
        <v>157</v>
      </c>
      <c r="C1983" s="50"/>
      <c r="D1983" s="10" t="s">
        <v>29</v>
      </c>
      <c r="E1983" s="11"/>
      <c r="F1983" s="11" t="s">
        <v>18</v>
      </c>
      <c r="G1983" s="13"/>
      <c r="H1983" s="45" t="s">
        <v>16</v>
      </c>
      <c r="I1983" s="47"/>
      <c r="J1983" s="12" t="s">
        <v>4721</v>
      </c>
      <c r="K1983" s="13" t="s">
        <v>8783</v>
      </c>
      <c r="L1983" s="99" t="str">
        <f t="shared" si="102"/>
        <v>W2278.C</v>
      </c>
      <c r="M1983" s="45"/>
      <c r="N1983" s="47"/>
      <c r="O1983" s="47"/>
      <c r="P1983" s="47"/>
      <c r="Q1983" s="45"/>
      <c r="R1983" s="45"/>
      <c r="S1983" s="48"/>
    </row>
    <row r="1984" spans="1:19" s="49" customFormat="1" ht="14.15" customHeight="1">
      <c r="A1984" s="45"/>
      <c r="B1984" s="44" t="s">
        <v>157</v>
      </c>
      <c r="C1984" s="50"/>
      <c r="D1984" s="10" t="s">
        <v>29</v>
      </c>
      <c r="E1984" s="11"/>
      <c r="F1984" s="11" t="s">
        <v>18</v>
      </c>
      <c r="G1984" s="13"/>
      <c r="H1984" s="45" t="s">
        <v>16</v>
      </c>
      <c r="I1984" s="47"/>
      <c r="J1984" s="12" t="s">
        <v>4722</v>
      </c>
      <c r="K1984" s="13" t="s">
        <v>8784</v>
      </c>
      <c r="L1984" s="99" t="str">
        <f t="shared" si="102"/>
        <v>W2278.D</v>
      </c>
      <c r="M1984" s="45"/>
      <c r="N1984" s="47"/>
      <c r="O1984" s="47"/>
      <c r="P1984" s="47"/>
      <c r="Q1984" s="45"/>
      <c r="R1984" s="45"/>
      <c r="S1984" s="48"/>
    </row>
    <row r="1985" spans="1:19" s="49" customFormat="1" ht="14.15" customHeight="1">
      <c r="A1985" s="45"/>
      <c r="B1985" s="44" t="s">
        <v>157</v>
      </c>
      <c r="C1985" s="50"/>
      <c r="D1985" s="10" t="s">
        <v>29</v>
      </c>
      <c r="E1985" s="11"/>
      <c r="F1985" s="11" t="s">
        <v>18</v>
      </c>
      <c r="G1985" s="13"/>
      <c r="H1985" s="45" t="s">
        <v>16</v>
      </c>
      <c r="I1985" s="47"/>
      <c r="J1985" s="12" t="s">
        <v>4723</v>
      </c>
      <c r="K1985" s="13" t="s">
        <v>8785</v>
      </c>
      <c r="L1985" s="99" t="str">
        <f t="shared" si="102"/>
        <v>W2278.E</v>
      </c>
      <c r="M1985" s="45"/>
      <c r="N1985" s="47"/>
      <c r="O1985" s="47"/>
      <c r="P1985" s="47"/>
      <c r="Q1985" s="45"/>
      <c r="R1985" s="45"/>
      <c r="S1985" s="48"/>
    </row>
    <row r="1986" spans="1:19" s="49" customFormat="1" ht="14.15" customHeight="1">
      <c r="A1986" s="45"/>
      <c r="B1986" s="44" t="s">
        <v>157</v>
      </c>
      <c r="C1986" s="50"/>
      <c r="D1986" s="10" t="s">
        <v>29</v>
      </c>
      <c r="E1986" s="11"/>
      <c r="F1986" s="11" t="s">
        <v>18</v>
      </c>
      <c r="G1986" s="13"/>
      <c r="H1986" s="45" t="s">
        <v>16</v>
      </c>
      <c r="I1986" s="47"/>
      <c r="J1986" s="12" t="s">
        <v>3427</v>
      </c>
      <c r="K1986" s="13" t="s">
        <v>8786</v>
      </c>
      <c r="L1986" s="99" t="str">
        <f t="shared" si="102"/>
        <v>W2278.F</v>
      </c>
      <c r="M1986" s="45"/>
      <c r="N1986" s="47"/>
      <c r="O1986" s="47"/>
      <c r="P1986" s="47"/>
      <c r="Q1986" s="45"/>
      <c r="R1986" s="45"/>
      <c r="S1986" s="48"/>
    </row>
    <row r="1987" spans="1:19" s="49" customFormat="1" ht="14.15" customHeight="1">
      <c r="A1987" s="45"/>
      <c r="B1987" s="44" t="s">
        <v>157</v>
      </c>
      <c r="C1987" s="50"/>
      <c r="D1987" s="10" t="s">
        <v>29</v>
      </c>
      <c r="E1987" s="11"/>
      <c r="F1987" s="11" t="s">
        <v>18</v>
      </c>
      <c r="G1987" s="13"/>
      <c r="H1987" s="45" t="s">
        <v>16</v>
      </c>
      <c r="I1987" s="47"/>
      <c r="J1987" s="12" t="s">
        <v>3428</v>
      </c>
      <c r="K1987" s="13" t="s">
        <v>8787</v>
      </c>
      <c r="L1987" s="99" t="str">
        <f t="shared" si="102"/>
        <v>W2279.0</v>
      </c>
      <c r="M1987" s="45"/>
      <c r="N1987" s="47"/>
      <c r="O1987" s="47"/>
      <c r="P1987" s="47"/>
      <c r="Q1987" s="45"/>
      <c r="R1987" s="45"/>
      <c r="S1987" s="48"/>
    </row>
    <row r="1988" spans="1:19" s="49" customFormat="1" ht="14.15" customHeight="1">
      <c r="A1988" s="45"/>
      <c r="B1988" s="44" t="s">
        <v>157</v>
      </c>
      <c r="C1988" s="50"/>
      <c r="D1988" s="10" t="s">
        <v>29</v>
      </c>
      <c r="E1988" s="11"/>
      <c r="F1988" s="11" t="s">
        <v>18</v>
      </c>
      <c r="G1988" s="13"/>
      <c r="H1988" s="45" t="s">
        <v>16</v>
      </c>
      <c r="I1988" s="47"/>
      <c r="J1988" s="12" t="s">
        <v>3429</v>
      </c>
      <c r="K1988" s="13" t="s">
        <v>8788</v>
      </c>
      <c r="L1988" s="99" t="str">
        <f t="shared" si="102"/>
        <v>W2279.1</v>
      </c>
      <c r="M1988" s="45"/>
      <c r="N1988" s="47"/>
      <c r="O1988" s="47"/>
      <c r="P1988" s="47"/>
      <c r="Q1988" s="45"/>
      <c r="R1988" s="45"/>
      <c r="S1988" s="48"/>
    </row>
    <row r="1989" spans="1:19" s="49" customFormat="1" ht="14.15" customHeight="1">
      <c r="A1989" s="45"/>
      <c r="B1989" s="44" t="s">
        <v>157</v>
      </c>
      <c r="C1989" s="50"/>
      <c r="D1989" s="10" t="s">
        <v>29</v>
      </c>
      <c r="E1989" s="11"/>
      <c r="F1989" s="11" t="s">
        <v>18</v>
      </c>
      <c r="G1989" s="13"/>
      <c r="H1989" s="45" t="s">
        <v>16</v>
      </c>
      <c r="I1989" s="47"/>
      <c r="J1989" s="12" t="s">
        <v>3430</v>
      </c>
      <c r="K1989" s="13" t="s">
        <v>8789</v>
      </c>
      <c r="L1989" s="99" t="str">
        <f t="shared" si="102"/>
        <v>W2279.2</v>
      </c>
      <c r="M1989" s="45"/>
      <c r="N1989" s="47"/>
      <c r="O1989" s="47"/>
      <c r="P1989" s="47"/>
      <c r="Q1989" s="45"/>
      <c r="R1989" s="45"/>
      <c r="S1989" s="48"/>
    </row>
    <row r="1990" spans="1:19" s="49" customFormat="1" ht="14.15" customHeight="1">
      <c r="A1990" s="45"/>
      <c r="B1990" s="44" t="s">
        <v>157</v>
      </c>
      <c r="C1990" s="50"/>
      <c r="D1990" s="10" t="s">
        <v>29</v>
      </c>
      <c r="E1990" s="11"/>
      <c r="F1990" s="11" t="s">
        <v>18</v>
      </c>
      <c r="G1990" s="13"/>
      <c r="H1990" s="45" t="s">
        <v>16</v>
      </c>
      <c r="I1990" s="47"/>
      <c r="J1990" s="12" t="s">
        <v>3431</v>
      </c>
      <c r="K1990" s="13" t="s">
        <v>8790</v>
      </c>
      <c r="L1990" s="99" t="str">
        <f t="shared" si="102"/>
        <v>W2279.3</v>
      </c>
      <c r="M1990" s="45"/>
      <c r="N1990" s="47"/>
      <c r="O1990" s="47"/>
      <c r="P1990" s="47"/>
      <c r="Q1990" s="45"/>
      <c r="R1990" s="45"/>
      <c r="S1990" s="48"/>
    </row>
    <row r="1991" spans="1:19" s="49" customFormat="1" ht="14.15" customHeight="1">
      <c r="A1991" s="45"/>
      <c r="B1991" s="44" t="s">
        <v>157</v>
      </c>
      <c r="C1991" s="50"/>
      <c r="D1991" s="10" t="s">
        <v>29</v>
      </c>
      <c r="E1991" s="11"/>
      <c r="F1991" s="11" t="s">
        <v>18</v>
      </c>
      <c r="G1991" s="13"/>
      <c r="H1991" s="45" t="s">
        <v>16</v>
      </c>
      <c r="I1991" s="47"/>
      <c r="J1991" s="12" t="s">
        <v>3432</v>
      </c>
      <c r="K1991" s="13" t="s">
        <v>8791</v>
      </c>
      <c r="L1991" s="99" t="str">
        <f t="shared" si="102"/>
        <v>W2279.4</v>
      </c>
      <c r="M1991" s="45"/>
      <c r="N1991" s="47"/>
      <c r="O1991" s="47"/>
      <c r="P1991" s="47"/>
      <c r="Q1991" s="45"/>
      <c r="R1991" s="45"/>
      <c r="S1991" s="48"/>
    </row>
    <row r="1992" spans="1:19" s="49" customFormat="1" ht="14.15" customHeight="1">
      <c r="A1992" s="45"/>
      <c r="B1992" s="44" t="s">
        <v>157</v>
      </c>
      <c r="C1992" s="50"/>
      <c r="D1992" s="10" t="s">
        <v>29</v>
      </c>
      <c r="E1992" s="11"/>
      <c r="F1992" s="11" t="s">
        <v>18</v>
      </c>
      <c r="G1992" s="13"/>
      <c r="H1992" s="45" t="s">
        <v>16</v>
      </c>
      <c r="I1992" s="47"/>
      <c r="J1992" s="12" t="s">
        <v>3433</v>
      </c>
      <c r="K1992" s="13" t="s">
        <v>8792</v>
      </c>
      <c r="L1992" s="99" t="str">
        <f t="shared" si="102"/>
        <v>W2279.5</v>
      </c>
      <c r="M1992" s="45"/>
      <c r="N1992" s="47"/>
      <c r="O1992" s="47"/>
      <c r="P1992" s="47"/>
      <c r="Q1992" s="45"/>
      <c r="R1992" s="45"/>
      <c r="S1992" s="48"/>
    </row>
    <row r="1993" spans="1:19" s="49" customFormat="1" ht="14.15" customHeight="1">
      <c r="A1993" s="45"/>
      <c r="B1993" s="44" t="s">
        <v>157</v>
      </c>
      <c r="C1993" s="50"/>
      <c r="D1993" s="10" t="s">
        <v>29</v>
      </c>
      <c r="E1993" s="11"/>
      <c r="F1993" s="11" t="s">
        <v>18</v>
      </c>
      <c r="G1993" s="13"/>
      <c r="H1993" s="45" t="s">
        <v>16</v>
      </c>
      <c r="I1993" s="47"/>
      <c r="J1993" s="12" t="s">
        <v>3434</v>
      </c>
      <c r="K1993" s="13" t="s">
        <v>8793</v>
      </c>
      <c r="L1993" s="99" t="str">
        <f t="shared" si="102"/>
        <v>W2279.6</v>
      </c>
      <c r="M1993" s="45"/>
      <c r="N1993" s="47"/>
      <c r="O1993" s="47"/>
      <c r="P1993" s="47"/>
      <c r="Q1993" s="45"/>
      <c r="R1993" s="45"/>
      <c r="S1993" s="48"/>
    </row>
    <row r="1994" spans="1:19" s="49" customFormat="1" ht="14.15" customHeight="1">
      <c r="A1994" s="45"/>
      <c r="B1994" s="44" t="s">
        <v>157</v>
      </c>
      <c r="C1994" s="50"/>
      <c r="D1994" s="10" t="s">
        <v>29</v>
      </c>
      <c r="E1994" s="11"/>
      <c r="F1994" s="11" t="s">
        <v>18</v>
      </c>
      <c r="G1994" s="13"/>
      <c r="H1994" s="45" t="s">
        <v>16</v>
      </c>
      <c r="I1994" s="47"/>
      <c r="J1994" s="12" t="s">
        <v>3435</v>
      </c>
      <c r="K1994" s="13" t="s">
        <v>8794</v>
      </c>
      <c r="L1994" s="99" t="str">
        <f t="shared" si="102"/>
        <v>W2279.7</v>
      </c>
      <c r="M1994" s="45"/>
      <c r="N1994" s="47"/>
      <c r="O1994" s="47"/>
      <c r="P1994" s="47"/>
      <c r="Q1994" s="45"/>
      <c r="R1994" s="45"/>
      <c r="S1994" s="48"/>
    </row>
    <row r="1995" spans="1:19" s="49" customFormat="1" ht="14.15" customHeight="1">
      <c r="A1995" s="45"/>
      <c r="B1995" s="44" t="s">
        <v>157</v>
      </c>
      <c r="C1995" s="50"/>
      <c r="D1995" s="10" t="s">
        <v>29</v>
      </c>
      <c r="E1995" s="11"/>
      <c r="F1995" s="11" t="s">
        <v>18</v>
      </c>
      <c r="G1995" s="13"/>
      <c r="H1995" s="45" t="s">
        <v>16</v>
      </c>
      <c r="I1995" s="47"/>
      <c r="J1995" s="12" t="s">
        <v>3436</v>
      </c>
      <c r="K1995" s="13" t="s">
        <v>8795</v>
      </c>
      <c r="L1995" s="99" t="str">
        <f t="shared" si="102"/>
        <v>W2279.8</v>
      </c>
      <c r="M1995" s="45"/>
      <c r="N1995" s="47"/>
      <c r="O1995" s="47"/>
      <c r="P1995" s="47"/>
      <c r="Q1995" s="45"/>
      <c r="R1995" s="45"/>
      <c r="S1995" s="48"/>
    </row>
    <row r="1996" spans="1:19" s="49" customFormat="1" ht="14.15" customHeight="1">
      <c r="A1996" s="45"/>
      <c r="B1996" s="44" t="s">
        <v>157</v>
      </c>
      <c r="C1996" s="50"/>
      <c r="D1996" s="10" t="s">
        <v>29</v>
      </c>
      <c r="E1996" s="11"/>
      <c r="F1996" s="11" t="s">
        <v>18</v>
      </c>
      <c r="G1996" s="13"/>
      <c r="H1996" s="45" t="s">
        <v>16</v>
      </c>
      <c r="I1996" s="47"/>
      <c r="J1996" s="12" t="s">
        <v>3437</v>
      </c>
      <c r="K1996" s="13" t="s">
        <v>8796</v>
      </c>
      <c r="L1996" s="99" t="str">
        <f t="shared" si="102"/>
        <v>W2279.9</v>
      </c>
      <c r="M1996" s="45"/>
      <c r="N1996" s="47"/>
      <c r="O1996" s="47"/>
      <c r="P1996" s="47"/>
      <c r="Q1996" s="45"/>
      <c r="R1996" s="45"/>
      <c r="S1996" s="48"/>
    </row>
    <row r="1997" spans="1:19" s="49" customFormat="1" ht="14.15" customHeight="1">
      <c r="A1997" s="45"/>
      <c r="B1997" s="44" t="s">
        <v>157</v>
      </c>
      <c r="C1997" s="50"/>
      <c r="D1997" s="10" t="s">
        <v>29</v>
      </c>
      <c r="E1997" s="11"/>
      <c r="F1997" s="11" t="s">
        <v>18</v>
      </c>
      <c r="G1997" s="13"/>
      <c r="H1997" s="45" t="s">
        <v>16</v>
      </c>
      <c r="I1997" s="47"/>
      <c r="J1997" s="12" t="s">
        <v>3438</v>
      </c>
      <c r="K1997" s="13" t="s">
        <v>8797</v>
      </c>
      <c r="L1997" s="99" t="str">
        <f t="shared" si="102"/>
        <v>W2279.A</v>
      </c>
      <c r="M1997" s="45"/>
      <c r="N1997" s="47"/>
      <c r="O1997" s="47"/>
      <c r="P1997" s="47"/>
      <c r="Q1997" s="45"/>
      <c r="R1997" s="45"/>
      <c r="S1997" s="48"/>
    </row>
    <row r="1998" spans="1:19" s="49" customFormat="1" ht="14.15" customHeight="1">
      <c r="A1998" s="45"/>
      <c r="B1998" s="44" t="s">
        <v>157</v>
      </c>
      <c r="C1998" s="50"/>
      <c r="D1998" s="10" t="s">
        <v>29</v>
      </c>
      <c r="E1998" s="11"/>
      <c r="F1998" s="11" t="s">
        <v>18</v>
      </c>
      <c r="G1998" s="13"/>
      <c r="H1998" s="45" t="s">
        <v>16</v>
      </c>
      <c r="I1998" s="47"/>
      <c r="J1998" s="12" t="s">
        <v>3439</v>
      </c>
      <c r="K1998" s="13" t="s">
        <v>8798</v>
      </c>
      <c r="L1998" s="99" t="str">
        <f t="shared" si="102"/>
        <v>W2279.B</v>
      </c>
      <c r="M1998" s="45"/>
      <c r="N1998" s="47"/>
      <c r="O1998" s="47"/>
      <c r="P1998" s="47"/>
      <c r="Q1998" s="45"/>
      <c r="R1998" s="45"/>
      <c r="S1998" s="48"/>
    </row>
    <row r="1999" spans="1:19" s="49" customFormat="1" ht="14.15" customHeight="1">
      <c r="A1999" s="45"/>
      <c r="B1999" s="44" t="s">
        <v>157</v>
      </c>
      <c r="C1999" s="50"/>
      <c r="D1999" s="10" t="s">
        <v>29</v>
      </c>
      <c r="E1999" s="11"/>
      <c r="F1999" s="11" t="s">
        <v>18</v>
      </c>
      <c r="G1999" s="13"/>
      <c r="H1999" s="45" t="s">
        <v>16</v>
      </c>
      <c r="I1999" s="47"/>
      <c r="J1999" s="12" t="s">
        <v>3440</v>
      </c>
      <c r="K1999" s="13" t="s">
        <v>8799</v>
      </c>
      <c r="L1999" s="99" t="str">
        <f t="shared" si="102"/>
        <v>W2279.C</v>
      </c>
      <c r="M1999" s="45"/>
      <c r="N1999" s="47"/>
      <c r="O1999" s="47"/>
      <c r="P1999" s="47"/>
      <c r="Q1999" s="45"/>
      <c r="R1999" s="45"/>
      <c r="S1999" s="48"/>
    </row>
    <row r="2000" spans="1:19" s="49" customFormat="1" ht="14.15" customHeight="1">
      <c r="A2000" s="45"/>
      <c r="B2000" s="44" t="s">
        <v>157</v>
      </c>
      <c r="C2000" s="50"/>
      <c r="D2000" s="10" t="s">
        <v>29</v>
      </c>
      <c r="E2000" s="11"/>
      <c r="F2000" s="11" t="s">
        <v>18</v>
      </c>
      <c r="G2000" s="13"/>
      <c r="H2000" s="45" t="s">
        <v>16</v>
      </c>
      <c r="I2000" s="47"/>
      <c r="J2000" s="12" t="s">
        <v>3441</v>
      </c>
      <c r="K2000" s="13" t="s">
        <v>8800</v>
      </c>
      <c r="L2000" s="99" t="str">
        <f t="shared" si="102"/>
        <v>W2279.D</v>
      </c>
      <c r="M2000" s="45"/>
      <c r="N2000" s="47"/>
      <c r="O2000" s="47"/>
      <c r="P2000" s="47"/>
      <c r="Q2000" s="45"/>
      <c r="R2000" s="45"/>
      <c r="S2000" s="48"/>
    </row>
    <row r="2001" spans="1:19" s="49" customFormat="1" ht="14.15" customHeight="1">
      <c r="A2001" s="45"/>
      <c r="B2001" s="44" t="s">
        <v>157</v>
      </c>
      <c r="C2001" s="50"/>
      <c r="D2001" s="10" t="s">
        <v>29</v>
      </c>
      <c r="E2001" s="11"/>
      <c r="F2001" s="11" t="s">
        <v>18</v>
      </c>
      <c r="G2001" s="13"/>
      <c r="H2001" s="45" t="s">
        <v>16</v>
      </c>
      <c r="I2001" s="47"/>
      <c r="J2001" s="12" t="s">
        <v>3442</v>
      </c>
      <c r="K2001" s="13" t="s">
        <v>8801</v>
      </c>
      <c r="L2001" s="99" t="str">
        <f t="shared" si="102"/>
        <v>W2279.E</v>
      </c>
      <c r="M2001" s="45"/>
      <c r="N2001" s="47"/>
      <c r="O2001" s="47"/>
      <c r="P2001" s="47"/>
      <c r="Q2001" s="45"/>
      <c r="R2001" s="45"/>
      <c r="S2001" s="48"/>
    </row>
    <row r="2002" spans="1:19" s="49" customFormat="1" ht="14.15" customHeight="1">
      <c r="A2002" s="45"/>
      <c r="B2002" s="44" t="s">
        <v>157</v>
      </c>
      <c r="C2002" s="50"/>
      <c r="D2002" s="10" t="s">
        <v>29</v>
      </c>
      <c r="E2002" s="11"/>
      <c r="F2002" s="11" t="s">
        <v>18</v>
      </c>
      <c r="G2002" s="13"/>
      <c r="H2002" s="45" t="s">
        <v>16</v>
      </c>
      <c r="I2002" s="47"/>
      <c r="J2002" s="12" t="s">
        <v>3443</v>
      </c>
      <c r="K2002" s="13" t="s">
        <v>8802</v>
      </c>
      <c r="L2002" s="99" t="str">
        <f t="shared" si="102"/>
        <v>W2279.F</v>
      </c>
      <c r="M2002" s="45"/>
      <c r="N2002" s="47"/>
      <c r="O2002" s="47"/>
      <c r="P2002" s="47"/>
      <c r="Q2002" s="45"/>
      <c r="R2002" s="45"/>
      <c r="S2002" s="48"/>
    </row>
    <row r="2003" spans="1:19" s="49" customFormat="1" ht="14.15" customHeight="1">
      <c r="A2003" s="45"/>
      <c r="B2003" s="44" t="s">
        <v>157</v>
      </c>
      <c r="C2003" s="50"/>
      <c r="D2003" s="10" t="s">
        <v>29</v>
      </c>
      <c r="E2003" s="11"/>
      <c r="F2003" s="11" t="s">
        <v>18</v>
      </c>
      <c r="G2003" s="13"/>
      <c r="H2003" s="45" t="s">
        <v>16</v>
      </c>
      <c r="I2003" s="47"/>
      <c r="J2003" s="12" t="s">
        <v>3444</v>
      </c>
      <c r="K2003" s="13" t="s">
        <v>8803</v>
      </c>
      <c r="L2003" s="99" t="str">
        <f t="shared" si="102"/>
        <v>W227A.0</v>
      </c>
      <c r="M2003" s="45"/>
      <c r="N2003" s="47"/>
      <c r="O2003" s="47"/>
      <c r="P2003" s="47"/>
      <c r="Q2003" s="45"/>
      <c r="R2003" s="45"/>
      <c r="S2003" s="48"/>
    </row>
    <row r="2004" spans="1:19" s="49" customFormat="1" ht="14.15" customHeight="1">
      <c r="A2004" s="45"/>
      <c r="B2004" s="44" t="s">
        <v>157</v>
      </c>
      <c r="C2004" s="50"/>
      <c r="D2004" s="10" t="s">
        <v>29</v>
      </c>
      <c r="E2004" s="11"/>
      <c r="F2004" s="11" t="s">
        <v>18</v>
      </c>
      <c r="G2004" s="13"/>
      <c r="H2004" s="45" t="s">
        <v>16</v>
      </c>
      <c r="I2004" s="47"/>
      <c r="J2004" s="12" t="s">
        <v>3445</v>
      </c>
      <c r="K2004" s="13" t="s">
        <v>8804</v>
      </c>
      <c r="L2004" s="99" t="str">
        <f t="shared" si="102"/>
        <v>W227A.1</v>
      </c>
      <c r="M2004" s="45"/>
      <c r="N2004" s="47"/>
      <c r="O2004" s="47"/>
      <c r="P2004" s="47"/>
      <c r="Q2004" s="45"/>
      <c r="R2004" s="45"/>
      <c r="S2004" s="48"/>
    </row>
    <row r="2005" spans="1:19" s="49" customFormat="1" ht="14.15" customHeight="1">
      <c r="A2005" s="45"/>
      <c r="B2005" s="44" t="s">
        <v>157</v>
      </c>
      <c r="C2005" s="50"/>
      <c r="D2005" s="10" t="s">
        <v>29</v>
      </c>
      <c r="E2005" s="11"/>
      <c r="F2005" s="11" t="s">
        <v>18</v>
      </c>
      <c r="G2005" s="13"/>
      <c r="H2005" s="45" t="s">
        <v>16</v>
      </c>
      <c r="I2005" s="47"/>
      <c r="J2005" s="12" t="s">
        <v>3446</v>
      </c>
      <c r="K2005" s="13" t="s">
        <v>8805</v>
      </c>
      <c r="L2005" s="99" t="str">
        <f t="shared" si="102"/>
        <v>W227A.2</v>
      </c>
      <c r="M2005" s="45"/>
      <c r="N2005" s="47"/>
      <c r="O2005" s="47"/>
      <c r="P2005" s="47"/>
      <c r="Q2005" s="45"/>
      <c r="R2005" s="45"/>
      <c r="S2005" s="48"/>
    </row>
    <row r="2006" spans="1:19" s="49" customFormat="1" ht="14.15" customHeight="1">
      <c r="A2006" s="45"/>
      <c r="B2006" s="44" t="s">
        <v>157</v>
      </c>
      <c r="C2006" s="50"/>
      <c r="D2006" s="10" t="s">
        <v>29</v>
      </c>
      <c r="E2006" s="11"/>
      <c r="F2006" s="11" t="s">
        <v>18</v>
      </c>
      <c r="G2006" s="13"/>
      <c r="H2006" s="45" t="s">
        <v>16</v>
      </c>
      <c r="I2006" s="47"/>
      <c r="J2006" s="12" t="s">
        <v>3447</v>
      </c>
      <c r="K2006" s="13" t="s">
        <v>8806</v>
      </c>
      <c r="L2006" s="99" t="str">
        <f t="shared" si="102"/>
        <v>W227A.3</v>
      </c>
      <c r="M2006" s="45"/>
      <c r="N2006" s="47"/>
      <c r="O2006" s="47"/>
      <c r="P2006" s="47"/>
      <c r="Q2006" s="45"/>
      <c r="R2006" s="45"/>
      <c r="S2006" s="48"/>
    </row>
    <row r="2007" spans="1:19" s="49" customFormat="1" ht="14.15" customHeight="1">
      <c r="A2007" s="45"/>
      <c r="B2007" s="44" t="s">
        <v>157</v>
      </c>
      <c r="C2007" s="50"/>
      <c r="D2007" s="10" t="s">
        <v>29</v>
      </c>
      <c r="E2007" s="11"/>
      <c r="F2007" s="11" t="s">
        <v>18</v>
      </c>
      <c r="G2007" s="13"/>
      <c r="H2007" s="45" t="s">
        <v>16</v>
      </c>
      <c r="I2007" s="47"/>
      <c r="J2007" s="12" t="s">
        <v>3448</v>
      </c>
      <c r="K2007" s="13" t="s">
        <v>8807</v>
      </c>
      <c r="L2007" s="99" t="str">
        <f t="shared" si="102"/>
        <v>W227A.4</v>
      </c>
      <c r="M2007" s="45"/>
      <c r="N2007" s="47"/>
      <c r="O2007" s="47"/>
      <c r="P2007" s="47"/>
      <c r="Q2007" s="45"/>
      <c r="R2007" s="45"/>
      <c r="S2007" s="48"/>
    </row>
    <row r="2008" spans="1:19" s="49" customFormat="1" ht="14.15" customHeight="1">
      <c r="A2008" s="45"/>
      <c r="B2008" s="44" t="s">
        <v>157</v>
      </c>
      <c r="C2008" s="50"/>
      <c r="D2008" s="10" t="s">
        <v>29</v>
      </c>
      <c r="E2008" s="11"/>
      <c r="F2008" s="11" t="s">
        <v>18</v>
      </c>
      <c r="G2008" s="13"/>
      <c r="H2008" s="45" t="s">
        <v>16</v>
      </c>
      <c r="I2008" s="47"/>
      <c r="J2008" s="12" t="s">
        <v>3449</v>
      </c>
      <c r="K2008" s="13" t="s">
        <v>8808</v>
      </c>
      <c r="L2008" s="99" t="str">
        <f t="shared" si="102"/>
        <v>W227A.5</v>
      </c>
      <c r="M2008" s="45"/>
      <c r="N2008" s="47"/>
      <c r="O2008" s="47"/>
      <c r="P2008" s="47"/>
      <c r="Q2008" s="45"/>
      <c r="R2008" s="45"/>
      <c r="S2008" s="48"/>
    </row>
    <row r="2009" spans="1:19" s="49" customFormat="1" ht="14.15" customHeight="1">
      <c r="A2009" s="45"/>
      <c r="B2009" s="44" t="s">
        <v>157</v>
      </c>
      <c r="C2009" s="50"/>
      <c r="D2009" s="10" t="s">
        <v>29</v>
      </c>
      <c r="E2009" s="11"/>
      <c r="F2009" s="11" t="s">
        <v>18</v>
      </c>
      <c r="G2009" s="13"/>
      <c r="H2009" s="45" t="s">
        <v>16</v>
      </c>
      <c r="I2009" s="47"/>
      <c r="J2009" s="12" t="s">
        <v>3450</v>
      </c>
      <c r="K2009" s="13" t="s">
        <v>8809</v>
      </c>
      <c r="L2009" s="99" t="str">
        <f t="shared" si="102"/>
        <v>W227A.6</v>
      </c>
      <c r="M2009" s="45"/>
      <c r="N2009" s="47"/>
      <c r="O2009" s="47"/>
      <c r="P2009" s="47"/>
      <c r="Q2009" s="45"/>
      <c r="R2009" s="45"/>
      <c r="S2009" s="48"/>
    </row>
    <row r="2010" spans="1:19" s="49" customFormat="1" ht="14.15" customHeight="1">
      <c r="A2010" s="45"/>
      <c r="B2010" s="44" t="s">
        <v>157</v>
      </c>
      <c r="C2010" s="50"/>
      <c r="D2010" s="10" t="s">
        <v>29</v>
      </c>
      <c r="E2010" s="11"/>
      <c r="F2010" s="11" t="s">
        <v>18</v>
      </c>
      <c r="G2010" s="13"/>
      <c r="H2010" s="45" t="s">
        <v>16</v>
      </c>
      <c r="I2010" s="47"/>
      <c r="J2010" s="12" t="s">
        <v>3451</v>
      </c>
      <c r="K2010" s="13" t="s">
        <v>8810</v>
      </c>
      <c r="L2010" s="99" t="str">
        <f t="shared" si="102"/>
        <v>W227A.7</v>
      </c>
      <c r="M2010" s="45"/>
      <c r="N2010" s="47"/>
      <c r="O2010" s="47"/>
      <c r="P2010" s="47"/>
      <c r="Q2010" s="45"/>
      <c r="R2010" s="45"/>
      <c r="S2010" s="48"/>
    </row>
    <row r="2011" spans="1:19" s="49" customFormat="1" ht="14.15" customHeight="1">
      <c r="A2011" s="45"/>
      <c r="B2011" s="44" t="s">
        <v>157</v>
      </c>
      <c r="C2011" s="50"/>
      <c r="D2011" s="10" t="s">
        <v>29</v>
      </c>
      <c r="E2011" s="11"/>
      <c r="F2011" s="11" t="s">
        <v>18</v>
      </c>
      <c r="G2011" s="13"/>
      <c r="H2011" s="45" t="s">
        <v>16</v>
      </c>
      <c r="I2011" s="47"/>
      <c r="J2011" s="12" t="s">
        <v>3452</v>
      </c>
      <c r="K2011" s="13" t="s">
        <v>8811</v>
      </c>
      <c r="L2011" s="99" t="str">
        <f t="shared" si="102"/>
        <v>W227A.8</v>
      </c>
      <c r="M2011" s="45"/>
      <c r="N2011" s="47"/>
      <c r="O2011" s="47"/>
      <c r="P2011" s="47"/>
      <c r="Q2011" s="45"/>
      <c r="R2011" s="45"/>
      <c r="S2011" s="48"/>
    </row>
    <row r="2012" spans="1:19" s="49" customFormat="1" ht="14.15" customHeight="1">
      <c r="A2012" s="45"/>
      <c r="B2012" s="44" t="s">
        <v>157</v>
      </c>
      <c r="C2012" s="50"/>
      <c r="D2012" s="10" t="s">
        <v>29</v>
      </c>
      <c r="E2012" s="11"/>
      <c r="F2012" s="11" t="s">
        <v>18</v>
      </c>
      <c r="G2012" s="13"/>
      <c r="H2012" s="45" t="s">
        <v>16</v>
      </c>
      <c r="I2012" s="47"/>
      <c r="J2012" s="12" t="s">
        <v>3453</v>
      </c>
      <c r="K2012" s="13" t="s">
        <v>8812</v>
      </c>
      <c r="L2012" s="99" t="str">
        <f t="shared" si="102"/>
        <v>W227A.9</v>
      </c>
      <c r="M2012" s="45"/>
      <c r="N2012" s="47"/>
      <c r="O2012" s="47"/>
      <c r="P2012" s="47"/>
      <c r="Q2012" s="45"/>
      <c r="R2012" s="45"/>
      <c r="S2012" s="48"/>
    </row>
    <row r="2013" spans="1:19" s="49" customFormat="1" ht="14.15" customHeight="1">
      <c r="A2013" s="45"/>
      <c r="B2013" s="44" t="s">
        <v>157</v>
      </c>
      <c r="C2013" s="50"/>
      <c r="D2013" s="10" t="s">
        <v>29</v>
      </c>
      <c r="E2013" s="11"/>
      <c r="F2013" s="11" t="s">
        <v>18</v>
      </c>
      <c r="G2013" s="13"/>
      <c r="H2013" s="45" t="s">
        <v>16</v>
      </c>
      <c r="I2013" s="47"/>
      <c r="J2013" s="12" t="s">
        <v>3454</v>
      </c>
      <c r="K2013" s="13" t="s">
        <v>8813</v>
      </c>
      <c r="L2013" s="99" t="str">
        <f t="shared" si="102"/>
        <v>W227A.A</v>
      </c>
      <c r="M2013" s="45"/>
      <c r="N2013" s="47"/>
      <c r="O2013" s="47"/>
      <c r="P2013" s="47"/>
      <c r="Q2013" s="45"/>
      <c r="R2013" s="45"/>
      <c r="S2013" s="48"/>
    </row>
    <row r="2014" spans="1:19" s="49" customFormat="1" ht="14.15" customHeight="1">
      <c r="A2014" s="45"/>
      <c r="B2014" s="44" t="s">
        <v>157</v>
      </c>
      <c r="C2014" s="50"/>
      <c r="D2014" s="10" t="s">
        <v>29</v>
      </c>
      <c r="E2014" s="11"/>
      <c r="F2014" s="11" t="s">
        <v>18</v>
      </c>
      <c r="G2014" s="13"/>
      <c r="H2014" s="45" t="s">
        <v>16</v>
      </c>
      <c r="I2014" s="47"/>
      <c r="J2014" s="12" t="s">
        <v>3455</v>
      </c>
      <c r="K2014" s="13" t="s">
        <v>8814</v>
      </c>
      <c r="L2014" s="99" t="str">
        <f t="shared" si="102"/>
        <v>W227A.B</v>
      </c>
      <c r="M2014" s="45"/>
      <c r="N2014" s="47"/>
      <c r="O2014" s="47"/>
      <c r="P2014" s="47"/>
      <c r="Q2014" s="45"/>
      <c r="R2014" s="45"/>
      <c r="S2014" s="48"/>
    </row>
    <row r="2015" spans="1:19" s="49" customFormat="1" ht="14.15" customHeight="1">
      <c r="A2015" s="45"/>
      <c r="B2015" s="44" t="s">
        <v>157</v>
      </c>
      <c r="C2015" s="50"/>
      <c r="D2015" s="10" t="s">
        <v>29</v>
      </c>
      <c r="E2015" s="11"/>
      <c r="F2015" s="11" t="s">
        <v>18</v>
      </c>
      <c r="G2015" s="13"/>
      <c r="H2015" s="45" t="s">
        <v>16</v>
      </c>
      <c r="I2015" s="47"/>
      <c r="J2015" s="12" t="s">
        <v>3456</v>
      </c>
      <c r="K2015" s="13" t="s">
        <v>8815</v>
      </c>
      <c r="L2015" s="99" t="str">
        <f t="shared" si="102"/>
        <v>W227A.C</v>
      </c>
      <c r="M2015" s="45"/>
      <c r="N2015" s="47"/>
      <c r="O2015" s="47"/>
      <c r="P2015" s="47"/>
      <c r="Q2015" s="45"/>
      <c r="R2015" s="45"/>
      <c r="S2015" s="48"/>
    </row>
    <row r="2016" spans="1:19" s="49" customFormat="1" ht="14.15" customHeight="1">
      <c r="A2016" s="45"/>
      <c r="B2016" s="44" t="s">
        <v>157</v>
      </c>
      <c r="C2016" s="50"/>
      <c r="D2016" s="10" t="s">
        <v>29</v>
      </c>
      <c r="E2016" s="11"/>
      <c r="F2016" s="11" t="s">
        <v>18</v>
      </c>
      <c r="G2016" s="13"/>
      <c r="H2016" s="45" t="s">
        <v>16</v>
      </c>
      <c r="I2016" s="47"/>
      <c r="J2016" s="12" t="s">
        <v>3457</v>
      </c>
      <c r="K2016" s="13" t="s">
        <v>8816</v>
      </c>
      <c r="L2016" s="99" t="str">
        <f t="shared" si="102"/>
        <v>W227A.D</v>
      </c>
      <c r="M2016" s="45"/>
      <c r="N2016" s="47"/>
      <c r="O2016" s="47"/>
      <c r="P2016" s="47"/>
      <c r="Q2016" s="45"/>
      <c r="R2016" s="45"/>
      <c r="S2016" s="48"/>
    </row>
    <row r="2017" spans="1:19" s="49" customFormat="1" ht="14.15" customHeight="1">
      <c r="A2017" s="45"/>
      <c r="B2017" s="44" t="s">
        <v>157</v>
      </c>
      <c r="C2017" s="50"/>
      <c r="D2017" s="10" t="s">
        <v>29</v>
      </c>
      <c r="E2017" s="11"/>
      <c r="F2017" s="11" t="s">
        <v>18</v>
      </c>
      <c r="G2017" s="13"/>
      <c r="H2017" s="45" t="s">
        <v>16</v>
      </c>
      <c r="I2017" s="47"/>
      <c r="J2017" s="12" t="s">
        <v>3458</v>
      </c>
      <c r="K2017" s="13" t="s">
        <v>8817</v>
      </c>
      <c r="L2017" s="99" t="str">
        <f t="shared" si="102"/>
        <v>W227A.E</v>
      </c>
      <c r="M2017" s="45"/>
      <c r="N2017" s="47"/>
      <c r="O2017" s="47"/>
      <c r="P2017" s="47"/>
      <c r="Q2017" s="45"/>
      <c r="R2017" s="45"/>
      <c r="S2017" s="48"/>
    </row>
    <row r="2018" spans="1:19" s="49" customFormat="1" ht="14.15" customHeight="1">
      <c r="A2018" s="45"/>
      <c r="B2018" s="44" t="s">
        <v>157</v>
      </c>
      <c r="C2018" s="50"/>
      <c r="D2018" s="10" t="s">
        <v>29</v>
      </c>
      <c r="E2018" s="11"/>
      <c r="F2018" s="11" t="s">
        <v>18</v>
      </c>
      <c r="G2018" s="13"/>
      <c r="H2018" s="45" t="s">
        <v>16</v>
      </c>
      <c r="I2018" s="47"/>
      <c r="J2018" s="12" t="s">
        <v>3459</v>
      </c>
      <c r="K2018" s="13" t="s">
        <v>8818</v>
      </c>
      <c r="L2018" s="99" t="str">
        <f t="shared" si="102"/>
        <v>W227A.F</v>
      </c>
      <c r="M2018" s="45"/>
      <c r="N2018" s="47"/>
      <c r="O2018" s="47"/>
      <c r="P2018" s="47"/>
      <c r="Q2018" s="45"/>
      <c r="R2018" s="45"/>
      <c r="S2018" s="48"/>
    </row>
    <row r="2019" spans="1:19" s="49" customFormat="1" ht="14.15" customHeight="1">
      <c r="A2019" s="45"/>
      <c r="B2019" s="44" t="s">
        <v>157</v>
      </c>
      <c r="C2019" s="50"/>
      <c r="D2019" s="10" t="s">
        <v>29</v>
      </c>
      <c r="E2019" s="11"/>
      <c r="F2019" s="11" t="s">
        <v>18</v>
      </c>
      <c r="G2019" s="13"/>
      <c r="H2019" s="45" t="s">
        <v>16</v>
      </c>
      <c r="I2019" s="47"/>
      <c r="J2019" s="12" t="s">
        <v>3460</v>
      </c>
      <c r="K2019" s="13" t="s">
        <v>8819</v>
      </c>
      <c r="L2019" s="99" t="str">
        <f t="shared" si="102"/>
        <v>W227B.0</v>
      </c>
      <c r="M2019" s="45"/>
      <c r="N2019" s="47"/>
      <c r="O2019" s="47"/>
      <c r="P2019" s="47"/>
      <c r="Q2019" s="45"/>
      <c r="R2019" s="45"/>
      <c r="S2019" s="48"/>
    </row>
    <row r="2020" spans="1:19" s="49" customFormat="1" ht="14.15" customHeight="1">
      <c r="A2020" s="45"/>
      <c r="B2020" s="44" t="s">
        <v>157</v>
      </c>
      <c r="C2020" s="50"/>
      <c r="D2020" s="10" t="s">
        <v>29</v>
      </c>
      <c r="E2020" s="11"/>
      <c r="F2020" s="11" t="s">
        <v>18</v>
      </c>
      <c r="G2020" s="13"/>
      <c r="H2020" s="45" t="s">
        <v>16</v>
      </c>
      <c r="I2020" s="47"/>
      <c r="J2020" s="12" t="s">
        <v>3461</v>
      </c>
      <c r="K2020" s="13" t="s">
        <v>8820</v>
      </c>
      <c r="L2020" s="99" t="str">
        <f t="shared" si="102"/>
        <v>W227B.1</v>
      </c>
      <c r="M2020" s="45"/>
      <c r="N2020" s="47"/>
      <c r="O2020" s="47"/>
      <c r="P2020" s="47"/>
      <c r="Q2020" s="45"/>
      <c r="R2020" s="45"/>
      <c r="S2020" s="48"/>
    </row>
    <row r="2021" spans="1:19" s="49" customFormat="1" ht="14.15" customHeight="1">
      <c r="A2021" s="45"/>
      <c r="B2021" s="44" t="s">
        <v>157</v>
      </c>
      <c r="C2021" s="50"/>
      <c r="D2021" s="10" t="s">
        <v>29</v>
      </c>
      <c r="E2021" s="11"/>
      <c r="F2021" s="11" t="s">
        <v>18</v>
      </c>
      <c r="G2021" s="13"/>
      <c r="H2021" s="45" t="s">
        <v>16</v>
      </c>
      <c r="I2021" s="47"/>
      <c r="J2021" s="12" t="s">
        <v>3462</v>
      </c>
      <c r="K2021" s="13" t="s">
        <v>8821</v>
      </c>
      <c r="L2021" s="99" t="str">
        <f t="shared" si="102"/>
        <v>W227B.2</v>
      </c>
      <c r="M2021" s="45"/>
      <c r="N2021" s="47"/>
      <c r="O2021" s="47"/>
      <c r="P2021" s="47"/>
      <c r="Q2021" s="45"/>
      <c r="R2021" s="45"/>
      <c r="S2021" s="48"/>
    </row>
    <row r="2022" spans="1:19" s="49" customFormat="1" ht="14.15" customHeight="1">
      <c r="A2022" s="45"/>
      <c r="B2022" s="44" t="s">
        <v>157</v>
      </c>
      <c r="C2022" s="50"/>
      <c r="D2022" s="10" t="s">
        <v>29</v>
      </c>
      <c r="E2022" s="11"/>
      <c r="F2022" s="11" t="s">
        <v>18</v>
      </c>
      <c r="G2022" s="13"/>
      <c r="H2022" s="45" t="s">
        <v>16</v>
      </c>
      <c r="I2022" s="47"/>
      <c r="J2022" s="12" t="s">
        <v>3463</v>
      </c>
      <c r="K2022" s="13" t="s">
        <v>8822</v>
      </c>
      <c r="L2022" s="99" t="str">
        <f t="shared" si="102"/>
        <v>W227B.3</v>
      </c>
      <c r="M2022" s="45"/>
      <c r="N2022" s="47"/>
      <c r="O2022" s="47"/>
      <c r="P2022" s="47"/>
      <c r="Q2022" s="45"/>
      <c r="R2022" s="45"/>
      <c r="S2022" s="48"/>
    </row>
    <row r="2023" spans="1:19" s="49" customFormat="1" ht="14.15" customHeight="1">
      <c r="A2023" s="45"/>
      <c r="B2023" s="44" t="s">
        <v>157</v>
      </c>
      <c r="C2023" s="50"/>
      <c r="D2023" s="10" t="s">
        <v>29</v>
      </c>
      <c r="E2023" s="11"/>
      <c r="F2023" s="11" t="s">
        <v>18</v>
      </c>
      <c r="G2023" s="13"/>
      <c r="H2023" s="45" t="s">
        <v>16</v>
      </c>
      <c r="I2023" s="47"/>
      <c r="J2023" s="12" t="s">
        <v>3464</v>
      </c>
      <c r="K2023" s="13" t="s">
        <v>8823</v>
      </c>
      <c r="L2023" s="99" t="str">
        <f t="shared" si="102"/>
        <v>W227B.4</v>
      </c>
      <c r="M2023" s="45"/>
      <c r="N2023" s="47"/>
      <c r="O2023" s="47"/>
      <c r="P2023" s="47"/>
      <c r="Q2023" s="45"/>
      <c r="R2023" s="45"/>
      <c r="S2023" s="48"/>
    </row>
    <row r="2024" spans="1:19" s="49" customFormat="1" ht="14.15" customHeight="1">
      <c r="A2024" s="45"/>
      <c r="B2024" s="44" t="s">
        <v>157</v>
      </c>
      <c r="C2024" s="50"/>
      <c r="D2024" s="10" t="s">
        <v>29</v>
      </c>
      <c r="E2024" s="11"/>
      <c r="F2024" s="11" t="s">
        <v>18</v>
      </c>
      <c r="G2024" s="13"/>
      <c r="H2024" s="45" t="s">
        <v>16</v>
      </c>
      <c r="I2024" s="47"/>
      <c r="J2024" s="12" t="s">
        <v>3465</v>
      </c>
      <c r="K2024" s="13" t="s">
        <v>8824</v>
      </c>
      <c r="L2024" s="99" t="str">
        <f t="shared" si="102"/>
        <v>W227B.5</v>
      </c>
      <c r="M2024" s="45"/>
      <c r="N2024" s="47"/>
      <c r="O2024" s="47"/>
      <c r="P2024" s="47"/>
      <c r="Q2024" s="45"/>
      <c r="R2024" s="45"/>
      <c r="S2024" s="48"/>
    </row>
    <row r="2025" spans="1:19" s="49" customFormat="1" ht="14.15" customHeight="1">
      <c r="A2025" s="45"/>
      <c r="B2025" s="44" t="s">
        <v>157</v>
      </c>
      <c r="C2025" s="50"/>
      <c r="D2025" s="10" t="s">
        <v>29</v>
      </c>
      <c r="E2025" s="11"/>
      <c r="F2025" s="11" t="s">
        <v>18</v>
      </c>
      <c r="G2025" s="13"/>
      <c r="H2025" s="45" t="s">
        <v>16</v>
      </c>
      <c r="I2025" s="47"/>
      <c r="J2025" s="12" t="s">
        <v>3466</v>
      </c>
      <c r="K2025" s="13" t="s">
        <v>8825</v>
      </c>
      <c r="L2025" s="99" t="str">
        <f t="shared" si="102"/>
        <v>W227B.6</v>
      </c>
      <c r="M2025" s="45"/>
      <c r="N2025" s="47"/>
      <c r="O2025" s="47"/>
      <c r="P2025" s="47"/>
      <c r="Q2025" s="45"/>
      <c r="R2025" s="45"/>
      <c r="S2025" s="48"/>
    </row>
    <row r="2026" spans="1:19" s="49" customFormat="1" ht="14.15" customHeight="1">
      <c r="A2026" s="45"/>
      <c r="B2026" s="44" t="s">
        <v>157</v>
      </c>
      <c r="C2026" s="50"/>
      <c r="D2026" s="10" t="s">
        <v>29</v>
      </c>
      <c r="E2026" s="11"/>
      <c r="F2026" s="11" t="s">
        <v>18</v>
      </c>
      <c r="G2026" s="13"/>
      <c r="H2026" s="45" t="s">
        <v>16</v>
      </c>
      <c r="I2026" s="47"/>
      <c r="J2026" s="12" t="s">
        <v>3467</v>
      </c>
      <c r="K2026" s="13" t="s">
        <v>8826</v>
      </c>
      <c r="L2026" s="99" t="str">
        <f t="shared" si="102"/>
        <v>W227B.7</v>
      </c>
      <c r="M2026" s="45"/>
      <c r="N2026" s="47"/>
      <c r="O2026" s="47"/>
      <c r="P2026" s="47"/>
      <c r="Q2026" s="45"/>
      <c r="R2026" s="45"/>
      <c r="S2026" s="48"/>
    </row>
    <row r="2027" spans="1:19" s="49" customFormat="1" ht="14.15" customHeight="1">
      <c r="A2027" s="45"/>
      <c r="B2027" s="44" t="s">
        <v>157</v>
      </c>
      <c r="C2027" s="50"/>
      <c r="D2027" s="10" t="s">
        <v>29</v>
      </c>
      <c r="E2027" s="11"/>
      <c r="F2027" s="11" t="s">
        <v>18</v>
      </c>
      <c r="G2027" s="13"/>
      <c r="H2027" s="45" t="s">
        <v>16</v>
      </c>
      <c r="I2027" s="47"/>
      <c r="J2027" s="12" t="s">
        <v>3468</v>
      </c>
      <c r="K2027" s="13" t="s">
        <v>8827</v>
      </c>
      <c r="L2027" s="99" t="str">
        <f t="shared" si="102"/>
        <v>W227B.8</v>
      </c>
      <c r="M2027" s="45"/>
      <c r="N2027" s="47"/>
      <c r="O2027" s="47"/>
      <c r="P2027" s="47"/>
      <c r="Q2027" s="45"/>
      <c r="R2027" s="45"/>
      <c r="S2027" s="48"/>
    </row>
    <row r="2028" spans="1:19" s="49" customFormat="1" ht="14.15" customHeight="1">
      <c r="A2028" s="45"/>
      <c r="B2028" s="44" t="s">
        <v>157</v>
      </c>
      <c r="C2028" s="50"/>
      <c r="D2028" s="10" t="s">
        <v>29</v>
      </c>
      <c r="E2028" s="11"/>
      <c r="F2028" s="11" t="s">
        <v>18</v>
      </c>
      <c r="G2028" s="13"/>
      <c r="H2028" s="45" t="s">
        <v>16</v>
      </c>
      <c r="I2028" s="47"/>
      <c r="J2028" s="12" t="s">
        <v>3469</v>
      </c>
      <c r="K2028" s="13" t="s">
        <v>8828</v>
      </c>
      <c r="L2028" s="99" t="str">
        <f t="shared" si="102"/>
        <v>W227B.9</v>
      </c>
      <c r="M2028" s="45"/>
      <c r="N2028" s="47"/>
      <c r="O2028" s="47"/>
      <c r="P2028" s="47"/>
      <c r="Q2028" s="45"/>
      <c r="R2028" s="45"/>
      <c r="S2028" s="48"/>
    </row>
    <row r="2029" spans="1:19" s="49" customFormat="1" ht="14.15" customHeight="1">
      <c r="A2029" s="45"/>
      <c r="B2029" s="44" t="s">
        <v>157</v>
      </c>
      <c r="C2029" s="50"/>
      <c r="D2029" s="10" t="s">
        <v>29</v>
      </c>
      <c r="E2029" s="11"/>
      <c r="F2029" s="11" t="s">
        <v>18</v>
      </c>
      <c r="G2029" s="13"/>
      <c r="H2029" s="45" t="s">
        <v>16</v>
      </c>
      <c r="I2029" s="47"/>
      <c r="J2029" s="12" t="s">
        <v>3470</v>
      </c>
      <c r="K2029" s="13" t="s">
        <v>8829</v>
      </c>
      <c r="L2029" s="99" t="str">
        <f t="shared" si="102"/>
        <v>W227B.A</v>
      </c>
      <c r="M2029" s="45"/>
      <c r="N2029" s="47"/>
      <c r="O2029" s="47"/>
      <c r="P2029" s="47"/>
      <c r="Q2029" s="45"/>
      <c r="R2029" s="45"/>
      <c r="S2029" s="48"/>
    </row>
    <row r="2030" spans="1:19" s="49" customFormat="1" ht="14.15" customHeight="1">
      <c r="A2030" s="45"/>
      <c r="B2030" s="44" t="s">
        <v>157</v>
      </c>
      <c r="C2030" s="50"/>
      <c r="D2030" s="10" t="s">
        <v>29</v>
      </c>
      <c r="E2030" s="11"/>
      <c r="F2030" s="11" t="s">
        <v>18</v>
      </c>
      <c r="G2030" s="13"/>
      <c r="H2030" s="45" t="s">
        <v>16</v>
      </c>
      <c r="I2030" s="47"/>
      <c r="J2030" s="12" t="s">
        <v>3471</v>
      </c>
      <c r="K2030" s="13" t="s">
        <v>8830</v>
      </c>
      <c r="L2030" s="99" t="str">
        <f t="shared" si="102"/>
        <v>W227B.B</v>
      </c>
      <c r="M2030" s="45"/>
      <c r="N2030" s="47"/>
      <c r="O2030" s="47"/>
      <c r="P2030" s="47"/>
      <c r="Q2030" s="45"/>
      <c r="R2030" s="45"/>
      <c r="S2030" s="48"/>
    </row>
    <row r="2031" spans="1:19" s="49" customFormat="1" ht="14.15" customHeight="1">
      <c r="A2031" s="45"/>
      <c r="B2031" s="44" t="s">
        <v>157</v>
      </c>
      <c r="C2031" s="50"/>
      <c r="D2031" s="10" t="s">
        <v>29</v>
      </c>
      <c r="E2031" s="11"/>
      <c r="F2031" s="11" t="s">
        <v>18</v>
      </c>
      <c r="G2031" s="13"/>
      <c r="H2031" s="45" t="s">
        <v>16</v>
      </c>
      <c r="I2031" s="47"/>
      <c r="J2031" s="12" t="s">
        <v>4724</v>
      </c>
      <c r="K2031" s="13" t="s">
        <v>8831</v>
      </c>
      <c r="L2031" s="99" t="str">
        <f t="shared" si="102"/>
        <v>W227B.C</v>
      </c>
      <c r="M2031" s="45"/>
      <c r="N2031" s="47"/>
      <c r="O2031" s="47"/>
      <c r="P2031" s="47"/>
      <c r="Q2031" s="45"/>
      <c r="R2031" s="45"/>
      <c r="S2031" s="48"/>
    </row>
    <row r="2032" spans="1:19" s="49" customFormat="1" ht="14.15" customHeight="1">
      <c r="A2032" s="45"/>
      <c r="B2032" s="44" t="s">
        <v>157</v>
      </c>
      <c r="C2032" s="50"/>
      <c r="D2032" s="10" t="s">
        <v>29</v>
      </c>
      <c r="E2032" s="11"/>
      <c r="F2032" s="11" t="s">
        <v>18</v>
      </c>
      <c r="G2032" s="13"/>
      <c r="H2032" s="45" t="s">
        <v>16</v>
      </c>
      <c r="I2032" s="47"/>
      <c r="J2032" s="12" t="s">
        <v>3472</v>
      </c>
      <c r="K2032" s="13" t="s">
        <v>8832</v>
      </c>
      <c r="L2032" s="99" t="str">
        <f t="shared" si="102"/>
        <v>W227B.D</v>
      </c>
      <c r="M2032" s="45"/>
      <c r="N2032" s="47"/>
      <c r="O2032" s="47"/>
      <c r="P2032" s="47"/>
      <c r="Q2032" s="45"/>
      <c r="R2032" s="45"/>
      <c r="S2032" s="48"/>
    </row>
    <row r="2033" spans="1:19" s="49" customFormat="1" ht="14.15" customHeight="1">
      <c r="A2033" s="45"/>
      <c r="B2033" s="44" t="s">
        <v>157</v>
      </c>
      <c r="C2033" s="50"/>
      <c r="D2033" s="10" t="s">
        <v>29</v>
      </c>
      <c r="E2033" s="11"/>
      <c r="F2033" s="11" t="s">
        <v>18</v>
      </c>
      <c r="G2033" s="13"/>
      <c r="H2033" s="45" t="s">
        <v>16</v>
      </c>
      <c r="I2033" s="47"/>
      <c r="J2033" s="12" t="s">
        <v>3473</v>
      </c>
      <c r="K2033" s="13" t="s">
        <v>8833</v>
      </c>
      <c r="L2033" s="99" t="str">
        <f t="shared" si="102"/>
        <v>W227B.E</v>
      </c>
      <c r="M2033" s="45"/>
      <c r="N2033" s="47"/>
      <c r="O2033" s="47"/>
      <c r="P2033" s="47"/>
      <c r="Q2033" s="45"/>
      <c r="R2033" s="45"/>
      <c r="S2033" s="48"/>
    </row>
    <row r="2034" spans="1:19" s="49" customFormat="1" ht="14.15" customHeight="1">
      <c r="A2034" s="45"/>
      <c r="B2034" s="44" t="s">
        <v>157</v>
      </c>
      <c r="C2034" s="50"/>
      <c r="D2034" s="10" t="s">
        <v>29</v>
      </c>
      <c r="E2034" s="11"/>
      <c r="F2034" s="11" t="s">
        <v>18</v>
      </c>
      <c r="G2034" s="13"/>
      <c r="H2034" s="45" t="s">
        <v>16</v>
      </c>
      <c r="I2034" s="47"/>
      <c r="J2034" s="12" t="s">
        <v>3474</v>
      </c>
      <c r="K2034" s="13" t="s">
        <v>8834</v>
      </c>
      <c r="L2034" s="99" t="str">
        <f t="shared" si="102"/>
        <v>W227B.F</v>
      </c>
      <c r="M2034" s="45"/>
      <c r="N2034" s="47"/>
      <c r="O2034" s="47"/>
      <c r="P2034" s="47"/>
      <c r="Q2034" s="45"/>
      <c r="R2034" s="45"/>
      <c r="S2034" s="48"/>
    </row>
    <row r="2035" spans="1:19" s="49" customFormat="1" ht="14.15" customHeight="1">
      <c r="A2035" s="45"/>
      <c r="B2035" s="44" t="s">
        <v>157</v>
      </c>
      <c r="C2035" s="50"/>
      <c r="D2035" s="10" t="s">
        <v>29</v>
      </c>
      <c r="E2035" s="11"/>
      <c r="F2035" s="11" t="s">
        <v>18</v>
      </c>
      <c r="G2035" s="13"/>
      <c r="H2035" s="45" t="s">
        <v>16</v>
      </c>
      <c r="I2035" s="47"/>
      <c r="J2035" s="12" t="s">
        <v>3475</v>
      </c>
      <c r="K2035" s="13" t="s">
        <v>8835</v>
      </c>
      <c r="L2035" s="99" t="str">
        <f t="shared" si="102"/>
        <v>W227C.0</v>
      </c>
      <c r="M2035" s="45"/>
      <c r="N2035" s="47"/>
      <c r="O2035" s="47"/>
      <c r="P2035" s="47"/>
      <c r="Q2035" s="45"/>
      <c r="R2035" s="45"/>
      <c r="S2035" s="48"/>
    </row>
    <row r="2036" spans="1:19" s="49" customFormat="1" ht="14.15" customHeight="1">
      <c r="A2036" s="45"/>
      <c r="B2036" s="44" t="s">
        <v>157</v>
      </c>
      <c r="C2036" s="50"/>
      <c r="D2036" s="10" t="s">
        <v>29</v>
      </c>
      <c r="E2036" s="11"/>
      <c r="F2036" s="11" t="s">
        <v>18</v>
      </c>
      <c r="G2036" s="13"/>
      <c r="H2036" s="45" t="s">
        <v>16</v>
      </c>
      <c r="I2036" s="47"/>
      <c r="J2036" s="12" t="s">
        <v>3476</v>
      </c>
      <c r="K2036" s="13" t="s">
        <v>8836</v>
      </c>
      <c r="L2036" s="99" t="str">
        <f t="shared" ref="L2036:L2050" si="103">"W"&amp;DEC2HEX(8704 + INT((ROW()-51)/16)) &amp; "." &amp; IF(MOD(ROW()-51,16)&lt;10,MOD(ROW()-51,16),CHAR(MOD(ROW()-51,16)+55))</f>
        <v>W227C.1</v>
      </c>
      <c r="M2036" s="45"/>
      <c r="N2036" s="47"/>
      <c r="O2036" s="47"/>
      <c r="P2036" s="47"/>
      <c r="Q2036" s="45"/>
      <c r="R2036" s="45"/>
      <c r="S2036" s="48"/>
    </row>
    <row r="2037" spans="1:19" s="49" customFormat="1" ht="14.15" customHeight="1">
      <c r="A2037" s="45"/>
      <c r="B2037" s="44" t="s">
        <v>157</v>
      </c>
      <c r="C2037" s="50"/>
      <c r="D2037" s="10" t="s">
        <v>29</v>
      </c>
      <c r="E2037" s="11"/>
      <c r="F2037" s="11" t="s">
        <v>18</v>
      </c>
      <c r="G2037" s="13"/>
      <c r="H2037" s="45" t="s">
        <v>16</v>
      </c>
      <c r="I2037" s="47"/>
      <c r="J2037" s="12" t="s">
        <v>3477</v>
      </c>
      <c r="K2037" s="13" t="s">
        <v>8837</v>
      </c>
      <c r="L2037" s="99" t="str">
        <f t="shared" si="103"/>
        <v>W227C.2</v>
      </c>
      <c r="M2037" s="45"/>
      <c r="N2037" s="47"/>
      <c r="O2037" s="47"/>
      <c r="P2037" s="47"/>
      <c r="Q2037" s="45"/>
      <c r="R2037" s="45"/>
      <c r="S2037" s="48"/>
    </row>
    <row r="2038" spans="1:19" s="49" customFormat="1" ht="14.15" customHeight="1">
      <c r="A2038" s="45"/>
      <c r="B2038" s="44" t="s">
        <v>157</v>
      </c>
      <c r="C2038" s="50"/>
      <c r="D2038" s="10" t="s">
        <v>29</v>
      </c>
      <c r="E2038" s="11"/>
      <c r="F2038" s="11" t="s">
        <v>18</v>
      </c>
      <c r="G2038" s="13"/>
      <c r="H2038" s="45" t="s">
        <v>16</v>
      </c>
      <c r="I2038" s="47"/>
      <c r="J2038" s="12" t="s">
        <v>3478</v>
      </c>
      <c r="K2038" s="13" t="s">
        <v>8838</v>
      </c>
      <c r="L2038" s="99" t="str">
        <f t="shared" si="103"/>
        <v>W227C.3</v>
      </c>
      <c r="M2038" s="45"/>
      <c r="N2038" s="47"/>
      <c r="O2038" s="47"/>
      <c r="P2038" s="47"/>
      <c r="Q2038" s="45"/>
      <c r="R2038" s="45"/>
      <c r="S2038" s="48"/>
    </row>
    <row r="2039" spans="1:19" s="49" customFormat="1" ht="14.15" customHeight="1">
      <c r="A2039" s="45"/>
      <c r="B2039" s="44" t="s">
        <v>157</v>
      </c>
      <c r="C2039" s="50"/>
      <c r="D2039" s="10" t="s">
        <v>29</v>
      </c>
      <c r="E2039" s="11"/>
      <c r="F2039" s="11" t="s">
        <v>18</v>
      </c>
      <c r="G2039" s="13"/>
      <c r="H2039" s="45" t="s">
        <v>16</v>
      </c>
      <c r="I2039" s="47"/>
      <c r="J2039" s="12" t="s">
        <v>3479</v>
      </c>
      <c r="K2039" s="13" t="s">
        <v>8839</v>
      </c>
      <c r="L2039" s="99" t="str">
        <f t="shared" si="103"/>
        <v>W227C.4</v>
      </c>
      <c r="M2039" s="45"/>
      <c r="N2039" s="47"/>
      <c r="O2039" s="47"/>
      <c r="P2039" s="47"/>
      <c r="Q2039" s="45"/>
      <c r="R2039" s="45"/>
      <c r="S2039" s="48"/>
    </row>
    <row r="2040" spans="1:19" s="49" customFormat="1" ht="14.15" customHeight="1">
      <c r="A2040" s="45"/>
      <c r="B2040" s="44" t="s">
        <v>157</v>
      </c>
      <c r="C2040" s="50"/>
      <c r="D2040" s="10" t="s">
        <v>29</v>
      </c>
      <c r="E2040" s="11"/>
      <c r="F2040" s="11" t="s">
        <v>18</v>
      </c>
      <c r="G2040" s="13"/>
      <c r="H2040" s="45" t="s">
        <v>16</v>
      </c>
      <c r="I2040" s="47"/>
      <c r="J2040" s="12" t="s">
        <v>3480</v>
      </c>
      <c r="K2040" s="13" t="s">
        <v>8840</v>
      </c>
      <c r="L2040" s="99" t="str">
        <f t="shared" si="103"/>
        <v>W227C.5</v>
      </c>
      <c r="M2040" s="45"/>
      <c r="N2040" s="47"/>
      <c r="O2040" s="47"/>
      <c r="P2040" s="47"/>
      <c r="Q2040" s="45"/>
      <c r="R2040" s="45"/>
      <c r="S2040" s="48"/>
    </row>
    <row r="2041" spans="1:19" s="49" customFormat="1" ht="14.15" customHeight="1">
      <c r="A2041" s="45"/>
      <c r="B2041" s="44" t="s">
        <v>157</v>
      </c>
      <c r="C2041" s="50"/>
      <c r="D2041" s="10" t="s">
        <v>29</v>
      </c>
      <c r="E2041" s="11"/>
      <c r="F2041" s="11" t="s">
        <v>18</v>
      </c>
      <c r="G2041" s="13"/>
      <c r="H2041" s="45" t="s">
        <v>16</v>
      </c>
      <c r="I2041" s="47"/>
      <c r="J2041" s="12" t="s">
        <v>3481</v>
      </c>
      <c r="K2041" s="13" t="s">
        <v>8841</v>
      </c>
      <c r="L2041" s="99" t="str">
        <f t="shared" si="103"/>
        <v>W227C.6</v>
      </c>
      <c r="M2041" s="45"/>
      <c r="N2041" s="47"/>
      <c r="O2041" s="47"/>
      <c r="P2041" s="47"/>
      <c r="Q2041" s="45"/>
      <c r="R2041" s="45"/>
      <c r="S2041" s="48"/>
    </row>
    <row r="2042" spans="1:19" s="49" customFormat="1" ht="14.15" customHeight="1">
      <c r="A2042" s="45"/>
      <c r="B2042" s="44" t="s">
        <v>157</v>
      </c>
      <c r="C2042" s="50"/>
      <c r="D2042" s="10" t="s">
        <v>29</v>
      </c>
      <c r="E2042" s="11"/>
      <c r="F2042" s="11" t="s">
        <v>18</v>
      </c>
      <c r="G2042" s="13"/>
      <c r="H2042" s="45" t="s">
        <v>16</v>
      </c>
      <c r="I2042" s="47"/>
      <c r="J2042" s="12" t="s">
        <v>3482</v>
      </c>
      <c r="K2042" s="13" t="s">
        <v>8842</v>
      </c>
      <c r="L2042" s="99" t="str">
        <f t="shared" si="103"/>
        <v>W227C.7</v>
      </c>
      <c r="M2042" s="45"/>
      <c r="N2042" s="47"/>
      <c r="O2042" s="47"/>
      <c r="P2042" s="47"/>
      <c r="Q2042" s="45"/>
      <c r="R2042" s="45"/>
      <c r="S2042" s="48"/>
    </row>
    <row r="2043" spans="1:19" s="49" customFormat="1" ht="14.15" customHeight="1">
      <c r="A2043" s="45"/>
      <c r="B2043" s="44" t="s">
        <v>157</v>
      </c>
      <c r="C2043" s="50"/>
      <c r="D2043" s="10" t="s">
        <v>29</v>
      </c>
      <c r="E2043" s="11"/>
      <c r="F2043" s="11" t="s">
        <v>18</v>
      </c>
      <c r="G2043" s="13"/>
      <c r="H2043" s="45" t="s">
        <v>16</v>
      </c>
      <c r="I2043" s="47"/>
      <c r="J2043" s="12" t="s">
        <v>3483</v>
      </c>
      <c r="K2043" s="13" t="s">
        <v>8843</v>
      </c>
      <c r="L2043" s="99" t="str">
        <f t="shared" si="103"/>
        <v>W227C.8</v>
      </c>
      <c r="M2043" s="45"/>
      <c r="N2043" s="47"/>
      <c r="O2043" s="47"/>
      <c r="P2043" s="47"/>
      <c r="Q2043" s="45"/>
      <c r="R2043" s="45"/>
      <c r="S2043" s="48"/>
    </row>
    <row r="2044" spans="1:19" s="49" customFormat="1" ht="14.15" customHeight="1">
      <c r="A2044" s="45"/>
      <c r="B2044" s="44" t="s">
        <v>157</v>
      </c>
      <c r="C2044" s="50"/>
      <c r="D2044" s="10" t="s">
        <v>29</v>
      </c>
      <c r="E2044" s="11"/>
      <c r="F2044" s="11" t="s">
        <v>18</v>
      </c>
      <c r="G2044" s="13"/>
      <c r="H2044" s="45" t="s">
        <v>16</v>
      </c>
      <c r="I2044" s="47"/>
      <c r="J2044" s="12" t="s">
        <v>3484</v>
      </c>
      <c r="K2044" s="13" t="s">
        <v>8844</v>
      </c>
      <c r="L2044" s="99" t="str">
        <f t="shared" si="103"/>
        <v>W227C.9</v>
      </c>
      <c r="M2044" s="45"/>
      <c r="N2044" s="47"/>
      <c r="O2044" s="47"/>
      <c r="P2044" s="47"/>
      <c r="Q2044" s="45"/>
      <c r="R2044" s="45"/>
      <c r="S2044" s="48"/>
    </row>
    <row r="2045" spans="1:19" s="49" customFormat="1" ht="14.15" customHeight="1">
      <c r="A2045" s="45"/>
      <c r="B2045" s="44" t="s">
        <v>157</v>
      </c>
      <c r="C2045" s="50"/>
      <c r="D2045" s="10" t="s">
        <v>29</v>
      </c>
      <c r="E2045" s="11"/>
      <c r="F2045" s="11" t="s">
        <v>18</v>
      </c>
      <c r="G2045" s="13"/>
      <c r="H2045" s="45" t="s">
        <v>16</v>
      </c>
      <c r="I2045" s="47"/>
      <c r="J2045" s="12" t="s">
        <v>3485</v>
      </c>
      <c r="K2045" s="13" t="s">
        <v>8845</v>
      </c>
      <c r="L2045" s="99" t="str">
        <f t="shared" si="103"/>
        <v>W227C.A</v>
      </c>
      <c r="M2045" s="45"/>
      <c r="N2045" s="47"/>
      <c r="O2045" s="47"/>
      <c r="P2045" s="47"/>
      <c r="Q2045" s="45"/>
      <c r="R2045" s="45"/>
      <c r="S2045" s="48"/>
    </row>
    <row r="2046" spans="1:19" s="49" customFormat="1" ht="14.15" customHeight="1">
      <c r="A2046" s="45"/>
      <c r="B2046" s="44" t="s">
        <v>157</v>
      </c>
      <c r="C2046" s="50"/>
      <c r="D2046" s="10" t="s">
        <v>29</v>
      </c>
      <c r="E2046" s="11"/>
      <c r="F2046" s="11" t="s">
        <v>18</v>
      </c>
      <c r="G2046" s="13"/>
      <c r="H2046" s="45" t="s">
        <v>16</v>
      </c>
      <c r="I2046" s="47"/>
      <c r="J2046" s="12" t="s">
        <v>3486</v>
      </c>
      <c r="K2046" s="13" t="s">
        <v>8846</v>
      </c>
      <c r="L2046" s="99" t="str">
        <f t="shared" si="103"/>
        <v>W227C.B</v>
      </c>
      <c r="M2046" s="45"/>
      <c r="N2046" s="47"/>
      <c r="O2046" s="47"/>
      <c r="P2046" s="47"/>
      <c r="Q2046" s="45"/>
      <c r="R2046" s="45"/>
      <c r="S2046" s="48"/>
    </row>
    <row r="2047" spans="1:19" s="49" customFormat="1" ht="14.15" customHeight="1">
      <c r="A2047" s="45"/>
      <c r="B2047" s="44" t="s">
        <v>157</v>
      </c>
      <c r="C2047" s="50"/>
      <c r="D2047" s="10" t="s">
        <v>29</v>
      </c>
      <c r="E2047" s="11"/>
      <c r="F2047" s="11" t="s">
        <v>18</v>
      </c>
      <c r="G2047" s="13"/>
      <c r="H2047" s="45" t="s">
        <v>16</v>
      </c>
      <c r="I2047" s="47"/>
      <c r="J2047" s="12" t="s">
        <v>3487</v>
      </c>
      <c r="K2047" s="13" t="s">
        <v>8847</v>
      </c>
      <c r="L2047" s="99" t="str">
        <f t="shared" si="103"/>
        <v>W227C.C</v>
      </c>
      <c r="M2047" s="45"/>
      <c r="N2047" s="47"/>
      <c r="O2047" s="47"/>
      <c r="P2047" s="47"/>
      <c r="Q2047" s="45"/>
      <c r="R2047" s="45"/>
      <c r="S2047" s="48"/>
    </row>
    <row r="2048" spans="1:19" s="49" customFormat="1" ht="14.15" customHeight="1">
      <c r="A2048" s="45"/>
      <c r="B2048" s="44" t="s">
        <v>157</v>
      </c>
      <c r="C2048" s="50"/>
      <c r="D2048" s="10" t="s">
        <v>29</v>
      </c>
      <c r="E2048" s="11"/>
      <c r="F2048" s="11" t="s">
        <v>18</v>
      </c>
      <c r="G2048" s="13"/>
      <c r="H2048" s="45" t="s">
        <v>16</v>
      </c>
      <c r="I2048" s="47"/>
      <c r="J2048" s="12" t="s">
        <v>3488</v>
      </c>
      <c r="K2048" s="13" t="s">
        <v>8848</v>
      </c>
      <c r="L2048" s="99" t="str">
        <f t="shared" si="103"/>
        <v>W227C.D</v>
      </c>
      <c r="M2048" s="45"/>
      <c r="N2048" s="47"/>
      <c r="O2048" s="47"/>
      <c r="P2048" s="47"/>
      <c r="Q2048" s="45"/>
      <c r="R2048" s="45"/>
      <c r="S2048" s="48"/>
    </row>
    <row r="2049" spans="1:19" s="49" customFormat="1" ht="14.15" customHeight="1">
      <c r="A2049" s="45"/>
      <c r="B2049" s="44" t="s">
        <v>157</v>
      </c>
      <c r="C2049" s="50"/>
      <c r="D2049" s="10" t="s">
        <v>29</v>
      </c>
      <c r="E2049" s="11"/>
      <c r="F2049" s="11" t="s">
        <v>18</v>
      </c>
      <c r="G2049" s="13"/>
      <c r="H2049" s="45" t="s">
        <v>16</v>
      </c>
      <c r="I2049" s="47"/>
      <c r="J2049" s="12" t="s">
        <v>3489</v>
      </c>
      <c r="K2049" s="13" t="s">
        <v>8849</v>
      </c>
      <c r="L2049" s="99" t="str">
        <f t="shared" si="103"/>
        <v>W227C.E</v>
      </c>
      <c r="M2049" s="45"/>
      <c r="N2049" s="47"/>
      <c r="O2049" s="47"/>
      <c r="P2049" s="47"/>
      <c r="Q2049" s="45"/>
      <c r="R2049" s="45"/>
      <c r="S2049" s="48"/>
    </row>
    <row r="2050" spans="1:19" s="49" customFormat="1" ht="14.15" customHeight="1">
      <c r="A2050" s="45"/>
      <c r="B2050" s="44" t="s">
        <v>157</v>
      </c>
      <c r="C2050" s="50"/>
      <c r="D2050" s="10" t="s">
        <v>29</v>
      </c>
      <c r="E2050" s="11"/>
      <c r="F2050" s="11" t="s">
        <v>18</v>
      </c>
      <c r="G2050" s="13"/>
      <c r="H2050" s="45" t="s">
        <v>16</v>
      </c>
      <c r="I2050" s="47"/>
      <c r="J2050" s="12" t="s">
        <v>3490</v>
      </c>
      <c r="K2050" s="13" t="s">
        <v>8850</v>
      </c>
      <c r="L2050" s="99" t="str">
        <f t="shared" si="103"/>
        <v>W227C.F</v>
      </c>
      <c r="M2050" s="45"/>
      <c r="N2050" s="47"/>
      <c r="O2050" s="47"/>
      <c r="P2050" s="47"/>
      <c r="Q2050" s="45"/>
      <c r="R2050" s="45"/>
      <c r="S2050" s="48"/>
    </row>
    <row r="2051" spans="1:19" s="49" customFormat="1" ht="14.15" customHeight="1">
      <c r="A2051" s="45"/>
      <c r="B2051" s="44" t="s">
        <v>157</v>
      </c>
      <c r="C2051" s="50"/>
      <c r="D2051" s="10" t="s">
        <v>29</v>
      </c>
      <c r="E2051" s="11"/>
      <c r="F2051" s="11" t="s">
        <v>18</v>
      </c>
      <c r="G2051" s="13"/>
      <c r="H2051" s="45" t="s">
        <v>16</v>
      </c>
      <c r="I2051" s="47"/>
      <c r="J2051" s="12"/>
      <c r="K2051" s="12"/>
      <c r="L2051" s="13"/>
      <c r="M2051" s="45"/>
      <c r="N2051" s="47"/>
      <c r="O2051" s="47"/>
      <c r="P2051" s="47"/>
      <c r="Q2051" s="45"/>
      <c r="R2051" s="45"/>
      <c r="S2051" s="48"/>
    </row>
    <row r="2052" spans="1:19" s="49" customFormat="1" ht="14.15" customHeight="1">
      <c r="A2052" s="45"/>
      <c r="B2052" s="44" t="s">
        <v>157</v>
      </c>
      <c r="C2052" s="50"/>
      <c r="D2052" s="10" t="s">
        <v>29</v>
      </c>
      <c r="E2052" s="11"/>
      <c r="F2052" s="11" t="s">
        <v>18</v>
      </c>
      <c r="G2052" s="13"/>
      <c r="H2052" s="45" t="s">
        <v>16</v>
      </c>
      <c r="I2052" s="47"/>
      <c r="J2052" s="12"/>
      <c r="K2052" s="12"/>
      <c r="L2052" s="13"/>
      <c r="M2052" s="45"/>
      <c r="N2052" s="47"/>
      <c r="O2052" s="47"/>
      <c r="P2052" s="47"/>
      <c r="Q2052" s="45"/>
      <c r="R2052" s="45"/>
      <c r="S2052" s="48"/>
    </row>
    <row r="2053" spans="1:19" s="49" customFormat="1" ht="14.15" customHeight="1">
      <c r="A2053" s="45"/>
      <c r="B2053" s="44" t="s">
        <v>157</v>
      </c>
      <c r="C2053" s="50"/>
      <c r="D2053" s="10" t="s">
        <v>29</v>
      </c>
      <c r="E2053" s="11"/>
      <c r="F2053" s="11" t="s">
        <v>18</v>
      </c>
      <c r="G2053" s="13"/>
      <c r="H2053" s="45" t="s">
        <v>16</v>
      </c>
      <c r="I2053" s="47"/>
      <c r="J2053" s="12"/>
      <c r="K2053" s="12"/>
      <c r="L2053" s="13"/>
      <c r="M2053" s="45"/>
      <c r="N2053" s="47"/>
      <c r="O2053" s="47"/>
      <c r="P2053" s="47"/>
      <c r="Q2053" s="45"/>
      <c r="R2053" s="45"/>
      <c r="S2053" s="48"/>
    </row>
    <row r="2054" spans="1:19" s="49" customFormat="1" ht="14.15" customHeight="1">
      <c r="A2054" s="45"/>
      <c r="B2054" s="44" t="s">
        <v>157</v>
      </c>
      <c r="C2054" s="50"/>
      <c r="D2054" s="10" t="s">
        <v>29</v>
      </c>
      <c r="E2054" s="11"/>
      <c r="F2054" s="11" t="s">
        <v>18</v>
      </c>
      <c r="G2054" s="13"/>
      <c r="H2054" s="45" t="s">
        <v>16</v>
      </c>
      <c r="I2054" s="47"/>
      <c r="J2054" s="12"/>
      <c r="K2054" s="12"/>
      <c r="L2054" s="13"/>
      <c r="M2054" s="45"/>
      <c r="N2054" s="47"/>
      <c r="O2054" s="47"/>
      <c r="P2054" s="47"/>
      <c r="Q2054" s="45"/>
      <c r="R2054" s="45"/>
      <c r="S2054" s="48"/>
    </row>
    <row r="2055" spans="1:19" ht="14">
      <c r="G2055" s="61"/>
      <c r="J2055" s="42"/>
      <c r="K2055" s="42"/>
    </row>
    <row r="2056" spans="1:19" ht="14">
      <c r="J2056" s="42"/>
      <c r="K2056" s="42"/>
    </row>
    <row r="2057" spans="1:19" ht="14">
      <c r="J2057" s="42"/>
      <c r="K2057" s="42"/>
    </row>
    <row r="2058" spans="1:19" ht="14">
      <c r="J2058" s="42"/>
      <c r="K2058" s="42"/>
    </row>
    <row r="2059" spans="1:19" ht="14">
      <c r="J2059" s="42"/>
      <c r="K2059" s="42"/>
    </row>
    <row r="2060" spans="1:19" ht="14">
      <c r="J2060" s="42"/>
      <c r="K2060" s="42"/>
    </row>
    <row r="2061" spans="1:19" ht="14">
      <c r="J2061" s="42"/>
      <c r="K2061" s="42"/>
    </row>
    <row r="2062" spans="1:19" ht="14">
      <c r="J2062" s="42"/>
      <c r="K2062" s="42"/>
    </row>
    <row r="2063" spans="1:19" ht="14">
      <c r="J2063" s="42"/>
      <c r="K2063" s="42"/>
    </row>
    <row r="2064" spans="1:19" ht="14">
      <c r="J2064" s="42"/>
      <c r="K2064" s="42"/>
    </row>
    <row r="2065" spans="10:11" ht="14">
      <c r="J2065" s="42"/>
      <c r="K2065" s="42"/>
    </row>
    <row r="2066" spans="10:11" ht="14">
      <c r="J2066" s="42"/>
      <c r="K2066" s="42"/>
    </row>
    <row r="2067" spans="10:11" ht="14">
      <c r="J2067" s="42"/>
      <c r="K2067" s="42"/>
    </row>
    <row r="2068" spans="10:11" ht="14">
      <c r="J2068" s="42"/>
      <c r="K2068" s="42"/>
    </row>
    <row r="2069" spans="10:11" ht="14">
      <c r="J2069" s="42"/>
      <c r="K2069" s="42"/>
    </row>
    <row r="2070" spans="10:11" ht="14">
      <c r="J2070" s="42"/>
      <c r="K2070" s="42"/>
    </row>
    <row r="2071" spans="10:11" ht="14">
      <c r="J2071" s="42"/>
      <c r="K2071" s="42"/>
    </row>
    <row r="2072" spans="10:11" ht="14">
      <c r="J2072" s="42"/>
      <c r="K2072" s="42"/>
    </row>
    <row r="2073" spans="10:11" ht="14">
      <c r="J2073" s="42"/>
      <c r="K2073" s="42"/>
    </row>
    <row r="2074" spans="10:11" ht="14">
      <c r="J2074" s="42"/>
      <c r="K2074" s="42"/>
    </row>
    <row r="2075" spans="10:11" ht="14">
      <c r="J2075" s="42"/>
      <c r="K2075" s="42"/>
    </row>
    <row r="2076" spans="10:11" ht="14">
      <c r="J2076" s="42"/>
      <c r="K2076" s="42"/>
    </row>
    <row r="2077" spans="10:11" ht="14">
      <c r="J2077" s="42"/>
      <c r="K2077" s="42"/>
    </row>
    <row r="2078" spans="10:11" ht="14">
      <c r="J2078" s="42"/>
      <c r="K2078" s="42"/>
    </row>
    <row r="2079" spans="10:11" ht="14">
      <c r="J2079" s="42"/>
      <c r="K2079" s="42"/>
    </row>
    <row r="2080" spans="10:11" ht="14">
      <c r="J2080" s="42"/>
      <c r="K2080" s="42"/>
    </row>
    <row r="2081" spans="10:11" ht="14">
      <c r="J2081" s="42"/>
      <c r="K2081" s="42"/>
    </row>
    <row r="2082" spans="10:11" ht="14">
      <c r="J2082" s="42"/>
      <c r="K2082" s="42"/>
    </row>
    <row r="2083" spans="10:11" ht="14">
      <c r="J2083" s="42"/>
      <c r="K2083" s="42"/>
    </row>
    <row r="2084" spans="10:11" ht="14">
      <c r="J2084" s="42"/>
      <c r="K2084" s="42"/>
    </row>
    <row r="2085" spans="10:11" ht="14">
      <c r="J2085" s="42"/>
      <c r="K2085" s="42"/>
    </row>
  </sheetData>
  <autoFilter ref="A3:V2054" xr:uid="{00000000-0009-0000-0000-000004000000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2:V2132"/>
  <sheetViews>
    <sheetView zoomScale="83" zoomScaleNormal="83" workbookViewId="0">
      <pane ySplit="3" topLeftCell="A2064" activePane="bottomLeft" state="frozen"/>
      <selection pane="bottomLeft" activeCell="M2106" sqref="M2106"/>
    </sheetView>
  </sheetViews>
  <sheetFormatPr defaultColWidth="9" defaultRowHeight="13"/>
  <cols>
    <col min="1" max="1" width="31.58203125" style="15" bestFit="1" customWidth="1"/>
    <col min="2" max="2" width="7.5" style="15" customWidth="1"/>
    <col min="3" max="3" width="20.83203125" style="15" customWidth="1"/>
    <col min="4" max="4" width="6.58203125" style="15" customWidth="1"/>
    <col min="5" max="5" width="13.83203125" style="15" hidden="1" customWidth="1"/>
    <col min="6" max="6" width="5.83203125" style="15" customWidth="1"/>
    <col min="7" max="7" width="8.5" style="15" customWidth="1"/>
    <col min="8" max="8" width="12.08203125" style="15" customWidth="1"/>
    <col min="9" max="9" width="90.83203125" style="5" hidden="1" customWidth="1"/>
    <col min="10" max="10" width="99.08203125" style="16" customWidth="1"/>
    <col min="11" max="11" width="13.25" style="16" customWidth="1"/>
    <col min="12" max="12" width="12.58203125" style="5" bestFit="1" customWidth="1"/>
    <col min="13" max="13" width="25.25" style="15" bestFit="1" customWidth="1"/>
    <col min="14" max="14" width="9.33203125" style="5" bestFit="1" customWidth="1"/>
    <col min="15" max="15" width="26.33203125" style="5" customWidth="1"/>
    <col min="16" max="16" width="8.58203125" style="5" customWidth="1"/>
    <col min="17" max="18" width="8.25" style="15" customWidth="1"/>
    <col min="19" max="19" width="4.58203125" style="15" hidden="1" customWidth="1"/>
    <col min="20" max="20" width="0" style="5" hidden="1" customWidth="1"/>
    <col min="21" max="21" width="26" style="5" hidden="1" customWidth="1"/>
    <col min="22" max="22" width="29.58203125" style="5" hidden="1" customWidth="1"/>
    <col min="23" max="16384" width="9" style="5"/>
  </cols>
  <sheetData>
    <row r="2" spans="1:21" ht="78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1" t="s">
        <v>3</v>
      </c>
      <c r="G2" s="2" t="s">
        <v>2</v>
      </c>
      <c r="H2" s="1" t="s">
        <v>3</v>
      </c>
      <c r="I2" s="3" t="s">
        <v>0</v>
      </c>
      <c r="J2" s="3" t="s">
        <v>0</v>
      </c>
      <c r="K2" s="1" t="s">
        <v>0</v>
      </c>
      <c r="L2" s="1" t="s">
        <v>0</v>
      </c>
      <c r="M2" s="1" t="s">
        <v>0</v>
      </c>
      <c r="N2" s="1"/>
      <c r="O2" s="1"/>
      <c r="P2" s="4"/>
      <c r="Q2" s="35"/>
      <c r="R2" s="35"/>
      <c r="S2" s="36"/>
    </row>
    <row r="3" spans="1:21" ht="26">
      <c r="A3" s="6" t="s">
        <v>5</v>
      </c>
      <c r="B3" s="6" t="s">
        <v>6</v>
      </c>
      <c r="C3" s="6" t="s">
        <v>7</v>
      </c>
      <c r="D3" s="7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6" t="s">
        <v>13</v>
      </c>
      <c r="J3" s="8" t="s">
        <v>14</v>
      </c>
      <c r="K3" s="38" t="s">
        <v>6804</v>
      </c>
      <c r="L3" s="38" t="s">
        <v>6805</v>
      </c>
      <c r="M3" s="9" t="s">
        <v>156</v>
      </c>
      <c r="N3" s="9" t="s">
        <v>21</v>
      </c>
      <c r="O3" s="9" t="s">
        <v>152</v>
      </c>
      <c r="P3" s="9" t="s">
        <v>15</v>
      </c>
      <c r="Q3" s="9" t="s">
        <v>140</v>
      </c>
      <c r="R3" s="9" t="s">
        <v>141</v>
      </c>
      <c r="S3" s="37"/>
    </row>
    <row r="4" spans="1:21" s="49" customFormat="1" ht="14.15" customHeight="1">
      <c r="A4" s="43" t="s">
        <v>6672</v>
      </c>
      <c r="B4" s="44" t="s">
        <v>6635</v>
      </c>
      <c r="C4" s="32"/>
      <c r="D4" s="10" t="s">
        <v>29</v>
      </c>
      <c r="E4" s="11" t="s">
        <v>18</v>
      </c>
      <c r="F4" s="11" t="s">
        <v>18</v>
      </c>
      <c r="G4" s="13"/>
      <c r="H4" s="45" t="s">
        <v>16</v>
      </c>
      <c r="I4" s="46"/>
      <c r="J4" s="62" t="s">
        <v>6645</v>
      </c>
      <c r="K4" s="13" t="s">
        <v>8916</v>
      </c>
      <c r="L4" s="99" t="str">
        <f>"W"&amp;DEC2HEX(14336 + INT((ROW()-4)/16)) &amp; "." &amp; IF(MOD(ROW()-4,16)&lt;10,MOD(ROW()-4,16),CHAR(MOD(ROW()-4,16)+55))</f>
        <v>W3800.0</v>
      </c>
      <c r="M4" s="13" t="s">
        <v>108</v>
      </c>
      <c r="N4" s="13" t="s">
        <v>150</v>
      </c>
      <c r="O4" s="33" t="s">
        <v>115</v>
      </c>
      <c r="P4" s="64"/>
      <c r="Q4" s="65" t="s">
        <v>142</v>
      </c>
      <c r="R4" s="65" t="s">
        <v>5596</v>
      </c>
      <c r="S4" s="48"/>
      <c r="U4" s="12"/>
    </row>
    <row r="5" spans="1:21" s="49" customFormat="1" ht="14.15" customHeight="1">
      <c r="A5" s="43" t="s">
        <v>6672</v>
      </c>
      <c r="B5" s="44" t="s">
        <v>6635</v>
      </c>
      <c r="C5" s="32"/>
      <c r="D5" s="10" t="s">
        <v>29</v>
      </c>
      <c r="E5" s="11"/>
      <c r="F5" s="11" t="s">
        <v>18</v>
      </c>
      <c r="G5" s="13"/>
      <c r="H5" s="45" t="s">
        <v>16</v>
      </c>
      <c r="I5" s="46"/>
      <c r="J5" s="62" t="s">
        <v>6646</v>
      </c>
      <c r="K5" s="13" t="s">
        <v>8917</v>
      </c>
      <c r="L5" s="99" t="str">
        <f t="shared" ref="L5:L68" si="0">"W"&amp;DEC2HEX(14336 + INT((ROW()-4)/16)) &amp; "." &amp; IF(MOD(ROW()-4,16)&lt;10,MOD(ROW()-4,16),CHAR(MOD(ROW()-4,16)+55))</f>
        <v>W3800.1</v>
      </c>
      <c r="M5" s="13" t="s">
        <v>108</v>
      </c>
      <c r="N5" s="13" t="s">
        <v>149</v>
      </c>
      <c r="O5" s="33" t="s">
        <v>121</v>
      </c>
      <c r="P5" s="64"/>
      <c r="Q5" s="65" t="s">
        <v>142</v>
      </c>
      <c r="R5" s="65" t="s">
        <v>5596</v>
      </c>
      <c r="S5" s="48"/>
      <c r="U5" s="12"/>
    </row>
    <row r="6" spans="1:21" s="49" customFormat="1" ht="14.15" customHeight="1">
      <c r="A6" s="43" t="s">
        <v>6672</v>
      </c>
      <c r="B6" s="44" t="s">
        <v>6635</v>
      </c>
      <c r="C6" s="32"/>
      <c r="D6" s="10" t="s">
        <v>29</v>
      </c>
      <c r="E6" s="11"/>
      <c r="F6" s="11" t="s">
        <v>18</v>
      </c>
      <c r="G6" s="13"/>
      <c r="H6" s="45" t="s">
        <v>16</v>
      </c>
      <c r="I6" s="46"/>
      <c r="J6" s="62" t="s">
        <v>6647</v>
      </c>
      <c r="K6" s="13" t="s">
        <v>8918</v>
      </c>
      <c r="L6" s="99" t="str">
        <f t="shared" si="0"/>
        <v>W3800.2</v>
      </c>
      <c r="M6" s="13" t="s">
        <v>108</v>
      </c>
      <c r="N6" s="13" t="s">
        <v>119</v>
      </c>
      <c r="O6" s="33" t="s">
        <v>116</v>
      </c>
      <c r="P6" s="64"/>
      <c r="Q6" s="65" t="s">
        <v>142</v>
      </c>
      <c r="R6" s="65" t="s">
        <v>5596</v>
      </c>
      <c r="S6" s="48"/>
      <c r="U6" s="12"/>
    </row>
    <row r="7" spans="1:21" s="49" customFormat="1" ht="14.15" customHeight="1">
      <c r="A7" s="43" t="s">
        <v>6672</v>
      </c>
      <c r="B7" s="44" t="s">
        <v>6635</v>
      </c>
      <c r="C7" s="32"/>
      <c r="D7" s="10" t="s">
        <v>29</v>
      </c>
      <c r="E7" s="11"/>
      <c r="F7" s="11" t="s">
        <v>18</v>
      </c>
      <c r="G7" s="13"/>
      <c r="H7" s="45" t="s">
        <v>16</v>
      </c>
      <c r="I7" s="46"/>
      <c r="J7" s="66" t="s">
        <v>6648</v>
      </c>
      <c r="K7" s="13" t="s">
        <v>8919</v>
      </c>
      <c r="L7" s="99" t="str">
        <f t="shared" si="0"/>
        <v>W3800.3</v>
      </c>
      <c r="M7" s="13" t="s">
        <v>108</v>
      </c>
      <c r="N7" s="13" t="s">
        <v>148</v>
      </c>
      <c r="O7" s="33" t="s">
        <v>122</v>
      </c>
      <c r="P7" s="64"/>
      <c r="Q7" s="65" t="s">
        <v>142</v>
      </c>
      <c r="R7" s="65" t="s">
        <v>5596</v>
      </c>
      <c r="S7" s="48"/>
      <c r="U7" s="12"/>
    </row>
    <row r="8" spans="1:21" s="49" customFormat="1" ht="14.15" customHeight="1">
      <c r="A8" s="43" t="s">
        <v>6673</v>
      </c>
      <c r="B8" s="44" t="s">
        <v>6635</v>
      </c>
      <c r="C8" s="32"/>
      <c r="D8" s="10" t="s">
        <v>29</v>
      </c>
      <c r="E8" s="11"/>
      <c r="F8" s="11" t="s">
        <v>18</v>
      </c>
      <c r="G8" s="13"/>
      <c r="H8" s="45" t="s">
        <v>16</v>
      </c>
      <c r="I8" s="46"/>
      <c r="J8" s="62" t="s">
        <v>6649</v>
      </c>
      <c r="K8" s="13" t="s">
        <v>8920</v>
      </c>
      <c r="L8" s="99" t="str">
        <f t="shared" si="0"/>
        <v>W3800.4</v>
      </c>
      <c r="M8" s="13" t="s">
        <v>108</v>
      </c>
      <c r="N8" s="13" t="s">
        <v>150</v>
      </c>
      <c r="O8" s="33" t="s">
        <v>115</v>
      </c>
      <c r="P8" s="64"/>
      <c r="Q8" s="65" t="s">
        <v>142</v>
      </c>
      <c r="R8" s="65" t="s">
        <v>5596</v>
      </c>
      <c r="S8" s="48"/>
      <c r="U8" s="12"/>
    </row>
    <row r="9" spans="1:21" s="49" customFormat="1" ht="14.15" customHeight="1">
      <c r="A9" s="43" t="s">
        <v>6673</v>
      </c>
      <c r="B9" s="44" t="s">
        <v>6635</v>
      </c>
      <c r="C9" s="32"/>
      <c r="D9" s="10" t="s">
        <v>29</v>
      </c>
      <c r="E9" s="11"/>
      <c r="F9" s="11" t="s">
        <v>18</v>
      </c>
      <c r="G9" s="13"/>
      <c r="H9" s="45" t="s">
        <v>16</v>
      </c>
      <c r="I9" s="46"/>
      <c r="J9" s="62" t="s">
        <v>6650</v>
      </c>
      <c r="K9" s="13" t="s">
        <v>8921</v>
      </c>
      <c r="L9" s="99" t="str">
        <f t="shared" si="0"/>
        <v>W3800.5</v>
      </c>
      <c r="M9" s="13" t="s">
        <v>108</v>
      </c>
      <c r="N9" s="13" t="s">
        <v>149</v>
      </c>
      <c r="O9" s="33" t="s">
        <v>121</v>
      </c>
      <c r="P9" s="64"/>
      <c r="Q9" s="65" t="s">
        <v>142</v>
      </c>
      <c r="R9" s="65" t="s">
        <v>5596</v>
      </c>
      <c r="S9" s="48"/>
      <c r="U9" s="12"/>
    </row>
    <row r="10" spans="1:21" s="49" customFormat="1" ht="14.15" customHeight="1">
      <c r="A10" s="43" t="s">
        <v>6673</v>
      </c>
      <c r="B10" s="44" t="s">
        <v>6635</v>
      </c>
      <c r="C10" s="32"/>
      <c r="D10" s="10" t="s">
        <v>29</v>
      </c>
      <c r="E10" s="11"/>
      <c r="F10" s="11" t="s">
        <v>18</v>
      </c>
      <c r="G10" s="13"/>
      <c r="H10" s="45" t="s">
        <v>16</v>
      </c>
      <c r="I10" s="46"/>
      <c r="J10" s="62" t="s">
        <v>6651</v>
      </c>
      <c r="K10" s="13" t="s">
        <v>8922</v>
      </c>
      <c r="L10" s="99" t="str">
        <f t="shared" si="0"/>
        <v>W3800.6</v>
      </c>
      <c r="M10" s="13" t="s">
        <v>108</v>
      </c>
      <c r="N10" s="13" t="s">
        <v>119</v>
      </c>
      <c r="O10" s="33" t="s">
        <v>116</v>
      </c>
      <c r="P10" s="64"/>
      <c r="Q10" s="65" t="s">
        <v>142</v>
      </c>
      <c r="R10" s="65" t="s">
        <v>5596</v>
      </c>
      <c r="S10" s="48"/>
      <c r="U10" s="12"/>
    </row>
    <row r="11" spans="1:21" s="49" customFormat="1" ht="14.15" customHeight="1">
      <c r="A11" s="43" t="s">
        <v>6673</v>
      </c>
      <c r="B11" s="44" t="s">
        <v>6635</v>
      </c>
      <c r="C11" s="32"/>
      <c r="D11" s="10" t="s">
        <v>29</v>
      </c>
      <c r="E11" s="11"/>
      <c r="F11" s="11" t="s">
        <v>18</v>
      </c>
      <c r="G11" s="13"/>
      <c r="H11" s="45" t="s">
        <v>16</v>
      </c>
      <c r="I11" s="46"/>
      <c r="J11" s="66" t="s">
        <v>6652</v>
      </c>
      <c r="K11" s="13" t="s">
        <v>8923</v>
      </c>
      <c r="L11" s="99" t="str">
        <f t="shared" si="0"/>
        <v>W3800.7</v>
      </c>
      <c r="M11" s="13" t="s">
        <v>108</v>
      </c>
      <c r="N11" s="13" t="s">
        <v>148</v>
      </c>
      <c r="O11" s="33" t="s">
        <v>122</v>
      </c>
      <c r="P11" s="64"/>
      <c r="Q11" s="65" t="s">
        <v>142</v>
      </c>
      <c r="R11" s="65" t="s">
        <v>5596</v>
      </c>
      <c r="S11" s="48"/>
      <c r="U11" s="12"/>
    </row>
    <row r="12" spans="1:21" s="49" customFormat="1" ht="14.15" customHeight="1">
      <c r="A12" s="43" t="s">
        <v>6675</v>
      </c>
      <c r="B12" s="44" t="s">
        <v>6635</v>
      </c>
      <c r="C12" s="32"/>
      <c r="D12" s="10" t="s">
        <v>29</v>
      </c>
      <c r="E12" s="11"/>
      <c r="F12" s="11" t="s">
        <v>18</v>
      </c>
      <c r="G12" s="13"/>
      <c r="H12" s="45" t="s">
        <v>16</v>
      </c>
      <c r="I12" s="46"/>
      <c r="J12" s="62" t="s">
        <v>6653</v>
      </c>
      <c r="K12" s="13" t="s">
        <v>8924</v>
      </c>
      <c r="L12" s="99" t="str">
        <f t="shared" si="0"/>
        <v>W3800.8</v>
      </c>
      <c r="M12" s="13" t="s">
        <v>108</v>
      </c>
      <c r="N12" s="13" t="s">
        <v>150</v>
      </c>
      <c r="O12" s="33" t="s">
        <v>115</v>
      </c>
      <c r="P12" s="64"/>
      <c r="Q12" s="65" t="s">
        <v>142</v>
      </c>
      <c r="R12" s="65" t="s">
        <v>5596</v>
      </c>
      <c r="S12" s="48"/>
      <c r="U12" s="12"/>
    </row>
    <row r="13" spans="1:21" s="49" customFormat="1" ht="14.15" customHeight="1">
      <c r="A13" s="43" t="s">
        <v>6675</v>
      </c>
      <c r="B13" s="44" t="s">
        <v>6635</v>
      </c>
      <c r="C13" s="32"/>
      <c r="D13" s="10" t="s">
        <v>29</v>
      </c>
      <c r="E13" s="11"/>
      <c r="F13" s="11" t="s">
        <v>18</v>
      </c>
      <c r="G13" s="13"/>
      <c r="H13" s="45" t="s">
        <v>16</v>
      </c>
      <c r="I13" s="46"/>
      <c r="J13" s="62" t="s">
        <v>6654</v>
      </c>
      <c r="K13" s="13" t="s">
        <v>8925</v>
      </c>
      <c r="L13" s="99" t="str">
        <f t="shared" si="0"/>
        <v>W3800.9</v>
      </c>
      <c r="M13" s="13" t="s">
        <v>108</v>
      </c>
      <c r="N13" s="13" t="s">
        <v>149</v>
      </c>
      <c r="O13" s="33" t="s">
        <v>121</v>
      </c>
      <c r="P13" s="64"/>
      <c r="Q13" s="65" t="s">
        <v>142</v>
      </c>
      <c r="R13" s="65" t="s">
        <v>5596</v>
      </c>
      <c r="S13" s="48"/>
      <c r="U13" s="12"/>
    </row>
    <row r="14" spans="1:21" s="49" customFormat="1" ht="14.15" customHeight="1">
      <c r="A14" s="43" t="s">
        <v>6675</v>
      </c>
      <c r="B14" s="44" t="s">
        <v>6635</v>
      </c>
      <c r="C14" s="32"/>
      <c r="D14" s="10" t="s">
        <v>29</v>
      </c>
      <c r="E14" s="11"/>
      <c r="F14" s="11" t="s">
        <v>18</v>
      </c>
      <c r="G14" s="13"/>
      <c r="H14" s="45" t="s">
        <v>16</v>
      </c>
      <c r="I14" s="46"/>
      <c r="J14" s="62" t="s">
        <v>6674</v>
      </c>
      <c r="K14" s="13" t="s">
        <v>8926</v>
      </c>
      <c r="L14" s="99" t="str">
        <f t="shared" si="0"/>
        <v>W3800.A</v>
      </c>
      <c r="M14" s="13" t="s">
        <v>108</v>
      </c>
      <c r="N14" s="13" t="s">
        <v>119</v>
      </c>
      <c r="O14" s="33" t="s">
        <v>116</v>
      </c>
      <c r="P14" s="64"/>
      <c r="Q14" s="65" t="s">
        <v>142</v>
      </c>
      <c r="R14" s="65" t="s">
        <v>5596</v>
      </c>
      <c r="S14" s="48"/>
      <c r="U14" s="12"/>
    </row>
    <row r="15" spans="1:21" s="49" customFormat="1" ht="14.15" customHeight="1">
      <c r="A15" s="43" t="s">
        <v>6675</v>
      </c>
      <c r="B15" s="44" t="s">
        <v>6635</v>
      </c>
      <c r="C15" s="32"/>
      <c r="D15" s="10" t="s">
        <v>29</v>
      </c>
      <c r="E15" s="11"/>
      <c r="F15" s="11" t="s">
        <v>18</v>
      </c>
      <c r="G15" s="13"/>
      <c r="H15" s="45" t="s">
        <v>16</v>
      </c>
      <c r="I15" s="46"/>
      <c r="J15" s="66" t="s">
        <v>6655</v>
      </c>
      <c r="K15" s="13" t="s">
        <v>8927</v>
      </c>
      <c r="L15" s="99" t="str">
        <f t="shared" si="0"/>
        <v>W3800.B</v>
      </c>
      <c r="M15" s="13" t="s">
        <v>108</v>
      </c>
      <c r="N15" s="13" t="s">
        <v>148</v>
      </c>
      <c r="O15" s="33" t="s">
        <v>122</v>
      </c>
      <c r="P15" s="64"/>
      <c r="Q15" s="65" t="s">
        <v>142</v>
      </c>
      <c r="R15" s="65" t="s">
        <v>5596</v>
      </c>
      <c r="S15" s="48"/>
      <c r="U15" s="12"/>
    </row>
    <row r="16" spans="1:21" s="49" customFormat="1" ht="14.15" customHeight="1">
      <c r="A16" s="43" t="s">
        <v>6676</v>
      </c>
      <c r="B16" s="44" t="s">
        <v>6635</v>
      </c>
      <c r="C16" s="32"/>
      <c r="D16" s="10" t="s">
        <v>29</v>
      </c>
      <c r="E16" s="11"/>
      <c r="F16" s="11" t="s">
        <v>18</v>
      </c>
      <c r="G16" s="13"/>
      <c r="H16" s="45" t="s">
        <v>16</v>
      </c>
      <c r="I16" s="46"/>
      <c r="J16" s="62" t="s">
        <v>6656</v>
      </c>
      <c r="K16" s="13" t="s">
        <v>8928</v>
      </c>
      <c r="L16" s="99" t="str">
        <f t="shared" si="0"/>
        <v>W3800.C</v>
      </c>
      <c r="M16" s="13" t="s">
        <v>108</v>
      </c>
      <c r="N16" s="13" t="s">
        <v>150</v>
      </c>
      <c r="O16" s="33" t="s">
        <v>115</v>
      </c>
      <c r="P16" s="64"/>
      <c r="Q16" s="65" t="s">
        <v>142</v>
      </c>
      <c r="R16" s="65" t="s">
        <v>5596</v>
      </c>
      <c r="S16" s="48"/>
      <c r="U16" s="12"/>
    </row>
    <row r="17" spans="1:21" s="49" customFormat="1" ht="14.15" customHeight="1">
      <c r="A17" s="43" t="s">
        <v>6676</v>
      </c>
      <c r="B17" s="44" t="s">
        <v>6635</v>
      </c>
      <c r="C17" s="32"/>
      <c r="D17" s="10" t="s">
        <v>29</v>
      </c>
      <c r="E17" s="11"/>
      <c r="F17" s="11" t="s">
        <v>18</v>
      </c>
      <c r="G17" s="13"/>
      <c r="H17" s="45" t="s">
        <v>16</v>
      </c>
      <c r="I17" s="46"/>
      <c r="J17" s="62" t="s">
        <v>6657</v>
      </c>
      <c r="K17" s="13" t="s">
        <v>8929</v>
      </c>
      <c r="L17" s="99" t="str">
        <f t="shared" si="0"/>
        <v>W3800.D</v>
      </c>
      <c r="M17" s="13" t="s">
        <v>108</v>
      </c>
      <c r="N17" s="13" t="s">
        <v>149</v>
      </c>
      <c r="O17" s="33" t="s">
        <v>121</v>
      </c>
      <c r="P17" s="64"/>
      <c r="Q17" s="65" t="s">
        <v>142</v>
      </c>
      <c r="R17" s="65" t="s">
        <v>5596</v>
      </c>
      <c r="S17" s="48"/>
      <c r="U17" s="12"/>
    </row>
    <row r="18" spans="1:21" s="49" customFormat="1" ht="14.15" customHeight="1">
      <c r="A18" s="43" t="s">
        <v>6676</v>
      </c>
      <c r="B18" s="44" t="s">
        <v>6635</v>
      </c>
      <c r="C18" s="32"/>
      <c r="D18" s="10" t="s">
        <v>29</v>
      </c>
      <c r="E18" s="11"/>
      <c r="F18" s="11" t="s">
        <v>18</v>
      </c>
      <c r="G18" s="13"/>
      <c r="H18" s="45" t="s">
        <v>16</v>
      </c>
      <c r="I18" s="46"/>
      <c r="J18" s="62" t="s">
        <v>6658</v>
      </c>
      <c r="K18" s="13" t="s">
        <v>8930</v>
      </c>
      <c r="L18" s="99" t="str">
        <f t="shared" si="0"/>
        <v>W3800.E</v>
      </c>
      <c r="M18" s="13" t="s">
        <v>108</v>
      </c>
      <c r="N18" s="13" t="s">
        <v>119</v>
      </c>
      <c r="O18" s="33" t="s">
        <v>116</v>
      </c>
      <c r="P18" s="64"/>
      <c r="Q18" s="65" t="s">
        <v>142</v>
      </c>
      <c r="R18" s="65" t="s">
        <v>5596</v>
      </c>
      <c r="S18" s="48"/>
      <c r="U18" s="12"/>
    </row>
    <row r="19" spans="1:21" s="49" customFormat="1" ht="14.15" customHeight="1">
      <c r="A19" s="43" t="s">
        <v>6676</v>
      </c>
      <c r="B19" s="44" t="s">
        <v>6635</v>
      </c>
      <c r="C19" s="32"/>
      <c r="D19" s="10" t="s">
        <v>29</v>
      </c>
      <c r="E19" s="11"/>
      <c r="F19" s="11" t="s">
        <v>18</v>
      </c>
      <c r="G19" s="13"/>
      <c r="H19" s="45" t="s">
        <v>16</v>
      </c>
      <c r="I19" s="46"/>
      <c r="J19" s="66" t="s">
        <v>6659</v>
      </c>
      <c r="K19" s="13" t="s">
        <v>8931</v>
      </c>
      <c r="L19" s="99" t="str">
        <f t="shared" si="0"/>
        <v>W3800.F</v>
      </c>
      <c r="M19" s="13" t="s">
        <v>108</v>
      </c>
      <c r="N19" s="13" t="s">
        <v>148</v>
      </c>
      <c r="O19" s="33" t="s">
        <v>122</v>
      </c>
      <c r="P19" s="64"/>
      <c r="Q19" s="65" t="s">
        <v>142</v>
      </c>
      <c r="R19" s="65" t="s">
        <v>5596</v>
      </c>
      <c r="S19" s="48"/>
      <c r="U19" s="12"/>
    </row>
    <row r="20" spans="1:21" s="49" customFormat="1" ht="14.15" customHeight="1">
      <c r="A20" s="43" t="s">
        <v>6677</v>
      </c>
      <c r="B20" s="44" t="s">
        <v>6635</v>
      </c>
      <c r="C20" s="32"/>
      <c r="D20" s="10" t="s">
        <v>29</v>
      </c>
      <c r="E20" s="11"/>
      <c r="F20" s="11" t="s">
        <v>18</v>
      </c>
      <c r="G20" s="13"/>
      <c r="H20" s="45" t="s">
        <v>16</v>
      </c>
      <c r="I20" s="46"/>
      <c r="J20" s="62" t="s">
        <v>3737</v>
      </c>
      <c r="K20" s="13" t="s">
        <v>8869</v>
      </c>
      <c r="L20" s="99" t="str">
        <f t="shared" si="0"/>
        <v>W3801.0</v>
      </c>
      <c r="M20" s="13" t="s">
        <v>3669</v>
      </c>
      <c r="N20" s="13" t="s">
        <v>3675</v>
      </c>
      <c r="O20" s="34" t="s">
        <v>117</v>
      </c>
      <c r="P20" s="47"/>
      <c r="Q20" s="45" t="s">
        <v>3672</v>
      </c>
      <c r="R20" s="65" t="s">
        <v>5596</v>
      </c>
      <c r="S20" s="48"/>
      <c r="U20" s="12"/>
    </row>
    <row r="21" spans="1:21" s="49" customFormat="1" ht="14.15" customHeight="1">
      <c r="A21" s="43" t="s">
        <v>6677</v>
      </c>
      <c r="B21" s="44" t="s">
        <v>6635</v>
      </c>
      <c r="C21" s="32"/>
      <c r="D21" s="10" t="s">
        <v>29</v>
      </c>
      <c r="E21" s="11"/>
      <c r="F21" s="11" t="s">
        <v>18</v>
      </c>
      <c r="G21" s="13"/>
      <c r="H21" s="45" t="s">
        <v>16</v>
      </c>
      <c r="I21" s="46"/>
      <c r="J21" s="62" t="s">
        <v>3738</v>
      </c>
      <c r="K21" s="13" t="s">
        <v>6807</v>
      </c>
      <c r="L21" s="99" t="str">
        <f t="shared" si="0"/>
        <v>W3801.1</v>
      </c>
      <c r="M21" s="13" t="s">
        <v>3669</v>
      </c>
      <c r="N21" s="13" t="s">
        <v>3675</v>
      </c>
      <c r="O21" s="34" t="s">
        <v>118</v>
      </c>
      <c r="P21" s="47"/>
      <c r="Q21" s="45" t="s">
        <v>3672</v>
      </c>
      <c r="R21" s="65" t="s">
        <v>5596</v>
      </c>
      <c r="S21" s="48"/>
      <c r="U21" s="12"/>
    </row>
    <row r="22" spans="1:21" s="49" customFormat="1" ht="14.15" customHeight="1">
      <c r="A22" s="43" t="s">
        <v>6677</v>
      </c>
      <c r="B22" s="44" t="s">
        <v>6635</v>
      </c>
      <c r="C22" s="32"/>
      <c r="D22" s="10" t="s">
        <v>29</v>
      </c>
      <c r="E22" s="11"/>
      <c r="F22" s="11" t="s">
        <v>18</v>
      </c>
      <c r="G22" s="13"/>
      <c r="H22" s="45" t="s">
        <v>16</v>
      </c>
      <c r="I22" s="46"/>
      <c r="J22" s="62" t="s">
        <v>3739</v>
      </c>
      <c r="K22" s="13" t="s">
        <v>6808</v>
      </c>
      <c r="L22" s="99" t="str">
        <f t="shared" si="0"/>
        <v>W3801.2</v>
      </c>
      <c r="M22" s="13" t="s">
        <v>3669</v>
      </c>
      <c r="N22" s="13" t="s">
        <v>3673</v>
      </c>
      <c r="O22" s="34" t="s">
        <v>110</v>
      </c>
      <c r="P22" s="47"/>
      <c r="Q22" s="45" t="s">
        <v>3672</v>
      </c>
      <c r="R22" s="65" t="s">
        <v>5596</v>
      </c>
      <c r="S22" s="48"/>
      <c r="U22" s="12"/>
    </row>
    <row r="23" spans="1:21" s="49" customFormat="1" ht="14.15" customHeight="1">
      <c r="A23" s="43" t="s">
        <v>6677</v>
      </c>
      <c r="B23" s="44" t="s">
        <v>6635</v>
      </c>
      <c r="C23" s="32"/>
      <c r="D23" s="10" t="s">
        <v>29</v>
      </c>
      <c r="E23" s="11"/>
      <c r="F23" s="11" t="s">
        <v>18</v>
      </c>
      <c r="G23" s="13"/>
      <c r="H23" s="45" t="s">
        <v>16</v>
      </c>
      <c r="I23" s="46"/>
      <c r="J23" s="62" t="s">
        <v>3740</v>
      </c>
      <c r="K23" s="13" t="s">
        <v>6809</v>
      </c>
      <c r="L23" s="99" t="str">
        <f t="shared" si="0"/>
        <v>W3801.3</v>
      </c>
      <c r="M23" s="13" t="s">
        <v>3669</v>
      </c>
      <c r="N23" s="13" t="s">
        <v>3674</v>
      </c>
      <c r="O23" s="34" t="s">
        <v>119</v>
      </c>
      <c r="P23" s="47"/>
      <c r="Q23" s="45" t="s">
        <v>3672</v>
      </c>
      <c r="R23" s="65" t="s">
        <v>5596</v>
      </c>
      <c r="S23" s="48"/>
      <c r="U23" s="12"/>
    </row>
    <row r="24" spans="1:21" s="49" customFormat="1" ht="14.15" customHeight="1">
      <c r="A24" s="43" t="s">
        <v>6677</v>
      </c>
      <c r="B24" s="44" t="s">
        <v>6635</v>
      </c>
      <c r="C24" s="32"/>
      <c r="D24" s="10" t="s">
        <v>29</v>
      </c>
      <c r="E24" s="11"/>
      <c r="F24" s="11" t="s">
        <v>18</v>
      </c>
      <c r="G24" s="13"/>
      <c r="H24" s="45" t="s">
        <v>16</v>
      </c>
      <c r="I24" s="46"/>
      <c r="J24" s="62" t="s">
        <v>3741</v>
      </c>
      <c r="K24" s="13" t="s">
        <v>6810</v>
      </c>
      <c r="L24" s="99" t="str">
        <f t="shared" si="0"/>
        <v>W3801.4</v>
      </c>
      <c r="M24" s="13" t="s">
        <v>3669</v>
      </c>
      <c r="N24" s="13" t="s">
        <v>3671</v>
      </c>
      <c r="O24" s="34" t="s">
        <v>120</v>
      </c>
      <c r="P24" s="47"/>
      <c r="Q24" s="45" t="s">
        <v>3672</v>
      </c>
      <c r="R24" s="65" t="s">
        <v>5596</v>
      </c>
      <c r="S24" s="48"/>
      <c r="U24" s="12"/>
    </row>
    <row r="25" spans="1:21" s="49" customFormat="1" ht="14.15" customHeight="1">
      <c r="A25" s="43" t="s">
        <v>6677</v>
      </c>
      <c r="B25" s="44" t="s">
        <v>6635</v>
      </c>
      <c r="C25" s="32"/>
      <c r="D25" s="10" t="s">
        <v>29</v>
      </c>
      <c r="E25" s="11"/>
      <c r="F25" s="11" t="s">
        <v>18</v>
      </c>
      <c r="G25" s="13"/>
      <c r="H25" s="45" t="s">
        <v>16</v>
      </c>
      <c r="I25" s="46"/>
      <c r="J25" s="62" t="s">
        <v>3742</v>
      </c>
      <c r="K25" s="13" t="s">
        <v>6811</v>
      </c>
      <c r="L25" s="99" t="str">
        <f t="shared" si="0"/>
        <v>W3801.5</v>
      </c>
      <c r="M25" s="13" t="s">
        <v>3669</v>
      </c>
      <c r="N25" s="13" t="s">
        <v>3671</v>
      </c>
      <c r="O25" s="34" t="s">
        <v>111</v>
      </c>
      <c r="P25" s="47"/>
      <c r="Q25" s="45" t="s">
        <v>3672</v>
      </c>
      <c r="R25" s="65" t="s">
        <v>5596</v>
      </c>
      <c r="S25" s="48"/>
      <c r="U25" s="12"/>
    </row>
    <row r="26" spans="1:21" s="49" customFormat="1" ht="14.15" customHeight="1">
      <c r="A26" s="43" t="s">
        <v>6677</v>
      </c>
      <c r="B26" s="44" t="s">
        <v>6635</v>
      </c>
      <c r="C26" s="32"/>
      <c r="D26" s="10" t="s">
        <v>29</v>
      </c>
      <c r="E26" s="11"/>
      <c r="F26" s="11" t="s">
        <v>18</v>
      </c>
      <c r="G26" s="13"/>
      <c r="H26" s="45" t="s">
        <v>16</v>
      </c>
      <c r="I26" s="46"/>
      <c r="J26" s="62" t="s">
        <v>3743</v>
      </c>
      <c r="K26" s="13" t="s">
        <v>6812</v>
      </c>
      <c r="L26" s="99" t="str">
        <f t="shared" si="0"/>
        <v>W3801.6</v>
      </c>
      <c r="M26" s="13" t="s">
        <v>3669</v>
      </c>
      <c r="N26" s="13" t="s">
        <v>3671</v>
      </c>
      <c r="O26" s="34" t="s">
        <v>112</v>
      </c>
      <c r="P26" s="47"/>
      <c r="Q26" s="45" t="s">
        <v>3672</v>
      </c>
      <c r="R26" s="65" t="s">
        <v>5596</v>
      </c>
      <c r="S26" s="48"/>
      <c r="U26" s="12"/>
    </row>
    <row r="27" spans="1:21" s="49" customFormat="1" ht="14.15" customHeight="1">
      <c r="A27" s="43" t="s">
        <v>6677</v>
      </c>
      <c r="B27" s="44" t="s">
        <v>6635</v>
      </c>
      <c r="C27" s="32"/>
      <c r="D27" s="10" t="s">
        <v>29</v>
      </c>
      <c r="E27" s="11"/>
      <c r="F27" s="11" t="s">
        <v>18</v>
      </c>
      <c r="G27" s="13"/>
      <c r="H27" s="45" t="s">
        <v>16</v>
      </c>
      <c r="I27" s="46"/>
      <c r="J27" s="62" t="s">
        <v>3744</v>
      </c>
      <c r="K27" s="13" t="s">
        <v>6813</v>
      </c>
      <c r="L27" s="99" t="str">
        <f t="shared" si="0"/>
        <v>W3801.7</v>
      </c>
      <c r="M27" s="13" t="s">
        <v>3669</v>
      </c>
      <c r="N27" s="13" t="s">
        <v>3675</v>
      </c>
      <c r="O27" s="34" t="s">
        <v>113</v>
      </c>
      <c r="P27" s="47"/>
      <c r="Q27" s="45" t="s">
        <v>3672</v>
      </c>
      <c r="R27" s="65" t="s">
        <v>5596</v>
      </c>
      <c r="S27" s="48"/>
      <c r="U27" s="12"/>
    </row>
    <row r="28" spans="1:21" s="49" customFormat="1" ht="14.15" customHeight="1">
      <c r="A28" s="43" t="s">
        <v>6677</v>
      </c>
      <c r="B28" s="44" t="s">
        <v>6635</v>
      </c>
      <c r="C28" s="32"/>
      <c r="D28" s="10" t="s">
        <v>29</v>
      </c>
      <c r="E28" s="11"/>
      <c r="F28" s="11" t="s">
        <v>18</v>
      </c>
      <c r="G28" s="13"/>
      <c r="H28" s="45" t="s">
        <v>16</v>
      </c>
      <c r="I28" s="46"/>
      <c r="J28" s="62" t="s">
        <v>3745</v>
      </c>
      <c r="K28" s="13" t="s">
        <v>8870</v>
      </c>
      <c r="L28" s="99" t="str">
        <f t="shared" si="0"/>
        <v>W3801.8</v>
      </c>
      <c r="M28" s="13" t="s">
        <v>3669</v>
      </c>
      <c r="N28" s="13" t="s">
        <v>3674</v>
      </c>
      <c r="O28" s="34" t="s">
        <v>114</v>
      </c>
      <c r="P28" s="47"/>
      <c r="Q28" s="45" t="s">
        <v>3672</v>
      </c>
      <c r="R28" s="65" t="s">
        <v>5596</v>
      </c>
      <c r="S28" s="48"/>
      <c r="U28" s="12"/>
    </row>
    <row r="29" spans="1:21" s="49" customFormat="1" ht="14.15" customHeight="1">
      <c r="A29" s="43" t="s">
        <v>6678</v>
      </c>
      <c r="B29" s="44" t="s">
        <v>6635</v>
      </c>
      <c r="C29" s="32"/>
      <c r="D29" s="10" t="s">
        <v>29</v>
      </c>
      <c r="E29" s="11"/>
      <c r="F29" s="11" t="s">
        <v>18</v>
      </c>
      <c r="G29" s="13"/>
      <c r="H29" s="45" t="s">
        <v>16</v>
      </c>
      <c r="I29" s="46"/>
      <c r="J29" s="62" t="s">
        <v>6660</v>
      </c>
      <c r="K29" s="13" t="s">
        <v>8932</v>
      </c>
      <c r="L29" s="99" t="str">
        <f t="shared" si="0"/>
        <v>W3801.9</v>
      </c>
      <c r="M29" s="13" t="s">
        <v>108</v>
      </c>
      <c r="N29" s="13" t="s">
        <v>150</v>
      </c>
      <c r="O29" s="33" t="s">
        <v>115</v>
      </c>
      <c r="P29" s="47"/>
      <c r="Q29" s="45" t="s">
        <v>3672</v>
      </c>
      <c r="R29" s="45" t="s">
        <v>5621</v>
      </c>
      <c r="S29" s="48"/>
      <c r="U29" s="12"/>
    </row>
    <row r="30" spans="1:21" s="49" customFormat="1" ht="14.15" customHeight="1">
      <c r="A30" s="43" t="s">
        <v>6678</v>
      </c>
      <c r="B30" s="44" t="s">
        <v>6635</v>
      </c>
      <c r="C30" s="32"/>
      <c r="D30" s="10" t="s">
        <v>29</v>
      </c>
      <c r="E30" s="11"/>
      <c r="F30" s="11" t="s">
        <v>18</v>
      </c>
      <c r="G30" s="13"/>
      <c r="H30" s="45" t="s">
        <v>16</v>
      </c>
      <c r="I30" s="46"/>
      <c r="J30" s="62" t="s">
        <v>6661</v>
      </c>
      <c r="K30" s="13" t="s">
        <v>8933</v>
      </c>
      <c r="L30" s="99" t="str">
        <f t="shared" si="0"/>
        <v>W3801.A</v>
      </c>
      <c r="M30" s="13" t="s">
        <v>108</v>
      </c>
      <c r="N30" s="13" t="s">
        <v>149</v>
      </c>
      <c r="O30" s="33" t="s">
        <v>121</v>
      </c>
      <c r="P30" s="47"/>
      <c r="Q30" s="45" t="s">
        <v>3672</v>
      </c>
      <c r="R30" s="45" t="s">
        <v>5621</v>
      </c>
      <c r="S30" s="48"/>
      <c r="U30" s="12"/>
    </row>
    <row r="31" spans="1:21" s="49" customFormat="1" ht="14.15" customHeight="1">
      <c r="A31" s="43" t="s">
        <v>6678</v>
      </c>
      <c r="B31" s="44" t="s">
        <v>6635</v>
      </c>
      <c r="C31" s="32"/>
      <c r="D31" s="10" t="s">
        <v>29</v>
      </c>
      <c r="E31" s="11"/>
      <c r="F31" s="11" t="s">
        <v>18</v>
      </c>
      <c r="G31" s="13"/>
      <c r="H31" s="45" t="s">
        <v>16</v>
      </c>
      <c r="I31" s="46"/>
      <c r="J31" s="62" t="s">
        <v>6662</v>
      </c>
      <c r="K31" s="13" t="s">
        <v>8934</v>
      </c>
      <c r="L31" s="99" t="str">
        <f t="shared" si="0"/>
        <v>W3801.B</v>
      </c>
      <c r="M31" s="13" t="s">
        <v>108</v>
      </c>
      <c r="N31" s="13" t="s">
        <v>119</v>
      </c>
      <c r="O31" s="33" t="s">
        <v>116</v>
      </c>
      <c r="P31" s="47"/>
      <c r="Q31" s="45" t="s">
        <v>3672</v>
      </c>
      <c r="R31" s="45" t="s">
        <v>5621</v>
      </c>
      <c r="S31" s="48"/>
      <c r="U31" s="12"/>
    </row>
    <row r="32" spans="1:21" s="49" customFormat="1" ht="14.15" customHeight="1">
      <c r="A32" s="43" t="s">
        <v>6678</v>
      </c>
      <c r="B32" s="44" t="s">
        <v>6635</v>
      </c>
      <c r="C32" s="32"/>
      <c r="D32" s="10" t="s">
        <v>29</v>
      </c>
      <c r="E32" s="11"/>
      <c r="F32" s="11" t="s">
        <v>18</v>
      </c>
      <c r="G32" s="13"/>
      <c r="H32" s="45" t="s">
        <v>16</v>
      </c>
      <c r="I32" s="46"/>
      <c r="J32" s="66" t="s">
        <v>6663</v>
      </c>
      <c r="K32" s="13" t="s">
        <v>8935</v>
      </c>
      <c r="L32" s="99" t="str">
        <f t="shared" si="0"/>
        <v>W3801.C</v>
      </c>
      <c r="M32" s="13" t="s">
        <v>108</v>
      </c>
      <c r="N32" s="13" t="s">
        <v>148</v>
      </c>
      <c r="O32" s="33" t="s">
        <v>122</v>
      </c>
      <c r="P32" s="47"/>
      <c r="Q32" s="45" t="s">
        <v>3672</v>
      </c>
      <c r="R32" s="45" t="s">
        <v>5621</v>
      </c>
      <c r="S32" s="48"/>
      <c r="U32" s="12"/>
    </row>
    <row r="33" spans="1:21" s="49" customFormat="1" ht="14.15" customHeight="1">
      <c r="A33" s="43" t="s">
        <v>6679</v>
      </c>
      <c r="B33" s="44" t="s">
        <v>6635</v>
      </c>
      <c r="C33" s="32"/>
      <c r="D33" s="10" t="s">
        <v>29</v>
      </c>
      <c r="E33" s="11"/>
      <c r="F33" s="11" t="s">
        <v>18</v>
      </c>
      <c r="G33" s="13"/>
      <c r="H33" s="45" t="s">
        <v>16</v>
      </c>
      <c r="I33" s="46"/>
      <c r="J33" s="62" t="s">
        <v>6664</v>
      </c>
      <c r="K33" s="13" t="s">
        <v>8936</v>
      </c>
      <c r="L33" s="99" t="str">
        <f t="shared" si="0"/>
        <v>W3801.D</v>
      </c>
      <c r="M33" s="13" t="s">
        <v>108</v>
      </c>
      <c r="N33" s="13" t="s">
        <v>150</v>
      </c>
      <c r="O33" s="33" t="s">
        <v>115</v>
      </c>
      <c r="P33" s="47"/>
      <c r="Q33" s="45" t="s">
        <v>3672</v>
      </c>
      <c r="R33" s="45" t="s">
        <v>5621</v>
      </c>
      <c r="S33" s="48"/>
      <c r="U33" s="12"/>
    </row>
    <row r="34" spans="1:21" s="49" customFormat="1" ht="14.15" customHeight="1">
      <c r="A34" s="43" t="s">
        <v>6679</v>
      </c>
      <c r="B34" s="44" t="s">
        <v>6635</v>
      </c>
      <c r="C34" s="32"/>
      <c r="D34" s="10" t="s">
        <v>29</v>
      </c>
      <c r="E34" s="11"/>
      <c r="F34" s="11" t="s">
        <v>18</v>
      </c>
      <c r="G34" s="13"/>
      <c r="H34" s="45" t="s">
        <v>16</v>
      </c>
      <c r="I34" s="46"/>
      <c r="J34" s="62" t="s">
        <v>6665</v>
      </c>
      <c r="K34" s="13" t="s">
        <v>8937</v>
      </c>
      <c r="L34" s="99" t="str">
        <f t="shared" si="0"/>
        <v>W3801.E</v>
      </c>
      <c r="M34" s="13" t="s">
        <v>108</v>
      </c>
      <c r="N34" s="13" t="s">
        <v>149</v>
      </c>
      <c r="O34" s="33" t="s">
        <v>121</v>
      </c>
      <c r="P34" s="47"/>
      <c r="Q34" s="45" t="s">
        <v>3672</v>
      </c>
      <c r="R34" s="45" t="s">
        <v>5621</v>
      </c>
      <c r="S34" s="48"/>
      <c r="U34" s="12"/>
    </row>
    <row r="35" spans="1:21" s="49" customFormat="1" ht="14.15" customHeight="1">
      <c r="A35" s="43" t="s">
        <v>6679</v>
      </c>
      <c r="B35" s="44" t="s">
        <v>6635</v>
      </c>
      <c r="C35" s="32"/>
      <c r="D35" s="10" t="s">
        <v>29</v>
      </c>
      <c r="E35" s="11"/>
      <c r="F35" s="11" t="s">
        <v>18</v>
      </c>
      <c r="G35" s="13"/>
      <c r="H35" s="45" t="s">
        <v>16</v>
      </c>
      <c r="I35" s="46"/>
      <c r="J35" s="62" t="s">
        <v>6666</v>
      </c>
      <c r="K35" s="13" t="s">
        <v>8938</v>
      </c>
      <c r="L35" s="99" t="str">
        <f t="shared" si="0"/>
        <v>W3801.F</v>
      </c>
      <c r="M35" s="13" t="s">
        <v>108</v>
      </c>
      <c r="N35" s="13" t="s">
        <v>119</v>
      </c>
      <c r="O35" s="33" t="s">
        <v>116</v>
      </c>
      <c r="P35" s="47"/>
      <c r="Q35" s="45" t="s">
        <v>3672</v>
      </c>
      <c r="R35" s="45" t="s">
        <v>5621</v>
      </c>
      <c r="S35" s="48"/>
      <c r="U35" s="12"/>
    </row>
    <row r="36" spans="1:21" s="49" customFormat="1" ht="14.15" customHeight="1">
      <c r="A36" s="43" t="s">
        <v>6679</v>
      </c>
      <c r="B36" s="44" t="s">
        <v>6635</v>
      </c>
      <c r="C36" s="32"/>
      <c r="D36" s="10" t="s">
        <v>29</v>
      </c>
      <c r="E36" s="11"/>
      <c r="F36" s="11" t="s">
        <v>18</v>
      </c>
      <c r="G36" s="13"/>
      <c r="H36" s="45" t="s">
        <v>16</v>
      </c>
      <c r="I36" s="46"/>
      <c r="J36" s="66" t="s">
        <v>6667</v>
      </c>
      <c r="K36" s="13" t="s">
        <v>8939</v>
      </c>
      <c r="L36" s="99" t="str">
        <f t="shared" si="0"/>
        <v>W3802.0</v>
      </c>
      <c r="M36" s="13" t="s">
        <v>108</v>
      </c>
      <c r="N36" s="13" t="s">
        <v>148</v>
      </c>
      <c r="O36" s="33" t="s">
        <v>122</v>
      </c>
      <c r="P36" s="47"/>
      <c r="Q36" s="45" t="s">
        <v>3672</v>
      </c>
      <c r="R36" s="45" t="s">
        <v>5621</v>
      </c>
      <c r="S36" s="48"/>
      <c r="U36" s="12"/>
    </row>
    <row r="37" spans="1:21" s="49" customFormat="1" ht="14.15" customHeight="1">
      <c r="A37" s="43" t="s">
        <v>6680</v>
      </c>
      <c r="B37" s="44" t="s">
        <v>6635</v>
      </c>
      <c r="C37" s="32"/>
      <c r="D37" s="10" t="s">
        <v>29</v>
      </c>
      <c r="E37" s="11"/>
      <c r="F37" s="11" t="s">
        <v>18</v>
      </c>
      <c r="G37" s="13"/>
      <c r="H37" s="45" t="s">
        <v>16</v>
      </c>
      <c r="I37" s="46"/>
      <c r="J37" s="62" t="s">
        <v>6668</v>
      </c>
      <c r="K37" s="13" t="s">
        <v>8940</v>
      </c>
      <c r="L37" s="99" t="str">
        <f t="shared" si="0"/>
        <v>W3802.1</v>
      </c>
      <c r="M37" s="13" t="s">
        <v>108</v>
      </c>
      <c r="N37" s="13" t="s">
        <v>150</v>
      </c>
      <c r="O37" s="33" t="s">
        <v>115</v>
      </c>
      <c r="P37" s="64"/>
      <c r="Q37" s="65" t="s">
        <v>142</v>
      </c>
      <c r="R37" s="45" t="s">
        <v>5621</v>
      </c>
      <c r="S37" s="48"/>
      <c r="U37" s="12"/>
    </row>
    <row r="38" spans="1:21" s="49" customFormat="1" ht="14.15" customHeight="1">
      <c r="A38" s="43" t="s">
        <v>6680</v>
      </c>
      <c r="B38" s="44" t="s">
        <v>6635</v>
      </c>
      <c r="C38" s="32"/>
      <c r="D38" s="10" t="s">
        <v>29</v>
      </c>
      <c r="E38" s="11"/>
      <c r="F38" s="11" t="s">
        <v>18</v>
      </c>
      <c r="G38" s="13"/>
      <c r="H38" s="45" t="s">
        <v>16</v>
      </c>
      <c r="I38" s="46"/>
      <c r="J38" s="62" t="s">
        <v>6669</v>
      </c>
      <c r="K38" s="13" t="s">
        <v>8941</v>
      </c>
      <c r="L38" s="99" t="str">
        <f t="shared" si="0"/>
        <v>W3802.2</v>
      </c>
      <c r="M38" s="13" t="s">
        <v>108</v>
      </c>
      <c r="N38" s="13" t="s">
        <v>149</v>
      </c>
      <c r="O38" s="33" t="s">
        <v>121</v>
      </c>
      <c r="P38" s="64"/>
      <c r="Q38" s="65" t="s">
        <v>142</v>
      </c>
      <c r="R38" s="45" t="s">
        <v>5621</v>
      </c>
      <c r="S38" s="48"/>
      <c r="U38" s="12"/>
    </row>
    <row r="39" spans="1:21" s="49" customFormat="1" ht="14.15" customHeight="1">
      <c r="A39" s="43" t="s">
        <v>6680</v>
      </c>
      <c r="B39" s="44" t="s">
        <v>6635</v>
      </c>
      <c r="C39" s="32"/>
      <c r="D39" s="10" t="s">
        <v>29</v>
      </c>
      <c r="E39" s="11"/>
      <c r="F39" s="11" t="s">
        <v>18</v>
      </c>
      <c r="G39" s="13"/>
      <c r="H39" s="45" t="s">
        <v>16</v>
      </c>
      <c r="I39" s="46"/>
      <c r="J39" s="62" t="s">
        <v>6670</v>
      </c>
      <c r="K39" s="13" t="s">
        <v>8942</v>
      </c>
      <c r="L39" s="99" t="str">
        <f t="shared" si="0"/>
        <v>W3802.3</v>
      </c>
      <c r="M39" s="13" t="s">
        <v>108</v>
      </c>
      <c r="N39" s="13" t="s">
        <v>119</v>
      </c>
      <c r="O39" s="33" t="s">
        <v>116</v>
      </c>
      <c r="P39" s="64"/>
      <c r="Q39" s="65" t="s">
        <v>142</v>
      </c>
      <c r="R39" s="45" t="s">
        <v>5621</v>
      </c>
      <c r="S39" s="48"/>
      <c r="U39" s="12"/>
    </row>
    <row r="40" spans="1:21" s="49" customFormat="1" ht="14.15" customHeight="1">
      <c r="A40" s="43" t="s">
        <v>6680</v>
      </c>
      <c r="B40" s="44" t="s">
        <v>6635</v>
      </c>
      <c r="C40" s="32"/>
      <c r="D40" s="10" t="s">
        <v>29</v>
      </c>
      <c r="E40" s="11"/>
      <c r="F40" s="11" t="s">
        <v>18</v>
      </c>
      <c r="G40" s="13"/>
      <c r="H40" s="45" t="s">
        <v>16</v>
      </c>
      <c r="I40" s="46"/>
      <c r="J40" s="66" t="s">
        <v>6671</v>
      </c>
      <c r="K40" s="13" t="s">
        <v>8943</v>
      </c>
      <c r="L40" s="99" t="str">
        <f t="shared" si="0"/>
        <v>W3802.4</v>
      </c>
      <c r="M40" s="13" t="s">
        <v>108</v>
      </c>
      <c r="N40" s="13" t="s">
        <v>148</v>
      </c>
      <c r="O40" s="33" t="s">
        <v>122</v>
      </c>
      <c r="P40" s="64"/>
      <c r="Q40" s="65" t="s">
        <v>142</v>
      </c>
      <c r="R40" s="45" t="s">
        <v>5621</v>
      </c>
      <c r="S40" s="48"/>
      <c r="U40" s="12"/>
    </row>
    <row r="41" spans="1:21" s="49" customFormat="1" ht="14.15" customHeight="1">
      <c r="A41" s="43" t="s">
        <v>6681</v>
      </c>
      <c r="B41" s="44" t="s">
        <v>6635</v>
      </c>
      <c r="C41" s="32"/>
      <c r="D41" s="10" t="s">
        <v>29</v>
      </c>
      <c r="E41" s="11"/>
      <c r="F41" s="11" t="s">
        <v>18</v>
      </c>
      <c r="G41" s="13"/>
      <c r="H41" s="45" t="s">
        <v>16</v>
      </c>
      <c r="I41" s="46"/>
      <c r="J41" s="62" t="s">
        <v>3746</v>
      </c>
      <c r="K41" s="13" t="s">
        <v>6816</v>
      </c>
      <c r="L41" s="99" t="str">
        <f t="shared" si="0"/>
        <v>W3802.5</v>
      </c>
      <c r="M41" s="13" t="s">
        <v>3669</v>
      </c>
      <c r="N41" s="13" t="s">
        <v>3675</v>
      </c>
      <c r="O41" s="34" t="s">
        <v>117</v>
      </c>
      <c r="P41" s="47"/>
      <c r="Q41" s="45" t="s">
        <v>3672</v>
      </c>
      <c r="R41" s="45" t="s">
        <v>5621</v>
      </c>
      <c r="S41" s="48"/>
      <c r="U41" s="12"/>
    </row>
    <row r="42" spans="1:21" s="49" customFormat="1" ht="14.15" customHeight="1">
      <c r="A42" s="43" t="s">
        <v>6681</v>
      </c>
      <c r="B42" s="44" t="s">
        <v>6635</v>
      </c>
      <c r="C42" s="32"/>
      <c r="D42" s="10" t="s">
        <v>29</v>
      </c>
      <c r="E42" s="11"/>
      <c r="F42" s="11" t="s">
        <v>18</v>
      </c>
      <c r="G42" s="13"/>
      <c r="H42" s="45" t="s">
        <v>16</v>
      </c>
      <c r="I42" s="46"/>
      <c r="J42" s="62" t="s">
        <v>3747</v>
      </c>
      <c r="K42" s="13" t="s">
        <v>6817</v>
      </c>
      <c r="L42" s="99" t="str">
        <f t="shared" si="0"/>
        <v>W3802.6</v>
      </c>
      <c r="M42" s="13" t="s">
        <v>3669</v>
      </c>
      <c r="N42" s="13" t="s">
        <v>3675</v>
      </c>
      <c r="O42" s="34" t="s">
        <v>118</v>
      </c>
      <c r="P42" s="47"/>
      <c r="Q42" s="45" t="s">
        <v>3672</v>
      </c>
      <c r="R42" s="45" t="s">
        <v>5621</v>
      </c>
      <c r="S42" s="48"/>
      <c r="U42" s="12"/>
    </row>
    <row r="43" spans="1:21" s="49" customFormat="1" ht="14.15" customHeight="1">
      <c r="A43" s="43" t="s">
        <v>6681</v>
      </c>
      <c r="B43" s="44" t="s">
        <v>6635</v>
      </c>
      <c r="C43" s="32"/>
      <c r="D43" s="10" t="s">
        <v>29</v>
      </c>
      <c r="E43" s="11"/>
      <c r="F43" s="11" t="s">
        <v>18</v>
      </c>
      <c r="G43" s="13"/>
      <c r="H43" s="45" t="s">
        <v>16</v>
      </c>
      <c r="I43" s="46"/>
      <c r="J43" s="62" t="s">
        <v>3748</v>
      </c>
      <c r="K43" s="13" t="s">
        <v>6818</v>
      </c>
      <c r="L43" s="99" t="str">
        <f t="shared" si="0"/>
        <v>W3802.7</v>
      </c>
      <c r="M43" s="13" t="s">
        <v>3669</v>
      </c>
      <c r="N43" s="13" t="s">
        <v>3673</v>
      </c>
      <c r="O43" s="34" t="s">
        <v>110</v>
      </c>
      <c r="P43" s="47"/>
      <c r="Q43" s="45" t="s">
        <v>3672</v>
      </c>
      <c r="R43" s="45" t="s">
        <v>5621</v>
      </c>
      <c r="S43" s="48"/>
      <c r="U43" s="12"/>
    </row>
    <row r="44" spans="1:21" s="49" customFormat="1" ht="14.15" customHeight="1">
      <c r="A44" s="43" t="s">
        <v>6681</v>
      </c>
      <c r="B44" s="44" t="s">
        <v>6635</v>
      </c>
      <c r="C44" s="32"/>
      <c r="D44" s="10" t="s">
        <v>29</v>
      </c>
      <c r="E44" s="11"/>
      <c r="F44" s="11" t="s">
        <v>18</v>
      </c>
      <c r="G44" s="13"/>
      <c r="H44" s="45" t="s">
        <v>16</v>
      </c>
      <c r="I44" s="46"/>
      <c r="J44" s="62" t="s">
        <v>3749</v>
      </c>
      <c r="K44" s="13" t="s">
        <v>6819</v>
      </c>
      <c r="L44" s="99" t="str">
        <f t="shared" si="0"/>
        <v>W3802.8</v>
      </c>
      <c r="M44" s="13" t="s">
        <v>3669</v>
      </c>
      <c r="N44" s="13" t="s">
        <v>3674</v>
      </c>
      <c r="O44" s="34" t="s">
        <v>119</v>
      </c>
      <c r="P44" s="47"/>
      <c r="Q44" s="45" t="s">
        <v>3672</v>
      </c>
      <c r="R44" s="45" t="s">
        <v>5621</v>
      </c>
      <c r="S44" s="48"/>
      <c r="U44" s="12"/>
    </row>
    <row r="45" spans="1:21" s="49" customFormat="1" ht="14.15" customHeight="1">
      <c r="A45" s="43" t="s">
        <v>6681</v>
      </c>
      <c r="B45" s="44" t="s">
        <v>6635</v>
      </c>
      <c r="C45" s="32"/>
      <c r="D45" s="10" t="s">
        <v>29</v>
      </c>
      <c r="E45" s="11"/>
      <c r="F45" s="11" t="s">
        <v>18</v>
      </c>
      <c r="G45" s="13"/>
      <c r="H45" s="45" t="s">
        <v>16</v>
      </c>
      <c r="I45" s="46"/>
      <c r="J45" s="62" t="s">
        <v>3750</v>
      </c>
      <c r="K45" s="13" t="s">
        <v>6820</v>
      </c>
      <c r="L45" s="99" t="str">
        <f t="shared" si="0"/>
        <v>W3802.9</v>
      </c>
      <c r="M45" s="13" t="s">
        <v>3669</v>
      </c>
      <c r="N45" s="13" t="s">
        <v>3671</v>
      </c>
      <c r="O45" s="34" t="s">
        <v>120</v>
      </c>
      <c r="P45" s="47"/>
      <c r="Q45" s="45" t="s">
        <v>3672</v>
      </c>
      <c r="R45" s="45" t="s">
        <v>5621</v>
      </c>
      <c r="S45" s="48"/>
      <c r="U45" s="12"/>
    </row>
    <row r="46" spans="1:21" s="49" customFormat="1" ht="14.15" customHeight="1">
      <c r="A46" s="43" t="s">
        <v>6681</v>
      </c>
      <c r="B46" s="44" t="s">
        <v>6635</v>
      </c>
      <c r="C46" s="32"/>
      <c r="D46" s="10" t="s">
        <v>29</v>
      </c>
      <c r="E46" s="11"/>
      <c r="F46" s="11" t="s">
        <v>18</v>
      </c>
      <c r="G46" s="13"/>
      <c r="H46" s="45" t="s">
        <v>16</v>
      </c>
      <c r="I46" s="46"/>
      <c r="J46" s="62" t="s">
        <v>3751</v>
      </c>
      <c r="K46" s="13" t="s">
        <v>6821</v>
      </c>
      <c r="L46" s="99" t="str">
        <f t="shared" si="0"/>
        <v>W3802.A</v>
      </c>
      <c r="M46" s="13" t="s">
        <v>3669</v>
      </c>
      <c r="N46" s="13" t="s">
        <v>3671</v>
      </c>
      <c r="O46" s="34" t="s">
        <v>111</v>
      </c>
      <c r="P46" s="47"/>
      <c r="Q46" s="45" t="s">
        <v>3672</v>
      </c>
      <c r="R46" s="45" t="s">
        <v>5621</v>
      </c>
      <c r="S46" s="48"/>
      <c r="U46" s="12"/>
    </row>
    <row r="47" spans="1:21" s="49" customFormat="1" ht="14.15" customHeight="1">
      <c r="A47" s="43" t="s">
        <v>6681</v>
      </c>
      <c r="B47" s="44" t="s">
        <v>6635</v>
      </c>
      <c r="C47" s="32"/>
      <c r="D47" s="10" t="s">
        <v>29</v>
      </c>
      <c r="E47" s="11"/>
      <c r="F47" s="11" t="s">
        <v>18</v>
      </c>
      <c r="G47" s="13"/>
      <c r="H47" s="45" t="s">
        <v>16</v>
      </c>
      <c r="I47" s="46"/>
      <c r="J47" s="62" t="s">
        <v>3752</v>
      </c>
      <c r="K47" s="13" t="s">
        <v>8879</v>
      </c>
      <c r="L47" s="99" t="str">
        <f t="shared" si="0"/>
        <v>W3802.B</v>
      </c>
      <c r="M47" s="13" t="s">
        <v>3669</v>
      </c>
      <c r="N47" s="13" t="s">
        <v>3671</v>
      </c>
      <c r="O47" s="34" t="s">
        <v>112</v>
      </c>
      <c r="P47" s="47"/>
      <c r="Q47" s="45" t="s">
        <v>3672</v>
      </c>
      <c r="R47" s="45" t="s">
        <v>5621</v>
      </c>
      <c r="S47" s="48"/>
      <c r="U47" s="12"/>
    </row>
    <row r="48" spans="1:21" s="49" customFormat="1" ht="14.15" customHeight="1">
      <c r="A48" s="43" t="s">
        <v>6681</v>
      </c>
      <c r="B48" s="44" t="s">
        <v>6635</v>
      </c>
      <c r="C48" s="32"/>
      <c r="D48" s="10" t="s">
        <v>29</v>
      </c>
      <c r="E48" s="11"/>
      <c r="F48" s="11" t="s">
        <v>18</v>
      </c>
      <c r="G48" s="13"/>
      <c r="H48" s="45" t="s">
        <v>16</v>
      </c>
      <c r="I48" s="46"/>
      <c r="J48" s="62" t="s">
        <v>3753</v>
      </c>
      <c r="K48" s="13" t="s">
        <v>8880</v>
      </c>
      <c r="L48" s="99" t="str">
        <f t="shared" si="0"/>
        <v>W3802.C</v>
      </c>
      <c r="M48" s="13" t="s">
        <v>3669</v>
      </c>
      <c r="N48" s="13" t="s">
        <v>3675</v>
      </c>
      <c r="O48" s="34" t="s">
        <v>113</v>
      </c>
      <c r="P48" s="47"/>
      <c r="Q48" s="45" t="s">
        <v>3672</v>
      </c>
      <c r="R48" s="45" t="s">
        <v>5621</v>
      </c>
      <c r="S48" s="48"/>
      <c r="U48" s="12"/>
    </row>
    <row r="49" spans="1:21" s="49" customFormat="1" ht="14.15" customHeight="1" thickBot="1">
      <c r="A49" s="43" t="s">
        <v>6681</v>
      </c>
      <c r="B49" s="44" t="s">
        <v>6635</v>
      </c>
      <c r="C49" s="32"/>
      <c r="D49" s="10" t="s">
        <v>29</v>
      </c>
      <c r="E49" s="11"/>
      <c r="F49" s="11" t="s">
        <v>18</v>
      </c>
      <c r="G49" s="13"/>
      <c r="H49" s="45" t="s">
        <v>16</v>
      </c>
      <c r="I49" s="46"/>
      <c r="J49" s="62" t="s">
        <v>3754</v>
      </c>
      <c r="K49" s="13" t="s">
        <v>8881</v>
      </c>
      <c r="L49" s="99" t="str">
        <f t="shared" si="0"/>
        <v>W3802.D</v>
      </c>
      <c r="M49" s="13" t="s">
        <v>3669</v>
      </c>
      <c r="N49" s="13" t="s">
        <v>3674</v>
      </c>
      <c r="O49" s="34" t="s">
        <v>114</v>
      </c>
      <c r="P49" s="47"/>
      <c r="Q49" s="45" t="s">
        <v>3672</v>
      </c>
      <c r="R49" s="45" t="s">
        <v>5621</v>
      </c>
      <c r="S49" s="48"/>
      <c r="U49" s="12"/>
    </row>
    <row r="50" spans="1:21" s="49" customFormat="1" ht="14.15" customHeight="1">
      <c r="A50" s="67" t="s">
        <v>6682</v>
      </c>
      <c r="B50" s="68" t="s">
        <v>6635</v>
      </c>
      <c r="C50" s="69"/>
      <c r="D50" s="70" t="s">
        <v>29</v>
      </c>
      <c r="E50" s="71"/>
      <c r="F50" s="71" t="s">
        <v>18</v>
      </c>
      <c r="G50" s="72"/>
      <c r="H50" s="73" t="s">
        <v>16</v>
      </c>
      <c r="I50" s="74"/>
      <c r="J50" s="75" t="s">
        <v>6683</v>
      </c>
      <c r="K50" s="72" t="s">
        <v>8944</v>
      </c>
      <c r="L50" s="99" t="str">
        <f t="shared" si="0"/>
        <v>W3802.E</v>
      </c>
      <c r="M50" s="72" t="s">
        <v>108</v>
      </c>
      <c r="N50" s="72" t="s">
        <v>150</v>
      </c>
      <c r="O50" s="76" t="s">
        <v>115</v>
      </c>
      <c r="P50" s="77"/>
      <c r="Q50" s="78" t="s">
        <v>142</v>
      </c>
      <c r="R50" s="79" t="s">
        <v>5553</v>
      </c>
      <c r="S50" s="48"/>
      <c r="U50" s="12"/>
    </row>
    <row r="51" spans="1:21" s="49" customFormat="1" ht="14.15" customHeight="1">
      <c r="A51" s="80" t="s">
        <v>6682</v>
      </c>
      <c r="B51" s="44" t="s">
        <v>6635</v>
      </c>
      <c r="C51" s="32"/>
      <c r="D51" s="10" t="s">
        <v>29</v>
      </c>
      <c r="E51" s="11"/>
      <c r="F51" s="11" t="s">
        <v>18</v>
      </c>
      <c r="G51" s="13"/>
      <c r="H51" s="45" t="s">
        <v>16</v>
      </c>
      <c r="I51" s="46"/>
      <c r="J51" s="62" t="s">
        <v>6684</v>
      </c>
      <c r="K51" s="13" t="s">
        <v>8945</v>
      </c>
      <c r="L51" s="99" t="str">
        <f t="shared" si="0"/>
        <v>W3802.F</v>
      </c>
      <c r="M51" s="13" t="s">
        <v>108</v>
      </c>
      <c r="N51" s="13" t="s">
        <v>149</v>
      </c>
      <c r="O51" s="33" t="s">
        <v>121</v>
      </c>
      <c r="P51" s="64"/>
      <c r="Q51" s="65" t="s">
        <v>142</v>
      </c>
      <c r="R51" s="81" t="s">
        <v>5553</v>
      </c>
      <c r="S51" s="48"/>
      <c r="U51" s="12"/>
    </row>
    <row r="52" spans="1:21" s="49" customFormat="1" ht="14.15" customHeight="1">
      <c r="A52" s="80" t="s">
        <v>6682</v>
      </c>
      <c r="B52" s="44" t="s">
        <v>6635</v>
      </c>
      <c r="C52" s="32"/>
      <c r="D52" s="10" t="s">
        <v>29</v>
      </c>
      <c r="E52" s="11"/>
      <c r="F52" s="11" t="s">
        <v>18</v>
      </c>
      <c r="G52" s="13"/>
      <c r="H52" s="45" t="s">
        <v>16</v>
      </c>
      <c r="I52" s="46"/>
      <c r="J52" s="62" t="s">
        <v>6685</v>
      </c>
      <c r="K52" s="13" t="s">
        <v>8946</v>
      </c>
      <c r="L52" s="99" t="str">
        <f t="shared" si="0"/>
        <v>W3803.0</v>
      </c>
      <c r="M52" s="13" t="s">
        <v>108</v>
      </c>
      <c r="N52" s="13" t="s">
        <v>119</v>
      </c>
      <c r="O52" s="33" t="s">
        <v>116</v>
      </c>
      <c r="P52" s="64"/>
      <c r="Q52" s="65" t="s">
        <v>142</v>
      </c>
      <c r="R52" s="81" t="s">
        <v>5553</v>
      </c>
      <c r="S52" s="48"/>
      <c r="U52" s="12"/>
    </row>
    <row r="53" spans="1:21" s="49" customFormat="1" ht="14.15" customHeight="1" thickBot="1">
      <c r="A53" s="82" t="s">
        <v>6682</v>
      </c>
      <c r="B53" s="83" t="s">
        <v>6635</v>
      </c>
      <c r="C53" s="84"/>
      <c r="D53" s="85" t="s">
        <v>29</v>
      </c>
      <c r="E53" s="86"/>
      <c r="F53" s="86" t="s">
        <v>18</v>
      </c>
      <c r="G53" s="87"/>
      <c r="H53" s="88" t="s">
        <v>16</v>
      </c>
      <c r="I53" s="89"/>
      <c r="J53" s="90" t="s">
        <v>6686</v>
      </c>
      <c r="K53" s="87" t="s">
        <v>8947</v>
      </c>
      <c r="L53" s="99" t="str">
        <f t="shared" si="0"/>
        <v>W3803.1</v>
      </c>
      <c r="M53" s="87" t="s">
        <v>108</v>
      </c>
      <c r="N53" s="87" t="s">
        <v>148</v>
      </c>
      <c r="O53" s="91" t="s">
        <v>122</v>
      </c>
      <c r="P53" s="92"/>
      <c r="Q53" s="93" t="s">
        <v>142</v>
      </c>
      <c r="R53" s="94" t="s">
        <v>5553</v>
      </c>
      <c r="S53" s="48"/>
      <c r="U53" s="12"/>
    </row>
    <row r="54" spans="1:21" s="49" customFormat="1" ht="14.15" customHeight="1">
      <c r="A54" s="67" t="s">
        <v>6687</v>
      </c>
      <c r="B54" s="68" t="s">
        <v>6635</v>
      </c>
      <c r="C54" s="69"/>
      <c r="D54" s="70" t="s">
        <v>29</v>
      </c>
      <c r="E54" s="71"/>
      <c r="F54" s="71" t="s">
        <v>18</v>
      </c>
      <c r="G54" s="72"/>
      <c r="H54" s="73" t="s">
        <v>16</v>
      </c>
      <c r="I54" s="74"/>
      <c r="J54" s="75" t="s">
        <v>6692</v>
      </c>
      <c r="K54" s="72" t="s">
        <v>8948</v>
      </c>
      <c r="L54" s="99" t="str">
        <f t="shared" si="0"/>
        <v>W3803.2</v>
      </c>
      <c r="M54" s="72" t="s">
        <v>108</v>
      </c>
      <c r="N54" s="72" t="s">
        <v>150</v>
      </c>
      <c r="O54" s="76" t="s">
        <v>115</v>
      </c>
      <c r="P54" s="77"/>
      <c r="Q54" s="78" t="s">
        <v>142</v>
      </c>
      <c r="R54" s="79" t="s">
        <v>5553</v>
      </c>
      <c r="S54" s="48"/>
      <c r="U54" s="12"/>
    </row>
    <row r="55" spans="1:21" s="49" customFormat="1" ht="14.15" customHeight="1">
      <c r="A55" s="80" t="s">
        <v>6687</v>
      </c>
      <c r="B55" s="44" t="s">
        <v>6635</v>
      </c>
      <c r="C55" s="32"/>
      <c r="D55" s="10" t="s">
        <v>29</v>
      </c>
      <c r="E55" s="11"/>
      <c r="F55" s="11" t="s">
        <v>18</v>
      </c>
      <c r="G55" s="13"/>
      <c r="H55" s="45" t="s">
        <v>16</v>
      </c>
      <c r="I55" s="46"/>
      <c r="J55" s="62" t="s">
        <v>6693</v>
      </c>
      <c r="K55" s="13" t="s">
        <v>8949</v>
      </c>
      <c r="L55" s="99" t="str">
        <f t="shared" si="0"/>
        <v>W3803.3</v>
      </c>
      <c r="M55" s="13" t="s">
        <v>108</v>
      </c>
      <c r="N55" s="13" t="s">
        <v>149</v>
      </c>
      <c r="O55" s="33" t="s">
        <v>121</v>
      </c>
      <c r="P55" s="64"/>
      <c r="Q55" s="65" t="s">
        <v>142</v>
      </c>
      <c r="R55" s="81" t="s">
        <v>5553</v>
      </c>
      <c r="S55" s="48"/>
      <c r="U55" s="12"/>
    </row>
    <row r="56" spans="1:21" s="49" customFormat="1" ht="14.15" customHeight="1">
      <c r="A56" s="80" t="s">
        <v>6687</v>
      </c>
      <c r="B56" s="44" t="s">
        <v>6635</v>
      </c>
      <c r="C56" s="32"/>
      <c r="D56" s="10" t="s">
        <v>29</v>
      </c>
      <c r="E56" s="11"/>
      <c r="F56" s="11" t="s">
        <v>18</v>
      </c>
      <c r="G56" s="13"/>
      <c r="H56" s="45" t="s">
        <v>16</v>
      </c>
      <c r="I56" s="46"/>
      <c r="J56" s="62" t="s">
        <v>6694</v>
      </c>
      <c r="K56" s="13" t="s">
        <v>8950</v>
      </c>
      <c r="L56" s="99" t="str">
        <f t="shared" si="0"/>
        <v>W3803.4</v>
      </c>
      <c r="M56" s="13" t="s">
        <v>108</v>
      </c>
      <c r="N56" s="13" t="s">
        <v>119</v>
      </c>
      <c r="O56" s="33" t="s">
        <v>116</v>
      </c>
      <c r="P56" s="64"/>
      <c r="Q56" s="65" t="s">
        <v>142</v>
      </c>
      <c r="R56" s="81" t="s">
        <v>5553</v>
      </c>
      <c r="S56" s="48"/>
      <c r="U56" s="12"/>
    </row>
    <row r="57" spans="1:21" s="49" customFormat="1" ht="14.15" customHeight="1" thickBot="1">
      <c r="A57" s="82" t="s">
        <v>6687</v>
      </c>
      <c r="B57" s="83" t="s">
        <v>6635</v>
      </c>
      <c r="C57" s="84"/>
      <c r="D57" s="85" t="s">
        <v>29</v>
      </c>
      <c r="E57" s="86"/>
      <c r="F57" s="86" t="s">
        <v>18</v>
      </c>
      <c r="G57" s="87"/>
      <c r="H57" s="88" t="s">
        <v>16</v>
      </c>
      <c r="I57" s="89"/>
      <c r="J57" s="90" t="s">
        <v>6695</v>
      </c>
      <c r="K57" s="87" t="s">
        <v>8951</v>
      </c>
      <c r="L57" s="99" t="str">
        <f t="shared" si="0"/>
        <v>W3803.5</v>
      </c>
      <c r="M57" s="87" t="s">
        <v>108</v>
      </c>
      <c r="N57" s="87" t="s">
        <v>148</v>
      </c>
      <c r="O57" s="91" t="s">
        <v>122</v>
      </c>
      <c r="P57" s="92"/>
      <c r="Q57" s="93" t="s">
        <v>142</v>
      </c>
      <c r="R57" s="94" t="s">
        <v>5553</v>
      </c>
      <c r="S57" s="48"/>
      <c r="U57" s="12"/>
    </row>
    <row r="58" spans="1:21" s="49" customFormat="1" ht="14.15" customHeight="1">
      <c r="A58" s="67" t="s">
        <v>6688</v>
      </c>
      <c r="B58" s="68" t="s">
        <v>6635</v>
      </c>
      <c r="C58" s="69"/>
      <c r="D58" s="70" t="s">
        <v>29</v>
      </c>
      <c r="E58" s="71"/>
      <c r="F58" s="71" t="s">
        <v>18</v>
      </c>
      <c r="G58" s="72"/>
      <c r="H58" s="73" t="s">
        <v>16</v>
      </c>
      <c r="I58" s="74"/>
      <c r="J58" s="75" t="s">
        <v>6696</v>
      </c>
      <c r="K58" s="72" t="s">
        <v>8952</v>
      </c>
      <c r="L58" s="99" t="str">
        <f t="shared" si="0"/>
        <v>W3803.6</v>
      </c>
      <c r="M58" s="72" t="s">
        <v>108</v>
      </c>
      <c r="N58" s="72" t="s">
        <v>150</v>
      </c>
      <c r="O58" s="76" t="s">
        <v>115</v>
      </c>
      <c r="P58" s="77"/>
      <c r="Q58" s="78" t="s">
        <v>142</v>
      </c>
      <c r="R58" s="79" t="s">
        <v>5553</v>
      </c>
      <c r="S58" s="48"/>
      <c r="U58" s="12"/>
    </row>
    <row r="59" spans="1:21" s="49" customFormat="1" ht="14.15" customHeight="1">
      <c r="A59" s="80" t="s">
        <v>6688</v>
      </c>
      <c r="B59" s="44" t="s">
        <v>6635</v>
      </c>
      <c r="C59" s="32"/>
      <c r="D59" s="10" t="s">
        <v>29</v>
      </c>
      <c r="E59" s="11"/>
      <c r="F59" s="11" t="s">
        <v>18</v>
      </c>
      <c r="G59" s="13"/>
      <c r="H59" s="45" t="s">
        <v>16</v>
      </c>
      <c r="I59" s="46"/>
      <c r="J59" s="62" t="s">
        <v>6697</v>
      </c>
      <c r="K59" s="13" t="s">
        <v>8953</v>
      </c>
      <c r="L59" s="99" t="str">
        <f t="shared" si="0"/>
        <v>W3803.7</v>
      </c>
      <c r="M59" s="13" t="s">
        <v>108</v>
      </c>
      <c r="N59" s="13" t="s">
        <v>149</v>
      </c>
      <c r="O59" s="33" t="s">
        <v>121</v>
      </c>
      <c r="P59" s="64"/>
      <c r="Q59" s="65" t="s">
        <v>142</v>
      </c>
      <c r="R59" s="81" t="s">
        <v>5553</v>
      </c>
      <c r="S59" s="48"/>
      <c r="U59" s="12"/>
    </row>
    <row r="60" spans="1:21" s="49" customFormat="1" ht="14.15" customHeight="1">
      <c r="A60" s="80" t="s">
        <v>6688</v>
      </c>
      <c r="B60" s="44" t="s">
        <v>6635</v>
      </c>
      <c r="C60" s="32"/>
      <c r="D60" s="10" t="s">
        <v>29</v>
      </c>
      <c r="E60" s="11"/>
      <c r="F60" s="11" t="s">
        <v>18</v>
      </c>
      <c r="G60" s="13"/>
      <c r="H60" s="45" t="s">
        <v>16</v>
      </c>
      <c r="I60" s="46"/>
      <c r="J60" s="62" t="s">
        <v>6698</v>
      </c>
      <c r="K60" s="13" t="s">
        <v>8954</v>
      </c>
      <c r="L60" s="99" t="str">
        <f t="shared" si="0"/>
        <v>W3803.8</v>
      </c>
      <c r="M60" s="13" t="s">
        <v>108</v>
      </c>
      <c r="N60" s="13" t="s">
        <v>119</v>
      </c>
      <c r="O60" s="33" t="s">
        <v>116</v>
      </c>
      <c r="P60" s="64"/>
      <c r="Q60" s="65" t="s">
        <v>142</v>
      </c>
      <c r="R60" s="81" t="s">
        <v>5553</v>
      </c>
      <c r="S60" s="48"/>
      <c r="U60" s="12"/>
    </row>
    <row r="61" spans="1:21" s="49" customFormat="1" ht="14.15" customHeight="1" thickBot="1">
      <c r="A61" s="82" t="s">
        <v>6688</v>
      </c>
      <c r="B61" s="83" t="s">
        <v>6635</v>
      </c>
      <c r="C61" s="84"/>
      <c r="D61" s="85" t="s">
        <v>29</v>
      </c>
      <c r="E61" s="86"/>
      <c r="F61" s="86" t="s">
        <v>18</v>
      </c>
      <c r="G61" s="87"/>
      <c r="H61" s="88" t="s">
        <v>16</v>
      </c>
      <c r="I61" s="89"/>
      <c r="J61" s="90" t="s">
        <v>6699</v>
      </c>
      <c r="K61" s="87" t="s">
        <v>8955</v>
      </c>
      <c r="L61" s="99" t="str">
        <f t="shared" si="0"/>
        <v>W3803.9</v>
      </c>
      <c r="M61" s="87" t="s">
        <v>108</v>
      </c>
      <c r="N61" s="87" t="s">
        <v>148</v>
      </c>
      <c r="O61" s="91" t="s">
        <v>122</v>
      </c>
      <c r="P61" s="92"/>
      <c r="Q61" s="93" t="s">
        <v>142</v>
      </c>
      <c r="R61" s="94" t="s">
        <v>5553</v>
      </c>
      <c r="S61" s="48"/>
      <c r="U61" s="12"/>
    </row>
    <row r="62" spans="1:21" s="49" customFormat="1" ht="14.15" customHeight="1">
      <c r="A62" s="67" t="s">
        <v>6690</v>
      </c>
      <c r="B62" s="68" t="s">
        <v>6635</v>
      </c>
      <c r="C62" s="69"/>
      <c r="D62" s="70" t="s">
        <v>29</v>
      </c>
      <c r="E62" s="71"/>
      <c r="F62" s="71" t="s">
        <v>18</v>
      </c>
      <c r="G62" s="72"/>
      <c r="H62" s="73" t="s">
        <v>16</v>
      </c>
      <c r="I62" s="74"/>
      <c r="J62" s="75" t="s">
        <v>6700</v>
      </c>
      <c r="K62" s="72" t="s">
        <v>8956</v>
      </c>
      <c r="L62" s="99" t="str">
        <f t="shared" si="0"/>
        <v>W3803.A</v>
      </c>
      <c r="M62" s="72" t="s">
        <v>108</v>
      </c>
      <c r="N62" s="72" t="s">
        <v>150</v>
      </c>
      <c r="O62" s="76" t="s">
        <v>115</v>
      </c>
      <c r="P62" s="77"/>
      <c r="Q62" s="78" t="s">
        <v>142</v>
      </c>
      <c r="R62" s="79" t="s">
        <v>5553</v>
      </c>
      <c r="S62" s="48"/>
      <c r="U62" s="12"/>
    </row>
    <row r="63" spans="1:21" s="49" customFormat="1" ht="14.15" customHeight="1">
      <c r="A63" s="80" t="s">
        <v>6690</v>
      </c>
      <c r="B63" s="44" t="s">
        <v>6635</v>
      </c>
      <c r="C63" s="32"/>
      <c r="D63" s="10" t="s">
        <v>29</v>
      </c>
      <c r="E63" s="11"/>
      <c r="F63" s="11" t="s">
        <v>18</v>
      </c>
      <c r="G63" s="13"/>
      <c r="H63" s="45" t="s">
        <v>16</v>
      </c>
      <c r="I63" s="46"/>
      <c r="J63" s="62" t="s">
        <v>6701</v>
      </c>
      <c r="K63" s="13" t="s">
        <v>8957</v>
      </c>
      <c r="L63" s="99" t="str">
        <f t="shared" si="0"/>
        <v>W3803.B</v>
      </c>
      <c r="M63" s="13" t="s">
        <v>108</v>
      </c>
      <c r="N63" s="13" t="s">
        <v>149</v>
      </c>
      <c r="O63" s="33" t="s">
        <v>121</v>
      </c>
      <c r="P63" s="64"/>
      <c r="Q63" s="65" t="s">
        <v>142</v>
      </c>
      <c r="R63" s="81" t="s">
        <v>5553</v>
      </c>
      <c r="S63" s="48"/>
      <c r="U63" s="12"/>
    </row>
    <row r="64" spans="1:21" s="49" customFormat="1" ht="14.15" customHeight="1">
      <c r="A64" s="80" t="s">
        <v>6690</v>
      </c>
      <c r="B64" s="44" t="s">
        <v>6635</v>
      </c>
      <c r="C64" s="32"/>
      <c r="D64" s="10" t="s">
        <v>29</v>
      </c>
      <c r="E64" s="11"/>
      <c r="F64" s="11" t="s">
        <v>18</v>
      </c>
      <c r="G64" s="13"/>
      <c r="H64" s="45" t="s">
        <v>16</v>
      </c>
      <c r="I64" s="46"/>
      <c r="J64" s="62" t="s">
        <v>6702</v>
      </c>
      <c r="K64" s="13" t="s">
        <v>8958</v>
      </c>
      <c r="L64" s="99" t="str">
        <f t="shared" si="0"/>
        <v>W3803.C</v>
      </c>
      <c r="M64" s="13" t="s">
        <v>108</v>
      </c>
      <c r="N64" s="13" t="s">
        <v>119</v>
      </c>
      <c r="O64" s="33" t="s">
        <v>116</v>
      </c>
      <c r="P64" s="64"/>
      <c r="Q64" s="65" t="s">
        <v>142</v>
      </c>
      <c r="R64" s="81" t="s">
        <v>5553</v>
      </c>
      <c r="S64" s="48"/>
      <c r="U64" s="12"/>
    </row>
    <row r="65" spans="1:22" s="49" customFormat="1" ht="14.15" customHeight="1" thickBot="1">
      <c r="A65" s="82" t="s">
        <v>6690</v>
      </c>
      <c r="B65" s="83" t="s">
        <v>6635</v>
      </c>
      <c r="C65" s="84"/>
      <c r="D65" s="85" t="s">
        <v>29</v>
      </c>
      <c r="E65" s="86"/>
      <c r="F65" s="86" t="s">
        <v>18</v>
      </c>
      <c r="G65" s="87"/>
      <c r="H65" s="88" t="s">
        <v>16</v>
      </c>
      <c r="I65" s="89"/>
      <c r="J65" s="90" t="s">
        <v>6703</v>
      </c>
      <c r="K65" s="87" t="s">
        <v>8959</v>
      </c>
      <c r="L65" s="99" t="str">
        <f t="shared" si="0"/>
        <v>W3803.D</v>
      </c>
      <c r="M65" s="87" t="s">
        <v>108</v>
      </c>
      <c r="N65" s="87" t="s">
        <v>148</v>
      </c>
      <c r="O65" s="91" t="s">
        <v>122</v>
      </c>
      <c r="P65" s="92"/>
      <c r="Q65" s="93" t="s">
        <v>142</v>
      </c>
      <c r="R65" s="94" t="s">
        <v>5553</v>
      </c>
      <c r="S65" s="48"/>
      <c r="U65" s="12"/>
    </row>
    <row r="66" spans="1:22" s="49" customFormat="1" ht="14.15" customHeight="1">
      <c r="A66" s="67" t="s">
        <v>6691</v>
      </c>
      <c r="B66" s="68" t="s">
        <v>6635</v>
      </c>
      <c r="C66" s="69"/>
      <c r="D66" s="70" t="s">
        <v>29</v>
      </c>
      <c r="E66" s="71"/>
      <c r="F66" s="71" t="s">
        <v>18</v>
      </c>
      <c r="G66" s="72"/>
      <c r="H66" s="73" t="s">
        <v>16</v>
      </c>
      <c r="I66" s="74"/>
      <c r="J66" s="75" t="s">
        <v>6704</v>
      </c>
      <c r="K66" s="72" t="s">
        <v>8960</v>
      </c>
      <c r="L66" s="99" t="str">
        <f t="shared" si="0"/>
        <v>W3803.E</v>
      </c>
      <c r="M66" s="72" t="s">
        <v>108</v>
      </c>
      <c r="N66" s="72" t="s">
        <v>150</v>
      </c>
      <c r="O66" s="76" t="s">
        <v>115</v>
      </c>
      <c r="P66" s="77"/>
      <c r="Q66" s="78" t="s">
        <v>142</v>
      </c>
      <c r="R66" s="79" t="s">
        <v>5553</v>
      </c>
      <c r="S66" s="48"/>
      <c r="U66" s="12"/>
    </row>
    <row r="67" spans="1:22" s="49" customFormat="1" ht="14.15" customHeight="1">
      <c r="A67" s="80" t="s">
        <v>6691</v>
      </c>
      <c r="B67" s="44" t="s">
        <v>6635</v>
      </c>
      <c r="C67" s="32"/>
      <c r="D67" s="10" t="s">
        <v>29</v>
      </c>
      <c r="E67" s="11"/>
      <c r="F67" s="11" t="s">
        <v>18</v>
      </c>
      <c r="G67" s="13"/>
      <c r="H67" s="45" t="s">
        <v>16</v>
      </c>
      <c r="I67" s="46"/>
      <c r="J67" s="62" t="s">
        <v>6705</v>
      </c>
      <c r="K67" s="13" t="s">
        <v>8961</v>
      </c>
      <c r="L67" s="99" t="str">
        <f t="shared" si="0"/>
        <v>W3803.F</v>
      </c>
      <c r="M67" s="13" t="s">
        <v>108</v>
      </c>
      <c r="N67" s="13" t="s">
        <v>149</v>
      </c>
      <c r="O67" s="33" t="s">
        <v>121</v>
      </c>
      <c r="P67" s="64"/>
      <c r="Q67" s="65" t="s">
        <v>142</v>
      </c>
      <c r="R67" s="81" t="s">
        <v>5553</v>
      </c>
      <c r="S67" s="48"/>
      <c r="U67" s="12"/>
    </row>
    <row r="68" spans="1:22" s="49" customFormat="1" ht="14.15" customHeight="1">
      <c r="A68" s="80" t="s">
        <v>6691</v>
      </c>
      <c r="B68" s="44" t="s">
        <v>6635</v>
      </c>
      <c r="C68" s="32"/>
      <c r="D68" s="10" t="s">
        <v>29</v>
      </c>
      <c r="E68" s="11"/>
      <c r="F68" s="11" t="s">
        <v>18</v>
      </c>
      <c r="G68" s="13"/>
      <c r="H68" s="45" t="s">
        <v>16</v>
      </c>
      <c r="I68" s="46"/>
      <c r="J68" s="62" t="s">
        <v>6706</v>
      </c>
      <c r="K68" s="13" t="s">
        <v>8962</v>
      </c>
      <c r="L68" s="99" t="str">
        <f t="shared" si="0"/>
        <v>W3804.0</v>
      </c>
      <c r="M68" s="13" t="s">
        <v>108</v>
      </c>
      <c r="N68" s="13" t="s">
        <v>119</v>
      </c>
      <c r="O68" s="33" t="s">
        <v>116</v>
      </c>
      <c r="P68" s="64"/>
      <c r="Q68" s="65" t="s">
        <v>142</v>
      </c>
      <c r="R68" s="81" t="s">
        <v>5553</v>
      </c>
      <c r="S68" s="48"/>
      <c r="U68" s="12"/>
    </row>
    <row r="69" spans="1:22" s="49" customFormat="1" ht="14.15" customHeight="1" thickBot="1">
      <c r="A69" s="82" t="s">
        <v>6691</v>
      </c>
      <c r="B69" s="83" t="s">
        <v>6635</v>
      </c>
      <c r="C69" s="84"/>
      <c r="D69" s="85" t="s">
        <v>29</v>
      </c>
      <c r="E69" s="86"/>
      <c r="F69" s="86" t="s">
        <v>18</v>
      </c>
      <c r="G69" s="87"/>
      <c r="H69" s="88" t="s">
        <v>16</v>
      </c>
      <c r="I69" s="89"/>
      <c r="J69" s="90" t="s">
        <v>6707</v>
      </c>
      <c r="K69" s="87" t="s">
        <v>8963</v>
      </c>
      <c r="L69" s="99" t="str">
        <f t="shared" ref="L69:L78" si="1">"W"&amp;DEC2HEX(14336 + INT((ROW()-4)/16)) &amp; "." &amp; IF(MOD(ROW()-4,16)&lt;10,MOD(ROW()-4,16),CHAR(MOD(ROW()-4,16)+55))</f>
        <v>W3804.1</v>
      </c>
      <c r="M69" s="87" t="s">
        <v>108</v>
      </c>
      <c r="N69" s="87" t="s">
        <v>148</v>
      </c>
      <c r="O69" s="91" t="s">
        <v>122</v>
      </c>
      <c r="P69" s="92"/>
      <c r="Q69" s="93" t="s">
        <v>142</v>
      </c>
      <c r="R69" s="94" t="s">
        <v>5553</v>
      </c>
      <c r="S69" s="48"/>
      <c r="U69" s="12"/>
    </row>
    <row r="70" spans="1:22" s="49" customFormat="1" ht="13.5" customHeight="1">
      <c r="A70" s="67" t="s">
        <v>6717</v>
      </c>
      <c r="B70" s="68" t="s">
        <v>6635</v>
      </c>
      <c r="C70" s="69"/>
      <c r="D70" s="70" t="s">
        <v>29</v>
      </c>
      <c r="E70" s="71"/>
      <c r="F70" s="71" t="s">
        <v>18</v>
      </c>
      <c r="G70" s="72"/>
      <c r="H70" s="73" t="s">
        <v>16</v>
      </c>
      <c r="I70" s="74"/>
      <c r="J70" s="75" t="s">
        <v>6708</v>
      </c>
      <c r="K70" s="72" t="s">
        <v>8964</v>
      </c>
      <c r="L70" s="99" t="str">
        <f t="shared" si="1"/>
        <v>W3804.2</v>
      </c>
      <c r="M70" s="72" t="s">
        <v>3669</v>
      </c>
      <c r="N70" s="72" t="s">
        <v>3675</v>
      </c>
      <c r="O70" s="95" t="s">
        <v>117</v>
      </c>
      <c r="P70" s="96"/>
      <c r="Q70" s="73" t="s">
        <v>3672</v>
      </c>
      <c r="R70" s="79" t="s">
        <v>5553</v>
      </c>
      <c r="S70" s="48"/>
      <c r="U70" s="12"/>
    </row>
    <row r="71" spans="1:22" s="49" customFormat="1" ht="14.15" customHeight="1">
      <c r="A71" s="80" t="s">
        <v>6717</v>
      </c>
      <c r="B71" s="44" t="s">
        <v>6635</v>
      </c>
      <c r="C71" s="32"/>
      <c r="D71" s="10" t="s">
        <v>29</v>
      </c>
      <c r="E71" s="11"/>
      <c r="F71" s="11" t="s">
        <v>18</v>
      </c>
      <c r="G71" s="13"/>
      <c r="H71" s="45" t="s">
        <v>16</v>
      </c>
      <c r="I71" s="46"/>
      <c r="J71" s="62" t="s">
        <v>6709</v>
      </c>
      <c r="K71" s="13" t="s">
        <v>8886</v>
      </c>
      <c r="L71" s="99" t="str">
        <f t="shared" si="1"/>
        <v>W3804.3</v>
      </c>
      <c r="M71" s="13" t="s">
        <v>3669</v>
      </c>
      <c r="N71" s="13" t="s">
        <v>3675</v>
      </c>
      <c r="O71" s="34" t="s">
        <v>118</v>
      </c>
      <c r="P71" s="47"/>
      <c r="Q71" s="45" t="s">
        <v>3672</v>
      </c>
      <c r="R71" s="81" t="s">
        <v>5553</v>
      </c>
      <c r="S71" s="48"/>
      <c r="U71" s="12"/>
    </row>
    <row r="72" spans="1:22" s="49" customFormat="1" ht="14.15" customHeight="1">
      <c r="A72" s="80" t="s">
        <v>6717</v>
      </c>
      <c r="B72" s="44" t="s">
        <v>6635</v>
      </c>
      <c r="C72" s="32"/>
      <c r="D72" s="10" t="s">
        <v>29</v>
      </c>
      <c r="E72" s="11"/>
      <c r="F72" s="11" t="s">
        <v>18</v>
      </c>
      <c r="G72" s="13"/>
      <c r="H72" s="45" t="s">
        <v>16</v>
      </c>
      <c r="I72" s="46"/>
      <c r="J72" s="62" t="s">
        <v>6710</v>
      </c>
      <c r="K72" s="13" t="s">
        <v>6823</v>
      </c>
      <c r="L72" s="99" t="str">
        <f t="shared" si="1"/>
        <v>W3804.4</v>
      </c>
      <c r="M72" s="13" t="s">
        <v>3669</v>
      </c>
      <c r="N72" s="13" t="s">
        <v>3673</v>
      </c>
      <c r="O72" s="34" t="s">
        <v>110</v>
      </c>
      <c r="P72" s="47"/>
      <c r="Q72" s="45" t="s">
        <v>3672</v>
      </c>
      <c r="R72" s="81" t="s">
        <v>5553</v>
      </c>
      <c r="S72" s="48"/>
      <c r="U72" s="12"/>
    </row>
    <row r="73" spans="1:22" s="49" customFormat="1" ht="14.15" customHeight="1">
      <c r="A73" s="80" t="s">
        <v>6717</v>
      </c>
      <c r="B73" s="44" t="s">
        <v>6635</v>
      </c>
      <c r="C73" s="32"/>
      <c r="D73" s="10" t="s">
        <v>29</v>
      </c>
      <c r="E73" s="11"/>
      <c r="F73" s="11" t="s">
        <v>18</v>
      </c>
      <c r="G73" s="13"/>
      <c r="H73" s="45" t="s">
        <v>16</v>
      </c>
      <c r="I73" s="46"/>
      <c r="J73" s="62" t="s">
        <v>6711</v>
      </c>
      <c r="K73" s="13" t="s">
        <v>6824</v>
      </c>
      <c r="L73" s="99" t="str">
        <f t="shared" si="1"/>
        <v>W3804.5</v>
      </c>
      <c r="M73" s="13" t="s">
        <v>3669</v>
      </c>
      <c r="N73" s="13" t="s">
        <v>3674</v>
      </c>
      <c r="O73" s="34" t="s">
        <v>119</v>
      </c>
      <c r="P73" s="47"/>
      <c r="Q73" s="45" t="s">
        <v>3672</v>
      </c>
      <c r="R73" s="81" t="s">
        <v>5553</v>
      </c>
      <c r="S73" s="48"/>
      <c r="U73" s="12"/>
    </row>
    <row r="74" spans="1:22" s="49" customFormat="1" ht="14.15" customHeight="1">
      <c r="A74" s="80" t="s">
        <v>6717</v>
      </c>
      <c r="B74" s="44" t="s">
        <v>6635</v>
      </c>
      <c r="C74" s="32"/>
      <c r="D74" s="10" t="s">
        <v>29</v>
      </c>
      <c r="E74" s="11"/>
      <c r="F74" s="11" t="s">
        <v>18</v>
      </c>
      <c r="G74" s="13"/>
      <c r="H74" s="45" t="s">
        <v>16</v>
      </c>
      <c r="I74" s="46"/>
      <c r="J74" s="62" t="s">
        <v>6712</v>
      </c>
      <c r="K74" s="13" t="s">
        <v>6825</v>
      </c>
      <c r="L74" s="99" t="str">
        <f t="shared" si="1"/>
        <v>W3804.6</v>
      </c>
      <c r="M74" s="13" t="s">
        <v>3669</v>
      </c>
      <c r="N74" s="13" t="s">
        <v>3671</v>
      </c>
      <c r="O74" s="34" t="s">
        <v>120</v>
      </c>
      <c r="P74" s="47"/>
      <c r="Q74" s="45" t="s">
        <v>3672</v>
      </c>
      <c r="R74" s="81" t="s">
        <v>5553</v>
      </c>
      <c r="S74" s="48"/>
      <c r="U74" s="12"/>
    </row>
    <row r="75" spans="1:22" s="49" customFormat="1" ht="14.15" customHeight="1">
      <c r="A75" s="80" t="s">
        <v>6717</v>
      </c>
      <c r="B75" s="44" t="s">
        <v>6635</v>
      </c>
      <c r="C75" s="32"/>
      <c r="D75" s="10" t="s">
        <v>29</v>
      </c>
      <c r="E75" s="11"/>
      <c r="F75" s="11" t="s">
        <v>18</v>
      </c>
      <c r="G75" s="13"/>
      <c r="H75" s="45" t="s">
        <v>16</v>
      </c>
      <c r="I75" s="46"/>
      <c r="J75" s="62" t="s">
        <v>6713</v>
      </c>
      <c r="K75" s="13" t="s">
        <v>6826</v>
      </c>
      <c r="L75" s="99" t="str">
        <f t="shared" si="1"/>
        <v>W3804.7</v>
      </c>
      <c r="M75" s="13" t="s">
        <v>3669</v>
      </c>
      <c r="N75" s="13" t="s">
        <v>3671</v>
      </c>
      <c r="O75" s="34" t="s">
        <v>111</v>
      </c>
      <c r="P75" s="47"/>
      <c r="Q75" s="45" t="s">
        <v>3672</v>
      </c>
      <c r="R75" s="81" t="s">
        <v>5553</v>
      </c>
      <c r="S75" s="48"/>
      <c r="U75" s="12"/>
    </row>
    <row r="76" spans="1:22" s="49" customFormat="1" ht="14.15" customHeight="1">
      <c r="A76" s="80" t="s">
        <v>6717</v>
      </c>
      <c r="B76" s="44" t="s">
        <v>6635</v>
      </c>
      <c r="C76" s="32"/>
      <c r="D76" s="10" t="s">
        <v>29</v>
      </c>
      <c r="E76" s="11"/>
      <c r="F76" s="11" t="s">
        <v>18</v>
      </c>
      <c r="G76" s="13"/>
      <c r="H76" s="45" t="s">
        <v>16</v>
      </c>
      <c r="I76" s="46"/>
      <c r="J76" s="62" t="s">
        <v>6714</v>
      </c>
      <c r="K76" s="13" t="s">
        <v>6827</v>
      </c>
      <c r="L76" s="99" t="str">
        <f t="shared" si="1"/>
        <v>W3804.8</v>
      </c>
      <c r="M76" s="13" t="s">
        <v>3669</v>
      </c>
      <c r="N76" s="13" t="s">
        <v>3671</v>
      </c>
      <c r="O76" s="34" t="s">
        <v>112</v>
      </c>
      <c r="P76" s="47"/>
      <c r="Q76" s="45" t="s">
        <v>3672</v>
      </c>
      <c r="R76" s="81" t="s">
        <v>5553</v>
      </c>
      <c r="S76" s="48"/>
      <c r="U76" s="12"/>
    </row>
    <row r="77" spans="1:22" s="49" customFormat="1" ht="14.15" customHeight="1">
      <c r="A77" s="80" t="s">
        <v>6717</v>
      </c>
      <c r="B77" s="44" t="s">
        <v>6635</v>
      </c>
      <c r="C77" s="32"/>
      <c r="D77" s="10" t="s">
        <v>29</v>
      </c>
      <c r="E77" s="11"/>
      <c r="F77" s="11" t="s">
        <v>18</v>
      </c>
      <c r="G77" s="13"/>
      <c r="H77" s="45" t="s">
        <v>16</v>
      </c>
      <c r="I77" s="46"/>
      <c r="J77" s="62" t="s">
        <v>6715</v>
      </c>
      <c r="K77" s="13" t="s">
        <v>6828</v>
      </c>
      <c r="L77" s="99" t="str">
        <f t="shared" si="1"/>
        <v>W3804.9</v>
      </c>
      <c r="M77" s="13" t="s">
        <v>3669</v>
      </c>
      <c r="N77" s="13" t="s">
        <v>3675</v>
      </c>
      <c r="O77" s="34" t="s">
        <v>113</v>
      </c>
      <c r="P77" s="47"/>
      <c r="Q77" s="45" t="s">
        <v>3672</v>
      </c>
      <c r="R77" s="81" t="s">
        <v>5553</v>
      </c>
      <c r="S77" s="48"/>
      <c r="U77" s="12"/>
    </row>
    <row r="78" spans="1:22" s="49" customFormat="1" ht="14.15" customHeight="1" thickBot="1">
      <c r="A78" s="82" t="s">
        <v>6717</v>
      </c>
      <c r="B78" s="83" t="s">
        <v>6635</v>
      </c>
      <c r="C78" s="84"/>
      <c r="D78" s="85" t="s">
        <v>29</v>
      </c>
      <c r="E78" s="86"/>
      <c r="F78" s="86" t="s">
        <v>18</v>
      </c>
      <c r="G78" s="87"/>
      <c r="H78" s="88" t="s">
        <v>16</v>
      </c>
      <c r="I78" s="89"/>
      <c r="J78" s="90" t="s">
        <v>6716</v>
      </c>
      <c r="K78" s="87" t="s">
        <v>6829</v>
      </c>
      <c r="L78" s="99" t="str">
        <f t="shared" si="1"/>
        <v>W3804.A</v>
      </c>
      <c r="M78" s="87" t="s">
        <v>3669</v>
      </c>
      <c r="N78" s="87" t="s">
        <v>3674</v>
      </c>
      <c r="O78" s="97" t="s">
        <v>114</v>
      </c>
      <c r="P78" s="98"/>
      <c r="Q78" s="88" t="s">
        <v>3672</v>
      </c>
      <c r="R78" s="94" t="s">
        <v>5553</v>
      </c>
      <c r="S78" s="48"/>
      <c r="U78" s="12"/>
    </row>
    <row r="79" spans="1:22" s="49" customFormat="1" ht="14.15" customHeight="1">
      <c r="A79" s="43"/>
      <c r="B79" s="44"/>
      <c r="C79" s="32"/>
      <c r="D79" s="10"/>
      <c r="E79" s="11"/>
      <c r="F79" s="11"/>
      <c r="G79" s="13"/>
      <c r="H79" s="45"/>
      <c r="I79" s="46"/>
      <c r="J79" s="62"/>
      <c r="K79" s="62"/>
      <c r="L79" s="13"/>
      <c r="M79" s="13"/>
      <c r="N79" s="13"/>
      <c r="O79" s="34"/>
      <c r="P79" s="47"/>
      <c r="Q79" s="45"/>
      <c r="R79" s="45"/>
      <c r="S79" s="48"/>
      <c r="U79" s="12"/>
    </row>
    <row r="80" spans="1:22" s="49" customFormat="1" ht="14.15" customHeight="1">
      <c r="A80" s="43"/>
      <c r="B80" s="44" t="s">
        <v>6635</v>
      </c>
      <c r="C80" s="32"/>
      <c r="D80" s="10" t="s">
        <v>29</v>
      </c>
      <c r="E80" s="11"/>
      <c r="F80" s="11" t="s">
        <v>18</v>
      </c>
      <c r="G80" s="13"/>
      <c r="H80" s="45" t="s">
        <v>16</v>
      </c>
      <c r="I80" s="46"/>
      <c r="J80" s="12" t="s">
        <v>6803</v>
      </c>
      <c r="K80" s="13" t="s">
        <v>6852</v>
      </c>
      <c r="L80" s="99" t="str">
        <f>"W"&amp;DEC2HEX(12800 + INT((ROW()-80)/16)) &amp; "." &amp; IF(MOD(ROW()-80,16)&lt;10,MOD(ROW()-80,16),CHAR(MOD(ROW()-80,16)+55))</f>
        <v>W3200.0</v>
      </c>
      <c r="M80" s="13" t="s">
        <v>17</v>
      </c>
      <c r="N80" s="13"/>
      <c r="O80" s="13"/>
      <c r="P80" s="47"/>
      <c r="Q80" s="45" t="s">
        <v>3672</v>
      </c>
      <c r="R80" s="45" t="s">
        <v>5596</v>
      </c>
      <c r="S80" s="48"/>
      <c r="T80" s="49" t="str">
        <f t="shared" ref="T80:T143" si="2">"["&amp;L80&amp;"]"</f>
        <v>[W3200.0]</v>
      </c>
      <c r="U80" s="12" t="str">
        <f t="shared" ref="U80:U143" si="3">RIGHT(J80,LEN(J80)-7)</f>
        <v xml:space="preserve"> PLC 진단 에러 (SM0)</v>
      </c>
      <c r="V80" s="49" t="str">
        <f>T80&amp;U80</f>
        <v>[W3200.0] PLC 진단 에러 (SM0)</v>
      </c>
    </row>
    <row r="81" spans="1:22" s="49" customFormat="1" ht="14.15" customHeight="1">
      <c r="A81" s="45" t="s">
        <v>3778</v>
      </c>
      <c r="B81" s="44" t="s">
        <v>6635</v>
      </c>
      <c r="C81" s="32"/>
      <c r="D81" s="10" t="s">
        <v>29</v>
      </c>
      <c r="E81" s="11"/>
      <c r="F81" s="11" t="s">
        <v>18</v>
      </c>
      <c r="G81" s="13"/>
      <c r="H81" s="45" t="s">
        <v>16</v>
      </c>
      <c r="I81" s="46"/>
      <c r="J81" s="12" t="s">
        <v>159</v>
      </c>
      <c r="K81" s="13" t="s">
        <v>6853</v>
      </c>
      <c r="L81" s="99" t="str">
        <f t="shared" ref="L81:L144" si="4">"W"&amp;DEC2HEX(12800 + INT((ROW()-80)/16)) &amp; "." &amp; IF(MOD(ROW()-80,16)&lt;10,MOD(ROW()-80,16),CHAR(MOD(ROW()-80,16)+55))</f>
        <v>W3200.1</v>
      </c>
      <c r="M81" s="13" t="s">
        <v>17</v>
      </c>
      <c r="N81" s="13"/>
      <c r="O81" s="13"/>
      <c r="P81" s="47"/>
      <c r="Q81" s="45" t="s">
        <v>3672</v>
      </c>
      <c r="R81" s="45" t="s">
        <v>5596</v>
      </c>
      <c r="S81" s="48"/>
      <c r="T81" s="49" t="str">
        <f t="shared" si="2"/>
        <v>[W3200.1]</v>
      </c>
      <c r="U81" s="12" t="str">
        <f t="shared" si="3"/>
        <v xml:space="preserve"> PLC 자기 진단 에러 (SM1)</v>
      </c>
      <c r="V81" s="49" t="str">
        <f t="shared" ref="V81:V144" si="5">T81&amp;U81</f>
        <v>[W3200.1] PLC 자기 진단 에러 (SM1)</v>
      </c>
    </row>
    <row r="82" spans="1:22" s="49" customFormat="1" ht="14.15" customHeight="1">
      <c r="A82" s="45" t="s">
        <v>3778</v>
      </c>
      <c r="B82" s="44" t="s">
        <v>6635</v>
      </c>
      <c r="C82" s="32"/>
      <c r="D82" s="10" t="s">
        <v>29</v>
      </c>
      <c r="E82" s="11"/>
      <c r="F82" s="11" t="s">
        <v>18</v>
      </c>
      <c r="G82" s="13"/>
      <c r="H82" s="45" t="s">
        <v>16</v>
      </c>
      <c r="I82" s="46"/>
      <c r="J82" s="12" t="s">
        <v>4725</v>
      </c>
      <c r="K82" s="13" t="s">
        <v>8852</v>
      </c>
      <c r="L82" s="99" t="str">
        <f t="shared" si="4"/>
        <v>W3200.2</v>
      </c>
      <c r="M82" s="13" t="s">
        <v>17</v>
      </c>
      <c r="N82" s="13"/>
      <c r="O82" s="13"/>
      <c r="P82" s="47"/>
      <c r="Q82" s="45" t="s">
        <v>3672</v>
      </c>
      <c r="R82" s="45" t="s">
        <v>5596</v>
      </c>
      <c r="S82" s="48"/>
      <c r="T82" s="49" t="str">
        <f t="shared" si="2"/>
        <v>[W3200.2]</v>
      </c>
      <c r="U82" s="12" t="str">
        <f t="shared" si="3"/>
        <v xml:space="preserve"> PLC COMMON 에러 (SM5)</v>
      </c>
      <c r="V82" s="49" t="str">
        <f t="shared" si="5"/>
        <v>[W3200.2] PLC COMMON 에러 (SM5)</v>
      </c>
    </row>
    <row r="83" spans="1:22" s="49" customFormat="1" ht="14.15" customHeight="1">
      <c r="A83" s="45" t="s">
        <v>3778</v>
      </c>
      <c r="B83" s="44" t="s">
        <v>6635</v>
      </c>
      <c r="C83" s="32"/>
      <c r="D83" s="10" t="s">
        <v>29</v>
      </c>
      <c r="E83" s="11"/>
      <c r="F83" s="11" t="s">
        <v>18</v>
      </c>
      <c r="G83" s="13"/>
      <c r="H83" s="45" t="s">
        <v>16</v>
      </c>
      <c r="I83" s="46"/>
      <c r="J83" s="12" t="s">
        <v>4726</v>
      </c>
      <c r="K83" s="13" t="s">
        <v>6854</v>
      </c>
      <c r="L83" s="99" t="str">
        <f t="shared" si="4"/>
        <v>W3200.3</v>
      </c>
      <c r="M83" s="13" t="s">
        <v>17</v>
      </c>
      <c r="N83" s="13"/>
      <c r="O83" s="13"/>
      <c r="P83" s="47"/>
      <c r="Q83" s="45" t="s">
        <v>3672</v>
      </c>
      <c r="R83" s="45" t="s">
        <v>5596</v>
      </c>
      <c r="S83" s="48"/>
      <c r="T83" s="49" t="str">
        <f t="shared" si="2"/>
        <v>[W3200.3]</v>
      </c>
      <c r="U83" s="12" t="str">
        <f t="shared" si="3"/>
        <v xml:space="preserve"> PLC 배터리 전압 저하 에러 (SM52)</v>
      </c>
      <c r="V83" s="49" t="str">
        <f t="shared" si="5"/>
        <v>[W3200.3] PLC 배터리 전압 저하 에러 (SM52)</v>
      </c>
    </row>
    <row r="84" spans="1:22" s="49" customFormat="1" ht="14.15" customHeight="1">
      <c r="A84" s="45" t="s">
        <v>3778</v>
      </c>
      <c r="B84" s="44" t="s">
        <v>6635</v>
      </c>
      <c r="C84" s="32"/>
      <c r="D84" s="10" t="s">
        <v>29</v>
      </c>
      <c r="E84" s="11"/>
      <c r="F84" s="11" t="s">
        <v>18</v>
      </c>
      <c r="G84" s="13"/>
      <c r="H84" s="45" t="s">
        <v>16</v>
      </c>
      <c r="I84" s="46"/>
      <c r="J84" s="12" t="s">
        <v>4727</v>
      </c>
      <c r="K84" s="13" t="s">
        <v>6855</v>
      </c>
      <c r="L84" s="99" t="str">
        <f t="shared" si="4"/>
        <v>W3200.4</v>
      </c>
      <c r="M84" s="13" t="s">
        <v>17</v>
      </c>
      <c r="N84" s="13"/>
      <c r="O84" s="13"/>
      <c r="P84" s="47"/>
      <c r="Q84" s="45" t="s">
        <v>3672</v>
      </c>
      <c r="R84" s="45" t="s">
        <v>5596</v>
      </c>
      <c r="S84" s="48"/>
      <c r="T84" s="49" t="str">
        <f t="shared" si="2"/>
        <v>[W3200.4]</v>
      </c>
      <c r="U84" s="12" t="str">
        <f t="shared" si="3"/>
        <v xml:space="preserve"> PLC AC DOWN 에러 (SM53)</v>
      </c>
      <c r="V84" s="49" t="str">
        <f t="shared" si="5"/>
        <v>[W3200.4] PLC AC DOWN 에러 (SM53)</v>
      </c>
    </row>
    <row r="85" spans="1:22" s="49" customFormat="1" ht="14.15" customHeight="1">
      <c r="A85" s="45" t="s">
        <v>3778</v>
      </c>
      <c r="B85" s="44" t="s">
        <v>6635</v>
      </c>
      <c r="C85" s="32"/>
      <c r="D85" s="10" t="s">
        <v>29</v>
      </c>
      <c r="E85" s="11"/>
      <c r="F85" s="11" t="s">
        <v>18</v>
      </c>
      <c r="G85" s="13"/>
      <c r="H85" s="45" t="s">
        <v>16</v>
      </c>
      <c r="I85" s="46"/>
      <c r="J85" s="12" t="s">
        <v>4728</v>
      </c>
      <c r="K85" s="13" t="s">
        <v>6856</v>
      </c>
      <c r="L85" s="99" t="str">
        <f t="shared" si="4"/>
        <v>W3200.5</v>
      </c>
      <c r="M85" s="13" t="s">
        <v>17</v>
      </c>
      <c r="N85" s="13"/>
      <c r="O85" s="13"/>
      <c r="P85" s="47"/>
      <c r="Q85" s="45" t="s">
        <v>3672</v>
      </c>
      <c r="R85" s="45" t="s">
        <v>5596</v>
      </c>
      <c r="S85" s="48"/>
      <c r="T85" s="49" t="str">
        <f t="shared" si="2"/>
        <v>[W3200.5]</v>
      </c>
      <c r="U85" s="12" t="str">
        <f t="shared" si="3"/>
        <v xml:space="preserve"> PLC CC-LINK 에러 (X04F)</v>
      </c>
      <c r="V85" s="49" t="str">
        <f t="shared" si="5"/>
        <v>[W3200.5] PLC CC-LINK 에러 (X04F)</v>
      </c>
    </row>
    <row r="86" spans="1:22" s="49" customFormat="1" ht="14.15" customHeight="1">
      <c r="A86" s="45" t="s">
        <v>3778</v>
      </c>
      <c r="B86" s="44" t="s">
        <v>6635</v>
      </c>
      <c r="C86" s="32"/>
      <c r="D86" s="10" t="s">
        <v>29</v>
      </c>
      <c r="E86" s="11"/>
      <c r="F86" s="11" t="s">
        <v>18</v>
      </c>
      <c r="G86" s="13"/>
      <c r="H86" s="45" t="s">
        <v>16</v>
      </c>
      <c r="I86" s="46"/>
      <c r="J86" s="12" t="s">
        <v>4729</v>
      </c>
      <c r="K86" s="13" t="s">
        <v>6857</v>
      </c>
      <c r="L86" s="99" t="str">
        <f t="shared" si="4"/>
        <v>W3200.6</v>
      </c>
      <c r="M86" s="13" t="s">
        <v>17</v>
      </c>
      <c r="N86" s="13"/>
      <c r="O86" s="13"/>
      <c r="P86" s="47"/>
      <c r="Q86" s="45" t="s">
        <v>3672</v>
      </c>
      <c r="R86" s="45" t="s">
        <v>5596</v>
      </c>
      <c r="S86" s="48"/>
      <c r="T86" s="49" t="str">
        <f t="shared" si="2"/>
        <v>[W3200.6]</v>
      </c>
      <c r="U86" s="12" t="str">
        <f t="shared" si="3"/>
        <v xml:space="preserve"> PLC CC-LINK 연결 에러 (X041)</v>
      </c>
      <c r="V86" s="49" t="str">
        <f t="shared" si="5"/>
        <v>[W3200.6] PLC CC-LINK 연결 에러 (X041)</v>
      </c>
    </row>
    <row r="87" spans="1:22" s="49" customFormat="1" ht="14.15" customHeight="1">
      <c r="A87" s="43"/>
      <c r="B87" s="44" t="s">
        <v>6635</v>
      </c>
      <c r="C87" s="32"/>
      <c r="D87" s="10" t="s">
        <v>29</v>
      </c>
      <c r="E87" s="11"/>
      <c r="F87" s="11" t="s">
        <v>18</v>
      </c>
      <c r="G87" s="13"/>
      <c r="H87" s="45" t="s">
        <v>16</v>
      </c>
      <c r="I87" s="46"/>
      <c r="J87" s="12" t="s">
        <v>165</v>
      </c>
      <c r="K87" s="13" t="s">
        <v>6858</v>
      </c>
      <c r="L87" s="99" t="str">
        <f t="shared" si="4"/>
        <v>W3200.7</v>
      </c>
      <c r="M87" s="13"/>
      <c r="N87" s="13"/>
      <c r="O87" s="13"/>
      <c r="P87" s="47"/>
      <c r="Q87" s="45"/>
      <c r="R87" s="45"/>
      <c r="S87" s="48"/>
      <c r="T87" s="49" t="str">
        <f t="shared" si="2"/>
        <v>[W3200.7]</v>
      </c>
      <c r="U87" s="12" t="str">
        <f t="shared" si="3"/>
        <v xml:space="preserve"> </v>
      </c>
      <c r="V87" s="49" t="str">
        <f t="shared" si="5"/>
        <v xml:space="preserve">[W3200.7] </v>
      </c>
    </row>
    <row r="88" spans="1:22" s="49" customFormat="1" ht="14.15" customHeight="1">
      <c r="A88" s="43"/>
      <c r="B88" s="44" t="s">
        <v>6635</v>
      </c>
      <c r="C88" s="32"/>
      <c r="D88" s="10" t="s">
        <v>29</v>
      </c>
      <c r="E88" s="11"/>
      <c r="F88" s="11" t="s">
        <v>18</v>
      </c>
      <c r="G88" s="13"/>
      <c r="H88" s="45" t="s">
        <v>16</v>
      </c>
      <c r="I88" s="46"/>
      <c r="J88" s="12" t="s">
        <v>166</v>
      </c>
      <c r="K88" s="13" t="s">
        <v>6859</v>
      </c>
      <c r="L88" s="99" t="str">
        <f t="shared" si="4"/>
        <v>W3200.8</v>
      </c>
      <c r="M88" s="13"/>
      <c r="N88" s="13"/>
      <c r="O88" s="13"/>
      <c r="P88" s="47"/>
      <c r="Q88" s="45"/>
      <c r="R88" s="45"/>
      <c r="S88" s="48"/>
      <c r="T88" s="49" t="str">
        <f t="shared" si="2"/>
        <v>[W3200.8]</v>
      </c>
      <c r="U88" s="12" t="str">
        <f t="shared" si="3"/>
        <v xml:space="preserve"> </v>
      </c>
      <c r="V88" s="49" t="str">
        <f t="shared" si="5"/>
        <v xml:space="preserve">[W3200.8] </v>
      </c>
    </row>
    <row r="89" spans="1:22" s="49" customFormat="1" ht="14.15" customHeight="1">
      <c r="A89" s="43"/>
      <c r="B89" s="44" t="s">
        <v>6635</v>
      </c>
      <c r="C89" s="32"/>
      <c r="D89" s="10" t="s">
        <v>29</v>
      </c>
      <c r="E89" s="11"/>
      <c r="F89" s="11" t="s">
        <v>18</v>
      </c>
      <c r="G89" s="13"/>
      <c r="H89" s="45" t="s">
        <v>16</v>
      </c>
      <c r="I89" s="46"/>
      <c r="J89" s="12" t="s">
        <v>2221</v>
      </c>
      <c r="K89" s="13" t="s">
        <v>6860</v>
      </c>
      <c r="L89" s="99" t="str">
        <f t="shared" si="4"/>
        <v>W3200.9</v>
      </c>
      <c r="M89" s="13"/>
      <c r="N89" s="13"/>
      <c r="O89" s="13"/>
      <c r="P89" s="47"/>
      <c r="Q89" s="45"/>
      <c r="R89" s="45"/>
      <c r="S89" s="48"/>
      <c r="T89" s="49" t="str">
        <f t="shared" si="2"/>
        <v>[W3200.9]</v>
      </c>
      <c r="U89" s="12" t="str">
        <f t="shared" si="3"/>
        <v xml:space="preserve"> </v>
      </c>
      <c r="V89" s="49" t="str">
        <f t="shared" si="5"/>
        <v xml:space="preserve">[W3200.9] </v>
      </c>
    </row>
    <row r="90" spans="1:22" s="49" customFormat="1" ht="14.15" customHeight="1">
      <c r="A90" s="45" t="s">
        <v>3778</v>
      </c>
      <c r="B90" s="44" t="s">
        <v>6635</v>
      </c>
      <c r="C90" s="32"/>
      <c r="D90" s="10" t="s">
        <v>29</v>
      </c>
      <c r="E90" s="11"/>
      <c r="F90" s="11" t="s">
        <v>18</v>
      </c>
      <c r="G90" s="13"/>
      <c r="H90" s="45" t="s">
        <v>16</v>
      </c>
      <c r="I90" s="46"/>
      <c r="J90" s="12" t="s">
        <v>4730</v>
      </c>
      <c r="K90" s="13" t="s">
        <v>6861</v>
      </c>
      <c r="L90" s="99" t="str">
        <f t="shared" si="4"/>
        <v>W3200.A</v>
      </c>
      <c r="M90" s="13" t="s">
        <v>153</v>
      </c>
      <c r="N90" s="13"/>
      <c r="O90" s="13"/>
      <c r="P90" s="47"/>
      <c r="Q90" s="45" t="s">
        <v>3672</v>
      </c>
      <c r="R90" s="45" t="s">
        <v>5596</v>
      </c>
      <c r="S90" s="48"/>
      <c r="T90" s="49" t="str">
        <f t="shared" si="2"/>
        <v>[W3200.A]</v>
      </c>
      <c r="U90" s="12" t="str">
        <f t="shared" si="3"/>
        <v xml:space="preserve"> OP-1 비상정지 에러 (X306)</v>
      </c>
      <c r="V90" s="49" t="str">
        <f t="shared" si="5"/>
        <v>[W3200.A] OP-1 비상정지 에러 (X306)</v>
      </c>
    </row>
    <row r="91" spans="1:22" s="49" customFormat="1" ht="14.15" customHeight="1">
      <c r="A91" s="45" t="s">
        <v>3778</v>
      </c>
      <c r="B91" s="44" t="s">
        <v>6635</v>
      </c>
      <c r="C91" s="32"/>
      <c r="D91" s="10" t="s">
        <v>29</v>
      </c>
      <c r="E91" s="11"/>
      <c r="F91" s="11" t="s">
        <v>18</v>
      </c>
      <c r="G91" s="13"/>
      <c r="H91" s="45" t="s">
        <v>16</v>
      </c>
      <c r="I91" s="46"/>
      <c r="J91" s="12" t="s">
        <v>5612</v>
      </c>
      <c r="K91" s="13" t="s">
        <v>6862</v>
      </c>
      <c r="L91" s="99" t="str">
        <f t="shared" si="4"/>
        <v>W3200.B</v>
      </c>
      <c r="M91" s="13" t="s">
        <v>153</v>
      </c>
      <c r="N91" s="13"/>
      <c r="O91" s="13"/>
      <c r="P91" s="47"/>
      <c r="Q91" s="45" t="s">
        <v>3672</v>
      </c>
      <c r="R91" s="45" t="s">
        <v>5553</v>
      </c>
      <c r="S91" s="48"/>
      <c r="T91" s="49" t="str">
        <f t="shared" si="2"/>
        <v>[W3200.B]</v>
      </c>
      <c r="U91" s="12" t="str">
        <f t="shared" si="3"/>
        <v xml:space="preserve"> OP-2 비상정지 에러 (X606)</v>
      </c>
      <c r="V91" s="49" t="str">
        <f t="shared" si="5"/>
        <v>[W3200.B] OP-2 비상정지 에러 (X606)</v>
      </c>
    </row>
    <row r="92" spans="1:22" s="49" customFormat="1" ht="14.15" customHeight="1">
      <c r="A92" s="45" t="s">
        <v>3778</v>
      </c>
      <c r="B92" s="44" t="s">
        <v>6635</v>
      </c>
      <c r="C92" s="32"/>
      <c r="D92" s="10" t="s">
        <v>29</v>
      </c>
      <c r="E92" s="11"/>
      <c r="F92" s="11" t="s">
        <v>18</v>
      </c>
      <c r="G92" s="13"/>
      <c r="H92" s="45" t="s">
        <v>16</v>
      </c>
      <c r="I92" s="46"/>
      <c r="J92" s="12" t="s">
        <v>5613</v>
      </c>
      <c r="K92" s="13" t="s">
        <v>6863</v>
      </c>
      <c r="L92" s="99" t="str">
        <f t="shared" si="4"/>
        <v>W3200.C</v>
      </c>
      <c r="M92" s="13" t="s">
        <v>153</v>
      </c>
      <c r="N92" s="13"/>
      <c r="O92" s="13"/>
      <c r="P92" s="47"/>
      <c r="Q92" s="45" t="s">
        <v>3672</v>
      </c>
      <c r="R92" s="45" t="s">
        <v>5620</v>
      </c>
      <c r="S92" s="48"/>
      <c r="T92" s="49" t="str">
        <f t="shared" si="2"/>
        <v>[W3200.C]</v>
      </c>
      <c r="U92" s="12" t="str">
        <f t="shared" si="3"/>
        <v xml:space="preserve"> OP-3 비상정지 에러 (X806)</v>
      </c>
      <c r="V92" s="49" t="str">
        <f t="shared" si="5"/>
        <v>[W3200.C] OP-3 비상정지 에러 (X806)</v>
      </c>
    </row>
    <row r="93" spans="1:22" s="49" customFormat="1" ht="14.15" customHeight="1">
      <c r="A93" s="45" t="s">
        <v>3778</v>
      </c>
      <c r="B93" s="44" t="s">
        <v>6635</v>
      </c>
      <c r="C93" s="32"/>
      <c r="D93" s="10" t="s">
        <v>29</v>
      </c>
      <c r="E93" s="11"/>
      <c r="F93" s="11" t="s">
        <v>18</v>
      </c>
      <c r="G93" s="13"/>
      <c r="H93" s="45" t="s">
        <v>16</v>
      </c>
      <c r="I93" s="46"/>
      <c r="J93" s="12" t="s">
        <v>5614</v>
      </c>
      <c r="K93" s="13" t="s">
        <v>6864</v>
      </c>
      <c r="L93" s="99" t="str">
        <f t="shared" si="4"/>
        <v>W3200.D</v>
      </c>
      <c r="M93" s="13" t="s">
        <v>153</v>
      </c>
      <c r="N93" s="13"/>
      <c r="O93" s="13"/>
      <c r="P93" s="47"/>
      <c r="Q93" s="45"/>
      <c r="R93" s="45" t="s">
        <v>5621</v>
      </c>
      <c r="S93" s="48"/>
      <c r="T93" s="49" t="str">
        <f t="shared" si="2"/>
        <v>[W3200.D]</v>
      </c>
      <c r="U93" s="12" t="str">
        <f t="shared" si="3"/>
        <v xml:space="preserve"> OP-4 비상정지 에러 (X886)</v>
      </c>
      <c r="V93" s="49" t="str">
        <f t="shared" si="5"/>
        <v>[W3200.D] OP-4 비상정지 에러 (X886)</v>
      </c>
    </row>
    <row r="94" spans="1:22" s="49" customFormat="1" ht="14.15" customHeight="1">
      <c r="A94" s="43"/>
      <c r="B94" s="44" t="s">
        <v>6635</v>
      </c>
      <c r="C94" s="32"/>
      <c r="D94" s="10" t="s">
        <v>29</v>
      </c>
      <c r="E94" s="11"/>
      <c r="F94" s="11" t="s">
        <v>18</v>
      </c>
      <c r="G94" s="13"/>
      <c r="H94" s="45" t="s">
        <v>16</v>
      </c>
      <c r="I94" s="46"/>
      <c r="J94" s="12" t="s">
        <v>172</v>
      </c>
      <c r="K94" s="13" t="s">
        <v>6865</v>
      </c>
      <c r="L94" s="99" t="str">
        <f t="shared" si="4"/>
        <v>W3200.E</v>
      </c>
      <c r="M94" s="13"/>
      <c r="N94" s="13"/>
      <c r="O94" s="13"/>
      <c r="P94" s="47"/>
      <c r="Q94" s="45"/>
      <c r="R94" s="45"/>
      <c r="S94" s="48"/>
      <c r="T94" s="49" t="str">
        <f t="shared" si="2"/>
        <v>[W3200.E]</v>
      </c>
      <c r="U94" s="12" t="str">
        <f t="shared" si="3"/>
        <v xml:space="preserve"> </v>
      </c>
      <c r="V94" s="49" t="str">
        <f t="shared" si="5"/>
        <v xml:space="preserve">[W3200.E] </v>
      </c>
    </row>
    <row r="95" spans="1:22" s="49" customFormat="1" ht="14.15" customHeight="1">
      <c r="A95" s="43"/>
      <c r="B95" s="44" t="s">
        <v>6635</v>
      </c>
      <c r="C95" s="32"/>
      <c r="D95" s="10" t="s">
        <v>29</v>
      </c>
      <c r="E95" s="11"/>
      <c r="F95" s="11" t="s">
        <v>18</v>
      </c>
      <c r="G95" s="13"/>
      <c r="H95" s="45" t="s">
        <v>16</v>
      </c>
      <c r="I95" s="46"/>
      <c r="J95" s="12" t="s">
        <v>173</v>
      </c>
      <c r="K95" s="13" t="s">
        <v>6866</v>
      </c>
      <c r="L95" s="99" t="str">
        <f t="shared" si="4"/>
        <v>W3200.F</v>
      </c>
      <c r="M95" s="13"/>
      <c r="N95" s="13"/>
      <c r="O95" s="13"/>
      <c r="P95" s="47"/>
      <c r="Q95" s="45"/>
      <c r="R95" s="45"/>
      <c r="S95" s="48"/>
      <c r="T95" s="49" t="str">
        <f t="shared" si="2"/>
        <v>[W3200.F]</v>
      </c>
      <c r="U95" s="12" t="str">
        <f t="shared" si="3"/>
        <v xml:space="preserve"> </v>
      </c>
      <c r="V95" s="49" t="str">
        <f t="shared" si="5"/>
        <v xml:space="preserve">[W3200.F] </v>
      </c>
    </row>
    <row r="96" spans="1:22" s="49" customFormat="1" ht="14.15" customHeight="1">
      <c r="A96" s="43"/>
      <c r="B96" s="44" t="s">
        <v>6635</v>
      </c>
      <c r="C96" s="32"/>
      <c r="D96" s="10" t="s">
        <v>29</v>
      </c>
      <c r="E96" s="11"/>
      <c r="F96" s="11" t="s">
        <v>18</v>
      </c>
      <c r="G96" s="13"/>
      <c r="H96" s="45" t="s">
        <v>16</v>
      </c>
      <c r="I96" s="46"/>
      <c r="J96" s="12" t="s">
        <v>174</v>
      </c>
      <c r="K96" s="13" t="s">
        <v>6867</v>
      </c>
      <c r="L96" s="99" t="str">
        <f t="shared" si="4"/>
        <v>W3201.0</v>
      </c>
      <c r="M96" s="13"/>
      <c r="N96" s="13"/>
      <c r="O96" s="13"/>
      <c r="P96" s="47"/>
      <c r="Q96" s="45"/>
      <c r="R96" s="45"/>
      <c r="S96" s="48"/>
      <c r="T96" s="49" t="str">
        <f t="shared" si="2"/>
        <v>[W3201.0]</v>
      </c>
      <c r="U96" s="12" t="str">
        <f t="shared" si="3"/>
        <v xml:space="preserve"> </v>
      </c>
      <c r="V96" s="49" t="str">
        <f t="shared" si="5"/>
        <v xml:space="preserve">[W3201.0] </v>
      </c>
    </row>
    <row r="97" spans="1:22" s="49" customFormat="1" ht="14.15" customHeight="1">
      <c r="A97" s="43"/>
      <c r="B97" s="44" t="s">
        <v>6635</v>
      </c>
      <c r="C97" s="32"/>
      <c r="D97" s="10" t="s">
        <v>29</v>
      </c>
      <c r="E97" s="11"/>
      <c r="F97" s="11" t="s">
        <v>18</v>
      </c>
      <c r="G97" s="13"/>
      <c r="H97" s="45" t="s">
        <v>16</v>
      </c>
      <c r="I97" s="46"/>
      <c r="J97" s="12" t="s">
        <v>175</v>
      </c>
      <c r="K97" s="13" t="s">
        <v>6868</v>
      </c>
      <c r="L97" s="99" t="str">
        <f t="shared" si="4"/>
        <v>W3201.1</v>
      </c>
      <c r="M97" s="13"/>
      <c r="N97" s="13"/>
      <c r="O97" s="13"/>
      <c r="P97" s="47"/>
      <c r="Q97" s="45"/>
      <c r="R97" s="45"/>
      <c r="S97" s="48"/>
      <c r="T97" s="49" t="str">
        <f t="shared" si="2"/>
        <v>[W3201.1]</v>
      </c>
      <c r="U97" s="12" t="str">
        <f t="shared" si="3"/>
        <v xml:space="preserve"> </v>
      </c>
      <c r="V97" s="49" t="str">
        <f t="shared" si="5"/>
        <v xml:space="preserve">[W3201.1] </v>
      </c>
    </row>
    <row r="98" spans="1:22" s="49" customFormat="1" ht="14.15" customHeight="1">
      <c r="A98" s="43"/>
      <c r="B98" s="44" t="s">
        <v>6635</v>
      </c>
      <c r="C98" s="32"/>
      <c r="D98" s="10" t="s">
        <v>29</v>
      </c>
      <c r="E98" s="11"/>
      <c r="F98" s="11" t="s">
        <v>18</v>
      </c>
      <c r="G98" s="13"/>
      <c r="H98" s="45" t="s">
        <v>16</v>
      </c>
      <c r="I98" s="46"/>
      <c r="J98" s="12" t="s">
        <v>176</v>
      </c>
      <c r="K98" s="13" t="s">
        <v>6869</v>
      </c>
      <c r="L98" s="99" t="str">
        <f t="shared" si="4"/>
        <v>W3201.2</v>
      </c>
      <c r="M98" s="13"/>
      <c r="N98" s="13"/>
      <c r="O98" s="13"/>
      <c r="P98" s="47"/>
      <c r="Q98" s="45"/>
      <c r="R98" s="45"/>
      <c r="S98" s="48"/>
      <c r="T98" s="49" t="str">
        <f t="shared" si="2"/>
        <v>[W3201.2]</v>
      </c>
      <c r="U98" s="12" t="str">
        <f t="shared" si="3"/>
        <v xml:space="preserve"> </v>
      </c>
      <c r="V98" s="49" t="str">
        <f t="shared" si="5"/>
        <v xml:space="preserve">[W3201.2] </v>
      </c>
    </row>
    <row r="99" spans="1:22" s="49" customFormat="1" ht="14.15" customHeight="1">
      <c r="A99" s="45" t="s">
        <v>3778</v>
      </c>
      <c r="B99" s="44" t="s">
        <v>6635</v>
      </c>
      <c r="C99" s="32"/>
      <c r="D99" s="10" t="s">
        <v>29</v>
      </c>
      <c r="E99" s="11"/>
      <c r="F99" s="11" t="s">
        <v>18</v>
      </c>
      <c r="G99" s="13"/>
      <c r="H99" s="45" t="s">
        <v>16</v>
      </c>
      <c r="I99" s="46"/>
      <c r="J99" s="12" t="s">
        <v>5615</v>
      </c>
      <c r="K99" s="13" t="s">
        <v>6870</v>
      </c>
      <c r="L99" s="99" t="str">
        <f t="shared" si="4"/>
        <v>W3201.3</v>
      </c>
      <c r="M99" s="13" t="s">
        <v>153</v>
      </c>
      <c r="N99" s="13"/>
      <c r="O99" s="13"/>
      <c r="P99" s="47"/>
      <c r="Q99" s="45" t="s">
        <v>3672</v>
      </c>
      <c r="R99" s="45" t="s">
        <v>5596</v>
      </c>
      <c r="S99" s="48"/>
      <c r="T99" s="49" t="str">
        <f t="shared" si="2"/>
        <v>[W3201.3]</v>
      </c>
      <c r="U99" s="12" t="str">
        <f t="shared" si="3"/>
        <v xml:space="preserve"> DOOR-31 DOOR OPEN 에러 (Y1200)</v>
      </c>
      <c r="V99" s="49" t="str">
        <f t="shared" si="5"/>
        <v>[W3201.3] DOOR-31 DOOR OPEN 에러 (Y1200)</v>
      </c>
    </row>
    <row r="100" spans="1:22" s="49" customFormat="1" ht="14.15" customHeight="1">
      <c r="A100" s="45" t="s">
        <v>3778</v>
      </c>
      <c r="B100" s="44" t="s">
        <v>6635</v>
      </c>
      <c r="C100" s="32"/>
      <c r="D100" s="10" t="s">
        <v>29</v>
      </c>
      <c r="E100" s="11"/>
      <c r="F100" s="11" t="s">
        <v>18</v>
      </c>
      <c r="G100" s="13"/>
      <c r="H100" s="45" t="s">
        <v>16</v>
      </c>
      <c r="I100" s="46"/>
      <c r="J100" s="12" t="s">
        <v>5616</v>
      </c>
      <c r="K100" s="13" t="s">
        <v>6871</v>
      </c>
      <c r="L100" s="99" t="str">
        <f t="shared" si="4"/>
        <v>W3201.4</v>
      </c>
      <c r="M100" s="13" t="s">
        <v>153</v>
      </c>
      <c r="N100" s="13"/>
      <c r="O100" s="13"/>
      <c r="P100" s="47"/>
      <c r="Q100" s="45" t="s">
        <v>3672</v>
      </c>
      <c r="R100" s="45" t="s">
        <v>5596</v>
      </c>
      <c r="S100" s="48"/>
      <c r="T100" s="49" t="str">
        <f t="shared" si="2"/>
        <v>[W3201.4]</v>
      </c>
      <c r="U100" s="12" t="str">
        <f t="shared" si="3"/>
        <v xml:space="preserve"> DOOR-32 DOOR OPEN 에러 (Y1201)</v>
      </c>
      <c r="V100" s="49" t="str">
        <f t="shared" si="5"/>
        <v>[W3201.4] DOOR-32 DOOR OPEN 에러 (Y1201)</v>
      </c>
    </row>
    <row r="101" spans="1:22" s="49" customFormat="1" ht="14.15" customHeight="1">
      <c r="A101" s="45" t="s">
        <v>3778</v>
      </c>
      <c r="B101" s="44" t="s">
        <v>6635</v>
      </c>
      <c r="C101" s="32"/>
      <c r="D101" s="10" t="s">
        <v>29</v>
      </c>
      <c r="E101" s="11"/>
      <c r="F101" s="11" t="s">
        <v>18</v>
      </c>
      <c r="G101" s="13"/>
      <c r="H101" s="45" t="s">
        <v>16</v>
      </c>
      <c r="I101" s="46"/>
      <c r="J101" s="12" t="s">
        <v>5617</v>
      </c>
      <c r="K101" s="13" t="s">
        <v>6872</v>
      </c>
      <c r="L101" s="99" t="str">
        <f t="shared" si="4"/>
        <v>W3201.5</v>
      </c>
      <c r="M101" s="13" t="s">
        <v>153</v>
      </c>
      <c r="N101" s="13"/>
      <c r="O101" s="13"/>
      <c r="P101" s="47"/>
      <c r="Q101" s="45" t="s">
        <v>3672</v>
      </c>
      <c r="R101" s="45" t="s">
        <v>5596</v>
      </c>
      <c r="S101" s="48"/>
      <c r="T101" s="49" t="str">
        <f t="shared" si="2"/>
        <v>[W3201.5]</v>
      </c>
      <c r="U101" s="12" t="str">
        <f t="shared" si="3"/>
        <v xml:space="preserve"> DOOR-33 DOOR OPEN 에러 (Y1202)</v>
      </c>
      <c r="V101" s="49" t="str">
        <f t="shared" si="5"/>
        <v>[W3201.5] DOOR-33 DOOR OPEN 에러 (Y1202)</v>
      </c>
    </row>
    <row r="102" spans="1:22" s="49" customFormat="1" ht="14.15" customHeight="1">
      <c r="A102" s="45" t="s">
        <v>3778</v>
      </c>
      <c r="B102" s="44" t="s">
        <v>6635</v>
      </c>
      <c r="C102" s="32"/>
      <c r="D102" s="10" t="s">
        <v>29</v>
      </c>
      <c r="E102" s="11"/>
      <c r="F102" s="11" t="s">
        <v>18</v>
      </c>
      <c r="G102" s="13"/>
      <c r="H102" s="45" t="s">
        <v>16</v>
      </c>
      <c r="I102" s="46"/>
      <c r="J102" s="12" t="s">
        <v>5618</v>
      </c>
      <c r="K102" s="13" t="s">
        <v>6873</v>
      </c>
      <c r="L102" s="99" t="str">
        <f t="shared" si="4"/>
        <v>W3201.6</v>
      </c>
      <c r="M102" s="13" t="s">
        <v>153</v>
      </c>
      <c r="N102" s="13"/>
      <c r="O102" s="13"/>
      <c r="P102" s="47"/>
      <c r="Q102" s="45" t="s">
        <v>3672</v>
      </c>
      <c r="R102" s="45" t="s">
        <v>5596</v>
      </c>
      <c r="S102" s="48"/>
      <c r="T102" s="49" t="str">
        <f t="shared" si="2"/>
        <v>[W3201.6]</v>
      </c>
      <c r="U102" s="12" t="str">
        <f t="shared" si="3"/>
        <v xml:space="preserve"> DOOR-34 DOOR OPEN 에러 (Y1203)</v>
      </c>
      <c r="V102" s="49" t="str">
        <f t="shared" si="5"/>
        <v>[W3201.6] DOOR-34 DOOR OPEN 에러 (Y1203)</v>
      </c>
    </row>
    <row r="103" spans="1:22" s="49" customFormat="1" ht="14.15" customHeight="1">
      <c r="A103" s="45" t="s">
        <v>3778</v>
      </c>
      <c r="B103" s="44" t="s">
        <v>6635</v>
      </c>
      <c r="C103" s="32"/>
      <c r="D103" s="10" t="s">
        <v>29</v>
      </c>
      <c r="E103" s="11"/>
      <c r="F103" s="11" t="s">
        <v>18</v>
      </c>
      <c r="G103" s="13"/>
      <c r="H103" s="45" t="s">
        <v>16</v>
      </c>
      <c r="I103" s="46"/>
      <c r="J103" s="12" t="s">
        <v>5619</v>
      </c>
      <c r="K103" s="13" t="s">
        <v>6874</v>
      </c>
      <c r="L103" s="99" t="str">
        <f t="shared" si="4"/>
        <v>W3201.7</v>
      </c>
      <c r="M103" s="13" t="s">
        <v>153</v>
      </c>
      <c r="N103" s="13"/>
      <c r="O103" s="13"/>
      <c r="P103" s="47"/>
      <c r="Q103" s="45" t="s">
        <v>3672</v>
      </c>
      <c r="R103" s="45" t="s">
        <v>5596</v>
      </c>
      <c r="S103" s="48"/>
      <c r="T103" s="49" t="str">
        <f t="shared" si="2"/>
        <v>[W3201.7]</v>
      </c>
      <c r="U103" s="12" t="str">
        <f t="shared" si="3"/>
        <v xml:space="preserve"> DOOR-35 DOOR OPEN 에러 (Y1204)</v>
      </c>
      <c r="V103" s="49" t="str">
        <f t="shared" si="5"/>
        <v>[W3201.7] DOOR-35 DOOR OPEN 에러 (Y1204)</v>
      </c>
    </row>
    <row r="104" spans="1:22" s="49" customFormat="1" ht="14.15" customHeight="1">
      <c r="A104" s="43"/>
      <c r="B104" s="44" t="s">
        <v>6635</v>
      </c>
      <c r="C104" s="32"/>
      <c r="D104" s="10" t="s">
        <v>29</v>
      </c>
      <c r="E104" s="11"/>
      <c r="F104" s="11" t="s">
        <v>18</v>
      </c>
      <c r="G104" s="13"/>
      <c r="H104" s="45" t="s">
        <v>16</v>
      </c>
      <c r="I104" s="46"/>
      <c r="J104" s="12" t="s">
        <v>3788</v>
      </c>
      <c r="K104" s="13" t="s">
        <v>6875</v>
      </c>
      <c r="L104" s="99" t="str">
        <f t="shared" si="4"/>
        <v>W3201.8</v>
      </c>
      <c r="M104" s="13"/>
      <c r="N104" s="13"/>
      <c r="O104" s="13"/>
      <c r="P104" s="47"/>
      <c r="Q104" s="45"/>
      <c r="R104" s="45"/>
      <c r="S104" s="48"/>
      <c r="T104" s="49" t="str">
        <f t="shared" si="2"/>
        <v>[W3201.8]</v>
      </c>
      <c r="U104" s="12" t="str">
        <f t="shared" si="3"/>
        <v/>
      </c>
      <c r="V104" s="49" t="str">
        <f t="shared" si="5"/>
        <v>[W3201.8]</v>
      </c>
    </row>
    <row r="105" spans="1:22" s="49" customFormat="1" ht="14.15" customHeight="1">
      <c r="A105" s="43"/>
      <c r="B105" s="44" t="s">
        <v>6635</v>
      </c>
      <c r="C105" s="32"/>
      <c r="D105" s="10" t="s">
        <v>29</v>
      </c>
      <c r="E105" s="11"/>
      <c r="F105" s="11" t="s">
        <v>18</v>
      </c>
      <c r="G105" s="13"/>
      <c r="H105" s="45" t="s">
        <v>16</v>
      </c>
      <c r="I105" s="46"/>
      <c r="J105" s="12" t="s">
        <v>3789</v>
      </c>
      <c r="K105" s="13" t="s">
        <v>6876</v>
      </c>
      <c r="L105" s="99" t="str">
        <f t="shared" si="4"/>
        <v>W3201.9</v>
      </c>
      <c r="M105" s="13"/>
      <c r="N105" s="13"/>
      <c r="O105" s="13"/>
      <c r="P105" s="47"/>
      <c r="Q105" s="45"/>
      <c r="R105" s="45"/>
      <c r="S105" s="48"/>
      <c r="T105" s="49" t="str">
        <f t="shared" si="2"/>
        <v>[W3201.9]</v>
      </c>
      <c r="U105" s="12" t="str">
        <f t="shared" si="3"/>
        <v/>
      </c>
      <c r="V105" s="49" t="str">
        <f t="shared" si="5"/>
        <v>[W3201.9]</v>
      </c>
    </row>
    <row r="106" spans="1:22" s="49" customFormat="1" ht="14.15" customHeight="1">
      <c r="A106" s="43"/>
      <c r="B106" s="44" t="s">
        <v>6635</v>
      </c>
      <c r="C106" s="32"/>
      <c r="D106" s="10" t="s">
        <v>29</v>
      </c>
      <c r="E106" s="11"/>
      <c r="F106" s="11" t="s">
        <v>18</v>
      </c>
      <c r="G106" s="13"/>
      <c r="H106" s="45" t="s">
        <v>16</v>
      </c>
      <c r="I106" s="46"/>
      <c r="J106" s="12" t="s">
        <v>3790</v>
      </c>
      <c r="K106" s="13" t="s">
        <v>6877</v>
      </c>
      <c r="L106" s="99" t="str">
        <f t="shared" si="4"/>
        <v>W3201.A</v>
      </c>
      <c r="M106" s="13"/>
      <c r="N106" s="13"/>
      <c r="O106" s="13"/>
      <c r="P106" s="47"/>
      <c r="Q106" s="45"/>
      <c r="R106" s="45"/>
      <c r="S106" s="48"/>
      <c r="T106" s="49" t="str">
        <f t="shared" si="2"/>
        <v>[W3201.A]</v>
      </c>
      <c r="U106" s="12" t="str">
        <f t="shared" si="3"/>
        <v/>
      </c>
      <c r="V106" s="49" t="str">
        <f t="shared" si="5"/>
        <v>[W3201.A]</v>
      </c>
    </row>
    <row r="107" spans="1:22" s="49" customFormat="1" ht="14.15" customHeight="1">
      <c r="A107" s="43"/>
      <c r="B107" s="44" t="s">
        <v>6635</v>
      </c>
      <c r="C107" s="32"/>
      <c r="D107" s="10" t="s">
        <v>29</v>
      </c>
      <c r="E107" s="11"/>
      <c r="F107" s="11" t="s">
        <v>18</v>
      </c>
      <c r="G107" s="13"/>
      <c r="H107" s="45" t="s">
        <v>16</v>
      </c>
      <c r="I107" s="46"/>
      <c r="J107" s="12" t="s">
        <v>3791</v>
      </c>
      <c r="K107" s="13" t="s">
        <v>6878</v>
      </c>
      <c r="L107" s="99" t="str">
        <f t="shared" si="4"/>
        <v>W3201.B</v>
      </c>
      <c r="M107" s="13"/>
      <c r="N107" s="13"/>
      <c r="O107" s="13"/>
      <c r="P107" s="47"/>
      <c r="Q107" s="45"/>
      <c r="R107" s="45"/>
      <c r="S107" s="48"/>
      <c r="T107" s="49" t="str">
        <f t="shared" si="2"/>
        <v>[W3201.B]</v>
      </c>
      <c r="U107" s="12" t="str">
        <f t="shared" si="3"/>
        <v/>
      </c>
      <c r="V107" s="49" t="str">
        <f t="shared" si="5"/>
        <v>[W3201.B]</v>
      </c>
    </row>
    <row r="108" spans="1:22" s="49" customFormat="1" ht="14.15" customHeight="1">
      <c r="A108" s="43"/>
      <c r="B108" s="44" t="s">
        <v>6635</v>
      </c>
      <c r="C108" s="32"/>
      <c r="D108" s="10" t="s">
        <v>29</v>
      </c>
      <c r="E108" s="11"/>
      <c r="F108" s="11" t="s">
        <v>18</v>
      </c>
      <c r="G108" s="13"/>
      <c r="H108" s="45" t="s">
        <v>16</v>
      </c>
      <c r="I108" s="46"/>
      <c r="J108" s="12" t="s">
        <v>3792</v>
      </c>
      <c r="K108" s="13" t="s">
        <v>6879</v>
      </c>
      <c r="L108" s="99" t="str">
        <f t="shared" si="4"/>
        <v>W3201.C</v>
      </c>
      <c r="M108" s="13"/>
      <c r="N108" s="13"/>
      <c r="O108" s="13"/>
      <c r="P108" s="47"/>
      <c r="Q108" s="45"/>
      <c r="R108" s="45"/>
      <c r="S108" s="48"/>
      <c r="T108" s="49" t="str">
        <f t="shared" si="2"/>
        <v>[W3201.C]</v>
      </c>
      <c r="U108" s="12" t="str">
        <f t="shared" si="3"/>
        <v/>
      </c>
      <c r="V108" s="49" t="str">
        <f t="shared" si="5"/>
        <v>[W3201.C]</v>
      </c>
    </row>
    <row r="109" spans="1:22" s="49" customFormat="1" ht="14.15" customHeight="1">
      <c r="A109" s="45" t="s">
        <v>3778</v>
      </c>
      <c r="B109" s="44" t="s">
        <v>6635</v>
      </c>
      <c r="C109" s="32"/>
      <c r="D109" s="10" t="s">
        <v>29</v>
      </c>
      <c r="E109" s="11"/>
      <c r="F109" s="11" t="s">
        <v>18</v>
      </c>
      <c r="G109" s="13"/>
      <c r="H109" s="45" t="s">
        <v>16</v>
      </c>
      <c r="I109" s="46"/>
      <c r="J109" s="12" t="s">
        <v>5622</v>
      </c>
      <c r="K109" s="13" t="s">
        <v>6880</v>
      </c>
      <c r="L109" s="99" t="str">
        <f t="shared" si="4"/>
        <v>W3201.D</v>
      </c>
      <c r="M109" s="13" t="s">
        <v>17</v>
      </c>
      <c r="N109" s="13"/>
      <c r="O109" s="13"/>
      <c r="P109" s="47"/>
      <c r="Q109" s="45" t="s">
        <v>3672</v>
      </c>
      <c r="R109" s="45" t="s">
        <v>5553</v>
      </c>
      <c r="S109" s="48"/>
      <c r="T109" s="49" t="str">
        <f t="shared" si="2"/>
        <v>[W3201.D]</v>
      </c>
      <c r="U109" s="12" t="str">
        <f t="shared" si="3"/>
        <v xml:space="preserve"> DOOR FRAME LIGHT CURTAIN 감지 에러 (M7470)</v>
      </c>
      <c r="V109" s="49" t="str">
        <f t="shared" si="5"/>
        <v>[W3201.D] DOOR FRAME LIGHT CURTAIN 감지 에러 (M7470)</v>
      </c>
    </row>
    <row r="110" spans="1:22" s="49" customFormat="1" ht="14.15" customHeight="1">
      <c r="A110" s="45" t="s">
        <v>3778</v>
      </c>
      <c r="B110" s="44" t="s">
        <v>6635</v>
      </c>
      <c r="C110" s="32"/>
      <c r="D110" s="10" t="s">
        <v>29</v>
      </c>
      <c r="E110" s="11"/>
      <c r="F110" s="11" t="s">
        <v>18</v>
      </c>
      <c r="G110" s="13"/>
      <c r="H110" s="45" t="s">
        <v>16</v>
      </c>
      <c r="I110" s="46"/>
      <c r="J110" s="12" t="s">
        <v>5623</v>
      </c>
      <c r="K110" s="13" t="s">
        <v>6881</v>
      </c>
      <c r="L110" s="99" t="str">
        <f t="shared" si="4"/>
        <v>W3201.E</v>
      </c>
      <c r="M110" s="13" t="s">
        <v>17</v>
      </c>
      <c r="N110" s="13"/>
      <c r="O110" s="13"/>
      <c r="P110" s="47"/>
      <c r="Q110" s="45"/>
      <c r="R110" s="45"/>
      <c r="S110" s="48"/>
      <c r="T110" s="49" t="str">
        <f t="shared" si="2"/>
        <v>[W3201.E]</v>
      </c>
      <c r="U110" s="12" t="str">
        <f t="shared" si="3"/>
        <v xml:space="preserve"> UNLOAD C/V LIGHT CURTAIN 감지 에러 (X3FE, Y418)</v>
      </c>
      <c r="V110" s="49" t="str">
        <f t="shared" si="5"/>
        <v>[W3201.E] UNLOAD C/V LIGHT CURTAIN 감지 에러 (X3FE, Y418)</v>
      </c>
    </row>
    <row r="111" spans="1:22" s="49" customFormat="1" ht="14.15" customHeight="1">
      <c r="A111" s="43"/>
      <c r="B111" s="44" t="s">
        <v>6635</v>
      </c>
      <c r="C111" s="32"/>
      <c r="D111" s="10" t="s">
        <v>29</v>
      </c>
      <c r="E111" s="11"/>
      <c r="F111" s="11" t="s">
        <v>18</v>
      </c>
      <c r="G111" s="13"/>
      <c r="H111" s="45" t="s">
        <v>16</v>
      </c>
      <c r="I111" s="46"/>
      <c r="J111" s="12" t="s">
        <v>186</v>
      </c>
      <c r="K111" s="13" t="s">
        <v>6882</v>
      </c>
      <c r="L111" s="99" t="str">
        <f t="shared" si="4"/>
        <v>W3201.F</v>
      </c>
      <c r="M111" s="13"/>
      <c r="N111" s="13"/>
      <c r="O111" s="13"/>
      <c r="P111" s="47"/>
      <c r="Q111" s="45"/>
      <c r="R111" s="45"/>
      <c r="S111" s="48"/>
      <c r="T111" s="49" t="str">
        <f t="shared" si="2"/>
        <v>[W3201.F]</v>
      </c>
      <c r="U111" s="12" t="str">
        <f t="shared" si="3"/>
        <v xml:space="preserve"> </v>
      </c>
      <c r="V111" s="49" t="str">
        <f t="shared" si="5"/>
        <v xml:space="preserve">[W3201.F] </v>
      </c>
    </row>
    <row r="112" spans="1:22" s="49" customFormat="1" ht="14.15" customHeight="1">
      <c r="A112" s="43"/>
      <c r="B112" s="44" t="s">
        <v>6635</v>
      </c>
      <c r="C112" s="32"/>
      <c r="D112" s="10" t="s">
        <v>29</v>
      </c>
      <c r="E112" s="11"/>
      <c r="F112" s="11" t="s">
        <v>18</v>
      </c>
      <c r="G112" s="13"/>
      <c r="H112" s="45" t="s">
        <v>16</v>
      </c>
      <c r="I112" s="46"/>
      <c r="J112" s="12" t="s">
        <v>187</v>
      </c>
      <c r="K112" s="13" t="s">
        <v>6883</v>
      </c>
      <c r="L112" s="99" t="str">
        <f t="shared" si="4"/>
        <v>W3202.0</v>
      </c>
      <c r="M112" s="13"/>
      <c r="N112" s="13"/>
      <c r="O112" s="13"/>
      <c r="P112" s="47"/>
      <c r="Q112" s="45"/>
      <c r="R112" s="45"/>
      <c r="S112" s="48"/>
      <c r="T112" s="49" t="str">
        <f t="shared" si="2"/>
        <v>[W3202.0]</v>
      </c>
      <c r="U112" s="12" t="str">
        <f t="shared" si="3"/>
        <v xml:space="preserve"> </v>
      </c>
      <c r="V112" s="49" t="str">
        <f t="shared" si="5"/>
        <v xml:space="preserve">[W3202.0] </v>
      </c>
    </row>
    <row r="113" spans="1:22" s="49" customFormat="1" ht="14.15" customHeight="1">
      <c r="A113" s="43"/>
      <c r="B113" s="44" t="s">
        <v>6635</v>
      </c>
      <c r="C113" s="32"/>
      <c r="D113" s="10" t="s">
        <v>29</v>
      </c>
      <c r="E113" s="11"/>
      <c r="F113" s="11" t="s">
        <v>18</v>
      </c>
      <c r="G113" s="13"/>
      <c r="H113" s="45" t="s">
        <v>16</v>
      </c>
      <c r="I113" s="46"/>
      <c r="J113" s="12" t="s">
        <v>188</v>
      </c>
      <c r="K113" s="13" t="s">
        <v>6884</v>
      </c>
      <c r="L113" s="99" t="str">
        <f t="shared" si="4"/>
        <v>W3202.1</v>
      </c>
      <c r="M113" s="13"/>
      <c r="N113" s="13"/>
      <c r="O113" s="13"/>
      <c r="P113" s="47"/>
      <c r="Q113" s="45"/>
      <c r="R113" s="45"/>
      <c r="S113" s="48"/>
      <c r="T113" s="49" t="str">
        <f t="shared" si="2"/>
        <v>[W3202.1]</v>
      </c>
      <c r="U113" s="12" t="str">
        <f t="shared" si="3"/>
        <v xml:space="preserve"> </v>
      </c>
      <c r="V113" s="49" t="str">
        <f t="shared" si="5"/>
        <v xml:space="preserve">[W3202.1] </v>
      </c>
    </row>
    <row r="114" spans="1:22" s="49" customFormat="1" ht="14.15" customHeight="1">
      <c r="A114" s="43"/>
      <c r="B114" s="44" t="s">
        <v>6635</v>
      </c>
      <c r="C114" s="32"/>
      <c r="D114" s="10" t="s">
        <v>29</v>
      </c>
      <c r="E114" s="11"/>
      <c r="F114" s="11" t="s">
        <v>18</v>
      </c>
      <c r="G114" s="13"/>
      <c r="H114" s="45" t="s">
        <v>16</v>
      </c>
      <c r="I114" s="46"/>
      <c r="J114" s="12" t="s">
        <v>189</v>
      </c>
      <c r="K114" s="13" t="s">
        <v>6885</v>
      </c>
      <c r="L114" s="99" t="str">
        <f t="shared" si="4"/>
        <v>W3202.2</v>
      </c>
      <c r="M114" s="13"/>
      <c r="N114" s="13"/>
      <c r="O114" s="13"/>
      <c r="P114" s="47"/>
      <c r="Q114" s="45"/>
      <c r="R114" s="45"/>
      <c r="S114" s="48"/>
      <c r="T114" s="49" t="str">
        <f t="shared" si="2"/>
        <v>[W3202.2]</v>
      </c>
      <c r="U114" s="12" t="str">
        <f t="shared" si="3"/>
        <v xml:space="preserve"> </v>
      </c>
      <c r="V114" s="49" t="str">
        <f t="shared" si="5"/>
        <v xml:space="preserve">[W3202.2] </v>
      </c>
    </row>
    <row r="115" spans="1:22" s="49" customFormat="1" ht="14.15" customHeight="1">
      <c r="A115" s="43"/>
      <c r="B115" s="44" t="s">
        <v>6635</v>
      </c>
      <c r="C115" s="32"/>
      <c r="D115" s="10" t="s">
        <v>29</v>
      </c>
      <c r="E115" s="11"/>
      <c r="F115" s="11" t="s">
        <v>18</v>
      </c>
      <c r="G115" s="13"/>
      <c r="H115" s="45" t="s">
        <v>16</v>
      </c>
      <c r="I115" s="46"/>
      <c r="J115" s="12" t="s">
        <v>190</v>
      </c>
      <c r="K115" s="13" t="s">
        <v>6886</v>
      </c>
      <c r="L115" s="99" t="str">
        <f t="shared" si="4"/>
        <v>W3202.3</v>
      </c>
      <c r="M115" s="13"/>
      <c r="N115" s="13"/>
      <c r="O115" s="13"/>
      <c r="P115" s="47"/>
      <c r="Q115" s="45"/>
      <c r="R115" s="45"/>
      <c r="S115" s="48"/>
      <c r="T115" s="49" t="str">
        <f t="shared" si="2"/>
        <v>[W3202.3]</v>
      </c>
      <c r="U115" s="12" t="str">
        <f t="shared" si="3"/>
        <v xml:space="preserve"> </v>
      </c>
      <c r="V115" s="49" t="str">
        <f t="shared" si="5"/>
        <v xml:space="preserve">[W3202.3] </v>
      </c>
    </row>
    <row r="116" spans="1:22" s="49" customFormat="1" ht="14.15" customHeight="1">
      <c r="A116" s="43"/>
      <c r="B116" s="44" t="s">
        <v>6635</v>
      </c>
      <c r="C116" s="32"/>
      <c r="D116" s="10" t="s">
        <v>29</v>
      </c>
      <c r="E116" s="11"/>
      <c r="F116" s="11" t="s">
        <v>18</v>
      </c>
      <c r="G116" s="13"/>
      <c r="H116" s="45" t="s">
        <v>16</v>
      </c>
      <c r="I116" s="46"/>
      <c r="J116" s="12" t="s">
        <v>191</v>
      </c>
      <c r="K116" s="13" t="s">
        <v>6887</v>
      </c>
      <c r="L116" s="99" t="str">
        <f t="shared" si="4"/>
        <v>W3202.4</v>
      </c>
      <c r="M116" s="13"/>
      <c r="N116" s="13"/>
      <c r="O116" s="13"/>
      <c r="P116" s="47"/>
      <c r="Q116" s="45"/>
      <c r="R116" s="45"/>
      <c r="S116" s="48"/>
      <c r="T116" s="49" t="str">
        <f t="shared" si="2"/>
        <v>[W3202.4]</v>
      </c>
      <c r="U116" s="12" t="str">
        <f t="shared" si="3"/>
        <v xml:space="preserve"> </v>
      </c>
      <c r="V116" s="49" t="str">
        <f t="shared" si="5"/>
        <v xml:space="preserve">[W3202.4] </v>
      </c>
    </row>
    <row r="117" spans="1:22" s="49" customFormat="1" ht="14.15" customHeight="1">
      <c r="A117" s="43"/>
      <c r="B117" s="44" t="s">
        <v>6635</v>
      </c>
      <c r="C117" s="32"/>
      <c r="D117" s="10" t="s">
        <v>29</v>
      </c>
      <c r="E117" s="11"/>
      <c r="F117" s="11" t="s">
        <v>18</v>
      </c>
      <c r="G117" s="13"/>
      <c r="H117" s="45" t="s">
        <v>16</v>
      </c>
      <c r="I117" s="46"/>
      <c r="J117" s="12" t="s">
        <v>192</v>
      </c>
      <c r="K117" s="13" t="s">
        <v>6888</v>
      </c>
      <c r="L117" s="99" t="str">
        <f t="shared" si="4"/>
        <v>W3202.5</v>
      </c>
      <c r="M117" s="13"/>
      <c r="N117" s="13"/>
      <c r="O117" s="13"/>
      <c r="P117" s="47"/>
      <c r="Q117" s="45"/>
      <c r="R117" s="45"/>
      <c r="S117" s="48"/>
      <c r="T117" s="49" t="str">
        <f t="shared" si="2"/>
        <v>[W3202.5]</v>
      </c>
      <c r="U117" s="12" t="str">
        <f t="shared" si="3"/>
        <v xml:space="preserve"> </v>
      </c>
      <c r="V117" s="49" t="str">
        <f t="shared" si="5"/>
        <v xml:space="preserve">[W3202.5] </v>
      </c>
    </row>
    <row r="118" spans="1:22" s="49" customFormat="1" ht="14.15" customHeight="1">
      <c r="A118" s="43"/>
      <c r="B118" s="44" t="s">
        <v>6635</v>
      </c>
      <c r="C118" s="32"/>
      <c r="D118" s="10" t="s">
        <v>29</v>
      </c>
      <c r="E118" s="11"/>
      <c r="F118" s="11" t="s">
        <v>18</v>
      </c>
      <c r="G118" s="13"/>
      <c r="H118" s="45" t="s">
        <v>16</v>
      </c>
      <c r="I118" s="46"/>
      <c r="J118" s="12" t="s">
        <v>193</v>
      </c>
      <c r="K118" s="13" t="s">
        <v>6889</v>
      </c>
      <c r="L118" s="99" t="str">
        <f t="shared" si="4"/>
        <v>W3202.6</v>
      </c>
      <c r="M118" s="13"/>
      <c r="N118" s="13"/>
      <c r="O118" s="13"/>
      <c r="P118" s="47"/>
      <c r="Q118" s="45"/>
      <c r="R118" s="45"/>
      <c r="S118" s="48"/>
      <c r="T118" s="49" t="str">
        <f t="shared" si="2"/>
        <v>[W3202.6]</v>
      </c>
      <c r="U118" s="12" t="str">
        <f t="shared" si="3"/>
        <v xml:space="preserve"> </v>
      </c>
      <c r="V118" s="49" t="str">
        <f t="shared" si="5"/>
        <v xml:space="preserve">[W3202.6] </v>
      </c>
    </row>
    <row r="119" spans="1:22" s="49" customFormat="1" ht="14.15" customHeight="1">
      <c r="A119" s="45" t="s">
        <v>3778</v>
      </c>
      <c r="B119" s="44" t="s">
        <v>6635</v>
      </c>
      <c r="C119" s="32"/>
      <c r="D119" s="10" t="s">
        <v>29</v>
      </c>
      <c r="E119" s="11"/>
      <c r="F119" s="11" t="s">
        <v>18</v>
      </c>
      <c r="G119" s="13"/>
      <c r="H119" s="45" t="s">
        <v>16</v>
      </c>
      <c r="I119" s="46"/>
      <c r="J119" s="12" t="s">
        <v>5624</v>
      </c>
      <c r="K119" s="13" t="s">
        <v>6890</v>
      </c>
      <c r="L119" s="99" t="str">
        <f t="shared" si="4"/>
        <v>W3202.7</v>
      </c>
      <c r="M119" s="13" t="s">
        <v>17</v>
      </c>
      <c r="N119" s="13"/>
      <c r="O119" s="13"/>
      <c r="P119" s="47"/>
      <c r="Q119" s="45"/>
      <c r="R119" s="45"/>
      <c r="S119" s="48"/>
      <c r="T119" s="49" t="str">
        <f t="shared" si="2"/>
        <v>[W3202.7]</v>
      </c>
      <c r="U119" s="12" t="str">
        <f t="shared" si="3"/>
        <v xml:space="preserve"> 용접부1 칠러 플로어 센서 에러</v>
      </c>
      <c r="V119" s="49" t="str">
        <f t="shared" si="5"/>
        <v>[W3202.7] 용접부1 칠러 플로어 센서 에러</v>
      </c>
    </row>
    <row r="120" spans="1:22" s="49" customFormat="1" ht="14.15" customHeight="1">
      <c r="A120" s="45" t="s">
        <v>3778</v>
      </c>
      <c r="B120" s="44" t="s">
        <v>6635</v>
      </c>
      <c r="C120" s="32"/>
      <c r="D120" s="10" t="s">
        <v>29</v>
      </c>
      <c r="E120" s="11"/>
      <c r="F120" s="11" t="s">
        <v>18</v>
      </c>
      <c r="G120" s="13"/>
      <c r="H120" s="45" t="s">
        <v>16</v>
      </c>
      <c r="I120" s="46"/>
      <c r="J120" s="12" t="s">
        <v>5625</v>
      </c>
      <c r="K120" s="13" t="s">
        <v>6891</v>
      </c>
      <c r="L120" s="99" t="str">
        <f t="shared" si="4"/>
        <v>W3202.8</v>
      </c>
      <c r="M120" s="13" t="s">
        <v>17</v>
      </c>
      <c r="N120" s="13"/>
      <c r="O120" s="13"/>
      <c r="P120" s="47"/>
      <c r="Q120" s="45"/>
      <c r="R120" s="45"/>
      <c r="S120" s="48"/>
      <c r="T120" s="49" t="str">
        <f t="shared" si="2"/>
        <v>[W3202.8]</v>
      </c>
      <c r="U120" s="12" t="str">
        <f t="shared" si="3"/>
        <v xml:space="preserve"> 용접부2 칠러 플로어 센서 에러</v>
      </c>
      <c r="V120" s="49" t="str">
        <f t="shared" si="5"/>
        <v>[W3202.8] 용접부2 칠러 플로어 센서 에러</v>
      </c>
    </row>
    <row r="121" spans="1:22" s="49" customFormat="1" ht="14.15" customHeight="1">
      <c r="A121" s="45" t="s">
        <v>3778</v>
      </c>
      <c r="B121" s="44" t="s">
        <v>6635</v>
      </c>
      <c r="C121" s="32"/>
      <c r="D121" s="10" t="s">
        <v>29</v>
      </c>
      <c r="E121" s="11"/>
      <c r="F121" s="11" t="s">
        <v>18</v>
      </c>
      <c r="G121" s="13"/>
      <c r="H121" s="45" t="s">
        <v>16</v>
      </c>
      <c r="I121" s="46"/>
      <c r="J121" s="12" t="s">
        <v>5626</v>
      </c>
      <c r="K121" s="13" t="s">
        <v>6892</v>
      </c>
      <c r="L121" s="99" t="str">
        <f t="shared" si="4"/>
        <v>W3202.9</v>
      </c>
      <c r="M121" s="13" t="s">
        <v>17</v>
      </c>
      <c r="N121" s="13"/>
      <c r="O121" s="13"/>
      <c r="P121" s="47"/>
      <c r="Q121" s="45"/>
      <c r="R121" s="45"/>
      <c r="S121" s="48"/>
      <c r="T121" s="49" t="str">
        <f t="shared" si="2"/>
        <v>[W3202.9]</v>
      </c>
      <c r="U121" s="12" t="str">
        <f t="shared" si="3"/>
        <v xml:space="preserve"> 용접부1 칠러 에러</v>
      </c>
      <c r="V121" s="49" t="str">
        <f t="shared" si="5"/>
        <v>[W3202.9] 용접부1 칠러 에러</v>
      </c>
    </row>
    <row r="122" spans="1:22" s="49" customFormat="1" ht="14.15" customHeight="1">
      <c r="A122" s="45" t="s">
        <v>3778</v>
      </c>
      <c r="B122" s="44" t="s">
        <v>6635</v>
      </c>
      <c r="C122" s="32"/>
      <c r="D122" s="10" t="s">
        <v>29</v>
      </c>
      <c r="E122" s="11"/>
      <c r="F122" s="11" t="s">
        <v>18</v>
      </c>
      <c r="G122" s="13"/>
      <c r="H122" s="45" t="s">
        <v>16</v>
      </c>
      <c r="I122" s="46"/>
      <c r="J122" s="12" t="s">
        <v>5627</v>
      </c>
      <c r="K122" s="13" t="s">
        <v>6893</v>
      </c>
      <c r="L122" s="99" t="str">
        <f t="shared" si="4"/>
        <v>W3202.A</v>
      </c>
      <c r="M122" s="13" t="s">
        <v>17</v>
      </c>
      <c r="N122" s="13"/>
      <c r="O122" s="13"/>
      <c r="P122" s="47"/>
      <c r="Q122" s="45"/>
      <c r="R122" s="45"/>
      <c r="S122" s="48"/>
      <c r="T122" s="49" t="str">
        <f t="shared" si="2"/>
        <v>[W3202.A]</v>
      </c>
      <c r="U122" s="12" t="str">
        <f t="shared" si="3"/>
        <v xml:space="preserve"> 용접부2 칠러 에러</v>
      </c>
      <c r="V122" s="49" t="str">
        <f t="shared" si="5"/>
        <v>[W3202.A] 용접부2 칠러 에러</v>
      </c>
    </row>
    <row r="123" spans="1:22" s="49" customFormat="1" ht="14.15" customHeight="1">
      <c r="A123" s="43"/>
      <c r="B123" s="44" t="s">
        <v>6635</v>
      </c>
      <c r="C123" s="32"/>
      <c r="D123" s="10" t="s">
        <v>29</v>
      </c>
      <c r="E123" s="11"/>
      <c r="F123" s="11" t="s">
        <v>18</v>
      </c>
      <c r="G123" s="13"/>
      <c r="H123" s="45" t="s">
        <v>16</v>
      </c>
      <c r="I123" s="46"/>
      <c r="J123" s="12" t="s">
        <v>3806</v>
      </c>
      <c r="K123" s="13" t="s">
        <v>6894</v>
      </c>
      <c r="L123" s="99" t="str">
        <f t="shared" si="4"/>
        <v>W3202.B</v>
      </c>
      <c r="M123" s="13"/>
      <c r="N123" s="13"/>
      <c r="O123" s="13"/>
      <c r="P123" s="47"/>
      <c r="Q123" s="45"/>
      <c r="R123" s="45"/>
      <c r="S123" s="48"/>
      <c r="T123" s="49" t="str">
        <f t="shared" si="2"/>
        <v>[W3202.B]</v>
      </c>
      <c r="U123" s="12" t="str">
        <f t="shared" si="3"/>
        <v/>
      </c>
      <c r="V123" s="49" t="str">
        <f t="shared" si="5"/>
        <v>[W3202.B]</v>
      </c>
    </row>
    <row r="124" spans="1:22" s="49" customFormat="1" ht="14.15" customHeight="1">
      <c r="A124" s="43"/>
      <c r="B124" s="44" t="s">
        <v>6635</v>
      </c>
      <c r="C124" s="32"/>
      <c r="D124" s="10" t="s">
        <v>29</v>
      </c>
      <c r="E124" s="11"/>
      <c r="F124" s="11" t="s">
        <v>18</v>
      </c>
      <c r="G124" s="13"/>
      <c r="H124" s="45" t="s">
        <v>16</v>
      </c>
      <c r="I124" s="46"/>
      <c r="J124" s="12" t="s">
        <v>3807</v>
      </c>
      <c r="K124" s="13" t="s">
        <v>6895</v>
      </c>
      <c r="L124" s="99" t="str">
        <f t="shared" si="4"/>
        <v>W3202.C</v>
      </c>
      <c r="M124" s="13"/>
      <c r="N124" s="13"/>
      <c r="O124" s="13"/>
      <c r="P124" s="47"/>
      <c r="Q124" s="45"/>
      <c r="R124" s="45"/>
      <c r="S124" s="48"/>
      <c r="T124" s="49" t="str">
        <f t="shared" si="2"/>
        <v>[W3202.C]</v>
      </c>
      <c r="U124" s="12" t="str">
        <f t="shared" si="3"/>
        <v/>
      </c>
      <c r="V124" s="49" t="str">
        <f t="shared" si="5"/>
        <v>[W3202.C]</v>
      </c>
    </row>
    <row r="125" spans="1:22" s="49" customFormat="1" ht="14.15" customHeight="1">
      <c r="A125" s="43"/>
      <c r="B125" s="44" t="s">
        <v>6635</v>
      </c>
      <c r="C125" s="32"/>
      <c r="D125" s="10" t="s">
        <v>29</v>
      </c>
      <c r="E125" s="11"/>
      <c r="F125" s="11" t="s">
        <v>18</v>
      </c>
      <c r="G125" s="13"/>
      <c r="H125" s="45" t="s">
        <v>16</v>
      </c>
      <c r="I125" s="46"/>
      <c r="J125" s="12" t="s">
        <v>3808</v>
      </c>
      <c r="K125" s="13" t="s">
        <v>6896</v>
      </c>
      <c r="L125" s="99" t="str">
        <f t="shared" si="4"/>
        <v>W3202.D</v>
      </c>
      <c r="M125" s="13"/>
      <c r="N125" s="13"/>
      <c r="O125" s="13"/>
      <c r="P125" s="47"/>
      <c r="Q125" s="45"/>
      <c r="R125" s="45"/>
      <c r="S125" s="48"/>
      <c r="T125" s="49" t="str">
        <f t="shared" si="2"/>
        <v>[W3202.D]</v>
      </c>
      <c r="U125" s="12" t="str">
        <f t="shared" si="3"/>
        <v/>
      </c>
      <c r="V125" s="49" t="str">
        <f t="shared" si="5"/>
        <v>[W3202.D]</v>
      </c>
    </row>
    <row r="126" spans="1:22" s="49" customFormat="1" ht="14.15" customHeight="1">
      <c r="A126" s="43"/>
      <c r="B126" s="44" t="s">
        <v>6635</v>
      </c>
      <c r="C126" s="32"/>
      <c r="D126" s="10" t="s">
        <v>29</v>
      </c>
      <c r="E126" s="11"/>
      <c r="F126" s="11" t="s">
        <v>18</v>
      </c>
      <c r="G126" s="13"/>
      <c r="H126" s="45" t="s">
        <v>16</v>
      </c>
      <c r="I126" s="46"/>
      <c r="J126" s="12" t="s">
        <v>3809</v>
      </c>
      <c r="K126" s="13" t="s">
        <v>6897</v>
      </c>
      <c r="L126" s="99" t="str">
        <f t="shared" si="4"/>
        <v>W3202.E</v>
      </c>
      <c r="M126" s="13"/>
      <c r="N126" s="13"/>
      <c r="O126" s="13"/>
      <c r="P126" s="47"/>
      <c r="Q126" s="45"/>
      <c r="R126" s="45"/>
      <c r="S126" s="48"/>
      <c r="T126" s="49" t="str">
        <f t="shared" si="2"/>
        <v>[W3202.E]</v>
      </c>
      <c r="U126" s="12" t="str">
        <f t="shared" si="3"/>
        <v/>
      </c>
      <c r="V126" s="49" t="str">
        <f t="shared" si="5"/>
        <v>[W3202.E]</v>
      </c>
    </row>
    <row r="127" spans="1:22" s="49" customFormat="1" ht="14.15" customHeight="1">
      <c r="A127" s="43"/>
      <c r="B127" s="44" t="s">
        <v>6635</v>
      </c>
      <c r="C127" s="32"/>
      <c r="D127" s="10" t="s">
        <v>29</v>
      </c>
      <c r="E127" s="11"/>
      <c r="F127" s="11" t="s">
        <v>18</v>
      </c>
      <c r="G127" s="13"/>
      <c r="H127" s="45" t="s">
        <v>16</v>
      </c>
      <c r="I127" s="46"/>
      <c r="J127" s="12" t="s">
        <v>3810</v>
      </c>
      <c r="K127" s="13" t="s">
        <v>6898</v>
      </c>
      <c r="L127" s="99" t="str">
        <f t="shared" si="4"/>
        <v>W3202.F</v>
      </c>
      <c r="M127" s="13"/>
      <c r="N127" s="13"/>
      <c r="O127" s="13"/>
      <c r="P127" s="47"/>
      <c r="Q127" s="45"/>
      <c r="R127" s="45"/>
      <c r="S127" s="48"/>
      <c r="T127" s="49" t="str">
        <f t="shared" si="2"/>
        <v>[W3202.F]</v>
      </c>
      <c r="U127" s="12" t="str">
        <f t="shared" si="3"/>
        <v/>
      </c>
      <c r="V127" s="49" t="str">
        <f t="shared" si="5"/>
        <v>[W3202.F]</v>
      </c>
    </row>
    <row r="128" spans="1:22" s="49" customFormat="1" ht="14.15" customHeight="1">
      <c r="A128" s="43"/>
      <c r="B128" s="44" t="s">
        <v>6635</v>
      </c>
      <c r="C128" s="32"/>
      <c r="D128" s="10" t="s">
        <v>29</v>
      </c>
      <c r="E128" s="11"/>
      <c r="F128" s="11" t="s">
        <v>18</v>
      </c>
      <c r="G128" s="13"/>
      <c r="H128" s="45" t="s">
        <v>16</v>
      </c>
      <c r="I128" s="46"/>
      <c r="J128" s="12" t="s">
        <v>3811</v>
      </c>
      <c r="K128" s="13" t="s">
        <v>6899</v>
      </c>
      <c r="L128" s="99" t="str">
        <f t="shared" si="4"/>
        <v>W3203.0</v>
      </c>
      <c r="M128" s="13"/>
      <c r="N128" s="13"/>
      <c r="O128" s="13"/>
      <c r="P128" s="47"/>
      <c r="Q128" s="45"/>
      <c r="R128" s="45"/>
      <c r="S128" s="48"/>
      <c r="T128" s="49" t="str">
        <f t="shared" si="2"/>
        <v>[W3203.0]</v>
      </c>
      <c r="U128" s="12" t="str">
        <f t="shared" si="3"/>
        <v/>
      </c>
      <c r="V128" s="49" t="str">
        <f t="shared" si="5"/>
        <v>[W3203.0]</v>
      </c>
    </row>
    <row r="129" spans="1:22" s="49" customFormat="1" ht="14.15" customHeight="1">
      <c r="A129" s="43"/>
      <c r="B129" s="44" t="s">
        <v>6635</v>
      </c>
      <c r="C129" s="32"/>
      <c r="D129" s="10" t="s">
        <v>29</v>
      </c>
      <c r="E129" s="11"/>
      <c r="F129" s="11" t="s">
        <v>18</v>
      </c>
      <c r="G129" s="13"/>
      <c r="H129" s="45" t="s">
        <v>16</v>
      </c>
      <c r="I129" s="46"/>
      <c r="J129" s="12" t="s">
        <v>3812</v>
      </c>
      <c r="K129" s="13" t="s">
        <v>6900</v>
      </c>
      <c r="L129" s="99" t="str">
        <f t="shared" si="4"/>
        <v>W3203.1</v>
      </c>
      <c r="M129" s="13"/>
      <c r="N129" s="13"/>
      <c r="O129" s="13"/>
      <c r="P129" s="47"/>
      <c r="Q129" s="45"/>
      <c r="R129" s="45"/>
      <c r="S129" s="48"/>
      <c r="T129" s="49" t="str">
        <f t="shared" si="2"/>
        <v>[W3203.1]</v>
      </c>
      <c r="U129" s="12" t="str">
        <f t="shared" si="3"/>
        <v/>
      </c>
      <c r="V129" s="49" t="str">
        <f t="shared" si="5"/>
        <v>[W3203.1]</v>
      </c>
    </row>
    <row r="130" spans="1:22" s="49" customFormat="1" ht="14.15" customHeight="1">
      <c r="A130" s="43"/>
      <c r="B130" s="44" t="s">
        <v>6635</v>
      </c>
      <c r="C130" s="32"/>
      <c r="D130" s="10" t="s">
        <v>29</v>
      </c>
      <c r="E130" s="11"/>
      <c r="F130" s="11" t="s">
        <v>18</v>
      </c>
      <c r="G130" s="13"/>
      <c r="H130" s="45" t="s">
        <v>16</v>
      </c>
      <c r="I130" s="46"/>
      <c r="J130" s="12" t="s">
        <v>3813</v>
      </c>
      <c r="K130" s="13" t="s">
        <v>6901</v>
      </c>
      <c r="L130" s="99" t="str">
        <f t="shared" si="4"/>
        <v>W3203.2</v>
      </c>
      <c r="M130" s="13"/>
      <c r="N130" s="13"/>
      <c r="O130" s="13"/>
      <c r="P130" s="47"/>
      <c r="Q130" s="45"/>
      <c r="R130" s="45"/>
      <c r="S130" s="48"/>
      <c r="T130" s="49" t="str">
        <f t="shared" si="2"/>
        <v>[W3203.2]</v>
      </c>
      <c r="U130" s="12" t="str">
        <f t="shared" si="3"/>
        <v/>
      </c>
      <c r="V130" s="49" t="str">
        <f t="shared" si="5"/>
        <v>[W3203.2]</v>
      </c>
    </row>
    <row r="131" spans="1:22" s="49" customFormat="1" ht="14.15" customHeight="1">
      <c r="A131" s="43"/>
      <c r="B131" s="44" t="s">
        <v>6635</v>
      </c>
      <c r="C131" s="32"/>
      <c r="D131" s="10" t="s">
        <v>29</v>
      </c>
      <c r="E131" s="11"/>
      <c r="F131" s="11" t="s">
        <v>18</v>
      </c>
      <c r="G131" s="13"/>
      <c r="H131" s="45" t="s">
        <v>16</v>
      </c>
      <c r="I131" s="46"/>
      <c r="J131" s="12" t="s">
        <v>3814</v>
      </c>
      <c r="K131" s="13" t="s">
        <v>6902</v>
      </c>
      <c r="L131" s="99" t="str">
        <f t="shared" si="4"/>
        <v>W3203.3</v>
      </c>
      <c r="M131" s="13"/>
      <c r="N131" s="13"/>
      <c r="O131" s="13"/>
      <c r="P131" s="47"/>
      <c r="Q131" s="45"/>
      <c r="R131" s="45"/>
      <c r="S131" s="48"/>
      <c r="T131" s="49" t="str">
        <f t="shared" si="2"/>
        <v>[W3203.3]</v>
      </c>
      <c r="U131" s="12" t="str">
        <f t="shared" si="3"/>
        <v/>
      </c>
      <c r="V131" s="49" t="str">
        <f t="shared" si="5"/>
        <v>[W3203.3]</v>
      </c>
    </row>
    <row r="132" spans="1:22" s="49" customFormat="1" ht="14.15" customHeight="1">
      <c r="A132" s="43"/>
      <c r="B132" s="44" t="s">
        <v>6635</v>
      </c>
      <c r="C132" s="32"/>
      <c r="D132" s="10" t="s">
        <v>29</v>
      </c>
      <c r="E132" s="11"/>
      <c r="F132" s="11" t="s">
        <v>18</v>
      </c>
      <c r="G132" s="13"/>
      <c r="H132" s="45" t="s">
        <v>16</v>
      </c>
      <c r="I132" s="46"/>
      <c r="J132" s="12" t="s">
        <v>3815</v>
      </c>
      <c r="K132" s="13" t="s">
        <v>6903</v>
      </c>
      <c r="L132" s="99" t="str">
        <f t="shared" si="4"/>
        <v>W3203.4</v>
      </c>
      <c r="M132" s="13"/>
      <c r="N132" s="13"/>
      <c r="O132" s="13"/>
      <c r="P132" s="47"/>
      <c r="Q132" s="45"/>
      <c r="R132" s="45"/>
      <c r="S132" s="48"/>
      <c r="T132" s="49" t="str">
        <f t="shared" si="2"/>
        <v>[W3203.4]</v>
      </c>
      <c r="U132" s="12" t="str">
        <f t="shared" si="3"/>
        <v/>
      </c>
      <c r="V132" s="49" t="str">
        <f t="shared" si="5"/>
        <v>[W3203.4]</v>
      </c>
    </row>
    <row r="133" spans="1:22" s="49" customFormat="1" ht="14.15" customHeight="1">
      <c r="A133" s="43"/>
      <c r="B133" s="44" t="s">
        <v>6635</v>
      </c>
      <c r="C133" s="32"/>
      <c r="D133" s="10" t="s">
        <v>29</v>
      </c>
      <c r="E133" s="11"/>
      <c r="F133" s="11" t="s">
        <v>18</v>
      </c>
      <c r="G133" s="13"/>
      <c r="H133" s="45" t="s">
        <v>16</v>
      </c>
      <c r="I133" s="46"/>
      <c r="J133" s="12" t="s">
        <v>3816</v>
      </c>
      <c r="K133" s="13" t="s">
        <v>6904</v>
      </c>
      <c r="L133" s="99" t="str">
        <f t="shared" si="4"/>
        <v>W3203.5</v>
      </c>
      <c r="M133" s="13"/>
      <c r="N133" s="13"/>
      <c r="O133" s="13"/>
      <c r="P133" s="47"/>
      <c r="Q133" s="45"/>
      <c r="R133" s="45"/>
      <c r="S133" s="48"/>
      <c r="T133" s="49" t="str">
        <f t="shared" si="2"/>
        <v>[W3203.5]</v>
      </c>
      <c r="U133" s="12" t="str">
        <f t="shared" si="3"/>
        <v/>
      </c>
      <c r="V133" s="49" t="str">
        <f t="shared" si="5"/>
        <v>[W3203.5]</v>
      </c>
    </row>
    <row r="134" spans="1:22" s="49" customFormat="1" ht="14.15" customHeight="1">
      <c r="A134" s="43"/>
      <c r="B134" s="44" t="s">
        <v>6635</v>
      </c>
      <c r="C134" s="32"/>
      <c r="D134" s="10" t="s">
        <v>29</v>
      </c>
      <c r="E134" s="11"/>
      <c r="F134" s="11" t="s">
        <v>18</v>
      </c>
      <c r="G134" s="13"/>
      <c r="H134" s="45" t="s">
        <v>16</v>
      </c>
      <c r="I134" s="46"/>
      <c r="J134" s="12" t="s">
        <v>3817</v>
      </c>
      <c r="K134" s="13" t="s">
        <v>6905</v>
      </c>
      <c r="L134" s="99" t="str">
        <f t="shared" si="4"/>
        <v>W3203.6</v>
      </c>
      <c r="M134" s="13"/>
      <c r="N134" s="13"/>
      <c r="O134" s="13"/>
      <c r="P134" s="47"/>
      <c r="Q134" s="45"/>
      <c r="R134" s="45"/>
      <c r="S134" s="48"/>
      <c r="T134" s="49" t="str">
        <f t="shared" si="2"/>
        <v>[W3203.6]</v>
      </c>
      <c r="U134" s="12" t="str">
        <f t="shared" si="3"/>
        <v/>
      </c>
      <c r="V134" s="49" t="str">
        <f t="shared" si="5"/>
        <v>[W3203.6]</v>
      </c>
    </row>
    <row r="135" spans="1:22" s="49" customFormat="1" ht="14.15" customHeight="1">
      <c r="A135" s="43"/>
      <c r="B135" s="44" t="s">
        <v>6635</v>
      </c>
      <c r="C135" s="32"/>
      <c r="D135" s="10" t="s">
        <v>29</v>
      </c>
      <c r="E135" s="11"/>
      <c r="F135" s="11" t="s">
        <v>18</v>
      </c>
      <c r="G135" s="13"/>
      <c r="H135" s="45" t="s">
        <v>16</v>
      </c>
      <c r="I135" s="46"/>
      <c r="J135" s="12" t="s">
        <v>3818</v>
      </c>
      <c r="K135" s="13" t="s">
        <v>6906</v>
      </c>
      <c r="L135" s="99" t="str">
        <f t="shared" si="4"/>
        <v>W3203.7</v>
      </c>
      <c r="M135" s="13"/>
      <c r="N135" s="13"/>
      <c r="O135" s="13"/>
      <c r="P135" s="47"/>
      <c r="Q135" s="45"/>
      <c r="R135" s="45"/>
      <c r="S135" s="48"/>
      <c r="T135" s="49" t="str">
        <f t="shared" si="2"/>
        <v>[W3203.7]</v>
      </c>
      <c r="U135" s="12" t="str">
        <f t="shared" si="3"/>
        <v/>
      </c>
      <c r="V135" s="49" t="str">
        <f t="shared" si="5"/>
        <v>[W3203.7]</v>
      </c>
    </row>
    <row r="136" spans="1:22" s="49" customFormat="1" ht="14.15" customHeight="1">
      <c r="A136" s="43"/>
      <c r="B136" s="44" t="s">
        <v>6635</v>
      </c>
      <c r="C136" s="32"/>
      <c r="D136" s="10" t="s">
        <v>29</v>
      </c>
      <c r="E136" s="11"/>
      <c r="F136" s="11" t="s">
        <v>18</v>
      </c>
      <c r="G136" s="13"/>
      <c r="H136" s="45" t="s">
        <v>16</v>
      </c>
      <c r="I136" s="46"/>
      <c r="J136" s="12" t="s">
        <v>3819</v>
      </c>
      <c r="K136" s="13" t="s">
        <v>6907</v>
      </c>
      <c r="L136" s="99" t="str">
        <f t="shared" si="4"/>
        <v>W3203.8</v>
      </c>
      <c r="M136" s="13"/>
      <c r="N136" s="13"/>
      <c r="O136" s="13"/>
      <c r="P136" s="47"/>
      <c r="Q136" s="45"/>
      <c r="R136" s="45"/>
      <c r="S136" s="48"/>
      <c r="T136" s="49" t="str">
        <f t="shared" si="2"/>
        <v>[W3203.8]</v>
      </c>
      <c r="U136" s="12" t="str">
        <f t="shared" si="3"/>
        <v/>
      </c>
      <c r="V136" s="49" t="str">
        <f t="shared" si="5"/>
        <v>[W3203.8]</v>
      </c>
    </row>
    <row r="137" spans="1:22" s="49" customFormat="1" ht="14.15" customHeight="1">
      <c r="A137" s="43"/>
      <c r="B137" s="44" t="s">
        <v>6635</v>
      </c>
      <c r="C137" s="32"/>
      <c r="D137" s="10" t="s">
        <v>29</v>
      </c>
      <c r="E137" s="11"/>
      <c r="F137" s="11" t="s">
        <v>18</v>
      </c>
      <c r="G137" s="13"/>
      <c r="H137" s="45" t="s">
        <v>16</v>
      </c>
      <c r="I137" s="46"/>
      <c r="J137" s="12" t="s">
        <v>3820</v>
      </c>
      <c r="K137" s="13" t="s">
        <v>6908</v>
      </c>
      <c r="L137" s="99" t="str">
        <f t="shared" si="4"/>
        <v>W3203.9</v>
      </c>
      <c r="M137" s="13"/>
      <c r="N137" s="13"/>
      <c r="O137" s="13"/>
      <c r="P137" s="47"/>
      <c r="Q137" s="45"/>
      <c r="R137" s="45"/>
      <c r="S137" s="48"/>
      <c r="T137" s="49" t="str">
        <f t="shared" si="2"/>
        <v>[W3203.9]</v>
      </c>
      <c r="U137" s="12" t="str">
        <f t="shared" si="3"/>
        <v/>
      </c>
      <c r="V137" s="49" t="str">
        <f t="shared" si="5"/>
        <v>[W3203.9]</v>
      </c>
    </row>
    <row r="138" spans="1:22" s="49" customFormat="1" ht="14.15" customHeight="1">
      <c r="A138" s="43"/>
      <c r="B138" s="44" t="s">
        <v>6635</v>
      </c>
      <c r="C138" s="32"/>
      <c r="D138" s="10" t="s">
        <v>29</v>
      </c>
      <c r="E138" s="11"/>
      <c r="F138" s="11" t="s">
        <v>18</v>
      </c>
      <c r="G138" s="13"/>
      <c r="H138" s="45" t="s">
        <v>16</v>
      </c>
      <c r="I138" s="46"/>
      <c r="J138" s="12" t="s">
        <v>3821</v>
      </c>
      <c r="K138" s="13" t="s">
        <v>6909</v>
      </c>
      <c r="L138" s="99" t="str">
        <f t="shared" si="4"/>
        <v>W3203.A</v>
      </c>
      <c r="M138" s="13"/>
      <c r="N138" s="13"/>
      <c r="O138" s="13"/>
      <c r="P138" s="47"/>
      <c r="Q138" s="45"/>
      <c r="R138" s="45"/>
      <c r="S138" s="48"/>
      <c r="T138" s="49" t="str">
        <f t="shared" si="2"/>
        <v>[W3203.A]</v>
      </c>
      <c r="U138" s="12" t="str">
        <f t="shared" si="3"/>
        <v/>
      </c>
      <c r="V138" s="49" t="str">
        <f t="shared" si="5"/>
        <v>[W3203.A]</v>
      </c>
    </row>
    <row r="139" spans="1:22" s="49" customFormat="1" ht="14.15" customHeight="1">
      <c r="A139" s="43"/>
      <c r="B139" s="44" t="s">
        <v>6635</v>
      </c>
      <c r="C139" s="32"/>
      <c r="D139" s="10" t="s">
        <v>29</v>
      </c>
      <c r="E139" s="11"/>
      <c r="F139" s="11" t="s">
        <v>18</v>
      </c>
      <c r="G139" s="13"/>
      <c r="H139" s="45" t="s">
        <v>16</v>
      </c>
      <c r="I139" s="46"/>
      <c r="J139" s="12" t="s">
        <v>3822</v>
      </c>
      <c r="K139" s="13" t="s">
        <v>6910</v>
      </c>
      <c r="L139" s="99" t="str">
        <f t="shared" si="4"/>
        <v>W3203.B</v>
      </c>
      <c r="M139" s="13"/>
      <c r="N139" s="13"/>
      <c r="O139" s="13"/>
      <c r="P139" s="47"/>
      <c r="Q139" s="45"/>
      <c r="R139" s="45"/>
      <c r="S139" s="48"/>
      <c r="T139" s="49" t="str">
        <f t="shared" si="2"/>
        <v>[W3203.B]</v>
      </c>
      <c r="U139" s="12" t="str">
        <f t="shared" si="3"/>
        <v/>
      </c>
      <c r="V139" s="49" t="str">
        <f t="shared" si="5"/>
        <v>[W3203.B]</v>
      </c>
    </row>
    <row r="140" spans="1:22" s="49" customFormat="1" ht="14.15" customHeight="1">
      <c r="A140" s="43"/>
      <c r="B140" s="44" t="s">
        <v>6635</v>
      </c>
      <c r="C140" s="32"/>
      <c r="D140" s="10" t="s">
        <v>29</v>
      </c>
      <c r="E140" s="11"/>
      <c r="F140" s="11" t="s">
        <v>18</v>
      </c>
      <c r="G140" s="13"/>
      <c r="H140" s="45" t="s">
        <v>16</v>
      </c>
      <c r="I140" s="46"/>
      <c r="J140" s="12" t="s">
        <v>3823</v>
      </c>
      <c r="K140" s="13" t="s">
        <v>6911</v>
      </c>
      <c r="L140" s="99" t="str">
        <f t="shared" si="4"/>
        <v>W3203.C</v>
      </c>
      <c r="M140" s="13"/>
      <c r="N140" s="13"/>
      <c r="O140" s="13"/>
      <c r="P140" s="47"/>
      <c r="Q140" s="45"/>
      <c r="R140" s="45"/>
      <c r="S140" s="48"/>
      <c r="T140" s="49" t="str">
        <f t="shared" si="2"/>
        <v>[W3203.C]</v>
      </c>
      <c r="U140" s="12" t="str">
        <f t="shared" si="3"/>
        <v/>
      </c>
      <c r="V140" s="49" t="str">
        <f t="shared" si="5"/>
        <v>[W3203.C]</v>
      </c>
    </row>
    <row r="141" spans="1:22" s="49" customFormat="1" ht="14.15" customHeight="1">
      <c r="A141" s="43"/>
      <c r="B141" s="44" t="s">
        <v>6635</v>
      </c>
      <c r="C141" s="32"/>
      <c r="D141" s="10" t="s">
        <v>29</v>
      </c>
      <c r="E141" s="11"/>
      <c r="F141" s="11" t="s">
        <v>18</v>
      </c>
      <c r="G141" s="13"/>
      <c r="H141" s="45" t="s">
        <v>16</v>
      </c>
      <c r="I141" s="46"/>
      <c r="J141" s="12" t="s">
        <v>3824</v>
      </c>
      <c r="K141" s="13" t="s">
        <v>6912</v>
      </c>
      <c r="L141" s="99" t="str">
        <f t="shared" si="4"/>
        <v>W3203.D</v>
      </c>
      <c r="M141" s="13"/>
      <c r="N141" s="13"/>
      <c r="O141" s="13"/>
      <c r="P141" s="47"/>
      <c r="Q141" s="45"/>
      <c r="R141" s="45"/>
      <c r="S141" s="48"/>
      <c r="T141" s="49" t="str">
        <f t="shared" si="2"/>
        <v>[W3203.D]</v>
      </c>
      <c r="U141" s="12" t="str">
        <f t="shared" si="3"/>
        <v/>
      </c>
      <c r="V141" s="49" t="str">
        <f t="shared" si="5"/>
        <v>[W3203.D]</v>
      </c>
    </row>
    <row r="142" spans="1:22" s="49" customFormat="1" ht="14.15" customHeight="1">
      <c r="A142" s="43"/>
      <c r="B142" s="44" t="s">
        <v>6635</v>
      </c>
      <c r="C142" s="32"/>
      <c r="D142" s="10" t="s">
        <v>29</v>
      </c>
      <c r="E142" s="11"/>
      <c r="F142" s="11" t="s">
        <v>18</v>
      </c>
      <c r="G142" s="13"/>
      <c r="H142" s="45" t="s">
        <v>16</v>
      </c>
      <c r="I142" s="46"/>
      <c r="J142" s="12" t="s">
        <v>3825</v>
      </c>
      <c r="K142" s="13" t="s">
        <v>6913</v>
      </c>
      <c r="L142" s="99" t="str">
        <f t="shared" si="4"/>
        <v>W3203.E</v>
      </c>
      <c r="M142" s="13"/>
      <c r="N142" s="13"/>
      <c r="O142" s="13"/>
      <c r="P142" s="47"/>
      <c r="Q142" s="45"/>
      <c r="R142" s="45"/>
      <c r="S142" s="48"/>
      <c r="T142" s="49" t="str">
        <f t="shared" si="2"/>
        <v>[W3203.E]</v>
      </c>
      <c r="U142" s="12" t="str">
        <f t="shared" si="3"/>
        <v/>
      </c>
      <c r="V142" s="49" t="str">
        <f t="shared" si="5"/>
        <v>[W3203.E]</v>
      </c>
    </row>
    <row r="143" spans="1:22" s="49" customFormat="1" ht="14.15" customHeight="1">
      <c r="A143" s="43"/>
      <c r="B143" s="44" t="s">
        <v>6635</v>
      </c>
      <c r="C143" s="32"/>
      <c r="D143" s="10" t="s">
        <v>29</v>
      </c>
      <c r="E143" s="11"/>
      <c r="F143" s="11" t="s">
        <v>18</v>
      </c>
      <c r="G143" s="13"/>
      <c r="H143" s="45" t="s">
        <v>16</v>
      </c>
      <c r="I143" s="46"/>
      <c r="J143" s="12" t="s">
        <v>3826</v>
      </c>
      <c r="K143" s="13" t="s">
        <v>6914</v>
      </c>
      <c r="L143" s="99" t="str">
        <f t="shared" si="4"/>
        <v>W3203.F</v>
      </c>
      <c r="M143" s="13"/>
      <c r="N143" s="13"/>
      <c r="O143" s="13"/>
      <c r="P143" s="47"/>
      <c r="Q143" s="45"/>
      <c r="R143" s="45"/>
      <c r="S143" s="48"/>
      <c r="T143" s="49" t="str">
        <f t="shared" si="2"/>
        <v>[W3203.F]</v>
      </c>
      <c r="U143" s="12" t="str">
        <f t="shared" si="3"/>
        <v/>
      </c>
      <c r="V143" s="49" t="str">
        <f t="shared" si="5"/>
        <v>[W3203.F]</v>
      </c>
    </row>
    <row r="144" spans="1:22" s="49" customFormat="1" ht="14.15" customHeight="1">
      <c r="A144" s="43"/>
      <c r="B144" s="44" t="s">
        <v>6635</v>
      </c>
      <c r="C144" s="32"/>
      <c r="D144" s="10" t="s">
        <v>29</v>
      </c>
      <c r="E144" s="11"/>
      <c r="F144" s="11" t="s">
        <v>18</v>
      </c>
      <c r="G144" s="13"/>
      <c r="H144" s="45" t="s">
        <v>16</v>
      </c>
      <c r="I144" s="46"/>
      <c r="J144" s="12" t="s">
        <v>3827</v>
      </c>
      <c r="K144" s="13" t="s">
        <v>6915</v>
      </c>
      <c r="L144" s="99" t="str">
        <f t="shared" si="4"/>
        <v>W3204.0</v>
      </c>
      <c r="M144" s="13"/>
      <c r="N144" s="13"/>
      <c r="O144" s="13"/>
      <c r="P144" s="47"/>
      <c r="Q144" s="45"/>
      <c r="R144" s="45"/>
      <c r="S144" s="48"/>
      <c r="T144" s="49" t="str">
        <f t="shared" ref="T144:T207" si="6">"["&amp;L144&amp;"]"</f>
        <v>[W3204.0]</v>
      </c>
      <c r="U144" s="12" t="str">
        <f t="shared" ref="U144:U167" si="7">RIGHT(J144,LEN(J144)-7)</f>
        <v/>
      </c>
      <c r="V144" s="49" t="str">
        <f t="shared" si="5"/>
        <v>[W3204.0]</v>
      </c>
    </row>
    <row r="145" spans="1:22" s="49" customFormat="1" ht="14.15" customHeight="1">
      <c r="A145" s="43"/>
      <c r="B145" s="44" t="s">
        <v>6635</v>
      </c>
      <c r="C145" s="32"/>
      <c r="D145" s="10" t="s">
        <v>29</v>
      </c>
      <c r="E145" s="11"/>
      <c r="F145" s="11" t="s">
        <v>18</v>
      </c>
      <c r="G145" s="13"/>
      <c r="H145" s="45" t="s">
        <v>16</v>
      </c>
      <c r="I145" s="46"/>
      <c r="J145" s="12" t="s">
        <v>3828</v>
      </c>
      <c r="K145" s="13" t="s">
        <v>6916</v>
      </c>
      <c r="L145" s="99" t="str">
        <f t="shared" ref="L145:L208" si="8">"W"&amp;DEC2HEX(12800 + INT((ROW()-80)/16)) &amp; "." &amp; IF(MOD(ROW()-80,16)&lt;10,MOD(ROW()-80,16),CHAR(MOD(ROW()-80,16)+55))</f>
        <v>W3204.1</v>
      </c>
      <c r="M145" s="13"/>
      <c r="N145" s="13"/>
      <c r="O145" s="13"/>
      <c r="P145" s="47"/>
      <c r="Q145" s="45"/>
      <c r="R145" s="45"/>
      <c r="S145" s="48"/>
      <c r="T145" s="49" t="str">
        <f t="shared" si="6"/>
        <v>[W3204.1]</v>
      </c>
      <c r="U145" s="12" t="str">
        <f t="shared" si="7"/>
        <v/>
      </c>
      <c r="V145" s="49" t="str">
        <f t="shared" ref="V145:V208" si="9">T145&amp;U145</f>
        <v>[W3204.1]</v>
      </c>
    </row>
    <row r="146" spans="1:22" s="49" customFormat="1" ht="14.15" customHeight="1">
      <c r="A146" s="43"/>
      <c r="B146" s="44" t="s">
        <v>6635</v>
      </c>
      <c r="C146" s="32"/>
      <c r="D146" s="10" t="s">
        <v>29</v>
      </c>
      <c r="E146" s="11"/>
      <c r="F146" s="11" t="s">
        <v>18</v>
      </c>
      <c r="G146" s="13"/>
      <c r="H146" s="45" t="s">
        <v>16</v>
      </c>
      <c r="I146" s="46"/>
      <c r="J146" s="12" t="s">
        <v>3829</v>
      </c>
      <c r="K146" s="13" t="s">
        <v>6917</v>
      </c>
      <c r="L146" s="99" t="str">
        <f t="shared" si="8"/>
        <v>W3204.2</v>
      </c>
      <c r="M146" s="13"/>
      <c r="N146" s="13"/>
      <c r="O146" s="13"/>
      <c r="P146" s="47"/>
      <c r="Q146" s="45"/>
      <c r="R146" s="45"/>
      <c r="S146" s="48"/>
      <c r="T146" s="49" t="str">
        <f t="shared" si="6"/>
        <v>[W3204.2]</v>
      </c>
      <c r="U146" s="12" t="str">
        <f t="shared" si="7"/>
        <v/>
      </c>
      <c r="V146" s="49" t="str">
        <f t="shared" si="9"/>
        <v>[W3204.2]</v>
      </c>
    </row>
    <row r="147" spans="1:22" s="49" customFormat="1" ht="14.15" customHeight="1">
      <c r="A147" s="43"/>
      <c r="B147" s="44" t="s">
        <v>6635</v>
      </c>
      <c r="C147" s="32"/>
      <c r="D147" s="10" t="s">
        <v>29</v>
      </c>
      <c r="E147" s="11"/>
      <c r="F147" s="11" t="s">
        <v>18</v>
      </c>
      <c r="G147" s="13"/>
      <c r="H147" s="45" t="s">
        <v>16</v>
      </c>
      <c r="I147" s="46"/>
      <c r="J147" s="12" t="s">
        <v>3830</v>
      </c>
      <c r="K147" s="13" t="s">
        <v>6918</v>
      </c>
      <c r="L147" s="99" t="str">
        <f t="shared" si="8"/>
        <v>W3204.3</v>
      </c>
      <c r="M147" s="13"/>
      <c r="N147" s="13"/>
      <c r="O147" s="13"/>
      <c r="P147" s="47"/>
      <c r="Q147" s="45"/>
      <c r="R147" s="45"/>
      <c r="S147" s="48"/>
      <c r="T147" s="49" t="str">
        <f t="shared" si="6"/>
        <v>[W3204.3]</v>
      </c>
      <c r="U147" s="12" t="str">
        <f t="shared" si="7"/>
        <v/>
      </c>
      <c r="V147" s="49" t="str">
        <f t="shared" si="9"/>
        <v>[W3204.3]</v>
      </c>
    </row>
    <row r="148" spans="1:22" s="49" customFormat="1" ht="14.15" customHeight="1">
      <c r="A148" s="43"/>
      <c r="B148" s="44" t="s">
        <v>6635</v>
      </c>
      <c r="C148" s="32"/>
      <c r="D148" s="10" t="s">
        <v>29</v>
      </c>
      <c r="E148" s="11"/>
      <c r="F148" s="11" t="s">
        <v>18</v>
      </c>
      <c r="G148" s="13"/>
      <c r="H148" s="45" t="s">
        <v>16</v>
      </c>
      <c r="I148" s="46"/>
      <c r="J148" s="12" t="s">
        <v>3831</v>
      </c>
      <c r="K148" s="13" t="s">
        <v>6919</v>
      </c>
      <c r="L148" s="99" t="str">
        <f t="shared" si="8"/>
        <v>W3204.4</v>
      </c>
      <c r="M148" s="13"/>
      <c r="N148" s="13"/>
      <c r="O148" s="13"/>
      <c r="P148" s="47"/>
      <c r="Q148" s="45"/>
      <c r="R148" s="45"/>
      <c r="S148" s="48"/>
      <c r="T148" s="49" t="str">
        <f t="shared" si="6"/>
        <v>[W3204.4]</v>
      </c>
      <c r="U148" s="12" t="str">
        <f t="shared" si="7"/>
        <v/>
      </c>
      <c r="V148" s="49" t="str">
        <f t="shared" si="9"/>
        <v>[W3204.4]</v>
      </c>
    </row>
    <row r="149" spans="1:22" s="49" customFormat="1" ht="14.15" customHeight="1">
      <c r="A149" s="43"/>
      <c r="B149" s="44" t="s">
        <v>6635</v>
      </c>
      <c r="C149" s="32"/>
      <c r="D149" s="10" t="s">
        <v>29</v>
      </c>
      <c r="E149" s="11"/>
      <c r="F149" s="11" t="s">
        <v>18</v>
      </c>
      <c r="G149" s="13"/>
      <c r="H149" s="45" t="s">
        <v>16</v>
      </c>
      <c r="I149" s="46"/>
      <c r="J149" s="12" t="s">
        <v>3832</v>
      </c>
      <c r="K149" s="13" t="s">
        <v>6920</v>
      </c>
      <c r="L149" s="99" t="str">
        <f t="shared" si="8"/>
        <v>W3204.5</v>
      </c>
      <c r="M149" s="13"/>
      <c r="N149" s="13"/>
      <c r="O149" s="13"/>
      <c r="P149" s="47"/>
      <c r="Q149" s="45"/>
      <c r="R149" s="45"/>
      <c r="S149" s="48"/>
      <c r="T149" s="49" t="str">
        <f t="shared" si="6"/>
        <v>[W3204.5]</v>
      </c>
      <c r="U149" s="12" t="str">
        <f t="shared" si="7"/>
        <v/>
      </c>
      <c r="V149" s="49" t="str">
        <f t="shared" si="9"/>
        <v>[W3204.5]</v>
      </c>
    </row>
    <row r="150" spans="1:22" s="49" customFormat="1" ht="14.15" customHeight="1">
      <c r="A150" s="43"/>
      <c r="B150" s="44" t="s">
        <v>6635</v>
      </c>
      <c r="C150" s="32"/>
      <c r="D150" s="10" t="s">
        <v>29</v>
      </c>
      <c r="E150" s="11"/>
      <c r="F150" s="11" t="s">
        <v>18</v>
      </c>
      <c r="G150" s="13"/>
      <c r="H150" s="45" t="s">
        <v>16</v>
      </c>
      <c r="I150" s="46"/>
      <c r="J150" s="12" t="s">
        <v>3833</v>
      </c>
      <c r="K150" s="13" t="s">
        <v>6921</v>
      </c>
      <c r="L150" s="99" t="str">
        <f t="shared" si="8"/>
        <v>W3204.6</v>
      </c>
      <c r="M150" s="13"/>
      <c r="N150" s="13"/>
      <c r="O150" s="13"/>
      <c r="P150" s="47"/>
      <c r="Q150" s="45"/>
      <c r="R150" s="45"/>
      <c r="S150" s="48"/>
      <c r="T150" s="49" t="str">
        <f t="shared" si="6"/>
        <v>[W3204.6]</v>
      </c>
      <c r="U150" s="12" t="str">
        <f t="shared" si="7"/>
        <v/>
      </c>
      <c r="V150" s="49" t="str">
        <f t="shared" si="9"/>
        <v>[W3204.6]</v>
      </c>
    </row>
    <row r="151" spans="1:22" s="49" customFormat="1" ht="14.15" customHeight="1">
      <c r="A151" s="43"/>
      <c r="B151" s="44" t="s">
        <v>6635</v>
      </c>
      <c r="C151" s="32"/>
      <c r="D151" s="10" t="s">
        <v>29</v>
      </c>
      <c r="E151" s="11"/>
      <c r="F151" s="11" t="s">
        <v>18</v>
      </c>
      <c r="G151" s="13"/>
      <c r="H151" s="45" t="s">
        <v>16</v>
      </c>
      <c r="I151" s="46"/>
      <c r="J151" s="12" t="s">
        <v>3834</v>
      </c>
      <c r="K151" s="13" t="s">
        <v>6922</v>
      </c>
      <c r="L151" s="99" t="str">
        <f t="shared" si="8"/>
        <v>W3204.7</v>
      </c>
      <c r="M151" s="13"/>
      <c r="N151" s="13"/>
      <c r="O151" s="13"/>
      <c r="P151" s="47"/>
      <c r="Q151" s="45"/>
      <c r="R151" s="45"/>
      <c r="S151" s="48"/>
      <c r="T151" s="49" t="str">
        <f t="shared" si="6"/>
        <v>[W3204.7]</v>
      </c>
      <c r="U151" s="12" t="str">
        <f t="shared" si="7"/>
        <v/>
      </c>
      <c r="V151" s="49" t="str">
        <f t="shared" si="9"/>
        <v>[W3204.7]</v>
      </c>
    </row>
    <row r="152" spans="1:22" s="49" customFormat="1" ht="14.15" customHeight="1">
      <c r="A152" s="43"/>
      <c r="B152" s="44" t="s">
        <v>6635</v>
      </c>
      <c r="C152" s="32"/>
      <c r="D152" s="10" t="s">
        <v>29</v>
      </c>
      <c r="E152" s="11"/>
      <c r="F152" s="11" t="s">
        <v>18</v>
      </c>
      <c r="G152" s="13"/>
      <c r="H152" s="45" t="s">
        <v>16</v>
      </c>
      <c r="I152" s="46"/>
      <c r="J152" s="12" t="s">
        <v>3835</v>
      </c>
      <c r="K152" s="13" t="s">
        <v>6923</v>
      </c>
      <c r="L152" s="99" t="str">
        <f t="shared" si="8"/>
        <v>W3204.8</v>
      </c>
      <c r="M152" s="13"/>
      <c r="N152" s="13"/>
      <c r="O152" s="13"/>
      <c r="P152" s="47"/>
      <c r="Q152" s="45"/>
      <c r="R152" s="45"/>
      <c r="S152" s="48"/>
      <c r="T152" s="49" t="str">
        <f t="shared" si="6"/>
        <v>[W3204.8]</v>
      </c>
      <c r="U152" s="12" t="str">
        <f t="shared" si="7"/>
        <v/>
      </c>
      <c r="V152" s="49" t="str">
        <f t="shared" si="9"/>
        <v>[W3204.8]</v>
      </c>
    </row>
    <row r="153" spans="1:22" s="49" customFormat="1" ht="14.15" customHeight="1">
      <c r="A153" s="43"/>
      <c r="B153" s="44" t="s">
        <v>6635</v>
      </c>
      <c r="C153" s="32"/>
      <c r="D153" s="10" t="s">
        <v>29</v>
      </c>
      <c r="E153" s="11"/>
      <c r="F153" s="11" t="s">
        <v>18</v>
      </c>
      <c r="G153" s="13"/>
      <c r="H153" s="45" t="s">
        <v>16</v>
      </c>
      <c r="I153" s="46"/>
      <c r="J153" s="12" t="s">
        <v>3836</v>
      </c>
      <c r="K153" s="13" t="s">
        <v>6924</v>
      </c>
      <c r="L153" s="99" t="str">
        <f t="shared" si="8"/>
        <v>W3204.9</v>
      </c>
      <c r="M153" s="13"/>
      <c r="N153" s="13"/>
      <c r="O153" s="13"/>
      <c r="P153" s="47"/>
      <c r="Q153" s="45"/>
      <c r="R153" s="45"/>
      <c r="S153" s="48"/>
      <c r="T153" s="49" t="str">
        <f t="shared" si="6"/>
        <v>[W3204.9]</v>
      </c>
      <c r="U153" s="12" t="str">
        <f t="shared" si="7"/>
        <v/>
      </c>
      <c r="V153" s="49" t="str">
        <f t="shared" si="9"/>
        <v>[W3204.9]</v>
      </c>
    </row>
    <row r="154" spans="1:22" s="49" customFormat="1" ht="14.15" customHeight="1">
      <c r="A154" s="43"/>
      <c r="B154" s="44" t="s">
        <v>6635</v>
      </c>
      <c r="C154" s="32"/>
      <c r="D154" s="10" t="s">
        <v>29</v>
      </c>
      <c r="E154" s="11"/>
      <c r="F154" s="11" t="s">
        <v>18</v>
      </c>
      <c r="G154" s="13"/>
      <c r="H154" s="45" t="s">
        <v>16</v>
      </c>
      <c r="I154" s="46"/>
      <c r="J154" s="12" t="s">
        <v>3837</v>
      </c>
      <c r="K154" s="13" t="s">
        <v>6925</v>
      </c>
      <c r="L154" s="99" t="str">
        <f t="shared" si="8"/>
        <v>W3204.A</v>
      </c>
      <c r="M154" s="13"/>
      <c r="N154" s="13"/>
      <c r="O154" s="13"/>
      <c r="P154" s="47"/>
      <c r="Q154" s="45"/>
      <c r="R154" s="45"/>
      <c r="S154" s="48"/>
      <c r="T154" s="49" t="str">
        <f t="shared" si="6"/>
        <v>[W3204.A]</v>
      </c>
      <c r="U154" s="12" t="str">
        <f t="shared" si="7"/>
        <v/>
      </c>
      <c r="V154" s="49" t="str">
        <f t="shared" si="9"/>
        <v>[W3204.A]</v>
      </c>
    </row>
    <row r="155" spans="1:22" s="49" customFormat="1" ht="14.15" customHeight="1">
      <c r="A155" s="43"/>
      <c r="B155" s="44" t="s">
        <v>6635</v>
      </c>
      <c r="C155" s="32"/>
      <c r="D155" s="10" t="s">
        <v>29</v>
      </c>
      <c r="E155" s="11"/>
      <c r="F155" s="11" t="s">
        <v>18</v>
      </c>
      <c r="G155" s="13"/>
      <c r="H155" s="45" t="s">
        <v>16</v>
      </c>
      <c r="I155" s="46"/>
      <c r="J155" s="12" t="s">
        <v>3838</v>
      </c>
      <c r="K155" s="13" t="s">
        <v>6926</v>
      </c>
      <c r="L155" s="99" t="str">
        <f t="shared" si="8"/>
        <v>W3204.B</v>
      </c>
      <c r="M155" s="13"/>
      <c r="N155" s="13"/>
      <c r="O155" s="13"/>
      <c r="P155" s="47"/>
      <c r="Q155" s="45"/>
      <c r="R155" s="45"/>
      <c r="S155" s="48"/>
      <c r="T155" s="49" t="str">
        <f t="shared" si="6"/>
        <v>[W3204.B]</v>
      </c>
      <c r="U155" s="12" t="str">
        <f t="shared" si="7"/>
        <v/>
      </c>
      <c r="V155" s="49" t="str">
        <f t="shared" si="9"/>
        <v>[W3204.B]</v>
      </c>
    </row>
    <row r="156" spans="1:22" s="49" customFormat="1" ht="14.15" customHeight="1">
      <c r="A156" s="43"/>
      <c r="B156" s="44" t="s">
        <v>6635</v>
      </c>
      <c r="C156" s="32"/>
      <c r="D156" s="10" t="s">
        <v>29</v>
      </c>
      <c r="E156" s="11"/>
      <c r="F156" s="11" t="s">
        <v>18</v>
      </c>
      <c r="G156" s="13"/>
      <c r="H156" s="45" t="s">
        <v>16</v>
      </c>
      <c r="I156" s="46"/>
      <c r="J156" s="12" t="s">
        <v>3839</v>
      </c>
      <c r="K156" s="13" t="s">
        <v>6927</v>
      </c>
      <c r="L156" s="99" t="str">
        <f t="shared" si="8"/>
        <v>W3204.C</v>
      </c>
      <c r="M156" s="13"/>
      <c r="N156" s="13"/>
      <c r="O156" s="13"/>
      <c r="P156" s="47"/>
      <c r="Q156" s="45"/>
      <c r="R156" s="45"/>
      <c r="S156" s="48"/>
      <c r="T156" s="49" t="str">
        <f t="shared" si="6"/>
        <v>[W3204.C]</v>
      </c>
      <c r="U156" s="12" t="str">
        <f t="shared" si="7"/>
        <v/>
      </c>
      <c r="V156" s="49" t="str">
        <f t="shared" si="9"/>
        <v>[W3204.C]</v>
      </c>
    </row>
    <row r="157" spans="1:22" s="49" customFormat="1" ht="14.15" customHeight="1">
      <c r="A157" s="43"/>
      <c r="B157" s="44" t="s">
        <v>6635</v>
      </c>
      <c r="C157" s="32"/>
      <c r="D157" s="10" t="s">
        <v>29</v>
      </c>
      <c r="E157" s="11"/>
      <c r="F157" s="11" t="s">
        <v>18</v>
      </c>
      <c r="G157" s="13"/>
      <c r="H157" s="45" t="s">
        <v>16</v>
      </c>
      <c r="I157" s="46"/>
      <c r="J157" s="12" t="s">
        <v>3840</v>
      </c>
      <c r="K157" s="13" t="s">
        <v>6928</v>
      </c>
      <c r="L157" s="99" t="str">
        <f t="shared" si="8"/>
        <v>W3204.D</v>
      </c>
      <c r="M157" s="13"/>
      <c r="N157" s="13"/>
      <c r="O157" s="13"/>
      <c r="P157" s="47"/>
      <c r="Q157" s="45"/>
      <c r="R157" s="45"/>
      <c r="S157" s="48"/>
      <c r="T157" s="49" t="str">
        <f t="shared" si="6"/>
        <v>[W3204.D]</v>
      </c>
      <c r="U157" s="12" t="str">
        <f t="shared" si="7"/>
        <v/>
      </c>
      <c r="V157" s="49" t="str">
        <f t="shared" si="9"/>
        <v>[W3204.D]</v>
      </c>
    </row>
    <row r="158" spans="1:22" s="49" customFormat="1" ht="14.15" customHeight="1">
      <c r="A158" s="43"/>
      <c r="B158" s="44" t="s">
        <v>6635</v>
      </c>
      <c r="C158" s="32"/>
      <c r="D158" s="10" t="s">
        <v>29</v>
      </c>
      <c r="E158" s="11"/>
      <c r="F158" s="11" t="s">
        <v>18</v>
      </c>
      <c r="G158" s="13"/>
      <c r="H158" s="45" t="s">
        <v>16</v>
      </c>
      <c r="I158" s="46"/>
      <c r="J158" s="12" t="s">
        <v>3841</v>
      </c>
      <c r="K158" s="13" t="s">
        <v>6929</v>
      </c>
      <c r="L158" s="99" t="str">
        <f t="shared" si="8"/>
        <v>W3204.E</v>
      </c>
      <c r="M158" s="13"/>
      <c r="N158" s="13"/>
      <c r="O158" s="13"/>
      <c r="P158" s="47"/>
      <c r="Q158" s="45"/>
      <c r="R158" s="45"/>
      <c r="S158" s="48"/>
      <c r="T158" s="49" t="str">
        <f t="shared" si="6"/>
        <v>[W3204.E]</v>
      </c>
      <c r="U158" s="12" t="str">
        <f t="shared" si="7"/>
        <v/>
      </c>
      <c r="V158" s="49" t="str">
        <f t="shared" si="9"/>
        <v>[W3204.E]</v>
      </c>
    </row>
    <row r="159" spans="1:22" s="49" customFormat="1" ht="14.15" customHeight="1">
      <c r="A159" s="43"/>
      <c r="B159" s="44" t="s">
        <v>6635</v>
      </c>
      <c r="C159" s="32"/>
      <c r="D159" s="10" t="s">
        <v>29</v>
      </c>
      <c r="E159" s="11"/>
      <c r="F159" s="11" t="s">
        <v>18</v>
      </c>
      <c r="G159" s="13"/>
      <c r="H159" s="45" t="s">
        <v>16</v>
      </c>
      <c r="I159" s="46"/>
      <c r="J159" s="12" t="s">
        <v>3842</v>
      </c>
      <c r="K159" s="13" t="s">
        <v>6930</v>
      </c>
      <c r="L159" s="99" t="str">
        <f t="shared" si="8"/>
        <v>W3204.F</v>
      </c>
      <c r="M159" s="13"/>
      <c r="N159" s="13"/>
      <c r="O159" s="13"/>
      <c r="P159" s="47"/>
      <c r="Q159" s="45"/>
      <c r="R159" s="45"/>
      <c r="S159" s="48"/>
      <c r="T159" s="49" t="str">
        <f t="shared" si="6"/>
        <v>[W3204.F]</v>
      </c>
      <c r="U159" s="12" t="str">
        <f t="shared" si="7"/>
        <v/>
      </c>
      <c r="V159" s="49" t="str">
        <f t="shared" si="9"/>
        <v>[W3204.F]</v>
      </c>
    </row>
    <row r="160" spans="1:22" s="49" customFormat="1" ht="14.15" customHeight="1">
      <c r="A160" s="43"/>
      <c r="B160" s="44" t="s">
        <v>6635</v>
      </c>
      <c r="C160" s="32"/>
      <c r="D160" s="10" t="s">
        <v>29</v>
      </c>
      <c r="E160" s="11"/>
      <c r="F160" s="11" t="s">
        <v>18</v>
      </c>
      <c r="G160" s="13"/>
      <c r="H160" s="45" t="s">
        <v>16</v>
      </c>
      <c r="I160" s="46"/>
      <c r="J160" s="12" t="s">
        <v>3843</v>
      </c>
      <c r="K160" s="13" t="s">
        <v>6931</v>
      </c>
      <c r="L160" s="99" t="str">
        <f t="shared" si="8"/>
        <v>W3205.0</v>
      </c>
      <c r="M160" s="13"/>
      <c r="N160" s="13"/>
      <c r="O160" s="13"/>
      <c r="P160" s="47"/>
      <c r="Q160" s="45"/>
      <c r="R160" s="45"/>
      <c r="S160" s="48"/>
      <c r="T160" s="49" t="str">
        <f t="shared" si="6"/>
        <v>[W3205.0]</v>
      </c>
      <c r="U160" s="12" t="str">
        <f t="shared" si="7"/>
        <v/>
      </c>
      <c r="V160" s="49" t="str">
        <f t="shared" si="9"/>
        <v>[W3205.0]</v>
      </c>
    </row>
    <row r="161" spans="1:22" s="49" customFormat="1" ht="14.15" customHeight="1">
      <c r="A161" s="43"/>
      <c r="B161" s="44" t="s">
        <v>6635</v>
      </c>
      <c r="C161" s="32"/>
      <c r="D161" s="10" t="s">
        <v>29</v>
      </c>
      <c r="E161" s="11"/>
      <c r="F161" s="11" t="s">
        <v>18</v>
      </c>
      <c r="G161" s="13"/>
      <c r="H161" s="45" t="s">
        <v>16</v>
      </c>
      <c r="I161" s="46"/>
      <c r="J161" s="12" t="s">
        <v>3844</v>
      </c>
      <c r="K161" s="13" t="s">
        <v>6932</v>
      </c>
      <c r="L161" s="99" t="str">
        <f t="shared" si="8"/>
        <v>W3205.1</v>
      </c>
      <c r="M161" s="13"/>
      <c r="N161" s="13"/>
      <c r="O161" s="13"/>
      <c r="P161" s="47"/>
      <c r="Q161" s="45"/>
      <c r="R161" s="45"/>
      <c r="S161" s="48"/>
      <c r="T161" s="49" t="str">
        <f t="shared" si="6"/>
        <v>[W3205.1]</v>
      </c>
      <c r="U161" s="12" t="str">
        <f t="shared" si="7"/>
        <v/>
      </c>
      <c r="V161" s="49" t="str">
        <f t="shared" si="9"/>
        <v>[W3205.1]</v>
      </c>
    </row>
    <row r="162" spans="1:22" s="49" customFormat="1" ht="14.15" customHeight="1">
      <c r="A162" s="43"/>
      <c r="B162" s="44" t="s">
        <v>6635</v>
      </c>
      <c r="C162" s="32"/>
      <c r="D162" s="10" t="s">
        <v>29</v>
      </c>
      <c r="E162" s="11"/>
      <c r="F162" s="11" t="s">
        <v>18</v>
      </c>
      <c r="G162" s="13"/>
      <c r="H162" s="45" t="s">
        <v>16</v>
      </c>
      <c r="I162" s="46"/>
      <c r="J162" s="12" t="s">
        <v>3845</v>
      </c>
      <c r="K162" s="13" t="s">
        <v>6933</v>
      </c>
      <c r="L162" s="99" t="str">
        <f t="shared" si="8"/>
        <v>W3205.2</v>
      </c>
      <c r="M162" s="13"/>
      <c r="N162" s="13"/>
      <c r="O162" s="13"/>
      <c r="P162" s="47"/>
      <c r="Q162" s="45"/>
      <c r="R162" s="45"/>
      <c r="S162" s="48"/>
      <c r="T162" s="49" t="str">
        <f t="shared" si="6"/>
        <v>[W3205.2]</v>
      </c>
      <c r="U162" s="12" t="str">
        <f t="shared" si="7"/>
        <v/>
      </c>
      <c r="V162" s="49" t="str">
        <f t="shared" si="9"/>
        <v>[W3205.2]</v>
      </c>
    </row>
    <row r="163" spans="1:22" s="49" customFormat="1" ht="14.15" customHeight="1">
      <c r="A163" s="43"/>
      <c r="B163" s="44" t="s">
        <v>6635</v>
      </c>
      <c r="C163" s="32"/>
      <c r="D163" s="10" t="s">
        <v>29</v>
      </c>
      <c r="E163" s="11"/>
      <c r="F163" s="11" t="s">
        <v>18</v>
      </c>
      <c r="G163" s="13"/>
      <c r="H163" s="45" t="s">
        <v>16</v>
      </c>
      <c r="I163" s="46"/>
      <c r="J163" s="12" t="s">
        <v>3846</v>
      </c>
      <c r="K163" s="13" t="s">
        <v>6934</v>
      </c>
      <c r="L163" s="99" t="str">
        <f t="shared" si="8"/>
        <v>W3205.3</v>
      </c>
      <c r="M163" s="13"/>
      <c r="N163" s="13"/>
      <c r="O163" s="13"/>
      <c r="P163" s="47"/>
      <c r="Q163" s="45"/>
      <c r="R163" s="45"/>
      <c r="S163" s="48"/>
      <c r="T163" s="49" t="str">
        <f t="shared" si="6"/>
        <v>[W3205.3]</v>
      </c>
      <c r="U163" s="12" t="str">
        <f t="shared" si="7"/>
        <v/>
      </c>
      <c r="V163" s="49" t="str">
        <f t="shared" si="9"/>
        <v>[W3205.3]</v>
      </c>
    </row>
    <row r="164" spans="1:22" s="49" customFormat="1" ht="14.15" customHeight="1">
      <c r="A164" s="43"/>
      <c r="B164" s="44" t="s">
        <v>6635</v>
      </c>
      <c r="C164" s="32"/>
      <c r="D164" s="10" t="s">
        <v>29</v>
      </c>
      <c r="E164" s="11"/>
      <c r="F164" s="11" t="s">
        <v>18</v>
      </c>
      <c r="G164" s="13"/>
      <c r="H164" s="45" t="s">
        <v>16</v>
      </c>
      <c r="I164" s="46"/>
      <c r="J164" s="12" t="s">
        <v>3847</v>
      </c>
      <c r="K164" s="13" t="s">
        <v>6935</v>
      </c>
      <c r="L164" s="99" t="str">
        <f t="shared" si="8"/>
        <v>W3205.4</v>
      </c>
      <c r="M164" s="13"/>
      <c r="N164" s="13"/>
      <c r="O164" s="13"/>
      <c r="P164" s="47"/>
      <c r="Q164" s="45"/>
      <c r="R164" s="45"/>
      <c r="S164" s="48"/>
      <c r="T164" s="49" t="str">
        <f t="shared" si="6"/>
        <v>[W3205.4]</v>
      </c>
      <c r="U164" s="12" t="str">
        <f t="shared" si="7"/>
        <v/>
      </c>
      <c r="V164" s="49" t="str">
        <f t="shared" si="9"/>
        <v>[W3205.4]</v>
      </c>
    </row>
    <row r="165" spans="1:22" s="49" customFormat="1" ht="14.15" customHeight="1">
      <c r="A165" s="43"/>
      <c r="B165" s="44" t="s">
        <v>6635</v>
      </c>
      <c r="C165" s="32"/>
      <c r="D165" s="10" t="s">
        <v>29</v>
      </c>
      <c r="E165" s="11"/>
      <c r="F165" s="11" t="s">
        <v>18</v>
      </c>
      <c r="G165" s="13"/>
      <c r="H165" s="45" t="s">
        <v>16</v>
      </c>
      <c r="I165" s="46"/>
      <c r="J165" s="12" t="s">
        <v>3848</v>
      </c>
      <c r="K165" s="13" t="s">
        <v>6936</v>
      </c>
      <c r="L165" s="99" t="str">
        <f t="shared" si="8"/>
        <v>W3205.5</v>
      </c>
      <c r="M165" s="13"/>
      <c r="N165" s="13"/>
      <c r="O165" s="13"/>
      <c r="P165" s="47"/>
      <c r="Q165" s="45"/>
      <c r="R165" s="45"/>
      <c r="S165" s="48"/>
      <c r="T165" s="49" t="str">
        <f t="shared" si="6"/>
        <v>[W3205.5]</v>
      </c>
      <c r="U165" s="12" t="str">
        <f t="shared" si="7"/>
        <v/>
      </c>
      <c r="V165" s="49" t="str">
        <f t="shared" si="9"/>
        <v>[W3205.5]</v>
      </c>
    </row>
    <row r="166" spans="1:22" s="49" customFormat="1" ht="14.15" customHeight="1">
      <c r="A166" s="43"/>
      <c r="B166" s="44" t="s">
        <v>6635</v>
      </c>
      <c r="C166" s="32"/>
      <c r="D166" s="10" t="s">
        <v>29</v>
      </c>
      <c r="E166" s="11"/>
      <c r="F166" s="11" t="s">
        <v>18</v>
      </c>
      <c r="G166" s="13"/>
      <c r="H166" s="45" t="s">
        <v>16</v>
      </c>
      <c r="I166" s="46"/>
      <c r="J166" s="12" t="s">
        <v>3849</v>
      </c>
      <c r="K166" s="13" t="s">
        <v>6937</v>
      </c>
      <c r="L166" s="99" t="str">
        <f t="shared" si="8"/>
        <v>W3205.6</v>
      </c>
      <c r="M166" s="13"/>
      <c r="N166" s="13"/>
      <c r="O166" s="13"/>
      <c r="P166" s="47"/>
      <c r="Q166" s="45"/>
      <c r="R166" s="45"/>
      <c r="S166" s="48"/>
      <c r="T166" s="49" t="str">
        <f t="shared" si="6"/>
        <v>[W3205.6]</v>
      </c>
      <c r="U166" s="12" t="str">
        <f t="shared" si="7"/>
        <v/>
      </c>
      <c r="V166" s="49" t="str">
        <f t="shared" si="9"/>
        <v>[W3205.6]</v>
      </c>
    </row>
    <row r="167" spans="1:22" s="49" customFormat="1" ht="14.15" customHeight="1">
      <c r="A167" s="43"/>
      <c r="B167" s="44" t="s">
        <v>6635</v>
      </c>
      <c r="C167" s="32"/>
      <c r="D167" s="10" t="s">
        <v>29</v>
      </c>
      <c r="E167" s="11"/>
      <c r="F167" s="11" t="s">
        <v>18</v>
      </c>
      <c r="G167" s="13"/>
      <c r="H167" s="45" t="s">
        <v>16</v>
      </c>
      <c r="I167" s="46"/>
      <c r="J167" s="12" t="s">
        <v>3850</v>
      </c>
      <c r="K167" s="13" t="s">
        <v>6938</v>
      </c>
      <c r="L167" s="99" t="str">
        <f t="shared" si="8"/>
        <v>W3205.7</v>
      </c>
      <c r="M167" s="13"/>
      <c r="N167" s="13"/>
      <c r="O167" s="13"/>
      <c r="P167" s="47"/>
      <c r="Q167" s="45"/>
      <c r="R167" s="45"/>
      <c r="S167" s="48"/>
      <c r="T167" s="49" t="str">
        <f t="shared" si="6"/>
        <v>[W3205.7]</v>
      </c>
      <c r="U167" s="12" t="str">
        <f t="shared" si="7"/>
        <v/>
      </c>
      <c r="V167" s="49" t="str">
        <f t="shared" si="9"/>
        <v>[W3205.7]</v>
      </c>
    </row>
    <row r="168" spans="1:22" s="49" customFormat="1" ht="14.15" customHeight="1">
      <c r="A168" s="43"/>
      <c r="B168" s="44" t="s">
        <v>6635</v>
      </c>
      <c r="C168" s="32"/>
      <c r="D168" s="10" t="s">
        <v>29</v>
      </c>
      <c r="E168" s="11"/>
      <c r="F168" s="11" t="s">
        <v>18</v>
      </c>
      <c r="G168" s="13"/>
      <c r="H168" s="45" t="s">
        <v>16</v>
      </c>
      <c r="I168" s="46"/>
      <c r="J168" s="12" t="s">
        <v>3851</v>
      </c>
      <c r="K168" s="13" t="s">
        <v>6939</v>
      </c>
      <c r="L168" s="99" t="str">
        <f t="shared" si="8"/>
        <v>W3205.8</v>
      </c>
      <c r="M168" s="13"/>
      <c r="N168" s="13"/>
      <c r="O168" s="13"/>
      <c r="P168" s="47"/>
      <c r="Q168" s="45"/>
      <c r="R168" s="45"/>
      <c r="S168" s="48"/>
      <c r="T168" s="49" t="str">
        <f>"["&amp;L138&amp;"]"</f>
        <v>[W3203.A]</v>
      </c>
      <c r="U168" s="12" t="str">
        <f>RIGHT(J138,LEN(J138)-7)</f>
        <v/>
      </c>
      <c r="V168" s="49" t="str">
        <f>T138&amp;U138</f>
        <v>[W3203.A]</v>
      </c>
    </row>
    <row r="169" spans="1:22" s="49" customFormat="1" ht="14.15" customHeight="1">
      <c r="A169" s="43"/>
      <c r="B169" s="44" t="s">
        <v>6635</v>
      </c>
      <c r="C169" s="32"/>
      <c r="D169" s="10" t="s">
        <v>29</v>
      </c>
      <c r="E169" s="11"/>
      <c r="F169" s="11" t="s">
        <v>18</v>
      </c>
      <c r="G169" s="13"/>
      <c r="H169" s="45" t="s">
        <v>16</v>
      </c>
      <c r="I169" s="46"/>
      <c r="J169" s="12" t="s">
        <v>3852</v>
      </c>
      <c r="K169" s="13" t="s">
        <v>6940</v>
      </c>
      <c r="L169" s="99" t="str">
        <f t="shared" si="8"/>
        <v>W3205.9</v>
      </c>
      <c r="M169" s="13"/>
      <c r="N169" s="13"/>
      <c r="O169" s="13"/>
      <c r="P169" s="47"/>
      <c r="Q169" s="45"/>
      <c r="R169" s="45"/>
      <c r="S169" s="48"/>
      <c r="T169" s="49" t="str">
        <f t="shared" si="6"/>
        <v>[W3205.9]</v>
      </c>
      <c r="U169" s="12" t="str">
        <f t="shared" ref="U169:U232" si="10">RIGHT(J169,LEN(J169)-7)</f>
        <v/>
      </c>
      <c r="V169" s="49" t="str">
        <f t="shared" si="9"/>
        <v>[W3205.9]</v>
      </c>
    </row>
    <row r="170" spans="1:22" s="49" customFormat="1" ht="14.15" customHeight="1">
      <c r="A170" s="43"/>
      <c r="B170" s="44" t="s">
        <v>6635</v>
      </c>
      <c r="C170" s="32"/>
      <c r="D170" s="10" t="s">
        <v>29</v>
      </c>
      <c r="E170" s="11"/>
      <c r="F170" s="11" t="s">
        <v>18</v>
      </c>
      <c r="G170" s="13"/>
      <c r="H170" s="45" t="s">
        <v>16</v>
      </c>
      <c r="I170" s="46"/>
      <c r="J170" s="12" t="s">
        <v>3853</v>
      </c>
      <c r="K170" s="13" t="s">
        <v>6941</v>
      </c>
      <c r="L170" s="99" t="str">
        <f t="shared" si="8"/>
        <v>W3205.A</v>
      </c>
      <c r="M170" s="13"/>
      <c r="N170" s="13"/>
      <c r="O170" s="13"/>
      <c r="P170" s="47"/>
      <c r="Q170" s="45"/>
      <c r="R170" s="45"/>
      <c r="S170" s="48"/>
      <c r="T170" s="49" t="str">
        <f t="shared" si="6"/>
        <v>[W3205.A]</v>
      </c>
      <c r="U170" s="12" t="str">
        <f t="shared" si="10"/>
        <v/>
      </c>
      <c r="V170" s="49" t="str">
        <f t="shared" si="9"/>
        <v>[W3205.A]</v>
      </c>
    </row>
    <row r="171" spans="1:22" s="49" customFormat="1" ht="14.15" customHeight="1">
      <c r="A171" s="43"/>
      <c r="B171" s="44" t="s">
        <v>6635</v>
      </c>
      <c r="C171" s="32"/>
      <c r="D171" s="10" t="s">
        <v>29</v>
      </c>
      <c r="E171" s="11"/>
      <c r="F171" s="11" t="s">
        <v>18</v>
      </c>
      <c r="G171" s="13"/>
      <c r="H171" s="45" t="s">
        <v>16</v>
      </c>
      <c r="I171" s="46"/>
      <c r="J171" s="12" t="s">
        <v>3854</v>
      </c>
      <c r="K171" s="13" t="s">
        <v>6942</v>
      </c>
      <c r="L171" s="99" t="str">
        <f t="shared" si="8"/>
        <v>W3205.B</v>
      </c>
      <c r="M171" s="13"/>
      <c r="N171" s="13"/>
      <c r="O171" s="13"/>
      <c r="P171" s="47"/>
      <c r="Q171" s="45"/>
      <c r="R171" s="45"/>
      <c r="S171" s="48"/>
      <c r="T171" s="49" t="str">
        <f t="shared" si="6"/>
        <v>[W3205.B]</v>
      </c>
      <c r="U171" s="12" t="str">
        <f t="shared" si="10"/>
        <v/>
      </c>
      <c r="V171" s="49" t="str">
        <f t="shared" si="9"/>
        <v>[W3205.B]</v>
      </c>
    </row>
    <row r="172" spans="1:22" s="49" customFormat="1" ht="14.15" customHeight="1">
      <c r="A172" s="43"/>
      <c r="B172" s="44" t="s">
        <v>6635</v>
      </c>
      <c r="C172" s="32"/>
      <c r="D172" s="10" t="s">
        <v>29</v>
      </c>
      <c r="E172" s="11"/>
      <c r="F172" s="11" t="s">
        <v>18</v>
      </c>
      <c r="G172" s="13"/>
      <c r="H172" s="45" t="s">
        <v>16</v>
      </c>
      <c r="I172" s="46"/>
      <c r="J172" s="12" t="s">
        <v>3855</v>
      </c>
      <c r="K172" s="13" t="s">
        <v>6943</v>
      </c>
      <c r="L172" s="99" t="str">
        <f t="shared" si="8"/>
        <v>W3205.C</v>
      </c>
      <c r="M172" s="13"/>
      <c r="N172" s="13"/>
      <c r="O172" s="13"/>
      <c r="P172" s="47"/>
      <c r="Q172" s="45"/>
      <c r="R172" s="45"/>
      <c r="S172" s="48"/>
      <c r="T172" s="49" t="str">
        <f t="shared" si="6"/>
        <v>[W3205.C]</v>
      </c>
      <c r="U172" s="12" t="str">
        <f t="shared" si="10"/>
        <v/>
      </c>
      <c r="V172" s="49" t="str">
        <f t="shared" si="9"/>
        <v>[W3205.C]</v>
      </c>
    </row>
    <row r="173" spans="1:22" s="49" customFormat="1" ht="14.15" customHeight="1">
      <c r="A173" s="43"/>
      <c r="B173" s="44" t="s">
        <v>6635</v>
      </c>
      <c r="C173" s="32"/>
      <c r="D173" s="10" t="s">
        <v>29</v>
      </c>
      <c r="E173" s="11"/>
      <c r="F173" s="11" t="s">
        <v>18</v>
      </c>
      <c r="G173" s="13"/>
      <c r="H173" s="45" t="s">
        <v>16</v>
      </c>
      <c r="I173" s="46"/>
      <c r="J173" s="12" t="s">
        <v>3856</v>
      </c>
      <c r="K173" s="13" t="s">
        <v>6944</v>
      </c>
      <c r="L173" s="99" t="str">
        <f t="shared" si="8"/>
        <v>W3205.D</v>
      </c>
      <c r="M173" s="13"/>
      <c r="N173" s="13"/>
      <c r="O173" s="13"/>
      <c r="P173" s="47"/>
      <c r="Q173" s="45"/>
      <c r="R173" s="45"/>
      <c r="S173" s="48"/>
      <c r="T173" s="49" t="str">
        <f t="shared" si="6"/>
        <v>[W3205.D]</v>
      </c>
      <c r="U173" s="12" t="str">
        <f t="shared" si="10"/>
        <v/>
      </c>
      <c r="V173" s="49" t="str">
        <f t="shared" si="9"/>
        <v>[W3205.D]</v>
      </c>
    </row>
    <row r="174" spans="1:22" s="49" customFormat="1" ht="14.15" customHeight="1">
      <c r="A174" s="43"/>
      <c r="B174" s="44" t="s">
        <v>6635</v>
      </c>
      <c r="C174" s="32"/>
      <c r="D174" s="10" t="s">
        <v>29</v>
      </c>
      <c r="E174" s="11"/>
      <c r="F174" s="11" t="s">
        <v>18</v>
      </c>
      <c r="G174" s="13"/>
      <c r="H174" s="45" t="s">
        <v>16</v>
      </c>
      <c r="I174" s="46"/>
      <c r="J174" s="12" t="s">
        <v>3857</v>
      </c>
      <c r="K174" s="13" t="s">
        <v>6945</v>
      </c>
      <c r="L174" s="99" t="str">
        <f t="shared" si="8"/>
        <v>W3205.E</v>
      </c>
      <c r="M174" s="13"/>
      <c r="N174" s="13"/>
      <c r="O174" s="13"/>
      <c r="P174" s="47"/>
      <c r="Q174" s="45"/>
      <c r="R174" s="45"/>
      <c r="S174" s="48"/>
      <c r="T174" s="49" t="str">
        <f t="shared" si="6"/>
        <v>[W3205.E]</v>
      </c>
      <c r="U174" s="12" t="str">
        <f t="shared" si="10"/>
        <v/>
      </c>
      <c r="V174" s="49" t="str">
        <f t="shared" si="9"/>
        <v>[W3205.E]</v>
      </c>
    </row>
    <row r="175" spans="1:22" s="49" customFormat="1" ht="14.15" customHeight="1">
      <c r="A175" s="43"/>
      <c r="B175" s="44" t="s">
        <v>6635</v>
      </c>
      <c r="C175" s="32"/>
      <c r="D175" s="10" t="s">
        <v>29</v>
      </c>
      <c r="E175" s="11"/>
      <c r="F175" s="11" t="s">
        <v>18</v>
      </c>
      <c r="G175" s="13"/>
      <c r="H175" s="45" t="s">
        <v>16</v>
      </c>
      <c r="I175" s="46"/>
      <c r="J175" s="12" t="s">
        <v>3858</v>
      </c>
      <c r="K175" s="13" t="s">
        <v>6946</v>
      </c>
      <c r="L175" s="99" t="str">
        <f t="shared" si="8"/>
        <v>W3205.F</v>
      </c>
      <c r="M175" s="13"/>
      <c r="N175" s="13"/>
      <c r="O175" s="13"/>
      <c r="P175" s="47"/>
      <c r="Q175" s="45"/>
      <c r="R175" s="45"/>
      <c r="S175" s="48"/>
      <c r="T175" s="49" t="str">
        <f t="shared" si="6"/>
        <v>[W3205.F]</v>
      </c>
      <c r="U175" s="12" t="str">
        <f t="shared" si="10"/>
        <v/>
      </c>
      <c r="V175" s="49" t="str">
        <f t="shared" si="9"/>
        <v>[W3205.F]</v>
      </c>
    </row>
    <row r="176" spans="1:22" s="49" customFormat="1" ht="14.15" customHeight="1">
      <c r="A176" s="43"/>
      <c r="B176" s="44" t="s">
        <v>6635</v>
      </c>
      <c r="C176" s="32"/>
      <c r="D176" s="10" t="s">
        <v>29</v>
      </c>
      <c r="E176" s="11"/>
      <c r="F176" s="11" t="s">
        <v>18</v>
      </c>
      <c r="G176" s="13"/>
      <c r="H176" s="45" t="s">
        <v>16</v>
      </c>
      <c r="I176" s="46"/>
      <c r="J176" s="12" t="s">
        <v>3859</v>
      </c>
      <c r="K176" s="13" t="s">
        <v>6947</v>
      </c>
      <c r="L176" s="99" t="str">
        <f t="shared" si="8"/>
        <v>W3206.0</v>
      </c>
      <c r="M176" s="13"/>
      <c r="N176" s="13"/>
      <c r="O176" s="13"/>
      <c r="P176" s="47"/>
      <c r="Q176" s="45"/>
      <c r="R176" s="45"/>
      <c r="S176" s="48"/>
      <c r="T176" s="49" t="str">
        <f t="shared" si="6"/>
        <v>[W3206.0]</v>
      </c>
      <c r="U176" s="12" t="str">
        <f t="shared" si="10"/>
        <v/>
      </c>
      <c r="V176" s="49" t="str">
        <f t="shared" si="9"/>
        <v>[W3206.0]</v>
      </c>
    </row>
    <row r="177" spans="1:22" s="49" customFormat="1" ht="14.15" customHeight="1">
      <c r="A177" s="43"/>
      <c r="B177" s="44" t="s">
        <v>6635</v>
      </c>
      <c r="C177" s="32"/>
      <c r="D177" s="10" t="s">
        <v>29</v>
      </c>
      <c r="E177" s="11"/>
      <c r="F177" s="11" t="s">
        <v>18</v>
      </c>
      <c r="G177" s="13"/>
      <c r="H177" s="45" t="s">
        <v>16</v>
      </c>
      <c r="I177" s="46"/>
      <c r="J177" s="12" t="s">
        <v>3860</v>
      </c>
      <c r="K177" s="13" t="s">
        <v>6948</v>
      </c>
      <c r="L177" s="99" t="str">
        <f t="shared" si="8"/>
        <v>W3206.1</v>
      </c>
      <c r="M177" s="13"/>
      <c r="N177" s="13"/>
      <c r="O177" s="13"/>
      <c r="P177" s="47"/>
      <c r="Q177" s="45"/>
      <c r="R177" s="45"/>
      <c r="S177" s="48"/>
      <c r="T177" s="49" t="str">
        <f t="shared" si="6"/>
        <v>[W3206.1]</v>
      </c>
      <c r="U177" s="12" t="str">
        <f t="shared" si="10"/>
        <v/>
      </c>
      <c r="V177" s="49" t="str">
        <f t="shared" si="9"/>
        <v>[W3206.1]</v>
      </c>
    </row>
    <row r="178" spans="1:22" s="49" customFormat="1" ht="14.15" customHeight="1">
      <c r="A178" s="43"/>
      <c r="B178" s="44" t="s">
        <v>6635</v>
      </c>
      <c r="C178" s="32"/>
      <c r="D178" s="10" t="s">
        <v>29</v>
      </c>
      <c r="E178" s="11"/>
      <c r="F178" s="11" t="s">
        <v>18</v>
      </c>
      <c r="G178" s="13"/>
      <c r="H178" s="45" t="s">
        <v>16</v>
      </c>
      <c r="I178" s="46"/>
      <c r="J178" s="12" t="s">
        <v>3861</v>
      </c>
      <c r="K178" s="13" t="s">
        <v>6949</v>
      </c>
      <c r="L178" s="99" t="str">
        <f t="shared" si="8"/>
        <v>W3206.2</v>
      </c>
      <c r="M178" s="13"/>
      <c r="N178" s="13"/>
      <c r="O178" s="13"/>
      <c r="P178" s="47"/>
      <c r="Q178" s="45"/>
      <c r="R178" s="45"/>
      <c r="S178" s="48"/>
      <c r="T178" s="49" t="str">
        <f t="shared" si="6"/>
        <v>[W3206.2]</v>
      </c>
      <c r="U178" s="12" t="str">
        <f t="shared" si="10"/>
        <v/>
      </c>
      <c r="V178" s="49" t="str">
        <f t="shared" si="9"/>
        <v>[W3206.2]</v>
      </c>
    </row>
    <row r="179" spans="1:22" s="49" customFormat="1" ht="14.15" customHeight="1">
      <c r="A179" s="43" t="s">
        <v>6675</v>
      </c>
      <c r="B179" s="44" t="s">
        <v>6635</v>
      </c>
      <c r="C179" s="32"/>
      <c r="D179" s="10" t="s">
        <v>29</v>
      </c>
      <c r="E179" s="11"/>
      <c r="F179" s="11" t="s">
        <v>18</v>
      </c>
      <c r="G179" s="13"/>
      <c r="H179" s="45" t="s">
        <v>16</v>
      </c>
      <c r="I179" s="46"/>
      <c r="J179" s="12" t="s">
        <v>5628</v>
      </c>
      <c r="K179" s="13" t="s">
        <v>6950</v>
      </c>
      <c r="L179" s="99" t="str">
        <f t="shared" si="8"/>
        <v>W3206.3</v>
      </c>
      <c r="M179" s="13" t="s">
        <v>17</v>
      </c>
      <c r="N179" s="13"/>
      <c r="O179" s="13"/>
      <c r="P179" s="47"/>
      <c r="Q179" s="45" t="s">
        <v>3672</v>
      </c>
      <c r="R179" s="45" t="s">
        <v>5596</v>
      </c>
      <c r="S179" s="48"/>
      <c r="T179" s="49" t="str">
        <f t="shared" si="6"/>
        <v>[W3206.3]</v>
      </c>
      <c r="U179" s="12" t="str">
        <f t="shared" si="10"/>
        <v xml:space="preserve"> 가스켓 용접#1 X1축(SD201) 운전중에 Ready가 Off 되었습니다.</v>
      </c>
      <c r="V179" s="49" t="str">
        <f t="shared" si="9"/>
        <v>[W3206.3] 가스켓 용접#1 X1축(SD201) 운전중에 Ready가 Off 되었습니다.</v>
      </c>
    </row>
    <row r="180" spans="1:22" s="49" customFormat="1" ht="14.15" customHeight="1">
      <c r="A180" s="43" t="s">
        <v>6675</v>
      </c>
      <c r="B180" s="44" t="s">
        <v>6635</v>
      </c>
      <c r="C180" s="32"/>
      <c r="D180" s="10" t="s">
        <v>29</v>
      </c>
      <c r="E180" s="11"/>
      <c r="F180" s="11" t="s">
        <v>18</v>
      </c>
      <c r="G180" s="13"/>
      <c r="H180" s="45" t="s">
        <v>16</v>
      </c>
      <c r="I180" s="46"/>
      <c r="J180" s="12" t="s">
        <v>5629</v>
      </c>
      <c r="K180" s="13" t="s">
        <v>6951</v>
      </c>
      <c r="L180" s="99" t="str">
        <f t="shared" si="8"/>
        <v>W3206.4</v>
      </c>
      <c r="M180" s="13" t="s">
        <v>17</v>
      </c>
      <c r="N180" s="13"/>
      <c r="O180" s="13"/>
      <c r="P180" s="47"/>
      <c r="Q180" s="45" t="s">
        <v>3672</v>
      </c>
      <c r="R180" s="45" t="s">
        <v>5596</v>
      </c>
      <c r="S180" s="48"/>
      <c r="T180" s="49" t="str">
        <f t="shared" si="6"/>
        <v>[W3206.4]</v>
      </c>
      <c r="U180" s="12" t="str">
        <f t="shared" si="10"/>
        <v xml:space="preserve"> 가스켓 용접#1 X1축(SD201) FLS가 감지되었습니다.</v>
      </c>
      <c r="V180" s="49" t="str">
        <f t="shared" si="9"/>
        <v>[W3206.4] 가스켓 용접#1 X1축(SD201) FLS가 감지되었습니다.</v>
      </c>
    </row>
    <row r="181" spans="1:22" s="49" customFormat="1" ht="14.15" customHeight="1">
      <c r="A181" s="43" t="s">
        <v>6675</v>
      </c>
      <c r="B181" s="44" t="s">
        <v>6635</v>
      </c>
      <c r="C181" s="32"/>
      <c r="D181" s="10" t="s">
        <v>29</v>
      </c>
      <c r="E181" s="11"/>
      <c r="F181" s="11" t="s">
        <v>18</v>
      </c>
      <c r="G181" s="13"/>
      <c r="H181" s="45" t="s">
        <v>16</v>
      </c>
      <c r="I181" s="46"/>
      <c r="J181" s="12" t="s">
        <v>5630</v>
      </c>
      <c r="K181" s="13" t="s">
        <v>6952</v>
      </c>
      <c r="L181" s="99" t="str">
        <f t="shared" si="8"/>
        <v>W3206.5</v>
      </c>
      <c r="M181" s="13" t="s">
        <v>17</v>
      </c>
      <c r="N181" s="13"/>
      <c r="O181" s="13"/>
      <c r="P181" s="47"/>
      <c r="Q181" s="45" t="s">
        <v>3672</v>
      </c>
      <c r="R181" s="45" t="s">
        <v>5596</v>
      </c>
      <c r="S181" s="48"/>
      <c r="T181" s="49" t="str">
        <f t="shared" si="6"/>
        <v>[W3206.5]</v>
      </c>
      <c r="U181" s="12" t="str">
        <f t="shared" si="10"/>
        <v xml:space="preserve"> 가스켓 용접#1 X1축(SD201) RLS가 감지되었습니다.</v>
      </c>
      <c r="V181" s="49" t="str">
        <f t="shared" si="9"/>
        <v>[W3206.5] 가스켓 용접#1 X1축(SD201) RLS가 감지되었습니다.</v>
      </c>
    </row>
    <row r="182" spans="1:22" s="49" customFormat="1" ht="14.15" customHeight="1">
      <c r="A182" s="43" t="s">
        <v>6675</v>
      </c>
      <c r="B182" s="44" t="s">
        <v>6635</v>
      </c>
      <c r="C182" s="32"/>
      <c r="D182" s="10" t="s">
        <v>29</v>
      </c>
      <c r="E182" s="11"/>
      <c r="F182" s="11" t="s">
        <v>18</v>
      </c>
      <c r="G182" s="13"/>
      <c r="H182" s="45" t="s">
        <v>16</v>
      </c>
      <c r="I182" s="46"/>
      <c r="J182" s="12" t="s">
        <v>5631</v>
      </c>
      <c r="K182" s="13" t="s">
        <v>6953</v>
      </c>
      <c r="L182" s="99" t="str">
        <f t="shared" si="8"/>
        <v>W3206.6</v>
      </c>
      <c r="M182" s="13" t="s">
        <v>17</v>
      </c>
      <c r="N182" s="13"/>
      <c r="O182" s="13"/>
      <c r="P182" s="47"/>
      <c r="Q182" s="45" t="s">
        <v>3672</v>
      </c>
      <c r="R182" s="45" t="s">
        <v>5596</v>
      </c>
      <c r="S182" s="48"/>
      <c r="T182" s="49" t="str">
        <f t="shared" si="6"/>
        <v>[W3206.6]</v>
      </c>
      <c r="U182" s="12" t="str">
        <f t="shared" si="10"/>
        <v xml:space="preserve"> 가스켓 용접#1 X1축(SD201) Stop 명령이 On된 상태에서 기동을 시도했습니다.</v>
      </c>
      <c r="V182" s="49" t="str">
        <f t="shared" si="9"/>
        <v>[W3206.6] 가스켓 용접#1 X1축(SD201) Stop 명령이 On된 상태에서 기동을 시도했습니다.</v>
      </c>
    </row>
    <row r="183" spans="1:22" s="49" customFormat="1" ht="14.15" customHeight="1">
      <c r="A183" s="43" t="s">
        <v>6675</v>
      </c>
      <c r="B183" s="44" t="s">
        <v>6635</v>
      </c>
      <c r="C183" s="32"/>
      <c r="D183" s="10" t="s">
        <v>29</v>
      </c>
      <c r="E183" s="11"/>
      <c r="F183" s="11" t="s">
        <v>18</v>
      </c>
      <c r="G183" s="13"/>
      <c r="H183" s="45" t="s">
        <v>16</v>
      </c>
      <c r="I183" s="46"/>
      <c r="J183" s="12" t="s">
        <v>5632</v>
      </c>
      <c r="K183" s="13" t="s">
        <v>6954</v>
      </c>
      <c r="L183" s="99" t="str">
        <f t="shared" si="8"/>
        <v>W3206.7</v>
      </c>
      <c r="M183" s="13" t="s">
        <v>17</v>
      </c>
      <c r="N183" s="13"/>
      <c r="O183" s="13"/>
      <c r="P183" s="47"/>
      <c r="Q183" s="45" t="s">
        <v>3672</v>
      </c>
      <c r="R183" s="45" t="s">
        <v>5596</v>
      </c>
      <c r="S183" s="48"/>
      <c r="T183" s="49" t="str">
        <f t="shared" si="6"/>
        <v>[W3206.7]</v>
      </c>
      <c r="U183" s="12" t="str">
        <f t="shared" si="10"/>
        <v xml:space="preserve"> 가스켓 용접#1 X1축(SD201) 가동 전원이 Off 되었습니다.</v>
      </c>
      <c r="V183" s="49" t="str">
        <f t="shared" si="9"/>
        <v>[W3206.7] 가스켓 용접#1 X1축(SD201) 가동 전원이 Off 되었습니다.</v>
      </c>
    </row>
    <row r="184" spans="1:22" s="49" customFormat="1" ht="14.15" customHeight="1">
      <c r="A184" s="43" t="s">
        <v>6675</v>
      </c>
      <c r="B184" s="44" t="s">
        <v>6635</v>
      </c>
      <c r="C184" s="32"/>
      <c r="D184" s="10" t="s">
        <v>29</v>
      </c>
      <c r="E184" s="11"/>
      <c r="F184" s="11" t="s">
        <v>18</v>
      </c>
      <c r="G184" s="13"/>
      <c r="H184" s="45" t="s">
        <v>16</v>
      </c>
      <c r="I184" s="46"/>
      <c r="J184" s="12" t="s">
        <v>5633</v>
      </c>
      <c r="K184" s="13" t="s">
        <v>6955</v>
      </c>
      <c r="L184" s="99" t="str">
        <f t="shared" si="8"/>
        <v>W3206.8</v>
      </c>
      <c r="M184" s="13" t="s">
        <v>17</v>
      </c>
      <c r="N184" s="13"/>
      <c r="O184" s="13"/>
      <c r="P184" s="47"/>
      <c r="Q184" s="45" t="s">
        <v>3672</v>
      </c>
      <c r="R184" s="45" t="s">
        <v>5596</v>
      </c>
      <c r="S184" s="48"/>
      <c r="T184" s="49" t="str">
        <f t="shared" si="6"/>
        <v>[W3206.8]</v>
      </c>
      <c r="U184" s="12" t="str">
        <f t="shared" si="10"/>
        <v xml:space="preserve"> 가스켓 용접#1 X1축(SD201) 엔코더 이상이 검출되었습니다.</v>
      </c>
      <c r="V184" s="49" t="str">
        <f t="shared" si="9"/>
        <v>[W3206.8] 가스켓 용접#1 X1축(SD201) 엔코더 이상이 검출되었습니다.</v>
      </c>
    </row>
    <row r="185" spans="1:22" s="49" customFormat="1" ht="14.15" customHeight="1">
      <c r="A185" s="43" t="s">
        <v>6675</v>
      </c>
      <c r="B185" s="44" t="s">
        <v>6635</v>
      </c>
      <c r="C185" s="32"/>
      <c r="D185" s="10" t="s">
        <v>29</v>
      </c>
      <c r="E185" s="11"/>
      <c r="F185" s="11" t="s">
        <v>18</v>
      </c>
      <c r="G185" s="13"/>
      <c r="H185" s="45" t="s">
        <v>16</v>
      </c>
      <c r="I185" s="46"/>
      <c r="J185" s="12" t="s">
        <v>5634</v>
      </c>
      <c r="K185" s="13" t="s">
        <v>6956</v>
      </c>
      <c r="L185" s="99" t="str">
        <f t="shared" si="8"/>
        <v>W3206.9</v>
      </c>
      <c r="M185" s="13" t="s">
        <v>17</v>
      </c>
      <c r="N185" s="13"/>
      <c r="O185" s="13"/>
      <c r="P185" s="47"/>
      <c r="Q185" s="45" t="s">
        <v>3672</v>
      </c>
      <c r="R185" s="45" t="s">
        <v>5596</v>
      </c>
      <c r="S185" s="48"/>
      <c r="T185" s="49" t="str">
        <f t="shared" si="6"/>
        <v>[W3206.9]</v>
      </c>
      <c r="U185" s="12" t="str">
        <f t="shared" si="10"/>
        <v xml:space="preserve"> 가스켓 용접#1 X1축(SD201) 과전류가 검출되었습니다.</v>
      </c>
      <c r="V185" s="49" t="str">
        <f t="shared" si="9"/>
        <v>[W3206.9] 가스켓 용접#1 X1축(SD201) 과전류가 검출되었습니다.</v>
      </c>
    </row>
    <row r="186" spans="1:22" s="49" customFormat="1" ht="14.15" customHeight="1">
      <c r="A186" s="43" t="s">
        <v>6675</v>
      </c>
      <c r="B186" s="44" t="s">
        <v>6635</v>
      </c>
      <c r="C186" s="32"/>
      <c r="D186" s="10" t="s">
        <v>29</v>
      </c>
      <c r="E186" s="11"/>
      <c r="F186" s="11" t="s">
        <v>18</v>
      </c>
      <c r="G186" s="13"/>
      <c r="H186" s="45" t="s">
        <v>16</v>
      </c>
      <c r="I186" s="46"/>
      <c r="J186" s="12" t="s">
        <v>5635</v>
      </c>
      <c r="K186" s="13" t="s">
        <v>6957</v>
      </c>
      <c r="L186" s="99" t="str">
        <f t="shared" si="8"/>
        <v>W3206.A</v>
      </c>
      <c r="M186" s="13" t="s">
        <v>17</v>
      </c>
      <c r="N186" s="13"/>
      <c r="O186" s="13"/>
      <c r="P186" s="47"/>
      <c r="Q186" s="45" t="s">
        <v>3672</v>
      </c>
      <c r="R186" s="45" t="s">
        <v>5596</v>
      </c>
      <c r="S186" s="48"/>
      <c r="T186" s="49" t="str">
        <f t="shared" si="6"/>
        <v>[W3206.A]</v>
      </c>
      <c r="U186" s="12" t="str">
        <f t="shared" si="10"/>
        <v xml:space="preserve"> 가스켓 용접#1 X1축(SD201) 과부하가 검출되었습니다.</v>
      </c>
      <c r="V186" s="49" t="str">
        <f t="shared" si="9"/>
        <v>[W3206.A] 가스켓 용접#1 X1축(SD201) 과부하가 검출되었습니다.</v>
      </c>
    </row>
    <row r="187" spans="1:22" s="49" customFormat="1" ht="14.15" customHeight="1">
      <c r="A187" s="43" t="s">
        <v>6675</v>
      </c>
      <c r="B187" s="44" t="s">
        <v>6635</v>
      </c>
      <c r="C187" s="32"/>
      <c r="D187" s="10" t="s">
        <v>29</v>
      </c>
      <c r="E187" s="11"/>
      <c r="F187" s="11" t="s">
        <v>18</v>
      </c>
      <c r="G187" s="13"/>
      <c r="H187" s="45" t="s">
        <v>16</v>
      </c>
      <c r="I187" s="46"/>
      <c r="J187" s="12" t="s">
        <v>5636</v>
      </c>
      <c r="K187" s="13" t="s">
        <v>6958</v>
      </c>
      <c r="L187" s="99" t="str">
        <f t="shared" si="8"/>
        <v>W3206.B</v>
      </c>
      <c r="M187" s="13" t="s">
        <v>17</v>
      </c>
      <c r="N187" s="13"/>
      <c r="O187" s="13"/>
      <c r="P187" s="47"/>
      <c r="Q187" s="45" t="s">
        <v>3672</v>
      </c>
      <c r="R187" s="45" t="s">
        <v>5596</v>
      </c>
      <c r="S187" s="48"/>
      <c r="T187" s="49" t="str">
        <f t="shared" si="6"/>
        <v>[W3206.B]</v>
      </c>
      <c r="U187" s="12" t="str">
        <f t="shared" si="10"/>
        <v xml:space="preserve"> 가스켓 용접#1 X1축(SD201)  </v>
      </c>
      <c r="V187" s="49" t="str">
        <f t="shared" si="9"/>
        <v xml:space="preserve">[W3206.B] 가스켓 용접#1 X1축(SD201)  </v>
      </c>
    </row>
    <row r="188" spans="1:22" s="49" customFormat="1" ht="14.15" customHeight="1">
      <c r="A188" s="43" t="s">
        <v>6675</v>
      </c>
      <c r="B188" s="44" t="s">
        <v>6635</v>
      </c>
      <c r="C188" s="32"/>
      <c r="D188" s="10" t="s">
        <v>29</v>
      </c>
      <c r="E188" s="11"/>
      <c r="F188" s="11" t="s">
        <v>18</v>
      </c>
      <c r="G188" s="13"/>
      <c r="H188" s="45" t="s">
        <v>16</v>
      </c>
      <c r="I188" s="46"/>
      <c r="J188" s="12" t="s">
        <v>5637</v>
      </c>
      <c r="K188" s="13" t="s">
        <v>6959</v>
      </c>
      <c r="L188" s="99" t="str">
        <f t="shared" si="8"/>
        <v>W3206.C</v>
      </c>
      <c r="M188" s="13" t="s">
        <v>17</v>
      </c>
      <c r="N188" s="13"/>
      <c r="O188" s="13"/>
      <c r="P188" s="47"/>
      <c r="Q188" s="45" t="s">
        <v>3672</v>
      </c>
      <c r="R188" s="45" t="s">
        <v>5596</v>
      </c>
      <c r="S188" s="48"/>
      <c r="T188" s="49" t="str">
        <f t="shared" si="6"/>
        <v>[W3206.C]</v>
      </c>
      <c r="U188" s="12" t="str">
        <f t="shared" si="10"/>
        <v xml:space="preserve"> 가스켓 용접#1 X1축(SD201) 에러가 발생했습니다.</v>
      </c>
      <c r="V188" s="49" t="str">
        <f t="shared" si="9"/>
        <v>[W3206.C] 가스켓 용접#1 X1축(SD201) 에러가 발생했습니다.</v>
      </c>
    </row>
    <row r="189" spans="1:22" s="49" customFormat="1" ht="14.15" customHeight="1">
      <c r="A189" s="43" t="s">
        <v>6675</v>
      </c>
      <c r="B189" s="44" t="s">
        <v>6635</v>
      </c>
      <c r="C189" s="32"/>
      <c r="D189" s="10" t="s">
        <v>29</v>
      </c>
      <c r="E189" s="11"/>
      <c r="F189" s="11" t="s">
        <v>18</v>
      </c>
      <c r="G189" s="13"/>
      <c r="H189" s="45" t="s">
        <v>16</v>
      </c>
      <c r="I189" s="46"/>
      <c r="J189" s="12" t="s">
        <v>5638</v>
      </c>
      <c r="K189" s="13" t="s">
        <v>6960</v>
      </c>
      <c r="L189" s="99" t="str">
        <f t="shared" si="8"/>
        <v>W3206.D</v>
      </c>
      <c r="M189" s="13" t="s">
        <v>17</v>
      </c>
      <c r="N189" s="13"/>
      <c r="O189" s="13"/>
      <c r="P189" s="47"/>
      <c r="Q189" s="45" t="s">
        <v>3672</v>
      </c>
      <c r="R189" s="45" t="s">
        <v>5596</v>
      </c>
      <c r="S189" s="48"/>
      <c r="T189" s="49" t="str">
        <f t="shared" si="6"/>
        <v>[W3206.D]</v>
      </c>
      <c r="U189" s="12" t="str">
        <f t="shared" si="10"/>
        <v xml:space="preserve"> 가스켓 용접#1 X2축(SD202) 운전중에 Ready가 Off 되었습니다.</v>
      </c>
      <c r="V189" s="49" t="str">
        <f t="shared" si="9"/>
        <v>[W3206.D] 가스켓 용접#1 X2축(SD202) 운전중에 Ready가 Off 되었습니다.</v>
      </c>
    </row>
    <row r="190" spans="1:22" s="49" customFormat="1" ht="14.15" customHeight="1">
      <c r="A190" s="43" t="s">
        <v>6675</v>
      </c>
      <c r="B190" s="44" t="s">
        <v>6635</v>
      </c>
      <c r="C190" s="32"/>
      <c r="D190" s="10" t="s">
        <v>29</v>
      </c>
      <c r="E190" s="11"/>
      <c r="F190" s="11" t="s">
        <v>18</v>
      </c>
      <c r="G190" s="13"/>
      <c r="H190" s="45" t="s">
        <v>16</v>
      </c>
      <c r="I190" s="46"/>
      <c r="J190" s="12" t="s">
        <v>5639</v>
      </c>
      <c r="K190" s="13" t="s">
        <v>6961</v>
      </c>
      <c r="L190" s="99" t="str">
        <f t="shared" si="8"/>
        <v>W3206.E</v>
      </c>
      <c r="M190" s="13" t="s">
        <v>17</v>
      </c>
      <c r="N190" s="13"/>
      <c r="O190" s="13"/>
      <c r="P190" s="47"/>
      <c r="Q190" s="45" t="s">
        <v>3672</v>
      </c>
      <c r="R190" s="45" t="s">
        <v>5596</v>
      </c>
      <c r="S190" s="48"/>
      <c r="T190" s="49" t="str">
        <f t="shared" si="6"/>
        <v>[W3206.E]</v>
      </c>
      <c r="U190" s="12" t="str">
        <f t="shared" si="10"/>
        <v xml:space="preserve"> 가스켓 용접#1 X2축(SD202) FLS가 감지되었습니다.</v>
      </c>
      <c r="V190" s="49" t="str">
        <f t="shared" si="9"/>
        <v>[W3206.E] 가스켓 용접#1 X2축(SD202) FLS가 감지되었습니다.</v>
      </c>
    </row>
    <row r="191" spans="1:22" s="49" customFormat="1" ht="14.15" customHeight="1">
      <c r="A191" s="43" t="s">
        <v>6675</v>
      </c>
      <c r="B191" s="44" t="s">
        <v>6635</v>
      </c>
      <c r="C191" s="32"/>
      <c r="D191" s="10" t="s">
        <v>29</v>
      </c>
      <c r="E191" s="11"/>
      <c r="F191" s="11" t="s">
        <v>18</v>
      </c>
      <c r="G191" s="13"/>
      <c r="H191" s="45" t="s">
        <v>16</v>
      </c>
      <c r="I191" s="46"/>
      <c r="J191" s="12" t="s">
        <v>5640</v>
      </c>
      <c r="K191" s="13" t="s">
        <v>6962</v>
      </c>
      <c r="L191" s="99" t="str">
        <f t="shared" si="8"/>
        <v>W3206.F</v>
      </c>
      <c r="M191" s="13" t="s">
        <v>17</v>
      </c>
      <c r="N191" s="13"/>
      <c r="O191" s="13"/>
      <c r="P191" s="47"/>
      <c r="Q191" s="45" t="s">
        <v>3672</v>
      </c>
      <c r="R191" s="45" t="s">
        <v>5596</v>
      </c>
      <c r="S191" s="48"/>
      <c r="T191" s="49" t="str">
        <f t="shared" si="6"/>
        <v>[W3206.F]</v>
      </c>
      <c r="U191" s="12" t="str">
        <f t="shared" si="10"/>
        <v xml:space="preserve"> 가스켓 용접#1 X2축(SD202) RLS가 감지되었습니다.</v>
      </c>
      <c r="V191" s="49" t="str">
        <f t="shared" si="9"/>
        <v>[W3206.F] 가스켓 용접#1 X2축(SD202) RLS가 감지되었습니다.</v>
      </c>
    </row>
    <row r="192" spans="1:22" s="49" customFormat="1" ht="14.15" customHeight="1">
      <c r="A192" s="43" t="s">
        <v>6675</v>
      </c>
      <c r="B192" s="44" t="s">
        <v>6635</v>
      </c>
      <c r="C192" s="32"/>
      <c r="D192" s="10" t="s">
        <v>29</v>
      </c>
      <c r="E192" s="11"/>
      <c r="F192" s="11" t="s">
        <v>18</v>
      </c>
      <c r="G192" s="13"/>
      <c r="H192" s="45" t="s">
        <v>16</v>
      </c>
      <c r="I192" s="46"/>
      <c r="J192" s="12" t="s">
        <v>5641</v>
      </c>
      <c r="K192" s="13" t="s">
        <v>6963</v>
      </c>
      <c r="L192" s="99" t="str">
        <f t="shared" si="8"/>
        <v>W3207.0</v>
      </c>
      <c r="M192" s="13" t="s">
        <v>17</v>
      </c>
      <c r="N192" s="13"/>
      <c r="O192" s="13"/>
      <c r="P192" s="47"/>
      <c r="Q192" s="45" t="s">
        <v>3672</v>
      </c>
      <c r="R192" s="45" t="s">
        <v>5596</v>
      </c>
      <c r="S192" s="48"/>
      <c r="T192" s="49" t="str">
        <f t="shared" si="6"/>
        <v>[W3207.0]</v>
      </c>
      <c r="U192" s="12" t="str">
        <f t="shared" si="10"/>
        <v xml:space="preserve"> 가스켓 용접#1 X2축(SD202) Stop 명령이 On된 상태에서 기동을 시도했습니다.</v>
      </c>
      <c r="V192" s="49" t="str">
        <f t="shared" si="9"/>
        <v>[W3207.0] 가스켓 용접#1 X2축(SD202) Stop 명령이 On된 상태에서 기동을 시도했습니다.</v>
      </c>
    </row>
    <row r="193" spans="1:22" s="49" customFormat="1" ht="14.15" customHeight="1">
      <c r="A193" s="43" t="s">
        <v>6675</v>
      </c>
      <c r="B193" s="44" t="s">
        <v>6635</v>
      </c>
      <c r="C193" s="32"/>
      <c r="D193" s="10" t="s">
        <v>29</v>
      </c>
      <c r="E193" s="11"/>
      <c r="F193" s="11" t="s">
        <v>18</v>
      </c>
      <c r="G193" s="13"/>
      <c r="H193" s="45" t="s">
        <v>16</v>
      </c>
      <c r="I193" s="46"/>
      <c r="J193" s="12" t="s">
        <v>5642</v>
      </c>
      <c r="K193" s="13" t="s">
        <v>6964</v>
      </c>
      <c r="L193" s="99" t="str">
        <f t="shared" si="8"/>
        <v>W3207.1</v>
      </c>
      <c r="M193" s="13" t="s">
        <v>17</v>
      </c>
      <c r="N193" s="13"/>
      <c r="O193" s="13"/>
      <c r="P193" s="47"/>
      <c r="Q193" s="45" t="s">
        <v>3672</v>
      </c>
      <c r="R193" s="45" t="s">
        <v>5596</v>
      </c>
      <c r="S193" s="48"/>
      <c r="T193" s="49" t="str">
        <f t="shared" si="6"/>
        <v>[W3207.1]</v>
      </c>
      <c r="U193" s="12" t="str">
        <f t="shared" si="10"/>
        <v xml:space="preserve"> 가스켓 용접#1 X2축(SD202) 가동 전원이 Off 되었습니다.</v>
      </c>
      <c r="V193" s="49" t="str">
        <f t="shared" si="9"/>
        <v>[W3207.1] 가스켓 용접#1 X2축(SD202) 가동 전원이 Off 되었습니다.</v>
      </c>
    </row>
    <row r="194" spans="1:22" s="49" customFormat="1" ht="14.15" customHeight="1">
      <c r="A194" s="43" t="s">
        <v>6675</v>
      </c>
      <c r="B194" s="44" t="s">
        <v>6635</v>
      </c>
      <c r="C194" s="32"/>
      <c r="D194" s="10" t="s">
        <v>29</v>
      </c>
      <c r="E194" s="11"/>
      <c r="F194" s="11" t="s">
        <v>18</v>
      </c>
      <c r="G194" s="13"/>
      <c r="H194" s="45" t="s">
        <v>16</v>
      </c>
      <c r="I194" s="46"/>
      <c r="J194" s="12" t="s">
        <v>5643</v>
      </c>
      <c r="K194" s="13" t="s">
        <v>6965</v>
      </c>
      <c r="L194" s="99" t="str">
        <f t="shared" si="8"/>
        <v>W3207.2</v>
      </c>
      <c r="M194" s="13" t="s">
        <v>17</v>
      </c>
      <c r="N194" s="13"/>
      <c r="O194" s="13"/>
      <c r="P194" s="47"/>
      <c r="Q194" s="45" t="s">
        <v>3672</v>
      </c>
      <c r="R194" s="45" t="s">
        <v>5596</v>
      </c>
      <c r="S194" s="48"/>
      <c r="T194" s="49" t="str">
        <f t="shared" si="6"/>
        <v>[W3207.2]</v>
      </c>
      <c r="U194" s="12" t="str">
        <f t="shared" si="10"/>
        <v xml:space="preserve"> 가스켓 용접#1 X2축(SD202) 엔코더 이상이 검출되었습니다.</v>
      </c>
      <c r="V194" s="49" t="str">
        <f t="shared" si="9"/>
        <v>[W3207.2] 가스켓 용접#1 X2축(SD202) 엔코더 이상이 검출되었습니다.</v>
      </c>
    </row>
    <row r="195" spans="1:22" s="49" customFormat="1" ht="14.15" customHeight="1">
      <c r="A195" s="43" t="s">
        <v>6675</v>
      </c>
      <c r="B195" s="44" t="s">
        <v>6635</v>
      </c>
      <c r="C195" s="32"/>
      <c r="D195" s="10" t="s">
        <v>29</v>
      </c>
      <c r="E195" s="11"/>
      <c r="F195" s="11" t="s">
        <v>18</v>
      </c>
      <c r="G195" s="13"/>
      <c r="H195" s="45" t="s">
        <v>16</v>
      </c>
      <c r="I195" s="46"/>
      <c r="J195" s="12" t="s">
        <v>5644</v>
      </c>
      <c r="K195" s="13" t="s">
        <v>6966</v>
      </c>
      <c r="L195" s="99" t="str">
        <f t="shared" si="8"/>
        <v>W3207.3</v>
      </c>
      <c r="M195" s="13" t="s">
        <v>17</v>
      </c>
      <c r="N195" s="13"/>
      <c r="O195" s="13"/>
      <c r="P195" s="47"/>
      <c r="Q195" s="45" t="s">
        <v>3672</v>
      </c>
      <c r="R195" s="45" t="s">
        <v>5596</v>
      </c>
      <c r="S195" s="48"/>
      <c r="T195" s="49" t="str">
        <f t="shared" si="6"/>
        <v>[W3207.3]</v>
      </c>
      <c r="U195" s="12" t="str">
        <f t="shared" si="10"/>
        <v xml:space="preserve"> 가스켓 용접#1 X2축(SD202) 과전류가 검출되었습니다.</v>
      </c>
      <c r="V195" s="49" t="str">
        <f t="shared" si="9"/>
        <v>[W3207.3] 가스켓 용접#1 X2축(SD202) 과전류가 검출되었습니다.</v>
      </c>
    </row>
    <row r="196" spans="1:22" s="49" customFormat="1" ht="14.15" customHeight="1">
      <c r="A196" s="43" t="s">
        <v>6675</v>
      </c>
      <c r="B196" s="44" t="s">
        <v>6635</v>
      </c>
      <c r="C196" s="32"/>
      <c r="D196" s="10" t="s">
        <v>29</v>
      </c>
      <c r="E196" s="11"/>
      <c r="F196" s="11" t="s">
        <v>18</v>
      </c>
      <c r="G196" s="13"/>
      <c r="H196" s="45" t="s">
        <v>16</v>
      </c>
      <c r="I196" s="46"/>
      <c r="J196" s="12" t="s">
        <v>5645</v>
      </c>
      <c r="K196" s="13" t="s">
        <v>6967</v>
      </c>
      <c r="L196" s="99" t="str">
        <f t="shared" si="8"/>
        <v>W3207.4</v>
      </c>
      <c r="M196" s="13" t="s">
        <v>17</v>
      </c>
      <c r="N196" s="13"/>
      <c r="O196" s="13"/>
      <c r="P196" s="47"/>
      <c r="Q196" s="45" t="s">
        <v>3672</v>
      </c>
      <c r="R196" s="45" t="s">
        <v>5596</v>
      </c>
      <c r="S196" s="48"/>
      <c r="T196" s="49" t="str">
        <f t="shared" si="6"/>
        <v>[W3207.4]</v>
      </c>
      <c r="U196" s="12" t="str">
        <f t="shared" si="10"/>
        <v xml:space="preserve"> 가스켓 용접#1 X2축(SD202) 과부하가 검출되었습니다.</v>
      </c>
      <c r="V196" s="49" t="str">
        <f t="shared" si="9"/>
        <v>[W3207.4] 가스켓 용접#1 X2축(SD202) 과부하가 검출되었습니다.</v>
      </c>
    </row>
    <row r="197" spans="1:22" s="49" customFormat="1" ht="14.15" customHeight="1">
      <c r="A197" s="43" t="s">
        <v>6675</v>
      </c>
      <c r="B197" s="44" t="s">
        <v>6635</v>
      </c>
      <c r="C197" s="32"/>
      <c r="D197" s="10" t="s">
        <v>29</v>
      </c>
      <c r="E197" s="11"/>
      <c r="F197" s="11" t="s">
        <v>18</v>
      </c>
      <c r="G197" s="13"/>
      <c r="H197" s="45" t="s">
        <v>16</v>
      </c>
      <c r="I197" s="46"/>
      <c r="J197" s="12" t="s">
        <v>5646</v>
      </c>
      <c r="K197" s="13" t="s">
        <v>6968</v>
      </c>
      <c r="L197" s="99" t="str">
        <f t="shared" si="8"/>
        <v>W3207.5</v>
      </c>
      <c r="M197" s="13" t="s">
        <v>17</v>
      </c>
      <c r="N197" s="13"/>
      <c r="O197" s="13"/>
      <c r="P197" s="47"/>
      <c r="Q197" s="45" t="s">
        <v>3672</v>
      </c>
      <c r="R197" s="45" t="s">
        <v>5596</v>
      </c>
      <c r="S197" s="48"/>
      <c r="T197" s="49" t="str">
        <f t="shared" si="6"/>
        <v>[W3207.5]</v>
      </c>
      <c r="U197" s="12" t="str">
        <f t="shared" si="10"/>
        <v xml:space="preserve"> 가스켓 용접#1 X2축(SD202)  </v>
      </c>
      <c r="V197" s="49" t="str">
        <f t="shared" si="9"/>
        <v xml:space="preserve">[W3207.5] 가스켓 용접#1 X2축(SD202)  </v>
      </c>
    </row>
    <row r="198" spans="1:22" s="49" customFormat="1" ht="14.15" customHeight="1">
      <c r="A198" s="43" t="s">
        <v>6675</v>
      </c>
      <c r="B198" s="44" t="s">
        <v>6635</v>
      </c>
      <c r="C198" s="32"/>
      <c r="D198" s="10" t="s">
        <v>29</v>
      </c>
      <c r="E198" s="11"/>
      <c r="F198" s="11" t="s">
        <v>18</v>
      </c>
      <c r="G198" s="13"/>
      <c r="H198" s="45" t="s">
        <v>16</v>
      </c>
      <c r="I198" s="46"/>
      <c r="J198" s="12" t="s">
        <v>5647</v>
      </c>
      <c r="K198" s="13" t="s">
        <v>6969</v>
      </c>
      <c r="L198" s="99" t="str">
        <f t="shared" si="8"/>
        <v>W3207.6</v>
      </c>
      <c r="M198" s="13" t="s">
        <v>17</v>
      </c>
      <c r="N198" s="13"/>
      <c r="O198" s="13"/>
      <c r="P198" s="47"/>
      <c r="Q198" s="45" t="s">
        <v>3672</v>
      </c>
      <c r="R198" s="45" t="s">
        <v>5596</v>
      </c>
      <c r="S198" s="48"/>
      <c r="T198" s="49" t="str">
        <f t="shared" si="6"/>
        <v>[W3207.6]</v>
      </c>
      <c r="U198" s="12" t="str">
        <f t="shared" si="10"/>
        <v xml:space="preserve"> 가스켓 용접#1 X2축(SD202) 에러가 발생했습니다.</v>
      </c>
      <c r="V198" s="49" t="str">
        <f t="shared" si="9"/>
        <v>[W3207.6] 가스켓 용접#1 X2축(SD202) 에러가 발생했습니다.</v>
      </c>
    </row>
    <row r="199" spans="1:22" s="49" customFormat="1" ht="14.15" customHeight="1">
      <c r="A199" s="43" t="s">
        <v>6675</v>
      </c>
      <c r="B199" s="44" t="s">
        <v>6635</v>
      </c>
      <c r="C199" s="32"/>
      <c r="D199" s="10" t="s">
        <v>29</v>
      </c>
      <c r="E199" s="11"/>
      <c r="F199" s="11" t="s">
        <v>18</v>
      </c>
      <c r="G199" s="13"/>
      <c r="H199" s="45" t="s">
        <v>16</v>
      </c>
      <c r="I199" s="46"/>
      <c r="J199" s="12" t="s">
        <v>5648</v>
      </c>
      <c r="K199" s="13" t="s">
        <v>6970</v>
      </c>
      <c r="L199" s="99" t="str">
        <f t="shared" si="8"/>
        <v>W3207.7</v>
      </c>
      <c r="M199" s="13" t="s">
        <v>17</v>
      </c>
      <c r="N199" s="13"/>
      <c r="O199" s="13"/>
      <c r="P199" s="47"/>
      <c r="Q199" s="45" t="s">
        <v>3672</v>
      </c>
      <c r="R199" s="45" t="s">
        <v>5596</v>
      </c>
      <c r="S199" s="48"/>
      <c r="T199" s="49" t="str">
        <f t="shared" si="6"/>
        <v>[W3207.7]</v>
      </c>
      <c r="U199" s="12" t="str">
        <f t="shared" si="10"/>
        <v xml:space="preserve"> 가스켓 용접#1 X3축(SD203) 운전중에 Ready가 Off 되었습니다.</v>
      </c>
      <c r="V199" s="49" t="str">
        <f t="shared" si="9"/>
        <v>[W3207.7] 가스켓 용접#1 X3축(SD203) 운전중에 Ready가 Off 되었습니다.</v>
      </c>
    </row>
    <row r="200" spans="1:22" s="49" customFormat="1" ht="14.15" customHeight="1">
      <c r="A200" s="43" t="s">
        <v>6675</v>
      </c>
      <c r="B200" s="44" t="s">
        <v>6635</v>
      </c>
      <c r="C200" s="32"/>
      <c r="D200" s="10" t="s">
        <v>29</v>
      </c>
      <c r="E200" s="11"/>
      <c r="F200" s="11" t="s">
        <v>18</v>
      </c>
      <c r="G200" s="13"/>
      <c r="H200" s="45" t="s">
        <v>16</v>
      </c>
      <c r="I200" s="46"/>
      <c r="J200" s="12" t="s">
        <v>5649</v>
      </c>
      <c r="K200" s="13" t="s">
        <v>6971</v>
      </c>
      <c r="L200" s="99" t="str">
        <f t="shared" si="8"/>
        <v>W3207.8</v>
      </c>
      <c r="M200" s="13" t="s">
        <v>17</v>
      </c>
      <c r="N200" s="13"/>
      <c r="O200" s="13"/>
      <c r="P200" s="47"/>
      <c r="Q200" s="45" t="s">
        <v>3672</v>
      </c>
      <c r="R200" s="45" t="s">
        <v>5596</v>
      </c>
      <c r="S200" s="48"/>
      <c r="T200" s="49" t="str">
        <f t="shared" si="6"/>
        <v>[W3207.8]</v>
      </c>
      <c r="U200" s="12" t="str">
        <f t="shared" si="10"/>
        <v xml:space="preserve"> 가스켓 용접#1 X3축(SD203) FLS가 감지되었습니다.</v>
      </c>
      <c r="V200" s="49" t="str">
        <f t="shared" si="9"/>
        <v>[W3207.8] 가스켓 용접#1 X3축(SD203) FLS가 감지되었습니다.</v>
      </c>
    </row>
    <row r="201" spans="1:22" s="49" customFormat="1" ht="14.15" customHeight="1">
      <c r="A201" s="43" t="s">
        <v>6675</v>
      </c>
      <c r="B201" s="44" t="s">
        <v>6635</v>
      </c>
      <c r="C201" s="32"/>
      <c r="D201" s="10" t="s">
        <v>29</v>
      </c>
      <c r="E201" s="11"/>
      <c r="F201" s="11" t="s">
        <v>18</v>
      </c>
      <c r="G201" s="13"/>
      <c r="H201" s="45" t="s">
        <v>16</v>
      </c>
      <c r="I201" s="46"/>
      <c r="J201" s="12" t="s">
        <v>5650</v>
      </c>
      <c r="K201" s="13" t="s">
        <v>6972</v>
      </c>
      <c r="L201" s="99" t="str">
        <f t="shared" si="8"/>
        <v>W3207.9</v>
      </c>
      <c r="M201" s="13" t="s">
        <v>17</v>
      </c>
      <c r="N201" s="13"/>
      <c r="O201" s="13"/>
      <c r="P201" s="47"/>
      <c r="Q201" s="45" t="s">
        <v>3672</v>
      </c>
      <c r="R201" s="45" t="s">
        <v>5596</v>
      </c>
      <c r="S201" s="48"/>
      <c r="T201" s="49" t="str">
        <f t="shared" si="6"/>
        <v>[W3207.9]</v>
      </c>
      <c r="U201" s="12" t="str">
        <f t="shared" si="10"/>
        <v xml:space="preserve"> 가스켓 용접#1 X3축(SD203) RLS가 감지되었습니다.</v>
      </c>
      <c r="V201" s="49" t="str">
        <f t="shared" si="9"/>
        <v>[W3207.9] 가스켓 용접#1 X3축(SD203) RLS가 감지되었습니다.</v>
      </c>
    </row>
    <row r="202" spans="1:22" s="49" customFormat="1" ht="14.15" customHeight="1">
      <c r="A202" s="43" t="s">
        <v>6675</v>
      </c>
      <c r="B202" s="44" t="s">
        <v>6635</v>
      </c>
      <c r="C202" s="32"/>
      <c r="D202" s="10" t="s">
        <v>29</v>
      </c>
      <c r="E202" s="11"/>
      <c r="F202" s="11" t="s">
        <v>18</v>
      </c>
      <c r="G202" s="13"/>
      <c r="H202" s="45" t="s">
        <v>16</v>
      </c>
      <c r="I202" s="46"/>
      <c r="J202" s="12" t="s">
        <v>5651</v>
      </c>
      <c r="K202" s="13" t="s">
        <v>6973</v>
      </c>
      <c r="L202" s="99" t="str">
        <f t="shared" si="8"/>
        <v>W3207.A</v>
      </c>
      <c r="M202" s="13" t="s">
        <v>17</v>
      </c>
      <c r="N202" s="13"/>
      <c r="O202" s="13"/>
      <c r="P202" s="47"/>
      <c r="Q202" s="45" t="s">
        <v>3672</v>
      </c>
      <c r="R202" s="45" t="s">
        <v>5596</v>
      </c>
      <c r="S202" s="48"/>
      <c r="T202" s="49" t="str">
        <f t="shared" si="6"/>
        <v>[W3207.A]</v>
      </c>
      <c r="U202" s="12" t="str">
        <f t="shared" si="10"/>
        <v xml:space="preserve"> 가스켓 용접#1 X3축(SD203) Stop 명령이 On된 상태에서 기동을 시도했습니다.</v>
      </c>
      <c r="V202" s="49" t="str">
        <f t="shared" si="9"/>
        <v>[W3207.A] 가스켓 용접#1 X3축(SD203) Stop 명령이 On된 상태에서 기동을 시도했습니다.</v>
      </c>
    </row>
    <row r="203" spans="1:22" s="49" customFormat="1" ht="14.15" customHeight="1">
      <c r="A203" s="43" t="s">
        <v>6675</v>
      </c>
      <c r="B203" s="44" t="s">
        <v>6635</v>
      </c>
      <c r="C203" s="32"/>
      <c r="D203" s="10" t="s">
        <v>29</v>
      </c>
      <c r="E203" s="11"/>
      <c r="F203" s="11" t="s">
        <v>18</v>
      </c>
      <c r="G203" s="13"/>
      <c r="H203" s="45" t="s">
        <v>16</v>
      </c>
      <c r="I203" s="46"/>
      <c r="J203" s="12" t="s">
        <v>5652</v>
      </c>
      <c r="K203" s="13" t="s">
        <v>6974</v>
      </c>
      <c r="L203" s="99" t="str">
        <f t="shared" si="8"/>
        <v>W3207.B</v>
      </c>
      <c r="M203" s="13" t="s">
        <v>17</v>
      </c>
      <c r="N203" s="13"/>
      <c r="O203" s="13"/>
      <c r="P203" s="47"/>
      <c r="Q203" s="45" t="s">
        <v>3672</v>
      </c>
      <c r="R203" s="45" t="s">
        <v>5596</v>
      </c>
      <c r="S203" s="48"/>
      <c r="T203" s="49" t="str">
        <f t="shared" si="6"/>
        <v>[W3207.B]</v>
      </c>
      <c r="U203" s="12" t="str">
        <f t="shared" si="10"/>
        <v xml:space="preserve"> 가스켓 용접#1 X3축(SD203) 가동 전원이 Off 되었습니다.</v>
      </c>
      <c r="V203" s="49" t="str">
        <f t="shared" si="9"/>
        <v>[W3207.B] 가스켓 용접#1 X3축(SD203) 가동 전원이 Off 되었습니다.</v>
      </c>
    </row>
    <row r="204" spans="1:22" s="49" customFormat="1" ht="14.15" customHeight="1">
      <c r="A204" s="43" t="s">
        <v>6675</v>
      </c>
      <c r="B204" s="44" t="s">
        <v>6635</v>
      </c>
      <c r="C204" s="32"/>
      <c r="D204" s="10" t="s">
        <v>29</v>
      </c>
      <c r="E204" s="11"/>
      <c r="F204" s="11" t="s">
        <v>18</v>
      </c>
      <c r="G204" s="13"/>
      <c r="H204" s="45" t="s">
        <v>16</v>
      </c>
      <c r="I204" s="46"/>
      <c r="J204" s="12" t="s">
        <v>5653</v>
      </c>
      <c r="K204" s="13" t="s">
        <v>6975</v>
      </c>
      <c r="L204" s="99" t="str">
        <f t="shared" si="8"/>
        <v>W3207.C</v>
      </c>
      <c r="M204" s="13" t="s">
        <v>17</v>
      </c>
      <c r="N204" s="13"/>
      <c r="O204" s="13"/>
      <c r="P204" s="47"/>
      <c r="Q204" s="45" t="s">
        <v>3672</v>
      </c>
      <c r="R204" s="45" t="s">
        <v>5596</v>
      </c>
      <c r="S204" s="48"/>
      <c r="T204" s="49" t="str">
        <f t="shared" si="6"/>
        <v>[W3207.C]</v>
      </c>
      <c r="U204" s="12" t="str">
        <f t="shared" si="10"/>
        <v xml:space="preserve"> 가스켓 용접#1 X3축(SD203) 엔코더 이상이 검출되었습니다.</v>
      </c>
      <c r="V204" s="49" t="str">
        <f t="shared" si="9"/>
        <v>[W3207.C] 가스켓 용접#1 X3축(SD203) 엔코더 이상이 검출되었습니다.</v>
      </c>
    </row>
    <row r="205" spans="1:22" s="49" customFormat="1" ht="14.15" customHeight="1">
      <c r="A205" s="43" t="s">
        <v>6675</v>
      </c>
      <c r="B205" s="44" t="s">
        <v>6635</v>
      </c>
      <c r="C205" s="32"/>
      <c r="D205" s="10" t="s">
        <v>29</v>
      </c>
      <c r="E205" s="11"/>
      <c r="F205" s="11" t="s">
        <v>18</v>
      </c>
      <c r="G205" s="13"/>
      <c r="H205" s="45" t="s">
        <v>16</v>
      </c>
      <c r="I205" s="46"/>
      <c r="J205" s="12" t="s">
        <v>5654</v>
      </c>
      <c r="K205" s="13" t="s">
        <v>6976</v>
      </c>
      <c r="L205" s="99" t="str">
        <f t="shared" si="8"/>
        <v>W3207.D</v>
      </c>
      <c r="M205" s="13" t="s">
        <v>17</v>
      </c>
      <c r="N205" s="13"/>
      <c r="O205" s="13"/>
      <c r="P205" s="47"/>
      <c r="Q205" s="45" t="s">
        <v>3672</v>
      </c>
      <c r="R205" s="45" t="s">
        <v>5596</v>
      </c>
      <c r="S205" s="48"/>
      <c r="T205" s="49" t="str">
        <f t="shared" si="6"/>
        <v>[W3207.D]</v>
      </c>
      <c r="U205" s="12" t="str">
        <f t="shared" si="10"/>
        <v xml:space="preserve"> 가스켓 용접#1 X3축(SD203) 과전류가 검출되었습니다.</v>
      </c>
      <c r="V205" s="49" t="str">
        <f t="shared" si="9"/>
        <v>[W3207.D] 가스켓 용접#1 X3축(SD203) 과전류가 검출되었습니다.</v>
      </c>
    </row>
    <row r="206" spans="1:22" s="49" customFormat="1" ht="14.15" customHeight="1">
      <c r="A206" s="43" t="s">
        <v>6675</v>
      </c>
      <c r="B206" s="44" t="s">
        <v>6635</v>
      </c>
      <c r="C206" s="32"/>
      <c r="D206" s="10" t="s">
        <v>29</v>
      </c>
      <c r="E206" s="11"/>
      <c r="F206" s="11" t="s">
        <v>18</v>
      </c>
      <c r="G206" s="13"/>
      <c r="H206" s="45" t="s">
        <v>16</v>
      </c>
      <c r="I206" s="46"/>
      <c r="J206" s="12" t="s">
        <v>5655</v>
      </c>
      <c r="K206" s="13" t="s">
        <v>6977</v>
      </c>
      <c r="L206" s="99" t="str">
        <f t="shared" si="8"/>
        <v>W3207.E</v>
      </c>
      <c r="M206" s="13" t="s">
        <v>17</v>
      </c>
      <c r="N206" s="13"/>
      <c r="O206" s="13"/>
      <c r="P206" s="47"/>
      <c r="Q206" s="45" t="s">
        <v>3672</v>
      </c>
      <c r="R206" s="45" t="s">
        <v>5596</v>
      </c>
      <c r="S206" s="48"/>
      <c r="T206" s="49" t="str">
        <f t="shared" si="6"/>
        <v>[W3207.E]</v>
      </c>
      <c r="U206" s="12" t="str">
        <f t="shared" si="10"/>
        <v xml:space="preserve"> 가스켓 용접#1 X3축(SD203) 과부하가 검출되었습니다.</v>
      </c>
      <c r="V206" s="49" t="str">
        <f t="shared" si="9"/>
        <v>[W3207.E] 가스켓 용접#1 X3축(SD203) 과부하가 검출되었습니다.</v>
      </c>
    </row>
    <row r="207" spans="1:22" s="49" customFormat="1" ht="14.15" customHeight="1">
      <c r="A207" s="43" t="s">
        <v>6675</v>
      </c>
      <c r="B207" s="44" t="s">
        <v>6635</v>
      </c>
      <c r="C207" s="32"/>
      <c r="D207" s="10" t="s">
        <v>29</v>
      </c>
      <c r="E207" s="11"/>
      <c r="F207" s="11" t="s">
        <v>18</v>
      </c>
      <c r="G207" s="13"/>
      <c r="H207" s="45" t="s">
        <v>16</v>
      </c>
      <c r="I207" s="46"/>
      <c r="J207" s="12" t="s">
        <v>5656</v>
      </c>
      <c r="K207" s="13" t="s">
        <v>6978</v>
      </c>
      <c r="L207" s="99" t="str">
        <f t="shared" si="8"/>
        <v>W3207.F</v>
      </c>
      <c r="M207" s="13" t="s">
        <v>17</v>
      </c>
      <c r="N207" s="13"/>
      <c r="O207" s="13"/>
      <c r="P207" s="47"/>
      <c r="Q207" s="45" t="s">
        <v>3672</v>
      </c>
      <c r="R207" s="45" t="s">
        <v>5596</v>
      </c>
      <c r="S207" s="48"/>
      <c r="T207" s="49" t="str">
        <f t="shared" si="6"/>
        <v>[W3207.F]</v>
      </c>
      <c r="U207" s="12" t="str">
        <f t="shared" si="10"/>
        <v xml:space="preserve"> 가스켓 용접#1 X3축(SD203)  </v>
      </c>
      <c r="V207" s="49" t="str">
        <f t="shared" si="9"/>
        <v xml:space="preserve">[W3207.F] 가스켓 용접#1 X3축(SD203)  </v>
      </c>
    </row>
    <row r="208" spans="1:22" s="49" customFormat="1" ht="14.15" customHeight="1">
      <c r="A208" s="43" t="s">
        <v>6675</v>
      </c>
      <c r="B208" s="44" t="s">
        <v>6635</v>
      </c>
      <c r="C208" s="32"/>
      <c r="D208" s="10" t="s">
        <v>29</v>
      </c>
      <c r="E208" s="11"/>
      <c r="F208" s="11" t="s">
        <v>18</v>
      </c>
      <c r="G208" s="13"/>
      <c r="H208" s="45" t="s">
        <v>16</v>
      </c>
      <c r="I208" s="46"/>
      <c r="J208" s="12" t="s">
        <v>5657</v>
      </c>
      <c r="K208" s="13" t="s">
        <v>6979</v>
      </c>
      <c r="L208" s="99" t="str">
        <f t="shared" si="8"/>
        <v>W3208.0</v>
      </c>
      <c r="M208" s="13" t="s">
        <v>17</v>
      </c>
      <c r="N208" s="13"/>
      <c r="O208" s="13"/>
      <c r="P208" s="47"/>
      <c r="Q208" s="45" t="s">
        <v>3672</v>
      </c>
      <c r="R208" s="45" t="s">
        <v>5596</v>
      </c>
      <c r="S208" s="48"/>
      <c r="T208" s="49" t="str">
        <f t="shared" ref="T208:T271" si="11">"["&amp;L208&amp;"]"</f>
        <v>[W3208.0]</v>
      </c>
      <c r="U208" s="12" t="str">
        <f t="shared" si="10"/>
        <v xml:space="preserve"> 가스켓 용접#1 X3축(SD203) 에러가 발생했습니다.</v>
      </c>
      <c r="V208" s="49" t="str">
        <f t="shared" si="9"/>
        <v>[W3208.0] 가스켓 용접#1 X3축(SD203) 에러가 발생했습니다.</v>
      </c>
    </row>
    <row r="209" spans="1:22" s="49" customFormat="1" ht="14.15" customHeight="1">
      <c r="A209" s="43" t="s">
        <v>6675</v>
      </c>
      <c r="B209" s="44" t="s">
        <v>6635</v>
      </c>
      <c r="C209" s="32"/>
      <c r="D209" s="10" t="s">
        <v>29</v>
      </c>
      <c r="E209" s="11"/>
      <c r="F209" s="11" t="s">
        <v>18</v>
      </c>
      <c r="G209" s="13"/>
      <c r="H209" s="45" t="s">
        <v>16</v>
      </c>
      <c r="I209" s="46"/>
      <c r="J209" s="12" t="s">
        <v>5658</v>
      </c>
      <c r="K209" s="13" t="s">
        <v>6980</v>
      </c>
      <c r="L209" s="99" t="str">
        <f t="shared" ref="L209:L272" si="12">"W"&amp;DEC2HEX(12800 + INT((ROW()-80)/16)) &amp; "." &amp; IF(MOD(ROW()-80,16)&lt;10,MOD(ROW()-80,16),CHAR(MOD(ROW()-80,16)+55))</f>
        <v>W3208.1</v>
      </c>
      <c r="M209" s="13" t="s">
        <v>17</v>
      </c>
      <c r="N209" s="13"/>
      <c r="O209" s="13"/>
      <c r="P209" s="47"/>
      <c r="Q209" s="45" t="s">
        <v>3672</v>
      </c>
      <c r="R209" s="45" t="s">
        <v>5596</v>
      </c>
      <c r="S209" s="48"/>
      <c r="T209" s="49" t="str">
        <f t="shared" si="11"/>
        <v>[W3208.1]</v>
      </c>
      <c r="U209" s="12" t="str">
        <f t="shared" si="10"/>
        <v xml:space="preserve"> 가스켓 용접#2 X1축(SD204) 운전중에 Ready가 Off 되었습니다.</v>
      </c>
      <c r="V209" s="49" t="str">
        <f t="shared" ref="V209:V272" si="13">T209&amp;U209</f>
        <v>[W3208.1] 가스켓 용접#2 X1축(SD204) 운전중에 Ready가 Off 되었습니다.</v>
      </c>
    </row>
    <row r="210" spans="1:22" s="49" customFormat="1" ht="14.15" customHeight="1">
      <c r="A210" s="43" t="s">
        <v>6675</v>
      </c>
      <c r="B210" s="44" t="s">
        <v>6635</v>
      </c>
      <c r="C210" s="32"/>
      <c r="D210" s="10" t="s">
        <v>29</v>
      </c>
      <c r="E210" s="11"/>
      <c r="F210" s="11" t="s">
        <v>18</v>
      </c>
      <c r="G210" s="13"/>
      <c r="H210" s="45" t="s">
        <v>16</v>
      </c>
      <c r="I210" s="46"/>
      <c r="J210" s="12" t="s">
        <v>5659</v>
      </c>
      <c r="K210" s="13" t="s">
        <v>6981</v>
      </c>
      <c r="L210" s="99" t="str">
        <f t="shared" si="12"/>
        <v>W3208.2</v>
      </c>
      <c r="M210" s="13" t="s">
        <v>17</v>
      </c>
      <c r="N210" s="13"/>
      <c r="O210" s="13"/>
      <c r="P210" s="47"/>
      <c r="Q210" s="45" t="s">
        <v>3672</v>
      </c>
      <c r="R210" s="45" t="s">
        <v>5596</v>
      </c>
      <c r="S210" s="48"/>
      <c r="T210" s="49" t="str">
        <f t="shared" si="11"/>
        <v>[W3208.2]</v>
      </c>
      <c r="U210" s="12" t="str">
        <f t="shared" si="10"/>
        <v xml:space="preserve"> 가스켓 용접#2 X1축(SD204) FLS가 감지되었습니다.</v>
      </c>
      <c r="V210" s="49" t="str">
        <f t="shared" si="13"/>
        <v>[W3208.2] 가스켓 용접#2 X1축(SD204) FLS가 감지되었습니다.</v>
      </c>
    </row>
    <row r="211" spans="1:22" s="49" customFormat="1" ht="14.15" customHeight="1">
      <c r="A211" s="43" t="s">
        <v>6675</v>
      </c>
      <c r="B211" s="44" t="s">
        <v>6635</v>
      </c>
      <c r="C211" s="32"/>
      <c r="D211" s="10" t="s">
        <v>29</v>
      </c>
      <c r="E211" s="11"/>
      <c r="F211" s="11" t="s">
        <v>18</v>
      </c>
      <c r="G211" s="13"/>
      <c r="H211" s="45" t="s">
        <v>16</v>
      </c>
      <c r="I211" s="46"/>
      <c r="J211" s="12" t="s">
        <v>5660</v>
      </c>
      <c r="K211" s="13" t="s">
        <v>6982</v>
      </c>
      <c r="L211" s="99" t="str">
        <f t="shared" si="12"/>
        <v>W3208.3</v>
      </c>
      <c r="M211" s="13" t="s">
        <v>17</v>
      </c>
      <c r="N211" s="13"/>
      <c r="O211" s="13"/>
      <c r="P211" s="47"/>
      <c r="Q211" s="45" t="s">
        <v>3672</v>
      </c>
      <c r="R211" s="45" t="s">
        <v>5596</v>
      </c>
      <c r="S211" s="48"/>
      <c r="T211" s="49" t="str">
        <f t="shared" si="11"/>
        <v>[W3208.3]</v>
      </c>
      <c r="U211" s="12" t="str">
        <f t="shared" si="10"/>
        <v xml:space="preserve"> 가스켓 용접#2 X1축(SD204) RLS가 감지되었습니다.</v>
      </c>
      <c r="V211" s="49" t="str">
        <f t="shared" si="13"/>
        <v>[W3208.3] 가스켓 용접#2 X1축(SD204) RLS가 감지되었습니다.</v>
      </c>
    </row>
    <row r="212" spans="1:22" s="49" customFormat="1" ht="14.15" customHeight="1">
      <c r="A212" s="43" t="s">
        <v>6675</v>
      </c>
      <c r="B212" s="44" t="s">
        <v>6635</v>
      </c>
      <c r="C212" s="32"/>
      <c r="D212" s="10" t="s">
        <v>29</v>
      </c>
      <c r="E212" s="11"/>
      <c r="F212" s="11" t="s">
        <v>18</v>
      </c>
      <c r="G212" s="13"/>
      <c r="H212" s="45" t="s">
        <v>16</v>
      </c>
      <c r="I212" s="46"/>
      <c r="J212" s="12" t="s">
        <v>5661</v>
      </c>
      <c r="K212" s="13" t="s">
        <v>6983</v>
      </c>
      <c r="L212" s="99" t="str">
        <f t="shared" si="12"/>
        <v>W3208.4</v>
      </c>
      <c r="M212" s="13" t="s">
        <v>17</v>
      </c>
      <c r="N212" s="13"/>
      <c r="O212" s="13"/>
      <c r="P212" s="47"/>
      <c r="Q212" s="45" t="s">
        <v>3672</v>
      </c>
      <c r="R212" s="45" t="s">
        <v>5596</v>
      </c>
      <c r="S212" s="48"/>
      <c r="T212" s="49" t="str">
        <f t="shared" si="11"/>
        <v>[W3208.4]</v>
      </c>
      <c r="U212" s="12" t="str">
        <f t="shared" si="10"/>
        <v xml:space="preserve"> 가스켓 용접#2 X1축(SD204) Stop 명령이 On된 상태에서 기동을 시도했습니다.</v>
      </c>
      <c r="V212" s="49" t="str">
        <f t="shared" si="13"/>
        <v>[W3208.4] 가스켓 용접#2 X1축(SD204) Stop 명령이 On된 상태에서 기동을 시도했습니다.</v>
      </c>
    </row>
    <row r="213" spans="1:22" s="49" customFormat="1" ht="14.15" customHeight="1">
      <c r="A213" s="43" t="s">
        <v>6675</v>
      </c>
      <c r="B213" s="44" t="s">
        <v>6635</v>
      </c>
      <c r="C213" s="32"/>
      <c r="D213" s="10" t="s">
        <v>29</v>
      </c>
      <c r="E213" s="11"/>
      <c r="F213" s="11" t="s">
        <v>18</v>
      </c>
      <c r="G213" s="13"/>
      <c r="H213" s="45" t="s">
        <v>16</v>
      </c>
      <c r="I213" s="46"/>
      <c r="J213" s="12" t="s">
        <v>5662</v>
      </c>
      <c r="K213" s="13" t="s">
        <v>6984</v>
      </c>
      <c r="L213" s="99" t="str">
        <f t="shared" si="12"/>
        <v>W3208.5</v>
      </c>
      <c r="M213" s="13" t="s">
        <v>17</v>
      </c>
      <c r="N213" s="13"/>
      <c r="O213" s="13"/>
      <c r="P213" s="47"/>
      <c r="Q213" s="45" t="s">
        <v>3672</v>
      </c>
      <c r="R213" s="45" t="s">
        <v>5596</v>
      </c>
      <c r="S213" s="48"/>
      <c r="T213" s="49" t="str">
        <f t="shared" si="11"/>
        <v>[W3208.5]</v>
      </c>
      <c r="U213" s="12" t="str">
        <f t="shared" si="10"/>
        <v xml:space="preserve"> 가스켓 용접#2 X1축(SD204) 가동 전원이 Off 되었습니다.</v>
      </c>
      <c r="V213" s="49" t="str">
        <f t="shared" si="13"/>
        <v>[W3208.5] 가스켓 용접#2 X1축(SD204) 가동 전원이 Off 되었습니다.</v>
      </c>
    </row>
    <row r="214" spans="1:22" s="49" customFormat="1" ht="14.15" customHeight="1">
      <c r="A214" s="43" t="s">
        <v>6675</v>
      </c>
      <c r="B214" s="44" t="s">
        <v>6635</v>
      </c>
      <c r="C214" s="32"/>
      <c r="D214" s="10" t="s">
        <v>29</v>
      </c>
      <c r="E214" s="11"/>
      <c r="F214" s="11" t="s">
        <v>18</v>
      </c>
      <c r="G214" s="13"/>
      <c r="H214" s="45" t="s">
        <v>16</v>
      </c>
      <c r="I214" s="46"/>
      <c r="J214" s="12" t="s">
        <v>5663</v>
      </c>
      <c r="K214" s="13" t="s">
        <v>6985</v>
      </c>
      <c r="L214" s="99" t="str">
        <f t="shared" si="12"/>
        <v>W3208.6</v>
      </c>
      <c r="M214" s="13" t="s">
        <v>17</v>
      </c>
      <c r="N214" s="13"/>
      <c r="O214" s="13"/>
      <c r="P214" s="47"/>
      <c r="Q214" s="45" t="s">
        <v>3672</v>
      </c>
      <c r="R214" s="45" t="s">
        <v>5596</v>
      </c>
      <c r="S214" s="48"/>
      <c r="T214" s="49" t="str">
        <f t="shared" si="11"/>
        <v>[W3208.6]</v>
      </c>
      <c r="U214" s="12" t="str">
        <f t="shared" si="10"/>
        <v xml:space="preserve"> 가스켓 용접#2 X1축(SD204) 엔코더 이상이 검출되었습니다.</v>
      </c>
      <c r="V214" s="49" t="str">
        <f t="shared" si="13"/>
        <v>[W3208.6] 가스켓 용접#2 X1축(SD204) 엔코더 이상이 검출되었습니다.</v>
      </c>
    </row>
    <row r="215" spans="1:22" s="49" customFormat="1" ht="14.15" customHeight="1">
      <c r="A215" s="43" t="s">
        <v>6675</v>
      </c>
      <c r="B215" s="44" t="s">
        <v>6635</v>
      </c>
      <c r="C215" s="32"/>
      <c r="D215" s="10" t="s">
        <v>29</v>
      </c>
      <c r="E215" s="11"/>
      <c r="F215" s="11" t="s">
        <v>18</v>
      </c>
      <c r="G215" s="13"/>
      <c r="H215" s="45" t="s">
        <v>16</v>
      </c>
      <c r="I215" s="46"/>
      <c r="J215" s="12" t="s">
        <v>5664</v>
      </c>
      <c r="K215" s="13" t="s">
        <v>6986</v>
      </c>
      <c r="L215" s="99" t="str">
        <f t="shared" si="12"/>
        <v>W3208.7</v>
      </c>
      <c r="M215" s="13" t="s">
        <v>17</v>
      </c>
      <c r="N215" s="13"/>
      <c r="O215" s="13"/>
      <c r="P215" s="47"/>
      <c r="Q215" s="45" t="s">
        <v>3672</v>
      </c>
      <c r="R215" s="45" t="s">
        <v>5596</v>
      </c>
      <c r="S215" s="48"/>
      <c r="T215" s="49" t="str">
        <f t="shared" si="11"/>
        <v>[W3208.7]</v>
      </c>
      <c r="U215" s="12" t="str">
        <f t="shared" si="10"/>
        <v xml:space="preserve"> 가스켓 용접#2 X1축(SD204) 과전류가 검출되었습니다.</v>
      </c>
      <c r="V215" s="49" t="str">
        <f t="shared" si="13"/>
        <v>[W3208.7] 가스켓 용접#2 X1축(SD204) 과전류가 검출되었습니다.</v>
      </c>
    </row>
    <row r="216" spans="1:22" s="49" customFormat="1" ht="14.15" customHeight="1">
      <c r="A216" s="43" t="s">
        <v>6675</v>
      </c>
      <c r="B216" s="44" t="s">
        <v>6635</v>
      </c>
      <c r="C216" s="32"/>
      <c r="D216" s="10" t="s">
        <v>29</v>
      </c>
      <c r="E216" s="11"/>
      <c r="F216" s="11" t="s">
        <v>18</v>
      </c>
      <c r="G216" s="13"/>
      <c r="H216" s="45" t="s">
        <v>16</v>
      </c>
      <c r="I216" s="46"/>
      <c r="J216" s="12" t="s">
        <v>5665</v>
      </c>
      <c r="K216" s="13" t="s">
        <v>6987</v>
      </c>
      <c r="L216" s="99" t="str">
        <f t="shared" si="12"/>
        <v>W3208.8</v>
      </c>
      <c r="M216" s="13" t="s">
        <v>17</v>
      </c>
      <c r="N216" s="13"/>
      <c r="O216" s="13"/>
      <c r="P216" s="47"/>
      <c r="Q216" s="45" t="s">
        <v>3672</v>
      </c>
      <c r="R216" s="45" t="s">
        <v>5596</v>
      </c>
      <c r="S216" s="48"/>
      <c r="T216" s="49" t="str">
        <f t="shared" si="11"/>
        <v>[W3208.8]</v>
      </c>
      <c r="U216" s="12" t="str">
        <f t="shared" si="10"/>
        <v xml:space="preserve"> 가스켓 용접#2 X1축(SD204) 과부하가 검출되었습니다.</v>
      </c>
      <c r="V216" s="49" t="str">
        <f t="shared" si="13"/>
        <v>[W3208.8] 가스켓 용접#2 X1축(SD204) 과부하가 검출되었습니다.</v>
      </c>
    </row>
    <row r="217" spans="1:22" s="49" customFormat="1" ht="14.15" customHeight="1">
      <c r="A217" s="43" t="s">
        <v>6675</v>
      </c>
      <c r="B217" s="44" t="s">
        <v>6635</v>
      </c>
      <c r="C217" s="32"/>
      <c r="D217" s="10" t="s">
        <v>29</v>
      </c>
      <c r="E217" s="11"/>
      <c r="F217" s="11" t="s">
        <v>18</v>
      </c>
      <c r="G217" s="13"/>
      <c r="H217" s="45" t="s">
        <v>16</v>
      </c>
      <c r="I217" s="46"/>
      <c r="J217" s="12" t="s">
        <v>5666</v>
      </c>
      <c r="K217" s="13" t="s">
        <v>6988</v>
      </c>
      <c r="L217" s="99" t="str">
        <f t="shared" si="12"/>
        <v>W3208.9</v>
      </c>
      <c r="M217" s="13" t="s">
        <v>17</v>
      </c>
      <c r="N217" s="13"/>
      <c r="O217" s="13"/>
      <c r="P217" s="47"/>
      <c r="Q217" s="45" t="s">
        <v>3672</v>
      </c>
      <c r="R217" s="45" t="s">
        <v>5596</v>
      </c>
      <c r="S217" s="48"/>
      <c r="T217" s="49" t="str">
        <f t="shared" si="11"/>
        <v>[W3208.9]</v>
      </c>
      <c r="U217" s="12" t="str">
        <f t="shared" si="10"/>
        <v xml:space="preserve"> 가스켓 용접#2 X1축(SD204)  </v>
      </c>
      <c r="V217" s="49" t="str">
        <f t="shared" si="13"/>
        <v xml:space="preserve">[W3208.9] 가스켓 용접#2 X1축(SD204)  </v>
      </c>
    </row>
    <row r="218" spans="1:22" s="49" customFormat="1" ht="14.15" customHeight="1">
      <c r="A218" s="43" t="s">
        <v>6675</v>
      </c>
      <c r="B218" s="44" t="s">
        <v>6635</v>
      </c>
      <c r="C218" s="32"/>
      <c r="D218" s="10" t="s">
        <v>29</v>
      </c>
      <c r="E218" s="11"/>
      <c r="F218" s="11" t="s">
        <v>18</v>
      </c>
      <c r="G218" s="13"/>
      <c r="H218" s="45" t="s">
        <v>16</v>
      </c>
      <c r="I218" s="46"/>
      <c r="J218" s="12" t="s">
        <v>5667</v>
      </c>
      <c r="K218" s="13" t="s">
        <v>6989</v>
      </c>
      <c r="L218" s="99" t="str">
        <f t="shared" si="12"/>
        <v>W3208.A</v>
      </c>
      <c r="M218" s="13" t="s">
        <v>17</v>
      </c>
      <c r="N218" s="13"/>
      <c r="O218" s="13"/>
      <c r="P218" s="47"/>
      <c r="Q218" s="45" t="s">
        <v>3672</v>
      </c>
      <c r="R218" s="45" t="s">
        <v>5596</v>
      </c>
      <c r="S218" s="48"/>
      <c r="T218" s="49" t="str">
        <f t="shared" si="11"/>
        <v>[W3208.A]</v>
      </c>
      <c r="U218" s="12" t="str">
        <f t="shared" si="10"/>
        <v xml:space="preserve"> 가스켓 용접#2 X1축(SD204) 에러가 발생했습니다.</v>
      </c>
      <c r="V218" s="49" t="str">
        <f t="shared" si="13"/>
        <v>[W3208.A] 가스켓 용접#2 X1축(SD204) 에러가 발생했습니다.</v>
      </c>
    </row>
    <row r="219" spans="1:22" s="49" customFormat="1" ht="14.15" customHeight="1">
      <c r="A219" s="43" t="s">
        <v>6675</v>
      </c>
      <c r="B219" s="44" t="s">
        <v>6635</v>
      </c>
      <c r="C219" s="32"/>
      <c r="D219" s="10" t="s">
        <v>29</v>
      </c>
      <c r="E219" s="11"/>
      <c r="F219" s="11" t="s">
        <v>18</v>
      </c>
      <c r="G219" s="13"/>
      <c r="H219" s="45" t="s">
        <v>16</v>
      </c>
      <c r="I219" s="46"/>
      <c r="J219" s="12" t="s">
        <v>5668</v>
      </c>
      <c r="K219" s="13" t="s">
        <v>6990</v>
      </c>
      <c r="L219" s="99" t="str">
        <f t="shared" si="12"/>
        <v>W3208.B</v>
      </c>
      <c r="M219" s="13" t="s">
        <v>17</v>
      </c>
      <c r="N219" s="13"/>
      <c r="O219" s="13"/>
      <c r="P219" s="47"/>
      <c r="Q219" s="45" t="s">
        <v>3672</v>
      </c>
      <c r="R219" s="45" t="s">
        <v>5596</v>
      </c>
      <c r="S219" s="48"/>
      <c r="T219" s="49" t="str">
        <f t="shared" si="11"/>
        <v>[W3208.B]</v>
      </c>
      <c r="U219" s="12" t="str">
        <f t="shared" si="10"/>
        <v xml:space="preserve"> 가스켓 용접#2 X2축(SD205) 운전중에 Ready가 Off 되었습니다.</v>
      </c>
      <c r="V219" s="49" t="str">
        <f t="shared" si="13"/>
        <v>[W3208.B] 가스켓 용접#2 X2축(SD205) 운전중에 Ready가 Off 되었습니다.</v>
      </c>
    </row>
    <row r="220" spans="1:22" s="49" customFormat="1" ht="14.15" customHeight="1">
      <c r="A220" s="43" t="s">
        <v>6675</v>
      </c>
      <c r="B220" s="44" t="s">
        <v>6635</v>
      </c>
      <c r="C220" s="32"/>
      <c r="D220" s="10" t="s">
        <v>29</v>
      </c>
      <c r="E220" s="11"/>
      <c r="F220" s="11" t="s">
        <v>18</v>
      </c>
      <c r="G220" s="13"/>
      <c r="H220" s="45" t="s">
        <v>16</v>
      </c>
      <c r="I220" s="46"/>
      <c r="J220" s="12" t="s">
        <v>5669</v>
      </c>
      <c r="K220" s="13" t="s">
        <v>6991</v>
      </c>
      <c r="L220" s="99" t="str">
        <f t="shared" si="12"/>
        <v>W3208.C</v>
      </c>
      <c r="M220" s="13" t="s">
        <v>17</v>
      </c>
      <c r="N220" s="13"/>
      <c r="O220" s="13"/>
      <c r="P220" s="47"/>
      <c r="Q220" s="45" t="s">
        <v>3672</v>
      </c>
      <c r="R220" s="45" t="s">
        <v>5596</v>
      </c>
      <c r="S220" s="48"/>
      <c r="T220" s="49" t="str">
        <f t="shared" si="11"/>
        <v>[W3208.C]</v>
      </c>
      <c r="U220" s="12" t="str">
        <f t="shared" si="10"/>
        <v xml:space="preserve"> 가스켓 용접#2 X2축(SD205) FLS가 감지되었습니다.</v>
      </c>
      <c r="V220" s="49" t="str">
        <f t="shared" si="13"/>
        <v>[W3208.C] 가스켓 용접#2 X2축(SD205) FLS가 감지되었습니다.</v>
      </c>
    </row>
    <row r="221" spans="1:22" s="49" customFormat="1" ht="14.15" customHeight="1">
      <c r="A221" s="43" t="s">
        <v>6675</v>
      </c>
      <c r="B221" s="44" t="s">
        <v>6635</v>
      </c>
      <c r="C221" s="32"/>
      <c r="D221" s="10" t="s">
        <v>29</v>
      </c>
      <c r="E221" s="11"/>
      <c r="F221" s="11" t="s">
        <v>18</v>
      </c>
      <c r="G221" s="13"/>
      <c r="H221" s="45" t="s">
        <v>16</v>
      </c>
      <c r="I221" s="46"/>
      <c r="J221" s="12" t="s">
        <v>5670</v>
      </c>
      <c r="K221" s="13" t="s">
        <v>6992</v>
      </c>
      <c r="L221" s="99" t="str">
        <f t="shared" si="12"/>
        <v>W3208.D</v>
      </c>
      <c r="M221" s="13" t="s">
        <v>17</v>
      </c>
      <c r="N221" s="13"/>
      <c r="O221" s="13"/>
      <c r="P221" s="47"/>
      <c r="Q221" s="45" t="s">
        <v>3672</v>
      </c>
      <c r="R221" s="45" t="s">
        <v>5596</v>
      </c>
      <c r="S221" s="48"/>
      <c r="T221" s="49" t="str">
        <f t="shared" si="11"/>
        <v>[W3208.D]</v>
      </c>
      <c r="U221" s="12" t="str">
        <f t="shared" si="10"/>
        <v xml:space="preserve"> 가스켓 용접#2 X2축(SD205) RLS가 감지되었습니다.</v>
      </c>
      <c r="V221" s="49" t="str">
        <f t="shared" si="13"/>
        <v>[W3208.D] 가스켓 용접#2 X2축(SD205) RLS가 감지되었습니다.</v>
      </c>
    </row>
    <row r="222" spans="1:22" s="49" customFormat="1" ht="14.15" customHeight="1">
      <c r="A222" s="43" t="s">
        <v>6675</v>
      </c>
      <c r="B222" s="44" t="s">
        <v>6635</v>
      </c>
      <c r="C222" s="32"/>
      <c r="D222" s="10" t="s">
        <v>29</v>
      </c>
      <c r="E222" s="11"/>
      <c r="F222" s="11" t="s">
        <v>18</v>
      </c>
      <c r="G222" s="13"/>
      <c r="H222" s="45" t="s">
        <v>16</v>
      </c>
      <c r="I222" s="46"/>
      <c r="J222" s="12" t="s">
        <v>5671</v>
      </c>
      <c r="K222" s="13" t="s">
        <v>6993</v>
      </c>
      <c r="L222" s="99" t="str">
        <f t="shared" si="12"/>
        <v>W3208.E</v>
      </c>
      <c r="M222" s="13" t="s">
        <v>17</v>
      </c>
      <c r="N222" s="13"/>
      <c r="O222" s="13"/>
      <c r="P222" s="47"/>
      <c r="Q222" s="45" t="s">
        <v>3672</v>
      </c>
      <c r="R222" s="45" t="s">
        <v>5596</v>
      </c>
      <c r="S222" s="48"/>
      <c r="T222" s="49" t="str">
        <f t="shared" si="11"/>
        <v>[W3208.E]</v>
      </c>
      <c r="U222" s="12" t="str">
        <f t="shared" si="10"/>
        <v xml:space="preserve"> 가스켓 용접#2 X2축(SD205) Stop 명령이 On된 상태에서 기동을 시도했습니다.</v>
      </c>
      <c r="V222" s="49" t="str">
        <f t="shared" si="13"/>
        <v>[W3208.E] 가스켓 용접#2 X2축(SD205) Stop 명령이 On된 상태에서 기동을 시도했습니다.</v>
      </c>
    </row>
    <row r="223" spans="1:22" s="49" customFormat="1" ht="14.15" customHeight="1">
      <c r="A223" s="43" t="s">
        <v>6675</v>
      </c>
      <c r="B223" s="44" t="s">
        <v>6635</v>
      </c>
      <c r="C223" s="32"/>
      <c r="D223" s="10" t="s">
        <v>29</v>
      </c>
      <c r="E223" s="11"/>
      <c r="F223" s="11" t="s">
        <v>18</v>
      </c>
      <c r="G223" s="13"/>
      <c r="H223" s="45" t="s">
        <v>16</v>
      </c>
      <c r="I223" s="46"/>
      <c r="J223" s="12" t="s">
        <v>5672</v>
      </c>
      <c r="K223" s="13" t="s">
        <v>6994</v>
      </c>
      <c r="L223" s="99" t="str">
        <f t="shared" si="12"/>
        <v>W3208.F</v>
      </c>
      <c r="M223" s="13" t="s">
        <v>17</v>
      </c>
      <c r="N223" s="13"/>
      <c r="O223" s="13"/>
      <c r="P223" s="47"/>
      <c r="Q223" s="45" t="s">
        <v>3672</v>
      </c>
      <c r="R223" s="45" t="s">
        <v>5596</v>
      </c>
      <c r="S223" s="48"/>
      <c r="T223" s="49" t="str">
        <f t="shared" si="11"/>
        <v>[W3208.F]</v>
      </c>
      <c r="U223" s="12" t="str">
        <f t="shared" si="10"/>
        <v xml:space="preserve"> 가스켓 용접#2 X2축(SD205) 가동 전원이 Off 되었습니다.</v>
      </c>
      <c r="V223" s="49" t="str">
        <f t="shared" si="13"/>
        <v>[W3208.F] 가스켓 용접#2 X2축(SD205) 가동 전원이 Off 되었습니다.</v>
      </c>
    </row>
    <row r="224" spans="1:22" s="49" customFormat="1" ht="14.15" customHeight="1">
      <c r="A224" s="43" t="s">
        <v>6675</v>
      </c>
      <c r="B224" s="44" t="s">
        <v>6635</v>
      </c>
      <c r="C224" s="32"/>
      <c r="D224" s="10" t="s">
        <v>29</v>
      </c>
      <c r="E224" s="11"/>
      <c r="F224" s="11" t="s">
        <v>18</v>
      </c>
      <c r="G224" s="13"/>
      <c r="H224" s="45" t="s">
        <v>16</v>
      </c>
      <c r="I224" s="46"/>
      <c r="J224" s="12" t="s">
        <v>5673</v>
      </c>
      <c r="K224" s="13" t="s">
        <v>6995</v>
      </c>
      <c r="L224" s="99" t="str">
        <f t="shared" si="12"/>
        <v>W3209.0</v>
      </c>
      <c r="M224" s="13" t="s">
        <v>17</v>
      </c>
      <c r="N224" s="13"/>
      <c r="O224" s="13"/>
      <c r="P224" s="47"/>
      <c r="Q224" s="45" t="s">
        <v>3672</v>
      </c>
      <c r="R224" s="45" t="s">
        <v>5596</v>
      </c>
      <c r="S224" s="48"/>
      <c r="T224" s="49" t="str">
        <f t="shared" si="11"/>
        <v>[W3209.0]</v>
      </c>
      <c r="U224" s="12" t="str">
        <f t="shared" si="10"/>
        <v xml:space="preserve"> 가스켓 용접#2 X2축(SD205) 엔코더 이상이 검출되었습니다.</v>
      </c>
      <c r="V224" s="49" t="str">
        <f t="shared" si="13"/>
        <v>[W3209.0] 가스켓 용접#2 X2축(SD205) 엔코더 이상이 검출되었습니다.</v>
      </c>
    </row>
    <row r="225" spans="1:22" s="49" customFormat="1" ht="14.15" customHeight="1">
      <c r="A225" s="43" t="s">
        <v>6675</v>
      </c>
      <c r="B225" s="44" t="s">
        <v>6635</v>
      </c>
      <c r="C225" s="32"/>
      <c r="D225" s="10" t="s">
        <v>29</v>
      </c>
      <c r="E225" s="11"/>
      <c r="F225" s="11" t="s">
        <v>18</v>
      </c>
      <c r="G225" s="13"/>
      <c r="H225" s="45" t="s">
        <v>16</v>
      </c>
      <c r="I225" s="46"/>
      <c r="J225" s="12" t="s">
        <v>5674</v>
      </c>
      <c r="K225" s="13" t="s">
        <v>6996</v>
      </c>
      <c r="L225" s="99" t="str">
        <f t="shared" si="12"/>
        <v>W3209.1</v>
      </c>
      <c r="M225" s="13" t="s">
        <v>17</v>
      </c>
      <c r="N225" s="13"/>
      <c r="O225" s="13"/>
      <c r="P225" s="47"/>
      <c r="Q225" s="45" t="s">
        <v>3672</v>
      </c>
      <c r="R225" s="45" t="s">
        <v>5596</v>
      </c>
      <c r="S225" s="48"/>
      <c r="T225" s="49" t="str">
        <f t="shared" si="11"/>
        <v>[W3209.1]</v>
      </c>
      <c r="U225" s="12" t="str">
        <f t="shared" si="10"/>
        <v xml:space="preserve"> 가스켓 용접#2 X2축(SD205) 과전류가 검출되었습니다.</v>
      </c>
      <c r="V225" s="49" t="str">
        <f t="shared" si="13"/>
        <v>[W3209.1] 가스켓 용접#2 X2축(SD205) 과전류가 검출되었습니다.</v>
      </c>
    </row>
    <row r="226" spans="1:22" s="49" customFormat="1" ht="14.15" customHeight="1">
      <c r="A226" s="43" t="s">
        <v>6675</v>
      </c>
      <c r="B226" s="44" t="s">
        <v>6635</v>
      </c>
      <c r="C226" s="32"/>
      <c r="D226" s="10" t="s">
        <v>29</v>
      </c>
      <c r="E226" s="11"/>
      <c r="F226" s="11" t="s">
        <v>18</v>
      </c>
      <c r="G226" s="13"/>
      <c r="H226" s="45" t="s">
        <v>16</v>
      </c>
      <c r="I226" s="46"/>
      <c r="J226" s="12" t="s">
        <v>5675</v>
      </c>
      <c r="K226" s="13" t="s">
        <v>6997</v>
      </c>
      <c r="L226" s="99" t="str">
        <f t="shared" si="12"/>
        <v>W3209.2</v>
      </c>
      <c r="M226" s="13" t="s">
        <v>17</v>
      </c>
      <c r="N226" s="13"/>
      <c r="O226" s="13"/>
      <c r="P226" s="47"/>
      <c r="Q226" s="45" t="s">
        <v>3672</v>
      </c>
      <c r="R226" s="45" t="s">
        <v>5596</v>
      </c>
      <c r="S226" s="48"/>
      <c r="T226" s="49" t="str">
        <f t="shared" si="11"/>
        <v>[W3209.2]</v>
      </c>
      <c r="U226" s="12" t="str">
        <f t="shared" si="10"/>
        <v xml:space="preserve"> 가스켓 용접#2 X2축(SD205) 과부하가 검출되었습니다.</v>
      </c>
      <c r="V226" s="49" t="str">
        <f t="shared" si="13"/>
        <v>[W3209.2] 가스켓 용접#2 X2축(SD205) 과부하가 검출되었습니다.</v>
      </c>
    </row>
    <row r="227" spans="1:22" s="49" customFormat="1" ht="14.15" customHeight="1">
      <c r="A227" s="43" t="s">
        <v>6675</v>
      </c>
      <c r="B227" s="44" t="s">
        <v>6635</v>
      </c>
      <c r="C227" s="32"/>
      <c r="D227" s="10" t="s">
        <v>29</v>
      </c>
      <c r="E227" s="11"/>
      <c r="F227" s="11" t="s">
        <v>18</v>
      </c>
      <c r="G227" s="13"/>
      <c r="H227" s="45" t="s">
        <v>16</v>
      </c>
      <c r="I227" s="46"/>
      <c r="J227" s="12" t="s">
        <v>5676</v>
      </c>
      <c r="K227" s="13" t="s">
        <v>6998</v>
      </c>
      <c r="L227" s="99" t="str">
        <f t="shared" si="12"/>
        <v>W3209.3</v>
      </c>
      <c r="M227" s="13" t="s">
        <v>17</v>
      </c>
      <c r="N227" s="13"/>
      <c r="O227" s="13"/>
      <c r="P227" s="47"/>
      <c r="Q227" s="45" t="s">
        <v>3672</v>
      </c>
      <c r="R227" s="45" t="s">
        <v>5596</v>
      </c>
      <c r="S227" s="48"/>
      <c r="T227" s="49" t="str">
        <f t="shared" si="11"/>
        <v>[W3209.3]</v>
      </c>
      <c r="U227" s="12" t="str">
        <f t="shared" si="10"/>
        <v xml:space="preserve"> 가스켓 용접#2 X2축(SD205)  </v>
      </c>
      <c r="V227" s="49" t="str">
        <f t="shared" si="13"/>
        <v xml:space="preserve">[W3209.3] 가스켓 용접#2 X2축(SD205)  </v>
      </c>
    </row>
    <row r="228" spans="1:22" s="49" customFormat="1" ht="14.15" customHeight="1">
      <c r="A228" s="43" t="s">
        <v>6675</v>
      </c>
      <c r="B228" s="44" t="s">
        <v>6635</v>
      </c>
      <c r="C228" s="32"/>
      <c r="D228" s="10" t="s">
        <v>29</v>
      </c>
      <c r="E228" s="11"/>
      <c r="F228" s="11" t="s">
        <v>18</v>
      </c>
      <c r="G228" s="13"/>
      <c r="H228" s="45" t="s">
        <v>16</v>
      </c>
      <c r="I228" s="46"/>
      <c r="J228" s="12" t="s">
        <v>5677</v>
      </c>
      <c r="K228" s="13" t="s">
        <v>6999</v>
      </c>
      <c r="L228" s="99" t="str">
        <f t="shared" si="12"/>
        <v>W3209.4</v>
      </c>
      <c r="M228" s="13" t="s">
        <v>17</v>
      </c>
      <c r="N228" s="13"/>
      <c r="O228" s="13"/>
      <c r="P228" s="47"/>
      <c r="Q228" s="45" t="s">
        <v>3672</v>
      </c>
      <c r="R228" s="45" t="s">
        <v>5596</v>
      </c>
      <c r="S228" s="48"/>
      <c r="T228" s="49" t="str">
        <f t="shared" si="11"/>
        <v>[W3209.4]</v>
      </c>
      <c r="U228" s="12" t="str">
        <f t="shared" si="10"/>
        <v xml:space="preserve"> 가스켓 용접#2 X2축(SD205) 에러가 발생했습니다.</v>
      </c>
      <c r="V228" s="49" t="str">
        <f t="shared" si="13"/>
        <v>[W3209.4] 가스켓 용접#2 X2축(SD205) 에러가 발생했습니다.</v>
      </c>
    </row>
    <row r="229" spans="1:22" s="49" customFormat="1" ht="14.15" customHeight="1">
      <c r="A229" s="43" t="s">
        <v>6675</v>
      </c>
      <c r="B229" s="44" t="s">
        <v>6635</v>
      </c>
      <c r="C229" s="32"/>
      <c r="D229" s="10" t="s">
        <v>29</v>
      </c>
      <c r="E229" s="11"/>
      <c r="F229" s="11" t="s">
        <v>18</v>
      </c>
      <c r="G229" s="13"/>
      <c r="H229" s="45" t="s">
        <v>16</v>
      </c>
      <c r="I229" s="46"/>
      <c r="J229" s="12" t="s">
        <v>5678</v>
      </c>
      <c r="K229" s="13" t="s">
        <v>7000</v>
      </c>
      <c r="L229" s="99" t="str">
        <f t="shared" si="12"/>
        <v>W3209.5</v>
      </c>
      <c r="M229" s="13" t="s">
        <v>17</v>
      </c>
      <c r="N229" s="13"/>
      <c r="O229" s="13"/>
      <c r="P229" s="47"/>
      <c r="Q229" s="45" t="s">
        <v>3672</v>
      </c>
      <c r="R229" s="45" t="s">
        <v>5596</v>
      </c>
      <c r="S229" s="48"/>
      <c r="T229" s="49" t="str">
        <f t="shared" si="11"/>
        <v>[W3209.5]</v>
      </c>
      <c r="U229" s="12" t="str">
        <f t="shared" si="10"/>
        <v xml:space="preserve"> 가스켓 용접#2 X3축(SD206) 운전중에 Ready가 Off 되었습니다.</v>
      </c>
      <c r="V229" s="49" t="str">
        <f t="shared" si="13"/>
        <v>[W3209.5] 가스켓 용접#2 X3축(SD206) 운전중에 Ready가 Off 되었습니다.</v>
      </c>
    </row>
    <row r="230" spans="1:22" s="49" customFormat="1" ht="14.15" customHeight="1">
      <c r="A230" s="43" t="s">
        <v>6675</v>
      </c>
      <c r="B230" s="44" t="s">
        <v>6635</v>
      </c>
      <c r="C230" s="32"/>
      <c r="D230" s="10" t="s">
        <v>29</v>
      </c>
      <c r="E230" s="11"/>
      <c r="F230" s="11" t="s">
        <v>18</v>
      </c>
      <c r="G230" s="13"/>
      <c r="H230" s="45" t="s">
        <v>16</v>
      </c>
      <c r="I230" s="46"/>
      <c r="J230" s="12" t="s">
        <v>5679</v>
      </c>
      <c r="K230" s="13" t="s">
        <v>7001</v>
      </c>
      <c r="L230" s="99" t="str">
        <f t="shared" si="12"/>
        <v>W3209.6</v>
      </c>
      <c r="M230" s="13" t="s">
        <v>17</v>
      </c>
      <c r="N230" s="13"/>
      <c r="O230" s="13"/>
      <c r="P230" s="47"/>
      <c r="Q230" s="45" t="s">
        <v>3672</v>
      </c>
      <c r="R230" s="45" t="s">
        <v>5596</v>
      </c>
      <c r="S230" s="48"/>
      <c r="T230" s="49" t="str">
        <f t="shared" si="11"/>
        <v>[W3209.6]</v>
      </c>
      <c r="U230" s="12" t="str">
        <f t="shared" si="10"/>
        <v xml:space="preserve"> 가스켓 용접#2 X3축(SD206) FLS가 감지되었습니다.</v>
      </c>
      <c r="V230" s="49" t="str">
        <f t="shared" si="13"/>
        <v>[W3209.6] 가스켓 용접#2 X3축(SD206) FLS가 감지되었습니다.</v>
      </c>
    </row>
    <row r="231" spans="1:22" s="49" customFormat="1" ht="14.15" customHeight="1">
      <c r="A231" s="43" t="s">
        <v>6675</v>
      </c>
      <c r="B231" s="44" t="s">
        <v>6635</v>
      </c>
      <c r="C231" s="32"/>
      <c r="D231" s="10" t="s">
        <v>29</v>
      </c>
      <c r="E231" s="11"/>
      <c r="F231" s="11" t="s">
        <v>18</v>
      </c>
      <c r="G231" s="13"/>
      <c r="H231" s="45" t="s">
        <v>16</v>
      </c>
      <c r="I231" s="46"/>
      <c r="J231" s="12" t="s">
        <v>5680</v>
      </c>
      <c r="K231" s="13" t="s">
        <v>7002</v>
      </c>
      <c r="L231" s="99" t="str">
        <f t="shared" si="12"/>
        <v>W3209.7</v>
      </c>
      <c r="M231" s="13" t="s">
        <v>17</v>
      </c>
      <c r="N231" s="13"/>
      <c r="O231" s="13"/>
      <c r="P231" s="47"/>
      <c r="Q231" s="45" t="s">
        <v>3672</v>
      </c>
      <c r="R231" s="45" t="s">
        <v>5596</v>
      </c>
      <c r="S231" s="48"/>
      <c r="T231" s="49" t="str">
        <f t="shared" si="11"/>
        <v>[W3209.7]</v>
      </c>
      <c r="U231" s="12" t="str">
        <f t="shared" si="10"/>
        <v xml:space="preserve"> 가스켓 용접#2 X3축(SD206) RLS가 감지되었습니다.</v>
      </c>
      <c r="V231" s="49" t="str">
        <f t="shared" si="13"/>
        <v>[W3209.7] 가스켓 용접#2 X3축(SD206) RLS가 감지되었습니다.</v>
      </c>
    </row>
    <row r="232" spans="1:22" s="49" customFormat="1" ht="14.15" customHeight="1">
      <c r="A232" s="43" t="s">
        <v>6675</v>
      </c>
      <c r="B232" s="44" t="s">
        <v>6635</v>
      </c>
      <c r="C232" s="32"/>
      <c r="D232" s="10" t="s">
        <v>29</v>
      </c>
      <c r="E232" s="11"/>
      <c r="F232" s="11" t="s">
        <v>18</v>
      </c>
      <c r="G232" s="13"/>
      <c r="H232" s="45" t="s">
        <v>16</v>
      </c>
      <c r="I232" s="46"/>
      <c r="J232" s="12" t="s">
        <v>5681</v>
      </c>
      <c r="K232" s="13" t="s">
        <v>7003</v>
      </c>
      <c r="L232" s="99" t="str">
        <f t="shared" si="12"/>
        <v>W3209.8</v>
      </c>
      <c r="M232" s="13" t="s">
        <v>17</v>
      </c>
      <c r="N232" s="13"/>
      <c r="O232" s="13"/>
      <c r="P232" s="47"/>
      <c r="Q232" s="45" t="s">
        <v>3672</v>
      </c>
      <c r="R232" s="45" t="s">
        <v>5596</v>
      </c>
      <c r="S232" s="48"/>
      <c r="T232" s="49" t="str">
        <f t="shared" si="11"/>
        <v>[W3209.8]</v>
      </c>
      <c r="U232" s="12" t="str">
        <f t="shared" si="10"/>
        <v xml:space="preserve"> 가스켓 용접#2 X3축(SD206) Stop 명령이 On된 상태에서 기동을 시도했습니다.</v>
      </c>
      <c r="V232" s="49" t="str">
        <f t="shared" si="13"/>
        <v>[W3209.8] 가스켓 용접#2 X3축(SD206) Stop 명령이 On된 상태에서 기동을 시도했습니다.</v>
      </c>
    </row>
    <row r="233" spans="1:22" s="49" customFormat="1" ht="14.15" customHeight="1">
      <c r="A233" s="43" t="s">
        <v>6675</v>
      </c>
      <c r="B233" s="44" t="s">
        <v>6635</v>
      </c>
      <c r="C233" s="32"/>
      <c r="D233" s="10" t="s">
        <v>29</v>
      </c>
      <c r="E233" s="11"/>
      <c r="F233" s="11" t="s">
        <v>18</v>
      </c>
      <c r="G233" s="13"/>
      <c r="H233" s="45" t="s">
        <v>16</v>
      </c>
      <c r="I233" s="46"/>
      <c r="J233" s="12" t="s">
        <v>5682</v>
      </c>
      <c r="K233" s="13" t="s">
        <v>7004</v>
      </c>
      <c r="L233" s="99" t="str">
        <f t="shared" si="12"/>
        <v>W3209.9</v>
      </c>
      <c r="M233" s="13" t="s">
        <v>17</v>
      </c>
      <c r="N233" s="13"/>
      <c r="O233" s="13"/>
      <c r="P233" s="47"/>
      <c r="Q233" s="45" t="s">
        <v>3672</v>
      </c>
      <c r="R233" s="45" t="s">
        <v>5596</v>
      </c>
      <c r="S233" s="48"/>
      <c r="T233" s="49" t="str">
        <f t="shared" si="11"/>
        <v>[W3209.9]</v>
      </c>
      <c r="U233" s="12" t="str">
        <f t="shared" ref="U233:U267" si="14">RIGHT(J233,LEN(J233)-7)</f>
        <v xml:space="preserve"> 가스켓 용접#2 X3축(SD206) 가동 전원이 Off 되었습니다.</v>
      </c>
      <c r="V233" s="49" t="str">
        <f t="shared" si="13"/>
        <v>[W3209.9] 가스켓 용접#2 X3축(SD206) 가동 전원이 Off 되었습니다.</v>
      </c>
    </row>
    <row r="234" spans="1:22" s="49" customFormat="1" ht="14.15" customHeight="1">
      <c r="A234" s="43" t="s">
        <v>6675</v>
      </c>
      <c r="B234" s="44" t="s">
        <v>6635</v>
      </c>
      <c r="C234" s="32"/>
      <c r="D234" s="10" t="s">
        <v>29</v>
      </c>
      <c r="E234" s="11"/>
      <c r="F234" s="11" t="s">
        <v>18</v>
      </c>
      <c r="G234" s="13"/>
      <c r="H234" s="45" t="s">
        <v>16</v>
      </c>
      <c r="I234" s="46"/>
      <c r="J234" s="12" t="s">
        <v>5683</v>
      </c>
      <c r="K234" s="13" t="s">
        <v>7005</v>
      </c>
      <c r="L234" s="99" t="str">
        <f t="shared" si="12"/>
        <v>W3209.A</v>
      </c>
      <c r="M234" s="13" t="s">
        <v>17</v>
      </c>
      <c r="N234" s="13"/>
      <c r="O234" s="13"/>
      <c r="P234" s="47"/>
      <c r="Q234" s="45" t="s">
        <v>3672</v>
      </c>
      <c r="R234" s="45" t="s">
        <v>5596</v>
      </c>
      <c r="S234" s="48"/>
      <c r="T234" s="49" t="str">
        <f t="shared" si="11"/>
        <v>[W3209.A]</v>
      </c>
      <c r="U234" s="12" t="str">
        <f t="shared" si="14"/>
        <v xml:space="preserve"> 가스켓 용접#2 X3축(SD206) 엔코더 이상이 검출되었습니다.</v>
      </c>
      <c r="V234" s="49" t="str">
        <f t="shared" si="13"/>
        <v>[W3209.A] 가스켓 용접#2 X3축(SD206) 엔코더 이상이 검출되었습니다.</v>
      </c>
    </row>
    <row r="235" spans="1:22" s="49" customFormat="1" ht="14.15" customHeight="1">
      <c r="A235" s="43" t="s">
        <v>6675</v>
      </c>
      <c r="B235" s="44" t="s">
        <v>6635</v>
      </c>
      <c r="C235" s="32"/>
      <c r="D235" s="10" t="s">
        <v>29</v>
      </c>
      <c r="E235" s="11"/>
      <c r="F235" s="11" t="s">
        <v>18</v>
      </c>
      <c r="G235" s="13"/>
      <c r="H235" s="45" t="s">
        <v>16</v>
      </c>
      <c r="I235" s="46"/>
      <c r="J235" s="12" t="s">
        <v>5684</v>
      </c>
      <c r="K235" s="13" t="s">
        <v>7006</v>
      </c>
      <c r="L235" s="99" t="str">
        <f t="shared" si="12"/>
        <v>W3209.B</v>
      </c>
      <c r="M235" s="13" t="s">
        <v>17</v>
      </c>
      <c r="N235" s="13"/>
      <c r="O235" s="13"/>
      <c r="P235" s="47"/>
      <c r="Q235" s="45" t="s">
        <v>3672</v>
      </c>
      <c r="R235" s="45" t="s">
        <v>5596</v>
      </c>
      <c r="S235" s="48"/>
      <c r="T235" s="49" t="str">
        <f t="shared" si="11"/>
        <v>[W3209.B]</v>
      </c>
      <c r="U235" s="12" t="str">
        <f t="shared" si="14"/>
        <v xml:space="preserve"> 가스켓 용접#2 X3축(SD206) 과전류가 검출되었습니다.</v>
      </c>
      <c r="V235" s="49" t="str">
        <f t="shared" si="13"/>
        <v>[W3209.B] 가스켓 용접#2 X3축(SD206) 과전류가 검출되었습니다.</v>
      </c>
    </row>
    <row r="236" spans="1:22" s="49" customFormat="1" ht="14.15" customHeight="1">
      <c r="A236" s="43" t="s">
        <v>6675</v>
      </c>
      <c r="B236" s="44" t="s">
        <v>6635</v>
      </c>
      <c r="C236" s="32"/>
      <c r="D236" s="10" t="s">
        <v>29</v>
      </c>
      <c r="E236" s="11"/>
      <c r="F236" s="11" t="s">
        <v>18</v>
      </c>
      <c r="G236" s="13"/>
      <c r="H236" s="45" t="s">
        <v>16</v>
      </c>
      <c r="I236" s="46"/>
      <c r="J236" s="12" t="s">
        <v>5685</v>
      </c>
      <c r="K236" s="13" t="s">
        <v>7007</v>
      </c>
      <c r="L236" s="99" t="str">
        <f t="shared" si="12"/>
        <v>W3209.C</v>
      </c>
      <c r="M236" s="13" t="s">
        <v>17</v>
      </c>
      <c r="N236" s="13"/>
      <c r="O236" s="13"/>
      <c r="P236" s="47"/>
      <c r="Q236" s="45" t="s">
        <v>3672</v>
      </c>
      <c r="R236" s="45" t="s">
        <v>5596</v>
      </c>
      <c r="S236" s="48"/>
      <c r="T236" s="49" t="str">
        <f t="shared" si="11"/>
        <v>[W3209.C]</v>
      </c>
      <c r="U236" s="12" t="str">
        <f t="shared" si="14"/>
        <v xml:space="preserve"> 가스켓 용접#2 X3축(SD206) 과부하가 검출되었습니다.</v>
      </c>
      <c r="V236" s="49" t="str">
        <f t="shared" si="13"/>
        <v>[W3209.C] 가스켓 용접#2 X3축(SD206) 과부하가 검출되었습니다.</v>
      </c>
    </row>
    <row r="237" spans="1:22" s="49" customFormat="1" ht="14.15" customHeight="1">
      <c r="A237" s="43" t="s">
        <v>6675</v>
      </c>
      <c r="B237" s="44" t="s">
        <v>6635</v>
      </c>
      <c r="C237" s="32"/>
      <c r="D237" s="10" t="s">
        <v>29</v>
      </c>
      <c r="E237" s="11"/>
      <c r="F237" s="11" t="s">
        <v>18</v>
      </c>
      <c r="G237" s="13"/>
      <c r="H237" s="45" t="s">
        <v>16</v>
      </c>
      <c r="I237" s="46"/>
      <c r="J237" s="12" t="s">
        <v>5686</v>
      </c>
      <c r="K237" s="13" t="s">
        <v>7008</v>
      </c>
      <c r="L237" s="99" t="str">
        <f t="shared" si="12"/>
        <v>W3209.D</v>
      </c>
      <c r="M237" s="13" t="s">
        <v>17</v>
      </c>
      <c r="N237" s="13"/>
      <c r="O237" s="13"/>
      <c r="P237" s="47"/>
      <c r="Q237" s="45" t="s">
        <v>3672</v>
      </c>
      <c r="R237" s="45" t="s">
        <v>5596</v>
      </c>
      <c r="S237" s="48"/>
      <c r="T237" s="49" t="str">
        <f t="shared" si="11"/>
        <v>[W3209.D]</v>
      </c>
      <c r="U237" s="12" t="str">
        <f t="shared" si="14"/>
        <v xml:space="preserve"> 가스켓 용접#2 X3축(SD206)  </v>
      </c>
      <c r="V237" s="49" t="str">
        <f t="shared" si="13"/>
        <v xml:space="preserve">[W3209.D] 가스켓 용접#2 X3축(SD206)  </v>
      </c>
    </row>
    <row r="238" spans="1:22" s="49" customFormat="1" ht="14.15" customHeight="1">
      <c r="A238" s="43" t="s">
        <v>6675</v>
      </c>
      <c r="B238" s="44" t="s">
        <v>6635</v>
      </c>
      <c r="C238" s="32"/>
      <c r="D238" s="10" t="s">
        <v>29</v>
      </c>
      <c r="E238" s="11"/>
      <c r="F238" s="11" t="s">
        <v>18</v>
      </c>
      <c r="G238" s="13"/>
      <c r="H238" s="45" t="s">
        <v>16</v>
      </c>
      <c r="I238" s="46"/>
      <c r="J238" s="12" t="s">
        <v>5687</v>
      </c>
      <c r="K238" s="13" t="s">
        <v>7009</v>
      </c>
      <c r="L238" s="99" t="str">
        <f t="shared" si="12"/>
        <v>W3209.E</v>
      </c>
      <c r="M238" s="13" t="s">
        <v>17</v>
      </c>
      <c r="N238" s="13"/>
      <c r="O238" s="13"/>
      <c r="P238" s="47"/>
      <c r="Q238" s="45" t="s">
        <v>3672</v>
      </c>
      <c r="R238" s="45" t="s">
        <v>5596</v>
      </c>
      <c r="S238" s="48"/>
      <c r="T238" s="49" t="str">
        <f t="shared" si="11"/>
        <v>[W3209.E]</v>
      </c>
      <c r="U238" s="12" t="str">
        <f t="shared" si="14"/>
        <v xml:space="preserve"> 가스켓 용접#2 X3축(SD206) 에러가 발생했습니다.</v>
      </c>
      <c r="V238" s="49" t="str">
        <f t="shared" si="13"/>
        <v>[W3209.E] 가스켓 용접#2 X3축(SD206) 에러가 발생했습니다.</v>
      </c>
    </row>
    <row r="239" spans="1:22" s="49" customFormat="1" ht="14.15" customHeight="1">
      <c r="A239" s="43" t="s">
        <v>6675</v>
      </c>
      <c r="B239" s="44" t="s">
        <v>6635</v>
      </c>
      <c r="C239" s="32"/>
      <c r="D239" s="10" t="s">
        <v>29</v>
      </c>
      <c r="E239" s="11"/>
      <c r="F239" s="11" t="s">
        <v>18</v>
      </c>
      <c r="G239" s="13"/>
      <c r="H239" s="45" t="s">
        <v>16</v>
      </c>
      <c r="I239" s="46"/>
      <c r="J239" s="12" t="s">
        <v>5688</v>
      </c>
      <c r="K239" s="13" t="s">
        <v>7010</v>
      </c>
      <c r="L239" s="99" t="str">
        <f t="shared" si="12"/>
        <v>W3209.F</v>
      </c>
      <c r="M239" s="13" t="s">
        <v>17</v>
      </c>
      <c r="N239" s="13"/>
      <c r="O239" s="13"/>
      <c r="P239" s="47"/>
      <c r="Q239" s="45" t="s">
        <v>3672</v>
      </c>
      <c r="R239" s="45" t="s">
        <v>5596</v>
      </c>
      <c r="S239" s="48"/>
      <c r="T239" s="49" t="str">
        <f t="shared" si="11"/>
        <v>[W3209.F]</v>
      </c>
      <c r="U239" s="12" t="str">
        <f t="shared" si="14"/>
        <v xml:space="preserve"> 사이드브라켓 용접#1축(SD207) 운전중에 Ready가 Off 되었습니다.</v>
      </c>
      <c r="V239" s="49" t="str">
        <f t="shared" si="13"/>
        <v>[W3209.F] 사이드브라켓 용접#1축(SD207) 운전중에 Ready가 Off 되었습니다.</v>
      </c>
    </row>
    <row r="240" spans="1:22" s="49" customFormat="1" ht="14.15" customHeight="1">
      <c r="A240" s="43" t="s">
        <v>6675</v>
      </c>
      <c r="B240" s="44" t="s">
        <v>6635</v>
      </c>
      <c r="C240" s="32"/>
      <c r="D240" s="10" t="s">
        <v>29</v>
      </c>
      <c r="E240" s="11"/>
      <c r="F240" s="11" t="s">
        <v>18</v>
      </c>
      <c r="G240" s="13"/>
      <c r="H240" s="45" t="s">
        <v>16</v>
      </c>
      <c r="I240" s="46"/>
      <c r="J240" s="12" t="s">
        <v>5689</v>
      </c>
      <c r="K240" s="13" t="s">
        <v>7011</v>
      </c>
      <c r="L240" s="99" t="str">
        <f t="shared" si="12"/>
        <v>W320A.0</v>
      </c>
      <c r="M240" s="13" t="s">
        <v>17</v>
      </c>
      <c r="N240" s="13"/>
      <c r="O240" s="13"/>
      <c r="P240" s="47"/>
      <c r="Q240" s="45" t="s">
        <v>3672</v>
      </c>
      <c r="R240" s="45" t="s">
        <v>5596</v>
      </c>
      <c r="S240" s="48"/>
      <c r="T240" s="49" t="str">
        <f t="shared" si="11"/>
        <v>[W320A.0]</v>
      </c>
      <c r="U240" s="12" t="str">
        <f t="shared" si="14"/>
        <v xml:space="preserve"> 사이드브라켓 용접#1축(SD207) FLS가 감지되었습니다.</v>
      </c>
      <c r="V240" s="49" t="str">
        <f t="shared" si="13"/>
        <v>[W320A.0] 사이드브라켓 용접#1축(SD207) FLS가 감지되었습니다.</v>
      </c>
    </row>
    <row r="241" spans="1:22" s="49" customFormat="1" ht="14.15" customHeight="1">
      <c r="A241" s="43" t="s">
        <v>6675</v>
      </c>
      <c r="B241" s="44" t="s">
        <v>6635</v>
      </c>
      <c r="C241" s="32"/>
      <c r="D241" s="10" t="s">
        <v>29</v>
      </c>
      <c r="E241" s="11"/>
      <c r="F241" s="11" t="s">
        <v>18</v>
      </c>
      <c r="G241" s="13"/>
      <c r="H241" s="45" t="s">
        <v>16</v>
      </c>
      <c r="I241" s="46"/>
      <c r="J241" s="12" t="s">
        <v>5690</v>
      </c>
      <c r="K241" s="13" t="s">
        <v>7012</v>
      </c>
      <c r="L241" s="99" t="str">
        <f t="shared" si="12"/>
        <v>W320A.1</v>
      </c>
      <c r="M241" s="13" t="s">
        <v>17</v>
      </c>
      <c r="N241" s="13"/>
      <c r="O241" s="13"/>
      <c r="P241" s="47"/>
      <c r="Q241" s="45" t="s">
        <v>3672</v>
      </c>
      <c r="R241" s="45" t="s">
        <v>5596</v>
      </c>
      <c r="S241" s="48"/>
      <c r="T241" s="49" t="str">
        <f t="shared" si="11"/>
        <v>[W320A.1]</v>
      </c>
      <c r="U241" s="12" t="str">
        <f t="shared" si="14"/>
        <v xml:space="preserve"> 사이드브라켓 용접#1축(SD207) RLS가 감지되었습니다.</v>
      </c>
      <c r="V241" s="49" t="str">
        <f t="shared" si="13"/>
        <v>[W320A.1] 사이드브라켓 용접#1축(SD207) RLS가 감지되었습니다.</v>
      </c>
    </row>
    <row r="242" spans="1:22" s="49" customFormat="1" ht="14.15" customHeight="1">
      <c r="A242" s="43" t="s">
        <v>6675</v>
      </c>
      <c r="B242" s="44" t="s">
        <v>6635</v>
      </c>
      <c r="C242" s="32"/>
      <c r="D242" s="10" t="s">
        <v>29</v>
      </c>
      <c r="E242" s="11"/>
      <c r="F242" s="11" t="s">
        <v>18</v>
      </c>
      <c r="G242" s="13"/>
      <c r="H242" s="45" t="s">
        <v>16</v>
      </c>
      <c r="I242" s="46"/>
      <c r="J242" s="12" t="s">
        <v>5691</v>
      </c>
      <c r="K242" s="13" t="s">
        <v>7013</v>
      </c>
      <c r="L242" s="99" t="str">
        <f t="shared" si="12"/>
        <v>W320A.2</v>
      </c>
      <c r="M242" s="13" t="s">
        <v>17</v>
      </c>
      <c r="N242" s="13"/>
      <c r="O242" s="13"/>
      <c r="P242" s="47"/>
      <c r="Q242" s="45" t="s">
        <v>3672</v>
      </c>
      <c r="R242" s="45" t="s">
        <v>5596</v>
      </c>
      <c r="S242" s="48"/>
      <c r="T242" s="49" t="str">
        <f t="shared" si="11"/>
        <v>[W320A.2]</v>
      </c>
      <c r="U242" s="12" t="str">
        <f t="shared" si="14"/>
        <v xml:space="preserve"> 사이드브라켓 용접#1축(SD207) Stop 명령이 On된 상태에서 기동을 시도했습니다.</v>
      </c>
      <c r="V242" s="49" t="str">
        <f t="shared" si="13"/>
        <v>[W320A.2] 사이드브라켓 용접#1축(SD207) Stop 명령이 On된 상태에서 기동을 시도했습니다.</v>
      </c>
    </row>
    <row r="243" spans="1:22" s="49" customFormat="1" ht="14.15" customHeight="1">
      <c r="A243" s="43" t="s">
        <v>6675</v>
      </c>
      <c r="B243" s="44" t="s">
        <v>6635</v>
      </c>
      <c r="C243" s="32"/>
      <c r="D243" s="10" t="s">
        <v>29</v>
      </c>
      <c r="E243" s="11"/>
      <c r="F243" s="11" t="s">
        <v>18</v>
      </c>
      <c r="G243" s="13"/>
      <c r="H243" s="45" t="s">
        <v>16</v>
      </c>
      <c r="I243" s="46"/>
      <c r="J243" s="12" t="s">
        <v>5692</v>
      </c>
      <c r="K243" s="13" t="s">
        <v>7014</v>
      </c>
      <c r="L243" s="99" t="str">
        <f t="shared" si="12"/>
        <v>W320A.3</v>
      </c>
      <c r="M243" s="13" t="s">
        <v>17</v>
      </c>
      <c r="N243" s="13"/>
      <c r="O243" s="13"/>
      <c r="P243" s="47"/>
      <c r="Q243" s="45" t="s">
        <v>3672</v>
      </c>
      <c r="R243" s="45" t="s">
        <v>5596</v>
      </c>
      <c r="S243" s="48"/>
      <c r="T243" s="49" t="str">
        <f t="shared" si="11"/>
        <v>[W320A.3]</v>
      </c>
      <c r="U243" s="12" t="str">
        <f t="shared" si="14"/>
        <v xml:space="preserve"> 사이드브라켓 용접#1축(SD207) 가동 전원이 Off 되었습니다.</v>
      </c>
      <c r="V243" s="49" t="str">
        <f t="shared" si="13"/>
        <v>[W320A.3] 사이드브라켓 용접#1축(SD207) 가동 전원이 Off 되었습니다.</v>
      </c>
    </row>
    <row r="244" spans="1:22" s="49" customFormat="1" ht="14.15" customHeight="1">
      <c r="A244" s="43" t="s">
        <v>6675</v>
      </c>
      <c r="B244" s="44" t="s">
        <v>6635</v>
      </c>
      <c r="C244" s="32"/>
      <c r="D244" s="10" t="s">
        <v>29</v>
      </c>
      <c r="E244" s="11"/>
      <c r="F244" s="11" t="s">
        <v>18</v>
      </c>
      <c r="G244" s="13"/>
      <c r="H244" s="45" t="s">
        <v>16</v>
      </c>
      <c r="I244" s="46"/>
      <c r="J244" s="12" t="s">
        <v>5693</v>
      </c>
      <c r="K244" s="13" t="s">
        <v>7015</v>
      </c>
      <c r="L244" s="99" t="str">
        <f t="shared" si="12"/>
        <v>W320A.4</v>
      </c>
      <c r="M244" s="13" t="s">
        <v>17</v>
      </c>
      <c r="N244" s="13"/>
      <c r="O244" s="13"/>
      <c r="P244" s="47"/>
      <c r="Q244" s="45" t="s">
        <v>3672</v>
      </c>
      <c r="R244" s="45" t="s">
        <v>5596</v>
      </c>
      <c r="S244" s="48"/>
      <c r="T244" s="49" t="str">
        <f t="shared" si="11"/>
        <v>[W320A.4]</v>
      </c>
      <c r="U244" s="12" t="str">
        <f t="shared" si="14"/>
        <v xml:space="preserve"> 사이드브라켓 용접#1축(SD207) 엔코더 이상이 검출되었습니다.</v>
      </c>
      <c r="V244" s="49" t="str">
        <f t="shared" si="13"/>
        <v>[W320A.4] 사이드브라켓 용접#1축(SD207) 엔코더 이상이 검출되었습니다.</v>
      </c>
    </row>
    <row r="245" spans="1:22" s="49" customFormat="1" ht="14.15" customHeight="1">
      <c r="A245" s="43" t="s">
        <v>6675</v>
      </c>
      <c r="B245" s="44" t="s">
        <v>6635</v>
      </c>
      <c r="C245" s="32"/>
      <c r="D245" s="10" t="s">
        <v>29</v>
      </c>
      <c r="E245" s="11"/>
      <c r="F245" s="11" t="s">
        <v>18</v>
      </c>
      <c r="G245" s="13"/>
      <c r="H245" s="45" t="s">
        <v>16</v>
      </c>
      <c r="I245" s="46"/>
      <c r="J245" s="12" t="s">
        <v>5694</v>
      </c>
      <c r="K245" s="13" t="s">
        <v>7016</v>
      </c>
      <c r="L245" s="99" t="str">
        <f t="shared" si="12"/>
        <v>W320A.5</v>
      </c>
      <c r="M245" s="13" t="s">
        <v>17</v>
      </c>
      <c r="N245" s="13"/>
      <c r="O245" s="13"/>
      <c r="P245" s="47"/>
      <c r="Q245" s="45" t="s">
        <v>3672</v>
      </c>
      <c r="R245" s="45" t="s">
        <v>5596</v>
      </c>
      <c r="S245" s="48"/>
      <c r="T245" s="49" t="str">
        <f t="shared" si="11"/>
        <v>[W320A.5]</v>
      </c>
      <c r="U245" s="12" t="str">
        <f t="shared" si="14"/>
        <v xml:space="preserve"> 사이드브라켓 용접#1축(SD207) 과전류가 검출되었습니다.</v>
      </c>
      <c r="V245" s="49" t="str">
        <f t="shared" si="13"/>
        <v>[W320A.5] 사이드브라켓 용접#1축(SD207) 과전류가 검출되었습니다.</v>
      </c>
    </row>
    <row r="246" spans="1:22" s="49" customFormat="1" ht="14.15" customHeight="1">
      <c r="A246" s="43" t="s">
        <v>6675</v>
      </c>
      <c r="B246" s="44" t="s">
        <v>6635</v>
      </c>
      <c r="C246" s="32"/>
      <c r="D246" s="10" t="s">
        <v>29</v>
      </c>
      <c r="E246" s="11"/>
      <c r="F246" s="11" t="s">
        <v>18</v>
      </c>
      <c r="G246" s="13"/>
      <c r="H246" s="45" t="s">
        <v>16</v>
      </c>
      <c r="I246" s="46"/>
      <c r="J246" s="12" t="s">
        <v>5695</v>
      </c>
      <c r="K246" s="13" t="s">
        <v>7017</v>
      </c>
      <c r="L246" s="99" t="str">
        <f t="shared" si="12"/>
        <v>W320A.6</v>
      </c>
      <c r="M246" s="13" t="s">
        <v>17</v>
      </c>
      <c r="N246" s="13"/>
      <c r="O246" s="13"/>
      <c r="P246" s="47"/>
      <c r="Q246" s="45" t="s">
        <v>3672</v>
      </c>
      <c r="R246" s="45" t="s">
        <v>5596</v>
      </c>
      <c r="S246" s="48"/>
      <c r="T246" s="49" t="str">
        <f t="shared" si="11"/>
        <v>[W320A.6]</v>
      </c>
      <c r="U246" s="12" t="str">
        <f t="shared" si="14"/>
        <v xml:space="preserve"> 사이드브라켓 용접#1축(SD207) 과부하가 검출되었습니다.</v>
      </c>
      <c r="V246" s="49" t="str">
        <f t="shared" si="13"/>
        <v>[W320A.6] 사이드브라켓 용접#1축(SD207) 과부하가 검출되었습니다.</v>
      </c>
    </row>
    <row r="247" spans="1:22" s="49" customFormat="1" ht="14.15" customHeight="1">
      <c r="A247" s="43" t="s">
        <v>6675</v>
      </c>
      <c r="B247" s="44" t="s">
        <v>6635</v>
      </c>
      <c r="C247" s="32"/>
      <c r="D247" s="10" t="s">
        <v>29</v>
      </c>
      <c r="E247" s="11"/>
      <c r="F247" s="11" t="s">
        <v>18</v>
      </c>
      <c r="G247" s="13"/>
      <c r="H247" s="45" t="s">
        <v>16</v>
      </c>
      <c r="I247" s="46"/>
      <c r="J247" s="12" t="s">
        <v>5696</v>
      </c>
      <c r="K247" s="13" t="s">
        <v>7018</v>
      </c>
      <c r="L247" s="99" t="str">
        <f t="shared" si="12"/>
        <v>W320A.7</v>
      </c>
      <c r="M247" s="13" t="s">
        <v>17</v>
      </c>
      <c r="N247" s="13"/>
      <c r="O247" s="13"/>
      <c r="P247" s="47"/>
      <c r="Q247" s="45" t="s">
        <v>3672</v>
      </c>
      <c r="R247" s="45" t="s">
        <v>5596</v>
      </c>
      <c r="S247" s="48"/>
      <c r="T247" s="49" t="str">
        <f t="shared" si="11"/>
        <v>[W320A.7]</v>
      </c>
      <c r="U247" s="12" t="str">
        <f t="shared" si="14"/>
        <v xml:space="preserve"> 사이드브라켓 용접#1축(SD207)  </v>
      </c>
      <c r="V247" s="49" t="str">
        <f t="shared" si="13"/>
        <v xml:space="preserve">[W320A.7] 사이드브라켓 용접#1축(SD207)  </v>
      </c>
    </row>
    <row r="248" spans="1:22" s="49" customFormat="1" ht="14.15" customHeight="1">
      <c r="A248" s="43" t="s">
        <v>6675</v>
      </c>
      <c r="B248" s="44" t="s">
        <v>6635</v>
      </c>
      <c r="C248" s="32"/>
      <c r="D248" s="10" t="s">
        <v>29</v>
      </c>
      <c r="E248" s="11"/>
      <c r="F248" s="11" t="s">
        <v>18</v>
      </c>
      <c r="G248" s="13"/>
      <c r="H248" s="45" t="s">
        <v>16</v>
      </c>
      <c r="I248" s="46"/>
      <c r="J248" s="12" t="s">
        <v>5697</v>
      </c>
      <c r="K248" s="13" t="s">
        <v>7019</v>
      </c>
      <c r="L248" s="99" t="str">
        <f t="shared" si="12"/>
        <v>W320A.8</v>
      </c>
      <c r="M248" s="13" t="s">
        <v>17</v>
      </c>
      <c r="N248" s="13"/>
      <c r="O248" s="13"/>
      <c r="P248" s="47"/>
      <c r="Q248" s="45" t="s">
        <v>3672</v>
      </c>
      <c r="R248" s="45" t="s">
        <v>5596</v>
      </c>
      <c r="S248" s="48"/>
      <c r="T248" s="49" t="str">
        <f t="shared" si="11"/>
        <v>[W320A.8]</v>
      </c>
      <c r="U248" s="12" t="str">
        <f t="shared" si="14"/>
        <v xml:space="preserve"> 사이드브라켓 용접#1축(SD207) 에러가 발생했습니다.</v>
      </c>
      <c r="V248" s="49" t="str">
        <f t="shared" si="13"/>
        <v>[W320A.8] 사이드브라켓 용접#1축(SD207) 에러가 발생했습니다.</v>
      </c>
    </row>
    <row r="249" spans="1:22" s="49" customFormat="1" ht="14.15" customHeight="1">
      <c r="A249" s="43" t="s">
        <v>6675</v>
      </c>
      <c r="B249" s="44" t="s">
        <v>6635</v>
      </c>
      <c r="C249" s="32"/>
      <c r="D249" s="10" t="s">
        <v>29</v>
      </c>
      <c r="E249" s="11"/>
      <c r="F249" s="11" t="s">
        <v>18</v>
      </c>
      <c r="G249" s="13"/>
      <c r="H249" s="45" t="s">
        <v>16</v>
      </c>
      <c r="I249" s="46"/>
      <c r="J249" s="12" t="s">
        <v>5698</v>
      </c>
      <c r="K249" s="13" t="s">
        <v>7020</v>
      </c>
      <c r="L249" s="99" t="str">
        <f t="shared" si="12"/>
        <v>W320A.9</v>
      </c>
      <c r="M249" s="13" t="s">
        <v>17</v>
      </c>
      <c r="N249" s="13"/>
      <c r="O249" s="13"/>
      <c r="P249" s="47"/>
      <c r="Q249" s="45" t="s">
        <v>3672</v>
      </c>
      <c r="R249" s="45" t="s">
        <v>5596</v>
      </c>
      <c r="S249" s="48"/>
      <c r="T249" s="49" t="str">
        <f t="shared" si="11"/>
        <v>[W320A.9]</v>
      </c>
      <c r="U249" s="12" t="str">
        <f t="shared" si="14"/>
        <v xml:space="preserve"> 사이드브라켓 용접#2축(SD208) 운전중에 Ready가 Off 되었습니다.</v>
      </c>
      <c r="V249" s="49" t="str">
        <f t="shared" si="13"/>
        <v>[W320A.9] 사이드브라켓 용접#2축(SD208) 운전중에 Ready가 Off 되었습니다.</v>
      </c>
    </row>
    <row r="250" spans="1:22" s="49" customFormat="1" ht="14.15" customHeight="1">
      <c r="A250" s="43" t="s">
        <v>6675</v>
      </c>
      <c r="B250" s="44" t="s">
        <v>6635</v>
      </c>
      <c r="C250" s="32"/>
      <c r="D250" s="10" t="s">
        <v>29</v>
      </c>
      <c r="E250" s="11"/>
      <c r="F250" s="11" t="s">
        <v>18</v>
      </c>
      <c r="G250" s="13"/>
      <c r="H250" s="45" t="s">
        <v>16</v>
      </c>
      <c r="I250" s="46"/>
      <c r="J250" s="12" t="s">
        <v>5699</v>
      </c>
      <c r="K250" s="13" t="s">
        <v>7021</v>
      </c>
      <c r="L250" s="99" t="str">
        <f t="shared" si="12"/>
        <v>W320A.A</v>
      </c>
      <c r="M250" s="13" t="s">
        <v>17</v>
      </c>
      <c r="N250" s="13"/>
      <c r="O250" s="13"/>
      <c r="P250" s="47"/>
      <c r="Q250" s="45" t="s">
        <v>3672</v>
      </c>
      <c r="R250" s="45" t="s">
        <v>5596</v>
      </c>
      <c r="S250" s="48"/>
      <c r="T250" s="49" t="str">
        <f t="shared" si="11"/>
        <v>[W320A.A]</v>
      </c>
      <c r="U250" s="12" t="str">
        <f t="shared" si="14"/>
        <v xml:space="preserve"> 사이드브라켓 용접#2축(SD208) FLS가 감지되었습니다.</v>
      </c>
      <c r="V250" s="49" t="str">
        <f t="shared" si="13"/>
        <v>[W320A.A] 사이드브라켓 용접#2축(SD208) FLS가 감지되었습니다.</v>
      </c>
    </row>
    <row r="251" spans="1:22" s="49" customFormat="1" ht="14.15" customHeight="1">
      <c r="A251" s="43" t="s">
        <v>6675</v>
      </c>
      <c r="B251" s="44" t="s">
        <v>6635</v>
      </c>
      <c r="C251" s="32"/>
      <c r="D251" s="10" t="s">
        <v>29</v>
      </c>
      <c r="E251" s="11"/>
      <c r="F251" s="11" t="s">
        <v>18</v>
      </c>
      <c r="G251" s="13"/>
      <c r="H251" s="45" t="s">
        <v>16</v>
      </c>
      <c r="I251" s="46"/>
      <c r="J251" s="12" t="s">
        <v>5700</v>
      </c>
      <c r="K251" s="13" t="s">
        <v>7022</v>
      </c>
      <c r="L251" s="99" t="str">
        <f t="shared" si="12"/>
        <v>W320A.B</v>
      </c>
      <c r="M251" s="13" t="s">
        <v>17</v>
      </c>
      <c r="N251" s="13"/>
      <c r="O251" s="13"/>
      <c r="P251" s="47"/>
      <c r="Q251" s="45" t="s">
        <v>3672</v>
      </c>
      <c r="R251" s="45" t="s">
        <v>5596</v>
      </c>
      <c r="S251" s="48"/>
      <c r="T251" s="49" t="str">
        <f t="shared" si="11"/>
        <v>[W320A.B]</v>
      </c>
      <c r="U251" s="12" t="str">
        <f t="shared" si="14"/>
        <v xml:space="preserve"> 사이드브라켓 용접#2축(SD208) RLS가 감지되었습니다.</v>
      </c>
      <c r="V251" s="49" t="str">
        <f t="shared" si="13"/>
        <v>[W320A.B] 사이드브라켓 용접#2축(SD208) RLS가 감지되었습니다.</v>
      </c>
    </row>
    <row r="252" spans="1:22" s="49" customFormat="1" ht="14.15" customHeight="1">
      <c r="A252" s="43" t="s">
        <v>6675</v>
      </c>
      <c r="B252" s="44" t="s">
        <v>6635</v>
      </c>
      <c r="C252" s="32"/>
      <c r="D252" s="10" t="s">
        <v>29</v>
      </c>
      <c r="E252" s="11"/>
      <c r="F252" s="11" t="s">
        <v>18</v>
      </c>
      <c r="G252" s="13"/>
      <c r="H252" s="45" t="s">
        <v>16</v>
      </c>
      <c r="I252" s="46"/>
      <c r="J252" s="12" t="s">
        <v>5701</v>
      </c>
      <c r="K252" s="13" t="s">
        <v>7023</v>
      </c>
      <c r="L252" s="99" t="str">
        <f t="shared" si="12"/>
        <v>W320A.C</v>
      </c>
      <c r="M252" s="13" t="s">
        <v>17</v>
      </c>
      <c r="N252" s="13"/>
      <c r="O252" s="13"/>
      <c r="P252" s="47"/>
      <c r="Q252" s="45" t="s">
        <v>3672</v>
      </c>
      <c r="R252" s="45" t="s">
        <v>5596</v>
      </c>
      <c r="S252" s="48"/>
      <c r="T252" s="49" t="str">
        <f t="shared" si="11"/>
        <v>[W320A.C]</v>
      </c>
      <c r="U252" s="12" t="str">
        <f t="shared" si="14"/>
        <v xml:space="preserve"> 사이드브라켓 용접#2축(SD208) Stop 명령이 On된 상태에서 기동을 시도했습니다.</v>
      </c>
      <c r="V252" s="49" t="str">
        <f t="shared" si="13"/>
        <v>[W320A.C] 사이드브라켓 용접#2축(SD208) Stop 명령이 On된 상태에서 기동을 시도했습니다.</v>
      </c>
    </row>
    <row r="253" spans="1:22" s="49" customFormat="1" ht="14.15" customHeight="1">
      <c r="A253" s="43" t="s">
        <v>6675</v>
      </c>
      <c r="B253" s="44" t="s">
        <v>6635</v>
      </c>
      <c r="C253" s="32"/>
      <c r="D253" s="10" t="s">
        <v>29</v>
      </c>
      <c r="E253" s="11"/>
      <c r="F253" s="11" t="s">
        <v>18</v>
      </c>
      <c r="G253" s="13"/>
      <c r="H253" s="45" t="s">
        <v>16</v>
      </c>
      <c r="I253" s="46"/>
      <c r="J253" s="12" t="s">
        <v>5702</v>
      </c>
      <c r="K253" s="13" t="s">
        <v>7024</v>
      </c>
      <c r="L253" s="99" t="str">
        <f t="shared" si="12"/>
        <v>W320A.D</v>
      </c>
      <c r="M253" s="13" t="s">
        <v>17</v>
      </c>
      <c r="N253" s="13"/>
      <c r="O253" s="13"/>
      <c r="P253" s="47"/>
      <c r="Q253" s="45" t="s">
        <v>3672</v>
      </c>
      <c r="R253" s="45" t="s">
        <v>5596</v>
      </c>
      <c r="S253" s="48"/>
      <c r="T253" s="49" t="str">
        <f t="shared" si="11"/>
        <v>[W320A.D]</v>
      </c>
      <c r="U253" s="12" t="str">
        <f t="shared" si="14"/>
        <v xml:space="preserve"> 사이드브라켓 용접#2축(SD208) 가동 전원이 Off 되었습니다.</v>
      </c>
      <c r="V253" s="49" t="str">
        <f t="shared" si="13"/>
        <v>[W320A.D] 사이드브라켓 용접#2축(SD208) 가동 전원이 Off 되었습니다.</v>
      </c>
    </row>
    <row r="254" spans="1:22" s="49" customFormat="1" ht="14.15" customHeight="1">
      <c r="A254" s="43" t="s">
        <v>6675</v>
      </c>
      <c r="B254" s="44" t="s">
        <v>6635</v>
      </c>
      <c r="C254" s="32"/>
      <c r="D254" s="10" t="s">
        <v>29</v>
      </c>
      <c r="E254" s="11"/>
      <c r="F254" s="11" t="s">
        <v>18</v>
      </c>
      <c r="G254" s="13"/>
      <c r="H254" s="45" t="s">
        <v>16</v>
      </c>
      <c r="I254" s="46"/>
      <c r="J254" s="12" t="s">
        <v>5703</v>
      </c>
      <c r="K254" s="13" t="s">
        <v>7025</v>
      </c>
      <c r="L254" s="99" t="str">
        <f t="shared" si="12"/>
        <v>W320A.E</v>
      </c>
      <c r="M254" s="13" t="s">
        <v>17</v>
      </c>
      <c r="N254" s="13"/>
      <c r="O254" s="13"/>
      <c r="P254" s="47"/>
      <c r="Q254" s="45" t="s">
        <v>3672</v>
      </c>
      <c r="R254" s="45" t="s">
        <v>5596</v>
      </c>
      <c r="S254" s="48"/>
      <c r="T254" s="49" t="str">
        <f t="shared" si="11"/>
        <v>[W320A.E]</v>
      </c>
      <c r="U254" s="12" t="str">
        <f t="shared" si="14"/>
        <v xml:space="preserve"> 사이드브라켓 용접#2축(SD208) 엔코더 이상이 검출되었습니다.</v>
      </c>
      <c r="V254" s="49" t="str">
        <f t="shared" si="13"/>
        <v>[W320A.E] 사이드브라켓 용접#2축(SD208) 엔코더 이상이 검출되었습니다.</v>
      </c>
    </row>
    <row r="255" spans="1:22" s="49" customFormat="1" ht="14.15" customHeight="1">
      <c r="A255" s="43" t="s">
        <v>6675</v>
      </c>
      <c r="B255" s="44" t="s">
        <v>6635</v>
      </c>
      <c r="C255" s="32"/>
      <c r="D255" s="10" t="s">
        <v>29</v>
      </c>
      <c r="E255" s="11"/>
      <c r="F255" s="11" t="s">
        <v>18</v>
      </c>
      <c r="G255" s="13"/>
      <c r="H255" s="45" t="s">
        <v>16</v>
      </c>
      <c r="I255" s="46"/>
      <c r="J255" s="12" t="s">
        <v>5704</v>
      </c>
      <c r="K255" s="13" t="s">
        <v>7026</v>
      </c>
      <c r="L255" s="99" t="str">
        <f t="shared" si="12"/>
        <v>W320A.F</v>
      </c>
      <c r="M255" s="13" t="s">
        <v>17</v>
      </c>
      <c r="N255" s="13"/>
      <c r="O255" s="13"/>
      <c r="P255" s="47"/>
      <c r="Q255" s="45" t="s">
        <v>3672</v>
      </c>
      <c r="R255" s="45" t="s">
        <v>5596</v>
      </c>
      <c r="S255" s="48"/>
      <c r="T255" s="49" t="str">
        <f t="shared" si="11"/>
        <v>[W320A.F]</v>
      </c>
      <c r="U255" s="12" t="str">
        <f t="shared" si="14"/>
        <v xml:space="preserve"> 사이드브라켓 용접#2축(SD208) 과전류가 검출되었습니다.</v>
      </c>
      <c r="V255" s="49" t="str">
        <f t="shared" si="13"/>
        <v>[W320A.F] 사이드브라켓 용접#2축(SD208) 과전류가 검출되었습니다.</v>
      </c>
    </row>
    <row r="256" spans="1:22" s="49" customFormat="1" ht="14.15" customHeight="1">
      <c r="A256" s="43" t="s">
        <v>6675</v>
      </c>
      <c r="B256" s="44" t="s">
        <v>6635</v>
      </c>
      <c r="C256" s="32"/>
      <c r="D256" s="10" t="s">
        <v>29</v>
      </c>
      <c r="E256" s="11"/>
      <c r="F256" s="11" t="s">
        <v>18</v>
      </c>
      <c r="G256" s="13"/>
      <c r="H256" s="45" t="s">
        <v>16</v>
      </c>
      <c r="I256" s="46"/>
      <c r="J256" s="12" t="s">
        <v>5705</v>
      </c>
      <c r="K256" s="13" t="s">
        <v>7027</v>
      </c>
      <c r="L256" s="99" t="str">
        <f t="shared" si="12"/>
        <v>W320B.0</v>
      </c>
      <c r="M256" s="13" t="s">
        <v>17</v>
      </c>
      <c r="N256" s="13"/>
      <c r="O256" s="13"/>
      <c r="P256" s="47"/>
      <c r="Q256" s="45" t="s">
        <v>3672</v>
      </c>
      <c r="R256" s="45" t="s">
        <v>5596</v>
      </c>
      <c r="S256" s="48"/>
      <c r="T256" s="49" t="str">
        <f t="shared" si="11"/>
        <v>[W320B.0]</v>
      </c>
      <c r="U256" s="12" t="str">
        <f t="shared" si="14"/>
        <v xml:space="preserve"> 사이드브라켓 용접#2축(SD208) 과부하가 검출되었습니다.</v>
      </c>
      <c r="V256" s="49" t="str">
        <f t="shared" si="13"/>
        <v>[W320B.0] 사이드브라켓 용접#2축(SD208) 과부하가 검출되었습니다.</v>
      </c>
    </row>
    <row r="257" spans="1:22" s="49" customFormat="1" ht="14.15" customHeight="1">
      <c r="A257" s="43" t="s">
        <v>6675</v>
      </c>
      <c r="B257" s="44" t="s">
        <v>6635</v>
      </c>
      <c r="C257" s="32"/>
      <c r="D257" s="10" t="s">
        <v>29</v>
      </c>
      <c r="E257" s="11"/>
      <c r="F257" s="11" t="s">
        <v>18</v>
      </c>
      <c r="G257" s="13"/>
      <c r="H257" s="45" t="s">
        <v>16</v>
      </c>
      <c r="I257" s="46"/>
      <c r="J257" s="12" t="s">
        <v>5706</v>
      </c>
      <c r="K257" s="13" t="s">
        <v>7028</v>
      </c>
      <c r="L257" s="99" t="str">
        <f t="shared" si="12"/>
        <v>W320B.1</v>
      </c>
      <c r="M257" s="13" t="s">
        <v>17</v>
      </c>
      <c r="N257" s="13"/>
      <c r="O257" s="13"/>
      <c r="P257" s="47"/>
      <c r="Q257" s="45" t="s">
        <v>3672</v>
      </c>
      <c r="R257" s="45" t="s">
        <v>5596</v>
      </c>
      <c r="S257" s="48"/>
      <c r="T257" s="49" t="str">
        <f t="shared" si="11"/>
        <v>[W320B.1]</v>
      </c>
      <c r="U257" s="12" t="str">
        <f t="shared" si="14"/>
        <v xml:space="preserve"> 사이드브라켓 용접#2축(SD208)  </v>
      </c>
      <c r="V257" s="49" t="str">
        <f t="shared" si="13"/>
        <v xml:space="preserve">[W320B.1] 사이드브라켓 용접#2축(SD208)  </v>
      </c>
    </row>
    <row r="258" spans="1:22" s="49" customFormat="1" ht="14.15" customHeight="1">
      <c r="A258" s="43" t="s">
        <v>6675</v>
      </c>
      <c r="B258" s="44" t="s">
        <v>6635</v>
      </c>
      <c r="C258" s="32"/>
      <c r="D258" s="10" t="s">
        <v>29</v>
      </c>
      <c r="E258" s="11"/>
      <c r="F258" s="11" t="s">
        <v>18</v>
      </c>
      <c r="G258" s="13"/>
      <c r="H258" s="45" t="s">
        <v>16</v>
      </c>
      <c r="I258" s="46"/>
      <c r="J258" s="12" t="s">
        <v>5707</v>
      </c>
      <c r="K258" s="13" t="s">
        <v>7029</v>
      </c>
      <c r="L258" s="99" t="str">
        <f t="shared" si="12"/>
        <v>W320B.2</v>
      </c>
      <c r="M258" s="13" t="s">
        <v>17</v>
      </c>
      <c r="N258" s="13"/>
      <c r="O258" s="13"/>
      <c r="P258" s="47"/>
      <c r="Q258" s="45" t="s">
        <v>3672</v>
      </c>
      <c r="R258" s="45" t="s">
        <v>5596</v>
      </c>
      <c r="S258" s="48"/>
      <c r="T258" s="49" t="str">
        <f t="shared" si="11"/>
        <v>[W320B.2]</v>
      </c>
      <c r="U258" s="12" t="str">
        <f t="shared" si="14"/>
        <v xml:space="preserve"> 사이드브라켓 용접#2축(SD208) 에러가 발생했습니다.</v>
      </c>
      <c r="V258" s="49" t="str">
        <f t="shared" si="13"/>
        <v>[W320B.2] 사이드브라켓 용접#2축(SD208) 에러가 발생했습니다.</v>
      </c>
    </row>
    <row r="259" spans="1:22" s="49" customFormat="1" ht="14.15" customHeight="1">
      <c r="A259" s="43" t="s">
        <v>6675</v>
      </c>
      <c r="B259" s="44" t="s">
        <v>6635</v>
      </c>
      <c r="C259" s="32"/>
      <c r="D259" s="10" t="s">
        <v>29</v>
      </c>
      <c r="E259" s="11"/>
      <c r="F259" s="11" t="s">
        <v>18</v>
      </c>
      <c r="G259" s="13"/>
      <c r="H259" s="45" t="s">
        <v>16</v>
      </c>
      <c r="I259" s="46"/>
      <c r="J259" s="12" t="s">
        <v>5708</v>
      </c>
      <c r="K259" s="13" t="s">
        <v>7030</v>
      </c>
      <c r="L259" s="99" t="str">
        <f t="shared" si="12"/>
        <v>W320B.3</v>
      </c>
      <c r="M259" s="13" t="s">
        <v>17</v>
      </c>
      <c r="N259" s="13"/>
      <c r="O259" s="13"/>
      <c r="P259" s="47"/>
      <c r="Q259" s="45" t="s">
        <v>3672</v>
      </c>
      <c r="R259" s="45" t="s">
        <v>5596</v>
      </c>
      <c r="S259" s="48"/>
      <c r="T259" s="49" t="str">
        <f t="shared" si="11"/>
        <v>[W320B.3]</v>
      </c>
      <c r="U259" s="12" t="str">
        <f t="shared" si="14"/>
        <v xml:space="preserve"> 가스켓 용접#3 X1축(SD209) 운전중에 Ready가 Off 되었습니다.</v>
      </c>
      <c r="V259" s="49" t="str">
        <f t="shared" si="13"/>
        <v>[W320B.3] 가스켓 용접#3 X1축(SD209) 운전중에 Ready가 Off 되었습니다.</v>
      </c>
    </row>
    <row r="260" spans="1:22" s="49" customFormat="1" ht="14.15" customHeight="1">
      <c r="A260" s="43" t="s">
        <v>6675</v>
      </c>
      <c r="B260" s="44" t="s">
        <v>6635</v>
      </c>
      <c r="C260" s="32"/>
      <c r="D260" s="10" t="s">
        <v>29</v>
      </c>
      <c r="E260" s="11"/>
      <c r="F260" s="11" t="s">
        <v>18</v>
      </c>
      <c r="G260" s="13"/>
      <c r="H260" s="45" t="s">
        <v>16</v>
      </c>
      <c r="I260" s="46"/>
      <c r="J260" s="12" t="s">
        <v>5709</v>
      </c>
      <c r="K260" s="13" t="s">
        <v>7031</v>
      </c>
      <c r="L260" s="99" t="str">
        <f t="shared" si="12"/>
        <v>W320B.4</v>
      </c>
      <c r="M260" s="13" t="s">
        <v>17</v>
      </c>
      <c r="N260" s="13"/>
      <c r="O260" s="13"/>
      <c r="P260" s="47"/>
      <c r="Q260" s="45" t="s">
        <v>3672</v>
      </c>
      <c r="R260" s="45" t="s">
        <v>5596</v>
      </c>
      <c r="S260" s="48"/>
      <c r="T260" s="49" t="str">
        <f t="shared" si="11"/>
        <v>[W320B.4]</v>
      </c>
      <c r="U260" s="12" t="str">
        <f t="shared" si="14"/>
        <v xml:space="preserve"> 가스켓 용접#3 X1축(SD209) FLS가 감지되었습니다.</v>
      </c>
      <c r="V260" s="49" t="str">
        <f t="shared" si="13"/>
        <v>[W320B.4] 가스켓 용접#3 X1축(SD209) FLS가 감지되었습니다.</v>
      </c>
    </row>
    <row r="261" spans="1:22" s="49" customFormat="1" ht="14.15" customHeight="1">
      <c r="A261" s="43" t="s">
        <v>6675</v>
      </c>
      <c r="B261" s="44" t="s">
        <v>6635</v>
      </c>
      <c r="C261" s="32"/>
      <c r="D261" s="10" t="s">
        <v>29</v>
      </c>
      <c r="E261" s="11"/>
      <c r="F261" s="11" t="s">
        <v>18</v>
      </c>
      <c r="G261" s="13"/>
      <c r="H261" s="45" t="s">
        <v>16</v>
      </c>
      <c r="I261" s="46"/>
      <c r="J261" s="12" t="s">
        <v>5710</v>
      </c>
      <c r="K261" s="13" t="s">
        <v>7032</v>
      </c>
      <c r="L261" s="99" t="str">
        <f t="shared" si="12"/>
        <v>W320B.5</v>
      </c>
      <c r="M261" s="13" t="s">
        <v>17</v>
      </c>
      <c r="N261" s="13"/>
      <c r="O261" s="13"/>
      <c r="P261" s="47"/>
      <c r="Q261" s="45" t="s">
        <v>3672</v>
      </c>
      <c r="R261" s="45" t="s">
        <v>5596</v>
      </c>
      <c r="S261" s="48"/>
      <c r="T261" s="49" t="str">
        <f t="shared" si="11"/>
        <v>[W320B.5]</v>
      </c>
      <c r="U261" s="12" t="str">
        <f t="shared" si="14"/>
        <v xml:space="preserve"> 가스켓 용접#3 X1축(SD209) RLS가 감지되었습니다.</v>
      </c>
      <c r="V261" s="49" t="str">
        <f t="shared" si="13"/>
        <v>[W320B.5] 가스켓 용접#3 X1축(SD209) RLS가 감지되었습니다.</v>
      </c>
    </row>
    <row r="262" spans="1:22" s="49" customFormat="1" ht="14.15" customHeight="1">
      <c r="A262" s="43" t="s">
        <v>6675</v>
      </c>
      <c r="B262" s="44" t="s">
        <v>6635</v>
      </c>
      <c r="C262" s="32"/>
      <c r="D262" s="10" t="s">
        <v>29</v>
      </c>
      <c r="E262" s="11"/>
      <c r="F262" s="11" t="s">
        <v>18</v>
      </c>
      <c r="G262" s="13"/>
      <c r="H262" s="45" t="s">
        <v>16</v>
      </c>
      <c r="I262" s="46"/>
      <c r="J262" s="12" t="s">
        <v>5711</v>
      </c>
      <c r="K262" s="13" t="s">
        <v>7033</v>
      </c>
      <c r="L262" s="99" t="str">
        <f t="shared" si="12"/>
        <v>W320B.6</v>
      </c>
      <c r="M262" s="13" t="s">
        <v>17</v>
      </c>
      <c r="N262" s="13"/>
      <c r="O262" s="13"/>
      <c r="P262" s="47"/>
      <c r="Q262" s="45" t="s">
        <v>3672</v>
      </c>
      <c r="R262" s="45" t="s">
        <v>5596</v>
      </c>
      <c r="S262" s="48"/>
      <c r="T262" s="49" t="str">
        <f t="shared" si="11"/>
        <v>[W320B.6]</v>
      </c>
      <c r="U262" s="12" t="str">
        <f t="shared" si="14"/>
        <v xml:space="preserve"> 가스켓 용접#3 X1축(SD209) Stop 명령이 On된 상태에서 기동을 시도했습니다.</v>
      </c>
      <c r="V262" s="49" t="str">
        <f t="shared" si="13"/>
        <v>[W320B.6] 가스켓 용접#3 X1축(SD209) Stop 명령이 On된 상태에서 기동을 시도했습니다.</v>
      </c>
    </row>
    <row r="263" spans="1:22" s="49" customFormat="1" ht="14.15" customHeight="1">
      <c r="A263" s="43" t="s">
        <v>6675</v>
      </c>
      <c r="B263" s="44" t="s">
        <v>6635</v>
      </c>
      <c r="C263" s="32"/>
      <c r="D263" s="10" t="s">
        <v>29</v>
      </c>
      <c r="E263" s="11"/>
      <c r="F263" s="11" t="s">
        <v>18</v>
      </c>
      <c r="G263" s="13"/>
      <c r="H263" s="45" t="s">
        <v>16</v>
      </c>
      <c r="I263" s="46"/>
      <c r="J263" s="12" t="s">
        <v>5712</v>
      </c>
      <c r="K263" s="13" t="s">
        <v>7034</v>
      </c>
      <c r="L263" s="99" t="str">
        <f t="shared" si="12"/>
        <v>W320B.7</v>
      </c>
      <c r="M263" s="13" t="s">
        <v>17</v>
      </c>
      <c r="N263" s="13"/>
      <c r="O263" s="13"/>
      <c r="P263" s="47"/>
      <c r="Q263" s="45" t="s">
        <v>3672</v>
      </c>
      <c r="R263" s="45" t="s">
        <v>5596</v>
      </c>
      <c r="S263" s="48"/>
      <c r="T263" s="49" t="str">
        <f t="shared" si="11"/>
        <v>[W320B.7]</v>
      </c>
      <c r="U263" s="12" t="str">
        <f t="shared" si="14"/>
        <v xml:space="preserve"> 가스켓 용접#3 X1축(SD209) 가동 전원이 Off 되었습니다.</v>
      </c>
      <c r="V263" s="49" t="str">
        <f t="shared" si="13"/>
        <v>[W320B.7] 가스켓 용접#3 X1축(SD209) 가동 전원이 Off 되었습니다.</v>
      </c>
    </row>
    <row r="264" spans="1:22" s="49" customFormat="1" ht="14.15" customHeight="1">
      <c r="A264" s="43" t="s">
        <v>6675</v>
      </c>
      <c r="B264" s="44" t="s">
        <v>6635</v>
      </c>
      <c r="C264" s="32"/>
      <c r="D264" s="10" t="s">
        <v>29</v>
      </c>
      <c r="E264" s="11"/>
      <c r="F264" s="11" t="s">
        <v>18</v>
      </c>
      <c r="G264" s="13"/>
      <c r="H264" s="45" t="s">
        <v>16</v>
      </c>
      <c r="I264" s="46"/>
      <c r="J264" s="12" t="s">
        <v>5713</v>
      </c>
      <c r="K264" s="13" t="s">
        <v>7035</v>
      </c>
      <c r="L264" s="99" t="str">
        <f t="shared" si="12"/>
        <v>W320B.8</v>
      </c>
      <c r="M264" s="13" t="s">
        <v>17</v>
      </c>
      <c r="N264" s="13"/>
      <c r="O264" s="13"/>
      <c r="P264" s="47"/>
      <c r="Q264" s="45" t="s">
        <v>3672</v>
      </c>
      <c r="R264" s="45" t="s">
        <v>5596</v>
      </c>
      <c r="S264" s="48"/>
      <c r="T264" s="49" t="str">
        <f t="shared" si="11"/>
        <v>[W320B.8]</v>
      </c>
      <c r="U264" s="12" t="str">
        <f t="shared" si="14"/>
        <v xml:space="preserve"> 가스켓 용접#3 X1축(SD209) 엔코더 이상이 검출되었습니다.</v>
      </c>
      <c r="V264" s="49" t="str">
        <f t="shared" si="13"/>
        <v>[W320B.8] 가스켓 용접#3 X1축(SD209) 엔코더 이상이 검출되었습니다.</v>
      </c>
    </row>
    <row r="265" spans="1:22" s="49" customFormat="1" ht="14.15" customHeight="1">
      <c r="A265" s="43" t="s">
        <v>6675</v>
      </c>
      <c r="B265" s="44" t="s">
        <v>6635</v>
      </c>
      <c r="C265" s="32"/>
      <c r="D265" s="10" t="s">
        <v>29</v>
      </c>
      <c r="E265" s="11"/>
      <c r="F265" s="11" t="s">
        <v>18</v>
      </c>
      <c r="G265" s="13"/>
      <c r="H265" s="45" t="s">
        <v>16</v>
      </c>
      <c r="I265" s="46"/>
      <c r="J265" s="12" t="s">
        <v>5714</v>
      </c>
      <c r="K265" s="13" t="s">
        <v>7036</v>
      </c>
      <c r="L265" s="99" t="str">
        <f t="shared" si="12"/>
        <v>W320B.9</v>
      </c>
      <c r="M265" s="13" t="s">
        <v>17</v>
      </c>
      <c r="N265" s="13"/>
      <c r="O265" s="13"/>
      <c r="P265" s="47"/>
      <c r="Q265" s="45" t="s">
        <v>3672</v>
      </c>
      <c r="R265" s="45" t="s">
        <v>5596</v>
      </c>
      <c r="S265" s="48"/>
      <c r="T265" s="49" t="str">
        <f t="shared" si="11"/>
        <v>[W320B.9]</v>
      </c>
      <c r="U265" s="12" t="str">
        <f t="shared" si="14"/>
        <v xml:space="preserve"> 가스켓 용접#3 X1축(SD209) 과전류가 검출되었습니다.</v>
      </c>
      <c r="V265" s="49" t="str">
        <f t="shared" si="13"/>
        <v>[W320B.9] 가스켓 용접#3 X1축(SD209) 과전류가 검출되었습니다.</v>
      </c>
    </row>
    <row r="266" spans="1:22" s="49" customFormat="1" ht="14.15" customHeight="1">
      <c r="A266" s="43" t="s">
        <v>6675</v>
      </c>
      <c r="B266" s="44" t="s">
        <v>6635</v>
      </c>
      <c r="C266" s="32"/>
      <c r="D266" s="10" t="s">
        <v>29</v>
      </c>
      <c r="E266" s="11"/>
      <c r="F266" s="11" t="s">
        <v>18</v>
      </c>
      <c r="G266" s="13"/>
      <c r="H266" s="45" t="s">
        <v>16</v>
      </c>
      <c r="I266" s="46"/>
      <c r="J266" s="12" t="s">
        <v>5715</v>
      </c>
      <c r="K266" s="13" t="s">
        <v>7037</v>
      </c>
      <c r="L266" s="99" t="str">
        <f t="shared" si="12"/>
        <v>W320B.A</v>
      </c>
      <c r="M266" s="13" t="s">
        <v>17</v>
      </c>
      <c r="N266" s="13"/>
      <c r="O266" s="13"/>
      <c r="P266" s="47"/>
      <c r="Q266" s="45" t="s">
        <v>3672</v>
      </c>
      <c r="R266" s="45" t="s">
        <v>5596</v>
      </c>
      <c r="S266" s="48"/>
      <c r="T266" s="49" t="str">
        <f t="shared" si="11"/>
        <v>[W320B.A]</v>
      </c>
      <c r="U266" s="12" t="str">
        <f t="shared" si="14"/>
        <v xml:space="preserve"> 가스켓 용접#3 X1축(SD209) 과부하가 검출되었습니다.</v>
      </c>
      <c r="V266" s="49" t="str">
        <f t="shared" si="13"/>
        <v>[W320B.A] 가스켓 용접#3 X1축(SD209) 과부하가 검출되었습니다.</v>
      </c>
    </row>
    <row r="267" spans="1:22" s="49" customFormat="1" ht="14.15" customHeight="1">
      <c r="A267" s="43" t="s">
        <v>6675</v>
      </c>
      <c r="B267" s="44" t="s">
        <v>6635</v>
      </c>
      <c r="C267" s="32"/>
      <c r="D267" s="10" t="s">
        <v>29</v>
      </c>
      <c r="E267" s="11"/>
      <c r="F267" s="11" t="s">
        <v>18</v>
      </c>
      <c r="G267" s="13"/>
      <c r="H267" s="45" t="s">
        <v>16</v>
      </c>
      <c r="I267" s="46"/>
      <c r="J267" s="12" t="s">
        <v>5716</v>
      </c>
      <c r="K267" s="13" t="s">
        <v>7038</v>
      </c>
      <c r="L267" s="99" t="str">
        <f t="shared" si="12"/>
        <v>W320B.B</v>
      </c>
      <c r="M267" s="13" t="s">
        <v>17</v>
      </c>
      <c r="N267" s="13"/>
      <c r="O267" s="13"/>
      <c r="P267" s="47"/>
      <c r="Q267" s="45" t="s">
        <v>3672</v>
      </c>
      <c r="R267" s="45" t="s">
        <v>5596</v>
      </c>
      <c r="S267" s="48"/>
      <c r="T267" s="49" t="str">
        <f t="shared" si="11"/>
        <v>[W320B.B]</v>
      </c>
      <c r="U267" s="12" t="str">
        <f t="shared" si="14"/>
        <v xml:space="preserve"> 가스켓 용접#3 X1축(SD209)  </v>
      </c>
      <c r="V267" s="49" t="str">
        <f t="shared" si="13"/>
        <v xml:space="preserve">[W320B.B] 가스켓 용접#3 X1축(SD209)  </v>
      </c>
    </row>
    <row r="268" spans="1:22" s="49" customFormat="1" ht="14.15" customHeight="1">
      <c r="A268" s="43" t="s">
        <v>6675</v>
      </c>
      <c r="B268" s="44" t="s">
        <v>6635</v>
      </c>
      <c r="C268" s="32"/>
      <c r="D268" s="10" t="s">
        <v>29</v>
      </c>
      <c r="E268" s="11"/>
      <c r="F268" s="11" t="s">
        <v>18</v>
      </c>
      <c r="G268" s="13"/>
      <c r="H268" s="45" t="s">
        <v>16</v>
      </c>
      <c r="I268" s="46"/>
      <c r="J268" s="12" t="s">
        <v>5717</v>
      </c>
      <c r="K268" s="13" t="s">
        <v>7039</v>
      </c>
      <c r="L268" s="99" t="str">
        <f t="shared" si="12"/>
        <v>W320B.C</v>
      </c>
      <c r="M268" s="13" t="s">
        <v>17</v>
      </c>
      <c r="N268" s="13"/>
      <c r="O268" s="13"/>
      <c r="P268" s="47"/>
      <c r="Q268" s="45" t="s">
        <v>3672</v>
      </c>
      <c r="R268" s="45" t="s">
        <v>5596</v>
      </c>
      <c r="S268" s="48"/>
      <c r="T268" s="49" t="str">
        <f>"["&amp;L238&amp;"]"</f>
        <v>[W3209.E]</v>
      </c>
      <c r="U268" s="12" t="str">
        <f>RIGHT(J238,LEN(J238)-7)</f>
        <v xml:space="preserve"> 가스켓 용접#2 X3축(SD206) 에러가 발생했습니다.</v>
      </c>
      <c r="V268" s="49" t="str">
        <f>T238&amp;U238</f>
        <v>[W3209.E] 가스켓 용접#2 X3축(SD206) 에러가 발생했습니다.</v>
      </c>
    </row>
    <row r="269" spans="1:22" s="49" customFormat="1" ht="14.15" customHeight="1">
      <c r="A269" s="43" t="s">
        <v>6675</v>
      </c>
      <c r="B269" s="44" t="s">
        <v>6635</v>
      </c>
      <c r="C269" s="32"/>
      <c r="D269" s="10" t="s">
        <v>29</v>
      </c>
      <c r="E269" s="11"/>
      <c r="F269" s="11" t="s">
        <v>18</v>
      </c>
      <c r="G269" s="13"/>
      <c r="H269" s="45" t="s">
        <v>16</v>
      </c>
      <c r="I269" s="46"/>
      <c r="J269" s="12" t="s">
        <v>5718</v>
      </c>
      <c r="K269" s="13" t="s">
        <v>7040</v>
      </c>
      <c r="L269" s="99" t="str">
        <f t="shared" si="12"/>
        <v>W320B.D</v>
      </c>
      <c r="M269" s="13" t="s">
        <v>17</v>
      </c>
      <c r="N269" s="13"/>
      <c r="O269" s="13"/>
      <c r="P269" s="47"/>
      <c r="Q269" s="45" t="s">
        <v>3672</v>
      </c>
      <c r="R269" s="45" t="s">
        <v>5596</v>
      </c>
      <c r="S269" s="48"/>
      <c r="T269" s="49" t="str">
        <f t="shared" si="11"/>
        <v>[W320B.D]</v>
      </c>
      <c r="U269" s="12" t="str">
        <f t="shared" ref="U269:U332" si="15">RIGHT(J269,LEN(J269)-7)</f>
        <v xml:space="preserve"> 가스켓 용접#3 X2축(SD210) 운전중에 Ready가 Off 되었습니다.</v>
      </c>
      <c r="V269" s="49" t="str">
        <f t="shared" si="13"/>
        <v>[W320B.D] 가스켓 용접#3 X2축(SD210) 운전중에 Ready가 Off 되었습니다.</v>
      </c>
    </row>
    <row r="270" spans="1:22" s="49" customFormat="1" ht="14.15" customHeight="1">
      <c r="A270" s="43" t="s">
        <v>6675</v>
      </c>
      <c r="B270" s="44" t="s">
        <v>6635</v>
      </c>
      <c r="C270" s="50"/>
      <c r="D270" s="10" t="s">
        <v>29</v>
      </c>
      <c r="E270" s="11"/>
      <c r="F270" s="11" t="s">
        <v>18</v>
      </c>
      <c r="G270" s="13"/>
      <c r="H270" s="45" t="s">
        <v>16</v>
      </c>
      <c r="I270" s="46"/>
      <c r="J270" s="14" t="s">
        <v>5719</v>
      </c>
      <c r="K270" s="13" t="s">
        <v>7041</v>
      </c>
      <c r="L270" s="99" t="str">
        <f t="shared" si="12"/>
        <v>W320B.E</v>
      </c>
      <c r="M270" s="13" t="s">
        <v>17</v>
      </c>
      <c r="N270" s="13"/>
      <c r="O270" s="13"/>
      <c r="P270" s="47"/>
      <c r="Q270" s="45" t="s">
        <v>3672</v>
      </c>
      <c r="R270" s="45" t="s">
        <v>5596</v>
      </c>
      <c r="S270" s="48"/>
      <c r="T270" s="49" t="str">
        <f t="shared" si="11"/>
        <v>[W320B.E]</v>
      </c>
      <c r="U270" s="12" t="str">
        <f t="shared" si="15"/>
        <v xml:space="preserve"> 가스켓 용접#3 X2축(SD210) FLS가 감지되었습니다.</v>
      </c>
      <c r="V270" s="49" t="str">
        <f t="shared" si="13"/>
        <v>[W320B.E] 가스켓 용접#3 X2축(SD210) FLS가 감지되었습니다.</v>
      </c>
    </row>
    <row r="271" spans="1:22" s="49" customFormat="1" ht="14.15" customHeight="1">
      <c r="A271" s="43" t="s">
        <v>6675</v>
      </c>
      <c r="B271" s="44" t="s">
        <v>6635</v>
      </c>
      <c r="C271" s="50"/>
      <c r="D271" s="10" t="s">
        <v>29</v>
      </c>
      <c r="E271" s="11"/>
      <c r="F271" s="11" t="s">
        <v>18</v>
      </c>
      <c r="G271" s="13"/>
      <c r="H271" s="45" t="s">
        <v>16</v>
      </c>
      <c r="I271" s="46"/>
      <c r="J271" s="14" t="s">
        <v>5720</v>
      </c>
      <c r="K271" s="13" t="s">
        <v>7042</v>
      </c>
      <c r="L271" s="99" t="str">
        <f t="shared" si="12"/>
        <v>W320B.F</v>
      </c>
      <c r="M271" s="13" t="s">
        <v>17</v>
      </c>
      <c r="N271" s="13"/>
      <c r="O271" s="13"/>
      <c r="P271" s="47"/>
      <c r="Q271" s="45" t="s">
        <v>3672</v>
      </c>
      <c r="R271" s="45" t="s">
        <v>5596</v>
      </c>
      <c r="S271" s="48"/>
      <c r="T271" s="49" t="str">
        <f t="shared" si="11"/>
        <v>[W320B.F]</v>
      </c>
      <c r="U271" s="12" t="str">
        <f t="shared" si="15"/>
        <v xml:space="preserve"> 가스켓 용접#3 X2축(SD210) RLS가 감지되었습니다.</v>
      </c>
      <c r="V271" s="49" t="str">
        <f t="shared" si="13"/>
        <v>[W320B.F] 가스켓 용접#3 X2축(SD210) RLS가 감지되었습니다.</v>
      </c>
    </row>
    <row r="272" spans="1:22" s="49" customFormat="1" ht="14.15" customHeight="1">
      <c r="A272" s="43" t="s">
        <v>6675</v>
      </c>
      <c r="B272" s="44" t="s">
        <v>6635</v>
      </c>
      <c r="C272" s="50"/>
      <c r="D272" s="10" t="s">
        <v>29</v>
      </c>
      <c r="E272" s="11"/>
      <c r="F272" s="11" t="s">
        <v>18</v>
      </c>
      <c r="G272" s="13"/>
      <c r="H272" s="45" t="s">
        <v>16</v>
      </c>
      <c r="I272" s="46"/>
      <c r="J272" s="14" t="s">
        <v>5721</v>
      </c>
      <c r="K272" s="13" t="s">
        <v>7043</v>
      </c>
      <c r="L272" s="99" t="str">
        <f t="shared" si="12"/>
        <v>W320C.0</v>
      </c>
      <c r="M272" s="13" t="s">
        <v>17</v>
      </c>
      <c r="N272" s="13"/>
      <c r="O272" s="13"/>
      <c r="P272" s="47"/>
      <c r="Q272" s="45" t="s">
        <v>3672</v>
      </c>
      <c r="R272" s="45" t="s">
        <v>5596</v>
      </c>
      <c r="S272" s="48"/>
      <c r="T272" s="49" t="str">
        <f t="shared" ref="T272:T335" si="16">"["&amp;L272&amp;"]"</f>
        <v>[W320C.0]</v>
      </c>
      <c r="U272" s="12" t="str">
        <f t="shared" si="15"/>
        <v xml:space="preserve"> 가스켓 용접#3 X2축(SD210) Stop 명령이 On된 상태에서 기동을 시도했습니다.</v>
      </c>
      <c r="V272" s="49" t="str">
        <f t="shared" si="13"/>
        <v>[W320C.0] 가스켓 용접#3 X2축(SD210) Stop 명령이 On된 상태에서 기동을 시도했습니다.</v>
      </c>
    </row>
    <row r="273" spans="1:22" s="49" customFormat="1" ht="14.15" customHeight="1">
      <c r="A273" s="43" t="s">
        <v>6675</v>
      </c>
      <c r="B273" s="44" t="s">
        <v>6635</v>
      </c>
      <c r="C273" s="50"/>
      <c r="D273" s="10" t="s">
        <v>29</v>
      </c>
      <c r="E273" s="11"/>
      <c r="F273" s="11" t="s">
        <v>18</v>
      </c>
      <c r="G273" s="13"/>
      <c r="H273" s="45" t="s">
        <v>16</v>
      </c>
      <c r="I273" s="46"/>
      <c r="J273" s="14" t="s">
        <v>5722</v>
      </c>
      <c r="K273" s="13" t="s">
        <v>7044</v>
      </c>
      <c r="L273" s="99" t="str">
        <f t="shared" ref="L273:L336" si="17">"W"&amp;DEC2HEX(12800 + INT((ROW()-80)/16)) &amp; "." &amp; IF(MOD(ROW()-80,16)&lt;10,MOD(ROW()-80,16),CHAR(MOD(ROW()-80,16)+55))</f>
        <v>W320C.1</v>
      </c>
      <c r="M273" s="13" t="s">
        <v>17</v>
      </c>
      <c r="N273" s="13"/>
      <c r="O273" s="13"/>
      <c r="P273" s="47"/>
      <c r="Q273" s="45" t="s">
        <v>3672</v>
      </c>
      <c r="R273" s="45" t="s">
        <v>5596</v>
      </c>
      <c r="S273" s="48"/>
      <c r="T273" s="49" t="str">
        <f t="shared" si="16"/>
        <v>[W320C.1]</v>
      </c>
      <c r="U273" s="12" t="str">
        <f t="shared" si="15"/>
        <v xml:space="preserve"> 가스켓 용접#3 X2축(SD210) 가동 전원이 Off 되었습니다.</v>
      </c>
      <c r="V273" s="49" t="str">
        <f t="shared" ref="V273:V336" si="18">T273&amp;U273</f>
        <v>[W320C.1] 가스켓 용접#3 X2축(SD210) 가동 전원이 Off 되었습니다.</v>
      </c>
    </row>
    <row r="274" spans="1:22" s="49" customFormat="1" ht="14.15" customHeight="1">
      <c r="A274" s="43" t="s">
        <v>6675</v>
      </c>
      <c r="B274" s="44" t="s">
        <v>6635</v>
      </c>
      <c r="C274" s="50"/>
      <c r="D274" s="10" t="s">
        <v>29</v>
      </c>
      <c r="E274" s="11"/>
      <c r="F274" s="11" t="s">
        <v>18</v>
      </c>
      <c r="G274" s="13"/>
      <c r="H274" s="45" t="s">
        <v>16</v>
      </c>
      <c r="I274" s="46"/>
      <c r="J274" s="14" t="s">
        <v>5723</v>
      </c>
      <c r="K274" s="13" t="s">
        <v>7045</v>
      </c>
      <c r="L274" s="99" t="str">
        <f t="shared" si="17"/>
        <v>W320C.2</v>
      </c>
      <c r="M274" s="13" t="s">
        <v>17</v>
      </c>
      <c r="N274" s="13"/>
      <c r="O274" s="13"/>
      <c r="P274" s="47"/>
      <c r="Q274" s="45" t="s">
        <v>3672</v>
      </c>
      <c r="R274" s="45" t="s">
        <v>5596</v>
      </c>
      <c r="S274" s="48"/>
      <c r="T274" s="49" t="str">
        <f t="shared" si="16"/>
        <v>[W320C.2]</v>
      </c>
      <c r="U274" s="12" t="str">
        <f t="shared" si="15"/>
        <v xml:space="preserve"> 가스켓 용접#3 X2축(SD210) 엔코더 이상이 검출되었습니다.</v>
      </c>
      <c r="V274" s="49" t="str">
        <f t="shared" si="18"/>
        <v>[W320C.2] 가스켓 용접#3 X2축(SD210) 엔코더 이상이 검출되었습니다.</v>
      </c>
    </row>
    <row r="275" spans="1:22" s="49" customFormat="1" ht="14.15" customHeight="1">
      <c r="A275" s="43" t="s">
        <v>6675</v>
      </c>
      <c r="B275" s="44" t="s">
        <v>6635</v>
      </c>
      <c r="C275" s="50"/>
      <c r="D275" s="10" t="s">
        <v>29</v>
      </c>
      <c r="E275" s="11"/>
      <c r="F275" s="11" t="s">
        <v>18</v>
      </c>
      <c r="G275" s="13"/>
      <c r="H275" s="45" t="s">
        <v>16</v>
      </c>
      <c r="I275" s="46"/>
      <c r="J275" s="14" t="s">
        <v>5724</v>
      </c>
      <c r="K275" s="13" t="s">
        <v>7046</v>
      </c>
      <c r="L275" s="99" t="str">
        <f t="shared" si="17"/>
        <v>W320C.3</v>
      </c>
      <c r="M275" s="13" t="s">
        <v>17</v>
      </c>
      <c r="N275" s="13"/>
      <c r="O275" s="13"/>
      <c r="P275" s="47"/>
      <c r="Q275" s="45" t="s">
        <v>3672</v>
      </c>
      <c r="R275" s="45" t="s">
        <v>5596</v>
      </c>
      <c r="S275" s="48"/>
      <c r="T275" s="49" t="str">
        <f t="shared" si="16"/>
        <v>[W320C.3]</v>
      </c>
      <c r="U275" s="12" t="str">
        <f t="shared" si="15"/>
        <v xml:space="preserve"> 가스켓 용접#3 X2축(SD210) 과전류가 검출되었습니다.</v>
      </c>
      <c r="V275" s="49" t="str">
        <f t="shared" si="18"/>
        <v>[W320C.3] 가스켓 용접#3 X2축(SD210) 과전류가 검출되었습니다.</v>
      </c>
    </row>
    <row r="276" spans="1:22" s="49" customFormat="1" ht="14.15" customHeight="1">
      <c r="A276" s="43" t="s">
        <v>6675</v>
      </c>
      <c r="B276" s="44" t="s">
        <v>6635</v>
      </c>
      <c r="C276" s="50"/>
      <c r="D276" s="10" t="s">
        <v>29</v>
      </c>
      <c r="E276" s="11"/>
      <c r="F276" s="11" t="s">
        <v>18</v>
      </c>
      <c r="G276" s="13"/>
      <c r="H276" s="45" t="s">
        <v>16</v>
      </c>
      <c r="I276" s="46"/>
      <c r="J276" s="14" t="s">
        <v>5725</v>
      </c>
      <c r="K276" s="13" t="s">
        <v>7047</v>
      </c>
      <c r="L276" s="99" t="str">
        <f t="shared" si="17"/>
        <v>W320C.4</v>
      </c>
      <c r="M276" s="13" t="s">
        <v>17</v>
      </c>
      <c r="N276" s="13"/>
      <c r="O276" s="13"/>
      <c r="P276" s="47"/>
      <c r="Q276" s="45" t="s">
        <v>3672</v>
      </c>
      <c r="R276" s="45" t="s">
        <v>5596</v>
      </c>
      <c r="S276" s="48"/>
      <c r="T276" s="49" t="str">
        <f t="shared" si="16"/>
        <v>[W320C.4]</v>
      </c>
      <c r="U276" s="12" t="str">
        <f t="shared" si="15"/>
        <v xml:space="preserve"> 가스켓 용접#3 X2축(SD210) 과부하가 검출되었습니다.</v>
      </c>
      <c r="V276" s="49" t="str">
        <f t="shared" si="18"/>
        <v>[W320C.4] 가스켓 용접#3 X2축(SD210) 과부하가 검출되었습니다.</v>
      </c>
    </row>
    <row r="277" spans="1:22" s="49" customFormat="1" ht="14.15" customHeight="1">
      <c r="A277" s="43" t="s">
        <v>6675</v>
      </c>
      <c r="B277" s="44" t="s">
        <v>6635</v>
      </c>
      <c r="C277" s="50"/>
      <c r="D277" s="10" t="s">
        <v>29</v>
      </c>
      <c r="E277" s="11"/>
      <c r="F277" s="11" t="s">
        <v>18</v>
      </c>
      <c r="G277" s="13"/>
      <c r="H277" s="45" t="s">
        <v>16</v>
      </c>
      <c r="I277" s="46"/>
      <c r="J277" s="14" t="s">
        <v>5726</v>
      </c>
      <c r="K277" s="13" t="s">
        <v>7048</v>
      </c>
      <c r="L277" s="99" t="str">
        <f t="shared" si="17"/>
        <v>W320C.5</v>
      </c>
      <c r="M277" s="13" t="s">
        <v>17</v>
      </c>
      <c r="N277" s="13"/>
      <c r="O277" s="13"/>
      <c r="P277" s="47"/>
      <c r="Q277" s="45" t="s">
        <v>3672</v>
      </c>
      <c r="R277" s="45" t="s">
        <v>5596</v>
      </c>
      <c r="S277" s="48"/>
      <c r="T277" s="49" t="str">
        <f t="shared" si="16"/>
        <v>[W320C.5]</v>
      </c>
      <c r="U277" s="12" t="str">
        <f t="shared" si="15"/>
        <v xml:space="preserve"> 가스켓 용접#3 X2축(SD210)  </v>
      </c>
      <c r="V277" s="49" t="str">
        <f t="shared" si="18"/>
        <v xml:space="preserve">[W320C.5] 가스켓 용접#3 X2축(SD210)  </v>
      </c>
    </row>
    <row r="278" spans="1:22" s="49" customFormat="1" ht="14.15" customHeight="1">
      <c r="A278" s="43" t="s">
        <v>6675</v>
      </c>
      <c r="B278" s="44" t="s">
        <v>6635</v>
      </c>
      <c r="C278" s="50"/>
      <c r="D278" s="10" t="s">
        <v>29</v>
      </c>
      <c r="E278" s="11"/>
      <c r="F278" s="11" t="s">
        <v>18</v>
      </c>
      <c r="G278" s="13"/>
      <c r="H278" s="45" t="s">
        <v>16</v>
      </c>
      <c r="I278" s="46"/>
      <c r="J278" s="14" t="s">
        <v>5727</v>
      </c>
      <c r="K278" s="13" t="s">
        <v>7049</v>
      </c>
      <c r="L278" s="99" t="str">
        <f t="shared" si="17"/>
        <v>W320C.6</v>
      </c>
      <c r="M278" s="13" t="s">
        <v>17</v>
      </c>
      <c r="N278" s="13"/>
      <c r="O278" s="13"/>
      <c r="P278" s="47"/>
      <c r="Q278" s="45" t="s">
        <v>3672</v>
      </c>
      <c r="R278" s="45" t="s">
        <v>5596</v>
      </c>
      <c r="S278" s="48"/>
      <c r="T278" s="49" t="str">
        <f t="shared" si="16"/>
        <v>[W320C.6]</v>
      </c>
      <c r="U278" s="12" t="str">
        <f t="shared" si="15"/>
        <v xml:space="preserve"> 가스켓 용접#3 X2축(SD210) 에러가 발생했습니다.</v>
      </c>
      <c r="V278" s="49" t="str">
        <f t="shared" si="18"/>
        <v>[W320C.6] 가스켓 용접#3 X2축(SD210) 에러가 발생했습니다.</v>
      </c>
    </row>
    <row r="279" spans="1:22" s="49" customFormat="1" ht="14.15" customHeight="1">
      <c r="A279" s="43" t="s">
        <v>6675</v>
      </c>
      <c r="B279" s="44" t="s">
        <v>6635</v>
      </c>
      <c r="C279" s="50"/>
      <c r="D279" s="10" t="s">
        <v>29</v>
      </c>
      <c r="E279" s="11"/>
      <c r="F279" s="11" t="s">
        <v>18</v>
      </c>
      <c r="G279" s="13"/>
      <c r="H279" s="45" t="s">
        <v>16</v>
      </c>
      <c r="I279" s="46"/>
      <c r="J279" s="14" t="s">
        <v>5728</v>
      </c>
      <c r="K279" s="13" t="s">
        <v>7050</v>
      </c>
      <c r="L279" s="99" t="str">
        <f t="shared" si="17"/>
        <v>W320C.7</v>
      </c>
      <c r="M279" s="13" t="s">
        <v>17</v>
      </c>
      <c r="N279" s="13"/>
      <c r="O279" s="13"/>
      <c r="P279" s="47"/>
      <c r="Q279" s="45" t="s">
        <v>3672</v>
      </c>
      <c r="R279" s="45" t="s">
        <v>5596</v>
      </c>
      <c r="S279" s="48"/>
      <c r="T279" s="49" t="str">
        <f t="shared" si="16"/>
        <v>[W320C.7]</v>
      </c>
      <c r="U279" s="12" t="str">
        <f t="shared" si="15"/>
        <v xml:space="preserve"> 가스켓 용접#3 X3축(SD211) 운전중에 Ready가 Off 되었습니다.</v>
      </c>
      <c r="V279" s="49" t="str">
        <f t="shared" si="18"/>
        <v>[W320C.7] 가스켓 용접#3 X3축(SD211) 운전중에 Ready가 Off 되었습니다.</v>
      </c>
    </row>
    <row r="280" spans="1:22" s="49" customFormat="1" ht="14.15" customHeight="1">
      <c r="A280" s="43" t="s">
        <v>6675</v>
      </c>
      <c r="B280" s="44" t="s">
        <v>6635</v>
      </c>
      <c r="C280" s="50"/>
      <c r="D280" s="10" t="s">
        <v>29</v>
      </c>
      <c r="E280" s="11"/>
      <c r="F280" s="11" t="s">
        <v>18</v>
      </c>
      <c r="G280" s="13"/>
      <c r="H280" s="45" t="s">
        <v>16</v>
      </c>
      <c r="I280" s="46"/>
      <c r="J280" s="14" t="s">
        <v>5729</v>
      </c>
      <c r="K280" s="13" t="s">
        <v>7051</v>
      </c>
      <c r="L280" s="99" t="str">
        <f t="shared" si="17"/>
        <v>W320C.8</v>
      </c>
      <c r="M280" s="13" t="s">
        <v>17</v>
      </c>
      <c r="N280" s="13"/>
      <c r="O280" s="13"/>
      <c r="P280" s="47"/>
      <c r="Q280" s="45" t="s">
        <v>3672</v>
      </c>
      <c r="R280" s="45" t="s">
        <v>5596</v>
      </c>
      <c r="S280" s="48"/>
      <c r="T280" s="49" t="str">
        <f t="shared" si="16"/>
        <v>[W320C.8]</v>
      </c>
      <c r="U280" s="12" t="str">
        <f t="shared" si="15"/>
        <v xml:space="preserve"> 가스켓 용접#3 X3축(SD211) FLS가 감지되었습니다.</v>
      </c>
      <c r="V280" s="49" t="str">
        <f t="shared" si="18"/>
        <v>[W320C.8] 가스켓 용접#3 X3축(SD211) FLS가 감지되었습니다.</v>
      </c>
    </row>
    <row r="281" spans="1:22" s="49" customFormat="1" ht="14.15" customHeight="1">
      <c r="A281" s="43" t="s">
        <v>6675</v>
      </c>
      <c r="B281" s="44" t="s">
        <v>6635</v>
      </c>
      <c r="C281" s="50"/>
      <c r="D281" s="10" t="s">
        <v>29</v>
      </c>
      <c r="E281" s="11"/>
      <c r="F281" s="11" t="s">
        <v>18</v>
      </c>
      <c r="G281" s="13"/>
      <c r="H281" s="45" t="s">
        <v>16</v>
      </c>
      <c r="I281" s="46"/>
      <c r="J281" s="14" t="s">
        <v>5730</v>
      </c>
      <c r="K281" s="13" t="s">
        <v>7052</v>
      </c>
      <c r="L281" s="99" t="str">
        <f t="shared" si="17"/>
        <v>W320C.9</v>
      </c>
      <c r="M281" s="13" t="s">
        <v>17</v>
      </c>
      <c r="N281" s="13"/>
      <c r="O281" s="13"/>
      <c r="P281" s="47"/>
      <c r="Q281" s="45" t="s">
        <v>3672</v>
      </c>
      <c r="R281" s="45" t="s">
        <v>5596</v>
      </c>
      <c r="S281" s="48"/>
      <c r="T281" s="49" t="str">
        <f t="shared" si="16"/>
        <v>[W320C.9]</v>
      </c>
      <c r="U281" s="12" t="str">
        <f t="shared" si="15"/>
        <v xml:space="preserve"> 가스켓 용접#3 X3축(SD211) RLS가 감지되었습니다.</v>
      </c>
      <c r="V281" s="49" t="str">
        <f t="shared" si="18"/>
        <v>[W320C.9] 가스켓 용접#3 X3축(SD211) RLS가 감지되었습니다.</v>
      </c>
    </row>
    <row r="282" spans="1:22" s="49" customFormat="1" ht="14.15" customHeight="1">
      <c r="A282" s="43" t="s">
        <v>6675</v>
      </c>
      <c r="B282" s="44" t="s">
        <v>6635</v>
      </c>
      <c r="C282" s="50"/>
      <c r="D282" s="10" t="s">
        <v>29</v>
      </c>
      <c r="E282" s="11"/>
      <c r="F282" s="11" t="s">
        <v>18</v>
      </c>
      <c r="G282" s="13"/>
      <c r="H282" s="45" t="s">
        <v>16</v>
      </c>
      <c r="I282" s="46"/>
      <c r="J282" s="14" t="s">
        <v>5731</v>
      </c>
      <c r="K282" s="13" t="s">
        <v>7053</v>
      </c>
      <c r="L282" s="99" t="str">
        <f t="shared" si="17"/>
        <v>W320C.A</v>
      </c>
      <c r="M282" s="13" t="s">
        <v>17</v>
      </c>
      <c r="N282" s="13"/>
      <c r="O282" s="13"/>
      <c r="P282" s="47"/>
      <c r="Q282" s="45" t="s">
        <v>3672</v>
      </c>
      <c r="R282" s="45" t="s">
        <v>5596</v>
      </c>
      <c r="S282" s="48"/>
      <c r="T282" s="49" t="str">
        <f t="shared" si="16"/>
        <v>[W320C.A]</v>
      </c>
      <c r="U282" s="12" t="str">
        <f t="shared" si="15"/>
        <v xml:space="preserve"> 가스켓 용접#3 X3축(SD211) Stop 명령이 On된 상태에서 기동을 시도했습니다.</v>
      </c>
      <c r="V282" s="49" t="str">
        <f t="shared" si="18"/>
        <v>[W320C.A] 가스켓 용접#3 X3축(SD211) Stop 명령이 On된 상태에서 기동을 시도했습니다.</v>
      </c>
    </row>
    <row r="283" spans="1:22" s="49" customFormat="1" ht="14.15" customHeight="1">
      <c r="A283" s="43" t="s">
        <v>6675</v>
      </c>
      <c r="B283" s="44" t="s">
        <v>6635</v>
      </c>
      <c r="C283" s="50"/>
      <c r="D283" s="10" t="s">
        <v>29</v>
      </c>
      <c r="E283" s="11"/>
      <c r="F283" s="11" t="s">
        <v>18</v>
      </c>
      <c r="G283" s="13"/>
      <c r="H283" s="45" t="s">
        <v>16</v>
      </c>
      <c r="I283" s="46"/>
      <c r="J283" s="14" t="s">
        <v>5732</v>
      </c>
      <c r="K283" s="13" t="s">
        <v>7054</v>
      </c>
      <c r="L283" s="99" t="str">
        <f t="shared" si="17"/>
        <v>W320C.B</v>
      </c>
      <c r="M283" s="13" t="s">
        <v>17</v>
      </c>
      <c r="N283" s="13"/>
      <c r="O283" s="13"/>
      <c r="P283" s="47"/>
      <c r="Q283" s="45" t="s">
        <v>3672</v>
      </c>
      <c r="R283" s="45" t="s">
        <v>5596</v>
      </c>
      <c r="S283" s="48"/>
      <c r="T283" s="49" t="str">
        <f t="shared" si="16"/>
        <v>[W320C.B]</v>
      </c>
      <c r="U283" s="12" t="str">
        <f t="shared" si="15"/>
        <v xml:space="preserve"> 가스켓 용접#3 X3축(SD211) 가동 전원이 Off 되었습니다.</v>
      </c>
      <c r="V283" s="49" t="str">
        <f t="shared" si="18"/>
        <v>[W320C.B] 가스켓 용접#3 X3축(SD211) 가동 전원이 Off 되었습니다.</v>
      </c>
    </row>
    <row r="284" spans="1:22" s="49" customFormat="1" ht="14.15" customHeight="1">
      <c r="A284" s="43" t="s">
        <v>6675</v>
      </c>
      <c r="B284" s="44" t="s">
        <v>6635</v>
      </c>
      <c r="C284" s="50"/>
      <c r="D284" s="10" t="s">
        <v>29</v>
      </c>
      <c r="E284" s="11"/>
      <c r="F284" s="11" t="s">
        <v>18</v>
      </c>
      <c r="G284" s="13"/>
      <c r="H284" s="45" t="s">
        <v>16</v>
      </c>
      <c r="I284" s="46"/>
      <c r="J284" s="14" t="s">
        <v>5733</v>
      </c>
      <c r="K284" s="13" t="s">
        <v>7055</v>
      </c>
      <c r="L284" s="99" t="str">
        <f t="shared" si="17"/>
        <v>W320C.C</v>
      </c>
      <c r="M284" s="13" t="s">
        <v>17</v>
      </c>
      <c r="N284" s="13"/>
      <c r="O284" s="13"/>
      <c r="P284" s="47"/>
      <c r="Q284" s="45" t="s">
        <v>3672</v>
      </c>
      <c r="R284" s="45" t="s">
        <v>5596</v>
      </c>
      <c r="S284" s="48"/>
      <c r="T284" s="49" t="str">
        <f t="shared" si="16"/>
        <v>[W320C.C]</v>
      </c>
      <c r="U284" s="12" t="str">
        <f t="shared" si="15"/>
        <v xml:space="preserve"> 가스켓 용접#3 X3축(SD211) 엔코더 이상이 검출되었습니다.</v>
      </c>
      <c r="V284" s="49" t="str">
        <f t="shared" si="18"/>
        <v>[W320C.C] 가스켓 용접#3 X3축(SD211) 엔코더 이상이 검출되었습니다.</v>
      </c>
    </row>
    <row r="285" spans="1:22" s="49" customFormat="1" ht="14.15" customHeight="1">
      <c r="A285" s="43" t="s">
        <v>6675</v>
      </c>
      <c r="B285" s="44" t="s">
        <v>6635</v>
      </c>
      <c r="C285" s="50"/>
      <c r="D285" s="10" t="s">
        <v>29</v>
      </c>
      <c r="E285" s="11"/>
      <c r="F285" s="11" t="s">
        <v>18</v>
      </c>
      <c r="G285" s="13"/>
      <c r="H285" s="45" t="s">
        <v>16</v>
      </c>
      <c r="I285" s="46"/>
      <c r="J285" s="14" t="s">
        <v>5734</v>
      </c>
      <c r="K285" s="13" t="s">
        <v>7056</v>
      </c>
      <c r="L285" s="99" t="str">
        <f t="shared" si="17"/>
        <v>W320C.D</v>
      </c>
      <c r="M285" s="13" t="s">
        <v>17</v>
      </c>
      <c r="N285" s="13"/>
      <c r="O285" s="13"/>
      <c r="P285" s="47"/>
      <c r="Q285" s="45" t="s">
        <v>3672</v>
      </c>
      <c r="R285" s="45" t="s">
        <v>5596</v>
      </c>
      <c r="S285" s="48"/>
      <c r="T285" s="49" t="str">
        <f t="shared" si="16"/>
        <v>[W320C.D]</v>
      </c>
      <c r="U285" s="12" t="str">
        <f t="shared" si="15"/>
        <v xml:space="preserve"> 가스켓 용접#3 X3축(SD211) 과전류가 검출되었습니다.</v>
      </c>
      <c r="V285" s="49" t="str">
        <f t="shared" si="18"/>
        <v>[W320C.D] 가스켓 용접#3 X3축(SD211) 과전류가 검출되었습니다.</v>
      </c>
    </row>
    <row r="286" spans="1:22" s="49" customFormat="1" ht="14.15" customHeight="1">
      <c r="A286" s="43" t="s">
        <v>6675</v>
      </c>
      <c r="B286" s="44" t="s">
        <v>6635</v>
      </c>
      <c r="C286" s="50"/>
      <c r="D286" s="10" t="s">
        <v>29</v>
      </c>
      <c r="E286" s="11"/>
      <c r="F286" s="11" t="s">
        <v>18</v>
      </c>
      <c r="G286" s="13"/>
      <c r="H286" s="45" t="s">
        <v>16</v>
      </c>
      <c r="I286" s="46"/>
      <c r="J286" s="14" t="s">
        <v>5735</v>
      </c>
      <c r="K286" s="13" t="s">
        <v>7057</v>
      </c>
      <c r="L286" s="99" t="str">
        <f t="shared" si="17"/>
        <v>W320C.E</v>
      </c>
      <c r="M286" s="13" t="s">
        <v>17</v>
      </c>
      <c r="N286" s="13"/>
      <c r="O286" s="13"/>
      <c r="P286" s="47"/>
      <c r="Q286" s="45" t="s">
        <v>3672</v>
      </c>
      <c r="R286" s="45" t="s">
        <v>5596</v>
      </c>
      <c r="S286" s="48"/>
      <c r="T286" s="49" t="str">
        <f t="shared" si="16"/>
        <v>[W320C.E]</v>
      </c>
      <c r="U286" s="12" t="str">
        <f t="shared" si="15"/>
        <v xml:space="preserve"> 가스켓 용접#3 X3축(SD211) 과부하가 검출되었습니다.</v>
      </c>
      <c r="V286" s="49" t="str">
        <f t="shared" si="18"/>
        <v>[W320C.E] 가스켓 용접#3 X3축(SD211) 과부하가 검출되었습니다.</v>
      </c>
    </row>
    <row r="287" spans="1:22" s="49" customFormat="1" ht="14.15" customHeight="1">
      <c r="A287" s="43" t="s">
        <v>6675</v>
      </c>
      <c r="B287" s="44" t="s">
        <v>6635</v>
      </c>
      <c r="C287" s="50"/>
      <c r="D287" s="10" t="s">
        <v>29</v>
      </c>
      <c r="E287" s="11"/>
      <c r="F287" s="11" t="s">
        <v>18</v>
      </c>
      <c r="G287" s="13"/>
      <c r="H287" s="45" t="s">
        <v>16</v>
      </c>
      <c r="I287" s="46"/>
      <c r="J287" s="14" t="s">
        <v>5736</v>
      </c>
      <c r="K287" s="13" t="s">
        <v>7058</v>
      </c>
      <c r="L287" s="99" t="str">
        <f t="shared" si="17"/>
        <v>W320C.F</v>
      </c>
      <c r="M287" s="13" t="s">
        <v>17</v>
      </c>
      <c r="N287" s="13"/>
      <c r="O287" s="13"/>
      <c r="P287" s="47"/>
      <c r="Q287" s="45" t="s">
        <v>3672</v>
      </c>
      <c r="R287" s="45" t="s">
        <v>5596</v>
      </c>
      <c r="S287" s="48"/>
      <c r="T287" s="49" t="str">
        <f t="shared" si="16"/>
        <v>[W320C.F]</v>
      </c>
      <c r="U287" s="12" t="str">
        <f t="shared" si="15"/>
        <v xml:space="preserve"> 가스켓 용접#3 X3축(SD211)  </v>
      </c>
      <c r="V287" s="49" t="str">
        <f t="shared" si="18"/>
        <v xml:space="preserve">[W320C.F] 가스켓 용접#3 X3축(SD211)  </v>
      </c>
    </row>
    <row r="288" spans="1:22" s="49" customFormat="1" ht="14.15" customHeight="1">
      <c r="A288" s="43" t="s">
        <v>6675</v>
      </c>
      <c r="B288" s="44" t="s">
        <v>6635</v>
      </c>
      <c r="C288" s="50"/>
      <c r="D288" s="10" t="s">
        <v>29</v>
      </c>
      <c r="E288" s="11"/>
      <c r="F288" s="11" t="s">
        <v>18</v>
      </c>
      <c r="G288" s="13"/>
      <c r="H288" s="45" t="s">
        <v>16</v>
      </c>
      <c r="I288" s="46"/>
      <c r="J288" s="14" t="s">
        <v>5737</v>
      </c>
      <c r="K288" s="13" t="s">
        <v>7059</v>
      </c>
      <c r="L288" s="99" t="str">
        <f t="shared" si="17"/>
        <v>W320D.0</v>
      </c>
      <c r="M288" s="13" t="s">
        <v>17</v>
      </c>
      <c r="N288" s="13"/>
      <c r="O288" s="13"/>
      <c r="P288" s="47"/>
      <c r="Q288" s="45" t="s">
        <v>3672</v>
      </c>
      <c r="R288" s="45" t="s">
        <v>5596</v>
      </c>
      <c r="S288" s="48"/>
      <c r="T288" s="49" t="str">
        <f t="shared" si="16"/>
        <v>[W320D.0]</v>
      </c>
      <c r="U288" s="12" t="str">
        <f t="shared" si="15"/>
        <v xml:space="preserve"> 가스켓 용접#3 X3축(SD211) 에러가 발생했습니다.</v>
      </c>
      <c r="V288" s="49" t="str">
        <f t="shared" si="18"/>
        <v>[W320D.0] 가스켓 용접#3 X3축(SD211) 에러가 발생했습니다.</v>
      </c>
    </row>
    <row r="289" spans="1:22" s="49" customFormat="1" ht="14.15" customHeight="1">
      <c r="A289" s="43" t="s">
        <v>6675</v>
      </c>
      <c r="B289" s="44" t="s">
        <v>6635</v>
      </c>
      <c r="C289" s="50"/>
      <c r="D289" s="10" t="s">
        <v>29</v>
      </c>
      <c r="E289" s="11"/>
      <c r="F289" s="11" t="s">
        <v>18</v>
      </c>
      <c r="G289" s="13"/>
      <c r="H289" s="45" t="s">
        <v>16</v>
      </c>
      <c r="I289" s="46"/>
      <c r="J289" s="14" t="s">
        <v>5738</v>
      </c>
      <c r="K289" s="13" t="s">
        <v>7060</v>
      </c>
      <c r="L289" s="99" t="str">
        <f t="shared" si="17"/>
        <v>W320D.1</v>
      </c>
      <c r="M289" s="13" t="s">
        <v>17</v>
      </c>
      <c r="N289" s="13"/>
      <c r="O289" s="13"/>
      <c r="P289" s="47"/>
      <c r="Q289" s="45" t="s">
        <v>3672</v>
      </c>
      <c r="R289" s="45" t="s">
        <v>5596</v>
      </c>
      <c r="S289" s="48"/>
      <c r="T289" s="49" t="str">
        <f t="shared" si="16"/>
        <v>[W320D.1]</v>
      </c>
      <c r="U289" s="12" t="str">
        <f t="shared" si="15"/>
        <v xml:space="preserve"> 레일브라켓 용접#1축(SD212) 운전중에 Ready가 Off 되었습니다.</v>
      </c>
      <c r="V289" s="49" t="str">
        <f t="shared" si="18"/>
        <v>[W320D.1] 레일브라켓 용접#1축(SD212) 운전중에 Ready가 Off 되었습니다.</v>
      </c>
    </row>
    <row r="290" spans="1:22" s="49" customFormat="1" ht="14.15" customHeight="1">
      <c r="A290" s="43" t="s">
        <v>6675</v>
      </c>
      <c r="B290" s="44" t="s">
        <v>6635</v>
      </c>
      <c r="C290" s="50"/>
      <c r="D290" s="10" t="s">
        <v>29</v>
      </c>
      <c r="E290" s="11"/>
      <c r="F290" s="11" t="s">
        <v>18</v>
      </c>
      <c r="G290" s="13"/>
      <c r="H290" s="45" t="s">
        <v>16</v>
      </c>
      <c r="I290" s="46"/>
      <c r="J290" s="14" t="s">
        <v>5739</v>
      </c>
      <c r="K290" s="13" t="s">
        <v>7061</v>
      </c>
      <c r="L290" s="99" t="str">
        <f t="shared" si="17"/>
        <v>W320D.2</v>
      </c>
      <c r="M290" s="13" t="s">
        <v>17</v>
      </c>
      <c r="N290" s="13"/>
      <c r="O290" s="13"/>
      <c r="P290" s="47"/>
      <c r="Q290" s="45" t="s">
        <v>3672</v>
      </c>
      <c r="R290" s="45" t="s">
        <v>5596</v>
      </c>
      <c r="S290" s="48"/>
      <c r="T290" s="49" t="str">
        <f t="shared" si="16"/>
        <v>[W320D.2]</v>
      </c>
      <c r="U290" s="12" t="str">
        <f t="shared" si="15"/>
        <v xml:space="preserve"> 레일브라켓 용접#1축(SD212) FLS가 감지되었습니다.</v>
      </c>
      <c r="V290" s="49" t="str">
        <f t="shared" si="18"/>
        <v>[W320D.2] 레일브라켓 용접#1축(SD212) FLS가 감지되었습니다.</v>
      </c>
    </row>
    <row r="291" spans="1:22" s="49" customFormat="1" ht="14.15" customHeight="1">
      <c r="A291" s="43" t="s">
        <v>6675</v>
      </c>
      <c r="B291" s="44" t="s">
        <v>6635</v>
      </c>
      <c r="C291" s="50"/>
      <c r="D291" s="10" t="s">
        <v>29</v>
      </c>
      <c r="E291" s="11"/>
      <c r="F291" s="11" t="s">
        <v>18</v>
      </c>
      <c r="G291" s="13"/>
      <c r="H291" s="45" t="s">
        <v>16</v>
      </c>
      <c r="I291" s="46"/>
      <c r="J291" s="14" t="s">
        <v>5740</v>
      </c>
      <c r="K291" s="13" t="s">
        <v>7062</v>
      </c>
      <c r="L291" s="99" t="str">
        <f t="shared" si="17"/>
        <v>W320D.3</v>
      </c>
      <c r="M291" s="13" t="s">
        <v>17</v>
      </c>
      <c r="N291" s="13"/>
      <c r="O291" s="13"/>
      <c r="P291" s="47"/>
      <c r="Q291" s="45" t="s">
        <v>3672</v>
      </c>
      <c r="R291" s="45" t="s">
        <v>5596</v>
      </c>
      <c r="S291" s="48"/>
      <c r="T291" s="49" t="str">
        <f t="shared" si="16"/>
        <v>[W320D.3]</v>
      </c>
      <c r="U291" s="12" t="str">
        <f t="shared" si="15"/>
        <v xml:space="preserve"> 레일브라켓 용접#1축(SD212) RLS가 감지되었습니다.</v>
      </c>
      <c r="V291" s="49" t="str">
        <f t="shared" si="18"/>
        <v>[W320D.3] 레일브라켓 용접#1축(SD212) RLS가 감지되었습니다.</v>
      </c>
    </row>
    <row r="292" spans="1:22" s="49" customFormat="1" ht="14.15" customHeight="1">
      <c r="A292" s="43" t="s">
        <v>6675</v>
      </c>
      <c r="B292" s="44" t="s">
        <v>6635</v>
      </c>
      <c r="C292" s="50"/>
      <c r="D292" s="10" t="s">
        <v>29</v>
      </c>
      <c r="E292" s="11"/>
      <c r="F292" s="11" t="s">
        <v>18</v>
      </c>
      <c r="G292" s="13"/>
      <c r="H292" s="45" t="s">
        <v>16</v>
      </c>
      <c r="I292" s="46"/>
      <c r="J292" s="14" t="s">
        <v>5741</v>
      </c>
      <c r="K292" s="13" t="s">
        <v>7063</v>
      </c>
      <c r="L292" s="99" t="str">
        <f t="shared" si="17"/>
        <v>W320D.4</v>
      </c>
      <c r="M292" s="13" t="s">
        <v>17</v>
      </c>
      <c r="N292" s="13"/>
      <c r="O292" s="13"/>
      <c r="P292" s="47"/>
      <c r="Q292" s="45" t="s">
        <v>3672</v>
      </c>
      <c r="R292" s="45" t="s">
        <v>5596</v>
      </c>
      <c r="S292" s="48"/>
      <c r="T292" s="49" t="str">
        <f t="shared" si="16"/>
        <v>[W320D.4]</v>
      </c>
      <c r="U292" s="12" t="str">
        <f t="shared" si="15"/>
        <v xml:space="preserve"> 레일브라켓 용접#1축(SD212) Stop 명령이 On된 상태에서 기동을 시도했습니다.</v>
      </c>
      <c r="V292" s="49" t="str">
        <f t="shared" si="18"/>
        <v>[W320D.4] 레일브라켓 용접#1축(SD212) Stop 명령이 On된 상태에서 기동을 시도했습니다.</v>
      </c>
    </row>
    <row r="293" spans="1:22" s="49" customFormat="1" ht="14.15" customHeight="1">
      <c r="A293" s="43" t="s">
        <v>6675</v>
      </c>
      <c r="B293" s="44" t="s">
        <v>6635</v>
      </c>
      <c r="C293" s="50"/>
      <c r="D293" s="10" t="s">
        <v>29</v>
      </c>
      <c r="E293" s="11"/>
      <c r="F293" s="11" t="s">
        <v>18</v>
      </c>
      <c r="G293" s="13"/>
      <c r="H293" s="45" t="s">
        <v>16</v>
      </c>
      <c r="I293" s="46"/>
      <c r="J293" s="14" t="s">
        <v>5742</v>
      </c>
      <c r="K293" s="13" t="s">
        <v>7064</v>
      </c>
      <c r="L293" s="99" t="str">
        <f t="shared" si="17"/>
        <v>W320D.5</v>
      </c>
      <c r="M293" s="13" t="s">
        <v>17</v>
      </c>
      <c r="N293" s="13"/>
      <c r="O293" s="13"/>
      <c r="P293" s="47"/>
      <c r="Q293" s="45" t="s">
        <v>3672</v>
      </c>
      <c r="R293" s="45" t="s">
        <v>5596</v>
      </c>
      <c r="S293" s="48"/>
      <c r="T293" s="49" t="str">
        <f t="shared" si="16"/>
        <v>[W320D.5]</v>
      </c>
      <c r="U293" s="12" t="str">
        <f t="shared" si="15"/>
        <v xml:space="preserve"> 레일브라켓 용접#1축(SD212) 가동 전원이 Off 되었습니다.</v>
      </c>
      <c r="V293" s="49" t="str">
        <f t="shared" si="18"/>
        <v>[W320D.5] 레일브라켓 용접#1축(SD212) 가동 전원이 Off 되었습니다.</v>
      </c>
    </row>
    <row r="294" spans="1:22" s="49" customFormat="1" ht="14.15" customHeight="1">
      <c r="A294" s="43" t="s">
        <v>6675</v>
      </c>
      <c r="B294" s="44" t="s">
        <v>6635</v>
      </c>
      <c r="C294" s="50"/>
      <c r="D294" s="10" t="s">
        <v>29</v>
      </c>
      <c r="E294" s="11"/>
      <c r="F294" s="11" t="s">
        <v>18</v>
      </c>
      <c r="G294" s="13"/>
      <c r="H294" s="45" t="s">
        <v>16</v>
      </c>
      <c r="I294" s="46"/>
      <c r="J294" s="14" t="s">
        <v>5743</v>
      </c>
      <c r="K294" s="13" t="s">
        <v>7065</v>
      </c>
      <c r="L294" s="99" t="str">
        <f t="shared" si="17"/>
        <v>W320D.6</v>
      </c>
      <c r="M294" s="13" t="s">
        <v>17</v>
      </c>
      <c r="N294" s="13"/>
      <c r="O294" s="13"/>
      <c r="P294" s="47"/>
      <c r="Q294" s="45" t="s">
        <v>3672</v>
      </c>
      <c r="R294" s="45" t="s">
        <v>5596</v>
      </c>
      <c r="S294" s="48"/>
      <c r="T294" s="49" t="str">
        <f t="shared" si="16"/>
        <v>[W320D.6]</v>
      </c>
      <c r="U294" s="12" t="str">
        <f t="shared" si="15"/>
        <v xml:space="preserve"> 레일브라켓 용접#1축(SD212) 엔코더 이상이 검출되었습니다.</v>
      </c>
      <c r="V294" s="49" t="str">
        <f t="shared" si="18"/>
        <v>[W320D.6] 레일브라켓 용접#1축(SD212) 엔코더 이상이 검출되었습니다.</v>
      </c>
    </row>
    <row r="295" spans="1:22" s="49" customFormat="1" ht="14.15" customHeight="1">
      <c r="A295" s="43" t="s">
        <v>6675</v>
      </c>
      <c r="B295" s="44" t="s">
        <v>6635</v>
      </c>
      <c r="C295" s="50"/>
      <c r="D295" s="10" t="s">
        <v>29</v>
      </c>
      <c r="E295" s="11"/>
      <c r="F295" s="11" t="s">
        <v>18</v>
      </c>
      <c r="G295" s="13"/>
      <c r="H295" s="45" t="s">
        <v>16</v>
      </c>
      <c r="I295" s="46"/>
      <c r="J295" s="14" t="s">
        <v>5744</v>
      </c>
      <c r="K295" s="13" t="s">
        <v>7066</v>
      </c>
      <c r="L295" s="99" t="str">
        <f t="shared" si="17"/>
        <v>W320D.7</v>
      </c>
      <c r="M295" s="13" t="s">
        <v>17</v>
      </c>
      <c r="N295" s="13"/>
      <c r="O295" s="13"/>
      <c r="P295" s="47"/>
      <c r="Q295" s="45" t="s">
        <v>3672</v>
      </c>
      <c r="R295" s="45" t="s">
        <v>5596</v>
      </c>
      <c r="S295" s="48"/>
      <c r="T295" s="49" t="str">
        <f t="shared" si="16"/>
        <v>[W320D.7]</v>
      </c>
      <c r="U295" s="12" t="str">
        <f t="shared" si="15"/>
        <v xml:space="preserve"> 레일브라켓 용접#1축(SD212) 과전류가 검출되었습니다.</v>
      </c>
      <c r="V295" s="49" t="str">
        <f t="shared" si="18"/>
        <v>[W320D.7] 레일브라켓 용접#1축(SD212) 과전류가 검출되었습니다.</v>
      </c>
    </row>
    <row r="296" spans="1:22" s="49" customFormat="1" ht="14.15" customHeight="1">
      <c r="A296" s="43" t="s">
        <v>6675</v>
      </c>
      <c r="B296" s="44" t="s">
        <v>6635</v>
      </c>
      <c r="C296" s="50"/>
      <c r="D296" s="10" t="s">
        <v>29</v>
      </c>
      <c r="E296" s="11"/>
      <c r="F296" s="11" t="s">
        <v>18</v>
      </c>
      <c r="G296" s="13"/>
      <c r="H296" s="45" t="s">
        <v>16</v>
      </c>
      <c r="I296" s="47"/>
      <c r="J296" s="12" t="s">
        <v>5745</v>
      </c>
      <c r="K296" s="13" t="s">
        <v>7067</v>
      </c>
      <c r="L296" s="99" t="str">
        <f t="shared" si="17"/>
        <v>W320D.8</v>
      </c>
      <c r="M296" s="13" t="s">
        <v>17</v>
      </c>
      <c r="N296" s="13"/>
      <c r="O296" s="13"/>
      <c r="P296" s="47"/>
      <c r="Q296" s="45" t="s">
        <v>3672</v>
      </c>
      <c r="R296" s="45" t="s">
        <v>5596</v>
      </c>
      <c r="S296" s="48"/>
      <c r="T296" s="49" t="str">
        <f t="shared" si="16"/>
        <v>[W320D.8]</v>
      </c>
      <c r="U296" s="12" t="str">
        <f t="shared" si="15"/>
        <v xml:space="preserve"> 레일브라켓 용접#1축(SD212) 과부하가 검출되었습니다.</v>
      </c>
      <c r="V296" s="49" t="str">
        <f t="shared" si="18"/>
        <v>[W320D.8] 레일브라켓 용접#1축(SD212) 과부하가 검출되었습니다.</v>
      </c>
    </row>
    <row r="297" spans="1:22" s="49" customFormat="1" ht="14.15" customHeight="1">
      <c r="A297" s="43" t="s">
        <v>6675</v>
      </c>
      <c r="B297" s="44" t="s">
        <v>6635</v>
      </c>
      <c r="C297" s="50"/>
      <c r="D297" s="10" t="s">
        <v>29</v>
      </c>
      <c r="E297" s="11"/>
      <c r="F297" s="11" t="s">
        <v>18</v>
      </c>
      <c r="G297" s="13"/>
      <c r="H297" s="45" t="s">
        <v>16</v>
      </c>
      <c r="I297" s="47"/>
      <c r="J297" s="12" t="s">
        <v>5746</v>
      </c>
      <c r="K297" s="13" t="s">
        <v>7068</v>
      </c>
      <c r="L297" s="99" t="str">
        <f t="shared" si="17"/>
        <v>W320D.9</v>
      </c>
      <c r="M297" s="13" t="s">
        <v>17</v>
      </c>
      <c r="N297" s="13"/>
      <c r="O297" s="13"/>
      <c r="P297" s="47"/>
      <c r="Q297" s="45" t="s">
        <v>3672</v>
      </c>
      <c r="R297" s="45" t="s">
        <v>5596</v>
      </c>
      <c r="S297" s="48"/>
      <c r="T297" s="49" t="str">
        <f t="shared" si="16"/>
        <v>[W320D.9]</v>
      </c>
      <c r="U297" s="12" t="str">
        <f t="shared" si="15"/>
        <v xml:space="preserve"> 레일브라켓 용접#1축(SD212)  </v>
      </c>
      <c r="V297" s="49" t="str">
        <f t="shared" si="18"/>
        <v xml:space="preserve">[W320D.9] 레일브라켓 용접#1축(SD212)  </v>
      </c>
    </row>
    <row r="298" spans="1:22" s="49" customFormat="1" ht="14.15" customHeight="1">
      <c r="A298" s="43" t="s">
        <v>6675</v>
      </c>
      <c r="B298" s="44" t="s">
        <v>6635</v>
      </c>
      <c r="C298" s="50"/>
      <c r="D298" s="10" t="s">
        <v>29</v>
      </c>
      <c r="E298" s="11"/>
      <c r="F298" s="11" t="s">
        <v>18</v>
      </c>
      <c r="G298" s="13"/>
      <c r="H298" s="45" t="s">
        <v>16</v>
      </c>
      <c r="I298" s="47"/>
      <c r="J298" s="12" t="s">
        <v>5747</v>
      </c>
      <c r="K298" s="13" t="s">
        <v>7069</v>
      </c>
      <c r="L298" s="99" t="str">
        <f t="shared" si="17"/>
        <v>W320D.A</v>
      </c>
      <c r="M298" s="13" t="s">
        <v>17</v>
      </c>
      <c r="N298" s="13"/>
      <c r="O298" s="13"/>
      <c r="P298" s="47"/>
      <c r="Q298" s="45" t="s">
        <v>3672</v>
      </c>
      <c r="R298" s="45" t="s">
        <v>5596</v>
      </c>
      <c r="S298" s="48"/>
      <c r="T298" s="49" t="str">
        <f t="shared" si="16"/>
        <v>[W320D.A]</v>
      </c>
      <c r="U298" s="12" t="str">
        <f t="shared" si="15"/>
        <v xml:space="preserve"> 레일브라켓 용접#1축(SD212) 에러가 발생했습니다.</v>
      </c>
      <c r="V298" s="49" t="str">
        <f t="shared" si="18"/>
        <v>[W320D.A] 레일브라켓 용접#1축(SD212) 에러가 발생했습니다.</v>
      </c>
    </row>
    <row r="299" spans="1:22" s="49" customFormat="1" ht="14.15" customHeight="1">
      <c r="A299" s="43" t="s">
        <v>6675</v>
      </c>
      <c r="B299" s="44" t="s">
        <v>6635</v>
      </c>
      <c r="C299" s="50"/>
      <c r="D299" s="10" t="s">
        <v>29</v>
      </c>
      <c r="E299" s="11"/>
      <c r="F299" s="11" t="s">
        <v>18</v>
      </c>
      <c r="G299" s="13"/>
      <c r="H299" s="45" t="s">
        <v>16</v>
      </c>
      <c r="I299" s="47"/>
      <c r="J299" s="12" t="s">
        <v>5748</v>
      </c>
      <c r="K299" s="13" t="s">
        <v>7070</v>
      </c>
      <c r="L299" s="99" t="str">
        <f t="shared" si="17"/>
        <v>W320D.B</v>
      </c>
      <c r="M299" s="13" t="s">
        <v>17</v>
      </c>
      <c r="N299" s="13"/>
      <c r="O299" s="13"/>
      <c r="P299" s="47"/>
      <c r="Q299" s="45" t="s">
        <v>3672</v>
      </c>
      <c r="R299" s="45" t="s">
        <v>5596</v>
      </c>
      <c r="S299" s="48"/>
      <c r="T299" s="49" t="str">
        <f t="shared" si="16"/>
        <v>[W320D.B]</v>
      </c>
      <c r="U299" s="12" t="str">
        <f t="shared" si="15"/>
        <v xml:space="preserve"> 레일브라켓 용접#2축(SD213) 운전중에 Ready가 Off 되었습니다.</v>
      </c>
      <c r="V299" s="49" t="str">
        <f t="shared" si="18"/>
        <v>[W320D.B] 레일브라켓 용접#2축(SD213) 운전중에 Ready가 Off 되었습니다.</v>
      </c>
    </row>
    <row r="300" spans="1:22" s="49" customFormat="1" ht="14.15" customHeight="1">
      <c r="A300" s="43" t="s">
        <v>6675</v>
      </c>
      <c r="B300" s="44" t="s">
        <v>6635</v>
      </c>
      <c r="C300" s="50"/>
      <c r="D300" s="10" t="s">
        <v>29</v>
      </c>
      <c r="E300" s="11"/>
      <c r="F300" s="11" t="s">
        <v>18</v>
      </c>
      <c r="G300" s="13"/>
      <c r="H300" s="45" t="s">
        <v>16</v>
      </c>
      <c r="I300" s="47"/>
      <c r="J300" s="12" t="s">
        <v>5749</v>
      </c>
      <c r="K300" s="13" t="s">
        <v>7071</v>
      </c>
      <c r="L300" s="99" t="str">
        <f t="shared" si="17"/>
        <v>W320D.C</v>
      </c>
      <c r="M300" s="13" t="s">
        <v>17</v>
      </c>
      <c r="N300" s="13"/>
      <c r="O300" s="13"/>
      <c r="P300" s="47"/>
      <c r="Q300" s="45" t="s">
        <v>3672</v>
      </c>
      <c r="R300" s="45" t="s">
        <v>5596</v>
      </c>
      <c r="S300" s="48"/>
      <c r="T300" s="49" t="str">
        <f t="shared" si="16"/>
        <v>[W320D.C]</v>
      </c>
      <c r="U300" s="12" t="str">
        <f t="shared" si="15"/>
        <v xml:space="preserve"> 레일브라켓 용접#2축(SD213) FLS가 감지되었습니다.</v>
      </c>
      <c r="V300" s="49" t="str">
        <f t="shared" si="18"/>
        <v>[W320D.C] 레일브라켓 용접#2축(SD213) FLS가 감지되었습니다.</v>
      </c>
    </row>
    <row r="301" spans="1:22" s="49" customFormat="1" ht="14.15" customHeight="1">
      <c r="A301" s="43" t="s">
        <v>6675</v>
      </c>
      <c r="B301" s="44" t="s">
        <v>6635</v>
      </c>
      <c r="C301" s="50"/>
      <c r="D301" s="10" t="s">
        <v>29</v>
      </c>
      <c r="E301" s="11"/>
      <c r="F301" s="11" t="s">
        <v>18</v>
      </c>
      <c r="G301" s="13"/>
      <c r="H301" s="45" t="s">
        <v>16</v>
      </c>
      <c r="I301" s="47"/>
      <c r="J301" s="12" t="s">
        <v>5750</v>
      </c>
      <c r="K301" s="13" t="s">
        <v>7072</v>
      </c>
      <c r="L301" s="99" t="str">
        <f t="shared" si="17"/>
        <v>W320D.D</v>
      </c>
      <c r="M301" s="13" t="s">
        <v>17</v>
      </c>
      <c r="N301" s="13"/>
      <c r="O301" s="13"/>
      <c r="P301" s="47"/>
      <c r="Q301" s="45" t="s">
        <v>3672</v>
      </c>
      <c r="R301" s="45" t="s">
        <v>5596</v>
      </c>
      <c r="S301" s="48"/>
      <c r="T301" s="49" t="str">
        <f t="shared" si="16"/>
        <v>[W320D.D]</v>
      </c>
      <c r="U301" s="12" t="str">
        <f t="shared" si="15"/>
        <v xml:space="preserve"> 레일브라켓 용접#2축(SD213) RLS가 감지되었습니다.</v>
      </c>
      <c r="V301" s="49" t="str">
        <f t="shared" si="18"/>
        <v>[W320D.D] 레일브라켓 용접#2축(SD213) RLS가 감지되었습니다.</v>
      </c>
    </row>
    <row r="302" spans="1:22" s="49" customFormat="1" ht="14.15" customHeight="1">
      <c r="A302" s="43" t="s">
        <v>6675</v>
      </c>
      <c r="B302" s="44" t="s">
        <v>6635</v>
      </c>
      <c r="C302" s="50"/>
      <c r="D302" s="10" t="s">
        <v>29</v>
      </c>
      <c r="E302" s="11"/>
      <c r="F302" s="11" t="s">
        <v>18</v>
      </c>
      <c r="G302" s="13"/>
      <c r="H302" s="45" t="s">
        <v>16</v>
      </c>
      <c r="I302" s="47"/>
      <c r="J302" s="12" t="s">
        <v>5751</v>
      </c>
      <c r="K302" s="13" t="s">
        <v>7073</v>
      </c>
      <c r="L302" s="99" t="str">
        <f t="shared" si="17"/>
        <v>W320D.E</v>
      </c>
      <c r="M302" s="13" t="s">
        <v>17</v>
      </c>
      <c r="N302" s="13"/>
      <c r="O302" s="13"/>
      <c r="P302" s="47"/>
      <c r="Q302" s="45" t="s">
        <v>3672</v>
      </c>
      <c r="R302" s="45" t="s">
        <v>5596</v>
      </c>
      <c r="S302" s="48"/>
      <c r="T302" s="49" t="str">
        <f t="shared" si="16"/>
        <v>[W320D.E]</v>
      </c>
      <c r="U302" s="12" t="str">
        <f t="shared" si="15"/>
        <v xml:space="preserve"> 레일브라켓 용접#2축(SD213) Stop 명령이 On된 상태에서 기동을 시도했습니다.</v>
      </c>
      <c r="V302" s="49" t="str">
        <f t="shared" si="18"/>
        <v>[W320D.E] 레일브라켓 용접#2축(SD213) Stop 명령이 On된 상태에서 기동을 시도했습니다.</v>
      </c>
    </row>
    <row r="303" spans="1:22" s="49" customFormat="1" ht="14.15" customHeight="1">
      <c r="A303" s="43" t="s">
        <v>6675</v>
      </c>
      <c r="B303" s="44" t="s">
        <v>6635</v>
      </c>
      <c r="C303" s="50"/>
      <c r="D303" s="10" t="s">
        <v>29</v>
      </c>
      <c r="E303" s="11"/>
      <c r="F303" s="11" t="s">
        <v>18</v>
      </c>
      <c r="G303" s="13"/>
      <c r="H303" s="45" t="s">
        <v>16</v>
      </c>
      <c r="I303" s="47"/>
      <c r="J303" s="12" t="s">
        <v>5752</v>
      </c>
      <c r="K303" s="13" t="s">
        <v>7074</v>
      </c>
      <c r="L303" s="99" t="str">
        <f t="shared" si="17"/>
        <v>W320D.F</v>
      </c>
      <c r="M303" s="13" t="s">
        <v>17</v>
      </c>
      <c r="N303" s="13"/>
      <c r="O303" s="13"/>
      <c r="P303" s="47"/>
      <c r="Q303" s="45" t="s">
        <v>3672</v>
      </c>
      <c r="R303" s="45" t="s">
        <v>5596</v>
      </c>
      <c r="S303" s="48"/>
      <c r="T303" s="49" t="str">
        <f t="shared" si="16"/>
        <v>[W320D.F]</v>
      </c>
      <c r="U303" s="12" t="str">
        <f t="shared" si="15"/>
        <v xml:space="preserve"> 레일브라켓 용접#2축(SD213) 가동 전원이 Off 되었습니다.</v>
      </c>
      <c r="V303" s="49" t="str">
        <f t="shared" si="18"/>
        <v>[W320D.F] 레일브라켓 용접#2축(SD213) 가동 전원이 Off 되었습니다.</v>
      </c>
    </row>
    <row r="304" spans="1:22" s="49" customFormat="1" ht="14.15" customHeight="1">
      <c r="A304" s="43" t="s">
        <v>6675</v>
      </c>
      <c r="B304" s="44" t="s">
        <v>6635</v>
      </c>
      <c r="C304" s="50"/>
      <c r="D304" s="10" t="s">
        <v>29</v>
      </c>
      <c r="E304" s="11"/>
      <c r="F304" s="11" t="s">
        <v>18</v>
      </c>
      <c r="G304" s="13"/>
      <c r="H304" s="45" t="s">
        <v>16</v>
      </c>
      <c r="I304" s="47"/>
      <c r="J304" s="12" t="s">
        <v>5753</v>
      </c>
      <c r="K304" s="13" t="s">
        <v>7075</v>
      </c>
      <c r="L304" s="99" t="str">
        <f t="shared" si="17"/>
        <v>W320E.0</v>
      </c>
      <c r="M304" s="13" t="s">
        <v>17</v>
      </c>
      <c r="N304" s="13"/>
      <c r="O304" s="13"/>
      <c r="P304" s="47"/>
      <c r="Q304" s="45" t="s">
        <v>3672</v>
      </c>
      <c r="R304" s="45" t="s">
        <v>5596</v>
      </c>
      <c r="S304" s="48"/>
      <c r="T304" s="49" t="str">
        <f t="shared" si="16"/>
        <v>[W320E.0]</v>
      </c>
      <c r="U304" s="12" t="str">
        <f t="shared" si="15"/>
        <v xml:space="preserve"> 레일브라켓 용접#2축(SD213) 엔코더 이상이 검출되었습니다.</v>
      </c>
      <c r="V304" s="49" t="str">
        <f t="shared" si="18"/>
        <v>[W320E.0] 레일브라켓 용접#2축(SD213) 엔코더 이상이 검출되었습니다.</v>
      </c>
    </row>
    <row r="305" spans="1:22" s="49" customFormat="1" ht="14.15" customHeight="1">
      <c r="A305" s="43" t="s">
        <v>6675</v>
      </c>
      <c r="B305" s="44" t="s">
        <v>6635</v>
      </c>
      <c r="C305" s="50"/>
      <c r="D305" s="10" t="s">
        <v>29</v>
      </c>
      <c r="E305" s="11"/>
      <c r="F305" s="11" t="s">
        <v>18</v>
      </c>
      <c r="G305" s="13"/>
      <c r="H305" s="45" t="s">
        <v>16</v>
      </c>
      <c r="I305" s="47"/>
      <c r="J305" s="12" t="s">
        <v>5754</v>
      </c>
      <c r="K305" s="13" t="s">
        <v>7076</v>
      </c>
      <c r="L305" s="99" t="str">
        <f t="shared" si="17"/>
        <v>W320E.1</v>
      </c>
      <c r="M305" s="13" t="s">
        <v>17</v>
      </c>
      <c r="N305" s="13"/>
      <c r="O305" s="13"/>
      <c r="P305" s="47"/>
      <c r="Q305" s="45" t="s">
        <v>3672</v>
      </c>
      <c r="R305" s="45" t="s">
        <v>5596</v>
      </c>
      <c r="S305" s="48"/>
      <c r="T305" s="49" t="str">
        <f t="shared" si="16"/>
        <v>[W320E.1]</v>
      </c>
      <c r="U305" s="12" t="str">
        <f t="shared" si="15"/>
        <v xml:space="preserve"> 레일브라켓 용접#2축(SD213) 과전류가 검출되었습니다.</v>
      </c>
      <c r="V305" s="49" t="str">
        <f t="shared" si="18"/>
        <v>[W320E.1] 레일브라켓 용접#2축(SD213) 과전류가 검출되었습니다.</v>
      </c>
    </row>
    <row r="306" spans="1:22" s="49" customFormat="1" ht="14.15" customHeight="1">
      <c r="A306" s="43" t="s">
        <v>6675</v>
      </c>
      <c r="B306" s="44" t="s">
        <v>6635</v>
      </c>
      <c r="C306" s="50"/>
      <c r="D306" s="10" t="s">
        <v>29</v>
      </c>
      <c r="E306" s="11"/>
      <c r="F306" s="11" t="s">
        <v>18</v>
      </c>
      <c r="G306" s="13"/>
      <c r="H306" s="45" t="s">
        <v>16</v>
      </c>
      <c r="I306" s="47"/>
      <c r="J306" s="12" t="s">
        <v>5755</v>
      </c>
      <c r="K306" s="13" t="s">
        <v>7077</v>
      </c>
      <c r="L306" s="99" t="str">
        <f t="shared" si="17"/>
        <v>W320E.2</v>
      </c>
      <c r="M306" s="13" t="s">
        <v>17</v>
      </c>
      <c r="N306" s="13"/>
      <c r="O306" s="13"/>
      <c r="P306" s="47"/>
      <c r="Q306" s="45" t="s">
        <v>3672</v>
      </c>
      <c r="R306" s="45" t="s">
        <v>5596</v>
      </c>
      <c r="S306" s="48"/>
      <c r="T306" s="49" t="str">
        <f t="shared" si="16"/>
        <v>[W320E.2]</v>
      </c>
      <c r="U306" s="12" t="str">
        <f t="shared" si="15"/>
        <v xml:space="preserve"> 레일브라켓 용접#2축(SD213) 과부하가 검출되었습니다.</v>
      </c>
      <c r="V306" s="49" t="str">
        <f t="shared" si="18"/>
        <v>[W320E.2] 레일브라켓 용접#2축(SD213) 과부하가 검출되었습니다.</v>
      </c>
    </row>
    <row r="307" spans="1:22" s="49" customFormat="1" ht="14.15" customHeight="1">
      <c r="A307" s="43" t="s">
        <v>6675</v>
      </c>
      <c r="B307" s="44" t="s">
        <v>6635</v>
      </c>
      <c r="C307" s="50"/>
      <c r="D307" s="10" t="s">
        <v>29</v>
      </c>
      <c r="E307" s="11"/>
      <c r="F307" s="11" t="s">
        <v>18</v>
      </c>
      <c r="G307" s="13"/>
      <c r="H307" s="45" t="s">
        <v>16</v>
      </c>
      <c r="I307" s="47"/>
      <c r="J307" s="12" t="s">
        <v>5756</v>
      </c>
      <c r="K307" s="13" t="s">
        <v>7078</v>
      </c>
      <c r="L307" s="99" t="str">
        <f t="shared" si="17"/>
        <v>W320E.3</v>
      </c>
      <c r="M307" s="13" t="s">
        <v>17</v>
      </c>
      <c r="N307" s="13"/>
      <c r="O307" s="13"/>
      <c r="P307" s="47"/>
      <c r="Q307" s="45" t="s">
        <v>3672</v>
      </c>
      <c r="R307" s="45" t="s">
        <v>5596</v>
      </c>
      <c r="S307" s="48"/>
      <c r="T307" s="49" t="str">
        <f t="shared" si="16"/>
        <v>[W320E.3]</v>
      </c>
      <c r="U307" s="12" t="str">
        <f t="shared" si="15"/>
        <v xml:space="preserve"> 레일브라켓 용접#2축(SD213)  </v>
      </c>
      <c r="V307" s="49" t="str">
        <f t="shared" si="18"/>
        <v xml:space="preserve">[W320E.3] 레일브라켓 용접#2축(SD213)  </v>
      </c>
    </row>
    <row r="308" spans="1:22" s="49" customFormat="1" ht="14.15" customHeight="1">
      <c r="A308" s="43" t="s">
        <v>6675</v>
      </c>
      <c r="B308" s="44" t="s">
        <v>6635</v>
      </c>
      <c r="C308" s="50"/>
      <c r="D308" s="10" t="s">
        <v>29</v>
      </c>
      <c r="E308" s="11"/>
      <c r="F308" s="11" t="s">
        <v>18</v>
      </c>
      <c r="G308" s="13"/>
      <c r="H308" s="45" t="s">
        <v>16</v>
      </c>
      <c r="I308" s="47"/>
      <c r="J308" s="12" t="s">
        <v>5757</v>
      </c>
      <c r="K308" s="13" t="s">
        <v>7079</v>
      </c>
      <c r="L308" s="99" t="str">
        <f t="shared" si="17"/>
        <v>W320E.4</v>
      </c>
      <c r="M308" s="13" t="s">
        <v>17</v>
      </c>
      <c r="N308" s="13"/>
      <c r="O308" s="13"/>
      <c r="P308" s="47"/>
      <c r="Q308" s="45" t="s">
        <v>3672</v>
      </c>
      <c r="R308" s="45" t="s">
        <v>5596</v>
      </c>
      <c r="S308" s="48"/>
      <c r="T308" s="49" t="str">
        <f t="shared" si="16"/>
        <v>[W320E.4]</v>
      </c>
      <c r="U308" s="12" t="str">
        <f t="shared" si="15"/>
        <v xml:space="preserve"> 레일브라켓 용접#2축(SD213) 에러가 발생했습니다.</v>
      </c>
      <c r="V308" s="49" t="str">
        <f t="shared" si="18"/>
        <v>[W320E.4] 레일브라켓 용접#2축(SD213) 에러가 발생했습니다.</v>
      </c>
    </row>
    <row r="309" spans="1:22" s="49" customFormat="1" ht="14.15" customHeight="1">
      <c r="A309" s="43" t="s">
        <v>6675</v>
      </c>
      <c r="B309" s="44" t="s">
        <v>6635</v>
      </c>
      <c r="C309" s="50"/>
      <c r="D309" s="10" t="s">
        <v>29</v>
      </c>
      <c r="E309" s="11"/>
      <c r="F309" s="11" t="s">
        <v>18</v>
      </c>
      <c r="G309" s="13"/>
      <c r="H309" s="45" t="s">
        <v>16</v>
      </c>
      <c r="I309" s="47"/>
      <c r="J309" s="12" t="s">
        <v>5758</v>
      </c>
      <c r="K309" s="13" t="s">
        <v>7080</v>
      </c>
      <c r="L309" s="99" t="str">
        <f t="shared" si="17"/>
        <v>W320E.5</v>
      </c>
      <c r="M309" s="13" t="s">
        <v>17</v>
      </c>
      <c r="N309" s="13"/>
      <c r="O309" s="13"/>
      <c r="P309" s="47"/>
      <c r="Q309" s="45" t="s">
        <v>3672</v>
      </c>
      <c r="R309" s="45" t="s">
        <v>5596</v>
      </c>
      <c r="S309" s="48"/>
      <c r="T309" s="49" t="str">
        <f t="shared" si="16"/>
        <v>[W320E.5]</v>
      </c>
      <c r="U309" s="12" t="str">
        <f t="shared" si="15"/>
        <v xml:space="preserve"> 도어프레임 클린칭 건 X1축(SD214) 운전중에 Ready가 Off 되었습니다.</v>
      </c>
      <c r="V309" s="49" t="str">
        <f t="shared" si="18"/>
        <v>[W320E.5] 도어프레임 클린칭 건 X1축(SD214) 운전중에 Ready가 Off 되었습니다.</v>
      </c>
    </row>
    <row r="310" spans="1:22" s="49" customFormat="1" ht="14.15" customHeight="1">
      <c r="A310" s="43" t="s">
        <v>6675</v>
      </c>
      <c r="B310" s="44" t="s">
        <v>6635</v>
      </c>
      <c r="C310" s="50"/>
      <c r="D310" s="10" t="s">
        <v>29</v>
      </c>
      <c r="E310" s="11"/>
      <c r="F310" s="11" t="s">
        <v>18</v>
      </c>
      <c r="G310" s="13"/>
      <c r="H310" s="45" t="s">
        <v>16</v>
      </c>
      <c r="I310" s="47"/>
      <c r="J310" s="12" t="s">
        <v>5759</v>
      </c>
      <c r="K310" s="13" t="s">
        <v>7081</v>
      </c>
      <c r="L310" s="99" t="str">
        <f t="shared" si="17"/>
        <v>W320E.6</v>
      </c>
      <c r="M310" s="13" t="s">
        <v>17</v>
      </c>
      <c r="N310" s="13"/>
      <c r="O310" s="13"/>
      <c r="P310" s="47"/>
      <c r="Q310" s="45" t="s">
        <v>3672</v>
      </c>
      <c r="R310" s="45" t="s">
        <v>5596</v>
      </c>
      <c r="S310" s="48"/>
      <c r="T310" s="49" t="str">
        <f t="shared" si="16"/>
        <v>[W320E.6]</v>
      </c>
      <c r="U310" s="12" t="str">
        <f t="shared" si="15"/>
        <v xml:space="preserve"> 도어프레임 클린칭 건 X1축(SD214) FLS가 감지되었습니다.</v>
      </c>
      <c r="V310" s="49" t="str">
        <f t="shared" si="18"/>
        <v>[W320E.6] 도어프레임 클린칭 건 X1축(SD214) FLS가 감지되었습니다.</v>
      </c>
    </row>
    <row r="311" spans="1:22" s="49" customFormat="1" ht="14.15" customHeight="1">
      <c r="A311" s="43" t="s">
        <v>6675</v>
      </c>
      <c r="B311" s="44" t="s">
        <v>6635</v>
      </c>
      <c r="C311" s="50"/>
      <c r="D311" s="10" t="s">
        <v>29</v>
      </c>
      <c r="E311" s="11"/>
      <c r="F311" s="11" t="s">
        <v>18</v>
      </c>
      <c r="G311" s="13"/>
      <c r="H311" s="45" t="s">
        <v>16</v>
      </c>
      <c r="I311" s="47"/>
      <c r="J311" s="12" t="s">
        <v>5760</v>
      </c>
      <c r="K311" s="13" t="s">
        <v>7082</v>
      </c>
      <c r="L311" s="99" t="str">
        <f t="shared" si="17"/>
        <v>W320E.7</v>
      </c>
      <c r="M311" s="13" t="s">
        <v>17</v>
      </c>
      <c r="N311" s="13"/>
      <c r="O311" s="13"/>
      <c r="P311" s="47"/>
      <c r="Q311" s="45" t="s">
        <v>3672</v>
      </c>
      <c r="R311" s="45" t="s">
        <v>5596</v>
      </c>
      <c r="S311" s="48"/>
      <c r="T311" s="49" t="str">
        <f t="shared" si="16"/>
        <v>[W320E.7]</v>
      </c>
      <c r="U311" s="12" t="str">
        <f t="shared" si="15"/>
        <v xml:space="preserve"> 도어프레임 클린칭 건 X1축(SD214) RLS가 감지되었습니다.</v>
      </c>
      <c r="V311" s="49" t="str">
        <f t="shared" si="18"/>
        <v>[W320E.7] 도어프레임 클린칭 건 X1축(SD214) RLS가 감지되었습니다.</v>
      </c>
    </row>
    <row r="312" spans="1:22" s="49" customFormat="1" ht="14.15" customHeight="1">
      <c r="A312" s="43" t="s">
        <v>6675</v>
      </c>
      <c r="B312" s="44" t="s">
        <v>6635</v>
      </c>
      <c r="C312" s="50"/>
      <c r="D312" s="10" t="s">
        <v>29</v>
      </c>
      <c r="E312" s="11"/>
      <c r="F312" s="11" t="s">
        <v>18</v>
      </c>
      <c r="G312" s="13"/>
      <c r="H312" s="45" t="s">
        <v>16</v>
      </c>
      <c r="I312" s="46"/>
      <c r="J312" s="12" t="s">
        <v>5761</v>
      </c>
      <c r="K312" s="13" t="s">
        <v>7083</v>
      </c>
      <c r="L312" s="99" t="str">
        <f t="shared" si="17"/>
        <v>W320E.8</v>
      </c>
      <c r="M312" s="13" t="s">
        <v>17</v>
      </c>
      <c r="N312" s="13"/>
      <c r="O312" s="13"/>
      <c r="P312" s="47"/>
      <c r="Q312" s="45" t="s">
        <v>3672</v>
      </c>
      <c r="R312" s="45" t="s">
        <v>5596</v>
      </c>
      <c r="S312" s="48"/>
      <c r="T312" s="49" t="str">
        <f t="shared" si="16"/>
        <v>[W320E.8]</v>
      </c>
      <c r="U312" s="12" t="str">
        <f t="shared" si="15"/>
        <v xml:space="preserve"> 도어프레임 클린칭 건 X1축(SD214) Stop 명령이 On된 상태에서 기동을 시도했습니다.</v>
      </c>
      <c r="V312" s="49" t="str">
        <f t="shared" si="18"/>
        <v>[W320E.8] 도어프레임 클린칭 건 X1축(SD214) Stop 명령이 On된 상태에서 기동을 시도했습니다.</v>
      </c>
    </row>
    <row r="313" spans="1:22" s="49" customFormat="1" ht="14.15" customHeight="1">
      <c r="A313" s="43" t="s">
        <v>6675</v>
      </c>
      <c r="B313" s="44" t="s">
        <v>6635</v>
      </c>
      <c r="C313" s="50"/>
      <c r="D313" s="10" t="s">
        <v>29</v>
      </c>
      <c r="E313" s="11"/>
      <c r="F313" s="11" t="s">
        <v>18</v>
      </c>
      <c r="G313" s="13"/>
      <c r="H313" s="45" t="s">
        <v>16</v>
      </c>
      <c r="I313" s="46"/>
      <c r="J313" s="12" t="s">
        <v>5762</v>
      </c>
      <c r="K313" s="13" t="s">
        <v>7084</v>
      </c>
      <c r="L313" s="99" t="str">
        <f t="shared" si="17"/>
        <v>W320E.9</v>
      </c>
      <c r="M313" s="13" t="s">
        <v>17</v>
      </c>
      <c r="N313" s="13"/>
      <c r="O313" s="13"/>
      <c r="P313" s="47"/>
      <c r="Q313" s="45" t="s">
        <v>3672</v>
      </c>
      <c r="R313" s="45" t="s">
        <v>5596</v>
      </c>
      <c r="S313" s="48"/>
      <c r="T313" s="49" t="str">
        <f t="shared" si="16"/>
        <v>[W320E.9]</v>
      </c>
      <c r="U313" s="12" t="str">
        <f t="shared" si="15"/>
        <v xml:space="preserve"> 도어프레임 클린칭 건 X1축(SD214) 가동 전원이 Off 되었습니다.</v>
      </c>
      <c r="V313" s="49" t="str">
        <f t="shared" si="18"/>
        <v>[W320E.9] 도어프레임 클린칭 건 X1축(SD214) 가동 전원이 Off 되었습니다.</v>
      </c>
    </row>
    <row r="314" spans="1:22" s="49" customFormat="1" ht="14.15" customHeight="1">
      <c r="A314" s="43" t="s">
        <v>6675</v>
      </c>
      <c r="B314" s="44" t="s">
        <v>6635</v>
      </c>
      <c r="C314" s="50"/>
      <c r="D314" s="10" t="s">
        <v>29</v>
      </c>
      <c r="E314" s="11"/>
      <c r="F314" s="11" t="s">
        <v>18</v>
      </c>
      <c r="G314" s="13"/>
      <c r="H314" s="45" t="s">
        <v>16</v>
      </c>
      <c r="I314" s="46"/>
      <c r="J314" s="12" t="s">
        <v>5763</v>
      </c>
      <c r="K314" s="13" t="s">
        <v>7085</v>
      </c>
      <c r="L314" s="99" t="str">
        <f t="shared" si="17"/>
        <v>W320E.A</v>
      </c>
      <c r="M314" s="13" t="s">
        <v>17</v>
      </c>
      <c r="N314" s="13"/>
      <c r="O314" s="13"/>
      <c r="P314" s="47"/>
      <c r="Q314" s="45" t="s">
        <v>3672</v>
      </c>
      <c r="R314" s="45" t="s">
        <v>5596</v>
      </c>
      <c r="S314" s="48"/>
      <c r="T314" s="49" t="str">
        <f t="shared" si="16"/>
        <v>[W320E.A]</v>
      </c>
      <c r="U314" s="12" t="str">
        <f t="shared" si="15"/>
        <v xml:space="preserve"> 도어프레임 클린칭 건 X1축(SD214) 엔코더 이상이 검출되었습니다.</v>
      </c>
      <c r="V314" s="49" t="str">
        <f t="shared" si="18"/>
        <v>[W320E.A] 도어프레임 클린칭 건 X1축(SD214) 엔코더 이상이 검출되었습니다.</v>
      </c>
    </row>
    <row r="315" spans="1:22" s="49" customFormat="1" ht="14.15" customHeight="1">
      <c r="A315" s="43" t="s">
        <v>6675</v>
      </c>
      <c r="B315" s="44" t="s">
        <v>6635</v>
      </c>
      <c r="C315" s="50"/>
      <c r="D315" s="10" t="s">
        <v>29</v>
      </c>
      <c r="E315" s="11"/>
      <c r="F315" s="11" t="s">
        <v>18</v>
      </c>
      <c r="G315" s="13"/>
      <c r="H315" s="45" t="s">
        <v>16</v>
      </c>
      <c r="I315" s="46"/>
      <c r="J315" s="12" t="s">
        <v>5764</v>
      </c>
      <c r="K315" s="13" t="s">
        <v>7086</v>
      </c>
      <c r="L315" s="99" t="str">
        <f t="shared" si="17"/>
        <v>W320E.B</v>
      </c>
      <c r="M315" s="13" t="s">
        <v>17</v>
      </c>
      <c r="N315" s="13"/>
      <c r="O315" s="13"/>
      <c r="P315" s="47"/>
      <c r="Q315" s="45" t="s">
        <v>3672</v>
      </c>
      <c r="R315" s="45" t="s">
        <v>5596</v>
      </c>
      <c r="S315" s="48"/>
      <c r="T315" s="49" t="str">
        <f t="shared" si="16"/>
        <v>[W320E.B]</v>
      </c>
      <c r="U315" s="12" t="str">
        <f t="shared" si="15"/>
        <v xml:space="preserve"> 도어프레임 클린칭 건 X1축(SD214) 과전류가 검출되었습니다.</v>
      </c>
      <c r="V315" s="49" t="str">
        <f t="shared" si="18"/>
        <v>[W320E.B] 도어프레임 클린칭 건 X1축(SD214) 과전류가 검출되었습니다.</v>
      </c>
    </row>
    <row r="316" spans="1:22" s="49" customFormat="1" ht="14.15" customHeight="1">
      <c r="A316" s="43" t="s">
        <v>6675</v>
      </c>
      <c r="B316" s="44" t="s">
        <v>6635</v>
      </c>
      <c r="C316" s="50"/>
      <c r="D316" s="10" t="s">
        <v>29</v>
      </c>
      <c r="E316" s="11"/>
      <c r="F316" s="11" t="s">
        <v>18</v>
      </c>
      <c r="G316" s="13"/>
      <c r="H316" s="45" t="s">
        <v>16</v>
      </c>
      <c r="I316" s="46"/>
      <c r="J316" s="12" t="s">
        <v>5765</v>
      </c>
      <c r="K316" s="13" t="s">
        <v>7087</v>
      </c>
      <c r="L316" s="99" t="str">
        <f t="shared" si="17"/>
        <v>W320E.C</v>
      </c>
      <c r="M316" s="13" t="s">
        <v>17</v>
      </c>
      <c r="N316" s="13"/>
      <c r="O316" s="13"/>
      <c r="P316" s="47"/>
      <c r="Q316" s="45" t="s">
        <v>3672</v>
      </c>
      <c r="R316" s="45" t="s">
        <v>5596</v>
      </c>
      <c r="S316" s="48"/>
      <c r="T316" s="49" t="str">
        <f t="shared" si="16"/>
        <v>[W320E.C]</v>
      </c>
      <c r="U316" s="12" t="str">
        <f t="shared" si="15"/>
        <v xml:space="preserve"> 도어프레임 클린칭 건 X1축(SD214) 과부하가 검출되었습니다.</v>
      </c>
      <c r="V316" s="49" t="str">
        <f t="shared" si="18"/>
        <v>[W320E.C] 도어프레임 클린칭 건 X1축(SD214) 과부하가 검출되었습니다.</v>
      </c>
    </row>
    <row r="317" spans="1:22" s="49" customFormat="1" ht="14.15" customHeight="1">
      <c r="A317" s="43" t="s">
        <v>6675</v>
      </c>
      <c r="B317" s="44" t="s">
        <v>6635</v>
      </c>
      <c r="C317" s="50"/>
      <c r="D317" s="10" t="s">
        <v>29</v>
      </c>
      <c r="E317" s="11"/>
      <c r="F317" s="11" t="s">
        <v>18</v>
      </c>
      <c r="G317" s="13"/>
      <c r="H317" s="45" t="s">
        <v>16</v>
      </c>
      <c r="I317" s="47"/>
      <c r="J317" s="12" t="s">
        <v>5766</v>
      </c>
      <c r="K317" s="13" t="s">
        <v>7088</v>
      </c>
      <c r="L317" s="99" t="str">
        <f t="shared" si="17"/>
        <v>W320E.D</v>
      </c>
      <c r="M317" s="13" t="s">
        <v>17</v>
      </c>
      <c r="N317" s="13"/>
      <c r="O317" s="13"/>
      <c r="P317" s="47"/>
      <c r="Q317" s="45" t="s">
        <v>3672</v>
      </c>
      <c r="R317" s="45" t="s">
        <v>5596</v>
      </c>
      <c r="S317" s="48"/>
      <c r="T317" s="49" t="str">
        <f t="shared" si="16"/>
        <v>[W320E.D]</v>
      </c>
      <c r="U317" s="12" t="str">
        <f t="shared" si="15"/>
        <v xml:space="preserve"> 도어프레임 클린칭 건 X1축(SD214)  </v>
      </c>
      <c r="V317" s="49" t="str">
        <f t="shared" si="18"/>
        <v xml:space="preserve">[W320E.D] 도어프레임 클린칭 건 X1축(SD214)  </v>
      </c>
    </row>
    <row r="318" spans="1:22" s="49" customFormat="1" ht="14.15" customHeight="1">
      <c r="A318" s="43" t="s">
        <v>6675</v>
      </c>
      <c r="B318" s="44" t="s">
        <v>6635</v>
      </c>
      <c r="C318" s="50"/>
      <c r="D318" s="10" t="s">
        <v>29</v>
      </c>
      <c r="E318" s="11"/>
      <c r="F318" s="11" t="s">
        <v>18</v>
      </c>
      <c r="G318" s="13"/>
      <c r="H318" s="45" t="s">
        <v>16</v>
      </c>
      <c r="I318" s="46"/>
      <c r="J318" s="12" t="s">
        <v>5767</v>
      </c>
      <c r="K318" s="13" t="s">
        <v>7089</v>
      </c>
      <c r="L318" s="99" t="str">
        <f t="shared" si="17"/>
        <v>W320E.E</v>
      </c>
      <c r="M318" s="13" t="s">
        <v>17</v>
      </c>
      <c r="N318" s="13"/>
      <c r="O318" s="13"/>
      <c r="P318" s="47"/>
      <c r="Q318" s="45" t="s">
        <v>3672</v>
      </c>
      <c r="R318" s="45" t="s">
        <v>5596</v>
      </c>
      <c r="S318" s="48"/>
      <c r="T318" s="49" t="str">
        <f t="shared" si="16"/>
        <v>[W320E.E]</v>
      </c>
      <c r="U318" s="12" t="str">
        <f t="shared" si="15"/>
        <v xml:space="preserve"> 도어프레임 클린칭 건 X1축(SD214) 에러가 발생했습니다.</v>
      </c>
      <c r="V318" s="49" t="str">
        <f t="shared" si="18"/>
        <v>[W320E.E] 도어프레임 클린칭 건 X1축(SD214) 에러가 발생했습니다.</v>
      </c>
    </row>
    <row r="319" spans="1:22" s="49" customFormat="1" ht="14.15" customHeight="1">
      <c r="A319" s="43" t="s">
        <v>6675</v>
      </c>
      <c r="B319" s="44" t="s">
        <v>6635</v>
      </c>
      <c r="C319" s="50"/>
      <c r="D319" s="10" t="s">
        <v>29</v>
      </c>
      <c r="E319" s="11"/>
      <c r="F319" s="11" t="s">
        <v>18</v>
      </c>
      <c r="G319" s="13"/>
      <c r="H319" s="45" t="s">
        <v>16</v>
      </c>
      <c r="I319" s="46"/>
      <c r="J319" s="12" t="s">
        <v>5768</v>
      </c>
      <c r="K319" s="13" t="s">
        <v>7090</v>
      </c>
      <c r="L319" s="99" t="str">
        <f t="shared" si="17"/>
        <v>W320E.F</v>
      </c>
      <c r="M319" s="13" t="s">
        <v>17</v>
      </c>
      <c r="N319" s="13"/>
      <c r="O319" s="13"/>
      <c r="P319" s="47"/>
      <c r="Q319" s="45" t="s">
        <v>3672</v>
      </c>
      <c r="R319" s="45" t="s">
        <v>5596</v>
      </c>
      <c r="S319" s="48"/>
      <c r="T319" s="49" t="str">
        <f t="shared" si="16"/>
        <v>[W320E.F]</v>
      </c>
      <c r="U319" s="12" t="str">
        <f t="shared" si="15"/>
        <v xml:space="preserve"> 도어프레임 클린칭 건 X2축(SD215) 운전중에 Ready가 Off 되었습니다.</v>
      </c>
      <c r="V319" s="49" t="str">
        <f t="shared" si="18"/>
        <v>[W320E.F] 도어프레임 클린칭 건 X2축(SD215) 운전중에 Ready가 Off 되었습니다.</v>
      </c>
    </row>
    <row r="320" spans="1:22" s="49" customFormat="1" ht="14.15" customHeight="1">
      <c r="A320" s="43" t="s">
        <v>6675</v>
      </c>
      <c r="B320" s="44" t="s">
        <v>6635</v>
      </c>
      <c r="C320" s="50"/>
      <c r="D320" s="10" t="s">
        <v>29</v>
      </c>
      <c r="E320" s="11"/>
      <c r="F320" s="11" t="s">
        <v>18</v>
      </c>
      <c r="G320" s="13"/>
      <c r="H320" s="45" t="s">
        <v>16</v>
      </c>
      <c r="I320" s="46"/>
      <c r="J320" s="12" t="s">
        <v>5769</v>
      </c>
      <c r="K320" s="13" t="s">
        <v>7091</v>
      </c>
      <c r="L320" s="99" t="str">
        <f t="shared" si="17"/>
        <v>W320F.0</v>
      </c>
      <c r="M320" s="13" t="s">
        <v>17</v>
      </c>
      <c r="N320" s="13"/>
      <c r="O320" s="13"/>
      <c r="P320" s="47"/>
      <c r="Q320" s="45" t="s">
        <v>3672</v>
      </c>
      <c r="R320" s="45" t="s">
        <v>5596</v>
      </c>
      <c r="S320" s="48"/>
      <c r="T320" s="49" t="str">
        <f t="shared" si="16"/>
        <v>[W320F.0]</v>
      </c>
      <c r="U320" s="12" t="str">
        <f t="shared" si="15"/>
        <v xml:space="preserve"> 도어프레임 클린칭 건 X2축(SD215) FLS가 감지되었습니다.</v>
      </c>
      <c r="V320" s="49" t="str">
        <f t="shared" si="18"/>
        <v>[W320F.0] 도어프레임 클린칭 건 X2축(SD215) FLS가 감지되었습니다.</v>
      </c>
    </row>
    <row r="321" spans="1:22" s="49" customFormat="1" ht="14.15" customHeight="1">
      <c r="A321" s="43" t="s">
        <v>6675</v>
      </c>
      <c r="B321" s="44" t="s">
        <v>6635</v>
      </c>
      <c r="C321" s="50"/>
      <c r="D321" s="10" t="s">
        <v>29</v>
      </c>
      <c r="E321" s="11"/>
      <c r="F321" s="11" t="s">
        <v>18</v>
      </c>
      <c r="G321" s="13"/>
      <c r="H321" s="45" t="s">
        <v>16</v>
      </c>
      <c r="I321" s="46"/>
      <c r="J321" s="12" t="s">
        <v>5770</v>
      </c>
      <c r="K321" s="13" t="s">
        <v>7092</v>
      </c>
      <c r="L321" s="99" t="str">
        <f t="shared" si="17"/>
        <v>W320F.1</v>
      </c>
      <c r="M321" s="13" t="s">
        <v>17</v>
      </c>
      <c r="N321" s="13"/>
      <c r="O321" s="13"/>
      <c r="P321" s="51"/>
      <c r="Q321" s="45" t="s">
        <v>3672</v>
      </c>
      <c r="R321" s="45" t="s">
        <v>5596</v>
      </c>
      <c r="S321" s="48"/>
      <c r="T321" s="49" t="str">
        <f t="shared" si="16"/>
        <v>[W320F.1]</v>
      </c>
      <c r="U321" s="12" t="str">
        <f t="shared" si="15"/>
        <v xml:space="preserve"> 도어프레임 클린칭 건 X2축(SD215) RLS가 감지되었습니다.</v>
      </c>
      <c r="V321" s="49" t="str">
        <f t="shared" si="18"/>
        <v>[W320F.1] 도어프레임 클린칭 건 X2축(SD215) RLS가 감지되었습니다.</v>
      </c>
    </row>
    <row r="322" spans="1:22" s="49" customFormat="1" ht="14.15" customHeight="1">
      <c r="A322" s="43" t="s">
        <v>6675</v>
      </c>
      <c r="B322" s="44" t="s">
        <v>6635</v>
      </c>
      <c r="C322" s="50"/>
      <c r="D322" s="10" t="s">
        <v>29</v>
      </c>
      <c r="E322" s="11"/>
      <c r="F322" s="11" t="s">
        <v>18</v>
      </c>
      <c r="G322" s="13"/>
      <c r="H322" s="45" t="s">
        <v>16</v>
      </c>
      <c r="I322" s="46"/>
      <c r="J322" s="12" t="s">
        <v>5771</v>
      </c>
      <c r="K322" s="13" t="s">
        <v>7093</v>
      </c>
      <c r="L322" s="99" t="str">
        <f t="shared" si="17"/>
        <v>W320F.2</v>
      </c>
      <c r="M322" s="13" t="s">
        <v>17</v>
      </c>
      <c r="N322" s="13"/>
      <c r="O322" s="13"/>
      <c r="P322" s="51"/>
      <c r="Q322" s="45" t="s">
        <v>3672</v>
      </c>
      <c r="R322" s="45" t="s">
        <v>5596</v>
      </c>
      <c r="S322" s="48"/>
      <c r="T322" s="49" t="str">
        <f t="shared" si="16"/>
        <v>[W320F.2]</v>
      </c>
      <c r="U322" s="12" t="str">
        <f t="shared" si="15"/>
        <v xml:space="preserve"> 도어프레임 클린칭 건 X2축(SD215) Stop 명령이 On된 상태에서 기동을 시도했습니다.</v>
      </c>
      <c r="V322" s="49" t="str">
        <f t="shared" si="18"/>
        <v>[W320F.2] 도어프레임 클린칭 건 X2축(SD215) Stop 명령이 On된 상태에서 기동을 시도했습니다.</v>
      </c>
    </row>
    <row r="323" spans="1:22" s="49" customFormat="1" ht="14.15" customHeight="1">
      <c r="A323" s="43" t="s">
        <v>6675</v>
      </c>
      <c r="B323" s="44" t="s">
        <v>6635</v>
      </c>
      <c r="C323" s="50"/>
      <c r="D323" s="10" t="s">
        <v>29</v>
      </c>
      <c r="E323" s="11"/>
      <c r="F323" s="11" t="s">
        <v>18</v>
      </c>
      <c r="G323" s="13"/>
      <c r="H323" s="45" t="s">
        <v>16</v>
      </c>
      <c r="I323" s="46"/>
      <c r="J323" s="12" t="s">
        <v>5772</v>
      </c>
      <c r="K323" s="13" t="s">
        <v>7094</v>
      </c>
      <c r="L323" s="99" t="str">
        <f t="shared" si="17"/>
        <v>W320F.3</v>
      </c>
      <c r="M323" s="13" t="s">
        <v>17</v>
      </c>
      <c r="N323" s="13"/>
      <c r="O323" s="13"/>
      <c r="P323" s="51"/>
      <c r="Q323" s="45" t="s">
        <v>3672</v>
      </c>
      <c r="R323" s="45" t="s">
        <v>5596</v>
      </c>
      <c r="S323" s="48"/>
      <c r="T323" s="49" t="str">
        <f t="shared" si="16"/>
        <v>[W320F.3]</v>
      </c>
      <c r="U323" s="12" t="str">
        <f t="shared" si="15"/>
        <v xml:space="preserve"> 도어프레임 클린칭 건 X2축(SD215) 가동 전원이 Off 되었습니다.</v>
      </c>
      <c r="V323" s="49" t="str">
        <f t="shared" si="18"/>
        <v>[W320F.3] 도어프레임 클린칭 건 X2축(SD215) 가동 전원이 Off 되었습니다.</v>
      </c>
    </row>
    <row r="324" spans="1:22" s="49" customFormat="1" ht="14.15" customHeight="1">
      <c r="A324" s="43" t="s">
        <v>6675</v>
      </c>
      <c r="B324" s="44" t="s">
        <v>6635</v>
      </c>
      <c r="C324" s="50"/>
      <c r="D324" s="10" t="s">
        <v>29</v>
      </c>
      <c r="E324" s="11"/>
      <c r="F324" s="11" t="s">
        <v>18</v>
      </c>
      <c r="G324" s="13"/>
      <c r="H324" s="45" t="s">
        <v>16</v>
      </c>
      <c r="I324" s="46"/>
      <c r="J324" s="12" t="s">
        <v>5773</v>
      </c>
      <c r="K324" s="13" t="s">
        <v>7095</v>
      </c>
      <c r="L324" s="99" t="str">
        <f t="shared" si="17"/>
        <v>W320F.4</v>
      </c>
      <c r="M324" s="13" t="s">
        <v>17</v>
      </c>
      <c r="N324" s="13"/>
      <c r="O324" s="13"/>
      <c r="P324" s="51"/>
      <c r="Q324" s="45" t="s">
        <v>3672</v>
      </c>
      <c r="R324" s="45" t="s">
        <v>5596</v>
      </c>
      <c r="S324" s="48"/>
      <c r="T324" s="49" t="str">
        <f t="shared" si="16"/>
        <v>[W320F.4]</v>
      </c>
      <c r="U324" s="12" t="str">
        <f t="shared" si="15"/>
        <v xml:space="preserve"> 도어프레임 클린칭 건 X2축(SD215) 엔코더 이상이 검출되었습니다.</v>
      </c>
      <c r="V324" s="49" t="str">
        <f t="shared" si="18"/>
        <v>[W320F.4] 도어프레임 클린칭 건 X2축(SD215) 엔코더 이상이 검출되었습니다.</v>
      </c>
    </row>
    <row r="325" spans="1:22" s="49" customFormat="1" ht="14.15" customHeight="1">
      <c r="A325" s="43" t="s">
        <v>6675</v>
      </c>
      <c r="B325" s="44" t="s">
        <v>6635</v>
      </c>
      <c r="C325" s="50"/>
      <c r="D325" s="10" t="s">
        <v>29</v>
      </c>
      <c r="E325" s="11"/>
      <c r="F325" s="11" t="s">
        <v>18</v>
      </c>
      <c r="G325" s="13"/>
      <c r="H325" s="45" t="s">
        <v>16</v>
      </c>
      <c r="I325" s="46"/>
      <c r="J325" s="12" t="s">
        <v>5774</v>
      </c>
      <c r="K325" s="13" t="s">
        <v>7096</v>
      </c>
      <c r="L325" s="99" t="str">
        <f t="shared" si="17"/>
        <v>W320F.5</v>
      </c>
      <c r="M325" s="13" t="s">
        <v>17</v>
      </c>
      <c r="N325" s="13"/>
      <c r="O325" s="13"/>
      <c r="P325" s="51"/>
      <c r="Q325" s="45" t="s">
        <v>3672</v>
      </c>
      <c r="R325" s="45" t="s">
        <v>5596</v>
      </c>
      <c r="S325" s="48"/>
      <c r="T325" s="49" t="str">
        <f t="shared" si="16"/>
        <v>[W320F.5]</v>
      </c>
      <c r="U325" s="12" t="str">
        <f t="shared" si="15"/>
        <v xml:space="preserve"> 도어프레임 클린칭 건 X2축(SD215) 과전류가 검출되었습니다.</v>
      </c>
      <c r="V325" s="49" t="str">
        <f t="shared" si="18"/>
        <v>[W320F.5] 도어프레임 클린칭 건 X2축(SD215) 과전류가 검출되었습니다.</v>
      </c>
    </row>
    <row r="326" spans="1:22" s="49" customFormat="1" ht="14.15" customHeight="1">
      <c r="A326" s="43" t="s">
        <v>6675</v>
      </c>
      <c r="B326" s="44" t="s">
        <v>6635</v>
      </c>
      <c r="C326" s="50"/>
      <c r="D326" s="10" t="s">
        <v>29</v>
      </c>
      <c r="E326" s="11"/>
      <c r="F326" s="11" t="s">
        <v>18</v>
      </c>
      <c r="G326" s="13"/>
      <c r="H326" s="45" t="s">
        <v>16</v>
      </c>
      <c r="I326" s="46"/>
      <c r="J326" s="12" t="s">
        <v>5775</v>
      </c>
      <c r="K326" s="13" t="s">
        <v>7097</v>
      </c>
      <c r="L326" s="99" t="str">
        <f t="shared" si="17"/>
        <v>W320F.6</v>
      </c>
      <c r="M326" s="13" t="s">
        <v>17</v>
      </c>
      <c r="N326" s="13"/>
      <c r="O326" s="13"/>
      <c r="P326" s="51"/>
      <c r="Q326" s="45" t="s">
        <v>3672</v>
      </c>
      <c r="R326" s="45" t="s">
        <v>5596</v>
      </c>
      <c r="S326" s="48"/>
      <c r="T326" s="49" t="str">
        <f t="shared" si="16"/>
        <v>[W320F.6]</v>
      </c>
      <c r="U326" s="12" t="str">
        <f t="shared" si="15"/>
        <v xml:space="preserve"> 도어프레임 클린칭 건 X2축(SD215) 과부하가 검출되었습니다.</v>
      </c>
      <c r="V326" s="49" t="str">
        <f t="shared" si="18"/>
        <v>[W320F.6] 도어프레임 클린칭 건 X2축(SD215) 과부하가 검출되었습니다.</v>
      </c>
    </row>
    <row r="327" spans="1:22" s="49" customFormat="1" ht="14.15" customHeight="1">
      <c r="A327" s="43" t="s">
        <v>6675</v>
      </c>
      <c r="B327" s="44" t="s">
        <v>6635</v>
      </c>
      <c r="C327" s="50"/>
      <c r="D327" s="10" t="s">
        <v>29</v>
      </c>
      <c r="E327" s="11"/>
      <c r="F327" s="11" t="s">
        <v>18</v>
      </c>
      <c r="G327" s="13"/>
      <c r="H327" s="45" t="s">
        <v>16</v>
      </c>
      <c r="I327" s="46"/>
      <c r="J327" s="12" t="s">
        <v>5776</v>
      </c>
      <c r="K327" s="13" t="s">
        <v>7098</v>
      </c>
      <c r="L327" s="99" t="str">
        <f t="shared" si="17"/>
        <v>W320F.7</v>
      </c>
      <c r="M327" s="13" t="s">
        <v>17</v>
      </c>
      <c r="N327" s="13"/>
      <c r="O327" s="13"/>
      <c r="P327" s="51"/>
      <c r="Q327" s="45" t="s">
        <v>3672</v>
      </c>
      <c r="R327" s="45" t="s">
        <v>5596</v>
      </c>
      <c r="S327" s="48"/>
      <c r="T327" s="49" t="str">
        <f t="shared" si="16"/>
        <v>[W320F.7]</v>
      </c>
      <c r="U327" s="12" t="str">
        <f t="shared" si="15"/>
        <v xml:space="preserve"> 도어프레임 클린칭 건 X2축(SD215)  </v>
      </c>
      <c r="V327" s="49" t="str">
        <f t="shared" si="18"/>
        <v xml:space="preserve">[W320F.7] 도어프레임 클린칭 건 X2축(SD215)  </v>
      </c>
    </row>
    <row r="328" spans="1:22" s="49" customFormat="1" ht="14.15" customHeight="1">
      <c r="A328" s="43" t="s">
        <v>6675</v>
      </c>
      <c r="B328" s="44" t="s">
        <v>6635</v>
      </c>
      <c r="C328" s="50"/>
      <c r="D328" s="10" t="s">
        <v>29</v>
      </c>
      <c r="E328" s="11"/>
      <c r="F328" s="11" t="s">
        <v>18</v>
      </c>
      <c r="G328" s="13"/>
      <c r="H328" s="45" t="s">
        <v>16</v>
      </c>
      <c r="I328" s="46"/>
      <c r="J328" s="12" t="s">
        <v>5777</v>
      </c>
      <c r="K328" s="13" t="s">
        <v>7099</v>
      </c>
      <c r="L328" s="99" t="str">
        <f t="shared" si="17"/>
        <v>W320F.8</v>
      </c>
      <c r="M328" s="13" t="s">
        <v>17</v>
      </c>
      <c r="N328" s="13"/>
      <c r="O328" s="13"/>
      <c r="P328" s="51"/>
      <c r="Q328" s="45" t="s">
        <v>3672</v>
      </c>
      <c r="R328" s="45" t="s">
        <v>5596</v>
      </c>
      <c r="S328" s="48"/>
      <c r="T328" s="49" t="str">
        <f t="shared" si="16"/>
        <v>[W320F.8]</v>
      </c>
      <c r="U328" s="12" t="str">
        <f t="shared" si="15"/>
        <v xml:space="preserve"> 도어프레임 클린칭 건 X2축(SD215) 에러가 발생했습니다.</v>
      </c>
      <c r="V328" s="49" t="str">
        <f t="shared" si="18"/>
        <v>[W320F.8] 도어프레임 클린칭 건 X2축(SD215) 에러가 발생했습니다.</v>
      </c>
    </row>
    <row r="329" spans="1:22" s="49" customFormat="1" ht="14.15" customHeight="1">
      <c r="A329" s="44"/>
      <c r="B329" s="44" t="s">
        <v>6635</v>
      </c>
      <c r="C329" s="50"/>
      <c r="D329" s="10" t="s">
        <v>29</v>
      </c>
      <c r="E329" s="11"/>
      <c r="F329" s="11" t="s">
        <v>18</v>
      </c>
      <c r="G329" s="13"/>
      <c r="H329" s="45" t="s">
        <v>16</v>
      </c>
      <c r="I329" s="46"/>
      <c r="J329" s="12" t="s">
        <v>5778</v>
      </c>
      <c r="K329" s="13" t="s">
        <v>7100</v>
      </c>
      <c r="L329" s="99" t="str">
        <f t="shared" si="17"/>
        <v>W320F.9</v>
      </c>
      <c r="M329" s="13" t="s">
        <v>17</v>
      </c>
      <c r="N329" s="13"/>
      <c r="O329" s="13"/>
      <c r="P329" s="51"/>
      <c r="Q329" s="45" t="s">
        <v>3672</v>
      </c>
      <c r="R329" s="45" t="s">
        <v>5596</v>
      </c>
      <c r="S329" s="48"/>
      <c r="T329" s="49" t="str">
        <f t="shared" si="16"/>
        <v>[W320F.9]</v>
      </c>
      <c r="U329" s="12" t="str">
        <f t="shared" si="15"/>
        <v xml:space="preserve"> 도어프레임 클린칭 건 X3축(SD216) 운전중에 Ready가 Off 되었습니다.</v>
      </c>
      <c r="V329" s="49" t="str">
        <f t="shared" si="18"/>
        <v>[W320F.9] 도어프레임 클린칭 건 X3축(SD216) 운전중에 Ready가 Off 되었습니다.</v>
      </c>
    </row>
    <row r="330" spans="1:22" s="49" customFormat="1" ht="14.15" customHeight="1">
      <c r="A330" s="44"/>
      <c r="B330" s="44" t="s">
        <v>6635</v>
      </c>
      <c r="C330" s="50"/>
      <c r="D330" s="10" t="s">
        <v>29</v>
      </c>
      <c r="E330" s="11"/>
      <c r="F330" s="11" t="s">
        <v>18</v>
      </c>
      <c r="G330" s="13"/>
      <c r="H330" s="45" t="s">
        <v>16</v>
      </c>
      <c r="I330" s="46"/>
      <c r="J330" s="12" t="s">
        <v>5779</v>
      </c>
      <c r="K330" s="13" t="s">
        <v>7101</v>
      </c>
      <c r="L330" s="99" t="str">
        <f t="shared" si="17"/>
        <v>W320F.A</v>
      </c>
      <c r="M330" s="13" t="s">
        <v>17</v>
      </c>
      <c r="N330" s="13"/>
      <c r="O330" s="13"/>
      <c r="P330" s="51"/>
      <c r="Q330" s="45" t="s">
        <v>3672</v>
      </c>
      <c r="R330" s="45" t="s">
        <v>5596</v>
      </c>
      <c r="S330" s="48"/>
      <c r="T330" s="49" t="str">
        <f t="shared" si="16"/>
        <v>[W320F.A]</v>
      </c>
      <c r="U330" s="12" t="str">
        <f t="shared" si="15"/>
        <v xml:space="preserve"> 도어프레임 클린칭 건 X3축(SD216) FLS가 감지되었습니다.</v>
      </c>
      <c r="V330" s="49" t="str">
        <f t="shared" si="18"/>
        <v>[W320F.A] 도어프레임 클린칭 건 X3축(SD216) FLS가 감지되었습니다.</v>
      </c>
    </row>
    <row r="331" spans="1:22" s="49" customFormat="1" ht="14.15" customHeight="1">
      <c r="A331" s="44"/>
      <c r="B331" s="44" t="s">
        <v>6635</v>
      </c>
      <c r="C331" s="50"/>
      <c r="D331" s="10" t="s">
        <v>29</v>
      </c>
      <c r="E331" s="11"/>
      <c r="F331" s="11" t="s">
        <v>18</v>
      </c>
      <c r="G331" s="13"/>
      <c r="H331" s="45" t="s">
        <v>16</v>
      </c>
      <c r="I331" s="46"/>
      <c r="J331" s="12" t="s">
        <v>5780</v>
      </c>
      <c r="K331" s="13" t="s">
        <v>7102</v>
      </c>
      <c r="L331" s="99" t="str">
        <f t="shared" si="17"/>
        <v>W320F.B</v>
      </c>
      <c r="M331" s="13" t="s">
        <v>17</v>
      </c>
      <c r="N331" s="13"/>
      <c r="O331" s="13"/>
      <c r="P331" s="51"/>
      <c r="Q331" s="45" t="s">
        <v>3672</v>
      </c>
      <c r="R331" s="45" t="s">
        <v>5596</v>
      </c>
      <c r="S331" s="48"/>
      <c r="T331" s="49" t="str">
        <f t="shared" si="16"/>
        <v>[W320F.B]</v>
      </c>
      <c r="U331" s="12" t="str">
        <f t="shared" si="15"/>
        <v xml:space="preserve"> 도어프레임 클린칭 건 X3축(SD216) RLS가 감지되었습니다.</v>
      </c>
      <c r="V331" s="49" t="str">
        <f t="shared" si="18"/>
        <v>[W320F.B] 도어프레임 클린칭 건 X3축(SD216) RLS가 감지되었습니다.</v>
      </c>
    </row>
    <row r="332" spans="1:22" s="49" customFormat="1" ht="14.15" customHeight="1">
      <c r="A332" s="44"/>
      <c r="B332" s="44" t="s">
        <v>6635</v>
      </c>
      <c r="C332" s="50"/>
      <c r="D332" s="10" t="s">
        <v>29</v>
      </c>
      <c r="E332" s="11"/>
      <c r="F332" s="11" t="s">
        <v>18</v>
      </c>
      <c r="G332" s="13"/>
      <c r="H332" s="45" t="s">
        <v>16</v>
      </c>
      <c r="I332" s="46"/>
      <c r="J332" s="12" t="s">
        <v>5781</v>
      </c>
      <c r="K332" s="13" t="s">
        <v>7103</v>
      </c>
      <c r="L332" s="99" t="str">
        <f t="shared" si="17"/>
        <v>W320F.C</v>
      </c>
      <c r="M332" s="13" t="s">
        <v>17</v>
      </c>
      <c r="N332" s="13"/>
      <c r="O332" s="13"/>
      <c r="P332" s="51"/>
      <c r="Q332" s="45" t="s">
        <v>3672</v>
      </c>
      <c r="R332" s="45" t="s">
        <v>5596</v>
      </c>
      <c r="S332" s="48"/>
      <c r="T332" s="49" t="str">
        <f t="shared" si="16"/>
        <v>[W320F.C]</v>
      </c>
      <c r="U332" s="12" t="str">
        <f t="shared" si="15"/>
        <v xml:space="preserve"> 도어프레임 클린칭 건 X3축(SD216) Stop 명령이 On된 상태에서 기동을 시도했습니다.</v>
      </c>
      <c r="V332" s="49" t="str">
        <f t="shared" si="18"/>
        <v>[W320F.C] 도어프레임 클린칭 건 X3축(SD216) Stop 명령이 On된 상태에서 기동을 시도했습니다.</v>
      </c>
    </row>
    <row r="333" spans="1:22" s="49" customFormat="1" ht="14.15" customHeight="1">
      <c r="A333" s="44"/>
      <c r="B333" s="44" t="s">
        <v>6635</v>
      </c>
      <c r="C333" s="50"/>
      <c r="D333" s="10" t="s">
        <v>29</v>
      </c>
      <c r="E333" s="11"/>
      <c r="F333" s="11" t="s">
        <v>18</v>
      </c>
      <c r="G333" s="13"/>
      <c r="H333" s="45" t="s">
        <v>16</v>
      </c>
      <c r="I333" s="46"/>
      <c r="J333" s="12" t="s">
        <v>5782</v>
      </c>
      <c r="K333" s="13" t="s">
        <v>7104</v>
      </c>
      <c r="L333" s="99" t="str">
        <f t="shared" si="17"/>
        <v>W320F.D</v>
      </c>
      <c r="M333" s="13" t="s">
        <v>17</v>
      </c>
      <c r="N333" s="13"/>
      <c r="O333" s="13"/>
      <c r="P333" s="51"/>
      <c r="Q333" s="45" t="s">
        <v>3672</v>
      </c>
      <c r="R333" s="45" t="s">
        <v>5596</v>
      </c>
      <c r="S333" s="48"/>
      <c r="T333" s="49" t="str">
        <f t="shared" si="16"/>
        <v>[W320F.D]</v>
      </c>
      <c r="U333" s="12" t="str">
        <f t="shared" ref="U333:U367" si="19">RIGHT(J333,LEN(J333)-7)</f>
        <v xml:space="preserve"> 도어프레임 클린칭 건 X3축(SD216) 가동 전원이 Off 되었습니다.</v>
      </c>
      <c r="V333" s="49" t="str">
        <f t="shared" si="18"/>
        <v>[W320F.D] 도어프레임 클린칭 건 X3축(SD216) 가동 전원이 Off 되었습니다.</v>
      </c>
    </row>
    <row r="334" spans="1:22" s="49" customFormat="1" ht="14.15" customHeight="1">
      <c r="A334" s="44"/>
      <c r="B334" s="44" t="s">
        <v>6635</v>
      </c>
      <c r="C334" s="50"/>
      <c r="D334" s="10" t="s">
        <v>29</v>
      </c>
      <c r="E334" s="11"/>
      <c r="F334" s="11" t="s">
        <v>18</v>
      </c>
      <c r="G334" s="13"/>
      <c r="H334" s="45" t="s">
        <v>16</v>
      </c>
      <c r="I334" s="46"/>
      <c r="J334" s="12" t="s">
        <v>5783</v>
      </c>
      <c r="K334" s="13" t="s">
        <v>7105</v>
      </c>
      <c r="L334" s="99" t="str">
        <f t="shared" si="17"/>
        <v>W320F.E</v>
      </c>
      <c r="M334" s="13" t="s">
        <v>17</v>
      </c>
      <c r="N334" s="13"/>
      <c r="O334" s="13"/>
      <c r="P334" s="51"/>
      <c r="Q334" s="45" t="s">
        <v>3672</v>
      </c>
      <c r="R334" s="45" t="s">
        <v>5596</v>
      </c>
      <c r="S334" s="48"/>
      <c r="T334" s="49" t="str">
        <f t="shared" si="16"/>
        <v>[W320F.E]</v>
      </c>
      <c r="U334" s="12" t="str">
        <f t="shared" si="19"/>
        <v xml:space="preserve"> 도어프레임 클린칭 건 X3축(SD216) 엔코더 이상이 검출되었습니다.</v>
      </c>
      <c r="V334" s="49" t="str">
        <f t="shared" si="18"/>
        <v>[W320F.E] 도어프레임 클린칭 건 X3축(SD216) 엔코더 이상이 검출되었습니다.</v>
      </c>
    </row>
    <row r="335" spans="1:22" s="49" customFormat="1" ht="14.15" customHeight="1">
      <c r="A335" s="44"/>
      <c r="B335" s="44" t="s">
        <v>6635</v>
      </c>
      <c r="C335" s="50"/>
      <c r="D335" s="10" t="s">
        <v>29</v>
      </c>
      <c r="E335" s="11"/>
      <c r="F335" s="11" t="s">
        <v>18</v>
      </c>
      <c r="G335" s="13"/>
      <c r="H335" s="45" t="s">
        <v>16</v>
      </c>
      <c r="I335" s="46"/>
      <c r="J335" s="12" t="s">
        <v>5784</v>
      </c>
      <c r="K335" s="13" t="s">
        <v>7106</v>
      </c>
      <c r="L335" s="99" t="str">
        <f t="shared" si="17"/>
        <v>W320F.F</v>
      </c>
      <c r="M335" s="13" t="s">
        <v>17</v>
      </c>
      <c r="N335" s="13"/>
      <c r="O335" s="13"/>
      <c r="P335" s="47"/>
      <c r="Q335" s="45" t="s">
        <v>3672</v>
      </c>
      <c r="R335" s="45" t="s">
        <v>5596</v>
      </c>
      <c r="S335" s="48"/>
      <c r="T335" s="49" t="str">
        <f t="shared" si="16"/>
        <v>[W320F.F]</v>
      </c>
      <c r="U335" s="12" t="str">
        <f t="shared" si="19"/>
        <v xml:space="preserve"> 도어프레임 클린칭 건 X3축(SD216) 과전류가 검출되었습니다.</v>
      </c>
      <c r="V335" s="49" t="str">
        <f t="shared" si="18"/>
        <v>[W320F.F] 도어프레임 클린칭 건 X3축(SD216) 과전류가 검출되었습니다.</v>
      </c>
    </row>
    <row r="336" spans="1:22" s="49" customFormat="1" ht="14.15" customHeight="1">
      <c r="A336" s="44"/>
      <c r="B336" s="44" t="s">
        <v>6635</v>
      </c>
      <c r="C336" s="50"/>
      <c r="D336" s="10" t="s">
        <v>29</v>
      </c>
      <c r="E336" s="11"/>
      <c r="F336" s="11" t="s">
        <v>18</v>
      </c>
      <c r="G336" s="13"/>
      <c r="H336" s="45" t="s">
        <v>16</v>
      </c>
      <c r="I336" s="46"/>
      <c r="J336" s="12" t="s">
        <v>5785</v>
      </c>
      <c r="K336" s="13" t="s">
        <v>7107</v>
      </c>
      <c r="L336" s="99" t="str">
        <f t="shared" si="17"/>
        <v>W3210.0</v>
      </c>
      <c r="M336" s="13" t="s">
        <v>17</v>
      </c>
      <c r="N336" s="13"/>
      <c r="O336" s="13"/>
      <c r="P336" s="47"/>
      <c r="Q336" s="45" t="s">
        <v>3672</v>
      </c>
      <c r="R336" s="45" t="s">
        <v>5596</v>
      </c>
      <c r="S336" s="48"/>
      <c r="T336" s="49" t="str">
        <f t="shared" ref="T336:T399" si="20">"["&amp;L336&amp;"]"</f>
        <v>[W3210.0]</v>
      </c>
      <c r="U336" s="12" t="str">
        <f t="shared" si="19"/>
        <v xml:space="preserve"> 도어프레임 클린칭 건 X3축(SD216) 과부하가 검출되었습니다.</v>
      </c>
      <c r="V336" s="49" t="str">
        <f t="shared" si="18"/>
        <v>[W3210.0] 도어프레임 클린칭 건 X3축(SD216) 과부하가 검출되었습니다.</v>
      </c>
    </row>
    <row r="337" spans="1:22" s="49" customFormat="1" ht="14.15" customHeight="1">
      <c r="A337" s="44"/>
      <c r="B337" s="44" t="s">
        <v>6635</v>
      </c>
      <c r="C337" s="50"/>
      <c r="D337" s="10" t="s">
        <v>29</v>
      </c>
      <c r="E337" s="11"/>
      <c r="F337" s="11" t="s">
        <v>18</v>
      </c>
      <c r="G337" s="13"/>
      <c r="H337" s="45" t="s">
        <v>16</v>
      </c>
      <c r="I337" s="47"/>
      <c r="J337" s="12" t="s">
        <v>5786</v>
      </c>
      <c r="K337" s="13" t="s">
        <v>7108</v>
      </c>
      <c r="L337" s="99" t="str">
        <f t="shared" ref="L337:L400" si="21">"W"&amp;DEC2HEX(12800 + INT((ROW()-80)/16)) &amp; "." &amp; IF(MOD(ROW()-80,16)&lt;10,MOD(ROW()-80,16),CHAR(MOD(ROW()-80,16)+55))</f>
        <v>W3210.1</v>
      </c>
      <c r="M337" s="13" t="s">
        <v>17</v>
      </c>
      <c r="N337" s="13"/>
      <c r="O337" s="13"/>
      <c r="P337" s="47"/>
      <c r="Q337" s="45" t="s">
        <v>3672</v>
      </c>
      <c r="R337" s="45" t="s">
        <v>5596</v>
      </c>
      <c r="S337" s="48"/>
      <c r="T337" s="49" t="str">
        <f t="shared" si="20"/>
        <v>[W3210.1]</v>
      </c>
      <c r="U337" s="12" t="str">
        <f t="shared" si="19"/>
        <v xml:space="preserve"> 도어프레임 클린칭 건 X3축(SD216)  </v>
      </c>
      <c r="V337" s="49" t="str">
        <f t="shared" ref="V337:V400" si="22">T337&amp;U337</f>
        <v xml:space="preserve">[W3210.1] 도어프레임 클린칭 건 X3축(SD216)  </v>
      </c>
    </row>
    <row r="338" spans="1:22" s="49" customFormat="1" ht="14.15" customHeight="1">
      <c r="A338" s="44"/>
      <c r="B338" s="44" t="s">
        <v>6635</v>
      </c>
      <c r="C338" s="50"/>
      <c r="D338" s="10" t="s">
        <v>29</v>
      </c>
      <c r="E338" s="11"/>
      <c r="F338" s="11" t="s">
        <v>18</v>
      </c>
      <c r="G338" s="13"/>
      <c r="H338" s="45" t="s">
        <v>16</v>
      </c>
      <c r="I338" s="47"/>
      <c r="J338" s="12" t="s">
        <v>5787</v>
      </c>
      <c r="K338" s="13" t="s">
        <v>7109</v>
      </c>
      <c r="L338" s="99" t="str">
        <f t="shared" si="21"/>
        <v>W3210.2</v>
      </c>
      <c r="M338" s="13" t="s">
        <v>17</v>
      </c>
      <c r="N338" s="13"/>
      <c r="O338" s="13"/>
      <c r="P338" s="47"/>
      <c r="Q338" s="45" t="s">
        <v>3672</v>
      </c>
      <c r="R338" s="45" t="s">
        <v>5596</v>
      </c>
      <c r="S338" s="48"/>
      <c r="T338" s="49" t="str">
        <f t="shared" si="20"/>
        <v>[W3210.2]</v>
      </c>
      <c r="U338" s="12" t="str">
        <f t="shared" si="19"/>
        <v xml:space="preserve"> 도어프레임 클린칭 건 X3축(SD216) 에러가 발생했습니다.</v>
      </c>
      <c r="V338" s="49" t="str">
        <f t="shared" si="22"/>
        <v>[W3210.2] 도어프레임 클린칭 건 X3축(SD216) 에러가 발생했습니다.</v>
      </c>
    </row>
    <row r="339" spans="1:22" s="49" customFormat="1" ht="14.15" customHeight="1">
      <c r="A339" s="43" t="s">
        <v>6675</v>
      </c>
      <c r="B339" s="44" t="s">
        <v>6635</v>
      </c>
      <c r="C339" s="50"/>
      <c r="D339" s="10" t="s">
        <v>29</v>
      </c>
      <c r="E339" s="11"/>
      <c r="F339" s="11" t="s">
        <v>18</v>
      </c>
      <c r="G339" s="13"/>
      <c r="H339" s="45" t="s">
        <v>16</v>
      </c>
      <c r="I339" s="47"/>
      <c r="J339" s="12" t="s">
        <v>5788</v>
      </c>
      <c r="K339" s="13" t="s">
        <v>7110</v>
      </c>
      <c r="L339" s="99" t="str">
        <f t="shared" si="21"/>
        <v>W3210.3</v>
      </c>
      <c r="M339" s="13" t="s">
        <v>17</v>
      </c>
      <c r="N339" s="13"/>
      <c r="O339" s="13"/>
      <c r="P339" s="47"/>
      <c r="Q339" s="45" t="s">
        <v>3672</v>
      </c>
      <c r="R339" s="45" t="s">
        <v>5596</v>
      </c>
      <c r="S339" s="48"/>
      <c r="T339" s="49" t="str">
        <f t="shared" si="20"/>
        <v>[W3210.3]</v>
      </c>
      <c r="U339" s="12" t="str">
        <f t="shared" si="19"/>
        <v xml:space="preserve"> 상부렉레일 용접#1축(SD217) 운전중에 Ready가 Off 되었습니다.</v>
      </c>
      <c r="V339" s="49" t="str">
        <f t="shared" si="22"/>
        <v>[W3210.3] 상부렉레일 용접#1축(SD217) 운전중에 Ready가 Off 되었습니다.</v>
      </c>
    </row>
    <row r="340" spans="1:22" s="49" customFormat="1" ht="14.15" customHeight="1">
      <c r="A340" s="43" t="s">
        <v>6675</v>
      </c>
      <c r="B340" s="44" t="s">
        <v>6635</v>
      </c>
      <c r="C340" s="50"/>
      <c r="D340" s="10" t="s">
        <v>29</v>
      </c>
      <c r="E340" s="11"/>
      <c r="F340" s="11" t="s">
        <v>18</v>
      </c>
      <c r="G340" s="13"/>
      <c r="H340" s="45" t="s">
        <v>16</v>
      </c>
      <c r="I340" s="47"/>
      <c r="J340" s="12" t="s">
        <v>5789</v>
      </c>
      <c r="K340" s="13" t="s">
        <v>7111</v>
      </c>
      <c r="L340" s="99" t="str">
        <f t="shared" si="21"/>
        <v>W3210.4</v>
      </c>
      <c r="M340" s="13" t="s">
        <v>17</v>
      </c>
      <c r="N340" s="13"/>
      <c r="O340" s="13"/>
      <c r="P340" s="47"/>
      <c r="Q340" s="45" t="s">
        <v>3672</v>
      </c>
      <c r="R340" s="45" t="s">
        <v>5596</v>
      </c>
      <c r="S340" s="48"/>
      <c r="T340" s="49" t="str">
        <f t="shared" si="20"/>
        <v>[W3210.4]</v>
      </c>
      <c r="U340" s="12" t="str">
        <f t="shared" si="19"/>
        <v xml:space="preserve"> 상부렉레일 용접#1축(SD217) FLS가 감지되었습니다.</v>
      </c>
      <c r="V340" s="49" t="str">
        <f t="shared" si="22"/>
        <v>[W3210.4] 상부렉레일 용접#1축(SD217) FLS가 감지되었습니다.</v>
      </c>
    </row>
    <row r="341" spans="1:22" s="49" customFormat="1" ht="14.15" customHeight="1">
      <c r="A341" s="43" t="s">
        <v>6675</v>
      </c>
      <c r="B341" s="44" t="s">
        <v>6635</v>
      </c>
      <c r="C341" s="50"/>
      <c r="D341" s="10" t="s">
        <v>29</v>
      </c>
      <c r="E341" s="11"/>
      <c r="F341" s="11" t="s">
        <v>18</v>
      </c>
      <c r="G341" s="13"/>
      <c r="H341" s="45" t="s">
        <v>16</v>
      </c>
      <c r="I341" s="47"/>
      <c r="J341" s="12" t="s">
        <v>5790</v>
      </c>
      <c r="K341" s="13" t="s">
        <v>7112</v>
      </c>
      <c r="L341" s="99" t="str">
        <f t="shared" si="21"/>
        <v>W3210.5</v>
      </c>
      <c r="M341" s="13" t="s">
        <v>17</v>
      </c>
      <c r="N341" s="13"/>
      <c r="O341" s="13"/>
      <c r="P341" s="47"/>
      <c r="Q341" s="45" t="s">
        <v>3672</v>
      </c>
      <c r="R341" s="45" t="s">
        <v>5596</v>
      </c>
      <c r="S341" s="48"/>
      <c r="T341" s="49" t="str">
        <f t="shared" si="20"/>
        <v>[W3210.5]</v>
      </c>
      <c r="U341" s="12" t="str">
        <f t="shared" si="19"/>
        <v xml:space="preserve"> 상부렉레일 용접#1축(SD217) RLS가 감지되었습니다.</v>
      </c>
      <c r="V341" s="49" t="str">
        <f t="shared" si="22"/>
        <v>[W3210.5] 상부렉레일 용접#1축(SD217) RLS가 감지되었습니다.</v>
      </c>
    </row>
    <row r="342" spans="1:22" s="49" customFormat="1" ht="14.15" customHeight="1">
      <c r="A342" s="43" t="s">
        <v>6675</v>
      </c>
      <c r="B342" s="44" t="s">
        <v>6635</v>
      </c>
      <c r="C342" s="50"/>
      <c r="D342" s="10" t="s">
        <v>29</v>
      </c>
      <c r="E342" s="11"/>
      <c r="F342" s="11" t="s">
        <v>18</v>
      </c>
      <c r="G342" s="13"/>
      <c r="H342" s="45" t="s">
        <v>16</v>
      </c>
      <c r="I342" s="47"/>
      <c r="J342" s="12" t="s">
        <v>5791</v>
      </c>
      <c r="K342" s="13" t="s">
        <v>7113</v>
      </c>
      <c r="L342" s="99" t="str">
        <f t="shared" si="21"/>
        <v>W3210.6</v>
      </c>
      <c r="M342" s="13" t="s">
        <v>17</v>
      </c>
      <c r="N342" s="13"/>
      <c r="O342" s="13"/>
      <c r="P342" s="47"/>
      <c r="Q342" s="45" t="s">
        <v>3672</v>
      </c>
      <c r="R342" s="45" t="s">
        <v>5596</v>
      </c>
      <c r="S342" s="48"/>
      <c r="T342" s="49" t="str">
        <f t="shared" si="20"/>
        <v>[W3210.6]</v>
      </c>
      <c r="U342" s="12" t="str">
        <f t="shared" si="19"/>
        <v xml:space="preserve"> 상부렉레일 용접#1축(SD217) Stop 명령이 On된 상태에서 기동을 시도했습니다.</v>
      </c>
      <c r="V342" s="49" t="str">
        <f t="shared" si="22"/>
        <v>[W3210.6] 상부렉레일 용접#1축(SD217) Stop 명령이 On된 상태에서 기동을 시도했습니다.</v>
      </c>
    </row>
    <row r="343" spans="1:22" s="49" customFormat="1" ht="14.15" customHeight="1">
      <c r="A343" s="43" t="s">
        <v>6675</v>
      </c>
      <c r="B343" s="44" t="s">
        <v>6635</v>
      </c>
      <c r="C343" s="50"/>
      <c r="D343" s="10" t="s">
        <v>29</v>
      </c>
      <c r="E343" s="11"/>
      <c r="F343" s="11" t="s">
        <v>18</v>
      </c>
      <c r="G343" s="13"/>
      <c r="H343" s="45" t="s">
        <v>16</v>
      </c>
      <c r="I343" s="47"/>
      <c r="J343" s="12" t="s">
        <v>5792</v>
      </c>
      <c r="K343" s="13" t="s">
        <v>7114</v>
      </c>
      <c r="L343" s="99" t="str">
        <f t="shared" si="21"/>
        <v>W3210.7</v>
      </c>
      <c r="M343" s="13" t="s">
        <v>17</v>
      </c>
      <c r="N343" s="13"/>
      <c r="O343" s="13"/>
      <c r="P343" s="47"/>
      <c r="Q343" s="45" t="s">
        <v>3672</v>
      </c>
      <c r="R343" s="45" t="s">
        <v>5596</v>
      </c>
      <c r="S343" s="48"/>
      <c r="T343" s="49" t="str">
        <f t="shared" si="20"/>
        <v>[W3210.7]</v>
      </c>
      <c r="U343" s="12" t="str">
        <f t="shared" si="19"/>
        <v xml:space="preserve"> 상부렉레일 용접#1축(SD217) 가동 전원이 Off 되었습니다.</v>
      </c>
      <c r="V343" s="49" t="str">
        <f t="shared" si="22"/>
        <v>[W3210.7] 상부렉레일 용접#1축(SD217) 가동 전원이 Off 되었습니다.</v>
      </c>
    </row>
    <row r="344" spans="1:22" s="49" customFormat="1" ht="14.15" customHeight="1">
      <c r="A344" s="43" t="s">
        <v>6675</v>
      </c>
      <c r="B344" s="44" t="s">
        <v>6635</v>
      </c>
      <c r="C344" s="50"/>
      <c r="D344" s="10" t="s">
        <v>29</v>
      </c>
      <c r="E344" s="11"/>
      <c r="F344" s="11" t="s">
        <v>18</v>
      </c>
      <c r="G344" s="13"/>
      <c r="H344" s="45" t="s">
        <v>16</v>
      </c>
      <c r="I344" s="47"/>
      <c r="J344" s="12" t="s">
        <v>5793</v>
      </c>
      <c r="K344" s="13" t="s">
        <v>7115</v>
      </c>
      <c r="L344" s="99" t="str">
        <f t="shared" si="21"/>
        <v>W3210.8</v>
      </c>
      <c r="M344" s="13" t="s">
        <v>17</v>
      </c>
      <c r="N344" s="13"/>
      <c r="O344" s="13"/>
      <c r="P344" s="47"/>
      <c r="Q344" s="45" t="s">
        <v>3672</v>
      </c>
      <c r="R344" s="45" t="s">
        <v>5596</v>
      </c>
      <c r="S344" s="48"/>
      <c r="T344" s="49" t="str">
        <f t="shared" si="20"/>
        <v>[W3210.8]</v>
      </c>
      <c r="U344" s="12" t="str">
        <f t="shared" si="19"/>
        <v xml:space="preserve"> 상부렉레일 용접#1축(SD217) 엔코더 이상이 검출되었습니다.</v>
      </c>
      <c r="V344" s="49" t="str">
        <f t="shared" si="22"/>
        <v>[W3210.8] 상부렉레일 용접#1축(SD217) 엔코더 이상이 검출되었습니다.</v>
      </c>
    </row>
    <row r="345" spans="1:22" s="49" customFormat="1" ht="14.15" customHeight="1">
      <c r="A345" s="43" t="s">
        <v>6675</v>
      </c>
      <c r="B345" s="44" t="s">
        <v>6635</v>
      </c>
      <c r="C345" s="50"/>
      <c r="D345" s="10" t="s">
        <v>29</v>
      </c>
      <c r="E345" s="11"/>
      <c r="F345" s="11" t="s">
        <v>18</v>
      </c>
      <c r="G345" s="13"/>
      <c r="H345" s="45" t="s">
        <v>16</v>
      </c>
      <c r="I345" s="47"/>
      <c r="J345" s="12" t="s">
        <v>5794</v>
      </c>
      <c r="K345" s="13" t="s">
        <v>7116</v>
      </c>
      <c r="L345" s="99" t="str">
        <f t="shared" si="21"/>
        <v>W3210.9</v>
      </c>
      <c r="M345" s="13" t="s">
        <v>17</v>
      </c>
      <c r="N345" s="13"/>
      <c r="O345" s="13"/>
      <c r="P345" s="47"/>
      <c r="Q345" s="45" t="s">
        <v>3672</v>
      </c>
      <c r="R345" s="45" t="s">
        <v>5596</v>
      </c>
      <c r="S345" s="48"/>
      <c r="T345" s="49" t="str">
        <f t="shared" si="20"/>
        <v>[W3210.9]</v>
      </c>
      <c r="U345" s="12" t="str">
        <f t="shared" si="19"/>
        <v xml:space="preserve"> 상부렉레일 용접#1축(SD217) 과전류가 검출되었습니다.</v>
      </c>
      <c r="V345" s="49" t="str">
        <f t="shared" si="22"/>
        <v>[W3210.9] 상부렉레일 용접#1축(SD217) 과전류가 검출되었습니다.</v>
      </c>
    </row>
    <row r="346" spans="1:22" s="49" customFormat="1" ht="14.15" customHeight="1">
      <c r="A346" s="43" t="s">
        <v>6675</v>
      </c>
      <c r="B346" s="44" t="s">
        <v>6635</v>
      </c>
      <c r="C346" s="50"/>
      <c r="D346" s="10" t="s">
        <v>29</v>
      </c>
      <c r="E346" s="11"/>
      <c r="F346" s="11" t="s">
        <v>18</v>
      </c>
      <c r="G346" s="13"/>
      <c r="H346" s="45" t="s">
        <v>16</v>
      </c>
      <c r="I346" s="47"/>
      <c r="J346" s="12" t="s">
        <v>5795</v>
      </c>
      <c r="K346" s="13" t="s">
        <v>7117</v>
      </c>
      <c r="L346" s="99" t="str">
        <f t="shared" si="21"/>
        <v>W3210.A</v>
      </c>
      <c r="M346" s="13" t="s">
        <v>17</v>
      </c>
      <c r="N346" s="13"/>
      <c r="O346" s="13"/>
      <c r="P346" s="47"/>
      <c r="Q346" s="45" t="s">
        <v>3672</v>
      </c>
      <c r="R346" s="45" t="s">
        <v>5596</v>
      </c>
      <c r="S346" s="48"/>
      <c r="T346" s="49" t="str">
        <f t="shared" si="20"/>
        <v>[W3210.A]</v>
      </c>
      <c r="U346" s="12" t="str">
        <f t="shared" si="19"/>
        <v xml:space="preserve"> 상부렉레일 용접#1축(SD217) 과부하가 검출되었습니다.</v>
      </c>
      <c r="V346" s="49" t="str">
        <f t="shared" si="22"/>
        <v>[W3210.A] 상부렉레일 용접#1축(SD217) 과부하가 검출되었습니다.</v>
      </c>
    </row>
    <row r="347" spans="1:22" s="49" customFormat="1" ht="14.15" customHeight="1">
      <c r="A347" s="43" t="s">
        <v>6675</v>
      </c>
      <c r="B347" s="44" t="s">
        <v>6635</v>
      </c>
      <c r="C347" s="50"/>
      <c r="D347" s="10" t="s">
        <v>29</v>
      </c>
      <c r="E347" s="11"/>
      <c r="F347" s="11" t="s">
        <v>18</v>
      </c>
      <c r="G347" s="13"/>
      <c r="H347" s="45" t="s">
        <v>16</v>
      </c>
      <c r="I347" s="47"/>
      <c r="J347" s="12" t="s">
        <v>5796</v>
      </c>
      <c r="K347" s="13" t="s">
        <v>7118</v>
      </c>
      <c r="L347" s="99" t="str">
        <f t="shared" si="21"/>
        <v>W3210.B</v>
      </c>
      <c r="M347" s="13" t="s">
        <v>17</v>
      </c>
      <c r="N347" s="13"/>
      <c r="O347" s="13"/>
      <c r="P347" s="47"/>
      <c r="Q347" s="45" t="s">
        <v>3672</v>
      </c>
      <c r="R347" s="45" t="s">
        <v>5596</v>
      </c>
      <c r="S347" s="48"/>
      <c r="T347" s="49" t="str">
        <f t="shared" si="20"/>
        <v>[W3210.B]</v>
      </c>
      <c r="U347" s="12" t="str">
        <f t="shared" si="19"/>
        <v xml:space="preserve"> 상부렉레일 용접#1축(SD217)  </v>
      </c>
      <c r="V347" s="49" t="str">
        <f t="shared" si="22"/>
        <v xml:space="preserve">[W3210.B] 상부렉레일 용접#1축(SD217)  </v>
      </c>
    </row>
    <row r="348" spans="1:22" s="49" customFormat="1" ht="14.15" customHeight="1">
      <c r="A348" s="43" t="s">
        <v>6675</v>
      </c>
      <c r="B348" s="44" t="s">
        <v>6635</v>
      </c>
      <c r="C348" s="50"/>
      <c r="D348" s="10" t="s">
        <v>29</v>
      </c>
      <c r="E348" s="11"/>
      <c r="F348" s="11" t="s">
        <v>18</v>
      </c>
      <c r="G348" s="13"/>
      <c r="H348" s="45" t="s">
        <v>16</v>
      </c>
      <c r="I348" s="47"/>
      <c r="J348" s="12" t="s">
        <v>5797</v>
      </c>
      <c r="K348" s="13" t="s">
        <v>7119</v>
      </c>
      <c r="L348" s="99" t="str">
        <f t="shared" si="21"/>
        <v>W3210.C</v>
      </c>
      <c r="M348" s="13" t="s">
        <v>17</v>
      </c>
      <c r="N348" s="13"/>
      <c r="O348" s="13"/>
      <c r="P348" s="47"/>
      <c r="Q348" s="45" t="s">
        <v>3672</v>
      </c>
      <c r="R348" s="45" t="s">
        <v>5596</v>
      </c>
      <c r="S348" s="48"/>
      <c r="T348" s="49" t="str">
        <f t="shared" si="20"/>
        <v>[W3210.C]</v>
      </c>
      <c r="U348" s="12" t="str">
        <f t="shared" si="19"/>
        <v xml:space="preserve"> 상부렉레일 용접#1축(SD217) 에러가 발생했습니다.</v>
      </c>
      <c r="V348" s="49" t="str">
        <f t="shared" si="22"/>
        <v>[W3210.C] 상부렉레일 용접#1축(SD217) 에러가 발생했습니다.</v>
      </c>
    </row>
    <row r="349" spans="1:22" s="49" customFormat="1" ht="14.15" customHeight="1">
      <c r="A349" s="43" t="s">
        <v>6675</v>
      </c>
      <c r="B349" s="44" t="s">
        <v>6635</v>
      </c>
      <c r="C349" s="50"/>
      <c r="D349" s="10" t="s">
        <v>29</v>
      </c>
      <c r="E349" s="11"/>
      <c r="F349" s="11" t="s">
        <v>18</v>
      </c>
      <c r="G349" s="13"/>
      <c r="H349" s="45" t="s">
        <v>16</v>
      </c>
      <c r="I349" s="47"/>
      <c r="J349" s="12" t="s">
        <v>5798</v>
      </c>
      <c r="K349" s="13" t="s">
        <v>7120</v>
      </c>
      <c r="L349" s="99" t="str">
        <f t="shared" si="21"/>
        <v>W3210.D</v>
      </c>
      <c r="M349" s="13" t="s">
        <v>17</v>
      </c>
      <c r="N349" s="13"/>
      <c r="O349" s="13"/>
      <c r="P349" s="47"/>
      <c r="Q349" s="45" t="s">
        <v>3672</v>
      </c>
      <c r="R349" s="45" t="s">
        <v>5596</v>
      </c>
      <c r="S349" s="48"/>
      <c r="T349" s="49" t="str">
        <f t="shared" si="20"/>
        <v>[W3210.D]</v>
      </c>
      <c r="U349" s="12" t="str">
        <f t="shared" si="19"/>
        <v xml:space="preserve"> 상부렉레일 용접#2축(SD218) 운전중에 Ready가 Off 되었습니다.</v>
      </c>
      <c r="V349" s="49" t="str">
        <f t="shared" si="22"/>
        <v>[W3210.D] 상부렉레일 용접#2축(SD218) 운전중에 Ready가 Off 되었습니다.</v>
      </c>
    </row>
    <row r="350" spans="1:22" s="49" customFormat="1" ht="14.15" customHeight="1">
      <c r="A350" s="43" t="s">
        <v>6675</v>
      </c>
      <c r="B350" s="44" t="s">
        <v>6635</v>
      </c>
      <c r="C350" s="50"/>
      <c r="D350" s="10" t="s">
        <v>29</v>
      </c>
      <c r="E350" s="11"/>
      <c r="F350" s="11" t="s">
        <v>18</v>
      </c>
      <c r="G350" s="13"/>
      <c r="H350" s="45" t="s">
        <v>16</v>
      </c>
      <c r="I350" s="47"/>
      <c r="J350" s="12" t="s">
        <v>5799</v>
      </c>
      <c r="K350" s="13" t="s">
        <v>7121</v>
      </c>
      <c r="L350" s="99" t="str">
        <f t="shared" si="21"/>
        <v>W3210.E</v>
      </c>
      <c r="M350" s="13" t="s">
        <v>17</v>
      </c>
      <c r="N350" s="13"/>
      <c r="O350" s="13"/>
      <c r="P350" s="47"/>
      <c r="Q350" s="45" t="s">
        <v>3672</v>
      </c>
      <c r="R350" s="45" t="s">
        <v>5596</v>
      </c>
      <c r="S350" s="48"/>
      <c r="T350" s="49" t="str">
        <f t="shared" si="20"/>
        <v>[W3210.E]</v>
      </c>
      <c r="U350" s="12" t="str">
        <f t="shared" si="19"/>
        <v xml:space="preserve"> 상부렉레일 용접#2축(SD218) FLS가 감지되었습니다.</v>
      </c>
      <c r="V350" s="49" t="str">
        <f t="shared" si="22"/>
        <v>[W3210.E] 상부렉레일 용접#2축(SD218) FLS가 감지되었습니다.</v>
      </c>
    </row>
    <row r="351" spans="1:22" s="49" customFormat="1" ht="14.15" customHeight="1">
      <c r="A351" s="43" t="s">
        <v>6675</v>
      </c>
      <c r="B351" s="44" t="s">
        <v>6635</v>
      </c>
      <c r="C351" s="50"/>
      <c r="D351" s="10" t="s">
        <v>29</v>
      </c>
      <c r="E351" s="11"/>
      <c r="F351" s="11" t="s">
        <v>18</v>
      </c>
      <c r="G351" s="13"/>
      <c r="H351" s="45" t="s">
        <v>16</v>
      </c>
      <c r="I351" s="47"/>
      <c r="J351" s="12" t="s">
        <v>5800</v>
      </c>
      <c r="K351" s="13" t="s">
        <v>7122</v>
      </c>
      <c r="L351" s="99" t="str">
        <f t="shared" si="21"/>
        <v>W3210.F</v>
      </c>
      <c r="M351" s="13" t="s">
        <v>17</v>
      </c>
      <c r="N351" s="13"/>
      <c r="O351" s="13"/>
      <c r="P351" s="47"/>
      <c r="Q351" s="45" t="s">
        <v>3672</v>
      </c>
      <c r="R351" s="45" t="s">
        <v>5596</v>
      </c>
      <c r="S351" s="48"/>
      <c r="T351" s="49" t="str">
        <f t="shared" si="20"/>
        <v>[W3210.F]</v>
      </c>
      <c r="U351" s="12" t="str">
        <f t="shared" si="19"/>
        <v xml:space="preserve"> 상부렉레일 용접#2축(SD218) RLS가 감지되었습니다.</v>
      </c>
      <c r="V351" s="49" t="str">
        <f t="shared" si="22"/>
        <v>[W3210.F] 상부렉레일 용접#2축(SD218) RLS가 감지되었습니다.</v>
      </c>
    </row>
    <row r="352" spans="1:22" s="49" customFormat="1" ht="14.15" customHeight="1">
      <c r="A352" s="43" t="s">
        <v>6675</v>
      </c>
      <c r="B352" s="44" t="s">
        <v>6635</v>
      </c>
      <c r="C352" s="50"/>
      <c r="D352" s="10" t="s">
        <v>29</v>
      </c>
      <c r="E352" s="11"/>
      <c r="F352" s="11" t="s">
        <v>18</v>
      </c>
      <c r="G352" s="13"/>
      <c r="H352" s="45" t="s">
        <v>16</v>
      </c>
      <c r="I352" s="47"/>
      <c r="J352" s="12" t="s">
        <v>5801</v>
      </c>
      <c r="K352" s="13" t="s">
        <v>7123</v>
      </c>
      <c r="L352" s="99" t="str">
        <f t="shared" si="21"/>
        <v>W3211.0</v>
      </c>
      <c r="M352" s="13" t="s">
        <v>17</v>
      </c>
      <c r="N352" s="13"/>
      <c r="O352" s="13"/>
      <c r="P352" s="47"/>
      <c r="Q352" s="45" t="s">
        <v>3672</v>
      </c>
      <c r="R352" s="45" t="s">
        <v>5596</v>
      </c>
      <c r="S352" s="48"/>
      <c r="T352" s="49" t="str">
        <f t="shared" si="20"/>
        <v>[W3211.0]</v>
      </c>
      <c r="U352" s="12" t="str">
        <f t="shared" si="19"/>
        <v xml:space="preserve"> 상부렉레일 용접#2축(SD218) Stop 명령이 On된 상태에서 기동을 시도했습니다.</v>
      </c>
      <c r="V352" s="49" t="str">
        <f t="shared" si="22"/>
        <v>[W3211.0] 상부렉레일 용접#2축(SD218) Stop 명령이 On된 상태에서 기동을 시도했습니다.</v>
      </c>
    </row>
    <row r="353" spans="1:22" s="49" customFormat="1" ht="14.15" customHeight="1">
      <c r="A353" s="43" t="s">
        <v>6675</v>
      </c>
      <c r="B353" s="44" t="s">
        <v>6635</v>
      </c>
      <c r="C353" s="50"/>
      <c r="D353" s="10" t="s">
        <v>29</v>
      </c>
      <c r="E353" s="11"/>
      <c r="F353" s="11" t="s">
        <v>18</v>
      </c>
      <c r="G353" s="13"/>
      <c r="H353" s="45" t="s">
        <v>16</v>
      </c>
      <c r="I353" s="46"/>
      <c r="J353" s="14" t="s">
        <v>5802</v>
      </c>
      <c r="K353" s="13" t="s">
        <v>7124</v>
      </c>
      <c r="L353" s="99" t="str">
        <f t="shared" si="21"/>
        <v>W3211.1</v>
      </c>
      <c r="M353" s="13" t="s">
        <v>17</v>
      </c>
      <c r="N353" s="13"/>
      <c r="O353" s="13"/>
      <c r="P353" s="47"/>
      <c r="Q353" s="45" t="s">
        <v>3672</v>
      </c>
      <c r="R353" s="45" t="s">
        <v>5596</v>
      </c>
      <c r="S353" s="48"/>
      <c r="T353" s="49" t="str">
        <f t="shared" si="20"/>
        <v>[W3211.1]</v>
      </c>
      <c r="U353" s="12" t="str">
        <f t="shared" si="19"/>
        <v xml:space="preserve"> 상부렉레일 용접#2축(SD218) 가동 전원이 Off 되었습니다.</v>
      </c>
      <c r="V353" s="49" t="str">
        <f t="shared" si="22"/>
        <v>[W3211.1] 상부렉레일 용접#2축(SD218) 가동 전원이 Off 되었습니다.</v>
      </c>
    </row>
    <row r="354" spans="1:22" s="49" customFormat="1" ht="14.15" customHeight="1">
      <c r="A354" s="43" t="s">
        <v>6675</v>
      </c>
      <c r="B354" s="44" t="s">
        <v>6635</v>
      </c>
      <c r="C354" s="50"/>
      <c r="D354" s="10" t="s">
        <v>29</v>
      </c>
      <c r="E354" s="11"/>
      <c r="F354" s="11" t="s">
        <v>18</v>
      </c>
      <c r="G354" s="13"/>
      <c r="H354" s="45" t="s">
        <v>16</v>
      </c>
      <c r="I354" s="46"/>
      <c r="J354" s="14" t="s">
        <v>5803</v>
      </c>
      <c r="K354" s="13" t="s">
        <v>7125</v>
      </c>
      <c r="L354" s="99" t="str">
        <f t="shared" si="21"/>
        <v>W3211.2</v>
      </c>
      <c r="M354" s="13" t="s">
        <v>17</v>
      </c>
      <c r="N354" s="13"/>
      <c r="O354" s="13"/>
      <c r="P354" s="47"/>
      <c r="Q354" s="45" t="s">
        <v>3672</v>
      </c>
      <c r="R354" s="45" t="s">
        <v>5596</v>
      </c>
      <c r="S354" s="48"/>
      <c r="T354" s="49" t="str">
        <f t="shared" si="20"/>
        <v>[W3211.2]</v>
      </c>
      <c r="U354" s="12" t="str">
        <f t="shared" si="19"/>
        <v xml:space="preserve"> 상부렉레일 용접#2축(SD218) 엔코더 이상이 검출되었습니다.</v>
      </c>
      <c r="V354" s="49" t="str">
        <f t="shared" si="22"/>
        <v>[W3211.2] 상부렉레일 용접#2축(SD218) 엔코더 이상이 검출되었습니다.</v>
      </c>
    </row>
    <row r="355" spans="1:22" s="49" customFormat="1" ht="14.15" customHeight="1">
      <c r="A355" s="43" t="s">
        <v>6675</v>
      </c>
      <c r="B355" s="44" t="s">
        <v>6635</v>
      </c>
      <c r="C355" s="50"/>
      <c r="D355" s="10" t="s">
        <v>29</v>
      </c>
      <c r="E355" s="11"/>
      <c r="F355" s="11" t="s">
        <v>18</v>
      </c>
      <c r="G355" s="13"/>
      <c r="H355" s="45" t="s">
        <v>16</v>
      </c>
      <c r="I355" s="46"/>
      <c r="J355" s="14" t="s">
        <v>5804</v>
      </c>
      <c r="K355" s="13" t="s">
        <v>7126</v>
      </c>
      <c r="L355" s="99" t="str">
        <f t="shared" si="21"/>
        <v>W3211.3</v>
      </c>
      <c r="M355" s="13" t="s">
        <v>17</v>
      </c>
      <c r="N355" s="13"/>
      <c r="O355" s="13"/>
      <c r="P355" s="47"/>
      <c r="Q355" s="45" t="s">
        <v>3672</v>
      </c>
      <c r="R355" s="45" t="s">
        <v>5596</v>
      </c>
      <c r="S355" s="48"/>
      <c r="T355" s="49" t="str">
        <f t="shared" si="20"/>
        <v>[W3211.3]</v>
      </c>
      <c r="U355" s="12" t="str">
        <f t="shared" si="19"/>
        <v xml:space="preserve"> 상부렉레일 용접#2축(SD218) 과전류가 검출되었습니다.</v>
      </c>
      <c r="V355" s="49" t="str">
        <f t="shared" si="22"/>
        <v>[W3211.3] 상부렉레일 용접#2축(SD218) 과전류가 검출되었습니다.</v>
      </c>
    </row>
    <row r="356" spans="1:22" s="49" customFormat="1" ht="14.15" customHeight="1">
      <c r="A356" s="43" t="s">
        <v>6675</v>
      </c>
      <c r="B356" s="44" t="s">
        <v>6635</v>
      </c>
      <c r="C356" s="50"/>
      <c r="D356" s="10" t="s">
        <v>29</v>
      </c>
      <c r="E356" s="11"/>
      <c r="F356" s="11" t="s">
        <v>18</v>
      </c>
      <c r="G356" s="13"/>
      <c r="H356" s="45" t="s">
        <v>16</v>
      </c>
      <c r="I356" s="46"/>
      <c r="J356" s="14" t="s">
        <v>5805</v>
      </c>
      <c r="K356" s="13" t="s">
        <v>7127</v>
      </c>
      <c r="L356" s="99" t="str">
        <f t="shared" si="21"/>
        <v>W3211.4</v>
      </c>
      <c r="M356" s="13" t="s">
        <v>17</v>
      </c>
      <c r="N356" s="13"/>
      <c r="O356" s="13"/>
      <c r="P356" s="47"/>
      <c r="Q356" s="45" t="s">
        <v>3672</v>
      </c>
      <c r="R356" s="45" t="s">
        <v>5596</v>
      </c>
      <c r="S356" s="48"/>
      <c r="T356" s="49" t="str">
        <f t="shared" si="20"/>
        <v>[W3211.4]</v>
      </c>
      <c r="U356" s="12" t="str">
        <f t="shared" si="19"/>
        <v xml:space="preserve"> 상부렉레일 용접#2축(SD218) 과부하가 검출되었습니다.</v>
      </c>
      <c r="V356" s="49" t="str">
        <f t="shared" si="22"/>
        <v>[W3211.4] 상부렉레일 용접#2축(SD218) 과부하가 검출되었습니다.</v>
      </c>
    </row>
    <row r="357" spans="1:22" s="49" customFormat="1" ht="14.15" customHeight="1">
      <c r="A357" s="43" t="s">
        <v>6675</v>
      </c>
      <c r="B357" s="44" t="s">
        <v>6635</v>
      </c>
      <c r="C357" s="50"/>
      <c r="D357" s="10" t="s">
        <v>29</v>
      </c>
      <c r="E357" s="11"/>
      <c r="F357" s="11" t="s">
        <v>18</v>
      </c>
      <c r="G357" s="13"/>
      <c r="H357" s="45" t="s">
        <v>16</v>
      </c>
      <c r="I357" s="46"/>
      <c r="J357" s="14" t="s">
        <v>5806</v>
      </c>
      <c r="K357" s="13" t="s">
        <v>7128</v>
      </c>
      <c r="L357" s="99" t="str">
        <f t="shared" si="21"/>
        <v>W3211.5</v>
      </c>
      <c r="M357" s="13" t="s">
        <v>17</v>
      </c>
      <c r="N357" s="13"/>
      <c r="O357" s="13"/>
      <c r="P357" s="47"/>
      <c r="Q357" s="45" t="s">
        <v>3672</v>
      </c>
      <c r="R357" s="45" t="s">
        <v>5596</v>
      </c>
      <c r="S357" s="48"/>
      <c r="T357" s="49" t="str">
        <f t="shared" si="20"/>
        <v>[W3211.5]</v>
      </c>
      <c r="U357" s="12" t="str">
        <f t="shared" si="19"/>
        <v xml:space="preserve"> 상부렉레일 용접#2축(SD218)  </v>
      </c>
      <c r="V357" s="49" t="str">
        <f t="shared" si="22"/>
        <v xml:space="preserve">[W3211.5] 상부렉레일 용접#2축(SD218)  </v>
      </c>
    </row>
    <row r="358" spans="1:22" s="49" customFormat="1" ht="14.15" customHeight="1">
      <c r="A358" s="43" t="s">
        <v>6675</v>
      </c>
      <c r="B358" s="44" t="s">
        <v>6635</v>
      </c>
      <c r="C358" s="50"/>
      <c r="D358" s="10" t="s">
        <v>29</v>
      </c>
      <c r="E358" s="11"/>
      <c r="F358" s="11" t="s">
        <v>18</v>
      </c>
      <c r="G358" s="13"/>
      <c r="H358" s="45" t="s">
        <v>16</v>
      </c>
      <c r="I358" s="47"/>
      <c r="J358" s="12" t="s">
        <v>5807</v>
      </c>
      <c r="K358" s="13" t="s">
        <v>7129</v>
      </c>
      <c r="L358" s="99" t="str">
        <f t="shared" si="21"/>
        <v>W3211.6</v>
      </c>
      <c r="M358" s="13" t="s">
        <v>17</v>
      </c>
      <c r="N358" s="13"/>
      <c r="O358" s="13"/>
      <c r="P358" s="47"/>
      <c r="Q358" s="45" t="s">
        <v>3672</v>
      </c>
      <c r="R358" s="45" t="s">
        <v>5596</v>
      </c>
      <c r="S358" s="48"/>
      <c r="T358" s="49" t="str">
        <f t="shared" si="20"/>
        <v>[W3211.6]</v>
      </c>
      <c r="U358" s="12" t="str">
        <f t="shared" si="19"/>
        <v xml:space="preserve"> 상부렉레일 용접#2축(SD218) 에러가 발생했습니다.</v>
      </c>
      <c r="V358" s="49" t="str">
        <f t="shared" si="22"/>
        <v>[W3211.6] 상부렉레일 용접#2축(SD218) 에러가 발생했습니다.</v>
      </c>
    </row>
    <row r="359" spans="1:22" s="49" customFormat="1" ht="14.15" customHeight="1">
      <c r="A359" s="43" t="s">
        <v>6675</v>
      </c>
      <c r="B359" s="44" t="s">
        <v>6635</v>
      </c>
      <c r="C359" s="50"/>
      <c r="D359" s="10" t="s">
        <v>29</v>
      </c>
      <c r="E359" s="11"/>
      <c r="F359" s="11" t="s">
        <v>18</v>
      </c>
      <c r="G359" s="13"/>
      <c r="H359" s="45" t="s">
        <v>16</v>
      </c>
      <c r="I359" s="47"/>
      <c r="J359" s="12" t="s">
        <v>5808</v>
      </c>
      <c r="K359" s="13" t="s">
        <v>7130</v>
      </c>
      <c r="L359" s="99" t="str">
        <f t="shared" si="21"/>
        <v>W3211.7</v>
      </c>
      <c r="M359" s="13" t="s">
        <v>17</v>
      </c>
      <c r="N359" s="13"/>
      <c r="O359" s="13"/>
      <c r="P359" s="47"/>
      <c r="Q359" s="45" t="s">
        <v>3672</v>
      </c>
      <c r="R359" s="45" t="s">
        <v>5596</v>
      </c>
      <c r="S359" s="48"/>
      <c r="T359" s="49" t="str">
        <f t="shared" si="20"/>
        <v>[W3211.7]</v>
      </c>
      <c r="U359" s="12" t="str">
        <f t="shared" si="19"/>
        <v xml:space="preserve"> 도어프레임 클린칭 건#1축(SD219) 운전중에 Ready가 Off 되었습니다.</v>
      </c>
      <c r="V359" s="49" t="str">
        <f t="shared" si="22"/>
        <v>[W3211.7] 도어프레임 클린칭 건#1축(SD219) 운전중에 Ready가 Off 되었습니다.</v>
      </c>
    </row>
    <row r="360" spans="1:22" s="49" customFormat="1" ht="14.15" customHeight="1">
      <c r="A360" s="43" t="s">
        <v>6675</v>
      </c>
      <c r="B360" s="44" t="s">
        <v>6635</v>
      </c>
      <c r="C360" s="50"/>
      <c r="D360" s="10" t="s">
        <v>29</v>
      </c>
      <c r="E360" s="11"/>
      <c r="F360" s="11" t="s">
        <v>18</v>
      </c>
      <c r="G360" s="13"/>
      <c r="H360" s="45" t="s">
        <v>16</v>
      </c>
      <c r="I360" s="47"/>
      <c r="J360" s="12" t="s">
        <v>5809</v>
      </c>
      <c r="K360" s="13" t="s">
        <v>7131</v>
      </c>
      <c r="L360" s="99" t="str">
        <f t="shared" si="21"/>
        <v>W3211.8</v>
      </c>
      <c r="M360" s="13" t="s">
        <v>17</v>
      </c>
      <c r="N360" s="13"/>
      <c r="O360" s="13"/>
      <c r="P360" s="47"/>
      <c r="Q360" s="45" t="s">
        <v>3672</v>
      </c>
      <c r="R360" s="45" t="s">
        <v>5596</v>
      </c>
      <c r="S360" s="48"/>
      <c r="T360" s="49" t="str">
        <f t="shared" si="20"/>
        <v>[W3211.8]</v>
      </c>
      <c r="U360" s="12" t="str">
        <f t="shared" si="19"/>
        <v xml:space="preserve"> 도어프레임 클린칭 건#1축(SD219) FLS가 감지되었습니다.</v>
      </c>
      <c r="V360" s="49" t="str">
        <f t="shared" si="22"/>
        <v>[W3211.8] 도어프레임 클린칭 건#1축(SD219) FLS가 감지되었습니다.</v>
      </c>
    </row>
    <row r="361" spans="1:22" s="49" customFormat="1" ht="14.15" customHeight="1">
      <c r="A361" s="43" t="s">
        <v>6675</v>
      </c>
      <c r="B361" s="44" t="s">
        <v>6635</v>
      </c>
      <c r="C361" s="50"/>
      <c r="D361" s="10" t="s">
        <v>29</v>
      </c>
      <c r="E361" s="11"/>
      <c r="F361" s="11" t="s">
        <v>18</v>
      </c>
      <c r="G361" s="13"/>
      <c r="H361" s="45" t="s">
        <v>16</v>
      </c>
      <c r="I361" s="47"/>
      <c r="J361" s="12" t="s">
        <v>5810</v>
      </c>
      <c r="K361" s="13" t="s">
        <v>7132</v>
      </c>
      <c r="L361" s="99" t="str">
        <f t="shared" si="21"/>
        <v>W3211.9</v>
      </c>
      <c r="M361" s="13" t="s">
        <v>17</v>
      </c>
      <c r="N361" s="13"/>
      <c r="O361" s="13"/>
      <c r="P361" s="47"/>
      <c r="Q361" s="45" t="s">
        <v>3672</v>
      </c>
      <c r="R361" s="45" t="s">
        <v>5596</v>
      </c>
      <c r="S361" s="48"/>
      <c r="T361" s="49" t="str">
        <f t="shared" si="20"/>
        <v>[W3211.9]</v>
      </c>
      <c r="U361" s="12" t="str">
        <f t="shared" si="19"/>
        <v xml:space="preserve"> 도어프레임 클린칭 건#1축(SD219) RLS가 감지되었습니다.</v>
      </c>
      <c r="V361" s="49" t="str">
        <f t="shared" si="22"/>
        <v>[W3211.9] 도어프레임 클린칭 건#1축(SD219) RLS가 감지되었습니다.</v>
      </c>
    </row>
    <row r="362" spans="1:22" s="49" customFormat="1" ht="14.15" customHeight="1">
      <c r="A362" s="43" t="s">
        <v>6675</v>
      </c>
      <c r="B362" s="44" t="s">
        <v>6635</v>
      </c>
      <c r="C362" s="50"/>
      <c r="D362" s="10" t="s">
        <v>29</v>
      </c>
      <c r="E362" s="11"/>
      <c r="F362" s="11" t="s">
        <v>18</v>
      </c>
      <c r="G362" s="13"/>
      <c r="H362" s="45" t="s">
        <v>16</v>
      </c>
      <c r="I362" s="47"/>
      <c r="J362" s="12" t="s">
        <v>5811</v>
      </c>
      <c r="K362" s="13" t="s">
        <v>7133</v>
      </c>
      <c r="L362" s="99" t="str">
        <f t="shared" si="21"/>
        <v>W3211.A</v>
      </c>
      <c r="M362" s="13" t="s">
        <v>17</v>
      </c>
      <c r="N362" s="13"/>
      <c r="O362" s="13"/>
      <c r="P362" s="47"/>
      <c r="Q362" s="45" t="s">
        <v>3672</v>
      </c>
      <c r="R362" s="45" t="s">
        <v>5596</v>
      </c>
      <c r="S362" s="48"/>
      <c r="T362" s="49" t="str">
        <f t="shared" si="20"/>
        <v>[W3211.A]</v>
      </c>
      <c r="U362" s="12" t="str">
        <f t="shared" si="19"/>
        <v xml:space="preserve"> 도어프레임 클린칭 건#1축(SD219) Stop 명령이 On된 상태에서 기동을 시도했습니다.</v>
      </c>
      <c r="V362" s="49" t="str">
        <f t="shared" si="22"/>
        <v>[W3211.A] 도어프레임 클린칭 건#1축(SD219) Stop 명령이 On된 상태에서 기동을 시도했습니다.</v>
      </c>
    </row>
    <row r="363" spans="1:22" s="49" customFormat="1" ht="14.15" customHeight="1">
      <c r="A363" s="43" t="s">
        <v>6675</v>
      </c>
      <c r="B363" s="44" t="s">
        <v>6635</v>
      </c>
      <c r="C363" s="50"/>
      <c r="D363" s="10" t="s">
        <v>29</v>
      </c>
      <c r="E363" s="11"/>
      <c r="F363" s="11" t="s">
        <v>18</v>
      </c>
      <c r="G363" s="13"/>
      <c r="H363" s="45" t="s">
        <v>16</v>
      </c>
      <c r="I363" s="47"/>
      <c r="J363" s="12" t="s">
        <v>5812</v>
      </c>
      <c r="K363" s="13" t="s">
        <v>7134</v>
      </c>
      <c r="L363" s="99" t="str">
        <f t="shared" si="21"/>
        <v>W3211.B</v>
      </c>
      <c r="M363" s="13" t="s">
        <v>17</v>
      </c>
      <c r="N363" s="13"/>
      <c r="O363" s="13"/>
      <c r="P363" s="47"/>
      <c r="Q363" s="45" t="s">
        <v>3672</v>
      </c>
      <c r="R363" s="45" t="s">
        <v>5596</v>
      </c>
      <c r="S363" s="48"/>
      <c r="T363" s="49" t="str">
        <f t="shared" si="20"/>
        <v>[W3211.B]</v>
      </c>
      <c r="U363" s="12" t="str">
        <f t="shared" si="19"/>
        <v xml:space="preserve"> 도어프레임 클린칭 건#1축(SD219) 가동 전원이 Off 되었습니다.</v>
      </c>
      <c r="V363" s="49" t="str">
        <f t="shared" si="22"/>
        <v>[W3211.B] 도어프레임 클린칭 건#1축(SD219) 가동 전원이 Off 되었습니다.</v>
      </c>
    </row>
    <row r="364" spans="1:22" s="49" customFormat="1" ht="14.15" customHeight="1">
      <c r="A364" s="43" t="s">
        <v>6675</v>
      </c>
      <c r="B364" s="44" t="s">
        <v>6635</v>
      </c>
      <c r="C364" s="50"/>
      <c r="D364" s="10" t="s">
        <v>29</v>
      </c>
      <c r="E364" s="11"/>
      <c r="F364" s="11" t="s">
        <v>18</v>
      </c>
      <c r="G364" s="13"/>
      <c r="H364" s="45" t="s">
        <v>16</v>
      </c>
      <c r="I364" s="47"/>
      <c r="J364" s="12" t="s">
        <v>5813</v>
      </c>
      <c r="K364" s="13" t="s">
        <v>7135</v>
      </c>
      <c r="L364" s="99" t="str">
        <f t="shared" si="21"/>
        <v>W3211.C</v>
      </c>
      <c r="M364" s="13" t="s">
        <v>17</v>
      </c>
      <c r="N364" s="13"/>
      <c r="O364" s="13"/>
      <c r="P364" s="47"/>
      <c r="Q364" s="45" t="s">
        <v>3672</v>
      </c>
      <c r="R364" s="45" t="s">
        <v>5596</v>
      </c>
      <c r="S364" s="48"/>
      <c r="T364" s="49" t="str">
        <f t="shared" si="20"/>
        <v>[W3211.C]</v>
      </c>
      <c r="U364" s="12" t="str">
        <f t="shared" si="19"/>
        <v xml:space="preserve"> 도어프레임 클린칭 건#1축(SD219) 엔코더 이상이 검출되었습니다.</v>
      </c>
      <c r="V364" s="49" t="str">
        <f t="shared" si="22"/>
        <v>[W3211.C] 도어프레임 클린칭 건#1축(SD219) 엔코더 이상이 검출되었습니다.</v>
      </c>
    </row>
    <row r="365" spans="1:22" s="49" customFormat="1" ht="14.15" customHeight="1">
      <c r="A365" s="43" t="s">
        <v>6675</v>
      </c>
      <c r="B365" s="44" t="s">
        <v>6635</v>
      </c>
      <c r="C365" s="50"/>
      <c r="D365" s="10" t="s">
        <v>29</v>
      </c>
      <c r="E365" s="11"/>
      <c r="F365" s="11" t="s">
        <v>18</v>
      </c>
      <c r="G365" s="13"/>
      <c r="H365" s="45" t="s">
        <v>16</v>
      </c>
      <c r="I365" s="47"/>
      <c r="J365" s="12" t="s">
        <v>5814</v>
      </c>
      <c r="K365" s="13" t="s">
        <v>7136</v>
      </c>
      <c r="L365" s="99" t="str">
        <f t="shared" si="21"/>
        <v>W3211.D</v>
      </c>
      <c r="M365" s="13" t="s">
        <v>17</v>
      </c>
      <c r="N365" s="13"/>
      <c r="O365" s="13"/>
      <c r="P365" s="47"/>
      <c r="Q365" s="45" t="s">
        <v>3672</v>
      </c>
      <c r="R365" s="45" t="s">
        <v>5596</v>
      </c>
      <c r="S365" s="48"/>
      <c r="T365" s="49" t="str">
        <f t="shared" si="20"/>
        <v>[W3211.D]</v>
      </c>
      <c r="U365" s="12" t="str">
        <f t="shared" si="19"/>
        <v xml:space="preserve"> 도어프레임 클린칭 건#1축(SD219) 과전류가 검출되었습니다.</v>
      </c>
      <c r="V365" s="49" t="str">
        <f t="shared" si="22"/>
        <v>[W3211.D] 도어프레임 클린칭 건#1축(SD219) 과전류가 검출되었습니다.</v>
      </c>
    </row>
    <row r="366" spans="1:22" s="49" customFormat="1" ht="14.15" customHeight="1">
      <c r="A366" s="43" t="s">
        <v>6675</v>
      </c>
      <c r="B366" s="44" t="s">
        <v>6635</v>
      </c>
      <c r="C366" s="50"/>
      <c r="D366" s="10" t="s">
        <v>29</v>
      </c>
      <c r="E366" s="11"/>
      <c r="F366" s="11" t="s">
        <v>18</v>
      </c>
      <c r="G366" s="13"/>
      <c r="H366" s="45" t="s">
        <v>16</v>
      </c>
      <c r="I366" s="46"/>
      <c r="J366" s="14" t="s">
        <v>5815</v>
      </c>
      <c r="K366" s="13" t="s">
        <v>7137</v>
      </c>
      <c r="L366" s="99" t="str">
        <f t="shared" si="21"/>
        <v>W3211.E</v>
      </c>
      <c r="M366" s="13" t="s">
        <v>17</v>
      </c>
      <c r="N366" s="13"/>
      <c r="O366" s="13"/>
      <c r="P366" s="47"/>
      <c r="Q366" s="45" t="s">
        <v>3672</v>
      </c>
      <c r="R366" s="45" t="s">
        <v>5596</v>
      </c>
      <c r="S366" s="48"/>
      <c r="T366" s="49" t="str">
        <f t="shared" si="20"/>
        <v>[W3211.E]</v>
      </c>
      <c r="U366" s="12" t="str">
        <f t="shared" si="19"/>
        <v xml:space="preserve"> 도어프레임 클린칭 건#1축(SD219) 과부하가 검출되었습니다.</v>
      </c>
      <c r="V366" s="49" t="str">
        <f t="shared" si="22"/>
        <v>[W3211.E] 도어프레임 클린칭 건#1축(SD219) 과부하가 검출되었습니다.</v>
      </c>
    </row>
    <row r="367" spans="1:22" s="49" customFormat="1" ht="14.15" customHeight="1">
      <c r="A367" s="43" t="s">
        <v>6675</v>
      </c>
      <c r="B367" s="44" t="s">
        <v>6635</v>
      </c>
      <c r="C367" s="50"/>
      <c r="D367" s="10" t="s">
        <v>29</v>
      </c>
      <c r="E367" s="11"/>
      <c r="F367" s="11" t="s">
        <v>18</v>
      </c>
      <c r="G367" s="13"/>
      <c r="H367" s="45" t="s">
        <v>16</v>
      </c>
      <c r="I367" s="47"/>
      <c r="J367" s="12" t="s">
        <v>5816</v>
      </c>
      <c r="K367" s="13" t="s">
        <v>7138</v>
      </c>
      <c r="L367" s="99" t="str">
        <f t="shared" si="21"/>
        <v>W3211.F</v>
      </c>
      <c r="M367" s="13" t="s">
        <v>17</v>
      </c>
      <c r="N367" s="13"/>
      <c r="O367" s="13"/>
      <c r="P367" s="47"/>
      <c r="Q367" s="45" t="s">
        <v>3672</v>
      </c>
      <c r="R367" s="45" t="s">
        <v>5596</v>
      </c>
      <c r="S367" s="48"/>
      <c r="T367" s="49" t="str">
        <f t="shared" si="20"/>
        <v>[W3211.F]</v>
      </c>
      <c r="U367" s="12" t="str">
        <f t="shared" si="19"/>
        <v xml:space="preserve"> 도어프레임 클린칭 건#1축(SD219)  </v>
      </c>
      <c r="V367" s="49" t="str">
        <f t="shared" si="22"/>
        <v xml:space="preserve">[W3211.F] 도어프레임 클린칭 건#1축(SD219)  </v>
      </c>
    </row>
    <row r="368" spans="1:22" s="49" customFormat="1" ht="14.15" customHeight="1">
      <c r="A368" s="43" t="s">
        <v>6675</v>
      </c>
      <c r="B368" s="44" t="s">
        <v>6635</v>
      </c>
      <c r="C368" s="50"/>
      <c r="D368" s="10" t="s">
        <v>29</v>
      </c>
      <c r="E368" s="11"/>
      <c r="F368" s="11" t="s">
        <v>18</v>
      </c>
      <c r="G368" s="13"/>
      <c r="H368" s="45" t="s">
        <v>16</v>
      </c>
      <c r="I368" s="47"/>
      <c r="J368" s="12" t="s">
        <v>5817</v>
      </c>
      <c r="K368" s="13" t="s">
        <v>7139</v>
      </c>
      <c r="L368" s="99" t="str">
        <f t="shared" si="21"/>
        <v>W3212.0</v>
      </c>
      <c r="M368" s="13" t="s">
        <v>17</v>
      </c>
      <c r="N368" s="13"/>
      <c r="O368" s="13"/>
      <c r="P368" s="47"/>
      <c r="Q368" s="45" t="s">
        <v>3672</v>
      </c>
      <c r="R368" s="45" t="s">
        <v>5596</v>
      </c>
      <c r="S368" s="48"/>
      <c r="T368" s="49" t="str">
        <f>"["&amp;L338&amp;"]"</f>
        <v>[W3210.2]</v>
      </c>
      <c r="U368" s="12" t="str">
        <f>RIGHT(J338,LEN(J338)-7)</f>
        <v xml:space="preserve"> 도어프레임 클린칭 건 X3축(SD216) 에러가 발생했습니다.</v>
      </c>
      <c r="V368" s="49" t="str">
        <f>T338&amp;U338</f>
        <v>[W3210.2] 도어프레임 클린칭 건 X3축(SD216) 에러가 발생했습니다.</v>
      </c>
    </row>
    <row r="369" spans="1:22" s="49" customFormat="1" ht="14.15" customHeight="1">
      <c r="A369" s="43" t="s">
        <v>6675</v>
      </c>
      <c r="B369" s="44" t="s">
        <v>6635</v>
      </c>
      <c r="C369" s="50"/>
      <c r="D369" s="10" t="s">
        <v>29</v>
      </c>
      <c r="E369" s="11"/>
      <c r="F369" s="11" t="s">
        <v>18</v>
      </c>
      <c r="G369" s="13"/>
      <c r="H369" s="45" t="s">
        <v>16</v>
      </c>
      <c r="I369" s="47"/>
      <c r="J369" s="12" t="s">
        <v>5818</v>
      </c>
      <c r="K369" s="13" t="s">
        <v>7140</v>
      </c>
      <c r="L369" s="99" t="str">
        <f t="shared" si="21"/>
        <v>W3212.1</v>
      </c>
      <c r="M369" s="13" t="s">
        <v>17</v>
      </c>
      <c r="N369" s="13"/>
      <c r="O369" s="13"/>
      <c r="P369" s="47"/>
      <c r="Q369" s="45" t="s">
        <v>3672</v>
      </c>
      <c r="R369" s="45" t="s">
        <v>5596</v>
      </c>
      <c r="S369" s="48"/>
      <c r="T369" s="49" t="str">
        <f t="shared" si="20"/>
        <v>[W3212.1]</v>
      </c>
      <c r="U369" s="12" t="str">
        <f t="shared" ref="U369:U432" si="23">RIGHT(J369,LEN(J369)-7)</f>
        <v xml:space="preserve"> 도어프레임 클린칭 건#2축(SD220) 운전중에 Ready가 Off 되었습니다.</v>
      </c>
      <c r="V369" s="49" t="str">
        <f t="shared" si="22"/>
        <v>[W3212.1] 도어프레임 클린칭 건#2축(SD220) 운전중에 Ready가 Off 되었습니다.</v>
      </c>
    </row>
    <row r="370" spans="1:22" s="49" customFormat="1" ht="14.15" customHeight="1">
      <c r="A370" s="43" t="s">
        <v>6675</v>
      </c>
      <c r="B370" s="44" t="s">
        <v>6635</v>
      </c>
      <c r="C370" s="50"/>
      <c r="D370" s="10" t="s">
        <v>29</v>
      </c>
      <c r="E370" s="11"/>
      <c r="F370" s="11" t="s">
        <v>18</v>
      </c>
      <c r="G370" s="13"/>
      <c r="H370" s="45" t="s">
        <v>16</v>
      </c>
      <c r="I370" s="47"/>
      <c r="J370" s="12" t="s">
        <v>5819</v>
      </c>
      <c r="K370" s="13" t="s">
        <v>7141</v>
      </c>
      <c r="L370" s="99" t="str">
        <f t="shared" si="21"/>
        <v>W3212.2</v>
      </c>
      <c r="M370" s="13" t="s">
        <v>17</v>
      </c>
      <c r="N370" s="13"/>
      <c r="O370" s="13"/>
      <c r="P370" s="47"/>
      <c r="Q370" s="45" t="s">
        <v>3672</v>
      </c>
      <c r="R370" s="45" t="s">
        <v>5596</v>
      </c>
      <c r="S370" s="48"/>
      <c r="T370" s="49" t="str">
        <f t="shared" si="20"/>
        <v>[W3212.2]</v>
      </c>
      <c r="U370" s="12" t="str">
        <f t="shared" si="23"/>
        <v xml:space="preserve"> 도어프레임 클린칭 건#2축(SD220) FLS가 감지되었습니다.</v>
      </c>
      <c r="V370" s="49" t="str">
        <f t="shared" si="22"/>
        <v>[W3212.2] 도어프레임 클린칭 건#2축(SD220) FLS가 감지되었습니다.</v>
      </c>
    </row>
    <row r="371" spans="1:22" s="49" customFormat="1" ht="14.15" customHeight="1">
      <c r="A371" s="43" t="s">
        <v>6675</v>
      </c>
      <c r="B371" s="44" t="s">
        <v>6635</v>
      </c>
      <c r="C371" s="50"/>
      <c r="D371" s="10" t="s">
        <v>29</v>
      </c>
      <c r="E371" s="11"/>
      <c r="F371" s="11" t="s">
        <v>18</v>
      </c>
      <c r="G371" s="13"/>
      <c r="H371" s="45" t="s">
        <v>16</v>
      </c>
      <c r="I371" s="47"/>
      <c r="J371" s="12" t="s">
        <v>5820</v>
      </c>
      <c r="K371" s="13" t="s">
        <v>7142</v>
      </c>
      <c r="L371" s="99" t="str">
        <f t="shared" si="21"/>
        <v>W3212.3</v>
      </c>
      <c r="M371" s="13" t="s">
        <v>17</v>
      </c>
      <c r="N371" s="13"/>
      <c r="O371" s="13"/>
      <c r="P371" s="47"/>
      <c r="Q371" s="45" t="s">
        <v>3672</v>
      </c>
      <c r="R371" s="45" t="s">
        <v>5596</v>
      </c>
      <c r="S371" s="48"/>
      <c r="T371" s="49" t="str">
        <f t="shared" si="20"/>
        <v>[W3212.3]</v>
      </c>
      <c r="U371" s="12" t="str">
        <f t="shared" si="23"/>
        <v xml:space="preserve"> 도어프레임 클린칭 건#2축(SD220) RLS가 감지되었습니다.</v>
      </c>
      <c r="V371" s="49" t="str">
        <f t="shared" si="22"/>
        <v>[W3212.3] 도어프레임 클린칭 건#2축(SD220) RLS가 감지되었습니다.</v>
      </c>
    </row>
    <row r="372" spans="1:22" s="49" customFormat="1" ht="14.15" customHeight="1">
      <c r="A372" s="43" t="s">
        <v>6675</v>
      </c>
      <c r="B372" s="44" t="s">
        <v>6635</v>
      </c>
      <c r="C372" s="50"/>
      <c r="D372" s="10" t="s">
        <v>29</v>
      </c>
      <c r="E372" s="11"/>
      <c r="F372" s="11" t="s">
        <v>18</v>
      </c>
      <c r="G372" s="13"/>
      <c r="H372" s="45" t="s">
        <v>16</v>
      </c>
      <c r="I372" s="47"/>
      <c r="J372" s="12" t="s">
        <v>5821</v>
      </c>
      <c r="K372" s="13" t="s">
        <v>7143</v>
      </c>
      <c r="L372" s="99" t="str">
        <f t="shared" si="21"/>
        <v>W3212.4</v>
      </c>
      <c r="M372" s="13" t="s">
        <v>17</v>
      </c>
      <c r="N372" s="13"/>
      <c r="O372" s="13"/>
      <c r="P372" s="47"/>
      <c r="Q372" s="45" t="s">
        <v>3672</v>
      </c>
      <c r="R372" s="45" t="s">
        <v>5596</v>
      </c>
      <c r="S372" s="48"/>
      <c r="T372" s="49" t="str">
        <f t="shared" si="20"/>
        <v>[W3212.4]</v>
      </c>
      <c r="U372" s="12" t="str">
        <f t="shared" si="23"/>
        <v xml:space="preserve"> 도어프레임 클린칭 건#2축(SD220) Stop 명령이 On된 상태에서 기동을 시도했습니다.</v>
      </c>
      <c r="V372" s="49" t="str">
        <f t="shared" si="22"/>
        <v>[W3212.4] 도어프레임 클린칭 건#2축(SD220) Stop 명령이 On된 상태에서 기동을 시도했습니다.</v>
      </c>
    </row>
    <row r="373" spans="1:22" s="49" customFormat="1" ht="14.15" customHeight="1">
      <c r="A373" s="43" t="s">
        <v>6675</v>
      </c>
      <c r="B373" s="44" t="s">
        <v>6635</v>
      </c>
      <c r="C373" s="50"/>
      <c r="D373" s="10" t="s">
        <v>29</v>
      </c>
      <c r="E373" s="11"/>
      <c r="F373" s="11" t="s">
        <v>18</v>
      </c>
      <c r="G373" s="13"/>
      <c r="H373" s="45" t="s">
        <v>16</v>
      </c>
      <c r="I373" s="47"/>
      <c r="J373" s="12" t="s">
        <v>5822</v>
      </c>
      <c r="K373" s="13" t="s">
        <v>7144</v>
      </c>
      <c r="L373" s="99" t="str">
        <f t="shared" si="21"/>
        <v>W3212.5</v>
      </c>
      <c r="M373" s="13" t="s">
        <v>17</v>
      </c>
      <c r="N373" s="13"/>
      <c r="O373" s="13"/>
      <c r="P373" s="47"/>
      <c r="Q373" s="45" t="s">
        <v>3672</v>
      </c>
      <c r="R373" s="45" t="s">
        <v>5596</v>
      </c>
      <c r="S373" s="48"/>
      <c r="T373" s="49" t="str">
        <f t="shared" si="20"/>
        <v>[W3212.5]</v>
      </c>
      <c r="U373" s="12" t="str">
        <f t="shared" si="23"/>
        <v xml:space="preserve"> 도어프레임 클린칭 건#2축(SD220) 가동 전원이 Off 되었습니다.</v>
      </c>
      <c r="V373" s="49" t="str">
        <f t="shared" si="22"/>
        <v>[W3212.5] 도어프레임 클린칭 건#2축(SD220) 가동 전원이 Off 되었습니다.</v>
      </c>
    </row>
    <row r="374" spans="1:22" s="49" customFormat="1" ht="14.15" customHeight="1">
      <c r="A374" s="43" t="s">
        <v>6675</v>
      </c>
      <c r="B374" s="44" t="s">
        <v>6635</v>
      </c>
      <c r="C374" s="50"/>
      <c r="D374" s="10" t="s">
        <v>29</v>
      </c>
      <c r="E374" s="11"/>
      <c r="F374" s="11" t="s">
        <v>18</v>
      </c>
      <c r="G374" s="13"/>
      <c r="H374" s="45" t="s">
        <v>16</v>
      </c>
      <c r="I374" s="47"/>
      <c r="J374" s="12" t="s">
        <v>5823</v>
      </c>
      <c r="K374" s="13" t="s">
        <v>7145</v>
      </c>
      <c r="L374" s="99" t="str">
        <f t="shared" si="21"/>
        <v>W3212.6</v>
      </c>
      <c r="M374" s="13" t="s">
        <v>17</v>
      </c>
      <c r="N374" s="13"/>
      <c r="O374" s="13"/>
      <c r="P374" s="47"/>
      <c r="Q374" s="45" t="s">
        <v>3672</v>
      </c>
      <c r="R374" s="45" t="s">
        <v>5596</v>
      </c>
      <c r="S374" s="48"/>
      <c r="T374" s="49" t="str">
        <f t="shared" si="20"/>
        <v>[W3212.6]</v>
      </c>
      <c r="U374" s="12" t="str">
        <f t="shared" si="23"/>
        <v xml:space="preserve"> 도어프레임 클린칭 건#2축(SD220) 엔코더 이상이 검출되었습니다.</v>
      </c>
      <c r="V374" s="49" t="str">
        <f t="shared" si="22"/>
        <v>[W3212.6] 도어프레임 클린칭 건#2축(SD220) 엔코더 이상이 검출되었습니다.</v>
      </c>
    </row>
    <row r="375" spans="1:22" s="49" customFormat="1" ht="14.15" customHeight="1">
      <c r="A375" s="43" t="s">
        <v>6675</v>
      </c>
      <c r="B375" s="44" t="s">
        <v>6635</v>
      </c>
      <c r="C375" s="50"/>
      <c r="D375" s="10" t="s">
        <v>29</v>
      </c>
      <c r="E375" s="11"/>
      <c r="F375" s="11" t="s">
        <v>18</v>
      </c>
      <c r="G375" s="13"/>
      <c r="H375" s="45" t="s">
        <v>16</v>
      </c>
      <c r="I375" s="47"/>
      <c r="J375" s="12" t="s">
        <v>5824</v>
      </c>
      <c r="K375" s="13" t="s">
        <v>7146</v>
      </c>
      <c r="L375" s="99" t="str">
        <f t="shared" si="21"/>
        <v>W3212.7</v>
      </c>
      <c r="M375" s="13" t="s">
        <v>17</v>
      </c>
      <c r="N375" s="13"/>
      <c r="O375" s="13"/>
      <c r="P375" s="47"/>
      <c r="Q375" s="45" t="s">
        <v>3672</v>
      </c>
      <c r="R375" s="45" t="s">
        <v>5596</v>
      </c>
      <c r="S375" s="48"/>
      <c r="T375" s="49" t="str">
        <f t="shared" si="20"/>
        <v>[W3212.7]</v>
      </c>
      <c r="U375" s="12" t="str">
        <f t="shared" si="23"/>
        <v xml:space="preserve"> 도어프레임 클린칭 건#2축(SD220) 과전류가 검출되었습니다.</v>
      </c>
      <c r="V375" s="49" t="str">
        <f t="shared" si="22"/>
        <v>[W3212.7] 도어프레임 클린칭 건#2축(SD220) 과전류가 검출되었습니다.</v>
      </c>
    </row>
    <row r="376" spans="1:22" s="49" customFormat="1" ht="14.15" customHeight="1">
      <c r="A376" s="43" t="s">
        <v>6675</v>
      </c>
      <c r="B376" s="44" t="s">
        <v>6635</v>
      </c>
      <c r="C376" s="50"/>
      <c r="D376" s="10" t="s">
        <v>29</v>
      </c>
      <c r="E376" s="11"/>
      <c r="F376" s="11" t="s">
        <v>18</v>
      </c>
      <c r="G376" s="13"/>
      <c r="H376" s="45" t="s">
        <v>16</v>
      </c>
      <c r="I376" s="46"/>
      <c r="J376" s="14" t="s">
        <v>5825</v>
      </c>
      <c r="K376" s="13" t="s">
        <v>7147</v>
      </c>
      <c r="L376" s="99" t="str">
        <f t="shared" si="21"/>
        <v>W3212.8</v>
      </c>
      <c r="M376" s="13" t="s">
        <v>17</v>
      </c>
      <c r="N376" s="13"/>
      <c r="O376" s="13"/>
      <c r="P376" s="47"/>
      <c r="Q376" s="45" t="s">
        <v>3672</v>
      </c>
      <c r="R376" s="45" t="s">
        <v>5596</v>
      </c>
      <c r="S376" s="48"/>
      <c r="T376" s="49" t="str">
        <f t="shared" si="20"/>
        <v>[W3212.8]</v>
      </c>
      <c r="U376" s="12" t="str">
        <f t="shared" si="23"/>
        <v xml:space="preserve"> 도어프레임 클린칭 건#2축(SD220) 과부하가 검출되었습니다.</v>
      </c>
      <c r="V376" s="49" t="str">
        <f t="shared" si="22"/>
        <v>[W3212.8] 도어프레임 클린칭 건#2축(SD220) 과부하가 검출되었습니다.</v>
      </c>
    </row>
    <row r="377" spans="1:22" s="49" customFormat="1" ht="14.15" customHeight="1">
      <c r="A377" s="43" t="s">
        <v>6675</v>
      </c>
      <c r="B377" s="44" t="s">
        <v>6635</v>
      </c>
      <c r="C377" s="50"/>
      <c r="D377" s="10" t="s">
        <v>29</v>
      </c>
      <c r="E377" s="11"/>
      <c r="F377" s="11" t="s">
        <v>18</v>
      </c>
      <c r="G377" s="13"/>
      <c r="H377" s="45" t="s">
        <v>16</v>
      </c>
      <c r="I377" s="46"/>
      <c r="J377" s="14" t="s">
        <v>5826</v>
      </c>
      <c r="K377" s="13" t="s">
        <v>7148</v>
      </c>
      <c r="L377" s="99" t="str">
        <f t="shared" si="21"/>
        <v>W3212.9</v>
      </c>
      <c r="M377" s="13" t="s">
        <v>17</v>
      </c>
      <c r="N377" s="13"/>
      <c r="O377" s="13"/>
      <c r="P377" s="47"/>
      <c r="Q377" s="45" t="s">
        <v>3672</v>
      </c>
      <c r="R377" s="45" t="s">
        <v>5596</v>
      </c>
      <c r="S377" s="48"/>
      <c r="T377" s="49" t="str">
        <f t="shared" si="20"/>
        <v>[W3212.9]</v>
      </c>
      <c r="U377" s="12" t="str">
        <f t="shared" si="23"/>
        <v xml:space="preserve"> 도어프레임 클린칭 건#2축(SD220)  </v>
      </c>
      <c r="V377" s="49" t="str">
        <f t="shared" si="22"/>
        <v xml:space="preserve">[W3212.9] 도어프레임 클린칭 건#2축(SD220)  </v>
      </c>
    </row>
    <row r="378" spans="1:22" s="49" customFormat="1" ht="14.15" customHeight="1">
      <c r="A378" s="43" t="s">
        <v>6675</v>
      </c>
      <c r="B378" s="44" t="s">
        <v>6635</v>
      </c>
      <c r="C378" s="50"/>
      <c r="D378" s="10" t="s">
        <v>29</v>
      </c>
      <c r="E378" s="11"/>
      <c r="F378" s="11" t="s">
        <v>18</v>
      </c>
      <c r="G378" s="13"/>
      <c r="H378" s="45" t="s">
        <v>16</v>
      </c>
      <c r="I378" s="46"/>
      <c r="J378" s="14" t="s">
        <v>5827</v>
      </c>
      <c r="K378" s="13" t="s">
        <v>7149</v>
      </c>
      <c r="L378" s="99" t="str">
        <f t="shared" si="21"/>
        <v>W3212.A</v>
      </c>
      <c r="M378" s="13" t="s">
        <v>17</v>
      </c>
      <c r="N378" s="13"/>
      <c r="O378" s="13"/>
      <c r="P378" s="47"/>
      <c r="Q378" s="45" t="s">
        <v>3672</v>
      </c>
      <c r="R378" s="45" t="s">
        <v>5596</v>
      </c>
      <c r="S378" s="48"/>
      <c r="T378" s="49" t="str">
        <f t="shared" si="20"/>
        <v>[W3212.A]</v>
      </c>
      <c r="U378" s="12" t="str">
        <f t="shared" si="23"/>
        <v xml:space="preserve"> 도어프레임 클린칭 건#2축(SD220) 에러가 발생했습니다.</v>
      </c>
      <c r="V378" s="49" t="str">
        <f t="shared" si="22"/>
        <v>[W3212.A] 도어프레임 클린칭 건#2축(SD220) 에러가 발생했습니다.</v>
      </c>
    </row>
    <row r="379" spans="1:22" s="49" customFormat="1" ht="14.15" customHeight="1">
      <c r="A379" s="43" t="s">
        <v>6675</v>
      </c>
      <c r="B379" s="44" t="s">
        <v>6635</v>
      </c>
      <c r="C379" s="50"/>
      <c r="D379" s="10" t="s">
        <v>29</v>
      </c>
      <c r="E379" s="11"/>
      <c r="F379" s="11" t="s">
        <v>18</v>
      </c>
      <c r="G379" s="13"/>
      <c r="H379" s="45" t="s">
        <v>16</v>
      </c>
      <c r="I379" s="46"/>
      <c r="J379" s="14" t="s">
        <v>5828</v>
      </c>
      <c r="K379" s="13" t="s">
        <v>7150</v>
      </c>
      <c r="L379" s="99" t="str">
        <f t="shared" si="21"/>
        <v>W3212.B</v>
      </c>
      <c r="M379" s="13" t="s">
        <v>17</v>
      </c>
      <c r="N379" s="13"/>
      <c r="O379" s="13"/>
      <c r="P379" s="47"/>
      <c r="Q379" s="45" t="s">
        <v>3672</v>
      </c>
      <c r="R379" s="45" t="s">
        <v>5596</v>
      </c>
      <c r="S379" s="48"/>
      <c r="T379" s="49" t="str">
        <f t="shared" si="20"/>
        <v>[W3212.B]</v>
      </c>
      <c r="U379" s="12" t="str">
        <f t="shared" si="23"/>
        <v xml:space="preserve"> 도어프레임 클린칭 건#3축(SD221) 운전중에 Ready가 Off 되었습니다.</v>
      </c>
      <c r="V379" s="49" t="str">
        <f t="shared" si="22"/>
        <v>[W3212.B] 도어프레임 클린칭 건#3축(SD221) 운전중에 Ready가 Off 되었습니다.</v>
      </c>
    </row>
    <row r="380" spans="1:22" s="49" customFormat="1" ht="14.15" customHeight="1">
      <c r="A380" s="43" t="s">
        <v>6675</v>
      </c>
      <c r="B380" s="44" t="s">
        <v>6635</v>
      </c>
      <c r="C380" s="50"/>
      <c r="D380" s="10" t="s">
        <v>29</v>
      </c>
      <c r="E380" s="11"/>
      <c r="F380" s="11" t="s">
        <v>18</v>
      </c>
      <c r="G380" s="13"/>
      <c r="H380" s="45" t="s">
        <v>16</v>
      </c>
      <c r="I380" s="46"/>
      <c r="J380" s="14" t="s">
        <v>5829</v>
      </c>
      <c r="K380" s="13" t="s">
        <v>7151</v>
      </c>
      <c r="L380" s="99" t="str">
        <f t="shared" si="21"/>
        <v>W3212.C</v>
      </c>
      <c r="M380" s="13" t="s">
        <v>17</v>
      </c>
      <c r="N380" s="13"/>
      <c r="O380" s="13"/>
      <c r="P380" s="47"/>
      <c r="Q380" s="45" t="s">
        <v>3672</v>
      </c>
      <c r="R380" s="45" t="s">
        <v>5596</v>
      </c>
      <c r="S380" s="48"/>
      <c r="T380" s="49" t="str">
        <f t="shared" si="20"/>
        <v>[W3212.C]</v>
      </c>
      <c r="U380" s="12" t="str">
        <f t="shared" si="23"/>
        <v xml:space="preserve"> 도어프레임 클린칭 건#3축(SD221) FLS가 감지되었습니다.</v>
      </c>
      <c r="V380" s="49" t="str">
        <f t="shared" si="22"/>
        <v>[W3212.C] 도어프레임 클린칭 건#3축(SD221) FLS가 감지되었습니다.</v>
      </c>
    </row>
    <row r="381" spans="1:22" s="49" customFormat="1" ht="14.15" customHeight="1">
      <c r="A381" s="43" t="s">
        <v>6675</v>
      </c>
      <c r="B381" s="44" t="s">
        <v>6635</v>
      </c>
      <c r="C381" s="50"/>
      <c r="D381" s="10" t="s">
        <v>29</v>
      </c>
      <c r="E381" s="11"/>
      <c r="F381" s="11" t="s">
        <v>18</v>
      </c>
      <c r="G381" s="13"/>
      <c r="H381" s="45" t="s">
        <v>16</v>
      </c>
      <c r="I381" s="46"/>
      <c r="J381" s="14" t="s">
        <v>5830</v>
      </c>
      <c r="K381" s="13" t="s">
        <v>7152</v>
      </c>
      <c r="L381" s="99" t="str">
        <f t="shared" si="21"/>
        <v>W3212.D</v>
      </c>
      <c r="M381" s="13" t="s">
        <v>17</v>
      </c>
      <c r="N381" s="13"/>
      <c r="O381" s="13"/>
      <c r="P381" s="47"/>
      <c r="Q381" s="45" t="s">
        <v>3672</v>
      </c>
      <c r="R381" s="45" t="s">
        <v>5596</v>
      </c>
      <c r="S381" s="48"/>
      <c r="T381" s="49" t="str">
        <f t="shared" si="20"/>
        <v>[W3212.D]</v>
      </c>
      <c r="U381" s="12" t="str">
        <f t="shared" si="23"/>
        <v xml:space="preserve"> 도어프레임 클린칭 건#3축(SD221) RLS가 감지되었습니다.</v>
      </c>
      <c r="V381" s="49" t="str">
        <f t="shared" si="22"/>
        <v>[W3212.D] 도어프레임 클린칭 건#3축(SD221) RLS가 감지되었습니다.</v>
      </c>
    </row>
    <row r="382" spans="1:22" s="49" customFormat="1" ht="14.15" customHeight="1">
      <c r="A382" s="43" t="s">
        <v>6675</v>
      </c>
      <c r="B382" s="44" t="s">
        <v>6635</v>
      </c>
      <c r="C382" s="50"/>
      <c r="D382" s="10" t="s">
        <v>29</v>
      </c>
      <c r="E382" s="11"/>
      <c r="F382" s="11" t="s">
        <v>18</v>
      </c>
      <c r="G382" s="13"/>
      <c r="H382" s="45" t="s">
        <v>16</v>
      </c>
      <c r="I382" s="46"/>
      <c r="J382" s="14" t="s">
        <v>5831</v>
      </c>
      <c r="K382" s="13" t="s">
        <v>7153</v>
      </c>
      <c r="L382" s="99" t="str">
        <f t="shared" si="21"/>
        <v>W3212.E</v>
      </c>
      <c r="M382" s="13" t="s">
        <v>17</v>
      </c>
      <c r="N382" s="13"/>
      <c r="O382" s="13"/>
      <c r="P382" s="47"/>
      <c r="Q382" s="45" t="s">
        <v>3672</v>
      </c>
      <c r="R382" s="45" t="s">
        <v>5596</v>
      </c>
      <c r="S382" s="48"/>
      <c r="T382" s="49" t="str">
        <f t="shared" si="20"/>
        <v>[W3212.E]</v>
      </c>
      <c r="U382" s="12" t="str">
        <f t="shared" si="23"/>
        <v xml:space="preserve"> 도어프레임 클린칭 건#3축(SD221) Stop 명령이 On된 상태에서 기동을 시도했습니다.</v>
      </c>
      <c r="V382" s="49" t="str">
        <f t="shared" si="22"/>
        <v>[W3212.E] 도어프레임 클린칭 건#3축(SD221) Stop 명령이 On된 상태에서 기동을 시도했습니다.</v>
      </c>
    </row>
    <row r="383" spans="1:22" s="49" customFormat="1" ht="14.15" customHeight="1">
      <c r="A383" s="43" t="s">
        <v>6675</v>
      </c>
      <c r="B383" s="44" t="s">
        <v>6635</v>
      </c>
      <c r="C383" s="50"/>
      <c r="D383" s="10" t="s">
        <v>29</v>
      </c>
      <c r="E383" s="11"/>
      <c r="F383" s="11" t="s">
        <v>18</v>
      </c>
      <c r="G383" s="13"/>
      <c r="H383" s="45" t="s">
        <v>16</v>
      </c>
      <c r="I383" s="46"/>
      <c r="J383" s="14" t="s">
        <v>5832</v>
      </c>
      <c r="K383" s="13" t="s">
        <v>7154</v>
      </c>
      <c r="L383" s="99" t="str">
        <f t="shared" si="21"/>
        <v>W3212.F</v>
      </c>
      <c r="M383" s="13" t="s">
        <v>17</v>
      </c>
      <c r="N383" s="13"/>
      <c r="O383" s="13"/>
      <c r="P383" s="47"/>
      <c r="Q383" s="45" t="s">
        <v>3672</v>
      </c>
      <c r="R383" s="45" t="s">
        <v>5596</v>
      </c>
      <c r="S383" s="48"/>
      <c r="T383" s="49" t="str">
        <f t="shared" si="20"/>
        <v>[W3212.F]</v>
      </c>
      <c r="U383" s="12" t="str">
        <f t="shared" si="23"/>
        <v xml:space="preserve"> 도어프레임 클린칭 건#3축(SD221) 가동 전원이 Off 되었습니다.</v>
      </c>
      <c r="V383" s="49" t="str">
        <f t="shared" si="22"/>
        <v>[W3212.F] 도어프레임 클린칭 건#3축(SD221) 가동 전원이 Off 되었습니다.</v>
      </c>
    </row>
    <row r="384" spans="1:22" s="49" customFormat="1" ht="14.15" customHeight="1">
      <c r="A384" s="43" t="s">
        <v>6675</v>
      </c>
      <c r="B384" s="44" t="s">
        <v>6635</v>
      </c>
      <c r="C384" s="50"/>
      <c r="D384" s="10" t="s">
        <v>29</v>
      </c>
      <c r="E384" s="11"/>
      <c r="F384" s="11" t="s">
        <v>18</v>
      </c>
      <c r="G384" s="13"/>
      <c r="H384" s="45" t="s">
        <v>16</v>
      </c>
      <c r="I384" s="46"/>
      <c r="J384" s="14" t="s">
        <v>5833</v>
      </c>
      <c r="K384" s="13" t="s">
        <v>7155</v>
      </c>
      <c r="L384" s="99" t="str">
        <f t="shared" si="21"/>
        <v>W3213.0</v>
      </c>
      <c r="M384" s="13" t="s">
        <v>17</v>
      </c>
      <c r="N384" s="13"/>
      <c r="O384" s="13"/>
      <c r="P384" s="47"/>
      <c r="Q384" s="45" t="s">
        <v>3672</v>
      </c>
      <c r="R384" s="45" t="s">
        <v>5596</v>
      </c>
      <c r="S384" s="48"/>
      <c r="T384" s="49" t="str">
        <f t="shared" si="20"/>
        <v>[W3213.0]</v>
      </c>
      <c r="U384" s="12" t="str">
        <f t="shared" si="23"/>
        <v xml:space="preserve"> 도어프레임 클린칭 건#3축(SD221) 엔코더 이상이 검출되었습니다.</v>
      </c>
      <c r="V384" s="49" t="str">
        <f t="shared" si="22"/>
        <v>[W3213.0] 도어프레임 클린칭 건#3축(SD221) 엔코더 이상이 검출되었습니다.</v>
      </c>
    </row>
    <row r="385" spans="1:22" s="49" customFormat="1" ht="14.15" customHeight="1">
      <c r="A385" s="43" t="s">
        <v>6675</v>
      </c>
      <c r="B385" s="44" t="s">
        <v>6635</v>
      </c>
      <c r="C385" s="50"/>
      <c r="D385" s="10" t="s">
        <v>29</v>
      </c>
      <c r="E385" s="11"/>
      <c r="F385" s="11" t="s">
        <v>18</v>
      </c>
      <c r="G385" s="13"/>
      <c r="H385" s="45" t="s">
        <v>16</v>
      </c>
      <c r="I385" s="46"/>
      <c r="J385" s="14" t="s">
        <v>5834</v>
      </c>
      <c r="K385" s="13" t="s">
        <v>7156</v>
      </c>
      <c r="L385" s="99" t="str">
        <f t="shared" si="21"/>
        <v>W3213.1</v>
      </c>
      <c r="M385" s="13" t="s">
        <v>17</v>
      </c>
      <c r="N385" s="13"/>
      <c r="O385" s="13"/>
      <c r="P385" s="47"/>
      <c r="Q385" s="45" t="s">
        <v>3672</v>
      </c>
      <c r="R385" s="45" t="s">
        <v>5596</v>
      </c>
      <c r="S385" s="48"/>
      <c r="T385" s="49" t="str">
        <f t="shared" si="20"/>
        <v>[W3213.1]</v>
      </c>
      <c r="U385" s="12" t="str">
        <f t="shared" si="23"/>
        <v xml:space="preserve"> 도어프레임 클린칭 건#3축(SD221) 과전류가 검출되었습니다.</v>
      </c>
      <c r="V385" s="49" t="str">
        <f t="shared" si="22"/>
        <v>[W3213.1] 도어프레임 클린칭 건#3축(SD221) 과전류가 검출되었습니다.</v>
      </c>
    </row>
    <row r="386" spans="1:22" s="49" customFormat="1" ht="14.15" customHeight="1">
      <c r="A386" s="43" t="s">
        <v>6675</v>
      </c>
      <c r="B386" s="44" t="s">
        <v>6635</v>
      </c>
      <c r="C386" s="50"/>
      <c r="D386" s="10" t="s">
        <v>29</v>
      </c>
      <c r="E386" s="11"/>
      <c r="F386" s="11" t="s">
        <v>18</v>
      </c>
      <c r="G386" s="13"/>
      <c r="H386" s="45" t="s">
        <v>16</v>
      </c>
      <c r="I386" s="46"/>
      <c r="J386" s="14" t="s">
        <v>5835</v>
      </c>
      <c r="K386" s="13" t="s">
        <v>7157</v>
      </c>
      <c r="L386" s="99" t="str">
        <f t="shared" si="21"/>
        <v>W3213.2</v>
      </c>
      <c r="M386" s="13" t="s">
        <v>17</v>
      </c>
      <c r="N386" s="13"/>
      <c r="O386" s="13"/>
      <c r="P386" s="47"/>
      <c r="Q386" s="45" t="s">
        <v>3672</v>
      </c>
      <c r="R386" s="45" t="s">
        <v>5596</v>
      </c>
      <c r="S386" s="48"/>
      <c r="T386" s="49" t="str">
        <f t="shared" si="20"/>
        <v>[W3213.2]</v>
      </c>
      <c r="U386" s="12" t="str">
        <f t="shared" si="23"/>
        <v xml:space="preserve"> 도어프레임 클린칭 건#3축(SD221) 과부하가 검출되었습니다.</v>
      </c>
      <c r="V386" s="49" t="str">
        <f t="shared" si="22"/>
        <v>[W3213.2] 도어프레임 클린칭 건#3축(SD221) 과부하가 검출되었습니다.</v>
      </c>
    </row>
    <row r="387" spans="1:22" s="49" customFormat="1" ht="14.15" customHeight="1">
      <c r="A387" s="43" t="s">
        <v>6675</v>
      </c>
      <c r="B387" s="44" t="s">
        <v>6635</v>
      </c>
      <c r="C387" s="50"/>
      <c r="D387" s="10" t="s">
        <v>29</v>
      </c>
      <c r="E387" s="11"/>
      <c r="F387" s="11" t="s">
        <v>18</v>
      </c>
      <c r="G387" s="13"/>
      <c r="H387" s="45" t="s">
        <v>16</v>
      </c>
      <c r="I387" s="46"/>
      <c r="J387" s="14" t="s">
        <v>5836</v>
      </c>
      <c r="K387" s="13" t="s">
        <v>7158</v>
      </c>
      <c r="L387" s="99" t="str">
        <f t="shared" si="21"/>
        <v>W3213.3</v>
      </c>
      <c r="M387" s="13" t="s">
        <v>17</v>
      </c>
      <c r="N387" s="13"/>
      <c r="O387" s="13"/>
      <c r="P387" s="47"/>
      <c r="Q387" s="45" t="s">
        <v>3672</v>
      </c>
      <c r="R387" s="45" t="s">
        <v>5596</v>
      </c>
      <c r="S387" s="48"/>
      <c r="T387" s="49" t="str">
        <f t="shared" si="20"/>
        <v>[W3213.3]</v>
      </c>
      <c r="U387" s="12" t="str">
        <f t="shared" si="23"/>
        <v xml:space="preserve"> 도어프레임 클린칭 건#3축(SD221)  </v>
      </c>
      <c r="V387" s="49" t="str">
        <f t="shared" si="22"/>
        <v xml:space="preserve">[W3213.3] 도어프레임 클린칭 건#3축(SD221)  </v>
      </c>
    </row>
    <row r="388" spans="1:22" s="49" customFormat="1" ht="14.15" customHeight="1">
      <c r="A388" s="43" t="s">
        <v>6675</v>
      </c>
      <c r="B388" s="44" t="s">
        <v>6635</v>
      </c>
      <c r="C388" s="50"/>
      <c r="D388" s="10" t="s">
        <v>29</v>
      </c>
      <c r="E388" s="11"/>
      <c r="F388" s="11" t="s">
        <v>18</v>
      </c>
      <c r="G388" s="13"/>
      <c r="H388" s="45" t="s">
        <v>16</v>
      </c>
      <c r="I388" s="46"/>
      <c r="J388" s="14" t="s">
        <v>5837</v>
      </c>
      <c r="K388" s="13" t="s">
        <v>7159</v>
      </c>
      <c r="L388" s="99" t="str">
        <f t="shared" si="21"/>
        <v>W3213.4</v>
      </c>
      <c r="M388" s="13" t="s">
        <v>17</v>
      </c>
      <c r="N388" s="13"/>
      <c r="O388" s="13"/>
      <c r="P388" s="47"/>
      <c r="Q388" s="45" t="s">
        <v>3672</v>
      </c>
      <c r="R388" s="45" t="s">
        <v>5596</v>
      </c>
      <c r="S388" s="48"/>
      <c r="T388" s="49" t="str">
        <f t="shared" si="20"/>
        <v>[W3213.4]</v>
      </c>
      <c r="U388" s="12" t="str">
        <f t="shared" si="23"/>
        <v xml:space="preserve"> 도어프레임 클린칭 건#3축(SD221) 에러가 발생했습니다.</v>
      </c>
      <c r="V388" s="49" t="str">
        <f t="shared" si="22"/>
        <v>[W3213.4] 도어프레임 클린칭 건#3축(SD221) 에러가 발생했습니다.</v>
      </c>
    </row>
    <row r="389" spans="1:22" s="49" customFormat="1" ht="14.15" customHeight="1">
      <c r="A389" s="43" t="s">
        <v>6675</v>
      </c>
      <c r="B389" s="44" t="s">
        <v>6635</v>
      </c>
      <c r="C389" s="50"/>
      <c r="D389" s="10" t="s">
        <v>29</v>
      </c>
      <c r="E389" s="11"/>
      <c r="F389" s="11" t="s">
        <v>18</v>
      </c>
      <c r="G389" s="13"/>
      <c r="H389" s="45" t="s">
        <v>16</v>
      </c>
      <c r="I389" s="46"/>
      <c r="J389" s="14" t="s">
        <v>5838</v>
      </c>
      <c r="K389" s="13" t="s">
        <v>7160</v>
      </c>
      <c r="L389" s="99" t="str">
        <f t="shared" si="21"/>
        <v>W3213.5</v>
      </c>
      <c r="M389" s="13" t="s">
        <v>17</v>
      </c>
      <c r="N389" s="13"/>
      <c r="O389" s="13"/>
      <c r="P389" s="47"/>
      <c r="Q389" s="45" t="s">
        <v>3672</v>
      </c>
      <c r="R389" s="45" t="s">
        <v>5596</v>
      </c>
      <c r="S389" s="48"/>
      <c r="T389" s="49" t="str">
        <f t="shared" si="20"/>
        <v>[W3213.5]</v>
      </c>
      <c r="U389" s="12" t="str">
        <f t="shared" si="23"/>
        <v xml:space="preserve"> 도어프레임 클린칭 건#4축(SD222) 운전중에 Ready가 Off 되었습니다.</v>
      </c>
      <c r="V389" s="49" t="str">
        <f t="shared" si="22"/>
        <v>[W3213.5] 도어프레임 클린칭 건#4축(SD222) 운전중에 Ready가 Off 되었습니다.</v>
      </c>
    </row>
    <row r="390" spans="1:22" s="49" customFormat="1" ht="14.15" customHeight="1">
      <c r="A390" s="43" t="s">
        <v>6675</v>
      </c>
      <c r="B390" s="44" t="s">
        <v>6635</v>
      </c>
      <c r="C390" s="50"/>
      <c r="D390" s="10" t="s">
        <v>29</v>
      </c>
      <c r="E390" s="11"/>
      <c r="F390" s="11" t="s">
        <v>18</v>
      </c>
      <c r="G390" s="13"/>
      <c r="H390" s="45" t="s">
        <v>16</v>
      </c>
      <c r="I390" s="46"/>
      <c r="J390" s="14" t="s">
        <v>5839</v>
      </c>
      <c r="K390" s="13" t="s">
        <v>7161</v>
      </c>
      <c r="L390" s="99" t="str">
        <f t="shared" si="21"/>
        <v>W3213.6</v>
      </c>
      <c r="M390" s="13" t="s">
        <v>17</v>
      </c>
      <c r="N390" s="13"/>
      <c r="O390" s="13"/>
      <c r="P390" s="47"/>
      <c r="Q390" s="45" t="s">
        <v>3672</v>
      </c>
      <c r="R390" s="45" t="s">
        <v>5596</v>
      </c>
      <c r="S390" s="48"/>
      <c r="T390" s="49" t="str">
        <f t="shared" si="20"/>
        <v>[W3213.6]</v>
      </c>
      <c r="U390" s="12" t="str">
        <f t="shared" si="23"/>
        <v xml:space="preserve"> 도어프레임 클린칭 건#4축(SD222) FLS가 감지되었습니다.</v>
      </c>
      <c r="V390" s="49" t="str">
        <f t="shared" si="22"/>
        <v>[W3213.6] 도어프레임 클린칭 건#4축(SD222) FLS가 감지되었습니다.</v>
      </c>
    </row>
    <row r="391" spans="1:22" s="49" customFormat="1" ht="14.15" customHeight="1">
      <c r="A391" s="43" t="s">
        <v>6675</v>
      </c>
      <c r="B391" s="44" t="s">
        <v>6635</v>
      </c>
      <c r="C391" s="50"/>
      <c r="D391" s="10" t="s">
        <v>29</v>
      </c>
      <c r="E391" s="11"/>
      <c r="F391" s="11" t="s">
        <v>18</v>
      </c>
      <c r="G391" s="13"/>
      <c r="H391" s="45" t="s">
        <v>16</v>
      </c>
      <c r="I391" s="46"/>
      <c r="J391" s="14" t="s">
        <v>5840</v>
      </c>
      <c r="K391" s="13" t="s">
        <v>7162</v>
      </c>
      <c r="L391" s="99" t="str">
        <f t="shared" si="21"/>
        <v>W3213.7</v>
      </c>
      <c r="M391" s="13" t="s">
        <v>17</v>
      </c>
      <c r="N391" s="13"/>
      <c r="O391" s="13"/>
      <c r="P391" s="47"/>
      <c r="Q391" s="45" t="s">
        <v>3672</v>
      </c>
      <c r="R391" s="45" t="s">
        <v>5596</v>
      </c>
      <c r="S391" s="48"/>
      <c r="T391" s="49" t="str">
        <f t="shared" si="20"/>
        <v>[W3213.7]</v>
      </c>
      <c r="U391" s="12" t="str">
        <f t="shared" si="23"/>
        <v xml:space="preserve"> 도어프레임 클린칭 건#4축(SD222) RLS가 감지되었습니다.</v>
      </c>
      <c r="V391" s="49" t="str">
        <f t="shared" si="22"/>
        <v>[W3213.7] 도어프레임 클린칭 건#4축(SD222) RLS가 감지되었습니다.</v>
      </c>
    </row>
    <row r="392" spans="1:22" s="49" customFormat="1" ht="14.15" customHeight="1">
      <c r="A392" s="43" t="s">
        <v>6675</v>
      </c>
      <c r="B392" s="44" t="s">
        <v>6635</v>
      </c>
      <c r="C392" s="50"/>
      <c r="D392" s="10" t="s">
        <v>29</v>
      </c>
      <c r="E392" s="11"/>
      <c r="F392" s="11" t="s">
        <v>18</v>
      </c>
      <c r="G392" s="13"/>
      <c r="H392" s="45" t="s">
        <v>16</v>
      </c>
      <c r="I392" s="46"/>
      <c r="J392" s="14" t="s">
        <v>5841</v>
      </c>
      <c r="K392" s="13" t="s">
        <v>7163</v>
      </c>
      <c r="L392" s="99" t="str">
        <f t="shared" si="21"/>
        <v>W3213.8</v>
      </c>
      <c r="M392" s="13" t="s">
        <v>17</v>
      </c>
      <c r="N392" s="13"/>
      <c r="O392" s="13"/>
      <c r="P392" s="47"/>
      <c r="Q392" s="45" t="s">
        <v>3672</v>
      </c>
      <c r="R392" s="45" t="s">
        <v>5596</v>
      </c>
      <c r="S392" s="48"/>
      <c r="T392" s="49" t="str">
        <f t="shared" si="20"/>
        <v>[W3213.8]</v>
      </c>
      <c r="U392" s="12" t="str">
        <f t="shared" si="23"/>
        <v xml:space="preserve"> 도어프레임 클린칭 건#4축(SD222) Stop 명령이 On된 상태에서 기동을 시도했습니다.</v>
      </c>
      <c r="V392" s="49" t="str">
        <f t="shared" si="22"/>
        <v>[W3213.8] 도어프레임 클린칭 건#4축(SD222) Stop 명령이 On된 상태에서 기동을 시도했습니다.</v>
      </c>
    </row>
    <row r="393" spans="1:22" s="49" customFormat="1" ht="14.15" customHeight="1">
      <c r="A393" s="43" t="s">
        <v>6675</v>
      </c>
      <c r="B393" s="44" t="s">
        <v>6635</v>
      </c>
      <c r="C393" s="50"/>
      <c r="D393" s="10" t="s">
        <v>29</v>
      </c>
      <c r="E393" s="11"/>
      <c r="F393" s="11" t="s">
        <v>18</v>
      </c>
      <c r="G393" s="13"/>
      <c r="H393" s="45" t="s">
        <v>16</v>
      </c>
      <c r="I393" s="46"/>
      <c r="J393" s="14" t="s">
        <v>5842</v>
      </c>
      <c r="K393" s="13" t="s">
        <v>7164</v>
      </c>
      <c r="L393" s="99" t="str">
        <f t="shared" si="21"/>
        <v>W3213.9</v>
      </c>
      <c r="M393" s="13" t="s">
        <v>17</v>
      </c>
      <c r="N393" s="13"/>
      <c r="O393" s="13"/>
      <c r="P393" s="47"/>
      <c r="Q393" s="45" t="s">
        <v>3672</v>
      </c>
      <c r="R393" s="45" t="s">
        <v>5596</v>
      </c>
      <c r="S393" s="48"/>
      <c r="T393" s="49" t="str">
        <f t="shared" si="20"/>
        <v>[W3213.9]</v>
      </c>
      <c r="U393" s="12" t="str">
        <f t="shared" si="23"/>
        <v xml:space="preserve"> 도어프레임 클린칭 건#4축(SD222) 가동 전원이 Off 되었습니다.</v>
      </c>
      <c r="V393" s="49" t="str">
        <f t="shared" si="22"/>
        <v>[W3213.9] 도어프레임 클린칭 건#4축(SD222) 가동 전원이 Off 되었습니다.</v>
      </c>
    </row>
    <row r="394" spans="1:22" s="49" customFormat="1" ht="14.15" customHeight="1">
      <c r="A394" s="43" t="s">
        <v>6675</v>
      </c>
      <c r="B394" s="44" t="s">
        <v>6635</v>
      </c>
      <c r="C394" s="50"/>
      <c r="D394" s="10" t="s">
        <v>29</v>
      </c>
      <c r="E394" s="11"/>
      <c r="F394" s="11" t="s">
        <v>18</v>
      </c>
      <c r="G394" s="13"/>
      <c r="H394" s="45" t="s">
        <v>16</v>
      </c>
      <c r="I394" s="46"/>
      <c r="J394" s="14" t="s">
        <v>5843</v>
      </c>
      <c r="K394" s="13" t="s">
        <v>7165</v>
      </c>
      <c r="L394" s="99" t="str">
        <f t="shared" si="21"/>
        <v>W3213.A</v>
      </c>
      <c r="M394" s="13" t="s">
        <v>17</v>
      </c>
      <c r="N394" s="13"/>
      <c r="O394" s="13"/>
      <c r="P394" s="47"/>
      <c r="Q394" s="45" t="s">
        <v>3672</v>
      </c>
      <c r="R394" s="45" t="s">
        <v>5596</v>
      </c>
      <c r="S394" s="48"/>
      <c r="T394" s="49" t="str">
        <f t="shared" si="20"/>
        <v>[W3213.A]</v>
      </c>
      <c r="U394" s="12" t="str">
        <f t="shared" si="23"/>
        <v xml:space="preserve"> 도어프레임 클린칭 건#4축(SD222) 엔코더 이상이 검출되었습니다.</v>
      </c>
      <c r="V394" s="49" t="str">
        <f t="shared" si="22"/>
        <v>[W3213.A] 도어프레임 클린칭 건#4축(SD222) 엔코더 이상이 검출되었습니다.</v>
      </c>
    </row>
    <row r="395" spans="1:22" s="49" customFormat="1" ht="14.15" customHeight="1">
      <c r="A395" s="43" t="s">
        <v>6675</v>
      </c>
      <c r="B395" s="44" t="s">
        <v>6635</v>
      </c>
      <c r="C395" s="50"/>
      <c r="D395" s="10" t="s">
        <v>29</v>
      </c>
      <c r="E395" s="11"/>
      <c r="F395" s="11" t="s">
        <v>18</v>
      </c>
      <c r="G395" s="13"/>
      <c r="H395" s="45" t="s">
        <v>16</v>
      </c>
      <c r="I395" s="46"/>
      <c r="J395" s="14" t="s">
        <v>5844</v>
      </c>
      <c r="K395" s="13" t="s">
        <v>7166</v>
      </c>
      <c r="L395" s="99" t="str">
        <f t="shared" si="21"/>
        <v>W3213.B</v>
      </c>
      <c r="M395" s="13" t="s">
        <v>17</v>
      </c>
      <c r="N395" s="13"/>
      <c r="O395" s="13"/>
      <c r="P395" s="47"/>
      <c r="Q395" s="45" t="s">
        <v>3672</v>
      </c>
      <c r="R395" s="45" t="s">
        <v>5596</v>
      </c>
      <c r="S395" s="48"/>
      <c r="T395" s="49" t="str">
        <f t="shared" si="20"/>
        <v>[W3213.B]</v>
      </c>
      <c r="U395" s="12" t="str">
        <f t="shared" si="23"/>
        <v xml:space="preserve"> 도어프레임 클린칭 건#4축(SD222) 과전류가 검출되었습니다.</v>
      </c>
      <c r="V395" s="49" t="str">
        <f t="shared" si="22"/>
        <v>[W3213.B] 도어프레임 클린칭 건#4축(SD222) 과전류가 검출되었습니다.</v>
      </c>
    </row>
    <row r="396" spans="1:22" s="49" customFormat="1" ht="14.15" customHeight="1">
      <c r="A396" s="43" t="s">
        <v>6675</v>
      </c>
      <c r="B396" s="44" t="s">
        <v>6635</v>
      </c>
      <c r="C396" s="50"/>
      <c r="D396" s="10" t="s">
        <v>29</v>
      </c>
      <c r="E396" s="11"/>
      <c r="F396" s="11" t="s">
        <v>18</v>
      </c>
      <c r="G396" s="13"/>
      <c r="H396" s="45" t="s">
        <v>16</v>
      </c>
      <c r="I396" s="46"/>
      <c r="J396" s="14" t="s">
        <v>5845</v>
      </c>
      <c r="K396" s="13" t="s">
        <v>7167</v>
      </c>
      <c r="L396" s="99" t="str">
        <f t="shared" si="21"/>
        <v>W3213.C</v>
      </c>
      <c r="M396" s="13" t="s">
        <v>17</v>
      </c>
      <c r="N396" s="13"/>
      <c r="O396" s="13"/>
      <c r="P396" s="47"/>
      <c r="Q396" s="45" t="s">
        <v>3672</v>
      </c>
      <c r="R396" s="45" t="s">
        <v>5596</v>
      </c>
      <c r="S396" s="48"/>
      <c r="T396" s="49" t="str">
        <f t="shared" si="20"/>
        <v>[W3213.C]</v>
      </c>
      <c r="U396" s="12" t="str">
        <f t="shared" si="23"/>
        <v xml:space="preserve"> 도어프레임 클린칭 건#4축(SD222) 과부하가 검출되었습니다.</v>
      </c>
      <c r="V396" s="49" t="str">
        <f t="shared" si="22"/>
        <v>[W3213.C] 도어프레임 클린칭 건#4축(SD222) 과부하가 검출되었습니다.</v>
      </c>
    </row>
    <row r="397" spans="1:22" s="49" customFormat="1" ht="14.15" customHeight="1">
      <c r="A397" s="43" t="s">
        <v>6675</v>
      </c>
      <c r="B397" s="44" t="s">
        <v>6635</v>
      </c>
      <c r="C397" s="50"/>
      <c r="D397" s="10" t="s">
        <v>29</v>
      </c>
      <c r="E397" s="11"/>
      <c r="F397" s="11" t="s">
        <v>18</v>
      </c>
      <c r="G397" s="13"/>
      <c r="H397" s="45" t="s">
        <v>16</v>
      </c>
      <c r="I397" s="46"/>
      <c r="J397" s="14" t="s">
        <v>5846</v>
      </c>
      <c r="K397" s="13" t="s">
        <v>7168</v>
      </c>
      <c r="L397" s="99" t="str">
        <f t="shared" si="21"/>
        <v>W3213.D</v>
      </c>
      <c r="M397" s="13" t="s">
        <v>17</v>
      </c>
      <c r="N397" s="13"/>
      <c r="O397" s="13"/>
      <c r="P397" s="47"/>
      <c r="Q397" s="45" t="s">
        <v>3672</v>
      </c>
      <c r="R397" s="45" t="s">
        <v>5596</v>
      </c>
      <c r="S397" s="48"/>
      <c r="T397" s="49" t="str">
        <f t="shared" si="20"/>
        <v>[W3213.D]</v>
      </c>
      <c r="U397" s="12" t="str">
        <f t="shared" si="23"/>
        <v xml:space="preserve"> 도어프레임 클린칭 건#4축(SD222)  </v>
      </c>
      <c r="V397" s="49" t="str">
        <f t="shared" si="22"/>
        <v xml:space="preserve">[W3213.D] 도어프레임 클린칭 건#4축(SD222)  </v>
      </c>
    </row>
    <row r="398" spans="1:22" s="49" customFormat="1" ht="14.15" customHeight="1">
      <c r="A398" s="43" t="s">
        <v>6675</v>
      </c>
      <c r="B398" s="44" t="s">
        <v>6635</v>
      </c>
      <c r="C398" s="50"/>
      <c r="D398" s="10" t="s">
        <v>29</v>
      </c>
      <c r="E398" s="11"/>
      <c r="F398" s="11" t="s">
        <v>18</v>
      </c>
      <c r="G398" s="13"/>
      <c r="H398" s="45" t="s">
        <v>16</v>
      </c>
      <c r="I398" s="46"/>
      <c r="J398" s="14" t="s">
        <v>5847</v>
      </c>
      <c r="K398" s="13" t="s">
        <v>7169</v>
      </c>
      <c r="L398" s="99" t="str">
        <f t="shared" si="21"/>
        <v>W3213.E</v>
      </c>
      <c r="M398" s="13" t="s">
        <v>17</v>
      </c>
      <c r="N398" s="13"/>
      <c r="O398" s="13"/>
      <c r="P398" s="47"/>
      <c r="Q398" s="45" t="s">
        <v>3672</v>
      </c>
      <c r="R398" s="45" t="s">
        <v>5596</v>
      </c>
      <c r="S398" s="48"/>
      <c r="T398" s="49" t="str">
        <f t="shared" si="20"/>
        <v>[W3213.E]</v>
      </c>
      <c r="U398" s="12" t="str">
        <f t="shared" si="23"/>
        <v xml:space="preserve"> 도어프레임 클린칭 건#4축(SD222) 에러가 발생했습니다.</v>
      </c>
      <c r="V398" s="49" t="str">
        <f t="shared" si="22"/>
        <v>[W3213.E] 도어프레임 클린칭 건#4축(SD222) 에러가 발생했습니다.</v>
      </c>
    </row>
    <row r="399" spans="1:22" s="49" customFormat="1" ht="14.15" customHeight="1">
      <c r="A399" s="43" t="s">
        <v>6675</v>
      </c>
      <c r="B399" s="44" t="s">
        <v>6635</v>
      </c>
      <c r="C399" s="50"/>
      <c r="D399" s="10" t="s">
        <v>29</v>
      </c>
      <c r="E399" s="11"/>
      <c r="F399" s="11" t="s">
        <v>18</v>
      </c>
      <c r="G399" s="13"/>
      <c r="H399" s="45" t="s">
        <v>16</v>
      </c>
      <c r="I399" s="46"/>
      <c r="J399" s="14" t="s">
        <v>5848</v>
      </c>
      <c r="K399" s="13" t="s">
        <v>7170</v>
      </c>
      <c r="L399" s="99" t="str">
        <f t="shared" si="21"/>
        <v>W3213.F</v>
      </c>
      <c r="M399" s="13" t="s">
        <v>17</v>
      </c>
      <c r="N399" s="13"/>
      <c r="O399" s="13"/>
      <c r="P399" s="47"/>
      <c r="Q399" s="45" t="s">
        <v>3672</v>
      </c>
      <c r="R399" s="45" t="s">
        <v>5596</v>
      </c>
      <c r="S399" s="48"/>
      <c r="T399" s="49" t="str">
        <f t="shared" si="20"/>
        <v>[W3213.F]</v>
      </c>
      <c r="U399" s="12" t="str">
        <f t="shared" si="23"/>
        <v xml:space="preserve"> 도어프레임 클린칭 건#5축(SD223) 운전중에 Ready가 Off 되었습니다.</v>
      </c>
      <c r="V399" s="49" t="str">
        <f t="shared" si="22"/>
        <v>[W3213.F] 도어프레임 클린칭 건#5축(SD223) 운전중에 Ready가 Off 되었습니다.</v>
      </c>
    </row>
    <row r="400" spans="1:22" s="49" customFormat="1" ht="14.15" customHeight="1">
      <c r="A400" s="43" t="s">
        <v>6675</v>
      </c>
      <c r="B400" s="44" t="s">
        <v>6635</v>
      </c>
      <c r="C400" s="50"/>
      <c r="D400" s="10" t="s">
        <v>29</v>
      </c>
      <c r="E400" s="11"/>
      <c r="F400" s="11" t="s">
        <v>18</v>
      </c>
      <c r="G400" s="13"/>
      <c r="H400" s="45" t="s">
        <v>16</v>
      </c>
      <c r="I400" s="45"/>
      <c r="J400" s="12" t="s">
        <v>5849</v>
      </c>
      <c r="K400" s="13" t="s">
        <v>7171</v>
      </c>
      <c r="L400" s="99" t="str">
        <f t="shared" si="21"/>
        <v>W3214.0</v>
      </c>
      <c r="M400" s="13" t="s">
        <v>17</v>
      </c>
      <c r="N400" s="13"/>
      <c r="O400" s="13"/>
      <c r="P400" s="52"/>
      <c r="Q400" s="45" t="s">
        <v>3672</v>
      </c>
      <c r="R400" s="45" t="s">
        <v>5596</v>
      </c>
      <c r="S400" s="48"/>
      <c r="T400" s="49" t="str">
        <f t="shared" ref="T400:T463" si="24">"["&amp;L400&amp;"]"</f>
        <v>[W3214.0]</v>
      </c>
      <c r="U400" s="12" t="str">
        <f t="shared" si="23"/>
        <v xml:space="preserve"> 도어프레임 클린칭 건#5축(SD223) FLS가 감지되었습니다.</v>
      </c>
      <c r="V400" s="49" t="str">
        <f t="shared" si="22"/>
        <v>[W3214.0] 도어프레임 클린칭 건#5축(SD223) FLS가 감지되었습니다.</v>
      </c>
    </row>
    <row r="401" spans="1:22" s="49" customFormat="1" ht="14.15" customHeight="1">
      <c r="A401" s="43" t="s">
        <v>6675</v>
      </c>
      <c r="B401" s="44" t="s">
        <v>6635</v>
      </c>
      <c r="C401" s="50"/>
      <c r="D401" s="10" t="s">
        <v>29</v>
      </c>
      <c r="E401" s="11"/>
      <c r="F401" s="11" t="s">
        <v>18</v>
      </c>
      <c r="G401" s="13"/>
      <c r="H401" s="45" t="s">
        <v>16</v>
      </c>
      <c r="I401" s="45"/>
      <c r="J401" s="12" t="s">
        <v>5850</v>
      </c>
      <c r="K401" s="13" t="s">
        <v>7172</v>
      </c>
      <c r="L401" s="99" t="str">
        <f t="shared" ref="L401:L464" si="25">"W"&amp;DEC2HEX(12800 + INT((ROW()-80)/16)) &amp; "." &amp; IF(MOD(ROW()-80,16)&lt;10,MOD(ROW()-80,16),CHAR(MOD(ROW()-80,16)+55))</f>
        <v>W3214.1</v>
      </c>
      <c r="M401" s="13" t="s">
        <v>17</v>
      </c>
      <c r="N401" s="13"/>
      <c r="O401" s="13"/>
      <c r="P401" s="52"/>
      <c r="Q401" s="45" t="s">
        <v>3672</v>
      </c>
      <c r="R401" s="45" t="s">
        <v>5596</v>
      </c>
      <c r="S401" s="48"/>
      <c r="T401" s="49" t="str">
        <f t="shared" si="24"/>
        <v>[W3214.1]</v>
      </c>
      <c r="U401" s="12" t="str">
        <f t="shared" si="23"/>
        <v xml:space="preserve"> 도어프레임 클린칭 건#5축(SD223) RLS가 감지되었습니다.</v>
      </c>
      <c r="V401" s="49" t="str">
        <f t="shared" ref="V401:V464" si="26">T401&amp;U401</f>
        <v>[W3214.1] 도어프레임 클린칭 건#5축(SD223) RLS가 감지되었습니다.</v>
      </c>
    </row>
    <row r="402" spans="1:22" s="49" customFormat="1" ht="14.15" customHeight="1">
      <c r="A402" s="43" t="s">
        <v>6675</v>
      </c>
      <c r="B402" s="44" t="s">
        <v>6635</v>
      </c>
      <c r="C402" s="50"/>
      <c r="D402" s="10" t="s">
        <v>29</v>
      </c>
      <c r="E402" s="11"/>
      <c r="F402" s="11" t="s">
        <v>18</v>
      </c>
      <c r="G402" s="13"/>
      <c r="H402" s="45" t="s">
        <v>16</v>
      </c>
      <c r="I402" s="45"/>
      <c r="J402" s="12" t="s">
        <v>5851</v>
      </c>
      <c r="K402" s="13" t="s">
        <v>7173</v>
      </c>
      <c r="L402" s="99" t="str">
        <f t="shared" si="25"/>
        <v>W3214.2</v>
      </c>
      <c r="M402" s="13" t="s">
        <v>17</v>
      </c>
      <c r="N402" s="13"/>
      <c r="O402" s="13"/>
      <c r="P402" s="52"/>
      <c r="Q402" s="45" t="s">
        <v>3672</v>
      </c>
      <c r="R402" s="45" t="s">
        <v>5596</v>
      </c>
      <c r="S402" s="48"/>
      <c r="T402" s="49" t="str">
        <f t="shared" si="24"/>
        <v>[W3214.2]</v>
      </c>
      <c r="U402" s="12" t="str">
        <f t="shared" si="23"/>
        <v xml:space="preserve"> 도어프레임 클린칭 건#5축(SD223) Stop 명령이 On된 상태에서 기동을 시도했습니다.</v>
      </c>
      <c r="V402" s="49" t="str">
        <f t="shared" si="26"/>
        <v>[W3214.2] 도어프레임 클린칭 건#5축(SD223) Stop 명령이 On된 상태에서 기동을 시도했습니다.</v>
      </c>
    </row>
    <row r="403" spans="1:22" s="49" customFormat="1" ht="14.15" customHeight="1">
      <c r="A403" s="43" t="s">
        <v>6675</v>
      </c>
      <c r="B403" s="44" t="s">
        <v>6635</v>
      </c>
      <c r="C403" s="50"/>
      <c r="D403" s="10" t="s">
        <v>29</v>
      </c>
      <c r="E403" s="11"/>
      <c r="F403" s="11" t="s">
        <v>18</v>
      </c>
      <c r="G403" s="13"/>
      <c r="H403" s="45" t="s">
        <v>16</v>
      </c>
      <c r="I403" s="45"/>
      <c r="J403" s="12" t="s">
        <v>5852</v>
      </c>
      <c r="K403" s="13" t="s">
        <v>7174</v>
      </c>
      <c r="L403" s="99" t="str">
        <f t="shared" si="25"/>
        <v>W3214.3</v>
      </c>
      <c r="M403" s="13" t="s">
        <v>17</v>
      </c>
      <c r="N403" s="13"/>
      <c r="O403" s="13"/>
      <c r="P403" s="52"/>
      <c r="Q403" s="45" t="s">
        <v>3672</v>
      </c>
      <c r="R403" s="45" t="s">
        <v>5596</v>
      </c>
      <c r="S403" s="48"/>
      <c r="T403" s="49" t="str">
        <f t="shared" si="24"/>
        <v>[W3214.3]</v>
      </c>
      <c r="U403" s="12" t="str">
        <f t="shared" si="23"/>
        <v xml:space="preserve"> 도어프레임 클린칭 건#5축(SD223) 가동 전원이 Off 되었습니다.</v>
      </c>
      <c r="V403" s="49" t="str">
        <f t="shared" si="26"/>
        <v>[W3214.3] 도어프레임 클린칭 건#5축(SD223) 가동 전원이 Off 되었습니다.</v>
      </c>
    </row>
    <row r="404" spans="1:22" s="49" customFormat="1" ht="14.15" customHeight="1">
      <c r="A404" s="43" t="s">
        <v>6675</v>
      </c>
      <c r="B404" s="44" t="s">
        <v>6635</v>
      </c>
      <c r="C404" s="50"/>
      <c r="D404" s="10" t="s">
        <v>29</v>
      </c>
      <c r="E404" s="11"/>
      <c r="F404" s="11" t="s">
        <v>18</v>
      </c>
      <c r="G404" s="13"/>
      <c r="H404" s="45" t="s">
        <v>16</v>
      </c>
      <c r="I404" s="45"/>
      <c r="J404" s="12" t="s">
        <v>5853</v>
      </c>
      <c r="K404" s="13" t="s">
        <v>7175</v>
      </c>
      <c r="L404" s="99" t="str">
        <f t="shared" si="25"/>
        <v>W3214.4</v>
      </c>
      <c r="M404" s="13" t="s">
        <v>17</v>
      </c>
      <c r="N404" s="13"/>
      <c r="O404" s="13"/>
      <c r="P404" s="52"/>
      <c r="Q404" s="45" t="s">
        <v>3672</v>
      </c>
      <c r="R404" s="45" t="s">
        <v>5596</v>
      </c>
      <c r="S404" s="48"/>
      <c r="T404" s="49" t="str">
        <f t="shared" si="24"/>
        <v>[W3214.4]</v>
      </c>
      <c r="U404" s="12" t="str">
        <f t="shared" si="23"/>
        <v xml:space="preserve"> 도어프레임 클린칭 건#5축(SD223) 엔코더 이상이 검출되었습니다.</v>
      </c>
      <c r="V404" s="49" t="str">
        <f t="shared" si="26"/>
        <v>[W3214.4] 도어프레임 클린칭 건#5축(SD223) 엔코더 이상이 검출되었습니다.</v>
      </c>
    </row>
    <row r="405" spans="1:22" s="49" customFormat="1" ht="14.15" customHeight="1">
      <c r="A405" s="43" t="s">
        <v>6675</v>
      </c>
      <c r="B405" s="44" t="s">
        <v>6635</v>
      </c>
      <c r="C405" s="50"/>
      <c r="D405" s="10" t="s">
        <v>29</v>
      </c>
      <c r="E405" s="11"/>
      <c r="F405" s="11" t="s">
        <v>18</v>
      </c>
      <c r="G405" s="13"/>
      <c r="H405" s="45" t="s">
        <v>16</v>
      </c>
      <c r="I405" s="45"/>
      <c r="J405" s="12" t="s">
        <v>5854</v>
      </c>
      <c r="K405" s="13" t="s">
        <v>7176</v>
      </c>
      <c r="L405" s="99" t="str">
        <f t="shared" si="25"/>
        <v>W3214.5</v>
      </c>
      <c r="M405" s="13" t="s">
        <v>17</v>
      </c>
      <c r="N405" s="13"/>
      <c r="O405" s="13"/>
      <c r="P405" s="52"/>
      <c r="Q405" s="45" t="s">
        <v>3672</v>
      </c>
      <c r="R405" s="45" t="s">
        <v>5596</v>
      </c>
      <c r="S405" s="48"/>
      <c r="T405" s="49" t="str">
        <f t="shared" si="24"/>
        <v>[W3214.5]</v>
      </c>
      <c r="U405" s="12" t="str">
        <f t="shared" si="23"/>
        <v xml:space="preserve"> 도어프레임 클린칭 건#5축(SD223) 과전류가 검출되었습니다.</v>
      </c>
      <c r="V405" s="49" t="str">
        <f t="shared" si="26"/>
        <v>[W3214.5] 도어프레임 클린칭 건#5축(SD223) 과전류가 검출되었습니다.</v>
      </c>
    </row>
    <row r="406" spans="1:22" s="49" customFormat="1" ht="14.15" customHeight="1">
      <c r="A406" s="43" t="s">
        <v>6675</v>
      </c>
      <c r="B406" s="44" t="s">
        <v>6635</v>
      </c>
      <c r="C406" s="50"/>
      <c r="D406" s="10" t="s">
        <v>29</v>
      </c>
      <c r="E406" s="11"/>
      <c r="F406" s="11" t="s">
        <v>18</v>
      </c>
      <c r="G406" s="13"/>
      <c r="H406" s="45" t="s">
        <v>16</v>
      </c>
      <c r="I406" s="45"/>
      <c r="J406" s="12" t="s">
        <v>5855</v>
      </c>
      <c r="K406" s="13" t="s">
        <v>7177</v>
      </c>
      <c r="L406" s="99" t="str">
        <f t="shared" si="25"/>
        <v>W3214.6</v>
      </c>
      <c r="M406" s="13" t="s">
        <v>17</v>
      </c>
      <c r="N406" s="13"/>
      <c r="O406" s="13"/>
      <c r="P406" s="52"/>
      <c r="Q406" s="45" t="s">
        <v>3672</v>
      </c>
      <c r="R406" s="45" t="s">
        <v>5596</v>
      </c>
      <c r="S406" s="48"/>
      <c r="T406" s="49" t="str">
        <f t="shared" si="24"/>
        <v>[W3214.6]</v>
      </c>
      <c r="U406" s="12" t="str">
        <f t="shared" si="23"/>
        <v xml:space="preserve"> 도어프레임 클린칭 건#5축(SD223) 과부하가 검출되었습니다.</v>
      </c>
      <c r="V406" s="49" t="str">
        <f t="shared" si="26"/>
        <v>[W3214.6] 도어프레임 클린칭 건#5축(SD223) 과부하가 검출되었습니다.</v>
      </c>
    </row>
    <row r="407" spans="1:22" s="49" customFormat="1" ht="14.15" customHeight="1">
      <c r="A407" s="43" t="s">
        <v>6675</v>
      </c>
      <c r="B407" s="44" t="s">
        <v>6635</v>
      </c>
      <c r="C407" s="50"/>
      <c r="D407" s="10" t="s">
        <v>29</v>
      </c>
      <c r="E407" s="11"/>
      <c r="F407" s="11" t="s">
        <v>18</v>
      </c>
      <c r="G407" s="13"/>
      <c r="H407" s="45" t="s">
        <v>16</v>
      </c>
      <c r="I407" s="45"/>
      <c r="J407" s="12" t="s">
        <v>5856</v>
      </c>
      <c r="K407" s="13" t="s">
        <v>7178</v>
      </c>
      <c r="L407" s="99" t="str">
        <f t="shared" si="25"/>
        <v>W3214.7</v>
      </c>
      <c r="M407" s="13" t="s">
        <v>17</v>
      </c>
      <c r="N407" s="13"/>
      <c r="O407" s="13"/>
      <c r="P407" s="52"/>
      <c r="Q407" s="45" t="s">
        <v>3672</v>
      </c>
      <c r="R407" s="45" t="s">
        <v>5596</v>
      </c>
      <c r="S407" s="48"/>
      <c r="T407" s="49" t="str">
        <f t="shared" si="24"/>
        <v>[W3214.7]</v>
      </c>
      <c r="U407" s="12" t="str">
        <f t="shared" si="23"/>
        <v xml:space="preserve"> 도어프레임 클린칭 건#5축(SD223)  </v>
      </c>
      <c r="V407" s="49" t="str">
        <f t="shared" si="26"/>
        <v xml:space="preserve">[W3214.7] 도어프레임 클린칭 건#5축(SD223)  </v>
      </c>
    </row>
    <row r="408" spans="1:22" s="49" customFormat="1" ht="14.15" customHeight="1">
      <c r="A408" s="43" t="s">
        <v>6675</v>
      </c>
      <c r="B408" s="44" t="s">
        <v>6635</v>
      </c>
      <c r="C408" s="50"/>
      <c r="D408" s="10" t="s">
        <v>29</v>
      </c>
      <c r="E408" s="11"/>
      <c r="F408" s="11" t="s">
        <v>18</v>
      </c>
      <c r="G408" s="13"/>
      <c r="H408" s="45" t="s">
        <v>16</v>
      </c>
      <c r="I408" s="45"/>
      <c r="J408" s="12" t="s">
        <v>5857</v>
      </c>
      <c r="K408" s="13" t="s">
        <v>7179</v>
      </c>
      <c r="L408" s="99" t="str">
        <f t="shared" si="25"/>
        <v>W3214.8</v>
      </c>
      <c r="M408" s="13" t="s">
        <v>17</v>
      </c>
      <c r="N408" s="13"/>
      <c r="O408" s="13"/>
      <c r="P408" s="52"/>
      <c r="Q408" s="45" t="s">
        <v>3672</v>
      </c>
      <c r="R408" s="45" t="s">
        <v>5596</v>
      </c>
      <c r="S408" s="48"/>
      <c r="T408" s="49" t="str">
        <f t="shared" si="24"/>
        <v>[W3214.8]</v>
      </c>
      <c r="U408" s="12" t="str">
        <f t="shared" si="23"/>
        <v xml:space="preserve"> 도어프레임 클린칭 건#5축(SD223) 에러가 발생했습니다.</v>
      </c>
      <c r="V408" s="49" t="str">
        <f t="shared" si="26"/>
        <v>[W3214.8] 도어프레임 클린칭 건#5축(SD223) 에러가 발생했습니다.</v>
      </c>
    </row>
    <row r="409" spans="1:22" s="49" customFormat="1" ht="14.15" customHeight="1">
      <c r="A409" s="43" t="s">
        <v>6675</v>
      </c>
      <c r="B409" s="44" t="s">
        <v>6635</v>
      </c>
      <c r="C409" s="50"/>
      <c r="D409" s="10" t="s">
        <v>29</v>
      </c>
      <c r="E409" s="11"/>
      <c r="F409" s="11" t="s">
        <v>18</v>
      </c>
      <c r="G409" s="13"/>
      <c r="H409" s="45" t="s">
        <v>16</v>
      </c>
      <c r="I409" s="45"/>
      <c r="J409" s="12" t="s">
        <v>5858</v>
      </c>
      <c r="K409" s="13" t="s">
        <v>7180</v>
      </c>
      <c r="L409" s="99" t="str">
        <f t="shared" si="25"/>
        <v>W3214.9</v>
      </c>
      <c r="M409" s="13" t="s">
        <v>17</v>
      </c>
      <c r="N409" s="13"/>
      <c r="O409" s="13"/>
      <c r="P409" s="52"/>
      <c r="Q409" s="45" t="s">
        <v>3672</v>
      </c>
      <c r="R409" s="45" t="s">
        <v>5596</v>
      </c>
      <c r="S409" s="48"/>
      <c r="T409" s="49" t="str">
        <f t="shared" si="24"/>
        <v>[W3214.9]</v>
      </c>
      <c r="U409" s="12" t="str">
        <f t="shared" si="23"/>
        <v xml:space="preserve"> 도어프레임 클린칭 건#6축(SD224) 운전중에 Ready가 Off 되었습니다.</v>
      </c>
      <c r="V409" s="49" t="str">
        <f t="shared" si="26"/>
        <v>[W3214.9] 도어프레임 클린칭 건#6축(SD224) 운전중에 Ready가 Off 되었습니다.</v>
      </c>
    </row>
    <row r="410" spans="1:22" s="49" customFormat="1" ht="14.15" customHeight="1">
      <c r="A410" s="43" t="s">
        <v>6675</v>
      </c>
      <c r="B410" s="44" t="s">
        <v>6635</v>
      </c>
      <c r="C410" s="50"/>
      <c r="D410" s="10" t="s">
        <v>29</v>
      </c>
      <c r="E410" s="11"/>
      <c r="F410" s="11" t="s">
        <v>18</v>
      </c>
      <c r="G410" s="13"/>
      <c r="H410" s="45" t="s">
        <v>16</v>
      </c>
      <c r="I410" s="45"/>
      <c r="J410" s="12" t="s">
        <v>5859</v>
      </c>
      <c r="K410" s="13" t="s">
        <v>7181</v>
      </c>
      <c r="L410" s="99" t="str">
        <f t="shared" si="25"/>
        <v>W3214.A</v>
      </c>
      <c r="M410" s="13" t="s">
        <v>17</v>
      </c>
      <c r="N410" s="13"/>
      <c r="O410" s="13"/>
      <c r="P410" s="52"/>
      <c r="Q410" s="45" t="s">
        <v>3672</v>
      </c>
      <c r="R410" s="45" t="s">
        <v>5596</v>
      </c>
      <c r="S410" s="48"/>
      <c r="T410" s="49" t="str">
        <f t="shared" si="24"/>
        <v>[W3214.A]</v>
      </c>
      <c r="U410" s="12" t="str">
        <f t="shared" si="23"/>
        <v xml:space="preserve"> 도어프레임 클린칭 건#6축(SD224) FLS가 감지되었습니다.</v>
      </c>
      <c r="V410" s="49" t="str">
        <f t="shared" si="26"/>
        <v>[W3214.A] 도어프레임 클린칭 건#6축(SD224) FLS가 감지되었습니다.</v>
      </c>
    </row>
    <row r="411" spans="1:22" s="49" customFormat="1" ht="14.15" customHeight="1">
      <c r="A411" s="43" t="s">
        <v>6675</v>
      </c>
      <c r="B411" s="44" t="s">
        <v>6635</v>
      </c>
      <c r="C411" s="50"/>
      <c r="D411" s="10" t="s">
        <v>29</v>
      </c>
      <c r="E411" s="11"/>
      <c r="F411" s="11" t="s">
        <v>18</v>
      </c>
      <c r="G411" s="13"/>
      <c r="H411" s="45" t="s">
        <v>16</v>
      </c>
      <c r="I411" s="45"/>
      <c r="J411" s="12" t="s">
        <v>5860</v>
      </c>
      <c r="K411" s="13" t="s">
        <v>7182</v>
      </c>
      <c r="L411" s="99" t="str">
        <f t="shared" si="25"/>
        <v>W3214.B</v>
      </c>
      <c r="M411" s="13" t="s">
        <v>17</v>
      </c>
      <c r="N411" s="13"/>
      <c r="O411" s="13"/>
      <c r="P411" s="52"/>
      <c r="Q411" s="45" t="s">
        <v>3672</v>
      </c>
      <c r="R411" s="45" t="s">
        <v>5596</v>
      </c>
      <c r="S411" s="48"/>
      <c r="T411" s="49" t="str">
        <f t="shared" si="24"/>
        <v>[W3214.B]</v>
      </c>
      <c r="U411" s="12" t="str">
        <f t="shared" si="23"/>
        <v xml:space="preserve"> 도어프레임 클린칭 건#6축(SD224) RLS가 감지되었습니다.</v>
      </c>
      <c r="V411" s="49" t="str">
        <f t="shared" si="26"/>
        <v>[W3214.B] 도어프레임 클린칭 건#6축(SD224) RLS가 감지되었습니다.</v>
      </c>
    </row>
    <row r="412" spans="1:22" s="49" customFormat="1" ht="14.15" customHeight="1">
      <c r="A412" s="43" t="s">
        <v>6675</v>
      </c>
      <c r="B412" s="44" t="s">
        <v>6635</v>
      </c>
      <c r="C412" s="50"/>
      <c r="D412" s="10" t="s">
        <v>29</v>
      </c>
      <c r="E412" s="11"/>
      <c r="F412" s="11" t="s">
        <v>18</v>
      </c>
      <c r="G412" s="13"/>
      <c r="H412" s="45" t="s">
        <v>16</v>
      </c>
      <c r="I412" s="45"/>
      <c r="J412" s="12" t="s">
        <v>5861</v>
      </c>
      <c r="K412" s="13" t="s">
        <v>7183</v>
      </c>
      <c r="L412" s="99" t="str">
        <f t="shared" si="25"/>
        <v>W3214.C</v>
      </c>
      <c r="M412" s="13" t="s">
        <v>17</v>
      </c>
      <c r="N412" s="13"/>
      <c r="O412" s="13"/>
      <c r="P412" s="52"/>
      <c r="Q412" s="45" t="s">
        <v>3672</v>
      </c>
      <c r="R412" s="45" t="s">
        <v>5596</v>
      </c>
      <c r="S412" s="48"/>
      <c r="T412" s="49" t="str">
        <f t="shared" si="24"/>
        <v>[W3214.C]</v>
      </c>
      <c r="U412" s="12" t="str">
        <f t="shared" si="23"/>
        <v xml:space="preserve"> 도어프레임 클린칭 건#6축(SD224) Stop 명령이 On된 상태에서 기동을 시도했습니다.</v>
      </c>
      <c r="V412" s="49" t="str">
        <f t="shared" si="26"/>
        <v>[W3214.C] 도어프레임 클린칭 건#6축(SD224) Stop 명령이 On된 상태에서 기동을 시도했습니다.</v>
      </c>
    </row>
    <row r="413" spans="1:22" s="49" customFormat="1" ht="14.15" customHeight="1">
      <c r="A413" s="43" t="s">
        <v>6675</v>
      </c>
      <c r="B413" s="44" t="s">
        <v>6635</v>
      </c>
      <c r="C413" s="50"/>
      <c r="D413" s="10" t="s">
        <v>29</v>
      </c>
      <c r="E413" s="11"/>
      <c r="F413" s="11" t="s">
        <v>18</v>
      </c>
      <c r="G413" s="13"/>
      <c r="H413" s="45" t="s">
        <v>16</v>
      </c>
      <c r="I413" s="45"/>
      <c r="J413" s="12" t="s">
        <v>5862</v>
      </c>
      <c r="K413" s="13" t="s">
        <v>7184</v>
      </c>
      <c r="L413" s="99" t="str">
        <f t="shared" si="25"/>
        <v>W3214.D</v>
      </c>
      <c r="M413" s="13" t="s">
        <v>17</v>
      </c>
      <c r="N413" s="13"/>
      <c r="O413" s="13"/>
      <c r="P413" s="52"/>
      <c r="Q413" s="45" t="s">
        <v>3672</v>
      </c>
      <c r="R413" s="45" t="s">
        <v>5596</v>
      </c>
      <c r="S413" s="48"/>
      <c r="T413" s="49" t="str">
        <f t="shared" si="24"/>
        <v>[W3214.D]</v>
      </c>
      <c r="U413" s="12" t="str">
        <f t="shared" si="23"/>
        <v xml:space="preserve"> 도어프레임 클린칭 건#6축(SD224) 가동 전원이 Off 되었습니다.</v>
      </c>
      <c r="V413" s="49" t="str">
        <f t="shared" si="26"/>
        <v>[W3214.D] 도어프레임 클린칭 건#6축(SD224) 가동 전원이 Off 되었습니다.</v>
      </c>
    </row>
    <row r="414" spans="1:22" s="49" customFormat="1" ht="14.15" customHeight="1">
      <c r="A414" s="43" t="s">
        <v>6675</v>
      </c>
      <c r="B414" s="44" t="s">
        <v>6635</v>
      </c>
      <c r="C414" s="50"/>
      <c r="D414" s="10" t="s">
        <v>29</v>
      </c>
      <c r="E414" s="11"/>
      <c r="F414" s="11" t="s">
        <v>18</v>
      </c>
      <c r="G414" s="13"/>
      <c r="H414" s="45" t="s">
        <v>16</v>
      </c>
      <c r="I414" s="45"/>
      <c r="J414" s="12" t="s">
        <v>5863</v>
      </c>
      <c r="K414" s="13" t="s">
        <v>7185</v>
      </c>
      <c r="L414" s="99" t="str">
        <f t="shared" si="25"/>
        <v>W3214.E</v>
      </c>
      <c r="M414" s="13" t="s">
        <v>17</v>
      </c>
      <c r="N414" s="13"/>
      <c r="O414" s="13"/>
      <c r="P414" s="52"/>
      <c r="Q414" s="45" t="s">
        <v>3672</v>
      </c>
      <c r="R414" s="45" t="s">
        <v>5596</v>
      </c>
      <c r="S414" s="48"/>
      <c r="T414" s="49" t="str">
        <f t="shared" si="24"/>
        <v>[W3214.E]</v>
      </c>
      <c r="U414" s="12" t="str">
        <f t="shared" si="23"/>
        <v xml:space="preserve"> 도어프레임 클린칭 건#6축(SD224) 엔코더 이상이 검출되었습니다.</v>
      </c>
      <c r="V414" s="49" t="str">
        <f t="shared" si="26"/>
        <v>[W3214.E] 도어프레임 클린칭 건#6축(SD224) 엔코더 이상이 검출되었습니다.</v>
      </c>
    </row>
    <row r="415" spans="1:22" s="49" customFormat="1" ht="14.15" customHeight="1">
      <c r="A415" s="43" t="s">
        <v>6675</v>
      </c>
      <c r="B415" s="44" t="s">
        <v>6635</v>
      </c>
      <c r="C415" s="50"/>
      <c r="D415" s="10" t="s">
        <v>29</v>
      </c>
      <c r="E415" s="11"/>
      <c r="F415" s="11" t="s">
        <v>18</v>
      </c>
      <c r="G415" s="13"/>
      <c r="H415" s="45" t="s">
        <v>16</v>
      </c>
      <c r="I415" s="45"/>
      <c r="J415" s="12" t="s">
        <v>5864</v>
      </c>
      <c r="K415" s="13" t="s">
        <v>7186</v>
      </c>
      <c r="L415" s="99" t="str">
        <f t="shared" si="25"/>
        <v>W3214.F</v>
      </c>
      <c r="M415" s="13" t="s">
        <v>17</v>
      </c>
      <c r="N415" s="13"/>
      <c r="O415" s="13"/>
      <c r="P415" s="52"/>
      <c r="Q415" s="45" t="s">
        <v>3672</v>
      </c>
      <c r="R415" s="45" t="s">
        <v>5596</v>
      </c>
      <c r="S415" s="48"/>
      <c r="T415" s="49" t="str">
        <f t="shared" si="24"/>
        <v>[W3214.F]</v>
      </c>
      <c r="U415" s="12" t="str">
        <f t="shared" si="23"/>
        <v xml:space="preserve"> 도어프레임 클린칭 건#6축(SD224) 과전류가 검출되었습니다.</v>
      </c>
      <c r="V415" s="49" t="str">
        <f t="shared" si="26"/>
        <v>[W3214.F] 도어프레임 클린칭 건#6축(SD224) 과전류가 검출되었습니다.</v>
      </c>
    </row>
    <row r="416" spans="1:22" s="49" customFormat="1" ht="14.15" customHeight="1">
      <c r="A416" s="43" t="s">
        <v>6675</v>
      </c>
      <c r="B416" s="44" t="s">
        <v>6635</v>
      </c>
      <c r="C416" s="50"/>
      <c r="D416" s="10" t="s">
        <v>29</v>
      </c>
      <c r="E416" s="11"/>
      <c r="F416" s="11" t="s">
        <v>18</v>
      </c>
      <c r="G416" s="13"/>
      <c r="H416" s="45" t="s">
        <v>16</v>
      </c>
      <c r="I416" s="46"/>
      <c r="J416" s="14" t="s">
        <v>5865</v>
      </c>
      <c r="K416" s="13" t="s">
        <v>7187</v>
      </c>
      <c r="L416" s="99" t="str">
        <f t="shared" si="25"/>
        <v>W3215.0</v>
      </c>
      <c r="M416" s="13" t="s">
        <v>17</v>
      </c>
      <c r="N416" s="13"/>
      <c r="O416" s="13"/>
      <c r="P416" s="52"/>
      <c r="Q416" s="45" t="s">
        <v>3672</v>
      </c>
      <c r="R416" s="45" t="s">
        <v>5596</v>
      </c>
      <c r="S416" s="48"/>
      <c r="T416" s="49" t="str">
        <f t="shared" si="24"/>
        <v>[W3215.0]</v>
      </c>
      <c r="U416" s="12" t="str">
        <f t="shared" si="23"/>
        <v xml:space="preserve"> 도어프레임 클린칭 건#6축(SD224) 과부하가 검출되었습니다.</v>
      </c>
      <c r="V416" s="49" t="str">
        <f t="shared" si="26"/>
        <v>[W3215.0] 도어프레임 클린칭 건#6축(SD224) 과부하가 검출되었습니다.</v>
      </c>
    </row>
    <row r="417" spans="1:22" s="49" customFormat="1" ht="14.15" customHeight="1">
      <c r="A417" s="43" t="s">
        <v>6675</v>
      </c>
      <c r="B417" s="44" t="s">
        <v>6635</v>
      </c>
      <c r="C417" s="50"/>
      <c r="D417" s="10" t="s">
        <v>29</v>
      </c>
      <c r="E417" s="11"/>
      <c r="F417" s="11" t="s">
        <v>18</v>
      </c>
      <c r="G417" s="13"/>
      <c r="H417" s="45" t="s">
        <v>16</v>
      </c>
      <c r="I417" s="46"/>
      <c r="J417" s="14" t="s">
        <v>5866</v>
      </c>
      <c r="K417" s="13" t="s">
        <v>7188</v>
      </c>
      <c r="L417" s="99" t="str">
        <f t="shared" si="25"/>
        <v>W3215.1</v>
      </c>
      <c r="M417" s="13" t="s">
        <v>17</v>
      </c>
      <c r="N417" s="13"/>
      <c r="O417" s="13"/>
      <c r="P417" s="52"/>
      <c r="Q417" s="45" t="s">
        <v>3672</v>
      </c>
      <c r="R417" s="45" t="s">
        <v>5596</v>
      </c>
      <c r="S417" s="48"/>
      <c r="T417" s="49" t="str">
        <f t="shared" si="24"/>
        <v>[W3215.1]</v>
      </c>
      <c r="U417" s="12" t="str">
        <f t="shared" si="23"/>
        <v xml:space="preserve"> 도어프레임 클린칭 건#6축(SD224)  </v>
      </c>
      <c r="V417" s="49" t="str">
        <f t="shared" si="26"/>
        <v xml:space="preserve">[W3215.1] 도어프레임 클린칭 건#6축(SD224)  </v>
      </c>
    </row>
    <row r="418" spans="1:22" s="49" customFormat="1" ht="14.15" customHeight="1">
      <c r="A418" s="43" t="s">
        <v>6675</v>
      </c>
      <c r="B418" s="44" t="s">
        <v>6635</v>
      </c>
      <c r="C418" s="50"/>
      <c r="D418" s="10" t="s">
        <v>29</v>
      </c>
      <c r="E418" s="11"/>
      <c r="F418" s="11" t="s">
        <v>18</v>
      </c>
      <c r="G418" s="13"/>
      <c r="H418" s="45" t="s">
        <v>16</v>
      </c>
      <c r="I418" s="46"/>
      <c r="J418" s="14" t="s">
        <v>5867</v>
      </c>
      <c r="K418" s="13" t="s">
        <v>7189</v>
      </c>
      <c r="L418" s="99" t="str">
        <f t="shared" si="25"/>
        <v>W3215.2</v>
      </c>
      <c r="M418" s="13" t="s">
        <v>17</v>
      </c>
      <c r="N418" s="13"/>
      <c r="O418" s="13"/>
      <c r="P418" s="52"/>
      <c r="Q418" s="45" t="s">
        <v>3672</v>
      </c>
      <c r="R418" s="45" t="s">
        <v>5596</v>
      </c>
      <c r="S418" s="48"/>
      <c r="T418" s="49" t="str">
        <f t="shared" si="24"/>
        <v>[W3215.2]</v>
      </c>
      <c r="U418" s="12" t="str">
        <f t="shared" si="23"/>
        <v xml:space="preserve"> 도어프레임 클린칭 건#6축(SD224) 에러가 발생했습니다.</v>
      </c>
      <c r="V418" s="49" t="str">
        <f t="shared" si="26"/>
        <v>[W3215.2] 도어프레임 클린칭 건#6축(SD224) 에러가 발생했습니다.</v>
      </c>
    </row>
    <row r="419" spans="1:22" s="49" customFormat="1" ht="14.15" customHeight="1">
      <c r="A419" s="43" t="s">
        <v>6687</v>
      </c>
      <c r="B419" s="44" t="s">
        <v>6635</v>
      </c>
      <c r="C419" s="50"/>
      <c r="D419" s="10" t="s">
        <v>29</v>
      </c>
      <c r="E419" s="11"/>
      <c r="F419" s="11" t="s">
        <v>18</v>
      </c>
      <c r="G419" s="13"/>
      <c r="H419" s="45" t="s">
        <v>16</v>
      </c>
      <c r="I419" s="46"/>
      <c r="J419" s="14" t="s">
        <v>6770</v>
      </c>
      <c r="K419" s="13" t="s">
        <v>7190</v>
      </c>
      <c r="L419" s="99" t="str">
        <f t="shared" si="25"/>
        <v>W3215.3</v>
      </c>
      <c r="M419" s="13" t="s">
        <v>17</v>
      </c>
      <c r="N419" s="13"/>
      <c r="O419" s="13"/>
      <c r="P419" s="52"/>
      <c r="Q419" s="45" t="s">
        <v>3672</v>
      </c>
      <c r="R419" s="45" t="s">
        <v>5552</v>
      </c>
      <c r="S419" s="48"/>
      <c r="T419" s="49" t="str">
        <f t="shared" si="24"/>
        <v>[W3215.3]</v>
      </c>
      <c r="U419" s="12" t="str">
        <f t="shared" si="23"/>
        <v xml:space="preserve"> 도어프레임 서보조립셔틀#2 X축(SD225) 운전중에 Ready가 Off 되었습니다.</v>
      </c>
      <c r="V419" s="49" t="str">
        <f t="shared" si="26"/>
        <v>[W3215.3] 도어프레임 서보조립셔틀#2 X축(SD225) 운전중에 Ready가 Off 되었습니다.</v>
      </c>
    </row>
    <row r="420" spans="1:22" s="49" customFormat="1" ht="14.15" customHeight="1">
      <c r="A420" s="43" t="s">
        <v>6687</v>
      </c>
      <c r="B420" s="44" t="s">
        <v>6635</v>
      </c>
      <c r="C420" s="50"/>
      <c r="D420" s="10" t="s">
        <v>29</v>
      </c>
      <c r="E420" s="11"/>
      <c r="F420" s="11" t="s">
        <v>18</v>
      </c>
      <c r="G420" s="13"/>
      <c r="H420" s="45" t="s">
        <v>16</v>
      </c>
      <c r="I420" s="46"/>
      <c r="J420" s="14" t="s">
        <v>6771</v>
      </c>
      <c r="K420" s="13" t="s">
        <v>7191</v>
      </c>
      <c r="L420" s="99" t="str">
        <f t="shared" si="25"/>
        <v>W3215.4</v>
      </c>
      <c r="M420" s="13" t="s">
        <v>17</v>
      </c>
      <c r="N420" s="13"/>
      <c r="O420" s="13"/>
      <c r="P420" s="52"/>
      <c r="Q420" s="45" t="s">
        <v>3672</v>
      </c>
      <c r="R420" s="45" t="s">
        <v>5552</v>
      </c>
      <c r="S420" s="48"/>
      <c r="T420" s="49" t="str">
        <f t="shared" si="24"/>
        <v>[W3215.4]</v>
      </c>
      <c r="U420" s="12" t="str">
        <f t="shared" si="23"/>
        <v xml:space="preserve"> 도어프레임 서보조립셔틀#2 X축(SD225) FLS가 감지되었습니다.</v>
      </c>
      <c r="V420" s="49" t="str">
        <f t="shared" si="26"/>
        <v>[W3215.4] 도어프레임 서보조립셔틀#2 X축(SD225) FLS가 감지되었습니다.</v>
      </c>
    </row>
    <row r="421" spans="1:22" s="49" customFormat="1" ht="14.15" customHeight="1">
      <c r="A421" s="43" t="s">
        <v>6687</v>
      </c>
      <c r="B421" s="44" t="s">
        <v>6635</v>
      </c>
      <c r="C421" s="50"/>
      <c r="D421" s="10" t="s">
        <v>29</v>
      </c>
      <c r="E421" s="11"/>
      <c r="F421" s="11" t="s">
        <v>18</v>
      </c>
      <c r="G421" s="13"/>
      <c r="H421" s="45" t="s">
        <v>16</v>
      </c>
      <c r="I421" s="46"/>
      <c r="J421" s="14" t="s">
        <v>6772</v>
      </c>
      <c r="K421" s="13" t="s">
        <v>7192</v>
      </c>
      <c r="L421" s="99" t="str">
        <f t="shared" si="25"/>
        <v>W3215.5</v>
      </c>
      <c r="M421" s="13" t="s">
        <v>17</v>
      </c>
      <c r="N421" s="13"/>
      <c r="O421" s="13"/>
      <c r="P421" s="52"/>
      <c r="Q421" s="45" t="s">
        <v>3672</v>
      </c>
      <c r="R421" s="45" t="s">
        <v>5552</v>
      </c>
      <c r="S421" s="48"/>
      <c r="T421" s="49" t="str">
        <f t="shared" si="24"/>
        <v>[W3215.5]</v>
      </c>
      <c r="U421" s="12" t="str">
        <f t="shared" si="23"/>
        <v xml:space="preserve"> 도어프레임 서보조립셔틀#2 X축(SD225) RLS가 감지되었습니다.</v>
      </c>
      <c r="V421" s="49" t="str">
        <f t="shared" si="26"/>
        <v>[W3215.5] 도어프레임 서보조립셔틀#2 X축(SD225) RLS가 감지되었습니다.</v>
      </c>
    </row>
    <row r="422" spans="1:22" s="49" customFormat="1" ht="14.15" customHeight="1">
      <c r="A422" s="43" t="s">
        <v>6687</v>
      </c>
      <c r="B422" s="44" t="s">
        <v>6635</v>
      </c>
      <c r="C422" s="50"/>
      <c r="D422" s="10" t="s">
        <v>29</v>
      </c>
      <c r="E422" s="11"/>
      <c r="F422" s="11" t="s">
        <v>18</v>
      </c>
      <c r="G422" s="13"/>
      <c r="H422" s="45" t="s">
        <v>16</v>
      </c>
      <c r="I422" s="46"/>
      <c r="J422" s="14" t="s">
        <v>6773</v>
      </c>
      <c r="K422" s="13" t="s">
        <v>7193</v>
      </c>
      <c r="L422" s="99" t="str">
        <f t="shared" si="25"/>
        <v>W3215.6</v>
      </c>
      <c r="M422" s="13" t="s">
        <v>17</v>
      </c>
      <c r="N422" s="13"/>
      <c r="O422" s="13"/>
      <c r="P422" s="52"/>
      <c r="Q422" s="45" t="s">
        <v>3672</v>
      </c>
      <c r="R422" s="45" t="s">
        <v>5552</v>
      </c>
      <c r="S422" s="48"/>
      <c r="T422" s="49" t="str">
        <f t="shared" si="24"/>
        <v>[W3215.6]</v>
      </c>
      <c r="U422" s="12" t="str">
        <f t="shared" si="23"/>
        <v xml:space="preserve"> 도어프레임 서보조립셔틀#2 X축(SD225) Stop 명령이 On된 상태에서 기동을 시도했습니다.</v>
      </c>
      <c r="V422" s="49" t="str">
        <f t="shared" si="26"/>
        <v>[W3215.6] 도어프레임 서보조립셔틀#2 X축(SD225) Stop 명령이 On된 상태에서 기동을 시도했습니다.</v>
      </c>
    </row>
    <row r="423" spans="1:22" s="49" customFormat="1" ht="14.15" customHeight="1">
      <c r="A423" s="43" t="s">
        <v>6687</v>
      </c>
      <c r="B423" s="44" t="s">
        <v>6635</v>
      </c>
      <c r="C423" s="50"/>
      <c r="D423" s="10" t="s">
        <v>29</v>
      </c>
      <c r="E423" s="11"/>
      <c r="F423" s="11" t="s">
        <v>18</v>
      </c>
      <c r="G423" s="13"/>
      <c r="H423" s="45" t="s">
        <v>16</v>
      </c>
      <c r="I423" s="46"/>
      <c r="J423" s="14" t="s">
        <v>6774</v>
      </c>
      <c r="K423" s="13" t="s">
        <v>7194</v>
      </c>
      <c r="L423" s="99" t="str">
        <f t="shared" si="25"/>
        <v>W3215.7</v>
      </c>
      <c r="M423" s="13" t="s">
        <v>17</v>
      </c>
      <c r="N423" s="13"/>
      <c r="O423" s="13"/>
      <c r="P423" s="52"/>
      <c r="Q423" s="45" t="s">
        <v>3672</v>
      </c>
      <c r="R423" s="45" t="s">
        <v>5552</v>
      </c>
      <c r="S423" s="48"/>
      <c r="T423" s="49" t="str">
        <f t="shared" si="24"/>
        <v>[W3215.7]</v>
      </c>
      <c r="U423" s="12" t="str">
        <f t="shared" si="23"/>
        <v xml:space="preserve"> 도어프레임 서보조립셔틀#2 X축(SD225) 가동 전원이 Off 되었습니다.</v>
      </c>
      <c r="V423" s="49" t="str">
        <f t="shared" si="26"/>
        <v>[W3215.7] 도어프레임 서보조립셔틀#2 X축(SD225) 가동 전원이 Off 되었습니다.</v>
      </c>
    </row>
    <row r="424" spans="1:22" s="49" customFormat="1" ht="14.15" customHeight="1">
      <c r="A424" s="43" t="s">
        <v>6687</v>
      </c>
      <c r="B424" s="44" t="s">
        <v>6635</v>
      </c>
      <c r="C424" s="50"/>
      <c r="D424" s="10" t="s">
        <v>29</v>
      </c>
      <c r="E424" s="11"/>
      <c r="F424" s="11" t="s">
        <v>18</v>
      </c>
      <c r="G424" s="13"/>
      <c r="H424" s="45" t="s">
        <v>16</v>
      </c>
      <c r="I424" s="46"/>
      <c r="J424" s="14" t="s">
        <v>6775</v>
      </c>
      <c r="K424" s="13" t="s">
        <v>7195</v>
      </c>
      <c r="L424" s="99" t="str">
        <f t="shared" si="25"/>
        <v>W3215.8</v>
      </c>
      <c r="M424" s="13" t="s">
        <v>17</v>
      </c>
      <c r="N424" s="13"/>
      <c r="O424" s="13"/>
      <c r="P424" s="52"/>
      <c r="Q424" s="45" t="s">
        <v>3672</v>
      </c>
      <c r="R424" s="45" t="s">
        <v>5552</v>
      </c>
      <c r="S424" s="48"/>
      <c r="T424" s="49" t="str">
        <f t="shared" si="24"/>
        <v>[W3215.8]</v>
      </c>
      <c r="U424" s="12" t="str">
        <f t="shared" si="23"/>
        <v xml:space="preserve"> 도어프레임 서보조립셔틀#2 X축(SD225) 엔코더 이상이 검출되었습니다.</v>
      </c>
      <c r="V424" s="49" t="str">
        <f t="shared" si="26"/>
        <v>[W3215.8] 도어프레임 서보조립셔틀#2 X축(SD225) 엔코더 이상이 검출되었습니다.</v>
      </c>
    </row>
    <row r="425" spans="1:22" s="49" customFormat="1" ht="14.15" customHeight="1">
      <c r="A425" s="43" t="s">
        <v>6687</v>
      </c>
      <c r="B425" s="44" t="s">
        <v>6635</v>
      </c>
      <c r="C425" s="50"/>
      <c r="D425" s="10" t="s">
        <v>29</v>
      </c>
      <c r="E425" s="11"/>
      <c r="F425" s="11" t="s">
        <v>18</v>
      </c>
      <c r="G425" s="13"/>
      <c r="H425" s="45" t="s">
        <v>16</v>
      </c>
      <c r="I425" s="46"/>
      <c r="J425" s="14" t="s">
        <v>6776</v>
      </c>
      <c r="K425" s="13" t="s">
        <v>7196</v>
      </c>
      <c r="L425" s="99" t="str">
        <f t="shared" si="25"/>
        <v>W3215.9</v>
      </c>
      <c r="M425" s="13" t="s">
        <v>17</v>
      </c>
      <c r="N425" s="13"/>
      <c r="O425" s="13"/>
      <c r="P425" s="52"/>
      <c r="Q425" s="45" t="s">
        <v>3672</v>
      </c>
      <c r="R425" s="45" t="s">
        <v>5552</v>
      </c>
      <c r="S425" s="48"/>
      <c r="T425" s="49" t="str">
        <f t="shared" si="24"/>
        <v>[W3215.9]</v>
      </c>
      <c r="U425" s="12" t="str">
        <f t="shared" si="23"/>
        <v xml:space="preserve"> 도어프레임 서보조립셔틀#2 X축(SD225) 과전류가 검출되었습니다.</v>
      </c>
      <c r="V425" s="49" t="str">
        <f t="shared" si="26"/>
        <v>[W3215.9] 도어프레임 서보조립셔틀#2 X축(SD225) 과전류가 검출되었습니다.</v>
      </c>
    </row>
    <row r="426" spans="1:22" s="49" customFormat="1" ht="14.15" customHeight="1">
      <c r="A426" s="43" t="s">
        <v>6687</v>
      </c>
      <c r="B426" s="44" t="s">
        <v>6635</v>
      </c>
      <c r="C426" s="50"/>
      <c r="D426" s="10" t="s">
        <v>29</v>
      </c>
      <c r="E426" s="11"/>
      <c r="F426" s="11" t="s">
        <v>18</v>
      </c>
      <c r="G426" s="13"/>
      <c r="H426" s="45" t="s">
        <v>16</v>
      </c>
      <c r="I426" s="46"/>
      <c r="J426" s="14" t="s">
        <v>6777</v>
      </c>
      <c r="K426" s="13" t="s">
        <v>7197</v>
      </c>
      <c r="L426" s="99" t="str">
        <f t="shared" si="25"/>
        <v>W3215.A</v>
      </c>
      <c r="M426" s="13" t="s">
        <v>17</v>
      </c>
      <c r="N426" s="13"/>
      <c r="O426" s="13"/>
      <c r="P426" s="52"/>
      <c r="Q426" s="45" t="s">
        <v>3672</v>
      </c>
      <c r="R426" s="45" t="s">
        <v>5552</v>
      </c>
      <c r="S426" s="48"/>
      <c r="T426" s="49" t="str">
        <f t="shared" si="24"/>
        <v>[W3215.A]</v>
      </c>
      <c r="U426" s="12" t="str">
        <f t="shared" si="23"/>
        <v xml:space="preserve"> 도어프레임 서보조립셔틀#2 X축(SD225) 과부하가 검출되었습니다.</v>
      </c>
      <c r="V426" s="49" t="str">
        <f t="shared" si="26"/>
        <v>[W3215.A] 도어프레임 서보조립셔틀#2 X축(SD225) 과부하가 검출되었습니다.</v>
      </c>
    </row>
    <row r="427" spans="1:22" s="49" customFormat="1" ht="14.15" customHeight="1">
      <c r="A427" s="43" t="s">
        <v>6687</v>
      </c>
      <c r="B427" s="44" t="s">
        <v>6635</v>
      </c>
      <c r="C427" s="50"/>
      <c r="D427" s="10" t="s">
        <v>29</v>
      </c>
      <c r="E427" s="11"/>
      <c r="F427" s="11" t="s">
        <v>18</v>
      </c>
      <c r="G427" s="13"/>
      <c r="H427" s="45" t="s">
        <v>16</v>
      </c>
      <c r="I427" s="46"/>
      <c r="J427" s="14" t="s">
        <v>6778</v>
      </c>
      <c r="K427" s="13" t="s">
        <v>7198</v>
      </c>
      <c r="L427" s="99" t="str">
        <f t="shared" si="25"/>
        <v>W3215.B</v>
      </c>
      <c r="M427" s="13" t="s">
        <v>17</v>
      </c>
      <c r="N427" s="13"/>
      <c r="O427" s="13"/>
      <c r="P427" s="52"/>
      <c r="Q427" s="45" t="s">
        <v>3672</v>
      </c>
      <c r="R427" s="45" t="s">
        <v>5552</v>
      </c>
      <c r="S427" s="48"/>
      <c r="T427" s="49" t="str">
        <f t="shared" si="24"/>
        <v>[W3215.B]</v>
      </c>
      <c r="U427" s="12" t="str">
        <f t="shared" si="23"/>
        <v xml:space="preserve"> 도어프레임 서보조립셔틀#2 X축(SD225)  </v>
      </c>
      <c r="V427" s="49" t="str">
        <f t="shared" si="26"/>
        <v xml:space="preserve">[W3215.B] 도어프레임 서보조립셔틀#2 X축(SD225)  </v>
      </c>
    </row>
    <row r="428" spans="1:22" s="49" customFormat="1" ht="14.15" customHeight="1">
      <c r="A428" s="43" t="s">
        <v>6687</v>
      </c>
      <c r="B428" s="44" t="s">
        <v>6635</v>
      </c>
      <c r="C428" s="50"/>
      <c r="D428" s="10" t="s">
        <v>29</v>
      </c>
      <c r="E428" s="11"/>
      <c r="F428" s="11" t="s">
        <v>18</v>
      </c>
      <c r="G428" s="13"/>
      <c r="H428" s="45" t="s">
        <v>16</v>
      </c>
      <c r="I428" s="46"/>
      <c r="J428" s="14" t="s">
        <v>6779</v>
      </c>
      <c r="K428" s="13" t="s">
        <v>7199</v>
      </c>
      <c r="L428" s="99" t="str">
        <f t="shared" si="25"/>
        <v>W3215.C</v>
      </c>
      <c r="M428" s="13" t="s">
        <v>17</v>
      </c>
      <c r="N428" s="13"/>
      <c r="O428" s="13"/>
      <c r="P428" s="52"/>
      <c r="Q428" s="45" t="s">
        <v>3672</v>
      </c>
      <c r="R428" s="45" t="s">
        <v>5552</v>
      </c>
      <c r="S428" s="48"/>
      <c r="T428" s="49" t="str">
        <f t="shared" si="24"/>
        <v>[W3215.C]</v>
      </c>
      <c r="U428" s="12" t="str">
        <f t="shared" si="23"/>
        <v xml:space="preserve"> 도어프레임 서보조립셔틀#2 X축(SD225) 에러가 발생했습니다.</v>
      </c>
      <c r="V428" s="49" t="str">
        <f t="shared" si="26"/>
        <v>[W3215.C] 도어프레임 서보조립셔틀#2 X축(SD225) 에러가 발생했습니다.</v>
      </c>
    </row>
    <row r="429" spans="1:22" s="49" customFormat="1" ht="14.15" customHeight="1">
      <c r="A429" s="43" t="s">
        <v>6687</v>
      </c>
      <c r="B429" s="44" t="s">
        <v>6635</v>
      </c>
      <c r="C429" s="50"/>
      <c r="D429" s="10" t="s">
        <v>29</v>
      </c>
      <c r="E429" s="11"/>
      <c r="F429" s="11" t="s">
        <v>18</v>
      </c>
      <c r="G429" s="13"/>
      <c r="H429" s="45" t="s">
        <v>16</v>
      </c>
      <c r="I429" s="46"/>
      <c r="J429" s="14" t="s">
        <v>6780</v>
      </c>
      <c r="K429" s="13" t="s">
        <v>7200</v>
      </c>
      <c r="L429" s="99" t="str">
        <f t="shared" si="25"/>
        <v>W3215.D</v>
      </c>
      <c r="M429" s="13" t="s">
        <v>17</v>
      </c>
      <c r="N429" s="13"/>
      <c r="O429" s="13"/>
      <c r="P429" s="52"/>
      <c r="Q429" s="45" t="s">
        <v>3672</v>
      </c>
      <c r="R429" s="45" t="s">
        <v>5552</v>
      </c>
      <c r="S429" s="48"/>
      <c r="T429" s="49" t="str">
        <f t="shared" si="24"/>
        <v>[W3215.D]</v>
      </c>
      <c r="U429" s="12" t="str">
        <f t="shared" si="23"/>
        <v xml:space="preserve"> 도어프레임 서보조립셔틀#2 Z축(SD226) 운전중에 Ready가 Off 되었습니다.</v>
      </c>
      <c r="V429" s="49" t="str">
        <f t="shared" si="26"/>
        <v>[W3215.D] 도어프레임 서보조립셔틀#2 Z축(SD226) 운전중에 Ready가 Off 되었습니다.</v>
      </c>
    </row>
    <row r="430" spans="1:22" s="49" customFormat="1" ht="14.15" customHeight="1">
      <c r="A430" s="43" t="s">
        <v>6687</v>
      </c>
      <c r="B430" s="44" t="s">
        <v>6635</v>
      </c>
      <c r="C430" s="50"/>
      <c r="D430" s="10" t="s">
        <v>29</v>
      </c>
      <c r="E430" s="11"/>
      <c r="F430" s="11" t="s">
        <v>18</v>
      </c>
      <c r="G430" s="13"/>
      <c r="H430" s="45" t="s">
        <v>16</v>
      </c>
      <c r="I430" s="46"/>
      <c r="J430" s="14" t="s">
        <v>6781</v>
      </c>
      <c r="K430" s="13" t="s">
        <v>7201</v>
      </c>
      <c r="L430" s="99" t="str">
        <f t="shared" si="25"/>
        <v>W3215.E</v>
      </c>
      <c r="M430" s="13" t="s">
        <v>17</v>
      </c>
      <c r="N430" s="13"/>
      <c r="O430" s="13"/>
      <c r="P430" s="52"/>
      <c r="Q430" s="45" t="s">
        <v>3672</v>
      </c>
      <c r="R430" s="45" t="s">
        <v>5552</v>
      </c>
      <c r="S430" s="48"/>
      <c r="T430" s="49" t="str">
        <f t="shared" si="24"/>
        <v>[W3215.E]</v>
      </c>
      <c r="U430" s="12" t="str">
        <f t="shared" si="23"/>
        <v xml:space="preserve"> 도어프레임 서보조립셔틀#2 Z축(SD226) FLS가 감지되었습니다.</v>
      </c>
      <c r="V430" s="49" t="str">
        <f t="shared" si="26"/>
        <v>[W3215.E] 도어프레임 서보조립셔틀#2 Z축(SD226) FLS가 감지되었습니다.</v>
      </c>
    </row>
    <row r="431" spans="1:22" s="49" customFormat="1" ht="14.15" customHeight="1">
      <c r="A431" s="43" t="s">
        <v>6687</v>
      </c>
      <c r="B431" s="44" t="s">
        <v>6635</v>
      </c>
      <c r="C431" s="50"/>
      <c r="D431" s="10" t="s">
        <v>29</v>
      </c>
      <c r="E431" s="11"/>
      <c r="F431" s="11" t="s">
        <v>18</v>
      </c>
      <c r="G431" s="13"/>
      <c r="H431" s="45" t="s">
        <v>16</v>
      </c>
      <c r="I431" s="46"/>
      <c r="J431" s="14" t="s">
        <v>6782</v>
      </c>
      <c r="K431" s="13" t="s">
        <v>7202</v>
      </c>
      <c r="L431" s="99" t="str">
        <f t="shared" si="25"/>
        <v>W3215.F</v>
      </c>
      <c r="M431" s="13" t="s">
        <v>17</v>
      </c>
      <c r="N431" s="13"/>
      <c r="O431" s="13"/>
      <c r="P431" s="52"/>
      <c r="Q431" s="45" t="s">
        <v>3672</v>
      </c>
      <c r="R431" s="45" t="s">
        <v>5552</v>
      </c>
      <c r="S431" s="48"/>
      <c r="T431" s="49" t="str">
        <f t="shared" si="24"/>
        <v>[W3215.F]</v>
      </c>
      <c r="U431" s="12" t="str">
        <f t="shared" si="23"/>
        <v xml:space="preserve"> 도어프레임 서보조립셔틀#2 Z축(SD226) RLS가 감지되었습니다.</v>
      </c>
      <c r="V431" s="49" t="str">
        <f t="shared" si="26"/>
        <v>[W3215.F] 도어프레임 서보조립셔틀#2 Z축(SD226) RLS가 감지되었습니다.</v>
      </c>
    </row>
    <row r="432" spans="1:22" s="49" customFormat="1" ht="14.15" customHeight="1">
      <c r="A432" s="43" t="s">
        <v>6687</v>
      </c>
      <c r="B432" s="44" t="s">
        <v>6635</v>
      </c>
      <c r="C432" s="50"/>
      <c r="D432" s="10" t="s">
        <v>29</v>
      </c>
      <c r="E432" s="11"/>
      <c r="F432" s="11" t="s">
        <v>18</v>
      </c>
      <c r="G432" s="13"/>
      <c r="H432" s="45" t="s">
        <v>16</v>
      </c>
      <c r="I432" s="46"/>
      <c r="J432" s="14" t="s">
        <v>6783</v>
      </c>
      <c r="K432" s="13" t="s">
        <v>7203</v>
      </c>
      <c r="L432" s="99" t="str">
        <f t="shared" si="25"/>
        <v>W3216.0</v>
      </c>
      <c r="M432" s="13" t="s">
        <v>17</v>
      </c>
      <c r="N432" s="13"/>
      <c r="O432" s="13"/>
      <c r="P432" s="52"/>
      <c r="Q432" s="45" t="s">
        <v>3672</v>
      </c>
      <c r="R432" s="45" t="s">
        <v>5552</v>
      </c>
      <c r="S432" s="48"/>
      <c r="T432" s="49" t="str">
        <f t="shared" si="24"/>
        <v>[W3216.0]</v>
      </c>
      <c r="U432" s="12" t="str">
        <f t="shared" si="23"/>
        <v xml:space="preserve"> 도어프레임 서보조립셔틀#2 Z축(SD226) Stop 명령이 On된 상태에서 기동을 시도했습니다.</v>
      </c>
      <c r="V432" s="49" t="str">
        <f t="shared" si="26"/>
        <v>[W3216.0] 도어프레임 서보조립셔틀#2 Z축(SD226) Stop 명령이 On된 상태에서 기동을 시도했습니다.</v>
      </c>
    </row>
    <row r="433" spans="1:22" s="49" customFormat="1" ht="14.15" customHeight="1">
      <c r="A433" s="43" t="s">
        <v>6687</v>
      </c>
      <c r="B433" s="44" t="s">
        <v>6635</v>
      </c>
      <c r="C433" s="50"/>
      <c r="D433" s="10" t="s">
        <v>29</v>
      </c>
      <c r="E433" s="11"/>
      <c r="F433" s="11" t="s">
        <v>18</v>
      </c>
      <c r="G433" s="13"/>
      <c r="H433" s="45" t="s">
        <v>16</v>
      </c>
      <c r="I433" s="46"/>
      <c r="J433" s="14" t="s">
        <v>6784</v>
      </c>
      <c r="K433" s="13" t="s">
        <v>7204</v>
      </c>
      <c r="L433" s="99" t="str">
        <f t="shared" si="25"/>
        <v>W3216.1</v>
      </c>
      <c r="M433" s="13" t="s">
        <v>17</v>
      </c>
      <c r="N433" s="13"/>
      <c r="O433" s="13"/>
      <c r="P433" s="52"/>
      <c r="Q433" s="45" t="s">
        <v>3672</v>
      </c>
      <c r="R433" s="45" t="s">
        <v>5552</v>
      </c>
      <c r="S433" s="48"/>
      <c r="T433" s="49" t="str">
        <f t="shared" si="24"/>
        <v>[W3216.1]</v>
      </c>
      <c r="U433" s="12" t="str">
        <f t="shared" ref="U433:U467" si="27">RIGHT(J433,LEN(J433)-7)</f>
        <v xml:space="preserve"> 도어프레임 서보조립셔틀#2 Z축(SD226) 가동 전원이 Off 되었습니다.</v>
      </c>
      <c r="V433" s="49" t="str">
        <f t="shared" si="26"/>
        <v>[W3216.1] 도어프레임 서보조립셔틀#2 Z축(SD226) 가동 전원이 Off 되었습니다.</v>
      </c>
    </row>
    <row r="434" spans="1:22" s="49" customFormat="1" ht="14.15" customHeight="1">
      <c r="A434" s="43" t="s">
        <v>6687</v>
      </c>
      <c r="B434" s="44" t="s">
        <v>6635</v>
      </c>
      <c r="C434" s="50"/>
      <c r="D434" s="10" t="s">
        <v>29</v>
      </c>
      <c r="E434" s="11"/>
      <c r="F434" s="11" t="s">
        <v>18</v>
      </c>
      <c r="G434" s="13"/>
      <c r="H434" s="45" t="s">
        <v>16</v>
      </c>
      <c r="I434" s="46"/>
      <c r="J434" s="14" t="s">
        <v>6785</v>
      </c>
      <c r="K434" s="13" t="s">
        <v>7205</v>
      </c>
      <c r="L434" s="99" t="str">
        <f t="shared" si="25"/>
        <v>W3216.2</v>
      </c>
      <c r="M434" s="13" t="s">
        <v>17</v>
      </c>
      <c r="N434" s="13"/>
      <c r="O434" s="13"/>
      <c r="P434" s="47"/>
      <c r="Q434" s="45" t="s">
        <v>3672</v>
      </c>
      <c r="R434" s="45" t="s">
        <v>5552</v>
      </c>
      <c r="S434" s="48"/>
      <c r="T434" s="49" t="str">
        <f t="shared" si="24"/>
        <v>[W3216.2]</v>
      </c>
      <c r="U434" s="12" t="str">
        <f t="shared" si="27"/>
        <v xml:space="preserve"> 도어프레임 서보조립셔틀#2 Z축(SD226) 엔코더 이상이 검출되었습니다.</v>
      </c>
      <c r="V434" s="49" t="str">
        <f t="shared" si="26"/>
        <v>[W3216.2] 도어프레임 서보조립셔틀#2 Z축(SD226) 엔코더 이상이 검출되었습니다.</v>
      </c>
    </row>
    <row r="435" spans="1:22" s="49" customFormat="1" ht="14.15" customHeight="1">
      <c r="A435" s="43" t="s">
        <v>6687</v>
      </c>
      <c r="B435" s="44" t="s">
        <v>6635</v>
      </c>
      <c r="C435" s="50"/>
      <c r="D435" s="10" t="s">
        <v>29</v>
      </c>
      <c r="E435" s="11"/>
      <c r="F435" s="11" t="s">
        <v>18</v>
      </c>
      <c r="G435" s="13"/>
      <c r="H435" s="45" t="s">
        <v>16</v>
      </c>
      <c r="I435" s="46"/>
      <c r="J435" s="14" t="s">
        <v>6786</v>
      </c>
      <c r="K435" s="13" t="s">
        <v>7206</v>
      </c>
      <c r="L435" s="99" t="str">
        <f t="shared" si="25"/>
        <v>W3216.3</v>
      </c>
      <c r="M435" s="13" t="s">
        <v>17</v>
      </c>
      <c r="N435" s="13"/>
      <c r="O435" s="13"/>
      <c r="P435" s="47"/>
      <c r="Q435" s="45" t="s">
        <v>3672</v>
      </c>
      <c r="R435" s="45" t="s">
        <v>5552</v>
      </c>
      <c r="S435" s="48"/>
      <c r="T435" s="49" t="str">
        <f t="shared" si="24"/>
        <v>[W3216.3]</v>
      </c>
      <c r="U435" s="12" t="str">
        <f t="shared" si="27"/>
        <v xml:space="preserve"> 도어프레임 서보조립셔틀#2 Z축(SD226) 과전류가 검출되었습니다.</v>
      </c>
      <c r="V435" s="49" t="str">
        <f t="shared" si="26"/>
        <v>[W3216.3] 도어프레임 서보조립셔틀#2 Z축(SD226) 과전류가 검출되었습니다.</v>
      </c>
    </row>
    <row r="436" spans="1:22" s="49" customFormat="1" ht="14.15" customHeight="1">
      <c r="A436" s="43" t="s">
        <v>6687</v>
      </c>
      <c r="B436" s="44" t="s">
        <v>6635</v>
      </c>
      <c r="C436" s="50"/>
      <c r="D436" s="10" t="s">
        <v>29</v>
      </c>
      <c r="E436" s="11"/>
      <c r="F436" s="11" t="s">
        <v>18</v>
      </c>
      <c r="G436" s="13"/>
      <c r="H436" s="45" t="s">
        <v>16</v>
      </c>
      <c r="I436" s="46"/>
      <c r="J436" s="14" t="s">
        <v>6787</v>
      </c>
      <c r="K436" s="13" t="s">
        <v>7207</v>
      </c>
      <c r="L436" s="99" t="str">
        <f t="shared" si="25"/>
        <v>W3216.4</v>
      </c>
      <c r="M436" s="13" t="s">
        <v>17</v>
      </c>
      <c r="N436" s="13"/>
      <c r="O436" s="13"/>
      <c r="P436" s="47"/>
      <c r="Q436" s="45" t="s">
        <v>3672</v>
      </c>
      <c r="R436" s="45" t="s">
        <v>5552</v>
      </c>
      <c r="S436" s="48"/>
      <c r="T436" s="49" t="str">
        <f t="shared" si="24"/>
        <v>[W3216.4]</v>
      </c>
      <c r="U436" s="12" t="str">
        <f t="shared" si="27"/>
        <v xml:space="preserve"> 도어프레임 서보조립셔틀#2 Z축(SD226) 과부하가 검출되었습니다.</v>
      </c>
      <c r="V436" s="49" t="str">
        <f t="shared" si="26"/>
        <v>[W3216.4] 도어프레임 서보조립셔틀#2 Z축(SD226) 과부하가 검출되었습니다.</v>
      </c>
    </row>
    <row r="437" spans="1:22" s="49" customFormat="1" ht="14.15" customHeight="1">
      <c r="A437" s="43" t="s">
        <v>6687</v>
      </c>
      <c r="B437" s="44" t="s">
        <v>6635</v>
      </c>
      <c r="C437" s="50"/>
      <c r="D437" s="10" t="s">
        <v>29</v>
      </c>
      <c r="E437" s="11"/>
      <c r="F437" s="11" t="s">
        <v>18</v>
      </c>
      <c r="G437" s="13"/>
      <c r="H437" s="45" t="s">
        <v>16</v>
      </c>
      <c r="I437" s="46"/>
      <c r="J437" s="14" t="s">
        <v>6788</v>
      </c>
      <c r="K437" s="13" t="s">
        <v>7208</v>
      </c>
      <c r="L437" s="99" t="str">
        <f t="shared" si="25"/>
        <v>W3216.5</v>
      </c>
      <c r="M437" s="13" t="s">
        <v>17</v>
      </c>
      <c r="N437" s="13"/>
      <c r="O437" s="13"/>
      <c r="P437" s="47"/>
      <c r="Q437" s="45" t="s">
        <v>3672</v>
      </c>
      <c r="R437" s="45" t="s">
        <v>5552</v>
      </c>
      <c r="S437" s="48"/>
      <c r="T437" s="49" t="str">
        <f t="shared" si="24"/>
        <v>[W3216.5]</v>
      </c>
      <c r="U437" s="12" t="str">
        <f t="shared" si="27"/>
        <v xml:space="preserve"> 도어프레임 서보조립셔틀#2 Z축(SD226)  </v>
      </c>
      <c r="V437" s="49" t="str">
        <f t="shared" si="26"/>
        <v xml:space="preserve">[W3216.5] 도어프레임 서보조립셔틀#2 Z축(SD226)  </v>
      </c>
    </row>
    <row r="438" spans="1:22" s="49" customFormat="1" ht="14.15" customHeight="1">
      <c r="A438" s="43" t="s">
        <v>6687</v>
      </c>
      <c r="B438" s="44" t="s">
        <v>6635</v>
      </c>
      <c r="C438" s="50"/>
      <c r="D438" s="10" t="s">
        <v>29</v>
      </c>
      <c r="E438" s="11"/>
      <c r="F438" s="11" t="s">
        <v>18</v>
      </c>
      <c r="G438" s="13"/>
      <c r="H438" s="45" t="s">
        <v>16</v>
      </c>
      <c r="I438" s="46"/>
      <c r="J438" s="14" t="s">
        <v>6789</v>
      </c>
      <c r="K438" s="13" t="s">
        <v>7209</v>
      </c>
      <c r="L438" s="99" t="str">
        <f t="shared" si="25"/>
        <v>W3216.6</v>
      </c>
      <c r="M438" s="13" t="s">
        <v>17</v>
      </c>
      <c r="N438" s="13"/>
      <c r="O438" s="13"/>
      <c r="P438" s="47"/>
      <c r="Q438" s="45" t="s">
        <v>3672</v>
      </c>
      <c r="R438" s="45" t="s">
        <v>5552</v>
      </c>
      <c r="S438" s="48"/>
      <c r="T438" s="49" t="str">
        <f t="shared" si="24"/>
        <v>[W3216.6]</v>
      </c>
      <c r="U438" s="12" t="str">
        <f t="shared" si="27"/>
        <v xml:space="preserve"> 도어프레임 서보조립셔틀#2 Z축(SD226) 에러가 발생했습니다.</v>
      </c>
      <c r="V438" s="49" t="str">
        <f t="shared" si="26"/>
        <v>[W3216.6] 도어프레임 서보조립셔틀#2 Z축(SD226) 에러가 발생했습니다.</v>
      </c>
    </row>
    <row r="439" spans="1:22" s="49" customFormat="1" ht="14.15" customHeight="1">
      <c r="A439" s="43" t="s">
        <v>6687</v>
      </c>
      <c r="B439" s="44" t="s">
        <v>6635</v>
      </c>
      <c r="C439" s="50"/>
      <c r="D439" s="10" t="s">
        <v>29</v>
      </c>
      <c r="E439" s="11"/>
      <c r="F439" s="11" t="s">
        <v>18</v>
      </c>
      <c r="G439" s="13"/>
      <c r="H439" s="45" t="s">
        <v>16</v>
      </c>
      <c r="I439" s="46"/>
      <c r="J439" s="14" t="s">
        <v>5868</v>
      </c>
      <c r="K439" s="13" t="s">
        <v>7210</v>
      </c>
      <c r="L439" s="99" t="str">
        <f t="shared" si="25"/>
        <v>W3216.7</v>
      </c>
      <c r="M439" s="13" t="s">
        <v>17</v>
      </c>
      <c r="N439" s="13"/>
      <c r="O439" s="13"/>
      <c r="P439" s="47"/>
      <c r="Q439" s="45" t="s">
        <v>3672</v>
      </c>
      <c r="R439" s="45" t="s">
        <v>5552</v>
      </c>
      <c r="S439" s="48"/>
      <c r="T439" s="49" t="str">
        <f t="shared" si="24"/>
        <v>[W3216.7]</v>
      </c>
      <c r="U439" s="12" t="str">
        <f t="shared" si="27"/>
        <v xml:space="preserve"> 도어프레임 서보조립셔틀#2 X축(SD227) 운전중에 Ready가 Off 되었습니다.</v>
      </c>
      <c r="V439" s="49" t="str">
        <f t="shared" si="26"/>
        <v>[W3216.7] 도어프레임 서보조립셔틀#2 X축(SD227) 운전중에 Ready가 Off 되었습니다.</v>
      </c>
    </row>
    <row r="440" spans="1:22" s="49" customFormat="1" ht="14.15" customHeight="1">
      <c r="A440" s="43" t="s">
        <v>6687</v>
      </c>
      <c r="B440" s="44" t="s">
        <v>6635</v>
      </c>
      <c r="C440" s="50"/>
      <c r="D440" s="10" t="s">
        <v>29</v>
      </c>
      <c r="E440" s="11"/>
      <c r="F440" s="11" t="s">
        <v>18</v>
      </c>
      <c r="G440" s="13"/>
      <c r="H440" s="45" t="s">
        <v>16</v>
      </c>
      <c r="I440" s="46"/>
      <c r="J440" s="14" t="s">
        <v>5869</v>
      </c>
      <c r="K440" s="13" t="s">
        <v>7211</v>
      </c>
      <c r="L440" s="99" t="str">
        <f t="shared" si="25"/>
        <v>W3216.8</v>
      </c>
      <c r="M440" s="13" t="s">
        <v>17</v>
      </c>
      <c r="N440" s="13"/>
      <c r="O440" s="13"/>
      <c r="P440" s="52"/>
      <c r="Q440" s="45" t="s">
        <v>3672</v>
      </c>
      <c r="R440" s="45" t="s">
        <v>5552</v>
      </c>
      <c r="S440" s="48"/>
      <c r="T440" s="49" t="str">
        <f t="shared" si="24"/>
        <v>[W3216.8]</v>
      </c>
      <c r="U440" s="12" t="str">
        <f t="shared" si="27"/>
        <v xml:space="preserve"> 도어프레임 서보조립셔틀#2 X축(SD227) FLS가 감지되었습니다.</v>
      </c>
      <c r="V440" s="49" t="str">
        <f t="shared" si="26"/>
        <v>[W3216.8] 도어프레임 서보조립셔틀#2 X축(SD227) FLS가 감지되었습니다.</v>
      </c>
    </row>
    <row r="441" spans="1:22" s="49" customFormat="1" ht="14.15" customHeight="1">
      <c r="A441" s="43" t="s">
        <v>6687</v>
      </c>
      <c r="B441" s="44" t="s">
        <v>6635</v>
      </c>
      <c r="C441" s="50"/>
      <c r="D441" s="10" t="s">
        <v>29</v>
      </c>
      <c r="E441" s="11"/>
      <c r="F441" s="11" t="s">
        <v>18</v>
      </c>
      <c r="G441" s="13"/>
      <c r="H441" s="45" t="s">
        <v>16</v>
      </c>
      <c r="I441" s="46"/>
      <c r="J441" s="14" t="s">
        <v>5870</v>
      </c>
      <c r="K441" s="13" t="s">
        <v>7212</v>
      </c>
      <c r="L441" s="99" t="str">
        <f t="shared" si="25"/>
        <v>W3216.9</v>
      </c>
      <c r="M441" s="13" t="s">
        <v>17</v>
      </c>
      <c r="N441" s="13"/>
      <c r="O441" s="13"/>
      <c r="P441" s="52"/>
      <c r="Q441" s="45" t="s">
        <v>3672</v>
      </c>
      <c r="R441" s="45" t="s">
        <v>5552</v>
      </c>
      <c r="S441" s="48"/>
      <c r="T441" s="49" t="str">
        <f t="shared" si="24"/>
        <v>[W3216.9]</v>
      </c>
      <c r="U441" s="12" t="str">
        <f t="shared" si="27"/>
        <v xml:space="preserve"> 도어프레임 서보조립셔틀#2 X축(SD227) RLS가 감지되었습니다.</v>
      </c>
      <c r="V441" s="49" t="str">
        <f t="shared" si="26"/>
        <v>[W3216.9] 도어프레임 서보조립셔틀#2 X축(SD227) RLS가 감지되었습니다.</v>
      </c>
    </row>
    <row r="442" spans="1:22" s="49" customFormat="1" ht="14.15" customHeight="1">
      <c r="A442" s="43" t="s">
        <v>6687</v>
      </c>
      <c r="B442" s="44" t="s">
        <v>6635</v>
      </c>
      <c r="C442" s="50"/>
      <c r="D442" s="10" t="s">
        <v>29</v>
      </c>
      <c r="E442" s="11"/>
      <c r="F442" s="11" t="s">
        <v>18</v>
      </c>
      <c r="G442" s="13"/>
      <c r="H442" s="45" t="s">
        <v>16</v>
      </c>
      <c r="I442" s="46"/>
      <c r="J442" s="14" t="s">
        <v>5871</v>
      </c>
      <c r="K442" s="13" t="s">
        <v>7213</v>
      </c>
      <c r="L442" s="99" t="str">
        <f t="shared" si="25"/>
        <v>W3216.A</v>
      </c>
      <c r="M442" s="13" t="s">
        <v>17</v>
      </c>
      <c r="N442" s="13"/>
      <c r="O442" s="13"/>
      <c r="P442" s="52"/>
      <c r="Q442" s="45" t="s">
        <v>3672</v>
      </c>
      <c r="R442" s="45" t="s">
        <v>5552</v>
      </c>
      <c r="S442" s="48"/>
      <c r="T442" s="49" t="str">
        <f t="shared" si="24"/>
        <v>[W3216.A]</v>
      </c>
      <c r="U442" s="12" t="str">
        <f t="shared" si="27"/>
        <v xml:space="preserve"> 도어프레임 서보조립셔틀#2 X축(SD227) Stop 명령이 On된 상태에서 기동을 시도했습니다.</v>
      </c>
      <c r="V442" s="49" t="str">
        <f t="shared" si="26"/>
        <v>[W3216.A] 도어프레임 서보조립셔틀#2 X축(SD227) Stop 명령이 On된 상태에서 기동을 시도했습니다.</v>
      </c>
    </row>
    <row r="443" spans="1:22" s="49" customFormat="1" ht="14.15" customHeight="1">
      <c r="A443" s="43" t="s">
        <v>6687</v>
      </c>
      <c r="B443" s="44" t="s">
        <v>6635</v>
      </c>
      <c r="C443" s="50"/>
      <c r="D443" s="10" t="s">
        <v>29</v>
      </c>
      <c r="E443" s="11"/>
      <c r="F443" s="11" t="s">
        <v>18</v>
      </c>
      <c r="G443" s="13"/>
      <c r="H443" s="45" t="s">
        <v>16</v>
      </c>
      <c r="I443" s="46"/>
      <c r="J443" s="14" t="s">
        <v>5872</v>
      </c>
      <c r="K443" s="13" t="s">
        <v>7214</v>
      </c>
      <c r="L443" s="99" t="str">
        <f t="shared" si="25"/>
        <v>W3216.B</v>
      </c>
      <c r="M443" s="13" t="s">
        <v>17</v>
      </c>
      <c r="N443" s="13"/>
      <c r="O443" s="13"/>
      <c r="P443" s="52"/>
      <c r="Q443" s="45" t="s">
        <v>3672</v>
      </c>
      <c r="R443" s="45" t="s">
        <v>5552</v>
      </c>
      <c r="S443" s="48"/>
      <c r="T443" s="49" t="str">
        <f t="shared" si="24"/>
        <v>[W3216.B]</v>
      </c>
      <c r="U443" s="12" t="str">
        <f t="shared" si="27"/>
        <v xml:space="preserve"> 도어프레임 서보조립셔틀#2 X축(SD227) 가동 전원이 Off 되었습니다.</v>
      </c>
      <c r="V443" s="49" t="str">
        <f t="shared" si="26"/>
        <v>[W3216.B] 도어프레임 서보조립셔틀#2 X축(SD227) 가동 전원이 Off 되었습니다.</v>
      </c>
    </row>
    <row r="444" spans="1:22" s="49" customFormat="1" ht="14.15" customHeight="1">
      <c r="A444" s="43" t="s">
        <v>6687</v>
      </c>
      <c r="B444" s="44" t="s">
        <v>6635</v>
      </c>
      <c r="C444" s="50"/>
      <c r="D444" s="10" t="s">
        <v>29</v>
      </c>
      <c r="E444" s="11"/>
      <c r="F444" s="11" t="s">
        <v>18</v>
      </c>
      <c r="G444" s="13"/>
      <c r="H444" s="45" t="s">
        <v>16</v>
      </c>
      <c r="I444" s="46"/>
      <c r="J444" s="14" t="s">
        <v>5873</v>
      </c>
      <c r="K444" s="13" t="s">
        <v>7215</v>
      </c>
      <c r="L444" s="99" t="str">
        <f t="shared" si="25"/>
        <v>W3216.C</v>
      </c>
      <c r="M444" s="13" t="s">
        <v>17</v>
      </c>
      <c r="N444" s="13"/>
      <c r="O444" s="13"/>
      <c r="P444" s="52"/>
      <c r="Q444" s="45" t="s">
        <v>3672</v>
      </c>
      <c r="R444" s="45" t="s">
        <v>5552</v>
      </c>
      <c r="S444" s="48"/>
      <c r="T444" s="49" t="str">
        <f t="shared" si="24"/>
        <v>[W3216.C]</v>
      </c>
      <c r="U444" s="12" t="str">
        <f t="shared" si="27"/>
        <v xml:space="preserve"> 도어프레임 서보조립셔틀#2 X축(SD227) 엔코더 이상이 검출되었습니다.</v>
      </c>
      <c r="V444" s="49" t="str">
        <f t="shared" si="26"/>
        <v>[W3216.C] 도어프레임 서보조립셔틀#2 X축(SD227) 엔코더 이상이 검출되었습니다.</v>
      </c>
    </row>
    <row r="445" spans="1:22" s="49" customFormat="1" ht="14.15" customHeight="1">
      <c r="A445" s="43" t="s">
        <v>6687</v>
      </c>
      <c r="B445" s="44" t="s">
        <v>6635</v>
      </c>
      <c r="C445" s="50"/>
      <c r="D445" s="10" t="s">
        <v>29</v>
      </c>
      <c r="E445" s="11"/>
      <c r="F445" s="11" t="s">
        <v>18</v>
      </c>
      <c r="G445" s="13"/>
      <c r="H445" s="45" t="s">
        <v>16</v>
      </c>
      <c r="I445" s="46"/>
      <c r="J445" s="14" t="s">
        <v>5874</v>
      </c>
      <c r="K445" s="13" t="s">
        <v>7216</v>
      </c>
      <c r="L445" s="99" t="str">
        <f t="shared" si="25"/>
        <v>W3216.D</v>
      </c>
      <c r="M445" s="13" t="s">
        <v>17</v>
      </c>
      <c r="N445" s="13"/>
      <c r="O445" s="13"/>
      <c r="P445" s="52"/>
      <c r="Q445" s="45" t="s">
        <v>3672</v>
      </c>
      <c r="R445" s="45" t="s">
        <v>5552</v>
      </c>
      <c r="S445" s="48"/>
      <c r="T445" s="49" t="str">
        <f t="shared" si="24"/>
        <v>[W3216.D]</v>
      </c>
      <c r="U445" s="12" t="str">
        <f t="shared" si="27"/>
        <v xml:space="preserve"> 도어프레임 서보조립셔틀#2 X축(SD227) 과전류가 검출되었습니다.</v>
      </c>
      <c r="V445" s="49" t="str">
        <f t="shared" si="26"/>
        <v>[W3216.D] 도어프레임 서보조립셔틀#2 X축(SD227) 과전류가 검출되었습니다.</v>
      </c>
    </row>
    <row r="446" spans="1:22" s="49" customFormat="1" ht="14.15" customHeight="1">
      <c r="A446" s="43" t="s">
        <v>6687</v>
      </c>
      <c r="B446" s="44" t="s">
        <v>6635</v>
      </c>
      <c r="C446" s="50"/>
      <c r="D446" s="10" t="s">
        <v>29</v>
      </c>
      <c r="E446" s="11"/>
      <c r="F446" s="11" t="s">
        <v>18</v>
      </c>
      <c r="G446" s="13"/>
      <c r="H446" s="45" t="s">
        <v>16</v>
      </c>
      <c r="I446" s="46"/>
      <c r="J446" s="14" t="s">
        <v>5875</v>
      </c>
      <c r="K446" s="13" t="s">
        <v>7217</v>
      </c>
      <c r="L446" s="99" t="str">
        <f t="shared" si="25"/>
        <v>W3216.E</v>
      </c>
      <c r="M446" s="13" t="s">
        <v>17</v>
      </c>
      <c r="N446" s="13"/>
      <c r="O446" s="13"/>
      <c r="P446" s="52"/>
      <c r="Q446" s="45" t="s">
        <v>3672</v>
      </c>
      <c r="R446" s="45" t="s">
        <v>5552</v>
      </c>
      <c r="S446" s="48"/>
      <c r="T446" s="49" t="str">
        <f t="shared" si="24"/>
        <v>[W3216.E]</v>
      </c>
      <c r="U446" s="12" t="str">
        <f t="shared" si="27"/>
        <v xml:space="preserve"> 도어프레임 서보조립셔틀#2 X축(SD227) 과부하가 검출되었습니다.</v>
      </c>
      <c r="V446" s="49" t="str">
        <f t="shared" si="26"/>
        <v>[W3216.E] 도어프레임 서보조립셔틀#2 X축(SD227) 과부하가 검출되었습니다.</v>
      </c>
    </row>
    <row r="447" spans="1:22" s="49" customFormat="1" ht="14.15" customHeight="1">
      <c r="A447" s="43" t="s">
        <v>6687</v>
      </c>
      <c r="B447" s="44" t="s">
        <v>6635</v>
      </c>
      <c r="C447" s="50"/>
      <c r="D447" s="10" t="s">
        <v>29</v>
      </c>
      <c r="E447" s="11"/>
      <c r="F447" s="11" t="s">
        <v>18</v>
      </c>
      <c r="G447" s="13"/>
      <c r="H447" s="45" t="s">
        <v>16</v>
      </c>
      <c r="I447" s="46"/>
      <c r="J447" s="14" t="s">
        <v>5876</v>
      </c>
      <c r="K447" s="13" t="s">
        <v>7218</v>
      </c>
      <c r="L447" s="99" t="str">
        <f t="shared" si="25"/>
        <v>W3216.F</v>
      </c>
      <c r="M447" s="13" t="s">
        <v>17</v>
      </c>
      <c r="N447" s="13"/>
      <c r="O447" s="13"/>
      <c r="P447" s="52"/>
      <c r="Q447" s="45" t="s">
        <v>3672</v>
      </c>
      <c r="R447" s="45" t="s">
        <v>5552</v>
      </c>
      <c r="S447" s="48"/>
      <c r="T447" s="49" t="str">
        <f t="shared" si="24"/>
        <v>[W3216.F]</v>
      </c>
      <c r="U447" s="12" t="str">
        <f t="shared" si="27"/>
        <v xml:space="preserve"> 도어프레임 서보조립셔틀#2 X축(SD227)  </v>
      </c>
      <c r="V447" s="49" t="str">
        <f t="shared" si="26"/>
        <v xml:space="preserve">[W3216.F] 도어프레임 서보조립셔틀#2 X축(SD227)  </v>
      </c>
    </row>
    <row r="448" spans="1:22" s="49" customFormat="1" ht="14.15" customHeight="1">
      <c r="A448" s="43" t="s">
        <v>6687</v>
      </c>
      <c r="B448" s="44" t="s">
        <v>6635</v>
      </c>
      <c r="C448" s="50"/>
      <c r="D448" s="10" t="s">
        <v>29</v>
      </c>
      <c r="E448" s="11"/>
      <c r="F448" s="11" t="s">
        <v>18</v>
      </c>
      <c r="G448" s="13"/>
      <c r="H448" s="45" t="s">
        <v>16</v>
      </c>
      <c r="I448" s="46"/>
      <c r="J448" s="14" t="s">
        <v>5877</v>
      </c>
      <c r="K448" s="13" t="s">
        <v>7219</v>
      </c>
      <c r="L448" s="99" t="str">
        <f t="shared" si="25"/>
        <v>W3217.0</v>
      </c>
      <c r="M448" s="13" t="s">
        <v>17</v>
      </c>
      <c r="N448" s="13"/>
      <c r="O448" s="13"/>
      <c r="P448" s="52"/>
      <c r="Q448" s="45" t="s">
        <v>3672</v>
      </c>
      <c r="R448" s="45" t="s">
        <v>5552</v>
      </c>
      <c r="S448" s="48"/>
      <c r="T448" s="49" t="str">
        <f t="shared" si="24"/>
        <v>[W3217.0]</v>
      </c>
      <c r="U448" s="12" t="str">
        <f t="shared" si="27"/>
        <v xml:space="preserve"> 도어프레임 서보조립셔틀#2 X축(SD227) 에러가 발생했습니다.</v>
      </c>
      <c r="V448" s="49" t="str">
        <f t="shared" si="26"/>
        <v>[W3217.0] 도어프레임 서보조립셔틀#2 X축(SD227) 에러가 발생했습니다.</v>
      </c>
    </row>
    <row r="449" spans="1:22" s="49" customFormat="1" ht="14.15" customHeight="1">
      <c r="A449" s="43" t="s">
        <v>6687</v>
      </c>
      <c r="B449" s="44" t="s">
        <v>6635</v>
      </c>
      <c r="C449" s="50"/>
      <c r="D449" s="10" t="s">
        <v>29</v>
      </c>
      <c r="E449" s="11"/>
      <c r="F449" s="11" t="s">
        <v>18</v>
      </c>
      <c r="G449" s="13"/>
      <c r="H449" s="45" t="s">
        <v>16</v>
      </c>
      <c r="I449" s="46"/>
      <c r="J449" s="14" t="s">
        <v>5878</v>
      </c>
      <c r="K449" s="13" t="s">
        <v>7220</v>
      </c>
      <c r="L449" s="99" t="str">
        <f t="shared" si="25"/>
        <v>W3217.1</v>
      </c>
      <c r="M449" s="13" t="s">
        <v>17</v>
      </c>
      <c r="N449" s="13"/>
      <c r="O449" s="13"/>
      <c r="P449" s="52"/>
      <c r="Q449" s="45" t="s">
        <v>3672</v>
      </c>
      <c r="R449" s="45" t="s">
        <v>5552</v>
      </c>
      <c r="S449" s="48"/>
      <c r="T449" s="49" t="str">
        <f t="shared" si="24"/>
        <v>[W3217.1]</v>
      </c>
      <c r="U449" s="12" t="str">
        <f t="shared" si="27"/>
        <v xml:space="preserve"> 도어프레임 서보조립셔틀#2 Z축(SD228) 운전중에 Ready가 Off 되었습니다.</v>
      </c>
      <c r="V449" s="49" t="str">
        <f t="shared" si="26"/>
        <v>[W3217.1] 도어프레임 서보조립셔틀#2 Z축(SD228) 운전중에 Ready가 Off 되었습니다.</v>
      </c>
    </row>
    <row r="450" spans="1:22" s="49" customFormat="1" ht="14.15" customHeight="1">
      <c r="A450" s="43" t="s">
        <v>6687</v>
      </c>
      <c r="B450" s="44" t="s">
        <v>6635</v>
      </c>
      <c r="C450" s="50"/>
      <c r="D450" s="10" t="s">
        <v>29</v>
      </c>
      <c r="E450" s="11"/>
      <c r="F450" s="11" t="s">
        <v>18</v>
      </c>
      <c r="G450" s="13"/>
      <c r="H450" s="45" t="s">
        <v>16</v>
      </c>
      <c r="I450" s="46"/>
      <c r="J450" s="14" t="s">
        <v>5879</v>
      </c>
      <c r="K450" s="13" t="s">
        <v>7221</v>
      </c>
      <c r="L450" s="99" t="str">
        <f t="shared" si="25"/>
        <v>W3217.2</v>
      </c>
      <c r="M450" s="13" t="s">
        <v>17</v>
      </c>
      <c r="N450" s="13"/>
      <c r="O450" s="13"/>
      <c r="P450" s="52"/>
      <c r="Q450" s="45" t="s">
        <v>3672</v>
      </c>
      <c r="R450" s="45" t="s">
        <v>5552</v>
      </c>
      <c r="S450" s="48"/>
      <c r="T450" s="49" t="str">
        <f t="shared" si="24"/>
        <v>[W3217.2]</v>
      </c>
      <c r="U450" s="12" t="str">
        <f t="shared" si="27"/>
        <v xml:space="preserve"> 도어프레임 서보조립셔틀#2 Z축(SD228) FLS가 감지되었습니다.</v>
      </c>
      <c r="V450" s="49" t="str">
        <f t="shared" si="26"/>
        <v>[W3217.2] 도어프레임 서보조립셔틀#2 Z축(SD228) FLS가 감지되었습니다.</v>
      </c>
    </row>
    <row r="451" spans="1:22" s="49" customFormat="1" ht="14.15" customHeight="1">
      <c r="A451" s="43" t="s">
        <v>6687</v>
      </c>
      <c r="B451" s="44" t="s">
        <v>6635</v>
      </c>
      <c r="C451" s="50"/>
      <c r="D451" s="10" t="s">
        <v>29</v>
      </c>
      <c r="E451" s="11"/>
      <c r="F451" s="11" t="s">
        <v>18</v>
      </c>
      <c r="G451" s="13"/>
      <c r="H451" s="45" t="s">
        <v>16</v>
      </c>
      <c r="I451" s="46"/>
      <c r="J451" s="14" t="s">
        <v>5880</v>
      </c>
      <c r="K451" s="13" t="s">
        <v>7222</v>
      </c>
      <c r="L451" s="99" t="str">
        <f t="shared" si="25"/>
        <v>W3217.3</v>
      </c>
      <c r="M451" s="13" t="s">
        <v>17</v>
      </c>
      <c r="N451" s="13"/>
      <c r="O451" s="13"/>
      <c r="P451" s="52"/>
      <c r="Q451" s="45" t="s">
        <v>3672</v>
      </c>
      <c r="R451" s="45" t="s">
        <v>5552</v>
      </c>
      <c r="S451" s="48"/>
      <c r="T451" s="49" t="str">
        <f t="shared" si="24"/>
        <v>[W3217.3]</v>
      </c>
      <c r="U451" s="12" t="str">
        <f t="shared" si="27"/>
        <v xml:space="preserve"> 도어프레임 서보조립셔틀#2 Z축(SD228) RLS가 감지되었습니다.</v>
      </c>
      <c r="V451" s="49" t="str">
        <f t="shared" si="26"/>
        <v>[W3217.3] 도어프레임 서보조립셔틀#2 Z축(SD228) RLS가 감지되었습니다.</v>
      </c>
    </row>
    <row r="452" spans="1:22" s="49" customFormat="1" ht="14.15" customHeight="1">
      <c r="A452" s="43" t="s">
        <v>6687</v>
      </c>
      <c r="B452" s="44" t="s">
        <v>6635</v>
      </c>
      <c r="C452" s="50"/>
      <c r="D452" s="10" t="s">
        <v>29</v>
      </c>
      <c r="E452" s="11"/>
      <c r="F452" s="11" t="s">
        <v>18</v>
      </c>
      <c r="G452" s="13"/>
      <c r="H452" s="45" t="s">
        <v>16</v>
      </c>
      <c r="I452" s="46"/>
      <c r="J452" s="14" t="s">
        <v>5881</v>
      </c>
      <c r="K452" s="13" t="s">
        <v>7223</v>
      </c>
      <c r="L452" s="99" t="str">
        <f t="shared" si="25"/>
        <v>W3217.4</v>
      </c>
      <c r="M452" s="13" t="s">
        <v>17</v>
      </c>
      <c r="N452" s="13"/>
      <c r="O452" s="13"/>
      <c r="P452" s="52"/>
      <c r="Q452" s="45" t="s">
        <v>3672</v>
      </c>
      <c r="R452" s="45" t="s">
        <v>5552</v>
      </c>
      <c r="S452" s="48"/>
      <c r="T452" s="49" t="str">
        <f t="shared" si="24"/>
        <v>[W3217.4]</v>
      </c>
      <c r="U452" s="12" t="str">
        <f t="shared" si="27"/>
        <v xml:space="preserve"> 도어프레임 서보조립셔틀#2 Z축(SD228) Stop 명령이 On된 상태에서 기동을 시도했습니다.</v>
      </c>
      <c r="V452" s="49" t="str">
        <f t="shared" si="26"/>
        <v>[W3217.4] 도어프레임 서보조립셔틀#2 Z축(SD228) Stop 명령이 On된 상태에서 기동을 시도했습니다.</v>
      </c>
    </row>
    <row r="453" spans="1:22" s="49" customFormat="1" ht="14.15" customHeight="1">
      <c r="A453" s="43" t="s">
        <v>6687</v>
      </c>
      <c r="B453" s="44" t="s">
        <v>6635</v>
      </c>
      <c r="C453" s="50"/>
      <c r="D453" s="10" t="s">
        <v>29</v>
      </c>
      <c r="E453" s="11"/>
      <c r="F453" s="11" t="s">
        <v>18</v>
      </c>
      <c r="G453" s="13"/>
      <c r="H453" s="45" t="s">
        <v>16</v>
      </c>
      <c r="I453" s="46"/>
      <c r="J453" s="14" t="s">
        <v>5882</v>
      </c>
      <c r="K453" s="13" t="s">
        <v>7224</v>
      </c>
      <c r="L453" s="99" t="str">
        <f t="shared" si="25"/>
        <v>W3217.5</v>
      </c>
      <c r="M453" s="13" t="s">
        <v>17</v>
      </c>
      <c r="N453" s="13"/>
      <c r="O453" s="13"/>
      <c r="P453" s="52"/>
      <c r="Q453" s="45" t="s">
        <v>3672</v>
      </c>
      <c r="R453" s="45" t="s">
        <v>5552</v>
      </c>
      <c r="S453" s="48"/>
      <c r="T453" s="49" t="str">
        <f t="shared" si="24"/>
        <v>[W3217.5]</v>
      </c>
      <c r="U453" s="12" t="str">
        <f t="shared" si="27"/>
        <v xml:space="preserve"> 도어프레임 서보조립셔틀#2 Z축(SD228) 가동 전원이 Off 되었습니다.</v>
      </c>
      <c r="V453" s="49" t="str">
        <f t="shared" si="26"/>
        <v>[W3217.5] 도어프레임 서보조립셔틀#2 Z축(SD228) 가동 전원이 Off 되었습니다.</v>
      </c>
    </row>
    <row r="454" spans="1:22" s="49" customFormat="1" ht="14.15" customHeight="1">
      <c r="A454" s="43" t="s">
        <v>6687</v>
      </c>
      <c r="B454" s="44" t="s">
        <v>6635</v>
      </c>
      <c r="C454" s="50"/>
      <c r="D454" s="10" t="s">
        <v>29</v>
      </c>
      <c r="E454" s="11"/>
      <c r="F454" s="11" t="s">
        <v>18</v>
      </c>
      <c r="G454" s="13"/>
      <c r="H454" s="45" t="s">
        <v>16</v>
      </c>
      <c r="I454" s="46"/>
      <c r="J454" s="14" t="s">
        <v>5883</v>
      </c>
      <c r="K454" s="13" t="s">
        <v>7225</v>
      </c>
      <c r="L454" s="99" t="str">
        <f t="shared" si="25"/>
        <v>W3217.6</v>
      </c>
      <c r="M454" s="13" t="s">
        <v>17</v>
      </c>
      <c r="N454" s="13"/>
      <c r="O454" s="13"/>
      <c r="P454" s="52"/>
      <c r="Q454" s="45" t="s">
        <v>3672</v>
      </c>
      <c r="R454" s="45" t="s">
        <v>5552</v>
      </c>
      <c r="S454" s="48"/>
      <c r="T454" s="49" t="str">
        <f t="shared" si="24"/>
        <v>[W3217.6]</v>
      </c>
      <c r="U454" s="12" t="str">
        <f t="shared" si="27"/>
        <v xml:space="preserve"> 도어프레임 서보조립셔틀#2 Z축(SD228) 엔코더 이상이 검출되었습니다.</v>
      </c>
      <c r="V454" s="49" t="str">
        <f t="shared" si="26"/>
        <v>[W3217.6] 도어프레임 서보조립셔틀#2 Z축(SD228) 엔코더 이상이 검출되었습니다.</v>
      </c>
    </row>
    <row r="455" spans="1:22" s="49" customFormat="1" ht="14.15" customHeight="1">
      <c r="A455" s="43" t="s">
        <v>6687</v>
      </c>
      <c r="B455" s="44" t="s">
        <v>6635</v>
      </c>
      <c r="C455" s="50"/>
      <c r="D455" s="10" t="s">
        <v>29</v>
      </c>
      <c r="E455" s="11"/>
      <c r="F455" s="11" t="s">
        <v>18</v>
      </c>
      <c r="G455" s="13"/>
      <c r="H455" s="45" t="s">
        <v>16</v>
      </c>
      <c r="I455" s="46"/>
      <c r="J455" s="14" t="s">
        <v>5884</v>
      </c>
      <c r="K455" s="13" t="s">
        <v>7226</v>
      </c>
      <c r="L455" s="99" t="str">
        <f t="shared" si="25"/>
        <v>W3217.7</v>
      </c>
      <c r="M455" s="13" t="s">
        <v>17</v>
      </c>
      <c r="N455" s="13"/>
      <c r="O455" s="13"/>
      <c r="P455" s="52"/>
      <c r="Q455" s="45" t="s">
        <v>3672</v>
      </c>
      <c r="R455" s="45" t="s">
        <v>5552</v>
      </c>
      <c r="S455" s="48"/>
      <c r="T455" s="49" t="str">
        <f t="shared" si="24"/>
        <v>[W3217.7]</v>
      </c>
      <c r="U455" s="12" t="str">
        <f t="shared" si="27"/>
        <v xml:space="preserve"> 도어프레임 서보조립셔틀#2 Z축(SD228) 과전류가 검출되었습니다.</v>
      </c>
      <c r="V455" s="49" t="str">
        <f t="shared" si="26"/>
        <v>[W3217.7] 도어프레임 서보조립셔틀#2 Z축(SD228) 과전류가 검출되었습니다.</v>
      </c>
    </row>
    <row r="456" spans="1:22" s="49" customFormat="1" ht="14.15" customHeight="1">
      <c r="A456" s="43" t="s">
        <v>6687</v>
      </c>
      <c r="B456" s="44" t="s">
        <v>6635</v>
      </c>
      <c r="C456" s="50"/>
      <c r="D456" s="10" t="s">
        <v>29</v>
      </c>
      <c r="E456" s="11"/>
      <c r="F456" s="11" t="s">
        <v>18</v>
      </c>
      <c r="G456" s="13"/>
      <c r="H456" s="45" t="s">
        <v>16</v>
      </c>
      <c r="I456" s="46"/>
      <c r="J456" s="14" t="s">
        <v>5885</v>
      </c>
      <c r="K456" s="13" t="s">
        <v>7227</v>
      </c>
      <c r="L456" s="99" t="str">
        <f t="shared" si="25"/>
        <v>W3217.8</v>
      </c>
      <c r="M456" s="13" t="s">
        <v>17</v>
      </c>
      <c r="N456" s="13"/>
      <c r="O456" s="13"/>
      <c r="P456" s="52"/>
      <c r="Q456" s="45" t="s">
        <v>3672</v>
      </c>
      <c r="R456" s="45" t="s">
        <v>5552</v>
      </c>
      <c r="S456" s="48"/>
      <c r="T456" s="49" t="str">
        <f t="shared" si="24"/>
        <v>[W3217.8]</v>
      </c>
      <c r="U456" s="12" t="str">
        <f t="shared" si="27"/>
        <v xml:space="preserve"> 도어프레임 서보조립셔틀#2 Z축(SD228) 과부하가 검출되었습니다.</v>
      </c>
      <c r="V456" s="49" t="str">
        <f t="shared" si="26"/>
        <v>[W3217.8] 도어프레임 서보조립셔틀#2 Z축(SD228) 과부하가 검출되었습니다.</v>
      </c>
    </row>
    <row r="457" spans="1:22" s="49" customFormat="1" ht="14.15" customHeight="1">
      <c r="A457" s="43" t="s">
        <v>6687</v>
      </c>
      <c r="B457" s="44" t="s">
        <v>6635</v>
      </c>
      <c r="C457" s="50"/>
      <c r="D457" s="10" t="s">
        <v>29</v>
      </c>
      <c r="E457" s="11"/>
      <c r="F457" s="11" t="s">
        <v>18</v>
      </c>
      <c r="G457" s="13"/>
      <c r="H457" s="45" t="s">
        <v>16</v>
      </c>
      <c r="I457" s="46"/>
      <c r="J457" s="14" t="s">
        <v>5886</v>
      </c>
      <c r="K457" s="13" t="s">
        <v>7228</v>
      </c>
      <c r="L457" s="99" t="str">
        <f t="shared" si="25"/>
        <v>W3217.9</v>
      </c>
      <c r="M457" s="13" t="s">
        <v>17</v>
      </c>
      <c r="N457" s="13"/>
      <c r="O457" s="13"/>
      <c r="P457" s="52"/>
      <c r="Q457" s="45" t="s">
        <v>3672</v>
      </c>
      <c r="R457" s="45" t="s">
        <v>5552</v>
      </c>
      <c r="S457" s="48"/>
      <c r="T457" s="49" t="str">
        <f t="shared" si="24"/>
        <v>[W3217.9]</v>
      </c>
      <c r="U457" s="12" t="str">
        <f t="shared" si="27"/>
        <v xml:space="preserve"> 도어프레임 서보조립셔틀#2 Z축(SD228)  </v>
      </c>
      <c r="V457" s="49" t="str">
        <f t="shared" si="26"/>
        <v xml:space="preserve">[W3217.9] 도어프레임 서보조립셔틀#2 Z축(SD228)  </v>
      </c>
    </row>
    <row r="458" spans="1:22" s="49" customFormat="1" ht="14.15" customHeight="1">
      <c r="A458" s="43" t="s">
        <v>6687</v>
      </c>
      <c r="B458" s="44" t="s">
        <v>6635</v>
      </c>
      <c r="C458" s="50"/>
      <c r="D458" s="10" t="s">
        <v>29</v>
      </c>
      <c r="E458" s="11"/>
      <c r="F458" s="11" t="s">
        <v>18</v>
      </c>
      <c r="G458" s="13"/>
      <c r="H458" s="45" t="s">
        <v>16</v>
      </c>
      <c r="I458" s="46"/>
      <c r="J458" s="14" t="s">
        <v>5887</v>
      </c>
      <c r="K458" s="13" t="s">
        <v>7229</v>
      </c>
      <c r="L458" s="99" t="str">
        <f t="shared" si="25"/>
        <v>W3217.A</v>
      </c>
      <c r="M458" s="13" t="s">
        <v>17</v>
      </c>
      <c r="N458" s="13"/>
      <c r="O458" s="13"/>
      <c r="P458" s="52"/>
      <c r="Q458" s="45" t="s">
        <v>3672</v>
      </c>
      <c r="R458" s="45" t="s">
        <v>5552</v>
      </c>
      <c r="S458" s="48"/>
      <c r="T458" s="49" t="str">
        <f t="shared" si="24"/>
        <v>[W3217.A]</v>
      </c>
      <c r="U458" s="12" t="str">
        <f t="shared" si="27"/>
        <v xml:space="preserve"> 도어프레임 서보조립셔틀#2 Z축(SD228) 에러가 발생했습니다.</v>
      </c>
      <c r="V458" s="49" t="str">
        <f t="shared" si="26"/>
        <v>[W3217.A] 도어프레임 서보조립셔틀#2 Z축(SD228) 에러가 발생했습니다.</v>
      </c>
    </row>
    <row r="459" spans="1:22" s="49" customFormat="1" ht="14.15" customHeight="1">
      <c r="A459" s="43" t="s">
        <v>6687</v>
      </c>
      <c r="B459" s="44" t="s">
        <v>6635</v>
      </c>
      <c r="C459" s="50"/>
      <c r="D459" s="10" t="s">
        <v>29</v>
      </c>
      <c r="E459" s="11"/>
      <c r="F459" s="11" t="s">
        <v>18</v>
      </c>
      <c r="G459" s="13"/>
      <c r="H459" s="45" t="s">
        <v>16</v>
      </c>
      <c r="I459" s="47"/>
      <c r="J459" s="12" t="s">
        <v>6740</v>
      </c>
      <c r="K459" s="13" t="s">
        <v>7230</v>
      </c>
      <c r="L459" s="99" t="str">
        <f t="shared" si="25"/>
        <v>W3217.B</v>
      </c>
      <c r="M459" s="13" t="s">
        <v>17</v>
      </c>
      <c r="N459" s="13"/>
      <c r="O459" s="13"/>
      <c r="P459" s="47"/>
      <c r="Q459" s="45" t="s">
        <v>3672</v>
      </c>
      <c r="R459" s="45" t="s">
        <v>5552</v>
      </c>
      <c r="S459" s="48"/>
      <c r="T459" s="49" t="str">
        <f t="shared" si="24"/>
        <v>[W3217.B]</v>
      </c>
      <c r="U459" s="12" t="str">
        <f t="shared" si="27"/>
        <v xml:space="preserve"> 도어프레임 서보조립 건#2축(SD229) 운전중에 Ready가 Off 되었습니다.</v>
      </c>
      <c r="V459" s="49" t="str">
        <f t="shared" si="26"/>
        <v>[W3217.B] 도어프레임 서보조립 건#2축(SD229) 운전중에 Ready가 Off 되었습니다.</v>
      </c>
    </row>
    <row r="460" spans="1:22" s="49" customFormat="1" ht="14.15" customHeight="1">
      <c r="A460" s="43" t="s">
        <v>6687</v>
      </c>
      <c r="B460" s="44" t="s">
        <v>6635</v>
      </c>
      <c r="C460" s="50"/>
      <c r="D460" s="10" t="s">
        <v>29</v>
      </c>
      <c r="E460" s="11"/>
      <c r="F460" s="11" t="s">
        <v>18</v>
      </c>
      <c r="G460" s="13"/>
      <c r="H460" s="45" t="s">
        <v>16</v>
      </c>
      <c r="I460" s="47"/>
      <c r="J460" s="12" t="s">
        <v>6741</v>
      </c>
      <c r="K460" s="13" t="s">
        <v>7231</v>
      </c>
      <c r="L460" s="99" t="str">
        <f t="shared" si="25"/>
        <v>W3217.C</v>
      </c>
      <c r="M460" s="13" t="s">
        <v>17</v>
      </c>
      <c r="N460" s="13"/>
      <c r="O460" s="13"/>
      <c r="P460" s="47"/>
      <c r="Q460" s="45" t="s">
        <v>3672</v>
      </c>
      <c r="R460" s="45" t="s">
        <v>5552</v>
      </c>
      <c r="S460" s="48"/>
      <c r="T460" s="49" t="str">
        <f t="shared" si="24"/>
        <v>[W3217.C]</v>
      </c>
      <c r="U460" s="12" t="str">
        <f t="shared" si="27"/>
        <v xml:space="preserve"> 도어프레임 서보조립 건#2축(SD229) FLS가 감지되었습니다.</v>
      </c>
      <c r="V460" s="49" t="str">
        <f t="shared" si="26"/>
        <v>[W3217.C] 도어프레임 서보조립 건#2축(SD229) FLS가 감지되었습니다.</v>
      </c>
    </row>
    <row r="461" spans="1:22" s="49" customFormat="1" ht="14.15" customHeight="1">
      <c r="A461" s="43" t="s">
        <v>6687</v>
      </c>
      <c r="B461" s="44" t="s">
        <v>6635</v>
      </c>
      <c r="C461" s="50"/>
      <c r="D461" s="10" t="s">
        <v>29</v>
      </c>
      <c r="E461" s="11"/>
      <c r="F461" s="11" t="s">
        <v>18</v>
      </c>
      <c r="G461" s="13"/>
      <c r="H461" s="45" t="s">
        <v>16</v>
      </c>
      <c r="I461" s="47"/>
      <c r="J461" s="12" t="s">
        <v>6742</v>
      </c>
      <c r="K461" s="13" t="s">
        <v>7232</v>
      </c>
      <c r="L461" s="99" t="str">
        <f t="shared" si="25"/>
        <v>W3217.D</v>
      </c>
      <c r="M461" s="13" t="s">
        <v>17</v>
      </c>
      <c r="N461" s="13"/>
      <c r="O461" s="13"/>
      <c r="P461" s="47"/>
      <c r="Q461" s="45" t="s">
        <v>3672</v>
      </c>
      <c r="R461" s="45" t="s">
        <v>5552</v>
      </c>
      <c r="S461" s="48"/>
      <c r="T461" s="49" t="str">
        <f t="shared" si="24"/>
        <v>[W3217.D]</v>
      </c>
      <c r="U461" s="12" t="str">
        <f t="shared" si="27"/>
        <v xml:space="preserve"> 도어프레임 서보조립 건#2축(SD229) RLS가 감지되었습니다.</v>
      </c>
      <c r="V461" s="49" t="str">
        <f t="shared" si="26"/>
        <v>[W3217.D] 도어프레임 서보조립 건#2축(SD229) RLS가 감지되었습니다.</v>
      </c>
    </row>
    <row r="462" spans="1:22" s="49" customFormat="1" ht="14.15" customHeight="1">
      <c r="A462" s="43" t="s">
        <v>6687</v>
      </c>
      <c r="B462" s="44" t="s">
        <v>6635</v>
      </c>
      <c r="C462" s="50"/>
      <c r="D462" s="10" t="s">
        <v>29</v>
      </c>
      <c r="E462" s="11"/>
      <c r="F462" s="11" t="s">
        <v>18</v>
      </c>
      <c r="G462" s="13"/>
      <c r="H462" s="45" t="s">
        <v>16</v>
      </c>
      <c r="I462" s="47"/>
      <c r="J462" s="12" t="s">
        <v>6743</v>
      </c>
      <c r="K462" s="13" t="s">
        <v>7233</v>
      </c>
      <c r="L462" s="99" t="str">
        <f t="shared" si="25"/>
        <v>W3217.E</v>
      </c>
      <c r="M462" s="13" t="s">
        <v>17</v>
      </c>
      <c r="N462" s="13"/>
      <c r="O462" s="13"/>
      <c r="P462" s="47"/>
      <c r="Q462" s="45" t="s">
        <v>3672</v>
      </c>
      <c r="R462" s="45" t="s">
        <v>5552</v>
      </c>
      <c r="S462" s="48"/>
      <c r="T462" s="49" t="str">
        <f t="shared" si="24"/>
        <v>[W3217.E]</v>
      </c>
      <c r="U462" s="12" t="str">
        <f t="shared" si="27"/>
        <v xml:space="preserve"> 도어프레임 서보조립 건#2축(SD229) Stop 명령이 On된 상태에서 기동을 시도했습니다.</v>
      </c>
      <c r="V462" s="49" t="str">
        <f t="shared" si="26"/>
        <v>[W3217.E] 도어프레임 서보조립 건#2축(SD229) Stop 명령이 On된 상태에서 기동을 시도했습니다.</v>
      </c>
    </row>
    <row r="463" spans="1:22" s="49" customFormat="1" ht="14.15" customHeight="1">
      <c r="A463" s="43" t="s">
        <v>6687</v>
      </c>
      <c r="B463" s="44" t="s">
        <v>6635</v>
      </c>
      <c r="C463" s="50"/>
      <c r="D463" s="10" t="s">
        <v>29</v>
      </c>
      <c r="E463" s="11"/>
      <c r="F463" s="11" t="s">
        <v>18</v>
      </c>
      <c r="G463" s="13"/>
      <c r="H463" s="45" t="s">
        <v>16</v>
      </c>
      <c r="I463" s="47"/>
      <c r="J463" s="12" t="s">
        <v>6744</v>
      </c>
      <c r="K463" s="13" t="s">
        <v>7234</v>
      </c>
      <c r="L463" s="99" t="str">
        <f t="shared" si="25"/>
        <v>W3217.F</v>
      </c>
      <c r="M463" s="13" t="s">
        <v>17</v>
      </c>
      <c r="N463" s="13"/>
      <c r="O463" s="13"/>
      <c r="P463" s="47"/>
      <c r="Q463" s="45" t="s">
        <v>3672</v>
      </c>
      <c r="R463" s="45" t="s">
        <v>5552</v>
      </c>
      <c r="S463" s="48"/>
      <c r="T463" s="49" t="str">
        <f t="shared" si="24"/>
        <v>[W3217.F]</v>
      </c>
      <c r="U463" s="12" t="str">
        <f t="shared" si="27"/>
        <v xml:space="preserve"> 도어프레임 서보조립 건#2축(SD229) 가동 전원이 Off 되었습니다.</v>
      </c>
      <c r="V463" s="49" t="str">
        <f t="shared" si="26"/>
        <v>[W3217.F] 도어프레임 서보조립 건#2축(SD229) 가동 전원이 Off 되었습니다.</v>
      </c>
    </row>
    <row r="464" spans="1:22" s="49" customFormat="1" ht="14.15" customHeight="1">
      <c r="A464" s="43" t="s">
        <v>6687</v>
      </c>
      <c r="B464" s="44" t="s">
        <v>6635</v>
      </c>
      <c r="C464" s="50"/>
      <c r="D464" s="10" t="s">
        <v>29</v>
      </c>
      <c r="E464" s="11"/>
      <c r="F464" s="11" t="s">
        <v>18</v>
      </c>
      <c r="G464" s="13"/>
      <c r="H464" s="45" t="s">
        <v>16</v>
      </c>
      <c r="I464" s="47"/>
      <c r="J464" s="12" t="s">
        <v>6745</v>
      </c>
      <c r="K464" s="13" t="s">
        <v>7235</v>
      </c>
      <c r="L464" s="99" t="str">
        <f t="shared" si="25"/>
        <v>W3218.0</v>
      </c>
      <c r="M464" s="13" t="s">
        <v>17</v>
      </c>
      <c r="N464" s="13"/>
      <c r="O464" s="13"/>
      <c r="P464" s="47"/>
      <c r="Q464" s="45" t="s">
        <v>3672</v>
      </c>
      <c r="R464" s="45" t="s">
        <v>5552</v>
      </c>
      <c r="S464" s="48"/>
      <c r="T464" s="49" t="str">
        <f t="shared" ref="T464:T527" si="28">"["&amp;L464&amp;"]"</f>
        <v>[W3218.0]</v>
      </c>
      <c r="U464" s="12" t="str">
        <f t="shared" si="27"/>
        <v xml:space="preserve"> 도어프레임 서보조립 건#2축(SD229) 엔코더 이상이 검출되었습니다.</v>
      </c>
      <c r="V464" s="49" t="str">
        <f t="shared" si="26"/>
        <v>[W3218.0] 도어프레임 서보조립 건#2축(SD229) 엔코더 이상이 검출되었습니다.</v>
      </c>
    </row>
    <row r="465" spans="1:22" s="49" customFormat="1" ht="14.15" customHeight="1">
      <c r="A465" s="43" t="s">
        <v>6687</v>
      </c>
      <c r="B465" s="44" t="s">
        <v>6635</v>
      </c>
      <c r="C465" s="50"/>
      <c r="D465" s="10" t="s">
        <v>29</v>
      </c>
      <c r="E465" s="11"/>
      <c r="F465" s="11" t="s">
        <v>18</v>
      </c>
      <c r="G465" s="13"/>
      <c r="H465" s="45" t="s">
        <v>16</v>
      </c>
      <c r="I465" s="47"/>
      <c r="J465" s="12" t="s">
        <v>6746</v>
      </c>
      <c r="K465" s="13" t="s">
        <v>7236</v>
      </c>
      <c r="L465" s="99" t="str">
        <f t="shared" ref="L465:L528" si="29">"W"&amp;DEC2HEX(12800 + INT((ROW()-80)/16)) &amp; "." &amp; IF(MOD(ROW()-80,16)&lt;10,MOD(ROW()-80,16),CHAR(MOD(ROW()-80,16)+55))</f>
        <v>W3218.1</v>
      </c>
      <c r="M465" s="13" t="s">
        <v>17</v>
      </c>
      <c r="N465" s="13"/>
      <c r="O465" s="13"/>
      <c r="P465" s="47"/>
      <c r="Q465" s="45" t="s">
        <v>3672</v>
      </c>
      <c r="R465" s="45" t="s">
        <v>5552</v>
      </c>
      <c r="S465" s="48"/>
      <c r="T465" s="49" t="str">
        <f t="shared" si="28"/>
        <v>[W3218.1]</v>
      </c>
      <c r="U465" s="12" t="str">
        <f t="shared" si="27"/>
        <v xml:space="preserve"> 도어프레임 서보조립 건#2축(SD229) 과전류가 검출되었습니다.</v>
      </c>
      <c r="V465" s="49" t="str">
        <f t="shared" ref="V465:V528" si="30">T465&amp;U465</f>
        <v>[W3218.1] 도어프레임 서보조립 건#2축(SD229) 과전류가 검출되었습니다.</v>
      </c>
    </row>
    <row r="466" spans="1:22" s="49" customFormat="1" ht="14.15" customHeight="1">
      <c r="A466" s="43" t="s">
        <v>6687</v>
      </c>
      <c r="B466" s="44" t="s">
        <v>6635</v>
      </c>
      <c r="C466" s="50"/>
      <c r="D466" s="10" t="s">
        <v>29</v>
      </c>
      <c r="E466" s="11"/>
      <c r="F466" s="11" t="s">
        <v>18</v>
      </c>
      <c r="G466" s="13"/>
      <c r="H466" s="45" t="s">
        <v>16</v>
      </c>
      <c r="I466" s="47"/>
      <c r="J466" s="12" t="s">
        <v>6747</v>
      </c>
      <c r="K466" s="13" t="s">
        <v>7237</v>
      </c>
      <c r="L466" s="99" t="str">
        <f t="shared" si="29"/>
        <v>W3218.2</v>
      </c>
      <c r="M466" s="13" t="s">
        <v>17</v>
      </c>
      <c r="N466" s="13"/>
      <c r="O466" s="13"/>
      <c r="P466" s="47"/>
      <c r="Q466" s="45" t="s">
        <v>3672</v>
      </c>
      <c r="R466" s="45" t="s">
        <v>5552</v>
      </c>
      <c r="S466" s="48"/>
      <c r="T466" s="49" t="str">
        <f t="shared" si="28"/>
        <v>[W3218.2]</v>
      </c>
      <c r="U466" s="12" t="str">
        <f t="shared" si="27"/>
        <v xml:space="preserve"> 도어프레임 서보조립 건#2축(SD229) 과부하가 검출되었습니다.</v>
      </c>
      <c r="V466" s="49" t="str">
        <f t="shared" si="30"/>
        <v>[W3218.2] 도어프레임 서보조립 건#2축(SD229) 과부하가 검출되었습니다.</v>
      </c>
    </row>
    <row r="467" spans="1:22" s="49" customFormat="1" ht="14.15" customHeight="1">
      <c r="A467" s="43" t="s">
        <v>6687</v>
      </c>
      <c r="B467" s="44" t="s">
        <v>6635</v>
      </c>
      <c r="C467" s="50"/>
      <c r="D467" s="10" t="s">
        <v>29</v>
      </c>
      <c r="E467" s="11"/>
      <c r="F467" s="11" t="s">
        <v>18</v>
      </c>
      <c r="G467" s="13"/>
      <c r="H467" s="45" t="s">
        <v>16</v>
      </c>
      <c r="I467" s="47"/>
      <c r="J467" s="12" t="s">
        <v>6748</v>
      </c>
      <c r="K467" s="13" t="s">
        <v>7238</v>
      </c>
      <c r="L467" s="99" t="str">
        <f t="shared" si="29"/>
        <v>W3218.3</v>
      </c>
      <c r="M467" s="13" t="s">
        <v>17</v>
      </c>
      <c r="N467" s="13"/>
      <c r="O467" s="13"/>
      <c r="P467" s="47"/>
      <c r="Q467" s="45" t="s">
        <v>3672</v>
      </c>
      <c r="R467" s="45" t="s">
        <v>5552</v>
      </c>
      <c r="S467" s="48"/>
      <c r="T467" s="49" t="str">
        <f t="shared" si="28"/>
        <v>[W3218.3]</v>
      </c>
      <c r="U467" s="12" t="str">
        <f t="shared" si="27"/>
        <v xml:space="preserve"> 도어프레임 서보조립 건#2축(SD229)  </v>
      </c>
      <c r="V467" s="49" t="str">
        <f t="shared" si="30"/>
        <v xml:space="preserve">[W3218.3] 도어프레임 서보조립 건#2축(SD229)  </v>
      </c>
    </row>
    <row r="468" spans="1:22" s="49" customFormat="1" ht="14.15" customHeight="1">
      <c r="A468" s="43" t="s">
        <v>6687</v>
      </c>
      <c r="B468" s="44" t="s">
        <v>6635</v>
      </c>
      <c r="C468" s="50"/>
      <c r="D468" s="10" t="s">
        <v>29</v>
      </c>
      <c r="E468" s="11"/>
      <c r="F468" s="11" t="s">
        <v>18</v>
      </c>
      <c r="G468" s="13"/>
      <c r="H468" s="45" t="s">
        <v>16</v>
      </c>
      <c r="I468" s="47"/>
      <c r="J468" s="12" t="s">
        <v>6749</v>
      </c>
      <c r="K468" s="13" t="s">
        <v>7239</v>
      </c>
      <c r="L468" s="99" t="str">
        <f t="shared" si="29"/>
        <v>W3218.4</v>
      </c>
      <c r="M468" s="13" t="s">
        <v>17</v>
      </c>
      <c r="N468" s="13"/>
      <c r="O468" s="13"/>
      <c r="P468" s="47"/>
      <c r="Q468" s="45" t="s">
        <v>3672</v>
      </c>
      <c r="R468" s="45" t="s">
        <v>5552</v>
      </c>
      <c r="S468" s="48"/>
      <c r="T468" s="49" t="str">
        <f>"["&amp;L438&amp;"]"</f>
        <v>[W3216.6]</v>
      </c>
      <c r="U468" s="12" t="str">
        <f>RIGHT(J438,LEN(J438)-7)</f>
        <v xml:space="preserve"> 도어프레임 서보조립셔틀#2 Z축(SD226) 에러가 발생했습니다.</v>
      </c>
      <c r="V468" s="49" t="str">
        <f>T438&amp;U438</f>
        <v>[W3216.6] 도어프레임 서보조립셔틀#2 Z축(SD226) 에러가 발생했습니다.</v>
      </c>
    </row>
    <row r="469" spans="1:22" s="49" customFormat="1" ht="14.15" customHeight="1">
      <c r="A469" s="43" t="s">
        <v>6687</v>
      </c>
      <c r="B469" s="44" t="s">
        <v>6635</v>
      </c>
      <c r="C469" s="50"/>
      <c r="D469" s="10" t="s">
        <v>29</v>
      </c>
      <c r="E469" s="11"/>
      <c r="F469" s="11" t="s">
        <v>18</v>
      </c>
      <c r="G469" s="13"/>
      <c r="H469" s="45" t="s">
        <v>16</v>
      </c>
      <c r="I469" s="47"/>
      <c r="J469" s="12" t="s">
        <v>5888</v>
      </c>
      <c r="K469" s="13" t="s">
        <v>7240</v>
      </c>
      <c r="L469" s="99" t="str">
        <f t="shared" si="29"/>
        <v>W3218.5</v>
      </c>
      <c r="M469" s="13" t="s">
        <v>17</v>
      </c>
      <c r="N469" s="13"/>
      <c r="O469" s="13"/>
      <c r="P469" s="47"/>
      <c r="Q469" s="45" t="s">
        <v>3672</v>
      </c>
      <c r="R469" s="45" t="s">
        <v>5552</v>
      </c>
      <c r="S469" s="48"/>
      <c r="T469" s="49" t="str">
        <f t="shared" si="28"/>
        <v>[W3218.5]</v>
      </c>
      <c r="U469" s="12" t="str">
        <f t="shared" ref="U469:U532" si="31">RIGHT(J469,LEN(J469)-7)</f>
        <v xml:space="preserve"> 도어프레임 서보조립 건#2축(SD230) 운전중에 Ready가 Off 되었습니다.</v>
      </c>
      <c r="V469" s="49" t="str">
        <f t="shared" si="30"/>
        <v>[W3218.5] 도어프레임 서보조립 건#2축(SD230) 운전중에 Ready가 Off 되었습니다.</v>
      </c>
    </row>
    <row r="470" spans="1:22" s="49" customFormat="1" ht="14.15" customHeight="1">
      <c r="A470" s="43" t="s">
        <v>6687</v>
      </c>
      <c r="B470" s="44" t="s">
        <v>6635</v>
      </c>
      <c r="C470" s="50"/>
      <c r="D470" s="10" t="s">
        <v>29</v>
      </c>
      <c r="E470" s="11"/>
      <c r="F470" s="11" t="s">
        <v>18</v>
      </c>
      <c r="G470" s="13"/>
      <c r="H470" s="45" t="s">
        <v>16</v>
      </c>
      <c r="I470" s="47"/>
      <c r="J470" s="12" t="s">
        <v>5889</v>
      </c>
      <c r="K470" s="13" t="s">
        <v>7241</v>
      </c>
      <c r="L470" s="99" t="str">
        <f t="shared" si="29"/>
        <v>W3218.6</v>
      </c>
      <c r="M470" s="13" t="s">
        <v>17</v>
      </c>
      <c r="N470" s="13"/>
      <c r="O470" s="13"/>
      <c r="P470" s="47"/>
      <c r="Q470" s="45" t="s">
        <v>3672</v>
      </c>
      <c r="R470" s="45" t="s">
        <v>5552</v>
      </c>
      <c r="S470" s="48"/>
      <c r="T470" s="49" t="str">
        <f t="shared" si="28"/>
        <v>[W3218.6]</v>
      </c>
      <c r="U470" s="12" t="str">
        <f t="shared" si="31"/>
        <v xml:space="preserve"> 도어프레임 서보조립 건#2축(SD230) FLS가 감지되었습니다.</v>
      </c>
      <c r="V470" s="49" t="str">
        <f t="shared" si="30"/>
        <v>[W3218.6] 도어프레임 서보조립 건#2축(SD230) FLS가 감지되었습니다.</v>
      </c>
    </row>
    <row r="471" spans="1:22" s="49" customFormat="1" ht="14.15" customHeight="1">
      <c r="A471" s="43" t="s">
        <v>6687</v>
      </c>
      <c r="B471" s="44" t="s">
        <v>6635</v>
      </c>
      <c r="C471" s="50"/>
      <c r="D471" s="10" t="s">
        <v>29</v>
      </c>
      <c r="E471" s="11"/>
      <c r="F471" s="11" t="s">
        <v>18</v>
      </c>
      <c r="G471" s="13"/>
      <c r="H471" s="45" t="s">
        <v>16</v>
      </c>
      <c r="I471" s="47"/>
      <c r="J471" s="12" t="s">
        <v>5890</v>
      </c>
      <c r="K471" s="13" t="s">
        <v>7242</v>
      </c>
      <c r="L471" s="99" t="str">
        <f t="shared" si="29"/>
        <v>W3218.7</v>
      </c>
      <c r="M471" s="13" t="s">
        <v>17</v>
      </c>
      <c r="N471" s="13"/>
      <c r="O471" s="13"/>
      <c r="P471" s="47"/>
      <c r="Q471" s="45" t="s">
        <v>3672</v>
      </c>
      <c r="R471" s="45" t="s">
        <v>5552</v>
      </c>
      <c r="S471" s="48"/>
      <c r="T471" s="49" t="str">
        <f t="shared" si="28"/>
        <v>[W3218.7]</v>
      </c>
      <c r="U471" s="12" t="str">
        <f t="shared" si="31"/>
        <v xml:space="preserve"> 도어프레임 서보조립 건#2축(SD230) RLS가 감지되었습니다.</v>
      </c>
      <c r="V471" s="49" t="str">
        <f t="shared" si="30"/>
        <v>[W3218.7] 도어프레임 서보조립 건#2축(SD230) RLS가 감지되었습니다.</v>
      </c>
    </row>
    <row r="472" spans="1:22" s="49" customFormat="1" ht="14.15" customHeight="1">
      <c r="A472" s="43" t="s">
        <v>6687</v>
      </c>
      <c r="B472" s="44" t="s">
        <v>6635</v>
      </c>
      <c r="C472" s="50"/>
      <c r="D472" s="10" t="s">
        <v>29</v>
      </c>
      <c r="E472" s="11"/>
      <c r="F472" s="11" t="s">
        <v>18</v>
      </c>
      <c r="G472" s="13"/>
      <c r="H472" s="45" t="s">
        <v>16</v>
      </c>
      <c r="I472" s="47"/>
      <c r="J472" s="12" t="s">
        <v>5891</v>
      </c>
      <c r="K472" s="13" t="s">
        <v>7243</v>
      </c>
      <c r="L472" s="99" t="str">
        <f t="shared" si="29"/>
        <v>W3218.8</v>
      </c>
      <c r="M472" s="13" t="s">
        <v>17</v>
      </c>
      <c r="N472" s="13"/>
      <c r="O472" s="13"/>
      <c r="P472" s="47"/>
      <c r="Q472" s="45" t="s">
        <v>3672</v>
      </c>
      <c r="R472" s="45" t="s">
        <v>5552</v>
      </c>
      <c r="S472" s="48"/>
      <c r="T472" s="49" t="str">
        <f t="shared" si="28"/>
        <v>[W3218.8]</v>
      </c>
      <c r="U472" s="12" t="str">
        <f t="shared" si="31"/>
        <v xml:space="preserve"> 도어프레임 서보조립 건#2축(SD230) Stop 명령이 On된 상태에서 기동을 시도했습니다.</v>
      </c>
      <c r="V472" s="49" t="str">
        <f t="shared" si="30"/>
        <v>[W3218.8] 도어프레임 서보조립 건#2축(SD230) Stop 명령이 On된 상태에서 기동을 시도했습니다.</v>
      </c>
    </row>
    <row r="473" spans="1:22" s="49" customFormat="1" ht="14.15" customHeight="1">
      <c r="A473" s="43" t="s">
        <v>6687</v>
      </c>
      <c r="B473" s="44" t="s">
        <v>6635</v>
      </c>
      <c r="C473" s="50"/>
      <c r="D473" s="10" t="s">
        <v>29</v>
      </c>
      <c r="E473" s="11"/>
      <c r="F473" s="11" t="s">
        <v>18</v>
      </c>
      <c r="G473" s="13"/>
      <c r="H473" s="45" t="s">
        <v>16</v>
      </c>
      <c r="I473" s="47"/>
      <c r="J473" s="12" t="s">
        <v>5892</v>
      </c>
      <c r="K473" s="13" t="s">
        <v>7244</v>
      </c>
      <c r="L473" s="99" t="str">
        <f t="shared" si="29"/>
        <v>W3218.9</v>
      </c>
      <c r="M473" s="13" t="s">
        <v>17</v>
      </c>
      <c r="N473" s="13"/>
      <c r="O473" s="13"/>
      <c r="P473" s="47"/>
      <c r="Q473" s="45" t="s">
        <v>3672</v>
      </c>
      <c r="R473" s="45" t="s">
        <v>5552</v>
      </c>
      <c r="S473" s="48"/>
      <c r="T473" s="49" t="str">
        <f t="shared" si="28"/>
        <v>[W3218.9]</v>
      </c>
      <c r="U473" s="12" t="str">
        <f t="shared" si="31"/>
        <v xml:space="preserve"> 도어프레임 서보조립 건#2축(SD230) 가동 전원이 Off 되었습니다.</v>
      </c>
      <c r="V473" s="49" t="str">
        <f t="shared" si="30"/>
        <v>[W3218.9] 도어프레임 서보조립 건#2축(SD230) 가동 전원이 Off 되었습니다.</v>
      </c>
    </row>
    <row r="474" spans="1:22" s="49" customFormat="1" ht="14.15" customHeight="1">
      <c r="A474" s="43" t="s">
        <v>6687</v>
      </c>
      <c r="B474" s="44" t="s">
        <v>6635</v>
      </c>
      <c r="C474" s="50"/>
      <c r="D474" s="10" t="s">
        <v>29</v>
      </c>
      <c r="E474" s="11"/>
      <c r="F474" s="11" t="s">
        <v>18</v>
      </c>
      <c r="G474" s="13"/>
      <c r="H474" s="45" t="s">
        <v>16</v>
      </c>
      <c r="I474" s="47"/>
      <c r="J474" s="12" t="s">
        <v>5893</v>
      </c>
      <c r="K474" s="13" t="s">
        <v>7245</v>
      </c>
      <c r="L474" s="99" t="str">
        <f t="shared" si="29"/>
        <v>W3218.A</v>
      </c>
      <c r="M474" s="13" t="s">
        <v>17</v>
      </c>
      <c r="N474" s="13"/>
      <c r="O474" s="13"/>
      <c r="P474" s="47"/>
      <c r="Q474" s="45" t="s">
        <v>3672</v>
      </c>
      <c r="R474" s="45" t="s">
        <v>5552</v>
      </c>
      <c r="S474" s="48"/>
      <c r="T474" s="49" t="str">
        <f t="shared" si="28"/>
        <v>[W3218.A]</v>
      </c>
      <c r="U474" s="12" t="str">
        <f t="shared" si="31"/>
        <v xml:space="preserve"> 도어프레임 서보조립 건#2축(SD230) 엔코더 이상이 검출되었습니다.</v>
      </c>
      <c r="V474" s="49" t="str">
        <f t="shared" si="30"/>
        <v>[W3218.A] 도어프레임 서보조립 건#2축(SD230) 엔코더 이상이 검출되었습니다.</v>
      </c>
    </row>
    <row r="475" spans="1:22" s="49" customFormat="1" ht="14.15" customHeight="1">
      <c r="A475" s="43" t="s">
        <v>6687</v>
      </c>
      <c r="B475" s="44" t="s">
        <v>6635</v>
      </c>
      <c r="C475" s="50"/>
      <c r="D475" s="10" t="s">
        <v>29</v>
      </c>
      <c r="E475" s="11"/>
      <c r="F475" s="11" t="s">
        <v>18</v>
      </c>
      <c r="G475" s="13"/>
      <c r="H475" s="45" t="s">
        <v>16</v>
      </c>
      <c r="I475" s="46"/>
      <c r="J475" s="12" t="s">
        <v>5894</v>
      </c>
      <c r="K475" s="13" t="s">
        <v>7246</v>
      </c>
      <c r="L475" s="99" t="str">
        <f t="shared" si="29"/>
        <v>W3218.B</v>
      </c>
      <c r="M475" s="13" t="s">
        <v>17</v>
      </c>
      <c r="N475" s="13"/>
      <c r="O475" s="13"/>
      <c r="P475" s="47"/>
      <c r="Q475" s="45" t="s">
        <v>3672</v>
      </c>
      <c r="R475" s="45" t="s">
        <v>5552</v>
      </c>
      <c r="S475" s="48"/>
      <c r="T475" s="49" t="str">
        <f t="shared" si="28"/>
        <v>[W3218.B]</v>
      </c>
      <c r="U475" s="12" t="str">
        <f t="shared" si="31"/>
        <v xml:space="preserve"> 도어프레임 서보조립 건#2축(SD230) 과전류가 검출되었습니다.</v>
      </c>
      <c r="V475" s="49" t="str">
        <f t="shared" si="30"/>
        <v>[W3218.B] 도어프레임 서보조립 건#2축(SD230) 과전류가 검출되었습니다.</v>
      </c>
    </row>
    <row r="476" spans="1:22" s="49" customFormat="1" ht="14.15" customHeight="1">
      <c r="A476" s="43" t="s">
        <v>6687</v>
      </c>
      <c r="B476" s="44" t="s">
        <v>6635</v>
      </c>
      <c r="C476" s="50"/>
      <c r="D476" s="10" t="s">
        <v>29</v>
      </c>
      <c r="E476" s="11"/>
      <c r="F476" s="11" t="s">
        <v>18</v>
      </c>
      <c r="G476" s="13"/>
      <c r="H476" s="45" t="s">
        <v>16</v>
      </c>
      <c r="I476" s="46"/>
      <c r="J476" s="12" t="s">
        <v>5895</v>
      </c>
      <c r="K476" s="13" t="s">
        <v>7247</v>
      </c>
      <c r="L476" s="99" t="str">
        <f t="shared" si="29"/>
        <v>W3218.C</v>
      </c>
      <c r="M476" s="13" t="s">
        <v>17</v>
      </c>
      <c r="N476" s="13"/>
      <c r="O476" s="13"/>
      <c r="P476" s="47"/>
      <c r="Q476" s="45" t="s">
        <v>3672</v>
      </c>
      <c r="R476" s="45" t="s">
        <v>5552</v>
      </c>
      <c r="S476" s="48"/>
      <c r="T476" s="49" t="str">
        <f t="shared" si="28"/>
        <v>[W3218.C]</v>
      </c>
      <c r="U476" s="12" t="str">
        <f t="shared" si="31"/>
        <v xml:space="preserve"> 도어프레임 서보조립 건#2축(SD230) 과부하가 검출되었습니다.</v>
      </c>
      <c r="V476" s="49" t="str">
        <f t="shared" si="30"/>
        <v>[W3218.C] 도어프레임 서보조립 건#2축(SD230) 과부하가 검출되었습니다.</v>
      </c>
    </row>
    <row r="477" spans="1:22" s="49" customFormat="1" ht="14.15" customHeight="1">
      <c r="A477" s="43" t="s">
        <v>6687</v>
      </c>
      <c r="B477" s="44" t="s">
        <v>6635</v>
      </c>
      <c r="C477" s="50"/>
      <c r="D477" s="10" t="s">
        <v>29</v>
      </c>
      <c r="E477" s="11"/>
      <c r="F477" s="11" t="s">
        <v>18</v>
      </c>
      <c r="G477" s="13"/>
      <c r="H477" s="45" t="s">
        <v>16</v>
      </c>
      <c r="I477" s="46"/>
      <c r="J477" s="12" t="s">
        <v>5896</v>
      </c>
      <c r="K477" s="13" t="s">
        <v>7248</v>
      </c>
      <c r="L477" s="99" t="str">
        <f t="shared" si="29"/>
        <v>W3218.D</v>
      </c>
      <c r="M477" s="13" t="s">
        <v>17</v>
      </c>
      <c r="N477" s="13"/>
      <c r="O477" s="13"/>
      <c r="P477" s="47"/>
      <c r="Q477" s="45" t="s">
        <v>3672</v>
      </c>
      <c r="R477" s="45" t="s">
        <v>5552</v>
      </c>
      <c r="S477" s="48"/>
      <c r="T477" s="49" t="str">
        <f t="shared" si="28"/>
        <v>[W3218.D]</v>
      </c>
      <c r="U477" s="12" t="str">
        <f t="shared" si="31"/>
        <v xml:space="preserve"> 도어프레임 서보조립 건#2축(SD230)  </v>
      </c>
      <c r="V477" s="49" t="str">
        <f t="shared" si="30"/>
        <v xml:space="preserve">[W3218.D] 도어프레임 서보조립 건#2축(SD230)  </v>
      </c>
    </row>
    <row r="478" spans="1:22" s="49" customFormat="1" ht="14.15" customHeight="1">
      <c r="A478" s="43" t="s">
        <v>6687</v>
      </c>
      <c r="B478" s="44" t="s">
        <v>6635</v>
      </c>
      <c r="C478" s="50"/>
      <c r="D478" s="10" t="s">
        <v>29</v>
      </c>
      <c r="E478" s="11"/>
      <c r="F478" s="11" t="s">
        <v>18</v>
      </c>
      <c r="G478" s="13"/>
      <c r="H478" s="45" t="s">
        <v>16</v>
      </c>
      <c r="I478" s="46"/>
      <c r="J478" s="12" t="s">
        <v>5897</v>
      </c>
      <c r="K478" s="13" t="s">
        <v>7249</v>
      </c>
      <c r="L478" s="99" t="str">
        <f t="shared" si="29"/>
        <v>W3218.E</v>
      </c>
      <c r="M478" s="13" t="s">
        <v>17</v>
      </c>
      <c r="N478" s="13"/>
      <c r="O478" s="13"/>
      <c r="P478" s="47"/>
      <c r="Q478" s="45" t="s">
        <v>3672</v>
      </c>
      <c r="R478" s="45" t="s">
        <v>5552</v>
      </c>
      <c r="S478" s="48"/>
      <c r="T478" s="49" t="str">
        <f t="shared" si="28"/>
        <v>[W3218.E]</v>
      </c>
      <c r="U478" s="12" t="str">
        <f t="shared" si="31"/>
        <v xml:space="preserve"> 도어프레임 서보조립 건#2축(SD230) 에러가 발생했습니다.</v>
      </c>
      <c r="V478" s="49" t="str">
        <f t="shared" si="30"/>
        <v>[W3218.E] 도어프레임 서보조립 건#2축(SD230) 에러가 발생했습니다.</v>
      </c>
    </row>
    <row r="479" spans="1:22" s="49" customFormat="1" ht="14.15" customHeight="1">
      <c r="A479" s="43" t="s">
        <v>6687</v>
      </c>
      <c r="B479" s="44" t="s">
        <v>6635</v>
      </c>
      <c r="C479" s="50"/>
      <c r="D479" s="10" t="s">
        <v>29</v>
      </c>
      <c r="E479" s="11"/>
      <c r="F479" s="11" t="s">
        <v>18</v>
      </c>
      <c r="G479" s="13"/>
      <c r="H479" s="45" t="s">
        <v>16</v>
      </c>
      <c r="I479" s="46"/>
      <c r="J479" s="12" t="s">
        <v>5898</v>
      </c>
      <c r="K479" s="13" t="s">
        <v>7250</v>
      </c>
      <c r="L479" s="99" t="str">
        <f t="shared" si="29"/>
        <v>W3218.F</v>
      </c>
      <c r="M479" s="13" t="s">
        <v>17</v>
      </c>
      <c r="N479" s="13"/>
      <c r="O479" s="13"/>
      <c r="P479" s="47"/>
      <c r="Q479" s="45" t="s">
        <v>3672</v>
      </c>
      <c r="R479" s="45" t="s">
        <v>5552</v>
      </c>
      <c r="S479" s="48"/>
      <c r="T479" s="49" t="str">
        <f t="shared" si="28"/>
        <v>[W3218.F]</v>
      </c>
      <c r="U479" s="12" t="str">
        <f t="shared" si="31"/>
        <v xml:space="preserve"> 도어프레임 서보조립 건#3축(SD231) 운전중에 Ready가 Off 되었습니다.</v>
      </c>
      <c r="V479" s="49" t="str">
        <f t="shared" si="30"/>
        <v>[W3218.F] 도어프레임 서보조립 건#3축(SD231) 운전중에 Ready가 Off 되었습니다.</v>
      </c>
    </row>
    <row r="480" spans="1:22" s="49" customFormat="1" ht="14.15" customHeight="1">
      <c r="A480" s="43" t="s">
        <v>6687</v>
      </c>
      <c r="B480" s="44" t="s">
        <v>6635</v>
      </c>
      <c r="C480" s="50"/>
      <c r="D480" s="10" t="s">
        <v>29</v>
      </c>
      <c r="E480" s="11"/>
      <c r="F480" s="11" t="s">
        <v>18</v>
      </c>
      <c r="G480" s="13"/>
      <c r="H480" s="45" t="s">
        <v>16</v>
      </c>
      <c r="I480" s="47"/>
      <c r="J480" s="12" t="s">
        <v>5899</v>
      </c>
      <c r="K480" s="13" t="s">
        <v>7251</v>
      </c>
      <c r="L480" s="99" t="str">
        <f t="shared" si="29"/>
        <v>W3219.0</v>
      </c>
      <c r="M480" s="13" t="s">
        <v>17</v>
      </c>
      <c r="N480" s="13"/>
      <c r="O480" s="13"/>
      <c r="P480" s="47"/>
      <c r="Q480" s="45" t="s">
        <v>3672</v>
      </c>
      <c r="R480" s="45" t="s">
        <v>5552</v>
      </c>
      <c r="S480" s="48"/>
      <c r="T480" s="49" t="str">
        <f t="shared" si="28"/>
        <v>[W3219.0]</v>
      </c>
      <c r="U480" s="12" t="str">
        <f t="shared" si="31"/>
        <v xml:space="preserve"> 도어프레임 서보조립 건#3축(SD231) FLS가 감지되었습니다.</v>
      </c>
      <c r="V480" s="49" t="str">
        <f t="shared" si="30"/>
        <v>[W3219.0] 도어프레임 서보조립 건#3축(SD231) FLS가 감지되었습니다.</v>
      </c>
    </row>
    <row r="481" spans="1:22" s="49" customFormat="1" ht="14.15" customHeight="1">
      <c r="A481" s="43" t="s">
        <v>6687</v>
      </c>
      <c r="B481" s="44" t="s">
        <v>6635</v>
      </c>
      <c r="C481" s="50"/>
      <c r="D481" s="10" t="s">
        <v>29</v>
      </c>
      <c r="E481" s="11"/>
      <c r="F481" s="11" t="s">
        <v>18</v>
      </c>
      <c r="G481" s="13"/>
      <c r="H481" s="45" t="s">
        <v>16</v>
      </c>
      <c r="I481" s="47"/>
      <c r="J481" s="12" t="s">
        <v>5900</v>
      </c>
      <c r="K481" s="13" t="s">
        <v>7252</v>
      </c>
      <c r="L481" s="99" t="str">
        <f t="shared" si="29"/>
        <v>W3219.1</v>
      </c>
      <c r="M481" s="13" t="s">
        <v>17</v>
      </c>
      <c r="N481" s="13"/>
      <c r="O481" s="13"/>
      <c r="P481" s="47"/>
      <c r="Q481" s="45" t="s">
        <v>3672</v>
      </c>
      <c r="R481" s="45" t="s">
        <v>5552</v>
      </c>
      <c r="S481" s="48"/>
      <c r="T481" s="49" t="str">
        <f t="shared" si="28"/>
        <v>[W3219.1]</v>
      </c>
      <c r="U481" s="12" t="str">
        <f t="shared" si="31"/>
        <v xml:space="preserve"> 도어프레임 서보조립 건#3축(SD231) RLS가 감지되었습니다.</v>
      </c>
      <c r="V481" s="49" t="str">
        <f t="shared" si="30"/>
        <v>[W3219.1] 도어프레임 서보조립 건#3축(SD231) RLS가 감지되었습니다.</v>
      </c>
    </row>
    <row r="482" spans="1:22" s="49" customFormat="1" ht="14.15" customHeight="1">
      <c r="A482" s="43" t="s">
        <v>6687</v>
      </c>
      <c r="B482" s="44" t="s">
        <v>6635</v>
      </c>
      <c r="C482" s="50"/>
      <c r="D482" s="10" t="s">
        <v>29</v>
      </c>
      <c r="E482" s="11"/>
      <c r="F482" s="11" t="s">
        <v>18</v>
      </c>
      <c r="G482" s="13"/>
      <c r="H482" s="45" t="s">
        <v>16</v>
      </c>
      <c r="I482" s="47"/>
      <c r="J482" s="12" t="s">
        <v>5901</v>
      </c>
      <c r="K482" s="13" t="s">
        <v>7253</v>
      </c>
      <c r="L482" s="99" t="str">
        <f t="shared" si="29"/>
        <v>W3219.2</v>
      </c>
      <c r="M482" s="13" t="s">
        <v>17</v>
      </c>
      <c r="N482" s="13"/>
      <c r="O482" s="13"/>
      <c r="P482" s="47"/>
      <c r="Q482" s="45" t="s">
        <v>3672</v>
      </c>
      <c r="R482" s="45" t="s">
        <v>5552</v>
      </c>
      <c r="S482" s="48"/>
      <c r="T482" s="49" t="str">
        <f t="shared" si="28"/>
        <v>[W3219.2]</v>
      </c>
      <c r="U482" s="12" t="str">
        <f t="shared" si="31"/>
        <v xml:space="preserve"> 도어프레임 서보조립 건#3축(SD231) Stop 명령이 On된 상태에서 기동을 시도했습니다.</v>
      </c>
      <c r="V482" s="49" t="str">
        <f t="shared" si="30"/>
        <v>[W3219.2] 도어프레임 서보조립 건#3축(SD231) Stop 명령이 On된 상태에서 기동을 시도했습니다.</v>
      </c>
    </row>
    <row r="483" spans="1:22" s="49" customFormat="1" ht="14.15" customHeight="1">
      <c r="A483" s="43" t="s">
        <v>6687</v>
      </c>
      <c r="B483" s="44" t="s">
        <v>6635</v>
      </c>
      <c r="C483" s="50"/>
      <c r="D483" s="10" t="s">
        <v>29</v>
      </c>
      <c r="E483" s="11"/>
      <c r="F483" s="11" t="s">
        <v>18</v>
      </c>
      <c r="G483" s="13"/>
      <c r="H483" s="45" t="s">
        <v>16</v>
      </c>
      <c r="I483" s="47"/>
      <c r="J483" s="12" t="s">
        <v>5902</v>
      </c>
      <c r="K483" s="13" t="s">
        <v>7254</v>
      </c>
      <c r="L483" s="99" t="str">
        <f t="shared" si="29"/>
        <v>W3219.3</v>
      </c>
      <c r="M483" s="13" t="s">
        <v>17</v>
      </c>
      <c r="N483" s="13"/>
      <c r="O483" s="13"/>
      <c r="P483" s="47"/>
      <c r="Q483" s="45" t="s">
        <v>3672</v>
      </c>
      <c r="R483" s="45" t="s">
        <v>5552</v>
      </c>
      <c r="S483" s="48"/>
      <c r="T483" s="49" t="str">
        <f t="shared" si="28"/>
        <v>[W3219.3]</v>
      </c>
      <c r="U483" s="12" t="str">
        <f t="shared" si="31"/>
        <v xml:space="preserve"> 도어프레임 서보조립 건#3축(SD231) 가동 전원이 Off 되었습니다.</v>
      </c>
      <c r="V483" s="49" t="str">
        <f t="shared" si="30"/>
        <v>[W3219.3] 도어프레임 서보조립 건#3축(SD231) 가동 전원이 Off 되었습니다.</v>
      </c>
    </row>
    <row r="484" spans="1:22" s="49" customFormat="1" ht="14.15" customHeight="1">
      <c r="A484" s="43" t="s">
        <v>6687</v>
      </c>
      <c r="B484" s="44" t="s">
        <v>6635</v>
      </c>
      <c r="C484" s="50"/>
      <c r="D484" s="10" t="s">
        <v>29</v>
      </c>
      <c r="E484" s="11"/>
      <c r="F484" s="11" t="s">
        <v>18</v>
      </c>
      <c r="G484" s="13"/>
      <c r="H484" s="45" t="s">
        <v>16</v>
      </c>
      <c r="I484" s="47"/>
      <c r="J484" s="12" t="s">
        <v>5903</v>
      </c>
      <c r="K484" s="13" t="s">
        <v>7255</v>
      </c>
      <c r="L484" s="99" t="str">
        <f t="shared" si="29"/>
        <v>W3219.4</v>
      </c>
      <c r="M484" s="13" t="s">
        <v>17</v>
      </c>
      <c r="N484" s="13"/>
      <c r="O484" s="13"/>
      <c r="P484" s="47"/>
      <c r="Q484" s="45" t="s">
        <v>3672</v>
      </c>
      <c r="R484" s="45" t="s">
        <v>5552</v>
      </c>
      <c r="S484" s="48"/>
      <c r="T484" s="49" t="str">
        <f t="shared" si="28"/>
        <v>[W3219.4]</v>
      </c>
      <c r="U484" s="12" t="str">
        <f t="shared" si="31"/>
        <v xml:space="preserve"> 도어프레임 서보조립 건#3축(SD231) 엔코더 이상이 검출되었습니다.</v>
      </c>
      <c r="V484" s="49" t="str">
        <f t="shared" si="30"/>
        <v>[W3219.4] 도어프레임 서보조립 건#3축(SD231) 엔코더 이상이 검출되었습니다.</v>
      </c>
    </row>
    <row r="485" spans="1:22" s="49" customFormat="1" ht="14.15" customHeight="1">
      <c r="A485" s="43" t="s">
        <v>6687</v>
      </c>
      <c r="B485" s="44" t="s">
        <v>6635</v>
      </c>
      <c r="C485" s="50"/>
      <c r="D485" s="10" t="s">
        <v>29</v>
      </c>
      <c r="E485" s="11"/>
      <c r="F485" s="11" t="s">
        <v>18</v>
      </c>
      <c r="G485" s="13"/>
      <c r="H485" s="45" t="s">
        <v>16</v>
      </c>
      <c r="I485" s="47"/>
      <c r="J485" s="12" t="s">
        <v>5904</v>
      </c>
      <c r="K485" s="13" t="s">
        <v>7256</v>
      </c>
      <c r="L485" s="99" t="str">
        <f t="shared" si="29"/>
        <v>W3219.5</v>
      </c>
      <c r="M485" s="13" t="s">
        <v>17</v>
      </c>
      <c r="N485" s="13"/>
      <c r="O485" s="13"/>
      <c r="P485" s="47"/>
      <c r="Q485" s="45" t="s">
        <v>3672</v>
      </c>
      <c r="R485" s="45" t="s">
        <v>5552</v>
      </c>
      <c r="S485" s="48"/>
      <c r="T485" s="49" t="str">
        <f t="shared" si="28"/>
        <v>[W3219.5]</v>
      </c>
      <c r="U485" s="12" t="str">
        <f t="shared" si="31"/>
        <v xml:space="preserve"> 도어프레임 서보조립 건#3축(SD231) 과전류가 검출되었습니다.</v>
      </c>
      <c r="V485" s="49" t="str">
        <f t="shared" si="30"/>
        <v>[W3219.5] 도어프레임 서보조립 건#3축(SD231) 과전류가 검출되었습니다.</v>
      </c>
    </row>
    <row r="486" spans="1:22" s="49" customFormat="1" ht="14.15" customHeight="1">
      <c r="A486" s="43" t="s">
        <v>6687</v>
      </c>
      <c r="B486" s="44" t="s">
        <v>6635</v>
      </c>
      <c r="C486" s="50"/>
      <c r="D486" s="10" t="s">
        <v>29</v>
      </c>
      <c r="E486" s="11"/>
      <c r="F486" s="11" t="s">
        <v>18</v>
      </c>
      <c r="G486" s="13"/>
      <c r="H486" s="45" t="s">
        <v>16</v>
      </c>
      <c r="I486" s="47"/>
      <c r="J486" s="12" t="s">
        <v>5905</v>
      </c>
      <c r="K486" s="13" t="s">
        <v>7257</v>
      </c>
      <c r="L486" s="99" t="str">
        <f t="shared" si="29"/>
        <v>W3219.6</v>
      </c>
      <c r="M486" s="13" t="s">
        <v>17</v>
      </c>
      <c r="N486" s="13"/>
      <c r="O486" s="13"/>
      <c r="P486" s="47"/>
      <c r="Q486" s="45" t="s">
        <v>3672</v>
      </c>
      <c r="R486" s="45" t="s">
        <v>5552</v>
      </c>
      <c r="S486" s="48"/>
      <c r="T486" s="49" t="str">
        <f t="shared" si="28"/>
        <v>[W3219.6]</v>
      </c>
      <c r="U486" s="12" t="str">
        <f t="shared" si="31"/>
        <v xml:space="preserve"> 도어프레임 서보조립 건#3축(SD231) 과부하가 검출되었습니다.</v>
      </c>
      <c r="V486" s="49" t="str">
        <f t="shared" si="30"/>
        <v>[W3219.6] 도어프레임 서보조립 건#3축(SD231) 과부하가 검출되었습니다.</v>
      </c>
    </row>
    <row r="487" spans="1:22" s="49" customFormat="1" ht="14.15" customHeight="1">
      <c r="A487" s="43" t="s">
        <v>6687</v>
      </c>
      <c r="B487" s="44" t="s">
        <v>6635</v>
      </c>
      <c r="C487" s="50"/>
      <c r="D487" s="10" t="s">
        <v>29</v>
      </c>
      <c r="E487" s="11"/>
      <c r="F487" s="11" t="s">
        <v>18</v>
      </c>
      <c r="G487" s="13"/>
      <c r="H487" s="45" t="s">
        <v>16</v>
      </c>
      <c r="I487" s="47"/>
      <c r="J487" s="12" t="s">
        <v>5906</v>
      </c>
      <c r="K487" s="13" t="s">
        <v>7258</v>
      </c>
      <c r="L487" s="99" t="str">
        <f t="shared" si="29"/>
        <v>W3219.7</v>
      </c>
      <c r="M487" s="13" t="s">
        <v>17</v>
      </c>
      <c r="N487" s="13"/>
      <c r="O487" s="13"/>
      <c r="P487" s="47"/>
      <c r="Q487" s="45" t="s">
        <v>3672</v>
      </c>
      <c r="R487" s="45" t="s">
        <v>5552</v>
      </c>
      <c r="S487" s="48"/>
      <c r="T487" s="49" t="str">
        <f t="shared" si="28"/>
        <v>[W3219.7]</v>
      </c>
      <c r="U487" s="12" t="str">
        <f t="shared" si="31"/>
        <v xml:space="preserve"> 도어프레임 서보조립 건#3축(SD231)  </v>
      </c>
      <c r="V487" s="49" t="str">
        <f t="shared" si="30"/>
        <v xml:space="preserve">[W3219.7] 도어프레임 서보조립 건#3축(SD231)  </v>
      </c>
    </row>
    <row r="488" spans="1:22" s="49" customFormat="1" ht="14.15" customHeight="1">
      <c r="A488" s="43" t="s">
        <v>6687</v>
      </c>
      <c r="B488" s="44" t="s">
        <v>6635</v>
      </c>
      <c r="C488" s="50"/>
      <c r="D488" s="10" t="s">
        <v>29</v>
      </c>
      <c r="E488" s="11"/>
      <c r="F488" s="11" t="s">
        <v>18</v>
      </c>
      <c r="G488" s="13"/>
      <c r="H488" s="45" t="s">
        <v>16</v>
      </c>
      <c r="I488" s="47"/>
      <c r="J488" s="12" t="s">
        <v>5907</v>
      </c>
      <c r="K488" s="13" t="s">
        <v>7259</v>
      </c>
      <c r="L488" s="99" t="str">
        <f t="shared" si="29"/>
        <v>W3219.8</v>
      </c>
      <c r="M488" s="13" t="s">
        <v>17</v>
      </c>
      <c r="N488" s="13"/>
      <c r="O488" s="13"/>
      <c r="P488" s="47"/>
      <c r="Q488" s="45" t="s">
        <v>3672</v>
      </c>
      <c r="R488" s="45" t="s">
        <v>5552</v>
      </c>
      <c r="S488" s="48"/>
      <c r="T488" s="49" t="str">
        <f t="shared" si="28"/>
        <v>[W3219.8]</v>
      </c>
      <c r="U488" s="12" t="str">
        <f t="shared" si="31"/>
        <v xml:space="preserve"> 도어프레임 서보조립 건#3축(SD231) 에러가 발생했습니다.</v>
      </c>
      <c r="V488" s="49" t="str">
        <f t="shared" si="30"/>
        <v>[W3219.8] 도어프레임 서보조립 건#3축(SD231) 에러가 발생했습니다.</v>
      </c>
    </row>
    <row r="489" spans="1:22" s="49" customFormat="1" ht="14.15" customHeight="1">
      <c r="A489" s="43" t="s">
        <v>6687</v>
      </c>
      <c r="B489" s="44" t="s">
        <v>6635</v>
      </c>
      <c r="C489" s="50"/>
      <c r="D489" s="10" t="s">
        <v>29</v>
      </c>
      <c r="E489" s="11"/>
      <c r="F489" s="11" t="s">
        <v>18</v>
      </c>
      <c r="G489" s="13"/>
      <c r="H489" s="45" t="s">
        <v>16</v>
      </c>
      <c r="I489" s="47"/>
      <c r="J489" s="12" t="s">
        <v>5908</v>
      </c>
      <c r="K489" s="13" t="s">
        <v>7260</v>
      </c>
      <c r="L489" s="99" t="str">
        <f t="shared" si="29"/>
        <v>W3219.9</v>
      </c>
      <c r="M489" s="13" t="s">
        <v>17</v>
      </c>
      <c r="N489" s="13"/>
      <c r="O489" s="13"/>
      <c r="P489" s="47"/>
      <c r="Q489" s="45" t="s">
        <v>3672</v>
      </c>
      <c r="R489" s="45" t="s">
        <v>5552</v>
      </c>
      <c r="S489" s="48"/>
      <c r="T489" s="49" t="str">
        <f t="shared" si="28"/>
        <v>[W3219.9]</v>
      </c>
      <c r="U489" s="12" t="str">
        <f t="shared" si="31"/>
        <v xml:space="preserve"> 도어프레임 서보조립 건#4축(SD232) 운전중에 Ready가 Off 되었습니다.</v>
      </c>
      <c r="V489" s="49" t="str">
        <f t="shared" si="30"/>
        <v>[W3219.9] 도어프레임 서보조립 건#4축(SD232) 운전중에 Ready가 Off 되었습니다.</v>
      </c>
    </row>
    <row r="490" spans="1:22" s="49" customFormat="1" ht="14.15" customHeight="1">
      <c r="A490" s="43" t="s">
        <v>6687</v>
      </c>
      <c r="B490" s="44" t="s">
        <v>6635</v>
      </c>
      <c r="C490" s="50"/>
      <c r="D490" s="10" t="s">
        <v>29</v>
      </c>
      <c r="E490" s="11"/>
      <c r="F490" s="11" t="s">
        <v>18</v>
      </c>
      <c r="G490" s="13"/>
      <c r="H490" s="45" t="s">
        <v>16</v>
      </c>
      <c r="I490" s="47"/>
      <c r="J490" s="12" t="s">
        <v>5909</v>
      </c>
      <c r="K490" s="13" t="s">
        <v>7261</v>
      </c>
      <c r="L490" s="99" t="str">
        <f t="shared" si="29"/>
        <v>W3219.A</v>
      </c>
      <c r="M490" s="13" t="s">
        <v>17</v>
      </c>
      <c r="N490" s="13"/>
      <c r="O490" s="13"/>
      <c r="P490" s="47"/>
      <c r="Q490" s="45" t="s">
        <v>3672</v>
      </c>
      <c r="R490" s="45" t="s">
        <v>5552</v>
      </c>
      <c r="S490" s="48"/>
      <c r="T490" s="49" t="str">
        <f t="shared" si="28"/>
        <v>[W3219.A]</v>
      </c>
      <c r="U490" s="12" t="str">
        <f t="shared" si="31"/>
        <v xml:space="preserve"> 도어프레임 서보조립 건#4축(SD232) FLS가 감지되었습니다.</v>
      </c>
      <c r="V490" s="49" t="str">
        <f t="shared" si="30"/>
        <v>[W3219.A] 도어프레임 서보조립 건#4축(SD232) FLS가 감지되었습니다.</v>
      </c>
    </row>
    <row r="491" spans="1:22" s="49" customFormat="1" ht="14.15" customHeight="1">
      <c r="A491" s="43" t="s">
        <v>6687</v>
      </c>
      <c r="B491" s="44" t="s">
        <v>6635</v>
      </c>
      <c r="C491" s="50"/>
      <c r="D491" s="10" t="s">
        <v>29</v>
      </c>
      <c r="E491" s="11"/>
      <c r="F491" s="11" t="s">
        <v>18</v>
      </c>
      <c r="G491" s="13"/>
      <c r="H491" s="45" t="s">
        <v>16</v>
      </c>
      <c r="I491" s="47"/>
      <c r="J491" s="12" t="s">
        <v>5910</v>
      </c>
      <c r="K491" s="13" t="s">
        <v>7262</v>
      </c>
      <c r="L491" s="99" t="str">
        <f t="shared" si="29"/>
        <v>W3219.B</v>
      </c>
      <c r="M491" s="13" t="s">
        <v>17</v>
      </c>
      <c r="N491" s="13"/>
      <c r="O491" s="13"/>
      <c r="P491" s="47"/>
      <c r="Q491" s="45" t="s">
        <v>3672</v>
      </c>
      <c r="R491" s="45" t="s">
        <v>5552</v>
      </c>
      <c r="S491" s="48"/>
      <c r="T491" s="49" t="str">
        <f t="shared" si="28"/>
        <v>[W3219.B]</v>
      </c>
      <c r="U491" s="12" t="str">
        <f t="shared" si="31"/>
        <v xml:space="preserve"> 도어프레임 서보조립 건#4축(SD232) RLS가 감지되었습니다.</v>
      </c>
      <c r="V491" s="49" t="str">
        <f t="shared" si="30"/>
        <v>[W3219.B] 도어프레임 서보조립 건#4축(SD232) RLS가 감지되었습니다.</v>
      </c>
    </row>
    <row r="492" spans="1:22" s="49" customFormat="1" ht="14.15" customHeight="1">
      <c r="A492" s="43" t="s">
        <v>6687</v>
      </c>
      <c r="B492" s="44" t="s">
        <v>6635</v>
      </c>
      <c r="C492" s="50"/>
      <c r="D492" s="10" t="s">
        <v>29</v>
      </c>
      <c r="E492" s="11"/>
      <c r="F492" s="11" t="s">
        <v>18</v>
      </c>
      <c r="G492" s="13"/>
      <c r="H492" s="45" t="s">
        <v>16</v>
      </c>
      <c r="I492" s="47"/>
      <c r="J492" s="12" t="s">
        <v>5911</v>
      </c>
      <c r="K492" s="13" t="s">
        <v>7263</v>
      </c>
      <c r="L492" s="99" t="str">
        <f t="shared" si="29"/>
        <v>W3219.C</v>
      </c>
      <c r="M492" s="13" t="s">
        <v>17</v>
      </c>
      <c r="N492" s="13"/>
      <c r="O492" s="13"/>
      <c r="P492" s="47"/>
      <c r="Q492" s="45" t="s">
        <v>3672</v>
      </c>
      <c r="R492" s="45" t="s">
        <v>5552</v>
      </c>
      <c r="S492" s="48"/>
      <c r="T492" s="49" t="str">
        <f t="shared" si="28"/>
        <v>[W3219.C]</v>
      </c>
      <c r="U492" s="12" t="str">
        <f t="shared" si="31"/>
        <v xml:space="preserve"> 도어프레임 서보조립 건#4축(SD232) Stop 명령이 On된 상태에서 기동을 시도했습니다.</v>
      </c>
      <c r="V492" s="49" t="str">
        <f t="shared" si="30"/>
        <v>[W3219.C] 도어프레임 서보조립 건#4축(SD232) Stop 명령이 On된 상태에서 기동을 시도했습니다.</v>
      </c>
    </row>
    <row r="493" spans="1:22" s="49" customFormat="1" ht="14.15" customHeight="1">
      <c r="A493" s="43" t="s">
        <v>6687</v>
      </c>
      <c r="B493" s="44" t="s">
        <v>6635</v>
      </c>
      <c r="C493" s="50"/>
      <c r="D493" s="10" t="s">
        <v>29</v>
      </c>
      <c r="E493" s="11"/>
      <c r="F493" s="11" t="s">
        <v>18</v>
      </c>
      <c r="G493" s="13"/>
      <c r="H493" s="45" t="s">
        <v>16</v>
      </c>
      <c r="I493" s="47"/>
      <c r="J493" s="12" t="s">
        <v>5912</v>
      </c>
      <c r="K493" s="13" t="s">
        <v>7264</v>
      </c>
      <c r="L493" s="99" t="str">
        <f t="shared" si="29"/>
        <v>W3219.D</v>
      </c>
      <c r="M493" s="13" t="s">
        <v>17</v>
      </c>
      <c r="N493" s="13"/>
      <c r="O493" s="13"/>
      <c r="P493" s="47"/>
      <c r="Q493" s="45" t="s">
        <v>3672</v>
      </c>
      <c r="R493" s="45" t="s">
        <v>5552</v>
      </c>
      <c r="S493" s="48"/>
      <c r="T493" s="49" t="str">
        <f t="shared" si="28"/>
        <v>[W3219.D]</v>
      </c>
      <c r="U493" s="12" t="str">
        <f t="shared" si="31"/>
        <v xml:space="preserve"> 도어프레임 서보조립 건#4축(SD232) 가동 전원이 Off 되었습니다.</v>
      </c>
      <c r="V493" s="49" t="str">
        <f t="shared" si="30"/>
        <v>[W3219.D] 도어프레임 서보조립 건#4축(SD232) 가동 전원이 Off 되었습니다.</v>
      </c>
    </row>
    <row r="494" spans="1:22" s="49" customFormat="1" ht="14.15" customHeight="1">
      <c r="A494" s="43" t="s">
        <v>6687</v>
      </c>
      <c r="B494" s="44" t="s">
        <v>6635</v>
      </c>
      <c r="C494" s="50"/>
      <c r="D494" s="10" t="s">
        <v>29</v>
      </c>
      <c r="E494" s="11"/>
      <c r="F494" s="11" t="s">
        <v>18</v>
      </c>
      <c r="G494" s="13"/>
      <c r="H494" s="45" t="s">
        <v>16</v>
      </c>
      <c r="I494" s="47"/>
      <c r="J494" s="12" t="s">
        <v>5913</v>
      </c>
      <c r="K494" s="13" t="s">
        <v>7265</v>
      </c>
      <c r="L494" s="99" t="str">
        <f t="shared" si="29"/>
        <v>W3219.E</v>
      </c>
      <c r="M494" s="13" t="s">
        <v>17</v>
      </c>
      <c r="N494" s="13"/>
      <c r="O494" s="13"/>
      <c r="P494" s="47"/>
      <c r="Q494" s="45" t="s">
        <v>3672</v>
      </c>
      <c r="R494" s="45" t="s">
        <v>5552</v>
      </c>
      <c r="S494" s="48"/>
      <c r="T494" s="49" t="str">
        <f t="shared" si="28"/>
        <v>[W3219.E]</v>
      </c>
      <c r="U494" s="12" t="str">
        <f t="shared" si="31"/>
        <v xml:space="preserve"> 도어프레임 서보조립 건#4축(SD232) 엔코더 이상이 검출되었습니다.</v>
      </c>
      <c r="V494" s="49" t="str">
        <f t="shared" si="30"/>
        <v>[W3219.E] 도어프레임 서보조립 건#4축(SD232) 엔코더 이상이 검출되었습니다.</v>
      </c>
    </row>
    <row r="495" spans="1:22" s="49" customFormat="1" ht="14.15" customHeight="1">
      <c r="A495" s="43" t="s">
        <v>6687</v>
      </c>
      <c r="B495" s="44" t="s">
        <v>6635</v>
      </c>
      <c r="C495" s="50"/>
      <c r="D495" s="10" t="s">
        <v>29</v>
      </c>
      <c r="E495" s="11"/>
      <c r="F495" s="11" t="s">
        <v>18</v>
      </c>
      <c r="G495" s="13"/>
      <c r="H495" s="45" t="s">
        <v>16</v>
      </c>
      <c r="I495" s="47"/>
      <c r="J495" s="12" t="s">
        <v>5914</v>
      </c>
      <c r="K495" s="13" t="s">
        <v>7266</v>
      </c>
      <c r="L495" s="99" t="str">
        <f t="shared" si="29"/>
        <v>W3219.F</v>
      </c>
      <c r="M495" s="13" t="s">
        <v>17</v>
      </c>
      <c r="N495" s="13"/>
      <c r="O495" s="13"/>
      <c r="P495" s="47"/>
      <c r="Q495" s="45" t="s">
        <v>3672</v>
      </c>
      <c r="R495" s="45" t="s">
        <v>5552</v>
      </c>
      <c r="S495" s="48"/>
      <c r="T495" s="49" t="str">
        <f t="shared" si="28"/>
        <v>[W3219.F]</v>
      </c>
      <c r="U495" s="12" t="str">
        <f t="shared" si="31"/>
        <v xml:space="preserve"> 도어프레임 서보조립 건#4축(SD232) 과전류가 검출되었습니다.</v>
      </c>
      <c r="V495" s="49" t="str">
        <f t="shared" si="30"/>
        <v>[W3219.F] 도어프레임 서보조립 건#4축(SD232) 과전류가 검출되었습니다.</v>
      </c>
    </row>
    <row r="496" spans="1:22" s="49" customFormat="1" ht="14.15" customHeight="1">
      <c r="A496" s="43" t="s">
        <v>6687</v>
      </c>
      <c r="B496" s="44" t="s">
        <v>6635</v>
      </c>
      <c r="C496" s="50"/>
      <c r="D496" s="10" t="s">
        <v>29</v>
      </c>
      <c r="E496" s="11"/>
      <c r="F496" s="11" t="s">
        <v>18</v>
      </c>
      <c r="G496" s="13"/>
      <c r="H496" s="45" t="s">
        <v>16</v>
      </c>
      <c r="I496" s="47"/>
      <c r="J496" s="12" t="s">
        <v>5915</v>
      </c>
      <c r="K496" s="13" t="s">
        <v>7267</v>
      </c>
      <c r="L496" s="99" t="str">
        <f t="shared" si="29"/>
        <v>W321A.0</v>
      </c>
      <c r="M496" s="13" t="s">
        <v>17</v>
      </c>
      <c r="N496" s="13"/>
      <c r="O496" s="13"/>
      <c r="P496" s="47"/>
      <c r="Q496" s="45" t="s">
        <v>3672</v>
      </c>
      <c r="R496" s="45" t="s">
        <v>5552</v>
      </c>
      <c r="S496" s="48"/>
      <c r="T496" s="49" t="str">
        <f t="shared" si="28"/>
        <v>[W321A.0]</v>
      </c>
      <c r="U496" s="12" t="str">
        <f t="shared" si="31"/>
        <v xml:space="preserve"> 도어프레임 서보조립 건#4축(SD232) 과부하가 검출되었습니다.</v>
      </c>
      <c r="V496" s="49" t="str">
        <f t="shared" si="30"/>
        <v>[W321A.0] 도어프레임 서보조립 건#4축(SD232) 과부하가 검출되었습니다.</v>
      </c>
    </row>
    <row r="497" spans="1:22" s="49" customFormat="1" ht="14.15" customHeight="1">
      <c r="A497" s="43" t="s">
        <v>6687</v>
      </c>
      <c r="B497" s="44" t="s">
        <v>6635</v>
      </c>
      <c r="C497" s="50"/>
      <c r="D497" s="10" t="s">
        <v>29</v>
      </c>
      <c r="E497" s="11"/>
      <c r="F497" s="11" t="s">
        <v>18</v>
      </c>
      <c r="G497" s="13"/>
      <c r="H497" s="45" t="s">
        <v>16</v>
      </c>
      <c r="I497" s="47"/>
      <c r="J497" s="12" t="s">
        <v>5916</v>
      </c>
      <c r="K497" s="13" t="s">
        <v>7268</v>
      </c>
      <c r="L497" s="99" t="str">
        <f t="shared" si="29"/>
        <v>W321A.1</v>
      </c>
      <c r="M497" s="13" t="s">
        <v>17</v>
      </c>
      <c r="N497" s="13"/>
      <c r="O497" s="13"/>
      <c r="P497" s="47"/>
      <c r="Q497" s="45" t="s">
        <v>3672</v>
      </c>
      <c r="R497" s="45" t="s">
        <v>5552</v>
      </c>
      <c r="S497" s="48"/>
      <c r="T497" s="49" t="str">
        <f t="shared" si="28"/>
        <v>[W321A.1]</v>
      </c>
      <c r="U497" s="12" t="str">
        <f t="shared" si="31"/>
        <v xml:space="preserve"> 도어프레임 서보조립 건#4축(SD232)  </v>
      </c>
      <c r="V497" s="49" t="str">
        <f t="shared" si="30"/>
        <v xml:space="preserve">[W321A.1] 도어프레임 서보조립 건#4축(SD232)  </v>
      </c>
    </row>
    <row r="498" spans="1:22" s="49" customFormat="1" ht="14.15" customHeight="1">
      <c r="A498" s="43" t="s">
        <v>6687</v>
      </c>
      <c r="B498" s="44" t="s">
        <v>6635</v>
      </c>
      <c r="C498" s="50"/>
      <c r="D498" s="10" t="s">
        <v>29</v>
      </c>
      <c r="E498" s="11"/>
      <c r="F498" s="11" t="s">
        <v>18</v>
      </c>
      <c r="G498" s="13"/>
      <c r="H498" s="45" t="s">
        <v>16</v>
      </c>
      <c r="I498" s="47"/>
      <c r="J498" s="12" t="s">
        <v>5917</v>
      </c>
      <c r="K498" s="13" t="s">
        <v>7269</v>
      </c>
      <c r="L498" s="99" t="str">
        <f t="shared" si="29"/>
        <v>W321A.2</v>
      </c>
      <c r="M498" s="13" t="s">
        <v>17</v>
      </c>
      <c r="N498" s="13"/>
      <c r="O498" s="13"/>
      <c r="P498" s="47"/>
      <c r="Q498" s="45" t="s">
        <v>3672</v>
      </c>
      <c r="R498" s="45" t="s">
        <v>5552</v>
      </c>
      <c r="S498" s="48"/>
      <c r="T498" s="49" t="str">
        <f t="shared" si="28"/>
        <v>[W321A.2]</v>
      </c>
      <c r="U498" s="12" t="str">
        <f t="shared" si="31"/>
        <v xml:space="preserve"> 도어프레임 서보조립 건#4축(SD232) 에러가 발생했습니다.</v>
      </c>
      <c r="V498" s="49" t="str">
        <f t="shared" si="30"/>
        <v>[W321A.2] 도어프레임 서보조립 건#4축(SD232) 에러가 발생했습니다.</v>
      </c>
    </row>
    <row r="499" spans="1:22" s="49" customFormat="1" ht="14.15" customHeight="1">
      <c r="A499" s="43" t="s">
        <v>6687</v>
      </c>
      <c r="B499" s="44" t="s">
        <v>6635</v>
      </c>
      <c r="C499" s="50"/>
      <c r="D499" s="10" t="s">
        <v>29</v>
      </c>
      <c r="E499" s="11"/>
      <c r="F499" s="11" t="s">
        <v>18</v>
      </c>
      <c r="G499" s="13"/>
      <c r="H499" s="45" t="s">
        <v>16</v>
      </c>
      <c r="I499" s="47"/>
      <c r="J499" s="12" t="s">
        <v>6750</v>
      </c>
      <c r="K499" s="13" t="s">
        <v>7270</v>
      </c>
      <c r="L499" s="99" t="str">
        <f t="shared" si="29"/>
        <v>W321A.3</v>
      </c>
      <c r="M499" s="13" t="s">
        <v>17</v>
      </c>
      <c r="N499" s="13"/>
      <c r="O499" s="13"/>
      <c r="P499" s="47"/>
      <c r="Q499" s="45" t="s">
        <v>3672</v>
      </c>
      <c r="R499" s="45" t="s">
        <v>5552</v>
      </c>
      <c r="S499" s="48"/>
      <c r="T499" s="49" t="str">
        <f t="shared" si="28"/>
        <v>[W321A.3]</v>
      </c>
      <c r="U499" s="12" t="str">
        <f t="shared" si="31"/>
        <v xml:space="preserve"> 도어프레임 서보조립 건#2 X축(SD233) 운전중에 Ready가 Off 되었습니다.</v>
      </c>
      <c r="V499" s="49" t="str">
        <f t="shared" si="30"/>
        <v>[W321A.3] 도어프레임 서보조립 건#2 X축(SD233) 운전중에 Ready가 Off 되었습니다.</v>
      </c>
    </row>
    <row r="500" spans="1:22" s="49" customFormat="1" ht="14.15" customHeight="1">
      <c r="A500" s="43" t="s">
        <v>6687</v>
      </c>
      <c r="B500" s="44" t="s">
        <v>6635</v>
      </c>
      <c r="C500" s="50"/>
      <c r="D500" s="10" t="s">
        <v>29</v>
      </c>
      <c r="E500" s="11"/>
      <c r="F500" s="11" t="s">
        <v>18</v>
      </c>
      <c r="G500" s="13"/>
      <c r="H500" s="45" t="s">
        <v>16</v>
      </c>
      <c r="I500" s="47"/>
      <c r="J500" s="12" t="s">
        <v>6751</v>
      </c>
      <c r="K500" s="13" t="s">
        <v>7271</v>
      </c>
      <c r="L500" s="99" t="str">
        <f t="shared" si="29"/>
        <v>W321A.4</v>
      </c>
      <c r="M500" s="13" t="s">
        <v>17</v>
      </c>
      <c r="N500" s="13"/>
      <c r="O500" s="13"/>
      <c r="P500" s="47"/>
      <c r="Q500" s="45" t="s">
        <v>3672</v>
      </c>
      <c r="R500" s="45" t="s">
        <v>5552</v>
      </c>
      <c r="S500" s="48"/>
      <c r="T500" s="49" t="str">
        <f t="shared" si="28"/>
        <v>[W321A.4]</v>
      </c>
      <c r="U500" s="12" t="str">
        <f t="shared" si="31"/>
        <v xml:space="preserve"> 도어프레임 서보조립 건#2 X축(SD233) FLS가 감지되었습니다.</v>
      </c>
      <c r="V500" s="49" t="str">
        <f t="shared" si="30"/>
        <v>[W321A.4] 도어프레임 서보조립 건#2 X축(SD233) FLS가 감지되었습니다.</v>
      </c>
    </row>
    <row r="501" spans="1:22" s="49" customFormat="1" ht="14.15" customHeight="1">
      <c r="A501" s="43" t="s">
        <v>6687</v>
      </c>
      <c r="B501" s="44" t="s">
        <v>6635</v>
      </c>
      <c r="C501" s="50"/>
      <c r="D501" s="10" t="s">
        <v>29</v>
      </c>
      <c r="E501" s="11"/>
      <c r="F501" s="11" t="s">
        <v>18</v>
      </c>
      <c r="G501" s="13"/>
      <c r="H501" s="45" t="s">
        <v>16</v>
      </c>
      <c r="I501" s="47"/>
      <c r="J501" s="12" t="s">
        <v>6752</v>
      </c>
      <c r="K501" s="13" t="s">
        <v>7272</v>
      </c>
      <c r="L501" s="99" t="str">
        <f t="shared" si="29"/>
        <v>W321A.5</v>
      </c>
      <c r="M501" s="13" t="s">
        <v>17</v>
      </c>
      <c r="N501" s="13"/>
      <c r="O501" s="13"/>
      <c r="P501" s="47"/>
      <c r="Q501" s="45" t="s">
        <v>3672</v>
      </c>
      <c r="R501" s="45" t="s">
        <v>5552</v>
      </c>
      <c r="S501" s="48"/>
      <c r="T501" s="49" t="str">
        <f t="shared" si="28"/>
        <v>[W321A.5]</v>
      </c>
      <c r="U501" s="12" t="str">
        <f t="shared" si="31"/>
        <v xml:space="preserve"> 도어프레임 서보조립 건#2 X축(SD233) RLS가 감지되었습니다.</v>
      </c>
      <c r="V501" s="49" t="str">
        <f t="shared" si="30"/>
        <v>[W321A.5] 도어프레임 서보조립 건#2 X축(SD233) RLS가 감지되었습니다.</v>
      </c>
    </row>
    <row r="502" spans="1:22" s="49" customFormat="1" ht="14.15" customHeight="1">
      <c r="A502" s="43" t="s">
        <v>6687</v>
      </c>
      <c r="B502" s="44" t="s">
        <v>6635</v>
      </c>
      <c r="C502" s="50"/>
      <c r="D502" s="10" t="s">
        <v>29</v>
      </c>
      <c r="E502" s="11"/>
      <c r="F502" s="11" t="s">
        <v>18</v>
      </c>
      <c r="G502" s="13"/>
      <c r="H502" s="45" t="s">
        <v>16</v>
      </c>
      <c r="I502" s="47"/>
      <c r="J502" s="12" t="s">
        <v>6753</v>
      </c>
      <c r="K502" s="13" t="s">
        <v>7273</v>
      </c>
      <c r="L502" s="99" t="str">
        <f t="shared" si="29"/>
        <v>W321A.6</v>
      </c>
      <c r="M502" s="13" t="s">
        <v>17</v>
      </c>
      <c r="N502" s="13"/>
      <c r="O502" s="13"/>
      <c r="P502" s="47"/>
      <c r="Q502" s="45" t="s">
        <v>3672</v>
      </c>
      <c r="R502" s="45" t="s">
        <v>5552</v>
      </c>
      <c r="S502" s="48"/>
      <c r="T502" s="49" t="str">
        <f t="shared" si="28"/>
        <v>[W321A.6]</v>
      </c>
      <c r="U502" s="12" t="str">
        <f t="shared" si="31"/>
        <v xml:space="preserve"> 도어프레임 서보조립 건#2 X축(SD233) Stop 명령이 On된 상태에서 기동을 시도했습니다.</v>
      </c>
      <c r="V502" s="49" t="str">
        <f t="shared" si="30"/>
        <v>[W321A.6] 도어프레임 서보조립 건#2 X축(SD233) Stop 명령이 On된 상태에서 기동을 시도했습니다.</v>
      </c>
    </row>
    <row r="503" spans="1:22" s="49" customFormat="1" ht="14.15" customHeight="1">
      <c r="A503" s="43" t="s">
        <v>6687</v>
      </c>
      <c r="B503" s="44" t="s">
        <v>6635</v>
      </c>
      <c r="C503" s="50"/>
      <c r="D503" s="10" t="s">
        <v>29</v>
      </c>
      <c r="E503" s="11"/>
      <c r="F503" s="11" t="s">
        <v>18</v>
      </c>
      <c r="G503" s="13"/>
      <c r="H503" s="45" t="s">
        <v>16</v>
      </c>
      <c r="I503" s="47"/>
      <c r="J503" s="12" t="s">
        <v>6754</v>
      </c>
      <c r="K503" s="13" t="s">
        <v>7274</v>
      </c>
      <c r="L503" s="99" t="str">
        <f t="shared" si="29"/>
        <v>W321A.7</v>
      </c>
      <c r="M503" s="13" t="s">
        <v>17</v>
      </c>
      <c r="N503" s="13"/>
      <c r="O503" s="13"/>
      <c r="P503" s="47"/>
      <c r="Q503" s="45" t="s">
        <v>3672</v>
      </c>
      <c r="R503" s="45" t="s">
        <v>5552</v>
      </c>
      <c r="S503" s="48"/>
      <c r="T503" s="49" t="str">
        <f t="shared" si="28"/>
        <v>[W321A.7]</v>
      </c>
      <c r="U503" s="12" t="str">
        <f t="shared" si="31"/>
        <v xml:space="preserve"> 도어프레임 서보조립 건#2 X축(SD233) 가동 전원이 Off 되었습니다.</v>
      </c>
      <c r="V503" s="49" t="str">
        <f t="shared" si="30"/>
        <v>[W321A.7] 도어프레임 서보조립 건#2 X축(SD233) 가동 전원이 Off 되었습니다.</v>
      </c>
    </row>
    <row r="504" spans="1:22" s="49" customFormat="1" ht="14.15" customHeight="1">
      <c r="A504" s="43" t="s">
        <v>6687</v>
      </c>
      <c r="B504" s="44" t="s">
        <v>6635</v>
      </c>
      <c r="C504" s="50"/>
      <c r="D504" s="10" t="s">
        <v>29</v>
      </c>
      <c r="E504" s="11"/>
      <c r="F504" s="11" t="s">
        <v>18</v>
      </c>
      <c r="G504" s="13"/>
      <c r="H504" s="45" t="s">
        <v>16</v>
      </c>
      <c r="I504" s="47"/>
      <c r="J504" s="12" t="s">
        <v>6755</v>
      </c>
      <c r="K504" s="13" t="s">
        <v>7275</v>
      </c>
      <c r="L504" s="99" t="str">
        <f t="shared" si="29"/>
        <v>W321A.8</v>
      </c>
      <c r="M504" s="13" t="s">
        <v>17</v>
      </c>
      <c r="N504" s="13"/>
      <c r="O504" s="13"/>
      <c r="P504" s="47"/>
      <c r="Q504" s="45" t="s">
        <v>3672</v>
      </c>
      <c r="R504" s="45" t="s">
        <v>5552</v>
      </c>
      <c r="S504" s="48"/>
      <c r="T504" s="49" t="str">
        <f t="shared" si="28"/>
        <v>[W321A.8]</v>
      </c>
      <c r="U504" s="12" t="str">
        <f t="shared" si="31"/>
        <v xml:space="preserve"> 도어프레임 서보조립 건#2 X축(SD233) 엔코더 이상이 검출되었습니다.</v>
      </c>
      <c r="V504" s="49" t="str">
        <f t="shared" si="30"/>
        <v>[W321A.8] 도어프레임 서보조립 건#2 X축(SD233) 엔코더 이상이 검출되었습니다.</v>
      </c>
    </row>
    <row r="505" spans="1:22" s="49" customFormat="1" ht="14.15" customHeight="1">
      <c r="A505" s="43" t="s">
        <v>6687</v>
      </c>
      <c r="B505" s="44" t="s">
        <v>6635</v>
      </c>
      <c r="C505" s="50"/>
      <c r="D505" s="10" t="s">
        <v>29</v>
      </c>
      <c r="E505" s="11"/>
      <c r="F505" s="11" t="s">
        <v>18</v>
      </c>
      <c r="G505" s="13"/>
      <c r="H505" s="45" t="s">
        <v>16</v>
      </c>
      <c r="I505" s="47"/>
      <c r="J505" s="12" t="s">
        <v>6756</v>
      </c>
      <c r="K505" s="13" t="s">
        <v>7276</v>
      </c>
      <c r="L505" s="99" t="str">
        <f t="shared" si="29"/>
        <v>W321A.9</v>
      </c>
      <c r="M505" s="13" t="s">
        <v>17</v>
      </c>
      <c r="N505" s="13"/>
      <c r="O505" s="13"/>
      <c r="P505" s="47"/>
      <c r="Q505" s="45" t="s">
        <v>3672</v>
      </c>
      <c r="R505" s="45" t="s">
        <v>5552</v>
      </c>
      <c r="S505" s="48"/>
      <c r="T505" s="49" t="str">
        <f t="shared" si="28"/>
        <v>[W321A.9]</v>
      </c>
      <c r="U505" s="12" t="str">
        <f t="shared" si="31"/>
        <v xml:space="preserve"> 도어프레임 서보조립 건#2 X축(SD233) 과전류가 검출되었습니다.</v>
      </c>
      <c r="V505" s="49" t="str">
        <f t="shared" si="30"/>
        <v>[W321A.9] 도어프레임 서보조립 건#2 X축(SD233) 과전류가 검출되었습니다.</v>
      </c>
    </row>
    <row r="506" spans="1:22" s="49" customFormat="1" ht="14.15" customHeight="1">
      <c r="A506" s="43" t="s">
        <v>6687</v>
      </c>
      <c r="B506" s="44" t="s">
        <v>6635</v>
      </c>
      <c r="C506" s="50"/>
      <c r="D506" s="10" t="s">
        <v>29</v>
      </c>
      <c r="E506" s="11"/>
      <c r="F506" s="11" t="s">
        <v>18</v>
      </c>
      <c r="G506" s="13"/>
      <c r="H506" s="45" t="s">
        <v>16</v>
      </c>
      <c r="I506" s="47"/>
      <c r="J506" s="12" t="s">
        <v>6757</v>
      </c>
      <c r="K506" s="13" t="s">
        <v>7277</v>
      </c>
      <c r="L506" s="99" t="str">
        <f t="shared" si="29"/>
        <v>W321A.A</v>
      </c>
      <c r="M506" s="13" t="s">
        <v>17</v>
      </c>
      <c r="N506" s="13"/>
      <c r="O506" s="13"/>
      <c r="P506" s="47"/>
      <c r="Q506" s="45" t="s">
        <v>3672</v>
      </c>
      <c r="R506" s="45" t="s">
        <v>5552</v>
      </c>
      <c r="S506" s="48"/>
      <c r="T506" s="49" t="str">
        <f t="shared" si="28"/>
        <v>[W321A.A]</v>
      </c>
      <c r="U506" s="12" t="str">
        <f t="shared" si="31"/>
        <v xml:space="preserve"> 도어프레임 서보조립 건#2 X축(SD233) 과부하가 검출되었습니다.</v>
      </c>
      <c r="V506" s="49" t="str">
        <f t="shared" si="30"/>
        <v>[W321A.A] 도어프레임 서보조립 건#2 X축(SD233) 과부하가 검출되었습니다.</v>
      </c>
    </row>
    <row r="507" spans="1:22" s="49" customFormat="1" ht="14.15" customHeight="1">
      <c r="A507" s="43" t="s">
        <v>6687</v>
      </c>
      <c r="B507" s="44" t="s">
        <v>6635</v>
      </c>
      <c r="C507" s="50"/>
      <c r="D507" s="10" t="s">
        <v>29</v>
      </c>
      <c r="E507" s="11"/>
      <c r="F507" s="11" t="s">
        <v>18</v>
      </c>
      <c r="G507" s="13"/>
      <c r="H507" s="45" t="s">
        <v>16</v>
      </c>
      <c r="I507" s="47"/>
      <c r="J507" s="12" t="s">
        <v>6758</v>
      </c>
      <c r="K507" s="13" t="s">
        <v>7278</v>
      </c>
      <c r="L507" s="99" t="str">
        <f t="shared" si="29"/>
        <v>W321A.B</v>
      </c>
      <c r="M507" s="13" t="s">
        <v>17</v>
      </c>
      <c r="N507" s="13"/>
      <c r="O507" s="13"/>
      <c r="P507" s="47"/>
      <c r="Q507" s="45" t="s">
        <v>3672</v>
      </c>
      <c r="R507" s="45" t="s">
        <v>5552</v>
      </c>
      <c r="S507" s="48"/>
      <c r="T507" s="49" t="str">
        <f t="shared" si="28"/>
        <v>[W321A.B]</v>
      </c>
      <c r="U507" s="12" t="str">
        <f t="shared" si="31"/>
        <v xml:space="preserve"> 도어프레임 서보조립 건#2 X축(SD233)  </v>
      </c>
      <c r="V507" s="49" t="str">
        <f t="shared" si="30"/>
        <v xml:space="preserve">[W321A.B] 도어프레임 서보조립 건#2 X축(SD233)  </v>
      </c>
    </row>
    <row r="508" spans="1:22" s="49" customFormat="1" ht="14.15" customHeight="1">
      <c r="A508" s="43" t="s">
        <v>6687</v>
      </c>
      <c r="B508" s="44" t="s">
        <v>6635</v>
      </c>
      <c r="C508" s="50"/>
      <c r="D508" s="10" t="s">
        <v>29</v>
      </c>
      <c r="E508" s="11"/>
      <c r="F508" s="11" t="s">
        <v>18</v>
      </c>
      <c r="G508" s="13"/>
      <c r="H508" s="45" t="s">
        <v>16</v>
      </c>
      <c r="I508" s="47"/>
      <c r="J508" s="12" t="s">
        <v>6759</v>
      </c>
      <c r="K508" s="13" t="s">
        <v>7279</v>
      </c>
      <c r="L508" s="99" t="str">
        <f t="shared" si="29"/>
        <v>W321A.C</v>
      </c>
      <c r="M508" s="13" t="s">
        <v>17</v>
      </c>
      <c r="N508" s="13"/>
      <c r="O508" s="13"/>
      <c r="P508" s="47"/>
      <c r="Q508" s="45" t="s">
        <v>3672</v>
      </c>
      <c r="R508" s="45" t="s">
        <v>5552</v>
      </c>
      <c r="S508" s="48"/>
      <c r="T508" s="49" t="str">
        <f t="shared" si="28"/>
        <v>[W321A.C]</v>
      </c>
      <c r="U508" s="12" t="str">
        <f t="shared" si="31"/>
        <v xml:space="preserve"> 도어프레임 서보조립 건#2 X축(SD233) 에러가 발생했습니다.</v>
      </c>
      <c r="V508" s="49" t="str">
        <f t="shared" si="30"/>
        <v>[W321A.C] 도어프레임 서보조립 건#2 X축(SD233) 에러가 발생했습니다.</v>
      </c>
    </row>
    <row r="509" spans="1:22" s="49" customFormat="1" ht="14.15" customHeight="1">
      <c r="A509" s="43" t="s">
        <v>6687</v>
      </c>
      <c r="B509" s="44" t="s">
        <v>6635</v>
      </c>
      <c r="C509" s="50"/>
      <c r="D509" s="10" t="s">
        <v>29</v>
      </c>
      <c r="E509" s="11"/>
      <c r="F509" s="11" t="s">
        <v>18</v>
      </c>
      <c r="G509" s="13"/>
      <c r="H509" s="45" t="s">
        <v>16</v>
      </c>
      <c r="I509" s="47"/>
      <c r="J509" s="12" t="s">
        <v>6760</v>
      </c>
      <c r="K509" s="13" t="s">
        <v>7280</v>
      </c>
      <c r="L509" s="99" t="str">
        <f t="shared" si="29"/>
        <v>W321A.D</v>
      </c>
      <c r="M509" s="13" t="s">
        <v>17</v>
      </c>
      <c r="N509" s="13"/>
      <c r="O509" s="13"/>
      <c r="P509" s="47"/>
      <c r="Q509" s="45" t="s">
        <v>3672</v>
      </c>
      <c r="R509" s="45" t="s">
        <v>5552</v>
      </c>
      <c r="S509" s="48"/>
      <c r="T509" s="49" t="str">
        <f t="shared" si="28"/>
        <v>[W321A.D]</v>
      </c>
      <c r="U509" s="12" t="str">
        <f t="shared" si="31"/>
        <v xml:space="preserve"> 도어프레임 서보조립 건#2 Z축(SD234) 운전중에 Ready가 Off 되었습니다.</v>
      </c>
      <c r="V509" s="49" t="str">
        <f t="shared" si="30"/>
        <v>[W321A.D] 도어프레임 서보조립 건#2 Z축(SD234) 운전중에 Ready가 Off 되었습니다.</v>
      </c>
    </row>
    <row r="510" spans="1:22" s="49" customFormat="1" ht="14.15" customHeight="1">
      <c r="A510" s="43" t="s">
        <v>6687</v>
      </c>
      <c r="B510" s="44" t="s">
        <v>6635</v>
      </c>
      <c r="C510" s="50"/>
      <c r="D510" s="10" t="s">
        <v>29</v>
      </c>
      <c r="E510" s="11"/>
      <c r="F510" s="11" t="s">
        <v>18</v>
      </c>
      <c r="G510" s="13"/>
      <c r="H510" s="45" t="s">
        <v>16</v>
      </c>
      <c r="I510" s="47"/>
      <c r="J510" s="12" t="s">
        <v>6761</v>
      </c>
      <c r="K510" s="13" t="s">
        <v>7281</v>
      </c>
      <c r="L510" s="99" t="str">
        <f t="shared" si="29"/>
        <v>W321A.E</v>
      </c>
      <c r="M510" s="13" t="s">
        <v>17</v>
      </c>
      <c r="N510" s="13"/>
      <c r="O510" s="13"/>
      <c r="P510" s="47"/>
      <c r="Q510" s="45" t="s">
        <v>3672</v>
      </c>
      <c r="R510" s="45" t="s">
        <v>5552</v>
      </c>
      <c r="S510" s="48"/>
      <c r="T510" s="49" t="str">
        <f t="shared" si="28"/>
        <v>[W321A.E]</v>
      </c>
      <c r="U510" s="12" t="str">
        <f t="shared" si="31"/>
        <v xml:space="preserve"> 도어프레임 서보조립 건#2 Z축(SD234) FLS가 감지되었습니다.</v>
      </c>
      <c r="V510" s="49" t="str">
        <f t="shared" si="30"/>
        <v>[W321A.E] 도어프레임 서보조립 건#2 Z축(SD234) FLS가 감지되었습니다.</v>
      </c>
    </row>
    <row r="511" spans="1:22" s="49" customFormat="1" ht="14.15" customHeight="1">
      <c r="A511" s="43" t="s">
        <v>6687</v>
      </c>
      <c r="B511" s="44" t="s">
        <v>6635</v>
      </c>
      <c r="C511" s="50"/>
      <c r="D511" s="10" t="s">
        <v>29</v>
      </c>
      <c r="E511" s="11"/>
      <c r="F511" s="11" t="s">
        <v>18</v>
      </c>
      <c r="G511" s="13"/>
      <c r="H511" s="45" t="s">
        <v>16</v>
      </c>
      <c r="I511" s="47"/>
      <c r="J511" s="12" t="s">
        <v>6762</v>
      </c>
      <c r="K511" s="13" t="s">
        <v>7282</v>
      </c>
      <c r="L511" s="99" t="str">
        <f t="shared" si="29"/>
        <v>W321A.F</v>
      </c>
      <c r="M511" s="13" t="s">
        <v>17</v>
      </c>
      <c r="N511" s="13"/>
      <c r="O511" s="13"/>
      <c r="P511" s="47"/>
      <c r="Q511" s="45" t="s">
        <v>3672</v>
      </c>
      <c r="R511" s="45" t="s">
        <v>5552</v>
      </c>
      <c r="S511" s="48"/>
      <c r="T511" s="49" t="str">
        <f t="shared" si="28"/>
        <v>[W321A.F]</v>
      </c>
      <c r="U511" s="12" t="str">
        <f t="shared" si="31"/>
        <v xml:space="preserve"> 도어프레임 서보조립 건#2 Z축(SD234) RLS가 감지되었습니다.</v>
      </c>
      <c r="V511" s="49" t="str">
        <f t="shared" si="30"/>
        <v>[W321A.F] 도어프레임 서보조립 건#2 Z축(SD234) RLS가 감지되었습니다.</v>
      </c>
    </row>
    <row r="512" spans="1:22" s="49" customFormat="1" ht="14.15" customHeight="1">
      <c r="A512" s="43" t="s">
        <v>6687</v>
      </c>
      <c r="B512" s="44" t="s">
        <v>6635</v>
      </c>
      <c r="C512" s="50"/>
      <c r="D512" s="10" t="s">
        <v>29</v>
      </c>
      <c r="E512" s="11"/>
      <c r="F512" s="11" t="s">
        <v>18</v>
      </c>
      <c r="G512" s="13"/>
      <c r="H512" s="45" t="s">
        <v>16</v>
      </c>
      <c r="I512" s="47"/>
      <c r="J512" s="12" t="s">
        <v>6763</v>
      </c>
      <c r="K512" s="13" t="s">
        <v>7283</v>
      </c>
      <c r="L512" s="99" t="str">
        <f t="shared" si="29"/>
        <v>W321B.0</v>
      </c>
      <c r="M512" s="13" t="s">
        <v>17</v>
      </c>
      <c r="N512" s="13"/>
      <c r="O512" s="13"/>
      <c r="P512" s="47"/>
      <c r="Q512" s="45" t="s">
        <v>3672</v>
      </c>
      <c r="R512" s="45" t="s">
        <v>5552</v>
      </c>
      <c r="S512" s="48"/>
      <c r="T512" s="49" t="str">
        <f t="shared" si="28"/>
        <v>[W321B.0]</v>
      </c>
      <c r="U512" s="12" t="str">
        <f t="shared" si="31"/>
        <v xml:space="preserve"> 도어프레임 서보조립 건#2 Z축(SD234) Stop 명령이 On된 상태에서 기동을 시도했습니다.</v>
      </c>
      <c r="V512" s="49" t="str">
        <f t="shared" si="30"/>
        <v>[W321B.0] 도어프레임 서보조립 건#2 Z축(SD234) Stop 명령이 On된 상태에서 기동을 시도했습니다.</v>
      </c>
    </row>
    <row r="513" spans="1:22" s="49" customFormat="1" ht="14.15" customHeight="1">
      <c r="A513" s="43" t="s">
        <v>6687</v>
      </c>
      <c r="B513" s="44" t="s">
        <v>6635</v>
      </c>
      <c r="C513" s="50"/>
      <c r="D513" s="10" t="s">
        <v>29</v>
      </c>
      <c r="E513" s="11"/>
      <c r="F513" s="11" t="s">
        <v>18</v>
      </c>
      <c r="G513" s="13"/>
      <c r="H513" s="45" t="s">
        <v>16</v>
      </c>
      <c r="I513" s="46"/>
      <c r="J513" s="14" t="s">
        <v>6764</v>
      </c>
      <c r="K513" s="13" t="s">
        <v>7284</v>
      </c>
      <c r="L513" s="99" t="str">
        <f t="shared" si="29"/>
        <v>W321B.1</v>
      </c>
      <c r="M513" s="13" t="s">
        <v>17</v>
      </c>
      <c r="N513" s="13"/>
      <c r="O513" s="13"/>
      <c r="P513" s="47"/>
      <c r="Q513" s="45" t="s">
        <v>3672</v>
      </c>
      <c r="R513" s="45" t="s">
        <v>5552</v>
      </c>
      <c r="S513" s="48"/>
      <c r="T513" s="49" t="str">
        <f t="shared" si="28"/>
        <v>[W321B.1]</v>
      </c>
      <c r="U513" s="12" t="str">
        <f t="shared" si="31"/>
        <v xml:space="preserve"> 도어프레임 서보조립 건#2 Z축(SD234) 가동 전원이 Off 되었습니다.</v>
      </c>
      <c r="V513" s="49" t="str">
        <f t="shared" si="30"/>
        <v>[W321B.1] 도어프레임 서보조립 건#2 Z축(SD234) 가동 전원이 Off 되었습니다.</v>
      </c>
    </row>
    <row r="514" spans="1:22" s="49" customFormat="1" ht="14.15" customHeight="1">
      <c r="A514" s="43" t="s">
        <v>6687</v>
      </c>
      <c r="B514" s="44" t="s">
        <v>6635</v>
      </c>
      <c r="C514" s="50"/>
      <c r="D514" s="10" t="s">
        <v>29</v>
      </c>
      <c r="E514" s="11"/>
      <c r="F514" s="11" t="s">
        <v>18</v>
      </c>
      <c r="G514" s="13"/>
      <c r="H514" s="45" t="s">
        <v>16</v>
      </c>
      <c r="I514" s="46"/>
      <c r="J514" s="14" t="s">
        <v>6765</v>
      </c>
      <c r="K514" s="13" t="s">
        <v>7285</v>
      </c>
      <c r="L514" s="99" t="str">
        <f t="shared" si="29"/>
        <v>W321B.2</v>
      </c>
      <c r="M514" s="13" t="s">
        <v>17</v>
      </c>
      <c r="N514" s="13"/>
      <c r="O514" s="13"/>
      <c r="P514" s="47"/>
      <c r="Q514" s="45" t="s">
        <v>3672</v>
      </c>
      <c r="R514" s="45" t="s">
        <v>5552</v>
      </c>
      <c r="S514" s="48"/>
      <c r="T514" s="49" t="str">
        <f t="shared" si="28"/>
        <v>[W321B.2]</v>
      </c>
      <c r="U514" s="12" t="str">
        <f t="shared" si="31"/>
        <v xml:space="preserve"> 도어프레임 서보조립 건#2 Z축(SD234) 엔코더 이상이 검출되었습니다.</v>
      </c>
      <c r="V514" s="49" t="str">
        <f t="shared" si="30"/>
        <v>[W321B.2] 도어프레임 서보조립 건#2 Z축(SD234) 엔코더 이상이 검출되었습니다.</v>
      </c>
    </row>
    <row r="515" spans="1:22" s="49" customFormat="1" ht="14.15" customHeight="1">
      <c r="A515" s="43" t="s">
        <v>6687</v>
      </c>
      <c r="B515" s="44" t="s">
        <v>6635</v>
      </c>
      <c r="C515" s="50"/>
      <c r="D515" s="10" t="s">
        <v>29</v>
      </c>
      <c r="E515" s="11"/>
      <c r="F515" s="11" t="s">
        <v>18</v>
      </c>
      <c r="G515" s="13"/>
      <c r="H515" s="45" t="s">
        <v>16</v>
      </c>
      <c r="I515" s="46"/>
      <c r="J515" s="14" t="s">
        <v>6766</v>
      </c>
      <c r="K515" s="13" t="s">
        <v>7286</v>
      </c>
      <c r="L515" s="99" t="str">
        <f t="shared" si="29"/>
        <v>W321B.3</v>
      </c>
      <c r="M515" s="13" t="s">
        <v>17</v>
      </c>
      <c r="N515" s="13"/>
      <c r="O515" s="13"/>
      <c r="P515" s="47"/>
      <c r="Q515" s="45" t="s">
        <v>3672</v>
      </c>
      <c r="R515" s="45" t="s">
        <v>5552</v>
      </c>
      <c r="S515" s="48"/>
      <c r="T515" s="49" t="str">
        <f t="shared" si="28"/>
        <v>[W321B.3]</v>
      </c>
      <c r="U515" s="12" t="str">
        <f t="shared" si="31"/>
        <v xml:space="preserve"> 도어프레임 서보조립 건#2 Z축(SD234) 과전류가 검출되었습니다.</v>
      </c>
      <c r="V515" s="49" t="str">
        <f t="shared" si="30"/>
        <v>[W321B.3] 도어프레임 서보조립 건#2 Z축(SD234) 과전류가 검출되었습니다.</v>
      </c>
    </row>
    <row r="516" spans="1:22" s="49" customFormat="1" ht="14.15" customHeight="1">
      <c r="A516" s="43" t="s">
        <v>6687</v>
      </c>
      <c r="B516" s="44" t="s">
        <v>6635</v>
      </c>
      <c r="C516" s="50"/>
      <c r="D516" s="10" t="s">
        <v>29</v>
      </c>
      <c r="E516" s="11"/>
      <c r="F516" s="11" t="s">
        <v>18</v>
      </c>
      <c r="G516" s="13"/>
      <c r="H516" s="45" t="s">
        <v>16</v>
      </c>
      <c r="I516" s="46"/>
      <c r="J516" s="14" t="s">
        <v>6767</v>
      </c>
      <c r="K516" s="13" t="s">
        <v>7287</v>
      </c>
      <c r="L516" s="99" t="str">
        <f t="shared" si="29"/>
        <v>W321B.4</v>
      </c>
      <c r="M516" s="13" t="s">
        <v>17</v>
      </c>
      <c r="N516" s="13"/>
      <c r="O516" s="13"/>
      <c r="P516" s="47"/>
      <c r="Q516" s="45" t="s">
        <v>3672</v>
      </c>
      <c r="R516" s="45" t="s">
        <v>5552</v>
      </c>
      <c r="S516" s="48"/>
      <c r="T516" s="49" t="str">
        <f t="shared" si="28"/>
        <v>[W321B.4]</v>
      </c>
      <c r="U516" s="12" t="str">
        <f t="shared" si="31"/>
        <v xml:space="preserve"> 도어프레임 서보조립 건#2 Z축(SD234) 과부하가 검출되었습니다.</v>
      </c>
      <c r="V516" s="49" t="str">
        <f t="shared" si="30"/>
        <v>[W321B.4] 도어프레임 서보조립 건#2 Z축(SD234) 과부하가 검출되었습니다.</v>
      </c>
    </row>
    <row r="517" spans="1:22" s="49" customFormat="1" ht="14.15" customHeight="1">
      <c r="A517" s="43" t="s">
        <v>6687</v>
      </c>
      <c r="B517" s="44" t="s">
        <v>6635</v>
      </c>
      <c r="C517" s="50"/>
      <c r="D517" s="10" t="s">
        <v>29</v>
      </c>
      <c r="E517" s="11"/>
      <c r="F517" s="11" t="s">
        <v>18</v>
      </c>
      <c r="G517" s="13"/>
      <c r="H517" s="45" t="s">
        <v>16</v>
      </c>
      <c r="I517" s="46"/>
      <c r="J517" s="14" t="s">
        <v>6768</v>
      </c>
      <c r="K517" s="13" t="s">
        <v>7288</v>
      </c>
      <c r="L517" s="99" t="str">
        <f t="shared" si="29"/>
        <v>W321B.5</v>
      </c>
      <c r="M517" s="13" t="s">
        <v>17</v>
      </c>
      <c r="N517" s="13"/>
      <c r="O517" s="13"/>
      <c r="P517" s="47"/>
      <c r="Q517" s="45" t="s">
        <v>3672</v>
      </c>
      <c r="R517" s="45" t="s">
        <v>5552</v>
      </c>
      <c r="S517" s="48"/>
      <c r="T517" s="49" t="str">
        <f t="shared" si="28"/>
        <v>[W321B.5]</v>
      </c>
      <c r="U517" s="12" t="str">
        <f t="shared" si="31"/>
        <v xml:space="preserve"> 도어프레임 서보조립 건#2 Z축(SD234)  </v>
      </c>
      <c r="V517" s="49" t="str">
        <f t="shared" si="30"/>
        <v xml:space="preserve">[W321B.5] 도어프레임 서보조립 건#2 Z축(SD234)  </v>
      </c>
    </row>
    <row r="518" spans="1:22" s="49" customFormat="1" ht="14.15" customHeight="1">
      <c r="A518" s="43" t="s">
        <v>6687</v>
      </c>
      <c r="B518" s="44" t="s">
        <v>6635</v>
      </c>
      <c r="C518" s="50"/>
      <c r="D518" s="10" t="s">
        <v>29</v>
      </c>
      <c r="E518" s="11"/>
      <c r="F518" s="11" t="s">
        <v>18</v>
      </c>
      <c r="G518" s="13"/>
      <c r="H518" s="45" t="s">
        <v>16</v>
      </c>
      <c r="I518" s="47"/>
      <c r="J518" s="12" t="s">
        <v>6769</v>
      </c>
      <c r="K518" s="13" t="s">
        <v>7289</v>
      </c>
      <c r="L518" s="99" t="str">
        <f t="shared" si="29"/>
        <v>W321B.6</v>
      </c>
      <c r="M518" s="13" t="s">
        <v>17</v>
      </c>
      <c r="N518" s="13"/>
      <c r="O518" s="13"/>
      <c r="P518" s="47"/>
      <c r="Q518" s="45" t="s">
        <v>3672</v>
      </c>
      <c r="R518" s="45" t="s">
        <v>5552</v>
      </c>
      <c r="S518" s="48"/>
      <c r="T518" s="49" t="str">
        <f t="shared" si="28"/>
        <v>[W321B.6]</v>
      </c>
      <c r="U518" s="12" t="str">
        <f t="shared" si="31"/>
        <v xml:space="preserve"> 도어프레임 서보조립 건#2 Z축(SD234) 에러가 발생했습니다.</v>
      </c>
      <c r="V518" s="49" t="str">
        <f t="shared" si="30"/>
        <v>[W321B.6] 도어프레임 서보조립 건#2 Z축(SD234) 에러가 발생했습니다.</v>
      </c>
    </row>
    <row r="519" spans="1:22" s="49" customFormat="1" ht="14.15" customHeight="1">
      <c r="A519" s="43" t="s">
        <v>6687</v>
      </c>
      <c r="B519" s="44" t="s">
        <v>6635</v>
      </c>
      <c r="C519" s="50"/>
      <c r="D519" s="10" t="s">
        <v>29</v>
      </c>
      <c r="E519" s="11"/>
      <c r="F519" s="11" t="s">
        <v>18</v>
      </c>
      <c r="G519" s="13"/>
      <c r="H519" s="45" t="s">
        <v>16</v>
      </c>
      <c r="I519" s="47"/>
      <c r="J519" s="12" t="s">
        <v>5918</v>
      </c>
      <c r="K519" s="13" t="s">
        <v>7290</v>
      </c>
      <c r="L519" s="99" t="str">
        <f t="shared" si="29"/>
        <v>W321B.7</v>
      </c>
      <c r="M519" s="13" t="s">
        <v>17</v>
      </c>
      <c r="N519" s="13"/>
      <c r="O519" s="13"/>
      <c r="P519" s="47"/>
      <c r="Q519" s="45" t="s">
        <v>3672</v>
      </c>
      <c r="R519" s="45" t="s">
        <v>5552</v>
      </c>
      <c r="S519" s="48"/>
      <c r="T519" s="49" t="str">
        <f t="shared" si="28"/>
        <v>[W321B.7]</v>
      </c>
      <c r="U519" s="12" t="str">
        <f t="shared" si="31"/>
        <v xml:space="preserve"> 도어프레임 서보조립 건#2 X축(SD235) 운전중에 Ready가 Off 되었습니다.</v>
      </c>
      <c r="V519" s="49" t="str">
        <f t="shared" si="30"/>
        <v>[W321B.7] 도어프레임 서보조립 건#2 X축(SD235) 운전중에 Ready가 Off 되었습니다.</v>
      </c>
    </row>
    <row r="520" spans="1:22" s="49" customFormat="1" ht="14.15" customHeight="1">
      <c r="A520" s="43" t="s">
        <v>6687</v>
      </c>
      <c r="B520" s="44" t="s">
        <v>6635</v>
      </c>
      <c r="C520" s="50"/>
      <c r="D520" s="10" t="s">
        <v>29</v>
      </c>
      <c r="E520" s="11"/>
      <c r="F520" s="11" t="s">
        <v>18</v>
      </c>
      <c r="G520" s="13"/>
      <c r="H520" s="45" t="s">
        <v>16</v>
      </c>
      <c r="I520" s="47"/>
      <c r="J520" s="12" t="s">
        <v>5919</v>
      </c>
      <c r="K520" s="13" t="s">
        <v>7291</v>
      </c>
      <c r="L520" s="99" t="str">
        <f t="shared" si="29"/>
        <v>W321B.8</v>
      </c>
      <c r="M520" s="13" t="s">
        <v>17</v>
      </c>
      <c r="N520" s="13"/>
      <c r="O520" s="13"/>
      <c r="P520" s="47"/>
      <c r="Q520" s="45" t="s">
        <v>3672</v>
      </c>
      <c r="R520" s="45" t="s">
        <v>5552</v>
      </c>
      <c r="S520" s="48"/>
      <c r="T520" s="49" t="str">
        <f t="shared" si="28"/>
        <v>[W321B.8]</v>
      </c>
      <c r="U520" s="12" t="str">
        <f t="shared" si="31"/>
        <v xml:space="preserve"> 도어프레임 서보조립 건#2 X축(SD235) FLS가 감지되었습니다.</v>
      </c>
      <c r="V520" s="49" t="str">
        <f t="shared" si="30"/>
        <v>[W321B.8] 도어프레임 서보조립 건#2 X축(SD235) FLS가 감지되었습니다.</v>
      </c>
    </row>
    <row r="521" spans="1:22" s="49" customFormat="1" ht="14.15" customHeight="1">
      <c r="A521" s="43" t="s">
        <v>6687</v>
      </c>
      <c r="B521" s="44" t="s">
        <v>6635</v>
      </c>
      <c r="C521" s="50"/>
      <c r="D521" s="10" t="s">
        <v>29</v>
      </c>
      <c r="E521" s="11"/>
      <c r="F521" s="11" t="s">
        <v>18</v>
      </c>
      <c r="G521" s="13"/>
      <c r="H521" s="45" t="s">
        <v>16</v>
      </c>
      <c r="I521" s="47"/>
      <c r="J521" s="12" t="s">
        <v>5920</v>
      </c>
      <c r="K521" s="13" t="s">
        <v>7292</v>
      </c>
      <c r="L521" s="99" t="str">
        <f t="shared" si="29"/>
        <v>W321B.9</v>
      </c>
      <c r="M521" s="13" t="s">
        <v>17</v>
      </c>
      <c r="N521" s="13"/>
      <c r="O521" s="13"/>
      <c r="P521" s="47"/>
      <c r="Q521" s="45" t="s">
        <v>3672</v>
      </c>
      <c r="R521" s="45" t="s">
        <v>5552</v>
      </c>
      <c r="S521" s="48"/>
      <c r="T521" s="49" t="str">
        <f t="shared" si="28"/>
        <v>[W321B.9]</v>
      </c>
      <c r="U521" s="12" t="str">
        <f t="shared" si="31"/>
        <v xml:space="preserve"> 도어프레임 서보조립 건#2 X축(SD235) RLS가 감지되었습니다.</v>
      </c>
      <c r="V521" s="49" t="str">
        <f t="shared" si="30"/>
        <v>[W321B.9] 도어프레임 서보조립 건#2 X축(SD235) RLS가 감지되었습니다.</v>
      </c>
    </row>
    <row r="522" spans="1:22" s="49" customFormat="1" ht="14.15" customHeight="1">
      <c r="A522" s="43" t="s">
        <v>6687</v>
      </c>
      <c r="B522" s="44" t="s">
        <v>6635</v>
      </c>
      <c r="C522" s="50"/>
      <c r="D522" s="10" t="s">
        <v>29</v>
      </c>
      <c r="E522" s="11"/>
      <c r="F522" s="11" t="s">
        <v>18</v>
      </c>
      <c r="G522" s="13"/>
      <c r="H522" s="45" t="s">
        <v>16</v>
      </c>
      <c r="I522" s="47"/>
      <c r="J522" s="12" t="s">
        <v>5921</v>
      </c>
      <c r="K522" s="13" t="s">
        <v>7293</v>
      </c>
      <c r="L522" s="99" t="str">
        <f t="shared" si="29"/>
        <v>W321B.A</v>
      </c>
      <c r="M522" s="13" t="s">
        <v>17</v>
      </c>
      <c r="N522" s="13"/>
      <c r="O522" s="13"/>
      <c r="P522" s="47"/>
      <c r="Q522" s="45" t="s">
        <v>3672</v>
      </c>
      <c r="R522" s="45" t="s">
        <v>5552</v>
      </c>
      <c r="S522" s="48"/>
      <c r="T522" s="49" t="str">
        <f t="shared" si="28"/>
        <v>[W321B.A]</v>
      </c>
      <c r="U522" s="12" t="str">
        <f t="shared" si="31"/>
        <v xml:space="preserve"> 도어프레임 서보조립 건#2 X축(SD235) Stop 명령이 On된 상태에서 기동을 시도했습니다.</v>
      </c>
      <c r="V522" s="49" t="str">
        <f t="shared" si="30"/>
        <v>[W321B.A] 도어프레임 서보조립 건#2 X축(SD235) Stop 명령이 On된 상태에서 기동을 시도했습니다.</v>
      </c>
    </row>
    <row r="523" spans="1:22" s="49" customFormat="1" ht="14.15" customHeight="1">
      <c r="A523" s="43" t="s">
        <v>6687</v>
      </c>
      <c r="B523" s="44" t="s">
        <v>6635</v>
      </c>
      <c r="C523" s="50"/>
      <c r="D523" s="10" t="s">
        <v>29</v>
      </c>
      <c r="E523" s="11"/>
      <c r="F523" s="11" t="s">
        <v>18</v>
      </c>
      <c r="G523" s="13"/>
      <c r="H523" s="45" t="s">
        <v>16</v>
      </c>
      <c r="I523" s="47"/>
      <c r="J523" s="12" t="s">
        <v>5922</v>
      </c>
      <c r="K523" s="13" t="s">
        <v>7294</v>
      </c>
      <c r="L523" s="99" t="str">
        <f t="shared" si="29"/>
        <v>W321B.B</v>
      </c>
      <c r="M523" s="13" t="s">
        <v>17</v>
      </c>
      <c r="N523" s="13"/>
      <c r="O523" s="13"/>
      <c r="P523" s="47"/>
      <c r="Q523" s="45" t="s">
        <v>3672</v>
      </c>
      <c r="R523" s="45" t="s">
        <v>5552</v>
      </c>
      <c r="S523" s="48"/>
      <c r="T523" s="49" t="str">
        <f t="shared" si="28"/>
        <v>[W321B.B]</v>
      </c>
      <c r="U523" s="12" t="str">
        <f t="shared" si="31"/>
        <v xml:space="preserve"> 도어프레임 서보조립 건#2 X축(SD235) 가동 전원이 Off 되었습니다.</v>
      </c>
      <c r="V523" s="49" t="str">
        <f t="shared" si="30"/>
        <v>[W321B.B] 도어프레임 서보조립 건#2 X축(SD235) 가동 전원이 Off 되었습니다.</v>
      </c>
    </row>
    <row r="524" spans="1:22" s="49" customFormat="1" ht="14.15" customHeight="1">
      <c r="A524" s="43" t="s">
        <v>6687</v>
      </c>
      <c r="B524" s="44" t="s">
        <v>6635</v>
      </c>
      <c r="C524" s="50"/>
      <c r="D524" s="10" t="s">
        <v>29</v>
      </c>
      <c r="E524" s="11"/>
      <c r="F524" s="11" t="s">
        <v>18</v>
      </c>
      <c r="G524" s="13"/>
      <c r="H524" s="45" t="s">
        <v>16</v>
      </c>
      <c r="I524" s="47"/>
      <c r="J524" s="12" t="s">
        <v>5923</v>
      </c>
      <c r="K524" s="13" t="s">
        <v>7295</v>
      </c>
      <c r="L524" s="99" t="str">
        <f t="shared" si="29"/>
        <v>W321B.C</v>
      </c>
      <c r="M524" s="13" t="s">
        <v>17</v>
      </c>
      <c r="N524" s="13"/>
      <c r="O524" s="13"/>
      <c r="P524" s="47"/>
      <c r="Q524" s="45" t="s">
        <v>3672</v>
      </c>
      <c r="R524" s="45" t="s">
        <v>5552</v>
      </c>
      <c r="S524" s="48"/>
      <c r="T524" s="49" t="str">
        <f t="shared" si="28"/>
        <v>[W321B.C]</v>
      </c>
      <c r="U524" s="12" t="str">
        <f t="shared" si="31"/>
        <v xml:space="preserve"> 도어프레임 서보조립 건#2 X축(SD235) 엔코더 이상이 검출되었습니다.</v>
      </c>
      <c r="V524" s="49" t="str">
        <f t="shared" si="30"/>
        <v>[W321B.C] 도어프레임 서보조립 건#2 X축(SD235) 엔코더 이상이 검출되었습니다.</v>
      </c>
    </row>
    <row r="525" spans="1:22" s="49" customFormat="1" ht="14.15" customHeight="1">
      <c r="A525" s="43" t="s">
        <v>6687</v>
      </c>
      <c r="B525" s="44" t="s">
        <v>6635</v>
      </c>
      <c r="C525" s="50"/>
      <c r="D525" s="10" t="s">
        <v>29</v>
      </c>
      <c r="E525" s="11"/>
      <c r="F525" s="11" t="s">
        <v>18</v>
      </c>
      <c r="G525" s="13"/>
      <c r="H525" s="45" t="s">
        <v>16</v>
      </c>
      <c r="I525" s="47"/>
      <c r="J525" s="12" t="s">
        <v>5924</v>
      </c>
      <c r="K525" s="13" t="s">
        <v>7296</v>
      </c>
      <c r="L525" s="99" t="str">
        <f t="shared" si="29"/>
        <v>W321B.D</v>
      </c>
      <c r="M525" s="13" t="s">
        <v>17</v>
      </c>
      <c r="N525" s="13"/>
      <c r="O525" s="13"/>
      <c r="P525" s="47"/>
      <c r="Q525" s="45" t="s">
        <v>3672</v>
      </c>
      <c r="R525" s="45" t="s">
        <v>5552</v>
      </c>
      <c r="S525" s="48"/>
      <c r="T525" s="49" t="str">
        <f t="shared" si="28"/>
        <v>[W321B.D]</v>
      </c>
      <c r="U525" s="12" t="str">
        <f t="shared" si="31"/>
        <v xml:space="preserve"> 도어프레임 서보조립 건#2 X축(SD235) 과전류가 검출되었습니다.</v>
      </c>
      <c r="V525" s="49" t="str">
        <f t="shared" si="30"/>
        <v>[W321B.D] 도어프레임 서보조립 건#2 X축(SD235) 과전류가 검출되었습니다.</v>
      </c>
    </row>
    <row r="526" spans="1:22" s="49" customFormat="1" ht="14.15" customHeight="1">
      <c r="A526" s="43" t="s">
        <v>6687</v>
      </c>
      <c r="B526" s="44" t="s">
        <v>6635</v>
      </c>
      <c r="C526" s="50"/>
      <c r="D526" s="10" t="s">
        <v>29</v>
      </c>
      <c r="E526" s="11"/>
      <c r="F526" s="11" t="s">
        <v>18</v>
      </c>
      <c r="G526" s="13"/>
      <c r="H526" s="45" t="s">
        <v>16</v>
      </c>
      <c r="I526" s="47"/>
      <c r="J526" s="12" t="s">
        <v>5925</v>
      </c>
      <c r="K526" s="13" t="s">
        <v>7297</v>
      </c>
      <c r="L526" s="99" t="str">
        <f t="shared" si="29"/>
        <v>W321B.E</v>
      </c>
      <c r="M526" s="13" t="s">
        <v>17</v>
      </c>
      <c r="N526" s="13"/>
      <c r="O526" s="13"/>
      <c r="P526" s="47"/>
      <c r="Q526" s="45" t="s">
        <v>3672</v>
      </c>
      <c r="R526" s="45" t="s">
        <v>5552</v>
      </c>
      <c r="S526" s="48"/>
      <c r="T526" s="49" t="str">
        <f t="shared" si="28"/>
        <v>[W321B.E]</v>
      </c>
      <c r="U526" s="12" t="str">
        <f t="shared" si="31"/>
        <v xml:space="preserve"> 도어프레임 서보조립 건#2 X축(SD235) 과부하가 검출되었습니다.</v>
      </c>
      <c r="V526" s="49" t="str">
        <f t="shared" si="30"/>
        <v>[W321B.E] 도어프레임 서보조립 건#2 X축(SD235) 과부하가 검출되었습니다.</v>
      </c>
    </row>
    <row r="527" spans="1:22" s="49" customFormat="1" ht="14.15" customHeight="1">
      <c r="A527" s="43" t="s">
        <v>6687</v>
      </c>
      <c r="B527" s="44" t="s">
        <v>6635</v>
      </c>
      <c r="C527" s="50"/>
      <c r="D527" s="10" t="s">
        <v>29</v>
      </c>
      <c r="E527" s="11"/>
      <c r="F527" s="11" t="s">
        <v>18</v>
      </c>
      <c r="G527" s="13"/>
      <c r="H527" s="45" t="s">
        <v>16</v>
      </c>
      <c r="I527" s="47"/>
      <c r="J527" s="12" t="s">
        <v>5926</v>
      </c>
      <c r="K527" s="13" t="s">
        <v>7298</v>
      </c>
      <c r="L527" s="99" t="str">
        <f t="shared" si="29"/>
        <v>W321B.F</v>
      </c>
      <c r="M527" s="13" t="s">
        <v>17</v>
      </c>
      <c r="N527" s="13"/>
      <c r="O527" s="13"/>
      <c r="P527" s="47"/>
      <c r="Q527" s="45" t="s">
        <v>3672</v>
      </c>
      <c r="R527" s="45" t="s">
        <v>5552</v>
      </c>
      <c r="S527" s="48"/>
      <c r="T527" s="49" t="str">
        <f t="shared" si="28"/>
        <v>[W321B.F]</v>
      </c>
      <c r="U527" s="12" t="str">
        <f t="shared" si="31"/>
        <v xml:space="preserve"> 도어프레임 서보조립 건#2 X축(SD235)  </v>
      </c>
      <c r="V527" s="49" t="str">
        <f t="shared" si="30"/>
        <v xml:space="preserve">[W321B.F] 도어프레임 서보조립 건#2 X축(SD235)  </v>
      </c>
    </row>
    <row r="528" spans="1:22" s="49" customFormat="1" ht="14.15" customHeight="1">
      <c r="A528" s="43" t="s">
        <v>6687</v>
      </c>
      <c r="B528" s="44" t="s">
        <v>6635</v>
      </c>
      <c r="C528" s="50"/>
      <c r="D528" s="10" t="s">
        <v>29</v>
      </c>
      <c r="E528" s="11"/>
      <c r="F528" s="11" t="s">
        <v>18</v>
      </c>
      <c r="G528" s="13"/>
      <c r="H528" s="45" t="s">
        <v>16</v>
      </c>
      <c r="I528" s="47"/>
      <c r="J528" s="12" t="s">
        <v>5927</v>
      </c>
      <c r="K528" s="13" t="s">
        <v>7299</v>
      </c>
      <c r="L528" s="99" t="str">
        <f t="shared" si="29"/>
        <v>W321C.0</v>
      </c>
      <c r="M528" s="13" t="s">
        <v>17</v>
      </c>
      <c r="N528" s="13"/>
      <c r="O528" s="13"/>
      <c r="P528" s="47"/>
      <c r="Q528" s="45" t="s">
        <v>3672</v>
      </c>
      <c r="R528" s="45" t="s">
        <v>5552</v>
      </c>
      <c r="S528" s="48"/>
      <c r="T528" s="49" t="str">
        <f t="shared" ref="T528:T591" si="32">"["&amp;L528&amp;"]"</f>
        <v>[W321C.0]</v>
      </c>
      <c r="U528" s="12" t="str">
        <f t="shared" si="31"/>
        <v xml:space="preserve"> 도어프레임 서보조립 건#2 X축(SD235) 에러가 발생했습니다.</v>
      </c>
      <c r="V528" s="49" t="str">
        <f t="shared" si="30"/>
        <v>[W321C.0] 도어프레임 서보조립 건#2 X축(SD235) 에러가 발생했습니다.</v>
      </c>
    </row>
    <row r="529" spans="1:22" s="49" customFormat="1" ht="14.15" customHeight="1">
      <c r="A529" s="43" t="s">
        <v>6687</v>
      </c>
      <c r="B529" s="44" t="s">
        <v>6635</v>
      </c>
      <c r="C529" s="50"/>
      <c r="D529" s="10" t="s">
        <v>29</v>
      </c>
      <c r="E529" s="11"/>
      <c r="F529" s="11" t="s">
        <v>18</v>
      </c>
      <c r="G529" s="13"/>
      <c r="H529" s="45" t="s">
        <v>16</v>
      </c>
      <c r="I529" s="47"/>
      <c r="J529" s="12" t="s">
        <v>5928</v>
      </c>
      <c r="K529" s="13" t="s">
        <v>7300</v>
      </c>
      <c r="L529" s="99" t="str">
        <f t="shared" ref="L529:L592" si="33">"W"&amp;DEC2HEX(12800 + INT((ROW()-80)/16)) &amp; "." &amp; IF(MOD(ROW()-80,16)&lt;10,MOD(ROW()-80,16),CHAR(MOD(ROW()-80,16)+55))</f>
        <v>W321C.1</v>
      </c>
      <c r="M529" s="13" t="s">
        <v>17</v>
      </c>
      <c r="N529" s="13"/>
      <c r="O529" s="13"/>
      <c r="P529" s="47"/>
      <c r="Q529" s="45" t="s">
        <v>3672</v>
      </c>
      <c r="R529" s="45" t="s">
        <v>5552</v>
      </c>
      <c r="S529" s="48"/>
      <c r="T529" s="49" t="str">
        <f t="shared" si="32"/>
        <v>[W321C.1]</v>
      </c>
      <c r="U529" s="12" t="str">
        <f t="shared" si="31"/>
        <v xml:space="preserve"> 도어프레임 서보조립 건#2 Z축(SD236) 운전중에 Ready가 Off 되었습니다.</v>
      </c>
      <c r="V529" s="49" t="str">
        <f t="shared" ref="V529:V592" si="34">T529&amp;U529</f>
        <v>[W321C.1] 도어프레임 서보조립 건#2 Z축(SD236) 운전중에 Ready가 Off 되었습니다.</v>
      </c>
    </row>
    <row r="530" spans="1:22" s="49" customFormat="1" ht="14.15" customHeight="1">
      <c r="A530" s="43" t="s">
        <v>6687</v>
      </c>
      <c r="B530" s="44" t="s">
        <v>6635</v>
      </c>
      <c r="C530" s="50"/>
      <c r="D530" s="10" t="s">
        <v>29</v>
      </c>
      <c r="E530" s="11"/>
      <c r="F530" s="11" t="s">
        <v>18</v>
      </c>
      <c r="G530" s="13"/>
      <c r="H530" s="45" t="s">
        <v>16</v>
      </c>
      <c r="I530" s="47"/>
      <c r="J530" s="12" t="s">
        <v>5929</v>
      </c>
      <c r="K530" s="13" t="s">
        <v>7301</v>
      </c>
      <c r="L530" s="99" t="str">
        <f t="shared" si="33"/>
        <v>W321C.2</v>
      </c>
      <c r="M530" s="13" t="s">
        <v>17</v>
      </c>
      <c r="N530" s="13"/>
      <c r="O530" s="13"/>
      <c r="P530" s="47"/>
      <c r="Q530" s="45" t="s">
        <v>3672</v>
      </c>
      <c r="R530" s="45" t="s">
        <v>5552</v>
      </c>
      <c r="S530" s="48"/>
      <c r="T530" s="49" t="str">
        <f t="shared" si="32"/>
        <v>[W321C.2]</v>
      </c>
      <c r="U530" s="12" t="str">
        <f t="shared" si="31"/>
        <v xml:space="preserve"> 도어프레임 서보조립 건#2 Z축(SD236) FLS가 감지되었습니다.</v>
      </c>
      <c r="V530" s="49" t="str">
        <f t="shared" si="34"/>
        <v>[W321C.2] 도어프레임 서보조립 건#2 Z축(SD236) FLS가 감지되었습니다.</v>
      </c>
    </row>
    <row r="531" spans="1:22" s="49" customFormat="1" ht="14.15" customHeight="1">
      <c r="A531" s="43" t="s">
        <v>6687</v>
      </c>
      <c r="B531" s="44" t="s">
        <v>6635</v>
      </c>
      <c r="C531" s="50"/>
      <c r="D531" s="10" t="s">
        <v>29</v>
      </c>
      <c r="E531" s="11"/>
      <c r="F531" s="11" t="s">
        <v>18</v>
      </c>
      <c r="G531" s="13"/>
      <c r="H531" s="45" t="s">
        <v>16</v>
      </c>
      <c r="I531" s="47"/>
      <c r="J531" s="12" t="s">
        <v>5930</v>
      </c>
      <c r="K531" s="13" t="s">
        <v>7302</v>
      </c>
      <c r="L531" s="99" t="str">
        <f t="shared" si="33"/>
        <v>W321C.3</v>
      </c>
      <c r="M531" s="13" t="s">
        <v>17</v>
      </c>
      <c r="N531" s="13"/>
      <c r="O531" s="13"/>
      <c r="P531" s="47"/>
      <c r="Q531" s="45" t="s">
        <v>3672</v>
      </c>
      <c r="R531" s="45" t="s">
        <v>5552</v>
      </c>
      <c r="S531" s="48"/>
      <c r="T531" s="49" t="str">
        <f t="shared" si="32"/>
        <v>[W321C.3]</v>
      </c>
      <c r="U531" s="12" t="str">
        <f t="shared" si="31"/>
        <v xml:space="preserve"> 도어프레임 서보조립 건#2 Z축(SD236) RLS가 감지되었습니다.</v>
      </c>
      <c r="V531" s="49" t="str">
        <f t="shared" si="34"/>
        <v>[W321C.3] 도어프레임 서보조립 건#2 Z축(SD236) RLS가 감지되었습니다.</v>
      </c>
    </row>
    <row r="532" spans="1:22" s="49" customFormat="1" ht="14.15" customHeight="1">
      <c r="A532" s="43" t="s">
        <v>6687</v>
      </c>
      <c r="B532" s="44" t="s">
        <v>6635</v>
      </c>
      <c r="C532" s="50"/>
      <c r="D532" s="10" t="s">
        <v>29</v>
      </c>
      <c r="E532" s="11"/>
      <c r="F532" s="11" t="s">
        <v>18</v>
      </c>
      <c r="G532" s="13"/>
      <c r="H532" s="45" t="s">
        <v>16</v>
      </c>
      <c r="I532" s="47"/>
      <c r="J532" s="12" t="s">
        <v>5931</v>
      </c>
      <c r="K532" s="13" t="s">
        <v>7303</v>
      </c>
      <c r="L532" s="99" t="str">
        <f t="shared" si="33"/>
        <v>W321C.4</v>
      </c>
      <c r="M532" s="13" t="s">
        <v>17</v>
      </c>
      <c r="N532" s="13"/>
      <c r="O532" s="13"/>
      <c r="P532" s="47"/>
      <c r="Q532" s="45" t="s">
        <v>3672</v>
      </c>
      <c r="R532" s="45" t="s">
        <v>5552</v>
      </c>
      <c r="S532" s="48"/>
      <c r="T532" s="49" t="str">
        <f t="shared" si="32"/>
        <v>[W321C.4]</v>
      </c>
      <c r="U532" s="12" t="str">
        <f t="shared" si="31"/>
        <v xml:space="preserve"> 도어프레임 서보조립 건#2 Z축(SD236) Stop 명령이 On된 상태에서 기동을 시도했습니다.</v>
      </c>
      <c r="V532" s="49" t="str">
        <f t="shared" si="34"/>
        <v>[W321C.4] 도어프레임 서보조립 건#2 Z축(SD236) Stop 명령이 On된 상태에서 기동을 시도했습니다.</v>
      </c>
    </row>
    <row r="533" spans="1:22" s="49" customFormat="1" ht="14.15" customHeight="1">
      <c r="A533" s="43" t="s">
        <v>6687</v>
      </c>
      <c r="B533" s="44" t="s">
        <v>6635</v>
      </c>
      <c r="C533" s="50"/>
      <c r="D533" s="10" t="s">
        <v>29</v>
      </c>
      <c r="E533" s="11"/>
      <c r="F533" s="11" t="s">
        <v>18</v>
      </c>
      <c r="G533" s="13"/>
      <c r="H533" s="45" t="s">
        <v>16</v>
      </c>
      <c r="I533" s="47"/>
      <c r="J533" s="12" t="s">
        <v>5932</v>
      </c>
      <c r="K533" s="13" t="s">
        <v>7304</v>
      </c>
      <c r="L533" s="99" t="str">
        <f t="shared" si="33"/>
        <v>W321C.5</v>
      </c>
      <c r="M533" s="13" t="s">
        <v>17</v>
      </c>
      <c r="N533" s="13"/>
      <c r="O533" s="13"/>
      <c r="P533" s="47"/>
      <c r="Q533" s="45" t="s">
        <v>3672</v>
      </c>
      <c r="R533" s="45" t="s">
        <v>5552</v>
      </c>
      <c r="S533" s="48"/>
      <c r="T533" s="49" t="str">
        <f t="shared" si="32"/>
        <v>[W321C.5]</v>
      </c>
      <c r="U533" s="12" t="str">
        <f t="shared" ref="U533:U596" si="35">RIGHT(J533,LEN(J533)-7)</f>
        <v xml:space="preserve"> 도어프레임 서보조립 건#2 Z축(SD236) 가동 전원이 Off 되었습니다.</v>
      </c>
      <c r="V533" s="49" t="str">
        <f t="shared" si="34"/>
        <v>[W321C.5] 도어프레임 서보조립 건#2 Z축(SD236) 가동 전원이 Off 되었습니다.</v>
      </c>
    </row>
    <row r="534" spans="1:22" s="49" customFormat="1" ht="14.15" customHeight="1">
      <c r="A534" s="43" t="s">
        <v>6687</v>
      </c>
      <c r="B534" s="44" t="s">
        <v>6635</v>
      </c>
      <c r="C534" s="50"/>
      <c r="D534" s="10" t="s">
        <v>29</v>
      </c>
      <c r="E534" s="11"/>
      <c r="F534" s="11" t="s">
        <v>18</v>
      </c>
      <c r="G534" s="13"/>
      <c r="H534" s="45" t="s">
        <v>16</v>
      </c>
      <c r="I534" s="47"/>
      <c r="J534" s="12" t="s">
        <v>5933</v>
      </c>
      <c r="K534" s="13" t="s">
        <v>7305</v>
      </c>
      <c r="L534" s="99" t="str">
        <f t="shared" si="33"/>
        <v>W321C.6</v>
      </c>
      <c r="M534" s="13" t="s">
        <v>17</v>
      </c>
      <c r="N534" s="13"/>
      <c r="O534" s="13"/>
      <c r="P534" s="47"/>
      <c r="Q534" s="45" t="s">
        <v>3672</v>
      </c>
      <c r="R534" s="45" t="s">
        <v>5552</v>
      </c>
      <c r="S534" s="48"/>
      <c r="T534" s="49" t="str">
        <f t="shared" si="32"/>
        <v>[W321C.6]</v>
      </c>
      <c r="U534" s="12" t="str">
        <f t="shared" si="35"/>
        <v xml:space="preserve"> 도어프레임 서보조립 건#2 Z축(SD236) 엔코더 이상이 검출되었습니다.</v>
      </c>
      <c r="V534" s="49" t="str">
        <f t="shared" si="34"/>
        <v>[W321C.6] 도어프레임 서보조립 건#2 Z축(SD236) 엔코더 이상이 검출되었습니다.</v>
      </c>
    </row>
    <row r="535" spans="1:22" s="49" customFormat="1" ht="14.15" customHeight="1">
      <c r="A535" s="43" t="s">
        <v>6687</v>
      </c>
      <c r="B535" s="44" t="s">
        <v>6635</v>
      </c>
      <c r="C535" s="50"/>
      <c r="D535" s="10" t="s">
        <v>29</v>
      </c>
      <c r="E535" s="11"/>
      <c r="F535" s="11" t="s">
        <v>18</v>
      </c>
      <c r="G535" s="13"/>
      <c r="H535" s="45" t="s">
        <v>16</v>
      </c>
      <c r="I535" s="47"/>
      <c r="J535" s="12" t="s">
        <v>5934</v>
      </c>
      <c r="K535" s="13" t="s">
        <v>7306</v>
      </c>
      <c r="L535" s="99" t="str">
        <f t="shared" si="33"/>
        <v>W321C.7</v>
      </c>
      <c r="M535" s="13" t="s">
        <v>17</v>
      </c>
      <c r="N535" s="13"/>
      <c r="O535" s="13"/>
      <c r="P535" s="47"/>
      <c r="Q535" s="45" t="s">
        <v>3672</v>
      </c>
      <c r="R535" s="45" t="s">
        <v>5552</v>
      </c>
      <c r="S535" s="48"/>
      <c r="T535" s="49" t="str">
        <f t="shared" si="32"/>
        <v>[W321C.7]</v>
      </c>
      <c r="U535" s="12" t="str">
        <f t="shared" si="35"/>
        <v xml:space="preserve"> 도어프레임 서보조립 건#2 Z축(SD236) 과전류가 검출되었습니다.</v>
      </c>
      <c r="V535" s="49" t="str">
        <f t="shared" si="34"/>
        <v>[W321C.7] 도어프레임 서보조립 건#2 Z축(SD236) 과전류가 검출되었습니다.</v>
      </c>
    </row>
    <row r="536" spans="1:22" s="49" customFormat="1" ht="14.15" customHeight="1">
      <c r="A536" s="43" t="s">
        <v>6687</v>
      </c>
      <c r="B536" s="44" t="s">
        <v>6635</v>
      </c>
      <c r="C536" s="50"/>
      <c r="D536" s="10" t="s">
        <v>29</v>
      </c>
      <c r="E536" s="11"/>
      <c r="F536" s="11" t="s">
        <v>18</v>
      </c>
      <c r="G536" s="13"/>
      <c r="H536" s="45" t="s">
        <v>16</v>
      </c>
      <c r="I536" s="47"/>
      <c r="J536" s="12" t="s">
        <v>5935</v>
      </c>
      <c r="K536" s="13" t="s">
        <v>7307</v>
      </c>
      <c r="L536" s="99" t="str">
        <f t="shared" si="33"/>
        <v>W321C.8</v>
      </c>
      <c r="M536" s="13" t="s">
        <v>17</v>
      </c>
      <c r="N536" s="13"/>
      <c r="O536" s="13"/>
      <c r="P536" s="47"/>
      <c r="Q536" s="45" t="s">
        <v>3672</v>
      </c>
      <c r="R536" s="45" t="s">
        <v>5552</v>
      </c>
      <c r="S536" s="48"/>
      <c r="T536" s="49" t="str">
        <f t="shared" si="32"/>
        <v>[W321C.8]</v>
      </c>
      <c r="U536" s="12" t="str">
        <f t="shared" si="35"/>
        <v xml:space="preserve"> 도어프레임 서보조립 건#2 Z축(SD236) 과부하가 검출되었습니다.</v>
      </c>
      <c r="V536" s="49" t="str">
        <f t="shared" si="34"/>
        <v>[W321C.8] 도어프레임 서보조립 건#2 Z축(SD236) 과부하가 검출되었습니다.</v>
      </c>
    </row>
    <row r="537" spans="1:22" s="49" customFormat="1" ht="14.15" customHeight="1">
      <c r="A537" s="43" t="s">
        <v>6687</v>
      </c>
      <c r="B537" s="44" t="s">
        <v>6635</v>
      </c>
      <c r="C537" s="50"/>
      <c r="D537" s="10" t="s">
        <v>29</v>
      </c>
      <c r="E537" s="11"/>
      <c r="F537" s="11" t="s">
        <v>18</v>
      </c>
      <c r="G537" s="13"/>
      <c r="H537" s="45" t="s">
        <v>16</v>
      </c>
      <c r="I537" s="47"/>
      <c r="J537" s="12" t="s">
        <v>5936</v>
      </c>
      <c r="K537" s="13" t="s">
        <v>7308</v>
      </c>
      <c r="L537" s="99" t="str">
        <f t="shared" si="33"/>
        <v>W321C.9</v>
      </c>
      <c r="M537" s="13" t="s">
        <v>17</v>
      </c>
      <c r="N537" s="13"/>
      <c r="O537" s="13"/>
      <c r="P537" s="47"/>
      <c r="Q537" s="45" t="s">
        <v>3672</v>
      </c>
      <c r="R537" s="45" t="s">
        <v>5552</v>
      </c>
      <c r="S537" s="48"/>
      <c r="T537" s="49" t="str">
        <f t="shared" si="32"/>
        <v>[W321C.9]</v>
      </c>
      <c r="U537" s="12" t="str">
        <f t="shared" si="35"/>
        <v xml:space="preserve"> 도어프레임 서보조립 건#2 Z축(SD236)  </v>
      </c>
      <c r="V537" s="49" t="str">
        <f t="shared" si="34"/>
        <v xml:space="preserve">[W321C.9] 도어프레임 서보조립 건#2 Z축(SD236)  </v>
      </c>
    </row>
    <row r="538" spans="1:22" s="49" customFormat="1" ht="14.15" customHeight="1">
      <c r="A538" s="43" t="s">
        <v>6687</v>
      </c>
      <c r="B538" s="44" t="s">
        <v>6635</v>
      </c>
      <c r="C538" s="50"/>
      <c r="D538" s="10" t="s">
        <v>29</v>
      </c>
      <c r="E538" s="11"/>
      <c r="F538" s="11" t="s">
        <v>18</v>
      </c>
      <c r="G538" s="13"/>
      <c r="H538" s="45" t="s">
        <v>16</v>
      </c>
      <c r="I538" s="47"/>
      <c r="J538" s="12" t="s">
        <v>5937</v>
      </c>
      <c r="K538" s="13" t="s">
        <v>7309</v>
      </c>
      <c r="L538" s="99" t="str">
        <f t="shared" si="33"/>
        <v>W321C.A</v>
      </c>
      <c r="M538" s="13" t="s">
        <v>17</v>
      </c>
      <c r="N538" s="13"/>
      <c r="O538" s="13"/>
      <c r="P538" s="47"/>
      <c r="Q538" s="45" t="s">
        <v>3672</v>
      </c>
      <c r="R538" s="45" t="s">
        <v>5552</v>
      </c>
      <c r="S538" s="48"/>
      <c r="T538" s="49" t="str">
        <f t="shared" si="32"/>
        <v>[W321C.A]</v>
      </c>
      <c r="U538" s="12" t="str">
        <f t="shared" si="35"/>
        <v xml:space="preserve"> 도어프레임 서보조립 건#2 Z축(SD236) 에러가 발생했습니다.</v>
      </c>
      <c r="V538" s="49" t="str">
        <f t="shared" si="34"/>
        <v>[W321C.A] 도어프레임 서보조립 건#2 Z축(SD236) 에러가 발생했습니다.</v>
      </c>
    </row>
    <row r="539" spans="1:22" s="49" customFormat="1" ht="14.15" customHeight="1">
      <c r="A539" s="43" t="s">
        <v>6687</v>
      </c>
      <c r="B539" s="44" t="s">
        <v>6635</v>
      </c>
      <c r="C539" s="50"/>
      <c r="D539" s="10" t="s">
        <v>29</v>
      </c>
      <c r="E539" s="11"/>
      <c r="F539" s="11" t="s">
        <v>18</v>
      </c>
      <c r="G539" s="13"/>
      <c r="H539" s="45" t="s">
        <v>16</v>
      </c>
      <c r="I539" s="47"/>
      <c r="J539" s="12" t="s">
        <v>5938</v>
      </c>
      <c r="K539" s="13" t="s">
        <v>7310</v>
      </c>
      <c r="L539" s="99" t="str">
        <f t="shared" si="33"/>
        <v>W321C.B</v>
      </c>
      <c r="M539" s="13" t="s">
        <v>17</v>
      </c>
      <c r="N539" s="13"/>
      <c r="O539" s="13"/>
      <c r="P539" s="47"/>
      <c r="Q539" s="45" t="s">
        <v>3672</v>
      </c>
      <c r="R539" s="45" t="s">
        <v>5552</v>
      </c>
      <c r="S539" s="48"/>
      <c r="T539" s="49" t="str">
        <f t="shared" si="32"/>
        <v>[W321C.B]</v>
      </c>
      <c r="U539" s="12" t="str">
        <f t="shared" si="35"/>
        <v xml:space="preserve"> 도어프레임 서보조립 건#3 X축(SD237) 운전중에 Ready가 Off 되었습니다.</v>
      </c>
      <c r="V539" s="49" t="str">
        <f t="shared" si="34"/>
        <v>[W321C.B] 도어프레임 서보조립 건#3 X축(SD237) 운전중에 Ready가 Off 되었습니다.</v>
      </c>
    </row>
    <row r="540" spans="1:22" s="49" customFormat="1" ht="14.15" customHeight="1">
      <c r="A540" s="43" t="s">
        <v>6687</v>
      </c>
      <c r="B540" s="44" t="s">
        <v>6635</v>
      </c>
      <c r="C540" s="50"/>
      <c r="D540" s="10" t="s">
        <v>29</v>
      </c>
      <c r="E540" s="11"/>
      <c r="F540" s="11" t="s">
        <v>18</v>
      </c>
      <c r="G540" s="13"/>
      <c r="H540" s="45" t="s">
        <v>16</v>
      </c>
      <c r="I540" s="47"/>
      <c r="J540" s="12" t="s">
        <v>5939</v>
      </c>
      <c r="K540" s="13" t="s">
        <v>7311</v>
      </c>
      <c r="L540" s="99" t="str">
        <f t="shared" si="33"/>
        <v>W321C.C</v>
      </c>
      <c r="M540" s="13" t="s">
        <v>17</v>
      </c>
      <c r="N540" s="13"/>
      <c r="O540" s="13"/>
      <c r="P540" s="47"/>
      <c r="Q540" s="45" t="s">
        <v>3672</v>
      </c>
      <c r="R540" s="45" t="s">
        <v>5552</v>
      </c>
      <c r="S540" s="48"/>
      <c r="T540" s="49" t="str">
        <f t="shared" si="32"/>
        <v>[W321C.C]</v>
      </c>
      <c r="U540" s="12" t="str">
        <f t="shared" si="35"/>
        <v xml:space="preserve"> 도어프레임 서보조립 건#3 X축(SD237) FLS가 감지되었습니다.</v>
      </c>
      <c r="V540" s="49" t="str">
        <f t="shared" si="34"/>
        <v>[W321C.C] 도어프레임 서보조립 건#3 X축(SD237) FLS가 감지되었습니다.</v>
      </c>
    </row>
    <row r="541" spans="1:22" s="49" customFormat="1" ht="14.15" customHeight="1">
      <c r="A541" s="43" t="s">
        <v>6687</v>
      </c>
      <c r="B541" s="44" t="s">
        <v>6635</v>
      </c>
      <c r="C541" s="50"/>
      <c r="D541" s="10" t="s">
        <v>29</v>
      </c>
      <c r="E541" s="11"/>
      <c r="F541" s="11" t="s">
        <v>18</v>
      </c>
      <c r="G541" s="13"/>
      <c r="H541" s="45" t="s">
        <v>16</v>
      </c>
      <c r="I541" s="47"/>
      <c r="J541" s="12" t="s">
        <v>5940</v>
      </c>
      <c r="K541" s="13" t="s">
        <v>7312</v>
      </c>
      <c r="L541" s="99" t="str">
        <f t="shared" si="33"/>
        <v>W321C.D</v>
      </c>
      <c r="M541" s="13" t="s">
        <v>17</v>
      </c>
      <c r="N541" s="13"/>
      <c r="O541" s="13"/>
      <c r="P541" s="47"/>
      <c r="Q541" s="45" t="s">
        <v>3672</v>
      </c>
      <c r="R541" s="45" t="s">
        <v>5552</v>
      </c>
      <c r="S541" s="48"/>
      <c r="T541" s="49" t="str">
        <f t="shared" si="32"/>
        <v>[W321C.D]</v>
      </c>
      <c r="U541" s="12" t="str">
        <f t="shared" si="35"/>
        <v xml:space="preserve"> 도어프레임 서보조립 건#3 X축(SD237) RLS가 감지되었습니다.</v>
      </c>
      <c r="V541" s="49" t="str">
        <f t="shared" si="34"/>
        <v>[W321C.D] 도어프레임 서보조립 건#3 X축(SD237) RLS가 감지되었습니다.</v>
      </c>
    </row>
    <row r="542" spans="1:22" s="49" customFormat="1" ht="14.15" customHeight="1">
      <c r="A542" s="43" t="s">
        <v>6687</v>
      </c>
      <c r="B542" s="44" t="s">
        <v>6635</v>
      </c>
      <c r="C542" s="50"/>
      <c r="D542" s="10" t="s">
        <v>29</v>
      </c>
      <c r="E542" s="11"/>
      <c r="F542" s="11" t="s">
        <v>18</v>
      </c>
      <c r="G542" s="13"/>
      <c r="H542" s="45" t="s">
        <v>16</v>
      </c>
      <c r="I542" s="47"/>
      <c r="J542" s="12" t="s">
        <v>5941</v>
      </c>
      <c r="K542" s="13" t="s">
        <v>7313</v>
      </c>
      <c r="L542" s="99" t="str">
        <f t="shared" si="33"/>
        <v>W321C.E</v>
      </c>
      <c r="M542" s="13" t="s">
        <v>17</v>
      </c>
      <c r="N542" s="13"/>
      <c r="O542" s="13"/>
      <c r="P542" s="47"/>
      <c r="Q542" s="45" t="s">
        <v>3672</v>
      </c>
      <c r="R542" s="45" t="s">
        <v>5552</v>
      </c>
      <c r="S542" s="48"/>
      <c r="T542" s="49" t="str">
        <f t="shared" si="32"/>
        <v>[W321C.E]</v>
      </c>
      <c r="U542" s="12" t="str">
        <f t="shared" si="35"/>
        <v xml:space="preserve"> 도어프레임 서보조립 건#3 X축(SD237) Stop 명령이 On된 상태에서 기동을 시도했습니다.</v>
      </c>
      <c r="V542" s="49" t="str">
        <f t="shared" si="34"/>
        <v>[W321C.E] 도어프레임 서보조립 건#3 X축(SD237) Stop 명령이 On된 상태에서 기동을 시도했습니다.</v>
      </c>
    </row>
    <row r="543" spans="1:22" s="49" customFormat="1" ht="14.15" customHeight="1">
      <c r="A543" s="43" t="s">
        <v>6687</v>
      </c>
      <c r="B543" s="44" t="s">
        <v>6635</v>
      </c>
      <c r="C543" s="50"/>
      <c r="D543" s="10" t="s">
        <v>29</v>
      </c>
      <c r="E543" s="11"/>
      <c r="F543" s="11" t="s">
        <v>18</v>
      </c>
      <c r="G543" s="13"/>
      <c r="H543" s="45" t="s">
        <v>16</v>
      </c>
      <c r="I543" s="47"/>
      <c r="J543" s="12" t="s">
        <v>5942</v>
      </c>
      <c r="K543" s="13" t="s">
        <v>7314</v>
      </c>
      <c r="L543" s="99" t="str">
        <f t="shared" si="33"/>
        <v>W321C.F</v>
      </c>
      <c r="M543" s="13" t="s">
        <v>17</v>
      </c>
      <c r="N543" s="13"/>
      <c r="O543" s="13"/>
      <c r="P543" s="47"/>
      <c r="Q543" s="45" t="s">
        <v>3672</v>
      </c>
      <c r="R543" s="45" t="s">
        <v>5552</v>
      </c>
      <c r="S543" s="48"/>
      <c r="T543" s="49" t="str">
        <f t="shared" si="32"/>
        <v>[W321C.F]</v>
      </c>
      <c r="U543" s="12" t="str">
        <f t="shared" si="35"/>
        <v xml:space="preserve"> 도어프레임 서보조립 건#3 X축(SD237) 가동 전원이 Off 되었습니다.</v>
      </c>
      <c r="V543" s="49" t="str">
        <f t="shared" si="34"/>
        <v>[W321C.F] 도어프레임 서보조립 건#3 X축(SD237) 가동 전원이 Off 되었습니다.</v>
      </c>
    </row>
    <row r="544" spans="1:22" s="49" customFormat="1" ht="14.15" customHeight="1">
      <c r="A544" s="43" t="s">
        <v>6687</v>
      </c>
      <c r="B544" s="44" t="s">
        <v>6635</v>
      </c>
      <c r="C544" s="50"/>
      <c r="D544" s="10" t="s">
        <v>29</v>
      </c>
      <c r="E544" s="11"/>
      <c r="F544" s="11" t="s">
        <v>18</v>
      </c>
      <c r="G544" s="13"/>
      <c r="H544" s="45" t="s">
        <v>16</v>
      </c>
      <c r="I544" s="47"/>
      <c r="J544" s="12" t="s">
        <v>5943</v>
      </c>
      <c r="K544" s="13" t="s">
        <v>7315</v>
      </c>
      <c r="L544" s="99" t="str">
        <f t="shared" si="33"/>
        <v>W321D.0</v>
      </c>
      <c r="M544" s="13" t="s">
        <v>17</v>
      </c>
      <c r="N544" s="13"/>
      <c r="O544" s="13"/>
      <c r="P544" s="47"/>
      <c r="Q544" s="45" t="s">
        <v>3672</v>
      </c>
      <c r="R544" s="45" t="s">
        <v>5552</v>
      </c>
      <c r="S544" s="48"/>
      <c r="T544" s="49" t="str">
        <f t="shared" si="32"/>
        <v>[W321D.0]</v>
      </c>
      <c r="U544" s="12" t="str">
        <f t="shared" si="35"/>
        <v xml:space="preserve"> 도어프레임 서보조립 건#3 X축(SD237) 엔코더 이상이 검출되었습니다.</v>
      </c>
      <c r="V544" s="49" t="str">
        <f t="shared" si="34"/>
        <v>[W321D.0] 도어프레임 서보조립 건#3 X축(SD237) 엔코더 이상이 검출되었습니다.</v>
      </c>
    </row>
    <row r="545" spans="1:22" s="49" customFormat="1" ht="14.15" customHeight="1">
      <c r="A545" s="43" t="s">
        <v>6687</v>
      </c>
      <c r="B545" s="44" t="s">
        <v>6635</v>
      </c>
      <c r="C545" s="50"/>
      <c r="D545" s="10" t="s">
        <v>29</v>
      </c>
      <c r="E545" s="11"/>
      <c r="F545" s="11" t="s">
        <v>18</v>
      </c>
      <c r="G545" s="13"/>
      <c r="H545" s="45" t="s">
        <v>16</v>
      </c>
      <c r="I545" s="47"/>
      <c r="J545" s="12" t="s">
        <v>5944</v>
      </c>
      <c r="K545" s="13" t="s">
        <v>7316</v>
      </c>
      <c r="L545" s="99" t="str">
        <f t="shared" si="33"/>
        <v>W321D.1</v>
      </c>
      <c r="M545" s="13" t="s">
        <v>17</v>
      </c>
      <c r="N545" s="13"/>
      <c r="O545" s="13"/>
      <c r="P545" s="47"/>
      <c r="Q545" s="45" t="s">
        <v>3672</v>
      </c>
      <c r="R545" s="45" t="s">
        <v>5552</v>
      </c>
      <c r="S545" s="48"/>
      <c r="T545" s="49" t="str">
        <f t="shared" si="32"/>
        <v>[W321D.1]</v>
      </c>
      <c r="U545" s="12" t="str">
        <f t="shared" si="35"/>
        <v xml:space="preserve"> 도어프레임 서보조립 건#3 X축(SD237) 과전류가 검출되었습니다.</v>
      </c>
      <c r="V545" s="49" t="str">
        <f t="shared" si="34"/>
        <v>[W321D.1] 도어프레임 서보조립 건#3 X축(SD237) 과전류가 검출되었습니다.</v>
      </c>
    </row>
    <row r="546" spans="1:22" s="49" customFormat="1" ht="14.15" customHeight="1">
      <c r="A546" s="43" t="s">
        <v>6687</v>
      </c>
      <c r="B546" s="44" t="s">
        <v>6635</v>
      </c>
      <c r="C546" s="50"/>
      <c r="D546" s="10" t="s">
        <v>29</v>
      </c>
      <c r="E546" s="11"/>
      <c r="F546" s="11" t="s">
        <v>18</v>
      </c>
      <c r="G546" s="13"/>
      <c r="H546" s="45" t="s">
        <v>16</v>
      </c>
      <c r="I546" s="47"/>
      <c r="J546" s="12" t="s">
        <v>5945</v>
      </c>
      <c r="K546" s="13" t="s">
        <v>7317</v>
      </c>
      <c r="L546" s="99" t="str">
        <f t="shared" si="33"/>
        <v>W321D.2</v>
      </c>
      <c r="M546" s="13" t="s">
        <v>17</v>
      </c>
      <c r="N546" s="13"/>
      <c r="O546" s="13"/>
      <c r="P546" s="47"/>
      <c r="Q546" s="45" t="s">
        <v>3672</v>
      </c>
      <c r="R546" s="45" t="s">
        <v>5552</v>
      </c>
      <c r="S546" s="48"/>
      <c r="T546" s="49" t="str">
        <f t="shared" si="32"/>
        <v>[W321D.2]</v>
      </c>
      <c r="U546" s="12" t="str">
        <f t="shared" si="35"/>
        <v xml:space="preserve"> 도어프레임 서보조립 건#3 X축(SD237) 과부하가 검출되었습니다.</v>
      </c>
      <c r="V546" s="49" t="str">
        <f t="shared" si="34"/>
        <v>[W321D.2] 도어프레임 서보조립 건#3 X축(SD237) 과부하가 검출되었습니다.</v>
      </c>
    </row>
    <row r="547" spans="1:22" s="49" customFormat="1" ht="14.15" customHeight="1">
      <c r="A547" s="43" t="s">
        <v>6687</v>
      </c>
      <c r="B547" s="44" t="s">
        <v>6635</v>
      </c>
      <c r="C547" s="50"/>
      <c r="D547" s="10" t="s">
        <v>29</v>
      </c>
      <c r="E547" s="11"/>
      <c r="F547" s="11" t="s">
        <v>18</v>
      </c>
      <c r="G547" s="13"/>
      <c r="H547" s="45" t="s">
        <v>16</v>
      </c>
      <c r="I547" s="47"/>
      <c r="J547" s="12" t="s">
        <v>5946</v>
      </c>
      <c r="K547" s="13" t="s">
        <v>7318</v>
      </c>
      <c r="L547" s="99" t="str">
        <f t="shared" si="33"/>
        <v>W321D.3</v>
      </c>
      <c r="M547" s="13" t="s">
        <v>17</v>
      </c>
      <c r="N547" s="13"/>
      <c r="O547" s="13"/>
      <c r="P547" s="47"/>
      <c r="Q547" s="45" t="s">
        <v>3672</v>
      </c>
      <c r="R547" s="45" t="s">
        <v>5552</v>
      </c>
      <c r="S547" s="48"/>
      <c r="T547" s="49" t="str">
        <f t="shared" si="32"/>
        <v>[W321D.3]</v>
      </c>
      <c r="U547" s="12" t="str">
        <f t="shared" si="35"/>
        <v xml:space="preserve"> 도어프레임 서보조립 건#3 X축(SD237)  </v>
      </c>
      <c r="V547" s="49" t="str">
        <f t="shared" si="34"/>
        <v xml:space="preserve">[W321D.3] 도어프레임 서보조립 건#3 X축(SD237)  </v>
      </c>
    </row>
    <row r="548" spans="1:22" s="49" customFormat="1" ht="14.15" customHeight="1">
      <c r="A548" s="43" t="s">
        <v>6687</v>
      </c>
      <c r="B548" s="44" t="s">
        <v>6635</v>
      </c>
      <c r="C548" s="50"/>
      <c r="D548" s="10" t="s">
        <v>29</v>
      </c>
      <c r="E548" s="11"/>
      <c r="F548" s="11" t="s">
        <v>18</v>
      </c>
      <c r="G548" s="13"/>
      <c r="H548" s="45" t="s">
        <v>16</v>
      </c>
      <c r="I548" s="47"/>
      <c r="J548" s="12" t="s">
        <v>5947</v>
      </c>
      <c r="K548" s="13" t="s">
        <v>7319</v>
      </c>
      <c r="L548" s="99" t="str">
        <f t="shared" si="33"/>
        <v>W321D.4</v>
      </c>
      <c r="M548" s="13" t="s">
        <v>17</v>
      </c>
      <c r="N548" s="13"/>
      <c r="O548" s="13"/>
      <c r="P548" s="47"/>
      <c r="Q548" s="45" t="s">
        <v>3672</v>
      </c>
      <c r="R548" s="45" t="s">
        <v>5552</v>
      </c>
      <c r="S548" s="48"/>
      <c r="T548" s="49" t="str">
        <f t="shared" si="32"/>
        <v>[W321D.4]</v>
      </c>
      <c r="U548" s="12" t="str">
        <f t="shared" si="35"/>
        <v xml:space="preserve"> 도어프레임 서보조립 건#3 X축(SD237) 에러가 발생했습니다.</v>
      </c>
      <c r="V548" s="49" t="str">
        <f t="shared" si="34"/>
        <v>[W321D.4] 도어프레임 서보조립 건#3 X축(SD237) 에러가 발생했습니다.</v>
      </c>
    </row>
    <row r="549" spans="1:22" s="49" customFormat="1" ht="14.15" customHeight="1">
      <c r="A549" s="43" t="s">
        <v>6687</v>
      </c>
      <c r="B549" s="44" t="s">
        <v>6635</v>
      </c>
      <c r="C549" s="50"/>
      <c r="D549" s="10" t="s">
        <v>29</v>
      </c>
      <c r="E549" s="11"/>
      <c r="F549" s="11" t="s">
        <v>18</v>
      </c>
      <c r="G549" s="13"/>
      <c r="H549" s="45" t="s">
        <v>16</v>
      </c>
      <c r="I549" s="47"/>
      <c r="J549" s="12" t="s">
        <v>5948</v>
      </c>
      <c r="K549" s="13" t="s">
        <v>7320</v>
      </c>
      <c r="L549" s="99" t="str">
        <f t="shared" si="33"/>
        <v>W321D.5</v>
      </c>
      <c r="M549" s="13" t="s">
        <v>17</v>
      </c>
      <c r="N549" s="13"/>
      <c r="O549" s="13"/>
      <c r="P549" s="47"/>
      <c r="Q549" s="45" t="s">
        <v>3672</v>
      </c>
      <c r="R549" s="45" t="s">
        <v>5552</v>
      </c>
      <c r="S549" s="48"/>
      <c r="T549" s="49" t="str">
        <f t="shared" si="32"/>
        <v>[W321D.5]</v>
      </c>
      <c r="U549" s="12" t="str">
        <f t="shared" si="35"/>
        <v xml:space="preserve"> 도어프레임 서보조립 건#3 Z축(SD238) 운전중에 Ready가 Off 되었습니다.</v>
      </c>
      <c r="V549" s="49" t="str">
        <f t="shared" si="34"/>
        <v>[W321D.5] 도어프레임 서보조립 건#3 Z축(SD238) 운전중에 Ready가 Off 되었습니다.</v>
      </c>
    </row>
    <row r="550" spans="1:22" s="49" customFormat="1" ht="14.15" customHeight="1">
      <c r="A550" s="43" t="s">
        <v>6687</v>
      </c>
      <c r="B550" s="44" t="s">
        <v>6635</v>
      </c>
      <c r="C550" s="50"/>
      <c r="D550" s="10" t="s">
        <v>29</v>
      </c>
      <c r="E550" s="11"/>
      <c r="F550" s="11" t="s">
        <v>18</v>
      </c>
      <c r="G550" s="13"/>
      <c r="H550" s="45" t="s">
        <v>16</v>
      </c>
      <c r="I550" s="47"/>
      <c r="J550" s="12" t="s">
        <v>5949</v>
      </c>
      <c r="K550" s="13" t="s">
        <v>7321</v>
      </c>
      <c r="L550" s="99" t="str">
        <f t="shared" si="33"/>
        <v>W321D.6</v>
      </c>
      <c r="M550" s="13" t="s">
        <v>17</v>
      </c>
      <c r="N550" s="13"/>
      <c r="O550" s="13"/>
      <c r="P550" s="47"/>
      <c r="Q550" s="45" t="s">
        <v>3672</v>
      </c>
      <c r="R550" s="45" t="s">
        <v>5552</v>
      </c>
      <c r="S550" s="48"/>
      <c r="T550" s="49" t="str">
        <f t="shared" si="32"/>
        <v>[W321D.6]</v>
      </c>
      <c r="U550" s="12" t="str">
        <f t="shared" si="35"/>
        <v xml:space="preserve"> 도어프레임 서보조립 건#3 Z축(SD238) FLS가 감지되었습니다.</v>
      </c>
      <c r="V550" s="49" t="str">
        <f t="shared" si="34"/>
        <v>[W321D.6] 도어프레임 서보조립 건#3 Z축(SD238) FLS가 감지되었습니다.</v>
      </c>
    </row>
    <row r="551" spans="1:22" s="49" customFormat="1" ht="14.15" customHeight="1">
      <c r="A551" s="43" t="s">
        <v>6687</v>
      </c>
      <c r="B551" s="44" t="s">
        <v>6635</v>
      </c>
      <c r="C551" s="50"/>
      <c r="D551" s="10" t="s">
        <v>29</v>
      </c>
      <c r="E551" s="11"/>
      <c r="F551" s="11" t="s">
        <v>18</v>
      </c>
      <c r="G551" s="13"/>
      <c r="H551" s="45" t="s">
        <v>16</v>
      </c>
      <c r="I551" s="47"/>
      <c r="J551" s="12" t="s">
        <v>5950</v>
      </c>
      <c r="K551" s="13" t="s">
        <v>7322</v>
      </c>
      <c r="L551" s="99" t="str">
        <f t="shared" si="33"/>
        <v>W321D.7</v>
      </c>
      <c r="M551" s="13" t="s">
        <v>17</v>
      </c>
      <c r="N551" s="13"/>
      <c r="O551" s="13"/>
      <c r="P551" s="47"/>
      <c r="Q551" s="45" t="s">
        <v>3672</v>
      </c>
      <c r="R551" s="45" t="s">
        <v>5552</v>
      </c>
      <c r="S551" s="48"/>
      <c r="T551" s="49" t="str">
        <f t="shared" si="32"/>
        <v>[W321D.7]</v>
      </c>
      <c r="U551" s="12" t="str">
        <f t="shared" si="35"/>
        <v xml:space="preserve"> 도어프레임 서보조립 건#3 Z축(SD238) RLS가 감지되었습니다.</v>
      </c>
      <c r="V551" s="49" t="str">
        <f t="shared" si="34"/>
        <v>[W321D.7] 도어프레임 서보조립 건#3 Z축(SD238) RLS가 감지되었습니다.</v>
      </c>
    </row>
    <row r="552" spans="1:22" s="49" customFormat="1" ht="14.15" customHeight="1">
      <c r="A552" s="43" t="s">
        <v>6687</v>
      </c>
      <c r="B552" s="44" t="s">
        <v>6635</v>
      </c>
      <c r="C552" s="50"/>
      <c r="D552" s="10" t="s">
        <v>29</v>
      </c>
      <c r="E552" s="11"/>
      <c r="F552" s="11" t="s">
        <v>18</v>
      </c>
      <c r="G552" s="13"/>
      <c r="H552" s="45" t="s">
        <v>16</v>
      </c>
      <c r="I552" s="47"/>
      <c r="J552" s="12" t="s">
        <v>5951</v>
      </c>
      <c r="K552" s="13" t="s">
        <v>7323</v>
      </c>
      <c r="L552" s="99" t="str">
        <f t="shared" si="33"/>
        <v>W321D.8</v>
      </c>
      <c r="M552" s="13" t="s">
        <v>17</v>
      </c>
      <c r="N552" s="13"/>
      <c r="O552" s="13"/>
      <c r="P552" s="47"/>
      <c r="Q552" s="45" t="s">
        <v>3672</v>
      </c>
      <c r="R552" s="45" t="s">
        <v>5552</v>
      </c>
      <c r="S552" s="48"/>
      <c r="T552" s="49" t="str">
        <f t="shared" si="32"/>
        <v>[W321D.8]</v>
      </c>
      <c r="U552" s="12" t="str">
        <f t="shared" si="35"/>
        <v xml:space="preserve"> 도어프레임 서보조립 건#3 Z축(SD238) Stop 명령이 On된 상태에서 기동을 시도했습니다.</v>
      </c>
      <c r="V552" s="49" t="str">
        <f t="shared" si="34"/>
        <v>[W321D.8] 도어프레임 서보조립 건#3 Z축(SD238) Stop 명령이 On된 상태에서 기동을 시도했습니다.</v>
      </c>
    </row>
    <row r="553" spans="1:22" s="49" customFormat="1" ht="14.15" customHeight="1">
      <c r="A553" s="43" t="s">
        <v>6687</v>
      </c>
      <c r="B553" s="44" t="s">
        <v>6635</v>
      </c>
      <c r="C553" s="50"/>
      <c r="D553" s="10" t="s">
        <v>29</v>
      </c>
      <c r="E553" s="11"/>
      <c r="F553" s="11" t="s">
        <v>18</v>
      </c>
      <c r="G553" s="13"/>
      <c r="H553" s="45" t="s">
        <v>16</v>
      </c>
      <c r="I553" s="47"/>
      <c r="J553" s="12" t="s">
        <v>5952</v>
      </c>
      <c r="K553" s="13" t="s">
        <v>7324</v>
      </c>
      <c r="L553" s="99" t="str">
        <f t="shared" si="33"/>
        <v>W321D.9</v>
      </c>
      <c r="M553" s="13" t="s">
        <v>17</v>
      </c>
      <c r="N553" s="13"/>
      <c r="O553" s="13"/>
      <c r="P553" s="47"/>
      <c r="Q553" s="45" t="s">
        <v>3672</v>
      </c>
      <c r="R553" s="45" t="s">
        <v>5552</v>
      </c>
      <c r="S553" s="48"/>
      <c r="T553" s="49" t="str">
        <f t="shared" si="32"/>
        <v>[W321D.9]</v>
      </c>
      <c r="U553" s="12" t="str">
        <f t="shared" si="35"/>
        <v xml:space="preserve"> 도어프레임 서보조립 건#3 Z축(SD238) 가동 전원이 Off 되었습니다.</v>
      </c>
      <c r="V553" s="49" t="str">
        <f t="shared" si="34"/>
        <v>[W321D.9] 도어프레임 서보조립 건#3 Z축(SD238) 가동 전원이 Off 되었습니다.</v>
      </c>
    </row>
    <row r="554" spans="1:22" s="49" customFormat="1" ht="14.15" customHeight="1">
      <c r="A554" s="43" t="s">
        <v>6687</v>
      </c>
      <c r="B554" s="44" t="s">
        <v>6635</v>
      </c>
      <c r="C554" s="50"/>
      <c r="D554" s="10" t="s">
        <v>29</v>
      </c>
      <c r="E554" s="11"/>
      <c r="F554" s="11" t="s">
        <v>18</v>
      </c>
      <c r="G554" s="13"/>
      <c r="H554" s="45" t="s">
        <v>16</v>
      </c>
      <c r="I554" s="46"/>
      <c r="J554" s="14" t="s">
        <v>5953</v>
      </c>
      <c r="K554" s="13" t="s">
        <v>7325</v>
      </c>
      <c r="L554" s="99" t="str">
        <f t="shared" si="33"/>
        <v>W321D.A</v>
      </c>
      <c r="M554" s="13" t="s">
        <v>17</v>
      </c>
      <c r="N554" s="13"/>
      <c r="O554" s="13"/>
      <c r="P554" s="47"/>
      <c r="Q554" s="45" t="s">
        <v>3672</v>
      </c>
      <c r="R554" s="45" t="s">
        <v>5552</v>
      </c>
      <c r="S554" s="48"/>
      <c r="T554" s="49" t="str">
        <f t="shared" si="32"/>
        <v>[W321D.A]</v>
      </c>
      <c r="U554" s="12" t="str">
        <f t="shared" si="35"/>
        <v xml:space="preserve"> 도어프레임 서보조립 건#3 Z축(SD238) 엔코더 이상이 검출되었습니다.</v>
      </c>
      <c r="V554" s="49" t="str">
        <f t="shared" si="34"/>
        <v>[W321D.A] 도어프레임 서보조립 건#3 Z축(SD238) 엔코더 이상이 검출되었습니다.</v>
      </c>
    </row>
    <row r="555" spans="1:22" s="49" customFormat="1" ht="14.15" customHeight="1">
      <c r="A555" s="43" t="s">
        <v>6687</v>
      </c>
      <c r="B555" s="44" t="s">
        <v>6635</v>
      </c>
      <c r="C555" s="50"/>
      <c r="D555" s="10" t="s">
        <v>29</v>
      </c>
      <c r="E555" s="11"/>
      <c r="F555" s="11" t="s">
        <v>18</v>
      </c>
      <c r="G555" s="13"/>
      <c r="H555" s="45" t="s">
        <v>16</v>
      </c>
      <c r="I555" s="46"/>
      <c r="J555" s="14" t="s">
        <v>5954</v>
      </c>
      <c r="K555" s="13" t="s">
        <v>7326</v>
      </c>
      <c r="L555" s="99" t="str">
        <f t="shared" si="33"/>
        <v>W321D.B</v>
      </c>
      <c r="M555" s="13" t="s">
        <v>17</v>
      </c>
      <c r="N555" s="13"/>
      <c r="O555" s="13"/>
      <c r="P555" s="47"/>
      <c r="Q555" s="45" t="s">
        <v>3672</v>
      </c>
      <c r="R555" s="45" t="s">
        <v>5552</v>
      </c>
      <c r="S555" s="48"/>
      <c r="T555" s="49" t="str">
        <f t="shared" si="32"/>
        <v>[W321D.B]</v>
      </c>
      <c r="U555" s="12" t="str">
        <f t="shared" si="35"/>
        <v xml:space="preserve"> 도어프레임 서보조립 건#3 Z축(SD238) 과전류가 검출되었습니다.</v>
      </c>
      <c r="V555" s="49" t="str">
        <f t="shared" si="34"/>
        <v>[W321D.B] 도어프레임 서보조립 건#3 Z축(SD238) 과전류가 검출되었습니다.</v>
      </c>
    </row>
    <row r="556" spans="1:22" s="49" customFormat="1" ht="14.15" customHeight="1">
      <c r="A556" s="43" t="s">
        <v>6687</v>
      </c>
      <c r="B556" s="44" t="s">
        <v>6635</v>
      </c>
      <c r="C556" s="50"/>
      <c r="D556" s="10" t="s">
        <v>29</v>
      </c>
      <c r="E556" s="11"/>
      <c r="F556" s="11" t="s">
        <v>18</v>
      </c>
      <c r="G556" s="13"/>
      <c r="H556" s="45" t="s">
        <v>16</v>
      </c>
      <c r="I556" s="46"/>
      <c r="J556" s="14" t="s">
        <v>5955</v>
      </c>
      <c r="K556" s="13" t="s">
        <v>7327</v>
      </c>
      <c r="L556" s="99" t="str">
        <f t="shared" si="33"/>
        <v>W321D.C</v>
      </c>
      <c r="M556" s="13" t="s">
        <v>17</v>
      </c>
      <c r="N556" s="13"/>
      <c r="O556" s="13"/>
      <c r="P556" s="47"/>
      <c r="Q556" s="45" t="s">
        <v>3672</v>
      </c>
      <c r="R556" s="45" t="s">
        <v>5552</v>
      </c>
      <c r="S556" s="48"/>
      <c r="T556" s="49" t="str">
        <f t="shared" si="32"/>
        <v>[W321D.C]</v>
      </c>
      <c r="U556" s="12" t="str">
        <f t="shared" si="35"/>
        <v xml:space="preserve"> 도어프레임 서보조립 건#3 Z축(SD238) 과부하가 검출되었습니다.</v>
      </c>
      <c r="V556" s="49" t="str">
        <f t="shared" si="34"/>
        <v>[W321D.C] 도어프레임 서보조립 건#3 Z축(SD238) 과부하가 검출되었습니다.</v>
      </c>
    </row>
    <row r="557" spans="1:22" s="49" customFormat="1" ht="14.15" customHeight="1">
      <c r="A557" s="43" t="s">
        <v>6687</v>
      </c>
      <c r="B557" s="44" t="s">
        <v>6635</v>
      </c>
      <c r="C557" s="50"/>
      <c r="D557" s="10" t="s">
        <v>29</v>
      </c>
      <c r="E557" s="11"/>
      <c r="F557" s="11" t="s">
        <v>18</v>
      </c>
      <c r="G557" s="13"/>
      <c r="H557" s="45" t="s">
        <v>16</v>
      </c>
      <c r="I557" s="46"/>
      <c r="J557" s="14" t="s">
        <v>5956</v>
      </c>
      <c r="K557" s="13" t="s">
        <v>7328</v>
      </c>
      <c r="L557" s="99" t="str">
        <f t="shared" si="33"/>
        <v>W321D.D</v>
      </c>
      <c r="M557" s="13" t="s">
        <v>17</v>
      </c>
      <c r="N557" s="13"/>
      <c r="O557" s="13"/>
      <c r="P557" s="47"/>
      <c r="Q557" s="45" t="s">
        <v>3672</v>
      </c>
      <c r="R557" s="45" t="s">
        <v>5552</v>
      </c>
      <c r="S557" s="48"/>
      <c r="T557" s="49" t="str">
        <f t="shared" si="32"/>
        <v>[W321D.D]</v>
      </c>
      <c r="U557" s="12" t="str">
        <f t="shared" si="35"/>
        <v xml:space="preserve"> 도어프레임 서보조립 건#3 Z축(SD238)  </v>
      </c>
      <c r="V557" s="49" t="str">
        <f t="shared" si="34"/>
        <v xml:space="preserve">[W321D.D] 도어프레임 서보조립 건#3 Z축(SD238)  </v>
      </c>
    </row>
    <row r="558" spans="1:22" s="49" customFormat="1" ht="14.15" customHeight="1">
      <c r="A558" s="43" t="s">
        <v>6687</v>
      </c>
      <c r="B558" s="44" t="s">
        <v>6635</v>
      </c>
      <c r="C558" s="50"/>
      <c r="D558" s="10" t="s">
        <v>29</v>
      </c>
      <c r="E558" s="11"/>
      <c r="F558" s="11" t="s">
        <v>18</v>
      </c>
      <c r="G558" s="13"/>
      <c r="H558" s="45" t="s">
        <v>16</v>
      </c>
      <c r="I558" s="46"/>
      <c r="J558" s="14" t="s">
        <v>5957</v>
      </c>
      <c r="K558" s="13" t="s">
        <v>7329</v>
      </c>
      <c r="L558" s="99" t="str">
        <f t="shared" si="33"/>
        <v>W321D.E</v>
      </c>
      <c r="M558" s="13" t="s">
        <v>17</v>
      </c>
      <c r="N558" s="13"/>
      <c r="O558" s="13"/>
      <c r="P558" s="47"/>
      <c r="Q558" s="45" t="s">
        <v>3672</v>
      </c>
      <c r="R558" s="45" t="s">
        <v>5552</v>
      </c>
      <c r="S558" s="48"/>
      <c r="T558" s="49" t="str">
        <f t="shared" si="32"/>
        <v>[W321D.E]</v>
      </c>
      <c r="U558" s="12" t="str">
        <f t="shared" si="35"/>
        <v xml:space="preserve"> 도어프레임 서보조립 건#3 Z축(SD238) 에러가 발생했습니다.</v>
      </c>
      <c r="V558" s="49" t="str">
        <f t="shared" si="34"/>
        <v>[W321D.E] 도어프레임 서보조립 건#3 Z축(SD238) 에러가 발생했습니다.</v>
      </c>
    </row>
    <row r="559" spans="1:22" s="49" customFormat="1" ht="14.15" customHeight="1">
      <c r="A559" s="43" t="s">
        <v>6687</v>
      </c>
      <c r="B559" s="44" t="s">
        <v>6635</v>
      </c>
      <c r="C559" s="50"/>
      <c r="D559" s="10" t="s">
        <v>29</v>
      </c>
      <c r="E559" s="11"/>
      <c r="F559" s="11" t="s">
        <v>18</v>
      </c>
      <c r="G559" s="13"/>
      <c r="H559" s="45" t="s">
        <v>16</v>
      </c>
      <c r="I559" s="47"/>
      <c r="J559" s="12" t="s">
        <v>5958</v>
      </c>
      <c r="K559" s="13" t="s">
        <v>7330</v>
      </c>
      <c r="L559" s="99" t="str">
        <f t="shared" si="33"/>
        <v>W321D.F</v>
      </c>
      <c r="M559" s="13" t="s">
        <v>17</v>
      </c>
      <c r="N559" s="13"/>
      <c r="O559" s="13"/>
      <c r="P559" s="47"/>
      <c r="Q559" s="45" t="s">
        <v>3672</v>
      </c>
      <c r="R559" s="45" t="s">
        <v>5552</v>
      </c>
      <c r="S559" s="48"/>
      <c r="T559" s="49" t="str">
        <f t="shared" si="32"/>
        <v>[W321D.F]</v>
      </c>
      <c r="U559" s="12" t="str">
        <f t="shared" si="35"/>
        <v xml:space="preserve"> 도어프레임 서보조립 건#4 X축(SD239) 운전중에 Ready가 Off 되었습니다.</v>
      </c>
      <c r="V559" s="49" t="str">
        <f t="shared" si="34"/>
        <v>[W321D.F] 도어프레임 서보조립 건#4 X축(SD239) 운전중에 Ready가 Off 되었습니다.</v>
      </c>
    </row>
    <row r="560" spans="1:22" s="49" customFormat="1" ht="14.15" customHeight="1">
      <c r="A560" s="43" t="s">
        <v>6687</v>
      </c>
      <c r="B560" s="44" t="s">
        <v>6635</v>
      </c>
      <c r="C560" s="50"/>
      <c r="D560" s="10" t="s">
        <v>29</v>
      </c>
      <c r="E560" s="11"/>
      <c r="F560" s="11" t="s">
        <v>18</v>
      </c>
      <c r="G560" s="13"/>
      <c r="H560" s="45" t="s">
        <v>16</v>
      </c>
      <c r="I560" s="47"/>
      <c r="J560" s="12" t="s">
        <v>5959</v>
      </c>
      <c r="K560" s="13" t="s">
        <v>7331</v>
      </c>
      <c r="L560" s="99" t="str">
        <f t="shared" si="33"/>
        <v>W321E.0</v>
      </c>
      <c r="M560" s="13" t="s">
        <v>17</v>
      </c>
      <c r="N560" s="13"/>
      <c r="O560" s="13"/>
      <c r="P560" s="47"/>
      <c r="Q560" s="45" t="s">
        <v>3672</v>
      </c>
      <c r="R560" s="45" t="s">
        <v>5552</v>
      </c>
      <c r="S560" s="48"/>
      <c r="T560" s="49" t="str">
        <f t="shared" si="32"/>
        <v>[W321E.0]</v>
      </c>
      <c r="U560" s="12" t="str">
        <f t="shared" si="35"/>
        <v xml:space="preserve"> 도어프레임 서보조립 건#4 X축(SD239) FLS가 감지되었습니다.</v>
      </c>
      <c r="V560" s="49" t="str">
        <f t="shared" si="34"/>
        <v>[W321E.0] 도어프레임 서보조립 건#4 X축(SD239) FLS가 감지되었습니다.</v>
      </c>
    </row>
    <row r="561" spans="1:22" s="49" customFormat="1" ht="14.15" customHeight="1">
      <c r="A561" s="43" t="s">
        <v>6687</v>
      </c>
      <c r="B561" s="44" t="s">
        <v>6635</v>
      </c>
      <c r="C561" s="50"/>
      <c r="D561" s="10" t="s">
        <v>29</v>
      </c>
      <c r="E561" s="11"/>
      <c r="F561" s="11" t="s">
        <v>18</v>
      </c>
      <c r="G561" s="13"/>
      <c r="H561" s="45" t="s">
        <v>16</v>
      </c>
      <c r="I561" s="47"/>
      <c r="J561" s="12" t="s">
        <v>5960</v>
      </c>
      <c r="K561" s="13" t="s">
        <v>7332</v>
      </c>
      <c r="L561" s="99" t="str">
        <f t="shared" si="33"/>
        <v>W321E.1</v>
      </c>
      <c r="M561" s="13" t="s">
        <v>17</v>
      </c>
      <c r="N561" s="13"/>
      <c r="O561" s="13"/>
      <c r="P561" s="47"/>
      <c r="Q561" s="45" t="s">
        <v>3672</v>
      </c>
      <c r="R561" s="45" t="s">
        <v>5552</v>
      </c>
      <c r="S561" s="48"/>
      <c r="T561" s="49" t="str">
        <f t="shared" si="32"/>
        <v>[W321E.1]</v>
      </c>
      <c r="U561" s="12" t="str">
        <f t="shared" si="35"/>
        <v xml:space="preserve"> 도어프레임 서보조립 건#4 X축(SD239) RLS가 감지되었습니다.</v>
      </c>
      <c r="V561" s="49" t="str">
        <f t="shared" si="34"/>
        <v>[W321E.1] 도어프레임 서보조립 건#4 X축(SD239) RLS가 감지되었습니다.</v>
      </c>
    </row>
    <row r="562" spans="1:22" s="49" customFormat="1" ht="14.15" customHeight="1">
      <c r="A562" s="43" t="s">
        <v>6687</v>
      </c>
      <c r="B562" s="44" t="s">
        <v>6635</v>
      </c>
      <c r="C562" s="50"/>
      <c r="D562" s="10" t="s">
        <v>29</v>
      </c>
      <c r="E562" s="11"/>
      <c r="F562" s="11" t="s">
        <v>18</v>
      </c>
      <c r="G562" s="13"/>
      <c r="H562" s="45" t="s">
        <v>16</v>
      </c>
      <c r="I562" s="47"/>
      <c r="J562" s="12" t="s">
        <v>5961</v>
      </c>
      <c r="K562" s="13" t="s">
        <v>7333</v>
      </c>
      <c r="L562" s="99" t="str">
        <f t="shared" si="33"/>
        <v>W321E.2</v>
      </c>
      <c r="M562" s="13" t="s">
        <v>17</v>
      </c>
      <c r="N562" s="13"/>
      <c r="O562" s="13"/>
      <c r="P562" s="47"/>
      <c r="Q562" s="45" t="s">
        <v>3672</v>
      </c>
      <c r="R562" s="45" t="s">
        <v>5552</v>
      </c>
      <c r="S562" s="48"/>
      <c r="T562" s="49" t="str">
        <f t="shared" si="32"/>
        <v>[W321E.2]</v>
      </c>
      <c r="U562" s="12" t="str">
        <f t="shared" si="35"/>
        <v xml:space="preserve"> 도어프레임 서보조립 건#4 X축(SD239) Stop 명령이 On된 상태에서 기동을 시도했습니다.</v>
      </c>
      <c r="V562" s="49" t="str">
        <f t="shared" si="34"/>
        <v>[W321E.2] 도어프레임 서보조립 건#4 X축(SD239) Stop 명령이 On된 상태에서 기동을 시도했습니다.</v>
      </c>
    </row>
    <row r="563" spans="1:22" s="49" customFormat="1" ht="14.15" customHeight="1">
      <c r="A563" s="43" t="s">
        <v>6687</v>
      </c>
      <c r="B563" s="44" t="s">
        <v>6635</v>
      </c>
      <c r="C563" s="50"/>
      <c r="D563" s="10" t="s">
        <v>29</v>
      </c>
      <c r="E563" s="11"/>
      <c r="F563" s="11" t="s">
        <v>18</v>
      </c>
      <c r="G563" s="13"/>
      <c r="H563" s="45" t="s">
        <v>16</v>
      </c>
      <c r="I563" s="47"/>
      <c r="J563" s="12" t="s">
        <v>5962</v>
      </c>
      <c r="K563" s="13" t="s">
        <v>7334</v>
      </c>
      <c r="L563" s="99" t="str">
        <f t="shared" si="33"/>
        <v>W321E.3</v>
      </c>
      <c r="M563" s="13" t="s">
        <v>17</v>
      </c>
      <c r="N563" s="13"/>
      <c r="O563" s="13"/>
      <c r="P563" s="47"/>
      <c r="Q563" s="45" t="s">
        <v>3672</v>
      </c>
      <c r="R563" s="45" t="s">
        <v>5552</v>
      </c>
      <c r="S563" s="48"/>
      <c r="T563" s="49" t="str">
        <f t="shared" si="32"/>
        <v>[W321E.3]</v>
      </c>
      <c r="U563" s="12" t="str">
        <f t="shared" si="35"/>
        <v xml:space="preserve"> 도어프레임 서보조립 건#4 X축(SD239) 가동 전원이 Off 되었습니다.</v>
      </c>
      <c r="V563" s="49" t="str">
        <f t="shared" si="34"/>
        <v>[W321E.3] 도어프레임 서보조립 건#4 X축(SD239) 가동 전원이 Off 되었습니다.</v>
      </c>
    </row>
    <row r="564" spans="1:22" s="49" customFormat="1" ht="14.15" customHeight="1">
      <c r="A564" s="43" t="s">
        <v>6687</v>
      </c>
      <c r="B564" s="44" t="s">
        <v>6635</v>
      </c>
      <c r="C564" s="50"/>
      <c r="D564" s="10" t="s">
        <v>29</v>
      </c>
      <c r="E564" s="11"/>
      <c r="F564" s="11" t="s">
        <v>18</v>
      </c>
      <c r="G564" s="13"/>
      <c r="H564" s="45" t="s">
        <v>16</v>
      </c>
      <c r="I564" s="47"/>
      <c r="J564" s="12" t="s">
        <v>5963</v>
      </c>
      <c r="K564" s="13" t="s">
        <v>7335</v>
      </c>
      <c r="L564" s="99" t="str">
        <f t="shared" si="33"/>
        <v>W321E.4</v>
      </c>
      <c r="M564" s="13" t="s">
        <v>17</v>
      </c>
      <c r="N564" s="13"/>
      <c r="O564" s="13"/>
      <c r="P564" s="47"/>
      <c r="Q564" s="45" t="s">
        <v>3672</v>
      </c>
      <c r="R564" s="45" t="s">
        <v>5552</v>
      </c>
      <c r="S564" s="48"/>
      <c r="T564" s="49" t="str">
        <f t="shared" si="32"/>
        <v>[W321E.4]</v>
      </c>
      <c r="U564" s="12" t="str">
        <f t="shared" si="35"/>
        <v xml:space="preserve"> 도어프레임 서보조립 건#4 X축(SD239) 엔코더 이상이 검출되었습니다.</v>
      </c>
      <c r="V564" s="49" t="str">
        <f t="shared" si="34"/>
        <v>[W321E.4] 도어프레임 서보조립 건#4 X축(SD239) 엔코더 이상이 검출되었습니다.</v>
      </c>
    </row>
    <row r="565" spans="1:22" s="49" customFormat="1" ht="14.15" customHeight="1">
      <c r="A565" s="43" t="s">
        <v>6687</v>
      </c>
      <c r="B565" s="44" t="s">
        <v>6635</v>
      </c>
      <c r="C565" s="50"/>
      <c r="D565" s="10" t="s">
        <v>29</v>
      </c>
      <c r="E565" s="11"/>
      <c r="F565" s="11" t="s">
        <v>18</v>
      </c>
      <c r="G565" s="13"/>
      <c r="H565" s="45" t="s">
        <v>16</v>
      </c>
      <c r="I565" s="47"/>
      <c r="J565" s="12" t="s">
        <v>5964</v>
      </c>
      <c r="K565" s="13" t="s">
        <v>7336</v>
      </c>
      <c r="L565" s="99" t="str">
        <f t="shared" si="33"/>
        <v>W321E.5</v>
      </c>
      <c r="M565" s="13" t="s">
        <v>17</v>
      </c>
      <c r="N565" s="13"/>
      <c r="O565" s="13"/>
      <c r="P565" s="47"/>
      <c r="Q565" s="45" t="s">
        <v>3672</v>
      </c>
      <c r="R565" s="45" t="s">
        <v>5552</v>
      </c>
      <c r="S565" s="48"/>
      <c r="T565" s="49" t="str">
        <f t="shared" si="32"/>
        <v>[W321E.5]</v>
      </c>
      <c r="U565" s="12" t="str">
        <f t="shared" si="35"/>
        <v xml:space="preserve"> 도어프레임 서보조립 건#4 X축(SD239) 과전류가 검출되었습니다.</v>
      </c>
      <c r="V565" s="49" t="str">
        <f t="shared" si="34"/>
        <v>[W321E.5] 도어프레임 서보조립 건#4 X축(SD239) 과전류가 검출되었습니다.</v>
      </c>
    </row>
    <row r="566" spans="1:22" s="49" customFormat="1" ht="14.15" customHeight="1">
      <c r="A566" s="43" t="s">
        <v>6687</v>
      </c>
      <c r="B566" s="44" t="s">
        <v>6635</v>
      </c>
      <c r="C566" s="50"/>
      <c r="D566" s="10" t="s">
        <v>29</v>
      </c>
      <c r="E566" s="11"/>
      <c r="F566" s="11" t="s">
        <v>18</v>
      </c>
      <c r="G566" s="13"/>
      <c r="H566" s="45" t="s">
        <v>16</v>
      </c>
      <c r="I566" s="47"/>
      <c r="J566" s="12" t="s">
        <v>5965</v>
      </c>
      <c r="K566" s="13" t="s">
        <v>7337</v>
      </c>
      <c r="L566" s="99" t="str">
        <f t="shared" si="33"/>
        <v>W321E.6</v>
      </c>
      <c r="M566" s="13" t="s">
        <v>17</v>
      </c>
      <c r="N566" s="13"/>
      <c r="O566" s="13"/>
      <c r="P566" s="47"/>
      <c r="Q566" s="45" t="s">
        <v>3672</v>
      </c>
      <c r="R566" s="45" t="s">
        <v>5552</v>
      </c>
      <c r="S566" s="48"/>
      <c r="T566" s="49" t="str">
        <f t="shared" si="32"/>
        <v>[W321E.6]</v>
      </c>
      <c r="U566" s="12" t="str">
        <f t="shared" si="35"/>
        <v xml:space="preserve"> 도어프레임 서보조립 건#4 X축(SD239) 과부하가 검출되었습니다.</v>
      </c>
      <c r="V566" s="49" t="str">
        <f t="shared" si="34"/>
        <v>[W321E.6] 도어프레임 서보조립 건#4 X축(SD239) 과부하가 검출되었습니다.</v>
      </c>
    </row>
    <row r="567" spans="1:22" s="49" customFormat="1" ht="14.15" customHeight="1">
      <c r="A567" s="43" t="s">
        <v>6687</v>
      </c>
      <c r="B567" s="44" t="s">
        <v>6635</v>
      </c>
      <c r="C567" s="50"/>
      <c r="D567" s="10" t="s">
        <v>29</v>
      </c>
      <c r="E567" s="11"/>
      <c r="F567" s="11" t="s">
        <v>18</v>
      </c>
      <c r="G567" s="13"/>
      <c r="H567" s="45" t="s">
        <v>16</v>
      </c>
      <c r="I567" s="47"/>
      <c r="J567" s="12" t="s">
        <v>5966</v>
      </c>
      <c r="K567" s="13" t="s">
        <v>7338</v>
      </c>
      <c r="L567" s="99" t="str">
        <f t="shared" si="33"/>
        <v>W321E.7</v>
      </c>
      <c r="M567" s="13" t="s">
        <v>17</v>
      </c>
      <c r="N567" s="13"/>
      <c r="O567" s="13"/>
      <c r="P567" s="47"/>
      <c r="Q567" s="45" t="s">
        <v>3672</v>
      </c>
      <c r="R567" s="45" t="s">
        <v>5552</v>
      </c>
      <c r="S567" s="48"/>
      <c r="T567" s="49" t="str">
        <f t="shared" si="32"/>
        <v>[W321E.7]</v>
      </c>
      <c r="U567" s="12" t="str">
        <f t="shared" si="35"/>
        <v xml:space="preserve"> 도어프레임 서보조립 건#4 X축(SD239)  </v>
      </c>
      <c r="V567" s="49" t="str">
        <f t="shared" si="34"/>
        <v xml:space="preserve">[W321E.7] 도어프레임 서보조립 건#4 X축(SD239)  </v>
      </c>
    </row>
    <row r="568" spans="1:22" s="49" customFormat="1" ht="14.15" customHeight="1">
      <c r="A568" s="43" t="s">
        <v>6687</v>
      </c>
      <c r="B568" s="44" t="s">
        <v>6635</v>
      </c>
      <c r="C568" s="50"/>
      <c r="D568" s="10" t="s">
        <v>29</v>
      </c>
      <c r="E568" s="11"/>
      <c r="F568" s="11" t="s">
        <v>18</v>
      </c>
      <c r="G568" s="13"/>
      <c r="H568" s="45" t="s">
        <v>16</v>
      </c>
      <c r="I568" s="47"/>
      <c r="J568" s="12" t="s">
        <v>5967</v>
      </c>
      <c r="K568" s="13" t="s">
        <v>7339</v>
      </c>
      <c r="L568" s="99" t="str">
        <f t="shared" si="33"/>
        <v>W321E.8</v>
      </c>
      <c r="M568" s="13" t="s">
        <v>17</v>
      </c>
      <c r="N568" s="13"/>
      <c r="O568" s="13"/>
      <c r="P568" s="47"/>
      <c r="Q568" s="45" t="s">
        <v>3672</v>
      </c>
      <c r="R568" s="45" t="s">
        <v>5552</v>
      </c>
      <c r="S568" s="48"/>
      <c r="T568" s="49" t="str">
        <f>"["&amp;L538&amp;"]"</f>
        <v>[W321C.A]</v>
      </c>
      <c r="U568" s="12" t="str">
        <f>RIGHT(J538,LEN(J538)-7)</f>
        <v xml:space="preserve"> 도어프레임 서보조립 건#2 Z축(SD236) 에러가 발생했습니다.</v>
      </c>
      <c r="V568" s="49" t="str">
        <f>T538&amp;U538</f>
        <v>[W321C.A] 도어프레임 서보조립 건#2 Z축(SD236) 에러가 발생했습니다.</v>
      </c>
    </row>
    <row r="569" spans="1:22" s="49" customFormat="1" ht="14.15" customHeight="1">
      <c r="A569" s="43" t="s">
        <v>6687</v>
      </c>
      <c r="B569" s="44" t="s">
        <v>6635</v>
      </c>
      <c r="C569" s="50"/>
      <c r="D569" s="10" t="s">
        <v>29</v>
      </c>
      <c r="E569" s="11"/>
      <c r="F569" s="11" t="s">
        <v>18</v>
      </c>
      <c r="G569" s="13"/>
      <c r="H569" s="45" t="s">
        <v>16</v>
      </c>
      <c r="I569" s="47"/>
      <c r="J569" s="12" t="s">
        <v>5968</v>
      </c>
      <c r="K569" s="13" t="s">
        <v>7340</v>
      </c>
      <c r="L569" s="99" t="str">
        <f t="shared" si="33"/>
        <v>W321E.9</v>
      </c>
      <c r="M569" s="13" t="s">
        <v>17</v>
      </c>
      <c r="N569" s="13"/>
      <c r="O569" s="13"/>
      <c r="P569" s="47"/>
      <c r="Q569" s="45" t="s">
        <v>3672</v>
      </c>
      <c r="R569" s="45" t="s">
        <v>5552</v>
      </c>
      <c r="S569" s="48"/>
      <c r="T569" s="49" t="str">
        <f t="shared" si="32"/>
        <v>[W321E.9]</v>
      </c>
      <c r="U569" s="12" t="str">
        <f t="shared" si="35"/>
        <v xml:space="preserve"> 도어프레임 서보조립 건#4 Z축(SD240) 운전중에 Ready가 Off 되었습니다.</v>
      </c>
      <c r="V569" s="49" t="str">
        <f t="shared" si="34"/>
        <v>[W321E.9] 도어프레임 서보조립 건#4 Z축(SD240) 운전중에 Ready가 Off 되었습니다.</v>
      </c>
    </row>
    <row r="570" spans="1:22" s="49" customFormat="1" ht="14.15" customHeight="1">
      <c r="A570" s="43" t="s">
        <v>6687</v>
      </c>
      <c r="B570" s="44" t="s">
        <v>6635</v>
      </c>
      <c r="C570" s="50"/>
      <c r="D570" s="10" t="s">
        <v>29</v>
      </c>
      <c r="E570" s="11"/>
      <c r="F570" s="11" t="s">
        <v>18</v>
      </c>
      <c r="G570" s="13"/>
      <c r="H570" s="45" t="s">
        <v>16</v>
      </c>
      <c r="I570" s="47"/>
      <c r="J570" s="12" t="s">
        <v>5969</v>
      </c>
      <c r="K570" s="13" t="s">
        <v>7341</v>
      </c>
      <c r="L570" s="99" t="str">
        <f t="shared" si="33"/>
        <v>W321E.A</v>
      </c>
      <c r="M570" s="13" t="s">
        <v>17</v>
      </c>
      <c r="N570" s="13"/>
      <c r="O570" s="13"/>
      <c r="P570" s="47"/>
      <c r="Q570" s="45" t="s">
        <v>3672</v>
      </c>
      <c r="R570" s="45" t="s">
        <v>5552</v>
      </c>
      <c r="S570" s="48"/>
      <c r="T570" s="49" t="str">
        <f t="shared" si="32"/>
        <v>[W321E.A]</v>
      </c>
      <c r="U570" s="12" t="str">
        <f t="shared" si="35"/>
        <v xml:space="preserve"> 도어프레임 서보조립 건#4 Z축(SD240) FLS가 감지되었습니다.</v>
      </c>
      <c r="V570" s="49" t="str">
        <f t="shared" si="34"/>
        <v>[W321E.A] 도어프레임 서보조립 건#4 Z축(SD240) FLS가 감지되었습니다.</v>
      </c>
    </row>
    <row r="571" spans="1:22" s="49" customFormat="1" ht="14.15" customHeight="1">
      <c r="A571" s="43" t="s">
        <v>6687</v>
      </c>
      <c r="B571" s="44" t="s">
        <v>6635</v>
      </c>
      <c r="C571" s="50"/>
      <c r="D571" s="10" t="s">
        <v>29</v>
      </c>
      <c r="E571" s="11"/>
      <c r="F571" s="11" t="s">
        <v>18</v>
      </c>
      <c r="G571" s="13"/>
      <c r="H571" s="45" t="s">
        <v>16</v>
      </c>
      <c r="I571" s="47"/>
      <c r="J571" s="12" t="s">
        <v>5970</v>
      </c>
      <c r="K571" s="13" t="s">
        <v>7342</v>
      </c>
      <c r="L571" s="99" t="str">
        <f t="shared" si="33"/>
        <v>W321E.B</v>
      </c>
      <c r="M571" s="13" t="s">
        <v>17</v>
      </c>
      <c r="N571" s="13"/>
      <c r="O571" s="13"/>
      <c r="P571" s="47"/>
      <c r="Q571" s="45" t="s">
        <v>3672</v>
      </c>
      <c r="R571" s="45" t="s">
        <v>5552</v>
      </c>
      <c r="S571" s="48"/>
      <c r="T571" s="49" t="str">
        <f t="shared" si="32"/>
        <v>[W321E.B]</v>
      </c>
      <c r="U571" s="12" t="str">
        <f t="shared" si="35"/>
        <v xml:space="preserve"> 도어프레임 서보조립 건#4 Z축(SD240) RLS가 감지되었습니다.</v>
      </c>
      <c r="V571" s="49" t="str">
        <f t="shared" si="34"/>
        <v>[W321E.B] 도어프레임 서보조립 건#4 Z축(SD240) RLS가 감지되었습니다.</v>
      </c>
    </row>
    <row r="572" spans="1:22" s="49" customFormat="1" ht="14.15" customHeight="1">
      <c r="A572" s="43" t="s">
        <v>6687</v>
      </c>
      <c r="B572" s="44" t="s">
        <v>6635</v>
      </c>
      <c r="C572" s="50"/>
      <c r="D572" s="10" t="s">
        <v>29</v>
      </c>
      <c r="E572" s="11"/>
      <c r="F572" s="11" t="s">
        <v>18</v>
      </c>
      <c r="G572" s="13"/>
      <c r="H572" s="45" t="s">
        <v>16</v>
      </c>
      <c r="I572" s="47"/>
      <c r="J572" s="12" t="s">
        <v>5971</v>
      </c>
      <c r="K572" s="13" t="s">
        <v>7343</v>
      </c>
      <c r="L572" s="99" t="str">
        <f t="shared" si="33"/>
        <v>W321E.C</v>
      </c>
      <c r="M572" s="13" t="s">
        <v>17</v>
      </c>
      <c r="N572" s="13"/>
      <c r="O572" s="13"/>
      <c r="P572" s="47"/>
      <c r="Q572" s="45" t="s">
        <v>3672</v>
      </c>
      <c r="R572" s="45" t="s">
        <v>5552</v>
      </c>
      <c r="S572" s="48"/>
      <c r="T572" s="49" t="str">
        <f t="shared" si="32"/>
        <v>[W321E.C]</v>
      </c>
      <c r="U572" s="12" t="str">
        <f t="shared" si="35"/>
        <v xml:space="preserve"> 도어프레임 서보조립 건#4 Z축(SD240) Stop 명령이 On된 상태에서 기동을 시도했습니다.</v>
      </c>
      <c r="V572" s="49" t="str">
        <f t="shared" si="34"/>
        <v>[W321E.C] 도어프레임 서보조립 건#4 Z축(SD240) Stop 명령이 On된 상태에서 기동을 시도했습니다.</v>
      </c>
    </row>
    <row r="573" spans="1:22" s="49" customFormat="1" ht="14.15" customHeight="1">
      <c r="A573" s="43" t="s">
        <v>6687</v>
      </c>
      <c r="B573" s="44" t="s">
        <v>6635</v>
      </c>
      <c r="C573" s="50"/>
      <c r="D573" s="10" t="s">
        <v>29</v>
      </c>
      <c r="E573" s="11"/>
      <c r="F573" s="11" t="s">
        <v>18</v>
      </c>
      <c r="G573" s="13"/>
      <c r="H573" s="45" t="s">
        <v>16</v>
      </c>
      <c r="I573" s="47"/>
      <c r="J573" s="12" t="s">
        <v>5972</v>
      </c>
      <c r="K573" s="13" t="s">
        <v>7344</v>
      </c>
      <c r="L573" s="99" t="str">
        <f t="shared" si="33"/>
        <v>W321E.D</v>
      </c>
      <c r="M573" s="13" t="s">
        <v>17</v>
      </c>
      <c r="N573" s="13"/>
      <c r="O573" s="13"/>
      <c r="P573" s="47"/>
      <c r="Q573" s="45" t="s">
        <v>3672</v>
      </c>
      <c r="R573" s="45" t="s">
        <v>5552</v>
      </c>
      <c r="S573" s="48"/>
      <c r="T573" s="49" t="str">
        <f t="shared" si="32"/>
        <v>[W321E.D]</v>
      </c>
      <c r="U573" s="12" t="str">
        <f t="shared" si="35"/>
        <v xml:space="preserve"> 도어프레임 서보조립 건#4 Z축(SD240) 가동 전원이 Off 되었습니다.</v>
      </c>
      <c r="V573" s="49" t="str">
        <f t="shared" si="34"/>
        <v>[W321E.D] 도어프레임 서보조립 건#4 Z축(SD240) 가동 전원이 Off 되었습니다.</v>
      </c>
    </row>
    <row r="574" spans="1:22" s="49" customFormat="1" ht="14.15" customHeight="1">
      <c r="A574" s="43" t="s">
        <v>6687</v>
      </c>
      <c r="B574" s="44" t="s">
        <v>6635</v>
      </c>
      <c r="C574" s="50"/>
      <c r="D574" s="10" t="s">
        <v>29</v>
      </c>
      <c r="E574" s="11"/>
      <c r="F574" s="11" t="s">
        <v>18</v>
      </c>
      <c r="G574" s="13"/>
      <c r="H574" s="45" t="s">
        <v>16</v>
      </c>
      <c r="I574" s="47"/>
      <c r="J574" s="12" t="s">
        <v>5973</v>
      </c>
      <c r="K574" s="13" t="s">
        <v>7345</v>
      </c>
      <c r="L574" s="99" t="str">
        <f t="shared" si="33"/>
        <v>W321E.E</v>
      </c>
      <c r="M574" s="13" t="s">
        <v>17</v>
      </c>
      <c r="N574" s="13"/>
      <c r="O574" s="13"/>
      <c r="P574" s="47"/>
      <c r="Q574" s="45" t="s">
        <v>3672</v>
      </c>
      <c r="R574" s="45" t="s">
        <v>5552</v>
      </c>
      <c r="S574" s="48"/>
      <c r="T574" s="49" t="str">
        <f t="shared" si="32"/>
        <v>[W321E.E]</v>
      </c>
      <c r="U574" s="12" t="str">
        <f t="shared" si="35"/>
        <v xml:space="preserve"> 도어프레임 서보조립 건#4 Z축(SD240) 엔코더 이상이 검출되었습니다.</v>
      </c>
      <c r="V574" s="49" t="str">
        <f t="shared" si="34"/>
        <v>[W321E.E] 도어프레임 서보조립 건#4 Z축(SD240) 엔코더 이상이 검출되었습니다.</v>
      </c>
    </row>
    <row r="575" spans="1:22" s="49" customFormat="1" ht="14.15" customHeight="1">
      <c r="A575" s="43" t="s">
        <v>6687</v>
      </c>
      <c r="B575" s="44" t="s">
        <v>6635</v>
      </c>
      <c r="C575" s="50"/>
      <c r="D575" s="10" t="s">
        <v>29</v>
      </c>
      <c r="E575" s="11"/>
      <c r="F575" s="11" t="s">
        <v>18</v>
      </c>
      <c r="G575" s="13"/>
      <c r="H575" s="45" t="s">
        <v>16</v>
      </c>
      <c r="I575" s="47"/>
      <c r="J575" s="12" t="s">
        <v>5974</v>
      </c>
      <c r="K575" s="13" t="s">
        <v>7346</v>
      </c>
      <c r="L575" s="99" t="str">
        <f t="shared" si="33"/>
        <v>W321E.F</v>
      </c>
      <c r="M575" s="13" t="s">
        <v>17</v>
      </c>
      <c r="N575" s="13"/>
      <c r="O575" s="13"/>
      <c r="P575" s="47"/>
      <c r="Q575" s="45" t="s">
        <v>3672</v>
      </c>
      <c r="R575" s="45" t="s">
        <v>5552</v>
      </c>
      <c r="S575" s="48"/>
      <c r="T575" s="49" t="str">
        <f t="shared" si="32"/>
        <v>[W321E.F]</v>
      </c>
      <c r="U575" s="12" t="str">
        <f t="shared" si="35"/>
        <v xml:space="preserve"> 도어프레임 서보조립 건#4 Z축(SD240) 과전류가 검출되었습니다.</v>
      </c>
      <c r="V575" s="49" t="str">
        <f t="shared" si="34"/>
        <v>[W321E.F] 도어프레임 서보조립 건#4 Z축(SD240) 과전류가 검출되었습니다.</v>
      </c>
    </row>
    <row r="576" spans="1:22" s="49" customFormat="1" ht="14.15" customHeight="1">
      <c r="A576" s="43" t="s">
        <v>6687</v>
      </c>
      <c r="B576" s="44" t="s">
        <v>6635</v>
      </c>
      <c r="C576" s="50"/>
      <c r="D576" s="10" t="s">
        <v>29</v>
      </c>
      <c r="E576" s="11"/>
      <c r="F576" s="11" t="s">
        <v>18</v>
      </c>
      <c r="G576" s="13"/>
      <c r="H576" s="45" t="s">
        <v>16</v>
      </c>
      <c r="I576" s="47"/>
      <c r="J576" s="12" t="s">
        <v>5975</v>
      </c>
      <c r="K576" s="13" t="s">
        <v>7347</v>
      </c>
      <c r="L576" s="99" t="str">
        <f t="shared" si="33"/>
        <v>W321F.0</v>
      </c>
      <c r="M576" s="13" t="s">
        <v>17</v>
      </c>
      <c r="N576" s="13"/>
      <c r="O576" s="13"/>
      <c r="P576" s="47"/>
      <c r="Q576" s="45" t="s">
        <v>3672</v>
      </c>
      <c r="R576" s="45" t="s">
        <v>5552</v>
      </c>
      <c r="S576" s="48"/>
      <c r="T576" s="49" t="str">
        <f t="shared" si="32"/>
        <v>[W321F.0]</v>
      </c>
      <c r="U576" s="12" t="str">
        <f t="shared" si="35"/>
        <v xml:space="preserve"> 도어프레임 서보조립 건#4 Z축(SD240) 과부하가 검출되었습니다.</v>
      </c>
      <c r="V576" s="49" t="str">
        <f t="shared" si="34"/>
        <v>[W321F.0] 도어프레임 서보조립 건#4 Z축(SD240) 과부하가 검출되었습니다.</v>
      </c>
    </row>
    <row r="577" spans="1:22" s="49" customFormat="1" ht="14.15" customHeight="1">
      <c r="A577" s="43" t="s">
        <v>6687</v>
      </c>
      <c r="B577" s="44" t="s">
        <v>6635</v>
      </c>
      <c r="C577" s="50"/>
      <c r="D577" s="10" t="s">
        <v>29</v>
      </c>
      <c r="E577" s="11"/>
      <c r="F577" s="11" t="s">
        <v>18</v>
      </c>
      <c r="G577" s="13"/>
      <c r="H577" s="45" t="s">
        <v>16</v>
      </c>
      <c r="I577" s="47"/>
      <c r="J577" s="12" t="s">
        <v>5976</v>
      </c>
      <c r="K577" s="13" t="s">
        <v>7348</v>
      </c>
      <c r="L577" s="99" t="str">
        <f t="shared" si="33"/>
        <v>W321F.1</v>
      </c>
      <c r="M577" s="13" t="s">
        <v>17</v>
      </c>
      <c r="N577" s="13"/>
      <c r="O577" s="13"/>
      <c r="P577" s="47"/>
      <c r="Q577" s="45" t="s">
        <v>3672</v>
      </c>
      <c r="R577" s="45" t="s">
        <v>5552</v>
      </c>
      <c r="S577" s="48"/>
      <c r="T577" s="49" t="str">
        <f t="shared" si="32"/>
        <v>[W321F.1]</v>
      </c>
      <c r="U577" s="12" t="str">
        <f t="shared" si="35"/>
        <v xml:space="preserve"> 도어프레임 서보조립 건#4 Z축(SD240)  </v>
      </c>
      <c r="V577" s="49" t="str">
        <f t="shared" si="34"/>
        <v xml:space="preserve">[W321F.1] 도어프레임 서보조립 건#4 Z축(SD240)  </v>
      </c>
    </row>
    <row r="578" spans="1:22" s="49" customFormat="1" ht="14.15" customHeight="1">
      <c r="A578" s="43" t="s">
        <v>6687</v>
      </c>
      <c r="B578" s="44" t="s">
        <v>6635</v>
      </c>
      <c r="C578" s="50"/>
      <c r="D578" s="10" t="s">
        <v>29</v>
      </c>
      <c r="E578" s="11"/>
      <c r="F578" s="11" t="s">
        <v>18</v>
      </c>
      <c r="G578" s="13"/>
      <c r="H578" s="45" t="s">
        <v>16</v>
      </c>
      <c r="I578" s="47"/>
      <c r="J578" s="12" t="s">
        <v>5977</v>
      </c>
      <c r="K578" s="13" t="s">
        <v>7349</v>
      </c>
      <c r="L578" s="99" t="str">
        <f t="shared" si="33"/>
        <v>W321F.2</v>
      </c>
      <c r="M578" s="13" t="s">
        <v>17</v>
      </c>
      <c r="N578" s="13"/>
      <c r="O578" s="13"/>
      <c r="P578" s="47"/>
      <c r="Q578" s="45" t="s">
        <v>3672</v>
      </c>
      <c r="R578" s="45" t="s">
        <v>5552</v>
      </c>
      <c r="S578" s="48"/>
      <c r="T578" s="49" t="str">
        <f t="shared" si="32"/>
        <v>[W321F.2]</v>
      </c>
      <c r="U578" s="12" t="str">
        <f t="shared" si="35"/>
        <v xml:space="preserve"> 도어프레임 서보조립 건#4 Z축(SD240) 에러가 발생했습니다.</v>
      </c>
      <c r="V578" s="49" t="str">
        <f t="shared" si="34"/>
        <v>[W321F.2] 도어프레임 서보조립 건#4 Z축(SD240) 에러가 발생했습니다.</v>
      </c>
    </row>
    <row r="579" spans="1:22" s="49" customFormat="1" ht="14.15" customHeight="1">
      <c r="A579" s="43" t="s">
        <v>6682</v>
      </c>
      <c r="B579" s="44" t="s">
        <v>6635</v>
      </c>
      <c r="C579" s="50"/>
      <c r="D579" s="10" t="s">
        <v>29</v>
      </c>
      <c r="E579" s="11"/>
      <c r="F579" s="11" t="s">
        <v>18</v>
      </c>
      <c r="G579" s="13"/>
      <c r="H579" s="45" t="s">
        <v>16</v>
      </c>
      <c r="I579" s="47"/>
      <c r="J579" s="12" t="s">
        <v>6718</v>
      </c>
      <c r="K579" s="13" t="s">
        <v>7350</v>
      </c>
      <c r="L579" s="99" t="str">
        <f t="shared" si="33"/>
        <v>W321F.3</v>
      </c>
      <c r="M579" s="13" t="s">
        <v>17</v>
      </c>
      <c r="N579" s="13"/>
      <c r="O579" s="13"/>
      <c r="P579" s="47"/>
      <c r="Q579" s="45" t="s">
        <v>3672</v>
      </c>
      <c r="R579" s="45" t="s">
        <v>5552</v>
      </c>
      <c r="S579" s="48"/>
      <c r="T579" s="49" t="str">
        <f t="shared" si="32"/>
        <v>[W321F.3]</v>
      </c>
      <c r="U579" s="12" t="str">
        <f t="shared" si="35"/>
        <v xml:space="preserve"> 도어프레임 공급셔틀#2 X축(SD241) 운전중에 Ready가 Off 되었습니다.</v>
      </c>
      <c r="V579" s="49" t="str">
        <f t="shared" si="34"/>
        <v>[W321F.3] 도어프레임 공급셔틀#2 X축(SD241) 운전중에 Ready가 Off 되었습니다.</v>
      </c>
    </row>
    <row r="580" spans="1:22" s="49" customFormat="1" ht="14.15" customHeight="1">
      <c r="A580" s="43" t="s">
        <v>6682</v>
      </c>
      <c r="B580" s="44" t="s">
        <v>6635</v>
      </c>
      <c r="C580" s="50"/>
      <c r="D580" s="10" t="s">
        <v>29</v>
      </c>
      <c r="E580" s="11"/>
      <c r="F580" s="11" t="s">
        <v>18</v>
      </c>
      <c r="G580" s="13"/>
      <c r="H580" s="45" t="s">
        <v>16</v>
      </c>
      <c r="I580" s="47"/>
      <c r="J580" s="12" t="s">
        <v>6719</v>
      </c>
      <c r="K580" s="13" t="s">
        <v>7351</v>
      </c>
      <c r="L580" s="99" t="str">
        <f t="shared" si="33"/>
        <v>W321F.4</v>
      </c>
      <c r="M580" s="13" t="s">
        <v>17</v>
      </c>
      <c r="N580" s="13"/>
      <c r="O580" s="13"/>
      <c r="P580" s="47"/>
      <c r="Q580" s="45" t="s">
        <v>3672</v>
      </c>
      <c r="R580" s="45" t="s">
        <v>5552</v>
      </c>
      <c r="S580" s="48"/>
      <c r="T580" s="49" t="str">
        <f t="shared" si="32"/>
        <v>[W321F.4]</v>
      </c>
      <c r="U580" s="12" t="str">
        <f t="shared" si="35"/>
        <v xml:space="preserve"> 도어프레임 공급셔틀#2 X축(SD241) FLS가 감지되었습니다.</v>
      </c>
      <c r="V580" s="49" t="str">
        <f t="shared" si="34"/>
        <v>[W321F.4] 도어프레임 공급셔틀#2 X축(SD241) FLS가 감지되었습니다.</v>
      </c>
    </row>
    <row r="581" spans="1:22" s="49" customFormat="1" ht="14.15" customHeight="1">
      <c r="A581" s="43" t="s">
        <v>6682</v>
      </c>
      <c r="B581" s="44" t="s">
        <v>6635</v>
      </c>
      <c r="C581" s="50"/>
      <c r="D581" s="10" t="s">
        <v>29</v>
      </c>
      <c r="E581" s="11"/>
      <c r="F581" s="11" t="s">
        <v>18</v>
      </c>
      <c r="G581" s="13"/>
      <c r="H581" s="45" t="s">
        <v>16</v>
      </c>
      <c r="I581" s="47"/>
      <c r="J581" s="12" t="s">
        <v>6720</v>
      </c>
      <c r="K581" s="13" t="s">
        <v>7352</v>
      </c>
      <c r="L581" s="99" t="str">
        <f t="shared" si="33"/>
        <v>W321F.5</v>
      </c>
      <c r="M581" s="13" t="s">
        <v>17</v>
      </c>
      <c r="N581" s="13"/>
      <c r="O581" s="13"/>
      <c r="P581" s="47"/>
      <c r="Q581" s="45" t="s">
        <v>3672</v>
      </c>
      <c r="R581" s="45" t="s">
        <v>5552</v>
      </c>
      <c r="S581" s="48"/>
      <c r="T581" s="49" t="str">
        <f t="shared" si="32"/>
        <v>[W321F.5]</v>
      </c>
      <c r="U581" s="12" t="str">
        <f t="shared" si="35"/>
        <v xml:space="preserve"> 도어프레임 공급셔틀#2 X축(SD241) RLS가 감지되었습니다.</v>
      </c>
      <c r="V581" s="49" t="str">
        <f t="shared" si="34"/>
        <v>[W321F.5] 도어프레임 공급셔틀#2 X축(SD241) RLS가 감지되었습니다.</v>
      </c>
    </row>
    <row r="582" spans="1:22" s="49" customFormat="1" ht="14.15" customHeight="1">
      <c r="A582" s="43" t="s">
        <v>6682</v>
      </c>
      <c r="B582" s="44" t="s">
        <v>6635</v>
      </c>
      <c r="C582" s="50"/>
      <c r="D582" s="10" t="s">
        <v>29</v>
      </c>
      <c r="E582" s="11"/>
      <c r="F582" s="11" t="s">
        <v>18</v>
      </c>
      <c r="G582" s="13"/>
      <c r="H582" s="45" t="s">
        <v>16</v>
      </c>
      <c r="I582" s="47"/>
      <c r="J582" s="12" t="s">
        <v>6721</v>
      </c>
      <c r="K582" s="13" t="s">
        <v>7353</v>
      </c>
      <c r="L582" s="99" t="str">
        <f t="shared" si="33"/>
        <v>W321F.6</v>
      </c>
      <c r="M582" s="13" t="s">
        <v>17</v>
      </c>
      <c r="N582" s="13"/>
      <c r="O582" s="13"/>
      <c r="P582" s="47"/>
      <c r="Q582" s="45" t="s">
        <v>3672</v>
      </c>
      <c r="R582" s="45" t="s">
        <v>5552</v>
      </c>
      <c r="S582" s="48"/>
      <c r="T582" s="49" t="str">
        <f t="shared" si="32"/>
        <v>[W321F.6]</v>
      </c>
      <c r="U582" s="12" t="str">
        <f t="shared" si="35"/>
        <v xml:space="preserve"> 도어프레임 공급셔틀#2 X축(SD241) Stop 명령이 On된 상태에서 기동을 시도했습니다.</v>
      </c>
      <c r="V582" s="49" t="str">
        <f t="shared" si="34"/>
        <v>[W321F.6] 도어프레임 공급셔틀#2 X축(SD241) Stop 명령이 On된 상태에서 기동을 시도했습니다.</v>
      </c>
    </row>
    <row r="583" spans="1:22" s="49" customFormat="1" ht="14.15" customHeight="1">
      <c r="A583" s="43" t="s">
        <v>6682</v>
      </c>
      <c r="B583" s="44" t="s">
        <v>6635</v>
      </c>
      <c r="C583" s="50"/>
      <c r="D583" s="10" t="s">
        <v>29</v>
      </c>
      <c r="E583" s="11"/>
      <c r="F583" s="11" t="s">
        <v>18</v>
      </c>
      <c r="G583" s="13"/>
      <c r="H583" s="45" t="s">
        <v>16</v>
      </c>
      <c r="I583" s="47"/>
      <c r="J583" s="12" t="s">
        <v>6722</v>
      </c>
      <c r="K583" s="13" t="s">
        <v>7354</v>
      </c>
      <c r="L583" s="99" t="str">
        <f t="shared" si="33"/>
        <v>W321F.7</v>
      </c>
      <c r="M583" s="13" t="s">
        <v>17</v>
      </c>
      <c r="N583" s="13"/>
      <c r="O583" s="13"/>
      <c r="P583" s="47"/>
      <c r="Q583" s="45" t="s">
        <v>3672</v>
      </c>
      <c r="R583" s="45" t="s">
        <v>5552</v>
      </c>
      <c r="S583" s="48"/>
      <c r="T583" s="49" t="str">
        <f t="shared" si="32"/>
        <v>[W321F.7]</v>
      </c>
      <c r="U583" s="12" t="str">
        <f t="shared" si="35"/>
        <v xml:space="preserve"> 도어프레임 공급셔틀#2 X축(SD241) 가동 전원이 Off 되었습니다.</v>
      </c>
      <c r="V583" s="49" t="str">
        <f t="shared" si="34"/>
        <v>[W321F.7] 도어프레임 공급셔틀#2 X축(SD241) 가동 전원이 Off 되었습니다.</v>
      </c>
    </row>
    <row r="584" spans="1:22" s="49" customFormat="1" ht="14.15" customHeight="1">
      <c r="A584" s="43" t="s">
        <v>6682</v>
      </c>
      <c r="B584" s="44" t="s">
        <v>6635</v>
      </c>
      <c r="C584" s="50"/>
      <c r="D584" s="10" t="s">
        <v>29</v>
      </c>
      <c r="E584" s="11"/>
      <c r="F584" s="11" t="s">
        <v>18</v>
      </c>
      <c r="G584" s="13"/>
      <c r="H584" s="45" t="s">
        <v>16</v>
      </c>
      <c r="I584" s="47"/>
      <c r="J584" s="12" t="s">
        <v>6723</v>
      </c>
      <c r="K584" s="13" t="s">
        <v>7355</v>
      </c>
      <c r="L584" s="99" t="str">
        <f t="shared" si="33"/>
        <v>W321F.8</v>
      </c>
      <c r="M584" s="13" t="s">
        <v>17</v>
      </c>
      <c r="N584" s="13"/>
      <c r="O584" s="13"/>
      <c r="P584" s="47"/>
      <c r="Q584" s="45" t="s">
        <v>3672</v>
      </c>
      <c r="R584" s="45" t="s">
        <v>5552</v>
      </c>
      <c r="S584" s="48"/>
      <c r="T584" s="49" t="str">
        <f t="shared" si="32"/>
        <v>[W321F.8]</v>
      </c>
      <c r="U584" s="12" t="str">
        <f t="shared" si="35"/>
        <v xml:space="preserve"> 도어프레임 공급셔틀#2 X축(SD241) 엔코더 이상이 검출되었습니다.</v>
      </c>
      <c r="V584" s="49" t="str">
        <f t="shared" si="34"/>
        <v>[W321F.8] 도어프레임 공급셔틀#2 X축(SD241) 엔코더 이상이 검출되었습니다.</v>
      </c>
    </row>
    <row r="585" spans="1:22" s="49" customFormat="1" ht="14.15" customHeight="1">
      <c r="A585" s="43" t="s">
        <v>6682</v>
      </c>
      <c r="B585" s="44" t="s">
        <v>6635</v>
      </c>
      <c r="C585" s="50"/>
      <c r="D585" s="10" t="s">
        <v>29</v>
      </c>
      <c r="E585" s="11"/>
      <c r="F585" s="11" t="s">
        <v>18</v>
      </c>
      <c r="G585" s="13"/>
      <c r="H585" s="45" t="s">
        <v>16</v>
      </c>
      <c r="I585" s="47"/>
      <c r="J585" s="12" t="s">
        <v>6724</v>
      </c>
      <c r="K585" s="13" t="s">
        <v>7356</v>
      </c>
      <c r="L585" s="99" t="str">
        <f t="shared" si="33"/>
        <v>W321F.9</v>
      </c>
      <c r="M585" s="13" t="s">
        <v>17</v>
      </c>
      <c r="N585" s="13"/>
      <c r="O585" s="13"/>
      <c r="P585" s="47"/>
      <c r="Q585" s="45" t="s">
        <v>3672</v>
      </c>
      <c r="R585" s="45" t="s">
        <v>5552</v>
      </c>
      <c r="S585" s="48"/>
      <c r="T585" s="49" t="str">
        <f t="shared" si="32"/>
        <v>[W321F.9]</v>
      </c>
      <c r="U585" s="12" t="str">
        <f t="shared" si="35"/>
        <v xml:space="preserve"> 도어프레임 공급셔틀#2 X축(SD241) 과전류가 검출되었습니다.</v>
      </c>
      <c r="V585" s="49" t="str">
        <f t="shared" si="34"/>
        <v>[W321F.9] 도어프레임 공급셔틀#2 X축(SD241) 과전류가 검출되었습니다.</v>
      </c>
    </row>
    <row r="586" spans="1:22" s="49" customFormat="1" ht="14.15" customHeight="1">
      <c r="A586" s="43" t="s">
        <v>6682</v>
      </c>
      <c r="B586" s="44" t="s">
        <v>6635</v>
      </c>
      <c r="C586" s="50"/>
      <c r="D586" s="10" t="s">
        <v>29</v>
      </c>
      <c r="E586" s="11"/>
      <c r="F586" s="11" t="s">
        <v>18</v>
      </c>
      <c r="G586" s="13"/>
      <c r="H586" s="45" t="s">
        <v>16</v>
      </c>
      <c r="I586" s="47"/>
      <c r="J586" s="12" t="s">
        <v>6725</v>
      </c>
      <c r="K586" s="13" t="s">
        <v>7357</v>
      </c>
      <c r="L586" s="99" t="str">
        <f t="shared" si="33"/>
        <v>W321F.A</v>
      </c>
      <c r="M586" s="13" t="s">
        <v>17</v>
      </c>
      <c r="N586" s="13"/>
      <c r="O586" s="13"/>
      <c r="P586" s="47"/>
      <c r="Q586" s="45" t="s">
        <v>3672</v>
      </c>
      <c r="R586" s="45" t="s">
        <v>5552</v>
      </c>
      <c r="S586" s="48"/>
      <c r="T586" s="49" t="str">
        <f t="shared" si="32"/>
        <v>[W321F.A]</v>
      </c>
      <c r="U586" s="12" t="str">
        <f t="shared" si="35"/>
        <v xml:space="preserve"> 도어프레임 공급셔틀#2 X축(SD241) 과부하가 검출되었습니다.</v>
      </c>
      <c r="V586" s="49" t="str">
        <f t="shared" si="34"/>
        <v>[W321F.A] 도어프레임 공급셔틀#2 X축(SD241) 과부하가 검출되었습니다.</v>
      </c>
    </row>
    <row r="587" spans="1:22" s="49" customFormat="1" ht="14.15" customHeight="1">
      <c r="A587" s="43" t="s">
        <v>6682</v>
      </c>
      <c r="B587" s="44" t="s">
        <v>6635</v>
      </c>
      <c r="C587" s="50"/>
      <c r="D587" s="10" t="s">
        <v>29</v>
      </c>
      <c r="E587" s="11"/>
      <c r="F587" s="11" t="s">
        <v>18</v>
      </c>
      <c r="G587" s="13"/>
      <c r="H587" s="45" t="s">
        <v>16</v>
      </c>
      <c r="I587" s="47"/>
      <c r="J587" s="12" t="s">
        <v>6726</v>
      </c>
      <c r="K587" s="13" t="s">
        <v>7358</v>
      </c>
      <c r="L587" s="99" t="str">
        <f t="shared" si="33"/>
        <v>W321F.B</v>
      </c>
      <c r="M587" s="13" t="s">
        <v>17</v>
      </c>
      <c r="N587" s="13"/>
      <c r="O587" s="13"/>
      <c r="P587" s="47"/>
      <c r="Q587" s="45" t="s">
        <v>3672</v>
      </c>
      <c r="R587" s="45" t="s">
        <v>5552</v>
      </c>
      <c r="S587" s="48"/>
      <c r="T587" s="49" t="str">
        <f t="shared" si="32"/>
        <v>[W321F.B]</v>
      </c>
      <c r="U587" s="12" t="str">
        <f t="shared" si="35"/>
        <v xml:space="preserve"> 도어프레임 공급셔틀#2 X축(SD241)  </v>
      </c>
      <c r="V587" s="49" t="str">
        <f t="shared" si="34"/>
        <v xml:space="preserve">[W321F.B] 도어프레임 공급셔틀#2 X축(SD241)  </v>
      </c>
    </row>
    <row r="588" spans="1:22" s="49" customFormat="1" ht="14.15" customHeight="1">
      <c r="A588" s="43" t="s">
        <v>6682</v>
      </c>
      <c r="B588" s="44" t="s">
        <v>6635</v>
      </c>
      <c r="C588" s="50"/>
      <c r="D588" s="10" t="s">
        <v>29</v>
      </c>
      <c r="E588" s="11"/>
      <c r="F588" s="11" t="s">
        <v>18</v>
      </c>
      <c r="G588" s="13"/>
      <c r="H588" s="45" t="s">
        <v>16</v>
      </c>
      <c r="I588" s="47"/>
      <c r="J588" s="12" t="s">
        <v>6727</v>
      </c>
      <c r="K588" s="13" t="s">
        <v>7359</v>
      </c>
      <c r="L588" s="99" t="str">
        <f t="shared" si="33"/>
        <v>W321F.C</v>
      </c>
      <c r="M588" s="13" t="s">
        <v>17</v>
      </c>
      <c r="N588" s="13"/>
      <c r="O588" s="13"/>
      <c r="P588" s="47"/>
      <c r="Q588" s="45" t="s">
        <v>3672</v>
      </c>
      <c r="R588" s="45" t="s">
        <v>5552</v>
      </c>
      <c r="S588" s="48"/>
      <c r="T588" s="49" t="str">
        <f t="shared" si="32"/>
        <v>[W321F.C]</v>
      </c>
      <c r="U588" s="12" t="str">
        <f t="shared" si="35"/>
        <v xml:space="preserve"> 도어프레임 공급셔틀#2 X축(SD241) 에러가 발생했습니다.</v>
      </c>
      <c r="V588" s="49" t="str">
        <f t="shared" si="34"/>
        <v>[W321F.C] 도어프레임 공급셔틀#2 X축(SD241) 에러가 발생했습니다.</v>
      </c>
    </row>
    <row r="589" spans="1:22" s="49" customFormat="1" ht="14.15" customHeight="1">
      <c r="A589" s="43" t="s">
        <v>6682</v>
      </c>
      <c r="B589" s="44" t="s">
        <v>6635</v>
      </c>
      <c r="C589" s="50"/>
      <c r="D589" s="10" t="s">
        <v>29</v>
      </c>
      <c r="E589" s="11"/>
      <c r="F589" s="11" t="s">
        <v>18</v>
      </c>
      <c r="G589" s="13"/>
      <c r="H589" s="45" t="s">
        <v>16</v>
      </c>
      <c r="I589" s="47"/>
      <c r="J589" s="12" t="s">
        <v>5978</v>
      </c>
      <c r="K589" s="13" t="s">
        <v>7360</v>
      </c>
      <c r="L589" s="99" t="str">
        <f t="shared" si="33"/>
        <v>W321F.D</v>
      </c>
      <c r="M589" s="13" t="s">
        <v>17</v>
      </c>
      <c r="N589" s="13"/>
      <c r="O589" s="13"/>
      <c r="P589" s="47"/>
      <c r="Q589" s="45" t="s">
        <v>3672</v>
      </c>
      <c r="R589" s="45" t="s">
        <v>5552</v>
      </c>
      <c r="S589" s="48"/>
      <c r="T589" s="49" t="str">
        <f t="shared" si="32"/>
        <v>[W321F.D]</v>
      </c>
      <c r="U589" s="12" t="str">
        <f t="shared" si="35"/>
        <v xml:space="preserve"> 도어프레임 공급셔틀#2 X축(SD242) 운전중에 Ready가 Off 되었습니다.</v>
      </c>
      <c r="V589" s="49" t="str">
        <f t="shared" si="34"/>
        <v>[W321F.D] 도어프레임 공급셔틀#2 X축(SD242) 운전중에 Ready가 Off 되었습니다.</v>
      </c>
    </row>
    <row r="590" spans="1:22" s="49" customFormat="1" ht="14.15" customHeight="1">
      <c r="A590" s="43" t="s">
        <v>6682</v>
      </c>
      <c r="B590" s="44" t="s">
        <v>6635</v>
      </c>
      <c r="C590" s="50"/>
      <c r="D590" s="10" t="s">
        <v>29</v>
      </c>
      <c r="E590" s="11"/>
      <c r="F590" s="11" t="s">
        <v>18</v>
      </c>
      <c r="G590" s="13"/>
      <c r="H590" s="45" t="s">
        <v>16</v>
      </c>
      <c r="I590" s="47"/>
      <c r="J590" s="12" t="s">
        <v>5979</v>
      </c>
      <c r="K590" s="13" t="s">
        <v>7361</v>
      </c>
      <c r="L590" s="99" t="str">
        <f t="shared" si="33"/>
        <v>W321F.E</v>
      </c>
      <c r="M590" s="13" t="s">
        <v>17</v>
      </c>
      <c r="N590" s="13"/>
      <c r="O590" s="13"/>
      <c r="P590" s="47"/>
      <c r="Q590" s="45" t="s">
        <v>3672</v>
      </c>
      <c r="R590" s="45" t="s">
        <v>5552</v>
      </c>
      <c r="S590" s="48"/>
      <c r="T590" s="49" t="str">
        <f t="shared" si="32"/>
        <v>[W321F.E]</v>
      </c>
      <c r="U590" s="12" t="str">
        <f t="shared" si="35"/>
        <v xml:space="preserve"> 도어프레임 공급셔틀#2 X축(SD242) FLS가 감지되었습니다.</v>
      </c>
      <c r="V590" s="49" t="str">
        <f t="shared" si="34"/>
        <v>[W321F.E] 도어프레임 공급셔틀#2 X축(SD242) FLS가 감지되었습니다.</v>
      </c>
    </row>
    <row r="591" spans="1:22" s="49" customFormat="1" ht="14.15" customHeight="1">
      <c r="A591" s="43" t="s">
        <v>6682</v>
      </c>
      <c r="B591" s="44" t="s">
        <v>6635</v>
      </c>
      <c r="C591" s="50"/>
      <c r="D591" s="10" t="s">
        <v>29</v>
      </c>
      <c r="E591" s="11"/>
      <c r="F591" s="11" t="s">
        <v>18</v>
      </c>
      <c r="G591" s="13"/>
      <c r="H591" s="45" t="s">
        <v>16</v>
      </c>
      <c r="I591" s="47"/>
      <c r="J591" s="12" t="s">
        <v>5980</v>
      </c>
      <c r="K591" s="13" t="s">
        <v>7362</v>
      </c>
      <c r="L591" s="99" t="str">
        <f t="shared" si="33"/>
        <v>W321F.F</v>
      </c>
      <c r="M591" s="13" t="s">
        <v>17</v>
      </c>
      <c r="N591" s="13"/>
      <c r="O591" s="13"/>
      <c r="P591" s="47"/>
      <c r="Q591" s="45" t="s">
        <v>3672</v>
      </c>
      <c r="R591" s="45" t="s">
        <v>5552</v>
      </c>
      <c r="S591" s="48"/>
      <c r="T591" s="49" t="str">
        <f t="shared" si="32"/>
        <v>[W321F.F]</v>
      </c>
      <c r="U591" s="12" t="str">
        <f t="shared" si="35"/>
        <v xml:space="preserve"> 도어프레임 공급셔틀#2 X축(SD242) RLS가 감지되었습니다.</v>
      </c>
      <c r="V591" s="49" t="str">
        <f t="shared" si="34"/>
        <v>[W321F.F] 도어프레임 공급셔틀#2 X축(SD242) RLS가 감지되었습니다.</v>
      </c>
    </row>
    <row r="592" spans="1:22" s="49" customFormat="1" ht="14.15" customHeight="1">
      <c r="A592" s="43" t="s">
        <v>6682</v>
      </c>
      <c r="B592" s="44" t="s">
        <v>6635</v>
      </c>
      <c r="C592" s="50"/>
      <c r="D592" s="10" t="s">
        <v>29</v>
      </c>
      <c r="E592" s="11"/>
      <c r="F592" s="11" t="s">
        <v>18</v>
      </c>
      <c r="G592" s="13"/>
      <c r="H592" s="45" t="s">
        <v>16</v>
      </c>
      <c r="I592" s="47"/>
      <c r="J592" s="12" t="s">
        <v>5981</v>
      </c>
      <c r="K592" s="13" t="s">
        <v>7363</v>
      </c>
      <c r="L592" s="99" t="str">
        <f t="shared" si="33"/>
        <v>W3220.0</v>
      </c>
      <c r="M592" s="13" t="s">
        <v>17</v>
      </c>
      <c r="N592" s="13"/>
      <c r="O592" s="13"/>
      <c r="P592" s="47"/>
      <c r="Q592" s="45" t="s">
        <v>3672</v>
      </c>
      <c r="R592" s="45" t="s">
        <v>5552</v>
      </c>
      <c r="S592" s="48"/>
      <c r="T592" s="49" t="str">
        <f t="shared" ref="T592:T655" si="36">"["&amp;L592&amp;"]"</f>
        <v>[W3220.0]</v>
      </c>
      <c r="U592" s="12" t="str">
        <f t="shared" si="35"/>
        <v xml:space="preserve"> 도어프레임 공급셔틀#2 X축(SD242) Stop 명령이 On된 상태에서 기동을 시도했습니다.</v>
      </c>
      <c r="V592" s="49" t="str">
        <f t="shared" si="34"/>
        <v>[W3220.0] 도어프레임 공급셔틀#2 X축(SD242) Stop 명령이 On된 상태에서 기동을 시도했습니다.</v>
      </c>
    </row>
    <row r="593" spans="1:22" s="49" customFormat="1" ht="14.15" customHeight="1">
      <c r="A593" s="43" t="s">
        <v>6682</v>
      </c>
      <c r="B593" s="44" t="s">
        <v>6635</v>
      </c>
      <c r="C593" s="50"/>
      <c r="D593" s="10" t="s">
        <v>29</v>
      </c>
      <c r="E593" s="11"/>
      <c r="F593" s="11" t="s">
        <v>18</v>
      </c>
      <c r="G593" s="13"/>
      <c r="H593" s="45" t="s">
        <v>16</v>
      </c>
      <c r="I593" s="47"/>
      <c r="J593" s="12" t="s">
        <v>5982</v>
      </c>
      <c r="K593" s="13" t="s">
        <v>7364</v>
      </c>
      <c r="L593" s="99" t="str">
        <f t="shared" ref="L593:L656" si="37">"W"&amp;DEC2HEX(12800 + INT((ROW()-80)/16)) &amp; "." &amp; IF(MOD(ROW()-80,16)&lt;10,MOD(ROW()-80,16),CHAR(MOD(ROW()-80,16)+55))</f>
        <v>W3220.1</v>
      </c>
      <c r="M593" s="13" t="s">
        <v>17</v>
      </c>
      <c r="N593" s="13"/>
      <c r="O593" s="13"/>
      <c r="P593" s="47"/>
      <c r="Q593" s="45" t="s">
        <v>3672</v>
      </c>
      <c r="R593" s="45" t="s">
        <v>5552</v>
      </c>
      <c r="S593" s="48"/>
      <c r="T593" s="49" t="str">
        <f t="shared" si="36"/>
        <v>[W3220.1]</v>
      </c>
      <c r="U593" s="12" t="str">
        <f t="shared" si="35"/>
        <v xml:space="preserve"> 도어프레임 공급셔틀#2 X축(SD242) 가동 전원이 Off 되었습니다.</v>
      </c>
      <c r="V593" s="49" t="str">
        <f t="shared" ref="V593:V656" si="38">T593&amp;U593</f>
        <v>[W3220.1] 도어프레임 공급셔틀#2 X축(SD242) 가동 전원이 Off 되었습니다.</v>
      </c>
    </row>
    <row r="594" spans="1:22" s="49" customFormat="1" ht="14.15" customHeight="1">
      <c r="A594" s="43" t="s">
        <v>6682</v>
      </c>
      <c r="B594" s="44" t="s">
        <v>6635</v>
      </c>
      <c r="C594" s="50"/>
      <c r="D594" s="10" t="s">
        <v>29</v>
      </c>
      <c r="E594" s="11"/>
      <c r="F594" s="11" t="s">
        <v>18</v>
      </c>
      <c r="G594" s="13"/>
      <c r="H594" s="45" t="s">
        <v>16</v>
      </c>
      <c r="I594" s="46"/>
      <c r="J594" s="12" t="s">
        <v>5983</v>
      </c>
      <c r="K594" s="13" t="s">
        <v>7365</v>
      </c>
      <c r="L594" s="99" t="str">
        <f t="shared" si="37"/>
        <v>W3220.2</v>
      </c>
      <c r="M594" s="13" t="s">
        <v>17</v>
      </c>
      <c r="N594" s="13"/>
      <c r="O594" s="13"/>
      <c r="P594" s="47"/>
      <c r="Q594" s="45" t="s">
        <v>3672</v>
      </c>
      <c r="R594" s="45" t="s">
        <v>5552</v>
      </c>
      <c r="S594" s="48"/>
      <c r="T594" s="49" t="str">
        <f t="shared" si="36"/>
        <v>[W3220.2]</v>
      </c>
      <c r="U594" s="12" t="str">
        <f t="shared" si="35"/>
        <v xml:space="preserve"> 도어프레임 공급셔틀#2 X축(SD242) 엔코더 이상이 검출되었습니다.</v>
      </c>
      <c r="V594" s="49" t="str">
        <f t="shared" si="38"/>
        <v>[W3220.2] 도어프레임 공급셔틀#2 X축(SD242) 엔코더 이상이 검출되었습니다.</v>
      </c>
    </row>
    <row r="595" spans="1:22" s="49" customFormat="1" ht="14.15" customHeight="1">
      <c r="A595" s="43" t="s">
        <v>6682</v>
      </c>
      <c r="B595" s="44" t="s">
        <v>6635</v>
      </c>
      <c r="C595" s="50"/>
      <c r="D595" s="10" t="s">
        <v>29</v>
      </c>
      <c r="E595" s="11"/>
      <c r="F595" s="11" t="s">
        <v>18</v>
      </c>
      <c r="G595" s="13"/>
      <c r="H595" s="45" t="s">
        <v>16</v>
      </c>
      <c r="I595" s="46"/>
      <c r="J595" s="12" t="s">
        <v>5984</v>
      </c>
      <c r="K595" s="13" t="s">
        <v>7366</v>
      </c>
      <c r="L595" s="99" t="str">
        <f t="shared" si="37"/>
        <v>W3220.3</v>
      </c>
      <c r="M595" s="13" t="s">
        <v>17</v>
      </c>
      <c r="N595" s="13"/>
      <c r="O595" s="13"/>
      <c r="P595" s="47"/>
      <c r="Q595" s="45" t="s">
        <v>3672</v>
      </c>
      <c r="R595" s="45" t="s">
        <v>5552</v>
      </c>
      <c r="S595" s="48"/>
      <c r="T595" s="49" t="str">
        <f t="shared" si="36"/>
        <v>[W3220.3]</v>
      </c>
      <c r="U595" s="12" t="str">
        <f t="shared" si="35"/>
        <v xml:space="preserve"> 도어프레임 공급셔틀#2 X축(SD242) 과전류가 검출되었습니다.</v>
      </c>
      <c r="V595" s="49" t="str">
        <f t="shared" si="38"/>
        <v>[W3220.3] 도어프레임 공급셔틀#2 X축(SD242) 과전류가 검출되었습니다.</v>
      </c>
    </row>
    <row r="596" spans="1:22" s="49" customFormat="1" ht="14.15" customHeight="1">
      <c r="A596" s="43" t="s">
        <v>6682</v>
      </c>
      <c r="B596" s="44" t="s">
        <v>6635</v>
      </c>
      <c r="C596" s="50"/>
      <c r="D596" s="10" t="s">
        <v>29</v>
      </c>
      <c r="E596" s="11"/>
      <c r="F596" s="11" t="s">
        <v>18</v>
      </c>
      <c r="G596" s="13"/>
      <c r="H596" s="45" t="s">
        <v>16</v>
      </c>
      <c r="I596" s="46"/>
      <c r="J596" s="12" t="s">
        <v>5985</v>
      </c>
      <c r="K596" s="13" t="s">
        <v>7367</v>
      </c>
      <c r="L596" s="99" t="str">
        <f t="shared" si="37"/>
        <v>W3220.4</v>
      </c>
      <c r="M596" s="13" t="s">
        <v>17</v>
      </c>
      <c r="N596" s="13"/>
      <c r="O596" s="13"/>
      <c r="P596" s="47"/>
      <c r="Q596" s="45" t="s">
        <v>3672</v>
      </c>
      <c r="R596" s="45" t="s">
        <v>5552</v>
      </c>
      <c r="S596" s="48"/>
      <c r="T596" s="49" t="str">
        <f t="shared" si="36"/>
        <v>[W3220.4]</v>
      </c>
      <c r="U596" s="12" t="str">
        <f t="shared" si="35"/>
        <v xml:space="preserve"> 도어프레임 공급셔틀#2 X축(SD242) 과부하가 검출되었습니다.</v>
      </c>
      <c r="V596" s="49" t="str">
        <f t="shared" si="38"/>
        <v>[W3220.4] 도어프레임 공급셔틀#2 X축(SD242) 과부하가 검출되었습니다.</v>
      </c>
    </row>
    <row r="597" spans="1:22" s="49" customFormat="1" ht="14.15" customHeight="1">
      <c r="A597" s="43" t="s">
        <v>6682</v>
      </c>
      <c r="B597" s="44" t="s">
        <v>6635</v>
      </c>
      <c r="C597" s="50"/>
      <c r="D597" s="10" t="s">
        <v>29</v>
      </c>
      <c r="E597" s="11"/>
      <c r="F597" s="11" t="s">
        <v>18</v>
      </c>
      <c r="G597" s="13"/>
      <c r="H597" s="45" t="s">
        <v>16</v>
      </c>
      <c r="I597" s="46"/>
      <c r="J597" s="12" t="s">
        <v>5986</v>
      </c>
      <c r="K597" s="13" t="s">
        <v>7368</v>
      </c>
      <c r="L597" s="99" t="str">
        <f t="shared" si="37"/>
        <v>W3220.5</v>
      </c>
      <c r="M597" s="13" t="s">
        <v>17</v>
      </c>
      <c r="N597" s="13"/>
      <c r="O597" s="13"/>
      <c r="P597" s="47"/>
      <c r="Q597" s="45" t="s">
        <v>3672</v>
      </c>
      <c r="R597" s="45" t="s">
        <v>5552</v>
      </c>
      <c r="S597" s="48"/>
      <c r="T597" s="49" t="str">
        <f t="shared" si="36"/>
        <v>[W3220.5]</v>
      </c>
      <c r="U597" s="12" t="str">
        <f t="shared" ref="U597:U660" si="39">RIGHT(J597,LEN(J597)-7)</f>
        <v xml:space="preserve"> 도어프레임 공급셔틀#2 X축(SD242)  </v>
      </c>
      <c r="V597" s="49" t="str">
        <f t="shared" si="38"/>
        <v xml:space="preserve">[W3220.5] 도어프레임 공급셔틀#2 X축(SD242)  </v>
      </c>
    </row>
    <row r="598" spans="1:22" s="49" customFormat="1" ht="14.15" customHeight="1">
      <c r="A598" s="43" t="s">
        <v>6682</v>
      </c>
      <c r="B598" s="44" t="s">
        <v>6635</v>
      </c>
      <c r="C598" s="50"/>
      <c r="D598" s="10" t="s">
        <v>29</v>
      </c>
      <c r="E598" s="11"/>
      <c r="F598" s="11" t="s">
        <v>18</v>
      </c>
      <c r="G598" s="13"/>
      <c r="H598" s="45" t="s">
        <v>16</v>
      </c>
      <c r="I598" s="46"/>
      <c r="J598" s="12" t="s">
        <v>5987</v>
      </c>
      <c r="K598" s="13" t="s">
        <v>7369</v>
      </c>
      <c r="L598" s="99" t="str">
        <f t="shared" si="37"/>
        <v>W3220.6</v>
      </c>
      <c r="M598" s="13" t="s">
        <v>17</v>
      </c>
      <c r="N598" s="13"/>
      <c r="O598" s="13"/>
      <c r="P598" s="47"/>
      <c r="Q598" s="45" t="s">
        <v>3672</v>
      </c>
      <c r="R598" s="45" t="s">
        <v>5552</v>
      </c>
      <c r="S598" s="48"/>
      <c r="T598" s="49" t="str">
        <f t="shared" si="36"/>
        <v>[W3220.6]</v>
      </c>
      <c r="U598" s="12" t="str">
        <f t="shared" si="39"/>
        <v xml:space="preserve"> 도어프레임 공급셔틀#2 X축(SD242) 에러가 발생했습니다.</v>
      </c>
      <c r="V598" s="49" t="str">
        <f t="shared" si="38"/>
        <v>[W3220.6] 도어프레임 공급셔틀#2 X축(SD242) 에러가 발생했습니다.</v>
      </c>
    </row>
    <row r="599" spans="1:22" s="49" customFormat="1" ht="14.15" customHeight="1">
      <c r="A599" s="43" t="s">
        <v>6688</v>
      </c>
      <c r="B599" s="44" t="s">
        <v>6635</v>
      </c>
      <c r="C599" s="50"/>
      <c r="D599" s="10" t="s">
        <v>29</v>
      </c>
      <c r="E599" s="11"/>
      <c r="F599" s="11" t="s">
        <v>18</v>
      </c>
      <c r="G599" s="13"/>
      <c r="H599" s="45" t="s">
        <v>16</v>
      </c>
      <c r="I599" s="46"/>
      <c r="J599" s="12" t="s">
        <v>5988</v>
      </c>
      <c r="K599" s="13" t="s">
        <v>7370</v>
      </c>
      <c r="L599" s="99" t="str">
        <f t="shared" si="37"/>
        <v>W3220.7</v>
      </c>
      <c r="M599" s="13" t="s">
        <v>17</v>
      </c>
      <c r="N599" s="13"/>
      <c r="O599" s="13"/>
      <c r="P599" s="47"/>
      <c r="Q599" s="45" t="s">
        <v>3672</v>
      </c>
      <c r="R599" s="45" t="s">
        <v>5552</v>
      </c>
      <c r="S599" s="48"/>
      <c r="T599" s="49" t="str">
        <f t="shared" si="36"/>
        <v>[W3220.7]</v>
      </c>
      <c r="U599" s="12" t="str">
        <f t="shared" si="39"/>
        <v xml:space="preserve"> 도어프레임 반전기 T축(SD243) 운전중에 Ready가 Off 되었습니다.</v>
      </c>
      <c r="V599" s="49" t="str">
        <f t="shared" si="38"/>
        <v>[W3220.7] 도어프레임 반전기 T축(SD243) 운전중에 Ready가 Off 되었습니다.</v>
      </c>
    </row>
    <row r="600" spans="1:22" s="49" customFormat="1" ht="14.15" customHeight="1">
      <c r="A600" s="43" t="s">
        <v>6688</v>
      </c>
      <c r="B600" s="44" t="s">
        <v>6635</v>
      </c>
      <c r="C600" s="50"/>
      <c r="D600" s="10" t="s">
        <v>29</v>
      </c>
      <c r="E600" s="11"/>
      <c r="F600" s="11" t="s">
        <v>18</v>
      </c>
      <c r="G600" s="13"/>
      <c r="H600" s="45" t="s">
        <v>16</v>
      </c>
      <c r="I600" s="47"/>
      <c r="J600" s="12" t="s">
        <v>5989</v>
      </c>
      <c r="K600" s="13" t="s">
        <v>7371</v>
      </c>
      <c r="L600" s="99" t="str">
        <f t="shared" si="37"/>
        <v>W3220.8</v>
      </c>
      <c r="M600" s="13" t="s">
        <v>17</v>
      </c>
      <c r="N600" s="13"/>
      <c r="O600" s="13"/>
      <c r="P600" s="47"/>
      <c r="Q600" s="45" t="s">
        <v>3672</v>
      </c>
      <c r="R600" s="45" t="s">
        <v>5552</v>
      </c>
      <c r="S600" s="48"/>
      <c r="T600" s="49" t="str">
        <f t="shared" si="36"/>
        <v>[W3220.8]</v>
      </c>
      <c r="U600" s="12" t="str">
        <f t="shared" si="39"/>
        <v xml:space="preserve"> 도어프레임 반전기 T축(SD243) FLS가 감지되었습니다.</v>
      </c>
      <c r="V600" s="49" t="str">
        <f t="shared" si="38"/>
        <v>[W3220.8] 도어프레임 반전기 T축(SD243) FLS가 감지되었습니다.</v>
      </c>
    </row>
    <row r="601" spans="1:22" s="49" customFormat="1" ht="14.15" customHeight="1">
      <c r="A601" s="43" t="s">
        <v>6688</v>
      </c>
      <c r="B601" s="44" t="s">
        <v>6635</v>
      </c>
      <c r="C601" s="50"/>
      <c r="D601" s="10" t="s">
        <v>29</v>
      </c>
      <c r="E601" s="11"/>
      <c r="F601" s="11" t="s">
        <v>18</v>
      </c>
      <c r="G601" s="13"/>
      <c r="H601" s="45" t="s">
        <v>16</v>
      </c>
      <c r="I601" s="47"/>
      <c r="J601" s="12" t="s">
        <v>5990</v>
      </c>
      <c r="K601" s="13" t="s">
        <v>7372</v>
      </c>
      <c r="L601" s="99" t="str">
        <f t="shared" si="37"/>
        <v>W3220.9</v>
      </c>
      <c r="M601" s="13" t="s">
        <v>17</v>
      </c>
      <c r="N601" s="13"/>
      <c r="O601" s="13"/>
      <c r="P601" s="47"/>
      <c r="Q601" s="45" t="s">
        <v>3672</v>
      </c>
      <c r="R601" s="45" t="s">
        <v>5552</v>
      </c>
      <c r="S601" s="48"/>
      <c r="T601" s="49" t="str">
        <f t="shared" si="36"/>
        <v>[W3220.9]</v>
      </c>
      <c r="U601" s="12" t="str">
        <f t="shared" si="39"/>
        <v xml:space="preserve"> 도어프레임 반전기 T축(SD243) RLS가 감지되었습니다.</v>
      </c>
      <c r="V601" s="49" t="str">
        <f t="shared" si="38"/>
        <v>[W3220.9] 도어프레임 반전기 T축(SD243) RLS가 감지되었습니다.</v>
      </c>
    </row>
    <row r="602" spans="1:22" s="49" customFormat="1" ht="14.15" customHeight="1">
      <c r="A602" s="43" t="s">
        <v>6688</v>
      </c>
      <c r="B602" s="44" t="s">
        <v>6635</v>
      </c>
      <c r="C602" s="50"/>
      <c r="D602" s="10" t="s">
        <v>29</v>
      </c>
      <c r="E602" s="11"/>
      <c r="F602" s="11" t="s">
        <v>18</v>
      </c>
      <c r="G602" s="13"/>
      <c r="H602" s="45" t="s">
        <v>16</v>
      </c>
      <c r="I602" s="47"/>
      <c r="J602" s="12" t="s">
        <v>5991</v>
      </c>
      <c r="K602" s="13" t="s">
        <v>7373</v>
      </c>
      <c r="L602" s="99" t="str">
        <f t="shared" si="37"/>
        <v>W3220.A</v>
      </c>
      <c r="M602" s="13" t="s">
        <v>17</v>
      </c>
      <c r="N602" s="13"/>
      <c r="O602" s="13"/>
      <c r="P602" s="47"/>
      <c r="Q602" s="45" t="s">
        <v>3672</v>
      </c>
      <c r="R602" s="45" t="s">
        <v>5552</v>
      </c>
      <c r="S602" s="48"/>
      <c r="T602" s="49" t="str">
        <f t="shared" si="36"/>
        <v>[W3220.A]</v>
      </c>
      <c r="U602" s="12" t="str">
        <f t="shared" si="39"/>
        <v xml:space="preserve"> 도어프레임 반전기 T축(SD243) Stop 명령이 On된 상태에서 기동을 시도했습니다.</v>
      </c>
      <c r="V602" s="49" t="str">
        <f t="shared" si="38"/>
        <v>[W3220.A] 도어프레임 반전기 T축(SD243) Stop 명령이 On된 상태에서 기동을 시도했습니다.</v>
      </c>
    </row>
    <row r="603" spans="1:22" s="49" customFormat="1" ht="14.15" customHeight="1">
      <c r="A603" s="43" t="s">
        <v>6688</v>
      </c>
      <c r="B603" s="44" t="s">
        <v>6635</v>
      </c>
      <c r="C603" s="50"/>
      <c r="D603" s="10" t="s">
        <v>29</v>
      </c>
      <c r="E603" s="11"/>
      <c r="F603" s="11" t="s">
        <v>18</v>
      </c>
      <c r="G603" s="13"/>
      <c r="H603" s="45" t="s">
        <v>16</v>
      </c>
      <c r="I603" s="47"/>
      <c r="J603" s="12" t="s">
        <v>5992</v>
      </c>
      <c r="K603" s="13" t="s">
        <v>7374</v>
      </c>
      <c r="L603" s="99" t="str">
        <f t="shared" si="37"/>
        <v>W3220.B</v>
      </c>
      <c r="M603" s="13" t="s">
        <v>17</v>
      </c>
      <c r="N603" s="13"/>
      <c r="O603" s="13"/>
      <c r="P603" s="47"/>
      <c r="Q603" s="45" t="s">
        <v>3672</v>
      </c>
      <c r="R603" s="45" t="s">
        <v>5552</v>
      </c>
      <c r="S603" s="48"/>
      <c r="T603" s="49" t="str">
        <f t="shared" si="36"/>
        <v>[W3220.B]</v>
      </c>
      <c r="U603" s="12" t="str">
        <f t="shared" si="39"/>
        <v xml:space="preserve"> 도어프레임 반전기 T축(SD243) 가동 전원이 Off 되었습니다.</v>
      </c>
      <c r="V603" s="49" t="str">
        <f t="shared" si="38"/>
        <v>[W3220.B] 도어프레임 반전기 T축(SD243) 가동 전원이 Off 되었습니다.</v>
      </c>
    </row>
    <row r="604" spans="1:22" s="49" customFormat="1" ht="14.15" customHeight="1">
      <c r="A604" s="43" t="s">
        <v>6688</v>
      </c>
      <c r="B604" s="44" t="s">
        <v>6635</v>
      </c>
      <c r="C604" s="50"/>
      <c r="D604" s="10" t="s">
        <v>29</v>
      </c>
      <c r="E604" s="11"/>
      <c r="F604" s="11" t="s">
        <v>18</v>
      </c>
      <c r="G604" s="13"/>
      <c r="H604" s="45" t="s">
        <v>16</v>
      </c>
      <c r="I604" s="47"/>
      <c r="J604" s="12" t="s">
        <v>5993</v>
      </c>
      <c r="K604" s="13" t="s">
        <v>7375</v>
      </c>
      <c r="L604" s="99" t="str">
        <f t="shared" si="37"/>
        <v>W3220.C</v>
      </c>
      <c r="M604" s="13" t="s">
        <v>17</v>
      </c>
      <c r="N604" s="13"/>
      <c r="O604" s="13"/>
      <c r="P604" s="47"/>
      <c r="Q604" s="45" t="s">
        <v>3672</v>
      </c>
      <c r="R604" s="45" t="s">
        <v>5552</v>
      </c>
      <c r="S604" s="48"/>
      <c r="T604" s="49" t="str">
        <f t="shared" si="36"/>
        <v>[W3220.C]</v>
      </c>
      <c r="U604" s="12" t="str">
        <f t="shared" si="39"/>
        <v xml:space="preserve"> 도어프레임 반전기 T축(SD243) 엔코더 이상이 검출되었습니다.</v>
      </c>
      <c r="V604" s="49" t="str">
        <f t="shared" si="38"/>
        <v>[W3220.C] 도어프레임 반전기 T축(SD243) 엔코더 이상이 검출되었습니다.</v>
      </c>
    </row>
    <row r="605" spans="1:22" s="49" customFormat="1" ht="14.15" customHeight="1">
      <c r="A605" s="43" t="s">
        <v>6688</v>
      </c>
      <c r="B605" s="44" t="s">
        <v>6635</v>
      </c>
      <c r="C605" s="50"/>
      <c r="D605" s="10" t="s">
        <v>29</v>
      </c>
      <c r="E605" s="11"/>
      <c r="F605" s="11" t="s">
        <v>18</v>
      </c>
      <c r="G605" s="13"/>
      <c r="H605" s="45" t="s">
        <v>16</v>
      </c>
      <c r="I605" s="47"/>
      <c r="J605" s="12" t="s">
        <v>5994</v>
      </c>
      <c r="K605" s="13" t="s">
        <v>7376</v>
      </c>
      <c r="L605" s="99" t="str">
        <f t="shared" si="37"/>
        <v>W3220.D</v>
      </c>
      <c r="M605" s="13" t="s">
        <v>17</v>
      </c>
      <c r="N605" s="13"/>
      <c r="O605" s="13"/>
      <c r="P605" s="47"/>
      <c r="Q605" s="45" t="s">
        <v>3672</v>
      </c>
      <c r="R605" s="45" t="s">
        <v>5552</v>
      </c>
      <c r="S605" s="48"/>
      <c r="T605" s="49" t="str">
        <f t="shared" si="36"/>
        <v>[W3220.D]</v>
      </c>
      <c r="U605" s="12" t="str">
        <f t="shared" si="39"/>
        <v xml:space="preserve"> 도어프레임 반전기 T축(SD243) 과전류가 검출되었습니다.</v>
      </c>
      <c r="V605" s="49" t="str">
        <f t="shared" si="38"/>
        <v>[W3220.D] 도어프레임 반전기 T축(SD243) 과전류가 검출되었습니다.</v>
      </c>
    </row>
    <row r="606" spans="1:22" s="49" customFormat="1" ht="14.15" customHeight="1">
      <c r="A606" s="43" t="s">
        <v>6688</v>
      </c>
      <c r="B606" s="44" t="s">
        <v>6635</v>
      </c>
      <c r="C606" s="50"/>
      <c r="D606" s="10" t="s">
        <v>29</v>
      </c>
      <c r="E606" s="11"/>
      <c r="F606" s="11" t="s">
        <v>18</v>
      </c>
      <c r="G606" s="13"/>
      <c r="H606" s="45" t="s">
        <v>16</v>
      </c>
      <c r="I606" s="47"/>
      <c r="J606" s="12" t="s">
        <v>5995</v>
      </c>
      <c r="K606" s="13" t="s">
        <v>7377</v>
      </c>
      <c r="L606" s="99" t="str">
        <f t="shared" si="37"/>
        <v>W3220.E</v>
      </c>
      <c r="M606" s="13" t="s">
        <v>17</v>
      </c>
      <c r="N606" s="13"/>
      <c r="O606" s="13"/>
      <c r="P606" s="47"/>
      <c r="Q606" s="45" t="s">
        <v>3672</v>
      </c>
      <c r="R606" s="45" t="s">
        <v>5552</v>
      </c>
      <c r="S606" s="48"/>
      <c r="T606" s="49" t="str">
        <f t="shared" si="36"/>
        <v>[W3220.E]</v>
      </c>
      <c r="U606" s="12" t="str">
        <f t="shared" si="39"/>
        <v xml:space="preserve"> 도어프레임 반전기 T축(SD243) 과부하가 검출되었습니다.</v>
      </c>
      <c r="V606" s="49" t="str">
        <f t="shared" si="38"/>
        <v>[W3220.E] 도어프레임 반전기 T축(SD243) 과부하가 검출되었습니다.</v>
      </c>
    </row>
    <row r="607" spans="1:22" s="49" customFormat="1" ht="14.15" customHeight="1">
      <c r="A607" s="43" t="s">
        <v>6688</v>
      </c>
      <c r="B607" s="44" t="s">
        <v>6635</v>
      </c>
      <c r="C607" s="50"/>
      <c r="D607" s="10" t="s">
        <v>29</v>
      </c>
      <c r="E607" s="11"/>
      <c r="F607" s="11" t="s">
        <v>18</v>
      </c>
      <c r="G607" s="13"/>
      <c r="H607" s="45" t="s">
        <v>16</v>
      </c>
      <c r="I607" s="47"/>
      <c r="J607" s="12" t="s">
        <v>5996</v>
      </c>
      <c r="K607" s="13" t="s">
        <v>7378</v>
      </c>
      <c r="L607" s="99" t="str">
        <f t="shared" si="37"/>
        <v>W3220.F</v>
      </c>
      <c r="M607" s="13" t="s">
        <v>17</v>
      </c>
      <c r="N607" s="13"/>
      <c r="O607" s="13"/>
      <c r="P607" s="47"/>
      <c r="Q607" s="45" t="s">
        <v>3672</v>
      </c>
      <c r="R607" s="45" t="s">
        <v>5552</v>
      </c>
      <c r="S607" s="48"/>
      <c r="T607" s="49" t="str">
        <f t="shared" si="36"/>
        <v>[W3220.F]</v>
      </c>
      <c r="U607" s="12" t="str">
        <f t="shared" si="39"/>
        <v xml:space="preserve"> 도어프레임 반전기 T축(SD243)  </v>
      </c>
      <c r="V607" s="49" t="str">
        <f t="shared" si="38"/>
        <v xml:space="preserve">[W3220.F] 도어프레임 반전기 T축(SD243)  </v>
      </c>
    </row>
    <row r="608" spans="1:22" s="49" customFormat="1" ht="14.15" customHeight="1">
      <c r="A608" s="43" t="s">
        <v>6688</v>
      </c>
      <c r="B608" s="44" t="s">
        <v>6635</v>
      </c>
      <c r="C608" s="50"/>
      <c r="D608" s="10" t="s">
        <v>29</v>
      </c>
      <c r="E608" s="11"/>
      <c r="F608" s="11" t="s">
        <v>18</v>
      </c>
      <c r="G608" s="13"/>
      <c r="H608" s="45" t="s">
        <v>16</v>
      </c>
      <c r="I608" s="47"/>
      <c r="J608" s="12" t="s">
        <v>5997</v>
      </c>
      <c r="K608" s="13" t="s">
        <v>7379</v>
      </c>
      <c r="L608" s="99" t="str">
        <f t="shared" si="37"/>
        <v>W3221.0</v>
      </c>
      <c r="M608" s="13" t="s">
        <v>17</v>
      </c>
      <c r="N608" s="13"/>
      <c r="O608" s="13"/>
      <c r="P608" s="47"/>
      <c r="Q608" s="45" t="s">
        <v>3672</v>
      </c>
      <c r="R608" s="45" t="s">
        <v>5552</v>
      </c>
      <c r="S608" s="48"/>
      <c r="T608" s="49" t="str">
        <f t="shared" si="36"/>
        <v>[W3221.0]</v>
      </c>
      <c r="U608" s="12" t="str">
        <f t="shared" si="39"/>
        <v xml:space="preserve"> 도어프레임 반전기 T축(SD243) 에러가 발생했습니다.</v>
      </c>
      <c r="V608" s="49" t="str">
        <f t="shared" si="38"/>
        <v>[W3221.0] 도어프레임 반전기 T축(SD243) 에러가 발생했습니다.</v>
      </c>
    </row>
    <row r="609" spans="1:22" s="49" customFormat="1" ht="14.15" customHeight="1">
      <c r="A609" s="43"/>
      <c r="B609" s="44" t="s">
        <v>6635</v>
      </c>
      <c r="C609" s="50"/>
      <c r="D609" s="10" t="s">
        <v>29</v>
      </c>
      <c r="E609" s="11"/>
      <c r="F609" s="11" t="s">
        <v>18</v>
      </c>
      <c r="G609" s="13"/>
      <c r="H609" s="45" t="s">
        <v>16</v>
      </c>
      <c r="I609" s="47"/>
      <c r="J609" s="12" t="s">
        <v>5998</v>
      </c>
      <c r="K609" s="13" t="s">
        <v>7380</v>
      </c>
      <c r="L609" s="99" t="str">
        <f t="shared" si="37"/>
        <v>W3221.1</v>
      </c>
      <c r="M609" s="13" t="s">
        <v>17</v>
      </c>
      <c r="N609" s="13"/>
      <c r="O609" s="13"/>
      <c r="P609" s="47"/>
      <c r="Q609" s="45" t="s">
        <v>3672</v>
      </c>
      <c r="R609" s="45" t="s">
        <v>5596</v>
      </c>
      <c r="S609" s="48"/>
      <c r="T609" s="49" t="str">
        <f t="shared" si="36"/>
        <v>[W3221.1]</v>
      </c>
      <c r="U609" s="12" t="str">
        <f t="shared" si="39"/>
        <v xml:space="preserve"> 가스켓레일 용접 X축(SD244) 운전중에 Ready가 Off 되었습니다.</v>
      </c>
      <c r="V609" s="49" t="str">
        <f t="shared" si="38"/>
        <v>[W3221.1] 가스켓레일 용접 X축(SD244) 운전중에 Ready가 Off 되었습니다.</v>
      </c>
    </row>
    <row r="610" spans="1:22" s="49" customFormat="1" ht="14.15" customHeight="1">
      <c r="A610" s="43"/>
      <c r="B610" s="44" t="s">
        <v>6635</v>
      </c>
      <c r="C610" s="50"/>
      <c r="D610" s="10" t="s">
        <v>29</v>
      </c>
      <c r="E610" s="11"/>
      <c r="F610" s="11" t="s">
        <v>18</v>
      </c>
      <c r="G610" s="13"/>
      <c r="H610" s="45" t="s">
        <v>16</v>
      </c>
      <c r="I610" s="47"/>
      <c r="J610" s="12" t="s">
        <v>5999</v>
      </c>
      <c r="K610" s="13" t="s">
        <v>7381</v>
      </c>
      <c r="L610" s="99" t="str">
        <f t="shared" si="37"/>
        <v>W3221.2</v>
      </c>
      <c r="M610" s="13" t="s">
        <v>17</v>
      </c>
      <c r="N610" s="13"/>
      <c r="O610" s="13"/>
      <c r="P610" s="47"/>
      <c r="Q610" s="45" t="s">
        <v>3672</v>
      </c>
      <c r="R610" s="45" t="s">
        <v>5596</v>
      </c>
      <c r="S610" s="48"/>
      <c r="T610" s="49" t="str">
        <f t="shared" si="36"/>
        <v>[W3221.2]</v>
      </c>
      <c r="U610" s="12" t="str">
        <f t="shared" si="39"/>
        <v xml:space="preserve"> 가스켓레일 용접 X축(SD244) FLS가 감지되었습니다.</v>
      </c>
      <c r="V610" s="49" t="str">
        <f t="shared" si="38"/>
        <v>[W3221.2] 가스켓레일 용접 X축(SD244) FLS가 감지되었습니다.</v>
      </c>
    </row>
    <row r="611" spans="1:22" s="49" customFormat="1" ht="14.15" customHeight="1">
      <c r="A611" s="43"/>
      <c r="B611" s="44" t="s">
        <v>6635</v>
      </c>
      <c r="C611" s="50"/>
      <c r="D611" s="10" t="s">
        <v>29</v>
      </c>
      <c r="E611" s="11"/>
      <c r="F611" s="11" t="s">
        <v>18</v>
      </c>
      <c r="G611" s="13"/>
      <c r="H611" s="45" t="s">
        <v>16</v>
      </c>
      <c r="I611" s="47"/>
      <c r="J611" s="12" t="s">
        <v>6000</v>
      </c>
      <c r="K611" s="13" t="s">
        <v>7382</v>
      </c>
      <c r="L611" s="99" t="str">
        <f t="shared" si="37"/>
        <v>W3221.3</v>
      </c>
      <c r="M611" s="13" t="s">
        <v>17</v>
      </c>
      <c r="N611" s="13"/>
      <c r="O611" s="13"/>
      <c r="P611" s="47"/>
      <c r="Q611" s="45" t="s">
        <v>3672</v>
      </c>
      <c r="R611" s="45" t="s">
        <v>5596</v>
      </c>
      <c r="S611" s="48"/>
      <c r="T611" s="49" t="str">
        <f t="shared" si="36"/>
        <v>[W3221.3]</v>
      </c>
      <c r="U611" s="12" t="str">
        <f t="shared" si="39"/>
        <v xml:space="preserve"> 가스켓레일 용접 X축(SD244) RLS가 감지되었습니다.</v>
      </c>
      <c r="V611" s="49" t="str">
        <f t="shared" si="38"/>
        <v>[W3221.3] 가스켓레일 용접 X축(SD244) RLS가 감지되었습니다.</v>
      </c>
    </row>
    <row r="612" spans="1:22" s="49" customFormat="1" ht="14.15" customHeight="1">
      <c r="A612" s="43"/>
      <c r="B612" s="44" t="s">
        <v>6635</v>
      </c>
      <c r="C612" s="50"/>
      <c r="D612" s="10" t="s">
        <v>29</v>
      </c>
      <c r="E612" s="11"/>
      <c r="F612" s="11" t="s">
        <v>18</v>
      </c>
      <c r="G612" s="13"/>
      <c r="H612" s="45" t="s">
        <v>16</v>
      </c>
      <c r="I612" s="47"/>
      <c r="J612" s="12" t="s">
        <v>6001</v>
      </c>
      <c r="K612" s="13" t="s">
        <v>7383</v>
      </c>
      <c r="L612" s="99" t="str">
        <f t="shared" si="37"/>
        <v>W3221.4</v>
      </c>
      <c r="M612" s="13" t="s">
        <v>17</v>
      </c>
      <c r="N612" s="13"/>
      <c r="O612" s="13"/>
      <c r="P612" s="47"/>
      <c r="Q612" s="45" t="s">
        <v>3672</v>
      </c>
      <c r="R612" s="45" t="s">
        <v>5596</v>
      </c>
      <c r="S612" s="48"/>
      <c r="T612" s="49" t="str">
        <f t="shared" si="36"/>
        <v>[W3221.4]</v>
      </c>
      <c r="U612" s="12" t="str">
        <f t="shared" si="39"/>
        <v xml:space="preserve"> 가스켓레일 용접 X축(SD244) Stop 명령이 On된 상태에서 기동을 시도했습니다.</v>
      </c>
      <c r="V612" s="49" t="str">
        <f t="shared" si="38"/>
        <v>[W3221.4] 가스켓레일 용접 X축(SD244) Stop 명령이 On된 상태에서 기동을 시도했습니다.</v>
      </c>
    </row>
    <row r="613" spans="1:22" s="49" customFormat="1" ht="14.15" customHeight="1">
      <c r="A613" s="43"/>
      <c r="B613" s="44" t="s">
        <v>6635</v>
      </c>
      <c r="C613" s="50"/>
      <c r="D613" s="10" t="s">
        <v>29</v>
      </c>
      <c r="E613" s="11"/>
      <c r="F613" s="11" t="s">
        <v>18</v>
      </c>
      <c r="G613" s="13"/>
      <c r="H613" s="45" t="s">
        <v>16</v>
      </c>
      <c r="I613" s="47"/>
      <c r="J613" s="12" t="s">
        <v>6002</v>
      </c>
      <c r="K613" s="13" t="s">
        <v>7384</v>
      </c>
      <c r="L613" s="99" t="str">
        <f t="shared" si="37"/>
        <v>W3221.5</v>
      </c>
      <c r="M613" s="13" t="s">
        <v>17</v>
      </c>
      <c r="N613" s="13"/>
      <c r="O613" s="13"/>
      <c r="P613" s="47"/>
      <c r="Q613" s="45" t="s">
        <v>3672</v>
      </c>
      <c r="R613" s="45" t="s">
        <v>5596</v>
      </c>
      <c r="S613" s="48"/>
      <c r="T613" s="49" t="str">
        <f t="shared" si="36"/>
        <v>[W3221.5]</v>
      </c>
      <c r="U613" s="12" t="str">
        <f t="shared" si="39"/>
        <v xml:space="preserve"> 가스켓레일 용접 X축(SD244) 가동 전원이 Off 되었습니다.</v>
      </c>
      <c r="V613" s="49" t="str">
        <f t="shared" si="38"/>
        <v>[W3221.5] 가스켓레일 용접 X축(SD244) 가동 전원이 Off 되었습니다.</v>
      </c>
    </row>
    <row r="614" spans="1:22" s="49" customFormat="1" ht="14.15" customHeight="1">
      <c r="A614" s="43"/>
      <c r="B614" s="44" t="s">
        <v>6635</v>
      </c>
      <c r="C614" s="50"/>
      <c r="D614" s="10" t="s">
        <v>29</v>
      </c>
      <c r="E614" s="11"/>
      <c r="F614" s="11" t="s">
        <v>18</v>
      </c>
      <c r="G614" s="13"/>
      <c r="H614" s="45" t="s">
        <v>16</v>
      </c>
      <c r="I614" s="47"/>
      <c r="J614" s="12" t="s">
        <v>6003</v>
      </c>
      <c r="K614" s="13" t="s">
        <v>7385</v>
      </c>
      <c r="L614" s="99" t="str">
        <f t="shared" si="37"/>
        <v>W3221.6</v>
      </c>
      <c r="M614" s="13" t="s">
        <v>17</v>
      </c>
      <c r="N614" s="13"/>
      <c r="O614" s="13"/>
      <c r="P614" s="47"/>
      <c r="Q614" s="45" t="s">
        <v>3672</v>
      </c>
      <c r="R614" s="45" t="s">
        <v>5596</v>
      </c>
      <c r="S614" s="48"/>
      <c r="T614" s="49" t="str">
        <f t="shared" si="36"/>
        <v>[W3221.6]</v>
      </c>
      <c r="U614" s="12" t="str">
        <f t="shared" si="39"/>
        <v xml:space="preserve"> 가스켓레일 용접 X축(SD244) 엔코더 이상이 검출되었습니다.</v>
      </c>
      <c r="V614" s="49" t="str">
        <f t="shared" si="38"/>
        <v>[W3221.6] 가스켓레일 용접 X축(SD244) 엔코더 이상이 검출되었습니다.</v>
      </c>
    </row>
    <row r="615" spans="1:22" s="49" customFormat="1" ht="14.15" customHeight="1">
      <c r="A615" s="43"/>
      <c r="B615" s="44" t="s">
        <v>6635</v>
      </c>
      <c r="C615" s="50"/>
      <c r="D615" s="10" t="s">
        <v>29</v>
      </c>
      <c r="E615" s="11"/>
      <c r="F615" s="11" t="s">
        <v>18</v>
      </c>
      <c r="G615" s="13"/>
      <c r="H615" s="45" t="s">
        <v>16</v>
      </c>
      <c r="I615" s="47"/>
      <c r="J615" s="12" t="s">
        <v>6004</v>
      </c>
      <c r="K615" s="13" t="s">
        <v>7386</v>
      </c>
      <c r="L615" s="99" t="str">
        <f t="shared" si="37"/>
        <v>W3221.7</v>
      </c>
      <c r="M615" s="13" t="s">
        <v>17</v>
      </c>
      <c r="N615" s="13"/>
      <c r="O615" s="13"/>
      <c r="P615" s="47"/>
      <c r="Q615" s="45" t="s">
        <v>3672</v>
      </c>
      <c r="R615" s="45" t="s">
        <v>5596</v>
      </c>
      <c r="S615" s="48"/>
      <c r="T615" s="49" t="str">
        <f t="shared" si="36"/>
        <v>[W3221.7]</v>
      </c>
      <c r="U615" s="12" t="str">
        <f t="shared" si="39"/>
        <v xml:space="preserve"> 가스켓레일 용접 X축(SD244) 과전류가 검출되었습니다.</v>
      </c>
      <c r="V615" s="49" t="str">
        <f t="shared" si="38"/>
        <v>[W3221.7] 가스켓레일 용접 X축(SD244) 과전류가 검출되었습니다.</v>
      </c>
    </row>
    <row r="616" spans="1:22" s="49" customFormat="1" ht="14.15" customHeight="1">
      <c r="A616" s="43"/>
      <c r="B616" s="44" t="s">
        <v>6635</v>
      </c>
      <c r="C616" s="50"/>
      <c r="D616" s="10" t="s">
        <v>29</v>
      </c>
      <c r="E616" s="11"/>
      <c r="F616" s="11" t="s">
        <v>18</v>
      </c>
      <c r="G616" s="13"/>
      <c r="H616" s="45" t="s">
        <v>16</v>
      </c>
      <c r="I616" s="47"/>
      <c r="J616" s="12" t="s">
        <v>6005</v>
      </c>
      <c r="K616" s="13" t="s">
        <v>7387</v>
      </c>
      <c r="L616" s="99" t="str">
        <f t="shared" si="37"/>
        <v>W3221.8</v>
      </c>
      <c r="M616" s="13" t="s">
        <v>17</v>
      </c>
      <c r="N616" s="13"/>
      <c r="O616" s="13"/>
      <c r="P616" s="47"/>
      <c r="Q616" s="45" t="s">
        <v>3672</v>
      </c>
      <c r="R616" s="45" t="s">
        <v>5596</v>
      </c>
      <c r="S616" s="48"/>
      <c r="T616" s="49" t="str">
        <f t="shared" si="36"/>
        <v>[W3221.8]</v>
      </c>
      <c r="U616" s="12" t="str">
        <f t="shared" si="39"/>
        <v xml:space="preserve"> 가스켓레일 용접 X축(SD244) 과부하가 검출되었습니다.</v>
      </c>
      <c r="V616" s="49" t="str">
        <f t="shared" si="38"/>
        <v>[W3221.8] 가스켓레일 용접 X축(SD244) 과부하가 검출되었습니다.</v>
      </c>
    </row>
    <row r="617" spans="1:22" s="49" customFormat="1" ht="14.15" customHeight="1">
      <c r="A617" s="43"/>
      <c r="B617" s="44" t="s">
        <v>6635</v>
      </c>
      <c r="C617" s="50"/>
      <c r="D617" s="10" t="s">
        <v>29</v>
      </c>
      <c r="E617" s="11"/>
      <c r="F617" s="11" t="s">
        <v>18</v>
      </c>
      <c r="G617" s="13"/>
      <c r="H617" s="45" t="s">
        <v>16</v>
      </c>
      <c r="I617" s="47"/>
      <c r="J617" s="12" t="s">
        <v>6006</v>
      </c>
      <c r="K617" s="13" t="s">
        <v>7388</v>
      </c>
      <c r="L617" s="99" t="str">
        <f t="shared" si="37"/>
        <v>W3221.9</v>
      </c>
      <c r="M617" s="13" t="s">
        <v>17</v>
      </c>
      <c r="N617" s="13"/>
      <c r="O617" s="13"/>
      <c r="P617" s="47"/>
      <c r="Q617" s="45" t="s">
        <v>3672</v>
      </c>
      <c r="R617" s="45" t="s">
        <v>5596</v>
      </c>
      <c r="S617" s="48"/>
      <c r="T617" s="49" t="str">
        <f t="shared" si="36"/>
        <v>[W3221.9]</v>
      </c>
      <c r="U617" s="12" t="str">
        <f t="shared" si="39"/>
        <v xml:space="preserve"> 가스켓레일 용접 X축(SD244)  </v>
      </c>
      <c r="V617" s="49" t="str">
        <f t="shared" si="38"/>
        <v xml:space="preserve">[W3221.9] 가스켓레일 용접 X축(SD244)  </v>
      </c>
    </row>
    <row r="618" spans="1:22" s="49" customFormat="1" ht="14.15" customHeight="1">
      <c r="A618" s="43"/>
      <c r="B618" s="44" t="s">
        <v>6635</v>
      </c>
      <c r="C618" s="50"/>
      <c r="D618" s="10" t="s">
        <v>29</v>
      </c>
      <c r="E618" s="11"/>
      <c r="F618" s="11" t="s">
        <v>18</v>
      </c>
      <c r="G618" s="13"/>
      <c r="H618" s="45" t="s">
        <v>16</v>
      </c>
      <c r="I618" s="47"/>
      <c r="J618" s="12" t="s">
        <v>6007</v>
      </c>
      <c r="K618" s="13" t="s">
        <v>7389</v>
      </c>
      <c r="L618" s="99" t="str">
        <f t="shared" si="37"/>
        <v>W3221.A</v>
      </c>
      <c r="M618" s="13" t="s">
        <v>17</v>
      </c>
      <c r="N618" s="13"/>
      <c r="O618" s="13"/>
      <c r="P618" s="47"/>
      <c r="Q618" s="45" t="s">
        <v>3672</v>
      </c>
      <c r="R618" s="45" t="s">
        <v>5596</v>
      </c>
      <c r="S618" s="48"/>
      <c r="T618" s="49" t="str">
        <f t="shared" si="36"/>
        <v>[W3221.A]</v>
      </c>
      <c r="U618" s="12" t="str">
        <f t="shared" si="39"/>
        <v xml:space="preserve"> 가스켓레일 용접 X축(SD244) 에러가 발생했습니다.</v>
      </c>
      <c r="V618" s="49" t="str">
        <f t="shared" si="38"/>
        <v>[W3221.A] 가스켓레일 용접 X축(SD244) 에러가 발생했습니다.</v>
      </c>
    </row>
    <row r="619" spans="1:22" s="49" customFormat="1" ht="14.15" customHeight="1">
      <c r="A619" s="43" t="s">
        <v>6673</v>
      </c>
      <c r="B619" s="44" t="s">
        <v>6635</v>
      </c>
      <c r="C619" s="50"/>
      <c r="D619" s="10" t="s">
        <v>29</v>
      </c>
      <c r="E619" s="11"/>
      <c r="F619" s="11" t="s">
        <v>18</v>
      </c>
      <c r="G619" s="13"/>
      <c r="H619" s="45" t="s">
        <v>16</v>
      </c>
      <c r="I619" s="47"/>
      <c r="J619" s="12" t="s">
        <v>6008</v>
      </c>
      <c r="K619" s="13" t="s">
        <v>7390</v>
      </c>
      <c r="L619" s="99" t="str">
        <f t="shared" si="37"/>
        <v>W3221.B</v>
      </c>
      <c r="M619" s="13" t="s">
        <v>17</v>
      </c>
      <c r="N619" s="13"/>
      <c r="O619" s="13"/>
      <c r="P619" s="47"/>
      <c r="Q619" s="45" t="s">
        <v>3672</v>
      </c>
      <c r="R619" s="45" t="s">
        <v>5596</v>
      </c>
      <c r="S619" s="48"/>
      <c r="T619" s="49" t="str">
        <f t="shared" si="36"/>
        <v>[W3221.B]</v>
      </c>
      <c r="U619" s="12" t="str">
        <f t="shared" si="39"/>
        <v xml:space="preserve"> 터브이송#3-1 X축(SD245) 운전중에 Ready가 Off 되었습니다.</v>
      </c>
      <c r="V619" s="49" t="str">
        <f t="shared" si="38"/>
        <v>[W3221.B] 터브이송#3-1 X축(SD245) 운전중에 Ready가 Off 되었습니다.</v>
      </c>
    </row>
    <row r="620" spans="1:22" s="49" customFormat="1" ht="14.15" customHeight="1">
      <c r="A620" s="43" t="s">
        <v>6673</v>
      </c>
      <c r="B620" s="44" t="s">
        <v>6635</v>
      </c>
      <c r="C620" s="50"/>
      <c r="D620" s="10" t="s">
        <v>29</v>
      </c>
      <c r="E620" s="11"/>
      <c r="F620" s="11" t="s">
        <v>18</v>
      </c>
      <c r="G620" s="13"/>
      <c r="H620" s="45" t="s">
        <v>16</v>
      </c>
      <c r="I620" s="47"/>
      <c r="J620" s="12" t="s">
        <v>6009</v>
      </c>
      <c r="K620" s="13" t="s">
        <v>7391</v>
      </c>
      <c r="L620" s="99" t="str">
        <f t="shared" si="37"/>
        <v>W3221.C</v>
      </c>
      <c r="M620" s="13" t="s">
        <v>17</v>
      </c>
      <c r="N620" s="13"/>
      <c r="O620" s="13"/>
      <c r="P620" s="47"/>
      <c r="Q620" s="45" t="s">
        <v>3672</v>
      </c>
      <c r="R620" s="45" t="s">
        <v>5596</v>
      </c>
      <c r="S620" s="48"/>
      <c r="T620" s="49" t="str">
        <f t="shared" si="36"/>
        <v>[W3221.C]</v>
      </c>
      <c r="U620" s="12" t="str">
        <f t="shared" si="39"/>
        <v xml:space="preserve"> 터브이송#3-1 X축(SD245) FLS가 감지되었습니다.</v>
      </c>
      <c r="V620" s="49" t="str">
        <f t="shared" si="38"/>
        <v>[W3221.C] 터브이송#3-1 X축(SD245) FLS가 감지되었습니다.</v>
      </c>
    </row>
    <row r="621" spans="1:22" s="49" customFormat="1" ht="14.15" customHeight="1">
      <c r="A621" s="43" t="s">
        <v>6673</v>
      </c>
      <c r="B621" s="44" t="s">
        <v>6635</v>
      </c>
      <c r="C621" s="50"/>
      <c r="D621" s="10" t="s">
        <v>29</v>
      </c>
      <c r="E621" s="11"/>
      <c r="F621" s="11" t="s">
        <v>18</v>
      </c>
      <c r="G621" s="13"/>
      <c r="H621" s="45" t="s">
        <v>16</v>
      </c>
      <c r="I621" s="47"/>
      <c r="J621" s="12" t="s">
        <v>6010</v>
      </c>
      <c r="K621" s="13" t="s">
        <v>7392</v>
      </c>
      <c r="L621" s="99" t="str">
        <f t="shared" si="37"/>
        <v>W3221.D</v>
      </c>
      <c r="M621" s="13" t="s">
        <v>17</v>
      </c>
      <c r="N621" s="13"/>
      <c r="O621" s="13"/>
      <c r="P621" s="47"/>
      <c r="Q621" s="45" t="s">
        <v>3672</v>
      </c>
      <c r="R621" s="45" t="s">
        <v>5596</v>
      </c>
      <c r="S621" s="48"/>
      <c r="T621" s="49" t="str">
        <f t="shared" si="36"/>
        <v>[W3221.D]</v>
      </c>
      <c r="U621" s="12" t="str">
        <f t="shared" si="39"/>
        <v xml:space="preserve"> 터브이송#3-1 X축(SD245) RLS가 감지되었습니다.</v>
      </c>
      <c r="V621" s="49" t="str">
        <f t="shared" si="38"/>
        <v>[W3221.D] 터브이송#3-1 X축(SD245) RLS가 감지되었습니다.</v>
      </c>
    </row>
    <row r="622" spans="1:22" s="49" customFormat="1" ht="14.15" customHeight="1">
      <c r="A622" s="43" t="s">
        <v>6673</v>
      </c>
      <c r="B622" s="44" t="s">
        <v>6635</v>
      </c>
      <c r="C622" s="50"/>
      <c r="D622" s="10" t="s">
        <v>29</v>
      </c>
      <c r="E622" s="11"/>
      <c r="F622" s="11" t="s">
        <v>18</v>
      </c>
      <c r="G622" s="13"/>
      <c r="H622" s="45" t="s">
        <v>16</v>
      </c>
      <c r="I622" s="47"/>
      <c r="J622" s="12" t="s">
        <v>6011</v>
      </c>
      <c r="K622" s="13" t="s">
        <v>7393</v>
      </c>
      <c r="L622" s="99" t="str">
        <f t="shared" si="37"/>
        <v>W3221.E</v>
      </c>
      <c r="M622" s="13" t="s">
        <v>17</v>
      </c>
      <c r="N622" s="13"/>
      <c r="O622" s="13"/>
      <c r="P622" s="47"/>
      <c r="Q622" s="45" t="s">
        <v>3672</v>
      </c>
      <c r="R622" s="45" t="s">
        <v>5596</v>
      </c>
      <c r="S622" s="48"/>
      <c r="T622" s="49" t="str">
        <f t="shared" si="36"/>
        <v>[W3221.E]</v>
      </c>
      <c r="U622" s="12" t="str">
        <f t="shared" si="39"/>
        <v xml:space="preserve"> 터브이송#3-1 X축(SD245) Stop 명령이 On된 상태에서 기동을 시도했습니다.</v>
      </c>
      <c r="V622" s="49" t="str">
        <f t="shared" si="38"/>
        <v>[W3221.E] 터브이송#3-1 X축(SD245) Stop 명령이 On된 상태에서 기동을 시도했습니다.</v>
      </c>
    </row>
    <row r="623" spans="1:22" s="49" customFormat="1" ht="14.15" customHeight="1">
      <c r="A623" s="43" t="s">
        <v>6673</v>
      </c>
      <c r="B623" s="44" t="s">
        <v>6635</v>
      </c>
      <c r="C623" s="50"/>
      <c r="D623" s="10" t="s">
        <v>29</v>
      </c>
      <c r="E623" s="11"/>
      <c r="F623" s="11" t="s">
        <v>18</v>
      </c>
      <c r="G623" s="13"/>
      <c r="H623" s="45" t="s">
        <v>16</v>
      </c>
      <c r="I623" s="47"/>
      <c r="J623" s="12" t="s">
        <v>6012</v>
      </c>
      <c r="K623" s="13" t="s">
        <v>7394</v>
      </c>
      <c r="L623" s="99" t="str">
        <f t="shared" si="37"/>
        <v>W3221.F</v>
      </c>
      <c r="M623" s="13" t="s">
        <v>17</v>
      </c>
      <c r="N623" s="13"/>
      <c r="O623" s="13"/>
      <c r="P623" s="47"/>
      <c r="Q623" s="45" t="s">
        <v>3672</v>
      </c>
      <c r="R623" s="45" t="s">
        <v>5596</v>
      </c>
      <c r="S623" s="48"/>
      <c r="T623" s="49" t="str">
        <f t="shared" si="36"/>
        <v>[W3221.F]</v>
      </c>
      <c r="U623" s="12" t="str">
        <f t="shared" si="39"/>
        <v xml:space="preserve"> 터브이송#3-1 X축(SD245) 가동 전원이 Off 되었습니다.</v>
      </c>
      <c r="V623" s="49" t="str">
        <f t="shared" si="38"/>
        <v>[W3221.F] 터브이송#3-1 X축(SD245) 가동 전원이 Off 되었습니다.</v>
      </c>
    </row>
    <row r="624" spans="1:22" s="49" customFormat="1" ht="14.15" customHeight="1">
      <c r="A624" s="43" t="s">
        <v>6673</v>
      </c>
      <c r="B624" s="44" t="s">
        <v>6635</v>
      </c>
      <c r="C624" s="50"/>
      <c r="D624" s="10" t="s">
        <v>29</v>
      </c>
      <c r="E624" s="11"/>
      <c r="F624" s="11" t="s">
        <v>18</v>
      </c>
      <c r="G624" s="13"/>
      <c r="H624" s="45" t="s">
        <v>16</v>
      </c>
      <c r="I624" s="46"/>
      <c r="J624" s="12" t="s">
        <v>6013</v>
      </c>
      <c r="K624" s="13" t="s">
        <v>7395</v>
      </c>
      <c r="L624" s="99" t="str">
        <f t="shared" si="37"/>
        <v>W3222.0</v>
      </c>
      <c r="M624" s="13" t="s">
        <v>17</v>
      </c>
      <c r="N624" s="13"/>
      <c r="O624" s="13"/>
      <c r="P624" s="47"/>
      <c r="Q624" s="45" t="s">
        <v>3672</v>
      </c>
      <c r="R624" s="45" t="s">
        <v>5596</v>
      </c>
      <c r="S624" s="48"/>
      <c r="T624" s="49" t="str">
        <f t="shared" si="36"/>
        <v>[W3222.0]</v>
      </c>
      <c r="U624" s="12" t="str">
        <f t="shared" si="39"/>
        <v xml:space="preserve"> 터브이송#3-1 X축(SD245) 엔코더 이상이 검출되었습니다.</v>
      </c>
      <c r="V624" s="49" t="str">
        <f t="shared" si="38"/>
        <v>[W3222.0] 터브이송#3-1 X축(SD245) 엔코더 이상이 검출되었습니다.</v>
      </c>
    </row>
    <row r="625" spans="1:22" s="49" customFormat="1" ht="14.15" customHeight="1">
      <c r="A625" s="43" t="s">
        <v>6673</v>
      </c>
      <c r="B625" s="44" t="s">
        <v>6635</v>
      </c>
      <c r="C625" s="50"/>
      <c r="D625" s="10" t="s">
        <v>29</v>
      </c>
      <c r="E625" s="11"/>
      <c r="F625" s="11" t="s">
        <v>18</v>
      </c>
      <c r="G625" s="13"/>
      <c r="H625" s="45" t="s">
        <v>16</v>
      </c>
      <c r="I625" s="47"/>
      <c r="J625" s="12" t="s">
        <v>6014</v>
      </c>
      <c r="K625" s="13" t="s">
        <v>7396</v>
      </c>
      <c r="L625" s="99" t="str">
        <f t="shared" si="37"/>
        <v>W3222.1</v>
      </c>
      <c r="M625" s="13" t="s">
        <v>17</v>
      </c>
      <c r="N625" s="13"/>
      <c r="O625" s="13"/>
      <c r="P625" s="47"/>
      <c r="Q625" s="45" t="s">
        <v>3672</v>
      </c>
      <c r="R625" s="45" t="s">
        <v>5596</v>
      </c>
      <c r="S625" s="48"/>
      <c r="T625" s="49" t="str">
        <f t="shared" si="36"/>
        <v>[W3222.1]</v>
      </c>
      <c r="U625" s="12" t="str">
        <f t="shared" si="39"/>
        <v xml:space="preserve"> 터브이송#3-1 X축(SD245) 과전류가 검출되었습니다.</v>
      </c>
      <c r="V625" s="49" t="str">
        <f t="shared" si="38"/>
        <v>[W3222.1] 터브이송#3-1 X축(SD245) 과전류가 검출되었습니다.</v>
      </c>
    </row>
    <row r="626" spans="1:22" s="49" customFormat="1" ht="14.15" customHeight="1">
      <c r="A626" s="43" t="s">
        <v>6673</v>
      </c>
      <c r="B626" s="44" t="s">
        <v>6635</v>
      </c>
      <c r="C626" s="50"/>
      <c r="D626" s="10" t="s">
        <v>29</v>
      </c>
      <c r="E626" s="11"/>
      <c r="F626" s="11" t="s">
        <v>18</v>
      </c>
      <c r="G626" s="13"/>
      <c r="H626" s="45" t="s">
        <v>16</v>
      </c>
      <c r="I626" s="46"/>
      <c r="J626" s="12" t="s">
        <v>6015</v>
      </c>
      <c r="K626" s="13" t="s">
        <v>7397</v>
      </c>
      <c r="L626" s="99" t="str">
        <f t="shared" si="37"/>
        <v>W3222.2</v>
      </c>
      <c r="M626" s="13" t="s">
        <v>17</v>
      </c>
      <c r="N626" s="13"/>
      <c r="O626" s="13"/>
      <c r="P626" s="47"/>
      <c r="Q626" s="45" t="s">
        <v>3672</v>
      </c>
      <c r="R626" s="45" t="s">
        <v>5596</v>
      </c>
      <c r="S626" s="48"/>
      <c r="T626" s="49" t="str">
        <f t="shared" si="36"/>
        <v>[W3222.2]</v>
      </c>
      <c r="U626" s="12" t="str">
        <f t="shared" si="39"/>
        <v xml:space="preserve"> 터브이송#3-1 X축(SD245) 과부하가 검출되었습니다.</v>
      </c>
      <c r="V626" s="49" t="str">
        <f t="shared" si="38"/>
        <v>[W3222.2] 터브이송#3-1 X축(SD245) 과부하가 검출되었습니다.</v>
      </c>
    </row>
    <row r="627" spans="1:22" s="49" customFormat="1" ht="14.15" customHeight="1">
      <c r="A627" s="43" t="s">
        <v>6673</v>
      </c>
      <c r="B627" s="44" t="s">
        <v>6635</v>
      </c>
      <c r="C627" s="50"/>
      <c r="D627" s="10" t="s">
        <v>29</v>
      </c>
      <c r="E627" s="11"/>
      <c r="F627" s="11" t="s">
        <v>18</v>
      </c>
      <c r="G627" s="13"/>
      <c r="H627" s="45" t="s">
        <v>16</v>
      </c>
      <c r="I627" s="46"/>
      <c r="J627" s="12" t="s">
        <v>6016</v>
      </c>
      <c r="K627" s="13" t="s">
        <v>7398</v>
      </c>
      <c r="L627" s="99" t="str">
        <f t="shared" si="37"/>
        <v>W3222.3</v>
      </c>
      <c r="M627" s="13" t="s">
        <v>17</v>
      </c>
      <c r="N627" s="13"/>
      <c r="O627" s="13"/>
      <c r="P627" s="47"/>
      <c r="Q627" s="45" t="s">
        <v>3672</v>
      </c>
      <c r="R627" s="45" t="s">
        <v>5596</v>
      </c>
      <c r="S627" s="48"/>
      <c r="T627" s="49" t="str">
        <f t="shared" si="36"/>
        <v>[W3222.3]</v>
      </c>
      <c r="U627" s="12" t="str">
        <f t="shared" si="39"/>
        <v xml:space="preserve"> 터브이송#3-1 X축(SD245)  </v>
      </c>
      <c r="V627" s="49" t="str">
        <f t="shared" si="38"/>
        <v xml:space="preserve">[W3222.3] 터브이송#3-1 X축(SD245)  </v>
      </c>
    </row>
    <row r="628" spans="1:22" s="49" customFormat="1" ht="14.15" customHeight="1">
      <c r="A628" s="43" t="s">
        <v>6673</v>
      </c>
      <c r="B628" s="44" t="s">
        <v>6635</v>
      </c>
      <c r="C628" s="50"/>
      <c r="D628" s="10" t="s">
        <v>29</v>
      </c>
      <c r="E628" s="11"/>
      <c r="F628" s="11" t="s">
        <v>18</v>
      </c>
      <c r="G628" s="13"/>
      <c r="H628" s="45" t="s">
        <v>16</v>
      </c>
      <c r="I628" s="46"/>
      <c r="J628" s="12" t="s">
        <v>6017</v>
      </c>
      <c r="K628" s="13" t="s">
        <v>7399</v>
      </c>
      <c r="L628" s="99" t="str">
        <f t="shared" si="37"/>
        <v>W3222.4</v>
      </c>
      <c r="M628" s="13" t="s">
        <v>17</v>
      </c>
      <c r="N628" s="13"/>
      <c r="O628" s="13"/>
      <c r="P628" s="47"/>
      <c r="Q628" s="45" t="s">
        <v>3672</v>
      </c>
      <c r="R628" s="45" t="s">
        <v>5596</v>
      </c>
      <c r="S628" s="48"/>
      <c r="T628" s="49" t="str">
        <f t="shared" si="36"/>
        <v>[W3222.4]</v>
      </c>
      <c r="U628" s="12" t="str">
        <f t="shared" si="39"/>
        <v xml:space="preserve"> 터브이송#3-1 X축(SD245) 에러가 발생했습니다.</v>
      </c>
      <c r="V628" s="49" t="str">
        <f t="shared" si="38"/>
        <v>[W3222.4] 터브이송#3-1 X축(SD245) 에러가 발생했습니다.</v>
      </c>
    </row>
    <row r="629" spans="1:22" s="49" customFormat="1" ht="14.15" customHeight="1">
      <c r="A629" s="43" t="s">
        <v>6673</v>
      </c>
      <c r="B629" s="44" t="s">
        <v>6635</v>
      </c>
      <c r="C629" s="50"/>
      <c r="D629" s="10" t="s">
        <v>29</v>
      </c>
      <c r="E629" s="11"/>
      <c r="F629" s="11" t="s">
        <v>18</v>
      </c>
      <c r="G629" s="13"/>
      <c r="H629" s="45" t="s">
        <v>16</v>
      </c>
      <c r="I629" s="46"/>
      <c r="J629" s="12" t="s">
        <v>6018</v>
      </c>
      <c r="K629" s="13" t="s">
        <v>7400</v>
      </c>
      <c r="L629" s="99" t="str">
        <f t="shared" si="37"/>
        <v>W3222.5</v>
      </c>
      <c r="M629" s="13" t="s">
        <v>17</v>
      </c>
      <c r="N629" s="13"/>
      <c r="O629" s="13"/>
      <c r="P629" s="47"/>
      <c r="Q629" s="45" t="s">
        <v>3672</v>
      </c>
      <c r="R629" s="45" t="s">
        <v>5596</v>
      </c>
      <c r="S629" s="48"/>
      <c r="T629" s="49" t="str">
        <f t="shared" si="36"/>
        <v>[W3222.5]</v>
      </c>
      <c r="U629" s="12" t="str">
        <f t="shared" si="39"/>
        <v xml:space="preserve"> 터브이송#3-1 Z축(SD246) 운전중에 Ready가 Off 되었습니다.</v>
      </c>
      <c r="V629" s="49" t="str">
        <f t="shared" si="38"/>
        <v>[W3222.5] 터브이송#3-1 Z축(SD246) 운전중에 Ready가 Off 되었습니다.</v>
      </c>
    </row>
    <row r="630" spans="1:22" s="49" customFormat="1" ht="14.15" customHeight="1">
      <c r="A630" s="43" t="s">
        <v>6673</v>
      </c>
      <c r="B630" s="44" t="s">
        <v>6635</v>
      </c>
      <c r="C630" s="50"/>
      <c r="D630" s="10" t="s">
        <v>29</v>
      </c>
      <c r="E630" s="11"/>
      <c r="F630" s="11" t="s">
        <v>18</v>
      </c>
      <c r="G630" s="13"/>
      <c r="H630" s="45" t="s">
        <v>16</v>
      </c>
      <c r="I630" s="46"/>
      <c r="J630" s="12" t="s">
        <v>6019</v>
      </c>
      <c r="K630" s="13" t="s">
        <v>7401</v>
      </c>
      <c r="L630" s="99" t="str">
        <f t="shared" si="37"/>
        <v>W3222.6</v>
      </c>
      <c r="M630" s="13" t="s">
        <v>17</v>
      </c>
      <c r="N630" s="13"/>
      <c r="O630" s="13"/>
      <c r="P630" s="47"/>
      <c r="Q630" s="45" t="s">
        <v>3672</v>
      </c>
      <c r="R630" s="45" t="s">
        <v>5596</v>
      </c>
      <c r="S630" s="48"/>
      <c r="T630" s="49" t="str">
        <f t="shared" si="36"/>
        <v>[W3222.6]</v>
      </c>
      <c r="U630" s="12" t="str">
        <f t="shared" si="39"/>
        <v xml:space="preserve"> 터브이송#3-1 Z축(SD246) FLS가 감지되었습니다.</v>
      </c>
      <c r="V630" s="49" t="str">
        <f t="shared" si="38"/>
        <v>[W3222.6] 터브이송#3-1 Z축(SD246) FLS가 감지되었습니다.</v>
      </c>
    </row>
    <row r="631" spans="1:22" s="49" customFormat="1" ht="14.15" customHeight="1">
      <c r="A631" s="43" t="s">
        <v>6673</v>
      </c>
      <c r="B631" s="44" t="s">
        <v>6635</v>
      </c>
      <c r="C631" s="50"/>
      <c r="D631" s="10" t="s">
        <v>29</v>
      </c>
      <c r="E631" s="11"/>
      <c r="F631" s="11" t="s">
        <v>18</v>
      </c>
      <c r="G631" s="13"/>
      <c r="H631" s="45" t="s">
        <v>16</v>
      </c>
      <c r="I631" s="46"/>
      <c r="J631" s="12" t="s">
        <v>6020</v>
      </c>
      <c r="K631" s="13" t="s">
        <v>7402</v>
      </c>
      <c r="L631" s="99" t="str">
        <f t="shared" si="37"/>
        <v>W3222.7</v>
      </c>
      <c r="M631" s="13" t="s">
        <v>17</v>
      </c>
      <c r="N631" s="13"/>
      <c r="O631" s="13"/>
      <c r="P631" s="47"/>
      <c r="Q631" s="45" t="s">
        <v>3672</v>
      </c>
      <c r="R631" s="45" t="s">
        <v>5596</v>
      </c>
      <c r="S631" s="48"/>
      <c r="T631" s="49" t="str">
        <f t="shared" si="36"/>
        <v>[W3222.7]</v>
      </c>
      <c r="U631" s="12" t="str">
        <f t="shared" si="39"/>
        <v xml:space="preserve"> 터브이송#3-1 Z축(SD246) RLS가 감지되었습니다.</v>
      </c>
      <c r="V631" s="49" t="str">
        <f t="shared" si="38"/>
        <v>[W3222.7] 터브이송#3-1 Z축(SD246) RLS가 감지되었습니다.</v>
      </c>
    </row>
    <row r="632" spans="1:22" s="49" customFormat="1" ht="14.15" customHeight="1">
      <c r="A632" s="43" t="s">
        <v>6673</v>
      </c>
      <c r="B632" s="44" t="s">
        <v>6635</v>
      </c>
      <c r="C632" s="50"/>
      <c r="D632" s="10" t="s">
        <v>29</v>
      </c>
      <c r="E632" s="11"/>
      <c r="F632" s="11" t="s">
        <v>18</v>
      </c>
      <c r="G632" s="13"/>
      <c r="H632" s="45" t="s">
        <v>16</v>
      </c>
      <c r="I632" s="46"/>
      <c r="J632" s="12" t="s">
        <v>6021</v>
      </c>
      <c r="K632" s="13" t="s">
        <v>7403</v>
      </c>
      <c r="L632" s="99" t="str">
        <f t="shared" si="37"/>
        <v>W3222.8</v>
      </c>
      <c r="M632" s="13" t="s">
        <v>17</v>
      </c>
      <c r="N632" s="13"/>
      <c r="O632" s="13"/>
      <c r="P632" s="47"/>
      <c r="Q632" s="45" t="s">
        <v>3672</v>
      </c>
      <c r="R632" s="45" t="s">
        <v>5596</v>
      </c>
      <c r="S632" s="48"/>
      <c r="T632" s="49" t="str">
        <f t="shared" si="36"/>
        <v>[W3222.8]</v>
      </c>
      <c r="U632" s="12" t="str">
        <f t="shared" si="39"/>
        <v xml:space="preserve"> 터브이송#3-1 Z축(SD246) Stop 명령이 On된 상태에서 기동을 시도했습니다.</v>
      </c>
      <c r="V632" s="49" t="str">
        <f t="shared" si="38"/>
        <v>[W3222.8] 터브이송#3-1 Z축(SD246) Stop 명령이 On된 상태에서 기동을 시도했습니다.</v>
      </c>
    </row>
    <row r="633" spans="1:22" s="49" customFormat="1" ht="14.15" customHeight="1">
      <c r="A633" s="43" t="s">
        <v>6673</v>
      </c>
      <c r="B633" s="44" t="s">
        <v>6635</v>
      </c>
      <c r="C633" s="50"/>
      <c r="D633" s="10" t="s">
        <v>29</v>
      </c>
      <c r="E633" s="11"/>
      <c r="F633" s="11" t="s">
        <v>18</v>
      </c>
      <c r="G633" s="13"/>
      <c r="H633" s="45" t="s">
        <v>16</v>
      </c>
      <c r="I633" s="46"/>
      <c r="J633" s="12" t="s">
        <v>6022</v>
      </c>
      <c r="K633" s="13" t="s">
        <v>7404</v>
      </c>
      <c r="L633" s="99" t="str">
        <f t="shared" si="37"/>
        <v>W3222.9</v>
      </c>
      <c r="M633" s="13" t="s">
        <v>17</v>
      </c>
      <c r="N633" s="13"/>
      <c r="O633" s="13"/>
      <c r="P633" s="47"/>
      <c r="Q633" s="45" t="s">
        <v>3672</v>
      </c>
      <c r="R633" s="45" t="s">
        <v>5596</v>
      </c>
      <c r="S633" s="48"/>
      <c r="T633" s="49" t="str">
        <f t="shared" si="36"/>
        <v>[W3222.9]</v>
      </c>
      <c r="U633" s="12" t="str">
        <f t="shared" si="39"/>
        <v xml:space="preserve"> 터브이송#3-1 Z축(SD246) 가동 전원이 Off 되었습니다.</v>
      </c>
      <c r="V633" s="49" t="str">
        <f t="shared" si="38"/>
        <v>[W3222.9] 터브이송#3-1 Z축(SD246) 가동 전원이 Off 되었습니다.</v>
      </c>
    </row>
    <row r="634" spans="1:22" s="49" customFormat="1" ht="14.15" customHeight="1">
      <c r="A634" s="43" t="s">
        <v>6673</v>
      </c>
      <c r="B634" s="44" t="s">
        <v>6635</v>
      </c>
      <c r="C634" s="50"/>
      <c r="D634" s="10" t="s">
        <v>29</v>
      </c>
      <c r="E634" s="11"/>
      <c r="F634" s="11" t="s">
        <v>18</v>
      </c>
      <c r="G634" s="13"/>
      <c r="H634" s="45" t="s">
        <v>16</v>
      </c>
      <c r="I634" s="46"/>
      <c r="J634" s="12" t="s">
        <v>6023</v>
      </c>
      <c r="K634" s="13" t="s">
        <v>7405</v>
      </c>
      <c r="L634" s="99" t="str">
        <f t="shared" si="37"/>
        <v>W3222.A</v>
      </c>
      <c r="M634" s="13" t="s">
        <v>17</v>
      </c>
      <c r="N634" s="13"/>
      <c r="O634" s="13"/>
      <c r="P634" s="47"/>
      <c r="Q634" s="45" t="s">
        <v>3672</v>
      </c>
      <c r="R634" s="45" t="s">
        <v>5596</v>
      </c>
      <c r="S634" s="48"/>
      <c r="T634" s="49" t="str">
        <f t="shared" si="36"/>
        <v>[W3222.A]</v>
      </c>
      <c r="U634" s="12" t="str">
        <f t="shared" si="39"/>
        <v xml:space="preserve"> 터브이송#3-1 Z축(SD246) 엔코더 이상이 검출되었습니다.</v>
      </c>
      <c r="V634" s="49" t="str">
        <f t="shared" si="38"/>
        <v>[W3222.A] 터브이송#3-1 Z축(SD246) 엔코더 이상이 검출되었습니다.</v>
      </c>
    </row>
    <row r="635" spans="1:22" s="49" customFormat="1" ht="14.15" customHeight="1">
      <c r="A635" s="43" t="s">
        <v>6673</v>
      </c>
      <c r="B635" s="44" t="s">
        <v>6635</v>
      </c>
      <c r="C635" s="50"/>
      <c r="D635" s="10" t="s">
        <v>29</v>
      </c>
      <c r="E635" s="11"/>
      <c r="F635" s="11" t="s">
        <v>18</v>
      </c>
      <c r="G635" s="13"/>
      <c r="H635" s="45" t="s">
        <v>16</v>
      </c>
      <c r="I635" s="46"/>
      <c r="J635" s="12" t="s">
        <v>6024</v>
      </c>
      <c r="K635" s="13" t="s">
        <v>7406</v>
      </c>
      <c r="L635" s="99" t="str">
        <f t="shared" si="37"/>
        <v>W3222.B</v>
      </c>
      <c r="M635" s="13" t="s">
        <v>17</v>
      </c>
      <c r="N635" s="13"/>
      <c r="O635" s="13"/>
      <c r="P635" s="47"/>
      <c r="Q635" s="45" t="s">
        <v>3672</v>
      </c>
      <c r="R635" s="45" t="s">
        <v>5596</v>
      </c>
      <c r="S635" s="48"/>
      <c r="T635" s="49" t="str">
        <f t="shared" si="36"/>
        <v>[W3222.B]</v>
      </c>
      <c r="U635" s="12" t="str">
        <f t="shared" si="39"/>
        <v xml:space="preserve"> 터브이송#3-1 Z축(SD246) 과전류가 검출되었습니다.</v>
      </c>
      <c r="V635" s="49" t="str">
        <f t="shared" si="38"/>
        <v>[W3222.B] 터브이송#3-1 Z축(SD246) 과전류가 검출되었습니다.</v>
      </c>
    </row>
    <row r="636" spans="1:22" s="49" customFormat="1" ht="14.15" customHeight="1">
      <c r="A636" s="43" t="s">
        <v>6673</v>
      </c>
      <c r="B636" s="44" t="s">
        <v>6635</v>
      </c>
      <c r="C636" s="50"/>
      <c r="D636" s="10" t="s">
        <v>29</v>
      </c>
      <c r="E636" s="11"/>
      <c r="F636" s="11" t="s">
        <v>18</v>
      </c>
      <c r="G636" s="13"/>
      <c r="H636" s="45" t="s">
        <v>16</v>
      </c>
      <c r="I636" s="46"/>
      <c r="J636" s="12" t="s">
        <v>6025</v>
      </c>
      <c r="K636" s="13" t="s">
        <v>7407</v>
      </c>
      <c r="L636" s="99" t="str">
        <f t="shared" si="37"/>
        <v>W3222.C</v>
      </c>
      <c r="M636" s="13" t="s">
        <v>17</v>
      </c>
      <c r="N636" s="13"/>
      <c r="O636" s="13"/>
      <c r="P636" s="47"/>
      <c r="Q636" s="45" t="s">
        <v>3672</v>
      </c>
      <c r="R636" s="45" t="s">
        <v>5596</v>
      </c>
      <c r="S636" s="48"/>
      <c r="T636" s="49" t="str">
        <f t="shared" si="36"/>
        <v>[W3222.C]</v>
      </c>
      <c r="U636" s="12" t="str">
        <f t="shared" si="39"/>
        <v xml:space="preserve"> 터브이송#3-1 Z축(SD246) 과부하가 검출되었습니다.</v>
      </c>
      <c r="V636" s="49" t="str">
        <f t="shared" si="38"/>
        <v>[W3222.C] 터브이송#3-1 Z축(SD246) 과부하가 검출되었습니다.</v>
      </c>
    </row>
    <row r="637" spans="1:22" s="49" customFormat="1" ht="14.15" customHeight="1">
      <c r="A637" s="43" t="s">
        <v>6673</v>
      </c>
      <c r="B637" s="44" t="s">
        <v>6635</v>
      </c>
      <c r="C637" s="50"/>
      <c r="D637" s="10" t="s">
        <v>29</v>
      </c>
      <c r="E637" s="11"/>
      <c r="F637" s="11" t="s">
        <v>18</v>
      </c>
      <c r="G637" s="13"/>
      <c r="H637" s="45" t="s">
        <v>16</v>
      </c>
      <c r="I637" s="46"/>
      <c r="J637" s="12" t="s">
        <v>6026</v>
      </c>
      <c r="K637" s="13" t="s">
        <v>7408</v>
      </c>
      <c r="L637" s="99" t="str">
        <f t="shared" si="37"/>
        <v>W3222.D</v>
      </c>
      <c r="M637" s="13" t="s">
        <v>17</v>
      </c>
      <c r="N637" s="13"/>
      <c r="O637" s="13"/>
      <c r="P637" s="47"/>
      <c r="Q637" s="45" t="s">
        <v>3672</v>
      </c>
      <c r="R637" s="45" t="s">
        <v>5596</v>
      </c>
      <c r="S637" s="48"/>
      <c r="T637" s="49" t="str">
        <f t="shared" si="36"/>
        <v>[W3222.D]</v>
      </c>
      <c r="U637" s="12" t="str">
        <f t="shared" si="39"/>
        <v xml:space="preserve"> 터브이송#3-1 Z축(SD246)  </v>
      </c>
      <c r="V637" s="49" t="str">
        <f t="shared" si="38"/>
        <v xml:space="preserve">[W3222.D] 터브이송#3-1 Z축(SD246)  </v>
      </c>
    </row>
    <row r="638" spans="1:22" s="49" customFormat="1" ht="14.15" customHeight="1">
      <c r="A638" s="43" t="s">
        <v>6673</v>
      </c>
      <c r="B638" s="44" t="s">
        <v>6635</v>
      </c>
      <c r="C638" s="50"/>
      <c r="D638" s="10" t="s">
        <v>29</v>
      </c>
      <c r="E638" s="11"/>
      <c r="F638" s="11" t="s">
        <v>18</v>
      </c>
      <c r="G638" s="13"/>
      <c r="H638" s="45" t="s">
        <v>16</v>
      </c>
      <c r="I638" s="46"/>
      <c r="J638" s="12" t="s">
        <v>6027</v>
      </c>
      <c r="K638" s="13" t="s">
        <v>7409</v>
      </c>
      <c r="L638" s="99" t="str">
        <f t="shared" si="37"/>
        <v>W3222.E</v>
      </c>
      <c r="M638" s="13" t="s">
        <v>17</v>
      </c>
      <c r="N638" s="13"/>
      <c r="O638" s="13"/>
      <c r="P638" s="47"/>
      <c r="Q638" s="45" t="s">
        <v>3672</v>
      </c>
      <c r="R638" s="45" t="s">
        <v>5596</v>
      </c>
      <c r="S638" s="48"/>
      <c r="T638" s="49" t="str">
        <f t="shared" si="36"/>
        <v>[W3222.E]</v>
      </c>
      <c r="U638" s="12" t="str">
        <f t="shared" si="39"/>
        <v xml:space="preserve"> 터브이송#3-1 Z축(SD246) 에러가 발생했습니다.</v>
      </c>
      <c r="V638" s="49" t="str">
        <f t="shared" si="38"/>
        <v>[W3222.E] 터브이송#3-1 Z축(SD246) 에러가 발생했습니다.</v>
      </c>
    </row>
    <row r="639" spans="1:22" s="49" customFormat="1" ht="14.15" customHeight="1">
      <c r="A639" s="43" t="s">
        <v>6673</v>
      </c>
      <c r="B639" s="44" t="s">
        <v>6635</v>
      </c>
      <c r="C639" s="50"/>
      <c r="D639" s="10" t="s">
        <v>29</v>
      </c>
      <c r="E639" s="11"/>
      <c r="F639" s="11" t="s">
        <v>18</v>
      </c>
      <c r="G639" s="13"/>
      <c r="H639" s="45" t="s">
        <v>16</v>
      </c>
      <c r="I639" s="46"/>
      <c r="J639" s="12" t="s">
        <v>6028</v>
      </c>
      <c r="K639" s="13" t="s">
        <v>7410</v>
      </c>
      <c r="L639" s="99" t="str">
        <f t="shared" si="37"/>
        <v>W3222.F</v>
      </c>
      <c r="M639" s="13" t="s">
        <v>17</v>
      </c>
      <c r="N639" s="13"/>
      <c r="O639" s="13"/>
      <c r="P639" s="47"/>
      <c r="Q639" s="45" t="s">
        <v>3672</v>
      </c>
      <c r="R639" s="45" t="s">
        <v>5596</v>
      </c>
      <c r="S639" s="48"/>
      <c r="T639" s="49" t="str">
        <f t="shared" si="36"/>
        <v>[W3222.F]</v>
      </c>
      <c r="U639" s="12" t="str">
        <f t="shared" si="39"/>
        <v xml:space="preserve"> 터브이송#3-1 C1축(SD247) 운전중에 Ready가 Off 되었습니다.</v>
      </c>
      <c r="V639" s="49" t="str">
        <f t="shared" si="38"/>
        <v>[W3222.F] 터브이송#3-1 C1축(SD247) 운전중에 Ready가 Off 되었습니다.</v>
      </c>
    </row>
    <row r="640" spans="1:22" s="49" customFormat="1" ht="14.15" customHeight="1">
      <c r="A640" s="43" t="s">
        <v>6673</v>
      </c>
      <c r="B640" s="44" t="s">
        <v>6635</v>
      </c>
      <c r="C640" s="50"/>
      <c r="D640" s="10" t="s">
        <v>29</v>
      </c>
      <c r="E640" s="11"/>
      <c r="F640" s="11" t="s">
        <v>18</v>
      </c>
      <c r="G640" s="13"/>
      <c r="H640" s="45" t="s">
        <v>16</v>
      </c>
      <c r="I640" s="46"/>
      <c r="J640" s="12" t="s">
        <v>6029</v>
      </c>
      <c r="K640" s="13" t="s">
        <v>7411</v>
      </c>
      <c r="L640" s="99" t="str">
        <f t="shared" si="37"/>
        <v>W3223.0</v>
      </c>
      <c r="M640" s="13" t="s">
        <v>17</v>
      </c>
      <c r="N640" s="13"/>
      <c r="O640" s="13"/>
      <c r="P640" s="47"/>
      <c r="Q640" s="45" t="s">
        <v>3672</v>
      </c>
      <c r="R640" s="45" t="s">
        <v>5596</v>
      </c>
      <c r="S640" s="48"/>
      <c r="T640" s="49" t="str">
        <f t="shared" si="36"/>
        <v>[W3223.0]</v>
      </c>
      <c r="U640" s="12" t="str">
        <f t="shared" si="39"/>
        <v xml:space="preserve"> 터브이송#3-1 C1축(SD247) FLS가 감지되었습니다.</v>
      </c>
      <c r="V640" s="49" t="str">
        <f t="shared" si="38"/>
        <v>[W3223.0] 터브이송#3-1 C1축(SD247) FLS가 감지되었습니다.</v>
      </c>
    </row>
    <row r="641" spans="1:22" s="49" customFormat="1" ht="14.15" customHeight="1">
      <c r="A641" s="43" t="s">
        <v>6673</v>
      </c>
      <c r="B641" s="44" t="s">
        <v>6635</v>
      </c>
      <c r="C641" s="50"/>
      <c r="D641" s="10" t="s">
        <v>29</v>
      </c>
      <c r="E641" s="11"/>
      <c r="F641" s="11" t="s">
        <v>18</v>
      </c>
      <c r="G641" s="13"/>
      <c r="H641" s="45" t="s">
        <v>16</v>
      </c>
      <c r="I641" s="46"/>
      <c r="J641" s="12" t="s">
        <v>6030</v>
      </c>
      <c r="K641" s="13" t="s">
        <v>7412</v>
      </c>
      <c r="L641" s="99" t="str">
        <f t="shared" si="37"/>
        <v>W3223.1</v>
      </c>
      <c r="M641" s="13" t="s">
        <v>17</v>
      </c>
      <c r="N641" s="13"/>
      <c r="O641" s="13"/>
      <c r="P641" s="47"/>
      <c r="Q641" s="45" t="s">
        <v>3672</v>
      </c>
      <c r="R641" s="45" t="s">
        <v>5596</v>
      </c>
      <c r="S641" s="48"/>
      <c r="T641" s="49" t="str">
        <f t="shared" si="36"/>
        <v>[W3223.1]</v>
      </c>
      <c r="U641" s="12" t="str">
        <f t="shared" si="39"/>
        <v xml:space="preserve"> 터브이송#3-1 C1축(SD247) RLS가 감지되었습니다.</v>
      </c>
      <c r="V641" s="49" t="str">
        <f t="shared" si="38"/>
        <v>[W3223.1] 터브이송#3-1 C1축(SD247) RLS가 감지되었습니다.</v>
      </c>
    </row>
    <row r="642" spans="1:22" s="49" customFormat="1" ht="14.15" customHeight="1">
      <c r="A642" s="43" t="s">
        <v>6673</v>
      </c>
      <c r="B642" s="44" t="s">
        <v>6635</v>
      </c>
      <c r="C642" s="50"/>
      <c r="D642" s="10" t="s">
        <v>29</v>
      </c>
      <c r="E642" s="11"/>
      <c r="F642" s="11" t="s">
        <v>18</v>
      </c>
      <c r="G642" s="13"/>
      <c r="H642" s="45" t="s">
        <v>16</v>
      </c>
      <c r="I642" s="46"/>
      <c r="J642" s="12" t="s">
        <v>6031</v>
      </c>
      <c r="K642" s="13" t="s">
        <v>7413</v>
      </c>
      <c r="L642" s="99" t="str">
        <f t="shared" si="37"/>
        <v>W3223.2</v>
      </c>
      <c r="M642" s="13" t="s">
        <v>17</v>
      </c>
      <c r="N642" s="13"/>
      <c r="O642" s="13"/>
      <c r="P642" s="47"/>
      <c r="Q642" s="45" t="s">
        <v>3672</v>
      </c>
      <c r="R642" s="45" t="s">
        <v>5596</v>
      </c>
      <c r="S642" s="48"/>
      <c r="T642" s="49" t="str">
        <f t="shared" si="36"/>
        <v>[W3223.2]</v>
      </c>
      <c r="U642" s="12" t="str">
        <f t="shared" si="39"/>
        <v xml:space="preserve"> 터브이송#3-1 C1축(SD247) Stop 명령이 On된 상태에서 기동을 시도했습니다.</v>
      </c>
      <c r="V642" s="49" t="str">
        <f t="shared" si="38"/>
        <v>[W3223.2] 터브이송#3-1 C1축(SD247) Stop 명령이 On된 상태에서 기동을 시도했습니다.</v>
      </c>
    </row>
    <row r="643" spans="1:22" s="49" customFormat="1" ht="14.15" customHeight="1">
      <c r="A643" s="43" t="s">
        <v>6673</v>
      </c>
      <c r="B643" s="44" t="s">
        <v>6635</v>
      </c>
      <c r="C643" s="50"/>
      <c r="D643" s="10" t="s">
        <v>29</v>
      </c>
      <c r="E643" s="11"/>
      <c r="F643" s="11" t="s">
        <v>18</v>
      </c>
      <c r="G643" s="13"/>
      <c r="H643" s="45" t="s">
        <v>16</v>
      </c>
      <c r="I643" s="46"/>
      <c r="J643" s="12" t="s">
        <v>6032</v>
      </c>
      <c r="K643" s="13" t="s">
        <v>7414</v>
      </c>
      <c r="L643" s="99" t="str">
        <f t="shared" si="37"/>
        <v>W3223.3</v>
      </c>
      <c r="M643" s="13" t="s">
        <v>17</v>
      </c>
      <c r="N643" s="13"/>
      <c r="O643" s="13"/>
      <c r="P643" s="47"/>
      <c r="Q643" s="45" t="s">
        <v>3672</v>
      </c>
      <c r="R643" s="45" t="s">
        <v>5596</v>
      </c>
      <c r="S643" s="48"/>
      <c r="T643" s="49" t="str">
        <f t="shared" si="36"/>
        <v>[W3223.3]</v>
      </c>
      <c r="U643" s="12" t="str">
        <f t="shared" si="39"/>
        <v xml:space="preserve"> 터브이송#3-1 C1축(SD247) 가동 전원이 Off 되었습니다.</v>
      </c>
      <c r="V643" s="49" t="str">
        <f t="shared" si="38"/>
        <v>[W3223.3] 터브이송#3-1 C1축(SD247) 가동 전원이 Off 되었습니다.</v>
      </c>
    </row>
    <row r="644" spans="1:22" s="49" customFormat="1" ht="14.15" customHeight="1">
      <c r="A644" s="43" t="s">
        <v>6673</v>
      </c>
      <c r="B644" s="44" t="s">
        <v>6635</v>
      </c>
      <c r="C644" s="50"/>
      <c r="D644" s="10" t="s">
        <v>29</v>
      </c>
      <c r="E644" s="11"/>
      <c r="F644" s="11" t="s">
        <v>18</v>
      </c>
      <c r="G644" s="13"/>
      <c r="H644" s="45" t="s">
        <v>16</v>
      </c>
      <c r="I644" s="46"/>
      <c r="J644" s="12" t="s">
        <v>6033</v>
      </c>
      <c r="K644" s="13" t="s">
        <v>7415</v>
      </c>
      <c r="L644" s="99" t="str">
        <f t="shared" si="37"/>
        <v>W3223.4</v>
      </c>
      <c r="M644" s="13" t="s">
        <v>17</v>
      </c>
      <c r="N644" s="13"/>
      <c r="O644" s="13"/>
      <c r="P644" s="47"/>
      <c r="Q644" s="45" t="s">
        <v>3672</v>
      </c>
      <c r="R644" s="45" t="s">
        <v>5596</v>
      </c>
      <c r="S644" s="48"/>
      <c r="T644" s="49" t="str">
        <f t="shared" si="36"/>
        <v>[W3223.4]</v>
      </c>
      <c r="U644" s="12" t="str">
        <f t="shared" si="39"/>
        <v xml:space="preserve"> 터브이송#3-1 C1축(SD247) 엔코더 이상이 검출되었습니다.</v>
      </c>
      <c r="V644" s="49" t="str">
        <f t="shared" si="38"/>
        <v>[W3223.4] 터브이송#3-1 C1축(SD247) 엔코더 이상이 검출되었습니다.</v>
      </c>
    </row>
    <row r="645" spans="1:22" s="49" customFormat="1" ht="14.15" customHeight="1">
      <c r="A645" s="43" t="s">
        <v>6673</v>
      </c>
      <c r="B645" s="44" t="s">
        <v>6635</v>
      </c>
      <c r="C645" s="50"/>
      <c r="D645" s="10" t="s">
        <v>29</v>
      </c>
      <c r="E645" s="11"/>
      <c r="F645" s="11" t="s">
        <v>18</v>
      </c>
      <c r="G645" s="13"/>
      <c r="H645" s="45" t="s">
        <v>16</v>
      </c>
      <c r="I645" s="46"/>
      <c r="J645" s="12" t="s">
        <v>6034</v>
      </c>
      <c r="K645" s="13" t="s">
        <v>7416</v>
      </c>
      <c r="L645" s="99" t="str">
        <f t="shared" si="37"/>
        <v>W3223.5</v>
      </c>
      <c r="M645" s="13" t="s">
        <v>17</v>
      </c>
      <c r="N645" s="13"/>
      <c r="O645" s="13"/>
      <c r="P645" s="47"/>
      <c r="Q645" s="45" t="s">
        <v>3672</v>
      </c>
      <c r="R645" s="45" t="s">
        <v>5596</v>
      </c>
      <c r="S645" s="48"/>
      <c r="T645" s="49" t="str">
        <f t="shared" si="36"/>
        <v>[W3223.5]</v>
      </c>
      <c r="U645" s="12" t="str">
        <f t="shared" si="39"/>
        <v xml:space="preserve"> 터브이송#3-1 C1축(SD247) 과전류가 검출되었습니다.</v>
      </c>
      <c r="V645" s="49" t="str">
        <f t="shared" si="38"/>
        <v>[W3223.5] 터브이송#3-1 C1축(SD247) 과전류가 검출되었습니다.</v>
      </c>
    </row>
    <row r="646" spans="1:22" s="49" customFormat="1" ht="14.15" customHeight="1">
      <c r="A646" s="43" t="s">
        <v>6673</v>
      </c>
      <c r="B646" s="44" t="s">
        <v>6635</v>
      </c>
      <c r="C646" s="50"/>
      <c r="D646" s="10" t="s">
        <v>29</v>
      </c>
      <c r="E646" s="11"/>
      <c r="F646" s="11" t="s">
        <v>18</v>
      </c>
      <c r="G646" s="13"/>
      <c r="H646" s="45" t="s">
        <v>16</v>
      </c>
      <c r="I646" s="46"/>
      <c r="J646" s="12" t="s">
        <v>6035</v>
      </c>
      <c r="K646" s="13" t="s">
        <v>7417</v>
      </c>
      <c r="L646" s="99" t="str">
        <f t="shared" si="37"/>
        <v>W3223.6</v>
      </c>
      <c r="M646" s="13" t="s">
        <v>17</v>
      </c>
      <c r="N646" s="13"/>
      <c r="O646" s="13"/>
      <c r="P646" s="47"/>
      <c r="Q646" s="45" t="s">
        <v>3672</v>
      </c>
      <c r="R646" s="45" t="s">
        <v>5596</v>
      </c>
      <c r="S646" s="48"/>
      <c r="T646" s="49" t="str">
        <f t="shared" si="36"/>
        <v>[W3223.6]</v>
      </c>
      <c r="U646" s="12" t="str">
        <f t="shared" si="39"/>
        <v xml:space="preserve"> 터브이송#3-1 C1축(SD247) 과부하가 검출되었습니다.</v>
      </c>
      <c r="V646" s="49" t="str">
        <f t="shared" si="38"/>
        <v>[W3223.6] 터브이송#3-1 C1축(SD247) 과부하가 검출되었습니다.</v>
      </c>
    </row>
    <row r="647" spans="1:22" s="49" customFormat="1" ht="14.15" customHeight="1">
      <c r="A647" s="43" t="s">
        <v>6673</v>
      </c>
      <c r="B647" s="44" t="s">
        <v>6635</v>
      </c>
      <c r="C647" s="50"/>
      <c r="D647" s="10" t="s">
        <v>29</v>
      </c>
      <c r="E647" s="11"/>
      <c r="F647" s="11" t="s">
        <v>18</v>
      </c>
      <c r="G647" s="13"/>
      <c r="H647" s="45" t="s">
        <v>16</v>
      </c>
      <c r="I647" s="46"/>
      <c r="J647" s="12" t="s">
        <v>6036</v>
      </c>
      <c r="K647" s="13" t="s">
        <v>7418</v>
      </c>
      <c r="L647" s="99" t="str">
        <f t="shared" si="37"/>
        <v>W3223.7</v>
      </c>
      <c r="M647" s="13" t="s">
        <v>17</v>
      </c>
      <c r="N647" s="13"/>
      <c r="O647" s="13"/>
      <c r="P647" s="47"/>
      <c r="Q647" s="45" t="s">
        <v>3672</v>
      </c>
      <c r="R647" s="45" t="s">
        <v>5596</v>
      </c>
      <c r="S647" s="48"/>
      <c r="T647" s="49" t="str">
        <f t="shared" si="36"/>
        <v>[W3223.7]</v>
      </c>
      <c r="U647" s="12" t="str">
        <f t="shared" si="39"/>
        <v xml:space="preserve"> 터브이송#3-1 C1축(SD247)  </v>
      </c>
      <c r="V647" s="49" t="str">
        <f t="shared" si="38"/>
        <v xml:space="preserve">[W3223.7] 터브이송#3-1 C1축(SD247)  </v>
      </c>
    </row>
    <row r="648" spans="1:22" s="49" customFormat="1" ht="14.15" customHeight="1">
      <c r="A648" s="43" t="s">
        <v>6673</v>
      </c>
      <c r="B648" s="44" t="s">
        <v>6635</v>
      </c>
      <c r="C648" s="50"/>
      <c r="D648" s="10" t="s">
        <v>29</v>
      </c>
      <c r="E648" s="11"/>
      <c r="F648" s="11" t="s">
        <v>18</v>
      </c>
      <c r="G648" s="13"/>
      <c r="H648" s="45" t="s">
        <v>16</v>
      </c>
      <c r="I648" s="46"/>
      <c r="J648" s="12" t="s">
        <v>6037</v>
      </c>
      <c r="K648" s="13" t="s">
        <v>7419</v>
      </c>
      <c r="L648" s="99" t="str">
        <f t="shared" si="37"/>
        <v>W3223.8</v>
      </c>
      <c r="M648" s="13" t="s">
        <v>17</v>
      </c>
      <c r="N648" s="13"/>
      <c r="O648" s="13"/>
      <c r="P648" s="47"/>
      <c r="Q648" s="45" t="s">
        <v>3672</v>
      </c>
      <c r="R648" s="45" t="s">
        <v>5596</v>
      </c>
      <c r="S648" s="48"/>
      <c r="T648" s="49" t="str">
        <f t="shared" si="36"/>
        <v>[W3223.8]</v>
      </c>
      <c r="U648" s="12" t="str">
        <f t="shared" si="39"/>
        <v xml:space="preserve"> 터브이송#3-1 C1축(SD247) 에러가 발생했습니다.</v>
      </c>
      <c r="V648" s="49" t="str">
        <f t="shared" si="38"/>
        <v>[W3223.8] 터브이송#3-1 C1축(SD247) 에러가 발생했습니다.</v>
      </c>
    </row>
    <row r="649" spans="1:22" s="49" customFormat="1" ht="14.15" customHeight="1">
      <c r="A649" s="43" t="s">
        <v>6673</v>
      </c>
      <c r="B649" s="44" t="s">
        <v>6635</v>
      </c>
      <c r="C649" s="50"/>
      <c r="D649" s="10" t="s">
        <v>29</v>
      </c>
      <c r="E649" s="11"/>
      <c r="F649" s="11" t="s">
        <v>18</v>
      </c>
      <c r="G649" s="13"/>
      <c r="H649" s="45" t="s">
        <v>16</v>
      </c>
      <c r="I649" s="47"/>
      <c r="J649" s="12" t="s">
        <v>6038</v>
      </c>
      <c r="K649" s="13" t="s">
        <v>7420</v>
      </c>
      <c r="L649" s="99" t="str">
        <f t="shared" si="37"/>
        <v>W3223.9</v>
      </c>
      <c r="M649" s="13" t="s">
        <v>17</v>
      </c>
      <c r="N649" s="13"/>
      <c r="O649" s="13"/>
      <c r="P649" s="47"/>
      <c r="Q649" s="45" t="s">
        <v>3672</v>
      </c>
      <c r="R649" s="45" t="s">
        <v>5596</v>
      </c>
      <c r="S649" s="48"/>
      <c r="T649" s="49" t="str">
        <f t="shared" si="36"/>
        <v>[W3223.9]</v>
      </c>
      <c r="U649" s="12" t="str">
        <f t="shared" si="39"/>
        <v xml:space="preserve"> 터브이송#3-1 C2축(SD248) 운전중에 Ready가 Off 되었습니다.</v>
      </c>
      <c r="V649" s="49" t="str">
        <f t="shared" si="38"/>
        <v>[W3223.9] 터브이송#3-1 C2축(SD248) 운전중에 Ready가 Off 되었습니다.</v>
      </c>
    </row>
    <row r="650" spans="1:22" s="49" customFormat="1" ht="14.15" customHeight="1">
      <c r="A650" s="43" t="s">
        <v>6673</v>
      </c>
      <c r="B650" s="44" t="s">
        <v>6635</v>
      </c>
      <c r="C650" s="50"/>
      <c r="D650" s="10" t="s">
        <v>29</v>
      </c>
      <c r="E650" s="11"/>
      <c r="F650" s="11" t="s">
        <v>18</v>
      </c>
      <c r="G650" s="13"/>
      <c r="H650" s="45" t="s">
        <v>16</v>
      </c>
      <c r="I650" s="47"/>
      <c r="J650" s="12" t="s">
        <v>6039</v>
      </c>
      <c r="K650" s="13" t="s">
        <v>7421</v>
      </c>
      <c r="L650" s="99" t="str">
        <f t="shared" si="37"/>
        <v>W3223.A</v>
      </c>
      <c r="M650" s="13" t="s">
        <v>17</v>
      </c>
      <c r="N650" s="13"/>
      <c r="O650" s="13"/>
      <c r="P650" s="47"/>
      <c r="Q650" s="45" t="s">
        <v>3672</v>
      </c>
      <c r="R650" s="45" t="s">
        <v>5596</v>
      </c>
      <c r="S650" s="48"/>
      <c r="T650" s="49" t="str">
        <f t="shared" si="36"/>
        <v>[W3223.A]</v>
      </c>
      <c r="U650" s="12" t="str">
        <f t="shared" si="39"/>
        <v xml:space="preserve"> 터브이송#3-1 C2축(SD248) FLS가 감지되었습니다.</v>
      </c>
      <c r="V650" s="49" t="str">
        <f t="shared" si="38"/>
        <v>[W3223.A] 터브이송#3-1 C2축(SD248) FLS가 감지되었습니다.</v>
      </c>
    </row>
    <row r="651" spans="1:22" s="49" customFormat="1" ht="14.15" customHeight="1">
      <c r="A651" s="43" t="s">
        <v>6673</v>
      </c>
      <c r="B651" s="44" t="s">
        <v>6635</v>
      </c>
      <c r="C651" s="50"/>
      <c r="D651" s="10" t="s">
        <v>29</v>
      </c>
      <c r="E651" s="11"/>
      <c r="F651" s="11" t="s">
        <v>18</v>
      </c>
      <c r="G651" s="13"/>
      <c r="H651" s="45" t="s">
        <v>16</v>
      </c>
      <c r="I651" s="47"/>
      <c r="J651" s="12" t="s">
        <v>6040</v>
      </c>
      <c r="K651" s="13" t="s">
        <v>7422</v>
      </c>
      <c r="L651" s="99" t="str">
        <f t="shared" si="37"/>
        <v>W3223.B</v>
      </c>
      <c r="M651" s="13" t="s">
        <v>17</v>
      </c>
      <c r="N651" s="13"/>
      <c r="O651" s="13"/>
      <c r="P651" s="47"/>
      <c r="Q651" s="45" t="s">
        <v>3672</v>
      </c>
      <c r="R651" s="45" t="s">
        <v>5596</v>
      </c>
      <c r="S651" s="48"/>
      <c r="T651" s="49" t="str">
        <f t="shared" si="36"/>
        <v>[W3223.B]</v>
      </c>
      <c r="U651" s="12" t="str">
        <f t="shared" si="39"/>
        <v xml:space="preserve"> 터브이송#3-1 C2축(SD248) RLS가 감지되었습니다.</v>
      </c>
      <c r="V651" s="49" t="str">
        <f t="shared" si="38"/>
        <v>[W3223.B] 터브이송#3-1 C2축(SD248) RLS가 감지되었습니다.</v>
      </c>
    </row>
    <row r="652" spans="1:22" s="49" customFormat="1" ht="14.15" customHeight="1">
      <c r="A652" s="43" t="s">
        <v>6673</v>
      </c>
      <c r="B652" s="44" t="s">
        <v>6635</v>
      </c>
      <c r="C652" s="50"/>
      <c r="D652" s="10" t="s">
        <v>29</v>
      </c>
      <c r="E652" s="11"/>
      <c r="F652" s="11" t="s">
        <v>18</v>
      </c>
      <c r="G652" s="13"/>
      <c r="H652" s="45" t="s">
        <v>16</v>
      </c>
      <c r="I652" s="47"/>
      <c r="J652" s="12" t="s">
        <v>6041</v>
      </c>
      <c r="K652" s="13" t="s">
        <v>7423</v>
      </c>
      <c r="L652" s="99" t="str">
        <f t="shared" si="37"/>
        <v>W3223.C</v>
      </c>
      <c r="M652" s="13" t="s">
        <v>17</v>
      </c>
      <c r="N652" s="13"/>
      <c r="O652" s="13"/>
      <c r="P652" s="47"/>
      <c r="Q652" s="45" t="s">
        <v>3672</v>
      </c>
      <c r="R652" s="45" t="s">
        <v>5596</v>
      </c>
      <c r="S652" s="48"/>
      <c r="T652" s="49" t="str">
        <f t="shared" si="36"/>
        <v>[W3223.C]</v>
      </c>
      <c r="U652" s="12" t="str">
        <f t="shared" si="39"/>
        <v xml:space="preserve"> 터브이송#3-1 C2축(SD248) Stop 명령이 On된 상태에서 기동을 시도했습니다.</v>
      </c>
      <c r="V652" s="49" t="str">
        <f t="shared" si="38"/>
        <v>[W3223.C] 터브이송#3-1 C2축(SD248) Stop 명령이 On된 상태에서 기동을 시도했습니다.</v>
      </c>
    </row>
    <row r="653" spans="1:22" s="49" customFormat="1" ht="14.15" customHeight="1">
      <c r="A653" s="43" t="s">
        <v>6673</v>
      </c>
      <c r="B653" s="44" t="s">
        <v>6635</v>
      </c>
      <c r="C653" s="50"/>
      <c r="D653" s="10" t="s">
        <v>29</v>
      </c>
      <c r="E653" s="11"/>
      <c r="F653" s="11" t="s">
        <v>18</v>
      </c>
      <c r="G653" s="13"/>
      <c r="H653" s="45" t="s">
        <v>16</v>
      </c>
      <c r="I653" s="47"/>
      <c r="J653" s="12" t="s">
        <v>6042</v>
      </c>
      <c r="K653" s="13" t="s">
        <v>7424</v>
      </c>
      <c r="L653" s="99" t="str">
        <f t="shared" si="37"/>
        <v>W3223.D</v>
      </c>
      <c r="M653" s="13" t="s">
        <v>17</v>
      </c>
      <c r="N653" s="13"/>
      <c r="O653" s="13"/>
      <c r="P653" s="47"/>
      <c r="Q653" s="45" t="s">
        <v>3672</v>
      </c>
      <c r="R653" s="45" t="s">
        <v>5596</v>
      </c>
      <c r="S653" s="48"/>
      <c r="T653" s="49" t="str">
        <f t="shared" si="36"/>
        <v>[W3223.D]</v>
      </c>
      <c r="U653" s="12" t="str">
        <f t="shared" si="39"/>
        <v xml:space="preserve"> 터브이송#3-1 C2축(SD248) 가동 전원이 Off 되었습니다.</v>
      </c>
      <c r="V653" s="49" t="str">
        <f t="shared" si="38"/>
        <v>[W3223.D] 터브이송#3-1 C2축(SD248) 가동 전원이 Off 되었습니다.</v>
      </c>
    </row>
    <row r="654" spans="1:22" s="49" customFormat="1" ht="14.15" customHeight="1">
      <c r="A654" s="43" t="s">
        <v>6673</v>
      </c>
      <c r="B654" s="44" t="s">
        <v>6635</v>
      </c>
      <c r="C654" s="50"/>
      <c r="D654" s="10" t="s">
        <v>29</v>
      </c>
      <c r="E654" s="11"/>
      <c r="F654" s="11" t="s">
        <v>18</v>
      </c>
      <c r="G654" s="13"/>
      <c r="H654" s="45" t="s">
        <v>16</v>
      </c>
      <c r="I654" s="47"/>
      <c r="J654" s="12" t="s">
        <v>6043</v>
      </c>
      <c r="K654" s="13" t="s">
        <v>7425</v>
      </c>
      <c r="L654" s="99" t="str">
        <f t="shared" si="37"/>
        <v>W3223.E</v>
      </c>
      <c r="M654" s="13" t="s">
        <v>17</v>
      </c>
      <c r="N654" s="13"/>
      <c r="O654" s="13"/>
      <c r="P654" s="47"/>
      <c r="Q654" s="45" t="s">
        <v>3672</v>
      </c>
      <c r="R654" s="45" t="s">
        <v>5596</v>
      </c>
      <c r="S654" s="48"/>
      <c r="T654" s="49" t="str">
        <f t="shared" si="36"/>
        <v>[W3223.E]</v>
      </c>
      <c r="U654" s="12" t="str">
        <f t="shared" si="39"/>
        <v xml:space="preserve"> 터브이송#3-1 C2축(SD248) 엔코더 이상이 검출되었습니다.</v>
      </c>
      <c r="V654" s="49" t="str">
        <f t="shared" si="38"/>
        <v>[W3223.E] 터브이송#3-1 C2축(SD248) 엔코더 이상이 검출되었습니다.</v>
      </c>
    </row>
    <row r="655" spans="1:22" s="49" customFormat="1" ht="14.15" customHeight="1">
      <c r="A655" s="43" t="s">
        <v>6673</v>
      </c>
      <c r="B655" s="44" t="s">
        <v>6635</v>
      </c>
      <c r="C655" s="50"/>
      <c r="D655" s="10" t="s">
        <v>29</v>
      </c>
      <c r="E655" s="11"/>
      <c r="F655" s="11" t="s">
        <v>18</v>
      </c>
      <c r="G655" s="13"/>
      <c r="H655" s="45" t="s">
        <v>16</v>
      </c>
      <c r="I655" s="47"/>
      <c r="J655" s="12" t="s">
        <v>6044</v>
      </c>
      <c r="K655" s="13" t="s">
        <v>7426</v>
      </c>
      <c r="L655" s="99" t="str">
        <f t="shared" si="37"/>
        <v>W3223.F</v>
      </c>
      <c r="M655" s="13" t="s">
        <v>17</v>
      </c>
      <c r="N655" s="13"/>
      <c r="O655" s="13"/>
      <c r="P655" s="47"/>
      <c r="Q655" s="45" t="s">
        <v>3672</v>
      </c>
      <c r="R655" s="45" t="s">
        <v>5596</v>
      </c>
      <c r="S655" s="48"/>
      <c r="T655" s="49" t="str">
        <f t="shared" si="36"/>
        <v>[W3223.F]</v>
      </c>
      <c r="U655" s="12" t="str">
        <f t="shared" si="39"/>
        <v xml:space="preserve"> 터브이송#3-1 C2축(SD248) 과전류가 검출되었습니다.</v>
      </c>
      <c r="V655" s="49" t="str">
        <f t="shared" si="38"/>
        <v>[W3223.F] 터브이송#3-1 C2축(SD248) 과전류가 검출되었습니다.</v>
      </c>
    </row>
    <row r="656" spans="1:22" s="49" customFormat="1" ht="14.15" customHeight="1">
      <c r="A656" s="43" t="s">
        <v>6673</v>
      </c>
      <c r="B656" s="44" t="s">
        <v>6635</v>
      </c>
      <c r="C656" s="50"/>
      <c r="D656" s="10" t="s">
        <v>29</v>
      </c>
      <c r="E656" s="11"/>
      <c r="F656" s="11" t="s">
        <v>18</v>
      </c>
      <c r="G656" s="13"/>
      <c r="H656" s="45" t="s">
        <v>16</v>
      </c>
      <c r="I656" s="47"/>
      <c r="J656" s="12" t="s">
        <v>6045</v>
      </c>
      <c r="K656" s="13" t="s">
        <v>7427</v>
      </c>
      <c r="L656" s="99" t="str">
        <f t="shared" si="37"/>
        <v>W3224.0</v>
      </c>
      <c r="M656" s="13" t="s">
        <v>17</v>
      </c>
      <c r="N656" s="13"/>
      <c r="O656" s="13"/>
      <c r="P656" s="47"/>
      <c r="Q656" s="45" t="s">
        <v>3672</v>
      </c>
      <c r="R656" s="45" t="s">
        <v>5596</v>
      </c>
      <c r="S656" s="48"/>
      <c r="T656" s="49" t="str">
        <f t="shared" ref="T656:T719" si="40">"["&amp;L656&amp;"]"</f>
        <v>[W3224.0]</v>
      </c>
      <c r="U656" s="12" t="str">
        <f t="shared" si="39"/>
        <v xml:space="preserve"> 터브이송#3-1 C2축(SD248) 과부하가 검출되었습니다.</v>
      </c>
      <c r="V656" s="49" t="str">
        <f t="shared" si="38"/>
        <v>[W3224.0] 터브이송#3-1 C2축(SD248) 과부하가 검출되었습니다.</v>
      </c>
    </row>
    <row r="657" spans="1:22" s="49" customFormat="1" ht="14.15" customHeight="1">
      <c r="A657" s="43" t="s">
        <v>6673</v>
      </c>
      <c r="B657" s="44" t="s">
        <v>6635</v>
      </c>
      <c r="C657" s="50"/>
      <c r="D657" s="10" t="s">
        <v>29</v>
      </c>
      <c r="E657" s="11"/>
      <c r="F657" s="11" t="s">
        <v>18</v>
      </c>
      <c r="G657" s="13"/>
      <c r="H657" s="45" t="s">
        <v>16</v>
      </c>
      <c r="I657" s="47"/>
      <c r="J657" s="12" t="s">
        <v>6046</v>
      </c>
      <c r="K657" s="13" t="s">
        <v>7428</v>
      </c>
      <c r="L657" s="99" t="str">
        <f t="shared" ref="L657:L720" si="41">"W"&amp;DEC2HEX(12800 + INT((ROW()-80)/16)) &amp; "." &amp; IF(MOD(ROW()-80,16)&lt;10,MOD(ROW()-80,16),CHAR(MOD(ROW()-80,16)+55))</f>
        <v>W3224.1</v>
      </c>
      <c r="M657" s="13" t="s">
        <v>17</v>
      </c>
      <c r="N657" s="13"/>
      <c r="O657" s="13"/>
      <c r="P657" s="47"/>
      <c r="Q657" s="45" t="s">
        <v>3672</v>
      </c>
      <c r="R657" s="45" t="s">
        <v>5596</v>
      </c>
      <c r="S657" s="48"/>
      <c r="T657" s="49" t="str">
        <f t="shared" si="40"/>
        <v>[W3224.1]</v>
      </c>
      <c r="U657" s="12" t="str">
        <f t="shared" si="39"/>
        <v xml:space="preserve"> 터브이송#3-1 C2축(SD248)  </v>
      </c>
      <c r="V657" s="49" t="str">
        <f t="shared" ref="V657:V720" si="42">T657&amp;U657</f>
        <v xml:space="preserve">[W3224.1] 터브이송#3-1 C2축(SD248)  </v>
      </c>
    </row>
    <row r="658" spans="1:22" s="49" customFormat="1" ht="14.15" customHeight="1">
      <c r="A658" s="43" t="s">
        <v>6673</v>
      </c>
      <c r="B658" s="44" t="s">
        <v>6635</v>
      </c>
      <c r="C658" s="50"/>
      <c r="D658" s="10" t="s">
        <v>29</v>
      </c>
      <c r="E658" s="11"/>
      <c r="F658" s="11" t="s">
        <v>18</v>
      </c>
      <c r="G658" s="13"/>
      <c r="H658" s="45" t="s">
        <v>16</v>
      </c>
      <c r="I658" s="47"/>
      <c r="J658" s="12" t="s">
        <v>6047</v>
      </c>
      <c r="K658" s="13" t="s">
        <v>7429</v>
      </c>
      <c r="L658" s="99" t="str">
        <f t="shared" si="41"/>
        <v>W3224.2</v>
      </c>
      <c r="M658" s="13" t="s">
        <v>17</v>
      </c>
      <c r="N658" s="13"/>
      <c r="O658" s="13"/>
      <c r="P658" s="53"/>
      <c r="Q658" s="45" t="s">
        <v>3672</v>
      </c>
      <c r="R658" s="45" t="s">
        <v>5596</v>
      </c>
      <c r="S658" s="48"/>
      <c r="T658" s="49" t="str">
        <f t="shared" si="40"/>
        <v>[W3224.2]</v>
      </c>
      <c r="U658" s="12" t="str">
        <f t="shared" si="39"/>
        <v xml:space="preserve"> 터브이송#3-1 C2축(SD248) 에러가 발생했습니다.</v>
      </c>
      <c r="V658" s="49" t="str">
        <f t="shared" si="42"/>
        <v>[W3224.2] 터브이송#3-1 C2축(SD248) 에러가 발생했습니다.</v>
      </c>
    </row>
    <row r="659" spans="1:22" s="49" customFormat="1" ht="14.15" customHeight="1">
      <c r="A659" s="43" t="s">
        <v>6673</v>
      </c>
      <c r="B659" s="44" t="s">
        <v>6635</v>
      </c>
      <c r="C659" s="50"/>
      <c r="D659" s="10" t="s">
        <v>29</v>
      </c>
      <c r="E659" s="11"/>
      <c r="F659" s="11" t="s">
        <v>18</v>
      </c>
      <c r="G659" s="13"/>
      <c r="H659" s="45" t="s">
        <v>16</v>
      </c>
      <c r="I659" s="47"/>
      <c r="J659" s="12" t="s">
        <v>6048</v>
      </c>
      <c r="K659" s="13" t="s">
        <v>7430</v>
      </c>
      <c r="L659" s="99" t="str">
        <f t="shared" si="41"/>
        <v>W3224.3</v>
      </c>
      <c r="M659" s="13" t="s">
        <v>17</v>
      </c>
      <c r="N659" s="13"/>
      <c r="O659" s="13"/>
      <c r="P659" s="47"/>
      <c r="Q659" s="45" t="s">
        <v>3672</v>
      </c>
      <c r="R659" s="45" t="s">
        <v>5596</v>
      </c>
      <c r="S659" s="48"/>
      <c r="T659" s="49" t="str">
        <f t="shared" si="40"/>
        <v>[W3224.3]</v>
      </c>
      <c r="U659" s="12" t="str">
        <f t="shared" si="39"/>
        <v xml:space="preserve"> 터브이송#3-2 X축(SD249) 운전중에 Ready가 Off 되었습니다.</v>
      </c>
      <c r="V659" s="49" t="str">
        <f t="shared" si="42"/>
        <v>[W3224.3] 터브이송#3-2 X축(SD249) 운전중에 Ready가 Off 되었습니다.</v>
      </c>
    </row>
    <row r="660" spans="1:22" s="49" customFormat="1" ht="14.15" customHeight="1">
      <c r="A660" s="43" t="s">
        <v>6673</v>
      </c>
      <c r="B660" s="44" t="s">
        <v>6635</v>
      </c>
      <c r="C660" s="50"/>
      <c r="D660" s="10" t="s">
        <v>29</v>
      </c>
      <c r="E660" s="11"/>
      <c r="F660" s="11" t="s">
        <v>18</v>
      </c>
      <c r="G660" s="13"/>
      <c r="H660" s="45" t="s">
        <v>16</v>
      </c>
      <c r="I660" s="47"/>
      <c r="J660" s="12" t="s">
        <v>6049</v>
      </c>
      <c r="K660" s="13" t="s">
        <v>7431</v>
      </c>
      <c r="L660" s="99" t="str">
        <f t="shared" si="41"/>
        <v>W3224.4</v>
      </c>
      <c r="M660" s="13" t="s">
        <v>17</v>
      </c>
      <c r="N660" s="13"/>
      <c r="O660" s="13"/>
      <c r="P660" s="47"/>
      <c r="Q660" s="45" t="s">
        <v>3672</v>
      </c>
      <c r="R660" s="45" t="s">
        <v>5596</v>
      </c>
      <c r="S660" s="48"/>
      <c r="T660" s="49" t="str">
        <f t="shared" si="40"/>
        <v>[W3224.4]</v>
      </c>
      <c r="U660" s="12" t="str">
        <f t="shared" si="39"/>
        <v xml:space="preserve"> 터브이송#3-2 X축(SD249) FLS가 감지되었습니다.</v>
      </c>
      <c r="V660" s="49" t="str">
        <f t="shared" si="42"/>
        <v>[W3224.4] 터브이송#3-2 X축(SD249) FLS가 감지되었습니다.</v>
      </c>
    </row>
    <row r="661" spans="1:22" s="49" customFormat="1" ht="14.15" customHeight="1">
      <c r="A661" s="43" t="s">
        <v>6673</v>
      </c>
      <c r="B661" s="44" t="s">
        <v>6635</v>
      </c>
      <c r="C661" s="50"/>
      <c r="D661" s="10" t="s">
        <v>29</v>
      </c>
      <c r="E661" s="11"/>
      <c r="F661" s="11" t="s">
        <v>18</v>
      </c>
      <c r="G661" s="13"/>
      <c r="H661" s="45" t="s">
        <v>16</v>
      </c>
      <c r="I661" s="47"/>
      <c r="J661" s="12" t="s">
        <v>6050</v>
      </c>
      <c r="K661" s="13" t="s">
        <v>7432</v>
      </c>
      <c r="L661" s="99" t="str">
        <f t="shared" si="41"/>
        <v>W3224.5</v>
      </c>
      <c r="M661" s="13" t="s">
        <v>17</v>
      </c>
      <c r="N661" s="13"/>
      <c r="O661" s="13"/>
      <c r="P661" s="47"/>
      <c r="Q661" s="45" t="s">
        <v>3672</v>
      </c>
      <c r="R661" s="45" t="s">
        <v>5596</v>
      </c>
      <c r="S661" s="48"/>
      <c r="T661" s="49" t="str">
        <f t="shared" si="40"/>
        <v>[W3224.5]</v>
      </c>
      <c r="U661" s="12" t="str">
        <f t="shared" ref="U661:U724" si="43">RIGHT(J661,LEN(J661)-7)</f>
        <v xml:space="preserve"> 터브이송#3-2 X축(SD249) RLS가 감지되었습니다.</v>
      </c>
      <c r="V661" s="49" t="str">
        <f t="shared" si="42"/>
        <v>[W3224.5] 터브이송#3-2 X축(SD249) RLS가 감지되었습니다.</v>
      </c>
    </row>
    <row r="662" spans="1:22" s="49" customFormat="1" ht="14.15" customHeight="1">
      <c r="A662" s="43" t="s">
        <v>6673</v>
      </c>
      <c r="B662" s="44" t="s">
        <v>6635</v>
      </c>
      <c r="C662" s="50"/>
      <c r="D662" s="10" t="s">
        <v>29</v>
      </c>
      <c r="E662" s="11"/>
      <c r="F662" s="11" t="s">
        <v>18</v>
      </c>
      <c r="G662" s="13"/>
      <c r="H662" s="45" t="s">
        <v>16</v>
      </c>
      <c r="I662" s="47"/>
      <c r="J662" s="12" t="s">
        <v>6051</v>
      </c>
      <c r="K662" s="13" t="s">
        <v>7433</v>
      </c>
      <c r="L662" s="99" t="str">
        <f t="shared" si="41"/>
        <v>W3224.6</v>
      </c>
      <c r="M662" s="13" t="s">
        <v>17</v>
      </c>
      <c r="N662" s="13"/>
      <c r="O662" s="13"/>
      <c r="P662" s="47"/>
      <c r="Q662" s="45" t="s">
        <v>3672</v>
      </c>
      <c r="R662" s="45" t="s">
        <v>5596</v>
      </c>
      <c r="S662" s="48"/>
      <c r="T662" s="49" t="str">
        <f t="shared" si="40"/>
        <v>[W3224.6]</v>
      </c>
      <c r="U662" s="12" t="str">
        <f t="shared" si="43"/>
        <v xml:space="preserve"> 터브이송#3-2 X축(SD249) Stop 명령이 On된 상태에서 기동을 시도했습니다.</v>
      </c>
      <c r="V662" s="49" t="str">
        <f t="shared" si="42"/>
        <v>[W3224.6] 터브이송#3-2 X축(SD249) Stop 명령이 On된 상태에서 기동을 시도했습니다.</v>
      </c>
    </row>
    <row r="663" spans="1:22" s="49" customFormat="1" ht="14.15" customHeight="1">
      <c r="A663" s="43" t="s">
        <v>6673</v>
      </c>
      <c r="B663" s="44" t="s">
        <v>6635</v>
      </c>
      <c r="C663" s="50"/>
      <c r="D663" s="10" t="s">
        <v>29</v>
      </c>
      <c r="E663" s="11"/>
      <c r="F663" s="11" t="s">
        <v>18</v>
      </c>
      <c r="G663" s="13"/>
      <c r="H663" s="45" t="s">
        <v>16</v>
      </c>
      <c r="I663" s="47"/>
      <c r="J663" s="12" t="s">
        <v>6052</v>
      </c>
      <c r="K663" s="13" t="s">
        <v>7434</v>
      </c>
      <c r="L663" s="99" t="str">
        <f t="shared" si="41"/>
        <v>W3224.7</v>
      </c>
      <c r="M663" s="13" t="s">
        <v>17</v>
      </c>
      <c r="N663" s="13"/>
      <c r="O663" s="13"/>
      <c r="P663" s="47"/>
      <c r="Q663" s="45" t="s">
        <v>3672</v>
      </c>
      <c r="R663" s="45" t="s">
        <v>5596</v>
      </c>
      <c r="S663" s="48"/>
      <c r="T663" s="49" t="str">
        <f t="shared" si="40"/>
        <v>[W3224.7]</v>
      </c>
      <c r="U663" s="12" t="str">
        <f t="shared" si="43"/>
        <v xml:space="preserve"> 터브이송#3-2 X축(SD249) 가동 전원이 Off 되었습니다.</v>
      </c>
      <c r="V663" s="49" t="str">
        <f t="shared" si="42"/>
        <v>[W3224.7] 터브이송#3-2 X축(SD249) 가동 전원이 Off 되었습니다.</v>
      </c>
    </row>
    <row r="664" spans="1:22" s="49" customFormat="1" ht="14.15" customHeight="1">
      <c r="A664" s="43" t="s">
        <v>6673</v>
      </c>
      <c r="B664" s="44" t="s">
        <v>6635</v>
      </c>
      <c r="C664" s="50"/>
      <c r="D664" s="10" t="s">
        <v>29</v>
      </c>
      <c r="E664" s="11"/>
      <c r="F664" s="11" t="s">
        <v>18</v>
      </c>
      <c r="G664" s="13"/>
      <c r="H664" s="45" t="s">
        <v>16</v>
      </c>
      <c r="I664" s="47"/>
      <c r="J664" s="12" t="s">
        <v>6053</v>
      </c>
      <c r="K664" s="13" t="s">
        <v>7435</v>
      </c>
      <c r="L664" s="99" t="str">
        <f t="shared" si="41"/>
        <v>W3224.8</v>
      </c>
      <c r="M664" s="13" t="s">
        <v>17</v>
      </c>
      <c r="N664" s="13"/>
      <c r="O664" s="13"/>
      <c r="P664" s="47"/>
      <c r="Q664" s="45" t="s">
        <v>3672</v>
      </c>
      <c r="R664" s="45" t="s">
        <v>5596</v>
      </c>
      <c r="S664" s="48"/>
      <c r="T664" s="49" t="str">
        <f t="shared" si="40"/>
        <v>[W3224.8]</v>
      </c>
      <c r="U664" s="12" t="str">
        <f t="shared" si="43"/>
        <v xml:space="preserve"> 터브이송#3-2 X축(SD249) 엔코더 이상이 검출되었습니다.</v>
      </c>
      <c r="V664" s="49" t="str">
        <f t="shared" si="42"/>
        <v>[W3224.8] 터브이송#3-2 X축(SD249) 엔코더 이상이 검출되었습니다.</v>
      </c>
    </row>
    <row r="665" spans="1:22" s="49" customFormat="1" ht="14.15" customHeight="1">
      <c r="A665" s="43" t="s">
        <v>6673</v>
      </c>
      <c r="B665" s="44" t="s">
        <v>6635</v>
      </c>
      <c r="C665" s="50"/>
      <c r="D665" s="10" t="s">
        <v>29</v>
      </c>
      <c r="E665" s="11"/>
      <c r="F665" s="11" t="s">
        <v>18</v>
      </c>
      <c r="G665" s="13"/>
      <c r="H665" s="45" t="s">
        <v>16</v>
      </c>
      <c r="I665" s="47"/>
      <c r="J665" s="12" t="s">
        <v>6054</v>
      </c>
      <c r="K665" s="13" t="s">
        <v>7436</v>
      </c>
      <c r="L665" s="99" t="str">
        <f t="shared" si="41"/>
        <v>W3224.9</v>
      </c>
      <c r="M665" s="13" t="s">
        <v>17</v>
      </c>
      <c r="N665" s="13"/>
      <c r="O665" s="13"/>
      <c r="P665" s="47"/>
      <c r="Q665" s="45" t="s">
        <v>3672</v>
      </c>
      <c r="R665" s="45" t="s">
        <v>5596</v>
      </c>
      <c r="S665" s="48"/>
      <c r="T665" s="49" t="str">
        <f t="shared" si="40"/>
        <v>[W3224.9]</v>
      </c>
      <c r="U665" s="12" t="str">
        <f t="shared" si="43"/>
        <v xml:space="preserve"> 터브이송#3-2 X축(SD249) 과전류가 검출되었습니다.</v>
      </c>
      <c r="V665" s="49" t="str">
        <f t="shared" si="42"/>
        <v>[W3224.9] 터브이송#3-2 X축(SD249) 과전류가 검출되었습니다.</v>
      </c>
    </row>
    <row r="666" spans="1:22" s="49" customFormat="1" ht="14.15" customHeight="1">
      <c r="A666" s="43" t="s">
        <v>6673</v>
      </c>
      <c r="B666" s="44" t="s">
        <v>6635</v>
      </c>
      <c r="C666" s="50"/>
      <c r="D666" s="10" t="s">
        <v>29</v>
      </c>
      <c r="E666" s="11"/>
      <c r="F666" s="11" t="s">
        <v>18</v>
      </c>
      <c r="G666" s="13"/>
      <c r="H666" s="45" t="s">
        <v>16</v>
      </c>
      <c r="I666" s="47"/>
      <c r="J666" s="12" t="s">
        <v>6055</v>
      </c>
      <c r="K666" s="13" t="s">
        <v>7437</v>
      </c>
      <c r="L666" s="99" t="str">
        <f t="shared" si="41"/>
        <v>W3224.A</v>
      </c>
      <c r="M666" s="13" t="s">
        <v>17</v>
      </c>
      <c r="N666" s="13"/>
      <c r="O666" s="13"/>
      <c r="P666" s="47"/>
      <c r="Q666" s="45" t="s">
        <v>3672</v>
      </c>
      <c r="R666" s="45" t="s">
        <v>5596</v>
      </c>
      <c r="S666" s="48"/>
      <c r="T666" s="49" t="str">
        <f t="shared" si="40"/>
        <v>[W3224.A]</v>
      </c>
      <c r="U666" s="12" t="str">
        <f t="shared" si="43"/>
        <v xml:space="preserve"> 터브이송#3-2 X축(SD249) 과부하가 검출되었습니다.</v>
      </c>
      <c r="V666" s="49" t="str">
        <f t="shared" si="42"/>
        <v>[W3224.A] 터브이송#3-2 X축(SD249) 과부하가 검출되었습니다.</v>
      </c>
    </row>
    <row r="667" spans="1:22" s="49" customFormat="1" ht="14.15" customHeight="1">
      <c r="A667" s="43" t="s">
        <v>6673</v>
      </c>
      <c r="B667" s="44" t="s">
        <v>6635</v>
      </c>
      <c r="C667" s="50"/>
      <c r="D667" s="10" t="s">
        <v>29</v>
      </c>
      <c r="E667" s="11"/>
      <c r="F667" s="11" t="s">
        <v>18</v>
      </c>
      <c r="G667" s="13"/>
      <c r="H667" s="45" t="s">
        <v>16</v>
      </c>
      <c r="I667" s="47"/>
      <c r="J667" s="12" t="s">
        <v>6056</v>
      </c>
      <c r="K667" s="13" t="s">
        <v>7438</v>
      </c>
      <c r="L667" s="99" t="str">
        <f t="shared" si="41"/>
        <v>W3224.B</v>
      </c>
      <c r="M667" s="13" t="s">
        <v>17</v>
      </c>
      <c r="N667" s="13"/>
      <c r="O667" s="13"/>
      <c r="P667" s="47"/>
      <c r="Q667" s="45" t="s">
        <v>3672</v>
      </c>
      <c r="R667" s="45" t="s">
        <v>5596</v>
      </c>
      <c r="S667" s="48"/>
      <c r="T667" s="49" t="str">
        <f t="shared" si="40"/>
        <v>[W3224.B]</v>
      </c>
      <c r="U667" s="12" t="str">
        <f t="shared" si="43"/>
        <v xml:space="preserve"> 터브이송#3-2 X축(SD249)  </v>
      </c>
      <c r="V667" s="49" t="str">
        <f t="shared" si="42"/>
        <v xml:space="preserve">[W3224.B] 터브이송#3-2 X축(SD249)  </v>
      </c>
    </row>
    <row r="668" spans="1:22" s="49" customFormat="1" ht="14.15" customHeight="1">
      <c r="A668" s="43" t="s">
        <v>6673</v>
      </c>
      <c r="B668" s="44" t="s">
        <v>6635</v>
      </c>
      <c r="C668" s="50"/>
      <c r="D668" s="10" t="s">
        <v>29</v>
      </c>
      <c r="E668" s="11"/>
      <c r="F668" s="11" t="s">
        <v>18</v>
      </c>
      <c r="G668" s="13"/>
      <c r="H668" s="45" t="s">
        <v>16</v>
      </c>
      <c r="I668" s="47"/>
      <c r="J668" s="12" t="s">
        <v>6057</v>
      </c>
      <c r="K668" s="13" t="s">
        <v>7439</v>
      </c>
      <c r="L668" s="99" t="str">
        <f t="shared" si="41"/>
        <v>W3224.C</v>
      </c>
      <c r="M668" s="13" t="s">
        <v>17</v>
      </c>
      <c r="N668" s="13"/>
      <c r="O668" s="13"/>
      <c r="P668" s="47"/>
      <c r="Q668" s="45" t="s">
        <v>3672</v>
      </c>
      <c r="R668" s="45" t="s">
        <v>5596</v>
      </c>
      <c r="S668" s="48"/>
      <c r="T668" s="49" t="str">
        <f>"["&amp;L638&amp;"]"</f>
        <v>[W3222.E]</v>
      </c>
      <c r="U668" s="12" t="str">
        <f>RIGHT(J638,LEN(J638)-7)</f>
        <v xml:space="preserve"> 터브이송#3-1 Z축(SD246) 에러가 발생했습니다.</v>
      </c>
      <c r="V668" s="49" t="str">
        <f>T638&amp;U638</f>
        <v>[W3222.E] 터브이송#3-1 Z축(SD246) 에러가 발생했습니다.</v>
      </c>
    </row>
    <row r="669" spans="1:22" s="49" customFormat="1" ht="14.15" customHeight="1">
      <c r="A669" s="43" t="s">
        <v>6673</v>
      </c>
      <c r="B669" s="44" t="s">
        <v>6635</v>
      </c>
      <c r="C669" s="50"/>
      <c r="D669" s="10" t="s">
        <v>29</v>
      </c>
      <c r="E669" s="11"/>
      <c r="F669" s="11" t="s">
        <v>18</v>
      </c>
      <c r="G669" s="13"/>
      <c r="H669" s="45" t="s">
        <v>16</v>
      </c>
      <c r="I669" s="47"/>
      <c r="J669" s="12" t="s">
        <v>6058</v>
      </c>
      <c r="K669" s="13" t="s">
        <v>7440</v>
      </c>
      <c r="L669" s="99" t="str">
        <f t="shared" si="41"/>
        <v>W3224.D</v>
      </c>
      <c r="M669" s="13" t="s">
        <v>17</v>
      </c>
      <c r="N669" s="13"/>
      <c r="O669" s="13"/>
      <c r="P669" s="47"/>
      <c r="Q669" s="45" t="s">
        <v>3672</v>
      </c>
      <c r="R669" s="45" t="s">
        <v>5596</v>
      </c>
      <c r="S669" s="48"/>
      <c r="T669" s="49" t="str">
        <f t="shared" si="40"/>
        <v>[W3224.D]</v>
      </c>
      <c r="U669" s="12" t="str">
        <f t="shared" si="43"/>
        <v xml:space="preserve"> 터브이송#3-2 Z축(SD250) 운전중에 Ready가 Off 되었습니다.</v>
      </c>
      <c r="V669" s="49" t="str">
        <f t="shared" si="42"/>
        <v>[W3224.D] 터브이송#3-2 Z축(SD250) 운전중에 Ready가 Off 되었습니다.</v>
      </c>
    </row>
    <row r="670" spans="1:22" s="49" customFormat="1" ht="14.15" customHeight="1">
      <c r="A670" s="43" t="s">
        <v>6673</v>
      </c>
      <c r="B670" s="44" t="s">
        <v>6635</v>
      </c>
      <c r="C670" s="50"/>
      <c r="D670" s="10" t="s">
        <v>29</v>
      </c>
      <c r="E670" s="11"/>
      <c r="F670" s="11" t="s">
        <v>18</v>
      </c>
      <c r="G670" s="13"/>
      <c r="H670" s="45" t="s">
        <v>16</v>
      </c>
      <c r="I670" s="47"/>
      <c r="J670" s="12" t="s">
        <v>6059</v>
      </c>
      <c r="K670" s="13" t="s">
        <v>7441</v>
      </c>
      <c r="L670" s="99" t="str">
        <f t="shared" si="41"/>
        <v>W3224.E</v>
      </c>
      <c r="M670" s="13" t="s">
        <v>17</v>
      </c>
      <c r="N670" s="13"/>
      <c r="O670" s="13"/>
      <c r="P670" s="47"/>
      <c r="Q670" s="45" t="s">
        <v>3672</v>
      </c>
      <c r="R670" s="45" t="s">
        <v>5596</v>
      </c>
      <c r="S670" s="48"/>
      <c r="T670" s="49" t="str">
        <f t="shared" si="40"/>
        <v>[W3224.E]</v>
      </c>
      <c r="U670" s="12" t="str">
        <f t="shared" si="43"/>
        <v xml:space="preserve"> 터브이송#3-2 Z축(SD250) FLS가 감지되었습니다.</v>
      </c>
      <c r="V670" s="49" t="str">
        <f t="shared" si="42"/>
        <v>[W3224.E] 터브이송#3-2 Z축(SD250) FLS가 감지되었습니다.</v>
      </c>
    </row>
    <row r="671" spans="1:22" s="49" customFormat="1" ht="14.15" customHeight="1">
      <c r="A671" s="43" t="s">
        <v>6673</v>
      </c>
      <c r="B671" s="44" t="s">
        <v>6635</v>
      </c>
      <c r="C671" s="50"/>
      <c r="D671" s="10" t="s">
        <v>29</v>
      </c>
      <c r="E671" s="11"/>
      <c r="F671" s="11" t="s">
        <v>18</v>
      </c>
      <c r="G671" s="13"/>
      <c r="H671" s="45" t="s">
        <v>16</v>
      </c>
      <c r="I671" s="47"/>
      <c r="J671" s="12" t="s">
        <v>6060</v>
      </c>
      <c r="K671" s="13" t="s">
        <v>7442</v>
      </c>
      <c r="L671" s="99" t="str">
        <f t="shared" si="41"/>
        <v>W3224.F</v>
      </c>
      <c r="M671" s="13" t="s">
        <v>17</v>
      </c>
      <c r="N671" s="13"/>
      <c r="O671" s="13"/>
      <c r="P671" s="47"/>
      <c r="Q671" s="45" t="s">
        <v>3672</v>
      </c>
      <c r="R671" s="45" t="s">
        <v>5596</v>
      </c>
      <c r="S671" s="48"/>
      <c r="T671" s="49" t="str">
        <f t="shared" si="40"/>
        <v>[W3224.F]</v>
      </c>
      <c r="U671" s="12" t="str">
        <f t="shared" si="43"/>
        <v xml:space="preserve"> 터브이송#3-2 Z축(SD250) RLS가 감지되었습니다.</v>
      </c>
      <c r="V671" s="49" t="str">
        <f t="shared" si="42"/>
        <v>[W3224.F] 터브이송#3-2 Z축(SD250) RLS가 감지되었습니다.</v>
      </c>
    </row>
    <row r="672" spans="1:22" s="49" customFormat="1" ht="14.15" customHeight="1">
      <c r="A672" s="43" t="s">
        <v>6673</v>
      </c>
      <c r="B672" s="44" t="s">
        <v>6635</v>
      </c>
      <c r="C672" s="50"/>
      <c r="D672" s="10" t="s">
        <v>29</v>
      </c>
      <c r="E672" s="11"/>
      <c r="F672" s="11" t="s">
        <v>18</v>
      </c>
      <c r="G672" s="13"/>
      <c r="H672" s="45" t="s">
        <v>16</v>
      </c>
      <c r="I672" s="47"/>
      <c r="J672" s="12" t="s">
        <v>6061</v>
      </c>
      <c r="K672" s="13" t="s">
        <v>7443</v>
      </c>
      <c r="L672" s="99" t="str">
        <f t="shared" si="41"/>
        <v>W3225.0</v>
      </c>
      <c r="M672" s="13" t="s">
        <v>17</v>
      </c>
      <c r="N672" s="13"/>
      <c r="O672" s="13"/>
      <c r="P672" s="47"/>
      <c r="Q672" s="45" t="s">
        <v>3672</v>
      </c>
      <c r="R672" s="45" t="s">
        <v>5596</v>
      </c>
      <c r="S672" s="48"/>
      <c r="T672" s="49" t="str">
        <f t="shared" si="40"/>
        <v>[W3225.0]</v>
      </c>
      <c r="U672" s="12" t="str">
        <f t="shared" si="43"/>
        <v xml:space="preserve"> 터브이송#3-2 Z축(SD250) Stop 명령이 On된 상태에서 기동을 시도했습니다.</v>
      </c>
      <c r="V672" s="49" t="str">
        <f t="shared" si="42"/>
        <v>[W3225.0] 터브이송#3-2 Z축(SD250) Stop 명령이 On된 상태에서 기동을 시도했습니다.</v>
      </c>
    </row>
    <row r="673" spans="1:22" s="49" customFormat="1" ht="14.15" customHeight="1">
      <c r="A673" s="43" t="s">
        <v>6673</v>
      </c>
      <c r="B673" s="44" t="s">
        <v>6635</v>
      </c>
      <c r="C673" s="50"/>
      <c r="D673" s="10" t="s">
        <v>29</v>
      </c>
      <c r="E673" s="11"/>
      <c r="F673" s="11" t="s">
        <v>18</v>
      </c>
      <c r="G673" s="13"/>
      <c r="H673" s="45" t="s">
        <v>16</v>
      </c>
      <c r="I673" s="47"/>
      <c r="J673" s="12" t="s">
        <v>6062</v>
      </c>
      <c r="K673" s="13" t="s">
        <v>7444</v>
      </c>
      <c r="L673" s="99" t="str">
        <f t="shared" si="41"/>
        <v>W3225.1</v>
      </c>
      <c r="M673" s="13" t="s">
        <v>17</v>
      </c>
      <c r="N673" s="13"/>
      <c r="O673" s="13"/>
      <c r="P673" s="47"/>
      <c r="Q673" s="45" t="s">
        <v>3672</v>
      </c>
      <c r="R673" s="45" t="s">
        <v>5596</v>
      </c>
      <c r="S673" s="48"/>
      <c r="T673" s="49" t="str">
        <f t="shared" si="40"/>
        <v>[W3225.1]</v>
      </c>
      <c r="U673" s="12" t="str">
        <f t="shared" si="43"/>
        <v xml:space="preserve"> 터브이송#3-2 Z축(SD250) 가동 전원이 Off 되었습니다.</v>
      </c>
      <c r="V673" s="49" t="str">
        <f t="shared" si="42"/>
        <v>[W3225.1] 터브이송#3-2 Z축(SD250) 가동 전원이 Off 되었습니다.</v>
      </c>
    </row>
    <row r="674" spans="1:22" s="49" customFormat="1" ht="14.15" customHeight="1">
      <c r="A674" s="43" t="s">
        <v>6673</v>
      </c>
      <c r="B674" s="44" t="s">
        <v>6635</v>
      </c>
      <c r="C674" s="50"/>
      <c r="D674" s="10" t="s">
        <v>29</v>
      </c>
      <c r="E674" s="11"/>
      <c r="F674" s="11" t="s">
        <v>18</v>
      </c>
      <c r="G674" s="13"/>
      <c r="H674" s="45" t="s">
        <v>16</v>
      </c>
      <c r="I674" s="47"/>
      <c r="J674" s="12" t="s">
        <v>6063</v>
      </c>
      <c r="K674" s="13" t="s">
        <v>7445</v>
      </c>
      <c r="L674" s="99" t="str">
        <f t="shared" si="41"/>
        <v>W3225.2</v>
      </c>
      <c r="M674" s="13" t="s">
        <v>17</v>
      </c>
      <c r="N674" s="13"/>
      <c r="O674" s="13"/>
      <c r="P674" s="47"/>
      <c r="Q674" s="45" t="s">
        <v>3672</v>
      </c>
      <c r="R674" s="45" t="s">
        <v>5596</v>
      </c>
      <c r="S674" s="48"/>
      <c r="T674" s="49" t="str">
        <f t="shared" si="40"/>
        <v>[W3225.2]</v>
      </c>
      <c r="U674" s="12" t="str">
        <f t="shared" si="43"/>
        <v xml:space="preserve"> 터브이송#3-2 Z축(SD250) 엔코더 이상이 검출되었습니다.</v>
      </c>
      <c r="V674" s="49" t="str">
        <f t="shared" si="42"/>
        <v>[W3225.2] 터브이송#3-2 Z축(SD250) 엔코더 이상이 검출되었습니다.</v>
      </c>
    </row>
    <row r="675" spans="1:22" s="49" customFormat="1" ht="14.15" customHeight="1">
      <c r="A675" s="43" t="s">
        <v>6673</v>
      </c>
      <c r="B675" s="44" t="s">
        <v>6635</v>
      </c>
      <c r="C675" s="50"/>
      <c r="D675" s="10" t="s">
        <v>29</v>
      </c>
      <c r="E675" s="11"/>
      <c r="F675" s="11" t="s">
        <v>18</v>
      </c>
      <c r="G675" s="13"/>
      <c r="H675" s="45" t="s">
        <v>16</v>
      </c>
      <c r="I675" s="47"/>
      <c r="J675" s="12" t="s">
        <v>6064</v>
      </c>
      <c r="K675" s="13" t="s">
        <v>7446</v>
      </c>
      <c r="L675" s="99" t="str">
        <f t="shared" si="41"/>
        <v>W3225.3</v>
      </c>
      <c r="M675" s="13" t="s">
        <v>17</v>
      </c>
      <c r="N675" s="13"/>
      <c r="O675" s="13"/>
      <c r="P675" s="47"/>
      <c r="Q675" s="45" t="s">
        <v>3672</v>
      </c>
      <c r="R675" s="45" t="s">
        <v>5596</v>
      </c>
      <c r="S675" s="48"/>
      <c r="T675" s="49" t="str">
        <f t="shared" si="40"/>
        <v>[W3225.3]</v>
      </c>
      <c r="U675" s="12" t="str">
        <f t="shared" si="43"/>
        <v xml:space="preserve"> 터브이송#3-2 Z축(SD250) 과전류가 검출되었습니다.</v>
      </c>
      <c r="V675" s="49" t="str">
        <f t="shared" si="42"/>
        <v>[W3225.3] 터브이송#3-2 Z축(SD250) 과전류가 검출되었습니다.</v>
      </c>
    </row>
    <row r="676" spans="1:22" s="49" customFormat="1" ht="14.15" customHeight="1">
      <c r="A676" s="43" t="s">
        <v>6673</v>
      </c>
      <c r="B676" s="44" t="s">
        <v>6635</v>
      </c>
      <c r="C676" s="50"/>
      <c r="D676" s="10" t="s">
        <v>29</v>
      </c>
      <c r="E676" s="11"/>
      <c r="F676" s="11" t="s">
        <v>18</v>
      </c>
      <c r="G676" s="13"/>
      <c r="H676" s="45" t="s">
        <v>16</v>
      </c>
      <c r="I676" s="47"/>
      <c r="J676" s="12" t="s">
        <v>6065</v>
      </c>
      <c r="K676" s="13" t="s">
        <v>7447</v>
      </c>
      <c r="L676" s="99" t="str">
        <f t="shared" si="41"/>
        <v>W3225.4</v>
      </c>
      <c r="M676" s="13" t="s">
        <v>17</v>
      </c>
      <c r="N676" s="13"/>
      <c r="O676" s="13"/>
      <c r="P676" s="47"/>
      <c r="Q676" s="45" t="s">
        <v>3672</v>
      </c>
      <c r="R676" s="45" t="s">
        <v>5596</v>
      </c>
      <c r="S676" s="48"/>
      <c r="T676" s="49" t="str">
        <f t="shared" si="40"/>
        <v>[W3225.4]</v>
      </c>
      <c r="U676" s="12" t="str">
        <f t="shared" si="43"/>
        <v xml:space="preserve"> 터브이송#3-2 Z축(SD250) 과부하가 검출되었습니다.</v>
      </c>
      <c r="V676" s="49" t="str">
        <f t="shared" si="42"/>
        <v>[W3225.4] 터브이송#3-2 Z축(SD250) 과부하가 검출되었습니다.</v>
      </c>
    </row>
    <row r="677" spans="1:22" s="49" customFormat="1" ht="14.15" customHeight="1">
      <c r="A677" s="43" t="s">
        <v>6673</v>
      </c>
      <c r="B677" s="44" t="s">
        <v>6635</v>
      </c>
      <c r="C677" s="50"/>
      <c r="D677" s="10" t="s">
        <v>29</v>
      </c>
      <c r="E677" s="11"/>
      <c r="F677" s="11" t="s">
        <v>18</v>
      </c>
      <c r="G677" s="13"/>
      <c r="H677" s="45" t="s">
        <v>16</v>
      </c>
      <c r="I677" s="47"/>
      <c r="J677" s="12" t="s">
        <v>6066</v>
      </c>
      <c r="K677" s="13" t="s">
        <v>7448</v>
      </c>
      <c r="L677" s="99" t="str">
        <f t="shared" si="41"/>
        <v>W3225.5</v>
      </c>
      <c r="M677" s="13" t="s">
        <v>17</v>
      </c>
      <c r="N677" s="13"/>
      <c r="O677" s="13"/>
      <c r="P677" s="47"/>
      <c r="Q677" s="45" t="s">
        <v>3672</v>
      </c>
      <c r="R677" s="45" t="s">
        <v>5596</v>
      </c>
      <c r="S677" s="48"/>
      <c r="T677" s="49" t="str">
        <f t="shared" si="40"/>
        <v>[W3225.5]</v>
      </c>
      <c r="U677" s="12" t="str">
        <f t="shared" si="43"/>
        <v xml:space="preserve"> 터브이송#3-2 Z축(SD250)</v>
      </c>
      <c r="V677" s="49" t="str">
        <f t="shared" si="42"/>
        <v>[W3225.5] 터브이송#3-2 Z축(SD250)</v>
      </c>
    </row>
    <row r="678" spans="1:22" s="49" customFormat="1" ht="14.15" customHeight="1">
      <c r="A678" s="43" t="s">
        <v>6673</v>
      </c>
      <c r="B678" s="44" t="s">
        <v>6635</v>
      </c>
      <c r="C678" s="50"/>
      <c r="D678" s="10" t="s">
        <v>29</v>
      </c>
      <c r="E678" s="11"/>
      <c r="F678" s="11" t="s">
        <v>18</v>
      </c>
      <c r="G678" s="13"/>
      <c r="H678" s="45" t="s">
        <v>16</v>
      </c>
      <c r="I678" s="47"/>
      <c r="J678" s="12" t="s">
        <v>6067</v>
      </c>
      <c r="K678" s="13" t="s">
        <v>7449</v>
      </c>
      <c r="L678" s="99" t="str">
        <f t="shared" si="41"/>
        <v>W3225.6</v>
      </c>
      <c r="M678" s="13" t="s">
        <v>17</v>
      </c>
      <c r="N678" s="13"/>
      <c r="O678" s="13"/>
      <c r="P678" s="47"/>
      <c r="Q678" s="45" t="s">
        <v>3672</v>
      </c>
      <c r="R678" s="45" t="s">
        <v>5596</v>
      </c>
      <c r="S678" s="48"/>
      <c r="T678" s="49" t="str">
        <f t="shared" si="40"/>
        <v>[W3225.6]</v>
      </c>
      <c r="U678" s="12" t="str">
        <f t="shared" si="43"/>
        <v xml:space="preserve"> 터브이송#3-2 Z축(SD250) 에러가 발생했습니다.</v>
      </c>
      <c r="V678" s="49" t="str">
        <f t="shared" si="42"/>
        <v>[W3225.6] 터브이송#3-2 Z축(SD250) 에러가 발생했습니다.</v>
      </c>
    </row>
    <row r="679" spans="1:22" s="49" customFormat="1" ht="14.15" customHeight="1">
      <c r="A679" s="43" t="s">
        <v>6673</v>
      </c>
      <c r="B679" s="44" t="s">
        <v>6635</v>
      </c>
      <c r="C679" s="50"/>
      <c r="D679" s="10" t="s">
        <v>29</v>
      </c>
      <c r="E679" s="11"/>
      <c r="F679" s="11" t="s">
        <v>18</v>
      </c>
      <c r="G679" s="13"/>
      <c r="H679" s="45" t="s">
        <v>16</v>
      </c>
      <c r="I679" s="47"/>
      <c r="J679" s="12" t="s">
        <v>6068</v>
      </c>
      <c r="K679" s="13" t="s">
        <v>7450</v>
      </c>
      <c r="L679" s="99" t="str">
        <f t="shared" si="41"/>
        <v>W3225.7</v>
      </c>
      <c r="M679" s="13" t="s">
        <v>17</v>
      </c>
      <c r="N679" s="13"/>
      <c r="O679" s="13"/>
      <c r="P679" s="47"/>
      <c r="Q679" s="45" t="s">
        <v>3672</v>
      </c>
      <c r="R679" s="45" t="s">
        <v>5596</v>
      </c>
      <c r="S679" s="48"/>
      <c r="T679" s="49" t="str">
        <f t="shared" si="40"/>
        <v>[W3225.7]</v>
      </c>
      <c r="U679" s="12" t="str">
        <f t="shared" si="43"/>
        <v xml:space="preserve"> 터브이송#3-2 C1축(SD251) 운전중에 Ready가 Off 되었습니다.</v>
      </c>
      <c r="V679" s="49" t="str">
        <f t="shared" si="42"/>
        <v>[W3225.7] 터브이송#3-2 C1축(SD251) 운전중에 Ready가 Off 되었습니다.</v>
      </c>
    </row>
    <row r="680" spans="1:22" s="49" customFormat="1" ht="14.15" customHeight="1">
      <c r="A680" s="43" t="s">
        <v>6673</v>
      </c>
      <c r="B680" s="44" t="s">
        <v>6635</v>
      </c>
      <c r="C680" s="50"/>
      <c r="D680" s="10" t="s">
        <v>29</v>
      </c>
      <c r="E680" s="11"/>
      <c r="F680" s="11" t="s">
        <v>18</v>
      </c>
      <c r="G680" s="13"/>
      <c r="H680" s="45" t="s">
        <v>16</v>
      </c>
      <c r="I680" s="47"/>
      <c r="J680" s="12" t="s">
        <v>6069</v>
      </c>
      <c r="K680" s="13" t="s">
        <v>7451</v>
      </c>
      <c r="L680" s="99" t="str">
        <f t="shared" si="41"/>
        <v>W3225.8</v>
      </c>
      <c r="M680" s="13" t="s">
        <v>17</v>
      </c>
      <c r="N680" s="13"/>
      <c r="O680" s="13"/>
      <c r="P680" s="47"/>
      <c r="Q680" s="45" t="s">
        <v>3672</v>
      </c>
      <c r="R680" s="45" t="s">
        <v>5596</v>
      </c>
      <c r="S680" s="48"/>
      <c r="T680" s="49" t="str">
        <f t="shared" si="40"/>
        <v>[W3225.8]</v>
      </c>
      <c r="U680" s="12" t="str">
        <f t="shared" si="43"/>
        <v xml:space="preserve"> 터브이송#3-2 C1축(SD251) FLS가 감지되었습니다.</v>
      </c>
      <c r="V680" s="49" t="str">
        <f t="shared" si="42"/>
        <v>[W3225.8] 터브이송#3-2 C1축(SD251) FLS가 감지되었습니다.</v>
      </c>
    </row>
    <row r="681" spans="1:22" s="49" customFormat="1" ht="14.15" customHeight="1">
      <c r="A681" s="43" t="s">
        <v>6673</v>
      </c>
      <c r="B681" s="44" t="s">
        <v>6635</v>
      </c>
      <c r="C681" s="50"/>
      <c r="D681" s="10" t="s">
        <v>29</v>
      </c>
      <c r="E681" s="11"/>
      <c r="F681" s="11" t="s">
        <v>18</v>
      </c>
      <c r="G681" s="13"/>
      <c r="H681" s="45" t="s">
        <v>16</v>
      </c>
      <c r="I681" s="47"/>
      <c r="J681" s="12" t="s">
        <v>6070</v>
      </c>
      <c r="K681" s="13" t="s">
        <v>7452</v>
      </c>
      <c r="L681" s="99" t="str">
        <f t="shared" si="41"/>
        <v>W3225.9</v>
      </c>
      <c r="M681" s="13" t="s">
        <v>17</v>
      </c>
      <c r="N681" s="13"/>
      <c r="O681" s="13"/>
      <c r="P681" s="47"/>
      <c r="Q681" s="45" t="s">
        <v>3672</v>
      </c>
      <c r="R681" s="45" t="s">
        <v>5596</v>
      </c>
      <c r="S681" s="48"/>
      <c r="T681" s="49" t="str">
        <f t="shared" si="40"/>
        <v>[W3225.9]</v>
      </c>
      <c r="U681" s="12" t="str">
        <f t="shared" si="43"/>
        <v xml:space="preserve"> 터브이송#3-2 C1축(SD251) RLS가 감지되었습니다.</v>
      </c>
      <c r="V681" s="49" t="str">
        <f t="shared" si="42"/>
        <v>[W3225.9] 터브이송#3-2 C1축(SD251) RLS가 감지되었습니다.</v>
      </c>
    </row>
    <row r="682" spans="1:22" s="49" customFormat="1" ht="14.15" customHeight="1">
      <c r="A682" s="43" t="s">
        <v>6673</v>
      </c>
      <c r="B682" s="44" t="s">
        <v>6635</v>
      </c>
      <c r="C682" s="50"/>
      <c r="D682" s="10" t="s">
        <v>29</v>
      </c>
      <c r="E682" s="11"/>
      <c r="F682" s="11" t="s">
        <v>18</v>
      </c>
      <c r="G682" s="13"/>
      <c r="H682" s="45" t="s">
        <v>16</v>
      </c>
      <c r="I682" s="47"/>
      <c r="J682" s="12" t="s">
        <v>6071</v>
      </c>
      <c r="K682" s="13" t="s">
        <v>7453</v>
      </c>
      <c r="L682" s="99" t="str">
        <f t="shared" si="41"/>
        <v>W3225.A</v>
      </c>
      <c r="M682" s="13" t="s">
        <v>17</v>
      </c>
      <c r="N682" s="13"/>
      <c r="O682" s="13"/>
      <c r="P682" s="47"/>
      <c r="Q682" s="45" t="s">
        <v>3672</v>
      </c>
      <c r="R682" s="45" t="s">
        <v>5596</v>
      </c>
      <c r="S682" s="48"/>
      <c r="T682" s="49" t="str">
        <f t="shared" si="40"/>
        <v>[W3225.A]</v>
      </c>
      <c r="U682" s="12" t="str">
        <f t="shared" si="43"/>
        <v xml:space="preserve"> 터브이송#3-2 C1축(SD251) Stop 명령이 On된 상태에서 기동을 시도했습니다.</v>
      </c>
      <c r="V682" s="49" t="str">
        <f t="shared" si="42"/>
        <v>[W3225.A] 터브이송#3-2 C1축(SD251) Stop 명령이 On된 상태에서 기동을 시도했습니다.</v>
      </c>
    </row>
    <row r="683" spans="1:22" s="49" customFormat="1" ht="14.15" customHeight="1">
      <c r="A683" s="43" t="s">
        <v>6673</v>
      </c>
      <c r="B683" s="44" t="s">
        <v>6635</v>
      </c>
      <c r="C683" s="50"/>
      <c r="D683" s="10" t="s">
        <v>29</v>
      </c>
      <c r="E683" s="11"/>
      <c r="F683" s="11" t="s">
        <v>18</v>
      </c>
      <c r="G683" s="13"/>
      <c r="H683" s="45" t="s">
        <v>16</v>
      </c>
      <c r="I683" s="47"/>
      <c r="J683" s="12" t="s">
        <v>6072</v>
      </c>
      <c r="K683" s="13" t="s">
        <v>7454</v>
      </c>
      <c r="L683" s="99" t="str">
        <f t="shared" si="41"/>
        <v>W3225.B</v>
      </c>
      <c r="M683" s="13" t="s">
        <v>17</v>
      </c>
      <c r="N683" s="13"/>
      <c r="O683" s="13"/>
      <c r="P683" s="47"/>
      <c r="Q683" s="45" t="s">
        <v>3672</v>
      </c>
      <c r="R683" s="45" t="s">
        <v>5596</v>
      </c>
      <c r="S683" s="48"/>
      <c r="T683" s="49" t="str">
        <f t="shared" si="40"/>
        <v>[W3225.B]</v>
      </c>
      <c r="U683" s="12" t="str">
        <f t="shared" si="43"/>
        <v xml:space="preserve"> 터브이송#3-2 C1축(SD251) 가동 전원이 Off 되었습니다.</v>
      </c>
      <c r="V683" s="49" t="str">
        <f t="shared" si="42"/>
        <v>[W3225.B] 터브이송#3-2 C1축(SD251) 가동 전원이 Off 되었습니다.</v>
      </c>
    </row>
    <row r="684" spans="1:22" s="49" customFormat="1" ht="14.15" customHeight="1">
      <c r="A684" s="43" t="s">
        <v>6673</v>
      </c>
      <c r="B684" s="44" t="s">
        <v>6635</v>
      </c>
      <c r="C684" s="50"/>
      <c r="D684" s="10" t="s">
        <v>29</v>
      </c>
      <c r="E684" s="11"/>
      <c r="F684" s="11" t="s">
        <v>18</v>
      </c>
      <c r="G684" s="13"/>
      <c r="H684" s="45" t="s">
        <v>16</v>
      </c>
      <c r="I684" s="47"/>
      <c r="J684" s="12" t="s">
        <v>6073</v>
      </c>
      <c r="K684" s="13" t="s">
        <v>7455</v>
      </c>
      <c r="L684" s="99" t="str">
        <f t="shared" si="41"/>
        <v>W3225.C</v>
      </c>
      <c r="M684" s="13" t="s">
        <v>17</v>
      </c>
      <c r="N684" s="13"/>
      <c r="O684" s="13"/>
      <c r="P684" s="47"/>
      <c r="Q684" s="45" t="s">
        <v>3672</v>
      </c>
      <c r="R684" s="45" t="s">
        <v>5596</v>
      </c>
      <c r="S684" s="48"/>
      <c r="T684" s="49" t="str">
        <f t="shared" si="40"/>
        <v>[W3225.C]</v>
      </c>
      <c r="U684" s="12" t="str">
        <f t="shared" si="43"/>
        <v xml:space="preserve"> 터브이송#3-2 C1축(SD251) 엔코더 이상이 검출되었습니다.</v>
      </c>
      <c r="V684" s="49" t="str">
        <f t="shared" si="42"/>
        <v>[W3225.C] 터브이송#3-2 C1축(SD251) 엔코더 이상이 검출되었습니다.</v>
      </c>
    </row>
    <row r="685" spans="1:22" s="49" customFormat="1" ht="14.15" customHeight="1">
      <c r="A685" s="43" t="s">
        <v>6673</v>
      </c>
      <c r="B685" s="44" t="s">
        <v>6635</v>
      </c>
      <c r="C685" s="50"/>
      <c r="D685" s="10" t="s">
        <v>29</v>
      </c>
      <c r="E685" s="11"/>
      <c r="F685" s="11" t="s">
        <v>18</v>
      </c>
      <c r="G685" s="13"/>
      <c r="H685" s="45" t="s">
        <v>16</v>
      </c>
      <c r="I685" s="47"/>
      <c r="J685" s="12" t="s">
        <v>6074</v>
      </c>
      <c r="K685" s="13" t="s">
        <v>7456</v>
      </c>
      <c r="L685" s="99" t="str">
        <f t="shared" si="41"/>
        <v>W3225.D</v>
      </c>
      <c r="M685" s="13" t="s">
        <v>17</v>
      </c>
      <c r="N685" s="13"/>
      <c r="O685" s="13"/>
      <c r="P685" s="47"/>
      <c r="Q685" s="45" t="s">
        <v>3672</v>
      </c>
      <c r="R685" s="45" t="s">
        <v>5596</v>
      </c>
      <c r="S685" s="48"/>
      <c r="T685" s="49" t="str">
        <f t="shared" si="40"/>
        <v>[W3225.D]</v>
      </c>
      <c r="U685" s="12" t="str">
        <f t="shared" si="43"/>
        <v xml:space="preserve"> 터브이송#3-2 C1축(SD251) 과전류가 검출되었습니다.</v>
      </c>
      <c r="V685" s="49" t="str">
        <f t="shared" si="42"/>
        <v>[W3225.D] 터브이송#3-2 C1축(SD251) 과전류가 검출되었습니다.</v>
      </c>
    </row>
    <row r="686" spans="1:22" s="49" customFormat="1" ht="14.15" customHeight="1">
      <c r="A686" s="43" t="s">
        <v>6673</v>
      </c>
      <c r="B686" s="44" t="s">
        <v>6635</v>
      </c>
      <c r="C686" s="50"/>
      <c r="D686" s="10" t="s">
        <v>29</v>
      </c>
      <c r="E686" s="11"/>
      <c r="F686" s="11" t="s">
        <v>18</v>
      </c>
      <c r="G686" s="13"/>
      <c r="H686" s="45" t="s">
        <v>16</v>
      </c>
      <c r="I686" s="47"/>
      <c r="J686" s="12" t="s">
        <v>6075</v>
      </c>
      <c r="K686" s="13" t="s">
        <v>7457</v>
      </c>
      <c r="L686" s="99" t="str">
        <f t="shared" si="41"/>
        <v>W3225.E</v>
      </c>
      <c r="M686" s="13" t="s">
        <v>17</v>
      </c>
      <c r="N686" s="13"/>
      <c r="O686" s="13"/>
      <c r="P686" s="47"/>
      <c r="Q686" s="45" t="s">
        <v>3672</v>
      </c>
      <c r="R686" s="45" t="s">
        <v>5596</v>
      </c>
      <c r="S686" s="48"/>
      <c r="T686" s="49" t="str">
        <f t="shared" si="40"/>
        <v>[W3225.E]</v>
      </c>
      <c r="U686" s="12" t="str">
        <f t="shared" si="43"/>
        <v xml:space="preserve"> 터브이송#3-2 C1축(SD251) 과부하가 검출되었습니다.</v>
      </c>
      <c r="V686" s="49" t="str">
        <f t="shared" si="42"/>
        <v>[W3225.E] 터브이송#3-2 C1축(SD251) 과부하가 검출되었습니다.</v>
      </c>
    </row>
    <row r="687" spans="1:22" s="49" customFormat="1" ht="14.15" customHeight="1">
      <c r="A687" s="43" t="s">
        <v>6673</v>
      </c>
      <c r="B687" s="44" t="s">
        <v>6635</v>
      </c>
      <c r="C687" s="50"/>
      <c r="D687" s="10" t="s">
        <v>29</v>
      </c>
      <c r="E687" s="11"/>
      <c r="F687" s="11" t="s">
        <v>18</v>
      </c>
      <c r="G687" s="13"/>
      <c r="H687" s="45" t="s">
        <v>16</v>
      </c>
      <c r="I687" s="47"/>
      <c r="J687" s="12" t="s">
        <v>6076</v>
      </c>
      <c r="K687" s="13" t="s">
        <v>7458</v>
      </c>
      <c r="L687" s="99" t="str">
        <f t="shared" si="41"/>
        <v>W3225.F</v>
      </c>
      <c r="M687" s="13" t="s">
        <v>17</v>
      </c>
      <c r="N687" s="13"/>
      <c r="O687" s="13"/>
      <c r="P687" s="47"/>
      <c r="Q687" s="45" t="s">
        <v>3672</v>
      </c>
      <c r="R687" s="45" t="s">
        <v>5596</v>
      </c>
      <c r="S687" s="48"/>
      <c r="T687" s="49" t="str">
        <f t="shared" si="40"/>
        <v>[W3225.F]</v>
      </c>
      <c r="U687" s="12" t="str">
        <f t="shared" si="43"/>
        <v xml:space="preserve"> 터브이송#3-2 C1축(SD251)</v>
      </c>
      <c r="V687" s="49" t="str">
        <f t="shared" si="42"/>
        <v>[W3225.F] 터브이송#3-2 C1축(SD251)</v>
      </c>
    </row>
    <row r="688" spans="1:22" s="49" customFormat="1" ht="14.15" customHeight="1">
      <c r="A688" s="43" t="s">
        <v>6673</v>
      </c>
      <c r="B688" s="44" t="s">
        <v>6635</v>
      </c>
      <c r="C688" s="50"/>
      <c r="D688" s="10" t="s">
        <v>29</v>
      </c>
      <c r="E688" s="11"/>
      <c r="F688" s="11" t="s">
        <v>18</v>
      </c>
      <c r="G688" s="13"/>
      <c r="H688" s="45" t="s">
        <v>16</v>
      </c>
      <c r="I688" s="47"/>
      <c r="J688" s="12" t="s">
        <v>6077</v>
      </c>
      <c r="K688" s="13" t="s">
        <v>7459</v>
      </c>
      <c r="L688" s="99" t="str">
        <f t="shared" si="41"/>
        <v>W3226.0</v>
      </c>
      <c r="M688" s="13" t="s">
        <v>17</v>
      </c>
      <c r="N688" s="13"/>
      <c r="O688" s="13"/>
      <c r="P688" s="47"/>
      <c r="Q688" s="45" t="s">
        <v>3672</v>
      </c>
      <c r="R688" s="45" t="s">
        <v>5596</v>
      </c>
      <c r="S688" s="48"/>
      <c r="T688" s="49" t="str">
        <f t="shared" si="40"/>
        <v>[W3226.0]</v>
      </c>
      <c r="U688" s="12" t="str">
        <f t="shared" si="43"/>
        <v xml:space="preserve"> 터브이송#3-2 C1축(SD251) 에러가 발생했습니다.</v>
      </c>
      <c r="V688" s="49" t="str">
        <f t="shared" si="42"/>
        <v>[W3226.0] 터브이송#3-2 C1축(SD251) 에러가 발생했습니다.</v>
      </c>
    </row>
    <row r="689" spans="1:22" s="49" customFormat="1" ht="14.15" customHeight="1">
      <c r="A689" s="43" t="s">
        <v>6673</v>
      </c>
      <c r="B689" s="44" t="s">
        <v>6635</v>
      </c>
      <c r="C689" s="50"/>
      <c r="D689" s="10" t="s">
        <v>29</v>
      </c>
      <c r="E689" s="11"/>
      <c r="F689" s="11" t="s">
        <v>18</v>
      </c>
      <c r="G689" s="13"/>
      <c r="H689" s="45" t="s">
        <v>16</v>
      </c>
      <c r="I689" s="47"/>
      <c r="J689" s="12" t="s">
        <v>6078</v>
      </c>
      <c r="K689" s="13" t="s">
        <v>7460</v>
      </c>
      <c r="L689" s="99" t="str">
        <f t="shared" si="41"/>
        <v>W3226.1</v>
      </c>
      <c r="M689" s="13" t="s">
        <v>17</v>
      </c>
      <c r="N689" s="13"/>
      <c r="O689" s="13"/>
      <c r="P689" s="47"/>
      <c r="Q689" s="45" t="s">
        <v>3672</v>
      </c>
      <c r="R689" s="45" t="s">
        <v>5596</v>
      </c>
      <c r="S689" s="48"/>
      <c r="T689" s="49" t="str">
        <f t="shared" si="40"/>
        <v>[W3226.1]</v>
      </c>
      <c r="U689" s="12" t="str">
        <f t="shared" si="43"/>
        <v xml:space="preserve"> 터브이송#3-2 C2축(SD252) 운전중에 Ready가 Off 되었습니다.</v>
      </c>
      <c r="V689" s="49" t="str">
        <f t="shared" si="42"/>
        <v>[W3226.1] 터브이송#3-2 C2축(SD252) 운전중에 Ready가 Off 되었습니다.</v>
      </c>
    </row>
    <row r="690" spans="1:22" s="49" customFormat="1" ht="14.15" customHeight="1">
      <c r="A690" s="43" t="s">
        <v>6673</v>
      </c>
      <c r="B690" s="44" t="s">
        <v>6635</v>
      </c>
      <c r="C690" s="54"/>
      <c r="D690" s="10" t="s">
        <v>29</v>
      </c>
      <c r="E690" s="11"/>
      <c r="F690" s="11" t="s">
        <v>18</v>
      </c>
      <c r="G690" s="13"/>
      <c r="H690" s="45" t="s">
        <v>16</v>
      </c>
      <c r="I690" s="47"/>
      <c r="J690" s="12" t="s">
        <v>6079</v>
      </c>
      <c r="K690" s="13" t="s">
        <v>7461</v>
      </c>
      <c r="L690" s="99" t="str">
        <f t="shared" si="41"/>
        <v>W3226.2</v>
      </c>
      <c r="M690" s="13" t="s">
        <v>17</v>
      </c>
      <c r="N690" s="13"/>
      <c r="O690" s="13"/>
      <c r="P690" s="47"/>
      <c r="Q690" s="45" t="s">
        <v>3672</v>
      </c>
      <c r="R690" s="45" t="s">
        <v>5596</v>
      </c>
      <c r="S690" s="48"/>
      <c r="T690" s="49" t="str">
        <f t="shared" si="40"/>
        <v>[W3226.2]</v>
      </c>
      <c r="U690" s="12" t="str">
        <f t="shared" si="43"/>
        <v xml:space="preserve"> 터브이송#3-2 C2축(SD252) FLS가 감지되었습니다.</v>
      </c>
      <c r="V690" s="49" t="str">
        <f t="shared" si="42"/>
        <v>[W3226.2] 터브이송#3-2 C2축(SD252) FLS가 감지되었습니다.</v>
      </c>
    </row>
    <row r="691" spans="1:22" s="49" customFormat="1" ht="14.15" customHeight="1">
      <c r="A691" s="43" t="s">
        <v>6673</v>
      </c>
      <c r="B691" s="44" t="s">
        <v>6635</v>
      </c>
      <c r="C691" s="54"/>
      <c r="D691" s="10" t="s">
        <v>29</v>
      </c>
      <c r="E691" s="11"/>
      <c r="F691" s="11" t="s">
        <v>18</v>
      </c>
      <c r="G691" s="13"/>
      <c r="H691" s="45" t="s">
        <v>16</v>
      </c>
      <c r="I691" s="47"/>
      <c r="J691" s="12" t="s">
        <v>6080</v>
      </c>
      <c r="K691" s="13" t="s">
        <v>7462</v>
      </c>
      <c r="L691" s="99" t="str">
        <f t="shared" si="41"/>
        <v>W3226.3</v>
      </c>
      <c r="M691" s="13" t="s">
        <v>17</v>
      </c>
      <c r="N691" s="13"/>
      <c r="O691" s="13"/>
      <c r="P691" s="47"/>
      <c r="Q691" s="45" t="s">
        <v>3672</v>
      </c>
      <c r="R691" s="45" t="s">
        <v>5596</v>
      </c>
      <c r="S691" s="48"/>
      <c r="T691" s="49" t="str">
        <f t="shared" si="40"/>
        <v>[W3226.3]</v>
      </c>
      <c r="U691" s="12" t="str">
        <f t="shared" si="43"/>
        <v xml:space="preserve"> 터브이송#3-2 C2축(SD252) RLS가 감지되었습니다.</v>
      </c>
      <c r="V691" s="49" t="str">
        <f t="shared" si="42"/>
        <v>[W3226.3] 터브이송#3-2 C2축(SD252) RLS가 감지되었습니다.</v>
      </c>
    </row>
    <row r="692" spans="1:22" s="49" customFormat="1" ht="14.15" customHeight="1">
      <c r="A692" s="43" t="s">
        <v>6673</v>
      </c>
      <c r="B692" s="44" t="s">
        <v>6635</v>
      </c>
      <c r="C692" s="54"/>
      <c r="D692" s="10" t="s">
        <v>29</v>
      </c>
      <c r="E692" s="11"/>
      <c r="F692" s="11" t="s">
        <v>18</v>
      </c>
      <c r="G692" s="13"/>
      <c r="H692" s="45" t="s">
        <v>16</v>
      </c>
      <c r="I692" s="47"/>
      <c r="J692" s="12" t="s">
        <v>6081</v>
      </c>
      <c r="K692" s="13" t="s">
        <v>7463</v>
      </c>
      <c r="L692" s="99" t="str">
        <f t="shared" si="41"/>
        <v>W3226.4</v>
      </c>
      <c r="M692" s="13" t="s">
        <v>17</v>
      </c>
      <c r="N692" s="13"/>
      <c r="O692" s="13"/>
      <c r="P692" s="47"/>
      <c r="Q692" s="45" t="s">
        <v>3672</v>
      </c>
      <c r="R692" s="45" t="s">
        <v>5596</v>
      </c>
      <c r="S692" s="48"/>
      <c r="T692" s="49" t="str">
        <f t="shared" si="40"/>
        <v>[W3226.4]</v>
      </c>
      <c r="U692" s="12" t="str">
        <f t="shared" si="43"/>
        <v xml:space="preserve"> 터브이송#3-2 C2축(SD252) Stop 명령이 On된 상태에서 기동을 시도했습니다.</v>
      </c>
      <c r="V692" s="49" t="str">
        <f t="shared" si="42"/>
        <v>[W3226.4] 터브이송#3-2 C2축(SD252) Stop 명령이 On된 상태에서 기동을 시도했습니다.</v>
      </c>
    </row>
    <row r="693" spans="1:22" s="49" customFormat="1" ht="14.15" customHeight="1">
      <c r="A693" s="43" t="s">
        <v>6673</v>
      </c>
      <c r="B693" s="44" t="s">
        <v>6635</v>
      </c>
      <c r="C693" s="54"/>
      <c r="D693" s="10" t="s">
        <v>29</v>
      </c>
      <c r="E693" s="11"/>
      <c r="F693" s="11" t="s">
        <v>18</v>
      </c>
      <c r="G693" s="13"/>
      <c r="H693" s="45" t="s">
        <v>16</v>
      </c>
      <c r="I693" s="47"/>
      <c r="J693" s="12" t="s">
        <v>6082</v>
      </c>
      <c r="K693" s="13" t="s">
        <v>7464</v>
      </c>
      <c r="L693" s="99" t="str">
        <f t="shared" si="41"/>
        <v>W3226.5</v>
      </c>
      <c r="M693" s="13" t="s">
        <v>17</v>
      </c>
      <c r="N693" s="13"/>
      <c r="O693" s="13"/>
      <c r="P693" s="47"/>
      <c r="Q693" s="45" t="s">
        <v>3672</v>
      </c>
      <c r="R693" s="45" t="s">
        <v>5596</v>
      </c>
      <c r="S693" s="48"/>
      <c r="T693" s="49" t="str">
        <f t="shared" si="40"/>
        <v>[W3226.5]</v>
      </c>
      <c r="U693" s="12" t="str">
        <f t="shared" si="43"/>
        <v xml:space="preserve"> 터브이송#3-2 C2축(SD252) 가동 전원이 Off 되었습니다.</v>
      </c>
      <c r="V693" s="49" t="str">
        <f t="shared" si="42"/>
        <v>[W3226.5] 터브이송#3-2 C2축(SD252) 가동 전원이 Off 되었습니다.</v>
      </c>
    </row>
    <row r="694" spans="1:22" s="49" customFormat="1" ht="14.15" customHeight="1">
      <c r="A694" s="43" t="s">
        <v>6673</v>
      </c>
      <c r="B694" s="44" t="s">
        <v>6635</v>
      </c>
      <c r="C694" s="54"/>
      <c r="D694" s="10" t="s">
        <v>29</v>
      </c>
      <c r="E694" s="11"/>
      <c r="F694" s="11" t="s">
        <v>18</v>
      </c>
      <c r="G694" s="13"/>
      <c r="H694" s="45" t="s">
        <v>16</v>
      </c>
      <c r="I694" s="47"/>
      <c r="J694" s="12" t="s">
        <v>6083</v>
      </c>
      <c r="K694" s="13" t="s">
        <v>7465</v>
      </c>
      <c r="L694" s="99" t="str">
        <f t="shared" si="41"/>
        <v>W3226.6</v>
      </c>
      <c r="M694" s="13" t="s">
        <v>17</v>
      </c>
      <c r="N694" s="13"/>
      <c r="O694" s="13"/>
      <c r="P694" s="47"/>
      <c r="Q694" s="45" t="s">
        <v>3672</v>
      </c>
      <c r="R694" s="45" t="s">
        <v>5596</v>
      </c>
      <c r="S694" s="48"/>
      <c r="T694" s="49" t="str">
        <f t="shared" si="40"/>
        <v>[W3226.6]</v>
      </c>
      <c r="U694" s="12" t="str">
        <f t="shared" si="43"/>
        <v xml:space="preserve"> 터브이송#3-2 C2축(SD252) 엔코더 이상이 검출되었습니다.</v>
      </c>
      <c r="V694" s="49" t="str">
        <f t="shared" si="42"/>
        <v>[W3226.6] 터브이송#3-2 C2축(SD252) 엔코더 이상이 검출되었습니다.</v>
      </c>
    </row>
    <row r="695" spans="1:22" s="49" customFormat="1" ht="14.15" customHeight="1">
      <c r="A695" s="43" t="s">
        <v>6673</v>
      </c>
      <c r="B695" s="44" t="s">
        <v>6635</v>
      </c>
      <c r="C695" s="54"/>
      <c r="D695" s="10" t="s">
        <v>29</v>
      </c>
      <c r="E695" s="11"/>
      <c r="F695" s="11" t="s">
        <v>18</v>
      </c>
      <c r="G695" s="13"/>
      <c r="H695" s="45" t="s">
        <v>16</v>
      </c>
      <c r="I695" s="47"/>
      <c r="J695" s="12" t="s">
        <v>6084</v>
      </c>
      <c r="K695" s="13" t="s">
        <v>7466</v>
      </c>
      <c r="L695" s="99" t="str">
        <f t="shared" si="41"/>
        <v>W3226.7</v>
      </c>
      <c r="M695" s="13" t="s">
        <v>17</v>
      </c>
      <c r="N695" s="13"/>
      <c r="O695" s="13"/>
      <c r="P695" s="47"/>
      <c r="Q695" s="45" t="s">
        <v>3672</v>
      </c>
      <c r="R695" s="45" t="s">
        <v>5596</v>
      </c>
      <c r="S695" s="48"/>
      <c r="T695" s="49" t="str">
        <f t="shared" si="40"/>
        <v>[W3226.7]</v>
      </c>
      <c r="U695" s="12" t="str">
        <f t="shared" si="43"/>
        <v xml:space="preserve"> 터브이송#3-2 C2축(SD252) 과전류가 검출되었습니다.</v>
      </c>
      <c r="V695" s="49" t="str">
        <f t="shared" si="42"/>
        <v>[W3226.7] 터브이송#3-2 C2축(SD252) 과전류가 검출되었습니다.</v>
      </c>
    </row>
    <row r="696" spans="1:22" s="49" customFormat="1" ht="14.15" customHeight="1">
      <c r="A696" s="43" t="s">
        <v>6673</v>
      </c>
      <c r="B696" s="44" t="s">
        <v>6635</v>
      </c>
      <c r="C696" s="54"/>
      <c r="D696" s="10" t="s">
        <v>29</v>
      </c>
      <c r="E696" s="11"/>
      <c r="F696" s="11" t="s">
        <v>18</v>
      </c>
      <c r="G696" s="13"/>
      <c r="H696" s="45" t="s">
        <v>16</v>
      </c>
      <c r="I696" s="47"/>
      <c r="J696" s="12" t="s">
        <v>6085</v>
      </c>
      <c r="K696" s="13" t="s">
        <v>7467</v>
      </c>
      <c r="L696" s="99" t="str">
        <f t="shared" si="41"/>
        <v>W3226.8</v>
      </c>
      <c r="M696" s="13" t="s">
        <v>17</v>
      </c>
      <c r="N696" s="13"/>
      <c r="O696" s="13"/>
      <c r="P696" s="47"/>
      <c r="Q696" s="45" t="s">
        <v>3672</v>
      </c>
      <c r="R696" s="45" t="s">
        <v>5596</v>
      </c>
      <c r="S696" s="48"/>
      <c r="T696" s="49" t="str">
        <f t="shared" si="40"/>
        <v>[W3226.8]</v>
      </c>
      <c r="U696" s="12" t="str">
        <f t="shared" si="43"/>
        <v xml:space="preserve"> 터브이송#3-2 C2축(SD252) 과부하가 검출되었습니다.</v>
      </c>
      <c r="V696" s="49" t="str">
        <f t="shared" si="42"/>
        <v>[W3226.8] 터브이송#3-2 C2축(SD252) 과부하가 검출되었습니다.</v>
      </c>
    </row>
    <row r="697" spans="1:22" s="49" customFormat="1" ht="14.15" customHeight="1">
      <c r="A697" s="43" t="s">
        <v>6673</v>
      </c>
      <c r="B697" s="44" t="s">
        <v>6635</v>
      </c>
      <c r="C697" s="54"/>
      <c r="D697" s="10" t="s">
        <v>29</v>
      </c>
      <c r="E697" s="11"/>
      <c r="F697" s="11" t="s">
        <v>18</v>
      </c>
      <c r="G697" s="13"/>
      <c r="H697" s="45" t="s">
        <v>16</v>
      </c>
      <c r="I697" s="47"/>
      <c r="J697" s="12" t="s">
        <v>6086</v>
      </c>
      <c r="K697" s="13" t="s">
        <v>7468</v>
      </c>
      <c r="L697" s="99" t="str">
        <f t="shared" si="41"/>
        <v>W3226.9</v>
      </c>
      <c r="M697" s="13" t="s">
        <v>17</v>
      </c>
      <c r="N697" s="13"/>
      <c r="O697" s="13"/>
      <c r="P697" s="47"/>
      <c r="Q697" s="45" t="s">
        <v>3672</v>
      </c>
      <c r="R697" s="45" t="s">
        <v>5596</v>
      </c>
      <c r="S697" s="48"/>
      <c r="T697" s="49" t="str">
        <f t="shared" si="40"/>
        <v>[W3226.9]</v>
      </c>
      <c r="U697" s="12" t="str">
        <f t="shared" si="43"/>
        <v xml:space="preserve"> 터브이송#3-2 C2축(SD252)</v>
      </c>
      <c r="V697" s="49" t="str">
        <f t="shared" si="42"/>
        <v>[W3226.9] 터브이송#3-2 C2축(SD252)</v>
      </c>
    </row>
    <row r="698" spans="1:22" s="49" customFormat="1" ht="14.15" customHeight="1">
      <c r="A698" s="43" t="s">
        <v>6673</v>
      </c>
      <c r="B698" s="44" t="s">
        <v>6635</v>
      </c>
      <c r="C698" s="54"/>
      <c r="D698" s="10" t="s">
        <v>29</v>
      </c>
      <c r="E698" s="11"/>
      <c r="F698" s="11" t="s">
        <v>18</v>
      </c>
      <c r="G698" s="13"/>
      <c r="H698" s="45" t="s">
        <v>16</v>
      </c>
      <c r="I698" s="47"/>
      <c r="J698" s="12" t="s">
        <v>6087</v>
      </c>
      <c r="K698" s="13" t="s">
        <v>7469</v>
      </c>
      <c r="L698" s="99" t="str">
        <f t="shared" si="41"/>
        <v>W3226.A</v>
      </c>
      <c r="M698" s="13" t="s">
        <v>17</v>
      </c>
      <c r="N698" s="13"/>
      <c r="O698" s="13"/>
      <c r="P698" s="47"/>
      <c r="Q698" s="45" t="s">
        <v>3672</v>
      </c>
      <c r="R698" s="45" t="s">
        <v>5596</v>
      </c>
      <c r="S698" s="48"/>
      <c r="T698" s="49" t="str">
        <f t="shared" si="40"/>
        <v>[W3226.A]</v>
      </c>
      <c r="U698" s="12" t="str">
        <f t="shared" si="43"/>
        <v xml:space="preserve"> 터브이송#3-2 C2축(SD252) 에러가 발생했습니다.</v>
      </c>
      <c r="V698" s="49" t="str">
        <f t="shared" si="42"/>
        <v>[W3226.A] 터브이송#3-2 C2축(SD252) 에러가 발생했습니다.</v>
      </c>
    </row>
    <row r="699" spans="1:22" s="49" customFormat="1" ht="14.15" customHeight="1">
      <c r="A699" s="43" t="s">
        <v>6673</v>
      </c>
      <c r="B699" s="44" t="s">
        <v>6635</v>
      </c>
      <c r="C699" s="54"/>
      <c r="D699" s="10" t="s">
        <v>29</v>
      </c>
      <c r="E699" s="11"/>
      <c r="F699" s="11" t="s">
        <v>18</v>
      </c>
      <c r="G699" s="13"/>
      <c r="H699" s="45" t="s">
        <v>16</v>
      </c>
      <c r="I699" s="47"/>
      <c r="J699" s="12" t="s">
        <v>6088</v>
      </c>
      <c r="K699" s="13" t="s">
        <v>7470</v>
      </c>
      <c r="L699" s="99" t="str">
        <f t="shared" si="41"/>
        <v>W3226.B</v>
      </c>
      <c r="M699" s="13" t="s">
        <v>17</v>
      </c>
      <c r="N699" s="13"/>
      <c r="O699" s="13"/>
      <c r="P699" s="47"/>
      <c r="Q699" s="45" t="s">
        <v>3672</v>
      </c>
      <c r="R699" s="45" t="s">
        <v>5596</v>
      </c>
      <c r="S699" s="48"/>
      <c r="T699" s="49" t="str">
        <f t="shared" si="40"/>
        <v>[W3226.B]</v>
      </c>
      <c r="U699" s="12" t="str">
        <f t="shared" si="43"/>
        <v xml:space="preserve"> 터브이송#3-3 X축(SD253) 운전중에 Ready가 Off 되었습니다.</v>
      </c>
      <c r="V699" s="49" t="str">
        <f t="shared" si="42"/>
        <v>[W3226.B] 터브이송#3-3 X축(SD253) 운전중에 Ready가 Off 되었습니다.</v>
      </c>
    </row>
    <row r="700" spans="1:22" s="49" customFormat="1" ht="14.15" customHeight="1">
      <c r="A700" s="43" t="s">
        <v>6673</v>
      </c>
      <c r="B700" s="44" t="s">
        <v>6635</v>
      </c>
      <c r="C700" s="54"/>
      <c r="D700" s="10" t="s">
        <v>29</v>
      </c>
      <c r="E700" s="11"/>
      <c r="F700" s="11" t="s">
        <v>18</v>
      </c>
      <c r="G700" s="13"/>
      <c r="H700" s="45" t="s">
        <v>16</v>
      </c>
      <c r="I700" s="47"/>
      <c r="J700" s="12" t="s">
        <v>6089</v>
      </c>
      <c r="K700" s="13" t="s">
        <v>7471</v>
      </c>
      <c r="L700" s="99" t="str">
        <f t="shared" si="41"/>
        <v>W3226.C</v>
      </c>
      <c r="M700" s="13" t="s">
        <v>17</v>
      </c>
      <c r="N700" s="13"/>
      <c r="O700" s="13"/>
      <c r="P700" s="47"/>
      <c r="Q700" s="45" t="s">
        <v>3672</v>
      </c>
      <c r="R700" s="45" t="s">
        <v>5596</v>
      </c>
      <c r="S700" s="48"/>
      <c r="T700" s="49" t="str">
        <f t="shared" si="40"/>
        <v>[W3226.C]</v>
      </c>
      <c r="U700" s="12" t="str">
        <f t="shared" si="43"/>
        <v xml:space="preserve"> 터브이송#3-3 X축(SD253) FLS가 감지되었습니다.</v>
      </c>
      <c r="V700" s="49" t="str">
        <f t="shared" si="42"/>
        <v>[W3226.C] 터브이송#3-3 X축(SD253) FLS가 감지되었습니다.</v>
      </c>
    </row>
    <row r="701" spans="1:22" s="49" customFormat="1" ht="14.15" customHeight="1">
      <c r="A701" s="43" t="s">
        <v>6673</v>
      </c>
      <c r="B701" s="44" t="s">
        <v>6635</v>
      </c>
      <c r="C701" s="54"/>
      <c r="D701" s="10" t="s">
        <v>29</v>
      </c>
      <c r="E701" s="11"/>
      <c r="F701" s="11" t="s">
        <v>18</v>
      </c>
      <c r="G701" s="13"/>
      <c r="H701" s="45" t="s">
        <v>16</v>
      </c>
      <c r="I701" s="47"/>
      <c r="J701" s="12" t="s">
        <v>6090</v>
      </c>
      <c r="K701" s="13" t="s">
        <v>7472</v>
      </c>
      <c r="L701" s="99" t="str">
        <f t="shared" si="41"/>
        <v>W3226.D</v>
      </c>
      <c r="M701" s="13" t="s">
        <v>17</v>
      </c>
      <c r="N701" s="13"/>
      <c r="O701" s="13"/>
      <c r="P701" s="47"/>
      <c r="Q701" s="45" t="s">
        <v>3672</v>
      </c>
      <c r="R701" s="45" t="s">
        <v>5596</v>
      </c>
      <c r="S701" s="48"/>
      <c r="T701" s="49" t="str">
        <f t="shared" si="40"/>
        <v>[W3226.D]</v>
      </c>
      <c r="U701" s="12" t="str">
        <f t="shared" si="43"/>
        <v xml:space="preserve"> 터브이송#3-3 X축(SD253) RLS가 감지되었습니다.</v>
      </c>
      <c r="V701" s="49" t="str">
        <f t="shared" si="42"/>
        <v>[W3226.D] 터브이송#3-3 X축(SD253) RLS가 감지되었습니다.</v>
      </c>
    </row>
    <row r="702" spans="1:22" s="49" customFormat="1" ht="14.15" customHeight="1">
      <c r="A702" s="43" t="s">
        <v>6673</v>
      </c>
      <c r="B702" s="44" t="s">
        <v>6635</v>
      </c>
      <c r="C702" s="54"/>
      <c r="D702" s="10" t="s">
        <v>29</v>
      </c>
      <c r="E702" s="11"/>
      <c r="F702" s="11" t="s">
        <v>18</v>
      </c>
      <c r="G702" s="13"/>
      <c r="H702" s="45" t="s">
        <v>16</v>
      </c>
      <c r="I702" s="47"/>
      <c r="J702" s="12" t="s">
        <v>6091</v>
      </c>
      <c r="K702" s="13" t="s">
        <v>7473</v>
      </c>
      <c r="L702" s="99" t="str">
        <f t="shared" si="41"/>
        <v>W3226.E</v>
      </c>
      <c r="M702" s="13" t="s">
        <v>17</v>
      </c>
      <c r="N702" s="13"/>
      <c r="O702" s="13"/>
      <c r="P702" s="47"/>
      <c r="Q702" s="45" t="s">
        <v>3672</v>
      </c>
      <c r="R702" s="45" t="s">
        <v>5596</v>
      </c>
      <c r="S702" s="48"/>
      <c r="T702" s="49" t="str">
        <f t="shared" si="40"/>
        <v>[W3226.E]</v>
      </c>
      <c r="U702" s="12" t="str">
        <f t="shared" si="43"/>
        <v xml:space="preserve"> 터브이송#3-3 X축(SD253) Stop 명령이 On된 상태에서 기동을 시도했습니다.</v>
      </c>
      <c r="V702" s="49" t="str">
        <f t="shared" si="42"/>
        <v>[W3226.E] 터브이송#3-3 X축(SD253) Stop 명령이 On된 상태에서 기동을 시도했습니다.</v>
      </c>
    </row>
    <row r="703" spans="1:22" s="49" customFormat="1" ht="14.15" customHeight="1">
      <c r="A703" s="43" t="s">
        <v>6673</v>
      </c>
      <c r="B703" s="44" t="s">
        <v>6635</v>
      </c>
      <c r="C703" s="54"/>
      <c r="D703" s="10" t="s">
        <v>29</v>
      </c>
      <c r="E703" s="11"/>
      <c r="F703" s="11" t="s">
        <v>18</v>
      </c>
      <c r="G703" s="13"/>
      <c r="H703" s="45" t="s">
        <v>16</v>
      </c>
      <c r="I703" s="47"/>
      <c r="J703" s="12" t="s">
        <v>6092</v>
      </c>
      <c r="K703" s="13" t="s">
        <v>7474</v>
      </c>
      <c r="L703" s="99" t="str">
        <f t="shared" si="41"/>
        <v>W3226.F</v>
      </c>
      <c r="M703" s="13" t="s">
        <v>17</v>
      </c>
      <c r="N703" s="13"/>
      <c r="O703" s="13"/>
      <c r="P703" s="47"/>
      <c r="Q703" s="45" t="s">
        <v>3672</v>
      </c>
      <c r="R703" s="45" t="s">
        <v>5596</v>
      </c>
      <c r="S703" s="48"/>
      <c r="T703" s="49" t="str">
        <f t="shared" si="40"/>
        <v>[W3226.F]</v>
      </c>
      <c r="U703" s="12" t="str">
        <f t="shared" si="43"/>
        <v xml:space="preserve"> 터브이송#3-3 X축(SD253) 가동 전원이 Off 되었습니다.</v>
      </c>
      <c r="V703" s="49" t="str">
        <f t="shared" si="42"/>
        <v>[W3226.F] 터브이송#3-3 X축(SD253) 가동 전원이 Off 되었습니다.</v>
      </c>
    </row>
    <row r="704" spans="1:22" s="49" customFormat="1" ht="14.15" customHeight="1">
      <c r="A704" s="43" t="s">
        <v>6673</v>
      </c>
      <c r="B704" s="44" t="s">
        <v>6635</v>
      </c>
      <c r="C704" s="54"/>
      <c r="D704" s="10" t="s">
        <v>29</v>
      </c>
      <c r="E704" s="11"/>
      <c r="F704" s="11" t="s">
        <v>18</v>
      </c>
      <c r="G704" s="13"/>
      <c r="H704" s="45" t="s">
        <v>16</v>
      </c>
      <c r="I704" s="47"/>
      <c r="J704" s="12" t="s">
        <v>6093</v>
      </c>
      <c r="K704" s="13" t="s">
        <v>7475</v>
      </c>
      <c r="L704" s="99" t="str">
        <f t="shared" si="41"/>
        <v>W3227.0</v>
      </c>
      <c r="M704" s="13" t="s">
        <v>17</v>
      </c>
      <c r="N704" s="13"/>
      <c r="O704" s="13"/>
      <c r="P704" s="47"/>
      <c r="Q704" s="45" t="s">
        <v>3672</v>
      </c>
      <c r="R704" s="45" t="s">
        <v>5596</v>
      </c>
      <c r="S704" s="48"/>
      <c r="T704" s="49" t="str">
        <f t="shared" si="40"/>
        <v>[W3227.0]</v>
      </c>
      <c r="U704" s="12" t="str">
        <f t="shared" si="43"/>
        <v xml:space="preserve"> 터브이송#3-3 X축(SD253) 엔코더 이상이 검출되었습니다.</v>
      </c>
      <c r="V704" s="49" t="str">
        <f t="shared" si="42"/>
        <v>[W3227.0] 터브이송#3-3 X축(SD253) 엔코더 이상이 검출되었습니다.</v>
      </c>
    </row>
    <row r="705" spans="1:22" s="49" customFormat="1" ht="14.15" customHeight="1">
      <c r="A705" s="43" t="s">
        <v>6673</v>
      </c>
      <c r="B705" s="44" t="s">
        <v>6635</v>
      </c>
      <c r="C705" s="54"/>
      <c r="D705" s="10" t="s">
        <v>29</v>
      </c>
      <c r="E705" s="11"/>
      <c r="F705" s="11" t="s">
        <v>18</v>
      </c>
      <c r="G705" s="13"/>
      <c r="H705" s="45" t="s">
        <v>16</v>
      </c>
      <c r="I705" s="47"/>
      <c r="J705" s="12" t="s">
        <v>6094</v>
      </c>
      <c r="K705" s="13" t="s">
        <v>7476</v>
      </c>
      <c r="L705" s="99" t="str">
        <f t="shared" si="41"/>
        <v>W3227.1</v>
      </c>
      <c r="M705" s="13" t="s">
        <v>17</v>
      </c>
      <c r="N705" s="13"/>
      <c r="O705" s="13"/>
      <c r="P705" s="47"/>
      <c r="Q705" s="45" t="s">
        <v>3672</v>
      </c>
      <c r="R705" s="45" t="s">
        <v>5596</v>
      </c>
      <c r="S705" s="48"/>
      <c r="T705" s="49" t="str">
        <f t="shared" si="40"/>
        <v>[W3227.1]</v>
      </c>
      <c r="U705" s="12" t="str">
        <f t="shared" si="43"/>
        <v xml:space="preserve"> 터브이송#3-3 X축(SD253) 과전류가 검출되었습니다.</v>
      </c>
      <c r="V705" s="49" t="str">
        <f t="shared" si="42"/>
        <v>[W3227.1] 터브이송#3-3 X축(SD253) 과전류가 검출되었습니다.</v>
      </c>
    </row>
    <row r="706" spans="1:22" s="49" customFormat="1" ht="14.15" customHeight="1">
      <c r="A706" s="43" t="s">
        <v>6673</v>
      </c>
      <c r="B706" s="44" t="s">
        <v>6635</v>
      </c>
      <c r="C706" s="54"/>
      <c r="D706" s="10" t="s">
        <v>29</v>
      </c>
      <c r="E706" s="11"/>
      <c r="F706" s="11" t="s">
        <v>18</v>
      </c>
      <c r="G706" s="13"/>
      <c r="H706" s="45" t="s">
        <v>16</v>
      </c>
      <c r="I706" s="47"/>
      <c r="J706" s="12" t="s">
        <v>6095</v>
      </c>
      <c r="K706" s="13" t="s">
        <v>7477</v>
      </c>
      <c r="L706" s="99" t="str">
        <f t="shared" si="41"/>
        <v>W3227.2</v>
      </c>
      <c r="M706" s="13" t="s">
        <v>17</v>
      </c>
      <c r="N706" s="13"/>
      <c r="O706" s="13"/>
      <c r="P706" s="47"/>
      <c r="Q706" s="45" t="s">
        <v>3672</v>
      </c>
      <c r="R706" s="45" t="s">
        <v>5596</v>
      </c>
      <c r="S706" s="48"/>
      <c r="T706" s="49" t="str">
        <f t="shared" si="40"/>
        <v>[W3227.2]</v>
      </c>
      <c r="U706" s="12" t="str">
        <f t="shared" si="43"/>
        <v xml:space="preserve"> 터브이송#3-3 X축(SD253) 과부하가 검출되었습니다.</v>
      </c>
      <c r="V706" s="49" t="str">
        <f t="shared" si="42"/>
        <v>[W3227.2] 터브이송#3-3 X축(SD253) 과부하가 검출되었습니다.</v>
      </c>
    </row>
    <row r="707" spans="1:22" s="49" customFormat="1" ht="14.15" customHeight="1">
      <c r="A707" s="43" t="s">
        <v>6673</v>
      </c>
      <c r="B707" s="44" t="s">
        <v>6635</v>
      </c>
      <c r="C707" s="54"/>
      <c r="D707" s="10" t="s">
        <v>29</v>
      </c>
      <c r="E707" s="11"/>
      <c r="F707" s="11" t="s">
        <v>18</v>
      </c>
      <c r="G707" s="13"/>
      <c r="H707" s="45" t="s">
        <v>16</v>
      </c>
      <c r="I707" s="47"/>
      <c r="J707" s="12" t="s">
        <v>6096</v>
      </c>
      <c r="K707" s="13" t="s">
        <v>7478</v>
      </c>
      <c r="L707" s="99" t="str">
        <f t="shared" si="41"/>
        <v>W3227.3</v>
      </c>
      <c r="M707" s="13" t="s">
        <v>17</v>
      </c>
      <c r="N707" s="13"/>
      <c r="O707" s="13"/>
      <c r="P707" s="47"/>
      <c r="Q707" s="45" t="s">
        <v>3672</v>
      </c>
      <c r="R707" s="45" t="s">
        <v>5596</v>
      </c>
      <c r="S707" s="48"/>
      <c r="T707" s="49" t="str">
        <f t="shared" si="40"/>
        <v>[W3227.3]</v>
      </c>
      <c r="U707" s="12" t="str">
        <f t="shared" si="43"/>
        <v xml:space="preserve"> 터브이송#3-3 X축(SD253)</v>
      </c>
      <c r="V707" s="49" t="str">
        <f t="shared" si="42"/>
        <v>[W3227.3] 터브이송#3-3 X축(SD253)</v>
      </c>
    </row>
    <row r="708" spans="1:22" s="49" customFormat="1" ht="14.15" customHeight="1">
      <c r="A708" s="43" t="s">
        <v>6673</v>
      </c>
      <c r="B708" s="44" t="s">
        <v>6635</v>
      </c>
      <c r="C708" s="54"/>
      <c r="D708" s="10" t="s">
        <v>29</v>
      </c>
      <c r="E708" s="11"/>
      <c r="F708" s="11" t="s">
        <v>18</v>
      </c>
      <c r="G708" s="13"/>
      <c r="H708" s="45" t="s">
        <v>16</v>
      </c>
      <c r="I708" s="47"/>
      <c r="J708" s="12" t="s">
        <v>6097</v>
      </c>
      <c r="K708" s="13" t="s">
        <v>7479</v>
      </c>
      <c r="L708" s="99" t="str">
        <f t="shared" si="41"/>
        <v>W3227.4</v>
      </c>
      <c r="M708" s="13" t="s">
        <v>17</v>
      </c>
      <c r="N708" s="13"/>
      <c r="O708" s="13"/>
      <c r="P708" s="47"/>
      <c r="Q708" s="45" t="s">
        <v>3672</v>
      </c>
      <c r="R708" s="45" t="s">
        <v>5596</v>
      </c>
      <c r="S708" s="48"/>
      <c r="T708" s="49" t="str">
        <f t="shared" si="40"/>
        <v>[W3227.4]</v>
      </c>
      <c r="U708" s="12" t="str">
        <f t="shared" si="43"/>
        <v xml:space="preserve"> 터브이송#3-3 X축(SD253) 에러가 발생했습니다.</v>
      </c>
      <c r="V708" s="49" t="str">
        <f t="shared" si="42"/>
        <v>[W3227.4] 터브이송#3-3 X축(SD253) 에러가 발생했습니다.</v>
      </c>
    </row>
    <row r="709" spans="1:22" s="49" customFormat="1" ht="14.15" customHeight="1">
      <c r="A709" s="43" t="s">
        <v>6673</v>
      </c>
      <c r="B709" s="44" t="s">
        <v>6635</v>
      </c>
      <c r="C709" s="54"/>
      <c r="D709" s="10" t="s">
        <v>29</v>
      </c>
      <c r="E709" s="11"/>
      <c r="F709" s="11" t="s">
        <v>18</v>
      </c>
      <c r="G709" s="13"/>
      <c r="H709" s="45" t="s">
        <v>16</v>
      </c>
      <c r="I709" s="47"/>
      <c r="J709" s="12" t="s">
        <v>6098</v>
      </c>
      <c r="K709" s="13" t="s">
        <v>7480</v>
      </c>
      <c r="L709" s="99" t="str">
        <f t="shared" si="41"/>
        <v>W3227.5</v>
      </c>
      <c r="M709" s="13" t="s">
        <v>17</v>
      </c>
      <c r="N709" s="13"/>
      <c r="O709" s="13"/>
      <c r="P709" s="47"/>
      <c r="Q709" s="45" t="s">
        <v>3672</v>
      </c>
      <c r="R709" s="45" t="s">
        <v>5596</v>
      </c>
      <c r="S709" s="48"/>
      <c r="T709" s="49" t="str">
        <f t="shared" si="40"/>
        <v>[W3227.5]</v>
      </c>
      <c r="U709" s="12" t="str">
        <f t="shared" si="43"/>
        <v xml:space="preserve"> 터브이송#3-3 Z축(SD254) 운전중에 Ready가 Off 되었습니다.</v>
      </c>
      <c r="V709" s="49" t="str">
        <f t="shared" si="42"/>
        <v>[W3227.5] 터브이송#3-3 Z축(SD254) 운전중에 Ready가 Off 되었습니다.</v>
      </c>
    </row>
    <row r="710" spans="1:22" s="49" customFormat="1" ht="14.15" customHeight="1">
      <c r="A710" s="43" t="s">
        <v>6673</v>
      </c>
      <c r="B710" s="44" t="s">
        <v>6635</v>
      </c>
      <c r="C710" s="54"/>
      <c r="D710" s="10" t="s">
        <v>29</v>
      </c>
      <c r="E710" s="11"/>
      <c r="F710" s="11" t="s">
        <v>18</v>
      </c>
      <c r="G710" s="13"/>
      <c r="H710" s="45" t="s">
        <v>16</v>
      </c>
      <c r="I710" s="47"/>
      <c r="J710" s="12" t="s">
        <v>6099</v>
      </c>
      <c r="K710" s="13" t="s">
        <v>7481</v>
      </c>
      <c r="L710" s="99" t="str">
        <f t="shared" si="41"/>
        <v>W3227.6</v>
      </c>
      <c r="M710" s="13" t="s">
        <v>17</v>
      </c>
      <c r="N710" s="13"/>
      <c r="O710" s="13"/>
      <c r="P710" s="47"/>
      <c r="Q710" s="45" t="s">
        <v>3672</v>
      </c>
      <c r="R710" s="45" t="s">
        <v>5596</v>
      </c>
      <c r="S710" s="48"/>
      <c r="T710" s="49" t="str">
        <f t="shared" si="40"/>
        <v>[W3227.6]</v>
      </c>
      <c r="U710" s="12" t="str">
        <f t="shared" si="43"/>
        <v xml:space="preserve"> 터브이송#3-3 Z축(SD254) FLS가 감지되었습니다.</v>
      </c>
      <c r="V710" s="49" t="str">
        <f t="shared" si="42"/>
        <v>[W3227.6] 터브이송#3-3 Z축(SD254) FLS가 감지되었습니다.</v>
      </c>
    </row>
    <row r="711" spans="1:22" s="49" customFormat="1" ht="14.15" customHeight="1">
      <c r="A711" s="43" t="s">
        <v>6673</v>
      </c>
      <c r="B711" s="44" t="s">
        <v>6635</v>
      </c>
      <c r="C711" s="54"/>
      <c r="D711" s="10" t="s">
        <v>29</v>
      </c>
      <c r="E711" s="11"/>
      <c r="F711" s="11" t="s">
        <v>18</v>
      </c>
      <c r="G711" s="13"/>
      <c r="H711" s="45" t="s">
        <v>16</v>
      </c>
      <c r="I711" s="47"/>
      <c r="J711" s="12" t="s">
        <v>6100</v>
      </c>
      <c r="K711" s="13" t="s">
        <v>7482</v>
      </c>
      <c r="L711" s="99" t="str">
        <f t="shared" si="41"/>
        <v>W3227.7</v>
      </c>
      <c r="M711" s="13" t="s">
        <v>17</v>
      </c>
      <c r="N711" s="13"/>
      <c r="O711" s="13"/>
      <c r="P711" s="47"/>
      <c r="Q711" s="45" t="s">
        <v>3672</v>
      </c>
      <c r="R711" s="45" t="s">
        <v>5596</v>
      </c>
      <c r="S711" s="48"/>
      <c r="T711" s="49" t="str">
        <f t="shared" si="40"/>
        <v>[W3227.7]</v>
      </c>
      <c r="U711" s="12" t="str">
        <f t="shared" si="43"/>
        <v xml:space="preserve"> 터브이송#3-3 Z축(SD254) RLS가 감지되었습니다.</v>
      </c>
      <c r="V711" s="49" t="str">
        <f t="shared" si="42"/>
        <v>[W3227.7] 터브이송#3-3 Z축(SD254) RLS가 감지되었습니다.</v>
      </c>
    </row>
    <row r="712" spans="1:22" s="49" customFormat="1" ht="14.15" customHeight="1">
      <c r="A712" s="43" t="s">
        <v>6673</v>
      </c>
      <c r="B712" s="44" t="s">
        <v>6635</v>
      </c>
      <c r="C712" s="54"/>
      <c r="D712" s="10" t="s">
        <v>29</v>
      </c>
      <c r="E712" s="11"/>
      <c r="F712" s="11" t="s">
        <v>18</v>
      </c>
      <c r="G712" s="13"/>
      <c r="H712" s="45" t="s">
        <v>16</v>
      </c>
      <c r="I712" s="47"/>
      <c r="J712" s="12" t="s">
        <v>6101</v>
      </c>
      <c r="K712" s="13" t="s">
        <v>7483</v>
      </c>
      <c r="L712" s="99" t="str">
        <f t="shared" si="41"/>
        <v>W3227.8</v>
      </c>
      <c r="M712" s="13" t="s">
        <v>17</v>
      </c>
      <c r="N712" s="13"/>
      <c r="O712" s="13"/>
      <c r="P712" s="47"/>
      <c r="Q712" s="45" t="s">
        <v>3672</v>
      </c>
      <c r="R712" s="45" t="s">
        <v>5596</v>
      </c>
      <c r="S712" s="48"/>
      <c r="T712" s="49" t="str">
        <f t="shared" si="40"/>
        <v>[W3227.8]</v>
      </c>
      <c r="U712" s="12" t="str">
        <f t="shared" si="43"/>
        <v xml:space="preserve"> 터브이송#3-3 Z축(SD254) Stop 명령이 On된 상태에서 기동을 시도했습니다.</v>
      </c>
      <c r="V712" s="49" t="str">
        <f t="shared" si="42"/>
        <v>[W3227.8] 터브이송#3-3 Z축(SD254) Stop 명령이 On된 상태에서 기동을 시도했습니다.</v>
      </c>
    </row>
    <row r="713" spans="1:22" s="49" customFormat="1" ht="14.15" customHeight="1">
      <c r="A713" s="43" t="s">
        <v>6673</v>
      </c>
      <c r="B713" s="44" t="s">
        <v>6635</v>
      </c>
      <c r="C713" s="54"/>
      <c r="D713" s="10" t="s">
        <v>29</v>
      </c>
      <c r="E713" s="11"/>
      <c r="F713" s="11" t="s">
        <v>18</v>
      </c>
      <c r="G713" s="13"/>
      <c r="H713" s="45" t="s">
        <v>16</v>
      </c>
      <c r="I713" s="47"/>
      <c r="J713" s="12" t="s">
        <v>6102</v>
      </c>
      <c r="K713" s="13" t="s">
        <v>7484</v>
      </c>
      <c r="L713" s="99" t="str">
        <f t="shared" si="41"/>
        <v>W3227.9</v>
      </c>
      <c r="M713" s="13" t="s">
        <v>17</v>
      </c>
      <c r="N713" s="13"/>
      <c r="O713" s="13"/>
      <c r="P713" s="47"/>
      <c r="Q713" s="45" t="s">
        <v>3672</v>
      </c>
      <c r="R713" s="45" t="s">
        <v>5596</v>
      </c>
      <c r="S713" s="48"/>
      <c r="T713" s="49" t="str">
        <f t="shared" si="40"/>
        <v>[W3227.9]</v>
      </c>
      <c r="U713" s="12" t="str">
        <f t="shared" si="43"/>
        <v xml:space="preserve"> 터브이송#3-3 Z축(SD254) 가동 전원이 Off 되었습니다.</v>
      </c>
      <c r="V713" s="49" t="str">
        <f t="shared" si="42"/>
        <v>[W3227.9] 터브이송#3-3 Z축(SD254) 가동 전원이 Off 되었습니다.</v>
      </c>
    </row>
    <row r="714" spans="1:22" s="49" customFormat="1" ht="14.15" customHeight="1">
      <c r="A714" s="43" t="s">
        <v>6673</v>
      </c>
      <c r="B714" s="44" t="s">
        <v>6635</v>
      </c>
      <c r="C714" s="54"/>
      <c r="D714" s="10" t="s">
        <v>29</v>
      </c>
      <c r="E714" s="11"/>
      <c r="F714" s="11" t="s">
        <v>18</v>
      </c>
      <c r="G714" s="13"/>
      <c r="H714" s="45" t="s">
        <v>16</v>
      </c>
      <c r="I714" s="47"/>
      <c r="J714" s="12" t="s">
        <v>6103</v>
      </c>
      <c r="K714" s="13" t="s">
        <v>7485</v>
      </c>
      <c r="L714" s="99" t="str">
        <f t="shared" si="41"/>
        <v>W3227.A</v>
      </c>
      <c r="M714" s="13" t="s">
        <v>17</v>
      </c>
      <c r="N714" s="13"/>
      <c r="O714" s="13"/>
      <c r="P714" s="47"/>
      <c r="Q714" s="45" t="s">
        <v>3672</v>
      </c>
      <c r="R714" s="45" t="s">
        <v>5596</v>
      </c>
      <c r="S714" s="48"/>
      <c r="T714" s="49" t="str">
        <f t="shared" si="40"/>
        <v>[W3227.A]</v>
      </c>
      <c r="U714" s="12" t="str">
        <f t="shared" si="43"/>
        <v xml:space="preserve"> 터브이송#3-3 Z축(SD254) 엔코더 이상이 검출되었습니다.</v>
      </c>
      <c r="V714" s="49" t="str">
        <f t="shared" si="42"/>
        <v>[W3227.A] 터브이송#3-3 Z축(SD254) 엔코더 이상이 검출되었습니다.</v>
      </c>
    </row>
    <row r="715" spans="1:22" s="49" customFormat="1" ht="14.15" customHeight="1">
      <c r="A715" s="43" t="s">
        <v>6673</v>
      </c>
      <c r="B715" s="44" t="s">
        <v>6635</v>
      </c>
      <c r="C715" s="54"/>
      <c r="D715" s="10" t="s">
        <v>29</v>
      </c>
      <c r="E715" s="11"/>
      <c r="F715" s="11" t="s">
        <v>18</v>
      </c>
      <c r="G715" s="13"/>
      <c r="H715" s="45" t="s">
        <v>16</v>
      </c>
      <c r="I715" s="47"/>
      <c r="J715" s="12" t="s">
        <v>6104</v>
      </c>
      <c r="K715" s="13" t="s">
        <v>7486</v>
      </c>
      <c r="L715" s="99" t="str">
        <f t="shared" si="41"/>
        <v>W3227.B</v>
      </c>
      <c r="M715" s="13" t="s">
        <v>17</v>
      </c>
      <c r="N715" s="13"/>
      <c r="O715" s="13"/>
      <c r="P715" s="47"/>
      <c r="Q715" s="45" t="s">
        <v>3672</v>
      </c>
      <c r="R715" s="45" t="s">
        <v>5596</v>
      </c>
      <c r="S715" s="48"/>
      <c r="T715" s="49" t="str">
        <f t="shared" si="40"/>
        <v>[W3227.B]</v>
      </c>
      <c r="U715" s="12" t="str">
        <f t="shared" si="43"/>
        <v xml:space="preserve"> 터브이송#3-3 Z축(SD254) 과전류가 검출되었습니다.</v>
      </c>
      <c r="V715" s="49" t="str">
        <f t="shared" si="42"/>
        <v>[W3227.B] 터브이송#3-3 Z축(SD254) 과전류가 검출되었습니다.</v>
      </c>
    </row>
    <row r="716" spans="1:22" s="49" customFormat="1" ht="14.15" customHeight="1">
      <c r="A716" s="43" t="s">
        <v>6673</v>
      </c>
      <c r="B716" s="44" t="s">
        <v>6635</v>
      </c>
      <c r="C716" s="54"/>
      <c r="D716" s="10" t="s">
        <v>29</v>
      </c>
      <c r="E716" s="11"/>
      <c r="F716" s="11" t="s">
        <v>18</v>
      </c>
      <c r="G716" s="13"/>
      <c r="H716" s="45" t="s">
        <v>16</v>
      </c>
      <c r="I716" s="47"/>
      <c r="J716" s="12" t="s">
        <v>6105</v>
      </c>
      <c r="K716" s="13" t="s">
        <v>7487</v>
      </c>
      <c r="L716" s="99" t="str">
        <f t="shared" si="41"/>
        <v>W3227.C</v>
      </c>
      <c r="M716" s="13" t="s">
        <v>17</v>
      </c>
      <c r="N716" s="13"/>
      <c r="O716" s="13"/>
      <c r="P716" s="47"/>
      <c r="Q716" s="45" t="s">
        <v>3672</v>
      </c>
      <c r="R716" s="45" t="s">
        <v>5596</v>
      </c>
      <c r="S716" s="48"/>
      <c r="T716" s="49" t="str">
        <f t="shared" si="40"/>
        <v>[W3227.C]</v>
      </c>
      <c r="U716" s="12" t="str">
        <f t="shared" si="43"/>
        <v xml:space="preserve"> 터브이송#3-3 Z축(SD254) 과부하가 검출되었습니다.</v>
      </c>
      <c r="V716" s="49" t="str">
        <f t="shared" si="42"/>
        <v>[W3227.C] 터브이송#3-3 Z축(SD254) 과부하가 검출되었습니다.</v>
      </c>
    </row>
    <row r="717" spans="1:22" s="49" customFormat="1" ht="14.15" customHeight="1">
      <c r="A717" s="43" t="s">
        <v>6673</v>
      </c>
      <c r="B717" s="44" t="s">
        <v>6635</v>
      </c>
      <c r="C717" s="54"/>
      <c r="D717" s="10" t="s">
        <v>29</v>
      </c>
      <c r="E717" s="11"/>
      <c r="F717" s="11" t="s">
        <v>18</v>
      </c>
      <c r="G717" s="13"/>
      <c r="H717" s="45" t="s">
        <v>16</v>
      </c>
      <c r="I717" s="47"/>
      <c r="J717" s="12" t="s">
        <v>6106</v>
      </c>
      <c r="K717" s="13" t="s">
        <v>7488</v>
      </c>
      <c r="L717" s="99" t="str">
        <f t="shared" si="41"/>
        <v>W3227.D</v>
      </c>
      <c r="M717" s="13" t="s">
        <v>17</v>
      </c>
      <c r="N717" s="13"/>
      <c r="O717" s="13"/>
      <c r="P717" s="47"/>
      <c r="Q717" s="45" t="s">
        <v>3672</v>
      </c>
      <c r="R717" s="45" t="s">
        <v>5596</v>
      </c>
      <c r="S717" s="48"/>
      <c r="T717" s="49" t="str">
        <f t="shared" si="40"/>
        <v>[W3227.D]</v>
      </c>
      <c r="U717" s="12" t="str">
        <f t="shared" si="43"/>
        <v xml:space="preserve"> 터브이송#3-3 Z축(SD254)</v>
      </c>
      <c r="V717" s="49" t="str">
        <f t="shared" si="42"/>
        <v>[W3227.D] 터브이송#3-3 Z축(SD254)</v>
      </c>
    </row>
    <row r="718" spans="1:22" s="49" customFormat="1" ht="14.15" customHeight="1">
      <c r="A718" s="43" t="s">
        <v>6673</v>
      </c>
      <c r="B718" s="44" t="s">
        <v>6635</v>
      </c>
      <c r="C718" s="54"/>
      <c r="D718" s="10" t="s">
        <v>29</v>
      </c>
      <c r="E718" s="11"/>
      <c r="F718" s="11" t="s">
        <v>18</v>
      </c>
      <c r="G718" s="13"/>
      <c r="H718" s="45" t="s">
        <v>16</v>
      </c>
      <c r="I718" s="47"/>
      <c r="J718" s="12" t="s">
        <v>6107</v>
      </c>
      <c r="K718" s="13" t="s">
        <v>7489</v>
      </c>
      <c r="L718" s="99" t="str">
        <f t="shared" si="41"/>
        <v>W3227.E</v>
      </c>
      <c r="M718" s="13" t="s">
        <v>17</v>
      </c>
      <c r="N718" s="13"/>
      <c r="O718" s="13"/>
      <c r="P718" s="47"/>
      <c r="Q718" s="45" t="s">
        <v>3672</v>
      </c>
      <c r="R718" s="45" t="s">
        <v>5596</v>
      </c>
      <c r="S718" s="48"/>
      <c r="T718" s="49" t="str">
        <f t="shared" si="40"/>
        <v>[W3227.E]</v>
      </c>
      <c r="U718" s="12" t="str">
        <f t="shared" si="43"/>
        <v xml:space="preserve"> 터브이송#3-3 Z축(SD254) 에러가 발생했습니다.</v>
      </c>
      <c r="V718" s="49" t="str">
        <f t="shared" si="42"/>
        <v>[W3227.E] 터브이송#3-3 Z축(SD254) 에러가 발생했습니다.</v>
      </c>
    </row>
    <row r="719" spans="1:22" s="49" customFormat="1" ht="14.15" customHeight="1">
      <c r="A719" s="43" t="s">
        <v>6673</v>
      </c>
      <c r="B719" s="44" t="s">
        <v>6635</v>
      </c>
      <c r="C719" s="54"/>
      <c r="D719" s="10" t="s">
        <v>29</v>
      </c>
      <c r="E719" s="11"/>
      <c r="F719" s="11" t="s">
        <v>18</v>
      </c>
      <c r="G719" s="13"/>
      <c r="H719" s="45" t="s">
        <v>16</v>
      </c>
      <c r="I719" s="47"/>
      <c r="J719" s="12" t="s">
        <v>6108</v>
      </c>
      <c r="K719" s="13" t="s">
        <v>7490</v>
      </c>
      <c r="L719" s="99" t="str">
        <f t="shared" si="41"/>
        <v>W3227.F</v>
      </c>
      <c r="M719" s="13" t="s">
        <v>17</v>
      </c>
      <c r="N719" s="13"/>
      <c r="O719" s="13"/>
      <c r="P719" s="47"/>
      <c r="Q719" s="45" t="s">
        <v>3672</v>
      </c>
      <c r="R719" s="45" t="s">
        <v>5596</v>
      </c>
      <c r="S719" s="48"/>
      <c r="T719" s="49" t="str">
        <f t="shared" si="40"/>
        <v>[W3227.F]</v>
      </c>
      <c r="U719" s="12" t="str">
        <f t="shared" si="43"/>
        <v xml:space="preserve"> 터브이송#3-3 C1축(SD255) 운전중에 Ready가 Off 되었습니다.</v>
      </c>
      <c r="V719" s="49" t="str">
        <f t="shared" si="42"/>
        <v>[W3227.F] 터브이송#3-3 C1축(SD255) 운전중에 Ready가 Off 되었습니다.</v>
      </c>
    </row>
    <row r="720" spans="1:22" s="49" customFormat="1" ht="14.15" customHeight="1">
      <c r="A720" s="43" t="s">
        <v>6673</v>
      </c>
      <c r="B720" s="44" t="s">
        <v>6635</v>
      </c>
      <c r="C720" s="54"/>
      <c r="D720" s="10" t="s">
        <v>29</v>
      </c>
      <c r="E720" s="11"/>
      <c r="F720" s="11" t="s">
        <v>18</v>
      </c>
      <c r="G720" s="13"/>
      <c r="H720" s="45" t="s">
        <v>16</v>
      </c>
      <c r="I720" s="47"/>
      <c r="J720" s="12" t="s">
        <v>6109</v>
      </c>
      <c r="K720" s="13" t="s">
        <v>7491</v>
      </c>
      <c r="L720" s="99" t="str">
        <f t="shared" si="41"/>
        <v>W3228.0</v>
      </c>
      <c r="M720" s="13" t="s">
        <v>17</v>
      </c>
      <c r="N720" s="13"/>
      <c r="O720" s="13"/>
      <c r="P720" s="47"/>
      <c r="Q720" s="45" t="s">
        <v>3672</v>
      </c>
      <c r="R720" s="45" t="s">
        <v>5596</v>
      </c>
      <c r="S720" s="48"/>
      <c r="T720" s="49" t="str">
        <f t="shared" ref="T720:T783" si="44">"["&amp;L720&amp;"]"</f>
        <v>[W3228.0]</v>
      </c>
      <c r="U720" s="12" t="str">
        <f t="shared" si="43"/>
        <v xml:space="preserve"> 터브이송#3-3 C1축(SD255) FLS가 감지되었습니다.</v>
      </c>
      <c r="V720" s="49" t="str">
        <f t="shared" si="42"/>
        <v>[W3228.0] 터브이송#3-3 C1축(SD255) FLS가 감지되었습니다.</v>
      </c>
    </row>
    <row r="721" spans="1:22" s="49" customFormat="1" ht="14.15" customHeight="1">
      <c r="A721" s="43" t="s">
        <v>6673</v>
      </c>
      <c r="B721" s="44" t="s">
        <v>6635</v>
      </c>
      <c r="C721" s="54"/>
      <c r="D721" s="10" t="s">
        <v>29</v>
      </c>
      <c r="E721" s="11"/>
      <c r="F721" s="11" t="s">
        <v>18</v>
      </c>
      <c r="G721" s="13"/>
      <c r="H721" s="45" t="s">
        <v>16</v>
      </c>
      <c r="I721" s="47"/>
      <c r="J721" s="12" t="s">
        <v>6110</v>
      </c>
      <c r="K721" s="13" t="s">
        <v>7492</v>
      </c>
      <c r="L721" s="99" t="str">
        <f t="shared" ref="L721:L784" si="45">"W"&amp;DEC2HEX(12800 + INT((ROW()-80)/16)) &amp; "." &amp; IF(MOD(ROW()-80,16)&lt;10,MOD(ROW()-80,16),CHAR(MOD(ROW()-80,16)+55))</f>
        <v>W3228.1</v>
      </c>
      <c r="M721" s="13" t="s">
        <v>17</v>
      </c>
      <c r="N721" s="13"/>
      <c r="O721" s="13"/>
      <c r="P721" s="47"/>
      <c r="Q721" s="45" t="s">
        <v>3672</v>
      </c>
      <c r="R721" s="45" t="s">
        <v>5596</v>
      </c>
      <c r="S721" s="48"/>
      <c r="T721" s="49" t="str">
        <f t="shared" si="44"/>
        <v>[W3228.1]</v>
      </c>
      <c r="U721" s="12" t="str">
        <f t="shared" si="43"/>
        <v xml:space="preserve"> 터브이송#3-3 C1축(SD255) RLS가 감지되었습니다.</v>
      </c>
      <c r="V721" s="49" t="str">
        <f t="shared" ref="V721:V784" si="46">T721&amp;U721</f>
        <v>[W3228.1] 터브이송#3-3 C1축(SD255) RLS가 감지되었습니다.</v>
      </c>
    </row>
    <row r="722" spans="1:22" s="49" customFormat="1" ht="14.15" customHeight="1">
      <c r="A722" s="43" t="s">
        <v>6673</v>
      </c>
      <c r="B722" s="44" t="s">
        <v>6635</v>
      </c>
      <c r="C722" s="54"/>
      <c r="D722" s="10" t="s">
        <v>29</v>
      </c>
      <c r="E722" s="11"/>
      <c r="F722" s="11" t="s">
        <v>18</v>
      </c>
      <c r="G722" s="13"/>
      <c r="H722" s="45" t="s">
        <v>16</v>
      </c>
      <c r="I722" s="47"/>
      <c r="J722" s="12" t="s">
        <v>6111</v>
      </c>
      <c r="K722" s="13" t="s">
        <v>7493</v>
      </c>
      <c r="L722" s="99" t="str">
        <f t="shared" si="45"/>
        <v>W3228.2</v>
      </c>
      <c r="M722" s="13" t="s">
        <v>17</v>
      </c>
      <c r="N722" s="13"/>
      <c r="O722" s="13"/>
      <c r="P722" s="47"/>
      <c r="Q722" s="45" t="s">
        <v>3672</v>
      </c>
      <c r="R722" s="45" t="s">
        <v>5596</v>
      </c>
      <c r="S722" s="48"/>
      <c r="T722" s="49" t="str">
        <f t="shared" si="44"/>
        <v>[W3228.2]</v>
      </c>
      <c r="U722" s="12" t="str">
        <f t="shared" si="43"/>
        <v xml:space="preserve"> 터브이송#3-3 C1축(SD255) Stop 명령이 On된 상태에서 기동을 시도했습니다.</v>
      </c>
      <c r="V722" s="49" t="str">
        <f t="shared" si="46"/>
        <v>[W3228.2] 터브이송#3-3 C1축(SD255) Stop 명령이 On된 상태에서 기동을 시도했습니다.</v>
      </c>
    </row>
    <row r="723" spans="1:22" s="49" customFormat="1" ht="14.15" customHeight="1">
      <c r="A723" s="43" t="s">
        <v>6673</v>
      </c>
      <c r="B723" s="44" t="s">
        <v>6635</v>
      </c>
      <c r="C723" s="54"/>
      <c r="D723" s="10" t="s">
        <v>29</v>
      </c>
      <c r="E723" s="11"/>
      <c r="F723" s="11" t="s">
        <v>18</v>
      </c>
      <c r="G723" s="13"/>
      <c r="H723" s="45" t="s">
        <v>16</v>
      </c>
      <c r="I723" s="47"/>
      <c r="J723" s="12" t="s">
        <v>6112</v>
      </c>
      <c r="K723" s="13" t="s">
        <v>7494</v>
      </c>
      <c r="L723" s="99" t="str">
        <f t="shared" si="45"/>
        <v>W3228.3</v>
      </c>
      <c r="M723" s="13" t="s">
        <v>17</v>
      </c>
      <c r="N723" s="13"/>
      <c r="O723" s="13"/>
      <c r="P723" s="47"/>
      <c r="Q723" s="45" t="s">
        <v>3672</v>
      </c>
      <c r="R723" s="45" t="s">
        <v>5596</v>
      </c>
      <c r="S723" s="48"/>
      <c r="T723" s="49" t="str">
        <f t="shared" si="44"/>
        <v>[W3228.3]</v>
      </c>
      <c r="U723" s="12" t="str">
        <f t="shared" si="43"/>
        <v xml:space="preserve"> 터브이송#3-3 C1축(SD255) 가동 전원이 Off 되었습니다.</v>
      </c>
      <c r="V723" s="49" t="str">
        <f t="shared" si="46"/>
        <v>[W3228.3] 터브이송#3-3 C1축(SD255) 가동 전원이 Off 되었습니다.</v>
      </c>
    </row>
    <row r="724" spans="1:22" s="49" customFormat="1" ht="14.15" customHeight="1">
      <c r="A724" s="43" t="s">
        <v>6673</v>
      </c>
      <c r="B724" s="44" t="s">
        <v>6635</v>
      </c>
      <c r="C724" s="54"/>
      <c r="D724" s="10" t="s">
        <v>29</v>
      </c>
      <c r="E724" s="11"/>
      <c r="F724" s="11" t="s">
        <v>18</v>
      </c>
      <c r="G724" s="13"/>
      <c r="H724" s="45" t="s">
        <v>16</v>
      </c>
      <c r="I724" s="47"/>
      <c r="J724" s="12" t="s">
        <v>6113</v>
      </c>
      <c r="K724" s="13" t="s">
        <v>7495</v>
      </c>
      <c r="L724" s="99" t="str">
        <f t="shared" si="45"/>
        <v>W3228.4</v>
      </c>
      <c r="M724" s="13" t="s">
        <v>17</v>
      </c>
      <c r="N724" s="13"/>
      <c r="O724" s="13"/>
      <c r="P724" s="47"/>
      <c r="Q724" s="45" t="s">
        <v>3672</v>
      </c>
      <c r="R724" s="45" t="s">
        <v>5596</v>
      </c>
      <c r="S724" s="48"/>
      <c r="T724" s="49" t="str">
        <f t="shared" si="44"/>
        <v>[W3228.4]</v>
      </c>
      <c r="U724" s="12" t="str">
        <f t="shared" si="43"/>
        <v xml:space="preserve"> 터브이송#3-3 C1축(SD255) 엔코더 이상이 검출되었습니다.</v>
      </c>
      <c r="V724" s="49" t="str">
        <f t="shared" si="46"/>
        <v>[W3228.4] 터브이송#3-3 C1축(SD255) 엔코더 이상이 검출되었습니다.</v>
      </c>
    </row>
    <row r="725" spans="1:22" s="49" customFormat="1" ht="14.15" customHeight="1">
      <c r="A725" s="43" t="s">
        <v>6673</v>
      </c>
      <c r="B725" s="44" t="s">
        <v>6635</v>
      </c>
      <c r="C725" s="54"/>
      <c r="D725" s="10" t="s">
        <v>29</v>
      </c>
      <c r="E725" s="11"/>
      <c r="F725" s="11" t="s">
        <v>18</v>
      </c>
      <c r="G725" s="13"/>
      <c r="H725" s="45" t="s">
        <v>16</v>
      </c>
      <c r="I725" s="47"/>
      <c r="J725" s="12" t="s">
        <v>6114</v>
      </c>
      <c r="K725" s="13" t="s">
        <v>7496</v>
      </c>
      <c r="L725" s="99" t="str">
        <f t="shared" si="45"/>
        <v>W3228.5</v>
      </c>
      <c r="M725" s="13" t="s">
        <v>17</v>
      </c>
      <c r="N725" s="13"/>
      <c r="O725" s="13"/>
      <c r="P725" s="47"/>
      <c r="Q725" s="45" t="s">
        <v>3672</v>
      </c>
      <c r="R725" s="45" t="s">
        <v>5596</v>
      </c>
      <c r="S725" s="48"/>
      <c r="T725" s="49" t="str">
        <f t="shared" si="44"/>
        <v>[W3228.5]</v>
      </c>
      <c r="U725" s="12" t="str">
        <f t="shared" ref="U725:U788" si="47">RIGHT(J725,LEN(J725)-7)</f>
        <v xml:space="preserve"> 터브이송#3-3 C1축(SD255) 과전류가 검출되었습니다.</v>
      </c>
      <c r="V725" s="49" t="str">
        <f t="shared" si="46"/>
        <v>[W3228.5] 터브이송#3-3 C1축(SD255) 과전류가 검출되었습니다.</v>
      </c>
    </row>
    <row r="726" spans="1:22" s="49" customFormat="1" ht="14.15" customHeight="1">
      <c r="A726" s="43" t="s">
        <v>6673</v>
      </c>
      <c r="B726" s="44" t="s">
        <v>6635</v>
      </c>
      <c r="C726" s="54"/>
      <c r="D726" s="10" t="s">
        <v>29</v>
      </c>
      <c r="E726" s="11"/>
      <c r="F726" s="11" t="s">
        <v>18</v>
      </c>
      <c r="G726" s="13"/>
      <c r="H726" s="45" t="s">
        <v>16</v>
      </c>
      <c r="I726" s="47"/>
      <c r="J726" s="12" t="s">
        <v>6115</v>
      </c>
      <c r="K726" s="13" t="s">
        <v>7497</v>
      </c>
      <c r="L726" s="99" t="str">
        <f t="shared" si="45"/>
        <v>W3228.6</v>
      </c>
      <c r="M726" s="13" t="s">
        <v>17</v>
      </c>
      <c r="N726" s="13"/>
      <c r="O726" s="13"/>
      <c r="P726" s="47"/>
      <c r="Q726" s="45" t="s">
        <v>3672</v>
      </c>
      <c r="R726" s="45" t="s">
        <v>5596</v>
      </c>
      <c r="S726" s="48"/>
      <c r="T726" s="49" t="str">
        <f t="shared" si="44"/>
        <v>[W3228.6]</v>
      </c>
      <c r="U726" s="12" t="str">
        <f t="shared" si="47"/>
        <v xml:space="preserve"> 터브이송#3-3 C1축(SD255) 과부하가 검출되었습니다.</v>
      </c>
      <c r="V726" s="49" t="str">
        <f t="shared" si="46"/>
        <v>[W3228.6] 터브이송#3-3 C1축(SD255) 과부하가 검출되었습니다.</v>
      </c>
    </row>
    <row r="727" spans="1:22" s="49" customFormat="1" ht="14.15" customHeight="1">
      <c r="A727" s="43" t="s">
        <v>6673</v>
      </c>
      <c r="B727" s="44" t="s">
        <v>6635</v>
      </c>
      <c r="C727" s="54"/>
      <c r="D727" s="10" t="s">
        <v>29</v>
      </c>
      <c r="E727" s="11"/>
      <c r="F727" s="11" t="s">
        <v>18</v>
      </c>
      <c r="G727" s="13"/>
      <c r="H727" s="45" t="s">
        <v>16</v>
      </c>
      <c r="I727" s="47"/>
      <c r="J727" s="12" t="s">
        <v>6116</v>
      </c>
      <c r="K727" s="13" t="s">
        <v>7498</v>
      </c>
      <c r="L727" s="99" t="str">
        <f t="shared" si="45"/>
        <v>W3228.7</v>
      </c>
      <c r="M727" s="13" t="s">
        <v>17</v>
      </c>
      <c r="N727" s="13"/>
      <c r="O727" s="13"/>
      <c r="P727" s="47"/>
      <c r="Q727" s="45" t="s">
        <v>3672</v>
      </c>
      <c r="R727" s="45" t="s">
        <v>5596</v>
      </c>
      <c r="S727" s="48"/>
      <c r="T727" s="49" t="str">
        <f t="shared" si="44"/>
        <v>[W3228.7]</v>
      </c>
      <c r="U727" s="12" t="str">
        <f t="shared" si="47"/>
        <v xml:space="preserve"> 터브이송#3-3 C1축(SD255)</v>
      </c>
      <c r="V727" s="49" t="str">
        <f t="shared" si="46"/>
        <v>[W3228.7] 터브이송#3-3 C1축(SD255)</v>
      </c>
    </row>
    <row r="728" spans="1:22" s="49" customFormat="1" ht="14.15" customHeight="1">
      <c r="A728" s="43" t="s">
        <v>6673</v>
      </c>
      <c r="B728" s="44" t="s">
        <v>6635</v>
      </c>
      <c r="C728" s="54"/>
      <c r="D728" s="10" t="s">
        <v>29</v>
      </c>
      <c r="E728" s="11"/>
      <c r="F728" s="11" t="s">
        <v>18</v>
      </c>
      <c r="G728" s="13"/>
      <c r="H728" s="45" t="s">
        <v>16</v>
      </c>
      <c r="I728" s="47"/>
      <c r="J728" s="12" t="s">
        <v>6117</v>
      </c>
      <c r="K728" s="13" t="s">
        <v>7499</v>
      </c>
      <c r="L728" s="99" t="str">
        <f t="shared" si="45"/>
        <v>W3228.8</v>
      </c>
      <c r="M728" s="13" t="s">
        <v>17</v>
      </c>
      <c r="N728" s="13"/>
      <c r="O728" s="13"/>
      <c r="P728" s="47"/>
      <c r="Q728" s="45" t="s">
        <v>3672</v>
      </c>
      <c r="R728" s="45" t="s">
        <v>5596</v>
      </c>
      <c r="S728" s="48"/>
      <c r="T728" s="49" t="str">
        <f t="shared" si="44"/>
        <v>[W3228.8]</v>
      </c>
      <c r="U728" s="12" t="str">
        <f t="shared" si="47"/>
        <v xml:space="preserve"> 터브이송#3-3 C1축(SD255) 에러가 발생했습니다.</v>
      </c>
      <c r="V728" s="49" t="str">
        <f t="shared" si="46"/>
        <v>[W3228.8] 터브이송#3-3 C1축(SD255) 에러가 발생했습니다.</v>
      </c>
    </row>
    <row r="729" spans="1:22" s="49" customFormat="1" ht="14.15" customHeight="1">
      <c r="A729" s="43" t="s">
        <v>6673</v>
      </c>
      <c r="B729" s="44" t="s">
        <v>6635</v>
      </c>
      <c r="C729" s="54"/>
      <c r="D729" s="10" t="s">
        <v>29</v>
      </c>
      <c r="E729" s="11"/>
      <c r="F729" s="11" t="s">
        <v>18</v>
      </c>
      <c r="G729" s="13"/>
      <c r="H729" s="45" t="s">
        <v>16</v>
      </c>
      <c r="I729" s="47"/>
      <c r="J729" s="12" t="s">
        <v>6118</v>
      </c>
      <c r="K729" s="13" t="s">
        <v>7500</v>
      </c>
      <c r="L729" s="99" t="str">
        <f t="shared" si="45"/>
        <v>W3228.9</v>
      </c>
      <c r="M729" s="13" t="s">
        <v>17</v>
      </c>
      <c r="N729" s="13"/>
      <c r="O729" s="13"/>
      <c r="P729" s="47"/>
      <c r="Q729" s="45" t="s">
        <v>3672</v>
      </c>
      <c r="R729" s="45" t="s">
        <v>5596</v>
      </c>
      <c r="S729" s="48"/>
      <c r="T729" s="49" t="str">
        <f t="shared" si="44"/>
        <v>[W3228.9]</v>
      </c>
      <c r="U729" s="12" t="str">
        <f t="shared" si="47"/>
        <v xml:space="preserve"> 터브이송#3-3 C2축(SD256) 운전중에 Ready가 Off 되었습니다.</v>
      </c>
      <c r="V729" s="49" t="str">
        <f t="shared" si="46"/>
        <v>[W3228.9] 터브이송#3-3 C2축(SD256) 운전중에 Ready가 Off 되었습니다.</v>
      </c>
    </row>
    <row r="730" spans="1:22" s="49" customFormat="1" ht="14.15" customHeight="1">
      <c r="A730" s="43" t="s">
        <v>6673</v>
      </c>
      <c r="B730" s="44" t="s">
        <v>6635</v>
      </c>
      <c r="C730" s="54"/>
      <c r="D730" s="10" t="s">
        <v>29</v>
      </c>
      <c r="E730" s="11"/>
      <c r="F730" s="11" t="s">
        <v>18</v>
      </c>
      <c r="G730" s="13"/>
      <c r="H730" s="45" t="s">
        <v>16</v>
      </c>
      <c r="I730" s="47"/>
      <c r="J730" s="12" t="s">
        <v>6119</v>
      </c>
      <c r="K730" s="13" t="s">
        <v>7501</v>
      </c>
      <c r="L730" s="99" t="str">
        <f t="shared" si="45"/>
        <v>W3228.A</v>
      </c>
      <c r="M730" s="13" t="s">
        <v>17</v>
      </c>
      <c r="N730" s="13"/>
      <c r="O730" s="13"/>
      <c r="P730" s="47"/>
      <c r="Q730" s="45" t="s">
        <v>3672</v>
      </c>
      <c r="R730" s="45" t="s">
        <v>5596</v>
      </c>
      <c r="S730" s="48"/>
      <c r="T730" s="49" t="str">
        <f t="shared" si="44"/>
        <v>[W3228.A]</v>
      </c>
      <c r="U730" s="12" t="str">
        <f t="shared" si="47"/>
        <v xml:space="preserve"> 터브이송#3-3 C2축(SD256) FLS가 감지되었습니다.</v>
      </c>
      <c r="V730" s="49" t="str">
        <f t="shared" si="46"/>
        <v>[W3228.A] 터브이송#3-3 C2축(SD256) FLS가 감지되었습니다.</v>
      </c>
    </row>
    <row r="731" spans="1:22" s="49" customFormat="1" ht="14.15" customHeight="1">
      <c r="A731" s="43" t="s">
        <v>6673</v>
      </c>
      <c r="B731" s="44" t="s">
        <v>6635</v>
      </c>
      <c r="C731" s="54"/>
      <c r="D731" s="10" t="s">
        <v>29</v>
      </c>
      <c r="E731" s="11"/>
      <c r="F731" s="11" t="s">
        <v>18</v>
      </c>
      <c r="G731" s="13"/>
      <c r="H731" s="45" t="s">
        <v>16</v>
      </c>
      <c r="I731" s="47"/>
      <c r="J731" s="12" t="s">
        <v>6120</v>
      </c>
      <c r="K731" s="13" t="s">
        <v>7502</v>
      </c>
      <c r="L731" s="99" t="str">
        <f t="shared" si="45"/>
        <v>W3228.B</v>
      </c>
      <c r="M731" s="13" t="s">
        <v>17</v>
      </c>
      <c r="N731" s="13"/>
      <c r="O731" s="13"/>
      <c r="P731" s="47"/>
      <c r="Q731" s="45" t="s">
        <v>3672</v>
      </c>
      <c r="R731" s="45" t="s">
        <v>5596</v>
      </c>
      <c r="S731" s="48"/>
      <c r="T731" s="49" t="str">
        <f t="shared" si="44"/>
        <v>[W3228.B]</v>
      </c>
      <c r="U731" s="12" t="str">
        <f t="shared" si="47"/>
        <v xml:space="preserve"> 터브이송#3-3 C2축(SD256) RLS가 감지되었습니다.</v>
      </c>
      <c r="V731" s="49" t="str">
        <f t="shared" si="46"/>
        <v>[W3228.B] 터브이송#3-3 C2축(SD256) RLS가 감지되었습니다.</v>
      </c>
    </row>
    <row r="732" spans="1:22" s="49" customFormat="1" ht="14.15" customHeight="1">
      <c r="A732" s="43" t="s">
        <v>6673</v>
      </c>
      <c r="B732" s="44" t="s">
        <v>6635</v>
      </c>
      <c r="C732" s="54"/>
      <c r="D732" s="10" t="s">
        <v>29</v>
      </c>
      <c r="E732" s="11"/>
      <c r="F732" s="11" t="s">
        <v>18</v>
      </c>
      <c r="G732" s="13"/>
      <c r="H732" s="45" t="s">
        <v>16</v>
      </c>
      <c r="I732" s="47"/>
      <c r="J732" s="12" t="s">
        <v>6121</v>
      </c>
      <c r="K732" s="13" t="s">
        <v>7503</v>
      </c>
      <c r="L732" s="99" t="str">
        <f t="shared" si="45"/>
        <v>W3228.C</v>
      </c>
      <c r="M732" s="13" t="s">
        <v>17</v>
      </c>
      <c r="N732" s="13"/>
      <c r="O732" s="13"/>
      <c r="P732" s="47"/>
      <c r="Q732" s="45" t="s">
        <v>3672</v>
      </c>
      <c r="R732" s="45" t="s">
        <v>5596</v>
      </c>
      <c r="S732" s="48"/>
      <c r="T732" s="49" t="str">
        <f t="shared" si="44"/>
        <v>[W3228.C]</v>
      </c>
      <c r="U732" s="12" t="str">
        <f t="shared" si="47"/>
        <v xml:space="preserve"> 터브이송#3-3 C2축(SD256) Stop 명령이 On된 상태에서 기동을 시도했습니다.</v>
      </c>
      <c r="V732" s="49" t="str">
        <f t="shared" si="46"/>
        <v>[W3228.C] 터브이송#3-3 C2축(SD256) Stop 명령이 On된 상태에서 기동을 시도했습니다.</v>
      </c>
    </row>
    <row r="733" spans="1:22" s="49" customFormat="1" ht="14.15" customHeight="1">
      <c r="A733" s="43" t="s">
        <v>6673</v>
      </c>
      <c r="B733" s="44" t="s">
        <v>6635</v>
      </c>
      <c r="C733" s="54"/>
      <c r="D733" s="10" t="s">
        <v>29</v>
      </c>
      <c r="E733" s="11"/>
      <c r="F733" s="11" t="s">
        <v>18</v>
      </c>
      <c r="G733" s="13"/>
      <c r="H733" s="45" t="s">
        <v>16</v>
      </c>
      <c r="I733" s="47"/>
      <c r="J733" s="12" t="s">
        <v>6122</v>
      </c>
      <c r="K733" s="13" t="s">
        <v>7504</v>
      </c>
      <c r="L733" s="99" t="str">
        <f t="shared" si="45"/>
        <v>W3228.D</v>
      </c>
      <c r="M733" s="13" t="s">
        <v>17</v>
      </c>
      <c r="N733" s="13"/>
      <c r="O733" s="13"/>
      <c r="P733" s="47"/>
      <c r="Q733" s="45" t="s">
        <v>3672</v>
      </c>
      <c r="R733" s="45" t="s">
        <v>5596</v>
      </c>
      <c r="S733" s="48"/>
      <c r="T733" s="49" t="str">
        <f t="shared" si="44"/>
        <v>[W3228.D]</v>
      </c>
      <c r="U733" s="12" t="str">
        <f t="shared" si="47"/>
        <v xml:space="preserve"> 터브이송#3-3 C2축(SD256) 가동 전원이 Off 되었습니다.</v>
      </c>
      <c r="V733" s="49" t="str">
        <f t="shared" si="46"/>
        <v>[W3228.D] 터브이송#3-3 C2축(SD256) 가동 전원이 Off 되었습니다.</v>
      </c>
    </row>
    <row r="734" spans="1:22" s="49" customFormat="1" ht="14.15" customHeight="1">
      <c r="A734" s="43" t="s">
        <v>6673</v>
      </c>
      <c r="B734" s="44" t="s">
        <v>6635</v>
      </c>
      <c r="C734" s="54"/>
      <c r="D734" s="10" t="s">
        <v>29</v>
      </c>
      <c r="E734" s="11"/>
      <c r="F734" s="11" t="s">
        <v>18</v>
      </c>
      <c r="G734" s="13"/>
      <c r="H734" s="45" t="s">
        <v>16</v>
      </c>
      <c r="I734" s="47"/>
      <c r="J734" s="12" t="s">
        <v>6123</v>
      </c>
      <c r="K734" s="13" t="s">
        <v>7505</v>
      </c>
      <c r="L734" s="99" t="str">
        <f t="shared" si="45"/>
        <v>W3228.E</v>
      </c>
      <c r="M734" s="13" t="s">
        <v>17</v>
      </c>
      <c r="N734" s="13"/>
      <c r="O734" s="13"/>
      <c r="P734" s="47"/>
      <c r="Q734" s="45" t="s">
        <v>3672</v>
      </c>
      <c r="R734" s="45" t="s">
        <v>5596</v>
      </c>
      <c r="S734" s="48"/>
      <c r="T734" s="49" t="str">
        <f t="shared" si="44"/>
        <v>[W3228.E]</v>
      </c>
      <c r="U734" s="12" t="str">
        <f t="shared" si="47"/>
        <v xml:space="preserve"> 터브이송#3-3 C2축(SD256) 엔코더 이상이 검출되었습니다.</v>
      </c>
      <c r="V734" s="49" t="str">
        <f t="shared" si="46"/>
        <v>[W3228.E] 터브이송#3-3 C2축(SD256) 엔코더 이상이 검출되었습니다.</v>
      </c>
    </row>
    <row r="735" spans="1:22" s="49" customFormat="1" ht="14.15" customHeight="1">
      <c r="A735" s="43" t="s">
        <v>6673</v>
      </c>
      <c r="B735" s="44" t="s">
        <v>6635</v>
      </c>
      <c r="C735" s="54"/>
      <c r="D735" s="10" t="s">
        <v>29</v>
      </c>
      <c r="E735" s="11"/>
      <c r="F735" s="11" t="s">
        <v>18</v>
      </c>
      <c r="G735" s="13"/>
      <c r="H735" s="45" t="s">
        <v>16</v>
      </c>
      <c r="I735" s="47"/>
      <c r="J735" s="12" t="s">
        <v>6124</v>
      </c>
      <c r="K735" s="13" t="s">
        <v>7506</v>
      </c>
      <c r="L735" s="99" t="str">
        <f t="shared" si="45"/>
        <v>W3228.F</v>
      </c>
      <c r="M735" s="13" t="s">
        <v>17</v>
      </c>
      <c r="N735" s="13"/>
      <c r="O735" s="13"/>
      <c r="P735" s="47"/>
      <c r="Q735" s="45" t="s">
        <v>3672</v>
      </c>
      <c r="R735" s="45" t="s">
        <v>5596</v>
      </c>
      <c r="S735" s="48"/>
      <c r="T735" s="49" t="str">
        <f t="shared" si="44"/>
        <v>[W3228.F]</v>
      </c>
      <c r="U735" s="12" t="str">
        <f t="shared" si="47"/>
        <v xml:space="preserve"> 터브이송#3-3 C2축(SD256) 과전류가 검출되었습니다.</v>
      </c>
      <c r="V735" s="49" t="str">
        <f t="shared" si="46"/>
        <v>[W3228.F] 터브이송#3-3 C2축(SD256) 과전류가 검출되었습니다.</v>
      </c>
    </row>
    <row r="736" spans="1:22" s="49" customFormat="1" ht="14.15" customHeight="1">
      <c r="A736" s="43" t="s">
        <v>6673</v>
      </c>
      <c r="B736" s="44" t="s">
        <v>6635</v>
      </c>
      <c r="C736" s="54"/>
      <c r="D736" s="10" t="s">
        <v>29</v>
      </c>
      <c r="E736" s="11"/>
      <c r="F736" s="11" t="s">
        <v>18</v>
      </c>
      <c r="G736" s="13"/>
      <c r="H736" s="45" t="s">
        <v>16</v>
      </c>
      <c r="I736" s="47"/>
      <c r="J736" s="12" t="s">
        <v>6125</v>
      </c>
      <c r="K736" s="13" t="s">
        <v>7507</v>
      </c>
      <c r="L736" s="99" t="str">
        <f t="shared" si="45"/>
        <v>W3229.0</v>
      </c>
      <c r="M736" s="13" t="s">
        <v>17</v>
      </c>
      <c r="N736" s="13"/>
      <c r="O736" s="13"/>
      <c r="P736" s="47"/>
      <c r="Q736" s="45" t="s">
        <v>3672</v>
      </c>
      <c r="R736" s="45" t="s">
        <v>5596</v>
      </c>
      <c r="S736" s="48"/>
      <c r="T736" s="49" t="str">
        <f t="shared" si="44"/>
        <v>[W3229.0]</v>
      </c>
      <c r="U736" s="12" t="str">
        <f t="shared" si="47"/>
        <v xml:space="preserve"> 터브이송#3-3 C2축(SD256) 과부하가 검출되었습니다.</v>
      </c>
      <c r="V736" s="49" t="str">
        <f t="shared" si="46"/>
        <v>[W3229.0] 터브이송#3-3 C2축(SD256) 과부하가 검출되었습니다.</v>
      </c>
    </row>
    <row r="737" spans="1:22" s="49" customFormat="1" ht="14.15" customHeight="1">
      <c r="A737" s="43" t="s">
        <v>6673</v>
      </c>
      <c r="B737" s="44" t="s">
        <v>6635</v>
      </c>
      <c r="C737" s="54"/>
      <c r="D737" s="10" t="s">
        <v>29</v>
      </c>
      <c r="E737" s="11"/>
      <c r="F737" s="11" t="s">
        <v>18</v>
      </c>
      <c r="G737" s="13"/>
      <c r="H737" s="45" t="s">
        <v>16</v>
      </c>
      <c r="I737" s="47"/>
      <c r="J737" s="12" t="s">
        <v>6126</v>
      </c>
      <c r="K737" s="13" t="s">
        <v>7508</v>
      </c>
      <c r="L737" s="99" t="str">
        <f t="shared" si="45"/>
        <v>W3229.1</v>
      </c>
      <c r="M737" s="13" t="s">
        <v>17</v>
      </c>
      <c r="N737" s="13"/>
      <c r="O737" s="13"/>
      <c r="P737" s="47"/>
      <c r="Q737" s="45" t="s">
        <v>3672</v>
      </c>
      <c r="R737" s="45" t="s">
        <v>5596</v>
      </c>
      <c r="S737" s="48"/>
      <c r="T737" s="49" t="str">
        <f t="shared" si="44"/>
        <v>[W3229.1]</v>
      </c>
      <c r="U737" s="12" t="str">
        <f t="shared" si="47"/>
        <v xml:space="preserve"> 터브이송#3-3 C2축(SD256)</v>
      </c>
      <c r="V737" s="49" t="str">
        <f t="shared" si="46"/>
        <v>[W3229.1] 터브이송#3-3 C2축(SD256)</v>
      </c>
    </row>
    <row r="738" spans="1:22" s="49" customFormat="1" ht="14.15" customHeight="1">
      <c r="A738" s="43" t="s">
        <v>6673</v>
      </c>
      <c r="B738" s="44" t="s">
        <v>6635</v>
      </c>
      <c r="C738" s="54"/>
      <c r="D738" s="10" t="s">
        <v>29</v>
      </c>
      <c r="E738" s="11"/>
      <c r="F738" s="11" t="s">
        <v>18</v>
      </c>
      <c r="G738" s="13"/>
      <c r="H738" s="45" t="s">
        <v>16</v>
      </c>
      <c r="I738" s="47"/>
      <c r="J738" s="12" t="s">
        <v>6127</v>
      </c>
      <c r="K738" s="13" t="s">
        <v>7509</v>
      </c>
      <c r="L738" s="99" t="str">
        <f t="shared" si="45"/>
        <v>W3229.2</v>
      </c>
      <c r="M738" s="13" t="s">
        <v>17</v>
      </c>
      <c r="N738" s="13"/>
      <c r="O738" s="13"/>
      <c r="P738" s="47"/>
      <c r="Q738" s="45" t="s">
        <v>3672</v>
      </c>
      <c r="R738" s="45" t="s">
        <v>5596</v>
      </c>
      <c r="S738" s="48"/>
      <c r="T738" s="49" t="str">
        <f t="shared" si="44"/>
        <v>[W3229.2]</v>
      </c>
      <c r="U738" s="12" t="str">
        <f t="shared" si="47"/>
        <v xml:space="preserve"> 터브이송#3-3 C2축(SD256) 에러가 발생했습니다.</v>
      </c>
      <c r="V738" s="49" t="str">
        <f t="shared" si="46"/>
        <v>[W3229.2] 터브이송#3-3 C2축(SD256) 에러가 발생했습니다.</v>
      </c>
    </row>
    <row r="739" spans="1:22" s="49" customFormat="1" ht="14.15" customHeight="1">
      <c r="A739" s="43" t="s">
        <v>6673</v>
      </c>
      <c r="B739" s="44" t="s">
        <v>6635</v>
      </c>
      <c r="C739" s="54"/>
      <c r="D739" s="10" t="s">
        <v>29</v>
      </c>
      <c r="E739" s="11"/>
      <c r="F739" s="11" t="s">
        <v>18</v>
      </c>
      <c r="G739" s="13"/>
      <c r="H739" s="45" t="s">
        <v>16</v>
      </c>
      <c r="I739" s="47"/>
      <c r="J739" s="12" t="s">
        <v>6128</v>
      </c>
      <c r="K739" s="13" t="s">
        <v>7510</v>
      </c>
      <c r="L739" s="99" t="str">
        <f t="shared" si="45"/>
        <v>W3229.3</v>
      </c>
      <c r="M739" s="13" t="s">
        <v>17</v>
      </c>
      <c r="N739" s="13"/>
      <c r="O739" s="13"/>
      <c r="P739" s="47"/>
      <c r="Q739" s="45" t="s">
        <v>3672</v>
      </c>
      <c r="R739" s="45" t="s">
        <v>5596</v>
      </c>
      <c r="S739" s="48"/>
      <c r="T739" s="49" t="str">
        <f t="shared" si="44"/>
        <v>[W3229.3]</v>
      </c>
      <c r="U739" s="12" t="str">
        <f t="shared" si="47"/>
        <v xml:space="preserve"> 터브이송#3-4 X축(SD257) 운전중에 Ready가 Off 되었습니다.</v>
      </c>
      <c r="V739" s="49" t="str">
        <f t="shared" si="46"/>
        <v>[W3229.3] 터브이송#3-4 X축(SD257) 운전중에 Ready가 Off 되었습니다.</v>
      </c>
    </row>
    <row r="740" spans="1:22" s="49" customFormat="1" ht="14.15" customHeight="1">
      <c r="A740" s="43" t="s">
        <v>6673</v>
      </c>
      <c r="B740" s="44" t="s">
        <v>6635</v>
      </c>
      <c r="C740" s="54"/>
      <c r="D740" s="10" t="s">
        <v>29</v>
      </c>
      <c r="E740" s="11"/>
      <c r="F740" s="11" t="s">
        <v>18</v>
      </c>
      <c r="G740" s="13"/>
      <c r="H740" s="45" t="s">
        <v>16</v>
      </c>
      <c r="I740" s="47"/>
      <c r="J740" s="12" t="s">
        <v>6129</v>
      </c>
      <c r="K740" s="13" t="s">
        <v>7511</v>
      </c>
      <c r="L740" s="99" t="str">
        <f t="shared" si="45"/>
        <v>W3229.4</v>
      </c>
      <c r="M740" s="13" t="s">
        <v>17</v>
      </c>
      <c r="N740" s="13"/>
      <c r="O740" s="13"/>
      <c r="P740" s="47"/>
      <c r="Q740" s="45" t="s">
        <v>3672</v>
      </c>
      <c r="R740" s="45" t="s">
        <v>5596</v>
      </c>
      <c r="S740" s="48"/>
      <c r="T740" s="49" t="str">
        <f t="shared" si="44"/>
        <v>[W3229.4]</v>
      </c>
      <c r="U740" s="12" t="str">
        <f t="shared" si="47"/>
        <v xml:space="preserve"> 터브이송#3-4 X축(SD257) FLS가 감지되었습니다.</v>
      </c>
      <c r="V740" s="49" t="str">
        <f t="shared" si="46"/>
        <v>[W3229.4] 터브이송#3-4 X축(SD257) FLS가 감지되었습니다.</v>
      </c>
    </row>
    <row r="741" spans="1:22" s="49" customFormat="1" ht="14.15" customHeight="1">
      <c r="A741" s="43" t="s">
        <v>6673</v>
      </c>
      <c r="B741" s="44" t="s">
        <v>6635</v>
      </c>
      <c r="C741" s="54"/>
      <c r="D741" s="10" t="s">
        <v>29</v>
      </c>
      <c r="E741" s="11"/>
      <c r="F741" s="11" t="s">
        <v>18</v>
      </c>
      <c r="G741" s="13"/>
      <c r="H741" s="45" t="s">
        <v>16</v>
      </c>
      <c r="I741" s="47"/>
      <c r="J741" s="12" t="s">
        <v>6130</v>
      </c>
      <c r="K741" s="13" t="s">
        <v>7512</v>
      </c>
      <c r="L741" s="99" t="str">
        <f t="shared" si="45"/>
        <v>W3229.5</v>
      </c>
      <c r="M741" s="13" t="s">
        <v>17</v>
      </c>
      <c r="N741" s="13"/>
      <c r="O741" s="13"/>
      <c r="P741" s="47"/>
      <c r="Q741" s="45" t="s">
        <v>3672</v>
      </c>
      <c r="R741" s="45" t="s">
        <v>5596</v>
      </c>
      <c r="S741" s="48"/>
      <c r="T741" s="49" t="str">
        <f t="shared" si="44"/>
        <v>[W3229.5]</v>
      </c>
      <c r="U741" s="12" t="str">
        <f t="shared" si="47"/>
        <v xml:space="preserve"> 터브이송#3-4 X축(SD257) RLS가 감지되었습니다.</v>
      </c>
      <c r="V741" s="49" t="str">
        <f t="shared" si="46"/>
        <v>[W3229.5] 터브이송#3-4 X축(SD257) RLS가 감지되었습니다.</v>
      </c>
    </row>
    <row r="742" spans="1:22" s="49" customFormat="1" ht="14.15" customHeight="1">
      <c r="A742" s="43" t="s">
        <v>6673</v>
      </c>
      <c r="B742" s="44" t="s">
        <v>6635</v>
      </c>
      <c r="C742" s="54"/>
      <c r="D742" s="10" t="s">
        <v>29</v>
      </c>
      <c r="E742" s="11"/>
      <c r="F742" s="11" t="s">
        <v>18</v>
      </c>
      <c r="G742" s="13"/>
      <c r="H742" s="45" t="s">
        <v>16</v>
      </c>
      <c r="I742" s="47"/>
      <c r="J742" s="12" t="s">
        <v>6131</v>
      </c>
      <c r="K742" s="13" t="s">
        <v>7513</v>
      </c>
      <c r="L742" s="99" t="str">
        <f t="shared" si="45"/>
        <v>W3229.6</v>
      </c>
      <c r="M742" s="13" t="s">
        <v>17</v>
      </c>
      <c r="N742" s="13"/>
      <c r="O742" s="13"/>
      <c r="P742" s="47"/>
      <c r="Q742" s="45" t="s">
        <v>3672</v>
      </c>
      <c r="R742" s="45" t="s">
        <v>5596</v>
      </c>
      <c r="S742" s="48"/>
      <c r="T742" s="49" t="str">
        <f t="shared" si="44"/>
        <v>[W3229.6]</v>
      </c>
      <c r="U742" s="12" t="str">
        <f t="shared" si="47"/>
        <v xml:space="preserve"> 터브이송#3-4 X축(SD257) Stop 명령이 On된 상태에서 기동을 시도했습니다.</v>
      </c>
      <c r="V742" s="49" t="str">
        <f t="shared" si="46"/>
        <v>[W3229.6] 터브이송#3-4 X축(SD257) Stop 명령이 On된 상태에서 기동을 시도했습니다.</v>
      </c>
    </row>
    <row r="743" spans="1:22" s="49" customFormat="1" ht="14.15" customHeight="1">
      <c r="A743" s="43" t="s">
        <v>6673</v>
      </c>
      <c r="B743" s="44" t="s">
        <v>6635</v>
      </c>
      <c r="C743" s="54"/>
      <c r="D743" s="10" t="s">
        <v>29</v>
      </c>
      <c r="E743" s="11"/>
      <c r="F743" s="11" t="s">
        <v>18</v>
      </c>
      <c r="G743" s="13"/>
      <c r="H743" s="45" t="s">
        <v>16</v>
      </c>
      <c r="I743" s="47"/>
      <c r="J743" s="12" t="s">
        <v>6132</v>
      </c>
      <c r="K743" s="13" t="s">
        <v>7514</v>
      </c>
      <c r="L743" s="99" t="str">
        <f t="shared" si="45"/>
        <v>W3229.7</v>
      </c>
      <c r="M743" s="13" t="s">
        <v>17</v>
      </c>
      <c r="N743" s="13"/>
      <c r="O743" s="13"/>
      <c r="P743" s="47"/>
      <c r="Q743" s="45" t="s">
        <v>3672</v>
      </c>
      <c r="R743" s="45" t="s">
        <v>5596</v>
      </c>
      <c r="S743" s="48"/>
      <c r="T743" s="49" t="str">
        <f t="shared" si="44"/>
        <v>[W3229.7]</v>
      </c>
      <c r="U743" s="12" t="str">
        <f t="shared" si="47"/>
        <v xml:space="preserve"> 터브이송#3-4 X축(SD257) 가동 전원이 Off 되었습니다.</v>
      </c>
      <c r="V743" s="49" t="str">
        <f t="shared" si="46"/>
        <v>[W3229.7] 터브이송#3-4 X축(SD257) 가동 전원이 Off 되었습니다.</v>
      </c>
    </row>
    <row r="744" spans="1:22" s="49" customFormat="1" ht="14.15" customHeight="1">
      <c r="A744" s="43" t="s">
        <v>6673</v>
      </c>
      <c r="B744" s="44" t="s">
        <v>6635</v>
      </c>
      <c r="C744" s="54"/>
      <c r="D744" s="10" t="s">
        <v>29</v>
      </c>
      <c r="E744" s="11"/>
      <c r="F744" s="11" t="s">
        <v>18</v>
      </c>
      <c r="G744" s="13"/>
      <c r="H744" s="45" t="s">
        <v>16</v>
      </c>
      <c r="I744" s="47"/>
      <c r="J744" s="12" t="s">
        <v>6133</v>
      </c>
      <c r="K744" s="13" t="s">
        <v>7515</v>
      </c>
      <c r="L744" s="99" t="str">
        <f t="shared" si="45"/>
        <v>W3229.8</v>
      </c>
      <c r="M744" s="13" t="s">
        <v>17</v>
      </c>
      <c r="N744" s="13"/>
      <c r="O744" s="13"/>
      <c r="P744" s="47"/>
      <c r="Q744" s="45" t="s">
        <v>3672</v>
      </c>
      <c r="R744" s="45" t="s">
        <v>5596</v>
      </c>
      <c r="S744" s="48"/>
      <c r="T744" s="49" t="str">
        <f t="shared" si="44"/>
        <v>[W3229.8]</v>
      </c>
      <c r="U744" s="12" t="str">
        <f t="shared" si="47"/>
        <v xml:space="preserve"> 터브이송#3-4 X축(SD257) 엔코더 이상이 검출되었습니다.</v>
      </c>
      <c r="V744" s="49" t="str">
        <f t="shared" si="46"/>
        <v>[W3229.8] 터브이송#3-4 X축(SD257) 엔코더 이상이 검출되었습니다.</v>
      </c>
    </row>
    <row r="745" spans="1:22" s="49" customFormat="1" ht="14.15" customHeight="1">
      <c r="A745" s="43" t="s">
        <v>6673</v>
      </c>
      <c r="B745" s="44" t="s">
        <v>6635</v>
      </c>
      <c r="C745" s="54"/>
      <c r="D745" s="10" t="s">
        <v>29</v>
      </c>
      <c r="E745" s="11"/>
      <c r="F745" s="11" t="s">
        <v>18</v>
      </c>
      <c r="G745" s="13"/>
      <c r="H745" s="45" t="s">
        <v>16</v>
      </c>
      <c r="I745" s="47"/>
      <c r="J745" s="12" t="s">
        <v>6134</v>
      </c>
      <c r="K745" s="13" t="s">
        <v>7516</v>
      </c>
      <c r="L745" s="99" t="str">
        <f t="shared" si="45"/>
        <v>W3229.9</v>
      </c>
      <c r="M745" s="13" t="s">
        <v>17</v>
      </c>
      <c r="N745" s="13"/>
      <c r="O745" s="13"/>
      <c r="P745" s="47"/>
      <c r="Q745" s="45" t="s">
        <v>3672</v>
      </c>
      <c r="R745" s="45" t="s">
        <v>5596</v>
      </c>
      <c r="S745" s="48"/>
      <c r="T745" s="49" t="str">
        <f t="shared" si="44"/>
        <v>[W3229.9]</v>
      </c>
      <c r="U745" s="12" t="str">
        <f t="shared" si="47"/>
        <v xml:space="preserve"> 터브이송#3-4 X축(SD257) 과전류가 검출되었습니다.</v>
      </c>
      <c r="V745" s="49" t="str">
        <f t="shared" si="46"/>
        <v>[W3229.9] 터브이송#3-4 X축(SD257) 과전류가 검출되었습니다.</v>
      </c>
    </row>
    <row r="746" spans="1:22" s="49" customFormat="1" ht="14.15" customHeight="1">
      <c r="A746" s="43" t="s">
        <v>6673</v>
      </c>
      <c r="B746" s="44" t="s">
        <v>6635</v>
      </c>
      <c r="C746" s="54"/>
      <c r="D746" s="10" t="s">
        <v>29</v>
      </c>
      <c r="E746" s="11"/>
      <c r="F746" s="11" t="s">
        <v>18</v>
      </c>
      <c r="G746" s="13"/>
      <c r="H746" s="45" t="s">
        <v>16</v>
      </c>
      <c r="I746" s="47"/>
      <c r="J746" s="12" t="s">
        <v>6135</v>
      </c>
      <c r="K746" s="13" t="s">
        <v>7517</v>
      </c>
      <c r="L746" s="99" t="str">
        <f t="shared" si="45"/>
        <v>W3229.A</v>
      </c>
      <c r="M746" s="13" t="s">
        <v>17</v>
      </c>
      <c r="N746" s="13"/>
      <c r="O746" s="13"/>
      <c r="P746" s="47"/>
      <c r="Q746" s="45" t="s">
        <v>3672</v>
      </c>
      <c r="R746" s="45" t="s">
        <v>5596</v>
      </c>
      <c r="S746" s="48"/>
      <c r="T746" s="49" t="str">
        <f t="shared" si="44"/>
        <v>[W3229.A]</v>
      </c>
      <c r="U746" s="12" t="str">
        <f t="shared" si="47"/>
        <v xml:space="preserve"> 터브이송#3-4 X축(SD257) 과부하가 검출되었습니다.</v>
      </c>
      <c r="V746" s="49" t="str">
        <f t="shared" si="46"/>
        <v>[W3229.A] 터브이송#3-4 X축(SD257) 과부하가 검출되었습니다.</v>
      </c>
    </row>
    <row r="747" spans="1:22" s="49" customFormat="1" ht="14.15" customHeight="1">
      <c r="A747" s="43" t="s">
        <v>6673</v>
      </c>
      <c r="B747" s="44" t="s">
        <v>6635</v>
      </c>
      <c r="C747" s="54"/>
      <c r="D747" s="10" t="s">
        <v>29</v>
      </c>
      <c r="E747" s="11"/>
      <c r="F747" s="11" t="s">
        <v>18</v>
      </c>
      <c r="G747" s="13"/>
      <c r="H747" s="45" t="s">
        <v>16</v>
      </c>
      <c r="I747" s="47"/>
      <c r="J747" s="12" t="s">
        <v>6136</v>
      </c>
      <c r="K747" s="13" t="s">
        <v>7518</v>
      </c>
      <c r="L747" s="99" t="str">
        <f t="shared" si="45"/>
        <v>W3229.B</v>
      </c>
      <c r="M747" s="13" t="s">
        <v>17</v>
      </c>
      <c r="N747" s="13"/>
      <c r="O747" s="13"/>
      <c r="P747" s="47"/>
      <c r="Q747" s="45" t="s">
        <v>3672</v>
      </c>
      <c r="R747" s="45" t="s">
        <v>5596</v>
      </c>
      <c r="S747" s="48"/>
      <c r="T747" s="49" t="str">
        <f t="shared" si="44"/>
        <v>[W3229.B]</v>
      </c>
      <c r="U747" s="12" t="str">
        <f t="shared" si="47"/>
        <v xml:space="preserve"> 터브이송#3-4 X축(SD257)</v>
      </c>
      <c r="V747" s="49" t="str">
        <f t="shared" si="46"/>
        <v>[W3229.B] 터브이송#3-4 X축(SD257)</v>
      </c>
    </row>
    <row r="748" spans="1:22" s="49" customFormat="1" ht="14.15" customHeight="1">
      <c r="A748" s="43" t="s">
        <v>6673</v>
      </c>
      <c r="B748" s="44" t="s">
        <v>6635</v>
      </c>
      <c r="C748" s="54"/>
      <c r="D748" s="10" t="s">
        <v>29</v>
      </c>
      <c r="E748" s="11"/>
      <c r="F748" s="11" t="s">
        <v>18</v>
      </c>
      <c r="G748" s="13"/>
      <c r="H748" s="45" t="s">
        <v>16</v>
      </c>
      <c r="I748" s="47"/>
      <c r="J748" s="12" t="s">
        <v>6137</v>
      </c>
      <c r="K748" s="13" t="s">
        <v>7519</v>
      </c>
      <c r="L748" s="99" t="str">
        <f t="shared" si="45"/>
        <v>W3229.C</v>
      </c>
      <c r="M748" s="13" t="s">
        <v>17</v>
      </c>
      <c r="N748" s="13"/>
      <c r="O748" s="13"/>
      <c r="P748" s="47"/>
      <c r="Q748" s="45" t="s">
        <v>3672</v>
      </c>
      <c r="R748" s="45" t="s">
        <v>5596</v>
      </c>
      <c r="S748" s="48"/>
      <c r="T748" s="49" t="str">
        <f t="shared" si="44"/>
        <v>[W3229.C]</v>
      </c>
      <c r="U748" s="12" t="str">
        <f t="shared" si="47"/>
        <v xml:space="preserve"> 터브이송#3-4 X축(SD257) 에러가 발생했습니다.</v>
      </c>
      <c r="V748" s="49" t="str">
        <f t="shared" si="46"/>
        <v>[W3229.C] 터브이송#3-4 X축(SD257) 에러가 발생했습니다.</v>
      </c>
    </row>
    <row r="749" spans="1:22" s="49" customFormat="1" ht="14.15" customHeight="1">
      <c r="A749" s="43" t="s">
        <v>6673</v>
      </c>
      <c r="B749" s="44" t="s">
        <v>6635</v>
      </c>
      <c r="C749" s="54"/>
      <c r="D749" s="10" t="s">
        <v>29</v>
      </c>
      <c r="E749" s="11"/>
      <c r="F749" s="11" t="s">
        <v>18</v>
      </c>
      <c r="G749" s="13"/>
      <c r="H749" s="45" t="s">
        <v>16</v>
      </c>
      <c r="I749" s="47"/>
      <c r="J749" s="12" t="s">
        <v>6138</v>
      </c>
      <c r="K749" s="13" t="s">
        <v>7520</v>
      </c>
      <c r="L749" s="99" t="str">
        <f t="shared" si="45"/>
        <v>W3229.D</v>
      </c>
      <c r="M749" s="13" t="s">
        <v>17</v>
      </c>
      <c r="N749" s="13"/>
      <c r="O749" s="13"/>
      <c r="P749" s="47"/>
      <c r="Q749" s="45" t="s">
        <v>3672</v>
      </c>
      <c r="R749" s="45" t="s">
        <v>5596</v>
      </c>
      <c r="S749" s="48"/>
      <c r="T749" s="49" t="str">
        <f t="shared" si="44"/>
        <v>[W3229.D]</v>
      </c>
      <c r="U749" s="12" t="str">
        <f t="shared" si="47"/>
        <v xml:space="preserve"> 터브이송#3-4 Z축(SD258) 운전중에 Ready가 Off 되었습니다.</v>
      </c>
      <c r="V749" s="49" t="str">
        <f t="shared" si="46"/>
        <v>[W3229.D] 터브이송#3-4 Z축(SD258) 운전중에 Ready가 Off 되었습니다.</v>
      </c>
    </row>
    <row r="750" spans="1:22" s="49" customFormat="1" ht="14.15" customHeight="1">
      <c r="A750" s="43" t="s">
        <v>6673</v>
      </c>
      <c r="B750" s="44" t="s">
        <v>6635</v>
      </c>
      <c r="C750" s="54"/>
      <c r="D750" s="10" t="s">
        <v>29</v>
      </c>
      <c r="E750" s="11"/>
      <c r="F750" s="11" t="s">
        <v>18</v>
      </c>
      <c r="G750" s="13"/>
      <c r="H750" s="45" t="s">
        <v>16</v>
      </c>
      <c r="I750" s="47"/>
      <c r="J750" s="12" t="s">
        <v>6139</v>
      </c>
      <c r="K750" s="13" t="s">
        <v>7521</v>
      </c>
      <c r="L750" s="99" t="str">
        <f t="shared" si="45"/>
        <v>W3229.E</v>
      </c>
      <c r="M750" s="13" t="s">
        <v>17</v>
      </c>
      <c r="N750" s="13"/>
      <c r="O750" s="13"/>
      <c r="P750" s="47"/>
      <c r="Q750" s="45" t="s">
        <v>3672</v>
      </c>
      <c r="R750" s="45" t="s">
        <v>5596</v>
      </c>
      <c r="S750" s="48"/>
      <c r="T750" s="49" t="str">
        <f t="shared" si="44"/>
        <v>[W3229.E]</v>
      </c>
      <c r="U750" s="12" t="str">
        <f t="shared" si="47"/>
        <v xml:space="preserve"> 터브이송#3-4 Z축(SD258) FLS가 감지되었습니다.</v>
      </c>
      <c r="V750" s="49" t="str">
        <f t="shared" si="46"/>
        <v>[W3229.E] 터브이송#3-4 Z축(SD258) FLS가 감지되었습니다.</v>
      </c>
    </row>
    <row r="751" spans="1:22" s="49" customFormat="1" ht="14.15" customHeight="1">
      <c r="A751" s="43" t="s">
        <v>6673</v>
      </c>
      <c r="B751" s="44" t="s">
        <v>6635</v>
      </c>
      <c r="C751" s="54"/>
      <c r="D751" s="10" t="s">
        <v>29</v>
      </c>
      <c r="E751" s="11"/>
      <c r="F751" s="11" t="s">
        <v>18</v>
      </c>
      <c r="G751" s="13"/>
      <c r="H751" s="45" t="s">
        <v>16</v>
      </c>
      <c r="I751" s="47"/>
      <c r="J751" s="12" t="s">
        <v>6140</v>
      </c>
      <c r="K751" s="13" t="s">
        <v>7522</v>
      </c>
      <c r="L751" s="99" t="str">
        <f t="shared" si="45"/>
        <v>W3229.F</v>
      </c>
      <c r="M751" s="13" t="s">
        <v>17</v>
      </c>
      <c r="N751" s="13"/>
      <c r="O751" s="13"/>
      <c r="P751" s="47"/>
      <c r="Q751" s="45" t="s">
        <v>3672</v>
      </c>
      <c r="R751" s="45" t="s">
        <v>5596</v>
      </c>
      <c r="S751" s="48"/>
      <c r="T751" s="49" t="str">
        <f t="shared" si="44"/>
        <v>[W3229.F]</v>
      </c>
      <c r="U751" s="12" t="str">
        <f t="shared" si="47"/>
        <v xml:space="preserve"> 터브이송#3-4 Z축(SD258) RLS가 감지되었습니다.</v>
      </c>
      <c r="V751" s="49" t="str">
        <f t="shared" si="46"/>
        <v>[W3229.F] 터브이송#3-4 Z축(SD258) RLS가 감지되었습니다.</v>
      </c>
    </row>
    <row r="752" spans="1:22" s="49" customFormat="1" ht="14.15" customHeight="1">
      <c r="A752" s="43" t="s">
        <v>6673</v>
      </c>
      <c r="B752" s="44" t="s">
        <v>6635</v>
      </c>
      <c r="C752" s="54"/>
      <c r="D752" s="10" t="s">
        <v>29</v>
      </c>
      <c r="E752" s="11"/>
      <c r="F752" s="11" t="s">
        <v>18</v>
      </c>
      <c r="G752" s="13"/>
      <c r="H752" s="45" t="s">
        <v>16</v>
      </c>
      <c r="I752" s="47"/>
      <c r="J752" s="12" t="s">
        <v>6141</v>
      </c>
      <c r="K752" s="13" t="s">
        <v>7523</v>
      </c>
      <c r="L752" s="99" t="str">
        <f t="shared" si="45"/>
        <v>W322A.0</v>
      </c>
      <c r="M752" s="13" t="s">
        <v>17</v>
      </c>
      <c r="N752" s="13"/>
      <c r="O752" s="13"/>
      <c r="P752" s="47"/>
      <c r="Q752" s="45" t="s">
        <v>3672</v>
      </c>
      <c r="R752" s="45" t="s">
        <v>5596</v>
      </c>
      <c r="S752" s="48"/>
      <c r="T752" s="49" t="str">
        <f t="shared" si="44"/>
        <v>[W322A.0]</v>
      </c>
      <c r="U752" s="12" t="str">
        <f t="shared" si="47"/>
        <v xml:space="preserve"> 터브이송#3-4 Z축(SD258) Stop 명령이 On된 상태에서 기동을 시도했습니다.</v>
      </c>
      <c r="V752" s="49" t="str">
        <f t="shared" si="46"/>
        <v>[W322A.0] 터브이송#3-4 Z축(SD258) Stop 명령이 On된 상태에서 기동을 시도했습니다.</v>
      </c>
    </row>
    <row r="753" spans="1:22" s="49" customFormat="1" ht="14.15" customHeight="1">
      <c r="A753" s="43" t="s">
        <v>6673</v>
      </c>
      <c r="B753" s="44" t="s">
        <v>6635</v>
      </c>
      <c r="C753" s="54"/>
      <c r="D753" s="10" t="s">
        <v>29</v>
      </c>
      <c r="E753" s="11"/>
      <c r="F753" s="11" t="s">
        <v>18</v>
      </c>
      <c r="G753" s="13"/>
      <c r="H753" s="45" t="s">
        <v>16</v>
      </c>
      <c r="I753" s="47"/>
      <c r="J753" s="12" t="s">
        <v>6142</v>
      </c>
      <c r="K753" s="13" t="s">
        <v>7524</v>
      </c>
      <c r="L753" s="99" t="str">
        <f t="shared" si="45"/>
        <v>W322A.1</v>
      </c>
      <c r="M753" s="13" t="s">
        <v>17</v>
      </c>
      <c r="N753" s="13"/>
      <c r="O753" s="13"/>
      <c r="P753" s="47"/>
      <c r="Q753" s="45" t="s">
        <v>3672</v>
      </c>
      <c r="R753" s="45" t="s">
        <v>5596</v>
      </c>
      <c r="S753" s="48"/>
      <c r="T753" s="49" t="str">
        <f t="shared" si="44"/>
        <v>[W322A.1]</v>
      </c>
      <c r="U753" s="12" t="str">
        <f t="shared" si="47"/>
        <v xml:space="preserve"> 터브이송#3-4 Z축(SD258) 가동 전원이 Off 되었습니다.</v>
      </c>
      <c r="V753" s="49" t="str">
        <f t="shared" si="46"/>
        <v>[W322A.1] 터브이송#3-4 Z축(SD258) 가동 전원이 Off 되었습니다.</v>
      </c>
    </row>
    <row r="754" spans="1:22" s="49" customFormat="1" ht="14.15" customHeight="1">
      <c r="A754" s="43" t="s">
        <v>6673</v>
      </c>
      <c r="B754" s="44" t="s">
        <v>6635</v>
      </c>
      <c r="C754" s="54"/>
      <c r="D754" s="10" t="s">
        <v>29</v>
      </c>
      <c r="E754" s="11"/>
      <c r="F754" s="11" t="s">
        <v>18</v>
      </c>
      <c r="G754" s="13"/>
      <c r="H754" s="45" t="s">
        <v>16</v>
      </c>
      <c r="I754" s="47"/>
      <c r="J754" s="12" t="s">
        <v>6143</v>
      </c>
      <c r="K754" s="13" t="s">
        <v>7525</v>
      </c>
      <c r="L754" s="99" t="str">
        <f t="shared" si="45"/>
        <v>W322A.2</v>
      </c>
      <c r="M754" s="13" t="s">
        <v>17</v>
      </c>
      <c r="N754" s="13"/>
      <c r="O754" s="13"/>
      <c r="P754" s="47"/>
      <c r="Q754" s="45" t="s">
        <v>3672</v>
      </c>
      <c r="R754" s="45" t="s">
        <v>5596</v>
      </c>
      <c r="S754" s="48"/>
      <c r="T754" s="49" t="str">
        <f t="shared" si="44"/>
        <v>[W322A.2]</v>
      </c>
      <c r="U754" s="12" t="str">
        <f t="shared" si="47"/>
        <v xml:space="preserve"> 터브이송#3-4 Z축(SD258) 엔코더 이상이 검출되었습니다.</v>
      </c>
      <c r="V754" s="49" t="str">
        <f t="shared" si="46"/>
        <v>[W322A.2] 터브이송#3-4 Z축(SD258) 엔코더 이상이 검출되었습니다.</v>
      </c>
    </row>
    <row r="755" spans="1:22" s="49" customFormat="1" ht="14.15" customHeight="1">
      <c r="A755" s="43" t="s">
        <v>6673</v>
      </c>
      <c r="B755" s="44" t="s">
        <v>6635</v>
      </c>
      <c r="C755" s="54"/>
      <c r="D755" s="10" t="s">
        <v>29</v>
      </c>
      <c r="E755" s="11"/>
      <c r="F755" s="11" t="s">
        <v>18</v>
      </c>
      <c r="G755" s="13"/>
      <c r="H755" s="45" t="s">
        <v>16</v>
      </c>
      <c r="I755" s="47"/>
      <c r="J755" s="12" t="s">
        <v>6144</v>
      </c>
      <c r="K755" s="13" t="s">
        <v>7526</v>
      </c>
      <c r="L755" s="99" t="str">
        <f t="shared" si="45"/>
        <v>W322A.3</v>
      </c>
      <c r="M755" s="13" t="s">
        <v>17</v>
      </c>
      <c r="N755" s="13"/>
      <c r="O755" s="13"/>
      <c r="P755" s="47"/>
      <c r="Q755" s="45" t="s">
        <v>3672</v>
      </c>
      <c r="R755" s="45" t="s">
        <v>5596</v>
      </c>
      <c r="S755" s="48"/>
      <c r="T755" s="49" t="str">
        <f t="shared" si="44"/>
        <v>[W322A.3]</v>
      </c>
      <c r="U755" s="12" t="str">
        <f t="shared" si="47"/>
        <v xml:space="preserve"> 터브이송#3-4 Z축(SD258) 과전류가 검출되었습니다.</v>
      </c>
      <c r="V755" s="49" t="str">
        <f t="shared" si="46"/>
        <v>[W322A.3] 터브이송#3-4 Z축(SD258) 과전류가 검출되었습니다.</v>
      </c>
    </row>
    <row r="756" spans="1:22" s="49" customFormat="1" ht="14.15" customHeight="1">
      <c r="A756" s="43" t="s">
        <v>6673</v>
      </c>
      <c r="B756" s="44" t="s">
        <v>6635</v>
      </c>
      <c r="C756" s="54"/>
      <c r="D756" s="10" t="s">
        <v>29</v>
      </c>
      <c r="E756" s="11"/>
      <c r="F756" s="11" t="s">
        <v>18</v>
      </c>
      <c r="G756" s="13"/>
      <c r="H756" s="45" t="s">
        <v>16</v>
      </c>
      <c r="I756" s="47"/>
      <c r="J756" s="12" t="s">
        <v>6145</v>
      </c>
      <c r="K756" s="13" t="s">
        <v>7527</v>
      </c>
      <c r="L756" s="99" t="str">
        <f t="shared" si="45"/>
        <v>W322A.4</v>
      </c>
      <c r="M756" s="13" t="s">
        <v>17</v>
      </c>
      <c r="N756" s="13"/>
      <c r="O756" s="13"/>
      <c r="P756" s="47"/>
      <c r="Q756" s="45" t="s">
        <v>3672</v>
      </c>
      <c r="R756" s="45" t="s">
        <v>5596</v>
      </c>
      <c r="S756" s="48"/>
      <c r="T756" s="49" t="str">
        <f t="shared" si="44"/>
        <v>[W322A.4]</v>
      </c>
      <c r="U756" s="12" t="str">
        <f t="shared" si="47"/>
        <v xml:space="preserve"> 터브이송#3-4 Z축(SD258) 과부하가 검출되었습니다.</v>
      </c>
      <c r="V756" s="49" t="str">
        <f t="shared" si="46"/>
        <v>[W322A.4] 터브이송#3-4 Z축(SD258) 과부하가 검출되었습니다.</v>
      </c>
    </row>
    <row r="757" spans="1:22" s="49" customFormat="1" ht="14.15" customHeight="1">
      <c r="A757" s="43" t="s">
        <v>6673</v>
      </c>
      <c r="B757" s="44" t="s">
        <v>6635</v>
      </c>
      <c r="C757" s="54"/>
      <c r="D757" s="10" t="s">
        <v>29</v>
      </c>
      <c r="E757" s="11"/>
      <c r="F757" s="11" t="s">
        <v>18</v>
      </c>
      <c r="G757" s="13"/>
      <c r="H757" s="45" t="s">
        <v>16</v>
      </c>
      <c r="I757" s="47"/>
      <c r="J757" s="12" t="s">
        <v>6146</v>
      </c>
      <c r="K757" s="13" t="s">
        <v>7528</v>
      </c>
      <c r="L757" s="99" t="str">
        <f t="shared" si="45"/>
        <v>W322A.5</v>
      </c>
      <c r="M757" s="13" t="s">
        <v>17</v>
      </c>
      <c r="N757" s="13"/>
      <c r="O757" s="13"/>
      <c r="P757" s="47"/>
      <c r="Q757" s="45" t="s">
        <v>3672</v>
      </c>
      <c r="R757" s="45" t="s">
        <v>5596</v>
      </c>
      <c r="S757" s="48"/>
      <c r="T757" s="49" t="str">
        <f t="shared" si="44"/>
        <v>[W322A.5]</v>
      </c>
      <c r="U757" s="12" t="str">
        <f t="shared" si="47"/>
        <v xml:space="preserve"> 터브이송#3-4 Z축(SD258)</v>
      </c>
      <c r="V757" s="49" t="str">
        <f t="shared" si="46"/>
        <v>[W322A.5] 터브이송#3-4 Z축(SD258)</v>
      </c>
    </row>
    <row r="758" spans="1:22" s="49" customFormat="1" ht="14.15" customHeight="1">
      <c r="A758" s="43" t="s">
        <v>6673</v>
      </c>
      <c r="B758" s="44" t="s">
        <v>6635</v>
      </c>
      <c r="C758" s="54"/>
      <c r="D758" s="10" t="s">
        <v>29</v>
      </c>
      <c r="E758" s="11"/>
      <c r="F758" s="11" t="s">
        <v>18</v>
      </c>
      <c r="G758" s="13"/>
      <c r="H758" s="45" t="s">
        <v>16</v>
      </c>
      <c r="I758" s="47"/>
      <c r="J758" s="12" t="s">
        <v>6147</v>
      </c>
      <c r="K758" s="13" t="s">
        <v>7529</v>
      </c>
      <c r="L758" s="99" t="str">
        <f t="shared" si="45"/>
        <v>W322A.6</v>
      </c>
      <c r="M758" s="13" t="s">
        <v>17</v>
      </c>
      <c r="N758" s="13"/>
      <c r="O758" s="13"/>
      <c r="P758" s="47"/>
      <c r="Q758" s="45" t="s">
        <v>3672</v>
      </c>
      <c r="R758" s="45" t="s">
        <v>5596</v>
      </c>
      <c r="S758" s="48"/>
      <c r="T758" s="49" t="str">
        <f t="shared" si="44"/>
        <v>[W322A.6]</v>
      </c>
      <c r="U758" s="12" t="str">
        <f t="shared" si="47"/>
        <v xml:space="preserve"> 터브이송#3-4 Z축(SD258) 에러가 발생했습니다.</v>
      </c>
      <c r="V758" s="49" t="str">
        <f t="shared" si="46"/>
        <v>[W322A.6] 터브이송#3-4 Z축(SD258) 에러가 발생했습니다.</v>
      </c>
    </row>
    <row r="759" spans="1:22" s="49" customFormat="1" ht="14.15" customHeight="1">
      <c r="A759" s="43" t="s">
        <v>6673</v>
      </c>
      <c r="B759" s="44" t="s">
        <v>6635</v>
      </c>
      <c r="C759" s="54"/>
      <c r="D759" s="10" t="s">
        <v>29</v>
      </c>
      <c r="E759" s="11"/>
      <c r="F759" s="11" t="s">
        <v>18</v>
      </c>
      <c r="G759" s="13"/>
      <c r="H759" s="45" t="s">
        <v>16</v>
      </c>
      <c r="I759" s="47"/>
      <c r="J759" s="12" t="s">
        <v>6148</v>
      </c>
      <c r="K759" s="13" t="s">
        <v>7530</v>
      </c>
      <c r="L759" s="99" t="str">
        <f t="shared" si="45"/>
        <v>W322A.7</v>
      </c>
      <c r="M759" s="13" t="s">
        <v>17</v>
      </c>
      <c r="N759" s="13"/>
      <c r="O759" s="13"/>
      <c r="P759" s="47"/>
      <c r="Q759" s="45" t="s">
        <v>3672</v>
      </c>
      <c r="R759" s="45" t="s">
        <v>5596</v>
      </c>
      <c r="S759" s="48"/>
      <c r="T759" s="49" t="str">
        <f t="shared" si="44"/>
        <v>[W322A.7]</v>
      </c>
      <c r="U759" s="12" t="str">
        <f t="shared" si="47"/>
        <v xml:space="preserve"> 터브이송#3-4 C1축(SD259) 운전중에 Ready가 Off 되었습니다.</v>
      </c>
      <c r="V759" s="49" t="str">
        <f t="shared" si="46"/>
        <v>[W322A.7] 터브이송#3-4 C1축(SD259) 운전중에 Ready가 Off 되었습니다.</v>
      </c>
    </row>
    <row r="760" spans="1:22" s="49" customFormat="1" ht="14.15" customHeight="1">
      <c r="A760" s="43" t="s">
        <v>6673</v>
      </c>
      <c r="B760" s="44" t="s">
        <v>6635</v>
      </c>
      <c r="C760" s="54"/>
      <c r="D760" s="10" t="s">
        <v>29</v>
      </c>
      <c r="E760" s="11"/>
      <c r="F760" s="11" t="s">
        <v>18</v>
      </c>
      <c r="G760" s="13"/>
      <c r="H760" s="45" t="s">
        <v>16</v>
      </c>
      <c r="I760" s="47"/>
      <c r="J760" s="12" t="s">
        <v>6149</v>
      </c>
      <c r="K760" s="13" t="s">
        <v>7531</v>
      </c>
      <c r="L760" s="99" t="str">
        <f t="shared" si="45"/>
        <v>W322A.8</v>
      </c>
      <c r="M760" s="13" t="s">
        <v>17</v>
      </c>
      <c r="N760" s="13"/>
      <c r="O760" s="13"/>
      <c r="P760" s="47"/>
      <c r="Q760" s="45" t="s">
        <v>3672</v>
      </c>
      <c r="R760" s="45" t="s">
        <v>5596</v>
      </c>
      <c r="S760" s="48"/>
      <c r="T760" s="49" t="str">
        <f t="shared" si="44"/>
        <v>[W322A.8]</v>
      </c>
      <c r="U760" s="12" t="str">
        <f t="shared" si="47"/>
        <v xml:space="preserve"> 터브이송#3-4 C1축(SD259) FLS가 감지되었습니다.</v>
      </c>
      <c r="V760" s="49" t="str">
        <f t="shared" si="46"/>
        <v>[W322A.8] 터브이송#3-4 C1축(SD259) FLS가 감지되었습니다.</v>
      </c>
    </row>
    <row r="761" spans="1:22" s="49" customFormat="1" ht="14.15" customHeight="1">
      <c r="A761" s="43" t="s">
        <v>6673</v>
      </c>
      <c r="B761" s="44" t="s">
        <v>6635</v>
      </c>
      <c r="C761" s="54"/>
      <c r="D761" s="10" t="s">
        <v>29</v>
      </c>
      <c r="E761" s="11"/>
      <c r="F761" s="11" t="s">
        <v>18</v>
      </c>
      <c r="G761" s="13"/>
      <c r="H761" s="45" t="s">
        <v>16</v>
      </c>
      <c r="I761" s="47"/>
      <c r="J761" s="12" t="s">
        <v>6150</v>
      </c>
      <c r="K761" s="13" t="s">
        <v>7532</v>
      </c>
      <c r="L761" s="99" t="str">
        <f t="shared" si="45"/>
        <v>W322A.9</v>
      </c>
      <c r="M761" s="13" t="s">
        <v>17</v>
      </c>
      <c r="N761" s="13"/>
      <c r="O761" s="13"/>
      <c r="P761" s="47"/>
      <c r="Q761" s="45" t="s">
        <v>3672</v>
      </c>
      <c r="R761" s="45" t="s">
        <v>5596</v>
      </c>
      <c r="S761" s="48"/>
      <c r="T761" s="49" t="str">
        <f t="shared" si="44"/>
        <v>[W322A.9]</v>
      </c>
      <c r="U761" s="12" t="str">
        <f t="shared" si="47"/>
        <v xml:space="preserve"> 터브이송#3-4 C1축(SD259) RLS가 감지되었습니다.</v>
      </c>
      <c r="V761" s="49" t="str">
        <f t="shared" si="46"/>
        <v>[W322A.9] 터브이송#3-4 C1축(SD259) RLS가 감지되었습니다.</v>
      </c>
    </row>
    <row r="762" spans="1:22" s="49" customFormat="1" ht="14.15" customHeight="1">
      <c r="A762" s="43" t="s">
        <v>6673</v>
      </c>
      <c r="B762" s="44" t="s">
        <v>6635</v>
      </c>
      <c r="C762" s="54"/>
      <c r="D762" s="10" t="s">
        <v>29</v>
      </c>
      <c r="E762" s="11"/>
      <c r="F762" s="11" t="s">
        <v>18</v>
      </c>
      <c r="G762" s="13"/>
      <c r="H762" s="45" t="s">
        <v>16</v>
      </c>
      <c r="I762" s="47"/>
      <c r="J762" s="12" t="s">
        <v>6151</v>
      </c>
      <c r="K762" s="13" t="s">
        <v>7533</v>
      </c>
      <c r="L762" s="99" t="str">
        <f t="shared" si="45"/>
        <v>W322A.A</v>
      </c>
      <c r="M762" s="13" t="s">
        <v>17</v>
      </c>
      <c r="N762" s="13"/>
      <c r="O762" s="13"/>
      <c r="P762" s="47"/>
      <c r="Q762" s="45" t="s">
        <v>3672</v>
      </c>
      <c r="R762" s="45" t="s">
        <v>5596</v>
      </c>
      <c r="S762" s="48"/>
      <c r="T762" s="49" t="str">
        <f t="shared" si="44"/>
        <v>[W322A.A]</v>
      </c>
      <c r="U762" s="12" t="str">
        <f t="shared" si="47"/>
        <v xml:space="preserve"> 터브이송#3-4 C1축(SD259) Stop 명령이 On된 상태에서 기동을 시도했습니다.</v>
      </c>
      <c r="V762" s="49" t="str">
        <f t="shared" si="46"/>
        <v>[W322A.A] 터브이송#3-4 C1축(SD259) Stop 명령이 On된 상태에서 기동을 시도했습니다.</v>
      </c>
    </row>
    <row r="763" spans="1:22" s="49" customFormat="1" ht="14.15" customHeight="1">
      <c r="A763" s="43" t="s">
        <v>6673</v>
      </c>
      <c r="B763" s="44" t="s">
        <v>6635</v>
      </c>
      <c r="C763" s="54"/>
      <c r="D763" s="10" t="s">
        <v>29</v>
      </c>
      <c r="E763" s="11"/>
      <c r="F763" s="11" t="s">
        <v>18</v>
      </c>
      <c r="G763" s="13"/>
      <c r="H763" s="45" t="s">
        <v>16</v>
      </c>
      <c r="I763" s="47"/>
      <c r="J763" s="12" t="s">
        <v>6152</v>
      </c>
      <c r="K763" s="13" t="s">
        <v>7534</v>
      </c>
      <c r="L763" s="99" t="str">
        <f t="shared" si="45"/>
        <v>W322A.B</v>
      </c>
      <c r="M763" s="13" t="s">
        <v>17</v>
      </c>
      <c r="N763" s="13"/>
      <c r="O763" s="13"/>
      <c r="P763" s="47"/>
      <c r="Q763" s="45" t="s">
        <v>3672</v>
      </c>
      <c r="R763" s="45" t="s">
        <v>5596</v>
      </c>
      <c r="S763" s="48"/>
      <c r="T763" s="49" t="str">
        <f t="shared" si="44"/>
        <v>[W322A.B]</v>
      </c>
      <c r="U763" s="12" t="str">
        <f t="shared" si="47"/>
        <v xml:space="preserve"> 터브이송#3-4 C1축(SD259) 가동 전원이 Off 되었습니다.</v>
      </c>
      <c r="V763" s="49" t="str">
        <f t="shared" si="46"/>
        <v>[W322A.B] 터브이송#3-4 C1축(SD259) 가동 전원이 Off 되었습니다.</v>
      </c>
    </row>
    <row r="764" spans="1:22" s="49" customFormat="1" ht="14.15" customHeight="1">
      <c r="A764" s="43" t="s">
        <v>6673</v>
      </c>
      <c r="B764" s="44" t="s">
        <v>6635</v>
      </c>
      <c r="C764" s="54"/>
      <c r="D764" s="10" t="s">
        <v>29</v>
      </c>
      <c r="E764" s="11"/>
      <c r="F764" s="11" t="s">
        <v>18</v>
      </c>
      <c r="G764" s="13"/>
      <c r="H764" s="45" t="s">
        <v>16</v>
      </c>
      <c r="I764" s="47"/>
      <c r="J764" s="12" t="s">
        <v>6153</v>
      </c>
      <c r="K764" s="13" t="s">
        <v>7535</v>
      </c>
      <c r="L764" s="99" t="str">
        <f t="shared" si="45"/>
        <v>W322A.C</v>
      </c>
      <c r="M764" s="13" t="s">
        <v>17</v>
      </c>
      <c r="N764" s="13"/>
      <c r="O764" s="13"/>
      <c r="P764" s="47"/>
      <c r="Q764" s="45" t="s">
        <v>3672</v>
      </c>
      <c r="R764" s="45" t="s">
        <v>5596</v>
      </c>
      <c r="S764" s="48"/>
      <c r="T764" s="49" t="str">
        <f t="shared" si="44"/>
        <v>[W322A.C]</v>
      </c>
      <c r="U764" s="12" t="str">
        <f t="shared" si="47"/>
        <v xml:space="preserve"> 터브이송#3-4 C1축(SD259) 엔코더 이상이 검출되었습니다.</v>
      </c>
      <c r="V764" s="49" t="str">
        <f t="shared" si="46"/>
        <v>[W322A.C] 터브이송#3-4 C1축(SD259) 엔코더 이상이 검출되었습니다.</v>
      </c>
    </row>
    <row r="765" spans="1:22" s="49" customFormat="1" ht="14.15" customHeight="1">
      <c r="A765" s="43" t="s">
        <v>6673</v>
      </c>
      <c r="B765" s="44" t="s">
        <v>6635</v>
      </c>
      <c r="C765" s="54"/>
      <c r="D765" s="10" t="s">
        <v>29</v>
      </c>
      <c r="E765" s="11"/>
      <c r="F765" s="11" t="s">
        <v>18</v>
      </c>
      <c r="G765" s="13"/>
      <c r="H765" s="45" t="s">
        <v>16</v>
      </c>
      <c r="I765" s="47"/>
      <c r="J765" s="12" t="s">
        <v>6154</v>
      </c>
      <c r="K765" s="13" t="s">
        <v>7536</v>
      </c>
      <c r="L765" s="99" t="str">
        <f t="shared" si="45"/>
        <v>W322A.D</v>
      </c>
      <c r="M765" s="13" t="s">
        <v>17</v>
      </c>
      <c r="N765" s="13"/>
      <c r="O765" s="13"/>
      <c r="P765" s="47"/>
      <c r="Q765" s="45" t="s">
        <v>3672</v>
      </c>
      <c r="R765" s="45" t="s">
        <v>5596</v>
      </c>
      <c r="S765" s="48"/>
      <c r="T765" s="49" t="str">
        <f t="shared" si="44"/>
        <v>[W322A.D]</v>
      </c>
      <c r="U765" s="12" t="str">
        <f t="shared" si="47"/>
        <v xml:space="preserve"> 터브이송#3-4 C1축(SD259) 과전류가 검출되었습니다.</v>
      </c>
      <c r="V765" s="49" t="str">
        <f t="shared" si="46"/>
        <v>[W322A.D] 터브이송#3-4 C1축(SD259) 과전류가 검출되었습니다.</v>
      </c>
    </row>
    <row r="766" spans="1:22" s="49" customFormat="1" ht="14.15" customHeight="1">
      <c r="A766" s="43" t="s">
        <v>6673</v>
      </c>
      <c r="B766" s="44" t="s">
        <v>6635</v>
      </c>
      <c r="C766" s="54"/>
      <c r="D766" s="10" t="s">
        <v>29</v>
      </c>
      <c r="E766" s="11"/>
      <c r="F766" s="11" t="s">
        <v>18</v>
      </c>
      <c r="G766" s="13"/>
      <c r="H766" s="45" t="s">
        <v>16</v>
      </c>
      <c r="I766" s="47"/>
      <c r="J766" s="12" t="s">
        <v>6155</v>
      </c>
      <c r="K766" s="13" t="s">
        <v>7537</v>
      </c>
      <c r="L766" s="99" t="str">
        <f t="shared" si="45"/>
        <v>W322A.E</v>
      </c>
      <c r="M766" s="13" t="s">
        <v>17</v>
      </c>
      <c r="N766" s="13"/>
      <c r="O766" s="13"/>
      <c r="P766" s="47"/>
      <c r="Q766" s="45" t="s">
        <v>3672</v>
      </c>
      <c r="R766" s="45" t="s">
        <v>5596</v>
      </c>
      <c r="S766" s="48"/>
      <c r="T766" s="49" t="str">
        <f t="shared" si="44"/>
        <v>[W322A.E]</v>
      </c>
      <c r="U766" s="12" t="str">
        <f t="shared" si="47"/>
        <v xml:space="preserve"> 터브이송#3-4 C1축(SD259) 과부하가 검출되었습니다.</v>
      </c>
      <c r="V766" s="49" t="str">
        <f t="shared" si="46"/>
        <v>[W322A.E] 터브이송#3-4 C1축(SD259) 과부하가 검출되었습니다.</v>
      </c>
    </row>
    <row r="767" spans="1:22" s="49" customFormat="1" ht="14.15" customHeight="1">
      <c r="A767" s="43" t="s">
        <v>6673</v>
      </c>
      <c r="B767" s="44" t="s">
        <v>6635</v>
      </c>
      <c r="C767" s="54"/>
      <c r="D767" s="10" t="s">
        <v>29</v>
      </c>
      <c r="E767" s="11"/>
      <c r="F767" s="11" t="s">
        <v>18</v>
      </c>
      <c r="G767" s="13"/>
      <c r="H767" s="45" t="s">
        <v>16</v>
      </c>
      <c r="I767" s="47"/>
      <c r="J767" s="12" t="s">
        <v>6156</v>
      </c>
      <c r="K767" s="13" t="s">
        <v>7538</v>
      </c>
      <c r="L767" s="99" t="str">
        <f t="shared" si="45"/>
        <v>W322A.F</v>
      </c>
      <c r="M767" s="13" t="s">
        <v>17</v>
      </c>
      <c r="N767" s="13"/>
      <c r="O767" s="13"/>
      <c r="P767" s="47"/>
      <c r="Q767" s="45" t="s">
        <v>3672</v>
      </c>
      <c r="R767" s="45" t="s">
        <v>5596</v>
      </c>
      <c r="S767" s="48"/>
      <c r="T767" s="49" t="str">
        <f t="shared" si="44"/>
        <v>[W322A.F]</v>
      </c>
      <c r="U767" s="12" t="str">
        <f t="shared" si="47"/>
        <v xml:space="preserve"> 터브이송#3-4 C1축(SD259)</v>
      </c>
      <c r="V767" s="49" t="str">
        <f t="shared" si="46"/>
        <v>[W322A.F] 터브이송#3-4 C1축(SD259)</v>
      </c>
    </row>
    <row r="768" spans="1:22" s="49" customFormat="1" ht="14.15" customHeight="1">
      <c r="A768" s="43" t="s">
        <v>6673</v>
      </c>
      <c r="B768" s="44" t="s">
        <v>6635</v>
      </c>
      <c r="C768" s="54"/>
      <c r="D768" s="10" t="s">
        <v>29</v>
      </c>
      <c r="E768" s="11"/>
      <c r="F768" s="11" t="s">
        <v>18</v>
      </c>
      <c r="G768" s="13"/>
      <c r="H768" s="45" t="s">
        <v>16</v>
      </c>
      <c r="I768" s="47"/>
      <c r="J768" s="12" t="s">
        <v>6157</v>
      </c>
      <c r="K768" s="13" t="s">
        <v>7539</v>
      </c>
      <c r="L768" s="99" t="str">
        <f t="shared" si="45"/>
        <v>W322B.0</v>
      </c>
      <c r="M768" s="13" t="s">
        <v>17</v>
      </c>
      <c r="N768" s="13"/>
      <c r="O768" s="13"/>
      <c r="P768" s="47"/>
      <c r="Q768" s="45" t="s">
        <v>3672</v>
      </c>
      <c r="R768" s="45" t="s">
        <v>5596</v>
      </c>
      <c r="S768" s="48"/>
      <c r="T768" s="49" t="str">
        <f>"["&amp;L738&amp;"]"</f>
        <v>[W3229.2]</v>
      </c>
      <c r="U768" s="12" t="str">
        <f>RIGHT(J738,LEN(J738)-7)</f>
        <v xml:space="preserve"> 터브이송#3-3 C2축(SD256) 에러가 발생했습니다.</v>
      </c>
      <c r="V768" s="49" t="str">
        <f>T738&amp;U738</f>
        <v>[W3229.2] 터브이송#3-3 C2축(SD256) 에러가 발생했습니다.</v>
      </c>
    </row>
    <row r="769" spans="1:22" s="49" customFormat="1" ht="14.15" customHeight="1">
      <c r="A769" s="43" t="s">
        <v>6673</v>
      </c>
      <c r="B769" s="44" t="s">
        <v>6635</v>
      </c>
      <c r="C769" s="54"/>
      <c r="D769" s="10" t="s">
        <v>29</v>
      </c>
      <c r="E769" s="11"/>
      <c r="F769" s="11" t="s">
        <v>18</v>
      </c>
      <c r="G769" s="13"/>
      <c r="H769" s="45" t="s">
        <v>16</v>
      </c>
      <c r="I769" s="47"/>
      <c r="J769" s="12" t="s">
        <v>6158</v>
      </c>
      <c r="K769" s="13" t="s">
        <v>7540</v>
      </c>
      <c r="L769" s="99" t="str">
        <f t="shared" si="45"/>
        <v>W322B.1</v>
      </c>
      <c r="M769" s="13" t="s">
        <v>17</v>
      </c>
      <c r="N769" s="13"/>
      <c r="O769" s="13"/>
      <c r="P769" s="47"/>
      <c r="Q769" s="45" t="s">
        <v>3672</v>
      </c>
      <c r="R769" s="45" t="s">
        <v>5596</v>
      </c>
      <c r="S769" s="48"/>
      <c r="T769" s="49" t="str">
        <f t="shared" si="44"/>
        <v>[W322B.1]</v>
      </c>
      <c r="U769" s="12" t="str">
        <f t="shared" si="47"/>
        <v xml:space="preserve"> 터브이송#3-4 C2축(SD260) 운전중에 Ready가 Off 되었습니다.</v>
      </c>
      <c r="V769" s="49" t="str">
        <f t="shared" si="46"/>
        <v>[W322B.1] 터브이송#3-4 C2축(SD260) 운전중에 Ready가 Off 되었습니다.</v>
      </c>
    </row>
    <row r="770" spans="1:22" s="49" customFormat="1" ht="14.15" customHeight="1">
      <c r="A770" s="43" t="s">
        <v>6673</v>
      </c>
      <c r="B770" s="44" t="s">
        <v>6635</v>
      </c>
      <c r="C770" s="54"/>
      <c r="D770" s="10" t="s">
        <v>29</v>
      </c>
      <c r="E770" s="11"/>
      <c r="F770" s="11" t="s">
        <v>18</v>
      </c>
      <c r="G770" s="13"/>
      <c r="H770" s="45" t="s">
        <v>16</v>
      </c>
      <c r="I770" s="47"/>
      <c r="J770" s="12" t="s">
        <v>6159</v>
      </c>
      <c r="K770" s="13" t="s">
        <v>7541</v>
      </c>
      <c r="L770" s="99" t="str">
        <f t="shared" si="45"/>
        <v>W322B.2</v>
      </c>
      <c r="M770" s="13" t="s">
        <v>17</v>
      </c>
      <c r="N770" s="13"/>
      <c r="O770" s="13"/>
      <c r="P770" s="47"/>
      <c r="Q770" s="45" t="s">
        <v>3672</v>
      </c>
      <c r="R770" s="45" t="s">
        <v>5596</v>
      </c>
      <c r="S770" s="48"/>
      <c r="T770" s="49" t="str">
        <f t="shared" si="44"/>
        <v>[W322B.2]</v>
      </c>
      <c r="U770" s="12" t="str">
        <f t="shared" si="47"/>
        <v xml:space="preserve"> 터브이송#3-4 C2축(SD260) FLS가 감지되었습니다.</v>
      </c>
      <c r="V770" s="49" t="str">
        <f t="shared" si="46"/>
        <v>[W322B.2] 터브이송#3-4 C2축(SD260) FLS가 감지되었습니다.</v>
      </c>
    </row>
    <row r="771" spans="1:22" s="49" customFormat="1" ht="14.15" customHeight="1">
      <c r="A771" s="43" t="s">
        <v>6673</v>
      </c>
      <c r="B771" s="44" t="s">
        <v>6635</v>
      </c>
      <c r="C771" s="54"/>
      <c r="D771" s="10" t="s">
        <v>29</v>
      </c>
      <c r="E771" s="11"/>
      <c r="F771" s="11" t="s">
        <v>18</v>
      </c>
      <c r="G771" s="13"/>
      <c r="H771" s="45" t="s">
        <v>16</v>
      </c>
      <c r="I771" s="47"/>
      <c r="J771" s="12" t="s">
        <v>6160</v>
      </c>
      <c r="K771" s="13" t="s">
        <v>7542</v>
      </c>
      <c r="L771" s="99" t="str">
        <f t="shared" si="45"/>
        <v>W322B.3</v>
      </c>
      <c r="M771" s="13" t="s">
        <v>17</v>
      </c>
      <c r="N771" s="13"/>
      <c r="O771" s="13"/>
      <c r="P771" s="47"/>
      <c r="Q771" s="45" t="s">
        <v>3672</v>
      </c>
      <c r="R771" s="45" t="s">
        <v>5596</v>
      </c>
      <c r="S771" s="48"/>
      <c r="T771" s="49" t="str">
        <f t="shared" si="44"/>
        <v>[W322B.3]</v>
      </c>
      <c r="U771" s="12" t="str">
        <f t="shared" si="47"/>
        <v xml:space="preserve"> 터브이송#3-4 C2축(SD260) RLS가 감지되었습니다.</v>
      </c>
      <c r="V771" s="49" t="str">
        <f t="shared" si="46"/>
        <v>[W322B.3] 터브이송#3-4 C2축(SD260) RLS가 감지되었습니다.</v>
      </c>
    </row>
    <row r="772" spans="1:22" s="49" customFormat="1" ht="14.15" customHeight="1">
      <c r="A772" s="43" t="s">
        <v>6673</v>
      </c>
      <c r="B772" s="44" t="s">
        <v>6635</v>
      </c>
      <c r="C772" s="54"/>
      <c r="D772" s="10" t="s">
        <v>29</v>
      </c>
      <c r="E772" s="11"/>
      <c r="F772" s="11" t="s">
        <v>18</v>
      </c>
      <c r="G772" s="13"/>
      <c r="H772" s="45" t="s">
        <v>16</v>
      </c>
      <c r="I772" s="47"/>
      <c r="J772" s="12" t="s">
        <v>6161</v>
      </c>
      <c r="K772" s="13" t="s">
        <v>7543</v>
      </c>
      <c r="L772" s="99" t="str">
        <f t="shared" si="45"/>
        <v>W322B.4</v>
      </c>
      <c r="M772" s="13" t="s">
        <v>17</v>
      </c>
      <c r="N772" s="13"/>
      <c r="O772" s="13"/>
      <c r="P772" s="47"/>
      <c r="Q772" s="45" t="s">
        <v>3672</v>
      </c>
      <c r="R772" s="45" t="s">
        <v>5596</v>
      </c>
      <c r="S772" s="48"/>
      <c r="T772" s="49" t="str">
        <f t="shared" si="44"/>
        <v>[W322B.4]</v>
      </c>
      <c r="U772" s="12" t="str">
        <f t="shared" si="47"/>
        <v xml:space="preserve"> 터브이송#3-4 C2축(SD260) Stop 명령이 On된 상태에서 기동을 시도했습니다.</v>
      </c>
      <c r="V772" s="49" t="str">
        <f t="shared" si="46"/>
        <v>[W322B.4] 터브이송#3-4 C2축(SD260) Stop 명령이 On된 상태에서 기동을 시도했습니다.</v>
      </c>
    </row>
    <row r="773" spans="1:22" s="49" customFormat="1" ht="14.15" customHeight="1">
      <c r="A773" s="43" t="s">
        <v>6673</v>
      </c>
      <c r="B773" s="44" t="s">
        <v>6635</v>
      </c>
      <c r="C773" s="54"/>
      <c r="D773" s="10" t="s">
        <v>29</v>
      </c>
      <c r="E773" s="11"/>
      <c r="F773" s="11" t="s">
        <v>18</v>
      </c>
      <c r="G773" s="13"/>
      <c r="H773" s="45" t="s">
        <v>16</v>
      </c>
      <c r="I773" s="47"/>
      <c r="J773" s="12" t="s">
        <v>6162</v>
      </c>
      <c r="K773" s="13" t="s">
        <v>7544</v>
      </c>
      <c r="L773" s="99" t="str">
        <f t="shared" si="45"/>
        <v>W322B.5</v>
      </c>
      <c r="M773" s="13" t="s">
        <v>17</v>
      </c>
      <c r="N773" s="13"/>
      <c r="O773" s="13"/>
      <c r="P773" s="47"/>
      <c r="Q773" s="45" t="s">
        <v>3672</v>
      </c>
      <c r="R773" s="45" t="s">
        <v>5596</v>
      </c>
      <c r="S773" s="48"/>
      <c r="T773" s="49" t="str">
        <f t="shared" si="44"/>
        <v>[W322B.5]</v>
      </c>
      <c r="U773" s="12" t="str">
        <f t="shared" si="47"/>
        <v xml:space="preserve"> 터브이송#3-4 C2축(SD260) 가동 전원이 Off 되었습니다.</v>
      </c>
      <c r="V773" s="49" t="str">
        <f t="shared" si="46"/>
        <v>[W322B.5] 터브이송#3-4 C2축(SD260) 가동 전원이 Off 되었습니다.</v>
      </c>
    </row>
    <row r="774" spans="1:22" s="49" customFormat="1" ht="14.15" customHeight="1">
      <c r="A774" s="43" t="s">
        <v>6673</v>
      </c>
      <c r="B774" s="44" t="s">
        <v>6635</v>
      </c>
      <c r="C774" s="54"/>
      <c r="D774" s="10" t="s">
        <v>29</v>
      </c>
      <c r="E774" s="11"/>
      <c r="F774" s="11" t="s">
        <v>18</v>
      </c>
      <c r="G774" s="13"/>
      <c r="H774" s="45" t="s">
        <v>16</v>
      </c>
      <c r="I774" s="47"/>
      <c r="J774" s="12" t="s">
        <v>6163</v>
      </c>
      <c r="K774" s="13" t="s">
        <v>7545</v>
      </c>
      <c r="L774" s="99" t="str">
        <f t="shared" si="45"/>
        <v>W322B.6</v>
      </c>
      <c r="M774" s="13" t="s">
        <v>17</v>
      </c>
      <c r="N774" s="13"/>
      <c r="O774" s="13"/>
      <c r="P774" s="47"/>
      <c r="Q774" s="45" t="s">
        <v>3672</v>
      </c>
      <c r="R774" s="45" t="s">
        <v>5596</v>
      </c>
      <c r="S774" s="48"/>
      <c r="T774" s="49" t="str">
        <f t="shared" si="44"/>
        <v>[W322B.6]</v>
      </c>
      <c r="U774" s="12" t="str">
        <f t="shared" si="47"/>
        <v xml:space="preserve"> 터브이송#3-4 C2축(SD260) 엔코더 이상이 검출되었습니다.</v>
      </c>
      <c r="V774" s="49" t="str">
        <f t="shared" si="46"/>
        <v>[W322B.6] 터브이송#3-4 C2축(SD260) 엔코더 이상이 검출되었습니다.</v>
      </c>
    </row>
    <row r="775" spans="1:22" s="49" customFormat="1" ht="14.15" customHeight="1">
      <c r="A775" s="43" t="s">
        <v>6673</v>
      </c>
      <c r="B775" s="44" t="s">
        <v>6635</v>
      </c>
      <c r="C775" s="54"/>
      <c r="D775" s="10" t="s">
        <v>29</v>
      </c>
      <c r="E775" s="11"/>
      <c r="F775" s="11" t="s">
        <v>18</v>
      </c>
      <c r="G775" s="13"/>
      <c r="H775" s="45" t="s">
        <v>16</v>
      </c>
      <c r="I775" s="47"/>
      <c r="J775" s="12" t="s">
        <v>6164</v>
      </c>
      <c r="K775" s="13" t="s">
        <v>7546</v>
      </c>
      <c r="L775" s="99" t="str">
        <f t="shared" si="45"/>
        <v>W322B.7</v>
      </c>
      <c r="M775" s="13" t="s">
        <v>17</v>
      </c>
      <c r="N775" s="13"/>
      <c r="O775" s="13"/>
      <c r="P775" s="47"/>
      <c r="Q775" s="45" t="s">
        <v>3672</v>
      </c>
      <c r="R775" s="45" t="s">
        <v>5596</v>
      </c>
      <c r="S775" s="48"/>
      <c r="T775" s="49" t="str">
        <f t="shared" si="44"/>
        <v>[W322B.7]</v>
      </c>
      <c r="U775" s="12" t="str">
        <f t="shared" si="47"/>
        <v xml:space="preserve"> 터브이송#3-4 C2축(SD260) 과전류가 검출되었습니다.</v>
      </c>
      <c r="V775" s="49" t="str">
        <f t="shared" si="46"/>
        <v>[W322B.7] 터브이송#3-4 C2축(SD260) 과전류가 검출되었습니다.</v>
      </c>
    </row>
    <row r="776" spans="1:22" s="49" customFormat="1" ht="14.15" customHeight="1">
      <c r="A776" s="43" t="s">
        <v>6673</v>
      </c>
      <c r="B776" s="44" t="s">
        <v>6635</v>
      </c>
      <c r="C776" s="54"/>
      <c r="D776" s="10" t="s">
        <v>29</v>
      </c>
      <c r="E776" s="11"/>
      <c r="F776" s="11" t="s">
        <v>18</v>
      </c>
      <c r="G776" s="13"/>
      <c r="H776" s="45" t="s">
        <v>16</v>
      </c>
      <c r="I776" s="47"/>
      <c r="J776" s="12" t="s">
        <v>6165</v>
      </c>
      <c r="K776" s="13" t="s">
        <v>7547</v>
      </c>
      <c r="L776" s="99" t="str">
        <f t="shared" si="45"/>
        <v>W322B.8</v>
      </c>
      <c r="M776" s="13" t="s">
        <v>17</v>
      </c>
      <c r="N776" s="13"/>
      <c r="O776" s="13"/>
      <c r="P776" s="47"/>
      <c r="Q776" s="45" t="s">
        <v>3672</v>
      </c>
      <c r="R776" s="45" t="s">
        <v>5596</v>
      </c>
      <c r="S776" s="48"/>
      <c r="T776" s="49" t="str">
        <f t="shared" si="44"/>
        <v>[W322B.8]</v>
      </c>
      <c r="U776" s="12" t="str">
        <f t="shared" si="47"/>
        <v xml:space="preserve"> 터브이송#3-4 C2축(SD260) 과부하가 검출되었습니다.</v>
      </c>
      <c r="V776" s="49" t="str">
        <f t="shared" si="46"/>
        <v>[W322B.8] 터브이송#3-4 C2축(SD260) 과부하가 검출되었습니다.</v>
      </c>
    </row>
    <row r="777" spans="1:22" s="49" customFormat="1" ht="14.15" customHeight="1">
      <c r="A777" s="43" t="s">
        <v>6673</v>
      </c>
      <c r="B777" s="44" t="s">
        <v>6635</v>
      </c>
      <c r="C777" s="54"/>
      <c r="D777" s="10" t="s">
        <v>29</v>
      </c>
      <c r="E777" s="11"/>
      <c r="F777" s="11" t="s">
        <v>18</v>
      </c>
      <c r="G777" s="13"/>
      <c r="H777" s="45" t="s">
        <v>16</v>
      </c>
      <c r="I777" s="47"/>
      <c r="J777" s="12" t="s">
        <v>6166</v>
      </c>
      <c r="K777" s="13" t="s">
        <v>7548</v>
      </c>
      <c r="L777" s="99" t="str">
        <f t="shared" si="45"/>
        <v>W322B.9</v>
      </c>
      <c r="M777" s="13" t="s">
        <v>17</v>
      </c>
      <c r="N777" s="13"/>
      <c r="O777" s="13"/>
      <c r="P777" s="47"/>
      <c r="Q777" s="45" t="s">
        <v>3672</v>
      </c>
      <c r="R777" s="45" t="s">
        <v>5596</v>
      </c>
      <c r="S777" s="48"/>
      <c r="T777" s="49" t="str">
        <f t="shared" si="44"/>
        <v>[W322B.9]</v>
      </c>
      <c r="U777" s="12" t="str">
        <f t="shared" si="47"/>
        <v xml:space="preserve"> 터브이송#3-4 C2축(SD260)</v>
      </c>
      <c r="V777" s="49" t="str">
        <f t="shared" si="46"/>
        <v>[W322B.9] 터브이송#3-4 C2축(SD260)</v>
      </c>
    </row>
    <row r="778" spans="1:22" s="49" customFormat="1" ht="14.15" customHeight="1">
      <c r="A778" s="43" t="s">
        <v>6673</v>
      </c>
      <c r="B778" s="44" t="s">
        <v>6635</v>
      </c>
      <c r="C778" s="54"/>
      <c r="D778" s="10" t="s">
        <v>29</v>
      </c>
      <c r="E778" s="11"/>
      <c r="F778" s="11" t="s">
        <v>18</v>
      </c>
      <c r="G778" s="13"/>
      <c r="H778" s="45" t="s">
        <v>16</v>
      </c>
      <c r="I778" s="47"/>
      <c r="J778" s="12" t="s">
        <v>6167</v>
      </c>
      <c r="K778" s="13" t="s">
        <v>7549</v>
      </c>
      <c r="L778" s="99" t="str">
        <f t="shared" si="45"/>
        <v>W322B.A</v>
      </c>
      <c r="M778" s="13" t="s">
        <v>17</v>
      </c>
      <c r="N778" s="13"/>
      <c r="O778" s="13"/>
      <c r="P778" s="47"/>
      <c r="Q778" s="45" t="s">
        <v>3672</v>
      </c>
      <c r="R778" s="45" t="s">
        <v>5596</v>
      </c>
      <c r="S778" s="48"/>
      <c r="T778" s="49" t="str">
        <f t="shared" si="44"/>
        <v>[W322B.A]</v>
      </c>
      <c r="U778" s="12" t="str">
        <f t="shared" si="47"/>
        <v xml:space="preserve"> 터브이송#3-4 C2축(SD260) 에러가 발생했습니다.</v>
      </c>
      <c r="V778" s="49" t="str">
        <f t="shared" si="46"/>
        <v>[W322B.A] 터브이송#3-4 C2축(SD260) 에러가 발생했습니다.</v>
      </c>
    </row>
    <row r="779" spans="1:22" s="49" customFormat="1" ht="14.15" customHeight="1">
      <c r="A779" s="43" t="s">
        <v>6673</v>
      </c>
      <c r="B779" s="44" t="s">
        <v>6635</v>
      </c>
      <c r="C779" s="54"/>
      <c r="D779" s="10" t="s">
        <v>29</v>
      </c>
      <c r="E779" s="11"/>
      <c r="F779" s="11" t="s">
        <v>18</v>
      </c>
      <c r="G779" s="13"/>
      <c r="H779" s="45" t="s">
        <v>16</v>
      </c>
      <c r="I779" s="47"/>
      <c r="J779" s="12" t="s">
        <v>6168</v>
      </c>
      <c r="K779" s="13" t="s">
        <v>7550</v>
      </c>
      <c r="L779" s="99" t="str">
        <f t="shared" si="45"/>
        <v>W322B.B</v>
      </c>
      <c r="M779" s="13" t="s">
        <v>17</v>
      </c>
      <c r="N779" s="13"/>
      <c r="O779" s="13"/>
      <c r="P779" s="47"/>
      <c r="Q779" s="45" t="s">
        <v>3672</v>
      </c>
      <c r="R779" s="45" t="s">
        <v>5596</v>
      </c>
      <c r="S779" s="48"/>
      <c r="T779" s="49" t="str">
        <f t="shared" si="44"/>
        <v>[W322B.B]</v>
      </c>
      <c r="U779" s="12" t="str">
        <f t="shared" si="47"/>
        <v xml:space="preserve"> 터브이송#3-5 X축(SD261) 운전중에 Ready가 Off 되었습니다.</v>
      </c>
      <c r="V779" s="49" t="str">
        <f t="shared" si="46"/>
        <v>[W322B.B] 터브이송#3-5 X축(SD261) 운전중에 Ready가 Off 되었습니다.</v>
      </c>
    </row>
    <row r="780" spans="1:22" s="49" customFormat="1" ht="14.15" customHeight="1">
      <c r="A780" s="43" t="s">
        <v>6673</v>
      </c>
      <c r="B780" s="44" t="s">
        <v>6635</v>
      </c>
      <c r="C780" s="54"/>
      <c r="D780" s="10" t="s">
        <v>29</v>
      </c>
      <c r="E780" s="11"/>
      <c r="F780" s="11" t="s">
        <v>18</v>
      </c>
      <c r="G780" s="13"/>
      <c r="H780" s="45" t="s">
        <v>16</v>
      </c>
      <c r="I780" s="47"/>
      <c r="J780" s="12" t="s">
        <v>6169</v>
      </c>
      <c r="K780" s="13" t="s">
        <v>7551</v>
      </c>
      <c r="L780" s="99" t="str">
        <f t="shared" si="45"/>
        <v>W322B.C</v>
      </c>
      <c r="M780" s="13" t="s">
        <v>17</v>
      </c>
      <c r="N780" s="13"/>
      <c r="O780" s="13"/>
      <c r="P780" s="47"/>
      <c r="Q780" s="45" t="s">
        <v>3672</v>
      </c>
      <c r="R780" s="45" t="s">
        <v>5596</v>
      </c>
      <c r="S780" s="48"/>
      <c r="T780" s="49" t="str">
        <f t="shared" si="44"/>
        <v>[W322B.C]</v>
      </c>
      <c r="U780" s="12" t="str">
        <f t="shared" si="47"/>
        <v xml:space="preserve"> 터브이송#3-5 X축(SD261) FLS가 감지되었습니다.</v>
      </c>
      <c r="V780" s="49" t="str">
        <f t="shared" si="46"/>
        <v>[W322B.C] 터브이송#3-5 X축(SD261) FLS가 감지되었습니다.</v>
      </c>
    </row>
    <row r="781" spans="1:22" s="49" customFormat="1" ht="14.15" customHeight="1">
      <c r="A781" s="43" t="s">
        <v>6673</v>
      </c>
      <c r="B781" s="44" t="s">
        <v>6635</v>
      </c>
      <c r="C781" s="54"/>
      <c r="D781" s="10" t="s">
        <v>29</v>
      </c>
      <c r="E781" s="11"/>
      <c r="F781" s="11" t="s">
        <v>18</v>
      </c>
      <c r="G781" s="13"/>
      <c r="H781" s="45" t="s">
        <v>16</v>
      </c>
      <c r="I781" s="47"/>
      <c r="J781" s="12" t="s">
        <v>6170</v>
      </c>
      <c r="K781" s="13" t="s">
        <v>7552</v>
      </c>
      <c r="L781" s="99" t="str">
        <f t="shared" si="45"/>
        <v>W322B.D</v>
      </c>
      <c r="M781" s="13" t="s">
        <v>17</v>
      </c>
      <c r="N781" s="13"/>
      <c r="O781" s="13"/>
      <c r="P781" s="47"/>
      <c r="Q781" s="45" t="s">
        <v>3672</v>
      </c>
      <c r="R781" s="45" t="s">
        <v>5596</v>
      </c>
      <c r="S781" s="48"/>
      <c r="T781" s="49" t="str">
        <f t="shared" si="44"/>
        <v>[W322B.D]</v>
      </c>
      <c r="U781" s="12" t="str">
        <f t="shared" si="47"/>
        <v xml:space="preserve"> 터브이송#3-5 X축(SD261) RLS가 감지되었습니다.</v>
      </c>
      <c r="V781" s="49" t="str">
        <f t="shared" si="46"/>
        <v>[W322B.D] 터브이송#3-5 X축(SD261) RLS가 감지되었습니다.</v>
      </c>
    </row>
    <row r="782" spans="1:22" s="49" customFormat="1" ht="14.15" customHeight="1">
      <c r="A782" s="43" t="s">
        <v>6673</v>
      </c>
      <c r="B782" s="44" t="s">
        <v>6635</v>
      </c>
      <c r="C782" s="54"/>
      <c r="D782" s="10" t="s">
        <v>29</v>
      </c>
      <c r="E782" s="11"/>
      <c r="F782" s="11" t="s">
        <v>18</v>
      </c>
      <c r="G782" s="13"/>
      <c r="H782" s="45" t="s">
        <v>16</v>
      </c>
      <c r="I782" s="47"/>
      <c r="J782" s="12" t="s">
        <v>6171</v>
      </c>
      <c r="K782" s="13" t="s">
        <v>7553</v>
      </c>
      <c r="L782" s="99" t="str">
        <f t="shared" si="45"/>
        <v>W322B.E</v>
      </c>
      <c r="M782" s="13" t="s">
        <v>17</v>
      </c>
      <c r="N782" s="13"/>
      <c r="O782" s="13"/>
      <c r="P782" s="47"/>
      <c r="Q782" s="45" t="s">
        <v>3672</v>
      </c>
      <c r="R782" s="45" t="s">
        <v>5596</v>
      </c>
      <c r="S782" s="48"/>
      <c r="T782" s="49" t="str">
        <f t="shared" si="44"/>
        <v>[W322B.E]</v>
      </c>
      <c r="U782" s="12" t="str">
        <f t="shared" si="47"/>
        <v xml:space="preserve"> 터브이송#3-5 X축(SD261) Stop 명령이 On된 상태에서 기동을 시도했습니다.</v>
      </c>
      <c r="V782" s="49" t="str">
        <f t="shared" si="46"/>
        <v>[W322B.E] 터브이송#3-5 X축(SD261) Stop 명령이 On된 상태에서 기동을 시도했습니다.</v>
      </c>
    </row>
    <row r="783" spans="1:22" s="49" customFormat="1" ht="14.15" customHeight="1">
      <c r="A783" s="43" t="s">
        <v>6673</v>
      </c>
      <c r="B783" s="44" t="s">
        <v>6635</v>
      </c>
      <c r="C783" s="54"/>
      <c r="D783" s="10" t="s">
        <v>29</v>
      </c>
      <c r="E783" s="11"/>
      <c r="F783" s="11" t="s">
        <v>18</v>
      </c>
      <c r="G783" s="13"/>
      <c r="H783" s="45" t="s">
        <v>16</v>
      </c>
      <c r="I783" s="47"/>
      <c r="J783" s="12" t="s">
        <v>6172</v>
      </c>
      <c r="K783" s="13" t="s">
        <v>7554</v>
      </c>
      <c r="L783" s="99" t="str">
        <f t="shared" si="45"/>
        <v>W322B.F</v>
      </c>
      <c r="M783" s="13" t="s">
        <v>17</v>
      </c>
      <c r="N783" s="13"/>
      <c r="O783" s="13"/>
      <c r="P783" s="47"/>
      <c r="Q783" s="45" t="s">
        <v>3672</v>
      </c>
      <c r="R783" s="45" t="s">
        <v>5596</v>
      </c>
      <c r="S783" s="48"/>
      <c r="T783" s="49" t="str">
        <f t="shared" si="44"/>
        <v>[W322B.F]</v>
      </c>
      <c r="U783" s="12" t="str">
        <f t="shared" si="47"/>
        <v xml:space="preserve"> 터브이송#3-5 X축(SD261) 가동 전원이 Off 되었습니다.</v>
      </c>
      <c r="V783" s="49" t="str">
        <f t="shared" si="46"/>
        <v>[W322B.F] 터브이송#3-5 X축(SD261) 가동 전원이 Off 되었습니다.</v>
      </c>
    </row>
    <row r="784" spans="1:22" s="49" customFormat="1" ht="14.15" customHeight="1">
      <c r="A784" s="43" t="s">
        <v>6673</v>
      </c>
      <c r="B784" s="44" t="s">
        <v>6635</v>
      </c>
      <c r="C784" s="54"/>
      <c r="D784" s="10" t="s">
        <v>29</v>
      </c>
      <c r="E784" s="11"/>
      <c r="F784" s="11" t="s">
        <v>18</v>
      </c>
      <c r="G784" s="13"/>
      <c r="H784" s="45" t="s">
        <v>16</v>
      </c>
      <c r="I784" s="47"/>
      <c r="J784" s="12" t="s">
        <v>6173</v>
      </c>
      <c r="K784" s="13" t="s">
        <v>7555</v>
      </c>
      <c r="L784" s="99" t="str">
        <f t="shared" si="45"/>
        <v>W322C.0</v>
      </c>
      <c r="M784" s="13" t="s">
        <v>17</v>
      </c>
      <c r="N784" s="13"/>
      <c r="O784" s="13"/>
      <c r="P784" s="47"/>
      <c r="Q784" s="45" t="s">
        <v>3672</v>
      </c>
      <c r="R784" s="45" t="s">
        <v>5596</v>
      </c>
      <c r="S784" s="48"/>
      <c r="T784" s="49" t="str">
        <f t="shared" ref="T784:T847" si="48">"["&amp;L784&amp;"]"</f>
        <v>[W322C.0]</v>
      </c>
      <c r="U784" s="12" t="str">
        <f t="shared" si="47"/>
        <v xml:space="preserve"> 터브이송#3-5 X축(SD261) 엔코더 이상이 검출되었습니다.</v>
      </c>
      <c r="V784" s="49" t="str">
        <f t="shared" si="46"/>
        <v>[W322C.0] 터브이송#3-5 X축(SD261) 엔코더 이상이 검출되었습니다.</v>
      </c>
    </row>
    <row r="785" spans="1:22" s="49" customFormat="1" ht="14.15" customHeight="1">
      <c r="A785" s="43" t="s">
        <v>6673</v>
      </c>
      <c r="B785" s="44" t="s">
        <v>6635</v>
      </c>
      <c r="C785" s="54"/>
      <c r="D785" s="10" t="s">
        <v>29</v>
      </c>
      <c r="E785" s="11"/>
      <c r="F785" s="11" t="s">
        <v>18</v>
      </c>
      <c r="G785" s="13"/>
      <c r="H785" s="45" t="s">
        <v>16</v>
      </c>
      <c r="I785" s="47"/>
      <c r="J785" s="12" t="s">
        <v>6174</v>
      </c>
      <c r="K785" s="13" t="s">
        <v>7556</v>
      </c>
      <c r="L785" s="99" t="str">
        <f t="shared" ref="L785:L848" si="49">"W"&amp;DEC2HEX(12800 + INT((ROW()-80)/16)) &amp; "." &amp; IF(MOD(ROW()-80,16)&lt;10,MOD(ROW()-80,16),CHAR(MOD(ROW()-80,16)+55))</f>
        <v>W322C.1</v>
      </c>
      <c r="M785" s="13" t="s">
        <v>17</v>
      </c>
      <c r="N785" s="13"/>
      <c r="O785" s="13"/>
      <c r="P785" s="47"/>
      <c r="Q785" s="45" t="s">
        <v>3672</v>
      </c>
      <c r="R785" s="45" t="s">
        <v>5596</v>
      </c>
      <c r="S785" s="48"/>
      <c r="T785" s="49" t="str">
        <f t="shared" si="48"/>
        <v>[W322C.1]</v>
      </c>
      <c r="U785" s="12" t="str">
        <f t="shared" si="47"/>
        <v xml:space="preserve"> 터브이송#3-5 X축(SD261) 과전류가 검출되었습니다.</v>
      </c>
      <c r="V785" s="49" t="str">
        <f t="shared" ref="V785:V848" si="50">T785&amp;U785</f>
        <v>[W322C.1] 터브이송#3-5 X축(SD261) 과전류가 검출되었습니다.</v>
      </c>
    </row>
    <row r="786" spans="1:22" s="49" customFormat="1" ht="14.15" customHeight="1">
      <c r="A786" s="43" t="s">
        <v>6673</v>
      </c>
      <c r="B786" s="44" t="s">
        <v>6635</v>
      </c>
      <c r="C786" s="54"/>
      <c r="D786" s="10" t="s">
        <v>29</v>
      </c>
      <c r="E786" s="11"/>
      <c r="F786" s="11" t="s">
        <v>18</v>
      </c>
      <c r="G786" s="13"/>
      <c r="H786" s="45" t="s">
        <v>16</v>
      </c>
      <c r="I786" s="47"/>
      <c r="J786" s="12" t="s">
        <v>6175</v>
      </c>
      <c r="K786" s="13" t="s">
        <v>7557</v>
      </c>
      <c r="L786" s="99" t="str">
        <f t="shared" si="49"/>
        <v>W322C.2</v>
      </c>
      <c r="M786" s="13" t="s">
        <v>17</v>
      </c>
      <c r="N786" s="13"/>
      <c r="O786" s="13"/>
      <c r="P786" s="47"/>
      <c r="Q786" s="45" t="s">
        <v>3672</v>
      </c>
      <c r="R786" s="45" t="s">
        <v>5596</v>
      </c>
      <c r="S786" s="48"/>
      <c r="T786" s="49" t="str">
        <f t="shared" si="48"/>
        <v>[W322C.2]</v>
      </c>
      <c r="U786" s="12" t="str">
        <f t="shared" si="47"/>
        <v xml:space="preserve"> 터브이송#3-5 X축(SD261) 과부하가 검출되었습니다.</v>
      </c>
      <c r="V786" s="49" t="str">
        <f t="shared" si="50"/>
        <v>[W322C.2] 터브이송#3-5 X축(SD261) 과부하가 검출되었습니다.</v>
      </c>
    </row>
    <row r="787" spans="1:22" s="49" customFormat="1" ht="14.15" customHeight="1">
      <c r="A787" s="43" t="s">
        <v>6673</v>
      </c>
      <c r="B787" s="44" t="s">
        <v>6635</v>
      </c>
      <c r="C787" s="54"/>
      <c r="D787" s="10" t="s">
        <v>29</v>
      </c>
      <c r="E787" s="11"/>
      <c r="F787" s="11" t="s">
        <v>18</v>
      </c>
      <c r="G787" s="13"/>
      <c r="H787" s="45" t="s">
        <v>16</v>
      </c>
      <c r="I787" s="47"/>
      <c r="J787" s="12" t="s">
        <v>6176</v>
      </c>
      <c r="K787" s="13" t="s">
        <v>7558</v>
      </c>
      <c r="L787" s="99" t="str">
        <f t="shared" si="49"/>
        <v>W322C.3</v>
      </c>
      <c r="M787" s="13" t="s">
        <v>17</v>
      </c>
      <c r="N787" s="13"/>
      <c r="O787" s="13"/>
      <c r="P787" s="47"/>
      <c r="Q787" s="45" t="s">
        <v>3672</v>
      </c>
      <c r="R787" s="45" t="s">
        <v>5596</v>
      </c>
      <c r="S787" s="48"/>
      <c r="T787" s="49" t="str">
        <f t="shared" si="48"/>
        <v>[W322C.3]</v>
      </c>
      <c r="U787" s="12" t="str">
        <f t="shared" si="47"/>
        <v xml:space="preserve"> 터브이송#3-5 X축(SD261)</v>
      </c>
      <c r="V787" s="49" t="str">
        <f t="shared" si="50"/>
        <v>[W322C.3] 터브이송#3-5 X축(SD261)</v>
      </c>
    </row>
    <row r="788" spans="1:22" s="49" customFormat="1" ht="14.15" customHeight="1">
      <c r="A788" s="43" t="s">
        <v>6673</v>
      </c>
      <c r="B788" s="44" t="s">
        <v>6635</v>
      </c>
      <c r="C788" s="54"/>
      <c r="D788" s="10" t="s">
        <v>29</v>
      </c>
      <c r="E788" s="11"/>
      <c r="F788" s="11" t="s">
        <v>18</v>
      </c>
      <c r="G788" s="13"/>
      <c r="H788" s="45" t="s">
        <v>16</v>
      </c>
      <c r="I788" s="47"/>
      <c r="J788" s="12" t="s">
        <v>6177</v>
      </c>
      <c r="K788" s="13" t="s">
        <v>7559</v>
      </c>
      <c r="L788" s="99" t="str">
        <f t="shared" si="49"/>
        <v>W322C.4</v>
      </c>
      <c r="M788" s="13" t="s">
        <v>17</v>
      </c>
      <c r="N788" s="13"/>
      <c r="O788" s="13"/>
      <c r="P788" s="47"/>
      <c r="Q788" s="45" t="s">
        <v>3672</v>
      </c>
      <c r="R788" s="45" t="s">
        <v>5596</v>
      </c>
      <c r="S788" s="48"/>
      <c r="T788" s="49" t="str">
        <f t="shared" si="48"/>
        <v>[W322C.4]</v>
      </c>
      <c r="U788" s="12" t="str">
        <f t="shared" si="47"/>
        <v xml:space="preserve"> 터브이송#3-5 X축(SD261) 에러가 발생했습니다.</v>
      </c>
      <c r="V788" s="49" t="str">
        <f t="shared" si="50"/>
        <v>[W322C.4] 터브이송#3-5 X축(SD261) 에러가 발생했습니다.</v>
      </c>
    </row>
    <row r="789" spans="1:22" s="49" customFormat="1" ht="14.15" customHeight="1">
      <c r="A789" s="43" t="s">
        <v>6673</v>
      </c>
      <c r="B789" s="44" t="s">
        <v>6635</v>
      </c>
      <c r="C789" s="54"/>
      <c r="D789" s="10" t="s">
        <v>29</v>
      </c>
      <c r="E789" s="11"/>
      <c r="F789" s="11" t="s">
        <v>18</v>
      </c>
      <c r="G789" s="13"/>
      <c r="H789" s="45" t="s">
        <v>16</v>
      </c>
      <c r="I789" s="47"/>
      <c r="J789" s="12" t="s">
        <v>6178</v>
      </c>
      <c r="K789" s="13" t="s">
        <v>7560</v>
      </c>
      <c r="L789" s="99" t="str">
        <f t="shared" si="49"/>
        <v>W322C.5</v>
      </c>
      <c r="M789" s="13" t="s">
        <v>17</v>
      </c>
      <c r="N789" s="13"/>
      <c r="O789" s="13"/>
      <c r="P789" s="47"/>
      <c r="Q789" s="45" t="s">
        <v>3672</v>
      </c>
      <c r="R789" s="45" t="s">
        <v>5596</v>
      </c>
      <c r="S789" s="48"/>
      <c r="T789" s="49" t="str">
        <f t="shared" si="48"/>
        <v>[W322C.5]</v>
      </c>
      <c r="U789" s="12" t="str">
        <f t="shared" ref="U789:U852" si="51">RIGHT(J789,LEN(J789)-7)</f>
        <v xml:space="preserve"> 터브이송#3-5 Z축(SD262) 운전중에 Ready가 Off 되었습니다.</v>
      </c>
      <c r="V789" s="49" t="str">
        <f t="shared" si="50"/>
        <v>[W322C.5] 터브이송#3-5 Z축(SD262) 운전중에 Ready가 Off 되었습니다.</v>
      </c>
    </row>
    <row r="790" spans="1:22" s="49" customFormat="1" ht="14.15" customHeight="1">
      <c r="A790" s="43" t="s">
        <v>6673</v>
      </c>
      <c r="B790" s="44" t="s">
        <v>6635</v>
      </c>
      <c r="C790" s="54"/>
      <c r="D790" s="10" t="s">
        <v>29</v>
      </c>
      <c r="E790" s="11"/>
      <c r="F790" s="11" t="s">
        <v>18</v>
      </c>
      <c r="G790" s="13"/>
      <c r="H790" s="45" t="s">
        <v>16</v>
      </c>
      <c r="I790" s="47"/>
      <c r="J790" s="12" t="s">
        <v>6179</v>
      </c>
      <c r="K790" s="13" t="s">
        <v>7561</v>
      </c>
      <c r="L790" s="99" t="str">
        <f t="shared" si="49"/>
        <v>W322C.6</v>
      </c>
      <c r="M790" s="13" t="s">
        <v>17</v>
      </c>
      <c r="N790" s="13"/>
      <c r="O790" s="13"/>
      <c r="P790" s="47"/>
      <c r="Q790" s="45" t="s">
        <v>3672</v>
      </c>
      <c r="R790" s="45" t="s">
        <v>5596</v>
      </c>
      <c r="S790" s="48"/>
      <c r="T790" s="49" t="str">
        <f t="shared" si="48"/>
        <v>[W322C.6]</v>
      </c>
      <c r="U790" s="12" t="str">
        <f t="shared" si="51"/>
        <v xml:space="preserve"> 터브이송#3-5 Z축(SD262) FLS가 감지되었습니다.</v>
      </c>
      <c r="V790" s="49" t="str">
        <f t="shared" si="50"/>
        <v>[W322C.6] 터브이송#3-5 Z축(SD262) FLS가 감지되었습니다.</v>
      </c>
    </row>
    <row r="791" spans="1:22" s="49" customFormat="1" ht="14.15" customHeight="1">
      <c r="A791" s="43" t="s">
        <v>6673</v>
      </c>
      <c r="B791" s="44" t="s">
        <v>6635</v>
      </c>
      <c r="C791" s="54"/>
      <c r="D791" s="10" t="s">
        <v>29</v>
      </c>
      <c r="E791" s="11"/>
      <c r="F791" s="11" t="s">
        <v>18</v>
      </c>
      <c r="G791" s="13"/>
      <c r="H791" s="45" t="s">
        <v>16</v>
      </c>
      <c r="I791" s="47"/>
      <c r="J791" s="12" t="s">
        <v>6180</v>
      </c>
      <c r="K791" s="13" t="s">
        <v>7562</v>
      </c>
      <c r="L791" s="99" t="str">
        <f t="shared" si="49"/>
        <v>W322C.7</v>
      </c>
      <c r="M791" s="13" t="s">
        <v>17</v>
      </c>
      <c r="N791" s="13"/>
      <c r="O791" s="13"/>
      <c r="P791" s="47"/>
      <c r="Q791" s="45" t="s">
        <v>3672</v>
      </c>
      <c r="R791" s="45" t="s">
        <v>5596</v>
      </c>
      <c r="S791" s="48"/>
      <c r="T791" s="49" t="str">
        <f t="shared" si="48"/>
        <v>[W322C.7]</v>
      </c>
      <c r="U791" s="12" t="str">
        <f t="shared" si="51"/>
        <v xml:space="preserve"> 터브이송#3-5 Z축(SD262) RLS가 감지되었습니다.</v>
      </c>
      <c r="V791" s="49" t="str">
        <f t="shared" si="50"/>
        <v>[W322C.7] 터브이송#3-5 Z축(SD262) RLS가 감지되었습니다.</v>
      </c>
    </row>
    <row r="792" spans="1:22" s="49" customFormat="1" ht="14.15" customHeight="1">
      <c r="A792" s="43" t="s">
        <v>6673</v>
      </c>
      <c r="B792" s="44" t="s">
        <v>6635</v>
      </c>
      <c r="C792" s="54"/>
      <c r="D792" s="10" t="s">
        <v>29</v>
      </c>
      <c r="E792" s="11"/>
      <c r="F792" s="11" t="s">
        <v>18</v>
      </c>
      <c r="G792" s="13"/>
      <c r="H792" s="45" t="s">
        <v>16</v>
      </c>
      <c r="I792" s="47"/>
      <c r="J792" s="12" t="s">
        <v>6181</v>
      </c>
      <c r="K792" s="13" t="s">
        <v>7563</v>
      </c>
      <c r="L792" s="99" t="str">
        <f t="shared" si="49"/>
        <v>W322C.8</v>
      </c>
      <c r="M792" s="13" t="s">
        <v>17</v>
      </c>
      <c r="N792" s="13"/>
      <c r="O792" s="13"/>
      <c r="P792" s="47"/>
      <c r="Q792" s="45" t="s">
        <v>3672</v>
      </c>
      <c r="R792" s="45" t="s">
        <v>5596</v>
      </c>
      <c r="S792" s="48"/>
      <c r="T792" s="49" t="str">
        <f t="shared" si="48"/>
        <v>[W322C.8]</v>
      </c>
      <c r="U792" s="12" t="str">
        <f t="shared" si="51"/>
        <v xml:space="preserve"> 터브이송#3-5 Z축(SD262) Stop 명령이 On된 상태에서 기동을 시도했습니다.</v>
      </c>
      <c r="V792" s="49" t="str">
        <f t="shared" si="50"/>
        <v>[W322C.8] 터브이송#3-5 Z축(SD262) Stop 명령이 On된 상태에서 기동을 시도했습니다.</v>
      </c>
    </row>
    <row r="793" spans="1:22" s="49" customFormat="1" ht="14.15" customHeight="1">
      <c r="A793" s="43" t="s">
        <v>6673</v>
      </c>
      <c r="B793" s="44" t="s">
        <v>6635</v>
      </c>
      <c r="C793" s="54"/>
      <c r="D793" s="10" t="s">
        <v>29</v>
      </c>
      <c r="E793" s="11"/>
      <c r="F793" s="11" t="s">
        <v>18</v>
      </c>
      <c r="G793" s="13"/>
      <c r="H793" s="45" t="s">
        <v>16</v>
      </c>
      <c r="I793" s="47"/>
      <c r="J793" s="12" t="s">
        <v>6182</v>
      </c>
      <c r="K793" s="13" t="s">
        <v>7564</v>
      </c>
      <c r="L793" s="99" t="str">
        <f t="shared" si="49"/>
        <v>W322C.9</v>
      </c>
      <c r="M793" s="13" t="s">
        <v>17</v>
      </c>
      <c r="N793" s="13"/>
      <c r="O793" s="13"/>
      <c r="P793" s="47"/>
      <c r="Q793" s="45" t="s">
        <v>3672</v>
      </c>
      <c r="R793" s="45" t="s">
        <v>5596</v>
      </c>
      <c r="S793" s="48"/>
      <c r="T793" s="49" t="str">
        <f t="shared" si="48"/>
        <v>[W322C.9]</v>
      </c>
      <c r="U793" s="12" t="str">
        <f t="shared" si="51"/>
        <v xml:space="preserve"> 터브이송#3-5 Z축(SD262) 가동 전원이 Off 되었습니다.</v>
      </c>
      <c r="V793" s="49" t="str">
        <f t="shared" si="50"/>
        <v>[W322C.9] 터브이송#3-5 Z축(SD262) 가동 전원이 Off 되었습니다.</v>
      </c>
    </row>
    <row r="794" spans="1:22" s="49" customFormat="1" ht="14.15" customHeight="1">
      <c r="A794" s="43" t="s">
        <v>6673</v>
      </c>
      <c r="B794" s="44" t="s">
        <v>6635</v>
      </c>
      <c r="C794" s="54"/>
      <c r="D794" s="10" t="s">
        <v>29</v>
      </c>
      <c r="E794" s="11"/>
      <c r="F794" s="11" t="s">
        <v>18</v>
      </c>
      <c r="G794" s="13"/>
      <c r="H794" s="45" t="s">
        <v>16</v>
      </c>
      <c r="I794" s="47"/>
      <c r="J794" s="12" t="s">
        <v>6183</v>
      </c>
      <c r="K794" s="13" t="s">
        <v>7565</v>
      </c>
      <c r="L794" s="99" t="str">
        <f t="shared" si="49"/>
        <v>W322C.A</v>
      </c>
      <c r="M794" s="13" t="s">
        <v>17</v>
      </c>
      <c r="N794" s="13"/>
      <c r="O794" s="13"/>
      <c r="P794" s="47"/>
      <c r="Q794" s="45" t="s">
        <v>3672</v>
      </c>
      <c r="R794" s="45" t="s">
        <v>5596</v>
      </c>
      <c r="S794" s="48"/>
      <c r="T794" s="49" t="str">
        <f t="shared" si="48"/>
        <v>[W322C.A]</v>
      </c>
      <c r="U794" s="12" t="str">
        <f t="shared" si="51"/>
        <v xml:space="preserve"> 터브이송#3-5 Z축(SD262) 엔코더 이상이 검출되었습니다.</v>
      </c>
      <c r="V794" s="49" t="str">
        <f t="shared" si="50"/>
        <v>[W322C.A] 터브이송#3-5 Z축(SD262) 엔코더 이상이 검출되었습니다.</v>
      </c>
    </row>
    <row r="795" spans="1:22" s="49" customFormat="1" ht="14.15" customHeight="1">
      <c r="A795" s="43" t="s">
        <v>6673</v>
      </c>
      <c r="B795" s="44" t="s">
        <v>6635</v>
      </c>
      <c r="C795" s="54"/>
      <c r="D795" s="10" t="s">
        <v>29</v>
      </c>
      <c r="E795" s="11"/>
      <c r="F795" s="11" t="s">
        <v>18</v>
      </c>
      <c r="G795" s="13"/>
      <c r="H795" s="45" t="s">
        <v>16</v>
      </c>
      <c r="I795" s="47"/>
      <c r="J795" s="12" t="s">
        <v>6184</v>
      </c>
      <c r="K795" s="13" t="s">
        <v>7566</v>
      </c>
      <c r="L795" s="99" t="str">
        <f t="shared" si="49"/>
        <v>W322C.B</v>
      </c>
      <c r="M795" s="13" t="s">
        <v>17</v>
      </c>
      <c r="N795" s="13"/>
      <c r="O795" s="13"/>
      <c r="P795" s="47"/>
      <c r="Q795" s="45" t="s">
        <v>3672</v>
      </c>
      <c r="R795" s="45" t="s">
        <v>5596</v>
      </c>
      <c r="S795" s="48"/>
      <c r="T795" s="49" t="str">
        <f t="shared" si="48"/>
        <v>[W322C.B]</v>
      </c>
      <c r="U795" s="12" t="str">
        <f t="shared" si="51"/>
        <v xml:space="preserve"> 터브이송#3-5 Z축(SD262) 과전류가 검출되었습니다.</v>
      </c>
      <c r="V795" s="49" t="str">
        <f t="shared" si="50"/>
        <v>[W322C.B] 터브이송#3-5 Z축(SD262) 과전류가 검출되었습니다.</v>
      </c>
    </row>
    <row r="796" spans="1:22" s="49" customFormat="1" ht="14.15" customHeight="1">
      <c r="A796" s="43" t="s">
        <v>6673</v>
      </c>
      <c r="B796" s="44" t="s">
        <v>6635</v>
      </c>
      <c r="C796" s="54"/>
      <c r="D796" s="10" t="s">
        <v>29</v>
      </c>
      <c r="E796" s="11"/>
      <c r="F796" s="11" t="s">
        <v>18</v>
      </c>
      <c r="G796" s="13"/>
      <c r="H796" s="45" t="s">
        <v>16</v>
      </c>
      <c r="I796" s="47"/>
      <c r="J796" s="12" t="s">
        <v>6185</v>
      </c>
      <c r="K796" s="13" t="s">
        <v>7567</v>
      </c>
      <c r="L796" s="99" t="str">
        <f t="shared" si="49"/>
        <v>W322C.C</v>
      </c>
      <c r="M796" s="13" t="s">
        <v>17</v>
      </c>
      <c r="N796" s="13"/>
      <c r="O796" s="13"/>
      <c r="P796" s="47"/>
      <c r="Q796" s="45" t="s">
        <v>3672</v>
      </c>
      <c r="R796" s="45" t="s">
        <v>5596</v>
      </c>
      <c r="S796" s="48"/>
      <c r="T796" s="49" t="str">
        <f t="shared" si="48"/>
        <v>[W322C.C]</v>
      </c>
      <c r="U796" s="12" t="str">
        <f t="shared" si="51"/>
        <v xml:space="preserve"> 터브이송#3-5 Z축(SD262) 과부하가 검출되었습니다.</v>
      </c>
      <c r="V796" s="49" t="str">
        <f t="shared" si="50"/>
        <v>[W322C.C] 터브이송#3-5 Z축(SD262) 과부하가 검출되었습니다.</v>
      </c>
    </row>
    <row r="797" spans="1:22" s="49" customFormat="1" ht="14.15" customHeight="1">
      <c r="A797" s="43" t="s">
        <v>6673</v>
      </c>
      <c r="B797" s="44" t="s">
        <v>6635</v>
      </c>
      <c r="C797" s="54"/>
      <c r="D797" s="10" t="s">
        <v>29</v>
      </c>
      <c r="E797" s="11"/>
      <c r="F797" s="11" t="s">
        <v>18</v>
      </c>
      <c r="G797" s="13"/>
      <c r="H797" s="45" t="s">
        <v>16</v>
      </c>
      <c r="I797" s="47"/>
      <c r="J797" s="12" t="s">
        <v>6186</v>
      </c>
      <c r="K797" s="13" t="s">
        <v>7568</v>
      </c>
      <c r="L797" s="99" t="str">
        <f t="shared" si="49"/>
        <v>W322C.D</v>
      </c>
      <c r="M797" s="13" t="s">
        <v>17</v>
      </c>
      <c r="N797" s="13"/>
      <c r="O797" s="13"/>
      <c r="P797" s="47"/>
      <c r="Q797" s="45" t="s">
        <v>3672</v>
      </c>
      <c r="R797" s="45" t="s">
        <v>5596</v>
      </c>
      <c r="S797" s="48"/>
      <c r="T797" s="49" t="str">
        <f t="shared" ref="T797:T806" si="52">"["&amp;L497&amp;"]"</f>
        <v>[W321A.1]</v>
      </c>
      <c r="U797" s="12" t="str">
        <f t="shared" ref="U797:U806" si="53">RIGHT(J497,LEN(J497)-7)</f>
        <v xml:space="preserve"> 도어프레임 서보조립 건#4축(SD232)  </v>
      </c>
      <c r="V797" s="49" t="str">
        <f t="shared" ref="V797:V806" si="54">T497&amp;U497</f>
        <v xml:space="preserve">[W321A.1] 도어프레임 서보조립 건#4축(SD232)  </v>
      </c>
    </row>
    <row r="798" spans="1:22" s="49" customFormat="1" ht="14.15" customHeight="1">
      <c r="A798" s="43" t="s">
        <v>6673</v>
      </c>
      <c r="B798" s="44" t="s">
        <v>6635</v>
      </c>
      <c r="C798" s="54"/>
      <c r="D798" s="10" t="s">
        <v>29</v>
      </c>
      <c r="E798" s="11"/>
      <c r="F798" s="11" t="s">
        <v>18</v>
      </c>
      <c r="G798" s="13"/>
      <c r="H798" s="45" t="s">
        <v>16</v>
      </c>
      <c r="I798" s="47"/>
      <c r="J798" s="12" t="s">
        <v>6187</v>
      </c>
      <c r="K798" s="13" t="s">
        <v>7569</v>
      </c>
      <c r="L798" s="99" t="str">
        <f t="shared" si="49"/>
        <v>W322C.E</v>
      </c>
      <c r="M798" s="13" t="s">
        <v>17</v>
      </c>
      <c r="N798" s="13"/>
      <c r="O798" s="13"/>
      <c r="P798" s="47"/>
      <c r="Q798" s="45" t="s">
        <v>3672</v>
      </c>
      <c r="R798" s="45" t="s">
        <v>5596</v>
      </c>
      <c r="S798" s="48"/>
      <c r="T798" s="49" t="str">
        <f t="shared" si="52"/>
        <v>[W321A.2]</v>
      </c>
      <c r="U798" s="12" t="str">
        <f t="shared" si="53"/>
        <v xml:space="preserve"> 도어프레임 서보조립 건#4축(SD232) 에러가 발생했습니다.</v>
      </c>
      <c r="V798" s="49" t="str">
        <f t="shared" si="54"/>
        <v>[W321A.2] 도어프레임 서보조립 건#4축(SD232) 에러가 발생했습니다.</v>
      </c>
    </row>
    <row r="799" spans="1:22" s="49" customFormat="1" ht="14.15" customHeight="1">
      <c r="A799" s="43" t="s">
        <v>6673</v>
      </c>
      <c r="B799" s="44" t="s">
        <v>6635</v>
      </c>
      <c r="C799" s="54"/>
      <c r="D799" s="10" t="s">
        <v>29</v>
      </c>
      <c r="E799" s="11"/>
      <c r="F799" s="11" t="s">
        <v>18</v>
      </c>
      <c r="G799" s="13"/>
      <c r="H799" s="45" t="s">
        <v>16</v>
      </c>
      <c r="I799" s="47"/>
      <c r="J799" s="12" t="s">
        <v>6188</v>
      </c>
      <c r="K799" s="13" t="s">
        <v>7570</v>
      </c>
      <c r="L799" s="99" t="str">
        <f t="shared" si="49"/>
        <v>W322C.F</v>
      </c>
      <c r="M799" s="13" t="s">
        <v>17</v>
      </c>
      <c r="N799" s="13"/>
      <c r="O799" s="13"/>
      <c r="P799" s="47"/>
      <c r="Q799" s="45" t="s">
        <v>3672</v>
      </c>
      <c r="R799" s="45" t="s">
        <v>5596</v>
      </c>
      <c r="S799" s="48"/>
      <c r="T799" s="49" t="str">
        <f t="shared" si="52"/>
        <v>[W321A.3]</v>
      </c>
      <c r="U799" s="12" t="str">
        <f t="shared" si="53"/>
        <v xml:space="preserve"> 도어프레임 서보조립 건#2 X축(SD233) 운전중에 Ready가 Off 되었습니다.</v>
      </c>
      <c r="V799" s="49" t="str">
        <f t="shared" si="54"/>
        <v>[W321A.3] 도어프레임 서보조립 건#2 X축(SD233) 운전중에 Ready가 Off 되었습니다.</v>
      </c>
    </row>
    <row r="800" spans="1:22" s="49" customFormat="1" ht="14.15" customHeight="1">
      <c r="A800" s="43" t="s">
        <v>6673</v>
      </c>
      <c r="B800" s="44" t="s">
        <v>6635</v>
      </c>
      <c r="C800" s="54"/>
      <c r="D800" s="10" t="s">
        <v>29</v>
      </c>
      <c r="E800" s="11"/>
      <c r="F800" s="11" t="s">
        <v>18</v>
      </c>
      <c r="G800" s="13"/>
      <c r="H800" s="45" t="s">
        <v>16</v>
      </c>
      <c r="I800" s="47"/>
      <c r="J800" s="12" t="s">
        <v>6189</v>
      </c>
      <c r="K800" s="13" t="s">
        <v>7571</v>
      </c>
      <c r="L800" s="99" t="str">
        <f t="shared" si="49"/>
        <v>W322D.0</v>
      </c>
      <c r="M800" s="13" t="s">
        <v>17</v>
      </c>
      <c r="N800" s="13"/>
      <c r="O800" s="13"/>
      <c r="P800" s="47"/>
      <c r="Q800" s="45" t="s">
        <v>3672</v>
      </c>
      <c r="R800" s="45" t="s">
        <v>5596</v>
      </c>
      <c r="S800" s="48"/>
      <c r="T800" s="49" t="str">
        <f t="shared" si="52"/>
        <v>[W321A.4]</v>
      </c>
      <c r="U800" s="12" t="str">
        <f t="shared" si="53"/>
        <v xml:space="preserve"> 도어프레임 서보조립 건#2 X축(SD233) FLS가 감지되었습니다.</v>
      </c>
      <c r="V800" s="49" t="str">
        <f t="shared" si="54"/>
        <v>[W321A.4] 도어프레임 서보조립 건#2 X축(SD233) FLS가 감지되었습니다.</v>
      </c>
    </row>
    <row r="801" spans="1:22" s="49" customFormat="1" ht="14.15" customHeight="1">
      <c r="A801" s="43" t="s">
        <v>6673</v>
      </c>
      <c r="B801" s="44" t="s">
        <v>6635</v>
      </c>
      <c r="C801" s="54"/>
      <c r="D801" s="10" t="s">
        <v>29</v>
      </c>
      <c r="E801" s="11"/>
      <c r="F801" s="11" t="s">
        <v>18</v>
      </c>
      <c r="G801" s="13"/>
      <c r="H801" s="45" t="s">
        <v>16</v>
      </c>
      <c r="I801" s="47"/>
      <c r="J801" s="12" t="s">
        <v>6190</v>
      </c>
      <c r="K801" s="13" t="s">
        <v>7572</v>
      </c>
      <c r="L801" s="99" t="str">
        <f t="shared" si="49"/>
        <v>W322D.1</v>
      </c>
      <c r="M801" s="13" t="s">
        <v>17</v>
      </c>
      <c r="N801" s="13"/>
      <c r="O801" s="13"/>
      <c r="P801" s="47"/>
      <c r="Q801" s="45" t="s">
        <v>3672</v>
      </c>
      <c r="R801" s="45" t="s">
        <v>5596</v>
      </c>
      <c r="S801" s="48"/>
      <c r="T801" s="49" t="str">
        <f t="shared" si="52"/>
        <v>[W321A.5]</v>
      </c>
      <c r="U801" s="12" t="str">
        <f t="shared" si="53"/>
        <v xml:space="preserve"> 도어프레임 서보조립 건#2 X축(SD233) RLS가 감지되었습니다.</v>
      </c>
      <c r="V801" s="49" t="str">
        <f t="shared" si="54"/>
        <v>[W321A.5] 도어프레임 서보조립 건#2 X축(SD233) RLS가 감지되었습니다.</v>
      </c>
    </row>
    <row r="802" spans="1:22" s="49" customFormat="1" ht="14.15" customHeight="1">
      <c r="A802" s="43" t="s">
        <v>6673</v>
      </c>
      <c r="B802" s="44" t="s">
        <v>6635</v>
      </c>
      <c r="C802" s="54"/>
      <c r="D802" s="10" t="s">
        <v>29</v>
      </c>
      <c r="E802" s="11"/>
      <c r="F802" s="11" t="s">
        <v>18</v>
      </c>
      <c r="G802" s="13"/>
      <c r="H802" s="45" t="s">
        <v>16</v>
      </c>
      <c r="I802" s="47"/>
      <c r="J802" s="12" t="s">
        <v>6191</v>
      </c>
      <c r="K802" s="13" t="s">
        <v>7573</v>
      </c>
      <c r="L802" s="99" t="str">
        <f t="shared" si="49"/>
        <v>W322D.2</v>
      </c>
      <c r="M802" s="13" t="s">
        <v>17</v>
      </c>
      <c r="N802" s="13"/>
      <c r="O802" s="13"/>
      <c r="P802" s="47"/>
      <c r="Q802" s="45" t="s">
        <v>3672</v>
      </c>
      <c r="R802" s="45" t="s">
        <v>5596</v>
      </c>
      <c r="S802" s="48"/>
      <c r="T802" s="49" t="str">
        <f t="shared" si="52"/>
        <v>[W321A.6]</v>
      </c>
      <c r="U802" s="12" t="str">
        <f t="shared" si="53"/>
        <v xml:space="preserve"> 도어프레임 서보조립 건#2 X축(SD233) Stop 명령이 On된 상태에서 기동을 시도했습니다.</v>
      </c>
      <c r="V802" s="49" t="str">
        <f t="shared" si="54"/>
        <v>[W321A.6] 도어프레임 서보조립 건#2 X축(SD233) Stop 명령이 On된 상태에서 기동을 시도했습니다.</v>
      </c>
    </row>
    <row r="803" spans="1:22" s="49" customFormat="1" ht="14.15" customHeight="1">
      <c r="A803" s="43" t="s">
        <v>6673</v>
      </c>
      <c r="B803" s="44" t="s">
        <v>6635</v>
      </c>
      <c r="C803" s="54"/>
      <c r="D803" s="10" t="s">
        <v>29</v>
      </c>
      <c r="E803" s="11"/>
      <c r="F803" s="11" t="s">
        <v>18</v>
      </c>
      <c r="G803" s="13"/>
      <c r="H803" s="45" t="s">
        <v>16</v>
      </c>
      <c r="I803" s="47"/>
      <c r="J803" s="12" t="s">
        <v>6192</v>
      </c>
      <c r="K803" s="13" t="s">
        <v>7574</v>
      </c>
      <c r="L803" s="99" t="str">
        <f t="shared" si="49"/>
        <v>W322D.3</v>
      </c>
      <c r="M803" s="13" t="s">
        <v>17</v>
      </c>
      <c r="N803" s="13"/>
      <c r="O803" s="13"/>
      <c r="P803" s="47"/>
      <c r="Q803" s="45" t="s">
        <v>3672</v>
      </c>
      <c r="R803" s="45" t="s">
        <v>5596</v>
      </c>
      <c r="S803" s="48"/>
      <c r="T803" s="49" t="str">
        <f t="shared" si="52"/>
        <v>[W321A.7]</v>
      </c>
      <c r="U803" s="12" t="str">
        <f t="shared" si="53"/>
        <v xml:space="preserve"> 도어프레임 서보조립 건#2 X축(SD233) 가동 전원이 Off 되었습니다.</v>
      </c>
      <c r="V803" s="49" t="str">
        <f t="shared" si="54"/>
        <v>[W321A.7] 도어프레임 서보조립 건#2 X축(SD233) 가동 전원이 Off 되었습니다.</v>
      </c>
    </row>
    <row r="804" spans="1:22" s="49" customFormat="1" ht="14.15" customHeight="1">
      <c r="A804" s="43" t="s">
        <v>6673</v>
      </c>
      <c r="B804" s="44" t="s">
        <v>6635</v>
      </c>
      <c r="C804" s="54"/>
      <c r="D804" s="10" t="s">
        <v>29</v>
      </c>
      <c r="E804" s="11"/>
      <c r="F804" s="11" t="s">
        <v>18</v>
      </c>
      <c r="G804" s="13"/>
      <c r="H804" s="45" t="s">
        <v>16</v>
      </c>
      <c r="I804" s="47"/>
      <c r="J804" s="12" t="s">
        <v>6193</v>
      </c>
      <c r="K804" s="13" t="s">
        <v>7575</v>
      </c>
      <c r="L804" s="99" t="str">
        <f t="shared" si="49"/>
        <v>W322D.4</v>
      </c>
      <c r="M804" s="13" t="s">
        <v>17</v>
      </c>
      <c r="N804" s="13"/>
      <c r="O804" s="13"/>
      <c r="P804" s="47"/>
      <c r="Q804" s="45" t="s">
        <v>3672</v>
      </c>
      <c r="R804" s="45" t="s">
        <v>5596</v>
      </c>
      <c r="S804" s="48"/>
      <c r="T804" s="49" t="str">
        <f t="shared" si="52"/>
        <v>[W321A.8]</v>
      </c>
      <c r="U804" s="12" t="str">
        <f t="shared" si="53"/>
        <v xml:space="preserve"> 도어프레임 서보조립 건#2 X축(SD233) 엔코더 이상이 검출되었습니다.</v>
      </c>
      <c r="V804" s="49" t="str">
        <f t="shared" si="54"/>
        <v>[W321A.8] 도어프레임 서보조립 건#2 X축(SD233) 엔코더 이상이 검출되었습니다.</v>
      </c>
    </row>
    <row r="805" spans="1:22" s="49" customFormat="1" ht="14.15" customHeight="1">
      <c r="A805" s="43" t="s">
        <v>6673</v>
      </c>
      <c r="B805" s="44" t="s">
        <v>6635</v>
      </c>
      <c r="C805" s="54"/>
      <c r="D805" s="10" t="s">
        <v>29</v>
      </c>
      <c r="E805" s="11"/>
      <c r="F805" s="11" t="s">
        <v>18</v>
      </c>
      <c r="G805" s="13"/>
      <c r="H805" s="45" t="s">
        <v>16</v>
      </c>
      <c r="I805" s="47"/>
      <c r="J805" s="12" t="s">
        <v>6194</v>
      </c>
      <c r="K805" s="13" t="s">
        <v>7576</v>
      </c>
      <c r="L805" s="99" t="str">
        <f t="shared" si="49"/>
        <v>W322D.5</v>
      </c>
      <c r="M805" s="13" t="s">
        <v>17</v>
      </c>
      <c r="N805" s="13"/>
      <c r="O805" s="13"/>
      <c r="P805" s="47"/>
      <c r="Q805" s="45" t="s">
        <v>3672</v>
      </c>
      <c r="R805" s="45" t="s">
        <v>5596</v>
      </c>
      <c r="S805" s="48"/>
      <c r="T805" s="49" t="str">
        <f t="shared" si="52"/>
        <v>[W321A.9]</v>
      </c>
      <c r="U805" s="12" t="str">
        <f t="shared" si="53"/>
        <v xml:space="preserve"> 도어프레임 서보조립 건#2 X축(SD233) 과전류가 검출되었습니다.</v>
      </c>
      <c r="V805" s="49" t="str">
        <f t="shared" si="54"/>
        <v>[W321A.9] 도어프레임 서보조립 건#2 X축(SD233) 과전류가 검출되었습니다.</v>
      </c>
    </row>
    <row r="806" spans="1:22" s="49" customFormat="1" ht="14.15" customHeight="1">
      <c r="A806" s="43" t="s">
        <v>6673</v>
      </c>
      <c r="B806" s="44" t="s">
        <v>6635</v>
      </c>
      <c r="C806" s="54"/>
      <c r="D806" s="10" t="s">
        <v>29</v>
      </c>
      <c r="E806" s="11"/>
      <c r="F806" s="11" t="s">
        <v>18</v>
      </c>
      <c r="G806" s="13"/>
      <c r="H806" s="45" t="s">
        <v>16</v>
      </c>
      <c r="I806" s="47"/>
      <c r="J806" s="12" t="s">
        <v>6195</v>
      </c>
      <c r="K806" s="13" t="s">
        <v>7577</v>
      </c>
      <c r="L806" s="99" t="str">
        <f t="shared" si="49"/>
        <v>W322D.6</v>
      </c>
      <c r="M806" s="13" t="s">
        <v>17</v>
      </c>
      <c r="N806" s="13"/>
      <c r="O806" s="13"/>
      <c r="P806" s="47"/>
      <c r="Q806" s="45" t="s">
        <v>3672</v>
      </c>
      <c r="R806" s="45" t="s">
        <v>5596</v>
      </c>
      <c r="S806" s="48"/>
      <c r="T806" s="49" t="str">
        <f t="shared" si="52"/>
        <v>[W321A.A]</v>
      </c>
      <c r="U806" s="12" t="str">
        <f t="shared" si="53"/>
        <v xml:space="preserve"> 도어프레임 서보조립 건#2 X축(SD233) 과부하가 검출되었습니다.</v>
      </c>
      <c r="V806" s="49" t="str">
        <f t="shared" si="54"/>
        <v>[W321A.A] 도어프레임 서보조립 건#2 X축(SD233) 과부하가 검출되었습니다.</v>
      </c>
    </row>
    <row r="807" spans="1:22" s="49" customFormat="1" ht="14.15" customHeight="1">
      <c r="A807" s="43" t="s">
        <v>6673</v>
      </c>
      <c r="B807" s="44" t="s">
        <v>6635</v>
      </c>
      <c r="C807" s="54"/>
      <c r="D807" s="10" t="s">
        <v>29</v>
      </c>
      <c r="E807" s="11"/>
      <c r="F807" s="11" t="s">
        <v>18</v>
      </c>
      <c r="G807" s="13"/>
      <c r="H807" s="45" t="s">
        <v>16</v>
      </c>
      <c r="I807" s="47"/>
      <c r="J807" s="12" t="s">
        <v>6196</v>
      </c>
      <c r="K807" s="13" t="s">
        <v>7578</v>
      </c>
      <c r="L807" s="99" t="str">
        <f t="shared" si="49"/>
        <v>W322D.7</v>
      </c>
      <c r="M807" s="13" t="s">
        <v>17</v>
      </c>
      <c r="N807" s="13"/>
      <c r="O807" s="13"/>
      <c r="P807" s="47"/>
      <c r="Q807" s="45" t="s">
        <v>3672</v>
      </c>
      <c r="R807" s="45" t="s">
        <v>5596</v>
      </c>
      <c r="S807" s="48"/>
      <c r="T807" s="49" t="str">
        <f t="shared" si="48"/>
        <v>[W322D.7]</v>
      </c>
      <c r="U807" s="12" t="str">
        <f t="shared" si="51"/>
        <v xml:space="preserve"> 터브이송#3-5 C1축(SD263)</v>
      </c>
      <c r="V807" s="49" t="str">
        <f t="shared" si="50"/>
        <v>[W322D.7] 터브이송#3-5 C1축(SD263)</v>
      </c>
    </row>
    <row r="808" spans="1:22" s="49" customFormat="1" ht="14.15" customHeight="1">
      <c r="A808" s="43" t="s">
        <v>6673</v>
      </c>
      <c r="B808" s="44" t="s">
        <v>6635</v>
      </c>
      <c r="C808" s="54"/>
      <c r="D808" s="10" t="s">
        <v>29</v>
      </c>
      <c r="E808" s="11"/>
      <c r="F808" s="11" t="s">
        <v>18</v>
      </c>
      <c r="G808" s="13"/>
      <c r="H808" s="45" t="s">
        <v>16</v>
      </c>
      <c r="I808" s="47"/>
      <c r="J808" s="12" t="s">
        <v>6197</v>
      </c>
      <c r="K808" s="13" t="s">
        <v>7579</v>
      </c>
      <c r="L808" s="99" t="str">
        <f t="shared" si="49"/>
        <v>W322D.8</v>
      </c>
      <c r="M808" s="13" t="s">
        <v>17</v>
      </c>
      <c r="N808" s="13"/>
      <c r="O808" s="13"/>
      <c r="P808" s="47"/>
      <c r="Q808" s="45" t="s">
        <v>3672</v>
      </c>
      <c r="R808" s="45" t="s">
        <v>5596</v>
      </c>
      <c r="S808" s="48"/>
      <c r="T808" s="49" t="str">
        <f t="shared" si="48"/>
        <v>[W322D.8]</v>
      </c>
      <c r="U808" s="12" t="str">
        <f t="shared" si="51"/>
        <v xml:space="preserve"> 터브이송#3-5 C1축(SD263) 에러가 발생했습니다.</v>
      </c>
      <c r="V808" s="49" t="str">
        <f t="shared" si="50"/>
        <v>[W322D.8] 터브이송#3-5 C1축(SD263) 에러가 발생했습니다.</v>
      </c>
    </row>
    <row r="809" spans="1:22" s="49" customFormat="1" ht="14.15" customHeight="1">
      <c r="A809" s="43" t="s">
        <v>6673</v>
      </c>
      <c r="B809" s="44" t="s">
        <v>6635</v>
      </c>
      <c r="C809" s="54"/>
      <c r="D809" s="10" t="s">
        <v>29</v>
      </c>
      <c r="E809" s="11"/>
      <c r="F809" s="11" t="s">
        <v>18</v>
      </c>
      <c r="G809" s="13"/>
      <c r="H809" s="45" t="s">
        <v>16</v>
      </c>
      <c r="I809" s="47"/>
      <c r="J809" s="12" t="s">
        <v>6198</v>
      </c>
      <c r="K809" s="13" t="s">
        <v>7580</v>
      </c>
      <c r="L809" s="99" t="str">
        <f t="shared" si="49"/>
        <v>W322D.9</v>
      </c>
      <c r="M809" s="13" t="s">
        <v>17</v>
      </c>
      <c r="N809" s="13"/>
      <c r="O809" s="13"/>
      <c r="P809" s="47"/>
      <c r="Q809" s="45" t="s">
        <v>3672</v>
      </c>
      <c r="R809" s="45" t="s">
        <v>5596</v>
      </c>
      <c r="S809" s="48"/>
      <c r="T809" s="49" t="str">
        <f t="shared" si="48"/>
        <v>[W322D.9]</v>
      </c>
      <c r="U809" s="12" t="str">
        <f t="shared" si="51"/>
        <v xml:space="preserve"> 터브이송#3-5 C2축(SD264) 운전중에 Ready가 Off 되었습니다.</v>
      </c>
      <c r="V809" s="49" t="str">
        <f t="shared" si="50"/>
        <v>[W322D.9] 터브이송#3-5 C2축(SD264) 운전중에 Ready가 Off 되었습니다.</v>
      </c>
    </row>
    <row r="810" spans="1:22" s="49" customFormat="1" ht="14.15" customHeight="1">
      <c r="A810" s="43" t="s">
        <v>6673</v>
      </c>
      <c r="B810" s="44" t="s">
        <v>6635</v>
      </c>
      <c r="C810" s="54"/>
      <c r="D810" s="10" t="s">
        <v>29</v>
      </c>
      <c r="E810" s="11"/>
      <c r="F810" s="11" t="s">
        <v>18</v>
      </c>
      <c r="G810" s="13"/>
      <c r="H810" s="45" t="s">
        <v>16</v>
      </c>
      <c r="I810" s="47"/>
      <c r="J810" s="12" t="s">
        <v>6199</v>
      </c>
      <c r="K810" s="13" t="s">
        <v>7581</v>
      </c>
      <c r="L810" s="99" t="str">
        <f t="shared" si="49"/>
        <v>W322D.A</v>
      </c>
      <c r="M810" s="13" t="s">
        <v>17</v>
      </c>
      <c r="N810" s="13"/>
      <c r="O810" s="13"/>
      <c r="P810" s="47"/>
      <c r="Q810" s="45" t="s">
        <v>3672</v>
      </c>
      <c r="R810" s="45" t="s">
        <v>5596</v>
      </c>
      <c r="S810" s="48"/>
      <c r="T810" s="49" t="str">
        <f t="shared" si="48"/>
        <v>[W322D.A]</v>
      </c>
      <c r="U810" s="12" t="str">
        <f t="shared" si="51"/>
        <v xml:space="preserve"> 터브이송#3-5 C2축(SD264) FLS가 감지되었습니다.</v>
      </c>
      <c r="V810" s="49" t="str">
        <f t="shared" si="50"/>
        <v>[W322D.A] 터브이송#3-5 C2축(SD264) FLS가 감지되었습니다.</v>
      </c>
    </row>
    <row r="811" spans="1:22" s="49" customFormat="1" ht="14.15" customHeight="1">
      <c r="A811" s="43" t="s">
        <v>6673</v>
      </c>
      <c r="B811" s="44" t="s">
        <v>6635</v>
      </c>
      <c r="C811" s="54"/>
      <c r="D811" s="10" t="s">
        <v>29</v>
      </c>
      <c r="E811" s="11"/>
      <c r="F811" s="11" t="s">
        <v>18</v>
      </c>
      <c r="G811" s="13"/>
      <c r="H811" s="45" t="s">
        <v>16</v>
      </c>
      <c r="I811" s="47"/>
      <c r="J811" s="12" t="s">
        <v>6200</v>
      </c>
      <c r="K811" s="13" t="s">
        <v>7582</v>
      </c>
      <c r="L811" s="99" t="str">
        <f t="shared" si="49"/>
        <v>W322D.B</v>
      </c>
      <c r="M811" s="13" t="s">
        <v>17</v>
      </c>
      <c r="N811" s="13"/>
      <c r="O811" s="13"/>
      <c r="P811" s="47"/>
      <c r="Q811" s="45" t="s">
        <v>3672</v>
      </c>
      <c r="R811" s="45" t="s">
        <v>5596</v>
      </c>
      <c r="S811" s="48"/>
      <c r="T811" s="49" t="str">
        <f t="shared" si="48"/>
        <v>[W322D.B]</v>
      </c>
      <c r="U811" s="12" t="str">
        <f t="shared" si="51"/>
        <v xml:space="preserve"> 터브이송#3-5 C2축(SD264) RLS가 감지되었습니다.</v>
      </c>
      <c r="V811" s="49" t="str">
        <f t="shared" si="50"/>
        <v>[W322D.B] 터브이송#3-5 C2축(SD264) RLS가 감지되었습니다.</v>
      </c>
    </row>
    <row r="812" spans="1:22" s="49" customFormat="1" ht="14.15" customHeight="1">
      <c r="A812" s="43" t="s">
        <v>6673</v>
      </c>
      <c r="B812" s="44" t="s">
        <v>6635</v>
      </c>
      <c r="C812" s="54"/>
      <c r="D812" s="10" t="s">
        <v>29</v>
      </c>
      <c r="E812" s="11"/>
      <c r="F812" s="11" t="s">
        <v>18</v>
      </c>
      <c r="G812" s="13"/>
      <c r="H812" s="45" t="s">
        <v>16</v>
      </c>
      <c r="I812" s="47"/>
      <c r="J812" s="12" t="s">
        <v>6201</v>
      </c>
      <c r="K812" s="13" t="s">
        <v>7583</v>
      </c>
      <c r="L812" s="99" t="str">
        <f t="shared" si="49"/>
        <v>W322D.C</v>
      </c>
      <c r="M812" s="13" t="s">
        <v>17</v>
      </c>
      <c r="N812" s="13"/>
      <c r="O812" s="13"/>
      <c r="P812" s="47"/>
      <c r="Q812" s="45" t="s">
        <v>3672</v>
      </c>
      <c r="R812" s="45" t="s">
        <v>5596</v>
      </c>
      <c r="S812" s="48"/>
      <c r="T812" s="49" t="str">
        <f t="shared" si="48"/>
        <v>[W322D.C]</v>
      </c>
      <c r="U812" s="12" t="str">
        <f t="shared" si="51"/>
        <v xml:space="preserve"> 터브이송#3-5 C2축(SD264) Stop 명령이 On된 상태에서 기동을 시도했습니다.</v>
      </c>
      <c r="V812" s="49" t="str">
        <f t="shared" si="50"/>
        <v>[W322D.C] 터브이송#3-5 C2축(SD264) Stop 명령이 On된 상태에서 기동을 시도했습니다.</v>
      </c>
    </row>
    <row r="813" spans="1:22" s="49" customFormat="1" ht="14.15" customHeight="1">
      <c r="A813" s="43" t="s">
        <v>6673</v>
      </c>
      <c r="B813" s="44" t="s">
        <v>6635</v>
      </c>
      <c r="C813" s="54"/>
      <c r="D813" s="10" t="s">
        <v>29</v>
      </c>
      <c r="E813" s="11"/>
      <c r="F813" s="11" t="s">
        <v>18</v>
      </c>
      <c r="G813" s="13"/>
      <c r="H813" s="45" t="s">
        <v>16</v>
      </c>
      <c r="I813" s="47"/>
      <c r="J813" s="12" t="s">
        <v>6202</v>
      </c>
      <c r="K813" s="13" t="s">
        <v>7584</v>
      </c>
      <c r="L813" s="99" t="str">
        <f t="shared" si="49"/>
        <v>W322D.D</v>
      </c>
      <c r="M813" s="13" t="s">
        <v>17</v>
      </c>
      <c r="N813" s="13"/>
      <c r="O813" s="13"/>
      <c r="P813" s="47"/>
      <c r="Q813" s="45" t="s">
        <v>3672</v>
      </c>
      <c r="R813" s="45" t="s">
        <v>5596</v>
      </c>
      <c r="S813" s="48"/>
      <c r="T813" s="49" t="str">
        <f t="shared" si="48"/>
        <v>[W322D.D]</v>
      </c>
      <c r="U813" s="12" t="str">
        <f t="shared" si="51"/>
        <v xml:space="preserve"> 터브이송#3-5 C2축(SD264) 가동 전원이 Off 되었습니다.</v>
      </c>
      <c r="V813" s="49" t="str">
        <f t="shared" si="50"/>
        <v>[W322D.D] 터브이송#3-5 C2축(SD264) 가동 전원이 Off 되었습니다.</v>
      </c>
    </row>
    <row r="814" spans="1:22" s="49" customFormat="1" ht="14.15" customHeight="1">
      <c r="A814" s="43" t="s">
        <v>6673</v>
      </c>
      <c r="B814" s="44" t="s">
        <v>6635</v>
      </c>
      <c r="C814" s="54"/>
      <c r="D814" s="10" t="s">
        <v>29</v>
      </c>
      <c r="E814" s="11"/>
      <c r="F814" s="11" t="s">
        <v>18</v>
      </c>
      <c r="G814" s="13"/>
      <c r="H814" s="45" t="s">
        <v>16</v>
      </c>
      <c r="I814" s="47"/>
      <c r="J814" s="12" t="s">
        <v>6203</v>
      </c>
      <c r="K814" s="13" t="s">
        <v>7585</v>
      </c>
      <c r="L814" s="99" t="str">
        <f t="shared" si="49"/>
        <v>W322D.E</v>
      </c>
      <c r="M814" s="13" t="s">
        <v>17</v>
      </c>
      <c r="N814" s="13"/>
      <c r="O814" s="13"/>
      <c r="P814" s="47"/>
      <c r="Q814" s="45" t="s">
        <v>3672</v>
      </c>
      <c r="R814" s="45" t="s">
        <v>5596</v>
      </c>
      <c r="S814" s="48"/>
      <c r="T814" s="49" t="str">
        <f t="shared" si="48"/>
        <v>[W322D.E]</v>
      </c>
      <c r="U814" s="12" t="str">
        <f t="shared" si="51"/>
        <v xml:space="preserve"> 터브이송#3-5 C2축(SD264) 엔코더 이상이 검출되었습니다.</v>
      </c>
      <c r="V814" s="49" t="str">
        <f t="shared" si="50"/>
        <v>[W322D.E] 터브이송#3-5 C2축(SD264) 엔코더 이상이 검출되었습니다.</v>
      </c>
    </row>
    <row r="815" spans="1:22" s="49" customFormat="1" ht="14.15" customHeight="1">
      <c r="A815" s="43" t="s">
        <v>6673</v>
      </c>
      <c r="B815" s="44" t="s">
        <v>6635</v>
      </c>
      <c r="C815" s="54"/>
      <c r="D815" s="10" t="s">
        <v>29</v>
      </c>
      <c r="E815" s="11"/>
      <c r="F815" s="11" t="s">
        <v>18</v>
      </c>
      <c r="G815" s="13"/>
      <c r="H815" s="45" t="s">
        <v>16</v>
      </c>
      <c r="I815" s="47"/>
      <c r="J815" s="12" t="s">
        <v>6204</v>
      </c>
      <c r="K815" s="13" t="s">
        <v>7586</v>
      </c>
      <c r="L815" s="99" t="str">
        <f t="shared" si="49"/>
        <v>W322D.F</v>
      </c>
      <c r="M815" s="13" t="s">
        <v>17</v>
      </c>
      <c r="N815" s="13"/>
      <c r="O815" s="13"/>
      <c r="P815" s="47"/>
      <c r="Q815" s="45" t="s">
        <v>3672</v>
      </c>
      <c r="R815" s="45" t="s">
        <v>5596</v>
      </c>
      <c r="S815" s="48"/>
      <c r="T815" s="49" t="str">
        <f t="shared" si="48"/>
        <v>[W322D.F]</v>
      </c>
      <c r="U815" s="12" t="str">
        <f t="shared" si="51"/>
        <v xml:space="preserve"> 터브이송#3-5 C2축(SD264) 과전류가 검출되었습니다.</v>
      </c>
      <c r="V815" s="49" t="str">
        <f t="shared" si="50"/>
        <v>[W322D.F] 터브이송#3-5 C2축(SD264) 과전류가 검출되었습니다.</v>
      </c>
    </row>
    <row r="816" spans="1:22" s="49" customFormat="1" ht="14.15" customHeight="1">
      <c r="A816" s="43" t="s">
        <v>6673</v>
      </c>
      <c r="B816" s="44" t="s">
        <v>6635</v>
      </c>
      <c r="C816" s="54"/>
      <c r="D816" s="10" t="s">
        <v>29</v>
      </c>
      <c r="E816" s="11"/>
      <c r="F816" s="11" t="s">
        <v>18</v>
      </c>
      <c r="G816" s="13"/>
      <c r="H816" s="45" t="s">
        <v>16</v>
      </c>
      <c r="I816" s="47"/>
      <c r="J816" s="12" t="s">
        <v>6205</v>
      </c>
      <c r="K816" s="13" t="s">
        <v>7587</v>
      </c>
      <c r="L816" s="99" t="str">
        <f t="shared" si="49"/>
        <v>W322E.0</v>
      </c>
      <c r="M816" s="13" t="s">
        <v>17</v>
      </c>
      <c r="N816" s="13"/>
      <c r="O816" s="13"/>
      <c r="P816" s="47"/>
      <c r="Q816" s="45" t="s">
        <v>3672</v>
      </c>
      <c r="R816" s="45" t="s">
        <v>5596</v>
      </c>
      <c r="S816" s="48"/>
      <c r="T816" s="49" t="str">
        <f t="shared" si="48"/>
        <v>[W322E.0]</v>
      </c>
      <c r="U816" s="12" t="str">
        <f t="shared" si="51"/>
        <v xml:space="preserve"> 터브이송#3-5 C2축(SD264) 과부하가 검출되었습니다.</v>
      </c>
      <c r="V816" s="49" t="str">
        <f t="shared" si="50"/>
        <v>[W322E.0] 터브이송#3-5 C2축(SD264) 과부하가 검출되었습니다.</v>
      </c>
    </row>
    <row r="817" spans="1:22" s="49" customFormat="1" ht="14.15" customHeight="1">
      <c r="A817" s="43" t="s">
        <v>6673</v>
      </c>
      <c r="B817" s="44" t="s">
        <v>6635</v>
      </c>
      <c r="C817" s="54"/>
      <c r="D817" s="10" t="s">
        <v>29</v>
      </c>
      <c r="E817" s="11"/>
      <c r="F817" s="11" t="s">
        <v>18</v>
      </c>
      <c r="G817" s="13"/>
      <c r="H817" s="45" t="s">
        <v>16</v>
      </c>
      <c r="I817" s="47"/>
      <c r="J817" s="12" t="s">
        <v>6206</v>
      </c>
      <c r="K817" s="13" t="s">
        <v>7588</v>
      </c>
      <c r="L817" s="99" t="str">
        <f t="shared" si="49"/>
        <v>W322E.1</v>
      </c>
      <c r="M817" s="13" t="s">
        <v>17</v>
      </c>
      <c r="N817" s="13"/>
      <c r="O817" s="13"/>
      <c r="P817" s="47"/>
      <c r="Q817" s="45" t="s">
        <v>3672</v>
      </c>
      <c r="R817" s="45" t="s">
        <v>5596</v>
      </c>
      <c r="S817" s="48"/>
      <c r="T817" s="49" t="str">
        <f t="shared" si="48"/>
        <v>[W322E.1]</v>
      </c>
      <c r="U817" s="12" t="str">
        <f t="shared" si="51"/>
        <v xml:space="preserve"> 터브이송#3-5 C2축(SD264)</v>
      </c>
      <c r="V817" s="49" t="str">
        <f t="shared" si="50"/>
        <v>[W322E.1] 터브이송#3-5 C2축(SD264)</v>
      </c>
    </row>
    <row r="818" spans="1:22" s="49" customFormat="1" ht="14.15" customHeight="1">
      <c r="A818" s="43" t="s">
        <v>6673</v>
      </c>
      <c r="B818" s="44" t="s">
        <v>6635</v>
      </c>
      <c r="C818" s="54"/>
      <c r="D818" s="10" t="s">
        <v>29</v>
      </c>
      <c r="E818" s="11"/>
      <c r="F818" s="11" t="s">
        <v>18</v>
      </c>
      <c r="G818" s="13"/>
      <c r="H818" s="45" t="s">
        <v>16</v>
      </c>
      <c r="I818" s="47"/>
      <c r="J818" s="12" t="s">
        <v>6207</v>
      </c>
      <c r="K818" s="13" t="s">
        <v>7589</v>
      </c>
      <c r="L818" s="99" t="str">
        <f t="shared" si="49"/>
        <v>W322E.2</v>
      </c>
      <c r="M818" s="13" t="s">
        <v>17</v>
      </c>
      <c r="N818" s="13"/>
      <c r="O818" s="13"/>
      <c r="P818" s="47"/>
      <c r="Q818" s="45" t="s">
        <v>3672</v>
      </c>
      <c r="R818" s="45" t="s">
        <v>5596</v>
      </c>
      <c r="S818" s="48"/>
      <c r="T818" s="49" t="str">
        <f t="shared" si="48"/>
        <v>[W322E.2]</v>
      </c>
      <c r="U818" s="12" t="str">
        <f t="shared" si="51"/>
        <v xml:space="preserve"> 터브이송#3-5 C2축(SD264) 에러가 발생했습니다.</v>
      </c>
      <c r="V818" s="49" t="str">
        <f t="shared" si="50"/>
        <v>[W322E.2] 터브이송#3-5 C2축(SD264) 에러가 발생했습니다.</v>
      </c>
    </row>
    <row r="819" spans="1:22" s="49" customFormat="1" ht="14.15" customHeight="1">
      <c r="A819" s="43" t="s">
        <v>6676</v>
      </c>
      <c r="B819" s="44" t="s">
        <v>6635</v>
      </c>
      <c r="C819" s="54"/>
      <c r="D819" s="10" t="s">
        <v>29</v>
      </c>
      <c r="E819" s="11"/>
      <c r="F819" s="11" t="s">
        <v>18</v>
      </c>
      <c r="G819" s="13"/>
      <c r="H819" s="45" t="s">
        <v>16</v>
      </c>
      <c r="I819" s="47"/>
      <c r="J819" s="12" t="s">
        <v>6208</v>
      </c>
      <c r="K819" s="13" t="s">
        <v>7590</v>
      </c>
      <c r="L819" s="99" t="str">
        <f t="shared" si="49"/>
        <v>W322E.3</v>
      </c>
      <c r="M819" s="13" t="s">
        <v>17</v>
      </c>
      <c r="N819" s="13"/>
      <c r="O819" s="13"/>
      <c r="P819" s="47"/>
      <c r="Q819" s="45" t="s">
        <v>3672</v>
      </c>
      <c r="R819" s="45" t="s">
        <v>5596</v>
      </c>
      <c r="S819" s="48"/>
      <c r="T819" s="49" t="str">
        <f t="shared" si="48"/>
        <v>[W322E.3]</v>
      </c>
      <c r="U819" s="12" t="str">
        <f t="shared" si="51"/>
        <v xml:space="preserve"> 언로더 로봇 C1축(SD265) 운전중에 Ready가 Off 되었습니다.</v>
      </c>
      <c r="V819" s="49" t="str">
        <f t="shared" si="50"/>
        <v>[W322E.3] 언로더 로봇 C1축(SD265) 운전중에 Ready가 Off 되었습니다.</v>
      </c>
    </row>
    <row r="820" spans="1:22" s="49" customFormat="1" ht="14.15" customHeight="1">
      <c r="A820" s="43" t="s">
        <v>6676</v>
      </c>
      <c r="B820" s="44" t="s">
        <v>6635</v>
      </c>
      <c r="C820" s="54"/>
      <c r="D820" s="10" t="s">
        <v>29</v>
      </c>
      <c r="E820" s="11"/>
      <c r="F820" s="11" t="s">
        <v>18</v>
      </c>
      <c r="G820" s="13"/>
      <c r="H820" s="45" t="s">
        <v>16</v>
      </c>
      <c r="I820" s="47"/>
      <c r="J820" s="12" t="s">
        <v>6209</v>
      </c>
      <c r="K820" s="13" t="s">
        <v>7591</v>
      </c>
      <c r="L820" s="99" t="str">
        <f t="shared" si="49"/>
        <v>W322E.4</v>
      </c>
      <c r="M820" s="13" t="s">
        <v>17</v>
      </c>
      <c r="N820" s="13"/>
      <c r="O820" s="13"/>
      <c r="P820" s="47"/>
      <c r="Q820" s="45" t="s">
        <v>3672</v>
      </c>
      <c r="R820" s="45" t="s">
        <v>5596</v>
      </c>
      <c r="S820" s="48"/>
      <c r="T820" s="49" t="str">
        <f t="shared" si="48"/>
        <v>[W322E.4]</v>
      </c>
      <c r="U820" s="12" t="str">
        <f t="shared" si="51"/>
        <v xml:space="preserve"> 언로더 로봇 C1축(SD265) FLS가 감지되었습니다.</v>
      </c>
      <c r="V820" s="49" t="str">
        <f t="shared" si="50"/>
        <v>[W322E.4] 언로더 로봇 C1축(SD265) FLS가 감지되었습니다.</v>
      </c>
    </row>
    <row r="821" spans="1:22" s="49" customFormat="1" ht="14.15" customHeight="1">
      <c r="A821" s="43" t="s">
        <v>6676</v>
      </c>
      <c r="B821" s="44" t="s">
        <v>6635</v>
      </c>
      <c r="C821" s="54"/>
      <c r="D821" s="10" t="s">
        <v>29</v>
      </c>
      <c r="E821" s="11"/>
      <c r="F821" s="11" t="s">
        <v>18</v>
      </c>
      <c r="G821" s="13"/>
      <c r="H821" s="45" t="s">
        <v>16</v>
      </c>
      <c r="I821" s="47"/>
      <c r="J821" s="12" t="s">
        <v>6210</v>
      </c>
      <c r="K821" s="13" t="s">
        <v>7592</v>
      </c>
      <c r="L821" s="99" t="str">
        <f t="shared" si="49"/>
        <v>W322E.5</v>
      </c>
      <c r="M821" s="13" t="s">
        <v>17</v>
      </c>
      <c r="N821" s="13"/>
      <c r="O821" s="13"/>
      <c r="P821" s="47"/>
      <c r="Q821" s="45" t="s">
        <v>3672</v>
      </c>
      <c r="R821" s="45" t="s">
        <v>5596</v>
      </c>
      <c r="S821" s="48"/>
      <c r="T821" s="49" t="str">
        <f t="shared" si="48"/>
        <v>[W322E.5]</v>
      </c>
      <c r="U821" s="12" t="str">
        <f t="shared" si="51"/>
        <v xml:space="preserve"> 언로더 로봇 C1축(SD265) RLS가 감지되었습니다.</v>
      </c>
      <c r="V821" s="49" t="str">
        <f t="shared" si="50"/>
        <v>[W322E.5] 언로더 로봇 C1축(SD265) RLS가 감지되었습니다.</v>
      </c>
    </row>
    <row r="822" spans="1:22" s="49" customFormat="1" ht="14.15" customHeight="1">
      <c r="A822" s="43" t="s">
        <v>6676</v>
      </c>
      <c r="B822" s="44" t="s">
        <v>6635</v>
      </c>
      <c r="C822" s="54"/>
      <c r="D822" s="10" t="s">
        <v>29</v>
      </c>
      <c r="E822" s="11"/>
      <c r="F822" s="11" t="s">
        <v>18</v>
      </c>
      <c r="G822" s="13"/>
      <c r="H822" s="45" t="s">
        <v>16</v>
      </c>
      <c r="I822" s="47"/>
      <c r="J822" s="12" t="s">
        <v>6211</v>
      </c>
      <c r="K822" s="13" t="s">
        <v>7593</v>
      </c>
      <c r="L822" s="99" t="str">
        <f t="shared" si="49"/>
        <v>W322E.6</v>
      </c>
      <c r="M822" s="13" t="s">
        <v>17</v>
      </c>
      <c r="N822" s="13"/>
      <c r="O822" s="13"/>
      <c r="P822" s="47"/>
      <c r="Q822" s="45" t="s">
        <v>3672</v>
      </c>
      <c r="R822" s="45" t="s">
        <v>5596</v>
      </c>
      <c r="S822" s="48"/>
      <c r="T822" s="49" t="str">
        <f t="shared" si="48"/>
        <v>[W322E.6]</v>
      </c>
      <c r="U822" s="12" t="str">
        <f t="shared" si="51"/>
        <v xml:space="preserve"> 언로더 로봇 C1축(SD265) Stop 명령이 On된 상태에서 기동을 시도했습니다.</v>
      </c>
      <c r="V822" s="49" t="str">
        <f t="shared" si="50"/>
        <v>[W322E.6] 언로더 로봇 C1축(SD265) Stop 명령이 On된 상태에서 기동을 시도했습니다.</v>
      </c>
    </row>
    <row r="823" spans="1:22" s="49" customFormat="1" ht="14.15" customHeight="1">
      <c r="A823" s="43" t="s">
        <v>6676</v>
      </c>
      <c r="B823" s="44" t="s">
        <v>6635</v>
      </c>
      <c r="C823" s="54"/>
      <c r="D823" s="10" t="s">
        <v>29</v>
      </c>
      <c r="E823" s="11"/>
      <c r="F823" s="11" t="s">
        <v>18</v>
      </c>
      <c r="G823" s="13"/>
      <c r="H823" s="45" t="s">
        <v>16</v>
      </c>
      <c r="I823" s="47"/>
      <c r="J823" s="12" t="s">
        <v>6212</v>
      </c>
      <c r="K823" s="13" t="s">
        <v>7594</v>
      </c>
      <c r="L823" s="99" t="str">
        <f t="shared" si="49"/>
        <v>W322E.7</v>
      </c>
      <c r="M823" s="13" t="s">
        <v>17</v>
      </c>
      <c r="N823" s="13"/>
      <c r="O823" s="13"/>
      <c r="P823" s="47"/>
      <c r="Q823" s="45" t="s">
        <v>3672</v>
      </c>
      <c r="R823" s="45" t="s">
        <v>5596</v>
      </c>
      <c r="S823" s="48"/>
      <c r="T823" s="49" t="str">
        <f t="shared" si="48"/>
        <v>[W322E.7]</v>
      </c>
      <c r="U823" s="12" t="str">
        <f t="shared" si="51"/>
        <v xml:space="preserve"> 언로더 로봇 C1축(SD265) 가동 전원이 Off 되었습니다.</v>
      </c>
      <c r="V823" s="49" t="str">
        <f t="shared" si="50"/>
        <v>[W322E.7] 언로더 로봇 C1축(SD265) 가동 전원이 Off 되었습니다.</v>
      </c>
    </row>
    <row r="824" spans="1:22" s="49" customFormat="1" ht="14.15" customHeight="1">
      <c r="A824" s="43" t="s">
        <v>6676</v>
      </c>
      <c r="B824" s="44" t="s">
        <v>6635</v>
      </c>
      <c r="C824" s="54"/>
      <c r="D824" s="10" t="s">
        <v>29</v>
      </c>
      <c r="E824" s="11"/>
      <c r="F824" s="11" t="s">
        <v>18</v>
      </c>
      <c r="G824" s="13"/>
      <c r="H824" s="45" t="s">
        <v>16</v>
      </c>
      <c r="I824" s="47"/>
      <c r="J824" s="12" t="s">
        <v>6213</v>
      </c>
      <c r="K824" s="13" t="s">
        <v>7595</v>
      </c>
      <c r="L824" s="99" t="str">
        <f t="shared" si="49"/>
        <v>W322E.8</v>
      </c>
      <c r="M824" s="13" t="s">
        <v>17</v>
      </c>
      <c r="N824" s="13"/>
      <c r="O824" s="13"/>
      <c r="P824" s="47"/>
      <c r="Q824" s="45" t="s">
        <v>3672</v>
      </c>
      <c r="R824" s="45" t="s">
        <v>5596</v>
      </c>
      <c r="S824" s="48"/>
      <c r="T824" s="49" t="str">
        <f t="shared" si="48"/>
        <v>[W322E.8]</v>
      </c>
      <c r="U824" s="12" t="str">
        <f t="shared" si="51"/>
        <v xml:space="preserve"> 언로더 로봇 C1축(SD265) 엔코더 이상이 검출되었습니다.</v>
      </c>
      <c r="V824" s="49" t="str">
        <f t="shared" si="50"/>
        <v>[W322E.8] 언로더 로봇 C1축(SD265) 엔코더 이상이 검출되었습니다.</v>
      </c>
    </row>
    <row r="825" spans="1:22" s="49" customFormat="1" ht="14.15" customHeight="1">
      <c r="A825" s="43" t="s">
        <v>6676</v>
      </c>
      <c r="B825" s="44" t="s">
        <v>6635</v>
      </c>
      <c r="C825" s="54"/>
      <c r="D825" s="10" t="s">
        <v>29</v>
      </c>
      <c r="E825" s="11"/>
      <c r="F825" s="11" t="s">
        <v>18</v>
      </c>
      <c r="G825" s="13"/>
      <c r="H825" s="45" t="s">
        <v>16</v>
      </c>
      <c r="I825" s="47"/>
      <c r="J825" s="12" t="s">
        <v>6214</v>
      </c>
      <c r="K825" s="13" t="s">
        <v>7596</v>
      </c>
      <c r="L825" s="99" t="str">
        <f t="shared" si="49"/>
        <v>W322E.9</v>
      </c>
      <c r="M825" s="13" t="s">
        <v>17</v>
      </c>
      <c r="N825" s="13"/>
      <c r="O825" s="13"/>
      <c r="P825" s="47"/>
      <c r="Q825" s="45" t="s">
        <v>3672</v>
      </c>
      <c r="R825" s="45" t="s">
        <v>5596</v>
      </c>
      <c r="S825" s="48"/>
      <c r="T825" s="49" t="str">
        <f t="shared" si="48"/>
        <v>[W322E.9]</v>
      </c>
      <c r="U825" s="12" t="str">
        <f t="shared" si="51"/>
        <v xml:space="preserve"> 언로더 로봇 C1축(SD265) 과전류가 검출되었습니다.</v>
      </c>
      <c r="V825" s="49" t="str">
        <f t="shared" si="50"/>
        <v>[W322E.9] 언로더 로봇 C1축(SD265) 과전류가 검출되었습니다.</v>
      </c>
    </row>
    <row r="826" spans="1:22" s="49" customFormat="1" ht="14.15" customHeight="1">
      <c r="A826" s="43" t="s">
        <v>6676</v>
      </c>
      <c r="B826" s="44" t="s">
        <v>6635</v>
      </c>
      <c r="C826" s="54"/>
      <c r="D826" s="10" t="s">
        <v>29</v>
      </c>
      <c r="E826" s="11"/>
      <c r="F826" s="11" t="s">
        <v>18</v>
      </c>
      <c r="G826" s="13"/>
      <c r="H826" s="45" t="s">
        <v>16</v>
      </c>
      <c r="I826" s="47"/>
      <c r="J826" s="12" t="s">
        <v>6215</v>
      </c>
      <c r="K826" s="13" t="s">
        <v>7597</v>
      </c>
      <c r="L826" s="99" t="str">
        <f t="shared" si="49"/>
        <v>W322E.A</v>
      </c>
      <c r="M826" s="13" t="s">
        <v>17</v>
      </c>
      <c r="N826" s="13"/>
      <c r="O826" s="13"/>
      <c r="P826" s="47"/>
      <c r="Q826" s="45" t="s">
        <v>3672</v>
      </c>
      <c r="R826" s="45" t="s">
        <v>5596</v>
      </c>
      <c r="S826" s="48"/>
      <c r="T826" s="49" t="str">
        <f t="shared" si="48"/>
        <v>[W322E.A]</v>
      </c>
      <c r="U826" s="12" t="str">
        <f t="shared" si="51"/>
        <v xml:space="preserve"> 언로더 로봇 C1축(SD265) 과부하가 검출되었습니다.</v>
      </c>
      <c r="V826" s="49" t="str">
        <f t="shared" si="50"/>
        <v>[W322E.A] 언로더 로봇 C1축(SD265) 과부하가 검출되었습니다.</v>
      </c>
    </row>
    <row r="827" spans="1:22" s="49" customFormat="1" ht="14.15" customHeight="1">
      <c r="A827" s="43" t="s">
        <v>6676</v>
      </c>
      <c r="B827" s="44" t="s">
        <v>6635</v>
      </c>
      <c r="C827" s="54"/>
      <c r="D827" s="10" t="s">
        <v>29</v>
      </c>
      <c r="E827" s="11"/>
      <c r="F827" s="11" t="s">
        <v>18</v>
      </c>
      <c r="G827" s="13"/>
      <c r="H827" s="45" t="s">
        <v>16</v>
      </c>
      <c r="I827" s="47"/>
      <c r="J827" s="12" t="s">
        <v>6216</v>
      </c>
      <c r="K827" s="13" t="s">
        <v>7598</v>
      </c>
      <c r="L827" s="99" t="str">
        <f t="shared" si="49"/>
        <v>W322E.B</v>
      </c>
      <c r="M827" s="13" t="s">
        <v>17</v>
      </c>
      <c r="N827" s="13"/>
      <c r="O827" s="13"/>
      <c r="P827" s="47"/>
      <c r="Q827" s="45" t="s">
        <v>3672</v>
      </c>
      <c r="R827" s="45" t="s">
        <v>5596</v>
      </c>
      <c r="S827" s="48"/>
      <c r="T827" s="49" t="str">
        <f t="shared" si="48"/>
        <v>[W322E.B]</v>
      </c>
      <c r="U827" s="12" t="str">
        <f t="shared" si="51"/>
        <v xml:space="preserve"> 언로더 로봇 C1축(SD265)</v>
      </c>
      <c r="V827" s="49" t="str">
        <f t="shared" si="50"/>
        <v>[W322E.B] 언로더 로봇 C1축(SD265)</v>
      </c>
    </row>
    <row r="828" spans="1:22" s="49" customFormat="1" ht="14.15" customHeight="1">
      <c r="A828" s="43" t="s">
        <v>6676</v>
      </c>
      <c r="B828" s="44" t="s">
        <v>6635</v>
      </c>
      <c r="C828" s="54"/>
      <c r="D828" s="10" t="s">
        <v>29</v>
      </c>
      <c r="E828" s="11"/>
      <c r="F828" s="11" t="s">
        <v>18</v>
      </c>
      <c r="G828" s="13"/>
      <c r="H828" s="45" t="s">
        <v>16</v>
      </c>
      <c r="I828" s="47"/>
      <c r="J828" s="12" t="s">
        <v>6217</v>
      </c>
      <c r="K828" s="13" t="s">
        <v>7599</v>
      </c>
      <c r="L828" s="99" t="str">
        <f t="shared" si="49"/>
        <v>W322E.C</v>
      </c>
      <c r="M828" s="13" t="s">
        <v>17</v>
      </c>
      <c r="N828" s="13"/>
      <c r="O828" s="13"/>
      <c r="P828" s="47"/>
      <c r="Q828" s="45" t="s">
        <v>3672</v>
      </c>
      <c r="R828" s="45" t="s">
        <v>5596</v>
      </c>
      <c r="S828" s="48"/>
      <c r="T828" s="49" t="str">
        <f t="shared" si="48"/>
        <v>[W322E.C]</v>
      </c>
      <c r="U828" s="12" t="str">
        <f t="shared" si="51"/>
        <v xml:space="preserve"> 언로더 로봇 C1축(SD265) 에러가 발생했습니다.</v>
      </c>
      <c r="V828" s="49" t="str">
        <f t="shared" si="50"/>
        <v>[W322E.C] 언로더 로봇 C1축(SD265) 에러가 발생했습니다.</v>
      </c>
    </row>
    <row r="829" spans="1:22" s="49" customFormat="1" ht="14.15" customHeight="1">
      <c r="A829" s="43" t="s">
        <v>6676</v>
      </c>
      <c r="B829" s="44" t="s">
        <v>6635</v>
      </c>
      <c r="C829" s="54"/>
      <c r="D829" s="10" t="s">
        <v>29</v>
      </c>
      <c r="E829" s="11"/>
      <c r="F829" s="11" t="s">
        <v>18</v>
      </c>
      <c r="G829" s="13"/>
      <c r="H829" s="45" t="s">
        <v>16</v>
      </c>
      <c r="I829" s="47"/>
      <c r="J829" s="12" t="s">
        <v>6218</v>
      </c>
      <c r="K829" s="13" t="s">
        <v>7600</v>
      </c>
      <c r="L829" s="99" t="str">
        <f t="shared" si="49"/>
        <v>W322E.D</v>
      </c>
      <c r="M829" s="13" t="s">
        <v>17</v>
      </c>
      <c r="N829" s="13"/>
      <c r="O829" s="13"/>
      <c r="P829" s="47"/>
      <c r="Q829" s="45" t="s">
        <v>3672</v>
      </c>
      <c r="R829" s="45" t="s">
        <v>5596</v>
      </c>
      <c r="S829" s="48"/>
      <c r="T829" s="49" t="str">
        <f t="shared" si="48"/>
        <v>[W322E.D]</v>
      </c>
      <c r="U829" s="12" t="str">
        <f t="shared" si="51"/>
        <v xml:space="preserve"> 언로더 로봇 C2축(SD266) 운전중에 Ready가 Off 되었습니다.</v>
      </c>
      <c r="V829" s="49" t="str">
        <f t="shared" si="50"/>
        <v>[W322E.D] 언로더 로봇 C2축(SD266) 운전중에 Ready가 Off 되었습니다.</v>
      </c>
    </row>
    <row r="830" spans="1:22" s="49" customFormat="1" ht="14.15" customHeight="1">
      <c r="A830" s="43" t="s">
        <v>6676</v>
      </c>
      <c r="B830" s="44" t="s">
        <v>6635</v>
      </c>
      <c r="C830" s="54"/>
      <c r="D830" s="10" t="s">
        <v>29</v>
      </c>
      <c r="E830" s="11"/>
      <c r="F830" s="11" t="s">
        <v>18</v>
      </c>
      <c r="G830" s="13"/>
      <c r="H830" s="45" t="s">
        <v>16</v>
      </c>
      <c r="I830" s="47"/>
      <c r="J830" s="12" t="s">
        <v>6219</v>
      </c>
      <c r="K830" s="13" t="s">
        <v>7601</v>
      </c>
      <c r="L830" s="99" t="str">
        <f t="shared" si="49"/>
        <v>W322E.E</v>
      </c>
      <c r="M830" s="13" t="s">
        <v>17</v>
      </c>
      <c r="N830" s="13"/>
      <c r="O830" s="13"/>
      <c r="P830" s="47"/>
      <c r="Q830" s="45" t="s">
        <v>3672</v>
      </c>
      <c r="R830" s="45" t="s">
        <v>5596</v>
      </c>
      <c r="S830" s="48"/>
      <c r="T830" s="49" t="str">
        <f t="shared" si="48"/>
        <v>[W322E.E]</v>
      </c>
      <c r="U830" s="12" t="str">
        <f t="shared" si="51"/>
        <v xml:space="preserve"> 언로더 로봇 C2축(SD266) FLS가 감지되었습니다.</v>
      </c>
      <c r="V830" s="49" t="str">
        <f t="shared" si="50"/>
        <v>[W322E.E] 언로더 로봇 C2축(SD266) FLS가 감지되었습니다.</v>
      </c>
    </row>
    <row r="831" spans="1:22" s="49" customFormat="1" ht="14.15" customHeight="1">
      <c r="A831" s="43" t="s">
        <v>6676</v>
      </c>
      <c r="B831" s="44" t="s">
        <v>6635</v>
      </c>
      <c r="C831" s="54"/>
      <c r="D831" s="10" t="s">
        <v>29</v>
      </c>
      <c r="E831" s="11"/>
      <c r="F831" s="11" t="s">
        <v>18</v>
      </c>
      <c r="G831" s="13"/>
      <c r="H831" s="45" t="s">
        <v>16</v>
      </c>
      <c r="I831" s="47"/>
      <c r="J831" s="12" t="s">
        <v>6220</v>
      </c>
      <c r="K831" s="13" t="s">
        <v>7602</v>
      </c>
      <c r="L831" s="99" t="str">
        <f t="shared" si="49"/>
        <v>W322E.F</v>
      </c>
      <c r="M831" s="13" t="s">
        <v>17</v>
      </c>
      <c r="N831" s="13"/>
      <c r="O831" s="13"/>
      <c r="P831" s="47"/>
      <c r="Q831" s="45" t="s">
        <v>3672</v>
      </c>
      <c r="R831" s="45" t="s">
        <v>5596</v>
      </c>
      <c r="S831" s="48"/>
      <c r="T831" s="49" t="str">
        <f t="shared" si="48"/>
        <v>[W322E.F]</v>
      </c>
      <c r="U831" s="12" t="str">
        <f t="shared" si="51"/>
        <v xml:space="preserve"> 언로더 로봇 C2축(SD266) RLS가 감지되었습니다.</v>
      </c>
      <c r="V831" s="49" t="str">
        <f t="shared" si="50"/>
        <v>[W322E.F] 언로더 로봇 C2축(SD266) RLS가 감지되었습니다.</v>
      </c>
    </row>
    <row r="832" spans="1:22" s="49" customFormat="1" ht="14.15" customHeight="1">
      <c r="A832" s="43" t="s">
        <v>6676</v>
      </c>
      <c r="B832" s="44" t="s">
        <v>6635</v>
      </c>
      <c r="C832" s="54"/>
      <c r="D832" s="10" t="s">
        <v>29</v>
      </c>
      <c r="E832" s="11"/>
      <c r="F832" s="11" t="s">
        <v>18</v>
      </c>
      <c r="G832" s="13"/>
      <c r="H832" s="45" t="s">
        <v>16</v>
      </c>
      <c r="I832" s="47"/>
      <c r="J832" s="12" t="s">
        <v>6221</v>
      </c>
      <c r="K832" s="13" t="s">
        <v>7603</v>
      </c>
      <c r="L832" s="99" t="str">
        <f t="shared" si="49"/>
        <v>W322F.0</v>
      </c>
      <c r="M832" s="13" t="s">
        <v>17</v>
      </c>
      <c r="N832" s="13"/>
      <c r="O832" s="13"/>
      <c r="P832" s="47"/>
      <c r="Q832" s="45" t="s">
        <v>3672</v>
      </c>
      <c r="R832" s="45" t="s">
        <v>5596</v>
      </c>
      <c r="S832" s="48"/>
      <c r="T832" s="49" t="str">
        <f t="shared" si="48"/>
        <v>[W322F.0]</v>
      </c>
      <c r="U832" s="12" t="str">
        <f t="shared" si="51"/>
        <v xml:space="preserve"> 언로더 로봇 C2축(SD266) Stop 명령이 On된 상태에서 기동을 시도했습니다.</v>
      </c>
      <c r="V832" s="49" t="str">
        <f t="shared" si="50"/>
        <v>[W322F.0] 언로더 로봇 C2축(SD266) Stop 명령이 On된 상태에서 기동을 시도했습니다.</v>
      </c>
    </row>
    <row r="833" spans="1:22" s="49" customFormat="1" ht="14.15" customHeight="1">
      <c r="A833" s="43" t="s">
        <v>6676</v>
      </c>
      <c r="B833" s="44" t="s">
        <v>6635</v>
      </c>
      <c r="C833" s="54"/>
      <c r="D833" s="10" t="s">
        <v>29</v>
      </c>
      <c r="E833" s="11"/>
      <c r="F833" s="11" t="s">
        <v>18</v>
      </c>
      <c r="G833" s="13"/>
      <c r="H833" s="45" t="s">
        <v>16</v>
      </c>
      <c r="I833" s="47"/>
      <c r="J833" s="12" t="s">
        <v>6222</v>
      </c>
      <c r="K833" s="13" t="s">
        <v>7604</v>
      </c>
      <c r="L833" s="99" t="str">
        <f t="shared" si="49"/>
        <v>W322F.1</v>
      </c>
      <c r="M833" s="13" t="s">
        <v>17</v>
      </c>
      <c r="N833" s="13"/>
      <c r="O833" s="13"/>
      <c r="P833" s="47"/>
      <c r="Q833" s="45" t="s">
        <v>3672</v>
      </c>
      <c r="R833" s="45" t="s">
        <v>5596</v>
      </c>
      <c r="S833" s="48"/>
      <c r="T833" s="49" t="str">
        <f t="shared" si="48"/>
        <v>[W322F.1]</v>
      </c>
      <c r="U833" s="12" t="str">
        <f t="shared" si="51"/>
        <v xml:space="preserve"> 언로더 로봇 C2축(SD266) 가동 전원이 Off 되었습니다.</v>
      </c>
      <c r="V833" s="49" t="str">
        <f t="shared" si="50"/>
        <v>[W322F.1] 언로더 로봇 C2축(SD266) 가동 전원이 Off 되었습니다.</v>
      </c>
    </row>
    <row r="834" spans="1:22" s="49" customFormat="1" ht="14.15" customHeight="1">
      <c r="A834" s="43" t="s">
        <v>6676</v>
      </c>
      <c r="B834" s="44" t="s">
        <v>6635</v>
      </c>
      <c r="C834" s="54"/>
      <c r="D834" s="10" t="s">
        <v>29</v>
      </c>
      <c r="E834" s="11"/>
      <c r="F834" s="11" t="s">
        <v>18</v>
      </c>
      <c r="G834" s="13"/>
      <c r="H834" s="45" t="s">
        <v>16</v>
      </c>
      <c r="I834" s="47"/>
      <c r="J834" s="12" t="s">
        <v>6223</v>
      </c>
      <c r="K834" s="13" t="s">
        <v>7605</v>
      </c>
      <c r="L834" s="99" t="str">
        <f t="shared" si="49"/>
        <v>W322F.2</v>
      </c>
      <c r="M834" s="13" t="s">
        <v>17</v>
      </c>
      <c r="N834" s="13"/>
      <c r="O834" s="13"/>
      <c r="P834" s="47"/>
      <c r="Q834" s="45" t="s">
        <v>3672</v>
      </c>
      <c r="R834" s="45" t="s">
        <v>5596</v>
      </c>
      <c r="S834" s="48"/>
      <c r="T834" s="49" t="str">
        <f t="shared" si="48"/>
        <v>[W322F.2]</v>
      </c>
      <c r="U834" s="12" t="str">
        <f t="shared" si="51"/>
        <v xml:space="preserve"> 언로더 로봇 C2축(SD266) 엔코더 이상이 검출되었습니다.</v>
      </c>
      <c r="V834" s="49" t="str">
        <f t="shared" si="50"/>
        <v>[W322F.2] 언로더 로봇 C2축(SD266) 엔코더 이상이 검출되었습니다.</v>
      </c>
    </row>
    <row r="835" spans="1:22" s="49" customFormat="1" ht="14.15" customHeight="1">
      <c r="A835" s="43" t="s">
        <v>6676</v>
      </c>
      <c r="B835" s="44" t="s">
        <v>6635</v>
      </c>
      <c r="C835" s="54"/>
      <c r="D835" s="10" t="s">
        <v>29</v>
      </c>
      <c r="E835" s="11"/>
      <c r="F835" s="11" t="s">
        <v>18</v>
      </c>
      <c r="G835" s="13"/>
      <c r="H835" s="45" t="s">
        <v>16</v>
      </c>
      <c r="I835" s="47"/>
      <c r="J835" s="12" t="s">
        <v>6224</v>
      </c>
      <c r="K835" s="13" t="s">
        <v>7606</v>
      </c>
      <c r="L835" s="99" t="str">
        <f t="shared" si="49"/>
        <v>W322F.3</v>
      </c>
      <c r="M835" s="13" t="s">
        <v>17</v>
      </c>
      <c r="N835" s="13"/>
      <c r="O835" s="13"/>
      <c r="P835" s="47"/>
      <c r="Q835" s="45" t="s">
        <v>3672</v>
      </c>
      <c r="R835" s="45" t="s">
        <v>5596</v>
      </c>
      <c r="S835" s="48"/>
      <c r="T835" s="49" t="str">
        <f t="shared" si="48"/>
        <v>[W322F.3]</v>
      </c>
      <c r="U835" s="12" t="str">
        <f t="shared" si="51"/>
        <v xml:space="preserve"> 언로더 로봇 C2축(SD266) 과전류가 검출되었습니다.</v>
      </c>
      <c r="V835" s="49" t="str">
        <f t="shared" si="50"/>
        <v>[W322F.3] 언로더 로봇 C2축(SD266) 과전류가 검출되었습니다.</v>
      </c>
    </row>
    <row r="836" spans="1:22" s="49" customFormat="1" ht="14.15" customHeight="1">
      <c r="A836" s="43" t="s">
        <v>6676</v>
      </c>
      <c r="B836" s="44" t="s">
        <v>6635</v>
      </c>
      <c r="C836" s="54"/>
      <c r="D836" s="10" t="s">
        <v>29</v>
      </c>
      <c r="E836" s="11"/>
      <c r="F836" s="11" t="s">
        <v>18</v>
      </c>
      <c r="G836" s="13"/>
      <c r="H836" s="45" t="s">
        <v>16</v>
      </c>
      <c r="I836" s="47"/>
      <c r="J836" s="12" t="s">
        <v>6225</v>
      </c>
      <c r="K836" s="13" t="s">
        <v>7607</v>
      </c>
      <c r="L836" s="99" t="str">
        <f t="shared" si="49"/>
        <v>W322F.4</v>
      </c>
      <c r="M836" s="13" t="s">
        <v>17</v>
      </c>
      <c r="N836" s="13"/>
      <c r="O836" s="13"/>
      <c r="P836" s="47"/>
      <c r="Q836" s="45" t="s">
        <v>3672</v>
      </c>
      <c r="R836" s="45" t="s">
        <v>5596</v>
      </c>
      <c r="S836" s="48"/>
      <c r="T836" s="49" t="str">
        <f t="shared" si="48"/>
        <v>[W322F.4]</v>
      </c>
      <c r="U836" s="12" t="str">
        <f t="shared" si="51"/>
        <v xml:space="preserve"> 언로더 로봇 C2축(SD266) 과부하가 검출되었습니다.</v>
      </c>
      <c r="V836" s="49" t="str">
        <f t="shared" si="50"/>
        <v>[W322F.4] 언로더 로봇 C2축(SD266) 과부하가 검출되었습니다.</v>
      </c>
    </row>
    <row r="837" spans="1:22" s="49" customFormat="1" ht="14.15" customHeight="1">
      <c r="A837" s="43" t="s">
        <v>6676</v>
      </c>
      <c r="B837" s="44" t="s">
        <v>6635</v>
      </c>
      <c r="C837" s="54"/>
      <c r="D837" s="10" t="s">
        <v>29</v>
      </c>
      <c r="E837" s="11"/>
      <c r="F837" s="11" t="s">
        <v>18</v>
      </c>
      <c r="G837" s="13"/>
      <c r="H837" s="45" t="s">
        <v>16</v>
      </c>
      <c r="I837" s="47"/>
      <c r="J837" s="12" t="s">
        <v>6226</v>
      </c>
      <c r="K837" s="13" t="s">
        <v>7608</v>
      </c>
      <c r="L837" s="99" t="str">
        <f t="shared" si="49"/>
        <v>W322F.5</v>
      </c>
      <c r="M837" s="13" t="s">
        <v>17</v>
      </c>
      <c r="N837" s="13"/>
      <c r="O837" s="13"/>
      <c r="P837" s="47"/>
      <c r="Q837" s="45" t="s">
        <v>3672</v>
      </c>
      <c r="R837" s="45" t="s">
        <v>5596</v>
      </c>
      <c r="S837" s="48"/>
      <c r="T837" s="49" t="str">
        <f t="shared" si="48"/>
        <v>[W322F.5]</v>
      </c>
      <c r="U837" s="12" t="str">
        <f t="shared" si="51"/>
        <v xml:space="preserve"> 언로더 로봇 C2축(SD266)</v>
      </c>
      <c r="V837" s="49" t="str">
        <f t="shared" si="50"/>
        <v>[W322F.5] 언로더 로봇 C2축(SD266)</v>
      </c>
    </row>
    <row r="838" spans="1:22" s="49" customFormat="1" ht="14.15" customHeight="1">
      <c r="A838" s="43" t="s">
        <v>6676</v>
      </c>
      <c r="B838" s="44" t="s">
        <v>6635</v>
      </c>
      <c r="C838" s="54"/>
      <c r="D838" s="10" t="s">
        <v>29</v>
      </c>
      <c r="E838" s="11"/>
      <c r="F838" s="11" t="s">
        <v>18</v>
      </c>
      <c r="G838" s="13"/>
      <c r="H838" s="45" t="s">
        <v>16</v>
      </c>
      <c r="I838" s="47"/>
      <c r="J838" s="12" t="s">
        <v>6227</v>
      </c>
      <c r="K838" s="13" t="s">
        <v>7609</v>
      </c>
      <c r="L838" s="99" t="str">
        <f t="shared" si="49"/>
        <v>W322F.6</v>
      </c>
      <c r="M838" s="13" t="s">
        <v>17</v>
      </c>
      <c r="N838" s="13"/>
      <c r="O838" s="13"/>
      <c r="P838" s="47"/>
      <c r="Q838" s="45" t="s">
        <v>3672</v>
      </c>
      <c r="R838" s="45" t="s">
        <v>5596</v>
      </c>
      <c r="S838" s="48"/>
      <c r="T838" s="49" t="str">
        <f t="shared" si="48"/>
        <v>[W322F.6]</v>
      </c>
      <c r="U838" s="12" t="str">
        <f t="shared" si="51"/>
        <v xml:space="preserve"> 언로더 로봇 C2축(SD266) 에러가 발생했습니다.</v>
      </c>
      <c r="V838" s="49" t="str">
        <f t="shared" si="50"/>
        <v>[W322F.6] 언로더 로봇 C2축(SD266) 에러가 발생했습니다.</v>
      </c>
    </row>
    <row r="839" spans="1:22" s="49" customFormat="1" ht="14.15" customHeight="1">
      <c r="A839" s="43"/>
      <c r="B839" s="44" t="s">
        <v>6635</v>
      </c>
      <c r="C839" s="54"/>
      <c r="D839" s="10" t="s">
        <v>29</v>
      </c>
      <c r="E839" s="11"/>
      <c r="F839" s="11" t="s">
        <v>18</v>
      </c>
      <c r="G839" s="13"/>
      <c r="H839" s="45" t="s">
        <v>16</v>
      </c>
      <c r="I839" s="47"/>
      <c r="J839" s="12" t="s">
        <v>3260</v>
      </c>
      <c r="K839" s="13" t="s">
        <v>7610</v>
      </c>
      <c r="L839" s="99" t="str">
        <f t="shared" si="49"/>
        <v>W322F.7</v>
      </c>
      <c r="M839" s="13"/>
      <c r="N839" s="13"/>
      <c r="O839" s="13"/>
      <c r="P839" s="47"/>
      <c r="Q839" s="45"/>
      <c r="R839" s="45"/>
      <c r="S839" s="48"/>
      <c r="T839" s="49" t="str">
        <f t="shared" si="48"/>
        <v>[W322F.7]</v>
      </c>
      <c r="U839" s="12" t="str">
        <f t="shared" si="51"/>
        <v/>
      </c>
      <c r="V839" s="49" t="str">
        <f t="shared" si="50"/>
        <v>[W322F.7]</v>
      </c>
    </row>
    <row r="840" spans="1:22" s="49" customFormat="1" ht="14.15" customHeight="1">
      <c r="A840" s="43"/>
      <c r="B840" s="44" t="s">
        <v>6635</v>
      </c>
      <c r="C840" s="54"/>
      <c r="D840" s="10" t="s">
        <v>29</v>
      </c>
      <c r="E840" s="11"/>
      <c r="F840" s="11" t="s">
        <v>18</v>
      </c>
      <c r="G840" s="13"/>
      <c r="H840" s="45" t="s">
        <v>16</v>
      </c>
      <c r="I840" s="47"/>
      <c r="J840" s="12" t="s">
        <v>3261</v>
      </c>
      <c r="K840" s="13" t="s">
        <v>7611</v>
      </c>
      <c r="L840" s="99" t="str">
        <f t="shared" si="49"/>
        <v>W322F.8</v>
      </c>
      <c r="M840" s="13"/>
      <c r="N840" s="13"/>
      <c r="O840" s="13"/>
      <c r="P840" s="47"/>
      <c r="Q840" s="45"/>
      <c r="R840" s="45"/>
      <c r="S840" s="48"/>
      <c r="T840" s="49" t="str">
        <f t="shared" si="48"/>
        <v>[W322F.8]</v>
      </c>
      <c r="U840" s="12" t="str">
        <f t="shared" si="51"/>
        <v/>
      </c>
      <c r="V840" s="49" t="str">
        <f t="shared" si="50"/>
        <v>[W322F.8]</v>
      </c>
    </row>
    <row r="841" spans="1:22" s="49" customFormat="1" ht="14.15" customHeight="1">
      <c r="A841" s="43"/>
      <c r="B841" s="44" t="s">
        <v>6635</v>
      </c>
      <c r="C841" s="54"/>
      <c r="D841" s="10" t="s">
        <v>29</v>
      </c>
      <c r="E841" s="11"/>
      <c r="F841" s="11" t="s">
        <v>18</v>
      </c>
      <c r="G841" s="13"/>
      <c r="H841" s="45" t="s">
        <v>16</v>
      </c>
      <c r="I841" s="47"/>
      <c r="J841" s="12" t="s">
        <v>3262</v>
      </c>
      <c r="K841" s="13" t="s">
        <v>7612</v>
      </c>
      <c r="L841" s="99" t="str">
        <f t="shared" si="49"/>
        <v>W322F.9</v>
      </c>
      <c r="M841" s="13"/>
      <c r="N841" s="13"/>
      <c r="O841" s="13"/>
      <c r="P841" s="47"/>
      <c r="Q841" s="45"/>
      <c r="R841" s="45"/>
      <c r="S841" s="48"/>
      <c r="T841" s="49" t="str">
        <f t="shared" si="48"/>
        <v>[W322F.9]</v>
      </c>
      <c r="U841" s="12" t="str">
        <f t="shared" si="51"/>
        <v/>
      </c>
      <c r="V841" s="49" t="str">
        <f t="shared" si="50"/>
        <v>[W322F.9]</v>
      </c>
    </row>
    <row r="842" spans="1:22" s="49" customFormat="1" ht="14.15" customHeight="1">
      <c r="A842" s="43"/>
      <c r="B842" s="44" t="s">
        <v>6635</v>
      </c>
      <c r="C842" s="54"/>
      <c r="D842" s="10" t="s">
        <v>29</v>
      </c>
      <c r="E842" s="11"/>
      <c r="F842" s="11" t="s">
        <v>18</v>
      </c>
      <c r="G842" s="13"/>
      <c r="H842" s="45" t="s">
        <v>16</v>
      </c>
      <c r="I842" s="47"/>
      <c r="J842" s="12" t="s">
        <v>3263</v>
      </c>
      <c r="K842" s="13" t="s">
        <v>7613</v>
      </c>
      <c r="L842" s="99" t="str">
        <f t="shared" si="49"/>
        <v>W322F.A</v>
      </c>
      <c r="M842" s="13"/>
      <c r="N842" s="13"/>
      <c r="O842" s="13"/>
      <c r="P842" s="47"/>
      <c r="Q842" s="45"/>
      <c r="R842" s="45"/>
      <c r="S842" s="48"/>
      <c r="T842" s="49" t="str">
        <f t="shared" si="48"/>
        <v>[W322F.A]</v>
      </c>
      <c r="U842" s="12" t="str">
        <f t="shared" si="51"/>
        <v/>
      </c>
      <c r="V842" s="49" t="str">
        <f t="shared" si="50"/>
        <v>[W322F.A]</v>
      </c>
    </row>
    <row r="843" spans="1:22" s="49" customFormat="1" ht="14.15" customHeight="1">
      <c r="A843" s="43"/>
      <c r="B843" s="44" t="s">
        <v>6635</v>
      </c>
      <c r="C843" s="54"/>
      <c r="D843" s="10" t="s">
        <v>29</v>
      </c>
      <c r="E843" s="11"/>
      <c r="F843" s="11" t="s">
        <v>18</v>
      </c>
      <c r="G843" s="13"/>
      <c r="H843" s="45" t="s">
        <v>16</v>
      </c>
      <c r="I843" s="47"/>
      <c r="J843" s="12" t="s">
        <v>3264</v>
      </c>
      <c r="K843" s="13" t="s">
        <v>7614</v>
      </c>
      <c r="L843" s="99" t="str">
        <f t="shared" si="49"/>
        <v>W322F.B</v>
      </c>
      <c r="M843" s="13"/>
      <c r="N843" s="13"/>
      <c r="O843" s="13"/>
      <c r="P843" s="47"/>
      <c r="Q843" s="45"/>
      <c r="R843" s="45"/>
      <c r="S843" s="48"/>
      <c r="T843" s="49" t="str">
        <f t="shared" si="48"/>
        <v>[W322F.B]</v>
      </c>
      <c r="U843" s="12" t="str">
        <f t="shared" si="51"/>
        <v/>
      </c>
      <c r="V843" s="49" t="str">
        <f t="shared" si="50"/>
        <v>[W322F.B]</v>
      </c>
    </row>
    <row r="844" spans="1:22" s="49" customFormat="1" ht="14.15" customHeight="1">
      <c r="A844" s="43"/>
      <c r="B844" s="44" t="s">
        <v>6635</v>
      </c>
      <c r="C844" s="54"/>
      <c r="D844" s="10" t="s">
        <v>29</v>
      </c>
      <c r="E844" s="11"/>
      <c r="F844" s="11" t="s">
        <v>18</v>
      </c>
      <c r="G844" s="13"/>
      <c r="H844" s="45" t="s">
        <v>16</v>
      </c>
      <c r="I844" s="47"/>
      <c r="J844" s="12" t="s">
        <v>3265</v>
      </c>
      <c r="K844" s="13" t="s">
        <v>7615</v>
      </c>
      <c r="L844" s="99" t="str">
        <f t="shared" si="49"/>
        <v>W322F.C</v>
      </c>
      <c r="M844" s="13"/>
      <c r="N844" s="13"/>
      <c r="O844" s="13"/>
      <c r="P844" s="47"/>
      <c r="Q844" s="45"/>
      <c r="R844" s="45"/>
      <c r="S844" s="48"/>
      <c r="T844" s="49" t="str">
        <f t="shared" si="48"/>
        <v>[W322F.C]</v>
      </c>
      <c r="U844" s="12" t="str">
        <f t="shared" si="51"/>
        <v/>
      </c>
      <c r="V844" s="49" t="str">
        <f t="shared" si="50"/>
        <v>[W322F.C]</v>
      </c>
    </row>
    <row r="845" spans="1:22" s="49" customFormat="1" ht="14.15" customHeight="1">
      <c r="A845" s="43"/>
      <c r="B845" s="44" t="s">
        <v>6635</v>
      </c>
      <c r="C845" s="54"/>
      <c r="D845" s="10" t="s">
        <v>29</v>
      </c>
      <c r="E845" s="11"/>
      <c r="F845" s="11" t="s">
        <v>18</v>
      </c>
      <c r="G845" s="13"/>
      <c r="H845" s="45" t="s">
        <v>16</v>
      </c>
      <c r="I845" s="47"/>
      <c r="J845" s="12" t="s">
        <v>3266</v>
      </c>
      <c r="K845" s="13" t="s">
        <v>7616</v>
      </c>
      <c r="L845" s="99" t="str">
        <f t="shared" si="49"/>
        <v>W322F.D</v>
      </c>
      <c r="M845" s="13"/>
      <c r="N845" s="13"/>
      <c r="O845" s="13"/>
      <c r="P845" s="47"/>
      <c r="Q845" s="45"/>
      <c r="R845" s="45"/>
      <c r="S845" s="48"/>
      <c r="T845" s="49" t="str">
        <f t="shared" si="48"/>
        <v>[W322F.D]</v>
      </c>
      <c r="U845" s="12" t="str">
        <f t="shared" si="51"/>
        <v/>
      </c>
      <c r="V845" s="49" t="str">
        <f t="shared" si="50"/>
        <v>[W322F.D]</v>
      </c>
    </row>
    <row r="846" spans="1:22" s="49" customFormat="1" ht="14.15" customHeight="1">
      <c r="A846" s="44"/>
      <c r="B846" s="44" t="s">
        <v>6635</v>
      </c>
      <c r="C846" s="50"/>
      <c r="D846" s="10" t="s">
        <v>29</v>
      </c>
      <c r="E846" s="11"/>
      <c r="F846" s="11" t="s">
        <v>18</v>
      </c>
      <c r="G846" s="13"/>
      <c r="H846" s="45" t="s">
        <v>16</v>
      </c>
      <c r="I846" s="47"/>
      <c r="J846" s="12" t="s">
        <v>3267</v>
      </c>
      <c r="K846" s="13" t="s">
        <v>7617</v>
      </c>
      <c r="L846" s="99" t="str">
        <f t="shared" si="49"/>
        <v>W322F.E</v>
      </c>
      <c r="M846" s="13"/>
      <c r="N846" s="13"/>
      <c r="O846" s="13"/>
      <c r="P846" s="47"/>
      <c r="Q846" s="45"/>
      <c r="R846" s="45"/>
      <c r="S846" s="48"/>
      <c r="T846" s="49" t="str">
        <f t="shared" si="48"/>
        <v>[W322F.E]</v>
      </c>
      <c r="U846" s="12" t="str">
        <f t="shared" si="51"/>
        <v/>
      </c>
      <c r="V846" s="49" t="str">
        <f t="shared" si="50"/>
        <v>[W322F.E]</v>
      </c>
    </row>
    <row r="847" spans="1:22" s="49" customFormat="1" ht="14.15" customHeight="1">
      <c r="A847" s="44"/>
      <c r="B847" s="44" t="s">
        <v>6635</v>
      </c>
      <c r="C847" s="50"/>
      <c r="D847" s="10" t="s">
        <v>29</v>
      </c>
      <c r="E847" s="11"/>
      <c r="F847" s="11" t="s">
        <v>18</v>
      </c>
      <c r="G847" s="13"/>
      <c r="H847" s="45" t="s">
        <v>16</v>
      </c>
      <c r="I847" s="47"/>
      <c r="J847" s="12" t="s">
        <v>3268</v>
      </c>
      <c r="K847" s="13" t="s">
        <v>7618</v>
      </c>
      <c r="L847" s="99" t="str">
        <f t="shared" si="49"/>
        <v>W322F.F</v>
      </c>
      <c r="M847" s="13"/>
      <c r="N847" s="13"/>
      <c r="O847" s="13"/>
      <c r="P847" s="47"/>
      <c r="Q847" s="45"/>
      <c r="R847" s="45"/>
      <c r="S847" s="48"/>
      <c r="T847" s="49" t="str">
        <f t="shared" si="48"/>
        <v>[W322F.F]</v>
      </c>
      <c r="U847" s="12" t="str">
        <f t="shared" si="51"/>
        <v/>
      </c>
      <c r="V847" s="49" t="str">
        <f t="shared" si="50"/>
        <v>[W322F.F]</v>
      </c>
    </row>
    <row r="848" spans="1:22" s="49" customFormat="1" ht="14.15" customHeight="1">
      <c r="A848" s="44"/>
      <c r="B848" s="44" t="s">
        <v>6635</v>
      </c>
      <c r="C848" s="50"/>
      <c r="D848" s="10" t="s">
        <v>29</v>
      </c>
      <c r="E848" s="11"/>
      <c r="F848" s="11" t="s">
        <v>18</v>
      </c>
      <c r="G848" s="13"/>
      <c r="H848" s="45" t="s">
        <v>16</v>
      </c>
      <c r="I848" s="47"/>
      <c r="J848" s="12" t="s">
        <v>3269</v>
      </c>
      <c r="K848" s="13" t="s">
        <v>7619</v>
      </c>
      <c r="L848" s="99" t="str">
        <f t="shared" si="49"/>
        <v>W3230.0</v>
      </c>
      <c r="M848" s="13"/>
      <c r="N848" s="13"/>
      <c r="O848" s="13"/>
      <c r="P848" s="47"/>
      <c r="Q848" s="45"/>
      <c r="R848" s="45"/>
      <c r="S848" s="48"/>
      <c r="T848" s="49" t="str">
        <f t="shared" ref="T848:T911" si="55">"["&amp;L848&amp;"]"</f>
        <v>[W3230.0]</v>
      </c>
      <c r="U848" s="12" t="str">
        <f t="shared" si="51"/>
        <v/>
      </c>
      <c r="V848" s="49" t="str">
        <f t="shared" si="50"/>
        <v>[W3230.0]</v>
      </c>
    </row>
    <row r="849" spans="1:22" s="49" customFormat="1" ht="14.15" customHeight="1">
      <c r="A849" s="44"/>
      <c r="B849" s="44" t="s">
        <v>6635</v>
      </c>
      <c r="C849" s="50"/>
      <c r="D849" s="10" t="s">
        <v>29</v>
      </c>
      <c r="E849" s="11"/>
      <c r="F849" s="11" t="s">
        <v>18</v>
      </c>
      <c r="G849" s="13"/>
      <c r="H849" s="45" t="s">
        <v>16</v>
      </c>
      <c r="I849" s="47"/>
      <c r="J849" s="12" t="s">
        <v>3270</v>
      </c>
      <c r="K849" s="13" t="s">
        <v>7620</v>
      </c>
      <c r="L849" s="99" t="str">
        <f t="shared" ref="L849:L912" si="56">"W"&amp;DEC2HEX(12800 + INT((ROW()-80)/16)) &amp; "." &amp; IF(MOD(ROW()-80,16)&lt;10,MOD(ROW()-80,16),CHAR(MOD(ROW()-80,16)+55))</f>
        <v>W3230.1</v>
      </c>
      <c r="M849" s="13"/>
      <c r="N849" s="13"/>
      <c r="O849" s="13"/>
      <c r="P849" s="47"/>
      <c r="Q849" s="45"/>
      <c r="R849" s="45"/>
      <c r="S849" s="48"/>
      <c r="T849" s="49" t="str">
        <f t="shared" si="55"/>
        <v>[W3230.1]</v>
      </c>
      <c r="U849" s="12" t="str">
        <f t="shared" si="51"/>
        <v/>
      </c>
      <c r="V849" s="49" t="str">
        <f t="shared" ref="V849:V912" si="57">T849&amp;U849</f>
        <v>[W3230.1]</v>
      </c>
    </row>
    <row r="850" spans="1:22" s="49" customFormat="1" ht="14.15" customHeight="1">
      <c r="A850" s="44"/>
      <c r="B850" s="44" t="s">
        <v>6635</v>
      </c>
      <c r="C850" s="50"/>
      <c r="D850" s="10" t="s">
        <v>29</v>
      </c>
      <c r="E850" s="11"/>
      <c r="F850" s="11" t="s">
        <v>18</v>
      </c>
      <c r="G850" s="13"/>
      <c r="H850" s="45" t="s">
        <v>16</v>
      </c>
      <c r="I850" s="47"/>
      <c r="J850" s="12" t="s">
        <v>3271</v>
      </c>
      <c r="K850" s="13" t="s">
        <v>7621</v>
      </c>
      <c r="L850" s="99" t="str">
        <f t="shared" si="56"/>
        <v>W3230.2</v>
      </c>
      <c r="M850" s="13"/>
      <c r="N850" s="13"/>
      <c r="O850" s="13"/>
      <c r="P850" s="47"/>
      <c r="Q850" s="45"/>
      <c r="R850" s="45"/>
      <c r="S850" s="48"/>
      <c r="T850" s="49" t="str">
        <f t="shared" si="55"/>
        <v>[W3230.2]</v>
      </c>
      <c r="U850" s="12" t="str">
        <f t="shared" si="51"/>
        <v/>
      </c>
      <c r="V850" s="49" t="str">
        <f t="shared" si="57"/>
        <v>[W3230.2]</v>
      </c>
    </row>
    <row r="851" spans="1:22" s="49" customFormat="1" ht="14.15" customHeight="1">
      <c r="A851" s="44"/>
      <c r="B851" s="44" t="s">
        <v>6635</v>
      </c>
      <c r="C851" s="50"/>
      <c r="D851" s="10" t="s">
        <v>29</v>
      </c>
      <c r="E851" s="11"/>
      <c r="F851" s="11" t="s">
        <v>18</v>
      </c>
      <c r="G851" s="13"/>
      <c r="H851" s="45" t="s">
        <v>16</v>
      </c>
      <c r="I851" s="47"/>
      <c r="J851" s="12" t="s">
        <v>3272</v>
      </c>
      <c r="K851" s="13" t="s">
        <v>7622</v>
      </c>
      <c r="L851" s="99" t="str">
        <f t="shared" si="56"/>
        <v>W3230.3</v>
      </c>
      <c r="M851" s="13"/>
      <c r="N851" s="13"/>
      <c r="O851" s="13"/>
      <c r="P851" s="47"/>
      <c r="Q851" s="45"/>
      <c r="R851" s="45"/>
      <c r="S851" s="48"/>
      <c r="T851" s="49" t="str">
        <f t="shared" si="55"/>
        <v>[W3230.3]</v>
      </c>
      <c r="U851" s="12" t="str">
        <f t="shared" si="51"/>
        <v/>
      </c>
      <c r="V851" s="49" t="str">
        <f t="shared" si="57"/>
        <v>[W3230.3]</v>
      </c>
    </row>
    <row r="852" spans="1:22" s="49" customFormat="1" ht="14.15" customHeight="1">
      <c r="A852" s="44"/>
      <c r="B852" s="44" t="s">
        <v>6635</v>
      </c>
      <c r="C852" s="50"/>
      <c r="D852" s="10" t="s">
        <v>29</v>
      </c>
      <c r="E852" s="11"/>
      <c r="F852" s="11" t="s">
        <v>18</v>
      </c>
      <c r="G852" s="13"/>
      <c r="H852" s="45" t="s">
        <v>16</v>
      </c>
      <c r="I852" s="47"/>
      <c r="J852" s="12" t="s">
        <v>3273</v>
      </c>
      <c r="K852" s="13" t="s">
        <v>7623</v>
      </c>
      <c r="L852" s="99" t="str">
        <f t="shared" si="56"/>
        <v>W3230.4</v>
      </c>
      <c r="M852" s="13"/>
      <c r="N852" s="13"/>
      <c r="O852" s="13"/>
      <c r="P852" s="47"/>
      <c r="Q852" s="45"/>
      <c r="R852" s="45"/>
      <c r="S852" s="48"/>
      <c r="T852" s="49" t="str">
        <f t="shared" si="55"/>
        <v>[W3230.4]</v>
      </c>
      <c r="U852" s="12" t="str">
        <f t="shared" si="51"/>
        <v/>
      </c>
      <c r="V852" s="49" t="str">
        <f t="shared" si="57"/>
        <v>[W3230.4]</v>
      </c>
    </row>
    <row r="853" spans="1:22" s="49" customFormat="1" ht="14.15" customHeight="1">
      <c r="A853" s="44"/>
      <c r="B853" s="44" t="s">
        <v>6635</v>
      </c>
      <c r="C853" s="50"/>
      <c r="D853" s="10" t="s">
        <v>29</v>
      </c>
      <c r="E853" s="11"/>
      <c r="F853" s="11" t="s">
        <v>18</v>
      </c>
      <c r="G853" s="13"/>
      <c r="H853" s="45" t="s">
        <v>16</v>
      </c>
      <c r="I853" s="47"/>
      <c r="J853" s="12" t="s">
        <v>3274</v>
      </c>
      <c r="K853" s="13" t="s">
        <v>7624</v>
      </c>
      <c r="L853" s="99" t="str">
        <f t="shared" si="56"/>
        <v>W3230.5</v>
      </c>
      <c r="M853" s="13"/>
      <c r="N853" s="13"/>
      <c r="O853" s="13"/>
      <c r="P853" s="47"/>
      <c r="Q853" s="45"/>
      <c r="R853" s="45"/>
      <c r="S853" s="48"/>
      <c r="T853" s="49" t="str">
        <f t="shared" si="55"/>
        <v>[W3230.5]</v>
      </c>
      <c r="U853" s="12" t="str">
        <f t="shared" ref="U853:U916" si="58">RIGHT(J853,LEN(J853)-7)</f>
        <v/>
      </c>
      <c r="V853" s="49" t="str">
        <f t="shared" si="57"/>
        <v>[W3230.5]</v>
      </c>
    </row>
    <row r="854" spans="1:22" s="49" customFormat="1" ht="14.15" customHeight="1">
      <c r="A854" s="44"/>
      <c r="B854" s="44" t="s">
        <v>6635</v>
      </c>
      <c r="C854" s="50"/>
      <c r="D854" s="10" t="s">
        <v>29</v>
      </c>
      <c r="E854" s="11"/>
      <c r="F854" s="11" t="s">
        <v>18</v>
      </c>
      <c r="G854" s="13"/>
      <c r="H854" s="45" t="s">
        <v>16</v>
      </c>
      <c r="I854" s="47"/>
      <c r="J854" s="12" t="s">
        <v>3275</v>
      </c>
      <c r="K854" s="13" t="s">
        <v>7625</v>
      </c>
      <c r="L854" s="99" t="str">
        <f t="shared" si="56"/>
        <v>W3230.6</v>
      </c>
      <c r="M854" s="13"/>
      <c r="N854" s="13"/>
      <c r="O854" s="13"/>
      <c r="P854" s="47"/>
      <c r="Q854" s="45"/>
      <c r="R854" s="45"/>
      <c r="S854" s="48"/>
      <c r="T854" s="49" t="str">
        <f t="shared" si="55"/>
        <v>[W3230.6]</v>
      </c>
      <c r="U854" s="12" t="str">
        <f t="shared" si="58"/>
        <v/>
      </c>
      <c r="V854" s="49" t="str">
        <f t="shared" si="57"/>
        <v>[W3230.6]</v>
      </c>
    </row>
    <row r="855" spans="1:22" s="49" customFormat="1" ht="14.15" customHeight="1">
      <c r="A855" s="44"/>
      <c r="B855" s="44" t="s">
        <v>6635</v>
      </c>
      <c r="C855" s="50"/>
      <c r="D855" s="10" t="s">
        <v>29</v>
      </c>
      <c r="E855" s="11"/>
      <c r="F855" s="11" t="s">
        <v>18</v>
      </c>
      <c r="G855" s="13"/>
      <c r="H855" s="45" t="s">
        <v>16</v>
      </c>
      <c r="I855" s="47"/>
      <c r="J855" s="12" t="s">
        <v>3276</v>
      </c>
      <c r="K855" s="13" t="s">
        <v>7626</v>
      </c>
      <c r="L855" s="99" t="str">
        <f t="shared" si="56"/>
        <v>W3230.7</v>
      </c>
      <c r="M855" s="13"/>
      <c r="N855" s="13"/>
      <c r="O855" s="13"/>
      <c r="P855" s="47"/>
      <c r="Q855" s="45"/>
      <c r="R855" s="45"/>
      <c r="S855" s="48"/>
      <c r="T855" s="49" t="str">
        <f t="shared" si="55"/>
        <v>[W3230.7]</v>
      </c>
      <c r="U855" s="12" t="str">
        <f t="shared" si="58"/>
        <v/>
      </c>
      <c r="V855" s="49" t="str">
        <f t="shared" si="57"/>
        <v>[W3230.7]</v>
      </c>
    </row>
    <row r="856" spans="1:22" s="49" customFormat="1" ht="14.15" customHeight="1">
      <c r="A856" s="44"/>
      <c r="B856" s="44" t="s">
        <v>6635</v>
      </c>
      <c r="C856" s="50"/>
      <c r="D856" s="10" t="s">
        <v>29</v>
      </c>
      <c r="E856" s="11"/>
      <c r="F856" s="11" t="s">
        <v>18</v>
      </c>
      <c r="G856" s="13"/>
      <c r="H856" s="45" t="s">
        <v>16</v>
      </c>
      <c r="I856" s="47"/>
      <c r="J856" s="12" t="s">
        <v>3277</v>
      </c>
      <c r="K856" s="13" t="s">
        <v>7627</v>
      </c>
      <c r="L856" s="99" t="str">
        <f t="shared" si="56"/>
        <v>W3230.8</v>
      </c>
      <c r="M856" s="13"/>
      <c r="N856" s="13"/>
      <c r="O856" s="13"/>
      <c r="P856" s="47"/>
      <c r="Q856" s="45"/>
      <c r="R856" s="45"/>
      <c r="S856" s="48"/>
      <c r="T856" s="49" t="str">
        <f t="shared" si="55"/>
        <v>[W3230.8]</v>
      </c>
      <c r="U856" s="12" t="str">
        <f t="shared" si="58"/>
        <v/>
      </c>
      <c r="V856" s="49" t="str">
        <f t="shared" si="57"/>
        <v>[W3230.8]</v>
      </c>
    </row>
    <row r="857" spans="1:22" s="49" customFormat="1" ht="14.15" customHeight="1">
      <c r="A857" s="44"/>
      <c r="B857" s="44" t="s">
        <v>6635</v>
      </c>
      <c r="C857" s="50"/>
      <c r="D857" s="10" t="s">
        <v>29</v>
      </c>
      <c r="E857" s="11"/>
      <c r="F857" s="11" t="s">
        <v>18</v>
      </c>
      <c r="G857" s="13"/>
      <c r="H857" s="45" t="s">
        <v>16</v>
      </c>
      <c r="I857" s="47"/>
      <c r="J857" s="12" t="s">
        <v>3278</v>
      </c>
      <c r="K857" s="13" t="s">
        <v>7628</v>
      </c>
      <c r="L857" s="99" t="str">
        <f t="shared" si="56"/>
        <v>W3230.9</v>
      </c>
      <c r="M857" s="13"/>
      <c r="N857" s="13"/>
      <c r="O857" s="13"/>
      <c r="P857" s="47"/>
      <c r="Q857" s="45"/>
      <c r="R857" s="45"/>
      <c r="S857" s="48"/>
      <c r="T857" s="49" t="str">
        <f t="shared" si="55"/>
        <v>[W3230.9]</v>
      </c>
      <c r="U857" s="12" t="str">
        <f t="shared" si="58"/>
        <v/>
      </c>
      <c r="V857" s="49" t="str">
        <f t="shared" si="57"/>
        <v>[W3230.9]</v>
      </c>
    </row>
    <row r="858" spans="1:22" s="49" customFormat="1" ht="14.15" customHeight="1">
      <c r="A858" s="44"/>
      <c r="B858" s="44" t="s">
        <v>6635</v>
      </c>
      <c r="C858" s="50"/>
      <c r="D858" s="10" t="s">
        <v>29</v>
      </c>
      <c r="E858" s="11"/>
      <c r="F858" s="11" t="s">
        <v>18</v>
      </c>
      <c r="G858" s="13"/>
      <c r="H858" s="45" t="s">
        <v>16</v>
      </c>
      <c r="I858" s="47"/>
      <c r="J858" s="12" t="s">
        <v>3279</v>
      </c>
      <c r="K858" s="13" t="s">
        <v>7629</v>
      </c>
      <c r="L858" s="99" t="str">
        <f t="shared" si="56"/>
        <v>W3230.A</v>
      </c>
      <c r="M858" s="13"/>
      <c r="N858" s="13"/>
      <c r="O858" s="13"/>
      <c r="P858" s="47"/>
      <c r="Q858" s="45"/>
      <c r="R858" s="45"/>
      <c r="S858" s="48"/>
      <c r="T858" s="49" t="str">
        <f t="shared" si="55"/>
        <v>[W3230.A]</v>
      </c>
      <c r="U858" s="12" t="str">
        <f t="shared" si="58"/>
        <v/>
      </c>
      <c r="V858" s="49" t="str">
        <f t="shared" si="57"/>
        <v>[W3230.A]</v>
      </c>
    </row>
    <row r="859" spans="1:22" s="49" customFormat="1" ht="14.15" customHeight="1">
      <c r="A859" s="44"/>
      <c r="B859" s="44" t="s">
        <v>6635</v>
      </c>
      <c r="C859" s="50"/>
      <c r="D859" s="10" t="s">
        <v>29</v>
      </c>
      <c r="E859" s="11"/>
      <c r="F859" s="11" t="s">
        <v>18</v>
      </c>
      <c r="G859" s="13"/>
      <c r="H859" s="45" t="s">
        <v>16</v>
      </c>
      <c r="I859" s="47"/>
      <c r="J859" s="12" t="s">
        <v>3280</v>
      </c>
      <c r="K859" s="13" t="s">
        <v>7630</v>
      </c>
      <c r="L859" s="99" t="str">
        <f t="shared" si="56"/>
        <v>W3230.B</v>
      </c>
      <c r="M859" s="13"/>
      <c r="N859" s="13"/>
      <c r="O859" s="13"/>
      <c r="P859" s="47"/>
      <c r="Q859" s="45"/>
      <c r="R859" s="45"/>
      <c r="S859" s="48"/>
      <c r="T859" s="49" t="str">
        <f t="shared" si="55"/>
        <v>[W3230.B]</v>
      </c>
      <c r="U859" s="12" t="str">
        <f t="shared" si="58"/>
        <v/>
      </c>
      <c r="V859" s="49" t="str">
        <f t="shared" si="57"/>
        <v>[W3230.B]</v>
      </c>
    </row>
    <row r="860" spans="1:22" s="49" customFormat="1" ht="14.15" customHeight="1">
      <c r="A860" s="44"/>
      <c r="B860" s="44" t="s">
        <v>6635</v>
      </c>
      <c r="C860" s="50"/>
      <c r="D860" s="10" t="s">
        <v>29</v>
      </c>
      <c r="E860" s="11"/>
      <c r="F860" s="11" t="s">
        <v>18</v>
      </c>
      <c r="G860" s="13"/>
      <c r="H860" s="45" t="s">
        <v>16</v>
      </c>
      <c r="I860" s="47"/>
      <c r="J860" s="12" t="s">
        <v>3920</v>
      </c>
      <c r="K860" s="13" t="s">
        <v>7631</v>
      </c>
      <c r="L860" s="99" t="str">
        <f t="shared" si="56"/>
        <v>W3230.C</v>
      </c>
      <c r="M860" s="13"/>
      <c r="N860" s="13"/>
      <c r="O860" s="13"/>
      <c r="P860" s="47"/>
      <c r="Q860" s="45"/>
      <c r="R860" s="45"/>
      <c r="S860" s="48"/>
      <c r="T860" s="49" t="str">
        <f t="shared" si="55"/>
        <v>[W3230.C]</v>
      </c>
      <c r="U860" s="12" t="str">
        <f t="shared" si="58"/>
        <v/>
      </c>
      <c r="V860" s="49" t="str">
        <f t="shared" si="57"/>
        <v>[W3230.C]</v>
      </c>
    </row>
    <row r="861" spans="1:22" s="49" customFormat="1" ht="14.15" customHeight="1">
      <c r="A861" s="44"/>
      <c r="B861" s="44" t="s">
        <v>6635</v>
      </c>
      <c r="C861" s="50"/>
      <c r="D861" s="10" t="s">
        <v>29</v>
      </c>
      <c r="E861" s="11"/>
      <c r="F861" s="11" t="s">
        <v>18</v>
      </c>
      <c r="G861" s="13"/>
      <c r="H861" s="45" t="s">
        <v>16</v>
      </c>
      <c r="I861" s="47"/>
      <c r="J861" s="12" t="s">
        <v>3281</v>
      </c>
      <c r="K861" s="13" t="s">
        <v>7632</v>
      </c>
      <c r="L861" s="99" t="str">
        <f t="shared" si="56"/>
        <v>W3230.D</v>
      </c>
      <c r="M861" s="13"/>
      <c r="N861" s="13"/>
      <c r="O861" s="13"/>
      <c r="P861" s="47"/>
      <c r="Q861" s="45"/>
      <c r="R861" s="45"/>
      <c r="S861" s="48"/>
      <c r="T861" s="49" t="str">
        <f t="shared" si="55"/>
        <v>[W3230.D]</v>
      </c>
      <c r="U861" s="12" t="str">
        <f t="shared" si="58"/>
        <v/>
      </c>
      <c r="V861" s="49" t="str">
        <f t="shared" si="57"/>
        <v>[W3230.D]</v>
      </c>
    </row>
    <row r="862" spans="1:22" s="49" customFormat="1" ht="14.15" customHeight="1">
      <c r="A862" s="44"/>
      <c r="B862" s="44" t="s">
        <v>6635</v>
      </c>
      <c r="C862" s="50"/>
      <c r="D862" s="10" t="s">
        <v>29</v>
      </c>
      <c r="E862" s="11"/>
      <c r="F862" s="11" t="s">
        <v>18</v>
      </c>
      <c r="G862" s="13"/>
      <c r="H862" s="45" t="s">
        <v>16</v>
      </c>
      <c r="I862" s="47"/>
      <c r="J862" s="12" t="s">
        <v>3282</v>
      </c>
      <c r="K862" s="13" t="s">
        <v>7633</v>
      </c>
      <c r="L862" s="99" t="str">
        <f t="shared" si="56"/>
        <v>W3230.E</v>
      </c>
      <c r="M862" s="13"/>
      <c r="N862" s="13"/>
      <c r="O862" s="13"/>
      <c r="P862" s="47"/>
      <c r="Q862" s="45"/>
      <c r="R862" s="45"/>
      <c r="S862" s="48"/>
      <c r="T862" s="49" t="str">
        <f t="shared" si="55"/>
        <v>[W3230.E]</v>
      </c>
      <c r="U862" s="12" t="str">
        <f t="shared" si="58"/>
        <v/>
      </c>
      <c r="V862" s="49" t="str">
        <f t="shared" si="57"/>
        <v>[W3230.E]</v>
      </c>
    </row>
    <row r="863" spans="1:22" s="49" customFormat="1" ht="14.15" customHeight="1">
      <c r="A863" s="44"/>
      <c r="B863" s="44" t="s">
        <v>6635</v>
      </c>
      <c r="C863" s="50"/>
      <c r="D863" s="10" t="s">
        <v>29</v>
      </c>
      <c r="E863" s="11"/>
      <c r="F863" s="11" t="s">
        <v>18</v>
      </c>
      <c r="G863" s="13"/>
      <c r="H863" s="45" t="s">
        <v>16</v>
      </c>
      <c r="I863" s="47"/>
      <c r="J863" s="12" t="s">
        <v>3283</v>
      </c>
      <c r="K863" s="13" t="s">
        <v>7634</v>
      </c>
      <c r="L863" s="99" t="str">
        <f t="shared" si="56"/>
        <v>W3230.F</v>
      </c>
      <c r="M863" s="13"/>
      <c r="N863" s="13"/>
      <c r="O863" s="13"/>
      <c r="P863" s="47"/>
      <c r="Q863" s="45"/>
      <c r="R863" s="45"/>
      <c r="S863" s="48"/>
      <c r="T863" s="49" t="str">
        <f t="shared" si="55"/>
        <v>[W3230.F]</v>
      </c>
      <c r="U863" s="12" t="str">
        <f t="shared" si="58"/>
        <v/>
      </c>
      <c r="V863" s="49" t="str">
        <f t="shared" si="57"/>
        <v>[W3230.F]</v>
      </c>
    </row>
    <row r="864" spans="1:22" s="49" customFormat="1" ht="14.15" customHeight="1">
      <c r="A864" s="44"/>
      <c r="B864" s="44" t="s">
        <v>6635</v>
      </c>
      <c r="C864" s="50"/>
      <c r="D864" s="10" t="s">
        <v>29</v>
      </c>
      <c r="E864" s="11"/>
      <c r="F864" s="11" t="s">
        <v>18</v>
      </c>
      <c r="G864" s="13"/>
      <c r="H864" s="45" t="s">
        <v>16</v>
      </c>
      <c r="I864" s="47"/>
      <c r="J864" s="12" t="s">
        <v>3284</v>
      </c>
      <c r="K864" s="13" t="s">
        <v>7635</v>
      </c>
      <c r="L864" s="99" t="str">
        <f t="shared" si="56"/>
        <v>W3231.0</v>
      </c>
      <c r="M864" s="13"/>
      <c r="N864" s="13"/>
      <c r="O864" s="13"/>
      <c r="P864" s="47"/>
      <c r="Q864" s="45"/>
      <c r="R864" s="45"/>
      <c r="S864" s="48"/>
      <c r="T864" s="49" t="str">
        <f t="shared" si="55"/>
        <v>[W3231.0]</v>
      </c>
      <c r="U864" s="12" t="str">
        <f t="shared" si="58"/>
        <v/>
      </c>
      <c r="V864" s="49" t="str">
        <f t="shared" si="57"/>
        <v>[W3231.0]</v>
      </c>
    </row>
    <row r="865" spans="1:22" s="49" customFormat="1" ht="14.15" customHeight="1">
      <c r="A865" s="44"/>
      <c r="B865" s="44" t="s">
        <v>6635</v>
      </c>
      <c r="C865" s="50"/>
      <c r="D865" s="10" t="s">
        <v>29</v>
      </c>
      <c r="E865" s="11"/>
      <c r="F865" s="11" t="s">
        <v>18</v>
      </c>
      <c r="G865" s="13"/>
      <c r="H865" s="45" t="s">
        <v>16</v>
      </c>
      <c r="I865" s="47"/>
      <c r="J865" s="12" t="s">
        <v>3285</v>
      </c>
      <c r="K865" s="13" t="s">
        <v>7636</v>
      </c>
      <c r="L865" s="99" t="str">
        <f t="shared" si="56"/>
        <v>W3231.1</v>
      </c>
      <c r="M865" s="13"/>
      <c r="N865" s="13"/>
      <c r="O865" s="13"/>
      <c r="P865" s="47"/>
      <c r="Q865" s="45"/>
      <c r="R865" s="45"/>
      <c r="S865" s="48"/>
      <c r="T865" s="49" t="str">
        <f t="shared" si="55"/>
        <v>[W3231.1]</v>
      </c>
      <c r="U865" s="12" t="str">
        <f t="shared" si="58"/>
        <v/>
      </c>
      <c r="V865" s="49" t="str">
        <f t="shared" si="57"/>
        <v>[W3231.1]</v>
      </c>
    </row>
    <row r="866" spans="1:22" s="49" customFormat="1" ht="14.15" customHeight="1">
      <c r="A866" s="44"/>
      <c r="B866" s="44" t="s">
        <v>6635</v>
      </c>
      <c r="C866" s="50"/>
      <c r="D866" s="10" t="s">
        <v>29</v>
      </c>
      <c r="E866" s="11"/>
      <c r="F866" s="11" t="s">
        <v>18</v>
      </c>
      <c r="G866" s="13"/>
      <c r="H866" s="45" t="s">
        <v>16</v>
      </c>
      <c r="I866" s="47"/>
      <c r="J866" s="12" t="s">
        <v>3286</v>
      </c>
      <c r="K866" s="13" t="s">
        <v>7637</v>
      </c>
      <c r="L866" s="99" t="str">
        <f t="shared" si="56"/>
        <v>W3231.2</v>
      </c>
      <c r="M866" s="13"/>
      <c r="N866" s="13"/>
      <c r="O866" s="13"/>
      <c r="P866" s="47"/>
      <c r="Q866" s="45"/>
      <c r="R866" s="45"/>
      <c r="S866" s="48"/>
      <c r="T866" s="49" t="str">
        <f t="shared" si="55"/>
        <v>[W3231.2]</v>
      </c>
      <c r="U866" s="12" t="str">
        <f t="shared" si="58"/>
        <v/>
      </c>
      <c r="V866" s="49" t="str">
        <f t="shared" si="57"/>
        <v>[W3231.2]</v>
      </c>
    </row>
    <row r="867" spans="1:22" s="49" customFormat="1" ht="14.15" customHeight="1">
      <c r="A867" s="44"/>
      <c r="B867" s="44" t="s">
        <v>6635</v>
      </c>
      <c r="C867" s="50"/>
      <c r="D867" s="10" t="s">
        <v>29</v>
      </c>
      <c r="E867" s="11"/>
      <c r="F867" s="11" t="s">
        <v>18</v>
      </c>
      <c r="G867" s="13"/>
      <c r="H867" s="45" t="s">
        <v>16</v>
      </c>
      <c r="I867" s="47"/>
      <c r="J867" s="12" t="s">
        <v>3287</v>
      </c>
      <c r="K867" s="13" t="s">
        <v>7638</v>
      </c>
      <c r="L867" s="99" t="str">
        <f t="shared" si="56"/>
        <v>W3231.3</v>
      </c>
      <c r="M867" s="13"/>
      <c r="N867" s="13"/>
      <c r="O867" s="13"/>
      <c r="P867" s="47"/>
      <c r="Q867" s="45"/>
      <c r="R867" s="45"/>
      <c r="S867" s="48"/>
      <c r="T867" s="49" t="str">
        <f t="shared" si="55"/>
        <v>[W3231.3]</v>
      </c>
      <c r="U867" s="12" t="str">
        <f t="shared" si="58"/>
        <v/>
      </c>
      <c r="V867" s="49" t="str">
        <f t="shared" si="57"/>
        <v>[W3231.3]</v>
      </c>
    </row>
    <row r="868" spans="1:22" s="49" customFormat="1" ht="14.15" customHeight="1">
      <c r="A868" s="44"/>
      <c r="B868" s="44" t="s">
        <v>6635</v>
      </c>
      <c r="C868" s="50"/>
      <c r="D868" s="10" t="s">
        <v>29</v>
      </c>
      <c r="E868" s="11"/>
      <c r="F868" s="11" t="s">
        <v>18</v>
      </c>
      <c r="G868" s="13"/>
      <c r="H868" s="45" t="s">
        <v>16</v>
      </c>
      <c r="I868" s="47"/>
      <c r="J868" s="12" t="s">
        <v>3288</v>
      </c>
      <c r="K868" s="13" t="s">
        <v>7639</v>
      </c>
      <c r="L868" s="99" t="str">
        <f t="shared" si="56"/>
        <v>W3231.4</v>
      </c>
      <c r="M868" s="13"/>
      <c r="N868" s="13"/>
      <c r="O868" s="13"/>
      <c r="P868" s="47"/>
      <c r="Q868" s="45"/>
      <c r="R868" s="45"/>
      <c r="S868" s="48"/>
      <c r="T868" s="49" t="str">
        <f>"["&amp;L838&amp;"]"</f>
        <v>[W322F.6]</v>
      </c>
      <c r="U868" s="12" t="str">
        <f>RIGHT(J838,LEN(J838)-7)</f>
        <v xml:space="preserve"> 언로더 로봇 C2축(SD266) 에러가 발생했습니다.</v>
      </c>
      <c r="V868" s="49" t="str">
        <f>T838&amp;U838</f>
        <v>[W322F.6] 언로더 로봇 C2축(SD266) 에러가 발생했습니다.</v>
      </c>
    </row>
    <row r="869" spans="1:22" s="49" customFormat="1" ht="14.15" customHeight="1">
      <c r="A869" s="45"/>
      <c r="B869" s="44" t="s">
        <v>6635</v>
      </c>
      <c r="C869" s="50"/>
      <c r="D869" s="10" t="s">
        <v>29</v>
      </c>
      <c r="E869" s="11"/>
      <c r="F869" s="11" t="s">
        <v>18</v>
      </c>
      <c r="G869" s="13"/>
      <c r="H869" s="45" t="s">
        <v>16</v>
      </c>
      <c r="I869" s="47"/>
      <c r="J869" s="12" t="s">
        <v>698</v>
      </c>
      <c r="K869" s="13" t="s">
        <v>7640</v>
      </c>
      <c r="L869" s="99" t="str">
        <f t="shared" si="56"/>
        <v>W3231.5</v>
      </c>
      <c r="M869" s="13" t="s">
        <v>153</v>
      </c>
      <c r="N869" s="13"/>
      <c r="O869" s="13"/>
      <c r="P869" s="47"/>
      <c r="Q869" s="45" t="s">
        <v>3672</v>
      </c>
      <c r="R869" s="45" t="s">
        <v>5596</v>
      </c>
      <c r="S869" s="48"/>
      <c r="T869" s="49" t="str">
        <f t="shared" si="55"/>
        <v>[W3231.5]</v>
      </c>
      <c r="U869" s="12" t="str">
        <f t="shared" si="58"/>
        <v xml:space="preserve"> OP#1 서보 비상정지 알람</v>
      </c>
      <c r="V869" s="49" t="str">
        <f t="shared" si="57"/>
        <v>[W3231.5] OP#1 서보 비상정지 알람</v>
      </c>
    </row>
    <row r="870" spans="1:22" s="49" customFormat="1" ht="14.15" customHeight="1">
      <c r="A870" s="45"/>
      <c r="B870" s="44" t="s">
        <v>6635</v>
      </c>
      <c r="C870" s="50"/>
      <c r="D870" s="10" t="s">
        <v>29</v>
      </c>
      <c r="E870" s="11"/>
      <c r="F870" s="11" t="s">
        <v>18</v>
      </c>
      <c r="G870" s="13"/>
      <c r="H870" s="45" t="s">
        <v>16</v>
      </c>
      <c r="I870" s="47"/>
      <c r="J870" s="12" t="s">
        <v>699</v>
      </c>
      <c r="K870" s="13" t="s">
        <v>7641</v>
      </c>
      <c r="L870" s="99" t="str">
        <f t="shared" si="56"/>
        <v>W3231.6</v>
      </c>
      <c r="M870" s="13" t="s">
        <v>153</v>
      </c>
      <c r="N870" s="13"/>
      <c r="O870" s="13"/>
      <c r="P870" s="47"/>
      <c r="Q870" s="45" t="s">
        <v>3672</v>
      </c>
      <c r="R870" s="45" t="s">
        <v>5553</v>
      </c>
      <c r="S870" s="48"/>
      <c r="T870" s="49" t="str">
        <f t="shared" si="55"/>
        <v>[W3231.6]</v>
      </c>
      <c r="U870" s="12" t="str">
        <f t="shared" si="58"/>
        <v xml:space="preserve"> OP#2 서보 비상정지 알람</v>
      </c>
      <c r="V870" s="49" t="str">
        <f t="shared" si="57"/>
        <v>[W3231.6] OP#2 서보 비상정지 알람</v>
      </c>
    </row>
    <row r="871" spans="1:22" s="49" customFormat="1" ht="14.15" customHeight="1">
      <c r="A871" s="45"/>
      <c r="B871" s="44" t="s">
        <v>6635</v>
      </c>
      <c r="C871" s="50"/>
      <c r="D871" s="10" t="s">
        <v>29</v>
      </c>
      <c r="E871" s="11"/>
      <c r="F871" s="11" t="s">
        <v>18</v>
      </c>
      <c r="G871" s="13"/>
      <c r="H871" s="45" t="s">
        <v>16</v>
      </c>
      <c r="I871" s="47"/>
      <c r="J871" s="12" t="s">
        <v>2386</v>
      </c>
      <c r="K871" s="13" t="s">
        <v>7642</v>
      </c>
      <c r="L871" s="99" t="str">
        <f t="shared" si="56"/>
        <v>W3231.7</v>
      </c>
      <c r="M871" s="13" t="s">
        <v>153</v>
      </c>
      <c r="N871" s="13"/>
      <c r="O871" s="13"/>
      <c r="P871" s="47"/>
      <c r="Q871" s="45" t="s">
        <v>3672</v>
      </c>
      <c r="R871" s="45" t="s">
        <v>5620</v>
      </c>
      <c r="S871" s="48"/>
      <c r="T871" s="49" t="str">
        <f t="shared" si="55"/>
        <v>[W3231.7]</v>
      </c>
      <c r="U871" s="12" t="str">
        <f t="shared" si="58"/>
        <v xml:space="preserve"> OP#3 서보 비상정지 알람</v>
      </c>
      <c r="V871" s="49" t="str">
        <f t="shared" si="57"/>
        <v>[W3231.7] OP#3 서보 비상정지 알람</v>
      </c>
    </row>
    <row r="872" spans="1:22" s="49" customFormat="1" ht="14.15" customHeight="1">
      <c r="A872" s="44"/>
      <c r="B872" s="44" t="s">
        <v>6635</v>
      </c>
      <c r="C872" s="50"/>
      <c r="D872" s="10" t="s">
        <v>29</v>
      </c>
      <c r="E872" s="11"/>
      <c r="F872" s="11" t="s">
        <v>18</v>
      </c>
      <c r="G872" s="13"/>
      <c r="H872" s="45" t="s">
        <v>16</v>
      </c>
      <c r="I872" s="47"/>
      <c r="J872" s="12" t="s">
        <v>2387</v>
      </c>
      <c r="K872" s="13" t="s">
        <v>7643</v>
      </c>
      <c r="L872" s="99" t="str">
        <f t="shared" si="56"/>
        <v>W3231.8</v>
      </c>
      <c r="M872" s="13" t="s">
        <v>153</v>
      </c>
      <c r="N872" s="13"/>
      <c r="O872" s="13"/>
      <c r="P872" s="47"/>
      <c r="Q872" s="45" t="s">
        <v>3672</v>
      </c>
      <c r="R872" s="45" t="s">
        <v>5621</v>
      </c>
      <c r="S872" s="48"/>
      <c r="T872" s="49" t="str">
        <f t="shared" si="55"/>
        <v>[W3231.8]</v>
      </c>
      <c r="U872" s="12" t="str">
        <f t="shared" si="58"/>
        <v xml:space="preserve"> OP#4 서보 비상정지 알람</v>
      </c>
      <c r="V872" s="49" t="str">
        <f t="shared" si="57"/>
        <v>[W3231.8] OP#4 서보 비상정지 알람</v>
      </c>
    </row>
    <row r="873" spans="1:22" s="49" customFormat="1" ht="14.15" customHeight="1">
      <c r="A873" s="44"/>
      <c r="B873" s="44" t="s">
        <v>6635</v>
      </c>
      <c r="C873" s="50"/>
      <c r="D873" s="10" t="s">
        <v>29</v>
      </c>
      <c r="E873" s="11"/>
      <c r="F873" s="11" t="s">
        <v>18</v>
      </c>
      <c r="G873" s="13"/>
      <c r="H873" s="45" t="s">
        <v>16</v>
      </c>
      <c r="I873" s="47"/>
      <c r="J873" s="12" t="s">
        <v>3289</v>
      </c>
      <c r="K873" s="13" t="s">
        <v>7644</v>
      </c>
      <c r="L873" s="99" t="str">
        <f t="shared" si="56"/>
        <v>W3231.9</v>
      </c>
      <c r="M873" s="13"/>
      <c r="N873" s="13"/>
      <c r="O873" s="13"/>
      <c r="P873" s="47"/>
      <c r="Q873" s="45"/>
      <c r="R873" s="45"/>
      <c r="S873" s="48"/>
      <c r="T873" s="49" t="str">
        <f t="shared" si="55"/>
        <v>[W3231.9]</v>
      </c>
      <c r="U873" s="12" t="str">
        <f t="shared" si="58"/>
        <v/>
      </c>
      <c r="V873" s="49" t="str">
        <f t="shared" si="57"/>
        <v>[W3231.9]</v>
      </c>
    </row>
    <row r="874" spans="1:22" s="49" customFormat="1" ht="14.15" customHeight="1">
      <c r="A874" s="44"/>
      <c r="B874" s="44" t="s">
        <v>6635</v>
      </c>
      <c r="C874" s="50"/>
      <c r="D874" s="10" t="s">
        <v>29</v>
      </c>
      <c r="E874" s="11"/>
      <c r="F874" s="11" t="s">
        <v>18</v>
      </c>
      <c r="G874" s="13"/>
      <c r="H874" s="45" t="s">
        <v>16</v>
      </c>
      <c r="I874" s="47"/>
      <c r="J874" s="12" t="s">
        <v>3290</v>
      </c>
      <c r="K874" s="13" t="s">
        <v>7645</v>
      </c>
      <c r="L874" s="99" t="str">
        <f t="shared" si="56"/>
        <v>W3231.A</v>
      </c>
      <c r="M874" s="13"/>
      <c r="N874" s="13"/>
      <c r="O874" s="13"/>
      <c r="P874" s="47"/>
      <c r="Q874" s="45"/>
      <c r="R874" s="45"/>
      <c r="S874" s="48"/>
      <c r="T874" s="49" t="str">
        <f t="shared" si="55"/>
        <v>[W3231.A]</v>
      </c>
      <c r="U874" s="12" t="str">
        <f t="shared" si="58"/>
        <v/>
      </c>
      <c r="V874" s="49" t="str">
        <f t="shared" si="57"/>
        <v>[W3231.A]</v>
      </c>
    </row>
    <row r="875" spans="1:22" s="49" customFormat="1" ht="14.15" customHeight="1">
      <c r="A875" s="44"/>
      <c r="B875" s="44" t="s">
        <v>6635</v>
      </c>
      <c r="C875" s="50"/>
      <c r="D875" s="10" t="s">
        <v>29</v>
      </c>
      <c r="E875" s="11"/>
      <c r="F875" s="11" t="s">
        <v>18</v>
      </c>
      <c r="G875" s="13"/>
      <c r="H875" s="45" t="s">
        <v>16</v>
      </c>
      <c r="I875" s="47"/>
      <c r="J875" s="12" t="s">
        <v>3291</v>
      </c>
      <c r="K875" s="13" t="s">
        <v>7646</v>
      </c>
      <c r="L875" s="99" t="str">
        <f t="shared" si="56"/>
        <v>W3231.B</v>
      </c>
      <c r="M875" s="13"/>
      <c r="N875" s="13"/>
      <c r="O875" s="13"/>
      <c r="P875" s="47"/>
      <c r="Q875" s="45"/>
      <c r="R875" s="45"/>
      <c r="S875" s="48"/>
      <c r="T875" s="49" t="str">
        <f t="shared" si="55"/>
        <v>[W3231.B]</v>
      </c>
      <c r="U875" s="12" t="str">
        <f t="shared" si="58"/>
        <v/>
      </c>
      <c r="V875" s="49" t="str">
        <f t="shared" si="57"/>
        <v>[W3231.B]</v>
      </c>
    </row>
    <row r="876" spans="1:22" s="49" customFormat="1" ht="14.15" customHeight="1">
      <c r="A876" s="44"/>
      <c r="B876" s="44" t="s">
        <v>6635</v>
      </c>
      <c r="C876" s="50"/>
      <c r="D876" s="10" t="s">
        <v>29</v>
      </c>
      <c r="E876" s="11"/>
      <c r="F876" s="11" t="s">
        <v>18</v>
      </c>
      <c r="G876" s="13"/>
      <c r="H876" s="45" t="s">
        <v>16</v>
      </c>
      <c r="I876" s="47"/>
      <c r="J876" s="12" t="s">
        <v>3292</v>
      </c>
      <c r="K876" s="13" t="s">
        <v>7647</v>
      </c>
      <c r="L876" s="99" t="str">
        <f t="shared" si="56"/>
        <v>W3231.C</v>
      </c>
      <c r="M876" s="13"/>
      <c r="N876" s="13"/>
      <c r="O876" s="13"/>
      <c r="P876" s="47"/>
      <c r="Q876" s="45"/>
      <c r="R876" s="45"/>
      <c r="S876" s="48"/>
      <c r="T876" s="49" t="str">
        <f t="shared" si="55"/>
        <v>[W3231.C]</v>
      </c>
      <c r="U876" s="12" t="str">
        <f t="shared" si="58"/>
        <v/>
      </c>
      <c r="V876" s="49" t="str">
        <f t="shared" si="57"/>
        <v>[W3231.C]</v>
      </c>
    </row>
    <row r="877" spans="1:22" s="49" customFormat="1" ht="14.15" customHeight="1">
      <c r="A877" s="44"/>
      <c r="B877" s="44" t="s">
        <v>6635</v>
      </c>
      <c r="C877" s="50"/>
      <c r="D877" s="10" t="s">
        <v>29</v>
      </c>
      <c r="E877" s="11"/>
      <c r="F877" s="11" t="s">
        <v>18</v>
      </c>
      <c r="G877" s="13"/>
      <c r="H877" s="45" t="s">
        <v>16</v>
      </c>
      <c r="I877" s="47"/>
      <c r="J877" s="12" t="s">
        <v>3293</v>
      </c>
      <c r="K877" s="13" t="s">
        <v>7648</v>
      </c>
      <c r="L877" s="99" t="str">
        <f t="shared" si="56"/>
        <v>W3231.D</v>
      </c>
      <c r="M877" s="13"/>
      <c r="N877" s="13"/>
      <c r="O877" s="13"/>
      <c r="P877" s="47"/>
      <c r="Q877" s="45"/>
      <c r="R877" s="45"/>
      <c r="S877" s="48"/>
      <c r="T877" s="49" t="str">
        <f t="shared" si="55"/>
        <v>[W3231.D]</v>
      </c>
      <c r="U877" s="12" t="str">
        <f t="shared" si="58"/>
        <v/>
      </c>
      <c r="V877" s="49" t="str">
        <f t="shared" si="57"/>
        <v>[W3231.D]</v>
      </c>
    </row>
    <row r="878" spans="1:22" s="49" customFormat="1" ht="14.15" customHeight="1">
      <c r="A878" s="44"/>
      <c r="B878" s="44" t="s">
        <v>6635</v>
      </c>
      <c r="C878" s="50"/>
      <c r="D878" s="10" t="s">
        <v>29</v>
      </c>
      <c r="E878" s="11"/>
      <c r="F878" s="11" t="s">
        <v>18</v>
      </c>
      <c r="G878" s="13"/>
      <c r="H878" s="45" t="s">
        <v>16</v>
      </c>
      <c r="I878" s="47"/>
      <c r="J878" s="12" t="s">
        <v>3294</v>
      </c>
      <c r="K878" s="13" t="s">
        <v>7649</v>
      </c>
      <c r="L878" s="99" t="str">
        <f t="shared" si="56"/>
        <v>W3231.E</v>
      </c>
      <c r="M878" s="13"/>
      <c r="N878" s="13"/>
      <c r="O878" s="13"/>
      <c r="P878" s="47"/>
      <c r="Q878" s="45"/>
      <c r="R878" s="45"/>
      <c r="S878" s="48"/>
      <c r="T878" s="49" t="str">
        <f t="shared" si="55"/>
        <v>[W3231.E]</v>
      </c>
      <c r="U878" s="12" t="str">
        <f t="shared" si="58"/>
        <v/>
      </c>
      <c r="V878" s="49" t="str">
        <f t="shared" si="57"/>
        <v>[W3231.E]</v>
      </c>
    </row>
    <row r="879" spans="1:22" s="49" customFormat="1" ht="14.15" customHeight="1">
      <c r="A879" s="43" t="s">
        <v>6673</v>
      </c>
      <c r="B879" s="44" t="s">
        <v>6635</v>
      </c>
      <c r="C879" s="50"/>
      <c r="D879" s="10" t="s">
        <v>29</v>
      </c>
      <c r="E879" s="11"/>
      <c r="F879" s="11" t="s">
        <v>18</v>
      </c>
      <c r="G879" s="13"/>
      <c r="H879" s="45" t="s">
        <v>16</v>
      </c>
      <c r="I879" s="47"/>
      <c r="J879" s="12" t="s">
        <v>6228</v>
      </c>
      <c r="K879" s="13" t="s">
        <v>7650</v>
      </c>
      <c r="L879" s="99" t="str">
        <f t="shared" si="56"/>
        <v>W3231.F</v>
      </c>
      <c r="M879" s="13" t="s">
        <v>17</v>
      </c>
      <c r="N879" s="13"/>
      <c r="O879" s="13"/>
      <c r="P879" s="47"/>
      <c r="Q879" s="45" t="s">
        <v>3672</v>
      </c>
      <c r="R879" s="45" t="s">
        <v>5596</v>
      </c>
      <c r="S879" s="48"/>
      <c r="T879" s="49" t="str">
        <f t="shared" si="55"/>
        <v>[W3231.F]</v>
      </c>
      <c r="U879" s="12" t="str">
        <f t="shared" si="58"/>
        <v xml:space="preserve"> 터브이송#3-1 터브이송#3-2 지령오류 (M8005, M8026)</v>
      </c>
      <c r="V879" s="49" t="str">
        <f t="shared" si="57"/>
        <v>[W3231.F] 터브이송#3-1 터브이송#3-2 지령오류 (M8005, M8026)</v>
      </c>
    </row>
    <row r="880" spans="1:22" s="49" customFormat="1" ht="14.15" customHeight="1">
      <c r="A880" s="43" t="s">
        <v>6673</v>
      </c>
      <c r="B880" s="44" t="s">
        <v>6635</v>
      </c>
      <c r="C880" s="50"/>
      <c r="D880" s="10" t="s">
        <v>29</v>
      </c>
      <c r="E880" s="11"/>
      <c r="F880" s="11" t="s">
        <v>18</v>
      </c>
      <c r="G880" s="13"/>
      <c r="H880" s="45" t="s">
        <v>16</v>
      </c>
      <c r="I880" s="47"/>
      <c r="J880" s="12" t="s">
        <v>6229</v>
      </c>
      <c r="K880" s="13" t="s">
        <v>7651</v>
      </c>
      <c r="L880" s="99" t="str">
        <f t="shared" si="56"/>
        <v>W3232.0</v>
      </c>
      <c r="M880" s="13" t="s">
        <v>17</v>
      </c>
      <c r="N880" s="13"/>
      <c r="O880" s="13"/>
      <c r="P880" s="47"/>
      <c r="Q880" s="45" t="s">
        <v>3672</v>
      </c>
      <c r="R880" s="45" t="s">
        <v>5596</v>
      </c>
      <c r="S880" s="48"/>
      <c r="T880" s="49" t="str">
        <f t="shared" si="55"/>
        <v>[W3232.0]</v>
      </c>
      <c r="U880" s="12" t="str">
        <f t="shared" si="58"/>
        <v xml:space="preserve"> 터브이송#3-1 터브이송#3-2 구동방향오류</v>
      </c>
      <c r="V880" s="49" t="str">
        <f t="shared" si="57"/>
        <v>[W3232.0] 터브이송#3-1 터브이송#3-2 구동방향오류</v>
      </c>
    </row>
    <row r="881" spans="1:22" s="49" customFormat="1" ht="14.15" customHeight="1">
      <c r="A881" s="43" t="s">
        <v>6673</v>
      </c>
      <c r="B881" s="44" t="s">
        <v>6635</v>
      </c>
      <c r="C881" s="50"/>
      <c r="D881" s="10" t="s">
        <v>29</v>
      </c>
      <c r="E881" s="11"/>
      <c r="F881" s="11" t="s">
        <v>18</v>
      </c>
      <c r="G881" s="13"/>
      <c r="H881" s="45" t="s">
        <v>16</v>
      </c>
      <c r="I881" s="47"/>
      <c r="J881" s="12" t="s">
        <v>6230</v>
      </c>
      <c r="K881" s="13" t="s">
        <v>7652</v>
      </c>
      <c r="L881" s="99" t="str">
        <f t="shared" si="56"/>
        <v>W3232.1</v>
      </c>
      <c r="M881" s="13" t="s">
        <v>17</v>
      </c>
      <c r="N881" s="13"/>
      <c r="O881" s="13"/>
      <c r="P881" s="47"/>
      <c r="Q881" s="45" t="s">
        <v>3672</v>
      </c>
      <c r="R881" s="45" t="s">
        <v>5596</v>
      </c>
      <c r="S881" s="48"/>
      <c r="T881" s="49" t="str">
        <f t="shared" si="55"/>
        <v>[W3232.1]</v>
      </c>
      <c r="U881" s="12" t="str">
        <f t="shared" si="58"/>
        <v xml:space="preserve"> 터브이송#3-1 터브이송#3-2 간격오류 (D24546, D24544)</v>
      </c>
      <c r="V881" s="49" t="str">
        <f t="shared" si="57"/>
        <v>[W3232.1] 터브이송#3-1 터브이송#3-2 간격오류 (D24546, D24544)</v>
      </c>
    </row>
    <row r="882" spans="1:22" s="49" customFormat="1" ht="14.15" customHeight="1">
      <c r="A882" s="43"/>
      <c r="B882" s="44" t="s">
        <v>6635</v>
      </c>
      <c r="C882" s="50"/>
      <c r="D882" s="10" t="s">
        <v>29</v>
      </c>
      <c r="E882" s="11"/>
      <c r="F882" s="11" t="s">
        <v>18</v>
      </c>
      <c r="G882" s="13"/>
      <c r="H882" s="45" t="s">
        <v>16</v>
      </c>
      <c r="I882" s="47"/>
      <c r="J882" s="12" t="s">
        <v>3298</v>
      </c>
      <c r="K882" s="13" t="s">
        <v>7653</v>
      </c>
      <c r="L882" s="99" t="str">
        <f t="shared" si="56"/>
        <v>W3232.2</v>
      </c>
      <c r="M882" s="13"/>
      <c r="N882" s="13"/>
      <c r="O882" s="13"/>
      <c r="P882" s="47"/>
      <c r="Q882" s="45"/>
      <c r="R882" s="45"/>
      <c r="S882" s="48"/>
      <c r="T882" s="49" t="str">
        <f t="shared" si="55"/>
        <v>[W3232.2]</v>
      </c>
      <c r="U882" s="12" t="str">
        <f t="shared" si="58"/>
        <v/>
      </c>
      <c r="V882" s="49" t="str">
        <f t="shared" si="57"/>
        <v>[W3232.2]</v>
      </c>
    </row>
    <row r="883" spans="1:22" s="49" customFormat="1" ht="14.15" customHeight="1">
      <c r="A883" s="43"/>
      <c r="B883" s="44" t="s">
        <v>6635</v>
      </c>
      <c r="C883" s="50"/>
      <c r="D883" s="10" t="s">
        <v>29</v>
      </c>
      <c r="E883" s="11"/>
      <c r="F883" s="11" t="s">
        <v>18</v>
      </c>
      <c r="G883" s="13"/>
      <c r="H883" s="45" t="s">
        <v>16</v>
      </c>
      <c r="I883" s="47"/>
      <c r="J883" s="12" t="s">
        <v>3299</v>
      </c>
      <c r="K883" s="13" t="s">
        <v>7654</v>
      </c>
      <c r="L883" s="99" t="str">
        <f t="shared" si="56"/>
        <v>W3232.3</v>
      </c>
      <c r="M883" s="13"/>
      <c r="N883" s="13"/>
      <c r="O883" s="13"/>
      <c r="P883" s="47"/>
      <c r="Q883" s="45"/>
      <c r="R883" s="45"/>
      <c r="S883" s="48"/>
      <c r="T883" s="49" t="str">
        <f t="shared" si="55"/>
        <v>[W3232.3]</v>
      </c>
      <c r="U883" s="12" t="str">
        <f t="shared" si="58"/>
        <v/>
      </c>
      <c r="V883" s="49" t="str">
        <f t="shared" si="57"/>
        <v>[W3232.3]</v>
      </c>
    </row>
    <row r="884" spans="1:22" s="49" customFormat="1" ht="14.15" customHeight="1">
      <c r="A884" s="43"/>
      <c r="B884" s="44" t="s">
        <v>6635</v>
      </c>
      <c r="C884" s="50"/>
      <c r="D884" s="10" t="s">
        <v>29</v>
      </c>
      <c r="E884" s="11"/>
      <c r="F884" s="11" t="s">
        <v>18</v>
      </c>
      <c r="G884" s="13"/>
      <c r="H884" s="45" t="s">
        <v>16</v>
      </c>
      <c r="I884" s="47"/>
      <c r="J884" s="12" t="s">
        <v>3300</v>
      </c>
      <c r="K884" s="13" t="s">
        <v>7655</v>
      </c>
      <c r="L884" s="99" t="str">
        <f t="shared" si="56"/>
        <v>W3232.4</v>
      </c>
      <c r="M884" s="13"/>
      <c r="N884" s="13"/>
      <c r="O884" s="13"/>
      <c r="P884" s="47"/>
      <c r="Q884" s="45"/>
      <c r="R884" s="45"/>
      <c r="S884" s="48"/>
      <c r="T884" s="49" t="str">
        <f t="shared" si="55"/>
        <v>[W3232.4]</v>
      </c>
      <c r="U884" s="12" t="str">
        <f t="shared" si="58"/>
        <v/>
      </c>
      <c r="V884" s="49" t="str">
        <f t="shared" si="57"/>
        <v>[W3232.4]</v>
      </c>
    </row>
    <row r="885" spans="1:22" s="49" customFormat="1" ht="14.15" customHeight="1">
      <c r="A885" s="43"/>
      <c r="B885" s="44" t="s">
        <v>6635</v>
      </c>
      <c r="C885" s="50"/>
      <c r="D885" s="10" t="s">
        <v>29</v>
      </c>
      <c r="E885" s="11"/>
      <c r="F885" s="11" t="s">
        <v>18</v>
      </c>
      <c r="G885" s="13"/>
      <c r="H885" s="45" t="s">
        <v>16</v>
      </c>
      <c r="I885" s="47"/>
      <c r="J885" s="12" t="s">
        <v>3301</v>
      </c>
      <c r="K885" s="13" t="s">
        <v>7656</v>
      </c>
      <c r="L885" s="99" t="str">
        <f t="shared" si="56"/>
        <v>W3232.5</v>
      </c>
      <c r="M885" s="13"/>
      <c r="N885" s="13"/>
      <c r="O885" s="13"/>
      <c r="P885" s="47"/>
      <c r="Q885" s="45"/>
      <c r="R885" s="45"/>
      <c r="S885" s="48"/>
      <c r="T885" s="49" t="str">
        <f t="shared" si="55"/>
        <v>[W3232.5]</v>
      </c>
      <c r="U885" s="12" t="str">
        <f t="shared" si="58"/>
        <v/>
      </c>
      <c r="V885" s="49" t="str">
        <f t="shared" si="57"/>
        <v>[W3232.5]</v>
      </c>
    </row>
    <row r="886" spans="1:22" s="49" customFormat="1" ht="14.15" customHeight="1">
      <c r="A886" s="43"/>
      <c r="B886" s="44" t="s">
        <v>6635</v>
      </c>
      <c r="C886" s="50"/>
      <c r="D886" s="10" t="s">
        <v>29</v>
      </c>
      <c r="E886" s="11"/>
      <c r="F886" s="11" t="s">
        <v>18</v>
      </c>
      <c r="G886" s="13"/>
      <c r="H886" s="45" t="s">
        <v>16</v>
      </c>
      <c r="I886" s="47"/>
      <c r="J886" s="12" t="s">
        <v>3302</v>
      </c>
      <c r="K886" s="13" t="s">
        <v>7657</v>
      </c>
      <c r="L886" s="99" t="str">
        <f t="shared" si="56"/>
        <v>W3232.6</v>
      </c>
      <c r="M886" s="13"/>
      <c r="N886" s="13"/>
      <c r="O886" s="13"/>
      <c r="P886" s="47"/>
      <c r="Q886" s="45"/>
      <c r="R886" s="45"/>
      <c r="S886" s="48"/>
      <c r="T886" s="49" t="str">
        <f t="shared" si="55"/>
        <v>[W3232.6]</v>
      </c>
      <c r="U886" s="12" t="str">
        <f t="shared" si="58"/>
        <v/>
      </c>
      <c r="V886" s="49" t="str">
        <f t="shared" si="57"/>
        <v>[W3232.6]</v>
      </c>
    </row>
    <row r="887" spans="1:22" s="49" customFormat="1" ht="14.15" customHeight="1">
      <c r="A887" s="43"/>
      <c r="B887" s="44" t="s">
        <v>6635</v>
      </c>
      <c r="C887" s="50"/>
      <c r="D887" s="10" t="s">
        <v>29</v>
      </c>
      <c r="E887" s="11"/>
      <c r="F887" s="11" t="s">
        <v>18</v>
      </c>
      <c r="G887" s="13"/>
      <c r="H887" s="45" t="s">
        <v>16</v>
      </c>
      <c r="I887" s="47"/>
      <c r="J887" s="12" t="s">
        <v>3303</v>
      </c>
      <c r="K887" s="13" t="s">
        <v>7658</v>
      </c>
      <c r="L887" s="99" t="str">
        <f t="shared" si="56"/>
        <v>W3232.7</v>
      </c>
      <c r="M887" s="13"/>
      <c r="N887" s="13"/>
      <c r="O887" s="13"/>
      <c r="P887" s="47"/>
      <c r="Q887" s="45"/>
      <c r="R887" s="45"/>
      <c r="S887" s="48"/>
      <c r="T887" s="49" t="str">
        <f t="shared" si="55"/>
        <v>[W3232.7]</v>
      </c>
      <c r="U887" s="12" t="str">
        <f t="shared" si="58"/>
        <v/>
      </c>
      <c r="V887" s="49" t="str">
        <f t="shared" si="57"/>
        <v>[W3232.7]</v>
      </c>
    </row>
    <row r="888" spans="1:22" s="49" customFormat="1" ht="14.15" customHeight="1">
      <c r="A888" s="43"/>
      <c r="B888" s="44" t="s">
        <v>6635</v>
      </c>
      <c r="C888" s="50"/>
      <c r="D888" s="10" t="s">
        <v>29</v>
      </c>
      <c r="E888" s="11"/>
      <c r="F888" s="11" t="s">
        <v>18</v>
      </c>
      <c r="G888" s="13"/>
      <c r="H888" s="45" t="s">
        <v>16</v>
      </c>
      <c r="I888" s="47"/>
      <c r="J888" s="12" t="s">
        <v>3304</v>
      </c>
      <c r="K888" s="13" t="s">
        <v>7659</v>
      </c>
      <c r="L888" s="99" t="str">
        <f t="shared" si="56"/>
        <v>W3232.8</v>
      </c>
      <c r="M888" s="13"/>
      <c r="N888" s="13"/>
      <c r="O888" s="13"/>
      <c r="P888" s="47"/>
      <c r="Q888" s="45"/>
      <c r="R888" s="45"/>
      <c r="S888" s="48"/>
      <c r="T888" s="49" t="str">
        <f t="shared" si="55"/>
        <v>[W3232.8]</v>
      </c>
      <c r="U888" s="12" t="str">
        <f t="shared" si="58"/>
        <v/>
      </c>
      <c r="V888" s="49" t="str">
        <f t="shared" si="57"/>
        <v>[W3232.8]</v>
      </c>
    </row>
    <row r="889" spans="1:22" s="49" customFormat="1" ht="14.15" customHeight="1">
      <c r="A889" s="43"/>
      <c r="B889" s="44" t="s">
        <v>6635</v>
      </c>
      <c r="C889" s="50"/>
      <c r="D889" s="10" t="s">
        <v>29</v>
      </c>
      <c r="E889" s="11"/>
      <c r="F889" s="11" t="s">
        <v>18</v>
      </c>
      <c r="G889" s="13"/>
      <c r="H889" s="45" t="s">
        <v>16</v>
      </c>
      <c r="I889" s="47"/>
      <c r="J889" s="12" t="s">
        <v>3922</v>
      </c>
      <c r="K889" s="13" t="s">
        <v>7660</v>
      </c>
      <c r="L889" s="99" t="str">
        <f t="shared" si="56"/>
        <v>W3232.9</v>
      </c>
      <c r="M889" s="13"/>
      <c r="N889" s="13"/>
      <c r="O889" s="13"/>
      <c r="P889" s="47"/>
      <c r="Q889" s="45"/>
      <c r="R889" s="45"/>
      <c r="S889" s="48"/>
      <c r="T889" s="49" t="str">
        <f t="shared" si="55"/>
        <v>[W3232.9]</v>
      </c>
      <c r="U889" s="12" t="str">
        <f t="shared" si="58"/>
        <v/>
      </c>
      <c r="V889" s="49" t="str">
        <f t="shared" si="57"/>
        <v>[W3232.9]</v>
      </c>
    </row>
    <row r="890" spans="1:22" s="49" customFormat="1" ht="14.15" customHeight="1">
      <c r="A890" s="43"/>
      <c r="B890" s="44" t="s">
        <v>6635</v>
      </c>
      <c r="C890" s="50"/>
      <c r="D890" s="10" t="s">
        <v>29</v>
      </c>
      <c r="E890" s="11"/>
      <c r="F890" s="11" t="s">
        <v>18</v>
      </c>
      <c r="G890" s="13"/>
      <c r="H890" s="45" t="s">
        <v>16</v>
      </c>
      <c r="I890" s="47"/>
      <c r="J890" s="12" t="s">
        <v>3923</v>
      </c>
      <c r="K890" s="13" t="s">
        <v>7661</v>
      </c>
      <c r="L890" s="99" t="str">
        <f t="shared" si="56"/>
        <v>W3232.A</v>
      </c>
      <c r="M890" s="13"/>
      <c r="N890" s="13"/>
      <c r="O890" s="13"/>
      <c r="P890" s="47"/>
      <c r="Q890" s="45"/>
      <c r="R890" s="45"/>
      <c r="S890" s="48"/>
      <c r="T890" s="49" t="str">
        <f t="shared" si="55"/>
        <v>[W3232.A]</v>
      </c>
      <c r="U890" s="12" t="str">
        <f t="shared" si="58"/>
        <v/>
      </c>
      <c r="V890" s="49" t="str">
        <f t="shared" si="57"/>
        <v>[W3232.A]</v>
      </c>
    </row>
    <row r="891" spans="1:22" s="49" customFormat="1" ht="14.15" customHeight="1">
      <c r="A891" s="43"/>
      <c r="B891" s="44" t="s">
        <v>6635</v>
      </c>
      <c r="C891" s="50"/>
      <c r="D891" s="10" t="s">
        <v>29</v>
      </c>
      <c r="E891" s="11"/>
      <c r="F891" s="11" t="s">
        <v>18</v>
      </c>
      <c r="G891" s="13"/>
      <c r="H891" s="45" t="s">
        <v>16</v>
      </c>
      <c r="I891" s="47"/>
      <c r="J891" s="12" t="s">
        <v>3924</v>
      </c>
      <c r="K891" s="13" t="s">
        <v>7662</v>
      </c>
      <c r="L891" s="99" t="str">
        <f t="shared" si="56"/>
        <v>W3232.B</v>
      </c>
      <c r="M891" s="13"/>
      <c r="N891" s="13"/>
      <c r="O891" s="13"/>
      <c r="P891" s="47"/>
      <c r="Q891" s="45"/>
      <c r="R891" s="45"/>
      <c r="S891" s="48"/>
      <c r="T891" s="49" t="str">
        <f t="shared" si="55"/>
        <v>[W3232.B]</v>
      </c>
      <c r="U891" s="12" t="str">
        <f t="shared" si="58"/>
        <v/>
      </c>
      <c r="V891" s="49" t="str">
        <f t="shared" si="57"/>
        <v>[W3232.B]</v>
      </c>
    </row>
    <row r="892" spans="1:22" s="49" customFormat="1" ht="14.15" customHeight="1">
      <c r="A892" s="43"/>
      <c r="B892" s="44" t="s">
        <v>6635</v>
      </c>
      <c r="C892" s="50"/>
      <c r="D892" s="10" t="s">
        <v>29</v>
      </c>
      <c r="E892" s="11"/>
      <c r="F892" s="11" t="s">
        <v>18</v>
      </c>
      <c r="G892" s="13"/>
      <c r="H892" s="45" t="s">
        <v>16</v>
      </c>
      <c r="I892" s="47"/>
      <c r="J892" s="12" t="s">
        <v>3925</v>
      </c>
      <c r="K892" s="13" t="s">
        <v>7663</v>
      </c>
      <c r="L892" s="99" t="str">
        <f t="shared" si="56"/>
        <v>W3232.C</v>
      </c>
      <c r="M892" s="13"/>
      <c r="N892" s="13"/>
      <c r="O892" s="13"/>
      <c r="P892" s="47"/>
      <c r="Q892" s="45"/>
      <c r="R892" s="45"/>
      <c r="S892" s="48"/>
      <c r="T892" s="49" t="str">
        <f t="shared" si="55"/>
        <v>[W3232.C]</v>
      </c>
      <c r="U892" s="12" t="str">
        <f t="shared" si="58"/>
        <v/>
      </c>
      <c r="V892" s="49" t="str">
        <f t="shared" si="57"/>
        <v>[W3232.C]</v>
      </c>
    </row>
    <row r="893" spans="1:22" s="49" customFormat="1" ht="14.15" customHeight="1">
      <c r="A893" s="43"/>
      <c r="B893" s="44" t="s">
        <v>6635</v>
      </c>
      <c r="C893" s="50"/>
      <c r="D893" s="10" t="s">
        <v>29</v>
      </c>
      <c r="E893" s="11"/>
      <c r="F893" s="11" t="s">
        <v>18</v>
      </c>
      <c r="G893" s="13"/>
      <c r="H893" s="45" t="s">
        <v>16</v>
      </c>
      <c r="I893" s="47"/>
      <c r="J893" s="12" t="s">
        <v>3926</v>
      </c>
      <c r="K893" s="13" t="s">
        <v>7664</v>
      </c>
      <c r="L893" s="99" t="str">
        <f t="shared" si="56"/>
        <v>W3232.D</v>
      </c>
      <c r="M893" s="13"/>
      <c r="N893" s="13"/>
      <c r="O893" s="13"/>
      <c r="P893" s="47"/>
      <c r="Q893" s="45"/>
      <c r="R893" s="45"/>
      <c r="S893" s="48"/>
      <c r="T893" s="49" t="str">
        <f t="shared" si="55"/>
        <v>[W3232.D]</v>
      </c>
      <c r="U893" s="12" t="str">
        <f t="shared" si="58"/>
        <v/>
      </c>
      <c r="V893" s="49" t="str">
        <f t="shared" si="57"/>
        <v>[W3232.D]</v>
      </c>
    </row>
    <row r="894" spans="1:22" s="49" customFormat="1" ht="14.15" customHeight="1">
      <c r="A894" s="43"/>
      <c r="B894" s="44" t="s">
        <v>6635</v>
      </c>
      <c r="C894" s="50"/>
      <c r="D894" s="10" t="s">
        <v>29</v>
      </c>
      <c r="E894" s="11"/>
      <c r="F894" s="11" t="s">
        <v>18</v>
      </c>
      <c r="G894" s="13"/>
      <c r="H894" s="45" t="s">
        <v>16</v>
      </c>
      <c r="I894" s="47"/>
      <c r="J894" s="12" t="s">
        <v>3927</v>
      </c>
      <c r="K894" s="13" t="s">
        <v>7665</v>
      </c>
      <c r="L894" s="99" t="str">
        <f t="shared" si="56"/>
        <v>W3232.E</v>
      </c>
      <c r="M894" s="13"/>
      <c r="N894" s="13"/>
      <c r="O894" s="13"/>
      <c r="P894" s="47"/>
      <c r="Q894" s="45"/>
      <c r="R894" s="45"/>
      <c r="S894" s="48"/>
      <c r="T894" s="49" t="str">
        <f t="shared" si="55"/>
        <v>[W3232.E]</v>
      </c>
      <c r="U894" s="12" t="str">
        <f t="shared" si="58"/>
        <v/>
      </c>
      <c r="V894" s="49" t="str">
        <f t="shared" si="57"/>
        <v>[W3232.E]</v>
      </c>
    </row>
    <row r="895" spans="1:22" s="49" customFormat="1" ht="14.15" customHeight="1">
      <c r="A895" s="43"/>
      <c r="B895" s="44" t="s">
        <v>6635</v>
      </c>
      <c r="C895" s="50"/>
      <c r="D895" s="10" t="s">
        <v>29</v>
      </c>
      <c r="E895" s="11"/>
      <c r="F895" s="11" t="s">
        <v>18</v>
      </c>
      <c r="G895" s="13"/>
      <c r="H895" s="45" t="s">
        <v>16</v>
      </c>
      <c r="I895" s="47"/>
      <c r="J895" s="12" t="s">
        <v>3928</v>
      </c>
      <c r="K895" s="13" t="s">
        <v>7666</v>
      </c>
      <c r="L895" s="99" t="str">
        <f t="shared" si="56"/>
        <v>W3232.F</v>
      </c>
      <c r="M895" s="13"/>
      <c r="N895" s="13"/>
      <c r="O895" s="13"/>
      <c r="P895" s="47"/>
      <c r="Q895" s="45"/>
      <c r="R895" s="45"/>
      <c r="S895" s="48"/>
      <c r="T895" s="49" t="str">
        <f t="shared" si="55"/>
        <v>[W3232.F]</v>
      </c>
      <c r="U895" s="12" t="str">
        <f t="shared" si="58"/>
        <v/>
      </c>
      <c r="V895" s="49" t="str">
        <f t="shared" si="57"/>
        <v>[W3232.F]</v>
      </c>
    </row>
    <row r="896" spans="1:22" s="49" customFormat="1" ht="14.15" customHeight="1">
      <c r="A896" s="43"/>
      <c r="B896" s="44" t="s">
        <v>6635</v>
      </c>
      <c r="C896" s="50"/>
      <c r="D896" s="10" t="s">
        <v>29</v>
      </c>
      <c r="E896" s="11"/>
      <c r="F896" s="11" t="s">
        <v>18</v>
      </c>
      <c r="G896" s="13"/>
      <c r="H896" s="45" t="s">
        <v>16</v>
      </c>
      <c r="I896" s="47"/>
      <c r="J896" s="12" t="s">
        <v>3929</v>
      </c>
      <c r="K896" s="13" t="s">
        <v>7667</v>
      </c>
      <c r="L896" s="99" t="str">
        <f t="shared" si="56"/>
        <v>W3233.0</v>
      </c>
      <c r="M896" s="13"/>
      <c r="N896" s="13"/>
      <c r="O896" s="13"/>
      <c r="P896" s="47"/>
      <c r="Q896" s="45"/>
      <c r="R896" s="45"/>
      <c r="S896" s="48"/>
      <c r="T896" s="49" t="str">
        <f t="shared" si="55"/>
        <v>[W3233.0]</v>
      </c>
      <c r="U896" s="12" t="str">
        <f t="shared" si="58"/>
        <v/>
      </c>
      <c r="V896" s="49" t="str">
        <f t="shared" si="57"/>
        <v>[W3233.0]</v>
      </c>
    </row>
    <row r="897" spans="1:22" s="49" customFormat="1" ht="14.15" customHeight="1">
      <c r="A897" s="43"/>
      <c r="B897" s="44" t="s">
        <v>6635</v>
      </c>
      <c r="C897" s="50"/>
      <c r="D897" s="10" t="s">
        <v>29</v>
      </c>
      <c r="E897" s="11"/>
      <c r="F897" s="11" t="s">
        <v>18</v>
      </c>
      <c r="G897" s="13"/>
      <c r="H897" s="45" t="s">
        <v>16</v>
      </c>
      <c r="I897" s="47"/>
      <c r="J897" s="12" t="s">
        <v>3930</v>
      </c>
      <c r="K897" s="13" t="s">
        <v>7668</v>
      </c>
      <c r="L897" s="99" t="str">
        <f t="shared" si="56"/>
        <v>W3233.1</v>
      </c>
      <c r="M897" s="13"/>
      <c r="N897" s="13"/>
      <c r="O897" s="13"/>
      <c r="P897" s="47"/>
      <c r="Q897" s="45"/>
      <c r="R897" s="45"/>
      <c r="S897" s="48"/>
      <c r="T897" s="49" t="str">
        <f t="shared" si="55"/>
        <v>[W3233.1]</v>
      </c>
      <c r="U897" s="12" t="str">
        <f t="shared" si="58"/>
        <v/>
      </c>
      <c r="V897" s="49" t="str">
        <f t="shared" si="57"/>
        <v>[W3233.1]</v>
      </c>
    </row>
    <row r="898" spans="1:22" s="49" customFormat="1" ht="14.15" customHeight="1">
      <c r="A898" s="43"/>
      <c r="B898" s="44" t="s">
        <v>6635</v>
      </c>
      <c r="C898" s="50"/>
      <c r="D898" s="10" t="s">
        <v>29</v>
      </c>
      <c r="E898" s="11"/>
      <c r="F898" s="11" t="s">
        <v>18</v>
      </c>
      <c r="G898" s="13"/>
      <c r="H898" s="45" t="s">
        <v>16</v>
      </c>
      <c r="I898" s="47"/>
      <c r="J898" s="12" t="s">
        <v>3931</v>
      </c>
      <c r="K898" s="13" t="s">
        <v>7669</v>
      </c>
      <c r="L898" s="99" t="str">
        <f t="shared" si="56"/>
        <v>W3233.2</v>
      </c>
      <c r="M898" s="13"/>
      <c r="N898" s="13"/>
      <c r="O898" s="13"/>
      <c r="P898" s="47"/>
      <c r="Q898" s="45"/>
      <c r="R898" s="45"/>
      <c r="S898" s="48"/>
      <c r="T898" s="49" t="str">
        <f t="shared" si="55"/>
        <v>[W3233.2]</v>
      </c>
      <c r="U898" s="12" t="str">
        <f t="shared" si="58"/>
        <v/>
      </c>
      <c r="V898" s="49" t="str">
        <f t="shared" si="57"/>
        <v>[W3233.2]</v>
      </c>
    </row>
    <row r="899" spans="1:22" s="49" customFormat="1" ht="14.15" customHeight="1">
      <c r="A899" s="43" t="s">
        <v>6673</v>
      </c>
      <c r="B899" s="44" t="s">
        <v>6635</v>
      </c>
      <c r="C899" s="50"/>
      <c r="D899" s="10" t="s">
        <v>29</v>
      </c>
      <c r="E899" s="11"/>
      <c r="F899" s="11" t="s">
        <v>18</v>
      </c>
      <c r="G899" s="13"/>
      <c r="H899" s="45" t="s">
        <v>16</v>
      </c>
      <c r="I899" s="47"/>
      <c r="J899" s="12" t="s">
        <v>6231</v>
      </c>
      <c r="K899" s="13" t="s">
        <v>7670</v>
      </c>
      <c r="L899" s="99" t="str">
        <f t="shared" si="56"/>
        <v>W3233.3</v>
      </c>
      <c r="M899" s="13" t="s">
        <v>17</v>
      </c>
      <c r="N899" s="13"/>
      <c r="O899" s="13"/>
      <c r="P899" s="47"/>
      <c r="Q899" s="45" t="s">
        <v>142</v>
      </c>
      <c r="R899" s="45" t="s">
        <v>5596</v>
      </c>
      <c r="S899" s="48"/>
      <c r="T899" s="49" t="str">
        <f t="shared" si="55"/>
        <v>[W3233.3]</v>
      </c>
      <c r="U899" s="12" t="str">
        <f t="shared" si="58"/>
        <v xml:space="preserve"> 터브이송#3-1 터브이송#3-2 지령오류 (M8005, M8026)</v>
      </c>
      <c r="V899" s="49" t="str">
        <f t="shared" si="57"/>
        <v>[W3233.3] 터브이송#3-1 터브이송#3-2 지령오류 (M8005, M8026)</v>
      </c>
    </row>
    <row r="900" spans="1:22" s="49" customFormat="1" ht="14.15" customHeight="1">
      <c r="A900" s="43" t="s">
        <v>6673</v>
      </c>
      <c r="B900" s="44" t="s">
        <v>6635</v>
      </c>
      <c r="C900" s="50"/>
      <c r="D900" s="10" t="s">
        <v>29</v>
      </c>
      <c r="E900" s="11"/>
      <c r="F900" s="11" t="s">
        <v>18</v>
      </c>
      <c r="G900" s="13"/>
      <c r="H900" s="45" t="s">
        <v>16</v>
      </c>
      <c r="I900" s="47"/>
      <c r="J900" s="12" t="s">
        <v>6232</v>
      </c>
      <c r="K900" s="13" t="s">
        <v>7671</v>
      </c>
      <c r="L900" s="99" t="str">
        <f t="shared" si="56"/>
        <v>W3233.4</v>
      </c>
      <c r="M900" s="13" t="s">
        <v>17</v>
      </c>
      <c r="N900" s="13"/>
      <c r="O900" s="13"/>
      <c r="P900" s="47"/>
      <c r="Q900" s="45" t="s">
        <v>142</v>
      </c>
      <c r="R900" s="45" t="s">
        <v>5596</v>
      </c>
      <c r="S900" s="48"/>
      <c r="T900" s="49" t="str">
        <f t="shared" si="55"/>
        <v>[W3233.4]</v>
      </c>
      <c r="U900" s="12" t="str">
        <f t="shared" si="58"/>
        <v xml:space="preserve"> 터브이송#3-2 터브이송#3-3 지령오류 (M8025, M8046)</v>
      </c>
      <c r="V900" s="49" t="str">
        <f t="shared" si="57"/>
        <v>[W3233.4] 터브이송#3-2 터브이송#3-3 지령오류 (M8025, M8046)</v>
      </c>
    </row>
    <row r="901" spans="1:22" s="49" customFormat="1" ht="14.15" customHeight="1">
      <c r="A901" s="43" t="s">
        <v>6673</v>
      </c>
      <c r="B901" s="44" t="s">
        <v>6635</v>
      </c>
      <c r="C901" s="50"/>
      <c r="D901" s="10" t="s">
        <v>29</v>
      </c>
      <c r="E901" s="11"/>
      <c r="F901" s="11" t="s">
        <v>18</v>
      </c>
      <c r="G901" s="13"/>
      <c r="H901" s="45" t="s">
        <v>16</v>
      </c>
      <c r="I901" s="47"/>
      <c r="J901" s="12" t="s">
        <v>6233</v>
      </c>
      <c r="K901" s="13" t="s">
        <v>7672</v>
      </c>
      <c r="L901" s="99" t="str">
        <f t="shared" si="56"/>
        <v>W3233.5</v>
      </c>
      <c r="M901" s="13" t="s">
        <v>17</v>
      </c>
      <c r="N901" s="13"/>
      <c r="O901" s="13"/>
      <c r="P901" s="47"/>
      <c r="Q901" s="45" t="s">
        <v>142</v>
      </c>
      <c r="R901" s="45" t="s">
        <v>5596</v>
      </c>
      <c r="S901" s="48"/>
      <c r="T901" s="49" t="str">
        <f t="shared" si="55"/>
        <v>[W3233.5]</v>
      </c>
      <c r="U901" s="12" t="str">
        <f t="shared" si="58"/>
        <v xml:space="preserve"> 터브이송#3-1 터브이송#3-2 구동방향오류</v>
      </c>
      <c r="V901" s="49" t="str">
        <f t="shared" si="57"/>
        <v>[W3233.5] 터브이송#3-1 터브이송#3-2 구동방향오류</v>
      </c>
    </row>
    <row r="902" spans="1:22" s="49" customFormat="1" ht="14.15" customHeight="1">
      <c r="A902" s="43" t="s">
        <v>6673</v>
      </c>
      <c r="B902" s="44" t="s">
        <v>6635</v>
      </c>
      <c r="C902" s="50"/>
      <c r="D902" s="10" t="s">
        <v>29</v>
      </c>
      <c r="E902" s="11"/>
      <c r="F902" s="11" t="s">
        <v>18</v>
      </c>
      <c r="G902" s="13"/>
      <c r="H902" s="45" t="s">
        <v>16</v>
      </c>
      <c r="I902" s="47"/>
      <c r="J902" s="12" t="s">
        <v>6234</v>
      </c>
      <c r="K902" s="13" t="s">
        <v>7673</v>
      </c>
      <c r="L902" s="99" t="str">
        <f t="shared" si="56"/>
        <v>W3233.6</v>
      </c>
      <c r="M902" s="13" t="s">
        <v>17</v>
      </c>
      <c r="N902" s="13"/>
      <c r="O902" s="13"/>
      <c r="P902" s="47"/>
      <c r="Q902" s="45" t="s">
        <v>142</v>
      </c>
      <c r="R902" s="45" t="s">
        <v>5596</v>
      </c>
      <c r="S902" s="48"/>
      <c r="T902" s="49" t="str">
        <f t="shared" si="55"/>
        <v>[W3233.6]</v>
      </c>
      <c r="U902" s="12" t="str">
        <f t="shared" si="58"/>
        <v xml:space="preserve"> 터브이송#3-2 터브이송#3-3 구동방향오류</v>
      </c>
      <c r="V902" s="49" t="str">
        <f t="shared" si="57"/>
        <v>[W3233.6] 터브이송#3-2 터브이송#3-3 구동방향오류</v>
      </c>
    </row>
    <row r="903" spans="1:22" s="49" customFormat="1" ht="14.15" customHeight="1">
      <c r="A903" s="43" t="s">
        <v>6673</v>
      </c>
      <c r="B903" s="44" t="s">
        <v>6635</v>
      </c>
      <c r="C903" s="50"/>
      <c r="D903" s="10" t="s">
        <v>29</v>
      </c>
      <c r="E903" s="11"/>
      <c r="F903" s="11" t="s">
        <v>18</v>
      </c>
      <c r="G903" s="13"/>
      <c r="H903" s="45" t="s">
        <v>16</v>
      </c>
      <c r="I903" s="47"/>
      <c r="J903" s="12" t="s">
        <v>6235</v>
      </c>
      <c r="K903" s="13" t="s">
        <v>7674</v>
      </c>
      <c r="L903" s="99" t="str">
        <f t="shared" si="56"/>
        <v>W3233.7</v>
      </c>
      <c r="M903" s="13" t="s">
        <v>17</v>
      </c>
      <c r="N903" s="13"/>
      <c r="O903" s="13"/>
      <c r="P903" s="47"/>
      <c r="Q903" s="45" t="s">
        <v>142</v>
      </c>
      <c r="R903" s="45" t="s">
        <v>5596</v>
      </c>
      <c r="S903" s="48"/>
      <c r="T903" s="49" t="str">
        <f t="shared" si="55"/>
        <v>[W3233.7]</v>
      </c>
      <c r="U903" s="12" t="str">
        <f t="shared" si="58"/>
        <v xml:space="preserve"> 터브이송#3-1 터브이송#3-2 간격오류 (D24546, D24544)</v>
      </c>
      <c r="V903" s="49" t="str">
        <f t="shared" si="57"/>
        <v>[W3233.7] 터브이송#3-1 터브이송#3-2 간격오류 (D24546, D24544)</v>
      </c>
    </row>
    <row r="904" spans="1:22" s="49" customFormat="1" ht="14.15" customHeight="1">
      <c r="A904" s="43" t="s">
        <v>6673</v>
      </c>
      <c r="B904" s="44" t="s">
        <v>6635</v>
      </c>
      <c r="C904" s="50"/>
      <c r="D904" s="10" t="s">
        <v>29</v>
      </c>
      <c r="E904" s="11"/>
      <c r="F904" s="11" t="s">
        <v>18</v>
      </c>
      <c r="G904" s="13"/>
      <c r="H904" s="45" t="s">
        <v>16</v>
      </c>
      <c r="I904" s="47"/>
      <c r="J904" s="12" t="s">
        <v>6236</v>
      </c>
      <c r="K904" s="13" t="s">
        <v>7675</v>
      </c>
      <c r="L904" s="99" t="str">
        <f t="shared" si="56"/>
        <v>W3233.8</v>
      </c>
      <c r="M904" s="13" t="s">
        <v>17</v>
      </c>
      <c r="N904" s="13"/>
      <c r="O904" s="13"/>
      <c r="P904" s="47"/>
      <c r="Q904" s="45" t="s">
        <v>142</v>
      </c>
      <c r="R904" s="45" t="s">
        <v>5596</v>
      </c>
      <c r="S904" s="48"/>
      <c r="T904" s="49" t="str">
        <f t="shared" si="55"/>
        <v>[W3233.8]</v>
      </c>
      <c r="U904" s="12" t="str">
        <f t="shared" si="58"/>
        <v xml:space="preserve"> 터브이송#3-2 터브이송#3-3 간격오류 (D24946, D24944)</v>
      </c>
      <c r="V904" s="49" t="str">
        <f t="shared" si="57"/>
        <v>[W3233.8] 터브이송#3-2 터브이송#3-3 간격오류 (D24946, D24944)</v>
      </c>
    </row>
    <row r="905" spans="1:22" s="49" customFormat="1" ht="14.15" customHeight="1">
      <c r="A905" s="43"/>
      <c r="B905" s="44" t="s">
        <v>6635</v>
      </c>
      <c r="C905" s="50"/>
      <c r="D905" s="10" t="s">
        <v>29</v>
      </c>
      <c r="E905" s="11"/>
      <c r="F905" s="11" t="s">
        <v>18</v>
      </c>
      <c r="G905" s="13"/>
      <c r="H905" s="45" t="s">
        <v>16</v>
      </c>
      <c r="I905" s="47"/>
      <c r="J905" s="12" t="s">
        <v>3932</v>
      </c>
      <c r="K905" s="13" t="s">
        <v>7676</v>
      </c>
      <c r="L905" s="99" t="str">
        <f t="shared" si="56"/>
        <v>W3233.9</v>
      </c>
      <c r="M905" s="13"/>
      <c r="N905" s="13"/>
      <c r="O905" s="13"/>
      <c r="P905" s="47"/>
      <c r="Q905" s="45"/>
      <c r="R905" s="45"/>
      <c r="S905" s="48"/>
      <c r="T905" s="49" t="str">
        <f t="shared" si="55"/>
        <v>[W3233.9]</v>
      </c>
      <c r="U905" s="12" t="str">
        <f t="shared" si="58"/>
        <v/>
      </c>
      <c r="V905" s="49" t="str">
        <f t="shared" si="57"/>
        <v>[W3233.9]</v>
      </c>
    </row>
    <row r="906" spans="1:22" s="49" customFormat="1" ht="14.15" customHeight="1">
      <c r="A906" s="43"/>
      <c r="B906" s="44" t="s">
        <v>6635</v>
      </c>
      <c r="C906" s="50"/>
      <c r="D906" s="10" t="s">
        <v>29</v>
      </c>
      <c r="E906" s="11"/>
      <c r="F906" s="11" t="s">
        <v>18</v>
      </c>
      <c r="G906" s="13"/>
      <c r="H906" s="45" t="s">
        <v>16</v>
      </c>
      <c r="I906" s="47"/>
      <c r="J906" s="12" t="s">
        <v>3933</v>
      </c>
      <c r="K906" s="13" t="s">
        <v>7677</v>
      </c>
      <c r="L906" s="99" t="str">
        <f t="shared" si="56"/>
        <v>W3233.A</v>
      </c>
      <c r="M906" s="13"/>
      <c r="N906" s="13"/>
      <c r="O906" s="13"/>
      <c r="P906" s="47"/>
      <c r="Q906" s="45"/>
      <c r="R906" s="45"/>
      <c r="S906" s="48"/>
      <c r="T906" s="49" t="str">
        <f t="shared" si="55"/>
        <v>[W3233.A]</v>
      </c>
      <c r="U906" s="12" t="str">
        <f t="shared" si="58"/>
        <v/>
      </c>
      <c r="V906" s="49" t="str">
        <f t="shared" si="57"/>
        <v>[W3233.A]</v>
      </c>
    </row>
    <row r="907" spans="1:22" s="49" customFormat="1" ht="14.15" customHeight="1">
      <c r="A907" s="43"/>
      <c r="B907" s="44" t="s">
        <v>6635</v>
      </c>
      <c r="C907" s="50"/>
      <c r="D907" s="10" t="s">
        <v>29</v>
      </c>
      <c r="E907" s="11"/>
      <c r="F907" s="11" t="s">
        <v>18</v>
      </c>
      <c r="G907" s="13"/>
      <c r="H907" s="45" t="s">
        <v>16</v>
      </c>
      <c r="I907" s="47"/>
      <c r="J907" s="12" t="s">
        <v>3934</v>
      </c>
      <c r="K907" s="13" t="s">
        <v>7678</v>
      </c>
      <c r="L907" s="99" t="str">
        <f t="shared" si="56"/>
        <v>W3233.B</v>
      </c>
      <c r="M907" s="13"/>
      <c r="N907" s="13"/>
      <c r="O907" s="13"/>
      <c r="P907" s="47"/>
      <c r="Q907" s="45"/>
      <c r="R907" s="45"/>
      <c r="S907" s="48"/>
      <c r="T907" s="49" t="str">
        <f t="shared" si="55"/>
        <v>[W3233.B]</v>
      </c>
      <c r="U907" s="12" t="str">
        <f t="shared" si="58"/>
        <v/>
      </c>
      <c r="V907" s="49" t="str">
        <f t="shared" si="57"/>
        <v>[W3233.B]</v>
      </c>
    </row>
    <row r="908" spans="1:22" s="49" customFormat="1" ht="14.15" customHeight="1">
      <c r="A908" s="43"/>
      <c r="B908" s="44" t="s">
        <v>6635</v>
      </c>
      <c r="C908" s="50"/>
      <c r="D908" s="10" t="s">
        <v>29</v>
      </c>
      <c r="E908" s="11"/>
      <c r="F908" s="11" t="s">
        <v>18</v>
      </c>
      <c r="G908" s="13"/>
      <c r="H908" s="45" t="s">
        <v>16</v>
      </c>
      <c r="I908" s="47"/>
      <c r="J908" s="12" t="s">
        <v>3935</v>
      </c>
      <c r="K908" s="13" t="s">
        <v>7679</v>
      </c>
      <c r="L908" s="99" t="str">
        <f t="shared" si="56"/>
        <v>W3233.C</v>
      </c>
      <c r="M908" s="13"/>
      <c r="N908" s="13"/>
      <c r="O908" s="13"/>
      <c r="P908" s="47"/>
      <c r="Q908" s="45"/>
      <c r="R908" s="45"/>
      <c r="S908" s="48"/>
      <c r="T908" s="49" t="str">
        <f t="shared" si="55"/>
        <v>[W3233.C]</v>
      </c>
      <c r="U908" s="12" t="str">
        <f t="shared" si="58"/>
        <v/>
      </c>
      <c r="V908" s="49" t="str">
        <f t="shared" si="57"/>
        <v>[W3233.C]</v>
      </c>
    </row>
    <row r="909" spans="1:22" s="49" customFormat="1" ht="14.15" customHeight="1">
      <c r="A909" s="43"/>
      <c r="B909" s="44" t="s">
        <v>6635</v>
      </c>
      <c r="C909" s="50"/>
      <c r="D909" s="10" t="s">
        <v>29</v>
      </c>
      <c r="E909" s="11"/>
      <c r="F909" s="11" t="s">
        <v>18</v>
      </c>
      <c r="G909" s="13"/>
      <c r="H909" s="45" t="s">
        <v>16</v>
      </c>
      <c r="I909" s="47"/>
      <c r="J909" s="12" t="s">
        <v>3936</v>
      </c>
      <c r="K909" s="13" t="s">
        <v>7680</v>
      </c>
      <c r="L909" s="99" t="str">
        <f t="shared" si="56"/>
        <v>W3233.D</v>
      </c>
      <c r="M909" s="13"/>
      <c r="N909" s="13"/>
      <c r="O909" s="13"/>
      <c r="P909" s="47"/>
      <c r="Q909" s="45"/>
      <c r="R909" s="45"/>
      <c r="S909" s="48"/>
      <c r="T909" s="49" t="str">
        <f t="shared" si="55"/>
        <v>[W3233.D]</v>
      </c>
      <c r="U909" s="12" t="str">
        <f t="shared" si="58"/>
        <v/>
      </c>
      <c r="V909" s="49" t="str">
        <f t="shared" si="57"/>
        <v>[W3233.D]</v>
      </c>
    </row>
    <row r="910" spans="1:22" s="49" customFormat="1" ht="14.15" customHeight="1">
      <c r="A910" s="43"/>
      <c r="B910" s="44" t="s">
        <v>6635</v>
      </c>
      <c r="C910" s="50"/>
      <c r="D910" s="10" t="s">
        <v>29</v>
      </c>
      <c r="E910" s="11"/>
      <c r="F910" s="11" t="s">
        <v>18</v>
      </c>
      <c r="G910" s="13"/>
      <c r="H910" s="45" t="s">
        <v>16</v>
      </c>
      <c r="I910" s="47"/>
      <c r="J910" s="12" t="s">
        <v>3937</v>
      </c>
      <c r="K910" s="13" t="s">
        <v>7681</v>
      </c>
      <c r="L910" s="99" t="str">
        <f t="shared" si="56"/>
        <v>W3233.E</v>
      </c>
      <c r="M910" s="13"/>
      <c r="N910" s="13"/>
      <c r="O910" s="13"/>
      <c r="P910" s="47"/>
      <c r="Q910" s="45"/>
      <c r="R910" s="45"/>
      <c r="S910" s="48"/>
      <c r="T910" s="49" t="str">
        <f t="shared" si="55"/>
        <v>[W3233.E]</v>
      </c>
      <c r="U910" s="12" t="str">
        <f t="shared" si="58"/>
        <v/>
      </c>
      <c r="V910" s="49" t="str">
        <f t="shared" si="57"/>
        <v>[W3233.E]</v>
      </c>
    </row>
    <row r="911" spans="1:22" s="49" customFormat="1" ht="14.15" customHeight="1">
      <c r="A911" s="43"/>
      <c r="B911" s="44" t="s">
        <v>6635</v>
      </c>
      <c r="C911" s="50"/>
      <c r="D911" s="10" t="s">
        <v>29</v>
      </c>
      <c r="E911" s="11"/>
      <c r="F911" s="11" t="s">
        <v>18</v>
      </c>
      <c r="G911" s="13"/>
      <c r="H911" s="45" t="s">
        <v>16</v>
      </c>
      <c r="I911" s="47"/>
      <c r="J911" s="12" t="s">
        <v>3938</v>
      </c>
      <c r="K911" s="13" t="s">
        <v>7682</v>
      </c>
      <c r="L911" s="99" t="str">
        <f t="shared" si="56"/>
        <v>W3233.F</v>
      </c>
      <c r="M911" s="13"/>
      <c r="N911" s="13"/>
      <c r="O911" s="13"/>
      <c r="P911" s="47"/>
      <c r="Q911" s="45"/>
      <c r="R911" s="45"/>
      <c r="S911" s="48"/>
      <c r="T911" s="49" t="str">
        <f t="shared" si="55"/>
        <v>[W3233.F]</v>
      </c>
      <c r="U911" s="12" t="str">
        <f t="shared" si="58"/>
        <v/>
      </c>
      <c r="V911" s="49" t="str">
        <f t="shared" si="57"/>
        <v>[W3233.F]</v>
      </c>
    </row>
    <row r="912" spans="1:22" s="49" customFormat="1" ht="14.15" customHeight="1">
      <c r="A912" s="44"/>
      <c r="B912" s="44" t="s">
        <v>6635</v>
      </c>
      <c r="C912" s="50"/>
      <c r="D912" s="10" t="s">
        <v>29</v>
      </c>
      <c r="E912" s="11"/>
      <c r="F912" s="11" t="s">
        <v>18</v>
      </c>
      <c r="G912" s="13"/>
      <c r="H912" s="45" t="s">
        <v>16</v>
      </c>
      <c r="I912" s="47"/>
      <c r="J912" s="12" t="s">
        <v>3939</v>
      </c>
      <c r="K912" s="13" t="s">
        <v>7683</v>
      </c>
      <c r="L912" s="99" t="str">
        <f t="shared" si="56"/>
        <v>W3234.0</v>
      </c>
      <c r="M912" s="13"/>
      <c r="N912" s="13"/>
      <c r="O912" s="13"/>
      <c r="P912" s="47"/>
      <c r="Q912" s="45"/>
      <c r="R912" s="45"/>
      <c r="S912" s="48"/>
      <c r="T912" s="49" t="str">
        <f t="shared" ref="T912:T975" si="59">"["&amp;L912&amp;"]"</f>
        <v>[W3234.0]</v>
      </c>
      <c r="U912" s="12" t="str">
        <f t="shared" si="58"/>
        <v/>
      </c>
      <c r="V912" s="49" t="str">
        <f t="shared" si="57"/>
        <v>[W3234.0]</v>
      </c>
    </row>
    <row r="913" spans="1:22" s="49" customFormat="1" ht="14.15" customHeight="1">
      <c r="A913" s="43"/>
      <c r="B913" s="44" t="s">
        <v>6635</v>
      </c>
      <c r="C913" s="50"/>
      <c r="D913" s="10" t="s">
        <v>29</v>
      </c>
      <c r="E913" s="11"/>
      <c r="F913" s="11" t="s">
        <v>18</v>
      </c>
      <c r="G913" s="13"/>
      <c r="H913" s="45" t="s">
        <v>16</v>
      </c>
      <c r="I913" s="47"/>
      <c r="J913" s="12" t="s">
        <v>3940</v>
      </c>
      <c r="K913" s="13" t="s">
        <v>7684</v>
      </c>
      <c r="L913" s="99" t="str">
        <f t="shared" ref="L913:L976" si="60">"W"&amp;DEC2HEX(12800 + INT((ROW()-80)/16)) &amp; "." &amp; IF(MOD(ROW()-80,16)&lt;10,MOD(ROW()-80,16),CHAR(MOD(ROW()-80,16)+55))</f>
        <v>W3234.1</v>
      </c>
      <c r="M913" s="13"/>
      <c r="N913" s="13"/>
      <c r="O913" s="13"/>
      <c r="P913" s="47"/>
      <c r="Q913" s="45"/>
      <c r="R913" s="45"/>
      <c r="S913" s="48"/>
      <c r="T913" s="49" t="str">
        <f t="shared" si="59"/>
        <v>[W3234.1]</v>
      </c>
      <c r="U913" s="12" t="str">
        <f t="shared" si="58"/>
        <v/>
      </c>
      <c r="V913" s="49" t="str">
        <f t="shared" ref="V913:V976" si="61">T913&amp;U913</f>
        <v>[W3234.1]</v>
      </c>
    </row>
    <row r="914" spans="1:22" s="49" customFormat="1" ht="14.15" customHeight="1">
      <c r="A914" s="44"/>
      <c r="B914" s="44" t="s">
        <v>6635</v>
      </c>
      <c r="C914" s="50"/>
      <c r="D914" s="10" t="s">
        <v>29</v>
      </c>
      <c r="E914" s="11"/>
      <c r="F914" s="11" t="s">
        <v>18</v>
      </c>
      <c r="G914" s="13"/>
      <c r="H914" s="45" t="s">
        <v>16</v>
      </c>
      <c r="I914" s="47"/>
      <c r="J914" s="12" t="s">
        <v>3941</v>
      </c>
      <c r="K914" s="13" t="s">
        <v>7685</v>
      </c>
      <c r="L914" s="99" t="str">
        <f t="shared" si="60"/>
        <v>W3234.2</v>
      </c>
      <c r="M914" s="13"/>
      <c r="N914" s="13"/>
      <c r="O914" s="13"/>
      <c r="P914" s="47"/>
      <c r="Q914" s="45"/>
      <c r="R914" s="45"/>
      <c r="S914" s="48"/>
      <c r="T914" s="49" t="str">
        <f t="shared" si="59"/>
        <v>[W3234.2]</v>
      </c>
      <c r="U914" s="12" t="str">
        <f t="shared" si="58"/>
        <v/>
      </c>
      <c r="V914" s="49" t="str">
        <f t="shared" si="61"/>
        <v>[W3234.2]</v>
      </c>
    </row>
    <row r="915" spans="1:22" s="49" customFormat="1" ht="14.15" customHeight="1">
      <c r="A915" s="44"/>
      <c r="B915" s="44" t="s">
        <v>6635</v>
      </c>
      <c r="C915" s="50"/>
      <c r="D915" s="10" t="s">
        <v>29</v>
      </c>
      <c r="E915" s="11"/>
      <c r="F915" s="11" t="s">
        <v>18</v>
      </c>
      <c r="G915" s="13"/>
      <c r="H915" s="45" t="s">
        <v>16</v>
      </c>
      <c r="I915" s="47"/>
      <c r="J915" s="12" t="s">
        <v>3942</v>
      </c>
      <c r="K915" s="13" t="s">
        <v>7686</v>
      </c>
      <c r="L915" s="99" t="str">
        <f t="shared" si="60"/>
        <v>W3234.3</v>
      </c>
      <c r="M915" s="13"/>
      <c r="N915" s="13"/>
      <c r="O915" s="13"/>
      <c r="P915" s="47"/>
      <c r="Q915" s="45"/>
      <c r="R915" s="45"/>
      <c r="S915" s="48"/>
      <c r="T915" s="49" t="str">
        <f t="shared" si="59"/>
        <v>[W3234.3]</v>
      </c>
      <c r="U915" s="12" t="str">
        <f t="shared" si="58"/>
        <v/>
      </c>
      <c r="V915" s="49" t="str">
        <f t="shared" si="61"/>
        <v>[W3234.3]</v>
      </c>
    </row>
    <row r="916" spans="1:22" s="49" customFormat="1" ht="14.15" customHeight="1">
      <c r="A916" s="44"/>
      <c r="B916" s="44" t="s">
        <v>6635</v>
      </c>
      <c r="C916" s="50"/>
      <c r="D916" s="10" t="s">
        <v>29</v>
      </c>
      <c r="E916" s="11"/>
      <c r="F916" s="11" t="s">
        <v>18</v>
      </c>
      <c r="G916" s="13"/>
      <c r="H916" s="45" t="s">
        <v>16</v>
      </c>
      <c r="I916" s="47"/>
      <c r="J916" s="12" t="s">
        <v>3943</v>
      </c>
      <c r="K916" s="13" t="s">
        <v>7687</v>
      </c>
      <c r="L916" s="99" t="str">
        <f t="shared" si="60"/>
        <v>W3234.4</v>
      </c>
      <c r="M916" s="13"/>
      <c r="N916" s="13"/>
      <c r="O916" s="13"/>
      <c r="P916" s="47"/>
      <c r="Q916" s="45"/>
      <c r="R916" s="45"/>
      <c r="S916" s="48"/>
      <c r="T916" s="49" t="str">
        <f t="shared" si="59"/>
        <v>[W3234.4]</v>
      </c>
      <c r="U916" s="12" t="str">
        <f t="shared" si="58"/>
        <v/>
      </c>
      <c r="V916" s="49" t="str">
        <f t="shared" si="61"/>
        <v>[W3234.4]</v>
      </c>
    </row>
    <row r="917" spans="1:22" s="49" customFormat="1" ht="14.15" customHeight="1">
      <c r="A917" s="44"/>
      <c r="B917" s="44" t="s">
        <v>6635</v>
      </c>
      <c r="C917" s="50"/>
      <c r="D917" s="10" t="s">
        <v>29</v>
      </c>
      <c r="E917" s="11"/>
      <c r="F917" s="11" t="s">
        <v>18</v>
      </c>
      <c r="G917" s="13"/>
      <c r="H917" s="45" t="s">
        <v>16</v>
      </c>
      <c r="I917" s="47"/>
      <c r="J917" s="12" t="s">
        <v>3944</v>
      </c>
      <c r="K917" s="13" t="s">
        <v>7688</v>
      </c>
      <c r="L917" s="99" t="str">
        <f t="shared" si="60"/>
        <v>W3234.5</v>
      </c>
      <c r="M917" s="13"/>
      <c r="N917" s="13"/>
      <c r="O917" s="13"/>
      <c r="P917" s="47"/>
      <c r="Q917" s="45"/>
      <c r="R917" s="45"/>
      <c r="S917" s="48"/>
      <c r="T917" s="49" t="str">
        <f t="shared" si="59"/>
        <v>[W3234.5]</v>
      </c>
      <c r="U917" s="12" t="str">
        <f t="shared" ref="U917:U980" si="62">RIGHT(J917,LEN(J917)-7)</f>
        <v/>
      </c>
      <c r="V917" s="49" t="str">
        <f t="shared" si="61"/>
        <v>[W3234.5]</v>
      </c>
    </row>
    <row r="918" spans="1:22" s="49" customFormat="1" ht="14.15" customHeight="1">
      <c r="A918" s="43"/>
      <c r="B918" s="44" t="s">
        <v>6635</v>
      </c>
      <c r="C918" s="50"/>
      <c r="D918" s="10" t="s">
        <v>29</v>
      </c>
      <c r="E918" s="11"/>
      <c r="F918" s="11" t="s">
        <v>18</v>
      </c>
      <c r="G918" s="13"/>
      <c r="H918" s="45" t="s">
        <v>16</v>
      </c>
      <c r="I918" s="47"/>
      <c r="J918" s="12" t="s">
        <v>3945</v>
      </c>
      <c r="K918" s="13" t="s">
        <v>7689</v>
      </c>
      <c r="L918" s="99" t="str">
        <f t="shared" si="60"/>
        <v>W3234.6</v>
      </c>
      <c r="M918" s="13"/>
      <c r="N918" s="13"/>
      <c r="O918" s="13"/>
      <c r="P918" s="47"/>
      <c r="Q918" s="45"/>
      <c r="R918" s="45"/>
      <c r="S918" s="48"/>
      <c r="T918" s="49" t="str">
        <f t="shared" si="59"/>
        <v>[W3234.6]</v>
      </c>
      <c r="U918" s="12" t="str">
        <f t="shared" si="62"/>
        <v/>
      </c>
      <c r="V918" s="49" t="str">
        <f t="shared" si="61"/>
        <v>[W3234.6]</v>
      </c>
    </row>
    <row r="919" spans="1:22" s="49" customFormat="1" ht="14.15" customHeight="1">
      <c r="A919" s="43" t="s">
        <v>6673</v>
      </c>
      <c r="B919" s="44" t="s">
        <v>6635</v>
      </c>
      <c r="C919" s="50"/>
      <c r="D919" s="10" t="s">
        <v>29</v>
      </c>
      <c r="E919" s="11"/>
      <c r="F919" s="11" t="s">
        <v>18</v>
      </c>
      <c r="G919" s="13"/>
      <c r="H919" s="45" t="s">
        <v>16</v>
      </c>
      <c r="I919" s="47"/>
      <c r="J919" s="12" t="s">
        <v>6237</v>
      </c>
      <c r="K919" s="13" t="s">
        <v>7690</v>
      </c>
      <c r="L919" s="99" t="str">
        <f t="shared" si="60"/>
        <v>W3234.7</v>
      </c>
      <c r="M919" s="13" t="s">
        <v>17</v>
      </c>
      <c r="N919" s="13"/>
      <c r="O919" s="13"/>
      <c r="P919" s="47"/>
      <c r="Q919" s="45" t="s">
        <v>142</v>
      </c>
      <c r="R919" s="45" t="s">
        <v>5596</v>
      </c>
      <c r="S919" s="48"/>
      <c r="T919" s="49" t="str">
        <f t="shared" si="59"/>
        <v>[W3234.7]</v>
      </c>
      <c r="U919" s="12" t="str">
        <f t="shared" si="62"/>
        <v xml:space="preserve"> 터브이송#3-2 터브이송#3-3 지령오류 (M8025, M8046)</v>
      </c>
      <c r="V919" s="49" t="str">
        <f t="shared" si="61"/>
        <v>[W3234.7] 터브이송#3-2 터브이송#3-3 지령오류 (M8025, M8046)</v>
      </c>
    </row>
    <row r="920" spans="1:22" s="49" customFormat="1" ht="14.15" customHeight="1">
      <c r="A920" s="43" t="s">
        <v>6673</v>
      </c>
      <c r="B920" s="44" t="s">
        <v>6635</v>
      </c>
      <c r="C920" s="50"/>
      <c r="D920" s="10" t="s">
        <v>29</v>
      </c>
      <c r="E920" s="11"/>
      <c r="F920" s="11" t="s">
        <v>18</v>
      </c>
      <c r="G920" s="13"/>
      <c r="H920" s="45" t="s">
        <v>16</v>
      </c>
      <c r="I920" s="47"/>
      <c r="J920" s="12" t="s">
        <v>6238</v>
      </c>
      <c r="K920" s="13" t="s">
        <v>7691</v>
      </c>
      <c r="L920" s="99" t="str">
        <f t="shared" si="60"/>
        <v>W3234.8</v>
      </c>
      <c r="M920" s="13" t="s">
        <v>17</v>
      </c>
      <c r="N920" s="13"/>
      <c r="O920" s="13"/>
      <c r="P920" s="47"/>
      <c r="Q920" s="45" t="s">
        <v>142</v>
      </c>
      <c r="R920" s="45" t="s">
        <v>5596</v>
      </c>
      <c r="S920" s="48"/>
      <c r="T920" s="49" t="str">
        <f t="shared" si="59"/>
        <v>[W3234.8]</v>
      </c>
      <c r="U920" s="12" t="str">
        <f t="shared" si="62"/>
        <v xml:space="preserve"> 터브이송#3-3 터브이송#3-4 지령오류 (M8045, M8066)</v>
      </c>
      <c r="V920" s="49" t="str">
        <f t="shared" si="61"/>
        <v>[W3234.8] 터브이송#3-3 터브이송#3-4 지령오류 (M8045, M8066)</v>
      </c>
    </row>
    <row r="921" spans="1:22" s="49" customFormat="1" ht="14.15" customHeight="1">
      <c r="A921" s="43" t="s">
        <v>6673</v>
      </c>
      <c r="B921" s="44" t="s">
        <v>6635</v>
      </c>
      <c r="C921" s="50"/>
      <c r="D921" s="10" t="s">
        <v>29</v>
      </c>
      <c r="E921" s="11"/>
      <c r="F921" s="11" t="s">
        <v>18</v>
      </c>
      <c r="G921" s="13"/>
      <c r="H921" s="45" t="s">
        <v>16</v>
      </c>
      <c r="I921" s="47"/>
      <c r="J921" s="12" t="s">
        <v>6239</v>
      </c>
      <c r="K921" s="13" t="s">
        <v>7692</v>
      </c>
      <c r="L921" s="99" t="str">
        <f t="shared" si="60"/>
        <v>W3234.9</v>
      </c>
      <c r="M921" s="13" t="s">
        <v>17</v>
      </c>
      <c r="N921" s="13"/>
      <c r="O921" s="13"/>
      <c r="P921" s="47"/>
      <c r="Q921" s="45" t="s">
        <v>142</v>
      </c>
      <c r="R921" s="45" t="s">
        <v>5596</v>
      </c>
      <c r="S921" s="48"/>
      <c r="T921" s="49" t="str">
        <f t="shared" si="59"/>
        <v>[W3234.9]</v>
      </c>
      <c r="U921" s="12" t="str">
        <f t="shared" si="62"/>
        <v xml:space="preserve"> 터브이송#3-2 터브이송#3-3 구동방향오류</v>
      </c>
      <c r="V921" s="49" t="str">
        <f t="shared" si="61"/>
        <v>[W3234.9] 터브이송#3-2 터브이송#3-3 구동방향오류</v>
      </c>
    </row>
    <row r="922" spans="1:22" s="49" customFormat="1" ht="14.15" customHeight="1">
      <c r="A922" s="43" t="s">
        <v>6673</v>
      </c>
      <c r="B922" s="44" t="s">
        <v>6635</v>
      </c>
      <c r="C922" s="50"/>
      <c r="D922" s="10" t="s">
        <v>29</v>
      </c>
      <c r="E922" s="11"/>
      <c r="F922" s="11" t="s">
        <v>18</v>
      </c>
      <c r="G922" s="13"/>
      <c r="H922" s="45" t="s">
        <v>16</v>
      </c>
      <c r="I922" s="47"/>
      <c r="J922" s="12" t="s">
        <v>6240</v>
      </c>
      <c r="K922" s="13" t="s">
        <v>7693</v>
      </c>
      <c r="L922" s="99" t="str">
        <f t="shared" si="60"/>
        <v>W3234.A</v>
      </c>
      <c r="M922" s="13" t="s">
        <v>17</v>
      </c>
      <c r="N922" s="13"/>
      <c r="O922" s="13"/>
      <c r="P922" s="47"/>
      <c r="Q922" s="45" t="s">
        <v>142</v>
      </c>
      <c r="R922" s="45" t="s">
        <v>5596</v>
      </c>
      <c r="S922" s="48"/>
      <c r="T922" s="49" t="str">
        <f t="shared" si="59"/>
        <v>[W3234.A]</v>
      </c>
      <c r="U922" s="12" t="str">
        <f t="shared" si="62"/>
        <v xml:space="preserve"> 터브이송#3-3 터브이송#3-4 구동방향오류</v>
      </c>
      <c r="V922" s="49" t="str">
        <f t="shared" si="61"/>
        <v>[W3234.A] 터브이송#3-3 터브이송#3-4 구동방향오류</v>
      </c>
    </row>
    <row r="923" spans="1:22" s="49" customFormat="1" ht="14.15" customHeight="1">
      <c r="A923" s="43" t="s">
        <v>6673</v>
      </c>
      <c r="B923" s="44" t="s">
        <v>6635</v>
      </c>
      <c r="C923" s="50"/>
      <c r="D923" s="10" t="s">
        <v>29</v>
      </c>
      <c r="E923" s="11"/>
      <c r="F923" s="11" t="s">
        <v>18</v>
      </c>
      <c r="G923" s="13"/>
      <c r="H923" s="45" t="s">
        <v>16</v>
      </c>
      <c r="I923" s="47"/>
      <c r="J923" s="12" t="s">
        <v>6241</v>
      </c>
      <c r="K923" s="13" t="s">
        <v>7694</v>
      </c>
      <c r="L923" s="99" t="str">
        <f t="shared" si="60"/>
        <v>W3234.B</v>
      </c>
      <c r="M923" s="13" t="s">
        <v>17</v>
      </c>
      <c r="N923" s="13"/>
      <c r="O923" s="13"/>
      <c r="P923" s="47"/>
      <c r="Q923" s="45" t="s">
        <v>142</v>
      </c>
      <c r="R923" s="45" t="s">
        <v>5596</v>
      </c>
      <c r="S923" s="48"/>
      <c r="T923" s="49" t="str">
        <f t="shared" si="59"/>
        <v>[W3234.B]</v>
      </c>
      <c r="U923" s="12" t="str">
        <f t="shared" si="62"/>
        <v xml:space="preserve"> 터브이송#3-2 터브이송#3-3 간격오류 (D24946, D24944)</v>
      </c>
      <c r="V923" s="49" t="str">
        <f t="shared" si="61"/>
        <v>[W3234.B] 터브이송#3-2 터브이송#3-3 간격오류 (D24946, D24944)</v>
      </c>
    </row>
    <row r="924" spans="1:22" s="49" customFormat="1" ht="14.15" customHeight="1">
      <c r="A924" s="43" t="s">
        <v>6673</v>
      </c>
      <c r="B924" s="44" t="s">
        <v>6635</v>
      </c>
      <c r="C924" s="50"/>
      <c r="D924" s="10" t="s">
        <v>29</v>
      </c>
      <c r="E924" s="11"/>
      <c r="F924" s="11" t="s">
        <v>18</v>
      </c>
      <c r="G924" s="13"/>
      <c r="H924" s="45" t="s">
        <v>16</v>
      </c>
      <c r="I924" s="47"/>
      <c r="J924" s="12" t="s">
        <v>6242</v>
      </c>
      <c r="K924" s="13" t="s">
        <v>7695</v>
      </c>
      <c r="L924" s="99" t="str">
        <f t="shared" si="60"/>
        <v>W3234.C</v>
      </c>
      <c r="M924" s="13" t="s">
        <v>17</v>
      </c>
      <c r="N924" s="13"/>
      <c r="O924" s="13"/>
      <c r="P924" s="47"/>
      <c r="Q924" s="45" t="s">
        <v>142</v>
      </c>
      <c r="R924" s="45" t="s">
        <v>5596</v>
      </c>
      <c r="S924" s="48"/>
      <c r="T924" s="49" t="str">
        <f t="shared" si="59"/>
        <v>[W3234.C]</v>
      </c>
      <c r="U924" s="12" t="str">
        <f t="shared" si="62"/>
        <v xml:space="preserve"> 터브이송#3-3 터브이송#3-4 간격오류 (D25346, D25344)</v>
      </c>
      <c r="V924" s="49" t="str">
        <f t="shared" si="61"/>
        <v>[W3234.C] 터브이송#3-3 터브이송#3-4 간격오류 (D25346, D25344)</v>
      </c>
    </row>
    <row r="925" spans="1:22" s="49" customFormat="1" ht="14.15" customHeight="1">
      <c r="A925" s="43" t="s">
        <v>6673</v>
      </c>
      <c r="B925" s="44" t="s">
        <v>6635</v>
      </c>
      <c r="C925" s="50"/>
      <c r="D925" s="10" t="s">
        <v>29</v>
      </c>
      <c r="E925" s="11"/>
      <c r="F925" s="11" t="s">
        <v>18</v>
      </c>
      <c r="G925" s="13"/>
      <c r="H925" s="45" t="s">
        <v>16</v>
      </c>
      <c r="I925" s="47"/>
      <c r="J925" s="12" t="s">
        <v>2405</v>
      </c>
      <c r="K925" s="13" t="s">
        <v>7696</v>
      </c>
      <c r="L925" s="99" t="str">
        <f t="shared" si="60"/>
        <v>W3234.D</v>
      </c>
      <c r="M925" s="13"/>
      <c r="N925" s="13"/>
      <c r="O925" s="13"/>
      <c r="P925" s="47"/>
      <c r="Q925" s="45"/>
      <c r="R925" s="45"/>
      <c r="S925" s="48"/>
      <c r="T925" s="49" t="str">
        <f t="shared" si="59"/>
        <v>[W3234.D]</v>
      </c>
      <c r="U925" s="12" t="str">
        <f t="shared" si="62"/>
        <v xml:space="preserve"> </v>
      </c>
      <c r="V925" s="49" t="str">
        <f t="shared" si="61"/>
        <v xml:space="preserve">[W3234.D] </v>
      </c>
    </row>
    <row r="926" spans="1:22" s="49" customFormat="1" ht="14.15" customHeight="1">
      <c r="A926" s="43"/>
      <c r="B926" s="44" t="s">
        <v>6635</v>
      </c>
      <c r="C926" s="50"/>
      <c r="D926" s="10" t="s">
        <v>29</v>
      </c>
      <c r="E926" s="11"/>
      <c r="F926" s="11" t="s">
        <v>18</v>
      </c>
      <c r="G926" s="13"/>
      <c r="H926" s="45" t="s">
        <v>16</v>
      </c>
      <c r="I926" s="47"/>
      <c r="J926" s="12" t="s">
        <v>3946</v>
      </c>
      <c r="K926" s="13" t="s">
        <v>7697</v>
      </c>
      <c r="L926" s="99" t="str">
        <f t="shared" si="60"/>
        <v>W3234.E</v>
      </c>
      <c r="M926" s="13"/>
      <c r="N926" s="13"/>
      <c r="O926" s="13"/>
      <c r="P926" s="47"/>
      <c r="Q926" s="45"/>
      <c r="R926" s="45"/>
      <c r="S926" s="48"/>
      <c r="T926" s="49" t="str">
        <f t="shared" si="59"/>
        <v>[W3234.E]</v>
      </c>
      <c r="U926" s="12" t="str">
        <f t="shared" si="62"/>
        <v/>
      </c>
      <c r="V926" s="49" t="str">
        <f t="shared" si="61"/>
        <v>[W3234.E]</v>
      </c>
    </row>
    <row r="927" spans="1:22" s="49" customFormat="1" ht="14.15" customHeight="1">
      <c r="A927" s="43"/>
      <c r="B927" s="44" t="s">
        <v>6635</v>
      </c>
      <c r="C927" s="50"/>
      <c r="D927" s="10" t="s">
        <v>29</v>
      </c>
      <c r="E927" s="11"/>
      <c r="F927" s="11" t="s">
        <v>18</v>
      </c>
      <c r="G927" s="13"/>
      <c r="H927" s="45" t="s">
        <v>16</v>
      </c>
      <c r="I927" s="47"/>
      <c r="J927" s="12" t="s">
        <v>3947</v>
      </c>
      <c r="K927" s="13" t="s">
        <v>7698</v>
      </c>
      <c r="L927" s="99" t="str">
        <f t="shared" si="60"/>
        <v>W3234.F</v>
      </c>
      <c r="M927" s="13"/>
      <c r="N927" s="13"/>
      <c r="O927" s="13"/>
      <c r="P927" s="47"/>
      <c r="Q927" s="45"/>
      <c r="R927" s="45"/>
      <c r="S927" s="48"/>
      <c r="T927" s="49" t="str">
        <f t="shared" si="59"/>
        <v>[W3234.F]</v>
      </c>
      <c r="U927" s="12" t="str">
        <f t="shared" si="62"/>
        <v/>
      </c>
      <c r="V927" s="49" t="str">
        <f t="shared" si="61"/>
        <v>[W3234.F]</v>
      </c>
    </row>
    <row r="928" spans="1:22" s="49" customFormat="1" ht="14.15" customHeight="1">
      <c r="A928" s="43"/>
      <c r="B928" s="44" t="s">
        <v>6635</v>
      </c>
      <c r="C928" s="50"/>
      <c r="D928" s="10" t="s">
        <v>29</v>
      </c>
      <c r="E928" s="11"/>
      <c r="F928" s="11" t="s">
        <v>18</v>
      </c>
      <c r="G928" s="13"/>
      <c r="H928" s="45" t="s">
        <v>16</v>
      </c>
      <c r="I928" s="47"/>
      <c r="J928" s="12" t="s">
        <v>3948</v>
      </c>
      <c r="K928" s="13" t="s">
        <v>7699</v>
      </c>
      <c r="L928" s="99" t="str">
        <f t="shared" si="60"/>
        <v>W3235.0</v>
      </c>
      <c r="M928" s="13"/>
      <c r="N928" s="13"/>
      <c r="O928" s="13"/>
      <c r="P928" s="47"/>
      <c r="Q928" s="45"/>
      <c r="R928" s="45"/>
      <c r="S928" s="48"/>
      <c r="T928" s="49" t="str">
        <f t="shared" si="59"/>
        <v>[W3235.0]</v>
      </c>
      <c r="U928" s="12" t="str">
        <f t="shared" si="62"/>
        <v/>
      </c>
      <c r="V928" s="49" t="str">
        <f t="shared" si="61"/>
        <v>[W3235.0]</v>
      </c>
    </row>
    <row r="929" spans="1:22" s="49" customFormat="1" ht="14.15" customHeight="1">
      <c r="A929" s="43"/>
      <c r="B929" s="44" t="s">
        <v>6635</v>
      </c>
      <c r="C929" s="50"/>
      <c r="D929" s="10" t="s">
        <v>29</v>
      </c>
      <c r="E929" s="11"/>
      <c r="F929" s="11" t="s">
        <v>18</v>
      </c>
      <c r="G929" s="13"/>
      <c r="H929" s="45" t="s">
        <v>16</v>
      </c>
      <c r="I929" s="47"/>
      <c r="J929" s="12" t="s">
        <v>3949</v>
      </c>
      <c r="K929" s="13" t="s">
        <v>7700</v>
      </c>
      <c r="L929" s="99" t="str">
        <f t="shared" si="60"/>
        <v>W3235.1</v>
      </c>
      <c r="M929" s="13"/>
      <c r="N929" s="13"/>
      <c r="O929" s="13"/>
      <c r="P929" s="47"/>
      <c r="Q929" s="45"/>
      <c r="R929" s="45"/>
      <c r="S929" s="48"/>
      <c r="T929" s="49" t="str">
        <f t="shared" si="59"/>
        <v>[W3235.1]</v>
      </c>
      <c r="U929" s="12" t="str">
        <f t="shared" si="62"/>
        <v/>
      </c>
      <c r="V929" s="49" t="str">
        <f t="shared" si="61"/>
        <v>[W3235.1]</v>
      </c>
    </row>
    <row r="930" spans="1:22" s="49" customFormat="1" ht="14.15" customHeight="1">
      <c r="A930" s="43"/>
      <c r="B930" s="44" t="s">
        <v>6635</v>
      </c>
      <c r="C930" s="50"/>
      <c r="D930" s="10" t="s">
        <v>29</v>
      </c>
      <c r="E930" s="11"/>
      <c r="F930" s="11" t="s">
        <v>18</v>
      </c>
      <c r="G930" s="13"/>
      <c r="H930" s="45" t="s">
        <v>16</v>
      </c>
      <c r="I930" s="47"/>
      <c r="J930" s="12" t="s">
        <v>3950</v>
      </c>
      <c r="K930" s="13" t="s">
        <v>7701</v>
      </c>
      <c r="L930" s="99" t="str">
        <f t="shared" si="60"/>
        <v>W3235.2</v>
      </c>
      <c r="M930" s="13"/>
      <c r="N930" s="13"/>
      <c r="O930" s="13"/>
      <c r="P930" s="47"/>
      <c r="Q930" s="45"/>
      <c r="R930" s="45"/>
      <c r="S930" s="48"/>
      <c r="T930" s="49" t="str">
        <f t="shared" si="59"/>
        <v>[W3235.2]</v>
      </c>
      <c r="U930" s="12" t="str">
        <f t="shared" si="62"/>
        <v/>
      </c>
      <c r="V930" s="49" t="str">
        <f t="shared" si="61"/>
        <v>[W3235.2]</v>
      </c>
    </row>
    <row r="931" spans="1:22" s="49" customFormat="1" ht="14.15" customHeight="1">
      <c r="A931" s="43"/>
      <c r="B931" s="44" t="s">
        <v>6635</v>
      </c>
      <c r="C931" s="50"/>
      <c r="D931" s="10" t="s">
        <v>29</v>
      </c>
      <c r="E931" s="11"/>
      <c r="F931" s="11" t="s">
        <v>18</v>
      </c>
      <c r="G931" s="13"/>
      <c r="H931" s="45" t="s">
        <v>16</v>
      </c>
      <c r="I931" s="47"/>
      <c r="J931" s="12" t="s">
        <v>3951</v>
      </c>
      <c r="K931" s="13" t="s">
        <v>7702</v>
      </c>
      <c r="L931" s="99" t="str">
        <f t="shared" si="60"/>
        <v>W3235.3</v>
      </c>
      <c r="M931" s="13"/>
      <c r="N931" s="13"/>
      <c r="O931" s="13"/>
      <c r="P931" s="47"/>
      <c r="Q931" s="45"/>
      <c r="R931" s="45"/>
      <c r="S931" s="48"/>
      <c r="T931" s="49" t="str">
        <f t="shared" si="59"/>
        <v>[W3235.3]</v>
      </c>
      <c r="U931" s="12" t="str">
        <f t="shared" si="62"/>
        <v/>
      </c>
      <c r="V931" s="49" t="str">
        <f t="shared" si="61"/>
        <v>[W3235.3]</v>
      </c>
    </row>
    <row r="932" spans="1:22" s="49" customFormat="1" ht="14.15" customHeight="1">
      <c r="A932" s="44"/>
      <c r="B932" s="44" t="s">
        <v>6635</v>
      </c>
      <c r="C932" s="50"/>
      <c r="D932" s="10" t="s">
        <v>29</v>
      </c>
      <c r="E932" s="11"/>
      <c r="F932" s="11" t="s">
        <v>18</v>
      </c>
      <c r="G932" s="13"/>
      <c r="H932" s="45" t="s">
        <v>16</v>
      </c>
      <c r="I932" s="47"/>
      <c r="J932" s="12" t="s">
        <v>3952</v>
      </c>
      <c r="K932" s="13" t="s">
        <v>7703</v>
      </c>
      <c r="L932" s="99" t="str">
        <f t="shared" si="60"/>
        <v>W3235.4</v>
      </c>
      <c r="M932" s="13"/>
      <c r="N932" s="13"/>
      <c r="O932" s="13"/>
      <c r="P932" s="47"/>
      <c r="Q932" s="45"/>
      <c r="R932" s="45"/>
      <c r="S932" s="48"/>
      <c r="T932" s="49" t="str">
        <f t="shared" si="59"/>
        <v>[W3235.4]</v>
      </c>
      <c r="U932" s="12" t="str">
        <f t="shared" si="62"/>
        <v/>
      </c>
      <c r="V932" s="49" t="str">
        <f t="shared" si="61"/>
        <v>[W3235.4]</v>
      </c>
    </row>
    <row r="933" spans="1:22" s="49" customFormat="1" ht="14.15" customHeight="1">
      <c r="A933" s="43"/>
      <c r="B933" s="44" t="s">
        <v>6635</v>
      </c>
      <c r="C933" s="50"/>
      <c r="D933" s="10" t="s">
        <v>29</v>
      </c>
      <c r="E933" s="11"/>
      <c r="F933" s="11" t="s">
        <v>18</v>
      </c>
      <c r="G933" s="13"/>
      <c r="H933" s="45" t="s">
        <v>16</v>
      </c>
      <c r="I933" s="47"/>
      <c r="J933" s="12" t="s">
        <v>3953</v>
      </c>
      <c r="K933" s="13" t="s">
        <v>7704</v>
      </c>
      <c r="L933" s="99" t="str">
        <f t="shared" si="60"/>
        <v>W3235.5</v>
      </c>
      <c r="M933" s="13"/>
      <c r="N933" s="13"/>
      <c r="O933" s="13"/>
      <c r="P933" s="47"/>
      <c r="Q933" s="45"/>
      <c r="R933" s="45"/>
      <c r="S933" s="48"/>
      <c r="T933" s="49" t="str">
        <f t="shared" si="59"/>
        <v>[W3235.5]</v>
      </c>
      <c r="U933" s="12" t="str">
        <f t="shared" si="62"/>
        <v/>
      </c>
      <c r="V933" s="49" t="str">
        <f t="shared" si="61"/>
        <v>[W3235.5]</v>
      </c>
    </row>
    <row r="934" spans="1:22" s="49" customFormat="1" ht="14.15" customHeight="1">
      <c r="A934" s="44"/>
      <c r="B934" s="44" t="s">
        <v>6635</v>
      </c>
      <c r="C934" s="50"/>
      <c r="D934" s="10" t="s">
        <v>29</v>
      </c>
      <c r="E934" s="11"/>
      <c r="F934" s="11" t="s">
        <v>18</v>
      </c>
      <c r="G934" s="13"/>
      <c r="H934" s="45" t="s">
        <v>16</v>
      </c>
      <c r="I934" s="47"/>
      <c r="J934" s="12" t="s">
        <v>3954</v>
      </c>
      <c r="K934" s="13" t="s">
        <v>7705</v>
      </c>
      <c r="L934" s="99" t="str">
        <f t="shared" si="60"/>
        <v>W3235.6</v>
      </c>
      <c r="M934" s="13"/>
      <c r="N934" s="13"/>
      <c r="O934" s="13"/>
      <c r="P934" s="47"/>
      <c r="Q934" s="45"/>
      <c r="R934" s="45"/>
      <c r="S934" s="48"/>
      <c r="T934" s="49" t="str">
        <f t="shared" si="59"/>
        <v>[W3235.6]</v>
      </c>
      <c r="U934" s="12" t="str">
        <f t="shared" si="62"/>
        <v/>
      </c>
      <c r="V934" s="49" t="str">
        <f t="shared" si="61"/>
        <v>[W3235.6]</v>
      </c>
    </row>
    <row r="935" spans="1:22" s="49" customFormat="1" ht="14.15" customHeight="1">
      <c r="A935" s="44"/>
      <c r="B935" s="44" t="s">
        <v>6635</v>
      </c>
      <c r="C935" s="50"/>
      <c r="D935" s="10" t="s">
        <v>29</v>
      </c>
      <c r="E935" s="11"/>
      <c r="F935" s="11" t="s">
        <v>18</v>
      </c>
      <c r="G935" s="13"/>
      <c r="H935" s="45" t="s">
        <v>16</v>
      </c>
      <c r="I935" s="47"/>
      <c r="J935" s="12" t="s">
        <v>3955</v>
      </c>
      <c r="K935" s="13" t="s">
        <v>7706</v>
      </c>
      <c r="L935" s="99" t="str">
        <f t="shared" si="60"/>
        <v>W3235.7</v>
      </c>
      <c r="M935" s="13"/>
      <c r="N935" s="13"/>
      <c r="O935" s="13"/>
      <c r="P935" s="47"/>
      <c r="Q935" s="45"/>
      <c r="R935" s="45"/>
      <c r="S935" s="48"/>
      <c r="T935" s="49" t="str">
        <f t="shared" si="59"/>
        <v>[W3235.7]</v>
      </c>
      <c r="U935" s="12" t="str">
        <f t="shared" si="62"/>
        <v/>
      </c>
      <c r="V935" s="49" t="str">
        <f t="shared" si="61"/>
        <v>[W3235.7]</v>
      </c>
    </row>
    <row r="936" spans="1:22" s="49" customFormat="1" ht="14.15" customHeight="1">
      <c r="A936" s="44"/>
      <c r="B936" s="44" t="s">
        <v>6635</v>
      </c>
      <c r="C936" s="50"/>
      <c r="D936" s="10" t="s">
        <v>29</v>
      </c>
      <c r="E936" s="11"/>
      <c r="F936" s="11" t="s">
        <v>18</v>
      </c>
      <c r="G936" s="13"/>
      <c r="H936" s="45" t="s">
        <v>16</v>
      </c>
      <c r="I936" s="47"/>
      <c r="J936" s="12" t="s">
        <v>3956</v>
      </c>
      <c r="K936" s="13" t="s">
        <v>7707</v>
      </c>
      <c r="L936" s="99" t="str">
        <f t="shared" si="60"/>
        <v>W3235.8</v>
      </c>
      <c r="M936" s="13"/>
      <c r="N936" s="13"/>
      <c r="O936" s="13"/>
      <c r="P936" s="47"/>
      <c r="Q936" s="45"/>
      <c r="R936" s="45"/>
      <c r="S936" s="48"/>
      <c r="T936" s="49" t="str">
        <f t="shared" si="59"/>
        <v>[W3235.8]</v>
      </c>
      <c r="U936" s="12" t="str">
        <f t="shared" si="62"/>
        <v/>
      </c>
      <c r="V936" s="49" t="str">
        <f t="shared" si="61"/>
        <v>[W3235.8]</v>
      </c>
    </row>
    <row r="937" spans="1:22" s="49" customFormat="1" ht="14.15" customHeight="1">
      <c r="A937" s="44"/>
      <c r="B937" s="44" t="s">
        <v>6635</v>
      </c>
      <c r="C937" s="50"/>
      <c r="D937" s="10" t="s">
        <v>29</v>
      </c>
      <c r="E937" s="11"/>
      <c r="F937" s="11" t="s">
        <v>18</v>
      </c>
      <c r="G937" s="13"/>
      <c r="H937" s="45" t="s">
        <v>16</v>
      </c>
      <c r="I937" s="47"/>
      <c r="J937" s="12" t="s">
        <v>3957</v>
      </c>
      <c r="K937" s="13" t="s">
        <v>7708</v>
      </c>
      <c r="L937" s="99" t="str">
        <f t="shared" si="60"/>
        <v>W3235.9</v>
      </c>
      <c r="M937" s="13"/>
      <c r="N937" s="13"/>
      <c r="O937" s="13"/>
      <c r="P937" s="47"/>
      <c r="Q937" s="45"/>
      <c r="R937" s="45"/>
      <c r="S937" s="48"/>
      <c r="T937" s="49" t="str">
        <f t="shared" si="59"/>
        <v>[W3235.9]</v>
      </c>
      <c r="U937" s="12" t="str">
        <f t="shared" si="62"/>
        <v/>
      </c>
      <c r="V937" s="49" t="str">
        <f t="shared" si="61"/>
        <v>[W3235.9]</v>
      </c>
    </row>
    <row r="938" spans="1:22" s="49" customFormat="1" ht="14.15" customHeight="1">
      <c r="A938" s="43"/>
      <c r="B938" s="44" t="s">
        <v>6635</v>
      </c>
      <c r="C938" s="50"/>
      <c r="D938" s="10" t="s">
        <v>29</v>
      </c>
      <c r="E938" s="11"/>
      <c r="F938" s="11" t="s">
        <v>18</v>
      </c>
      <c r="G938" s="13"/>
      <c r="H938" s="45" t="s">
        <v>16</v>
      </c>
      <c r="I938" s="47"/>
      <c r="J938" s="12" t="s">
        <v>3958</v>
      </c>
      <c r="K938" s="13" t="s">
        <v>7709</v>
      </c>
      <c r="L938" s="99" t="str">
        <f t="shared" si="60"/>
        <v>W3235.A</v>
      </c>
      <c r="M938" s="13"/>
      <c r="N938" s="13"/>
      <c r="O938" s="13"/>
      <c r="P938" s="47"/>
      <c r="Q938" s="45"/>
      <c r="R938" s="45"/>
      <c r="S938" s="48"/>
      <c r="T938" s="49" t="str">
        <f t="shared" si="59"/>
        <v>[W3235.A]</v>
      </c>
      <c r="U938" s="12" t="str">
        <f t="shared" si="62"/>
        <v/>
      </c>
      <c r="V938" s="49" t="str">
        <f t="shared" si="61"/>
        <v>[W3235.A]</v>
      </c>
    </row>
    <row r="939" spans="1:22" s="49" customFormat="1" ht="14.15" customHeight="1">
      <c r="A939" s="43" t="s">
        <v>6673</v>
      </c>
      <c r="B939" s="44" t="s">
        <v>6635</v>
      </c>
      <c r="C939" s="50"/>
      <c r="D939" s="10" t="s">
        <v>29</v>
      </c>
      <c r="E939" s="11"/>
      <c r="F939" s="11" t="s">
        <v>18</v>
      </c>
      <c r="G939" s="13"/>
      <c r="H939" s="45" t="s">
        <v>16</v>
      </c>
      <c r="I939" s="47"/>
      <c r="J939" s="12" t="s">
        <v>6243</v>
      </c>
      <c r="K939" s="13" t="s">
        <v>7710</v>
      </c>
      <c r="L939" s="99" t="str">
        <f t="shared" si="60"/>
        <v>W3235.B</v>
      </c>
      <c r="M939" s="13" t="s">
        <v>17</v>
      </c>
      <c r="N939" s="13"/>
      <c r="O939" s="13"/>
      <c r="P939" s="47"/>
      <c r="Q939" s="45" t="s">
        <v>142</v>
      </c>
      <c r="R939" s="45" t="s">
        <v>5596</v>
      </c>
      <c r="S939" s="48"/>
      <c r="T939" s="49" t="str">
        <f t="shared" si="59"/>
        <v>[W3235.B]</v>
      </c>
      <c r="U939" s="12" t="str">
        <f t="shared" si="62"/>
        <v xml:space="preserve"> 터브이송#3-3 터브이송#3-4 지령오류 (M8045, M8066)</v>
      </c>
      <c r="V939" s="49" t="str">
        <f t="shared" si="61"/>
        <v>[W3235.B] 터브이송#3-3 터브이송#3-4 지령오류 (M8045, M8066)</v>
      </c>
    </row>
    <row r="940" spans="1:22" s="49" customFormat="1" ht="14.15" customHeight="1">
      <c r="A940" s="43" t="s">
        <v>6673</v>
      </c>
      <c r="B940" s="44" t="s">
        <v>6635</v>
      </c>
      <c r="C940" s="50"/>
      <c r="D940" s="10" t="s">
        <v>29</v>
      </c>
      <c r="E940" s="11"/>
      <c r="F940" s="11" t="s">
        <v>18</v>
      </c>
      <c r="G940" s="13"/>
      <c r="H940" s="45" t="s">
        <v>16</v>
      </c>
      <c r="I940" s="47"/>
      <c r="J940" s="12" t="s">
        <v>6244</v>
      </c>
      <c r="K940" s="13" t="s">
        <v>7711</v>
      </c>
      <c r="L940" s="99" t="str">
        <f t="shared" si="60"/>
        <v>W3235.C</v>
      </c>
      <c r="M940" s="13" t="s">
        <v>17</v>
      </c>
      <c r="N940" s="13"/>
      <c r="O940" s="13"/>
      <c r="P940" s="47"/>
      <c r="Q940" s="45" t="s">
        <v>142</v>
      </c>
      <c r="R940" s="45" t="s">
        <v>5596</v>
      </c>
      <c r="S940" s="48"/>
      <c r="T940" s="49" t="str">
        <f t="shared" si="59"/>
        <v>[W3235.C]</v>
      </c>
      <c r="U940" s="12" t="str">
        <f t="shared" si="62"/>
        <v xml:space="preserve"> 터브이송#3-4 터브이송#3-5 지령오류 (M8065, M8086)</v>
      </c>
      <c r="V940" s="49" t="str">
        <f t="shared" si="61"/>
        <v>[W3235.C] 터브이송#3-4 터브이송#3-5 지령오류 (M8065, M8086)</v>
      </c>
    </row>
    <row r="941" spans="1:22" s="49" customFormat="1" ht="14.15" customHeight="1">
      <c r="A941" s="43" t="s">
        <v>6673</v>
      </c>
      <c r="B941" s="44" t="s">
        <v>6635</v>
      </c>
      <c r="C941" s="50"/>
      <c r="D941" s="10" t="s">
        <v>29</v>
      </c>
      <c r="E941" s="11"/>
      <c r="F941" s="11" t="s">
        <v>18</v>
      </c>
      <c r="G941" s="13"/>
      <c r="H941" s="45" t="s">
        <v>16</v>
      </c>
      <c r="I941" s="47"/>
      <c r="J941" s="12" t="s">
        <v>6245</v>
      </c>
      <c r="K941" s="13" t="s">
        <v>7712</v>
      </c>
      <c r="L941" s="99" t="str">
        <f t="shared" si="60"/>
        <v>W3235.D</v>
      </c>
      <c r="M941" s="13" t="s">
        <v>17</v>
      </c>
      <c r="N941" s="13"/>
      <c r="O941" s="13"/>
      <c r="P941" s="47"/>
      <c r="Q941" s="45" t="s">
        <v>142</v>
      </c>
      <c r="R941" s="45" t="s">
        <v>5596</v>
      </c>
      <c r="S941" s="48"/>
      <c r="T941" s="49" t="str">
        <f t="shared" si="59"/>
        <v>[W3235.D]</v>
      </c>
      <c r="U941" s="12" t="str">
        <f t="shared" si="62"/>
        <v xml:space="preserve"> 터브이송#3-3 터브이송#3-4 구동방향오류</v>
      </c>
      <c r="V941" s="49" t="str">
        <f t="shared" si="61"/>
        <v>[W3235.D] 터브이송#3-3 터브이송#3-4 구동방향오류</v>
      </c>
    </row>
    <row r="942" spans="1:22" s="49" customFormat="1" ht="14.15" customHeight="1">
      <c r="A942" s="43" t="s">
        <v>6673</v>
      </c>
      <c r="B942" s="44" t="s">
        <v>6635</v>
      </c>
      <c r="C942" s="50"/>
      <c r="D942" s="10" t="s">
        <v>29</v>
      </c>
      <c r="E942" s="11"/>
      <c r="F942" s="11" t="s">
        <v>18</v>
      </c>
      <c r="G942" s="13"/>
      <c r="H942" s="45" t="s">
        <v>16</v>
      </c>
      <c r="I942" s="47"/>
      <c r="J942" s="12" t="s">
        <v>6246</v>
      </c>
      <c r="K942" s="13" t="s">
        <v>7713</v>
      </c>
      <c r="L942" s="99" t="str">
        <f t="shared" si="60"/>
        <v>W3235.E</v>
      </c>
      <c r="M942" s="13" t="s">
        <v>17</v>
      </c>
      <c r="N942" s="13"/>
      <c r="O942" s="13"/>
      <c r="P942" s="47"/>
      <c r="Q942" s="45" t="s">
        <v>142</v>
      </c>
      <c r="R942" s="45" t="s">
        <v>5596</v>
      </c>
      <c r="S942" s="48"/>
      <c r="T942" s="49" t="str">
        <f t="shared" si="59"/>
        <v>[W3235.E]</v>
      </c>
      <c r="U942" s="12" t="str">
        <f t="shared" si="62"/>
        <v xml:space="preserve"> 터브이송#3-4 터브이송#3-5 구동방향오류</v>
      </c>
      <c r="V942" s="49" t="str">
        <f t="shared" si="61"/>
        <v>[W3235.E] 터브이송#3-4 터브이송#3-5 구동방향오류</v>
      </c>
    </row>
    <row r="943" spans="1:22" s="49" customFormat="1" ht="14.15" customHeight="1">
      <c r="A943" s="43" t="s">
        <v>6673</v>
      </c>
      <c r="B943" s="44" t="s">
        <v>6635</v>
      </c>
      <c r="C943" s="50"/>
      <c r="D943" s="10" t="s">
        <v>29</v>
      </c>
      <c r="E943" s="11"/>
      <c r="F943" s="11" t="s">
        <v>18</v>
      </c>
      <c r="G943" s="13"/>
      <c r="H943" s="45" t="s">
        <v>16</v>
      </c>
      <c r="I943" s="47"/>
      <c r="J943" s="12" t="s">
        <v>6247</v>
      </c>
      <c r="K943" s="13" t="s">
        <v>7714</v>
      </c>
      <c r="L943" s="99" t="str">
        <f t="shared" si="60"/>
        <v>W3235.F</v>
      </c>
      <c r="M943" s="13" t="s">
        <v>17</v>
      </c>
      <c r="N943" s="13"/>
      <c r="O943" s="13"/>
      <c r="P943" s="47"/>
      <c r="Q943" s="45" t="s">
        <v>142</v>
      </c>
      <c r="R943" s="45" t="s">
        <v>5596</v>
      </c>
      <c r="S943" s="48"/>
      <c r="T943" s="49" t="str">
        <f t="shared" si="59"/>
        <v>[W3235.F]</v>
      </c>
      <c r="U943" s="12" t="str">
        <f t="shared" si="62"/>
        <v xml:space="preserve"> 터브이송#3-3 터브이송#3-4 간격오류 (D25346, D25344)</v>
      </c>
      <c r="V943" s="49" t="str">
        <f t="shared" si="61"/>
        <v>[W3235.F] 터브이송#3-3 터브이송#3-4 간격오류 (D25346, D25344)</v>
      </c>
    </row>
    <row r="944" spans="1:22" s="49" customFormat="1" ht="14.15" customHeight="1">
      <c r="A944" s="43" t="s">
        <v>6673</v>
      </c>
      <c r="B944" s="44" t="s">
        <v>6635</v>
      </c>
      <c r="C944" s="50"/>
      <c r="D944" s="10" t="s">
        <v>29</v>
      </c>
      <c r="E944" s="11"/>
      <c r="F944" s="11" t="s">
        <v>18</v>
      </c>
      <c r="G944" s="13"/>
      <c r="H944" s="45" t="s">
        <v>16</v>
      </c>
      <c r="I944" s="47"/>
      <c r="J944" s="12" t="s">
        <v>6248</v>
      </c>
      <c r="K944" s="13" t="s">
        <v>7715</v>
      </c>
      <c r="L944" s="99" t="str">
        <f t="shared" si="60"/>
        <v>W3236.0</v>
      </c>
      <c r="M944" s="13" t="s">
        <v>17</v>
      </c>
      <c r="N944" s="13"/>
      <c r="O944" s="13"/>
      <c r="P944" s="47"/>
      <c r="Q944" s="45" t="s">
        <v>142</v>
      </c>
      <c r="R944" s="45" t="s">
        <v>5596</v>
      </c>
      <c r="S944" s="48"/>
      <c r="T944" s="49" t="str">
        <f t="shared" si="59"/>
        <v>[W3236.0]</v>
      </c>
      <c r="U944" s="12" t="str">
        <f t="shared" si="62"/>
        <v xml:space="preserve"> 터브이송#3-4 터브이송#3-5 간격오류 (D25746, D25744)</v>
      </c>
      <c r="V944" s="49" t="str">
        <f t="shared" si="61"/>
        <v>[W3236.0] 터브이송#3-4 터브이송#3-5 간격오류 (D25746, D25744)</v>
      </c>
    </row>
    <row r="945" spans="1:22" s="49" customFormat="1" ht="14.15" customHeight="1">
      <c r="A945" s="44"/>
      <c r="B945" s="44" t="s">
        <v>6635</v>
      </c>
      <c r="C945" s="50"/>
      <c r="D945" s="10" t="s">
        <v>29</v>
      </c>
      <c r="E945" s="11"/>
      <c r="F945" s="11" t="s">
        <v>18</v>
      </c>
      <c r="G945" s="13"/>
      <c r="H945" s="45" t="s">
        <v>16</v>
      </c>
      <c r="I945" s="47"/>
      <c r="J945" s="12" t="s">
        <v>3962</v>
      </c>
      <c r="K945" s="13" t="s">
        <v>7716</v>
      </c>
      <c r="L945" s="99" t="str">
        <f t="shared" si="60"/>
        <v>W3236.1</v>
      </c>
      <c r="M945" s="13"/>
      <c r="N945" s="13"/>
      <c r="O945" s="13"/>
      <c r="P945" s="47"/>
      <c r="Q945" s="45"/>
      <c r="R945" s="45"/>
      <c r="S945" s="48"/>
      <c r="T945" s="49" t="str">
        <f t="shared" si="59"/>
        <v>[W3236.1]</v>
      </c>
      <c r="U945" s="12" t="str">
        <f t="shared" si="62"/>
        <v/>
      </c>
      <c r="V945" s="49" t="str">
        <f t="shared" si="61"/>
        <v>[W3236.1]</v>
      </c>
    </row>
    <row r="946" spans="1:22" s="49" customFormat="1" ht="14.15" customHeight="1">
      <c r="A946" s="44"/>
      <c r="B946" s="44" t="s">
        <v>6635</v>
      </c>
      <c r="C946" s="50"/>
      <c r="D946" s="10" t="s">
        <v>29</v>
      </c>
      <c r="E946" s="11"/>
      <c r="F946" s="11" t="s">
        <v>18</v>
      </c>
      <c r="G946" s="13"/>
      <c r="H946" s="45" t="s">
        <v>16</v>
      </c>
      <c r="I946" s="47"/>
      <c r="J946" s="12" t="s">
        <v>3963</v>
      </c>
      <c r="K946" s="13" t="s">
        <v>7717</v>
      </c>
      <c r="L946" s="99" t="str">
        <f t="shared" si="60"/>
        <v>W3236.2</v>
      </c>
      <c r="M946" s="13"/>
      <c r="N946" s="13"/>
      <c r="O946" s="13"/>
      <c r="P946" s="47"/>
      <c r="Q946" s="45"/>
      <c r="R946" s="45"/>
      <c r="S946" s="48"/>
      <c r="T946" s="49" t="str">
        <f t="shared" si="59"/>
        <v>[W3236.2]</v>
      </c>
      <c r="U946" s="12" t="str">
        <f t="shared" si="62"/>
        <v/>
      </c>
      <c r="V946" s="49" t="str">
        <f t="shared" si="61"/>
        <v>[W3236.2]</v>
      </c>
    </row>
    <row r="947" spans="1:22" s="49" customFormat="1" ht="14.15" customHeight="1">
      <c r="A947" s="44"/>
      <c r="B947" s="44" t="s">
        <v>6635</v>
      </c>
      <c r="C947" s="50"/>
      <c r="D947" s="10" t="s">
        <v>29</v>
      </c>
      <c r="E947" s="11"/>
      <c r="F947" s="11" t="s">
        <v>18</v>
      </c>
      <c r="G947" s="13"/>
      <c r="H947" s="45" t="s">
        <v>16</v>
      </c>
      <c r="I947" s="47"/>
      <c r="J947" s="12" t="s">
        <v>3964</v>
      </c>
      <c r="K947" s="13" t="s">
        <v>7718</v>
      </c>
      <c r="L947" s="99" t="str">
        <f t="shared" si="60"/>
        <v>W3236.3</v>
      </c>
      <c r="M947" s="13"/>
      <c r="N947" s="13"/>
      <c r="O947" s="13"/>
      <c r="P947" s="47"/>
      <c r="Q947" s="45"/>
      <c r="R947" s="45"/>
      <c r="S947" s="48"/>
      <c r="T947" s="49" t="str">
        <f t="shared" si="59"/>
        <v>[W3236.3]</v>
      </c>
      <c r="U947" s="12" t="str">
        <f t="shared" si="62"/>
        <v/>
      </c>
      <c r="V947" s="49" t="str">
        <f t="shared" si="61"/>
        <v>[W3236.3]</v>
      </c>
    </row>
    <row r="948" spans="1:22" s="49" customFormat="1" ht="14.15" customHeight="1">
      <c r="A948" s="44"/>
      <c r="B948" s="44" t="s">
        <v>6635</v>
      </c>
      <c r="C948" s="50"/>
      <c r="D948" s="10" t="s">
        <v>29</v>
      </c>
      <c r="E948" s="11"/>
      <c r="F948" s="11" t="s">
        <v>18</v>
      </c>
      <c r="G948" s="13"/>
      <c r="H948" s="45" t="s">
        <v>16</v>
      </c>
      <c r="I948" s="47"/>
      <c r="J948" s="12" t="s">
        <v>3965</v>
      </c>
      <c r="K948" s="13" t="s">
        <v>7719</v>
      </c>
      <c r="L948" s="99" t="str">
        <f t="shared" si="60"/>
        <v>W3236.4</v>
      </c>
      <c r="M948" s="13"/>
      <c r="N948" s="13"/>
      <c r="O948" s="13"/>
      <c r="P948" s="47"/>
      <c r="Q948" s="45"/>
      <c r="R948" s="45"/>
      <c r="S948" s="48"/>
      <c r="T948" s="49" t="str">
        <f t="shared" si="59"/>
        <v>[W3236.4]</v>
      </c>
      <c r="U948" s="12" t="str">
        <f t="shared" si="62"/>
        <v/>
      </c>
      <c r="V948" s="49" t="str">
        <f t="shared" si="61"/>
        <v>[W3236.4]</v>
      </c>
    </row>
    <row r="949" spans="1:22" s="49" customFormat="1" ht="14.15" customHeight="1">
      <c r="A949" s="43"/>
      <c r="B949" s="44" t="s">
        <v>6635</v>
      </c>
      <c r="C949" s="50"/>
      <c r="D949" s="10" t="s">
        <v>29</v>
      </c>
      <c r="E949" s="11"/>
      <c r="F949" s="11" t="s">
        <v>18</v>
      </c>
      <c r="G949" s="13"/>
      <c r="H949" s="45" t="s">
        <v>16</v>
      </c>
      <c r="I949" s="47"/>
      <c r="J949" s="12" t="s">
        <v>3966</v>
      </c>
      <c r="K949" s="13" t="s">
        <v>7720</v>
      </c>
      <c r="L949" s="99" t="str">
        <f t="shared" si="60"/>
        <v>W3236.5</v>
      </c>
      <c r="M949" s="13"/>
      <c r="N949" s="13"/>
      <c r="O949" s="13"/>
      <c r="P949" s="47"/>
      <c r="Q949" s="45"/>
      <c r="R949" s="45"/>
      <c r="S949" s="48"/>
      <c r="T949" s="49" t="str">
        <f t="shared" si="59"/>
        <v>[W3236.5]</v>
      </c>
      <c r="U949" s="12" t="str">
        <f t="shared" si="62"/>
        <v/>
      </c>
      <c r="V949" s="49" t="str">
        <f t="shared" si="61"/>
        <v>[W3236.5]</v>
      </c>
    </row>
    <row r="950" spans="1:22" s="49" customFormat="1" ht="14.15" customHeight="1">
      <c r="A950" s="43"/>
      <c r="B950" s="44" t="s">
        <v>6635</v>
      </c>
      <c r="C950" s="50"/>
      <c r="D950" s="10" t="s">
        <v>29</v>
      </c>
      <c r="E950" s="11"/>
      <c r="F950" s="11" t="s">
        <v>18</v>
      </c>
      <c r="G950" s="13"/>
      <c r="H950" s="45" t="s">
        <v>16</v>
      </c>
      <c r="I950" s="47"/>
      <c r="J950" s="12" t="s">
        <v>3967</v>
      </c>
      <c r="K950" s="13" t="s">
        <v>7721</v>
      </c>
      <c r="L950" s="99" t="str">
        <f t="shared" si="60"/>
        <v>W3236.6</v>
      </c>
      <c r="M950" s="13"/>
      <c r="N950" s="13"/>
      <c r="O950" s="13"/>
      <c r="P950" s="47"/>
      <c r="Q950" s="45"/>
      <c r="R950" s="45"/>
      <c r="S950" s="48"/>
      <c r="T950" s="49" t="str">
        <f t="shared" si="59"/>
        <v>[W3236.6]</v>
      </c>
      <c r="U950" s="12" t="str">
        <f t="shared" si="62"/>
        <v/>
      </c>
      <c r="V950" s="49" t="str">
        <f t="shared" si="61"/>
        <v>[W3236.6]</v>
      </c>
    </row>
    <row r="951" spans="1:22" s="49" customFormat="1" ht="14.15" customHeight="1">
      <c r="A951" s="43"/>
      <c r="B951" s="44" t="s">
        <v>6635</v>
      </c>
      <c r="C951" s="50"/>
      <c r="D951" s="10" t="s">
        <v>29</v>
      </c>
      <c r="E951" s="11"/>
      <c r="F951" s="11" t="s">
        <v>18</v>
      </c>
      <c r="G951" s="13"/>
      <c r="H951" s="45" t="s">
        <v>16</v>
      </c>
      <c r="I951" s="47"/>
      <c r="J951" s="12" t="s">
        <v>3968</v>
      </c>
      <c r="K951" s="13" t="s">
        <v>7722</v>
      </c>
      <c r="L951" s="99" t="str">
        <f t="shared" si="60"/>
        <v>W3236.7</v>
      </c>
      <c r="M951" s="13"/>
      <c r="N951" s="13"/>
      <c r="O951" s="13"/>
      <c r="P951" s="47"/>
      <c r="Q951" s="45"/>
      <c r="R951" s="45"/>
      <c r="S951" s="48"/>
      <c r="T951" s="49" t="str">
        <f t="shared" si="59"/>
        <v>[W3236.7]</v>
      </c>
      <c r="U951" s="12" t="str">
        <f t="shared" si="62"/>
        <v/>
      </c>
      <c r="V951" s="49" t="str">
        <f t="shared" si="61"/>
        <v>[W3236.7]</v>
      </c>
    </row>
    <row r="952" spans="1:22" s="49" customFormat="1" ht="14.15" customHeight="1">
      <c r="A952" s="44"/>
      <c r="B952" s="44" t="s">
        <v>6635</v>
      </c>
      <c r="C952" s="50"/>
      <c r="D952" s="10" t="s">
        <v>29</v>
      </c>
      <c r="E952" s="11"/>
      <c r="F952" s="11" t="s">
        <v>18</v>
      </c>
      <c r="G952" s="13"/>
      <c r="H952" s="45" t="s">
        <v>16</v>
      </c>
      <c r="I952" s="47"/>
      <c r="J952" s="12" t="s">
        <v>3969</v>
      </c>
      <c r="K952" s="13" t="s">
        <v>7723</v>
      </c>
      <c r="L952" s="99" t="str">
        <f t="shared" si="60"/>
        <v>W3236.8</v>
      </c>
      <c r="M952" s="13"/>
      <c r="N952" s="13"/>
      <c r="O952" s="13"/>
      <c r="P952" s="47"/>
      <c r="Q952" s="45"/>
      <c r="R952" s="45"/>
      <c r="S952" s="48"/>
      <c r="T952" s="49" t="str">
        <f t="shared" si="59"/>
        <v>[W3236.8]</v>
      </c>
      <c r="U952" s="12" t="str">
        <f t="shared" si="62"/>
        <v/>
      </c>
      <c r="V952" s="49" t="str">
        <f t="shared" si="61"/>
        <v>[W3236.8]</v>
      </c>
    </row>
    <row r="953" spans="1:22" s="49" customFormat="1" ht="14.15" customHeight="1">
      <c r="A953" s="43"/>
      <c r="B953" s="44" t="s">
        <v>6635</v>
      </c>
      <c r="C953" s="50"/>
      <c r="D953" s="10" t="s">
        <v>29</v>
      </c>
      <c r="E953" s="11"/>
      <c r="F953" s="11" t="s">
        <v>18</v>
      </c>
      <c r="G953" s="13"/>
      <c r="H953" s="45" t="s">
        <v>16</v>
      </c>
      <c r="I953" s="47"/>
      <c r="J953" s="12" t="s">
        <v>3970</v>
      </c>
      <c r="K953" s="13" t="s">
        <v>7724</v>
      </c>
      <c r="L953" s="99" t="str">
        <f t="shared" si="60"/>
        <v>W3236.9</v>
      </c>
      <c r="M953" s="13"/>
      <c r="N953" s="13"/>
      <c r="O953" s="13"/>
      <c r="P953" s="47"/>
      <c r="Q953" s="45"/>
      <c r="R953" s="45"/>
      <c r="S953" s="48"/>
      <c r="T953" s="49" t="str">
        <f t="shared" si="59"/>
        <v>[W3236.9]</v>
      </c>
      <c r="U953" s="12" t="str">
        <f t="shared" si="62"/>
        <v/>
      </c>
      <c r="V953" s="49" t="str">
        <f t="shared" si="61"/>
        <v>[W3236.9]</v>
      </c>
    </row>
    <row r="954" spans="1:22" s="49" customFormat="1" ht="14.15" customHeight="1">
      <c r="A954" s="44"/>
      <c r="B954" s="44" t="s">
        <v>6635</v>
      </c>
      <c r="C954" s="50"/>
      <c r="D954" s="10" t="s">
        <v>29</v>
      </c>
      <c r="E954" s="11"/>
      <c r="F954" s="11" t="s">
        <v>18</v>
      </c>
      <c r="G954" s="13"/>
      <c r="H954" s="45" t="s">
        <v>16</v>
      </c>
      <c r="I954" s="47"/>
      <c r="J954" s="12" t="s">
        <v>3971</v>
      </c>
      <c r="K954" s="13" t="s">
        <v>7725</v>
      </c>
      <c r="L954" s="99" t="str">
        <f t="shared" si="60"/>
        <v>W3236.A</v>
      </c>
      <c r="M954" s="13"/>
      <c r="N954" s="13"/>
      <c r="O954" s="13"/>
      <c r="P954" s="47"/>
      <c r="Q954" s="45"/>
      <c r="R954" s="45"/>
      <c r="S954" s="48"/>
      <c r="T954" s="49" t="str">
        <f t="shared" si="59"/>
        <v>[W3236.A]</v>
      </c>
      <c r="U954" s="12" t="str">
        <f t="shared" si="62"/>
        <v/>
      </c>
      <c r="V954" s="49" t="str">
        <f t="shared" si="61"/>
        <v>[W3236.A]</v>
      </c>
    </row>
    <row r="955" spans="1:22" s="49" customFormat="1" ht="14.15" customHeight="1">
      <c r="A955" s="44"/>
      <c r="B955" s="44" t="s">
        <v>6635</v>
      </c>
      <c r="C955" s="50"/>
      <c r="D955" s="10" t="s">
        <v>29</v>
      </c>
      <c r="E955" s="11"/>
      <c r="F955" s="11" t="s">
        <v>18</v>
      </c>
      <c r="G955" s="13"/>
      <c r="H955" s="45" t="s">
        <v>16</v>
      </c>
      <c r="I955" s="47"/>
      <c r="J955" s="12" t="s">
        <v>3972</v>
      </c>
      <c r="K955" s="13" t="s">
        <v>7726</v>
      </c>
      <c r="L955" s="99" t="str">
        <f t="shared" si="60"/>
        <v>W3236.B</v>
      </c>
      <c r="M955" s="13"/>
      <c r="N955" s="13"/>
      <c r="O955" s="13"/>
      <c r="P955" s="47"/>
      <c r="Q955" s="45"/>
      <c r="R955" s="45"/>
      <c r="S955" s="48"/>
      <c r="T955" s="49" t="str">
        <f t="shared" si="59"/>
        <v>[W3236.B]</v>
      </c>
      <c r="U955" s="12" t="str">
        <f t="shared" si="62"/>
        <v/>
      </c>
      <c r="V955" s="49" t="str">
        <f t="shared" si="61"/>
        <v>[W3236.B]</v>
      </c>
    </row>
    <row r="956" spans="1:22" s="49" customFormat="1" ht="14.15" customHeight="1">
      <c r="A956" s="44"/>
      <c r="B956" s="44" t="s">
        <v>6635</v>
      </c>
      <c r="C956" s="50"/>
      <c r="D956" s="10" t="s">
        <v>29</v>
      </c>
      <c r="E956" s="11"/>
      <c r="F956" s="11" t="s">
        <v>18</v>
      </c>
      <c r="G956" s="13"/>
      <c r="H956" s="45" t="s">
        <v>16</v>
      </c>
      <c r="I956" s="47"/>
      <c r="J956" s="12" t="s">
        <v>3973</v>
      </c>
      <c r="K956" s="13" t="s">
        <v>7727</v>
      </c>
      <c r="L956" s="99" t="str">
        <f t="shared" si="60"/>
        <v>W3236.C</v>
      </c>
      <c r="M956" s="13"/>
      <c r="N956" s="13"/>
      <c r="O956" s="13"/>
      <c r="P956" s="47"/>
      <c r="Q956" s="45"/>
      <c r="R956" s="45"/>
      <c r="S956" s="48"/>
      <c r="T956" s="49" t="str">
        <f t="shared" si="59"/>
        <v>[W3236.C]</v>
      </c>
      <c r="U956" s="12" t="str">
        <f t="shared" si="62"/>
        <v/>
      </c>
      <c r="V956" s="49" t="str">
        <f t="shared" si="61"/>
        <v>[W3236.C]</v>
      </c>
    </row>
    <row r="957" spans="1:22" s="49" customFormat="1" ht="14.15" customHeight="1">
      <c r="A957" s="44"/>
      <c r="B957" s="44" t="s">
        <v>6635</v>
      </c>
      <c r="C957" s="50"/>
      <c r="D957" s="10" t="s">
        <v>29</v>
      </c>
      <c r="E957" s="11"/>
      <c r="F957" s="11" t="s">
        <v>18</v>
      </c>
      <c r="G957" s="13"/>
      <c r="H957" s="45" t="s">
        <v>16</v>
      </c>
      <c r="I957" s="47"/>
      <c r="J957" s="12" t="s">
        <v>3974</v>
      </c>
      <c r="K957" s="13" t="s">
        <v>7728</v>
      </c>
      <c r="L957" s="99" t="str">
        <f t="shared" si="60"/>
        <v>W3236.D</v>
      </c>
      <c r="M957" s="13"/>
      <c r="N957" s="13"/>
      <c r="O957" s="13"/>
      <c r="P957" s="47"/>
      <c r="Q957" s="45"/>
      <c r="R957" s="45"/>
      <c r="S957" s="48"/>
      <c r="T957" s="49" t="str">
        <f t="shared" si="59"/>
        <v>[W3236.D]</v>
      </c>
      <c r="U957" s="12" t="str">
        <f t="shared" si="62"/>
        <v/>
      </c>
      <c r="V957" s="49" t="str">
        <f t="shared" si="61"/>
        <v>[W3236.D]</v>
      </c>
    </row>
    <row r="958" spans="1:22" s="49" customFormat="1" ht="14.15" customHeight="1">
      <c r="A958" s="44"/>
      <c r="B958" s="44" t="s">
        <v>6635</v>
      </c>
      <c r="C958" s="50"/>
      <c r="D958" s="10" t="s">
        <v>29</v>
      </c>
      <c r="E958" s="11"/>
      <c r="F958" s="11" t="s">
        <v>18</v>
      </c>
      <c r="G958" s="13"/>
      <c r="H958" s="45" t="s">
        <v>16</v>
      </c>
      <c r="I958" s="47"/>
      <c r="J958" s="12" t="s">
        <v>3975</v>
      </c>
      <c r="K958" s="13" t="s">
        <v>7729</v>
      </c>
      <c r="L958" s="99" t="str">
        <f t="shared" si="60"/>
        <v>W3236.E</v>
      </c>
      <c r="M958" s="13"/>
      <c r="N958" s="13"/>
      <c r="O958" s="13"/>
      <c r="P958" s="47"/>
      <c r="Q958" s="45"/>
      <c r="R958" s="45"/>
      <c r="S958" s="48"/>
      <c r="T958" s="49" t="str">
        <f t="shared" si="59"/>
        <v>[W3236.E]</v>
      </c>
      <c r="U958" s="12" t="str">
        <f t="shared" si="62"/>
        <v/>
      </c>
      <c r="V958" s="49" t="str">
        <f t="shared" si="61"/>
        <v>[W3236.E]</v>
      </c>
    </row>
    <row r="959" spans="1:22" s="49" customFormat="1" ht="14.15" customHeight="1">
      <c r="A959" s="43" t="s">
        <v>6673</v>
      </c>
      <c r="B959" s="44" t="s">
        <v>6635</v>
      </c>
      <c r="C959" s="50"/>
      <c r="D959" s="10" t="s">
        <v>29</v>
      </c>
      <c r="E959" s="11"/>
      <c r="F959" s="11" t="s">
        <v>18</v>
      </c>
      <c r="G959" s="13"/>
      <c r="H959" s="45" t="s">
        <v>16</v>
      </c>
      <c r="I959" s="47"/>
      <c r="J959" s="12" t="s">
        <v>6249</v>
      </c>
      <c r="K959" s="13" t="s">
        <v>7730</v>
      </c>
      <c r="L959" s="99" t="str">
        <f t="shared" si="60"/>
        <v>W3236.F</v>
      </c>
      <c r="M959" s="13" t="s">
        <v>17</v>
      </c>
      <c r="N959" s="13"/>
      <c r="O959" s="13"/>
      <c r="P959" s="47"/>
      <c r="Q959" s="45" t="s">
        <v>142</v>
      </c>
      <c r="R959" s="45" t="s">
        <v>5596</v>
      </c>
      <c r="S959" s="48"/>
      <c r="T959" s="49" t="str">
        <f t="shared" si="59"/>
        <v>[W3236.F]</v>
      </c>
      <c r="U959" s="12" t="str">
        <f t="shared" si="62"/>
        <v xml:space="preserve"> 터브이송#3-5 클램프 상승 시간초과 (X3F4, X3F6, Y401)</v>
      </c>
      <c r="V959" s="49" t="str">
        <f t="shared" si="61"/>
        <v>[W3236.F] 터브이송#3-5 클램프 상승 시간초과 (X3F4, X3F6, Y401)</v>
      </c>
    </row>
    <row r="960" spans="1:22" s="49" customFormat="1" ht="14.15" customHeight="1">
      <c r="A960" s="43" t="s">
        <v>6673</v>
      </c>
      <c r="B960" s="44" t="s">
        <v>6635</v>
      </c>
      <c r="C960" s="50"/>
      <c r="D960" s="10" t="s">
        <v>29</v>
      </c>
      <c r="E960" s="11"/>
      <c r="F960" s="11" t="s">
        <v>18</v>
      </c>
      <c r="G960" s="13"/>
      <c r="H960" s="45" t="s">
        <v>16</v>
      </c>
      <c r="I960" s="47"/>
      <c r="J960" s="12" t="s">
        <v>6250</v>
      </c>
      <c r="K960" s="13" t="s">
        <v>7731</v>
      </c>
      <c r="L960" s="99" t="str">
        <f t="shared" si="60"/>
        <v>W3237.0</v>
      </c>
      <c r="M960" s="13" t="s">
        <v>17</v>
      </c>
      <c r="N960" s="13"/>
      <c r="O960" s="13"/>
      <c r="P960" s="47"/>
      <c r="Q960" s="45" t="s">
        <v>142</v>
      </c>
      <c r="R960" s="45" t="s">
        <v>5596</v>
      </c>
      <c r="S960" s="48"/>
      <c r="T960" s="49" t="str">
        <f t="shared" si="59"/>
        <v>[W3237.0]</v>
      </c>
      <c r="U960" s="12" t="str">
        <f t="shared" si="62"/>
        <v xml:space="preserve"> 터브이송#3-5 클램프 하강 시간초과 (X3F5, X3F7, Y400)</v>
      </c>
      <c r="V960" s="49" t="str">
        <f t="shared" si="61"/>
        <v>[W3237.0] 터브이송#3-5 클램프 하강 시간초과 (X3F5, X3F7, Y400)</v>
      </c>
    </row>
    <row r="961" spans="1:22" s="49" customFormat="1" ht="14.15" customHeight="1">
      <c r="A961" s="43" t="s">
        <v>6673</v>
      </c>
      <c r="B961" s="44" t="s">
        <v>6635</v>
      </c>
      <c r="C961" s="50"/>
      <c r="D961" s="10" t="s">
        <v>29</v>
      </c>
      <c r="E961" s="11"/>
      <c r="F961" s="11" t="s">
        <v>18</v>
      </c>
      <c r="G961" s="13"/>
      <c r="H961" s="45" t="s">
        <v>16</v>
      </c>
      <c r="I961" s="47"/>
      <c r="J961" s="12" t="s">
        <v>6251</v>
      </c>
      <c r="K961" s="13" t="s">
        <v>7732</v>
      </c>
      <c r="L961" s="99" t="str">
        <f t="shared" si="60"/>
        <v>W3237.1</v>
      </c>
      <c r="M961" s="13" t="s">
        <v>17</v>
      </c>
      <c r="N961" s="13"/>
      <c r="O961" s="13"/>
      <c r="P961" s="47"/>
      <c r="Q961" s="45" t="s">
        <v>142</v>
      </c>
      <c r="R961" s="45" t="s">
        <v>5596</v>
      </c>
      <c r="S961" s="48"/>
      <c r="T961" s="49" t="str">
        <f t="shared" si="59"/>
        <v>[W3237.1]</v>
      </c>
      <c r="U961" s="12" t="str">
        <f t="shared" si="62"/>
        <v xml:space="preserve"> 터브이송#3-5 클램프 상승/하강 센서이상 (X3F4, X3F5, X3F6, X3F7)</v>
      </c>
      <c r="V961" s="49" t="str">
        <f t="shared" si="61"/>
        <v>[W3237.1] 터브이송#3-5 클램프 상승/하강 센서이상 (X3F4, X3F5, X3F6, X3F7)</v>
      </c>
    </row>
    <row r="962" spans="1:22" s="49" customFormat="1" ht="14.15" customHeight="1">
      <c r="A962" s="43" t="s">
        <v>6673</v>
      </c>
      <c r="B962" s="44" t="s">
        <v>6635</v>
      </c>
      <c r="C962" s="50"/>
      <c r="D962" s="10" t="s">
        <v>29</v>
      </c>
      <c r="E962" s="11"/>
      <c r="F962" s="11" t="s">
        <v>18</v>
      </c>
      <c r="G962" s="13"/>
      <c r="H962" s="45" t="s">
        <v>16</v>
      </c>
      <c r="I962" s="47"/>
      <c r="J962" s="12" t="s">
        <v>6252</v>
      </c>
      <c r="K962" s="13" t="s">
        <v>7733</v>
      </c>
      <c r="L962" s="99" t="str">
        <f t="shared" si="60"/>
        <v>W3237.2</v>
      </c>
      <c r="M962" s="13" t="s">
        <v>17</v>
      </c>
      <c r="N962" s="13"/>
      <c r="O962" s="13"/>
      <c r="P962" s="47"/>
      <c r="Q962" s="45" t="s">
        <v>142</v>
      </c>
      <c r="R962" s="45" t="s">
        <v>5596</v>
      </c>
      <c r="S962" s="48"/>
      <c r="T962" s="49" t="str">
        <f t="shared" si="59"/>
        <v>[W3237.2]</v>
      </c>
      <c r="U962" s="12" t="str">
        <f t="shared" si="62"/>
        <v xml:space="preserve"> 터브이송#3-4 터브이송#3-5 지령오류 (M8065, M8086)</v>
      </c>
      <c r="V962" s="49" t="str">
        <f t="shared" si="61"/>
        <v>[W3237.2] 터브이송#3-4 터브이송#3-5 지령오류 (M8065, M8086)</v>
      </c>
    </row>
    <row r="963" spans="1:22" s="49" customFormat="1" ht="14.15" customHeight="1">
      <c r="A963" s="43" t="s">
        <v>6673</v>
      </c>
      <c r="B963" s="44" t="s">
        <v>6635</v>
      </c>
      <c r="C963" s="50"/>
      <c r="D963" s="10" t="s">
        <v>29</v>
      </c>
      <c r="E963" s="11"/>
      <c r="F963" s="11" t="s">
        <v>18</v>
      </c>
      <c r="G963" s="13"/>
      <c r="H963" s="45" t="s">
        <v>16</v>
      </c>
      <c r="I963" s="47"/>
      <c r="J963" s="12" t="s">
        <v>6253</v>
      </c>
      <c r="K963" s="13" t="s">
        <v>7734</v>
      </c>
      <c r="L963" s="99" t="str">
        <f t="shared" si="60"/>
        <v>W3237.3</v>
      </c>
      <c r="M963" s="13" t="s">
        <v>17</v>
      </c>
      <c r="N963" s="13"/>
      <c r="O963" s="13"/>
      <c r="P963" s="47"/>
      <c r="Q963" s="45" t="s">
        <v>142</v>
      </c>
      <c r="R963" s="45" t="s">
        <v>5596</v>
      </c>
      <c r="S963" s="48"/>
      <c r="T963" s="49" t="str">
        <f t="shared" si="59"/>
        <v>[W3237.3]</v>
      </c>
      <c r="U963" s="12" t="str">
        <f t="shared" si="62"/>
        <v xml:space="preserve"> 터브이송#3-4 터브이송#3-5 구동방향오류</v>
      </c>
      <c r="V963" s="49" t="str">
        <f t="shared" si="61"/>
        <v>[W3237.3] 터브이송#3-4 터브이송#3-5 구동방향오류</v>
      </c>
    </row>
    <row r="964" spans="1:22" s="49" customFormat="1" ht="14.15" customHeight="1">
      <c r="A964" s="43" t="s">
        <v>6673</v>
      </c>
      <c r="B964" s="44" t="s">
        <v>6635</v>
      </c>
      <c r="C964" s="50"/>
      <c r="D964" s="10" t="s">
        <v>29</v>
      </c>
      <c r="E964" s="11"/>
      <c r="F964" s="11" t="s">
        <v>18</v>
      </c>
      <c r="G964" s="13"/>
      <c r="H964" s="45" t="s">
        <v>16</v>
      </c>
      <c r="I964" s="47"/>
      <c r="J964" s="12" t="s">
        <v>6254</v>
      </c>
      <c r="K964" s="13" t="s">
        <v>7735</v>
      </c>
      <c r="L964" s="99" t="str">
        <f t="shared" si="60"/>
        <v>W3237.4</v>
      </c>
      <c r="M964" s="13" t="s">
        <v>17</v>
      </c>
      <c r="N964" s="13"/>
      <c r="O964" s="13"/>
      <c r="P964" s="47"/>
      <c r="Q964" s="45" t="s">
        <v>142</v>
      </c>
      <c r="R964" s="45" t="s">
        <v>5596</v>
      </c>
      <c r="S964" s="48"/>
      <c r="T964" s="49" t="str">
        <f t="shared" si="59"/>
        <v>[W3237.4]</v>
      </c>
      <c r="U964" s="12" t="str">
        <f t="shared" si="62"/>
        <v xml:space="preserve"> 터브이송#3-4 터브이송#3-5 간격오류 (D25746, D25744)</v>
      </c>
      <c r="V964" s="49" t="str">
        <f t="shared" si="61"/>
        <v>[W3237.4] 터브이송#3-4 터브이송#3-5 간격오류 (D25746, D25744)</v>
      </c>
    </row>
    <row r="965" spans="1:22" s="49" customFormat="1" ht="14.15" customHeight="1">
      <c r="A965" s="44"/>
      <c r="B965" s="44" t="s">
        <v>6635</v>
      </c>
      <c r="C965" s="50"/>
      <c r="D965" s="10" t="s">
        <v>29</v>
      </c>
      <c r="E965" s="11"/>
      <c r="F965" s="11" t="s">
        <v>18</v>
      </c>
      <c r="G965" s="13"/>
      <c r="H965" s="45" t="s">
        <v>16</v>
      </c>
      <c r="I965" s="47"/>
      <c r="J965" s="12" t="s">
        <v>3982</v>
      </c>
      <c r="K965" s="13" t="s">
        <v>7736</v>
      </c>
      <c r="L965" s="99" t="str">
        <f t="shared" si="60"/>
        <v>W3237.5</v>
      </c>
      <c r="M965" s="13"/>
      <c r="N965" s="13"/>
      <c r="O965" s="13"/>
      <c r="P965" s="47"/>
      <c r="Q965" s="45"/>
      <c r="R965" s="45"/>
      <c r="S965" s="48"/>
      <c r="T965" s="49" t="str">
        <f t="shared" si="59"/>
        <v>[W3237.5]</v>
      </c>
      <c r="U965" s="12" t="str">
        <f t="shared" si="62"/>
        <v/>
      </c>
      <c r="V965" s="49" t="str">
        <f t="shared" si="61"/>
        <v>[W3237.5]</v>
      </c>
    </row>
    <row r="966" spans="1:22" s="49" customFormat="1" ht="14.15" customHeight="1">
      <c r="A966" s="44"/>
      <c r="B966" s="44" t="s">
        <v>6635</v>
      </c>
      <c r="C966" s="50"/>
      <c r="D966" s="10" t="s">
        <v>29</v>
      </c>
      <c r="E966" s="11"/>
      <c r="F966" s="11" t="s">
        <v>18</v>
      </c>
      <c r="G966" s="13"/>
      <c r="H966" s="45" t="s">
        <v>16</v>
      </c>
      <c r="I966" s="47"/>
      <c r="J966" s="12" t="s">
        <v>3983</v>
      </c>
      <c r="K966" s="13" t="s">
        <v>7737</v>
      </c>
      <c r="L966" s="99" t="str">
        <f t="shared" si="60"/>
        <v>W3237.6</v>
      </c>
      <c r="M966" s="13"/>
      <c r="N966" s="13"/>
      <c r="O966" s="13"/>
      <c r="P966" s="47"/>
      <c r="Q966" s="45"/>
      <c r="R966" s="45"/>
      <c r="S966" s="48"/>
      <c r="T966" s="49" t="str">
        <f t="shared" si="59"/>
        <v>[W3237.6]</v>
      </c>
      <c r="U966" s="12" t="str">
        <f t="shared" si="62"/>
        <v/>
      </c>
      <c r="V966" s="49" t="str">
        <f t="shared" si="61"/>
        <v>[W3237.6]</v>
      </c>
    </row>
    <row r="967" spans="1:22" s="49" customFormat="1" ht="14.15" customHeight="1">
      <c r="A967" s="44"/>
      <c r="B967" s="44" t="s">
        <v>6635</v>
      </c>
      <c r="C967" s="50"/>
      <c r="D967" s="10" t="s">
        <v>29</v>
      </c>
      <c r="E967" s="11"/>
      <c r="F967" s="11" t="s">
        <v>18</v>
      </c>
      <c r="G967" s="13"/>
      <c r="H967" s="45" t="s">
        <v>16</v>
      </c>
      <c r="I967" s="47"/>
      <c r="J967" s="12" t="s">
        <v>3984</v>
      </c>
      <c r="K967" s="13" t="s">
        <v>7738</v>
      </c>
      <c r="L967" s="99" t="str">
        <f t="shared" si="60"/>
        <v>W3237.7</v>
      </c>
      <c r="M967" s="13"/>
      <c r="N967" s="13"/>
      <c r="O967" s="13"/>
      <c r="P967" s="47"/>
      <c r="Q967" s="45"/>
      <c r="R967" s="45"/>
      <c r="S967" s="48"/>
      <c r="T967" s="49" t="str">
        <f t="shared" si="59"/>
        <v>[W3237.7]</v>
      </c>
      <c r="U967" s="12" t="str">
        <f t="shared" si="62"/>
        <v/>
      </c>
      <c r="V967" s="49" t="str">
        <f t="shared" si="61"/>
        <v>[W3237.7]</v>
      </c>
    </row>
    <row r="968" spans="1:22" s="49" customFormat="1" ht="14.15" customHeight="1">
      <c r="A968" s="44"/>
      <c r="B968" s="44" t="s">
        <v>6635</v>
      </c>
      <c r="C968" s="50"/>
      <c r="D968" s="10" t="s">
        <v>29</v>
      </c>
      <c r="E968" s="11"/>
      <c r="F968" s="11" t="s">
        <v>18</v>
      </c>
      <c r="G968" s="13"/>
      <c r="H968" s="45" t="s">
        <v>16</v>
      </c>
      <c r="I968" s="47"/>
      <c r="J968" s="12" t="s">
        <v>3985</v>
      </c>
      <c r="K968" s="13" t="s">
        <v>7739</v>
      </c>
      <c r="L968" s="99" t="str">
        <f t="shared" si="60"/>
        <v>W3237.8</v>
      </c>
      <c r="M968" s="13"/>
      <c r="N968" s="13"/>
      <c r="O968" s="13"/>
      <c r="P968" s="47"/>
      <c r="Q968" s="45"/>
      <c r="R968" s="45"/>
      <c r="S968" s="48"/>
      <c r="T968" s="49" t="str">
        <f>"["&amp;L938&amp;"]"</f>
        <v>[W3235.A]</v>
      </c>
      <c r="U968" s="12" t="str">
        <f>RIGHT(J938,LEN(J938)-7)</f>
        <v/>
      </c>
      <c r="V968" s="49" t="str">
        <f>T938&amp;U938</f>
        <v>[W3235.A]</v>
      </c>
    </row>
    <row r="969" spans="1:22" s="49" customFormat="1" ht="14.15" customHeight="1">
      <c r="A969" s="43"/>
      <c r="B969" s="44" t="s">
        <v>6635</v>
      </c>
      <c r="C969" s="50"/>
      <c r="D969" s="10" t="s">
        <v>29</v>
      </c>
      <c r="E969" s="11"/>
      <c r="F969" s="11" t="s">
        <v>18</v>
      </c>
      <c r="G969" s="13"/>
      <c r="H969" s="45" t="s">
        <v>16</v>
      </c>
      <c r="I969" s="47"/>
      <c r="J969" s="12" t="s">
        <v>3986</v>
      </c>
      <c r="K969" s="13" t="s">
        <v>7740</v>
      </c>
      <c r="L969" s="99" t="str">
        <f t="shared" si="60"/>
        <v>W3237.9</v>
      </c>
      <c r="M969" s="13"/>
      <c r="N969" s="13"/>
      <c r="O969" s="13"/>
      <c r="P969" s="47"/>
      <c r="Q969" s="45"/>
      <c r="R969" s="45"/>
      <c r="S969" s="48"/>
      <c r="T969" s="49" t="str">
        <f t="shared" si="59"/>
        <v>[W3237.9]</v>
      </c>
      <c r="U969" s="12" t="str">
        <f t="shared" si="62"/>
        <v/>
      </c>
      <c r="V969" s="49" t="str">
        <f t="shared" si="61"/>
        <v>[W3237.9]</v>
      </c>
    </row>
    <row r="970" spans="1:22" s="49" customFormat="1" ht="14.15" customHeight="1">
      <c r="A970" s="43"/>
      <c r="B970" s="44" t="s">
        <v>6635</v>
      </c>
      <c r="C970" s="50"/>
      <c r="D970" s="10" t="s">
        <v>29</v>
      </c>
      <c r="E970" s="11"/>
      <c r="F970" s="11" t="s">
        <v>18</v>
      </c>
      <c r="G970" s="13"/>
      <c r="H970" s="45" t="s">
        <v>16</v>
      </c>
      <c r="I970" s="47"/>
      <c r="J970" s="12" t="s">
        <v>3987</v>
      </c>
      <c r="K970" s="13" t="s">
        <v>7741</v>
      </c>
      <c r="L970" s="99" t="str">
        <f t="shared" si="60"/>
        <v>W3237.A</v>
      </c>
      <c r="M970" s="13"/>
      <c r="N970" s="13"/>
      <c r="O970" s="13"/>
      <c r="P970" s="47"/>
      <c r="Q970" s="45"/>
      <c r="R970" s="45"/>
      <c r="S970" s="48"/>
      <c r="T970" s="49" t="str">
        <f t="shared" si="59"/>
        <v>[W3237.A]</v>
      </c>
      <c r="U970" s="12" t="str">
        <f t="shared" si="62"/>
        <v/>
      </c>
      <c r="V970" s="49" t="str">
        <f t="shared" si="61"/>
        <v>[W3237.A]</v>
      </c>
    </row>
    <row r="971" spans="1:22" s="49" customFormat="1" ht="14.15" customHeight="1">
      <c r="A971" s="43"/>
      <c r="B971" s="44" t="s">
        <v>6635</v>
      </c>
      <c r="C971" s="50"/>
      <c r="D971" s="10" t="s">
        <v>29</v>
      </c>
      <c r="E971" s="11"/>
      <c r="F971" s="11" t="s">
        <v>18</v>
      </c>
      <c r="G971" s="13"/>
      <c r="H971" s="45" t="s">
        <v>16</v>
      </c>
      <c r="I971" s="47"/>
      <c r="J971" s="12" t="s">
        <v>3988</v>
      </c>
      <c r="K971" s="13" t="s">
        <v>7742</v>
      </c>
      <c r="L971" s="99" t="str">
        <f t="shared" si="60"/>
        <v>W3237.B</v>
      </c>
      <c r="M971" s="13"/>
      <c r="N971" s="13"/>
      <c r="O971" s="13"/>
      <c r="P971" s="47"/>
      <c r="Q971" s="45"/>
      <c r="R971" s="45"/>
      <c r="S971" s="48"/>
      <c r="T971" s="49" t="str">
        <f t="shared" si="59"/>
        <v>[W3237.B]</v>
      </c>
      <c r="U971" s="12" t="str">
        <f t="shared" si="62"/>
        <v/>
      </c>
      <c r="V971" s="49" t="str">
        <f t="shared" si="61"/>
        <v>[W3237.B]</v>
      </c>
    </row>
    <row r="972" spans="1:22" s="49" customFormat="1" ht="14.15" customHeight="1">
      <c r="A972" s="44"/>
      <c r="B972" s="44" t="s">
        <v>6635</v>
      </c>
      <c r="C972" s="50"/>
      <c r="D972" s="10" t="s">
        <v>29</v>
      </c>
      <c r="E972" s="11"/>
      <c r="F972" s="11" t="s">
        <v>18</v>
      </c>
      <c r="G972" s="13"/>
      <c r="H972" s="45" t="s">
        <v>16</v>
      </c>
      <c r="I972" s="47"/>
      <c r="J972" s="12" t="s">
        <v>3989</v>
      </c>
      <c r="K972" s="13" t="s">
        <v>7743</v>
      </c>
      <c r="L972" s="99" t="str">
        <f t="shared" si="60"/>
        <v>W3237.C</v>
      </c>
      <c r="M972" s="13"/>
      <c r="N972" s="13"/>
      <c r="O972" s="13"/>
      <c r="P972" s="47"/>
      <c r="Q972" s="45"/>
      <c r="R972" s="45"/>
      <c r="S972" s="48"/>
      <c r="T972" s="49" t="str">
        <f t="shared" si="59"/>
        <v>[W3237.C]</v>
      </c>
      <c r="U972" s="12" t="str">
        <f t="shared" si="62"/>
        <v/>
      </c>
      <c r="V972" s="49" t="str">
        <f t="shared" si="61"/>
        <v>[W3237.C]</v>
      </c>
    </row>
    <row r="973" spans="1:22" s="49" customFormat="1" ht="14.15" customHeight="1">
      <c r="A973" s="43"/>
      <c r="B973" s="44" t="s">
        <v>6635</v>
      </c>
      <c r="C973" s="50"/>
      <c r="D973" s="10" t="s">
        <v>29</v>
      </c>
      <c r="E973" s="11"/>
      <c r="F973" s="11" t="s">
        <v>18</v>
      </c>
      <c r="G973" s="13"/>
      <c r="H973" s="45" t="s">
        <v>16</v>
      </c>
      <c r="I973" s="47"/>
      <c r="J973" s="12" t="s">
        <v>3990</v>
      </c>
      <c r="K973" s="13" t="s">
        <v>7744</v>
      </c>
      <c r="L973" s="99" t="str">
        <f t="shared" si="60"/>
        <v>W3237.D</v>
      </c>
      <c r="M973" s="13"/>
      <c r="N973" s="13"/>
      <c r="O973" s="13"/>
      <c r="P973" s="47"/>
      <c r="Q973" s="45"/>
      <c r="R973" s="45"/>
      <c r="S973" s="48"/>
      <c r="T973" s="49" t="str">
        <f t="shared" si="59"/>
        <v>[W3237.D]</v>
      </c>
      <c r="U973" s="12" t="str">
        <f t="shared" si="62"/>
        <v/>
      </c>
      <c r="V973" s="49" t="str">
        <f t="shared" si="61"/>
        <v>[W3237.D]</v>
      </c>
    </row>
    <row r="974" spans="1:22" s="49" customFormat="1" ht="14.15" customHeight="1">
      <c r="A974" s="44"/>
      <c r="B974" s="44" t="s">
        <v>6635</v>
      </c>
      <c r="C974" s="50"/>
      <c r="D974" s="10" t="s">
        <v>29</v>
      </c>
      <c r="E974" s="11"/>
      <c r="F974" s="11" t="s">
        <v>18</v>
      </c>
      <c r="G974" s="13"/>
      <c r="H974" s="45" t="s">
        <v>16</v>
      </c>
      <c r="I974" s="47"/>
      <c r="J974" s="12" t="s">
        <v>3991</v>
      </c>
      <c r="K974" s="13" t="s">
        <v>7745</v>
      </c>
      <c r="L974" s="99" t="str">
        <f t="shared" si="60"/>
        <v>W3237.E</v>
      </c>
      <c r="M974" s="13"/>
      <c r="N974" s="13"/>
      <c r="O974" s="13"/>
      <c r="P974" s="47"/>
      <c r="Q974" s="45"/>
      <c r="R974" s="45"/>
      <c r="S974" s="48"/>
      <c r="T974" s="49" t="str">
        <f t="shared" si="59"/>
        <v>[W3237.E]</v>
      </c>
      <c r="U974" s="12" t="str">
        <f t="shared" si="62"/>
        <v/>
      </c>
      <c r="V974" s="49" t="str">
        <f t="shared" si="61"/>
        <v>[W3237.E]</v>
      </c>
    </row>
    <row r="975" spans="1:22" s="49" customFormat="1" ht="14.15" customHeight="1">
      <c r="A975" s="44"/>
      <c r="B975" s="44" t="s">
        <v>6635</v>
      </c>
      <c r="C975" s="50"/>
      <c r="D975" s="10" t="s">
        <v>29</v>
      </c>
      <c r="E975" s="11"/>
      <c r="F975" s="11" t="s">
        <v>18</v>
      </c>
      <c r="G975" s="13"/>
      <c r="H975" s="45" t="s">
        <v>16</v>
      </c>
      <c r="I975" s="47"/>
      <c r="J975" s="12" t="s">
        <v>3992</v>
      </c>
      <c r="K975" s="13" t="s">
        <v>7746</v>
      </c>
      <c r="L975" s="99" t="str">
        <f t="shared" si="60"/>
        <v>W3237.F</v>
      </c>
      <c r="M975" s="13"/>
      <c r="N975" s="13"/>
      <c r="O975" s="13"/>
      <c r="P975" s="47"/>
      <c r="Q975" s="45"/>
      <c r="R975" s="45"/>
      <c r="S975" s="48"/>
      <c r="T975" s="49" t="str">
        <f t="shared" si="59"/>
        <v>[W3237.F]</v>
      </c>
      <c r="U975" s="12" t="str">
        <f t="shared" si="62"/>
        <v/>
      </c>
      <c r="V975" s="49" t="str">
        <f t="shared" si="61"/>
        <v>[W3237.F]</v>
      </c>
    </row>
    <row r="976" spans="1:22" s="49" customFormat="1" ht="14.15" customHeight="1">
      <c r="A976" s="44"/>
      <c r="B976" s="44" t="s">
        <v>6635</v>
      </c>
      <c r="C976" s="50"/>
      <c r="D976" s="10" t="s">
        <v>29</v>
      </c>
      <c r="E976" s="11"/>
      <c r="F976" s="11" t="s">
        <v>18</v>
      </c>
      <c r="G976" s="13"/>
      <c r="H976" s="45" t="s">
        <v>16</v>
      </c>
      <c r="I976" s="47"/>
      <c r="J976" s="12" t="s">
        <v>3993</v>
      </c>
      <c r="K976" s="13" t="s">
        <v>7747</v>
      </c>
      <c r="L976" s="99" t="str">
        <f t="shared" si="60"/>
        <v>W3238.0</v>
      </c>
      <c r="M976" s="13"/>
      <c r="N976" s="13"/>
      <c r="O976" s="13"/>
      <c r="P976" s="47"/>
      <c r="Q976" s="45"/>
      <c r="R976" s="45"/>
      <c r="S976" s="48"/>
      <c r="T976" s="49" t="str">
        <f t="shared" ref="T976:T1039" si="63">"["&amp;L976&amp;"]"</f>
        <v>[W3238.0]</v>
      </c>
      <c r="U976" s="12" t="str">
        <f t="shared" si="62"/>
        <v/>
      </c>
      <c r="V976" s="49" t="str">
        <f t="shared" si="61"/>
        <v>[W3238.0]</v>
      </c>
    </row>
    <row r="977" spans="1:22" s="49" customFormat="1" ht="14.15" customHeight="1">
      <c r="A977" s="44"/>
      <c r="B977" s="44" t="s">
        <v>6635</v>
      </c>
      <c r="C977" s="50"/>
      <c r="D977" s="10" t="s">
        <v>29</v>
      </c>
      <c r="E977" s="11"/>
      <c r="F977" s="11" t="s">
        <v>18</v>
      </c>
      <c r="G977" s="13"/>
      <c r="H977" s="45" t="s">
        <v>16</v>
      </c>
      <c r="I977" s="47"/>
      <c r="J977" s="12" t="s">
        <v>3994</v>
      </c>
      <c r="K977" s="13" t="s">
        <v>7748</v>
      </c>
      <c r="L977" s="99" t="str">
        <f t="shared" ref="L977:L1040" si="64">"W"&amp;DEC2HEX(12800 + INT((ROW()-80)/16)) &amp; "." &amp; IF(MOD(ROW()-80,16)&lt;10,MOD(ROW()-80,16),CHAR(MOD(ROW()-80,16)+55))</f>
        <v>W3238.1</v>
      </c>
      <c r="M977" s="13"/>
      <c r="N977" s="13"/>
      <c r="O977" s="13"/>
      <c r="P977" s="47"/>
      <c r="Q977" s="45"/>
      <c r="R977" s="45"/>
      <c r="S977" s="48"/>
      <c r="T977" s="49" t="str">
        <f t="shared" si="63"/>
        <v>[W3238.1]</v>
      </c>
      <c r="U977" s="12" t="str">
        <f t="shared" si="62"/>
        <v/>
      </c>
      <c r="V977" s="49" t="str">
        <f t="shared" ref="V977:V1040" si="65">T977&amp;U977</f>
        <v>[W3238.1]</v>
      </c>
    </row>
    <row r="978" spans="1:22" s="49" customFormat="1" ht="14.15" customHeight="1">
      <c r="A978" s="43"/>
      <c r="B978" s="44" t="s">
        <v>6635</v>
      </c>
      <c r="C978" s="50"/>
      <c r="D978" s="10" t="s">
        <v>29</v>
      </c>
      <c r="E978" s="11"/>
      <c r="F978" s="11" t="s">
        <v>18</v>
      </c>
      <c r="G978" s="13"/>
      <c r="H978" s="45" t="s">
        <v>16</v>
      </c>
      <c r="I978" s="47"/>
      <c r="J978" s="12" t="s">
        <v>3995</v>
      </c>
      <c r="K978" s="13" t="s">
        <v>7749</v>
      </c>
      <c r="L978" s="99" t="str">
        <f t="shared" si="64"/>
        <v>W3238.2</v>
      </c>
      <c r="M978" s="13"/>
      <c r="N978" s="13"/>
      <c r="O978" s="13"/>
      <c r="P978" s="47"/>
      <c r="Q978" s="45"/>
      <c r="R978" s="45"/>
      <c r="S978" s="48"/>
      <c r="T978" s="49" t="str">
        <f t="shared" si="63"/>
        <v>[W3238.2]</v>
      </c>
      <c r="U978" s="12" t="str">
        <f t="shared" si="62"/>
        <v/>
      </c>
      <c r="V978" s="49" t="str">
        <f t="shared" si="65"/>
        <v>[W3238.2]</v>
      </c>
    </row>
    <row r="979" spans="1:22" s="49" customFormat="1" ht="14.15" customHeight="1">
      <c r="A979" s="43" t="s">
        <v>6675</v>
      </c>
      <c r="B979" s="44" t="s">
        <v>6635</v>
      </c>
      <c r="C979" s="50"/>
      <c r="D979" s="10" t="s">
        <v>29</v>
      </c>
      <c r="E979" s="11"/>
      <c r="F979" s="11" t="s">
        <v>18</v>
      </c>
      <c r="G979" s="13"/>
      <c r="H979" s="45" t="s">
        <v>16</v>
      </c>
      <c r="I979" s="47"/>
      <c r="J979" s="12" t="s">
        <v>6255</v>
      </c>
      <c r="K979" s="13" t="s">
        <v>7750</v>
      </c>
      <c r="L979" s="99" t="str">
        <f t="shared" si="64"/>
        <v>W3238.3</v>
      </c>
      <c r="M979" s="13" t="s">
        <v>17</v>
      </c>
      <c r="N979" s="13"/>
      <c r="O979" s="13"/>
      <c r="P979" s="47"/>
      <c r="Q979" s="45" t="s">
        <v>142</v>
      </c>
      <c r="R979" s="45" t="s">
        <v>5596</v>
      </c>
      <c r="S979" s="48"/>
      <c r="T979" s="49" t="str">
        <f t="shared" si="63"/>
        <v>[W3238.3]</v>
      </c>
      <c r="U979" s="12" t="str">
        <f t="shared" si="62"/>
        <v xml:space="preserve"> 용접#1 터브측면 RH 클램프 전진 시간초과 (X436, Y462)</v>
      </c>
      <c r="V979" s="49" t="str">
        <f t="shared" si="65"/>
        <v>[W3238.3] 용접#1 터브측면 RH 클램프 전진 시간초과 (X436, Y462)</v>
      </c>
    </row>
    <row r="980" spans="1:22" s="49" customFormat="1" ht="14.15" customHeight="1">
      <c r="A980" s="43" t="s">
        <v>6675</v>
      </c>
      <c r="B980" s="44" t="s">
        <v>6635</v>
      </c>
      <c r="C980" s="50"/>
      <c r="D980" s="10" t="s">
        <v>29</v>
      </c>
      <c r="E980" s="11"/>
      <c r="F980" s="11" t="s">
        <v>18</v>
      </c>
      <c r="G980" s="13"/>
      <c r="H980" s="45" t="s">
        <v>16</v>
      </c>
      <c r="I980" s="47"/>
      <c r="J980" s="12" t="s">
        <v>6256</v>
      </c>
      <c r="K980" s="13" t="s">
        <v>7751</v>
      </c>
      <c r="L980" s="99" t="str">
        <f t="shared" si="64"/>
        <v>W3238.4</v>
      </c>
      <c r="M980" s="13" t="s">
        <v>17</v>
      </c>
      <c r="N980" s="13"/>
      <c r="O980" s="13"/>
      <c r="P980" s="47"/>
      <c r="Q980" s="45" t="s">
        <v>142</v>
      </c>
      <c r="R980" s="45" t="s">
        <v>5596</v>
      </c>
      <c r="S980" s="48"/>
      <c r="T980" s="49" t="str">
        <f t="shared" si="63"/>
        <v>[W3238.4]</v>
      </c>
      <c r="U980" s="12" t="str">
        <f t="shared" si="62"/>
        <v xml:space="preserve"> 용접#1 터브측면 RH 클램프 후진 시간초과 (X437, Y463)</v>
      </c>
      <c r="V980" s="49" t="str">
        <f t="shared" si="65"/>
        <v>[W3238.4] 용접#1 터브측면 RH 클램프 후진 시간초과 (X437, Y463)</v>
      </c>
    </row>
    <row r="981" spans="1:22" s="49" customFormat="1" ht="14.15" customHeight="1">
      <c r="A981" s="43" t="s">
        <v>6675</v>
      </c>
      <c r="B981" s="44" t="s">
        <v>6635</v>
      </c>
      <c r="C981" s="50"/>
      <c r="D981" s="10" t="s">
        <v>29</v>
      </c>
      <c r="E981" s="11"/>
      <c r="F981" s="11" t="s">
        <v>18</v>
      </c>
      <c r="G981" s="13"/>
      <c r="H981" s="45" t="s">
        <v>16</v>
      </c>
      <c r="I981" s="47"/>
      <c r="J981" s="12" t="s">
        <v>6257</v>
      </c>
      <c r="K981" s="13" t="s">
        <v>7752</v>
      </c>
      <c r="L981" s="99" t="str">
        <f t="shared" si="64"/>
        <v>W3238.5</v>
      </c>
      <c r="M981" s="13" t="s">
        <v>17</v>
      </c>
      <c r="N981" s="13"/>
      <c r="O981" s="13"/>
      <c r="P981" s="47"/>
      <c r="Q981" s="45" t="s">
        <v>142</v>
      </c>
      <c r="R981" s="45" t="s">
        <v>5596</v>
      </c>
      <c r="S981" s="48"/>
      <c r="T981" s="49" t="str">
        <f t="shared" si="63"/>
        <v>[W3238.5]</v>
      </c>
      <c r="U981" s="12" t="str">
        <f t="shared" ref="U981:U1044" si="66">RIGHT(J981,LEN(J981)-7)</f>
        <v xml:space="preserve"> 용접#1 터브측면 RH 클램프 전진/후진 센서이상 (X436, X437)</v>
      </c>
      <c r="V981" s="49" t="str">
        <f t="shared" si="65"/>
        <v>[W3238.5] 용접#1 터브측면 RH 클램프 전진/후진 센서이상 (X436, X437)</v>
      </c>
    </row>
    <row r="982" spans="1:22" s="49" customFormat="1" ht="14.15" customHeight="1">
      <c r="A982" s="43" t="s">
        <v>6675</v>
      </c>
      <c r="B982" s="44" t="s">
        <v>6635</v>
      </c>
      <c r="C982" s="50"/>
      <c r="D982" s="10" t="s">
        <v>29</v>
      </c>
      <c r="E982" s="11"/>
      <c r="F982" s="11" t="s">
        <v>18</v>
      </c>
      <c r="G982" s="13"/>
      <c r="H982" s="45" t="s">
        <v>16</v>
      </c>
      <c r="I982" s="47"/>
      <c r="J982" s="12" t="s">
        <v>6258</v>
      </c>
      <c r="K982" s="13" t="s">
        <v>7753</v>
      </c>
      <c r="L982" s="99" t="str">
        <f t="shared" si="64"/>
        <v>W3238.6</v>
      </c>
      <c r="M982" s="13" t="s">
        <v>17</v>
      </c>
      <c r="N982" s="13"/>
      <c r="O982" s="13"/>
      <c r="P982" s="47"/>
      <c r="Q982" s="45" t="s">
        <v>142</v>
      </c>
      <c r="R982" s="45" t="s">
        <v>5596</v>
      </c>
      <c r="S982" s="48"/>
      <c r="T982" s="49" t="str">
        <f t="shared" si="63"/>
        <v>[W3238.6]</v>
      </c>
      <c r="U982" s="12" t="str">
        <f t="shared" si="66"/>
        <v xml:space="preserve"> 용접#1 터브측면 LH 클램프 전진 시간초과 (X438, Y464)</v>
      </c>
      <c r="V982" s="49" t="str">
        <f t="shared" si="65"/>
        <v>[W3238.6] 용접#1 터브측면 LH 클램프 전진 시간초과 (X438, Y464)</v>
      </c>
    </row>
    <row r="983" spans="1:22" s="49" customFormat="1" ht="14.15" customHeight="1">
      <c r="A983" s="43" t="s">
        <v>6675</v>
      </c>
      <c r="B983" s="44" t="s">
        <v>6635</v>
      </c>
      <c r="C983" s="50"/>
      <c r="D983" s="10" t="s">
        <v>29</v>
      </c>
      <c r="E983" s="11"/>
      <c r="F983" s="11" t="s">
        <v>18</v>
      </c>
      <c r="G983" s="13"/>
      <c r="H983" s="45" t="s">
        <v>16</v>
      </c>
      <c r="I983" s="47"/>
      <c r="J983" s="12" t="s">
        <v>6259</v>
      </c>
      <c r="K983" s="13" t="s">
        <v>7754</v>
      </c>
      <c r="L983" s="99" t="str">
        <f t="shared" si="64"/>
        <v>W3238.7</v>
      </c>
      <c r="M983" s="13" t="s">
        <v>17</v>
      </c>
      <c r="N983" s="13"/>
      <c r="O983" s="13"/>
      <c r="P983" s="47"/>
      <c r="Q983" s="45" t="s">
        <v>142</v>
      </c>
      <c r="R983" s="45" t="s">
        <v>5596</v>
      </c>
      <c r="S983" s="48"/>
      <c r="T983" s="49" t="str">
        <f t="shared" si="63"/>
        <v>[W3238.7]</v>
      </c>
      <c r="U983" s="12" t="str">
        <f t="shared" si="66"/>
        <v xml:space="preserve"> 용접#1 터브측면 LH 클램프 후진 시간초과 (X439, Y465)</v>
      </c>
      <c r="V983" s="49" t="str">
        <f t="shared" si="65"/>
        <v>[W3238.7] 용접#1 터브측면 LH 클램프 후진 시간초과 (X439, Y465)</v>
      </c>
    </row>
    <row r="984" spans="1:22" s="49" customFormat="1" ht="14.15" customHeight="1">
      <c r="A984" s="43" t="s">
        <v>6675</v>
      </c>
      <c r="B984" s="44" t="s">
        <v>6635</v>
      </c>
      <c r="C984" s="50"/>
      <c r="D984" s="10" t="s">
        <v>29</v>
      </c>
      <c r="E984" s="11"/>
      <c r="F984" s="11" t="s">
        <v>18</v>
      </c>
      <c r="G984" s="13"/>
      <c r="H984" s="45" t="s">
        <v>16</v>
      </c>
      <c r="I984" s="47"/>
      <c r="J984" s="12" t="s">
        <v>6260</v>
      </c>
      <c r="K984" s="13" t="s">
        <v>7755</v>
      </c>
      <c r="L984" s="99" t="str">
        <f t="shared" si="64"/>
        <v>W3238.8</v>
      </c>
      <c r="M984" s="13" t="s">
        <v>17</v>
      </c>
      <c r="N984" s="13"/>
      <c r="O984" s="13"/>
      <c r="P984" s="47"/>
      <c r="Q984" s="45" t="s">
        <v>142</v>
      </c>
      <c r="R984" s="45" t="s">
        <v>5596</v>
      </c>
      <c r="S984" s="48"/>
      <c r="T984" s="49" t="str">
        <f t="shared" si="63"/>
        <v>[W3238.8]</v>
      </c>
      <c r="U984" s="12" t="str">
        <f t="shared" si="66"/>
        <v xml:space="preserve"> 용접#1 터브측면 LH 클램프 전진/후진 센서이상 (X438, X439)</v>
      </c>
      <c r="V984" s="49" t="str">
        <f t="shared" si="65"/>
        <v>[W3238.8] 용접#1 터브측면 LH 클램프 전진/후진 센서이상 (X438, X439)</v>
      </c>
    </row>
    <row r="985" spans="1:22" s="49" customFormat="1" ht="14.15" customHeight="1">
      <c r="A985" s="43" t="s">
        <v>6675</v>
      </c>
      <c r="B985" s="44" t="s">
        <v>6635</v>
      </c>
      <c r="C985" s="50"/>
      <c r="D985" s="10" t="s">
        <v>29</v>
      </c>
      <c r="E985" s="11"/>
      <c r="F985" s="11" t="s">
        <v>18</v>
      </c>
      <c r="G985" s="13"/>
      <c r="H985" s="45" t="s">
        <v>16</v>
      </c>
      <c r="I985" s="47"/>
      <c r="J985" s="12" t="s">
        <v>6261</v>
      </c>
      <c r="K985" s="13" t="s">
        <v>7756</v>
      </c>
      <c r="L985" s="99" t="str">
        <f t="shared" si="64"/>
        <v>W3238.9</v>
      </c>
      <c r="M985" s="13" t="s">
        <v>17</v>
      </c>
      <c r="N985" s="13"/>
      <c r="O985" s="13"/>
      <c r="P985" s="47"/>
      <c r="Q985" s="45" t="s">
        <v>142</v>
      </c>
      <c r="R985" s="45" t="s">
        <v>5596</v>
      </c>
      <c r="S985" s="48"/>
      <c r="T985" s="49" t="str">
        <f t="shared" si="63"/>
        <v>[W3238.9]</v>
      </c>
      <c r="U985" s="12" t="str">
        <f t="shared" si="66"/>
        <v xml:space="preserve"> 용접#1 터브 FW 클램프 전진 시간초과 (X43A, Y46A)</v>
      </c>
      <c r="V985" s="49" t="str">
        <f t="shared" si="65"/>
        <v>[W3238.9] 용접#1 터브 FW 클램프 전진 시간초과 (X43A, Y46A)</v>
      </c>
    </row>
    <row r="986" spans="1:22" s="49" customFormat="1" ht="14.15" customHeight="1">
      <c r="A986" s="43" t="s">
        <v>6675</v>
      </c>
      <c r="B986" s="44" t="s">
        <v>6635</v>
      </c>
      <c r="C986" s="50"/>
      <c r="D986" s="10" t="s">
        <v>29</v>
      </c>
      <c r="E986" s="11"/>
      <c r="F986" s="11" t="s">
        <v>18</v>
      </c>
      <c r="G986" s="13"/>
      <c r="H986" s="45" t="s">
        <v>16</v>
      </c>
      <c r="I986" s="47"/>
      <c r="J986" s="12" t="s">
        <v>6262</v>
      </c>
      <c r="K986" s="13" t="s">
        <v>7757</v>
      </c>
      <c r="L986" s="99" t="str">
        <f t="shared" si="64"/>
        <v>W3238.A</v>
      </c>
      <c r="M986" s="13" t="s">
        <v>17</v>
      </c>
      <c r="N986" s="13"/>
      <c r="O986" s="13"/>
      <c r="P986" s="47"/>
      <c r="Q986" s="45" t="s">
        <v>142</v>
      </c>
      <c r="R986" s="45" t="s">
        <v>5596</v>
      </c>
      <c r="S986" s="48"/>
      <c r="T986" s="49" t="str">
        <f t="shared" si="63"/>
        <v>[W3238.A]</v>
      </c>
      <c r="U986" s="12" t="str">
        <f t="shared" si="66"/>
        <v xml:space="preserve"> 용접#1 터브 FW 클램프 후진 시간초과 (X43B, Y46B)</v>
      </c>
      <c r="V986" s="49" t="str">
        <f t="shared" si="65"/>
        <v>[W3238.A] 용접#1 터브 FW 클램프 후진 시간초과 (X43B, Y46B)</v>
      </c>
    </row>
    <row r="987" spans="1:22" s="49" customFormat="1" ht="14.15" customHeight="1">
      <c r="A987" s="43" t="s">
        <v>6675</v>
      </c>
      <c r="B987" s="44" t="s">
        <v>6635</v>
      </c>
      <c r="C987" s="50"/>
      <c r="D987" s="10" t="s">
        <v>29</v>
      </c>
      <c r="E987" s="11"/>
      <c r="F987" s="11" t="s">
        <v>18</v>
      </c>
      <c r="G987" s="13"/>
      <c r="H987" s="45" t="s">
        <v>16</v>
      </c>
      <c r="I987" s="47"/>
      <c r="J987" s="12" t="s">
        <v>6263</v>
      </c>
      <c r="K987" s="13" t="s">
        <v>7758</v>
      </c>
      <c r="L987" s="99" t="str">
        <f t="shared" si="64"/>
        <v>W3238.B</v>
      </c>
      <c r="M987" s="13" t="s">
        <v>17</v>
      </c>
      <c r="N987" s="13"/>
      <c r="O987" s="13"/>
      <c r="P987" s="47"/>
      <c r="Q987" s="45" t="s">
        <v>142</v>
      </c>
      <c r="R987" s="45" t="s">
        <v>5596</v>
      </c>
      <c r="S987" s="48"/>
      <c r="T987" s="49" t="str">
        <f t="shared" si="63"/>
        <v>[W3238.B]</v>
      </c>
      <c r="U987" s="12" t="str">
        <f t="shared" si="66"/>
        <v xml:space="preserve"> 용접#1 터브 FW 클램프 전진/후진 센서이상 (X43A, X43B)</v>
      </c>
      <c r="V987" s="49" t="str">
        <f t="shared" si="65"/>
        <v>[W3238.B] 용접#1 터브 FW 클램프 전진/후진 센서이상 (X43A, X43B)</v>
      </c>
    </row>
    <row r="988" spans="1:22" s="49" customFormat="1" ht="14.15" customHeight="1">
      <c r="A988" s="43" t="s">
        <v>6675</v>
      </c>
      <c r="B988" s="44" t="s">
        <v>6635</v>
      </c>
      <c r="C988" s="50"/>
      <c r="D988" s="10" t="s">
        <v>29</v>
      </c>
      <c r="E988" s="11"/>
      <c r="F988" s="11" t="s">
        <v>18</v>
      </c>
      <c r="G988" s="13"/>
      <c r="H988" s="45" t="s">
        <v>16</v>
      </c>
      <c r="I988" s="47"/>
      <c r="J988" s="12" t="s">
        <v>6264</v>
      </c>
      <c r="K988" s="13" t="s">
        <v>7759</v>
      </c>
      <c r="L988" s="99" t="str">
        <f t="shared" si="64"/>
        <v>W3238.C</v>
      </c>
      <c r="M988" s="13" t="s">
        <v>17</v>
      </c>
      <c r="N988" s="13"/>
      <c r="O988" s="13"/>
      <c r="P988" s="47"/>
      <c r="Q988" s="45" t="s">
        <v>142</v>
      </c>
      <c r="R988" s="45" t="s">
        <v>5596</v>
      </c>
      <c r="S988" s="48"/>
      <c r="T988" s="49" t="str">
        <f t="shared" si="63"/>
        <v>[W3238.C]</v>
      </c>
      <c r="U988" s="12" t="str">
        <f t="shared" si="66"/>
        <v xml:space="preserve"> 용접#1 가스켓 클램프 전진 시간초과 (X430, X432, X434, Y460)</v>
      </c>
      <c r="V988" s="49" t="str">
        <f t="shared" si="65"/>
        <v>[W3238.C] 용접#1 가스켓 클램프 전진 시간초과 (X430, X432, X434, Y460)</v>
      </c>
    </row>
    <row r="989" spans="1:22" s="49" customFormat="1" ht="14.15" customHeight="1">
      <c r="A989" s="43" t="s">
        <v>6675</v>
      </c>
      <c r="B989" s="44" t="s">
        <v>6635</v>
      </c>
      <c r="C989" s="50"/>
      <c r="D989" s="10" t="s">
        <v>29</v>
      </c>
      <c r="E989" s="11"/>
      <c r="F989" s="11" t="s">
        <v>18</v>
      </c>
      <c r="G989" s="13"/>
      <c r="H989" s="45" t="s">
        <v>16</v>
      </c>
      <c r="I989" s="47"/>
      <c r="J989" s="12" t="s">
        <v>6265</v>
      </c>
      <c r="K989" s="13" t="s">
        <v>7760</v>
      </c>
      <c r="L989" s="99" t="str">
        <f t="shared" si="64"/>
        <v>W3238.D</v>
      </c>
      <c r="M989" s="13" t="s">
        <v>17</v>
      </c>
      <c r="N989" s="13"/>
      <c r="O989" s="13"/>
      <c r="P989" s="47"/>
      <c r="Q989" s="45" t="s">
        <v>142</v>
      </c>
      <c r="R989" s="45" t="s">
        <v>5596</v>
      </c>
      <c r="S989" s="48"/>
      <c r="T989" s="49" t="str">
        <f t="shared" si="63"/>
        <v>[W3238.D]</v>
      </c>
      <c r="U989" s="12" t="str">
        <f t="shared" si="66"/>
        <v xml:space="preserve"> 용접#1 가스켓 클램프 후진 시간초과 (X431, X433, X435, Y461)</v>
      </c>
      <c r="V989" s="49" t="str">
        <f t="shared" si="65"/>
        <v>[W3238.D] 용접#1 가스켓 클램프 후진 시간초과 (X431, X433, X435, Y461)</v>
      </c>
    </row>
    <row r="990" spans="1:22" s="49" customFormat="1" ht="14.15" customHeight="1">
      <c r="A990" s="43" t="s">
        <v>6675</v>
      </c>
      <c r="B990" s="44" t="s">
        <v>6635</v>
      </c>
      <c r="C990" s="50"/>
      <c r="D990" s="10" t="s">
        <v>29</v>
      </c>
      <c r="E990" s="11"/>
      <c r="F990" s="11" t="s">
        <v>18</v>
      </c>
      <c r="G990" s="13"/>
      <c r="H990" s="45" t="s">
        <v>16</v>
      </c>
      <c r="I990" s="47"/>
      <c r="J990" s="12" t="s">
        <v>6266</v>
      </c>
      <c r="K990" s="13" t="s">
        <v>7761</v>
      </c>
      <c r="L990" s="99" t="str">
        <f t="shared" si="64"/>
        <v>W3238.E</v>
      </c>
      <c r="M990" s="13" t="s">
        <v>17</v>
      </c>
      <c r="N990" s="13"/>
      <c r="O990" s="13"/>
      <c r="P990" s="47"/>
      <c r="Q990" s="45" t="s">
        <v>142</v>
      </c>
      <c r="R990" s="45" t="s">
        <v>5596</v>
      </c>
      <c r="S990" s="48"/>
      <c r="T990" s="49" t="str">
        <f t="shared" si="63"/>
        <v>[W3238.E]</v>
      </c>
      <c r="U990" s="12" t="str">
        <f t="shared" si="66"/>
        <v xml:space="preserve"> 용접#1 가스켓 클램프 전진/후진 센서이상 (X430, X431, X432, X433, X434, X435)</v>
      </c>
      <c r="V990" s="49" t="str">
        <f t="shared" si="65"/>
        <v>[W3238.E] 용접#1 가스켓 클램프 전진/후진 센서이상 (X430, X431, X432, X433, X434, X435)</v>
      </c>
    </row>
    <row r="991" spans="1:22" s="49" customFormat="1" ht="14.15" customHeight="1">
      <c r="A991" s="43" t="s">
        <v>6675</v>
      </c>
      <c r="B991" s="44" t="s">
        <v>6635</v>
      </c>
      <c r="C991" s="50"/>
      <c r="D991" s="10" t="s">
        <v>29</v>
      </c>
      <c r="E991" s="11"/>
      <c r="F991" s="11" t="s">
        <v>18</v>
      </c>
      <c r="G991" s="13"/>
      <c r="H991" s="45" t="s">
        <v>16</v>
      </c>
      <c r="I991" s="47"/>
      <c r="J991" s="12" t="s">
        <v>6267</v>
      </c>
      <c r="K991" s="13" t="s">
        <v>7762</v>
      </c>
      <c r="L991" s="99" t="str">
        <f t="shared" si="64"/>
        <v>W3238.F</v>
      </c>
      <c r="M991" s="13" t="s">
        <v>17</v>
      </c>
      <c r="N991" s="13"/>
      <c r="O991" s="13"/>
      <c r="P991" s="47"/>
      <c r="Q991" s="45" t="s">
        <v>142</v>
      </c>
      <c r="R991" s="45" t="s">
        <v>5596</v>
      </c>
      <c r="S991" s="48"/>
      <c r="T991" s="49" t="str">
        <f t="shared" si="63"/>
        <v>[W3238.F]</v>
      </c>
      <c r="U991" s="12" t="str">
        <f t="shared" si="66"/>
        <v xml:space="preserve"> 용접#1 터브곡면 RH 클램프 전진 시간초과 (X421, Y466)</v>
      </c>
      <c r="V991" s="49" t="str">
        <f t="shared" si="65"/>
        <v>[W3238.F] 용접#1 터브곡면 RH 클램프 전진 시간초과 (X421, Y466)</v>
      </c>
    </row>
    <row r="992" spans="1:22" s="49" customFormat="1" ht="14.15" customHeight="1">
      <c r="A992" s="43" t="s">
        <v>6675</v>
      </c>
      <c r="B992" s="44" t="s">
        <v>6635</v>
      </c>
      <c r="C992" s="50"/>
      <c r="D992" s="10" t="s">
        <v>29</v>
      </c>
      <c r="E992" s="11"/>
      <c r="F992" s="11" t="s">
        <v>18</v>
      </c>
      <c r="G992" s="13"/>
      <c r="H992" s="45" t="s">
        <v>16</v>
      </c>
      <c r="I992" s="47"/>
      <c r="J992" s="12" t="s">
        <v>6268</v>
      </c>
      <c r="K992" s="13" t="s">
        <v>7763</v>
      </c>
      <c r="L992" s="99" t="str">
        <f t="shared" si="64"/>
        <v>W3239.0</v>
      </c>
      <c r="M992" s="13" t="s">
        <v>17</v>
      </c>
      <c r="N992" s="13"/>
      <c r="O992" s="13"/>
      <c r="P992" s="47"/>
      <c r="Q992" s="45" t="s">
        <v>142</v>
      </c>
      <c r="R992" s="45" t="s">
        <v>5596</v>
      </c>
      <c r="S992" s="48"/>
      <c r="T992" s="49" t="str">
        <f t="shared" si="63"/>
        <v>[W3239.0]</v>
      </c>
      <c r="U992" s="12" t="str">
        <f t="shared" si="66"/>
        <v xml:space="preserve"> 용접#1 터브곡면 RH 클램프 후진 시간초과 (X422, Y467)</v>
      </c>
      <c r="V992" s="49" t="str">
        <f t="shared" si="65"/>
        <v>[W3239.0] 용접#1 터브곡면 RH 클램프 후진 시간초과 (X422, Y467)</v>
      </c>
    </row>
    <row r="993" spans="1:22" s="49" customFormat="1" ht="14.15" customHeight="1">
      <c r="A993" s="43" t="s">
        <v>6675</v>
      </c>
      <c r="B993" s="44" t="s">
        <v>6635</v>
      </c>
      <c r="C993" s="50"/>
      <c r="D993" s="10" t="s">
        <v>29</v>
      </c>
      <c r="E993" s="11"/>
      <c r="F993" s="11" t="s">
        <v>18</v>
      </c>
      <c r="G993" s="13"/>
      <c r="H993" s="45" t="s">
        <v>16</v>
      </c>
      <c r="I993" s="47"/>
      <c r="J993" s="12" t="s">
        <v>6269</v>
      </c>
      <c r="K993" s="13" t="s">
        <v>7764</v>
      </c>
      <c r="L993" s="99" t="str">
        <f t="shared" si="64"/>
        <v>W3239.1</v>
      </c>
      <c r="M993" s="13" t="s">
        <v>17</v>
      </c>
      <c r="N993" s="13"/>
      <c r="O993" s="13"/>
      <c r="P993" s="47"/>
      <c r="Q993" s="45" t="s">
        <v>142</v>
      </c>
      <c r="R993" s="45" t="s">
        <v>5596</v>
      </c>
      <c r="S993" s="48"/>
      <c r="T993" s="49" t="str">
        <f t="shared" si="63"/>
        <v>[W3239.1]</v>
      </c>
      <c r="U993" s="12" t="str">
        <f t="shared" si="66"/>
        <v xml:space="preserve"> 용접#1 터브곡면 RH 클램프 전진/후진 센서이상 (X421, X422)</v>
      </c>
      <c r="V993" s="49" t="str">
        <f t="shared" si="65"/>
        <v>[W3239.1] 용접#1 터브곡면 RH 클램프 전진/후진 센서이상 (X421, X422)</v>
      </c>
    </row>
    <row r="994" spans="1:22" s="49" customFormat="1" ht="14.15" customHeight="1">
      <c r="A994" s="43" t="s">
        <v>6675</v>
      </c>
      <c r="B994" s="44" t="s">
        <v>6635</v>
      </c>
      <c r="C994" s="50"/>
      <c r="D994" s="10" t="s">
        <v>29</v>
      </c>
      <c r="E994" s="11"/>
      <c r="F994" s="11" t="s">
        <v>18</v>
      </c>
      <c r="G994" s="13"/>
      <c r="H994" s="45" t="s">
        <v>16</v>
      </c>
      <c r="I994" s="47"/>
      <c r="J994" s="12" t="s">
        <v>6270</v>
      </c>
      <c r="K994" s="13" t="s">
        <v>7765</v>
      </c>
      <c r="L994" s="99" t="str">
        <f t="shared" si="64"/>
        <v>W3239.2</v>
      </c>
      <c r="M994" s="13" t="s">
        <v>17</v>
      </c>
      <c r="N994" s="13"/>
      <c r="O994" s="13"/>
      <c r="P994" s="47"/>
      <c r="Q994" s="45" t="s">
        <v>142</v>
      </c>
      <c r="R994" s="45" t="s">
        <v>5596</v>
      </c>
      <c r="S994" s="48"/>
      <c r="T994" s="49" t="str">
        <f t="shared" si="63"/>
        <v>[W3239.2]</v>
      </c>
      <c r="U994" s="12" t="str">
        <f t="shared" si="66"/>
        <v xml:space="preserve"> 용접#1 터브곡면 LH 클램프 전진 시간초과 (X423, Y468)</v>
      </c>
      <c r="V994" s="49" t="str">
        <f t="shared" si="65"/>
        <v>[W3239.2] 용접#1 터브곡면 LH 클램프 전진 시간초과 (X423, Y468)</v>
      </c>
    </row>
    <row r="995" spans="1:22" s="49" customFormat="1" ht="14.15" customHeight="1">
      <c r="A995" s="43" t="s">
        <v>6675</v>
      </c>
      <c r="B995" s="44" t="s">
        <v>6635</v>
      </c>
      <c r="C995" s="50"/>
      <c r="D995" s="10" t="s">
        <v>29</v>
      </c>
      <c r="E995" s="11"/>
      <c r="F995" s="11" t="s">
        <v>18</v>
      </c>
      <c r="G995" s="13"/>
      <c r="H995" s="45" t="s">
        <v>16</v>
      </c>
      <c r="I995" s="47"/>
      <c r="J995" s="12" t="s">
        <v>6271</v>
      </c>
      <c r="K995" s="13" t="s">
        <v>7766</v>
      </c>
      <c r="L995" s="99" t="str">
        <f t="shared" si="64"/>
        <v>W3239.3</v>
      </c>
      <c r="M995" s="13" t="s">
        <v>17</v>
      </c>
      <c r="N995" s="13"/>
      <c r="O995" s="13"/>
      <c r="P995" s="47"/>
      <c r="Q995" s="45" t="s">
        <v>142</v>
      </c>
      <c r="R995" s="45" t="s">
        <v>5596</v>
      </c>
      <c r="S995" s="48"/>
      <c r="T995" s="49" t="str">
        <f t="shared" si="63"/>
        <v>[W3239.3]</v>
      </c>
      <c r="U995" s="12" t="str">
        <f t="shared" si="66"/>
        <v xml:space="preserve"> 용접#1 터브곡면 LH 클램프 후진 시간초과 (X424, Y469)</v>
      </c>
      <c r="V995" s="49" t="str">
        <f t="shared" si="65"/>
        <v>[W3239.3] 용접#1 터브곡면 LH 클램프 후진 시간초과 (X424, Y469)</v>
      </c>
    </row>
    <row r="996" spans="1:22" s="49" customFormat="1" ht="14.15" customHeight="1">
      <c r="A996" s="43" t="s">
        <v>6675</v>
      </c>
      <c r="B996" s="44" t="s">
        <v>6635</v>
      </c>
      <c r="C996" s="50"/>
      <c r="D996" s="10" t="s">
        <v>29</v>
      </c>
      <c r="E996" s="11"/>
      <c r="F996" s="11" t="s">
        <v>18</v>
      </c>
      <c r="G996" s="13"/>
      <c r="H996" s="45" t="s">
        <v>16</v>
      </c>
      <c r="I996" s="47"/>
      <c r="J996" s="12" t="s">
        <v>6272</v>
      </c>
      <c r="K996" s="13" t="s">
        <v>7767</v>
      </c>
      <c r="L996" s="99" t="str">
        <f t="shared" si="64"/>
        <v>W3239.4</v>
      </c>
      <c r="M996" s="13" t="s">
        <v>17</v>
      </c>
      <c r="N996" s="13"/>
      <c r="O996" s="13"/>
      <c r="P996" s="47"/>
      <c r="Q996" s="45" t="s">
        <v>142</v>
      </c>
      <c r="R996" s="45" t="s">
        <v>5596</v>
      </c>
      <c r="S996" s="48"/>
      <c r="T996" s="49" t="str">
        <f t="shared" si="63"/>
        <v>[W3239.4]</v>
      </c>
      <c r="U996" s="12" t="str">
        <f t="shared" si="66"/>
        <v xml:space="preserve"> 용접#1 터브곡면 LH 클램프 전진/후진 센서이상 (X423, X424)</v>
      </c>
      <c r="V996" s="49" t="str">
        <f t="shared" si="65"/>
        <v>[W3239.4] 용접#1 터브곡면 LH 클램프 전진/후진 센서이상 (X423, X424)</v>
      </c>
    </row>
    <row r="997" spans="1:22" s="49" customFormat="1" ht="14.15" customHeight="1">
      <c r="A997" s="43"/>
      <c r="B997" s="44" t="s">
        <v>6635</v>
      </c>
      <c r="C997" s="50"/>
      <c r="D997" s="10" t="s">
        <v>29</v>
      </c>
      <c r="E997" s="11"/>
      <c r="F997" s="11" t="s">
        <v>18</v>
      </c>
      <c r="G997" s="13"/>
      <c r="H997" s="45" t="s">
        <v>16</v>
      </c>
      <c r="I997" s="47"/>
      <c r="J997" s="12" t="s">
        <v>3996</v>
      </c>
      <c r="K997" s="13" t="s">
        <v>7768</v>
      </c>
      <c r="L997" s="99" t="str">
        <f t="shared" si="64"/>
        <v>W3239.5</v>
      </c>
      <c r="M997" s="13"/>
      <c r="N997" s="13"/>
      <c r="O997" s="13"/>
      <c r="P997" s="47"/>
      <c r="Q997" s="45"/>
      <c r="R997" s="45"/>
      <c r="S997" s="48"/>
      <c r="T997" s="49" t="str">
        <f t="shared" si="63"/>
        <v>[W3239.5]</v>
      </c>
      <c r="U997" s="12" t="str">
        <f t="shared" si="66"/>
        <v/>
      </c>
      <c r="V997" s="49" t="str">
        <f t="shared" si="65"/>
        <v>[W3239.5]</v>
      </c>
    </row>
    <row r="998" spans="1:22" s="49" customFormat="1" ht="14.15" customHeight="1">
      <c r="A998" s="43"/>
      <c r="B998" s="44" t="s">
        <v>6635</v>
      </c>
      <c r="C998" s="50"/>
      <c r="D998" s="10" t="s">
        <v>29</v>
      </c>
      <c r="E998" s="11"/>
      <c r="F998" s="11" t="s">
        <v>18</v>
      </c>
      <c r="G998" s="13"/>
      <c r="H998" s="45" t="s">
        <v>16</v>
      </c>
      <c r="I998" s="47"/>
      <c r="J998" s="12" t="s">
        <v>3997</v>
      </c>
      <c r="K998" s="13" t="s">
        <v>7769</v>
      </c>
      <c r="L998" s="99" t="str">
        <f t="shared" si="64"/>
        <v>W3239.6</v>
      </c>
      <c r="M998" s="13"/>
      <c r="N998" s="13"/>
      <c r="O998" s="13"/>
      <c r="P998" s="47"/>
      <c r="Q998" s="45"/>
      <c r="R998" s="45"/>
      <c r="S998" s="48"/>
      <c r="T998" s="49" t="str">
        <f t="shared" si="63"/>
        <v>[W3239.6]</v>
      </c>
      <c r="U998" s="12" t="str">
        <f t="shared" si="66"/>
        <v/>
      </c>
      <c r="V998" s="49" t="str">
        <f t="shared" si="65"/>
        <v>[W3239.6]</v>
      </c>
    </row>
    <row r="999" spans="1:22" s="49" customFormat="1" ht="14.15" customHeight="1">
      <c r="A999" s="43"/>
      <c r="B999" s="44" t="s">
        <v>6635</v>
      </c>
      <c r="C999" s="50"/>
      <c r="D999" s="10" t="s">
        <v>29</v>
      </c>
      <c r="E999" s="11"/>
      <c r="F999" s="11" t="s">
        <v>18</v>
      </c>
      <c r="G999" s="13"/>
      <c r="H999" s="45" t="s">
        <v>16</v>
      </c>
      <c r="I999" s="47"/>
      <c r="J999" s="12" t="s">
        <v>3998</v>
      </c>
      <c r="K999" s="13" t="s">
        <v>7770</v>
      </c>
      <c r="L999" s="99" t="str">
        <f t="shared" si="64"/>
        <v>W3239.7</v>
      </c>
      <c r="M999" s="13"/>
      <c r="N999" s="13"/>
      <c r="O999" s="13"/>
      <c r="P999" s="47"/>
      <c r="Q999" s="45"/>
      <c r="R999" s="45"/>
      <c r="S999" s="48"/>
      <c r="T999" s="49" t="str">
        <f t="shared" si="63"/>
        <v>[W3239.7]</v>
      </c>
      <c r="U999" s="12" t="str">
        <f t="shared" si="66"/>
        <v/>
      </c>
      <c r="V999" s="49" t="str">
        <f t="shared" si="65"/>
        <v>[W3239.7]</v>
      </c>
    </row>
    <row r="1000" spans="1:22" s="49" customFormat="1" ht="14.15" customHeight="1">
      <c r="A1000" s="43"/>
      <c r="B1000" s="44" t="s">
        <v>6635</v>
      </c>
      <c r="C1000" s="50"/>
      <c r="D1000" s="10" t="s">
        <v>29</v>
      </c>
      <c r="E1000" s="11"/>
      <c r="F1000" s="11" t="s">
        <v>18</v>
      </c>
      <c r="G1000" s="13"/>
      <c r="H1000" s="45" t="s">
        <v>16</v>
      </c>
      <c r="I1000" s="47"/>
      <c r="J1000" s="12" t="s">
        <v>3999</v>
      </c>
      <c r="K1000" s="13" t="s">
        <v>7771</v>
      </c>
      <c r="L1000" s="99" t="str">
        <f t="shared" si="64"/>
        <v>W3239.8</v>
      </c>
      <c r="M1000" s="13"/>
      <c r="N1000" s="13"/>
      <c r="O1000" s="13"/>
      <c r="P1000" s="47"/>
      <c r="Q1000" s="45"/>
      <c r="R1000" s="45"/>
      <c r="S1000" s="48"/>
      <c r="T1000" s="49" t="str">
        <f t="shared" si="63"/>
        <v>[W3239.8]</v>
      </c>
      <c r="U1000" s="12" t="str">
        <f t="shared" si="66"/>
        <v/>
      </c>
      <c r="V1000" s="49" t="str">
        <f t="shared" si="65"/>
        <v>[W3239.8]</v>
      </c>
    </row>
    <row r="1001" spans="1:22" s="49" customFormat="1" ht="14.15" customHeight="1">
      <c r="A1001" s="43"/>
      <c r="B1001" s="44" t="s">
        <v>6635</v>
      </c>
      <c r="C1001" s="50"/>
      <c r="D1001" s="10" t="s">
        <v>29</v>
      </c>
      <c r="E1001" s="11"/>
      <c r="F1001" s="11" t="s">
        <v>18</v>
      </c>
      <c r="G1001" s="13"/>
      <c r="H1001" s="45" t="s">
        <v>16</v>
      </c>
      <c r="I1001" s="47"/>
      <c r="J1001" s="12" t="s">
        <v>4000</v>
      </c>
      <c r="K1001" s="13" t="s">
        <v>7772</v>
      </c>
      <c r="L1001" s="99" t="str">
        <f t="shared" si="64"/>
        <v>W3239.9</v>
      </c>
      <c r="M1001" s="13"/>
      <c r="N1001" s="13"/>
      <c r="O1001" s="13"/>
      <c r="P1001" s="47"/>
      <c r="Q1001" s="45"/>
      <c r="R1001" s="45"/>
      <c r="S1001" s="48"/>
      <c r="T1001" s="49" t="str">
        <f t="shared" si="63"/>
        <v>[W3239.9]</v>
      </c>
      <c r="U1001" s="12" t="str">
        <f t="shared" si="66"/>
        <v/>
      </c>
      <c r="V1001" s="49" t="str">
        <f t="shared" si="65"/>
        <v>[W3239.9]</v>
      </c>
    </row>
    <row r="1002" spans="1:22" s="49" customFormat="1" ht="14.15" customHeight="1">
      <c r="A1002" s="43"/>
      <c r="B1002" s="44" t="s">
        <v>6635</v>
      </c>
      <c r="C1002" s="50"/>
      <c r="D1002" s="10" t="s">
        <v>29</v>
      </c>
      <c r="E1002" s="11"/>
      <c r="F1002" s="11" t="s">
        <v>18</v>
      </c>
      <c r="G1002" s="13"/>
      <c r="H1002" s="45" t="s">
        <v>16</v>
      </c>
      <c r="I1002" s="47"/>
      <c r="J1002" s="12" t="s">
        <v>4001</v>
      </c>
      <c r="K1002" s="13" t="s">
        <v>7773</v>
      </c>
      <c r="L1002" s="99" t="str">
        <f t="shared" si="64"/>
        <v>W3239.A</v>
      </c>
      <c r="M1002" s="13"/>
      <c r="N1002" s="13"/>
      <c r="O1002" s="13"/>
      <c r="P1002" s="47"/>
      <c r="Q1002" s="45"/>
      <c r="R1002" s="45"/>
      <c r="S1002" s="48"/>
      <c r="T1002" s="49" t="str">
        <f t="shared" si="63"/>
        <v>[W3239.A]</v>
      </c>
      <c r="U1002" s="12" t="str">
        <f t="shared" si="66"/>
        <v/>
      </c>
      <c r="V1002" s="49" t="str">
        <f t="shared" si="65"/>
        <v>[W3239.A]</v>
      </c>
    </row>
    <row r="1003" spans="1:22" s="49" customFormat="1" ht="14.15" customHeight="1">
      <c r="A1003" s="43"/>
      <c r="B1003" s="44" t="s">
        <v>6635</v>
      </c>
      <c r="C1003" s="50"/>
      <c r="D1003" s="10" t="s">
        <v>29</v>
      </c>
      <c r="E1003" s="11"/>
      <c r="F1003" s="11" t="s">
        <v>18</v>
      </c>
      <c r="G1003" s="13"/>
      <c r="H1003" s="45" t="s">
        <v>16</v>
      </c>
      <c r="I1003" s="47"/>
      <c r="J1003" s="12" t="s">
        <v>4002</v>
      </c>
      <c r="K1003" s="13" t="s">
        <v>7774</v>
      </c>
      <c r="L1003" s="99" t="str">
        <f t="shared" si="64"/>
        <v>W3239.B</v>
      </c>
      <c r="M1003" s="13"/>
      <c r="N1003" s="13"/>
      <c r="O1003" s="13"/>
      <c r="P1003" s="47"/>
      <c r="Q1003" s="45"/>
      <c r="R1003" s="45"/>
      <c r="S1003" s="48"/>
      <c r="T1003" s="49" t="str">
        <f t="shared" si="63"/>
        <v>[W3239.B]</v>
      </c>
      <c r="U1003" s="12" t="str">
        <f t="shared" si="66"/>
        <v/>
      </c>
      <c r="V1003" s="49" t="str">
        <f t="shared" si="65"/>
        <v>[W3239.B]</v>
      </c>
    </row>
    <row r="1004" spans="1:22" s="49" customFormat="1" ht="14.15" customHeight="1">
      <c r="A1004" s="43"/>
      <c r="B1004" s="44" t="s">
        <v>6635</v>
      </c>
      <c r="C1004" s="50"/>
      <c r="D1004" s="10" t="s">
        <v>29</v>
      </c>
      <c r="E1004" s="11"/>
      <c r="F1004" s="11" t="s">
        <v>18</v>
      </c>
      <c r="G1004" s="13"/>
      <c r="H1004" s="45" t="s">
        <v>16</v>
      </c>
      <c r="I1004" s="47"/>
      <c r="J1004" s="12" t="s">
        <v>4003</v>
      </c>
      <c r="K1004" s="13" t="s">
        <v>7775</v>
      </c>
      <c r="L1004" s="99" t="str">
        <f t="shared" si="64"/>
        <v>W3239.C</v>
      </c>
      <c r="M1004" s="13"/>
      <c r="N1004" s="13"/>
      <c r="O1004" s="13"/>
      <c r="P1004" s="47"/>
      <c r="Q1004" s="45"/>
      <c r="R1004" s="45"/>
      <c r="S1004" s="48"/>
      <c r="T1004" s="49" t="str">
        <f t="shared" si="63"/>
        <v>[W3239.C]</v>
      </c>
      <c r="U1004" s="12" t="str">
        <f t="shared" si="66"/>
        <v/>
      </c>
      <c r="V1004" s="49" t="str">
        <f t="shared" si="65"/>
        <v>[W3239.C]</v>
      </c>
    </row>
    <row r="1005" spans="1:22" s="49" customFormat="1" ht="14.15" customHeight="1">
      <c r="A1005" s="43"/>
      <c r="B1005" s="44" t="s">
        <v>6635</v>
      </c>
      <c r="C1005" s="50"/>
      <c r="D1005" s="10" t="s">
        <v>29</v>
      </c>
      <c r="E1005" s="11"/>
      <c r="F1005" s="11" t="s">
        <v>18</v>
      </c>
      <c r="G1005" s="13"/>
      <c r="H1005" s="45" t="s">
        <v>16</v>
      </c>
      <c r="I1005" s="47"/>
      <c r="J1005" s="12" t="s">
        <v>4004</v>
      </c>
      <c r="K1005" s="13" t="s">
        <v>7776</v>
      </c>
      <c r="L1005" s="99" t="str">
        <f t="shared" si="64"/>
        <v>W3239.D</v>
      </c>
      <c r="M1005" s="13"/>
      <c r="N1005" s="13"/>
      <c r="O1005" s="13"/>
      <c r="P1005" s="47"/>
      <c r="Q1005" s="45"/>
      <c r="R1005" s="45"/>
      <c r="S1005" s="48"/>
      <c r="T1005" s="49" t="str">
        <f t="shared" si="63"/>
        <v>[W3239.D]</v>
      </c>
      <c r="U1005" s="12" t="str">
        <f t="shared" si="66"/>
        <v/>
      </c>
      <c r="V1005" s="49" t="str">
        <f t="shared" si="65"/>
        <v>[W3239.D]</v>
      </c>
    </row>
    <row r="1006" spans="1:22" s="49" customFormat="1" ht="14.15" customHeight="1">
      <c r="A1006" s="43" t="s">
        <v>6675</v>
      </c>
      <c r="B1006" s="44" t="s">
        <v>6635</v>
      </c>
      <c r="C1006" s="50"/>
      <c r="D1006" s="10" t="s">
        <v>29</v>
      </c>
      <c r="E1006" s="11"/>
      <c r="F1006" s="11" t="s">
        <v>18</v>
      </c>
      <c r="G1006" s="13"/>
      <c r="H1006" s="45" t="s">
        <v>16</v>
      </c>
      <c r="I1006" s="47"/>
      <c r="J1006" s="12" t="s">
        <v>6273</v>
      </c>
      <c r="K1006" s="13" t="s">
        <v>7777</v>
      </c>
      <c r="L1006" s="99" t="str">
        <f t="shared" si="64"/>
        <v>W3239.E</v>
      </c>
      <c r="M1006" s="13" t="s">
        <v>17</v>
      </c>
      <c r="N1006" s="13"/>
      <c r="O1006" s="13"/>
      <c r="P1006" s="47"/>
      <c r="Q1006" s="45" t="s">
        <v>142</v>
      </c>
      <c r="R1006" s="45" t="s">
        <v>5596</v>
      </c>
      <c r="S1006" s="48"/>
      <c r="T1006" s="49" t="str">
        <f t="shared" si="63"/>
        <v>[W3239.E]</v>
      </c>
      <c r="U1006" s="12" t="str">
        <f t="shared" si="66"/>
        <v xml:space="preserve"> 용접#1 GUN RH#1 전진 시간초과 (X440, X442, Y470)</v>
      </c>
      <c r="V1006" s="49" t="str">
        <f t="shared" si="65"/>
        <v>[W3239.E] 용접#1 GUN RH#1 전진 시간초과 (X440, X442, Y470)</v>
      </c>
    </row>
    <row r="1007" spans="1:22" s="49" customFormat="1" ht="14.15" customHeight="1">
      <c r="A1007" s="43" t="s">
        <v>6675</v>
      </c>
      <c r="B1007" s="44" t="s">
        <v>6635</v>
      </c>
      <c r="C1007" s="50"/>
      <c r="D1007" s="10" t="s">
        <v>29</v>
      </c>
      <c r="E1007" s="11"/>
      <c r="F1007" s="11" t="s">
        <v>18</v>
      </c>
      <c r="G1007" s="13"/>
      <c r="H1007" s="45" t="s">
        <v>16</v>
      </c>
      <c r="I1007" s="47"/>
      <c r="J1007" s="12" t="s">
        <v>6274</v>
      </c>
      <c r="K1007" s="13" t="s">
        <v>7778</v>
      </c>
      <c r="L1007" s="99" t="str">
        <f t="shared" si="64"/>
        <v>W3239.F</v>
      </c>
      <c r="M1007" s="13" t="s">
        <v>17</v>
      </c>
      <c r="N1007" s="13"/>
      <c r="O1007" s="13"/>
      <c r="P1007" s="47"/>
      <c r="Q1007" s="45" t="s">
        <v>142</v>
      </c>
      <c r="R1007" s="45" t="s">
        <v>5596</v>
      </c>
      <c r="S1007" s="48"/>
      <c r="T1007" s="49" t="str">
        <f t="shared" si="63"/>
        <v>[W3239.F]</v>
      </c>
      <c r="U1007" s="12" t="str">
        <f t="shared" si="66"/>
        <v xml:space="preserve"> 용접#1 GUN RH#1 후진 시간초과 (X441, X443, Y471)</v>
      </c>
      <c r="V1007" s="49" t="str">
        <f t="shared" si="65"/>
        <v>[W3239.F] 용접#1 GUN RH#1 후진 시간초과 (X441, X443, Y471)</v>
      </c>
    </row>
    <row r="1008" spans="1:22" s="49" customFormat="1" ht="14.15" customHeight="1">
      <c r="A1008" s="43" t="s">
        <v>6675</v>
      </c>
      <c r="B1008" s="44" t="s">
        <v>6635</v>
      </c>
      <c r="C1008" s="50"/>
      <c r="D1008" s="10" t="s">
        <v>29</v>
      </c>
      <c r="E1008" s="11"/>
      <c r="F1008" s="11" t="s">
        <v>18</v>
      </c>
      <c r="G1008" s="13"/>
      <c r="H1008" s="45" t="s">
        <v>16</v>
      </c>
      <c r="I1008" s="47"/>
      <c r="J1008" s="12" t="s">
        <v>6275</v>
      </c>
      <c r="K1008" s="13" t="s">
        <v>7779</v>
      </c>
      <c r="L1008" s="99" t="str">
        <f t="shared" si="64"/>
        <v>W323A.0</v>
      </c>
      <c r="M1008" s="13" t="s">
        <v>17</v>
      </c>
      <c r="N1008" s="13"/>
      <c r="O1008" s="13"/>
      <c r="P1008" s="47"/>
      <c r="Q1008" s="45" t="s">
        <v>142</v>
      </c>
      <c r="R1008" s="45" t="s">
        <v>5596</v>
      </c>
      <c r="S1008" s="48"/>
      <c r="T1008" s="49" t="str">
        <f t="shared" si="63"/>
        <v>[W323A.0]</v>
      </c>
      <c r="U1008" s="12" t="str">
        <f t="shared" si="66"/>
        <v xml:space="preserve"> 용접#1 GUN RH#1 전진/후진 센서이상  (X440, X441, X442, X443)</v>
      </c>
      <c r="V1008" s="49" t="str">
        <f t="shared" si="65"/>
        <v>[W323A.0] 용접#1 GUN RH#1 전진/후진 센서이상  (X440, X441, X442, X443)</v>
      </c>
    </row>
    <row r="1009" spans="1:22" s="49" customFormat="1" ht="14.15" customHeight="1">
      <c r="A1009" s="43" t="s">
        <v>6675</v>
      </c>
      <c r="B1009" s="44" t="s">
        <v>6635</v>
      </c>
      <c r="C1009" s="50"/>
      <c r="D1009" s="10" t="s">
        <v>29</v>
      </c>
      <c r="E1009" s="11"/>
      <c r="F1009" s="11" t="s">
        <v>18</v>
      </c>
      <c r="G1009" s="13"/>
      <c r="H1009" s="45" t="s">
        <v>16</v>
      </c>
      <c r="I1009" s="47"/>
      <c r="J1009" s="12" t="s">
        <v>6276</v>
      </c>
      <c r="K1009" s="13" t="s">
        <v>7780</v>
      </c>
      <c r="L1009" s="99" t="str">
        <f t="shared" si="64"/>
        <v>W323A.1</v>
      </c>
      <c r="M1009" s="13" t="s">
        <v>17</v>
      </c>
      <c r="N1009" s="13"/>
      <c r="O1009" s="13"/>
      <c r="P1009" s="47"/>
      <c r="Q1009" s="45" t="s">
        <v>142</v>
      </c>
      <c r="R1009" s="45" t="s">
        <v>5596</v>
      </c>
      <c r="S1009" s="48"/>
      <c r="T1009" s="49" t="str">
        <f t="shared" si="63"/>
        <v>[W323A.1]</v>
      </c>
      <c r="U1009" s="12" t="str">
        <f t="shared" si="66"/>
        <v xml:space="preserve"> 용접#1 GUN LH#1 전진 시간초과 (X444, X446, Y472)</v>
      </c>
      <c r="V1009" s="49" t="str">
        <f t="shared" si="65"/>
        <v>[W323A.1] 용접#1 GUN LH#1 전진 시간초과 (X444, X446, Y472)</v>
      </c>
    </row>
    <row r="1010" spans="1:22" s="49" customFormat="1" ht="14.15" customHeight="1">
      <c r="A1010" s="43" t="s">
        <v>6675</v>
      </c>
      <c r="B1010" s="44" t="s">
        <v>6635</v>
      </c>
      <c r="C1010" s="50"/>
      <c r="D1010" s="10" t="s">
        <v>29</v>
      </c>
      <c r="E1010" s="11"/>
      <c r="F1010" s="11" t="s">
        <v>18</v>
      </c>
      <c r="G1010" s="13"/>
      <c r="H1010" s="45" t="s">
        <v>16</v>
      </c>
      <c r="I1010" s="47"/>
      <c r="J1010" s="12" t="s">
        <v>6277</v>
      </c>
      <c r="K1010" s="13" t="s">
        <v>7781</v>
      </c>
      <c r="L1010" s="99" t="str">
        <f t="shared" si="64"/>
        <v>W323A.2</v>
      </c>
      <c r="M1010" s="13" t="s">
        <v>17</v>
      </c>
      <c r="N1010" s="13"/>
      <c r="O1010" s="13"/>
      <c r="P1010" s="47"/>
      <c r="Q1010" s="45" t="s">
        <v>142</v>
      </c>
      <c r="R1010" s="45" t="s">
        <v>5596</v>
      </c>
      <c r="S1010" s="48"/>
      <c r="T1010" s="49" t="str">
        <f t="shared" si="63"/>
        <v>[W323A.2]</v>
      </c>
      <c r="U1010" s="12" t="str">
        <f t="shared" si="66"/>
        <v xml:space="preserve"> 용접#1 GUN LH#1 후진 시간초과 (X445, X447, Y473)</v>
      </c>
      <c r="V1010" s="49" t="str">
        <f t="shared" si="65"/>
        <v>[W323A.2] 용접#1 GUN LH#1 후진 시간초과 (X445, X447, Y473)</v>
      </c>
    </row>
    <row r="1011" spans="1:22" s="49" customFormat="1" ht="14.15" customHeight="1">
      <c r="A1011" s="43" t="s">
        <v>6675</v>
      </c>
      <c r="B1011" s="44" t="s">
        <v>6635</v>
      </c>
      <c r="C1011" s="50"/>
      <c r="D1011" s="10" t="s">
        <v>29</v>
      </c>
      <c r="E1011" s="11"/>
      <c r="F1011" s="11" t="s">
        <v>18</v>
      </c>
      <c r="G1011" s="13"/>
      <c r="H1011" s="45" t="s">
        <v>16</v>
      </c>
      <c r="I1011" s="47"/>
      <c r="J1011" s="12" t="s">
        <v>6278</v>
      </c>
      <c r="K1011" s="13" t="s">
        <v>7782</v>
      </c>
      <c r="L1011" s="99" t="str">
        <f t="shared" si="64"/>
        <v>W323A.3</v>
      </c>
      <c r="M1011" s="13" t="s">
        <v>17</v>
      </c>
      <c r="N1011" s="13"/>
      <c r="O1011" s="13"/>
      <c r="P1011" s="47"/>
      <c r="Q1011" s="45" t="s">
        <v>142</v>
      </c>
      <c r="R1011" s="45" t="s">
        <v>5596</v>
      </c>
      <c r="S1011" s="48"/>
      <c r="T1011" s="49" t="str">
        <f t="shared" si="63"/>
        <v>[W323A.3]</v>
      </c>
      <c r="U1011" s="12" t="str">
        <f t="shared" si="66"/>
        <v xml:space="preserve"> 용접#1 GUN LH#1 전진/후진 센서이상  (X444, X445, X446, X447)</v>
      </c>
      <c r="V1011" s="49" t="str">
        <f t="shared" si="65"/>
        <v>[W323A.3] 용접#1 GUN LH#1 전진/후진 센서이상  (X444, X445, X446, X447)</v>
      </c>
    </row>
    <row r="1012" spans="1:22" s="49" customFormat="1" ht="14.15" customHeight="1">
      <c r="A1012" s="43" t="s">
        <v>6675</v>
      </c>
      <c r="B1012" s="44" t="s">
        <v>6635</v>
      </c>
      <c r="C1012" s="50"/>
      <c r="D1012" s="10" t="s">
        <v>29</v>
      </c>
      <c r="E1012" s="11"/>
      <c r="F1012" s="11" t="s">
        <v>18</v>
      </c>
      <c r="G1012" s="13"/>
      <c r="H1012" s="45" t="s">
        <v>16</v>
      </c>
      <c r="I1012" s="47"/>
      <c r="J1012" s="12" t="s">
        <v>6279</v>
      </c>
      <c r="K1012" s="13" t="s">
        <v>7783</v>
      </c>
      <c r="L1012" s="99" t="str">
        <f t="shared" si="64"/>
        <v>W323A.4</v>
      </c>
      <c r="M1012" s="13" t="s">
        <v>17</v>
      </c>
      <c r="N1012" s="13"/>
      <c r="O1012" s="13"/>
      <c r="P1012" s="47"/>
      <c r="Q1012" s="45" t="s">
        <v>142</v>
      </c>
      <c r="R1012" s="45" t="s">
        <v>5596</v>
      </c>
      <c r="S1012" s="48"/>
      <c r="T1012" s="49" t="str">
        <f t="shared" si="63"/>
        <v>[W323A.4]</v>
      </c>
      <c r="U1012" s="12" t="str">
        <f t="shared" si="66"/>
        <v xml:space="preserve"> 용접#1 GUN FW#1 전진 시간초과 (X448, X44A, Y474)</v>
      </c>
      <c r="V1012" s="49" t="str">
        <f t="shared" si="65"/>
        <v>[W323A.4] 용접#1 GUN FW#1 전진 시간초과 (X448, X44A, Y474)</v>
      </c>
    </row>
    <row r="1013" spans="1:22" s="49" customFormat="1" ht="14.15" customHeight="1">
      <c r="A1013" s="43" t="s">
        <v>6675</v>
      </c>
      <c r="B1013" s="44" t="s">
        <v>6635</v>
      </c>
      <c r="C1013" s="50"/>
      <c r="D1013" s="10" t="s">
        <v>29</v>
      </c>
      <c r="E1013" s="11"/>
      <c r="F1013" s="11" t="s">
        <v>18</v>
      </c>
      <c r="G1013" s="13"/>
      <c r="H1013" s="45" t="s">
        <v>16</v>
      </c>
      <c r="I1013" s="47"/>
      <c r="J1013" s="12" t="s">
        <v>6280</v>
      </c>
      <c r="K1013" s="13" t="s">
        <v>7784</v>
      </c>
      <c r="L1013" s="99" t="str">
        <f t="shared" si="64"/>
        <v>W323A.5</v>
      </c>
      <c r="M1013" s="13" t="s">
        <v>17</v>
      </c>
      <c r="N1013" s="13"/>
      <c r="O1013" s="13"/>
      <c r="P1013" s="47"/>
      <c r="Q1013" s="45" t="s">
        <v>142</v>
      </c>
      <c r="R1013" s="45" t="s">
        <v>5596</v>
      </c>
      <c r="S1013" s="48"/>
      <c r="T1013" s="49" t="str">
        <f t="shared" si="63"/>
        <v>[W323A.5]</v>
      </c>
      <c r="U1013" s="12" t="str">
        <f t="shared" si="66"/>
        <v xml:space="preserve"> 용접#1 GUN FW#1 후진 시간초과 (X449, X44B, Y475)</v>
      </c>
      <c r="V1013" s="49" t="str">
        <f t="shared" si="65"/>
        <v>[W323A.5] 용접#1 GUN FW#1 후진 시간초과 (X449, X44B, Y475)</v>
      </c>
    </row>
    <row r="1014" spans="1:22" s="49" customFormat="1" ht="14.15" customHeight="1">
      <c r="A1014" s="43" t="s">
        <v>6675</v>
      </c>
      <c r="B1014" s="44" t="s">
        <v>6635</v>
      </c>
      <c r="C1014" s="50"/>
      <c r="D1014" s="10" t="s">
        <v>29</v>
      </c>
      <c r="E1014" s="11"/>
      <c r="F1014" s="11" t="s">
        <v>18</v>
      </c>
      <c r="G1014" s="13"/>
      <c r="H1014" s="45" t="s">
        <v>16</v>
      </c>
      <c r="I1014" s="47"/>
      <c r="J1014" s="12" t="s">
        <v>6281</v>
      </c>
      <c r="K1014" s="13" t="s">
        <v>7785</v>
      </c>
      <c r="L1014" s="99" t="str">
        <f t="shared" si="64"/>
        <v>W323A.6</v>
      </c>
      <c r="M1014" s="13" t="s">
        <v>17</v>
      </c>
      <c r="N1014" s="13"/>
      <c r="O1014" s="13"/>
      <c r="P1014" s="47"/>
      <c r="Q1014" s="45" t="s">
        <v>142</v>
      </c>
      <c r="R1014" s="45" t="s">
        <v>5596</v>
      </c>
      <c r="S1014" s="48"/>
      <c r="T1014" s="49" t="str">
        <f t="shared" si="63"/>
        <v>[W323A.6]</v>
      </c>
      <c r="U1014" s="12" t="str">
        <f t="shared" si="66"/>
        <v xml:space="preserve"> 용접#1 GUN FW#1 전진/후진 센서이상  (X448, X449, X44A, X44B)</v>
      </c>
      <c r="V1014" s="49" t="str">
        <f t="shared" si="65"/>
        <v>[W323A.6] 용접#1 GUN FW#1 전진/후진 센서이상  (X448, X449, X44A, X44B)</v>
      </c>
    </row>
    <row r="1015" spans="1:22" s="49" customFormat="1" ht="14.15" customHeight="1">
      <c r="A1015" s="43" t="s">
        <v>6675</v>
      </c>
      <c r="B1015" s="44" t="s">
        <v>6635</v>
      </c>
      <c r="C1015" s="50"/>
      <c r="D1015" s="10" t="s">
        <v>29</v>
      </c>
      <c r="E1015" s="11"/>
      <c r="F1015" s="11" t="s">
        <v>18</v>
      </c>
      <c r="G1015" s="13"/>
      <c r="H1015" s="45" t="s">
        <v>16</v>
      </c>
      <c r="I1015" s="47"/>
      <c r="J1015" s="12" t="s">
        <v>6282</v>
      </c>
      <c r="K1015" s="13" t="s">
        <v>7786</v>
      </c>
      <c r="L1015" s="99" t="str">
        <f t="shared" si="64"/>
        <v>W323A.7</v>
      </c>
      <c r="M1015" s="13" t="s">
        <v>17</v>
      </c>
      <c r="N1015" s="13"/>
      <c r="O1015" s="13"/>
      <c r="P1015" s="47"/>
      <c r="Q1015" s="45" t="s">
        <v>142</v>
      </c>
      <c r="R1015" s="45" t="s">
        <v>5596</v>
      </c>
      <c r="S1015" s="48"/>
      <c r="T1015" s="49" t="str">
        <f t="shared" si="63"/>
        <v>[W323A.7]</v>
      </c>
      <c r="U1015" s="12" t="str">
        <f t="shared" si="66"/>
        <v xml:space="preserve"> 용접#1 GUN RH#2 전진 시간초과 (X450, X452, Y476)</v>
      </c>
      <c r="V1015" s="49" t="str">
        <f t="shared" si="65"/>
        <v>[W323A.7] 용접#1 GUN RH#2 전진 시간초과 (X450, X452, Y476)</v>
      </c>
    </row>
    <row r="1016" spans="1:22" s="49" customFormat="1" ht="14.15" customHeight="1">
      <c r="A1016" s="43" t="s">
        <v>6675</v>
      </c>
      <c r="B1016" s="44" t="s">
        <v>6635</v>
      </c>
      <c r="C1016" s="50"/>
      <c r="D1016" s="10" t="s">
        <v>29</v>
      </c>
      <c r="E1016" s="11"/>
      <c r="F1016" s="11" t="s">
        <v>18</v>
      </c>
      <c r="G1016" s="13"/>
      <c r="H1016" s="45" t="s">
        <v>16</v>
      </c>
      <c r="I1016" s="47"/>
      <c r="J1016" s="12" t="s">
        <v>6283</v>
      </c>
      <c r="K1016" s="13" t="s">
        <v>7787</v>
      </c>
      <c r="L1016" s="99" t="str">
        <f t="shared" si="64"/>
        <v>W323A.8</v>
      </c>
      <c r="M1016" s="13" t="s">
        <v>17</v>
      </c>
      <c r="N1016" s="13"/>
      <c r="O1016" s="13"/>
      <c r="P1016" s="47"/>
      <c r="Q1016" s="45" t="s">
        <v>142</v>
      </c>
      <c r="R1016" s="45" t="s">
        <v>5596</v>
      </c>
      <c r="S1016" s="48"/>
      <c r="T1016" s="49" t="str">
        <f t="shared" si="63"/>
        <v>[W323A.8]</v>
      </c>
      <c r="U1016" s="12" t="str">
        <f t="shared" si="66"/>
        <v xml:space="preserve"> 용접#1 GUN RH#2 후진 시간초과 (X451, X453, Y477)</v>
      </c>
      <c r="V1016" s="49" t="str">
        <f t="shared" si="65"/>
        <v>[W323A.8] 용접#1 GUN RH#2 후진 시간초과 (X451, X453, Y477)</v>
      </c>
    </row>
    <row r="1017" spans="1:22" s="49" customFormat="1" ht="14.15" customHeight="1">
      <c r="A1017" s="43" t="s">
        <v>6675</v>
      </c>
      <c r="B1017" s="44" t="s">
        <v>6635</v>
      </c>
      <c r="C1017" s="50"/>
      <c r="D1017" s="10" t="s">
        <v>29</v>
      </c>
      <c r="E1017" s="11"/>
      <c r="F1017" s="11" t="s">
        <v>18</v>
      </c>
      <c r="G1017" s="13"/>
      <c r="H1017" s="45" t="s">
        <v>16</v>
      </c>
      <c r="I1017" s="47"/>
      <c r="J1017" s="12" t="s">
        <v>6284</v>
      </c>
      <c r="K1017" s="13" t="s">
        <v>7788</v>
      </c>
      <c r="L1017" s="99" t="str">
        <f t="shared" si="64"/>
        <v>W323A.9</v>
      </c>
      <c r="M1017" s="13" t="s">
        <v>17</v>
      </c>
      <c r="N1017" s="13"/>
      <c r="O1017" s="13"/>
      <c r="P1017" s="47"/>
      <c r="Q1017" s="45" t="s">
        <v>142</v>
      </c>
      <c r="R1017" s="45" t="s">
        <v>5596</v>
      </c>
      <c r="S1017" s="48"/>
      <c r="T1017" s="49" t="str">
        <f t="shared" si="63"/>
        <v>[W323A.9]</v>
      </c>
      <c r="U1017" s="12" t="str">
        <f t="shared" si="66"/>
        <v xml:space="preserve"> 용접#1 GUN RH#2 전진/후진 센서이상  (X450, X451, X452, X453)</v>
      </c>
      <c r="V1017" s="49" t="str">
        <f t="shared" si="65"/>
        <v>[W323A.9] 용접#1 GUN RH#2 전진/후진 센서이상  (X450, X451, X452, X453)</v>
      </c>
    </row>
    <row r="1018" spans="1:22" s="49" customFormat="1" ht="14.15" customHeight="1">
      <c r="A1018" s="43" t="s">
        <v>6675</v>
      </c>
      <c r="B1018" s="44" t="s">
        <v>6635</v>
      </c>
      <c r="C1018" s="50"/>
      <c r="D1018" s="10" t="s">
        <v>29</v>
      </c>
      <c r="E1018" s="11"/>
      <c r="F1018" s="11" t="s">
        <v>18</v>
      </c>
      <c r="G1018" s="13"/>
      <c r="H1018" s="45" t="s">
        <v>16</v>
      </c>
      <c r="I1018" s="47"/>
      <c r="J1018" s="12" t="s">
        <v>6285</v>
      </c>
      <c r="K1018" s="13" t="s">
        <v>7789</v>
      </c>
      <c r="L1018" s="99" t="str">
        <f t="shared" si="64"/>
        <v>W323A.A</v>
      </c>
      <c r="M1018" s="13" t="s">
        <v>17</v>
      </c>
      <c r="N1018" s="13"/>
      <c r="O1018" s="13"/>
      <c r="P1018" s="47"/>
      <c r="Q1018" s="45" t="s">
        <v>142</v>
      </c>
      <c r="R1018" s="45" t="s">
        <v>5596</v>
      </c>
      <c r="S1018" s="48"/>
      <c r="T1018" s="49" t="str">
        <f t="shared" si="63"/>
        <v>[W323A.A]</v>
      </c>
      <c r="U1018" s="12" t="str">
        <f t="shared" si="66"/>
        <v xml:space="preserve"> 용접#1 GUN LH#2 전진 시간초과 (X454, X456, Y478)</v>
      </c>
      <c r="V1018" s="49" t="str">
        <f t="shared" si="65"/>
        <v>[W323A.A] 용접#1 GUN LH#2 전진 시간초과 (X454, X456, Y478)</v>
      </c>
    </row>
    <row r="1019" spans="1:22" s="49" customFormat="1" ht="14.15" customHeight="1">
      <c r="A1019" s="43" t="s">
        <v>6675</v>
      </c>
      <c r="B1019" s="44" t="s">
        <v>6635</v>
      </c>
      <c r="C1019" s="50"/>
      <c r="D1019" s="10" t="s">
        <v>29</v>
      </c>
      <c r="E1019" s="11"/>
      <c r="F1019" s="11" t="s">
        <v>18</v>
      </c>
      <c r="G1019" s="13"/>
      <c r="H1019" s="45" t="s">
        <v>16</v>
      </c>
      <c r="I1019" s="47"/>
      <c r="J1019" s="12" t="s">
        <v>6286</v>
      </c>
      <c r="K1019" s="13" t="s">
        <v>7790</v>
      </c>
      <c r="L1019" s="99" t="str">
        <f t="shared" si="64"/>
        <v>W323A.B</v>
      </c>
      <c r="M1019" s="13" t="s">
        <v>17</v>
      </c>
      <c r="N1019" s="13"/>
      <c r="O1019" s="13"/>
      <c r="P1019" s="47"/>
      <c r="Q1019" s="45" t="s">
        <v>142</v>
      </c>
      <c r="R1019" s="45" t="s">
        <v>5596</v>
      </c>
      <c r="S1019" s="48"/>
      <c r="T1019" s="49" t="str">
        <f t="shared" si="63"/>
        <v>[W323A.B]</v>
      </c>
      <c r="U1019" s="12" t="str">
        <f t="shared" si="66"/>
        <v xml:space="preserve"> 용접#1 GUN LH#2 후진 시간초과 (X455, X457, Y479)</v>
      </c>
      <c r="V1019" s="49" t="str">
        <f t="shared" si="65"/>
        <v>[W323A.B] 용접#1 GUN LH#2 후진 시간초과 (X455, X457, Y479)</v>
      </c>
    </row>
    <row r="1020" spans="1:22" s="49" customFormat="1" ht="14.15" customHeight="1">
      <c r="A1020" s="43" t="s">
        <v>6675</v>
      </c>
      <c r="B1020" s="44" t="s">
        <v>6635</v>
      </c>
      <c r="C1020" s="50"/>
      <c r="D1020" s="10" t="s">
        <v>29</v>
      </c>
      <c r="E1020" s="11"/>
      <c r="F1020" s="11" t="s">
        <v>18</v>
      </c>
      <c r="G1020" s="13"/>
      <c r="H1020" s="45" t="s">
        <v>16</v>
      </c>
      <c r="I1020" s="47"/>
      <c r="J1020" s="12" t="s">
        <v>6287</v>
      </c>
      <c r="K1020" s="13" t="s">
        <v>7791</v>
      </c>
      <c r="L1020" s="99" t="str">
        <f t="shared" si="64"/>
        <v>W323A.C</v>
      </c>
      <c r="M1020" s="13" t="s">
        <v>17</v>
      </c>
      <c r="N1020" s="13"/>
      <c r="O1020" s="13"/>
      <c r="P1020" s="47"/>
      <c r="Q1020" s="45" t="s">
        <v>142</v>
      </c>
      <c r="R1020" s="45" t="s">
        <v>5596</v>
      </c>
      <c r="S1020" s="48"/>
      <c r="T1020" s="49" t="str">
        <f t="shared" si="63"/>
        <v>[W323A.C]</v>
      </c>
      <c r="U1020" s="12" t="str">
        <f t="shared" si="66"/>
        <v xml:space="preserve"> 용접#1 GUN LH#2 전진/후진 센서이상  (X454, X455, X456, X457)</v>
      </c>
      <c r="V1020" s="49" t="str">
        <f t="shared" si="65"/>
        <v>[W323A.C] 용접#1 GUN LH#2 전진/후진 센서이상  (X454, X455, X456, X457)</v>
      </c>
    </row>
    <row r="1021" spans="1:22" s="49" customFormat="1" ht="14.15" customHeight="1">
      <c r="A1021" s="43" t="s">
        <v>6675</v>
      </c>
      <c r="B1021" s="44" t="s">
        <v>6635</v>
      </c>
      <c r="C1021" s="50"/>
      <c r="D1021" s="10" t="s">
        <v>29</v>
      </c>
      <c r="E1021" s="11"/>
      <c r="F1021" s="11" t="s">
        <v>18</v>
      </c>
      <c r="G1021" s="13"/>
      <c r="H1021" s="45" t="s">
        <v>16</v>
      </c>
      <c r="I1021" s="47"/>
      <c r="J1021" s="12" t="s">
        <v>6288</v>
      </c>
      <c r="K1021" s="13" t="s">
        <v>7792</v>
      </c>
      <c r="L1021" s="99" t="str">
        <f t="shared" si="64"/>
        <v>W323A.D</v>
      </c>
      <c r="M1021" s="13" t="s">
        <v>17</v>
      </c>
      <c r="N1021" s="13"/>
      <c r="O1021" s="13"/>
      <c r="P1021" s="47"/>
      <c r="Q1021" s="45" t="s">
        <v>142</v>
      </c>
      <c r="R1021" s="45" t="s">
        <v>5596</v>
      </c>
      <c r="S1021" s="48"/>
      <c r="T1021" s="49" t="str">
        <f t="shared" si="63"/>
        <v>[W323A.D]</v>
      </c>
      <c r="U1021" s="12" t="str">
        <f t="shared" si="66"/>
        <v xml:space="preserve"> 용접#1 GUN FW#2 전진 시간초과 (X458, X45A, Y47A)</v>
      </c>
      <c r="V1021" s="49" t="str">
        <f t="shared" si="65"/>
        <v>[W323A.D] 용접#1 GUN FW#2 전진 시간초과 (X458, X45A, Y47A)</v>
      </c>
    </row>
    <row r="1022" spans="1:22" s="49" customFormat="1" ht="14.15" customHeight="1">
      <c r="A1022" s="43" t="s">
        <v>6675</v>
      </c>
      <c r="B1022" s="44" t="s">
        <v>6635</v>
      </c>
      <c r="C1022" s="50"/>
      <c r="D1022" s="10" t="s">
        <v>29</v>
      </c>
      <c r="E1022" s="11"/>
      <c r="F1022" s="11" t="s">
        <v>18</v>
      </c>
      <c r="G1022" s="13"/>
      <c r="H1022" s="45" t="s">
        <v>16</v>
      </c>
      <c r="I1022" s="47"/>
      <c r="J1022" s="12" t="s">
        <v>6289</v>
      </c>
      <c r="K1022" s="13" t="s">
        <v>7793</v>
      </c>
      <c r="L1022" s="99" t="str">
        <f t="shared" si="64"/>
        <v>W323A.E</v>
      </c>
      <c r="M1022" s="13" t="s">
        <v>17</v>
      </c>
      <c r="N1022" s="13"/>
      <c r="O1022" s="13"/>
      <c r="P1022" s="47"/>
      <c r="Q1022" s="45" t="s">
        <v>142</v>
      </c>
      <c r="R1022" s="45" t="s">
        <v>5596</v>
      </c>
      <c r="S1022" s="48"/>
      <c r="T1022" s="49" t="str">
        <f t="shared" si="63"/>
        <v>[W323A.E]</v>
      </c>
      <c r="U1022" s="12" t="str">
        <f t="shared" si="66"/>
        <v xml:space="preserve"> 용접#1 GUN FW#2 후진 시간초과 (X459, X45B, Y47B)</v>
      </c>
      <c r="V1022" s="49" t="str">
        <f t="shared" si="65"/>
        <v>[W323A.E] 용접#1 GUN FW#2 후진 시간초과 (X459, X45B, Y47B)</v>
      </c>
    </row>
    <row r="1023" spans="1:22" s="49" customFormat="1" ht="14.15" customHeight="1">
      <c r="A1023" s="43" t="s">
        <v>6675</v>
      </c>
      <c r="B1023" s="44" t="s">
        <v>6635</v>
      </c>
      <c r="C1023" s="50"/>
      <c r="D1023" s="10" t="s">
        <v>29</v>
      </c>
      <c r="E1023" s="11"/>
      <c r="F1023" s="11" t="s">
        <v>18</v>
      </c>
      <c r="G1023" s="13"/>
      <c r="H1023" s="45" t="s">
        <v>16</v>
      </c>
      <c r="I1023" s="47"/>
      <c r="J1023" s="12" t="s">
        <v>6290</v>
      </c>
      <c r="K1023" s="13" t="s">
        <v>7794</v>
      </c>
      <c r="L1023" s="99" t="str">
        <f t="shared" si="64"/>
        <v>W323A.F</v>
      </c>
      <c r="M1023" s="13" t="s">
        <v>17</v>
      </c>
      <c r="N1023" s="13"/>
      <c r="O1023" s="13"/>
      <c r="P1023" s="47"/>
      <c r="Q1023" s="45" t="s">
        <v>142</v>
      </c>
      <c r="R1023" s="45" t="s">
        <v>5596</v>
      </c>
      <c r="S1023" s="48"/>
      <c r="T1023" s="49" t="str">
        <f t="shared" si="63"/>
        <v>[W323A.F]</v>
      </c>
      <c r="U1023" s="12" t="str">
        <f t="shared" si="66"/>
        <v xml:space="preserve"> 용접#1 GUN FW#2 전진/후진 센서이상  (X458, X459, X45A, X45B)</v>
      </c>
      <c r="V1023" s="49" t="str">
        <f t="shared" si="65"/>
        <v>[W323A.F] 용접#1 GUN FW#2 전진/후진 센서이상  (X458, X459, X45A, X45B)</v>
      </c>
    </row>
    <row r="1024" spans="1:22" s="49" customFormat="1" ht="14.15" customHeight="1">
      <c r="A1024" s="43" t="s">
        <v>6675</v>
      </c>
      <c r="B1024" s="44" t="s">
        <v>6635</v>
      </c>
      <c r="C1024" s="50"/>
      <c r="D1024" s="10" t="s">
        <v>29</v>
      </c>
      <c r="E1024" s="11"/>
      <c r="F1024" s="11" t="s">
        <v>18</v>
      </c>
      <c r="G1024" s="13"/>
      <c r="H1024" s="45" t="s">
        <v>16</v>
      </c>
      <c r="I1024" s="47"/>
      <c r="J1024" s="12" t="s">
        <v>6291</v>
      </c>
      <c r="K1024" s="13" t="s">
        <v>7795</v>
      </c>
      <c r="L1024" s="99" t="str">
        <f t="shared" si="64"/>
        <v>W323B.0</v>
      </c>
      <c r="M1024" s="13" t="s">
        <v>17</v>
      </c>
      <c r="N1024" s="13"/>
      <c r="O1024" s="13"/>
      <c r="P1024" s="47"/>
      <c r="Q1024" s="45" t="s">
        <v>142</v>
      </c>
      <c r="R1024" s="45" t="s">
        <v>5596</v>
      </c>
      <c r="S1024" s="48"/>
      <c r="T1024" s="49" t="str">
        <f t="shared" si="63"/>
        <v>[W323B.0]</v>
      </c>
      <c r="U1024" s="12" t="str">
        <f t="shared" si="66"/>
        <v xml:space="preserve"> 용접#1 메인공압에러 (X43C)</v>
      </c>
      <c r="V1024" s="49" t="str">
        <f t="shared" si="65"/>
        <v>[W323B.0] 용접#1 메인공압에러 (X43C)</v>
      </c>
    </row>
    <row r="1025" spans="1:22" s="49" customFormat="1" ht="14.15" customHeight="1">
      <c r="A1025" s="43"/>
      <c r="B1025" s="44" t="s">
        <v>6635</v>
      </c>
      <c r="C1025" s="50"/>
      <c r="D1025" s="10" t="s">
        <v>29</v>
      </c>
      <c r="E1025" s="11"/>
      <c r="F1025" s="11" t="s">
        <v>18</v>
      </c>
      <c r="G1025" s="13"/>
      <c r="H1025" s="45" t="s">
        <v>16</v>
      </c>
      <c r="I1025" s="47"/>
      <c r="J1025" s="12" t="s">
        <v>4005</v>
      </c>
      <c r="K1025" s="13" t="s">
        <v>7796</v>
      </c>
      <c r="L1025" s="99" t="str">
        <f t="shared" si="64"/>
        <v>W323B.1</v>
      </c>
      <c r="M1025" s="13"/>
      <c r="N1025" s="13"/>
      <c r="O1025" s="13"/>
      <c r="P1025" s="47"/>
      <c r="Q1025" s="45"/>
      <c r="R1025" s="45"/>
      <c r="S1025" s="48"/>
      <c r="T1025" s="49" t="str">
        <f t="shared" si="63"/>
        <v>[W323B.1]</v>
      </c>
      <c r="U1025" s="12" t="str">
        <f t="shared" si="66"/>
        <v/>
      </c>
      <c r="V1025" s="49" t="str">
        <f t="shared" si="65"/>
        <v>[W323B.1]</v>
      </c>
    </row>
    <row r="1026" spans="1:22" s="49" customFormat="1" ht="14.15" customHeight="1">
      <c r="A1026" s="43"/>
      <c r="B1026" s="44" t="s">
        <v>6635</v>
      </c>
      <c r="C1026" s="50"/>
      <c r="D1026" s="10" t="s">
        <v>29</v>
      </c>
      <c r="E1026" s="11"/>
      <c r="F1026" s="11" t="s">
        <v>18</v>
      </c>
      <c r="G1026" s="13"/>
      <c r="H1026" s="45" t="s">
        <v>16</v>
      </c>
      <c r="I1026" s="47"/>
      <c r="J1026" s="12" t="s">
        <v>4006</v>
      </c>
      <c r="K1026" s="13" t="s">
        <v>7797</v>
      </c>
      <c r="L1026" s="99" t="str">
        <f t="shared" si="64"/>
        <v>W323B.2</v>
      </c>
      <c r="M1026" s="13"/>
      <c r="N1026" s="13"/>
      <c r="O1026" s="13"/>
      <c r="P1026" s="47"/>
      <c r="Q1026" s="45"/>
      <c r="R1026" s="45"/>
      <c r="S1026" s="48"/>
      <c r="T1026" s="49" t="str">
        <f t="shared" si="63"/>
        <v>[W323B.2]</v>
      </c>
      <c r="U1026" s="12" t="str">
        <f t="shared" si="66"/>
        <v/>
      </c>
      <c r="V1026" s="49" t="str">
        <f t="shared" si="65"/>
        <v>[W323B.2]</v>
      </c>
    </row>
    <row r="1027" spans="1:22" s="49" customFormat="1" ht="14.15" customHeight="1">
      <c r="A1027" s="43"/>
      <c r="B1027" s="44" t="s">
        <v>6635</v>
      </c>
      <c r="C1027" s="50"/>
      <c r="D1027" s="10" t="s">
        <v>29</v>
      </c>
      <c r="E1027" s="11"/>
      <c r="F1027" s="11" t="s">
        <v>18</v>
      </c>
      <c r="G1027" s="13"/>
      <c r="H1027" s="45" t="s">
        <v>16</v>
      </c>
      <c r="I1027" s="47"/>
      <c r="J1027" s="12" t="s">
        <v>4007</v>
      </c>
      <c r="K1027" s="13" t="s">
        <v>7798</v>
      </c>
      <c r="L1027" s="99" t="str">
        <f t="shared" si="64"/>
        <v>W323B.3</v>
      </c>
      <c r="M1027" s="13"/>
      <c r="N1027" s="13"/>
      <c r="O1027" s="13"/>
      <c r="P1027" s="47"/>
      <c r="Q1027" s="45"/>
      <c r="R1027" s="45"/>
      <c r="S1027" s="48"/>
      <c r="T1027" s="49" t="str">
        <f t="shared" si="63"/>
        <v>[W323B.3]</v>
      </c>
      <c r="U1027" s="12" t="str">
        <f t="shared" si="66"/>
        <v/>
      </c>
      <c r="V1027" s="49" t="str">
        <f t="shared" si="65"/>
        <v>[W323B.3]</v>
      </c>
    </row>
    <row r="1028" spans="1:22" s="49" customFormat="1" ht="14.15" customHeight="1">
      <c r="A1028" s="43"/>
      <c r="B1028" s="44" t="s">
        <v>6635</v>
      </c>
      <c r="C1028" s="50"/>
      <c r="D1028" s="10" t="s">
        <v>29</v>
      </c>
      <c r="E1028" s="11"/>
      <c r="F1028" s="11" t="s">
        <v>18</v>
      </c>
      <c r="G1028" s="13"/>
      <c r="H1028" s="45" t="s">
        <v>16</v>
      </c>
      <c r="I1028" s="47"/>
      <c r="J1028" s="12" t="s">
        <v>4008</v>
      </c>
      <c r="K1028" s="13" t="s">
        <v>7799</v>
      </c>
      <c r="L1028" s="99" t="str">
        <f t="shared" si="64"/>
        <v>W323B.4</v>
      </c>
      <c r="M1028" s="13"/>
      <c r="N1028" s="13"/>
      <c r="O1028" s="13"/>
      <c r="P1028" s="47"/>
      <c r="Q1028" s="45"/>
      <c r="R1028" s="45"/>
      <c r="S1028" s="48"/>
      <c r="T1028" s="49" t="str">
        <f t="shared" si="63"/>
        <v>[W323B.4]</v>
      </c>
      <c r="U1028" s="12" t="str">
        <f t="shared" si="66"/>
        <v/>
      </c>
      <c r="V1028" s="49" t="str">
        <f t="shared" si="65"/>
        <v>[W323B.4]</v>
      </c>
    </row>
    <row r="1029" spans="1:22" s="49" customFormat="1" ht="14.15" customHeight="1">
      <c r="A1029" s="43"/>
      <c r="B1029" s="44" t="s">
        <v>6635</v>
      </c>
      <c r="C1029" s="50"/>
      <c r="D1029" s="10" t="s">
        <v>29</v>
      </c>
      <c r="E1029" s="11"/>
      <c r="F1029" s="11" t="s">
        <v>18</v>
      </c>
      <c r="G1029" s="13"/>
      <c r="H1029" s="45" t="s">
        <v>16</v>
      </c>
      <c r="I1029" s="47"/>
      <c r="J1029" s="12" t="s">
        <v>4009</v>
      </c>
      <c r="K1029" s="13" t="s">
        <v>7800</v>
      </c>
      <c r="L1029" s="99" t="str">
        <f t="shared" si="64"/>
        <v>W323B.5</v>
      </c>
      <c r="M1029" s="13"/>
      <c r="N1029" s="13"/>
      <c r="O1029" s="13"/>
      <c r="P1029" s="47"/>
      <c r="Q1029" s="45"/>
      <c r="R1029" s="45"/>
      <c r="S1029" s="48"/>
      <c r="T1029" s="49" t="str">
        <f t="shared" si="63"/>
        <v>[W323B.5]</v>
      </c>
      <c r="U1029" s="12" t="str">
        <f t="shared" si="66"/>
        <v/>
      </c>
      <c r="V1029" s="49" t="str">
        <f t="shared" si="65"/>
        <v>[W323B.5]</v>
      </c>
    </row>
    <row r="1030" spans="1:22" s="49" customFormat="1" ht="14.15" customHeight="1">
      <c r="A1030" s="43"/>
      <c r="B1030" s="44" t="s">
        <v>6635</v>
      </c>
      <c r="C1030" s="50"/>
      <c r="D1030" s="10" t="s">
        <v>29</v>
      </c>
      <c r="E1030" s="11"/>
      <c r="F1030" s="11" t="s">
        <v>18</v>
      </c>
      <c r="G1030" s="13"/>
      <c r="H1030" s="45" t="s">
        <v>16</v>
      </c>
      <c r="I1030" s="47"/>
      <c r="J1030" s="12" t="s">
        <v>4010</v>
      </c>
      <c r="K1030" s="13" t="s">
        <v>7801</v>
      </c>
      <c r="L1030" s="99" t="str">
        <f t="shared" si="64"/>
        <v>W323B.6</v>
      </c>
      <c r="M1030" s="13"/>
      <c r="N1030" s="13"/>
      <c r="O1030" s="13"/>
      <c r="P1030" s="47"/>
      <c r="Q1030" s="45"/>
      <c r="R1030" s="45"/>
      <c r="S1030" s="48"/>
      <c r="T1030" s="49" t="str">
        <f t="shared" si="63"/>
        <v>[W323B.6]</v>
      </c>
      <c r="U1030" s="12" t="str">
        <f t="shared" si="66"/>
        <v/>
      </c>
      <c r="V1030" s="49" t="str">
        <f t="shared" si="65"/>
        <v>[W323B.6]</v>
      </c>
    </row>
    <row r="1031" spans="1:22" s="49" customFormat="1" ht="14.15" customHeight="1">
      <c r="A1031" s="43" t="s">
        <v>6675</v>
      </c>
      <c r="B1031" s="44" t="s">
        <v>6635</v>
      </c>
      <c r="C1031" s="50"/>
      <c r="D1031" s="10" t="s">
        <v>29</v>
      </c>
      <c r="E1031" s="11"/>
      <c r="F1031" s="11" t="s">
        <v>18</v>
      </c>
      <c r="G1031" s="13"/>
      <c r="H1031" s="45" t="s">
        <v>16</v>
      </c>
      <c r="I1031" s="47"/>
      <c r="J1031" s="12" t="s">
        <v>6292</v>
      </c>
      <c r="K1031" s="13" t="s">
        <v>7802</v>
      </c>
      <c r="L1031" s="99" t="str">
        <f t="shared" si="64"/>
        <v>W323B.7</v>
      </c>
      <c r="M1031" s="13" t="s">
        <v>17</v>
      </c>
      <c r="N1031" s="13"/>
      <c r="O1031" s="13"/>
      <c r="P1031" s="47"/>
      <c r="Q1031" s="45" t="s">
        <v>142</v>
      </c>
      <c r="R1031" s="45" t="s">
        <v>5596</v>
      </c>
      <c r="S1031" s="48"/>
      <c r="T1031" s="49" t="str">
        <f t="shared" si="63"/>
        <v>[W323B.7]</v>
      </c>
      <c r="U1031" s="12" t="str">
        <f t="shared" si="66"/>
        <v xml:space="preserve"> 용접#1 용접기 1국 Ready 이상 (D9015.4)</v>
      </c>
      <c r="V1031" s="49" t="str">
        <f t="shared" si="65"/>
        <v>[W323B.7] 용접#1 용접기 1국 Ready 이상 (D9015.4)</v>
      </c>
    </row>
    <row r="1032" spans="1:22" s="49" customFormat="1" ht="14.15" customHeight="1">
      <c r="A1032" s="43" t="s">
        <v>6675</v>
      </c>
      <c r="B1032" s="44" t="s">
        <v>6635</v>
      </c>
      <c r="C1032" s="50"/>
      <c r="D1032" s="10" t="s">
        <v>29</v>
      </c>
      <c r="E1032" s="11"/>
      <c r="F1032" s="11" t="s">
        <v>18</v>
      </c>
      <c r="G1032" s="13"/>
      <c r="H1032" s="45" t="s">
        <v>16</v>
      </c>
      <c r="I1032" s="47"/>
      <c r="J1032" s="12" t="s">
        <v>6293</v>
      </c>
      <c r="K1032" s="13" t="s">
        <v>7803</v>
      </c>
      <c r="L1032" s="99" t="str">
        <f t="shared" si="64"/>
        <v>W323B.8</v>
      </c>
      <c r="M1032" s="13" t="s">
        <v>17</v>
      </c>
      <c r="N1032" s="13"/>
      <c r="O1032" s="13"/>
      <c r="P1032" s="47"/>
      <c r="Q1032" s="45" t="s">
        <v>142</v>
      </c>
      <c r="R1032" s="45" t="s">
        <v>5596</v>
      </c>
      <c r="S1032" s="48"/>
      <c r="T1032" s="49" t="str">
        <f t="shared" si="63"/>
        <v>[W323B.8]</v>
      </c>
      <c r="U1032" s="12" t="str">
        <f t="shared" si="66"/>
        <v xml:space="preserve"> 용접#1 용접기 2국 Ready 이상 (D9025.4)</v>
      </c>
      <c r="V1032" s="49" t="str">
        <f t="shared" si="65"/>
        <v>[W323B.8] 용접#1 용접기 2국 Ready 이상 (D9025.4)</v>
      </c>
    </row>
    <row r="1033" spans="1:22" s="49" customFormat="1" ht="14.15" customHeight="1">
      <c r="A1033" s="43" t="s">
        <v>6675</v>
      </c>
      <c r="B1033" s="44" t="s">
        <v>6635</v>
      </c>
      <c r="C1033" s="50"/>
      <c r="D1033" s="10" t="s">
        <v>29</v>
      </c>
      <c r="E1033" s="11"/>
      <c r="F1033" s="11" t="s">
        <v>18</v>
      </c>
      <c r="G1033" s="13"/>
      <c r="H1033" s="45" t="s">
        <v>16</v>
      </c>
      <c r="I1033" s="47"/>
      <c r="J1033" s="12" t="s">
        <v>6294</v>
      </c>
      <c r="K1033" s="13" t="s">
        <v>7804</v>
      </c>
      <c r="L1033" s="99" t="str">
        <f t="shared" si="64"/>
        <v>W323B.9</v>
      </c>
      <c r="M1033" s="13" t="s">
        <v>17</v>
      </c>
      <c r="N1033" s="13"/>
      <c r="O1033" s="13"/>
      <c r="P1033" s="47"/>
      <c r="Q1033" s="45" t="s">
        <v>142</v>
      </c>
      <c r="R1033" s="45" t="s">
        <v>5596</v>
      </c>
      <c r="S1033" s="48"/>
      <c r="T1033" s="49" t="str">
        <f t="shared" si="63"/>
        <v>[W323B.9]</v>
      </c>
      <c r="U1033" s="12" t="str">
        <f t="shared" si="66"/>
        <v xml:space="preserve"> 용접#1 용접기 3국 Ready 이상 (D9035.4)</v>
      </c>
      <c r="V1033" s="49" t="str">
        <f t="shared" si="65"/>
        <v>[W323B.9] 용접#1 용접기 3국 Ready 이상 (D9035.4)</v>
      </c>
    </row>
    <row r="1034" spans="1:22" s="49" customFormat="1" ht="14.15" customHeight="1">
      <c r="A1034" s="43"/>
      <c r="B1034" s="44" t="s">
        <v>6635</v>
      </c>
      <c r="C1034" s="50"/>
      <c r="D1034" s="10" t="s">
        <v>29</v>
      </c>
      <c r="E1034" s="11"/>
      <c r="F1034" s="11" t="s">
        <v>18</v>
      </c>
      <c r="G1034" s="13"/>
      <c r="H1034" s="45" t="s">
        <v>16</v>
      </c>
      <c r="I1034" s="47"/>
      <c r="J1034" s="12" t="s">
        <v>863</v>
      </c>
      <c r="K1034" s="13" t="s">
        <v>7805</v>
      </c>
      <c r="L1034" s="99" t="str">
        <f t="shared" si="64"/>
        <v>W323B.A</v>
      </c>
      <c r="M1034" s="13"/>
      <c r="N1034" s="13"/>
      <c r="O1034" s="13"/>
      <c r="P1034" s="47"/>
      <c r="Q1034" s="45"/>
      <c r="R1034" s="45"/>
      <c r="S1034" s="48"/>
      <c r="T1034" s="49" t="str">
        <f t="shared" si="63"/>
        <v>[W323B.A]</v>
      </c>
      <c r="U1034" s="12" t="str">
        <f t="shared" si="66"/>
        <v xml:space="preserve"> </v>
      </c>
      <c r="V1034" s="49" t="str">
        <f t="shared" si="65"/>
        <v xml:space="preserve">[W323B.A] </v>
      </c>
    </row>
    <row r="1035" spans="1:22" s="49" customFormat="1" ht="14.15" customHeight="1">
      <c r="A1035" s="43" t="s">
        <v>6675</v>
      </c>
      <c r="B1035" s="44" t="s">
        <v>6635</v>
      </c>
      <c r="C1035" s="50"/>
      <c r="D1035" s="10" t="s">
        <v>29</v>
      </c>
      <c r="E1035" s="11"/>
      <c r="F1035" s="11" t="s">
        <v>18</v>
      </c>
      <c r="G1035" s="13"/>
      <c r="H1035" s="45" t="s">
        <v>16</v>
      </c>
      <c r="I1035" s="47"/>
      <c r="J1035" s="12" t="s">
        <v>6295</v>
      </c>
      <c r="K1035" s="13" t="s">
        <v>7806</v>
      </c>
      <c r="L1035" s="99" t="str">
        <f t="shared" si="64"/>
        <v>W323B.B</v>
      </c>
      <c r="M1035" s="13" t="s">
        <v>17</v>
      </c>
      <c r="N1035" s="13"/>
      <c r="O1035" s="13"/>
      <c r="P1035" s="47"/>
      <c r="Q1035" s="45" t="s">
        <v>142</v>
      </c>
      <c r="R1035" s="45" t="s">
        <v>5596</v>
      </c>
      <c r="S1035" s="48"/>
      <c r="T1035" s="49" t="str">
        <f t="shared" si="63"/>
        <v>[W323B.B]</v>
      </c>
      <c r="U1035" s="12" t="str">
        <f t="shared" si="66"/>
        <v xml:space="preserve"> 용접#1 1국 통신에러 (D9015.7)</v>
      </c>
      <c r="V1035" s="49" t="str">
        <f t="shared" si="65"/>
        <v>[W323B.B] 용접#1 1국 통신에러 (D9015.7)</v>
      </c>
    </row>
    <row r="1036" spans="1:22" s="49" customFormat="1" ht="14.15" customHeight="1">
      <c r="A1036" s="43" t="s">
        <v>6675</v>
      </c>
      <c r="B1036" s="44" t="s">
        <v>6635</v>
      </c>
      <c r="C1036" s="50"/>
      <c r="D1036" s="10" t="s">
        <v>29</v>
      </c>
      <c r="E1036" s="11"/>
      <c r="F1036" s="11" t="s">
        <v>18</v>
      </c>
      <c r="G1036" s="13"/>
      <c r="H1036" s="45" t="s">
        <v>16</v>
      </c>
      <c r="I1036" s="47"/>
      <c r="J1036" s="12" t="s">
        <v>6296</v>
      </c>
      <c r="K1036" s="13" t="s">
        <v>7807</v>
      </c>
      <c r="L1036" s="99" t="str">
        <f t="shared" si="64"/>
        <v>W323B.C</v>
      </c>
      <c r="M1036" s="13" t="s">
        <v>17</v>
      </c>
      <c r="N1036" s="13"/>
      <c r="O1036" s="13"/>
      <c r="P1036" s="47"/>
      <c r="Q1036" s="45" t="s">
        <v>142</v>
      </c>
      <c r="R1036" s="45" t="s">
        <v>5596</v>
      </c>
      <c r="S1036" s="48"/>
      <c r="T1036" s="49" t="str">
        <f t="shared" si="63"/>
        <v>[W323B.C]</v>
      </c>
      <c r="U1036" s="12" t="str">
        <f t="shared" si="66"/>
        <v xml:space="preserve"> 용접#1 2국 통신에러 (D9025.7)</v>
      </c>
      <c r="V1036" s="49" t="str">
        <f t="shared" si="65"/>
        <v>[W323B.C] 용접#1 2국 통신에러 (D9025.7)</v>
      </c>
    </row>
    <row r="1037" spans="1:22" s="49" customFormat="1" ht="14.15" customHeight="1">
      <c r="A1037" s="43" t="s">
        <v>6675</v>
      </c>
      <c r="B1037" s="44" t="s">
        <v>6635</v>
      </c>
      <c r="C1037" s="50"/>
      <c r="D1037" s="10" t="s">
        <v>29</v>
      </c>
      <c r="E1037" s="11"/>
      <c r="F1037" s="11" t="s">
        <v>18</v>
      </c>
      <c r="G1037" s="13"/>
      <c r="H1037" s="45" t="s">
        <v>16</v>
      </c>
      <c r="I1037" s="47"/>
      <c r="J1037" s="12" t="s">
        <v>6297</v>
      </c>
      <c r="K1037" s="13" t="s">
        <v>7808</v>
      </c>
      <c r="L1037" s="99" t="str">
        <f t="shared" si="64"/>
        <v>W323B.D</v>
      </c>
      <c r="M1037" s="13" t="s">
        <v>17</v>
      </c>
      <c r="N1037" s="13"/>
      <c r="O1037" s="13"/>
      <c r="P1037" s="47"/>
      <c r="Q1037" s="45" t="s">
        <v>142</v>
      </c>
      <c r="R1037" s="45" t="s">
        <v>5596</v>
      </c>
      <c r="S1037" s="48"/>
      <c r="T1037" s="49" t="str">
        <f t="shared" si="63"/>
        <v>[W323B.D]</v>
      </c>
      <c r="U1037" s="12" t="str">
        <f t="shared" si="66"/>
        <v xml:space="preserve"> 용접#1 3국 통신에러 (D9035.7)</v>
      </c>
      <c r="V1037" s="49" t="str">
        <f t="shared" si="65"/>
        <v>[W323B.D] 용접#1 3국 통신에러 (D9035.7)</v>
      </c>
    </row>
    <row r="1038" spans="1:22" s="49" customFormat="1" ht="14.15" customHeight="1">
      <c r="A1038" s="43"/>
      <c r="B1038" s="44" t="s">
        <v>6635</v>
      </c>
      <c r="C1038" s="50"/>
      <c r="D1038" s="10" t="s">
        <v>29</v>
      </c>
      <c r="E1038" s="11"/>
      <c r="F1038" s="11" t="s">
        <v>18</v>
      </c>
      <c r="G1038" s="13"/>
      <c r="H1038" s="45" t="s">
        <v>16</v>
      </c>
      <c r="I1038" s="47"/>
      <c r="J1038" s="12" t="s">
        <v>6298</v>
      </c>
      <c r="K1038" s="13" t="s">
        <v>7809</v>
      </c>
      <c r="L1038" s="99" t="str">
        <f t="shared" si="64"/>
        <v>W323B.E</v>
      </c>
      <c r="M1038" s="13"/>
      <c r="N1038" s="13"/>
      <c r="O1038" s="13"/>
      <c r="P1038" s="47"/>
      <c r="Q1038" s="45"/>
      <c r="R1038" s="45"/>
      <c r="S1038" s="48"/>
      <c r="T1038" s="49" t="str">
        <f t="shared" si="63"/>
        <v>[W323B.E]</v>
      </c>
      <c r="U1038" s="12" t="str">
        <f t="shared" si="66"/>
        <v xml:space="preserve"> </v>
      </c>
      <c r="V1038" s="49" t="str">
        <f t="shared" si="65"/>
        <v xml:space="preserve">[W323B.E] </v>
      </c>
    </row>
    <row r="1039" spans="1:22" s="49" customFormat="1" ht="14.15" customHeight="1">
      <c r="A1039" s="43"/>
      <c r="B1039" s="44" t="s">
        <v>6635</v>
      </c>
      <c r="C1039" s="50"/>
      <c r="D1039" s="10" t="s">
        <v>29</v>
      </c>
      <c r="E1039" s="11"/>
      <c r="F1039" s="11" t="s">
        <v>18</v>
      </c>
      <c r="G1039" s="13"/>
      <c r="H1039" s="45" t="s">
        <v>16</v>
      </c>
      <c r="I1039" s="47"/>
      <c r="J1039" s="12" t="s">
        <v>6299</v>
      </c>
      <c r="K1039" s="13" t="s">
        <v>7810</v>
      </c>
      <c r="L1039" s="99" t="str">
        <f t="shared" si="64"/>
        <v>W323B.F</v>
      </c>
      <c r="M1039" s="13"/>
      <c r="N1039" s="13"/>
      <c r="O1039" s="13"/>
      <c r="P1039" s="47"/>
      <c r="Q1039" s="45"/>
      <c r="R1039" s="45"/>
      <c r="S1039" s="48"/>
      <c r="T1039" s="49" t="str">
        <f t="shared" si="63"/>
        <v>[W323B.F]</v>
      </c>
      <c r="U1039" s="12" t="str">
        <f t="shared" si="66"/>
        <v xml:space="preserve"> </v>
      </c>
      <c r="V1039" s="49" t="str">
        <f t="shared" si="65"/>
        <v xml:space="preserve">[W323B.F] </v>
      </c>
    </row>
    <row r="1040" spans="1:22" s="49" customFormat="1" ht="14.15" customHeight="1">
      <c r="A1040" s="43"/>
      <c r="B1040" s="44" t="s">
        <v>6635</v>
      </c>
      <c r="C1040" s="50"/>
      <c r="D1040" s="10" t="s">
        <v>29</v>
      </c>
      <c r="E1040" s="11"/>
      <c r="F1040" s="11" t="s">
        <v>18</v>
      </c>
      <c r="G1040" s="13"/>
      <c r="H1040" s="45" t="s">
        <v>16</v>
      </c>
      <c r="I1040" s="47"/>
      <c r="J1040" s="12" t="s">
        <v>6300</v>
      </c>
      <c r="K1040" s="13" t="s">
        <v>7811</v>
      </c>
      <c r="L1040" s="99" t="str">
        <f t="shared" si="64"/>
        <v>W323C.0</v>
      </c>
      <c r="M1040" s="13"/>
      <c r="N1040" s="13"/>
      <c r="O1040" s="13"/>
      <c r="P1040" s="47"/>
      <c r="Q1040" s="45"/>
      <c r="R1040" s="45"/>
      <c r="S1040" s="48"/>
      <c r="T1040" s="49" t="str">
        <f t="shared" ref="T1040:T1103" si="67">"["&amp;L1040&amp;"]"</f>
        <v>[W323C.0]</v>
      </c>
      <c r="U1040" s="12" t="str">
        <f t="shared" si="66"/>
        <v xml:space="preserve"> </v>
      </c>
      <c r="V1040" s="49" t="str">
        <f t="shared" si="65"/>
        <v xml:space="preserve">[W323C.0] </v>
      </c>
    </row>
    <row r="1041" spans="1:22" s="49" customFormat="1" ht="14.15" customHeight="1">
      <c r="A1041" s="43" t="s">
        <v>6675</v>
      </c>
      <c r="B1041" s="44" t="s">
        <v>6635</v>
      </c>
      <c r="C1041" s="50"/>
      <c r="D1041" s="10" t="s">
        <v>29</v>
      </c>
      <c r="E1041" s="11"/>
      <c r="F1041" s="11" t="s">
        <v>18</v>
      </c>
      <c r="G1041" s="13"/>
      <c r="H1041" s="45" t="s">
        <v>16</v>
      </c>
      <c r="I1041" s="47"/>
      <c r="J1041" s="12" t="s">
        <v>6301</v>
      </c>
      <c r="K1041" s="13" t="s">
        <v>7812</v>
      </c>
      <c r="L1041" s="99" t="str">
        <f t="shared" ref="L1041:L1104" si="68">"W"&amp;DEC2HEX(12800 + INT((ROW()-80)/16)) &amp; "." &amp; IF(MOD(ROW()-80,16)&lt;10,MOD(ROW()-80,16),CHAR(MOD(ROW()-80,16)+55))</f>
        <v>W323C.1</v>
      </c>
      <c r="M1041" s="13" t="s">
        <v>17</v>
      </c>
      <c r="N1041" s="13"/>
      <c r="O1041" s="13"/>
      <c r="P1041" s="47"/>
      <c r="Q1041" s="45" t="s">
        <v>142</v>
      </c>
      <c r="R1041" s="45" t="s">
        <v>5596</v>
      </c>
      <c r="S1041" s="48"/>
      <c r="T1041" s="49" t="str">
        <f t="shared" si="67"/>
        <v>[W323C.1]</v>
      </c>
      <c r="U1041" s="12" t="str">
        <f t="shared" si="66"/>
        <v xml:space="preserve"> 용접#1 가스켓 감지에러 (X44E, L4041)</v>
      </c>
      <c r="V1041" s="49" t="str">
        <f t="shared" ref="V1041:V1104" si="69">T1041&amp;U1041</f>
        <v>[W323C.1] 용접#1 가스켓 감지에러 (X44E, L4041)</v>
      </c>
    </row>
    <row r="1042" spans="1:22" s="49" customFormat="1" ht="14.15" customHeight="1">
      <c r="A1042" s="43" t="s">
        <v>6675</v>
      </c>
      <c r="B1042" s="44" t="s">
        <v>6635</v>
      </c>
      <c r="C1042" s="50"/>
      <c r="D1042" s="10" t="s">
        <v>29</v>
      </c>
      <c r="E1042" s="11"/>
      <c r="F1042" s="11" t="s">
        <v>18</v>
      </c>
      <c r="G1042" s="13"/>
      <c r="H1042" s="45" t="s">
        <v>16</v>
      </c>
      <c r="I1042" s="47"/>
      <c r="J1042" s="12" t="s">
        <v>6302</v>
      </c>
      <c r="K1042" s="13" t="s">
        <v>7813</v>
      </c>
      <c r="L1042" s="99" t="str">
        <f t="shared" si="68"/>
        <v>W323C.2</v>
      </c>
      <c r="M1042" s="13" t="s">
        <v>17</v>
      </c>
      <c r="N1042" s="13"/>
      <c r="O1042" s="13"/>
      <c r="P1042" s="47"/>
      <c r="Q1042" s="45" t="s">
        <v>142</v>
      </c>
      <c r="R1042" s="45" t="s">
        <v>5596</v>
      </c>
      <c r="S1042" s="48"/>
      <c r="T1042" s="49" t="str">
        <f t="shared" si="67"/>
        <v>[W323C.2]</v>
      </c>
      <c r="U1042" s="12" t="str">
        <f t="shared" si="66"/>
        <v xml:space="preserve"> 용접#1 터브 감지에러 (X420, X44E, L4005)</v>
      </c>
      <c r="V1042" s="49" t="str">
        <f t="shared" si="69"/>
        <v>[W323C.2] 용접#1 터브 감지에러 (X420, X44E, L4005)</v>
      </c>
    </row>
    <row r="1043" spans="1:22" s="49" customFormat="1" ht="14.15" customHeight="1">
      <c r="A1043" s="43" t="s">
        <v>6675</v>
      </c>
      <c r="B1043" s="44" t="s">
        <v>6635</v>
      </c>
      <c r="C1043" s="50"/>
      <c r="D1043" s="10" t="s">
        <v>29</v>
      </c>
      <c r="E1043" s="11"/>
      <c r="F1043" s="11" t="s">
        <v>18</v>
      </c>
      <c r="G1043" s="13"/>
      <c r="H1043" s="45" t="s">
        <v>16</v>
      </c>
      <c r="I1043" s="47"/>
      <c r="J1043" s="12" t="s">
        <v>6303</v>
      </c>
      <c r="K1043" s="13" t="s">
        <v>7814</v>
      </c>
      <c r="L1043" s="99" t="str">
        <f t="shared" si="68"/>
        <v>W323C.3</v>
      </c>
      <c r="M1043" s="13" t="s">
        <v>17</v>
      </c>
      <c r="N1043" s="13"/>
      <c r="O1043" s="13"/>
      <c r="P1043" s="47"/>
      <c r="Q1043" s="45" t="s">
        <v>142</v>
      </c>
      <c r="R1043" s="45" t="s">
        <v>5596</v>
      </c>
      <c r="S1043" s="48"/>
      <c r="T1043" s="49" t="str">
        <f t="shared" si="67"/>
        <v>[W323C.3]</v>
      </c>
      <c r="U1043" s="12" t="str">
        <f t="shared" si="66"/>
        <v xml:space="preserve"> 용접#1 1-1용접 품질이상 (D9015.5)</v>
      </c>
      <c r="V1043" s="49" t="str">
        <f t="shared" si="69"/>
        <v>[W323C.3] 용접#1 1-1용접 품질이상 (D9015.5)</v>
      </c>
    </row>
    <row r="1044" spans="1:22" s="49" customFormat="1" ht="14.15" customHeight="1">
      <c r="A1044" s="43" t="s">
        <v>6675</v>
      </c>
      <c r="B1044" s="44" t="s">
        <v>6635</v>
      </c>
      <c r="C1044" s="50"/>
      <c r="D1044" s="10" t="s">
        <v>29</v>
      </c>
      <c r="E1044" s="11"/>
      <c r="F1044" s="11" t="s">
        <v>18</v>
      </c>
      <c r="G1044" s="13"/>
      <c r="H1044" s="45" t="s">
        <v>16</v>
      </c>
      <c r="I1044" s="47"/>
      <c r="J1044" s="12" t="s">
        <v>6304</v>
      </c>
      <c r="K1044" s="13" t="s">
        <v>7815</v>
      </c>
      <c r="L1044" s="99" t="str">
        <f t="shared" si="68"/>
        <v>W323C.4</v>
      </c>
      <c r="M1044" s="13" t="s">
        <v>17</v>
      </c>
      <c r="N1044" s="13"/>
      <c r="O1044" s="13"/>
      <c r="P1044" s="47"/>
      <c r="Q1044" s="45" t="s">
        <v>142</v>
      </c>
      <c r="R1044" s="45" t="s">
        <v>5596</v>
      </c>
      <c r="S1044" s="48"/>
      <c r="T1044" s="49" t="str">
        <f t="shared" si="67"/>
        <v>[W323C.4]</v>
      </c>
      <c r="U1044" s="12" t="str">
        <f t="shared" si="66"/>
        <v xml:space="preserve"> 용접#1 2-1용접 품질이상 (D9025.5)</v>
      </c>
      <c r="V1044" s="49" t="str">
        <f t="shared" si="69"/>
        <v>[W323C.4] 용접#1 2-1용접 품질이상 (D9025.5)</v>
      </c>
    </row>
    <row r="1045" spans="1:22" s="49" customFormat="1" ht="14.15" customHeight="1">
      <c r="A1045" s="43" t="s">
        <v>6675</v>
      </c>
      <c r="B1045" s="44" t="s">
        <v>6635</v>
      </c>
      <c r="C1045" s="50"/>
      <c r="D1045" s="10" t="s">
        <v>29</v>
      </c>
      <c r="E1045" s="11"/>
      <c r="F1045" s="11" t="s">
        <v>18</v>
      </c>
      <c r="G1045" s="13"/>
      <c r="H1045" s="45" t="s">
        <v>16</v>
      </c>
      <c r="I1045" s="47"/>
      <c r="J1045" s="12" t="s">
        <v>6305</v>
      </c>
      <c r="K1045" s="13" t="s">
        <v>7816</v>
      </c>
      <c r="L1045" s="99" t="str">
        <f t="shared" si="68"/>
        <v>W323C.5</v>
      </c>
      <c r="M1045" s="13" t="s">
        <v>17</v>
      </c>
      <c r="N1045" s="13"/>
      <c r="O1045" s="13"/>
      <c r="P1045" s="47"/>
      <c r="Q1045" s="45" t="s">
        <v>142</v>
      </c>
      <c r="R1045" s="45" t="s">
        <v>5596</v>
      </c>
      <c r="S1045" s="48"/>
      <c r="T1045" s="49" t="str">
        <f t="shared" si="67"/>
        <v>[W323C.5]</v>
      </c>
      <c r="U1045" s="12" t="str">
        <f t="shared" ref="U1045:U1108" si="70">RIGHT(J1045,LEN(J1045)-7)</f>
        <v xml:space="preserve"> 용접#1 3-1용접 품질이상 (D9035.5)</v>
      </c>
      <c r="V1045" s="49" t="str">
        <f t="shared" si="69"/>
        <v>[W323C.5] 용접#1 3-1용접 품질이상 (D9035.5)</v>
      </c>
    </row>
    <row r="1046" spans="1:22" s="49" customFormat="1" ht="14.15" customHeight="1">
      <c r="A1046" s="43" t="s">
        <v>6675</v>
      </c>
      <c r="B1046" s="44" t="s">
        <v>6635</v>
      </c>
      <c r="C1046" s="50"/>
      <c r="D1046" s="10" t="s">
        <v>29</v>
      </c>
      <c r="E1046" s="11"/>
      <c r="F1046" s="11" t="s">
        <v>18</v>
      </c>
      <c r="G1046" s="13"/>
      <c r="H1046" s="45" t="s">
        <v>16</v>
      </c>
      <c r="I1046" s="47"/>
      <c r="J1046" s="12" t="s">
        <v>6306</v>
      </c>
      <c r="K1046" s="13" t="s">
        <v>7817</v>
      </c>
      <c r="L1046" s="99" t="str">
        <f t="shared" si="68"/>
        <v>W323C.6</v>
      </c>
      <c r="M1046" s="13" t="s">
        <v>17</v>
      </c>
      <c r="N1046" s="13"/>
      <c r="O1046" s="13"/>
      <c r="P1046" s="47"/>
      <c r="Q1046" s="45" t="s">
        <v>142</v>
      </c>
      <c r="R1046" s="45" t="s">
        <v>5596</v>
      </c>
      <c r="S1046" s="48"/>
      <c r="T1046" s="49" t="str">
        <f t="shared" si="67"/>
        <v>[W323C.6]</v>
      </c>
      <c r="U1046" s="12" t="str">
        <f t="shared" si="70"/>
        <v xml:space="preserve"> 용접#1 1-2용접 품질이상 (D9015.5)</v>
      </c>
      <c r="V1046" s="49" t="str">
        <f t="shared" si="69"/>
        <v>[W323C.6] 용접#1 1-2용접 품질이상 (D9015.5)</v>
      </c>
    </row>
    <row r="1047" spans="1:22" s="49" customFormat="1" ht="14.15" customHeight="1">
      <c r="A1047" s="43" t="s">
        <v>6675</v>
      </c>
      <c r="B1047" s="44" t="s">
        <v>6635</v>
      </c>
      <c r="C1047" s="50"/>
      <c r="D1047" s="10" t="s">
        <v>29</v>
      </c>
      <c r="E1047" s="11"/>
      <c r="F1047" s="11" t="s">
        <v>18</v>
      </c>
      <c r="G1047" s="13"/>
      <c r="H1047" s="45" t="s">
        <v>16</v>
      </c>
      <c r="I1047" s="47"/>
      <c r="J1047" s="12" t="s">
        <v>6307</v>
      </c>
      <c r="K1047" s="13" t="s">
        <v>7818</v>
      </c>
      <c r="L1047" s="99" t="str">
        <f t="shared" si="68"/>
        <v>W323C.7</v>
      </c>
      <c r="M1047" s="13" t="s">
        <v>17</v>
      </c>
      <c r="N1047" s="13"/>
      <c r="O1047" s="13"/>
      <c r="P1047" s="47"/>
      <c r="Q1047" s="45" t="s">
        <v>142</v>
      </c>
      <c r="R1047" s="45" t="s">
        <v>5596</v>
      </c>
      <c r="S1047" s="48"/>
      <c r="T1047" s="49" t="str">
        <f t="shared" si="67"/>
        <v>[W323C.7]</v>
      </c>
      <c r="U1047" s="12" t="str">
        <f t="shared" si="70"/>
        <v xml:space="preserve"> 용접#1 2-2용접 품질이상 (D9025.5)</v>
      </c>
      <c r="V1047" s="49" t="str">
        <f t="shared" si="69"/>
        <v>[W323C.7] 용접#1 2-2용접 품질이상 (D9025.5)</v>
      </c>
    </row>
    <row r="1048" spans="1:22" s="49" customFormat="1" ht="14.15" customHeight="1">
      <c r="A1048" s="43" t="s">
        <v>6675</v>
      </c>
      <c r="B1048" s="44" t="s">
        <v>6635</v>
      </c>
      <c r="C1048" s="50"/>
      <c r="D1048" s="10" t="s">
        <v>29</v>
      </c>
      <c r="E1048" s="11"/>
      <c r="F1048" s="11" t="s">
        <v>18</v>
      </c>
      <c r="G1048" s="13"/>
      <c r="H1048" s="45" t="s">
        <v>16</v>
      </c>
      <c r="I1048" s="47"/>
      <c r="J1048" s="12" t="s">
        <v>6308</v>
      </c>
      <c r="K1048" s="13" t="s">
        <v>7819</v>
      </c>
      <c r="L1048" s="99" t="str">
        <f t="shared" si="68"/>
        <v>W323C.8</v>
      </c>
      <c r="M1048" s="13" t="s">
        <v>17</v>
      </c>
      <c r="N1048" s="13"/>
      <c r="O1048" s="13"/>
      <c r="P1048" s="47"/>
      <c r="Q1048" s="45" t="s">
        <v>142</v>
      </c>
      <c r="R1048" s="45" t="s">
        <v>5596</v>
      </c>
      <c r="S1048" s="48"/>
      <c r="T1048" s="49" t="str">
        <f t="shared" si="67"/>
        <v>[W323C.8]</v>
      </c>
      <c r="U1048" s="12" t="str">
        <f t="shared" si="70"/>
        <v xml:space="preserve"> 용접#1 3-2용접 품질이상 (D9035.5)</v>
      </c>
      <c r="V1048" s="49" t="str">
        <f t="shared" si="69"/>
        <v>[W323C.8] 용접#1 3-2용접 품질이상 (D9035.5)</v>
      </c>
    </row>
    <row r="1049" spans="1:22" s="49" customFormat="1" ht="14.15" customHeight="1">
      <c r="A1049" s="43"/>
      <c r="B1049" s="44" t="s">
        <v>6635</v>
      </c>
      <c r="C1049" s="50"/>
      <c r="D1049" s="10" t="s">
        <v>29</v>
      </c>
      <c r="E1049" s="11"/>
      <c r="F1049" s="11" t="s">
        <v>18</v>
      </c>
      <c r="G1049" s="13"/>
      <c r="H1049" s="45" t="s">
        <v>16</v>
      </c>
      <c r="I1049" s="47"/>
      <c r="J1049" s="12" t="s">
        <v>4018</v>
      </c>
      <c r="K1049" s="13" t="s">
        <v>7820</v>
      </c>
      <c r="L1049" s="99" t="str">
        <f t="shared" si="68"/>
        <v>W323C.9</v>
      </c>
      <c r="M1049" s="13"/>
      <c r="N1049" s="13"/>
      <c r="O1049" s="13"/>
      <c r="P1049" s="47"/>
      <c r="Q1049" s="45"/>
      <c r="R1049" s="45"/>
      <c r="S1049" s="48"/>
      <c r="T1049" s="49" t="str">
        <f t="shared" si="67"/>
        <v>[W323C.9]</v>
      </c>
      <c r="U1049" s="12" t="str">
        <f t="shared" si="70"/>
        <v/>
      </c>
      <c r="V1049" s="49" t="str">
        <f t="shared" si="69"/>
        <v>[W323C.9]</v>
      </c>
    </row>
    <row r="1050" spans="1:22" s="49" customFormat="1" ht="14.15" customHeight="1">
      <c r="A1050" s="43"/>
      <c r="B1050" s="44" t="s">
        <v>6635</v>
      </c>
      <c r="C1050" s="50"/>
      <c r="D1050" s="10" t="s">
        <v>29</v>
      </c>
      <c r="E1050" s="11"/>
      <c r="F1050" s="11" t="s">
        <v>18</v>
      </c>
      <c r="G1050" s="13"/>
      <c r="H1050" s="45" t="s">
        <v>16</v>
      </c>
      <c r="I1050" s="47"/>
      <c r="J1050" s="12" t="s">
        <v>4019</v>
      </c>
      <c r="K1050" s="13" t="s">
        <v>7821</v>
      </c>
      <c r="L1050" s="99" t="str">
        <f t="shared" si="68"/>
        <v>W323C.A</v>
      </c>
      <c r="M1050" s="13"/>
      <c r="N1050" s="13"/>
      <c r="O1050" s="13"/>
      <c r="P1050" s="47"/>
      <c r="Q1050" s="45"/>
      <c r="R1050" s="45"/>
      <c r="S1050" s="48"/>
      <c r="T1050" s="49" t="str">
        <f t="shared" si="67"/>
        <v>[W323C.A]</v>
      </c>
      <c r="U1050" s="12" t="str">
        <f t="shared" si="70"/>
        <v/>
      </c>
      <c r="V1050" s="49" t="str">
        <f t="shared" si="69"/>
        <v>[W323C.A]</v>
      </c>
    </row>
    <row r="1051" spans="1:22" s="49" customFormat="1" ht="14.15" customHeight="1">
      <c r="A1051" s="43"/>
      <c r="B1051" s="44" t="s">
        <v>6635</v>
      </c>
      <c r="C1051" s="50"/>
      <c r="D1051" s="10" t="s">
        <v>29</v>
      </c>
      <c r="E1051" s="11"/>
      <c r="F1051" s="11" t="s">
        <v>18</v>
      </c>
      <c r="G1051" s="13"/>
      <c r="H1051" s="45" t="s">
        <v>16</v>
      </c>
      <c r="I1051" s="47"/>
      <c r="J1051" s="12" t="s">
        <v>4020</v>
      </c>
      <c r="K1051" s="13" t="s">
        <v>7822</v>
      </c>
      <c r="L1051" s="99" t="str">
        <f t="shared" si="68"/>
        <v>W323C.B</v>
      </c>
      <c r="M1051" s="13"/>
      <c r="N1051" s="13"/>
      <c r="O1051" s="13"/>
      <c r="P1051" s="47"/>
      <c r="Q1051" s="45"/>
      <c r="R1051" s="45"/>
      <c r="S1051" s="48"/>
      <c r="T1051" s="49" t="str">
        <f t="shared" si="67"/>
        <v>[W323C.B]</v>
      </c>
      <c r="U1051" s="12" t="str">
        <f t="shared" si="70"/>
        <v/>
      </c>
      <c r="V1051" s="49" t="str">
        <f t="shared" si="69"/>
        <v>[W323C.B]</v>
      </c>
    </row>
    <row r="1052" spans="1:22" s="49" customFormat="1" ht="14.15" customHeight="1">
      <c r="A1052" s="44"/>
      <c r="B1052" s="44" t="s">
        <v>6635</v>
      </c>
      <c r="C1052" s="50"/>
      <c r="D1052" s="10" t="s">
        <v>29</v>
      </c>
      <c r="E1052" s="11"/>
      <c r="F1052" s="11" t="s">
        <v>18</v>
      </c>
      <c r="G1052" s="13"/>
      <c r="H1052" s="45" t="s">
        <v>16</v>
      </c>
      <c r="I1052" s="47"/>
      <c r="J1052" s="12" t="s">
        <v>4021</v>
      </c>
      <c r="K1052" s="13" t="s">
        <v>7823</v>
      </c>
      <c r="L1052" s="99" t="str">
        <f t="shared" si="68"/>
        <v>W323C.C</v>
      </c>
      <c r="M1052" s="13"/>
      <c r="N1052" s="13"/>
      <c r="O1052" s="13"/>
      <c r="P1052" s="47"/>
      <c r="Q1052" s="45"/>
      <c r="R1052" s="45"/>
      <c r="S1052" s="48"/>
      <c r="T1052" s="49" t="str">
        <f t="shared" si="67"/>
        <v>[W323C.C]</v>
      </c>
      <c r="U1052" s="12" t="str">
        <f t="shared" si="70"/>
        <v/>
      </c>
      <c r="V1052" s="49" t="str">
        <f t="shared" si="69"/>
        <v>[W323C.C]</v>
      </c>
    </row>
    <row r="1053" spans="1:22" s="49" customFormat="1" ht="14.15" customHeight="1">
      <c r="A1053" s="43"/>
      <c r="B1053" s="44" t="s">
        <v>6635</v>
      </c>
      <c r="C1053" s="50"/>
      <c r="D1053" s="10" t="s">
        <v>29</v>
      </c>
      <c r="E1053" s="11"/>
      <c r="F1053" s="11" t="s">
        <v>18</v>
      </c>
      <c r="G1053" s="13"/>
      <c r="H1053" s="45" t="s">
        <v>16</v>
      </c>
      <c r="I1053" s="47"/>
      <c r="J1053" s="12" t="s">
        <v>4022</v>
      </c>
      <c r="K1053" s="13" t="s">
        <v>7824</v>
      </c>
      <c r="L1053" s="99" t="str">
        <f t="shared" si="68"/>
        <v>W323C.D</v>
      </c>
      <c r="M1053" s="13"/>
      <c r="N1053" s="13"/>
      <c r="O1053" s="13"/>
      <c r="P1053" s="47"/>
      <c r="Q1053" s="45"/>
      <c r="R1053" s="45"/>
      <c r="S1053" s="48"/>
      <c r="T1053" s="49" t="str">
        <f t="shared" si="67"/>
        <v>[W323C.D]</v>
      </c>
      <c r="U1053" s="12" t="str">
        <f t="shared" si="70"/>
        <v/>
      </c>
      <c r="V1053" s="49" t="str">
        <f t="shared" si="69"/>
        <v>[W323C.D]</v>
      </c>
    </row>
    <row r="1054" spans="1:22" s="49" customFormat="1" ht="14.15" customHeight="1">
      <c r="A1054" s="44"/>
      <c r="B1054" s="44" t="s">
        <v>6635</v>
      </c>
      <c r="C1054" s="50"/>
      <c r="D1054" s="10" t="s">
        <v>29</v>
      </c>
      <c r="E1054" s="11"/>
      <c r="F1054" s="11" t="s">
        <v>18</v>
      </c>
      <c r="G1054" s="13"/>
      <c r="H1054" s="45" t="s">
        <v>16</v>
      </c>
      <c r="I1054" s="47"/>
      <c r="J1054" s="12" t="s">
        <v>4023</v>
      </c>
      <c r="K1054" s="13" t="s">
        <v>7825</v>
      </c>
      <c r="L1054" s="99" t="str">
        <f t="shared" si="68"/>
        <v>W323C.E</v>
      </c>
      <c r="M1054" s="13"/>
      <c r="N1054" s="13"/>
      <c r="O1054" s="13"/>
      <c r="P1054" s="47"/>
      <c r="Q1054" s="45"/>
      <c r="R1054" s="45"/>
      <c r="S1054" s="48"/>
      <c r="T1054" s="49" t="str">
        <f t="shared" si="67"/>
        <v>[W323C.E]</v>
      </c>
      <c r="U1054" s="12" t="str">
        <f t="shared" si="70"/>
        <v/>
      </c>
      <c r="V1054" s="49" t="str">
        <f t="shared" si="69"/>
        <v>[W323C.E]</v>
      </c>
    </row>
    <row r="1055" spans="1:22" s="49" customFormat="1" ht="14.15" customHeight="1">
      <c r="A1055" s="44"/>
      <c r="B1055" s="44" t="s">
        <v>6635</v>
      </c>
      <c r="C1055" s="50"/>
      <c r="D1055" s="10" t="s">
        <v>29</v>
      </c>
      <c r="E1055" s="11"/>
      <c r="F1055" s="11" t="s">
        <v>18</v>
      </c>
      <c r="G1055" s="13"/>
      <c r="H1055" s="45" t="s">
        <v>16</v>
      </c>
      <c r="I1055" s="47"/>
      <c r="J1055" s="12" t="s">
        <v>4024</v>
      </c>
      <c r="K1055" s="13" t="s">
        <v>7826</v>
      </c>
      <c r="L1055" s="99" t="str">
        <f t="shared" si="68"/>
        <v>W323C.F</v>
      </c>
      <c r="M1055" s="13"/>
      <c r="N1055" s="13"/>
      <c r="O1055" s="13"/>
      <c r="P1055" s="47"/>
      <c r="Q1055" s="45"/>
      <c r="R1055" s="45"/>
      <c r="S1055" s="48"/>
      <c r="T1055" s="49" t="str">
        <f t="shared" si="67"/>
        <v>[W323C.F]</v>
      </c>
      <c r="U1055" s="12" t="str">
        <f t="shared" si="70"/>
        <v/>
      </c>
      <c r="V1055" s="49" t="str">
        <f t="shared" si="69"/>
        <v>[W323C.F]</v>
      </c>
    </row>
    <row r="1056" spans="1:22" s="49" customFormat="1" ht="14.15" customHeight="1">
      <c r="A1056" s="44"/>
      <c r="B1056" s="44" t="s">
        <v>6635</v>
      </c>
      <c r="C1056" s="50"/>
      <c r="D1056" s="10" t="s">
        <v>29</v>
      </c>
      <c r="E1056" s="11"/>
      <c r="F1056" s="11" t="s">
        <v>18</v>
      </c>
      <c r="G1056" s="13"/>
      <c r="H1056" s="45" t="s">
        <v>16</v>
      </c>
      <c r="I1056" s="47"/>
      <c r="J1056" s="12" t="s">
        <v>4025</v>
      </c>
      <c r="K1056" s="13" t="s">
        <v>7827</v>
      </c>
      <c r="L1056" s="99" t="str">
        <f t="shared" si="68"/>
        <v>W323D.0</v>
      </c>
      <c r="M1056" s="13"/>
      <c r="N1056" s="13"/>
      <c r="O1056" s="13"/>
      <c r="P1056" s="47"/>
      <c r="Q1056" s="45"/>
      <c r="R1056" s="45"/>
      <c r="S1056" s="48"/>
      <c r="T1056" s="49" t="str">
        <f t="shared" si="67"/>
        <v>[W323D.0]</v>
      </c>
      <c r="U1056" s="12" t="str">
        <f t="shared" si="70"/>
        <v/>
      </c>
      <c r="V1056" s="49" t="str">
        <f t="shared" si="69"/>
        <v>[W323D.0]</v>
      </c>
    </row>
    <row r="1057" spans="1:22" s="49" customFormat="1" ht="14.15" customHeight="1">
      <c r="A1057" s="44"/>
      <c r="B1057" s="44" t="s">
        <v>6635</v>
      </c>
      <c r="C1057" s="50"/>
      <c r="D1057" s="10" t="s">
        <v>29</v>
      </c>
      <c r="E1057" s="11"/>
      <c r="F1057" s="11" t="s">
        <v>18</v>
      </c>
      <c r="G1057" s="13"/>
      <c r="H1057" s="45" t="s">
        <v>16</v>
      </c>
      <c r="I1057" s="47"/>
      <c r="J1057" s="12" t="s">
        <v>4026</v>
      </c>
      <c r="K1057" s="13" t="s">
        <v>7828</v>
      </c>
      <c r="L1057" s="99" t="str">
        <f t="shared" si="68"/>
        <v>W323D.1</v>
      </c>
      <c r="M1057" s="13"/>
      <c r="N1057" s="13"/>
      <c r="O1057" s="13"/>
      <c r="P1057" s="47"/>
      <c r="Q1057" s="45"/>
      <c r="R1057" s="45"/>
      <c r="S1057" s="48"/>
      <c r="T1057" s="49" t="str">
        <f t="shared" si="67"/>
        <v>[W323D.1]</v>
      </c>
      <c r="U1057" s="12" t="str">
        <f t="shared" si="70"/>
        <v/>
      </c>
      <c r="V1057" s="49" t="str">
        <f t="shared" si="69"/>
        <v>[W323D.1]</v>
      </c>
    </row>
    <row r="1058" spans="1:22" s="49" customFormat="1" ht="14.15" customHeight="1">
      <c r="A1058" s="43"/>
      <c r="B1058" s="44" t="s">
        <v>6635</v>
      </c>
      <c r="C1058" s="50"/>
      <c r="D1058" s="10" t="s">
        <v>29</v>
      </c>
      <c r="E1058" s="11"/>
      <c r="F1058" s="11" t="s">
        <v>18</v>
      </c>
      <c r="G1058" s="13"/>
      <c r="H1058" s="45" t="s">
        <v>16</v>
      </c>
      <c r="I1058" s="47"/>
      <c r="J1058" s="12" t="s">
        <v>4027</v>
      </c>
      <c r="K1058" s="13" t="s">
        <v>7829</v>
      </c>
      <c r="L1058" s="99" t="str">
        <f t="shared" si="68"/>
        <v>W323D.2</v>
      </c>
      <c r="M1058" s="13"/>
      <c r="N1058" s="13"/>
      <c r="O1058" s="13"/>
      <c r="P1058" s="47"/>
      <c r="Q1058" s="45"/>
      <c r="R1058" s="45"/>
      <c r="S1058" s="48"/>
      <c r="T1058" s="49" t="str">
        <f t="shared" si="67"/>
        <v>[W323D.2]</v>
      </c>
      <c r="U1058" s="12" t="str">
        <f t="shared" si="70"/>
        <v/>
      </c>
      <c r="V1058" s="49" t="str">
        <f t="shared" si="69"/>
        <v>[W323D.2]</v>
      </c>
    </row>
    <row r="1059" spans="1:22" s="49" customFormat="1" ht="14.15" customHeight="1">
      <c r="A1059" s="44"/>
      <c r="B1059" s="44" t="s">
        <v>6635</v>
      </c>
      <c r="C1059" s="50"/>
      <c r="D1059" s="10" t="s">
        <v>29</v>
      </c>
      <c r="E1059" s="11"/>
      <c r="F1059" s="11" t="s">
        <v>18</v>
      </c>
      <c r="G1059" s="13"/>
      <c r="H1059" s="45" t="s">
        <v>16</v>
      </c>
      <c r="I1059" s="47"/>
      <c r="J1059" s="12" t="s">
        <v>4028</v>
      </c>
      <c r="K1059" s="13" t="s">
        <v>7830</v>
      </c>
      <c r="L1059" s="99" t="str">
        <f t="shared" si="68"/>
        <v>W323D.3</v>
      </c>
      <c r="M1059" s="13"/>
      <c r="N1059" s="13"/>
      <c r="O1059" s="13"/>
      <c r="P1059" s="47"/>
      <c r="Q1059" s="45"/>
      <c r="R1059" s="45"/>
      <c r="S1059" s="48"/>
      <c r="T1059" s="49" t="str">
        <f t="shared" si="67"/>
        <v>[W323D.3]</v>
      </c>
      <c r="U1059" s="12" t="str">
        <f t="shared" si="70"/>
        <v/>
      </c>
      <c r="V1059" s="49" t="str">
        <f t="shared" si="69"/>
        <v>[W323D.3]</v>
      </c>
    </row>
    <row r="1060" spans="1:22" s="49" customFormat="1" ht="14.15" customHeight="1">
      <c r="A1060" s="44"/>
      <c r="B1060" s="44" t="s">
        <v>6635</v>
      </c>
      <c r="C1060" s="50"/>
      <c r="D1060" s="10" t="s">
        <v>29</v>
      </c>
      <c r="E1060" s="11"/>
      <c r="F1060" s="11" t="s">
        <v>18</v>
      </c>
      <c r="G1060" s="13"/>
      <c r="H1060" s="45" t="s">
        <v>16</v>
      </c>
      <c r="I1060" s="47"/>
      <c r="J1060" s="12" t="s">
        <v>4029</v>
      </c>
      <c r="K1060" s="13" t="s">
        <v>7831</v>
      </c>
      <c r="L1060" s="99" t="str">
        <f t="shared" si="68"/>
        <v>W323D.4</v>
      </c>
      <c r="M1060" s="13"/>
      <c r="N1060" s="13"/>
      <c r="O1060" s="13"/>
      <c r="P1060" s="47"/>
      <c r="Q1060" s="45"/>
      <c r="R1060" s="45"/>
      <c r="S1060" s="48"/>
      <c r="T1060" s="49" t="str">
        <f t="shared" si="67"/>
        <v>[W323D.4]</v>
      </c>
      <c r="U1060" s="12" t="str">
        <f t="shared" si="70"/>
        <v/>
      </c>
      <c r="V1060" s="49" t="str">
        <f t="shared" si="69"/>
        <v>[W323D.4]</v>
      </c>
    </row>
    <row r="1061" spans="1:22" s="49" customFormat="1" ht="14.15" customHeight="1">
      <c r="A1061" s="44"/>
      <c r="B1061" s="44" t="s">
        <v>6635</v>
      </c>
      <c r="C1061" s="50"/>
      <c r="D1061" s="10" t="s">
        <v>29</v>
      </c>
      <c r="E1061" s="11"/>
      <c r="F1061" s="11" t="s">
        <v>18</v>
      </c>
      <c r="G1061" s="13"/>
      <c r="H1061" s="45" t="s">
        <v>16</v>
      </c>
      <c r="I1061" s="47"/>
      <c r="J1061" s="12" t="s">
        <v>4030</v>
      </c>
      <c r="K1061" s="13" t="s">
        <v>7832</v>
      </c>
      <c r="L1061" s="99" t="str">
        <f t="shared" si="68"/>
        <v>W323D.5</v>
      </c>
      <c r="M1061" s="13"/>
      <c r="N1061" s="13"/>
      <c r="O1061" s="13"/>
      <c r="P1061" s="47"/>
      <c r="Q1061" s="45"/>
      <c r="R1061" s="45"/>
      <c r="S1061" s="48"/>
      <c r="T1061" s="49" t="str">
        <f t="shared" si="67"/>
        <v>[W323D.5]</v>
      </c>
      <c r="U1061" s="12" t="str">
        <f t="shared" si="70"/>
        <v/>
      </c>
      <c r="V1061" s="49" t="str">
        <f t="shared" si="69"/>
        <v>[W323D.5]</v>
      </c>
    </row>
    <row r="1062" spans="1:22" s="49" customFormat="1" ht="14.15" customHeight="1">
      <c r="A1062" s="44"/>
      <c r="B1062" s="44" t="s">
        <v>6635</v>
      </c>
      <c r="C1062" s="50"/>
      <c r="D1062" s="10" t="s">
        <v>29</v>
      </c>
      <c r="E1062" s="11"/>
      <c r="F1062" s="11" t="s">
        <v>18</v>
      </c>
      <c r="G1062" s="13"/>
      <c r="H1062" s="45" t="s">
        <v>16</v>
      </c>
      <c r="I1062" s="47"/>
      <c r="J1062" s="12" t="s">
        <v>4031</v>
      </c>
      <c r="K1062" s="13" t="s">
        <v>7833</v>
      </c>
      <c r="L1062" s="99" t="str">
        <f t="shared" si="68"/>
        <v>W323D.6</v>
      </c>
      <c r="M1062" s="13"/>
      <c r="N1062" s="13"/>
      <c r="O1062" s="13"/>
      <c r="P1062" s="47"/>
      <c r="Q1062" s="45"/>
      <c r="R1062" s="45"/>
      <c r="S1062" s="48"/>
      <c r="T1062" s="49" t="str">
        <f t="shared" si="67"/>
        <v>[W323D.6]</v>
      </c>
      <c r="U1062" s="12" t="str">
        <f t="shared" si="70"/>
        <v/>
      </c>
      <c r="V1062" s="49" t="str">
        <f t="shared" si="69"/>
        <v>[W323D.6]</v>
      </c>
    </row>
    <row r="1063" spans="1:22" s="49" customFormat="1" ht="14.15" customHeight="1">
      <c r="A1063" s="44"/>
      <c r="B1063" s="44" t="s">
        <v>6635</v>
      </c>
      <c r="C1063" s="50"/>
      <c r="D1063" s="10" t="s">
        <v>29</v>
      </c>
      <c r="E1063" s="11"/>
      <c r="F1063" s="11" t="s">
        <v>18</v>
      </c>
      <c r="G1063" s="13"/>
      <c r="H1063" s="45" t="s">
        <v>16</v>
      </c>
      <c r="I1063" s="47"/>
      <c r="J1063" s="12" t="s">
        <v>4032</v>
      </c>
      <c r="K1063" s="13" t="s">
        <v>7834</v>
      </c>
      <c r="L1063" s="99" t="str">
        <f t="shared" si="68"/>
        <v>W323D.7</v>
      </c>
      <c r="M1063" s="13"/>
      <c r="N1063" s="13"/>
      <c r="O1063" s="13"/>
      <c r="P1063" s="47"/>
      <c r="Q1063" s="45"/>
      <c r="R1063" s="45"/>
      <c r="S1063" s="48"/>
      <c r="T1063" s="49" t="str">
        <f t="shared" si="67"/>
        <v>[W323D.7]</v>
      </c>
      <c r="U1063" s="12" t="str">
        <f t="shared" si="70"/>
        <v/>
      </c>
      <c r="V1063" s="49" t="str">
        <f t="shared" si="69"/>
        <v>[W323D.7]</v>
      </c>
    </row>
    <row r="1064" spans="1:22" s="49" customFormat="1" ht="14.15" customHeight="1">
      <c r="A1064" s="44"/>
      <c r="B1064" s="44" t="s">
        <v>6635</v>
      </c>
      <c r="C1064" s="50"/>
      <c r="D1064" s="10" t="s">
        <v>29</v>
      </c>
      <c r="E1064" s="11"/>
      <c r="F1064" s="11" t="s">
        <v>18</v>
      </c>
      <c r="G1064" s="13"/>
      <c r="H1064" s="45" t="s">
        <v>16</v>
      </c>
      <c r="I1064" s="47"/>
      <c r="J1064" s="12" t="s">
        <v>4033</v>
      </c>
      <c r="K1064" s="13" t="s">
        <v>7835</v>
      </c>
      <c r="L1064" s="99" t="str">
        <f t="shared" si="68"/>
        <v>W323D.8</v>
      </c>
      <c r="M1064" s="13"/>
      <c r="N1064" s="13"/>
      <c r="O1064" s="13"/>
      <c r="P1064" s="47"/>
      <c r="Q1064" s="45"/>
      <c r="R1064" s="45"/>
      <c r="S1064" s="48"/>
      <c r="T1064" s="49" t="str">
        <f t="shared" si="67"/>
        <v>[W323D.8]</v>
      </c>
      <c r="U1064" s="12" t="str">
        <f t="shared" si="70"/>
        <v/>
      </c>
      <c r="V1064" s="49" t="str">
        <f t="shared" si="69"/>
        <v>[W323D.8]</v>
      </c>
    </row>
    <row r="1065" spans="1:22" s="49" customFormat="1" ht="14.15" customHeight="1">
      <c r="A1065" s="44"/>
      <c r="B1065" s="44" t="s">
        <v>6635</v>
      </c>
      <c r="C1065" s="50"/>
      <c r="D1065" s="10" t="s">
        <v>29</v>
      </c>
      <c r="E1065" s="11"/>
      <c r="F1065" s="11" t="s">
        <v>18</v>
      </c>
      <c r="G1065" s="13"/>
      <c r="H1065" s="45" t="s">
        <v>16</v>
      </c>
      <c r="I1065" s="47"/>
      <c r="J1065" s="12" t="s">
        <v>4034</v>
      </c>
      <c r="K1065" s="13" t="s">
        <v>7836</v>
      </c>
      <c r="L1065" s="99" t="str">
        <f t="shared" si="68"/>
        <v>W323D.9</v>
      </c>
      <c r="M1065" s="13"/>
      <c r="N1065" s="13"/>
      <c r="O1065" s="13"/>
      <c r="P1065" s="47"/>
      <c r="Q1065" s="45"/>
      <c r="R1065" s="45"/>
      <c r="S1065" s="48"/>
      <c r="T1065" s="49" t="str">
        <f t="shared" si="67"/>
        <v>[W323D.9]</v>
      </c>
      <c r="U1065" s="12" t="str">
        <f t="shared" si="70"/>
        <v/>
      </c>
      <c r="V1065" s="49" t="str">
        <f t="shared" si="69"/>
        <v>[W323D.9]</v>
      </c>
    </row>
    <row r="1066" spans="1:22" s="49" customFormat="1" ht="14.15" customHeight="1">
      <c r="A1066" s="44"/>
      <c r="B1066" s="44" t="s">
        <v>6635</v>
      </c>
      <c r="C1066" s="50"/>
      <c r="D1066" s="10" t="s">
        <v>29</v>
      </c>
      <c r="E1066" s="11"/>
      <c r="F1066" s="11" t="s">
        <v>18</v>
      </c>
      <c r="G1066" s="13"/>
      <c r="H1066" s="45" t="s">
        <v>16</v>
      </c>
      <c r="I1066" s="47"/>
      <c r="J1066" s="12" t="s">
        <v>4035</v>
      </c>
      <c r="K1066" s="13" t="s">
        <v>7837</v>
      </c>
      <c r="L1066" s="99" t="str">
        <f t="shared" si="68"/>
        <v>W323D.A</v>
      </c>
      <c r="M1066" s="13"/>
      <c r="N1066" s="13"/>
      <c r="O1066" s="13"/>
      <c r="P1066" s="47"/>
      <c r="Q1066" s="45"/>
      <c r="R1066" s="45"/>
      <c r="S1066" s="48"/>
      <c r="T1066" s="49" t="str">
        <f t="shared" si="67"/>
        <v>[W323D.A]</v>
      </c>
      <c r="U1066" s="12" t="str">
        <f t="shared" si="70"/>
        <v/>
      </c>
      <c r="V1066" s="49" t="str">
        <f t="shared" si="69"/>
        <v>[W323D.A]</v>
      </c>
    </row>
    <row r="1067" spans="1:22" s="49" customFormat="1" ht="14.15" customHeight="1">
      <c r="A1067" s="44"/>
      <c r="B1067" s="44" t="s">
        <v>6635</v>
      </c>
      <c r="C1067" s="50"/>
      <c r="D1067" s="10" t="s">
        <v>29</v>
      </c>
      <c r="E1067" s="11"/>
      <c r="F1067" s="11" t="s">
        <v>18</v>
      </c>
      <c r="G1067" s="13"/>
      <c r="H1067" s="45" t="s">
        <v>16</v>
      </c>
      <c r="I1067" s="47"/>
      <c r="J1067" s="12" t="s">
        <v>4036</v>
      </c>
      <c r="K1067" s="13" t="s">
        <v>7838</v>
      </c>
      <c r="L1067" s="99" t="str">
        <f t="shared" si="68"/>
        <v>W323D.B</v>
      </c>
      <c r="M1067" s="13"/>
      <c r="N1067" s="13"/>
      <c r="O1067" s="13"/>
      <c r="P1067" s="47"/>
      <c r="Q1067" s="45"/>
      <c r="R1067" s="45"/>
      <c r="S1067" s="48"/>
      <c r="T1067" s="49" t="str">
        <f t="shared" si="67"/>
        <v>[W323D.B]</v>
      </c>
      <c r="U1067" s="12" t="str">
        <f t="shared" si="70"/>
        <v/>
      </c>
      <c r="V1067" s="49" t="str">
        <f t="shared" si="69"/>
        <v>[W323D.B]</v>
      </c>
    </row>
    <row r="1068" spans="1:22" s="49" customFormat="1" ht="14.15" customHeight="1">
      <c r="A1068" s="44"/>
      <c r="B1068" s="44" t="s">
        <v>6635</v>
      </c>
      <c r="C1068" s="50"/>
      <c r="D1068" s="10" t="s">
        <v>29</v>
      </c>
      <c r="E1068" s="11"/>
      <c r="F1068" s="11" t="s">
        <v>18</v>
      </c>
      <c r="G1068" s="13"/>
      <c r="H1068" s="45" t="s">
        <v>16</v>
      </c>
      <c r="I1068" s="47"/>
      <c r="J1068" s="12" t="s">
        <v>4037</v>
      </c>
      <c r="K1068" s="13" t="s">
        <v>7839</v>
      </c>
      <c r="L1068" s="99" t="str">
        <f t="shared" si="68"/>
        <v>W323D.C</v>
      </c>
      <c r="M1068" s="13"/>
      <c r="N1068" s="13"/>
      <c r="O1068" s="13"/>
      <c r="P1068" s="47"/>
      <c r="Q1068" s="45"/>
      <c r="R1068" s="45"/>
      <c r="S1068" s="48"/>
      <c r="T1068" s="49" t="str">
        <f>"["&amp;L1038&amp;"]"</f>
        <v>[W323B.E]</v>
      </c>
      <c r="U1068" s="12" t="str">
        <f>RIGHT(J1038,LEN(J1038)-7)</f>
        <v xml:space="preserve"> </v>
      </c>
      <c r="V1068" s="49" t="str">
        <f>T1038&amp;U1038</f>
        <v xml:space="preserve">[W323B.E] </v>
      </c>
    </row>
    <row r="1069" spans="1:22" s="49" customFormat="1" ht="14.15" customHeight="1">
      <c r="A1069" s="43"/>
      <c r="B1069" s="44" t="s">
        <v>6635</v>
      </c>
      <c r="C1069" s="50"/>
      <c r="D1069" s="10" t="s">
        <v>29</v>
      </c>
      <c r="E1069" s="11"/>
      <c r="F1069" s="11" t="s">
        <v>18</v>
      </c>
      <c r="G1069" s="13"/>
      <c r="H1069" s="45" t="s">
        <v>16</v>
      </c>
      <c r="I1069" s="47"/>
      <c r="J1069" s="12" t="s">
        <v>4038</v>
      </c>
      <c r="K1069" s="13" t="s">
        <v>7840</v>
      </c>
      <c r="L1069" s="99" t="str">
        <f t="shared" si="68"/>
        <v>W323D.D</v>
      </c>
      <c r="M1069" s="13"/>
      <c r="N1069" s="13"/>
      <c r="O1069" s="13"/>
      <c r="P1069" s="47"/>
      <c r="Q1069" s="45"/>
      <c r="R1069" s="45"/>
      <c r="S1069" s="48"/>
      <c r="T1069" s="49" t="str">
        <f t="shared" si="67"/>
        <v>[W323D.D]</v>
      </c>
      <c r="U1069" s="12" t="str">
        <f t="shared" si="70"/>
        <v/>
      </c>
      <c r="V1069" s="49" t="str">
        <f t="shared" si="69"/>
        <v>[W323D.D]</v>
      </c>
    </row>
    <row r="1070" spans="1:22" s="49" customFormat="1" ht="14.15" customHeight="1">
      <c r="A1070" s="43"/>
      <c r="B1070" s="44" t="s">
        <v>6635</v>
      </c>
      <c r="C1070" s="50"/>
      <c r="D1070" s="10" t="s">
        <v>29</v>
      </c>
      <c r="E1070" s="11"/>
      <c r="F1070" s="11" t="s">
        <v>18</v>
      </c>
      <c r="G1070" s="13"/>
      <c r="H1070" s="45" t="s">
        <v>16</v>
      </c>
      <c r="I1070" s="47"/>
      <c r="J1070" s="12" t="s">
        <v>4039</v>
      </c>
      <c r="K1070" s="13" t="s">
        <v>7841</v>
      </c>
      <c r="L1070" s="99" t="str">
        <f t="shared" si="68"/>
        <v>W323D.E</v>
      </c>
      <c r="M1070" s="13"/>
      <c r="N1070" s="13"/>
      <c r="O1070" s="13"/>
      <c r="P1070" s="47"/>
      <c r="Q1070" s="45"/>
      <c r="R1070" s="45"/>
      <c r="S1070" s="48"/>
      <c r="T1070" s="49" t="str">
        <f t="shared" si="67"/>
        <v>[W323D.E]</v>
      </c>
      <c r="U1070" s="12" t="str">
        <f t="shared" si="70"/>
        <v/>
      </c>
      <c r="V1070" s="49" t="str">
        <f t="shared" si="69"/>
        <v>[W323D.E]</v>
      </c>
    </row>
    <row r="1071" spans="1:22" s="49" customFormat="1" ht="14.15" customHeight="1">
      <c r="A1071" s="43"/>
      <c r="B1071" s="44" t="s">
        <v>6635</v>
      </c>
      <c r="C1071" s="50"/>
      <c r="D1071" s="10" t="s">
        <v>29</v>
      </c>
      <c r="E1071" s="11"/>
      <c r="F1071" s="11" t="s">
        <v>18</v>
      </c>
      <c r="G1071" s="13"/>
      <c r="H1071" s="45" t="s">
        <v>16</v>
      </c>
      <c r="I1071" s="47"/>
      <c r="J1071" s="12" t="s">
        <v>4040</v>
      </c>
      <c r="K1071" s="13" t="s">
        <v>7842</v>
      </c>
      <c r="L1071" s="99" t="str">
        <f t="shared" si="68"/>
        <v>W323D.F</v>
      </c>
      <c r="M1071" s="13"/>
      <c r="N1071" s="13"/>
      <c r="O1071" s="13"/>
      <c r="P1071" s="47"/>
      <c r="Q1071" s="45"/>
      <c r="R1071" s="45"/>
      <c r="S1071" s="48"/>
      <c r="T1071" s="49" t="str">
        <f t="shared" si="67"/>
        <v>[W323D.F]</v>
      </c>
      <c r="U1071" s="12" t="str">
        <f t="shared" si="70"/>
        <v/>
      </c>
      <c r="V1071" s="49" t="str">
        <f t="shared" si="69"/>
        <v>[W323D.F]</v>
      </c>
    </row>
    <row r="1072" spans="1:22" s="49" customFormat="1" ht="14.15" customHeight="1">
      <c r="A1072" s="44"/>
      <c r="B1072" s="44" t="s">
        <v>6635</v>
      </c>
      <c r="C1072" s="50"/>
      <c r="D1072" s="10" t="s">
        <v>29</v>
      </c>
      <c r="E1072" s="11"/>
      <c r="F1072" s="11" t="s">
        <v>18</v>
      </c>
      <c r="G1072" s="13"/>
      <c r="H1072" s="45" t="s">
        <v>16</v>
      </c>
      <c r="I1072" s="47"/>
      <c r="J1072" s="12" t="s">
        <v>4041</v>
      </c>
      <c r="K1072" s="13" t="s">
        <v>7843</v>
      </c>
      <c r="L1072" s="99" t="str">
        <f t="shared" si="68"/>
        <v>W323E.0</v>
      </c>
      <c r="M1072" s="13"/>
      <c r="N1072" s="13"/>
      <c r="O1072" s="13"/>
      <c r="P1072" s="47"/>
      <c r="Q1072" s="45"/>
      <c r="R1072" s="45"/>
      <c r="S1072" s="48"/>
      <c r="T1072" s="49" t="str">
        <f t="shared" si="67"/>
        <v>[W323E.0]</v>
      </c>
      <c r="U1072" s="12" t="str">
        <f t="shared" si="70"/>
        <v/>
      </c>
      <c r="V1072" s="49" t="str">
        <f t="shared" si="69"/>
        <v>[W323E.0]</v>
      </c>
    </row>
    <row r="1073" spans="1:22" s="49" customFormat="1" ht="14.15" customHeight="1">
      <c r="A1073" s="43"/>
      <c r="B1073" s="44" t="s">
        <v>6635</v>
      </c>
      <c r="C1073" s="50"/>
      <c r="D1073" s="10" t="s">
        <v>29</v>
      </c>
      <c r="E1073" s="11"/>
      <c r="F1073" s="11" t="s">
        <v>18</v>
      </c>
      <c r="G1073" s="13"/>
      <c r="H1073" s="45" t="s">
        <v>16</v>
      </c>
      <c r="I1073" s="47"/>
      <c r="J1073" s="12" t="s">
        <v>4042</v>
      </c>
      <c r="K1073" s="13" t="s">
        <v>7844</v>
      </c>
      <c r="L1073" s="99" t="str">
        <f t="shared" si="68"/>
        <v>W323E.1</v>
      </c>
      <c r="M1073" s="13"/>
      <c r="N1073" s="13"/>
      <c r="O1073" s="13"/>
      <c r="P1073" s="47"/>
      <c r="Q1073" s="45"/>
      <c r="R1073" s="45"/>
      <c r="S1073" s="48"/>
      <c r="T1073" s="49" t="str">
        <f t="shared" si="67"/>
        <v>[W323E.1]</v>
      </c>
      <c r="U1073" s="12" t="str">
        <f t="shared" si="70"/>
        <v/>
      </c>
      <c r="V1073" s="49" t="str">
        <f t="shared" si="69"/>
        <v>[W323E.1]</v>
      </c>
    </row>
    <row r="1074" spans="1:22" s="49" customFormat="1" ht="14.15" customHeight="1">
      <c r="A1074" s="44"/>
      <c r="B1074" s="44" t="s">
        <v>6635</v>
      </c>
      <c r="C1074" s="50"/>
      <c r="D1074" s="10" t="s">
        <v>29</v>
      </c>
      <c r="E1074" s="11"/>
      <c r="F1074" s="11" t="s">
        <v>18</v>
      </c>
      <c r="G1074" s="13"/>
      <c r="H1074" s="45" t="s">
        <v>16</v>
      </c>
      <c r="I1074" s="47"/>
      <c r="J1074" s="12" t="s">
        <v>4043</v>
      </c>
      <c r="K1074" s="13" t="s">
        <v>7845</v>
      </c>
      <c r="L1074" s="99" t="str">
        <f t="shared" si="68"/>
        <v>W323E.2</v>
      </c>
      <c r="M1074" s="13"/>
      <c r="N1074" s="13"/>
      <c r="O1074" s="13"/>
      <c r="P1074" s="47"/>
      <c r="Q1074" s="45"/>
      <c r="R1074" s="45"/>
      <c r="S1074" s="48"/>
      <c r="T1074" s="49" t="str">
        <f t="shared" si="67"/>
        <v>[W323E.2]</v>
      </c>
      <c r="U1074" s="12" t="str">
        <f t="shared" si="70"/>
        <v/>
      </c>
      <c r="V1074" s="49" t="str">
        <f t="shared" si="69"/>
        <v>[W323E.2]</v>
      </c>
    </row>
    <row r="1075" spans="1:22" s="49" customFormat="1" ht="14.15" customHeight="1">
      <c r="A1075" s="44"/>
      <c r="B1075" s="44" t="s">
        <v>6635</v>
      </c>
      <c r="C1075" s="50"/>
      <c r="D1075" s="10" t="s">
        <v>29</v>
      </c>
      <c r="E1075" s="11"/>
      <c r="F1075" s="11" t="s">
        <v>18</v>
      </c>
      <c r="G1075" s="13"/>
      <c r="H1075" s="45" t="s">
        <v>16</v>
      </c>
      <c r="I1075" s="47"/>
      <c r="J1075" s="12" t="s">
        <v>4044</v>
      </c>
      <c r="K1075" s="13" t="s">
        <v>7846</v>
      </c>
      <c r="L1075" s="99" t="str">
        <f t="shared" si="68"/>
        <v>W323E.3</v>
      </c>
      <c r="M1075" s="13"/>
      <c r="N1075" s="13"/>
      <c r="O1075" s="13"/>
      <c r="P1075" s="47"/>
      <c r="Q1075" s="45"/>
      <c r="R1075" s="45"/>
      <c r="S1075" s="48"/>
      <c r="T1075" s="49" t="str">
        <f t="shared" si="67"/>
        <v>[W323E.3]</v>
      </c>
      <c r="U1075" s="12" t="str">
        <f t="shared" si="70"/>
        <v/>
      </c>
      <c r="V1075" s="49" t="str">
        <f t="shared" si="69"/>
        <v>[W323E.3]</v>
      </c>
    </row>
    <row r="1076" spans="1:22" s="49" customFormat="1" ht="14.15" customHeight="1">
      <c r="A1076" s="44"/>
      <c r="B1076" s="44" t="s">
        <v>6635</v>
      </c>
      <c r="C1076" s="50"/>
      <c r="D1076" s="10" t="s">
        <v>29</v>
      </c>
      <c r="E1076" s="11"/>
      <c r="F1076" s="11" t="s">
        <v>18</v>
      </c>
      <c r="G1076" s="13"/>
      <c r="H1076" s="45" t="s">
        <v>16</v>
      </c>
      <c r="I1076" s="47"/>
      <c r="J1076" s="12" t="s">
        <v>4045</v>
      </c>
      <c r="K1076" s="13" t="s">
        <v>7847</v>
      </c>
      <c r="L1076" s="99" t="str">
        <f t="shared" si="68"/>
        <v>W323E.4</v>
      </c>
      <c r="M1076" s="13"/>
      <c r="N1076" s="13"/>
      <c r="O1076" s="13"/>
      <c r="P1076" s="47"/>
      <c r="Q1076" s="45"/>
      <c r="R1076" s="45"/>
      <c r="S1076" s="48"/>
      <c r="T1076" s="49" t="str">
        <f t="shared" si="67"/>
        <v>[W323E.4]</v>
      </c>
      <c r="U1076" s="12" t="str">
        <f t="shared" si="70"/>
        <v/>
      </c>
      <c r="V1076" s="49" t="str">
        <f t="shared" si="69"/>
        <v>[W323E.4]</v>
      </c>
    </row>
    <row r="1077" spans="1:22" s="49" customFormat="1" ht="14.15" customHeight="1">
      <c r="A1077" s="44"/>
      <c r="B1077" s="44" t="s">
        <v>6635</v>
      </c>
      <c r="C1077" s="50"/>
      <c r="D1077" s="10" t="s">
        <v>29</v>
      </c>
      <c r="E1077" s="11"/>
      <c r="F1077" s="11" t="s">
        <v>18</v>
      </c>
      <c r="G1077" s="13"/>
      <c r="H1077" s="45" t="s">
        <v>16</v>
      </c>
      <c r="I1077" s="47"/>
      <c r="J1077" s="12" t="s">
        <v>4046</v>
      </c>
      <c r="K1077" s="13" t="s">
        <v>7848</v>
      </c>
      <c r="L1077" s="99" t="str">
        <f t="shared" si="68"/>
        <v>W323E.5</v>
      </c>
      <c r="M1077" s="13"/>
      <c r="N1077" s="13"/>
      <c r="O1077" s="13"/>
      <c r="P1077" s="47"/>
      <c r="Q1077" s="45"/>
      <c r="R1077" s="45"/>
      <c r="S1077" s="48"/>
      <c r="T1077" s="49" t="str">
        <f t="shared" si="67"/>
        <v>[W323E.5]</v>
      </c>
      <c r="U1077" s="12" t="str">
        <f t="shared" si="70"/>
        <v/>
      </c>
      <c r="V1077" s="49" t="str">
        <f t="shared" si="69"/>
        <v>[W323E.5]</v>
      </c>
    </row>
    <row r="1078" spans="1:22" s="49" customFormat="1" ht="14.15" customHeight="1">
      <c r="A1078" s="43"/>
      <c r="B1078" s="44" t="s">
        <v>6635</v>
      </c>
      <c r="C1078" s="50"/>
      <c r="D1078" s="10" t="s">
        <v>29</v>
      </c>
      <c r="E1078" s="11"/>
      <c r="F1078" s="11" t="s">
        <v>18</v>
      </c>
      <c r="G1078" s="13"/>
      <c r="H1078" s="45" t="s">
        <v>16</v>
      </c>
      <c r="I1078" s="47"/>
      <c r="J1078" s="12" t="s">
        <v>4047</v>
      </c>
      <c r="K1078" s="13" t="s">
        <v>7849</v>
      </c>
      <c r="L1078" s="99" t="str">
        <f t="shared" si="68"/>
        <v>W323E.6</v>
      </c>
      <c r="M1078" s="13"/>
      <c r="N1078" s="13"/>
      <c r="O1078" s="13"/>
      <c r="P1078" s="47"/>
      <c r="Q1078" s="45"/>
      <c r="R1078" s="45"/>
      <c r="S1078" s="48"/>
      <c r="T1078" s="49" t="str">
        <f t="shared" si="67"/>
        <v>[W323E.6]</v>
      </c>
      <c r="U1078" s="12" t="str">
        <f t="shared" si="70"/>
        <v/>
      </c>
      <c r="V1078" s="49" t="str">
        <f t="shared" si="69"/>
        <v>[W323E.6]</v>
      </c>
    </row>
    <row r="1079" spans="1:22" s="49" customFormat="1" ht="14.15" customHeight="1">
      <c r="A1079" s="43" t="s">
        <v>6675</v>
      </c>
      <c r="B1079" s="44" t="s">
        <v>6635</v>
      </c>
      <c r="C1079" s="50"/>
      <c r="D1079" s="10" t="s">
        <v>29</v>
      </c>
      <c r="E1079" s="11"/>
      <c r="F1079" s="11" t="s">
        <v>18</v>
      </c>
      <c r="G1079" s="13"/>
      <c r="H1079" s="45" t="s">
        <v>16</v>
      </c>
      <c r="I1079" s="47"/>
      <c r="J1079" s="12" t="s">
        <v>6309</v>
      </c>
      <c r="K1079" s="13" t="s">
        <v>7850</v>
      </c>
      <c r="L1079" s="99" t="str">
        <f t="shared" si="68"/>
        <v>W323E.7</v>
      </c>
      <c r="M1079" s="13" t="s">
        <v>17</v>
      </c>
      <c r="N1079" s="13"/>
      <c r="O1079" s="13"/>
      <c r="P1079" s="47"/>
      <c r="Q1079" s="45" t="s">
        <v>142</v>
      </c>
      <c r="R1079" s="45" t="s">
        <v>5596</v>
      </c>
      <c r="S1079" s="48"/>
      <c r="T1079" s="49" t="str">
        <f t="shared" si="67"/>
        <v>[W323E.7]</v>
      </c>
      <c r="U1079" s="12" t="str">
        <f t="shared" si="70"/>
        <v xml:space="preserve"> 용접#2 터브측면 RH 클램프 전진 시간초과 (X490, Y4D2)</v>
      </c>
      <c r="V1079" s="49" t="str">
        <f t="shared" si="69"/>
        <v>[W323E.7] 용접#2 터브측면 RH 클램프 전진 시간초과 (X490, Y4D2)</v>
      </c>
    </row>
    <row r="1080" spans="1:22" s="49" customFormat="1" ht="14.15" customHeight="1">
      <c r="A1080" s="43" t="s">
        <v>6675</v>
      </c>
      <c r="B1080" s="44" t="s">
        <v>6635</v>
      </c>
      <c r="C1080" s="50"/>
      <c r="D1080" s="10" t="s">
        <v>29</v>
      </c>
      <c r="E1080" s="11"/>
      <c r="F1080" s="11" t="s">
        <v>18</v>
      </c>
      <c r="G1080" s="13"/>
      <c r="H1080" s="45" t="s">
        <v>16</v>
      </c>
      <c r="I1080" s="47"/>
      <c r="J1080" s="12" t="s">
        <v>6310</v>
      </c>
      <c r="K1080" s="13" t="s">
        <v>7851</v>
      </c>
      <c r="L1080" s="99" t="str">
        <f t="shared" si="68"/>
        <v>W323E.8</v>
      </c>
      <c r="M1080" s="13" t="s">
        <v>17</v>
      </c>
      <c r="N1080" s="13"/>
      <c r="O1080" s="13"/>
      <c r="P1080" s="47"/>
      <c r="Q1080" s="45" t="s">
        <v>142</v>
      </c>
      <c r="R1080" s="45" t="s">
        <v>5596</v>
      </c>
      <c r="S1080" s="48"/>
      <c r="T1080" s="49" t="str">
        <f t="shared" si="67"/>
        <v>[W323E.8]</v>
      </c>
      <c r="U1080" s="12" t="str">
        <f t="shared" si="70"/>
        <v xml:space="preserve"> 용접#2 터브측면 RH 클램프 후진 시간초과 (X491, Y4D3)</v>
      </c>
      <c r="V1080" s="49" t="str">
        <f t="shared" si="69"/>
        <v>[W323E.8] 용접#2 터브측면 RH 클램프 후진 시간초과 (X491, Y4D3)</v>
      </c>
    </row>
    <row r="1081" spans="1:22" s="49" customFormat="1" ht="14.15" customHeight="1">
      <c r="A1081" s="43" t="s">
        <v>6675</v>
      </c>
      <c r="B1081" s="44" t="s">
        <v>6635</v>
      </c>
      <c r="C1081" s="50"/>
      <c r="D1081" s="10" t="s">
        <v>29</v>
      </c>
      <c r="E1081" s="11"/>
      <c r="F1081" s="11" t="s">
        <v>18</v>
      </c>
      <c r="G1081" s="13"/>
      <c r="H1081" s="45" t="s">
        <v>16</v>
      </c>
      <c r="I1081" s="47"/>
      <c r="J1081" s="12" t="s">
        <v>6311</v>
      </c>
      <c r="K1081" s="13" t="s">
        <v>7852</v>
      </c>
      <c r="L1081" s="99" t="str">
        <f t="shared" si="68"/>
        <v>W323E.9</v>
      </c>
      <c r="M1081" s="13" t="s">
        <v>17</v>
      </c>
      <c r="N1081" s="13"/>
      <c r="O1081" s="13"/>
      <c r="P1081" s="47"/>
      <c r="Q1081" s="45" t="s">
        <v>142</v>
      </c>
      <c r="R1081" s="45" t="s">
        <v>5596</v>
      </c>
      <c r="S1081" s="48"/>
      <c r="T1081" s="49" t="str">
        <f t="shared" si="67"/>
        <v>[W323E.9]</v>
      </c>
      <c r="U1081" s="12" t="str">
        <f t="shared" si="70"/>
        <v xml:space="preserve"> 용접#2 터브측면 RH 클램프 전진/후진 센서이상 (X490, X491)</v>
      </c>
      <c r="V1081" s="49" t="str">
        <f t="shared" si="69"/>
        <v>[W323E.9] 용접#2 터브측면 RH 클램프 전진/후진 센서이상 (X490, X491)</v>
      </c>
    </row>
    <row r="1082" spans="1:22" s="49" customFormat="1" ht="14.15" customHeight="1">
      <c r="A1082" s="43" t="s">
        <v>6675</v>
      </c>
      <c r="B1082" s="44" t="s">
        <v>6635</v>
      </c>
      <c r="C1082" s="50"/>
      <c r="D1082" s="10" t="s">
        <v>29</v>
      </c>
      <c r="E1082" s="11"/>
      <c r="F1082" s="11" t="s">
        <v>18</v>
      </c>
      <c r="G1082" s="13"/>
      <c r="H1082" s="45" t="s">
        <v>16</v>
      </c>
      <c r="I1082" s="47"/>
      <c r="J1082" s="12" t="s">
        <v>6312</v>
      </c>
      <c r="K1082" s="13" t="s">
        <v>7853</v>
      </c>
      <c r="L1082" s="99" t="str">
        <f t="shared" si="68"/>
        <v>W323E.A</v>
      </c>
      <c r="M1082" s="13" t="s">
        <v>17</v>
      </c>
      <c r="N1082" s="13"/>
      <c r="O1082" s="13"/>
      <c r="P1082" s="47"/>
      <c r="Q1082" s="45" t="s">
        <v>142</v>
      </c>
      <c r="R1082" s="45" t="s">
        <v>5596</v>
      </c>
      <c r="S1082" s="48"/>
      <c r="T1082" s="49" t="str">
        <f t="shared" si="67"/>
        <v>[W323E.A]</v>
      </c>
      <c r="U1082" s="12" t="str">
        <f t="shared" si="70"/>
        <v xml:space="preserve"> 용접#2 터브측면 LH 클램프 전진 시간초과 (X492, Y4D6)</v>
      </c>
      <c r="V1082" s="49" t="str">
        <f t="shared" si="69"/>
        <v>[W323E.A] 용접#2 터브측면 LH 클램프 전진 시간초과 (X492, Y4D6)</v>
      </c>
    </row>
    <row r="1083" spans="1:22" s="49" customFormat="1" ht="14.15" customHeight="1">
      <c r="A1083" s="43" t="s">
        <v>6675</v>
      </c>
      <c r="B1083" s="44" t="s">
        <v>6635</v>
      </c>
      <c r="C1083" s="50"/>
      <c r="D1083" s="10" t="s">
        <v>29</v>
      </c>
      <c r="E1083" s="11"/>
      <c r="F1083" s="11" t="s">
        <v>18</v>
      </c>
      <c r="G1083" s="13"/>
      <c r="H1083" s="45" t="s">
        <v>16</v>
      </c>
      <c r="I1083" s="47"/>
      <c r="J1083" s="12" t="s">
        <v>6313</v>
      </c>
      <c r="K1083" s="13" t="s">
        <v>7854</v>
      </c>
      <c r="L1083" s="99" t="str">
        <f t="shared" si="68"/>
        <v>W323E.B</v>
      </c>
      <c r="M1083" s="13" t="s">
        <v>17</v>
      </c>
      <c r="N1083" s="13"/>
      <c r="O1083" s="13"/>
      <c r="P1083" s="47"/>
      <c r="Q1083" s="45" t="s">
        <v>142</v>
      </c>
      <c r="R1083" s="45" t="s">
        <v>5596</v>
      </c>
      <c r="S1083" s="48"/>
      <c r="T1083" s="49" t="str">
        <f t="shared" si="67"/>
        <v>[W323E.B]</v>
      </c>
      <c r="U1083" s="12" t="str">
        <f t="shared" si="70"/>
        <v xml:space="preserve"> 용접#2 터브측면 LH 클램프 후진 시간초과 (X493, Y4D7)</v>
      </c>
      <c r="V1083" s="49" t="str">
        <f t="shared" si="69"/>
        <v>[W323E.B] 용접#2 터브측면 LH 클램프 후진 시간초과 (X493, Y4D7)</v>
      </c>
    </row>
    <row r="1084" spans="1:22" s="49" customFormat="1" ht="14.15" customHeight="1">
      <c r="A1084" s="43" t="s">
        <v>6675</v>
      </c>
      <c r="B1084" s="44" t="s">
        <v>6635</v>
      </c>
      <c r="C1084" s="50"/>
      <c r="D1084" s="10" t="s">
        <v>29</v>
      </c>
      <c r="E1084" s="11"/>
      <c r="F1084" s="11" t="s">
        <v>18</v>
      </c>
      <c r="G1084" s="13"/>
      <c r="H1084" s="45" t="s">
        <v>16</v>
      </c>
      <c r="I1084" s="47"/>
      <c r="J1084" s="12" t="s">
        <v>6314</v>
      </c>
      <c r="K1084" s="13" t="s">
        <v>7855</v>
      </c>
      <c r="L1084" s="99" t="str">
        <f t="shared" si="68"/>
        <v>W323E.C</v>
      </c>
      <c r="M1084" s="13" t="s">
        <v>17</v>
      </c>
      <c r="N1084" s="13"/>
      <c r="O1084" s="13"/>
      <c r="P1084" s="47"/>
      <c r="Q1084" s="45" t="s">
        <v>142</v>
      </c>
      <c r="R1084" s="45" t="s">
        <v>5596</v>
      </c>
      <c r="S1084" s="48"/>
      <c r="T1084" s="49" t="str">
        <f t="shared" si="67"/>
        <v>[W323E.C]</v>
      </c>
      <c r="U1084" s="12" t="str">
        <f t="shared" si="70"/>
        <v xml:space="preserve"> 용접#2 터브측면 LH 클램프 전진/후진 센서이상 (X492, X493)</v>
      </c>
      <c r="V1084" s="49" t="str">
        <f t="shared" si="69"/>
        <v>[W323E.C] 용접#2 터브측면 LH 클램프 전진/후진 센서이상 (X492, X493)</v>
      </c>
    </row>
    <row r="1085" spans="1:22" s="49" customFormat="1" ht="14.15" customHeight="1">
      <c r="A1085" s="43" t="s">
        <v>6675</v>
      </c>
      <c r="B1085" s="44" t="s">
        <v>6635</v>
      </c>
      <c r="C1085" s="50"/>
      <c r="D1085" s="10" t="s">
        <v>29</v>
      </c>
      <c r="E1085" s="11"/>
      <c r="F1085" s="11" t="s">
        <v>18</v>
      </c>
      <c r="G1085" s="13"/>
      <c r="H1085" s="45" t="s">
        <v>16</v>
      </c>
      <c r="I1085" s="47"/>
      <c r="J1085" s="12" t="s">
        <v>6315</v>
      </c>
      <c r="K1085" s="13" t="s">
        <v>7856</v>
      </c>
      <c r="L1085" s="99" t="str">
        <f t="shared" si="68"/>
        <v>W323E.D</v>
      </c>
      <c r="M1085" s="13" t="s">
        <v>17</v>
      </c>
      <c r="N1085" s="13"/>
      <c r="O1085" s="13"/>
      <c r="P1085" s="47"/>
      <c r="Q1085" s="45" t="s">
        <v>142</v>
      </c>
      <c r="R1085" s="45" t="s">
        <v>5596</v>
      </c>
      <c r="S1085" s="48"/>
      <c r="T1085" s="49" t="str">
        <f t="shared" si="67"/>
        <v>[W323E.D]</v>
      </c>
      <c r="U1085" s="12" t="str">
        <f t="shared" si="70"/>
        <v xml:space="preserve"> 용접#2 터브 FW 클램프 전진 시간초과 (X494, Y4DA)</v>
      </c>
      <c r="V1085" s="49" t="str">
        <f t="shared" si="69"/>
        <v>[W323E.D] 용접#2 터브 FW 클램프 전진 시간초과 (X494, Y4DA)</v>
      </c>
    </row>
    <row r="1086" spans="1:22" s="49" customFormat="1" ht="14.15" customHeight="1">
      <c r="A1086" s="43" t="s">
        <v>6675</v>
      </c>
      <c r="B1086" s="44" t="s">
        <v>6635</v>
      </c>
      <c r="C1086" s="50"/>
      <c r="D1086" s="10" t="s">
        <v>29</v>
      </c>
      <c r="E1086" s="11"/>
      <c r="F1086" s="11" t="s">
        <v>18</v>
      </c>
      <c r="G1086" s="13"/>
      <c r="H1086" s="45" t="s">
        <v>16</v>
      </c>
      <c r="I1086" s="47"/>
      <c r="J1086" s="12" t="s">
        <v>6316</v>
      </c>
      <c r="K1086" s="13" t="s">
        <v>7857</v>
      </c>
      <c r="L1086" s="99" t="str">
        <f t="shared" si="68"/>
        <v>W323E.E</v>
      </c>
      <c r="M1086" s="13" t="s">
        <v>17</v>
      </c>
      <c r="N1086" s="13"/>
      <c r="O1086" s="13"/>
      <c r="P1086" s="47"/>
      <c r="Q1086" s="45" t="s">
        <v>142</v>
      </c>
      <c r="R1086" s="45" t="s">
        <v>5596</v>
      </c>
      <c r="S1086" s="48"/>
      <c r="T1086" s="49" t="str">
        <f t="shared" si="67"/>
        <v>[W323E.E]</v>
      </c>
      <c r="U1086" s="12" t="str">
        <f t="shared" si="70"/>
        <v xml:space="preserve"> 용접#2 터브 FW 클램프 후진 시간초과 (X495, Y4DB)</v>
      </c>
      <c r="V1086" s="49" t="str">
        <f t="shared" si="69"/>
        <v>[W323E.E] 용접#2 터브 FW 클램프 후진 시간초과 (X495, Y4DB)</v>
      </c>
    </row>
    <row r="1087" spans="1:22" s="49" customFormat="1" ht="14.15" customHeight="1">
      <c r="A1087" s="43" t="s">
        <v>6675</v>
      </c>
      <c r="B1087" s="44" t="s">
        <v>6635</v>
      </c>
      <c r="C1087" s="50"/>
      <c r="D1087" s="10" t="s">
        <v>29</v>
      </c>
      <c r="E1087" s="11"/>
      <c r="F1087" s="11" t="s">
        <v>18</v>
      </c>
      <c r="G1087" s="13"/>
      <c r="H1087" s="45" t="s">
        <v>16</v>
      </c>
      <c r="I1087" s="47"/>
      <c r="J1087" s="12" t="s">
        <v>6317</v>
      </c>
      <c r="K1087" s="13" t="s">
        <v>7858</v>
      </c>
      <c r="L1087" s="99" t="str">
        <f t="shared" si="68"/>
        <v>W323E.F</v>
      </c>
      <c r="M1087" s="13" t="s">
        <v>17</v>
      </c>
      <c r="N1087" s="13"/>
      <c r="O1087" s="13"/>
      <c r="P1087" s="47"/>
      <c r="Q1087" s="45" t="s">
        <v>142</v>
      </c>
      <c r="R1087" s="45" t="s">
        <v>5596</v>
      </c>
      <c r="S1087" s="48"/>
      <c r="T1087" s="49" t="str">
        <f t="shared" si="67"/>
        <v>[W323E.F]</v>
      </c>
      <c r="U1087" s="12" t="str">
        <f t="shared" si="70"/>
        <v xml:space="preserve"> 용접#2 터브 FW 클램프 전진/후진 센서이상 (X494, X495)</v>
      </c>
      <c r="V1087" s="49" t="str">
        <f t="shared" si="69"/>
        <v>[W323E.F] 용접#2 터브 FW 클램프 전진/후진 센서이상 (X494, X495)</v>
      </c>
    </row>
    <row r="1088" spans="1:22" s="49" customFormat="1" ht="14.15" customHeight="1">
      <c r="A1088" s="43" t="s">
        <v>6675</v>
      </c>
      <c r="B1088" s="44" t="s">
        <v>6635</v>
      </c>
      <c r="C1088" s="50"/>
      <c r="D1088" s="10" t="s">
        <v>29</v>
      </c>
      <c r="E1088" s="11"/>
      <c r="F1088" s="11" t="s">
        <v>18</v>
      </c>
      <c r="G1088" s="13"/>
      <c r="H1088" s="45" t="s">
        <v>16</v>
      </c>
      <c r="I1088" s="47"/>
      <c r="J1088" s="12" t="s">
        <v>6318</v>
      </c>
      <c r="K1088" s="13" t="s">
        <v>7859</v>
      </c>
      <c r="L1088" s="99" t="str">
        <f t="shared" si="68"/>
        <v>W323F.0</v>
      </c>
      <c r="M1088" s="13" t="s">
        <v>17</v>
      </c>
      <c r="N1088" s="13"/>
      <c r="O1088" s="13"/>
      <c r="P1088" s="47"/>
      <c r="Q1088" s="45" t="s">
        <v>142</v>
      </c>
      <c r="R1088" s="45" t="s">
        <v>5596</v>
      </c>
      <c r="S1088" s="48"/>
      <c r="T1088" s="49" t="str">
        <f t="shared" si="67"/>
        <v>[W323F.0]</v>
      </c>
      <c r="U1088" s="12" t="str">
        <f t="shared" si="70"/>
        <v xml:space="preserve"> 용접#2 GUN RH RAIL Y축 전진 시간초과 (X4C2, X4C6, Y4D8)</v>
      </c>
      <c r="V1088" s="49" t="str">
        <f t="shared" si="69"/>
        <v>[W323F.0] 용접#2 GUN RH RAIL Y축 전진 시간초과 (X4C2, X4C6, Y4D8)</v>
      </c>
    </row>
    <row r="1089" spans="1:22" s="49" customFormat="1" ht="14.15" customHeight="1">
      <c r="A1089" s="43" t="s">
        <v>6675</v>
      </c>
      <c r="B1089" s="44" t="s">
        <v>6635</v>
      </c>
      <c r="C1089" s="50"/>
      <c r="D1089" s="10" t="s">
        <v>29</v>
      </c>
      <c r="E1089" s="11"/>
      <c r="F1089" s="11" t="s">
        <v>18</v>
      </c>
      <c r="G1089" s="13"/>
      <c r="H1089" s="45" t="s">
        <v>16</v>
      </c>
      <c r="I1089" s="47"/>
      <c r="J1089" s="12" t="s">
        <v>6319</v>
      </c>
      <c r="K1089" s="13" t="s">
        <v>7860</v>
      </c>
      <c r="L1089" s="99" t="str">
        <f t="shared" si="68"/>
        <v>W323F.1</v>
      </c>
      <c r="M1089" s="13" t="s">
        <v>17</v>
      </c>
      <c r="N1089" s="13"/>
      <c r="O1089" s="13"/>
      <c r="P1089" s="47"/>
      <c r="Q1089" s="45" t="s">
        <v>142</v>
      </c>
      <c r="R1089" s="45" t="s">
        <v>5596</v>
      </c>
      <c r="S1089" s="48"/>
      <c r="T1089" s="49" t="str">
        <f t="shared" si="67"/>
        <v>[W323F.1]</v>
      </c>
      <c r="U1089" s="12" t="str">
        <f t="shared" si="70"/>
        <v xml:space="preserve"> 용접#2 GUN RH RAIL Y축 후진 시간초과 (X4C3, X4C7, Y4D9)</v>
      </c>
      <c r="V1089" s="49" t="str">
        <f t="shared" si="69"/>
        <v>[W323F.1] 용접#2 GUN RH RAIL Y축 후진 시간초과 (X4C3, X4C7, Y4D9)</v>
      </c>
    </row>
    <row r="1090" spans="1:22" s="49" customFormat="1" ht="14.15" customHeight="1">
      <c r="A1090" s="43" t="s">
        <v>6675</v>
      </c>
      <c r="B1090" s="44" t="s">
        <v>6635</v>
      </c>
      <c r="C1090" s="50"/>
      <c r="D1090" s="10" t="s">
        <v>29</v>
      </c>
      <c r="E1090" s="11"/>
      <c r="F1090" s="11" t="s">
        <v>18</v>
      </c>
      <c r="G1090" s="13"/>
      <c r="H1090" s="45" t="s">
        <v>16</v>
      </c>
      <c r="I1090" s="47"/>
      <c r="J1090" s="12" t="s">
        <v>6320</v>
      </c>
      <c r="K1090" s="13" t="s">
        <v>7861</v>
      </c>
      <c r="L1090" s="99" t="str">
        <f t="shared" si="68"/>
        <v>W323F.2</v>
      </c>
      <c r="M1090" s="13" t="s">
        <v>17</v>
      </c>
      <c r="N1090" s="13"/>
      <c r="O1090" s="13"/>
      <c r="P1090" s="47"/>
      <c r="Q1090" s="45" t="s">
        <v>142</v>
      </c>
      <c r="R1090" s="45" t="s">
        <v>5596</v>
      </c>
      <c r="S1090" s="48"/>
      <c r="T1090" s="49" t="str">
        <f t="shared" si="67"/>
        <v>[W323F.2]</v>
      </c>
      <c r="U1090" s="12" t="str">
        <f t="shared" si="70"/>
        <v xml:space="preserve"> 용접#2 GUN RH RAIL Y축 전진/후진 센서이상 (X4C2, X4C3, X4C6, X4C7)</v>
      </c>
      <c r="V1090" s="49" t="str">
        <f t="shared" si="69"/>
        <v>[W323F.2] 용접#2 GUN RH RAIL Y축 전진/후진 센서이상 (X4C2, X4C3, X4C6, X4C7)</v>
      </c>
    </row>
    <row r="1091" spans="1:22" s="49" customFormat="1" ht="14.15" customHeight="1">
      <c r="A1091" s="43" t="s">
        <v>6675</v>
      </c>
      <c r="B1091" s="44" t="s">
        <v>6635</v>
      </c>
      <c r="C1091" s="50"/>
      <c r="D1091" s="10" t="s">
        <v>29</v>
      </c>
      <c r="E1091" s="11"/>
      <c r="F1091" s="11" t="s">
        <v>18</v>
      </c>
      <c r="G1091" s="13"/>
      <c r="H1091" s="45" t="s">
        <v>16</v>
      </c>
      <c r="I1091" s="47"/>
      <c r="J1091" s="12" t="s">
        <v>6321</v>
      </c>
      <c r="K1091" s="13" t="s">
        <v>7862</v>
      </c>
      <c r="L1091" s="99" t="str">
        <f t="shared" si="68"/>
        <v>W323F.3</v>
      </c>
      <c r="M1091" s="13" t="s">
        <v>17</v>
      </c>
      <c r="N1091" s="13"/>
      <c r="O1091" s="13"/>
      <c r="P1091" s="47"/>
      <c r="Q1091" s="45" t="s">
        <v>142</v>
      </c>
      <c r="R1091" s="45" t="s">
        <v>5596</v>
      </c>
      <c r="S1091" s="48"/>
      <c r="T1091" s="49" t="str">
        <f t="shared" si="67"/>
        <v>[W323F.3]</v>
      </c>
      <c r="U1091" s="12" t="str">
        <f t="shared" si="70"/>
        <v xml:space="preserve"> 용접#2 GUN RH 상부 X축 전진 시간초과 (X48C, X48E, Y4EC)</v>
      </c>
      <c r="V1091" s="49" t="str">
        <f t="shared" si="69"/>
        <v>[W323F.3] 용접#2 GUN RH 상부 X축 전진 시간초과 (X48C, X48E, Y4EC)</v>
      </c>
    </row>
    <row r="1092" spans="1:22" s="49" customFormat="1" ht="14.15" customHeight="1">
      <c r="A1092" s="43" t="s">
        <v>6675</v>
      </c>
      <c r="B1092" s="44" t="s">
        <v>6635</v>
      </c>
      <c r="C1092" s="50"/>
      <c r="D1092" s="10" t="s">
        <v>29</v>
      </c>
      <c r="E1092" s="11"/>
      <c r="F1092" s="11" t="s">
        <v>18</v>
      </c>
      <c r="G1092" s="13"/>
      <c r="H1092" s="45" t="s">
        <v>16</v>
      </c>
      <c r="I1092" s="47"/>
      <c r="J1092" s="12" t="s">
        <v>6322</v>
      </c>
      <c r="K1092" s="13" t="s">
        <v>7863</v>
      </c>
      <c r="L1092" s="99" t="str">
        <f t="shared" si="68"/>
        <v>W323F.4</v>
      </c>
      <c r="M1092" s="13" t="s">
        <v>17</v>
      </c>
      <c r="N1092" s="13"/>
      <c r="O1092" s="13"/>
      <c r="P1092" s="47"/>
      <c r="Q1092" s="45" t="s">
        <v>142</v>
      </c>
      <c r="R1092" s="45" t="s">
        <v>5596</v>
      </c>
      <c r="S1092" s="48"/>
      <c r="T1092" s="49" t="str">
        <f t="shared" si="67"/>
        <v>[W323F.4]</v>
      </c>
      <c r="U1092" s="12" t="str">
        <f t="shared" si="70"/>
        <v xml:space="preserve"> 용접#2 GUN RH 상부 X축 후진 시간초과 (X48D, X48F, Y4ED)</v>
      </c>
      <c r="V1092" s="49" t="str">
        <f t="shared" si="69"/>
        <v>[W323F.4] 용접#2 GUN RH 상부 X축 후진 시간초과 (X48D, X48F, Y4ED)</v>
      </c>
    </row>
    <row r="1093" spans="1:22" s="49" customFormat="1" ht="14.15" customHeight="1">
      <c r="A1093" s="43" t="s">
        <v>6675</v>
      </c>
      <c r="B1093" s="44" t="s">
        <v>6635</v>
      </c>
      <c r="C1093" s="50"/>
      <c r="D1093" s="10" t="s">
        <v>29</v>
      </c>
      <c r="E1093" s="11"/>
      <c r="F1093" s="11" t="s">
        <v>18</v>
      </c>
      <c r="G1093" s="13"/>
      <c r="H1093" s="45" t="s">
        <v>16</v>
      </c>
      <c r="I1093" s="47"/>
      <c r="J1093" s="12" t="s">
        <v>6323</v>
      </c>
      <c r="K1093" s="13" t="s">
        <v>7864</v>
      </c>
      <c r="L1093" s="99" t="str">
        <f t="shared" si="68"/>
        <v>W323F.5</v>
      </c>
      <c r="M1093" s="13" t="s">
        <v>17</v>
      </c>
      <c r="N1093" s="13"/>
      <c r="O1093" s="13"/>
      <c r="P1093" s="47"/>
      <c r="Q1093" s="45" t="s">
        <v>142</v>
      </c>
      <c r="R1093" s="45" t="s">
        <v>5596</v>
      </c>
      <c r="S1093" s="48"/>
      <c r="T1093" s="49" t="str">
        <f t="shared" si="67"/>
        <v>[W323F.5]</v>
      </c>
      <c r="U1093" s="12" t="str">
        <f t="shared" si="70"/>
        <v xml:space="preserve"> 용접#2 GUN RH 상부 X축 전진/후진 센서이상  (X48C, X48D, X48E, X48F)</v>
      </c>
      <c r="V1093" s="49" t="str">
        <f t="shared" si="69"/>
        <v>[W323F.5] 용접#2 GUN RH 상부 X축 전진/후진 센서이상  (X48C, X48D, X48E, X48F)</v>
      </c>
    </row>
    <row r="1094" spans="1:22" s="49" customFormat="1" ht="14.15" customHeight="1">
      <c r="A1094" s="44"/>
      <c r="B1094" s="44" t="s">
        <v>6635</v>
      </c>
      <c r="C1094" s="50"/>
      <c r="D1094" s="10" t="s">
        <v>29</v>
      </c>
      <c r="E1094" s="11"/>
      <c r="F1094" s="11" t="s">
        <v>18</v>
      </c>
      <c r="G1094" s="13"/>
      <c r="H1094" s="45" t="s">
        <v>16</v>
      </c>
      <c r="I1094" s="47"/>
      <c r="J1094" s="12" t="s">
        <v>2508</v>
      </c>
      <c r="K1094" s="13" t="s">
        <v>7865</v>
      </c>
      <c r="L1094" s="99" t="str">
        <f t="shared" si="68"/>
        <v>W323F.6</v>
      </c>
      <c r="M1094" s="13"/>
      <c r="N1094" s="13"/>
      <c r="O1094" s="13"/>
      <c r="P1094" s="47"/>
      <c r="Q1094" s="45"/>
      <c r="R1094" s="45"/>
      <c r="S1094" s="48"/>
      <c r="T1094" s="49" t="str">
        <f t="shared" si="67"/>
        <v>[W323F.6]</v>
      </c>
      <c r="U1094" s="12" t="str">
        <f t="shared" si="70"/>
        <v xml:space="preserve"> </v>
      </c>
      <c r="V1094" s="49" t="str">
        <f t="shared" si="69"/>
        <v xml:space="preserve">[W323F.6] </v>
      </c>
    </row>
    <row r="1095" spans="1:22" s="49" customFormat="1" ht="14.15" customHeight="1">
      <c r="A1095" s="44"/>
      <c r="B1095" s="44" t="s">
        <v>6635</v>
      </c>
      <c r="C1095" s="50"/>
      <c r="D1095" s="10" t="s">
        <v>29</v>
      </c>
      <c r="E1095" s="11"/>
      <c r="F1095" s="11" t="s">
        <v>18</v>
      </c>
      <c r="G1095" s="13"/>
      <c r="H1095" s="45" t="s">
        <v>16</v>
      </c>
      <c r="I1095" s="47"/>
      <c r="J1095" s="12" t="s">
        <v>2509</v>
      </c>
      <c r="K1095" s="13" t="s">
        <v>7866</v>
      </c>
      <c r="L1095" s="99" t="str">
        <f t="shared" si="68"/>
        <v>W323F.7</v>
      </c>
      <c r="M1095" s="13"/>
      <c r="N1095" s="13"/>
      <c r="O1095" s="13"/>
      <c r="P1095" s="47"/>
      <c r="Q1095" s="45"/>
      <c r="R1095" s="45"/>
      <c r="S1095" s="48"/>
      <c r="T1095" s="49" t="str">
        <f t="shared" si="67"/>
        <v>[W323F.7]</v>
      </c>
      <c r="U1095" s="12" t="str">
        <f t="shared" si="70"/>
        <v xml:space="preserve"> </v>
      </c>
      <c r="V1095" s="49" t="str">
        <f t="shared" si="69"/>
        <v xml:space="preserve">[W323F.7] </v>
      </c>
    </row>
    <row r="1096" spans="1:22" s="49" customFormat="1" ht="14.15" customHeight="1">
      <c r="A1096" s="44"/>
      <c r="B1096" s="44" t="s">
        <v>6635</v>
      </c>
      <c r="C1096" s="50"/>
      <c r="D1096" s="10" t="s">
        <v>29</v>
      </c>
      <c r="E1096" s="11"/>
      <c r="F1096" s="11" t="s">
        <v>18</v>
      </c>
      <c r="G1096" s="13"/>
      <c r="H1096" s="45" t="s">
        <v>16</v>
      </c>
      <c r="I1096" s="47"/>
      <c r="J1096" s="12" t="s">
        <v>2510</v>
      </c>
      <c r="K1096" s="13" t="s">
        <v>7867</v>
      </c>
      <c r="L1096" s="99" t="str">
        <f t="shared" si="68"/>
        <v>W323F.8</v>
      </c>
      <c r="M1096" s="13"/>
      <c r="N1096" s="13"/>
      <c r="O1096" s="13"/>
      <c r="P1096" s="47"/>
      <c r="Q1096" s="45"/>
      <c r="R1096" s="45"/>
      <c r="S1096" s="48"/>
      <c r="T1096" s="49" t="str">
        <f t="shared" si="67"/>
        <v>[W323F.8]</v>
      </c>
      <c r="U1096" s="12" t="str">
        <f t="shared" si="70"/>
        <v xml:space="preserve"> </v>
      </c>
      <c r="V1096" s="49" t="str">
        <f t="shared" si="69"/>
        <v xml:space="preserve">[W323F.8] </v>
      </c>
    </row>
    <row r="1097" spans="1:22" s="49" customFormat="1" ht="14.15" customHeight="1">
      <c r="A1097" s="44"/>
      <c r="B1097" s="44" t="s">
        <v>6635</v>
      </c>
      <c r="C1097" s="50"/>
      <c r="D1097" s="10" t="s">
        <v>29</v>
      </c>
      <c r="E1097" s="11"/>
      <c r="F1097" s="11" t="s">
        <v>18</v>
      </c>
      <c r="G1097" s="13"/>
      <c r="H1097" s="45" t="s">
        <v>16</v>
      </c>
      <c r="I1097" s="47"/>
      <c r="J1097" s="12" t="s">
        <v>2511</v>
      </c>
      <c r="K1097" s="13" t="s">
        <v>7868</v>
      </c>
      <c r="L1097" s="99" t="str">
        <f t="shared" si="68"/>
        <v>W323F.9</v>
      </c>
      <c r="M1097" s="13"/>
      <c r="N1097" s="13"/>
      <c r="O1097" s="13"/>
      <c r="P1097" s="47"/>
      <c r="Q1097" s="45"/>
      <c r="R1097" s="45"/>
      <c r="S1097" s="48"/>
      <c r="T1097" s="49" t="str">
        <f t="shared" si="67"/>
        <v>[W323F.9]</v>
      </c>
      <c r="U1097" s="12" t="str">
        <f t="shared" si="70"/>
        <v xml:space="preserve"> </v>
      </c>
      <c r="V1097" s="49" t="str">
        <f t="shared" si="69"/>
        <v xml:space="preserve">[W323F.9] </v>
      </c>
    </row>
    <row r="1098" spans="1:22" s="49" customFormat="1" ht="14.15" customHeight="1">
      <c r="A1098" s="43"/>
      <c r="B1098" s="44" t="s">
        <v>6635</v>
      </c>
      <c r="C1098" s="50"/>
      <c r="D1098" s="10" t="s">
        <v>29</v>
      </c>
      <c r="E1098" s="11"/>
      <c r="F1098" s="11" t="s">
        <v>18</v>
      </c>
      <c r="G1098" s="13"/>
      <c r="H1098" s="45" t="s">
        <v>16</v>
      </c>
      <c r="I1098" s="47"/>
      <c r="J1098" s="12" t="s">
        <v>6324</v>
      </c>
      <c r="K1098" s="13" t="s">
        <v>7869</v>
      </c>
      <c r="L1098" s="99" t="str">
        <f t="shared" si="68"/>
        <v>W323F.A</v>
      </c>
      <c r="M1098" s="13"/>
      <c r="N1098" s="13"/>
      <c r="O1098" s="13"/>
      <c r="P1098" s="47"/>
      <c r="Q1098" s="45"/>
      <c r="R1098" s="45"/>
      <c r="S1098" s="48"/>
      <c r="T1098" s="49" t="str">
        <f t="shared" si="67"/>
        <v>[W323F.A]</v>
      </c>
      <c r="U1098" s="12" t="str">
        <f t="shared" si="70"/>
        <v xml:space="preserve"> </v>
      </c>
      <c r="V1098" s="49" t="str">
        <f t="shared" si="69"/>
        <v xml:space="preserve">[W323F.A] </v>
      </c>
    </row>
    <row r="1099" spans="1:22" s="49" customFormat="1" ht="14.15" customHeight="1">
      <c r="A1099" s="43"/>
      <c r="B1099" s="44" t="s">
        <v>6635</v>
      </c>
      <c r="C1099" s="50"/>
      <c r="D1099" s="10" t="s">
        <v>29</v>
      </c>
      <c r="E1099" s="11"/>
      <c r="F1099" s="11" t="s">
        <v>18</v>
      </c>
      <c r="G1099" s="13"/>
      <c r="H1099" s="45" t="s">
        <v>16</v>
      </c>
      <c r="I1099" s="47"/>
      <c r="J1099" s="12" t="s">
        <v>908</v>
      </c>
      <c r="K1099" s="13" t="s">
        <v>7870</v>
      </c>
      <c r="L1099" s="99" t="str">
        <f t="shared" si="68"/>
        <v>W323F.B</v>
      </c>
      <c r="M1099" s="13"/>
      <c r="N1099" s="13"/>
      <c r="O1099" s="13"/>
      <c r="P1099" s="47"/>
      <c r="Q1099" s="45"/>
      <c r="R1099" s="45"/>
      <c r="S1099" s="48"/>
      <c r="T1099" s="49" t="str">
        <f t="shared" si="67"/>
        <v>[W323F.B]</v>
      </c>
      <c r="U1099" s="12" t="str">
        <f t="shared" si="70"/>
        <v xml:space="preserve"> </v>
      </c>
      <c r="V1099" s="49" t="str">
        <f t="shared" si="69"/>
        <v xml:space="preserve">[W323F.B] </v>
      </c>
    </row>
    <row r="1100" spans="1:22" s="49" customFormat="1" ht="14.15" customHeight="1">
      <c r="A1100" s="43"/>
      <c r="B1100" s="44" t="s">
        <v>6635</v>
      </c>
      <c r="C1100" s="50"/>
      <c r="D1100" s="10" t="s">
        <v>29</v>
      </c>
      <c r="E1100" s="11"/>
      <c r="F1100" s="11" t="s">
        <v>18</v>
      </c>
      <c r="G1100" s="13"/>
      <c r="H1100" s="45" t="s">
        <v>16</v>
      </c>
      <c r="I1100" s="47"/>
      <c r="J1100" s="12" t="s">
        <v>909</v>
      </c>
      <c r="K1100" s="13" t="s">
        <v>7871</v>
      </c>
      <c r="L1100" s="99" t="str">
        <f t="shared" si="68"/>
        <v>W323F.C</v>
      </c>
      <c r="M1100" s="13"/>
      <c r="N1100" s="13"/>
      <c r="O1100" s="13"/>
      <c r="P1100" s="47"/>
      <c r="Q1100" s="45"/>
      <c r="R1100" s="45"/>
      <c r="S1100" s="48"/>
      <c r="T1100" s="49" t="str">
        <f t="shared" si="67"/>
        <v>[W323F.C]</v>
      </c>
      <c r="U1100" s="12" t="str">
        <f t="shared" si="70"/>
        <v xml:space="preserve"> </v>
      </c>
      <c r="V1100" s="49" t="str">
        <f t="shared" si="69"/>
        <v xml:space="preserve">[W323F.C] </v>
      </c>
    </row>
    <row r="1101" spans="1:22" s="49" customFormat="1" ht="14.15" customHeight="1">
      <c r="A1101" s="43"/>
      <c r="B1101" s="44" t="s">
        <v>6635</v>
      </c>
      <c r="C1101" s="50"/>
      <c r="D1101" s="10" t="s">
        <v>29</v>
      </c>
      <c r="E1101" s="11"/>
      <c r="F1101" s="11" t="s">
        <v>18</v>
      </c>
      <c r="G1101" s="13"/>
      <c r="H1101" s="45" t="s">
        <v>16</v>
      </c>
      <c r="I1101" s="47"/>
      <c r="J1101" s="12" t="s">
        <v>910</v>
      </c>
      <c r="K1101" s="13" t="s">
        <v>7872</v>
      </c>
      <c r="L1101" s="99" t="str">
        <f t="shared" si="68"/>
        <v>W323F.D</v>
      </c>
      <c r="M1101" s="13"/>
      <c r="N1101" s="13"/>
      <c r="O1101" s="13"/>
      <c r="P1101" s="47"/>
      <c r="Q1101" s="45"/>
      <c r="R1101" s="45"/>
      <c r="S1101" s="48"/>
      <c r="T1101" s="49" t="str">
        <f t="shared" si="67"/>
        <v>[W323F.D]</v>
      </c>
      <c r="U1101" s="12" t="str">
        <f t="shared" si="70"/>
        <v xml:space="preserve"> </v>
      </c>
      <c r="V1101" s="49" t="str">
        <f t="shared" si="69"/>
        <v xml:space="preserve">[W323F.D] </v>
      </c>
    </row>
    <row r="1102" spans="1:22" s="49" customFormat="1" ht="14.15" customHeight="1">
      <c r="A1102" s="43"/>
      <c r="B1102" s="44" t="s">
        <v>6635</v>
      </c>
      <c r="C1102" s="50"/>
      <c r="D1102" s="10" t="s">
        <v>29</v>
      </c>
      <c r="E1102" s="11"/>
      <c r="F1102" s="11" t="s">
        <v>18</v>
      </c>
      <c r="G1102" s="13"/>
      <c r="H1102" s="45" t="s">
        <v>16</v>
      </c>
      <c r="I1102" s="47"/>
      <c r="J1102" s="12" t="s">
        <v>911</v>
      </c>
      <c r="K1102" s="13" t="s">
        <v>7873</v>
      </c>
      <c r="L1102" s="99" t="str">
        <f t="shared" si="68"/>
        <v>W323F.E</v>
      </c>
      <c r="M1102" s="13"/>
      <c r="N1102" s="13"/>
      <c r="O1102" s="13"/>
      <c r="P1102" s="47"/>
      <c r="Q1102" s="45"/>
      <c r="R1102" s="45"/>
      <c r="S1102" s="48"/>
      <c r="T1102" s="49" t="str">
        <f t="shared" si="67"/>
        <v>[W323F.E]</v>
      </c>
      <c r="U1102" s="12" t="str">
        <f t="shared" si="70"/>
        <v xml:space="preserve"> </v>
      </c>
      <c r="V1102" s="49" t="str">
        <f t="shared" si="69"/>
        <v xml:space="preserve">[W323F.E] </v>
      </c>
    </row>
    <row r="1103" spans="1:22" s="49" customFormat="1" ht="14.15" customHeight="1">
      <c r="A1103" s="43"/>
      <c r="B1103" s="44" t="s">
        <v>6635</v>
      </c>
      <c r="C1103" s="50"/>
      <c r="D1103" s="10" t="s">
        <v>29</v>
      </c>
      <c r="E1103" s="11"/>
      <c r="F1103" s="11" t="s">
        <v>18</v>
      </c>
      <c r="G1103" s="13"/>
      <c r="H1103" s="45" t="s">
        <v>16</v>
      </c>
      <c r="I1103" s="47"/>
      <c r="J1103" s="12" t="s">
        <v>912</v>
      </c>
      <c r="K1103" s="13" t="s">
        <v>7874</v>
      </c>
      <c r="L1103" s="99" t="str">
        <f t="shared" si="68"/>
        <v>W323F.F</v>
      </c>
      <c r="M1103" s="13"/>
      <c r="N1103" s="13"/>
      <c r="O1103" s="13"/>
      <c r="P1103" s="47"/>
      <c r="Q1103" s="45"/>
      <c r="R1103" s="45"/>
      <c r="S1103" s="48"/>
      <c r="T1103" s="49" t="str">
        <f t="shared" si="67"/>
        <v>[W323F.F]</v>
      </c>
      <c r="U1103" s="12" t="str">
        <f t="shared" si="70"/>
        <v xml:space="preserve"> </v>
      </c>
      <c r="V1103" s="49" t="str">
        <f t="shared" si="69"/>
        <v xml:space="preserve">[W323F.F] </v>
      </c>
    </row>
    <row r="1104" spans="1:22" s="49" customFormat="1" ht="14.15" customHeight="1">
      <c r="A1104" s="43"/>
      <c r="B1104" s="44" t="s">
        <v>6635</v>
      </c>
      <c r="C1104" s="50"/>
      <c r="D1104" s="10" t="s">
        <v>29</v>
      </c>
      <c r="E1104" s="11"/>
      <c r="F1104" s="11" t="s">
        <v>18</v>
      </c>
      <c r="G1104" s="13"/>
      <c r="H1104" s="45" t="s">
        <v>16</v>
      </c>
      <c r="I1104" s="47"/>
      <c r="J1104" s="12" t="s">
        <v>913</v>
      </c>
      <c r="K1104" s="13" t="s">
        <v>7875</v>
      </c>
      <c r="L1104" s="99" t="str">
        <f t="shared" si="68"/>
        <v>W3240.0</v>
      </c>
      <c r="M1104" s="13"/>
      <c r="N1104" s="13"/>
      <c r="O1104" s="13"/>
      <c r="P1104" s="47"/>
      <c r="Q1104" s="45"/>
      <c r="R1104" s="45"/>
      <c r="S1104" s="48"/>
      <c r="T1104" s="49" t="str">
        <f t="shared" ref="T1104:T1167" si="71">"["&amp;L1104&amp;"]"</f>
        <v>[W3240.0]</v>
      </c>
      <c r="U1104" s="12" t="str">
        <f t="shared" si="70"/>
        <v xml:space="preserve"> </v>
      </c>
      <c r="V1104" s="49" t="str">
        <f t="shared" si="69"/>
        <v xml:space="preserve">[W3240.0] </v>
      </c>
    </row>
    <row r="1105" spans="1:22" s="49" customFormat="1" ht="14.15" customHeight="1">
      <c r="A1105" s="44"/>
      <c r="B1105" s="44" t="s">
        <v>6635</v>
      </c>
      <c r="C1105" s="50"/>
      <c r="D1105" s="10" t="s">
        <v>29</v>
      </c>
      <c r="E1105" s="11"/>
      <c r="F1105" s="11" t="s">
        <v>18</v>
      </c>
      <c r="G1105" s="13"/>
      <c r="H1105" s="45" t="s">
        <v>16</v>
      </c>
      <c r="I1105" s="47"/>
      <c r="J1105" s="12" t="s">
        <v>914</v>
      </c>
      <c r="K1105" s="13" t="s">
        <v>7876</v>
      </c>
      <c r="L1105" s="99" t="str">
        <f t="shared" ref="L1105:L1168" si="72">"W"&amp;DEC2HEX(12800 + INT((ROW()-80)/16)) &amp; "." &amp; IF(MOD(ROW()-80,16)&lt;10,MOD(ROW()-80,16),CHAR(MOD(ROW()-80,16)+55))</f>
        <v>W3240.1</v>
      </c>
      <c r="M1105" s="13"/>
      <c r="N1105" s="13"/>
      <c r="O1105" s="13"/>
      <c r="P1105" s="47"/>
      <c r="Q1105" s="45"/>
      <c r="R1105" s="45"/>
      <c r="S1105" s="48"/>
      <c r="T1105" s="49" t="str">
        <f t="shared" si="71"/>
        <v>[W3240.1]</v>
      </c>
      <c r="U1105" s="12" t="str">
        <f t="shared" si="70"/>
        <v xml:space="preserve"> </v>
      </c>
      <c r="V1105" s="49" t="str">
        <f t="shared" ref="V1105:V1167" si="73">T1105&amp;U1105</f>
        <v xml:space="preserve">[W3240.1] </v>
      </c>
    </row>
    <row r="1106" spans="1:22" s="49" customFormat="1" ht="14.15" customHeight="1">
      <c r="A1106" s="43" t="s">
        <v>6675</v>
      </c>
      <c r="B1106" s="44" t="s">
        <v>6635</v>
      </c>
      <c r="C1106" s="50"/>
      <c r="D1106" s="10" t="s">
        <v>29</v>
      </c>
      <c r="E1106" s="11"/>
      <c r="F1106" s="11" t="s">
        <v>18</v>
      </c>
      <c r="G1106" s="13"/>
      <c r="H1106" s="45" t="s">
        <v>16</v>
      </c>
      <c r="I1106" s="47"/>
      <c r="J1106" s="12" t="s">
        <v>6325</v>
      </c>
      <c r="K1106" s="13" t="s">
        <v>7877</v>
      </c>
      <c r="L1106" s="99" t="str">
        <f t="shared" si="72"/>
        <v>W3240.2</v>
      </c>
      <c r="M1106" s="13" t="s">
        <v>17</v>
      </c>
      <c r="N1106" s="13"/>
      <c r="O1106" s="13"/>
      <c r="P1106" s="47"/>
      <c r="Q1106" s="45" t="s">
        <v>142</v>
      </c>
      <c r="R1106" s="45" t="s">
        <v>5596</v>
      </c>
      <c r="S1106" s="48"/>
      <c r="T1106" s="49" t="str">
        <f t="shared" si="71"/>
        <v>[W3240.2]</v>
      </c>
      <c r="U1106" s="12" t="str">
        <f t="shared" si="70"/>
        <v xml:space="preserve"> 용접#2 GUN RH#1 전진 시간초과 (X4A0, X4A2, Y4E0)</v>
      </c>
      <c r="V1106" s="49" t="str">
        <f t="shared" si="73"/>
        <v>[W3240.2] 용접#2 GUN RH#1 전진 시간초과 (X4A0, X4A2, Y4E0)</v>
      </c>
    </row>
    <row r="1107" spans="1:22" s="49" customFormat="1" ht="14.15" customHeight="1">
      <c r="A1107" s="43" t="s">
        <v>6675</v>
      </c>
      <c r="B1107" s="44" t="s">
        <v>6635</v>
      </c>
      <c r="C1107" s="50"/>
      <c r="D1107" s="10" t="s">
        <v>29</v>
      </c>
      <c r="E1107" s="11"/>
      <c r="F1107" s="11" t="s">
        <v>18</v>
      </c>
      <c r="G1107" s="13"/>
      <c r="H1107" s="45" t="s">
        <v>16</v>
      </c>
      <c r="I1107" s="47"/>
      <c r="J1107" s="12" t="s">
        <v>6326</v>
      </c>
      <c r="K1107" s="13" t="s">
        <v>7878</v>
      </c>
      <c r="L1107" s="99" t="str">
        <f t="shared" si="72"/>
        <v>W3240.3</v>
      </c>
      <c r="M1107" s="13" t="s">
        <v>17</v>
      </c>
      <c r="N1107" s="13"/>
      <c r="O1107" s="13"/>
      <c r="P1107" s="47"/>
      <c r="Q1107" s="45" t="s">
        <v>142</v>
      </c>
      <c r="R1107" s="45" t="s">
        <v>5596</v>
      </c>
      <c r="S1107" s="48"/>
      <c r="T1107" s="49" t="str">
        <f t="shared" si="71"/>
        <v>[W3240.3]</v>
      </c>
      <c r="U1107" s="12" t="str">
        <f t="shared" si="70"/>
        <v xml:space="preserve"> 용접#2 GUN RH#1 후진 시간초과 (X4A1, X4A3, Y4E1)</v>
      </c>
      <c r="V1107" s="49" t="str">
        <f t="shared" si="73"/>
        <v>[W3240.3] 용접#2 GUN RH#1 후진 시간초과 (X4A1, X4A3, Y4E1)</v>
      </c>
    </row>
    <row r="1108" spans="1:22" s="49" customFormat="1" ht="14.15" customHeight="1">
      <c r="A1108" s="43" t="s">
        <v>6675</v>
      </c>
      <c r="B1108" s="44" t="s">
        <v>6635</v>
      </c>
      <c r="C1108" s="50"/>
      <c r="D1108" s="10" t="s">
        <v>29</v>
      </c>
      <c r="E1108" s="11"/>
      <c r="F1108" s="11" t="s">
        <v>18</v>
      </c>
      <c r="G1108" s="13"/>
      <c r="H1108" s="45" t="s">
        <v>16</v>
      </c>
      <c r="I1108" s="47"/>
      <c r="J1108" s="12" t="s">
        <v>6327</v>
      </c>
      <c r="K1108" s="13" t="s">
        <v>7879</v>
      </c>
      <c r="L1108" s="99" t="str">
        <f t="shared" si="72"/>
        <v>W3240.4</v>
      </c>
      <c r="M1108" s="13" t="s">
        <v>17</v>
      </c>
      <c r="N1108" s="13"/>
      <c r="O1108" s="13"/>
      <c r="P1108" s="47"/>
      <c r="Q1108" s="45" t="s">
        <v>142</v>
      </c>
      <c r="R1108" s="45" t="s">
        <v>5596</v>
      </c>
      <c r="S1108" s="48"/>
      <c r="T1108" s="49" t="str">
        <f t="shared" si="71"/>
        <v>[W3240.4]</v>
      </c>
      <c r="U1108" s="12" t="str">
        <f t="shared" si="70"/>
        <v xml:space="preserve"> 용접#2 GUN RH#1 전진/후진 센서이상  (X4A0, X4A1, X4A2, X4A3)</v>
      </c>
      <c r="V1108" s="49" t="str">
        <f t="shared" si="73"/>
        <v>[W3240.4] 용접#2 GUN RH#1 전진/후진 센서이상  (X4A0, X4A1, X4A2, X4A3)</v>
      </c>
    </row>
    <row r="1109" spans="1:22" s="49" customFormat="1" ht="14.15" customHeight="1">
      <c r="A1109" s="43" t="s">
        <v>6675</v>
      </c>
      <c r="B1109" s="44" t="s">
        <v>6635</v>
      </c>
      <c r="C1109" s="50"/>
      <c r="D1109" s="10" t="s">
        <v>29</v>
      </c>
      <c r="E1109" s="11"/>
      <c r="F1109" s="11" t="s">
        <v>18</v>
      </c>
      <c r="G1109" s="13"/>
      <c r="H1109" s="45" t="s">
        <v>16</v>
      </c>
      <c r="I1109" s="47"/>
      <c r="J1109" s="12" t="s">
        <v>6328</v>
      </c>
      <c r="K1109" s="13" t="s">
        <v>7880</v>
      </c>
      <c r="L1109" s="99" t="str">
        <f t="shared" si="72"/>
        <v>W3240.5</v>
      </c>
      <c r="M1109" s="13" t="s">
        <v>17</v>
      </c>
      <c r="N1109" s="13"/>
      <c r="O1109" s="13"/>
      <c r="P1109" s="47"/>
      <c r="Q1109" s="45" t="s">
        <v>142</v>
      </c>
      <c r="R1109" s="45" t="s">
        <v>5596</v>
      </c>
      <c r="S1109" s="48"/>
      <c r="T1109" s="49" t="str">
        <f t="shared" si="71"/>
        <v>[W3240.5]</v>
      </c>
      <c r="U1109" s="12" t="str">
        <f t="shared" ref="U1109:U1167" si="74">RIGHT(J1109,LEN(J1109)-7)</f>
        <v xml:space="preserve"> 용접#2 GUN LH#1 전진 시간초과 (X4A4, X4A6, Y4E2)</v>
      </c>
      <c r="V1109" s="49" t="str">
        <f t="shared" si="73"/>
        <v>[W3240.5] 용접#2 GUN LH#1 전진 시간초과 (X4A4, X4A6, Y4E2)</v>
      </c>
    </row>
    <row r="1110" spans="1:22" s="49" customFormat="1" ht="14.15" customHeight="1">
      <c r="A1110" s="43" t="s">
        <v>6675</v>
      </c>
      <c r="B1110" s="44" t="s">
        <v>6635</v>
      </c>
      <c r="C1110" s="50"/>
      <c r="D1110" s="10" t="s">
        <v>29</v>
      </c>
      <c r="E1110" s="11"/>
      <c r="F1110" s="11" t="s">
        <v>18</v>
      </c>
      <c r="G1110" s="13"/>
      <c r="H1110" s="45" t="s">
        <v>16</v>
      </c>
      <c r="I1110" s="47"/>
      <c r="J1110" s="12" t="s">
        <v>6329</v>
      </c>
      <c r="K1110" s="13" t="s">
        <v>7881</v>
      </c>
      <c r="L1110" s="99" t="str">
        <f t="shared" si="72"/>
        <v>W3240.6</v>
      </c>
      <c r="M1110" s="13" t="s">
        <v>17</v>
      </c>
      <c r="N1110" s="13"/>
      <c r="O1110" s="13"/>
      <c r="P1110" s="47"/>
      <c r="Q1110" s="45" t="s">
        <v>142</v>
      </c>
      <c r="R1110" s="45" t="s">
        <v>5596</v>
      </c>
      <c r="S1110" s="48"/>
      <c r="T1110" s="49" t="str">
        <f t="shared" si="71"/>
        <v>[W3240.6]</v>
      </c>
      <c r="U1110" s="12" t="str">
        <f t="shared" si="74"/>
        <v xml:space="preserve"> 용접#2 GUN LH#1 후진 시간초과 (X4A5, X4A7, Y4E3)</v>
      </c>
      <c r="V1110" s="49" t="str">
        <f t="shared" si="73"/>
        <v>[W3240.6] 용접#2 GUN LH#1 후진 시간초과 (X4A5, X4A7, Y4E3)</v>
      </c>
    </row>
    <row r="1111" spans="1:22" s="49" customFormat="1" ht="14.15" customHeight="1">
      <c r="A1111" s="43" t="s">
        <v>6675</v>
      </c>
      <c r="B1111" s="44" t="s">
        <v>6635</v>
      </c>
      <c r="C1111" s="50"/>
      <c r="D1111" s="10" t="s">
        <v>29</v>
      </c>
      <c r="E1111" s="11"/>
      <c r="F1111" s="11" t="s">
        <v>18</v>
      </c>
      <c r="G1111" s="13"/>
      <c r="H1111" s="45" t="s">
        <v>16</v>
      </c>
      <c r="I1111" s="47"/>
      <c r="J1111" s="12" t="s">
        <v>6330</v>
      </c>
      <c r="K1111" s="13" t="s">
        <v>7882</v>
      </c>
      <c r="L1111" s="99" t="str">
        <f t="shared" si="72"/>
        <v>W3240.7</v>
      </c>
      <c r="M1111" s="13" t="s">
        <v>17</v>
      </c>
      <c r="N1111" s="13"/>
      <c r="O1111" s="13"/>
      <c r="P1111" s="47"/>
      <c r="Q1111" s="45" t="s">
        <v>142</v>
      </c>
      <c r="R1111" s="45" t="s">
        <v>5596</v>
      </c>
      <c r="S1111" s="48"/>
      <c r="T1111" s="49" t="str">
        <f t="shared" si="71"/>
        <v>[W3240.7]</v>
      </c>
      <c r="U1111" s="12" t="str">
        <f t="shared" si="74"/>
        <v xml:space="preserve"> 용접#2 GUN LH#1 전진/후진 센서이상  (X4A4, X4A5, X4A6, X4A7)</v>
      </c>
      <c r="V1111" s="49" t="str">
        <f t="shared" si="73"/>
        <v>[W3240.7] 용접#2 GUN LH#1 전진/후진 센서이상  (X4A4, X4A5, X4A6, X4A7)</v>
      </c>
    </row>
    <row r="1112" spans="1:22" s="49" customFormat="1" ht="14.15" customHeight="1">
      <c r="A1112" s="43" t="s">
        <v>6675</v>
      </c>
      <c r="B1112" s="44" t="s">
        <v>6635</v>
      </c>
      <c r="C1112" s="50"/>
      <c r="D1112" s="10" t="s">
        <v>29</v>
      </c>
      <c r="E1112" s="11"/>
      <c r="F1112" s="11" t="s">
        <v>18</v>
      </c>
      <c r="G1112" s="13"/>
      <c r="H1112" s="45" t="s">
        <v>16</v>
      </c>
      <c r="I1112" s="47"/>
      <c r="J1112" s="12" t="s">
        <v>6331</v>
      </c>
      <c r="K1112" s="13" t="s">
        <v>7883</v>
      </c>
      <c r="L1112" s="99" t="str">
        <f t="shared" si="72"/>
        <v>W3240.8</v>
      </c>
      <c r="M1112" s="13" t="s">
        <v>17</v>
      </c>
      <c r="N1112" s="13"/>
      <c r="O1112" s="13"/>
      <c r="P1112" s="47"/>
      <c r="Q1112" s="45" t="s">
        <v>142</v>
      </c>
      <c r="R1112" s="45" t="s">
        <v>5596</v>
      </c>
      <c r="S1112" s="48"/>
      <c r="T1112" s="49" t="str">
        <f t="shared" si="71"/>
        <v>[W3240.8]</v>
      </c>
      <c r="U1112" s="12" t="str">
        <f t="shared" si="74"/>
        <v xml:space="preserve"> 용접#2 GUN FW#1 전진 시간초과 (X4A8, X4AA, Y4E4)</v>
      </c>
      <c r="V1112" s="49" t="str">
        <f t="shared" si="73"/>
        <v>[W3240.8] 용접#2 GUN FW#1 전진 시간초과 (X4A8, X4AA, Y4E4)</v>
      </c>
    </row>
    <row r="1113" spans="1:22" s="49" customFormat="1" ht="14.15" customHeight="1">
      <c r="A1113" s="43" t="s">
        <v>6675</v>
      </c>
      <c r="B1113" s="44" t="s">
        <v>6635</v>
      </c>
      <c r="C1113" s="50"/>
      <c r="D1113" s="10" t="s">
        <v>29</v>
      </c>
      <c r="E1113" s="11"/>
      <c r="F1113" s="11" t="s">
        <v>18</v>
      </c>
      <c r="G1113" s="13"/>
      <c r="H1113" s="45" t="s">
        <v>16</v>
      </c>
      <c r="I1113" s="47"/>
      <c r="J1113" s="12" t="s">
        <v>6332</v>
      </c>
      <c r="K1113" s="13" t="s">
        <v>7884</v>
      </c>
      <c r="L1113" s="99" t="str">
        <f t="shared" si="72"/>
        <v>W3240.9</v>
      </c>
      <c r="M1113" s="13" t="s">
        <v>17</v>
      </c>
      <c r="N1113" s="13"/>
      <c r="O1113" s="13"/>
      <c r="P1113" s="47"/>
      <c r="Q1113" s="45" t="s">
        <v>142</v>
      </c>
      <c r="R1113" s="45" t="s">
        <v>5596</v>
      </c>
      <c r="S1113" s="48"/>
      <c r="T1113" s="49" t="str">
        <f t="shared" si="71"/>
        <v>[W3240.9]</v>
      </c>
      <c r="U1113" s="12" t="str">
        <f t="shared" si="74"/>
        <v xml:space="preserve"> 용접#2 GUN FW#1 후진 시간초과 (X4A9, X4AB, Y4E5)</v>
      </c>
      <c r="V1113" s="49" t="str">
        <f t="shared" si="73"/>
        <v>[W3240.9] 용접#2 GUN FW#1 후진 시간초과 (X4A9, X4AB, Y4E5)</v>
      </c>
    </row>
    <row r="1114" spans="1:22" s="49" customFormat="1" ht="14.15" customHeight="1">
      <c r="A1114" s="43" t="s">
        <v>6675</v>
      </c>
      <c r="B1114" s="44" t="s">
        <v>6635</v>
      </c>
      <c r="C1114" s="50"/>
      <c r="D1114" s="10" t="s">
        <v>29</v>
      </c>
      <c r="E1114" s="11"/>
      <c r="F1114" s="11" t="s">
        <v>18</v>
      </c>
      <c r="G1114" s="13"/>
      <c r="H1114" s="45" t="s">
        <v>16</v>
      </c>
      <c r="I1114" s="47"/>
      <c r="J1114" s="12" t="s">
        <v>6333</v>
      </c>
      <c r="K1114" s="13" t="s">
        <v>7885</v>
      </c>
      <c r="L1114" s="99" t="str">
        <f t="shared" si="72"/>
        <v>W3240.A</v>
      </c>
      <c r="M1114" s="13" t="s">
        <v>17</v>
      </c>
      <c r="N1114" s="13"/>
      <c r="O1114" s="13"/>
      <c r="P1114" s="47"/>
      <c r="Q1114" s="45" t="s">
        <v>142</v>
      </c>
      <c r="R1114" s="45" t="s">
        <v>5596</v>
      </c>
      <c r="S1114" s="48"/>
      <c r="T1114" s="49" t="str">
        <f t="shared" si="71"/>
        <v>[W3240.A]</v>
      </c>
      <c r="U1114" s="12" t="str">
        <f t="shared" si="74"/>
        <v xml:space="preserve"> 용접#2 GUN FW#1 전진/후진 센서이상  (X4A8, X4A9, X4AA, X4AB)</v>
      </c>
      <c r="V1114" s="49" t="str">
        <f t="shared" si="73"/>
        <v>[W3240.A] 용접#2 GUN FW#1 전진/후진 센서이상  (X4A8, X4A9, X4AA, X4AB)</v>
      </c>
    </row>
    <row r="1115" spans="1:22" s="49" customFormat="1" ht="14.15" customHeight="1">
      <c r="A1115" s="43" t="s">
        <v>6675</v>
      </c>
      <c r="B1115" s="44" t="s">
        <v>6635</v>
      </c>
      <c r="C1115" s="50"/>
      <c r="D1115" s="10" t="s">
        <v>29</v>
      </c>
      <c r="E1115" s="11"/>
      <c r="F1115" s="11" t="s">
        <v>18</v>
      </c>
      <c r="G1115" s="13"/>
      <c r="H1115" s="45" t="s">
        <v>16</v>
      </c>
      <c r="I1115" s="47"/>
      <c r="J1115" s="12" t="s">
        <v>6334</v>
      </c>
      <c r="K1115" s="13" t="s">
        <v>7886</v>
      </c>
      <c r="L1115" s="99" t="str">
        <f t="shared" si="72"/>
        <v>W3240.B</v>
      </c>
      <c r="M1115" s="13" t="s">
        <v>17</v>
      </c>
      <c r="N1115" s="13"/>
      <c r="O1115" s="13"/>
      <c r="P1115" s="47"/>
      <c r="Q1115" s="45" t="s">
        <v>142</v>
      </c>
      <c r="R1115" s="45" t="s">
        <v>5596</v>
      </c>
      <c r="S1115" s="48"/>
      <c r="T1115" s="49" t="str">
        <f t="shared" si="71"/>
        <v>[W3240.B]</v>
      </c>
      <c r="U1115" s="12" t="str">
        <f t="shared" si="74"/>
        <v xml:space="preserve"> 용접#2 GUN RH#2 전진 시간초과 (X4B0, X4B2, Y4E6)</v>
      </c>
      <c r="V1115" s="49" t="str">
        <f t="shared" si="73"/>
        <v>[W3240.B] 용접#2 GUN RH#2 전진 시간초과 (X4B0, X4B2, Y4E6)</v>
      </c>
    </row>
    <row r="1116" spans="1:22" s="49" customFormat="1" ht="14.15" customHeight="1">
      <c r="A1116" s="43" t="s">
        <v>6675</v>
      </c>
      <c r="B1116" s="44" t="s">
        <v>6635</v>
      </c>
      <c r="C1116" s="50"/>
      <c r="D1116" s="10" t="s">
        <v>29</v>
      </c>
      <c r="E1116" s="11"/>
      <c r="F1116" s="11" t="s">
        <v>18</v>
      </c>
      <c r="G1116" s="13"/>
      <c r="H1116" s="45" t="s">
        <v>16</v>
      </c>
      <c r="I1116" s="47"/>
      <c r="J1116" s="12" t="s">
        <v>6335</v>
      </c>
      <c r="K1116" s="13" t="s">
        <v>7887</v>
      </c>
      <c r="L1116" s="99" t="str">
        <f t="shared" si="72"/>
        <v>W3240.C</v>
      </c>
      <c r="M1116" s="13" t="s">
        <v>17</v>
      </c>
      <c r="N1116" s="13"/>
      <c r="O1116" s="13"/>
      <c r="P1116" s="47"/>
      <c r="Q1116" s="45" t="s">
        <v>142</v>
      </c>
      <c r="R1116" s="45" t="s">
        <v>5596</v>
      </c>
      <c r="S1116" s="48"/>
      <c r="T1116" s="49" t="str">
        <f t="shared" si="71"/>
        <v>[W3240.C]</v>
      </c>
      <c r="U1116" s="12" t="str">
        <f t="shared" si="74"/>
        <v xml:space="preserve"> 용접#2 GUN RH#2 후진 시간초과 (X4B1, X4B3, Y4E7)</v>
      </c>
      <c r="V1116" s="49" t="str">
        <f t="shared" si="73"/>
        <v>[W3240.C] 용접#2 GUN RH#2 후진 시간초과 (X4B1, X4B3, Y4E7)</v>
      </c>
    </row>
    <row r="1117" spans="1:22" s="49" customFormat="1" ht="14.15" customHeight="1">
      <c r="A1117" s="43" t="s">
        <v>6675</v>
      </c>
      <c r="B1117" s="44" t="s">
        <v>6635</v>
      </c>
      <c r="C1117" s="50"/>
      <c r="D1117" s="10" t="s">
        <v>29</v>
      </c>
      <c r="E1117" s="11"/>
      <c r="F1117" s="11" t="s">
        <v>18</v>
      </c>
      <c r="G1117" s="13"/>
      <c r="H1117" s="45" t="s">
        <v>16</v>
      </c>
      <c r="I1117" s="47"/>
      <c r="J1117" s="12" t="s">
        <v>6336</v>
      </c>
      <c r="K1117" s="13" t="s">
        <v>7888</v>
      </c>
      <c r="L1117" s="99" t="str">
        <f t="shared" si="72"/>
        <v>W3240.D</v>
      </c>
      <c r="M1117" s="13" t="s">
        <v>17</v>
      </c>
      <c r="N1117" s="13"/>
      <c r="O1117" s="13"/>
      <c r="P1117" s="47"/>
      <c r="Q1117" s="45" t="s">
        <v>142</v>
      </c>
      <c r="R1117" s="45" t="s">
        <v>5596</v>
      </c>
      <c r="S1117" s="48"/>
      <c r="T1117" s="49" t="str">
        <f t="shared" si="71"/>
        <v>[W3240.D]</v>
      </c>
      <c r="U1117" s="12" t="str">
        <f t="shared" si="74"/>
        <v xml:space="preserve"> 용접#2 GUN RH#2 전진/후진 센서이상  (X4B0, X4B1, X4B2, X4B3)</v>
      </c>
      <c r="V1117" s="49" t="str">
        <f t="shared" si="73"/>
        <v>[W3240.D] 용접#2 GUN RH#2 전진/후진 센서이상  (X4B0, X4B1, X4B2, X4B3)</v>
      </c>
    </row>
    <row r="1118" spans="1:22" s="49" customFormat="1" ht="14.15" customHeight="1">
      <c r="A1118" s="43" t="s">
        <v>6675</v>
      </c>
      <c r="B1118" s="44" t="s">
        <v>6635</v>
      </c>
      <c r="C1118" s="50"/>
      <c r="D1118" s="10" t="s">
        <v>29</v>
      </c>
      <c r="E1118" s="11"/>
      <c r="F1118" s="11" t="s">
        <v>18</v>
      </c>
      <c r="G1118" s="13"/>
      <c r="H1118" s="45" t="s">
        <v>16</v>
      </c>
      <c r="I1118" s="47"/>
      <c r="J1118" s="12" t="s">
        <v>6337</v>
      </c>
      <c r="K1118" s="13" t="s">
        <v>7889</v>
      </c>
      <c r="L1118" s="99" t="str">
        <f t="shared" si="72"/>
        <v>W3240.E</v>
      </c>
      <c r="M1118" s="13" t="s">
        <v>17</v>
      </c>
      <c r="N1118" s="13"/>
      <c r="O1118" s="13"/>
      <c r="P1118" s="47"/>
      <c r="Q1118" s="45" t="s">
        <v>142</v>
      </c>
      <c r="R1118" s="45" t="s">
        <v>5596</v>
      </c>
      <c r="S1118" s="48"/>
      <c r="T1118" s="49" t="str">
        <f t="shared" si="71"/>
        <v>[W3240.E]</v>
      </c>
      <c r="U1118" s="12" t="str">
        <f t="shared" si="74"/>
        <v xml:space="preserve"> 용접#2 GUN LH#2 전진 시간초과 (X4B4, X4B6, Y4E8)</v>
      </c>
      <c r="V1118" s="49" t="str">
        <f t="shared" si="73"/>
        <v>[W3240.E] 용접#2 GUN LH#2 전진 시간초과 (X4B4, X4B6, Y4E8)</v>
      </c>
    </row>
    <row r="1119" spans="1:22" s="49" customFormat="1" ht="14.15" customHeight="1">
      <c r="A1119" s="43" t="s">
        <v>6675</v>
      </c>
      <c r="B1119" s="44" t="s">
        <v>6635</v>
      </c>
      <c r="C1119" s="50"/>
      <c r="D1119" s="10" t="s">
        <v>29</v>
      </c>
      <c r="E1119" s="11"/>
      <c r="F1119" s="11" t="s">
        <v>18</v>
      </c>
      <c r="G1119" s="13"/>
      <c r="H1119" s="45" t="s">
        <v>16</v>
      </c>
      <c r="I1119" s="47"/>
      <c r="J1119" s="12" t="s">
        <v>6338</v>
      </c>
      <c r="K1119" s="13" t="s">
        <v>7890</v>
      </c>
      <c r="L1119" s="99" t="str">
        <f t="shared" si="72"/>
        <v>W3240.F</v>
      </c>
      <c r="M1119" s="13" t="s">
        <v>17</v>
      </c>
      <c r="N1119" s="13"/>
      <c r="O1119" s="13"/>
      <c r="P1119" s="47"/>
      <c r="Q1119" s="45" t="s">
        <v>142</v>
      </c>
      <c r="R1119" s="45" t="s">
        <v>5596</v>
      </c>
      <c r="S1119" s="48"/>
      <c r="T1119" s="49" t="str">
        <f t="shared" si="71"/>
        <v>[W3240.F]</v>
      </c>
      <c r="U1119" s="12" t="str">
        <f t="shared" si="74"/>
        <v xml:space="preserve"> 용접#2 GUN LH#2 후진 시간초과 (X4B5, X4B7, Y4E9)</v>
      </c>
      <c r="V1119" s="49" t="str">
        <f t="shared" si="73"/>
        <v>[W3240.F] 용접#2 GUN LH#2 후진 시간초과 (X4B5, X4B7, Y4E9)</v>
      </c>
    </row>
    <row r="1120" spans="1:22" s="49" customFormat="1" ht="14.15" customHeight="1">
      <c r="A1120" s="43" t="s">
        <v>6675</v>
      </c>
      <c r="B1120" s="44" t="s">
        <v>6635</v>
      </c>
      <c r="C1120" s="50"/>
      <c r="D1120" s="10" t="s">
        <v>29</v>
      </c>
      <c r="E1120" s="11"/>
      <c r="F1120" s="11" t="s">
        <v>18</v>
      </c>
      <c r="G1120" s="13"/>
      <c r="H1120" s="45" t="s">
        <v>16</v>
      </c>
      <c r="I1120" s="47"/>
      <c r="J1120" s="12" t="s">
        <v>6339</v>
      </c>
      <c r="K1120" s="13" t="s">
        <v>7891</v>
      </c>
      <c r="L1120" s="99" t="str">
        <f t="shared" si="72"/>
        <v>W3241.0</v>
      </c>
      <c r="M1120" s="13" t="s">
        <v>17</v>
      </c>
      <c r="N1120" s="13"/>
      <c r="O1120" s="13"/>
      <c r="P1120" s="47"/>
      <c r="Q1120" s="45" t="s">
        <v>142</v>
      </c>
      <c r="R1120" s="45" t="s">
        <v>5596</v>
      </c>
      <c r="S1120" s="48"/>
      <c r="T1120" s="49" t="str">
        <f t="shared" si="71"/>
        <v>[W3241.0]</v>
      </c>
      <c r="U1120" s="12" t="str">
        <f t="shared" si="74"/>
        <v xml:space="preserve"> 용접#2 GUN LH#2 전진/후진 센서이상  (X4B4, X4B5, X4B6, X4B7)</v>
      </c>
      <c r="V1120" s="49" t="str">
        <f t="shared" si="73"/>
        <v>[W3241.0] 용접#2 GUN LH#2 전진/후진 센서이상  (X4B4, X4B5, X4B6, X4B7)</v>
      </c>
    </row>
    <row r="1121" spans="1:22" s="49" customFormat="1" ht="14.15" customHeight="1">
      <c r="A1121" s="43" t="s">
        <v>6675</v>
      </c>
      <c r="B1121" s="44" t="s">
        <v>6635</v>
      </c>
      <c r="C1121" s="50"/>
      <c r="D1121" s="10" t="s">
        <v>29</v>
      </c>
      <c r="E1121" s="11"/>
      <c r="F1121" s="11" t="s">
        <v>18</v>
      </c>
      <c r="G1121" s="13"/>
      <c r="H1121" s="45" t="s">
        <v>16</v>
      </c>
      <c r="I1121" s="47"/>
      <c r="J1121" s="12" t="s">
        <v>6340</v>
      </c>
      <c r="K1121" s="13" t="s">
        <v>7892</v>
      </c>
      <c r="L1121" s="99" t="str">
        <f t="shared" si="72"/>
        <v>W3241.1</v>
      </c>
      <c r="M1121" s="13" t="s">
        <v>17</v>
      </c>
      <c r="N1121" s="13"/>
      <c r="O1121" s="13"/>
      <c r="P1121" s="47"/>
      <c r="Q1121" s="45" t="s">
        <v>142</v>
      </c>
      <c r="R1121" s="45" t="s">
        <v>5596</v>
      </c>
      <c r="S1121" s="48"/>
      <c r="T1121" s="49" t="str">
        <f t="shared" si="71"/>
        <v>[W3241.1]</v>
      </c>
      <c r="U1121" s="12" t="str">
        <f t="shared" si="74"/>
        <v xml:space="preserve"> 용접#2 GUN FW#2 전진 시간초과 (X4B8, X4BA, Y4EA)</v>
      </c>
      <c r="V1121" s="49" t="str">
        <f t="shared" si="73"/>
        <v>[W3241.1] 용접#2 GUN FW#2 전진 시간초과 (X4B8, X4BA, Y4EA)</v>
      </c>
    </row>
    <row r="1122" spans="1:22" s="49" customFormat="1" ht="14.15" customHeight="1">
      <c r="A1122" s="43" t="s">
        <v>6675</v>
      </c>
      <c r="B1122" s="44" t="s">
        <v>6635</v>
      </c>
      <c r="C1122" s="50"/>
      <c r="D1122" s="10" t="s">
        <v>29</v>
      </c>
      <c r="E1122" s="11"/>
      <c r="F1122" s="11" t="s">
        <v>18</v>
      </c>
      <c r="G1122" s="13"/>
      <c r="H1122" s="45" t="s">
        <v>16</v>
      </c>
      <c r="I1122" s="47"/>
      <c r="J1122" s="12" t="s">
        <v>6341</v>
      </c>
      <c r="K1122" s="13" t="s">
        <v>7893</v>
      </c>
      <c r="L1122" s="99" t="str">
        <f t="shared" si="72"/>
        <v>W3241.2</v>
      </c>
      <c r="M1122" s="13" t="s">
        <v>17</v>
      </c>
      <c r="N1122" s="13"/>
      <c r="O1122" s="13"/>
      <c r="P1122" s="47"/>
      <c r="Q1122" s="45" t="s">
        <v>142</v>
      </c>
      <c r="R1122" s="45" t="s">
        <v>5596</v>
      </c>
      <c r="S1122" s="48"/>
      <c r="T1122" s="49" t="str">
        <f t="shared" si="71"/>
        <v>[W3241.2]</v>
      </c>
      <c r="U1122" s="12" t="str">
        <f t="shared" si="74"/>
        <v xml:space="preserve"> 용접#2 GUN FW#2 후진 시간초과 (X4B9, X4BB, Y4EB)</v>
      </c>
      <c r="V1122" s="49" t="str">
        <f t="shared" si="73"/>
        <v>[W3241.2] 용접#2 GUN FW#2 후진 시간초과 (X4B9, X4BB, Y4EB)</v>
      </c>
    </row>
    <row r="1123" spans="1:22" s="49" customFormat="1" ht="14.15" customHeight="1">
      <c r="A1123" s="43" t="s">
        <v>6675</v>
      </c>
      <c r="B1123" s="44" t="s">
        <v>6635</v>
      </c>
      <c r="C1123" s="50"/>
      <c r="D1123" s="10" t="s">
        <v>29</v>
      </c>
      <c r="E1123" s="11"/>
      <c r="F1123" s="11" t="s">
        <v>18</v>
      </c>
      <c r="G1123" s="13"/>
      <c r="H1123" s="45" t="s">
        <v>16</v>
      </c>
      <c r="I1123" s="47"/>
      <c r="J1123" s="12" t="s">
        <v>6342</v>
      </c>
      <c r="K1123" s="13" t="s">
        <v>7894</v>
      </c>
      <c r="L1123" s="99" t="str">
        <f t="shared" si="72"/>
        <v>W3241.3</v>
      </c>
      <c r="M1123" s="13" t="s">
        <v>17</v>
      </c>
      <c r="N1123" s="13"/>
      <c r="O1123" s="13"/>
      <c r="P1123" s="47"/>
      <c r="Q1123" s="45" t="s">
        <v>142</v>
      </c>
      <c r="R1123" s="45" t="s">
        <v>5596</v>
      </c>
      <c r="S1123" s="48"/>
      <c r="T1123" s="49" t="str">
        <f t="shared" si="71"/>
        <v>[W3241.3]</v>
      </c>
      <c r="U1123" s="12" t="str">
        <f t="shared" si="74"/>
        <v xml:space="preserve"> 용접#2 GUN FW#2 전진/후진 센서이상  (X4B8, X4B9, X4BA, X4BB)</v>
      </c>
      <c r="V1123" s="49" t="str">
        <f t="shared" si="73"/>
        <v>[W3241.3] 용접#2 GUN FW#2 전진/후진 센서이상  (X4B8, X4B9, X4BA, X4BB)</v>
      </c>
    </row>
    <row r="1124" spans="1:22" s="49" customFormat="1" ht="14.15" customHeight="1">
      <c r="A1124" s="43" t="s">
        <v>6675</v>
      </c>
      <c r="B1124" s="44" t="s">
        <v>6635</v>
      </c>
      <c r="C1124" s="50"/>
      <c r="D1124" s="10" t="s">
        <v>29</v>
      </c>
      <c r="E1124" s="11"/>
      <c r="F1124" s="11" t="s">
        <v>18</v>
      </c>
      <c r="G1124" s="13"/>
      <c r="H1124" s="45" t="s">
        <v>16</v>
      </c>
      <c r="I1124" s="47"/>
      <c r="J1124" s="12" t="s">
        <v>6343</v>
      </c>
      <c r="K1124" s="13" t="s">
        <v>7895</v>
      </c>
      <c r="L1124" s="99" t="str">
        <f t="shared" si="72"/>
        <v>W3241.4</v>
      </c>
      <c r="M1124" s="13" t="s">
        <v>17</v>
      </c>
      <c r="N1124" s="13"/>
      <c r="O1124" s="13"/>
      <c r="P1124" s="47"/>
      <c r="Q1124" s="45" t="s">
        <v>142</v>
      </c>
      <c r="R1124" s="45" t="s">
        <v>5596</v>
      </c>
      <c r="S1124" s="48"/>
      <c r="T1124" s="49" t="str">
        <f t="shared" si="71"/>
        <v>[W3241.4]</v>
      </c>
      <c r="U1124" s="12" t="str">
        <f t="shared" si="74"/>
        <v xml:space="preserve"> 용접#2 메인공압에러 (X488)</v>
      </c>
      <c r="V1124" s="49" t="str">
        <f t="shared" si="73"/>
        <v>[W3241.4] 용접#2 메인공압에러 (X488)</v>
      </c>
    </row>
    <row r="1125" spans="1:22" s="49" customFormat="1" ht="14.15" customHeight="1">
      <c r="A1125" s="43"/>
      <c r="B1125" s="44" t="s">
        <v>6635</v>
      </c>
      <c r="C1125" s="50"/>
      <c r="D1125" s="10" t="s">
        <v>29</v>
      </c>
      <c r="E1125" s="11"/>
      <c r="F1125" s="11" t="s">
        <v>18</v>
      </c>
      <c r="G1125" s="13"/>
      <c r="H1125" s="45" t="s">
        <v>16</v>
      </c>
      <c r="I1125" s="47"/>
      <c r="J1125" s="12" t="s">
        <v>6344</v>
      </c>
      <c r="K1125" s="13" t="s">
        <v>7896</v>
      </c>
      <c r="L1125" s="99" t="str">
        <f t="shared" si="72"/>
        <v>W3241.5</v>
      </c>
      <c r="M1125" s="13"/>
      <c r="N1125" s="13"/>
      <c r="O1125" s="13"/>
      <c r="P1125" s="47"/>
      <c r="Q1125" s="45"/>
      <c r="R1125" s="45"/>
      <c r="S1125" s="48"/>
      <c r="T1125" s="49" t="str">
        <f t="shared" si="71"/>
        <v>[W3241.5]</v>
      </c>
      <c r="U1125" s="12" t="str">
        <f t="shared" si="74"/>
        <v xml:space="preserve"> </v>
      </c>
      <c r="V1125" s="49" t="str">
        <f t="shared" si="73"/>
        <v xml:space="preserve">[W3241.5] </v>
      </c>
    </row>
    <row r="1126" spans="1:22" s="49" customFormat="1" ht="14.15" customHeight="1">
      <c r="A1126" s="43"/>
      <c r="B1126" s="44" t="s">
        <v>6635</v>
      </c>
      <c r="C1126" s="50"/>
      <c r="D1126" s="10" t="s">
        <v>29</v>
      </c>
      <c r="E1126" s="11"/>
      <c r="F1126" s="11" t="s">
        <v>18</v>
      </c>
      <c r="G1126" s="13"/>
      <c r="H1126" s="45" t="s">
        <v>16</v>
      </c>
      <c r="I1126" s="47"/>
      <c r="J1126" s="12" t="s">
        <v>6345</v>
      </c>
      <c r="K1126" s="13" t="s">
        <v>7897</v>
      </c>
      <c r="L1126" s="99" t="str">
        <f t="shared" si="72"/>
        <v>W3241.6</v>
      </c>
      <c r="M1126" s="13"/>
      <c r="N1126" s="13"/>
      <c r="O1126" s="13"/>
      <c r="P1126" s="47"/>
      <c r="Q1126" s="45"/>
      <c r="R1126" s="45"/>
      <c r="S1126" s="48"/>
      <c r="T1126" s="49" t="str">
        <f t="shared" si="71"/>
        <v>[W3241.6]</v>
      </c>
      <c r="U1126" s="12" t="str">
        <f t="shared" si="74"/>
        <v xml:space="preserve"> </v>
      </c>
      <c r="V1126" s="49" t="str">
        <f t="shared" si="73"/>
        <v xml:space="preserve">[W3241.6] </v>
      </c>
    </row>
    <row r="1127" spans="1:22" s="49" customFormat="1" ht="14.15" customHeight="1">
      <c r="A1127" s="43" t="s">
        <v>6675</v>
      </c>
      <c r="B1127" s="44" t="s">
        <v>6635</v>
      </c>
      <c r="C1127" s="50"/>
      <c r="D1127" s="10" t="s">
        <v>29</v>
      </c>
      <c r="E1127" s="11"/>
      <c r="F1127" s="11" t="s">
        <v>18</v>
      </c>
      <c r="G1127" s="13"/>
      <c r="H1127" s="45" t="s">
        <v>16</v>
      </c>
      <c r="I1127" s="47"/>
      <c r="J1127" s="12" t="s">
        <v>6346</v>
      </c>
      <c r="K1127" s="13" t="s">
        <v>7898</v>
      </c>
      <c r="L1127" s="99" t="str">
        <f t="shared" si="72"/>
        <v>W3241.7</v>
      </c>
      <c r="M1127" s="13" t="s">
        <v>17</v>
      </c>
      <c r="N1127" s="13"/>
      <c r="O1127" s="13"/>
      <c r="P1127" s="47"/>
      <c r="Q1127" s="45" t="s">
        <v>142</v>
      </c>
      <c r="R1127" s="45" t="s">
        <v>5596</v>
      </c>
      <c r="S1127" s="48"/>
      <c r="T1127" s="49" t="str">
        <f t="shared" si="71"/>
        <v>[W3241.7]</v>
      </c>
      <c r="U1127" s="12" t="str">
        <f t="shared" si="74"/>
        <v xml:space="preserve"> 용접#2 레일 RH 진공흡착 시간초과 (X4BE, Y4FA)</v>
      </c>
      <c r="V1127" s="49" t="str">
        <f t="shared" si="73"/>
        <v>[W3241.7] 용접#2 레일 RH 진공흡착 시간초과 (X4BE, Y4FA)</v>
      </c>
    </row>
    <row r="1128" spans="1:22" s="49" customFormat="1" ht="14.15" customHeight="1">
      <c r="A1128" s="43" t="s">
        <v>6675</v>
      </c>
      <c r="B1128" s="44" t="s">
        <v>6635</v>
      </c>
      <c r="C1128" s="50"/>
      <c r="D1128" s="10" t="s">
        <v>29</v>
      </c>
      <c r="E1128" s="11"/>
      <c r="F1128" s="11" t="s">
        <v>18</v>
      </c>
      <c r="G1128" s="13"/>
      <c r="H1128" s="45" t="s">
        <v>16</v>
      </c>
      <c r="I1128" s="47"/>
      <c r="J1128" s="12" t="s">
        <v>6347</v>
      </c>
      <c r="K1128" s="13" t="s">
        <v>7899</v>
      </c>
      <c r="L1128" s="99" t="str">
        <f t="shared" si="72"/>
        <v>W3241.8</v>
      </c>
      <c r="M1128" s="13" t="s">
        <v>17</v>
      </c>
      <c r="N1128" s="13"/>
      <c r="O1128" s="13"/>
      <c r="P1128" s="47"/>
      <c r="Q1128" s="45" t="s">
        <v>142</v>
      </c>
      <c r="R1128" s="45" t="s">
        <v>5596</v>
      </c>
      <c r="S1128" s="48"/>
      <c r="T1128" s="49" t="str">
        <f t="shared" si="71"/>
        <v>[W3241.8]</v>
      </c>
      <c r="U1128" s="12" t="str">
        <f t="shared" si="74"/>
        <v xml:space="preserve"> 용접#2 레일 RH 진공파기 시간초과 (X4BE, Y4FB, Y4FC)</v>
      </c>
      <c r="V1128" s="49" t="str">
        <f t="shared" si="73"/>
        <v>[W3241.8] 용접#2 레일 RH 진공파기 시간초과 (X4BE, Y4FB, Y4FC)</v>
      </c>
    </row>
    <row r="1129" spans="1:22" s="49" customFormat="1" ht="14.15" customHeight="1">
      <c r="A1129" s="43" t="s">
        <v>6675</v>
      </c>
      <c r="B1129" s="44" t="s">
        <v>6635</v>
      </c>
      <c r="C1129" s="50"/>
      <c r="D1129" s="10" t="s">
        <v>29</v>
      </c>
      <c r="E1129" s="11"/>
      <c r="F1129" s="11" t="s">
        <v>18</v>
      </c>
      <c r="G1129" s="13"/>
      <c r="H1129" s="45" t="s">
        <v>16</v>
      </c>
      <c r="I1129" s="47"/>
      <c r="J1129" s="12" t="s">
        <v>6348</v>
      </c>
      <c r="K1129" s="13" t="s">
        <v>7900</v>
      </c>
      <c r="L1129" s="99" t="str">
        <f t="shared" si="72"/>
        <v>W3241.9</v>
      </c>
      <c r="M1129" s="13" t="s">
        <v>17</v>
      </c>
      <c r="N1129" s="13"/>
      <c r="O1129" s="13"/>
      <c r="P1129" s="47"/>
      <c r="Q1129" s="45" t="s">
        <v>142</v>
      </c>
      <c r="R1129" s="45" t="s">
        <v>5596</v>
      </c>
      <c r="S1129" s="48"/>
      <c r="T1129" s="49" t="str">
        <f t="shared" si="71"/>
        <v>[W3241.9]</v>
      </c>
      <c r="U1129" s="12" t="str">
        <f t="shared" si="74"/>
        <v xml:space="preserve"> 용접#2 레일 LH 진공흡착 시간초과 (X4BF, Y4FD)</v>
      </c>
      <c r="V1129" s="49" t="str">
        <f t="shared" si="73"/>
        <v>[W3241.9] 용접#2 레일 LH 진공흡착 시간초과 (X4BF, Y4FD)</v>
      </c>
    </row>
    <row r="1130" spans="1:22" s="49" customFormat="1" ht="14.15" customHeight="1">
      <c r="A1130" s="43" t="s">
        <v>6675</v>
      </c>
      <c r="B1130" s="44" t="s">
        <v>6635</v>
      </c>
      <c r="C1130" s="50"/>
      <c r="D1130" s="10" t="s">
        <v>29</v>
      </c>
      <c r="E1130" s="11"/>
      <c r="F1130" s="11" t="s">
        <v>18</v>
      </c>
      <c r="G1130" s="13"/>
      <c r="H1130" s="45" t="s">
        <v>16</v>
      </c>
      <c r="I1130" s="47"/>
      <c r="J1130" s="12" t="s">
        <v>6349</v>
      </c>
      <c r="K1130" s="13" t="s">
        <v>7901</v>
      </c>
      <c r="L1130" s="99" t="str">
        <f t="shared" si="72"/>
        <v>W3241.A</v>
      </c>
      <c r="M1130" s="13" t="s">
        <v>17</v>
      </c>
      <c r="N1130" s="13"/>
      <c r="O1130" s="13"/>
      <c r="P1130" s="47"/>
      <c r="Q1130" s="45" t="s">
        <v>142</v>
      </c>
      <c r="R1130" s="45" t="s">
        <v>5596</v>
      </c>
      <c r="S1130" s="48"/>
      <c r="T1130" s="49" t="str">
        <f t="shared" si="71"/>
        <v>[W3241.A]</v>
      </c>
      <c r="U1130" s="12" t="str">
        <f t="shared" si="74"/>
        <v xml:space="preserve"> 용접#2 레일 LH 진공파기 시간초과 (X4BF, Y4FE, Y4FF)</v>
      </c>
      <c r="V1130" s="49" t="str">
        <f t="shared" si="73"/>
        <v>[W3241.A] 용접#2 레일 LH 진공파기 시간초과 (X4BF, Y4FE, Y4FF)</v>
      </c>
    </row>
    <row r="1131" spans="1:22" s="49" customFormat="1" ht="14.15" customHeight="1">
      <c r="A1131" s="43" t="s">
        <v>6675</v>
      </c>
      <c r="B1131" s="44" t="s">
        <v>6635</v>
      </c>
      <c r="C1131" s="50"/>
      <c r="D1131" s="10" t="s">
        <v>29</v>
      </c>
      <c r="E1131" s="11"/>
      <c r="F1131" s="11" t="s">
        <v>56</v>
      </c>
      <c r="G1131" s="13"/>
      <c r="H1131" s="45" t="s">
        <v>16</v>
      </c>
      <c r="I1131" s="47"/>
      <c r="J1131" s="12" t="s">
        <v>6350</v>
      </c>
      <c r="K1131" s="13" t="s">
        <v>7902</v>
      </c>
      <c r="L1131" s="99" t="str">
        <f t="shared" si="72"/>
        <v>W3241.B</v>
      </c>
      <c r="M1131" s="13" t="s">
        <v>17</v>
      </c>
      <c r="N1131" s="13"/>
      <c r="O1131" s="13"/>
      <c r="P1131" s="47"/>
      <c r="Q1131" s="45" t="s">
        <v>142</v>
      </c>
      <c r="R1131" s="45" t="s">
        <v>5596</v>
      </c>
      <c r="S1131" s="48"/>
      <c r="T1131" s="49" t="str">
        <f t="shared" si="71"/>
        <v>[W3241.B]</v>
      </c>
      <c r="U1131" s="12" t="str">
        <f t="shared" si="74"/>
        <v xml:space="preserve"> 용접#2 용접기 4국 Ready 에러 (D9045.4)</v>
      </c>
      <c r="V1131" s="49" t="str">
        <f t="shared" si="73"/>
        <v>[W3241.B] 용접#2 용접기 4국 Ready 에러 (D9045.4)</v>
      </c>
    </row>
    <row r="1132" spans="1:22" s="49" customFormat="1" ht="14.15" customHeight="1">
      <c r="A1132" s="43" t="s">
        <v>6675</v>
      </c>
      <c r="B1132" s="44" t="s">
        <v>6635</v>
      </c>
      <c r="C1132" s="50"/>
      <c r="D1132" s="10" t="s">
        <v>29</v>
      </c>
      <c r="E1132" s="11"/>
      <c r="F1132" s="11" t="s">
        <v>18</v>
      </c>
      <c r="G1132" s="13"/>
      <c r="H1132" s="45" t="s">
        <v>16</v>
      </c>
      <c r="I1132" s="47"/>
      <c r="J1132" s="12" t="s">
        <v>6351</v>
      </c>
      <c r="K1132" s="13" t="s">
        <v>7903</v>
      </c>
      <c r="L1132" s="99" t="str">
        <f t="shared" si="72"/>
        <v>W3241.C</v>
      </c>
      <c r="M1132" s="13" t="s">
        <v>17</v>
      </c>
      <c r="N1132" s="13"/>
      <c r="O1132" s="13"/>
      <c r="P1132" s="47"/>
      <c r="Q1132" s="45" t="s">
        <v>142</v>
      </c>
      <c r="R1132" s="45" t="s">
        <v>5596</v>
      </c>
      <c r="S1132" s="48"/>
      <c r="T1132" s="49" t="str">
        <f t="shared" si="71"/>
        <v>[W3241.C]</v>
      </c>
      <c r="U1132" s="12" t="str">
        <f t="shared" si="74"/>
        <v xml:space="preserve"> 용접#2 용접기 5국 Ready 에러 (D9055.4)</v>
      </c>
      <c r="V1132" s="49" t="str">
        <f t="shared" si="73"/>
        <v>[W3241.C] 용접#2 용접기 5국 Ready 에러 (D9055.4)</v>
      </c>
    </row>
    <row r="1133" spans="1:22" s="49" customFormat="1" ht="14.15" customHeight="1">
      <c r="A1133" s="43" t="s">
        <v>6675</v>
      </c>
      <c r="B1133" s="44" t="s">
        <v>6635</v>
      </c>
      <c r="C1133" s="50"/>
      <c r="D1133" s="10" t="s">
        <v>29</v>
      </c>
      <c r="E1133" s="11"/>
      <c r="F1133" s="11" t="s">
        <v>18</v>
      </c>
      <c r="G1133" s="13"/>
      <c r="H1133" s="45" t="s">
        <v>16</v>
      </c>
      <c r="I1133" s="47"/>
      <c r="J1133" s="12" t="s">
        <v>6352</v>
      </c>
      <c r="K1133" s="13" t="s">
        <v>7904</v>
      </c>
      <c r="L1133" s="99" t="str">
        <f t="shared" si="72"/>
        <v>W3241.D</v>
      </c>
      <c r="M1133" s="13" t="s">
        <v>17</v>
      </c>
      <c r="N1133" s="13"/>
      <c r="O1133" s="13"/>
      <c r="P1133" s="47"/>
      <c r="Q1133" s="45" t="s">
        <v>142</v>
      </c>
      <c r="R1133" s="45" t="s">
        <v>5596</v>
      </c>
      <c r="S1133" s="48"/>
      <c r="T1133" s="49" t="str">
        <f t="shared" si="71"/>
        <v>[W3241.D]</v>
      </c>
      <c r="U1133" s="12" t="str">
        <f t="shared" si="74"/>
        <v xml:space="preserve"> 용접#2 용접기 6국 Ready 에러 (D9065.4)</v>
      </c>
      <c r="V1133" s="49" t="str">
        <f t="shared" si="73"/>
        <v>[W3241.D] 용접#2 용접기 6국 Ready 에러 (D9065.4)</v>
      </c>
    </row>
    <row r="1134" spans="1:22" s="49" customFormat="1" ht="14.15" customHeight="1">
      <c r="A1134" s="43" t="s">
        <v>6675</v>
      </c>
      <c r="B1134" s="44" t="s">
        <v>6635</v>
      </c>
      <c r="C1134" s="50"/>
      <c r="D1134" s="10" t="s">
        <v>29</v>
      </c>
      <c r="E1134" s="11"/>
      <c r="F1134" s="11" t="s">
        <v>18</v>
      </c>
      <c r="G1134" s="13"/>
      <c r="H1134" s="45" t="s">
        <v>16</v>
      </c>
      <c r="I1134" s="47"/>
      <c r="J1134" s="12" t="s">
        <v>6353</v>
      </c>
      <c r="K1134" s="13" t="s">
        <v>7905</v>
      </c>
      <c r="L1134" s="99" t="str">
        <f t="shared" si="72"/>
        <v>W3241.E</v>
      </c>
      <c r="M1134" s="13" t="s">
        <v>17</v>
      </c>
      <c r="N1134" s="13"/>
      <c r="O1134" s="13"/>
      <c r="P1134" s="47"/>
      <c r="Q1134" s="45" t="s">
        <v>142</v>
      </c>
      <c r="R1134" s="45" t="s">
        <v>5596</v>
      </c>
      <c r="S1134" s="48"/>
      <c r="T1134" s="49" t="str">
        <f t="shared" si="71"/>
        <v>[W3241.E]</v>
      </c>
      <c r="U1134" s="12" t="str">
        <f t="shared" si="74"/>
        <v xml:space="preserve"> 용접#2 용접기 7국 Ready 에러 (D9075.4)</v>
      </c>
      <c r="V1134" s="49" t="str">
        <f t="shared" si="73"/>
        <v>[W3241.E] 용접#2 용접기 7국 Ready 에러 (D9075.4)</v>
      </c>
    </row>
    <row r="1135" spans="1:22" s="49" customFormat="1" ht="14.15" customHeight="1">
      <c r="A1135" s="43" t="s">
        <v>6675</v>
      </c>
      <c r="B1135" s="44" t="s">
        <v>6635</v>
      </c>
      <c r="C1135" s="50"/>
      <c r="D1135" s="10" t="s">
        <v>29</v>
      </c>
      <c r="E1135" s="11"/>
      <c r="F1135" s="11" t="s">
        <v>18</v>
      </c>
      <c r="G1135" s="13"/>
      <c r="H1135" s="45" t="s">
        <v>16</v>
      </c>
      <c r="I1135" s="47"/>
      <c r="J1135" s="12" t="s">
        <v>6354</v>
      </c>
      <c r="K1135" s="13" t="s">
        <v>7906</v>
      </c>
      <c r="L1135" s="99" t="str">
        <f t="shared" si="72"/>
        <v>W3241.F</v>
      </c>
      <c r="M1135" s="13" t="s">
        <v>17</v>
      </c>
      <c r="N1135" s="13"/>
      <c r="O1135" s="13"/>
      <c r="P1135" s="47"/>
      <c r="Q1135" s="45" t="s">
        <v>142</v>
      </c>
      <c r="R1135" s="45" t="s">
        <v>5596</v>
      </c>
      <c r="S1135" s="48"/>
      <c r="T1135" s="49" t="str">
        <f t="shared" si="71"/>
        <v>[W3241.F]</v>
      </c>
      <c r="U1135" s="12" t="str">
        <f t="shared" si="74"/>
        <v xml:space="preserve"> 용접#2 4국 통신에러 (D9045.7)</v>
      </c>
      <c r="V1135" s="49" t="str">
        <f t="shared" si="73"/>
        <v>[W3241.F] 용접#2 4국 통신에러 (D9045.7)</v>
      </c>
    </row>
    <row r="1136" spans="1:22" s="49" customFormat="1" ht="14.15" customHeight="1">
      <c r="A1136" s="43" t="s">
        <v>6675</v>
      </c>
      <c r="B1136" s="44" t="s">
        <v>6635</v>
      </c>
      <c r="C1136" s="50"/>
      <c r="D1136" s="10" t="s">
        <v>29</v>
      </c>
      <c r="E1136" s="11"/>
      <c r="F1136" s="11" t="s">
        <v>18</v>
      </c>
      <c r="G1136" s="13"/>
      <c r="H1136" s="45" t="s">
        <v>16</v>
      </c>
      <c r="I1136" s="47"/>
      <c r="J1136" s="12" t="s">
        <v>6355</v>
      </c>
      <c r="K1136" s="13" t="s">
        <v>7907</v>
      </c>
      <c r="L1136" s="99" t="str">
        <f t="shared" si="72"/>
        <v>W3242.0</v>
      </c>
      <c r="M1136" s="13" t="s">
        <v>17</v>
      </c>
      <c r="N1136" s="13"/>
      <c r="O1136" s="13"/>
      <c r="P1136" s="47"/>
      <c r="Q1136" s="45" t="s">
        <v>142</v>
      </c>
      <c r="R1136" s="45" t="s">
        <v>5596</v>
      </c>
      <c r="S1136" s="48"/>
      <c r="T1136" s="49" t="str">
        <f t="shared" si="71"/>
        <v>[W3242.0]</v>
      </c>
      <c r="U1136" s="12" t="str">
        <f t="shared" si="74"/>
        <v xml:space="preserve"> 용접#2 5국 통신에러 (D9055.7)</v>
      </c>
      <c r="V1136" s="49" t="str">
        <f t="shared" si="73"/>
        <v>[W3242.0] 용접#2 5국 통신에러 (D9055.7)</v>
      </c>
    </row>
    <row r="1137" spans="1:22" s="49" customFormat="1" ht="14.15" customHeight="1">
      <c r="A1137" s="43" t="s">
        <v>6675</v>
      </c>
      <c r="B1137" s="44" t="s">
        <v>6635</v>
      </c>
      <c r="C1137" s="50"/>
      <c r="D1137" s="10" t="s">
        <v>29</v>
      </c>
      <c r="E1137" s="11"/>
      <c r="F1137" s="11" t="s">
        <v>18</v>
      </c>
      <c r="G1137" s="13"/>
      <c r="H1137" s="45" t="s">
        <v>16</v>
      </c>
      <c r="I1137" s="47"/>
      <c r="J1137" s="12" t="s">
        <v>6356</v>
      </c>
      <c r="K1137" s="13" t="s">
        <v>7908</v>
      </c>
      <c r="L1137" s="99" t="str">
        <f t="shared" si="72"/>
        <v>W3242.1</v>
      </c>
      <c r="M1137" s="13" t="s">
        <v>17</v>
      </c>
      <c r="N1137" s="13"/>
      <c r="O1137" s="13"/>
      <c r="P1137" s="47"/>
      <c r="Q1137" s="45" t="s">
        <v>142</v>
      </c>
      <c r="R1137" s="45" t="s">
        <v>5596</v>
      </c>
      <c r="S1137" s="48"/>
      <c r="T1137" s="49" t="str">
        <f t="shared" si="71"/>
        <v>[W3242.1]</v>
      </c>
      <c r="U1137" s="12" t="str">
        <f t="shared" si="74"/>
        <v xml:space="preserve"> 용접#2 6국 통신에러 (D9065.7)</v>
      </c>
      <c r="V1137" s="49" t="str">
        <f t="shared" si="73"/>
        <v>[W3242.1] 용접#2 6국 통신에러 (D9065.7)</v>
      </c>
    </row>
    <row r="1138" spans="1:22" s="49" customFormat="1" ht="14.15" customHeight="1">
      <c r="A1138" s="43" t="s">
        <v>6675</v>
      </c>
      <c r="B1138" s="44" t="s">
        <v>6635</v>
      </c>
      <c r="C1138" s="50"/>
      <c r="D1138" s="10" t="s">
        <v>29</v>
      </c>
      <c r="E1138" s="11"/>
      <c r="F1138" s="11" t="s">
        <v>18</v>
      </c>
      <c r="G1138" s="13"/>
      <c r="H1138" s="45" t="s">
        <v>16</v>
      </c>
      <c r="I1138" s="47"/>
      <c r="J1138" s="12" t="s">
        <v>6357</v>
      </c>
      <c r="K1138" s="13" t="s">
        <v>7909</v>
      </c>
      <c r="L1138" s="99" t="str">
        <f t="shared" si="72"/>
        <v>W3242.2</v>
      </c>
      <c r="M1138" s="13" t="s">
        <v>17</v>
      </c>
      <c r="N1138" s="13"/>
      <c r="O1138" s="13"/>
      <c r="P1138" s="47"/>
      <c r="Q1138" s="45" t="s">
        <v>142</v>
      </c>
      <c r="R1138" s="45" t="s">
        <v>5596</v>
      </c>
      <c r="S1138" s="48"/>
      <c r="T1138" s="49" t="str">
        <f t="shared" si="71"/>
        <v>[W3242.2]</v>
      </c>
      <c r="U1138" s="12" t="str">
        <f t="shared" si="74"/>
        <v xml:space="preserve"> 용접#2 7국 통신에러 (D9075.7)</v>
      </c>
      <c r="V1138" s="49" t="str">
        <f t="shared" si="73"/>
        <v>[W3242.2] 용접#2 7국 통신에러 (D9075.7)</v>
      </c>
    </row>
    <row r="1139" spans="1:22" s="49" customFormat="1" ht="14.15" customHeight="1">
      <c r="A1139" s="43"/>
      <c r="B1139" s="44" t="s">
        <v>6635</v>
      </c>
      <c r="C1139" s="50"/>
      <c r="D1139" s="10" t="s">
        <v>29</v>
      </c>
      <c r="E1139" s="11"/>
      <c r="F1139" s="11" t="s">
        <v>18</v>
      </c>
      <c r="G1139" s="13"/>
      <c r="H1139" s="45" t="s">
        <v>16</v>
      </c>
      <c r="I1139" s="47"/>
      <c r="J1139" s="12" t="s">
        <v>924</v>
      </c>
      <c r="K1139" s="13" t="s">
        <v>7910</v>
      </c>
      <c r="L1139" s="99" t="str">
        <f t="shared" si="72"/>
        <v>W3242.3</v>
      </c>
      <c r="M1139" s="13"/>
      <c r="N1139" s="13"/>
      <c r="O1139" s="13"/>
      <c r="P1139" s="47"/>
      <c r="Q1139" s="45"/>
      <c r="R1139" s="45"/>
      <c r="S1139" s="48"/>
      <c r="T1139" s="49" t="str">
        <f t="shared" si="71"/>
        <v>[W3242.3]</v>
      </c>
      <c r="U1139" s="12" t="str">
        <f t="shared" si="74"/>
        <v xml:space="preserve"> </v>
      </c>
      <c r="V1139" s="49" t="str">
        <f t="shared" si="73"/>
        <v xml:space="preserve">[W3242.3] </v>
      </c>
    </row>
    <row r="1140" spans="1:22" s="49" customFormat="1" ht="14.15" customHeight="1">
      <c r="A1140" s="43"/>
      <c r="B1140" s="44" t="s">
        <v>6635</v>
      </c>
      <c r="C1140" s="50"/>
      <c r="D1140" s="10" t="s">
        <v>29</v>
      </c>
      <c r="E1140" s="11"/>
      <c r="F1140" s="11" t="s">
        <v>18</v>
      </c>
      <c r="G1140" s="13"/>
      <c r="H1140" s="45" t="s">
        <v>16</v>
      </c>
      <c r="I1140" s="47"/>
      <c r="J1140" s="12" t="s">
        <v>925</v>
      </c>
      <c r="K1140" s="13" t="s">
        <v>7911</v>
      </c>
      <c r="L1140" s="99" t="str">
        <f t="shared" si="72"/>
        <v>W3242.4</v>
      </c>
      <c r="M1140" s="13"/>
      <c r="N1140" s="13"/>
      <c r="O1140" s="13"/>
      <c r="P1140" s="47"/>
      <c r="Q1140" s="45"/>
      <c r="R1140" s="45"/>
      <c r="S1140" s="48"/>
      <c r="T1140" s="49" t="str">
        <f t="shared" si="71"/>
        <v>[W3242.4]</v>
      </c>
      <c r="U1140" s="12" t="str">
        <f t="shared" si="74"/>
        <v xml:space="preserve"> </v>
      </c>
      <c r="V1140" s="49" t="str">
        <f t="shared" si="73"/>
        <v xml:space="preserve">[W3242.4] </v>
      </c>
    </row>
    <row r="1141" spans="1:22" s="49" customFormat="1" ht="14.15" customHeight="1">
      <c r="A1141" s="43" t="s">
        <v>6675</v>
      </c>
      <c r="B1141" s="44" t="s">
        <v>6635</v>
      </c>
      <c r="C1141" s="50"/>
      <c r="D1141" s="10" t="s">
        <v>29</v>
      </c>
      <c r="E1141" s="11"/>
      <c r="F1141" s="11" t="s">
        <v>18</v>
      </c>
      <c r="G1141" s="13"/>
      <c r="H1141" s="45" t="s">
        <v>16</v>
      </c>
      <c r="I1141" s="47"/>
      <c r="J1141" s="12" t="s">
        <v>6358</v>
      </c>
      <c r="K1141" s="13" t="s">
        <v>7912</v>
      </c>
      <c r="L1141" s="99" t="str">
        <f t="shared" si="72"/>
        <v>W3242.5</v>
      </c>
      <c r="M1141" s="13" t="s">
        <v>17</v>
      </c>
      <c r="N1141" s="13"/>
      <c r="O1141" s="13"/>
      <c r="P1141" s="47"/>
      <c r="Q1141" s="45" t="s">
        <v>142</v>
      </c>
      <c r="R1141" s="45" t="s">
        <v>5596</v>
      </c>
      <c r="S1141" s="48"/>
      <c r="T1141" s="49" t="str">
        <f t="shared" si="71"/>
        <v>[W3242.5]</v>
      </c>
      <c r="U1141" s="12" t="str">
        <f t="shared" si="74"/>
        <v xml:space="preserve"> 용접#2 브라켓 감지에러 (X484, X485, L4042)</v>
      </c>
      <c r="V1141" s="49" t="str">
        <f t="shared" si="73"/>
        <v>[W3242.5] 용접#2 브라켓 감지에러 (X484, X485, L4042)</v>
      </c>
    </row>
    <row r="1142" spans="1:22" s="49" customFormat="1" ht="14.15" customHeight="1">
      <c r="A1142" s="43" t="s">
        <v>6675</v>
      </c>
      <c r="B1142" s="44" t="s">
        <v>6635</v>
      </c>
      <c r="C1142" s="50"/>
      <c r="D1142" s="10" t="s">
        <v>29</v>
      </c>
      <c r="E1142" s="11"/>
      <c r="F1142" s="11" t="s">
        <v>18</v>
      </c>
      <c r="G1142" s="13"/>
      <c r="H1142" s="45" t="s">
        <v>16</v>
      </c>
      <c r="I1142" s="47"/>
      <c r="J1142" s="12" t="s">
        <v>6359</v>
      </c>
      <c r="K1142" s="13" t="s">
        <v>7913</v>
      </c>
      <c r="L1142" s="99" t="str">
        <f t="shared" si="72"/>
        <v>W3242.6</v>
      </c>
      <c r="M1142" s="13" t="s">
        <v>17</v>
      </c>
      <c r="N1142" s="13"/>
      <c r="O1142" s="13"/>
      <c r="P1142" s="47"/>
      <c r="Q1142" s="45" t="s">
        <v>142</v>
      </c>
      <c r="R1142" s="45" t="s">
        <v>5596</v>
      </c>
      <c r="S1142" s="48"/>
      <c r="T1142" s="49" t="str">
        <f t="shared" si="71"/>
        <v>[W3242.6]</v>
      </c>
      <c r="U1142" s="12" t="str">
        <f t="shared" si="74"/>
        <v xml:space="preserve"> 용접#2 터브 감지에러 (X480, X481, X482, L4006)</v>
      </c>
      <c r="V1142" s="49" t="str">
        <f t="shared" si="73"/>
        <v>[W3242.6] 용접#2 터브 감지에러 (X480, X481, X482, L4006)</v>
      </c>
    </row>
    <row r="1143" spans="1:22" s="49" customFormat="1" ht="14.15" customHeight="1">
      <c r="A1143" s="43" t="s">
        <v>6675</v>
      </c>
      <c r="B1143" s="44" t="s">
        <v>6635</v>
      </c>
      <c r="C1143" s="50"/>
      <c r="D1143" s="10" t="s">
        <v>29</v>
      </c>
      <c r="E1143" s="11"/>
      <c r="F1143" s="11" t="s">
        <v>18</v>
      </c>
      <c r="G1143" s="13"/>
      <c r="H1143" s="45" t="s">
        <v>16</v>
      </c>
      <c r="I1143" s="47"/>
      <c r="J1143" s="12" t="s">
        <v>6360</v>
      </c>
      <c r="K1143" s="13" t="s">
        <v>7914</v>
      </c>
      <c r="L1143" s="99" t="str">
        <f t="shared" si="72"/>
        <v>W3242.7</v>
      </c>
      <c r="M1143" s="13" t="s">
        <v>17</v>
      </c>
      <c r="N1143" s="13"/>
      <c r="O1143" s="13"/>
      <c r="P1143" s="47"/>
      <c r="Q1143" s="45" t="s">
        <v>142</v>
      </c>
      <c r="R1143" s="45" t="s">
        <v>5596</v>
      </c>
      <c r="S1143" s="48"/>
      <c r="T1143" s="49" t="str">
        <f t="shared" si="71"/>
        <v>[W3242.7]</v>
      </c>
      <c r="U1143" s="12" t="str">
        <f t="shared" si="74"/>
        <v xml:space="preserve"> 용접#2 1-1용접 품질이상 (D9045.5)</v>
      </c>
      <c r="V1143" s="49" t="str">
        <f t="shared" si="73"/>
        <v>[W3242.7] 용접#2 1-1용접 품질이상 (D9045.5)</v>
      </c>
    </row>
    <row r="1144" spans="1:22" s="49" customFormat="1" ht="14.15" customHeight="1">
      <c r="A1144" s="43" t="s">
        <v>6675</v>
      </c>
      <c r="B1144" s="44" t="s">
        <v>6635</v>
      </c>
      <c r="C1144" s="50"/>
      <c r="D1144" s="10" t="s">
        <v>29</v>
      </c>
      <c r="E1144" s="11"/>
      <c r="F1144" s="11" t="s">
        <v>18</v>
      </c>
      <c r="G1144" s="13"/>
      <c r="H1144" s="45" t="s">
        <v>16</v>
      </c>
      <c r="I1144" s="47"/>
      <c r="J1144" s="12" t="s">
        <v>6361</v>
      </c>
      <c r="K1144" s="13" t="s">
        <v>7915</v>
      </c>
      <c r="L1144" s="99" t="str">
        <f t="shared" si="72"/>
        <v>W3242.8</v>
      </c>
      <c r="M1144" s="13" t="s">
        <v>17</v>
      </c>
      <c r="N1144" s="13"/>
      <c r="O1144" s="13"/>
      <c r="P1144" s="47"/>
      <c r="Q1144" s="45" t="s">
        <v>142</v>
      </c>
      <c r="R1144" s="45" t="s">
        <v>5596</v>
      </c>
      <c r="S1144" s="48"/>
      <c r="T1144" s="49" t="str">
        <f t="shared" si="71"/>
        <v>[W3242.8]</v>
      </c>
      <c r="U1144" s="12" t="str">
        <f t="shared" si="74"/>
        <v xml:space="preserve"> 용접#2 2-1용접 품질이상 (D9055.5)</v>
      </c>
      <c r="V1144" s="49" t="str">
        <f t="shared" si="73"/>
        <v>[W3242.8] 용접#2 2-1용접 품질이상 (D9055.5)</v>
      </c>
    </row>
    <row r="1145" spans="1:22" s="49" customFormat="1" ht="14.15" customHeight="1">
      <c r="A1145" s="43" t="s">
        <v>6675</v>
      </c>
      <c r="B1145" s="44" t="s">
        <v>6635</v>
      </c>
      <c r="C1145" s="50"/>
      <c r="D1145" s="10" t="s">
        <v>29</v>
      </c>
      <c r="E1145" s="11"/>
      <c r="F1145" s="11" t="s">
        <v>18</v>
      </c>
      <c r="G1145" s="13"/>
      <c r="H1145" s="45" t="s">
        <v>16</v>
      </c>
      <c r="I1145" s="47"/>
      <c r="J1145" s="12" t="s">
        <v>6362</v>
      </c>
      <c r="K1145" s="13" t="s">
        <v>7916</v>
      </c>
      <c r="L1145" s="99" t="str">
        <f t="shared" si="72"/>
        <v>W3242.9</v>
      </c>
      <c r="M1145" s="13" t="s">
        <v>17</v>
      </c>
      <c r="N1145" s="13"/>
      <c r="O1145" s="13"/>
      <c r="P1145" s="47"/>
      <c r="Q1145" s="45" t="s">
        <v>142</v>
      </c>
      <c r="R1145" s="45" t="s">
        <v>5596</v>
      </c>
      <c r="S1145" s="48"/>
      <c r="T1145" s="49" t="str">
        <f t="shared" si="71"/>
        <v>[W3242.9]</v>
      </c>
      <c r="U1145" s="12" t="str">
        <f t="shared" si="74"/>
        <v xml:space="preserve"> 용접#2 3-1용접 품질이상 (D9065.5)</v>
      </c>
      <c r="V1145" s="49" t="str">
        <f t="shared" si="73"/>
        <v>[W3242.9] 용접#2 3-1용접 품질이상 (D9065.5)</v>
      </c>
    </row>
    <row r="1146" spans="1:22" s="49" customFormat="1" ht="14.15" customHeight="1">
      <c r="A1146" s="43" t="s">
        <v>6675</v>
      </c>
      <c r="B1146" s="44" t="s">
        <v>6635</v>
      </c>
      <c r="C1146" s="50"/>
      <c r="D1146" s="10" t="s">
        <v>29</v>
      </c>
      <c r="E1146" s="11"/>
      <c r="F1146" s="11" t="s">
        <v>18</v>
      </c>
      <c r="G1146" s="13"/>
      <c r="H1146" s="45" t="s">
        <v>16</v>
      </c>
      <c r="I1146" s="47"/>
      <c r="J1146" s="12" t="s">
        <v>6363</v>
      </c>
      <c r="K1146" s="13" t="s">
        <v>7917</v>
      </c>
      <c r="L1146" s="99" t="str">
        <f t="shared" si="72"/>
        <v>W3242.A</v>
      </c>
      <c r="M1146" s="13" t="s">
        <v>17</v>
      </c>
      <c r="N1146" s="13"/>
      <c r="O1146" s="13"/>
      <c r="P1146" s="47"/>
      <c r="Q1146" s="45" t="s">
        <v>142</v>
      </c>
      <c r="R1146" s="45" t="s">
        <v>5596</v>
      </c>
      <c r="S1146" s="48"/>
      <c r="T1146" s="49" t="str">
        <f t="shared" si="71"/>
        <v>[W3242.A]</v>
      </c>
      <c r="U1146" s="12" t="str">
        <f t="shared" si="74"/>
        <v xml:space="preserve"> 용접#2 레일-1용접 품질이상 (D9075.5)</v>
      </c>
      <c r="V1146" s="49" t="str">
        <f t="shared" si="73"/>
        <v>[W3242.A] 용접#2 레일-1용접 품질이상 (D9075.5)</v>
      </c>
    </row>
    <row r="1147" spans="1:22" s="49" customFormat="1" ht="14.15" customHeight="1">
      <c r="A1147" s="43" t="s">
        <v>6675</v>
      </c>
      <c r="B1147" s="44" t="s">
        <v>6635</v>
      </c>
      <c r="C1147" s="50"/>
      <c r="D1147" s="10" t="s">
        <v>29</v>
      </c>
      <c r="E1147" s="11"/>
      <c r="F1147" s="11" t="s">
        <v>18</v>
      </c>
      <c r="G1147" s="13"/>
      <c r="H1147" s="45" t="s">
        <v>16</v>
      </c>
      <c r="I1147" s="47"/>
      <c r="J1147" s="12" t="s">
        <v>6364</v>
      </c>
      <c r="K1147" s="13" t="s">
        <v>7918</v>
      </c>
      <c r="L1147" s="99" t="str">
        <f t="shared" si="72"/>
        <v>W3242.B</v>
      </c>
      <c r="M1147" s="13" t="s">
        <v>17</v>
      </c>
      <c r="N1147" s="13"/>
      <c r="O1147" s="13"/>
      <c r="P1147" s="47"/>
      <c r="Q1147" s="45" t="s">
        <v>142</v>
      </c>
      <c r="R1147" s="45" t="s">
        <v>5596</v>
      </c>
      <c r="S1147" s="48"/>
      <c r="T1147" s="49" t="str">
        <f t="shared" si="71"/>
        <v>[W3242.B]</v>
      </c>
      <c r="U1147" s="12" t="str">
        <f t="shared" si="74"/>
        <v xml:space="preserve"> 용접#2 1-2용접 품질이상 (D9045.5)</v>
      </c>
      <c r="V1147" s="49" t="str">
        <f t="shared" si="73"/>
        <v>[W3242.B] 용접#2 1-2용접 품질이상 (D9045.5)</v>
      </c>
    </row>
    <row r="1148" spans="1:22" s="49" customFormat="1" ht="14.15" customHeight="1">
      <c r="A1148" s="43" t="s">
        <v>6675</v>
      </c>
      <c r="B1148" s="44" t="s">
        <v>6635</v>
      </c>
      <c r="C1148" s="50"/>
      <c r="D1148" s="10" t="s">
        <v>29</v>
      </c>
      <c r="E1148" s="11"/>
      <c r="F1148" s="11" t="s">
        <v>18</v>
      </c>
      <c r="G1148" s="13"/>
      <c r="H1148" s="45" t="s">
        <v>16</v>
      </c>
      <c r="I1148" s="47"/>
      <c r="J1148" s="12" t="s">
        <v>6365</v>
      </c>
      <c r="K1148" s="13" t="s">
        <v>7919</v>
      </c>
      <c r="L1148" s="99" t="str">
        <f t="shared" si="72"/>
        <v>W3242.C</v>
      </c>
      <c r="M1148" s="13" t="s">
        <v>17</v>
      </c>
      <c r="N1148" s="13"/>
      <c r="O1148" s="13"/>
      <c r="P1148" s="47"/>
      <c r="Q1148" s="45" t="s">
        <v>142</v>
      </c>
      <c r="R1148" s="45" t="s">
        <v>5596</v>
      </c>
      <c r="S1148" s="48"/>
      <c r="T1148" s="49" t="str">
        <f t="shared" si="71"/>
        <v>[W3242.C]</v>
      </c>
      <c r="U1148" s="12" t="str">
        <f t="shared" si="74"/>
        <v xml:space="preserve"> 용접#2 2-2용접 품질이상 (D9055.5)</v>
      </c>
      <c r="V1148" s="49" t="str">
        <f t="shared" si="73"/>
        <v>[W3242.C] 용접#2 2-2용접 품질이상 (D9055.5)</v>
      </c>
    </row>
    <row r="1149" spans="1:22" s="49" customFormat="1" ht="14.15" customHeight="1">
      <c r="A1149" s="43" t="s">
        <v>6675</v>
      </c>
      <c r="B1149" s="44" t="s">
        <v>6635</v>
      </c>
      <c r="C1149" s="50"/>
      <c r="D1149" s="10" t="s">
        <v>29</v>
      </c>
      <c r="E1149" s="11"/>
      <c r="F1149" s="11" t="s">
        <v>18</v>
      </c>
      <c r="G1149" s="13"/>
      <c r="H1149" s="45" t="s">
        <v>16</v>
      </c>
      <c r="I1149" s="47"/>
      <c r="J1149" s="12" t="s">
        <v>6366</v>
      </c>
      <c r="K1149" s="13" t="s">
        <v>7920</v>
      </c>
      <c r="L1149" s="99" t="str">
        <f t="shared" si="72"/>
        <v>W3242.D</v>
      </c>
      <c r="M1149" s="13" t="s">
        <v>17</v>
      </c>
      <c r="N1149" s="13"/>
      <c r="O1149" s="13"/>
      <c r="P1149" s="47"/>
      <c r="Q1149" s="45" t="s">
        <v>142</v>
      </c>
      <c r="R1149" s="45" t="s">
        <v>5596</v>
      </c>
      <c r="S1149" s="48"/>
      <c r="T1149" s="49" t="str">
        <f t="shared" si="71"/>
        <v>[W3242.D]</v>
      </c>
      <c r="U1149" s="12" t="str">
        <f t="shared" si="74"/>
        <v xml:space="preserve"> 용접#2 3-2용접 품질이상 (D9065.5)</v>
      </c>
      <c r="V1149" s="49" t="str">
        <f t="shared" si="73"/>
        <v>[W3242.D] 용접#2 3-2용접 품질이상 (D9065.5)</v>
      </c>
    </row>
    <row r="1150" spans="1:22" s="49" customFormat="1" ht="14.15" customHeight="1">
      <c r="A1150" s="43" t="s">
        <v>6675</v>
      </c>
      <c r="B1150" s="44" t="s">
        <v>6635</v>
      </c>
      <c r="C1150" s="50"/>
      <c r="D1150" s="10" t="s">
        <v>29</v>
      </c>
      <c r="E1150" s="11"/>
      <c r="F1150" s="11" t="s">
        <v>18</v>
      </c>
      <c r="G1150" s="13"/>
      <c r="H1150" s="45" t="s">
        <v>16</v>
      </c>
      <c r="I1150" s="47"/>
      <c r="J1150" s="12" t="s">
        <v>6367</v>
      </c>
      <c r="K1150" s="13" t="s">
        <v>7921</v>
      </c>
      <c r="L1150" s="99" t="str">
        <f t="shared" si="72"/>
        <v>W3242.E</v>
      </c>
      <c r="M1150" s="13" t="s">
        <v>17</v>
      </c>
      <c r="N1150" s="13"/>
      <c r="O1150" s="13"/>
      <c r="P1150" s="47"/>
      <c r="Q1150" s="45" t="s">
        <v>142</v>
      </c>
      <c r="R1150" s="45" t="s">
        <v>5596</v>
      </c>
      <c r="S1150" s="48"/>
      <c r="T1150" s="49" t="str">
        <f t="shared" si="71"/>
        <v>[W3242.E]</v>
      </c>
      <c r="U1150" s="12" t="str">
        <f t="shared" si="74"/>
        <v xml:space="preserve"> 용접#2 레일-2용접 품질이상 (D9075.5)</v>
      </c>
      <c r="V1150" s="49" t="str">
        <f t="shared" si="73"/>
        <v>[W3242.E] 용접#2 레일-2용접 품질이상 (D9075.5)</v>
      </c>
    </row>
    <row r="1151" spans="1:22" s="49" customFormat="1" ht="14.15" customHeight="1">
      <c r="A1151" s="43"/>
      <c r="B1151" s="44" t="s">
        <v>6635</v>
      </c>
      <c r="C1151" s="50"/>
      <c r="D1151" s="10" t="s">
        <v>29</v>
      </c>
      <c r="E1151" s="11"/>
      <c r="F1151" s="11" t="s">
        <v>18</v>
      </c>
      <c r="G1151" s="13"/>
      <c r="H1151" s="45" t="s">
        <v>16</v>
      </c>
      <c r="I1151" s="47"/>
      <c r="J1151" s="12" t="s">
        <v>4103</v>
      </c>
      <c r="K1151" s="13" t="s">
        <v>7922</v>
      </c>
      <c r="L1151" s="99" t="str">
        <f t="shared" si="72"/>
        <v>W3242.F</v>
      </c>
      <c r="M1151" s="13"/>
      <c r="N1151" s="13"/>
      <c r="O1151" s="13"/>
      <c r="P1151" s="47"/>
      <c r="Q1151" s="45"/>
      <c r="R1151" s="45"/>
      <c r="S1151" s="48"/>
      <c r="T1151" s="49" t="str">
        <f t="shared" si="71"/>
        <v>[W3242.F]</v>
      </c>
      <c r="U1151" s="12" t="str">
        <f t="shared" si="74"/>
        <v/>
      </c>
      <c r="V1151" s="49" t="str">
        <f t="shared" si="73"/>
        <v>[W3242.F]</v>
      </c>
    </row>
    <row r="1152" spans="1:22" s="49" customFormat="1" ht="14.15" customHeight="1">
      <c r="A1152" s="44"/>
      <c r="B1152" s="44" t="s">
        <v>6635</v>
      </c>
      <c r="C1152" s="50"/>
      <c r="D1152" s="10" t="s">
        <v>29</v>
      </c>
      <c r="E1152" s="11"/>
      <c r="F1152" s="11" t="s">
        <v>18</v>
      </c>
      <c r="G1152" s="13"/>
      <c r="H1152" s="45" t="s">
        <v>16</v>
      </c>
      <c r="I1152" s="47"/>
      <c r="J1152" s="12" t="s">
        <v>4104</v>
      </c>
      <c r="K1152" s="13" t="s">
        <v>7923</v>
      </c>
      <c r="L1152" s="99" t="str">
        <f t="shared" si="72"/>
        <v>W3243.0</v>
      </c>
      <c r="M1152" s="13"/>
      <c r="N1152" s="13"/>
      <c r="O1152" s="13"/>
      <c r="P1152" s="47"/>
      <c r="Q1152" s="45"/>
      <c r="R1152" s="45"/>
      <c r="S1152" s="48"/>
      <c r="T1152" s="49" t="str">
        <f t="shared" si="71"/>
        <v>[W3243.0]</v>
      </c>
      <c r="U1152" s="12" t="str">
        <f t="shared" si="74"/>
        <v/>
      </c>
      <c r="V1152" s="49" t="str">
        <f t="shared" si="73"/>
        <v>[W3243.0]</v>
      </c>
    </row>
    <row r="1153" spans="1:22" s="49" customFormat="1" ht="14.15" customHeight="1">
      <c r="A1153" s="43"/>
      <c r="B1153" s="44" t="s">
        <v>6635</v>
      </c>
      <c r="C1153" s="50"/>
      <c r="D1153" s="10" t="s">
        <v>29</v>
      </c>
      <c r="E1153" s="11"/>
      <c r="F1153" s="11" t="s">
        <v>18</v>
      </c>
      <c r="G1153" s="13"/>
      <c r="H1153" s="45" t="s">
        <v>16</v>
      </c>
      <c r="I1153" s="47"/>
      <c r="J1153" s="12" t="s">
        <v>4105</v>
      </c>
      <c r="K1153" s="13" t="s">
        <v>7924</v>
      </c>
      <c r="L1153" s="99" t="str">
        <f t="shared" si="72"/>
        <v>W3243.1</v>
      </c>
      <c r="M1153" s="13"/>
      <c r="N1153" s="13"/>
      <c r="O1153" s="13"/>
      <c r="P1153" s="47"/>
      <c r="Q1153" s="45"/>
      <c r="R1153" s="45"/>
      <c r="S1153" s="48"/>
      <c r="T1153" s="49" t="str">
        <f t="shared" si="71"/>
        <v>[W3243.1]</v>
      </c>
      <c r="U1153" s="12" t="str">
        <f t="shared" si="74"/>
        <v/>
      </c>
      <c r="V1153" s="49" t="str">
        <f t="shared" si="73"/>
        <v>[W3243.1]</v>
      </c>
    </row>
    <row r="1154" spans="1:22" s="49" customFormat="1" ht="14.15" customHeight="1">
      <c r="A1154" s="44"/>
      <c r="B1154" s="44" t="s">
        <v>6635</v>
      </c>
      <c r="C1154" s="50"/>
      <c r="D1154" s="10" t="s">
        <v>29</v>
      </c>
      <c r="E1154" s="11"/>
      <c r="F1154" s="11" t="s">
        <v>18</v>
      </c>
      <c r="G1154" s="13"/>
      <c r="H1154" s="45" t="s">
        <v>16</v>
      </c>
      <c r="I1154" s="47"/>
      <c r="J1154" s="12" t="s">
        <v>4106</v>
      </c>
      <c r="K1154" s="13" t="s">
        <v>7925</v>
      </c>
      <c r="L1154" s="99" t="str">
        <f t="shared" si="72"/>
        <v>W3243.2</v>
      </c>
      <c r="M1154" s="13"/>
      <c r="N1154" s="13"/>
      <c r="O1154" s="13"/>
      <c r="P1154" s="47"/>
      <c r="Q1154" s="45"/>
      <c r="R1154" s="45"/>
      <c r="S1154" s="48"/>
      <c r="T1154" s="49" t="str">
        <f t="shared" si="71"/>
        <v>[W3243.2]</v>
      </c>
      <c r="U1154" s="12" t="str">
        <f t="shared" si="74"/>
        <v/>
      </c>
      <c r="V1154" s="49" t="str">
        <f t="shared" si="73"/>
        <v>[W3243.2]</v>
      </c>
    </row>
    <row r="1155" spans="1:22" s="49" customFormat="1" ht="14.15" customHeight="1">
      <c r="A1155" s="44"/>
      <c r="B1155" s="44" t="s">
        <v>6635</v>
      </c>
      <c r="C1155" s="50"/>
      <c r="D1155" s="10" t="s">
        <v>29</v>
      </c>
      <c r="E1155" s="11"/>
      <c r="F1155" s="11" t="s">
        <v>18</v>
      </c>
      <c r="G1155" s="13"/>
      <c r="H1155" s="45" t="s">
        <v>16</v>
      </c>
      <c r="I1155" s="47"/>
      <c r="J1155" s="12" t="s">
        <v>4107</v>
      </c>
      <c r="K1155" s="13" t="s">
        <v>7926</v>
      </c>
      <c r="L1155" s="99" t="str">
        <f t="shared" si="72"/>
        <v>W3243.3</v>
      </c>
      <c r="M1155" s="13"/>
      <c r="N1155" s="13"/>
      <c r="O1155" s="13"/>
      <c r="P1155" s="47"/>
      <c r="Q1155" s="45"/>
      <c r="R1155" s="45"/>
      <c r="S1155" s="48"/>
      <c r="T1155" s="49" t="str">
        <f t="shared" si="71"/>
        <v>[W3243.3]</v>
      </c>
      <c r="U1155" s="12" t="str">
        <f t="shared" si="74"/>
        <v/>
      </c>
      <c r="V1155" s="49" t="str">
        <f t="shared" si="73"/>
        <v>[W3243.3]</v>
      </c>
    </row>
    <row r="1156" spans="1:22" s="49" customFormat="1" ht="14.15" customHeight="1">
      <c r="A1156" s="44"/>
      <c r="B1156" s="44" t="s">
        <v>6635</v>
      </c>
      <c r="C1156" s="50"/>
      <c r="D1156" s="10" t="s">
        <v>29</v>
      </c>
      <c r="E1156" s="11"/>
      <c r="F1156" s="11" t="s">
        <v>18</v>
      </c>
      <c r="G1156" s="13"/>
      <c r="H1156" s="45" t="s">
        <v>16</v>
      </c>
      <c r="I1156" s="47"/>
      <c r="J1156" s="12" t="s">
        <v>4108</v>
      </c>
      <c r="K1156" s="13" t="s">
        <v>7927</v>
      </c>
      <c r="L1156" s="99" t="str">
        <f t="shared" si="72"/>
        <v>W3243.4</v>
      </c>
      <c r="M1156" s="13"/>
      <c r="N1156" s="13"/>
      <c r="O1156" s="13"/>
      <c r="P1156" s="47"/>
      <c r="Q1156" s="45"/>
      <c r="R1156" s="45"/>
      <c r="S1156" s="48"/>
      <c r="T1156" s="49" t="str">
        <f t="shared" si="71"/>
        <v>[W3243.4]</v>
      </c>
      <c r="U1156" s="12" t="str">
        <f t="shared" si="74"/>
        <v/>
      </c>
      <c r="V1156" s="49" t="str">
        <f t="shared" si="73"/>
        <v>[W3243.4]</v>
      </c>
    </row>
    <row r="1157" spans="1:22" s="49" customFormat="1" ht="14.15" customHeight="1">
      <c r="A1157" s="44"/>
      <c r="B1157" s="44" t="s">
        <v>6635</v>
      </c>
      <c r="C1157" s="50"/>
      <c r="D1157" s="10" t="s">
        <v>29</v>
      </c>
      <c r="E1157" s="11"/>
      <c r="F1157" s="11" t="s">
        <v>18</v>
      </c>
      <c r="G1157" s="13"/>
      <c r="H1157" s="45" t="s">
        <v>16</v>
      </c>
      <c r="I1157" s="47"/>
      <c r="J1157" s="12" t="s">
        <v>4109</v>
      </c>
      <c r="K1157" s="13" t="s">
        <v>7928</v>
      </c>
      <c r="L1157" s="99" t="str">
        <f t="shared" si="72"/>
        <v>W3243.5</v>
      </c>
      <c r="M1157" s="13"/>
      <c r="N1157" s="13"/>
      <c r="O1157" s="13"/>
      <c r="P1157" s="47"/>
      <c r="Q1157" s="45"/>
      <c r="R1157" s="45"/>
      <c r="S1157" s="48"/>
      <c r="T1157" s="49" t="str">
        <f t="shared" si="71"/>
        <v>[W3243.5]</v>
      </c>
      <c r="U1157" s="12" t="str">
        <f t="shared" si="74"/>
        <v/>
      </c>
      <c r="V1157" s="49" t="str">
        <f t="shared" si="73"/>
        <v>[W3243.5]</v>
      </c>
    </row>
    <row r="1158" spans="1:22" s="49" customFormat="1" ht="14.15" customHeight="1">
      <c r="A1158" s="43"/>
      <c r="B1158" s="44" t="s">
        <v>6635</v>
      </c>
      <c r="C1158" s="50"/>
      <c r="D1158" s="10" t="s">
        <v>29</v>
      </c>
      <c r="E1158" s="11"/>
      <c r="F1158" s="11" t="s">
        <v>18</v>
      </c>
      <c r="G1158" s="13"/>
      <c r="H1158" s="45" t="s">
        <v>16</v>
      </c>
      <c r="I1158" s="47"/>
      <c r="J1158" s="12" t="s">
        <v>4110</v>
      </c>
      <c r="K1158" s="13" t="s">
        <v>7929</v>
      </c>
      <c r="L1158" s="99" t="str">
        <f t="shared" si="72"/>
        <v>W3243.6</v>
      </c>
      <c r="M1158" s="13"/>
      <c r="N1158" s="13"/>
      <c r="O1158" s="13"/>
      <c r="P1158" s="47"/>
      <c r="Q1158" s="45"/>
      <c r="R1158" s="45"/>
      <c r="S1158" s="48"/>
      <c r="T1158" s="49" t="str">
        <f t="shared" si="71"/>
        <v>[W3243.6]</v>
      </c>
      <c r="U1158" s="12" t="str">
        <f t="shared" si="74"/>
        <v/>
      </c>
      <c r="V1158" s="49" t="str">
        <f t="shared" si="73"/>
        <v>[W3243.6]</v>
      </c>
    </row>
    <row r="1159" spans="1:22" s="49" customFormat="1" ht="14.15" customHeight="1">
      <c r="A1159" s="44"/>
      <c r="B1159" s="44" t="s">
        <v>6635</v>
      </c>
      <c r="C1159" s="50"/>
      <c r="D1159" s="10" t="s">
        <v>29</v>
      </c>
      <c r="E1159" s="11"/>
      <c r="F1159" s="11" t="s">
        <v>18</v>
      </c>
      <c r="G1159" s="13"/>
      <c r="H1159" s="45" t="s">
        <v>16</v>
      </c>
      <c r="I1159" s="47"/>
      <c r="J1159" s="12" t="s">
        <v>4111</v>
      </c>
      <c r="K1159" s="13" t="s">
        <v>7930</v>
      </c>
      <c r="L1159" s="99" t="str">
        <f t="shared" si="72"/>
        <v>W3243.7</v>
      </c>
      <c r="M1159" s="13"/>
      <c r="N1159" s="13"/>
      <c r="O1159" s="13"/>
      <c r="P1159" s="47"/>
      <c r="Q1159" s="45"/>
      <c r="R1159" s="45"/>
      <c r="S1159" s="48"/>
      <c r="T1159" s="49" t="str">
        <f t="shared" si="71"/>
        <v>[W3243.7]</v>
      </c>
      <c r="U1159" s="12" t="str">
        <f t="shared" si="74"/>
        <v/>
      </c>
      <c r="V1159" s="49" t="str">
        <f t="shared" si="73"/>
        <v>[W3243.7]</v>
      </c>
    </row>
    <row r="1160" spans="1:22" s="49" customFormat="1" ht="14.15" customHeight="1">
      <c r="A1160" s="44"/>
      <c r="B1160" s="44" t="s">
        <v>6635</v>
      </c>
      <c r="C1160" s="50"/>
      <c r="D1160" s="10" t="s">
        <v>29</v>
      </c>
      <c r="E1160" s="11"/>
      <c r="F1160" s="11" t="s">
        <v>18</v>
      </c>
      <c r="G1160" s="13"/>
      <c r="H1160" s="45" t="s">
        <v>16</v>
      </c>
      <c r="I1160" s="47"/>
      <c r="J1160" s="12" t="s">
        <v>4112</v>
      </c>
      <c r="K1160" s="13" t="s">
        <v>7931</v>
      </c>
      <c r="L1160" s="99" t="str">
        <f t="shared" si="72"/>
        <v>W3243.8</v>
      </c>
      <c r="M1160" s="13"/>
      <c r="N1160" s="13"/>
      <c r="O1160" s="13"/>
      <c r="P1160" s="47"/>
      <c r="Q1160" s="45"/>
      <c r="R1160" s="45"/>
      <c r="S1160" s="48"/>
      <c r="T1160" s="49" t="str">
        <f t="shared" si="71"/>
        <v>[W3243.8]</v>
      </c>
      <c r="U1160" s="12" t="str">
        <f t="shared" si="74"/>
        <v/>
      </c>
      <c r="V1160" s="49" t="str">
        <f t="shared" si="73"/>
        <v>[W3243.8]</v>
      </c>
    </row>
    <row r="1161" spans="1:22" s="49" customFormat="1" ht="14.15" customHeight="1">
      <c r="A1161" s="44"/>
      <c r="B1161" s="44" t="s">
        <v>6635</v>
      </c>
      <c r="C1161" s="50"/>
      <c r="D1161" s="10" t="s">
        <v>29</v>
      </c>
      <c r="E1161" s="11"/>
      <c r="F1161" s="11" t="s">
        <v>18</v>
      </c>
      <c r="G1161" s="13"/>
      <c r="H1161" s="45" t="s">
        <v>16</v>
      </c>
      <c r="I1161" s="47"/>
      <c r="J1161" s="12" t="s">
        <v>4113</v>
      </c>
      <c r="K1161" s="13" t="s">
        <v>7932</v>
      </c>
      <c r="L1161" s="99" t="str">
        <f t="shared" si="72"/>
        <v>W3243.9</v>
      </c>
      <c r="M1161" s="13"/>
      <c r="N1161" s="13"/>
      <c r="O1161" s="13"/>
      <c r="P1161" s="47"/>
      <c r="Q1161" s="45"/>
      <c r="R1161" s="45"/>
      <c r="S1161" s="48"/>
      <c r="T1161" s="49" t="str">
        <f t="shared" si="71"/>
        <v>[W3243.9]</v>
      </c>
      <c r="U1161" s="12" t="str">
        <f t="shared" si="74"/>
        <v/>
      </c>
      <c r="V1161" s="49" t="str">
        <f t="shared" si="73"/>
        <v>[W3243.9]</v>
      </c>
    </row>
    <row r="1162" spans="1:22" s="49" customFormat="1" ht="14.15" customHeight="1">
      <c r="A1162" s="44"/>
      <c r="B1162" s="44" t="s">
        <v>6635</v>
      </c>
      <c r="C1162" s="50"/>
      <c r="D1162" s="10" t="s">
        <v>29</v>
      </c>
      <c r="E1162" s="11"/>
      <c r="F1162" s="11" t="s">
        <v>18</v>
      </c>
      <c r="G1162" s="13"/>
      <c r="H1162" s="45" t="s">
        <v>16</v>
      </c>
      <c r="I1162" s="47"/>
      <c r="J1162" s="12" t="s">
        <v>4114</v>
      </c>
      <c r="K1162" s="13" t="s">
        <v>7933</v>
      </c>
      <c r="L1162" s="99" t="str">
        <f t="shared" si="72"/>
        <v>W3243.A</v>
      </c>
      <c r="M1162" s="13"/>
      <c r="N1162" s="13"/>
      <c r="O1162" s="13"/>
      <c r="P1162" s="47"/>
      <c r="Q1162" s="45"/>
      <c r="R1162" s="45"/>
      <c r="S1162" s="48"/>
      <c r="T1162" s="49" t="str">
        <f t="shared" si="71"/>
        <v>[W3243.A]</v>
      </c>
      <c r="U1162" s="12" t="str">
        <f t="shared" si="74"/>
        <v/>
      </c>
      <c r="V1162" s="49" t="str">
        <f t="shared" si="73"/>
        <v>[W3243.A]</v>
      </c>
    </row>
    <row r="1163" spans="1:22" s="49" customFormat="1" ht="14.15" customHeight="1">
      <c r="A1163" s="44"/>
      <c r="B1163" s="44" t="s">
        <v>6635</v>
      </c>
      <c r="C1163" s="50"/>
      <c r="D1163" s="10" t="s">
        <v>29</v>
      </c>
      <c r="E1163" s="11"/>
      <c r="F1163" s="11" t="s">
        <v>18</v>
      </c>
      <c r="G1163" s="13"/>
      <c r="H1163" s="45" t="s">
        <v>16</v>
      </c>
      <c r="I1163" s="47"/>
      <c r="J1163" s="12" t="s">
        <v>4115</v>
      </c>
      <c r="K1163" s="13" t="s">
        <v>7934</v>
      </c>
      <c r="L1163" s="99" t="str">
        <f t="shared" si="72"/>
        <v>W3243.B</v>
      </c>
      <c r="M1163" s="13"/>
      <c r="N1163" s="13"/>
      <c r="O1163" s="13"/>
      <c r="P1163" s="47"/>
      <c r="Q1163" s="45"/>
      <c r="R1163" s="45"/>
      <c r="S1163" s="48"/>
      <c r="T1163" s="49" t="str">
        <f t="shared" si="71"/>
        <v>[W3243.B]</v>
      </c>
      <c r="U1163" s="12" t="str">
        <f t="shared" si="74"/>
        <v/>
      </c>
      <c r="V1163" s="49" t="str">
        <f t="shared" si="73"/>
        <v>[W3243.B]</v>
      </c>
    </row>
    <row r="1164" spans="1:22" s="49" customFormat="1" ht="14.15" customHeight="1">
      <c r="A1164" s="44"/>
      <c r="B1164" s="44" t="s">
        <v>6635</v>
      </c>
      <c r="C1164" s="50"/>
      <c r="D1164" s="10" t="s">
        <v>29</v>
      </c>
      <c r="E1164" s="11"/>
      <c r="F1164" s="11" t="s">
        <v>18</v>
      </c>
      <c r="G1164" s="13"/>
      <c r="H1164" s="45" t="s">
        <v>16</v>
      </c>
      <c r="I1164" s="47"/>
      <c r="J1164" s="12" t="s">
        <v>4116</v>
      </c>
      <c r="K1164" s="13" t="s">
        <v>7935</v>
      </c>
      <c r="L1164" s="99" t="str">
        <f t="shared" si="72"/>
        <v>W3243.C</v>
      </c>
      <c r="M1164" s="13"/>
      <c r="N1164" s="13"/>
      <c r="O1164" s="13"/>
      <c r="P1164" s="47"/>
      <c r="Q1164" s="45"/>
      <c r="R1164" s="45"/>
      <c r="S1164" s="48"/>
      <c r="T1164" s="49" t="str">
        <f t="shared" si="71"/>
        <v>[W3243.C]</v>
      </c>
      <c r="U1164" s="12" t="str">
        <f t="shared" si="74"/>
        <v/>
      </c>
      <c r="V1164" s="49" t="str">
        <f t="shared" si="73"/>
        <v>[W3243.C]</v>
      </c>
    </row>
    <row r="1165" spans="1:22" s="49" customFormat="1" ht="14.15" customHeight="1">
      <c r="A1165" s="43"/>
      <c r="B1165" s="44" t="s">
        <v>6635</v>
      </c>
      <c r="C1165" s="50"/>
      <c r="D1165" s="10" t="s">
        <v>29</v>
      </c>
      <c r="E1165" s="11"/>
      <c r="F1165" s="11" t="s">
        <v>18</v>
      </c>
      <c r="G1165" s="13"/>
      <c r="H1165" s="45" t="s">
        <v>16</v>
      </c>
      <c r="I1165" s="47"/>
      <c r="J1165" s="12" t="s">
        <v>4117</v>
      </c>
      <c r="K1165" s="13" t="s">
        <v>7936</v>
      </c>
      <c r="L1165" s="99" t="str">
        <f t="shared" si="72"/>
        <v>W3243.D</v>
      </c>
      <c r="M1165" s="13"/>
      <c r="N1165" s="13"/>
      <c r="O1165" s="13"/>
      <c r="P1165" s="47"/>
      <c r="Q1165" s="45"/>
      <c r="R1165" s="45"/>
      <c r="S1165" s="48"/>
      <c r="T1165" s="49" t="str">
        <f t="shared" si="71"/>
        <v>[W3243.D]</v>
      </c>
      <c r="U1165" s="12" t="str">
        <f t="shared" si="74"/>
        <v/>
      </c>
      <c r="V1165" s="49" t="str">
        <f t="shared" si="73"/>
        <v>[W3243.D]</v>
      </c>
    </row>
    <row r="1166" spans="1:22" s="49" customFormat="1" ht="14.15" customHeight="1">
      <c r="A1166" s="43"/>
      <c r="B1166" s="44" t="s">
        <v>6635</v>
      </c>
      <c r="C1166" s="50"/>
      <c r="D1166" s="10" t="s">
        <v>29</v>
      </c>
      <c r="E1166" s="11"/>
      <c r="F1166" s="11" t="s">
        <v>18</v>
      </c>
      <c r="G1166" s="13"/>
      <c r="H1166" s="45" t="s">
        <v>16</v>
      </c>
      <c r="I1166" s="47"/>
      <c r="J1166" s="12" t="s">
        <v>4118</v>
      </c>
      <c r="K1166" s="13" t="s">
        <v>7937</v>
      </c>
      <c r="L1166" s="99" t="str">
        <f t="shared" si="72"/>
        <v>W3243.E</v>
      </c>
      <c r="M1166" s="13"/>
      <c r="N1166" s="13"/>
      <c r="O1166" s="13"/>
      <c r="P1166" s="47"/>
      <c r="Q1166" s="45"/>
      <c r="R1166" s="45"/>
      <c r="S1166" s="48"/>
      <c r="T1166" s="49" t="str">
        <f t="shared" si="71"/>
        <v>[W3243.E]</v>
      </c>
      <c r="U1166" s="12" t="str">
        <f t="shared" si="74"/>
        <v/>
      </c>
      <c r="V1166" s="49" t="str">
        <f t="shared" si="73"/>
        <v>[W3243.E]</v>
      </c>
    </row>
    <row r="1167" spans="1:22" s="49" customFormat="1" ht="14.15" customHeight="1">
      <c r="A1167" s="43"/>
      <c r="B1167" s="44" t="s">
        <v>6635</v>
      </c>
      <c r="C1167" s="50"/>
      <c r="D1167" s="10" t="s">
        <v>29</v>
      </c>
      <c r="E1167" s="11"/>
      <c r="F1167" s="11" t="s">
        <v>18</v>
      </c>
      <c r="G1167" s="13"/>
      <c r="H1167" s="45" t="s">
        <v>16</v>
      </c>
      <c r="I1167" s="47"/>
      <c r="J1167" s="12" t="s">
        <v>4119</v>
      </c>
      <c r="K1167" s="13" t="s">
        <v>7938</v>
      </c>
      <c r="L1167" s="99" t="str">
        <f t="shared" si="72"/>
        <v>W3243.F</v>
      </c>
      <c r="M1167" s="13"/>
      <c r="N1167" s="13"/>
      <c r="O1167" s="13"/>
      <c r="P1167" s="47"/>
      <c r="Q1167" s="45"/>
      <c r="R1167" s="45"/>
      <c r="S1167" s="48"/>
      <c r="T1167" s="49" t="str">
        <f t="shared" si="71"/>
        <v>[W3243.F]</v>
      </c>
      <c r="U1167" s="12" t="str">
        <f t="shared" si="74"/>
        <v/>
      </c>
      <c r="V1167" s="49" t="str">
        <f t="shared" si="73"/>
        <v>[W3243.F]</v>
      </c>
    </row>
    <row r="1168" spans="1:22" s="49" customFormat="1" ht="14.15" customHeight="1">
      <c r="A1168" s="44"/>
      <c r="B1168" s="44" t="s">
        <v>6635</v>
      </c>
      <c r="C1168" s="50"/>
      <c r="D1168" s="10" t="s">
        <v>29</v>
      </c>
      <c r="E1168" s="11"/>
      <c r="F1168" s="11" t="s">
        <v>18</v>
      </c>
      <c r="G1168" s="13"/>
      <c r="H1168" s="45" t="s">
        <v>16</v>
      </c>
      <c r="I1168" s="47"/>
      <c r="J1168" s="12" t="s">
        <v>4120</v>
      </c>
      <c r="K1168" s="13" t="s">
        <v>7939</v>
      </c>
      <c r="L1168" s="99" t="str">
        <f t="shared" si="72"/>
        <v>W3244.0</v>
      </c>
      <c r="M1168" s="13"/>
      <c r="N1168" s="13"/>
      <c r="O1168" s="13"/>
      <c r="P1168" s="47"/>
      <c r="Q1168" s="45"/>
      <c r="R1168" s="45"/>
      <c r="S1168" s="48"/>
      <c r="T1168" s="49" t="str">
        <f>"["&amp;L1138&amp;"]"</f>
        <v>[W3242.2]</v>
      </c>
      <c r="U1168" s="12" t="str">
        <f>RIGHT(J1138,LEN(J1138)-7)</f>
        <v xml:space="preserve"> 용접#2 7국 통신에러 (D9075.7)</v>
      </c>
      <c r="V1168" s="49" t="str">
        <f>T1138&amp;U1138</f>
        <v>[W3242.2] 용접#2 7국 통신에러 (D9075.7)</v>
      </c>
    </row>
    <row r="1169" spans="1:22" s="49" customFormat="1" ht="14.15" customHeight="1">
      <c r="A1169" s="44"/>
      <c r="B1169" s="44" t="s">
        <v>6635</v>
      </c>
      <c r="C1169" s="50"/>
      <c r="D1169" s="10" t="s">
        <v>29</v>
      </c>
      <c r="E1169" s="11"/>
      <c r="F1169" s="11" t="s">
        <v>18</v>
      </c>
      <c r="G1169" s="13"/>
      <c r="H1169" s="45" t="s">
        <v>16</v>
      </c>
      <c r="I1169" s="47"/>
      <c r="J1169" s="12" t="s">
        <v>4121</v>
      </c>
      <c r="K1169" s="13" t="s">
        <v>7940</v>
      </c>
      <c r="L1169" s="99" t="str">
        <f t="shared" ref="L1169:L1232" si="75">"W"&amp;DEC2HEX(12800 + INT((ROW()-80)/16)) &amp; "." &amp; IF(MOD(ROW()-80,16)&lt;10,MOD(ROW()-80,16),CHAR(MOD(ROW()-80,16)+55))</f>
        <v>W3244.1</v>
      </c>
      <c r="M1169" s="13"/>
      <c r="N1169" s="13"/>
      <c r="O1169" s="13"/>
      <c r="P1169" s="47"/>
      <c r="Q1169" s="45"/>
      <c r="R1169" s="45"/>
      <c r="S1169" s="48"/>
      <c r="T1169" s="49" t="str">
        <f t="shared" ref="T1169:T1232" si="76">"["&amp;L1169&amp;"]"</f>
        <v>[W3244.1]</v>
      </c>
      <c r="U1169" s="12" t="str">
        <f t="shared" ref="U1169:U1232" si="77">RIGHT(J1169,LEN(J1169)-7)</f>
        <v/>
      </c>
      <c r="V1169" s="49" t="str">
        <f t="shared" ref="V1169:V1232" si="78">T1169&amp;U1169</f>
        <v>[W3244.1]</v>
      </c>
    </row>
    <row r="1170" spans="1:22" s="49" customFormat="1" ht="14.15" customHeight="1">
      <c r="A1170" s="44"/>
      <c r="B1170" s="44" t="s">
        <v>6635</v>
      </c>
      <c r="C1170" s="50"/>
      <c r="D1170" s="10" t="s">
        <v>29</v>
      </c>
      <c r="E1170" s="11"/>
      <c r="F1170" s="11" t="s">
        <v>18</v>
      </c>
      <c r="G1170" s="13"/>
      <c r="H1170" s="45" t="s">
        <v>16</v>
      </c>
      <c r="I1170" s="47"/>
      <c r="J1170" s="12" t="s">
        <v>4122</v>
      </c>
      <c r="K1170" s="13" t="s">
        <v>7941</v>
      </c>
      <c r="L1170" s="99" t="str">
        <f t="shared" si="75"/>
        <v>W3244.2</v>
      </c>
      <c r="M1170" s="13"/>
      <c r="N1170" s="13"/>
      <c r="O1170" s="13"/>
      <c r="P1170" s="47"/>
      <c r="Q1170" s="45"/>
      <c r="R1170" s="45"/>
      <c r="S1170" s="48"/>
      <c r="T1170" s="49" t="str">
        <f t="shared" si="76"/>
        <v>[W3244.2]</v>
      </c>
      <c r="U1170" s="12" t="str">
        <f t="shared" si="77"/>
        <v/>
      </c>
      <c r="V1170" s="49" t="str">
        <f t="shared" si="78"/>
        <v>[W3244.2]</v>
      </c>
    </row>
    <row r="1171" spans="1:22" s="49" customFormat="1" ht="14.15" customHeight="1">
      <c r="A1171" s="44"/>
      <c r="B1171" s="44" t="s">
        <v>6635</v>
      </c>
      <c r="C1171" s="50"/>
      <c r="D1171" s="10" t="s">
        <v>29</v>
      </c>
      <c r="E1171" s="11"/>
      <c r="F1171" s="11" t="s">
        <v>18</v>
      </c>
      <c r="G1171" s="13"/>
      <c r="H1171" s="45" t="s">
        <v>16</v>
      </c>
      <c r="I1171" s="47"/>
      <c r="J1171" s="12" t="s">
        <v>4123</v>
      </c>
      <c r="K1171" s="13" t="s">
        <v>7942</v>
      </c>
      <c r="L1171" s="99" t="str">
        <f t="shared" si="75"/>
        <v>W3244.3</v>
      </c>
      <c r="M1171" s="13"/>
      <c r="N1171" s="13"/>
      <c r="O1171" s="13"/>
      <c r="P1171" s="47"/>
      <c r="Q1171" s="45"/>
      <c r="R1171" s="45"/>
      <c r="S1171" s="48"/>
      <c r="T1171" s="49" t="str">
        <f t="shared" si="76"/>
        <v>[W3244.3]</v>
      </c>
      <c r="U1171" s="12" t="str">
        <f t="shared" si="77"/>
        <v/>
      </c>
      <c r="V1171" s="49" t="str">
        <f t="shared" si="78"/>
        <v>[W3244.3]</v>
      </c>
    </row>
    <row r="1172" spans="1:22" s="49" customFormat="1" ht="14.15" customHeight="1">
      <c r="A1172" s="44"/>
      <c r="B1172" s="44" t="s">
        <v>6635</v>
      </c>
      <c r="C1172" s="50"/>
      <c r="D1172" s="10" t="s">
        <v>29</v>
      </c>
      <c r="E1172" s="11"/>
      <c r="F1172" s="11" t="s">
        <v>18</v>
      </c>
      <c r="G1172" s="13"/>
      <c r="H1172" s="45" t="s">
        <v>16</v>
      </c>
      <c r="I1172" s="47"/>
      <c r="J1172" s="12" t="s">
        <v>4124</v>
      </c>
      <c r="K1172" s="13" t="s">
        <v>7943</v>
      </c>
      <c r="L1172" s="99" t="str">
        <f t="shared" si="75"/>
        <v>W3244.4</v>
      </c>
      <c r="M1172" s="13"/>
      <c r="N1172" s="13"/>
      <c r="O1172" s="13"/>
      <c r="P1172" s="47"/>
      <c r="Q1172" s="45"/>
      <c r="R1172" s="45"/>
      <c r="S1172" s="48"/>
      <c r="T1172" s="49" t="str">
        <f t="shared" si="76"/>
        <v>[W3244.4]</v>
      </c>
      <c r="U1172" s="12" t="str">
        <f t="shared" si="77"/>
        <v/>
      </c>
      <c r="V1172" s="49" t="str">
        <f t="shared" si="78"/>
        <v>[W3244.4]</v>
      </c>
    </row>
    <row r="1173" spans="1:22" s="49" customFormat="1" ht="14.15" customHeight="1">
      <c r="A1173" s="44"/>
      <c r="B1173" s="44" t="s">
        <v>6635</v>
      </c>
      <c r="C1173" s="50"/>
      <c r="D1173" s="10" t="s">
        <v>29</v>
      </c>
      <c r="E1173" s="11"/>
      <c r="F1173" s="11" t="s">
        <v>18</v>
      </c>
      <c r="G1173" s="13"/>
      <c r="H1173" s="45" t="s">
        <v>16</v>
      </c>
      <c r="I1173" s="47"/>
      <c r="J1173" s="12" t="s">
        <v>4125</v>
      </c>
      <c r="K1173" s="13" t="s">
        <v>7944</v>
      </c>
      <c r="L1173" s="99" t="str">
        <f t="shared" si="75"/>
        <v>W3244.5</v>
      </c>
      <c r="M1173" s="13"/>
      <c r="N1173" s="13"/>
      <c r="O1173" s="13"/>
      <c r="P1173" s="47"/>
      <c r="Q1173" s="45"/>
      <c r="R1173" s="45"/>
      <c r="S1173" s="48"/>
      <c r="T1173" s="49" t="str">
        <f t="shared" si="76"/>
        <v>[W3244.5]</v>
      </c>
      <c r="U1173" s="12" t="str">
        <f t="shared" si="77"/>
        <v/>
      </c>
      <c r="V1173" s="49" t="str">
        <f t="shared" si="78"/>
        <v>[W3244.5]</v>
      </c>
    </row>
    <row r="1174" spans="1:22" s="49" customFormat="1" ht="14.15" customHeight="1">
      <c r="A1174" s="44"/>
      <c r="B1174" s="44" t="s">
        <v>6635</v>
      </c>
      <c r="C1174" s="50"/>
      <c r="D1174" s="10" t="s">
        <v>29</v>
      </c>
      <c r="E1174" s="11"/>
      <c r="F1174" s="11" t="s">
        <v>18</v>
      </c>
      <c r="G1174" s="13"/>
      <c r="H1174" s="45" t="s">
        <v>16</v>
      </c>
      <c r="I1174" s="47"/>
      <c r="J1174" s="12" t="s">
        <v>4126</v>
      </c>
      <c r="K1174" s="13" t="s">
        <v>7945</v>
      </c>
      <c r="L1174" s="99" t="str">
        <f t="shared" si="75"/>
        <v>W3244.6</v>
      </c>
      <c r="M1174" s="13"/>
      <c r="N1174" s="13"/>
      <c r="O1174" s="13"/>
      <c r="P1174" s="47"/>
      <c r="Q1174" s="45"/>
      <c r="R1174" s="45"/>
      <c r="S1174" s="48"/>
      <c r="T1174" s="49" t="str">
        <f t="shared" si="76"/>
        <v>[W3244.6]</v>
      </c>
      <c r="U1174" s="12" t="str">
        <f t="shared" si="77"/>
        <v/>
      </c>
      <c r="V1174" s="49" t="str">
        <f t="shared" si="78"/>
        <v>[W3244.6]</v>
      </c>
    </row>
    <row r="1175" spans="1:22" s="49" customFormat="1" ht="14.15" customHeight="1">
      <c r="A1175" s="44"/>
      <c r="B1175" s="44" t="s">
        <v>6635</v>
      </c>
      <c r="C1175" s="50"/>
      <c r="D1175" s="10" t="s">
        <v>29</v>
      </c>
      <c r="E1175" s="11"/>
      <c r="F1175" s="11" t="s">
        <v>18</v>
      </c>
      <c r="G1175" s="13"/>
      <c r="H1175" s="45" t="s">
        <v>16</v>
      </c>
      <c r="I1175" s="47"/>
      <c r="J1175" s="12" t="s">
        <v>4127</v>
      </c>
      <c r="K1175" s="13" t="s">
        <v>7946</v>
      </c>
      <c r="L1175" s="99" t="str">
        <f t="shared" si="75"/>
        <v>W3244.7</v>
      </c>
      <c r="M1175" s="13"/>
      <c r="N1175" s="13"/>
      <c r="O1175" s="13"/>
      <c r="P1175" s="47"/>
      <c r="Q1175" s="45"/>
      <c r="R1175" s="45"/>
      <c r="S1175" s="48"/>
      <c r="T1175" s="49" t="str">
        <f t="shared" si="76"/>
        <v>[W3244.7]</v>
      </c>
      <c r="U1175" s="12" t="str">
        <f t="shared" si="77"/>
        <v/>
      </c>
      <c r="V1175" s="49" t="str">
        <f t="shared" si="78"/>
        <v>[W3244.7]</v>
      </c>
    </row>
    <row r="1176" spans="1:22" s="49" customFormat="1" ht="14.15" customHeight="1">
      <c r="A1176" s="44"/>
      <c r="B1176" s="44" t="s">
        <v>6635</v>
      </c>
      <c r="C1176" s="50"/>
      <c r="D1176" s="10" t="s">
        <v>29</v>
      </c>
      <c r="E1176" s="11"/>
      <c r="F1176" s="11" t="s">
        <v>18</v>
      </c>
      <c r="G1176" s="13"/>
      <c r="H1176" s="45" t="s">
        <v>16</v>
      </c>
      <c r="I1176" s="47"/>
      <c r="J1176" s="12" t="s">
        <v>4128</v>
      </c>
      <c r="K1176" s="13" t="s">
        <v>7947</v>
      </c>
      <c r="L1176" s="99" t="str">
        <f t="shared" si="75"/>
        <v>W3244.8</v>
      </c>
      <c r="M1176" s="13"/>
      <c r="N1176" s="13"/>
      <c r="O1176" s="13"/>
      <c r="P1176" s="47"/>
      <c r="Q1176" s="45"/>
      <c r="R1176" s="45"/>
      <c r="S1176" s="48"/>
      <c r="T1176" s="49" t="str">
        <f t="shared" si="76"/>
        <v>[W3244.8]</v>
      </c>
      <c r="U1176" s="12" t="str">
        <f t="shared" si="77"/>
        <v/>
      </c>
      <c r="V1176" s="49" t="str">
        <f t="shared" si="78"/>
        <v>[W3244.8]</v>
      </c>
    </row>
    <row r="1177" spans="1:22" s="49" customFormat="1" ht="14.15" customHeight="1">
      <c r="A1177" s="44"/>
      <c r="B1177" s="44" t="s">
        <v>6635</v>
      </c>
      <c r="C1177" s="50"/>
      <c r="D1177" s="10" t="s">
        <v>29</v>
      </c>
      <c r="E1177" s="11"/>
      <c r="F1177" s="11" t="s">
        <v>18</v>
      </c>
      <c r="G1177" s="13"/>
      <c r="H1177" s="45" t="s">
        <v>16</v>
      </c>
      <c r="I1177" s="47"/>
      <c r="J1177" s="12" t="s">
        <v>4129</v>
      </c>
      <c r="K1177" s="13" t="s">
        <v>7948</v>
      </c>
      <c r="L1177" s="99" t="str">
        <f t="shared" si="75"/>
        <v>W3244.9</v>
      </c>
      <c r="M1177" s="13"/>
      <c r="N1177" s="13"/>
      <c r="O1177" s="13"/>
      <c r="P1177" s="47"/>
      <c r="Q1177" s="45"/>
      <c r="R1177" s="45"/>
      <c r="S1177" s="48"/>
      <c r="T1177" s="49" t="str">
        <f t="shared" si="76"/>
        <v>[W3244.9]</v>
      </c>
      <c r="U1177" s="12" t="str">
        <f t="shared" si="77"/>
        <v/>
      </c>
      <c r="V1177" s="49" t="str">
        <f t="shared" si="78"/>
        <v>[W3244.9]</v>
      </c>
    </row>
    <row r="1178" spans="1:22" s="49" customFormat="1" ht="14.15" customHeight="1">
      <c r="A1178" s="44"/>
      <c r="B1178" s="44" t="s">
        <v>6635</v>
      </c>
      <c r="C1178" s="50"/>
      <c r="D1178" s="10" t="s">
        <v>29</v>
      </c>
      <c r="E1178" s="11"/>
      <c r="F1178" s="11" t="s">
        <v>18</v>
      </c>
      <c r="G1178" s="13"/>
      <c r="H1178" s="45" t="s">
        <v>16</v>
      </c>
      <c r="I1178" s="47"/>
      <c r="J1178" s="12" t="s">
        <v>4130</v>
      </c>
      <c r="K1178" s="13" t="s">
        <v>7949</v>
      </c>
      <c r="L1178" s="99" t="str">
        <f t="shared" si="75"/>
        <v>W3244.A</v>
      </c>
      <c r="M1178" s="13"/>
      <c r="N1178" s="13"/>
      <c r="O1178" s="13"/>
      <c r="P1178" s="47"/>
      <c r="Q1178" s="45"/>
      <c r="R1178" s="45"/>
      <c r="S1178" s="48"/>
      <c r="T1178" s="49" t="str">
        <f t="shared" si="76"/>
        <v>[W3244.A]</v>
      </c>
      <c r="U1178" s="12" t="str">
        <f t="shared" si="77"/>
        <v/>
      </c>
      <c r="V1178" s="49" t="str">
        <f t="shared" si="78"/>
        <v>[W3244.A]</v>
      </c>
    </row>
    <row r="1179" spans="1:22" s="49" customFormat="1" ht="14.15" customHeight="1">
      <c r="A1179" s="43" t="s">
        <v>6675</v>
      </c>
      <c r="B1179" s="44" t="s">
        <v>6635</v>
      </c>
      <c r="C1179" s="50"/>
      <c r="D1179" s="10" t="s">
        <v>29</v>
      </c>
      <c r="E1179" s="11"/>
      <c r="F1179" s="11" t="s">
        <v>18</v>
      </c>
      <c r="G1179" s="13"/>
      <c r="H1179" s="45" t="s">
        <v>16</v>
      </c>
      <c r="I1179" s="47"/>
      <c r="J1179" s="12" t="s">
        <v>6368</v>
      </c>
      <c r="K1179" s="13" t="s">
        <v>7950</v>
      </c>
      <c r="L1179" s="99" t="str">
        <f t="shared" si="75"/>
        <v>W3244.B</v>
      </c>
      <c r="M1179" s="13" t="s">
        <v>17</v>
      </c>
      <c r="N1179" s="13"/>
      <c r="O1179" s="13"/>
      <c r="P1179" s="47"/>
      <c r="Q1179" s="45" t="s">
        <v>142</v>
      </c>
      <c r="R1179" s="45" t="s">
        <v>5596</v>
      </c>
      <c r="S1179" s="48"/>
      <c r="T1179" s="49" t="str">
        <f t="shared" si="76"/>
        <v>[W3244.B]</v>
      </c>
      <c r="U1179" s="12" t="str">
        <f t="shared" si="77"/>
        <v xml:space="preserve"> 용접#3 터브측면 RH 클램프 전진 시간초과 (X516, Y542)</v>
      </c>
      <c r="V1179" s="49" t="str">
        <f t="shared" si="78"/>
        <v>[W3244.B] 용접#3 터브측면 RH 클램프 전진 시간초과 (X516, Y542)</v>
      </c>
    </row>
    <row r="1180" spans="1:22" s="49" customFormat="1" ht="14.15" customHeight="1">
      <c r="A1180" s="43" t="s">
        <v>6675</v>
      </c>
      <c r="B1180" s="44" t="s">
        <v>6635</v>
      </c>
      <c r="C1180" s="50"/>
      <c r="D1180" s="10" t="s">
        <v>29</v>
      </c>
      <c r="E1180" s="11"/>
      <c r="F1180" s="11" t="s">
        <v>18</v>
      </c>
      <c r="G1180" s="13"/>
      <c r="H1180" s="45" t="s">
        <v>16</v>
      </c>
      <c r="I1180" s="47"/>
      <c r="J1180" s="12" t="s">
        <v>6369</v>
      </c>
      <c r="K1180" s="13" t="s">
        <v>7951</v>
      </c>
      <c r="L1180" s="99" t="str">
        <f t="shared" si="75"/>
        <v>W3244.C</v>
      </c>
      <c r="M1180" s="13" t="s">
        <v>17</v>
      </c>
      <c r="N1180" s="13"/>
      <c r="O1180" s="13"/>
      <c r="P1180" s="47"/>
      <c r="Q1180" s="45" t="s">
        <v>142</v>
      </c>
      <c r="R1180" s="45" t="s">
        <v>5596</v>
      </c>
      <c r="S1180" s="48"/>
      <c r="T1180" s="49" t="str">
        <f t="shared" si="76"/>
        <v>[W3244.C]</v>
      </c>
      <c r="U1180" s="12" t="str">
        <f t="shared" si="77"/>
        <v xml:space="preserve"> 용접#3 터브측면 RH 클램프 후진 시간초과 (X517, Y543)</v>
      </c>
      <c r="V1180" s="49" t="str">
        <f t="shared" si="78"/>
        <v>[W3244.C] 용접#3 터브측면 RH 클램프 후진 시간초과 (X517, Y543)</v>
      </c>
    </row>
    <row r="1181" spans="1:22" s="49" customFormat="1" ht="14.15" customHeight="1">
      <c r="A1181" s="43" t="s">
        <v>6675</v>
      </c>
      <c r="B1181" s="44" t="s">
        <v>6635</v>
      </c>
      <c r="C1181" s="50"/>
      <c r="D1181" s="10" t="s">
        <v>29</v>
      </c>
      <c r="E1181" s="11"/>
      <c r="F1181" s="11" t="s">
        <v>18</v>
      </c>
      <c r="G1181" s="13"/>
      <c r="H1181" s="45" t="s">
        <v>16</v>
      </c>
      <c r="I1181" s="47"/>
      <c r="J1181" s="12" t="s">
        <v>6370</v>
      </c>
      <c r="K1181" s="13" t="s">
        <v>7952</v>
      </c>
      <c r="L1181" s="99" t="str">
        <f t="shared" si="75"/>
        <v>W3244.D</v>
      </c>
      <c r="M1181" s="13" t="s">
        <v>17</v>
      </c>
      <c r="N1181" s="13"/>
      <c r="O1181" s="13"/>
      <c r="P1181" s="47"/>
      <c r="Q1181" s="45" t="s">
        <v>142</v>
      </c>
      <c r="R1181" s="45" t="s">
        <v>5596</v>
      </c>
      <c r="S1181" s="48"/>
      <c r="T1181" s="49" t="str">
        <f t="shared" si="76"/>
        <v>[W3244.D]</v>
      </c>
      <c r="U1181" s="12" t="str">
        <f t="shared" si="77"/>
        <v xml:space="preserve"> 용접#3 터브측면 RH 클램프 전진/후진 센서이상 (X516, X517)</v>
      </c>
      <c r="V1181" s="49" t="str">
        <f t="shared" si="78"/>
        <v>[W3244.D] 용접#3 터브측면 RH 클램프 전진/후진 센서이상 (X516, X517)</v>
      </c>
    </row>
    <row r="1182" spans="1:22" s="49" customFormat="1" ht="14.15" customHeight="1">
      <c r="A1182" s="43" t="s">
        <v>6675</v>
      </c>
      <c r="B1182" s="44" t="s">
        <v>6635</v>
      </c>
      <c r="C1182" s="50"/>
      <c r="D1182" s="10" t="s">
        <v>29</v>
      </c>
      <c r="E1182" s="11"/>
      <c r="F1182" s="11" t="s">
        <v>18</v>
      </c>
      <c r="G1182" s="13"/>
      <c r="H1182" s="45" t="s">
        <v>16</v>
      </c>
      <c r="I1182" s="47"/>
      <c r="J1182" s="12" t="s">
        <v>6371</v>
      </c>
      <c r="K1182" s="13" t="s">
        <v>7953</v>
      </c>
      <c r="L1182" s="99" t="str">
        <f t="shared" si="75"/>
        <v>W3244.E</v>
      </c>
      <c r="M1182" s="13" t="s">
        <v>17</v>
      </c>
      <c r="N1182" s="13"/>
      <c r="O1182" s="13"/>
      <c r="P1182" s="47"/>
      <c r="Q1182" s="45" t="s">
        <v>142</v>
      </c>
      <c r="R1182" s="45" t="s">
        <v>5596</v>
      </c>
      <c r="S1182" s="48"/>
      <c r="T1182" s="49" t="str">
        <f t="shared" si="76"/>
        <v>[W3244.E]</v>
      </c>
      <c r="U1182" s="12" t="str">
        <f t="shared" si="77"/>
        <v xml:space="preserve"> 용접#3 터브측면 LH 클램프 전진 시간초과 (X518, Y544)</v>
      </c>
      <c r="V1182" s="49" t="str">
        <f t="shared" si="78"/>
        <v>[W3244.E] 용접#3 터브측면 LH 클램프 전진 시간초과 (X518, Y544)</v>
      </c>
    </row>
    <row r="1183" spans="1:22" s="49" customFormat="1" ht="14.15" customHeight="1">
      <c r="A1183" s="43" t="s">
        <v>6675</v>
      </c>
      <c r="B1183" s="44" t="s">
        <v>6635</v>
      </c>
      <c r="C1183" s="50"/>
      <c r="D1183" s="10" t="s">
        <v>29</v>
      </c>
      <c r="E1183" s="11"/>
      <c r="F1183" s="11" t="s">
        <v>18</v>
      </c>
      <c r="G1183" s="13"/>
      <c r="H1183" s="45" t="s">
        <v>16</v>
      </c>
      <c r="I1183" s="47"/>
      <c r="J1183" s="12" t="s">
        <v>6372</v>
      </c>
      <c r="K1183" s="13" t="s">
        <v>7954</v>
      </c>
      <c r="L1183" s="99" t="str">
        <f t="shared" si="75"/>
        <v>W3244.F</v>
      </c>
      <c r="M1183" s="13" t="s">
        <v>17</v>
      </c>
      <c r="N1183" s="13"/>
      <c r="O1183" s="13"/>
      <c r="P1183" s="47"/>
      <c r="Q1183" s="45" t="s">
        <v>142</v>
      </c>
      <c r="R1183" s="45" t="s">
        <v>5596</v>
      </c>
      <c r="S1183" s="48"/>
      <c r="T1183" s="49" t="str">
        <f t="shared" si="76"/>
        <v>[W3244.F]</v>
      </c>
      <c r="U1183" s="12" t="str">
        <f t="shared" si="77"/>
        <v xml:space="preserve"> 용접#3 터브측면 LH 클램프 후진 시간초과 (X519, Y545)</v>
      </c>
      <c r="V1183" s="49" t="str">
        <f t="shared" si="78"/>
        <v>[W3244.F] 용접#3 터브측면 LH 클램프 후진 시간초과 (X519, Y545)</v>
      </c>
    </row>
    <row r="1184" spans="1:22" s="49" customFormat="1" ht="14.15" customHeight="1">
      <c r="A1184" s="43" t="s">
        <v>6675</v>
      </c>
      <c r="B1184" s="44" t="s">
        <v>6635</v>
      </c>
      <c r="C1184" s="50"/>
      <c r="D1184" s="10" t="s">
        <v>29</v>
      </c>
      <c r="E1184" s="11"/>
      <c r="F1184" s="11" t="s">
        <v>18</v>
      </c>
      <c r="G1184" s="13"/>
      <c r="H1184" s="45" t="s">
        <v>16</v>
      </c>
      <c r="I1184" s="47"/>
      <c r="J1184" s="12" t="s">
        <v>6373</v>
      </c>
      <c r="K1184" s="13" t="s">
        <v>7955</v>
      </c>
      <c r="L1184" s="99" t="str">
        <f t="shared" si="75"/>
        <v>W3245.0</v>
      </c>
      <c r="M1184" s="13" t="s">
        <v>17</v>
      </c>
      <c r="N1184" s="13"/>
      <c r="O1184" s="13"/>
      <c r="P1184" s="47"/>
      <c r="Q1184" s="45" t="s">
        <v>142</v>
      </c>
      <c r="R1184" s="45" t="s">
        <v>5596</v>
      </c>
      <c r="S1184" s="48"/>
      <c r="T1184" s="49" t="str">
        <f t="shared" si="76"/>
        <v>[W3245.0]</v>
      </c>
      <c r="U1184" s="12" t="str">
        <f t="shared" si="77"/>
        <v xml:space="preserve"> 용접#3 터브측면 LH 클램프 전진/후진 센서이상 (X518, X519)</v>
      </c>
      <c r="V1184" s="49" t="str">
        <f t="shared" si="78"/>
        <v>[W3245.0] 용접#3 터브측면 LH 클램프 전진/후진 센서이상 (X518, X519)</v>
      </c>
    </row>
    <row r="1185" spans="1:22" s="49" customFormat="1" ht="14.15" customHeight="1">
      <c r="A1185" s="43" t="s">
        <v>6675</v>
      </c>
      <c r="B1185" s="44" t="s">
        <v>6635</v>
      </c>
      <c r="C1185" s="50"/>
      <c r="D1185" s="10" t="s">
        <v>29</v>
      </c>
      <c r="E1185" s="11"/>
      <c r="F1185" s="11" t="s">
        <v>18</v>
      </c>
      <c r="G1185" s="13"/>
      <c r="H1185" s="45" t="s">
        <v>16</v>
      </c>
      <c r="I1185" s="47"/>
      <c r="J1185" s="12" t="s">
        <v>6374</v>
      </c>
      <c r="K1185" s="13" t="s">
        <v>7956</v>
      </c>
      <c r="L1185" s="99" t="str">
        <f t="shared" si="75"/>
        <v>W3245.1</v>
      </c>
      <c r="M1185" s="13" t="s">
        <v>17</v>
      </c>
      <c r="N1185" s="13"/>
      <c r="O1185" s="13"/>
      <c r="P1185" s="47"/>
      <c r="Q1185" s="45" t="s">
        <v>142</v>
      </c>
      <c r="R1185" s="45" t="s">
        <v>5596</v>
      </c>
      <c r="S1185" s="48"/>
      <c r="T1185" s="49" t="str">
        <f t="shared" si="76"/>
        <v>[W3245.1]</v>
      </c>
      <c r="U1185" s="12" t="str">
        <f t="shared" si="77"/>
        <v xml:space="preserve"> 용접#3 터브 FW 클램프 전진 시간초과 (X51A, Y54A)</v>
      </c>
      <c r="V1185" s="49" t="str">
        <f t="shared" si="78"/>
        <v>[W3245.1] 용접#3 터브 FW 클램프 전진 시간초과 (X51A, Y54A)</v>
      </c>
    </row>
    <row r="1186" spans="1:22" s="49" customFormat="1" ht="14.15" customHeight="1">
      <c r="A1186" s="43" t="s">
        <v>6675</v>
      </c>
      <c r="B1186" s="44" t="s">
        <v>6635</v>
      </c>
      <c r="C1186" s="50"/>
      <c r="D1186" s="10" t="s">
        <v>29</v>
      </c>
      <c r="E1186" s="11"/>
      <c r="F1186" s="11" t="s">
        <v>18</v>
      </c>
      <c r="G1186" s="13"/>
      <c r="H1186" s="45" t="s">
        <v>16</v>
      </c>
      <c r="I1186" s="47"/>
      <c r="J1186" s="12" t="s">
        <v>6375</v>
      </c>
      <c r="K1186" s="13" t="s">
        <v>7957</v>
      </c>
      <c r="L1186" s="99" t="str">
        <f t="shared" si="75"/>
        <v>W3245.2</v>
      </c>
      <c r="M1186" s="13" t="s">
        <v>17</v>
      </c>
      <c r="N1186" s="13"/>
      <c r="O1186" s="13"/>
      <c r="P1186" s="47"/>
      <c r="Q1186" s="45" t="s">
        <v>142</v>
      </c>
      <c r="R1186" s="45" t="s">
        <v>5596</v>
      </c>
      <c r="S1186" s="48"/>
      <c r="T1186" s="49" t="str">
        <f t="shared" si="76"/>
        <v>[W3245.2]</v>
      </c>
      <c r="U1186" s="12" t="str">
        <f t="shared" si="77"/>
        <v xml:space="preserve"> 용접#3 터브 FW 클램프 후진 시간초과 (X51B, Y54B)</v>
      </c>
      <c r="V1186" s="49" t="str">
        <f t="shared" si="78"/>
        <v>[W3245.2] 용접#3 터브 FW 클램프 후진 시간초과 (X51B, Y54B)</v>
      </c>
    </row>
    <row r="1187" spans="1:22" s="49" customFormat="1" ht="14.15" customHeight="1">
      <c r="A1187" s="43" t="s">
        <v>6675</v>
      </c>
      <c r="B1187" s="44" t="s">
        <v>6635</v>
      </c>
      <c r="C1187" s="50"/>
      <c r="D1187" s="10" t="s">
        <v>29</v>
      </c>
      <c r="E1187" s="11"/>
      <c r="F1187" s="11" t="s">
        <v>18</v>
      </c>
      <c r="G1187" s="13"/>
      <c r="H1187" s="45" t="s">
        <v>16</v>
      </c>
      <c r="I1187" s="47"/>
      <c r="J1187" s="12" t="s">
        <v>6376</v>
      </c>
      <c r="K1187" s="13" t="s">
        <v>7958</v>
      </c>
      <c r="L1187" s="99" t="str">
        <f t="shared" si="75"/>
        <v>W3245.3</v>
      </c>
      <c r="M1187" s="13" t="s">
        <v>17</v>
      </c>
      <c r="N1187" s="13"/>
      <c r="O1187" s="13"/>
      <c r="P1187" s="47"/>
      <c r="Q1187" s="45" t="s">
        <v>142</v>
      </c>
      <c r="R1187" s="45" t="s">
        <v>5596</v>
      </c>
      <c r="S1187" s="48"/>
      <c r="T1187" s="49" t="str">
        <f t="shared" si="76"/>
        <v>[W3245.3]</v>
      </c>
      <c r="U1187" s="12" t="str">
        <f t="shared" si="77"/>
        <v xml:space="preserve"> 용접#3 터브 FW 클램프 전진/후진 센서이상 (X51A, X51B)</v>
      </c>
      <c r="V1187" s="49" t="str">
        <f t="shared" si="78"/>
        <v>[W3245.3] 용접#3 터브 FW 클램프 전진/후진 센서이상 (X51A, X51B)</v>
      </c>
    </row>
    <row r="1188" spans="1:22" s="49" customFormat="1" ht="14.15" customHeight="1">
      <c r="A1188" s="43" t="s">
        <v>6675</v>
      </c>
      <c r="B1188" s="44" t="s">
        <v>6635</v>
      </c>
      <c r="C1188" s="50"/>
      <c r="D1188" s="10" t="s">
        <v>29</v>
      </c>
      <c r="E1188" s="11"/>
      <c r="F1188" s="11" t="s">
        <v>18</v>
      </c>
      <c r="G1188" s="13"/>
      <c r="H1188" s="45" t="s">
        <v>16</v>
      </c>
      <c r="I1188" s="47"/>
      <c r="J1188" s="12" t="s">
        <v>6377</v>
      </c>
      <c r="K1188" s="13" t="s">
        <v>7959</v>
      </c>
      <c r="L1188" s="99" t="str">
        <f t="shared" si="75"/>
        <v>W3245.4</v>
      </c>
      <c r="M1188" s="13" t="s">
        <v>17</v>
      </c>
      <c r="N1188" s="13"/>
      <c r="O1188" s="13"/>
      <c r="P1188" s="47"/>
      <c r="Q1188" s="45" t="s">
        <v>142</v>
      </c>
      <c r="R1188" s="45" t="s">
        <v>5596</v>
      </c>
      <c r="S1188" s="48"/>
      <c r="T1188" s="49" t="str">
        <f t="shared" si="76"/>
        <v>[W3245.4]</v>
      </c>
      <c r="U1188" s="12" t="str">
        <f t="shared" si="77"/>
        <v xml:space="preserve"> 용접#3 렉레일 용접 하강 시간초과 (X52A, X52C, Y540)</v>
      </c>
      <c r="V1188" s="49" t="str">
        <f t="shared" si="78"/>
        <v>[W3245.4] 용접#3 렉레일 용접 하강 시간초과 (X52A, X52C, Y540)</v>
      </c>
    </row>
    <row r="1189" spans="1:22" s="49" customFormat="1" ht="14.15" customHeight="1">
      <c r="A1189" s="43" t="s">
        <v>6675</v>
      </c>
      <c r="B1189" s="44" t="s">
        <v>6635</v>
      </c>
      <c r="C1189" s="50"/>
      <c r="D1189" s="10" t="s">
        <v>29</v>
      </c>
      <c r="E1189" s="11"/>
      <c r="F1189" s="11" t="s">
        <v>18</v>
      </c>
      <c r="G1189" s="13"/>
      <c r="H1189" s="45" t="s">
        <v>16</v>
      </c>
      <c r="I1189" s="47"/>
      <c r="J1189" s="12" t="s">
        <v>6378</v>
      </c>
      <c r="K1189" s="13" t="s">
        <v>7960</v>
      </c>
      <c r="L1189" s="99" t="str">
        <f t="shared" si="75"/>
        <v>W3245.5</v>
      </c>
      <c r="M1189" s="13" t="s">
        <v>17</v>
      </c>
      <c r="N1189" s="13"/>
      <c r="O1189" s="13"/>
      <c r="P1189" s="47"/>
      <c r="Q1189" s="45" t="s">
        <v>142</v>
      </c>
      <c r="R1189" s="45" t="s">
        <v>5596</v>
      </c>
      <c r="S1189" s="48"/>
      <c r="T1189" s="49" t="str">
        <f t="shared" si="76"/>
        <v>[W3245.5]</v>
      </c>
      <c r="U1189" s="12" t="str">
        <f t="shared" si="77"/>
        <v xml:space="preserve"> 용접#3 렉레일 용접 상승 시간초과 (X52B, X52D, Y541)</v>
      </c>
      <c r="V1189" s="49" t="str">
        <f t="shared" si="78"/>
        <v>[W3245.5] 용접#3 렉레일 용접 상승 시간초과 (X52B, X52D, Y541)</v>
      </c>
    </row>
    <row r="1190" spans="1:22" s="49" customFormat="1" ht="14.15" customHeight="1">
      <c r="A1190" s="43" t="s">
        <v>6675</v>
      </c>
      <c r="B1190" s="44" t="s">
        <v>6635</v>
      </c>
      <c r="C1190" s="50"/>
      <c r="D1190" s="10" t="s">
        <v>29</v>
      </c>
      <c r="E1190" s="11"/>
      <c r="F1190" s="11" t="s">
        <v>18</v>
      </c>
      <c r="G1190" s="13"/>
      <c r="H1190" s="45" t="s">
        <v>16</v>
      </c>
      <c r="I1190" s="47"/>
      <c r="J1190" s="12" t="s">
        <v>6379</v>
      </c>
      <c r="K1190" s="13" t="s">
        <v>7961</v>
      </c>
      <c r="L1190" s="99" t="str">
        <f t="shared" si="75"/>
        <v>W3245.6</v>
      </c>
      <c r="M1190" s="13" t="s">
        <v>17</v>
      </c>
      <c r="N1190" s="13"/>
      <c r="O1190" s="13"/>
      <c r="P1190" s="47"/>
      <c r="Q1190" s="45" t="s">
        <v>142</v>
      </c>
      <c r="R1190" s="45" t="s">
        <v>5596</v>
      </c>
      <c r="S1190" s="48"/>
      <c r="T1190" s="49" t="str">
        <f t="shared" si="76"/>
        <v>[W3245.6]</v>
      </c>
      <c r="U1190" s="12" t="str">
        <f t="shared" si="77"/>
        <v xml:space="preserve"> 용접#3 렉레일 용접 상승/하강 센서이상 (X52A, X52B, X52C, X52D)</v>
      </c>
      <c r="V1190" s="49" t="str">
        <f t="shared" si="78"/>
        <v>[W3245.6] 용접#3 렉레일 용접 상승/하강 센서이상 (X52A, X52B, X52C, X52D)</v>
      </c>
    </row>
    <row r="1191" spans="1:22" s="49" customFormat="1" ht="14.15" customHeight="1">
      <c r="A1191" s="43" t="s">
        <v>6675</v>
      </c>
      <c r="B1191" s="44" t="s">
        <v>6635</v>
      </c>
      <c r="C1191" s="50"/>
      <c r="D1191" s="10" t="s">
        <v>29</v>
      </c>
      <c r="E1191" s="11"/>
      <c r="F1191" s="11" t="s">
        <v>18</v>
      </c>
      <c r="G1191" s="13"/>
      <c r="H1191" s="45" t="s">
        <v>16</v>
      </c>
      <c r="I1191" s="47"/>
      <c r="J1191" s="12" t="s">
        <v>6380</v>
      </c>
      <c r="K1191" s="13" t="s">
        <v>7962</v>
      </c>
      <c r="L1191" s="99" t="str">
        <f t="shared" si="75"/>
        <v>W3245.7</v>
      </c>
      <c r="M1191" s="13" t="s">
        <v>17</v>
      </c>
      <c r="N1191" s="13"/>
      <c r="O1191" s="13"/>
      <c r="P1191" s="47"/>
      <c r="Q1191" s="45" t="s">
        <v>142</v>
      </c>
      <c r="R1191" s="45" t="s">
        <v>5596</v>
      </c>
      <c r="S1191" s="48"/>
      <c r="T1191" s="49" t="str">
        <f t="shared" si="76"/>
        <v>[W3245.7]</v>
      </c>
      <c r="U1191" s="12" t="str">
        <f t="shared" si="77"/>
        <v xml:space="preserve"> 용접#3 RAIL RH 전진 시간초과 (X509, X50A, Y55A)</v>
      </c>
      <c r="V1191" s="49" t="str">
        <f t="shared" si="78"/>
        <v>[W3245.7] 용접#3 RAIL RH 전진 시간초과 (X509, X50A, Y55A)</v>
      </c>
    </row>
    <row r="1192" spans="1:22" s="49" customFormat="1" ht="14.15" customHeight="1">
      <c r="A1192" s="43" t="s">
        <v>6675</v>
      </c>
      <c r="B1192" s="44" t="s">
        <v>6635</v>
      </c>
      <c r="C1192" s="50"/>
      <c r="D1192" s="10" t="s">
        <v>29</v>
      </c>
      <c r="E1192" s="11"/>
      <c r="F1192" s="11" t="s">
        <v>18</v>
      </c>
      <c r="G1192" s="13"/>
      <c r="H1192" s="45" t="s">
        <v>16</v>
      </c>
      <c r="I1192" s="47"/>
      <c r="J1192" s="12" t="s">
        <v>6381</v>
      </c>
      <c r="K1192" s="13" t="s">
        <v>7963</v>
      </c>
      <c r="L1192" s="99" t="str">
        <f t="shared" si="75"/>
        <v>W3245.8</v>
      </c>
      <c r="M1192" s="13" t="s">
        <v>17</v>
      </c>
      <c r="N1192" s="13"/>
      <c r="O1192" s="13"/>
      <c r="P1192" s="47"/>
      <c r="Q1192" s="45" t="s">
        <v>142</v>
      </c>
      <c r="R1192" s="45" t="s">
        <v>5596</v>
      </c>
      <c r="S1192" s="48"/>
      <c r="T1192" s="49" t="str">
        <f t="shared" si="76"/>
        <v>[W3245.8]</v>
      </c>
      <c r="U1192" s="12" t="str">
        <f t="shared" si="77"/>
        <v xml:space="preserve"> 용접#3 RAIL RH 후진 시간초과 (X508, X50B, Y55B)</v>
      </c>
      <c r="V1192" s="49" t="str">
        <f t="shared" si="78"/>
        <v>[W3245.8] 용접#3 RAIL RH 후진 시간초과 (X508, X50B, Y55B)</v>
      </c>
    </row>
    <row r="1193" spans="1:22" s="49" customFormat="1" ht="14.15" customHeight="1">
      <c r="A1193" s="43" t="s">
        <v>6675</v>
      </c>
      <c r="B1193" s="44" t="s">
        <v>6635</v>
      </c>
      <c r="C1193" s="50"/>
      <c r="D1193" s="10" t="s">
        <v>29</v>
      </c>
      <c r="E1193" s="11"/>
      <c r="F1193" s="11" t="s">
        <v>18</v>
      </c>
      <c r="G1193" s="13"/>
      <c r="H1193" s="45" t="s">
        <v>16</v>
      </c>
      <c r="I1193" s="47"/>
      <c r="J1193" s="12" t="s">
        <v>6382</v>
      </c>
      <c r="K1193" s="13" t="s">
        <v>7964</v>
      </c>
      <c r="L1193" s="99" t="str">
        <f t="shared" si="75"/>
        <v>W3245.9</v>
      </c>
      <c r="M1193" s="13" t="s">
        <v>17</v>
      </c>
      <c r="N1193" s="13"/>
      <c r="O1193" s="13"/>
      <c r="P1193" s="47"/>
      <c r="Q1193" s="45" t="s">
        <v>142</v>
      </c>
      <c r="R1193" s="45" t="s">
        <v>5596</v>
      </c>
      <c r="S1193" s="48"/>
      <c r="T1193" s="49" t="str">
        <f t="shared" si="76"/>
        <v>[W3245.9]</v>
      </c>
      <c r="U1193" s="12" t="str">
        <f t="shared" si="77"/>
        <v xml:space="preserve"> 용접#3 RAIL RH 전진/후진 센서이상  (X508, X509, X50A, X50B)</v>
      </c>
      <c r="V1193" s="49" t="str">
        <f t="shared" si="78"/>
        <v>[W3245.9] 용접#3 RAIL RH 전진/후진 센서이상  (X508, X509, X50A, X50B)</v>
      </c>
    </row>
    <row r="1194" spans="1:22" s="49" customFormat="1" ht="14.15" customHeight="1">
      <c r="A1194" s="43" t="s">
        <v>6675</v>
      </c>
      <c r="B1194" s="44" t="s">
        <v>6635</v>
      </c>
      <c r="C1194" s="50"/>
      <c r="D1194" s="10" t="s">
        <v>29</v>
      </c>
      <c r="E1194" s="11"/>
      <c r="F1194" s="11" t="s">
        <v>18</v>
      </c>
      <c r="G1194" s="13"/>
      <c r="H1194" s="45" t="s">
        <v>16</v>
      </c>
      <c r="I1194" s="47"/>
      <c r="J1194" s="12" t="s">
        <v>6383</v>
      </c>
      <c r="K1194" s="13" t="s">
        <v>7965</v>
      </c>
      <c r="L1194" s="99" t="str">
        <f t="shared" si="75"/>
        <v>W3245.A</v>
      </c>
      <c r="M1194" s="13" t="s">
        <v>17</v>
      </c>
      <c r="N1194" s="13"/>
      <c r="O1194" s="13"/>
      <c r="P1194" s="47"/>
      <c r="Q1194" s="45" t="s">
        <v>142</v>
      </c>
      <c r="R1194" s="45" t="s">
        <v>5596</v>
      </c>
      <c r="S1194" s="48"/>
      <c r="T1194" s="49" t="str">
        <f t="shared" si="76"/>
        <v>[W3245.A]</v>
      </c>
      <c r="U1194" s="12" t="str">
        <f t="shared" si="77"/>
        <v xml:space="preserve"> 용접#3 RAIL LH 전진 시간초과 (X50C, X50E, Y55C)</v>
      </c>
      <c r="V1194" s="49" t="str">
        <f t="shared" si="78"/>
        <v>[W3245.A] 용접#3 RAIL LH 전진 시간초과 (X50C, X50E, Y55C)</v>
      </c>
    </row>
    <row r="1195" spans="1:22" s="49" customFormat="1" ht="14.15" customHeight="1">
      <c r="A1195" s="43" t="s">
        <v>6675</v>
      </c>
      <c r="B1195" s="44" t="s">
        <v>6635</v>
      </c>
      <c r="C1195" s="50"/>
      <c r="D1195" s="10" t="s">
        <v>29</v>
      </c>
      <c r="E1195" s="11"/>
      <c r="F1195" s="11" t="s">
        <v>18</v>
      </c>
      <c r="G1195" s="13"/>
      <c r="H1195" s="45" t="s">
        <v>16</v>
      </c>
      <c r="I1195" s="47"/>
      <c r="J1195" s="12" t="s">
        <v>6384</v>
      </c>
      <c r="K1195" s="13" t="s">
        <v>7966</v>
      </c>
      <c r="L1195" s="99" t="str">
        <f t="shared" si="75"/>
        <v>W3245.B</v>
      </c>
      <c r="M1195" s="13" t="s">
        <v>17</v>
      </c>
      <c r="N1195" s="13"/>
      <c r="O1195" s="13"/>
      <c r="P1195" s="47"/>
      <c r="Q1195" s="45" t="s">
        <v>142</v>
      </c>
      <c r="R1195" s="45" t="s">
        <v>5596</v>
      </c>
      <c r="S1195" s="48"/>
      <c r="T1195" s="49" t="str">
        <f t="shared" si="76"/>
        <v>[W3245.B]</v>
      </c>
      <c r="U1195" s="12" t="str">
        <f t="shared" si="77"/>
        <v xml:space="preserve"> 용접#3 RAIL LH 후진 시간초과 (X50D, X50F, Y55D)</v>
      </c>
      <c r="V1195" s="49" t="str">
        <f t="shared" si="78"/>
        <v>[W3245.B] 용접#3 RAIL LH 후진 시간초과 (X50D, X50F, Y55D)</v>
      </c>
    </row>
    <row r="1196" spans="1:22" s="49" customFormat="1" ht="14.15" customHeight="1">
      <c r="A1196" s="43" t="s">
        <v>6675</v>
      </c>
      <c r="B1196" s="44" t="s">
        <v>6635</v>
      </c>
      <c r="C1196" s="50"/>
      <c r="D1196" s="10" t="s">
        <v>29</v>
      </c>
      <c r="E1196" s="11"/>
      <c r="F1196" s="11" t="s">
        <v>18</v>
      </c>
      <c r="G1196" s="13"/>
      <c r="H1196" s="45" t="s">
        <v>16</v>
      </c>
      <c r="I1196" s="47"/>
      <c r="J1196" s="12" t="s">
        <v>6385</v>
      </c>
      <c r="K1196" s="13" t="s">
        <v>7967</v>
      </c>
      <c r="L1196" s="99" t="str">
        <f t="shared" si="75"/>
        <v>W3245.C</v>
      </c>
      <c r="M1196" s="13" t="s">
        <v>17</v>
      </c>
      <c r="N1196" s="13"/>
      <c r="O1196" s="13"/>
      <c r="P1196" s="47"/>
      <c r="Q1196" s="45" t="s">
        <v>142</v>
      </c>
      <c r="R1196" s="45" t="s">
        <v>5596</v>
      </c>
      <c r="S1196" s="48"/>
      <c r="T1196" s="49" t="str">
        <f t="shared" si="76"/>
        <v>[W3245.C]</v>
      </c>
      <c r="U1196" s="12" t="str">
        <f t="shared" si="77"/>
        <v xml:space="preserve"> 용접#3 RAIL LH 전진/후진 센서이상  (X50C, X50D, X50E, X50F)</v>
      </c>
      <c r="V1196" s="49" t="str">
        <f t="shared" si="78"/>
        <v>[W3245.C] 용접#3 RAIL LH 전진/후진 센서이상  (X50C, X50D, X50E, X50F)</v>
      </c>
    </row>
    <row r="1197" spans="1:22" s="49" customFormat="1" ht="14.15" customHeight="1">
      <c r="A1197" s="43" t="s">
        <v>6675</v>
      </c>
      <c r="B1197" s="44" t="s">
        <v>6635</v>
      </c>
      <c r="C1197" s="50"/>
      <c r="D1197" s="10" t="s">
        <v>29</v>
      </c>
      <c r="E1197" s="11"/>
      <c r="F1197" s="11" t="s">
        <v>18</v>
      </c>
      <c r="G1197" s="13"/>
      <c r="H1197" s="45" t="s">
        <v>16</v>
      </c>
      <c r="I1197" s="47"/>
      <c r="J1197" s="12" t="s">
        <v>6386</v>
      </c>
      <c r="K1197" s="13" t="s">
        <v>7968</v>
      </c>
      <c r="L1197" s="99" t="str">
        <f t="shared" si="75"/>
        <v>W3245.D</v>
      </c>
      <c r="M1197" s="13" t="s">
        <v>17</v>
      </c>
      <c r="N1197" s="13"/>
      <c r="O1197" s="13"/>
      <c r="P1197" s="47"/>
      <c r="Q1197" s="45" t="s">
        <v>142</v>
      </c>
      <c r="R1197" s="45" t="s">
        <v>5596</v>
      </c>
      <c r="S1197" s="48"/>
      <c r="T1197" s="49" t="str">
        <f t="shared" si="76"/>
        <v>[W3245.D]</v>
      </c>
      <c r="U1197" s="12" t="str">
        <f t="shared" si="77"/>
        <v xml:space="preserve"> 용접#3 RAIL RH 클램프 하강 시간초과 (X51C, Y546)</v>
      </c>
      <c r="V1197" s="49" t="str">
        <f t="shared" si="78"/>
        <v>[W3245.D] 용접#3 RAIL RH 클램프 하강 시간초과 (X51C, Y546)</v>
      </c>
    </row>
    <row r="1198" spans="1:22" s="49" customFormat="1" ht="14.15" customHeight="1">
      <c r="A1198" s="43" t="s">
        <v>6675</v>
      </c>
      <c r="B1198" s="44" t="s">
        <v>6635</v>
      </c>
      <c r="C1198" s="50"/>
      <c r="D1198" s="10" t="s">
        <v>29</v>
      </c>
      <c r="E1198" s="11"/>
      <c r="F1198" s="11" t="s">
        <v>18</v>
      </c>
      <c r="G1198" s="13"/>
      <c r="H1198" s="45" t="s">
        <v>16</v>
      </c>
      <c r="I1198" s="47"/>
      <c r="J1198" s="12" t="s">
        <v>6387</v>
      </c>
      <c r="K1198" s="13" t="s">
        <v>7969</v>
      </c>
      <c r="L1198" s="99" t="str">
        <f t="shared" si="75"/>
        <v>W3245.E</v>
      </c>
      <c r="M1198" s="13" t="s">
        <v>17</v>
      </c>
      <c r="N1198" s="13"/>
      <c r="O1198" s="13"/>
      <c r="P1198" s="47"/>
      <c r="Q1198" s="45" t="s">
        <v>142</v>
      </c>
      <c r="R1198" s="45" t="s">
        <v>5596</v>
      </c>
      <c r="S1198" s="48"/>
      <c r="T1198" s="49" t="str">
        <f t="shared" si="76"/>
        <v>[W3245.E]</v>
      </c>
      <c r="U1198" s="12" t="str">
        <f t="shared" si="77"/>
        <v xml:space="preserve"> 용접#3 RAIL RH 클램프 상승 시간초과 (X51D, Y547)</v>
      </c>
      <c r="V1198" s="49" t="str">
        <f t="shared" si="78"/>
        <v>[W3245.E] 용접#3 RAIL RH 클램프 상승 시간초과 (X51D, Y547)</v>
      </c>
    </row>
    <row r="1199" spans="1:22" s="49" customFormat="1" ht="14.15" customHeight="1">
      <c r="A1199" s="43" t="s">
        <v>6675</v>
      </c>
      <c r="B1199" s="44" t="s">
        <v>6635</v>
      </c>
      <c r="C1199" s="50"/>
      <c r="D1199" s="10" t="s">
        <v>29</v>
      </c>
      <c r="E1199" s="11"/>
      <c r="F1199" s="11" t="s">
        <v>18</v>
      </c>
      <c r="G1199" s="13"/>
      <c r="H1199" s="45" t="s">
        <v>16</v>
      </c>
      <c r="I1199" s="47"/>
      <c r="J1199" s="12" t="s">
        <v>6388</v>
      </c>
      <c r="K1199" s="13" t="s">
        <v>7970</v>
      </c>
      <c r="L1199" s="99" t="str">
        <f t="shared" si="75"/>
        <v>W3245.F</v>
      </c>
      <c r="M1199" s="13" t="s">
        <v>17</v>
      </c>
      <c r="N1199" s="13"/>
      <c r="O1199" s="13"/>
      <c r="P1199" s="47"/>
      <c r="Q1199" s="45" t="s">
        <v>142</v>
      </c>
      <c r="R1199" s="45" t="s">
        <v>5596</v>
      </c>
      <c r="S1199" s="48"/>
      <c r="T1199" s="49" t="str">
        <f t="shared" si="76"/>
        <v>[W3245.F]</v>
      </c>
      <c r="U1199" s="12" t="str">
        <f t="shared" si="77"/>
        <v xml:space="preserve"> 용접#3 RAIL RH 클램프 상승/하강 센서이상 (X51C, X51D)</v>
      </c>
      <c r="V1199" s="49" t="str">
        <f t="shared" si="78"/>
        <v>[W3245.F] 용접#3 RAIL RH 클램프 상승/하강 센서이상 (X51C, X51D)</v>
      </c>
    </row>
    <row r="1200" spans="1:22" s="49" customFormat="1" ht="14.15" customHeight="1">
      <c r="A1200" s="43" t="s">
        <v>6675</v>
      </c>
      <c r="B1200" s="44" t="s">
        <v>6635</v>
      </c>
      <c r="C1200" s="50"/>
      <c r="D1200" s="10" t="s">
        <v>29</v>
      </c>
      <c r="E1200" s="11"/>
      <c r="F1200" s="11" t="s">
        <v>18</v>
      </c>
      <c r="G1200" s="13"/>
      <c r="H1200" s="45" t="s">
        <v>16</v>
      </c>
      <c r="I1200" s="47"/>
      <c r="J1200" s="12" t="s">
        <v>6389</v>
      </c>
      <c r="K1200" s="13" t="s">
        <v>7971</v>
      </c>
      <c r="L1200" s="99" t="str">
        <f t="shared" si="75"/>
        <v>W3246.0</v>
      </c>
      <c r="M1200" s="13" t="s">
        <v>17</v>
      </c>
      <c r="N1200" s="13"/>
      <c r="O1200" s="13"/>
      <c r="P1200" s="47"/>
      <c r="Q1200" s="45" t="s">
        <v>142</v>
      </c>
      <c r="R1200" s="45" t="s">
        <v>5596</v>
      </c>
      <c r="S1200" s="48"/>
      <c r="T1200" s="49" t="str">
        <f t="shared" si="76"/>
        <v>[W3246.0]</v>
      </c>
      <c r="U1200" s="12" t="str">
        <f t="shared" si="77"/>
        <v xml:space="preserve"> 용접#3 RAIL LH 클램프 하강 시간초과 (X51E, Y548)</v>
      </c>
      <c r="V1200" s="49" t="str">
        <f t="shared" si="78"/>
        <v>[W3246.0] 용접#3 RAIL LH 클램프 하강 시간초과 (X51E, Y548)</v>
      </c>
    </row>
    <row r="1201" spans="1:22" s="49" customFormat="1" ht="14.15" customHeight="1">
      <c r="A1201" s="43" t="s">
        <v>6675</v>
      </c>
      <c r="B1201" s="44" t="s">
        <v>6635</v>
      </c>
      <c r="C1201" s="50"/>
      <c r="D1201" s="10" t="s">
        <v>29</v>
      </c>
      <c r="E1201" s="11"/>
      <c r="F1201" s="11" t="s">
        <v>18</v>
      </c>
      <c r="G1201" s="13"/>
      <c r="H1201" s="45" t="s">
        <v>16</v>
      </c>
      <c r="I1201" s="47"/>
      <c r="J1201" s="12" t="s">
        <v>6390</v>
      </c>
      <c r="K1201" s="13" t="s">
        <v>7972</v>
      </c>
      <c r="L1201" s="99" t="str">
        <f t="shared" si="75"/>
        <v>W3246.1</v>
      </c>
      <c r="M1201" s="13" t="s">
        <v>17</v>
      </c>
      <c r="N1201" s="13"/>
      <c r="O1201" s="13"/>
      <c r="P1201" s="47"/>
      <c r="Q1201" s="45" t="s">
        <v>142</v>
      </c>
      <c r="R1201" s="45" t="s">
        <v>5596</v>
      </c>
      <c r="S1201" s="48"/>
      <c r="T1201" s="49" t="str">
        <f t="shared" si="76"/>
        <v>[W3246.1]</v>
      </c>
      <c r="U1201" s="12" t="str">
        <f t="shared" si="77"/>
        <v xml:space="preserve"> 용접#3 RAIL LH 클램프 상승 시간초과 (X51F, Y549)</v>
      </c>
      <c r="V1201" s="49" t="str">
        <f t="shared" si="78"/>
        <v>[W3246.1] 용접#3 RAIL LH 클램프 상승 시간초과 (X51F, Y549)</v>
      </c>
    </row>
    <row r="1202" spans="1:22" s="49" customFormat="1" ht="14.15" customHeight="1">
      <c r="A1202" s="43" t="s">
        <v>6675</v>
      </c>
      <c r="B1202" s="44" t="s">
        <v>6635</v>
      </c>
      <c r="C1202" s="50"/>
      <c r="D1202" s="10" t="s">
        <v>29</v>
      </c>
      <c r="E1202" s="11"/>
      <c r="F1202" s="11" t="s">
        <v>18</v>
      </c>
      <c r="G1202" s="13"/>
      <c r="H1202" s="45" t="s">
        <v>16</v>
      </c>
      <c r="I1202" s="47"/>
      <c r="J1202" s="12" t="s">
        <v>6391</v>
      </c>
      <c r="K1202" s="13" t="s">
        <v>7973</v>
      </c>
      <c r="L1202" s="99" t="str">
        <f t="shared" si="75"/>
        <v>W3246.2</v>
      </c>
      <c r="M1202" s="13" t="s">
        <v>17</v>
      </c>
      <c r="N1202" s="13"/>
      <c r="O1202" s="13"/>
      <c r="P1202" s="47"/>
      <c r="Q1202" s="45" t="s">
        <v>142</v>
      </c>
      <c r="R1202" s="45" t="s">
        <v>5596</v>
      </c>
      <c r="S1202" s="48"/>
      <c r="T1202" s="49" t="str">
        <f t="shared" si="76"/>
        <v>[W3246.2]</v>
      </c>
      <c r="U1202" s="12" t="str">
        <f t="shared" si="77"/>
        <v xml:space="preserve"> 용접#3 RAIL LH 클램프 상승/하강 센서이상 (X51E, X51F)</v>
      </c>
      <c r="V1202" s="49" t="str">
        <f t="shared" si="78"/>
        <v>[W3246.2] 용접#3 RAIL LH 클램프 상승/하강 센서이상 (X51E, X51F)</v>
      </c>
    </row>
    <row r="1203" spans="1:22" s="49" customFormat="1" ht="14.15" customHeight="1">
      <c r="A1203" s="43"/>
      <c r="B1203" s="44" t="s">
        <v>6635</v>
      </c>
      <c r="C1203" s="50"/>
      <c r="D1203" s="10" t="s">
        <v>29</v>
      </c>
      <c r="E1203" s="11"/>
      <c r="F1203" s="11" t="s">
        <v>18</v>
      </c>
      <c r="G1203" s="13"/>
      <c r="H1203" s="45" t="s">
        <v>16</v>
      </c>
      <c r="I1203" s="47"/>
      <c r="J1203" s="12" t="s">
        <v>955</v>
      </c>
      <c r="K1203" s="13" t="s">
        <v>7974</v>
      </c>
      <c r="L1203" s="99" t="str">
        <f t="shared" si="75"/>
        <v>W3246.3</v>
      </c>
      <c r="M1203" s="13"/>
      <c r="N1203" s="13"/>
      <c r="O1203" s="13"/>
      <c r="P1203" s="47"/>
      <c r="Q1203" s="45"/>
      <c r="R1203" s="45"/>
      <c r="S1203" s="48"/>
      <c r="T1203" s="49" t="str">
        <f t="shared" si="76"/>
        <v>[W3246.3]</v>
      </c>
      <c r="U1203" s="12" t="str">
        <f t="shared" si="77"/>
        <v xml:space="preserve"> </v>
      </c>
      <c r="V1203" s="49" t="str">
        <f t="shared" si="78"/>
        <v xml:space="preserve">[W3246.3] </v>
      </c>
    </row>
    <row r="1204" spans="1:22" s="49" customFormat="1" ht="14.15" customHeight="1">
      <c r="A1204" s="43"/>
      <c r="B1204" s="44" t="s">
        <v>6635</v>
      </c>
      <c r="C1204" s="50"/>
      <c r="D1204" s="10" t="s">
        <v>29</v>
      </c>
      <c r="E1204" s="11"/>
      <c r="F1204" s="11" t="s">
        <v>18</v>
      </c>
      <c r="G1204" s="13"/>
      <c r="H1204" s="45" t="s">
        <v>16</v>
      </c>
      <c r="I1204" s="47"/>
      <c r="J1204" s="12" t="s">
        <v>6392</v>
      </c>
      <c r="K1204" s="13" t="s">
        <v>7975</v>
      </c>
      <c r="L1204" s="99" t="str">
        <f t="shared" si="75"/>
        <v>W3246.4</v>
      </c>
      <c r="M1204" s="13"/>
      <c r="N1204" s="13"/>
      <c r="O1204" s="13"/>
      <c r="P1204" s="47"/>
      <c r="Q1204" s="45"/>
      <c r="R1204" s="45"/>
      <c r="S1204" s="48"/>
      <c r="T1204" s="49" t="str">
        <f t="shared" si="76"/>
        <v>[W3246.4]</v>
      </c>
      <c r="U1204" s="12" t="str">
        <f t="shared" si="77"/>
        <v xml:space="preserve"> </v>
      </c>
      <c r="V1204" s="49" t="str">
        <f t="shared" si="78"/>
        <v xml:space="preserve">[W3246.4] </v>
      </c>
    </row>
    <row r="1205" spans="1:22" s="49" customFormat="1" ht="14.15" customHeight="1">
      <c r="A1205" s="43"/>
      <c r="B1205" s="44" t="s">
        <v>6635</v>
      </c>
      <c r="C1205" s="50"/>
      <c r="D1205" s="10" t="s">
        <v>29</v>
      </c>
      <c r="E1205" s="11"/>
      <c r="F1205" s="11" t="s">
        <v>18</v>
      </c>
      <c r="G1205" s="13"/>
      <c r="H1205" s="45" t="s">
        <v>16</v>
      </c>
      <c r="I1205" s="47"/>
      <c r="J1205" s="12" t="s">
        <v>6393</v>
      </c>
      <c r="K1205" s="13" t="s">
        <v>7976</v>
      </c>
      <c r="L1205" s="99" t="str">
        <f t="shared" si="75"/>
        <v>W3246.5</v>
      </c>
      <c r="M1205" s="13"/>
      <c r="N1205" s="13"/>
      <c r="O1205" s="13"/>
      <c r="P1205" s="47"/>
      <c r="Q1205" s="45"/>
      <c r="R1205" s="45"/>
      <c r="S1205" s="48"/>
      <c r="T1205" s="49" t="str">
        <f t="shared" si="76"/>
        <v>[W3246.5]</v>
      </c>
      <c r="U1205" s="12" t="str">
        <f t="shared" si="77"/>
        <v xml:space="preserve"> </v>
      </c>
      <c r="V1205" s="49" t="str">
        <f t="shared" si="78"/>
        <v xml:space="preserve">[W3246.5] </v>
      </c>
    </row>
    <row r="1206" spans="1:22" s="49" customFormat="1" ht="14.15" customHeight="1">
      <c r="A1206" s="43" t="s">
        <v>6675</v>
      </c>
      <c r="B1206" s="44" t="s">
        <v>6635</v>
      </c>
      <c r="C1206" s="50"/>
      <c r="D1206" s="10" t="s">
        <v>29</v>
      </c>
      <c r="E1206" s="11"/>
      <c r="F1206" s="11" t="s">
        <v>18</v>
      </c>
      <c r="G1206" s="13"/>
      <c r="H1206" s="45" t="s">
        <v>16</v>
      </c>
      <c r="I1206" s="47"/>
      <c r="J1206" s="12" t="s">
        <v>6394</v>
      </c>
      <c r="K1206" s="13" t="s">
        <v>7977</v>
      </c>
      <c r="L1206" s="99" t="str">
        <f t="shared" si="75"/>
        <v>W3246.6</v>
      </c>
      <c r="M1206" s="13" t="s">
        <v>17</v>
      </c>
      <c r="N1206" s="13"/>
      <c r="O1206" s="13"/>
      <c r="P1206" s="47"/>
      <c r="Q1206" s="45" t="s">
        <v>142</v>
      </c>
      <c r="R1206" s="45" t="s">
        <v>5596</v>
      </c>
      <c r="S1206" s="48"/>
      <c r="T1206" s="49" t="str">
        <f t="shared" si="76"/>
        <v>[W3246.6]</v>
      </c>
      <c r="U1206" s="12" t="str">
        <f t="shared" si="77"/>
        <v xml:space="preserve"> 용접#3 GUN RH#1 전진 시간초과 (X520, X522, Y550)</v>
      </c>
      <c r="V1206" s="49" t="str">
        <f t="shared" si="78"/>
        <v>[W3246.6] 용접#3 GUN RH#1 전진 시간초과 (X520, X522, Y550)</v>
      </c>
    </row>
    <row r="1207" spans="1:22" s="49" customFormat="1" ht="14.15" customHeight="1">
      <c r="A1207" s="43" t="s">
        <v>6675</v>
      </c>
      <c r="B1207" s="44" t="s">
        <v>6635</v>
      </c>
      <c r="C1207" s="50"/>
      <c r="D1207" s="10" t="s">
        <v>29</v>
      </c>
      <c r="E1207" s="11"/>
      <c r="F1207" s="11" t="s">
        <v>18</v>
      </c>
      <c r="G1207" s="13"/>
      <c r="H1207" s="45" t="s">
        <v>16</v>
      </c>
      <c r="I1207" s="47"/>
      <c r="J1207" s="12" t="s">
        <v>6395</v>
      </c>
      <c r="K1207" s="13" t="s">
        <v>7978</v>
      </c>
      <c r="L1207" s="99" t="str">
        <f t="shared" si="75"/>
        <v>W3246.7</v>
      </c>
      <c r="M1207" s="13" t="s">
        <v>17</v>
      </c>
      <c r="N1207" s="13"/>
      <c r="O1207" s="13"/>
      <c r="P1207" s="47"/>
      <c r="Q1207" s="45" t="s">
        <v>142</v>
      </c>
      <c r="R1207" s="45" t="s">
        <v>5596</v>
      </c>
      <c r="S1207" s="48"/>
      <c r="T1207" s="49" t="str">
        <f t="shared" si="76"/>
        <v>[W3246.7]</v>
      </c>
      <c r="U1207" s="12" t="str">
        <f t="shared" si="77"/>
        <v xml:space="preserve"> 용접#3 GUN RH#1 후진 시간초과 (X521, X523, Y551)</v>
      </c>
      <c r="V1207" s="49" t="str">
        <f t="shared" si="78"/>
        <v>[W3246.7] 용접#3 GUN RH#1 후진 시간초과 (X521, X523, Y551)</v>
      </c>
    </row>
    <row r="1208" spans="1:22" s="49" customFormat="1" ht="14.15" customHeight="1">
      <c r="A1208" s="43" t="s">
        <v>6675</v>
      </c>
      <c r="B1208" s="44" t="s">
        <v>6635</v>
      </c>
      <c r="C1208" s="50"/>
      <c r="D1208" s="10" t="s">
        <v>29</v>
      </c>
      <c r="E1208" s="11"/>
      <c r="F1208" s="11" t="s">
        <v>18</v>
      </c>
      <c r="G1208" s="13"/>
      <c r="H1208" s="45" t="s">
        <v>16</v>
      </c>
      <c r="I1208" s="47"/>
      <c r="J1208" s="12" t="s">
        <v>6396</v>
      </c>
      <c r="K1208" s="13" t="s">
        <v>7979</v>
      </c>
      <c r="L1208" s="99" t="str">
        <f t="shared" si="75"/>
        <v>W3246.8</v>
      </c>
      <c r="M1208" s="13" t="s">
        <v>17</v>
      </c>
      <c r="N1208" s="13"/>
      <c r="O1208" s="13"/>
      <c r="P1208" s="47"/>
      <c r="Q1208" s="45" t="s">
        <v>142</v>
      </c>
      <c r="R1208" s="45" t="s">
        <v>5596</v>
      </c>
      <c r="S1208" s="48"/>
      <c r="T1208" s="49" t="str">
        <f t="shared" si="76"/>
        <v>[W3246.8]</v>
      </c>
      <c r="U1208" s="12" t="str">
        <f t="shared" si="77"/>
        <v xml:space="preserve"> 용접#3 GUN RH#1 전진/후진 센서이상  (X520, X521, X522, X523)</v>
      </c>
      <c r="V1208" s="49" t="str">
        <f t="shared" si="78"/>
        <v>[W3246.8] 용접#3 GUN RH#1 전진/후진 센서이상  (X520, X521, X522, X523)</v>
      </c>
    </row>
    <row r="1209" spans="1:22" s="49" customFormat="1" ht="14.15" customHeight="1">
      <c r="A1209" s="43" t="s">
        <v>6675</v>
      </c>
      <c r="B1209" s="44" t="s">
        <v>6635</v>
      </c>
      <c r="C1209" s="50"/>
      <c r="D1209" s="10" t="s">
        <v>29</v>
      </c>
      <c r="E1209" s="11"/>
      <c r="F1209" s="11" t="s">
        <v>18</v>
      </c>
      <c r="G1209" s="13"/>
      <c r="H1209" s="45" t="s">
        <v>16</v>
      </c>
      <c r="I1209" s="47"/>
      <c r="J1209" s="12" t="s">
        <v>6397</v>
      </c>
      <c r="K1209" s="13" t="s">
        <v>7980</v>
      </c>
      <c r="L1209" s="99" t="str">
        <f t="shared" si="75"/>
        <v>W3246.9</v>
      </c>
      <c r="M1209" s="13" t="s">
        <v>17</v>
      </c>
      <c r="N1209" s="13"/>
      <c r="O1209" s="13"/>
      <c r="P1209" s="47"/>
      <c r="Q1209" s="45" t="s">
        <v>142</v>
      </c>
      <c r="R1209" s="45" t="s">
        <v>5596</v>
      </c>
      <c r="S1209" s="48"/>
      <c r="T1209" s="49" t="str">
        <f t="shared" si="76"/>
        <v>[W3246.9]</v>
      </c>
      <c r="U1209" s="12" t="str">
        <f t="shared" si="77"/>
        <v xml:space="preserve"> 용접#3 GUN LH#1 전진 시간초과 (X524, X526, Y552)</v>
      </c>
      <c r="V1209" s="49" t="str">
        <f t="shared" si="78"/>
        <v>[W3246.9] 용접#3 GUN LH#1 전진 시간초과 (X524, X526, Y552)</v>
      </c>
    </row>
    <row r="1210" spans="1:22" s="49" customFormat="1" ht="14.15" customHeight="1">
      <c r="A1210" s="43" t="s">
        <v>6675</v>
      </c>
      <c r="B1210" s="44" t="s">
        <v>6635</v>
      </c>
      <c r="C1210" s="50"/>
      <c r="D1210" s="10" t="s">
        <v>29</v>
      </c>
      <c r="E1210" s="11"/>
      <c r="F1210" s="11" t="s">
        <v>18</v>
      </c>
      <c r="G1210" s="13"/>
      <c r="H1210" s="45" t="s">
        <v>16</v>
      </c>
      <c r="I1210" s="47"/>
      <c r="J1210" s="12" t="s">
        <v>6398</v>
      </c>
      <c r="K1210" s="13" t="s">
        <v>7981</v>
      </c>
      <c r="L1210" s="99" t="str">
        <f t="shared" si="75"/>
        <v>W3246.A</v>
      </c>
      <c r="M1210" s="13" t="s">
        <v>17</v>
      </c>
      <c r="N1210" s="13"/>
      <c r="O1210" s="13"/>
      <c r="P1210" s="47"/>
      <c r="Q1210" s="45" t="s">
        <v>142</v>
      </c>
      <c r="R1210" s="45" t="s">
        <v>5596</v>
      </c>
      <c r="S1210" s="48"/>
      <c r="T1210" s="49" t="str">
        <f t="shared" si="76"/>
        <v>[W3246.A]</v>
      </c>
      <c r="U1210" s="12" t="str">
        <f t="shared" si="77"/>
        <v xml:space="preserve"> 용접#3 GUN LH#1 후진 시간초과 (X525, X527, Y553)</v>
      </c>
      <c r="V1210" s="49" t="str">
        <f t="shared" si="78"/>
        <v>[W3246.A] 용접#3 GUN LH#1 후진 시간초과 (X525, X527, Y553)</v>
      </c>
    </row>
    <row r="1211" spans="1:22" s="49" customFormat="1" ht="14.15" customHeight="1">
      <c r="A1211" s="43" t="s">
        <v>6675</v>
      </c>
      <c r="B1211" s="44" t="s">
        <v>6635</v>
      </c>
      <c r="C1211" s="50"/>
      <c r="D1211" s="10" t="s">
        <v>29</v>
      </c>
      <c r="E1211" s="11"/>
      <c r="F1211" s="11" t="s">
        <v>18</v>
      </c>
      <c r="G1211" s="13"/>
      <c r="H1211" s="45" t="s">
        <v>16</v>
      </c>
      <c r="I1211" s="47"/>
      <c r="J1211" s="12" t="s">
        <v>6399</v>
      </c>
      <c r="K1211" s="13" t="s">
        <v>7982</v>
      </c>
      <c r="L1211" s="99" t="str">
        <f t="shared" si="75"/>
        <v>W3246.B</v>
      </c>
      <c r="M1211" s="13" t="s">
        <v>17</v>
      </c>
      <c r="N1211" s="13"/>
      <c r="O1211" s="13"/>
      <c r="P1211" s="47"/>
      <c r="Q1211" s="45" t="s">
        <v>142</v>
      </c>
      <c r="R1211" s="45" t="s">
        <v>5596</v>
      </c>
      <c r="S1211" s="48"/>
      <c r="T1211" s="49" t="str">
        <f t="shared" si="76"/>
        <v>[W3246.B]</v>
      </c>
      <c r="U1211" s="12" t="str">
        <f t="shared" si="77"/>
        <v xml:space="preserve"> 용접#3 GUN LH#1 전진/후진 센서이상  (X524, X525, X526, X527)</v>
      </c>
      <c r="V1211" s="49" t="str">
        <f t="shared" si="78"/>
        <v>[W3246.B] 용접#3 GUN LH#1 전진/후진 센서이상  (X524, X525, X526, X527)</v>
      </c>
    </row>
    <row r="1212" spans="1:22" s="49" customFormat="1" ht="14.15" customHeight="1">
      <c r="A1212" s="43" t="s">
        <v>6675</v>
      </c>
      <c r="B1212" s="44" t="s">
        <v>6635</v>
      </c>
      <c r="C1212" s="50"/>
      <c r="D1212" s="10" t="s">
        <v>29</v>
      </c>
      <c r="E1212" s="11"/>
      <c r="F1212" s="11" t="s">
        <v>18</v>
      </c>
      <c r="G1212" s="13"/>
      <c r="H1212" s="45" t="s">
        <v>16</v>
      </c>
      <c r="I1212" s="47"/>
      <c r="J1212" s="12" t="s">
        <v>6400</v>
      </c>
      <c r="K1212" s="13" t="s">
        <v>7983</v>
      </c>
      <c r="L1212" s="99" t="str">
        <f t="shared" si="75"/>
        <v>W3246.C</v>
      </c>
      <c r="M1212" s="13" t="s">
        <v>17</v>
      </c>
      <c r="N1212" s="13"/>
      <c r="O1212" s="13"/>
      <c r="P1212" s="47"/>
      <c r="Q1212" s="45" t="s">
        <v>142</v>
      </c>
      <c r="R1212" s="45" t="s">
        <v>5596</v>
      </c>
      <c r="S1212" s="48"/>
      <c r="T1212" s="49" t="str">
        <f t="shared" si="76"/>
        <v>[W3246.C]</v>
      </c>
      <c r="U1212" s="12" t="str">
        <f t="shared" si="77"/>
        <v xml:space="preserve"> 용접#3 GUN FW#1 전진 시간초과 (X528, X507, Y554)</v>
      </c>
      <c r="V1212" s="49" t="str">
        <f t="shared" si="78"/>
        <v>[W3246.C] 용접#3 GUN FW#1 전진 시간초과 (X528, X507, Y554)</v>
      </c>
    </row>
    <row r="1213" spans="1:22" s="49" customFormat="1" ht="14.15" customHeight="1">
      <c r="A1213" s="43" t="s">
        <v>6675</v>
      </c>
      <c r="B1213" s="44" t="s">
        <v>6635</v>
      </c>
      <c r="C1213" s="50"/>
      <c r="D1213" s="10" t="s">
        <v>29</v>
      </c>
      <c r="E1213" s="11"/>
      <c r="F1213" s="11" t="s">
        <v>18</v>
      </c>
      <c r="G1213" s="13"/>
      <c r="H1213" s="45" t="s">
        <v>16</v>
      </c>
      <c r="I1213" s="47"/>
      <c r="J1213" s="12" t="s">
        <v>6401</v>
      </c>
      <c r="K1213" s="13" t="s">
        <v>7984</v>
      </c>
      <c r="L1213" s="99" t="str">
        <f t="shared" si="75"/>
        <v>W3246.D</v>
      </c>
      <c r="M1213" s="13" t="s">
        <v>17</v>
      </c>
      <c r="N1213" s="13"/>
      <c r="O1213" s="13"/>
      <c r="P1213" s="47"/>
      <c r="Q1213" s="45" t="s">
        <v>142</v>
      </c>
      <c r="R1213" s="45" t="s">
        <v>5596</v>
      </c>
      <c r="S1213" s="48"/>
      <c r="T1213" s="49" t="str">
        <f t="shared" si="76"/>
        <v>[W3246.D]</v>
      </c>
      <c r="U1213" s="12" t="str">
        <f t="shared" si="77"/>
        <v xml:space="preserve"> 용접#3 GUN FW#1 후진 시간초과 (X529, X506, Y555)</v>
      </c>
      <c r="V1213" s="49" t="str">
        <f t="shared" si="78"/>
        <v>[W3246.D] 용접#3 GUN FW#1 후진 시간초과 (X529, X506, Y555)</v>
      </c>
    </row>
    <row r="1214" spans="1:22" s="49" customFormat="1" ht="14.15" customHeight="1">
      <c r="A1214" s="43" t="s">
        <v>6675</v>
      </c>
      <c r="B1214" s="44" t="s">
        <v>6635</v>
      </c>
      <c r="C1214" s="50"/>
      <c r="D1214" s="10" t="s">
        <v>29</v>
      </c>
      <c r="E1214" s="11"/>
      <c r="F1214" s="11" t="s">
        <v>18</v>
      </c>
      <c r="G1214" s="13"/>
      <c r="H1214" s="45" t="s">
        <v>16</v>
      </c>
      <c r="I1214" s="47"/>
      <c r="J1214" s="12" t="s">
        <v>6402</v>
      </c>
      <c r="K1214" s="13" t="s">
        <v>7985</v>
      </c>
      <c r="L1214" s="99" t="str">
        <f t="shared" si="75"/>
        <v>W3246.E</v>
      </c>
      <c r="M1214" s="13" t="s">
        <v>17</v>
      </c>
      <c r="N1214" s="13"/>
      <c r="O1214" s="13"/>
      <c r="P1214" s="47"/>
      <c r="Q1214" s="45" t="s">
        <v>142</v>
      </c>
      <c r="R1214" s="45" t="s">
        <v>5596</v>
      </c>
      <c r="S1214" s="48"/>
      <c r="T1214" s="49" t="str">
        <f t="shared" si="76"/>
        <v>[W3246.E]</v>
      </c>
      <c r="U1214" s="12" t="str">
        <f t="shared" si="77"/>
        <v xml:space="preserve"> 용접#3 GUN FW#1 전진/후진 센서이상  (X528, X529, X506, X507)</v>
      </c>
      <c r="V1214" s="49" t="str">
        <f t="shared" si="78"/>
        <v>[W3246.E] 용접#3 GUN FW#1 전진/후진 센서이상  (X528, X529, X506, X507)</v>
      </c>
    </row>
    <row r="1215" spans="1:22" s="49" customFormat="1" ht="14.15" customHeight="1">
      <c r="A1215" s="43" t="s">
        <v>6675</v>
      </c>
      <c r="B1215" s="44" t="s">
        <v>6635</v>
      </c>
      <c r="C1215" s="50"/>
      <c r="D1215" s="10" t="s">
        <v>29</v>
      </c>
      <c r="E1215" s="11"/>
      <c r="F1215" s="11" t="s">
        <v>18</v>
      </c>
      <c r="G1215" s="13"/>
      <c r="H1215" s="45" t="s">
        <v>16</v>
      </c>
      <c r="I1215" s="47"/>
      <c r="J1215" s="12" t="s">
        <v>6403</v>
      </c>
      <c r="K1215" s="13" t="s">
        <v>7986</v>
      </c>
      <c r="L1215" s="99" t="str">
        <f t="shared" si="75"/>
        <v>W3246.F</v>
      </c>
      <c r="M1215" s="13" t="s">
        <v>17</v>
      </c>
      <c r="N1215" s="13"/>
      <c r="O1215" s="13"/>
      <c r="P1215" s="47"/>
      <c r="Q1215" s="45" t="s">
        <v>142</v>
      </c>
      <c r="R1215" s="45" t="s">
        <v>5596</v>
      </c>
      <c r="S1215" s="48"/>
      <c r="T1215" s="49" t="str">
        <f t="shared" si="76"/>
        <v>[W3246.F]</v>
      </c>
      <c r="U1215" s="12" t="str">
        <f t="shared" si="77"/>
        <v xml:space="preserve"> 용접#3 GUN RH#2 전진 시간초과 (X530, X532, Y556)</v>
      </c>
      <c r="V1215" s="49" t="str">
        <f t="shared" si="78"/>
        <v>[W3246.F] 용접#3 GUN RH#2 전진 시간초과 (X530, X532, Y556)</v>
      </c>
    </row>
    <row r="1216" spans="1:22" s="49" customFormat="1" ht="14.15" customHeight="1">
      <c r="A1216" s="43" t="s">
        <v>6675</v>
      </c>
      <c r="B1216" s="44" t="s">
        <v>6635</v>
      </c>
      <c r="C1216" s="50"/>
      <c r="D1216" s="10" t="s">
        <v>29</v>
      </c>
      <c r="E1216" s="11"/>
      <c r="F1216" s="11" t="s">
        <v>18</v>
      </c>
      <c r="G1216" s="13"/>
      <c r="H1216" s="45" t="s">
        <v>16</v>
      </c>
      <c r="I1216" s="47"/>
      <c r="J1216" s="12" t="s">
        <v>6404</v>
      </c>
      <c r="K1216" s="13" t="s">
        <v>7987</v>
      </c>
      <c r="L1216" s="99" t="str">
        <f t="shared" si="75"/>
        <v>W3247.0</v>
      </c>
      <c r="M1216" s="13" t="s">
        <v>17</v>
      </c>
      <c r="N1216" s="13"/>
      <c r="O1216" s="13"/>
      <c r="P1216" s="47"/>
      <c r="Q1216" s="45" t="s">
        <v>142</v>
      </c>
      <c r="R1216" s="45" t="s">
        <v>5596</v>
      </c>
      <c r="S1216" s="48"/>
      <c r="T1216" s="49" t="str">
        <f t="shared" si="76"/>
        <v>[W3247.0]</v>
      </c>
      <c r="U1216" s="12" t="str">
        <f t="shared" si="77"/>
        <v xml:space="preserve"> 용접#3 GUN RH#2 후진 시간초과 (X531, X533, Y557)</v>
      </c>
      <c r="V1216" s="49" t="str">
        <f t="shared" si="78"/>
        <v>[W3247.0] 용접#3 GUN RH#2 후진 시간초과 (X531, X533, Y557)</v>
      </c>
    </row>
    <row r="1217" spans="1:22" s="49" customFormat="1" ht="14.15" customHeight="1">
      <c r="A1217" s="43" t="s">
        <v>6675</v>
      </c>
      <c r="B1217" s="44" t="s">
        <v>6635</v>
      </c>
      <c r="C1217" s="50"/>
      <c r="D1217" s="10" t="s">
        <v>29</v>
      </c>
      <c r="E1217" s="11"/>
      <c r="F1217" s="11" t="s">
        <v>18</v>
      </c>
      <c r="G1217" s="13"/>
      <c r="H1217" s="45" t="s">
        <v>16</v>
      </c>
      <c r="I1217" s="47"/>
      <c r="J1217" s="12" t="s">
        <v>6405</v>
      </c>
      <c r="K1217" s="13" t="s">
        <v>7988</v>
      </c>
      <c r="L1217" s="99" t="str">
        <f t="shared" si="75"/>
        <v>W3247.1</v>
      </c>
      <c r="M1217" s="13" t="s">
        <v>17</v>
      </c>
      <c r="N1217" s="13"/>
      <c r="O1217" s="13"/>
      <c r="P1217" s="47"/>
      <c r="Q1217" s="45" t="s">
        <v>142</v>
      </c>
      <c r="R1217" s="45" t="s">
        <v>5596</v>
      </c>
      <c r="S1217" s="48"/>
      <c r="T1217" s="49" t="str">
        <f t="shared" si="76"/>
        <v>[W3247.1]</v>
      </c>
      <c r="U1217" s="12" t="str">
        <f t="shared" si="77"/>
        <v xml:space="preserve"> 용접#3 GUN RH#2 전진/후진 센서이상  (X530, X531, X532, X533)</v>
      </c>
      <c r="V1217" s="49" t="str">
        <f t="shared" si="78"/>
        <v>[W3247.1] 용접#3 GUN RH#2 전진/후진 센서이상  (X530, X531, X532, X533)</v>
      </c>
    </row>
    <row r="1218" spans="1:22" s="49" customFormat="1" ht="14.15" customHeight="1">
      <c r="A1218" s="43" t="s">
        <v>6675</v>
      </c>
      <c r="B1218" s="44" t="s">
        <v>6635</v>
      </c>
      <c r="C1218" s="50"/>
      <c r="D1218" s="10" t="s">
        <v>29</v>
      </c>
      <c r="E1218" s="11"/>
      <c r="F1218" s="11" t="s">
        <v>18</v>
      </c>
      <c r="G1218" s="13"/>
      <c r="H1218" s="45" t="s">
        <v>16</v>
      </c>
      <c r="I1218" s="47"/>
      <c r="J1218" s="12" t="s">
        <v>6406</v>
      </c>
      <c r="K1218" s="13" t="s">
        <v>7989</v>
      </c>
      <c r="L1218" s="99" t="str">
        <f t="shared" si="75"/>
        <v>W3247.2</v>
      </c>
      <c r="M1218" s="13" t="s">
        <v>17</v>
      </c>
      <c r="N1218" s="13"/>
      <c r="O1218" s="13"/>
      <c r="P1218" s="47"/>
      <c r="Q1218" s="45" t="s">
        <v>142</v>
      </c>
      <c r="R1218" s="45" t="s">
        <v>5596</v>
      </c>
      <c r="S1218" s="48"/>
      <c r="T1218" s="49" t="str">
        <f t="shared" si="76"/>
        <v>[W3247.2]</v>
      </c>
      <c r="U1218" s="12" t="str">
        <f t="shared" si="77"/>
        <v xml:space="preserve"> 용접#3 GUN LH#2 전진 시간초과 (X534, X536, Y558)</v>
      </c>
      <c r="V1218" s="49" t="str">
        <f t="shared" si="78"/>
        <v>[W3247.2] 용접#3 GUN LH#2 전진 시간초과 (X534, X536, Y558)</v>
      </c>
    </row>
    <row r="1219" spans="1:22" s="49" customFormat="1" ht="14.15" customHeight="1">
      <c r="A1219" s="43" t="s">
        <v>6675</v>
      </c>
      <c r="B1219" s="44" t="s">
        <v>6635</v>
      </c>
      <c r="C1219" s="50"/>
      <c r="D1219" s="10" t="s">
        <v>29</v>
      </c>
      <c r="E1219" s="11"/>
      <c r="F1219" s="11" t="s">
        <v>18</v>
      </c>
      <c r="G1219" s="13"/>
      <c r="H1219" s="45" t="s">
        <v>16</v>
      </c>
      <c r="I1219" s="47"/>
      <c r="J1219" s="12" t="s">
        <v>6407</v>
      </c>
      <c r="K1219" s="13" t="s">
        <v>7990</v>
      </c>
      <c r="L1219" s="99" t="str">
        <f t="shared" si="75"/>
        <v>W3247.3</v>
      </c>
      <c r="M1219" s="13" t="s">
        <v>17</v>
      </c>
      <c r="N1219" s="13"/>
      <c r="O1219" s="13"/>
      <c r="P1219" s="47"/>
      <c r="Q1219" s="45" t="s">
        <v>142</v>
      </c>
      <c r="R1219" s="45" t="s">
        <v>5596</v>
      </c>
      <c r="S1219" s="48"/>
      <c r="T1219" s="49" t="str">
        <f t="shared" si="76"/>
        <v>[W3247.3]</v>
      </c>
      <c r="U1219" s="12" t="str">
        <f t="shared" si="77"/>
        <v xml:space="preserve"> 용접#3 GUN LH#2 후진 시간초과 (X535, X537, Y559)</v>
      </c>
      <c r="V1219" s="49" t="str">
        <f t="shared" si="78"/>
        <v>[W3247.3] 용접#3 GUN LH#2 후진 시간초과 (X535, X537, Y559)</v>
      </c>
    </row>
    <row r="1220" spans="1:22" s="49" customFormat="1" ht="14.15" customHeight="1">
      <c r="A1220" s="43" t="s">
        <v>6675</v>
      </c>
      <c r="B1220" s="44" t="s">
        <v>6635</v>
      </c>
      <c r="C1220" s="50"/>
      <c r="D1220" s="10" t="s">
        <v>29</v>
      </c>
      <c r="E1220" s="11"/>
      <c r="F1220" s="11" t="s">
        <v>18</v>
      </c>
      <c r="G1220" s="13"/>
      <c r="H1220" s="45" t="s">
        <v>16</v>
      </c>
      <c r="I1220" s="47"/>
      <c r="J1220" s="12" t="s">
        <v>6408</v>
      </c>
      <c r="K1220" s="13" t="s">
        <v>7991</v>
      </c>
      <c r="L1220" s="99" t="str">
        <f t="shared" si="75"/>
        <v>W3247.4</v>
      </c>
      <c r="M1220" s="13" t="s">
        <v>17</v>
      </c>
      <c r="N1220" s="13"/>
      <c r="O1220" s="13"/>
      <c r="P1220" s="47"/>
      <c r="Q1220" s="45" t="s">
        <v>142</v>
      </c>
      <c r="R1220" s="45" t="s">
        <v>5596</v>
      </c>
      <c r="S1220" s="48"/>
      <c r="T1220" s="49" t="str">
        <f t="shared" si="76"/>
        <v>[W3247.4]</v>
      </c>
      <c r="U1220" s="12" t="str">
        <f t="shared" si="77"/>
        <v xml:space="preserve"> 용접#3 GUN LH#2 전진/후진 센서이상  (X534, X535, X536, X537)</v>
      </c>
      <c r="V1220" s="49" t="str">
        <f t="shared" si="78"/>
        <v>[W3247.4] 용접#3 GUN LH#2 전진/후진 센서이상  (X534, X535, X536, X537)</v>
      </c>
    </row>
    <row r="1221" spans="1:22" s="49" customFormat="1" ht="14.15" customHeight="1">
      <c r="A1221" s="43" t="s">
        <v>6675</v>
      </c>
      <c r="B1221" s="44" t="s">
        <v>6635</v>
      </c>
      <c r="C1221" s="50"/>
      <c r="D1221" s="10" t="s">
        <v>29</v>
      </c>
      <c r="E1221" s="11"/>
      <c r="F1221" s="11" t="s">
        <v>18</v>
      </c>
      <c r="G1221" s="13"/>
      <c r="H1221" s="45" t="s">
        <v>16</v>
      </c>
      <c r="I1221" s="47"/>
      <c r="J1221" s="12" t="s">
        <v>6409</v>
      </c>
      <c r="K1221" s="13" t="s">
        <v>7992</v>
      </c>
      <c r="L1221" s="99" t="str">
        <f t="shared" si="75"/>
        <v>W3247.5</v>
      </c>
      <c r="M1221" s="13" t="s">
        <v>17</v>
      </c>
      <c r="N1221" s="13"/>
      <c r="O1221" s="13"/>
      <c r="P1221" s="47"/>
      <c r="Q1221" s="45" t="s">
        <v>142</v>
      </c>
      <c r="R1221" s="45" t="s">
        <v>5596</v>
      </c>
      <c r="S1221" s="48"/>
      <c r="T1221" s="49" t="str">
        <f t="shared" si="76"/>
        <v>[W3247.5]</v>
      </c>
      <c r="U1221" s="12" t="str">
        <f t="shared" si="77"/>
        <v xml:space="preserve"> 용접#3 메인공압에러 (X53D)</v>
      </c>
      <c r="V1221" s="49" t="str">
        <f t="shared" si="78"/>
        <v>[W3247.5] 용접#3 메인공압에러 (X53D)</v>
      </c>
    </row>
    <row r="1222" spans="1:22" s="49" customFormat="1" ht="14.15" customHeight="1">
      <c r="A1222" s="43"/>
      <c r="B1222" s="44" t="s">
        <v>6635</v>
      </c>
      <c r="C1222" s="50"/>
      <c r="D1222" s="10" t="s">
        <v>29</v>
      </c>
      <c r="E1222" s="11"/>
      <c r="F1222" s="11" t="s">
        <v>18</v>
      </c>
      <c r="G1222" s="13"/>
      <c r="H1222" s="45" t="s">
        <v>16</v>
      </c>
      <c r="I1222" s="47"/>
      <c r="J1222" s="12" t="s">
        <v>959</v>
      </c>
      <c r="K1222" s="13" t="s">
        <v>7993</v>
      </c>
      <c r="L1222" s="99" t="str">
        <f t="shared" si="75"/>
        <v>W3247.6</v>
      </c>
      <c r="M1222" s="13"/>
      <c r="N1222" s="13"/>
      <c r="O1222" s="13"/>
      <c r="P1222" s="47"/>
      <c r="Q1222" s="45"/>
      <c r="R1222" s="45"/>
      <c r="S1222" s="48"/>
      <c r="T1222" s="49" t="str">
        <f t="shared" si="76"/>
        <v>[W3247.6]</v>
      </c>
      <c r="U1222" s="12" t="str">
        <f t="shared" si="77"/>
        <v xml:space="preserve"> </v>
      </c>
      <c r="V1222" s="49" t="str">
        <f t="shared" si="78"/>
        <v xml:space="preserve">[W3247.6] </v>
      </c>
    </row>
    <row r="1223" spans="1:22" s="49" customFormat="1" ht="14.15" customHeight="1">
      <c r="A1223" s="43"/>
      <c r="B1223" s="44" t="s">
        <v>6635</v>
      </c>
      <c r="C1223" s="50"/>
      <c r="D1223" s="10" t="s">
        <v>29</v>
      </c>
      <c r="E1223" s="11"/>
      <c r="F1223" s="11" t="s">
        <v>18</v>
      </c>
      <c r="G1223" s="13"/>
      <c r="H1223" s="45" t="s">
        <v>16</v>
      </c>
      <c r="I1223" s="47"/>
      <c r="J1223" s="12" t="s">
        <v>960</v>
      </c>
      <c r="K1223" s="13" t="s">
        <v>7994</v>
      </c>
      <c r="L1223" s="99" t="str">
        <f t="shared" si="75"/>
        <v>W3247.7</v>
      </c>
      <c r="M1223" s="13"/>
      <c r="N1223" s="13"/>
      <c r="O1223" s="13"/>
      <c r="P1223" s="47"/>
      <c r="Q1223" s="45"/>
      <c r="R1223" s="45"/>
      <c r="S1223" s="48"/>
      <c r="T1223" s="49" t="str">
        <f t="shared" si="76"/>
        <v>[W3247.7]</v>
      </c>
      <c r="U1223" s="12" t="str">
        <f t="shared" si="77"/>
        <v xml:space="preserve"> </v>
      </c>
      <c r="V1223" s="49" t="str">
        <f t="shared" si="78"/>
        <v xml:space="preserve">[W3247.7] </v>
      </c>
    </row>
    <row r="1224" spans="1:22" s="49" customFormat="1" ht="14.15" customHeight="1">
      <c r="A1224" s="43"/>
      <c r="B1224" s="44" t="s">
        <v>6635</v>
      </c>
      <c r="C1224" s="50"/>
      <c r="D1224" s="10" t="s">
        <v>29</v>
      </c>
      <c r="E1224" s="11"/>
      <c r="F1224" s="11" t="s">
        <v>18</v>
      </c>
      <c r="G1224" s="13"/>
      <c r="H1224" s="45" t="s">
        <v>16</v>
      </c>
      <c r="I1224" s="47"/>
      <c r="J1224" s="12" t="s">
        <v>961</v>
      </c>
      <c r="K1224" s="13" t="s">
        <v>7995</v>
      </c>
      <c r="L1224" s="99" t="str">
        <f t="shared" si="75"/>
        <v>W3247.8</v>
      </c>
      <c r="M1224" s="13"/>
      <c r="N1224" s="13"/>
      <c r="O1224" s="13"/>
      <c r="P1224" s="47"/>
      <c r="Q1224" s="45"/>
      <c r="R1224" s="45"/>
      <c r="S1224" s="48"/>
      <c r="T1224" s="49" t="str">
        <f t="shared" si="76"/>
        <v>[W3247.8]</v>
      </c>
      <c r="U1224" s="12" t="str">
        <f t="shared" si="77"/>
        <v xml:space="preserve"> </v>
      </c>
      <c r="V1224" s="49" t="str">
        <f t="shared" si="78"/>
        <v xml:space="preserve">[W3247.8] </v>
      </c>
    </row>
    <row r="1225" spans="1:22" s="49" customFormat="1" ht="14.15" customHeight="1">
      <c r="A1225" s="43"/>
      <c r="B1225" s="44" t="s">
        <v>6635</v>
      </c>
      <c r="C1225" s="50"/>
      <c r="D1225" s="10" t="s">
        <v>29</v>
      </c>
      <c r="E1225" s="11"/>
      <c r="F1225" s="11" t="s">
        <v>18</v>
      </c>
      <c r="G1225" s="13"/>
      <c r="H1225" s="45" t="s">
        <v>16</v>
      </c>
      <c r="I1225" s="47"/>
      <c r="J1225" s="12" t="s">
        <v>962</v>
      </c>
      <c r="K1225" s="13" t="s">
        <v>7996</v>
      </c>
      <c r="L1225" s="99" t="str">
        <f t="shared" si="75"/>
        <v>W3247.9</v>
      </c>
      <c r="M1225" s="13"/>
      <c r="N1225" s="13"/>
      <c r="O1225" s="13"/>
      <c r="P1225" s="47"/>
      <c r="Q1225" s="45"/>
      <c r="R1225" s="45"/>
      <c r="S1225" s="48"/>
      <c r="T1225" s="49" t="str">
        <f t="shared" si="76"/>
        <v>[W3247.9]</v>
      </c>
      <c r="U1225" s="12" t="str">
        <f t="shared" si="77"/>
        <v xml:space="preserve"> </v>
      </c>
      <c r="V1225" s="49" t="str">
        <f t="shared" si="78"/>
        <v xml:space="preserve">[W3247.9] </v>
      </c>
    </row>
    <row r="1226" spans="1:22" s="49" customFormat="1" ht="14.15" customHeight="1">
      <c r="A1226" s="43"/>
      <c r="B1226" s="44" t="s">
        <v>6635</v>
      </c>
      <c r="C1226" s="50"/>
      <c r="D1226" s="10" t="s">
        <v>29</v>
      </c>
      <c r="E1226" s="11"/>
      <c r="F1226" s="11" t="s">
        <v>18</v>
      </c>
      <c r="G1226" s="13"/>
      <c r="H1226" s="45" t="s">
        <v>16</v>
      </c>
      <c r="I1226" s="47"/>
      <c r="J1226" s="12" t="s">
        <v>963</v>
      </c>
      <c r="K1226" s="13" t="s">
        <v>7997</v>
      </c>
      <c r="L1226" s="99" t="str">
        <f t="shared" si="75"/>
        <v>W3247.A</v>
      </c>
      <c r="M1226" s="13"/>
      <c r="N1226" s="13"/>
      <c r="O1226" s="13"/>
      <c r="P1226" s="47"/>
      <c r="Q1226" s="45"/>
      <c r="R1226" s="45"/>
      <c r="S1226" s="48"/>
      <c r="T1226" s="49" t="str">
        <f t="shared" si="76"/>
        <v>[W3247.A]</v>
      </c>
      <c r="U1226" s="12" t="str">
        <f t="shared" si="77"/>
        <v xml:space="preserve"> </v>
      </c>
      <c r="V1226" s="49" t="str">
        <f t="shared" si="78"/>
        <v xml:space="preserve">[W3247.A] </v>
      </c>
    </row>
    <row r="1227" spans="1:22" s="49" customFormat="1" ht="14.15" customHeight="1">
      <c r="A1227" s="43" t="s">
        <v>6675</v>
      </c>
      <c r="B1227" s="44" t="s">
        <v>6635</v>
      </c>
      <c r="C1227" s="50"/>
      <c r="D1227" s="10" t="s">
        <v>29</v>
      </c>
      <c r="E1227" s="11"/>
      <c r="F1227" s="11" t="s">
        <v>18</v>
      </c>
      <c r="G1227" s="13"/>
      <c r="H1227" s="45" t="s">
        <v>16</v>
      </c>
      <c r="I1227" s="47"/>
      <c r="J1227" s="12" t="s">
        <v>6410</v>
      </c>
      <c r="K1227" s="13" t="s">
        <v>7998</v>
      </c>
      <c r="L1227" s="99" t="str">
        <f t="shared" si="75"/>
        <v>W3247.B</v>
      </c>
      <c r="M1227" s="13" t="s">
        <v>17</v>
      </c>
      <c r="N1227" s="13"/>
      <c r="O1227" s="13"/>
      <c r="P1227" s="47"/>
      <c r="Q1227" s="45" t="s">
        <v>142</v>
      </c>
      <c r="R1227" s="45" t="s">
        <v>5596</v>
      </c>
      <c r="S1227" s="48"/>
      <c r="T1227" s="49" t="str">
        <f t="shared" si="76"/>
        <v>[W3247.B]</v>
      </c>
      <c r="U1227" s="12" t="str">
        <f t="shared" si="77"/>
        <v xml:space="preserve"> 용접#3 레일 RH 진공흡착 시간초과 (X510, Y5E1)</v>
      </c>
      <c r="V1227" s="49" t="str">
        <f t="shared" si="78"/>
        <v>[W3247.B] 용접#3 레일 RH 진공흡착 시간초과 (X510, Y5E1)</v>
      </c>
    </row>
    <row r="1228" spans="1:22" s="49" customFormat="1" ht="14.15" customHeight="1">
      <c r="A1228" s="43" t="s">
        <v>6675</v>
      </c>
      <c r="B1228" s="44" t="s">
        <v>6635</v>
      </c>
      <c r="C1228" s="50"/>
      <c r="D1228" s="10" t="s">
        <v>29</v>
      </c>
      <c r="E1228" s="11"/>
      <c r="F1228" s="11" t="s">
        <v>18</v>
      </c>
      <c r="G1228" s="13"/>
      <c r="H1228" s="45" t="s">
        <v>16</v>
      </c>
      <c r="I1228" s="47"/>
      <c r="J1228" s="12" t="s">
        <v>6411</v>
      </c>
      <c r="K1228" s="13" t="s">
        <v>7999</v>
      </c>
      <c r="L1228" s="99" t="str">
        <f t="shared" si="75"/>
        <v>W3247.C</v>
      </c>
      <c r="M1228" s="13" t="s">
        <v>17</v>
      </c>
      <c r="N1228" s="13"/>
      <c r="O1228" s="13"/>
      <c r="P1228" s="47"/>
      <c r="Q1228" s="45" t="s">
        <v>142</v>
      </c>
      <c r="R1228" s="45" t="s">
        <v>5596</v>
      </c>
      <c r="S1228" s="48"/>
      <c r="T1228" s="49" t="str">
        <f t="shared" si="76"/>
        <v>[W3247.C]</v>
      </c>
      <c r="U1228" s="12" t="str">
        <f t="shared" si="77"/>
        <v xml:space="preserve"> 용접#3 레일 RH 진공파기 시간초과 (X510, Y5E0)</v>
      </c>
      <c r="V1228" s="49" t="str">
        <f t="shared" si="78"/>
        <v>[W3247.C] 용접#3 레일 RH 진공파기 시간초과 (X510, Y5E0)</v>
      </c>
    </row>
    <row r="1229" spans="1:22" s="49" customFormat="1" ht="14.15" customHeight="1">
      <c r="A1229" s="43" t="s">
        <v>6675</v>
      </c>
      <c r="B1229" s="44" t="s">
        <v>6635</v>
      </c>
      <c r="C1229" s="50"/>
      <c r="D1229" s="10" t="s">
        <v>29</v>
      </c>
      <c r="E1229" s="11"/>
      <c r="F1229" s="11" t="s">
        <v>18</v>
      </c>
      <c r="G1229" s="13"/>
      <c r="H1229" s="45" t="s">
        <v>16</v>
      </c>
      <c r="I1229" s="47"/>
      <c r="J1229" s="12" t="s">
        <v>6412</v>
      </c>
      <c r="K1229" s="13" t="s">
        <v>8000</v>
      </c>
      <c r="L1229" s="99" t="str">
        <f t="shared" si="75"/>
        <v>W3247.D</v>
      </c>
      <c r="M1229" s="13" t="s">
        <v>17</v>
      </c>
      <c r="N1229" s="13"/>
      <c r="O1229" s="13"/>
      <c r="P1229" s="47"/>
      <c r="Q1229" s="45" t="s">
        <v>142</v>
      </c>
      <c r="R1229" s="45" t="s">
        <v>5596</v>
      </c>
      <c r="S1229" s="48"/>
      <c r="T1229" s="49" t="str">
        <f t="shared" si="76"/>
        <v>[W3247.D]</v>
      </c>
      <c r="U1229" s="12" t="str">
        <f t="shared" si="77"/>
        <v xml:space="preserve"> 용접#3 레일 LH 진공흡착 시간초과 (X511, Y5E4)</v>
      </c>
      <c r="V1229" s="49" t="str">
        <f t="shared" si="78"/>
        <v>[W3247.D] 용접#3 레일 LH 진공흡착 시간초과 (X511, Y5E4)</v>
      </c>
    </row>
    <row r="1230" spans="1:22" s="49" customFormat="1" ht="14.15" customHeight="1">
      <c r="A1230" s="43" t="s">
        <v>6675</v>
      </c>
      <c r="B1230" s="44" t="s">
        <v>6635</v>
      </c>
      <c r="C1230" s="50"/>
      <c r="D1230" s="10" t="s">
        <v>29</v>
      </c>
      <c r="E1230" s="11"/>
      <c r="F1230" s="11" t="s">
        <v>18</v>
      </c>
      <c r="G1230" s="13"/>
      <c r="H1230" s="45" t="s">
        <v>16</v>
      </c>
      <c r="I1230" s="47"/>
      <c r="J1230" s="12" t="s">
        <v>6413</v>
      </c>
      <c r="K1230" s="13" t="s">
        <v>8001</v>
      </c>
      <c r="L1230" s="99" t="str">
        <f t="shared" si="75"/>
        <v>W3247.E</v>
      </c>
      <c r="M1230" s="13" t="s">
        <v>17</v>
      </c>
      <c r="N1230" s="13"/>
      <c r="O1230" s="13"/>
      <c r="P1230" s="47"/>
      <c r="Q1230" s="45" t="s">
        <v>142</v>
      </c>
      <c r="R1230" s="45" t="s">
        <v>5596</v>
      </c>
      <c r="S1230" s="48"/>
      <c r="T1230" s="49" t="str">
        <f t="shared" si="76"/>
        <v>[W3247.E]</v>
      </c>
      <c r="U1230" s="12" t="str">
        <f t="shared" si="77"/>
        <v xml:space="preserve"> 용접#3 레일 LH 진공파기 시간초과 (X511, Y5E3)</v>
      </c>
      <c r="V1230" s="49" t="str">
        <f t="shared" si="78"/>
        <v>[W3247.E] 용접#3 레일 LH 진공파기 시간초과 (X511, Y5E3)</v>
      </c>
    </row>
    <row r="1231" spans="1:22" s="49" customFormat="1" ht="14.15" customHeight="1">
      <c r="A1231" s="43" t="s">
        <v>6675</v>
      </c>
      <c r="B1231" s="44" t="s">
        <v>6635</v>
      </c>
      <c r="C1231" s="50"/>
      <c r="D1231" s="10" t="s">
        <v>29</v>
      </c>
      <c r="E1231" s="11"/>
      <c r="F1231" s="11" t="s">
        <v>18</v>
      </c>
      <c r="G1231" s="13"/>
      <c r="H1231" s="45" t="s">
        <v>16</v>
      </c>
      <c r="I1231" s="47"/>
      <c r="J1231" s="12" t="s">
        <v>6414</v>
      </c>
      <c r="K1231" s="13" t="s">
        <v>8002</v>
      </c>
      <c r="L1231" s="99" t="str">
        <f t="shared" si="75"/>
        <v>W3247.F</v>
      </c>
      <c r="M1231" s="13" t="s">
        <v>17</v>
      </c>
      <c r="N1231" s="13"/>
      <c r="O1231" s="13"/>
      <c r="P1231" s="47"/>
      <c r="Q1231" s="45" t="s">
        <v>142</v>
      </c>
      <c r="R1231" s="45" t="s">
        <v>5596</v>
      </c>
      <c r="S1231" s="48"/>
      <c r="T1231" s="49" t="str">
        <f t="shared" si="76"/>
        <v>[W3247.F]</v>
      </c>
      <c r="U1231" s="12" t="str">
        <f t="shared" si="77"/>
        <v xml:space="preserve"> 용접#3 용접기 8국 Ready 에러 (D9085.4)</v>
      </c>
      <c r="V1231" s="49" t="str">
        <f t="shared" si="78"/>
        <v>[W3247.F] 용접#3 용접기 8국 Ready 에러 (D9085.4)</v>
      </c>
    </row>
    <row r="1232" spans="1:22" s="49" customFormat="1" ht="14.15" customHeight="1">
      <c r="A1232" s="43" t="s">
        <v>6675</v>
      </c>
      <c r="B1232" s="44" t="s">
        <v>6635</v>
      </c>
      <c r="C1232" s="50"/>
      <c r="D1232" s="10" t="s">
        <v>29</v>
      </c>
      <c r="E1232" s="11"/>
      <c r="F1232" s="11" t="s">
        <v>18</v>
      </c>
      <c r="G1232" s="13"/>
      <c r="H1232" s="45" t="s">
        <v>16</v>
      </c>
      <c r="I1232" s="47"/>
      <c r="J1232" s="12" t="s">
        <v>6415</v>
      </c>
      <c r="K1232" s="13" t="s">
        <v>8003</v>
      </c>
      <c r="L1232" s="99" t="str">
        <f t="shared" si="75"/>
        <v>W3248.0</v>
      </c>
      <c r="M1232" s="13" t="s">
        <v>17</v>
      </c>
      <c r="N1232" s="13"/>
      <c r="O1232" s="13"/>
      <c r="P1232" s="47"/>
      <c r="Q1232" s="45" t="s">
        <v>142</v>
      </c>
      <c r="R1232" s="45" t="s">
        <v>5596</v>
      </c>
      <c r="S1232" s="48"/>
      <c r="T1232" s="49" t="str">
        <f t="shared" si="76"/>
        <v>[W3248.0]</v>
      </c>
      <c r="U1232" s="12" t="str">
        <f t="shared" si="77"/>
        <v xml:space="preserve"> 용접#3 용접기 9국 Ready 에러 (D9095.4)</v>
      </c>
      <c r="V1232" s="49" t="str">
        <f t="shared" si="78"/>
        <v>[W3248.0] 용접#3 용접기 9국 Ready 에러 (D9095.4)</v>
      </c>
    </row>
    <row r="1233" spans="1:22" s="49" customFormat="1" ht="14.15" customHeight="1">
      <c r="A1233" s="43" t="s">
        <v>6675</v>
      </c>
      <c r="B1233" s="44" t="s">
        <v>6635</v>
      </c>
      <c r="C1233" s="50"/>
      <c r="D1233" s="10" t="s">
        <v>29</v>
      </c>
      <c r="E1233" s="11"/>
      <c r="F1233" s="11" t="s">
        <v>18</v>
      </c>
      <c r="G1233" s="13"/>
      <c r="H1233" s="45" t="s">
        <v>16</v>
      </c>
      <c r="I1233" s="47"/>
      <c r="J1233" s="12" t="s">
        <v>6416</v>
      </c>
      <c r="K1233" s="13" t="s">
        <v>8004</v>
      </c>
      <c r="L1233" s="99" t="str">
        <f t="shared" ref="L1233:L1296" si="79">"W"&amp;DEC2HEX(12800 + INT((ROW()-80)/16)) &amp; "." &amp; IF(MOD(ROW()-80,16)&lt;10,MOD(ROW()-80,16),CHAR(MOD(ROW()-80,16)+55))</f>
        <v>W3248.1</v>
      </c>
      <c r="M1233" s="13" t="s">
        <v>17</v>
      </c>
      <c r="N1233" s="13"/>
      <c r="O1233" s="13"/>
      <c r="P1233" s="47"/>
      <c r="Q1233" s="45" t="s">
        <v>142</v>
      </c>
      <c r="R1233" s="45" t="s">
        <v>5596</v>
      </c>
      <c r="S1233" s="48"/>
      <c r="T1233" s="49" t="str">
        <f t="shared" ref="T1233:T1296" si="80">"["&amp;L1233&amp;"]"</f>
        <v>[W3248.1]</v>
      </c>
      <c r="U1233" s="12" t="str">
        <f t="shared" ref="U1233:U1296" si="81">RIGHT(J1233,LEN(J1233)-7)</f>
        <v xml:space="preserve"> 용접#3 용접기 10국 Ready 에러 (D9105.4)</v>
      </c>
      <c r="V1233" s="49" t="str">
        <f t="shared" ref="V1233:V1296" si="82">T1233&amp;U1233</f>
        <v>[W3248.1] 용접#3 용접기 10국 Ready 에러 (D9105.4)</v>
      </c>
    </row>
    <row r="1234" spans="1:22" s="49" customFormat="1" ht="14.15" customHeight="1">
      <c r="A1234" s="43" t="s">
        <v>6675</v>
      </c>
      <c r="B1234" s="44" t="s">
        <v>6635</v>
      </c>
      <c r="C1234" s="50"/>
      <c r="D1234" s="10" t="s">
        <v>29</v>
      </c>
      <c r="E1234" s="11"/>
      <c r="F1234" s="11" t="s">
        <v>18</v>
      </c>
      <c r="G1234" s="13"/>
      <c r="H1234" s="45" t="s">
        <v>16</v>
      </c>
      <c r="I1234" s="47"/>
      <c r="J1234" s="12" t="s">
        <v>6417</v>
      </c>
      <c r="K1234" s="13" t="s">
        <v>8005</v>
      </c>
      <c r="L1234" s="99" t="str">
        <f t="shared" si="79"/>
        <v>W3248.2</v>
      </c>
      <c r="M1234" s="13" t="s">
        <v>17</v>
      </c>
      <c r="N1234" s="13"/>
      <c r="O1234" s="13"/>
      <c r="P1234" s="47"/>
      <c r="Q1234" s="45" t="s">
        <v>142</v>
      </c>
      <c r="R1234" s="45" t="s">
        <v>5596</v>
      </c>
      <c r="S1234" s="48"/>
      <c r="T1234" s="49" t="str">
        <f t="shared" si="80"/>
        <v>[W3248.2]</v>
      </c>
      <c r="U1234" s="12" t="str">
        <f t="shared" si="81"/>
        <v xml:space="preserve"> 용접#3 용접기 11국 Ready 에러 (D9115.4)</v>
      </c>
      <c r="V1234" s="49" t="str">
        <f t="shared" si="82"/>
        <v>[W3248.2] 용접#3 용접기 11국 Ready 에러 (D9115.4)</v>
      </c>
    </row>
    <row r="1235" spans="1:22" s="49" customFormat="1" ht="14.15" customHeight="1">
      <c r="A1235" s="43" t="s">
        <v>6675</v>
      </c>
      <c r="B1235" s="44" t="s">
        <v>6635</v>
      </c>
      <c r="C1235" s="50"/>
      <c r="D1235" s="10" t="s">
        <v>29</v>
      </c>
      <c r="E1235" s="11"/>
      <c r="F1235" s="11" t="s">
        <v>18</v>
      </c>
      <c r="G1235" s="13"/>
      <c r="H1235" s="45" t="s">
        <v>16</v>
      </c>
      <c r="I1235" s="47"/>
      <c r="J1235" s="12" t="s">
        <v>6418</v>
      </c>
      <c r="K1235" s="13" t="s">
        <v>8006</v>
      </c>
      <c r="L1235" s="99" t="str">
        <f t="shared" si="79"/>
        <v>W3248.3</v>
      </c>
      <c r="M1235" s="13" t="s">
        <v>17</v>
      </c>
      <c r="N1235" s="13"/>
      <c r="O1235" s="13"/>
      <c r="P1235" s="47"/>
      <c r="Q1235" s="45" t="s">
        <v>142</v>
      </c>
      <c r="R1235" s="45" t="s">
        <v>5596</v>
      </c>
      <c r="S1235" s="48"/>
      <c r="T1235" s="49" t="str">
        <f t="shared" si="80"/>
        <v>[W3248.3]</v>
      </c>
      <c r="U1235" s="12" t="str">
        <f t="shared" si="81"/>
        <v xml:space="preserve"> 용접#3 8국 통신에러 (D9085.7)</v>
      </c>
      <c r="V1235" s="49" t="str">
        <f t="shared" si="82"/>
        <v>[W3248.3] 용접#3 8국 통신에러 (D9085.7)</v>
      </c>
    </row>
    <row r="1236" spans="1:22" s="49" customFormat="1" ht="14.15" customHeight="1">
      <c r="A1236" s="43" t="s">
        <v>6675</v>
      </c>
      <c r="B1236" s="44" t="s">
        <v>6635</v>
      </c>
      <c r="C1236" s="50"/>
      <c r="D1236" s="10" t="s">
        <v>29</v>
      </c>
      <c r="E1236" s="11"/>
      <c r="F1236" s="11" t="s">
        <v>18</v>
      </c>
      <c r="G1236" s="13"/>
      <c r="H1236" s="45" t="s">
        <v>16</v>
      </c>
      <c r="I1236" s="47"/>
      <c r="J1236" s="12" t="s">
        <v>6419</v>
      </c>
      <c r="K1236" s="13" t="s">
        <v>8007</v>
      </c>
      <c r="L1236" s="99" t="str">
        <f t="shared" si="79"/>
        <v>W3248.4</v>
      </c>
      <c r="M1236" s="13" t="s">
        <v>17</v>
      </c>
      <c r="N1236" s="13"/>
      <c r="O1236" s="13"/>
      <c r="P1236" s="47"/>
      <c r="Q1236" s="45" t="s">
        <v>142</v>
      </c>
      <c r="R1236" s="45" t="s">
        <v>5596</v>
      </c>
      <c r="S1236" s="48"/>
      <c r="T1236" s="49" t="str">
        <f t="shared" si="80"/>
        <v>[W3248.4]</v>
      </c>
      <c r="U1236" s="12" t="str">
        <f t="shared" si="81"/>
        <v xml:space="preserve"> 용접#3 9국 통신에러 (D9095.7)</v>
      </c>
      <c r="V1236" s="49" t="str">
        <f t="shared" si="82"/>
        <v>[W3248.4] 용접#3 9국 통신에러 (D9095.7)</v>
      </c>
    </row>
    <row r="1237" spans="1:22" s="49" customFormat="1" ht="14.15" customHeight="1">
      <c r="A1237" s="43" t="s">
        <v>6675</v>
      </c>
      <c r="B1237" s="44" t="s">
        <v>6635</v>
      </c>
      <c r="C1237" s="50"/>
      <c r="D1237" s="10" t="s">
        <v>29</v>
      </c>
      <c r="E1237" s="11"/>
      <c r="F1237" s="11" t="s">
        <v>18</v>
      </c>
      <c r="G1237" s="13"/>
      <c r="H1237" s="45" t="s">
        <v>16</v>
      </c>
      <c r="I1237" s="47"/>
      <c r="J1237" s="12" t="s">
        <v>6420</v>
      </c>
      <c r="K1237" s="13" t="s">
        <v>8008</v>
      </c>
      <c r="L1237" s="99" t="str">
        <f t="shared" si="79"/>
        <v>W3248.5</v>
      </c>
      <c r="M1237" s="13" t="s">
        <v>17</v>
      </c>
      <c r="N1237" s="13"/>
      <c r="O1237" s="13"/>
      <c r="P1237" s="47"/>
      <c r="Q1237" s="45" t="s">
        <v>142</v>
      </c>
      <c r="R1237" s="45" t="s">
        <v>5596</v>
      </c>
      <c r="S1237" s="48"/>
      <c r="T1237" s="49" t="str">
        <f t="shared" si="80"/>
        <v>[W3248.5]</v>
      </c>
      <c r="U1237" s="12" t="str">
        <f t="shared" si="81"/>
        <v xml:space="preserve"> 용접#3 10국 통신에러 (D9105.7)</v>
      </c>
      <c r="V1237" s="49" t="str">
        <f t="shared" si="82"/>
        <v>[W3248.5] 용접#3 10국 통신에러 (D9105.7)</v>
      </c>
    </row>
    <row r="1238" spans="1:22" s="49" customFormat="1" ht="14.15" customHeight="1">
      <c r="A1238" s="43" t="s">
        <v>6675</v>
      </c>
      <c r="B1238" s="44" t="s">
        <v>6635</v>
      </c>
      <c r="C1238" s="50"/>
      <c r="D1238" s="10" t="s">
        <v>29</v>
      </c>
      <c r="E1238" s="11"/>
      <c r="F1238" s="11" t="s">
        <v>18</v>
      </c>
      <c r="G1238" s="13"/>
      <c r="H1238" s="45" t="s">
        <v>16</v>
      </c>
      <c r="I1238" s="47"/>
      <c r="J1238" s="12" t="s">
        <v>6421</v>
      </c>
      <c r="K1238" s="13" t="s">
        <v>8009</v>
      </c>
      <c r="L1238" s="99" t="str">
        <f t="shared" si="79"/>
        <v>W3248.6</v>
      </c>
      <c r="M1238" s="13" t="s">
        <v>17</v>
      </c>
      <c r="N1238" s="13"/>
      <c r="O1238" s="13"/>
      <c r="P1238" s="47"/>
      <c r="Q1238" s="45" t="s">
        <v>142</v>
      </c>
      <c r="R1238" s="45" t="s">
        <v>5596</v>
      </c>
      <c r="S1238" s="48"/>
      <c r="T1238" s="49" t="str">
        <f t="shared" si="80"/>
        <v>[W3248.6]</v>
      </c>
      <c r="U1238" s="12" t="str">
        <f t="shared" si="81"/>
        <v xml:space="preserve"> 용접#3 11국 통신에러 (D9115.7)</v>
      </c>
      <c r="V1238" s="49" t="str">
        <f t="shared" si="82"/>
        <v>[W3248.6] 용접#3 11국 통신에러 (D9115.7)</v>
      </c>
    </row>
    <row r="1239" spans="1:22" s="49" customFormat="1" ht="14.15" customHeight="1">
      <c r="A1239" s="43"/>
      <c r="B1239" s="44" t="s">
        <v>6635</v>
      </c>
      <c r="C1239" s="50"/>
      <c r="D1239" s="10" t="s">
        <v>29</v>
      </c>
      <c r="E1239" s="11"/>
      <c r="F1239" s="11" t="s">
        <v>18</v>
      </c>
      <c r="G1239" s="13"/>
      <c r="H1239" s="45" t="s">
        <v>16</v>
      </c>
      <c r="I1239" s="47"/>
      <c r="J1239" s="12" t="s">
        <v>2623</v>
      </c>
      <c r="K1239" s="13" t="s">
        <v>8010</v>
      </c>
      <c r="L1239" s="99" t="str">
        <f t="shared" si="79"/>
        <v>W3248.7</v>
      </c>
      <c r="M1239" s="13"/>
      <c r="N1239" s="13"/>
      <c r="O1239" s="13"/>
      <c r="P1239" s="47"/>
      <c r="Q1239" s="45"/>
      <c r="R1239" s="45"/>
      <c r="S1239" s="48"/>
      <c r="T1239" s="49" t="str">
        <f t="shared" si="80"/>
        <v>[W3248.7]</v>
      </c>
      <c r="U1239" s="12" t="str">
        <f t="shared" si="81"/>
        <v xml:space="preserve"> </v>
      </c>
      <c r="V1239" s="49" t="str">
        <f t="shared" si="82"/>
        <v xml:space="preserve">[W3248.7] </v>
      </c>
    </row>
    <row r="1240" spans="1:22" s="49" customFormat="1" ht="14.15" customHeight="1">
      <c r="A1240" s="43" t="s">
        <v>6675</v>
      </c>
      <c r="B1240" s="44" t="s">
        <v>6635</v>
      </c>
      <c r="C1240" s="50"/>
      <c r="D1240" s="10" t="s">
        <v>29</v>
      </c>
      <c r="E1240" s="11"/>
      <c r="F1240" s="11" t="s">
        <v>18</v>
      </c>
      <c r="G1240" s="13"/>
      <c r="H1240" s="45" t="s">
        <v>16</v>
      </c>
      <c r="I1240" s="47"/>
      <c r="J1240" s="12" t="s">
        <v>6422</v>
      </c>
      <c r="K1240" s="13" t="s">
        <v>8011</v>
      </c>
      <c r="L1240" s="99" t="str">
        <f t="shared" si="79"/>
        <v>W3248.8</v>
      </c>
      <c r="M1240" s="13" t="s">
        <v>17</v>
      </c>
      <c r="N1240" s="13"/>
      <c r="O1240" s="13"/>
      <c r="P1240" s="47"/>
      <c r="Q1240" s="45" t="s">
        <v>142</v>
      </c>
      <c r="R1240" s="45" t="s">
        <v>5596</v>
      </c>
      <c r="S1240" s="48"/>
      <c r="T1240" s="49" t="str">
        <f t="shared" si="80"/>
        <v>[W3248.8]</v>
      </c>
      <c r="U1240" s="12" t="str">
        <f t="shared" si="81"/>
        <v xml:space="preserve"> 용접#3 레일우측 감지에러 (X510, L4043)</v>
      </c>
      <c r="V1240" s="49" t="str">
        <f t="shared" si="82"/>
        <v>[W3248.8] 용접#3 레일우측 감지에러 (X510, L4043)</v>
      </c>
    </row>
    <row r="1241" spans="1:22" s="49" customFormat="1" ht="14.15" customHeight="1">
      <c r="A1241" s="43" t="s">
        <v>6675</v>
      </c>
      <c r="B1241" s="44" t="s">
        <v>6635</v>
      </c>
      <c r="C1241" s="50"/>
      <c r="D1241" s="10" t="s">
        <v>29</v>
      </c>
      <c r="E1241" s="11"/>
      <c r="F1241" s="11" t="s">
        <v>18</v>
      </c>
      <c r="G1241" s="13"/>
      <c r="H1241" s="45" t="s">
        <v>16</v>
      </c>
      <c r="I1241" s="47"/>
      <c r="J1241" s="12" t="s">
        <v>6423</v>
      </c>
      <c r="K1241" s="13" t="s">
        <v>8012</v>
      </c>
      <c r="L1241" s="99" t="str">
        <f t="shared" si="79"/>
        <v>W3248.9</v>
      </c>
      <c r="M1241" s="13" t="s">
        <v>17</v>
      </c>
      <c r="N1241" s="13"/>
      <c r="O1241" s="13"/>
      <c r="P1241" s="47"/>
      <c r="Q1241" s="45" t="s">
        <v>142</v>
      </c>
      <c r="R1241" s="45" t="s">
        <v>5596</v>
      </c>
      <c r="S1241" s="48"/>
      <c r="T1241" s="49" t="str">
        <f t="shared" si="80"/>
        <v>[W3248.9]</v>
      </c>
      <c r="U1241" s="12" t="str">
        <f t="shared" si="81"/>
        <v xml:space="preserve"> 용접#3 레일좌측 감지에러 (X511, L4044)</v>
      </c>
      <c r="V1241" s="49" t="str">
        <f t="shared" si="82"/>
        <v>[W3248.9] 용접#3 레일좌측 감지에러 (X511, L4044)</v>
      </c>
    </row>
    <row r="1242" spans="1:22" s="49" customFormat="1" ht="14.15" customHeight="1">
      <c r="A1242" s="43" t="s">
        <v>6675</v>
      </c>
      <c r="B1242" s="44" t="s">
        <v>6635</v>
      </c>
      <c r="C1242" s="50"/>
      <c r="D1242" s="10" t="s">
        <v>29</v>
      </c>
      <c r="E1242" s="11"/>
      <c r="F1242" s="11" t="s">
        <v>18</v>
      </c>
      <c r="G1242" s="13"/>
      <c r="H1242" s="45" t="s">
        <v>16</v>
      </c>
      <c r="I1242" s="47"/>
      <c r="J1242" s="12" t="s">
        <v>6424</v>
      </c>
      <c r="K1242" s="13" t="s">
        <v>8013</v>
      </c>
      <c r="L1242" s="99" t="str">
        <f t="shared" si="79"/>
        <v>W3248.A</v>
      </c>
      <c r="M1242" s="13" t="s">
        <v>17</v>
      </c>
      <c r="N1242" s="13"/>
      <c r="O1242" s="13"/>
      <c r="P1242" s="47"/>
      <c r="Q1242" s="45" t="s">
        <v>142</v>
      </c>
      <c r="R1242" s="45" t="s">
        <v>5596</v>
      </c>
      <c r="S1242" s="48"/>
      <c r="T1242" s="49" t="str">
        <f t="shared" si="80"/>
        <v>[W3248.A]</v>
      </c>
      <c r="U1242" s="12" t="str">
        <f t="shared" si="81"/>
        <v xml:space="preserve"> 용접#3 터브 감지에러 (X501, X502, X503, L4007)</v>
      </c>
      <c r="V1242" s="49" t="str">
        <f t="shared" si="82"/>
        <v>[W3248.A] 용접#3 터브 감지에러 (X501, X502, X503, L4007)</v>
      </c>
    </row>
    <row r="1243" spans="1:22" s="49" customFormat="1" ht="14.15" customHeight="1">
      <c r="A1243" s="43" t="s">
        <v>6675</v>
      </c>
      <c r="B1243" s="44" t="s">
        <v>6635</v>
      </c>
      <c r="C1243" s="50"/>
      <c r="D1243" s="10" t="s">
        <v>29</v>
      </c>
      <c r="E1243" s="11"/>
      <c r="F1243" s="11" t="s">
        <v>18</v>
      </c>
      <c r="G1243" s="13"/>
      <c r="H1243" s="45" t="s">
        <v>16</v>
      </c>
      <c r="I1243" s="47"/>
      <c r="J1243" s="12" t="s">
        <v>6425</v>
      </c>
      <c r="K1243" s="13" t="s">
        <v>8014</v>
      </c>
      <c r="L1243" s="99" t="str">
        <f t="shared" si="79"/>
        <v>W3248.B</v>
      </c>
      <c r="M1243" s="13" t="s">
        <v>17</v>
      </c>
      <c r="N1243" s="13"/>
      <c r="O1243" s="13"/>
      <c r="P1243" s="47"/>
      <c r="Q1243" s="45" t="s">
        <v>142</v>
      </c>
      <c r="R1243" s="45" t="s">
        <v>5596</v>
      </c>
      <c r="S1243" s="48"/>
      <c r="T1243" s="49" t="str">
        <f t="shared" si="80"/>
        <v>[W3248.B]</v>
      </c>
      <c r="U1243" s="12" t="str">
        <f t="shared" si="81"/>
        <v xml:space="preserve"> 용접#3 1-1용접 품질이상 (D9085.5)</v>
      </c>
      <c r="V1243" s="49" t="str">
        <f t="shared" si="82"/>
        <v>[W3248.B] 용접#3 1-1용접 품질이상 (D9085.5)</v>
      </c>
    </row>
    <row r="1244" spans="1:22" s="49" customFormat="1" ht="14.15" customHeight="1">
      <c r="A1244" s="43" t="s">
        <v>6675</v>
      </c>
      <c r="B1244" s="44" t="s">
        <v>6635</v>
      </c>
      <c r="C1244" s="50"/>
      <c r="D1244" s="10" t="s">
        <v>29</v>
      </c>
      <c r="E1244" s="11"/>
      <c r="F1244" s="11" t="s">
        <v>18</v>
      </c>
      <c r="G1244" s="13"/>
      <c r="H1244" s="45" t="s">
        <v>16</v>
      </c>
      <c r="I1244" s="47"/>
      <c r="J1244" s="12" t="s">
        <v>6426</v>
      </c>
      <c r="K1244" s="13" t="s">
        <v>8015</v>
      </c>
      <c r="L1244" s="99" t="str">
        <f t="shared" si="79"/>
        <v>W3248.C</v>
      </c>
      <c r="M1244" s="13" t="s">
        <v>17</v>
      </c>
      <c r="N1244" s="13"/>
      <c r="O1244" s="13"/>
      <c r="P1244" s="47"/>
      <c r="Q1244" s="45" t="s">
        <v>142</v>
      </c>
      <c r="R1244" s="45" t="s">
        <v>5596</v>
      </c>
      <c r="S1244" s="48"/>
      <c r="T1244" s="49" t="str">
        <f t="shared" si="80"/>
        <v>[W3248.C]</v>
      </c>
      <c r="U1244" s="12" t="str">
        <f t="shared" si="81"/>
        <v xml:space="preserve"> 용접#3 2-1용접 품질이상 (D9095.5)</v>
      </c>
      <c r="V1244" s="49" t="str">
        <f t="shared" si="82"/>
        <v>[W3248.C] 용접#3 2-1용접 품질이상 (D9095.5)</v>
      </c>
    </row>
    <row r="1245" spans="1:22" s="49" customFormat="1" ht="14.15" customHeight="1">
      <c r="A1245" s="43" t="s">
        <v>6675</v>
      </c>
      <c r="B1245" s="44" t="s">
        <v>6635</v>
      </c>
      <c r="C1245" s="50"/>
      <c r="D1245" s="10" t="s">
        <v>29</v>
      </c>
      <c r="E1245" s="11"/>
      <c r="F1245" s="11" t="s">
        <v>18</v>
      </c>
      <c r="G1245" s="13"/>
      <c r="H1245" s="45" t="s">
        <v>16</v>
      </c>
      <c r="I1245" s="47"/>
      <c r="J1245" s="12" t="s">
        <v>6427</v>
      </c>
      <c r="K1245" s="13" t="s">
        <v>8016</v>
      </c>
      <c r="L1245" s="99" t="str">
        <f t="shared" si="79"/>
        <v>W3248.D</v>
      </c>
      <c r="M1245" s="13" t="s">
        <v>17</v>
      </c>
      <c r="N1245" s="13"/>
      <c r="O1245" s="13"/>
      <c r="P1245" s="47"/>
      <c r="Q1245" s="45" t="s">
        <v>142</v>
      </c>
      <c r="R1245" s="45" t="s">
        <v>5596</v>
      </c>
      <c r="S1245" s="48"/>
      <c r="T1245" s="49" t="str">
        <f t="shared" si="80"/>
        <v>[W3248.D]</v>
      </c>
      <c r="U1245" s="12" t="str">
        <f t="shared" si="81"/>
        <v xml:space="preserve"> 용접#3 3-1용접 품질이상 (D9105.5)</v>
      </c>
      <c r="V1245" s="49" t="str">
        <f t="shared" si="82"/>
        <v>[W3248.D] 용접#3 3-1용접 품질이상 (D9105.5)</v>
      </c>
    </row>
    <row r="1246" spans="1:22" s="49" customFormat="1" ht="14.15" customHeight="1">
      <c r="A1246" s="43" t="s">
        <v>6675</v>
      </c>
      <c r="B1246" s="44" t="s">
        <v>6635</v>
      </c>
      <c r="C1246" s="50"/>
      <c r="D1246" s="10" t="s">
        <v>29</v>
      </c>
      <c r="E1246" s="11"/>
      <c r="F1246" s="11" t="s">
        <v>18</v>
      </c>
      <c r="G1246" s="13"/>
      <c r="H1246" s="45" t="s">
        <v>16</v>
      </c>
      <c r="I1246" s="47"/>
      <c r="J1246" s="12" t="s">
        <v>6428</v>
      </c>
      <c r="K1246" s="13" t="s">
        <v>8017</v>
      </c>
      <c r="L1246" s="99" t="str">
        <f t="shared" si="79"/>
        <v>W3248.E</v>
      </c>
      <c r="M1246" s="13" t="s">
        <v>17</v>
      </c>
      <c r="N1246" s="13"/>
      <c r="O1246" s="13"/>
      <c r="P1246" s="47"/>
      <c r="Q1246" s="45" t="s">
        <v>142</v>
      </c>
      <c r="R1246" s="45" t="s">
        <v>5596</v>
      </c>
      <c r="S1246" s="48"/>
      <c r="T1246" s="49" t="str">
        <f t="shared" si="80"/>
        <v>[W3248.E]</v>
      </c>
      <c r="U1246" s="12" t="str">
        <f t="shared" si="81"/>
        <v xml:space="preserve"> 용접#3 레일-1용접 품질이상 (D9115.5)</v>
      </c>
      <c r="V1246" s="49" t="str">
        <f t="shared" si="82"/>
        <v>[W3248.E] 용접#3 레일-1용접 품질이상 (D9115.5)</v>
      </c>
    </row>
    <row r="1247" spans="1:22" s="49" customFormat="1" ht="14.15" customHeight="1">
      <c r="A1247" s="43" t="s">
        <v>6675</v>
      </c>
      <c r="B1247" s="44" t="s">
        <v>6635</v>
      </c>
      <c r="C1247" s="50"/>
      <c r="D1247" s="10" t="s">
        <v>29</v>
      </c>
      <c r="E1247" s="11"/>
      <c r="F1247" s="11" t="s">
        <v>18</v>
      </c>
      <c r="G1247" s="13"/>
      <c r="H1247" s="45" t="s">
        <v>16</v>
      </c>
      <c r="I1247" s="47"/>
      <c r="J1247" s="12" t="s">
        <v>6429</v>
      </c>
      <c r="K1247" s="13" t="s">
        <v>8018</v>
      </c>
      <c r="L1247" s="99" t="str">
        <f t="shared" si="79"/>
        <v>W3248.F</v>
      </c>
      <c r="M1247" s="13" t="s">
        <v>17</v>
      </c>
      <c r="N1247" s="13"/>
      <c r="O1247" s="13"/>
      <c r="P1247" s="47"/>
      <c r="Q1247" s="45" t="s">
        <v>142</v>
      </c>
      <c r="R1247" s="45" t="s">
        <v>5596</v>
      </c>
      <c r="S1247" s="48"/>
      <c r="T1247" s="49" t="str">
        <f t="shared" si="80"/>
        <v>[W3248.F]</v>
      </c>
      <c r="U1247" s="12" t="str">
        <f t="shared" si="81"/>
        <v xml:space="preserve"> 용접#3 1-2용접 품질이상 (D9085.5)</v>
      </c>
      <c r="V1247" s="49" t="str">
        <f t="shared" si="82"/>
        <v>[W3248.F] 용접#3 1-2용접 품질이상 (D9085.5)</v>
      </c>
    </row>
    <row r="1248" spans="1:22" s="49" customFormat="1" ht="14.15" customHeight="1">
      <c r="A1248" s="43" t="s">
        <v>6675</v>
      </c>
      <c r="B1248" s="44" t="s">
        <v>6635</v>
      </c>
      <c r="C1248" s="50"/>
      <c r="D1248" s="10" t="s">
        <v>29</v>
      </c>
      <c r="E1248" s="11"/>
      <c r="F1248" s="11" t="s">
        <v>18</v>
      </c>
      <c r="G1248" s="13"/>
      <c r="H1248" s="45" t="s">
        <v>16</v>
      </c>
      <c r="I1248" s="47"/>
      <c r="J1248" s="12" t="s">
        <v>6430</v>
      </c>
      <c r="K1248" s="13" t="s">
        <v>8019</v>
      </c>
      <c r="L1248" s="99" t="str">
        <f t="shared" si="79"/>
        <v>W3249.0</v>
      </c>
      <c r="M1248" s="13" t="s">
        <v>17</v>
      </c>
      <c r="N1248" s="13"/>
      <c r="O1248" s="13"/>
      <c r="P1248" s="47"/>
      <c r="Q1248" s="45" t="s">
        <v>142</v>
      </c>
      <c r="R1248" s="45" t="s">
        <v>5596</v>
      </c>
      <c r="S1248" s="48"/>
      <c r="T1248" s="49" t="str">
        <f t="shared" si="80"/>
        <v>[W3249.0]</v>
      </c>
      <c r="U1248" s="12" t="str">
        <f t="shared" si="81"/>
        <v xml:space="preserve"> 용접#3 2-2용접 품질이상 (D9095.5)</v>
      </c>
      <c r="V1248" s="49" t="str">
        <f t="shared" si="82"/>
        <v>[W3249.0] 용접#3 2-2용접 품질이상 (D9095.5)</v>
      </c>
    </row>
    <row r="1249" spans="1:22" s="49" customFormat="1" ht="14.15" customHeight="1">
      <c r="A1249" s="43" t="s">
        <v>6675</v>
      </c>
      <c r="B1249" s="44" t="s">
        <v>6635</v>
      </c>
      <c r="C1249" s="50"/>
      <c r="D1249" s="10" t="s">
        <v>29</v>
      </c>
      <c r="E1249" s="11"/>
      <c r="F1249" s="11" t="s">
        <v>18</v>
      </c>
      <c r="G1249" s="13"/>
      <c r="H1249" s="45" t="s">
        <v>16</v>
      </c>
      <c r="I1249" s="47"/>
      <c r="J1249" s="12" t="s">
        <v>6431</v>
      </c>
      <c r="K1249" s="13" t="s">
        <v>8020</v>
      </c>
      <c r="L1249" s="99" t="str">
        <f t="shared" si="79"/>
        <v>W3249.1</v>
      </c>
      <c r="M1249" s="13" t="s">
        <v>17</v>
      </c>
      <c r="N1249" s="13"/>
      <c r="O1249" s="13"/>
      <c r="P1249" s="47"/>
      <c r="Q1249" s="45" t="s">
        <v>142</v>
      </c>
      <c r="R1249" s="45" t="s">
        <v>5596</v>
      </c>
      <c r="S1249" s="48"/>
      <c r="T1249" s="49" t="str">
        <f t="shared" si="80"/>
        <v>[W3249.1]</v>
      </c>
      <c r="U1249" s="12" t="str">
        <f t="shared" si="81"/>
        <v xml:space="preserve"> 용접#3 레일-2용접 품질이상 (D9115.5)</v>
      </c>
      <c r="V1249" s="49" t="str">
        <f t="shared" si="82"/>
        <v>[W3249.1] 용접#3 레일-2용접 품질이상 (D9115.5)</v>
      </c>
    </row>
    <row r="1250" spans="1:22" s="49" customFormat="1" ht="14.15" customHeight="1">
      <c r="A1250" s="43" t="s">
        <v>6675</v>
      </c>
      <c r="B1250" s="44" t="s">
        <v>6635</v>
      </c>
      <c r="C1250" s="50"/>
      <c r="D1250" s="10" t="s">
        <v>29</v>
      </c>
      <c r="E1250" s="11"/>
      <c r="F1250" s="11" t="s">
        <v>18</v>
      </c>
      <c r="G1250" s="13"/>
      <c r="H1250" s="45" t="s">
        <v>16</v>
      </c>
      <c r="I1250" s="47"/>
      <c r="J1250" s="12" t="s">
        <v>6432</v>
      </c>
      <c r="K1250" s="13" t="s">
        <v>8021</v>
      </c>
      <c r="L1250" s="99" t="str">
        <f t="shared" si="79"/>
        <v>W3249.2</v>
      </c>
      <c r="M1250" s="13" t="s">
        <v>17</v>
      </c>
      <c r="N1250" s="13"/>
      <c r="O1250" s="13"/>
      <c r="P1250" s="47"/>
      <c r="Q1250" s="45" t="s">
        <v>142</v>
      </c>
      <c r="R1250" s="45" t="s">
        <v>5596</v>
      </c>
      <c r="S1250" s="48"/>
      <c r="T1250" s="49" t="str">
        <f t="shared" si="80"/>
        <v>[W3249.2]</v>
      </c>
      <c r="U1250" s="12" t="str">
        <f t="shared" si="81"/>
        <v xml:space="preserve"> 용접#3 레일-3용접 품질이상 (D9115.5)</v>
      </c>
      <c r="V1250" s="49" t="str">
        <f t="shared" si="82"/>
        <v>[W3249.2] 용접#3 레일-3용접 품질이상 (D9115.5)</v>
      </c>
    </row>
    <row r="1251" spans="1:22" s="49" customFormat="1" ht="14.15" customHeight="1">
      <c r="A1251" s="43" t="s">
        <v>6675</v>
      </c>
      <c r="B1251" s="44" t="s">
        <v>6635</v>
      </c>
      <c r="C1251" s="50"/>
      <c r="D1251" s="10" t="s">
        <v>29</v>
      </c>
      <c r="E1251" s="11"/>
      <c r="F1251" s="11" t="s">
        <v>18</v>
      </c>
      <c r="G1251" s="13"/>
      <c r="H1251" s="45" t="s">
        <v>16</v>
      </c>
      <c r="I1251" s="47"/>
      <c r="J1251" s="12" t="s">
        <v>6433</v>
      </c>
      <c r="K1251" s="13" t="s">
        <v>8022</v>
      </c>
      <c r="L1251" s="99" t="str">
        <f t="shared" si="79"/>
        <v>W3249.3</v>
      </c>
      <c r="M1251" s="13" t="s">
        <v>17</v>
      </c>
      <c r="N1251" s="13"/>
      <c r="O1251" s="13"/>
      <c r="P1251" s="47"/>
      <c r="Q1251" s="45" t="s">
        <v>142</v>
      </c>
      <c r="R1251" s="45" t="s">
        <v>5596</v>
      </c>
      <c r="S1251" s="48"/>
      <c r="T1251" s="49" t="str">
        <f t="shared" si="80"/>
        <v>[W3249.3]</v>
      </c>
      <c r="U1251" s="12" t="str">
        <f t="shared" si="81"/>
        <v xml:space="preserve"> 용접#3 레일-4용접 품질이상 (D9115.5)</v>
      </c>
      <c r="V1251" s="49" t="str">
        <f t="shared" si="82"/>
        <v>[W3249.3] 용접#3 레일-4용접 품질이상 (D9115.5)</v>
      </c>
    </row>
    <row r="1252" spans="1:22" s="49" customFormat="1" ht="14.15" customHeight="1">
      <c r="A1252" s="44"/>
      <c r="B1252" s="44" t="s">
        <v>6635</v>
      </c>
      <c r="C1252" s="50"/>
      <c r="D1252" s="10" t="s">
        <v>29</v>
      </c>
      <c r="E1252" s="11"/>
      <c r="F1252" s="11" t="s">
        <v>18</v>
      </c>
      <c r="G1252" s="13"/>
      <c r="H1252" s="45" t="s">
        <v>16</v>
      </c>
      <c r="I1252" s="47"/>
      <c r="J1252" s="12" t="s">
        <v>4164</v>
      </c>
      <c r="K1252" s="13" t="s">
        <v>8023</v>
      </c>
      <c r="L1252" s="99" t="str">
        <f t="shared" si="79"/>
        <v>W3249.4</v>
      </c>
      <c r="M1252" s="13"/>
      <c r="N1252" s="13"/>
      <c r="O1252" s="13"/>
      <c r="P1252" s="47"/>
      <c r="Q1252" s="45"/>
      <c r="R1252" s="45"/>
      <c r="S1252" s="48"/>
      <c r="T1252" s="49" t="str">
        <f t="shared" si="80"/>
        <v>[W3249.4]</v>
      </c>
      <c r="U1252" s="12" t="str">
        <f t="shared" si="81"/>
        <v/>
      </c>
      <c r="V1252" s="49" t="str">
        <f t="shared" si="82"/>
        <v>[W3249.4]</v>
      </c>
    </row>
    <row r="1253" spans="1:22" s="49" customFormat="1" ht="14.15" customHeight="1">
      <c r="A1253" s="44"/>
      <c r="B1253" s="44" t="s">
        <v>6635</v>
      </c>
      <c r="C1253" s="50"/>
      <c r="D1253" s="10" t="s">
        <v>29</v>
      </c>
      <c r="E1253" s="11"/>
      <c r="F1253" s="11" t="s">
        <v>18</v>
      </c>
      <c r="G1253" s="13"/>
      <c r="H1253" s="45" t="s">
        <v>16</v>
      </c>
      <c r="I1253" s="47"/>
      <c r="J1253" s="12" t="s">
        <v>4165</v>
      </c>
      <c r="K1253" s="13" t="s">
        <v>8024</v>
      </c>
      <c r="L1253" s="99" t="str">
        <f t="shared" si="79"/>
        <v>W3249.5</v>
      </c>
      <c r="M1253" s="13"/>
      <c r="N1253" s="13"/>
      <c r="O1253" s="13"/>
      <c r="P1253" s="47"/>
      <c r="Q1253" s="45"/>
      <c r="R1253" s="45"/>
      <c r="S1253" s="48"/>
      <c r="T1253" s="49" t="str">
        <f t="shared" si="80"/>
        <v>[W3249.5]</v>
      </c>
      <c r="U1253" s="12" t="str">
        <f t="shared" si="81"/>
        <v/>
      </c>
      <c r="V1253" s="49" t="str">
        <f t="shared" si="82"/>
        <v>[W3249.5]</v>
      </c>
    </row>
    <row r="1254" spans="1:22" s="49" customFormat="1" ht="14.15" customHeight="1">
      <c r="A1254" s="44"/>
      <c r="B1254" s="44" t="s">
        <v>6635</v>
      </c>
      <c r="C1254" s="50"/>
      <c r="D1254" s="10" t="s">
        <v>29</v>
      </c>
      <c r="E1254" s="11"/>
      <c r="F1254" s="11" t="s">
        <v>18</v>
      </c>
      <c r="G1254" s="13"/>
      <c r="H1254" s="45" t="s">
        <v>16</v>
      </c>
      <c r="I1254" s="47"/>
      <c r="J1254" s="12" t="s">
        <v>4166</v>
      </c>
      <c r="K1254" s="13" t="s">
        <v>8025</v>
      </c>
      <c r="L1254" s="99" t="str">
        <f t="shared" si="79"/>
        <v>W3249.6</v>
      </c>
      <c r="M1254" s="13"/>
      <c r="N1254" s="13"/>
      <c r="O1254" s="13"/>
      <c r="P1254" s="47"/>
      <c r="Q1254" s="45"/>
      <c r="R1254" s="45"/>
      <c r="S1254" s="48"/>
      <c r="T1254" s="49" t="str">
        <f t="shared" si="80"/>
        <v>[W3249.6]</v>
      </c>
      <c r="U1254" s="12" t="str">
        <f t="shared" si="81"/>
        <v/>
      </c>
      <c r="V1254" s="49" t="str">
        <f t="shared" si="82"/>
        <v>[W3249.6]</v>
      </c>
    </row>
    <row r="1255" spans="1:22" s="49" customFormat="1" ht="14.15" customHeight="1">
      <c r="A1255" s="44"/>
      <c r="B1255" s="44" t="s">
        <v>6635</v>
      </c>
      <c r="C1255" s="50"/>
      <c r="D1255" s="10" t="s">
        <v>29</v>
      </c>
      <c r="E1255" s="11"/>
      <c r="F1255" s="11" t="s">
        <v>18</v>
      </c>
      <c r="G1255" s="13"/>
      <c r="H1255" s="45" t="s">
        <v>16</v>
      </c>
      <c r="I1255" s="47"/>
      <c r="J1255" s="12" t="s">
        <v>4167</v>
      </c>
      <c r="K1255" s="13" t="s">
        <v>8026</v>
      </c>
      <c r="L1255" s="99" t="str">
        <f t="shared" si="79"/>
        <v>W3249.7</v>
      </c>
      <c r="M1255" s="13"/>
      <c r="N1255" s="13"/>
      <c r="O1255" s="13"/>
      <c r="P1255" s="47"/>
      <c r="Q1255" s="45"/>
      <c r="R1255" s="45"/>
      <c r="S1255" s="48"/>
      <c r="T1255" s="49" t="str">
        <f t="shared" si="80"/>
        <v>[W3249.7]</v>
      </c>
      <c r="U1255" s="12" t="str">
        <f t="shared" si="81"/>
        <v/>
      </c>
      <c r="V1255" s="49" t="str">
        <f t="shared" si="82"/>
        <v>[W3249.7]</v>
      </c>
    </row>
    <row r="1256" spans="1:22" s="49" customFormat="1" ht="14.15" customHeight="1">
      <c r="A1256" s="44"/>
      <c r="B1256" s="44" t="s">
        <v>6635</v>
      </c>
      <c r="C1256" s="50"/>
      <c r="D1256" s="10" t="s">
        <v>29</v>
      </c>
      <c r="E1256" s="11"/>
      <c r="F1256" s="11" t="s">
        <v>18</v>
      </c>
      <c r="G1256" s="13"/>
      <c r="H1256" s="45" t="s">
        <v>16</v>
      </c>
      <c r="I1256" s="47"/>
      <c r="J1256" s="12" t="s">
        <v>4168</v>
      </c>
      <c r="K1256" s="13" t="s">
        <v>8027</v>
      </c>
      <c r="L1256" s="99" t="str">
        <f t="shared" si="79"/>
        <v>W3249.8</v>
      </c>
      <c r="M1256" s="13"/>
      <c r="N1256" s="13"/>
      <c r="O1256" s="13"/>
      <c r="P1256" s="47"/>
      <c r="Q1256" s="45"/>
      <c r="R1256" s="45"/>
      <c r="S1256" s="48"/>
      <c r="T1256" s="49" t="str">
        <f t="shared" si="80"/>
        <v>[W3249.8]</v>
      </c>
      <c r="U1256" s="12" t="str">
        <f t="shared" si="81"/>
        <v/>
      </c>
      <c r="V1256" s="49" t="str">
        <f t="shared" si="82"/>
        <v>[W3249.8]</v>
      </c>
    </row>
    <row r="1257" spans="1:22" s="49" customFormat="1" ht="14.15" customHeight="1">
      <c r="A1257" s="44"/>
      <c r="B1257" s="44" t="s">
        <v>6635</v>
      </c>
      <c r="C1257" s="50"/>
      <c r="D1257" s="10" t="s">
        <v>29</v>
      </c>
      <c r="E1257" s="11"/>
      <c r="F1257" s="11" t="s">
        <v>18</v>
      </c>
      <c r="G1257" s="13"/>
      <c r="H1257" s="45" t="s">
        <v>16</v>
      </c>
      <c r="I1257" s="47"/>
      <c r="J1257" s="12" t="s">
        <v>4169</v>
      </c>
      <c r="K1257" s="13" t="s">
        <v>8028</v>
      </c>
      <c r="L1257" s="99" t="str">
        <f t="shared" si="79"/>
        <v>W3249.9</v>
      </c>
      <c r="M1257" s="13"/>
      <c r="N1257" s="13"/>
      <c r="O1257" s="13"/>
      <c r="P1257" s="47"/>
      <c r="Q1257" s="45"/>
      <c r="R1257" s="45"/>
      <c r="S1257" s="48"/>
      <c r="T1257" s="49" t="str">
        <f t="shared" si="80"/>
        <v>[W3249.9]</v>
      </c>
      <c r="U1257" s="12" t="str">
        <f t="shared" si="81"/>
        <v/>
      </c>
      <c r="V1257" s="49" t="str">
        <f t="shared" si="82"/>
        <v>[W3249.9]</v>
      </c>
    </row>
    <row r="1258" spans="1:22" s="49" customFormat="1" ht="14.15" customHeight="1">
      <c r="A1258" s="44"/>
      <c r="B1258" s="44" t="s">
        <v>6635</v>
      </c>
      <c r="C1258" s="50"/>
      <c r="D1258" s="10" t="s">
        <v>29</v>
      </c>
      <c r="E1258" s="11"/>
      <c r="F1258" s="11" t="s">
        <v>18</v>
      </c>
      <c r="G1258" s="13"/>
      <c r="H1258" s="45" t="s">
        <v>16</v>
      </c>
      <c r="I1258" s="47"/>
      <c r="J1258" s="12" t="s">
        <v>4170</v>
      </c>
      <c r="K1258" s="13" t="s">
        <v>8029</v>
      </c>
      <c r="L1258" s="99" t="str">
        <f t="shared" si="79"/>
        <v>W3249.A</v>
      </c>
      <c r="M1258" s="13"/>
      <c r="N1258" s="13"/>
      <c r="O1258" s="13"/>
      <c r="P1258" s="47"/>
      <c r="Q1258" s="45"/>
      <c r="R1258" s="45"/>
      <c r="S1258" s="48"/>
      <c r="T1258" s="49" t="str">
        <f t="shared" si="80"/>
        <v>[W3249.A]</v>
      </c>
      <c r="U1258" s="12" t="str">
        <f t="shared" si="81"/>
        <v/>
      </c>
      <c r="V1258" s="49" t="str">
        <f t="shared" si="82"/>
        <v>[W3249.A]</v>
      </c>
    </row>
    <row r="1259" spans="1:22" s="49" customFormat="1" ht="14.15" customHeight="1">
      <c r="A1259" s="44"/>
      <c r="B1259" s="44" t="s">
        <v>6635</v>
      </c>
      <c r="C1259" s="50"/>
      <c r="D1259" s="10" t="s">
        <v>29</v>
      </c>
      <c r="E1259" s="11"/>
      <c r="F1259" s="11" t="s">
        <v>18</v>
      </c>
      <c r="G1259" s="13"/>
      <c r="H1259" s="45" t="s">
        <v>16</v>
      </c>
      <c r="I1259" s="47"/>
      <c r="J1259" s="12" t="s">
        <v>4171</v>
      </c>
      <c r="K1259" s="13" t="s">
        <v>8030</v>
      </c>
      <c r="L1259" s="99" t="str">
        <f t="shared" si="79"/>
        <v>W3249.B</v>
      </c>
      <c r="M1259" s="13"/>
      <c r="N1259" s="13"/>
      <c r="O1259" s="13"/>
      <c r="P1259" s="47"/>
      <c r="Q1259" s="45"/>
      <c r="R1259" s="45"/>
      <c r="S1259" s="48"/>
      <c r="T1259" s="49" t="str">
        <f t="shared" si="80"/>
        <v>[W3249.B]</v>
      </c>
      <c r="U1259" s="12" t="str">
        <f t="shared" si="81"/>
        <v/>
      </c>
      <c r="V1259" s="49" t="str">
        <f t="shared" si="82"/>
        <v>[W3249.B]</v>
      </c>
    </row>
    <row r="1260" spans="1:22" s="49" customFormat="1" ht="14.15" customHeight="1">
      <c r="A1260" s="44"/>
      <c r="B1260" s="44" t="s">
        <v>6635</v>
      </c>
      <c r="C1260" s="50"/>
      <c r="D1260" s="10" t="s">
        <v>29</v>
      </c>
      <c r="E1260" s="11"/>
      <c r="F1260" s="11" t="s">
        <v>18</v>
      </c>
      <c r="G1260" s="13"/>
      <c r="H1260" s="45" t="s">
        <v>16</v>
      </c>
      <c r="I1260" s="47"/>
      <c r="J1260" s="12" t="s">
        <v>4172</v>
      </c>
      <c r="K1260" s="13" t="s">
        <v>8031</v>
      </c>
      <c r="L1260" s="99" t="str">
        <f t="shared" si="79"/>
        <v>W3249.C</v>
      </c>
      <c r="M1260" s="13"/>
      <c r="N1260" s="13"/>
      <c r="O1260" s="13"/>
      <c r="P1260" s="47"/>
      <c r="Q1260" s="45"/>
      <c r="R1260" s="45"/>
      <c r="S1260" s="48"/>
      <c r="T1260" s="49" t="str">
        <f t="shared" si="80"/>
        <v>[W3249.C]</v>
      </c>
      <c r="U1260" s="12" t="str">
        <f t="shared" si="81"/>
        <v/>
      </c>
      <c r="V1260" s="49" t="str">
        <f t="shared" si="82"/>
        <v>[W3249.C]</v>
      </c>
    </row>
    <row r="1261" spans="1:22" s="49" customFormat="1" ht="14.15" customHeight="1">
      <c r="A1261" s="44"/>
      <c r="B1261" s="44" t="s">
        <v>6635</v>
      </c>
      <c r="C1261" s="50"/>
      <c r="D1261" s="10" t="s">
        <v>29</v>
      </c>
      <c r="E1261" s="11"/>
      <c r="F1261" s="11" t="s">
        <v>18</v>
      </c>
      <c r="G1261" s="13"/>
      <c r="H1261" s="45" t="s">
        <v>16</v>
      </c>
      <c r="I1261" s="47"/>
      <c r="J1261" s="12" t="s">
        <v>4173</v>
      </c>
      <c r="K1261" s="13" t="s">
        <v>8032</v>
      </c>
      <c r="L1261" s="99" t="str">
        <f t="shared" si="79"/>
        <v>W3249.D</v>
      </c>
      <c r="M1261" s="13"/>
      <c r="N1261" s="13"/>
      <c r="O1261" s="13"/>
      <c r="P1261" s="47"/>
      <c r="Q1261" s="45"/>
      <c r="R1261" s="45"/>
      <c r="S1261" s="48"/>
      <c r="T1261" s="49" t="str">
        <f t="shared" si="80"/>
        <v>[W3249.D]</v>
      </c>
      <c r="U1261" s="12" t="str">
        <f t="shared" si="81"/>
        <v/>
      </c>
      <c r="V1261" s="49" t="str">
        <f t="shared" si="82"/>
        <v>[W3249.D]</v>
      </c>
    </row>
    <row r="1262" spans="1:22" s="49" customFormat="1" ht="14.15" customHeight="1">
      <c r="A1262" s="44"/>
      <c r="B1262" s="44" t="s">
        <v>6635</v>
      </c>
      <c r="C1262" s="50"/>
      <c r="D1262" s="10" t="s">
        <v>29</v>
      </c>
      <c r="E1262" s="11"/>
      <c r="F1262" s="11" t="s">
        <v>18</v>
      </c>
      <c r="G1262" s="13"/>
      <c r="H1262" s="45" t="s">
        <v>16</v>
      </c>
      <c r="I1262" s="47"/>
      <c r="J1262" s="12" t="s">
        <v>4174</v>
      </c>
      <c r="K1262" s="13" t="s">
        <v>8033</v>
      </c>
      <c r="L1262" s="99" t="str">
        <f t="shared" si="79"/>
        <v>W3249.E</v>
      </c>
      <c r="M1262" s="13"/>
      <c r="N1262" s="13"/>
      <c r="O1262" s="13"/>
      <c r="P1262" s="47"/>
      <c r="Q1262" s="45"/>
      <c r="R1262" s="45"/>
      <c r="S1262" s="48"/>
      <c r="T1262" s="49" t="str">
        <f t="shared" si="80"/>
        <v>[W3249.E]</v>
      </c>
      <c r="U1262" s="12" t="str">
        <f t="shared" si="81"/>
        <v/>
      </c>
      <c r="V1262" s="49" t="str">
        <f t="shared" si="82"/>
        <v>[W3249.E]</v>
      </c>
    </row>
    <row r="1263" spans="1:22" s="49" customFormat="1" ht="14.15" customHeight="1">
      <c r="A1263" s="44"/>
      <c r="B1263" s="44" t="s">
        <v>6635</v>
      </c>
      <c r="C1263" s="50"/>
      <c r="D1263" s="10" t="s">
        <v>29</v>
      </c>
      <c r="E1263" s="11"/>
      <c r="F1263" s="11" t="s">
        <v>18</v>
      </c>
      <c r="G1263" s="13"/>
      <c r="H1263" s="45" t="s">
        <v>16</v>
      </c>
      <c r="I1263" s="47"/>
      <c r="J1263" s="12" t="s">
        <v>4175</v>
      </c>
      <c r="K1263" s="13" t="s">
        <v>8034</v>
      </c>
      <c r="L1263" s="99" t="str">
        <f t="shared" si="79"/>
        <v>W3249.F</v>
      </c>
      <c r="M1263" s="13"/>
      <c r="N1263" s="13"/>
      <c r="O1263" s="13"/>
      <c r="P1263" s="47"/>
      <c r="Q1263" s="45"/>
      <c r="R1263" s="45"/>
      <c r="S1263" s="48"/>
      <c r="T1263" s="49" t="str">
        <f t="shared" si="80"/>
        <v>[W3249.F]</v>
      </c>
      <c r="U1263" s="12" t="str">
        <f t="shared" si="81"/>
        <v/>
      </c>
      <c r="V1263" s="49" t="str">
        <f t="shared" si="82"/>
        <v>[W3249.F]</v>
      </c>
    </row>
    <row r="1264" spans="1:22" s="49" customFormat="1" ht="14.15" customHeight="1">
      <c r="A1264" s="44"/>
      <c r="B1264" s="44" t="s">
        <v>6635</v>
      </c>
      <c r="C1264" s="50"/>
      <c r="D1264" s="10" t="s">
        <v>29</v>
      </c>
      <c r="E1264" s="11"/>
      <c r="F1264" s="11" t="s">
        <v>18</v>
      </c>
      <c r="G1264" s="13"/>
      <c r="H1264" s="45" t="s">
        <v>16</v>
      </c>
      <c r="I1264" s="47"/>
      <c r="J1264" s="12" t="s">
        <v>4176</v>
      </c>
      <c r="K1264" s="13" t="s">
        <v>8035</v>
      </c>
      <c r="L1264" s="99" t="str">
        <f t="shared" si="79"/>
        <v>W324A.0</v>
      </c>
      <c r="M1264" s="13"/>
      <c r="N1264" s="13"/>
      <c r="O1264" s="13"/>
      <c r="P1264" s="47"/>
      <c r="Q1264" s="45"/>
      <c r="R1264" s="45"/>
      <c r="S1264" s="48"/>
      <c r="T1264" s="49" t="str">
        <f t="shared" si="80"/>
        <v>[W324A.0]</v>
      </c>
      <c r="U1264" s="12" t="str">
        <f t="shared" si="81"/>
        <v/>
      </c>
      <c r="V1264" s="49" t="str">
        <f t="shared" si="82"/>
        <v>[W324A.0]</v>
      </c>
    </row>
    <row r="1265" spans="1:22" s="49" customFormat="1" ht="14.15" customHeight="1">
      <c r="A1265" s="44"/>
      <c r="B1265" s="44" t="s">
        <v>6635</v>
      </c>
      <c r="C1265" s="50"/>
      <c r="D1265" s="10" t="s">
        <v>29</v>
      </c>
      <c r="E1265" s="11"/>
      <c r="F1265" s="11" t="s">
        <v>18</v>
      </c>
      <c r="G1265" s="13"/>
      <c r="H1265" s="45" t="s">
        <v>16</v>
      </c>
      <c r="I1265" s="47"/>
      <c r="J1265" s="12" t="s">
        <v>4177</v>
      </c>
      <c r="K1265" s="13" t="s">
        <v>8036</v>
      </c>
      <c r="L1265" s="99" t="str">
        <f t="shared" si="79"/>
        <v>W324A.1</v>
      </c>
      <c r="M1265" s="13"/>
      <c r="N1265" s="13"/>
      <c r="O1265" s="13"/>
      <c r="P1265" s="47"/>
      <c r="Q1265" s="45"/>
      <c r="R1265" s="45"/>
      <c r="S1265" s="48"/>
      <c r="T1265" s="49" t="str">
        <f t="shared" si="80"/>
        <v>[W324A.1]</v>
      </c>
      <c r="U1265" s="12" t="str">
        <f t="shared" si="81"/>
        <v/>
      </c>
      <c r="V1265" s="49" t="str">
        <f t="shared" si="82"/>
        <v>[W324A.1]</v>
      </c>
    </row>
    <row r="1266" spans="1:22" s="49" customFormat="1" ht="14.15" customHeight="1">
      <c r="A1266" s="43"/>
      <c r="B1266" s="44" t="s">
        <v>6635</v>
      </c>
      <c r="C1266" s="50"/>
      <c r="D1266" s="10" t="s">
        <v>29</v>
      </c>
      <c r="E1266" s="11"/>
      <c r="F1266" s="11" t="s">
        <v>18</v>
      </c>
      <c r="G1266" s="13"/>
      <c r="H1266" s="45" t="s">
        <v>16</v>
      </c>
      <c r="I1266" s="47"/>
      <c r="J1266" s="12" t="s">
        <v>4178</v>
      </c>
      <c r="K1266" s="13" t="s">
        <v>8037</v>
      </c>
      <c r="L1266" s="99" t="str">
        <f t="shared" si="79"/>
        <v>W324A.2</v>
      </c>
      <c r="M1266" s="13"/>
      <c r="N1266" s="13"/>
      <c r="O1266" s="13"/>
      <c r="P1266" s="47"/>
      <c r="Q1266" s="45"/>
      <c r="R1266" s="45"/>
      <c r="S1266" s="48"/>
      <c r="T1266" s="49" t="str">
        <f t="shared" si="80"/>
        <v>[W324A.2]</v>
      </c>
      <c r="U1266" s="12" t="str">
        <f t="shared" si="81"/>
        <v/>
      </c>
      <c r="V1266" s="49" t="str">
        <f t="shared" si="82"/>
        <v>[W324A.2]</v>
      </c>
    </row>
    <row r="1267" spans="1:22" s="49" customFormat="1" ht="14.15" customHeight="1">
      <c r="A1267" s="43"/>
      <c r="B1267" s="44" t="s">
        <v>6635</v>
      </c>
      <c r="C1267" s="50"/>
      <c r="D1267" s="10" t="s">
        <v>29</v>
      </c>
      <c r="E1267" s="11"/>
      <c r="F1267" s="11" t="s">
        <v>18</v>
      </c>
      <c r="G1267" s="13"/>
      <c r="H1267" s="45" t="s">
        <v>16</v>
      </c>
      <c r="I1267" s="47"/>
      <c r="J1267" s="12" t="s">
        <v>4179</v>
      </c>
      <c r="K1267" s="13" t="s">
        <v>8038</v>
      </c>
      <c r="L1267" s="99" t="str">
        <f t="shared" si="79"/>
        <v>W324A.3</v>
      </c>
      <c r="M1267" s="13"/>
      <c r="N1267" s="13"/>
      <c r="O1267" s="13"/>
      <c r="P1267" s="47"/>
      <c r="Q1267" s="45"/>
      <c r="R1267" s="45"/>
      <c r="S1267" s="48"/>
      <c r="T1267" s="49" t="str">
        <f t="shared" si="80"/>
        <v>[W324A.3]</v>
      </c>
      <c r="U1267" s="12" t="str">
        <f t="shared" si="81"/>
        <v/>
      </c>
      <c r="V1267" s="49" t="str">
        <f t="shared" si="82"/>
        <v>[W324A.3]</v>
      </c>
    </row>
    <row r="1268" spans="1:22" s="49" customFormat="1" ht="14.15" customHeight="1">
      <c r="A1268" s="43"/>
      <c r="B1268" s="44" t="s">
        <v>6635</v>
      </c>
      <c r="C1268" s="50"/>
      <c r="D1268" s="10" t="s">
        <v>29</v>
      </c>
      <c r="E1268" s="11"/>
      <c r="F1268" s="11" t="s">
        <v>18</v>
      </c>
      <c r="G1268" s="13"/>
      <c r="H1268" s="45" t="s">
        <v>16</v>
      </c>
      <c r="I1268" s="47"/>
      <c r="J1268" s="12" t="s">
        <v>4180</v>
      </c>
      <c r="K1268" s="13" t="s">
        <v>8039</v>
      </c>
      <c r="L1268" s="99" t="str">
        <f t="shared" si="79"/>
        <v>W324A.4</v>
      </c>
      <c r="M1268" s="13"/>
      <c r="N1268" s="13"/>
      <c r="O1268" s="13"/>
      <c r="P1268" s="47"/>
      <c r="Q1268" s="45"/>
      <c r="R1268" s="45"/>
      <c r="S1268" s="48"/>
      <c r="T1268" s="49" t="str">
        <f>"["&amp;L1238&amp;"]"</f>
        <v>[W3248.6]</v>
      </c>
      <c r="U1268" s="12" t="str">
        <f>RIGHT(J1238,LEN(J1238)-7)</f>
        <v xml:space="preserve"> 용접#3 11국 통신에러 (D9115.7)</v>
      </c>
      <c r="V1268" s="49" t="str">
        <f>T1238&amp;U1238</f>
        <v>[W3248.6] 용접#3 11국 통신에러 (D9115.7)</v>
      </c>
    </row>
    <row r="1269" spans="1:22" s="49" customFormat="1" ht="14.15" customHeight="1">
      <c r="A1269" s="43"/>
      <c r="B1269" s="44" t="s">
        <v>6635</v>
      </c>
      <c r="C1269" s="50"/>
      <c r="D1269" s="10" t="s">
        <v>29</v>
      </c>
      <c r="E1269" s="11"/>
      <c r="F1269" s="11" t="s">
        <v>18</v>
      </c>
      <c r="G1269" s="13"/>
      <c r="H1269" s="45" t="s">
        <v>16</v>
      </c>
      <c r="I1269" s="47"/>
      <c r="J1269" s="12" t="s">
        <v>4181</v>
      </c>
      <c r="K1269" s="13" t="s">
        <v>8040</v>
      </c>
      <c r="L1269" s="99" t="str">
        <f t="shared" si="79"/>
        <v>W324A.5</v>
      </c>
      <c r="M1269" s="13"/>
      <c r="N1269" s="13"/>
      <c r="O1269" s="13"/>
      <c r="P1269" s="47"/>
      <c r="Q1269" s="45"/>
      <c r="R1269" s="45"/>
      <c r="S1269" s="48"/>
      <c r="T1269" s="49" t="str">
        <f t="shared" si="80"/>
        <v>[W324A.5]</v>
      </c>
      <c r="U1269" s="12" t="str">
        <f t="shared" si="81"/>
        <v/>
      </c>
      <c r="V1269" s="49" t="str">
        <f t="shared" si="82"/>
        <v>[W324A.5]</v>
      </c>
    </row>
    <row r="1270" spans="1:22" s="49" customFormat="1" ht="14.15" customHeight="1">
      <c r="A1270" s="43"/>
      <c r="B1270" s="44" t="s">
        <v>6635</v>
      </c>
      <c r="C1270" s="50"/>
      <c r="D1270" s="10" t="s">
        <v>29</v>
      </c>
      <c r="E1270" s="11"/>
      <c r="F1270" s="11" t="s">
        <v>18</v>
      </c>
      <c r="G1270" s="13"/>
      <c r="H1270" s="45" t="s">
        <v>16</v>
      </c>
      <c r="I1270" s="47"/>
      <c r="J1270" s="12" t="s">
        <v>4182</v>
      </c>
      <c r="K1270" s="13" t="s">
        <v>8041</v>
      </c>
      <c r="L1270" s="99" t="str">
        <f t="shared" si="79"/>
        <v>W324A.6</v>
      </c>
      <c r="M1270" s="13"/>
      <c r="N1270" s="13"/>
      <c r="O1270" s="13"/>
      <c r="P1270" s="47"/>
      <c r="Q1270" s="45"/>
      <c r="R1270" s="45"/>
      <c r="S1270" s="48"/>
      <c r="T1270" s="49" t="str">
        <f t="shared" si="80"/>
        <v>[W324A.6]</v>
      </c>
      <c r="U1270" s="12" t="str">
        <f t="shared" si="81"/>
        <v/>
      </c>
      <c r="V1270" s="49" t="str">
        <f t="shared" si="82"/>
        <v>[W324A.6]</v>
      </c>
    </row>
    <row r="1271" spans="1:22" s="49" customFormat="1" ht="14.15" customHeight="1">
      <c r="A1271" s="43"/>
      <c r="B1271" s="44" t="s">
        <v>6635</v>
      </c>
      <c r="C1271" s="50"/>
      <c r="D1271" s="10" t="s">
        <v>29</v>
      </c>
      <c r="E1271" s="11"/>
      <c r="F1271" s="11" t="s">
        <v>18</v>
      </c>
      <c r="G1271" s="13"/>
      <c r="H1271" s="45" t="s">
        <v>16</v>
      </c>
      <c r="I1271" s="47"/>
      <c r="J1271" s="12" t="s">
        <v>4183</v>
      </c>
      <c r="K1271" s="13" t="s">
        <v>8042</v>
      </c>
      <c r="L1271" s="99" t="str">
        <f t="shared" si="79"/>
        <v>W324A.7</v>
      </c>
      <c r="M1271" s="13"/>
      <c r="N1271" s="13"/>
      <c r="O1271" s="13"/>
      <c r="P1271" s="47"/>
      <c r="Q1271" s="45"/>
      <c r="R1271" s="45"/>
      <c r="S1271" s="48"/>
      <c r="T1271" s="49" t="str">
        <f t="shared" si="80"/>
        <v>[W324A.7]</v>
      </c>
      <c r="U1271" s="12" t="str">
        <f t="shared" si="81"/>
        <v/>
      </c>
      <c r="V1271" s="49" t="str">
        <f t="shared" si="82"/>
        <v>[W324A.7]</v>
      </c>
    </row>
    <row r="1272" spans="1:22" s="49" customFormat="1" ht="14.15" customHeight="1">
      <c r="A1272" s="43"/>
      <c r="B1272" s="44" t="s">
        <v>6635</v>
      </c>
      <c r="C1272" s="50"/>
      <c r="D1272" s="10" t="s">
        <v>29</v>
      </c>
      <c r="E1272" s="11"/>
      <c r="F1272" s="11" t="s">
        <v>18</v>
      </c>
      <c r="G1272" s="13"/>
      <c r="H1272" s="45" t="s">
        <v>16</v>
      </c>
      <c r="I1272" s="47"/>
      <c r="J1272" s="12" t="s">
        <v>4184</v>
      </c>
      <c r="K1272" s="13" t="s">
        <v>8043</v>
      </c>
      <c r="L1272" s="99" t="str">
        <f t="shared" si="79"/>
        <v>W324A.8</v>
      </c>
      <c r="M1272" s="13"/>
      <c r="N1272" s="13"/>
      <c r="O1272" s="13"/>
      <c r="P1272" s="47"/>
      <c r="Q1272" s="45"/>
      <c r="R1272" s="45"/>
      <c r="S1272" s="48"/>
      <c r="T1272" s="49" t="str">
        <f t="shared" si="80"/>
        <v>[W324A.8]</v>
      </c>
      <c r="U1272" s="12" t="str">
        <f t="shared" si="81"/>
        <v/>
      </c>
      <c r="V1272" s="49" t="str">
        <f t="shared" si="82"/>
        <v>[W324A.8]</v>
      </c>
    </row>
    <row r="1273" spans="1:22" s="49" customFormat="1" ht="14.15" customHeight="1">
      <c r="A1273" s="43"/>
      <c r="B1273" s="44" t="s">
        <v>6635</v>
      </c>
      <c r="C1273" s="50"/>
      <c r="D1273" s="10" t="s">
        <v>29</v>
      </c>
      <c r="E1273" s="11"/>
      <c r="F1273" s="11" t="s">
        <v>18</v>
      </c>
      <c r="G1273" s="13"/>
      <c r="H1273" s="45" t="s">
        <v>16</v>
      </c>
      <c r="I1273" s="47"/>
      <c r="J1273" s="12" t="s">
        <v>4185</v>
      </c>
      <c r="K1273" s="13" t="s">
        <v>8044</v>
      </c>
      <c r="L1273" s="99" t="str">
        <f t="shared" si="79"/>
        <v>W324A.9</v>
      </c>
      <c r="M1273" s="13"/>
      <c r="N1273" s="13"/>
      <c r="O1273" s="13"/>
      <c r="P1273" s="47"/>
      <c r="Q1273" s="45"/>
      <c r="R1273" s="45"/>
      <c r="S1273" s="48"/>
      <c r="T1273" s="49" t="str">
        <f t="shared" si="80"/>
        <v>[W324A.9]</v>
      </c>
      <c r="U1273" s="12" t="str">
        <f t="shared" si="81"/>
        <v/>
      </c>
      <c r="V1273" s="49" t="str">
        <f t="shared" si="82"/>
        <v>[W324A.9]</v>
      </c>
    </row>
    <row r="1274" spans="1:22" s="49" customFormat="1" ht="14.15" customHeight="1">
      <c r="A1274" s="44"/>
      <c r="B1274" s="44" t="s">
        <v>6635</v>
      </c>
      <c r="C1274" s="50"/>
      <c r="D1274" s="10" t="s">
        <v>29</v>
      </c>
      <c r="E1274" s="11"/>
      <c r="F1274" s="11" t="s">
        <v>18</v>
      </c>
      <c r="G1274" s="13"/>
      <c r="H1274" s="45" t="s">
        <v>16</v>
      </c>
      <c r="I1274" s="47"/>
      <c r="J1274" s="12" t="s">
        <v>4186</v>
      </c>
      <c r="K1274" s="13" t="s">
        <v>8045</v>
      </c>
      <c r="L1274" s="99" t="str">
        <f t="shared" si="79"/>
        <v>W324A.A</v>
      </c>
      <c r="M1274" s="13"/>
      <c r="N1274" s="13"/>
      <c r="O1274" s="13"/>
      <c r="P1274" s="47"/>
      <c r="Q1274" s="45"/>
      <c r="R1274" s="45"/>
      <c r="S1274" s="48"/>
      <c r="T1274" s="49" t="str">
        <f t="shared" si="80"/>
        <v>[W324A.A]</v>
      </c>
      <c r="U1274" s="12" t="str">
        <f t="shared" si="81"/>
        <v/>
      </c>
      <c r="V1274" s="49" t="str">
        <f t="shared" si="82"/>
        <v>[W324A.A]</v>
      </c>
    </row>
    <row r="1275" spans="1:22" s="49" customFormat="1" ht="14.15" customHeight="1">
      <c r="A1275" s="44"/>
      <c r="B1275" s="44" t="s">
        <v>6635</v>
      </c>
      <c r="C1275" s="50"/>
      <c r="D1275" s="10" t="s">
        <v>29</v>
      </c>
      <c r="E1275" s="11"/>
      <c r="F1275" s="11" t="s">
        <v>18</v>
      </c>
      <c r="G1275" s="13"/>
      <c r="H1275" s="45" t="s">
        <v>16</v>
      </c>
      <c r="I1275" s="47"/>
      <c r="J1275" s="12" t="s">
        <v>4187</v>
      </c>
      <c r="K1275" s="13" t="s">
        <v>8046</v>
      </c>
      <c r="L1275" s="99" t="str">
        <f t="shared" si="79"/>
        <v>W324A.B</v>
      </c>
      <c r="M1275" s="13"/>
      <c r="N1275" s="13"/>
      <c r="O1275" s="13"/>
      <c r="P1275" s="47"/>
      <c r="Q1275" s="45"/>
      <c r="R1275" s="45"/>
      <c r="S1275" s="48"/>
      <c r="T1275" s="49" t="str">
        <f t="shared" si="80"/>
        <v>[W324A.B]</v>
      </c>
      <c r="U1275" s="12" t="str">
        <f t="shared" si="81"/>
        <v/>
      </c>
      <c r="V1275" s="49" t="str">
        <f t="shared" si="82"/>
        <v>[W324A.B]</v>
      </c>
    </row>
    <row r="1276" spans="1:22" s="49" customFormat="1" ht="14.15" customHeight="1">
      <c r="A1276" s="44"/>
      <c r="B1276" s="44" t="s">
        <v>6635</v>
      </c>
      <c r="C1276" s="50"/>
      <c r="D1276" s="10" t="s">
        <v>29</v>
      </c>
      <c r="E1276" s="11"/>
      <c r="F1276" s="11" t="s">
        <v>18</v>
      </c>
      <c r="G1276" s="13"/>
      <c r="H1276" s="45" t="s">
        <v>16</v>
      </c>
      <c r="I1276" s="47"/>
      <c r="J1276" s="12" t="s">
        <v>4188</v>
      </c>
      <c r="K1276" s="13" t="s">
        <v>8047</v>
      </c>
      <c r="L1276" s="99" t="str">
        <f t="shared" si="79"/>
        <v>W324A.C</v>
      </c>
      <c r="M1276" s="13"/>
      <c r="N1276" s="13"/>
      <c r="O1276" s="13"/>
      <c r="P1276" s="47"/>
      <c r="Q1276" s="45"/>
      <c r="R1276" s="45"/>
      <c r="S1276" s="48"/>
      <c r="T1276" s="49" t="str">
        <f t="shared" si="80"/>
        <v>[W324A.C]</v>
      </c>
      <c r="U1276" s="12" t="str">
        <f t="shared" si="81"/>
        <v/>
      </c>
      <c r="V1276" s="49" t="str">
        <f t="shared" si="82"/>
        <v>[W324A.C]</v>
      </c>
    </row>
    <row r="1277" spans="1:22" s="49" customFormat="1" ht="14.15" customHeight="1">
      <c r="A1277" s="44"/>
      <c r="B1277" s="44" t="s">
        <v>6635</v>
      </c>
      <c r="C1277" s="50"/>
      <c r="D1277" s="10" t="s">
        <v>29</v>
      </c>
      <c r="E1277" s="11"/>
      <c r="F1277" s="11" t="s">
        <v>18</v>
      </c>
      <c r="G1277" s="13"/>
      <c r="H1277" s="45" t="s">
        <v>16</v>
      </c>
      <c r="I1277" s="47"/>
      <c r="J1277" s="12" t="s">
        <v>4189</v>
      </c>
      <c r="K1277" s="13" t="s">
        <v>8048</v>
      </c>
      <c r="L1277" s="99" t="str">
        <f t="shared" si="79"/>
        <v>W324A.D</v>
      </c>
      <c r="M1277" s="13"/>
      <c r="N1277" s="13"/>
      <c r="O1277" s="13"/>
      <c r="P1277" s="47"/>
      <c r="Q1277" s="45"/>
      <c r="R1277" s="45"/>
      <c r="S1277" s="48"/>
      <c r="T1277" s="49" t="str">
        <f t="shared" si="80"/>
        <v>[W324A.D]</v>
      </c>
      <c r="U1277" s="12" t="str">
        <f t="shared" si="81"/>
        <v/>
      </c>
      <c r="V1277" s="49" t="str">
        <f t="shared" si="82"/>
        <v>[W324A.D]</v>
      </c>
    </row>
    <row r="1278" spans="1:22" s="49" customFormat="1" ht="14.15" customHeight="1">
      <c r="A1278" s="43"/>
      <c r="B1278" s="44" t="s">
        <v>6635</v>
      </c>
      <c r="C1278" s="50"/>
      <c r="D1278" s="10" t="s">
        <v>29</v>
      </c>
      <c r="E1278" s="11"/>
      <c r="F1278" s="11" t="s">
        <v>18</v>
      </c>
      <c r="G1278" s="13"/>
      <c r="H1278" s="45" t="s">
        <v>16</v>
      </c>
      <c r="I1278" s="47"/>
      <c r="J1278" s="12" t="s">
        <v>4190</v>
      </c>
      <c r="K1278" s="13" t="s">
        <v>8049</v>
      </c>
      <c r="L1278" s="99" t="str">
        <f t="shared" si="79"/>
        <v>W324A.E</v>
      </c>
      <c r="M1278" s="13"/>
      <c r="N1278" s="13"/>
      <c r="O1278" s="13"/>
      <c r="P1278" s="47"/>
      <c r="Q1278" s="45"/>
      <c r="R1278" s="45"/>
      <c r="S1278" s="48"/>
      <c r="T1278" s="49" t="str">
        <f t="shared" si="80"/>
        <v>[W324A.E]</v>
      </c>
      <c r="U1278" s="12" t="str">
        <f t="shared" si="81"/>
        <v/>
      </c>
      <c r="V1278" s="49" t="str">
        <f t="shared" si="82"/>
        <v>[W324A.E]</v>
      </c>
    </row>
    <row r="1279" spans="1:22" s="49" customFormat="1" ht="14.15" customHeight="1">
      <c r="A1279" s="43" t="s">
        <v>6675</v>
      </c>
      <c r="B1279" s="44" t="s">
        <v>6635</v>
      </c>
      <c r="C1279" s="50"/>
      <c r="D1279" s="10" t="s">
        <v>29</v>
      </c>
      <c r="E1279" s="11"/>
      <c r="F1279" s="11" t="s">
        <v>18</v>
      </c>
      <c r="G1279" s="13"/>
      <c r="H1279" s="45" t="s">
        <v>16</v>
      </c>
      <c r="I1279" s="47"/>
      <c r="J1279" s="12" t="s">
        <v>6434</v>
      </c>
      <c r="K1279" s="13" t="s">
        <v>8050</v>
      </c>
      <c r="L1279" s="99" t="str">
        <f t="shared" si="79"/>
        <v>W324A.F</v>
      </c>
      <c r="M1279" s="13" t="s">
        <v>17</v>
      </c>
      <c r="N1279" s="13"/>
      <c r="O1279" s="13"/>
      <c r="P1279" s="47"/>
      <c r="Q1279" s="45" t="s">
        <v>142</v>
      </c>
      <c r="R1279" s="45" t="s">
        <v>5596</v>
      </c>
      <c r="S1279" s="48"/>
      <c r="T1279" s="49" t="str">
        <f t="shared" si="80"/>
        <v>[W324A.F]</v>
      </c>
      <c r="U1279" s="12" t="str">
        <f t="shared" si="81"/>
        <v xml:space="preserve"> 용접#4 터브측면 RH 클램프 전진 시간초과 (X570, Y5A2)</v>
      </c>
      <c r="V1279" s="49" t="str">
        <f t="shared" si="82"/>
        <v>[W324A.F] 용접#4 터브측면 RH 클램프 전진 시간초과 (X570, Y5A2)</v>
      </c>
    </row>
    <row r="1280" spans="1:22" s="49" customFormat="1" ht="14.15" customHeight="1">
      <c r="A1280" s="43" t="s">
        <v>6675</v>
      </c>
      <c r="B1280" s="44" t="s">
        <v>6635</v>
      </c>
      <c r="C1280" s="50"/>
      <c r="D1280" s="10" t="s">
        <v>29</v>
      </c>
      <c r="E1280" s="11"/>
      <c r="F1280" s="11" t="s">
        <v>18</v>
      </c>
      <c r="G1280" s="13"/>
      <c r="H1280" s="45" t="s">
        <v>16</v>
      </c>
      <c r="I1280" s="47"/>
      <c r="J1280" s="12" t="s">
        <v>6435</v>
      </c>
      <c r="K1280" s="13" t="s">
        <v>8051</v>
      </c>
      <c r="L1280" s="99" t="str">
        <f t="shared" si="79"/>
        <v>W324B.0</v>
      </c>
      <c r="M1280" s="13" t="s">
        <v>17</v>
      </c>
      <c r="N1280" s="13"/>
      <c r="O1280" s="13"/>
      <c r="P1280" s="47"/>
      <c r="Q1280" s="45" t="s">
        <v>142</v>
      </c>
      <c r="R1280" s="45" t="s">
        <v>5596</v>
      </c>
      <c r="S1280" s="48"/>
      <c r="T1280" s="49" t="str">
        <f t="shared" si="80"/>
        <v>[W324B.0]</v>
      </c>
      <c r="U1280" s="12" t="str">
        <f t="shared" si="81"/>
        <v xml:space="preserve"> 용접#4 터브측면 RH 클램프 후진 시간초과 (X571, Y5A3)</v>
      </c>
      <c r="V1280" s="49" t="str">
        <f t="shared" si="82"/>
        <v>[W324B.0] 용접#4 터브측면 RH 클램프 후진 시간초과 (X571, Y5A3)</v>
      </c>
    </row>
    <row r="1281" spans="1:22" s="49" customFormat="1" ht="14.15" customHeight="1">
      <c r="A1281" s="43" t="s">
        <v>6675</v>
      </c>
      <c r="B1281" s="44" t="s">
        <v>6635</v>
      </c>
      <c r="C1281" s="50"/>
      <c r="D1281" s="10" t="s">
        <v>29</v>
      </c>
      <c r="E1281" s="11"/>
      <c r="F1281" s="11" t="s">
        <v>18</v>
      </c>
      <c r="G1281" s="13"/>
      <c r="H1281" s="45" t="s">
        <v>16</v>
      </c>
      <c r="I1281" s="47"/>
      <c r="J1281" s="12" t="s">
        <v>6436</v>
      </c>
      <c r="K1281" s="13" t="s">
        <v>8052</v>
      </c>
      <c r="L1281" s="99" t="str">
        <f t="shared" si="79"/>
        <v>W324B.1</v>
      </c>
      <c r="M1281" s="13" t="s">
        <v>17</v>
      </c>
      <c r="N1281" s="13"/>
      <c r="O1281" s="13"/>
      <c r="P1281" s="47"/>
      <c r="Q1281" s="45" t="s">
        <v>142</v>
      </c>
      <c r="R1281" s="45" t="s">
        <v>5596</v>
      </c>
      <c r="S1281" s="48"/>
      <c r="T1281" s="49" t="str">
        <f t="shared" si="80"/>
        <v>[W324B.1]</v>
      </c>
      <c r="U1281" s="12" t="str">
        <f t="shared" si="81"/>
        <v xml:space="preserve"> 용접#4 터브측면 RH 클램프 전진/후진 센서이상 (X570, X571)</v>
      </c>
      <c r="V1281" s="49" t="str">
        <f t="shared" si="82"/>
        <v>[W324B.1] 용접#4 터브측면 RH 클램프 전진/후진 센서이상 (X570, X571)</v>
      </c>
    </row>
    <row r="1282" spans="1:22" s="49" customFormat="1" ht="14.15" customHeight="1">
      <c r="A1282" s="43" t="s">
        <v>6675</v>
      </c>
      <c r="B1282" s="44" t="s">
        <v>6635</v>
      </c>
      <c r="C1282" s="50"/>
      <c r="D1282" s="10" t="s">
        <v>29</v>
      </c>
      <c r="E1282" s="11"/>
      <c r="F1282" s="11" t="s">
        <v>18</v>
      </c>
      <c r="G1282" s="13"/>
      <c r="H1282" s="45" t="s">
        <v>16</v>
      </c>
      <c r="I1282" s="47"/>
      <c r="J1282" s="12" t="s">
        <v>6437</v>
      </c>
      <c r="K1282" s="13" t="s">
        <v>8053</v>
      </c>
      <c r="L1282" s="99" t="str">
        <f t="shared" si="79"/>
        <v>W324B.2</v>
      </c>
      <c r="M1282" s="13" t="s">
        <v>17</v>
      </c>
      <c r="N1282" s="13"/>
      <c r="O1282" s="13"/>
      <c r="P1282" s="47"/>
      <c r="Q1282" s="45" t="s">
        <v>142</v>
      </c>
      <c r="R1282" s="45" t="s">
        <v>5596</v>
      </c>
      <c r="S1282" s="48"/>
      <c r="T1282" s="49" t="str">
        <f t="shared" si="80"/>
        <v>[W324B.2]</v>
      </c>
      <c r="U1282" s="12" t="str">
        <f t="shared" si="81"/>
        <v xml:space="preserve"> 용접#4 터브측면 LH 클램프 전진 시간초과 (X572, Y5A4)</v>
      </c>
      <c r="V1282" s="49" t="str">
        <f t="shared" si="82"/>
        <v>[W324B.2] 용접#4 터브측면 LH 클램프 전진 시간초과 (X572, Y5A4)</v>
      </c>
    </row>
    <row r="1283" spans="1:22" s="49" customFormat="1" ht="14.15" customHeight="1">
      <c r="A1283" s="43" t="s">
        <v>6675</v>
      </c>
      <c r="B1283" s="44" t="s">
        <v>6635</v>
      </c>
      <c r="C1283" s="50"/>
      <c r="D1283" s="10" t="s">
        <v>29</v>
      </c>
      <c r="E1283" s="11"/>
      <c r="F1283" s="11" t="s">
        <v>18</v>
      </c>
      <c r="G1283" s="13"/>
      <c r="H1283" s="45" t="s">
        <v>16</v>
      </c>
      <c r="I1283" s="47"/>
      <c r="J1283" s="12" t="s">
        <v>6438</v>
      </c>
      <c r="K1283" s="13" t="s">
        <v>8054</v>
      </c>
      <c r="L1283" s="99" t="str">
        <f t="shared" si="79"/>
        <v>W324B.3</v>
      </c>
      <c r="M1283" s="13" t="s">
        <v>17</v>
      </c>
      <c r="N1283" s="13"/>
      <c r="O1283" s="13"/>
      <c r="P1283" s="47"/>
      <c r="Q1283" s="45" t="s">
        <v>142</v>
      </c>
      <c r="R1283" s="45" t="s">
        <v>5596</v>
      </c>
      <c r="S1283" s="48"/>
      <c r="T1283" s="49" t="str">
        <f t="shared" si="80"/>
        <v>[W324B.3]</v>
      </c>
      <c r="U1283" s="12" t="str">
        <f t="shared" si="81"/>
        <v xml:space="preserve"> 용접#4 터브측면 LH 클램프 후진 시간초과 (X573, Y5A5)</v>
      </c>
      <c r="V1283" s="49" t="str">
        <f t="shared" si="82"/>
        <v>[W324B.3] 용접#4 터브측면 LH 클램프 후진 시간초과 (X573, Y5A5)</v>
      </c>
    </row>
    <row r="1284" spans="1:22" s="49" customFormat="1" ht="14.15" customHeight="1">
      <c r="A1284" s="43" t="s">
        <v>6675</v>
      </c>
      <c r="B1284" s="44" t="s">
        <v>6635</v>
      </c>
      <c r="C1284" s="50"/>
      <c r="D1284" s="10" t="s">
        <v>29</v>
      </c>
      <c r="E1284" s="11"/>
      <c r="F1284" s="11" t="s">
        <v>18</v>
      </c>
      <c r="G1284" s="13"/>
      <c r="H1284" s="45" t="s">
        <v>16</v>
      </c>
      <c r="I1284" s="47"/>
      <c r="J1284" s="12" t="s">
        <v>6439</v>
      </c>
      <c r="K1284" s="13" t="s">
        <v>8055</v>
      </c>
      <c r="L1284" s="99" t="str">
        <f t="shared" si="79"/>
        <v>W324B.4</v>
      </c>
      <c r="M1284" s="13" t="s">
        <v>17</v>
      </c>
      <c r="N1284" s="13"/>
      <c r="O1284" s="13"/>
      <c r="P1284" s="47"/>
      <c r="Q1284" s="45" t="s">
        <v>142</v>
      </c>
      <c r="R1284" s="45" t="s">
        <v>5596</v>
      </c>
      <c r="S1284" s="48"/>
      <c r="T1284" s="49" t="str">
        <f t="shared" si="80"/>
        <v>[W324B.4]</v>
      </c>
      <c r="U1284" s="12" t="str">
        <f t="shared" si="81"/>
        <v xml:space="preserve"> 용접#4 터브측면 LH 클램프 전진/후진 센서이상 (X572, X573)</v>
      </c>
      <c r="V1284" s="49" t="str">
        <f t="shared" si="82"/>
        <v>[W324B.4] 용접#4 터브측면 LH 클램프 전진/후진 센서이상 (X572, X573)</v>
      </c>
    </row>
    <row r="1285" spans="1:22" s="49" customFormat="1" ht="14.15" customHeight="1">
      <c r="A1285" s="43" t="s">
        <v>6675</v>
      </c>
      <c r="B1285" s="44" t="s">
        <v>6635</v>
      </c>
      <c r="C1285" s="50"/>
      <c r="D1285" s="10" t="s">
        <v>29</v>
      </c>
      <c r="E1285" s="11"/>
      <c r="F1285" s="11" t="s">
        <v>18</v>
      </c>
      <c r="G1285" s="13"/>
      <c r="H1285" s="45" t="s">
        <v>16</v>
      </c>
      <c r="I1285" s="47"/>
      <c r="J1285" s="12" t="s">
        <v>6440</v>
      </c>
      <c r="K1285" s="13" t="s">
        <v>8056</v>
      </c>
      <c r="L1285" s="99" t="str">
        <f t="shared" si="79"/>
        <v>W324B.5</v>
      </c>
      <c r="M1285" s="13" t="s">
        <v>17</v>
      </c>
      <c r="N1285" s="13"/>
      <c r="O1285" s="13"/>
      <c r="P1285" s="47"/>
      <c r="Q1285" s="45" t="s">
        <v>142</v>
      </c>
      <c r="R1285" s="45" t="s">
        <v>5596</v>
      </c>
      <c r="S1285" s="48"/>
      <c r="T1285" s="49" t="str">
        <f t="shared" si="80"/>
        <v>[W324B.5]</v>
      </c>
      <c r="U1285" s="12" t="str">
        <f t="shared" si="81"/>
        <v xml:space="preserve"> 용접#4 터브 FW 클램프 전진 시간초과 (X574, Y5AA)</v>
      </c>
      <c r="V1285" s="49" t="str">
        <f t="shared" si="82"/>
        <v>[W324B.5] 용접#4 터브 FW 클램프 전진 시간초과 (X574, Y5AA)</v>
      </c>
    </row>
    <row r="1286" spans="1:22" s="49" customFormat="1" ht="14.15" customHeight="1">
      <c r="A1286" s="43" t="s">
        <v>6675</v>
      </c>
      <c r="B1286" s="44" t="s">
        <v>6635</v>
      </c>
      <c r="C1286" s="50"/>
      <c r="D1286" s="10" t="s">
        <v>29</v>
      </c>
      <c r="E1286" s="11"/>
      <c r="F1286" s="11" t="s">
        <v>18</v>
      </c>
      <c r="G1286" s="13"/>
      <c r="H1286" s="45" t="s">
        <v>16</v>
      </c>
      <c r="I1286" s="47"/>
      <c r="J1286" s="12" t="s">
        <v>6441</v>
      </c>
      <c r="K1286" s="13" t="s">
        <v>8057</v>
      </c>
      <c r="L1286" s="99" t="str">
        <f t="shared" si="79"/>
        <v>W324B.6</v>
      </c>
      <c r="M1286" s="13" t="s">
        <v>17</v>
      </c>
      <c r="N1286" s="13"/>
      <c r="O1286" s="13"/>
      <c r="P1286" s="47"/>
      <c r="Q1286" s="45" t="s">
        <v>142</v>
      </c>
      <c r="R1286" s="45" t="s">
        <v>5596</v>
      </c>
      <c r="S1286" s="48"/>
      <c r="T1286" s="49" t="str">
        <f t="shared" si="80"/>
        <v>[W324B.6]</v>
      </c>
      <c r="U1286" s="12" t="str">
        <f t="shared" si="81"/>
        <v xml:space="preserve"> 용접#4 터브 FW 클램프 후진 시간초과 (X575, Y5AB)</v>
      </c>
      <c r="V1286" s="49" t="str">
        <f t="shared" si="82"/>
        <v>[W324B.6] 용접#4 터브 FW 클램프 후진 시간초과 (X575, Y5AB)</v>
      </c>
    </row>
    <row r="1287" spans="1:22" s="49" customFormat="1" ht="14.15" customHeight="1">
      <c r="A1287" s="43" t="s">
        <v>6675</v>
      </c>
      <c r="B1287" s="44" t="s">
        <v>6635</v>
      </c>
      <c r="C1287" s="50"/>
      <c r="D1287" s="10" t="s">
        <v>29</v>
      </c>
      <c r="E1287" s="11"/>
      <c r="F1287" s="11" t="s">
        <v>18</v>
      </c>
      <c r="G1287" s="13"/>
      <c r="H1287" s="45" t="s">
        <v>16</v>
      </c>
      <c r="I1287" s="47"/>
      <c r="J1287" s="12" t="s">
        <v>6442</v>
      </c>
      <c r="K1287" s="13" t="s">
        <v>8058</v>
      </c>
      <c r="L1287" s="99" t="str">
        <f t="shared" si="79"/>
        <v>W324B.7</v>
      </c>
      <c r="M1287" s="13" t="s">
        <v>17</v>
      </c>
      <c r="N1287" s="13"/>
      <c r="O1287" s="13"/>
      <c r="P1287" s="47"/>
      <c r="Q1287" s="45" t="s">
        <v>142</v>
      </c>
      <c r="R1287" s="45" t="s">
        <v>5596</v>
      </c>
      <c r="S1287" s="48"/>
      <c r="T1287" s="49" t="str">
        <f t="shared" si="80"/>
        <v>[W324B.7]</v>
      </c>
      <c r="U1287" s="12" t="str">
        <f t="shared" si="81"/>
        <v xml:space="preserve"> 용접#4 터브 FW 클램프 전진/후진 센서이상 (X574, X575)</v>
      </c>
      <c r="V1287" s="49" t="str">
        <f t="shared" si="82"/>
        <v>[W324B.7] 용접#4 터브 FW 클램프 전진/후진 센서이상 (X574, X575)</v>
      </c>
    </row>
    <row r="1288" spans="1:22" s="49" customFormat="1" ht="14.15" customHeight="1">
      <c r="A1288" s="43" t="s">
        <v>6675</v>
      </c>
      <c r="B1288" s="44" t="s">
        <v>6635</v>
      </c>
      <c r="C1288" s="50"/>
      <c r="D1288" s="10" t="s">
        <v>29</v>
      </c>
      <c r="E1288" s="11"/>
      <c r="F1288" s="11" t="s">
        <v>18</v>
      </c>
      <c r="G1288" s="13"/>
      <c r="H1288" s="45" t="s">
        <v>16</v>
      </c>
      <c r="I1288" s="47"/>
      <c r="J1288" s="12" t="s">
        <v>6443</v>
      </c>
      <c r="K1288" s="13" t="s">
        <v>8059</v>
      </c>
      <c r="L1288" s="99" t="str">
        <f t="shared" si="79"/>
        <v>W324B.8</v>
      </c>
      <c r="M1288" s="13" t="s">
        <v>17</v>
      </c>
      <c r="N1288" s="13"/>
      <c r="O1288" s="13"/>
      <c r="P1288" s="47"/>
      <c r="Q1288" s="45" t="s">
        <v>142</v>
      </c>
      <c r="R1288" s="45" t="s">
        <v>5596</v>
      </c>
      <c r="S1288" s="48"/>
      <c r="T1288" s="49" t="str">
        <f t="shared" si="80"/>
        <v>[W324B.8]</v>
      </c>
      <c r="U1288" s="12" t="str">
        <f t="shared" si="81"/>
        <v xml:space="preserve"> 용접#4 렉레일 하강 시간초과 (X584, X586, Y5A0)</v>
      </c>
      <c r="V1288" s="49" t="str">
        <f t="shared" si="82"/>
        <v>[W324B.8] 용접#4 렉레일 하강 시간초과 (X584, X586, Y5A0)</v>
      </c>
    </row>
    <row r="1289" spans="1:22" s="49" customFormat="1" ht="14.15" customHeight="1">
      <c r="A1289" s="43" t="s">
        <v>6675</v>
      </c>
      <c r="B1289" s="44" t="s">
        <v>6635</v>
      </c>
      <c r="C1289" s="50"/>
      <c r="D1289" s="10" t="s">
        <v>29</v>
      </c>
      <c r="E1289" s="11"/>
      <c r="F1289" s="11" t="s">
        <v>18</v>
      </c>
      <c r="G1289" s="13"/>
      <c r="H1289" s="45" t="s">
        <v>16</v>
      </c>
      <c r="I1289" s="47"/>
      <c r="J1289" s="12" t="s">
        <v>6444</v>
      </c>
      <c r="K1289" s="13" t="s">
        <v>8060</v>
      </c>
      <c r="L1289" s="99" t="str">
        <f t="shared" si="79"/>
        <v>W324B.9</v>
      </c>
      <c r="M1289" s="13" t="s">
        <v>17</v>
      </c>
      <c r="N1289" s="13"/>
      <c r="O1289" s="13"/>
      <c r="P1289" s="47"/>
      <c r="Q1289" s="45" t="s">
        <v>142</v>
      </c>
      <c r="R1289" s="45" t="s">
        <v>5596</v>
      </c>
      <c r="S1289" s="48"/>
      <c r="T1289" s="49" t="str">
        <f t="shared" si="80"/>
        <v>[W324B.9]</v>
      </c>
      <c r="U1289" s="12" t="str">
        <f t="shared" si="81"/>
        <v xml:space="preserve"> 용접#4 렉레일 상승 시간초과 (X585, X587, Y5A1)</v>
      </c>
      <c r="V1289" s="49" t="str">
        <f t="shared" si="82"/>
        <v>[W324B.9] 용접#4 렉레일 상승 시간초과 (X585, X587, Y5A1)</v>
      </c>
    </row>
    <row r="1290" spans="1:22" s="49" customFormat="1" ht="14.15" customHeight="1">
      <c r="A1290" s="43" t="s">
        <v>6675</v>
      </c>
      <c r="B1290" s="44" t="s">
        <v>6635</v>
      </c>
      <c r="C1290" s="50"/>
      <c r="D1290" s="10" t="s">
        <v>29</v>
      </c>
      <c r="E1290" s="11"/>
      <c r="F1290" s="11" t="s">
        <v>18</v>
      </c>
      <c r="G1290" s="13"/>
      <c r="H1290" s="45" t="s">
        <v>16</v>
      </c>
      <c r="I1290" s="47"/>
      <c r="J1290" s="12" t="s">
        <v>6445</v>
      </c>
      <c r="K1290" s="13" t="s">
        <v>8061</v>
      </c>
      <c r="L1290" s="99" t="str">
        <f t="shared" si="79"/>
        <v>W324B.A</v>
      </c>
      <c r="M1290" s="13" t="s">
        <v>17</v>
      </c>
      <c r="N1290" s="13"/>
      <c r="O1290" s="13"/>
      <c r="P1290" s="47"/>
      <c r="Q1290" s="45" t="s">
        <v>142</v>
      </c>
      <c r="R1290" s="45" t="s">
        <v>5596</v>
      </c>
      <c r="S1290" s="48"/>
      <c r="T1290" s="49" t="str">
        <f t="shared" si="80"/>
        <v>[W324B.A]</v>
      </c>
      <c r="U1290" s="12" t="str">
        <f t="shared" si="81"/>
        <v xml:space="preserve"> 용접#4 렉레일 상승/하강 센서이상 (X584, X585, X586, X587)</v>
      </c>
      <c r="V1290" s="49" t="str">
        <f t="shared" si="82"/>
        <v>[W324B.A] 용접#4 렉레일 상승/하강 센서이상 (X584, X585, X586, X587)</v>
      </c>
    </row>
    <row r="1291" spans="1:22" s="49" customFormat="1" ht="14.15" customHeight="1">
      <c r="A1291" s="43" t="s">
        <v>6675</v>
      </c>
      <c r="B1291" s="44" t="s">
        <v>6635</v>
      </c>
      <c r="C1291" s="50"/>
      <c r="D1291" s="10" t="s">
        <v>29</v>
      </c>
      <c r="E1291" s="11"/>
      <c r="F1291" s="11" t="s">
        <v>18</v>
      </c>
      <c r="G1291" s="13"/>
      <c r="H1291" s="45" t="s">
        <v>16</v>
      </c>
      <c r="I1291" s="47"/>
      <c r="J1291" s="12" t="s">
        <v>6446</v>
      </c>
      <c r="K1291" s="13" t="s">
        <v>8062</v>
      </c>
      <c r="L1291" s="99" t="str">
        <f t="shared" si="79"/>
        <v>W324B.B</v>
      </c>
      <c r="M1291" s="13" t="s">
        <v>17</v>
      </c>
      <c r="N1291" s="13"/>
      <c r="O1291" s="13"/>
      <c r="P1291" s="47"/>
      <c r="Q1291" s="45" t="s">
        <v>142</v>
      </c>
      <c r="R1291" s="45" t="s">
        <v>5596</v>
      </c>
      <c r="S1291" s="48"/>
      <c r="T1291" s="49" t="str">
        <f t="shared" si="80"/>
        <v>[W324B.B]</v>
      </c>
      <c r="U1291" s="12" t="str">
        <f t="shared" si="81"/>
        <v xml:space="preserve"> 용접#4 렉레일 Y축 전진 시간초과 (X598, Y5B0)</v>
      </c>
      <c r="V1291" s="49" t="str">
        <f t="shared" si="82"/>
        <v>[W324B.B] 용접#4 렉레일 Y축 전진 시간초과 (X598, Y5B0)</v>
      </c>
    </row>
    <row r="1292" spans="1:22" s="49" customFormat="1" ht="14.15" customHeight="1">
      <c r="A1292" s="43" t="s">
        <v>6675</v>
      </c>
      <c r="B1292" s="44" t="s">
        <v>6635</v>
      </c>
      <c r="C1292" s="50"/>
      <c r="D1292" s="10" t="s">
        <v>29</v>
      </c>
      <c r="E1292" s="11"/>
      <c r="F1292" s="11" t="s">
        <v>18</v>
      </c>
      <c r="G1292" s="13"/>
      <c r="H1292" s="45" t="s">
        <v>16</v>
      </c>
      <c r="I1292" s="47"/>
      <c r="J1292" s="12" t="s">
        <v>6447</v>
      </c>
      <c r="K1292" s="13" t="s">
        <v>8063</v>
      </c>
      <c r="L1292" s="99" t="str">
        <f t="shared" si="79"/>
        <v>W324B.C</v>
      </c>
      <c r="M1292" s="13" t="s">
        <v>17</v>
      </c>
      <c r="N1292" s="13"/>
      <c r="O1292" s="13"/>
      <c r="P1292" s="47"/>
      <c r="Q1292" s="45" t="s">
        <v>142</v>
      </c>
      <c r="R1292" s="45" t="s">
        <v>5596</v>
      </c>
      <c r="S1292" s="48"/>
      <c r="T1292" s="49" t="str">
        <f t="shared" si="80"/>
        <v>[W324B.C]</v>
      </c>
      <c r="U1292" s="12" t="str">
        <f t="shared" si="81"/>
        <v xml:space="preserve"> 용접#4 렉레일 Y축 후진 시간초과 (X599, Y5B1)</v>
      </c>
      <c r="V1292" s="49" t="str">
        <f t="shared" si="82"/>
        <v>[W324B.C] 용접#4 렉레일 Y축 후진 시간초과 (X599, Y5B1)</v>
      </c>
    </row>
    <row r="1293" spans="1:22" s="49" customFormat="1" ht="14.15" customHeight="1">
      <c r="A1293" s="43" t="s">
        <v>6675</v>
      </c>
      <c r="B1293" s="44" t="s">
        <v>6635</v>
      </c>
      <c r="C1293" s="50"/>
      <c r="D1293" s="10" t="s">
        <v>29</v>
      </c>
      <c r="E1293" s="11"/>
      <c r="F1293" s="11" t="s">
        <v>18</v>
      </c>
      <c r="G1293" s="13"/>
      <c r="H1293" s="45" t="s">
        <v>16</v>
      </c>
      <c r="I1293" s="47"/>
      <c r="J1293" s="12" t="s">
        <v>6448</v>
      </c>
      <c r="K1293" s="13" t="s">
        <v>8064</v>
      </c>
      <c r="L1293" s="99" t="str">
        <f t="shared" si="79"/>
        <v>W324B.D</v>
      </c>
      <c r="M1293" s="13" t="s">
        <v>17</v>
      </c>
      <c r="N1293" s="13"/>
      <c r="O1293" s="13"/>
      <c r="P1293" s="47"/>
      <c r="Q1293" s="45" t="s">
        <v>142</v>
      </c>
      <c r="R1293" s="45" t="s">
        <v>5596</v>
      </c>
      <c r="S1293" s="48"/>
      <c r="T1293" s="49" t="str">
        <f t="shared" si="80"/>
        <v>[W324B.D]</v>
      </c>
      <c r="U1293" s="12" t="str">
        <f t="shared" si="81"/>
        <v xml:space="preserve"> 용접#4 렉레일 Y축 전진/후진 센서이상 (X598, X599)</v>
      </c>
      <c r="V1293" s="49" t="str">
        <f t="shared" si="82"/>
        <v>[W324B.D] 용접#4 렉레일 Y축 전진/후진 센서이상 (X598, X599)</v>
      </c>
    </row>
    <row r="1294" spans="1:22" s="49" customFormat="1" ht="14.15" customHeight="1">
      <c r="A1294" s="43" t="s">
        <v>6675</v>
      </c>
      <c r="B1294" s="44" t="s">
        <v>6635</v>
      </c>
      <c r="C1294" s="50"/>
      <c r="D1294" s="10" t="s">
        <v>29</v>
      </c>
      <c r="E1294" s="11"/>
      <c r="F1294" s="11" t="s">
        <v>18</v>
      </c>
      <c r="G1294" s="13"/>
      <c r="H1294" s="45" t="s">
        <v>16</v>
      </c>
      <c r="I1294" s="47"/>
      <c r="J1294" s="12" t="s">
        <v>6449</v>
      </c>
      <c r="K1294" s="13" t="s">
        <v>8065</v>
      </c>
      <c r="L1294" s="99" t="str">
        <f t="shared" si="79"/>
        <v>W324B.E</v>
      </c>
      <c r="M1294" s="13" t="s">
        <v>17</v>
      </c>
      <c r="N1294" s="13"/>
      <c r="O1294" s="13"/>
      <c r="P1294" s="47"/>
      <c r="Q1294" s="45" t="s">
        <v>142</v>
      </c>
      <c r="R1294" s="45" t="s">
        <v>5596</v>
      </c>
      <c r="S1294" s="48"/>
      <c r="T1294" s="49" t="str">
        <f t="shared" si="80"/>
        <v>[W324B.E]</v>
      </c>
      <c r="U1294" s="12" t="str">
        <f t="shared" si="81"/>
        <v xml:space="preserve"> 용접#4 GUN RH 하강 시간초과 (X590, Y5A6)</v>
      </c>
      <c r="V1294" s="49" t="str">
        <f t="shared" si="82"/>
        <v>[W324B.E] 용접#4 GUN RH 하강 시간초과 (X590, Y5A6)</v>
      </c>
    </row>
    <row r="1295" spans="1:22" s="49" customFormat="1" ht="14.15" customHeight="1">
      <c r="A1295" s="43" t="s">
        <v>6675</v>
      </c>
      <c r="B1295" s="44" t="s">
        <v>6635</v>
      </c>
      <c r="C1295" s="50"/>
      <c r="D1295" s="10" t="s">
        <v>29</v>
      </c>
      <c r="E1295" s="11"/>
      <c r="F1295" s="11" t="s">
        <v>18</v>
      </c>
      <c r="G1295" s="13"/>
      <c r="H1295" s="45" t="s">
        <v>16</v>
      </c>
      <c r="I1295" s="47"/>
      <c r="J1295" s="12" t="s">
        <v>6450</v>
      </c>
      <c r="K1295" s="13" t="s">
        <v>8066</v>
      </c>
      <c r="L1295" s="99" t="str">
        <f t="shared" si="79"/>
        <v>W324B.F</v>
      </c>
      <c r="M1295" s="13" t="s">
        <v>17</v>
      </c>
      <c r="N1295" s="13"/>
      <c r="O1295" s="13"/>
      <c r="P1295" s="47"/>
      <c r="Q1295" s="45" t="s">
        <v>142</v>
      </c>
      <c r="R1295" s="45" t="s">
        <v>5596</v>
      </c>
      <c r="S1295" s="48"/>
      <c r="T1295" s="49" t="str">
        <f t="shared" si="80"/>
        <v>[W324B.F]</v>
      </c>
      <c r="U1295" s="12" t="str">
        <f t="shared" si="81"/>
        <v xml:space="preserve"> 용접#4 GUN RH 상승 시간초과 (X591, Y5A7)</v>
      </c>
      <c r="V1295" s="49" t="str">
        <f t="shared" si="82"/>
        <v>[W324B.F] 용접#4 GUN RH 상승 시간초과 (X591, Y5A7)</v>
      </c>
    </row>
    <row r="1296" spans="1:22" s="49" customFormat="1" ht="14.15" customHeight="1">
      <c r="A1296" s="43" t="s">
        <v>6675</v>
      </c>
      <c r="B1296" s="44" t="s">
        <v>6635</v>
      </c>
      <c r="C1296" s="50"/>
      <c r="D1296" s="10" t="s">
        <v>29</v>
      </c>
      <c r="E1296" s="11"/>
      <c r="F1296" s="11" t="s">
        <v>18</v>
      </c>
      <c r="G1296" s="13"/>
      <c r="H1296" s="45" t="s">
        <v>16</v>
      </c>
      <c r="I1296" s="47"/>
      <c r="J1296" s="12" t="s">
        <v>6451</v>
      </c>
      <c r="K1296" s="13" t="s">
        <v>8067</v>
      </c>
      <c r="L1296" s="99" t="str">
        <f t="shared" si="79"/>
        <v>W324C.0</v>
      </c>
      <c r="M1296" s="13" t="s">
        <v>17</v>
      </c>
      <c r="N1296" s="13"/>
      <c r="O1296" s="13"/>
      <c r="P1296" s="47"/>
      <c r="Q1296" s="45" t="s">
        <v>142</v>
      </c>
      <c r="R1296" s="45" t="s">
        <v>5596</v>
      </c>
      <c r="S1296" s="48"/>
      <c r="T1296" s="49" t="str">
        <f t="shared" si="80"/>
        <v>[W324C.0]</v>
      </c>
      <c r="U1296" s="12" t="str">
        <f t="shared" si="81"/>
        <v xml:space="preserve"> 용접#4 GUN RH 상승/하강 센서이상 (X590, X591)</v>
      </c>
      <c r="V1296" s="49" t="str">
        <f t="shared" si="82"/>
        <v>[W324C.0] 용접#4 GUN RH 상승/하강 센서이상 (X590, X591)</v>
      </c>
    </row>
    <row r="1297" spans="1:22" s="49" customFormat="1" ht="14.15" customHeight="1">
      <c r="A1297" s="43" t="s">
        <v>6675</v>
      </c>
      <c r="B1297" s="44" t="s">
        <v>6635</v>
      </c>
      <c r="C1297" s="50"/>
      <c r="D1297" s="10" t="s">
        <v>29</v>
      </c>
      <c r="E1297" s="11"/>
      <c r="F1297" s="11" t="s">
        <v>18</v>
      </c>
      <c r="G1297" s="13"/>
      <c r="H1297" s="45" t="s">
        <v>16</v>
      </c>
      <c r="I1297" s="47"/>
      <c r="J1297" s="12" t="s">
        <v>6452</v>
      </c>
      <c r="K1297" s="13" t="s">
        <v>8068</v>
      </c>
      <c r="L1297" s="99" t="str">
        <f t="shared" ref="L1297:L1360" si="83">"W"&amp;DEC2HEX(12800 + INT((ROW()-80)/16)) &amp; "." &amp; IF(MOD(ROW()-80,16)&lt;10,MOD(ROW()-80,16),CHAR(MOD(ROW()-80,16)+55))</f>
        <v>W324C.1</v>
      </c>
      <c r="M1297" s="13" t="s">
        <v>17</v>
      </c>
      <c r="N1297" s="13"/>
      <c r="O1297" s="13"/>
      <c r="P1297" s="47"/>
      <c r="Q1297" s="45" t="s">
        <v>142</v>
      </c>
      <c r="R1297" s="45" t="s">
        <v>5596</v>
      </c>
      <c r="S1297" s="48"/>
      <c r="T1297" s="49" t="str">
        <f t="shared" ref="T1297:T1360" si="84">"["&amp;L1297&amp;"]"</f>
        <v>[W324C.1]</v>
      </c>
      <c r="U1297" s="12" t="str">
        <f t="shared" ref="U1297:U1311" si="85">RIGHT(J1297,LEN(J1297)-7)</f>
        <v xml:space="preserve"> 용접#4 GUN RH Y축 전진 시간초과 (X593, Y5A8)</v>
      </c>
      <c r="V1297" s="49" t="str">
        <f t="shared" ref="V1297:V1360" si="86">T1297&amp;U1297</f>
        <v>[W324C.1] 용접#4 GUN RH Y축 전진 시간초과 (X593, Y5A8)</v>
      </c>
    </row>
    <row r="1298" spans="1:22" s="49" customFormat="1" ht="14.15" customHeight="1">
      <c r="A1298" s="43" t="s">
        <v>6675</v>
      </c>
      <c r="B1298" s="44" t="s">
        <v>6635</v>
      </c>
      <c r="C1298" s="50"/>
      <c r="D1298" s="10" t="s">
        <v>29</v>
      </c>
      <c r="E1298" s="11"/>
      <c r="F1298" s="11" t="s">
        <v>18</v>
      </c>
      <c r="G1298" s="13"/>
      <c r="H1298" s="45" t="s">
        <v>16</v>
      </c>
      <c r="I1298" s="47"/>
      <c r="J1298" s="12" t="s">
        <v>6453</v>
      </c>
      <c r="K1298" s="13" t="s">
        <v>8069</v>
      </c>
      <c r="L1298" s="99" t="str">
        <f t="shared" si="83"/>
        <v>W324C.2</v>
      </c>
      <c r="M1298" s="13" t="s">
        <v>17</v>
      </c>
      <c r="N1298" s="13"/>
      <c r="O1298" s="13"/>
      <c r="P1298" s="47"/>
      <c r="Q1298" s="45" t="s">
        <v>142</v>
      </c>
      <c r="R1298" s="45" t="s">
        <v>5596</v>
      </c>
      <c r="S1298" s="48"/>
      <c r="T1298" s="49" t="str">
        <f t="shared" si="84"/>
        <v>[W324C.2]</v>
      </c>
      <c r="U1298" s="12" t="str">
        <f t="shared" si="85"/>
        <v xml:space="preserve"> 용접#4 GUN RH Y축 후진 시간초과 (X592, Y5A9)</v>
      </c>
      <c r="V1298" s="49" t="str">
        <f t="shared" si="86"/>
        <v>[W324C.2] 용접#4 GUN RH Y축 후진 시간초과 (X592, Y5A9)</v>
      </c>
    </row>
    <row r="1299" spans="1:22" s="49" customFormat="1" ht="14.15" customHeight="1">
      <c r="A1299" s="43" t="s">
        <v>6675</v>
      </c>
      <c r="B1299" s="44" t="s">
        <v>6635</v>
      </c>
      <c r="C1299" s="50"/>
      <c r="D1299" s="10" t="s">
        <v>29</v>
      </c>
      <c r="E1299" s="11"/>
      <c r="F1299" s="11" t="s">
        <v>18</v>
      </c>
      <c r="G1299" s="13"/>
      <c r="H1299" s="45" t="s">
        <v>16</v>
      </c>
      <c r="I1299" s="47"/>
      <c r="J1299" s="12" t="s">
        <v>6454</v>
      </c>
      <c r="K1299" s="13" t="s">
        <v>8070</v>
      </c>
      <c r="L1299" s="99" t="str">
        <f t="shared" si="83"/>
        <v>W324C.3</v>
      </c>
      <c r="M1299" s="13" t="s">
        <v>17</v>
      </c>
      <c r="N1299" s="13"/>
      <c r="O1299" s="13"/>
      <c r="P1299" s="47"/>
      <c r="Q1299" s="45" t="s">
        <v>142</v>
      </c>
      <c r="R1299" s="45" t="s">
        <v>5596</v>
      </c>
      <c r="S1299" s="48"/>
      <c r="T1299" s="49" t="str">
        <f t="shared" si="84"/>
        <v>[W324C.3]</v>
      </c>
      <c r="U1299" s="12" t="str">
        <f t="shared" si="85"/>
        <v xml:space="preserve"> 용접#4 GUN RH Y축 전진/후진 센서이상 (X592, X593)</v>
      </c>
      <c r="V1299" s="49" t="str">
        <f t="shared" si="86"/>
        <v>[W324C.3] 용접#4 GUN RH Y축 전진/후진 센서이상 (X592, X593)</v>
      </c>
    </row>
    <row r="1300" spans="1:22" s="49" customFormat="1" ht="14.15" customHeight="1">
      <c r="A1300" s="43" t="s">
        <v>6675</v>
      </c>
      <c r="B1300" s="44" t="s">
        <v>6635</v>
      </c>
      <c r="C1300" s="50"/>
      <c r="D1300" s="10" t="s">
        <v>29</v>
      </c>
      <c r="E1300" s="11"/>
      <c r="F1300" s="11" t="s">
        <v>18</v>
      </c>
      <c r="G1300" s="13"/>
      <c r="H1300" s="45" t="s">
        <v>16</v>
      </c>
      <c r="I1300" s="47"/>
      <c r="J1300" s="12" t="s">
        <v>6455</v>
      </c>
      <c r="K1300" s="13" t="s">
        <v>8071</v>
      </c>
      <c r="L1300" s="99" t="str">
        <f t="shared" si="83"/>
        <v>W324C.4</v>
      </c>
      <c r="M1300" s="13" t="s">
        <v>17</v>
      </c>
      <c r="N1300" s="13"/>
      <c r="O1300" s="13"/>
      <c r="P1300" s="47"/>
      <c r="Q1300" s="45" t="s">
        <v>142</v>
      </c>
      <c r="R1300" s="45" t="s">
        <v>5596</v>
      </c>
      <c r="S1300" s="48"/>
      <c r="T1300" s="49" t="str">
        <f t="shared" si="84"/>
        <v>[W324C.4]</v>
      </c>
      <c r="U1300" s="12" t="str">
        <f t="shared" si="85"/>
        <v xml:space="preserve"> 용접#4 GUN LH 하강 시간초과 (X594, Y5AC)</v>
      </c>
      <c r="V1300" s="49" t="str">
        <f t="shared" si="86"/>
        <v>[W324C.4] 용접#4 GUN LH 하강 시간초과 (X594, Y5AC)</v>
      </c>
    </row>
    <row r="1301" spans="1:22" s="49" customFormat="1" ht="14.15" customHeight="1">
      <c r="A1301" s="43" t="s">
        <v>6675</v>
      </c>
      <c r="B1301" s="44" t="s">
        <v>6635</v>
      </c>
      <c r="C1301" s="50"/>
      <c r="D1301" s="10" t="s">
        <v>29</v>
      </c>
      <c r="E1301" s="11"/>
      <c r="F1301" s="11" t="s">
        <v>18</v>
      </c>
      <c r="G1301" s="13"/>
      <c r="H1301" s="45" t="s">
        <v>16</v>
      </c>
      <c r="I1301" s="47"/>
      <c r="J1301" s="12" t="s">
        <v>6456</v>
      </c>
      <c r="K1301" s="13" t="s">
        <v>8072</v>
      </c>
      <c r="L1301" s="99" t="str">
        <f t="shared" si="83"/>
        <v>W324C.5</v>
      </c>
      <c r="M1301" s="13" t="s">
        <v>17</v>
      </c>
      <c r="N1301" s="13"/>
      <c r="O1301" s="13"/>
      <c r="P1301" s="47"/>
      <c r="Q1301" s="45" t="s">
        <v>142</v>
      </c>
      <c r="R1301" s="45" t="s">
        <v>5596</v>
      </c>
      <c r="S1301" s="48"/>
      <c r="T1301" s="49" t="str">
        <f t="shared" si="84"/>
        <v>[W324C.5]</v>
      </c>
      <c r="U1301" s="12" t="str">
        <f t="shared" si="85"/>
        <v xml:space="preserve"> 용접#4 GUN LH 상승 시간초과 (X595, Y5AD)</v>
      </c>
      <c r="V1301" s="49" t="str">
        <f t="shared" si="86"/>
        <v>[W324C.5] 용접#4 GUN LH 상승 시간초과 (X595, Y5AD)</v>
      </c>
    </row>
    <row r="1302" spans="1:22" s="49" customFormat="1" ht="14.15" customHeight="1">
      <c r="A1302" s="43" t="s">
        <v>6675</v>
      </c>
      <c r="B1302" s="44" t="s">
        <v>6635</v>
      </c>
      <c r="C1302" s="50"/>
      <c r="D1302" s="10" t="s">
        <v>29</v>
      </c>
      <c r="E1302" s="11"/>
      <c r="F1302" s="11" t="s">
        <v>18</v>
      </c>
      <c r="G1302" s="13"/>
      <c r="H1302" s="45" t="s">
        <v>16</v>
      </c>
      <c r="I1302" s="47"/>
      <c r="J1302" s="12" t="s">
        <v>6457</v>
      </c>
      <c r="K1302" s="13" t="s">
        <v>8073</v>
      </c>
      <c r="L1302" s="99" t="str">
        <f t="shared" si="83"/>
        <v>W324C.6</v>
      </c>
      <c r="M1302" s="13" t="s">
        <v>17</v>
      </c>
      <c r="N1302" s="13"/>
      <c r="O1302" s="13"/>
      <c r="P1302" s="47"/>
      <c r="Q1302" s="45" t="s">
        <v>142</v>
      </c>
      <c r="R1302" s="45" t="s">
        <v>5596</v>
      </c>
      <c r="S1302" s="48"/>
      <c r="T1302" s="49" t="str">
        <f t="shared" si="84"/>
        <v>[W324C.6]</v>
      </c>
      <c r="U1302" s="12" t="str">
        <f t="shared" si="85"/>
        <v xml:space="preserve"> 용접#4 GUN LH 상승/하강 센서이상 (X594, X595)</v>
      </c>
      <c r="V1302" s="49" t="str">
        <f t="shared" si="86"/>
        <v>[W324C.6] 용접#4 GUN LH 상승/하강 센서이상 (X594, X595)</v>
      </c>
    </row>
    <row r="1303" spans="1:22" s="49" customFormat="1" ht="14.15" customHeight="1">
      <c r="A1303" s="43" t="s">
        <v>6675</v>
      </c>
      <c r="B1303" s="44" t="s">
        <v>6635</v>
      </c>
      <c r="C1303" s="50"/>
      <c r="D1303" s="10" t="s">
        <v>29</v>
      </c>
      <c r="E1303" s="11"/>
      <c r="F1303" s="11" t="s">
        <v>18</v>
      </c>
      <c r="G1303" s="13"/>
      <c r="H1303" s="45" t="s">
        <v>16</v>
      </c>
      <c r="I1303" s="47"/>
      <c r="J1303" s="12" t="s">
        <v>6458</v>
      </c>
      <c r="K1303" s="13" t="s">
        <v>8074</v>
      </c>
      <c r="L1303" s="99" t="str">
        <f t="shared" si="83"/>
        <v>W324C.7</v>
      </c>
      <c r="M1303" s="13" t="s">
        <v>17</v>
      </c>
      <c r="N1303" s="13"/>
      <c r="O1303" s="13"/>
      <c r="P1303" s="47"/>
      <c r="Q1303" s="45" t="s">
        <v>142</v>
      </c>
      <c r="R1303" s="45" t="s">
        <v>5596</v>
      </c>
      <c r="S1303" s="48"/>
      <c r="T1303" s="49" t="str">
        <f t="shared" si="84"/>
        <v>[W324C.7]</v>
      </c>
      <c r="U1303" s="12" t="str">
        <f t="shared" si="85"/>
        <v xml:space="preserve"> 용접#4 GUN LH Y축 전진 시간초과 (X597, Y5AE)</v>
      </c>
      <c r="V1303" s="49" t="str">
        <f t="shared" si="86"/>
        <v>[W324C.7] 용접#4 GUN LH Y축 전진 시간초과 (X597, Y5AE)</v>
      </c>
    </row>
    <row r="1304" spans="1:22" s="49" customFormat="1" ht="14.15" customHeight="1">
      <c r="A1304" s="43" t="s">
        <v>6675</v>
      </c>
      <c r="B1304" s="44" t="s">
        <v>6635</v>
      </c>
      <c r="C1304" s="50"/>
      <c r="D1304" s="10" t="s">
        <v>29</v>
      </c>
      <c r="E1304" s="11"/>
      <c r="F1304" s="11" t="s">
        <v>18</v>
      </c>
      <c r="G1304" s="13"/>
      <c r="H1304" s="45" t="s">
        <v>16</v>
      </c>
      <c r="I1304" s="47"/>
      <c r="J1304" s="12" t="s">
        <v>6459</v>
      </c>
      <c r="K1304" s="13" t="s">
        <v>8075</v>
      </c>
      <c r="L1304" s="99" t="str">
        <f t="shared" si="83"/>
        <v>W324C.8</v>
      </c>
      <c r="M1304" s="13" t="s">
        <v>17</v>
      </c>
      <c r="N1304" s="13"/>
      <c r="O1304" s="13"/>
      <c r="P1304" s="47"/>
      <c r="Q1304" s="45" t="s">
        <v>142</v>
      </c>
      <c r="R1304" s="45" t="s">
        <v>5596</v>
      </c>
      <c r="S1304" s="48"/>
      <c r="T1304" s="49" t="str">
        <f t="shared" si="84"/>
        <v>[W324C.8]</v>
      </c>
      <c r="U1304" s="12" t="str">
        <f t="shared" si="85"/>
        <v xml:space="preserve"> 용접#4 GUN LH Y축 후진 시간초과 (X596, Y5AF)</v>
      </c>
      <c r="V1304" s="49" t="str">
        <f t="shared" si="86"/>
        <v>[W324C.8] 용접#4 GUN LH Y축 후진 시간초과 (X596, Y5AF)</v>
      </c>
    </row>
    <row r="1305" spans="1:22" s="49" customFormat="1" ht="14.15" customHeight="1">
      <c r="A1305" s="43" t="s">
        <v>6675</v>
      </c>
      <c r="B1305" s="44" t="s">
        <v>6635</v>
      </c>
      <c r="C1305" s="50"/>
      <c r="D1305" s="10" t="s">
        <v>29</v>
      </c>
      <c r="E1305" s="11"/>
      <c r="F1305" s="11" t="s">
        <v>18</v>
      </c>
      <c r="G1305" s="13"/>
      <c r="H1305" s="45" t="s">
        <v>16</v>
      </c>
      <c r="I1305" s="47"/>
      <c r="J1305" s="12" t="s">
        <v>6460</v>
      </c>
      <c r="K1305" s="13" t="s">
        <v>8076</v>
      </c>
      <c r="L1305" s="99" t="str">
        <f t="shared" si="83"/>
        <v>W324C.9</v>
      </c>
      <c r="M1305" s="13" t="s">
        <v>17</v>
      </c>
      <c r="N1305" s="13"/>
      <c r="O1305" s="13"/>
      <c r="P1305" s="47"/>
      <c r="Q1305" s="45" t="s">
        <v>142</v>
      </c>
      <c r="R1305" s="45" t="s">
        <v>5596</v>
      </c>
      <c r="S1305" s="48"/>
      <c r="T1305" s="49" t="str">
        <f t="shared" si="84"/>
        <v>[W324C.9]</v>
      </c>
      <c r="U1305" s="12" t="str">
        <f t="shared" si="85"/>
        <v xml:space="preserve"> 용접#4 GUN LH Y축 전진/후진 센서이상 (X596, X597)</v>
      </c>
      <c r="V1305" s="49" t="str">
        <f t="shared" si="86"/>
        <v>[W324C.9] 용접#4 GUN LH Y축 전진/후진 센서이상 (X596, X597)</v>
      </c>
    </row>
    <row r="1306" spans="1:22" s="49" customFormat="1" ht="14.15" customHeight="1">
      <c r="A1306" s="43"/>
      <c r="B1306" s="44" t="s">
        <v>6635</v>
      </c>
      <c r="C1306" s="50"/>
      <c r="D1306" s="10" t="s">
        <v>29</v>
      </c>
      <c r="E1306" s="11"/>
      <c r="F1306" s="11" t="s">
        <v>18</v>
      </c>
      <c r="G1306" s="13"/>
      <c r="H1306" s="45" t="s">
        <v>16</v>
      </c>
      <c r="I1306" s="47"/>
      <c r="J1306" s="12" t="s">
        <v>6461</v>
      </c>
      <c r="K1306" s="13" t="s">
        <v>8077</v>
      </c>
      <c r="L1306" s="99" t="str">
        <f t="shared" si="83"/>
        <v>W324C.A</v>
      </c>
      <c r="M1306" s="13"/>
      <c r="N1306" s="13"/>
      <c r="O1306" s="13"/>
      <c r="P1306" s="47"/>
      <c r="Q1306" s="45"/>
      <c r="R1306" s="45"/>
      <c r="S1306" s="48"/>
      <c r="T1306" s="49" t="str">
        <f t="shared" si="84"/>
        <v>[W324C.A]</v>
      </c>
      <c r="U1306" s="12" t="str">
        <f t="shared" si="85"/>
        <v xml:space="preserve"> </v>
      </c>
      <c r="V1306" s="49" t="str">
        <f t="shared" si="86"/>
        <v xml:space="preserve">[W324C.A] </v>
      </c>
    </row>
    <row r="1307" spans="1:22" s="49" customFormat="1" ht="14.15" customHeight="1">
      <c r="A1307" s="43"/>
      <c r="B1307" s="44" t="s">
        <v>6635</v>
      </c>
      <c r="C1307" s="50"/>
      <c r="D1307" s="10" t="s">
        <v>29</v>
      </c>
      <c r="E1307" s="11"/>
      <c r="F1307" s="11" t="s">
        <v>18</v>
      </c>
      <c r="G1307" s="13"/>
      <c r="H1307" s="45" t="s">
        <v>16</v>
      </c>
      <c r="I1307" s="47"/>
      <c r="J1307" s="12" t="s">
        <v>6462</v>
      </c>
      <c r="K1307" s="13" t="s">
        <v>8078</v>
      </c>
      <c r="L1307" s="99" t="str">
        <f t="shared" si="83"/>
        <v>W324C.B</v>
      </c>
      <c r="M1307" s="13"/>
      <c r="N1307" s="13"/>
      <c r="O1307" s="13"/>
      <c r="P1307" s="47"/>
      <c r="Q1307" s="45"/>
      <c r="R1307" s="45"/>
      <c r="S1307" s="48"/>
      <c r="T1307" s="49" t="str">
        <f t="shared" si="84"/>
        <v>[W324C.B]</v>
      </c>
      <c r="U1307" s="12" t="str">
        <f t="shared" si="85"/>
        <v xml:space="preserve"> </v>
      </c>
      <c r="V1307" s="49" t="str">
        <f t="shared" si="86"/>
        <v xml:space="preserve">[W324C.B] </v>
      </c>
    </row>
    <row r="1308" spans="1:22" s="49" customFormat="1" ht="14.15" customHeight="1">
      <c r="A1308" s="43"/>
      <c r="B1308" s="44" t="s">
        <v>6635</v>
      </c>
      <c r="C1308" s="50"/>
      <c r="D1308" s="10" t="s">
        <v>29</v>
      </c>
      <c r="E1308" s="11"/>
      <c r="F1308" s="11" t="s">
        <v>18</v>
      </c>
      <c r="G1308" s="13"/>
      <c r="H1308" s="45" t="s">
        <v>16</v>
      </c>
      <c r="I1308" s="47"/>
      <c r="J1308" s="12" t="s">
        <v>997</v>
      </c>
      <c r="K1308" s="13" t="s">
        <v>8079</v>
      </c>
      <c r="L1308" s="99" t="str">
        <f t="shared" si="83"/>
        <v>W324C.C</v>
      </c>
      <c r="M1308" s="13"/>
      <c r="N1308" s="13"/>
      <c r="O1308" s="13"/>
      <c r="P1308" s="47"/>
      <c r="Q1308" s="45"/>
      <c r="R1308" s="45"/>
      <c r="S1308" s="48"/>
      <c r="T1308" s="49" t="str">
        <f t="shared" si="84"/>
        <v>[W324C.C]</v>
      </c>
      <c r="U1308" s="12" t="str">
        <f t="shared" si="85"/>
        <v xml:space="preserve"> </v>
      </c>
      <c r="V1308" s="49" t="str">
        <f t="shared" si="86"/>
        <v xml:space="preserve">[W324C.C] </v>
      </c>
    </row>
    <row r="1309" spans="1:22" s="49" customFormat="1" ht="14.15" customHeight="1">
      <c r="A1309" s="43"/>
      <c r="B1309" s="44" t="s">
        <v>6635</v>
      </c>
      <c r="C1309" s="50"/>
      <c r="D1309" s="10" t="s">
        <v>29</v>
      </c>
      <c r="E1309" s="11"/>
      <c r="F1309" s="11" t="s">
        <v>18</v>
      </c>
      <c r="G1309" s="13"/>
      <c r="H1309" s="45" t="s">
        <v>16</v>
      </c>
      <c r="I1309" s="47"/>
      <c r="J1309" s="12" t="s">
        <v>6463</v>
      </c>
      <c r="K1309" s="13" t="s">
        <v>8080</v>
      </c>
      <c r="L1309" s="99" t="str">
        <f t="shared" si="83"/>
        <v>W324C.D</v>
      </c>
      <c r="M1309" s="13"/>
      <c r="N1309" s="13"/>
      <c r="O1309" s="13"/>
      <c r="P1309" s="47"/>
      <c r="Q1309" s="45"/>
      <c r="R1309" s="45"/>
      <c r="S1309" s="48"/>
      <c r="T1309" s="49" t="str">
        <f t="shared" si="84"/>
        <v>[W324C.D]</v>
      </c>
      <c r="U1309" s="12" t="str">
        <f t="shared" si="85"/>
        <v xml:space="preserve"> </v>
      </c>
      <c r="V1309" s="49" t="str">
        <f t="shared" si="86"/>
        <v xml:space="preserve">[W324C.D] </v>
      </c>
    </row>
    <row r="1310" spans="1:22" s="49" customFormat="1" ht="14.15" customHeight="1">
      <c r="A1310" s="43"/>
      <c r="B1310" s="44" t="s">
        <v>6635</v>
      </c>
      <c r="C1310" s="50"/>
      <c r="D1310" s="10" t="s">
        <v>29</v>
      </c>
      <c r="E1310" s="11"/>
      <c r="F1310" s="11" t="s">
        <v>18</v>
      </c>
      <c r="G1310" s="13"/>
      <c r="H1310" s="45" t="s">
        <v>16</v>
      </c>
      <c r="I1310" s="47"/>
      <c r="J1310" s="12" t="s">
        <v>5342</v>
      </c>
      <c r="K1310" s="13" t="s">
        <v>8081</v>
      </c>
      <c r="L1310" s="99" t="str">
        <f t="shared" si="83"/>
        <v>W324C.E</v>
      </c>
      <c r="M1310" s="13"/>
      <c r="N1310" s="13"/>
      <c r="O1310" s="13"/>
      <c r="P1310" s="47"/>
      <c r="Q1310" s="45"/>
      <c r="R1310" s="45"/>
      <c r="S1310" s="48"/>
      <c r="T1310" s="49" t="str">
        <f t="shared" si="84"/>
        <v>[W324C.E]</v>
      </c>
      <c r="U1310" s="12" t="str">
        <f t="shared" si="85"/>
        <v xml:space="preserve"> </v>
      </c>
      <c r="V1310" s="49" t="str">
        <f t="shared" si="86"/>
        <v xml:space="preserve">[W324C.E] </v>
      </c>
    </row>
    <row r="1311" spans="1:22" s="49" customFormat="1" ht="14.15" customHeight="1">
      <c r="A1311" s="43"/>
      <c r="B1311" s="44" t="s">
        <v>6635</v>
      </c>
      <c r="C1311" s="50"/>
      <c r="D1311" s="10" t="s">
        <v>29</v>
      </c>
      <c r="E1311" s="11"/>
      <c r="F1311" s="11" t="s">
        <v>18</v>
      </c>
      <c r="G1311" s="13"/>
      <c r="H1311" s="45" t="s">
        <v>16</v>
      </c>
      <c r="I1311" s="47"/>
      <c r="J1311" s="12" t="s">
        <v>5343</v>
      </c>
      <c r="K1311" s="13" t="s">
        <v>8082</v>
      </c>
      <c r="L1311" s="99" t="str">
        <f t="shared" si="83"/>
        <v>W324C.F</v>
      </c>
      <c r="M1311" s="13"/>
      <c r="N1311" s="13"/>
      <c r="O1311" s="13"/>
      <c r="P1311" s="47"/>
      <c r="Q1311" s="45"/>
      <c r="R1311" s="45"/>
      <c r="S1311" s="48"/>
      <c r="T1311" s="49" t="str">
        <f t="shared" si="84"/>
        <v>[W324C.F]</v>
      </c>
      <c r="U1311" s="12" t="str">
        <f t="shared" si="85"/>
        <v xml:space="preserve"> </v>
      </c>
      <c r="V1311" s="49" t="str">
        <f t="shared" si="86"/>
        <v xml:space="preserve">[W324C.F] </v>
      </c>
    </row>
    <row r="1312" spans="1:22" s="49" customFormat="1" ht="14.15" customHeight="1">
      <c r="A1312" s="43"/>
      <c r="B1312" s="44" t="s">
        <v>6635</v>
      </c>
      <c r="C1312" s="50"/>
      <c r="D1312" s="10" t="s">
        <v>29</v>
      </c>
      <c r="E1312" s="11"/>
      <c r="F1312" s="11" t="s">
        <v>18</v>
      </c>
      <c r="G1312" s="13"/>
      <c r="H1312" s="45" t="s">
        <v>16</v>
      </c>
      <c r="I1312" s="47"/>
      <c r="J1312" s="12" t="s">
        <v>5344</v>
      </c>
      <c r="K1312" s="13" t="s">
        <v>8083</v>
      </c>
      <c r="L1312" s="99" t="str">
        <f t="shared" si="83"/>
        <v>W324D.0</v>
      </c>
      <c r="M1312" s="13"/>
      <c r="N1312" s="13"/>
      <c r="O1312" s="56"/>
      <c r="P1312" s="47"/>
      <c r="Q1312" s="45"/>
      <c r="R1312" s="45"/>
      <c r="S1312" s="48"/>
      <c r="T1312" s="49" t="str">
        <f t="shared" si="84"/>
        <v>[W324D.0]</v>
      </c>
      <c r="U1312" s="12" t="str">
        <f>RIGHT(J1312,LEN(J1312)-6)</f>
        <v xml:space="preserve">] </v>
      </c>
      <c r="V1312" s="49" t="str">
        <f t="shared" si="86"/>
        <v xml:space="preserve">[W324D.0]] </v>
      </c>
    </row>
    <row r="1313" spans="1:22" s="49" customFormat="1" ht="14.15" customHeight="1">
      <c r="A1313" s="43"/>
      <c r="B1313" s="44" t="s">
        <v>6635</v>
      </c>
      <c r="C1313" s="50"/>
      <c r="D1313" s="10" t="s">
        <v>29</v>
      </c>
      <c r="E1313" s="11"/>
      <c r="F1313" s="11" t="s">
        <v>18</v>
      </c>
      <c r="G1313" s="13"/>
      <c r="H1313" s="45" t="s">
        <v>16</v>
      </c>
      <c r="I1313" s="47"/>
      <c r="J1313" s="12" t="s">
        <v>5345</v>
      </c>
      <c r="K1313" s="13" t="s">
        <v>8084</v>
      </c>
      <c r="L1313" s="99" t="str">
        <f t="shared" si="83"/>
        <v>W324D.1</v>
      </c>
      <c r="M1313" s="13"/>
      <c r="N1313" s="13"/>
      <c r="O1313" s="56"/>
      <c r="P1313" s="47"/>
      <c r="Q1313" s="45"/>
      <c r="R1313" s="45"/>
      <c r="S1313" s="48"/>
      <c r="T1313" s="49" t="str">
        <f t="shared" si="84"/>
        <v>[W324D.1]</v>
      </c>
      <c r="U1313" s="12" t="str">
        <f t="shared" ref="U1313:U1376" si="87">RIGHT(J1313,LEN(J1313)-6)</f>
        <v xml:space="preserve">] </v>
      </c>
      <c r="V1313" s="49" t="str">
        <f t="shared" si="86"/>
        <v xml:space="preserve">[W324D.1]] </v>
      </c>
    </row>
    <row r="1314" spans="1:22" s="49" customFormat="1" ht="14.15" customHeight="1">
      <c r="A1314" s="43"/>
      <c r="B1314" s="44" t="s">
        <v>6635</v>
      </c>
      <c r="C1314" s="50"/>
      <c r="D1314" s="10" t="s">
        <v>29</v>
      </c>
      <c r="E1314" s="11"/>
      <c r="F1314" s="11" t="s">
        <v>18</v>
      </c>
      <c r="G1314" s="13"/>
      <c r="H1314" s="45" t="s">
        <v>16</v>
      </c>
      <c r="I1314" s="47"/>
      <c r="J1314" s="12" t="s">
        <v>998</v>
      </c>
      <c r="K1314" s="13" t="s">
        <v>8085</v>
      </c>
      <c r="L1314" s="99" t="str">
        <f t="shared" si="83"/>
        <v>W324D.2</v>
      </c>
      <c r="M1314" s="13"/>
      <c r="N1314" s="13"/>
      <c r="O1314" s="56"/>
      <c r="P1314" s="47"/>
      <c r="Q1314" s="45"/>
      <c r="R1314" s="45"/>
      <c r="S1314" s="48"/>
      <c r="T1314" s="49" t="str">
        <f t="shared" si="84"/>
        <v>[W324D.2]</v>
      </c>
      <c r="U1314" s="12" t="str">
        <f t="shared" si="87"/>
        <v xml:space="preserve">] </v>
      </c>
      <c r="V1314" s="49" t="str">
        <f t="shared" si="86"/>
        <v xml:space="preserve">[W324D.2]] </v>
      </c>
    </row>
    <row r="1315" spans="1:22" s="49" customFormat="1" ht="14.15" customHeight="1">
      <c r="A1315" s="43" t="s">
        <v>6675</v>
      </c>
      <c r="B1315" s="44" t="s">
        <v>6635</v>
      </c>
      <c r="C1315" s="50"/>
      <c r="D1315" s="10" t="s">
        <v>29</v>
      </c>
      <c r="E1315" s="11"/>
      <c r="F1315" s="11" t="s">
        <v>18</v>
      </c>
      <c r="G1315" s="13"/>
      <c r="H1315" s="45" t="s">
        <v>16</v>
      </c>
      <c r="I1315" s="47"/>
      <c r="J1315" s="12" t="s">
        <v>6464</v>
      </c>
      <c r="K1315" s="13" t="s">
        <v>8086</v>
      </c>
      <c r="L1315" s="99" t="str">
        <f t="shared" si="83"/>
        <v>W324D.3</v>
      </c>
      <c r="M1315" s="13" t="s">
        <v>17</v>
      </c>
      <c r="N1315" s="13"/>
      <c r="O1315" s="13"/>
      <c r="P1315" s="47"/>
      <c r="Q1315" s="45" t="s">
        <v>142</v>
      </c>
      <c r="R1315" s="45" t="s">
        <v>5596</v>
      </c>
      <c r="S1315" s="48"/>
      <c r="T1315" s="49" t="str">
        <f t="shared" si="84"/>
        <v>[W324D.3]</v>
      </c>
      <c r="U1315" s="12" t="str">
        <f t="shared" si="87"/>
        <v>] 용접#4 GUN RH 전진 시간초과 (X588, X58A, Y5BA)</v>
      </c>
      <c r="V1315" s="49" t="str">
        <f t="shared" si="86"/>
        <v>[W324D.3]] 용접#4 GUN RH 전진 시간초과 (X588, X58A, Y5BA)</v>
      </c>
    </row>
    <row r="1316" spans="1:22" s="49" customFormat="1" ht="14.15" customHeight="1">
      <c r="A1316" s="43" t="s">
        <v>6675</v>
      </c>
      <c r="B1316" s="44" t="s">
        <v>6635</v>
      </c>
      <c r="C1316" s="50"/>
      <c r="D1316" s="10" t="s">
        <v>29</v>
      </c>
      <c r="E1316" s="11"/>
      <c r="F1316" s="11" t="s">
        <v>18</v>
      </c>
      <c r="G1316" s="13"/>
      <c r="H1316" s="45" t="s">
        <v>16</v>
      </c>
      <c r="I1316" s="47"/>
      <c r="J1316" s="12" t="s">
        <v>6465</v>
      </c>
      <c r="K1316" s="13" t="s">
        <v>8087</v>
      </c>
      <c r="L1316" s="99" t="str">
        <f t="shared" si="83"/>
        <v>W324D.4</v>
      </c>
      <c r="M1316" s="13" t="s">
        <v>17</v>
      </c>
      <c r="N1316" s="13"/>
      <c r="O1316" s="13"/>
      <c r="P1316" s="47"/>
      <c r="Q1316" s="45" t="s">
        <v>142</v>
      </c>
      <c r="R1316" s="45" t="s">
        <v>5596</v>
      </c>
      <c r="S1316" s="48"/>
      <c r="T1316" s="49" t="str">
        <f t="shared" si="84"/>
        <v>[W324D.4]</v>
      </c>
      <c r="U1316" s="12" t="str">
        <f t="shared" si="87"/>
        <v>] 용접#4 GUN RH 후진 시간초과 (X589, X58B, Y5BB)</v>
      </c>
      <c r="V1316" s="49" t="str">
        <f t="shared" si="86"/>
        <v>[W324D.4]] 용접#4 GUN RH 후진 시간초과 (X589, X58B, Y5BB)</v>
      </c>
    </row>
    <row r="1317" spans="1:22" s="49" customFormat="1" ht="14.15" customHeight="1">
      <c r="A1317" s="43" t="s">
        <v>6675</v>
      </c>
      <c r="B1317" s="44" t="s">
        <v>6635</v>
      </c>
      <c r="C1317" s="50"/>
      <c r="D1317" s="10" t="s">
        <v>29</v>
      </c>
      <c r="E1317" s="11"/>
      <c r="F1317" s="11" t="s">
        <v>18</v>
      </c>
      <c r="G1317" s="13"/>
      <c r="H1317" s="45" t="s">
        <v>16</v>
      </c>
      <c r="I1317" s="47"/>
      <c r="J1317" s="12" t="s">
        <v>6466</v>
      </c>
      <c r="K1317" s="13" t="s">
        <v>8088</v>
      </c>
      <c r="L1317" s="99" t="str">
        <f t="shared" si="83"/>
        <v>W324D.5</v>
      </c>
      <c r="M1317" s="13" t="s">
        <v>17</v>
      </c>
      <c r="N1317" s="13"/>
      <c r="O1317" s="13"/>
      <c r="P1317" s="47"/>
      <c r="Q1317" s="45" t="s">
        <v>142</v>
      </c>
      <c r="R1317" s="45" t="s">
        <v>5596</v>
      </c>
      <c r="S1317" s="48"/>
      <c r="T1317" s="49" t="str">
        <f t="shared" si="84"/>
        <v>[W324D.5]</v>
      </c>
      <c r="U1317" s="12" t="str">
        <f t="shared" si="87"/>
        <v>] 용접#4 GUN RH 전진/후진 센서이상  (X588, X589, X58A, X58B)</v>
      </c>
      <c r="V1317" s="49" t="str">
        <f t="shared" si="86"/>
        <v>[W324D.5]] 용접#4 GUN RH 전진/후진 센서이상  (X588, X589, X58A, X58B)</v>
      </c>
    </row>
    <row r="1318" spans="1:22" s="49" customFormat="1" ht="14.15" customHeight="1">
      <c r="A1318" s="43" t="s">
        <v>6675</v>
      </c>
      <c r="B1318" s="44" t="s">
        <v>6635</v>
      </c>
      <c r="C1318" s="50"/>
      <c r="D1318" s="10" t="s">
        <v>29</v>
      </c>
      <c r="E1318" s="11"/>
      <c r="F1318" s="11" t="s">
        <v>18</v>
      </c>
      <c r="G1318" s="13"/>
      <c r="H1318" s="45" t="s">
        <v>16</v>
      </c>
      <c r="I1318" s="47"/>
      <c r="J1318" s="12" t="s">
        <v>6467</v>
      </c>
      <c r="K1318" s="13" t="s">
        <v>8089</v>
      </c>
      <c r="L1318" s="99" t="str">
        <f t="shared" si="83"/>
        <v>W324D.6</v>
      </c>
      <c r="M1318" s="13" t="s">
        <v>17</v>
      </c>
      <c r="N1318" s="13"/>
      <c r="O1318" s="13"/>
      <c r="P1318" s="47"/>
      <c r="Q1318" s="45" t="s">
        <v>142</v>
      </c>
      <c r="R1318" s="45" t="s">
        <v>5596</v>
      </c>
      <c r="S1318" s="48"/>
      <c r="T1318" s="49" t="str">
        <f t="shared" si="84"/>
        <v>[W324D.6]</v>
      </c>
      <c r="U1318" s="12" t="str">
        <f t="shared" si="87"/>
        <v>] 용접#4 GUN LH 전진 시간초과 (X58C, X58E, Y5BC)</v>
      </c>
      <c r="V1318" s="49" t="str">
        <f t="shared" si="86"/>
        <v>[W324D.6]] 용접#4 GUN LH 전진 시간초과 (X58C, X58E, Y5BC)</v>
      </c>
    </row>
    <row r="1319" spans="1:22" s="49" customFormat="1" ht="14.15" customHeight="1">
      <c r="A1319" s="43" t="s">
        <v>6675</v>
      </c>
      <c r="B1319" s="44" t="s">
        <v>6635</v>
      </c>
      <c r="C1319" s="50"/>
      <c r="D1319" s="10" t="s">
        <v>29</v>
      </c>
      <c r="E1319" s="11"/>
      <c r="F1319" s="11" t="s">
        <v>18</v>
      </c>
      <c r="G1319" s="13"/>
      <c r="H1319" s="45" t="s">
        <v>16</v>
      </c>
      <c r="I1319" s="47"/>
      <c r="J1319" s="12" t="s">
        <v>6468</v>
      </c>
      <c r="K1319" s="13" t="s">
        <v>8090</v>
      </c>
      <c r="L1319" s="99" t="str">
        <f t="shared" si="83"/>
        <v>W324D.7</v>
      </c>
      <c r="M1319" s="13" t="s">
        <v>17</v>
      </c>
      <c r="N1319" s="13"/>
      <c r="O1319" s="13"/>
      <c r="P1319" s="47"/>
      <c r="Q1319" s="45" t="s">
        <v>142</v>
      </c>
      <c r="R1319" s="45" t="s">
        <v>5596</v>
      </c>
      <c r="S1319" s="48"/>
      <c r="T1319" s="49" t="str">
        <f t="shared" si="84"/>
        <v>[W324D.7]</v>
      </c>
      <c r="U1319" s="12" t="str">
        <f t="shared" si="87"/>
        <v>] 용접#4 GUN LH 후진 시간초과 (X58D, X58F, Y5BD)</v>
      </c>
      <c r="V1319" s="49" t="str">
        <f t="shared" si="86"/>
        <v>[W324D.7]] 용접#4 GUN LH 후진 시간초과 (X58D, X58F, Y5BD)</v>
      </c>
    </row>
    <row r="1320" spans="1:22" s="49" customFormat="1" ht="14.15" customHeight="1">
      <c r="A1320" s="43" t="s">
        <v>6675</v>
      </c>
      <c r="B1320" s="44" t="s">
        <v>6635</v>
      </c>
      <c r="C1320" s="50"/>
      <c r="D1320" s="10" t="s">
        <v>29</v>
      </c>
      <c r="E1320" s="11"/>
      <c r="F1320" s="11" t="s">
        <v>18</v>
      </c>
      <c r="G1320" s="13"/>
      <c r="H1320" s="45" t="s">
        <v>16</v>
      </c>
      <c r="I1320" s="47"/>
      <c r="J1320" s="12" t="s">
        <v>6469</v>
      </c>
      <c r="K1320" s="13" t="s">
        <v>8091</v>
      </c>
      <c r="L1320" s="99" t="str">
        <f t="shared" si="83"/>
        <v>W324D.8</v>
      </c>
      <c r="M1320" s="13" t="s">
        <v>17</v>
      </c>
      <c r="N1320" s="13"/>
      <c r="O1320" s="13"/>
      <c r="P1320" s="47"/>
      <c r="Q1320" s="45" t="s">
        <v>142</v>
      </c>
      <c r="R1320" s="45" t="s">
        <v>5596</v>
      </c>
      <c r="S1320" s="48"/>
      <c r="T1320" s="49" t="str">
        <f t="shared" si="84"/>
        <v>[W324D.8]</v>
      </c>
      <c r="U1320" s="12" t="str">
        <f t="shared" si="87"/>
        <v>] 용접#4 GUN LH 전진/후진 센서이상  (X58C, X58D, X58E, X58F)</v>
      </c>
      <c r="V1320" s="49" t="str">
        <f t="shared" si="86"/>
        <v>[W324D.8]] 용접#4 GUN LH 전진/후진 센서이상  (X58C, X58D, X58E, X58F)</v>
      </c>
    </row>
    <row r="1321" spans="1:22" s="49" customFormat="1" ht="14.15" customHeight="1">
      <c r="A1321" s="43" t="s">
        <v>6675</v>
      </c>
      <c r="B1321" s="44" t="s">
        <v>6635</v>
      </c>
      <c r="C1321" s="50"/>
      <c r="D1321" s="10" t="s">
        <v>29</v>
      </c>
      <c r="E1321" s="11"/>
      <c r="F1321" s="11" t="s">
        <v>18</v>
      </c>
      <c r="G1321" s="13"/>
      <c r="H1321" s="45" t="s">
        <v>16</v>
      </c>
      <c r="I1321" s="47"/>
      <c r="J1321" s="12" t="s">
        <v>6470</v>
      </c>
      <c r="K1321" s="13" t="s">
        <v>8092</v>
      </c>
      <c r="L1321" s="99" t="str">
        <f t="shared" si="83"/>
        <v>W324D.9</v>
      </c>
      <c r="M1321" s="13" t="s">
        <v>17</v>
      </c>
      <c r="N1321" s="13"/>
      <c r="O1321" s="13"/>
      <c r="P1321" s="47"/>
      <c r="Q1321" s="45" t="s">
        <v>142</v>
      </c>
      <c r="R1321" s="45" t="s">
        <v>5596</v>
      </c>
      <c r="S1321" s="48"/>
      <c r="T1321" s="49" t="str">
        <f t="shared" si="84"/>
        <v>[W324D.9]</v>
      </c>
      <c r="U1321" s="12" t="str">
        <f t="shared" si="87"/>
        <v>] 용접#4 메인공압에러 (X56A)</v>
      </c>
      <c r="V1321" s="49" t="str">
        <f t="shared" si="86"/>
        <v>[W324D.9]] 용접#4 메인공압에러 (X56A)</v>
      </c>
    </row>
    <row r="1322" spans="1:22" s="49" customFormat="1" ht="14.15" customHeight="1">
      <c r="A1322" s="43"/>
      <c r="B1322" s="44" t="s">
        <v>6635</v>
      </c>
      <c r="C1322" s="50"/>
      <c r="D1322" s="10" t="s">
        <v>29</v>
      </c>
      <c r="E1322" s="11"/>
      <c r="F1322" s="11" t="s">
        <v>18</v>
      </c>
      <c r="G1322" s="13"/>
      <c r="H1322" s="45" t="s">
        <v>16</v>
      </c>
      <c r="I1322" s="46"/>
      <c r="J1322" s="12" t="s">
        <v>1005</v>
      </c>
      <c r="K1322" s="13" t="s">
        <v>8093</v>
      </c>
      <c r="L1322" s="99" t="str">
        <f t="shared" si="83"/>
        <v>W324D.A</v>
      </c>
      <c r="M1322" s="13"/>
      <c r="N1322" s="13"/>
      <c r="O1322" s="57"/>
      <c r="P1322" s="47"/>
      <c r="Q1322" s="45"/>
      <c r="R1322" s="45"/>
      <c r="S1322" s="48"/>
      <c r="T1322" s="49" t="str">
        <f t="shared" si="84"/>
        <v>[W324D.A]</v>
      </c>
      <c r="U1322" s="12" t="str">
        <f t="shared" si="87"/>
        <v xml:space="preserve">] </v>
      </c>
      <c r="V1322" s="49" t="str">
        <f t="shared" si="86"/>
        <v xml:space="preserve">[W324D.A]] </v>
      </c>
    </row>
    <row r="1323" spans="1:22" s="49" customFormat="1" ht="14.15" customHeight="1">
      <c r="A1323" s="43"/>
      <c r="B1323" s="44" t="s">
        <v>6635</v>
      </c>
      <c r="C1323" s="50"/>
      <c r="D1323" s="10" t="s">
        <v>29</v>
      </c>
      <c r="E1323" s="11"/>
      <c r="F1323" s="11" t="s">
        <v>18</v>
      </c>
      <c r="G1323" s="13"/>
      <c r="H1323" s="45" t="s">
        <v>16</v>
      </c>
      <c r="I1323" s="47"/>
      <c r="J1323" s="12" t="s">
        <v>1006</v>
      </c>
      <c r="K1323" s="13" t="s">
        <v>8094</v>
      </c>
      <c r="L1323" s="99" t="str">
        <f t="shared" si="83"/>
        <v>W324D.B</v>
      </c>
      <c r="M1323" s="13"/>
      <c r="N1323" s="13"/>
      <c r="O1323" s="57"/>
      <c r="P1323" s="47"/>
      <c r="Q1323" s="45"/>
      <c r="R1323" s="45"/>
      <c r="S1323" s="48"/>
      <c r="T1323" s="49" t="str">
        <f t="shared" si="84"/>
        <v>[W324D.B]</v>
      </c>
      <c r="U1323" s="12" t="str">
        <f t="shared" si="87"/>
        <v xml:space="preserve">] </v>
      </c>
      <c r="V1323" s="49" t="str">
        <f t="shared" si="86"/>
        <v xml:space="preserve">[W324D.B]] </v>
      </c>
    </row>
    <row r="1324" spans="1:22" s="49" customFormat="1" ht="14.15" customHeight="1">
      <c r="A1324" s="43"/>
      <c r="B1324" s="44" t="s">
        <v>6635</v>
      </c>
      <c r="C1324" s="50"/>
      <c r="D1324" s="10" t="s">
        <v>29</v>
      </c>
      <c r="E1324" s="11"/>
      <c r="F1324" s="11" t="s">
        <v>18</v>
      </c>
      <c r="G1324" s="13"/>
      <c r="H1324" s="45" t="s">
        <v>16</v>
      </c>
      <c r="I1324" s="46"/>
      <c r="J1324" s="12" t="s">
        <v>1007</v>
      </c>
      <c r="K1324" s="13" t="s">
        <v>8095</v>
      </c>
      <c r="L1324" s="99" t="str">
        <f t="shared" si="83"/>
        <v>W324D.C</v>
      </c>
      <c r="M1324" s="13"/>
      <c r="N1324" s="13"/>
      <c r="O1324" s="57"/>
      <c r="P1324" s="47"/>
      <c r="Q1324" s="45"/>
      <c r="R1324" s="45"/>
      <c r="S1324" s="48"/>
      <c r="T1324" s="49" t="str">
        <f t="shared" si="84"/>
        <v>[W324D.C]</v>
      </c>
      <c r="U1324" s="12" t="str">
        <f t="shared" si="87"/>
        <v xml:space="preserve">] </v>
      </c>
      <c r="V1324" s="49" t="str">
        <f t="shared" si="86"/>
        <v xml:space="preserve">[W324D.C]] </v>
      </c>
    </row>
    <row r="1325" spans="1:22" s="49" customFormat="1" ht="14.15" customHeight="1">
      <c r="A1325" s="43"/>
      <c r="B1325" s="44" t="s">
        <v>6635</v>
      </c>
      <c r="C1325" s="50"/>
      <c r="D1325" s="10" t="s">
        <v>29</v>
      </c>
      <c r="E1325" s="11"/>
      <c r="F1325" s="11" t="s">
        <v>18</v>
      </c>
      <c r="G1325" s="13"/>
      <c r="H1325" s="45" t="s">
        <v>16</v>
      </c>
      <c r="I1325" s="47"/>
      <c r="J1325" s="12" t="s">
        <v>1008</v>
      </c>
      <c r="K1325" s="13" t="s">
        <v>8096</v>
      </c>
      <c r="L1325" s="99" t="str">
        <f t="shared" si="83"/>
        <v>W324D.D</v>
      </c>
      <c r="M1325" s="13"/>
      <c r="N1325" s="13"/>
      <c r="O1325" s="13"/>
      <c r="P1325" s="47"/>
      <c r="Q1325" s="45"/>
      <c r="R1325" s="45"/>
      <c r="S1325" s="48"/>
      <c r="U1325" s="12"/>
    </row>
    <row r="1326" spans="1:22" s="49" customFormat="1" ht="14.15" customHeight="1">
      <c r="A1326" s="43"/>
      <c r="B1326" s="44" t="s">
        <v>6635</v>
      </c>
      <c r="C1326" s="50"/>
      <c r="D1326" s="10" t="s">
        <v>29</v>
      </c>
      <c r="E1326" s="11"/>
      <c r="F1326" s="11" t="s">
        <v>18</v>
      </c>
      <c r="G1326" s="13"/>
      <c r="H1326" s="45" t="s">
        <v>16</v>
      </c>
      <c r="I1326" s="47"/>
      <c r="J1326" s="12" t="s">
        <v>1009</v>
      </c>
      <c r="K1326" s="13" t="s">
        <v>8097</v>
      </c>
      <c r="L1326" s="99" t="str">
        <f t="shared" si="83"/>
        <v>W324D.E</v>
      </c>
      <c r="M1326" s="13"/>
      <c r="N1326" s="13"/>
      <c r="O1326" s="13"/>
      <c r="P1326" s="47"/>
      <c r="Q1326" s="45"/>
      <c r="R1326" s="45"/>
      <c r="S1326" s="48"/>
      <c r="U1326" s="12"/>
    </row>
    <row r="1327" spans="1:22" s="49" customFormat="1" ht="14.15" customHeight="1">
      <c r="A1327" s="43" t="s">
        <v>6675</v>
      </c>
      <c r="B1327" s="44" t="s">
        <v>6635</v>
      </c>
      <c r="C1327" s="50"/>
      <c r="D1327" s="10" t="s">
        <v>29</v>
      </c>
      <c r="E1327" s="11"/>
      <c r="F1327" s="11" t="s">
        <v>18</v>
      </c>
      <c r="G1327" s="13"/>
      <c r="H1327" s="45" t="s">
        <v>16</v>
      </c>
      <c r="I1327" s="47"/>
      <c r="J1327" s="12" t="s">
        <v>6471</v>
      </c>
      <c r="K1327" s="13" t="s">
        <v>8098</v>
      </c>
      <c r="L1327" s="99" t="str">
        <f t="shared" si="83"/>
        <v>W324D.F</v>
      </c>
      <c r="M1327" s="13" t="s">
        <v>17</v>
      </c>
      <c r="N1327" s="13"/>
      <c r="O1327" s="13"/>
      <c r="P1327" s="47"/>
      <c r="Q1327" s="45" t="s">
        <v>142</v>
      </c>
      <c r="R1327" s="45" t="s">
        <v>5596</v>
      </c>
      <c r="S1327" s="48"/>
      <c r="U1327" s="12"/>
    </row>
    <row r="1328" spans="1:22" s="49" customFormat="1" ht="14.15" customHeight="1">
      <c r="A1328" s="43" t="s">
        <v>6675</v>
      </c>
      <c r="B1328" s="44" t="s">
        <v>6635</v>
      </c>
      <c r="C1328" s="50"/>
      <c r="D1328" s="10" t="s">
        <v>29</v>
      </c>
      <c r="E1328" s="11"/>
      <c r="F1328" s="11" t="s">
        <v>18</v>
      </c>
      <c r="G1328" s="13"/>
      <c r="H1328" s="45" t="s">
        <v>16</v>
      </c>
      <c r="I1328" s="47"/>
      <c r="J1328" s="12" t="s">
        <v>6472</v>
      </c>
      <c r="K1328" s="13" t="s">
        <v>8099</v>
      </c>
      <c r="L1328" s="99" t="str">
        <f t="shared" si="83"/>
        <v>W324E.0</v>
      </c>
      <c r="M1328" s="13" t="s">
        <v>17</v>
      </c>
      <c r="N1328" s="13"/>
      <c r="O1328" s="13"/>
      <c r="P1328" s="47"/>
      <c r="Q1328" s="45" t="s">
        <v>142</v>
      </c>
      <c r="R1328" s="45" t="s">
        <v>5596</v>
      </c>
      <c r="S1328" s="48"/>
      <c r="U1328" s="12"/>
    </row>
    <row r="1329" spans="1:22" s="49" customFormat="1" ht="14.15" customHeight="1">
      <c r="A1329" s="43" t="s">
        <v>6675</v>
      </c>
      <c r="B1329" s="44" t="s">
        <v>6635</v>
      </c>
      <c r="C1329" s="50"/>
      <c r="D1329" s="10" t="s">
        <v>29</v>
      </c>
      <c r="E1329" s="11"/>
      <c r="F1329" s="11" t="s">
        <v>18</v>
      </c>
      <c r="G1329" s="13"/>
      <c r="H1329" s="45" t="s">
        <v>16</v>
      </c>
      <c r="I1329" s="47"/>
      <c r="J1329" s="12" t="s">
        <v>6473</v>
      </c>
      <c r="K1329" s="13" t="s">
        <v>8100</v>
      </c>
      <c r="L1329" s="99" t="str">
        <f t="shared" si="83"/>
        <v>W324E.1</v>
      </c>
      <c r="M1329" s="13" t="s">
        <v>17</v>
      </c>
      <c r="N1329" s="13"/>
      <c r="O1329" s="13"/>
      <c r="P1329" s="47"/>
      <c r="Q1329" s="45" t="s">
        <v>142</v>
      </c>
      <c r="R1329" s="45" t="s">
        <v>5596</v>
      </c>
      <c r="S1329" s="48"/>
      <c r="U1329" s="12"/>
    </row>
    <row r="1330" spans="1:22" s="49" customFormat="1" ht="14.15" customHeight="1">
      <c r="A1330" s="43" t="s">
        <v>6675</v>
      </c>
      <c r="B1330" s="44" t="s">
        <v>6635</v>
      </c>
      <c r="C1330" s="50"/>
      <c r="D1330" s="10" t="s">
        <v>29</v>
      </c>
      <c r="E1330" s="11"/>
      <c r="F1330" s="11" t="s">
        <v>18</v>
      </c>
      <c r="G1330" s="13"/>
      <c r="H1330" s="45" t="s">
        <v>16</v>
      </c>
      <c r="I1330" s="47"/>
      <c r="J1330" s="12" t="s">
        <v>6474</v>
      </c>
      <c r="K1330" s="13" t="s">
        <v>8101</v>
      </c>
      <c r="L1330" s="99" t="str">
        <f t="shared" si="83"/>
        <v>W324E.2</v>
      </c>
      <c r="M1330" s="13" t="s">
        <v>17</v>
      </c>
      <c r="N1330" s="13"/>
      <c r="O1330" s="13"/>
      <c r="P1330" s="47"/>
      <c r="Q1330" s="45" t="s">
        <v>142</v>
      </c>
      <c r="R1330" s="45" t="s">
        <v>5596</v>
      </c>
      <c r="S1330" s="48"/>
      <c r="U1330" s="12"/>
    </row>
    <row r="1331" spans="1:22" s="49" customFormat="1" ht="14.15" customHeight="1">
      <c r="A1331" s="43" t="s">
        <v>6675</v>
      </c>
      <c r="B1331" s="44" t="s">
        <v>6635</v>
      </c>
      <c r="C1331" s="50"/>
      <c r="D1331" s="10" t="s">
        <v>29</v>
      </c>
      <c r="E1331" s="11"/>
      <c r="F1331" s="11" t="s">
        <v>18</v>
      </c>
      <c r="G1331" s="13"/>
      <c r="H1331" s="45" t="s">
        <v>16</v>
      </c>
      <c r="I1331" s="47"/>
      <c r="J1331" s="12" t="s">
        <v>6475</v>
      </c>
      <c r="K1331" s="13" t="s">
        <v>8102</v>
      </c>
      <c r="L1331" s="99" t="str">
        <f t="shared" si="83"/>
        <v>W324E.3</v>
      </c>
      <c r="M1331" s="13" t="s">
        <v>17</v>
      </c>
      <c r="N1331" s="13"/>
      <c r="O1331" s="13"/>
      <c r="P1331" s="47"/>
      <c r="Q1331" s="45" t="s">
        <v>142</v>
      </c>
      <c r="R1331" s="45" t="s">
        <v>5596</v>
      </c>
      <c r="S1331" s="48"/>
      <c r="U1331" s="12"/>
    </row>
    <row r="1332" spans="1:22" s="49" customFormat="1" ht="14.15" customHeight="1">
      <c r="A1332" s="43"/>
      <c r="B1332" s="44" t="s">
        <v>6635</v>
      </c>
      <c r="C1332" s="50"/>
      <c r="D1332" s="10" t="s">
        <v>29</v>
      </c>
      <c r="E1332" s="11"/>
      <c r="F1332" s="11" t="s">
        <v>18</v>
      </c>
      <c r="G1332" s="13"/>
      <c r="H1332" s="45" t="s">
        <v>16</v>
      </c>
      <c r="I1332" s="47"/>
      <c r="J1332" s="12" t="s">
        <v>1015</v>
      </c>
      <c r="K1332" s="13" t="s">
        <v>8103</v>
      </c>
      <c r="L1332" s="99" t="str">
        <f t="shared" si="83"/>
        <v>W324E.4</v>
      </c>
      <c r="M1332" s="13"/>
      <c r="N1332" s="13"/>
      <c r="O1332" s="13"/>
      <c r="P1332" s="47"/>
      <c r="Q1332" s="45"/>
      <c r="R1332" s="45"/>
      <c r="S1332" s="48"/>
      <c r="U1332" s="12"/>
    </row>
    <row r="1333" spans="1:22" s="49" customFormat="1" ht="14.15" customHeight="1">
      <c r="A1333" s="43"/>
      <c r="B1333" s="44" t="s">
        <v>6635</v>
      </c>
      <c r="C1333" s="50"/>
      <c r="D1333" s="10" t="s">
        <v>29</v>
      </c>
      <c r="E1333" s="11"/>
      <c r="F1333" s="11" t="s">
        <v>18</v>
      </c>
      <c r="G1333" s="13"/>
      <c r="H1333" s="45" t="s">
        <v>16</v>
      </c>
      <c r="I1333" s="47"/>
      <c r="J1333" s="12" t="s">
        <v>1016</v>
      </c>
      <c r="K1333" s="13" t="s">
        <v>8104</v>
      </c>
      <c r="L1333" s="99" t="str">
        <f t="shared" si="83"/>
        <v>W324E.5</v>
      </c>
      <c r="M1333" s="13"/>
      <c r="N1333" s="13"/>
      <c r="O1333" s="13"/>
      <c r="P1333" s="47"/>
      <c r="Q1333" s="45"/>
      <c r="R1333" s="45"/>
      <c r="S1333" s="48"/>
      <c r="U1333" s="12"/>
    </row>
    <row r="1334" spans="1:22" s="49" customFormat="1" ht="14.15" customHeight="1">
      <c r="A1334" s="43"/>
      <c r="B1334" s="44" t="s">
        <v>6635</v>
      </c>
      <c r="C1334" s="50"/>
      <c r="D1334" s="10" t="s">
        <v>29</v>
      </c>
      <c r="E1334" s="11"/>
      <c r="F1334" s="11" t="s">
        <v>18</v>
      </c>
      <c r="G1334" s="13"/>
      <c r="H1334" s="45" t="s">
        <v>16</v>
      </c>
      <c r="I1334" s="47"/>
      <c r="J1334" s="12" t="s">
        <v>1017</v>
      </c>
      <c r="K1334" s="13" t="s">
        <v>8105</v>
      </c>
      <c r="L1334" s="99" t="str">
        <f t="shared" si="83"/>
        <v>W324E.6</v>
      </c>
      <c r="M1334" s="13"/>
      <c r="N1334" s="13"/>
      <c r="O1334" s="57"/>
      <c r="P1334" s="47"/>
      <c r="Q1334" s="45"/>
      <c r="R1334" s="45"/>
      <c r="S1334" s="48"/>
      <c r="T1334" s="49" t="str">
        <f t="shared" si="84"/>
        <v>[W324E.6]</v>
      </c>
      <c r="U1334" s="12" t="str">
        <f t="shared" si="87"/>
        <v xml:space="preserve">] </v>
      </c>
      <c r="V1334" s="49" t="str">
        <f t="shared" si="86"/>
        <v xml:space="preserve">[W324E.6]] </v>
      </c>
    </row>
    <row r="1335" spans="1:22" s="49" customFormat="1" ht="14.15" customHeight="1">
      <c r="A1335" s="43" t="s">
        <v>6675</v>
      </c>
      <c r="B1335" s="44" t="s">
        <v>6635</v>
      </c>
      <c r="C1335" s="50"/>
      <c r="D1335" s="10" t="s">
        <v>29</v>
      </c>
      <c r="E1335" s="11"/>
      <c r="F1335" s="11" t="s">
        <v>18</v>
      </c>
      <c r="G1335" s="13"/>
      <c r="H1335" s="45" t="s">
        <v>16</v>
      </c>
      <c r="I1335" s="46"/>
      <c r="J1335" s="12" t="s">
        <v>6476</v>
      </c>
      <c r="K1335" s="13" t="s">
        <v>8106</v>
      </c>
      <c r="L1335" s="99" t="str">
        <f t="shared" si="83"/>
        <v>W324E.7</v>
      </c>
      <c r="M1335" s="13" t="s">
        <v>17</v>
      </c>
      <c r="N1335" s="13"/>
      <c r="O1335" s="13"/>
      <c r="P1335" s="47"/>
      <c r="Q1335" s="45" t="s">
        <v>142</v>
      </c>
      <c r="R1335" s="45" t="s">
        <v>5596</v>
      </c>
      <c r="S1335" s="48"/>
      <c r="T1335" s="49" t="str">
        <f t="shared" si="84"/>
        <v>[W324E.7]</v>
      </c>
      <c r="U1335" s="12" t="str">
        <f t="shared" si="87"/>
        <v>] 용접#4 12국 통신에러 (D9125.7)</v>
      </c>
      <c r="V1335" s="49" t="str">
        <f t="shared" si="86"/>
        <v>[W324E.7]] 용접#4 12국 통신에러 (D9125.7)</v>
      </c>
    </row>
    <row r="1336" spans="1:22" s="49" customFormat="1" ht="14.15" customHeight="1">
      <c r="A1336" s="55"/>
      <c r="B1336" s="44" t="s">
        <v>6635</v>
      </c>
      <c r="C1336" s="50"/>
      <c r="D1336" s="10" t="s">
        <v>29</v>
      </c>
      <c r="E1336" s="11"/>
      <c r="F1336" s="11" t="s">
        <v>18</v>
      </c>
      <c r="G1336" s="13"/>
      <c r="H1336" s="45" t="s">
        <v>16</v>
      </c>
      <c r="I1336" s="47"/>
      <c r="J1336" s="12" t="s">
        <v>1019</v>
      </c>
      <c r="K1336" s="13" t="s">
        <v>8107</v>
      </c>
      <c r="L1336" s="99" t="str">
        <f t="shared" si="83"/>
        <v>W324E.8</v>
      </c>
      <c r="M1336" s="13"/>
      <c r="N1336" s="13"/>
      <c r="O1336" s="57"/>
      <c r="P1336" s="47"/>
      <c r="Q1336" s="45"/>
      <c r="R1336" s="45"/>
      <c r="S1336" s="48"/>
      <c r="T1336" s="49" t="str">
        <f t="shared" si="84"/>
        <v>[W324E.8]</v>
      </c>
      <c r="U1336" s="12" t="str">
        <f t="shared" si="87"/>
        <v xml:space="preserve">] </v>
      </c>
      <c r="V1336" s="49" t="str">
        <f t="shared" si="86"/>
        <v xml:space="preserve">[W324E.8]] </v>
      </c>
    </row>
    <row r="1337" spans="1:22" s="49" customFormat="1" ht="14.15" customHeight="1">
      <c r="A1337" s="55"/>
      <c r="B1337" s="44" t="s">
        <v>6635</v>
      </c>
      <c r="C1337" s="50"/>
      <c r="D1337" s="10" t="s">
        <v>29</v>
      </c>
      <c r="E1337" s="11"/>
      <c r="F1337" s="11" t="s">
        <v>18</v>
      </c>
      <c r="G1337" s="13"/>
      <c r="H1337" s="45" t="s">
        <v>16</v>
      </c>
      <c r="I1337" s="46"/>
      <c r="J1337" s="12" t="s">
        <v>1020</v>
      </c>
      <c r="K1337" s="13" t="s">
        <v>8108</v>
      </c>
      <c r="L1337" s="99" t="str">
        <f t="shared" si="83"/>
        <v>W324E.9</v>
      </c>
      <c r="M1337" s="13"/>
      <c r="N1337" s="13"/>
      <c r="O1337" s="57"/>
      <c r="P1337" s="47"/>
      <c r="Q1337" s="45"/>
      <c r="R1337" s="45"/>
      <c r="S1337" s="48"/>
      <c r="T1337" s="49" t="str">
        <f t="shared" si="84"/>
        <v>[W324E.9]</v>
      </c>
      <c r="U1337" s="12" t="str">
        <f t="shared" si="87"/>
        <v xml:space="preserve">] </v>
      </c>
      <c r="V1337" s="49" t="str">
        <f t="shared" si="86"/>
        <v xml:space="preserve">[W324E.9]] </v>
      </c>
    </row>
    <row r="1338" spans="1:22" s="49" customFormat="1" ht="14.15" customHeight="1">
      <c r="A1338" s="43"/>
      <c r="B1338" s="44" t="s">
        <v>6635</v>
      </c>
      <c r="C1338" s="50"/>
      <c r="D1338" s="10" t="s">
        <v>29</v>
      </c>
      <c r="E1338" s="11"/>
      <c r="F1338" s="11" t="s">
        <v>18</v>
      </c>
      <c r="G1338" s="13"/>
      <c r="H1338" s="45" t="s">
        <v>16</v>
      </c>
      <c r="I1338" s="47"/>
      <c r="J1338" s="12" t="s">
        <v>1021</v>
      </c>
      <c r="K1338" s="13" t="s">
        <v>8109</v>
      </c>
      <c r="L1338" s="99" t="str">
        <f t="shared" si="83"/>
        <v>W324E.A</v>
      </c>
      <c r="M1338" s="13"/>
      <c r="N1338" s="13"/>
      <c r="O1338" s="13"/>
      <c r="P1338" s="47"/>
      <c r="Q1338" s="45"/>
      <c r="R1338" s="45"/>
      <c r="S1338" s="48"/>
      <c r="U1338" s="12"/>
    </row>
    <row r="1339" spans="1:22" s="49" customFormat="1" ht="14.15" customHeight="1">
      <c r="A1339" s="43"/>
      <c r="B1339" s="44" t="s">
        <v>6635</v>
      </c>
      <c r="C1339" s="50"/>
      <c r="D1339" s="10" t="s">
        <v>29</v>
      </c>
      <c r="E1339" s="11"/>
      <c r="F1339" s="11" t="s">
        <v>18</v>
      </c>
      <c r="G1339" s="13"/>
      <c r="H1339" s="45" t="s">
        <v>16</v>
      </c>
      <c r="I1339" s="47"/>
      <c r="J1339" s="12" t="s">
        <v>6477</v>
      </c>
      <c r="K1339" s="13" t="s">
        <v>8110</v>
      </c>
      <c r="L1339" s="99" t="str">
        <f t="shared" si="83"/>
        <v>W324E.B</v>
      </c>
      <c r="M1339" s="13"/>
      <c r="N1339" s="13"/>
      <c r="O1339" s="13"/>
      <c r="P1339" s="47"/>
      <c r="Q1339" s="45"/>
      <c r="R1339" s="45"/>
      <c r="S1339" s="48"/>
      <c r="U1339" s="12"/>
    </row>
    <row r="1340" spans="1:22" s="49" customFormat="1" ht="14.15" customHeight="1">
      <c r="A1340" s="43" t="s">
        <v>6675</v>
      </c>
      <c r="B1340" s="44" t="s">
        <v>6635</v>
      </c>
      <c r="C1340" s="50"/>
      <c r="D1340" s="10" t="s">
        <v>29</v>
      </c>
      <c r="E1340" s="11"/>
      <c r="F1340" s="11" t="s">
        <v>18</v>
      </c>
      <c r="G1340" s="13"/>
      <c r="H1340" s="45" t="s">
        <v>16</v>
      </c>
      <c r="I1340" s="47"/>
      <c r="J1340" s="12" t="s">
        <v>6478</v>
      </c>
      <c r="K1340" s="13" t="s">
        <v>8111</v>
      </c>
      <c r="L1340" s="99" t="str">
        <f t="shared" si="83"/>
        <v>W324E.C</v>
      </c>
      <c r="M1340" s="13" t="s">
        <v>17</v>
      </c>
      <c r="N1340" s="13"/>
      <c r="O1340" s="13"/>
      <c r="P1340" s="47"/>
      <c r="Q1340" s="45" t="s">
        <v>142</v>
      </c>
      <c r="R1340" s="45" t="s">
        <v>5596</v>
      </c>
      <c r="S1340" s="48"/>
      <c r="U1340" s="12"/>
    </row>
    <row r="1341" spans="1:22" s="49" customFormat="1" ht="14.15" customHeight="1">
      <c r="A1341" s="43" t="s">
        <v>6675</v>
      </c>
      <c r="B1341" s="44" t="s">
        <v>6635</v>
      </c>
      <c r="C1341" s="50"/>
      <c r="D1341" s="10" t="s">
        <v>29</v>
      </c>
      <c r="E1341" s="11"/>
      <c r="F1341" s="11" t="s">
        <v>18</v>
      </c>
      <c r="G1341" s="13"/>
      <c r="H1341" s="45" t="s">
        <v>16</v>
      </c>
      <c r="I1341" s="47"/>
      <c r="J1341" s="12" t="s">
        <v>6479</v>
      </c>
      <c r="K1341" s="13" t="s">
        <v>8112</v>
      </c>
      <c r="L1341" s="99" t="str">
        <f t="shared" si="83"/>
        <v>W324E.D</v>
      </c>
      <c r="M1341" s="13" t="s">
        <v>17</v>
      </c>
      <c r="N1341" s="13"/>
      <c r="O1341" s="13"/>
      <c r="P1341" s="47"/>
      <c r="Q1341" s="45" t="s">
        <v>142</v>
      </c>
      <c r="R1341" s="45" t="s">
        <v>5596</v>
      </c>
      <c r="S1341" s="48"/>
      <c r="U1341" s="12"/>
    </row>
    <row r="1342" spans="1:22" s="49" customFormat="1" ht="14.15" customHeight="1">
      <c r="A1342" s="43" t="s">
        <v>6675</v>
      </c>
      <c r="B1342" s="44" t="s">
        <v>6635</v>
      </c>
      <c r="C1342" s="50"/>
      <c r="D1342" s="10" t="s">
        <v>29</v>
      </c>
      <c r="E1342" s="11"/>
      <c r="F1342" s="11" t="s">
        <v>18</v>
      </c>
      <c r="G1342" s="13"/>
      <c r="H1342" s="45" t="s">
        <v>16</v>
      </c>
      <c r="I1342" s="47"/>
      <c r="J1342" s="12" t="s">
        <v>6480</v>
      </c>
      <c r="K1342" s="13" t="s">
        <v>8113</v>
      </c>
      <c r="L1342" s="99" t="str">
        <f t="shared" si="83"/>
        <v>W324E.E</v>
      </c>
      <c r="M1342" s="13" t="s">
        <v>17</v>
      </c>
      <c r="N1342" s="13"/>
      <c r="O1342" s="13"/>
      <c r="P1342" s="47"/>
      <c r="Q1342" s="45" t="s">
        <v>142</v>
      </c>
      <c r="R1342" s="45" t="s">
        <v>5596</v>
      </c>
      <c r="S1342" s="48"/>
      <c r="U1342" s="12"/>
    </row>
    <row r="1343" spans="1:22" s="49" customFormat="1" ht="14.15" customHeight="1">
      <c r="A1343" s="43" t="s">
        <v>6675</v>
      </c>
      <c r="B1343" s="44" t="s">
        <v>6635</v>
      </c>
      <c r="C1343" s="50"/>
      <c r="D1343" s="10" t="s">
        <v>29</v>
      </c>
      <c r="E1343" s="11"/>
      <c r="F1343" s="11" t="s">
        <v>18</v>
      </c>
      <c r="G1343" s="13"/>
      <c r="H1343" s="45" t="s">
        <v>16</v>
      </c>
      <c r="I1343" s="47"/>
      <c r="J1343" s="12" t="s">
        <v>6481</v>
      </c>
      <c r="K1343" s="13" t="s">
        <v>8114</v>
      </c>
      <c r="L1343" s="99" t="str">
        <f t="shared" si="83"/>
        <v>W324E.F</v>
      </c>
      <c r="M1343" s="13" t="s">
        <v>17</v>
      </c>
      <c r="N1343" s="13"/>
      <c r="O1343" s="13"/>
      <c r="P1343" s="47"/>
      <c r="Q1343" s="45" t="s">
        <v>142</v>
      </c>
      <c r="R1343" s="45" t="s">
        <v>5596</v>
      </c>
      <c r="S1343" s="48"/>
      <c r="U1343" s="12"/>
    </row>
    <row r="1344" spans="1:22" s="49" customFormat="1" ht="14.15" customHeight="1">
      <c r="A1344" s="43" t="s">
        <v>6675</v>
      </c>
      <c r="B1344" s="44" t="s">
        <v>6635</v>
      </c>
      <c r="C1344" s="50"/>
      <c r="D1344" s="10" t="s">
        <v>29</v>
      </c>
      <c r="E1344" s="11"/>
      <c r="F1344" s="11" t="s">
        <v>18</v>
      </c>
      <c r="G1344" s="13"/>
      <c r="H1344" s="45" t="s">
        <v>16</v>
      </c>
      <c r="I1344" s="47"/>
      <c r="J1344" s="12" t="s">
        <v>6482</v>
      </c>
      <c r="K1344" s="13" t="s">
        <v>8115</v>
      </c>
      <c r="L1344" s="99" t="str">
        <f t="shared" si="83"/>
        <v>W324F.0</v>
      </c>
      <c r="M1344" s="13" t="s">
        <v>17</v>
      </c>
      <c r="N1344" s="13"/>
      <c r="O1344" s="13"/>
      <c r="P1344" s="47"/>
      <c r="Q1344" s="45" t="s">
        <v>142</v>
      </c>
      <c r="R1344" s="45" t="s">
        <v>5596</v>
      </c>
      <c r="S1344" s="48"/>
      <c r="U1344" s="12"/>
    </row>
    <row r="1345" spans="1:22" s="49" customFormat="1" ht="14.15" customHeight="1">
      <c r="A1345" s="43" t="s">
        <v>6675</v>
      </c>
      <c r="B1345" s="44" t="s">
        <v>6635</v>
      </c>
      <c r="C1345" s="50"/>
      <c r="D1345" s="10" t="s">
        <v>29</v>
      </c>
      <c r="E1345" s="11"/>
      <c r="F1345" s="11" t="s">
        <v>18</v>
      </c>
      <c r="G1345" s="13"/>
      <c r="H1345" s="45" t="s">
        <v>16</v>
      </c>
      <c r="I1345" s="47"/>
      <c r="J1345" s="12" t="s">
        <v>6483</v>
      </c>
      <c r="K1345" s="13" t="s">
        <v>8116</v>
      </c>
      <c r="L1345" s="99" t="str">
        <f t="shared" si="83"/>
        <v>W324F.1</v>
      </c>
      <c r="M1345" s="13" t="s">
        <v>17</v>
      </c>
      <c r="N1345" s="13"/>
      <c r="O1345" s="13"/>
      <c r="P1345" s="47"/>
      <c r="Q1345" s="45" t="s">
        <v>142</v>
      </c>
      <c r="R1345" s="45" t="s">
        <v>5596</v>
      </c>
      <c r="S1345" s="48"/>
      <c r="U1345" s="12"/>
    </row>
    <row r="1346" spans="1:22" s="49" customFormat="1" ht="14.15" customHeight="1">
      <c r="A1346" s="43" t="s">
        <v>6675</v>
      </c>
      <c r="B1346" s="44" t="s">
        <v>6635</v>
      </c>
      <c r="C1346" s="50"/>
      <c r="D1346" s="10" t="s">
        <v>29</v>
      </c>
      <c r="E1346" s="11"/>
      <c r="F1346" s="11" t="s">
        <v>18</v>
      </c>
      <c r="G1346" s="13"/>
      <c r="H1346" s="45" t="s">
        <v>16</v>
      </c>
      <c r="I1346" s="47"/>
      <c r="J1346" s="12" t="s">
        <v>6484</v>
      </c>
      <c r="K1346" s="13" t="s">
        <v>8117</v>
      </c>
      <c r="L1346" s="99" t="str">
        <f t="shared" si="83"/>
        <v>W324F.2</v>
      </c>
      <c r="M1346" s="13" t="s">
        <v>17</v>
      </c>
      <c r="N1346" s="13"/>
      <c r="O1346" s="13"/>
      <c r="P1346" s="47"/>
      <c r="Q1346" s="45" t="s">
        <v>142</v>
      </c>
      <c r="R1346" s="45" t="s">
        <v>5596</v>
      </c>
      <c r="S1346" s="48"/>
      <c r="U1346" s="12"/>
    </row>
    <row r="1347" spans="1:22" s="49" customFormat="1" ht="14.15" customHeight="1">
      <c r="A1347" s="55"/>
      <c r="B1347" s="44" t="s">
        <v>6635</v>
      </c>
      <c r="C1347" s="50"/>
      <c r="D1347" s="10" t="s">
        <v>29</v>
      </c>
      <c r="E1347" s="11"/>
      <c r="F1347" s="11" t="s">
        <v>18</v>
      </c>
      <c r="G1347" s="13"/>
      <c r="H1347" s="45" t="s">
        <v>16</v>
      </c>
      <c r="I1347" s="47"/>
      <c r="J1347" s="12" t="s">
        <v>4211</v>
      </c>
      <c r="K1347" s="13" t="s">
        <v>8118</v>
      </c>
      <c r="L1347" s="99" t="str">
        <f t="shared" si="83"/>
        <v>W324F.3</v>
      </c>
      <c r="M1347" s="13"/>
      <c r="N1347" s="13"/>
      <c r="O1347" s="57"/>
      <c r="P1347" s="47"/>
      <c r="Q1347" s="45"/>
      <c r="R1347" s="45"/>
      <c r="S1347" s="48"/>
      <c r="T1347" s="49" t="str">
        <f t="shared" si="84"/>
        <v>[W324F.3]</v>
      </c>
      <c r="U1347" s="12" t="str">
        <f t="shared" si="87"/>
        <v>]</v>
      </c>
      <c r="V1347" s="49" t="str">
        <f t="shared" si="86"/>
        <v>[W324F.3]]</v>
      </c>
    </row>
    <row r="1348" spans="1:22" s="49" customFormat="1" ht="14.15" customHeight="1">
      <c r="A1348" s="55"/>
      <c r="B1348" s="44" t="s">
        <v>6635</v>
      </c>
      <c r="C1348" s="50"/>
      <c r="D1348" s="10" t="s">
        <v>29</v>
      </c>
      <c r="E1348" s="11"/>
      <c r="F1348" s="11" t="s">
        <v>18</v>
      </c>
      <c r="G1348" s="13"/>
      <c r="H1348" s="45" t="s">
        <v>16</v>
      </c>
      <c r="I1348" s="46"/>
      <c r="J1348" s="12" t="s">
        <v>4212</v>
      </c>
      <c r="K1348" s="13" t="s">
        <v>8119</v>
      </c>
      <c r="L1348" s="99" t="str">
        <f t="shared" si="83"/>
        <v>W324F.4</v>
      </c>
      <c r="M1348" s="13"/>
      <c r="N1348" s="13"/>
      <c r="O1348" s="57"/>
      <c r="P1348" s="47"/>
      <c r="Q1348" s="45"/>
      <c r="R1348" s="45"/>
      <c r="S1348" s="48"/>
      <c r="T1348" s="49" t="str">
        <f t="shared" si="84"/>
        <v>[W324F.4]</v>
      </c>
      <c r="U1348" s="12" t="str">
        <f t="shared" si="87"/>
        <v>]</v>
      </c>
      <c r="V1348" s="49" t="str">
        <f t="shared" si="86"/>
        <v>[W324F.4]]</v>
      </c>
    </row>
    <row r="1349" spans="1:22" s="49" customFormat="1" ht="14.15" customHeight="1">
      <c r="A1349" s="43"/>
      <c r="B1349" s="44" t="s">
        <v>6635</v>
      </c>
      <c r="C1349" s="50"/>
      <c r="D1349" s="10" t="s">
        <v>29</v>
      </c>
      <c r="E1349" s="11"/>
      <c r="F1349" s="11" t="s">
        <v>18</v>
      </c>
      <c r="G1349" s="13"/>
      <c r="H1349" s="45" t="s">
        <v>16</v>
      </c>
      <c r="I1349" s="47"/>
      <c r="J1349" s="12" t="s">
        <v>4213</v>
      </c>
      <c r="K1349" s="13" t="s">
        <v>8120</v>
      </c>
      <c r="L1349" s="99" t="str">
        <f t="shared" si="83"/>
        <v>W324F.5</v>
      </c>
      <c r="M1349" s="13"/>
      <c r="N1349" s="13"/>
      <c r="O1349" s="57"/>
      <c r="P1349" s="47"/>
      <c r="Q1349" s="45"/>
      <c r="R1349" s="45"/>
      <c r="S1349" s="48"/>
      <c r="T1349" s="49" t="str">
        <f t="shared" si="84"/>
        <v>[W324F.5]</v>
      </c>
      <c r="U1349" s="12" t="str">
        <f t="shared" si="87"/>
        <v>]</v>
      </c>
      <c r="V1349" s="49" t="str">
        <f t="shared" si="86"/>
        <v>[W324F.5]]</v>
      </c>
    </row>
    <row r="1350" spans="1:22" s="49" customFormat="1" ht="14.15" customHeight="1">
      <c r="A1350" s="43"/>
      <c r="B1350" s="44" t="s">
        <v>6635</v>
      </c>
      <c r="C1350" s="50"/>
      <c r="D1350" s="10" t="s">
        <v>29</v>
      </c>
      <c r="E1350" s="11"/>
      <c r="F1350" s="11" t="s">
        <v>18</v>
      </c>
      <c r="G1350" s="13"/>
      <c r="H1350" s="45" t="s">
        <v>16</v>
      </c>
      <c r="I1350" s="46"/>
      <c r="J1350" s="12" t="s">
        <v>4214</v>
      </c>
      <c r="K1350" s="13" t="s">
        <v>8121</v>
      </c>
      <c r="L1350" s="99" t="str">
        <f t="shared" si="83"/>
        <v>W324F.6</v>
      </c>
      <c r="M1350" s="13"/>
      <c r="N1350" s="13"/>
      <c r="O1350" s="57"/>
      <c r="P1350" s="47"/>
      <c r="Q1350" s="45"/>
      <c r="R1350" s="45"/>
      <c r="S1350" s="48"/>
      <c r="T1350" s="49" t="str">
        <f t="shared" si="84"/>
        <v>[W324F.6]</v>
      </c>
      <c r="U1350" s="12" t="str">
        <f t="shared" si="87"/>
        <v>]</v>
      </c>
      <c r="V1350" s="49" t="str">
        <f t="shared" si="86"/>
        <v>[W324F.6]]</v>
      </c>
    </row>
    <row r="1351" spans="1:22" s="49" customFormat="1" ht="14.15" customHeight="1">
      <c r="A1351" s="43"/>
      <c r="B1351" s="44" t="s">
        <v>6635</v>
      </c>
      <c r="C1351" s="50"/>
      <c r="D1351" s="10" t="s">
        <v>29</v>
      </c>
      <c r="E1351" s="11"/>
      <c r="F1351" s="11" t="s">
        <v>18</v>
      </c>
      <c r="G1351" s="13"/>
      <c r="H1351" s="45" t="s">
        <v>16</v>
      </c>
      <c r="I1351" s="47"/>
      <c r="J1351" s="12" t="s">
        <v>4215</v>
      </c>
      <c r="K1351" s="13" t="s">
        <v>8122</v>
      </c>
      <c r="L1351" s="99" t="str">
        <f t="shared" si="83"/>
        <v>W324F.7</v>
      </c>
      <c r="M1351" s="13"/>
      <c r="N1351" s="13"/>
      <c r="O1351" s="56"/>
      <c r="P1351" s="47"/>
      <c r="Q1351" s="45"/>
      <c r="R1351" s="45"/>
      <c r="S1351" s="48"/>
      <c r="T1351" s="49" t="str">
        <f t="shared" si="84"/>
        <v>[W324F.7]</v>
      </c>
      <c r="U1351" s="12" t="str">
        <f t="shared" si="87"/>
        <v>]</v>
      </c>
      <c r="V1351" s="49" t="str">
        <f t="shared" si="86"/>
        <v>[W324F.7]]</v>
      </c>
    </row>
    <row r="1352" spans="1:22" s="49" customFormat="1" ht="14.15" customHeight="1">
      <c r="A1352" s="43"/>
      <c r="B1352" s="44" t="s">
        <v>6635</v>
      </c>
      <c r="C1352" s="50"/>
      <c r="D1352" s="10" t="s">
        <v>29</v>
      </c>
      <c r="E1352" s="11"/>
      <c r="F1352" s="11" t="s">
        <v>18</v>
      </c>
      <c r="G1352" s="13"/>
      <c r="H1352" s="45" t="s">
        <v>16</v>
      </c>
      <c r="I1352" s="47"/>
      <c r="J1352" s="12" t="s">
        <v>4216</v>
      </c>
      <c r="K1352" s="13" t="s">
        <v>8123</v>
      </c>
      <c r="L1352" s="99" t="str">
        <f t="shared" si="83"/>
        <v>W324F.8</v>
      </c>
      <c r="M1352" s="13"/>
      <c r="N1352" s="13"/>
      <c r="O1352" s="56"/>
      <c r="P1352" s="47"/>
      <c r="Q1352" s="45"/>
      <c r="R1352" s="45"/>
      <c r="S1352" s="48"/>
      <c r="T1352" s="49" t="str">
        <f t="shared" si="84"/>
        <v>[W324F.8]</v>
      </c>
      <c r="U1352" s="12" t="str">
        <f t="shared" si="87"/>
        <v>]</v>
      </c>
      <c r="V1352" s="49" t="str">
        <f t="shared" si="86"/>
        <v>[W324F.8]]</v>
      </c>
    </row>
    <row r="1353" spans="1:22" s="49" customFormat="1" ht="14.15" customHeight="1">
      <c r="A1353" s="43"/>
      <c r="B1353" s="44" t="s">
        <v>6635</v>
      </c>
      <c r="C1353" s="50"/>
      <c r="D1353" s="10" t="s">
        <v>29</v>
      </c>
      <c r="E1353" s="11"/>
      <c r="F1353" s="11" t="s">
        <v>18</v>
      </c>
      <c r="G1353" s="13"/>
      <c r="H1353" s="45" t="s">
        <v>16</v>
      </c>
      <c r="I1353" s="47"/>
      <c r="J1353" s="12" t="s">
        <v>4217</v>
      </c>
      <c r="K1353" s="13" t="s">
        <v>8124</v>
      </c>
      <c r="L1353" s="99" t="str">
        <f t="shared" si="83"/>
        <v>W324F.9</v>
      </c>
      <c r="M1353" s="13"/>
      <c r="N1353" s="13"/>
      <c r="O1353" s="56"/>
      <c r="P1353" s="47"/>
      <c r="Q1353" s="45"/>
      <c r="R1353" s="45"/>
      <c r="S1353" s="48"/>
      <c r="T1353" s="49" t="str">
        <f t="shared" si="84"/>
        <v>[W324F.9]</v>
      </c>
      <c r="U1353" s="12" t="str">
        <f t="shared" si="87"/>
        <v>]</v>
      </c>
      <c r="V1353" s="49" t="str">
        <f t="shared" si="86"/>
        <v>[W324F.9]]</v>
      </c>
    </row>
    <row r="1354" spans="1:22" s="49" customFormat="1" ht="14.15" customHeight="1">
      <c r="A1354" s="43"/>
      <c r="B1354" s="44" t="s">
        <v>6635</v>
      </c>
      <c r="C1354" s="50"/>
      <c r="D1354" s="10" t="s">
        <v>29</v>
      </c>
      <c r="E1354" s="11"/>
      <c r="F1354" s="11" t="s">
        <v>18</v>
      </c>
      <c r="G1354" s="13"/>
      <c r="H1354" s="45" t="s">
        <v>16</v>
      </c>
      <c r="I1354" s="47"/>
      <c r="J1354" s="12" t="s">
        <v>4218</v>
      </c>
      <c r="K1354" s="13" t="s">
        <v>8125</v>
      </c>
      <c r="L1354" s="99" t="str">
        <f t="shared" si="83"/>
        <v>W324F.A</v>
      </c>
      <c r="M1354" s="13"/>
      <c r="N1354" s="13"/>
      <c r="O1354" s="56"/>
      <c r="P1354" s="47"/>
      <c r="Q1354" s="45"/>
      <c r="R1354" s="45"/>
      <c r="S1354" s="48"/>
      <c r="T1354" s="49" t="str">
        <f t="shared" si="84"/>
        <v>[W324F.A]</v>
      </c>
      <c r="U1354" s="12" t="str">
        <f t="shared" si="87"/>
        <v>]</v>
      </c>
      <c r="V1354" s="49" t="str">
        <f t="shared" si="86"/>
        <v>[W324F.A]]</v>
      </c>
    </row>
    <row r="1355" spans="1:22" s="49" customFormat="1" ht="14.15" customHeight="1">
      <c r="A1355" s="43"/>
      <c r="B1355" s="44" t="s">
        <v>6635</v>
      </c>
      <c r="C1355" s="50"/>
      <c r="D1355" s="10" t="s">
        <v>29</v>
      </c>
      <c r="E1355" s="11"/>
      <c r="F1355" s="11" t="s">
        <v>18</v>
      </c>
      <c r="G1355" s="13"/>
      <c r="H1355" s="45" t="s">
        <v>16</v>
      </c>
      <c r="I1355" s="47"/>
      <c r="J1355" s="12" t="s">
        <v>4219</v>
      </c>
      <c r="K1355" s="13" t="s">
        <v>8126</v>
      </c>
      <c r="L1355" s="99" t="str">
        <f t="shared" si="83"/>
        <v>W324F.B</v>
      </c>
      <c r="M1355" s="13"/>
      <c r="N1355" s="13"/>
      <c r="O1355" s="56"/>
      <c r="P1355" s="47"/>
      <c r="Q1355" s="45"/>
      <c r="R1355" s="45"/>
      <c r="S1355" s="48"/>
      <c r="T1355" s="49" t="str">
        <f t="shared" si="84"/>
        <v>[W324F.B]</v>
      </c>
      <c r="U1355" s="12" t="str">
        <f t="shared" si="87"/>
        <v>]</v>
      </c>
      <c r="V1355" s="49" t="str">
        <f t="shared" si="86"/>
        <v>[W324F.B]]</v>
      </c>
    </row>
    <row r="1356" spans="1:22" s="49" customFormat="1" ht="14.15" customHeight="1">
      <c r="A1356" s="43"/>
      <c r="B1356" s="44" t="s">
        <v>6635</v>
      </c>
      <c r="C1356" s="50"/>
      <c r="D1356" s="10" t="s">
        <v>29</v>
      </c>
      <c r="E1356" s="11"/>
      <c r="F1356" s="11" t="s">
        <v>18</v>
      </c>
      <c r="G1356" s="13"/>
      <c r="H1356" s="45" t="s">
        <v>16</v>
      </c>
      <c r="I1356" s="47"/>
      <c r="J1356" s="12" t="s">
        <v>4220</v>
      </c>
      <c r="K1356" s="13" t="s">
        <v>8127</v>
      </c>
      <c r="L1356" s="99" t="str">
        <f t="shared" si="83"/>
        <v>W324F.C</v>
      </c>
      <c r="M1356" s="13"/>
      <c r="N1356" s="13"/>
      <c r="O1356" s="56"/>
      <c r="P1356" s="47"/>
      <c r="Q1356" s="45"/>
      <c r="R1356" s="45"/>
      <c r="S1356" s="48"/>
      <c r="T1356" s="49" t="str">
        <f t="shared" si="84"/>
        <v>[W324F.C]</v>
      </c>
      <c r="U1356" s="12" t="str">
        <f t="shared" si="87"/>
        <v>]</v>
      </c>
      <c r="V1356" s="49" t="str">
        <f t="shared" si="86"/>
        <v>[W324F.C]]</v>
      </c>
    </row>
    <row r="1357" spans="1:22" s="49" customFormat="1" ht="14.15" customHeight="1">
      <c r="A1357" s="43"/>
      <c r="B1357" s="44" t="s">
        <v>6635</v>
      </c>
      <c r="C1357" s="50"/>
      <c r="D1357" s="10" t="s">
        <v>29</v>
      </c>
      <c r="E1357" s="11"/>
      <c r="F1357" s="11" t="s">
        <v>18</v>
      </c>
      <c r="G1357" s="13"/>
      <c r="H1357" s="45" t="s">
        <v>16</v>
      </c>
      <c r="I1357" s="47"/>
      <c r="J1357" s="12" t="s">
        <v>4221</v>
      </c>
      <c r="K1357" s="13" t="s">
        <v>8128</v>
      </c>
      <c r="L1357" s="99" t="str">
        <f t="shared" si="83"/>
        <v>W324F.D</v>
      </c>
      <c r="M1357" s="13"/>
      <c r="N1357" s="13"/>
      <c r="O1357" s="56"/>
      <c r="P1357" s="47"/>
      <c r="Q1357" s="45"/>
      <c r="R1357" s="45"/>
      <c r="S1357" s="48"/>
      <c r="T1357" s="49" t="str">
        <f t="shared" si="84"/>
        <v>[W324F.D]</v>
      </c>
      <c r="U1357" s="12" t="str">
        <f t="shared" si="87"/>
        <v>]</v>
      </c>
      <c r="V1357" s="49" t="str">
        <f t="shared" si="86"/>
        <v>[W324F.D]]</v>
      </c>
    </row>
    <row r="1358" spans="1:22" s="49" customFormat="1" ht="14.15" customHeight="1">
      <c r="A1358" s="43"/>
      <c r="B1358" s="44" t="s">
        <v>6635</v>
      </c>
      <c r="C1358" s="50"/>
      <c r="D1358" s="10" t="s">
        <v>29</v>
      </c>
      <c r="E1358" s="11"/>
      <c r="F1358" s="11" t="s">
        <v>18</v>
      </c>
      <c r="G1358" s="13"/>
      <c r="H1358" s="45" t="s">
        <v>16</v>
      </c>
      <c r="I1358" s="47"/>
      <c r="J1358" s="12" t="s">
        <v>4222</v>
      </c>
      <c r="K1358" s="13" t="s">
        <v>8129</v>
      </c>
      <c r="L1358" s="99" t="str">
        <f t="shared" si="83"/>
        <v>W324F.E</v>
      </c>
      <c r="M1358" s="13"/>
      <c r="N1358" s="13"/>
      <c r="O1358" s="56"/>
      <c r="P1358" s="47"/>
      <c r="Q1358" s="45"/>
      <c r="R1358" s="45"/>
      <c r="S1358" s="48"/>
      <c r="T1358" s="49" t="str">
        <f t="shared" si="84"/>
        <v>[W324F.E]</v>
      </c>
      <c r="U1358" s="12" t="str">
        <f t="shared" si="87"/>
        <v>]</v>
      </c>
      <c r="V1358" s="49" t="str">
        <f t="shared" si="86"/>
        <v>[W324F.E]]</v>
      </c>
    </row>
    <row r="1359" spans="1:22" s="49" customFormat="1" ht="14.15" customHeight="1">
      <c r="A1359" s="43"/>
      <c r="B1359" s="44" t="s">
        <v>6635</v>
      </c>
      <c r="C1359" s="50"/>
      <c r="D1359" s="10" t="s">
        <v>29</v>
      </c>
      <c r="E1359" s="11"/>
      <c r="F1359" s="11" t="s">
        <v>18</v>
      </c>
      <c r="G1359" s="13"/>
      <c r="H1359" s="45" t="s">
        <v>16</v>
      </c>
      <c r="I1359" s="47"/>
      <c r="J1359" s="12" t="s">
        <v>4223</v>
      </c>
      <c r="K1359" s="13" t="s">
        <v>8130</v>
      </c>
      <c r="L1359" s="99" t="str">
        <f t="shared" si="83"/>
        <v>W324F.F</v>
      </c>
      <c r="M1359" s="13"/>
      <c r="N1359" s="13"/>
      <c r="O1359" s="56"/>
      <c r="P1359" s="47"/>
      <c r="Q1359" s="45"/>
      <c r="R1359" s="45"/>
      <c r="S1359" s="48"/>
      <c r="T1359" s="49" t="str">
        <f t="shared" si="84"/>
        <v>[W324F.F]</v>
      </c>
      <c r="U1359" s="12" t="str">
        <f t="shared" si="87"/>
        <v>]</v>
      </c>
      <c r="V1359" s="49" t="str">
        <f t="shared" si="86"/>
        <v>[W324F.F]]</v>
      </c>
    </row>
    <row r="1360" spans="1:22" s="49" customFormat="1" ht="14.15" customHeight="1">
      <c r="A1360" s="43"/>
      <c r="B1360" s="44" t="s">
        <v>6635</v>
      </c>
      <c r="C1360" s="50"/>
      <c r="D1360" s="10" t="s">
        <v>29</v>
      </c>
      <c r="E1360" s="11"/>
      <c r="F1360" s="11" t="s">
        <v>18</v>
      </c>
      <c r="G1360" s="13"/>
      <c r="H1360" s="45" t="s">
        <v>16</v>
      </c>
      <c r="I1360" s="47"/>
      <c r="J1360" s="12" t="s">
        <v>4224</v>
      </c>
      <c r="K1360" s="13" t="s">
        <v>8131</v>
      </c>
      <c r="L1360" s="99" t="str">
        <f t="shared" si="83"/>
        <v>W3250.0</v>
      </c>
      <c r="M1360" s="13"/>
      <c r="N1360" s="13"/>
      <c r="O1360" s="57"/>
      <c r="P1360" s="47"/>
      <c r="Q1360" s="45"/>
      <c r="R1360" s="45"/>
      <c r="S1360" s="48"/>
      <c r="T1360" s="49" t="str">
        <f t="shared" si="84"/>
        <v>[W3250.0]</v>
      </c>
      <c r="U1360" s="12" t="str">
        <f t="shared" si="87"/>
        <v>]</v>
      </c>
      <c r="V1360" s="49" t="str">
        <f t="shared" si="86"/>
        <v>[W3250.0]]</v>
      </c>
    </row>
    <row r="1361" spans="1:22" s="49" customFormat="1" ht="14.15" customHeight="1">
      <c r="A1361" s="43"/>
      <c r="B1361" s="44" t="s">
        <v>6635</v>
      </c>
      <c r="C1361" s="50"/>
      <c r="D1361" s="10" t="s">
        <v>29</v>
      </c>
      <c r="E1361" s="11"/>
      <c r="F1361" s="11" t="s">
        <v>18</v>
      </c>
      <c r="G1361" s="13"/>
      <c r="H1361" s="45" t="s">
        <v>16</v>
      </c>
      <c r="I1361" s="46"/>
      <c r="J1361" s="12" t="s">
        <v>4225</v>
      </c>
      <c r="K1361" s="13" t="s">
        <v>8132</v>
      </c>
      <c r="L1361" s="99" t="str">
        <f t="shared" ref="L1361:L1424" si="88">"W"&amp;DEC2HEX(12800 + INT((ROW()-80)/16)) &amp; "." &amp; IF(MOD(ROW()-80,16)&lt;10,MOD(ROW()-80,16),CHAR(MOD(ROW()-80,16)+55))</f>
        <v>W3250.1</v>
      </c>
      <c r="M1361" s="13"/>
      <c r="N1361" s="13"/>
      <c r="O1361" s="57"/>
      <c r="P1361" s="47"/>
      <c r="Q1361" s="45"/>
      <c r="R1361" s="45"/>
      <c r="S1361" s="48"/>
      <c r="T1361" s="49" t="str">
        <f t="shared" ref="T1361:T1376" si="89">"["&amp;L1361&amp;"]"</f>
        <v>[W3250.1]</v>
      </c>
      <c r="U1361" s="12" t="str">
        <f t="shared" si="87"/>
        <v>]</v>
      </c>
      <c r="V1361" s="49" t="str">
        <f t="shared" ref="V1361:V1376" si="90">T1361&amp;U1361</f>
        <v>[W3250.1]]</v>
      </c>
    </row>
    <row r="1362" spans="1:22" s="49" customFormat="1" ht="14.15" customHeight="1">
      <c r="A1362" s="43"/>
      <c r="B1362" s="44" t="s">
        <v>6635</v>
      </c>
      <c r="C1362" s="50"/>
      <c r="D1362" s="10" t="s">
        <v>29</v>
      </c>
      <c r="E1362" s="11"/>
      <c r="F1362" s="11" t="s">
        <v>18</v>
      </c>
      <c r="G1362" s="13"/>
      <c r="H1362" s="45" t="s">
        <v>16</v>
      </c>
      <c r="I1362" s="47"/>
      <c r="J1362" s="12" t="s">
        <v>4226</v>
      </c>
      <c r="K1362" s="13" t="s">
        <v>8133</v>
      </c>
      <c r="L1362" s="99" t="str">
        <f t="shared" si="88"/>
        <v>W3250.2</v>
      </c>
      <c r="M1362" s="13"/>
      <c r="N1362" s="13"/>
      <c r="O1362" s="57"/>
      <c r="P1362" s="47"/>
      <c r="Q1362" s="45"/>
      <c r="R1362" s="45"/>
      <c r="S1362" s="48"/>
      <c r="T1362" s="49" t="str">
        <f t="shared" si="89"/>
        <v>[W3250.2]</v>
      </c>
      <c r="U1362" s="12" t="str">
        <f t="shared" si="87"/>
        <v>]</v>
      </c>
      <c r="V1362" s="49" t="str">
        <f t="shared" si="90"/>
        <v>[W3250.2]]</v>
      </c>
    </row>
    <row r="1363" spans="1:22" s="49" customFormat="1" ht="14.15" customHeight="1">
      <c r="A1363" s="55"/>
      <c r="B1363" s="44" t="s">
        <v>6635</v>
      </c>
      <c r="C1363" s="50"/>
      <c r="D1363" s="10" t="s">
        <v>29</v>
      </c>
      <c r="E1363" s="11"/>
      <c r="F1363" s="11" t="s">
        <v>18</v>
      </c>
      <c r="G1363" s="13"/>
      <c r="H1363" s="45" t="s">
        <v>16</v>
      </c>
      <c r="I1363" s="46"/>
      <c r="J1363" s="12" t="s">
        <v>4227</v>
      </c>
      <c r="K1363" s="13" t="s">
        <v>8134</v>
      </c>
      <c r="L1363" s="99" t="str">
        <f t="shared" si="88"/>
        <v>W3250.3</v>
      </c>
      <c r="M1363" s="13"/>
      <c r="N1363" s="13"/>
      <c r="O1363" s="57"/>
      <c r="P1363" s="47"/>
      <c r="Q1363" s="45"/>
      <c r="R1363" s="45"/>
      <c r="S1363" s="48"/>
      <c r="T1363" s="49" t="str">
        <f t="shared" si="89"/>
        <v>[W3250.3]</v>
      </c>
      <c r="U1363" s="12" t="str">
        <f t="shared" si="87"/>
        <v>]</v>
      </c>
      <c r="V1363" s="49" t="str">
        <f t="shared" si="90"/>
        <v>[W3250.3]]</v>
      </c>
    </row>
    <row r="1364" spans="1:22" s="49" customFormat="1" ht="14.15" customHeight="1">
      <c r="A1364" s="55"/>
      <c r="B1364" s="44" t="s">
        <v>6635</v>
      </c>
      <c r="C1364" s="50"/>
      <c r="D1364" s="10" t="s">
        <v>29</v>
      </c>
      <c r="E1364" s="11"/>
      <c r="F1364" s="11" t="s">
        <v>18</v>
      </c>
      <c r="G1364" s="13"/>
      <c r="H1364" s="45" t="s">
        <v>16</v>
      </c>
      <c r="I1364" s="47"/>
      <c r="J1364" s="12" t="s">
        <v>4228</v>
      </c>
      <c r="K1364" s="13" t="s">
        <v>8135</v>
      </c>
      <c r="L1364" s="99" t="str">
        <f t="shared" si="88"/>
        <v>W3250.4</v>
      </c>
      <c r="M1364" s="13"/>
      <c r="N1364" s="13"/>
      <c r="O1364" s="56"/>
      <c r="P1364" s="47"/>
      <c r="Q1364" s="45"/>
      <c r="R1364" s="45"/>
      <c r="S1364" s="48"/>
      <c r="T1364" s="49" t="str">
        <f t="shared" si="89"/>
        <v>[W3250.4]</v>
      </c>
      <c r="U1364" s="12" t="str">
        <f t="shared" si="87"/>
        <v>]</v>
      </c>
      <c r="V1364" s="49" t="str">
        <f t="shared" si="90"/>
        <v>[W3250.4]]</v>
      </c>
    </row>
    <row r="1365" spans="1:22" s="49" customFormat="1" ht="14.15" customHeight="1">
      <c r="A1365" s="55"/>
      <c r="B1365" s="44" t="s">
        <v>6635</v>
      </c>
      <c r="C1365" s="50"/>
      <c r="D1365" s="10" t="s">
        <v>29</v>
      </c>
      <c r="E1365" s="11"/>
      <c r="F1365" s="11" t="s">
        <v>18</v>
      </c>
      <c r="G1365" s="13"/>
      <c r="H1365" s="45" t="s">
        <v>16</v>
      </c>
      <c r="I1365" s="47"/>
      <c r="J1365" s="12" t="s">
        <v>4229</v>
      </c>
      <c r="K1365" s="13" t="s">
        <v>8136</v>
      </c>
      <c r="L1365" s="99" t="str">
        <f t="shared" si="88"/>
        <v>W3250.5</v>
      </c>
      <c r="M1365" s="13"/>
      <c r="N1365" s="13"/>
      <c r="O1365" s="56"/>
      <c r="P1365" s="47"/>
      <c r="Q1365" s="45"/>
      <c r="R1365" s="45"/>
      <c r="S1365" s="48"/>
      <c r="T1365" s="49" t="str">
        <f t="shared" si="89"/>
        <v>[W3250.5]</v>
      </c>
      <c r="U1365" s="12" t="str">
        <f t="shared" si="87"/>
        <v>]</v>
      </c>
      <c r="V1365" s="49" t="str">
        <f t="shared" si="90"/>
        <v>[W3250.5]]</v>
      </c>
    </row>
    <row r="1366" spans="1:22" s="49" customFormat="1" ht="14.15" customHeight="1">
      <c r="A1366" s="55"/>
      <c r="B1366" s="44" t="s">
        <v>6635</v>
      </c>
      <c r="C1366" s="50"/>
      <c r="D1366" s="10" t="s">
        <v>29</v>
      </c>
      <c r="E1366" s="11"/>
      <c r="F1366" s="11" t="s">
        <v>18</v>
      </c>
      <c r="G1366" s="13"/>
      <c r="H1366" s="45" t="s">
        <v>16</v>
      </c>
      <c r="I1366" s="47"/>
      <c r="J1366" s="12" t="s">
        <v>4230</v>
      </c>
      <c r="K1366" s="13" t="s">
        <v>8137</v>
      </c>
      <c r="L1366" s="99" t="str">
        <f t="shared" si="88"/>
        <v>W3250.6</v>
      </c>
      <c r="M1366" s="13"/>
      <c r="N1366" s="13"/>
      <c r="O1366" s="56"/>
      <c r="P1366" s="47"/>
      <c r="Q1366" s="45"/>
      <c r="R1366" s="45"/>
      <c r="S1366" s="48"/>
      <c r="T1366" s="49" t="str">
        <f t="shared" si="89"/>
        <v>[W3250.6]</v>
      </c>
      <c r="U1366" s="12" t="str">
        <f t="shared" si="87"/>
        <v>]</v>
      </c>
      <c r="V1366" s="49" t="str">
        <f t="shared" si="90"/>
        <v>[W3250.6]]</v>
      </c>
    </row>
    <row r="1367" spans="1:22" s="49" customFormat="1" ht="14.15" customHeight="1">
      <c r="A1367" s="55"/>
      <c r="B1367" s="44" t="s">
        <v>6635</v>
      </c>
      <c r="C1367" s="50"/>
      <c r="D1367" s="10" t="s">
        <v>29</v>
      </c>
      <c r="E1367" s="11"/>
      <c r="F1367" s="11" t="s">
        <v>18</v>
      </c>
      <c r="G1367" s="13"/>
      <c r="H1367" s="45" t="s">
        <v>16</v>
      </c>
      <c r="I1367" s="47"/>
      <c r="J1367" s="12" t="s">
        <v>4231</v>
      </c>
      <c r="K1367" s="13" t="s">
        <v>8138</v>
      </c>
      <c r="L1367" s="99" t="str">
        <f t="shared" si="88"/>
        <v>W3250.7</v>
      </c>
      <c r="M1367" s="13"/>
      <c r="N1367" s="13"/>
      <c r="O1367" s="56"/>
      <c r="P1367" s="47"/>
      <c r="Q1367" s="45"/>
      <c r="R1367" s="45"/>
      <c r="S1367" s="48"/>
      <c r="T1367" s="49" t="str">
        <f t="shared" si="89"/>
        <v>[W3250.7]</v>
      </c>
      <c r="U1367" s="12" t="str">
        <f t="shared" si="87"/>
        <v>]</v>
      </c>
      <c r="V1367" s="49" t="str">
        <f t="shared" si="90"/>
        <v>[W3250.7]]</v>
      </c>
    </row>
    <row r="1368" spans="1:22" s="49" customFormat="1" ht="14.15" customHeight="1">
      <c r="A1368" s="55"/>
      <c r="B1368" s="44" t="s">
        <v>6635</v>
      </c>
      <c r="C1368" s="50"/>
      <c r="D1368" s="10" t="s">
        <v>29</v>
      </c>
      <c r="E1368" s="11"/>
      <c r="F1368" s="11" t="s">
        <v>18</v>
      </c>
      <c r="G1368" s="13"/>
      <c r="H1368" s="45" t="s">
        <v>16</v>
      </c>
      <c r="I1368" s="47"/>
      <c r="J1368" s="12" t="s">
        <v>4232</v>
      </c>
      <c r="K1368" s="13" t="s">
        <v>8139</v>
      </c>
      <c r="L1368" s="99" t="str">
        <f t="shared" si="88"/>
        <v>W3250.8</v>
      </c>
      <c r="M1368" s="13"/>
      <c r="N1368" s="13"/>
      <c r="O1368" s="56"/>
      <c r="P1368" s="47"/>
      <c r="Q1368" s="45"/>
      <c r="R1368" s="45"/>
      <c r="S1368" s="48"/>
      <c r="T1368" s="49" t="str">
        <f>"["&amp;L1338&amp;"]"</f>
        <v>[W324E.A]</v>
      </c>
      <c r="U1368" s="12" t="str">
        <f>RIGHT(J1338,LEN(J1338)-6)</f>
        <v xml:space="preserve">] </v>
      </c>
      <c r="V1368" s="49" t="str">
        <f>T1338&amp;U1338</f>
        <v/>
      </c>
    </row>
    <row r="1369" spans="1:22" s="49" customFormat="1" ht="14.15" customHeight="1">
      <c r="A1369" s="55"/>
      <c r="B1369" s="44" t="s">
        <v>6635</v>
      </c>
      <c r="C1369" s="50"/>
      <c r="D1369" s="10" t="s">
        <v>29</v>
      </c>
      <c r="E1369" s="11"/>
      <c r="F1369" s="11" t="s">
        <v>18</v>
      </c>
      <c r="G1369" s="13"/>
      <c r="H1369" s="45" t="s">
        <v>16</v>
      </c>
      <c r="I1369" s="47"/>
      <c r="J1369" s="12" t="s">
        <v>4233</v>
      </c>
      <c r="K1369" s="13" t="s">
        <v>8140</v>
      </c>
      <c r="L1369" s="99" t="str">
        <f t="shared" si="88"/>
        <v>W3250.9</v>
      </c>
      <c r="M1369" s="13"/>
      <c r="N1369" s="13"/>
      <c r="O1369" s="56"/>
      <c r="P1369" s="47"/>
      <c r="Q1369" s="45"/>
      <c r="R1369" s="45"/>
      <c r="S1369" s="48"/>
      <c r="T1369" s="49" t="str">
        <f t="shared" si="89"/>
        <v>[W3250.9]</v>
      </c>
      <c r="U1369" s="12" t="str">
        <f t="shared" si="87"/>
        <v>]</v>
      </c>
      <c r="V1369" s="49" t="str">
        <f t="shared" si="90"/>
        <v>[W3250.9]]</v>
      </c>
    </row>
    <row r="1370" spans="1:22" s="49" customFormat="1" ht="14.15" customHeight="1">
      <c r="A1370" s="55"/>
      <c r="B1370" s="44" t="s">
        <v>6635</v>
      </c>
      <c r="C1370" s="50"/>
      <c r="D1370" s="10" t="s">
        <v>29</v>
      </c>
      <c r="E1370" s="11"/>
      <c r="F1370" s="11" t="s">
        <v>18</v>
      </c>
      <c r="G1370" s="13"/>
      <c r="H1370" s="45" t="s">
        <v>16</v>
      </c>
      <c r="I1370" s="47"/>
      <c r="J1370" s="12" t="s">
        <v>4234</v>
      </c>
      <c r="K1370" s="13" t="s">
        <v>8141</v>
      </c>
      <c r="L1370" s="99" t="str">
        <f t="shared" si="88"/>
        <v>W3250.A</v>
      </c>
      <c r="M1370" s="13"/>
      <c r="N1370" s="13"/>
      <c r="O1370" s="56"/>
      <c r="P1370" s="47"/>
      <c r="Q1370" s="45"/>
      <c r="R1370" s="45"/>
      <c r="S1370" s="48"/>
      <c r="T1370" s="49" t="str">
        <f t="shared" si="89"/>
        <v>[W3250.A]</v>
      </c>
      <c r="U1370" s="12" t="str">
        <f t="shared" si="87"/>
        <v>]</v>
      </c>
      <c r="V1370" s="49" t="str">
        <f t="shared" si="90"/>
        <v>[W3250.A]]</v>
      </c>
    </row>
    <row r="1371" spans="1:22" s="49" customFormat="1" ht="14.15" customHeight="1">
      <c r="A1371" s="55"/>
      <c r="B1371" s="44" t="s">
        <v>6635</v>
      </c>
      <c r="C1371" s="50"/>
      <c r="D1371" s="10" t="s">
        <v>29</v>
      </c>
      <c r="E1371" s="11"/>
      <c r="F1371" s="11" t="s">
        <v>18</v>
      </c>
      <c r="G1371" s="13"/>
      <c r="H1371" s="45" t="s">
        <v>16</v>
      </c>
      <c r="I1371" s="47"/>
      <c r="J1371" s="12" t="s">
        <v>4235</v>
      </c>
      <c r="K1371" s="13" t="s">
        <v>8142</v>
      </c>
      <c r="L1371" s="99" t="str">
        <f t="shared" si="88"/>
        <v>W3250.B</v>
      </c>
      <c r="M1371" s="13"/>
      <c r="N1371" s="13"/>
      <c r="O1371" s="56"/>
      <c r="P1371" s="47"/>
      <c r="Q1371" s="45"/>
      <c r="R1371" s="45"/>
      <c r="S1371" s="48"/>
      <c r="T1371" s="49" t="str">
        <f t="shared" si="89"/>
        <v>[W3250.B]</v>
      </c>
      <c r="U1371" s="12" t="str">
        <f t="shared" si="87"/>
        <v>]</v>
      </c>
      <c r="V1371" s="49" t="str">
        <f t="shared" si="90"/>
        <v>[W3250.B]]</v>
      </c>
    </row>
    <row r="1372" spans="1:22" s="49" customFormat="1" ht="14.15" customHeight="1">
      <c r="A1372" s="55"/>
      <c r="B1372" s="44" t="s">
        <v>6635</v>
      </c>
      <c r="C1372" s="50"/>
      <c r="D1372" s="10" t="s">
        <v>29</v>
      </c>
      <c r="E1372" s="11"/>
      <c r="F1372" s="11" t="s">
        <v>18</v>
      </c>
      <c r="G1372" s="13"/>
      <c r="H1372" s="45" t="s">
        <v>16</v>
      </c>
      <c r="I1372" s="47"/>
      <c r="J1372" s="12" t="s">
        <v>4236</v>
      </c>
      <c r="K1372" s="13" t="s">
        <v>8143</v>
      </c>
      <c r="L1372" s="99" t="str">
        <f t="shared" si="88"/>
        <v>W3250.C</v>
      </c>
      <c r="M1372" s="13"/>
      <c r="N1372" s="13"/>
      <c r="O1372" s="56"/>
      <c r="P1372" s="47"/>
      <c r="Q1372" s="45"/>
      <c r="R1372" s="45"/>
      <c r="S1372" s="48"/>
      <c r="T1372" s="49" t="str">
        <f t="shared" si="89"/>
        <v>[W3250.C]</v>
      </c>
      <c r="U1372" s="12" t="str">
        <f t="shared" si="87"/>
        <v>]</v>
      </c>
      <c r="V1372" s="49" t="str">
        <f t="shared" si="90"/>
        <v>[W3250.C]]</v>
      </c>
    </row>
    <row r="1373" spans="1:22" s="49" customFormat="1" ht="14.15" customHeight="1">
      <c r="A1373" s="55"/>
      <c r="B1373" s="44" t="s">
        <v>6635</v>
      </c>
      <c r="C1373" s="50"/>
      <c r="D1373" s="10" t="s">
        <v>29</v>
      </c>
      <c r="E1373" s="11"/>
      <c r="F1373" s="11" t="s">
        <v>18</v>
      </c>
      <c r="G1373" s="13"/>
      <c r="H1373" s="45" t="s">
        <v>16</v>
      </c>
      <c r="I1373" s="47"/>
      <c r="J1373" s="12" t="s">
        <v>4237</v>
      </c>
      <c r="K1373" s="13" t="s">
        <v>8144</v>
      </c>
      <c r="L1373" s="99" t="str">
        <f t="shared" si="88"/>
        <v>W3250.D</v>
      </c>
      <c r="M1373" s="13"/>
      <c r="N1373" s="13"/>
      <c r="O1373" s="57"/>
      <c r="P1373" s="47"/>
      <c r="Q1373" s="45"/>
      <c r="R1373" s="45"/>
      <c r="S1373" s="48"/>
      <c r="T1373" s="49" t="str">
        <f t="shared" si="89"/>
        <v>[W3250.D]</v>
      </c>
      <c r="U1373" s="12" t="str">
        <f t="shared" si="87"/>
        <v>]</v>
      </c>
      <c r="V1373" s="49" t="str">
        <f t="shared" si="90"/>
        <v>[W3250.D]]</v>
      </c>
    </row>
    <row r="1374" spans="1:22" s="49" customFormat="1" ht="14.15" customHeight="1">
      <c r="A1374" s="55"/>
      <c r="B1374" s="44" t="s">
        <v>6635</v>
      </c>
      <c r="C1374" s="50"/>
      <c r="D1374" s="10" t="s">
        <v>29</v>
      </c>
      <c r="E1374" s="11"/>
      <c r="F1374" s="11" t="s">
        <v>18</v>
      </c>
      <c r="G1374" s="13"/>
      <c r="H1374" s="45" t="s">
        <v>16</v>
      </c>
      <c r="I1374" s="46"/>
      <c r="J1374" s="12" t="s">
        <v>4238</v>
      </c>
      <c r="K1374" s="13" t="s">
        <v>8145</v>
      </c>
      <c r="L1374" s="99" t="str">
        <f t="shared" si="88"/>
        <v>W3250.E</v>
      </c>
      <c r="M1374" s="13"/>
      <c r="N1374" s="13"/>
      <c r="O1374" s="57"/>
      <c r="P1374" s="47"/>
      <c r="Q1374" s="45"/>
      <c r="R1374" s="45"/>
      <c r="S1374" s="48"/>
      <c r="T1374" s="49" t="str">
        <f t="shared" si="89"/>
        <v>[W3250.E]</v>
      </c>
      <c r="U1374" s="12" t="str">
        <f t="shared" si="87"/>
        <v>]</v>
      </c>
      <c r="V1374" s="49" t="str">
        <f t="shared" si="90"/>
        <v>[W3250.E]]</v>
      </c>
    </row>
    <row r="1375" spans="1:22" s="49" customFormat="1" ht="14.15" customHeight="1">
      <c r="A1375" s="55"/>
      <c r="B1375" s="44" t="s">
        <v>6635</v>
      </c>
      <c r="C1375" s="50"/>
      <c r="D1375" s="10" t="s">
        <v>29</v>
      </c>
      <c r="E1375" s="11"/>
      <c r="F1375" s="11" t="s">
        <v>18</v>
      </c>
      <c r="G1375" s="13"/>
      <c r="H1375" s="45" t="s">
        <v>16</v>
      </c>
      <c r="I1375" s="47"/>
      <c r="J1375" s="12" t="s">
        <v>4239</v>
      </c>
      <c r="K1375" s="13" t="s">
        <v>8146</v>
      </c>
      <c r="L1375" s="99" t="str">
        <f t="shared" si="88"/>
        <v>W3250.F</v>
      </c>
      <c r="M1375" s="13"/>
      <c r="N1375" s="13"/>
      <c r="O1375" s="57"/>
      <c r="P1375" s="47"/>
      <c r="Q1375" s="45"/>
      <c r="R1375" s="45"/>
      <c r="S1375" s="48"/>
      <c r="T1375" s="49" t="str">
        <f t="shared" si="89"/>
        <v>[W3250.F]</v>
      </c>
      <c r="U1375" s="12" t="str">
        <f t="shared" si="87"/>
        <v>]</v>
      </c>
      <c r="V1375" s="49" t="str">
        <f t="shared" si="90"/>
        <v>[W3250.F]]</v>
      </c>
    </row>
    <row r="1376" spans="1:22" s="49" customFormat="1" ht="14.15" customHeight="1">
      <c r="A1376" s="55"/>
      <c r="B1376" s="44" t="s">
        <v>6635</v>
      </c>
      <c r="C1376" s="50"/>
      <c r="D1376" s="10" t="s">
        <v>29</v>
      </c>
      <c r="E1376" s="11"/>
      <c r="F1376" s="11" t="s">
        <v>18</v>
      </c>
      <c r="G1376" s="13"/>
      <c r="H1376" s="45" t="s">
        <v>16</v>
      </c>
      <c r="I1376" s="46"/>
      <c r="J1376" s="12" t="s">
        <v>4240</v>
      </c>
      <c r="K1376" s="13" t="s">
        <v>8147</v>
      </c>
      <c r="L1376" s="99" t="str">
        <f t="shared" si="88"/>
        <v>W3251.0</v>
      </c>
      <c r="M1376" s="13"/>
      <c r="N1376" s="13"/>
      <c r="O1376" s="57"/>
      <c r="P1376" s="47"/>
      <c r="Q1376" s="45"/>
      <c r="R1376" s="45"/>
      <c r="S1376" s="48"/>
      <c r="T1376" s="49" t="str">
        <f t="shared" si="89"/>
        <v>[W3251.0]</v>
      </c>
      <c r="U1376" s="12" t="str">
        <f t="shared" si="87"/>
        <v>]</v>
      </c>
      <c r="V1376" s="49" t="str">
        <f t="shared" si="90"/>
        <v>[W3251.0]]</v>
      </c>
    </row>
    <row r="1377" spans="1:22" s="49" customFormat="1" ht="14.15" customHeight="1">
      <c r="A1377" s="55"/>
      <c r="B1377" s="44" t="s">
        <v>6635</v>
      </c>
      <c r="C1377" s="50"/>
      <c r="D1377" s="10" t="s">
        <v>29</v>
      </c>
      <c r="E1377" s="11"/>
      <c r="F1377" s="11" t="s">
        <v>18</v>
      </c>
      <c r="G1377" s="13"/>
      <c r="H1377" s="45" t="s">
        <v>16</v>
      </c>
      <c r="I1377" s="47"/>
      <c r="J1377" s="12" t="s">
        <v>4241</v>
      </c>
      <c r="K1377" s="13" t="s">
        <v>8148</v>
      </c>
      <c r="L1377" s="99" t="str">
        <f t="shared" si="88"/>
        <v>W3251.1</v>
      </c>
      <c r="M1377" s="13"/>
      <c r="N1377" s="13"/>
      <c r="O1377" s="13"/>
      <c r="P1377" s="47"/>
      <c r="Q1377" s="45"/>
      <c r="R1377" s="45"/>
      <c r="S1377" s="48"/>
      <c r="U1377" s="12"/>
    </row>
    <row r="1378" spans="1:22" s="49" customFormat="1" ht="14.15" customHeight="1">
      <c r="A1378" s="55"/>
      <c r="B1378" s="44" t="s">
        <v>6635</v>
      </c>
      <c r="C1378" s="50"/>
      <c r="D1378" s="10" t="s">
        <v>29</v>
      </c>
      <c r="E1378" s="11"/>
      <c r="F1378" s="11" t="s">
        <v>18</v>
      </c>
      <c r="G1378" s="13"/>
      <c r="H1378" s="45" t="s">
        <v>16</v>
      </c>
      <c r="I1378" s="47"/>
      <c r="J1378" s="12" t="s">
        <v>4242</v>
      </c>
      <c r="K1378" s="13" t="s">
        <v>8149</v>
      </c>
      <c r="L1378" s="99" t="str">
        <f t="shared" si="88"/>
        <v>W3251.2</v>
      </c>
      <c r="M1378" s="13"/>
      <c r="N1378" s="13"/>
      <c r="O1378" s="13"/>
      <c r="P1378" s="47"/>
      <c r="Q1378" s="45"/>
      <c r="R1378" s="45"/>
      <c r="S1378" s="48"/>
      <c r="U1378" s="12"/>
    </row>
    <row r="1379" spans="1:22" s="49" customFormat="1" ht="14.15" customHeight="1">
      <c r="A1379" s="43"/>
      <c r="B1379" s="44" t="s">
        <v>6635</v>
      </c>
      <c r="C1379" s="50"/>
      <c r="D1379" s="10" t="s">
        <v>29</v>
      </c>
      <c r="E1379" s="11"/>
      <c r="F1379" s="11" t="s">
        <v>18</v>
      </c>
      <c r="G1379" s="13"/>
      <c r="H1379" s="45" t="s">
        <v>16</v>
      </c>
      <c r="I1379" s="47"/>
      <c r="J1379" s="12" t="s">
        <v>4243</v>
      </c>
      <c r="K1379" s="13" t="s">
        <v>8150</v>
      </c>
      <c r="L1379" s="99" t="str">
        <f t="shared" si="88"/>
        <v>W3251.3</v>
      </c>
      <c r="M1379" s="13"/>
      <c r="N1379" s="13"/>
      <c r="O1379" s="13"/>
      <c r="P1379" s="47"/>
      <c r="Q1379" s="45"/>
      <c r="R1379" s="45"/>
      <c r="S1379" s="45" t="s">
        <v>5554</v>
      </c>
      <c r="T1379" s="45" t="s">
        <v>5556</v>
      </c>
      <c r="U1379" s="45" t="s">
        <v>5557</v>
      </c>
      <c r="V1379" s="45" t="s">
        <v>5555</v>
      </c>
    </row>
    <row r="1380" spans="1:22" s="49" customFormat="1" ht="14.15" customHeight="1">
      <c r="A1380" s="43"/>
      <c r="B1380" s="44" t="s">
        <v>6635</v>
      </c>
      <c r="C1380" s="50"/>
      <c r="D1380" s="10" t="s">
        <v>29</v>
      </c>
      <c r="E1380" s="11"/>
      <c r="F1380" s="11" t="s">
        <v>18</v>
      </c>
      <c r="G1380" s="13"/>
      <c r="H1380" s="45" t="s">
        <v>16</v>
      </c>
      <c r="I1380" s="47"/>
      <c r="J1380" s="12" t="s">
        <v>4244</v>
      </c>
      <c r="K1380" s="13" t="s">
        <v>8151</v>
      </c>
      <c r="L1380" s="99" t="str">
        <f t="shared" si="88"/>
        <v>W3251.4</v>
      </c>
      <c r="M1380" s="13"/>
      <c r="N1380" s="13"/>
      <c r="O1380" s="13"/>
      <c r="P1380" s="47"/>
      <c r="Q1380" s="45"/>
      <c r="R1380" s="45"/>
      <c r="S1380" s="48"/>
      <c r="U1380" s="12"/>
    </row>
    <row r="1381" spans="1:22" s="49" customFormat="1" ht="14.15" customHeight="1">
      <c r="A1381" s="43"/>
      <c r="B1381" s="44" t="s">
        <v>6635</v>
      </c>
      <c r="C1381" s="50"/>
      <c r="D1381" s="10" t="s">
        <v>29</v>
      </c>
      <c r="E1381" s="11"/>
      <c r="F1381" s="11" t="s">
        <v>18</v>
      </c>
      <c r="G1381" s="13"/>
      <c r="H1381" s="45" t="s">
        <v>16</v>
      </c>
      <c r="I1381" s="47"/>
      <c r="J1381" s="12" t="s">
        <v>4245</v>
      </c>
      <c r="K1381" s="13" t="s">
        <v>8152</v>
      </c>
      <c r="L1381" s="99" t="str">
        <f t="shared" si="88"/>
        <v>W3251.5</v>
      </c>
      <c r="M1381" s="13"/>
      <c r="N1381" s="13"/>
      <c r="O1381" s="13"/>
      <c r="P1381" s="47"/>
      <c r="Q1381" s="45"/>
      <c r="R1381" s="45"/>
      <c r="S1381" s="45" t="s">
        <v>5554</v>
      </c>
      <c r="T1381" s="45" t="s">
        <v>5556</v>
      </c>
      <c r="U1381" s="45" t="s">
        <v>5557</v>
      </c>
      <c r="V1381" s="45" t="s">
        <v>5555</v>
      </c>
    </row>
    <row r="1382" spans="1:22" s="49" customFormat="1" ht="14.15" customHeight="1">
      <c r="A1382" s="43"/>
      <c r="B1382" s="44" t="s">
        <v>6635</v>
      </c>
      <c r="C1382" s="50"/>
      <c r="D1382" s="10" t="s">
        <v>29</v>
      </c>
      <c r="E1382" s="11"/>
      <c r="F1382" s="11" t="s">
        <v>18</v>
      </c>
      <c r="G1382" s="13"/>
      <c r="H1382" s="45" t="s">
        <v>16</v>
      </c>
      <c r="I1382" s="47"/>
      <c r="J1382" s="12" t="s">
        <v>4246</v>
      </c>
      <c r="K1382" s="13" t="s">
        <v>8153</v>
      </c>
      <c r="L1382" s="99" t="str">
        <f t="shared" si="88"/>
        <v>W3251.6</v>
      </c>
      <c r="M1382" s="13"/>
      <c r="N1382" s="13"/>
      <c r="O1382" s="13"/>
      <c r="P1382" s="47"/>
      <c r="Q1382" s="45"/>
      <c r="R1382" s="45"/>
      <c r="S1382" s="48"/>
      <c r="U1382" s="12"/>
    </row>
    <row r="1383" spans="1:22" s="49" customFormat="1" ht="14.15" customHeight="1">
      <c r="A1383" s="43"/>
      <c r="B1383" s="44" t="s">
        <v>6635</v>
      </c>
      <c r="C1383" s="50"/>
      <c r="D1383" s="10" t="s">
        <v>29</v>
      </c>
      <c r="E1383" s="11"/>
      <c r="F1383" s="11" t="s">
        <v>18</v>
      </c>
      <c r="G1383" s="13"/>
      <c r="H1383" s="45" t="s">
        <v>16</v>
      </c>
      <c r="I1383" s="47"/>
      <c r="J1383" s="12" t="s">
        <v>4247</v>
      </c>
      <c r="K1383" s="13" t="s">
        <v>8154</v>
      </c>
      <c r="L1383" s="99" t="str">
        <f t="shared" si="88"/>
        <v>W3251.7</v>
      </c>
      <c r="M1383" s="13"/>
      <c r="N1383" s="13"/>
      <c r="O1383" s="13"/>
      <c r="P1383" s="47"/>
      <c r="Q1383" s="45"/>
      <c r="R1383" s="45"/>
      <c r="S1383" s="48"/>
      <c r="U1383" s="12"/>
    </row>
    <row r="1384" spans="1:22" s="49" customFormat="1" ht="14.15" customHeight="1">
      <c r="A1384" s="43"/>
      <c r="B1384" s="44" t="s">
        <v>6635</v>
      </c>
      <c r="C1384" s="50"/>
      <c r="D1384" s="10" t="s">
        <v>29</v>
      </c>
      <c r="E1384" s="11"/>
      <c r="F1384" s="11" t="s">
        <v>18</v>
      </c>
      <c r="G1384" s="13"/>
      <c r="H1384" s="45" t="s">
        <v>16</v>
      </c>
      <c r="I1384" s="47"/>
      <c r="J1384" s="12" t="s">
        <v>4248</v>
      </c>
      <c r="K1384" s="13" t="s">
        <v>8155</v>
      </c>
      <c r="L1384" s="99" t="str">
        <f t="shared" si="88"/>
        <v>W3251.8</v>
      </c>
      <c r="M1384" s="13"/>
      <c r="N1384" s="13"/>
      <c r="O1384" s="13"/>
      <c r="P1384" s="47"/>
      <c r="Q1384" s="45"/>
      <c r="R1384" s="45"/>
      <c r="S1384" s="48"/>
      <c r="U1384" s="12"/>
    </row>
    <row r="1385" spans="1:22" s="49" customFormat="1" ht="14.15" customHeight="1">
      <c r="A1385" s="43"/>
      <c r="B1385" s="44" t="s">
        <v>6635</v>
      </c>
      <c r="C1385" s="50"/>
      <c r="D1385" s="10" t="s">
        <v>29</v>
      </c>
      <c r="E1385" s="11"/>
      <c r="F1385" s="11" t="s">
        <v>18</v>
      </c>
      <c r="G1385" s="13"/>
      <c r="H1385" s="45" t="s">
        <v>16</v>
      </c>
      <c r="I1385" s="47"/>
      <c r="J1385" s="12" t="s">
        <v>4249</v>
      </c>
      <c r="K1385" s="13" t="s">
        <v>8156</v>
      </c>
      <c r="L1385" s="99" t="str">
        <f t="shared" si="88"/>
        <v>W3251.9</v>
      </c>
      <c r="M1385" s="13"/>
      <c r="N1385" s="13"/>
      <c r="O1385" s="13"/>
      <c r="P1385" s="47"/>
      <c r="Q1385" s="45"/>
      <c r="R1385" s="45"/>
      <c r="S1385" s="48"/>
      <c r="U1385" s="12"/>
    </row>
    <row r="1386" spans="1:22" s="49" customFormat="1" ht="14.15" customHeight="1">
      <c r="A1386" s="43"/>
      <c r="B1386" s="44" t="s">
        <v>6635</v>
      </c>
      <c r="C1386" s="50"/>
      <c r="D1386" s="10" t="s">
        <v>29</v>
      </c>
      <c r="E1386" s="11"/>
      <c r="F1386" s="11" t="s">
        <v>18</v>
      </c>
      <c r="G1386" s="13"/>
      <c r="H1386" s="45" t="s">
        <v>16</v>
      </c>
      <c r="I1386" s="47"/>
      <c r="J1386" s="12" t="s">
        <v>4250</v>
      </c>
      <c r="K1386" s="13" t="s">
        <v>8157</v>
      </c>
      <c r="L1386" s="99" t="str">
        <f t="shared" si="88"/>
        <v>W3251.A</v>
      </c>
      <c r="M1386" s="13"/>
      <c r="N1386" s="13"/>
      <c r="O1386" s="57"/>
      <c r="P1386" s="47"/>
      <c r="Q1386" s="45"/>
      <c r="R1386" s="45"/>
      <c r="S1386" s="48"/>
      <c r="T1386" s="49" t="str">
        <f t="shared" ref="T1386:T1441" si="91">"["&amp;L1386&amp;"]"</f>
        <v>[W3251.A]</v>
      </c>
      <c r="U1386" s="12" t="str">
        <f t="shared" ref="U1386:U1441" si="92">RIGHT(J1386,LEN(J1386)-6)</f>
        <v>]</v>
      </c>
      <c r="V1386" s="49" t="str">
        <f t="shared" ref="V1386:V1441" si="93">T1386&amp;U1386</f>
        <v>[W3251.A]]</v>
      </c>
    </row>
    <row r="1387" spans="1:22" s="49" customFormat="1" ht="14.15" customHeight="1">
      <c r="A1387" s="43"/>
      <c r="B1387" s="44" t="s">
        <v>6635</v>
      </c>
      <c r="C1387" s="50"/>
      <c r="D1387" s="10" t="s">
        <v>29</v>
      </c>
      <c r="E1387" s="11"/>
      <c r="F1387" s="11" t="s">
        <v>18</v>
      </c>
      <c r="G1387" s="13"/>
      <c r="H1387" s="45" t="s">
        <v>16</v>
      </c>
      <c r="I1387" s="46"/>
      <c r="J1387" s="12" t="s">
        <v>4251</v>
      </c>
      <c r="K1387" s="13" t="s">
        <v>8158</v>
      </c>
      <c r="L1387" s="99" t="str">
        <f t="shared" si="88"/>
        <v>W3251.B</v>
      </c>
      <c r="M1387" s="13"/>
      <c r="N1387" s="13"/>
      <c r="O1387" s="57"/>
      <c r="P1387" s="47"/>
      <c r="Q1387" s="45"/>
      <c r="R1387" s="45"/>
      <c r="S1387" s="48"/>
      <c r="T1387" s="49" t="str">
        <f t="shared" si="91"/>
        <v>[W3251.B]</v>
      </c>
      <c r="U1387" s="12" t="str">
        <f t="shared" si="92"/>
        <v>]</v>
      </c>
      <c r="V1387" s="49" t="str">
        <f t="shared" si="93"/>
        <v>[W3251.B]]</v>
      </c>
    </row>
    <row r="1388" spans="1:22" s="49" customFormat="1" ht="14.15" customHeight="1">
      <c r="A1388" s="43"/>
      <c r="B1388" s="44" t="s">
        <v>6635</v>
      </c>
      <c r="C1388" s="50"/>
      <c r="D1388" s="10" t="s">
        <v>29</v>
      </c>
      <c r="E1388" s="11"/>
      <c r="F1388" s="11" t="s">
        <v>18</v>
      </c>
      <c r="G1388" s="13"/>
      <c r="H1388" s="45" t="s">
        <v>16</v>
      </c>
      <c r="I1388" s="47"/>
      <c r="J1388" s="12" t="s">
        <v>4252</v>
      </c>
      <c r="K1388" s="13" t="s">
        <v>8159</v>
      </c>
      <c r="L1388" s="99" t="str">
        <f t="shared" si="88"/>
        <v>W3251.C</v>
      </c>
      <c r="M1388" s="13"/>
      <c r="N1388" s="13"/>
      <c r="O1388" s="57"/>
      <c r="P1388" s="47"/>
      <c r="Q1388" s="45"/>
      <c r="R1388" s="45"/>
      <c r="S1388" s="48"/>
      <c r="T1388" s="49" t="str">
        <f t="shared" si="91"/>
        <v>[W3251.C]</v>
      </c>
      <c r="U1388" s="12" t="str">
        <f t="shared" si="92"/>
        <v>]</v>
      </c>
      <c r="V1388" s="49" t="str">
        <f t="shared" si="93"/>
        <v>[W3251.C]]</v>
      </c>
    </row>
    <row r="1389" spans="1:22" s="49" customFormat="1" ht="14.15" customHeight="1">
      <c r="A1389" s="43"/>
      <c r="B1389" s="44" t="s">
        <v>6635</v>
      </c>
      <c r="C1389" s="50"/>
      <c r="D1389" s="10" t="s">
        <v>29</v>
      </c>
      <c r="E1389" s="11"/>
      <c r="F1389" s="11" t="s">
        <v>18</v>
      </c>
      <c r="G1389" s="13"/>
      <c r="H1389" s="45" t="s">
        <v>16</v>
      </c>
      <c r="I1389" s="46"/>
      <c r="J1389" s="12" t="s">
        <v>4253</v>
      </c>
      <c r="K1389" s="13" t="s">
        <v>8160</v>
      </c>
      <c r="L1389" s="99" t="str">
        <f t="shared" si="88"/>
        <v>W3251.D</v>
      </c>
      <c r="M1389" s="13"/>
      <c r="N1389" s="13"/>
      <c r="O1389" s="57"/>
      <c r="P1389" s="47"/>
      <c r="Q1389" s="45"/>
      <c r="R1389" s="45"/>
      <c r="S1389" s="48"/>
      <c r="T1389" s="49" t="str">
        <f t="shared" si="91"/>
        <v>[W3251.D]</v>
      </c>
      <c r="U1389" s="12" t="str">
        <f t="shared" si="92"/>
        <v>]</v>
      </c>
      <c r="V1389" s="49" t="str">
        <f t="shared" si="93"/>
        <v>[W3251.D]]</v>
      </c>
    </row>
    <row r="1390" spans="1:22" s="49" customFormat="1" ht="14.15" customHeight="1">
      <c r="A1390" s="43"/>
      <c r="B1390" s="44" t="s">
        <v>6635</v>
      </c>
      <c r="C1390" s="50"/>
      <c r="D1390" s="10" t="s">
        <v>29</v>
      </c>
      <c r="E1390" s="11"/>
      <c r="F1390" s="11" t="s">
        <v>18</v>
      </c>
      <c r="G1390" s="13"/>
      <c r="H1390" s="45" t="s">
        <v>16</v>
      </c>
      <c r="I1390" s="47"/>
      <c r="J1390" s="12" t="s">
        <v>4254</v>
      </c>
      <c r="K1390" s="13" t="s">
        <v>8161</v>
      </c>
      <c r="L1390" s="99" t="str">
        <f t="shared" si="88"/>
        <v>W3251.E</v>
      </c>
      <c r="M1390" s="13"/>
      <c r="N1390" s="13"/>
      <c r="O1390" s="13"/>
      <c r="P1390" s="47"/>
      <c r="Q1390" s="45"/>
      <c r="R1390" s="45"/>
      <c r="S1390" s="48"/>
      <c r="U1390" s="12"/>
    </row>
    <row r="1391" spans="1:22" s="49" customFormat="1" ht="14.15" customHeight="1">
      <c r="A1391" s="43"/>
      <c r="B1391" s="44" t="s">
        <v>6635</v>
      </c>
      <c r="C1391" s="50"/>
      <c r="D1391" s="10" t="s">
        <v>29</v>
      </c>
      <c r="E1391" s="11"/>
      <c r="F1391" s="11" t="s">
        <v>18</v>
      </c>
      <c r="G1391" s="13"/>
      <c r="H1391" s="45" t="s">
        <v>16</v>
      </c>
      <c r="I1391" s="47"/>
      <c r="J1391" s="12" t="s">
        <v>4255</v>
      </c>
      <c r="K1391" s="13" t="s">
        <v>8162</v>
      </c>
      <c r="L1391" s="99" t="str">
        <f t="shared" si="88"/>
        <v>W3251.F</v>
      </c>
      <c r="M1391" s="13"/>
      <c r="N1391" s="13"/>
      <c r="O1391" s="13"/>
      <c r="P1391" s="47"/>
      <c r="Q1391" s="45"/>
      <c r="R1391" s="45"/>
      <c r="S1391" s="48"/>
      <c r="U1391" s="12"/>
    </row>
    <row r="1392" spans="1:22" s="49" customFormat="1" ht="14.15" customHeight="1">
      <c r="A1392" s="43"/>
      <c r="B1392" s="44" t="s">
        <v>6635</v>
      </c>
      <c r="C1392" s="50"/>
      <c r="D1392" s="10" t="s">
        <v>29</v>
      </c>
      <c r="E1392" s="11"/>
      <c r="F1392" s="11" t="s">
        <v>18</v>
      </c>
      <c r="G1392" s="13"/>
      <c r="H1392" s="45" t="s">
        <v>16</v>
      </c>
      <c r="I1392" s="47"/>
      <c r="J1392" s="12" t="s">
        <v>4256</v>
      </c>
      <c r="K1392" s="13" t="s">
        <v>8163</v>
      </c>
      <c r="L1392" s="99" t="str">
        <f t="shared" si="88"/>
        <v>W3252.0</v>
      </c>
      <c r="M1392" s="13"/>
      <c r="N1392" s="13"/>
      <c r="O1392" s="13"/>
      <c r="P1392" s="47"/>
      <c r="Q1392" s="45"/>
      <c r="R1392" s="45"/>
      <c r="S1392" s="48"/>
      <c r="U1392" s="12"/>
    </row>
    <row r="1393" spans="1:22" s="49" customFormat="1" ht="14.15" customHeight="1">
      <c r="A1393" s="43"/>
      <c r="B1393" s="44" t="s">
        <v>6635</v>
      </c>
      <c r="C1393" s="50"/>
      <c r="D1393" s="10" t="s">
        <v>29</v>
      </c>
      <c r="E1393" s="11"/>
      <c r="F1393" s="11" t="s">
        <v>18</v>
      </c>
      <c r="G1393" s="13"/>
      <c r="H1393" s="45" t="s">
        <v>16</v>
      </c>
      <c r="I1393" s="47"/>
      <c r="J1393" s="12" t="s">
        <v>4257</v>
      </c>
      <c r="K1393" s="13" t="s">
        <v>8164</v>
      </c>
      <c r="L1393" s="99" t="str">
        <f t="shared" si="88"/>
        <v>W3252.1</v>
      </c>
      <c r="M1393" s="13"/>
      <c r="N1393" s="13"/>
      <c r="O1393" s="13"/>
      <c r="P1393" s="47"/>
      <c r="Q1393" s="45"/>
      <c r="R1393" s="45"/>
      <c r="S1393" s="48"/>
      <c r="U1393" s="12"/>
    </row>
    <row r="1394" spans="1:22" s="49" customFormat="1" ht="14.15" customHeight="1">
      <c r="A1394" s="43"/>
      <c r="B1394" s="44" t="s">
        <v>6635</v>
      </c>
      <c r="C1394" s="50"/>
      <c r="D1394" s="10" t="s">
        <v>29</v>
      </c>
      <c r="E1394" s="11"/>
      <c r="F1394" s="11" t="s">
        <v>18</v>
      </c>
      <c r="G1394" s="13"/>
      <c r="H1394" s="45" t="s">
        <v>16</v>
      </c>
      <c r="I1394" s="47"/>
      <c r="J1394" s="12" t="s">
        <v>4258</v>
      </c>
      <c r="K1394" s="13" t="s">
        <v>8165</v>
      </c>
      <c r="L1394" s="99" t="str">
        <f t="shared" si="88"/>
        <v>W3252.2</v>
      </c>
      <c r="M1394" s="13"/>
      <c r="N1394" s="13"/>
      <c r="O1394" s="13"/>
      <c r="P1394" s="47"/>
      <c r="Q1394" s="45"/>
      <c r="R1394" s="45"/>
      <c r="S1394" s="48"/>
      <c r="U1394" s="12"/>
    </row>
    <row r="1395" spans="1:22" s="49" customFormat="1" ht="14.15" customHeight="1">
      <c r="A1395" s="43"/>
      <c r="B1395" s="44" t="s">
        <v>6635</v>
      </c>
      <c r="C1395" s="50"/>
      <c r="D1395" s="10" t="s">
        <v>29</v>
      </c>
      <c r="E1395" s="11"/>
      <c r="F1395" s="11" t="s">
        <v>18</v>
      </c>
      <c r="G1395" s="13"/>
      <c r="H1395" s="45" t="s">
        <v>16</v>
      </c>
      <c r="I1395" s="47"/>
      <c r="J1395" s="12" t="s">
        <v>4259</v>
      </c>
      <c r="K1395" s="13" t="s">
        <v>8166</v>
      </c>
      <c r="L1395" s="99" t="str">
        <f t="shared" si="88"/>
        <v>W3252.3</v>
      </c>
      <c r="M1395" s="13"/>
      <c r="N1395" s="13"/>
      <c r="O1395" s="13"/>
      <c r="P1395" s="47"/>
      <c r="Q1395" s="45"/>
      <c r="R1395" s="45"/>
      <c r="S1395" s="48"/>
      <c r="U1395" s="12"/>
    </row>
    <row r="1396" spans="1:22" s="49" customFormat="1" ht="14.15" customHeight="1">
      <c r="A1396" s="43"/>
      <c r="B1396" s="44" t="s">
        <v>6635</v>
      </c>
      <c r="C1396" s="50"/>
      <c r="D1396" s="10" t="s">
        <v>29</v>
      </c>
      <c r="E1396" s="11"/>
      <c r="F1396" s="11" t="s">
        <v>18</v>
      </c>
      <c r="G1396" s="13"/>
      <c r="H1396" s="45" t="s">
        <v>16</v>
      </c>
      <c r="I1396" s="47"/>
      <c r="J1396" s="12" t="s">
        <v>4260</v>
      </c>
      <c r="K1396" s="13" t="s">
        <v>8167</v>
      </c>
      <c r="L1396" s="99" t="str">
        <f t="shared" si="88"/>
        <v>W3252.4</v>
      </c>
      <c r="M1396" s="13"/>
      <c r="N1396" s="13"/>
      <c r="O1396" s="13"/>
      <c r="P1396" s="47"/>
      <c r="Q1396" s="45"/>
      <c r="R1396" s="45"/>
      <c r="S1396" s="48"/>
      <c r="U1396" s="12"/>
    </row>
    <row r="1397" spans="1:22" s="49" customFormat="1" ht="14.15" customHeight="1">
      <c r="A1397" s="58"/>
      <c r="B1397" s="44" t="s">
        <v>6635</v>
      </c>
      <c r="C1397" s="50"/>
      <c r="D1397" s="10" t="s">
        <v>29</v>
      </c>
      <c r="E1397" s="11"/>
      <c r="F1397" s="11" t="s">
        <v>18</v>
      </c>
      <c r="G1397" s="13"/>
      <c r="H1397" s="45" t="s">
        <v>16</v>
      </c>
      <c r="I1397" s="47"/>
      <c r="J1397" s="12" t="s">
        <v>4261</v>
      </c>
      <c r="K1397" s="13" t="s">
        <v>8168</v>
      </c>
      <c r="L1397" s="99" t="str">
        <f t="shared" si="88"/>
        <v>W3252.5</v>
      </c>
      <c r="M1397" s="13"/>
      <c r="N1397" s="13"/>
      <c r="O1397" s="13"/>
      <c r="P1397" s="47"/>
      <c r="Q1397" s="45"/>
      <c r="R1397" s="45"/>
      <c r="S1397" s="48"/>
      <c r="U1397" s="12"/>
    </row>
    <row r="1398" spans="1:22" s="49" customFormat="1" ht="14.15" customHeight="1">
      <c r="A1398" s="58"/>
      <c r="B1398" s="44" t="s">
        <v>6635</v>
      </c>
      <c r="C1398" s="50"/>
      <c r="D1398" s="10" t="s">
        <v>29</v>
      </c>
      <c r="E1398" s="11"/>
      <c r="F1398" s="11" t="s">
        <v>18</v>
      </c>
      <c r="G1398" s="13"/>
      <c r="H1398" s="45" t="s">
        <v>16</v>
      </c>
      <c r="I1398" s="47"/>
      <c r="J1398" s="12" t="s">
        <v>4262</v>
      </c>
      <c r="K1398" s="13" t="s">
        <v>8169</v>
      </c>
      <c r="L1398" s="99" t="str">
        <f t="shared" si="88"/>
        <v>W3252.6</v>
      </c>
      <c r="M1398" s="13"/>
      <c r="N1398" s="13"/>
      <c r="O1398" s="13"/>
      <c r="P1398" s="47"/>
      <c r="Q1398" s="45"/>
      <c r="R1398" s="45"/>
      <c r="S1398" s="48"/>
      <c r="U1398" s="12"/>
    </row>
    <row r="1399" spans="1:22" s="49" customFormat="1" ht="14.15" customHeight="1">
      <c r="A1399" s="43" t="s">
        <v>6675</v>
      </c>
      <c r="B1399" s="44" t="s">
        <v>6635</v>
      </c>
      <c r="C1399" s="50"/>
      <c r="D1399" s="10" t="s">
        <v>29</v>
      </c>
      <c r="E1399" s="11"/>
      <c r="F1399" s="11" t="s">
        <v>18</v>
      </c>
      <c r="G1399" s="13"/>
      <c r="H1399" s="45" t="s">
        <v>16</v>
      </c>
      <c r="I1399" s="47"/>
      <c r="J1399" s="12" t="s">
        <v>6485</v>
      </c>
      <c r="K1399" s="13" t="s">
        <v>8170</v>
      </c>
      <c r="L1399" s="99" t="str">
        <f t="shared" si="88"/>
        <v>W3252.7</v>
      </c>
      <c r="M1399" s="13" t="s">
        <v>17</v>
      </c>
      <c r="N1399" s="13"/>
      <c r="O1399" s="13"/>
      <c r="P1399" s="47"/>
      <c r="Q1399" s="45" t="s">
        <v>142</v>
      </c>
      <c r="R1399" s="45" t="s">
        <v>5596</v>
      </c>
      <c r="S1399" s="48"/>
      <c r="T1399" s="49" t="str">
        <f t="shared" si="91"/>
        <v>[W3252.7]</v>
      </c>
      <c r="U1399" s="12" t="str">
        <f t="shared" si="92"/>
        <v>] 5차 클린칭 도어곡면 클램프 우측 전진 시간초과 (X6D8, Y6F0)</v>
      </c>
      <c r="V1399" s="49" t="str">
        <f t="shared" si="93"/>
        <v>[W3252.7]] 5차 클린칭 도어곡면 클램프 우측 전진 시간초과 (X6D8, Y6F0)</v>
      </c>
    </row>
    <row r="1400" spans="1:22" s="49" customFormat="1" ht="14.15" customHeight="1">
      <c r="A1400" s="43" t="s">
        <v>6675</v>
      </c>
      <c r="B1400" s="44" t="s">
        <v>6635</v>
      </c>
      <c r="C1400" s="50"/>
      <c r="D1400" s="10" t="s">
        <v>29</v>
      </c>
      <c r="E1400" s="11"/>
      <c r="F1400" s="11" t="s">
        <v>18</v>
      </c>
      <c r="G1400" s="13"/>
      <c r="H1400" s="45" t="s">
        <v>16</v>
      </c>
      <c r="I1400" s="46"/>
      <c r="J1400" s="12" t="s">
        <v>6486</v>
      </c>
      <c r="K1400" s="13" t="s">
        <v>8171</v>
      </c>
      <c r="L1400" s="99" t="str">
        <f t="shared" si="88"/>
        <v>W3252.8</v>
      </c>
      <c r="M1400" s="13" t="s">
        <v>17</v>
      </c>
      <c r="N1400" s="13"/>
      <c r="O1400" s="13"/>
      <c r="P1400" s="47"/>
      <c r="Q1400" s="45" t="s">
        <v>142</v>
      </c>
      <c r="R1400" s="45" t="s">
        <v>5596</v>
      </c>
      <c r="S1400" s="48"/>
      <c r="T1400" s="49" t="str">
        <f t="shared" si="91"/>
        <v>[W3252.8]</v>
      </c>
      <c r="U1400" s="12" t="str">
        <f t="shared" si="92"/>
        <v>] 5차 클린칭 도어곡면 클램프 우측 후진 시간초과 (X6D9, Y6F1)</v>
      </c>
      <c r="V1400" s="49" t="str">
        <f t="shared" si="93"/>
        <v>[W3252.8]] 5차 클린칭 도어곡면 클램프 우측 후진 시간초과 (X6D9, Y6F1)</v>
      </c>
    </row>
    <row r="1401" spans="1:22" s="49" customFormat="1" ht="14.15" customHeight="1">
      <c r="A1401" s="43" t="s">
        <v>6675</v>
      </c>
      <c r="B1401" s="44" t="s">
        <v>6635</v>
      </c>
      <c r="C1401" s="50"/>
      <c r="D1401" s="10" t="s">
        <v>29</v>
      </c>
      <c r="E1401" s="11"/>
      <c r="F1401" s="11" t="s">
        <v>18</v>
      </c>
      <c r="G1401" s="13"/>
      <c r="H1401" s="45" t="s">
        <v>16</v>
      </c>
      <c r="I1401" s="47"/>
      <c r="J1401" s="12" t="s">
        <v>6487</v>
      </c>
      <c r="K1401" s="13" t="s">
        <v>8172</v>
      </c>
      <c r="L1401" s="99" t="str">
        <f t="shared" si="88"/>
        <v>W3252.9</v>
      </c>
      <c r="M1401" s="13" t="s">
        <v>17</v>
      </c>
      <c r="N1401" s="13"/>
      <c r="O1401" s="13"/>
      <c r="P1401" s="47"/>
      <c r="Q1401" s="45" t="s">
        <v>142</v>
      </c>
      <c r="R1401" s="45" t="s">
        <v>5596</v>
      </c>
      <c r="S1401" s="48"/>
      <c r="T1401" s="49" t="str">
        <f t="shared" si="91"/>
        <v>[W3252.9]</v>
      </c>
      <c r="U1401" s="12" t="str">
        <f t="shared" si="92"/>
        <v>] 5차 클린칭 도어곡면 클램프 우측 전진/후진 센서이상 (X6D8, X6D9)</v>
      </c>
      <c r="V1401" s="49" t="str">
        <f t="shared" si="93"/>
        <v>[W3252.9]] 5차 클린칭 도어곡면 클램프 우측 전진/후진 센서이상 (X6D8, X6D9)</v>
      </c>
    </row>
    <row r="1402" spans="1:22" s="49" customFormat="1" ht="14.15" customHeight="1">
      <c r="A1402" s="43" t="s">
        <v>6675</v>
      </c>
      <c r="B1402" s="44" t="s">
        <v>6635</v>
      </c>
      <c r="C1402" s="50"/>
      <c r="D1402" s="10" t="s">
        <v>29</v>
      </c>
      <c r="E1402" s="11"/>
      <c r="F1402" s="11" t="s">
        <v>18</v>
      </c>
      <c r="G1402" s="13"/>
      <c r="H1402" s="45" t="s">
        <v>16</v>
      </c>
      <c r="I1402" s="46"/>
      <c r="J1402" s="12" t="s">
        <v>6488</v>
      </c>
      <c r="K1402" s="13" t="s">
        <v>8173</v>
      </c>
      <c r="L1402" s="99" t="str">
        <f t="shared" si="88"/>
        <v>W3252.A</v>
      </c>
      <c r="M1402" s="13" t="s">
        <v>17</v>
      </c>
      <c r="N1402" s="13"/>
      <c r="O1402" s="13"/>
      <c r="P1402" s="47"/>
      <c r="Q1402" s="45" t="s">
        <v>142</v>
      </c>
      <c r="R1402" s="45" t="s">
        <v>5596</v>
      </c>
      <c r="S1402" s="48"/>
      <c r="T1402" s="49" t="str">
        <f t="shared" si="91"/>
        <v>[W3252.A]</v>
      </c>
      <c r="U1402" s="12" t="str">
        <f t="shared" si="92"/>
        <v>] 5차 클린칭 도어곡면 클램프 좌측 전진 시간초과 (X6DA, Y6F2)</v>
      </c>
      <c r="V1402" s="49" t="str">
        <f t="shared" si="93"/>
        <v>[W3252.A]] 5차 클린칭 도어곡면 클램프 좌측 전진 시간초과 (X6DA, Y6F2)</v>
      </c>
    </row>
    <row r="1403" spans="1:22" s="49" customFormat="1" ht="14.15" customHeight="1">
      <c r="A1403" s="43" t="s">
        <v>6675</v>
      </c>
      <c r="B1403" s="44" t="s">
        <v>6635</v>
      </c>
      <c r="C1403" s="50"/>
      <c r="D1403" s="10" t="s">
        <v>29</v>
      </c>
      <c r="E1403" s="11"/>
      <c r="F1403" s="11" t="s">
        <v>18</v>
      </c>
      <c r="G1403" s="13"/>
      <c r="H1403" s="45" t="s">
        <v>16</v>
      </c>
      <c r="I1403" s="47"/>
      <c r="J1403" s="12" t="s">
        <v>6489</v>
      </c>
      <c r="K1403" s="13" t="s">
        <v>8174</v>
      </c>
      <c r="L1403" s="99" t="str">
        <f t="shared" si="88"/>
        <v>W3252.B</v>
      </c>
      <c r="M1403" s="13" t="s">
        <v>17</v>
      </c>
      <c r="N1403" s="13"/>
      <c r="O1403" s="13"/>
      <c r="P1403" s="47"/>
      <c r="Q1403" s="45" t="s">
        <v>142</v>
      </c>
      <c r="R1403" s="45" t="s">
        <v>5596</v>
      </c>
      <c r="S1403" s="48"/>
      <c r="U1403" s="12"/>
    </row>
    <row r="1404" spans="1:22" s="49" customFormat="1" ht="14.15" customHeight="1">
      <c r="A1404" s="43" t="s">
        <v>6675</v>
      </c>
      <c r="B1404" s="44" t="s">
        <v>6635</v>
      </c>
      <c r="C1404" s="50"/>
      <c r="D1404" s="10" t="s">
        <v>29</v>
      </c>
      <c r="E1404" s="11"/>
      <c r="F1404" s="11" t="s">
        <v>18</v>
      </c>
      <c r="G1404" s="13"/>
      <c r="H1404" s="45" t="s">
        <v>16</v>
      </c>
      <c r="I1404" s="47"/>
      <c r="J1404" s="12" t="s">
        <v>6490</v>
      </c>
      <c r="K1404" s="13" t="s">
        <v>8175</v>
      </c>
      <c r="L1404" s="99" t="str">
        <f t="shared" si="88"/>
        <v>W3252.C</v>
      </c>
      <c r="M1404" s="13" t="s">
        <v>17</v>
      </c>
      <c r="N1404" s="13"/>
      <c r="O1404" s="13"/>
      <c r="P1404" s="47"/>
      <c r="Q1404" s="45" t="s">
        <v>142</v>
      </c>
      <c r="R1404" s="45" t="s">
        <v>5596</v>
      </c>
      <c r="S1404" s="48"/>
      <c r="U1404" s="12"/>
    </row>
    <row r="1405" spans="1:22" s="49" customFormat="1" ht="14.15" customHeight="1">
      <c r="A1405" s="43" t="s">
        <v>6675</v>
      </c>
      <c r="B1405" s="44" t="s">
        <v>6635</v>
      </c>
      <c r="C1405" s="50"/>
      <c r="D1405" s="10" t="s">
        <v>29</v>
      </c>
      <c r="E1405" s="11"/>
      <c r="F1405" s="11" t="s">
        <v>18</v>
      </c>
      <c r="G1405" s="13"/>
      <c r="H1405" s="45" t="s">
        <v>16</v>
      </c>
      <c r="I1405" s="47"/>
      <c r="J1405" s="12" t="s">
        <v>6491</v>
      </c>
      <c r="K1405" s="13" t="s">
        <v>8176</v>
      </c>
      <c r="L1405" s="99" t="str">
        <f t="shared" si="88"/>
        <v>W3252.D</v>
      </c>
      <c r="M1405" s="13" t="s">
        <v>17</v>
      </c>
      <c r="N1405" s="13"/>
      <c r="O1405" s="13"/>
      <c r="P1405" s="47"/>
      <c r="Q1405" s="45" t="s">
        <v>142</v>
      </c>
      <c r="R1405" s="45" t="s">
        <v>5596</v>
      </c>
      <c r="S1405" s="48"/>
      <c r="U1405" s="12"/>
    </row>
    <row r="1406" spans="1:22" s="49" customFormat="1" ht="14.15" customHeight="1">
      <c r="A1406" s="43" t="s">
        <v>6675</v>
      </c>
      <c r="B1406" s="44" t="s">
        <v>6635</v>
      </c>
      <c r="C1406" s="50"/>
      <c r="D1406" s="10" t="s">
        <v>29</v>
      </c>
      <c r="E1406" s="11"/>
      <c r="F1406" s="11" t="s">
        <v>18</v>
      </c>
      <c r="G1406" s="13"/>
      <c r="H1406" s="45" t="s">
        <v>16</v>
      </c>
      <c r="I1406" s="47"/>
      <c r="J1406" s="12" t="s">
        <v>6492</v>
      </c>
      <c r="K1406" s="13" t="s">
        <v>8177</v>
      </c>
      <c r="L1406" s="99" t="str">
        <f t="shared" si="88"/>
        <v>W3252.E</v>
      </c>
      <c r="M1406" s="13" t="s">
        <v>17</v>
      </c>
      <c r="N1406" s="13"/>
      <c r="O1406" s="13"/>
      <c r="P1406" s="47"/>
      <c r="Q1406" s="45" t="s">
        <v>142</v>
      </c>
      <c r="R1406" s="45" t="s">
        <v>5596</v>
      </c>
      <c r="S1406" s="48"/>
      <c r="U1406" s="12"/>
    </row>
    <row r="1407" spans="1:22" s="49" customFormat="1" ht="14.15" customHeight="1">
      <c r="A1407" s="43" t="s">
        <v>6675</v>
      </c>
      <c r="B1407" s="44" t="s">
        <v>6635</v>
      </c>
      <c r="C1407" s="50"/>
      <c r="D1407" s="10" t="s">
        <v>29</v>
      </c>
      <c r="E1407" s="11"/>
      <c r="F1407" s="11" t="s">
        <v>18</v>
      </c>
      <c r="G1407" s="13"/>
      <c r="H1407" s="45" t="s">
        <v>16</v>
      </c>
      <c r="I1407" s="47"/>
      <c r="J1407" s="12" t="s">
        <v>6493</v>
      </c>
      <c r="K1407" s="13" t="s">
        <v>8178</v>
      </c>
      <c r="L1407" s="99" t="str">
        <f t="shared" si="88"/>
        <v>W3252.F</v>
      </c>
      <c r="M1407" s="13" t="s">
        <v>17</v>
      </c>
      <c r="N1407" s="13"/>
      <c r="O1407" s="13"/>
      <c r="P1407" s="47"/>
      <c r="Q1407" s="45" t="s">
        <v>142</v>
      </c>
      <c r="R1407" s="45" t="s">
        <v>5596</v>
      </c>
      <c r="S1407" s="48"/>
      <c r="U1407" s="12"/>
    </row>
    <row r="1408" spans="1:22" s="49" customFormat="1" ht="14.15" customHeight="1">
      <c r="A1408" s="43" t="s">
        <v>6675</v>
      </c>
      <c r="B1408" s="44" t="s">
        <v>6635</v>
      </c>
      <c r="C1408" s="50"/>
      <c r="D1408" s="10" t="s">
        <v>29</v>
      </c>
      <c r="E1408" s="11"/>
      <c r="F1408" s="11" t="s">
        <v>18</v>
      </c>
      <c r="G1408" s="13"/>
      <c r="H1408" s="45" t="s">
        <v>16</v>
      </c>
      <c r="I1408" s="47"/>
      <c r="J1408" s="12" t="s">
        <v>6494</v>
      </c>
      <c r="K1408" s="13" t="s">
        <v>8179</v>
      </c>
      <c r="L1408" s="99" t="str">
        <f t="shared" si="88"/>
        <v>W3253.0</v>
      </c>
      <c r="M1408" s="13" t="s">
        <v>17</v>
      </c>
      <c r="N1408" s="13"/>
      <c r="O1408" s="13"/>
      <c r="P1408" s="47"/>
      <c r="Q1408" s="45" t="s">
        <v>142</v>
      </c>
      <c r="R1408" s="45" t="s">
        <v>5596</v>
      </c>
      <c r="S1408" s="48"/>
      <c r="U1408" s="12"/>
    </row>
    <row r="1409" spans="1:22" s="49" customFormat="1" ht="14.15" customHeight="1">
      <c r="A1409" s="43" t="s">
        <v>6675</v>
      </c>
      <c r="B1409" s="44" t="s">
        <v>6635</v>
      </c>
      <c r="C1409" s="50"/>
      <c r="D1409" s="10" t="s">
        <v>29</v>
      </c>
      <c r="E1409" s="11"/>
      <c r="F1409" s="11" t="s">
        <v>18</v>
      </c>
      <c r="G1409" s="13"/>
      <c r="H1409" s="45" t="s">
        <v>16</v>
      </c>
      <c r="I1409" s="47"/>
      <c r="J1409" s="12" t="s">
        <v>6495</v>
      </c>
      <c r="K1409" s="13" t="s">
        <v>8180</v>
      </c>
      <c r="L1409" s="99" t="str">
        <f t="shared" si="88"/>
        <v>W3253.1</v>
      </c>
      <c r="M1409" s="13" t="s">
        <v>17</v>
      </c>
      <c r="N1409" s="13"/>
      <c r="O1409" s="13"/>
      <c r="P1409" s="47"/>
      <c r="Q1409" s="45" t="s">
        <v>142</v>
      </c>
      <c r="R1409" s="45" t="s">
        <v>5596</v>
      </c>
      <c r="S1409" s="48"/>
      <c r="U1409" s="12"/>
    </row>
    <row r="1410" spans="1:22" s="49" customFormat="1" ht="14.15" customHeight="1">
      <c r="A1410" s="43" t="s">
        <v>6675</v>
      </c>
      <c r="B1410" s="44" t="s">
        <v>6635</v>
      </c>
      <c r="C1410" s="50"/>
      <c r="D1410" s="10" t="s">
        <v>29</v>
      </c>
      <c r="E1410" s="11"/>
      <c r="F1410" s="11" t="s">
        <v>18</v>
      </c>
      <c r="G1410" s="13"/>
      <c r="H1410" s="45" t="s">
        <v>16</v>
      </c>
      <c r="I1410" s="47"/>
      <c r="J1410" s="12" t="s">
        <v>6496</v>
      </c>
      <c r="K1410" s="13" t="s">
        <v>8181</v>
      </c>
      <c r="L1410" s="99" t="str">
        <f t="shared" si="88"/>
        <v>W3253.2</v>
      </c>
      <c r="M1410" s="13" t="s">
        <v>17</v>
      </c>
      <c r="N1410" s="13"/>
      <c r="O1410" s="13"/>
      <c r="P1410" s="47"/>
      <c r="Q1410" s="45" t="s">
        <v>142</v>
      </c>
      <c r="R1410" s="45" t="s">
        <v>5596</v>
      </c>
      <c r="S1410" s="48"/>
      <c r="U1410" s="12"/>
    </row>
    <row r="1411" spans="1:22" s="49" customFormat="1" ht="14.15" customHeight="1">
      <c r="A1411" s="43" t="s">
        <v>6675</v>
      </c>
      <c r="B1411" s="44" t="s">
        <v>6635</v>
      </c>
      <c r="C1411" s="50"/>
      <c r="D1411" s="10" t="s">
        <v>29</v>
      </c>
      <c r="E1411" s="11"/>
      <c r="F1411" s="11" t="s">
        <v>18</v>
      </c>
      <c r="G1411" s="13"/>
      <c r="H1411" s="45" t="s">
        <v>16</v>
      </c>
      <c r="I1411" s="47"/>
      <c r="J1411" s="12" t="s">
        <v>6497</v>
      </c>
      <c r="K1411" s="13" t="s">
        <v>8182</v>
      </c>
      <c r="L1411" s="99" t="str">
        <f t="shared" si="88"/>
        <v>W3253.3</v>
      </c>
      <c r="M1411" s="13" t="s">
        <v>17</v>
      </c>
      <c r="N1411" s="13"/>
      <c r="O1411" s="13"/>
      <c r="P1411" s="47"/>
      <c r="Q1411" s="45" t="s">
        <v>142</v>
      </c>
      <c r="R1411" s="45" t="s">
        <v>5596</v>
      </c>
      <c r="S1411" s="48"/>
      <c r="U1411" s="12"/>
    </row>
    <row r="1412" spans="1:22" s="49" customFormat="1" ht="14.15" customHeight="1">
      <c r="A1412" s="43" t="s">
        <v>6675</v>
      </c>
      <c r="B1412" s="44" t="s">
        <v>6635</v>
      </c>
      <c r="C1412" s="50"/>
      <c r="D1412" s="10" t="s">
        <v>29</v>
      </c>
      <c r="E1412" s="11"/>
      <c r="F1412" s="11" t="s">
        <v>18</v>
      </c>
      <c r="G1412" s="13"/>
      <c r="H1412" s="45" t="s">
        <v>16</v>
      </c>
      <c r="I1412" s="47"/>
      <c r="J1412" s="12" t="s">
        <v>6498</v>
      </c>
      <c r="K1412" s="13" t="s">
        <v>8183</v>
      </c>
      <c r="L1412" s="99" t="str">
        <f t="shared" si="88"/>
        <v>W3253.4</v>
      </c>
      <c r="M1412" s="13" t="s">
        <v>17</v>
      </c>
      <c r="N1412" s="13"/>
      <c r="O1412" s="13"/>
      <c r="P1412" s="47"/>
      <c r="Q1412" s="45" t="s">
        <v>142</v>
      </c>
      <c r="R1412" s="45" t="s">
        <v>5596</v>
      </c>
      <c r="S1412" s="48"/>
      <c r="T1412" s="49" t="str">
        <f t="shared" si="91"/>
        <v>[W3253.4]</v>
      </c>
      <c r="U1412" s="12" t="str">
        <f t="shared" si="92"/>
        <v>] 5차 클린칭 전면 클램프 후진 시간초과 (X782, Y6F8)</v>
      </c>
      <c r="V1412" s="49" t="str">
        <f t="shared" si="93"/>
        <v>[W3253.4]] 5차 클린칭 전면 클램프 후진 시간초과 (X782, Y6F8)</v>
      </c>
    </row>
    <row r="1413" spans="1:22" s="49" customFormat="1" ht="14.15" customHeight="1">
      <c r="A1413" s="43" t="s">
        <v>6675</v>
      </c>
      <c r="B1413" s="44" t="s">
        <v>6635</v>
      </c>
      <c r="C1413" s="50"/>
      <c r="D1413" s="10" t="s">
        <v>29</v>
      </c>
      <c r="E1413" s="11"/>
      <c r="F1413" s="11" t="s">
        <v>18</v>
      </c>
      <c r="G1413" s="13"/>
      <c r="H1413" s="45" t="s">
        <v>16</v>
      </c>
      <c r="I1413" s="46"/>
      <c r="J1413" s="12" t="s">
        <v>6499</v>
      </c>
      <c r="K1413" s="13" t="s">
        <v>8184</v>
      </c>
      <c r="L1413" s="99" t="str">
        <f t="shared" si="88"/>
        <v>W3253.5</v>
      </c>
      <c r="M1413" s="13" t="s">
        <v>17</v>
      </c>
      <c r="N1413" s="13"/>
      <c r="O1413" s="13"/>
      <c r="P1413" s="47"/>
      <c r="Q1413" s="45" t="s">
        <v>142</v>
      </c>
      <c r="R1413" s="45" t="s">
        <v>5596</v>
      </c>
      <c r="S1413" s="48"/>
      <c r="T1413" s="49" t="str">
        <f t="shared" si="91"/>
        <v>[W3253.5]</v>
      </c>
      <c r="U1413" s="12" t="str">
        <f t="shared" si="92"/>
        <v>] 5차 클린칭 전면 클램프 전진/후진 센서이상 (X781, X782)</v>
      </c>
      <c r="V1413" s="49" t="str">
        <f t="shared" si="93"/>
        <v>[W3253.5]] 5차 클린칭 전면 클램프 전진/후진 센서이상 (X781, X782)</v>
      </c>
    </row>
    <row r="1414" spans="1:22" s="49" customFormat="1" ht="14.15" customHeight="1">
      <c r="A1414" s="43" t="s">
        <v>6675</v>
      </c>
      <c r="B1414" s="44" t="s">
        <v>6635</v>
      </c>
      <c r="C1414" s="50"/>
      <c r="D1414" s="10" t="s">
        <v>29</v>
      </c>
      <c r="E1414" s="11"/>
      <c r="F1414" s="11" t="s">
        <v>18</v>
      </c>
      <c r="G1414" s="13"/>
      <c r="H1414" s="45" t="s">
        <v>16</v>
      </c>
      <c r="I1414" s="47"/>
      <c r="J1414" s="12" t="s">
        <v>6500</v>
      </c>
      <c r="K1414" s="13" t="s">
        <v>8185</v>
      </c>
      <c r="L1414" s="99" t="str">
        <f t="shared" si="88"/>
        <v>W3253.6</v>
      </c>
      <c r="M1414" s="13" t="s">
        <v>17</v>
      </c>
      <c r="N1414" s="13"/>
      <c r="O1414" s="13"/>
      <c r="P1414" s="47"/>
      <c r="Q1414" s="45" t="s">
        <v>142</v>
      </c>
      <c r="R1414" s="45" t="s">
        <v>5596</v>
      </c>
      <c r="S1414" s="48"/>
      <c r="T1414" s="49" t="str">
        <f t="shared" si="91"/>
        <v>[W3253.6]</v>
      </c>
      <c r="U1414" s="12" t="str">
        <f t="shared" si="92"/>
        <v>] 5차 클린칭 측면 클램프 전진 시간초과 (X68F, X69B, Y6FB)</v>
      </c>
      <c r="V1414" s="49" t="str">
        <f t="shared" si="93"/>
        <v>[W3253.6]] 5차 클린칭 측면 클램프 전진 시간초과 (X68F, X69B, Y6FB)</v>
      </c>
    </row>
    <row r="1415" spans="1:22" s="49" customFormat="1" ht="14.15" customHeight="1">
      <c r="A1415" s="43" t="s">
        <v>6675</v>
      </c>
      <c r="B1415" s="44" t="s">
        <v>6635</v>
      </c>
      <c r="C1415" s="50"/>
      <c r="D1415" s="10" t="s">
        <v>29</v>
      </c>
      <c r="E1415" s="11"/>
      <c r="F1415" s="11" t="s">
        <v>18</v>
      </c>
      <c r="G1415" s="13"/>
      <c r="H1415" s="45" t="s">
        <v>16</v>
      </c>
      <c r="I1415" s="46"/>
      <c r="J1415" s="12" t="s">
        <v>6501</v>
      </c>
      <c r="K1415" s="13" t="s">
        <v>8186</v>
      </c>
      <c r="L1415" s="99" t="str">
        <f t="shared" si="88"/>
        <v>W3253.7</v>
      </c>
      <c r="M1415" s="13" t="s">
        <v>17</v>
      </c>
      <c r="N1415" s="13"/>
      <c r="O1415" s="13"/>
      <c r="P1415" s="47"/>
      <c r="Q1415" s="45" t="s">
        <v>142</v>
      </c>
      <c r="R1415" s="45" t="s">
        <v>5596</v>
      </c>
      <c r="S1415" s="48"/>
      <c r="T1415" s="49" t="str">
        <f t="shared" si="91"/>
        <v>[W3253.7]</v>
      </c>
      <c r="U1415" s="12" t="str">
        <f t="shared" si="92"/>
        <v>] 5차 클린칭 측면 클램프 후진 시간초과 (X68E, X69A, Y6FA)</v>
      </c>
      <c r="V1415" s="49" t="str">
        <f t="shared" si="93"/>
        <v>[W3253.7]] 5차 클린칭 측면 클램프 후진 시간초과 (X68E, X69A, Y6FA)</v>
      </c>
    </row>
    <row r="1416" spans="1:22" s="49" customFormat="1" ht="14.15" customHeight="1">
      <c r="A1416" s="43" t="s">
        <v>6675</v>
      </c>
      <c r="B1416" s="44" t="s">
        <v>6635</v>
      </c>
      <c r="C1416" s="50"/>
      <c r="D1416" s="10" t="s">
        <v>29</v>
      </c>
      <c r="E1416" s="11"/>
      <c r="F1416" s="11" t="s">
        <v>18</v>
      </c>
      <c r="G1416" s="13"/>
      <c r="H1416" s="45" t="s">
        <v>16</v>
      </c>
      <c r="I1416" s="46"/>
      <c r="J1416" s="12" t="s">
        <v>6502</v>
      </c>
      <c r="K1416" s="13" t="s">
        <v>8187</v>
      </c>
      <c r="L1416" s="99" t="str">
        <f t="shared" si="88"/>
        <v>W3253.8</v>
      </c>
      <c r="M1416" s="13" t="s">
        <v>17</v>
      </c>
      <c r="N1416" s="13"/>
      <c r="O1416" s="13"/>
      <c r="P1416" s="47"/>
      <c r="Q1416" s="45" t="s">
        <v>142</v>
      </c>
      <c r="R1416" s="45" t="s">
        <v>5596</v>
      </c>
      <c r="S1416" s="48"/>
      <c r="U1416" s="12"/>
    </row>
    <row r="1417" spans="1:22" s="49" customFormat="1" ht="14.15" customHeight="1">
      <c r="A1417" s="43" t="s">
        <v>6675</v>
      </c>
      <c r="B1417" s="44" t="s">
        <v>6635</v>
      </c>
      <c r="C1417" s="50"/>
      <c r="D1417" s="10" t="s">
        <v>29</v>
      </c>
      <c r="E1417" s="11"/>
      <c r="F1417" s="11" t="s">
        <v>18</v>
      </c>
      <c r="G1417" s="13"/>
      <c r="H1417" s="45" t="s">
        <v>16</v>
      </c>
      <c r="I1417" s="46"/>
      <c r="J1417" s="12" t="s">
        <v>6503</v>
      </c>
      <c r="K1417" s="13" t="s">
        <v>8188</v>
      </c>
      <c r="L1417" s="99" t="str">
        <f t="shared" si="88"/>
        <v>W3253.9</v>
      </c>
      <c r="M1417" s="13" t="s">
        <v>17</v>
      </c>
      <c r="N1417" s="13"/>
      <c r="O1417" s="13"/>
      <c r="P1417" s="47"/>
      <c r="Q1417" s="45" t="s">
        <v>142</v>
      </c>
      <c r="R1417" s="45" t="s">
        <v>5596</v>
      </c>
      <c r="S1417" s="48"/>
      <c r="U1417" s="12"/>
    </row>
    <row r="1418" spans="1:22" s="49" customFormat="1" ht="14.15" customHeight="1">
      <c r="A1418" s="43" t="s">
        <v>6675</v>
      </c>
      <c r="B1418" s="44" t="s">
        <v>6635</v>
      </c>
      <c r="C1418" s="50"/>
      <c r="D1418" s="10" t="s">
        <v>29</v>
      </c>
      <c r="E1418" s="11"/>
      <c r="F1418" s="11" t="s">
        <v>18</v>
      </c>
      <c r="G1418" s="13"/>
      <c r="H1418" s="45" t="s">
        <v>16</v>
      </c>
      <c r="I1418" s="46"/>
      <c r="J1418" s="12" t="s">
        <v>6504</v>
      </c>
      <c r="K1418" s="13" t="s">
        <v>8189</v>
      </c>
      <c r="L1418" s="99" t="str">
        <f t="shared" si="88"/>
        <v>W3253.A</v>
      </c>
      <c r="M1418" s="13" t="s">
        <v>17</v>
      </c>
      <c r="N1418" s="13"/>
      <c r="O1418" s="13"/>
      <c r="P1418" s="47"/>
      <c r="Q1418" s="45" t="s">
        <v>142</v>
      </c>
      <c r="R1418" s="45" t="s">
        <v>5596</v>
      </c>
      <c r="S1418" s="48"/>
      <c r="U1418" s="12"/>
    </row>
    <row r="1419" spans="1:22" s="49" customFormat="1" ht="14.15" customHeight="1">
      <c r="A1419" s="59"/>
      <c r="B1419" s="44" t="s">
        <v>6635</v>
      </c>
      <c r="C1419" s="50"/>
      <c r="D1419" s="10" t="s">
        <v>29</v>
      </c>
      <c r="E1419" s="11"/>
      <c r="F1419" s="11" t="s">
        <v>18</v>
      </c>
      <c r="G1419" s="13"/>
      <c r="H1419" s="45" t="s">
        <v>16</v>
      </c>
      <c r="I1419" s="46"/>
      <c r="J1419" s="12" t="s">
        <v>4264</v>
      </c>
      <c r="K1419" s="13" t="s">
        <v>8190</v>
      </c>
      <c r="L1419" s="99" t="str">
        <f t="shared" si="88"/>
        <v>W3253.B</v>
      </c>
      <c r="M1419" s="13"/>
      <c r="N1419" s="13"/>
      <c r="O1419" s="13"/>
      <c r="P1419" s="47"/>
      <c r="Q1419" s="45"/>
      <c r="R1419" s="45"/>
      <c r="S1419" s="48"/>
      <c r="U1419" s="12"/>
    </row>
    <row r="1420" spans="1:22" s="49" customFormat="1" ht="14.15" customHeight="1">
      <c r="A1420" s="59"/>
      <c r="B1420" s="44" t="s">
        <v>6635</v>
      </c>
      <c r="C1420" s="50"/>
      <c r="D1420" s="10" t="s">
        <v>29</v>
      </c>
      <c r="E1420" s="11"/>
      <c r="F1420" s="11" t="s">
        <v>18</v>
      </c>
      <c r="G1420" s="13"/>
      <c r="H1420" s="45" t="s">
        <v>16</v>
      </c>
      <c r="I1420" s="46"/>
      <c r="J1420" s="12" t="s">
        <v>4265</v>
      </c>
      <c r="K1420" s="13" t="s">
        <v>8191</v>
      </c>
      <c r="L1420" s="99" t="str">
        <f t="shared" si="88"/>
        <v>W3253.C</v>
      </c>
      <c r="M1420" s="13"/>
      <c r="N1420" s="13"/>
      <c r="O1420" s="13"/>
      <c r="P1420" s="47"/>
      <c r="Q1420" s="45"/>
      <c r="R1420" s="45"/>
      <c r="S1420" s="48"/>
      <c r="U1420" s="12"/>
    </row>
    <row r="1421" spans="1:22" s="49" customFormat="1" ht="14.15" customHeight="1">
      <c r="A1421" s="59"/>
      <c r="B1421" s="44" t="s">
        <v>6635</v>
      </c>
      <c r="C1421" s="50"/>
      <c r="D1421" s="10" t="s">
        <v>29</v>
      </c>
      <c r="E1421" s="11"/>
      <c r="F1421" s="11" t="s">
        <v>18</v>
      </c>
      <c r="G1421" s="13"/>
      <c r="H1421" s="45" t="s">
        <v>16</v>
      </c>
      <c r="I1421" s="46"/>
      <c r="J1421" s="12" t="s">
        <v>4266</v>
      </c>
      <c r="K1421" s="13" t="s">
        <v>8192</v>
      </c>
      <c r="L1421" s="99" t="str">
        <f t="shared" si="88"/>
        <v>W3253.D</v>
      </c>
      <c r="M1421" s="13"/>
      <c r="N1421" s="13"/>
      <c r="O1421" s="13"/>
      <c r="P1421" s="47"/>
      <c r="Q1421" s="45"/>
      <c r="R1421" s="45"/>
      <c r="S1421" s="48"/>
      <c r="U1421" s="12"/>
    </row>
    <row r="1422" spans="1:22" s="49" customFormat="1" ht="14.15" customHeight="1">
      <c r="A1422" s="59"/>
      <c r="B1422" s="44" t="s">
        <v>6635</v>
      </c>
      <c r="C1422" s="50"/>
      <c r="D1422" s="10" t="s">
        <v>29</v>
      </c>
      <c r="E1422" s="11"/>
      <c r="F1422" s="11" t="s">
        <v>18</v>
      </c>
      <c r="G1422" s="13"/>
      <c r="H1422" s="45" t="s">
        <v>16</v>
      </c>
      <c r="I1422" s="46"/>
      <c r="J1422" s="12" t="s">
        <v>4267</v>
      </c>
      <c r="K1422" s="13" t="s">
        <v>8193</v>
      </c>
      <c r="L1422" s="99" t="str">
        <f t="shared" si="88"/>
        <v>W3253.E</v>
      </c>
      <c r="M1422" s="13"/>
      <c r="N1422" s="13"/>
      <c r="O1422" s="13"/>
      <c r="P1422" s="47"/>
      <c r="Q1422" s="45"/>
      <c r="R1422" s="45"/>
      <c r="S1422" s="48"/>
      <c r="U1422" s="12"/>
    </row>
    <row r="1423" spans="1:22" s="49" customFormat="1" ht="14.15" customHeight="1">
      <c r="A1423" s="59"/>
      <c r="B1423" s="44" t="s">
        <v>6635</v>
      </c>
      <c r="C1423" s="50"/>
      <c r="D1423" s="10" t="s">
        <v>29</v>
      </c>
      <c r="E1423" s="11"/>
      <c r="F1423" s="11" t="s">
        <v>18</v>
      </c>
      <c r="G1423" s="13"/>
      <c r="H1423" s="45" t="s">
        <v>16</v>
      </c>
      <c r="I1423" s="46"/>
      <c r="J1423" s="12" t="s">
        <v>4268</v>
      </c>
      <c r="K1423" s="13" t="s">
        <v>8194</v>
      </c>
      <c r="L1423" s="99" t="str">
        <f t="shared" si="88"/>
        <v>W3253.F</v>
      </c>
      <c r="M1423" s="13"/>
      <c r="N1423" s="13"/>
      <c r="O1423" s="13"/>
      <c r="P1423" s="47"/>
      <c r="Q1423" s="45"/>
      <c r="R1423" s="45"/>
      <c r="S1423" s="48"/>
      <c r="U1423" s="12"/>
    </row>
    <row r="1424" spans="1:22" s="49" customFormat="1" ht="14.15" customHeight="1">
      <c r="A1424" s="59"/>
      <c r="B1424" s="44" t="s">
        <v>6635</v>
      </c>
      <c r="C1424" s="50"/>
      <c r="D1424" s="10" t="s">
        <v>29</v>
      </c>
      <c r="E1424" s="11"/>
      <c r="F1424" s="11" t="s">
        <v>18</v>
      </c>
      <c r="G1424" s="13"/>
      <c r="H1424" s="45" t="s">
        <v>16</v>
      </c>
      <c r="I1424" s="46"/>
      <c r="J1424" s="12" t="s">
        <v>4269</v>
      </c>
      <c r="K1424" s="13" t="s">
        <v>8195</v>
      </c>
      <c r="L1424" s="99" t="str">
        <f t="shared" si="88"/>
        <v>W3254.0</v>
      </c>
      <c r="M1424" s="13"/>
      <c r="N1424" s="13"/>
      <c r="O1424" s="13"/>
      <c r="P1424" s="47"/>
      <c r="Q1424" s="45"/>
      <c r="R1424" s="45"/>
      <c r="S1424" s="48"/>
      <c r="U1424" s="12"/>
    </row>
    <row r="1425" spans="1:22" s="49" customFormat="1" ht="14.15" customHeight="1">
      <c r="A1425" s="59"/>
      <c r="B1425" s="44" t="s">
        <v>6635</v>
      </c>
      <c r="C1425" s="50"/>
      <c r="D1425" s="10" t="s">
        <v>29</v>
      </c>
      <c r="E1425" s="11"/>
      <c r="F1425" s="11" t="s">
        <v>18</v>
      </c>
      <c r="G1425" s="13"/>
      <c r="H1425" s="45" t="s">
        <v>16</v>
      </c>
      <c r="I1425" s="46"/>
      <c r="J1425" s="12" t="s">
        <v>4270</v>
      </c>
      <c r="K1425" s="13" t="s">
        <v>8196</v>
      </c>
      <c r="L1425" s="99" t="str">
        <f t="shared" ref="L1425:L1488" si="94">"W"&amp;DEC2HEX(12800 + INT((ROW()-80)/16)) &amp; "." &amp; IF(MOD(ROW()-80,16)&lt;10,MOD(ROW()-80,16),CHAR(MOD(ROW()-80,16)+55))</f>
        <v>W3254.1</v>
      </c>
      <c r="M1425" s="13"/>
      <c r="N1425" s="13"/>
      <c r="O1425" s="57"/>
      <c r="P1425" s="47"/>
      <c r="Q1425" s="45"/>
      <c r="R1425" s="45"/>
      <c r="S1425" s="48"/>
      <c r="T1425" s="49" t="str">
        <f t="shared" si="91"/>
        <v>[W3254.1]</v>
      </c>
      <c r="U1425" s="12" t="str">
        <f t="shared" si="92"/>
        <v>]</v>
      </c>
      <c r="V1425" s="49" t="str">
        <f t="shared" si="93"/>
        <v>[W3254.1]]</v>
      </c>
    </row>
    <row r="1426" spans="1:22" s="49" customFormat="1" ht="14.15" customHeight="1">
      <c r="A1426" s="59"/>
      <c r="B1426" s="44" t="s">
        <v>6635</v>
      </c>
      <c r="C1426" s="50"/>
      <c r="D1426" s="10" t="s">
        <v>29</v>
      </c>
      <c r="E1426" s="11"/>
      <c r="F1426" s="11" t="s">
        <v>18</v>
      </c>
      <c r="G1426" s="13"/>
      <c r="H1426" s="45" t="s">
        <v>16</v>
      </c>
      <c r="I1426" s="46"/>
      <c r="J1426" s="12" t="s">
        <v>4271</v>
      </c>
      <c r="K1426" s="13" t="s">
        <v>8197</v>
      </c>
      <c r="L1426" s="99" t="str">
        <f t="shared" si="94"/>
        <v>W3254.2</v>
      </c>
      <c r="M1426" s="13"/>
      <c r="N1426" s="13"/>
      <c r="O1426" s="57"/>
      <c r="P1426" s="47"/>
      <c r="Q1426" s="45"/>
      <c r="R1426" s="45"/>
      <c r="S1426" s="48"/>
      <c r="T1426" s="49" t="str">
        <f t="shared" si="91"/>
        <v>[W3254.2]</v>
      </c>
      <c r="U1426" s="12" t="str">
        <f t="shared" si="92"/>
        <v>]</v>
      </c>
      <c r="V1426" s="49" t="str">
        <f t="shared" si="93"/>
        <v>[W3254.2]]</v>
      </c>
    </row>
    <row r="1427" spans="1:22" s="49" customFormat="1" ht="14.15" customHeight="1">
      <c r="A1427" s="59"/>
      <c r="B1427" s="44" t="s">
        <v>6635</v>
      </c>
      <c r="C1427" s="50"/>
      <c r="D1427" s="10" t="s">
        <v>29</v>
      </c>
      <c r="E1427" s="11"/>
      <c r="F1427" s="11" t="s">
        <v>18</v>
      </c>
      <c r="G1427" s="13"/>
      <c r="H1427" s="45" t="s">
        <v>16</v>
      </c>
      <c r="I1427" s="46"/>
      <c r="J1427" s="12" t="s">
        <v>4272</v>
      </c>
      <c r="K1427" s="13" t="s">
        <v>8198</v>
      </c>
      <c r="L1427" s="99" t="str">
        <f t="shared" si="94"/>
        <v>W3254.3</v>
      </c>
      <c r="M1427" s="13"/>
      <c r="N1427" s="13"/>
      <c r="O1427" s="57"/>
      <c r="P1427" s="47"/>
      <c r="Q1427" s="45"/>
      <c r="R1427" s="45"/>
      <c r="S1427" s="48"/>
      <c r="T1427" s="49" t="str">
        <f t="shared" si="91"/>
        <v>[W3254.3]</v>
      </c>
      <c r="U1427" s="12" t="str">
        <f t="shared" si="92"/>
        <v>]</v>
      </c>
      <c r="V1427" s="49" t="str">
        <f t="shared" si="93"/>
        <v>[W3254.3]]</v>
      </c>
    </row>
    <row r="1428" spans="1:22" s="49" customFormat="1" ht="14.15" customHeight="1">
      <c r="A1428" s="59"/>
      <c r="B1428" s="44" t="s">
        <v>6635</v>
      </c>
      <c r="C1428" s="50"/>
      <c r="D1428" s="10" t="s">
        <v>29</v>
      </c>
      <c r="E1428" s="11"/>
      <c r="F1428" s="11" t="s">
        <v>18</v>
      </c>
      <c r="G1428" s="13"/>
      <c r="H1428" s="45" t="s">
        <v>16</v>
      </c>
      <c r="I1428" s="46"/>
      <c r="J1428" s="12" t="s">
        <v>4273</v>
      </c>
      <c r="K1428" s="13" t="s">
        <v>8199</v>
      </c>
      <c r="L1428" s="99" t="str">
        <f t="shared" si="94"/>
        <v>W3254.4</v>
      </c>
      <c r="M1428" s="13"/>
      <c r="N1428" s="13"/>
      <c r="O1428" s="57"/>
      <c r="P1428" s="47"/>
      <c r="Q1428" s="45"/>
      <c r="R1428" s="45"/>
      <c r="S1428" s="48"/>
      <c r="T1428" s="49" t="str">
        <f t="shared" si="91"/>
        <v>[W3254.4]</v>
      </c>
      <c r="U1428" s="12" t="str">
        <f t="shared" si="92"/>
        <v>]</v>
      </c>
      <c r="V1428" s="49" t="str">
        <f t="shared" si="93"/>
        <v>[W3254.4]]</v>
      </c>
    </row>
    <row r="1429" spans="1:22" s="49" customFormat="1" ht="14.15" customHeight="1">
      <c r="A1429" s="60"/>
      <c r="B1429" s="44" t="s">
        <v>6635</v>
      </c>
      <c r="C1429" s="50"/>
      <c r="D1429" s="10" t="s">
        <v>29</v>
      </c>
      <c r="E1429" s="11"/>
      <c r="F1429" s="11" t="s">
        <v>18</v>
      </c>
      <c r="G1429" s="13"/>
      <c r="H1429" s="45" t="s">
        <v>16</v>
      </c>
      <c r="I1429" s="47"/>
      <c r="J1429" s="12" t="s">
        <v>4274</v>
      </c>
      <c r="K1429" s="13" t="s">
        <v>8200</v>
      </c>
      <c r="L1429" s="99" t="str">
        <f t="shared" si="94"/>
        <v>W3254.5</v>
      </c>
      <c r="M1429" s="13"/>
      <c r="N1429" s="13"/>
      <c r="O1429" s="56"/>
      <c r="P1429" s="53"/>
      <c r="Q1429" s="45"/>
      <c r="R1429" s="45"/>
      <c r="S1429" s="48"/>
      <c r="T1429" s="49" t="str">
        <f t="shared" si="91"/>
        <v>[W3254.5]</v>
      </c>
      <c r="U1429" s="12" t="str">
        <f t="shared" si="92"/>
        <v>]</v>
      </c>
      <c r="V1429" s="49" t="str">
        <f t="shared" si="93"/>
        <v>[W3254.5]]</v>
      </c>
    </row>
    <row r="1430" spans="1:22" s="49" customFormat="1" ht="14.15" customHeight="1">
      <c r="A1430" s="60"/>
      <c r="B1430" s="44" t="s">
        <v>6635</v>
      </c>
      <c r="C1430" s="50"/>
      <c r="D1430" s="10" t="s">
        <v>29</v>
      </c>
      <c r="E1430" s="11"/>
      <c r="F1430" s="11" t="s">
        <v>18</v>
      </c>
      <c r="G1430" s="13"/>
      <c r="H1430" s="45" t="s">
        <v>16</v>
      </c>
      <c r="I1430" s="47"/>
      <c r="J1430" s="12" t="s">
        <v>3324</v>
      </c>
      <c r="K1430" s="13" t="s">
        <v>8201</v>
      </c>
      <c r="L1430" s="99" t="str">
        <f t="shared" si="94"/>
        <v>W3254.6</v>
      </c>
      <c r="M1430" s="13"/>
      <c r="N1430" s="13"/>
      <c r="O1430" s="56"/>
      <c r="P1430" s="53"/>
      <c r="Q1430" s="45"/>
      <c r="R1430" s="45"/>
      <c r="S1430" s="48"/>
      <c r="T1430" s="49" t="str">
        <f t="shared" si="91"/>
        <v>[W3254.6]</v>
      </c>
      <c r="U1430" s="12" t="str">
        <f t="shared" si="92"/>
        <v>]</v>
      </c>
      <c r="V1430" s="49" t="str">
        <f t="shared" si="93"/>
        <v>[W3254.6]]</v>
      </c>
    </row>
    <row r="1431" spans="1:22" s="49" customFormat="1" ht="14.15" customHeight="1">
      <c r="A1431" s="60"/>
      <c r="B1431" s="44" t="s">
        <v>6635</v>
      </c>
      <c r="C1431" s="50"/>
      <c r="D1431" s="10" t="s">
        <v>29</v>
      </c>
      <c r="E1431" s="11"/>
      <c r="F1431" s="11" t="s">
        <v>18</v>
      </c>
      <c r="G1431" s="13"/>
      <c r="H1431" s="45" t="s">
        <v>16</v>
      </c>
      <c r="I1431" s="47"/>
      <c r="J1431" s="12" t="s">
        <v>4275</v>
      </c>
      <c r="K1431" s="13" t="s">
        <v>8202</v>
      </c>
      <c r="L1431" s="99" t="str">
        <f t="shared" si="94"/>
        <v>W3254.7</v>
      </c>
      <c r="M1431" s="13"/>
      <c r="N1431" s="13"/>
      <c r="O1431" s="56"/>
      <c r="P1431" s="53"/>
      <c r="Q1431" s="45"/>
      <c r="R1431" s="45"/>
      <c r="S1431" s="48"/>
      <c r="T1431" s="49" t="str">
        <f t="shared" si="91"/>
        <v>[W3254.7]</v>
      </c>
      <c r="U1431" s="12" t="str">
        <f t="shared" si="92"/>
        <v>]</v>
      </c>
      <c r="V1431" s="49" t="str">
        <f t="shared" si="93"/>
        <v>[W3254.7]]</v>
      </c>
    </row>
    <row r="1432" spans="1:22" s="49" customFormat="1" ht="14.15" customHeight="1">
      <c r="A1432" s="43" t="s">
        <v>6676</v>
      </c>
      <c r="B1432" s="44" t="s">
        <v>6635</v>
      </c>
      <c r="C1432" s="50"/>
      <c r="D1432" s="10" t="s">
        <v>29</v>
      </c>
      <c r="E1432" s="11"/>
      <c r="F1432" s="11" t="s">
        <v>18</v>
      </c>
      <c r="G1432" s="13"/>
      <c r="H1432" s="45" t="s">
        <v>16</v>
      </c>
      <c r="I1432" s="47"/>
      <c r="J1432" s="12" t="s">
        <v>6505</v>
      </c>
      <c r="K1432" s="13" t="s">
        <v>8203</v>
      </c>
      <c r="L1432" s="99" t="str">
        <f t="shared" si="94"/>
        <v>W3254.8</v>
      </c>
      <c r="M1432" s="13" t="s">
        <v>17</v>
      </c>
      <c r="N1432" s="13"/>
      <c r="O1432" s="13"/>
      <c r="P1432" s="47"/>
      <c r="Q1432" s="45" t="s">
        <v>142</v>
      </c>
      <c r="R1432" s="45" t="s">
        <v>5596</v>
      </c>
      <c r="S1432" s="48"/>
      <c r="T1432" s="49" t="str">
        <f t="shared" si="91"/>
        <v>[W3254.8]</v>
      </c>
      <c r="U1432" s="12" t="str">
        <f t="shared" si="92"/>
        <v>] 언로더 로봇 제품 감지에러 (X73A, L4011)</v>
      </c>
      <c r="V1432" s="49" t="str">
        <f t="shared" si="93"/>
        <v>[W3254.8]] 언로더 로봇 제품 감지에러 (X73A, L4011)</v>
      </c>
    </row>
    <row r="1433" spans="1:22" s="49" customFormat="1" ht="14.15" customHeight="1">
      <c r="A1433" s="60"/>
      <c r="B1433" s="44" t="s">
        <v>6635</v>
      </c>
      <c r="C1433" s="50"/>
      <c r="D1433" s="10" t="s">
        <v>29</v>
      </c>
      <c r="E1433" s="11"/>
      <c r="F1433" s="11" t="s">
        <v>18</v>
      </c>
      <c r="G1433" s="13"/>
      <c r="H1433" s="45" t="s">
        <v>16</v>
      </c>
      <c r="I1433" s="47"/>
      <c r="J1433" s="12" t="s">
        <v>1103</v>
      </c>
      <c r="K1433" s="13" t="s">
        <v>8204</v>
      </c>
      <c r="L1433" s="99" t="str">
        <f t="shared" si="94"/>
        <v>W3254.9</v>
      </c>
      <c r="M1433" s="13"/>
      <c r="N1433" s="13"/>
      <c r="O1433" s="56"/>
      <c r="P1433" s="53"/>
      <c r="Q1433" s="45"/>
      <c r="R1433" s="45"/>
      <c r="S1433" s="48"/>
      <c r="T1433" s="49" t="str">
        <f t="shared" si="91"/>
        <v>[W3254.9]</v>
      </c>
      <c r="U1433" s="12" t="str">
        <f t="shared" si="92"/>
        <v xml:space="preserve">] </v>
      </c>
      <c r="V1433" s="49" t="str">
        <f t="shared" si="93"/>
        <v xml:space="preserve">[W3254.9]] </v>
      </c>
    </row>
    <row r="1434" spans="1:22" s="49" customFormat="1" ht="14.15" customHeight="1">
      <c r="A1434" s="43" t="s">
        <v>6676</v>
      </c>
      <c r="B1434" s="44" t="s">
        <v>6635</v>
      </c>
      <c r="C1434" s="50"/>
      <c r="D1434" s="10" t="s">
        <v>29</v>
      </c>
      <c r="E1434" s="11"/>
      <c r="F1434" s="11" t="s">
        <v>18</v>
      </c>
      <c r="G1434" s="13"/>
      <c r="H1434" s="45" t="s">
        <v>16</v>
      </c>
      <c r="I1434" s="47"/>
      <c r="J1434" s="12" t="s">
        <v>6506</v>
      </c>
      <c r="K1434" s="13" t="s">
        <v>8205</v>
      </c>
      <c r="L1434" s="99" t="str">
        <f t="shared" si="94"/>
        <v>W3254.A</v>
      </c>
      <c r="M1434" s="13" t="s">
        <v>17</v>
      </c>
      <c r="N1434" s="13"/>
      <c r="O1434" s="13"/>
      <c r="P1434" s="47"/>
      <c r="Q1434" s="45" t="s">
        <v>142</v>
      </c>
      <c r="R1434" s="45" t="s">
        <v>5596</v>
      </c>
      <c r="S1434" s="48"/>
      <c r="T1434" s="49" t="str">
        <f t="shared" si="91"/>
        <v>[W3254.A]</v>
      </c>
      <c r="U1434" s="12" t="str">
        <f t="shared" si="92"/>
        <v>] 로봇#1 Remote Mode 에러 (XB05)</v>
      </c>
      <c r="V1434" s="49" t="str">
        <f t="shared" si="93"/>
        <v>[W3254.A]] 로봇#1 Remote Mode 에러 (XB05)</v>
      </c>
    </row>
    <row r="1435" spans="1:22" s="49" customFormat="1" ht="14.15" customHeight="1">
      <c r="A1435" s="43" t="s">
        <v>6676</v>
      </c>
      <c r="B1435" s="44" t="s">
        <v>6635</v>
      </c>
      <c r="C1435" s="50"/>
      <c r="D1435" s="10" t="s">
        <v>29</v>
      </c>
      <c r="E1435" s="11"/>
      <c r="F1435" s="11" t="s">
        <v>18</v>
      </c>
      <c r="G1435" s="13"/>
      <c r="H1435" s="45" t="s">
        <v>16</v>
      </c>
      <c r="I1435" s="47"/>
      <c r="J1435" s="12" t="s">
        <v>6507</v>
      </c>
      <c r="K1435" s="13" t="s">
        <v>8206</v>
      </c>
      <c r="L1435" s="99" t="str">
        <f t="shared" si="94"/>
        <v>W3254.B</v>
      </c>
      <c r="M1435" s="13" t="s">
        <v>17</v>
      </c>
      <c r="N1435" s="13"/>
      <c r="O1435" s="13"/>
      <c r="P1435" s="47"/>
      <c r="Q1435" s="45" t="s">
        <v>142</v>
      </c>
      <c r="R1435" s="45" t="s">
        <v>5596</v>
      </c>
      <c r="S1435" s="48"/>
      <c r="T1435" s="49" t="str">
        <f t="shared" si="91"/>
        <v>[W3254.B]</v>
      </c>
      <c r="U1435" s="12" t="str">
        <f t="shared" si="92"/>
        <v>] 로봇#1 U12 서보 OFF 알람 (XB01)</v>
      </c>
      <c r="V1435" s="49" t="str">
        <f t="shared" si="93"/>
        <v>[W3254.B]] 로봇#1 U12 서보 OFF 알람 (XB01)</v>
      </c>
    </row>
    <row r="1436" spans="1:22" s="49" customFormat="1" ht="14.15" customHeight="1">
      <c r="A1436" s="43" t="s">
        <v>6676</v>
      </c>
      <c r="B1436" s="44" t="s">
        <v>6635</v>
      </c>
      <c r="C1436" s="50"/>
      <c r="D1436" s="10" t="s">
        <v>29</v>
      </c>
      <c r="E1436" s="11"/>
      <c r="F1436" s="11" t="s">
        <v>18</v>
      </c>
      <c r="G1436" s="13"/>
      <c r="H1436" s="45" t="s">
        <v>16</v>
      </c>
      <c r="I1436" s="47"/>
      <c r="J1436" s="12" t="s">
        <v>6508</v>
      </c>
      <c r="K1436" s="13" t="s">
        <v>8207</v>
      </c>
      <c r="L1436" s="99" t="str">
        <f t="shared" si="94"/>
        <v>W3254.C</v>
      </c>
      <c r="M1436" s="13" t="s">
        <v>17</v>
      </c>
      <c r="N1436" s="13"/>
      <c r="O1436" s="13"/>
      <c r="P1436" s="47"/>
      <c r="Q1436" s="45" t="s">
        <v>142</v>
      </c>
      <c r="R1436" s="45" t="s">
        <v>5596</v>
      </c>
      <c r="S1436" s="48"/>
      <c r="T1436" s="49" t="str">
        <f t="shared" si="91"/>
        <v>[W3254.C]</v>
      </c>
      <c r="U1436" s="12" t="str">
        <f t="shared" si="92"/>
        <v>] 로봇#1 U12 PX Ready 에러 (XB0A)</v>
      </c>
      <c r="V1436" s="49" t="str">
        <f t="shared" si="93"/>
        <v>[W3254.C]] 로봇#1 U12 PX Ready 에러 (XB0A)</v>
      </c>
    </row>
    <row r="1437" spans="1:22" s="49" customFormat="1" ht="14.15" customHeight="1">
      <c r="A1437" s="43" t="s">
        <v>6676</v>
      </c>
      <c r="B1437" s="44" t="s">
        <v>6635</v>
      </c>
      <c r="C1437" s="50"/>
      <c r="D1437" s="10" t="s">
        <v>29</v>
      </c>
      <c r="E1437" s="11"/>
      <c r="F1437" s="11" t="s">
        <v>18</v>
      </c>
      <c r="G1437" s="13"/>
      <c r="H1437" s="45" t="s">
        <v>16</v>
      </c>
      <c r="I1437" s="47"/>
      <c r="J1437" s="12" t="s">
        <v>6509</v>
      </c>
      <c r="K1437" s="13" t="s">
        <v>8208</v>
      </c>
      <c r="L1437" s="99" t="str">
        <f t="shared" si="94"/>
        <v>W3254.D</v>
      </c>
      <c r="M1437" s="13" t="s">
        <v>153</v>
      </c>
      <c r="N1437" s="13"/>
      <c r="O1437" s="13"/>
      <c r="P1437" s="47"/>
      <c r="Q1437" s="45" t="s">
        <v>142</v>
      </c>
      <c r="R1437" s="45" t="s">
        <v>5596</v>
      </c>
      <c r="S1437" s="48"/>
      <c r="T1437" s="49" t="str">
        <f t="shared" si="91"/>
        <v>[W3254.D]</v>
      </c>
      <c r="U1437" s="12" t="str">
        <f t="shared" si="92"/>
        <v>] 언로더 로봇 CONTROLLER 비상정지 에러 (XB0E)</v>
      </c>
      <c r="V1437" s="49" t="str">
        <f t="shared" si="93"/>
        <v>[W3254.D]] 언로더 로봇 CONTROLLER 비상정지 에러 (XB0E)</v>
      </c>
    </row>
    <row r="1438" spans="1:22" s="49" customFormat="1" ht="14.15" customHeight="1">
      <c r="A1438" s="43" t="s">
        <v>6676</v>
      </c>
      <c r="B1438" s="44" t="s">
        <v>6635</v>
      </c>
      <c r="C1438" s="50"/>
      <c r="D1438" s="10" t="s">
        <v>29</v>
      </c>
      <c r="E1438" s="11"/>
      <c r="F1438" s="11" t="s">
        <v>18</v>
      </c>
      <c r="G1438" s="13"/>
      <c r="H1438" s="45" t="s">
        <v>16</v>
      </c>
      <c r="I1438" s="47"/>
      <c r="J1438" s="12" t="s">
        <v>6510</v>
      </c>
      <c r="K1438" s="13" t="s">
        <v>8209</v>
      </c>
      <c r="L1438" s="99" t="str">
        <f t="shared" si="94"/>
        <v>W3254.E</v>
      </c>
      <c r="M1438" s="13" t="s">
        <v>153</v>
      </c>
      <c r="N1438" s="13"/>
      <c r="O1438" s="13"/>
      <c r="P1438" s="47"/>
      <c r="Q1438" s="45" t="s">
        <v>142</v>
      </c>
      <c r="R1438" s="45" t="s">
        <v>5596</v>
      </c>
      <c r="S1438" s="48"/>
      <c r="T1438" s="49" t="str">
        <f t="shared" si="91"/>
        <v>[W3254.E]</v>
      </c>
      <c r="U1438" s="12" t="str">
        <f t="shared" si="92"/>
        <v>] 언로더 로봇 PENDANT 비상정지 에러 (XB0D)</v>
      </c>
      <c r="V1438" s="49" t="str">
        <f t="shared" si="93"/>
        <v>[W3254.E]] 언로더 로봇 PENDANT 비상정지 에러 (XB0D)</v>
      </c>
    </row>
    <row r="1439" spans="1:22" s="49" customFormat="1" ht="14.15" customHeight="1">
      <c r="A1439" s="60"/>
      <c r="B1439" s="44" t="s">
        <v>6635</v>
      </c>
      <c r="C1439" s="50"/>
      <c r="D1439" s="10" t="s">
        <v>29</v>
      </c>
      <c r="E1439" s="11"/>
      <c r="F1439" s="11" t="s">
        <v>18</v>
      </c>
      <c r="G1439" s="13"/>
      <c r="H1439" s="45" t="s">
        <v>16</v>
      </c>
      <c r="I1439" s="46"/>
      <c r="J1439" s="12" t="s">
        <v>4283</v>
      </c>
      <c r="K1439" s="13" t="s">
        <v>8210</v>
      </c>
      <c r="L1439" s="99" t="str">
        <f t="shared" si="94"/>
        <v>W3254.F</v>
      </c>
      <c r="M1439" s="13"/>
      <c r="N1439" s="13"/>
      <c r="O1439" s="57"/>
      <c r="P1439" s="53"/>
      <c r="Q1439" s="45"/>
      <c r="R1439" s="45"/>
      <c r="S1439" s="48"/>
      <c r="T1439" s="49" t="str">
        <f t="shared" si="91"/>
        <v>[W3254.F]</v>
      </c>
      <c r="U1439" s="12" t="str">
        <f t="shared" si="92"/>
        <v>]</v>
      </c>
      <c r="V1439" s="49" t="str">
        <f t="shared" si="93"/>
        <v>[W3254.F]]</v>
      </c>
    </row>
    <row r="1440" spans="1:22" s="49" customFormat="1" ht="14.15" customHeight="1">
      <c r="A1440" s="60"/>
      <c r="B1440" s="44" t="s">
        <v>6635</v>
      </c>
      <c r="C1440" s="50"/>
      <c r="D1440" s="10" t="s">
        <v>29</v>
      </c>
      <c r="E1440" s="11"/>
      <c r="F1440" s="11" t="s">
        <v>18</v>
      </c>
      <c r="G1440" s="13"/>
      <c r="H1440" s="45" t="s">
        <v>16</v>
      </c>
      <c r="I1440" s="47"/>
      <c r="J1440" s="12" t="s">
        <v>4284</v>
      </c>
      <c r="K1440" s="13" t="s">
        <v>8211</v>
      </c>
      <c r="L1440" s="99" t="str">
        <f t="shared" si="94"/>
        <v>W3255.0</v>
      </c>
      <c r="M1440" s="13"/>
      <c r="N1440" s="13"/>
      <c r="O1440" s="57"/>
      <c r="P1440" s="53"/>
      <c r="Q1440" s="45"/>
      <c r="R1440" s="45"/>
      <c r="S1440" s="48"/>
      <c r="T1440" s="49" t="str">
        <f t="shared" si="91"/>
        <v>[W3255.0]</v>
      </c>
      <c r="U1440" s="12" t="str">
        <f t="shared" si="92"/>
        <v>]</v>
      </c>
      <c r="V1440" s="49" t="str">
        <f t="shared" si="93"/>
        <v>[W3255.0]]</v>
      </c>
    </row>
    <row r="1441" spans="1:22" s="49" customFormat="1" ht="14.15" customHeight="1">
      <c r="A1441" s="60"/>
      <c r="B1441" s="44" t="s">
        <v>6635</v>
      </c>
      <c r="C1441" s="50"/>
      <c r="D1441" s="10" t="s">
        <v>29</v>
      </c>
      <c r="E1441" s="11"/>
      <c r="F1441" s="11" t="s">
        <v>18</v>
      </c>
      <c r="G1441" s="13"/>
      <c r="H1441" s="45" t="s">
        <v>16</v>
      </c>
      <c r="I1441" s="46"/>
      <c r="J1441" s="12" t="s">
        <v>4285</v>
      </c>
      <c r="K1441" s="13" t="s">
        <v>8212</v>
      </c>
      <c r="L1441" s="99" t="str">
        <f t="shared" si="94"/>
        <v>W3255.1</v>
      </c>
      <c r="M1441" s="13"/>
      <c r="N1441" s="13"/>
      <c r="O1441" s="57"/>
      <c r="P1441" s="53"/>
      <c r="Q1441" s="45"/>
      <c r="R1441" s="45"/>
      <c r="S1441" s="48"/>
      <c r="T1441" s="49" t="str">
        <f t="shared" si="91"/>
        <v>[W3255.1]</v>
      </c>
      <c r="U1441" s="12" t="str">
        <f t="shared" si="92"/>
        <v>]</v>
      </c>
      <c r="V1441" s="49" t="str">
        <f t="shared" si="93"/>
        <v>[W3255.1]]</v>
      </c>
    </row>
    <row r="1442" spans="1:22" s="49" customFormat="1" ht="14.15" customHeight="1">
      <c r="A1442" s="45"/>
      <c r="B1442" s="44" t="s">
        <v>6635</v>
      </c>
      <c r="C1442" s="50"/>
      <c r="D1442" s="10" t="s">
        <v>29</v>
      </c>
      <c r="E1442" s="11"/>
      <c r="F1442" s="11" t="s">
        <v>18</v>
      </c>
      <c r="G1442" s="13"/>
      <c r="H1442" s="45" t="s">
        <v>16</v>
      </c>
      <c r="I1442" s="47"/>
      <c r="J1442" s="12" t="s">
        <v>4286</v>
      </c>
      <c r="K1442" s="13" t="s">
        <v>8213</v>
      </c>
      <c r="L1442" s="99" t="str">
        <f t="shared" si="94"/>
        <v>W3255.2</v>
      </c>
      <c r="M1442" s="45"/>
      <c r="N1442" s="47"/>
      <c r="O1442" s="47"/>
      <c r="P1442" s="47"/>
      <c r="Q1442" s="45"/>
      <c r="R1442" s="45"/>
      <c r="S1442" s="48"/>
    </row>
    <row r="1443" spans="1:22" s="49" customFormat="1" ht="14.15" customHeight="1">
      <c r="A1443" s="45"/>
      <c r="B1443" s="44" t="s">
        <v>6635</v>
      </c>
      <c r="C1443" s="50"/>
      <c r="D1443" s="10" t="s">
        <v>29</v>
      </c>
      <c r="E1443" s="11"/>
      <c r="F1443" s="11" t="s">
        <v>18</v>
      </c>
      <c r="G1443" s="13"/>
      <c r="H1443" s="45" t="s">
        <v>16</v>
      </c>
      <c r="I1443" s="47"/>
      <c r="J1443" s="12" t="s">
        <v>4287</v>
      </c>
      <c r="K1443" s="13" t="s">
        <v>8214</v>
      </c>
      <c r="L1443" s="99" t="str">
        <f t="shared" si="94"/>
        <v>W3255.3</v>
      </c>
      <c r="M1443" s="13"/>
      <c r="N1443" s="47"/>
      <c r="O1443" s="47"/>
      <c r="P1443" s="47"/>
      <c r="Q1443" s="45"/>
      <c r="R1443" s="45"/>
      <c r="S1443" s="48"/>
    </row>
    <row r="1444" spans="1:22" s="49" customFormat="1" ht="14.15" customHeight="1">
      <c r="A1444" s="45"/>
      <c r="B1444" s="44" t="s">
        <v>6635</v>
      </c>
      <c r="C1444" s="50"/>
      <c r="D1444" s="10" t="s">
        <v>29</v>
      </c>
      <c r="E1444" s="11"/>
      <c r="F1444" s="11" t="s">
        <v>18</v>
      </c>
      <c r="G1444" s="13"/>
      <c r="H1444" s="45" t="s">
        <v>16</v>
      </c>
      <c r="I1444" s="47"/>
      <c r="J1444" s="12" t="s">
        <v>4288</v>
      </c>
      <c r="K1444" s="13" t="s">
        <v>8215</v>
      </c>
      <c r="L1444" s="99" t="str">
        <f t="shared" si="94"/>
        <v>W3255.4</v>
      </c>
      <c r="M1444" s="13"/>
      <c r="N1444" s="47"/>
      <c r="O1444" s="47"/>
      <c r="P1444" s="47"/>
      <c r="Q1444" s="45"/>
      <c r="R1444" s="45"/>
      <c r="S1444" s="48"/>
    </row>
    <row r="1445" spans="1:22" s="49" customFormat="1" ht="14.15" customHeight="1">
      <c r="A1445" s="45"/>
      <c r="B1445" s="44" t="s">
        <v>6635</v>
      </c>
      <c r="C1445" s="50"/>
      <c r="D1445" s="10" t="s">
        <v>29</v>
      </c>
      <c r="E1445" s="11"/>
      <c r="F1445" s="11" t="s">
        <v>18</v>
      </c>
      <c r="G1445" s="13"/>
      <c r="H1445" s="45" t="s">
        <v>16</v>
      </c>
      <c r="I1445" s="47"/>
      <c r="J1445" s="12" t="s">
        <v>4289</v>
      </c>
      <c r="K1445" s="13" t="s">
        <v>8216</v>
      </c>
      <c r="L1445" s="99" t="str">
        <f t="shared" si="94"/>
        <v>W3255.5</v>
      </c>
      <c r="M1445" s="45"/>
      <c r="N1445" s="47"/>
      <c r="O1445" s="47"/>
      <c r="P1445" s="47"/>
      <c r="Q1445" s="45"/>
      <c r="R1445" s="45"/>
      <c r="S1445" s="48"/>
    </row>
    <row r="1446" spans="1:22" s="49" customFormat="1" ht="14.15" customHeight="1">
      <c r="A1446" s="45"/>
      <c r="B1446" s="44" t="s">
        <v>6635</v>
      </c>
      <c r="C1446" s="50"/>
      <c r="D1446" s="10" t="s">
        <v>29</v>
      </c>
      <c r="E1446" s="11"/>
      <c r="F1446" s="11" t="s">
        <v>18</v>
      </c>
      <c r="G1446" s="13"/>
      <c r="H1446" s="45" t="s">
        <v>16</v>
      </c>
      <c r="I1446" s="47"/>
      <c r="J1446" s="12" t="s">
        <v>4290</v>
      </c>
      <c r="K1446" s="13" t="s">
        <v>8217</v>
      </c>
      <c r="L1446" s="99" t="str">
        <f t="shared" si="94"/>
        <v>W3255.6</v>
      </c>
      <c r="M1446" s="45"/>
      <c r="N1446" s="47"/>
      <c r="O1446" s="47"/>
      <c r="P1446" s="47"/>
      <c r="Q1446" s="45"/>
      <c r="R1446" s="45"/>
      <c r="S1446" s="48"/>
    </row>
    <row r="1447" spans="1:22" s="49" customFormat="1" ht="14.15" customHeight="1">
      <c r="A1447" s="45"/>
      <c r="B1447" s="44" t="s">
        <v>6635</v>
      </c>
      <c r="C1447" s="50"/>
      <c r="D1447" s="10" t="s">
        <v>29</v>
      </c>
      <c r="E1447" s="11"/>
      <c r="F1447" s="11" t="s">
        <v>18</v>
      </c>
      <c r="G1447" s="13"/>
      <c r="H1447" s="45" t="s">
        <v>16</v>
      </c>
      <c r="I1447" s="47"/>
      <c r="J1447" s="12" t="s">
        <v>4291</v>
      </c>
      <c r="K1447" s="13" t="s">
        <v>8218</v>
      </c>
      <c r="L1447" s="99" t="str">
        <f t="shared" si="94"/>
        <v>W3255.7</v>
      </c>
      <c r="M1447" s="45"/>
      <c r="N1447" s="47"/>
      <c r="O1447" s="47"/>
      <c r="P1447" s="47"/>
      <c r="Q1447" s="45"/>
      <c r="R1447" s="45"/>
      <c r="S1447" s="48"/>
    </row>
    <row r="1448" spans="1:22" s="49" customFormat="1" ht="14.15" customHeight="1">
      <c r="A1448" s="45"/>
      <c r="B1448" s="44" t="s">
        <v>6635</v>
      </c>
      <c r="C1448" s="50"/>
      <c r="D1448" s="10" t="s">
        <v>29</v>
      </c>
      <c r="E1448" s="11"/>
      <c r="F1448" s="11" t="s">
        <v>18</v>
      </c>
      <c r="G1448" s="13"/>
      <c r="H1448" s="45" t="s">
        <v>16</v>
      </c>
      <c r="I1448" s="47"/>
      <c r="J1448" s="12" t="s">
        <v>4292</v>
      </c>
      <c r="K1448" s="13" t="s">
        <v>8219</v>
      </c>
      <c r="L1448" s="99" t="str">
        <f t="shared" si="94"/>
        <v>W3255.8</v>
      </c>
      <c r="M1448" s="45"/>
      <c r="N1448" s="47"/>
      <c r="O1448" s="47"/>
      <c r="P1448" s="47"/>
      <c r="Q1448" s="45"/>
      <c r="R1448" s="45"/>
      <c r="S1448" s="48"/>
    </row>
    <row r="1449" spans="1:22" s="49" customFormat="1" ht="14.15" customHeight="1">
      <c r="A1449" s="45"/>
      <c r="B1449" s="44" t="s">
        <v>6635</v>
      </c>
      <c r="C1449" s="50"/>
      <c r="D1449" s="10" t="s">
        <v>29</v>
      </c>
      <c r="E1449" s="11"/>
      <c r="F1449" s="11" t="s">
        <v>18</v>
      </c>
      <c r="G1449" s="13"/>
      <c r="H1449" s="45" t="s">
        <v>16</v>
      </c>
      <c r="I1449" s="47"/>
      <c r="J1449" s="12" t="s">
        <v>4293</v>
      </c>
      <c r="K1449" s="13" t="s">
        <v>8220</v>
      </c>
      <c r="L1449" s="99" t="str">
        <f t="shared" si="94"/>
        <v>W3255.9</v>
      </c>
      <c r="M1449" s="13"/>
      <c r="N1449" s="47"/>
      <c r="O1449" s="47"/>
      <c r="P1449" s="47"/>
      <c r="Q1449" s="45"/>
      <c r="R1449" s="45"/>
      <c r="S1449" s="48"/>
    </row>
    <row r="1450" spans="1:22" s="49" customFormat="1" ht="14.15" customHeight="1">
      <c r="A1450" s="45"/>
      <c r="B1450" s="44" t="s">
        <v>6635</v>
      </c>
      <c r="C1450" s="50"/>
      <c r="D1450" s="10" t="s">
        <v>29</v>
      </c>
      <c r="E1450" s="11"/>
      <c r="F1450" s="11" t="s">
        <v>18</v>
      </c>
      <c r="G1450" s="13"/>
      <c r="H1450" s="45" t="s">
        <v>16</v>
      </c>
      <c r="I1450" s="47"/>
      <c r="J1450" s="12" t="s">
        <v>4294</v>
      </c>
      <c r="K1450" s="13" t="s">
        <v>8221</v>
      </c>
      <c r="L1450" s="99" t="str">
        <f t="shared" si="94"/>
        <v>W3255.A</v>
      </c>
      <c r="M1450" s="13"/>
      <c r="N1450" s="47"/>
      <c r="O1450" s="47"/>
      <c r="P1450" s="47"/>
      <c r="Q1450" s="45"/>
      <c r="R1450" s="45"/>
      <c r="S1450" s="48"/>
    </row>
    <row r="1451" spans="1:22" s="49" customFormat="1" ht="14.15" customHeight="1">
      <c r="A1451" s="45"/>
      <c r="B1451" s="44" t="s">
        <v>6635</v>
      </c>
      <c r="C1451" s="50"/>
      <c r="D1451" s="10" t="s">
        <v>29</v>
      </c>
      <c r="E1451" s="11"/>
      <c r="F1451" s="11" t="s">
        <v>18</v>
      </c>
      <c r="G1451" s="13"/>
      <c r="H1451" s="45" t="s">
        <v>16</v>
      </c>
      <c r="I1451" s="47"/>
      <c r="J1451" s="12" t="s">
        <v>4295</v>
      </c>
      <c r="K1451" s="13" t="s">
        <v>8222</v>
      </c>
      <c r="L1451" s="99" t="str">
        <f t="shared" si="94"/>
        <v>W3255.B</v>
      </c>
      <c r="M1451" s="13"/>
      <c r="N1451" s="47"/>
      <c r="O1451" s="47"/>
      <c r="P1451" s="47"/>
      <c r="Q1451" s="45"/>
      <c r="R1451" s="45"/>
      <c r="S1451" s="48"/>
    </row>
    <row r="1452" spans="1:22" s="49" customFormat="1" ht="14.15" customHeight="1">
      <c r="A1452" s="45"/>
      <c r="B1452" s="44" t="s">
        <v>6635</v>
      </c>
      <c r="C1452" s="50"/>
      <c r="D1452" s="10" t="s">
        <v>29</v>
      </c>
      <c r="E1452" s="11"/>
      <c r="F1452" s="11" t="s">
        <v>18</v>
      </c>
      <c r="G1452" s="13"/>
      <c r="H1452" s="45" t="s">
        <v>16</v>
      </c>
      <c r="I1452" s="47"/>
      <c r="J1452" s="12" t="s">
        <v>4296</v>
      </c>
      <c r="K1452" s="13" t="s">
        <v>8223</v>
      </c>
      <c r="L1452" s="99" t="str">
        <f t="shared" si="94"/>
        <v>W3255.C</v>
      </c>
      <c r="M1452" s="45"/>
      <c r="N1452" s="47"/>
      <c r="O1452" s="47"/>
      <c r="P1452" s="47"/>
      <c r="Q1452" s="45"/>
      <c r="R1452" s="45"/>
      <c r="S1452" s="48"/>
    </row>
    <row r="1453" spans="1:22" s="49" customFormat="1" ht="14.15" customHeight="1">
      <c r="A1453" s="45"/>
      <c r="B1453" s="44" t="s">
        <v>6635</v>
      </c>
      <c r="C1453" s="50"/>
      <c r="D1453" s="10" t="s">
        <v>29</v>
      </c>
      <c r="E1453" s="11"/>
      <c r="F1453" s="11" t="s">
        <v>18</v>
      </c>
      <c r="G1453" s="13"/>
      <c r="H1453" s="45" t="s">
        <v>16</v>
      </c>
      <c r="I1453" s="47"/>
      <c r="J1453" s="12" t="s">
        <v>4297</v>
      </c>
      <c r="K1453" s="13" t="s">
        <v>8224</v>
      </c>
      <c r="L1453" s="99" t="str">
        <f t="shared" si="94"/>
        <v>W3255.D</v>
      </c>
      <c r="M1453" s="13"/>
      <c r="N1453" s="47"/>
      <c r="O1453" s="47"/>
      <c r="P1453" s="47"/>
      <c r="Q1453" s="45"/>
      <c r="R1453" s="45"/>
      <c r="S1453" s="48"/>
    </row>
    <row r="1454" spans="1:22" s="49" customFormat="1" ht="14.15" customHeight="1">
      <c r="A1454" s="45"/>
      <c r="B1454" s="44" t="s">
        <v>6635</v>
      </c>
      <c r="C1454" s="50"/>
      <c r="D1454" s="10" t="s">
        <v>29</v>
      </c>
      <c r="E1454" s="11"/>
      <c r="F1454" s="11" t="s">
        <v>18</v>
      </c>
      <c r="G1454" s="13"/>
      <c r="H1454" s="45" t="s">
        <v>16</v>
      </c>
      <c r="I1454" s="47"/>
      <c r="J1454" s="12" t="s">
        <v>4298</v>
      </c>
      <c r="K1454" s="13" t="s">
        <v>8225</v>
      </c>
      <c r="L1454" s="99" t="str">
        <f t="shared" si="94"/>
        <v>W3255.E</v>
      </c>
      <c r="M1454" s="45"/>
      <c r="N1454" s="47"/>
      <c r="O1454" s="47"/>
      <c r="P1454" s="47"/>
      <c r="Q1454" s="45"/>
      <c r="R1454" s="45"/>
      <c r="S1454" s="48"/>
    </row>
    <row r="1455" spans="1:22" s="49" customFormat="1" ht="14.15" customHeight="1">
      <c r="A1455" s="45"/>
      <c r="B1455" s="44" t="s">
        <v>6635</v>
      </c>
      <c r="C1455" s="50"/>
      <c r="D1455" s="10" t="s">
        <v>29</v>
      </c>
      <c r="E1455" s="11"/>
      <c r="F1455" s="11" t="s">
        <v>18</v>
      </c>
      <c r="G1455" s="13"/>
      <c r="H1455" s="45" t="s">
        <v>16</v>
      </c>
      <c r="I1455" s="47"/>
      <c r="J1455" s="12" t="s">
        <v>4299</v>
      </c>
      <c r="K1455" s="13" t="s">
        <v>8226</v>
      </c>
      <c r="L1455" s="99" t="str">
        <f t="shared" si="94"/>
        <v>W3255.F</v>
      </c>
      <c r="M1455" s="45"/>
      <c r="N1455" s="47"/>
      <c r="O1455" s="47"/>
      <c r="P1455" s="47"/>
      <c r="Q1455" s="45"/>
      <c r="R1455" s="45"/>
      <c r="S1455" s="48"/>
    </row>
    <row r="1456" spans="1:22" s="49" customFormat="1" ht="14.15" customHeight="1">
      <c r="A1456" s="45"/>
      <c r="B1456" s="44" t="s">
        <v>6635</v>
      </c>
      <c r="C1456" s="50"/>
      <c r="D1456" s="10" t="s">
        <v>29</v>
      </c>
      <c r="E1456" s="11"/>
      <c r="F1456" s="11" t="s">
        <v>18</v>
      </c>
      <c r="G1456" s="13"/>
      <c r="H1456" s="45" t="s">
        <v>16</v>
      </c>
      <c r="I1456" s="47"/>
      <c r="J1456" s="12" t="s">
        <v>4300</v>
      </c>
      <c r="K1456" s="13" t="s">
        <v>8227</v>
      </c>
      <c r="L1456" s="99" t="str">
        <f t="shared" si="94"/>
        <v>W3256.0</v>
      </c>
      <c r="M1456" s="45"/>
      <c r="N1456" s="47"/>
      <c r="O1456" s="47"/>
      <c r="P1456" s="47"/>
      <c r="Q1456" s="45"/>
      <c r="R1456" s="45"/>
      <c r="S1456" s="48"/>
    </row>
    <row r="1457" spans="1:19" s="49" customFormat="1" ht="14.15" customHeight="1">
      <c r="A1457" s="45"/>
      <c r="B1457" s="44" t="s">
        <v>6635</v>
      </c>
      <c r="C1457" s="50"/>
      <c r="D1457" s="10" t="s">
        <v>29</v>
      </c>
      <c r="E1457" s="11"/>
      <c r="F1457" s="11" t="s">
        <v>18</v>
      </c>
      <c r="G1457" s="13"/>
      <c r="H1457" s="45" t="s">
        <v>16</v>
      </c>
      <c r="I1457" s="47"/>
      <c r="J1457" s="12" t="s">
        <v>4301</v>
      </c>
      <c r="K1457" s="13" t="s">
        <v>8228</v>
      </c>
      <c r="L1457" s="99" t="str">
        <f t="shared" si="94"/>
        <v>W3256.1</v>
      </c>
      <c r="M1457" s="45"/>
      <c r="N1457" s="47"/>
      <c r="O1457" s="47"/>
      <c r="P1457" s="47"/>
      <c r="Q1457" s="45"/>
      <c r="R1457" s="45"/>
      <c r="S1457" s="48"/>
    </row>
    <row r="1458" spans="1:19" s="49" customFormat="1" ht="14.15" customHeight="1">
      <c r="A1458" s="45"/>
      <c r="B1458" s="44" t="s">
        <v>6635</v>
      </c>
      <c r="C1458" s="50"/>
      <c r="D1458" s="10" t="s">
        <v>29</v>
      </c>
      <c r="E1458" s="11"/>
      <c r="F1458" s="11" t="s">
        <v>18</v>
      </c>
      <c r="G1458" s="13"/>
      <c r="H1458" s="45" t="s">
        <v>16</v>
      </c>
      <c r="I1458" s="47"/>
      <c r="J1458" s="12" t="s">
        <v>4302</v>
      </c>
      <c r="K1458" s="13" t="s">
        <v>8229</v>
      </c>
      <c r="L1458" s="99" t="str">
        <f t="shared" si="94"/>
        <v>W3256.2</v>
      </c>
      <c r="M1458" s="13"/>
      <c r="N1458" s="47"/>
      <c r="O1458" s="47"/>
      <c r="P1458" s="47"/>
      <c r="Q1458" s="45"/>
      <c r="R1458" s="45"/>
      <c r="S1458" s="48"/>
    </row>
    <row r="1459" spans="1:19" s="49" customFormat="1" ht="14.15" customHeight="1">
      <c r="A1459" s="43"/>
      <c r="B1459" s="44" t="s">
        <v>6635</v>
      </c>
      <c r="C1459" s="50"/>
      <c r="D1459" s="10" t="s">
        <v>29</v>
      </c>
      <c r="E1459" s="11"/>
      <c r="F1459" s="11" t="s">
        <v>18</v>
      </c>
      <c r="G1459" s="13"/>
      <c r="H1459" s="45" t="s">
        <v>16</v>
      </c>
      <c r="I1459" s="47"/>
      <c r="J1459" s="12" t="s">
        <v>3325</v>
      </c>
      <c r="K1459" s="13" t="s">
        <v>8230</v>
      </c>
      <c r="L1459" s="99" t="str">
        <f t="shared" si="94"/>
        <v>W3256.3</v>
      </c>
      <c r="M1459" s="13"/>
      <c r="N1459" s="47"/>
      <c r="O1459" s="47"/>
      <c r="P1459" s="47"/>
      <c r="Q1459" s="45"/>
      <c r="R1459" s="45"/>
      <c r="S1459" s="48"/>
    </row>
    <row r="1460" spans="1:19" s="49" customFormat="1" ht="14.15" customHeight="1">
      <c r="A1460" s="43"/>
      <c r="B1460" s="44" t="s">
        <v>6635</v>
      </c>
      <c r="C1460" s="50"/>
      <c r="D1460" s="10" t="s">
        <v>29</v>
      </c>
      <c r="E1460" s="11"/>
      <c r="F1460" s="11" t="s">
        <v>18</v>
      </c>
      <c r="G1460" s="13"/>
      <c r="H1460" s="45" t="s">
        <v>16</v>
      </c>
      <c r="I1460" s="47"/>
      <c r="J1460" s="12" t="s">
        <v>4303</v>
      </c>
      <c r="K1460" s="13" t="s">
        <v>8231</v>
      </c>
      <c r="L1460" s="99" t="str">
        <f t="shared" si="94"/>
        <v>W3256.4</v>
      </c>
      <c r="M1460" s="13"/>
      <c r="N1460" s="47"/>
      <c r="O1460" s="47"/>
      <c r="P1460" s="47"/>
      <c r="Q1460" s="45"/>
      <c r="R1460" s="45"/>
      <c r="S1460" s="48"/>
    </row>
    <row r="1461" spans="1:19" s="49" customFormat="1" ht="14.15" customHeight="1">
      <c r="A1461" s="45"/>
      <c r="B1461" s="44" t="s">
        <v>6635</v>
      </c>
      <c r="C1461" s="50"/>
      <c r="D1461" s="10" t="s">
        <v>29</v>
      </c>
      <c r="E1461" s="11"/>
      <c r="F1461" s="11" t="s">
        <v>18</v>
      </c>
      <c r="G1461" s="13"/>
      <c r="H1461" s="45" t="s">
        <v>16</v>
      </c>
      <c r="I1461" s="47"/>
      <c r="J1461" s="12" t="s">
        <v>3326</v>
      </c>
      <c r="K1461" s="13" t="s">
        <v>8232</v>
      </c>
      <c r="L1461" s="99" t="str">
        <f t="shared" si="94"/>
        <v>W3256.5</v>
      </c>
      <c r="M1461" s="45"/>
      <c r="N1461" s="47"/>
      <c r="O1461" s="47"/>
      <c r="P1461" s="47"/>
      <c r="Q1461" s="45"/>
      <c r="R1461" s="45"/>
      <c r="S1461" s="48"/>
    </row>
    <row r="1462" spans="1:19" s="49" customFormat="1" ht="14.15" customHeight="1">
      <c r="A1462" s="43"/>
      <c r="B1462" s="44" t="s">
        <v>6635</v>
      </c>
      <c r="C1462" s="50"/>
      <c r="D1462" s="10" t="s">
        <v>29</v>
      </c>
      <c r="E1462" s="11"/>
      <c r="F1462" s="11" t="s">
        <v>18</v>
      </c>
      <c r="G1462" s="13"/>
      <c r="H1462" s="45" t="s">
        <v>16</v>
      </c>
      <c r="I1462" s="47"/>
      <c r="J1462" s="12" t="s">
        <v>3327</v>
      </c>
      <c r="K1462" s="13" t="s">
        <v>8233</v>
      </c>
      <c r="L1462" s="99" t="str">
        <f t="shared" si="94"/>
        <v>W3256.6</v>
      </c>
      <c r="M1462" s="13"/>
      <c r="N1462" s="47"/>
      <c r="O1462" s="47"/>
      <c r="P1462" s="47"/>
      <c r="Q1462" s="45"/>
      <c r="R1462" s="45"/>
      <c r="S1462" s="48"/>
    </row>
    <row r="1463" spans="1:19" s="49" customFormat="1" ht="14.15" customHeight="1">
      <c r="A1463" s="43"/>
      <c r="B1463" s="44" t="s">
        <v>6635</v>
      </c>
      <c r="C1463" s="50"/>
      <c r="D1463" s="10" t="s">
        <v>29</v>
      </c>
      <c r="E1463" s="11"/>
      <c r="F1463" s="11" t="s">
        <v>18</v>
      </c>
      <c r="G1463" s="13"/>
      <c r="H1463" s="45" t="s">
        <v>16</v>
      </c>
      <c r="I1463" s="47"/>
      <c r="J1463" s="12" t="s">
        <v>3328</v>
      </c>
      <c r="K1463" s="13" t="s">
        <v>8234</v>
      </c>
      <c r="L1463" s="99" t="str">
        <f t="shared" si="94"/>
        <v>W3256.7</v>
      </c>
      <c r="M1463" s="13"/>
      <c r="N1463" s="47"/>
      <c r="O1463" s="47"/>
      <c r="P1463" s="47"/>
      <c r="Q1463" s="45"/>
      <c r="R1463" s="45"/>
      <c r="S1463" s="48"/>
    </row>
    <row r="1464" spans="1:19" s="49" customFormat="1" ht="14.15" customHeight="1">
      <c r="A1464" s="45"/>
      <c r="B1464" s="44" t="s">
        <v>6635</v>
      </c>
      <c r="C1464" s="50"/>
      <c r="D1464" s="10" t="s">
        <v>29</v>
      </c>
      <c r="E1464" s="11"/>
      <c r="F1464" s="11" t="s">
        <v>18</v>
      </c>
      <c r="G1464" s="13"/>
      <c r="H1464" s="45" t="s">
        <v>16</v>
      </c>
      <c r="I1464" s="47"/>
      <c r="J1464" s="12" t="s">
        <v>3329</v>
      </c>
      <c r="K1464" s="13" t="s">
        <v>8235</v>
      </c>
      <c r="L1464" s="99" t="str">
        <f t="shared" si="94"/>
        <v>W3256.8</v>
      </c>
      <c r="M1464" s="45"/>
      <c r="N1464" s="47"/>
      <c r="O1464" s="47"/>
      <c r="P1464" s="47"/>
      <c r="Q1464" s="45"/>
      <c r="R1464" s="45"/>
      <c r="S1464" s="48"/>
    </row>
    <row r="1465" spans="1:19" s="49" customFormat="1" ht="14.15" customHeight="1">
      <c r="A1465" s="43"/>
      <c r="B1465" s="44" t="s">
        <v>6635</v>
      </c>
      <c r="C1465" s="50"/>
      <c r="D1465" s="10" t="s">
        <v>29</v>
      </c>
      <c r="E1465" s="11"/>
      <c r="F1465" s="11" t="s">
        <v>18</v>
      </c>
      <c r="G1465" s="13"/>
      <c r="H1465" s="45" t="s">
        <v>16</v>
      </c>
      <c r="I1465" s="47"/>
      <c r="J1465" s="12" t="s">
        <v>3330</v>
      </c>
      <c r="K1465" s="13" t="s">
        <v>8236</v>
      </c>
      <c r="L1465" s="99" t="str">
        <f t="shared" si="94"/>
        <v>W3256.9</v>
      </c>
      <c r="M1465" s="13"/>
      <c r="N1465" s="47"/>
      <c r="O1465" s="47"/>
      <c r="P1465" s="47"/>
      <c r="Q1465" s="45"/>
      <c r="R1465" s="45"/>
      <c r="S1465" s="48"/>
    </row>
    <row r="1466" spans="1:19" s="49" customFormat="1" ht="14.15" customHeight="1">
      <c r="A1466" s="43"/>
      <c r="B1466" s="44" t="s">
        <v>6635</v>
      </c>
      <c r="C1466" s="50"/>
      <c r="D1466" s="10" t="s">
        <v>29</v>
      </c>
      <c r="E1466" s="11"/>
      <c r="F1466" s="11" t="s">
        <v>18</v>
      </c>
      <c r="G1466" s="13"/>
      <c r="H1466" s="45" t="s">
        <v>16</v>
      </c>
      <c r="I1466" s="47"/>
      <c r="J1466" s="12" t="s">
        <v>3331</v>
      </c>
      <c r="K1466" s="13" t="s">
        <v>8237</v>
      </c>
      <c r="L1466" s="99" t="str">
        <f t="shared" si="94"/>
        <v>W3256.A</v>
      </c>
      <c r="M1466" s="13"/>
      <c r="N1466" s="47"/>
      <c r="O1466" s="47"/>
      <c r="P1466" s="47"/>
      <c r="Q1466" s="45"/>
      <c r="R1466" s="45"/>
      <c r="S1466" s="48"/>
    </row>
    <row r="1467" spans="1:19" s="49" customFormat="1" ht="14.15" customHeight="1">
      <c r="A1467" s="45"/>
      <c r="B1467" s="44" t="s">
        <v>6635</v>
      </c>
      <c r="C1467" s="50"/>
      <c r="D1467" s="10" t="s">
        <v>29</v>
      </c>
      <c r="E1467" s="11"/>
      <c r="F1467" s="11" t="s">
        <v>18</v>
      </c>
      <c r="G1467" s="13"/>
      <c r="H1467" s="45" t="s">
        <v>16</v>
      </c>
      <c r="I1467" s="47"/>
      <c r="J1467" s="12" t="s">
        <v>3332</v>
      </c>
      <c r="K1467" s="13" t="s">
        <v>8238</v>
      </c>
      <c r="L1467" s="99" t="str">
        <f t="shared" si="94"/>
        <v>W3256.B</v>
      </c>
      <c r="M1467" s="45"/>
      <c r="N1467" s="47"/>
      <c r="O1467" s="47"/>
      <c r="P1467" s="47"/>
      <c r="R1467" s="45"/>
      <c r="S1467" s="48"/>
    </row>
    <row r="1468" spans="1:19" s="49" customFormat="1" ht="14.15" customHeight="1">
      <c r="A1468" s="43"/>
      <c r="B1468" s="44" t="s">
        <v>6635</v>
      </c>
      <c r="C1468" s="50"/>
      <c r="D1468" s="10" t="s">
        <v>29</v>
      </c>
      <c r="E1468" s="11"/>
      <c r="F1468" s="11" t="s">
        <v>18</v>
      </c>
      <c r="G1468" s="13"/>
      <c r="H1468" s="45" t="s">
        <v>16</v>
      </c>
      <c r="I1468" s="47"/>
      <c r="J1468" s="12" t="s">
        <v>3333</v>
      </c>
      <c r="K1468" s="13" t="s">
        <v>8239</v>
      </c>
      <c r="L1468" s="99" t="str">
        <f t="shared" si="94"/>
        <v>W3256.C</v>
      </c>
      <c r="M1468" s="13"/>
      <c r="N1468" s="47"/>
      <c r="O1468" s="47"/>
      <c r="P1468" s="47"/>
      <c r="Q1468" s="45"/>
      <c r="R1468" s="45"/>
      <c r="S1468" s="48"/>
    </row>
    <row r="1469" spans="1:19" s="49" customFormat="1" ht="14.15" customHeight="1">
      <c r="A1469" s="43"/>
      <c r="B1469" s="44" t="s">
        <v>6635</v>
      </c>
      <c r="C1469" s="50"/>
      <c r="D1469" s="10" t="s">
        <v>29</v>
      </c>
      <c r="E1469" s="11"/>
      <c r="F1469" s="11" t="s">
        <v>18</v>
      </c>
      <c r="G1469" s="13"/>
      <c r="H1469" s="45" t="s">
        <v>16</v>
      </c>
      <c r="I1469" s="47"/>
      <c r="J1469" s="12" t="s">
        <v>4304</v>
      </c>
      <c r="K1469" s="13" t="s">
        <v>8240</v>
      </c>
      <c r="L1469" s="99" t="str">
        <f t="shared" si="94"/>
        <v>W3256.D</v>
      </c>
      <c r="M1469" s="13"/>
      <c r="N1469" s="47"/>
      <c r="O1469" s="47"/>
      <c r="P1469" s="47"/>
      <c r="Q1469" s="45"/>
      <c r="R1469" s="45"/>
      <c r="S1469" s="48"/>
    </row>
    <row r="1470" spans="1:19" s="49" customFormat="1" ht="14.15" customHeight="1">
      <c r="A1470" s="45"/>
      <c r="B1470" s="44" t="s">
        <v>6635</v>
      </c>
      <c r="C1470" s="50"/>
      <c r="D1470" s="10" t="s">
        <v>29</v>
      </c>
      <c r="E1470" s="11"/>
      <c r="F1470" s="11" t="s">
        <v>18</v>
      </c>
      <c r="G1470" s="13"/>
      <c r="H1470" s="45" t="s">
        <v>16</v>
      </c>
      <c r="I1470" s="47"/>
      <c r="J1470" s="12" t="s">
        <v>4305</v>
      </c>
      <c r="K1470" s="13" t="s">
        <v>8241</v>
      </c>
      <c r="L1470" s="99" t="str">
        <f t="shared" si="94"/>
        <v>W3256.E</v>
      </c>
      <c r="M1470" s="13"/>
      <c r="N1470" s="47"/>
      <c r="O1470" s="47"/>
      <c r="P1470" s="47"/>
      <c r="Q1470" s="45"/>
      <c r="R1470" s="45"/>
      <c r="S1470" s="48"/>
    </row>
    <row r="1471" spans="1:19" s="49" customFormat="1" ht="14.15" customHeight="1">
      <c r="A1471" s="43"/>
      <c r="B1471" s="44" t="s">
        <v>6635</v>
      </c>
      <c r="C1471" s="50"/>
      <c r="D1471" s="10" t="s">
        <v>29</v>
      </c>
      <c r="E1471" s="11"/>
      <c r="F1471" s="11" t="s">
        <v>18</v>
      </c>
      <c r="G1471" s="13"/>
      <c r="H1471" s="45" t="s">
        <v>16</v>
      </c>
      <c r="I1471" s="47"/>
      <c r="J1471" s="12" t="s">
        <v>4306</v>
      </c>
      <c r="K1471" s="13" t="s">
        <v>8242</v>
      </c>
      <c r="L1471" s="99" t="str">
        <f t="shared" si="94"/>
        <v>W3256.F</v>
      </c>
      <c r="M1471" s="13"/>
      <c r="N1471" s="47"/>
      <c r="O1471" s="47"/>
      <c r="P1471" s="47"/>
      <c r="Q1471" s="45"/>
      <c r="R1471" s="45"/>
      <c r="S1471" s="48"/>
    </row>
    <row r="1472" spans="1:19" s="49" customFormat="1" ht="14.15" customHeight="1">
      <c r="A1472" s="43"/>
      <c r="B1472" s="44" t="s">
        <v>6635</v>
      </c>
      <c r="C1472" s="50"/>
      <c r="D1472" s="10" t="s">
        <v>29</v>
      </c>
      <c r="E1472" s="11"/>
      <c r="F1472" s="11" t="s">
        <v>18</v>
      </c>
      <c r="G1472" s="13"/>
      <c r="H1472" s="45" t="s">
        <v>16</v>
      </c>
      <c r="I1472" s="47"/>
      <c r="J1472" s="12" t="s">
        <v>4307</v>
      </c>
      <c r="K1472" s="13" t="s">
        <v>8243</v>
      </c>
      <c r="L1472" s="99" t="str">
        <f t="shared" si="94"/>
        <v>W3257.0</v>
      </c>
      <c r="M1472" s="13"/>
      <c r="N1472" s="47"/>
      <c r="O1472" s="47"/>
      <c r="P1472" s="47"/>
      <c r="Q1472" s="45"/>
      <c r="R1472" s="45"/>
      <c r="S1472" s="48"/>
    </row>
    <row r="1473" spans="1:19" s="49" customFormat="1" ht="14.15" customHeight="1">
      <c r="A1473" s="45"/>
      <c r="B1473" s="44" t="s">
        <v>6635</v>
      </c>
      <c r="C1473" s="50"/>
      <c r="D1473" s="10" t="s">
        <v>29</v>
      </c>
      <c r="E1473" s="11"/>
      <c r="F1473" s="11" t="s">
        <v>18</v>
      </c>
      <c r="G1473" s="13"/>
      <c r="H1473" s="45" t="s">
        <v>16</v>
      </c>
      <c r="I1473" s="47"/>
      <c r="J1473" s="12" t="s">
        <v>4308</v>
      </c>
      <c r="K1473" s="13" t="s">
        <v>8244</v>
      </c>
      <c r="L1473" s="99" t="str">
        <f t="shared" si="94"/>
        <v>W3257.1</v>
      </c>
      <c r="M1473" s="13"/>
      <c r="N1473" s="47"/>
      <c r="O1473" s="47"/>
      <c r="P1473" s="47"/>
      <c r="Q1473" s="45"/>
      <c r="R1473" s="45"/>
      <c r="S1473" s="48"/>
    </row>
    <row r="1474" spans="1:19" s="49" customFormat="1" ht="14.15" customHeight="1">
      <c r="A1474" s="43"/>
      <c r="B1474" s="44" t="s">
        <v>6635</v>
      </c>
      <c r="C1474" s="50"/>
      <c r="D1474" s="10" t="s">
        <v>29</v>
      </c>
      <c r="E1474" s="11"/>
      <c r="F1474" s="11" t="s">
        <v>18</v>
      </c>
      <c r="G1474" s="13"/>
      <c r="H1474" s="45" t="s">
        <v>16</v>
      </c>
      <c r="I1474" s="47"/>
      <c r="J1474" s="12" t="s">
        <v>4309</v>
      </c>
      <c r="K1474" s="13" t="s">
        <v>8245</v>
      </c>
      <c r="L1474" s="99" t="str">
        <f t="shared" si="94"/>
        <v>W3257.2</v>
      </c>
      <c r="M1474" s="13"/>
      <c r="N1474" s="47"/>
      <c r="O1474" s="47"/>
      <c r="P1474" s="47"/>
      <c r="Q1474" s="45"/>
      <c r="R1474" s="45"/>
      <c r="S1474" s="48"/>
    </row>
    <row r="1475" spans="1:19" s="49" customFormat="1" ht="14.15" customHeight="1">
      <c r="A1475" s="43"/>
      <c r="B1475" s="44" t="s">
        <v>6635</v>
      </c>
      <c r="C1475" s="50"/>
      <c r="D1475" s="10" t="s">
        <v>29</v>
      </c>
      <c r="E1475" s="11"/>
      <c r="F1475" s="11" t="s">
        <v>18</v>
      </c>
      <c r="G1475" s="13"/>
      <c r="H1475" s="45" t="s">
        <v>16</v>
      </c>
      <c r="I1475" s="47"/>
      <c r="J1475" s="12" t="s">
        <v>4310</v>
      </c>
      <c r="K1475" s="13" t="s">
        <v>8246</v>
      </c>
      <c r="L1475" s="99" t="str">
        <f t="shared" si="94"/>
        <v>W3257.3</v>
      </c>
      <c r="M1475" s="13"/>
      <c r="N1475" s="47"/>
      <c r="O1475" s="47"/>
      <c r="P1475" s="47"/>
      <c r="Q1475" s="45"/>
      <c r="R1475" s="45"/>
      <c r="S1475" s="48"/>
    </row>
    <row r="1476" spans="1:19" s="49" customFormat="1" ht="14.15" customHeight="1">
      <c r="A1476" s="45"/>
      <c r="B1476" s="44" t="s">
        <v>6635</v>
      </c>
      <c r="C1476" s="50"/>
      <c r="D1476" s="10" t="s">
        <v>29</v>
      </c>
      <c r="E1476" s="11"/>
      <c r="F1476" s="11" t="s">
        <v>18</v>
      </c>
      <c r="G1476" s="13"/>
      <c r="H1476" s="45" t="s">
        <v>16</v>
      </c>
      <c r="I1476" s="47"/>
      <c r="J1476" s="12" t="s">
        <v>4311</v>
      </c>
      <c r="K1476" s="13" t="s">
        <v>8247</v>
      </c>
      <c r="L1476" s="99" t="str">
        <f t="shared" si="94"/>
        <v>W3257.4</v>
      </c>
      <c r="M1476" s="45"/>
      <c r="N1476" s="47"/>
      <c r="O1476" s="47"/>
      <c r="P1476" s="47"/>
      <c r="Q1476" s="45"/>
      <c r="R1476" s="45"/>
      <c r="S1476" s="48"/>
    </row>
    <row r="1477" spans="1:19" s="49" customFormat="1" ht="14.15" customHeight="1">
      <c r="A1477" s="43"/>
      <c r="B1477" s="44" t="s">
        <v>6635</v>
      </c>
      <c r="C1477" s="50"/>
      <c r="D1477" s="10" t="s">
        <v>29</v>
      </c>
      <c r="E1477" s="11"/>
      <c r="F1477" s="11" t="s">
        <v>18</v>
      </c>
      <c r="G1477" s="13"/>
      <c r="H1477" s="45" t="s">
        <v>16</v>
      </c>
      <c r="I1477" s="47"/>
      <c r="J1477" s="12" t="s">
        <v>4312</v>
      </c>
      <c r="K1477" s="13" t="s">
        <v>8248</v>
      </c>
      <c r="L1477" s="99" t="str">
        <f t="shared" si="94"/>
        <v>W3257.5</v>
      </c>
      <c r="M1477" s="13"/>
      <c r="N1477" s="47"/>
      <c r="O1477" s="47"/>
      <c r="P1477" s="47"/>
      <c r="Q1477" s="45"/>
      <c r="R1477" s="45"/>
      <c r="S1477" s="48"/>
    </row>
    <row r="1478" spans="1:19" s="49" customFormat="1" ht="14.15" customHeight="1">
      <c r="A1478" s="43"/>
      <c r="B1478" s="44" t="s">
        <v>6635</v>
      </c>
      <c r="C1478" s="50"/>
      <c r="D1478" s="10" t="s">
        <v>29</v>
      </c>
      <c r="E1478" s="11"/>
      <c r="F1478" s="11" t="s">
        <v>18</v>
      </c>
      <c r="G1478" s="13"/>
      <c r="H1478" s="45" t="s">
        <v>16</v>
      </c>
      <c r="I1478" s="47"/>
      <c r="J1478" s="12" t="s">
        <v>4313</v>
      </c>
      <c r="K1478" s="13" t="s">
        <v>8249</v>
      </c>
      <c r="L1478" s="99" t="str">
        <f t="shared" si="94"/>
        <v>W3257.6</v>
      </c>
      <c r="M1478" s="13"/>
      <c r="N1478" s="47"/>
      <c r="O1478" s="47"/>
      <c r="P1478" s="47"/>
      <c r="Q1478" s="45"/>
      <c r="R1478" s="45"/>
      <c r="S1478" s="48"/>
    </row>
    <row r="1479" spans="1:19" s="49" customFormat="1" ht="14.15" customHeight="1">
      <c r="A1479" s="43" t="s">
        <v>6678</v>
      </c>
      <c r="B1479" s="44" t="s">
        <v>6635</v>
      </c>
      <c r="C1479" s="50"/>
      <c r="D1479" s="10" t="s">
        <v>29</v>
      </c>
      <c r="E1479" s="11"/>
      <c r="F1479" s="11" t="s">
        <v>18</v>
      </c>
      <c r="G1479" s="13"/>
      <c r="H1479" s="45" t="s">
        <v>16</v>
      </c>
      <c r="I1479" s="47"/>
      <c r="J1479" s="12" t="s">
        <v>6511</v>
      </c>
      <c r="K1479" s="13" t="s">
        <v>8250</v>
      </c>
      <c r="L1479" s="99" t="str">
        <f t="shared" si="94"/>
        <v>W3257.7</v>
      </c>
      <c r="M1479" s="13" t="s">
        <v>17</v>
      </c>
      <c r="N1479" s="13"/>
      <c r="O1479" s="13"/>
      <c r="P1479" s="47"/>
      <c r="Q1479" s="45" t="s">
        <v>142</v>
      </c>
      <c r="R1479" s="45" t="s">
        <v>5621</v>
      </c>
      <c r="S1479" s="48"/>
    </row>
    <row r="1480" spans="1:19" s="49" customFormat="1" ht="14.15" customHeight="1">
      <c r="A1480" s="43" t="s">
        <v>6678</v>
      </c>
      <c r="B1480" s="44" t="s">
        <v>6635</v>
      </c>
      <c r="C1480" s="50"/>
      <c r="D1480" s="10" t="s">
        <v>29</v>
      </c>
      <c r="E1480" s="11"/>
      <c r="F1480" s="11" t="s">
        <v>18</v>
      </c>
      <c r="G1480" s="13"/>
      <c r="H1480" s="45" t="s">
        <v>16</v>
      </c>
      <c r="I1480" s="47"/>
      <c r="J1480" s="12" t="s">
        <v>6512</v>
      </c>
      <c r="K1480" s="13" t="s">
        <v>8251</v>
      </c>
      <c r="L1480" s="99" t="str">
        <f t="shared" si="94"/>
        <v>W3257.8</v>
      </c>
      <c r="M1480" s="13" t="s">
        <v>17</v>
      </c>
      <c r="N1480" s="13"/>
      <c r="O1480" s="13"/>
      <c r="P1480" s="47"/>
      <c r="Q1480" s="45" t="s">
        <v>142</v>
      </c>
      <c r="R1480" s="45" t="s">
        <v>5621</v>
      </c>
      <c r="S1480" s="48"/>
    </row>
    <row r="1481" spans="1:19" s="49" customFormat="1" ht="14.15" customHeight="1">
      <c r="A1481" s="43" t="s">
        <v>6678</v>
      </c>
      <c r="B1481" s="44" t="s">
        <v>6635</v>
      </c>
      <c r="C1481" s="50"/>
      <c r="D1481" s="10" t="s">
        <v>29</v>
      </c>
      <c r="E1481" s="11"/>
      <c r="F1481" s="11" t="s">
        <v>18</v>
      </c>
      <c r="G1481" s="13"/>
      <c r="H1481" s="45" t="s">
        <v>16</v>
      </c>
      <c r="I1481" s="47"/>
      <c r="J1481" s="12" t="s">
        <v>6513</v>
      </c>
      <c r="K1481" s="13" t="s">
        <v>8252</v>
      </c>
      <c r="L1481" s="99" t="str">
        <f t="shared" si="94"/>
        <v>W3257.9</v>
      </c>
      <c r="M1481" s="13" t="s">
        <v>17</v>
      </c>
      <c r="N1481" s="13"/>
      <c r="O1481" s="13"/>
      <c r="P1481" s="47"/>
      <c r="Q1481" s="45" t="s">
        <v>142</v>
      </c>
      <c r="R1481" s="45" t="s">
        <v>5621</v>
      </c>
      <c r="S1481" s="48"/>
    </row>
    <row r="1482" spans="1:19" s="49" customFormat="1" ht="14.15" customHeight="1">
      <c r="A1482" s="43" t="s">
        <v>6678</v>
      </c>
      <c r="B1482" s="44" t="s">
        <v>6635</v>
      </c>
      <c r="C1482" s="50"/>
      <c r="D1482" s="10" t="s">
        <v>29</v>
      </c>
      <c r="E1482" s="11"/>
      <c r="F1482" s="11" t="s">
        <v>18</v>
      </c>
      <c r="G1482" s="13"/>
      <c r="H1482" s="45" t="s">
        <v>16</v>
      </c>
      <c r="I1482" s="47"/>
      <c r="J1482" s="12" t="s">
        <v>6514</v>
      </c>
      <c r="K1482" s="13" t="s">
        <v>8253</v>
      </c>
      <c r="L1482" s="99" t="str">
        <f t="shared" si="94"/>
        <v>W3257.A</v>
      </c>
      <c r="M1482" s="13" t="s">
        <v>17</v>
      </c>
      <c r="N1482" s="13"/>
      <c r="O1482" s="13"/>
      <c r="P1482" s="47"/>
      <c r="Q1482" s="45" t="s">
        <v>142</v>
      </c>
      <c r="R1482" s="45" t="s">
        <v>5621</v>
      </c>
      <c r="S1482" s="48"/>
    </row>
    <row r="1483" spans="1:19" s="49" customFormat="1" ht="14.15" customHeight="1">
      <c r="A1483" s="43" t="s">
        <v>6678</v>
      </c>
      <c r="B1483" s="44" t="s">
        <v>6635</v>
      </c>
      <c r="C1483" s="50"/>
      <c r="D1483" s="10" t="s">
        <v>29</v>
      </c>
      <c r="E1483" s="11"/>
      <c r="F1483" s="11" t="s">
        <v>18</v>
      </c>
      <c r="G1483" s="13"/>
      <c r="H1483" s="45" t="s">
        <v>16</v>
      </c>
      <c r="I1483" s="47"/>
      <c r="J1483" s="12" t="s">
        <v>6515</v>
      </c>
      <c r="K1483" s="13" t="s">
        <v>8254</v>
      </c>
      <c r="L1483" s="99" t="str">
        <f t="shared" si="94"/>
        <v>W3257.B</v>
      </c>
      <c r="M1483" s="13" t="s">
        <v>17</v>
      </c>
      <c r="N1483" s="13"/>
      <c r="O1483" s="13"/>
      <c r="P1483" s="47"/>
      <c r="Q1483" s="45" t="s">
        <v>142</v>
      </c>
      <c r="R1483" s="45" t="s">
        <v>5621</v>
      </c>
      <c r="S1483" s="48"/>
    </row>
    <row r="1484" spans="1:19" s="49" customFormat="1" ht="14.15" customHeight="1">
      <c r="A1484" s="43"/>
      <c r="B1484" s="44" t="s">
        <v>6635</v>
      </c>
      <c r="C1484" s="50"/>
      <c r="D1484" s="10" t="s">
        <v>29</v>
      </c>
      <c r="E1484" s="11"/>
      <c r="F1484" s="11" t="s">
        <v>18</v>
      </c>
      <c r="G1484" s="13"/>
      <c r="H1484" s="45" t="s">
        <v>16</v>
      </c>
      <c r="I1484" s="47"/>
      <c r="J1484" s="12" t="s">
        <v>1154</v>
      </c>
      <c r="K1484" s="13" t="s">
        <v>8255</v>
      </c>
      <c r="L1484" s="99" t="str">
        <f t="shared" si="94"/>
        <v>W3257.C</v>
      </c>
      <c r="M1484" s="13"/>
      <c r="N1484" s="47"/>
      <c r="O1484" s="47"/>
      <c r="P1484" s="47"/>
      <c r="Q1484" s="45"/>
      <c r="R1484" s="45"/>
      <c r="S1484" s="48"/>
    </row>
    <row r="1485" spans="1:19" s="49" customFormat="1" ht="14.15" customHeight="1">
      <c r="A1485" s="43" t="s">
        <v>6678</v>
      </c>
      <c r="B1485" s="44" t="s">
        <v>6635</v>
      </c>
      <c r="C1485" s="50"/>
      <c r="D1485" s="10" t="s">
        <v>29</v>
      </c>
      <c r="E1485" s="11"/>
      <c r="F1485" s="11" t="s">
        <v>18</v>
      </c>
      <c r="G1485" s="13"/>
      <c r="H1485" s="45" t="s">
        <v>16</v>
      </c>
      <c r="I1485" s="47"/>
      <c r="J1485" s="12" t="s">
        <v>6516</v>
      </c>
      <c r="K1485" s="13" t="s">
        <v>8256</v>
      </c>
      <c r="L1485" s="99" t="str">
        <f t="shared" si="94"/>
        <v>W3257.D</v>
      </c>
      <c r="M1485" s="13" t="s">
        <v>17</v>
      </c>
      <c r="N1485" s="13"/>
      <c r="O1485" s="13"/>
      <c r="P1485" s="47"/>
      <c r="Q1485" s="45" t="s">
        <v>142</v>
      </c>
      <c r="R1485" s="45" t="s">
        <v>5621</v>
      </c>
      <c r="S1485" s="48"/>
    </row>
    <row r="1486" spans="1:19" s="49" customFormat="1" ht="14.15" customHeight="1">
      <c r="A1486" s="43" t="s">
        <v>6678</v>
      </c>
      <c r="B1486" s="44" t="s">
        <v>6635</v>
      </c>
      <c r="C1486" s="50"/>
      <c r="D1486" s="10" t="s">
        <v>29</v>
      </c>
      <c r="E1486" s="11"/>
      <c r="F1486" s="11" t="s">
        <v>18</v>
      </c>
      <c r="G1486" s="13"/>
      <c r="H1486" s="45" t="s">
        <v>16</v>
      </c>
      <c r="I1486" s="47"/>
      <c r="J1486" s="12" t="s">
        <v>6517</v>
      </c>
      <c r="K1486" s="13" t="s">
        <v>8257</v>
      </c>
      <c r="L1486" s="99" t="str">
        <f t="shared" si="94"/>
        <v>W3257.E</v>
      </c>
      <c r="M1486" s="13" t="s">
        <v>17</v>
      </c>
      <c r="N1486" s="13"/>
      <c r="O1486" s="13"/>
      <c r="P1486" s="47"/>
      <c r="Q1486" s="45" t="s">
        <v>142</v>
      </c>
      <c r="R1486" s="45" t="s">
        <v>5621</v>
      </c>
      <c r="S1486" s="48"/>
    </row>
    <row r="1487" spans="1:19" s="49" customFormat="1" ht="14.15" customHeight="1">
      <c r="A1487" s="43" t="s">
        <v>6678</v>
      </c>
      <c r="B1487" s="44" t="s">
        <v>6635</v>
      </c>
      <c r="C1487" s="50"/>
      <c r="D1487" s="10" t="s">
        <v>29</v>
      </c>
      <c r="E1487" s="11"/>
      <c r="F1487" s="11" t="s">
        <v>18</v>
      </c>
      <c r="G1487" s="13"/>
      <c r="H1487" s="45" t="s">
        <v>16</v>
      </c>
      <c r="I1487" s="47"/>
      <c r="J1487" s="12" t="s">
        <v>6518</v>
      </c>
      <c r="K1487" s="13" t="s">
        <v>8258</v>
      </c>
      <c r="L1487" s="99" t="str">
        <f t="shared" si="94"/>
        <v>W3257.F</v>
      </c>
      <c r="M1487" s="13" t="s">
        <v>17</v>
      </c>
      <c r="N1487" s="13"/>
      <c r="O1487" s="13"/>
      <c r="P1487" s="47"/>
      <c r="Q1487" s="45" t="s">
        <v>142</v>
      </c>
      <c r="R1487" s="45" t="s">
        <v>5621</v>
      </c>
      <c r="S1487" s="48"/>
    </row>
    <row r="1488" spans="1:19" s="49" customFormat="1" ht="14.15" customHeight="1">
      <c r="A1488" s="43" t="s">
        <v>6678</v>
      </c>
      <c r="B1488" s="44" t="s">
        <v>6635</v>
      </c>
      <c r="C1488" s="50"/>
      <c r="D1488" s="10" t="s">
        <v>29</v>
      </c>
      <c r="E1488" s="11"/>
      <c r="F1488" s="11" t="s">
        <v>18</v>
      </c>
      <c r="G1488" s="13"/>
      <c r="H1488" s="45" t="s">
        <v>16</v>
      </c>
      <c r="I1488" s="47"/>
      <c r="J1488" s="12" t="s">
        <v>6519</v>
      </c>
      <c r="K1488" s="13" t="s">
        <v>8259</v>
      </c>
      <c r="L1488" s="99" t="str">
        <f t="shared" si="94"/>
        <v>W3258.0</v>
      </c>
      <c r="M1488" s="13" t="s">
        <v>17</v>
      </c>
      <c r="N1488" s="13"/>
      <c r="O1488" s="13"/>
      <c r="P1488" s="47"/>
      <c r="Q1488" s="45" t="s">
        <v>142</v>
      </c>
      <c r="R1488" s="45" t="s">
        <v>5621</v>
      </c>
      <c r="S1488" s="48"/>
    </row>
    <row r="1489" spans="1:19" s="49" customFormat="1" ht="14.15" customHeight="1">
      <c r="A1489" s="43" t="s">
        <v>6678</v>
      </c>
      <c r="B1489" s="44" t="s">
        <v>6635</v>
      </c>
      <c r="C1489" s="50"/>
      <c r="D1489" s="10" t="s">
        <v>29</v>
      </c>
      <c r="E1489" s="11"/>
      <c r="F1489" s="11" t="s">
        <v>18</v>
      </c>
      <c r="G1489" s="13"/>
      <c r="H1489" s="45" t="s">
        <v>16</v>
      </c>
      <c r="I1489" s="47"/>
      <c r="J1489" s="12" t="s">
        <v>6520</v>
      </c>
      <c r="K1489" s="13" t="s">
        <v>8260</v>
      </c>
      <c r="L1489" s="99" t="str">
        <f t="shared" ref="L1489:L1552" si="95">"W"&amp;DEC2HEX(12800 + INT((ROW()-80)/16)) &amp; "." &amp; IF(MOD(ROW()-80,16)&lt;10,MOD(ROW()-80,16),CHAR(MOD(ROW()-80,16)+55))</f>
        <v>W3258.1</v>
      </c>
      <c r="M1489" s="13" t="s">
        <v>17</v>
      </c>
      <c r="N1489" s="13"/>
      <c r="O1489" s="13"/>
      <c r="P1489" s="47"/>
      <c r="Q1489" s="45" t="s">
        <v>142</v>
      </c>
      <c r="R1489" s="45" t="s">
        <v>5621</v>
      </c>
      <c r="S1489" s="48"/>
    </row>
    <row r="1490" spans="1:19" s="49" customFormat="1" ht="14.15" customHeight="1">
      <c r="A1490" s="43" t="s">
        <v>6678</v>
      </c>
      <c r="B1490" s="44" t="s">
        <v>6635</v>
      </c>
      <c r="C1490" s="50"/>
      <c r="D1490" s="10" t="s">
        <v>29</v>
      </c>
      <c r="E1490" s="11"/>
      <c r="F1490" s="11" t="s">
        <v>18</v>
      </c>
      <c r="G1490" s="13"/>
      <c r="H1490" s="45" t="s">
        <v>16</v>
      </c>
      <c r="I1490" s="47"/>
      <c r="J1490" s="12" t="s">
        <v>6521</v>
      </c>
      <c r="K1490" s="13" t="s">
        <v>8261</v>
      </c>
      <c r="L1490" s="99" t="str">
        <f t="shared" si="95"/>
        <v>W3258.2</v>
      </c>
      <c r="M1490" s="13" t="s">
        <v>17</v>
      </c>
      <c r="N1490" s="13"/>
      <c r="O1490" s="13"/>
      <c r="P1490" s="47"/>
      <c r="Q1490" s="45" t="s">
        <v>142</v>
      </c>
      <c r="R1490" s="45" t="s">
        <v>5621</v>
      </c>
      <c r="S1490" s="48"/>
    </row>
    <row r="1491" spans="1:19" s="49" customFormat="1" ht="14.15" customHeight="1">
      <c r="A1491" s="43" t="s">
        <v>6678</v>
      </c>
      <c r="B1491" s="44" t="s">
        <v>6635</v>
      </c>
      <c r="C1491" s="50"/>
      <c r="D1491" s="10" t="s">
        <v>29</v>
      </c>
      <c r="E1491" s="11"/>
      <c r="F1491" s="11" t="s">
        <v>18</v>
      </c>
      <c r="G1491" s="13"/>
      <c r="H1491" s="45" t="s">
        <v>16</v>
      </c>
      <c r="I1491" s="47"/>
      <c r="J1491" s="12" t="s">
        <v>6522</v>
      </c>
      <c r="K1491" s="13" t="s">
        <v>8262</v>
      </c>
      <c r="L1491" s="99" t="str">
        <f t="shared" si="95"/>
        <v>W3258.3</v>
      </c>
      <c r="M1491" s="13" t="s">
        <v>17</v>
      </c>
      <c r="N1491" s="13"/>
      <c r="O1491" s="13"/>
      <c r="P1491" s="47"/>
      <c r="Q1491" s="45" t="s">
        <v>142</v>
      </c>
      <c r="R1491" s="45" t="s">
        <v>5621</v>
      </c>
      <c r="S1491" s="48"/>
    </row>
    <row r="1492" spans="1:19" s="49" customFormat="1" ht="14.15" customHeight="1">
      <c r="A1492" s="43" t="s">
        <v>6678</v>
      </c>
      <c r="B1492" s="44" t="s">
        <v>6635</v>
      </c>
      <c r="C1492" s="50"/>
      <c r="D1492" s="10" t="s">
        <v>29</v>
      </c>
      <c r="E1492" s="11"/>
      <c r="F1492" s="11" t="s">
        <v>18</v>
      </c>
      <c r="G1492" s="13"/>
      <c r="H1492" s="45" t="s">
        <v>16</v>
      </c>
      <c r="I1492" s="47"/>
      <c r="J1492" s="12" t="s">
        <v>6523</v>
      </c>
      <c r="K1492" s="13" t="s">
        <v>8263</v>
      </c>
      <c r="L1492" s="99" t="str">
        <f t="shared" si="95"/>
        <v>W3258.4</v>
      </c>
      <c r="M1492" s="13" t="s">
        <v>17</v>
      </c>
      <c r="N1492" s="13"/>
      <c r="O1492" s="13"/>
      <c r="P1492" s="47"/>
      <c r="Q1492" s="45" t="s">
        <v>142</v>
      </c>
      <c r="R1492" s="45" t="s">
        <v>5621</v>
      </c>
      <c r="S1492" s="48"/>
    </row>
    <row r="1493" spans="1:19" s="49" customFormat="1" ht="14.15" customHeight="1">
      <c r="A1493" s="43" t="s">
        <v>6678</v>
      </c>
      <c r="B1493" s="44" t="s">
        <v>6635</v>
      </c>
      <c r="C1493" s="50"/>
      <c r="D1493" s="10" t="s">
        <v>29</v>
      </c>
      <c r="E1493" s="11"/>
      <c r="F1493" s="11" t="s">
        <v>18</v>
      </c>
      <c r="G1493" s="13"/>
      <c r="H1493" s="45" t="s">
        <v>16</v>
      </c>
      <c r="I1493" s="47"/>
      <c r="J1493" s="12" t="s">
        <v>6524</v>
      </c>
      <c r="K1493" s="13" t="s">
        <v>8264</v>
      </c>
      <c r="L1493" s="99" t="str">
        <f t="shared" si="95"/>
        <v>W3258.5</v>
      </c>
      <c r="M1493" s="13" t="s">
        <v>17</v>
      </c>
      <c r="N1493" s="13"/>
      <c r="O1493" s="13"/>
      <c r="P1493" s="47"/>
      <c r="Q1493" s="45" t="s">
        <v>142</v>
      </c>
      <c r="R1493" s="45" t="s">
        <v>5621</v>
      </c>
      <c r="S1493" s="48"/>
    </row>
    <row r="1494" spans="1:19" s="49" customFormat="1" ht="14.15" customHeight="1">
      <c r="A1494" s="43" t="s">
        <v>6678</v>
      </c>
      <c r="B1494" s="44" t="s">
        <v>6635</v>
      </c>
      <c r="C1494" s="50"/>
      <c r="D1494" s="10" t="s">
        <v>29</v>
      </c>
      <c r="E1494" s="11"/>
      <c r="F1494" s="11" t="s">
        <v>18</v>
      </c>
      <c r="G1494" s="13"/>
      <c r="H1494" s="45" t="s">
        <v>16</v>
      </c>
      <c r="I1494" s="47"/>
      <c r="J1494" s="12" t="s">
        <v>6525</v>
      </c>
      <c r="K1494" s="13" t="s">
        <v>8265</v>
      </c>
      <c r="L1494" s="99" t="str">
        <f t="shared" si="95"/>
        <v>W3258.6</v>
      </c>
      <c r="M1494" s="13" t="s">
        <v>17</v>
      </c>
      <c r="N1494" s="13"/>
      <c r="O1494" s="13"/>
      <c r="P1494" s="47"/>
      <c r="Q1494" s="45" t="s">
        <v>142</v>
      </c>
      <c r="R1494" s="45" t="s">
        <v>5621</v>
      </c>
      <c r="S1494" s="48"/>
    </row>
    <row r="1495" spans="1:19" s="49" customFormat="1" ht="14.15" customHeight="1">
      <c r="A1495" s="43" t="s">
        <v>6678</v>
      </c>
      <c r="B1495" s="44" t="s">
        <v>6635</v>
      </c>
      <c r="C1495" s="50"/>
      <c r="D1495" s="10" t="s">
        <v>29</v>
      </c>
      <c r="E1495" s="11"/>
      <c r="F1495" s="11" t="s">
        <v>18</v>
      </c>
      <c r="G1495" s="13"/>
      <c r="H1495" s="45" t="s">
        <v>16</v>
      </c>
      <c r="I1495" s="47"/>
      <c r="J1495" s="12" t="s">
        <v>6526</v>
      </c>
      <c r="K1495" s="13" t="s">
        <v>8266</v>
      </c>
      <c r="L1495" s="99" t="str">
        <f t="shared" si="95"/>
        <v>W3258.7</v>
      </c>
      <c r="M1495" s="13" t="s">
        <v>17</v>
      </c>
      <c r="N1495" s="13"/>
      <c r="O1495" s="13"/>
      <c r="P1495" s="47"/>
      <c r="Q1495" s="45" t="s">
        <v>142</v>
      </c>
      <c r="R1495" s="45" t="s">
        <v>5621</v>
      </c>
      <c r="S1495" s="48"/>
    </row>
    <row r="1496" spans="1:19" s="49" customFormat="1" ht="14.15" customHeight="1">
      <c r="A1496" s="43" t="s">
        <v>6678</v>
      </c>
      <c r="B1496" s="44" t="s">
        <v>6635</v>
      </c>
      <c r="C1496" s="50"/>
      <c r="D1496" s="10" t="s">
        <v>29</v>
      </c>
      <c r="E1496" s="11"/>
      <c r="F1496" s="11" t="s">
        <v>18</v>
      </c>
      <c r="G1496" s="13"/>
      <c r="H1496" s="45" t="s">
        <v>16</v>
      </c>
      <c r="I1496" s="47"/>
      <c r="J1496" s="12" t="s">
        <v>6527</v>
      </c>
      <c r="K1496" s="13" t="s">
        <v>8267</v>
      </c>
      <c r="L1496" s="99" t="str">
        <f t="shared" si="95"/>
        <v>W3258.8</v>
      </c>
      <c r="M1496" s="13" t="s">
        <v>17</v>
      </c>
      <c r="N1496" s="13"/>
      <c r="O1496" s="13"/>
      <c r="P1496" s="47"/>
      <c r="Q1496" s="45" t="s">
        <v>142</v>
      </c>
      <c r="R1496" s="45" t="s">
        <v>5621</v>
      </c>
      <c r="S1496" s="48"/>
    </row>
    <row r="1497" spans="1:19" s="49" customFormat="1" ht="14.15" customHeight="1">
      <c r="A1497" s="43" t="s">
        <v>6678</v>
      </c>
      <c r="B1497" s="44" t="s">
        <v>6635</v>
      </c>
      <c r="C1497" s="50"/>
      <c r="D1497" s="10" t="s">
        <v>29</v>
      </c>
      <c r="E1497" s="11"/>
      <c r="F1497" s="11" t="s">
        <v>18</v>
      </c>
      <c r="G1497" s="13"/>
      <c r="H1497" s="45" t="s">
        <v>16</v>
      </c>
      <c r="I1497" s="47"/>
      <c r="J1497" s="12" t="s">
        <v>6528</v>
      </c>
      <c r="K1497" s="13" t="s">
        <v>8268</v>
      </c>
      <c r="L1497" s="99" t="str">
        <f t="shared" si="95"/>
        <v>W3258.9</v>
      </c>
      <c r="M1497" s="13" t="s">
        <v>17</v>
      </c>
      <c r="N1497" s="13"/>
      <c r="O1497" s="13"/>
      <c r="P1497" s="47"/>
      <c r="Q1497" s="45" t="s">
        <v>142</v>
      </c>
      <c r="R1497" s="45" t="s">
        <v>5621</v>
      </c>
      <c r="S1497" s="48"/>
    </row>
    <row r="1498" spans="1:19" s="49" customFormat="1" ht="14.15" customHeight="1">
      <c r="A1498" s="43" t="s">
        <v>6678</v>
      </c>
      <c r="B1498" s="44" t="s">
        <v>6635</v>
      </c>
      <c r="C1498" s="50"/>
      <c r="D1498" s="10" t="s">
        <v>29</v>
      </c>
      <c r="E1498" s="11"/>
      <c r="F1498" s="11" t="s">
        <v>18</v>
      </c>
      <c r="G1498" s="13"/>
      <c r="H1498" s="45" t="s">
        <v>16</v>
      </c>
      <c r="I1498" s="47"/>
      <c r="J1498" s="12" t="s">
        <v>6529</v>
      </c>
      <c r="K1498" s="13" t="s">
        <v>8269</v>
      </c>
      <c r="L1498" s="99" t="str">
        <f t="shared" si="95"/>
        <v>W3258.A</v>
      </c>
      <c r="M1498" s="13" t="s">
        <v>17</v>
      </c>
      <c r="N1498" s="13"/>
      <c r="O1498" s="13"/>
      <c r="P1498" s="47"/>
      <c r="Q1498" s="45" t="s">
        <v>142</v>
      </c>
      <c r="R1498" s="45" t="s">
        <v>5621</v>
      </c>
      <c r="S1498" s="48"/>
    </row>
    <row r="1499" spans="1:19" s="49" customFormat="1" ht="14.15" customHeight="1">
      <c r="A1499" s="43"/>
      <c r="B1499" s="44" t="s">
        <v>6635</v>
      </c>
      <c r="C1499" s="50"/>
      <c r="D1499" s="10" t="s">
        <v>29</v>
      </c>
      <c r="E1499" s="11"/>
      <c r="F1499" s="11" t="s">
        <v>18</v>
      </c>
      <c r="G1499" s="13"/>
      <c r="H1499" s="45" t="s">
        <v>16</v>
      </c>
      <c r="I1499" s="47"/>
      <c r="J1499" s="12" t="s">
        <v>4318</v>
      </c>
      <c r="K1499" s="13" t="s">
        <v>8270</v>
      </c>
      <c r="L1499" s="99" t="str">
        <f t="shared" si="95"/>
        <v>W3258.B</v>
      </c>
      <c r="M1499" s="13"/>
      <c r="N1499" s="47"/>
      <c r="O1499" s="47"/>
      <c r="P1499" s="47"/>
      <c r="Q1499" s="45"/>
      <c r="R1499" s="45"/>
      <c r="S1499" s="48"/>
    </row>
    <row r="1500" spans="1:19" s="49" customFormat="1" ht="14.15" customHeight="1">
      <c r="A1500" s="45"/>
      <c r="B1500" s="44" t="s">
        <v>6635</v>
      </c>
      <c r="C1500" s="50"/>
      <c r="D1500" s="10" t="s">
        <v>29</v>
      </c>
      <c r="E1500" s="11"/>
      <c r="F1500" s="11" t="s">
        <v>18</v>
      </c>
      <c r="G1500" s="13"/>
      <c r="H1500" s="45" t="s">
        <v>16</v>
      </c>
      <c r="I1500" s="47"/>
      <c r="J1500" s="12" t="s">
        <v>4319</v>
      </c>
      <c r="K1500" s="13" t="s">
        <v>8271</v>
      </c>
      <c r="L1500" s="99" t="str">
        <f t="shared" si="95"/>
        <v>W3258.C</v>
      </c>
      <c r="M1500" s="13"/>
      <c r="N1500" s="47"/>
      <c r="O1500" s="47"/>
      <c r="P1500" s="47"/>
      <c r="Q1500" s="45"/>
      <c r="R1500" s="45"/>
      <c r="S1500" s="48"/>
    </row>
    <row r="1501" spans="1:19" s="49" customFormat="1" ht="14.15" customHeight="1">
      <c r="A1501" s="45"/>
      <c r="B1501" s="44" t="s">
        <v>6635</v>
      </c>
      <c r="C1501" s="50"/>
      <c r="D1501" s="10" t="s">
        <v>29</v>
      </c>
      <c r="E1501" s="11"/>
      <c r="F1501" s="11" t="s">
        <v>18</v>
      </c>
      <c r="G1501" s="13"/>
      <c r="H1501" s="45" t="s">
        <v>16</v>
      </c>
      <c r="I1501" s="47"/>
      <c r="J1501" s="12" t="s">
        <v>4320</v>
      </c>
      <c r="K1501" s="13" t="s">
        <v>8272</v>
      </c>
      <c r="L1501" s="99" t="str">
        <f t="shared" si="95"/>
        <v>W3258.D</v>
      </c>
      <c r="M1501" s="13"/>
      <c r="N1501" s="47"/>
      <c r="O1501" s="47"/>
      <c r="P1501" s="47"/>
      <c r="Q1501" s="45"/>
      <c r="R1501" s="45"/>
      <c r="S1501" s="48"/>
    </row>
    <row r="1502" spans="1:19" s="49" customFormat="1" ht="14.15" customHeight="1">
      <c r="A1502" s="45"/>
      <c r="B1502" s="44" t="s">
        <v>6635</v>
      </c>
      <c r="C1502" s="50"/>
      <c r="D1502" s="10" t="s">
        <v>29</v>
      </c>
      <c r="E1502" s="11"/>
      <c r="F1502" s="11" t="s">
        <v>18</v>
      </c>
      <c r="G1502" s="13"/>
      <c r="H1502" s="45" t="s">
        <v>16</v>
      </c>
      <c r="I1502" s="47"/>
      <c r="J1502" s="12" t="s">
        <v>4321</v>
      </c>
      <c r="K1502" s="13" t="s">
        <v>8273</v>
      </c>
      <c r="L1502" s="99" t="str">
        <f t="shared" si="95"/>
        <v>W3258.E</v>
      </c>
      <c r="M1502" s="13"/>
      <c r="N1502" s="47"/>
      <c r="O1502" s="47"/>
      <c r="P1502" s="47"/>
      <c r="Q1502" s="45"/>
      <c r="R1502" s="45"/>
      <c r="S1502" s="48"/>
    </row>
    <row r="1503" spans="1:19" s="49" customFormat="1" ht="14.15" customHeight="1">
      <c r="A1503" s="45"/>
      <c r="B1503" s="44" t="s">
        <v>6635</v>
      </c>
      <c r="C1503" s="50"/>
      <c r="D1503" s="10" t="s">
        <v>29</v>
      </c>
      <c r="E1503" s="11"/>
      <c r="F1503" s="11" t="s">
        <v>18</v>
      </c>
      <c r="G1503" s="13"/>
      <c r="H1503" s="45" t="s">
        <v>16</v>
      </c>
      <c r="I1503" s="47"/>
      <c r="J1503" s="12" t="s">
        <v>4322</v>
      </c>
      <c r="K1503" s="13" t="s">
        <v>8274</v>
      </c>
      <c r="L1503" s="99" t="str">
        <f t="shared" si="95"/>
        <v>W3258.F</v>
      </c>
      <c r="M1503" s="13"/>
      <c r="N1503" s="47"/>
      <c r="O1503" s="47"/>
      <c r="P1503" s="47"/>
      <c r="Q1503" s="45"/>
      <c r="R1503" s="45"/>
      <c r="S1503" s="48"/>
    </row>
    <row r="1504" spans="1:19" s="49" customFormat="1" ht="14.15" customHeight="1">
      <c r="A1504" s="45"/>
      <c r="B1504" s="44" t="s">
        <v>6635</v>
      </c>
      <c r="C1504" s="50"/>
      <c r="D1504" s="10" t="s">
        <v>29</v>
      </c>
      <c r="E1504" s="11"/>
      <c r="F1504" s="11" t="s">
        <v>18</v>
      </c>
      <c r="G1504" s="13"/>
      <c r="H1504" s="45" t="s">
        <v>16</v>
      </c>
      <c r="I1504" s="47"/>
      <c r="J1504" s="12" t="s">
        <v>4323</v>
      </c>
      <c r="K1504" s="13" t="s">
        <v>8275</v>
      </c>
      <c r="L1504" s="99" t="str">
        <f t="shared" si="95"/>
        <v>W3259.0</v>
      </c>
      <c r="M1504" s="13"/>
      <c r="N1504" s="47"/>
      <c r="O1504" s="47"/>
      <c r="P1504" s="47"/>
      <c r="Q1504" s="45"/>
      <c r="R1504" s="45"/>
      <c r="S1504" s="48"/>
    </row>
    <row r="1505" spans="1:19" s="49" customFormat="1" ht="14.15" customHeight="1">
      <c r="A1505" s="45"/>
      <c r="B1505" s="44" t="s">
        <v>6635</v>
      </c>
      <c r="C1505" s="50"/>
      <c r="D1505" s="10" t="s">
        <v>29</v>
      </c>
      <c r="E1505" s="11"/>
      <c r="F1505" s="11" t="s">
        <v>18</v>
      </c>
      <c r="G1505" s="13"/>
      <c r="H1505" s="45" t="s">
        <v>16</v>
      </c>
      <c r="I1505" s="47"/>
      <c r="J1505" s="12" t="s">
        <v>4324</v>
      </c>
      <c r="K1505" s="13" t="s">
        <v>8276</v>
      </c>
      <c r="L1505" s="99" t="str">
        <f t="shared" si="95"/>
        <v>W3259.1</v>
      </c>
      <c r="M1505" s="45"/>
      <c r="N1505" s="47"/>
      <c r="O1505" s="47"/>
      <c r="P1505" s="47"/>
      <c r="Q1505" s="45"/>
      <c r="R1505" s="45"/>
      <c r="S1505" s="48"/>
    </row>
    <row r="1506" spans="1:19" s="49" customFormat="1" ht="14.15" customHeight="1">
      <c r="A1506" s="45"/>
      <c r="B1506" s="44" t="s">
        <v>6635</v>
      </c>
      <c r="C1506" s="50"/>
      <c r="D1506" s="10" t="s">
        <v>29</v>
      </c>
      <c r="E1506" s="11"/>
      <c r="F1506" s="11" t="s">
        <v>18</v>
      </c>
      <c r="G1506" s="13"/>
      <c r="H1506" s="45" t="s">
        <v>16</v>
      </c>
      <c r="I1506" s="47"/>
      <c r="J1506" s="12" t="s">
        <v>4325</v>
      </c>
      <c r="K1506" s="13" t="s">
        <v>8277</v>
      </c>
      <c r="L1506" s="99" t="str">
        <f t="shared" si="95"/>
        <v>W3259.2</v>
      </c>
      <c r="M1506" s="45"/>
      <c r="N1506" s="47"/>
      <c r="O1506" s="47"/>
      <c r="P1506" s="47"/>
      <c r="Q1506" s="45"/>
      <c r="R1506" s="45"/>
      <c r="S1506" s="48"/>
    </row>
    <row r="1507" spans="1:19" s="49" customFormat="1" ht="14.15" customHeight="1">
      <c r="A1507" s="45"/>
      <c r="B1507" s="44" t="s">
        <v>6635</v>
      </c>
      <c r="C1507" s="50"/>
      <c r="D1507" s="10" t="s">
        <v>29</v>
      </c>
      <c r="E1507" s="11"/>
      <c r="F1507" s="11" t="s">
        <v>18</v>
      </c>
      <c r="G1507" s="13"/>
      <c r="H1507" s="45" t="s">
        <v>16</v>
      </c>
      <c r="I1507" s="47"/>
      <c r="J1507" s="12" t="s">
        <v>4326</v>
      </c>
      <c r="K1507" s="13" t="s">
        <v>8278</v>
      </c>
      <c r="L1507" s="99" t="str">
        <f t="shared" si="95"/>
        <v>W3259.3</v>
      </c>
      <c r="M1507" s="45"/>
      <c r="N1507" s="47"/>
      <c r="O1507" s="47"/>
      <c r="P1507" s="47"/>
      <c r="Q1507" s="45"/>
      <c r="R1507" s="45"/>
      <c r="S1507" s="48"/>
    </row>
    <row r="1508" spans="1:19" s="49" customFormat="1" ht="14.15" customHeight="1">
      <c r="A1508" s="45"/>
      <c r="B1508" s="44" t="s">
        <v>6635</v>
      </c>
      <c r="C1508" s="50"/>
      <c r="D1508" s="10" t="s">
        <v>29</v>
      </c>
      <c r="E1508" s="11"/>
      <c r="F1508" s="11" t="s">
        <v>18</v>
      </c>
      <c r="G1508" s="13"/>
      <c r="H1508" s="45" t="s">
        <v>16</v>
      </c>
      <c r="I1508" s="47"/>
      <c r="J1508" s="12" t="s">
        <v>4327</v>
      </c>
      <c r="K1508" s="13" t="s">
        <v>8279</v>
      </c>
      <c r="L1508" s="99" t="str">
        <f t="shared" si="95"/>
        <v>W3259.4</v>
      </c>
      <c r="M1508" s="45"/>
      <c r="N1508" s="47"/>
      <c r="O1508" s="47"/>
      <c r="P1508" s="47"/>
      <c r="Q1508" s="45"/>
      <c r="R1508" s="45"/>
      <c r="S1508" s="48"/>
    </row>
    <row r="1509" spans="1:19" s="49" customFormat="1" ht="14.15" customHeight="1">
      <c r="A1509" s="45"/>
      <c r="B1509" s="44" t="s">
        <v>6635</v>
      </c>
      <c r="C1509" s="50"/>
      <c r="D1509" s="10" t="s">
        <v>29</v>
      </c>
      <c r="E1509" s="11"/>
      <c r="F1509" s="11" t="s">
        <v>18</v>
      </c>
      <c r="G1509" s="13"/>
      <c r="H1509" s="45" t="s">
        <v>16</v>
      </c>
      <c r="I1509" s="47"/>
      <c r="J1509" s="12" t="s">
        <v>4328</v>
      </c>
      <c r="K1509" s="13" t="s">
        <v>8280</v>
      </c>
      <c r="L1509" s="99" t="str">
        <f t="shared" si="95"/>
        <v>W3259.5</v>
      </c>
      <c r="M1509" s="13"/>
      <c r="N1509" s="47"/>
      <c r="O1509" s="47"/>
      <c r="P1509" s="47"/>
      <c r="Q1509" s="45"/>
      <c r="R1509" s="45"/>
      <c r="S1509" s="48"/>
    </row>
    <row r="1510" spans="1:19" s="49" customFormat="1" ht="14.15" customHeight="1">
      <c r="A1510" s="45"/>
      <c r="B1510" s="44" t="s">
        <v>6635</v>
      </c>
      <c r="C1510" s="50"/>
      <c r="D1510" s="10" t="s">
        <v>29</v>
      </c>
      <c r="E1510" s="11"/>
      <c r="F1510" s="11" t="s">
        <v>18</v>
      </c>
      <c r="G1510" s="13"/>
      <c r="H1510" s="45" t="s">
        <v>16</v>
      </c>
      <c r="I1510" s="47"/>
      <c r="J1510" s="12" t="s">
        <v>4329</v>
      </c>
      <c r="K1510" s="13" t="s">
        <v>8281</v>
      </c>
      <c r="L1510" s="99" t="str">
        <f t="shared" si="95"/>
        <v>W3259.6</v>
      </c>
      <c r="M1510" s="13"/>
      <c r="N1510" s="47"/>
      <c r="O1510" s="47"/>
      <c r="P1510" s="47"/>
      <c r="Q1510" s="45"/>
      <c r="R1510" s="45"/>
      <c r="S1510" s="48"/>
    </row>
    <row r="1511" spans="1:19" s="49" customFormat="1" ht="14.15" customHeight="1">
      <c r="A1511" s="45"/>
      <c r="B1511" s="44" t="s">
        <v>6635</v>
      </c>
      <c r="C1511" s="50"/>
      <c r="D1511" s="10" t="s">
        <v>29</v>
      </c>
      <c r="E1511" s="11"/>
      <c r="F1511" s="11" t="s">
        <v>18</v>
      </c>
      <c r="G1511" s="13"/>
      <c r="H1511" s="45" t="s">
        <v>16</v>
      </c>
      <c r="I1511" s="47"/>
      <c r="J1511" s="12" t="s">
        <v>4330</v>
      </c>
      <c r="K1511" s="13" t="s">
        <v>8282</v>
      </c>
      <c r="L1511" s="99" t="str">
        <f t="shared" si="95"/>
        <v>W3259.7</v>
      </c>
      <c r="M1511" s="13"/>
      <c r="N1511" s="47"/>
      <c r="O1511" s="47"/>
      <c r="P1511" s="47"/>
      <c r="Q1511" s="45"/>
      <c r="R1511" s="45"/>
      <c r="S1511" s="48"/>
    </row>
    <row r="1512" spans="1:19" s="49" customFormat="1" ht="14.15" customHeight="1">
      <c r="A1512" s="45"/>
      <c r="B1512" s="44" t="s">
        <v>6635</v>
      </c>
      <c r="C1512" s="50"/>
      <c r="D1512" s="10" t="s">
        <v>29</v>
      </c>
      <c r="E1512" s="11"/>
      <c r="F1512" s="11" t="s">
        <v>18</v>
      </c>
      <c r="G1512" s="13"/>
      <c r="H1512" s="45" t="s">
        <v>16</v>
      </c>
      <c r="I1512" s="47"/>
      <c r="J1512" s="12" t="s">
        <v>4331</v>
      </c>
      <c r="K1512" s="13" t="s">
        <v>8283</v>
      </c>
      <c r="L1512" s="99" t="str">
        <f t="shared" si="95"/>
        <v>W3259.8</v>
      </c>
      <c r="M1512" s="45"/>
      <c r="N1512" s="47"/>
      <c r="O1512" s="47"/>
      <c r="P1512" s="47"/>
      <c r="Q1512" s="45"/>
      <c r="R1512" s="45"/>
      <c r="S1512" s="48"/>
    </row>
    <row r="1513" spans="1:19" s="49" customFormat="1" ht="14.15" customHeight="1">
      <c r="A1513" s="45"/>
      <c r="B1513" s="44" t="s">
        <v>6635</v>
      </c>
      <c r="C1513" s="50"/>
      <c r="D1513" s="10" t="s">
        <v>29</v>
      </c>
      <c r="E1513" s="11"/>
      <c r="F1513" s="11" t="s">
        <v>18</v>
      </c>
      <c r="G1513" s="13"/>
      <c r="H1513" s="45" t="s">
        <v>16</v>
      </c>
      <c r="I1513" s="47"/>
      <c r="J1513" s="12" t="s">
        <v>4332</v>
      </c>
      <c r="K1513" s="13" t="s">
        <v>8284</v>
      </c>
      <c r="L1513" s="99" t="str">
        <f t="shared" si="95"/>
        <v>W3259.9</v>
      </c>
      <c r="M1513" s="13"/>
      <c r="N1513" s="47"/>
      <c r="O1513" s="47"/>
      <c r="P1513" s="47"/>
      <c r="Q1513" s="45"/>
      <c r="R1513" s="45"/>
      <c r="S1513" s="48"/>
    </row>
    <row r="1514" spans="1:19" s="49" customFormat="1" ht="14.15" customHeight="1">
      <c r="A1514" s="45"/>
      <c r="B1514" s="44" t="s">
        <v>6635</v>
      </c>
      <c r="C1514" s="50"/>
      <c r="D1514" s="10" t="s">
        <v>29</v>
      </c>
      <c r="E1514" s="11"/>
      <c r="F1514" s="11" t="s">
        <v>18</v>
      </c>
      <c r="G1514" s="13"/>
      <c r="H1514" s="45" t="s">
        <v>16</v>
      </c>
      <c r="I1514" s="47"/>
      <c r="J1514" s="12" t="s">
        <v>4333</v>
      </c>
      <c r="K1514" s="13" t="s">
        <v>8285</v>
      </c>
      <c r="L1514" s="99" t="str">
        <f t="shared" si="95"/>
        <v>W3259.A</v>
      </c>
      <c r="M1514" s="45"/>
      <c r="N1514" s="47"/>
      <c r="O1514" s="47"/>
      <c r="P1514" s="47"/>
      <c r="Q1514" s="45"/>
      <c r="R1514" s="45"/>
      <c r="S1514" s="48"/>
    </row>
    <row r="1515" spans="1:19" s="49" customFormat="1" ht="14.15" customHeight="1">
      <c r="A1515" s="45"/>
      <c r="B1515" s="44" t="s">
        <v>6635</v>
      </c>
      <c r="C1515" s="50"/>
      <c r="D1515" s="10" t="s">
        <v>29</v>
      </c>
      <c r="E1515" s="11"/>
      <c r="F1515" s="11" t="s">
        <v>18</v>
      </c>
      <c r="G1515" s="13"/>
      <c r="H1515" s="45" t="s">
        <v>16</v>
      </c>
      <c r="I1515" s="47"/>
      <c r="J1515" s="12" t="s">
        <v>4334</v>
      </c>
      <c r="K1515" s="13" t="s">
        <v>8286</v>
      </c>
      <c r="L1515" s="99" t="str">
        <f t="shared" si="95"/>
        <v>W3259.B</v>
      </c>
      <c r="M1515" s="45"/>
      <c r="N1515" s="47"/>
      <c r="O1515" s="47"/>
      <c r="P1515" s="47"/>
      <c r="Q1515" s="45"/>
      <c r="R1515" s="45"/>
      <c r="S1515" s="48"/>
    </row>
    <row r="1516" spans="1:19" s="49" customFormat="1" ht="14.15" customHeight="1">
      <c r="A1516" s="45"/>
      <c r="B1516" s="44" t="s">
        <v>6635</v>
      </c>
      <c r="C1516" s="50"/>
      <c r="D1516" s="10" t="s">
        <v>29</v>
      </c>
      <c r="E1516" s="11"/>
      <c r="F1516" s="11" t="s">
        <v>18</v>
      </c>
      <c r="G1516" s="13"/>
      <c r="H1516" s="45" t="s">
        <v>16</v>
      </c>
      <c r="I1516" s="47"/>
      <c r="J1516" s="12" t="s">
        <v>4335</v>
      </c>
      <c r="K1516" s="13" t="s">
        <v>8287</v>
      </c>
      <c r="L1516" s="99" t="str">
        <f t="shared" si="95"/>
        <v>W3259.C</v>
      </c>
      <c r="M1516" s="45"/>
      <c r="N1516" s="47"/>
      <c r="O1516" s="47"/>
      <c r="P1516" s="47"/>
      <c r="Q1516" s="45"/>
      <c r="R1516" s="45"/>
      <c r="S1516" s="48"/>
    </row>
    <row r="1517" spans="1:19" s="49" customFormat="1" ht="14.15" customHeight="1">
      <c r="A1517" s="45"/>
      <c r="B1517" s="44" t="s">
        <v>6635</v>
      </c>
      <c r="C1517" s="50"/>
      <c r="D1517" s="10" t="s">
        <v>29</v>
      </c>
      <c r="E1517" s="11"/>
      <c r="F1517" s="11" t="s">
        <v>18</v>
      </c>
      <c r="G1517" s="13"/>
      <c r="H1517" s="45" t="s">
        <v>16</v>
      </c>
      <c r="I1517" s="47"/>
      <c r="J1517" s="12" t="s">
        <v>4336</v>
      </c>
      <c r="K1517" s="13" t="s">
        <v>8288</v>
      </c>
      <c r="L1517" s="99" t="str">
        <f t="shared" si="95"/>
        <v>W3259.D</v>
      </c>
      <c r="M1517" s="45"/>
      <c r="N1517" s="47"/>
      <c r="O1517" s="47"/>
      <c r="P1517" s="47"/>
      <c r="Q1517" s="45"/>
      <c r="R1517" s="45"/>
      <c r="S1517" s="48"/>
    </row>
    <row r="1518" spans="1:19" s="49" customFormat="1" ht="14.15" customHeight="1">
      <c r="A1518" s="45"/>
      <c r="B1518" s="44" t="s">
        <v>6635</v>
      </c>
      <c r="C1518" s="50"/>
      <c r="D1518" s="10" t="s">
        <v>29</v>
      </c>
      <c r="E1518" s="11"/>
      <c r="F1518" s="11" t="s">
        <v>18</v>
      </c>
      <c r="G1518" s="13"/>
      <c r="H1518" s="45" t="s">
        <v>16</v>
      </c>
      <c r="I1518" s="47"/>
      <c r="J1518" s="12" t="s">
        <v>4337</v>
      </c>
      <c r="K1518" s="13" t="s">
        <v>8289</v>
      </c>
      <c r="L1518" s="99" t="str">
        <f t="shared" si="95"/>
        <v>W3259.E</v>
      </c>
      <c r="M1518" s="13"/>
      <c r="N1518" s="47"/>
      <c r="O1518" s="47"/>
      <c r="P1518" s="47"/>
      <c r="Q1518" s="45"/>
      <c r="R1518" s="45"/>
      <c r="S1518" s="48"/>
    </row>
    <row r="1519" spans="1:19" s="49" customFormat="1" ht="14.15" customHeight="1">
      <c r="A1519" s="45"/>
      <c r="B1519" s="44" t="s">
        <v>6635</v>
      </c>
      <c r="C1519" s="50"/>
      <c r="D1519" s="10" t="s">
        <v>29</v>
      </c>
      <c r="E1519" s="11"/>
      <c r="F1519" s="11" t="s">
        <v>18</v>
      </c>
      <c r="G1519" s="13"/>
      <c r="H1519" s="45" t="s">
        <v>16</v>
      </c>
      <c r="I1519" s="47"/>
      <c r="J1519" s="12" t="s">
        <v>4338</v>
      </c>
      <c r="K1519" s="13" t="s">
        <v>8290</v>
      </c>
      <c r="L1519" s="99" t="str">
        <f t="shared" si="95"/>
        <v>W3259.F</v>
      </c>
      <c r="M1519" s="13"/>
      <c r="N1519" s="47"/>
      <c r="O1519" s="47"/>
      <c r="P1519" s="47"/>
      <c r="Q1519" s="45"/>
      <c r="R1519" s="45"/>
      <c r="S1519" s="48"/>
    </row>
    <row r="1520" spans="1:19" s="49" customFormat="1" ht="14.15" customHeight="1">
      <c r="A1520" s="45"/>
      <c r="B1520" s="44" t="s">
        <v>6635</v>
      </c>
      <c r="C1520" s="50"/>
      <c r="D1520" s="10" t="s">
        <v>29</v>
      </c>
      <c r="E1520" s="11"/>
      <c r="F1520" s="11" t="s">
        <v>18</v>
      </c>
      <c r="G1520" s="13"/>
      <c r="H1520" s="45" t="s">
        <v>16</v>
      </c>
      <c r="I1520" s="47"/>
      <c r="J1520" s="12" t="s">
        <v>4339</v>
      </c>
      <c r="K1520" s="13" t="s">
        <v>8291</v>
      </c>
      <c r="L1520" s="99" t="str">
        <f t="shared" si="95"/>
        <v>W325A.0</v>
      </c>
      <c r="M1520" s="13"/>
      <c r="N1520" s="47"/>
      <c r="O1520" s="47"/>
      <c r="P1520" s="47"/>
      <c r="Q1520" s="45"/>
      <c r="R1520" s="45"/>
      <c r="S1520" s="48"/>
    </row>
    <row r="1521" spans="1:19" s="49" customFormat="1" ht="14.15" customHeight="1">
      <c r="A1521" s="45"/>
      <c r="B1521" s="44" t="s">
        <v>6635</v>
      </c>
      <c r="C1521" s="50"/>
      <c r="D1521" s="10" t="s">
        <v>29</v>
      </c>
      <c r="E1521" s="11"/>
      <c r="F1521" s="11" t="s">
        <v>18</v>
      </c>
      <c r="G1521" s="13"/>
      <c r="H1521" s="45" t="s">
        <v>16</v>
      </c>
      <c r="I1521" s="47"/>
      <c r="J1521" s="12" t="s">
        <v>4340</v>
      </c>
      <c r="K1521" s="13" t="s">
        <v>8292</v>
      </c>
      <c r="L1521" s="99" t="str">
        <f t="shared" si="95"/>
        <v>W325A.1</v>
      </c>
      <c r="M1521" s="45"/>
      <c r="N1521" s="47"/>
      <c r="O1521" s="47"/>
      <c r="P1521" s="47"/>
      <c r="Q1521" s="45"/>
      <c r="R1521" s="45"/>
      <c r="S1521" s="48"/>
    </row>
    <row r="1522" spans="1:19" s="49" customFormat="1" ht="14.15" customHeight="1">
      <c r="A1522" s="45"/>
      <c r="B1522" s="44" t="s">
        <v>6635</v>
      </c>
      <c r="C1522" s="50"/>
      <c r="D1522" s="10" t="s">
        <v>29</v>
      </c>
      <c r="E1522" s="11"/>
      <c r="F1522" s="11" t="s">
        <v>18</v>
      </c>
      <c r="G1522" s="13"/>
      <c r="H1522" s="45" t="s">
        <v>16</v>
      </c>
      <c r="I1522" s="47"/>
      <c r="J1522" s="12" t="s">
        <v>4341</v>
      </c>
      <c r="K1522" s="13" t="s">
        <v>8293</v>
      </c>
      <c r="L1522" s="99" t="str">
        <f t="shared" si="95"/>
        <v>W325A.2</v>
      </c>
      <c r="M1522" s="45"/>
      <c r="N1522" s="47"/>
      <c r="O1522" s="47"/>
      <c r="P1522" s="47"/>
      <c r="Q1522" s="45"/>
      <c r="R1522" s="45"/>
      <c r="S1522" s="48"/>
    </row>
    <row r="1523" spans="1:19" s="49" customFormat="1" ht="14.15" customHeight="1">
      <c r="A1523" s="45"/>
      <c r="B1523" s="44" t="s">
        <v>6635</v>
      </c>
      <c r="C1523" s="50"/>
      <c r="D1523" s="10" t="s">
        <v>29</v>
      </c>
      <c r="E1523" s="11"/>
      <c r="F1523" s="11" t="s">
        <v>18</v>
      </c>
      <c r="G1523" s="13"/>
      <c r="H1523" s="45" t="s">
        <v>16</v>
      </c>
      <c r="I1523" s="47"/>
      <c r="J1523" s="12" t="s">
        <v>4342</v>
      </c>
      <c r="K1523" s="13" t="s">
        <v>8294</v>
      </c>
      <c r="L1523" s="99" t="str">
        <f t="shared" si="95"/>
        <v>W325A.3</v>
      </c>
      <c r="M1523" s="45"/>
      <c r="N1523" s="47"/>
      <c r="O1523" s="47"/>
      <c r="P1523" s="47"/>
      <c r="Q1523" s="45"/>
      <c r="R1523" s="45"/>
      <c r="S1523" s="48"/>
    </row>
    <row r="1524" spans="1:19" s="49" customFormat="1" ht="14.15" customHeight="1">
      <c r="A1524" s="45"/>
      <c r="B1524" s="44" t="s">
        <v>6635</v>
      </c>
      <c r="C1524" s="50"/>
      <c r="D1524" s="10" t="s">
        <v>29</v>
      </c>
      <c r="E1524" s="11"/>
      <c r="F1524" s="11" t="s">
        <v>18</v>
      </c>
      <c r="G1524" s="13"/>
      <c r="H1524" s="45" t="s">
        <v>16</v>
      </c>
      <c r="I1524" s="47"/>
      <c r="J1524" s="12" t="s">
        <v>4343</v>
      </c>
      <c r="K1524" s="13" t="s">
        <v>8295</v>
      </c>
      <c r="L1524" s="99" t="str">
        <f t="shared" si="95"/>
        <v>W325A.4</v>
      </c>
      <c r="M1524" s="45"/>
      <c r="N1524" s="47"/>
      <c r="O1524" s="47"/>
      <c r="P1524" s="47"/>
      <c r="Q1524" s="45"/>
      <c r="R1524" s="45"/>
      <c r="S1524" s="48"/>
    </row>
    <row r="1525" spans="1:19" s="49" customFormat="1" ht="14.15" customHeight="1">
      <c r="A1525" s="45"/>
      <c r="B1525" s="44" t="s">
        <v>6635</v>
      </c>
      <c r="C1525" s="50"/>
      <c r="D1525" s="10" t="s">
        <v>29</v>
      </c>
      <c r="E1525" s="11"/>
      <c r="F1525" s="11" t="s">
        <v>18</v>
      </c>
      <c r="G1525" s="13"/>
      <c r="H1525" s="45" t="s">
        <v>16</v>
      </c>
      <c r="I1525" s="47"/>
      <c r="J1525" s="12" t="s">
        <v>4344</v>
      </c>
      <c r="K1525" s="13" t="s">
        <v>8296</v>
      </c>
      <c r="L1525" s="99" t="str">
        <f t="shared" si="95"/>
        <v>W325A.5</v>
      </c>
      <c r="M1525" s="45"/>
      <c r="N1525" s="47"/>
      <c r="O1525" s="47"/>
      <c r="P1525" s="47"/>
      <c r="Q1525" s="45"/>
      <c r="R1525" s="45"/>
      <c r="S1525" s="48"/>
    </row>
    <row r="1526" spans="1:19" s="49" customFormat="1" ht="14.15" customHeight="1">
      <c r="A1526" s="45"/>
      <c r="B1526" s="44" t="s">
        <v>6635</v>
      </c>
      <c r="C1526" s="50"/>
      <c r="D1526" s="10" t="s">
        <v>29</v>
      </c>
      <c r="E1526" s="11"/>
      <c r="F1526" s="11" t="s">
        <v>18</v>
      </c>
      <c r="G1526" s="13"/>
      <c r="H1526" s="45" t="s">
        <v>16</v>
      </c>
      <c r="I1526" s="47"/>
      <c r="J1526" s="12" t="s">
        <v>4345</v>
      </c>
      <c r="K1526" s="13" t="s">
        <v>8297</v>
      </c>
      <c r="L1526" s="99" t="str">
        <f t="shared" si="95"/>
        <v>W325A.6</v>
      </c>
      <c r="M1526" s="45"/>
      <c r="N1526" s="47"/>
      <c r="O1526" s="47"/>
      <c r="P1526" s="47"/>
      <c r="Q1526" s="45"/>
      <c r="R1526" s="45"/>
      <c r="S1526" s="48"/>
    </row>
    <row r="1527" spans="1:19" s="49" customFormat="1" ht="14.15" customHeight="1">
      <c r="A1527" s="45"/>
      <c r="B1527" s="44" t="s">
        <v>6635</v>
      </c>
      <c r="C1527" s="50"/>
      <c r="D1527" s="10" t="s">
        <v>29</v>
      </c>
      <c r="E1527" s="11"/>
      <c r="F1527" s="11" t="s">
        <v>18</v>
      </c>
      <c r="G1527" s="13"/>
      <c r="H1527" s="45" t="s">
        <v>16</v>
      </c>
      <c r="I1527" s="47"/>
      <c r="J1527" s="12" t="s">
        <v>4346</v>
      </c>
      <c r="K1527" s="13" t="s">
        <v>8298</v>
      </c>
      <c r="L1527" s="99" t="str">
        <f t="shared" si="95"/>
        <v>W325A.7</v>
      </c>
      <c r="M1527" s="45"/>
      <c r="N1527" s="47"/>
      <c r="O1527" s="47"/>
      <c r="P1527" s="47"/>
      <c r="Q1527" s="45"/>
      <c r="R1527" s="45"/>
      <c r="S1527" s="48"/>
    </row>
    <row r="1528" spans="1:19" s="49" customFormat="1" ht="14.15" customHeight="1">
      <c r="A1528" s="45"/>
      <c r="B1528" s="44" t="s">
        <v>6635</v>
      </c>
      <c r="C1528" s="50"/>
      <c r="D1528" s="10" t="s">
        <v>29</v>
      </c>
      <c r="E1528" s="11"/>
      <c r="F1528" s="11" t="s">
        <v>18</v>
      </c>
      <c r="G1528" s="13"/>
      <c r="H1528" s="45" t="s">
        <v>16</v>
      </c>
      <c r="I1528" s="47"/>
      <c r="J1528" s="12" t="s">
        <v>4347</v>
      </c>
      <c r="K1528" s="13" t="s">
        <v>8299</v>
      </c>
      <c r="L1528" s="99" t="str">
        <f t="shared" si="95"/>
        <v>W325A.8</v>
      </c>
      <c r="M1528" s="45"/>
      <c r="N1528" s="47"/>
      <c r="O1528" s="47"/>
      <c r="P1528" s="47"/>
      <c r="Q1528" s="45"/>
      <c r="R1528" s="45"/>
      <c r="S1528" s="48"/>
    </row>
    <row r="1529" spans="1:19" s="49" customFormat="1" ht="14.15" customHeight="1">
      <c r="A1529" s="45"/>
      <c r="B1529" s="44" t="s">
        <v>6635</v>
      </c>
      <c r="C1529" s="50"/>
      <c r="D1529" s="10" t="s">
        <v>29</v>
      </c>
      <c r="E1529" s="11"/>
      <c r="F1529" s="11" t="s">
        <v>18</v>
      </c>
      <c r="G1529" s="13"/>
      <c r="H1529" s="45" t="s">
        <v>16</v>
      </c>
      <c r="I1529" s="47"/>
      <c r="J1529" s="12" t="s">
        <v>4348</v>
      </c>
      <c r="K1529" s="13" t="s">
        <v>8300</v>
      </c>
      <c r="L1529" s="99" t="str">
        <f t="shared" si="95"/>
        <v>W325A.9</v>
      </c>
      <c r="M1529" s="13"/>
      <c r="N1529" s="47"/>
      <c r="O1529" s="47"/>
      <c r="P1529" s="47"/>
      <c r="Q1529" s="45"/>
      <c r="R1529" s="45"/>
      <c r="S1529" s="48"/>
    </row>
    <row r="1530" spans="1:19" s="49" customFormat="1" ht="14.15" customHeight="1">
      <c r="A1530" s="45"/>
      <c r="B1530" s="44" t="s">
        <v>6635</v>
      </c>
      <c r="C1530" s="50"/>
      <c r="D1530" s="10" t="s">
        <v>29</v>
      </c>
      <c r="E1530" s="11"/>
      <c r="F1530" s="11" t="s">
        <v>18</v>
      </c>
      <c r="G1530" s="13"/>
      <c r="H1530" s="45" t="s">
        <v>16</v>
      </c>
      <c r="I1530" s="47"/>
      <c r="J1530" s="12" t="s">
        <v>4349</v>
      </c>
      <c r="K1530" s="13" t="s">
        <v>8301</v>
      </c>
      <c r="L1530" s="99" t="str">
        <f t="shared" si="95"/>
        <v>W325A.A</v>
      </c>
      <c r="M1530" s="13"/>
      <c r="N1530" s="47"/>
      <c r="O1530" s="47"/>
      <c r="P1530" s="47"/>
      <c r="Q1530" s="45"/>
      <c r="R1530" s="45"/>
      <c r="S1530" s="48"/>
    </row>
    <row r="1531" spans="1:19" s="49" customFormat="1" ht="14.15" customHeight="1">
      <c r="A1531" s="45"/>
      <c r="B1531" s="44" t="s">
        <v>6635</v>
      </c>
      <c r="C1531" s="50"/>
      <c r="D1531" s="10" t="s">
        <v>29</v>
      </c>
      <c r="E1531" s="11"/>
      <c r="F1531" s="11" t="s">
        <v>18</v>
      </c>
      <c r="G1531" s="13"/>
      <c r="H1531" s="45" t="s">
        <v>16</v>
      </c>
      <c r="I1531" s="47"/>
      <c r="J1531" s="12" t="s">
        <v>4350</v>
      </c>
      <c r="K1531" s="13" t="s">
        <v>8302</v>
      </c>
      <c r="L1531" s="99" t="str">
        <f t="shared" si="95"/>
        <v>W325A.B</v>
      </c>
      <c r="M1531" s="45"/>
      <c r="N1531" s="47"/>
      <c r="O1531" s="47"/>
      <c r="P1531" s="47"/>
      <c r="Q1531" s="45"/>
      <c r="R1531" s="45"/>
      <c r="S1531" s="48"/>
    </row>
    <row r="1532" spans="1:19" s="49" customFormat="1" ht="14.15" customHeight="1">
      <c r="A1532" s="45"/>
      <c r="B1532" s="44" t="s">
        <v>6635</v>
      </c>
      <c r="C1532" s="50"/>
      <c r="D1532" s="10" t="s">
        <v>29</v>
      </c>
      <c r="E1532" s="11"/>
      <c r="F1532" s="11" t="s">
        <v>18</v>
      </c>
      <c r="G1532" s="13"/>
      <c r="H1532" s="45" t="s">
        <v>16</v>
      </c>
      <c r="I1532" s="47"/>
      <c r="J1532" s="12" t="s">
        <v>4351</v>
      </c>
      <c r="K1532" s="13" t="s">
        <v>8303</v>
      </c>
      <c r="L1532" s="99" t="str">
        <f t="shared" si="95"/>
        <v>W325A.C</v>
      </c>
      <c r="M1532" s="45"/>
      <c r="N1532" s="47"/>
      <c r="O1532" s="47"/>
      <c r="P1532" s="47"/>
      <c r="Q1532" s="45"/>
      <c r="R1532" s="45"/>
      <c r="S1532" s="48"/>
    </row>
    <row r="1533" spans="1:19" s="49" customFormat="1" ht="14.15" customHeight="1">
      <c r="A1533" s="45"/>
      <c r="B1533" s="44" t="s">
        <v>6635</v>
      </c>
      <c r="C1533" s="50"/>
      <c r="D1533" s="10" t="s">
        <v>29</v>
      </c>
      <c r="E1533" s="11"/>
      <c r="F1533" s="11" t="s">
        <v>18</v>
      </c>
      <c r="G1533" s="13"/>
      <c r="H1533" s="45" t="s">
        <v>16</v>
      </c>
      <c r="I1533" s="47"/>
      <c r="J1533" s="12" t="s">
        <v>4352</v>
      </c>
      <c r="K1533" s="13" t="s">
        <v>8304</v>
      </c>
      <c r="L1533" s="99" t="str">
        <f t="shared" si="95"/>
        <v>W325A.D</v>
      </c>
      <c r="M1533" s="45"/>
      <c r="N1533" s="47"/>
      <c r="O1533" s="47"/>
      <c r="P1533" s="47"/>
      <c r="Q1533" s="45"/>
      <c r="R1533" s="45"/>
      <c r="S1533" s="48"/>
    </row>
    <row r="1534" spans="1:19" s="49" customFormat="1" ht="14.15" customHeight="1">
      <c r="A1534" s="45"/>
      <c r="B1534" s="44" t="s">
        <v>6635</v>
      </c>
      <c r="C1534" s="50"/>
      <c r="D1534" s="10" t="s">
        <v>29</v>
      </c>
      <c r="E1534" s="11"/>
      <c r="F1534" s="11" t="s">
        <v>18</v>
      </c>
      <c r="G1534" s="13"/>
      <c r="H1534" s="45" t="s">
        <v>16</v>
      </c>
      <c r="I1534" s="47"/>
      <c r="J1534" s="12" t="s">
        <v>4353</v>
      </c>
      <c r="K1534" s="13" t="s">
        <v>8305</v>
      </c>
      <c r="L1534" s="99" t="str">
        <f t="shared" si="95"/>
        <v>W325A.E</v>
      </c>
      <c r="M1534" s="45"/>
      <c r="N1534" s="47"/>
      <c r="O1534" s="47"/>
      <c r="P1534" s="47"/>
      <c r="Q1534" s="45"/>
      <c r="R1534" s="45"/>
      <c r="S1534" s="48"/>
    </row>
    <row r="1535" spans="1:19" s="49" customFormat="1" ht="14.15" customHeight="1">
      <c r="A1535" s="45"/>
      <c r="B1535" s="44" t="s">
        <v>6635</v>
      </c>
      <c r="C1535" s="50"/>
      <c r="D1535" s="10" t="s">
        <v>29</v>
      </c>
      <c r="E1535" s="11"/>
      <c r="F1535" s="11" t="s">
        <v>18</v>
      </c>
      <c r="G1535" s="13"/>
      <c r="H1535" s="45" t="s">
        <v>16</v>
      </c>
      <c r="I1535" s="47"/>
      <c r="J1535" s="12" t="s">
        <v>4354</v>
      </c>
      <c r="K1535" s="13" t="s">
        <v>8306</v>
      </c>
      <c r="L1535" s="99" t="str">
        <f t="shared" si="95"/>
        <v>W325A.F</v>
      </c>
      <c r="M1535" s="45"/>
      <c r="N1535" s="47"/>
      <c r="O1535" s="47"/>
      <c r="P1535" s="47"/>
      <c r="Q1535" s="45"/>
      <c r="R1535" s="45"/>
      <c r="S1535" s="48"/>
    </row>
    <row r="1536" spans="1:19" s="49" customFormat="1" ht="14.15" customHeight="1">
      <c r="A1536" s="45"/>
      <c r="B1536" s="44" t="s">
        <v>6635</v>
      </c>
      <c r="C1536" s="50"/>
      <c r="D1536" s="10" t="s">
        <v>29</v>
      </c>
      <c r="E1536" s="11"/>
      <c r="F1536" s="11" t="s">
        <v>18</v>
      </c>
      <c r="G1536" s="13"/>
      <c r="H1536" s="45" t="s">
        <v>16</v>
      </c>
      <c r="I1536" s="47"/>
      <c r="J1536" s="12" t="s">
        <v>4355</v>
      </c>
      <c r="K1536" s="13" t="s">
        <v>8307</v>
      </c>
      <c r="L1536" s="99" t="str">
        <f t="shared" si="95"/>
        <v>W325B.0</v>
      </c>
      <c r="M1536" s="45"/>
      <c r="N1536" s="47"/>
      <c r="O1536" s="47"/>
      <c r="P1536" s="47"/>
      <c r="Q1536" s="45"/>
      <c r="R1536" s="45"/>
      <c r="S1536" s="48"/>
    </row>
    <row r="1537" spans="1:19" s="49" customFormat="1" ht="14.15" customHeight="1">
      <c r="A1537" s="45"/>
      <c r="B1537" s="44" t="s">
        <v>6635</v>
      </c>
      <c r="C1537" s="50"/>
      <c r="D1537" s="10" t="s">
        <v>29</v>
      </c>
      <c r="E1537" s="11"/>
      <c r="F1537" s="11" t="s">
        <v>18</v>
      </c>
      <c r="G1537" s="13"/>
      <c r="H1537" s="45" t="s">
        <v>16</v>
      </c>
      <c r="I1537" s="47"/>
      <c r="J1537" s="12" t="s">
        <v>4356</v>
      </c>
      <c r="K1537" s="13" t="s">
        <v>8308</v>
      </c>
      <c r="L1537" s="99" t="str">
        <f t="shared" si="95"/>
        <v>W325B.1</v>
      </c>
      <c r="M1537" s="13"/>
      <c r="N1537" s="47"/>
      <c r="O1537" s="47"/>
      <c r="P1537" s="47"/>
      <c r="Q1537" s="45"/>
      <c r="R1537" s="45"/>
      <c r="S1537" s="48"/>
    </row>
    <row r="1538" spans="1:19" s="49" customFormat="1" ht="14.15" customHeight="1">
      <c r="A1538" s="45"/>
      <c r="B1538" s="44" t="s">
        <v>6635</v>
      </c>
      <c r="C1538" s="50"/>
      <c r="D1538" s="10" t="s">
        <v>29</v>
      </c>
      <c r="E1538" s="11"/>
      <c r="F1538" s="11" t="s">
        <v>18</v>
      </c>
      <c r="G1538" s="13"/>
      <c r="H1538" s="45" t="s">
        <v>16</v>
      </c>
      <c r="I1538" s="47"/>
      <c r="J1538" s="12" t="s">
        <v>4357</v>
      </c>
      <c r="K1538" s="13" t="s">
        <v>8309</v>
      </c>
      <c r="L1538" s="99" t="str">
        <f t="shared" si="95"/>
        <v>W325B.2</v>
      </c>
      <c r="M1538" s="13"/>
      <c r="N1538" s="47"/>
      <c r="O1538" s="47"/>
      <c r="P1538" s="47"/>
      <c r="Q1538" s="45"/>
      <c r="R1538" s="45"/>
      <c r="S1538" s="48"/>
    </row>
    <row r="1539" spans="1:19" s="49" customFormat="1" ht="14.15" customHeight="1">
      <c r="A1539" s="43" t="s">
        <v>6679</v>
      </c>
      <c r="B1539" s="44" t="s">
        <v>6635</v>
      </c>
      <c r="C1539" s="50"/>
      <c r="D1539" s="10" t="s">
        <v>29</v>
      </c>
      <c r="E1539" s="11"/>
      <c r="F1539" s="11" t="s">
        <v>18</v>
      </c>
      <c r="G1539" s="13"/>
      <c r="H1539" s="45" t="s">
        <v>16</v>
      </c>
      <c r="I1539" s="47"/>
      <c r="J1539" s="12" t="s">
        <v>6530</v>
      </c>
      <c r="K1539" s="13" t="s">
        <v>8310</v>
      </c>
      <c r="L1539" s="99" t="str">
        <f t="shared" si="95"/>
        <v>W325B.3</v>
      </c>
      <c r="M1539" s="13" t="s">
        <v>17</v>
      </c>
      <c r="N1539" s="13"/>
      <c r="O1539" s="13"/>
      <c r="P1539" s="47"/>
      <c r="Q1539" s="45" t="s">
        <v>142</v>
      </c>
      <c r="R1539" s="45" t="s">
        <v>5621</v>
      </c>
      <c r="S1539" s="48"/>
    </row>
    <row r="1540" spans="1:19" s="49" customFormat="1" ht="14.15" customHeight="1">
      <c r="A1540" s="43" t="s">
        <v>6679</v>
      </c>
      <c r="B1540" s="44" t="s">
        <v>6635</v>
      </c>
      <c r="C1540" s="50"/>
      <c r="D1540" s="10" t="s">
        <v>29</v>
      </c>
      <c r="E1540" s="11"/>
      <c r="F1540" s="11" t="s">
        <v>18</v>
      </c>
      <c r="G1540" s="13"/>
      <c r="H1540" s="45" t="s">
        <v>16</v>
      </c>
      <c r="I1540" s="47"/>
      <c r="J1540" s="12" t="s">
        <v>6531</v>
      </c>
      <c r="K1540" s="13" t="s">
        <v>8311</v>
      </c>
      <c r="L1540" s="99" t="str">
        <f t="shared" si="95"/>
        <v>W325B.4</v>
      </c>
      <c r="M1540" s="13" t="s">
        <v>17</v>
      </c>
      <c r="N1540" s="13"/>
      <c r="O1540" s="13"/>
      <c r="P1540" s="47"/>
      <c r="Q1540" s="45" t="s">
        <v>142</v>
      </c>
      <c r="R1540" s="45" t="s">
        <v>5621</v>
      </c>
      <c r="S1540" s="48"/>
    </row>
    <row r="1541" spans="1:19" s="49" customFormat="1" ht="14.15" customHeight="1">
      <c r="A1541" s="45"/>
      <c r="B1541" s="44" t="s">
        <v>6635</v>
      </c>
      <c r="C1541" s="50"/>
      <c r="D1541" s="10" t="s">
        <v>29</v>
      </c>
      <c r="E1541" s="11"/>
      <c r="F1541" s="11" t="s">
        <v>18</v>
      </c>
      <c r="G1541" s="13"/>
      <c r="H1541" s="45" t="s">
        <v>16</v>
      </c>
      <c r="I1541" s="47"/>
      <c r="J1541" s="12" t="s">
        <v>1211</v>
      </c>
      <c r="K1541" s="13" t="s">
        <v>8312</v>
      </c>
      <c r="L1541" s="99" t="str">
        <f t="shared" si="95"/>
        <v>W325B.5</v>
      </c>
      <c r="M1541" s="45"/>
      <c r="N1541" s="47"/>
      <c r="O1541" s="47"/>
      <c r="P1541" s="47"/>
      <c r="Q1541" s="45"/>
      <c r="R1541" s="45"/>
      <c r="S1541" s="48"/>
    </row>
    <row r="1542" spans="1:19" s="49" customFormat="1" ht="14.15" customHeight="1">
      <c r="A1542" s="43" t="s">
        <v>6679</v>
      </c>
      <c r="B1542" s="44" t="s">
        <v>6635</v>
      </c>
      <c r="C1542" s="50"/>
      <c r="D1542" s="10" t="s">
        <v>29</v>
      </c>
      <c r="E1542" s="11"/>
      <c r="F1542" s="11" t="s">
        <v>18</v>
      </c>
      <c r="G1542" s="13"/>
      <c r="H1542" s="45" t="s">
        <v>16</v>
      </c>
      <c r="I1542" s="47"/>
      <c r="J1542" s="12" t="s">
        <v>6532</v>
      </c>
      <c r="K1542" s="13" t="s">
        <v>8313</v>
      </c>
      <c r="L1542" s="99" t="str">
        <f t="shared" si="95"/>
        <v>W325B.6</v>
      </c>
      <c r="M1542" s="13" t="s">
        <v>17</v>
      </c>
      <c r="N1542" s="13"/>
      <c r="O1542" s="13"/>
      <c r="P1542" s="47"/>
      <c r="Q1542" s="45" t="s">
        <v>142</v>
      </c>
      <c r="R1542" s="45" t="s">
        <v>5621</v>
      </c>
      <c r="S1542" s="48"/>
    </row>
    <row r="1543" spans="1:19" s="49" customFormat="1" ht="14.15" customHeight="1">
      <c r="A1543" s="43" t="s">
        <v>6679</v>
      </c>
      <c r="B1543" s="44" t="s">
        <v>6635</v>
      </c>
      <c r="C1543" s="50"/>
      <c r="D1543" s="10" t="s">
        <v>29</v>
      </c>
      <c r="E1543" s="11"/>
      <c r="F1543" s="11" t="s">
        <v>18</v>
      </c>
      <c r="G1543" s="13"/>
      <c r="H1543" s="45" t="s">
        <v>16</v>
      </c>
      <c r="I1543" s="47"/>
      <c r="J1543" s="12" t="s">
        <v>6533</v>
      </c>
      <c r="K1543" s="13" t="s">
        <v>8314</v>
      </c>
      <c r="L1543" s="99" t="str">
        <f t="shared" si="95"/>
        <v>W325B.7</v>
      </c>
      <c r="M1543" s="13" t="s">
        <v>17</v>
      </c>
      <c r="N1543" s="13"/>
      <c r="O1543" s="13"/>
      <c r="P1543" s="47"/>
      <c r="Q1543" s="45" t="s">
        <v>142</v>
      </c>
      <c r="R1543" s="45" t="s">
        <v>5621</v>
      </c>
      <c r="S1543" s="48"/>
    </row>
    <row r="1544" spans="1:19" s="49" customFormat="1" ht="14.15" customHeight="1">
      <c r="A1544" s="45"/>
      <c r="B1544" s="44" t="s">
        <v>6635</v>
      </c>
      <c r="C1544" s="50"/>
      <c r="D1544" s="10" t="s">
        <v>29</v>
      </c>
      <c r="E1544" s="11"/>
      <c r="F1544" s="11" t="s">
        <v>18</v>
      </c>
      <c r="G1544" s="13"/>
      <c r="H1544" s="45" t="s">
        <v>16</v>
      </c>
      <c r="I1544" s="47"/>
      <c r="J1544" s="12" t="s">
        <v>4363</v>
      </c>
      <c r="K1544" s="13" t="s">
        <v>8315</v>
      </c>
      <c r="L1544" s="99" t="str">
        <f t="shared" si="95"/>
        <v>W325B.8</v>
      </c>
      <c r="M1544" s="45"/>
      <c r="N1544" s="47"/>
      <c r="O1544" s="47"/>
      <c r="P1544" s="47"/>
      <c r="Q1544" s="45"/>
      <c r="R1544" s="45"/>
      <c r="S1544" s="48"/>
    </row>
    <row r="1545" spans="1:19" s="49" customFormat="1" ht="14.15" customHeight="1">
      <c r="A1545" s="45"/>
      <c r="B1545" s="44" t="s">
        <v>6635</v>
      </c>
      <c r="C1545" s="50"/>
      <c r="D1545" s="10" t="s">
        <v>29</v>
      </c>
      <c r="E1545" s="11"/>
      <c r="F1545" s="11" t="s">
        <v>18</v>
      </c>
      <c r="G1545" s="13"/>
      <c r="H1545" s="45" t="s">
        <v>16</v>
      </c>
      <c r="I1545" s="47"/>
      <c r="J1545" s="12" t="s">
        <v>4364</v>
      </c>
      <c r="K1545" s="13" t="s">
        <v>8316</v>
      </c>
      <c r="L1545" s="99" t="str">
        <f t="shared" si="95"/>
        <v>W325B.9</v>
      </c>
      <c r="M1545" s="45"/>
      <c r="N1545" s="47"/>
      <c r="O1545" s="47"/>
      <c r="P1545" s="47"/>
      <c r="Q1545" s="45"/>
      <c r="R1545" s="45"/>
      <c r="S1545" s="48"/>
    </row>
    <row r="1546" spans="1:19" s="49" customFormat="1" ht="14.15" customHeight="1">
      <c r="A1546" s="45"/>
      <c r="B1546" s="44" t="s">
        <v>6635</v>
      </c>
      <c r="C1546" s="50"/>
      <c r="D1546" s="10" t="s">
        <v>29</v>
      </c>
      <c r="E1546" s="11"/>
      <c r="F1546" s="11" t="s">
        <v>18</v>
      </c>
      <c r="G1546" s="13"/>
      <c r="H1546" s="45" t="s">
        <v>16</v>
      </c>
      <c r="I1546" s="47"/>
      <c r="J1546" s="12" t="s">
        <v>4365</v>
      </c>
      <c r="K1546" s="13" t="s">
        <v>8317</v>
      </c>
      <c r="L1546" s="99" t="str">
        <f t="shared" si="95"/>
        <v>W325B.A</v>
      </c>
      <c r="M1546" s="45"/>
      <c r="N1546" s="47"/>
      <c r="O1546" s="47"/>
      <c r="P1546" s="47"/>
      <c r="Q1546" s="45"/>
      <c r="R1546" s="45"/>
      <c r="S1546" s="48"/>
    </row>
    <row r="1547" spans="1:19" s="49" customFormat="1" ht="14.15" customHeight="1">
      <c r="A1547" s="45"/>
      <c r="B1547" s="44" t="s">
        <v>6635</v>
      </c>
      <c r="C1547" s="50"/>
      <c r="D1547" s="10" t="s">
        <v>29</v>
      </c>
      <c r="E1547" s="11"/>
      <c r="F1547" s="11" t="s">
        <v>18</v>
      </c>
      <c r="G1547" s="13"/>
      <c r="H1547" s="45" t="s">
        <v>16</v>
      </c>
      <c r="I1547" s="47"/>
      <c r="J1547" s="12" t="s">
        <v>4366</v>
      </c>
      <c r="K1547" s="13" t="s">
        <v>8318</v>
      </c>
      <c r="L1547" s="99" t="str">
        <f t="shared" si="95"/>
        <v>W325B.B</v>
      </c>
      <c r="M1547" s="45"/>
      <c r="N1547" s="47"/>
      <c r="O1547" s="47"/>
      <c r="P1547" s="47"/>
      <c r="Q1547" s="45"/>
      <c r="R1547" s="45"/>
      <c r="S1547" s="48"/>
    </row>
    <row r="1548" spans="1:19" s="49" customFormat="1" ht="14.15" customHeight="1">
      <c r="A1548" s="45"/>
      <c r="B1548" s="44" t="s">
        <v>6635</v>
      </c>
      <c r="C1548" s="50"/>
      <c r="D1548" s="10" t="s">
        <v>29</v>
      </c>
      <c r="E1548" s="11"/>
      <c r="F1548" s="11" t="s">
        <v>18</v>
      </c>
      <c r="G1548" s="13"/>
      <c r="H1548" s="45" t="s">
        <v>16</v>
      </c>
      <c r="I1548" s="47"/>
      <c r="J1548" s="12" t="s">
        <v>4367</v>
      </c>
      <c r="K1548" s="13" t="s">
        <v>8319</v>
      </c>
      <c r="L1548" s="99" t="str">
        <f t="shared" si="95"/>
        <v>W325B.C</v>
      </c>
      <c r="M1548" s="45"/>
      <c r="N1548" s="47"/>
      <c r="O1548" s="47"/>
      <c r="P1548" s="47"/>
      <c r="Q1548" s="45"/>
      <c r="R1548" s="45"/>
      <c r="S1548" s="48"/>
    </row>
    <row r="1549" spans="1:19" s="49" customFormat="1" ht="14.15" customHeight="1">
      <c r="A1549" s="45"/>
      <c r="B1549" s="44" t="s">
        <v>6635</v>
      </c>
      <c r="C1549" s="50"/>
      <c r="D1549" s="10" t="s">
        <v>29</v>
      </c>
      <c r="E1549" s="11"/>
      <c r="F1549" s="11" t="s">
        <v>18</v>
      </c>
      <c r="G1549" s="13"/>
      <c r="H1549" s="45" t="s">
        <v>16</v>
      </c>
      <c r="I1549" s="47"/>
      <c r="J1549" s="12" t="s">
        <v>4368</v>
      </c>
      <c r="K1549" s="13" t="s">
        <v>8320</v>
      </c>
      <c r="L1549" s="99" t="str">
        <f t="shared" si="95"/>
        <v>W325B.D</v>
      </c>
      <c r="M1549" s="13"/>
      <c r="N1549" s="47"/>
      <c r="O1549" s="47"/>
      <c r="P1549" s="47"/>
      <c r="Q1549" s="45"/>
      <c r="R1549" s="45"/>
      <c r="S1549" s="48"/>
    </row>
    <row r="1550" spans="1:19" s="49" customFormat="1" ht="14.15" customHeight="1">
      <c r="A1550" s="45"/>
      <c r="B1550" s="44" t="s">
        <v>6635</v>
      </c>
      <c r="C1550" s="50"/>
      <c r="D1550" s="10" t="s">
        <v>29</v>
      </c>
      <c r="E1550" s="11"/>
      <c r="F1550" s="11" t="s">
        <v>18</v>
      </c>
      <c r="G1550" s="13"/>
      <c r="H1550" s="45" t="s">
        <v>16</v>
      </c>
      <c r="I1550" s="47"/>
      <c r="J1550" s="12" t="s">
        <v>4369</v>
      </c>
      <c r="K1550" s="13" t="s">
        <v>8321</v>
      </c>
      <c r="L1550" s="99" t="str">
        <f t="shared" si="95"/>
        <v>W325B.E</v>
      </c>
      <c r="M1550" s="13"/>
      <c r="N1550" s="47"/>
      <c r="O1550" s="47"/>
      <c r="P1550" s="47"/>
      <c r="Q1550" s="45"/>
      <c r="R1550" s="45"/>
      <c r="S1550" s="48"/>
    </row>
    <row r="1551" spans="1:19" s="49" customFormat="1" ht="14.15" customHeight="1">
      <c r="A1551" s="45"/>
      <c r="B1551" s="44" t="s">
        <v>6635</v>
      </c>
      <c r="C1551" s="50"/>
      <c r="D1551" s="10" t="s">
        <v>29</v>
      </c>
      <c r="E1551" s="11"/>
      <c r="F1551" s="11" t="s">
        <v>18</v>
      </c>
      <c r="G1551" s="13"/>
      <c r="H1551" s="45" t="s">
        <v>16</v>
      </c>
      <c r="I1551" s="47"/>
      <c r="J1551" s="12" t="s">
        <v>4370</v>
      </c>
      <c r="K1551" s="13" t="s">
        <v>8322</v>
      </c>
      <c r="L1551" s="99" t="str">
        <f t="shared" si="95"/>
        <v>W325B.F</v>
      </c>
      <c r="M1551" s="13"/>
      <c r="N1551" s="47"/>
      <c r="O1551" s="47"/>
      <c r="P1551" s="47"/>
      <c r="Q1551" s="45"/>
      <c r="R1551" s="45"/>
      <c r="S1551" s="48"/>
    </row>
    <row r="1552" spans="1:19" s="49" customFormat="1" ht="14.15" customHeight="1">
      <c r="A1552" s="45"/>
      <c r="B1552" s="44" t="s">
        <v>6635</v>
      </c>
      <c r="C1552" s="50"/>
      <c r="D1552" s="10" t="s">
        <v>29</v>
      </c>
      <c r="E1552" s="11"/>
      <c r="F1552" s="11" t="s">
        <v>18</v>
      </c>
      <c r="G1552" s="13"/>
      <c r="H1552" s="45" t="s">
        <v>16</v>
      </c>
      <c r="I1552" s="47"/>
      <c r="J1552" s="12" t="s">
        <v>4371</v>
      </c>
      <c r="K1552" s="13" t="s">
        <v>8323</v>
      </c>
      <c r="L1552" s="99" t="str">
        <f t="shared" si="95"/>
        <v>W325C.0</v>
      </c>
      <c r="M1552" s="45"/>
      <c r="N1552" s="47"/>
      <c r="O1552" s="47"/>
      <c r="P1552" s="47"/>
      <c r="Q1552" s="45"/>
      <c r="R1552" s="45"/>
      <c r="S1552" s="48"/>
    </row>
    <row r="1553" spans="1:19" s="49" customFormat="1" ht="14.15" customHeight="1">
      <c r="A1553" s="45"/>
      <c r="B1553" s="44" t="s">
        <v>6635</v>
      </c>
      <c r="C1553" s="50"/>
      <c r="D1553" s="10" t="s">
        <v>29</v>
      </c>
      <c r="E1553" s="11"/>
      <c r="F1553" s="11" t="s">
        <v>18</v>
      </c>
      <c r="G1553" s="13"/>
      <c r="H1553" s="45" t="s">
        <v>16</v>
      </c>
      <c r="I1553" s="47"/>
      <c r="J1553" s="12" t="s">
        <v>4372</v>
      </c>
      <c r="K1553" s="13" t="s">
        <v>8324</v>
      </c>
      <c r="L1553" s="99" t="str">
        <f t="shared" ref="L1553:L1616" si="96">"W"&amp;DEC2HEX(12800 + INT((ROW()-80)/16)) &amp; "." &amp; IF(MOD(ROW()-80,16)&lt;10,MOD(ROW()-80,16),CHAR(MOD(ROW()-80,16)+55))</f>
        <v>W325C.1</v>
      </c>
      <c r="M1553" s="13"/>
      <c r="N1553" s="47"/>
      <c r="O1553" s="47"/>
      <c r="P1553" s="47"/>
      <c r="Q1553" s="45"/>
      <c r="R1553" s="45"/>
      <c r="S1553" s="48"/>
    </row>
    <row r="1554" spans="1:19" s="49" customFormat="1" ht="14.15" customHeight="1">
      <c r="A1554" s="45"/>
      <c r="B1554" s="44" t="s">
        <v>6635</v>
      </c>
      <c r="C1554" s="50"/>
      <c r="D1554" s="10" t="s">
        <v>29</v>
      </c>
      <c r="E1554" s="11"/>
      <c r="F1554" s="11" t="s">
        <v>18</v>
      </c>
      <c r="G1554" s="13"/>
      <c r="H1554" s="45" t="s">
        <v>16</v>
      </c>
      <c r="I1554" s="47"/>
      <c r="J1554" s="12" t="s">
        <v>4373</v>
      </c>
      <c r="K1554" s="13" t="s">
        <v>8325</v>
      </c>
      <c r="L1554" s="99" t="str">
        <f t="shared" si="96"/>
        <v>W325C.2</v>
      </c>
      <c r="M1554" s="45"/>
      <c r="N1554" s="47"/>
      <c r="O1554" s="47"/>
      <c r="P1554" s="47"/>
      <c r="Q1554" s="45"/>
      <c r="R1554" s="45"/>
      <c r="S1554" s="48"/>
    </row>
    <row r="1555" spans="1:19" s="49" customFormat="1" ht="14.15" customHeight="1">
      <c r="A1555" s="45"/>
      <c r="B1555" s="44" t="s">
        <v>6635</v>
      </c>
      <c r="C1555" s="50"/>
      <c r="D1555" s="10" t="s">
        <v>29</v>
      </c>
      <c r="E1555" s="11"/>
      <c r="F1555" s="11" t="s">
        <v>18</v>
      </c>
      <c r="G1555" s="13"/>
      <c r="H1555" s="45" t="s">
        <v>16</v>
      </c>
      <c r="I1555" s="47"/>
      <c r="J1555" s="12" t="s">
        <v>4374</v>
      </c>
      <c r="K1555" s="13" t="s">
        <v>8326</v>
      </c>
      <c r="L1555" s="99" t="str">
        <f t="shared" si="96"/>
        <v>W325C.3</v>
      </c>
      <c r="M1555" s="45"/>
      <c r="N1555" s="47"/>
      <c r="O1555" s="47"/>
      <c r="P1555" s="47"/>
      <c r="Q1555" s="45"/>
      <c r="R1555" s="45"/>
      <c r="S1555" s="48"/>
    </row>
    <row r="1556" spans="1:19" s="49" customFormat="1" ht="14.15" customHeight="1">
      <c r="A1556" s="45"/>
      <c r="B1556" s="44" t="s">
        <v>6635</v>
      </c>
      <c r="C1556" s="50"/>
      <c r="D1556" s="10" t="s">
        <v>29</v>
      </c>
      <c r="E1556" s="11"/>
      <c r="F1556" s="11" t="s">
        <v>18</v>
      </c>
      <c r="G1556" s="13"/>
      <c r="H1556" s="45" t="s">
        <v>16</v>
      </c>
      <c r="I1556" s="47"/>
      <c r="J1556" s="12" t="s">
        <v>4375</v>
      </c>
      <c r="K1556" s="13" t="s">
        <v>8327</v>
      </c>
      <c r="L1556" s="99" t="str">
        <f t="shared" si="96"/>
        <v>W325C.4</v>
      </c>
      <c r="M1556" s="45"/>
      <c r="N1556" s="47"/>
      <c r="O1556" s="47"/>
      <c r="P1556" s="47"/>
      <c r="Q1556" s="45"/>
      <c r="R1556" s="45"/>
      <c r="S1556" s="48"/>
    </row>
    <row r="1557" spans="1:19" s="49" customFormat="1" ht="14.15" customHeight="1">
      <c r="A1557" s="45"/>
      <c r="B1557" s="44" t="s">
        <v>6635</v>
      </c>
      <c r="C1557" s="50"/>
      <c r="D1557" s="10" t="s">
        <v>29</v>
      </c>
      <c r="E1557" s="11"/>
      <c r="F1557" s="11" t="s">
        <v>18</v>
      </c>
      <c r="G1557" s="13"/>
      <c r="H1557" s="45" t="s">
        <v>16</v>
      </c>
      <c r="I1557" s="47"/>
      <c r="J1557" s="12" t="s">
        <v>4376</v>
      </c>
      <c r="K1557" s="13" t="s">
        <v>8328</v>
      </c>
      <c r="L1557" s="99" t="str">
        <f t="shared" si="96"/>
        <v>W325C.5</v>
      </c>
      <c r="M1557" s="45"/>
      <c r="N1557" s="47"/>
      <c r="O1557" s="47"/>
      <c r="P1557" s="47"/>
      <c r="Q1557" s="45"/>
      <c r="R1557" s="45"/>
      <c r="S1557" s="48"/>
    </row>
    <row r="1558" spans="1:19" s="49" customFormat="1" ht="14.15" customHeight="1">
      <c r="A1558" s="45"/>
      <c r="B1558" s="44" t="s">
        <v>6635</v>
      </c>
      <c r="C1558" s="50"/>
      <c r="D1558" s="10" t="s">
        <v>29</v>
      </c>
      <c r="E1558" s="11"/>
      <c r="F1558" s="11" t="s">
        <v>18</v>
      </c>
      <c r="G1558" s="13"/>
      <c r="H1558" s="45" t="s">
        <v>16</v>
      </c>
      <c r="I1558" s="47"/>
      <c r="J1558" s="12" t="s">
        <v>4377</v>
      </c>
      <c r="K1558" s="13" t="s">
        <v>8329</v>
      </c>
      <c r="L1558" s="99" t="str">
        <f t="shared" si="96"/>
        <v>W325C.6</v>
      </c>
      <c r="M1558" s="45"/>
      <c r="N1558" s="47"/>
      <c r="O1558" s="47"/>
      <c r="P1558" s="47"/>
      <c r="Q1558" s="45"/>
      <c r="R1558" s="45"/>
      <c r="S1558" s="48"/>
    </row>
    <row r="1559" spans="1:19" s="49" customFormat="1" ht="14.15" customHeight="1">
      <c r="A1559" s="45"/>
      <c r="B1559" s="44" t="s">
        <v>6635</v>
      </c>
      <c r="C1559" s="50"/>
      <c r="D1559" s="10" t="s">
        <v>29</v>
      </c>
      <c r="E1559" s="11"/>
      <c r="F1559" s="11" t="s">
        <v>18</v>
      </c>
      <c r="G1559" s="13"/>
      <c r="H1559" s="45" t="s">
        <v>16</v>
      </c>
      <c r="I1559" s="47"/>
      <c r="J1559" s="12" t="s">
        <v>4378</v>
      </c>
      <c r="K1559" s="13" t="s">
        <v>8330</v>
      </c>
      <c r="L1559" s="99" t="str">
        <f t="shared" si="96"/>
        <v>W325C.7</v>
      </c>
      <c r="M1559" s="13"/>
      <c r="N1559" s="47"/>
      <c r="O1559" s="47"/>
      <c r="P1559" s="47"/>
      <c r="Q1559" s="45"/>
      <c r="R1559" s="45"/>
      <c r="S1559" s="48"/>
    </row>
    <row r="1560" spans="1:19" s="49" customFormat="1" ht="14.15" customHeight="1">
      <c r="A1560" s="45"/>
      <c r="B1560" s="44" t="s">
        <v>6635</v>
      </c>
      <c r="C1560" s="50"/>
      <c r="D1560" s="10" t="s">
        <v>29</v>
      </c>
      <c r="E1560" s="11"/>
      <c r="F1560" s="11" t="s">
        <v>18</v>
      </c>
      <c r="G1560" s="13"/>
      <c r="H1560" s="45" t="s">
        <v>16</v>
      </c>
      <c r="I1560" s="47"/>
      <c r="J1560" s="12" t="s">
        <v>4379</v>
      </c>
      <c r="K1560" s="13" t="s">
        <v>8331</v>
      </c>
      <c r="L1560" s="99" t="str">
        <f t="shared" si="96"/>
        <v>W325C.8</v>
      </c>
      <c r="M1560" s="13"/>
      <c r="N1560" s="47"/>
      <c r="O1560" s="47"/>
      <c r="P1560" s="47"/>
      <c r="Q1560" s="45"/>
      <c r="R1560" s="45"/>
      <c r="S1560" s="48"/>
    </row>
    <row r="1561" spans="1:19" s="49" customFormat="1" ht="14.15" customHeight="1">
      <c r="A1561" s="45"/>
      <c r="B1561" s="44" t="s">
        <v>6635</v>
      </c>
      <c r="C1561" s="50"/>
      <c r="D1561" s="10" t="s">
        <v>29</v>
      </c>
      <c r="E1561" s="11"/>
      <c r="F1561" s="11" t="s">
        <v>18</v>
      </c>
      <c r="G1561" s="13"/>
      <c r="H1561" s="45" t="s">
        <v>16</v>
      </c>
      <c r="I1561" s="47"/>
      <c r="J1561" s="12" t="s">
        <v>4380</v>
      </c>
      <c r="K1561" s="13" t="s">
        <v>8332</v>
      </c>
      <c r="L1561" s="99" t="str">
        <f t="shared" si="96"/>
        <v>W325C.9</v>
      </c>
      <c r="M1561" s="13"/>
      <c r="N1561" s="47"/>
      <c r="O1561" s="47"/>
      <c r="P1561" s="47"/>
      <c r="Q1561" s="45"/>
      <c r="R1561" s="45"/>
      <c r="S1561" s="48"/>
    </row>
    <row r="1562" spans="1:19" s="49" customFormat="1" ht="14.15" customHeight="1">
      <c r="A1562" s="45"/>
      <c r="B1562" s="44" t="s">
        <v>6635</v>
      </c>
      <c r="C1562" s="50"/>
      <c r="D1562" s="10" t="s">
        <v>29</v>
      </c>
      <c r="E1562" s="11"/>
      <c r="F1562" s="11" t="s">
        <v>18</v>
      </c>
      <c r="G1562" s="13"/>
      <c r="H1562" s="45" t="s">
        <v>16</v>
      </c>
      <c r="I1562" s="47"/>
      <c r="J1562" s="12" t="s">
        <v>4381</v>
      </c>
      <c r="K1562" s="13" t="s">
        <v>8333</v>
      </c>
      <c r="L1562" s="99" t="str">
        <f t="shared" si="96"/>
        <v>W325C.A</v>
      </c>
      <c r="M1562" s="13"/>
      <c r="N1562" s="47"/>
      <c r="O1562" s="47"/>
      <c r="P1562" s="47"/>
      <c r="Q1562" s="45"/>
      <c r="R1562" s="45"/>
      <c r="S1562" s="48"/>
    </row>
    <row r="1563" spans="1:19" s="49" customFormat="1" ht="14.15" customHeight="1">
      <c r="A1563" s="45"/>
      <c r="B1563" s="44" t="s">
        <v>6635</v>
      </c>
      <c r="C1563" s="50"/>
      <c r="D1563" s="10" t="s">
        <v>29</v>
      </c>
      <c r="E1563" s="11"/>
      <c r="F1563" s="11" t="s">
        <v>18</v>
      </c>
      <c r="G1563" s="13"/>
      <c r="H1563" s="45" t="s">
        <v>16</v>
      </c>
      <c r="I1563" s="47"/>
      <c r="J1563" s="12" t="s">
        <v>4382</v>
      </c>
      <c r="K1563" s="13" t="s">
        <v>8334</v>
      </c>
      <c r="L1563" s="99" t="str">
        <f t="shared" si="96"/>
        <v>W325C.B</v>
      </c>
      <c r="M1563" s="13"/>
      <c r="N1563" s="47"/>
      <c r="O1563" s="47"/>
      <c r="P1563" s="47"/>
      <c r="Q1563" s="45"/>
      <c r="R1563" s="45"/>
      <c r="S1563" s="48"/>
    </row>
    <row r="1564" spans="1:19" s="49" customFormat="1" ht="14.15" customHeight="1">
      <c r="A1564" s="45"/>
      <c r="B1564" s="44" t="s">
        <v>6635</v>
      </c>
      <c r="C1564" s="50"/>
      <c r="D1564" s="10" t="s">
        <v>29</v>
      </c>
      <c r="E1564" s="11"/>
      <c r="F1564" s="11" t="s">
        <v>18</v>
      </c>
      <c r="G1564" s="13"/>
      <c r="H1564" s="45" t="s">
        <v>16</v>
      </c>
      <c r="I1564" s="47"/>
      <c r="J1564" s="12" t="s">
        <v>4383</v>
      </c>
      <c r="K1564" s="13" t="s">
        <v>8335</v>
      </c>
      <c r="L1564" s="99" t="str">
        <f t="shared" si="96"/>
        <v>W325C.C</v>
      </c>
      <c r="M1564" s="13"/>
      <c r="N1564" s="47"/>
      <c r="O1564" s="47"/>
      <c r="P1564" s="47"/>
      <c r="Q1564" s="45"/>
      <c r="R1564" s="45"/>
      <c r="S1564" s="48"/>
    </row>
    <row r="1565" spans="1:19" s="49" customFormat="1" ht="14.15" customHeight="1">
      <c r="A1565" s="45"/>
      <c r="B1565" s="44" t="s">
        <v>6635</v>
      </c>
      <c r="C1565" s="50"/>
      <c r="D1565" s="10" t="s">
        <v>29</v>
      </c>
      <c r="E1565" s="11"/>
      <c r="F1565" s="11" t="s">
        <v>18</v>
      </c>
      <c r="G1565" s="13"/>
      <c r="H1565" s="45" t="s">
        <v>16</v>
      </c>
      <c r="I1565" s="47"/>
      <c r="J1565" s="12" t="s">
        <v>4384</v>
      </c>
      <c r="K1565" s="13" t="s">
        <v>8336</v>
      </c>
      <c r="L1565" s="99" t="str">
        <f t="shared" si="96"/>
        <v>W325C.D</v>
      </c>
      <c r="M1565" s="45"/>
      <c r="N1565" s="47"/>
      <c r="O1565" s="47"/>
      <c r="P1565" s="47"/>
      <c r="Q1565" s="45"/>
      <c r="R1565" s="45"/>
      <c r="S1565" s="48"/>
    </row>
    <row r="1566" spans="1:19" s="49" customFormat="1" ht="14.15" customHeight="1">
      <c r="A1566" s="45"/>
      <c r="B1566" s="44" t="s">
        <v>6635</v>
      </c>
      <c r="C1566" s="50"/>
      <c r="D1566" s="10" t="s">
        <v>29</v>
      </c>
      <c r="E1566" s="11"/>
      <c r="F1566" s="11" t="s">
        <v>18</v>
      </c>
      <c r="G1566" s="13"/>
      <c r="H1566" s="45" t="s">
        <v>16</v>
      </c>
      <c r="I1566" s="47"/>
      <c r="J1566" s="12" t="s">
        <v>4385</v>
      </c>
      <c r="K1566" s="13" t="s">
        <v>8337</v>
      </c>
      <c r="L1566" s="99" t="str">
        <f t="shared" si="96"/>
        <v>W325C.E</v>
      </c>
      <c r="M1566" s="45"/>
      <c r="N1566" s="47"/>
      <c r="O1566" s="47"/>
      <c r="P1566" s="47"/>
      <c r="Q1566" s="45"/>
      <c r="R1566" s="45"/>
      <c r="S1566" s="48"/>
    </row>
    <row r="1567" spans="1:19" s="49" customFormat="1" ht="14.15" customHeight="1">
      <c r="A1567" s="45"/>
      <c r="B1567" s="44" t="s">
        <v>6635</v>
      </c>
      <c r="C1567" s="50"/>
      <c r="D1567" s="10" t="s">
        <v>29</v>
      </c>
      <c r="E1567" s="11"/>
      <c r="F1567" s="11" t="s">
        <v>18</v>
      </c>
      <c r="G1567" s="13"/>
      <c r="H1567" s="45" t="s">
        <v>16</v>
      </c>
      <c r="I1567" s="47"/>
      <c r="J1567" s="12" t="s">
        <v>4386</v>
      </c>
      <c r="K1567" s="13" t="s">
        <v>8338</v>
      </c>
      <c r="L1567" s="99" t="str">
        <f t="shared" si="96"/>
        <v>W325C.F</v>
      </c>
      <c r="M1567" s="45"/>
      <c r="N1567" s="47"/>
      <c r="O1567" s="47"/>
      <c r="P1567" s="47"/>
      <c r="Q1567" s="45"/>
      <c r="R1567" s="45"/>
      <c r="S1567" s="48"/>
    </row>
    <row r="1568" spans="1:19" s="49" customFormat="1" ht="14.15" customHeight="1">
      <c r="A1568" s="45"/>
      <c r="B1568" s="44" t="s">
        <v>6635</v>
      </c>
      <c r="C1568" s="50"/>
      <c r="D1568" s="10" t="s">
        <v>29</v>
      </c>
      <c r="E1568" s="11"/>
      <c r="F1568" s="11" t="s">
        <v>18</v>
      </c>
      <c r="G1568" s="13"/>
      <c r="H1568" s="45" t="s">
        <v>16</v>
      </c>
      <c r="I1568" s="47"/>
      <c r="J1568" s="12" t="s">
        <v>4387</v>
      </c>
      <c r="K1568" s="13" t="s">
        <v>8339</v>
      </c>
      <c r="L1568" s="99" t="str">
        <f t="shared" si="96"/>
        <v>W325D.0</v>
      </c>
      <c r="M1568" s="45"/>
      <c r="N1568" s="47"/>
      <c r="O1568" s="47"/>
      <c r="P1568" s="47"/>
      <c r="Q1568" s="45"/>
      <c r="R1568" s="45"/>
      <c r="S1568" s="48"/>
    </row>
    <row r="1569" spans="1:19" s="49" customFormat="1" ht="14.15" customHeight="1">
      <c r="A1569" s="45"/>
      <c r="B1569" s="44" t="s">
        <v>6635</v>
      </c>
      <c r="C1569" s="50"/>
      <c r="D1569" s="10" t="s">
        <v>29</v>
      </c>
      <c r="E1569" s="11"/>
      <c r="F1569" s="11" t="s">
        <v>18</v>
      </c>
      <c r="G1569" s="13"/>
      <c r="H1569" s="45" t="s">
        <v>16</v>
      </c>
      <c r="I1569" s="47"/>
      <c r="J1569" s="12" t="s">
        <v>4388</v>
      </c>
      <c r="K1569" s="13" t="s">
        <v>8340</v>
      </c>
      <c r="L1569" s="99" t="str">
        <f t="shared" si="96"/>
        <v>W325D.1</v>
      </c>
      <c r="M1569" s="13"/>
      <c r="N1569" s="47"/>
      <c r="O1569" s="47"/>
      <c r="P1569" s="47"/>
      <c r="Q1569" s="45"/>
      <c r="R1569" s="45"/>
      <c r="S1569" s="48"/>
    </row>
    <row r="1570" spans="1:19" s="49" customFormat="1" ht="14.15" customHeight="1">
      <c r="A1570" s="45"/>
      <c r="B1570" s="44" t="s">
        <v>6635</v>
      </c>
      <c r="C1570" s="50"/>
      <c r="D1570" s="10" t="s">
        <v>29</v>
      </c>
      <c r="E1570" s="11"/>
      <c r="F1570" s="11" t="s">
        <v>18</v>
      </c>
      <c r="G1570" s="13"/>
      <c r="H1570" s="45" t="s">
        <v>16</v>
      </c>
      <c r="I1570" s="47"/>
      <c r="J1570" s="12" t="s">
        <v>4389</v>
      </c>
      <c r="K1570" s="13" t="s">
        <v>8341</v>
      </c>
      <c r="L1570" s="99" t="str">
        <f t="shared" si="96"/>
        <v>W325D.2</v>
      </c>
      <c r="M1570" s="13"/>
      <c r="N1570" s="47"/>
      <c r="O1570" s="47"/>
      <c r="P1570" s="47"/>
      <c r="Q1570" s="45"/>
      <c r="R1570" s="45"/>
      <c r="S1570" s="48"/>
    </row>
    <row r="1571" spans="1:19" s="49" customFormat="1" ht="14.15" customHeight="1">
      <c r="A1571" s="45"/>
      <c r="B1571" s="44" t="s">
        <v>6635</v>
      </c>
      <c r="C1571" s="50"/>
      <c r="D1571" s="10" t="s">
        <v>29</v>
      </c>
      <c r="E1571" s="11"/>
      <c r="F1571" s="11" t="s">
        <v>18</v>
      </c>
      <c r="G1571" s="13"/>
      <c r="H1571" s="45" t="s">
        <v>16</v>
      </c>
      <c r="I1571" s="47"/>
      <c r="J1571" s="12" t="s">
        <v>4390</v>
      </c>
      <c r="K1571" s="13" t="s">
        <v>8342</v>
      </c>
      <c r="L1571" s="99" t="str">
        <f t="shared" si="96"/>
        <v>W325D.3</v>
      </c>
      <c r="M1571" s="13"/>
      <c r="N1571" s="47"/>
      <c r="O1571" s="47"/>
      <c r="P1571" s="47"/>
      <c r="Q1571" s="45"/>
      <c r="R1571" s="45"/>
      <c r="S1571" s="48"/>
    </row>
    <row r="1572" spans="1:19" s="49" customFormat="1" ht="14.15" customHeight="1">
      <c r="A1572" s="45"/>
      <c r="B1572" s="44" t="s">
        <v>6635</v>
      </c>
      <c r="C1572" s="50"/>
      <c r="D1572" s="10" t="s">
        <v>29</v>
      </c>
      <c r="E1572" s="11"/>
      <c r="F1572" s="11" t="s">
        <v>18</v>
      </c>
      <c r="G1572" s="13"/>
      <c r="H1572" s="45" t="s">
        <v>16</v>
      </c>
      <c r="I1572" s="47"/>
      <c r="J1572" s="12" t="s">
        <v>4391</v>
      </c>
      <c r="K1572" s="13" t="s">
        <v>8343</v>
      </c>
      <c r="L1572" s="99" t="str">
        <f t="shared" si="96"/>
        <v>W325D.4</v>
      </c>
      <c r="M1572" s="45"/>
      <c r="N1572" s="47"/>
      <c r="O1572" s="47"/>
      <c r="P1572" s="47"/>
      <c r="Q1572" s="45"/>
      <c r="R1572" s="45"/>
      <c r="S1572" s="48"/>
    </row>
    <row r="1573" spans="1:19" s="49" customFormat="1" ht="14.15" customHeight="1">
      <c r="A1573" s="45"/>
      <c r="B1573" s="44" t="s">
        <v>6635</v>
      </c>
      <c r="C1573" s="50"/>
      <c r="D1573" s="10" t="s">
        <v>29</v>
      </c>
      <c r="E1573" s="11"/>
      <c r="F1573" s="11" t="s">
        <v>18</v>
      </c>
      <c r="G1573" s="13"/>
      <c r="H1573" s="45" t="s">
        <v>16</v>
      </c>
      <c r="I1573" s="47"/>
      <c r="J1573" s="12" t="s">
        <v>4392</v>
      </c>
      <c r="K1573" s="13" t="s">
        <v>8344</v>
      </c>
      <c r="L1573" s="99" t="str">
        <f t="shared" si="96"/>
        <v>W325D.5</v>
      </c>
      <c r="M1573" s="13"/>
      <c r="N1573" s="47"/>
      <c r="O1573" s="47"/>
      <c r="P1573" s="47"/>
      <c r="Q1573" s="45"/>
      <c r="R1573" s="45"/>
      <c r="S1573" s="48"/>
    </row>
    <row r="1574" spans="1:19" s="49" customFormat="1" ht="14.15" customHeight="1">
      <c r="A1574" s="45"/>
      <c r="B1574" s="44" t="s">
        <v>6635</v>
      </c>
      <c r="C1574" s="50"/>
      <c r="D1574" s="10" t="s">
        <v>29</v>
      </c>
      <c r="E1574" s="11"/>
      <c r="F1574" s="11" t="s">
        <v>18</v>
      </c>
      <c r="G1574" s="13"/>
      <c r="H1574" s="45" t="s">
        <v>16</v>
      </c>
      <c r="I1574" s="47"/>
      <c r="J1574" s="12" t="s">
        <v>4393</v>
      </c>
      <c r="K1574" s="13" t="s">
        <v>8345</v>
      </c>
      <c r="L1574" s="99" t="str">
        <f t="shared" si="96"/>
        <v>W325D.6</v>
      </c>
      <c r="M1574" s="45"/>
      <c r="N1574" s="47"/>
      <c r="O1574" s="47"/>
      <c r="P1574" s="47"/>
      <c r="Q1574" s="45"/>
      <c r="R1574" s="45"/>
      <c r="S1574" s="48"/>
    </row>
    <row r="1575" spans="1:19" s="49" customFormat="1" ht="14.15" customHeight="1">
      <c r="A1575" s="45"/>
      <c r="B1575" s="44" t="s">
        <v>6635</v>
      </c>
      <c r="C1575" s="50"/>
      <c r="D1575" s="10" t="s">
        <v>29</v>
      </c>
      <c r="E1575" s="11"/>
      <c r="F1575" s="11" t="s">
        <v>18</v>
      </c>
      <c r="G1575" s="13"/>
      <c r="H1575" s="45" t="s">
        <v>16</v>
      </c>
      <c r="I1575" s="47"/>
      <c r="J1575" s="12" t="s">
        <v>4394</v>
      </c>
      <c r="K1575" s="13" t="s">
        <v>8346</v>
      </c>
      <c r="L1575" s="99" t="str">
        <f t="shared" si="96"/>
        <v>W325D.7</v>
      </c>
      <c r="M1575" s="45"/>
      <c r="N1575" s="47"/>
      <c r="O1575" s="47"/>
      <c r="P1575" s="47"/>
      <c r="Q1575" s="45"/>
      <c r="R1575" s="45"/>
      <c r="S1575" s="48"/>
    </row>
    <row r="1576" spans="1:19" s="49" customFormat="1" ht="14.15" customHeight="1">
      <c r="A1576" s="45"/>
      <c r="B1576" s="44" t="s">
        <v>6635</v>
      </c>
      <c r="C1576" s="50"/>
      <c r="D1576" s="10" t="s">
        <v>29</v>
      </c>
      <c r="E1576" s="11"/>
      <c r="F1576" s="11" t="s">
        <v>18</v>
      </c>
      <c r="G1576" s="13"/>
      <c r="H1576" s="45" t="s">
        <v>16</v>
      </c>
      <c r="I1576" s="47"/>
      <c r="J1576" s="12" t="s">
        <v>4395</v>
      </c>
      <c r="K1576" s="13" t="s">
        <v>8347</v>
      </c>
      <c r="L1576" s="99" t="str">
        <f t="shared" si="96"/>
        <v>W325D.8</v>
      </c>
      <c r="M1576" s="45"/>
      <c r="N1576" s="47"/>
      <c r="O1576" s="47"/>
      <c r="P1576" s="47"/>
      <c r="Q1576" s="45"/>
      <c r="R1576" s="45"/>
      <c r="S1576" s="48"/>
    </row>
    <row r="1577" spans="1:19" s="49" customFormat="1" ht="14.15" customHeight="1">
      <c r="A1577" s="45"/>
      <c r="B1577" s="44" t="s">
        <v>6635</v>
      </c>
      <c r="C1577" s="50"/>
      <c r="D1577" s="10" t="s">
        <v>29</v>
      </c>
      <c r="E1577" s="11"/>
      <c r="F1577" s="11" t="s">
        <v>18</v>
      </c>
      <c r="G1577" s="13"/>
      <c r="H1577" s="45" t="s">
        <v>16</v>
      </c>
      <c r="I1577" s="47"/>
      <c r="J1577" s="12" t="s">
        <v>4396</v>
      </c>
      <c r="K1577" s="13" t="s">
        <v>8348</v>
      </c>
      <c r="L1577" s="99" t="str">
        <f t="shared" si="96"/>
        <v>W325D.9</v>
      </c>
      <c r="M1577" s="45"/>
      <c r="N1577" s="47"/>
      <c r="O1577" s="47"/>
      <c r="P1577" s="47"/>
      <c r="Q1577" s="45"/>
      <c r="R1577" s="45"/>
      <c r="S1577" s="48"/>
    </row>
    <row r="1578" spans="1:19" s="49" customFormat="1" ht="14.15" customHeight="1">
      <c r="A1578" s="45"/>
      <c r="B1578" s="44" t="s">
        <v>6635</v>
      </c>
      <c r="C1578" s="50"/>
      <c r="D1578" s="10" t="s">
        <v>29</v>
      </c>
      <c r="E1578" s="11"/>
      <c r="F1578" s="11" t="s">
        <v>18</v>
      </c>
      <c r="G1578" s="13"/>
      <c r="H1578" s="45" t="s">
        <v>16</v>
      </c>
      <c r="I1578" s="47"/>
      <c r="J1578" s="12" t="s">
        <v>4397</v>
      </c>
      <c r="K1578" s="13" t="s">
        <v>8349</v>
      </c>
      <c r="L1578" s="99" t="str">
        <f t="shared" si="96"/>
        <v>W325D.A</v>
      </c>
      <c r="M1578" s="13"/>
      <c r="N1578" s="47"/>
      <c r="O1578" s="47"/>
      <c r="P1578" s="47"/>
      <c r="Q1578" s="45"/>
      <c r="R1578" s="45"/>
      <c r="S1578" s="48"/>
    </row>
    <row r="1579" spans="1:19" s="49" customFormat="1" ht="14.15" customHeight="1">
      <c r="A1579" s="43" t="s">
        <v>6679</v>
      </c>
      <c r="B1579" s="44" t="s">
        <v>6635</v>
      </c>
      <c r="C1579" s="50"/>
      <c r="D1579" s="10" t="s">
        <v>29</v>
      </c>
      <c r="E1579" s="11"/>
      <c r="F1579" s="11" t="s">
        <v>18</v>
      </c>
      <c r="G1579" s="13"/>
      <c r="H1579" s="45" t="s">
        <v>16</v>
      </c>
      <c r="I1579" s="47"/>
      <c r="J1579" s="12" t="s">
        <v>6534</v>
      </c>
      <c r="K1579" s="13" t="s">
        <v>8350</v>
      </c>
      <c r="L1579" s="99" t="str">
        <f t="shared" si="96"/>
        <v>W325D.B</v>
      </c>
      <c r="M1579" s="13" t="s">
        <v>17</v>
      </c>
      <c r="N1579" s="13"/>
      <c r="O1579" s="13"/>
      <c r="P1579" s="47"/>
      <c r="Q1579" s="45" t="s">
        <v>142</v>
      </c>
      <c r="R1579" s="45" t="s">
        <v>5621</v>
      </c>
      <c r="S1579" s="48"/>
    </row>
    <row r="1580" spans="1:19" s="49" customFormat="1" ht="14.15" customHeight="1">
      <c r="A1580" s="43" t="s">
        <v>6679</v>
      </c>
      <c r="B1580" s="44" t="s">
        <v>6635</v>
      </c>
      <c r="C1580" s="50"/>
      <c r="D1580" s="10" t="s">
        <v>29</v>
      </c>
      <c r="E1580" s="11"/>
      <c r="F1580" s="11" t="s">
        <v>18</v>
      </c>
      <c r="G1580" s="13"/>
      <c r="H1580" s="45" t="s">
        <v>16</v>
      </c>
      <c r="I1580" s="47"/>
      <c r="J1580" s="12" t="s">
        <v>6535</v>
      </c>
      <c r="K1580" s="13" t="s">
        <v>8351</v>
      </c>
      <c r="L1580" s="99" t="str">
        <f t="shared" si="96"/>
        <v>W325D.C</v>
      </c>
      <c r="M1580" s="13" t="s">
        <v>17</v>
      </c>
      <c r="N1580" s="13"/>
      <c r="O1580" s="13"/>
      <c r="P1580" s="47"/>
      <c r="Q1580" s="45" t="s">
        <v>142</v>
      </c>
      <c r="R1580" s="45" t="s">
        <v>5621</v>
      </c>
      <c r="S1580" s="48"/>
    </row>
    <row r="1581" spans="1:19" s="49" customFormat="1" ht="14.15" customHeight="1">
      <c r="A1581" s="45"/>
      <c r="B1581" s="44" t="s">
        <v>6635</v>
      </c>
      <c r="C1581" s="50"/>
      <c r="D1581" s="10" t="s">
        <v>29</v>
      </c>
      <c r="E1581" s="11"/>
      <c r="F1581" s="11" t="s">
        <v>18</v>
      </c>
      <c r="G1581" s="13"/>
      <c r="H1581" s="45" t="s">
        <v>16</v>
      </c>
      <c r="I1581" s="47"/>
      <c r="J1581" s="12" t="s">
        <v>1251</v>
      </c>
      <c r="K1581" s="13" t="s">
        <v>8352</v>
      </c>
      <c r="L1581" s="99" t="str">
        <f t="shared" si="96"/>
        <v>W325D.D</v>
      </c>
      <c r="M1581" s="13"/>
      <c r="N1581" s="47"/>
      <c r="O1581" s="47"/>
      <c r="P1581" s="47"/>
      <c r="Q1581" s="45"/>
      <c r="R1581" s="45"/>
      <c r="S1581" s="48"/>
    </row>
    <row r="1582" spans="1:19" s="49" customFormat="1" ht="14.15" customHeight="1">
      <c r="A1582" s="45"/>
      <c r="B1582" s="44" t="s">
        <v>6635</v>
      </c>
      <c r="C1582" s="50"/>
      <c r="D1582" s="10" t="s">
        <v>29</v>
      </c>
      <c r="E1582" s="11"/>
      <c r="F1582" s="11" t="s">
        <v>18</v>
      </c>
      <c r="G1582" s="13"/>
      <c r="H1582" s="45" t="s">
        <v>16</v>
      </c>
      <c r="I1582" s="47"/>
      <c r="J1582" s="12" t="s">
        <v>1252</v>
      </c>
      <c r="K1582" s="13" t="s">
        <v>8353</v>
      </c>
      <c r="L1582" s="99" t="str">
        <f t="shared" si="96"/>
        <v>W325D.E</v>
      </c>
      <c r="M1582" s="45"/>
      <c r="N1582" s="47"/>
      <c r="O1582" s="47"/>
      <c r="P1582" s="47"/>
      <c r="Q1582" s="45"/>
      <c r="R1582" s="45"/>
      <c r="S1582" s="48"/>
    </row>
    <row r="1583" spans="1:19" s="49" customFormat="1" ht="14.15" customHeight="1">
      <c r="A1583" s="45"/>
      <c r="B1583" s="44" t="s">
        <v>6635</v>
      </c>
      <c r="C1583" s="50"/>
      <c r="D1583" s="10" t="s">
        <v>29</v>
      </c>
      <c r="E1583" s="11"/>
      <c r="F1583" s="11" t="s">
        <v>18</v>
      </c>
      <c r="G1583" s="13"/>
      <c r="H1583" s="45" t="s">
        <v>16</v>
      </c>
      <c r="I1583" s="47"/>
      <c r="J1583" s="12" t="s">
        <v>1253</v>
      </c>
      <c r="K1583" s="13" t="s">
        <v>8354</v>
      </c>
      <c r="L1583" s="99" t="str">
        <f t="shared" si="96"/>
        <v>W325D.F</v>
      </c>
      <c r="M1583" s="45"/>
      <c r="N1583" s="47"/>
      <c r="O1583" s="47"/>
      <c r="P1583" s="47"/>
      <c r="Q1583" s="45"/>
      <c r="R1583" s="45"/>
      <c r="S1583" s="48"/>
    </row>
    <row r="1584" spans="1:19" s="49" customFormat="1" ht="14.15" customHeight="1">
      <c r="A1584" s="45"/>
      <c r="B1584" s="44" t="s">
        <v>6635</v>
      </c>
      <c r="C1584" s="50"/>
      <c r="D1584" s="10" t="s">
        <v>29</v>
      </c>
      <c r="E1584" s="11"/>
      <c r="F1584" s="11" t="s">
        <v>18</v>
      </c>
      <c r="G1584" s="13"/>
      <c r="H1584" s="45" t="s">
        <v>16</v>
      </c>
      <c r="I1584" s="47"/>
      <c r="J1584" s="12" t="s">
        <v>1254</v>
      </c>
      <c r="K1584" s="13" t="s">
        <v>8355</v>
      </c>
      <c r="L1584" s="99" t="str">
        <f t="shared" si="96"/>
        <v>W325E.0</v>
      </c>
      <c r="M1584" s="13"/>
      <c r="N1584" s="47"/>
      <c r="O1584" s="47"/>
      <c r="P1584" s="47"/>
      <c r="Q1584" s="45"/>
      <c r="R1584" s="45"/>
      <c r="S1584" s="48"/>
    </row>
    <row r="1585" spans="1:19" s="49" customFormat="1" ht="14.15" customHeight="1">
      <c r="A1585" s="45"/>
      <c r="B1585" s="44" t="s">
        <v>6635</v>
      </c>
      <c r="C1585" s="50"/>
      <c r="D1585" s="10" t="s">
        <v>29</v>
      </c>
      <c r="E1585" s="11"/>
      <c r="F1585" s="11" t="s">
        <v>18</v>
      </c>
      <c r="G1585" s="13"/>
      <c r="H1585" s="45" t="s">
        <v>16</v>
      </c>
      <c r="I1585" s="47"/>
      <c r="J1585" s="12" t="s">
        <v>1255</v>
      </c>
      <c r="K1585" s="13" t="s">
        <v>8356</v>
      </c>
      <c r="L1585" s="99" t="str">
        <f t="shared" si="96"/>
        <v>W325E.1</v>
      </c>
      <c r="M1585" s="13"/>
      <c r="N1585" s="47"/>
      <c r="O1585" s="47"/>
      <c r="P1585" s="47"/>
      <c r="Q1585" s="45"/>
      <c r="R1585" s="45"/>
      <c r="S1585" s="48"/>
    </row>
    <row r="1586" spans="1:19" s="49" customFormat="1" ht="14.15" customHeight="1">
      <c r="A1586" s="45"/>
      <c r="B1586" s="44" t="s">
        <v>6635</v>
      </c>
      <c r="C1586" s="50"/>
      <c r="D1586" s="10" t="s">
        <v>29</v>
      </c>
      <c r="E1586" s="11"/>
      <c r="F1586" s="11" t="s">
        <v>18</v>
      </c>
      <c r="G1586" s="13"/>
      <c r="H1586" s="45" t="s">
        <v>16</v>
      </c>
      <c r="I1586" s="47"/>
      <c r="J1586" s="12" t="s">
        <v>1256</v>
      </c>
      <c r="K1586" s="13" t="s">
        <v>8357</v>
      </c>
      <c r="L1586" s="99" t="str">
        <f t="shared" si="96"/>
        <v>W325E.2</v>
      </c>
      <c r="M1586" s="13"/>
      <c r="N1586" s="47"/>
      <c r="O1586" s="47"/>
      <c r="P1586" s="47"/>
      <c r="Q1586" s="45"/>
      <c r="R1586" s="45"/>
      <c r="S1586" s="48"/>
    </row>
    <row r="1587" spans="1:19" s="49" customFormat="1" ht="14.15" customHeight="1">
      <c r="A1587" s="45"/>
      <c r="B1587" s="44" t="s">
        <v>6635</v>
      </c>
      <c r="C1587" s="50"/>
      <c r="D1587" s="10" t="s">
        <v>29</v>
      </c>
      <c r="E1587" s="11"/>
      <c r="F1587" s="11" t="s">
        <v>18</v>
      </c>
      <c r="G1587" s="13"/>
      <c r="H1587" s="45" t="s">
        <v>16</v>
      </c>
      <c r="I1587" s="47"/>
      <c r="J1587" s="12" t="s">
        <v>1257</v>
      </c>
      <c r="K1587" s="13" t="s">
        <v>8358</v>
      </c>
      <c r="L1587" s="99" t="str">
        <f t="shared" si="96"/>
        <v>W325E.3</v>
      </c>
      <c r="M1587" s="13"/>
      <c r="N1587" s="47"/>
      <c r="O1587" s="47"/>
      <c r="P1587" s="47"/>
      <c r="Q1587" s="45"/>
      <c r="R1587" s="45"/>
      <c r="S1587" s="48"/>
    </row>
    <row r="1588" spans="1:19" s="49" customFormat="1" ht="14.15" customHeight="1">
      <c r="A1588" s="45"/>
      <c r="B1588" s="44" t="s">
        <v>6635</v>
      </c>
      <c r="C1588" s="50"/>
      <c r="D1588" s="10" t="s">
        <v>29</v>
      </c>
      <c r="E1588" s="11"/>
      <c r="F1588" s="11" t="s">
        <v>18</v>
      </c>
      <c r="G1588" s="13"/>
      <c r="H1588" s="45" t="s">
        <v>16</v>
      </c>
      <c r="I1588" s="47"/>
      <c r="J1588" s="12" t="s">
        <v>1258</v>
      </c>
      <c r="K1588" s="13" t="s">
        <v>8359</v>
      </c>
      <c r="L1588" s="99" t="str">
        <f t="shared" si="96"/>
        <v>W325E.4</v>
      </c>
      <c r="M1588" s="45"/>
      <c r="N1588" s="47"/>
      <c r="O1588" s="47"/>
      <c r="P1588" s="47"/>
      <c r="Q1588" s="45"/>
      <c r="R1588" s="45"/>
      <c r="S1588" s="48"/>
    </row>
    <row r="1589" spans="1:19" s="49" customFormat="1" ht="14.15" customHeight="1">
      <c r="A1589" s="45"/>
      <c r="B1589" s="44" t="s">
        <v>6635</v>
      </c>
      <c r="C1589" s="50"/>
      <c r="D1589" s="10" t="s">
        <v>29</v>
      </c>
      <c r="E1589" s="11"/>
      <c r="F1589" s="11" t="s">
        <v>18</v>
      </c>
      <c r="G1589" s="13"/>
      <c r="H1589" s="45" t="s">
        <v>16</v>
      </c>
      <c r="I1589" s="47"/>
      <c r="J1589" s="12" t="s">
        <v>1259</v>
      </c>
      <c r="K1589" s="13" t="s">
        <v>8360</v>
      </c>
      <c r="L1589" s="99" t="str">
        <f t="shared" si="96"/>
        <v>W325E.5</v>
      </c>
      <c r="M1589" s="13"/>
      <c r="N1589" s="47"/>
      <c r="O1589" s="47"/>
      <c r="P1589" s="47"/>
      <c r="Q1589" s="45"/>
      <c r="R1589" s="45"/>
      <c r="S1589" s="48"/>
    </row>
    <row r="1590" spans="1:19" s="49" customFormat="1" ht="14.15" customHeight="1">
      <c r="A1590" s="45"/>
      <c r="B1590" s="44" t="s">
        <v>6635</v>
      </c>
      <c r="C1590" s="50"/>
      <c r="D1590" s="10" t="s">
        <v>29</v>
      </c>
      <c r="E1590" s="11"/>
      <c r="F1590" s="11" t="s">
        <v>18</v>
      </c>
      <c r="G1590" s="13"/>
      <c r="H1590" s="45" t="s">
        <v>16</v>
      </c>
      <c r="I1590" s="47"/>
      <c r="J1590" s="12" t="s">
        <v>1260</v>
      </c>
      <c r="K1590" s="13" t="s">
        <v>8361</v>
      </c>
      <c r="L1590" s="99" t="str">
        <f t="shared" si="96"/>
        <v>W325E.6</v>
      </c>
      <c r="M1590" s="13"/>
      <c r="N1590" s="47"/>
      <c r="O1590" s="47"/>
      <c r="P1590" s="47"/>
      <c r="Q1590" s="45"/>
      <c r="R1590" s="45"/>
      <c r="S1590" s="48"/>
    </row>
    <row r="1591" spans="1:19" s="49" customFormat="1" ht="14.15" customHeight="1">
      <c r="A1591" s="45"/>
      <c r="B1591" s="44" t="s">
        <v>6635</v>
      </c>
      <c r="C1591" s="50"/>
      <c r="D1591" s="10" t="s">
        <v>29</v>
      </c>
      <c r="E1591" s="11"/>
      <c r="F1591" s="11" t="s">
        <v>18</v>
      </c>
      <c r="G1591" s="13"/>
      <c r="H1591" s="45" t="s">
        <v>16</v>
      </c>
      <c r="I1591" s="47"/>
      <c r="J1591" s="12" t="s">
        <v>1261</v>
      </c>
      <c r="K1591" s="13" t="s">
        <v>8362</v>
      </c>
      <c r="L1591" s="99" t="str">
        <f t="shared" si="96"/>
        <v>W325E.7</v>
      </c>
      <c r="M1591" s="13"/>
      <c r="N1591" s="47"/>
      <c r="O1591" s="47"/>
      <c r="P1591" s="47"/>
      <c r="Q1591" s="45"/>
      <c r="R1591" s="45"/>
      <c r="S1591" s="48"/>
    </row>
    <row r="1592" spans="1:19" s="49" customFormat="1" ht="14.15" customHeight="1">
      <c r="A1592" s="45"/>
      <c r="B1592" s="44" t="s">
        <v>6635</v>
      </c>
      <c r="C1592" s="50"/>
      <c r="D1592" s="10" t="s">
        <v>29</v>
      </c>
      <c r="E1592" s="11"/>
      <c r="F1592" s="11" t="s">
        <v>18</v>
      </c>
      <c r="G1592" s="13"/>
      <c r="H1592" s="45" t="s">
        <v>16</v>
      </c>
      <c r="I1592" s="47"/>
      <c r="J1592" s="12" t="s">
        <v>1262</v>
      </c>
      <c r="K1592" s="13" t="s">
        <v>8363</v>
      </c>
      <c r="L1592" s="99" t="str">
        <f t="shared" si="96"/>
        <v>W325E.8</v>
      </c>
      <c r="M1592" s="45"/>
      <c r="N1592" s="47"/>
      <c r="O1592" s="47"/>
      <c r="P1592" s="47"/>
      <c r="Q1592" s="45"/>
      <c r="R1592" s="45"/>
      <c r="S1592" s="48"/>
    </row>
    <row r="1593" spans="1:19" s="49" customFormat="1" ht="14.15" customHeight="1">
      <c r="A1593" s="45"/>
      <c r="B1593" s="44" t="s">
        <v>6635</v>
      </c>
      <c r="C1593" s="50"/>
      <c r="D1593" s="10" t="s">
        <v>29</v>
      </c>
      <c r="E1593" s="11"/>
      <c r="F1593" s="11" t="s">
        <v>18</v>
      </c>
      <c r="G1593" s="13"/>
      <c r="H1593" s="45" t="s">
        <v>16</v>
      </c>
      <c r="I1593" s="47"/>
      <c r="J1593" s="12" t="s">
        <v>1263</v>
      </c>
      <c r="K1593" s="13" t="s">
        <v>8364</v>
      </c>
      <c r="L1593" s="99" t="str">
        <f t="shared" si="96"/>
        <v>W325E.9</v>
      </c>
      <c r="M1593" s="13"/>
      <c r="N1593" s="47"/>
      <c r="O1593" s="47"/>
      <c r="P1593" s="47"/>
      <c r="Q1593" s="45"/>
      <c r="R1593" s="45"/>
      <c r="S1593" s="48"/>
    </row>
    <row r="1594" spans="1:19" s="49" customFormat="1" ht="14.15" customHeight="1">
      <c r="A1594" s="43" t="s">
        <v>6679</v>
      </c>
      <c r="B1594" s="44" t="s">
        <v>6635</v>
      </c>
      <c r="C1594" s="50"/>
      <c r="D1594" s="10" t="s">
        <v>29</v>
      </c>
      <c r="E1594" s="11"/>
      <c r="F1594" s="11" t="s">
        <v>18</v>
      </c>
      <c r="G1594" s="13"/>
      <c r="H1594" s="45" t="s">
        <v>16</v>
      </c>
      <c r="I1594" s="47"/>
      <c r="J1594" s="12" t="s">
        <v>6536</v>
      </c>
      <c r="K1594" s="13" t="s">
        <v>8365</v>
      </c>
      <c r="L1594" s="99" t="str">
        <f t="shared" si="96"/>
        <v>W325E.A</v>
      </c>
      <c r="M1594" s="13" t="s">
        <v>17</v>
      </c>
      <c r="N1594" s="13"/>
      <c r="O1594" s="13"/>
      <c r="P1594" s="47"/>
      <c r="Q1594" s="45" t="s">
        <v>142</v>
      </c>
      <c r="R1594" s="45" t="s">
        <v>5621</v>
      </c>
      <c r="S1594" s="48"/>
    </row>
    <row r="1595" spans="1:19" s="49" customFormat="1" ht="14.15" customHeight="1">
      <c r="A1595" s="43" t="s">
        <v>6679</v>
      </c>
      <c r="B1595" s="44" t="s">
        <v>6635</v>
      </c>
      <c r="C1595" s="50"/>
      <c r="D1595" s="10" t="s">
        <v>29</v>
      </c>
      <c r="E1595" s="11"/>
      <c r="F1595" s="11" t="s">
        <v>18</v>
      </c>
      <c r="G1595" s="13"/>
      <c r="H1595" s="45" t="s">
        <v>16</v>
      </c>
      <c r="I1595" s="47"/>
      <c r="J1595" s="12" t="s">
        <v>6537</v>
      </c>
      <c r="K1595" s="13" t="s">
        <v>8366</v>
      </c>
      <c r="L1595" s="99" t="str">
        <f t="shared" si="96"/>
        <v>W325E.B</v>
      </c>
      <c r="M1595" s="13" t="s">
        <v>17</v>
      </c>
      <c r="N1595" s="13"/>
      <c r="O1595" s="13"/>
      <c r="P1595" s="47"/>
      <c r="Q1595" s="45" t="s">
        <v>142</v>
      </c>
      <c r="R1595" s="45" t="s">
        <v>5621</v>
      </c>
      <c r="S1595" s="48"/>
    </row>
    <row r="1596" spans="1:19" s="49" customFormat="1" ht="14.15" customHeight="1">
      <c r="A1596" s="43" t="s">
        <v>6679</v>
      </c>
      <c r="B1596" s="44" t="s">
        <v>6635</v>
      </c>
      <c r="C1596" s="50"/>
      <c r="D1596" s="10" t="s">
        <v>29</v>
      </c>
      <c r="E1596" s="11"/>
      <c r="F1596" s="11" t="s">
        <v>18</v>
      </c>
      <c r="G1596" s="13"/>
      <c r="H1596" s="45" t="s">
        <v>16</v>
      </c>
      <c r="I1596" s="47"/>
      <c r="J1596" s="12" t="s">
        <v>6538</v>
      </c>
      <c r="K1596" s="13" t="s">
        <v>8367</v>
      </c>
      <c r="L1596" s="99" t="str">
        <f t="shared" si="96"/>
        <v>W325E.C</v>
      </c>
      <c r="M1596" s="13" t="s">
        <v>17</v>
      </c>
      <c r="N1596" s="13"/>
      <c r="O1596" s="13"/>
      <c r="P1596" s="47"/>
      <c r="Q1596" s="45" t="s">
        <v>142</v>
      </c>
      <c r="R1596" s="45" t="s">
        <v>5621</v>
      </c>
      <c r="S1596" s="48"/>
    </row>
    <row r="1597" spans="1:19" s="49" customFormat="1" ht="14.15" customHeight="1">
      <c r="A1597" s="43" t="s">
        <v>6679</v>
      </c>
      <c r="B1597" s="44" t="s">
        <v>6635</v>
      </c>
      <c r="C1597" s="50"/>
      <c r="D1597" s="10" t="s">
        <v>29</v>
      </c>
      <c r="E1597" s="11"/>
      <c r="F1597" s="11" t="s">
        <v>18</v>
      </c>
      <c r="G1597" s="13"/>
      <c r="H1597" s="45" t="s">
        <v>16</v>
      </c>
      <c r="I1597" s="47"/>
      <c r="J1597" s="12" t="s">
        <v>6539</v>
      </c>
      <c r="K1597" s="13" t="s">
        <v>8368</v>
      </c>
      <c r="L1597" s="99" t="str">
        <f t="shared" si="96"/>
        <v>W325E.D</v>
      </c>
      <c r="M1597" s="13" t="s">
        <v>153</v>
      </c>
      <c r="N1597" s="13"/>
      <c r="O1597" s="13"/>
      <c r="P1597" s="47"/>
      <c r="Q1597" s="45" t="s">
        <v>142</v>
      </c>
      <c r="R1597" s="45" t="s">
        <v>5621</v>
      </c>
      <c r="S1597" s="48"/>
    </row>
    <row r="1598" spans="1:19" s="49" customFormat="1" ht="14.15" customHeight="1">
      <c r="A1598" s="43" t="s">
        <v>6679</v>
      </c>
      <c r="B1598" s="44" t="s">
        <v>6635</v>
      </c>
      <c r="C1598" s="50"/>
      <c r="D1598" s="10" t="s">
        <v>29</v>
      </c>
      <c r="E1598" s="11"/>
      <c r="F1598" s="11" t="s">
        <v>18</v>
      </c>
      <c r="G1598" s="13"/>
      <c r="H1598" s="45" t="s">
        <v>16</v>
      </c>
      <c r="I1598" s="47"/>
      <c r="J1598" s="12" t="s">
        <v>6540</v>
      </c>
      <c r="K1598" s="13" t="s">
        <v>8369</v>
      </c>
      <c r="L1598" s="99" t="str">
        <f t="shared" si="96"/>
        <v>W325E.E</v>
      </c>
      <c r="M1598" s="13" t="s">
        <v>153</v>
      </c>
      <c r="N1598" s="13"/>
      <c r="O1598" s="13"/>
      <c r="P1598" s="47"/>
      <c r="Q1598" s="45" t="s">
        <v>142</v>
      </c>
      <c r="R1598" s="45" t="s">
        <v>5621</v>
      </c>
      <c r="S1598" s="48"/>
    </row>
    <row r="1599" spans="1:19" s="49" customFormat="1" ht="14.15" customHeight="1">
      <c r="A1599" s="43" t="s">
        <v>6679</v>
      </c>
      <c r="B1599" s="44" t="s">
        <v>6635</v>
      </c>
      <c r="C1599" s="50"/>
      <c r="D1599" s="10" t="s">
        <v>29</v>
      </c>
      <c r="E1599" s="11"/>
      <c r="F1599" s="11" t="s">
        <v>18</v>
      </c>
      <c r="G1599" s="13"/>
      <c r="H1599" s="45" t="s">
        <v>16</v>
      </c>
      <c r="I1599" s="47"/>
      <c r="J1599" s="12" t="s">
        <v>6541</v>
      </c>
      <c r="K1599" s="13" t="s">
        <v>8370</v>
      </c>
      <c r="L1599" s="99" t="str">
        <f t="shared" si="96"/>
        <v>W325E.F</v>
      </c>
      <c r="M1599" s="13" t="s">
        <v>17</v>
      </c>
      <c r="N1599" s="13"/>
      <c r="O1599" s="13"/>
      <c r="P1599" s="47"/>
      <c r="Q1599" s="45" t="s">
        <v>142</v>
      </c>
      <c r="R1599" s="45" t="s">
        <v>5621</v>
      </c>
      <c r="S1599" s="48"/>
    </row>
    <row r="1600" spans="1:19" s="49" customFormat="1" ht="14.15" customHeight="1">
      <c r="A1600" s="43" t="s">
        <v>6679</v>
      </c>
      <c r="B1600" s="44" t="s">
        <v>6635</v>
      </c>
      <c r="C1600" s="50"/>
      <c r="D1600" s="10" t="s">
        <v>29</v>
      </c>
      <c r="E1600" s="11"/>
      <c r="F1600" s="11" t="s">
        <v>18</v>
      </c>
      <c r="G1600" s="13"/>
      <c r="H1600" s="45" t="s">
        <v>16</v>
      </c>
      <c r="I1600" s="47"/>
      <c r="J1600" s="12" t="s">
        <v>6542</v>
      </c>
      <c r="K1600" s="13" t="s">
        <v>8371</v>
      </c>
      <c r="L1600" s="99" t="str">
        <f t="shared" si="96"/>
        <v>W325F.0</v>
      </c>
      <c r="M1600" s="13" t="s">
        <v>17</v>
      </c>
      <c r="N1600" s="13"/>
      <c r="O1600" s="13"/>
      <c r="P1600" s="47"/>
      <c r="Q1600" s="45" t="s">
        <v>142</v>
      </c>
      <c r="R1600" s="45" t="s">
        <v>5621</v>
      </c>
      <c r="S1600" s="48"/>
    </row>
    <row r="1601" spans="1:19" s="49" customFormat="1" ht="14.15" customHeight="1">
      <c r="A1601" s="45"/>
      <c r="B1601" s="44" t="s">
        <v>6635</v>
      </c>
      <c r="C1601" s="50"/>
      <c r="D1601" s="10" t="s">
        <v>29</v>
      </c>
      <c r="E1601" s="11"/>
      <c r="F1601" s="11" t="s">
        <v>18</v>
      </c>
      <c r="G1601" s="13"/>
      <c r="H1601" s="45" t="s">
        <v>16</v>
      </c>
      <c r="I1601" s="47"/>
      <c r="J1601" s="12" t="s">
        <v>4410</v>
      </c>
      <c r="K1601" s="13" t="s">
        <v>8372</v>
      </c>
      <c r="L1601" s="99" t="str">
        <f t="shared" si="96"/>
        <v>W325F.1</v>
      </c>
      <c r="M1601" s="13"/>
      <c r="N1601" s="47"/>
      <c r="O1601" s="47"/>
      <c r="P1601" s="47"/>
      <c r="Q1601" s="45"/>
      <c r="R1601" s="45"/>
      <c r="S1601" s="48"/>
    </row>
    <row r="1602" spans="1:19" s="49" customFormat="1" ht="14.15" customHeight="1">
      <c r="A1602" s="45"/>
      <c r="B1602" s="44" t="s">
        <v>6635</v>
      </c>
      <c r="C1602" s="50"/>
      <c r="D1602" s="10" t="s">
        <v>29</v>
      </c>
      <c r="E1602" s="11"/>
      <c r="F1602" s="11" t="s">
        <v>18</v>
      </c>
      <c r="G1602" s="13"/>
      <c r="H1602" s="45" t="s">
        <v>16</v>
      </c>
      <c r="I1602" s="47"/>
      <c r="J1602" s="12" t="s">
        <v>4411</v>
      </c>
      <c r="K1602" s="13" t="s">
        <v>8373</v>
      </c>
      <c r="L1602" s="99" t="str">
        <f t="shared" si="96"/>
        <v>W325F.2</v>
      </c>
      <c r="M1602" s="45"/>
      <c r="N1602" s="47"/>
      <c r="O1602" s="47"/>
      <c r="P1602" s="47"/>
      <c r="Q1602" s="45"/>
      <c r="R1602" s="45"/>
      <c r="S1602" s="48"/>
    </row>
    <row r="1603" spans="1:19" s="49" customFormat="1" ht="14.15" customHeight="1">
      <c r="A1603" s="45"/>
      <c r="B1603" s="44" t="s">
        <v>6635</v>
      </c>
      <c r="C1603" s="50"/>
      <c r="D1603" s="10" t="s">
        <v>29</v>
      </c>
      <c r="E1603" s="11"/>
      <c r="F1603" s="11" t="s">
        <v>18</v>
      </c>
      <c r="G1603" s="13"/>
      <c r="H1603" s="45" t="s">
        <v>16</v>
      </c>
      <c r="I1603" s="47"/>
      <c r="J1603" s="12" t="s">
        <v>4412</v>
      </c>
      <c r="K1603" s="13" t="s">
        <v>8374</v>
      </c>
      <c r="L1603" s="99" t="str">
        <f t="shared" si="96"/>
        <v>W325F.3</v>
      </c>
      <c r="M1603" s="45"/>
      <c r="N1603" s="47"/>
      <c r="O1603" s="47"/>
      <c r="P1603" s="47"/>
      <c r="Q1603" s="45"/>
      <c r="R1603" s="45"/>
      <c r="S1603" s="48"/>
    </row>
    <row r="1604" spans="1:19" s="49" customFormat="1" ht="14.15" customHeight="1">
      <c r="A1604" s="45"/>
      <c r="B1604" s="44" t="s">
        <v>6635</v>
      </c>
      <c r="C1604" s="50"/>
      <c r="D1604" s="10" t="s">
        <v>29</v>
      </c>
      <c r="E1604" s="11"/>
      <c r="F1604" s="11" t="s">
        <v>18</v>
      </c>
      <c r="G1604" s="13"/>
      <c r="H1604" s="45" t="s">
        <v>16</v>
      </c>
      <c r="I1604" s="47"/>
      <c r="J1604" s="12" t="s">
        <v>4413</v>
      </c>
      <c r="K1604" s="13" t="s">
        <v>8375</v>
      </c>
      <c r="L1604" s="99" t="str">
        <f t="shared" si="96"/>
        <v>W325F.4</v>
      </c>
      <c r="M1604" s="45"/>
      <c r="N1604" s="47"/>
      <c r="O1604" s="47"/>
      <c r="P1604" s="47"/>
      <c r="Q1604" s="45"/>
      <c r="R1604" s="45"/>
      <c r="S1604" s="48"/>
    </row>
    <row r="1605" spans="1:19" s="49" customFormat="1" ht="14.15" customHeight="1">
      <c r="A1605" s="45"/>
      <c r="B1605" s="44" t="s">
        <v>6635</v>
      </c>
      <c r="C1605" s="50"/>
      <c r="D1605" s="10" t="s">
        <v>29</v>
      </c>
      <c r="E1605" s="11"/>
      <c r="F1605" s="11" t="s">
        <v>18</v>
      </c>
      <c r="G1605" s="13"/>
      <c r="H1605" s="45" t="s">
        <v>16</v>
      </c>
      <c r="I1605" s="47"/>
      <c r="J1605" s="12" t="s">
        <v>4414</v>
      </c>
      <c r="K1605" s="13" t="s">
        <v>8376</v>
      </c>
      <c r="L1605" s="99" t="str">
        <f t="shared" si="96"/>
        <v>W325F.5</v>
      </c>
      <c r="M1605" s="45"/>
      <c r="N1605" s="47"/>
      <c r="O1605" s="47"/>
      <c r="P1605" s="47"/>
      <c r="Q1605" s="45"/>
      <c r="R1605" s="45"/>
      <c r="S1605" s="48"/>
    </row>
    <row r="1606" spans="1:19" s="49" customFormat="1" ht="14.15" customHeight="1">
      <c r="A1606" s="45"/>
      <c r="B1606" s="44" t="s">
        <v>6635</v>
      </c>
      <c r="C1606" s="50"/>
      <c r="D1606" s="10" t="s">
        <v>29</v>
      </c>
      <c r="E1606" s="11"/>
      <c r="F1606" s="11" t="s">
        <v>18</v>
      </c>
      <c r="G1606" s="13"/>
      <c r="H1606" s="45" t="s">
        <v>16</v>
      </c>
      <c r="I1606" s="47"/>
      <c r="J1606" s="12" t="s">
        <v>4415</v>
      </c>
      <c r="K1606" s="13" t="s">
        <v>8377</v>
      </c>
      <c r="L1606" s="99" t="str">
        <f t="shared" si="96"/>
        <v>W325F.6</v>
      </c>
      <c r="M1606" s="45"/>
      <c r="N1606" s="47"/>
      <c r="O1606" s="47"/>
      <c r="P1606" s="47"/>
      <c r="Q1606" s="45"/>
      <c r="R1606" s="45"/>
      <c r="S1606" s="48"/>
    </row>
    <row r="1607" spans="1:19" s="49" customFormat="1" ht="14.15" customHeight="1">
      <c r="A1607" s="45"/>
      <c r="B1607" s="44" t="s">
        <v>6635</v>
      </c>
      <c r="C1607" s="50"/>
      <c r="D1607" s="10" t="s">
        <v>29</v>
      </c>
      <c r="E1607" s="11"/>
      <c r="F1607" s="11" t="s">
        <v>18</v>
      </c>
      <c r="G1607" s="13"/>
      <c r="H1607" s="45" t="s">
        <v>16</v>
      </c>
      <c r="I1607" s="47"/>
      <c r="J1607" s="12" t="s">
        <v>4416</v>
      </c>
      <c r="K1607" s="13" t="s">
        <v>8378</v>
      </c>
      <c r="L1607" s="99" t="str">
        <f t="shared" si="96"/>
        <v>W325F.7</v>
      </c>
      <c r="M1607" s="45"/>
      <c r="N1607" s="47"/>
      <c r="O1607" s="47"/>
      <c r="P1607" s="47"/>
      <c r="Q1607" s="45"/>
      <c r="R1607" s="45"/>
      <c r="S1607" s="48"/>
    </row>
    <row r="1608" spans="1:19" s="49" customFormat="1" ht="14.15" customHeight="1">
      <c r="A1608" s="45"/>
      <c r="B1608" s="44" t="s">
        <v>6635</v>
      </c>
      <c r="C1608" s="50"/>
      <c r="D1608" s="10" t="s">
        <v>29</v>
      </c>
      <c r="E1608" s="11"/>
      <c r="F1608" s="11" t="s">
        <v>18</v>
      </c>
      <c r="G1608" s="13"/>
      <c r="H1608" s="45" t="s">
        <v>16</v>
      </c>
      <c r="I1608" s="47"/>
      <c r="J1608" s="12" t="s">
        <v>4417</v>
      </c>
      <c r="K1608" s="13" t="s">
        <v>8379</v>
      </c>
      <c r="L1608" s="99" t="str">
        <f t="shared" si="96"/>
        <v>W325F.8</v>
      </c>
      <c r="M1608" s="45"/>
      <c r="N1608" s="47"/>
      <c r="O1608" s="47"/>
      <c r="P1608" s="47"/>
      <c r="Q1608" s="45"/>
      <c r="R1608" s="45"/>
      <c r="S1608" s="48"/>
    </row>
    <row r="1609" spans="1:19" s="49" customFormat="1" ht="14.15" customHeight="1">
      <c r="A1609" s="45"/>
      <c r="B1609" s="44" t="s">
        <v>6635</v>
      </c>
      <c r="C1609" s="50"/>
      <c r="D1609" s="10" t="s">
        <v>29</v>
      </c>
      <c r="E1609" s="11"/>
      <c r="F1609" s="11" t="s">
        <v>18</v>
      </c>
      <c r="G1609" s="13"/>
      <c r="H1609" s="45" t="s">
        <v>16</v>
      </c>
      <c r="I1609" s="47"/>
      <c r="J1609" s="12" t="s">
        <v>4418</v>
      </c>
      <c r="K1609" s="13" t="s">
        <v>8380</v>
      </c>
      <c r="L1609" s="99" t="str">
        <f t="shared" si="96"/>
        <v>W325F.9</v>
      </c>
      <c r="M1609" s="13"/>
      <c r="N1609" s="47"/>
      <c r="O1609" s="47"/>
      <c r="P1609" s="47"/>
      <c r="Q1609" s="45"/>
      <c r="R1609" s="45"/>
      <c r="S1609" s="48"/>
    </row>
    <row r="1610" spans="1:19" s="49" customFormat="1" ht="14.15" customHeight="1">
      <c r="A1610" s="45"/>
      <c r="B1610" s="44" t="s">
        <v>6635</v>
      </c>
      <c r="C1610" s="50"/>
      <c r="D1610" s="10" t="s">
        <v>29</v>
      </c>
      <c r="E1610" s="11"/>
      <c r="F1610" s="11" t="s">
        <v>18</v>
      </c>
      <c r="G1610" s="13"/>
      <c r="H1610" s="45" t="s">
        <v>16</v>
      </c>
      <c r="I1610" s="47"/>
      <c r="J1610" s="12" t="s">
        <v>4419</v>
      </c>
      <c r="K1610" s="13" t="s">
        <v>8381</v>
      </c>
      <c r="L1610" s="99" t="str">
        <f t="shared" si="96"/>
        <v>W325F.A</v>
      </c>
      <c r="M1610" s="13"/>
      <c r="N1610" s="47"/>
      <c r="O1610" s="47"/>
      <c r="P1610" s="47"/>
      <c r="Q1610" s="45"/>
      <c r="R1610" s="45"/>
      <c r="S1610" s="48"/>
    </row>
    <row r="1611" spans="1:19" s="49" customFormat="1" ht="14.15" customHeight="1">
      <c r="A1611" s="45"/>
      <c r="B1611" s="44" t="s">
        <v>6635</v>
      </c>
      <c r="C1611" s="50"/>
      <c r="D1611" s="10" t="s">
        <v>29</v>
      </c>
      <c r="E1611" s="11"/>
      <c r="F1611" s="11" t="s">
        <v>18</v>
      </c>
      <c r="G1611" s="13"/>
      <c r="H1611" s="45" t="s">
        <v>16</v>
      </c>
      <c r="I1611" s="47"/>
      <c r="J1611" s="12" t="s">
        <v>4420</v>
      </c>
      <c r="K1611" s="13" t="s">
        <v>8382</v>
      </c>
      <c r="L1611" s="99" t="str">
        <f t="shared" si="96"/>
        <v>W325F.B</v>
      </c>
      <c r="M1611" s="13"/>
      <c r="N1611" s="47"/>
      <c r="O1611" s="47"/>
      <c r="P1611" s="47"/>
      <c r="Q1611" s="45"/>
      <c r="R1611" s="45"/>
      <c r="S1611" s="48"/>
    </row>
    <row r="1612" spans="1:19" s="49" customFormat="1" ht="14.15" customHeight="1">
      <c r="A1612" s="45"/>
      <c r="B1612" s="44" t="s">
        <v>6635</v>
      </c>
      <c r="C1612" s="50"/>
      <c r="D1612" s="10" t="s">
        <v>29</v>
      </c>
      <c r="E1612" s="11"/>
      <c r="F1612" s="11" t="s">
        <v>18</v>
      </c>
      <c r="G1612" s="13"/>
      <c r="H1612" s="45" t="s">
        <v>16</v>
      </c>
      <c r="I1612" s="47"/>
      <c r="J1612" s="12" t="s">
        <v>4421</v>
      </c>
      <c r="K1612" s="13" t="s">
        <v>8383</v>
      </c>
      <c r="L1612" s="99" t="str">
        <f t="shared" si="96"/>
        <v>W325F.C</v>
      </c>
      <c r="M1612" s="45"/>
      <c r="N1612" s="47"/>
      <c r="O1612" s="47"/>
      <c r="P1612" s="47"/>
      <c r="Q1612" s="45"/>
      <c r="R1612" s="45"/>
      <c r="S1612" s="48"/>
    </row>
    <row r="1613" spans="1:19" s="49" customFormat="1" ht="14.15" customHeight="1">
      <c r="A1613" s="45"/>
      <c r="B1613" s="44" t="s">
        <v>6635</v>
      </c>
      <c r="C1613" s="50"/>
      <c r="D1613" s="10" t="s">
        <v>29</v>
      </c>
      <c r="E1613" s="11"/>
      <c r="F1613" s="11" t="s">
        <v>18</v>
      </c>
      <c r="G1613" s="13"/>
      <c r="H1613" s="45" t="s">
        <v>16</v>
      </c>
      <c r="I1613" s="47"/>
      <c r="J1613" s="12" t="s">
        <v>4422</v>
      </c>
      <c r="K1613" s="13" t="s">
        <v>8384</v>
      </c>
      <c r="L1613" s="99" t="str">
        <f t="shared" si="96"/>
        <v>W325F.D</v>
      </c>
      <c r="M1613" s="13"/>
      <c r="N1613" s="47"/>
      <c r="O1613" s="47"/>
      <c r="P1613" s="47"/>
      <c r="Q1613" s="45"/>
      <c r="R1613" s="45"/>
      <c r="S1613" s="48"/>
    </row>
    <row r="1614" spans="1:19" s="49" customFormat="1" ht="14.15" customHeight="1">
      <c r="A1614" s="43" t="s">
        <v>6679</v>
      </c>
      <c r="B1614" s="44" t="s">
        <v>6635</v>
      </c>
      <c r="C1614" s="50"/>
      <c r="D1614" s="10" t="s">
        <v>29</v>
      </c>
      <c r="E1614" s="11"/>
      <c r="F1614" s="11" t="s">
        <v>18</v>
      </c>
      <c r="G1614" s="13"/>
      <c r="H1614" s="45" t="s">
        <v>16</v>
      </c>
      <c r="I1614" s="47"/>
      <c r="J1614" s="12" t="s">
        <v>6543</v>
      </c>
      <c r="K1614" s="13" t="s">
        <v>8385</v>
      </c>
      <c r="L1614" s="99" t="str">
        <f t="shared" si="96"/>
        <v>W325F.E</v>
      </c>
      <c r="M1614" s="13" t="s">
        <v>17</v>
      </c>
      <c r="N1614" s="13"/>
      <c r="O1614" s="13"/>
      <c r="P1614" s="47"/>
      <c r="Q1614" s="45" t="s">
        <v>142</v>
      </c>
      <c r="R1614" s="45" t="s">
        <v>5621</v>
      </c>
      <c r="S1614" s="48"/>
    </row>
    <row r="1615" spans="1:19" s="49" customFormat="1" ht="14.15" customHeight="1">
      <c r="A1615" s="43" t="s">
        <v>6679</v>
      </c>
      <c r="B1615" s="44" t="s">
        <v>6635</v>
      </c>
      <c r="C1615" s="50"/>
      <c r="D1615" s="10" t="s">
        <v>29</v>
      </c>
      <c r="E1615" s="11"/>
      <c r="F1615" s="11" t="s">
        <v>18</v>
      </c>
      <c r="G1615" s="13"/>
      <c r="H1615" s="45" t="s">
        <v>16</v>
      </c>
      <c r="I1615" s="47"/>
      <c r="J1615" s="12" t="s">
        <v>6544</v>
      </c>
      <c r="K1615" s="13" t="s">
        <v>8386</v>
      </c>
      <c r="L1615" s="99" t="str">
        <f t="shared" si="96"/>
        <v>W325F.F</v>
      </c>
      <c r="M1615" s="13" t="s">
        <v>17</v>
      </c>
      <c r="N1615" s="13"/>
      <c r="O1615" s="13"/>
      <c r="P1615" s="47"/>
      <c r="Q1615" s="45" t="s">
        <v>142</v>
      </c>
      <c r="R1615" s="45" t="s">
        <v>5621</v>
      </c>
      <c r="S1615" s="48"/>
    </row>
    <row r="1616" spans="1:19" s="49" customFormat="1" ht="14.15" customHeight="1">
      <c r="A1616" s="43" t="s">
        <v>6679</v>
      </c>
      <c r="B1616" s="44" t="s">
        <v>6635</v>
      </c>
      <c r="C1616" s="50"/>
      <c r="D1616" s="10" t="s">
        <v>29</v>
      </c>
      <c r="E1616" s="11"/>
      <c r="F1616" s="11" t="s">
        <v>18</v>
      </c>
      <c r="G1616" s="13"/>
      <c r="H1616" s="45" t="s">
        <v>16</v>
      </c>
      <c r="I1616" s="47"/>
      <c r="J1616" s="12" t="s">
        <v>6545</v>
      </c>
      <c r="K1616" s="13" t="s">
        <v>8387</v>
      </c>
      <c r="L1616" s="99" t="str">
        <f t="shared" si="96"/>
        <v>W3260.0</v>
      </c>
      <c r="M1616" s="13" t="s">
        <v>17</v>
      </c>
      <c r="N1616" s="13"/>
      <c r="O1616" s="13"/>
      <c r="P1616" s="47"/>
      <c r="Q1616" s="45" t="s">
        <v>142</v>
      </c>
      <c r="R1616" s="45" t="s">
        <v>5621</v>
      </c>
      <c r="S1616" s="48"/>
    </row>
    <row r="1617" spans="1:19" s="49" customFormat="1" ht="14.15" customHeight="1">
      <c r="A1617" s="43" t="s">
        <v>6679</v>
      </c>
      <c r="B1617" s="44" t="s">
        <v>6635</v>
      </c>
      <c r="C1617" s="50"/>
      <c r="D1617" s="10" t="s">
        <v>29</v>
      </c>
      <c r="E1617" s="11"/>
      <c r="F1617" s="11" t="s">
        <v>18</v>
      </c>
      <c r="G1617" s="13"/>
      <c r="H1617" s="45" t="s">
        <v>16</v>
      </c>
      <c r="I1617" s="47"/>
      <c r="J1617" s="12" t="s">
        <v>6546</v>
      </c>
      <c r="K1617" s="13" t="s">
        <v>8388</v>
      </c>
      <c r="L1617" s="99" t="str">
        <f t="shared" ref="L1617:L1680" si="97">"W"&amp;DEC2HEX(12800 + INT((ROW()-80)/16)) &amp; "." &amp; IF(MOD(ROW()-80,16)&lt;10,MOD(ROW()-80,16),CHAR(MOD(ROW()-80,16)+55))</f>
        <v>W3260.1</v>
      </c>
      <c r="M1617" s="13" t="s">
        <v>153</v>
      </c>
      <c r="N1617" s="13"/>
      <c r="O1617" s="13"/>
      <c r="P1617" s="47"/>
      <c r="Q1617" s="45" t="s">
        <v>142</v>
      </c>
      <c r="R1617" s="45" t="s">
        <v>5621</v>
      </c>
      <c r="S1617" s="48"/>
    </row>
    <row r="1618" spans="1:19" s="49" customFormat="1" ht="14.15" customHeight="1">
      <c r="A1618" s="43" t="s">
        <v>6679</v>
      </c>
      <c r="B1618" s="44" t="s">
        <v>6635</v>
      </c>
      <c r="C1618" s="50"/>
      <c r="D1618" s="10" t="s">
        <v>29</v>
      </c>
      <c r="E1618" s="11"/>
      <c r="F1618" s="11" t="s">
        <v>18</v>
      </c>
      <c r="G1618" s="13"/>
      <c r="H1618" s="45" t="s">
        <v>16</v>
      </c>
      <c r="I1618" s="47"/>
      <c r="J1618" s="12" t="s">
        <v>6547</v>
      </c>
      <c r="K1618" s="13" t="s">
        <v>8389</v>
      </c>
      <c r="L1618" s="99" t="str">
        <f t="shared" si="97"/>
        <v>W3260.2</v>
      </c>
      <c r="M1618" s="13" t="s">
        <v>153</v>
      </c>
      <c r="N1618" s="13"/>
      <c r="O1618" s="13"/>
      <c r="P1618" s="47"/>
      <c r="Q1618" s="45" t="s">
        <v>142</v>
      </c>
      <c r="R1618" s="45" t="s">
        <v>5621</v>
      </c>
      <c r="S1618" s="48"/>
    </row>
    <row r="1619" spans="1:19" s="49" customFormat="1" ht="14.15" customHeight="1">
      <c r="A1619" s="45"/>
      <c r="B1619" s="44" t="s">
        <v>6635</v>
      </c>
      <c r="C1619" s="50"/>
      <c r="D1619" s="10" t="s">
        <v>29</v>
      </c>
      <c r="E1619" s="11"/>
      <c r="F1619" s="11" t="s">
        <v>18</v>
      </c>
      <c r="G1619" s="13"/>
      <c r="H1619" s="45" t="s">
        <v>16</v>
      </c>
      <c r="I1619" s="47"/>
      <c r="J1619" s="12" t="s">
        <v>4428</v>
      </c>
      <c r="K1619" s="13" t="s">
        <v>8390</v>
      </c>
      <c r="L1619" s="99" t="str">
        <f t="shared" si="97"/>
        <v>W3260.3</v>
      </c>
      <c r="M1619" s="13"/>
      <c r="N1619" s="13"/>
      <c r="O1619" s="13"/>
      <c r="P1619" s="47"/>
      <c r="Q1619" s="45"/>
      <c r="R1619" s="45"/>
      <c r="S1619" s="48"/>
    </row>
    <row r="1620" spans="1:19" s="49" customFormat="1" ht="14.15" customHeight="1">
      <c r="A1620" s="45"/>
      <c r="B1620" s="44" t="s">
        <v>6635</v>
      </c>
      <c r="C1620" s="50"/>
      <c r="D1620" s="10" t="s">
        <v>29</v>
      </c>
      <c r="E1620" s="11"/>
      <c r="F1620" s="11" t="s">
        <v>18</v>
      </c>
      <c r="G1620" s="13"/>
      <c r="H1620" s="45" t="s">
        <v>16</v>
      </c>
      <c r="I1620" s="47"/>
      <c r="J1620" s="12" t="s">
        <v>4429</v>
      </c>
      <c r="K1620" s="13" t="s">
        <v>8391</v>
      </c>
      <c r="L1620" s="99" t="str">
        <f t="shared" si="97"/>
        <v>W3260.4</v>
      </c>
      <c r="M1620" s="13"/>
      <c r="N1620" s="47"/>
      <c r="O1620" s="47"/>
      <c r="P1620" s="47"/>
      <c r="Q1620" s="45"/>
      <c r="R1620" s="45"/>
      <c r="S1620" s="48"/>
    </row>
    <row r="1621" spans="1:19" s="49" customFormat="1" ht="14.15" customHeight="1">
      <c r="A1621" s="45"/>
      <c r="B1621" s="44" t="s">
        <v>6635</v>
      </c>
      <c r="C1621" s="50"/>
      <c r="D1621" s="10" t="s">
        <v>29</v>
      </c>
      <c r="E1621" s="11"/>
      <c r="F1621" s="11" t="s">
        <v>18</v>
      </c>
      <c r="G1621" s="13"/>
      <c r="H1621" s="45" t="s">
        <v>16</v>
      </c>
      <c r="I1621" s="47"/>
      <c r="J1621" s="12" t="s">
        <v>4430</v>
      </c>
      <c r="K1621" s="13" t="s">
        <v>8392</v>
      </c>
      <c r="L1621" s="99" t="str">
        <f t="shared" si="97"/>
        <v>W3260.5</v>
      </c>
      <c r="M1621" s="13"/>
      <c r="N1621" s="47"/>
      <c r="O1621" s="47"/>
      <c r="P1621" s="47"/>
      <c r="Q1621" s="45"/>
      <c r="R1621" s="45"/>
      <c r="S1621" s="48"/>
    </row>
    <row r="1622" spans="1:19" s="49" customFormat="1" ht="14.15" customHeight="1">
      <c r="A1622" s="45"/>
      <c r="B1622" s="44" t="s">
        <v>6635</v>
      </c>
      <c r="C1622" s="50"/>
      <c r="D1622" s="10" t="s">
        <v>29</v>
      </c>
      <c r="E1622" s="11"/>
      <c r="F1622" s="11" t="s">
        <v>18</v>
      </c>
      <c r="G1622" s="13"/>
      <c r="H1622" s="45" t="s">
        <v>16</v>
      </c>
      <c r="I1622" s="47"/>
      <c r="J1622" s="12" t="s">
        <v>4431</v>
      </c>
      <c r="K1622" s="13" t="s">
        <v>8393</v>
      </c>
      <c r="L1622" s="99" t="str">
        <f t="shared" si="97"/>
        <v>W3260.6</v>
      </c>
      <c r="M1622" s="13"/>
      <c r="N1622" s="47"/>
      <c r="O1622" s="47"/>
      <c r="P1622" s="47"/>
      <c r="Q1622" s="45"/>
      <c r="R1622" s="45"/>
      <c r="S1622" s="48"/>
    </row>
    <row r="1623" spans="1:19" s="49" customFormat="1" ht="14.15" customHeight="1">
      <c r="A1623" s="45"/>
      <c r="B1623" s="44" t="s">
        <v>6635</v>
      </c>
      <c r="C1623" s="50"/>
      <c r="D1623" s="10" t="s">
        <v>29</v>
      </c>
      <c r="E1623" s="11"/>
      <c r="F1623" s="11" t="s">
        <v>18</v>
      </c>
      <c r="G1623" s="13"/>
      <c r="H1623" s="45" t="s">
        <v>16</v>
      </c>
      <c r="I1623" s="47"/>
      <c r="J1623" s="12" t="s">
        <v>4432</v>
      </c>
      <c r="K1623" s="13" t="s">
        <v>8394</v>
      </c>
      <c r="L1623" s="99" t="str">
        <f t="shared" si="97"/>
        <v>W3260.7</v>
      </c>
      <c r="M1623" s="13"/>
      <c r="N1623" s="47"/>
      <c r="O1623" s="47"/>
      <c r="P1623" s="47"/>
      <c r="Q1623" s="45"/>
      <c r="R1623" s="45"/>
      <c r="S1623" s="48"/>
    </row>
    <row r="1624" spans="1:19" s="49" customFormat="1" ht="14.15" customHeight="1">
      <c r="A1624" s="45"/>
      <c r="B1624" s="44" t="s">
        <v>6635</v>
      </c>
      <c r="C1624" s="50"/>
      <c r="D1624" s="10" t="s">
        <v>29</v>
      </c>
      <c r="E1624" s="11"/>
      <c r="F1624" s="11" t="s">
        <v>18</v>
      </c>
      <c r="G1624" s="13"/>
      <c r="H1624" s="45" t="s">
        <v>16</v>
      </c>
      <c r="I1624" s="47"/>
      <c r="J1624" s="12" t="s">
        <v>4433</v>
      </c>
      <c r="K1624" s="13" t="s">
        <v>8395</v>
      </c>
      <c r="L1624" s="99" t="str">
        <f t="shared" si="97"/>
        <v>W3260.8</v>
      </c>
      <c r="M1624" s="13"/>
      <c r="N1624" s="47"/>
      <c r="O1624" s="47"/>
      <c r="P1624" s="47"/>
      <c r="Q1624" s="45"/>
      <c r="R1624" s="45"/>
      <c r="S1624" s="48"/>
    </row>
    <row r="1625" spans="1:19" s="49" customFormat="1" ht="14.15" customHeight="1">
      <c r="A1625" s="45"/>
      <c r="B1625" s="44" t="s">
        <v>6635</v>
      </c>
      <c r="C1625" s="50"/>
      <c r="D1625" s="10" t="s">
        <v>29</v>
      </c>
      <c r="E1625" s="11"/>
      <c r="F1625" s="11" t="s">
        <v>18</v>
      </c>
      <c r="G1625" s="13"/>
      <c r="H1625" s="45" t="s">
        <v>16</v>
      </c>
      <c r="I1625" s="47"/>
      <c r="J1625" s="12" t="s">
        <v>4434</v>
      </c>
      <c r="K1625" s="13" t="s">
        <v>8396</v>
      </c>
      <c r="L1625" s="99" t="str">
        <f t="shared" si="97"/>
        <v>W3260.9</v>
      </c>
      <c r="M1625" s="45"/>
      <c r="N1625" s="47"/>
      <c r="O1625" s="47"/>
      <c r="P1625" s="47"/>
      <c r="Q1625" s="45"/>
      <c r="R1625" s="45"/>
      <c r="S1625" s="48"/>
    </row>
    <row r="1626" spans="1:19" s="49" customFormat="1" ht="14.15" customHeight="1">
      <c r="A1626" s="45"/>
      <c r="B1626" s="44" t="s">
        <v>6635</v>
      </c>
      <c r="C1626" s="50"/>
      <c r="D1626" s="10" t="s">
        <v>29</v>
      </c>
      <c r="E1626" s="11"/>
      <c r="F1626" s="11" t="s">
        <v>18</v>
      </c>
      <c r="G1626" s="13"/>
      <c r="H1626" s="45" t="s">
        <v>16</v>
      </c>
      <c r="I1626" s="47"/>
      <c r="J1626" s="12" t="s">
        <v>4435</v>
      </c>
      <c r="K1626" s="13" t="s">
        <v>8397</v>
      </c>
      <c r="L1626" s="99" t="str">
        <f t="shared" si="97"/>
        <v>W3260.A</v>
      </c>
      <c r="M1626" s="45"/>
      <c r="N1626" s="47"/>
      <c r="O1626" s="47"/>
      <c r="P1626" s="47"/>
      <c r="Q1626" s="45"/>
      <c r="R1626" s="45"/>
      <c r="S1626" s="48"/>
    </row>
    <row r="1627" spans="1:19" s="49" customFormat="1" ht="14.15" customHeight="1">
      <c r="A1627" s="45"/>
      <c r="B1627" s="44" t="s">
        <v>6635</v>
      </c>
      <c r="C1627" s="50"/>
      <c r="D1627" s="10" t="s">
        <v>29</v>
      </c>
      <c r="E1627" s="11"/>
      <c r="F1627" s="11" t="s">
        <v>18</v>
      </c>
      <c r="G1627" s="13"/>
      <c r="H1627" s="45" t="s">
        <v>16</v>
      </c>
      <c r="I1627" s="47"/>
      <c r="J1627" s="12" t="s">
        <v>4436</v>
      </c>
      <c r="K1627" s="13" t="s">
        <v>8398</v>
      </c>
      <c r="L1627" s="99" t="str">
        <f t="shared" si="97"/>
        <v>W3260.B</v>
      </c>
      <c r="M1627" s="45"/>
      <c r="N1627" s="47"/>
      <c r="O1627" s="47"/>
      <c r="P1627" s="47"/>
      <c r="Q1627" s="45"/>
      <c r="R1627" s="45"/>
      <c r="S1627" s="48"/>
    </row>
    <row r="1628" spans="1:19" s="49" customFormat="1" ht="14.15" customHeight="1">
      <c r="A1628" s="45"/>
      <c r="B1628" s="44" t="s">
        <v>6635</v>
      </c>
      <c r="C1628" s="50"/>
      <c r="D1628" s="10" t="s">
        <v>29</v>
      </c>
      <c r="E1628" s="11"/>
      <c r="F1628" s="11" t="s">
        <v>18</v>
      </c>
      <c r="G1628" s="13"/>
      <c r="H1628" s="45" t="s">
        <v>16</v>
      </c>
      <c r="I1628" s="47"/>
      <c r="J1628" s="12" t="s">
        <v>4437</v>
      </c>
      <c r="K1628" s="13" t="s">
        <v>8399</v>
      </c>
      <c r="L1628" s="99" t="str">
        <f t="shared" si="97"/>
        <v>W3260.C</v>
      </c>
      <c r="M1628" s="45"/>
      <c r="N1628" s="47"/>
      <c r="O1628" s="47"/>
      <c r="P1628" s="47"/>
      <c r="Q1628" s="45"/>
      <c r="R1628" s="45"/>
      <c r="S1628" s="48"/>
    </row>
    <row r="1629" spans="1:19" s="49" customFormat="1" ht="14.15" customHeight="1">
      <c r="A1629" s="45"/>
      <c r="B1629" s="44" t="s">
        <v>6635</v>
      </c>
      <c r="C1629" s="50"/>
      <c r="D1629" s="10" t="s">
        <v>29</v>
      </c>
      <c r="E1629" s="11"/>
      <c r="F1629" s="11" t="s">
        <v>18</v>
      </c>
      <c r="G1629" s="13"/>
      <c r="H1629" s="45" t="s">
        <v>16</v>
      </c>
      <c r="I1629" s="47"/>
      <c r="J1629" s="12" t="s">
        <v>4438</v>
      </c>
      <c r="K1629" s="13" t="s">
        <v>8400</v>
      </c>
      <c r="L1629" s="99" t="str">
        <f t="shared" si="97"/>
        <v>W3260.D</v>
      </c>
      <c r="M1629" s="13"/>
      <c r="N1629" s="47"/>
      <c r="O1629" s="47"/>
      <c r="P1629" s="47"/>
      <c r="Q1629" s="45"/>
      <c r="R1629" s="45"/>
      <c r="S1629" s="48"/>
    </row>
    <row r="1630" spans="1:19" s="49" customFormat="1" ht="14.15" customHeight="1">
      <c r="A1630" s="45"/>
      <c r="B1630" s="44" t="s">
        <v>6635</v>
      </c>
      <c r="C1630" s="50"/>
      <c r="D1630" s="10" t="s">
        <v>29</v>
      </c>
      <c r="E1630" s="11"/>
      <c r="F1630" s="11" t="s">
        <v>18</v>
      </c>
      <c r="G1630" s="13"/>
      <c r="H1630" s="45" t="s">
        <v>16</v>
      </c>
      <c r="I1630" s="47"/>
      <c r="J1630" s="12" t="s">
        <v>4439</v>
      </c>
      <c r="K1630" s="13" t="s">
        <v>8401</v>
      </c>
      <c r="L1630" s="99" t="str">
        <f t="shared" si="97"/>
        <v>W3260.E</v>
      </c>
      <c r="M1630" s="13"/>
      <c r="N1630" s="47"/>
      <c r="O1630" s="47"/>
      <c r="P1630" s="47"/>
      <c r="Q1630" s="45"/>
      <c r="R1630" s="45"/>
      <c r="S1630" s="48"/>
    </row>
    <row r="1631" spans="1:19" s="49" customFormat="1" ht="14.15" customHeight="1">
      <c r="A1631" s="45"/>
      <c r="B1631" s="44" t="s">
        <v>6635</v>
      </c>
      <c r="C1631" s="50"/>
      <c r="D1631" s="10" t="s">
        <v>29</v>
      </c>
      <c r="E1631" s="11"/>
      <c r="F1631" s="11" t="s">
        <v>18</v>
      </c>
      <c r="G1631" s="13"/>
      <c r="H1631" s="45" t="s">
        <v>16</v>
      </c>
      <c r="I1631" s="47"/>
      <c r="J1631" s="12" t="s">
        <v>4440</v>
      </c>
      <c r="K1631" s="13" t="s">
        <v>8402</v>
      </c>
      <c r="L1631" s="99" t="str">
        <f t="shared" si="97"/>
        <v>W3260.F</v>
      </c>
      <c r="M1631" s="13"/>
      <c r="N1631" s="47"/>
      <c r="O1631" s="47"/>
      <c r="P1631" s="47"/>
      <c r="Q1631" s="45"/>
      <c r="R1631" s="45"/>
      <c r="S1631" s="48"/>
    </row>
    <row r="1632" spans="1:19" s="49" customFormat="1" ht="14.15" customHeight="1">
      <c r="A1632" s="45"/>
      <c r="B1632" s="44" t="s">
        <v>6635</v>
      </c>
      <c r="C1632" s="50"/>
      <c r="D1632" s="10" t="s">
        <v>29</v>
      </c>
      <c r="E1632" s="11"/>
      <c r="F1632" s="11" t="s">
        <v>18</v>
      </c>
      <c r="G1632" s="13"/>
      <c r="H1632" s="45" t="s">
        <v>16</v>
      </c>
      <c r="I1632" s="47"/>
      <c r="J1632" s="12" t="s">
        <v>4441</v>
      </c>
      <c r="K1632" s="13" t="s">
        <v>8403</v>
      </c>
      <c r="L1632" s="99" t="str">
        <f t="shared" si="97"/>
        <v>W3261.0</v>
      </c>
      <c r="M1632" s="45"/>
      <c r="N1632" s="47"/>
      <c r="O1632" s="47"/>
      <c r="P1632" s="47"/>
      <c r="Q1632" s="45"/>
      <c r="R1632" s="45"/>
      <c r="S1632" s="48"/>
    </row>
    <row r="1633" spans="1:19" s="49" customFormat="1" ht="14.15" customHeight="1">
      <c r="A1633" s="45"/>
      <c r="B1633" s="44" t="s">
        <v>6635</v>
      </c>
      <c r="C1633" s="50"/>
      <c r="D1633" s="10" t="s">
        <v>29</v>
      </c>
      <c r="E1633" s="11"/>
      <c r="F1633" s="11" t="s">
        <v>18</v>
      </c>
      <c r="G1633" s="13"/>
      <c r="H1633" s="45" t="s">
        <v>16</v>
      </c>
      <c r="I1633" s="47"/>
      <c r="J1633" s="12" t="s">
        <v>4442</v>
      </c>
      <c r="K1633" s="13" t="s">
        <v>8404</v>
      </c>
      <c r="L1633" s="99" t="str">
        <f t="shared" si="97"/>
        <v>W3261.1</v>
      </c>
      <c r="M1633" s="13"/>
      <c r="N1633" s="47"/>
      <c r="O1633" s="47"/>
      <c r="P1633" s="47"/>
      <c r="Q1633" s="45"/>
      <c r="R1633" s="45"/>
      <c r="S1633" s="48"/>
    </row>
    <row r="1634" spans="1:19" s="49" customFormat="1" ht="14.15" customHeight="1">
      <c r="A1634" s="45"/>
      <c r="B1634" s="44" t="s">
        <v>6635</v>
      </c>
      <c r="C1634" s="50"/>
      <c r="D1634" s="10" t="s">
        <v>29</v>
      </c>
      <c r="E1634" s="11"/>
      <c r="F1634" s="11" t="s">
        <v>18</v>
      </c>
      <c r="G1634" s="13"/>
      <c r="H1634" s="45" t="s">
        <v>16</v>
      </c>
      <c r="I1634" s="47"/>
      <c r="J1634" s="12" t="s">
        <v>4443</v>
      </c>
      <c r="K1634" s="13" t="s">
        <v>8405</v>
      </c>
      <c r="L1634" s="99" t="str">
        <f t="shared" si="97"/>
        <v>W3261.2</v>
      </c>
      <c r="M1634" s="45"/>
      <c r="N1634" s="47"/>
      <c r="O1634" s="47"/>
      <c r="P1634" s="47"/>
      <c r="Q1634" s="45"/>
      <c r="R1634" s="45"/>
      <c r="S1634" s="48"/>
    </row>
    <row r="1635" spans="1:19" s="49" customFormat="1" ht="14.15" customHeight="1">
      <c r="A1635" s="45"/>
      <c r="B1635" s="44" t="s">
        <v>6635</v>
      </c>
      <c r="C1635" s="50"/>
      <c r="D1635" s="10" t="s">
        <v>29</v>
      </c>
      <c r="E1635" s="11"/>
      <c r="F1635" s="11" t="s">
        <v>18</v>
      </c>
      <c r="G1635" s="13"/>
      <c r="H1635" s="45" t="s">
        <v>16</v>
      </c>
      <c r="I1635" s="47"/>
      <c r="J1635" s="12" t="s">
        <v>4444</v>
      </c>
      <c r="K1635" s="13" t="s">
        <v>8406</v>
      </c>
      <c r="L1635" s="99" t="str">
        <f t="shared" si="97"/>
        <v>W3261.3</v>
      </c>
      <c r="M1635" s="45"/>
      <c r="N1635" s="47"/>
      <c r="O1635" s="47"/>
      <c r="P1635" s="47"/>
      <c r="Q1635" s="45"/>
      <c r="R1635" s="45"/>
      <c r="S1635" s="48"/>
    </row>
    <row r="1636" spans="1:19" s="49" customFormat="1" ht="14.15" customHeight="1">
      <c r="A1636" s="45"/>
      <c r="B1636" s="44" t="s">
        <v>6635</v>
      </c>
      <c r="C1636" s="50"/>
      <c r="D1636" s="10" t="s">
        <v>29</v>
      </c>
      <c r="E1636" s="11"/>
      <c r="F1636" s="11" t="s">
        <v>18</v>
      </c>
      <c r="G1636" s="13"/>
      <c r="H1636" s="45" t="s">
        <v>16</v>
      </c>
      <c r="I1636" s="47"/>
      <c r="J1636" s="12" t="s">
        <v>4445</v>
      </c>
      <c r="K1636" s="13" t="s">
        <v>8407</v>
      </c>
      <c r="L1636" s="99" t="str">
        <f t="shared" si="97"/>
        <v>W3261.4</v>
      </c>
      <c r="M1636" s="45"/>
      <c r="N1636" s="47"/>
      <c r="O1636" s="47"/>
      <c r="P1636" s="47"/>
      <c r="Q1636" s="45"/>
      <c r="R1636" s="45"/>
      <c r="S1636" s="48"/>
    </row>
    <row r="1637" spans="1:19" s="49" customFormat="1" ht="14.15" customHeight="1">
      <c r="A1637" s="45"/>
      <c r="B1637" s="44" t="s">
        <v>6635</v>
      </c>
      <c r="C1637" s="50"/>
      <c r="D1637" s="10" t="s">
        <v>29</v>
      </c>
      <c r="E1637" s="11"/>
      <c r="F1637" s="11" t="s">
        <v>18</v>
      </c>
      <c r="G1637" s="13"/>
      <c r="H1637" s="45" t="s">
        <v>16</v>
      </c>
      <c r="I1637" s="47"/>
      <c r="J1637" s="12" t="s">
        <v>4446</v>
      </c>
      <c r="K1637" s="13" t="s">
        <v>8408</v>
      </c>
      <c r="L1637" s="99" t="str">
        <f t="shared" si="97"/>
        <v>W3261.5</v>
      </c>
      <c r="M1637" s="45"/>
      <c r="N1637" s="47"/>
      <c r="O1637" s="47"/>
      <c r="P1637" s="47"/>
      <c r="Q1637" s="45"/>
      <c r="R1637" s="45"/>
      <c r="S1637" s="48"/>
    </row>
    <row r="1638" spans="1:19" s="49" customFormat="1" ht="14.15" customHeight="1">
      <c r="A1638" s="45"/>
      <c r="B1638" s="44" t="s">
        <v>6635</v>
      </c>
      <c r="C1638" s="50"/>
      <c r="D1638" s="10" t="s">
        <v>29</v>
      </c>
      <c r="E1638" s="11"/>
      <c r="F1638" s="11" t="s">
        <v>18</v>
      </c>
      <c r="G1638" s="13"/>
      <c r="H1638" s="45" t="s">
        <v>16</v>
      </c>
      <c r="I1638" s="47"/>
      <c r="J1638" s="12" t="s">
        <v>4447</v>
      </c>
      <c r="K1638" s="13" t="s">
        <v>8409</v>
      </c>
      <c r="L1638" s="99" t="str">
        <f t="shared" si="97"/>
        <v>W3261.6</v>
      </c>
      <c r="M1638" s="13"/>
      <c r="N1638" s="47"/>
      <c r="O1638" s="47"/>
      <c r="P1638" s="47"/>
      <c r="Q1638" s="45"/>
      <c r="R1638" s="45"/>
      <c r="S1638" s="48"/>
    </row>
    <row r="1639" spans="1:19" s="49" customFormat="1" ht="14.15" customHeight="1">
      <c r="A1639" s="45"/>
      <c r="B1639" s="44" t="s">
        <v>6635</v>
      </c>
      <c r="C1639" s="50"/>
      <c r="D1639" s="10" t="s">
        <v>29</v>
      </c>
      <c r="E1639" s="11"/>
      <c r="F1639" s="11" t="s">
        <v>18</v>
      </c>
      <c r="G1639" s="13"/>
      <c r="H1639" s="45" t="s">
        <v>16</v>
      </c>
      <c r="I1639" s="47"/>
      <c r="J1639" s="12" t="s">
        <v>4448</v>
      </c>
      <c r="K1639" s="13" t="s">
        <v>8410</v>
      </c>
      <c r="L1639" s="99" t="str">
        <f t="shared" si="97"/>
        <v>W3261.7</v>
      </c>
      <c r="M1639" s="13"/>
      <c r="N1639" s="47"/>
      <c r="O1639" s="47"/>
      <c r="P1639" s="47"/>
      <c r="Q1639" s="45"/>
      <c r="R1639" s="45"/>
      <c r="S1639" s="48"/>
    </row>
    <row r="1640" spans="1:19" s="49" customFormat="1" ht="14.15" customHeight="1">
      <c r="A1640" s="45"/>
      <c r="B1640" s="44" t="s">
        <v>6635</v>
      </c>
      <c r="C1640" s="50"/>
      <c r="D1640" s="10" t="s">
        <v>29</v>
      </c>
      <c r="E1640" s="11"/>
      <c r="F1640" s="11" t="s">
        <v>18</v>
      </c>
      <c r="G1640" s="13"/>
      <c r="H1640" s="45" t="s">
        <v>16</v>
      </c>
      <c r="I1640" s="47"/>
      <c r="J1640" s="12" t="s">
        <v>4449</v>
      </c>
      <c r="K1640" s="13" t="s">
        <v>8411</v>
      </c>
      <c r="L1640" s="99" t="str">
        <f t="shared" si="97"/>
        <v>W3261.8</v>
      </c>
      <c r="M1640" s="13"/>
      <c r="N1640" s="47"/>
      <c r="O1640" s="47"/>
      <c r="P1640" s="47"/>
      <c r="Q1640" s="45"/>
      <c r="R1640" s="45"/>
      <c r="S1640" s="48"/>
    </row>
    <row r="1641" spans="1:19" s="49" customFormat="1" ht="14.15" customHeight="1">
      <c r="A1641" s="45"/>
      <c r="B1641" s="44" t="s">
        <v>6635</v>
      </c>
      <c r="C1641" s="50"/>
      <c r="D1641" s="10" t="s">
        <v>29</v>
      </c>
      <c r="E1641" s="11"/>
      <c r="F1641" s="11" t="s">
        <v>18</v>
      </c>
      <c r="G1641" s="13"/>
      <c r="H1641" s="45" t="s">
        <v>16</v>
      </c>
      <c r="I1641" s="47"/>
      <c r="J1641" s="12" t="s">
        <v>4450</v>
      </c>
      <c r="K1641" s="13" t="s">
        <v>8412</v>
      </c>
      <c r="L1641" s="99" t="str">
        <f t="shared" si="97"/>
        <v>W3261.9</v>
      </c>
      <c r="M1641" s="13"/>
      <c r="N1641" s="47"/>
      <c r="O1641" s="47"/>
      <c r="P1641" s="47"/>
      <c r="Q1641" s="45"/>
      <c r="R1641" s="45"/>
      <c r="S1641" s="48"/>
    </row>
    <row r="1642" spans="1:19" s="49" customFormat="1" ht="14.15" customHeight="1">
      <c r="A1642" s="45"/>
      <c r="B1642" s="44" t="s">
        <v>6635</v>
      </c>
      <c r="C1642" s="50"/>
      <c r="D1642" s="10" t="s">
        <v>29</v>
      </c>
      <c r="E1642" s="11"/>
      <c r="F1642" s="11" t="s">
        <v>18</v>
      </c>
      <c r="G1642" s="13"/>
      <c r="H1642" s="45" t="s">
        <v>16</v>
      </c>
      <c r="I1642" s="47"/>
      <c r="J1642" s="12" t="s">
        <v>4451</v>
      </c>
      <c r="K1642" s="13" t="s">
        <v>8413</v>
      </c>
      <c r="L1642" s="99" t="str">
        <f t="shared" si="97"/>
        <v>W3261.A</v>
      </c>
      <c r="M1642" s="45"/>
      <c r="N1642" s="47"/>
      <c r="O1642" s="47"/>
      <c r="P1642" s="47"/>
      <c r="Q1642" s="45"/>
      <c r="R1642" s="45"/>
      <c r="S1642" s="48"/>
    </row>
    <row r="1643" spans="1:19" s="49" customFormat="1" ht="14.15" customHeight="1">
      <c r="A1643" s="45"/>
      <c r="B1643" s="44" t="s">
        <v>6635</v>
      </c>
      <c r="C1643" s="50"/>
      <c r="D1643" s="10" t="s">
        <v>29</v>
      </c>
      <c r="E1643" s="11"/>
      <c r="F1643" s="11" t="s">
        <v>18</v>
      </c>
      <c r="G1643" s="13"/>
      <c r="H1643" s="45" t="s">
        <v>16</v>
      </c>
      <c r="I1643" s="47"/>
      <c r="J1643" s="12" t="s">
        <v>4452</v>
      </c>
      <c r="K1643" s="13" t="s">
        <v>8414</v>
      </c>
      <c r="L1643" s="99" t="str">
        <f t="shared" si="97"/>
        <v>W3261.B</v>
      </c>
      <c r="M1643" s="45"/>
      <c r="N1643" s="47"/>
      <c r="O1643" s="47"/>
      <c r="P1643" s="47"/>
      <c r="Q1643" s="45"/>
      <c r="R1643" s="45"/>
      <c r="S1643" s="48"/>
    </row>
    <row r="1644" spans="1:19" s="49" customFormat="1" ht="14.15" customHeight="1">
      <c r="A1644" s="45"/>
      <c r="B1644" s="44" t="s">
        <v>6635</v>
      </c>
      <c r="C1644" s="50"/>
      <c r="D1644" s="10" t="s">
        <v>29</v>
      </c>
      <c r="E1644" s="11"/>
      <c r="F1644" s="11" t="s">
        <v>18</v>
      </c>
      <c r="G1644" s="13"/>
      <c r="H1644" s="45" t="s">
        <v>16</v>
      </c>
      <c r="I1644" s="47"/>
      <c r="J1644" s="12" t="s">
        <v>4453</v>
      </c>
      <c r="K1644" s="13" t="s">
        <v>8415</v>
      </c>
      <c r="L1644" s="99" t="str">
        <f t="shared" si="97"/>
        <v>W3261.C</v>
      </c>
      <c r="M1644" s="45"/>
      <c r="N1644" s="47"/>
      <c r="O1644" s="47"/>
      <c r="P1644" s="47"/>
      <c r="Q1644" s="45"/>
      <c r="R1644" s="45"/>
      <c r="S1644" s="48"/>
    </row>
    <row r="1645" spans="1:19" s="49" customFormat="1" ht="14.15" customHeight="1">
      <c r="A1645" s="45"/>
      <c r="B1645" s="44" t="s">
        <v>6635</v>
      </c>
      <c r="C1645" s="50"/>
      <c r="D1645" s="10" t="s">
        <v>29</v>
      </c>
      <c r="E1645" s="11"/>
      <c r="F1645" s="11" t="s">
        <v>18</v>
      </c>
      <c r="G1645" s="13"/>
      <c r="H1645" s="45" t="s">
        <v>16</v>
      </c>
      <c r="I1645" s="47"/>
      <c r="J1645" s="12" t="s">
        <v>4454</v>
      </c>
      <c r="K1645" s="13" t="s">
        <v>8416</v>
      </c>
      <c r="L1645" s="99" t="str">
        <f t="shared" si="97"/>
        <v>W3261.D</v>
      </c>
      <c r="M1645" s="45"/>
      <c r="N1645" s="47"/>
      <c r="O1645" s="47"/>
      <c r="P1645" s="47"/>
      <c r="Q1645" s="45"/>
      <c r="R1645" s="45"/>
      <c r="S1645" s="48"/>
    </row>
    <row r="1646" spans="1:19" s="49" customFormat="1" ht="14.15" customHeight="1">
      <c r="A1646" s="45"/>
      <c r="B1646" s="44" t="s">
        <v>6635</v>
      </c>
      <c r="C1646" s="50"/>
      <c r="D1646" s="10" t="s">
        <v>29</v>
      </c>
      <c r="E1646" s="11"/>
      <c r="F1646" s="11" t="s">
        <v>18</v>
      </c>
      <c r="G1646" s="13"/>
      <c r="H1646" s="45" t="s">
        <v>16</v>
      </c>
      <c r="I1646" s="47"/>
      <c r="J1646" s="12" t="s">
        <v>4455</v>
      </c>
      <c r="K1646" s="13" t="s">
        <v>8417</v>
      </c>
      <c r="L1646" s="99" t="str">
        <f t="shared" si="97"/>
        <v>W3261.E</v>
      </c>
      <c r="M1646" s="45"/>
      <c r="N1646" s="47"/>
      <c r="O1646" s="47"/>
      <c r="P1646" s="47"/>
      <c r="Q1646" s="45"/>
      <c r="R1646" s="45"/>
      <c r="S1646" s="48"/>
    </row>
    <row r="1647" spans="1:19" s="49" customFormat="1" ht="14.15" customHeight="1">
      <c r="A1647" s="45"/>
      <c r="B1647" s="44" t="s">
        <v>6635</v>
      </c>
      <c r="C1647" s="50"/>
      <c r="D1647" s="10" t="s">
        <v>29</v>
      </c>
      <c r="E1647" s="11"/>
      <c r="F1647" s="11" t="s">
        <v>18</v>
      </c>
      <c r="G1647" s="13"/>
      <c r="H1647" s="45" t="s">
        <v>16</v>
      </c>
      <c r="I1647" s="47"/>
      <c r="J1647" s="12" t="s">
        <v>4456</v>
      </c>
      <c r="K1647" s="13" t="s">
        <v>8418</v>
      </c>
      <c r="L1647" s="99" t="str">
        <f t="shared" si="97"/>
        <v>W3261.F</v>
      </c>
      <c r="M1647" s="45"/>
      <c r="N1647" s="47"/>
      <c r="O1647" s="47"/>
      <c r="P1647" s="47"/>
      <c r="Q1647" s="45"/>
      <c r="R1647" s="45"/>
      <c r="S1647" s="48"/>
    </row>
    <row r="1648" spans="1:19" s="49" customFormat="1" ht="14.15" customHeight="1">
      <c r="A1648" s="45"/>
      <c r="B1648" s="44" t="s">
        <v>6635</v>
      </c>
      <c r="C1648" s="50"/>
      <c r="D1648" s="10" t="s">
        <v>29</v>
      </c>
      <c r="E1648" s="11"/>
      <c r="F1648" s="11" t="s">
        <v>18</v>
      </c>
      <c r="G1648" s="13"/>
      <c r="H1648" s="45" t="s">
        <v>16</v>
      </c>
      <c r="I1648" s="47"/>
      <c r="J1648" s="12" t="s">
        <v>4457</v>
      </c>
      <c r="K1648" s="13" t="s">
        <v>8419</v>
      </c>
      <c r="L1648" s="99" t="str">
        <f t="shared" si="97"/>
        <v>W3262.0</v>
      </c>
      <c r="M1648" s="45"/>
      <c r="N1648" s="47"/>
      <c r="O1648" s="47"/>
      <c r="P1648" s="47"/>
      <c r="Q1648" s="45"/>
      <c r="R1648" s="45"/>
      <c r="S1648" s="48"/>
    </row>
    <row r="1649" spans="1:19" s="49" customFormat="1" ht="14.15" customHeight="1">
      <c r="A1649" s="45"/>
      <c r="B1649" s="44" t="s">
        <v>6635</v>
      </c>
      <c r="C1649" s="50"/>
      <c r="D1649" s="10" t="s">
        <v>29</v>
      </c>
      <c r="E1649" s="11"/>
      <c r="F1649" s="11" t="s">
        <v>18</v>
      </c>
      <c r="G1649" s="13"/>
      <c r="H1649" s="45" t="s">
        <v>16</v>
      </c>
      <c r="I1649" s="47"/>
      <c r="J1649" s="12" t="s">
        <v>4458</v>
      </c>
      <c r="K1649" s="13" t="s">
        <v>8420</v>
      </c>
      <c r="L1649" s="99" t="str">
        <f t="shared" si="97"/>
        <v>W3262.1</v>
      </c>
      <c r="M1649" s="13"/>
      <c r="N1649" s="47"/>
      <c r="O1649" s="47"/>
      <c r="P1649" s="47"/>
      <c r="Q1649" s="45"/>
      <c r="R1649" s="45"/>
      <c r="S1649" s="48"/>
    </row>
    <row r="1650" spans="1:19" s="49" customFormat="1" ht="14.15" customHeight="1">
      <c r="A1650" s="45"/>
      <c r="B1650" s="44" t="s">
        <v>6635</v>
      </c>
      <c r="C1650" s="50"/>
      <c r="D1650" s="10" t="s">
        <v>29</v>
      </c>
      <c r="E1650" s="11"/>
      <c r="F1650" s="11" t="s">
        <v>18</v>
      </c>
      <c r="G1650" s="13"/>
      <c r="H1650" s="45" t="s">
        <v>16</v>
      </c>
      <c r="I1650" s="47"/>
      <c r="J1650" s="12" t="s">
        <v>4459</v>
      </c>
      <c r="K1650" s="13" t="s">
        <v>8421</v>
      </c>
      <c r="L1650" s="99" t="str">
        <f t="shared" si="97"/>
        <v>W3262.2</v>
      </c>
      <c r="M1650" s="13"/>
      <c r="N1650" s="47"/>
      <c r="O1650" s="47"/>
      <c r="P1650" s="47"/>
      <c r="Q1650" s="45"/>
      <c r="R1650" s="45"/>
      <c r="S1650" s="48"/>
    </row>
    <row r="1651" spans="1:19" s="49" customFormat="1" ht="14.15" customHeight="1">
      <c r="A1651" s="45"/>
      <c r="B1651" s="44" t="s">
        <v>6635</v>
      </c>
      <c r="C1651" s="50"/>
      <c r="D1651" s="10" t="s">
        <v>29</v>
      </c>
      <c r="E1651" s="11"/>
      <c r="F1651" s="11" t="s">
        <v>18</v>
      </c>
      <c r="G1651" s="13"/>
      <c r="H1651" s="45" t="s">
        <v>16</v>
      </c>
      <c r="I1651" s="47"/>
      <c r="J1651" s="12" t="s">
        <v>4460</v>
      </c>
      <c r="K1651" s="13" t="s">
        <v>8422</v>
      </c>
      <c r="L1651" s="99" t="str">
        <f t="shared" si="97"/>
        <v>W3262.3</v>
      </c>
      <c r="M1651" s="13"/>
      <c r="N1651" s="47"/>
      <c r="O1651" s="47"/>
      <c r="P1651" s="47"/>
      <c r="Q1651" s="45"/>
      <c r="R1651" s="45"/>
      <c r="S1651" s="48"/>
    </row>
    <row r="1652" spans="1:19" s="49" customFormat="1" ht="14.15" customHeight="1">
      <c r="A1652" s="45"/>
      <c r="B1652" s="44" t="s">
        <v>6635</v>
      </c>
      <c r="C1652" s="50"/>
      <c r="D1652" s="10" t="s">
        <v>29</v>
      </c>
      <c r="E1652" s="11"/>
      <c r="F1652" s="11" t="s">
        <v>18</v>
      </c>
      <c r="G1652" s="13"/>
      <c r="H1652" s="45" t="s">
        <v>16</v>
      </c>
      <c r="I1652" s="47"/>
      <c r="J1652" s="12" t="s">
        <v>4461</v>
      </c>
      <c r="K1652" s="13" t="s">
        <v>8423</v>
      </c>
      <c r="L1652" s="99" t="str">
        <f t="shared" si="97"/>
        <v>W3262.4</v>
      </c>
      <c r="M1652" s="13"/>
      <c r="N1652" s="47"/>
      <c r="O1652" s="47"/>
      <c r="P1652" s="47"/>
      <c r="Q1652" s="45"/>
      <c r="R1652" s="45"/>
      <c r="S1652" s="48"/>
    </row>
    <row r="1653" spans="1:19" s="49" customFormat="1" ht="14.15" customHeight="1">
      <c r="A1653" s="45"/>
      <c r="B1653" s="44" t="s">
        <v>6635</v>
      </c>
      <c r="C1653" s="50"/>
      <c r="D1653" s="10" t="s">
        <v>29</v>
      </c>
      <c r="E1653" s="11"/>
      <c r="F1653" s="11" t="s">
        <v>18</v>
      </c>
      <c r="G1653" s="13"/>
      <c r="H1653" s="45" t="s">
        <v>16</v>
      </c>
      <c r="I1653" s="47"/>
      <c r="J1653" s="12" t="s">
        <v>4462</v>
      </c>
      <c r="K1653" s="13" t="s">
        <v>8424</v>
      </c>
      <c r="L1653" s="99" t="str">
        <f t="shared" si="97"/>
        <v>W3262.5</v>
      </c>
      <c r="M1653" s="13"/>
      <c r="N1653" s="47"/>
      <c r="O1653" s="47"/>
      <c r="P1653" s="47"/>
      <c r="Q1653" s="45"/>
      <c r="R1653" s="45"/>
      <c r="S1653" s="48"/>
    </row>
    <row r="1654" spans="1:19" s="49" customFormat="1" ht="14.15" customHeight="1">
      <c r="A1654" s="45"/>
      <c r="B1654" s="44" t="s">
        <v>6635</v>
      </c>
      <c r="C1654" s="50"/>
      <c r="D1654" s="10" t="s">
        <v>29</v>
      </c>
      <c r="E1654" s="11"/>
      <c r="F1654" s="11" t="s">
        <v>18</v>
      </c>
      <c r="G1654" s="13"/>
      <c r="H1654" s="45" t="s">
        <v>16</v>
      </c>
      <c r="I1654" s="47"/>
      <c r="J1654" s="12" t="s">
        <v>4463</v>
      </c>
      <c r="K1654" s="13" t="s">
        <v>8425</v>
      </c>
      <c r="L1654" s="99" t="str">
        <f t="shared" si="97"/>
        <v>W3262.6</v>
      </c>
      <c r="M1654" s="13"/>
      <c r="N1654" s="47"/>
      <c r="O1654" s="47"/>
      <c r="P1654" s="47"/>
      <c r="Q1654" s="45"/>
      <c r="R1654" s="45"/>
      <c r="S1654" s="48"/>
    </row>
    <row r="1655" spans="1:19" s="49" customFormat="1" ht="14.15" customHeight="1">
      <c r="A1655" s="45"/>
      <c r="B1655" s="44" t="s">
        <v>6635</v>
      </c>
      <c r="C1655" s="50"/>
      <c r="D1655" s="10" t="s">
        <v>29</v>
      </c>
      <c r="E1655" s="11"/>
      <c r="F1655" s="11" t="s">
        <v>18</v>
      </c>
      <c r="G1655" s="13"/>
      <c r="H1655" s="45" t="s">
        <v>16</v>
      </c>
      <c r="I1655" s="47"/>
      <c r="J1655" s="12" t="s">
        <v>4464</v>
      </c>
      <c r="K1655" s="13" t="s">
        <v>8426</v>
      </c>
      <c r="L1655" s="99" t="str">
        <f t="shared" si="97"/>
        <v>W3262.7</v>
      </c>
      <c r="M1655" s="13"/>
      <c r="N1655" s="47"/>
      <c r="O1655" s="47"/>
      <c r="P1655" s="47"/>
      <c r="Q1655" s="45"/>
      <c r="R1655" s="45"/>
      <c r="S1655" s="48"/>
    </row>
    <row r="1656" spans="1:19" s="49" customFormat="1" ht="14.15" customHeight="1">
      <c r="A1656" s="45"/>
      <c r="B1656" s="44" t="s">
        <v>6635</v>
      </c>
      <c r="C1656" s="50"/>
      <c r="D1656" s="10" t="s">
        <v>29</v>
      </c>
      <c r="E1656" s="11"/>
      <c r="F1656" s="11" t="s">
        <v>18</v>
      </c>
      <c r="G1656" s="13"/>
      <c r="H1656" s="45" t="s">
        <v>16</v>
      </c>
      <c r="I1656" s="47"/>
      <c r="J1656" s="12" t="s">
        <v>4465</v>
      </c>
      <c r="K1656" s="13" t="s">
        <v>8427</v>
      </c>
      <c r="L1656" s="99" t="str">
        <f t="shared" si="97"/>
        <v>W3262.8</v>
      </c>
      <c r="M1656" s="13"/>
      <c r="N1656" s="47"/>
      <c r="O1656" s="47"/>
      <c r="P1656" s="47"/>
      <c r="Q1656" s="45"/>
      <c r="R1656" s="45"/>
      <c r="S1656" s="48"/>
    </row>
    <row r="1657" spans="1:19" s="49" customFormat="1" ht="14.15" customHeight="1">
      <c r="A1657" s="45"/>
      <c r="B1657" s="44" t="s">
        <v>6635</v>
      </c>
      <c r="C1657" s="50"/>
      <c r="D1657" s="10" t="s">
        <v>29</v>
      </c>
      <c r="E1657" s="11"/>
      <c r="F1657" s="11" t="s">
        <v>18</v>
      </c>
      <c r="G1657" s="13"/>
      <c r="H1657" s="45" t="s">
        <v>16</v>
      </c>
      <c r="I1657" s="47"/>
      <c r="J1657" s="12" t="s">
        <v>4466</v>
      </c>
      <c r="K1657" s="13" t="s">
        <v>8428</v>
      </c>
      <c r="L1657" s="99" t="str">
        <f t="shared" si="97"/>
        <v>W3262.9</v>
      </c>
      <c r="M1657" s="13"/>
      <c r="N1657" s="47"/>
      <c r="O1657" s="47"/>
      <c r="P1657" s="47"/>
      <c r="Q1657" s="45"/>
      <c r="R1657" s="45"/>
      <c r="S1657" s="48"/>
    </row>
    <row r="1658" spans="1:19" s="49" customFormat="1" ht="14.15" customHeight="1">
      <c r="A1658" s="45"/>
      <c r="B1658" s="44" t="s">
        <v>6635</v>
      </c>
      <c r="C1658" s="50"/>
      <c r="D1658" s="10" t="s">
        <v>29</v>
      </c>
      <c r="E1658" s="11"/>
      <c r="F1658" s="11" t="s">
        <v>18</v>
      </c>
      <c r="G1658" s="13"/>
      <c r="H1658" s="45" t="s">
        <v>16</v>
      </c>
      <c r="I1658" s="47"/>
      <c r="J1658" s="12" t="s">
        <v>4467</v>
      </c>
      <c r="K1658" s="13" t="s">
        <v>8429</v>
      </c>
      <c r="L1658" s="99" t="str">
        <f t="shared" si="97"/>
        <v>W3262.A</v>
      </c>
      <c r="M1658" s="13"/>
      <c r="N1658" s="47"/>
      <c r="O1658" s="47"/>
      <c r="P1658" s="47"/>
      <c r="Q1658" s="45"/>
      <c r="R1658" s="45"/>
      <c r="S1658" s="48"/>
    </row>
    <row r="1659" spans="1:19" s="49" customFormat="1" ht="14.15" customHeight="1">
      <c r="A1659" s="43" t="s">
        <v>6680</v>
      </c>
      <c r="B1659" s="44" t="s">
        <v>6635</v>
      </c>
      <c r="C1659" s="50"/>
      <c r="D1659" s="10" t="s">
        <v>29</v>
      </c>
      <c r="E1659" s="11"/>
      <c r="F1659" s="11" t="s">
        <v>18</v>
      </c>
      <c r="G1659" s="13"/>
      <c r="H1659" s="45" t="s">
        <v>16</v>
      </c>
      <c r="I1659" s="47"/>
      <c r="J1659" s="12" t="s">
        <v>6548</v>
      </c>
      <c r="K1659" s="13" t="s">
        <v>8430</v>
      </c>
      <c r="L1659" s="99" t="str">
        <f t="shared" si="97"/>
        <v>W3262.B</v>
      </c>
      <c r="M1659" s="13" t="s">
        <v>17</v>
      </c>
      <c r="N1659" s="13"/>
      <c r="O1659" s="13"/>
      <c r="P1659" s="47"/>
      <c r="Q1659" s="45" t="s">
        <v>142</v>
      </c>
      <c r="R1659" s="45" t="s">
        <v>5621</v>
      </c>
      <c r="S1659" s="48"/>
    </row>
    <row r="1660" spans="1:19" s="49" customFormat="1" ht="14.15" customHeight="1">
      <c r="A1660" s="43" t="s">
        <v>6680</v>
      </c>
      <c r="B1660" s="44" t="s">
        <v>6635</v>
      </c>
      <c r="C1660" s="50"/>
      <c r="D1660" s="10" t="s">
        <v>29</v>
      </c>
      <c r="E1660" s="11"/>
      <c r="F1660" s="11" t="s">
        <v>18</v>
      </c>
      <c r="G1660" s="13"/>
      <c r="H1660" s="45" t="s">
        <v>16</v>
      </c>
      <c r="I1660" s="47"/>
      <c r="J1660" s="12" t="s">
        <v>6549</v>
      </c>
      <c r="K1660" s="13" t="s">
        <v>8431</v>
      </c>
      <c r="L1660" s="99" t="str">
        <f t="shared" si="97"/>
        <v>W3262.C</v>
      </c>
      <c r="M1660" s="13" t="s">
        <v>17</v>
      </c>
      <c r="N1660" s="13"/>
      <c r="O1660" s="13"/>
      <c r="P1660" s="47"/>
      <c r="Q1660" s="45" t="s">
        <v>142</v>
      </c>
      <c r="R1660" s="45" t="s">
        <v>5621</v>
      </c>
      <c r="S1660" s="48"/>
    </row>
    <row r="1661" spans="1:19" s="49" customFormat="1" ht="14.15" customHeight="1">
      <c r="A1661" s="45"/>
      <c r="B1661" s="44" t="s">
        <v>6635</v>
      </c>
      <c r="C1661" s="50"/>
      <c r="D1661" s="10" t="s">
        <v>29</v>
      </c>
      <c r="E1661" s="11"/>
      <c r="F1661" s="11" t="s">
        <v>18</v>
      </c>
      <c r="G1661" s="13"/>
      <c r="H1661" s="45" t="s">
        <v>16</v>
      </c>
      <c r="I1661" s="47"/>
      <c r="J1661" s="12" t="s">
        <v>1331</v>
      </c>
      <c r="K1661" s="13" t="s">
        <v>8432</v>
      </c>
      <c r="L1661" s="99" t="str">
        <f t="shared" si="97"/>
        <v>W3262.D</v>
      </c>
      <c r="M1661" s="13"/>
      <c r="N1661" s="47"/>
      <c r="O1661" s="47"/>
      <c r="P1661" s="47"/>
      <c r="Q1661" s="45"/>
      <c r="R1661" s="45"/>
      <c r="S1661" s="48"/>
    </row>
    <row r="1662" spans="1:19" s="49" customFormat="1" ht="14.15" customHeight="1">
      <c r="A1662" s="43" t="s">
        <v>6680</v>
      </c>
      <c r="B1662" s="44" t="s">
        <v>6635</v>
      </c>
      <c r="C1662" s="50"/>
      <c r="D1662" s="10" t="s">
        <v>29</v>
      </c>
      <c r="E1662" s="11"/>
      <c r="F1662" s="11" t="s">
        <v>18</v>
      </c>
      <c r="G1662" s="13"/>
      <c r="H1662" s="45" t="s">
        <v>16</v>
      </c>
      <c r="I1662" s="47"/>
      <c r="J1662" s="12" t="s">
        <v>6550</v>
      </c>
      <c r="K1662" s="13" t="s">
        <v>8433</v>
      </c>
      <c r="L1662" s="99" t="str">
        <f t="shared" si="97"/>
        <v>W3262.E</v>
      </c>
      <c r="M1662" s="13" t="s">
        <v>17</v>
      </c>
      <c r="N1662" s="13"/>
      <c r="O1662" s="13"/>
      <c r="P1662" s="47"/>
      <c r="Q1662" s="45" t="s">
        <v>142</v>
      </c>
      <c r="R1662" s="45" t="s">
        <v>5621</v>
      </c>
      <c r="S1662" s="48"/>
    </row>
    <row r="1663" spans="1:19" s="49" customFormat="1" ht="14.15" customHeight="1">
      <c r="A1663" s="43" t="s">
        <v>6680</v>
      </c>
      <c r="B1663" s="44" t="s">
        <v>6635</v>
      </c>
      <c r="C1663" s="50"/>
      <c r="D1663" s="10" t="s">
        <v>29</v>
      </c>
      <c r="E1663" s="11"/>
      <c r="F1663" s="11" t="s">
        <v>18</v>
      </c>
      <c r="G1663" s="13"/>
      <c r="H1663" s="45" t="s">
        <v>16</v>
      </c>
      <c r="I1663" s="47"/>
      <c r="J1663" s="12" t="s">
        <v>6551</v>
      </c>
      <c r="K1663" s="13" t="s">
        <v>8434</v>
      </c>
      <c r="L1663" s="99" t="str">
        <f t="shared" si="97"/>
        <v>W3262.F</v>
      </c>
      <c r="M1663" s="13" t="s">
        <v>17</v>
      </c>
      <c r="N1663" s="13"/>
      <c r="O1663" s="13"/>
      <c r="P1663" s="47"/>
      <c r="Q1663" s="45" t="s">
        <v>142</v>
      </c>
      <c r="R1663" s="45" t="s">
        <v>5621</v>
      </c>
      <c r="S1663" s="48"/>
    </row>
    <row r="1664" spans="1:19" s="49" customFormat="1" ht="14.15" customHeight="1">
      <c r="A1664" s="45"/>
      <c r="B1664" s="44" t="s">
        <v>6635</v>
      </c>
      <c r="C1664" s="50"/>
      <c r="D1664" s="10" t="s">
        <v>29</v>
      </c>
      <c r="E1664" s="11"/>
      <c r="F1664" s="11" t="s">
        <v>18</v>
      </c>
      <c r="G1664" s="13"/>
      <c r="H1664" s="45" t="s">
        <v>16</v>
      </c>
      <c r="I1664" s="47"/>
      <c r="J1664" s="12" t="s">
        <v>4473</v>
      </c>
      <c r="K1664" s="13" t="s">
        <v>8435</v>
      </c>
      <c r="L1664" s="99" t="str">
        <f t="shared" si="97"/>
        <v>W3263.0</v>
      </c>
      <c r="M1664" s="13"/>
      <c r="N1664" s="47"/>
      <c r="O1664" s="47"/>
      <c r="P1664" s="47"/>
      <c r="Q1664" s="45"/>
      <c r="R1664" s="45"/>
      <c r="S1664" s="48"/>
    </row>
    <row r="1665" spans="1:19" s="49" customFormat="1" ht="14.15" customHeight="1">
      <c r="A1665" s="45"/>
      <c r="B1665" s="44" t="s">
        <v>6635</v>
      </c>
      <c r="C1665" s="50"/>
      <c r="D1665" s="10" t="s">
        <v>29</v>
      </c>
      <c r="E1665" s="11"/>
      <c r="F1665" s="11" t="s">
        <v>18</v>
      </c>
      <c r="G1665" s="13"/>
      <c r="H1665" s="45" t="s">
        <v>16</v>
      </c>
      <c r="I1665" s="47"/>
      <c r="J1665" s="12" t="s">
        <v>4474</v>
      </c>
      <c r="K1665" s="13" t="s">
        <v>8436</v>
      </c>
      <c r="L1665" s="99" t="str">
        <f t="shared" si="97"/>
        <v>W3263.1</v>
      </c>
      <c r="M1665" s="13"/>
      <c r="N1665" s="47"/>
      <c r="O1665" s="47"/>
      <c r="P1665" s="47"/>
      <c r="Q1665" s="45"/>
      <c r="R1665" s="45"/>
      <c r="S1665" s="48"/>
    </row>
    <row r="1666" spans="1:19" s="49" customFormat="1" ht="14.15" customHeight="1">
      <c r="A1666" s="45"/>
      <c r="B1666" s="44" t="s">
        <v>6635</v>
      </c>
      <c r="C1666" s="50"/>
      <c r="D1666" s="10" t="s">
        <v>29</v>
      </c>
      <c r="E1666" s="11"/>
      <c r="F1666" s="11" t="s">
        <v>18</v>
      </c>
      <c r="G1666" s="13"/>
      <c r="H1666" s="45" t="s">
        <v>16</v>
      </c>
      <c r="I1666" s="47"/>
      <c r="J1666" s="12" t="s">
        <v>4475</v>
      </c>
      <c r="K1666" s="13" t="s">
        <v>8437</v>
      </c>
      <c r="L1666" s="99" t="str">
        <f t="shared" si="97"/>
        <v>W3263.2</v>
      </c>
      <c r="M1666" s="13"/>
      <c r="N1666" s="47"/>
      <c r="O1666" s="47"/>
      <c r="P1666" s="47"/>
      <c r="Q1666" s="45"/>
      <c r="R1666" s="45"/>
      <c r="S1666" s="48"/>
    </row>
    <row r="1667" spans="1:19" s="49" customFormat="1" ht="14.15" customHeight="1">
      <c r="A1667" s="45"/>
      <c r="B1667" s="44" t="s">
        <v>6635</v>
      </c>
      <c r="C1667" s="50"/>
      <c r="D1667" s="10" t="s">
        <v>29</v>
      </c>
      <c r="E1667" s="11"/>
      <c r="F1667" s="11" t="s">
        <v>18</v>
      </c>
      <c r="G1667" s="13"/>
      <c r="H1667" s="45" t="s">
        <v>16</v>
      </c>
      <c r="I1667" s="47"/>
      <c r="J1667" s="12" t="s">
        <v>4476</v>
      </c>
      <c r="K1667" s="13" t="s">
        <v>8438</v>
      </c>
      <c r="L1667" s="99" t="str">
        <f t="shared" si="97"/>
        <v>W3263.3</v>
      </c>
      <c r="M1667" s="13"/>
      <c r="N1667" s="47"/>
      <c r="O1667" s="47"/>
      <c r="P1667" s="47"/>
      <c r="Q1667" s="45"/>
      <c r="R1667" s="45"/>
      <c r="S1667" s="48"/>
    </row>
    <row r="1668" spans="1:19" s="49" customFormat="1" ht="14.15" customHeight="1">
      <c r="A1668" s="45"/>
      <c r="B1668" s="44" t="s">
        <v>6635</v>
      </c>
      <c r="C1668" s="50"/>
      <c r="D1668" s="10" t="s">
        <v>29</v>
      </c>
      <c r="E1668" s="11"/>
      <c r="F1668" s="11" t="s">
        <v>18</v>
      </c>
      <c r="G1668" s="13"/>
      <c r="H1668" s="45" t="s">
        <v>16</v>
      </c>
      <c r="I1668" s="47"/>
      <c r="J1668" s="12" t="s">
        <v>4477</v>
      </c>
      <c r="K1668" s="13" t="s">
        <v>8439</v>
      </c>
      <c r="L1668" s="99" t="str">
        <f t="shared" si="97"/>
        <v>W3263.4</v>
      </c>
      <c r="M1668" s="45"/>
      <c r="N1668" s="47"/>
      <c r="O1668" s="47"/>
      <c r="P1668" s="47"/>
      <c r="Q1668" s="45"/>
      <c r="R1668" s="45"/>
      <c r="S1668" s="48"/>
    </row>
    <row r="1669" spans="1:19" s="49" customFormat="1" ht="14.15" customHeight="1">
      <c r="A1669" s="45"/>
      <c r="B1669" s="44" t="s">
        <v>6635</v>
      </c>
      <c r="C1669" s="50"/>
      <c r="D1669" s="10" t="s">
        <v>29</v>
      </c>
      <c r="E1669" s="11"/>
      <c r="F1669" s="11" t="s">
        <v>18</v>
      </c>
      <c r="G1669" s="13"/>
      <c r="H1669" s="45" t="s">
        <v>16</v>
      </c>
      <c r="I1669" s="47"/>
      <c r="J1669" s="12" t="s">
        <v>4478</v>
      </c>
      <c r="K1669" s="13" t="s">
        <v>8440</v>
      </c>
      <c r="L1669" s="99" t="str">
        <f t="shared" si="97"/>
        <v>W3263.5</v>
      </c>
      <c r="M1669" s="13"/>
      <c r="N1669" s="47"/>
      <c r="O1669" s="47"/>
      <c r="P1669" s="47"/>
      <c r="Q1669" s="45"/>
      <c r="R1669" s="45"/>
      <c r="S1669" s="48"/>
    </row>
    <row r="1670" spans="1:19" s="49" customFormat="1" ht="14.15" customHeight="1">
      <c r="A1670" s="45"/>
      <c r="B1670" s="44" t="s">
        <v>6635</v>
      </c>
      <c r="C1670" s="50"/>
      <c r="D1670" s="10" t="s">
        <v>29</v>
      </c>
      <c r="E1670" s="11"/>
      <c r="F1670" s="11" t="s">
        <v>18</v>
      </c>
      <c r="G1670" s="13"/>
      <c r="H1670" s="45" t="s">
        <v>16</v>
      </c>
      <c r="I1670" s="47"/>
      <c r="J1670" s="12" t="s">
        <v>4479</v>
      </c>
      <c r="K1670" s="13" t="s">
        <v>8441</v>
      </c>
      <c r="L1670" s="99" t="str">
        <f t="shared" si="97"/>
        <v>W3263.6</v>
      </c>
      <c r="M1670" s="13"/>
      <c r="N1670" s="47"/>
      <c r="O1670" s="47"/>
      <c r="P1670" s="47"/>
      <c r="Q1670" s="45"/>
      <c r="R1670" s="45"/>
      <c r="S1670" s="48"/>
    </row>
    <row r="1671" spans="1:19" s="49" customFormat="1" ht="14.15" customHeight="1">
      <c r="A1671" s="45"/>
      <c r="B1671" s="44" t="s">
        <v>6635</v>
      </c>
      <c r="C1671" s="50"/>
      <c r="D1671" s="10" t="s">
        <v>29</v>
      </c>
      <c r="E1671" s="11"/>
      <c r="F1671" s="11" t="s">
        <v>18</v>
      </c>
      <c r="G1671" s="13"/>
      <c r="H1671" s="45" t="s">
        <v>16</v>
      </c>
      <c r="I1671" s="47"/>
      <c r="J1671" s="12" t="s">
        <v>4480</v>
      </c>
      <c r="K1671" s="13" t="s">
        <v>8442</v>
      </c>
      <c r="L1671" s="99" t="str">
        <f t="shared" si="97"/>
        <v>W3263.7</v>
      </c>
      <c r="M1671" s="13"/>
      <c r="N1671" s="47"/>
      <c r="O1671" s="47"/>
      <c r="P1671" s="47"/>
      <c r="Q1671" s="45"/>
      <c r="R1671" s="45"/>
      <c r="S1671" s="48"/>
    </row>
    <row r="1672" spans="1:19" s="49" customFormat="1" ht="14.15" customHeight="1">
      <c r="A1672" s="45"/>
      <c r="B1672" s="44" t="s">
        <v>6635</v>
      </c>
      <c r="C1672" s="50"/>
      <c r="D1672" s="10" t="s">
        <v>29</v>
      </c>
      <c r="E1672" s="11"/>
      <c r="F1672" s="11" t="s">
        <v>18</v>
      </c>
      <c r="G1672" s="13"/>
      <c r="H1672" s="45" t="s">
        <v>16</v>
      </c>
      <c r="I1672" s="47"/>
      <c r="J1672" s="12" t="s">
        <v>4481</v>
      </c>
      <c r="K1672" s="13" t="s">
        <v>8443</v>
      </c>
      <c r="L1672" s="99" t="str">
        <f t="shared" si="97"/>
        <v>W3263.8</v>
      </c>
      <c r="M1672" s="45"/>
      <c r="N1672" s="47"/>
      <c r="O1672" s="47"/>
      <c r="P1672" s="47"/>
      <c r="Q1672" s="45"/>
      <c r="R1672" s="45"/>
      <c r="S1672" s="48"/>
    </row>
    <row r="1673" spans="1:19" s="49" customFormat="1" ht="14.15" customHeight="1">
      <c r="A1673" s="45"/>
      <c r="B1673" s="44" t="s">
        <v>6635</v>
      </c>
      <c r="C1673" s="50"/>
      <c r="D1673" s="10" t="s">
        <v>29</v>
      </c>
      <c r="E1673" s="11"/>
      <c r="F1673" s="11" t="s">
        <v>18</v>
      </c>
      <c r="G1673" s="13"/>
      <c r="H1673" s="45" t="s">
        <v>16</v>
      </c>
      <c r="I1673" s="47"/>
      <c r="J1673" s="12" t="s">
        <v>4482</v>
      </c>
      <c r="K1673" s="13" t="s">
        <v>8444</v>
      </c>
      <c r="L1673" s="99" t="str">
        <f t="shared" si="97"/>
        <v>W3263.9</v>
      </c>
      <c r="M1673" s="13"/>
      <c r="N1673" s="47"/>
      <c r="O1673" s="47"/>
      <c r="P1673" s="47"/>
      <c r="Q1673" s="45"/>
      <c r="R1673" s="45"/>
      <c r="S1673" s="48"/>
    </row>
    <row r="1674" spans="1:19" s="49" customFormat="1" ht="14.15" customHeight="1">
      <c r="A1674" s="45"/>
      <c r="B1674" s="44" t="s">
        <v>6635</v>
      </c>
      <c r="C1674" s="50"/>
      <c r="D1674" s="10" t="s">
        <v>29</v>
      </c>
      <c r="E1674" s="11"/>
      <c r="F1674" s="11" t="s">
        <v>18</v>
      </c>
      <c r="G1674" s="13"/>
      <c r="H1674" s="45" t="s">
        <v>16</v>
      </c>
      <c r="I1674" s="47"/>
      <c r="J1674" s="12" t="s">
        <v>4483</v>
      </c>
      <c r="K1674" s="13" t="s">
        <v>8445</v>
      </c>
      <c r="L1674" s="99" t="str">
        <f t="shared" si="97"/>
        <v>W3263.A</v>
      </c>
      <c r="M1674" s="45"/>
      <c r="N1674" s="47"/>
      <c r="O1674" s="47"/>
      <c r="P1674" s="47"/>
      <c r="Q1674" s="45"/>
      <c r="R1674" s="45"/>
      <c r="S1674" s="48"/>
    </row>
    <row r="1675" spans="1:19" s="49" customFormat="1" ht="14.15" customHeight="1">
      <c r="A1675" s="45"/>
      <c r="B1675" s="44" t="s">
        <v>6635</v>
      </c>
      <c r="C1675" s="50"/>
      <c r="D1675" s="10" t="s">
        <v>29</v>
      </c>
      <c r="E1675" s="11"/>
      <c r="F1675" s="11" t="s">
        <v>18</v>
      </c>
      <c r="G1675" s="13"/>
      <c r="H1675" s="45" t="s">
        <v>16</v>
      </c>
      <c r="I1675" s="47"/>
      <c r="J1675" s="12" t="s">
        <v>4484</v>
      </c>
      <c r="K1675" s="13" t="s">
        <v>8446</v>
      </c>
      <c r="L1675" s="99" t="str">
        <f t="shared" si="97"/>
        <v>W3263.B</v>
      </c>
      <c r="M1675" s="45"/>
      <c r="N1675" s="47"/>
      <c r="O1675" s="47"/>
      <c r="P1675" s="47"/>
      <c r="Q1675" s="45"/>
      <c r="R1675" s="45"/>
      <c r="S1675" s="48"/>
    </row>
    <row r="1676" spans="1:19" s="49" customFormat="1" ht="14.15" customHeight="1">
      <c r="A1676" s="45"/>
      <c r="B1676" s="44" t="s">
        <v>6635</v>
      </c>
      <c r="C1676" s="50"/>
      <c r="D1676" s="10" t="s">
        <v>29</v>
      </c>
      <c r="E1676" s="11"/>
      <c r="F1676" s="11" t="s">
        <v>18</v>
      </c>
      <c r="G1676" s="13"/>
      <c r="H1676" s="45" t="s">
        <v>16</v>
      </c>
      <c r="I1676" s="47"/>
      <c r="J1676" s="12" t="s">
        <v>4485</v>
      </c>
      <c r="K1676" s="13" t="s">
        <v>8447</v>
      </c>
      <c r="L1676" s="99" t="str">
        <f t="shared" si="97"/>
        <v>W3263.C</v>
      </c>
      <c r="M1676" s="45"/>
      <c r="N1676" s="47"/>
      <c r="O1676" s="47"/>
      <c r="P1676" s="47"/>
      <c r="Q1676" s="45"/>
      <c r="R1676" s="45"/>
      <c r="S1676" s="48"/>
    </row>
    <row r="1677" spans="1:19" s="49" customFormat="1" ht="14.15" customHeight="1">
      <c r="A1677" s="45"/>
      <c r="B1677" s="44" t="s">
        <v>6635</v>
      </c>
      <c r="C1677" s="50"/>
      <c r="D1677" s="10" t="s">
        <v>29</v>
      </c>
      <c r="E1677" s="11"/>
      <c r="F1677" s="11" t="s">
        <v>18</v>
      </c>
      <c r="G1677" s="13"/>
      <c r="H1677" s="45" t="s">
        <v>16</v>
      </c>
      <c r="I1677" s="47"/>
      <c r="J1677" s="12" t="s">
        <v>4486</v>
      </c>
      <c r="K1677" s="13" t="s">
        <v>8448</v>
      </c>
      <c r="L1677" s="99" t="str">
        <f t="shared" si="97"/>
        <v>W3263.D</v>
      </c>
      <c r="M1677" s="45"/>
      <c r="N1677" s="47"/>
      <c r="O1677" s="47"/>
      <c r="P1677" s="47"/>
      <c r="Q1677" s="45"/>
      <c r="R1677" s="45"/>
      <c r="S1677" s="48"/>
    </row>
    <row r="1678" spans="1:19" s="49" customFormat="1" ht="14.15" customHeight="1">
      <c r="A1678" s="45"/>
      <c r="B1678" s="44" t="s">
        <v>6635</v>
      </c>
      <c r="C1678" s="50"/>
      <c r="D1678" s="10" t="s">
        <v>29</v>
      </c>
      <c r="E1678" s="11"/>
      <c r="F1678" s="11" t="s">
        <v>18</v>
      </c>
      <c r="G1678" s="13"/>
      <c r="H1678" s="45" t="s">
        <v>16</v>
      </c>
      <c r="I1678" s="47"/>
      <c r="J1678" s="12" t="s">
        <v>4487</v>
      </c>
      <c r="K1678" s="13" t="s">
        <v>8449</v>
      </c>
      <c r="L1678" s="99" t="str">
        <f t="shared" si="97"/>
        <v>W3263.E</v>
      </c>
      <c r="M1678" s="13"/>
      <c r="N1678" s="47"/>
      <c r="O1678" s="47"/>
      <c r="P1678" s="47"/>
      <c r="Q1678" s="45"/>
      <c r="R1678" s="45"/>
      <c r="S1678" s="48"/>
    </row>
    <row r="1679" spans="1:19" s="49" customFormat="1" ht="14.15" customHeight="1">
      <c r="A1679" s="45"/>
      <c r="B1679" s="44" t="s">
        <v>6635</v>
      </c>
      <c r="C1679" s="50"/>
      <c r="D1679" s="10" t="s">
        <v>29</v>
      </c>
      <c r="E1679" s="11"/>
      <c r="F1679" s="11" t="s">
        <v>18</v>
      </c>
      <c r="G1679" s="13"/>
      <c r="H1679" s="45" t="s">
        <v>16</v>
      </c>
      <c r="I1679" s="47"/>
      <c r="J1679" s="12" t="s">
        <v>4488</v>
      </c>
      <c r="K1679" s="13" t="s">
        <v>8450</v>
      </c>
      <c r="L1679" s="99" t="str">
        <f t="shared" si="97"/>
        <v>W3263.F</v>
      </c>
      <c r="M1679" s="13"/>
      <c r="N1679" s="47"/>
      <c r="O1679" s="47"/>
      <c r="P1679" s="47"/>
      <c r="Q1679" s="45"/>
      <c r="R1679" s="45"/>
      <c r="S1679" s="48"/>
    </row>
    <row r="1680" spans="1:19" s="49" customFormat="1" ht="14.15" customHeight="1">
      <c r="A1680" s="45"/>
      <c r="B1680" s="44" t="s">
        <v>6635</v>
      </c>
      <c r="C1680" s="50"/>
      <c r="D1680" s="10" t="s">
        <v>29</v>
      </c>
      <c r="E1680" s="11"/>
      <c r="F1680" s="11" t="s">
        <v>18</v>
      </c>
      <c r="G1680" s="13"/>
      <c r="H1680" s="45" t="s">
        <v>16</v>
      </c>
      <c r="I1680" s="47"/>
      <c r="J1680" s="12" t="s">
        <v>4489</v>
      </c>
      <c r="K1680" s="13" t="s">
        <v>8451</v>
      </c>
      <c r="L1680" s="99" t="str">
        <f t="shared" si="97"/>
        <v>W3264.0</v>
      </c>
      <c r="M1680" s="13"/>
      <c r="N1680" s="47"/>
      <c r="O1680" s="47"/>
      <c r="P1680" s="47"/>
      <c r="Q1680" s="45"/>
      <c r="R1680" s="45"/>
      <c r="S1680" s="48"/>
    </row>
    <row r="1681" spans="1:19" s="49" customFormat="1" ht="14.15" customHeight="1">
      <c r="A1681" s="45"/>
      <c r="B1681" s="44" t="s">
        <v>6635</v>
      </c>
      <c r="C1681" s="50"/>
      <c r="D1681" s="10" t="s">
        <v>29</v>
      </c>
      <c r="E1681" s="11"/>
      <c r="F1681" s="11" t="s">
        <v>18</v>
      </c>
      <c r="G1681" s="13"/>
      <c r="H1681" s="45" t="s">
        <v>16</v>
      </c>
      <c r="I1681" s="47"/>
      <c r="J1681" s="12" t="s">
        <v>4490</v>
      </c>
      <c r="K1681" s="13" t="s">
        <v>8452</v>
      </c>
      <c r="L1681" s="99" t="str">
        <f t="shared" ref="L1681:L1744" si="98">"W"&amp;DEC2HEX(12800 + INT((ROW()-80)/16)) &amp; "." &amp; IF(MOD(ROW()-80,16)&lt;10,MOD(ROW()-80,16),CHAR(MOD(ROW()-80,16)+55))</f>
        <v>W3264.1</v>
      </c>
      <c r="M1681" s="13"/>
      <c r="N1681" s="47"/>
      <c r="O1681" s="47"/>
      <c r="P1681" s="47"/>
      <c r="Q1681" s="45"/>
      <c r="R1681" s="45"/>
      <c r="S1681" s="48"/>
    </row>
    <row r="1682" spans="1:19" s="49" customFormat="1" ht="14.15" customHeight="1">
      <c r="A1682" s="45"/>
      <c r="B1682" s="44" t="s">
        <v>6635</v>
      </c>
      <c r="C1682" s="50"/>
      <c r="D1682" s="10" t="s">
        <v>29</v>
      </c>
      <c r="E1682" s="11"/>
      <c r="F1682" s="11" t="s">
        <v>18</v>
      </c>
      <c r="G1682" s="13"/>
      <c r="H1682" s="45" t="s">
        <v>16</v>
      </c>
      <c r="I1682" s="47"/>
      <c r="J1682" s="12" t="s">
        <v>4491</v>
      </c>
      <c r="K1682" s="13" t="s">
        <v>8453</v>
      </c>
      <c r="L1682" s="99" t="str">
        <f t="shared" si="98"/>
        <v>W3264.2</v>
      </c>
      <c r="M1682" s="13"/>
      <c r="N1682" s="47"/>
      <c r="O1682" s="47"/>
      <c r="P1682" s="47"/>
      <c r="Q1682" s="45"/>
      <c r="R1682" s="45"/>
      <c r="S1682" s="48"/>
    </row>
    <row r="1683" spans="1:19" s="49" customFormat="1" ht="14.15" customHeight="1">
      <c r="A1683" s="45"/>
      <c r="B1683" s="44" t="s">
        <v>6635</v>
      </c>
      <c r="C1683" s="50"/>
      <c r="D1683" s="10" t="s">
        <v>29</v>
      </c>
      <c r="E1683" s="11"/>
      <c r="F1683" s="11" t="s">
        <v>18</v>
      </c>
      <c r="G1683" s="13"/>
      <c r="H1683" s="45" t="s">
        <v>16</v>
      </c>
      <c r="I1683" s="47"/>
      <c r="J1683" s="12" t="s">
        <v>4492</v>
      </c>
      <c r="K1683" s="13" t="s">
        <v>8454</v>
      </c>
      <c r="L1683" s="99" t="str">
        <f t="shared" si="98"/>
        <v>W3264.3</v>
      </c>
      <c r="M1683" s="13"/>
      <c r="N1683" s="47"/>
      <c r="O1683" s="47"/>
      <c r="P1683" s="47"/>
      <c r="Q1683" s="45"/>
      <c r="R1683" s="45"/>
      <c r="S1683" s="48"/>
    </row>
    <row r="1684" spans="1:19" s="49" customFormat="1" ht="14.15" customHeight="1">
      <c r="A1684" s="45"/>
      <c r="B1684" s="44" t="s">
        <v>6635</v>
      </c>
      <c r="C1684" s="50"/>
      <c r="D1684" s="10" t="s">
        <v>29</v>
      </c>
      <c r="E1684" s="11"/>
      <c r="F1684" s="11" t="s">
        <v>18</v>
      </c>
      <c r="G1684" s="13"/>
      <c r="H1684" s="45" t="s">
        <v>16</v>
      </c>
      <c r="I1684" s="47"/>
      <c r="J1684" s="12" t="s">
        <v>4493</v>
      </c>
      <c r="K1684" s="13" t="s">
        <v>8455</v>
      </c>
      <c r="L1684" s="99" t="str">
        <f t="shared" si="98"/>
        <v>W3264.4</v>
      </c>
      <c r="M1684" s="13"/>
      <c r="N1684" s="47"/>
      <c r="O1684" s="47"/>
      <c r="P1684" s="47"/>
      <c r="Q1684" s="45"/>
      <c r="R1684" s="45"/>
      <c r="S1684" s="48"/>
    </row>
    <row r="1685" spans="1:19" s="49" customFormat="1" ht="14.15" customHeight="1">
      <c r="A1685" s="45"/>
      <c r="B1685" s="44" t="s">
        <v>6635</v>
      </c>
      <c r="C1685" s="50"/>
      <c r="D1685" s="10" t="s">
        <v>29</v>
      </c>
      <c r="E1685" s="11"/>
      <c r="F1685" s="11" t="s">
        <v>18</v>
      </c>
      <c r="G1685" s="13"/>
      <c r="H1685" s="45" t="s">
        <v>16</v>
      </c>
      <c r="I1685" s="47"/>
      <c r="J1685" s="12" t="s">
        <v>4494</v>
      </c>
      <c r="K1685" s="13" t="s">
        <v>8456</v>
      </c>
      <c r="L1685" s="99" t="str">
        <f t="shared" si="98"/>
        <v>W3264.5</v>
      </c>
      <c r="M1685" s="45"/>
      <c r="N1685" s="47"/>
      <c r="O1685" s="47"/>
      <c r="P1685" s="47"/>
      <c r="Q1685" s="45"/>
      <c r="R1685" s="45"/>
      <c r="S1685" s="48"/>
    </row>
    <row r="1686" spans="1:19" s="49" customFormat="1" ht="14.15" customHeight="1">
      <c r="A1686" s="45"/>
      <c r="B1686" s="44" t="s">
        <v>6635</v>
      </c>
      <c r="C1686" s="50"/>
      <c r="D1686" s="10" t="s">
        <v>29</v>
      </c>
      <c r="E1686" s="11"/>
      <c r="F1686" s="11" t="s">
        <v>18</v>
      </c>
      <c r="G1686" s="13"/>
      <c r="H1686" s="45" t="s">
        <v>16</v>
      </c>
      <c r="I1686" s="47"/>
      <c r="J1686" s="12" t="s">
        <v>4495</v>
      </c>
      <c r="K1686" s="13" t="s">
        <v>8457</v>
      </c>
      <c r="L1686" s="99" t="str">
        <f t="shared" si="98"/>
        <v>W3264.6</v>
      </c>
      <c r="M1686" s="45"/>
      <c r="N1686" s="47"/>
      <c r="O1686" s="47"/>
      <c r="P1686" s="47"/>
      <c r="Q1686" s="45"/>
      <c r="R1686" s="45"/>
      <c r="S1686" s="48"/>
    </row>
    <row r="1687" spans="1:19" s="49" customFormat="1" ht="14.15" customHeight="1">
      <c r="A1687" s="45"/>
      <c r="B1687" s="44" t="s">
        <v>6635</v>
      </c>
      <c r="C1687" s="50"/>
      <c r="D1687" s="10" t="s">
        <v>29</v>
      </c>
      <c r="E1687" s="11"/>
      <c r="F1687" s="11" t="s">
        <v>18</v>
      </c>
      <c r="G1687" s="13"/>
      <c r="H1687" s="45" t="s">
        <v>16</v>
      </c>
      <c r="I1687" s="47"/>
      <c r="J1687" s="12" t="s">
        <v>4496</v>
      </c>
      <c r="K1687" s="13" t="s">
        <v>8458</v>
      </c>
      <c r="L1687" s="99" t="str">
        <f t="shared" si="98"/>
        <v>W3264.7</v>
      </c>
      <c r="M1687" s="45"/>
      <c r="N1687" s="47"/>
      <c r="O1687" s="47"/>
      <c r="P1687" s="47"/>
      <c r="Q1687" s="45"/>
      <c r="R1687" s="45"/>
      <c r="S1687" s="48"/>
    </row>
    <row r="1688" spans="1:19" s="49" customFormat="1" ht="14.15" customHeight="1">
      <c r="A1688" s="45"/>
      <c r="B1688" s="44" t="s">
        <v>6635</v>
      </c>
      <c r="C1688" s="50"/>
      <c r="D1688" s="10" t="s">
        <v>29</v>
      </c>
      <c r="E1688" s="11"/>
      <c r="F1688" s="11" t="s">
        <v>18</v>
      </c>
      <c r="G1688" s="13"/>
      <c r="H1688" s="45" t="s">
        <v>16</v>
      </c>
      <c r="I1688" s="47"/>
      <c r="J1688" s="12" t="s">
        <v>4497</v>
      </c>
      <c r="K1688" s="13" t="s">
        <v>8459</v>
      </c>
      <c r="L1688" s="99" t="str">
        <f t="shared" si="98"/>
        <v>W3264.8</v>
      </c>
      <c r="M1688" s="45"/>
      <c r="N1688" s="47"/>
      <c r="O1688" s="47"/>
      <c r="P1688" s="47"/>
      <c r="Q1688" s="45"/>
      <c r="R1688" s="45"/>
      <c r="S1688" s="48"/>
    </row>
    <row r="1689" spans="1:19" s="49" customFormat="1" ht="14.15" customHeight="1">
      <c r="A1689" s="45"/>
      <c r="B1689" s="44" t="s">
        <v>6635</v>
      </c>
      <c r="C1689" s="50"/>
      <c r="D1689" s="10" t="s">
        <v>29</v>
      </c>
      <c r="E1689" s="11"/>
      <c r="F1689" s="11" t="s">
        <v>18</v>
      </c>
      <c r="G1689" s="13"/>
      <c r="H1689" s="45" t="s">
        <v>16</v>
      </c>
      <c r="I1689" s="47"/>
      <c r="J1689" s="12" t="s">
        <v>4498</v>
      </c>
      <c r="K1689" s="13" t="s">
        <v>8460</v>
      </c>
      <c r="L1689" s="99" t="str">
        <f t="shared" si="98"/>
        <v>W3264.9</v>
      </c>
      <c r="M1689" s="13"/>
      <c r="N1689" s="47"/>
      <c r="O1689" s="47"/>
      <c r="P1689" s="47"/>
      <c r="Q1689" s="45"/>
      <c r="R1689" s="45"/>
      <c r="S1689" s="48"/>
    </row>
    <row r="1690" spans="1:19" s="49" customFormat="1" ht="14.15" customHeight="1">
      <c r="A1690" s="45"/>
      <c r="B1690" s="44" t="s">
        <v>6635</v>
      </c>
      <c r="C1690" s="50"/>
      <c r="D1690" s="10" t="s">
        <v>29</v>
      </c>
      <c r="E1690" s="11"/>
      <c r="F1690" s="11" t="s">
        <v>18</v>
      </c>
      <c r="G1690" s="13"/>
      <c r="H1690" s="45" t="s">
        <v>16</v>
      </c>
      <c r="I1690" s="47"/>
      <c r="J1690" s="12" t="s">
        <v>4499</v>
      </c>
      <c r="K1690" s="13" t="s">
        <v>8461</v>
      </c>
      <c r="L1690" s="99" t="str">
        <f t="shared" si="98"/>
        <v>W3264.A</v>
      </c>
      <c r="M1690" s="13"/>
      <c r="N1690" s="47"/>
      <c r="O1690" s="47"/>
      <c r="P1690" s="47"/>
      <c r="Q1690" s="45"/>
      <c r="R1690" s="45"/>
      <c r="S1690" s="48"/>
    </row>
    <row r="1691" spans="1:19" s="49" customFormat="1" ht="14.15" customHeight="1">
      <c r="A1691" s="45"/>
      <c r="B1691" s="44" t="s">
        <v>6635</v>
      </c>
      <c r="C1691" s="50"/>
      <c r="D1691" s="10" t="s">
        <v>29</v>
      </c>
      <c r="E1691" s="11"/>
      <c r="F1691" s="11" t="s">
        <v>18</v>
      </c>
      <c r="G1691" s="13"/>
      <c r="H1691" s="45" t="s">
        <v>16</v>
      </c>
      <c r="I1691" s="47"/>
      <c r="J1691" s="12" t="s">
        <v>4500</v>
      </c>
      <c r="K1691" s="13" t="s">
        <v>8462</v>
      </c>
      <c r="L1691" s="99" t="str">
        <f t="shared" si="98"/>
        <v>W3264.B</v>
      </c>
      <c r="M1691" s="13"/>
      <c r="N1691" s="47"/>
      <c r="O1691" s="47"/>
      <c r="P1691" s="47"/>
      <c r="Q1691" s="45"/>
      <c r="R1691" s="45"/>
      <c r="S1691" s="48"/>
    </row>
    <row r="1692" spans="1:19" s="49" customFormat="1" ht="14.15" customHeight="1">
      <c r="A1692" s="45"/>
      <c r="B1692" s="44" t="s">
        <v>6635</v>
      </c>
      <c r="C1692" s="50"/>
      <c r="D1692" s="10" t="s">
        <v>29</v>
      </c>
      <c r="E1692" s="11"/>
      <c r="F1692" s="11" t="s">
        <v>18</v>
      </c>
      <c r="G1692" s="13"/>
      <c r="H1692" s="45" t="s">
        <v>16</v>
      </c>
      <c r="I1692" s="47"/>
      <c r="J1692" s="12" t="s">
        <v>4501</v>
      </c>
      <c r="K1692" s="13" t="s">
        <v>8463</v>
      </c>
      <c r="L1692" s="99" t="str">
        <f t="shared" si="98"/>
        <v>W3264.C</v>
      </c>
      <c r="M1692" s="45"/>
      <c r="N1692" s="47"/>
      <c r="O1692" s="47"/>
      <c r="P1692" s="47"/>
      <c r="Q1692" s="45"/>
      <c r="R1692" s="45"/>
      <c r="S1692" s="48"/>
    </row>
    <row r="1693" spans="1:19" s="49" customFormat="1" ht="14.15" customHeight="1">
      <c r="A1693" s="45"/>
      <c r="B1693" s="44" t="s">
        <v>6635</v>
      </c>
      <c r="C1693" s="50"/>
      <c r="D1693" s="10" t="s">
        <v>29</v>
      </c>
      <c r="E1693" s="11"/>
      <c r="F1693" s="11" t="s">
        <v>18</v>
      </c>
      <c r="G1693" s="13"/>
      <c r="H1693" s="45" t="s">
        <v>16</v>
      </c>
      <c r="I1693" s="47"/>
      <c r="J1693" s="12" t="s">
        <v>4502</v>
      </c>
      <c r="K1693" s="13" t="s">
        <v>8464</v>
      </c>
      <c r="L1693" s="99" t="str">
        <f t="shared" si="98"/>
        <v>W3264.D</v>
      </c>
      <c r="M1693" s="13"/>
      <c r="N1693" s="47"/>
      <c r="O1693" s="47"/>
      <c r="P1693" s="47"/>
      <c r="Q1693" s="45"/>
      <c r="R1693" s="45"/>
      <c r="S1693" s="48"/>
    </row>
    <row r="1694" spans="1:19" s="49" customFormat="1" ht="14.15" customHeight="1">
      <c r="A1694" s="45"/>
      <c r="B1694" s="44" t="s">
        <v>6635</v>
      </c>
      <c r="C1694" s="50"/>
      <c r="D1694" s="10" t="s">
        <v>29</v>
      </c>
      <c r="E1694" s="11"/>
      <c r="F1694" s="11" t="s">
        <v>18</v>
      </c>
      <c r="G1694" s="13"/>
      <c r="H1694" s="45" t="s">
        <v>16</v>
      </c>
      <c r="I1694" s="47"/>
      <c r="J1694" s="12" t="s">
        <v>4503</v>
      </c>
      <c r="K1694" s="13" t="s">
        <v>8465</v>
      </c>
      <c r="L1694" s="99" t="str">
        <f t="shared" si="98"/>
        <v>W3264.E</v>
      </c>
      <c r="M1694" s="45"/>
      <c r="N1694" s="47"/>
      <c r="O1694" s="47"/>
      <c r="P1694" s="47"/>
      <c r="Q1694" s="45"/>
      <c r="R1694" s="45"/>
      <c r="S1694" s="48"/>
    </row>
    <row r="1695" spans="1:19" s="49" customFormat="1" ht="14.15" customHeight="1">
      <c r="A1695" s="45"/>
      <c r="B1695" s="44" t="s">
        <v>6635</v>
      </c>
      <c r="C1695" s="50"/>
      <c r="D1695" s="10" t="s">
        <v>29</v>
      </c>
      <c r="E1695" s="11"/>
      <c r="F1695" s="11" t="s">
        <v>18</v>
      </c>
      <c r="G1695" s="13"/>
      <c r="H1695" s="45" t="s">
        <v>16</v>
      </c>
      <c r="I1695" s="47"/>
      <c r="J1695" s="12" t="s">
        <v>4504</v>
      </c>
      <c r="K1695" s="13" t="s">
        <v>8466</v>
      </c>
      <c r="L1695" s="99" t="str">
        <f t="shared" si="98"/>
        <v>W3264.F</v>
      </c>
      <c r="M1695" s="45"/>
      <c r="N1695" s="47"/>
      <c r="O1695" s="47"/>
      <c r="P1695" s="47"/>
      <c r="Q1695" s="45"/>
      <c r="R1695" s="45"/>
      <c r="S1695" s="48"/>
    </row>
    <row r="1696" spans="1:19" s="49" customFormat="1" ht="14.15" customHeight="1">
      <c r="A1696" s="45"/>
      <c r="B1696" s="44" t="s">
        <v>6635</v>
      </c>
      <c r="C1696" s="50"/>
      <c r="D1696" s="10" t="s">
        <v>29</v>
      </c>
      <c r="E1696" s="11"/>
      <c r="F1696" s="11" t="s">
        <v>18</v>
      </c>
      <c r="G1696" s="13"/>
      <c r="H1696" s="45" t="s">
        <v>16</v>
      </c>
      <c r="I1696" s="47"/>
      <c r="J1696" s="12" t="s">
        <v>4505</v>
      </c>
      <c r="K1696" s="13" t="s">
        <v>8467</v>
      </c>
      <c r="L1696" s="99" t="str">
        <f t="shared" si="98"/>
        <v>W3265.0</v>
      </c>
      <c r="M1696" s="45"/>
      <c r="N1696" s="47"/>
      <c r="O1696" s="47"/>
      <c r="P1696" s="47"/>
      <c r="Q1696" s="45"/>
      <c r="R1696" s="45"/>
      <c r="S1696" s="48"/>
    </row>
    <row r="1697" spans="1:19" s="49" customFormat="1" ht="14.15" customHeight="1">
      <c r="A1697" s="45"/>
      <c r="B1697" s="44" t="s">
        <v>6635</v>
      </c>
      <c r="C1697" s="50"/>
      <c r="D1697" s="10" t="s">
        <v>29</v>
      </c>
      <c r="E1697" s="11"/>
      <c r="F1697" s="11" t="s">
        <v>18</v>
      </c>
      <c r="G1697" s="13"/>
      <c r="H1697" s="45" t="s">
        <v>16</v>
      </c>
      <c r="I1697" s="47"/>
      <c r="J1697" s="12" t="s">
        <v>4506</v>
      </c>
      <c r="K1697" s="13" t="s">
        <v>8468</v>
      </c>
      <c r="L1697" s="99" t="str">
        <f t="shared" si="98"/>
        <v>W3265.1</v>
      </c>
      <c r="M1697" s="45"/>
      <c r="N1697" s="47"/>
      <c r="O1697" s="47"/>
      <c r="P1697" s="47"/>
      <c r="Q1697" s="45"/>
      <c r="R1697" s="45"/>
      <c r="S1697" s="48"/>
    </row>
    <row r="1698" spans="1:19" s="49" customFormat="1" ht="14.15" customHeight="1">
      <c r="A1698" s="45"/>
      <c r="B1698" s="44" t="s">
        <v>6635</v>
      </c>
      <c r="C1698" s="50"/>
      <c r="D1698" s="10" t="s">
        <v>29</v>
      </c>
      <c r="E1698" s="11"/>
      <c r="F1698" s="11" t="s">
        <v>18</v>
      </c>
      <c r="G1698" s="13"/>
      <c r="H1698" s="45" t="s">
        <v>16</v>
      </c>
      <c r="I1698" s="47"/>
      <c r="J1698" s="12" t="s">
        <v>4507</v>
      </c>
      <c r="K1698" s="13" t="s">
        <v>8469</v>
      </c>
      <c r="L1698" s="99" t="str">
        <f t="shared" si="98"/>
        <v>W3265.2</v>
      </c>
      <c r="M1698" s="13"/>
      <c r="N1698" s="47"/>
      <c r="O1698" s="47"/>
      <c r="P1698" s="47"/>
      <c r="Q1698" s="45"/>
      <c r="R1698" s="45"/>
      <c r="S1698" s="48"/>
    </row>
    <row r="1699" spans="1:19" s="49" customFormat="1" ht="14.15" customHeight="1">
      <c r="A1699" s="43" t="s">
        <v>6680</v>
      </c>
      <c r="B1699" s="44" t="s">
        <v>6635</v>
      </c>
      <c r="C1699" s="50"/>
      <c r="D1699" s="10" t="s">
        <v>29</v>
      </c>
      <c r="E1699" s="11"/>
      <c r="F1699" s="11" t="s">
        <v>18</v>
      </c>
      <c r="G1699" s="13"/>
      <c r="H1699" s="45" t="s">
        <v>16</v>
      </c>
      <c r="I1699" s="47"/>
      <c r="J1699" s="12" t="s">
        <v>6552</v>
      </c>
      <c r="K1699" s="13" t="s">
        <v>8470</v>
      </c>
      <c r="L1699" s="99" t="str">
        <f t="shared" si="98"/>
        <v>W3265.3</v>
      </c>
      <c r="M1699" s="13" t="s">
        <v>17</v>
      </c>
      <c r="N1699" s="13"/>
      <c r="O1699" s="13"/>
      <c r="P1699" s="47"/>
      <c r="Q1699" s="45" t="s">
        <v>142</v>
      </c>
      <c r="R1699" s="45" t="s">
        <v>5621</v>
      </c>
      <c r="S1699" s="48"/>
    </row>
    <row r="1700" spans="1:19" s="49" customFormat="1" ht="14.15" customHeight="1">
      <c r="A1700" s="43" t="s">
        <v>6680</v>
      </c>
      <c r="B1700" s="44" t="s">
        <v>6635</v>
      </c>
      <c r="C1700" s="50"/>
      <c r="D1700" s="10" t="s">
        <v>29</v>
      </c>
      <c r="E1700" s="11"/>
      <c r="F1700" s="11" t="s">
        <v>18</v>
      </c>
      <c r="G1700" s="13"/>
      <c r="H1700" s="45" t="s">
        <v>16</v>
      </c>
      <c r="I1700" s="47"/>
      <c r="J1700" s="12" t="s">
        <v>6553</v>
      </c>
      <c r="K1700" s="13" t="s">
        <v>8471</v>
      </c>
      <c r="L1700" s="99" t="str">
        <f t="shared" si="98"/>
        <v>W3265.4</v>
      </c>
      <c r="M1700" s="13" t="s">
        <v>17</v>
      </c>
      <c r="N1700" s="13"/>
      <c r="O1700" s="13"/>
      <c r="P1700" s="47"/>
      <c r="Q1700" s="45" t="s">
        <v>142</v>
      </c>
      <c r="R1700" s="45" t="s">
        <v>5621</v>
      </c>
      <c r="S1700" s="48"/>
    </row>
    <row r="1701" spans="1:19" s="49" customFormat="1" ht="14.15" customHeight="1">
      <c r="A1701" s="45"/>
      <c r="B1701" s="44" t="s">
        <v>6635</v>
      </c>
      <c r="C1701" s="50"/>
      <c r="D1701" s="10" t="s">
        <v>29</v>
      </c>
      <c r="E1701" s="11"/>
      <c r="F1701" s="11" t="s">
        <v>18</v>
      </c>
      <c r="G1701" s="13"/>
      <c r="H1701" s="45" t="s">
        <v>16</v>
      </c>
      <c r="I1701" s="47"/>
      <c r="J1701" s="12" t="s">
        <v>1371</v>
      </c>
      <c r="K1701" s="13" t="s">
        <v>8472</v>
      </c>
      <c r="L1701" s="99" t="str">
        <f t="shared" si="98"/>
        <v>W3265.5</v>
      </c>
      <c r="M1701" s="13"/>
      <c r="N1701" s="47"/>
      <c r="O1701" s="47"/>
      <c r="P1701" s="47"/>
      <c r="Q1701" s="45"/>
      <c r="R1701" s="45"/>
      <c r="S1701" s="48"/>
    </row>
    <row r="1702" spans="1:19" s="49" customFormat="1" ht="14.15" customHeight="1">
      <c r="A1702" s="45"/>
      <c r="B1702" s="44" t="s">
        <v>6635</v>
      </c>
      <c r="C1702" s="50"/>
      <c r="D1702" s="10" t="s">
        <v>29</v>
      </c>
      <c r="E1702" s="11"/>
      <c r="F1702" s="11" t="s">
        <v>18</v>
      </c>
      <c r="G1702" s="13"/>
      <c r="H1702" s="45" t="s">
        <v>16</v>
      </c>
      <c r="I1702" s="47"/>
      <c r="J1702" s="12" t="s">
        <v>1372</v>
      </c>
      <c r="K1702" s="13" t="s">
        <v>8473</v>
      </c>
      <c r="L1702" s="99" t="str">
        <f t="shared" si="98"/>
        <v>W3265.6</v>
      </c>
      <c r="M1702" s="13"/>
      <c r="N1702" s="47"/>
      <c r="O1702" s="47"/>
      <c r="P1702" s="47"/>
      <c r="Q1702" s="45"/>
      <c r="R1702" s="45"/>
      <c r="S1702" s="48"/>
    </row>
    <row r="1703" spans="1:19" s="49" customFormat="1" ht="14.15" customHeight="1">
      <c r="A1703" s="45"/>
      <c r="B1703" s="44" t="s">
        <v>6635</v>
      </c>
      <c r="C1703" s="50"/>
      <c r="D1703" s="10" t="s">
        <v>29</v>
      </c>
      <c r="E1703" s="11"/>
      <c r="F1703" s="11" t="s">
        <v>18</v>
      </c>
      <c r="G1703" s="13"/>
      <c r="H1703" s="45" t="s">
        <v>16</v>
      </c>
      <c r="I1703" s="47"/>
      <c r="J1703" s="12" t="s">
        <v>1373</v>
      </c>
      <c r="K1703" s="13" t="s">
        <v>8474</v>
      </c>
      <c r="L1703" s="99" t="str">
        <f t="shared" si="98"/>
        <v>W3265.7</v>
      </c>
      <c r="M1703" s="13"/>
      <c r="N1703" s="47"/>
      <c r="O1703" s="47"/>
      <c r="P1703" s="47"/>
      <c r="Q1703" s="45"/>
      <c r="R1703" s="45"/>
      <c r="S1703" s="48"/>
    </row>
    <row r="1704" spans="1:19" s="49" customFormat="1" ht="14.15" customHeight="1">
      <c r="A1704" s="45"/>
      <c r="B1704" s="44" t="s">
        <v>6635</v>
      </c>
      <c r="C1704" s="50"/>
      <c r="D1704" s="10" t="s">
        <v>29</v>
      </c>
      <c r="E1704" s="11"/>
      <c r="F1704" s="11" t="s">
        <v>18</v>
      </c>
      <c r="G1704" s="13"/>
      <c r="H1704" s="45" t="s">
        <v>16</v>
      </c>
      <c r="I1704" s="47"/>
      <c r="J1704" s="12" t="s">
        <v>1374</v>
      </c>
      <c r="K1704" s="13" t="s">
        <v>8475</v>
      </c>
      <c r="L1704" s="99" t="str">
        <f t="shared" si="98"/>
        <v>W3265.8</v>
      </c>
      <c r="M1704" s="13"/>
      <c r="N1704" s="47"/>
      <c r="O1704" s="47"/>
      <c r="P1704" s="47"/>
      <c r="Q1704" s="45"/>
      <c r="R1704" s="45"/>
      <c r="S1704" s="48"/>
    </row>
    <row r="1705" spans="1:19" s="49" customFormat="1" ht="14.15" customHeight="1">
      <c r="A1705" s="45"/>
      <c r="B1705" s="44" t="s">
        <v>6635</v>
      </c>
      <c r="C1705" s="50"/>
      <c r="D1705" s="10" t="s">
        <v>29</v>
      </c>
      <c r="E1705" s="11"/>
      <c r="F1705" s="11" t="s">
        <v>18</v>
      </c>
      <c r="G1705" s="13"/>
      <c r="H1705" s="45" t="s">
        <v>16</v>
      </c>
      <c r="I1705" s="47"/>
      <c r="J1705" s="12" t="s">
        <v>1375</v>
      </c>
      <c r="K1705" s="13" t="s">
        <v>8476</v>
      </c>
      <c r="L1705" s="99" t="str">
        <f t="shared" si="98"/>
        <v>W3265.9</v>
      </c>
      <c r="M1705" s="45"/>
      <c r="N1705" s="47"/>
      <c r="O1705" s="47"/>
      <c r="P1705" s="47"/>
      <c r="Q1705" s="45"/>
      <c r="R1705" s="45"/>
      <c r="S1705" s="48"/>
    </row>
    <row r="1706" spans="1:19" s="49" customFormat="1" ht="14.15" customHeight="1">
      <c r="A1706" s="45"/>
      <c r="B1706" s="44" t="s">
        <v>6635</v>
      </c>
      <c r="C1706" s="50"/>
      <c r="D1706" s="10" t="s">
        <v>29</v>
      </c>
      <c r="E1706" s="11"/>
      <c r="F1706" s="11" t="s">
        <v>18</v>
      </c>
      <c r="G1706" s="13"/>
      <c r="H1706" s="45" t="s">
        <v>16</v>
      </c>
      <c r="I1706" s="47"/>
      <c r="J1706" s="12" t="s">
        <v>1376</v>
      </c>
      <c r="K1706" s="13" t="s">
        <v>8477</v>
      </c>
      <c r="L1706" s="99" t="str">
        <f t="shared" si="98"/>
        <v>W3265.A</v>
      </c>
      <c r="M1706" s="45"/>
      <c r="N1706" s="47"/>
      <c r="O1706" s="47"/>
      <c r="P1706" s="47"/>
      <c r="Q1706" s="45"/>
      <c r="R1706" s="45"/>
      <c r="S1706" s="48"/>
    </row>
    <row r="1707" spans="1:19" s="49" customFormat="1" ht="14.15" customHeight="1">
      <c r="A1707" s="45"/>
      <c r="B1707" s="44" t="s">
        <v>6635</v>
      </c>
      <c r="C1707" s="50"/>
      <c r="D1707" s="10" t="s">
        <v>29</v>
      </c>
      <c r="E1707" s="11"/>
      <c r="F1707" s="11" t="s">
        <v>18</v>
      </c>
      <c r="G1707" s="13"/>
      <c r="H1707" s="45" t="s">
        <v>16</v>
      </c>
      <c r="I1707" s="47"/>
      <c r="J1707" s="12" t="s">
        <v>1377</v>
      </c>
      <c r="K1707" s="13" t="s">
        <v>8478</v>
      </c>
      <c r="L1707" s="99" t="str">
        <f t="shared" si="98"/>
        <v>W3265.B</v>
      </c>
      <c r="M1707" s="45"/>
      <c r="N1707" s="47"/>
      <c r="O1707" s="47"/>
      <c r="P1707" s="47"/>
      <c r="Q1707" s="45"/>
      <c r="R1707" s="45"/>
      <c r="S1707" s="48"/>
    </row>
    <row r="1708" spans="1:19" s="49" customFormat="1" ht="14.15" customHeight="1">
      <c r="A1708" s="45"/>
      <c r="B1708" s="44" t="s">
        <v>6635</v>
      </c>
      <c r="C1708" s="50"/>
      <c r="D1708" s="10" t="s">
        <v>29</v>
      </c>
      <c r="E1708" s="11"/>
      <c r="F1708" s="11" t="s">
        <v>18</v>
      </c>
      <c r="G1708" s="13"/>
      <c r="H1708" s="45" t="s">
        <v>16</v>
      </c>
      <c r="I1708" s="47"/>
      <c r="J1708" s="12" t="s">
        <v>1378</v>
      </c>
      <c r="K1708" s="13" t="s">
        <v>8479</v>
      </c>
      <c r="L1708" s="99" t="str">
        <f t="shared" si="98"/>
        <v>W3265.C</v>
      </c>
      <c r="M1708" s="45"/>
      <c r="N1708" s="47"/>
      <c r="O1708" s="47"/>
      <c r="P1708" s="47"/>
      <c r="Q1708" s="45"/>
      <c r="R1708" s="45"/>
      <c r="S1708" s="48"/>
    </row>
    <row r="1709" spans="1:19" s="49" customFormat="1" ht="14.15" customHeight="1">
      <c r="A1709" s="45"/>
      <c r="B1709" s="44" t="s">
        <v>6635</v>
      </c>
      <c r="C1709" s="50"/>
      <c r="D1709" s="10" t="s">
        <v>29</v>
      </c>
      <c r="E1709" s="11"/>
      <c r="F1709" s="11" t="s">
        <v>18</v>
      </c>
      <c r="G1709" s="13"/>
      <c r="H1709" s="45" t="s">
        <v>16</v>
      </c>
      <c r="I1709" s="47"/>
      <c r="J1709" s="12" t="s">
        <v>1379</v>
      </c>
      <c r="K1709" s="13" t="s">
        <v>8480</v>
      </c>
      <c r="L1709" s="99" t="str">
        <f t="shared" si="98"/>
        <v>W3265.D</v>
      </c>
      <c r="M1709" s="13"/>
      <c r="N1709" s="47"/>
      <c r="O1709" s="47"/>
      <c r="P1709" s="47"/>
      <c r="Q1709" s="45"/>
      <c r="R1709" s="45"/>
      <c r="S1709" s="48"/>
    </row>
    <row r="1710" spans="1:19" s="49" customFormat="1" ht="14.15" customHeight="1">
      <c r="A1710" s="45"/>
      <c r="B1710" s="44" t="s">
        <v>6635</v>
      </c>
      <c r="C1710" s="50"/>
      <c r="D1710" s="10" t="s">
        <v>29</v>
      </c>
      <c r="E1710" s="11"/>
      <c r="F1710" s="11" t="s">
        <v>18</v>
      </c>
      <c r="G1710" s="13"/>
      <c r="H1710" s="45" t="s">
        <v>16</v>
      </c>
      <c r="I1710" s="47"/>
      <c r="J1710" s="12" t="s">
        <v>1380</v>
      </c>
      <c r="K1710" s="13" t="s">
        <v>8481</v>
      </c>
      <c r="L1710" s="99" t="str">
        <f t="shared" si="98"/>
        <v>W3265.E</v>
      </c>
      <c r="M1710" s="13"/>
      <c r="N1710" s="47"/>
      <c r="O1710" s="47"/>
      <c r="P1710" s="47"/>
      <c r="Q1710" s="45"/>
      <c r="R1710" s="45"/>
      <c r="S1710" s="48"/>
    </row>
    <row r="1711" spans="1:19" s="49" customFormat="1" ht="14.15" customHeight="1">
      <c r="A1711" s="45"/>
      <c r="B1711" s="44" t="s">
        <v>6635</v>
      </c>
      <c r="C1711" s="50"/>
      <c r="D1711" s="10" t="s">
        <v>29</v>
      </c>
      <c r="E1711" s="11"/>
      <c r="F1711" s="11" t="s">
        <v>18</v>
      </c>
      <c r="G1711" s="13"/>
      <c r="H1711" s="45" t="s">
        <v>16</v>
      </c>
      <c r="I1711" s="47"/>
      <c r="J1711" s="12" t="s">
        <v>1381</v>
      </c>
      <c r="K1711" s="13" t="s">
        <v>8482</v>
      </c>
      <c r="L1711" s="99" t="str">
        <f t="shared" si="98"/>
        <v>W3265.F</v>
      </c>
      <c r="M1711" s="13"/>
      <c r="N1711" s="47"/>
      <c r="O1711" s="47"/>
      <c r="P1711" s="47"/>
      <c r="Q1711" s="45"/>
      <c r="R1711" s="45"/>
      <c r="S1711" s="48"/>
    </row>
    <row r="1712" spans="1:19" s="49" customFormat="1" ht="14.15" customHeight="1">
      <c r="A1712" s="45"/>
      <c r="B1712" s="44" t="s">
        <v>6635</v>
      </c>
      <c r="C1712" s="50"/>
      <c r="D1712" s="10" t="s">
        <v>29</v>
      </c>
      <c r="E1712" s="11"/>
      <c r="F1712" s="11" t="s">
        <v>18</v>
      </c>
      <c r="G1712" s="13"/>
      <c r="H1712" s="45" t="s">
        <v>16</v>
      </c>
      <c r="I1712" s="47"/>
      <c r="J1712" s="12" t="s">
        <v>1382</v>
      </c>
      <c r="K1712" s="13" t="s">
        <v>8483</v>
      </c>
      <c r="L1712" s="99" t="str">
        <f t="shared" si="98"/>
        <v>W3266.0</v>
      </c>
      <c r="M1712" s="45"/>
      <c r="N1712" s="47"/>
      <c r="O1712" s="47"/>
      <c r="P1712" s="47"/>
      <c r="Q1712" s="45"/>
      <c r="R1712" s="45"/>
      <c r="S1712" s="48"/>
    </row>
    <row r="1713" spans="1:19" s="49" customFormat="1" ht="14.15" customHeight="1">
      <c r="A1713" s="45"/>
      <c r="B1713" s="44" t="s">
        <v>6635</v>
      </c>
      <c r="C1713" s="50"/>
      <c r="D1713" s="10" t="s">
        <v>29</v>
      </c>
      <c r="E1713" s="11"/>
      <c r="F1713" s="11" t="s">
        <v>18</v>
      </c>
      <c r="G1713" s="13"/>
      <c r="H1713" s="45" t="s">
        <v>16</v>
      </c>
      <c r="I1713" s="47"/>
      <c r="J1713" s="12" t="s">
        <v>1383</v>
      </c>
      <c r="K1713" s="13" t="s">
        <v>8484</v>
      </c>
      <c r="L1713" s="99" t="str">
        <f t="shared" si="98"/>
        <v>W3266.1</v>
      </c>
      <c r="M1713" s="13"/>
      <c r="N1713" s="47"/>
      <c r="O1713" s="47"/>
      <c r="P1713" s="47"/>
      <c r="Q1713" s="45"/>
      <c r="R1713" s="45"/>
      <c r="S1713" s="48"/>
    </row>
    <row r="1714" spans="1:19" s="49" customFormat="1" ht="14.15" customHeight="1">
      <c r="A1714" s="43" t="s">
        <v>6680</v>
      </c>
      <c r="B1714" s="44" t="s">
        <v>6635</v>
      </c>
      <c r="C1714" s="50"/>
      <c r="D1714" s="10" t="s">
        <v>29</v>
      </c>
      <c r="E1714" s="11"/>
      <c r="F1714" s="11" t="s">
        <v>18</v>
      </c>
      <c r="G1714" s="13"/>
      <c r="H1714" s="45" t="s">
        <v>16</v>
      </c>
      <c r="I1714" s="47"/>
      <c r="J1714" s="12" t="s">
        <v>6554</v>
      </c>
      <c r="K1714" s="13" t="s">
        <v>8485</v>
      </c>
      <c r="L1714" s="99" t="str">
        <f t="shared" si="98"/>
        <v>W3266.2</v>
      </c>
      <c r="M1714" s="13" t="s">
        <v>17</v>
      </c>
      <c r="N1714" s="13"/>
      <c r="O1714" s="13"/>
      <c r="P1714" s="47"/>
      <c r="Q1714" s="45" t="s">
        <v>142</v>
      </c>
      <c r="R1714" s="45" t="s">
        <v>5621</v>
      </c>
      <c r="S1714" s="48"/>
    </row>
    <row r="1715" spans="1:19" s="49" customFormat="1" ht="14.15" customHeight="1">
      <c r="A1715" s="43" t="s">
        <v>6680</v>
      </c>
      <c r="B1715" s="44" t="s">
        <v>6635</v>
      </c>
      <c r="C1715" s="50"/>
      <c r="D1715" s="10" t="s">
        <v>29</v>
      </c>
      <c r="E1715" s="11"/>
      <c r="F1715" s="11" t="s">
        <v>18</v>
      </c>
      <c r="G1715" s="13"/>
      <c r="H1715" s="45" t="s">
        <v>16</v>
      </c>
      <c r="I1715" s="47"/>
      <c r="J1715" s="12" t="s">
        <v>6555</v>
      </c>
      <c r="K1715" s="13" t="s">
        <v>8486</v>
      </c>
      <c r="L1715" s="99" t="str">
        <f t="shared" si="98"/>
        <v>W3266.3</v>
      </c>
      <c r="M1715" s="13" t="s">
        <v>17</v>
      </c>
      <c r="N1715" s="13"/>
      <c r="O1715" s="13"/>
      <c r="P1715" s="47"/>
      <c r="Q1715" s="45" t="s">
        <v>142</v>
      </c>
      <c r="R1715" s="45" t="s">
        <v>5621</v>
      </c>
      <c r="S1715" s="48"/>
    </row>
    <row r="1716" spans="1:19" s="49" customFormat="1" ht="14.15" customHeight="1">
      <c r="A1716" s="43" t="s">
        <v>6680</v>
      </c>
      <c r="B1716" s="44" t="s">
        <v>6635</v>
      </c>
      <c r="C1716" s="50"/>
      <c r="D1716" s="10" t="s">
        <v>29</v>
      </c>
      <c r="E1716" s="11"/>
      <c r="F1716" s="11" t="s">
        <v>18</v>
      </c>
      <c r="G1716" s="13"/>
      <c r="H1716" s="45" t="s">
        <v>16</v>
      </c>
      <c r="I1716" s="47"/>
      <c r="J1716" s="12" t="s">
        <v>6556</v>
      </c>
      <c r="K1716" s="13" t="s">
        <v>8487</v>
      </c>
      <c r="L1716" s="99" t="str">
        <f t="shared" si="98"/>
        <v>W3266.4</v>
      </c>
      <c r="M1716" s="13" t="s">
        <v>17</v>
      </c>
      <c r="N1716" s="13"/>
      <c r="O1716" s="13"/>
      <c r="P1716" s="47"/>
      <c r="Q1716" s="45" t="s">
        <v>142</v>
      </c>
      <c r="R1716" s="45" t="s">
        <v>5621</v>
      </c>
      <c r="S1716" s="48"/>
    </row>
    <row r="1717" spans="1:19" s="49" customFormat="1" ht="14.15" customHeight="1">
      <c r="A1717" s="43" t="s">
        <v>6680</v>
      </c>
      <c r="B1717" s="44" t="s">
        <v>6635</v>
      </c>
      <c r="C1717" s="50"/>
      <c r="D1717" s="10" t="s">
        <v>29</v>
      </c>
      <c r="E1717" s="11"/>
      <c r="F1717" s="11" t="s">
        <v>18</v>
      </c>
      <c r="G1717" s="13"/>
      <c r="H1717" s="45" t="s">
        <v>16</v>
      </c>
      <c r="I1717" s="47"/>
      <c r="J1717" s="12" t="s">
        <v>6557</v>
      </c>
      <c r="K1717" s="13" t="s">
        <v>8488</v>
      </c>
      <c r="L1717" s="99" t="str">
        <f t="shared" si="98"/>
        <v>W3266.5</v>
      </c>
      <c r="M1717" s="13" t="s">
        <v>17</v>
      </c>
      <c r="N1717" s="13"/>
      <c r="O1717" s="13"/>
      <c r="P1717" s="47"/>
      <c r="Q1717" s="45" t="s">
        <v>142</v>
      </c>
      <c r="R1717" s="45" t="s">
        <v>5621</v>
      </c>
      <c r="S1717" s="48"/>
    </row>
    <row r="1718" spans="1:19" s="49" customFormat="1" ht="14.15" customHeight="1">
      <c r="A1718" s="43" t="s">
        <v>6680</v>
      </c>
      <c r="B1718" s="44" t="s">
        <v>6635</v>
      </c>
      <c r="C1718" s="50"/>
      <c r="D1718" s="10" t="s">
        <v>29</v>
      </c>
      <c r="E1718" s="11"/>
      <c r="F1718" s="11" t="s">
        <v>18</v>
      </c>
      <c r="G1718" s="13"/>
      <c r="H1718" s="45" t="s">
        <v>16</v>
      </c>
      <c r="I1718" s="47"/>
      <c r="J1718" s="12" t="s">
        <v>6558</v>
      </c>
      <c r="K1718" s="13" t="s">
        <v>8489</v>
      </c>
      <c r="L1718" s="99" t="str">
        <f t="shared" si="98"/>
        <v>W3266.6</v>
      </c>
      <c r="M1718" s="13" t="s">
        <v>17</v>
      </c>
      <c r="N1718" s="13"/>
      <c r="O1718" s="13"/>
      <c r="P1718" s="47"/>
      <c r="Q1718" s="45" t="s">
        <v>142</v>
      </c>
      <c r="R1718" s="45" t="s">
        <v>5621</v>
      </c>
      <c r="S1718" s="48"/>
    </row>
    <row r="1719" spans="1:19" s="49" customFormat="1" ht="14.15" customHeight="1">
      <c r="A1719" s="43" t="s">
        <v>6680</v>
      </c>
      <c r="B1719" s="44" t="s">
        <v>6635</v>
      </c>
      <c r="C1719" s="50"/>
      <c r="D1719" s="10" t="s">
        <v>29</v>
      </c>
      <c r="E1719" s="11"/>
      <c r="F1719" s="11" t="s">
        <v>18</v>
      </c>
      <c r="G1719" s="13"/>
      <c r="H1719" s="45" t="s">
        <v>16</v>
      </c>
      <c r="I1719" s="47"/>
      <c r="J1719" s="12" t="s">
        <v>6559</v>
      </c>
      <c r="K1719" s="13" t="s">
        <v>8490</v>
      </c>
      <c r="L1719" s="99" t="str">
        <f t="shared" si="98"/>
        <v>W3266.7</v>
      </c>
      <c r="M1719" s="13" t="s">
        <v>17</v>
      </c>
      <c r="N1719" s="13"/>
      <c r="O1719" s="13"/>
      <c r="P1719" s="47"/>
      <c r="Q1719" s="45" t="s">
        <v>142</v>
      </c>
      <c r="R1719" s="45" t="s">
        <v>5621</v>
      </c>
      <c r="S1719" s="48"/>
    </row>
    <row r="1720" spans="1:19" s="49" customFormat="1" ht="14.15" customHeight="1">
      <c r="A1720" s="43" t="s">
        <v>6680</v>
      </c>
      <c r="B1720" s="44" t="s">
        <v>6635</v>
      </c>
      <c r="C1720" s="50"/>
      <c r="D1720" s="10" t="s">
        <v>29</v>
      </c>
      <c r="E1720" s="11"/>
      <c r="F1720" s="11" t="s">
        <v>18</v>
      </c>
      <c r="G1720" s="13"/>
      <c r="H1720" s="45" t="s">
        <v>16</v>
      </c>
      <c r="I1720" s="47"/>
      <c r="J1720" s="12" t="s">
        <v>6560</v>
      </c>
      <c r="K1720" s="13" t="s">
        <v>8491</v>
      </c>
      <c r="L1720" s="99" t="str">
        <f t="shared" si="98"/>
        <v>W3266.8</v>
      </c>
      <c r="M1720" s="13" t="s">
        <v>17</v>
      </c>
      <c r="N1720" s="13"/>
      <c r="O1720" s="13"/>
      <c r="P1720" s="47"/>
      <c r="Q1720" s="45" t="s">
        <v>142</v>
      </c>
      <c r="R1720" s="45" t="s">
        <v>5621</v>
      </c>
      <c r="S1720" s="48"/>
    </row>
    <row r="1721" spans="1:19" s="49" customFormat="1" ht="14.15" customHeight="1">
      <c r="A1721" s="45"/>
      <c r="B1721" s="44" t="s">
        <v>6635</v>
      </c>
      <c r="C1721" s="50"/>
      <c r="D1721" s="10" t="s">
        <v>29</v>
      </c>
      <c r="E1721" s="11"/>
      <c r="F1721" s="11" t="s">
        <v>18</v>
      </c>
      <c r="G1721" s="13"/>
      <c r="H1721" s="45" t="s">
        <v>16</v>
      </c>
      <c r="I1721" s="47"/>
      <c r="J1721" s="12" t="s">
        <v>4530</v>
      </c>
      <c r="K1721" s="13" t="s">
        <v>8492</v>
      </c>
      <c r="L1721" s="99" t="str">
        <f t="shared" si="98"/>
        <v>W3266.9</v>
      </c>
      <c r="M1721" s="45"/>
      <c r="N1721" s="47"/>
      <c r="O1721" s="47"/>
      <c r="P1721" s="47"/>
      <c r="Q1721" s="45"/>
      <c r="R1721" s="45"/>
      <c r="S1721" s="48"/>
    </row>
    <row r="1722" spans="1:19" s="49" customFormat="1" ht="14.15" customHeight="1">
      <c r="A1722" s="45"/>
      <c r="B1722" s="44" t="s">
        <v>6635</v>
      </c>
      <c r="C1722" s="50"/>
      <c r="D1722" s="10" t="s">
        <v>29</v>
      </c>
      <c r="E1722" s="11"/>
      <c r="F1722" s="11" t="s">
        <v>18</v>
      </c>
      <c r="G1722" s="13"/>
      <c r="H1722" s="45" t="s">
        <v>16</v>
      </c>
      <c r="I1722" s="47"/>
      <c r="J1722" s="12" t="s">
        <v>4531</v>
      </c>
      <c r="K1722" s="13" t="s">
        <v>8493</v>
      </c>
      <c r="L1722" s="99" t="str">
        <f t="shared" si="98"/>
        <v>W3266.A</v>
      </c>
      <c r="M1722" s="45"/>
      <c r="N1722" s="47"/>
      <c r="O1722" s="47"/>
      <c r="P1722" s="47"/>
      <c r="Q1722" s="45"/>
      <c r="R1722" s="45"/>
      <c r="S1722" s="48"/>
    </row>
    <row r="1723" spans="1:19" s="49" customFormat="1" ht="14.15" customHeight="1">
      <c r="A1723" s="45"/>
      <c r="B1723" s="44" t="s">
        <v>6635</v>
      </c>
      <c r="C1723" s="50"/>
      <c r="D1723" s="10" t="s">
        <v>29</v>
      </c>
      <c r="E1723" s="11"/>
      <c r="F1723" s="11" t="s">
        <v>18</v>
      </c>
      <c r="G1723" s="13"/>
      <c r="H1723" s="45" t="s">
        <v>16</v>
      </c>
      <c r="I1723" s="47"/>
      <c r="J1723" s="12" t="s">
        <v>4532</v>
      </c>
      <c r="K1723" s="13" t="s">
        <v>8494</v>
      </c>
      <c r="L1723" s="99" t="str">
        <f t="shared" si="98"/>
        <v>W3266.B</v>
      </c>
      <c r="M1723" s="45"/>
      <c r="N1723" s="47"/>
      <c r="O1723" s="47"/>
      <c r="P1723" s="47"/>
      <c r="Q1723" s="45"/>
      <c r="R1723" s="45"/>
      <c r="S1723" s="48"/>
    </row>
    <row r="1724" spans="1:19" s="49" customFormat="1" ht="14.15" customHeight="1">
      <c r="A1724" s="45"/>
      <c r="B1724" s="44" t="s">
        <v>6635</v>
      </c>
      <c r="C1724" s="50"/>
      <c r="D1724" s="10" t="s">
        <v>29</v>
      </c>
      <c r="E1724" s="11"/>
      <c r="F1724" s="11" t="s">
        <v>18</v>
      </c>
      <c r="G1724" s="13"/>
      <c r="H1724" s="45" t="s">
        <v>16</v>
      </c>
      <c r="I1724" s="47"/>
      <c r="J1724" s="12" t="s">
        <v>4533</v>
      </c>
      <c r="K1724" s="13" t="s">
        <v>8495</v>
      </c>
      <c r="L1724" s="99" t="str">
        <f t="shared" si="98"/>
        <v>W3266.C</v>
      </c>
      <c r="M1724" s="45"/>
      <c r="N1724" s="47"/>
      <c r="O1724" s="47"/>
      <c r="P1724" s="47"/>
      <c r="Q1724" s="45"/>
      <c r="R1724" s="45"/>
      <c r="S1724" s="48"/>
    </row>
    <row r="1725" spans="1:19" s="49" customFormat="1" ht="14.15" customHeight="1">
      <c r="A1725" s="45"/>
      <c r="B1725" s="44" t="s">
        <v>6635</v>
      </c>
      <c r="C1725" s="50"/>
      <c r="D1725" s="10" t="s">
        <v>29</v>
      </c>
      <c r="E1725" s="11"/>
      <c r="F1725" s="11" t="s">
        <v>18</v>
      </c>
      <c r="G1725" s="13"/>
      <c r="H1725" s="45" t="s">
        <v>16</v>
      </c>
      <c r="I1725" s="47"/>
      <c r="J1725" s="12" t="s">
        <v>4534</v>
      </c>
      <c r="K1725" s="13" t="s">
        <v>8496</v>
      </c>
      <c r="L1725" s="99" t="str">
        <f t="shared" si="98"/>
        <v>W3266.D</v>
      </c>
      <c r="M1725" s="45"/>
      <c r="N1725" s="47"/>
      <c r="O1725" s="47"/>
      <c r="P1725" s="47"/>
      <c r="Q1725" s="45"/>
      <c r="R1725" s="45"/>
      <c r="S1725" s="48"/>
    </row>
    <row r="1726" spans="1:19" s="49" customFormat="1" ht="14.15" customHeight="1">
      <c r="A1726" s="45"/>
      <c r="B1726" s="44" t="s">
        <v>6635</v>
      </c>
      <c r="C1726" s="50"/>
      <c r="D1726" s="10" t="s">
        <v>29</v>
      </c>
      <c r="E1726" s="11"/>
      <c r="F1726" s="11" t="s">
        <v>18</v>
      </c>
      <c r="G1726" s="13"/>
      <c r="H1726" s="45" t="s">
        <v>16</v>
      </c>
      <c r="I1726" s="47"/>
      <c r="J1726" s="12" t="s">
        <v>4535</v>
      </c>
      <c r="K1726" s="13" t="s">
        <v>8497</v>
      </c>
      <c r="L1726" s="99" t="str">
        <f t="shared" si="98"/>
        <v>W3266.E</v>
      </c>
      <c r="M1726" s="45"/>
      <c r="N1726" s="47"/>
      <c r="O1726" s="47"/>
      <c r="P1726" s="47"/>
      <c r="Q1726" s="45"/>
      <c r="R1726" s="45"/>
      <c r="S1726" s="48"/>
    </row>
    <row r="1727" spans="1:19" s="49" customFormat="1" ht="14.15" customHeight="1">
      <c r="A1727" s="45"/>
      <c r="B1727" s="44" t="s">
        <v>6635</v>
      </c>
      <c r="C1727" s="50"/>
      <c r="D1727" s="10" t="s">
        <v>29</v>
      </c>
      <c r="E1727" s="11"/>
      <c r="F1727" s="11" t="s">
        <v>18</v>
      </c>
      <c r="G1727" s="13"/>
      <c r="H1727" s="45" t="s">
        <v>16</v>
      </c>
      <c r="I1727" s="47"/>
      <c r="J1727" s="12" t="s">
        <v>4536</v>
      </c>
      <c r="K1727" s="13" t="s">
        <v>8498</v>
      </c>
      <c r="L1727" s="99" t="str">
        <f t="shared" si="98"/>
        <v>W3266.F</v>
      </c>
      <c r="M1727" s="45"/>
      <c r="N1727" s="47"/>
      <c r="O1727" s="47"/>
      <c r="P1727" s="47"/>
      <c r="Q1727" s="45"/>
      <c r="R1727" s="45"/>
      <c r="S1727" s="48"/>
    </row>
    <row r="1728" spans="1:19" s="49" customFormat="1" ht="14.15" customHeight="1">
      <c r="A1728" s="45"/>
      <c r="B1728" s="44" t="s">
        <v>6635</v>
      </c>
      <c r="C1728" s="50"/>
      <c r="D1728" s="10" t="s">
        <v>29</v>
      </c>
      <c r="E1728" s="11"/>
      <c r="F1728" s="11" t="s">
        <v>18</v>
      </c>
      <c r="G1728" s="13"/>
      <c r="H1728" s="45" t="s">
        <v>16</v>
      </c>
      <c r="I1728" s="47"/>
      <c r="J1728" s="12" t="s">
        <v>4537</v>
      </c>
      <c r="K1728" s="13" t="s">
        <v>8499</v>
      </c>
      <c r="L1728" s="99" t="str">
        <f t="shared" si="98"/>
        <v>W3267.0</v>
      </c>
      <c r="M1728" s="45"/>
      <c r="N1728" s="47"/>
      <c r="O1728" s="47"/>
      <c r="P1728" s="47"/>
      <c r="Q1728" s="45"/>
      <c r="R1728" s="45"/>
      <c r="S1728" s="48"/>
    </row>
    <row r="1729" spans="1:19" s="49" customFormat="1" ht="14.15" customHeight="1">
      <c r="A1729" s="45"/>
      <c r="B1729" s="44" t="s">
        <v>6635</v>
      </c>
      <c r="C1729" s="50"/>
      <c r="D1729" s="10" t="s">
        <v>29</v>
      </c>
      <c r="E1729" s="11"/>
      <c r="F1729" s="11" t="s">
        <v>18</v>
      </c>
      <c r="G1729" s="13"/>
      <c r="H1729" s="45" t="s">
        <v>16</v>
      </c>
      <c r="I1729" s="47"/>
      <c r="J1729" s="12" t="s">
        <v>4538</v>
      </c>
      <c r="K1729" s="13" t="s">
        <v>8500</v>
      </c>
      <c r="L1729" s="99" t="str">
        <f t="shared" si="98"/>
        <v>W3267.1</v>
      </c>
      <c r="M1729" s="45"/>
      <c r="N1729" s="47"/>
      <c r="O1729" s="47"/>
      <c r="P1729" s="47"/>
      <c r="Q1729" s="45"/>
      <c r="R1729" s="45"/>
      <c r="S1729" s="48"/>
    </row>
    <row r="1730" spans="1:19" s="49" customFormat="1" ht="14.15" customHeight="1">
      <c r="A1730" s="45"/>
      <c r="B1730" s="44" t="s">
        <v>6635</v>
      </c>
      <c r="C1730" s="50"/>
      <c r="D1730" s="10" t="s">
        <v>29</v>
      </c>
      <c r="E1730" s="11"/>
      <c r="F1730" s="11" t="s">
        <v>18</v>
      </c>
      <c r="G1730" s="13"/>
      <c r="H1730" s="45" t="s">
        <v>16</v>
      </c>
      <c r="I1730" s="47"/>
      <c r="J1730" s="12" t="s">
        <v>4539</v>
      </c>
      <c r="K1730" s="13" t="s">
        <v>8501</v>
      </c>
      <c r="L1730" s="99" t="str">
        <f t="shared" si="98"/>
        <v>W3267.2</v>
      </c>
      <c r="M1730" s="45"/>
      <c r="N1730" s="47"/>
      <c r="O1730" s="47"/>
      <c r="P1730" s="47"/>
      <c r="Q1730" s="45"/>
      <c r="R1730" s="45"/>
      <c r="S1730" s="48"/>
    </row>
    <row r="1731" spans="1:19" s="49" customFormat="1" ht="14.15" customHeight="1">
      <c r="A1731" s="45"/>
      <c r="B1731" s="44" t="s">
        <v>6635</v>
      </c>
      <c r="C1731" s="50"/>
      <c r="D1731" s="10" t="s">
        <v>29</v>
      </c>
      <c r="E1731" s="11"/>
      <c r="F1731" s="11" t="s">
        <v>18</v>
      </c>
      <c r="G1731" s="13"/>
      <c r="H1731" s="45" t="s">
        <v>16</v>
      </c>
      <c r="I1731" s="47"/>
      <c r="J1731" s="12" t="s">
        <v>4540</v>
      </c>
      <c r="K1731" s="13" t="s">
        <v>8502</v>
      </c>
      <c r="L1731" s="99" t="str">
        <f t="shared" si="98"/>
        <v>W3267.3</v>
      </c>
      <c r="M1731" s="45"/>
      <c r="N1731" s="47"/>
      <c r="O1731" s="47"/>
      <c r="P1731" s="47"/>
      <c r="Q1731" s="45"/>
      <c r="R1731" s="45"/>
      <c r="S1731" s="48"/>
    </row>
    <row r="1732" spans="1:19" s="49" customFormat="1" ht="14.15" customHeight="1">
      <c r="A1732" s="45"/>
      <c r="B1732" s="44" t="s">
        <v>6635</v>
      </c>
      <c r="C1732" s="50"/>
      <c r="D1732" s="10" t="s">
        <v>29</v>
      </c>
      <c r="E1732" s="11"/>
      <c r="F1732" s="11" t="s">
        <v>18</v>
      </c>
      <c r="G1732" s="13"/>
      <c r="H1732" s="45" t="s">
        <v>16</v>
      </c>
      <c r="I1732" s="47"/>
      <c r="J1732" s="12" t="s">
        <v>4541</v>
      </c>
      <c r="K1732" s="13" t="s">
        <v>8503</v>
      </c>
      <c r="L1732" s="99" t="str">
        <f t="shared" si="98"/>
        <v>W3267.4</v>
      </c>
      <c r="M1732" s="45"/>
      <c r="N1732" s="47"/>
      <c r="O1732" s="47"/>
      <c r="P1732" s="47"/>
      <c r="Q1732" s="45"/>
      <c r="R1732" s="45"/>
      <c r="S1732" s="48"/>
    </row>
    <row r="1733" spans="1:19" s="49" customFormat="1" ht="14.15" customHeight="1">
      <c r="A1733" s="45"/>
      <c r="B1733" s="44" t="s">
        <v>6635</v>
      </c>
      <c r="C1733" s="50"/>
      <c r="D1733" s="10" t="s">
        <v>29</v>
      </c>
      <c r="E1733" s="11"/>
      <c r="F1733" s="11" t="s">
        <v>18</v>
      </c>
      <c r="G1733" s="13"/>
      <c r="H1733" s="45" t="s">
        <v>16</v>
      </c>
      <c r="I1733" s="47"/>
      <c r="J1733" s="12" t="s">
        <v>4542</v>
      </c>
      <c r="K1733" s="13" t="s">
        <v>8504</v>
      </c>
      <c r="L1733" s="99" t="str">
        <f t="shared" si="98"/>
        <v>W3267.5</v>
      </c>
      <c r="M1733" s="45"/>
      <c r="N1733" s="47"/>
      <c r="O1733" s="47"/>
      <c r="P1733" s="47"/>
      <c r="Q1733" s="45"/>
      <c r="R1733" s="45"/>
      <c r="S1733" s="48"/>
    </row>
    <row r="1734" spans="1:19" s="49" customFormat="1" ht="14.15" customHeight="1">
      <c r="A1734" s="43" t="s">
        <v>6680</v>
      </c>
      <c r="B1734" s="44" t="s">
        <v>6635</v>
      </c>
      <c r="C1734" s="50"/>
      <c r="D1734" s="10" t="s">
        <v>29</v>
      </c>
      <c r="E1734" s="11"/>
      <c r="F1734" s="11" t="s">
        <v>18</v>
      </c>
      <c r="G1734" s="13"/>
      <c r="H1734" s="45" t="s">
        <v>16</v>
      </c>
      <c r="I1734" s="47"/>
      <c r="J1734" s="12" t="s">
        <v>6561</v>
      </c>
      <c r="K1734" s="13" t="s">
        <v>8505</v>
      </c>
      <c r="L1734" s="99" t="str">
        <f t="shared" si="98"/>
        <v>W3267.6</v>
      </c>
      <c r="M1734" s="13" t="s">
        <v>17</v>
      </c>
      <c r="N1734" s="13"/>
      <c r="O1734" s="13"/>
      <c r="P1734" s="47"/>
      <c r="Q1734" s="45" t="s">
        <v>142</v>
      </c>
      <c r="R1734" s="45" t="s">
        <v>5621</v>
      </c>
      <c r="S1734" s="48"/>
    </row>
    <row r="1735" spans="1:19" s="49" customFormat="1" ht="14.15" customHeight="1">
      <c r="A1735" s="43" t="s">
        <v>6680</v>
      </c>
      <c r="B1735" s="44" t="s">
        <v>6635</v>
      </c>
      <c r="C1735" s="50"/>
      <c r="D1735" s="10" t="s">
        <v>29</v>
      </c>
      <c r="E1735" s="11"/>
      <c r="F1735" s="11" t="s">
        <v>18</v>
      </c>
      <c r="G1735" s="13"/>
      <c r="H1735" s="45" t="s">
        <v>16</v>
      </c>
      <c r="I1735" s="47"/>
      <c r="J1735" s="12" t="s">
        <v>6562</v>
      </c>
      <c r="K1735" s="13" t="s">
        <v>8506</v>
      </c>
      <c r="L1735" s="99" t="str">
        <f t="shared" si="98"/>
        <v>W3267.7</v>
      </c>
      <c r="M1735" s="13" t="s">
        <v>17</v>
      </c>
      <c r="N1735" s="13"/>
      <c r="O1735" s="13"/>
      <c r="P1735" s="47"/>
      <c r="Q1735" s="45" t="s">
        <v>142</v>
      </c>
      <c r="R1735" s="45" t="s">
        <v>5621</v>
      </c>
      <c r="S1735" s="48"/>
    </row>
    <row r="1736" spans="1:19" s="49" customFormat="1" ht="14.15" customHeight="1">
      <c r="A1736" s="43" t="s">
        <v>6680</v>
      </c>
      <c r="B1736" s="44" t="s">
        <v>6635</v>
      </c>
      <c r="C1736" s="50"/>
      <c r="D1736" s="10" t="s">
        <v>29</v>
      </c>
      <c r="E1736" s="11"/>
      <c r="F1736" s="11" t="s">
        <v>18</v>
      </c>
      <c r="G1736" s="13"/>
      <c r="H1736" s="45" t="s">
        <v>16</v>
      </c>
      <c r="I1736" s="47"/>
      <c r="J1736" s="12" t="s">
        <v>6563</v>
      </c>
      <c r="K1736" s="13" t="s">
        <v>8507</v>
      </c>
      <c r="L1736" s="99" t="str">
        <f t="shared" si="98"/>
        <v>W3267.8</v>
      </c>
      <c r="M1736" s="13" t="s">
        <v>17</v>
      </c>
      <c r="N1736" s="13"/>
      <c r="O1736" s="13"/>
      <c r="P1736" s="47"/>
      <c r="Q1736" s="45" t="s">
        <v>142</v>
      </c>
      <c r="R1736" s="45" t="s">
        <v>5621</v>
      </c>
      <c r="S1736" s="48"/>
    </row>
    <row r="1737" spans="1:19" s="49" customFormat="1" ht="14.15" customHeight="1">
      <c r="A1737" s="43" t="s">
        <v>6680</v>
      </c>
      <c r="B1737" s="44" t="s">
        <v>6635</v>
      </c>
      <c r="C1737" s="50"/>
      <c r="D1737" s="10" t="s">
        <v>29</v>
      </c>
      <c r="E1737" s="11"/>
      <c r="F1737" s="11" t="s">
        <v>18</v>
      </c>
      <c r="G1737" s="13"/>
      <c r="H1737" s="45" t="s">
        <v>16</v>
      </c>
      <c r="I1737" s="47"/>
      <c r="J1737" s="12" t="s">
        <v>6564</v>
      </c>
      <c r="K1737" s="13" t="s">
        <v>8508</v>
      </c>
      <c r="L1737" s="99" t="str">
        <f t="shared" si="98"/>
        <v>W3267.9</v>
      </c>
      <c r="M1737" s="13" t="s">
        <v>153</v>
      </c>
      <c r="N1737" s="13"/>
      <c r="O1737" s="13"/>
      <c r="P1737" s="47"/>
      <c r="Q1737" s="45" t="s">
        <v>142</v>
      </c>
      <c r="R1737" s="45" t="s">
        <v>5621</v>
      </c>
      <c r="S1737" s="48"/>
    </row>
    <row r="1738" spans="1:19" s="49" customFormat="1" ht="14.15" customHeight="1">
      <c r="A1738" s="43" t="s">
        <v>6680</v>
      </c>
      <c r="B1738" s="44" t="s">
        <v>6635</v>
      </c>
      <c r="C1738" s="50"/>
      <c r="D1738" s="10" t="s">
        <v>29</v>
      </c>
      <c r="E1738" s="11"/>
      <c r="F1738" s="11" t="s">
        <v>18</v>
      </c>
      <c r="G1738" s="13"/>
      <c r="H1738" s="45" t="s">
        <v>16</v>
      </c>
      <c r="I1738" s="47"/>
      <c r="J1738" s="12" t="s">
        <v>6565</v>
      </c>
      <c r="K1738" s="13" t="s">
        <v>8509</v>
      </c>
      <c r="L1738" s="99" t="str">
        <f t="shared" si="98"/>
        <v>W3267.A</v>
      </c>
      <c r="M1738" s="13" t="s">
        <v>153</v>
      </c>
      <c r="N1738" s="13"/>
      <c r="O1738" s="13"/>
      <c r="P1738" s="47"/>
      <c r="Q1738" s="45" t="s">
        <v>142</v>
      </c>
      <c r="R1738" s="45" t="s">
        <v>5621</v>
      </c>
      <c r="S1738" s="48"/>
    </row>
    <row r="1739" spans="1:19" s="49" customFormat="1" ht="14.15" customHeight="1">
      <c r="A1739" s="43" t="s">
        <v>6682</v>
      </c>
      <c r="B1739" s="44" t="s">
        <v>6635</v>
      </c>
      <c r="C1739" s="50"/>
      <c r="D1739" s="10" t="s">
        <v>29</v>
      </c>
      <c r="E1739" s="11"/>
      <c r="F1739" s="11" t="s">
        <v>18</v>
      </c>
      <c r="G1739" s="13"/>
      <c r="H1739" s="45" t="s">
        <v>16</v>
      </c>
      <c r="I1739" s="47"/>
      <c r="J1739" s="12" t="s">
        <v>6566</v>
      </c>
      <c r="K1739" s="13" t="s">
        <v>8510</v>
      </c>
      <c r="L1739" s="99" t="str">
        <f t="shared" si="98"/>
        <v>W3267.B</v>
      </c>
      <c r="M1739" s="13" t="s">
        <v>17</v>
      </c>
      <c r="N1739" s="13"/>
      <c r="O1739" s="13"/>
      <c r="P1739" s="47"/>
      <c r="Q1739" s="45" t="s">
        <v>142</v>
      </c>
      <c r="R1739" s="45" t="s">
        <v>5553</v>
      </c>
      <c r="S1739" s="48"/>
    </row>
    <row r="1740" spans="1:19" s="49" customFormat="1" ht="14.15" customHeight="1">
      <c r="A1740" s="43" t="s">
        <v>6682</v>
      </c>
      <c r="B1740" s="44" t="s">
        <v>6635</v>
      </c>
      <c r="C1740" s="50"/>
      <c r="D1740" s="10" t="s">
        <v>29</v>
      </c>
      <c r="E1740" s="11"/>
      <c r="F1740" s="11" t="s">
        <v>18</v>
      </c>
      <c r="G1740" s="13"/>
      <c r="H1740" s="45" t="s">
        <v>16</v>
      </c>
      <c r="I1740" s="47"/>
      <c r="J1740" s="12" t="s">
        <v>6567</v>
      </c>
      <c r="K1740" s="13" t="s">
        <v>8511</v>
      </c>
      <c r="L1740" s="99" t="str">
        <f t="shared" si="98"/>
        <v>W3267.C</v>
      </c>
      <c r="M1740" s="13" t="s">
        <v>17</v>
      </c>
      <c r="N1740" s="13"/>
      <c r="O1740" s="13"/>
      <c r="P1740" s="47"/>
      <c r="Q1740" s="45" t="s">
        <v>142</v>
      </c>
      <c r="R1740" s="45" t="s">
        <v>5553</v>
      </c>
      <c r="S1740" s="48"/>
    </row>
    <row r="1741" spans="1:19" s="49" customFormat="1" ht="14.15" customHeight="1">
      <c r="A1741" s="43" t="s">
        <v>6682</v>
      </c>
      <c r="B1741" s="44" t="s">
        <v>6635</v>
      </c>
      <c r="C1741" s="50"/>
      <c r="D1741" s="10" t="s">
        <v>29</v>
      </c>
      <c r="E1741" s="11"/>
      <c r="F1741" s="11" t="s">
        <v>18</v>
      </c>
      <c r="G1741" s="13"/>
      <c r="H1741" s="45" t="s">
        <v>16</v>
      </c>
      <c r="I1741" s="47"/>
      <c r="J1741" s="12" t="s">
        <v>6568</v>
      </c>
      <c r="K1741" s="13" t="s">
        <v>8512</v>
      </c>
      <c r="L1741" s="99" t="str">
        <f t="shared" si="98"/>
        <v>W3267.D</v>
      </c>
      <c r="M1741" s="13" t="s">
        <v>17</v>
      </c>
      <c r="N1741" s="13"/>
      <c r="O1741" s="13"/>
      <c r="P1741" s="47"/>
      <c r="Q1741" s="45" t="s">
        <v>142</v>
      </c>
      <c r="R1741" s="45" t="s">
        <v>5553</v>
      </c>
      <c r="S1741" s="48"/>
    </row>
    <row r="1742" spans="1:19" s="49" customFormat="1" ht="14.15" customHeight="1">
      <c r="A1742" s="45"/>
      <c r="B1742" s="44" t="s">
        <v>6635</v>
      </c>
      <c r="C1742" s="50"/>
      <c r="D1742" s="10" t="s">
        <v>29</v>
      </c>
      <c r="E1742" s="11"/>
      <c r="F1742" s="11" t="s">
        <v>18</v>
      </c>
      <c r="G1742" s="13"/>
      <c r="H1742" s="45" t="s">
        <v>16</v>
      </c>
      <c r="I1742" s="47"/>
      <c r="J1742" s="12" t="s">
        <v>4551</v>
      </c>
      <c r="K1742" s="13" t="s">
        <v>8513</v>
      </c>
      <c r="L1742" s="99" t="str">
        <f t="shared" si="98"/>
        <v>W3267.E</v>
      </c>
      <c r="M1742" s="13"/>
      <c r="N1742" s="47"/>
      <c r="O1742" s="47"/>
      <c r="P1742" s="47"/>
      <c r="Q1742" s="45"/>
      <c r="R1742" s="45"/>
      <c r="S1742" s="48"/>
    </row>
    <row r="1743" spans="1:19" s="49" customFormat="1" ht="14.15" customHeight="1">
      <c r="A1743" s="45"/>
      <c r="B1743" s="44" t="s">
        <v>6635</v>
      </c>
      <c r="C1743" s="50"/>
      <c r="D1743" s="10" t="s">
        <v>29</v>
      </c>
      <c r="E1743" s="11"/>
      <c r="F1743" s="11" t="s">
        <v>18</v>
      </c>
      <c r="G1743" s="13"/>
      <c r="H1743" s="45" t="s">
        <v>16</v>
      </c>
      <c r="I1743" s="47"/>
      <c r="J1743" s="12" t="s">
        <v>4552</v>
      </c>
      <c r="K1743" s="13" t="s">
        <v>8514</v>
      </c>
      <c r="L1743" s="99" t="str">
        <f t="shared" si="98"/>
        <v>W3267.F</v>
      </c>
      <c r="M1743" s="13"/>
      <c r="N1743" s="47"/>
      <c r="O1743" s="47"/>
      <c r="P1743" s="47"/>
      <c r="Q1743" s="45"/>
      <c r="R1743" s="45"/>
      <c r="S1743" s="48"/>
    </row>
    <row r="1744" spans="1:19" s="49" customFormat="1" ht="14.15" customHeight="1">
      <c r="A1744" s="45"/>
      <c r="B1744" s="44" t="s">
        <v>6635</v>
      </c>
      <c r="C1744" s="50"/>
      <c r="D1744" s="10" t="s">
        <v>29</v>
      </c>
      <c r="E1744" s="11"/>
      <c r="F1744" s="11" t="s">
        <v>18</v>
      </c>
      <c r="G1744" s="13"/>
      <c r="H1744" s="45" t="s">
        <v>16</v>
      </c>
      <c r="I1744" s="47"/>
      <c r="J1744" s="12" t="s">
        <v>4553</v>
      </c>
      <c r="K1744" s="13" t="s">
        <v>8515</v>
      </c>
      <c r="L1744" s="99" t="str">
        <f t="shared" si="98"/>
        <v>W3268.0</v>
      </c>
      <c r="M1744" s="13"/>
      <c r="N1744" s="47"/>
      <c r="O1744" s="47"/>
      <c r="P1744" s="47"/>
      <c r="Q1744" s="45"/>
      <c r="R1744" s="45"/>
      <c r="S1744" s="48"/>
    </row>
    <row r="1745" spans="1:19" s="49" customFormat="1" ht="14.15" customHeight="1">
      <c r="A1745" s="45"/>
      <c r="B1745" s="44" t="s">
        <v>6635</v>
      </c>
      <c r="C1745" s="50"/>
      <c r="D1745" s="10" t="s">
        <v>29</v>
      </c>
      <c r="E1745" s="11"/>
      <c r="F1745" s="11" t="s">
        <v>18</v>
      </c>
      <c r="G1745" s="13"/>
      <c r="H1745" s="45" t="s">
        <v>16</v>
      </c>
      <c r="I1745" s="47"/>
      <c r="J1745" s="12" t="s">
        <v>4554</v>
      </c>
      <c r="K1745" s="13" t="s">
        <v>8516</v>
      </c>
      <c r="L1745" s="99" t="str">
        <f t="shared" ref="L1745:L1808" si="99">"W"&amp;DEC2HEX(12800 + INT((ROW()-80)/16)) &amp; "." &amp; IF(MOD(ROW()-80,16)&lt;10,MOD(ROW()-80,16),CHAR(MOD(ROW()-80,16)+55))</f>
        <v>W3268.1</v>
      </c>
      <c r="M1745" s="13"/>
      <c r="N1745" s="47"/>
      <c r="O1745" s="47"/>
      <c r="P1745" s="47"/>
      <c r="Q1745" s="45"/>
      <c r="R1745" s="45"/>
      <c r="S1745" s="48"/>
    </row>
    <row r="1746" spans="1:19" s="49" customFormat="1" ht="14.15" customHeight="1">
      <c r="A1746" s="45"/>
      <c r="B1746" s="44" t="s">
        <v>6635</v>
      </c>
      <c r="C1746" s="50"/>
      <c r="D1746" s="10" t="s">
        <v>29</v>
      </c>
      <c r="E1746" s="11"/>
      <c r="F1746" s="11" t="s">
        <v>18</v>
      </c>
      <c r="G1746" s="13"/>
      <c r="H1746" s="45" t="s">
        <v>16</v>
      </c>
      <c r="I1746" s="47"/>
      <c r="J1746" s="12" t="s">
        <v>4555</v>
      </c>
      <c r="K1746" s="13" t="s">
        <v>8517</v>
      </c>
      <c r="L1746" s="99" t="str">
        <f t="shared" si="99"/>
        <v>W3268.2</v>
      </c>
      <c r="M1746" s="13"/>
      <c r="N1746" s="47"/>
      <c r="O1746" s="47"/>
      <c r="P1746" s="47"/>
      <c r="Q1746" s="45"/>
      <c r="R1746" s="45"/>
      <c r="S1746" s="48"/>
    </row>
    <row r="1747" spans="1:19" s="49" customFormat="1" ht="14.15" customHeight="1">
      <c r="A1747" s="45"/>
      <c r="B1747" s="44" t="s">
        <v>6635</v>
      </c>
      <c r="C1747" s="50"/>
      <c r="D1747" s="10" t="s">
        <v>29</v>
      </c>
      <c r="E1747" s="11"/>
      <c r="F1747" s="11" t="s">
        <v>18</v>
      </c>
      <c r="G1747" s="13"/>
      <c r="H1747" s="45" t="s">
        <v>16</v>
      </c>
      <c r="I1747" s="47"/>
      <c r="J1747" s="12" t="s">
        <v>4556</v>
      </c>
      <c r="K1747" s="13" t="s">
        <v>8518</v>
      </c>
      <c r="L1747" s="99" t="str">
        <f t="shared" si="99"/>
        <v>W3268.3</v>
      </c>
      <c r="M1747" s="13"/>
      <c r="N1747" s="47"/>
      <c r="O1747" s="47"/>
      <c r="P1747" s="47"/>
      <c r="Q1747" s="45"/>
      <c r="R1747" s="45"/>
      <c r="S1747" s="48"/>
    </row>
    <row r="1748" spans="1:19" s="49" customFormat="1" ht="14.15" customHeight="1">
      <c r="A1748" s="45"/>
      <c r="B1748" s="44" t="s">
        <v>6635</v>
      </c>
      <c r="C1748" s="50"/>
      <c r="D1748" s="10" t="s">
        <v>29</v>
      </c>
      <c r="E1748" s="11"/>
      <c r="F1748" s="11" t="s">
        <v>18</v>
      </c>
      <c r="G1748" s="13"/>
      <c r="H1748" s="45" t="s">
        <v>16</v>
      </c>
      <c r="I1748" s="47"/>
      <c r="J1748" s="12" t="s">
        <v>4557</v>
      </c>
      <c r="K1748" s="13" t="s">
        <v>8519</v>
      </c>
      <c r="L1748" s="99" t="str">
        <f t="shared" si="99"/>
        <v>W3268.4</v>
      </c>
      <c r="M1748" s="45"/>
      <c r="N1748" s="47"/>
      <c r="O1748" s="47"/>
      <c r="P1748" s="47"/>
      <c r="Q1748" s="45"/>
      <c r="R1748" s="45"/>
      <c r="S1748" s="48"/>
    </row>
    <row r="1749" spans="1:19" s="49" customFormat="1" ht="14.15" customHeight="1">
      <c r="A1749" s="45"/>
      <c r="B1749" s="44" t="s">
        <v>6635</v>
      </c>
      <c r="C1749" s="50"/>
      <c r="D1749" s="10" t="s">
        <v>29</v>
      </c>
      <c r="E1749" s="11"/>
      <c r="F1749" s="11" t="s">
        <v>18</v>
      </c>
      <c r="G1749" s="13"/>
      <c r="H1749" s="45" t="s">
        <v>16</v>
      </c>
      <c r="I1749" s="47"/>
      <c r="J1749" s="12" t="s">
        <v>4558</v>
      </c>
      <c r="K1749" s="13" t="s">
        <v>8520</v>
      </c>
      <c r="L1749" s="99" t="str">
        <f t="shared" si="99"/>
        <v>W3268.5</v>
      </c>
      <c r="M1749" s="45"/>
      <c r="N1749" s="47"/>
      <c r="O1749" s="47"/>
      <c r="P1749" s="47"/>
      <c r="Q1749" s="45"/>
      <c r="R1749" s="45"/>
      <c r="S1749" s="48"/>
    </row>
    <row r="1750" spans="1:19" s="49" customFormat="1" ht="14.15" customHeight="1">
      <c r="A1750" s="45"/>
      <c r="B1750" s="44" t="s">
        <v>6635</v>
      </c>
      <c r="C1750" s="50"/>
      <c r="D1750" s="10" t="s">
        <v>29</v>
      </c>
      <c r="E1750" s="11"/>
      <c r="F1750" s="11" t="s">
        <v>18</v>
      </c>
      <c r="G1750" s="13"/>
      <c r="H1750" s="45" t="s">
        <v>16</v>
      </c>
      <c r="I1750" s="47"/>
      <c r="J1750" s="12" t="s">
        <v>4559</v>
      </c>
      <c r="K1750" s="13" t="s">
        <v>8521</v>
      </c>
      <c r="L1750" s="99" t="str">
        <f t="shared" si="99"/>
        <v>W3268.6</v>
      </c>
      <c r="M1750" s="45"/>
      <c r="N1750" s="47"/>
      <c r="O1750" s="47"/>
      <c r="P1750" s="47"/>
      <c r="Q1750" s="45"/>
      <c r="R1750" s="45"/>
      <c r="S1750" s="48"/>
    </row>
    <row r="1751" spans="1:19" s="49" customFormat="1" ht="14.15" customHeight="1">
      <c r="A1751" s="45"/>
      <c r="B1751" s="44" t="s">
        <v>6635</v>
      </c>
      <c r="C1751" s="50"/>
      <c r="D1751" s="10" t="s">
        <v>29</v>
      </c>
      <c r="E1751" s="11"/>
      <c r="F1751" s="11" t="s">
        <v>18</v>
      </c>
      <c r="G1751" s="13"/>
      <c r="H1751" s="45" t="s">
        <v>16</v>
      </c>
      <c r="I1751" s="47"/>
      <c r="J1751" s="12" t="s">
        <v>4560</v>
      </c>
      <c r="K1751" s="13" t="s">
        <v>8522</v>
      </c>
      <c r="L1751" s="99" t="str">
        <f t="shared" si="99"/>
        <v>W3268.7</v>
      </c>
      <c r="M1751" s="45"/>
      <c r="N1751" s="47"/>
      <c r="O1751" s="47"/>
      <c r="P1751" s="47"/>
      <c r="Q1751" s="45"/>
      <c r="R1751" s="45"/>
      <c r="S1751" s="48"/>
    </row>
    <row r="1752" spans="1:19" s="49" customFormat="1" ht="14.15" customHeight="1">
      <c r="A1752" s="45"/>
      <c r="B1752" s="44" t="s">
        <v>6635</v>
      </c>
      <c r="C1752" s="50"/>
      <c r="D1752" s="10" t="s">
        <v>29</v>
      </c>
      <c r="E1752" s="11"/>
      <c r="F1752" s="11" t="s">
        <v>18</v>
      </c>
      <c r="G1752" s="13"/>
      <c r="H1752" s="45" t="s">
        <v>16</v>
      </c>
      <c r="I1752" s="47"/>
      <c r="J1752" s="12" t="s">
        <v>4561</v>
      </c>
      <c r="K1752" s="13" t="s">
        <v>8523</v>
      </c>
      <c r="L1752" s="99" t="str">
        <f t="shared" si="99"/>
        <v>W3268.8</v>
      </c>
      <c r="M1752" s="45"/>
      <c r="N1752" s="47"/>
      <c r="O1752" s="47"/>
      <c r="P1752" s="47"/>
      <c r="Q1752" s="45"/>
      <c r="R1752" s="45"/>
      <c r="S1752" s="48"/>
    </row>
    <row r="1753" spans="1:19" s="49" customFormat="1" ht="14.15" customHeight="1">
      <c r="A1753" s="45"/>
      <c r="B1753" s="44" t="s">
        <v>6635</v>
      </c>
      <c r="C1753" s="50"/>
      <c r="D1753" s="10" t="s">
        <v>29</v>
      </c>
      <c r="E1753" s="11"/>
      <c r="F1753" s="11" t="s">
        <v>18</v>
      </c>
      <c r="G1753" s="13"/>
      <c r="H1753" s="45" t="s">
        <v>16</v>
      </c>
      <c r="I1753" s="47"/>
      <c r="J1753" s="12" t="s">
        <v>4562</v>
      </c>
      <c r="K1753" s="13" t="s">
        <v>8524</v>
      </c>
      <c r="L1753" s="99" t="str">
        <f t="shared" si="99"/>
        <v>W3268.9</v>
      </c>
      <c r="M1753" s="45"/>
      <c r="N1753" s="47"/>
      <c r="O1753" s="47"/>
      <c r="P1753" s="47"/>
      <c r="Q1753" s="45"/>
      <c r="R1753" s="45"/>
      <c r="S1753" s="48"/>
    </row>
    <row r="1754" spans="1:19" s="49" customFormat="1" ht="14.15" customHeight="1">
      <c r="A1754" s="45"/>
      <c r="B1754" s="44" t="s">
        <v>6635</v>
      </c>
      <c r="C1754" s="50"/>
      <c r="D1754" s="10" t="s">
        <v>29</v>
      </c>
      <c r="E1754" s="11"/>
      <c r="F1754" s="11" t="s">
        <v>18</v>
      </c>
      <c r="G1754" s="13"/>
      <c r="H1754" s="45" t="s">
        <v>16</v>
      </c>
      <c r="I1754" s="47"/>
      <c r="J1754" s="12" t="s">
        <v>4563</v>
      </c>
      <c r="K1754" s="13" t="s">
        <v>8525</v>
      </c>
      <c r="L1754" s="99" t="str">
        <f t="shared" si="99"/>
        <v>W3268.A</v>
      </c>
      <c r="M1754" s="45"/>
      <c r="N1754" s="47"/>
      <c r="O1754" s="47"/>
      <c r="P1754" s="47"/>
      <c r="Q1754" s="45"/>
      <c r="R1754" s="45"/>
      <c r="S1754" s="48"/>
    </row>
    <row r="1755" spans="1:19" s="49" customFormat="1" ht="14.15" customHeight="1">
      <c r="A1755" s="45"/>
      <c r="B1755" s="44" t="s">
        <v>6635</v>
      </c>
      <c r="C1755" s="50"/>
      <c r="D1755" s="10" t="s">
        <v>29</v>
      </c>
      <c r="E1755" s="11"/>
      <c r="F1755" s="11" t="s">
        <v>18</v>
      </c>
      <c r="G1755" s="13"/>
      <c r="H1755" s="45" t="s">
        <v>16</v>
      </c>
      <c r="I1755" s="47"/>
      <c r="J1755" s="12" t="s">
        <v>4564</v>
      </c>
      <c r="K1755" s="13" t="s">
        <v>8526</v>
      </c>
      <c r="L1755" s="99" t="str">
        <f t="shared" si="99"/>
        <v>W3268.B</v>
      </c>
      <c r="M1755" s="45"/>
      <c r="N1755" s="47"/>
      <c r="O1755" s="47"/>
      <c r="P1755" s="47"/>
      <c r="Q1755" s="45"/>
      <c r="R1755" s="45"/>
      <c r="S1755" s="48"/>
    </row>
    <row r="1756" spans="1:19" s="49" customFormat="1" ht="14.15" customHeight="1">
      <c r="A1756" s="45"/>
      <c r="B1756" s="44" t="s">
        <v>6635</v>
      </c>
      <c r="C1756" s="50"/>
      <c r="D1756" s="10" t="s">
        <v>29</v>
      </c>
      <c r="E1756" s="11"/>
      <c r="F1756" s="11" t="s">
        <v>18</v>
      </c>
      <c r="G1756" s="13"/>
      <c r="H1756" s="45" t="s">
        <v>16</v>
      </c>
      <c r="I1756" s="47"/>
      <c r="J1756" s="12" t="s">
        <v>4565</v>
      </c>
      <c r="K1756" s="13" t="s">
        <v>8527</v>
      </c>
      <c r="L1756" s="99" t="str">
        <f t="shared" si="99"/>
        <v>W3268.C</v>
      </c>
      <c r="M1756" s="45"/>
      <c r="N1756" s="47"/>
      <c r="O1756" s="47"/>
      <c r="P1756" s="47"/>
      <c r="Q1756" s="45"/>
      <c r="R1756" s="45"/>
      <c r="S1756" s="48"/>
    </row>
    <row r="1757" spans="1:19" s="49" customFormat="1" ht="14.15" customHeight="1">
      <c r="A1757" s="45"/>
      <c r="B1757" s="44" t="s">
        <v>6635</v>
      </c>
      <c r="C1757" s="50"/>
      <c r="D1757" s="10" t="s">
        <v>29</v>
      </c>
      <c r="E1757" s="11"/>
      <c r="F1757" s="11" t="s">
        <v>18</v>
      </c>
      <c r="G1757" s="13"/>
      <c r="H1757" s="45" t="s">
        <v>16</v>
      </c>
      <c r="I1757" s="47"/>
      <c r="J1757" s="12" t="s">
        <v>4566</v>
      </c>
      <c r="K1757" s="13" t="s">
        <v>8528</v>
      </c>
      <c r="L1757" s="99" t="str">
        <f t="shared" si="99"/>
        <v>W3268.D</v>
      </c>
      <c r="M1757" s="45"/>
      <c r="N1757" s="47"/>
      <c r="O1757" s="47"/>
      <c r="P1757" s="47"/>
      <c r="Q1757" s="45"/>
      <c r="R1757" s="45"/>
      <c r="S1757" s="48"/>
    </row>
    <row r="1758" spans="1:19" s="49" customFormat="1" ht="14.15" customHeight="1">
      <c r="A1758" s="45"/>
      <c r="B1758" s="44" t="s">
        <v>6635</v>
      </c>
      <c r="C1758" s="50"/>
      <c r="D1758" s="10" t="s">
        <v>29</v>
      </c>
      <c r="E1758" s="11"/>
      <c r="F1758" s="11" t="s">
        <v>18</v>
      </c>
      <c r="G1758" s="13"/>
      <c r="H1758" s="45" t="s">
        <v>16</v>
      </c>
      <c r="I1758" s="47"/>
      <c r="J1758" s="12" t="s">
        <v>4567</v>
      </c>
      <c r="K1758" s="13" t="s">
        <v>8529</v>
      </c>
      <c r="L1758" s="99" t="str">
        <f t="shared" si="99"/>
        <v>W3268.E</v>
      </c>
      <c r="M1758" s="45"/>
      <c r="N1758" s="47"/>
      <c r="O1758" s="47"/>
      <c r="P1758" s="47"/>
      <c r="Q1758" s="45"/>
      <c r="R1758" s="45"/>
      <c r="S1758" s="48"/>
    </row>
    <row r="1759" spans="1:19" s="49" customFormat="1" ht="14.15" customHeight="1">
      <c r="A1759" s="43" t="s">
        <v>6682</v>
      </c>
      <c r="B1759" s="44" t="s">
        <v>6635</v>
      </c>
      <c r="C1759" s="50"/>
      <c r="D1759" s="10" t="s">
        <v>29</v>
      </c>
      <c r="E1759" s="11"/>
      <c r="F1759" s="11" t="s">
        <v>18</v>
      </c>
      <c r="G1759" s="13"/>
      <c r="H1759" s="45" t="s">
        <v>16</v>
      </c>
      <c r="I1759" s="47"/>
      <c r="J1759" s="12" t="s">
        <v>6569</v>
      </c>
      <c r="K1759" s="13" t="s">
        <v>8530</v>
      </c>
      <c r="L1759" s="99" t="str">
        <f t="shared" si="99"/>
        <v>W3268.F</v>
      </c>
      <c r="M1759" s="13" t="s">
        <v>17</v>
      </c>
      <c r="N1759" s="13"/>
      <c r="O1759" s="13"/>
      <c r="P1759" s="47"/>
      <c r="Q1759" s="45" t="s">
        <v>142</v>
      </c>
      <c r="R1759" s="45" t="s">
        <v>5552</v>
      </c>
      <c r="S1759" s="48"/>
    </row>
    <row r="1760" spans="1:19" s="49" customFormat="1" ht="14.15" customHeight="1">
      <c r="A1760" s="43" t="s">
        <v>6682</v>
      </c>
      <c r="B1760" s="44" t="s">
        <v>6635</v>
      </c>
      <c r="C1760" s="50"/>
      <c r="D1760" s="10" t="s">
        <v>29</v>
      </c>
      <c r="E1760" s="11"/>
      <c r="F1760" s="11" t="s">
        <v>18</v>
      </c>
      <c r="G1760" s="13"/>
      <c r="H1760" s="45" t="s">
        <v>16</v>
      </c>
      <c r="I1760" s="47"/>
      <c r="J1760" s="12" t="s">
        <v>6570</v>
      </c>
      <c r="K1760" s="13" t="s">
        <v>8531</v>
      </c>
      <c r="L1760" s="99" t="str">
        <f t="shared" si="99"/>
        <v>W3269.0</v>
      </c>
      <c r="M1760" s="13" t="s">
        <v>17</v>
      </c>
      <c r="N1760" s="13"/>
      <c r="O1760" s="13"/>
      <c r="P1760" s="47"/>
      <c r="Q1760" s="45" t="s">
        <v>142</v>
      </c>
      <c r="R1760" s="45" t="s">
        <v>5552</v>
      </c>
      <c r="S1760" s="48"/>
    </row>
    <row r="1761" spans="1:19" s="49" customFormat="1" ht="14.15" customHeight="1">
      <c r="A1761" s="45"/>
      <c r="B1761" s="44" t="s">
        <v>6635</v>
      </c>
      <c r="C1761" s="50"/>
      <c r="D1761" s="10" t="s">
        <v>29</v>
      </c>
      <c r="E1761" s="11"/>
      <c r="F1761" s="11" t="s">
        <v>18</v>
      </c>
      <c r="G1761" s="13"/>
      <c r="H1761" s="45" t="s">
        <v>16</v>
      </c>
      <c r="I1761" s="47"/>
      <c r="J1761" s="12" t="s">
        <v>1431</v>
      </c>
      <c r="K1761" s="13" t="s">
        <v>8532</v>
      </c>
      <c r="L1761" s="99" t="str">
        <f t="shared" si="99"/>
        <v>W3269.1</v>
      </c>
      <c r="M1761" s="45"/>
      <c r="N1761" s="47"/>
      <c r="O1761" s="47"/>
      <c r="P1761" s="47"/>
      <c r="Q1761" s="45"/>
      <c r="R1761" s="45"/>
      <c r="S1761" s="48"/>
    </row>
    <row r="1762" spans="1:19" s="49" customFormat="1" ht="14.15" customHeight="1">
      <c r="A1762" s="45"/>
      <c r="B1762" s="44" t="s">
        <v>6635</v>
      </c>
      <c r="C1762" s="50"/>
      <c r="D1762" s="10" t="s">
        <v>29</v>
      </c>
      <c r="E1762" s="11"/>
      <c r="F1762" s="11" t="s">
        <v>18</v>
      </c>
      <c r="G1762" s="13"/>
      <c r="H1762" s="45" t="s">
        <v>16</v>
      </c>
      <c r="I1762" s="47"/>
      <c r="J1762" s="12" t="s">
        <v>1432</v>
      </c>
      <c r="K1762" s="13" t="s">
        <v>8533</v>
      </c>
      <c r="L1762" s="99" t="str">
        <f t="shared" si="99"/>
        <v>W3269.2</v>
      </c>
      <c r="M1762" s="45"/>
      <c r="N1762" s="47"/>
      <c r="O1762" s="47"/>
      <c r="P1762" s="47"/>
      <c r="Q1762" s="45"/>
      <c r="R1762" s="45"/>
      <c r="S1762" s="48"/>
    </row>
    <row r="1763" spans="1:19" s="49" customFormat="1" ht="14.15" customHeight="1">
      <c r="A1763" s="45"/>
      <c r="B1763" s="44" t="s">
        <v>6635</v>
      </c>
      <c r="C1763" s="50"/>
      <c r="D1763" s="10" t="s">
        <v>29</v>
      </c>
      <c r="E1763" s="11"/>
      <c r="F1763" s="11" t="s">
        <v>18</v>
      </c>
      <c r="G1763" s="13"/>
      <c r="H1763" s="45" t="s">
        <v>16</v>
      </c>
      <c r="I1763" s="47"/>
      <c r="J1763" s="12" t="s">
        <v>1433</v>
      </c>
      <c r="K1763" s="13" t="s">
        <v>8534</v>
      </c>
      <c r="L1763" s="99" t="str">
        <f t="shared" si="99"/>
        <v>W3269.3</v>
      </c>
      <c r="M1763" s="45"/>
      <c r="N1763" s="47"/>
      <c r="O1763" s="47"/>
      <c r="P1763" s="47"/>
      <c r="Q1763" s="45"/>
      <c r="R1763" s="45"/>
      <c r="S1763" s="48"/>
    </row>
    <row r="1764" spans="1:19" s="49" customFormat="1" ht="14.15" customHeight="1">
      <c r="A1764" s="45"/>
      <c r="B1764" s="44" t="s">
        <v>6635</v>
      </c>
      <c r="C1764" s="50"/>
      <c r="D1764" s="10" t="s">
        <v>29</v>
      </c>
      <c r="E1764" s="11"/>
      <c r="F1764" s="11" t="s">
        <v>18</v>
      </c>
      <c r="G1764" s="13"/>
      <c r="H1764" s="45" t="s">
        <v>16</v>
      </c>
      <c r="I1764" s="47"/>
      <c r="J1764" s="12" t="s">
        <v>1434</v>
      </c>
      <c r="K1764" s="13" t="s">
        <v>8535</v>
      </c>
      <c r="L1764" s="99" t="str">
        <f t="shared" si="99"/>
        <v>W3269.4</v>
      </c>
      <c r="M1764" s="45"/>
      <c r="N1764" s="47"/>
      <c r="O1764" s="47"/>
      <c r="P1764" s="47"/>
      <c r="Q1764" s="45"/>
      <c r="R1764" s="45"/>
      <c r="S1764" s="48"/>
    </row>
    <row r="1765" spans="1:19" s="49" customFormat="1" ht="14.15" customHeight="1">
      <c r="A1765" s="45"/>
      <c r="B1765" s="44" t="s">
        <v>6635</v>
      </c>
      <c r="C1765" s="50"/>
      <c r="D1765" s="10" t="s">
        <v>29</v>
      </c>
      <c r="E1765" s="11"/>
      <c r="F1765" s="11" t="s">
        <v>18</v>
      </c>
      <c r="G1765" s="13"/>
      <c r="H1765" s="45" t="s">
        <v>16</v>
      </c>
      <c r="I1765" s="47"/>
      <c r="J1765" s="12" t="s">
        <v>1435</v>
      </c>
      <c r="K1765" s="13" t="s">
        <v>8536</v>
      </c>
      <c r="L1765" s="99" t="str">
        <f t="shared" si="99"/>
        <v>W3269.5</v>
      </c>
      <c r="M1765" s="45"/>
      <c r="N1765" s="47"/>
      <c r="O1765" s="47"/>
      <c r="P1765" s="47"/>
      <c r="Q1765" s="45"/>
      <c r="R1765" s="45"/>
      <c r="S1765" s="48"/>
    </row>
    <row r="1766" spans="1:19" s="49" customFormat="1" ht="14.15" customHeight="1">
      <c r="A1766" s="45"/>
      <c r="B1766" s="44" t="s">
        <v>6635</v>
      </c>
      <c r="C1766" s="50"/>
      <c r="D1766" s="10" t="s">
        <v>29</v>
      </c>
      <c r="E1766" s="11"/>
      <c r="F1766" s="11" t="s">
        <v>18</v>
      </c>
      <c r="G1766" s="13"/>
      <c r="H1766" s="45" t="s">
        <v>16</v>
      </c>
      <c r="I1766" s="47"/>
      <c r="J1766" s="12" t="s">
        <v>1436</v>
      </c>
      <c r="K1766" s="13" t="s">
        <v>8537</v>
      </c>
      <c r="L1766" s="99" t="str">
        <f t="shared" si="99"/>
        <v>W3269.6</v>
      </c>
      <c r="M1766" s="45"/>
      <c r="N1766" s="47"/>
      <c r="O1766" s="47"/>
      <c r="P1766" s="47"/>
      <c r="Q1766" s="45"/>
      <c r="R1766" s="45"/>
      <c r="S1766" s="48"/>
    </row>
    <row r="1767" spans="1:19" s="49" customFormat="1" ht="14.15" customHeight="1">
      <c r="A1767" s="45"/>
      <c r="B1767" s="44" t="s">
        <v>6635</v>
      </c>
      <c r="C1767" s="50"/>
      <c r="D1767" s="10" t="s">
        <v>29</v>
      </c>
      <c r="E1767" s="11"/>
      <c r="F1767" s="11" t="s">
        <v>18</v>
      </c>
      <c r="G1767" s="13"/>
      <c r="H1767" s="45" t="s">
        <v>16</v>
      </c>
      <c r="I1767" s="47"/>
      <c r="J1767" s="12" t="s">
        <v>1437</v>
      </c>
      <c r="K1767" s="13" t="s">
        <v>8538</v>
      </c>
      <c r="L1767" s="99" t="str">
        <f t="shared" si="99"/>
        <v>W3269.7</v>
      </c>
      <c r="M1767" s="45"/>
      <c r="N1767" s="47"/>
      <c r="O1767" s="47"/>
      <c r="P1767" s="47"/>
      <c r="Q1767" s="45"/>
      <c r="R1767" s="45"/>
      <c r="S1767" s="48"/>
    </row>
    <row r="1768" spans="1:19" s="49" customFormat="1" ht="14.15" customHeight="1">
      <c r="A1768" s="45"/>
      <c r="B1768" s="44" t="s">
        <v>6635</v>
      </c>
      <c r="C1768" s="50"/>
      <c r="D1768" s="10" t="s">
        <v>29</v>
      </c>
      <c r="E1768" s="11"/>
      <c r="F1768" s="11" t="s">
        <v>18</v>
      </c>
      <c r="G1768" s="13"/>
      <c r="H1768" s="45" t="s">
        <v>16</v>
      </c>
      <c r="I1768" s="47"/>
      <c r="J1768" s="12" t="s">
        <v>1438</v>
      </c>
      <c r="K1768" s="13" t="s">
        <v>8539</v>
      </c>
      <c r="L1768" s="99" t="str">
        <f t="shared" si="99"/>
        <v>W3269.8</v>
      </c>
      <c r="M1768" s="45"/>
      <c r="N1768" s="47"/>
      <c r="O1768" s="47"/>
      <c r="P1768" s="47"/>
      <c r="Q1768" s="45"/>
      <c r="R1768" s="45"/>
      <c r="S1768" s="48"/>
    </row>
    <row r="1769" spans="1:19" s="49" customFormat="1" ht="14.15" customHeight="1">
      <c r="A1769" s="45"/>
      <c r="B1769" s="44" t="s">
        <v>6635</v>
      </c>
      <c r="C1769" s="50"/>
      <c r="D1769" s="10" t="s">
        <v>29</v>
      </c>
      <c r="E1769" s="11"/>
      <c r="F1769" s="11" t="s">
        <v>18</v>
      </c>
      <c r="G1769" s="13"/>
      <c r="H1769" s="45" t="s">
        <v>16</v>
      </c>
      <c r="I1769" s="47"/>
      <c r="J1769" s="12" t="s">
        <v>1439</v>
      </c>
      <c r="K1769" s="13" t="s">
        <v>8540</v>
      </c>
      <c r="L1769" s="99" t="str">
        <f t="shared" si="99"/>
        <v>W3269.9</v>
      </c>
      <c r="M1769" s="13"/>
      <c r="N1769" s="47"/>
      <c r="O1769" s="47"/>
      <c r="P1769" s="47"/>
      <c r="Q1769" s="45"/>
      <c r="R1769" s="45"/>
      <c r="S1769" s="48"/>
    </row>
    <row r="1770" spans="1:19" s="49" customFormat="1" ht="14.15" customHeight="1">
      <c r="A1770" s="45"/>
      <c r="B1770" s="44" t="s">
        <v>6635</v>
      </c>
      <c r="C1770" s="50"/>
      <c r="D1770" s="10" t="s">
        <v>29</v>
      </c>
      <c r="E1770" s="11"/>
      <c r="F1770" s="11" t="s">
        <v>18</v>
      </c>
      <c r="G1770" s="13"/>
      <c r="H1770" s="45" t="s">
        <v>16</v>
      </c>
      <c r="I1770" s="47"/>
      <c r="J1770" s="12" t="s">
        <v>1440</v>
      </c>
      <c r="K1770" s="13" t="s">
        <v>8541</v>
      </c>
      <c r="L1770" s="99" t="str">
        <f t="shared" si="99"/>
        <v>W3269.A</v>
      </c>
      <c r="M1770" s="13"/>
      <c r="N1770" s="47"/>
      <c r="O1770" s="47"/>
      <c r="P1770" s="47"/>
      <c r="Q1770" s="45"/>
      <c r="R1770" s="45"/>
      <c r="S1770" s="48"/>
    </row>
    <row r="1771" spans="1:19" s="49" customFormat="1" ht="14.15" customHeight="1">
      <c r="A1771" s="45"/>
      <c r="B1771" s="44" t="s">
        <v>6635</v>
      </c>
      <c r="C1771" s="50"/>
      <c r="D1771" s="10" t="s">
        <v>29</v>
      </c>
      <c r="E1771" s="11"/>
      <c r="F1771" s="11" t="s">
        <v>18</v>
      </c>
      <c r="G1771" s="13"/>
      <c r="H1771" s="45" t="s">
        <v>16</v>
      </c>
      <c r="I1771" s="47"/>
      <c r="J1771" s="12" t="s">
        <v>1441</v>
      </c>
      <c r="K1771" s="13" t="s">
        <v>8542</v>
      </c>
      <c r="L1771" s="99" t="str">
        <f t="shared" si="99"/>
        <v>W3269.B</v>
      </c>
      <c r="M1771" s="13"/>
      <c r="N1771" s="47"/>
      <c r="O1771" s="47"/>
      <c r="P1771" s="47"/>
      <c r="Q1771" s="45"/>
      <c r="R1771" s="45"/>
      <c r="S1771" s="48"/>
    </row>
    <row r="1772" spans="1:19" s="49" customFormat="1" ht="14.15" customHeight="1">
      <c r="A1772" s="45"/>
      <c r="B1772" s="44" t="s">
        <v>6635</v>
      </c>
      <c r="C1772" s="50"/>
      <c r="D1772" s="10" t="s">
        <v>29</v>
      </c>
      <c r="E1772" s="11"/>
      <c r="F1772" s="11" t="s">
        <v>18</v>
      </c>
      <c r="G1772" s="13"/>
      <c r="H1772" s="45" t="s">
        <v>16</v>
      </c>
      <c r="I1772" s="47"/>
      <c r="J1772" s="12" t="s">
        <v>1442</v>
      </c>
      <c r="K1772" s="13" t="s">
        <v>8543</v>
      </c>
      <c r="L1772" s="99" t="str">
        <f t="shared" si="99"/>
        <v>W3269.C</v>
      </c>
      <c r="M1772" s="45"/>
      <c r="N1772" s="47"/>
      <c r="O1772" s="47"/>
      <c r="P1772" s="47"/>
      <c r="Q1772" s="45"/>
      <c r="R1772" s="45"/>
      <c r="S1772" s="48"/>
    </row>
    <row r="1773" spans="1:19" s="49" customFormat="1" ht="14.15" customHeight="1">
      <c r="A1773" s="45"/>
      <c r="B1773" s="44" t="s">
        <v>6635</v>
      </c>
      <c r="C1773" s="50"/>
      <c r="D1773" s="10" t="s">
        <v>29</v>
      </c>
      <c r="E1773" s="11"/>
      <c r="F1773" s="11" t="s">
        <v>18</v>
      </c>
      <c r="G1773" s="13"/>
      <c r="H1773" s="45" t="s">
        <v>16</v>
      </c>
      <c r="I1773" s="47"/>
      <c r="J1773" s="12" t="s">
        <v>1443</v>
      </c>
      <c r="K1773" s="13" t="s">
        <v>8544</v>
      </c>
      <c r="L1773" s="99" t="str">
        <f t="shared" si="99"/>
        <v>W3269.D</v>
      </c>
      <c r="M1773" s="13"/>
      <c r="N1773" s="47"/>
      <c r="O1773" s="47"/>
      <c r="P1773" s="47"/>
      <c r="Q1773" s="45"/>
      <c r="R1773" s="45"/>
      <c r="S1773" s="48"/>
    </row>
    <row r="1774" spans="1:19" s="49" customFormat="1" ht="14.15" customHeight="1">
      <c r="A1774" s="45"/>
      <c r="B1774" s="44" t="s">
        <v>6635</v>
      </c>
      <c r="C1774" s="50"/>
      <c r="D1774" s="10" t="s">
        <v>29</v>
      </c>
      <c r="E1774" s="11"/>
      <c r="F1774" s="11" t="s">
        <v>18</v>
      </c>
      <c r="G1774" s="13"/>
      <c r="H1774" s="45" t="s">
        <v>16</v>
      </c>
      <c r="I1774" s="47"/>
      <c r="J1774" s="12" t="s">
        <v>1444</v>
      </c>
      <c r="K1774" s="13" t="s">
        <v>8545</v>
      </c>
      <c r="L1774" s="99" t="str">
        <f t="shared" si="99"/>
        <v>W3269.E</v>
      </c>
      <c r="M1774" s="45"/>
      <c r="N1774" s="47"/>
      <c r="O1774" s="47"/>
      <c r="P1774" s="47"/>
      <c r="Q1774" s="45"/>
      <c r="R1774" s="45"/>
      <c r="S1774" s="48"/>
    </row>
    <row r="1775" spans="1:19" s="49" customFormat="1" ht="14.15" customHeight="1">
      <c r="A1775" s="45"/>
      <c r="B1775" s="44" t="s">
        <v>6635</v>
      </c>
      <c r="C1775" s="50"/>
      <c r="D1775" s="10" t="s">
        <v>29</v>
      </c>
      <c r="E1775" s="11"/>
      <c r="F1775" s="11" t="s">
        <v>18</v>
      </c>
      <c r="G1775" s="13"/>
      <c r="H1775" s="45" t="s">
        <v>16</v>
      </c>
      <c r="I1775" s="47"/>
      <c r="J1775" s="12" t="s">
        <v>1445</v>
      </c>
      <c r="K1775" s="13" t="s">
        <v>8546</v>
      </c>
      <c r="L1775" s="99" t="str">
        <f t="shared" si="99"/>
        <v>W3269.F</v>
      </c>
      <c r="M1775" s="45"/>
      <c r="N1775" s="47"/>
      <c r="O1775" s="47"/>
      <c r="P1775" s="47"/>
      <c r="Q1775" s="45"/>
      <c r="R1775" s="45"/>
      <c r="S1775" s="48"/>
    </row>
    <row r="1776" spans="1:19" s="49" customFormat="1" ht="14.15" customHeight="1">
      <c r="A1776" s="45"/>
      <c r="B1776" s="44" t="s">
        <v>6635</v>
      </c>
      <c r="C1776" s="50"/>
      <c r="D1776" s="10" t="s">
        <v>29</v>
      </c>
      <c r="E1776" s="11"/>
      <c r="F1776" s="11" t="s">
        <v>18</v>
      </c>
      <c r="G1776" s="13"/>
      <c r="H1776" s="45" t="s">
        <v>16</v>
      </c>
      <c r="I1776" s="47"/>
      <c r="J1776" s="12" t="s">
        <v>1446</v>
      </c>
      <c r="K1776" s="13" t="s">
        <v>8547</v>
      </c>
      <c r="L1776" s="99" t="str">
        <f t="shared" si="99"/>
        <v>W326A.0</v>
      </c>
      <c r="M1776" s="45"/>
      <c r="N1776" s="47"/>
      <c r="O1776" s="47"/>
      <c r="P1776" s="47"/>
      <c r="Q1776" s="45"/>
      <c r="R1776" s="45"/>
      <c r="S1776" s="48"/>
    </row>
    <row r="1777" spans="1:19" s="49" customFormat="1" ht="14.15" customHeight="1">
      <c r="A1777" s="45"/>
      <c r="B1777" s="44" t="s">
        <v>6635</v>
      </c>
      <c r="C1777" s="50"/>
      <c r="D1777" s="10" t="s">
        <v>29</v>
      </c>
      <c r="E1777" s="11"/>
      <c r="F1777" s="11" t="s">
        <v>18</v>
      </c>
      <c r="G1777" s="13"/>
      <c r="H1777" s="45" t="s">
        <v>16</v>
      </c>
      <c r="I1777" s="47"/>
      <c r="J1777" s="12" t="s">
        <v>1447</v>
      </c>
      <c r="K1777" s="13" t="s">
        <v>8548</v>
      </c>
      <c r="L1777" s="99" t="str">
        <f t="shared" si="99"/>
        <v>W326A.1</v>
      </c>
      <c r="M1777" s="45"/>
      <c r="N1777" s="47"/>
      <c r="O1777" s="47"/>
      <c r="P1777" s="47"/>
      <c r="Q1777" s="45"/>
      <c r="R1777" s="45"/>
      <c r="S1777" s="48"/>
    </row>
    <row r="1778" spans="1:19" s="49" customFormat="1" ht="14.15" customHeight="1">
      <c r="A1778" s="45"/>
      <c r="B1778" s="44" t="s">
        <v>6635</v>
      </c>
      <c r="C1778" s="50"/>
      <c r="D1778" s="10" t="s">
        <v>29</v>
      </c>
      <c r="E1778" s="11"/>
      <c r="F1778" s="11" t="s">
        <v>18</v>
      </c>
      <c r="G1778" s="13"/>
      <c r="H1778" s="45" t="s">
        <v>16</v>
      </c>
      <c r="I1778" s="47"/>
      <c r="J1778" s="12" t="s">
        <v>1448</v>
      </c>
      <c r="K1778" s="13" t="s">
        <v>8549</v>
      </c>
      <c r="L1778" s="99" t="str">
        <f t="shared" si="99"/>
        <v>W326A.2</v>
      </c>
      <c r="M1778" s="13"/>
      <c r="N1778" s="47"/>
      <c r="O1778" s="47"/>
      <c r="P1778" s="47"/>
      <c r="Q1778" s="45"/>
      <c r="R1778" s="45"/>
      <c r="S1778" s="48"/>
    </row>
    <row r="1779" spans="1:19" s="49" customFormat="1" ht="14.15" customHeight="1">
      <c r="A1779" s="43" t="s">
        <v>6689</v>
      </c>
      <c r="B1779" s="44" t="s">
        <v>6635</v>
      </c>
      <c r="C1779" s="50"/>
      <c r="D1779" s="10" t="s">
        <v>29</v>
      </c>
      <c r="E1779" s="11"/>
      <c r="F1779" s="11" t="s">
        <v>18</v>
      </c>
      <c r="G1779" s="13"/>
      <c r="H1779" s="45" t="s">
        <v>16</v>
      </c>
      <c r="I1779" s="47"/>
      <c r="J1779" s="12" t="s">
        <v>6728</v>
      </c>
      <c r="K1779" s="13" t="s">
        <v>8550</v>
      </c>
      <c r="L1779" s="99" t="str">
        <f t="shared" si="99"/>
        <v>W326A.3</v>
      </c>
      <c r="M1779" s="13" t="s">
        <v>17</v>
      </c>
      <c r="N1779" s="13"/>
      <c r="O1779" s="13"/>
      <c r="P1779" s="47"/>
      <c r="Q1779" s="45" t="s">
        <v>142</v>
      </c>
      <c r="R1779" s="45" t="s">
        <v>5552</v>
      </c>
      <c r="S1779" s="48"/>
    </row>
    <row r="1780" spans="1:19" s="49" customFormat="1" ht="14.15" customHeight="1">
      <c r="A1780" s="43" t="s">
        <v>6689</v>
      </c>
      <c r="B1780" s="44" t="s">
        <v>6635</v>
      </c>
      <c r="C1780" s="50"/>
      <c r="D1780" s="10" t="s">
        <v>29</v>
      </c>
      <c r="E1780" s="11"/>
      <c r="F1780" s="11" t="s">
        <v>18</v>
      </c>
      <c r="G1780" s="13"/>
      <c r="H1780" s="45" t="s">
        <v>16</v>
      </c>
      <c r="I1780" s="47"/>
      <c r="J1780" s="12" t="s">
        <v>6729</v>
      </c>
      <c r="K1780" s="13" t="s">
        <v>8551</v>
      </c>
      <c r="L1780" s="99" t="str">
        <f t="shared" si="99"/>
        <v>W326A.4</v>
      </c>
      <c r="M1780" s="13" t="s">
        <v>17</v>
      </c>
      <c r="N1780" s="13"/>
      <c r="O1780" s="13"/>
      <c r="P1780" s="47"/>
      <c r="Q1780" s="45" t="s">
        <v>142</v>
      </c>
      <c r="R1780" s="45" t="s">
        <v>5552</v>
      </c>
      <c r="S1780" s="48"/>
    </row>
    <row r="1781" spans="1:19" s="49" customFormat="1" ht="14.15" customHeight="1">
      <c r="A1781" s="45"/>
      <c r="B1781" s="44" t="s">
        <v>6635</v>
      </c>
      <c r="C1781" s="50"/>
      <c r="D1781" s="10" t="s">
        <v>29</v>
      </c>
      <c r="E1781" s="11"/>
      <c r="F1781" s="11" t="s">
        <v>18</v>
      </c>
      <c r="G1781" s="13"/>
      <c r="H1781" s="45" t="s">
        <v>16</v>
      </c>
      <c r="I1781" s="47"/>
      <c r="J1781" s="12" t="s">
        <v>1451</v>
      </c>
      <c r="K1781" s="13" t="s">
        <v>8552</v>
      </c>
      <c r="L1781" s="99" t="str">
        <f t="shared" si="99"/>
        <v>W326A.5</v>
      </c>
      <c r="M1781" s="45"/>
      <c r="N1781" s="47"/>
      <c r="O1781" s="47"/>
      <c r="P1781" s="47"/>
      <c r="Q1781" s="45"/>
      <c r="R1781" s="45"/>
      <c r="S1781" s="48"/>
    </row>
    <row r="1782" spans="1:19" s="49" customFormat="1" ht="14.15" customHeight="1">
      <c r="A1782" s="43" t="s">
        <v>6689</v>
      </c>
      <c r="B1782" s="44" t="s">
        <v>6635</v>
      </c>
      <c r="C1782" s="50"/>
      <c r="D1782" s="10" t="s">
        <v>29</v>
      </c>
      <c r="E1782" s="11"/>
      <c r="F1782" s="11" t="s">
        <v>18</v>
      </c>
      <c r="G1782" s="13"/>
      <c r="H1782" s="45" t="s">
        <v>16</v>
      </c>
      <c r="I1782" s="47"/>
      <c r="J1782" s="12" t="s">
        <v>6730</v>
      </c>
      <c r="K1782" s="13" t="s">
        <v>8553</v>
      </c>
      <c r="L1782" s="99" t="str">
        <f t="shared" si="99"/>
        <v>W326A.6</v>
      </c>
      <c r="M1782" s="13" t="s">
        <v>17</v>
      </c>
      <c r="N1782" s="13"/>
      <c r="O1782" s="13"/>
      <c r="P1782" s="47"/>
      <c r="Q1782" s="45" t="s">
        <v>142</v>
      </c>
      <c r="R1782" s="45" t="s">
        <v>5552</v>
      </c>
      <c r="S1782" s="48"/>
    </row>
    <row r="1783" spans="1:19" s="49" customFormat="1" ht="14.15" customHeight="1">
      <c r="A1783" s="43" t="s">
        <v>6689</v>
      </c>
      <c r="B1783" s="44" t="s">
        <v>6635</v>
      </c>
      <c r="C1783" s="50"/>
      <c r="D1783" s="10" t="s">
        <v>29</v>
      </c>
      <c r="E1783" s="11"/>
      <c r="F1783" s="11" t="s">
        <v>18</v>
      </c>
      <c r="G1783" s="13"/>
      <c r="H1783" s="45" t="s">
        <v>16</v>
      </c>
      <c r="I1783" s="47"/>
      <c r="J1783" s="12" t="s">
        <v>6731</v>
      </c>
      <c r="K1783" s="13" t="s">
        <v>8554</v>
      </c>
      <c r="L1783" s="99" t="str">
        <f t="shared" si="99"/>
        <v>W326A.7</v>
      </c>
      <c r="M1783" s="13" t="s">
        <v>17</v>
      </c>
      <c r="N1783" s="13"/>
      <c r="O1783" s="13"/>
      <c r="P1783" s="47"/>
      <c r="Q1783" s="45" t="s">
        <v>142</v>
      </c>
      <c r="R1783" s="45" t="s">
        <v>5552</v>
      </c>
      <c r="S1783" s="48"/>
    </row>
    <row r="1784" spans="1:19" s="49" customFormat="1" ht="14.15" customHeight="1">
      <c r="A1784" s="45"/>
      <c r="B1784" s="44" t="s">
        <v>6635</v>
      </c>
      <c r="C1784" s="50"/>
      <c r="D1784" s="10" t="s">
        <v>29</v>
      </c>
      <c r="E1784" s="11"/>
      <c r="F1784" s="11" t="s">
        <v>18</v>
      </c>
      <c r="G1784" s="13"/>
      <c r="H1784" s="45" t="s">
        <v>16</v>
      </c>
      <c r="I1784" s="47"/>
      <c r="J1784" s="12" t="s">
        <v>1454</v>
      </c>
      <c r="K1784" s="13" t="s">
        <v>8555</v>
      </c>
      <c r="L1784" s="99" t="str">
        <f t="shared" si="99"/>
        <v>W326A.8</v>
      </c>
      <c r="M1784" s="45"/>
      <c r="N1784" s="47"/>
      <c r="O1784" s="47"/>
      <c r="P1784" s="47"/>
      <c r="Q1784" s="45"/>
      <c r="R1784" s="45"/>
      <c r="S1784" s="48"/>
    </row>
    <row r="1785" spans="1:19" s="49" customFormat="1" ht="14.15" customHeight="1">
      <c r="A1785" s="43" t="s">
        <v>6689</v>
      </c>
      <c r="B1785" s="44" t="s">
        <v>6635</v>
      </c>
      <c r="C1785" s="50"/>
      <c r="D1785" s="10" t="s">
        <v>29</v>
      </c>
      <c r="E1785" s="11"/>
      <c r="F1785" s="11" t="s">
        <v>18</v>
      </c>
      <c r="G1785" s="13"/>
      <c r="H1785" s="45" t="s">
        <v>16</v>
      </c>
      <c r="I1785" s="47"/>
      <c r="J1785" s="12" t="s">
        <v>6732</v>
      </c>
      <c r="K1785" s="13" t="s">
        <v>8556</v>
      </c>
      <c r="L1785" s="99" t="str">
        <f t="shared" si="99"/>
        <v>W326A.9</v>
      </c>
      <c r="M1785" s="13" t="s">
        <v>17</v>
      </c>
      <c r="N1785" s="13"/>
      <c r="O1785" s="13"/>
      <c r="P1785" s="47"/>
      <c r="Q1785" s="45" t="s">
        <v>142</v>
      </c>
      <c r="R1785" s="45" t="s">
        <v>5552</v>
      </c>
      <c r="S1785" s="48"/>
    </row>
    <row r="1786" spans="1:19" s="49" customFormat="1" ht="14.15" customHeight="1">
      <c r="A1786" s="43" t="s">
        <v>6689</v>
      </c>
      <c r="B1786" s="44" t="s">
        <v>6635</v>
      </c>
      <c r="C1786" s="50"/>
      <c r="D1786" s="10" t="s">
        <v>29</v>
      </c>
      <c r="E1786" s="11"/>
      <c r="F1786" s="11" t="s">
        <v>18</v>
      </c>
      <c r="G1786" s="13"/>
      <c r="H1786" s="45" t="s">
        <v>16</v>
      </c>
      <c r="I1786" s="47"/>
      <c r="J1786" s="12" t="s">
        <v>6733</v>
      </c>
      <c r="K1786" s="13" t="s">
        <v>8557</v>
      </c>
      <c r="L1786" s="99" t="str">
        <f t="shared" si="99"/>
        <v>W326A.A</v>
      </c>
      <c r="M1786" s="13" t="s">
        <v>17</v>
      </c>
      <c r="N1786" s="13"/>
      <c r="O1786" s="13"/>
      <c r="P1786" s="47"/>
      <c r="Q1786" s="45" t="s">
        <v>142</v>
      </c>
      <c r="R1786" s="45" t="s">
        <v>5552</v>
      </c>
      <c r="S1786" s="48"/>
    </row>
    <row r="1787" spans="1:19" s="49" customFormat="1" ht="14.15" customHeight="1">
      <c r="A1787" s="45"/>
      <c r="B1787" s="44" t="s">
        <v>6635</v>
      </c>
      <c r="C1787" s="50"/>
      <c r="D1787" s="10" t="s">
        <v>29</v>
      </c>
      <c r="E1787" s="11"/>
      <c r="F1787" s="11" t="s">
        <v>18</v>
      </c>
      <c r="G1787" s="13"/>
      <c r="H1787" s="45" t="s">
        <v>16</v>
      </c>
      <c r="I1787" s="47"/>
      <c r="J1787" s="12" t="s">
        <v>4596</v>
      </c>
      <c r="K1787" s="13" t="s">
        <v>8558</v>
      </c>
      <c r="L1787" s="99" t="str">
        <f t="shared" si="99"/>
        <v>W326A.B</v>
      </c>
      <c r="M1787" s="45"/>
      <c r="N1787" s="47"/>
      <c r="O1787" s="47"/>
      <c r="P1787" s="47"/>
      <c r="Q1787" s="45"/>
      <c r="R1787" s="45"/>
      <c r="S1787" s="48"/>
    </row>
    <row r="1788" spans="1:19" s="49" customFormat="1" ht="14.15" customHeight="1">
      <c r="A1788" s="45"/>
      <c r="B1788" s="44" t="s">
        <v>6635</v>
      </c>
      <c r="C1788" s="50"/>
      <c r="D1788" s="10" t="s">
        <v>29</v>
      </c>
      <c r="E1788" s="11"/>
      <c r="F1788" s="11" t="s">
        <v>18</v>
      </c>
      <c r="G1788" s="13"/>
      <c r="H1788" s="45" t="s">
        <v>16</v>
      </c>
      <c r="I1788" s="47"/>
      <c r="J1788" s="12" t="s">
        <v>4597</v>
      </c>
      <c r="K1788" s="13" t="s">
        <v>8559</v>
      </c>
      <c r="L1788" s="99" t="str">
        <f t="shared" si="99"/>
        <v>W326A.C</v>
      </c>
      <c r="M1788" s="45"/>
      <c r="N1788" s="47"/>
      <c r="O1788" s="47"/>
      <c r="P1788" s="47"/>
      <c r="Q1788" s="45"/>
      <c r="R1788" s="45"/>
      <c r="S1788" s="48"/>
    </row>
    <row r="1789" spans="1:19" s="49" customFormat="1" ht="14.15" customHeight="1">
      <c r="A1789" s="45"/>
      <c r="B1789" s="44" t="s">
        <v>6635</v>
      </c>
      <c r="C1789" s="50"/>
      <c r="D1789" s="10" t="s">
        <v>29</v>
      </c>
      <c r="E1789" s="11"/>
      <c r="F1789" s="11" t="s">
        <v>18</v>
      </c>
      <c r="G1789" s="13"/>
      <c r="H1789" s="45" t="s">
        <v>16</v>
      </c>
      <c r="I1789" s="47"/>
      <c r="J1789" s="12" t="s">
        <v>4598</v>
      </c>
      <c r="K1789" s="13" t="s">
        <v>8560</v>
      </c>
      <c r="L1789" s="99" t="str">
        <f t="shared" si="99"/>
        <v>W326A.D</v>
      </c>
      <c r="M1789" s="45"/>
      <c r="N1789" s="47"/>
      <c r="O1789" s="47"/>
      <c r="P1789" s="47"/>
      <c r="Q1789" s="45"/>
      <c r="R1789" s="45"/>
      <c r="S1789" s="48"/>
    </row>
    <row r="1790" spans="1:19" s="49" customFormat="1" ht="14.15" customHeight="1">
      <c r="A1790" s="45"/>
      <c r="B1790" s="44" t="s">
        <v>6635</v>
      </c>
      <c r="C1790" s="50"/>
      <c r="D1790" s="10" t="s">
        <v>29</v>
      </c>
      <c r="E1790" s="11"/>
      <c r="F1790" s="11" t="s">
        <v>18</v>
      </c>
      <c r="G1790" s="13"/>
      <c r="H1790" s="45" t="s">
        <v>16</v>
      </c>
      <c r="I1790" s="47"/>
      <c r="J1790" s="12" t="s">
        <v>4599</v>
      </c>
      <c r="K1790" s="13" t="s">
        <v>8561</v>
      </c>
      <c r="L1790" s="99" t="str">
        <f t="shared" si="99"/>
        <v>W326A.E</v>
      </c>
      <c r="M1790" s="45"/>
      <c r="N1790" s="47"/>
      <c r="O1790" s="47"/>
      <c r="P1790" s="47"/>
      <c r="Q1790" s="45"/>
      <c r="R1790" s="45"/>
      <c r="S1790" s="48"/>
    </row>
    <row r="1791" spans="1:19" s="49" customFormat="1" ht="14.15" customHeight="1">
      <c r="A1791" s="45"/>
      <c r="B1791" s="44" t="s">
        <v>6635</v>
      </c>
      <c r="C1791" s="50"/>
      <c r="D1791" s="10" t="s">
        <v>29</v>
      </c>
      <c r="E1791" s="11"/>
      <c r="F1791" s="11" t="s">
        <v>18</v>
      </c>
      <c r="G1791" s="13"/>
      <c r="H1791" s="45" t="s">
        <v>16</v>
      </c>
      <c r="I1791" s="47"/>
      <c r="J1791" s="12" t="s">
        <v>4600</v>
      </c>
      <c r="K1791" s="13" t="s">
        <v>8562</v>
      </c>
      <c r="L1791" s="99" t="str">
        <f t="shared" si="99"/>
        <v>W326A.F</v>
      </c>
      <c r="M1791" s="45"/>
      <c r="N1791" s="47"/>
      <c r="O1791" s="47"/>
      <c r="P1791" s="47"/>
      <c r="Q1791" s="45"/>
      <c r="R1791" s="45"/>
      <c r="S1791" s="48"/>
    </row>
    <row r="1792" spans="1:19" s="49" customFormat="1" ht="14.15" customHeight="1">
      <c r="A1792" s="43" t="s">
        <v>6689</v>
      </c>
      <c r="B1792" s="44" t="s">
        <v>6635</v>
      </c>
      <c r="C1792" s="50"/>
      <c r="D1792" s="10" t="s">
        <v>29</v>
      </c>
      <c r="E1792" s="11"/>
      <c r="F1792" s="11" t="s">
        <v>18</v>
      </c>
      <c r="G1792" s="13"/>
      <c r="H1792" s="45" t="s">
        <v>16</v>
      </c>
      <c r="I1792" s="47"/>
      <c r="J1792" s="12" t="s">
        <v>6734</v>
      </c>
      <c r="K1792" s="13" t="s">
        <v>8563</v>
      </c>
      <c r="L1792" s="99" t="str">
        <f t="shared" si="99"/>
        <v>W326B.0</v>
      </c>
      <c r="M1792" s="13" t="s">
        <v>17</v>
      </c>
      <c r="N1792" s="13"/>
      <c r="O1792" s="13"/>
      <c r="P1792" s="47"/>
      <c r="Q1792" s="45" t="s">
        <v>142</v>
      </c>
      <c r="R1792" s="45" t="s">
        <v>5552</v>
      </c>
      <c r="S1792" s="48"/>
    </row>
    <row r="1793" spans="1:19" s="49" customFormat="1" ht="14.15" customHeight="1">
      <c r="A1793" s="45"/>
      <c r="B1793" s="44" t="s">
        <v>6635</v>
      </c>
      <c r="C1793" s="50"/>
      <c r="D1793" s="10" t="s">
        <v>29</v>
      </c>
      <c r="E1793" s="11"/>
      <c r="F1793" s="11" t="s">
        <v>18</v>
      </c>
      <c r="G1793" s="13"/>
      <c r="H1793" s="45" t="s">
        <v>16</v>
      </c>
      <c r="I1793" s="47"/>
      <c r="J1793" s="12" t="s">
        <v>1463</v>
      </c>
      <c r="K1793" s="13" t="s">
        <v>8564</v>
      </c>
      <c r="L1793" s="99" t="str">
        <f t="shared" si="99"/>
        <v>W326B.1</v>
      </c>
      <c r="M1793" s="45"/>
      <c r="N1793" s="47"/>
      <c r="O1793" s="47"/>
      <c r="P1793" s="47"/>
      <c r="Q1793" s="45"/>
      <c r="R1793" s="45"/>
      <c r="S1793" s="48"/>
    </row>
    <row r="1794" spans="1:19" s="49" customFormat="1" ht="14.15" customHeight="1">
      <c r="A1794" s="43" t="s">
        <v>6689</v>
      </c>
      <c r="B1794" s="44" t="s">
        <v>6635</v>
      </c>
      <c r="C1794" s="50"/>
      <c r="D1794" s="10" t="s">
        <v>29</v>
      </c>
      <c r="E1794" s="11"/>
      <c r="F1794" s="11" t="s">
        <v>18</v>
      </c>
      <c r="G1794" s="13"/>
      <c r="H1794" s="45" t="s">
        <v>16</v>
      </c>
      <c r="I1794" s="47"/>
      <c r="J1794" s="12" t="s">
        <v>6735</v>
      </c>
      <c r="K1794" s="13" t="s">
        <v>8565</v>
      </c>
      <c r="L1794" s="99" t="str">
        <f t="shared" si="99"/>
        <v>W326B.2</v>
      </c>
      <c r="M1794" s="13" t="s">
        <v>17</v>
      </c>
      <c r="N1794" s="13"/>
      <c r="O1794" s="13"/>
      <c r="P1794" s="47"/>
      <c r="Q1794" s="45" t="s">
        <v>142</v>
      </c>
      <c r="R1794" s="45" t="s">
        <v>5552</v>
      </c>
      <c r="S1794" s="48"/>
    </row>
    <row r="1795" spans="1:19" s="49" customFormat="1" ht="14.15" customHeight="1">
      <c r="A1795" s="43" t="s">
        <v>6689</v>
      </c>
      <c r="B1795" s="44" t="s">
        <v>6635</v>
      </c>
      <c r="C1795" s="50"/>
      <c r="D1795" s="10" t="s">
        <v>29</v>
      </c>
      <c r="E1795" s="11"/>
      <c r="F1795" s="11" t="s">
        <v>18</v>
      </c>
      <c r="G1795" s="13"/>
      <c r="H1795" s="45" t="s">
        <v>16</v>
      </c>
      <c r="I1795" s="47"/>
      <c r="J1795" s="12" t="s">
        <v>6736</v>
      </c>
      <c r="K1795" s="13" t="s">
        <v>8566</v>
      </c>
      <c r="L1795" s="99" t="str">
        <f t="shared" si="99"/>
        <v>W326B.3</v>
      </c>
      <c r="M1795" s="13" t="s">
        <v>17</v>
      </c>
      <c r="N1795" s="13"/>
      <c r="O1795" s="13"/>
      <c r="P1795" s="47"/>
      <c r="Q1795" s="45" t="s">
        <v>142</v>
      </c>
      <c r="R1795" s="45" t="s">
        <v>5552</v>
      </c>
      <c r="S1795" s="48"/>
    </row>
    <row r="1796" spans="1:19" s="49" customFormat="1" ht="14.15" customHeight="1">
      <c r="A1796" s="43" t="s">
        <v>6689</v>
      </c>
      <c r="B1796" s="44" t="s">
        <v>6635</v>
      </c>
      <c r="C1796" s="50"/>
      <c r="D1796" s="10" t="s">
        <v>29</v>
      </c>
      <c r="E1796" s="11"/>
      <c r="F1796" s="11" t="s">
        <v>18</v>
      </c>
      <c r="G1796" s="13"/>
      <c r="H1796" s="45" t="s">
        <v>16</v>
      </c>
      <c r="I1796" s="47"/>
      <c r="J1796" s="12" t="s">
        <v>6737</v>
      </c>
      <c r="K1796" s="13" t="s">
        <v>8567</v>
      </c>
      <c r="L1796" s="99" t="str">
        <f t="shared" si="99"/>
        <v>W326B.4</v>
      </c>
      <c r="M1796" s="13" t="s">
        <v>17</v>
      </c>
      <c r="N1796" s="13"/>
      <c r="O1796" s="13"/>
      <c r="P1796" s="47"/>
      <c r="Q1796" s="45" t="s">
        <v>142</v>
      </c>
      <c r="R1796" s="45" t="s">
        <v>5552</v>
      </c>
      <c r="S1796" s="48"/>
    </row>
    <row r="1797" spans="1:19" s="49" customFormat="1" ht="14.15" customHeight="1">
      <c r="A1797" s="43" t="s">
        <v>6689</v>
      </c>
      <c r="B1797" s="44" t="s">
        <v>6635</v>
      </c>
      <c r="C1797" s="50"/>
      <c r="D1797" s="10" t="s">
        <v>29</v>
      </c>
      <c r="E1797" s="11"/>
      <c r="F1797" s="11" t="s">
        <v>18</v>
      </c>
      <c r="G1797" s="13"/>
      <c r="H1797" s="45" t="s">
        <v>16</v>
      </c>
      <c r="I1797" s="47"/>
      <c r="J1797" s="12" t="s">
        <v>6738</v>
      </c>
      <c r="K1797" s="13" t="s">
        <v>8568</v>
      </c>
      <c r="L1797" s="99" t="str">
        <f t="shared" si="99"/>
        <v>W326B.5</v>
      </c>
      <c r="M1797" s="13" t="s">
        <v>153</v>
      </c>
      <c r="N1797" s="13"/>
      <c r="O1797" s="13"/>
      <c r="P1797" s="47"/>
      <c r="Q1797" s="45" t="s">
        <v>142</v>
      </c>
      <c r="R1797" s="45" t="s">
        <v>5552</v>
      </c>
      <c r="S1797" s="48"/>
    </row>
    <row r="1798" spans="1:19" s="49" customFormat="1" ht="14.15" customHeight="1">
      <c r="A1798" s="43" t="s">
        <v>6689</v>
      </c>
      <c r="B1798" s="44" t="s">
        <v>6635</v>
      </c>
      <c r="C1798" s="50"/>
      <c r="D1798" s="10" t="s">
        <v>29</v>
      </c>
      <c r="E1798" s="11"/>
      <c r="F1798" s="11" t="s">
        <v>18</v>
      </c>
      <c r="G1798" s="13"/>
      <c r="H1798" s="45" t="s">
        <v>16</v>
      </c>
      <c r="I1798" s="47"/>
      <c r="J1798" s="12" t="s">
        <v>6739</v>
      </c>
      <c r="K1798" s="13" t="s">
        <v>8569</v>
      </c>
      <c r="L1798" s="99" t="str">
        <f t="shared" si="99"/>
        <v>W326B.6</v>
      </c>
      <c r="M1798" s="13" t="s">
        <v>153</v>
      </c>
      <c r="N1798" s="13"/>
      <c r="O1798" s="13"/>
      <c r="P1798" s="47"/>
      <c r="Q1798" s="45" t="s">
        <v>142</v>
      </c>
      <c r="R1798" s="45" t="s">
        <v>5552</v>
      </c>
      <c r="S1798" s="48"/>
    </row>
    <row r="1799" spans="1:19" s="49" customFormat="1" ht="14.15" customHeight="1">
      <c r="A1799" s="43" t="s">
        <v>6687</v>
      </c>
      <c r="B1799" s="44" t="s">
        <v>6635</v>
      </c>
      <c r="C1799" s="50"/>
      <c r="D1799" s="10" t="s">
        <v>29</v>
      </c>
      <c r="E1799" s="11"/>
      <c r="F1799" s="11" t="s">
        <v>18</v>
      </c>
      <c r="G1799" s="13"/>
      <c r="H1799" s="45" t="s">
        <v>16</v>
      </c>
      <c r="I1799" s="47"/>
      <c r="J1799" s="12" t="s">
        <v>6571</v>
      </c>
      <c r="K1799" s="13" t="s">
        <v>8570</v>
      </c>
      <c r="L1799" s="99" t="str">
        <f t="shared" si="99"/>
        <v>W326B.7</v>
      </c>
      <c r="M1799" s="13" t="s">
        <v>17</v>
      </c>
      <c r="N1799" s="13"/>
      <c r="O1799" s="13"/>
      <c r="P1799" s="47"/>
      <c r="Q1799" s="45" t="s">
        <v>142</v>
      </c>
      <c r="R1799" s="45" t="s">
        <v>5552</v>
      </c>
      <c r="S1799" s="48"/>
    </row>
    <row r="1800" spans="1:19" s="49" customFormat="1" ht="14.15" customHeight="1">
      <c r="A1800" s="43" t="s">
        <v>6687</v>
      </c>
      <c r="B1800" s="44" t="s">
        <v>6635</v>
      </c>
      <c r="C1800" s="50"/>
      <c r="D1800" s="10" t="s">
        <v>29</v>
      </c>
      <c r="E1800" s="11"/>
      <c r="F1800" s="11" t="s">
        <v>18</v>
      </c>
      <c r="G1800" s="13"/>
      <c r="H1800" s="45" t="s">
        <v>16</v>
      </c>
      <c r="I1800" s="47"/>
      <c r="J1800" s="12" t="s">
        <v>6572</v>
      </c>
      <c r="K1800" s="13" t="s">
        <v>8571</v>
      </c>
      <c r="L1800" s="99" t="str">
        <f t="shared" si="99"/>
        <v>W326B.8</v>
      </c>
      <c r="M1800" s="13" t="s">
        <v>17</v>
      </c>
      <c r="N1800" s="13"/>
      <c r="O1800" s="13"/>
      <c r="P1800" s="47"/>
      <c r="Q1800" s="45" t="s">
        <v>142</v>
      </c>
      <c r="R1800" s="45" t="s">
        <v>5552</v>
      </c>
      <c r="S1800" s="48"/>
    </row>
    <row r="1801" spans="1:19" s="49" customFormat="1" ht="14.15" customHeight="1">
      <c r="A1801" s="45"/>
      <c r="B1801" s="44" t="s">
        <v>6635</v>
      </c>
      <c r="C1801" s="50"/>
      <c r="D1801" s="10" t="s">
        <v>29</v>
      </c>
      <c r="E1801" s="11"/>
      <c r="F1801" s="11" t="s">
        <v>18</v>
      </c>
      <c r="G1801" s="13"/>
      <c r="H1801" s="45" t="s">
        <v>16</v>
      </c>
      <c r="I1801" s="47"/>
      <c r="J1801" s="12" t="s">
        <v>1471</v>
      </c>
      <c r="K1801" s="13" t="s">
        <v>8572</v>
      </c>
      <c r="L1801" s="99" t="str">
        <f t="shared" si="99"/>
        <v>W326B.9</v>
      </c>
      <c r="M1801" s="45"/>
      <c r="N1801" s="47"/>
      <c r="O1801" s="47"/>
      <c r="P1801" s="47"/>
      <c r="Q1801" s="45"/>
      <c r="R1801" s="45"/>
      <c r="S1801" s="48"/>
    </row>
    <row r="1802" spans="1:19" s="49" customFormat="1" ht="14.15" customHeight="1">
      <c r="A1802" s="43" t="s">
        <v>6687</v>
      </c>
      <c r="B1802" s="44" t="s">
        <v>6635</v>
      </c>
      <c r="C1802" s="50"/>
      <c r="D1802" s="10" t="s">
        <v>29</v>
      </c>
      <c r="E1802" s="11"/>
      <c r="F1802" s="11" t="s">
        <v>18</v>
      </c>
      <c r="G1802" s="13"/>
      <c r="H1802" s="45" t="s">
        <v>16</v>
      </c>
      <c r="I1802" s="47"/>
      <c r="J1802" s="12" t="s">
        <v>6573</v>
      </c>
      <c r="K1802" s="13" t="s">
        <v>8573</v>
      </c>
      <c r="L1802" s="99" t="str">
        <f t="shared" si="99"/>
        <v>W326B.A</v>
      </c>
      <c r="M1802" s="13" t="s">
        <v>17</v>
      </c>
      <c r="N1802" s="13"/>
      <c r="O1802" s="13"/>
      <c r="P1802" s="47"/>
      <c r="Q1802" s="45" t="s">
        <v>142</v>
      </c>
      <c r="R1802" s="45" t="s">
        <v>5552</v>
      </c>
      <c r="S1802" s="48"/>
    </row>
    <row r="1803" spans="1:19" s="49" customFormat="1" ht="14.15" customHeight="1">
      <c r="A1803" s="43" t="s">
        <v>6687</v>
      </c>
      <c r="B1803" s="44" t="s">
        <v>6635</v>
      </c>
      <c r="C1803" s="50"/>
      <c r="D1803" s="10" t="s">
        <v>29</v>
      </c>
      <c r="E1803" s="11"/>
      <c r="F1803" s="11" t="s">
        <v>18</v>
      </c>
      <c r="G1803" s="13"/>
      <c r="H1803" s="45" t="s">
        <v>16</v>
      </c>
      <c r="I1803" s="47"/>
      <c r="J1803" s="12" t="s">
        <v>6574</v>
      </c>
      <c r="K1803" s="13" t="s">
        <v>8574</v>
      </c>
      <c r="L1803" s="99" t="str">
        <f t="shared" si="99"/>
        <v>W326B.B</v>
      </c>
      <c r="M1803" s="13" t="s">
        <v>17</v>
      </c>
      <c r="N1803" s="13"/>
      <c r="O1803" s="13"/>
      <c r="P1803" s="47"/>
      <c r="Q1803" s="45" t="s">
        <v>142</v>
      </c>
      <c r="R1803" s="45" t="s">
        <v>5552</v>
      </c>
      <c r="S1803" s="48"/>
    </row>
    <row r="1804" spans="1:19" s="49" customFormat="1" ht="14.15" customHeight="1">
      <c r="A1804" s="45"/>
      <c r="B1804" s="44" t="s">
        <v>6635</v>
      </c>
      <c r="C1804" s="50"/>
      <c r="D1804" s="10" t="s">
        <v>29</v>
      </c>
      <c r="E1804" s="11"/>
      <c r="F1804" s="11" t="s">
        <v>18</v>
      </c>
      <c r="G1804" s="13"/>
      <c r="H1804" s="45" t="s">
        <v>16</v>
      </c>
      <c r="I1804" s="47"/>
      <c r="J1804" s="12" t="s">
        <v>4613</v>
      </c>
      <c r="K1804" s="13" t="s">
        <v>8575</v>
      </c>
      <c r="L1804" s="99" t="str">
        <f t="shared" si="99"/>
        <v>W326B.C</v>
      </c>
      <c r="M1804" s="45"/>
      <c r="N1804" s="47"/>
      <c r="O1804" s="47"/>
      <c r="P1804" s="47"/>
      <c r="Q1804" s="45"/>
      <c r="R1804" s="45"/>
      <c r="S1804" s="48"/>
    </row>
    <row r="1805" spans="1:19" s="49" customFormat="1" ht="14.15" customHeight="1">
      <c r="A1805" s="45"/>
      <c r="B1805" s="44" t="s">
        <v>6635</v>
      </c>
      <c r="C1805" s="50"/>
      <c r="D1805" s="10" t="s">
        <v>29</v>
      </c>
      <c r="E1805" s="11"/>
      <c r="F1805" s="11" t="s">
        <v>18</v>
      </c>
      <c r="G1805" s="13"/>
      <c r="H1805" s="45" t="s">
        <v>16</v>
      </c>
      <c r="I1805" s="47"/>
      <c r="J1805" s="12" t="s">
        <v>4614</v>
      </c>
      <c r="K1805" s="13" t="s">
        <v>8576</v>
      </c>
      <c r="L1805" s="99" t="str">
        <f t="shared" si="99"/>
        <v>W326B.D</v>
      </c>
      <c r="M1805" s="45"/>
      <c r="N1805" s="47"/>
      <c r="O1805" s="47"/>
      <c r="P1805" s="47"/>
      <c r="Q1805" s="45"/>
      <c r="R1805" s="45"/>
      <c r="S1805" s="48"/>
    </row>
    <row r="1806" spans="1:19" s="49" customFormat="1" ht="14.15" customHeight="1">
      <c r="A1806" s="45"/>
      <c r="B1806" s="44" t="s">
        <v>6635</v>
      </c>
      <c r="C1806" s="50"/>
      <c r="D1806" s="10" t="s">
        <v>29</v>
      </c>
      <c r="E1806" s="11"/>
      <c r="F1806" s="11" t="s">
        <v>18</v>
      </c>
      <c r="G1806" s="13"/>
      <c r="H1806" s="45" t="s">
        <v>16</v>
      </c>
      <c r="I1806" s="47"/>
      <c r="J1806" s="12" t="s">
        <v>4615</v>
      </c>
      <c r="K1806" s="13" t="s">
        <v>8577</v>
      </c>
      <c r="L1806" s="99" t="str">
        <f t="shared" si="99"/>
        <v>W326B.E</v>
      </c>
      <c r="M1806" s="45"/>
      <c r="N1806" s="47"/>
      <c r="O1806" s="47"/>
      <c r="P1806" s="47"/>
      <c r="Q1806" s="45"/>
      <c r="R1806" s="45"/>
      <c r="S1806" s="48"/>
    </row>
    <row r="1807" spans="1:19" s="49" customFormat="1" ht="14.15" customHeight="1">
      <c r="A1807" s="45"/>
      <c r="B1807" s="44" t="s">
        <v>6635</v>
      </c>
      <c r="C1807" s="50"/>
      <c r="D1807" s="10" t="s">
        <v>29</v>
      </c>
      <c r="E1807" s="11"/>
      <c r="F1807" s="11" t="s">
        <v>18</v>
      </c>
      <c r="G1807" s="13"/>
      <c r="H1807" s="45" t="s">
        <v>16</v>
      </c>
      <c r="I1807" s="47"/>
      <c r="J1807" s="12" t="s">
        <v>4616</v>
      </c>
      <c r="K1807" s="13" t="s">
        <v>8578</v>
      </c>
      <c r="L1807" s="99" t="str">
        <f t="shared" si="99"/>
        <v>W326B.F</v>
      </c>
      <c r="M1807" s="45"/>
      <c r="N1807" s="47"/>
      <c r="O1807" s="47"/>
      <c r="P1807" s="47"/>
      <c r="Q1807" s="45"/>
      <c r="R1807" s="45"/>
      <c r="S1807" s="48"/>
    </row>
    <row r="1808" spans="1:19" s="49" customFormat="1" ht="14.15" customHeight="1">
      <c r="A1808" s="45"/>
      <c r="B1808" s="44" t="s">
        <v>6635</v>
      </c>
      <c r="C1808" s="50"/>
      <c r="D1808" s="10" t="s">
        <v>29</v>
      </c>
      <c r="E1808" s="11"/>
      <c r="F1808" s="11" t="s">
        <v>18</v>
      </c>
      <c r="G1808" s="13"/>
      <c r="H1808" s="45" t="s">
        <v>16</v>
      </c>
      <c r="I1808" s="47"/>
      <c r="J1808" s="12" t="s">
        <v>4617</v>
      </c>
      <c r="K1808" s="13" t="s">
        <v>8579</v>
      </c>
      <c r="L1808" s="99" t="str">
        <f t="shared" si="99"/>
        <v>W326C.0</v>
      </c>
      <c r="M1808" s="45"/>
      <c r="N1808" s="47"/>
      <c r="O1808" s="47"/>
      <c r="P1808" s="47"/>
      <c r="Q1808" s="45"/>
      <c r="R1808" s="45"/>
      <c r="S1808" s="48"/>
    </row>
    <row r="1809" spans="1:19" s="49" customFormat="1" ht="14.15" customHeight="1">
      <c r="A1809" s="45"/>
      <c r="B1809" s="44" t="s">
        <v>6635</v>
      </c>
      <c r="C1809" s="50"/>
      <c r="D1809" s="10" t="s">
        <v>29</v>
      </c>
      <c r="E1809" s="11"/>
      <c r="F1809" s="11" t="s">
        <v>18</v>
      </c>
      <c r="G1809" s="13"/>
      <c r="H1809" s="45" t="s">
        <v>16</v>
      </c>
      <c r="I1809" s="47"/>
      <c r="J1809" s="12" t="s">
        <v>4618</v>
      </c>
      <c r="K1809" s="13" t="s">
        <v>8580</v>
      </c>
      <c r="L1809" s="99" t="str">
        <f t="shared" ref="L1809:L1872" si="100">"W"&amp;DEC2HEX(12800 + INT((ROW()-80)/16)) &amp; "." &amp; IF(MOD(ROW()-80,16)&lt;10,MOD(ROW()-80,16),CHAR(MOD(ROW()-80,16)+55))</f>
        <v>W326C.1</v>
      </c>
      <c r="M1809" s="45"/>
      <c r="N1809" s="47"/>
      <c r="O1809" s="47"/>
      <c r="P1809" s="47"/>
      <c r="Q1809" s="45"/>
      <c r="R1809" s="45"/>
      <c r="S1809" s="48"/>
    </row>
    <row r="1810" spans="1:19" s="49" customFormat="1" ht="14.15" customHeight="1">
      <c r="A1810" s="45"/>
      <c r="B1810" s="44" t="s">
        <v>6635</v>
      </c>
      <c r="C1810" s="50"/>
      <c r="D1810" s="10" t="s">
        <v>29</v>
      </c>
      <c r="E1810" s="11"/>
      <c r="F1810" s="11" t="s">
        <v>18</v>
      </c>
      <c r="G1810" s="13"/>
      <c r="H1810" s="45" t="s">
        <v>16</v>
      </c>
      <c r="I1810" s="47"/>
      <c r="J1810" s="12" t="s">
        <v>4619</v>
      </c>
      <c r="K1810" s="13" t="s">
        <v>8581</v>
      </c>
      <c r="L1810" s="99" t="str">
        <f t="shared" si="100"/>
        <v>W326C.2</v>
      </c>
      <c r="M1810" s="45"/>
      <c r="N1810" s="47"/>
      <c r="O1810" s="47"/>
      <c r="P1810" s="47"/>
      <c r="Q1810" s="45"/>
      <c r="R1810" s="45"/>
      <c r="S1810" s="48"/>
    </row>
    <row r="1811" spans="1:19" s="49" customFormat="1" ht="14.15" customHeight="1">
      <c r="A1811" s="45"/>
      <c r="B1811" s="44" t="s">
        <v>6635</v>
      </c>
      <c r="C1811" s="50"/>
      <c r="D1811" s="10" t="s">
        <v>29</v>
      </c>
      <c r="E1811" s="11"/>
      <c r="F1811" s="11" t="s">
        <v>18</v>
      </c>
      <c r="G1811" s="13"/>
      <c r="H1811" s="45" t="s">
        <v>16</v>
      </c>
      <c r="I1811" s="47"/>
      <c r="J1811" s="12" t="s">
        <v>4620</v>
      </c>
      <c r="K1811" s="13" t="s">
        <v>8582</v>
      </c>
      <c r="L1811" s="99" t="str">
        <f t="shared" si="100"/>
        <v>W326C.3</v>
      </c>
      <c r="M1811" s="45"/>
      <c r="N1811" s="47"/>
      <c r="O1811" s="47"/>
      <c r="P1811" s="47"/>
      <c r="Q1811" s="45"/>
      <c r="R1811" s="45"/>
      <c r="S1811" s="48"/>
    </row>
    <row r="1812" spans="1:19" s="49" customFormat="1" ht="14.15" customHeight="1">
      <c r="A1812" s="45"/>
      <c r="B1812" s="44" t="s">
        <v>6635</v>
      </c>
      <c r="C1812" s="50"/>
      <c r="D1812" s="10" t="s">
        <v>29</v>
      </c>
      <c r="E1812" s="11"/>
      <c r="F1812" s="11" t="s">
        <v>18</v>
      </c>
      <c r="G1812" s="13"/>
      <c r="H1812" s="45" t="s">
        <v>16</v>
      </c>
      <c r="I1812" s="47"/>
      <c r="J1812" s="12" t="s">
        <v>4621</v>
      </c>
      <c r="K1812" s="13" t="s">
        <v>8583</v>
      </c>
      <c r="L1812" s="99" t="str">
        <f t="shared" si="100"/>
        <v>W326C.4</v>
      </c>
      <c r="M1812" s="13"/>
      <c r="N1812" s="47"/>
      <c r="O1812" s="47"/>
      <c r="P1812" s="47"/>
      <c r="Q1812" s="45"/>
      <c r="R1812" s="45"/>
      <c r="S1812" s="48"/>
    </row>
    <row r="1813" spans="1:19" s="49" customFormat="1" ht="14.15" customHeight="1">
      <c r="A1813" s="45"/>
      <c r="B1813" s="44" t="s">
        <v>6635</v>
      </c>
      <c r="C1813" s="50"/>
      <c r="D1813" s="10" t="s">
        <v>29</v>
      </c>
      <c r="E1813" s="11"/>
      <c r="F1813" s="11" t="s">
        <v>18</v>
      </c>
      <c r="G1813" s="13"/>
      <c r="H1813" s="45" t="s">
        <v>16</v>
      </c>
      <c r="I1813" s="47"/>
      <c r="J1813" s="12" t="s">
        <v>4622</v>
      </c>
      <c r="K1813" s="13" t="s">
        <v>8584</v>
      </c>
      <c r="L1813" s="99" t="str">
        <f t="shared" si="100"/>
        <v>W326C.5</v>
      </c>
      <c r="M1813" s="45"/>
      <c r="N1813" s="47"/>
      <c r="O1813" s="47"/>
      <c r="P1813" s="47"/>
      <c r="Q1813" s="45"/>
      <c r="R1813" s="45"/>
      <c r="S1813" s="48"/>
    </row>
    <row r="1814" spans="1:19" s="49" customFormat="1" ht="14.15" customHeight="1">
      <c r="A1814" s="45"/>
      <c r="B1814" s="44" t="s">
        <v>6635</v>
      </c>
      <c r="C1814" s="50"/>
      <c r="D1814" s="10" t="s">
        <v>29</v>
      </c>
      <c r="E1814" s="11"/>
      <c r="F1814" s="11" t="s">
        <v>18</v>
      </c>
      <c r="G1814" s="13"/>
      <c r="H1814" s="45" t="s">
        <v>16</v>
      </c>
      <c r="I1814" s="47"/>
      <c r="J1814" s="12" t="s">
        <v>4623</v>
      </c>
      <c r="K1814" s="13" t="s">
        <v>8585</v>
      </c>
      <c r="L1814" s="99" t="str">
        <f t="shared" si="100"/>
        <v>W326C.6</v>
      </c>
      <c r="M1814" s="13"/>
      <c r="N1814" s="47"/>
      <c r="O1814" s="47"/>
      <c r="P1814" s="47"/>
      <c r="Q1814" s="45"/>
      <c r="R1814" s="45"/>
      <c r="S1814" s="48"/>
    </row>
    <row r="1815" spans="1:19" s="49" customFormat="1" ht="14.15" customHeight="1">
      <c r="A1815" s="45"/>
      <c r="B1815" s="44" t="s">
        <v>6635</v>
      </c>
      <c r="C1815" s="50"/>
      <c r="D1815" s="10" t="s">
        <v>29</v>
      </c>
      <c r="E1815" s="11"/>
      <c r="F1815" s="11" t="s">
        <v>18</v>
      </c>
      <c r="G1815" s="13"/>
      <c r="H1815" s="45" t="s">
        <v>16</v>
      </c>
      <c r="I1815" s="47"/>
      <c r="J1815" s="12" t="s">
        <v>4624</v>
      </c>
      <c r="K1815" s="13" t="s">
        <v>8586</v>
      </c>
      <c r="L1815" s="99" t="str">
        <f t="shared" si="100"/>
        <v>W326C.7</v>
      </c>
      <c r="M1815" s="13"/>
      <c r="N1815" s="47"/>
      <c r="O1815" s="47"/>
      <c r="P1815" s="47"/>
      <c r="Q1815" s="45"/>
      <c r="R1815" s="45"/>
      <c r="S1815" s="48"/>
    </row>
    <row r="1816" spans="1:19" s="49" customFormat="1" ht="14.15" customHeight="1">
      <c r="A1816" s="45"/>
      <c r="B1816" s="44" t="s">
        <v>6635</v>
      </c>
      <c r="C1816" s="50"/>
      <c r="D1816" s="10" t="s">
        <v>29</v>
      </c>
      <c r="E1816" s="11"/>
      <c r="F1816" s="11" t="s">
        <v>18</v>
      </c>
      <c r="G1816" s="13"/>
      <c r="H1816" s="45" t="s">
        <v>16</v>
      </c>
      <c r="I1816" s="47"/>
      <c r="J1816" s="12" t="s">
        <v>4625</v>
      </c>
      <c r="K1816" s="13" t="s">
        <v>8587</v>
      </c>
      <c r="L1816" s="99" t="str">
        <f t="shared" si="100"/>
        <v>W326C.8</v>
      </c>
      <c r="M1816" s="13"/>
      <c r="N1816" s="47"/>
      <c r="O1816" s="47"/>
      <c r="P1816" s="47"/>
      <c r="Q1816" s="45"/>
      <c r="R1816" s="45"/>
      <c r="S1816" s="48"/>
    </row>
    <row r="1817" spans="1:19" s="49" customFormat="1" ht="14.15" customHeight="1">
      <c r="A1817" s="45"/>
      <c r="B1817" s="44" t="s">
        <v>6635</v>
      </c>
      <c r="C1817" s="50"/>
      <c r="D1817" s="10" t="s">
        <v>29</v>
      </c>
      <c r="E1817" s="11"/>
      <c r="F1817" s="11" t="s">
        <v>18</v>
      </c>
      <c r="G1817" s="13"/>
      <c r="H1817" s="45" t="s">
        <v>16</v>
      </c>
      <c r="I1817" s="47"/>
      <c r="J1817" s="12" t="s">
        <v>4626</v>
      </c>
      <c r="K1817" s="13" t="s">
        <v>8588</v>
      </c>
      <c r="L1817" s="99" t="str">
        <f t="shared" si="100"/>
        <v>W326C.9</v>
      </c>
      <c r="M1817" s="45"/>
      <c r="N1817" s="47"/>
      <c r="O1817" s="47"/>
      <c r="P1817" s="47"/>
      <c r="Q1817" s="45"/>
      <c r="R1817" s="45"/>
      <c r="S1817" s="48"/>
    </row>
    <row r="1818" spans="1:19" s="49" customFormat="1" ht="14.15" customHeight="1">
      <c r="A1818" s="45"/>
      <c r="B1818" s="44" t="s">
        <v>6635</v>
      </c>
      <c r="C1818" s="50"/>
      <c r="D1818" s="10" t="s">
        <v>29</v>
      </c>
      <c r="E1818" s="11"/>
      <c r="F1818" s="11" t="s">
        <v>18</v>
      </c>
      <c r="G1818" s="13"/>
      <c r="H1818" s="45" t="s">
        <v>16</v>
      </c>
      <c r="I1818" s="47"/>
      <c r="J1818" s="12" t="s">
        <v>4627</v>
      </c>
      <c r="K1818" s="13" t="s">
        <v>8589</v>
      </c>
      <c r="L1818" s="99" t="str">
        <f t="shared" si="100"/>
        <v>W326C.A</v>
      </c>
      <c r="M1818" s="45"/>
      <c r="N1818" s="47"/>
      <c r="O1818" s="47"/>
      <c r="P1818" s="47"/>
      <c r="Q1818" s="45"/>
      <c r="R1818" s="45"/>
      <c r="S1818" s="48"/>
    </row>
    <row r="1819" spans="1:19" s="49" customFormat="1" ht="14.15" customHeight="1">
      <c r="A1819" s="45"/>
      <c r="B1819" s="44" t="s">
        <v>6635</v>
      </c>
      <c r="C1819" s="50"/>
      <c r="D1819" s="10" t="s">
        <v>29</v>
      </c>
      <c r="E1819" s="11"/>
      <c r="F1819" s="11" t="s">
        <v>18</v>
      </c>
      <c r="G1819" s="13"/>
      <c r="H1819" s="45" t="s">
        <v>16</v>
      </c>
      <c r="I1819" s="47"/>
      <c r="J1819" s="12" t="s">
        <v>4628</v>
      </c>
      <c r="K1819" s="13" t="s">
        <v>8590</v>
      </c>
      <c r="L1819" s="99" t="str">
        <f t="shared" si="100"/>
        <v>W326C.B</v>
      </c>
      <c r="M1819" s="45"/>
      <c r="N1819" s="47"/>
      <c r="O1819" s="47"/>
      <c r="P1819" s="47"/>
      <c r="Q1819" s="45"/>
      <c r="R1819" s="45"/>
      <c r="S1819" s="48"/>
    </row>
    <row r="1820" spans="1:19" s="49" customFormat="1" ht="14.15" customHeight="1">
      <c r="A1820" s="45"/>
      <c r="B1820" s="44" t="s">
        <v>6635</v>
      </c>
      <c r="C1820" s="50"/>
      <c r="D1820" s="10" t="s">
        <v>29</v>
      </c>
      <c r="E1820" s="11"/>
      <c r="F1820" s="11" t="s">
        <v>18</v>
      </c>
      <c r="G1820" s="13"/>
      <c r="H1820" s="45" t="s">
        <v>16</v>
      </c>
      <c r="I1820" s="47"/>
      <c r="J1820" s="12" t="s">
        <v>4629</v>
      </c>
      <c r="K1820" s="13" t="s">
        <v>8591</v>
      </c>
      <c r="L1820" s="99" t="str">
        <f t="shared" si="100"/>
        <v>W326C.C</v>
      </c>
      <c r="M1820" s="45"/>
      <c r="N1820" s="47"/>
      <c r="O1820" s="47"/>
      <c r="P1820" s="47"/>
      <c r="Q1820" s="45"/>
      <c r="R1820" s="45"/>
      <c r="S1820" s="48"/>
    </row>
    <row r="1821" spans="1:19" s="49" customFormat="1" ht="14.15" customHeight="1">
      <c r="A1821" s="45"/>
      <c r="B1821" s="44" t="s">
        <v>6635</v>
      </c>
      <c r="C1821" s="50"/>
      <c r="D1821" s="10" t="s">
        <v>29</v>
      </c>
      <c r="E1821" s="11"/>
      <c r="F1821" s="11" t="s">
        <v>18</v>
      </c>
      <c r="G1821" s="13"/>
      <c r="H1821" s="45" t="s">
        <v>16</v>
      </c>
      <c r="I1821" s="47"/>
      <c r="J1821" s="12" t="s">
        <v>4630</v>
      </c>
      <c r="K1821" s="13" t="s">
        <v>8592</v>
      </c>
      <c r="L1821" s="99" t="str">
        <f t="shared" si="100"/>
        <v>W326C.D</v>
      </c>
      <c r="M1821" s="45"/>
      <c r="N1821" s="47"/>
      <c r="O1821" s="47"/>
      <c r="P1821" s="47"/>
      <c r="Q1821" s="45"/>
      <c r="R1821" s="45"/>
      <c r="S1821" s="48"/>
    </row>
    <row r="1822" spans="1:19" s="49" customFormat="1" ht="14.15" customHeight="1">
      <c r="A1822" s="45"/>
      <c r="B1822" s="44" t="s">
        <v>6635</v>
      </c>
      <c r="C1822" s="50"/>
      <c r="D1822" s="10" t="s">
        <v>29</v>
      </c>
      <c r="E1822" s="11"/>
      <c r="F1822" s="11" t="s">
        <v>18</v>
      </c>
      <c r="G1822" s="13"/>
      <c r="H1822" s="45" t="s">
        <v>16</v>
      </c>
      <c r="I1822" s="47"/>
      <c r="J1822" s="12" t="s">
        <v>4631</v>
      </c>
      <c r="K1822" s="13" t="s">
        <v>8593</v>
      </c>
      <c r="L1822" s="99" t="str">
        <f t="shared" si="100"/>
        <v>W326C.E</v>
      </c>
      <c r="M1822" s="45"/>
      <c r="N1822" s="47"/>
      <c r="O1822" s="47"/>
      <c r="P1822" s="47"/>
      <c r="Q1822" s="45"/>
      <c r="R1822" s="45"/>
      <c r="S1822" s="48"/>
    </row>
    <row r="1823" spans="1:19" s="49" customFormat="1" ht="14.15" customHeight="1">
      <c r="A1823" s="45"/>
      <c r="B1823" s="44" t="s">
        <v>6635</v>
      </c>
      <c r="C1823" s="50"/>
      <c r="D1823" s="10" t="s">
        <v>29</v>
      </c>
      <c r="E1823" s="11"/>
      <c r="F1823" s="11" t="s">
        <v>18</v>
      </c>
      <c r="G1823" s="13"/>
      <c r="H1823" s="45" t="s">
        <v>16</v>
      </c>
      <c r="I1823" s="47"/>
      <c r="J1823" s="12" t="s">
        <v>4632</v>
      </c>
      <c r="K1823" s="13" t="s">
        <v>8594</v>
      </c>
      <c r="L1823" s="99" t="str">
        <f t="shared" si="100"/>
        <v>W326C.F</v>
      </c>
      <c r="M1823" s="45"/>
      <c r="N1823" s="47"/>
      <c r="O1823" s="47"/>
      <c r="P1823" s="47"/>
      <c r="Q1823" s="45"/>
      <c r="R1823" s="45"/>
      <c r="S1823" s="48"/>
    </row>
    <row r="1824" spans="1:19" s="49" customFormat="1" ht="14.15" customHeight="1">
      <c r="A1824" s="45"/>
      <c r="B1824" s="44" t="s">
        <v>6635</v>
      </c>
      <c r="C1824" s="50"/>
      <c r="D1824" s="10" t="s">
        <v>29</v>
      </c>
      <c r="E1824" s="11"/>
      <c r="F1824" s="11" t="s">
        <v>18</v>
      </c>
      <c r="G1824" s="13"/>
      <c r="H1824" s="45" t="s">
        <v>16</v>
      </c>
      <c r="I1824" s="47"/>
      <c r="J1824" s="12" t="s">
        <v>4633</v>
      </c>
      <c r="K1824" s="13" t="s">
        <v>8595</v>
      </c>
      <c r="L1824" s="99" t="str">
        <f t="shared" si="100"/>
        <v>W326D.0</v>
      </c>
      <c r="M1824" s="45"/>
      <c r="N1824" s="47"/>
      <c r="O1824" s="47"/>
      <c r="P1824" s="47"/>
      <c r="Q1824" s="45"/>
      <c r="R1824" s="45"/>
      <c r="S1824" s="48"/>
    </row>
    <row r="1825" spans="1:19" s="49" customFormat="1" ht="14.15" customHeight="1">
      <c r="A1825" s="45"/>
      <c r="B1825" s="44" t="s">
        <v>6635</v>
      </c>
      <c r="C1825" s="50"/>
      <c r="D1825" s="10" t="s">
        <v>29</v>
      </c>
      <c r="E1825" s="11"/>
      <c r="F1825" s="11" t="s">
        <v>18</v>
      </c>
      <c r="G1825" s="13"/>
      <c r="H1825" s="45" t="s">
        <v>16</v>
      </c>
      <c r="I1825" s="47"/>
      <c r="J1825" s="12" t="s">
        <v>4634</v>
      </c>
      <c r="K1825" s="13" t="s">
        <v>8596</v>
      </c>
      <c r="L1825" s="99" t="str">
        <f t="shared" si="100"/>
        <v>W326D.1</v>
      </c>
      <c r="M1825" s="45"/>
      <c r="N1825" s="47"/>
      <c r="O1825" s="47"/>
      <c r="P1825" s="47"/>
      <c r="Q1825" s="45"/>
      <c r="R1825" s="45"/>
      <c r="S1825" s="48"/>
    </row>
    <row r="1826" spans="1:19" s="49" customFormat="1" ht="14.15" customHeight="1">
      <c r="A1826" s="45"/>
      <c r="B1826" s="44" t="s">
        <v>6635</v>
      </c>
      <c r="C1826" s="50"/>
      <c r="D1826" s="10" t="s">
        <v>29</v>
      </c>
      <c r="E1826" s="11"/>
      <c r="F1826" s="11" t="s">
        <v>18</v>
      </c>
      <c r="G1826" s="13"/>
      <c r="H1826" s="45" t="s">
        <v>16</v>
      </c>
      <c r="I1826" s="47"/>
      <c r="J1826" s="12" t="s">
        <v>4635</v>
      </c>
      <c r="K1826" s="13" t="s">
        <v>8597</v>
      </c>
      <c r="L1826" s="99" t="str">
        <f t="shared" si="100"/>
        <v>W326D.2</v>
      </c>
      <c r="M1826" s="45"/>
      <c r="N1826" s="47"/>
      <c r="O1826" s="47"/>
      <c r="P1826" s="47"/>
      <c r="Q1826" s="45"/>
      <c r="R1826" s="45"/>
      <c r="S1826" s="48"/>
    </row>
    <row r="1827" spans="1:19" s="49" customFormat="1" ht="14.15" customHeight="1">
      <c r="A1827" s="45"/>
      <c r="B1827" s="44" t="s">
        <v>6635</v>
      </c>
      <c r="C1827" s="50"/>
      <c r="D1827" s="10" t="s">
        <v>29</v>
      </c>
      <c r="E1827" s="11"/>
      <c r="F1827" s="11" t="s">
        <v>18</v>
      </c>
      <c r="G1827" s="13"/>
      <c r="H1827" s="45" t="s">
        <v>16</v>
      </c>
      <c r="I1827" s="47"/>
      <c r="J1827" s="12" t="s">
        <v>4636</v>
      </c>
      <c r="K1827" s="13" t="s">
        <v>8598</v>
      </c>
      <c r="L1827" s="99" t="str">
        <f t="shared" si="100"/>
        <v>W326D.3</v>
      </c>
      <c r="M1827" s="45"/>
      <c r="N1827" s="47"/>
      <c r="O1827" s="47"/>
      <c r="P1827" s="47"/>
      <c r="Q1827" s="45"/>
      <c r="R1827" s="45"/>
      <c r="S1827" s="48"/>
    </row>
    <row r="1828" spans="1:19" s="49" customFormat="1" ht="14.15" customHeight="1">
      <c r="A1828" s="45"/>
      <c r="B1828" s="44" t="s">
        <v>6635</v>
      </c>
      <c r="C1828" s="50"/>
      <c r="D1828" s="10" t="s">
        <v>29</v>
      </c>
      <c r="E1828" s="11"/>
      <c r="F1828" s="11" t="s">
        <v>18</v>
      </c>
      <c r="G1828" s="13"/>
      <c r="H1828" s="45" t="s">
        <v>16</v>
      </c>
      <c r="I1828" s="47"/>
      <c r="J1828" s="12" t="s">
        <v>4637</v>
      </c>
      <c r="K1828" s="13" t="s">
        <v>8599</v>
      </c>
      <c r="L1828" s="99" t="str">
        <f t="shared" si="100"/>
        <v>W326D.4</v>
      </c>
      <c r="M1828" s="45"/>
      <c r="N1828" s="47"/>
      <c r="O1828" s="47"/>
      <c r="P1828" s="47"/>
      <c r="Q1828" s="45"/>
      <c r="R1828" s="45"/>
      <c r="S1828" s="48"/>
    </row>
    <row r="1829" spans="1:19" s="49" customFormat="1" ht="14.15" customHeight="1">
      <c r="A1829" s="45"/>
      <c r="B1829" s="44" t="s">
        <v>6635</v>
      </c>
      <c r="C1829" s="50"/>
      <c r="D1829" s="10" t="s">
        <v>29</v>
      </c>
      <c r="E1829" s="11"/>
      <c r="F1829" s="11" t="s">
        <v>18</v>
      </c>
      <c r="G1829" s="13"/>
      <c r="H1829" s="45" t="s">
        <v>16</v>
      </c>
      <c r="I1829" s="47"/>
      <c r="J1829" s="12" t="s">
        <v>4638</v>
      </c>
      <c r="K1829" s="13" t="s">
        <v>8600</v>
      </c>
      <c r="L1829" s="99" t="str">
        <f t="shared" si="100"/>
        <v>W326D.5</v>
      </c>
      <c r="M1829" s="45"/>
      <c r="N1829" s="47"/>
      <c r="O1829" s="47"/>
      <c r="P1829" s="47"/>
      <c r="Q1829" s="45"/>
      <c r="R1829" s="45"/>
      <c r="S1829" s="48"/>
    </row>
    <row r="1830" spans="1:19" s="49" customFormat="1" ht="14.15" customHeight="1">
      <c r="A1830" s="45"/>
      <c r="B1830" s="44" t="s">
        <v>6635</v>
      </c>
      <c r="C1830" s="50"/>
      <c r="D1830" s="10" t="s">
        <v>29</v>
      </c>
      <c r="E1830" s="11"/>
      <c r="F1830" s="11" t="s">
        <v>18</v>
      </c>
      <c r="G1830" s="13"/>
      <c r="H1830" s="45" t="s">
        <v>16</v>
      </c>
      <c r="I1830" s="47"/>
      <c r="J1830" s="12" t="s">
        <v>4639</v>
      </c>
      <c r="K1830" s="13" t="s">
        <v>8601</v>
      </c>
      <c r="L1830" s="99" t="str">
        <f t="shared" si="100"/>
        <v>W326D.6</v>
      </c>
      <c r="M1830" s="45"/>
      <c r="N1830" s="47"/>
      <c r="O1830" s="47"/>
      <c r="P1830" s="47"/>
      <c r="Q1830" s="45"/>
      <c r="R1830" s="45"/>
      <c r="S1830" s="48"/>
    </row>
    <row r="1831" spans="1:19" s="49" customFormat="1" ht="14.15" customHeight="1">
      <c r="A1831" s="45"/>
      <c r="B1831" s="44" t="s">
        <v>6635</v>
      </c>
      <c r="C1831" s="50"/>
      <c r="D1831" s="10" t="s">
        <v>29</v>
      </c>
      <c r="E1831" s="11"/>
      <c r="F1831" s="11" t="s">
        <v>18</v>
      </c>
      <c r="G1831" s="13"/>
      <c r="H1831" s="45" t="s">
        <v>16</v>
      </c>
      <c r="I1831" s="47"/>
      <c r="J1831" s="12" t="s">
        <v>4640</v>
      </c>
      <c r="K1831" s="13" t="s">
        <v>8602</v>
      </c>
      <c r="L1831" s="99" t="str">
        <f t="shared" si="100"/>
        <v>W326D.7</v>
      </c>
      <c r="M1831" s="45"/>
      <c r="N1831" s="47"/>
      <c r="O1831" s="47"/>
      <c r="P1831" s="47"/>
      <c r="Q1831" s="45"/>
      <c r="R1831" s="45"/>
      <c r="S1831" s="48"/>
    </row>
    <row r="1832" spans="1:19" s="49" customFormat="1" ht="14.15" customHeight="1">
      <c r="A1832" s="45"/>
      <c r="B1832" s="44" t="s">
        <v>6635</v>
      </c>
      <c r="C1832" s="50"/>
      <c r="D1832" s="10" t="s">
        <v>29</v>
      </c>
      <c r="E1832" s="11"/>
      <c r="F1832" s="11" t="s">
        <v>18</v>
      </c>
      <c r="G1832" s="13"/>
      <c r="H1832" s="45" t="s">
        <v>16</v>
      </c>
      <c r="I1832" s="47"/>
      <c r="J1832" s="12" t="s">
        <v>4641</v>
      </c>
      <c r="K1832" s="13" t="s">
        <v>8603</v>
      </c>
      <c r="L1832" s="99" t="str">
        <f t="shared" si="100"/>
        <v>W326D.8</v>
      </c>
      <c r="M1832" s="45"/>
      <c r="N1832" s="47"/>
      <c r="O1832" s="47"/>
      <c r="P1832" s="47"/>
      <c r="Q1832" s="45"/>
      <c r="R1832" s="45"/>
      <c r="S1832" s="48"/>
    </row>
    <row r="1833" spans="1:19" s="49" customFormat="1" ht="14.15" customHeight="1">
      <c r="A1833" s="45"/>
      <c r="B1833" s="44" t="s">
        <v>6635</v>
      </c>
      <c r="C1833" s="50"/>
      <c r="D1833" s="10" t="s">
        <v>29</v>
      </c>
      <c r="E1833" s="11"/>
      <c r="F1833" s="11" t="s">
        <v>18</v>
      </c>
      <c r="G1833" s="13"/>
      <c r="H1833" s="45" t="s">
        <v>16</v>
      </c>
      <c r="I1833" s="47"/>
      <c r="J1833" s="12" t="s">
        <v>4642</v>
      </c>
      <c r="K1833" s="13" t="s">
        <v>8604</v>
      </c>
      <c r="L1833" s="99" t="str">
        <f t="shared" si="100"/>
        <v>W326D.9</v>
      </c>
      <c r="M1833" s="45"/>
      <c r="N1833" s="47"/>
      <c r="O1833" s="47"/>
      <c r="P1833" s="47"/>
      <c r="Q1833" s="45"/>
      <c r="R1833" s="45"/>
      <c r="S1833" s="48"/>
    </row>
    <row r="1834" spans="1:19" s="49" customFormat="1" ht="14.15" customHeight="1">
      <c r="A1834" s="45"/>
      <c r="B1834" s="44" t="s">
        <v>6635</v>
      </c>
      <c r="C1834" s="50"/>
      <c r="D1834" s="10" t="s">
        <v>29</v>
      </c>
      <c r="E1834" s="11"/>
      <c r="F1834" s="11" t="s">
        <v>18</v>
      </c>
      <c r="G1834" s="13"/>
      <c r="H1834" s="45" t="s">
        <v>16</v>
      </c>
      <c r="I1834" s="47"/>
      <c r="J1834" s="12" t="s">
        <v>4643</v>
      </c>
      <c r="K1834" s="13" t="s">
        <v>8605</v>
      </c>
      <c r="L1834" s="99" t="str">
        <f t="shared" si="100"/>
        <v>W326D.A</v>
      </c>
      <c r="M1834" s="45"/>
      <c r="N1834" s="47"/>
      <c r="O1834" s="47"/>
      <c r="P1834" s="47"/>
      <c r="Q1834" s="45"/>
      <c r="R1834" s="45"/>
      <c r="S1834" s="48"/>
    </row>
    <row r="1835" spans="1:19" s="49" customFormat="1" ht="14.15" customHeight="1">
      <c r="A1835" s="45"/>
      <c r="B1835" s="44" t="s">
        <v>6635</v>
      </c>
      <c r="C1835" s="50"/>
      <c r="D1835" s="10" t="s">
        <v>29</v>
      </c>
      <c r="E1835" s="11"/>
      <c r="F1835" s="11" t="s">
        <v>18</v>
      </c>
      <c r="G1835" s="13"/>
      <c r="H1835" s="45" t="s">
        <v>16</v>
      </c>
      <c r="I1835" s="47"/>
      <c r="J1835" s="12" t="s">
        <v>4644</v>
      </c>
      <c r="K1835" s="13" t="s">
        <v>8606</v>
      </c>
      <c r="L1835" s="99" t="str">
        <f t="shared" si="100"/>
        <v>W326D.B</v>
      </c>
      <c r="M1835" s="45"/>
      <c r="N1835" s="47"/>
      <c r="O1835" s="47"/>
      <c r="P1835" s="47"/>
      <c r="Q1835" s="45"/>
      <c r="R1835" s="45"/>
      <c r="S1835" s="48"/>
    </row>
    <row r="1836" spans="1:19" s="49" customFormat="1" ht="14.15" customHeight="1">
      <c r="A1836" s="45"/>
      <c r="B1836" s="44" t="s">
        <v>6635</v>
      </c>
      <c r="C1836" s="50"/>
      <c r="D1836" s="10" t="s">
        <v>29</v>
      </c>
      <c r="E1836" s="11"/>
      <c r="F1836" s="11" t="s">
        <v>18</v>
      </c>
      <c r="G1836" s="13"/>
      <c r="H1836" s="45" t="s">
        <v>16</v>
      </c>
      <c r="I1836" s="47"/>
      <c r="J1836" s="12" t="s">
        <v>4645</v>
      </c>
      <c r="K1836" s="13" t="s">
        <v>8607</v>
      </c>
      <c r="L1836" s="99" t="str">
        <f t="shared" si="100"/>
        <v>W326D.C</v>
      </c>
      <c r="M1836" s="45"/>
      <c r="N1836" s="47"/>
      <c r="O1836" s="47"/>
      <c r="P1836" s="47"/>
      <c r="Q1836" s="45"/>
      <c r="R1836" s="45"/>
      <c r="S1836" s="48"/>
    </row>
    <row r="1837" spans="1:19" s="49" customFormat="1" ht="14.15" customHeight="1">
      <c r="A1837" s="45"/>
      <c r="B1837" s="44" t="s">
        <v>6635</v>
      </c>
      <c r="C1837" s="50"/>
      <c r="D1837" s="10" t="s">
        <v>29</v>
      </c>
      <c r="E1837" s="11"/>
      <c r="F1837" s="11" t="s">
        <v>18</v>
      </c>
      <c r="G1837" s="13"/>
      <c r="H1837" s="45" t="s">
        <v>16</v>
      </c>
      <c r="I1837" s="47"/>
      <c r="J1837" s="12" t="s">
        <v>4646</v>
      </c>
      <c r="K1837" s="13" t="s">
        <v>8608</v>
      </c>
      <c r="L1837" s="99" t="str">
        <f t="shared" si="100"/>
        <v>W326D.D</v>
      </c>
      <c r="M1837" s="45"/>
      <c r="N1837" s="47"/>
      <c r="O1837" s="47"/>
      <c r="P1837" s="47"/>
      <c r="Q1837" s="45"/>
      <c r="R1837" s="45"/>
      <c r="S1837" s="48"/>
    </row>
    <row r="1838" spans="1:19" s="49" customFormat="1" ht="14.15" customHeight="1">
      <c r="A1838" s="45"/>
      <c r="B1838" s="44" t="s">
        <v>6635</v>
      </c>
      <c r="C1838" s="50"/>
      <c r="D1838" s="10" t="s">
        <v>29</v>
      </c>
      <c r="E1838" s="11"/>
      <c r="F1838" s="11" t="s">
        <v>18</v>
      </c>
      <c r="G1838" s="13"/>
      <c r="H1838" s="45" t="s">
        <v>16</v>
      </c>
      <c r="I1838" s="47"/>
      <c r="J1838" s="12" t="s">
        <v>4647</v>
      </c>
      <c r="K1838" s="13" t="s">
        <v>8609</v>
      </c>
      <c r="L1838" s="99" t="str">
        <f t="shared" si="100"/>
        <v>W326D.E</v>
      </c>
      <c r="M1838" s="45"/>
      <c r="N1838" s="47"/>
      <c r="O1838" s="47"/>
      <c r="P1838" s="47"/>
      <c r="Q1838" s="45"/>
      <c r="R1838" s="45"/>
      <c r="S1838" s="48"/>
    </row>
    <row r="1839" spans="1:19" s="49" customFormat="1" ht="14.15" customHeight="1">
      <c r="A1839" s="43" t="s">
        <v>6687</v>
      </c>
      <c r="B1839" s="44" t="s">
        <v>6635</v>
      </c>
      <c r="C1839" s="50"/>
      <c r="D1839" s="10" t="s">
        <v>29</v>
      </c>
      <c r="E1839" s="11"/>
      <c r="F1839" s="11" t="s">
        <v>18</v>
      </c>
      <c r="G1839" s="13"/>
      <c r="H1839" s="45" t="s">
        <v>16</v>
      </c>
      <c r="I1839" s="47"/>
      <c r="J1839" s="12" t="s">
        <v>6575</v>
      </c>
      <c r="K1839" s="13" t="s">
        <v>8610</v>
      </c>
      <c r="L1839" s="99" t="str">
        <f t="shared" si="100"/>
        <v>W326D.F</v>
      </c>
      <c r="M1839" s="13" t="s">
        <v>17</v>
      </c>
      <c r="N1839" s="13"/>
      <c r="O1839" s="13"/>
      <c r="P1839" s="47"/>
      <c r="Q1839" s="45" t="s">
        <v>142</v>
      </c>
      <c r="R1839" s="45" t="s">
        <v>5552</v>
      </c>
      <c r="S1839" s="48"/>
    </row>
    <row r="1840" spans="1:19" s="49" customFormat="1" ht="14.15" customHeight="1">
      <c r="A1840" s="43" t="s">
        <v>6687</v>
      </c>
      <c r="B1840" s="44" t="s">
        <v>6635</v>
      </c>
      <c r="C1840" s="50"/>
      <c r="D1840" s="10" t="s">
        <v>29</v>
      </c>
      <c r="E1840" s="11"/>
      <c r="F1840" s="11" t="s">
        <v>18</v>
      </c>
      <c r="G1840" s="13"/>
      <c r="H1840" s="45" t="s">
        <v>16</v>
      </c>
      <c r="I1840" s="47"/>
      <c r="J1840" s="12" t="s">
        <v>6576</v>
      </c>
      <c r="K1840" s="13" t="s">
        <v>8611</v>
      </c>
      <c r="L1840" s="99" t="str">
        <f t="shared" si="100"/>
        <v>W326E.0</v>
      </c>
      <c r="M1840" s="13" t="s">
        <v>17</v>
      </c>
      <c r="N1840" s="13"/>
      <c r="O1840" s="13"/>
      <c r="P1840" s="47"/>
      <c r="Q1840" s="45" t="s">
        <v>142</v>
      </c>
      <c r="R1840" s="45" t="s">
        <v>5552</v>
      </c>
      <c r="S1840" s="48"/>
    </row>
    <row r="1841" spans="1:19" s="49" customFormat="1" ht="14.15" customHeight="1">
      <c r="A1841" s="45"/>
      <c r="B1841" s="44" t="s">
        <v>6635</v>
      </c>
      <c r="C1841" s="50"/>
      <c r="D1841" s="10" t="s">
        <v>29</v>
      </c>
      <c r="E1841" s="11"/>
      <c r="F1841" s="11" t="s">
        <v>18</v>
      </c>
      <c r="G1841" s="13"/>
      <c r="H1841" s="45" t="s">
        <v>16</v>
      </c>
      <c r="I1841" s="47"/>
      <c r="J1841" s="12" t="s">
        <v>4650</v>
      </c>
      <c r="K1841" s="13" t="s">
        <v>8612</v>
      </c>
      <c r="L1841" s="99" t="str">
        <f t="shared" si="100"/>
        <v>W326E.1</v>
      </c>
      <c r="M1841" s="45"/>
      <c r="N1841" s="47"/>
      <c r="O1841" s="47"/>
      <c r="P1841" s="47"/>
      <c r="Q1841" s="45"/>
      <c r="R1841" s="45"/>
      <c r="S1841" s="48"/>
    </row>
    <row r="1842" spans="1:19" s="49" customFormat="1" ht="14.15" customHeight="1">
      <c r="A1842" s="45"/>
      <c r="B1842" s="44" t="s">
        <v>6635</v>
      </c>
      <c r="C1842" s="50"/>
      <c r="D1842" s="10" t="s">
        <v>29</v>
      </c>
      <c r="E1842" s="11"/>
      <c r="F1842" s="11" t="s">
        <v>18</v>
      </c>
      <c r="G1842" s="13"/>
      <c r="H1842" s="45" t="s">
        <v>16</v>
      </c>
      <c r="I1842" s="47"/>
      <c r="J1842" s="12" t="s">
        <v>4651</v>
      </c>
      <c r="K1842" s="13" t="s">
        <v>8613</v>
      </c>
      <c r="L1842" s="99" t="str">
        <f t="shared" si="100"/>
        <v>W326E.2</v>
      </c>
      <c r="M1842" s="45"/>
      <c r="N1842" s="47"/>
      <c r="O1842" s="47"/>
      <c r="P1842" s="47"/>
      <c r="Q1842" s="45"/>
      <c r="R1842" s="45"/>
      <c r="S1842" s="48"/>
    </row>
    <row r="1843" spans="1:19" s="49" customFormat="1" ht="14.15" customHeight="1">
      <c r="A1843" s="45"/>
      <c r="B1843" s="44" t="s">
        <v>6635</v>
      </c>
      <c r="C1843" s="50"/>
      <c r="D1843" s="10" t="s">
        <v>29</v>
      </c>
      <c r="E1843" s="11"/>
      <c r="F1843" s="11" t="s">
        <v>18</v>
      </c>
      <c r="G1843" s="13"/>
      <c r="H1843" s="45" t="s">
        <v>16</v>
      </c>
      <c r="I1843" s="47"/>
      <c r="J1843" s="12" t="s">
        <v>4652</v>
      </c>
      <c r="K1843" s="13" t="s">
        <v>8614</v>
      </c>
      <c r="L1843" s="99" t="str">
        <f t="shared" si="100"/>
        <v>W326E.3</v>
      </c>
      <c r="M1843" s="45"/>
      <c r="N1843" s="47"/>
      <c r="O1843" s="47"/>
      <c r="P1843" s="47"/>
      <c r="Q1843" s="45"/>
      <c r="R1843" s="45"/>
      <c r="S1843" s="48"/>
    </row>
    <row r="1844" spans="1:19" s="49" customFormat="1" ht="14.15" customHeight="1">
      <c r="A1844" s="45"/>
      <c r="B1844" s="44" t="s">
        <v>6635</v>
      </c>
      <c r="C1844" s="50"/>
      <c r="D1844" s="10" t="s">
        <v>29</v>
      </c>
      <c r="E1844" s="11"/>
      <c r="F1844" s="11" t="s">
        <v>18</v>
      </c>
      <c r="G1844" s="13"/>
      <c r="H1844" s="45" t="s">
        <v>16</v>
      </c>
      <c r="I1844" s="47"/>
      <c r="J1844" s="12" t="s">
        <v>4653</v>
      </c>
      <c r="K1844" s="13" t="s">
        <v>8615</v>
      </c>
      <c r="L1844" s="99" t="str">
        <f t="shared" si="100"/>
        <v>W326E.4</v>
      </c>
      <c r="M1844" s="45"/>
      <c r="N1844" s="47"/>
      <c r="O1844" s="47"/>
      <c r="P1844" s="47"/>
      <c r="Q1844" s="45"/>
      <c r="R1844" s="45"/>
      <c r="S1844" s="48"/>
    </row>
    <row r="1845" spans="1:19" s="49" customFormat="1" ht="14.15" customHeight="1">
      <c r="A1845" s="45"/>
      <c r="B1845" s="44" t="s">
        <v>6635</v>
      </c>
      <c r="C1845" s="50"/>
      <c r="D1845" s="10" t="s">
        <v>29</v>
      </c>
      <c r="E1845" s="11"/>
      <c r="F1845" s="11" t="s">
        <v>18</v>
      </c>
      <c r="G1845" s="13"/>
      <c r="H1845" s="45" t="s">
        <v>16</v>
      </c>
      <c r="I1845" s="47"/>
      <c r="J1845" s="12" t="s">
        <v>4654</v>
      </c>
      <c r="K1845" s="13" t="s">
        <v>8616</v>
      </c>
      <c r="L1845" s="99" t="str">
        <f t="shared" si="100"/>
        <v>W326E.5</v>
      </c>
      <c r="M1845" s="45"/>
      <c r="N1845" s="47"/>
      <c r="O1845" s="47"/>
      <c r="P1845" s="47"/>
      <c r="Q1845" s="45"/>
      <c r="R1845" s="45"/>
      <c r="S1845" s="48"/>
    </row>
    <row r="1846" spans="1:19" s="49" customFormat="1" ht="14.15" customHeight="1">
      <c r="A1846" s="45"/>
      <c r="B1846" s="44" t="s">
        <v>6635</v>
      </c>
      <c r="C1846" s="50"/>
      <c r="D1846" s="10" t="s">
        <v>29</v>
      </c>
      <c r="E1846" s="11"/>
      <c r="F1846" s="11" t="s">
        <v>18</v>
      </c>
      <c r="G1846" s="13"/>
      <c r="H1846" s="45" t="s">
        <v>16</v>
      </c>
      <c r="I1846" s="47"/>
      <c r="J1846" s="12" t="s">
        <v>4655</v>
      </c>
      <c r="K1846" s="13" t="s">
        <v>8617</v>
      </c>
      <c r="L1846" s="99" t="str">
        <f t="shared" si="100"/>
        <v>W326E.6</v>
      </c>
      <c r="M1846" s="45"/>
      <c r="N1846" s="47"/>
      <c r="O1846" s="47"/>
      <c r="P1846" s="47"/>
      <c r="Q1846" s="45"/>
      <c r="R1846" s="45"/>
      <c r="S1846" s="48"/>
    </row>
    <row r="1847" spans="1:19" s="49" customFormat="1" ht="14.15" customHeight="1">
      <c r="A1847" s="45"/>
      <c r="B1847" s="44" t="s">
        <v>6635</v>
      </c>
      <c r="C1847" s="50"/>
      <c r="D1847" s="10" t="s">
        <v>29</v>
      </c>
      <c r="E1847" s="11"/>
      <c r="F1847" s="11" t="s">
        <v>18</v>
      </c>
      <c r="G1847" s="13"/>
      <c r="H1847" s="45" t="s">
        <v>16</v>
      </c>
      <c r="I1847" s="47"/>
      <c r="J1847" s="12" t="s">
        <v>4656</v>
      </c>
      <c r="K1847" s="13" t="s">
        <v>8618</v>
      </c>
      <c r="L1847" s="99" t="str">
        <f t="shared" si="100"/>
        <v>W326E.7</v>
      </c>
      <c r="M1847" s="45"/>
      <c r="N1847" s="47"/>
      <c r="O1847" s="47"/>
      <c r="P1847" s="47"/>
      <c r="Q1847" s="45"/>
      <c r="R1847" s="45"/>
      <c r="S1847" s="48"/>
    </row>
    <row r="1848" spans="1:19" s="49" customFormat="1" ht="14.15" customHeight="1">
      <c r="A1848" s="45"/>
      <c r="B1848" s="44" t="s">
        <v>6635</v>
      </c>
      <c r="C1848" s="50"/>
      <c r="D1848" s="10" t="s">
        <v>29</v>
      </c>
      <c r="E1848" s="11"/>
      <c r="F1848" s="11" t="s">
        <v>18</v>
      </c>
      <c r="G1848" s="13"/>
      <c r="H1848" s="45" t="s">
        <v>16</v>
      </c>
      <c r="I1848" s="47"/>
      <c r="J1848" s="12" t="s">
        <v>4657</v>
      </c>
      <c r="K1848" s="13" t="s">
        <v>8619</v>
      </c>
      <c r="L1848" s="99" t="str">
        <f t="shared" si="100"/>
        <v>W326E.8</v>
      </c>
      <c r="M1848" s="45"/>
      <c r="N1848" s="47"/>
      <c r="O1848" s="47"/>
      <c r="P1848" s="47"/>
      <c r="Q1848" s="45"/>
      <c r="R1848" s="45"/>
      <c r="S1848" s="48"/>
    </row>
    <row r="1849" spans="1:19" s="49" customFormat="1" ht="14.15" customHeight="1">
      <c r="A1849" s="45"/>
      <c r="B1849" s="44" t="s">
        <v>6635</v>
      </c>
      <c r="C1849" s="50"/>
      <c r="D1849" s="10" t="s">
        <v>29</v>
      </c>
      <c r="E1849" s="11"/>
      <c r="F1849" s="11" t="s">
        <v>18</v>
      </c>
      <c r="G1849" s="13"/>
      <c r="H1849" s="45" t="s">
        <v>16</v>
      </c>
      <c r="I1849" s="47"/>
      <c r="J1849" s="12" t="s">
        <v>4658</v>
      </c>
      <c r="K1849" s="13" t="s">
        <v>8620</v>
      </c>
      <c r="L1849" s="99" t="str">
        <f t="shared" si="100"/>
        <v>W326E.9</v>
      </c>
      <c r="M1849" s="45"/>
      <c r="N1849" s="47"/>
      <c r="O1849" s="47"/>
      <c r="P1849" s="47"/>
      <c r="Q1849" s="45"/>
      <c r="R1849" s="45"/>
      <c r="S1849" s="48"/>
    </row>
    <row r="1850" spans="1:19" s="49" customFormat="1" ht="14.15" customHeight="1">
      <c r="A1850" s="45"/>
      <c r="B1850" s="44" t="s">
        <v>6635</v>
      </c>
      <c r="C1850" s="50"/>
      <c r="D1850" s="10" t="s">
        <v>29</v>
      </c>
      <c r="E1850" s="11"/>
      <c r="F1850" s="11" t="s">
        <v>18</v>
      </c>
      <c r="G1850" s="13"/>
      <c r="H1850" s="45" t="s">
        <v>16</v>
      </c>
      <c r="I1850" s="47"/>
      <c r="J1850" s="12" t="s">
        <v>4659</v>
      </c>
      <c r="K1850" s="13" t="s">
        <v>8621</v>
      </c>
      <c r="L1850" s="99" t="str">
        <f t="shared" si="100"/>
        <v>W326E.A</v>
      </c>
      <c r="M1850" s="45"/>
      <c r="N1850" s="47"/>
      <c r="O1850" s="47"/>
      <c r="P1850" s="47"/>
      <c r="Q1850" s="45"/>
      <c r="R1850" s="45"/>
      <c r="S1850" s="48"/>
    </row>
    <row r="1851" spans="1:19" s="49" customFormat="1" ht="14.15" customHeight="1">
      <c r="A1851" s="45"/>
      <c r="B1851" s="44" t="s">
        <v>6635</v>
      </c>
      <c r="C1851" s="50"/>
      <c r="D1851" s="10" t="s">
        <v>29</v>
      </c>
      <c r="E1851" s="11"/>
      <c r="F1851" s="11" t="s">
        <v>18</v>
      </c>
      <c r="G1851" s="13"/>
      <c r="H1851" s="45" t="s">
        <v>16</v>
      </c>
      <c r="I1851" s="47"/>
      <c r="J1851" s="12" t="s">
        <v>4660</v>
      </c>
      <c r="K1851" s="13" t="s">
        <v>8622</v>
      </c>
      <c r="L1851" s="99" t="str">
        <f t="shared" si="100"/>
        <v>W326E.B</v>
      </c>
      <c r="M1851" s="45"/>
      <c r="N1851" s="47"/>
      <c r="O1851" s="47"/>
      <c r="P1851" s="47"/>
      <c r="Q1851" s="45"/>
      <c r="R1851" s="45"/>
      <c r="S1851" s="48"/>
    </row>
    <row r="1852" spans="1:19" s="49" customFormat="1" ht="14.15" customHeight="1">
      <c r="A1852" s="45"/>
      <c r="B1852" s="44" t="s">
        <v>6635</v>
      </c>
      <c r="C1852" s="50"/>
      <c r="D1852" s="10" t="s">
        <v>29</v>
      </c>
      <c r="E1852" s="11"/>
      <c r="F1852" s="11" t="s">
        <v>18</v>
      </c>
      <c r="G1852" s="13"/>
      <c r="H1852" s="45" t="s">
        <v>16</v>
      </c>
      <c r="I1852" s="47"/>
      <c r="J1852" s="12" t="s">
        <v>4661</v>
      </c>
      <c r="K1852" s="13" t="s">
        <v>8623</v>
      </c>
      <c r="L1852" s="99" t="str">
        <f t="shared" si="100"/>
        <v>W326E.C</v>
      </c>
      <c r="M1852" s="45"/>
      <c r="N1852" s="47"/>
      <c r="O1852" s="47"/>
      <c r="P1852" s="47"/>
      <c r="Q1852" s="45"/>
      <c r="R1852" s="45"/>
      <c r="S1852" s="48"/>
    </row>
    <row r="1853" spans="1:19" s="49" customFormat="1" ht="14.15" customHeight="1">
      <c r="A1853" s="45"/>
      <c r="B1853" s="44" t="s">
        <v>6635</v>
      </c>
      <c r="C1853" s="50"/>
      <c r="D1853" s="10" t="s">
        <v>29</v>
      </c>
      <c r="E1853" s="11"/>
      <c r="F1853" s="11" t="s">
        <v>18</v>
      </c>
      <c r="G1853" s="13"/>
      <c r="H1853" s="45" t="s">
        <v>16</v>
      </c>
      <c r="I1853" s="47"/>
      <c r="J1853" s="12" t="s">
        <v>4662</v>
      </c>
      <c r="K1853" s="13" t="s">
        <v>8624</v>
      </c>
      <c r="L1853" s="99" t="str">
        <f t="shared" si="100"/>
        <v>W326E.D</v>
      </c>
      <c r="M1853" s="45"/>
      <c r="N1853" s="47"/>
      <c r="O1853" s="47"/>
      <c r="P1853" s="47"/>
      <c r="Q1853" s="45"/>
      <c r="R1853" s="45"/>
      <c r="S1853" s="48"/>
    </row>
    <row r="1854" spans="1:19" s="49" customFormat="1" ht="14.15" customHeight="1">
      <c r="A1854" s="45"/>
      <c r="B1854" s="44" t="s">
        <v>6635</v>
      </c>
      <c r="C1854" s="50"/>
      <c r="D1854" s="10" t="s">
        <v>29</v>
      </c>
      <c r="E1854" s="11"/>
      <c r="F1854" s="11" t="s">
        <v>18</v>
      </c>
      <c r="G1854" s="13"/>
      <c r="H1854" s="45" t="s">
        <v>16</v>
      </c>
      <c r="I1854" s="47"/>
      <c r="J1854" s="12" t="s">
        <v>4663</v>
      </c>
      <c r="K1854" s="13" t="s">
        <v>8625</v>
      </c>
      <c r="L1854" s="99" t="str">
        <f t="shared" si="100"/>
        <v>W326E.E</v>
      </c>
      <c r="M1854" s="45"/>
      <c r="N1854" s="47"/>
      <c r="O1854" s="47"/>
      <c r="P1854" s="47"/>
      <c r="Q1854" s="45"/>
      <c r="R1854" s="45"/>
      <c r="S1854" s="48"/>
    </row>
    <row r="1855" spans="1:19" s="49" customFormat="1" ht="14.15" customHeight="1">
      <c r="A1855" s="45"/>
      <c r="B1855" s="44" t="s">
        <v>6635</v>
      </c>
      <c r="C1855" s="50"/>
      <c r="D1855" s="10" t="s">
        <v>29</v>
      </c>
      <c r="E1855" s="11"/>
      <c r="F1855" s="11" t="s">
        <v>18</v>
      </c>
      <c r="G1855" s="13"/>
      <c r="H1855" s="45" t="s">
        <v>16</v>
      </c>
      <c r="I1855" s="47"/>
      <c r="J1855" s="12" t="s">
        <v>4664</v>
      </c>
      <c r="K1855" s="13" t="s">
        <v>8626</v>
      </c>
      <c r="L1855" s="99" t="str">
        <f t="shared" si="100"/>
        <v>W326E.F</v>
      </c>
      <c r="M1855" s="45"/>
      <c r="N1855" s="47"/>
      <c r="O1855" s="47"/>
      <c r="P1855" s="47"/>
      <c r="Q1855" s="45"/>
      <c r="R1855" s="45"/>
      <c r="S1855" s="48"/>
    </row>
    <row r="1856" spans="1:19" s="49" customFormat="1" ht="14.15" customHeight="1">
      <c r="A1856" s="45"/>
      <c r="B1856" s="44" t="s">
        <v>6635</v>
      </c>
      <c r="C1856" s="50"/>
      <c r="D1856" s="10" t="s">
        <v>29</v>
      </c>
      <c r="E1856" s="11"/>
      <c r="F1856" s="11" t="s">
        <v>18</v>
      </c>
      <c r="G1856" s="13"/>
      <c r="H1856" s="45" t="s">
        <v>16</v>
      </c>
      <c r="I1856" s="47"/>
      <c r="J1856" s="12" t="s">
        <v>4665</v>
      </c>
      <c r="K1856" s="13" t="s">
        <v>8627</v>
      </c>
      <c r="L1856" s="99" t="str">
        <f t="shared" si="100"/>
        <v>W326F.0</v>
      </c>
      <c r="M1856" s="45"/>
      <c r="N1856" s="47"/>
      <c r="O1856" s="47"/>
      <c r="P1856" s="47"/>
      <c r="Q1856" s="45"/>
      <c r="R1856" s="45"/>
      <c r="S1856" s="48"/>
    </row>
    <row r="1857" spans="1:19" s="49" customFormat="1" ht="14.15" customHeight="1">
      <c r="A1857" s="45"/>
      <c r="B1857" s="44" t="s">
        <v>6635</v>
      </c>
      <c r="C1857" s="50"/>
      <c r="D1857" s="10" t="s">
        <v>29</v>
      </c>
      <c r="E1857" s="11"/>
      <c r="F1857" s="11" t="s">
        <v>18</v>
      </c>
      <c r="G1857" s="13"/>
      <c r="H1857" s="45" t="s">
        <v>16</v>
      </c>
      <c r="I1857" s="47"/>
      <c r="J1857" s="12" t="s">
        <v>4666</v>
      </c>
      <c r="K1857" s="13" t="s">
        <v>8628</v>
      </c>
      <c r="L1857" s="99" t="str">
        <f t="shared" si="100"/>
        <v>W326F.1</v>
      </c>
      <c r="M1857" s="45"/>
      <c r="N1857" s="47"/>
      <c r="O1857" s="47"/>
      <c r="P1857" s="47"/>
      <c r="Q1857" s="45"/>
      <c r="R1857" s="45"/>
      <c r="S1857" s="48"/>
    </row>
    <row r="1858" spans="1:19" s="49" customFormat="1" ht="14.15" customHeight="1">
      <c r="A1858" s="45"/>
      <c r="B1858" s="44" t="s">
        <v>6635</v>
      </c>
      <c r="C1858" s="50"/>
      <c r="D1858" s="10" t="s">
        <v>29</v>
      </c>
      <c r="E1858" s="11"/>
      <c r="F1858" s="11" t="s">
        <v>18</v>
      </c>
      <c r="G1858" s="13"/>
      <c r="H1858" s="45" t="s">
        <v>16</v>
      </c>
      <c r="I1858" s="47"/>
      <c r="J1858" s="12" t="s">
        <v>4667</v>
      </c>
      <c r="K1858" s="13" t="s">
        <v>8629</v>
      </c>
      <c r="L1858" s="99" t="str">
        <f t="shared" si="100"/>
        <v>W326F.2</v>
      </c>
      <c r="M1858" s="45"/>
      <c r="N1858" s="47"/>
      <c r="O1858" s="47"/>
      <c r="P1858" s="47"/>
      <c r="Q1858" s="45"/>
      <c r="R1858" s="45"/>
      <c r="S1858" s="48"/>
    </row>
    <row r="1859" spans="1:19" s="49" customFormat="1" ht="14.15" customHeight="1">
      <c r="A1859" s="45"/>
      <c r="B1859" s="44" t="s">
        <v>6635</v>
      </c>
      <c r="C1859" s="50"/>
      <c r="D1859" s="10" t="s">
        <v>29</v>
      </c>
      <c r="E1859" s="11"/>
      <c r="F1859" s="11" t="s">
        <v>18</v>
      </c>
      <c r="G1859" s="13"/>
      <c r="H1859" s="45" t="s">
        <v>16</v>
      </c>
      <c r="I1859" s="47"/>
      <c r="J1859" s="12" t="s">
        <v>4668</v>
      </c>
      <c r="K1859" s="13" t="s">
        <v>8630</v>
      </c>
      <c r="L1859" s="99" t="str">
        <f t="shared" si="100"/>
        <v>W326F.3</v>
      </c>
      <c r="M1859" s="45"/>
      <c r="N1859" s="47"/>
      <c r="O1859" s="47"/>
      <c r="P1859" s="47"/>
      <c r="Q1859" s="45"/>
      <c r="R1859" s="45"/>
      <c r="S1859" s="48"/>
    </row>
    <row r="1860" spans="1:19" s="49" customFormat="1" ht="14.15" customHeight="1">
      <c r="A1860" s="45"/>
      <c r="B1860" s="44" t="s">
        <v>6635</v>
      </c>
      <c r="C1860" s="50"/>
      <c r="D1860" s="10" t="s">
        <v>29</v>
      </c>
      <c r="E1860" s="11"/>
      <c r="F1860" s="11" t="s">
        <v>18</v>
      </c>
      <c r="G1860" s="13"/>
      <c r="H1860" s="45" t="s">
        <v>16</v>
      </c>
      <c r="I1860" s="47"/>
      <c r="J1860" s="12" t="s">
        <v>4669</v>
      </c>
      <c r="K1860" s="13" t="s">
        <v>8631</v>
      </c>
      <c r="L1860" s="99" t="str">
        <f t="shared" si="100"/>
        <v>W326F.4</v>
      </c>
      <c r="M1860" s="45"/>
      <c r="N1860" s="47"/>
      <c r="O1860" s="47"/>
      <c r="P1860" s="47"/>
      <c r="Q1860" s="45"/>
      <c r="R1860" s="45"/>
      <c r="S1860" s="48"/>
    </row>
    <row r="1861" spans="1:19" s="49" customFormat="1" ht="14.15" customHeight="1">
      <c r="A1861" s="45"/>
      <c r="B1861" s="44" t="s">
        <v>6635</v>
      </c>
      <c r="C1861" s="50"/>
      <c r="D1861" s="10" t="s">
        <v>29</v>
      </c>
      <c r="E1861" s="11"/>
      <c r="F1861" s="11" t="s">
        <v>18</v>
      </c>
      <c r="G1861" s="13"/>
      <c r="H1861" s="45" t="s">
        <v>16</v>
      </c>
      <c r="I1861" s="47"/>
      <c r="J1861" s="12" t="s">
        <v>4670</v>
      </c>
      <c r="K1861" s="13" t="s">
        <v>8632</v>
      </c>
      <c r="L1861" s="99" t="str">
        <f t="shared" si="100"/>
        <v>W326F.5</v>
      </c>
      <c r="M1861" s="45"/>
      <c r="N1861" s="47"/>
      <c r="O1861" s="47"/>
      <c r="P1861" s="47"/>
      <c r="Q1861" s="45"/>
      <c r="R1861" s="45"/>
      <c r="S1861" s="48"/>
    </row>
    <row r="1862" spans="1:19" s="49" customFormat="1" ht="14.15" customHeight="1">
      <c r="A1862" s="45"/>
      <c r="B1862" s="44" t="s">
        <v>6635</v>
      </c>
      <c r="C1862" s="50"/>
      <c r="D1862" s="10" t="s">
        <v>29</v>
      </c>
      <c r="E1862" s="11"/>
      <c r="F1862" s="11" t="s">
        <v>18</v>
      </c>
      <c r="G1862" s="13"/>
      <c r="H1862" s="45" t="s">
        <v>16</v>
      </c>
      <c r="I1862" s="47"/>
      <c r="J1862" s="12" t="s">
        <v>4671</v>
      </c>
      <c r="K1862" s="13" t="s">
        <v>8633</v>
      </c>
      <c r="L1862" s="99" t="str">
        <f t="shared" si="100"/>
        <v>W326F.6</v>
      </c>
      <c r="M1862" s="45"/>
      <c r="N1862" s="47"/>
      <c r="O1862" s="47"/>
      <c r="P1862" s="47"/>
      <c r="Q1862" s="45"/>
      <c r="R1862" s="45"/>
      <c r="S1862" s="48"/>
    </row>
    <row r="1863" spans="1:19" s="49" customFormat="1" ht="14.15" customHeight="1">
      <c r="A1863" s="45"/>
      <c r="B1863" s="44" t="s">
        <v>6635</v>
      </c>
      <c r="C1863" s="50"/>
      <c r="D1863" s="10" t="s">
        <v>29</v>
      </c>
      <c r="E1863" s="11"/>
      <c r="F1863" s="11" t="s">
        <v>18</v>
      </c>
      <c r="G1863" s="13"/>
      <c r="H1863" s="45" t="s">
        <v>16</v>
      </c>
      <c r="I1863" s="47"/>
      <c r="J1863" s="12" t="s">
        <v>4672</v>
      </c>
      <c r="K1863" s="13" t="s">
        <v>8634</v>
      </c>
      <c r="L1863" s="99" t="str">
        <f t="shared" si="100"/>
        <v>W326F.7</v>
      </c>
      <c r="M1863" s="45"/>
      <c r="N1863" s="47"/>
      <c r="O1863" s="47"/>
      <c r="P1863" s="47"/>
      <c r="Q1863" s="45"/>
      <c r="R1863" s="45"/>
      <c r="S1863" s="48"/>
    </row>
    <row r="1864" spans="1:19" s="49" customFormat="1" ht="14.15" customHeight="1">
      <c r="A1864" s="45"/>
      <c r="B1864" s="44" t="s">
        <v>6635</v>
      </c>
      <c r="C1864" s="50"/>
      <c r="D1864" s="10" t="s">
        <v>29</v>
      </c>
      <c r="E1864" s="11"/>
      <c r="F1864" s="11" t="s">
        <v>18</v>
      </c>
      <c r="G1864" s="13"/>
      <c r="H1864" s="45" t="s">
        <v>16</v>
      </c>
      <c r="I1864" s="47"/>
      <c r="J1864" s="12" t="s">
        <v>4673</v>
      </c>
      <c r="K1864" s="13" t="s">
        <v>8635</v>
      </c>
      <c r="L1864" s="99" t="str">
        <f t="shared" si="100"/>
        <v>W326F.8</v>
      </c>
      <c r="M1864" s="45"/>
      <c r="N1864" s="47"/>
      <c r="O1864" s="47"/>
      <c r="P1864" s="47"/>
      <c r="Q1864" s="45"/>
      <c r="R1864" s="45"/>
      <c r="S1864" s="48"/>
    </row>
    <row r="1865" spans="1:19" s="49" customFormat="1" ht="14.15" customHeight="1">
      <c r="A1865" s="45"/>
      <c r="B1865" s="44" t="s">
        <v>6635</v>
      </c>
      <c r="C1865" s="50"/>
      <c r="D1865" s="10" t="s">
        <v>29</v>
      </c>
      <c r="E1865" s="11"/>
      <c r="F1865" s="11" t="s">
        <v>18</v>
      </c>
      <c r="G1865" s="13"/>
      <c r="H1865" s="45" t="s">
        <v>16</v>
      </c>
      <c r="I1865" s="47"/>
      <c r="J1865" s="12" t="s">
        <v>4674</v>
      </c>
      <c r="K1865" s="13" t="s">
        <v>8636</v>
      </c>
      <c r="L1865" s="99" t="str">
        <f t="shared" si="100"/>
        <v>W326F.9</v>
      </c>
      <c r="M1865" s="45"/>
      <c r="N1865" s="47"/>
      <c r="O1865" s="47"/>
      <c r="P1865" s="47"/>
      <c r="Q1865" s="45"/>
      <c r="R1865" s="45"/>
      <c r="S1865" s="48"/>
    </row>
    <row r="1866" spans="1:19" s="49" customFormat="1" ht="14.15" customHeight="1">
      <c r="A1866" s="45"/>
      <c r="B1866" s="44" t="s">
        <v>6635</v>
      </c>
      <c r="C1866" s="50"/>
      <c r="D1866" s="10" t="s">
        <v>29</v>
      </c>
      <c r="E1866" s="11"/>
      <c r="F1866" s="11" t="s">
        <v>18</v>
      </c>
      <c r="G1866" s="13"/>
      <c r="H1866" s="45" t="s">
        <v>16</v>
      </c>
      <c r="I1866" s="47"/>
      <c r="J1866" s="12" t="s">
        <v>4675</v>
      </c>
      <c r="K1866" s="13" t="s">
        <v>8637</v>
      </c>
      <c r="L1866" s="99" t="str">
        <f t="shared" si="100"/>
        <v>W326F.A</v>
      </c>
      <c r="M1866" s="45"/>
      <c r="N1866" s="47"/>
      <c r="O1866" s="47"/>
      <c r="P1866" s="47"/>
      <c r="Q1866" s="45"/>
      <c r="R1866" s="45"/>
      <c r="S1866" s="48"/>
    </row>
    <row r="1867" spans="1:19" s="49" customFormat="1" ht="14.15" customHeight="1">
      <c r="A1867" s="45"/>
      <c r="B1867" s="44" t="s">
        <v>6635</v>
      </c>
      <c r="C1867" s="50"/>
      <c r="D1867" s="10" t="s">
        <v>29</v>
      </c>
      <c r="E1867" s="11"/>
      <c r="F1867" s="11" t="s">
        <v>18</v>
      </c>
      <c r="G1867" s="13"/>
      <c r="H1867" s="45" t="s">
        <v>16</v>
      </c>
      <c r="I1867" s="47"/>
      <c r="J1867" s="12" t="s">
        <v>4676</v>
      </c>
      <c r="K1867" s="13" t="s">
        <v>8638</v>
      </c>
      <c r="L1867" s="99" t="str">
        <f t="shared" si="100"/>
        <v>W326F.B</v>
      </c>
      <c r="M1867" s="45"/>
      <c r="N1867" s="47"/>
      <c r="O1867" s="47"/>
      <c r="P1867" s="47"/>
      <c r="Q1867" s="45"/>
      <c r="R1867" s="45"/>
      <c r="S1867" s="48"/>
    </row>
    <row r="1868" spans="1:19" s="49" customFormat="1" ht="14.15" customHeight="1">
      <c r="A1868" s="45"/>
      <c r="B1868" s="44" t="s">
        <v>6635</v>
      </c>
      <c r="C1868" s="50"/>
      <c r="D1868" s="10" t="s">
        <v>29</v>
      </c>
      <c r="E1868" s="11"/>
      <c r="F1868" s="11" t="s">
        <v>18</v>
      </c>
      <c r="G1868" s="13"/>
      <c r="H1868" s="45" t="s">
        <v>16</v>
      </c>
      <c r="I1868" s="47"/>
      <c r="J1868" s="12" t="s">
        <v>4677</v>
      </c>
      <c r="K1868" s="13" t="s">
        <v>8639</v>
      </c>
      <c r="L1868" s="99" t="str">
        <f t="shared" si="100"/>
        <v>W326F.C</v>
      </c>
      <c r="M1868" s="45"/>
      <c r="N1868" s="47"/>
      <c r="O1868" s="47"/>
      <c r="P1868" s="47"/>
      <c r="Q1868" s="45"/>
      <c r="R1868" s="45"/>
      <c r="S1868" s="48"/>
    </row>
    <row r="1869" spans="1:19" s="49" customFormat="1" ht="14.15" customHeight="1">
      <c r="A1869" s="45"/>
      <c r="B1869" s="44" t="s">
        <v>6635</v>
      </c>
      <c r="C1869" s="50"/>
      <c r="D1869" s="10" t="s">
        <v>29</v>
      </c>
      <c r="E1869" s="11"/>
      <c r="F1869" s="11" t="s">
        <v>18</v>
      </c>
      <c r="G1869" s="13"/>
      <c r="H1869" s="45" t="s">
        <v>16</v>
      </c>
      <c r="I1869" s="47"/>
      <c r="J1869" s="12" t="s">
        <v>4678</v>
      </c>
      <c r="K1869" s="13" t="s">
        <v>8640</v>
      </c>
      <c r="L1869" s="99" t="str">
        <f t="shared" si="100"/>
        <v>W326F.D</v>
      </c>
      <c r="M1869" s="45"/>
      <c r="N1869" s="47"/>
      <c r="O1869" s="47"/>
      <c r="P1869" s="47"/>
      <c r="Q1869" s="45"/>
      <c r="R1869" s="45"/>
      <c r="S1869" s="48"/>
    </row>
    <row r="1870" spans="1:19" s="49" customFormat="1" ht="14.15" customHeight="1">
      <c r="A1870" s="45"/>
      <c r="B1870" s="44" t="s">
        <v>6635</v>
      </c>
      <c r="C1870" s="50"/>
      <c r="D1870" s="10" t="s">
        <v>29</v>
      </c>
      <c r="E1870" s="11"/>
      <c r="F1870" s="11" t="s">
        <v>18</v>
      </c>
      <c r="G1870" s="13"/>
      <c r="H1870" s="45" t="s">
        <v>16</v>
      </c>
      <c r="I1870" s="47"/>
      <c r="J1870" s="12" t="s">
        <v>4679</v>
      </c>
      <c r="K1870" s="13" t="s">
        <v>8641</v>
      </c>
      <c r="L1870" s="99" t="str">
        <f t="shared" si="100"/>
        <v>W326F.E</v>
      </c>
      <c r="M1870" s="45"/>
      <c r="N1870" s="47"/>
      <c r="O1870" s="47"/>
      <c r="P1870" s="47"/>
      <c r="Q1870" s="45"/>
      <c r="R1870" s="45"/>
      <c r="S1870" s="48"/>
    </row>
    <row r="1871" spans="1:19" s="49" customFormat="1" ht="14.15" customHeight="1">
      <c r="A1871" s="45"/>
      <c r="B1871" s="44" t="s">
        <v>6635</v>
      </c>
      <c r="C1871" s="50"/>
      <c r="D1871" s="10" t="s">
        <v>29</v>
      </c>
      <c r="E1871" s="11"/>
      <c r="F1871" s="11" t="s">
        <v>18</v>
      </c>
      <c r="G1871" s="13"/>
      <c r="H1871" s="45" t="s">
        <v>16</v>
      </c>
      <c r="I1871" s="47"/>
      <c r="J1871" s="12" t="s">
        <v>4680</v>
      </c>
      <c r="K1871" s="13" t="s">
        <v>8642</v>
      </c>
      <c r="L1871" s="99" t="str">
        <f t="shared" si="100"/>
        <v>W326F.F</v>
      </c>
      <c r="M1871" s="45"/>
      <c r="N1871" s="47"/>
      <c r="O1871" s="47"/>
      <c r="P1871" s="47"/>
      <c r="Q1871" s="45"/>
      <c r="R1871" s="45"/>
      <c r="S1871" s="48"/>
    </row>
    <row r="1872" spans="1:19" s="49" customFormat="1" ht="14.15" customHeight="1">
      <c r="A1872" s="45"/>
      <c r="B1872" s="44" t="s">
        <v>6635</v>
      </c>
      <c r="C1872" s="50"/>
      <c r="D1872" s="10" t="s">
        <v>29</v>
      </c>
      <c r="E1872" s="11"/>
      <c r="F1872" s="11" t="s">
        <v>18</v>
      </c>
      <c r="G1872" s="13"/>
      <c r="H1872" s="45" t="s">
        <v>16</v>
      </c>
      <c r="I1872" s="47"/>
      <c r="J1872" s="12" t="s">
        <v>4681</v>
      </c>
      <c r="K1872" s="13" t="s">
        <v>8643</v>
      </c>
      <c r="L1872" s="99" t="str">
        <f t="shared" si="100"/>
        <v>W3270.0</v>
      </c>
      <c r="M1872" s="45"/>
      <c r="N1872" s="47"/>
      <c r="O1872" s="47"/>
      <c r="P1872" s="47"/>
      <c r="Q1872" s="45"/>
      <c r="R1872" s="45"/>
      <c r="S1872" s="48"/>
    </row>
    <row r="1873" spans="1:19" s="49" customFormat="1" ht="14.15" customHeight="1">
      <c r="A1873" s="45"/>
      <c r="B1873" s="44" t="s">
        <v>6635</v>
      </c>
      <c r="C1873" s="50"/>
      <c r="D1873" s="10" t="s">
        <v>29</v>
      </c>
      <c r="E1873" s="11"/>
      <c r="F1873" s="11" t="s">
        <v>18</v>
      </c>
      <c r="G1873" s="13"/>
      <c r="H1873" s="45" t="s">
        <v>16</v>
      </c>
      <c r="I1873" s="47"/>
      <c r="J1873" s="12" t="s">
        <v>4682</v>
      </c>
      <c r="K1873" s="13" t="s">
        <v>8644</v>
      </c>
      <c r="L1873" s="99" t="str">
        <f t="shared" ref="L1873:L1936" si="101">"W"&amp;DEC2HEX(12800 + INT((ROW()-80)/16)) &amp; "." &amp; IF(MOD(ROW()-80,16)&lt;10,MOD(ROW()-80,16),CHAR(MOD(ROW()-80,16)+55))</f>
        <v>W3270.1</v>
      </c>
      <c r="M1873" s="45"/>
      <c r="N1873" s="47"/>
      <c r="O1873" s="47"/>
      <c r="P1873" s="47"/>
      <c r="Q1873" s="45"/>
      <c r="R1873" s="45"/>
      <c r="S1873" s="48"/>
    </row>
    <row r="1874" spans="1:19" s="49" customFormat="1" ht="14.15" customHeight="1">
      <c r="A1874" s="45"/>
      <c r="B1874" s="44" t="s">
        <v>6635</v>
      </c>
      <c r="C1874" s="50"/>
      <c r="D1874" s="10" t="s">
        <v>29</v>
      </c>
      <c r="E1874" s="11"/>
      <c r="F1874" s="11" t="s">
        <v>18</v>
      </c>
      <c r="G1874" s="13"/>
      <c r="H1874" s="45" t="s">
        <v>16</v>
      </c>
      <c r="I1874" s="47"/>
      <c r="J1874" s="12" t="s">
        <v>4683</v>
      </c>
      <c r="K1874" s="13" t="s">
        <v>8645</v>
      </c>
      <c r="L1874" s="99" t="str">
        <f t="shared" si="101"/>
        <v>W3270.2</v>
      </c>
      <c r="M1874" s="45"/>
      <c r="N1874" s="47"/>
      <c r="O1874" s="47"/>
      <c r="P1874" s="47"/>
      <c r="Q1874" s="45"/>
      <c r="R1874" s="45"/>
      <c r="S1874" s="48"/>
    </row>
    <row r="1875" spans="1:19" s="49" customFormat="1" ht="14.15" customHeight="1">
      <c r="A1875" s="45"/>
      <c r="B1875" s="44" t="s">
        <v>6635</v>
      </c>
      <c r="C1875" s="50"/>
      <c r="D1875" s="10" t="s">
        <v>29</v>
      </c>
      <c r="E1875" s="11"/>
      <c r="F1875" s="11" t="s">
        <v>18</v>
      </c>
      <c r="G1875" s="13"/>
      <c r="H1875" s="45" t="s">
        <v>16</v>
      </c>
      <c r="I1875" s="47"/>
      <c r="J1875" s="12" t="s">
        <v>4684</v>
      </c>
      <c r="K1875" s="13" t="s">
        <v>8646</v>
      </c>
      <c r="L1875" s="99" t="str">
        <f t="shared" si="101"/>
        <v>W3270.3</v>
      </c>
      <c r="M1875" s="45"/>
      <c r="N1875" s="47"/>
      <c r="O1875" s="47"/>
      <c r="P1875" s="47"/>
      <c r="Q1875" s="45"/>
      <c r="R1875" s="45"/>
      <c r="S1875" s="48"/>
    </row>
    <row r="1876" spans="1:19" s="49" customFormat="1" ht="14.15" customHeight="1">
      <c r="A1876" s="45"/>
      <c r="B1876" s="44" t="s">
        <v>6635</v>
      </c>
      <c r="C1876" s="50"/>
      <c r="D1876" s="10" t="s">
        <v>29</v>
      </c>
      <c r="E1876" s="11"/>
      <c r="F1876" s="11" t="s">
        <v>18</v>
      </c>
      <c r="G1876" s="13"/>
      <c r="H1876" s="45" t="s">
        <v>16</v>
      </c>
      <c r="I1876" s="47"/>
      <c r="J1876" s="12" t="s">
        <v>4685</v>
      </c>
      <c r="K1876" s="13" t="s">
        <v>8647</v>
      </c>
      <c r="L1876" s="99" t="str">
        <f t="shared" si="101"/>
        <v>W3270.4</v>
      </c>
      <c r="M1876" s="45"/>
      <c r="N1876" s="47"/>
      <c r="O1876" s="47"/>
      <c r="P1876" s="47"/>
      <c r="Q1876" s="45"/>
      <c r="R1876" s="45"/>
      <c r="S1876" s="48"/>
    </row>
    <row r="1877" spans="1:19" s="49" customFormat="1" ht="14.15" customHeight="1">
      <c r="A1877" s="45"/>
      <c r="B1877" s="44" t="s">
        <v>6635</v>
      </c>
      <c r="C1877" s="50"/>
      <c r="D1877" s="10" t="s">
        <v>29</v>
      </c>
      <c r="E1877" s="11"/>
      <c r="F1877" s="11" t="s">
        <v>18</v>
      </c>
      <c r="G1877" s="13"/>
      <c r="H1877" s="45" t="s">
        <v>16</v>
      </c>
      <c r="I1877" s="47"/>
      <c r="J1877" s="12" t="s">
        <v>4686</v>
      </c>
      <c r="K1877" s="13" t="s">
        <v>8648</v>
      </c>
      <c r="L1877" s="99" t="str">
        <f t="shared" si="101"/>
        <v>W3270.5</v>
      </c>
      <c r="M1877" s="45"/>
      <c r="N1877" s="47"/>
      <c r="O1877" s="47"/>
      <c r="P1877" s="47"/>
      <c r="Q1877" s="45"/>
      <c r="R1877" s="45"/>
      <c r="S1877" s="48"/>
    </row>
    <row r="1878" spans="1:19" s="49" customFormat="1" ht="14.15" customHeight="1">
      <c r="A1878" s="45"/>
      <c r="B1878" s="44" t="s">
        <v>6635</v>
      </c>
      <c r="C1878" s="50"/>
      <c r="D1878" s="10" t="s">
        <v>29</v>
      </c>
      <c r="E1878" s="11"/>
      <c r="F1878" s="11" t="s">
        <v>18</v>
      </c>
      <c r="G1878" s="13"/>
      <c r="H1878" s="45" t="s">
        <v>16</v>
      </c>
      <c r="I1878" s="47"/>
      <c r="J1878" s="12" t="s">
        <v>4687</v>
      </c>
      <c r="K1878" s="13" t="s">
        <v>8649</v>
      </c>
      <c r="L1878" s="99" t="str">
        <f t="shared" si="101"/>
        <v>W3270.6</v>
      </c>
      <c r="M1878" s="45"/>
      <c r="N1878" s="47"/>
      <c r="O1878" s="47"/>
      <c r="P1878" s="47"/>
      <c r="Q1878" s="45"/>
      <c r="R1878" s="45"/>
      <c r="S1878" s="48"/>
    </row>
    <row r="1879" spans="1:19" s="49" customFormat="1" ht="14.15" customHeight="1">
      <c r="A1879" s="43" t="s">
        <v>6688</v>
      </c>
      <c r="B1879" s="44" t="s">
        <v>6635</v>
      </c>
      <c r="C1879" s="50"/>
      <c r="D1879" s="10" t="s">
        <v>29</v>
      </c>
      <c r="E1879" s="11"/>
      <c r="F1879" s="11" t="s">
        <v>18</v>
      </c>
      <c r="G1879" s="13"/>
      <c r="H1879" s="45" t="s">
        <v>16</v>
      </c>
      <c r="I1879" s="47"/>
      <c r="J1879" s="12" t="s">
        <v>6577</v>
      </c>
      <c r="K1879" s="13" t="s">
        <v>8650</v>
      </c>
      <c r="L1879" s="99" t="str">
        <f t="shared" si="101"/>
        <v>W3270.7</v>
      </c>
      <c r="M1879" s="13" t="s">
        <v>17</v>
      </c>
      <c r="N1879" s="13"/>
      <c r="O1879" s="13"/>
      <c r="P1879" s="47"/>
      <c r="Q1879" s="45" t="s">
        <v>142</v>
      </c>
      <c r="R1879" s="45" t="s">
        <v>5552</v>
      </c>
      <c r="S1879" s="48"/>
    </row>
    <row r="1880" spans="1:19" s="49" customFormat="1" ht="14.15" customHeight="1">
      <c r="A1880" s="43" t="s">
        <v>6688</v>
      </c>
      <c r="B1880" s="44" t="s">
        <v>6635</v>
      </c>
      <c r="C1880" s="50"/>
      <c r="D1880" s="10" t="s">
        <v>29</v>
      </c>
      <c r="E1880" s="11"/>
      <c r="F1880" s="11" t="s">
        <v>18</v>
      </c>
      <c r="G1880" s="13"/>
      <c r="H1880" s="45" t="s">
        <v>16</v>
      </c>
      <c r="I1880" s="47"/>
      <c r="J1880" s="12" t="s">
        <v>6578</v>
      </c>
      <c r="K1880" s="13" t="s">
        <v>8651</v>
      </c>
      <c r="L1880" s="99" t="str">
        <f t="shared" si="101"/>
        <v>W3270.8</v>
      </c>
      <c r="M1880" s="13" t="s">
        <v>17</v>
      </c>
      <c r="N1880" s="13"/>
      <c r="O1880" s="13"/>
      <c r="P1880" s="47"/>
      <c r="Q1880" s="45" t="s">
        <v>142</v>
      </c>
      <c r="R1880" s="45" t="s">
        <v>5552</v>
      </c>
      <c r="S1880" s="48"/>
    </row>
    <row r="1881" spans="1:19" s="49" customFormat="1" ht="14.15" customHeight="1">
      <c r="A1881" s="43" t="s">
        <v>6688</v>
      </c>
      <c r="B1881" s="44" t="s">
        <v>6635</v>
      </c>
      <c r="C1881" s="50"/>
      <c r="D1881" s="10" t="s">
        <v>29</v>
      </c>
      <c r="E1881" s="11"/>
      <c r="F1881" s="11" t="s">
        <v>18</v>
      </c>
      <c r="G1881" s="13"/>
      <c r="H1881" s="45" t="s">
        <v>16</v>
      </c>
      <c r="I1881" s="47"/>
      <c r="J1881" s="12" t="s">
        <v>6579</v>
      </c>
      <c r="K1881" s="13" t="s">
        <v>8652</v>
      </c>
      <c r="L1881" s="99" t="str">
        <f t="shared" si="101"/>
        <v>W3270.9</v>
      </c>
      <c r="M1881" s="13" t="s">
        <v>17</v>
      </c>
      <c r="N1881" s="13"/>
      <c r="O1881" s="13"/>
      <c r="P1881" s="47"/>
      <c r="Q1881" s="45" t="s">
        <v>142</v>
      </c>
      <c r="R1881" s="45" t="s">
        <v>5552</v>
      </c>
      <c r="S1881" s="48"/>
    </row>
    <row r="1882" spans="1:19" s="49" customFormat="1" ht="14.15" customHeight="1">
      <c r="A1882" s="43" t="s">
        <v>6688</v>
      </c>
      <c r="B1882" s="44" t="s">
        <v>6635</v>
      </c>
      <c r="C1882" s="50"/>
      <c r="D1882" s="10" t="s">
        <v>29</v>
      </c>
      <c r="E1882" s="11"/>
      <c r="F1882" s="11" t="s">
        <v>18</v>
      </c>
      <c r="G1882" s="13"/>
      <c r="H1882" s="45" t="s">
        <v>16</v>
      </c>
      <c r="I1882" s="47"/>
      <c r="J1882" s="12" t="s">
        <v>6580</v>
      </c>
      <c r="K1882" s="13" t="s">
        <v>8653</v>
      </c>
      <c r="L1882" s="99" t="str">
        <f t="shared" si="101"/>
        <v>W3270.A</v>
      </c>
      <c r="M1882" s="13" t="s">
        <v>17</v>
      </c>
      <c r="N1882" s="13"/>
      <c r="O1882" s="13"/>
      <c r="P1882" s="47"/>
      <c r="Q1882" s="45" t="s">
        <v>142</v>
      </c>
      <c r="R1882" s="45" t="s">
        <v>5552</v>
      </c>
      <c r="S1882" s="48"/>
    </row>
    <row r="1883" spans="1:19" s="49" customFormat="1" ht="14.15" customHeight="1">
      <c r="A1883" s="43" t="s">
        <v>6688</v>
      </c>
      <c r="B1883" s="44" t="s">
        <v>6635</v>
      </c>
      <c r="C1883" s="50"/>
      <c r="D1883" s="10" t="s">
        <v>29</v>
      </c>
      <c r="E1883" s="11"/>
      <c r="F1883" s="11" t="s">
        <v>18</v>
      </c>
      <c r="G1883" s="13"/>
      <c r="H1883" s="45" t="s">
        <v>16</v>
      </c>
      <c r="I1883" s="47"/>
      <c r="J1883" s="12" t="s">
        <v>6581</v>
      </c>
      <c r="K1883" s="13" t="s">
        <v>8654</v>
      </c>
      <c r="L1883" s="99" t="str">
        <f t="shared" si="101"/>
        <v>W3270.B</v>
      </c>
      <c r="M1883" s="13" t="s">
        <v>17</v>
      </c>
      <c r="N1883" s="13"/>
      <c r="O1883" s="13"/>
      <c r="P1883" s="47"/>
      <c r="Q1883" s="45" t="s">
        <v>142</v>
      </c>
      <c r="R1883" s="45" t="s">
        <v>5552</v>
      </c>
      <c r="S1883" s="48"/>
    </row>
    <row r="1884" spans="1:19" s="49" customFormat="1" ht="14.15" customHeight="1">
      <c r="A1884" s="43" t="s">
        <v>6688</v>
      </c>
      <c r="B1884" s="44" t="s">
        <v>6635</v>
      </c>
      <c r="C1884" s="50"/>
      <c r="D1884" s="10" t="s">
        <v>29</v>
      </c>
      <c r="E1884" s="11"/>
      <c r="F1884" s="11" t="s">
        <v>18</v>
      </c>
      <c r="G1884" s="13"/>
      <c r="H1884" s="45" t="s">
        <v>16</v>
      </c>
      <c r="I1884" s="47"/>
      <c r="J1884" s="12" t="s">
        <v>6582</v>
      </c>
      <c r="K1884" s="13" t="s">
        <v>8655</v>
      </c>
      <c r="L1884" s="99" t="str">
        <f t="shared" si="101"/>
        <v>W3270.C</v>
      </c>
      <c r="M1884" s="13" t="s">
        <v>17</v>
      </c>
      <c r="N1884" s="13"/>
      <c r="O1884" s="13"/>
      <c r="P1884" s="47"/>
      <c r="Q1884" s="45" t="s">
        <v>142</v>
      </c>
      <c r="R1884" s="45" t="s">
        <v>5552</v>
      </c>
      <c r="S1884" s="48"/>
    </row>
    <row r="1885" spans="1:19" s="49" customFormat="1" ht="14.15" customHeight="1">
      <c r="A1885" s="43" t="s">
        <v>6688</v>
      </c>
      <c r="B1885" s="44" t="s">
        <v>6635</v>
      </c>
      <c r="C1885" s="50"/>
      <c r="D1885" s="10" t="s">
        <v>29</v>
      </c>
      <c r="E1885" s="11"/>
      <c r="F1885" s="11" t="s">
        <v>18</v>
      </c>
      <c r="G1885" s="13"/>
      <c r="H1885" s="45" t="s">
        <v>16</v>
      </c>
      <c r="I1885" s="47"/>
      <c r="J1885" s="12" t="s">
        <v>6583</v>
      </c>
      <c r="K1885" s="13" t="s">
        <v>8656</v>
      </c>
      <c r="L1885" s="99" t="str">
        <f t="shared" si="101"/>
        <v>W3270.D</v>
      </c>
      <c r="M1885" s="13" t="s">
        <v>17</v>
      </c>
      <c r="N1885" s="13"/>
      <c r="O1885" s="13"/>
      <c r="P1885" s="47"/>
      <c r="Q1885" s="45" t="s">
        <v>142</v>
      </c>
      <c r="R1885" s="45" t="s">
        <v>5552</v>
      </c>
      <c r="S1885" s="48"/>
    </row>
    <row r="1886" spans="1:19" s="49" customFormat="1" ht="14.15" customHeight="1">
      <c r="A1886" s="43" t="s">
        <v>6688</v>
      </c>
      <c r="B1886" s="44" t="s">
        <v>6635</v>
      </c>
      <c r="C1886" s="50"/>
      <c r="D1886" s="10" t="s">
        <v>29</v>
      </c>
      <c r="E1886" s="11"/>
      <c r="F1886" s="11" t="s">
        <v>18</v>
      </c>
      <c r="G1886" s="13"/>
      <c r="H1886" s="45" t="s">
        <v>16</v>
      </c>
      <c r="I1886" s="47"/>
      <c r="J1886" s="12" t="s">
        <v>6584</v>
      </c>
      <c r="K1886" s="13" t="s">
        <v>8657</v>
      </c>
      <c r="L1886" s="99" t="str">
        <f t="shared" si="101"/>
        <v>W3270.E</v>
      </c>
      <c r="M1886" s="13" t="s">
        <v>17</v>
      </c>
      <c r="N1886" s="13"/>
      <c r="O1886" s="13"/>
      <c r="P1886" s="47"/>
      <c r="Q1886" s="45" t="s">
        <v>142</v>
      </c>
      <c r="R1886" s="45" t="s">
        <v>5552</v>
      </c>
      <c r="S1886" s="48"/>
    </row>
    <row r="1887" spans="1:19" s="49" customFormat="1" ht="14.15" customHeight="1">
      <c r="A1887" s="43" t="s">
        <v>6688</v>
      </c>
      <c r="B1887" s="44" t="s">
        <v>6635</v>
      </c>
      <c r="C1887" s="50"/>
      <c r="D1887" s="10" t="s">
        <v>29</v>
      </c>
      <c r="E1887" s="11"/>
      <c r="F1887" s="11" t="s">
        <v>18</v>
      </c>
      <c r="G1887" s="13"/>
      <c r="H1887" s="45" t="s">
        <v>16</v>
      </c>
      <c r="I1887" s="47"/>
      <c r="J1887" s="12" t="s">
        <v>6585</v>
      </c>
      <c r="K1887" s="13" t="s">
        <v>8658</v>
      </c>
      <c r="L1887" s="99" t="str">
        <f t="shared" si="101"/>
        <v>W3270.F</v>
      </c>
      <c r="M1887" s="13" t="s">
        <v>17</v>
      </c>
      <c r="N1887" s="13"/>
      <c r="O1887" s="13"/>
      <c r="P1887" s="47"/>
      <c r="Q1887" s="45" t="s">
        <v>142</v>
      </c>
      <c r="R1887" s="45" t="s">
        <v>5552</v>
      </c>
      <c r="S1887" s="48"/>
    </row>
    <row r="1888" spans="1:19" s="49" customFormat="1" ht="14.15" customHeight="1">
      <c r="A1888" s="43" t="s">
        <v>6688</v>
      </c>
      <c r="B1888" s="44" t="s">
        <v>6635</v>
      </c>
      <c r="C1888" s="50"/>
      <c r="D1888" s="10" t="s">
        <v>29</v>
      </c>
      <c r="E1888" s="11"/>
      <c r="F1888" s="11" t="s">
        <v>18</v>
      </c>
      <c r="G1888" s="13"/>
      <c r="H1888" s="45" t="s">
        <v>16</v>
      </c>
      <c r="I1888" s="47"/>
      <c r="J1888" s="12" t="s">
        <v>6586</v>
      </c>
      <c r="K1888" s="13" t="s">
        <v>8659</v>
      </c>
      <c r="L1888" s="99" t="str">
        <f t="shared" si="101"/>
        <v>W3271.0</v>
      </c>
      <c r="M1888" s="13" t="s">
        <v>17</v>
      </c>
      <c r="N1888" s="13"/>
      <c r="O1888" s="13"/>
      <c r="P1888" s="47"/>
      <c r="Q1888" s="45" t="s">
        <v>142</v>
      </c>
      <c r="R1888" s="45" t="s">
        <v>5552</v>
      </c>
      <c r="S1888" s="48"/>
    </row>
    <row r="1889" spans="1:19" s="49" customFormat="1" ht="14.15" customHeight="1">
      <c r="A1889" s="43" t="s">
        <v>6688</v>
      </c>
      <c r="B1889" s="44" t="s">
        <v>6635</v>
      </c>
      <c r="C1889" s="50"/>
      <c r="D1889" s="10" t="s">
        <v>29</v>
      </c>
      <c r="E1889" s="11"/>
      <c r="F1889" s="11" t="s">
        <v>18</v>
      </c>
      <c r="G1889" s="13"/>
      <c r="H1889" s="45" t="s">
        <v>16</v>
      </c>
      <c r="I1889" s="47"/>
      <c r="J1889" s="12" t="s">
        <v>6587</v>
      </c>
      <c r="K1889" s="13" t="s">
        <v>8660</v>
      </c>
      <c r="L1889" s="99" t="str">
        <f t="shared" si="101"/>
        <v>W3271.1</v>
      </c>
      <c r="M1889" s="13" t="s">
        <v>17</v>
      </c>
      <c r="N1889" s="13"/>
      <c r="O1889" s="13"/>
      <c r="P1889" s="47"/>
      <c r="Q1889" s="45" t="s">
        <v>142</v>
      </c>
      <c r="R1889" s="45" t="s">
        <v>5552</v>
      </c>
      <c r="S1889" s="48"/>
    </row>
    <row r="1890" spans="1:19" s="49" customFormat="1" ht="14.15" customHeight="1">
      <c r="A1890" s="43" t="s">
        <v>6688</v>
      </c>
      <c r="B1890" s="44" t="s">
        <v>6635</v>
      </c>
      <c r="C1890" s="50"/>
      <c r="D1890" s="10" t="s">
        <v>29</v>
      </c>
      <c r="E1890" s="11"/>
      <c r="F1890" s="11" t="s">
        <v>18</v>
      </c>
      <c r="G1890" s="13"/>
      <c r="H1890" s="45" t="s">
        <v>16</v>
      </c>
      <c r="I1890" s="47"/>
      <c r="J1890" s="12" t="s">
        <v>6588</v>
      </c>
      <c r="K1890" s="13" t="s">
        <v>8661</v>
      </c>
      <c r="L1890" s="99" t="str">
        <f t="shared" si="101"/>
        <v>W3271.2</v>
      </c>
      <c r="M1890" s="13" t="s">
        <v>17</v>
      </c>
      <c r="N1890" s="13"/>
      <c r="O1890" s="13"/>
      <c r="P1890" s="47"/>
      <c r="Q1890" s="45" t="s">
        <v>142</v>
      </c>
      <c r="R1890" s="45" t="s">
        <v>5552</v>
      </c>
      <c r="S1890" s="48"/>
    </row>
    <row r="1891" spans="1:19" s="49" customFormat="1" ht="14.15" customHeight="1">
      <c r="A1891" s="45"/>
      <c r="B1891" s="44" t="s">
        <v>6635</v>
      </c>
      <c r="C1891" s="50"/>
      <c r="D1891" s="10" t="s">
        <v>29</v>
      </c>
      <c r="E1891" s="11"/>
      <c r="F1891" s="11" t="s">
        <v>18</v>
      </c>
      <c r="G1891" s="13"/>
      <c r="H1891" s="45" t="s">
        <v>16</v>
      </c>
      <c r="I1891" s="47"/>
      <c r="J1891" s="12" t="s">
        <v>1559</v>
      </c>
      <c r="K1891" s="13" t="s">
        <v>8662</v>
      </c>
      <c r="L1891" s="99" t="str">
        <f t="shared" si="101"/>
        <v>W3271.3</v>
      </c>
      <c r="M1891" s="45"/>
      <c r="N1891" s="47"/>
      <c r="O1891" s="47"/>
      <c r="P1891" s="47"/>
      <c r="Q1891" s="45"/>
      <c r="R1891" s="45"/>
      <c r="S1891" s="48"/>
    </row>
    <row r="1892" spans="1:19" s="49" customFormat="1" ht="14.15" customHeight="1">
      <c r="A1892" s="45"/>
      <c r="B1892" s="44" t="s">
        <v>6635</v>
      </c>
      <c r="C1892" s="50"/>
      <c r="D1892" s="10" t="s">
        <v>29</v>
      </c>
      <c r="E1892" s="11"/>
      <c r="F1892" s="11" t="s">
        <v>18</v>
      </c>
      <c r="G1892" s="13"/>
      <c r="H1892" s="45" t="s">
        <v>16</v>
      </c>
      <c r="I1892" s="47"/>
      <c r="J1892" s="12" t="s">
        <v>1560</v>
      </c>
      <c r="K1892" s="13" t="s">
        <v>8663</v>
      </c>
      <c r="L1892" s="99" t="str">
        <f t="shared" si="101"/>
        <v>W3271.4</v>
      </c>
      <c r="M1892" s="45"/>
      <c r="N1892" s="47"/>
      <c r="O1892" s="47"/>
      <c r="P1892" s="47"/>
      <c r="Q1892" s="45"/>
      <c r="R1892" s="45"/>
      <c r="S1892" s="48"/>
    </row>
    <row r="1893" spans="1:19" s="49" customFormat="1" ht="14.15" customHeight="1">
      <c r="A1893" s="45"/>
      <c r="B1893" s="44" t="s">
        <v>6635</v>
      </c>
      <c r="C1893" s="50"/>
      <c r="D1893" s="10" t="s">
        <v>29</v>
      </c>
      <c r="E1893" s="11"/>
      <c r="F1893" s="11" t="s">
        <v>18</v>
      </c>
      <c r="G1893" s="13"/>
      <c r="H1893" s="45" t="s">
        <v>16</v>
      </c>
      <c r="I1893" s="47"/>
      <c r="J1893" s="12" t="s">
        <v>1561</v>
      </c>
      <c r="K1893" s="13" t="s">
        <v>8664</v>
      </c>
      <c r="L1893" s="99" t="str">
        <f t="shared" si="101"/>
        <v>W3271.5</v>
      </c>
      <c r="M1893" s="45"/>
      <c r="N1893" s="47"/>
      <c r="O1893" s="47"/>
      <c r="P1893" s="47"/>
      <c r="Q1893" s="45"/>
      <c r="R1893" s="45"/>
      <c r="S1893" s="48"/>
    </row>
    <row r="1894" spans="1:19" s="49" customFormat="1" ht="14.15" customHeight="1">
      <c r="A1894" s="45"/>
      <c r="B1894" s="44" t="s">
        <v>6635</v>
      </c>
      <c r="C1894" s="50"/>
      <c r="D1894" s="10" t="s">
        <v>29</v>
      </c>
      <c r="E1894" s="11"/>
      <c r="F1894" s="11" t="s">
        <v>18</v>
      </c>
      <c r="G1894" s="13"/>
      <c r="H1894" s="45" t="s">
        <v>16</v>
      </c>
      <c r="I1894" s="47"/>
      <c r="J1894" s="12" t="s">
        <v>1562</v>
      </c>
      <c r="K1894" s="13" t="s">
        <v>8665</v>
      </c>
      <c r="L1894" s="99" t="str">
        <f t="shared" si="101"/>
        <v>W3271.6</v>
      </c>
      <c r="M1894" s="45"/>
      <c r="N1894" s="47"/>
      <c r="O1894" s="47"/>
      <c r="P1894" s="47"/>
      <c r="Q1894" s="45"/>
      <c r="R1894" s="45"/>
      <c r="S1894" s="48"/>
    </row>
    <row r="1895" spans="1:19" s="49" customFormat="1" ht="14.15" customHeight="1">
      <c r="A1895" s="45"/>
      <c r="B1895" s="44" t="s">
        <v>6635</v>
      </c>
      <c r="C1895" s="50"/>
      <c r="D1895" s="10" t="s">
        <v>29</v>
      </c>
      <c r="E1895" s="11"/>
      <c r="F1895" s="11" t="s">
        <v>18</v>
      </c>
      <c r="G1895" s="13"/>
      <c r="H1895" s="45" t="s">
        <v>16</v>
      </c>
      <c r="I1895" s="47"/>
      <c r="J1895" s="12" t="s">
        <v>1563</v>
      </c>
      <c r="K1895" s="13" t="s">
        <v>8666</v>
      </c>
      <c r="L1895" s="99" t="str">
        <f t="shared" si="101"/>
        <v>W3271.7</v>
      </c>
      <c r="M1895" s="45"/>
      <c r="N1895" s="47"/>
      <c r="O1895" s="47"/>
      <c r="P1895" s="47"/>
      <c r="Q1895" s="45"/>
      <c r="R1895" s="45"/>
      <c r="S1895" s="48"/>
    </row>
    <row r="1896" spans="1:19" s="49" customFormat="1" ht="14.15" customHeight="1">
      <c r="A1896" s="45"/>
      <c r="B1896" s="44" t="s">
        <v>6635</v>
      </c>
      <c r="C1896" s="50"/>
      <c r="D1896" s="10" t="s">
        <v>29</v>
      </c>
      <c r="E1896" s="11"/>
      <c r="F1896" s="11" t="s">
        <v>18</v>
      </c>
      <c r="G1896" s="13"/>
      <c r="H1896" s="45" t="s">
        <v>16</v>
      </c>
      <c r="I1896" s="47"/>
      <c r="J1896" s="12" t="s">
        <v>1564</v>
      </c>
      <c r="K1896" s="13" t="s">
        <v>8667</v>
      </c>
      <c r="L1896" s="99" t="str">
        <f t="shared" si="101"/>
        <v>W3271.8</v>
      </c>
      <c r="M1896" s="45"/>
      <c r="N1896" s="47"/>
      <c r="O1896" s="47"/>
      <c r="P1896" s="47"/>
      <c r="Q1896" s="45"/>
      <c r="R1896" s="45"/>
      <c r="S1896" s="48"/>
    </row>
    <row r="1897" spans="1:19" s="49" customFormat="1" ht="14.15" customHeight="1">
      <c r="A1897" s="45"/>
      <c r="B1897" s="44" t="s">
        <v>6635</v>
      </c>
      <c r="C1897" s="50"/>
      <c r="D1897" s="10" t="s">
        <v>29</v>
      </c>
      <c r="E1897" s="11"/>
      <c r="F1897" s="11" t="s">
        <v>18</v>
      </c>
      <c r="G1897" s="13"/>
      <c r="H1897" s="45" t="s">
        <v>16</v>
      </c>
      <c r="I1897" s="47"/>
      <c r="J1897" s="12" t="s">
        <v>1565</v>
      </c>
      <c r="K1897" s="13" t="s">
        <v>8668</v>
      </c>
      <c r="L1897" s="99" t="str">
        <f t="shared" si="101"/>
        <v>W3271.9</v>
      </c>
      <c r="M1897" s="45"/>
      <c r="N1897" s="47"/>
      <c r="O1897" s="47"/>
      <c r="P1897" s="47"/>
      <c r="Q1897" s="45"/>
      <c r="R1897" s="45"/>
      <c r="S1897" s="48"/>
    </row>
    <row r="1898" spans="1:19" s="49" customFormat="1" ht="14.15" customHeight="1">
      <c r="A1898" s="45"/>
      <c r="B1898" s="44" t="s">
        <v>6635</v>
      </c>
      <c r="C1898" s="50"/>
      <c r="D1898" s="10" t="s">
        <v>29</v>
      </c>
      <c r="E1898" s="11"/>
      <c r="F1898" s="11" t="s">
        <v>18</v>
      </c>
      <c r="G1898" s="13"/>
      <c r="H1898" s="45" t="s">
        <v>16</v>
      </c>
      <c r="I1898" s="47"/>
      <c r="J1898" s="12" t="s">
        <v>1566</v>
      </c>
      <c r="K1898" s="13" t="s">
        <v>8669</v>
      </c>
      <c r="L1898" s="99" t="str">
        <f t="shared" si="101"/>
        <v>W3271.A</v>
      </c>
      <c r="M1898" s="45"/>
      <c r="N1898" s="47"/>
      <c r="O1898" s="47"/>
      <c r="P1898" s="47"/>
      <c r="Q1898" s="45"/>
      <c r="R1898" s="45"/>
      <c r="S1898" s="48"/>
    </row>
    <row r="1899" spans="1:19" s="49" customFormat="1" ht="14.15" customHeight="1">
      <c r="A1899" s="43" t="s">
        <v>6691</v>
      </c>
      <c r="B1899" s="44" t="s">
        <v>6635</v>
      </c>
      <c r="C1899" s="50"/>
      <c r="D1899" s="10" t="s">
        <v>29</v>
      </c>
      <c r="E1899" s="11"/>
      <c r="F1899" s="11" t="s">
        <v>18</v>
      </c>
      <c r="G1899" s="13"/>
      <c r="H1899" s="45" t="s">
        <v>16</v>
      </c>
      <c r="I1899" s="47"/>
      <c r="J1899" s="12" t="s">
        <v>6589</v>
      </c>
      <c r="K1899" s="13" t="s">
        <v>8670</v>
      </c>
      <c r="L1899" s="99" t="str">
        <f t="shared" si="101"/>
        <v>W3271.B</v>
      </c>
      <c r="M1899" s="13" t="s">
        <v>17</v>
      </c>
      <c r="N1899" s="13"/>
      <c r="O1899" s="13"/>
      <c r="P1899" s="47"/>
      <c r="Q1899" s="45" t="s">
        <v>142</v>
      </c>
      <c r="R1899" s="45" t="s">
        <v>5552</v>
      </c>
      <c r="S1899" s="48"/>
    </row>
    <row r="1900" spans="1:19" s="49" customFormat="1" ht="14.15" customHeight="1">
      <c r="A1900" s="43" t="s">
        <v>6691</v>
      </c>
      <c r="B1900" s="44" t="s">
        <v>6635</v>
      </c>
      <c r="C1900" s="50"/>
      <c r="D1900" s="10" t="s">
        <v>29</v>
      </c>
      <c r="E1900" s="11"/>
      <c r="F1900" s="11" t="s">
        <v>18</v>
      </c>
      <c r="G1900" s="13"/>
      <c r="H1900" s="45" t="s">
        <v>16</v>
      </c>
      <c r="I1900" s="47"/>
      <c r="J1900" s="12" t="s">
        <v>6590</v>
      </c>
      <c r="K1900" s="13" t="s">
        <v>8671</v>
      </c>
      <c r="L1900" s="99" t="str">
        <f t="shared" si="101"/>
        <v>W3271.C</v>
      </c>
      <c r="M1900" s="13" t="s">
        <v>17</v>
      </c>
      <c r="N1900" s="13"/>
      <c r="O1900" s="13"/>
      <c r="P1900" s="47"/>
      <c r="Q1900" s="45" t="s">
        <v>142</v>
      </c>
      <c r="R1900" s="45" t="s">
        <v>5552</v>
      </c>
      <c r="S1900" s="48"/>
    </row>
    <row r="1901" spans="1:19" s="49" customFormat="1" ht="14.15" customHeight="1">
      <c r="A1901" s="43" t="s">
        <v>6691</v>
      </c>
      <c r="B1901" s="44" t="s">
        <v>6635</v>
      </c>
      <c r="C1901" s="50"/>
      <c r="D1901" s="10" t="s">
        <v>29</v>
      </c>
      <c r="E1901" s="11"/>
      <c r="F1901" s="11" t="s">
        <v>18</v>
      </c>
      <c r="G1901" s="13"/>
      <c r="H1901" s="45" t="s">
        <v>16</v>
      </c>
      <c r="I1901" s="47"/>
      <c r="J1901" s="12" t="s">
        <v>6591</v>
      </c>
      <c r="K1901" s="13" t="s">
        <v>8672</v>
      </c>
      <c r="L1901" s="99" t="str">
        <f t="shared" si="101"/>
        <v>W3271.D</v>
      </c>
      <c r="M1901" s="13" t="s">
        <v>17</v>
      </c>
      <c r="N1901" s="13"/>
      <c r="O1901" s="13"/>
      <c r="P1901" s="47"/>
      <c r="Q1901" s="45" t="s">
        <v>142</v>
      </c>
      <c r="R1901" s="45" t="s">
        <v>5552</v>
      </c>
      <c r="S1901" s="48"/>
    </row>
    <row r="1902" spans="1:19" s="49" customFormat="1" ht="14.15" customHeight="1">
      <c r="A1902" s="43" t="s">
        <v>6691</v>
      </c>
      <c r="B1902" s="44" t="s">
        <v>6635</v>
      </c>
      <c r="C1902" s="50"/>
      <c r="D1902" s="10" t="s">
        <v>29</v>
      </c>
      <c r="E1902" s="11"/>
      <c r="F1902" s="11" t="s">
        <v>18</v>
      </c>
      <c r="G1902" s="13"/>
      <c r="H1902" s="45" t="s">
        <v>16</v>
      </c>
      <c r="I1902" s="47"/>
      <c r="J1902" s="12" t="s">
        <v>6592</v>
      </c>
      <c r="K1902" s="13" t="s">
        <v>8673</v>
      </c>
      <c r="L1902" s="99" t="str">
        <f t="shared" si="101"/>
        <v>W3271.E</v>
      </c>
      <c r="M1902" s="13" t="s">
        <v>17</v>
      </c>
      <c r="N1902" s="13"/>
      <c r="O1902" s="13"/>
      <c r="P1902" s="47"/>
      <c r="Q1902" s="45" t="s">
        <v>142</v>
      </c>
      <c r="R1902" s="45" t="s">
        <v>5552</v>
      </c>
      <c r="S1902" s="48"/>
    </row>
    <row r="1903" spans="1:19" s="49" customFormat="1" ht="14.15" customHeight="1">
      <c r="A1903" s="43" t="s">
        <v>6691</v>
      </c>
      <c r="B1903" s="44" t="s">
        <v>6635</v>
      </c>
      <c r="C1903" s="50"/>
      <c r="D1903" s="10" t="s">
        <v>29</v>
      </c>
      <c r="E1903" s="11"/>
      <c r="F1903" s="11" t="s">
        <v>18</v>
      </c>
      <c r="G1903" s="13"/>
      <c r="H1903" s="45" t="s">
        <v>16</v>
      </c>
      <c r="I1903" s="47"/>
      <c r="J1903" s="12" t="s">
        <v>6593</v>
      </c>
      <c r="K1903" s="13" t="s">
        <v>8674</v>
      </c>
      <c r="L1903" s="99" t="str">
        <f t="shared" si="101"/>
        <v>W3271.F</v>
      </c>
      <c r="M1903" s="13" t="s">
        <v>17</v>
      </c>
      <c r="N1903" s="13"/>
      <c r="O1903" s="13"/>
      <c r="P1903" s="47"/>
      <c r="Q1903" s="45" t="s">
        <v>142</v>
      </c>
      <c r="R1903" s="45" t="s">
        <v>5552</v>
      </c>
      <c r="S1903" s="48"/>
    </row>
    <row r="1904" spans="1:19" s="49" customFormat="1" ht="14.15" customHeight="1">
      <c r="A1904" s="45"/>
      <c r="B1904" s="44" t="s">
        <v>6635</v>
      </c>
      <c r="C1904" s="50"/>
      <c r="D1904" s="10" t="s">
        <v>29</v>
      </c>
      <c r="E1904" s="11"/>
      <c r="F1904" s="11" t="s">
        <v>18</v>
      </c>
      <c r="G1904" s="13"/>
      <c r="H1904" s="45" t="s">
        <v>16</v>
      </c>
      <c r="I1904" s="47"/>
      <c r="J1904" s="12" t="s">
        <v>1572</v>
      </c>
      <c r="K1904" s="13" t="s">
        <v>8675</v>
      </c>
      <c r="L1904" s="99" t="str">
        <f t="shared" si="101"/>
        <v>W3272.0</v>
      </c>
      <c r="M1904" s="45"/>
      <c r="N1904" s="47"/>
      <c r="O1904" s="47"/>
      <c r="P1904" s="47"/>
      <c r="Q1904" s="45"/>
      <c r="R1904" s="45"/>
      <c r="S1904" s="48"/>
    </row>
    <row r="1905" spans="1:19" s="49" customFormat="1" ht="14.15" customHeight="1">
      <c r="A1905" s="43" t="s">
        <v>6691</v>
      </c>
      <c r="B1905" s="44" t="s">
        <v>6635</v>
      </c>
      <c r="C1905" s="50"/>
      <c r="D1905" s="10" t="s">
        <v>29</v>
      </c>
      <c r="E1905" s="11"/>
      <c r="F1905" s="11" t="s">
        <v>18</v>
      </c>
      <c r="G1905" s="13"/>
      <c r="H1905" s="45" t="s">
        <v>16</v>
      </c>
      <c r="I1905" s="47"/>
      <c r="J1905" s="12" t="s">
        <v>6594</v>
      </c>
      <c r="K1905" s="13" t="s">
        <v>8676</v>
      </c>
      <c r="L1905" s="99" t="str">
        <f t="shared" si="101"/>
        <v>W3272.1</v>
      </c>
      <c r="M1905" s="13" t="s">
        <v>17</v>
      </c>
      <c r="N1905" s="13"/>
      <c r="O1905" s="13"/>
      <c r="P1905" s="47"/>
      <c r="Q1905" s="45" t="s">
        <v>142</v>
      </c>
      <c r="R1905" s="45" t="s">
        <v>5552</v>
      </c>
      <c r="S1905" s="48"/>
    </row>
    <row r="1906" spans="1:19" s="49" customFormat="1" ht="14.15" customHeight="1">
      <c r="A1906" s="43" t="s">
        <v>6691</v>
      </c>
      <c r="B1906" s="44" t="s">
        <v>6635</v>
      </c>
      <c r="C1906" s="50"/>
      <c r="D1906" s="10" t="s">
        <v>29</v>
      </c>
      <c r="E1906" s="11"/>
      <c r="F1906" s="11" t="s">
        <v>18</v>
      </c>
      <c r="G1906" s="13"/>
      <c r="H1906" s="45" t="s">
        <v>16</v>
      </c>
      <c r="I1906" s="47"/>
      <c r="J1906" s="12" t="s">
        <v>6595</v>
      </c>
      <c r="K1906" s="13" t="s">
        <v>8677</v>
      </c>
      <c r="L1906" s="99" t="str">
        <f t="shared" si="101"/>
        <v>W3272.2</v>
      </c>
      <c r="M1906" s="13" t="s">
        <v>17</v>
      </c>
      <c r="N1906" s="13"/>
      <c r="O1906" s="13"/>
      <c r="P1906" s="47"/>
      <c r="Q1906" s="45" t="s">
        <v>142</v>
      </c>
      <c r="R1906" s="45" t="s">
        <v>5552</v>
      </c>
      <c r="S1906" s="48"/>
    </row>
    <row r="1907" spans="1:19" s="49" customFormat="1" ht="14.15" customHeight="1">
      <c r="A1907" s="45"/>
      <c r="B1907" s="44" t="s">
        <v>6635</v>
      </c>
      <c r="C1907" s="50"/>
      <c r="D1907" s="10" t="s">
        <v>29</v>
      </c>
      <c r="E1907" s="11"/>
      <c r="F1907" s="11" t="s">
        <v>18</v>
      </c>
      <c r="G1907" s="13"/>
      <c r="H1907" s="45" t="s">
        <v>16</v>
      </c>
      <c r="I1907" s="47"/>
      <c r="J1907" s="12" t="s">
        <v>1575</v>
      </c>
      <c r="K1907" s="13" t="s">
        <v>8678</v>
      </c>
      <c r="L1907" s="99" t="str">
        <f t="shared" si="101"/>
        <v>W3272.3</v>
      </c>
      <c r="M1907" s="45"/>
      <c r="N1907" s="47"/>
      <c r="O1907" s="47"/>
      <c r="P1907" s="47"/>
      <c r="Q1907" s="45"/>
      <c r="R1907" s="45"/>
      <c r="S1907" s="48"/>
    </row>
    <row r="1908" spans="1:19" s="49" customFormat="1" ht="14.15" customHeight="1">
      <c r="A1908" s="45"/>
      <c r="B1908" s="44" t="s">
        <v>6635</v>
      </c>
      <c r="C1908" s="50"/>
      <c r="D1908" s="10" t="s">
        <v>29</v>
      </c>
      <c r="E1908" s="11"/>
      <c r="F1908" s="11" t="s">
        <v>18</v>
      </c>
      <c r="G1908" s="13"/>
      <c r="H1908" s="45" t="s">
        <v>16</v>
      </c>
      <c r="I1908" s="47"/>
      <c r="J1908" s="12" t="s">
        <v>1576</v>
      </c>
      <c r="K1908" s="13" t="s">
        <v>8679</v>
      </c>
      <c r="L1908" s="99" t="str">
        <f t="shared" si="101"/>
        <v>W3272.4</v>
      </c>
      <c r="M1908" s="45"/>
      <c r="N1908" s="47"/>
      <c r="O1908" s="47"/>
      <c r="P1908" s="47"/>
      <c r="Q1908" s="45"/>
      <c r="R1908" s="45"/>
      <c r="S1908" s="48"/>
    </row>
    <row r="1909" spans="1:19" s="49" customFormat="1" ht="14.15" customHeight="1">
      <c r="A1909" s="45"/>
      <c r="B1909" s="44" t="s">
        <v>6635</v>
      </c>
      <c r="C1909" s="50"/>
      <c r="D1909" s="10" t="s">
        <v>29</v>
      </c>
      <c r="E1909" s="11"/>
      <c r="F1909" s="11" t="s">
        <v>18</v>
      </c>
      <c r="G1909" s="13"/>
      <c r="H1909" s="45" t="s">
        <v>16</v>
      </c>
      <c r="I1909" s="47"/>
      <c r="J1909" s="12" t="s">
        <v>1577</v>
      </c>
      <c r="K1909" s="13" t="s">
        <v>8680</v>
      </c>
      <c r="L1909" s="99" t="str">
        <f t="shared" si="101"/>
        <v>W3272.5</v>
      </c>
      <c r="M1909" s="45"/>
      <c r="N1909" s="47"/>
      <c r="O1909" s="47"/>
      <c r="P1909" s="47"/>
      <c r="Q1909" s="45"/>
      <c r="R1909" s="45"/>
      <c r="S1909" s="48"/>
    </row>
    <row r="1910" spans="1:19" s="49" customFormat="1" ht="14.15" customHeight="1">
      <c r="A1910" s="45"/>
      <c r="B1910" s="44" t="s">
        <v>6635</v>
      </c>
      <c r="C1910" s="50"/>
      <c r="D1910" s="10" t="s">
        <v>29</v>
      </c>
      <c r="E1910" s="11"/>
      <c r="F1910" s="11" t="s">
        <v>18</v>
      </c>
      <c r="G1910" s="13"/>
      <c r="H1910" s="45" t="s">
        <v>16</v>
      </c>
      <c r="I1910" s="47"/>
      <c r="J1910" s="12" t="s">
        <v>1578</v>
      </c>
      <c r="K1910" s="13" t="s">
        <v>8681</v>
      </c>
      <c r="L1910" s="99" t="str">
        <f t="shared" si="101"/>
        <v>W3272.6</v>
      </c>
      <c r="M1910" s="45"/>
      <c r="N1910" s="47"/>
      <c r="O1910" s="47"/>
      <c r="P1910" s="47"/>
      <c r="Q1910" s="45"/>
      <c r="R1910" s="45"/>
      <c r="S1910" s="48"/>
    </row>
    <row r="1911" spans="1:19" s="49" customFormat="1" ht="14.15" customHeight="1">
      <c r="A1911" s="45"/>
      <c r="B1911" s="44" t="s">
        <v>6635</v>
      </c>
      <c r="C1911" s="50"/>
      <c r="D1911" s="10" t="s">
        <v>29</v>
      </c>
      <c r="E1911" s="11"/>
      <c r="F1911" s="11" t="s">
        <v>18</v>
      </c>
      <c r="G1911" s="13"/>
      <c r="H1911" s="45" t="s">
        <v>16</v>
      </c>
      <c r="I1911" s="47"/>
      <c r="J1911" s="12" t="s">
        <v>1579</v>
      </c>
      <c r="K1911" s="13" t="s">
        <v>8682</v>
      </c>
      <c r="L1911" s="99" t="str">
        <f t="shared" si="101"/>
        <v>W3272.7</v>
      </c>
      <c r="M1911" s="45"/>
      <c r="N1911" s="47"/>
      <c r="O1911" s="47"/>
      <c r="P1911" s="47"/>
      <c r="Q1911" s="45"/>
      <c r="R1911" s="45"/>
      <c r="S1911" s="48"/>
    </row>
    <row r="1912" spans="1:19" s="49" customFormat="1" ht="14.15" customHeight="1">
      <c r="A1912" s="45"/>
      <c r="B1912" s="44" t="s">
        <v>6635</v>
      </c>
      <c r="C1912" s="50"/>
      <c r="D1912" s="10" t="s">
        <v>29</v>
      </c>
      <c r="E1912" s="11"/>
      <c r="F1912" s="11" t="s">
        <v>18</v>
      </c>
      <c r="G1912" s="13"/>
      <c r="H1912" s="45" t="s">
        <v>16</v>
      </c>
      <c r="I1912" s="47"/>
      <c r="J1912" s="12" t="s">
        <v>1580</v>
      </c>
      <c r="K1912" s="13" t="s">
        <v>8683</v>
      </c>
      <c r="L1912" s="99" t="str">
        <f t="shared" si="101"/>
        <v>W3272.8</v>
      </c>
      <c r="M1912" s="45"/>
      <c r="N1912" s="47"/>
      <c r="O1912" s="47"/>
      <c r="P1912" s="47"/>
      <c r="Q1912" s="45"/>
      <c r="R1912" s="45"/>
      <c r="S1912" s="48"/>
    </row>
    <row r="1913" spans="1:19" s="49" customFormat="1" ht="14.15" customHeight="1">
      <c r="A1913" s="45"/>
      <c r="B1913" s="44" t="s">
        <v>6635</v>
      </c>
      <c r="C1913" s="50"/>
      <c r="D1913" s="10" t="s">
        <v>29</v>
      </c>
      <c r="E1913" s="11"/>
      <c r="F1913" s="11" t="s">
        <v>18</v>
      </c>
      <c r="G1913" s="13"/>
      <c r="H1913" s="45" t="s">
        <v>16</v>
      </c>
      <c r="I1913" s="47"/>
      <c r="J1913" s="12" t="s">
        <v>1581</v>
      </c>
      <c r="K1913" s="13" t="s">
        <v>8684</v>
      </c>
      <c r="L1913" s="99" t="str">
        <f t="shared" si="101"/>
        <v>W3272.9</v>
      </c>
      <c r="M1913" s="45"/>
      <c r="N1913" s="47"/>
      <c r="O1913" s="47"/>
      <c r="P1913" s="47"/>
      <c r="Q1913" s="45"/>
      <c r="R1913" s="45"/>
      <c r="S1913" s="48"/>
    </row>
    <row r="1914" spans="1:19" s="49" customFormat="1" ht="14.15" customHeight="1">
      <c r="A1914" s="43" t="s">
        <v>6691</v>
      </c>
      <c r="B1914" s="44" t="s">
        <v>6635</v>
      </c>
      <c r="C1914" s="50"/>
      <c r="D1914" s="10" t="s">
        <v>29</v>
      </c>
      <c r="E1914" s="11"/>
      <c r="F1914" s="11" t="s">
        <v>18</v>
      </c>
      <c r="G1914" s="13"/>
      <c r="H1914" s="45" t="s">
        <v>16</v>
      </c>
      <c r="I1914" s="47"/>
      <c r="J1914" s="12" t="s">
        <v>6596</v>
      </c>
      <c r="K1914" s="13" t="s">
        <v>8685</v>
      </c>
      <c r="L1914" s="99" t="str">
        <f t="shared" si="101"/>
        <v>W3272.A</v>
      </c>
      <c r="M1914" s="13" t="s">
        <v>17</v>
      </c>
      <c r="N1914" s="13"/>
      <c r="O1914" s="13"/>
      <c r="P1914" s="47"/>
      <c r="Q1914" s="45" t="s">
        <v>142</v>
      </c>
      <c r="R1914" s="45" t="s">
        <v>5552</v>
      </c>
      <c r="S1914" s="48"/>
    </row>
    <row r="1915" spans="1:19" s="49" customFormat="1" ht="14.15" customHeight="1">
      <c r="A1915" s="43" t="s">
        <v>6691</v>
      </c>
      <c r="B1915" s="44" t="s">
        <v>6635</v>
      </c>
      <c r="C1915" s="50"/>
      <c r="D1915" s="10" t="s">
        <v>29</v>
      </c>
      <c r="E1915" s="11"/>
      <c r="F1915" s="11" t="s">
        <v>18</v>
      </c>
      <c r="G1915" s="13"/>
      <c r="H1915" s="45" t="s">
        <v>16</v>
      </c>
      <c r="I1915" s="47"/>
      <c r="J1915" s="12" t="s">
        <v>6597</v>
      </c>
      <c r="K1915" s="13" t="s">
        <v>8686</v>
      </c>
      <c r="L1915" s="99" t="str">
        <f t="shared" si="101"/>
        <v>W3272.B</v>
      </c>
      <c r="M1915" s="13" t="s">
        <v>17</v>
      </c>
      <c r="N1915" s="13"/>
      <c r="O1915" s="13"/>
      <c r="P1915" s="47"/>
      <c r="Q1915" s="45" t="s">
        <v>142</v>
      </c>
      <c r="R1915" s="45" t="s">
        <v>5552</v>
      </c>
      <c r="S1915" s="48"/>
    </row>
    <row r="1916" spans="1:19" s="49" customFormat="1" ht="14.15" customHeight="1">
      <c r="A1916" s="43" t="s">
        <v>6691</v>
      </c>
      <c r="B1916" s="44" t="s">
        <v>6635</v>
      </c>
      <c r="C1916" s="50"/>
      <c r="D1916" s="10" t="s">
        <v>29</v>
      </c>
      <c r="E1916" s="11"/>
      <c r="F1916" s="11" t="s">
        <v>18</v>
      </c>
      <c r="G1916" s="13"/>
      <c r="H1916" s="45" t="s">
        <v>16</v>
      </c>
      <c r="I1916" s="47"/>
      <c r="J1916" s="12" t="s">
        <v>6598</v>
      </c>
      <c r="K1916" s="13" t="s">
        <v>8687</v>
      </c>
      <c r="L1916" s="99" t="str">
        <f t="shared" si="101"/>
        <v>W3272.C</v>
      </c>
      <c r="M1916" s="13" t="s">
        <v>17</v>
      </c>
      <c r="N1916" s="13"/>
      <c r="O1916" s="13"/>
      <c r="P1916" s="47"/>
      <c r="Q1916" s="45" t="s">
        <v>142</v>
      </c>
      <c r="R1916" s="45" t="s">
        <v>5552</v>
      </c>
      <c r="S1916" s="48"/>
    </row>
    <row r="1917" spans="1:19" s="49" customFormat="1" ht="14.15" customHeight="1">
      <c r="A1917" s="43" t="s">
        <v>6691</v>
      </c>
      <c r="B1917" s="44" t="s">
        <v>6635</v>
      </c>
      <c r="C1917" s="50"/>
      <c r="D1917" s="10" t="s">
        <v>29</v>
      </c>
      <c r="E1917" s="11"/>
      <c r="F1917" s="11" t="s">
        <v>18</v>
      </c>
      <c r="G1917" s="13"/>
      <c r="H1917" s="45" t="s">
        <v>16</v>
      </c>
      <c r="I1917" s="47"/>
      <c r="J1917" s="12" t="s">
        <v>6599</v>
      </c>
      <c r="K1917" s="13" t="s">
        <v>8688</v>
      </c>
      <c r="L1917" s="99" t="str">
        <f t="shared" si="101"/>
        <v>W3272.D</v>
      </c>
      <c r="M1917" s="13" t="s">
        <v>17</v>
      </c>
      <c r="N1917" s="13"/>
      <c r="O1917" s="13"/>
      <c r="P1917" s="47"/>
      <c r="Q1917" s="45" t="s">
        <v>142</v>
      </c>
      <c r="R1917" s="45" t="s">
        <v>5552</v>
      </c>
      <c r="S1917" s="48"/>
    </row>
    <row r="1918" spans="1:19" s="49" customFormat="1" ht="14.15" customHeight="1">
      <c r="A1918" s="43" t="s">
        <v>6691</v>
      </c>
      <c r="B1918" s="44" t="s">
        <v>6635</v>
      </c>
      <c r="C1918" s="50"/>
      <c r="D1918" s="10" t="s">
        <v>29</v>
      </c>
      <c r="E1918" s="11"/>
      <c r="F1918" s="11" t="s">
        <v>18</v>
      </c>
      <c r="G1918" s="13"/>
      <c r="H1918" s="45" t="s">
        <v>16</v>
      </c>
      <c r="I1918" s="47"/>
      <c r="J1918" s="12" t="s">
        <v>6600</v>
      </c>
      <c r="K1918" s="13" t="s">
        <v>8689</v>
      </c>
      <c r="L1918" s="99" t="str">
        <f t="shared" si="101"/>
        <v>W3272.E</v>
      </c>
      <c r="M1918" s="13" t="s">
        <v>17</v>
      </c>
      <c r="N1918" s="13"/>
      <c r="O1918" s="13"/>
      <c r="P1918" s="47"/>
      <c r="Q1918" s="45" t="s">
        <v>142</v>
      </c>
      <c r="R1918" s="45" t="s">
        <v>5552</v>
      </c>
      <c r="S1918" s="48"/>
    </row>
    <row r="1919" spans="1:19" s="49" customFormat="1" ht="14.15" customHeight="1">
      <c r="A1919" s="45"/>
      <c r="B1919" s="44" t="s">
        <v>6635</v>
      </c>
      <c r="C1919" s="50"/>
      <c r="D1919" s="10" t="s">
        <v>29</v>
      </c>
      <c r="E1919" s="11"/>
      <c r="F1919" s="11" t="s">
        <v>18</v>
      </c>
      <c r="G1919" s="13"/>
      <c r="H1919" s="45" t="s">
        <v>16</v>
      </c>
      <c r="I1919" s="47"/>
      <c r="J1919" s="12" t="s">
        <v>3368</v>
      </c>
      <c r="K1919" s="13" t="s">
        <v>8690</v>
      </c>
      <c r="L1919" s="99" t="str">
        <f t="shared" si="101"/>
        <v>W3272.F</v>
      </c>
      <c r="M1919" s="45"/>
      <c r="N1919" s="47"/>
      <c r="O1919" s="47"/>
      <c r="P1919" s="47"/>
      <c r="Q1919" s="45"/>
      <c r="R1919" s="45"/>
      <c r="S1919" s="48"/>
    </row>
    <row r="1920" spans="1:19" s="49" customFormat="1" ht="14.15" customHeight="1">
      <c r="A1920" s="45"/>
      <c r="B1920" s="44" t="s">
        <v>6635</v>
      </c>
      <c r="C1920" s="50"/>
      <c r="D1920" s="10" t="s">
        <v>29</v>
      </c>
      <c r="E1920" s="11"/>
      <c r="F1920" s="11" t="s">
        <v>18</v>
      </c>
      <c r="G1920" s="13"/>
      <c r="H1920" s="45" t="s">
        <v>16</v>
      </c>
      <c r="I1920" s="47"/>
      <c r="J1920" s="12" t="s">
        <v>3369</v>
      </c>
      <c r="K1920" s="13" t="s">
        <v>8691</v>
      </c>
      <c r="L1920" s="99" t="str">
        <f t="shared" si="101"/>
        <v>W3273.0</v>
      </c>
      <c r="M1920" s="45"/>
      <c r="N1920" s="47"/>
      <c r="O1920" s="47"/>
      <c r="P1920" s="47"/>
      <c r="Q1920" s="45"/>
      <c r="R1920" s="45"/>
      <c r="S1920" s="48"/>
    </row>
    <row r="1921" spans="1:19" s="49" customFormat="1" ht="14.15" customHeight="1">
      <c r="A1921" s="45"/>
      <c r="B1921" s="44" t="s">
        <v>6635</v>
      </c>
      <c r="C1921" s="50"/>
      <c r="D1921" s="10" t="s">
        <v>29</v>
      </c>
      <c r="E1921" s="11"/>
      <c r="F1921" s="11" t="s">
        <v>18</v>
      </c>
      <c r="G1921" s="13"/>
      <c r="H1921" s="45" t="s">
        <v>16</v>
      </c>
      <c r="I1921" s="47"/>
      <c r="J1921" s="12" t="s">
        <v>3370</v>
      </c>
      <c r="K1921" s="13" t="s">
        <v>8692</v>
      </c>
      <c r="L1921" s="99" t="str">
        <f t="shared" si="101"/>
        <v>W3273.1</v>
      </c>
      <c r="M1921" s="45"/>
      <c r="N1921" s="47"/>
      <c r="O1921" s="47"/>
      <c r="P1921" s="47"/>
      <c r="Q1921" s="45"/>
      <c r="R1921" s="45"/>
      <c r="S1921" s="48"/>
    </row>
    <row r="1922" spans="1:19" s="49" customFormat="1" ht="14.15" customHeight="1">
      <c r="A1922" s="45"/>
      <c r="B1922" s="44" t="s">
        <v>6635</v>
      </c>
      <c r="C1922" s="50"/>
      <c r="D1922" s="10" t="s">
        <v>29</v>
      </c>
      <c r="E1922" s="11"/>
      <c r="F1922" s="11" t="s">
        <v>18</v>
      </c>
      <c r="G1922" s="13"/>
      <c r="H1922" s="45" t="s">
        <v>16</v>
      </c>
      <c r="I1922" s="47"/>
      <c r="J1922" s="12" t="s">
        <v>3371</v>
      </c>
      <c r="K1922" s="13" t="s">
        <v>8693</v>
      </c>
      <c r="L1922" s="99" t="str">
        <f t="shared" si="101"/>
        <v>W3273.2</v>
      </c>
      <c r="M1922" s="45"/>
      <c r="N1922" s="47"/>
      <c r="O1922" s="47"/>
      <c r="P1922" s="47"/>
      <c r="Q1922" s="45"/>
      <c r="R1922" s="45"/>
      <c r="S1922" s="48"/>
    </row>
    <row r="1923" spans="1:19" s="49" customFormat="1" ht="14.15" customHeight="1">
      <c r="A1923" s="45"/>
      <c r="B1923" s="44" t="s">
        <v>6635</v>
      </c>
      <c r="C1923" s="50"/>
      <c r="D1923" s="10" t="s">
        <v>29</v>
      </c>
      <c r="E1923" s="11"/>
      <c r="F1923" s="11" t="s">
        <v>18</v>
      </c>
      <c r="G1923" s="13"/>
      <c r="H1923" s="45" t="s">
        <v>16</v>
      </c>
      <c r="I1923" s="47"/>
      <c r="J1923" s="12" t="s">
        <v>3372</v>
      </c>
      <c r="K1923" s="13" t="s">
        <v>8694</v>
      </c>
      <c r="L1923" s="99" t="str">
        <f t="shared" si="101"/>
        <v>W3273.3</v>
      </c>
      <c r="M1923" s="45"/>
      <c r="N1923" s="47"/>
      <c r="O1923" s="47"/>
      <c r="P1923" s="47"/>
      <c r="Q1923" s="45"/>
      <c r="R1923" s="45"/>
      <c r="S1923" s="48"/>
    </row>
    <row r="1924" spans="1:19" s="49" customFormat="1" ht="14.15" customHeight="1">
      <c r="A1924" s="45"/>
      <c r="B1924" s="44" t="s">
        <v>6635</v>
      </c>
      <c r="C1924" s="50"/>
      <c r="D1924" s="10" t="s">
        <v>29</v>
      </c>
      <c r="E1924" s="11"/>
      <c r="F1924" s="11" t="s">
        <v>18</v>
      </c>
      <c r="G1924" s="13"/>
      <c r="H1924" s="45" t="s">
        <v>16</v>
      </c>
      <c r="I1924" s="47"/>
      <c r="J1924" s="12" t="s">
        <v>3373</v>
      </c>
      <c r="K1924" s="13" t="s">
        <v>8695</v>
      </c>
      <c r="L1924" s="99" t="str">
        <f t="shared" si="101"/>
        <v>W3273.4</v>
      </c>
      <c r="M1924" s="45"/>
      <c r="N1924" s="47"/>
      <c r="O1924" s="47"/>
      <c r="P1924" s="47"/>
      <c r="Q1924" s="45"/>
      <c r="R1924" s="45"/>
      <c r="S1924" s="48"/>
    </row>
    <row r="1925" spans="1:19" s="49" customFormat="1" ht="14.15" customHeight="1">
      <c r="A1925" s="45"/>
      <c r="B1925" s="44" t="s">
        <v>6635</v>
      </c>
      <c r="C1925" s="50"/>
      <c r="D1925" s="10" t="s">
        <v>29</v>
      </c>
      <c r="E1925" s="11"/>
      <c r="F1925" s="11" t="s">
        <v>18</v>
      </c>
      <c r="G1925" s="13"/>
      <c r="H1925" s="45" t="s">
        <v>16</v>
      </c>
      <c r="I1925" s="47"/>
      <c r="J1925" s="12" t="s">
        <v>3374</v>
      </c>
      <c r="K1925" s="13" t="s">
        <v>8696</v>
      </c>
      <c r="L1925" s="99" t="str">
        <f t="shared" si="101"/>
        <v>W3273.5</v>
      </c>
      <c r="M1925" s="45"/>
      <c r="N1925" s="47"/>
      <c r="O1925" s="47"/>
      <c r="P1925" s="47"/>
      <c r="Q1925" s="45"/>
      <c r="R1925" s="45"/>
      <c r="S1925" s="48"/>
    </row>
    <row r="1926" spans="1:19" s="49" customFormat="1" ht="14.15" customHeight="1">
      <c r="A1926" s="45"/>
      <c r="B1926" s="44" t="s">
        <v>6635</v>
      </c>
      <c r="C1926" s="50"/>
      <c r="D1926" s="10" t="s">
        <v>29</v>
      </c>
      <c r="E1926" s="11"/>
      <c r="F1926" s="11" t="s">
        <v>18</v>
      </c>
      <c r="G1926" s="13"/>
      <c r="H1926" s="45" t="s">
        <v>16</v>
      </c>
      <c r="I1926" s="47"/>
      <c r="J1926" s="12" t="s">
        <v>3375</v>
      </c>
      <c r="K1926" s="13" t="s">
        <v>8697</v>
      </c>
      <c r="L1926" s="99" t="str">
        <f t="shared" si="101"/>
        <v>W3273.6</v>
      </c>
      <c r="M1926" s="45"/>
      <c r="N1926" s="47"/>
      <c r="O1926" s="47"/>
      <c r="P1926" s="47"/>
      <c r="Q1926" s="45"/>
      <c r="R1926" s="45"/>
      <c r="S1926" s="48"/>
    </row>
    <row r="1927" spans="1:19" s="49" customFormat="1" ht="14.15" customHeight="1">
      <c r="A1927" s="45"/>
      <c r="B1927" s="44" t="s">
        <v>6635</v>
      </c>
      <c r="C1927" s="50"/>
      <c r="D1927" s="10" t="s">
        <v>29</v>
      </c>
      <c r="E1927" s="11"/>
      <c r="F1927" s="11" t="s">
        <v>18</v>
      </c>
      <c r="G1927" s="13"/>
      <c r="H1927" s="45" t="s">
        <v>16</v>
      </c>
      <c r="I1927" s="47"/>
      <c r="J1927" s="12" t="s">
        <v>3376</v>
      </c>
      <c r="K1927" s="13" t="s">
        <v>8698</v>
      </c>
      <c r="L1927" s="99" t="str">
        <f t="shared" si="101"/>
        <v>W3273.7</v>
      </c>
      <c r="M1927" s="45"/>
      <c r="N1927" s="47"/>
      <c r="O1927" s="47"/>
      <c r="P1927" s="47"/>
      <c r="Q1927" s="45"/>
      <c r="R1927" s="45"/>
      <c r="S1927" s="48"/>
    </row>
    <row r="1928" spans="1:19" s="49" customFormat="1" ht="14.15" customHeight="1">
      <c r="A1928" s="45"/>
      <c r="B1928" s="44" t="s">
        <v>6635</v>
      </c>
      <c r="C1928" s="50"/>
      <c r="D1928" s="10" t="s">
        <v>29</v>
      </c>
      <c r="E1928" s="11"/>
      <c r="F1928" s="11" t="s">
        <v>18</v>
      </c>
      <c r="G1928" s="13"/>
      <c r="H1928" s="45" t="s">
        <v>16</v>
      </c>
      <c r="I1928" s="47"/>
      <c r="J1928" s="12" t="s">
        <v>3377</v>
      </c>
      <c r="K1928" s="13" t="s">
        <v>8699</v>
      </c>
      <c r="L1928" s="99" t="str">
        <f t="shared" si="101"/>
        <v>W3273.8</v>
      </c>
      <c r="M1928" s="45"/>
      <c r="N1928" s="47"/>
      <c r="O1928" s="47"/>
      <c r="P1928" s="47"/>
      <c r="Q1928" s="45"/>
      <c r="R1928" s="45"/>
      <c r="S1928" s="48"/>
    </row>
    <row r="1929" spans="1:19" s="49" customFormat="1" ht="14.15" customHeight="1">
      <c r="A1929" s="45"/>
      <c r="B1929" s="44" t="s">
        <v>6635</v>
      </c>
      <c r="C1929" s="50"/>
      <c r="D1929" s="10" t="s">
        <v>29</v>
      </c>
      <c r="E1929" s="11"/>
      <c r="F1929" s="11" t="s">
        <v>18</v>
      </c>
      <c r="G1929" s="13"/>
      <c r="H1929" s="45" t="s">
        <v>16</v>
      </c>
      <c r="I1929" s="47"/>
      <c r="J1929" s="12" t="s">
        <v>3378</v>
      </c>
      <c r="K1929" s="13" t="s">
        <v>8700</v>
      </c>
      <c r="L1929" s="99" t="str">
        <f t="shared" si="101"/>
        <v>W3273.9</v>
      </c>
      <c r="M1929" s="45"/>
      <c r="N1929" s="47"/>
      <c r="O1929" s="47"/>
      <c r="P1929" s="47"/>
      <c r="Q1929" s="45"/>
      <c r="R1929" s="45"/>
      <c r="S1929" s="48"/>
    </row>
    <row r="1930" spans="1:19" s="49" customFormat="1" ht="14.15" customHeight="1">
      <c r="A1930" s="45"/>
      <c r="B1930" s="44" t="s">
        <v>6635</v>
      </c>
      <c r="C1930" s="50"/>
      <c r="D1930" s="10" t="s">
        <v>29</v>
      </c>
      <c r="E1930" s="11"/>
      <c r="F1930" s="11" t="s">
        <v>18</v>
      </c>
      <c r="G1930" s="13"/>
      <c r="H1930" s="45" t="s">
        <v>16</v>
      </c>
      <c r="I1930" s="47"/>
      <c r="J1930" s="12" t="s">
        <v>3379</v>
      </c>
      <c r="K1930" s="13" t="s">
        <v>8701</v>
      </c>
      <c r="L1930" s="99" t="str">
        <f t="shared" si="101"/>
        <v>W3273.A</v>
      </c>
      <c r="M1930" s="45"/>
      <c r="N1930" s="47"/>
      <c r="O1930" s="47"/>
      <c r="P1930" s="47"/>
      <c r="Q1930" s="45"/>
      <c r="R1930" s="45"/>
      <c r="S1930" s="48"/>
    </row>
    <row r="1931" spans="1:19" s="49" customFormat="1" ht="14.15" customHeight="1">
      <c r="A1931" s="45"/>
      <c r="B1931" s="44" t="s">
        <v>6635</v>
      </c>
      <c r="C1931" s="50"/>
      <c r="D1931" s="10" t="s">
        <v>29</v>
      </c>
      <c r="E1931" s="11"/>
      <c r="F1931" s="11" t="s">
        <v>18</v>
      </c>
      <c r="G1931" s="13"/>
      <c r="H1931" s="45" t="s">
        <v>16</v>
      </c>
      <c r="I1931" s="47"/>
      <c r="J1931" s="12" t="s">
        <v>3380</v>
      </c>
      <c r="K1931" s="13" t="s">
        <v>8702</v>
      </c>
      <c r="L1931" s="99" t="str">
        <f t="shared" si="101"/>
        <v>W3273.B</v>
      </c>
      <c r="M1931" s="45"/>
      <c r="N1931" s="47"/>
      <c r="O1931" s="47"/>
      <c r="P1931" s="47"/>
      <c r="Q1931" s="45"/>
      <c r="R1931" s="45"/>
      <c r="S1931" s="48"/>
    </row>
    <row r="1932" spans="1:19" s="49" customFormat="1" ht="14.15" customHeight="1">
      <c r="A1932" s="45"/>
      <c r="B1932" s="44" t="s">
        <v>6635</v>
      </c>
      <c r="C1932" s="50"/>
      <c r="D1932" s="10" t="s">
        <v>29</v>
      </c>
      <c r="E1932" s="11"/>
      <c r="F1932" s="11" t="s">
        <v>18</v>
      </c>
      <c r="G1932" s="13"/>
      <c r="H1932" s="45" t="s">
        <v>16</v>
      </c>
      <c r="I1932" s="47"/>
      <c r="J1932" s="12" t="s">
        <v>3381</v>
      </c>
      <c r="K1932" s="13" t="s">
        <v>8703</v>
      </c>
      <c r="L1932" s="99" t="str">
        <f t="shared" si="101"/>
        <v>W3273.C</v>
      </c>
      <c r="M1932" s="45"/>
      <c r="N1932" s="47"/>
      <c r="O1932" s="47"/>
      <c r="P1932" s="47"/>
      <c r="Q1932" s="45"/>
      <c r="R1932" s="45"/>
      <c r="S1932" s="48"/>
    </row>
    <row r="1933" spans="1:19" s="49" customFormat="1" ht="14.15" customHeight="1">
      <c r="A1933" s="45"/>
      <c r="B1933" s="44" t="s">
        <v>6635</v>
      </c>
      <c r="C1933" s="50"/>
      <c r="D1933" s="10" t="s">
        <v>29</v>
      </c>
      <c r="E1933" s="11"/>
      <c r="F1933" s="11" t="s">
        <v>18</v>
      </c>
      <c r="G1933" s="13"/>
      <c r="H1933" s="45" t="s">
        <v>16</v>
      </c>
      <c r="I1933" s="47"/>
      <c r="J1933" s="12" t="s">
        <v>3382</v>
      </c>
      <c r="K1933" s="13" t="s">
        <v>8704</v>
      </c>
      <c r="L1933" s="99" t="str">
        <f t="shared" si="101"/>
        <v>W3273.D</v>
      </c>
      <c r="M1933" s="45"/>
      <c r="N1933" s="47"/>
      <c r="O1933" s="47"/>
      <c r="P1933" s="47"/>
      <c r="Q1933" s="45"/>
      <c r="R1933" s="45"/>
      <c r="S1933" s="48"/>
    </row>
    <row r="1934" spans="1:19" s="49" customFormat="1" ht="14.15" customHeight="1">
      <c r="A1934" s="45"/>
      <c r="B1934" s="44" t="s">
        <v>6635</v>
      </c>
      <c r="C1934" s="50"/>
      <c r="D1934" s="10" t="s">
        <v>29</v>
      </c>
      <c r="E1934" s="11"/>
      <c r="F1934" s="11" t="s">
        <v>18</v>
      </c>
      <c r="G1934" s="13"/>
      <c r="H1934" s="45" t="s">
        <v>16</v>
      </c>
      <c r="I1934" s="47"/>
      <c r="J1934" s="12" t="s">
        <v>3383</v>
      </c>
      <c r="K1934" s="13" t="s">
        <v>8705</v>
      </c>
      <c r="L1934" s="99" t="str">
        <f t="shared" si="101"/>
        <v>W3273.E</v>
      </c>
      <c r="M1934" s="45"/>
      <c r="N1934" s="47"/>
      <c r="O1934" s="47"/>
      <c r="P1934" s="47"/>
      <c r="Q1934" s="45"/>
      <c r="R1934" s="45"/>
      <c r="S1934" s="48"/>
    </row>
    <row r="1935" spans="1:19" s="49" customFormat="1" ht="14.15" customHeight="1">
      <c r="A1935" s="45"/>
      <c r="B1935" s="44" t="s">
        <v>6635</v>
      </c>
      <c r="C1935" s="50"/>
      <c r="D1935" s="10" t="s">
        <v>29</v>
      </c>
      <c r="E1935" s="11"/>
      <c r="F1935" s="11" t="s">
        <v>18</v>
      </c>
      <c r="G1935" s="13"/>
      <c r="H1935" s="45" t="s">
        <v>16</v>
      </c>
      <c r="I1935" s="47"/>
      <c r="J1935" s="12" t="s">
        <v>3384</v>
      </c>
      <c r="K1935" s="13" t="s">
        <v>8706</v>
      </c>
      <c r="L1935" s="99" t="str">
        <f t="shared" si="101"/>
        <v>W3273.F</v>
      </c>
      <c r="M1935" s="45"/>
      <c r="N1935" s="47"/>
      <c r="O1935" s="47"/>
      <c r="P1935" s="47"/>
      <c r="Q1935" s="45"/>
      <c r="R1935" s="45"/>
      <c r="S1935" s="48"/>
    </row>
    <row r="1936" spans="1:19" s="49" customFormat="1" ht="14.15" customHeight="1">
      <c r="A1936" s="45"/>
      <c r="B1936" s="44" t="s">
        <v>6635</v>
      </c>
      <c r="C1936" s="50"/>
      <c r="D1936" s="10" t="s">
        <v>29</v>
      </c>
      <c r="E1936" s="11"/>
      <c r="F1936" s="11" t="s">
        <v>18</v>
      </c>
      <c r="G1936" s="13"/>
      <c r="H1936" s="45" t="s">
        <v>16</v>
      </c>
      <c r="I1936" s="47"/>
      <c r="J1936" s="12" t="s">
        <v>3385</v>
      </c>
      <c r="K1936" s="13" t="s">
        <v>8707</v>
      </c>
      <c r="L1936" s="99" t="str">
        <f t="shared" si="101"/>
        <v>W3274.0</v>
      </c>
      <c r="M1936" s="45"/>
      <c r="N1936" s="47"/>
      <c r="O1936" s="47"/>
      <c r="P1936" s="47"/>
      <c r="Q1936" s="45"/>
      <c r="R1936" s="45"/>
      <c r="S1936" s="48"/>
    </row>
    <row r="1937" spans="1:19" s="49" customFormat="1" ht="14.15" customHeight="1">
      <c r="A1937" s="45"/>
      <c r="B1937" s="44" t="s">
        <v>6635</v>
      </c>
      <c r="C1937" s="50"/>
      <c r="D1937" s="10" t="s">
        <v>29</v>
      </c>
      <c r="E1937" s="11"/>
      <c r="F1937" s="11" t="s">
        <v>18</v>
      </c>
      <c r="G1937" s="13"/>
      <c r="H1937" s="45" t="s">
        <v>16</v>
      </c>
      <c r="I1937" s="47"/>
      <c r="J1937" s="12" t="s">
        <v>3386</v>
      </c>
      <c r="K1937" s="13" t="s">
        <v>8708</v>
      </c>
      <c r="L1937" s="99" t="str">
        <f t="shared" ref="L1937:L2000" si="102">"W"&amp;DEC2HEX(12800 + INT((ROW()-80)/16)) &amp; "." &amp; IF(MOD(ROW()-80,16)&lt;10,MOD(ROW()-80,16),CHAR(MOD(ROW()-80,16)+55))</f>
        <v>W3274.1</v>
      </c>
      <c r="M1937" s="45"/>
      <c r="N1937" s="47"/>
      <c r="O1937" s="47"/>
      <c r="P1937" s="47"/>
      <c r="Q1937" s="45"/>
      <c r="R1937" s="45"/>
      <c r="S1937" s="48"/>
    </row>
    <row r="1938" spans="1:19" s="49" customFormat="1" ht="14.15" customHeight="1">
      <c r="A1938" s="45"/>
      <c r="B1938" s="44" t="s">
        <v>6635</v>
      </c>
      <c r="C1938" s="50"/>
      <c r="D1938" s="10" t="s">
        <v>29</v>
      </c>
      <c r="E1938" s="11"/>
      <c r="F1938" s="11" t="s">
        <v>18</v>
      </c>
      <c r="G1938" s="13"/>
      <c r="H1938" s="45" t="s">
        <v>16</v>
      </c>
      <c r="I1938" s="47"/>
      <c r="J1938" s="12" t="s">
        <v>3387</v>
      </c>
      <c r="K1938" s="13" t="s">
        <v>8709</v>
      </c>
      <c r="L1938" s="99" t="str">
        <f t="shared" si="102"/>
        <v>W3274.2</v>
      </c>
      <c r="M1938" s="45"/>
      <c r="N1938" s="47"/>
      <c r="O1938" s="47"/>
      <c r="P1938" s="47"/>
      <c r="Q1938" s="45"/>
      <c r="R1938" s="45"/>
      <c r="S1938" s="48"/>
    </row>
    <row r="1939" spans="1:19" s="49" customFormat="1" ht="14.15" customHeight="1">
      <c r="A1939" s="43" t="s">
        <v>6678</v>
      </c>
      <c r="B1939" s="44" t="s">
        <v>6635</v>
      </c>
      <c r="C1939" s="50"/>
      <c r="D1939" s="10" t="s">
        <v>29</v>
      </c>
      <c r="E1939" s="11"/>
      <c r="F1939" s="11" t="s">
        <v>18</v>
      </c>
      <c r="G1939" s="13"/>
      <c r="H1939" s="45" t="s">
        <v>16</v>
      </c>
      <c r="I1939" s="47"/>
      <c r="J1939" s="12" t="s">
        <v>6601</v>
      </c>
      <c r="K1939" s="13" t="s">
        <v>8710</v>
      </c>
      <c r="L1939" s="99" t="str">
        <f t="shared" si="102"/>
        <v>W3274.3</v>
      </c>
      <c r="M1939" s="13" t="s">
        <v>17</v>
      </c>
      <c r="N1939" s="13"/>
      <c r="O1939" s="13"/>
      <c r="P1939" s="47"/>
      <c r="Q1939" s="45" t="s">
        <v>142</v>
      </c>
      <c r="R1939" s="45" t="s">
        <v>5621</v>
      </c>
      <c r="S1939" s="48"/>
    </row>
    <row r="1940" spans="1:19" s="49" customFormat="1" ht="14.15" customHeight="1">
      <c r="A1940" s="43" t="s">
        <v>6678</v>
      </c>
      <c r="B1940" s="44" t="s">
        <v>6635</v>
      </c>
      <c r="C1940" s="50"/>
      <c r="D1940" s="10" t="s">
        <v>29</v>
      </c>
      <c r="E1940" s="11"/>
      <c r="F1940" s="11" t="s">
        <v>18</v>
      </c>
      <c r="G1940" s="13"/>
      <c r="H1940" s="45" t="s">
        <v>16</v>
      </c>
      <c r="I1940" s="47"/>
      <c r="J1940" s="12" t="s">
        <v>6602</v>
      </c>
      <c r="K1940" s="13" t="s">
        <v>8711</v>
      </c>
      <c r="L1940" s="99" t="str">
        <f t="shared" si="102"/>
        <v>W3274.4</v>
      </c>
      <c r="M1940" s="13" t="s">
        <v>17</v>
      </c>
      <c r="N1940" s="13"/>
      <c r="O1940" s="13"/>
      <c r="P1940" s="47"/>
      <c r="Q1940" s="45" t="s">
        <v>142</v>
      </c>
      <c r="R1940" s="45" t="s">
        <v>5621</v>
      </c>
      <c r="S1940" s="48"/>
    </row>
    <row r="1941" spans="1:19" s="49" customFormat="1" ht="14.15" customHeight="1">
      <c r="A1941" s="43" t="s">
        <v>6678</v>
      </c>
      <c r="B1941" s="44" t="s">
        <v>6635</v>
      </c>
      <c r="C1941" s="50"/>
      <c r="D1941" s="10" t="s">
        <v>29</v>
      </c>
      <c r="E1941" s="11"/>
      <c r="F1941" s="11" t="s">
        <v>18</v>
      </c>
      <c r="G1941" s="13"/>
      <c r="H1941" s="45" t="s">
        <v>16</v>
      </c>
      <c r="I1941" s="47"/>
      <c r="J1941" s="12" t="s">
        <v>6603</v>
      </c>
      <c r="K1941" s="13" t="s">
        <v>8712</v>
      </c>
      <c r="L1941" s="99" t="str">
        <f t="shared" si="102"/>
        <v>W3274.5</v>
      </c>
      <c r="M1941" s="13" t="s">
        <v>17</v>
      </c>
      <c r="N1941" s="13"/>
      <c r="O1941" s="13"/>
      <c r="P1941" s="47"/>
      <c r="Q1941" s="45" t="s">
        <v>142</v>
      </c>
      <c r="R1941" s="45" t="s">
        <v>5621</v>
      </c>
      <c r="S1941" s="48"/>
    </row>
    <row r="1942" spans="1:19" s="49" customFormat="1" ht="14.15" customHeight="1">
      <c r="A1942" s="45"/>
      <c r="B1942" s="44" t="s">
        <v>6635</v>
      </c>
      <c r="C1942" s="50"/>
      <c r="D1942" s="10" t="s">
        <v>29</v>
      </c>
      <c r="E1942" s="11"/>
      <c r="F1942" s="11" t="s">
        <v>18</v>
      </c>
      <c r="G1942" s="13"/>
      <c r="H1942" s="45" t="s">
        <v>16</v>
      </c>
      <c r="I1942" s="47"/>
      <c r="J1942" s="12" t="s">
        <v>3391</v>
      </c>
      <c r="K1942" s="13" t="s">
        <v>8713</v>
      </c>
      <c r="L1942" s="99" t="str">
        <f t="shared" si="102"/>
        <v>W3274.6</v>
      </c>
      <c r="M1942" s="13"/>
      <c r="N1942" s="13"/>
      <c r="O1942" s="13"/>
      <c r="P1942" s="47"/>
      <c r="Q1942" s="45"/>
      <c r="R1942" s="45"/>
      <c r="S1942" s="48"/>
    </row>
    <row r="1943" spans="1:19" s="49" customFormat="1" ht="14.15" customHeight="1">
      <c r="A1943" s="45"/>
      <c r="B1943" s="44" t="s">
        <v>6635</v>
      </c>
      <c r="C1943" s="50"/>
      <c r="D1943" s="10" t="s">
        <v>29</v>
      </c>
      <c r="E1943" s="11"/>
      <c r="F1943" s="11" t="s">
        <v>18</v>
      </c>
      <c r="G1943" s="13"/>
      <c r="H1943" s="45" t="s">
        <v>16</v>
      </c>
      <c r="I1943" s="47"/>
      <c r="J1943" s="12" t="s">
        <v>3392</v>
      </c>
      <c r="K1943" s="13" t="s">
        <v>8714</v>
      </c>
      <c r="L1943" s="99" t="str">
        <f t="shared" si="102"/>
        <v>W3274.7</v>
      </c>
      <c r="M1943" s="45"/>
      <c r="N1943" s="47"/>
      <c r="O1943" s="47"/>
      <c r="P1943" s="47"/>
      <c r="Q1943" s="45"/>
      <c r="R1943" s="45"/>
      <c r="S1943" s="48"/>
    </row>
    <row r="1944" spans="1:19" s="49" customFormat="1" ht="14.15" customHeight="1">
      <c r="A1944" s="45"/>
      <c r="B1944" s="44" t="s">
        <v>6635</v>
      </c>
      <c r="C1944" s="50"/>
      <c r="D1944" s="10" t="s">
        <v>29</v>
      </c>
      <c r="E1944" s="11"/>
      <c r="F1944" s="11" t="s">
        <v>18</v>
      </c>
      <c r="G1944" s="13"/>
      <c r="H1944" s="45" t="s">
        <v>16</v>
      </c>
      <c r="I1944" s="47"/>
      <c r="J1944" s="12" t="s">
        <v>3393</v>
      </c>
      <c r="K1944" s="13" t="s">
        <v>8715</v>
      </c>
      <c r="L1944" s="99" t="str">
        <f t="shared" si="102"/>
        <v>W3274.8</v>
      </c>
      <c r="M1944" s="45"/>
      <c r="N1944" s="47"/>
      <c r="O1944" s="47"/>
      <c r="P1944" s="47"/>
      <c r="Q1944" s="45"/>
      <c r="R1944" s="45"/>
      <c r="S1944" s="48"/>
    </row>
    <row r="1945" spans="1:19" s="49" customFormat="1" ht="14.15" customHeight="1">
      <c r="A1945" s="45"/>
      <c r="B1945" s="44" t="s">
        <v>6635</v>
      </c>
      <c r="C1945" s="50"/>
      <c r="D1945" s="10" t="s">
        <v>29</v>
      </c>
      <c r="E1945" s="11"/>
      <c r="F1945" s="11" t="s">
        <v>18</v>
      </c>
      <c r="G1945" s="13"/>
      <c r="H1945" s="45" t="s">
        <v>16</v>
      </c>
      <c r="I1945" s="47"/>
      <c r="J1945" s="12" t="s">
        <v>3394</v>
      </c>
      <c r="K1945" s="13" t="s">
        <v>8716</v>
      </c>
      <c r="L1945" s="99" t="str">
        <f t="shared" si="102"/>
        <v>W3274.9</v>
      </c>
      <c r="M1945" s="45"/>
      <c r="N1945" s="47"/>
      <c r="O1945" s="47"/>
      <c r="P1945" s="47"/>
      <c r="Q1945" s="45"/>
      <c r="R1945" s="45"/>
      <c r="S1945" s="48"/>
    </row>
    <row r="1946" spans="1:19" s="49" customFormat="1" ht="14.15" customHeight="1">
      <c r="A1946" s="45"/>
      <c r="B1946" s="44" t="s">
        <v>6635</v>
      </c>
      <c r="C1946" s="50"/>
      <c r="D1946" s="10" t="s">
        <v>29</v>
      </c>
      <c r="E1946" s="11"/>
      <c r="F1946" s="11" t="s">
        <v>18</v>
      </c>
      <c r="G1946" s="13"/>
      <c r="H1946" s="45" t="s">
        <v>16</v>
      </c>
      <c r="I1946" s="47"/>
      <c r="J1946" s="12" t="s">
        <v>3395</v>
      </c>
      <c r="K1946" s="13" t="s">
        <v>8717</v>
      </c>
      <c r="L1946" s="99" t="str">
        <f t="shared" si="102"/>
        <v>W3274.A</v>
      </c>
      <c r="M1946" s="45"/>
      <c r="N1946" s="47"/>
      <c r="O1946" s="47"/>
      <c r="P1946" s="47"/>
      <c r="Q1946" s="45"/>
      <c r="R1946" s="45"/>
      <c r="S1946" s="48"/>
    </row>
    <row r="1947" spans="1:19" s="49" customFormat="1" ht="14.15" customHeight="1">
      <c r="A1947" s="45"/>
      <c r="B1947" s="44" t="s">
        <v>6635</v>
      </c>
      <c r="C1947" s="50"/>
      <c r="D1947" s="10" t="s">
        <v>29</v>
      </c>
      <c r="E1947" s="11"/>
      <c r="F1947" s="11" t="s">
        <v>18</v>
      </c>
      <c r="G1947" s="13"/>
      <c r="H1947" s="45" t="s">
        <v>16</v>
      </c>
      <c r="I1947" s="47"/>
      <c r="J1947" s="12" t="s">
        <v>3396</v>
      </c>
      <c r="K1947" s="13" t="s">
        <v>8718</v>
      </c>
      <c r="L1947" s="99" t="str">
        <f t="shared" si="102"/>
        <v>W3274.B</v>
      </c>
      <c r="M1947" s="45"/>
      <c r="N1947" s="47"/>
      <c r="O1947" s="47"/>
      <c r="P1947" s="47"/>
      <c r="Q1947" s="45"/>
      <c r="R1947" s="45"/>
      <c r="S1947" s="48"/>
    </row>
    <row r="1948" spans="1:19" s="49" customFormat="1" ht="14.15" customHeight="1">
      <c r="A1948" s="45"/>
      <c r="B1948" s="44" t="s">
        <v>6635</v>
      </c>
      <c r="C1948" s="50"/>
      <c r="D1948" s="10" t="s">
        <v>29</v>
      </c>
      <c r="E1948" s="11"/>
      <c r="F1948" s="11" t="s">
        <v>18</v>
      </c>
      <c r="G1948" s="13"/>
      <c r="H1948" s="45" t="s">
        <v>16</v>
      </c>
      <c r="I1948" s="47"/>
      <c r="J1948" s="12" t="s">
        <v>3397</v>
      </c>
      <c r="K1948" s="13" t="s">
        <v>8719</v>
      </c>
      <c r="L1948" s="99" t="str">
        <f t="shared" si="102"/>
        <v>W3274.C</v>
      </c>
      <c r="M1948" s="45"/>
      <c r="N1948" s="47"/>
      <c r="O1948" s="47"/>
      <c r="P1948" s="47"/>
      <c r="Q1948" s="45"/>
      <c r="R1948" s="45"/>
      <c r="S1948" s="48"/>
    </row>
    <row r="1949" spans="1:19" s="49" customFormat="1" ht="14.15" customHeight="1">
      <c r="A1949" s="45"/>
      <c r="B1949" s="44" t="s">
        <v>6635</v>
      </c>
      <c r="C1949" s="50"/>
      <c r="D1949" s="10" t="s">
        <v>29</v>
      </c>
      <c r="E1949" s="11"/>
      <c r="F1949" s="11" t="s">
        <v>18</v>
      </c>
      <c r="G1949" s="13"/>
      <c r="H1949" s="45" t="s">
        <v>16</v>
      </c>
      <c r="I1949" s="47"/>
      <c r="J1949" s="12" t="s">
        <v>3398</v>
      </c>
      <c r="K1949" s="13" t="s">
        <v>8720</v>
      </c>
      <c r="L1949" s="99" t="str">
        <f t="shared" si="102"/>
        <v>W3274.D</v>
      </c>
      <c r="M1949" s="45"/>
      <c r="N1949" s="47"/>
      <c r="O1949" s="47"/>
      <c r="P1949" s="47"/>
      <c r="Q1949" s="45"/>
      <c r="R1949" s="45"/>
      <c r="S1949" s="48"/>
    </row>
    <row r="1950" spans="1:19" s="49" customFormat="1" ht="14.15" customHeight="1">
      <c r="A1950" s="45"/>
      <c r="B1950" s="44" t="s">
        <v>6635</v>
      </c>
      <c r="C1950" s="50"/>
      <c r="D1950" s="10" t="s">
        <v>29</v>
      </c>
      <c r="E1950" s="11"/>
      <c r="F1950" s="11" t="s">
        <v>18</v>
      </c>
      <c r="G1950" s="13"/>
      <c r="H1950" s="45" t="s">
        <v>16</v>
      </c>
      <c r="I1950" s="47"/>
      <c r="J1950" s="12" t="s">
        <v>3399</v>
      </c>
      <c r="K1950" s="13" t="s">
        <v>8721</v>
      </c>
      <c r="L1950" s="99" t="str">
        <f t="shared" si="102"/>
        <v>W3274.E</v>
      </c>
      <c r="M1950" s="45"/>
      <c r="N1950" s="47"/>
      <c r="O1950" s="47"/>
      <c r="P1950" s="47"/>
      <c r="Q1950" s="45"/>
      <c r="R1950" s="45"/>
      <c r="S1950" s="48"/>
    </row>
    <row r="1951" spans="1:19" s="49" customFormat="1" ht="14.15" customHeight="1">
      <c r="A1951" s="45"/>
      <c r="B1951" s="44" t="s">
        <v>6635</v>
      </c>
      <c r="C1951" s="50"/>
      <c r="D1951" s="10" t="s">
        <v>29</v>
      </c>
      <c r="E1951" s="11"/>
      <c r="F1951" s="11" t="s">
        <v>18</v>
      </c>
      <c r="G1951" s="13"/>
      <c r="H1951" s="45" t="s">
        <v>16</v>
      </c>
      <c r="I1951" s="47"/>
      <c r="J1951" s="12" t="s">
        <v>3400</v>
      </c>
      <c r="K1951" s="13" t="s">
        <v>8722</v>
      </c>
      <c r="L1951" s="99" t="str">
        <f t="shared" si="102"/>
        <v>W3274.F</v>
      </c>
      <c r="M1951" s="45"/>
      <c r="N1951" s="47"/>
      <c r="O1951" s="47"/>
      <c r="P1951" s="47"/>
      <c r="Q1951" s="45"/>
      <c r="R1951" s="45"/>
      <c r="S1951" s="48"/>
    </row>
    <row r="1952" spans="1:19" s="49" customFormat="1" ht="14.15" customHeight="1">
      <c r="A1952" s="45"/>
      <c r="B1952" s="44" t="s">
        <v>6635</v>
      </c>
      <c r="C1952" s="50"/>
      <c r="D1952" s="10" t="s">
        <v>29</v>
      </c>
      <c r="E1952" s="11"/>
      <c r="F1952" s="11" t="s">
        <v>18</v>
      </c>
      <c r="G1952" s="13"/>
      <c r="H1952" s="45" t="s">
        <v>16</v>
      </c>
      <c r="I1952" s="47"/>
      <c r="J1952" s="12" t="s">
        <v>3401</v>
      </c>
      <c r="K1952" s="13" t="s">
        <v>8723</v>
      </c>
      <c r="L1952" s="99" t="str">
        <f t="shared" si="102"/>
        <v>W3275.0</v>
      </c>
      <c r="M1952" s="45"/>
      <c r="N1952" s="47"/>
      <c r="O1952" s="47"/>
      <c r="P1952" s="47"/>
      <c r="Q1952" s="45"/>
      <c r="R1952" s="45"/>
      <c r="S1952" s="48"/>
    </row>
    <row r="1953" spans="1:19" s="49" customFormat="1" ht="14.15" customHeight="1">
      <c r="A1953" s="45"/>
      <c r="B1953" s="44" t="s">
        <v>6635</v>
      </c>
      <c r="C1953" s="50"/>
      <c r="D1953" s="10" t="s">
        <v>29</v>
      </c>
      <c r="E1953" s="11"/>
      <c r="F1953" s="11" t="s">
        <v>18</v>
      </c>
      <c r="G1953" s="13"/>
      <c r="H1953" s="45" t="s">
        <v>16</v>
      </c>
      <c r="I1953" s="47"/>
      <c r="J1953" s="12" t="s">
        <v>3402</v>
      </c>
      <c r="K1953" s="13" t="s">
        <v>8724</v>
      </c>
      <c r="L1953" s="99" t="str">
        <f t="shared" si="102"/>
        <v>W3275.1</v>
      </c>
      <c r="M1953" s="45"/>
      <c r="N1953" s="47"/>
      <c r="O1953" s="47"/>
      <c r="P1953" s="47"/>
      <c r="Q1953" s="45"/>
      <c r="R1953" s="45"/>
      <c r="S1953" s="48"/>
    </row>
    <row r="1954" spans="1:19" s="49" customFormat="1" ht="14.15" customHeight="1">
      <c r="A1954" s="45"/>
      <c r="B1954" s="44" t="s">
        <v>6635</v>
      </c>
      <c r="C1954" s="50"/>
      <c r="D1954" s="10" t="s">
        <v>29</v>
      </c>
      <c r="E1954" s="11"/>
      <c r="F1954" s="11" t="s">
        <v>18</v>
      </c>
      <c r="G1954" s="13"/>
      <c r="H1954" s="45" t="s">
        <v>16</v>
      </c>
      <c r="I1954" s="47"/>
      <c r="J1954" s="12" t="s">
        <v>3403</v>
      </c>
      <c r="K1954" s="13" t="s">
        <v>8725</v>
      </c>
      <c r="L1954" s="99" t="str">
        <f t="shared" si="102"/>
        <v>W3275.2</v>
      </c>
      <c r="M1954" s="45"/>
      <c r="N1954" s="47"/>
      <c r="O1954" s="47"/>
      <c r="P1954" s="47"/>
      <c r="Q1954" s="45"/>
      <c r="R1954" s="45"/>
      <c r="S1954" s="48"/>
    </row>
    <row r="1955" spans="1:19" s="49" customFormat="1" ht="14.15" customHeight="1">
      <c r="A1955" s="45"/>
      <c r="B1955" s="44" t="s">
        <v>6635</v>
      </c>
      <c r="C1955" s="50"/>
      <c r="D1955" s="10" t="s">
        <v>29</v>
      </c>
      <c r="E1955" s="11"/>
      <c r="F1955" s="11" t="s">
        <v>18</v>
      </c>
      <c r="G1955" s="13"/>
      <c r="H1955" s="45" t="s">
        <v>16</v>
      </c>
      <c r="I1955" s="47"/>
      <c r="J1955" s="12" t="s">
        <v>3404</v>
      </c>
      <c r="K1955" s="13" t="s">
        <v>8726</v>
      </c>
      <c r="L1955" s="99" t="str">
        <f t="shared" si="102"/>
        <v>W3275.3</v>
      </c>
      <c r="M1955" s="45"/>
      <c r="N1955" s="47"/>
      <c r="O1955" s="47"/>
      <c r="P1955" s="47"/>
      <c r="Q1955" s="45"/>
      <c r="R1955" s="45"/>
      <c r="S1955" s="48"/>
    </row>
    <row r="1956" spans="1:19" s="49" customFormat="1" ht="14.15" customHeight="1">
      <c r="A1956" s="45"/>
      <c r="B1956" s="44" t="s">
        <v>6635</v>
      </c>
      <c r="C1956" s="50"/>
      <c r="D1956" s="10" t="s">
        <v>29</v>
      </c>
      <c r="E1956" s="11"/>
      <c r="F1956" s="11" t="s">
        <v>18</v>
      </c>
      <c r="G1956" s="13"/>
      <c r="H1956" s="45" t="s">
        <v>16</v>
      </c>
      <c r="I1956" s="47"/>
      <c r="J1956" s="12" t="s">
        <v>3405</v>
      </c>
      <c r="K1956" s="13" t="s">
        <v>8727</v>
      </c>
      <c r="L1956" s="99" t="str">
        <f t="shared" si="102"/>
        <v>W3275.4</v>
      </c>
      <c r="M1956" s="45"/>
      <c r="N1956" s="47"/>
      <c r="O1956" s="47"/>
      <c r="P1956" s="47"/>
      <c r="Q1956" s="45"/>
      <c r="R1956" s="45"/>
      <c r="S1956" s="48"/>
    </row>
    <row r="1957" spans="1:19" s="49" customFormat="1" ht="14.15" customHeight="1">
      <c r="A1957" s="45"/>
      <c r="B1957" s="44" t="s">
        <v>6635</v>
      </c>
      <c r="C1957" s="50"/>
      <c r="D1957" s="10" t="s">
        <v>29</v>
      </c>
      <c r="E1957" s="11"/>
      <c r="F1957" s="11" t="s">
        <v>18</v>
      </c>
      <c r="G1957" s="13"/>
      <c r="H1957" s="45" t="s">
        <v>16</v>
      </c>
      <c r="I1957" s="47"/>
      <c r="J1957" s="12" t="s">
        <v>3406</v>
      </c>
      <c r="K1957" s="13" t="s">
        <v>8728</v>
      </c>
      <c r="L1957" s="99" t="str">
        <f t="shared" si="102"/>
        <v>W3275.5</v>
      </c>
      <c r="M1957" s="45"/>
      <c r="N1957" s="47"/>
      <c r="O1957" s="47"/>
      <c r="P1957" s="47"/>
      <c r="Q1957" s="45"/>
      <c r="R1957" s="45"/>
      <c r="S1957" s="48"/>
    </row>
    <row r="1958" spans="1:19" s="49" customFormat="1" ht="14.15" customHeight="1">
      <c r="A1958" s="45"/>
      <c r="B1958" s="44" t="s">
        <v>6635</v>
      </c>
      <c r="C1958" s="50"/>
      <c r="D1958" s="10" t="s">
        <v>29</v>
      </c>
      <c r="E1958" s="11"/>
      <c r="F1958" s="11" t="s">
        <v>18</v>
      </c>
      <c r="G1958" s="13"/>
      <c r="H1958" s="45" t="s">
        <v>16</v>
      </c>
      <c r="I1958" s="47"/>
      <c r="J1958" s="12" t="s">
        <v>3407</v>
      </c>
      <c r="K1958" s="13" t="s">
        <v>8729</v>
      </c>
      <c r="L1958" s="99" t="str">
        <f t="shared" si="102"/>
        <v>W3275.6</v>
      </c>
      <c r="M1958" s="45"/>
      <c r="N1958" s="47"/>
      <c r="O1958" s="47"/>
      <c r="P1958" s="47"/>
      <c r="Q1958" s="45"/>
      <c r="R1958" s="45"/>
      <c r="S1958" s="48"/>
    </row>
    <row r="1959" spans="1:19" s="49" customFormat="1" ht="14.15" customHeight="1">
      <c r="A1959" s="45"/>
      <c r="B1959" s="44" t="s">
        <v>6635</v>
      </c>
      <c r="C1959" s="50"/>
      <c r="D1959" s="10" t="s">
        <v>29</v>
      </c>
      <c r="E1959" s="11"/>
      <c r="F1959" s="11" t="s">
        <v>18</v>
      </c>
      <c r="G1959" s="13"/>
      <c r="H1959" s="45" t="s">
        <v>16</v>
      </c>
      <c r="I1959" s="47"/>
      <c r="J1959" s="12" t="s">
        <v>3408</v>
      </c>
      <c r="K1959" s="13" t="s">
        <v>8730</v>
      </c>
      <c r="L1959" s="99" t="str">
        <f t="shared" si="102"/>
        <v>W3275.7</v>
      </c>
      <c r="M1959" s="45"/>
      <c r="N1959" s="47"/>
      <c r="O1959" s="47"/>
      <c r="P1959" s="47"/>
      <c r="Q1959" s="45"/>
      <c r="R1959" s="45"/>
      <c r="S1959" s="48"/>
    </row>
    <row r="1960" spans="1:19" s="49" customFormat="1" ht="14.15" customHeight="1">
      <c r="A1960" s="45"/>
      <c r="B1960" s="44" t="s">
        <v>6635</v>
      </c>
      <c r="C1960" s="50"/>
      <c r="D1960" s="10" t="s">
        <v>29</v>
      </c>
      <c r="E1960" s="11"/>
      <c r="F1960" s="11" t="s">
        <v>18</v>
      </c>
      <c r="G1960" s="13"/>
      <c r="H1960" s="45" t="s">
        <v>16</v>
      </c>
      <c r="I1960" s="47"/>
      <c r="J1960" s="12" t="s">
        <v>4704</v>
      </c>
      <c r="K1960" s="13" t="s">
        <v>8731</v>
      </c>
      <c r="L1960" s="99" t="str">
        <f t="shared" si="102"/>
        <v>W3275.8</v>
      </c>
      <c r="M1960" s="45"/>
      <c r="N1960" s="47"/>
      <c r="O1960" s="47"/>
      <c r="P1960" s="47"/>
      <c r="Q1960" s="45"/>
      <c r="R1960" s="45"/>
      <c r="S1960" s="48"/>
    </row>
    <row r="1961" spans="1:19" s="49" customFormat="1" ht="14.15" customHeight="1">
      <c r="A1961" s="45"/>
      <c r="B1961" s="44" t="s">
        <v>6635</v>
      </c>
      <c r="C1961" s="50"/>
      <c r="D1961" s="10" t="s">
        <v>29</v>
      </c>
      <c r="E1961" s="11"/>
      <c r="F1961" s="11" t="s">
        <v>18</v>
      </c>
      <c r="G1961" s="13"/>
      <c r="H1961" s="45" t="s">
        <v>16</v>
      </c>
      <c r="I1961" s="47"/>
      <c r="J1961" s="12" t="s">
        <v>3409</v>
      </c>
      <c r="K1961" s="13" t="s">
        <v>8732</v>
      </c>
      <c r="L1961" s="99" t="str">
        <f t="shared" si="102"/>
        <v>W3275.9</v>
      </c>
      <c r="M1961" s="45"/>
      <c r="N1961" s="47"/>
      <c r="O1961" s="47"/>
      <c r="P1961" s="47"/>
      <c r="Q1961" s="45"/>
      <c r="R1961" s="45"/>
      <c r="S1961" s="48"/>
    </row>
    <row r="1962" spans="1:19" s="49" customFormat="1" ht="14.15" customHeight="1">
      <c r="A1962" s="45"/>
      <c r="B1962" s="44" t="s">
        <v>6635</v>
      </c>
      <c r="C1962" s="50"/>
      <c r="D1962" s="10" t="s">
        <v>29</v>
      </c>
      <c r="E1962" s="11"/>
      <c r="F1962" s="11" t="s">
        <v>18</v>
      </c>
      <c r="G1962" s="13"/>
      <c r="H1962" s="45" t="s">
        <v>16</v>
      </c>
      <c r="I1962" s="47"/>
      <c r="J1962" s="12" t="s">
        <v>3410</v>
      </c>
      <c r="K1962" s="13" t="s">
        <v>8733</v>
      </c>
      <c r="L1962" s="99" t="str">
        <f t="shared" si="102"/>
        <v>W3275.A</v>
      </c>
      <c r="M1962" s="45"/>
      <c r="N1962" s="47"/>
      <c r="O1962" s="47"/>
      <c r="P1962" s="47"/>
      <c r="Q1962" s="45"/>
      <c r="R1962" s="45"/>
      <c r="S1962" s="48"/>
    </row>
    <row r="1963" spans="1:19" s="49" customFormat="1" ht="14.15" customHeight="1">
      <c r="A1963" s="45"/>
      <c r="B1963" s="44" t="s">
        <v>6635</v>
      </c>
      <c r="C1963" s="50"/>
      <c r="D1963" s="10" t="s">
        <v>29</v>
      </c>
      <c r="E1963" s="11"/>
      <c r="F1963" s="11" t="s">
        <v>18</v>
      </c>
      <c r="G1963" s="13"/>
      <c r="H1963" s="45" t="s">
        <v>16</v>
      </c>
      <c r="I1963" s="47"/>
      <c r="J1963" s="12" t="s">
        <v>3411</v>
      </c>
      <c r="K1963" s="13" t="s">
        <v>8734</v>
      </c>
      <c r="L1963" s="99" t="str">
        <f t="shared" si="102"/>
        <v>W3275.B</v>
      </c>
      <c r="M1963" s="45"/>
      <c r="N1963" s="47"/>
      <c r="O1963" s="47"/>
      <c r="P1963" s="47"/>
      <c r="Q1963" s="45"/>
      <c r="R1963" s="45"/>
      <c r="S1963" s="48"/>
    </row>
    <row r="1964" spans="1:19" s="49" customFormat="1" ht="14.15" customHeight="1">
      <c r="A1964" s="45"/>
      <c r="B1964" s="44" t="s">
        <v>6635</v>
      </c>
      <c r="C1964" s="50"/>
      <c r="D1964" s="10" t="s">
        <v>29</v>
      </c>
      <c r="E1964" s="11"/>
      <c r="F1964" s="11" t="s">
        <v>18</v>
      </c>
      <c r="G1964" s="13"/>
      <c r="H1964" s="45" t="s">
        <v>16</v>
      </c>
      <c r="I1964" s="47"/>
      <c r="J1964" s="12" t="s">
        <v>3412</v>
      </c>
      <c r="K1964" s="13" t="s">
        <v>8735</v>
      </c>
      <c r="L1964" s="99" t="str">
        <f t="shared" si="102"/>
        <v>W3275.C</v>
      </c>
      <c r="M1964" s="45"/>
      <c r="N1964" s="47"/>
      <c r="O1964" s="47"/>
      <c r="P1964" s="47"/>
      <c r="Q1964" s="45"/>
      <c r="R1964" s="45"/>
      <c r="S1964" s="48"/>
    </row>
    <row r="1965" spans="1:19" s="49" customFormat="1" ht="14.15" customHeight="1">
      <c r="A1965" s="45"/>
      <c r="B1965" s="44" t="s">
        <v>6635</v>
      </c>
      <c r="C1965" s="50"/>
      <c r="D1965" s="10" t="s">
        <v>29</v>
      </c>
      <c r="E1965" s="11"/>
      <c r="F1965" s="11" t="s">
        <v>18</v>
      </c>
      <c r="G1965" s="13"/>
      <c r="H1965" s="45" t="s">
        <v>16</v>
      </c>
      <c r="I1965" s="47"/>
      <c r="J1965" s="12" t="s">
        <v>3413</v>
      </c>
      <c r="K1965" s="13" t="s">
        <v>8736</v>
      </c>
      <c r="L1965" s="99" t="str">
        <f t="shared" si="102"/>
        <v>W3275.D</v>
      </c>
      <c r="M1965" s="45"/>
      <c r="N1965" s="47"/>
      <c r="O1965" s="47"/>
      <c r="P1965" s="47"/>
      <c r="Q1965" s="45"/>
      <c r="R1965" s="45"/>
      <c r="S1965" s="48"/>
    </row>
    <row r="1966" spans="1:19" s="49" customFormat="1" ht="14.15" customHeight="1">
      <c r="A1966" s="45"/>
      <c r="B1966" s="44" t="s">
        <v>6635</v>
      </c>
      <c r="C1966" s="50"/>
      <c r="D1966" s="10" t="s">
        <v>29</v>
      </c>
      <c r="E1966" s="11"/>
      <c r="F1966" s="11" t="s">
        <v>18</v>
      </c>
      <c r="G1966" s="13"/>
      <c r="H1966" s="45" t="s">
        <v>16</v>
      </c>
      <c r="I1966" s="47"/>
      <c r="J1966" s="12" t="s">
        <v>3414</v>
      </c>
      <c r="K1966" s="13" t="s">
        <v>8737</v>
      </c>
      <c r="L1966" s="99" t="str">
        <f t="shared" si="102"/>
        <v>W3275.E</v>
      </c>
      <c r="M1966" s="45"/>
      <c r="N1966" s="47"/>
      <c r="O1966" s="47"/>
      <c r="P1966" s="47"/>
      <c r="Q1966" s="45"/>
      <c r="R1966" s="45"/>
      <c r="S1966" s="48"/>
    </row>
    <row r="1967" spans="1:19" s="49" customFormat="1" ht="14.15" customHeight="1">
      <c r="A1967" s="45"/>
      <c r="B1967" s="44" t="s">
        <v>6635</v>
      </c>
      <c r="C1967" s="50"/>
      <c r="D1967" s="10" t="s">
        <v>29</v>
      </c>
      <c r="E1967" s="11"/>
      <c r="F1967" s="11" t="s">
        <v>18</v>
      </c>
      <c r="G1967" s="13"/>
      <c r="H1967" s="45" t="s">
        <v>16</v>
      </c>
      <c r="I1967" s="47"/>
      <c r="J1967" s="12" t="s">
        <v>3415</v>
      </c>
      <c r="K1967" s="13" t="s">
        <v>8738</v>
      </c>
      <c r="L1967" s="99" t="str">
        <f t="shared" si="102"/>
        <v>W3275.F</v>
      </c>
      <c r="M1967" s="45"/>
      <c r="N1967" s="47"/>
      <c r="O1967" s="47"/>
      <c r="P1967" s="47"/>
      <c r="Q1967" s="45"/>
      <c r="R1967" s="45"/>
      <c r="S1967" s="48"/>
    </row>
    <row r="1968" spans="1:19" s="49" customFormat="1" ht="14.15" customHeight="1">
      <c r="A1968" s="45"/>
      <c r="B1968" s="44" t="s">
        <v>6635</v>
      </c>
      <c r="C1968" s="50"/>
      <c r="D1968" s="10" t="s">
        <v>29</v>
      </c>
      <c r="E1968" s="11"/>
      <c r="F1968" s="11" t="s">
        <v>18</v>
      </c>
      <c r="G1968" s="13"/>
      <c r="H1968" s="45" t="s">
        <v>16</v>
      </c>
      <c r="I1968" s="47"/>
      <c r="J1968" s="12" t="s">
        <v>3416</v>
      </c>
      <c r="K1968" s="13" t="s">
        <v>8739</v>
      </c>
      <c r="L1968" s="99" t="str">
        <f t="shared" si="102"/>
        <v>W3276.0</v>
      </c>
      <c r="M1968" s="45"/>
      <c r="N1968" s="47"/>
      <c r="O1968" s="47"/>
      <c r="P1968" s="47"/>
      <c r="Q1968" s="45"/>
      <c r="R1968" s="45"/>
      <c r="S1968" s="48"/>
    </row>
    <row r="1969" spans="1:19" s="49" customFormat="1" ht="14.15" customHeight="1">
      <c r="A1969" s="45"/>
      <c r="B1969" s="44" t="s">
        <v>6635</v>
      </c>
      <c r="C1969" s="50"/>
      <c r="D1969" s="10" t="s">
        <v>29</v>
      </c>
      <c r="E1969" s="11"/>
      <c r="F1969" s="11" t="s">
        <v>18</v>
      </c>
      <c r="G1969" s="13"/>
      <c r="H1969" s="45" t="s">
        <v>16</v>
      </c>
      <c r="I1969" s="47"/>
      <c r="J1969" s="12" t="s">
        <v>3417</v>
      </c>
      <c r="K1969" s="13" t="s">
        <v>8740</v>
      </c>
      <c r="L1969" s="99" t="str">
        <f t="shared" si="102"/>
        <v>W3276.1</v>
      </c>
      <c r="M1969" s="45"/>
      <c r="N1969" s="47"/>
      <c r="O1969" s="47"/>
      <c r="P1969" s="47"/>
      <c r="Q1969" s="45"/>
      <c r="R1969" s="45"/>
      <c r="S1969" s="48"/>
    </row>
    <row r="1970" spans="1:19" s="49" customFormat="1" ht="14.15" customHeight="1">
      <c r="A1970" s="45"/>
      <c r="B1970" s="44" t="s">
        <v>6635</v>
      </c>
      <c r="C1970" s="50"/>
      <c r="D1970" s="10" t="s">
        <v>29</v>
      </c>
      <c r="E1970" s="11"/>
      <c r="F1970" s="11" t="s">
        <v>18</v>
      </c>
      <c r="G1970" s="13"/>
      <c r="H1970" s="45" t="s">
        <v>16</v>
      </c>
      <c r="I1970" s="47"/>
      <c r="J1970" s="12" t="s">
        <v>3418</v>
      </c>
      <c r="K1970" s="13" t="s">
        <v>8741</v>
      </c>
      <c r="L1970" s="99" t="str">
        <f t="shared" si="102"/>
        <v>W3276.2</v>
      </c>
      <c r="M1970" s="45"/>
      <c r="N1970" s="47"/>
      <c r="O1970" s="47"/>
      <c r="P1970" s="47"/>
      <c r="Q1970" s="45"/>
      <c r="R1970" s="45"/>
      <c r="S1970" s="48"/>
    </row>
    <row r="1971" spans="1:19" s="49" customFormat="1" ht="14.15" customHeight="1">
      <c r="A1971" s="45"/>
      <c r="B1971" s="44" t="s">
        <v>6635</v>
      </c>
      <c r="C1971" s="50"/>
      <c r="D1971" s="10" t="s">
        <v>29</v>
      </c>
      <c r="E1971" s="11"/>
      <c r="F1971" s="11" t="s">
        <v>18</v>
      </c>
      <c r="G1971" s="13"/>
      <c r="H1971" s="45" t="s">
        <v>16</v>
      </c>
      <c r="I1971" s="47"/>
      <c r="J1971" s="12" t="s">
        <v>3419</v>
      </c>
      <c r="K1971" s="13" t="s">
        <v>8742</v>
      </c>
      <c r="L1971" s="99" t="str">
        <f t="shared" si="102"/>
        <v>W3276.3</v>
      </c>
      <c r="M1971" s="45"/>
      <c r="N1971" s="47"/>
      <c r="O1971" s="47"/>
      <c r="P1971" s="47"/>
      <c r="Q1971" s="45"/>
      <c r="R1971" s="45"/>
      <c r="S1971" s="48"/>
    </row>
    <row r="1972" spans="1:19" s="49" customFormat="1" ht="14.15" customHeight="1">
      <c r="A1972" s="45"/>
      <c r="B1972" s="44" t="s">
        <v>6635</v>
      </c>
      <c r="C1972" s="50"/>
      <c r="D1972" s="10" t="s">
        <v>29</v>
      </c>
      <c r="E1972" s="11"/>
      <c r="F1972" s="11" t="s">
        <v>18</v>
      </c>
      <c r="G1972" s="13"/>
      <c r="H1972" s="45" t="s">
        <v>16</v>
      </c>
      <c r="I1972" s="47"/>
      <c r="J1972" s="12" t="s">
        <v>3420</v>
      </c>
      <c r="K1972" s="13" t="s">
        <v>8743</v>
      </c>
      <c r="L1972" s="99" t="str">
        <f t="shared" si="102"/>
        <v>W3276.4</v>
      </c>
      <c r="M1972" s="45"/>
      <c r="N1972" s="47"/>
      <c r="O1972" s="47"/>
      <c r="P1972" s="47"/>
      <c r="Q1972" s="45"/>
      <c r="R1972" s="45"/>
      <c r="S1972" s="48"/>
    </row>
    <row r="1973" spans="1:19" s="49" customFormat="1" ht="14.15" customHeight="1">
      <c r="A1973" s="45"/>
      <c r="B1973" s="44" t="s">
        <v>6635</v>
      </c>
      <c r="C1973" s="50"/>
      <c r="D1973" s="10" t="s">
        <v>29</v>
      </c>
      <c r="E1973" s="11"/>
      <c r="F1973" s="11" t="s">
        <v>18</v>
      </c>
      <c r="G1973" s="13"/>
      <c r="H1973" s="45" t="s">
        <v>16</v>
      </c>
      <c r="I1973" s="47"/>
      <c r="J1973" s="12" t="s">
        <v>3421</v>
      </c>
      <c r="K1973" s="13" t="s">
        <v>8744</v>
      </c>
      <c r="L1973" s="99" t="str">
        <f t="shared" si="102"/>
        <v>W3276.5</v>
      </c>
      <c r="M1973" s="45"/>
      <c r="N1973" s="47"/>
      <c r="O1973" s="47"/>
      <c r="P1973" s="47"/>
      <c r="Q1973" s="45"/>
      <c r="R1973" s="45"/>
      <c r="S1973" s="48"/>
    </row>
    <row r="1974" spans="1:19" s="49" customFormat="1" ht="14.15" customHeight="1">
      <c r="A1974" s="45"/>
      <c r="B1974" s="44" t="s">
        <v>6635</v>
      </c>
      <c r="C1974" s="50"/>
      <c r="D1974" s="10" t="s">
        <v>29</v>
      </c>
      <c r="E1974" s="11"/>
      <c r="F1974" s="11" t="s">
        <v>18</v>
      </c>
      <c r="G1974" s="13"/>
      <c r="H1974" s="45" t="s">
        <v>16</v>
      </c>
      <c r="I1974" s="47"/>
      <c r="J1974" s="12" t="s">
        <v>3422</v>
      </c>
      <c r="K1974" s="13" t="s">
        <v>8745</v>
      </c>
      <c r="L1974" s="99" t="str">
        <f t="shared" si="102"/>
        <v>W3276.6</v>
      </c>
      <c r="M1974" s="45"/>
      <c r="N1974" s="47"/>
      <c r="O1974" s="47"/>
      <c r="P1974" s="47"/>
      <c r="Q1974" s="45"/>
      <c r="R1974" s="45"/>
      <c r="S1974" s="48"/>
    </row>
    <row r="1975" spans="1:19" s="49" customFormat="1" ht="14.15" customHeight="1">
      <c r="A1975" s="45"/>
      <c r="B1975" s="44" t="s">
        <v>6635</v>
      </c>
      <c r="C1975" s="50"/>
      <c r="D1975" s="10" t="s">
        <v>29</v>
      </c>
      <c r="E1975" s="11"/>
      <c r="F1975" s="11" t="s">
        <v>18</v>
      </c>
      <c r="G1975" s="13"/>
      <c r="H1975" s="45" t="s">
        <v>16</v>
      </c>
      <c r="I1975" s="47"/>
      <c r="J1975" s="12" t="s">
        <v>3423</v>
      </c>
      <c r="K1975" s="13" t="s">
        <v>8746</v>
      </c>
      <c r="L1975" s="99" t="str">
        <f t="shared" si="102"/>
        <v>W3276.7</v>
      </c>
      <c r="M1975" s="45"/>
      <c r="N1975" s="47"/>
      <c r="O1975" s="47"/>
      <c r="P1975" s="47"/>
      <c r="Q1975" s="45"/>
      <c r="R1975" s="45"/>
      <c r="S1975" s="48"/>
    </row>
    <row r="1976" spans="1:19" s="49" customFormat="1" ht="14.15" customHeight="1">
      <c r="A1976" s="45"/>
      <c r="B1976" s="44" t="s">
        <v>6635</v>
      </c>
      <c r="C1976" s="50"/>
      <c r="D1976" s="10" t="s">
        <v>29</v>
      </c>
      <c r="E1976" s="11"/>
      <c r="F1976" s="11" t="s">
        <v>18</v>
      </c>
      <c r="G1976" s="13"/>
      <c r="H1976" s="45" t="s">
        <v>16</v>
      </c>
      <c r="I1976" s="47"/>
      <c r="J1976" s="12" t="s">
        <v>3424</v>
      </c>
      <c r="K1976" s="13" t="s">
        <v>8747</v>
      </c>
      <c r="L1976" s="99" t="str">
        <f t="shared" si="102"/>
        <v>W3276.8</v>
      </c>
      <c r="M1976" s="45"/>
      <c r="N1976" s="47"/>
      <c r="O1976" s="47"/>
      <c r="P1976" s="47"/>
      <c r="Q1976" s="45"/>
      <c r="R1976" s="45"/>
      <c r="S1976" s="48"/>
    </row>
    <row r="1977" spans="1:19" s="49" customFormat="1" ht="14.15" customHeight="1">
      <c r="A1977" s="45"/>
      <c r="B1977" s="44" t="s">
        <v>6635</v>
      </c>
      <c r="C1977" s="50"/>
      <c r="D1977" s="10" t="s">
        <v>29</v>
      </c>
      <c r="E1977" s="11"/>
      <c r="F1977" s="11" t="s">
        <v>18</v>
      </c>
      <c r="G1977" s="13"/>
      <c r="H1977" s="45" t="s">
        <v>16</v>
      </c>
      <c r="I1977" s="47"/>
      <c r="J1977" s="12" t="s">
        <v>3425</v>
      </c>
      <c r="K1977" s="13" t="s">
        <v>8748</v>
      </c>
      <c r="L1977" s="99" t="str">
        <f t="shared" si="102"/>
        <v>W3276.9</v>
      </c>
      <c r="M1977" s="45"/>
      <c r="N1977" s="47"/>
      <c r="O1977" s="47"/>
      <c r="P1977" s="47"/>
      <c r="Q1977" s="45"/>
      <c r="R1977" s="45"/>
      <c r="S1977" s="48"/>
    </row>
    <row r="1978" spans="1:19" s="49" customFormat="1" ht="14.15" customHeight="1">
      <c r="A1978" s="45"/>
      <c r="B1978" s="44" t="s">
        <v>6635</v>
      </c>
      <c r="C1978" s="50"/>
      <c r="D1978" s="10" t="s">
        <v>29</v>
      </c>
      <c r="E1978" s="11"/>
      <c r="F1978" s="11" t="s">
        <v>18</v>
      </c>
      <c r="G1978" s="13"/>
      <c r="H1978" s="45" t="s">
        <v>16</v>
      </c>
      <c r="I1978" s="47"/>
      <c r="J1978" s="12" t="s">
        <v>3426</v>
      </c>
      <c r="K1978" s="13" t="s">
        <v>8749</v>
      </c>
      <c r="L1978" s="99" t="str">
        <f t="shared" si="102"/>
        <v>W3276.A</v>
      </c>
      <c r="M1978" s="45"/>
      <c r="N1978" s="47"/>
      <c r="O1978" s="47"/>
      <c r="P1978" s="47"/>
      <c r="Q1978" s="45"/>
      <c r="R1978" s="45"/>
      <c r="S1978" s="48"/>
    </row>
    <row r="1979" spans="1:19" s="49" customFormat="1" ht="14.15" customHeight="1">
      <c r="A1979" s="45" t="s">
        <v>3778</v>
      </c>
      <c r="B1979" s="44" t="s">
        <v>6635</v>
      </c>
      <c r="C1979" s="50"/>
      <c r="D1979" s="10" t="s">
        <v>29</v>
      </c>
      <c r="E1979" s="11"/>
      <c r="F1979" s="11" t="s">
        <v>18</v>
      </c>
      <c r="G1979" s="13"/>
      <c r="H1979" s="45" t="s">
        <v>16</v>
      </c>
      <c r="I1979" s="47"/>
      <c r="J1979" s="12" t="s">
        <v>1647</v>
      </c>
      <c r="K1979" s="13" t="s">
        <v>8750</v>
      </c>
      <c r="L1979" s="99" t="str">
        <f t="shared" si="102"/>
        <v>W3276.B</v>
      </c>
      <c r="M1979" s="13" t="s">
        <v>3668</v>
      </c>
      <c r="N1979" s="13"/>
      <c r="O1979" s="13"/>
      <c r="P1979" s="47"/>
      <c r="Q1979" s="45" t="s">
        <v>142</v>
      </c>
      <c r="R1979" s="45" t="s">
        <v>5596</v>
      </c>
      <c r="S1979" s="48"/>
    </row>
    <row r="1980" spans="1:19" s="49" customFormat="1" ht="14.15" customHeight="1">
      <c r="A1980" s="45" t="s">
        <v>3778</v>
      </c>
      <c r="B1980" s="44" t="s">
        <v>6635</v>
      </c>
      <c r="C1980" s="50"/>
      <c r="D1980" s="10" t="s">
        <v>29</v>
      </c>
      <c r="E1980" s="11"/>
      <c r="F1980" s="11" t="s">
        <v>18</v>
      </c>
      <c r="G1980" s="13"/>
      <c r="H1980" s="45" t="s">
        <v>16</v>
      </c>
      <c r="I1980" s="47"/>
      <c r="J1980" s="12" t="s">
        <v>1648</v>
      </c>
      <c r="K1980" s="13" t="s">
        <v>8751</v>
      </c>
      <c r="L1980" s="99" t="str">
        <f t="shared" si="102"/>
        <v>W3276.C</v>
      </c>
      <c r="M1980" s="13" t="s">
        <v>3668</v>
      </c>
      <c r="N1980" s="13"/>
      <c r="O1980" s="13"/>
      <c r="P1980" s="47"/>
      <c r="Q1980" s="45" t="s">
        <v>142</v>
      </c>
      <c r="R1980" s="45" t="s">
        <v>5596</v>
      </c>
      <c r="S1980" s="48"/>
    </row>
    <row r="1981" spans="1:19" s="49" customFormat="1" ht="14.15" customHeight="1">
      <c r="A1981" s="45" t="s">
        <v>3778</v>
      </c>
      <c r="B1981" s="44" t="s">
        <v>6635</v>
      </c>
      <c r="C1981" s="50"/>
      <c r="D1981" s="10" t="s">
        <v>29</v>
      </c>
      <c r="E1981" s="11"/>
      <c r="F1981" s="11" t="s">
        <v>18</v>
      </c>
      <c r="G1981" s="13"/>
      <c r="H1981" s="45" t="s">
        <v>16</v>
      </c>
      <c r="I1981" s="47"/>
      <c r="J1981" s="12" t="s">
        <v>1649</v>
      </c>
      <c r="K1981" s="13" t="s">
        <v>8752</v>
      </c>
      <c r="L1981" s="99" t="str">
        <f t="shared" si="102"/>
        <v>W3276.D</v>
      </c>
      <c r="M1981" s="13" t="s">
        <v>3668</v>
      </c>
      <c r="N1981" s="13"/>
      <c r="O1981" s="13"/>
      <c r="P1981" s="47"/>
      <c r="Q1981" s="45" t="s">
        <v>142</v>
      </c>
      <c r="R1981" s="45" t="s">
        <v>5596</v>
      </c>
      <c r="S1981" s="48"/>
    </row>
    <row r="1982" spans="1:19" s="49" customFormat="1" ht="14.15" customHeight="1">
      <c r="A1982" s="45" t="s">
        <v>3778</v>
      </c>
      <c r="B1982" s="44" t="s">
        <v>6635</v>
      </c>
      <c r="C1982" s="50"/>
      <c r="D1982" s="10" t="s">
        <v>29</v>
      </c>
      <c r="E1982" s="11"/>
      <c r="F1982" s="11" t="s">
        <v>18</v>
      </c>
      <c r="G1982" s="13"/>
      <c r="H1982" s="45" t="s">
        <v>16</v>
      </c>
      <c r="I1982" s="47"/>
      <c r="J1982" s="12" t="s">
        <v>1650</v>
      </c>
      <c r="K1982" s="13" t="s">
        <v>8753</v>
      </c>
      <c r="L1982" s="99" t="str">
        <f t="shared" si="102"/>
        <v>W3276.E</v>
      </c>
      <c r="M1982" s="13" t="s">
        <v>3668</v>
      </c>
      <c r="N1982" s="13"/>
      <c r="O1982" s="13"/>
      <c r="P1982" s="47"/>
      <c r="Q1982" s="45" t="s">
        <v>142</v>
      </c>
      <c r="R1982" s="45" t="s">
        <v>5596</v>
      </c>
      <c r="S1982" s="48"/>
    </row>
    <row r="1983" spans="1:19" s="49" customFormat="1" ht="14.15" customHeight="1">
      <c r="A1983" s="45" t="s">
        <v>3778</v>
      </c>
      <c r="B1983" s="44" t="s">
        <v>6635</v>
      </c>
      <c r="C1983" s="50"/>
      <c r="D1983" s="10" t="s">
        <v>29</v>
      </c>
      <c r="E1983" s="11"/>
      <c r="F1983" s="11" t="s">
        <v>18</v>
      </c>
      <c r="G1983" s="13"/>
      <c r="H1983" s="45" t="s">
        <v>16</v>
      </c>
      <c r="I1983" s="47"/>
      <c r="J1983" s="12" t="s">
        <v>1651</v>
      </c>
      <c r="K1983" s="13" t="s">
        <v>8754</v>
      </c>
      <c r="L1983" s="99" t="str">
        <f t="shared" si="102"/>
        <v>W3276.F</v>
      </c>
      <c r="M1983" s="13" t="s">
        <v>3668</v>
      </c>
      <c r="N1983" s="13"/>
      <c r="O1983" s="13"/>
      <c r="P1983" s="47"/>
      <c r="Q1983" s="45" t="s">
        <v>142</v>
      </c>
      <c r="R1983" s="45" t="s">
        <v>5596</v>
      </c>
      <c r="S1983" s="48"/>
    </row>
    <row r="1984" spans="1:19" s="49" customFormat="1" ht="14.15" customHeight="1">
      <c r="A1984" s="45" t="s">
        <v>3778</v>
      </c>
      <c r="B1984" s="44" t="s">
        <v>6635</v>
      </c>
      <c r="C1984" s="50"/>
      <c r="D1984" s="10" t="s">
        <v>29</v>
      </c>
      <c r="E1984" s="11"/>
      <c r="F1984" s="11" t="s">
        <v>18</v>
      </c>
      <c r="G1984" s="13"/>
      <c r="H1984" s="45" t="s">
        <v>16</v>
      </c>
      <c r="I1984" s="47"/>
      <c r="J1984" s="12" t="s">
        <v>1652</v>
      </c>
      <c r="K1984" s="13" t="s">
        <v>8755</v>
      </c>
      <c r="L1984" s="99" t="str">
        <f t="shared" si="102"/>
        <v>W3277.0</v>
      </c>
      <c r="M1984" s="13" t="s">
        <v>3668</v>
      </c>
      <c r="N1984" s="13"/>
      <c r="O1984" s="13"/>
      <c r="P1984" s="47"/>
      <c r="Q1984" s="45" t="s">
        <v>142</v>
      </c>
      <c r="R1984" s="45" t="s">
        <v>5596</v>
      </c>
      <c r="S1984" s="48"/>
    </row>
    <row r="1985" spans="1:19" s="49" customFormat="1" ht="14.15" customHeight="1">
      <c r="A1985" s="45" t="s">
        <v>3778</v>
      </c>
      <c r="B1985" s="44" t="s">
        <v>6635</v>
      </c>
      <c r="C1985" s="50"/>
      <c r="D1985" s="10" t="s">
        <v>29</v>
      </c>
      <c r="E1985" s="11"/>
      <c r="F1985" s="11" t="s">
        <v>18</v>
      </c>
      <c r="G1985" s="13"/>
      <c r="H1985" s="45" t="s">
        <v>16</v>
      </c>
      <c r="I1985" s="47"/>
      <c r="J1985" s="12" t="s">
        <v>1653</v>
      </c>
      <c r="K1985" s="13" t="s">
        <v>8756</v>
      </c>
      <c r="L1985" s="99" t="str">
        <f t="shared" si="102"/>
        <v>W3277.1</v>
      </c>
      <c r="M1985" s="13" t="s">
        <v>3668</v>
      </c>
      <c r="N1985" s="13"/>
      <c r="O1985" s="13"/>
      <c r="P1985" s="47"/>
      <c r="Q1985" s="45" t="s">
        <v>142</v>
      </c>
      <c r="R1985" s="45" t="s">
        <v>5596</v>
      </c>
      <c r="S1985" s="48"/>
    </row>
    <row r="1986" spans="1:19" s="49" customFormat="1" ht="14.15" customHeight="1">
      <c r="A1986" s="45" t="s">
        <v>3778</v>
      </c>
      <c r="B1986" s="44" t="s">
        <v>6635</v>
      </c>
      <c r="C1986" s="50"/>
      <c r="D1986" s="10" t="s">
        <v>29</v>
      </c>
      <c r="E1986" s="11"/>
      <c r="F1986" s="11" t="s">
        <v>18</v>
      </c>
      <c r="G1986" s="13"/>
      <c r="H1986" s="45" t="s">
        <v>16</v>
      </c>
      <c r="I1986" s="47"/>
      <c r="J1986" s="12" t="s">
        <v>6604</v>
      </c>
      <c r="K1986" s="13" t="s">
        <v>8757</v>
      </c>
      <c r="L1986" s="99" t="str">
        <f t="shared" si="102"/>
        <v>W3277.2</v>
      </c>
      <c r="M1986" s="13" t="s">
        <v>3668</v>
      </c>
      <c r="N1986" s="13"/>
      <c r="O1986" s="13"/>
      <c r="P1986" s="47"/>
      <c r="Q1986" s="45" t="s">
        <v>142</v>
      </c>
      <c r="R1986" s="45" t="s">
        <v>5596</v>
      </c>
      <c r="S1986" s="48"/>
    </row>
    <row r="1987" spans="1:19" s="49" customFormat="1" ht="14.15" customHeight="1">
      <c r="A1987" s="45" t="s">
        <v>3778</v>
      </c>
      <c r="B1987" s="44" t="s">
        <v>6635</v>
      </c>
      <c r="C1987" s="50"/>
      <c r="D1987" s="10" t="s">
        <v>29</v>
      </c>
      <c r="E1987" s="11"/>
      <c r="F1987" s="11" t="s">
        <v>18</v>
      </c>
      <c r="G1987" s="13"/>
      <c r="H1987" s="45" t="s">
        <v>16</v>
      </c>
      <c r="I1987" s="47"/>
      <c r="J1987" s="12" t="s">
        <v>6605</v>
      </c>
      <c r="K1987" s="13" t="s">
        <v>8758</v>
      </c>
      <c r="L1987" s="99" t="str">
        <f t="shared" si="102"/>
        <v>W3277.3</v>
      </c>
      <c r="M1987" s="13" t="s">
        <v>3668</v>
      </c>
      <c r="N1987" s="13"/>
      <c r="O1987" s="13"/>
      <c r="P1987" s="47"/>
      <c r="Q1987" s="45" t="s">
        <v>142</v>
      </c>
      <c r="R1987" s="45" t="s">
        <v>5596</v>
      </c>
      <c r="S1987" s="48"/>
    </row>
    <row r="1988" spans="1:19" s="49" customFormat="1" ht="14.15" customHeight="1">
      <c r="A1988" s="45" t="s">
        <v>3778</v>
      </c>
      <c r="B1988" s="44" t="s">
        <v>6635</v>
      </c>
      <c r="C1988" s="50"/>
      <c r="D1988" s="10" t="s">
        <v>29</v>
      </c>
      <c r="E1988" s="11"/>
      <c r="F1988" s="11" t="s">
        <v>18</v>
      </c>
      <c r="G1988" s="13"/>
      <c r="H1988" s="45" t="s">
        <v>16</v>
      </c>
      <c r="I1988" s="47"/>
      <c r="J1988" s="12" t="s">
        <v>6606</v>
      </c>
      <c r="K1988" s="13" t="s">
        <v>8759</v>
      </c>
      <c r="L1988" s="99" t="str">
        <f t="shared" si="102"/>
        <v>W3277.4</v>
      </c>
      <c r="M1988" s="13" t="s">
        <v>3668</v>
      </c>
      <c r="N1988" s="13"/>
      <c r="O1988" s="13"/>
      <c r="P1988" s="47"/>
      <c r="Q1988" s="45" t="s">
        <v>142</v>
      </c>
      <c r="R1988" s="45" t="s">
        <v>5596</v>
      </c>
      <c r="S1988" s="48"/>
    </row>
    <row r="1989" spans="1:19" s="49" customFormat="1" ht="14.15" customHeight="1">
      <c r="A1989" s="45" t="s">
        <v>3778</v>
      </c>
      <c r="B1989" s="44" t="s">
        <v>6635</v>
      </c>
      <c r="C1989" s="50"/>
      <c r="D1989" s="10" t="s">
        <v>29</v>
      </c>
      <c r="E1989" s="11"/>
      <c r="F1989" s="11" t="s">
        <v>18</v>
      </c>
      <c r="G1989" s="13"/>
      <c r="H1989" s="45" t="s">
        <v>16</v>
      </c>
      <c r="I1989" s="47"/>
      <c r="J1989" s="12" t="s">
        <v>6607</v>
      </c>
      <c r="K1989" s="13" t="s">
        <v>8760</v>
      </c>
      <c r="L1989" s="99" t="str">
        <f t="shared" si="102"/>
        <v>W3277.5</v>
      </c>
      <c r="M1989" s="13" t="s">
        <v>3668</v>
      </c>
      <c r="N1989" s="13"/>
      <c r="O1989" s="13"/>
      <c r="P1989" s="47"/>
      <c r="Q1989" s="45" t="s">
        <v>142</v>
      </c>
      <c r="R1989" s="45" t="s">
        <v>5596</v>
      </c>
      <c r="S1989" s="48"/>
    </row>
    <row r="1990" spans="1:19" s="49" customFormat="1" ht="14.15" customHeight="1">
      <c r="A1990" s="45" t="s">
        <v>3778</v>
      </c>
      <c r="B1990" s="44" t="s">
        <v>6635</v>
      </c>
      <c r="C1990" s="50"/>
      <c r="D1990" s="10" t="s">
        <v>29</v>
      </c>
      <c r="E1990" s="11"/>
      <c r="F1990" s="11" t="s">
        <v>18</v>
      </c>
      <c r="G1990" s="13"/>
      <c r="H1990" s="45" t="s">
        <v>16</v>
      </c>
      <c r="I1990" s="47"/>
      <c r="J1990" s="12" t="s">
        <v>6608</v>
      </c>
      <c r="K1990" s="13" t="s">
        <v>8761</v>
      </c>
      <c r="L1990" s="99" t="str">
        <f t="shared" si="102"/>
        <v>W3277.6</v>
      </c>
      <c r="M1990" s="13" t="s">
        <v>3668</v>
      </c>
      <c r="N1990" s="13"/>
      <c r="O1990" s="13"/>
      <c r="P1990" s="47"/>
      <c r="Q1990" s="45" t="s">
        <v>142</v>
      </c>
      <c r="R1990" s="45" t="s">
        <v>5596</v>
      </c>
      <c r="S1990" s="48"/>
    </row>
    <row r="1991" spans="1:19" s="49" customFormat="1" ht="14.15" customHeight="1">
      <c r="A1991" s="45" t="s">
        <v>3778</v>
      </c>
      <c r="B1991" s="44" t="s">
        <v>6635</v>
      </c>
      <c r="C1991" s="50"/>
      <c r="D1991" s="10" t="s">
        <v>29</v>
      </c>
      <c r="E1991" s="11"/>
      <c r="F1991" s="11" t="s">
        <v>18</v>
      </c>
      <c r="G1991" s="13"/>
      <c r="H1991" s="45" t="s">
        <v>16</v>
      </c>
      <c r="I1991" s="47"/>
      <c r="J1991" s="12" t="s">
        <v>6609</v>
      </c>
      <c r="K1991" s="13" t="s">
        <v>8762</v>
      </c>
      <c r="L1991" s="99" t="str">
        <f t="shared" si="102"/>
        <v>W3277.7</v>
      </c>
      <c r="M1991" s="13" t="s">
        <v>3668</v>
      </c>
      <c r="N1991" s="13"/>
      <c r="O1991" s="13"/>
      <c r="P1991" s="47"/>
      <c r="Q1991" s="45" t="s">
        <v>142</v>
      </c>
      <c r="R1991" s="45" t="s">
        <v>5596</v>
      </c>
      <c r="S1991" s="48"/>
    </row>
    <row r="1992" spans="1:19" s="49" customFormat="1" ht="14.15" customHeight="1">
      <c r="A1992" s="45" t="s">
        <v>3778</v>
      </c>
      <c r="B1992" s="44" t="s">
        <v>6635</v>
      </c>
      <c r="C1992" s="50"/>
      <c r="D1992" s="10" t="s">
        <v>29</v>
      </c>
      <c r="E1992" s="11"/>
      <c r="F1992" s="11" t="s">
        <v>18</v>
      </c>
      <c r="G1992" s="13"/>
      <c r="H1992" s="45" t="s">
        <v>16</v>
      </c>
      <c r="I1992" s="47"/>
      <c r="J1992" s="12" t="s">
        <v>6610</v>
      </c>
      <c r="K1992" s="13" t="s">
        <v>8763</v>
      </c>
      <c r="L1992" s="99" t="str">
        <f t="shared" si="102"/>
        <v>W3277.8</v>
      </c>
      <c r="M1992" s="13" t="s">
        <v>3668</v>
      </c>
      <c r="N1992" s="13"/>
      <c r="O1992" s="13"/>
      <c r="P1992" s="47"/>
      <c r="Q1992" s="45" t="s">
        <v>142</v>
      </c>
      <c r="R1992" s="45" t="s">
        <v>5596</v>
      </c>
      <c r="S1992" s="48"/>
    </row>
    <row r="1993" spans="1:19" s="49" customFormat="1" ht="14.15" customHeight="1">
      <c r="A1993" s="45" t="s">
        <v>3778</v>
      </c>
      <c r="B1993" s="44" t="s">
        <v>6635</v>
      </c>
      <c r="C1993" s="50"/>
      <c r="D1993" s="10" t="s">
        <v>29</v>
      </c>
      <c r="E1993" s="11"/>
      <c r="F1993" s="11" t="s">
        <v>18</v>
      </c>
      <c r="G1993" s="13"/>
      <c r="H1993" s="45" t="s">
        <v>16</v>
      </c>
      <c r="I1993" s="47"/>
      <c r="J1993" s="12" t="s">
        <v>6611</v>
      </c>
      <c r="K1993" s="13" t="s">
        <v>8764</v>
      </c>
      <c r="L1993" s="99" t="str">
        <f t="shared" si="102"/>
        <v>W3277.9</v>
      </c>
      <c r="M1993" s="13" t="s">
        <v>3668</v>
      </c>
      <c r="N1993" s="13"/>
      <c r="O1993" s="13"/>
      <c r="P1993" s="47"/>
      <c r="Q1993" s="45" t="s">
        <v>142</v>
      </c>
      <c r="R1993" s="45" t="s">
        <v>5596</v>
      </c>
      <c r="S1993" s="48"/>
    </row>
    <row r="1994" spans="1:19" s="49" customFormat="1" ht="14.15" customHeight="1">
      <c r="A1994" s="45" t="s">
        <v>3778</v>
      </c>
      <c r="B1994" s="44" t="s">
        <v>6635</v>
      </c>
      <c r="C1994" s="50"/>
      <c r="D1994" s="10" t="s">
        <v>29</v>
      </c>
      <c r="E1994" s="11"/>
      <c r="F1994" s="11" t="s">
        <v>18</v>
      </c>
      <c r="G1994" s="13"/>
      <c r="H1994" s="45" t="s">
        <v>16</v>
      </c>
      <c r="I1994" s="47"/>
      <c r="J1994" s="12" t="s">
        <v>6612</v>
      </c>
      <c r="K1994" s="13" t="s">
        <v>8765</v>
      </c>
      <c r="L1994" s="99" t="str">
        <f t="shared" si="102"/>
        <v>W3277.A</v>
      </c>
      <c r="M1994" s="13" t="s">
        <v>3668</v>
      </c>
      <c r="N1994" s="13"/>
      <c r="O1994" s="13"/>
      <c r="P1994" s="47"/>
      <c r="Q1994" s="45" t="s">
        <v>142</v>
      </c>
      <c r="R1994" s="45" t="s">
        <v>5596</v>
      </c>
      <c r="S1994" s="48"/>
    </row>
    <row r="1995" spans="1:19" s="49" customFormat="1" ht="14.15" customHeight="1">
      <c r="A1995" s="45" t="s">
        <v>3778</v>
      </c>
      <c r="B1995" s="44" t="s">
        <v>6635</v>
      </c>
      <c r="C1995" s="50"/>
      <c r="D1995" s="10" t="s">
        <v>29</v>
      </c>
      <c r="E1995" s="11"/>
      <c r="F1995" s="11" t="s">
        <v>18</v>
      </c>
      <c r="G1995" s="13"/>
      <c r="H1995" s="45" t="s">
        <v>16</v>
      </c>
      <c r="I1995" s="47"/>
      <c r="J1995" s="12" t="s">
        <v>6613</v>
      </c>
      <c r="K1995" s="13" t="s">
        <v>8766</v>
      </c>
      <c r="L1995" s="99" t="str">
        <f t="shared" si="102"/>
        <v>W3277.B</v>
      </c>
      <c r="M1995" s="13" t="s">
        <v>3668</v>
      </c>
      <c r="N1995" s="13"/>
      <c r="O1995" s="13"/>
      <c r="P1995" s="47"/>
      <c r="Q1995" s="45" t="s">
        <v>142</v>
      </c>
      <c r="R1995" s="45" t="s">
        <v>5596</v>
      </c>
      <c r="S1995" s="48"/>
    </row>
    <row r="1996" spans="1:19" s="49" customFormat="1" ht="14.15" customHeight="1">
      <c r="A1996" s="45" t="s">
        <v>3778</v>
      </c>
      <c r="B1996" s="44" t="s">
        <v>6635</v>
      </c>
      <c r="C1996" s="50"/>
      <c r="D1996" s="10" t="s">
        <v>29</v>
      </c>
      <c r="E1996" s="11"/>
      <c r="F1996" s="11" t="s">
        <v>18</v>
      </c>
      <c r="G1996" s="13"/>
      <c r="H1996" s="45" t="s">
        <v>16</v>
      </c>
      <c r="I1996" s="47"/>
      <c r="J1996" s="12" t="s">
        <v>6614</v>
      </c>
      <c r="K1996" s="13" t="s">
        <v>8767</v>
      </c>
      <c r="L1996" s="99" t="str">
        <f t="shared" si="102"/>
        <v>W3277.C</v>
      </c>
      <c r="M1996" s="13" t="s">
        <v>3668</v>
      </c>
      <c r="N1996" s="13"/>
      <c r="O1996" s="13"/>
      <c r="P1996" s="47"/>
      <c r="Q1996" s="45" t="s">
        <v>142</v>
      </c>
      <c r="R1996" s="45" t="s">
        <v>5596</v>
      </c>
      <c r="S1996" s="48"/>
    </row>
    <row r="1997" spans="1:19" s="49" customFormat="1" ht="14.15" customHeight="1">
      <c r="A1997" s="45" t="s">
        <v>3778</v>
      </c>
      <c r="B1997" s="44" t="s">
        <v>6635</v>
      </c>
      <c r="C1997" s="50"/>
      <c r="D1997" s="10" t="s">
        <v>29</v>
      </c>
      <c r="E1997" s="11"/>
      <c r="F1997" s="11" t="s">
        <v>18</v>
      </c>
      <c r="G1997" s="13"/>
      <c r="H1997" s="45" t="s">
        <v>16</v>
      </c>
      <c r="I1997" s="47"/>
      <c r="J1997" s="12" t="s">
        <v>6615</v>
      </c>
      <c r="K1997" s="13" t="s">
        <v>8768</v>
      </c>
      <c r="L1997" s="99" t="str">
        <f t="shared" si="102"/>
        <v>W3277.D</v>
      </c>
      <c r="M1997" s="13" t="s">
        <v>3668</v>
      </c>
      <c r="N1997" s="13"/>
      <c r="O1997" s="13"/>
      <c r="P1997" s="47"/>
      <c r="Q1997" s="45" t="s">
        <v>142</v>
      </c>
      <c r="R1997" s="45" t="s">
        <v>5596</v>
      </c>
      <c r="S1997" s="48"/>
    </row>
    <row r="1998" spans="1:19" s="49" customFormat="1" ht="14.15" customHeight="1">
      <c r="A1998" s="45" t="s">
        <v>3778</v>
      </c>
      <c r="B1998" s="44" t="s">
        <v>6635</v>
      </c>
      <c r="C1998" s="50"/>
      <c r="D1998" s="10" t="s">
        <v>29</v>
      </c>
      <c r="E1998" s="11"/>
      <c r="F1998" s="11" t="s">
        <v>18</v>
      </c>
      <c r="G1998" s="13"/>
      <c r="H1998" s="45" t="s">
        <v>16</v>
      </c>
      <c r="I1998" s="47"/>
      <c r="J1998" s="12" t="s">
        <v>6616</v>
      </c>
      <c r="K1998" s="13" t="s">
        <v>8769</v>
      </c>
      <c r="L1998" s="99" t="str">
        <f t="shared" si="102"/>
        <v>W3277.E</v>
      </c>
      <c r="M1998" s="13" t="s">
        <v>3668</v>
      </c>
      <c r="N1998" s="13"/>
      <c r="O1998" s="13"/>
      <c r="P1998" s="47"/>
      <c r="Q1998" s="45" t="s">
        <v>142</v>
      </c>
      <c r="R1998" s="45" t="s">
        <v>5596</v>
      </c>
      <c r="S1998" s="48"/>
    </row>
    <row r="1999" spans="1:19" s="49" customFormat="1" ht="14.15" customHeight="1">
      <c r="A1999" s="45" t="s">
        <v>3778</v>
      </c>
      <c r="B1999" s="44" t="s">
        <v>6635</v>
      </c>
      <c r="C1999" s="50"/>
      <c r="D1999" s="10" t="s">
        <v>29</v>
      </c>
      <c r="E1999" s="11"/>
      <c r="F1999" s="11" t="s">
        <v>18</v>
      </c>
      <c r="G1999" s="13"/>
      <c r="H1999" s="45" t="s">
        <v>16</v>
      </c>
      <c r="I1999" s="47"/>
      <c r="J1999" s="12" t="s">
        <v>6617</v>
      </c>
      <c r="K1999" s="13" t="s">
        <v>8770</v>
      </c>
      <c r="L1999" s="99" t="str">
        <f t="shared" si="102"/>
        <v>W3277.F</v>
      </c>
      <c r="M1999" s="13" t="s">
        <v>3668</v>
      </c>
      <c r="N1999" s="13"/>
      <c r="O1999" s="13"/>
      <c r="P1999" s="47"/>
      <c r="Q1999" s="45" t="s">
        <v>142</v>
      </c>
      <c r="R1999" s="45" t="s">
        <v>5596</v>
      </c>
      <c r="S1999" s="48"/>
    </row>
    <row r="2000" spans="1:19" s="49" customFormat="1" ht="14.15" customHeight="1">
      <c r="A2000" s="45" t="s">
        <v>3778</v>
      </c>
      <c r="B2000" s="44" t="s">
        <v>6635</v>
      </c>
      <c r="C2000" s="50"/>
      <c r="D2000" s="10" t="s">
        <v>29</v>
      </c>
      <c r="E2000" s="11"/>
      <c r="F2000" s="11" t="s">
        <v>18</v>
      </c>
      <c r="G2000" s="13"/>
      <c r="H2000" s="45" t="s">
        <v>16</v>
      </c>
      <c r="I2000" s="47"/>
      <c r="J2000" s="12" t="s">
        <v>6618</v>
      </c>
      <c r="K2000" s="13" t="s">
        <v>8771</v>
      </c>
      <c r="L2000" s="99" t="str">
        <f t="shared" si="102"/>
        <v>W3278.0</v>
      </c>
      <c r="M2000" s="13" t="s">
        <v>3668</v>
      </c>
      <c r="N2000" s="13"/>
      <c r="O2000" s="13"/>
      <c r="P2000" s="47"/>
      <c r="Q2000" s="45" t="s">
        <v>142</v>
      </c>
      <c r="R2000" s="45" t="s">
        <v>5596</v>
      </c>
      <c r="S2000" s="48"/>
    </row>
    <row r="2001" spans="1:19" s="49" customFormat="1" ht="14.15" customHeight="1">
      <c r="A2001" s="45" t="s">
        <v>3778</v>
      </c>
      <c r="B2001" s="44" t="s">
        <v>6635</v>
      </c>
      <c r="C2001" s="50"/>
      <c r="D2001" s="10" t="s">
        <v>29</v>
      </c>
      <c r="E2001" s="11"/>
      <c r="F2001" s="11" t="s">
        <v>18</v>
      </c>
      <c r="G2001" s="13"/>
      <c r="H2001" s="45" t="s">
        <v>16</v>
      </c>
      <c r="I2001" s="47"/>
      <c r="J2001" s="12" t="s">
        <v>6619</v>
      </c>
      <c r="K2001" s="13" t="s">
        <v>8772</v>
      </c>
      <c r="L2001" s="99" t="str">
        <f t="shared" ref="L2001:L2064" si="103">"W"&amp;DEC2HEX(12800 + INT((ROW()-80)/16)) &amp; "." &amp; IF(MOD(ROW()-80,16)&lt;10,MOD(ROW()-80,16),CHAR(MOD(ROW()-80,16)+55))</f>
        <v>W3278.1</v>
      </c>
      <c r="M2001" s="13" t="s">
        <v>3668</v>
      </c>
      <c r="N2001" s="13"/>
      <c r="O2001" s="13"/>
      <c r="P2001" s="47"/>
      <c r="Q2001" s="45" t="s">
        <v>142</v>
      </c>
      <c r="R2001" s="45" t="s">
        <v>5596</v>
      </c>
      <c r="S2001" s="48"/>
    </row>
    <row r="2002" spans="1:19" s="49" customFormat="1" ht="14.15" customHeight="1">
      <c r="A2002" s="45"/>
      <c r="B2002" s="44" t="s">
        <v>6635</v>
      </c>
      <c r="C2002" s="50"/>
      <c r="D2002" s="10" t="s">
        <v>29</v>
      </c>
      <c r="E2002" s="11"/>
      <c r="F2002" s="11" t="s">
        <v>18</v>
      </c>
      <c r="G2002" s="13"/>
      <c r="H2002" s="45" t="s">
        <v>16</v>
      </c>
      <c r="I2002" s="47"/>
      <c r="J2002" s="12" t="s">
        <v>4711</v>
      </c>
      <c r="K2002" s="13" t="s">
        <v>8773</v>
      </c>
      <c r="L2002" s="99" t="str">
        <f t="shared" si="103"/>
        <v>W3278.2</v>
      </c>
      <c r="M2002" s="45"/>
      <c r="N2002" s="47"/>
      <c r="O2002" s="47"/>
      <c r="P2002" s="47"/>
      <c r="Q2002" s="45"/>
      <c r="R2002" s="45"/>
      <c r="S2002" s="48"/>
    </row>
    <row r="2003" spans="1:19" s="49" customFormat="1" ht="14.15" customHeight="1">
      <c r="A2003" s="45"/>
      <c r="B2003" s="44" t="s">
        <v>6635</v>
      </c>
      <c r="C2003" s="50"/>
      <c r="D2003" s="10" t="s">
        <v>29</v>
      </c>
      <c r="E2003" s="11"/>
      <c r="F2003" s="11" t="s">
        <v>18</v>
      </c>
      <c r="G2003" s="13"/>
      <c r="H2003" s="45" t="s">
        <v>16</v>
      </c>
      <c r="I2003" s="47"/>
      <c r="J2003" s="12" t="s">
        <v>4712</v>
      </c>
      <c r="K2003" s="13" t="s">
        <v>8774</v>
      </c>
      <c r="L2003" s="99" t="str">
        <f t="shared" si="103"/>
        <v>W3278.3</v>
      </c>
      <c r="M2003" s="45"/>
      <c r="N2003" s="47"/>
      <c r="O2003" s="47"/>
      <c r="P2003" s="47"/>
      <c r="Q2003" s="45"/>
      <c r="R2003" s="45"/>
      <c r="S2003" s="48"/>
    </row>
    <row r="2004" spans="1:19" s="49" customFormat="1" ht="14.15" customHeight="1">
      <c r="A2004" s="45"/>
      <c r="B2004" s="44" t="s">
        <v>6635</v>
      </c>
      <c r="C2004" s="50"/>
      <c r="D2004" s="10" t="s">
        <v>29</v>
      </c>
      <c r="E2004" s="11"/>
      <c r="F2004" s="11" t="s">
        <v>18</v>
      </c>
      <c r="G2004" s="13"/>
      <c r="H2004" s="45" t="s">
        <v>16</v>
      </c>
      <c r="I2004" s="47"/>
      <c r="J2004" s="12" t="s">
        <v>4713</v>
      </c>
      <c r="K2004" s="13" t="s">
        <v>8775</v>
      </c>
      <c r="L2004" s="99" t="str">
        <f t="shared" si="103"/>
        <v>W3278.4</v>
      </c>
      <c r="M2004" s="45"/>
      <c r="N2004" s="47"/>
      <c r="O2004" s="47"/>
      <c r="P2004" s="47"/>
      <c r="Q2004" s="45"/>
      <c r="R2004" s="45"/>
      <c r="S2004" s="48"/>
    </row>
    <row r="2005" spans="1:19" s="49" customFormat="1" ht="14.15" customHeight="1">
      <c r="A2005" s="45"/>
      <c r="B2005" s="44" t="s">
        <v>6635</v>
      </c>
      <c r="C2005" s="50"/>
      <c r="D2005" s="10" t="s">
        <v>29</v>
      </c>
      <c r="E2005" s="11"/>
      <c r="F2005" s="11" t="s">
        <v>18</v>
      </c>
      <c r="G2005" s="13"/>
      <c r="H2005" s="45" t="s">
        <v>16</v>
      </c>
      <c r="I2005" s="47"/>
      <c r="J2005" s="12" t="s">
        <v>4714</v>
      </c>
      <c r="K2005" s="13" t="s">
        <v>8776</v>
      </c>
      <c r="L2005" s="99" t="str">
        <f t="shared" si="103"/>
        <v>W3278.5</v>
      </c>
      <c r="M2005" s="45"/>
      <c r="N2005" s="47"/>
      <c r="O2005" s="47"/>
      <c r="P2005" s="47"/>
      <c r="Q2005" s="45"/>
      <c r="R2005" s="45"/>
      <c r="S2005" s="48"/>
    </row>
    <row r="2006" spans="1:19" s="49" customFormat="1" ht="14.15" customHeight="1">
      <c r="A2006" s="45"/>
      <c r="B2006" s="44" t="s">
        <v>6635</v>
      </c>
      <c r="C2006" s="50"/>
      <c r="D2006" s="10" t="s">
        <v>29</v>
      </c>
      <c r="E2006" s="11"/>
      <c r="F2006" s="11" t="s">
        <v>18</v>
      </c>
      <c r="G2006" s="13"/>
      <c r="H2006" s="45" t="s">
        <v>16</v>
      </c>
      <c r="I2006" s="47"/>
      <c r="J2006" s="12" t="s">
        <v>4715</v>
      </c>
      <c r="K2006" s="13" t="s">
        <v>8777</v>
      </c>
      <c r="L2006" s="99" t="str">
        <f t="shared" si="103"/>
        <v>W3278.6</v>
      </c>
      <c r="M2006" s="45"/>
      <c r="N2006" s="47"/>
      <c r="O2006" s="47"/>
      <c r="P2006" s="47"/>
      <c r="Q2006" s="45"/>
      <c r="R2006" s="45"/>
      <c r="S2006" s="48"/>
    </row>
    <row r="2007" spans="1:19" s="49" customFormat="1" ht="14.15" customHeight="1">
      <c r="A2007" s="45"/>
      <c r="B2007" s="44" t="s">
        <v>6635</v>
      </c>
      <c r="C2007" s="50"/>
      <c r="D2007" s="10" t="s">
        <v>29</v>
      </c>
      <c r="E2007" s="11"/>
      <c r="F2007" s="11" t="s">
        <v>18</v>
      </c>
      <c r="G2007" s="13"/>
      <c r="H2007" s="45" t="s">
        <v>16</v>
      </c>
      <c r="I2007" s="47"/>
      <c r="J2007" s="12" t="s">
        <v>4716</v>
      </c>
      <c r="K2007" s="13" t="s">
        <v>8778</v>
      </c>
      <c r="L2007" s="99" t="str">
        <f t="shared" si="103"/>
        <v>W3278.7</v>
      </c>
      <c r="M2007" s="45"/>
      <c r="N2007" s="47"/>
      <c r="O2007" s="47"/>
      <c r="P2007" s="47"/>
      <c r="Q2007" s="45"/>
      <c r="R2007" s="45"/>
      <c r="S2007" s="48"/>
    </row>
    <row r="2008" spans="1:19" s="49" customFormat="1" ht="14.15" customHeight="1">
      <c r="A2008" s="45"/>
      <c r="B2008" s="44" t="s">
        <v>6635</v>
      </c>
      <c r="C2008" s="50"/>
      <c r="D2008" s="10" t="s">
        <v>29</v>
      </c>
      <c r="E2008" s="11"/>
      <c r="F2008" s="11" t="s">
        <v>18</v>
      </c>
      <c r="G2008" s="13"/>
      <c r="H2008" s="45" t="s">
        <v>16</v>
      </c>
      <c r="I2008" s="47"/>
      <c r="J2008" s="12" t="s">
        <v>4717</v>
      </c>
      <c r="K2008" s="13" t="s">
        <v>8779</v>
      </c>
      <c r="L2008" s="99" t="str">
        <f t="shared" si="103"/>
        <v>W3278.8</v>
      </c>
      <c r="M2008" s="45"/>
      <c r="N2008" s="47"/>
      <c r="O2008" s="47"/>
      <c r="P2008" s="47"/>
      <c r="Q2008" s="45"/>
      <c r="R2008" s="45"/>
      <c r="S2008" s="48"/>
    </row>
    <row r="2009" spans="1:19" s="49" customFormat="1" ht="14.15" customHeight="1">
      <c r="A2009" s="45"/>
      <c r="B2009" s="44" t="s">
        <v>6635</v>
      </c>
      <c r="C2009" s="50"/>
      <c r="D2009" s="10" t="s">
        <v>29</v>
      </c>
      <c r="E2009" s="11"/>
      <c r="F2009" s="11" t="s">
        <v>18</v>
      </c>
      <c r="G2009" s="13"/>
      <c r="H2009" s="45" t="s">
        <v>16</v>
      </c>
      <c r="I2009" s="47"/>
      <c r="J2009" s="12" t="s">
        <v>4718</v>
      </c>
      <c r="K2009" s="13" t="s">
        <v>8780</v>
      </c>
      <c r="L2009" s="99" t="str">
        <f t="shared" si="103"/>
        <v>W3278.9</v>
      </c>
      <c r="M2009" s="45"/>
      <c r="N2009" s="47"/>
      <c r="O2009" s="47"/>
      <c r="P2009" s="47"/>
      <c r="Q2009" s="45"/>
      <c r="R2009" s="45"/>
      <c r="S2009" s="48"/>
    </row>
    <row r="2010" spans="1:19" s="49" customFormat="1" ht="14.15" customHeight="1">
      <c r="A2010" s="45"/>
      <c r="B2010" s="44" t="s">
        <v>6635</v>
      </c>
      <c r="C2010" s="50"/>
      <c r="D2010" s="10" t="s">
        <v>29</v>
      </c>
      <c r="E2010" s="11"/>
      <c r="F2010" s="11" t="s">
        <v>18</v>
      </c>
      <c r="G2010" s="13"/>
      <c r="H2010" s="45" t="s">
        <v>16</v>
      </c>
      <c r="I2010" s="47"/>
      <c r="J2010" s="12" t="s">
        <v>4719</v>
      </c>
      <c r="K2010" s="13" t="s">
        <v>8781</v>
      </c>
      <c r="L2010" s="99" t="str">
        <f t="shared" si="103"/>
        <v>W3278.A</v>
      </c>
      <c r="M2010" s="45"/>
      <c r="N2010" s="47"/>
      <c r="O2010" s="47"/>
      <c r="P2010" s="47"/>
      <c r="Q2010" s="45"/>
      <c r="R2010" s="45"/>
      <c r="S2010" s="48"/>
    </row>
    <row r="2011" spans="1:19" s="49" customFormat="1" ht="14.15" customHeight="1">
      <c r="A2011" s="45"/>
      <c r="B2011" s="44" t="s">
        <v>6635</v>
      </c>
      <c r="C2011" s="50"/>
      <c r="D2011" s="10" t="s">
        <v>29</v>
      </c>
      <c r="E2011" s="11"/>
      <c r="F2011" s="11" t="s">
        <v>18</v>
      </c>
      <c r="G2011" s="13"/>
      <c r="H2011" s="45" t="s">
        <v>16</v>
      </c>
      <c r="I2011" s="47"/>
      <c r="J2011" s="12" t="s">
        <v>4720</v>
      </c>
      <c r="K2011" s="13" t="s">
        <v>8782</v>
      </c>
      <c r="L2011" s="99" t="str">
        <f t="shared" si="103"/>
        <v>W3278.B</v>
      </c>
      <c r="M2011" s="45"/>
      <c r="N2011" s="47"/>
      <c r="O2011" s="47"/>
      <c r="P2011" s="47"/>
      <c r="Q2011" s="45"/>
      <c r="R2011" s="45"/>
      <c r="S2011" s="48"/>
    </row>
    <row r="2012" spans="1:19" s="49" customFormat="1" ht="14.15" customHeight="1">
      <c r="A2012" s="45"/>
      <c r="B2012" s="44" t="s">
        <v>6635</v>
      </c>
      <c r="C2012" s="50"/>
      <c r="D2012" s="10" t="s">
        <v>29</v>
      </c>
      <c r="E2012" s="11"/>
      <c r="F2012" s="11" t="s">
        <v>18</v>
      </c>
      <c r="G2012" s="13"/>
      <c r="H2012" s="45" t="s">
        <v>16</v>
      </c>
      <c r="I2012" s="47"/>
      <c r="J2012" s="12" t="s">
        <v>4721</v>
      </c>
      <c r="K2012" s="13" t="s">
        <v>8783</v>
      </c>
      <c r="L2012" s="99" t="str">
        <f t="shared" si="103"/>
        <v>W3278.C</v>
      </c>
      <c r="M2012" s="45"/>
      <c r="N2012" s="47"/>
      <c r="O2012" s="47"/>
      <c r="P2012" s="47"/>
      <c r="Q2012" s="45"/>
      <c r="R2012" s="45"/>
      <c r="S2012" s="48"/>
    </row>
    <row r="2013" spans="1:19" s="49" customFormat="1" ht="14.15" customHeight="1">
      <c r="A2013" s="45"/>
      <c r="B2013" s="44" t="s">
        <v>6635</v>
      </c>
      <c r="C2013" s="50"/>
      <c r="D2013" s="10" t="s">
        <v>29</v>
      </c>
      <c r="E2013" s="11"/>
      <c r="F2013" s="11" t="s">
        <v>18</v>
      </c>
      <c r="G2013" s="13"/>
      <c r="H2013" s="45" t="s">
        <v>16</v>
      </c>
      <c r="I2013" s="47"/>
      <c r="J2013" s="12" t="s">
        <v>4722</v>
      </c>
      <c r="K2013" s="13" t="s">
        <v>8784</v>
      </c>
      <c r="L2013" s="99" t="str">
        <f t="shared" si="103"/>
        <v>W3278.D</v>
      </c>
      <c r="M2013" s="45"/>
      <c r="N2013" s="47"/>
      <c r="O2013" s="47"/>
      <c r="P2013" s="47"/>
      <c r="Q2013" s="45"/>
      <c r="R2013" s="45"/>
      <c r="S2013" s="48"/>
    </row>
    <row r="2014" spans="1:19" s="49" customFormat="1" ht="14.15" customHeight="1">
      <c r="A2014" s="45"/>
      <c r="B2014" s="44" t="s">
        <v>6635</v>
      </c>
      <c r="C2014" s="50"/>
      <c r="D2014" s="10" t="s">
        <v>29</v>
      </c>
      <c r="E2014" s="11"/>
      <c r="F2014" s="11" t="s">
        <v>18</v>
      </c>
      <c r="G2014" s="13"/>
      <c r="H2014" s="45" t="s">
        <v>16</v>
      </c>
      <c r="I2014" s="47"/>
      <c r="J2014" s="12" t="s">
        <v>4723</v>
      </c>
      <c r="K2014" s="13" t="s">
        <v>8785</v>
      </c>
      <c r="L2014" s="99" t="str">
        <f t="shared" si="103"/>
        <v>W3278.E</v>
      </c>
      <c r="M2014" s="45"/>
      <c r="N2014" s="47"/>
      <c r="O2014" s="47"/>
      <c r="P2014" s="47"/>
      <c r="Q2014" s="45"/>
      <c r="R2014" s="45"/>
      <c r="S2014" s="48"/>
    </row>
    <row r="2015" spans="1:19" s="49" customFormat="1" ht="14.15" customHeight="1">
      <c r="A2015" s="45"/>
      <c r="B2015" s="44" t="s">
        <v>6635</v>
      </c>
      <c r="C2015" s="50"/>
      <c r="D2015" s="10" t="s">
        <v>29</v>
      </c>
      <c r="E2015" s="11"/>
      <c r="F2015" s="11" t="s">
        <v>18</v>
      </c>
      <c r="G2015" s="13"/>
      <c r="H2015" s="45" t="s">
        <v>16</v>
      </c>
      <c r="I2015" s="47"/>
      <c r="J2015" s="12" t="s">
        <v>3427</v>
      </c>
      <c r="K2015" s="13" t="s">
        <v>8786</v>
      </c>
      <c r="L2015" s="99" t="str">
        <f t="shared" si="103"/>
        <v>W3278.F</v>
      </c>
      <c r="M2015" s="45"/>
      <c r="N2015" s="47"/>
      <c r="O2015" s="47"/>
      <c r="P2015" s="47"/>
      <c r="Q2015" s="45"/>
      <c r="R2015" s="45"/>
      <c r="S2015" s="48"/>
    </row>
    <row r="2016" spans="1:19" s="49" customFormat="1" ht="14.15" customHeight="1">
      <c r="A2016" s="45"/>
      <c r="B2016" s="44" t="s">
        <v>6635</v>
      </c>
      <c r="C2016" s="50"/>
      <c r="D2016" s="10" t="s">
        <v>29</v>
      </c>
      <c r="E2016" s="11"/>
      <c r="F2016" s="11" t="s">
        <v>18</v>
      </c>
      <c r="G2016" s="13"/>
      <c r="H2016" s="45" t="s">
        <v>16</v>
      </c>
      <c r="I2016" s="47"/>
      <c r="J2016" s="12" t="s">
        <v>3428</v>
      </c>
      <c r="K2016" s="13" t="s">
        <v>8787</v>
      </c>
      <c r="L2016" s="99" t="str">
        <f t="shared" si="103"/>
        <v>W3279.0</v>
      </c>
      <c r="M2016" s="45"/>
      <c r="N2016" s="47"/>
      <c r="O2016" s="47"/>
      <c r="P2016" s="47"/>
      <c r="Q2016" s="45"/>
      <c r="R2016" s="45"/>
      <c r="S2016" s="48"/>
    </row>
    <row r="2017" spans="1:19" s="49" customFormat="1" ht="14.15" customHeight="1">
      <c r="A2017" s="45"/>
      <c r="B2017" s="44" t="s">
        <v>6635</v>
      </c>
      <c r="C2017" s="50"/>
      <c r="D2017" s="10" t="s">
        <v>29</v>
      </c>
      <c r="E2017" s="11"/>
      <c r="F2017" s="11" t="s">
        <v>18</v>
      </c>
      <c r="G2017" s="13"/>
      <c r="H2017" s="45" t="s">
        <v>16</v>
      </c>
      <c r="I2017" s="47"/>
      <c r="J2017" s="12" t="s">
        <v>3429</v>
      </c>
      <c r="K2017" s="13" t="s">
        <v>8788</v>
      </c>
      <c r="L2017" s="99" t="str">
        <f t="shared" si="103"/>
        <v>W3279.1</v>
      </c>
      <c r="M2017" s="45"/>
      <c r="N2017" s="47"/>
      <c r="O2017" s="47"/>
      <c r="P2017" s="47"/>
      <c r="Q2017" s="45"/>
      <c r="R2017" s="45"/>
      <c r="S2017" s="48"/>
    </row>
    <row r="2018" spans="1:19" s="49" customFormat="1" ht="14.15" customHeight="1">
      <c r="A2018" s="45"/>
      <c r="B2018" s="44" t="s">
        <v>6635</v>
      </c>
      <c r="C2018" s="50"/>
      <c r="D2018" s="10" t="s">
        <v>29</v>
      </c>
      <c r="E2018" s="11"/>
      <c r="F2018" s="11" t="s">
        <v>18</v>
      </c>
      <c r="G2018" s="13"/>
      <c r="H2018" s="45" t="s">
        <v>16</v>
      </c>
      <c r="I2018" s="47"/>
      <c r="J2018" s="12" t="s">
        <v>3430</v>
      </c>
      <c r="K2018" s="13" t="s">
        <v>8789</v>
      </c>
      <c r="L2018" s="99" t="str">
        <f t="shared" si="103"/>
        <v>W3279.2</v>
      </c>
      <c r="M2018" s="45"/>
      <c r="N2018" s="47"/>
      <c r="O2018" s="47"/>
      <c r="P2018" s="47"/>
      <c r="Q2018" s="45"/>
      <c r="R2018" s="45"/>
      <c r="S2018" s="48"/>
    </row>
    <row r="2019" spans="1:19" s="49" customFormat="1" ht="14.15" customHeight="1">
      <c r="A2019" s="45"/>
      <c r="B2019" s="44" t="s">
        <v>6635</v>
      </c>
      <c r="C2019" s="50"/>
      <c r="D2019" s="10" t="s">
        <v>29</v>
      </c>
      <c r="E2019" s="11"/>
      <c r="F2019" s="11" t="s">
        <v>18</v>
      </c>
      <c r="G2019" s="13"/>
      <c r="H2019" s="45" t="s">
        <v>16</v>
      </c>
      <c r="I2019" s="47"/>
      <c r="J2019" s="12" t="s">
        <v>3431</v>
      </c>
      <c r="K2019" s="13" t="s">
        <v>8790</v>
      </c>
      <c r="L2019" s="99" t="str">
        <f t="shared" si="103"/>
        <v>W3279.3</v>
      </c>
      <c r="M2019" s="45"/>
      <c r="N2019" s="47"/>
      <c r="O2019" s="47"/>
      <c r="P2019" s="47"/>
      <c r="Q2019" s="45"/>
      <c r="R2019" s="45"/>
      <c r="S2019" s="48"/>
    </row>
    <row r="2020" spans="1:19" s="49" customFormat="1" ht="14.15" customHeight="1">
      <c r="A2020" s="45"/>
      <c r="B2020" s="44" t="s">
        <v>6635</v>
      </c>
      <c r="C2020" s="50"/>
      <c r="D2020" s="10" t="s">
        <v>29</v>
      </c>
      <c r="E2020" s="11"/>
      <c r="F2020" s="11" t="s">
        <v>18</v>
      </c>
      <c r="G2020" s="13"/>
      <c r="H2020" s="45" t="s">
        <v>16</v>
      </c>
      <c r="I2020" s="47"/>
      <c r="J2020" s="12" t="s">
        <v>3432</v>
      </c>
      <c r="K2020" s="13" t="s">
        <v>8791</v>
      </c>
      <c r="L2020" s="99" t="str">
        <f t="shared" si="103"/>
        <v>W3279.4</v>
      </c>
      <c r="M2020" s="45"/>
      <c r="N2020" s="47"/>
      <c r="O2020" s="47"/>
      <c r="P2020" s="47"/>
      <c r="Q2020" s="45"/>
      <c r="R2020" s="45"/>
      <c r="S2020" s="48"/>
    </row>
    <row r="2021" spans="1:19" s="49" customFormat="1" ht="14.15" customHeight="1">
      <c r="A2021" s="45"/>
      <c r="B2021" s="44" t="s">
        <v>6635</v>
      </c>
      <c r="C2021" s="50"/>
      <c r="D2021" s="10" t="s">
        <v>29</v>
      </c>
      <c r="E2021" s="11"/>
      <c r="F2021" s="11" t="s">
        <v>18</v>
      </c>
      <c r="G2021" s="13"/>
      <c r="H2021" s="45" t="s">
        <v>16</v>
      </c>
      <c r="I2021" s="47"/>
      <c r="J2021" s="12" t="s">
        <v>3433</v>
      </c>
      <c r="K2021" s="13" t="s">
        <v>8792</v>
      </c>
      <c r="L2021" s="99" t="str">
        <f t="shared" si="103"/>
        <v>W3279.5</v>
      </c>
      <c r="M2021" s="45"/>
      <c r="N2021" s="47"/>
      <c r="O2021" s="47"/>
      <c r="P2021" s="47"/>
      <c r="Q2021" s="45"/>
      <c r="R2021" s="45"/>
      <c r="S2021" s="48"/>
    </row>
    <row r="2022" spans="1:19" s="49" customFormat="1" ht="14.15" customHeight="1">
      <c r="A2022" s="45"/>
      <c r="B2022" s="44" t="s">
        <v>6635</v>
      </c>
      <c r="C2022" s="50"/>
      <c r="D2022" s="10" t="s">
        <v>29</v>
      </c>
      <c r="E2022" s="11"/>
      <c r="F2022" s="11" t="s">
        <v>18</v>
      </c>
      <c r="G2022" s="13"/>
      <c r="H2022" s="45" t="s">
        <v>16</v>
      </c>
      <c r="I2022" s="47"/>
      <c r="J2022" s="12" t="s">
        <v>3434</v>
      </c>
      <c r="K2022" s="13" t="s">
        <v>8793</v>
      </c>
      <c r="L2022" s="99" t="str">
        <f t="shared" si="103"/>
        <v>W3279.6</v>
      </c>
      <c r="M2022" s="45"/>
      <c r="N2022" s="47"/>
      <c r="O2022" s="47"/>
      <c r="P2022" s="47"/>
      <c r="Q2022" s="45"/>
      <c r="R2022" s="45"/>
      <c r="S2022" s="48"/>
    </row>
    <row r="2023" spans="1:19" s="49" customFormat="1" ht="14.15" customHeight="1">
      <c r="A2023" s="45"/>
      <c r="B2023" s="44" t="s">
        <v>6635</v>
      </c>
      <c r="C2023" s="50"/>
      <c r="D2023" s="10" t="s">
        <v>29</v>
      </c>
      <c r="E2023" s="11"/>
      <c r="F2023" s="11" t="s">
        <v>18</v>
      </c>
      <c r="G2023" s="13"/>
      <c r="H2023" s="45" t="s">
        <v>16</v>
      </c>
      <c r="I2023" s="47"/>
      <c r="J2023" s="12" t="s">
        <v>3435</v>
      </c>
      <c r="K2023" s="13" t="s">
        <v>8794</v>
      </c>
      <c r="L2023" s="99" t="str">
        <f t="shared" si="103"/>
        <v>W3279.7</v>
      </c>
      <c r="M2023" s="45"/>
      <c r="N2023" s="47"/>
      <c r="O2023" s="47"/>
      <c r="P2023" s="47"/>
      <c r="Q2023" s="45"/>
      <c r="R2023" s="45"/>
      <c r="S2023" s="48"/>
    </row>
    <row r="2024" spans="1:19" s="49" customFormat="1" ht="14.15" customHeight="1">
      <c r="A2024" s="45"/>
      <c r="B2024" s="44" t="s">
        <v>6635</v>
      </c>
      <c r="C2024" s="50"/>
      <c r="D2024" s="10" t="s">
        <v>29</v>
      </c>
      <c r="E2024" s="11"/>
      <c r="F2024" s="11" t="s">
        <v>18</v>
      </c>
      <c r="G2024" s="13"/>
      <c r="H2024" s="45" t="s">
        <v>16</v>
      </c>
      <c r="I2024" s="47"/>
      <c r="J2024" s="12" t="s">
        <v>3436</v>
      </c>
      <c r="K2024" s="13" t="s">
        <v>8795</v>
      </c>
      <c r="L2024" s="99" t="str">
        <f t="shared" si="103"/>
        <v>W3279.8</v>
      </c>
      <c r="M2024" s="45"/>
      <c r="N2024" s="47"/>
      <c r="O2024" s="47"/>
      <c r="P2024" s="47"/>
      <c r="Q2024" s="45"/>
      <c r="R2024" s="45"/>
      <c r="S2024" s="48"/>
    </row>
    <row r="2025" spans="1:19" s="49" customFormat="1" ht="14.15" customHeight="1">
      <c r="A2025" s="45"/>
      <c r="B2025" s="44" t="s">
        <v>6635</v>
      </c>
      <c r="C2025" s="50"/>
      <c r="D2025" s="10" t="s">
        <v>29</v>
      </c>
      <c r="E2025" s="11"/>
      <c r="F2025" s="11" t="s">
        <v>18</v>
      </c>
      <c r="G2025" s="13"/>
      <c r="H2025" s="45" t="s">
        <v>16</v>
      </c>
      <c r="I2025" s="47"/>
      <c r="J2025" s="12" t="s">
        <v>3437</v>
      </c>
      <c r="K2025" s="13" t="s">
        <v>8796</v>
      </c>
      <c r="L2025" s="99" t="str">
        <f t="shared" si="103"/>
        <v>W3279.9</v>
      </c>
      <c r="M2025" s="45"/>
      <c r="N2025" s="47"/>
      <c r="O2025" s="47"/>
      <c r="P2025" s="47"/>
      <c r="Q2025" s="45"/>
      <c r="R2025" s="45"/>
      <c r="S2025" s="48"/>
    </row>
    <row r="2026" spans="1:19" s="49" customFormat="1" ht="14.15" customHeight="1">
      <c r="A2026" s="45"/>
      <c r="B2026" s="44" t="s">
        <v>6635</v>
      </c>
      <c r="C2026" s="50"/>
      <c r="D2026" s="10" t="s">
        <v>29</v>
      </c>
      <c r="E2026" s="11"/>
      <c r="F2026" s="11" t="s">
        <v>18</v>
      </c>
      <c r="G2026" s="13"/>
      <c r="H2026" s="45" t="s">
        <v>16</v>
      </c>
      <c r="I2026" s="47"/>
      <c r="J2026" s="12" t="s">
        <v>3438</v>
      </c>
      <c r="K2026" s="13" t="s">
        <v>8797</v>
      </c>
      <c r="L2026" s="99" t="str">
        <f t="shared" si="103"/>
        <v>W3279.A</v>
      </c>
      <c r="M2026" s="45"/>
      <c r="N2026" s="47"/>
      <c r="O2026" s="47"/>
      <c r="P2026" s="47"/>
      <c r="Q2026" s="45"/>
      <c r="R2026" s="45"/>
      <c r="S2026" s="48"/>
    </row>
    <row r="2027" spans="1:19" s="49" customFormat="1" ht="14.15" customHeight="1">
      <c r="A2027" s="45"/>
      <c r="B2027" s="44" t="s">
        <v>6635</v>
      </c>
      <c r="C2027" s="50"/>
      <c r="D2027" s="10" t="s">
        <v>29</v>
      </c>
      <c r="E2027" s="11"/>
      <c r="F2027" s="11" t="s">
        <v>18</v>
      </c>
      <c r="G2027" s="13"/>
      <c r="H2027" s="45" t="s">
        <v>16</v>
      </c>
      <c r="I2027" s="47"/>
      <c r="J2027" s="12" t="s">
        <v>3439</v>
      </c>
      <c r="K2027" s="13" t="s">
        <v>8798</v>
      </c>
      <c r="L2027" s="99" t="str">
        <f t="shared" si="103"/>
        <v>W3279.B</v>
      </c>
      <c r="M2027" s="45"/>
      <c r="N2027" s="47"/>
      <c r="O2027" s="47"/>
      <c r="P2027" s="47"/>
      <c r="Q2027" s="45"/>
      <c r="R2027" s="45"/>
      <c r="S2027" s="48"/>
    </row>
    <row r="2028" spans="1:19" s="49" customFormat="1" ht="14.15" customHeight="1">
      <c r="A2028" s="45"/>
      <c r="B2028" s="44" t="s">
        <v>6635</v>
      </c>
      <c r="C2028" s="50"/>
      <c r="D2028" s="10" t="s">
        <v>29</v>
      </c>
      <c r="E2028" s="11"/>
      <c r="F2028" s="11" t="s">
        <v>18</v>
      </c>
      <c r="G2028" s="13"/>
      <c r="H2028" s="45" t="s">
        <v>16</v>
      </c>
      <c r="I2028" s="47"/>
      <c r="J2028" s="12" t="s">
        <v>3440</v>
      </c>
      <c r="K2028" s="13" t="s">
        <v>8799</v>
      </c>
      <c r="L2028" s="99" t="str">
        <f t="shared" si="103"/>
        <v>W3279.C</v>
      </c>
      <c r="M2028" s="45"/>
      <c r="N2028" s="47"/>
      <c r="O2028" s="47"/>
      <c r="P2028" s="47"/>
      <c r="Q2028" s="45"/>
      <c r="R2028" s="45"/>
      <c r="S2028" s="48"/>
    </row>
    <row r="2029" spans="1:19" s="49" customFormat="1" ht="14.15" customHeight="1">
      <c r="A2029" s="45"/>
      <c r="B2029" s="44" t="s">
        <v>6635</v>
      </c>
      <c r="C2029" s="50"/>
      <c r="D2029" s="10" t="s">
        <v>29</v>
      </c>
      <c r="E2029" s="11"/>
      <c r="F2029" s="11" t="s">
        <v>18</v>
      </c>
      <c r="G2029" s="13"/>
      <c r="H2029" s="45" t="s">
        <v>16</v>
      </c>
      <c r="I2029" s="47"/>
      <c r="J2029" s="12" t="s">
        <v>3441</v>
      </c>
      <c r="K2029" s="13" t="s">
        <v>8800</v>
      </c>
      <c r="L2029" s="99" t="str">
        <f t="shared" si="103"/>
        <v>W3279.D</v>
      </c>
      <c r="M2029" s="45"/>
      <c r="N2029" s="47"/>
      <c r="O2029" s="47"/>
      <c r="P2029" s="47"/>
      <c r="Q2029" s="45"/>
      <c r="R2029" s="45"/>
      <c r="S2029" s="48"/>
    </row>
    <row r="2030" spans="1:19" s="49" customFormat="1" ht="14.15" customHeight="1">
      <c r="A2030" s="45"/>
      <c r="B2030" s="44" t="s">
        <v>6635</v>
      </c>
      <c r="C2030" s="50"/>
      <c r="D2030" s="10" t="s">
        <v>29</v>
      </c>
      <c r="E2030" s="11"/>
      <c r="F2030" s="11" t="s">
        <v>18</v>
      </c>
      <c r="G2030" s="13"/>
      <c r="H2030" s="45" t="s">
        <v>16</v>
      </c>
      <c r="I2030" s="47"/>
      <c r="J2030" s="12" t="s">
        <v>3442</v>
      </c>
      <c r="K2030" s="13" t="s">
        <v>8801</v>
      </c>
      <c r="L2030" s="99" t="str">
        <f t="shared" si="103"/>
        <v>W3279.E</v>
      </c>
      <c r="M2030" s="45"/>
      <c r="N2030" s="47"/>
      <c r="O2030" s="47"/>
      <c r="P2030" s="47"/>
      <c r="Q2030" s="45"/>
      <c r="R2030" s="45"/>
      <c r="S2030" s="48"/>
    </row>
    <row r="2031" spans="1:19" s="49" customFormat="1" ht="14.15" customHeight="1">
      <c r="A2031" s="45"/>
      <c r="B2031" s="44" t="s">
        <v>6635</v>
      </c>
      <c r="C2031" s="50"/>
      <c r="D2031" s="10" t="s">
        <v>29</v>
      </c>
      <c r="E2031" s="11"/>
      <c r="F2031" s="11" t="s">
        <v>18</v>
      </c>
      <c r="G2031" s="13"/>
      <c r="H2031" s="45" t="s">
        <v>16</v>
      </c>
      <c r="I2031" s="47"/>
      <c r="J2031" s="12" t="s">
        <v>3443</v>
      </c>
      <c r="K2031" s="13" t="s">
        <v>8802</v>
      </c>
      <c r="L2031" s="99" t="str">
        <f t="shared" si="103"/>
        <v>W3279.F</v>
      </c>
      <c r="M2031" s="45"/>
      <c r="N2031" s="47"/>
      <c r="O2031" s="47"/>
      <c r="P2031" s="47"/>
      <c r="Q2031" s="45"/>
      <c r="R2031" s="45"/>
      <c r="S2031" s="48"/>
    </row>
    <row r="2032" spans="1:19" s="49" customFormat="1" ht="14.15" customHeight="1">
      <c r="A2032" s="45"/>
      <c r="B2032" s="44" t="s">
        <v>6635</v>
      </c>
      <c r="C2032" s="50"/>
      <c r="D2032" s="10" t="s">
        <v>29</v>
      </c>
      <c r="E2032" s="11"/>
      <c r="F2032" s="11" t="s">
        <v>18</v>
      </c>
      <c r="G2032" s="13"/>
      <c r="H2032" s="45" t="s">
        <v>16</v>
      </c>
      <c r="I2032" s="47"/>
      <c r="J2032" s="12" t="s">
        <v>3444</v>
      </c>
      <c r="K2032" s="13" t="s">
        <v>8803</v>
      </c>
      <c r="L2032" s="99" t="str">
        <f t="shared" si="103"/>
        <v>W327A.0</v>
      </c>
      <c r="M2032" s="45"/>
      <c r="N2032" s="47"/>
      <c r="O2032" s="47"/>
      <c r="P2032" s="47"/>
      <c r="Q2032" s="45"/>
      <c r="R2032" s="45"/>
      <c r="S2032" s="48"/>
    </row>
    <row r="2033" spans="1:19" s="49" customFormat="1" ht="14.15" customHeight="1">
      <c r="A2033" s="45"/>
      <c r="B2033" s="44" t="s">
        <v>6635</v>
      </c>
      <c r="C2033" s="50"/>
      <c r="D2033" s="10" t="s">
        <v>29</v>
      </c>
      <c r="E2033" s="11"/>
      <c r="F2033" s="11" t="s">
        <v>18</v>
      </c>
      <c r="G2033" s="13"/>
      <c r="H2033" s="45" t="s">
        <v>16</v>
      </c>
      <c r="I2033" s="47"/>
      <c r="J2033" s="12" t="s">
        <v>3445</v>
      </c>
      <c r="K2033" s="13" t="s">
        <v>8804</v>
      </c>
      <c r="L2033" s="99" t="str">
        <f t="shared" si="103"/>
        <v>W327A.1</v>
      </c>
      <c r="M2033" s="45"/>
      <c r="N2033" s="47"/>
      <c r="O2033" s="47"/>
      <c r="P2033" s="47"/>
      <c r="Q2033" s="45"/>
      <c r="R2033" s="45"/>
      <c r="S2033" s="48"/>
    </row>
    <row r="2034" spans="1:19" s="49" customFormat="1" ht="14.15" customHeight="1">
      <c r="A2034" s="45"/>
      <c r="B2034" s="44" t="s">
        <v>6635</v>
      </c>
      <c r="C2034" s="50"/>
      <c r="D2034" s="10" t="s">
        <v>29</v>
      </c>
      <c r="E2034" s="11"/>
      <c r="F2034" s="11" t="s">
        <v>18</v>
      </c>
      <c r="G2034" s="13"/>
      <c r="H2034" s="45" t="s">
        <v>16</v>
      </c>
      <c r="I2034" s="47"/>
      <c r="J2034" s="12" t="s">
        <v>3446</v>
      </c>
      <c r="K2034" s="13" t="s">
        <v>8805</v>
      </c>
      <c r="L2034" s="99" t="str">
        <f t="shared" si="103"/>
        <v>W327A.2</v>
      </c>
      <c r="M2034" s="45"/>
      <c r="N2034" s="47"/>
      <c r="O2034" s="47"/>
      <c r="P2034" s="47"/>
      <c r="Q2034" s="45"/>
      <c r="R2034" s="45"/>
      <c r="S2034" s="48"/>
    </row>
    <row r="2035" spans="1:19" s="49" customFormat="1" ht="14.15" customHeight="1">
      <c r="A2035" s="45"/>
      <c r="B2035" s="44" t="s">
        <v>6635</v>
      </c>
      <c r="C2035" s="50"/>
      <c r="D2035" s="10" t="s">
        <v>29</v>
      </c>
      <c r="E2035" s="11"/>
      <c r="F2035" s="11" t="s">
        <v>18</v>
      </c>
      <c r="G2035" s="13"/>
      <c r="H2035" s="45" t="s">
        <v>16</v>
      </c>
      <c r="I2035" s="47"/>
      <c r="J2035" s="12" t="s">
        <v>3447</v>
      </c>
      <c r="K2035" s="13" t="s">
        <v>8806</v>
      </c>
      <c r="L2035" s="99" t="str">
        <f t="shared" si="103"/>
        <v>W327A.3</v>
      </c>
      <c r="M2035" s="45"/>
      <c r="N2035" s="47"/>
      <c r="O2035" s="47"/>
      <c r="P2035" s="47"/>
      <c r="Q2035" s="45"/>
      <c r="R2035" s="45"/>
      <c r="S2035" s="48"/>
    </row>
    <row r="2036" spans="1:19" s="49" customFormat="1" ht="14.15" customHeight="1">
      <c r="A2036" s="45"/>
      <c r="B2036" s="44" t="s">
        <v>6635</v>
      </c>
      <c r="C2036" s="50"/>
      <c r="D2036" s="10" t="s">
        <v>29</v>
      </c>
      <c r="E2036" s="11"/>
      <c r="F2036" s="11" t="s">
        <v>18</v>
      </c>
      <c r="G2036" s="13"/>
      <c r="H2036" s="45" t="s">
        <v>16</v>
      </c>
      <c r="I2036" s="47"/>
      <c r="J2036" s="12" t="s">
        <v>3448</v>
      </c>
      <c r="K2036" s="13" t="s">
        <v>8807</v>
      </c>
      <c r="L2036" s="99" t="str">
        <f t="shared" si="103"/>
        <v>W327A.4</v>
      </c>
      <c r="M2036" s="45"/>
      <c r="N2036" s="47"/>
      <c r="O2036" s="47"/>
      <c r="P2036" s="47"/>
      <c r="Q2036" s="45"/>
      <c r="R2036" s="45"/>
      <c r="S2036" s="48"/>
    </row>
    <row r="2037" spans="1:19" s="49" customFormat="1" ht="14.15" customHeight="1">
      <c r="A2037" s="45"/>
      <c r="B2037" s="44" t="s">
        <v>6635</v>
      </c>
      <c r="C2037" s="50"/>
      <c r="D2037" s="10" t="s">
        <v>29</v>
      </c>
      <c r="E2037" s="11"/>
      <c r="F2037" s="11" t="s">
        <v>18</v>
      </c>
      <c r="G2037" s="13"/>
      <c r="H2037" s="45" t="s">
        <v>16</v>
      </c>
      <c r="I2037" s="47"/>
      <c r="J2037" s="12" t="s">
        <v>3449</v>
      </c>
      <c r="K2037" s="13" t="s">
        <v>8808</v>
      </c>
      <c r="L2037" s="99" t="str">
        <f t="shared" si="103"/>
        <v>W327A.5</v>
      </c>
      <c r="M2037" s="45"/>
      <c r="N2037" s="47"/>
      <c r="O2037" s="47"/>
      <c r="P2037" s="47"/>
      <c r="Q2037" s="45"/>
      <c r="R2037" s="45"/>
      <c r="S2037" s="48"/>
    </row>
    <row r="2038" spans="1:19" s="49" customFormat="1" ht="14.15" customHeight="1">
      <c r="A2038" s="45"/>
      <c r="B2038" s="44" t="s">
        <v>6635</v>
      </c>
      <c r="C2038" s="50"/>
      <c r="D2038" s="10" t="s">
        <v>29</v>
      </c>
      <c r="E2038" s="11"/>
      <c r="F2038" s="11" t="s">
        <v>18</v>
      </c>
      <c r="G2038" s="13"/>
      <c r="H2038" s="45" t="s">
        <v>16</v>
      </c>
      <c r="I2038" s="47"/>
      <c r="J2038" s="12" t="s">
        <v>3450</v>
      </c>
      <c r="K2038" s="13" t="s">
        <v>8809</v>
      </c>
      <c r="L2038" s="99" t="str">
        <f t="shared" si="103"/>
        <v>W327A.6</v>
      </c>
      <c r="M2038" s="45"/>
      <c r="N2038" s="47"/>
      <c r="O2038" s="47"/>
      <c r="P2038" s="47"/>
      <c r="Q2038" s="45"/>
      <c r="R2038" s="45"/>
      <c r="S2038" s="48"/>
    </row>
    <row r="2039" spans="1:19" s="49" customFormat="1" ht="14.15" customHeight="1">
      <c r="A2039" s="45"/>
      <c r="B2039" s="44" t="s">
        <v>6635</v>
      </c>
      <c r="C2039" s="50"/>
      <c r="D2039" s="10" t="s">
        <v>29</v>
      </c>
      <c r="E2039" s="11"/>
      <c r="F2039" s="11" t="s">
        <v>18</v>
      </c>
      <c r="G2039" s="13"/>
      <c r="H2039" s="45" t="s">
        <v>16</v>
      </c>
      <c r="I2039" s="47"/>
      <c r="J2039" s="12" t="s">
        <v>3451</v>
      </c>
      <c r="K2039" s="13" t="s">
        <v>8810</v>
      </c>
      <c r="L2039" s="99" t="str">
        <f t="shared" si="103"/>
        <v>W327A.7</v>
      </c>
      <c r="M2039" s="45"/>
      <c r="N2039" s="47"/>
      <c r="O2039" s="47"/>
      <c r="P2039" s="47"/>
      <c r="Q2039" s="45"/>
      <c r="R2039" s="45"/>
      <c r="S2039" s="48"/>
    </row>
    <row r="2040" spans="1:19" s="49" customFormat="1" ht="14.15" customHeight="1">
      <c r="A2040" s="45"/>
      <c r="B2040" s="44" t="s">
        <v>6635</v>
      </c>
      <c r="C2040" s="50"/>
      <c r="D2040" s="10" t="s">
        <v>29</v>
      </c>
      <c r="E2040" s="11"/>
      <c r="F2040" s="11" t="s">
        <v>18</v>
      </c>
      <c r="G2040" s="13"/>
      <c r="H2040" s="45" t="s">
        <v>16</v>
      </c>
      <c r="I2040" s="47"/>
      <c r="J2040" s="12" t="s">
        <v>3452</v>
      </c>
      <c r="K2040" s="13" t="s">
        <v>8811</v>
      </c>
      <c r="L2040" s="99" t="str">
        <f t="shared" si="103"/>
        <v>W327A.8</v>
      </c>
      <c r="M2040" s="45"/>
      <c r="N2040" s="47"/>
      <c r="O2040" s="47"/>
      <c r="P2040" s="47"/>
      <c r="Q2040" s="45"/>
      <c r="R2040" s="45"/>
      <c r="S2040" s="48"/>
    </row>
    <row r="2041" spans="1:19" s="49" customFormat="1" ht="14.15" customHeight="1">
      <c r="A2041" s="45"/>
      <c r="B2041" s="44" t="s">
        <v>6635</v>
      </c>
      <c r="C2041" s="50"/>
      <c r="D2041" s="10" t="s">
        <v>29</v>
      </c>
      <c r="E2041" s="11"/>
      <c r="F2041" s="11" t="s">
        <v>18</v>
      </c>
      <c r="G2041" s="13"/>
      <c r="H2041" s="45" t="s">
        <v>16</v>
      </c>
      <c r="I2041" s="47"/>
      <c r="J2041" s="12" t="s">
        <v>3453</v>
      </c>
      <c r="K2041" s="13" t="s">
        <v>8812</v>
      </c>
      <c r="L2041" s="99" t="str">
        <f t="shared" si="103"/>
        <v>W327A.9</v>
      </c>
      <c r="M2041" s="45"/>
      <c r="N2041" s="47"/>
      <c r="O2041" s="47"/>
      <c r="P2041" s="47"/>
      <c r="Q2041" s="45"/>
      <c r="R2041" s="45"/>
      <c r="S2041" s="48"/>
    </row>
    <row r="2042" spans="1:19" s="49" customFormat="1" ht="14.15" customHeight="1">
      <c r="A2042" s="45"/>
      <c r="B2042" s="44" t="s">
        <v>6635</v>
      </c>
      <c r="C2042" s="50"/>
      <c r="D2042" s="10" t="s">
        <v>29</v>
      </c>
      <c r="E2042" s="11"/>
      <c r="F2042" s="11" t="s">
        <v>18</v>
      </c>
      <c r="G2042" s="13"/>
      <c r="H2042" s="45" t="s">
        <v>16</v>
      </c>
      <c r="I2042" s="47"/>
      <c r="J2042" s="12" t="s">
        <v>3454</v>
      </c>
      <c r="K2042" s="13" t="s">
        <v>8813</v>
      </c>
      <c r="L2042" s="99" t="str">
        <f t="shared" si="103"/>
        <v>W327A.A</v>
      </c>
      <c r="M2042" s="45"/>
      <c r="N2042" s="47"/>
      <c r="O2042" s="47"/>
      <c r="P2042" s="47"/>
      <c r="Q2042" s="45"/>
      <c r="R2042" s="45"/>
      <c r="S2042" s="48"/>
    </row>
    <row r="2043" spans="1:19" s="49" customFormat="1" ht="14.15" customHeight="1">
      <c r="A2043" s="45"/>
      <c r="B2043" s="44" t="s">
        <v>6635</v>
      </c>
      <c r="C2043" s="50"/>
      <c r="D2043" s="10" t="s">
        <v>29</v>
      </c>
      <c r="E2043" s="11"/>
      <c r="F2043" s="11" t="s">
        <v>18</v>
      </c>
      <c r="G2043" s="13"/>
      <c r="H2043" s="45" t="s">
        <v>16</v>
      </c>
      <c r="I2043" s="47"/>
      <c r="J2043" s="12" t="s">
        <v>3455</v>
      </c>
      <c r="K2043" s="13" t="s">
        <v>8814</v>
      </c>
      <c r="L2043" s="99" t="str">
        <f t="shared" si="103"/>
        <v>W327A.B</v>
      </c>
      <c r="M2043" s="45"/>
      <c r="N2043" s="47"/>
      <c r="O2043" s="47"/>
      <c r="P2043" s="47"/>
      <c r="Q2043" s="45"/>
      <c r="R2043" s="45"/>
      <c r="S2043" s="48"/>
    </row>
    <row r="2044" spans="1:19" s="49" customFormat="1" ht="14.15" customHeight="1">
      <c r="A2044" s="45"/>
      <c r="B2044" s="44" t="s">
        <v>6635</v>
      </c>
      <c r="C2044" s="50"/>
      <c r="D2044" s="10" t="s">
        <v>29</v>
      </c>
      <c r="E2044" s="11"/>
      <c r="F2044" s="11" t="s">
        <v>18</v>
      </c>
      <c r="G2044" s="13"/>
      <c r="H2044" s="45" t="s">
        <v>16</v>
      </c>
      <c r="I2044" s="47"/>
      <c r="J2044" s="12" t="s">
        <v>3456</v>
      </c>
      <c r="K2044" s="13" t="s">
        <v>8815</v>
      </c>
      <c r="L2044" s="99" t="str">
        <f t="shared" si="103"/>
        <v>W327A.C</v>
      </c>
      <c r="M2044" s="45"/>
      <c r="N2044" s="47"/>
      <c r="O2044" s="47"/>
      <c r="P2044" s="47"/>
      <c r="Q2044" s="45"/>
      <c r="R2044" s="45"/>
      <c r="S2044" s="48"/>
    </row>
    <row r="2045" spans="1:19" s="49" customFormat="1" ht="14.15" customHeight="1">
      <c r="A2045" s="45"/>
      <c r="B2045" s="44" t="s">
        <v>6635</v>
      </c>
      <c r="C2045" s="50"/>
      <c r="D2045" s="10" t="s">
        <v>29</v>
      </c>
      <c r="E2045" s="11"/>
      <c r="F2045" s="11" t="s">
        <v>18</v>
      </c>
      <c r="G2045" s="13"/>
      <c r="H2045" s="45" t="s">
        <v>16</v>
      </c>
      <c r="I2045" s="47"/>
      <c r="J2045" s="12" t="s">
        <v>3457</v>
      </c>
      <c r="K2045" s="13" t="s">
        <v>8816</v>
      </c>
      <c r="L2045" s="99" t="str">
        <f t="shared" si="103"/>
        <v>W327A.D</v>
      </c>
      <c r="M2045" s="45"/>
      <c r="N2045" s="47"/>
      <c r="O2045" s="47"/>
      <c r="P2045" s="47"/>
      <c r="Q2045" s="45"/>
      <c r="R2045" s="45"/>
      <c r="S2045" s="48"/>
    </row>
    <row r="2046" spans="1:19" s="49" customFormat="1" ht="14.15" customHeight="1">
      <c r="A2046" s="45"/>
      <c r="B2046" s="44" t="s">
        <v>6635</v>
      </c>
      <c r="C2046" s="50"/>
      <c r="D2046" s="10" t="s">
        <v>29</v>
      </c>
      <c r="E2046" s="11"/>
      <c r="F2046" s="11" t="s">
        <v>18</v>
      </c>
      <c r="G2046" s="13"/>
      <c r="H2046" s="45" t="s">
        <v>16</v>
      </c>
      <c r="I2046" s="47"/>
      <c r="J2046" s="12" t="s">
        <v>3458</v>
      </c>
      <c r="K2046" s="13" t="s">
        <v>8817</v>
      </c>
      <c r="L2046" s="99" t="str">
        <f t="shared" si="103"/>
        <v>W327A.E</v>
      </c>
      <c r="M2046" s="45"/>
      <c r="N2046" s="47"/>
      <c r="O2046" s="47"/>
      <c r="P2046" s="47"/>
      <c r="Q2046" s="45"/>
      <c r="R2046" s="45"/>
      <c r="S2046" s="48"/>
    </row>
    <row r="2047" spans="1:19" s="49" customFormat="1" ht="14.15" customHeight="1">
      <c r="A2047" s="45"/>
      <c r="B2047" s="44" t="s">
        <v>6635</v>
      </c>
      <c r="C2047" s="50"/>
      <c r="D2047" s="10" t="s">
        <v>29</v>
      </c>
      <c r="E2047" s="11"/>
      <c r="F2047" s="11" t="s">
        <v>18</v>
      </c>
      <c r="G2047" s="13"/>
      <c r="H2047" s="45" t="s">
        <v>16</v>
      </c>
      <c r="I2047" s="47"/>
      <c r="J2047" s="12" t="s">
        <v>3459</v>
      </c>
      <c r="K2047" s="13" t="s">
        <v>8818</v>
      </c>
      <c r="L2047" s="99" t="str">
        <f t="shared" si="103"/>
        <v>W327A.F</v>
      </c>
      <c r="M2047" s="45"/>
      <c r="N2047" s="47"/>
      <c r="O2047" s="47"/>
      <c r="P2047" s="47"/>
      <c r="Q2047" s="45"/>
      <c r="R2047" s="45"/>
      <c r="S2047" s="48"/>
    </row>
    <row r="2048" spans="1:19" s="49" customFormat="1" ht="14.15" customHeight="1">
      <c r="A2048" s="45"/>
      <c r="B2048" s="44" t="s">
        <v>6635</v>
      </c>
      <c r="C2048" s="50"/>
      <c r="D2048" s="10" t="s">
        <v>29</v>
      </c>
      <c r="E2048" s="11"/>
      <c r="F2048" s="11" t="s">
        <v>18</v>
      </c>
      <c r="G2048" s="13"/>
      <c r="H2048" s="45" t="s">
        <v>16</v>
      </c>
      <c r="I2048" s="47"/>
      <c r="J2048" s="12" t="s">
        <v>3460</v>
      </c>
      <c r="K2048" s="13" t="s">
        <v>8819</v>
      </c>
      <c r="L2048" s="99" t="str">
        <f t="shared" si="103"/>
        <v>W327B.0</v>
      </c>
      <c r="M2048" s="45"/>
      <c r="N2048" s="47"/>
      <c r="O2048" s="47"/>
      <c r="P2048" s="47"/>
      <c r="Q2048" s="45"/>
      <c r="R2048" s="45"/>
      <c r="S2048" s="48"/>
    </row>
    <row r="2049" spans="1:19" s="49" customFormat="1" ht="14.15" customHeight="1">
      <c r="A2049" s="45"/>
      <c r="B2049" s="44" t="s">
        <v>6635</v>
      </c>
      <c r="C2049" s="50"/>
      <c r="D2049" s="10" t="s">
        <v>29</v>
      </c>
      <c r="E2049" s="11"/>
      <c r="F2049" s="11" t="s">
        <v>18</v>
      </c>
      <c r="G2049" s="13"/>
      <c r="H2049" s="45" t="s">
        <v>16</v>
      </c>
      <c r="I2049" s="47"/>
      <c r="J2049" s="12" t="s">
        <v>3461</v>
      </c>
      <c r="K2049" s="13" t="s">
        <v>8820</v>
      </c>
      <c r="L2049" s="99" t="str">
        <f t="shared" si="103"/>
        <v>W327B.1</v>
      </c>
      <c r="M2049" s="45"/>
      <c r="N2049" s="47"/>
      <c r="O2049" s="47"/>
      <c r="P2049" s="47"/>
      <c r="Q2049" s="45"/>
      <c r="R2049" s="45"/>
      <c r="S2049" s="48"/>
    </row>
    <row r="2050" spans="1:19" s="49" customFormat="1" ht="14.15" customHeight="1">
      <c r="A2050" s="45"/>
      <c r="B2050" s="44" t="s">
        <v>6635</v>
      </c>
      <c r="C2050" s="50"/>
      <c r="D2050" s="10" t="s">
        <v>29</v>
      </c>
      <c r="E2050" s="11"/>
      <c r="F2050" s="11" t="s">
        <v>18</v>
      </c>
      <c r="G2050" s="13"/>
      <c r="H2050" s="45" t="s">
        <v>16</v>
      </c>
      <c r="I2050" s="47"/>
      <c r="J2050" s="12" t="s">
        <v>3462</v>
      </c>
      <c r="K2050" s="13" t="s">
        <v>8821</v>
      </c>
      <c r="L2050" s="99" t="str">
        <f t="shared" si="103"/>
        <v>W327B.2</v>
      </c>
      <c r="M2050" s="45"/>
      <c r="N2050" s="47"/>
      <c r="O2050" s="47"/>
      <c r="P2050" s="47"/>
      <c r="Q2050" s="45"/>
      <c r="R2050" s="45"/>
      <c r="S2050" s="48"/>
    </row>
    <row r="2051" spans="1:19" s="49" customFormat="1" ht="14.15" customHeight="1">
      <c r="A2051" s="45"/>
      <c r="B2051" s="44" t="s">
        <v>6635</v>
      </c>
      <c r="C2051" s="50"/>
      <c r="D2051" s="10" t="s">
        <v>29</v>
      </c>
      <c r="E2051" s="11"/>
      <c r="F2051" s="11" t="s">
        <v>18</v>
      </c>
      <c r="G2051" s="13"/>
      <c r="H2051" s="45" t="s">
        <v>16</v>
      </c>
      <c r="I2051" s="47"/>
      <c r="J2051" s="12" t="s">
        <v>3463</v>
      </c>
      <c r="K2051" s="13" t="s">
        <v>8822</v>
      </c>
      <c r="L2051" s="99" t="str">
        <f t="shared" si="103"/>
        <v>W327B.3</v>
      </c>
      <c r="M2051" s="45"/>
      <c r="N2051" s="47"/>
      <c r="O2051" s="47"/>
      <c r="P2051" s="47"/>
      <c r="Q2051" s="45"/>
      <c r="R2051" s="45"/>
      <c r="S2051" s="48"/>
    </row>
    <row r="2052" spans="1:19" s="49" customFormat="1" ht="14.15" customHeight="1">
      <c r="A2052" s="45"/>
      <c r="B2052" s="44" t="s">
        <v>6635</v>
      </c>
      <c r="C2052" s="50"/>
      <c r="D2052" s="10" t="s">
        <v>29</v>
      </c>
      <c r="E2052" s="11"/>
      <c r="F2052" s="11" t="s">
        <v>18</v>
      </c>
      <c r="G2052" s="13"/>
      <c r="H2052" s="45" t="s">
        <v>16</v>
      </c>
      <c r="I2052" s="47"/>
      <c r="J2052" s="12" t="s">
        <v>3464</v>
      </c>
      <c r="K2052" s="13" t="s">
        <v>8823</v>
      </c>
      <c r="L2052" s="99" t="str">
        <f t="shared" si="103"/>
        <v>W327B.4</v>
      </c>
      <c r="M2052" s="45"/>
      <c r="N2052" s="47"/>
      <c r="O2052" s="47"/>
      <c r="P2052" s="47"/>
      <c r="Q2052" s="45"/>
      <c r="R2052" s="45"/>
      <c r="S2052" s="48"/>
    </row>
    <row r="2053" spans="1:19" s="49" customFormat="1" ht="14.15" customHeight="1">
      <c r="A2053" s="45"/>
      <c r="B2053" s="44" t="s">
        <v>6635</v>
      </c>
      <c r="C2053" s="50"/>
      <c r="D2053" s="10" t="s">
        <v>29</v>
      </c>
      <c r="E2053" s="11"/>
      <c r="F2053" s="11" t="s">
        <v>18</v>
      </c>
      <c r="G2053" s="13"/>
      <c r="H2053" s="45" t="s">
        <v>16</v>
      </c>
      <c r="I2053" s="47"/>
      <c r="J2053" s="12" t="s">
        <v>3465</v>
      </c>
      <c r="K2053" s="13" t="s">
        <v>8824</v>
      </c>
      <c r="L2053" s="99" t="str">
        <f t="shared" si="103"/>
        <v>W327B.5</v>
      </c>
      <c r="M2053" s="45"/>
      <c r="N2053" s="47"/>
      <c r="O2053" s="47"/>
      <c r="P2053" s="47"/>
      <c r="Q2053" s="45"/>
      <c r="R2053" s="45"/>
      <c r="S2053" s="48"/>
    </row>
    <row r="2054" spans="1:19" s="49" customFormat="1" ht="14.15" customHeight="1">
      <c r="A2054" s="45"/>
      <c r="B2054" s="44" t="s">
        <v>6635</v>
      </c>
      <c r="C2054" s="50"/>
      <c r="D2054" s="10" t="s">
        <v>29</v>
      </c>
      <c r="E2054" s="11"/>
      <c r="F2054" s="11" t="s">
        <v>18</v>
      </c>
      <c r="G2054" s="13"/>
      <c r="H2054" s="45" t="s">
        <v>16</v>
      </c>
      <c r="I2054" s="47"/>
      <c r="J2054" s="12" t="s">
        <v>3466</v>
      </c>
      <c r="K2054" s="13" t="s">
        <v>8825</v>
      </c>
      <c r="L2054" s="99" t="str">
        <f t="shared" si="103"/>
        <v>W327B.6</v>
      </c>
      <c r="M2054" s="45"/>
      <c r="N2054" s="47"/>
      <c r="O2054" s="47"/>
      <c r="P2054" s="47"/>
      <c r="Q2054" s="45"/>
      <c r="R2054" s="45"/>
      <c r="S2054" s="48"/>
    </row>
    <row r="2055" spans="1:19" s="49" customFormat="1" ht="14.15" customHeight="1">
      <c r="A2055" s="45"/>
      <c r="B2055" s="44" t="s">
        <v>6635</v>
      </c>
      <c r="C2055" s="50"/>
      <c r="D2055" s="10" t="s">
        <v>29</v>
      </c>
      <c r="E2055" s="11"/>
      <c r="F2055" s="11" t="s">
        <v>18</v>
      </c>
      <c r="G2055" s="13"/>
      <c r="H2055" s="45" t="s">
        <v>16</v>
      </c>
      <c r="I2055" s="47"/>
      <c r="J2055" s="12" t="s">
        <v>3467</v>
      </c>
      <c r="K2055" s="13" t="s">
        <v>8826</v>
      </c>
      <c r="L2055" s="99" t="str">
        <f t="shared" si="103"/>
        <v>W327B.7</v>
      </c>
      <c r="M2055" s="45"/>
      <c r="N2055" s="47"/>
      <c r="O2055" s="47"/>
      <c r="P2055" s="47"/>
      <c r="Q2055" s="45"/>
      <c r="R2055" s="45"/>
      <c r="S2055" s="48"/>
    </row>
    <row r="2056" spans="1:19" s="49" customFormat="1" ht="14.15" customHeight="1">
      <c r="A2056" s="45"/>
      <c r="B2056" s="44" t="s">
        <v>6635</v>
      </c>
      <c r="C2056" s="50"/>
      <c r="D2056" s="10" t="s">
        <v>29</v>
      </c>
      <c r="E2056" s="11"/>
      <c r="F2056" s="11" t="s">
        <v>18</v>
      </c>
      <c r="G2056" s="13"/>
      <c r="H2056" s="45" t="s">
        <v>16</v>
      </c>
      <c r="I2056" s="47"/>
      <c r="J2056" s="12" t="s">
        <v>3468</v>
      </c>
      <c r="K2056" s="13" t="s">
        <v>8827</v>
      </c>
      <c r="L2056" s="99" t="str">
        <f t="shared" si="103"/>
        <v>W327B.8</v>
      </c>
      <c r="M2056" s="45"/>
      <c r="N2056" s="47"/>
      <c r="O2056" s="47"/>
      <c r="P2056" s="47"/>
      <c r="Q2056" s="45"/>
      <c r="R2056" s="45"/>
      <c r="S2056" s="48"/>
    </row>
    <row r="2057" spans="1:19" s="49" customFormat="1" ht="14.15" customHeight="1">
      <c r="A2057" s="45"/>
      <c r="B2057" s="44" t="s">
        <v>6635</v>
      </c>
      <c r="C2057" s="50"/>
      <c r="D2057" s="10" t="s">
        <v>29</v>
      </c>
      <c r="E2057" s="11"/>
      <c r="F2057" s="11" t="s">
        <v>18</v>
      </c>
      <c r="G2057" s="13"/>
      <c r="H2057" s="45" t="s">
        <v>16</v>
      </c>
      <c r="I2057" s="47"/>
      <c r="J2057" s="12" t="s">
        <v>3469</v>
      </c>
      <c r="K2057" s="13" t="s">
        <v>8828</v>
      </c>
      <c r="L2057" s="99" t="str">
        <f t="shared" si="103"/>
        <v>W327B.9</v>
      </c>
      <c r="M2057" s="45"/>
      <c r="N2057" s="47"/>
      <c r="O2057" s="47"/>
      <c r="P2057" s="47"/>
      <c r="Q2057" s="45"/>
      <c r="R2057" s="45"/>
      <c r="S2057" s="48"/>
    </row>
    <row r="2058" spans="1:19" s="49" customFormat="1" ht="14.15" customHeight="1">
      <c r="A2058" s="45"/>
      <c r="B2058" s="44" t="s">
        <v>6635</v>
      </c>
      <c r="C2058" s="50"/>
      <c r="D2058" s="10" t="s">
        <v>29</v>
      </c>
      <c r="E2058" s="11"/>
      <c r="F2058" s="11" t="s">
        <v>18</v>
      </c>
      <c r="G2058" s="13"/>
      <c r="H2058" s="45" t="s">
        <v>16</v>
      </c>
      <c r="I2058" s="47"/>
      <c r="J2058" s="12" t="s">
        <v>3470</v>
      </c>
      <c r="K2058" s="13" t="s">
        <v>8829</v>
      </c>
      <c r="L2058" s="99" t="str">
        <f t="shared" si="103"/>
        <v>W327B.A</v>
      </c>
      <c r="M2058" s="45"/>
      <c r="N2058" s="47"/>
      <c r="O2058" s="47"/>
      <c r="P2058" s="47"/>
      <c r="Q2058" s="45"/>
      <c r="R2058" s="45"/>
      <c r="S2058" s="48"/>
    </row>
    <row r="2059" spans="1:19" s="49" customFormat="1" ht="14.15" customHeight="1">
      <c r="A2059" s="45"/>
      <c r="B2059" s="44" t="s">
        <v>6635</v>
      </c>
      <c r="C2059" s="50"/>
      <c r="D2059" s="10" t="s">
        <v>29</v>
      </c>
      <c r="E2059" s="11"/>
      <c r="F2059" s="11" t="s">
        <v>18</v>
      </c>
      <c r="G2059" s="13"/>
      <c r="H2059" s="45" t="s">
        <v>16</v>
      </c>
      <c r="I2059" s="47"/>
      <c r="J2059" s="12" t="s">
        <v>3471</v>
      </c>
      <c r="K2059" s="13" t="s">
        <v>8830</v>
      </c>
      <c r="L2059" s="99" t="str">
        <f t="shared" si="103"/>
        <v>W327B.B</v>
      </c>
      <c r="M2059" s="45"/>
      <c r="N2059" s="47"/>
      <c r="O2059" s="47"/>
      <c r="P2059" s="47"/>
      <c r="Q2059" s="45"/>
      <c r="R2059" s="45"/>
      <c r="S2059" s="48"/>
    </row>
    <row r="2060" spans="1:19" s="49" customFormat="1" ht="14.15" customHeight="1">
      <c r="A2060" s="45"/>
      <c r="B2060" s="44" t="s">
        <v>6635</v>
      </c>
      <c r="C2060" s="50"/>
      <c r="D2060" s="10" t="s">
        <v>29</v>
      </c>
      <c r="E2060" s="11"/>
      <c r="F2060" s="11" t="s">
        <v>18</v>
      </c>
      <c r="G2060" s="13"/>
      <c r="H2060" s="45" t="s">
        <v>16</v>
      </c>
      <c r="I2060" s="47"/>
      <c r="J2060" s="12" t="s">
        <v>4724</v>
      </c>
      <c r="K2060" s="13" t="s">
        <v>8831</v>
      </c>
      <c r="L2060" s="99" t="str">
        <f t="shared" si="103"/>
        <v>W327B.C</v>
      </c>
      <c r="M2060" s="45"/>
      <c r="N2060" s="47"/>
      <c r="O2060" s="47"/>
      <c r="P2060" s="47"/>
      <c r="Q2060" s="45"/>
      <c r="R2060" s="45"/>
      <c r="S2060" s="48"/>
    </row>
    <row r="2061" spans="1:19" s="49" customFormat="1" ht="14.15" customHeight="1">
      <c r="A2061" s="45"/>
      <c r="B2061" s="44" t="s">
        <v>6635</v>
      </c>
      <c r="C2061" s="50"/>
      <c r="D2061" s="10" t="s">
        <v>29</v>
      </c>
      <c r="E2061" s="11"/>
      <c r="F2061" s="11" t="s">
        <v>18</v>
      </c>
      <c r="G2061" s="13"/>
      <c r="H2061" s="45" t="s">
        <v>16</v>
      </c>
      <c r="I2061" s="47"/>
      <c r="J2061" s="12" t="s">
        <v>3472</v>
      </c>
      <c r="K2061" s="13" t="s">
        <v>8832</v>
      </c>
      <c r="L2061" s="99" t="str">
        <f t="shared" si="103"/>
        <v>W327B.D</v>
      </c>
      <c r="M2061" s="45"/>
      <c r="N2061" s="47"/>
      <c r="O2061" s="47"/>
      <c r="P2061" s="47"/>
      <c r="Q2061" s="45"/>
      <c r="R2061" s="45"/>
      <c r="S2061" s="48"/>
    </row>
    <row r="2062" spans="1:19" s="49" customFormat="1" ht="14.15" customHeight="1">
      <c r="A2062" s="45"/>
      <c r="B2062" s="44" t="s">
        <v>6635</v>
      </c>
      <c r="C2062" s="50"/>
      <c r="D2062" s="10" t="s">
        <v>29</v>
      </c>
      <c r="E2062" s="11"/>
      <c r="F2062" s="11" t="s">
        <v>18</v>
      </c>
      <c r="G2062" s="13"/>
      <c r="H2062" s="45" t="s">
        <v>16</v>
      </c>
      <c r="I2062" s="47"/>
      <c r="J2062" s="12" t="s">
        <v>3473</v>
      </c>
      <c r="K2062" s="13" t="s">
        <v>8833</v>
      </c>
      <c r="L2062" s="99" t="str">
        <f t="shared" si="103"/>
        <v>W327B.E</v>
      </c>
      <c r="M2062" s="45"/>
      <c r="N2062" s="47"/>
      <c r="O2062" s="47"/>
      <c r="P2062" s="47"/>
      <c r="Q2062" s="45"/>
      <c r="R2062" s="45"/>
      <c r="S2062" s="48"/>
    </row>
    <row r="2063" spans="1:19" s="49" customFormat="1" ht="14.15" customHeight="1">
      <c r="A2063" s="45"/>
      <c r="B2063" s="44" t="s">
        <v>6635</v>
      </c>
      <c r="C2063" s="50"/>
      <c r="D2063" s="10" t="s">
        <v>29</v>
      </c>
      <c r="E2063" s="11"/>
      <c r="F2063" s="11" t="s">
        <v>18</v>
      </c>
      <c r="G2063" s="13"/>
      <c r="H2063" s="45" t="s">
        <v>16</v>
      </c>
      <c r="I2063" s="47"/>
      <c r="J2063" s="12" t="s">
        <v>3474</v>
      </c>
      <c r="K2063" s="13" t="s">
        <v>8834</v>
      </c>
      <c r="L2063" s="99" t="str">
        <f t="shared" si="103"/>
        <v>W327B.F</v>
      </c>
      <c r="M2063" s="45"/>
      <c r="N2063" s="47"/>
      <c r="O2063" s="47"/>
      <c r="P2063" s="47"/>
      <c r="Q2063" s="45"/>
      <c r="R2063" s="45"/>
      <c r="S2063" s="48"/>
    </row>
    <row r="2064" spans="1:19" s="49" customFormat="1" ht="14.15" customHeight="1">
      <c r="A2064" s="45"/>
      <c r="B2064" s="44" t="s">
        <v>6635</v>
      </c>
      <c r="C2064" s="50"/>
      <c r="D2064" s="10" t="s">
        <v>29</v>
      </c>
      <c r="E2064" s="11"/>
      <c r="F2064" s="11" t="s">
        <v>18</v>
      </c>
      <c r="G2064" s="13"/>
      <c r="H2064" s="45" t="s">
        <v>16</v>
      </c>
      <c r="I2064" s="47"/>
      <c r="J2064" s="12" t="s">
        <v>3475</v>
      </c>
      <c r="K2064" s="13" t="s">
        <v>8835</v>
      </c>
      <c r="L2064" s="99" t="str">
        <f t="shared" si="103"/>
        <v>W327C.0</v>
      </c>
      <c r="M2064" s="45"/>
      <c r="N2064" s="47"/>
      <c r="O2064" s="47"/>
      <c r="P2064" s="47"/>
      <c r="Q2064" s="45"/>
      <c r="R2064" s="45"/>
      <c r="S2064" s="48"/>
    </row>
    <row r="2065" spans="1:19" s="49" customFormat="1" ht="14.15" customHeight="1">
      <c r="A2065" s="45"/>
      <c r="B2065" s="44" t="s">
        <v>6635</v>
      </c>
      <c r="C2065" s="50"/>
      <c r="D2065" s="10" t="s">
        <v>29</v>
      </c>
      <c r="E2065" s="11"/>
      <c r="F2065" s="11" t="s">
        <v>18</v>
      </c>
      <c r="G2065" s="13"/>
      <c r="H2065" s="45" t="s">
        <v>16</v>
      </c>
      <c r="I2065" s="47"/>
      <c r="J2065" s="12" t="s">
        <v>3476</v>
      </c>
      <c r="K2065" s="13" t="s">
        <v>8836</v>
      </c>
      <c r="L2065" s="99" t="str">
        <f t="shared" ref="L2065:L2101" si="104">"W"&amp;DEC2HEX(12800 + INT((ROW()-80)/16)) &amp; "." &amp; IF(MOD(ROW()-80,16)&lt;10,MOD(ROW()-80,16),CHAR(MOD(ROW()-80,16)+55))</f>
        <v>W327C.1</v>
      </c>
      <c r="M2065" s="45"/>
      <c r="N2065" s="47"/>
      <c r="O2065" s="47"/>
      <c r="P2065" s="47"/>
      <c r="Q2065" s="45"/>
      <c r="R2065" s="45"/>
      <c r="S2065" s="48"/>
    </row>
    <row r="2066" spans="1:19" s="49" customFormat="1" ht="14.15" customHeight="1">
      <c r="A2066" s="45"/>
      <c r="B2066" s="44" t="s">
        <v>6635</v>
      </c>
      <c r="C2066" s="50"/>
      <c r="D2066" s="10" t="s">
        <v>29</v>
      </c>
      <c r="E2066" s="11"/>
      <c r="F2066" s="11" t="s">
        <v>18</v>
      </c>
      <c r="G2066" s="13"/>
      <c r="H2066" s="45" t="s">
        <v>16</v>
      </c>
      <c r="I2066" s="47"/>
      <c r="J2066" s="12" t="s">
        <v>3477</v>
      </c>
      <c r="K2066" s="13" t="s">
        <v>8837</v>
      </c>
      <c r="L2066" s="99" t="str">
        <f t="shared" si="104"/>
        <v>W327C.2</v>
      </c>
      <c r="M2066" s="45"/>
      <c r="N2066" s="47"/>
      <c r="O2066" s="47"/>
      <c r="P2066" s="47"/>
      <c r="Q2066" s="45"/>
      <c r="R2066" s="45"/>
      <c r="S2066" s="48"/>
    </row>
    <row r="2067" spans="1:19" s="49" customFormat="1" ht="14.15" customHeight="1">
      <c r="A2067" s="45"/>
      <c r="B2067" s="44" t="s">
        <v>6635</v>
      </c>
      <c r="C2067" s="50"/>
      <c r="D2067" s="10" t="s">
        <v>29</v>
      </c>
      <c r="E2067" s="11"/>
      <c r="F2067" s="11" t="s">
        <v>18</v>
      </c>
      <c r="G2067" s="13"/>
      <c r="H2067" s="45" t="s">
        <v>16</v>
      </c>
      <c r="I2067" s="47"/>
      <c r="J2067" s="12" t="s">
        <v>3478</v>
      </c>
      <c r="K2067" s="13" t="s">
        <v>8838</v>
      </c>
      <c r="L2067" s="99" t="str">
        <f t="shared" si="104"/>
        <v>W327C.3</v>
      </c>
      <c r="M2067" s="45"/>
      <c r="N2067" s="47"/>
      <c r="O2067" s="47"/>
      <c r="P2067" s="47"/>
      <c r="Q2067" s="45"/>
      <c r="R2067" s="45"/>
      <c r="S2067" s="48"/>
    </row>
    <row r="2068" spans="1:19" s="49" customFormat="1" ht="14.15" customHeight="1">
      <c r="A2068" s="45"/>
      <c r="B2068" s="44" t="s">
        <v>6635</v>
      </c>
      <c r="C2068" s="50"/>
      <c r="D2068" s="10" t="s">
        <v>29</v>
      </c>
      <c r="E2068" s="11"/>
      <c r="F2068" s="11" t="s">
        <v>18</v>
      </c>
      <c r="G2068" s="13"/>
      <c r="H2068" s="45" t="s">
        <v>16</v>
      </c>
      <c r="I2068" s="47"/>
      <c r="J2068" s="12" t="s">
        <v>3479</v>
      </c>
      <c r="K2068" s="13" t="s">
        <v>8839</v>
      </c>
      <c r="L2068" s="99" t="str">
        <f t="shared" si="104"/>
        <v>W327C.4</v>
      </c>
      <c r="M2068" s="45"/>
      <c r="N2068" s="47"/>
      <c r="O2068" s="47"/>
      <c r="P2068" s="47"/>
      <c r="Q2068" s="45"/>
      <c r="R2068" s="45"/>
      <c r="S2068" s="48"/>
    </row>
    <row r="2069" spans="1:19" s="49" customFormat="1" ht="14.15" customHeight="1">
      <c r="A2069" s="45"/>
      <c r="B2069" s="44" t="s">
        <v>6635</v>
      </c>
      <c r="C2069" s="50"/>
      <c r="D2069" s="10" t="s">
        <v>29</v>
      </c>
      <c r="E2069" s="11"/>
      <c r="F2069" s="11" t="s">
        <v>18</v>
      </c>
      <c r="G2069" s="13"/>
      <c r="H2069" s="45" t="s">
        <v>16</v>
      </c>
      <c r="I2069" s="47"/>
      <c r="J2069" s="12" t="s">
        <v>3480</v>
      </c>
      <c r="K2069" s="13" t="s">
        <v>8840</v>
      </c>
      <c r="L2069" s="99" t="str">
        <f t="shared" si="104"/>
        <v>W327C.5</v>
      </c>
      <c r="M2069" s="45"/>
      <c r="N2069" s="47"/>
      <c r="O2069" s="47"/>
      <c r="P2069" s="47"/>
      <c r="Q2069" s="45"/>
      <c r="R2069" s="45"/>
      <c r="S2069" s="48"/>
    </row>
    <row r="2070" spans="1:19" s="49" customFormat="1" ht="14.15" customHeight="1">
      <c r="A2070" s="45"/>
      <c r="B2070" s="44" t="s">
        <v>6635</v>
      </c>
      <c r="C2070" s="50"/>
      <c r="D2070" s="10" t="s">
        <v>29</v>
      </c>
      <c r="E2070" s="11"/>
      <c r="F2070" s="11" t="s">
        <v>18</v>
      </c>
      <c r="G2070" s="13"/>
      <c r="H2070" s="45" t="s">
        <v>16</v>
      </c>
      <c r="I2070" s="47"/>
      <c r="J2070" s="12" t="s">
        <v>3481</v>
      </c>
      <c r="K2070" s="13" t="s">
        <v>8841</v>
      </c>
      <c r="L2070" s="99" t="str">
        <f t="shared" si="104"/>
        <v>W327C.6</v>
      </c>
      <c r="M2070" s="45"/>
      <c r="N2070" s="47"/>
      <c r="O2070" s="47"/>
      <c r="P2070" s="47"/>
      <c r="Q2070" s="45"/>
      <c r="R2070" s="45"/>
      <c r="S2070" s="48"/>
    </row>
    <row r="2071" spans="1:19" s="49" customFormat="1" ht="14.15" customHeight="1">
      <c r="A2071" s="45"/>
      <c r="B2071" s="44" t="s">
        <v>6635</v>
      </c>
      <c r="C2071" s="50"/>
      <c r="D2071" s="10" t="s">
        <v>29</v>
      </c>
      <c r="E2071" s="11"/>
      <c r="F2071" s="11" t="s">
        <v>18</v>
      </c>
      <c r="G2071" s="13"/>
      <c r="H2071" s="45" t="s">
        <v>16</v>
      </c>
      <c r="I2071" s="47"/>
      <c r="J2071" s="12" t="s">
        <v>3482</v>
      </c>
      <c r="K2071" s="13" t="s">
        <v>8842</v>
      </c>
      <c r="L2071" s="99" t="str">
        <f t="shared" si="104"/>
        <v>W327C.7</v>
      </c>
      <c r="M2071" s="45"/>
      <c r="N2071" s="47"/>
      <c r="O2071" s="47"/>
      <c r="P2071" s="47"/>
      <c r="Q2071" s="45"/>
      <c r="R2071" s="45"/>
      <c r="S2071" s="48"/>
    </row>
    <row r="2072" spans="1:19" s="49" customFormat="1" ht="14.15" customHeight="1">
      <c r="A2072" s="45"/>
      <c r="B2072" s="44" t="s">
        <v>6635</v>
      </c>
      <c r="C2072" s="50"/>
      <c r="D2072" s="10" t="s">
        <v>29</v>
      </c>
      <c r="E2072" s="11"/>
      <c r="F2072" s="11" t="s">
        <v>18</v>
      </c>
      <c r="G2072" s="13"/>
      <c r="H2072" s="45" t="s">
        <v>16</v>
      </c>
      <c r="I2072" s="47"/>
      <c r="J2072" s="12" t="s">
        <v>3483</v>
      </c>
      <c r="K2072" s="13" t="s">
        <v>8843</v>
      </c>
      <c r="L2072" s="99" t="str">
        <f t="shared" si="104"/>
        <v>W327C.8</v>
      </c>
      <c r="M2072" s="45"/>
      <c r="N2072" s="47"/>
      <c r="O2072" s="47"/>
      <c r="P2072" s="47"/>
      <c r="Q2072" s="45"/>
      <c r="R2072" s="45"/>
      <c r="S2072" s="48"/>
    </row>
    <row r="2073" spans="1:19" s="49" customFormat="1" ht="14.15" customHeight="1">
      <c r="A2073" s="45"/>
      <c r="B2073" s="44" t="s">
        <v>6635</v>
      </c>
      <c r="C2073" s="50"/>
      <c r="D2073" s="10" t="s">
        <v>29</v>
      </c>
      <c r="E2073" s="11"/>
      <c r="F2073" s="11" t="s">
        <v>18</v>
      </c>
      <c r="G2073" s="13"/>
      <c r="H2073" s="45" t="s">
        <v>16</v>
      </c>
      <c r="I2073" s="47"/>
      <c r="J2073" s="12" t="s">
        <v>3484</v>
      </c>
      <c r="K2073" s="13" t="s">
        <v>8844</v>
      </c>
      <c r="L2073" s="99" t="str">
        <f t="shared" si="104"/>
        <v>W327C.9</v>
      </c>
      <c r="M2073" s="45"/>
      <c r="N2073" s="47"/>
      <c r="O2073" s="47"/>
      <c r="P2073" s="47"/>
      <c r="Q2073" s="45"/>
      <c r="R2073" s="45"/>
      <c r="S2073" s="48"/>
    </row>
    <row r="2074" spans="1:19" s="49" customFormat="1" ht="14.15" customHeight="1">
      <c r="A2074" s="45"/>
      <c r="B2074" s="44" t="s">
        <v>6635</v>
      </c>
      <c r="C2074" s="50"/>
      <c r="D2074" s="10" t="s">
        <v>29</v>
      </c>
      <c r="E2074" s="11"/>
      <c r="F2074" s="11" t="s">
        <v>18</v>
      </c>
      <c r="G2074" s="13"/>
      <c r="H2074" s="45" t="s">
        <v>16</v>
      </c>
      <c r="I2074" s="47"/>
      <c r="J2074" s="12" t="s">
        <v>3485</v>
      </c>
      <c r="K2074" s="13" t="s">
        <v>8845</v>
      </c>
      <c r="L2074" s="99" t="str">
        <f t="shared" si="104"/>
        <v>W327C.A</v>
      </c>
      <c r="M2074" s="45"/>
      <c r="N2074" s="47"/>
      <c r="O2074" s="47"/>
      <c r="P2074" s="47"/>
      <c r="Q2074" s="45"/>
      <c r="R2074" s="45"/>
      <c r="S2074" s="48"/>
    </row>
    <row r="2075" spans="1:19" s="49" customFormat="1" ht="14.15" customHeight="1">
      <c r="A2075" s="45"/>
      <c r="B2075" s="44" t="s">
        <v>6635</v>
      </c>
      <c r="C2075" s="50"/>
      <c r="D2075" s="10" t="s">
        <v>29</v>
      </c>
      <c r="E2075" s="11"/>
      <c r="F2075" s="11" t="s">
        <v>18</v>
      </c>
      <c r="G2075" s="13"/>
      <c r="H2075" s="45" t="s">
        <v>16</v>
      </c>
      <c r="I2075" s="47"/>
      <c r="J2075" s="12" t="s">
        <v>3486</v>
      </c>
      <c r="K2075" s="13" t="s">
        <v>8846</v>
      </c>
      <c r="L2075" s="99" t="str">
        <f t="shared" si="104"/>
        <v>W327C.B</v>
      </c>
      <c r="M2075" s="45"/>
      <c r="N2075" s="47"/>
      <c r="O2075" s="47"/>
      <c r="P2075" s="47"/>
      <c r="Q2075" s="45"/>
      <c r="R2075" s="45"/>
      <c r="S2075" s="48"/>
    </row>
    <row r="2076" spans="1:19" s="49" customFormat="1" ht="14.15" customHeight="1">
      <c r="A2076" s="45"/>
      <c r="B2076" s="44" t="s">
        <v>6635</v>
      </c>
      <c r="C2076" s="50"/>
      <c r="D2076" s="10" t="s">
        <v>29</v>
      </c>
      <c r="E2076" s="11"/>
      <c r="F2076" s="11" t="s">
        <v>18</v>
      </c>
      <c r="G2076" s="13"/>
      <c r="H2076" s="45" t="s">
        <v>16</v>
      </c>
      <c r="I2076" s="47"/>
      <c r="J2076" s="12" t="s">
        <v>3487</v>
      </c>
      <c r="K2076" s="13" t="s">
        <v>8847</v>
      </c>
      <c r="L2076" s="99" t="str">
        <f t="shared" si="104"/>
        <v>W327C.C</v>
      </c>
      <c r="M2076" s="45"/>
      <c r="N2076" s="47"/>
      <c r="O2076" s="47"/>
      <c r="P2076" s="47"/>
      <c r="Q2076" s="45"/>
      <c r="R2076" s="45"/>
      <c r="S2076" s="48"/>
    </row>
    <row r="2077" spans="1:19" s="49" customFormat="1" ht="14.15" customHeight="1">
      <c r="A2077" s="45"/>
      <c r="B2077" s="44" t="s">
        <v>6635</v>
      </c>
      <c r="C2077" s="50"/>
      <c r="D2077" s="10" t="s">
        <v>29</v>
      </c>
      <c r="E2077" s="11"/>
      <c r="F2077" s="11" t="s">
        <v>18</v>
      </c>
      <c r="G2077" s="13"/>
      <c r="H2077" s="45" t="s">
        <v>16</v>
      </c>
      <c r="I2077" s="47"/>
      <c r="J2077" s="12" t="s">
        <v>3488</v>
      </c>
      <c r="K2077" s="13" t="s">
        <v>8848</v>
      </c>
      <c r="L2077" s="99" t="str">
        <f t="shared" si="104"/>
        <v>W327C.D</v>
      </c>
      <c r="M2077" s="45"/>
      <c r="N2077" s="47"/>
      <c r="O2077" s="47"/>
      <c r="P2077" s="47"/>
      <c r="Q2077" s="45"/>
      <c r="R2077" s="45"/>
      <c r="S2077" s="48"/>
    </row>
    <row r="2078" spans="1:19" s="49" customFormat="1" ht="14.15" customHeight="1">
      <c r="A2078" s="45"/>
      <c r="B2078" s="44" t="s">
        <v>6635</v>
      </c>
      <c r="C2078" s="50"/>
      <c r="D2078" s="10" t="s">
        <v>29</v>
      </c>
      <c r="E2078" s="11"/>
      <c r="F2078" s="11" t="s">
        <v>18</v>
      </c>
      <c r="G2078" s="13"/>
      <c r="H2078" s="45" t="s">
        <v>16</v>
      </c>
      <c r="I2078" s="47"/>
      <c r="J2078" s="12" t="s">
        <v>3489</v>
      </c>
      <c r="K2078" s="13" t="s">
        <v>8849</v>
      </c>
      <c r="L2078" s="99" t="str">
        <f t="shared" si="104"/>
        <v>W327C.E</v>
      </c>
      <c r="M2078" s="45"/>
      <c r="N2078" s="47"/>
      <c r="O2078" s="47"/>
      <c r="P2078" s="47"/>
      <c r="Q2078" s="45"/>
      <c r="R2078" s="45"/>
      <c r="S2078" s="48"/>
    </row>
    <row r="2079" spans="1:19" s="49" customFormat="1" ht="14.15" customHeight="1">
      <c r="A2079" s="45"/>
      <c r="B2079" s="44" t="s">
        <v>6635</v>
      </c>
      <c r="C2079" s="50"/>
      <c r="D2079" s="10" t="s">
        <v>29</v>
      </c>
      <c r="E2079" s="11"/>
      <c r="F2079" s="11" t="s">
        <v>18</v>
      </c>
      <c r="G2079" s="13"/>
      <c r="H2079" s="45" t="s">
        <v>16</v>
      </c>
      <c r="I2079" s="47"/>
      <c r="J2079" s="12" t="s">
        <v>3490</v>
      </c>
      <c r="K2079" s="13" t="s">
        <v>8850</v>
      </c>
      <c r="L2079" s="99" t="str">
        <f t="shared" si="104"/>
        <v>W327C.F</v>
      </c>
      <c r="M2079" s="45"/>
      <c r="N2079" s="47"/>
      <c r="O2079" s="47"/>
      <c r="P2079" s="47"/>
      <c r="Q2079" s="45"/>
      <c r="R2079" s="45"/>
      <c r="S2079" s="48"/>
    </row>
    <row r="2080" spans="1:19" s="49" customFormat="1" ht="14.15" customHeight="1">
      <c r="A2080" s="43" t="s">
        <v>6675</v>
      </c>
      <c r="B2080" s="44" t="s">
        <v>6635</v>
      </c>
      <c r="C2080" s="50"/>
      <c r="D2080" s="10" t="s">
        <v>29</v>
      </c>
      <c r="E2080" s="11"/>
      <c r="F2080" s="11" t="s">
        <v>18</v>
      </c>
      <c r="G2080" s="13"/>
      <c r="H2080" s="45" t="s">
        <v>16</v>
      </c>
      <c r="I2080" s="47"/>
      <c r="J2080" s="12" t="s">
        <v>6638</v>
      </c>
      <c r="K2080" s="13" t="s">
        <v>8908</v>
      </c>
      <c r="L2080" s="99" t="str">
        <f t="shared" si="104"/>
        <v>W327D.0</v>
      </c>
      <c r="M2080" s="45" t="s">
        <v>3668</v>
      </c>
      <c r="N2080" s="47"/>
      <c r="O2080" s="47"/>
      <c r="P2080" s="47"/>
      <c r="Q2080" s="45" t="s">
        <v>142</v>
      </c>
      <c r="R2080" s="45" t="s">
        <v>5620</v>
      </c>
      <c r="S2080" s="48"/>
    </row>
    <row r="2081" spans="1:19" s="49" customFormat="1" ht="14.15" customHeight="1">
      <c r="A2081" s="43" t="s">
        <v>6675</v>
      </c>
      <c r="B2081" s="44" t="s">
        <v>6635</v>
      </c>
      <c r="C2081" s="50"/>
      <c r="D2081" s="10" t="s">
        <v>29</v>
      </c>
      <c r="E2081" s="11"/>
      <c r="F2081" s="11" t="s">
        <v>18</v>
      </c>
      <c r="G2081" s="13"/>
      <c r="H2081" s="45" t="s">
        <v>16</v>
      </c>
      <c r="I2081" s="47"/>
      <c r="J2081" s="12" t="s">
        <v>6639</v>
      </c>
      <c r="K2081" s="13" t="s">
        <v>8909</v>
      </c>
      <c r="L2081" s="99" t="str">
        <f t="shared" si="104"/>
        <v>W327D.1</v>
      </c>
      <c r="M2081" s="45" t="s">
        <v>3668</v>
      </c>
      <c r="N2081" s="47"/>
      <c r="O2081" s="47"/>
      <c r="P2081" s="47"/>
      <c r="Q2081" s="45" t="s">
        <v>142</v>
      </c>
      <c r="R2081" s="45" t="s">
        <v>5620</v>
      </c>
      <c r="S2081" s="48"/>
    </row>
    <row r="2082" spans="1:19" s="49" customFormat="1" ht="14.15" customHeight="1">
      <c r="A2082" s="43" t="s">
        <v>6675</v>
      </c>
      <c r="B2082" s="44" t="s">
        <v>6635</v>
      </c>
      <c r="C2082" s="50"/>
      <c r="D2082" s="10" t="s">
        <v>29</v>
      </c>
      <c r="E2082" s="11"/>
      <c r="F2082" s="11" t="s">
        <v>18</v>
      </c>
      <c r="G2082" s="13"/>
      <c r="H2082" s="45" t="s">
        <v>16</v>
      </c>
      <c r="I2082" s="47"/>
      <c r="J2082" s="12" t="s">
        <v>6640</v>
      </c>
      <c r="K2082" s="13" t="s">
        <v>8910</v>
      </c>
      <c r="L2082" s="99" t="str">
        <f t="shared" si="104"/>
        <v>W327D.2</v>
      </c>
      <c r="M2082" s="45" t="s">
        <v>3668</v>
      </c>
      <c r="N2082" s="47"/>
      <c r="O2082" s="47"/>
      <c r="P2082" s="47"/>
      <c r="Q2082" s="45" t="s">
        <v>142</v>
      </c>
      <c r="R2082" s="45" t="s">
        <v>5620</v>
      </c>
      <c r="S2082" s="48"/>
    </row>
    <row r="2083" spans="1:19" s="49" customFormat="1" ht="14.15" customHeight="1">
      <c r="A2083" s="43" t="s">
        <v>6675</v>
      </c>
      <c r="B2083" s="44" t="s">
        <v>6635</v>
      </c>
      <c r="C2083" s="50"/>
      <c r="D2083" s="10" t="s">
        <v>29</v>
      </c>
      <c r="E2083" s="11"/>
      <c r="F2083" s="11" t="s">
        <v>18</v>
      </c>
      <c r="G2083" s="13"/>
      <c r="H2083" s="45" t="s">
        <v>16</v>
      </c>
      <c r="I2083" s="47"/>
      <c r="J2083" s="12" t="s">
        <v>6641</v>
      </c>
      <c r="K2083" s="13" t="s">
        <v>8911</v>
      </c>
      <c r="L2083" s="99" t="str">
        <f t="shared" si="104"/>
        <v>W327D.3</v>
      </c>
      <c r="M2083" s="45" t="s">
        <v>3668</v>
      </c>
      <c r="N2083" s="47"/>
      <c r="O2083" s="47"/>
      <c r="P2083" s="47"/>
      <c r="Q2083" s="45" t="s">
        <v>142</v>
      </c>
      <c r="R2083" s="45" t="s">
        <v>5620</v>
      </c>
      <c r="S2083" s="48"/>
    </row>
    <row r="2084" spans="1:19" s="49" customFormat="1" ht="14.15" customHeight="1">
      <c r="A2084" s="43" t="s">
        <v>6675</v>
      </c>
      <c r="B2084" s="44" t="s">
        <v>6635</v>
      </c>
      <c r="C2084" s="50"/>
      <c r="D2084" s="10" t="s">
        <v>29</v>
      </c>
      <c r="E2084" s="11"/>
      <c r="F2084" s="11" t="s">
        <v>18</v>
      </c>
      <c r="G2084" s="13"/>
      <c r="H2084" s="45" t="s">
        <v>16</v>
      </c>
      <c r="I2084" s="47"/>
      <c r="J2084" s="12" t="s">
        <v>6642</v>
      </c>
      <c r="K2084" s="13" t="s">
        <v>8965</v>
      </c>
      <c r="L2084" s="99" t="str">
        <f t="shared" si="104"/>
        <v>W327D.4</v>
      </c>
      <c r="M2084" s="45" t="s">
        <v>3668</v>
      </c>
      <c r="N2084" s="47"/>
      <c r="O2084" s="47"/>
      <c r="P2084" s="47"/>
      <c r="Q2084" s="45" t="s">
        <v>142</v>
      </c>
      <c r="R2084" s="45" t="s">
        <v>5620</v>
      </c>
      <c r="S2084" s="48"/>
    </row>
    <row r="2085" spans="1:19" s="49" customFormat="1" ht="14.15" customHeight="1">
      <c r="A2085" s="45"/>
      <c r="B2085" s="44" t="s">
        <v>6635</v>
      </c>
      <c r="C2085" s="50"/>
      <c r="D2085" s="10" t="s">
        <v>29</v>
      </c>
      <c r="E2085" s="11"/>
      <c r="F2085" s="11" t="s">
        <v>18</v>
      </c>
      <c r="G2085" s="13"/>
      <c r="H2085" s="45" t="s">
        <v>16</v>
      </c>
      <c r="I2085" s="47"/>
      <c r="J2085" s="12" t="s">
        <v>6620</v>
      </c>
      <c r="K2085" s="13" t="s">
        <v>8966</v>
      </c>
      <c r="L2085" s="99" t="str">
        <f t="shared" si="104"/>
        <v>W327D.5</v>
      </c>
      <c r="M2085" s="45"/>
      <c r="N2085" s="47"/>
      <c r="O2085" s="47"/>
      <c r="P2085" s="47"/>
      <c r="Q2085" s="45"/>
      <c r="R2085" s="45"/>
      <c r="S2085" s="48"/>
    </row>
    <row r="2086" spans="1:19" s="49" customFormat="1" ht="14.15" customHeight="1">
      <c r="A2086" s="45"/>
      <c r="B2086" s="44" t="s">
        <v>6635</v>
      </c>
      <c r="C2086" s="50"/>
      <c r="D2086" s="10" t="s">
        <v>29</v>
      </c>
      <c r="E2086" s="11"/>
      <c r="F2086" s="11" t="s">
        <v>18</v>
      </c>
      <c r="G2086" s="13"/>
      <c r="H2086" s="45" t="s">
        <v>16</v>
      </c>
      <c r="I2086" s="47"/>
      <c r="J2086" s="12" t="s">
        <v>6621</v>
      </c>
      <c r="K2086" s="13" t="s">
        <v>8967</v>
      </c>
      <c r="L2086" s="99" t="str">
        <f t="shared" si="104"/>
        <v>W327D.6</v>
      </c>
      <c r="M2086" s="45"/>
      <c r="N2086" s="47"/>
      <c r="O2086" s="47"/>
      <c r="P2086" s="47"/>
      <c r="Q2086" s="45"/>
      <c r="R2086" s="45"/>
      <c r="S2086" s="48"/>
    </row>
    <row r="2087" spans="1:19" s="49" customFormat="1" ht="14.15" customHeight="1">
      <c r="A2087" s="45"/>
      <c r="B2087" s="44" t="s">
        <v>6635</v>
      </c>
      <c r="C2087" s="50"/>
      <c r="D2087" s="10" t="s">
        <v>29</v>
      </c>
      <c r="E2087" s="11"/>
      <c r="F2087" s="11" t="s">
        <v>18</v>
      </c>
      <c r="G2087" s="13"/>
      <c r="H2087" s="45" t="s">
        <v>16</v>
      </c>
      <c r="I2087" s="47"/>
      <c r="J2087" s="12" t="s">
        <v>6622</v>
      </c>
      <c r="K2087" s="13" t="s">
        <v>8968</v>
      </c>
      <c r="L2087" s="99" t="str">
        <f t="shared" si="104"/>
        <v>W327D.7</v>
      </c>
      <c r="M2087" s="45"/>
      <c r="N2087" s="47"/>
      <c r="O2087" s="47"/>
      <c r="P2087" s="47"/>
      <c r="Q2087" s="45"/>
      <c r="R2087" s="45"/>
      <c r="S2087" s="48"/>
    </row>
    <row r="2088" spans="1:19" s="49" customFormat="1" ht="14.15" customHeight="1">
      <c r="A2088" s="45"/>
      <c r="B2088" s="44" t="s">
        <v>6635</v>
      </c>
      <c r="C2088" s="50"/>
      <c r="D2088" s="10" t="s">
        <v>29</v>
      </c>
      <c r="E2088" s="11"/>
      <c r="F2088" s="11" t="s">
        <v>18</v>
      </c>
      <c r="G2088" s="13"/>
      <c r="H2088" s="45" t="s">
        <v>16</v>
      </c>
      <c r="I2088" s="47"/>
      <c r="J2088" s="12" t="s">
        <v>6623</v>
      </c>
      <c r="K2088" s="13" t="s">
        <v>8969</v>
      </c>
      <c r="L2088" s="99" t="str">
        <f t="shared" si="104"/>
        <v>W327D.8</v>
      </c>
      <c r="M2088" s="45"/>
      <c r="N2088" s="47"/>
      <c r="O2088" s="47"/>
      <c r="P2088" s="47"/>
      <c r="Q2088" s="45"/>
      <c r="R2088" s="45"/>
      <c r="S2088" s="48"/>
    </row>
    <row r="2089" spans="1:19" s="49" customFormat="1" ht="14.15" customHeight="1">
      <c r="A2089" s="45"/>
      <c r="B2089" s="44" t="s">
        <v>6635</v>
      </c>
      <c r="C2089" s="50"/>
      <c r="D2089" s="10" t="s">
        <v>29</v>
      </c>
      <c r="E2089" s="11"/>
      <c r="F2089" s="11" t="s">
        <v>18</v>
      </c>
      <c r="G2089" s="13"/>
      <c r="H2089" s="45" t="s">
        <v>16</v>
      </c>
      <c r="I2089" s="47"/>
      <c r="J2089" s="12" t="s">
        <v>6624</v>
      </c>
      <c r="K2089" s="13" t="s">
        <v>8970</v>
      </c>
      <c r="L2089" s="99" t="str">
        <f t="shared" si="104"/>
        <v>W327D.9</v>
      </c>
      <c r="M2089" s="45"/>
      <c r="N2089" s="47"/>
      <c r="O2089" s="47"/>
      <c r="P2089" s="47"/>
      <c r="Q2089" s="45"/>
      <c r="R2089" s="45"/>
      <c r="S2089" s="48"/>
    </row>
    <row r="2090" spans="1:19" s="49" customFormat="1" ht="14.15" customHeight="1">
      <c r="A2090" s="45"/>
      <c r="B2090" s="44" t="s">
        <v>6635</v>
      </c>
      <c r="C2090" s="50"/>
      <c r="D2090" s="10" t="s">
        <v>29</v>
      </c>
      <c r="E2090" s="11"/>
      <c r="F2090" s="11" t="s">
        <v>18</v>
      </c>
      <c r="G2090" s="13"/>
      <c r="H2090" s="45" t="s">
        <v>16</v>
      </c>
      <c r="I2090" s="47"/>
      <c r="J2090" s="12" t="s">
        <v>6625</v>
      </c>
      <c r="K2090" s="13" t="s">
        <v>8971</v>
      </c>
      <c r="L2090" s="99" t="str">
        <f t="shared" si="104"/>
        <v>W327D.A</v>
      </c>
      <c r="M2090" s="45"/>
      <c r="N2090" s="47"/>
      <c r="O2090" s="47"/>
      <c r="P2090" s="47"/>
      <c r="Q2090" s="45"/>
      <c r="R2090" s="45"/>
      <c r="S2090" s="48"/>
    </row>
    <row r="2091" spans="1:19" s="49" customFormat="1" ht="14.15" customHeight="1">
      <c r="A2091" s="45"/>
      <c r="B2091" s="44" t="s">
        <v>6635</v>
      </c>
      <c r="C2091" s="50"/>
      <c r="D2091" s="10" t="s">
        <v>29</v>
      </c>
      <c r="E2091" s="11"/>
      <c r="F2091" s="11" t="s">
        <v>18</v>
      </c>
      <c r="G2091" s="13"/>
      <c r="H2091" s="45" t="s">
        <v>16</v>
      </c>
      <c r="I2091" s="47"/>
      <c r="J2091" s="12" t="s">
        <v>6626</v>
      </c>
      <c r="K2091" s="13" t="s">
        <v>8972</v>
      </c>
      <c r="L2091" s="99" t="str">
        <f t="shared" si="104"/>
        <v>W327D.B</v>
      </c>
      <c r="M2091" s="45"/>
      <c r="N2091" s="47"/>
      <c r="O2091" s="47"/>
      <c r="P2091" s="47"/>
      <c r="Q2091" s="45"/>
      <c r="R2091" s="45"/>
      <c r="S2091" s="48"/>
    </row>
    <row r="2092" spans="1:19" s="49" customFormat="1" ht="14.15" customHeight="1">
      <c r="A2092" s="45"/>
      <c r="B2092" s="44" t="s">
        <v>6635</v>
      </c>
      <c r="C2092" s="50"/>
      <c r="D2092" s="10" t="s">
        <v>29</v>
      </c>
      <c r="E2092" s="11"/>
      <c r="F2092" s="11" t="s">
        <v>18</v>
      </c>
      <c r="G2092" s="13"/>
      <c r="H2092" s="45" t="s">
        <v>16</v>
      </c>
      <c r="I2092" s="47"/>
      <c r="J2092" s="12" t="s">
        <v>6627</v>
      </c>
      <c r="K2092" s="13" t="s">
        <v>8973</v>
      </c>
      <c r="L2092" s="99" t="str">
        <f t="shared" si="104"/>
        <v>W327D.C</v>
      </c>
      <c r="M2092" s="45"/>
      <c r="N2092" s="47"/>
      <c r="O2092" s="47"/>
      <c r="P2092" s="47"/>
      <c r="Q2092" s="45"/>
      <c r="R2092" s="45"/>
      <c r="S2092" s="48"/>
    </row>
    <row r="2093" spans="1:19" s="49" customFormat="1" ht="14.15" customHeight="1">
      <c r="A2093" s="45"/>
      <c r="B2093" s="44" t="s">
        <v>6635</v>
      </c>
      <c r="C2093" s="50"/>
      <c r="D2093" s="10" t="s">
        <v>29</v>
      </c>
      <c r="E2093" s="11"/>
      <c r="F2093" s="11" t="s">
        <v>18</v>
      </c>
      <c r="G2093" s="13"/>
      <c r="H2093" s="45" t="s">
        <v>16</v>
      </c>
      <c r="I2093" s="47"/>
      <c r="J2093" s="12" t="s">
        <v>6628</v>
      </c>
      <c r="K2093" s="13" t="s">
        <v>8974</v>
      </c>
      <c r="L2093" s="99" t="str">
        <f t="shared" si="104"/>
        <v>W327D.D</v>
      </c>
      <c r="M2093" s="45"/>
      <c r="N2093" s="47"/>
      <c r="O2093" s="47"/>
      <c r="P2093" s="47"/>
      <c r="Q2093" s="45"/>
      <c r="R2093" s="45"/>
      <c r="S2093" s="48"/>
    </row>
    <row r="2094" spans="1:19" s="49" customFormat="1" ht="14.15" customHeight="1">
      <c r="A2094" s="45"/>
      <c r="B2094" s="44" t="s">
        <v>6635</v>
      </c>
      <c r="C2094" s="50"/>
      <c r="D2094" s="10" t="s">
        <v>29</v>
      </c>
      <c r="E2094" s="11"/>
      <c r="F2094" s="11" t="s">
        <v>18</v>
      </c>
      <c r="G2094" s="13"/>
      <c r="H2094" s="45" t="s">
        <v>16</v>
      </c>
      <c r="I2094" s="47"/>
      <c r="J2094" s="12" t="s">
        <v>6629</v>
      </c>
      <c r="K2094" s="13" t="s">
        <v>8975</v>
      </c>
      <c r="L2094" s="99" t="str">
        <f t="shared" si="104"/>
        <v>W327D.E</v>
      </c>
      <c r="M2094" s="45"/>
      <c r="N2094" s="47"/>
      <c r="O2094" s="47"/>
      <c r="P2094" s="47"/>
      <c r="Q2094" s="45"/>
      <c r="R2094" s="45"/>
      <c r="S2094" s="48"/>
    </row>
    <row r="2095" spans="1:19" s="49" customFormat="1" ht="14.15" customHeight="1">
      <c r="A2095" s="45"/>
      <c r="B2095" s="44" t="s">
        <v>6635</v>
      </c>
      <c r="C2095" s="50"/>
      <c r="D2095" s="10" t="s">
        <v>29</v>
      </c>
      <c r="E2095" s="11"/>
      <c r="F2095" s="11" t="s">
        <v>18</v>
      </c>
      <c r="G2095" s="13"/>
      <c r="H2095" s="45" t="s">
        <v>16</v>
      </c>
      <c r="I2095" s="47"/>
      <c r="J2095" s="12" t="s">
        <v>6630</v>
      </c>
      <c r="K2095" s="13" t="s">
        <v>8976</v>
      </c>
      <c r="L2095" s="99" t="str">
        <f t="shared" si="104"/>
        <v>W327D.F</v>
      </c>
      <c r="M2095" s="45"/>
      <c r="N2095" s="47"/>
      <c r="O2095" s="47"/>
      <c r="P2095" s="47"/>
      <c r="Q2095" s="45"/>
      <c r="R2095" s="45"/>
      <c r="S2095" s="48"/>
    </row>
    <row r="2096" spans="1:19" s="49" customFormat="1" ht="14.15" customHeight="1">
      <c r="A2096" s="45"/>
      <c r="B2096" s="44" t="s">
        <v>6635</v>
      </c>
      <c r="C2096" s="50"/>
      <c r="D2096" s="10" t="s">
        <v>29</v>
      </c>
      <c r="E2096" s="11"/>
      <c r="F2096" s="11" t="s">
        <v>18</v>
      </c>
      <c r="G2096" s="13"/>
      <c r="H2096" s="45" t="s">
        <v>16</v>
      </c>
      <c r="I2096" s="47"/>
      <c r="J2096" s="12" t="s">
        <v>6631</v>
      </c>
      <c r="K2096" s="13" t="s">
        <v>8977</v>
      </c>
      <c r="L2096" s="99" t="str">
        <f t="shared" si="104"/>
        <v>W327E.0</v>
      </c>
      <c r="M2096" s="45"/>
      <c r="N2096" s="47"/>
      <c r="O2096" s="47"/>
      <c r="P2096" s="47"/>
      <c r="Q2096" s="45"/>
      <c r="R2096" s="45"/>
      <c r="S2096" s="48"/>
    </row>
    <row r="2097" spans="1:19" s="49" customFormat="1" ht="14.15" customHeight="1">
      <c r="A2097" s="45"/>
      <c r="B2097" s="44" t="s">
        <v>6635</v>
      </c>
      <c r="C2097" s="50"/>
      <c r="D2097" s="10" t="s">
        <v>29</v>
      </c>
      <c r="E2097" s="11"/>
      <c r="F2097" s="11" t="s">
        <v>18</v>
      </c>
      <c r="G2097" s="13"/>
      <c r="H2097" s="45" t="s">
        <v>16</v>
      </c>
      <c r="I2097" s="47"/>
      <c r="J2097" s="12" t="s">
        <v>6632</v>
      </c>
      <c r="K2097" s="13" t="s">
        <v>8978</v>
      </c>
      <c r="L2097" s="99" t="str">
        <f t="shared" si="104"/>
        <v>W327E.1</v>
      </c>
      <c r="M2097" s="45"/>
      <c r="N2097" s="47"/>
      <c r="O2097" s="47"/>
      <c r="P2097" s="47"/>
      <c r="Q2097" s="45"/>
      <c r="R2097" s="45"/>
      <c r="S2097" s="48"/>
    </row>
    <row r="2098" spans="1:19" s="49" customFormat="1" ht="14.15" customHeight="1">
      <c r="A2098" s="45"/>
      <c r="B2098" s="44" t="s">
        <v>6635</v>
      </c>
      <c r="C2098" s="50"/>
      <c r="D2098" s="10" t="s">
        <v>29</v>
      </c>
      <c r="E2098" s="11"/>
      <c r="F2098" s="11" t="s">
        <v>18</v>
      </c>
      <c r="G2098" s="13"/>
      <c r="H2098" s="45" t="s">
        <v>16</v>
      </c>
      <c r="I2098" s="47"/>
      <c r="J2098" s="12" t="s">
        <v>6633</v>
      </c>
      <c r="K2098" s="13" t="s">
        <v>8979</v>
      </c>
      <c r="L2098" s="99" t="str">
        <f t="shared" si="104"/>
        <v>W327E.2</v>
      </c>
      <c r="M2098" s="45"/>
      <c r="N2098" s="47"/>
      <c r="O2098" s="47"/>
      <c r="P2098" s="47"/>
      <c r="Q2098" s="45"/>
      <c r="R2098" s="45"/>
      <c r="S2098" s="48"/>
    </row>
    <row r="2099" spans="1:19" s="49" customFormat="1" ht="14.15" customHeight="1">
      <c r="A2099" s="43" t="s">
        <v>6687</v>
      </c>
      <c r="B2099" s="44" t="s">
        <v>6635</v>
      </c>
      <c r="C2099" s="50"/>
      <c r="D2099" s="10" t="s">
        <v>29</v>
      </c>
      <c r="E2099" s="11"/>
      <c r="F2099" s="11" t="s">
        <v>18</v>
      </c>
      <c r="G2099" s="13"/>
      <c r="H2099" s="45" t="s">
        <v>16</v>
      </c>
      <c r="I2099" s="47"/>
      <c r="J2099" s="12" t="s">
        <v>6643</v>
      </c>
      <c r="K2099" s="13" t="s">
        <v>8980</v>
      </c>
      <c r="L2099" s="99" t="str">
        <f t="shared" si="104"/>
        <v>W327E.3</v>
      </c>
      <c r="M2099" s="45" t="s">
        <v>3668</v>
      </c>
      <c r="N2099" s="47"/>
      <c r="O2099" s="47"/>
      <c r="P2099" s="47"/>
      <c r="Q2099" s="45" t="s">
        <v>142</v>
      </c>
      <c r="R2099" s="45" t="s">
        <v>5553</v>
      </c>
      <c r="S2099" s="48"/>
    </row>
    <row r="2100" spans="1:19" s="49" customFormat="1" ht="14.15" customHeight="1">
      <c r="A2100" s="43" t="s">
        <v>6687</v>
      </c>
      <c r="B2100" s="44" t="s">
        <v>6635</v>
      </c>
      <c r="C2100" s="50"/>
      <c r="D2100" s="10" t="s">
        <v>29</v>
      </c>
      <c r="E2100" s="11"/>
      <c r="F2100" s="11" t="s">
        <v>18</v>
      </c>
      <c r="G2100" s="13"/>
      <c r="H2100" s="45" t="s">
        <v>16</v>
      </c>
      <c r="I2100" s="47"/>
      <c r="J2100" s="12" t="s">
        <v>6644</v>
      </c>
      <c r="K2100" s="13" t="s">
        <v>8981</v>
      </c>
      <c r="L2100" s="99" t="str">
        <f t="shared" si="104"/>
        <v>W327E.4</v>
      </c>
      <c r="M2100" s="45" t="s">
        <v>3668</v>
      </c>
      <c r="N2100" s="47"/>
      <c r="O2100" s="47"/>
      <c r="P2100" s="47"/>
      <c r="Q2100" s="45" t="s">
        <v>142</v>
      </c>
      <c r="R2100" s="45" t="s">
        <v>5553</v>
      </c>
      <c r="S2100" s="48"/>
    </row>
    <row r="2101" spans="1:19" s="49" customFormat="1" ht="14.15" customHeight="1">
      <c r="A2101" s="45"/>
      <c r="B2101" s="44" t="s">
        <v>6635</v>
      </c>
      <c r="C2101" s="50"/>
      <c r="D2101" s="10" t="s">
        <v>29</v>
      </c>
      <c r="E2101" s="11"/>
      <c r="F2101" s="11" t="s">
        <v>18</v>
      </c>
      <c r="G2101" s="13"/>
      <c r="H2101" s="45" t="s">
        <v>16</v>
      </c>
      <c r="I2101" s="47"/>
      <c r="J2101" s="12" t="s">
        <v>6634</v>
      </c>
      <c r="K2101" s="13" t="s">
        <v>8982</v>
      </c>
      <c r="L2101" s="99" t="str">
        <f t="shared" si="104"/>
        <v>W327E.5</v>
      </c>
      <c r="M2101" s="45"/>
      <c r="N2101" s="47"/>
      <c r="O2101" s="47"/>
      <c r="P2101" s="47"/>
      <c r="Q2101" s="45"/>
      <c r="R2101" s="45"/>
      <c r="S2101" s="48"/>
    </row>
    <row r="2102" spans="1:19" ht="14">
      <c r="G2102" s="61"/>
      <c r="J2102" s="42"/>
      <c r="K2102" s="42"/>
    </row>
    <row r="2103" spans="1:19" ht="14">
      <c r="J2103" s="42"/>
      <c r="K2103" s="42"/>
    </row>
    <row r="2104" spans="1:19" ht="14">
      <c r="J2104" s="42"/>
      <c r="K2104" s="42"/>
    </row>
    <row r="2105" spans="1:19" ht="14">
      <c r="J2105" s="42"/>
      <c r="K2105" s="42"/>
    </row>
    <row r="2106" spans="1:19" ht="14">
      <c r="J2106" s="42"/>
      <c r="K2106" s="42"/>
    </row>
    <row r="2107" spans="1:19" ht="14">
      <c r="J2107" s="42"/>
      <c r="K2107" s="42"/>
    </row>
    <row r="2108" spans="1:19" ht="14">
      <c r="J2108" s="42"/>
      <c r="K2108" s="42"/>
    </row>
    <row r="2109" spans="1:19" ht="14">
      <c r="J2109" s="42"/>
      <c r="K2109" s="42"/>
    </row>
    <row r="2110" spans="1:19" ht="14">
      <c r="J2110" s="42"/>
      <c r="K2110" s="42"/>
    </row>
    <row r="2111" spans="1:19" ht="14">
      <c r="J2111" s="42"/>
      <c r="K2111" s="42"/>
    </row>
    <row r="2112" spans="1:19" ht="14">
      <c r="J2112" s="42"/>
      <c r="K2112" s="42"/>
    </row>
    <row r="2113" spans="10:11" ht="14">
      <c r="J2113" s="42"/>
      <c r="K2113" s="42"/>
    </row>
    <row r="2114" spans="10:11" ht="14">
      <c r="J2114" s="42"/>
      <c r="K2114" s="42"/>
    </row>
    <row r="2115" spans="10:11" ht="14">
      <c r="J2115" s="42"/>
      <c r="K2115" s="42"/>
    </row>
    <row r="2116" spans="10:11" ht="14">
      <c r="J2116" s="42"/>
      <c r="K2116" s="42"/>
    </row>
    <row r="2117" spans="10:11" ht="14">
      <c r="J2117" s="42"/>
      <c r="K2117" s="42"/>
    </row>
    <row r="2118" spans="10:11" ht="14">
      <c r="J2118" s="42"/>
      <c r="K2118" s="42"/>
    </row>
    <row r="2119" spans="10:11" ht="14">
      <c r="J2119" s="42"/>
      <c r="K2119" s="42"/>
    </row>
    <row r="2120" spans="10:11" ht="14">
      <c r="J2120" s="42"/>
      <c r="K2120" s="42"/>
    </row>
    <row r="2121" spans="10:11" ht="14">
      <c r="J2121" s="42"/>
      <c r="K2121" s="42"/>
    </row>
    <row r="2122" spans="10:11" ht="14">
      <c r="J2122" s="42"/>
      <c r="K2122" s="42"/>
    </row>
    <row r="2123" spans="10:11" ht="14">
      <c r="J2123" s="42"/>
      <c r="K2123" s="42"/>
    </row>
    <row r="2124" spans="10:11" ht="14">
      <c r="J2124" s="42"/>
      <c r="K2124" s="42"/>
    </row>
    <row r="2125" spans="10:11" ht="14">
      <c r="J2125" s="42"/>
      <c r="K2125" s="42"/>
    </row>
    <row r="2126" spans="10:11" ht="14">
      <c r="J2126" s="42"/>
      <c r="K2126" s="42"/>
    </row>
    <row r="2127" spans="10:11" ht="14">
      <c r="J2127" s="42"/>
      <c r="K2127" s="42"/>
    </row>
    <row r="2128" spans="10:11" ht="14">
      <c r="J2128" s="42"/>
      <c r="K2128" s="42"/>
    </row>
    <row r="2129" spans="10:11" ht="14">
      <c r="J2129" s="42"/>
      <c r="K2129" s="42"/>
    </row>
    <row r="2130" spans="10:11" ht="14">
      <c r="J2130" s="42"/>
      <c r="K2130" s="42"/>
    </row>
    <row r="2131" spans="10:11" ht="14">
      <c r="J2131" s="42"/>
      <c r="K2131" s="42"/>
    </row>
    <row r="2132" spans="10:11" ht="14">
      <c r="J2132" s="42"/>
      <c r="K2132" s="42"/>
    </row>
  </sheetData>
  <autoFilter ref="A3:V2101" xr:uid="{00000000-0009-0000-0000-000005000000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2:K16"/>
  <sheetViews>
    <sheetView workbookViewId="0">
      <selection activeCell="C12" sqref="C12:D14"/>
    </sheetView>
  </sheetViews>
  <sheetFormatPr defaultColWidth="9" defaultRowHeight="14"/>
  <cols>
    <col min="1" max="1" width="2.5" style="19" customWidth="1"/>
    <col min="2" max="2" width="11.5" style="19" customWidth="1"/>
    <col min="3" max="3" width="19.83203125" style="19" customWidth="1"/>
    <col min="4" max="4" width="21.5" style="19" bestFit="1" customWidth="1"/>
    <col min="5" max="5" width="8.08203125" style="19" bestFit="1" customWidth="1"/>
    <col min="6" max="6" width="16.83203125" style="19" customWidth="1"/>
    <col min="7" max="7" width="28.58203125" style="19" customWidth="1"/>
    <col min="8" max="8" width="7.33203125" style="19" customWidth="1"/>
    <col min="9" max="9" width="20.25" style="19" customWidth="1"/>
    <col min="10" max="10" width="74.33203125" style="19" customWidth="1"/>
    <col min="11" max="11" width="58.25" style="19" customWidth="1"/>
    <col min="12" max="16384" width="9" style="19"/>
  </cols>
  <sheetData>
    <row r="2" spans="2:11" ht="15.5">
      <c r="B2" s="17" t="s">
        <v>19</v>
      </c>
      <c r="C2" s="107" t="s">
        <v>20</v>
      </c>
      <c r="D2" s="108"/>
      <c r="E2" s="18" t="s">
        <v>21</v>
      </c>
      <c r="F2" s="17" t="s">
        <v>22</v>
      </c>
      <c r="G2" s="17" t="s">
        <v>23</v>
      </c>
      <c r="H2" s="107" t="s">
        <v>24</v>
      </c>
      <c r="I2" s="108"/>
      <c r="J2" s="17" t="s">
        <v>25</v>
      </c>
      <c r="K2" s="17" t="s">
        <v>26</v>
      </c>
    </row>
    <row r="3" spans="2:11" ht="32">
      <c r="B3" s="20" t="s">
        <v>27</v>
      </c>
      <c r="C3" s="104" t="s">
        <v>28</v>
      </c>
      <c r="D3" s="104"/>
      <c r="E3" s="105" t="s">
        <v>29</v>
      </c>
      <c r="F3" s="21" t="s">
        <v>30</v>
      </c>
      <c r="G3" s="21" t="s">
        <v>31</v>
      </c>
      <c r="H3" s="22" t="s">
        <v>32</v>
      </c>
      <c r="I3" s="23" t="s">
        <v>33</v>
      </c>
      <c r="J3" s="24" t="s">
        <v>34</v>
      </c>
      <c r="K3" s="25" t="s">
        <v>35</v>
      </c>
    </row>
    <row r="4" spans="2:11" ht="32">
      <c r="B4" s="20"/>
      <c r="C4" s="104"/>
      <c r="D4" s="104"/>
      <c r="E4" s="109"/>
      <c r="F4" s="21" t="s">
        <v>36</v>
      </c>
      <c r="G4" s="21" t="s">
        <v>37</v>
      </c>
      <c r="H4" s="22" t="s">
        <v>32</v>
      </c>
      <c r="I4" s="23" t="s">
        <v>33</v>
      </c>
      <c r="J4" s="24" t="s">
        <v>34</v>
      </c>
      <c r="K4" s="25" t="s">
        <v>38</v>
      </c>
    </row>
    <row r="5" spans="2:11" ht="32">
      <c r="B5" s="20"/>
      <c r="C5" s="104"/>
      <c r="D5" s="104"/>
      <c r="E5" s="109"/>
      <c r="F5" s="21" t="s">
        <v>36</v>
      </c>
      <c r="G5" s="21" t="s">
        <v>39</v>
      </c>
      <c r="H5" s="22" t="s">
        <v>40</v>
      </c>
      <c r="I5" s="23" t="s">
        <v>41</v>
      </c>
      <c r="J5" s="24" t="s">
        <v>42</v>
      </c>
      <c r="K5" s="25" t="s">
        <v>43</v>
      </c>
    </row>
    <row r="6" spans="2:11" ht="15.5">
      <c r="B6" s="20"/>
      <c r="C6" s="104"/>
      <c r="D6" s="104"/>
      <c r="E6" s="109"/>
      <c r="F6" s="21" t="s">
        <v>36</v>
      </c>
      <c r="G6" s="21" t="s">
        <v>44</v>
      </c>
      <c r="H6" s="22" t="s">
        <v>45</v>
      </c>
      <c r="I6" s="23" t="s">
        <v>46</v>
      </c>
      <c r="J6" s="24" t="s">
        <v>47</v>
      </c>
      <c r="K6" s="26" t="s">
        <v>48</v>
      </c>
    </row>
    <row r="7" spans="2:11" ht="15.5">
      <c r="B7" s="20"/>
      <c r="C7" s="104"/>
      <c r="D7" s="104"/>
      <c r="E7" s="109"/>
      <c r="F7" s="21" t="s">
        <v>36</v>
      </c>
      <c r="G7" s="21" t="s">
        <v>49</v>
      </c>
      <c r="H7" s="22" t="s">
        <v>50</v>
      </c>
      <c r="I7" s="23" t="s">
        <v>51</v>
      </c>
      <c r="J7" s="23" t="s">
        <v>52</v>
      </c>
      <c r="K7" s="26" t="s">
        <v>53</v>
      </c>
    </row>
    <row r="8" spans="2:11" ht="15.5">
      <c r="B8" s="20"/>
      <c r="C8" s="104"/>
      <c r="D8" s="104"/>
      <c r="E8" s="109"/>
      <c r="F8" s="21" t="s">
        <v>54</v>
      </c>
      <c r="G8" s="21" t="s">
        <v>55</v>
      </c>
      <c r="H8" s="22" t="s">
        <v>56</v>
      </c>
      <c r="I8" s="23" t="s">
        <v>57</v>
      </c>
      <c r="J8" s="24" t="s">
        <v>58</v>
      </c>
      <c r="K8" s="26" t="s">
        <v>48</v>
      </c>
    </row>
    <row r="9" spans="2:11" ht="15.5">
      <c r="B9" s="20"/>
      <c r="C9" s="104"/>
      <c r="D9" s="104"/>
      <c r="E9" s="109"/>
      <c r="F9" s="21" t="s">
        <v>59</v>
      </c>
      <c r="G9" s="21" t="s">
        <v>60</v>
      </c>
      <c r="H9" s="22" t="s">
        <v>61</v>
      </c>
      <c r="I9" s="23" t="s">
        <v>62</v>
      </c>
      <c r="J9" s="24" t="s">
        <v>63</v>
      </c>
      <c r="K9" s="26" t="s">
        <v>64</v>
      </c>
    </row>
    <row r="10" spans="2:11" ht="15.5">
      <c r="B10" s="20"/>
      <c r="C10" s="104"/>
      <c r="D10" s="104"/>
      <c r="E10" s="109"/>
      <c r="F10" s="21" t="s">
        <v>65</v>
      </c>
      <c r="G10" s="21" t="s">
        <v>66</v>
      </c>
      <c r="H10" s="22" t="s">
        <v>67</v>
      </c>
      <c r="I10" s="23" t="s">
        <v>68</v>
      </c>
      <c r="J10" s="24" t="s">
        <v>69</v>
      </c>
      <c r="K10" s="26" t="s">
        <v>48</v>
      </c>
    </row>
    <row r="11" spans="2:11" ht="15.5">
      <c r="B11" s="20"/>
      <c r="C11" s="104"/>
      <c r="D11" s="104"/>
      <c r="E11" s="106"/>
      <c r="F11" s="21" t="s">
        <v>54</v>
      </c>
      <c r="G11" s="21" t="s">
        <v>70</v>
      </c>
      <c r="H11" s="22" t="s">
        <v>71</v>
      </c>
      <c r="I11" s="23" t="s">
        <v>72</v>
      </c>
      <c r="J11" s="24" t="s">
        <v>73</v>
      </c>
      <c r="K11" s="26" t="s">
        <v>48</v>
      </c>
    </row>
    <row r="12" spans="2:11" ht="32">
      <c r="B12" s="20"/>
      <c r="C12" s="104" t="s">
        <v>74</v>
      </c>
      <c r="D12" s="104"/>
      <c r="E12" s="105" t="s">
        <v>75</v>
      </c>
      <c r="F12" s="21" t="s">
        <v>76</v>
      </c>
      <c r="G12" s="21" t="s">
        <v>77</v>
      </c>
      <c r="H12" s="22" t="s">
        <v>32</v>
      </c>
      <c r="I12" s="23" t="s">
        <v>33</v>
      </c>
      <c r="J12" s="24" t="s">
        <v>78</v>
      </c>
      <c r="K12" s="25" t="s">
        <v>79</v>
      </c>
    </row>
    <row r="13" spans="2:11" ht="15.5">
      <c r="B13" s="20"/>
      <c r="C13" s="104"/>
      <c r="D13" s="104"/>
      <c r="E13" s="109"/>
      <c r="F13" s="21" t="s">
        <v>76</v>
      </c>
      <c r="G13" s="21" t="s">
        <v>80</v>
      </c>
      <c r="H13" s="22" t="s">
        <v>81</v>
      </c>
      <c r="I13" s="23" t="s">
        <v>82</v>
      </c>
      <c r="J13" s="24" t="s">
        <v>83</v>
      </c>
      <c r="K13" s="26" t="s">
        <v>84</v>
      </c>
    </row>
    <row r="14" spans="2:11" ht="32">
      <c r="B14" s="20"/>
      <c r="C14" s="104"/>
      <c r="D14" s="104"/>
      <c r="E14" s="106"/>
      <c r="F14" s="21" t="s">
        <v>76</v>
      </c>
      <c r="G14" s="21" t="s">
        <v>85</v>
      </c>
      <c r="H14" s="22" t="s">
        <v>86</v>
      </c>
      <c r="I14" s="23" t="s">
        <v>85</v>
      </c>
      <c r="J14" s="23" t="s">
        <v>87</v>
      </c>
      <c r="K14" s="27" t="s">
        <v>88</v>
      </c>
    </row>
    <row r="15" spans="2:11" ht="31.5" customHeight="1">
      <c r="B15" s="20"/>
      <c r="C15" s="104" t="s">
        <v>89</v>
      </c>
      <c r="D15" s="104"/>
      <c r="E15" s="105" t="s">
        <v>90</v>
      </c>
      <c r="F15" s="21" t="s">
        <v>36</v>
      </c>
      <c r="G15" s="21" t="s">
        <v>91</v>
      </c>
      <c r="H15" s="22" t="s">
        <v>92</v>
      </c>
      <c r="I15" s="23" t="s">
        <v>93</v>
      </c>
      <c r="J15" s="24" t="s">
        <v>94</v>
      </c>
      <c r="K15" s="26" t="s">
        <v>95</v>
      </c>
    </row>
    <row r="16" spans="2:11" ht="31.5" customHeight="1">
      <c r="B16" s="28"/>
      <c r="C16" s="104"/>
      <c r="D16" s="104"/>
      <c r="E16" s="106"/>
      <c r="F16" s="21" t="s">
        <v>36</v>
      </c>
      <c r="G16" s="21" t="s">
        <v>96</v>
      </c>
      <c r="H16" s="22" t="s">
        <v>97</v>
      </c>
      <c r="I16" s="24" t="s">
        <v>98</v>
      </c>
      <c r="J16" s="24" t="s">
        <v>99</v>
      </c>
      <c r="K16" s="26" t="s">
        <v>100</v>
      </c>
    </row>
  </sheetData>
  <mergeCells count="8">
    <mergeCell ref="C15:D16"/>
    <mergeCell ref="E15:E16"/>
    <mergeCell ref="C2:D2"/>
    <mergeCell ref="H2:I2"/>
    <mergeCell ref="C3:D11"/>
    <mergeCell ref="E3:E11"/>
    <mergeCell ref="C12:D14"/>
    <mergeCell ref="E12:E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2:B3"/>
  <sheetViews>
    <sheetView showGridLines="0" workbookViewId="0">
      <selection activeCell="B10" sqref="B10"/>
    </sheetView>
  </sheetViews>
  <sheetFormatPr defaultRowHeight="17"/>
  <cols>
    <col min="2" max="2" width="167.25" customWidth="1"/>
  </cols>
  <sheetData>
    <row r="2" spans="2:2">
      <c r="B2" s="29" t="s">
        <v>101</v>
      </c>
    </row>
    <row r="3" spans="2:2" ht="170">
      <c r="B3" s="30" t="s">
        <v>102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A12B-F8DA-4EC3-BA5B-D35B2069BE5B}">
  <dimension ref="A1:D17"/>
  <sheetViews>
    <sheetView workbookViewId="0">
      <selection activeCell="C2" sqref="C2"/>
    </sheetView>
  </sheetViews>
  <sheetFormatPr defaultRowHeight="17"/>
  <cols>
    <col min="1" max="1" width="39.9140625" bestFit="1" customWidth="1"/>
    <col min="2" max="2" width="37.75" bestFit="1" customWidth="1"/>
    <col min="3" max="3" width="38" bestFit="1" customWidth="1"/>
    <col min="4" max="4" width="65.75" bestFit="1" customWidth="1"/>
  </cols>
  <sheetData>
    <row r="1" spans="1:4">
      <c r="A1" s="103" t="s">
        <v>8983</v>
      </c>
      <c r="B1" s="103" t="s">
        <v>8994</v>
      </c>
      <c r="C1" s="103" t="s">
        <v>8995</v>
      </c>
      <c r="D1" s="103" t="s">
        <v>8996</v>
      </c>
    </row>
    <row r="2" spans="1:4">
      <c r="A2" t="s">
        <v>8984</v>
      </c>
      <c r="B2" t="s">
        <v>8997</v>
      </c>
      <c r="C2" t="s">
        <v>8993</v>
      </c>
      <c r="D2" t="s">
        <v>8993</v>
      </c>
    </row>
    <row r="3" spans="1:4">
      <c r="A3" t="s">
        <v>8985</v>
      </c>
      <c r="B3" t="s">
        <v>8993</v>
      </c>
      <c r="C3" t="s">
        <v>9009</v>
      </c>
      <c r="D3" t="s">
        <v>9018</v>
      </c>
    </row>
    <row r="4" spans="1:4">
      <c r="A4" t="s">
        <v>8986</v>
      </c>
      <c r="B4" t="s">
        <v>8998</v>
      </c>
      <c r="C4" t="s">
        <v>9010</v>
      </c>
      <c r="D4" t="s">
        <v>9019</v>
      </c>
    </row>
    <row r="5" spans="1:4">
      <c r="A5" t="s">
        <v>8987</v>
      </c>
      <c r="B5" t="s">
        <v>8999</v>
      </c>
      <c r="C5" t="s">
        <v>9011</v>
      </c>
      <c r="D5" t="s">
        <v>6689</v>
      </c>
    </row>
    <row r="6" spans="1:4">
      <c r="A6" t="s">
        <v>8988</v>
      </c>
      <c r="B6" t="s">
        <v>9000</v>
      </c>
      <c r="C6" t="s">
        <v>9012</v>
      </c>
      <c r="D6" t="s">
        <v>9020</v>
      </c>
    </row>
    <row r="7" spans="1:4">
      <c r="A7" t="s">
        <v>8989</v>
      </c>
      <c r="B7" t="s">
        <v>9001</v>
      </c>
      <c r="C7" t="s">
        <v>9013</v>
      </c>
      <c r="D7" t="s">
        <v>9021</v>
      </c>
    </row>
    <row r="8" spans="1:4">
      <c r="A8" t="s">
        <v>8990</v>
      </c>
      <c r="B8" t="s">
        <v>9002</v>
      </c>
      <c r="C8" t="s">
        <v>9014</v>
      </c>
      <c r="D8" t="s">
        <v>9022</v>
      </c>
    </row>
    <row r="9" spans="1:4">
      <c r="A9" t="s">
        <v>8991</v>
      </c>
      <c r="B9" t="s">
        <v>9003</v>
      </c>
      <c r="C9" t="s">
        <v>9015</v>
      </c>
      <c r="D9" t="s">
        <v>9023</v>
      </c>
    </row>
    <row r="10" spans="1:4">
      <c r="A10" t="s">
        <v>8992</v>
      </c>
      <c r="B10" t="s">
        <v>9004</v>
      </c>
      <c r="C10" t="s">
        <v>9016</v>
      </c>
      <c r="D10" t="s">
        <v>9024</v>
      </c>
    </row>
    <row r="11" spans="1:4">
      <c r="A11" t="s">
        <v>8993</v>
      </c>
      <c r="B11" t="s">
        <v>9005</v>
      </c>
      <c r="C11" t="s">
        <v>9017</v>
      </c>
      <c r="D11" t="s">
        <v>9025</v>
      </c>
    </row>
    <row r="12" spans="1:4">
      <c r="B12" t="s">
        <v>9006</v>
      </c>
      <c r="D12" t="s">
        <v>9026</v>
      </c>
    </row>
    <row r="13" spans="1:4">
      <c r="B13" t="s">
        <v>9007</v>
      </c>
      <c r="D13" t="s">
        <v>9027</v>
      </c>
    </row>
    <row r="14" spans="1:4">
      <c r="B14" t="s">
        <v>9008</v>
      </c>
      <c r="D14" t="s">
        <v>9028</v>
      </c>
    </row>
    <row r="15" spans="1:4">
      <c r="D15" t="s">
        <v>9029</v>
      </c>
    </row>
    <row r="16" spans="1:4">
      <c r="D16" t="s">
        <v>9030</v>
      </c>
    </row>
    <row r="17" spans="4:4">
      <c r="D17" t="s">
        <v>9031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2B25-8DA8-4595-BD93-C674C7C9BEC1}">
  <dimension ref="A1"/>
  <sheetViews>
    <sheetView workbookViewId="0">
      <selection activeCell="F17" sqref="F17"/>
    </sheetView>
  </sheetViews>
  <sheetFormatPr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Center_Alarm</vt:lpstr>
      <vt:lpstr>Upper&amp;Lower_Alarm</vt:lpstr>
      <vt:lpstr>Seaming</vt:lpstr>
      <vt:lpstr>Welding</vt:lpstr>
      <vt:lpstr>알람분류코드</vt:lpstr>
      <vt:lpstr>설비상태정의</vt:lpstr>
      <vt:lpstr>공정명</vt:lpstr>
      <vt:lpstr>태그마스터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혁수 유</cp:lastModifiedBy>
  <cp:lastPrinted>2021-10-19T04:37:33Z</cp:lastPrinted>
  <dcterms:created xsi:type="dcterms:W3CDTF">2021-01-20T06:14:45Z</dcterms:created>
  <dcterms:modified xsi:type="dcterms:W3CDTF">2025-12-15T07:22:32Z</dcterms:modified>
</cp:coreProperties>
</file>